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uncios" sheetId="1" state="visible" r:id="rId1"/>
    <sheet xmlns:r="http://schemas.openxmlformats.org/officeDocument/2006/relationships" name="Top20" sheetId="2" state="visible" r:id="rId2"/>
    <sheet xmlns:r="http://schemas.openxmlformats.org/officeDocument/2006/relationships" name="Supuestos" sheetId="3" state="visible" r:id="rId3"/>
  </sheets>
  <definedNames>
    <definedName name="W_FIAB">Supuestos!$B$7</definedName>
    <definedName name="W_PRECIO">Supuestos!$B$8</definedName>
    <definedName name="W_KMEDAD">Supuestos!$B$9</definedName>
    <definedName name="W_ANUNCIO">Supuestos!$B$10</definedName>
    <definedName name="W_USO">Supuestos!$B$11</definedName>
    <definedName name="W_SEGURIDAD">Supuestos!$B$12</definedName>
    <definedName name="W_SUMA">Supuestos!$B$13</definedName>
    <definedName name="ANIO_ACTUAL">Supuestos!$B$17</definedName>
    <definedName name="ANIO_MIN">Supuestos!$B$18</definedName>
    <definedName name="KM_MAX">Supuestos!$B$19</definedName>
    <definedName name="PRECIO_MAX">Supuestos!$B$20</definedName>
    <definedName name="TOTAL_MAX">Supuestos!$B$21</definedName>
    <definedName name="MARGEN_NEG">Supuestos!$B$22</definedName>
    <definedName name="SEG_ANIO">Supuestos!$B$23</definedName>
    <definedName name="SEG_KM">Supuestos!$B$24</definedName>
    <definedName name="MIN_N">Supuestos!$B$25</definedName>
    <definedName name="PRECIO_PEND">Supuestos!$B$26</definedName>
    <definedName name="KMA_IDEAL_MAX">Supuestos!$B$27</definedName>
    <definedName name="KMA_CERO">Supuestos!$B$28</definedName>
    <definedName name="KMA_SOSP">Supuestos!$B$29</definedName>
    <definedName name="KMA_PEN">Supuestos!$B$30</definedName>
    <definedName name="W_KMT">Supuestos!$B$31</definedName>
    <definedName name="W_KMA">Supuestos!$B$32</definedName>
    <definedName name="W_EDAD">Supuestos!$B$33</definedName>
    <definedName name="P_ITV">Supuestos!$B$34</definedName>
    <definedName name="P_LIBRO">Supuestos!$B$35</definedName>
    <definedName name="P_CORREA">Supuestos!$B$36</definedName>
    <definedName name="P_PROP">Supuestos!$B$37</definedName>
    <definedName name="P_GAR">Supuestos!$B$38</definedName>
    <definedName name="P_FOTOS">Supuestos!$B$39</definedName>
    <definedName name="FOTOS_OBJ">Supuestos!$B$40</definedName>
    <definedName name="W_ET">Supuestos!$B$41</definedName>
    <definedName name="W_CONS">Supuestos!$B$42</definedName>
    <definedName name="W_SEG">Supuestos!$B$43</definedName>
    <definedName name="NEUTRO">Supuestos!$B$44</definedName>
    <definedName name="SG_GAR">Supuestos!$B$45</definedName>
    <definedName name="SG_GAR_FULL">Supuestos!$B$46</definedName>
    <definedName name="SG_AMPL">Supuestos!$B$47</definedName>
    <definedName name="SG_KMC">Supuestos!$B$48</definedName>
    <definedName name="SG_REV">Supuestos!$B$49</definedName>
    <definedName name="SG_DEV">Supuestos!$B$50</definedName>
    <definedName name="SG_DEV_FULL">Supuestos!$B$51</definedName>
    <definedName name="SG_HIST">Supuestos!$B$52</definedName>
    <definedName name="SG_LEGAL_ON">Supuestos!$B$53</definedName>
    <definedName name="GAR_LEGAL">Supuestos!$B$54</definedName>
    <definedName name="ITP_TIPO">Supuestos!$B$58</definedName>
    <definedName name="CUOTA_VALOR_MAX">Supuestos!$B$59</definedName>
    <definedName name="TASA_DGT">Supuestos!$B$60</definedName>
    <definedName name="INFORME_DGT">Supuestos!$B$61</definedName>
    <definedName name="ITP_TRAMO_ALTO">Supuestos!$B$62</definedName>
    <definedName name="ITP_TRAMO_BAJO">Supuestos!$B$63</definedName>
    <definedName name="CF_MAS">Supuestos!$A$69:$A$74</definedName>
    <definedName name="CF_CCMIN">Supuestos!$B$69:$B$74</definedName>
    <definedName name="CF_CCMAX">Supuestos!$C$69:$C$74</definedName>
    <definedName name="CF_CUOTA">Supuestos!$D$69:$D$74</definedName>
    <definedName name="GAS_C">Supuestos!$B$80</definedName>
    <definedName name="GAS_B">Supuestos!$B$81</definedName>
    <definedName name="DIE_C">Supuestos!$B$82</definedName>
    <definedName name="DIE_B">Supuestos!$B$83</definedName>
    <definedName name="ETQ_TBL">Supuestos!$A$87:$B$91</definedName>
    <definedName name="CARR_PEN_TBL">Supuestos!$A$94:$B$96</definedName>
    <definedName name="SEGURO_TBL">Supuestos!$A$102:$D$103</definedName>
    <definedName name="SEG_REF_MIN">Supuestos!$B$105</definedName>
    <definedName name="SEG_REF_MAX">Supuestos!$B$106</definedName>
    <definedName name="TUV_MEDIAS">Supuestos!$A$110:$B$111</definedName>
    <definedName name="OCU_TBL">Supuestos!$A$115:$B$118</definedName>
    <definedName name="ADAC_TBL">Supuestos!$A$122:$B$208</definedName>
    <definedName name="ADAC_REF">Supuestos!$B$209</definedName>
    <definedName name="MOD_TBL">Supuestos!$A$213:$N$251</definedName>
    <definedName name="MOT_MARCA">Supuestos!$A$255:$A$279</definedName>
    <definedName name="MOT_MOTOR">Supuestos!$B$255:$B$279</definedName>
    <definedName name="MOT_DESDE">Supuestos!$C$255:$C$279</definedName>
    <definedName name="MOT_HASTA">Supuestos!$D$255:$D$279</definedName>
    <definedName name="MOT_AJUSTE">Supuestos!$E$255:$E$279</definedName>
    <definedName name="COMB_COMB">Supuestos!$A$284:$A$284</definedName>
    <definedName name="COMB_AJUSTE">Supuestos!$B$284:$B$284</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2"/>
    </font>
    <font>
      <b val="1"/>
    </font>
    <font>
      <color rgb="000000FF"/>
    </font>
    <font>
      <color rgb="00000000"/>
    </font>
    <font>
      <color rgb="00008000"/>
    </font>
    <font>
      <i val="1"/>
    </font>
  </fonts>
  <fills count="3">
    <fill>
      <patternFill/>
    </fill>
    <fill>
      <patternFill patternType="gray125"/>
    </fill>
    <fill>
      <patternFill patternType="solid">
        <fgColor rgb="00DDE4EE"/>
      </patternFill>
    </fill>
  </fills>
  <borders count="1">
    <border>
      <left/>
      <right/>
      <top/>
      <bottom/>
      <diagonal/>
    </border>
  </borders>
  <cellStyleXfs count="1">
    <xf numFmtId="0" fontId="0" fillId="0" borderId="0"/>
  </cellStyleXfs>
  <cellXfs count="10">
    <xf numFmtId="0" fontId="0" fillId="0" borderId="0" pivotButton="0" quotePrefix="0" xfId="0"/>
    <xf numFmtId="0" fontId="2" fillId="2" borderId="0" applyAlignment="1" pivotButton="0" quotePrefix="0" xfId="0">
      <alignment vertical="top" wrapText="1"/>
    </xf>
    <xf numFmtId="0" fontId="3" fillId="0" borderId="0" pivotButton="0" quotePrefix="0" xfId="0"/>
    <xf numFmtId="0" fontId="5" fillId="0" borderId="0" pivotButton="0" quotePrefix="0" xfId="0"/>
    <xf numFmtId="0" fontId="4" fillId="0" borderId="0" pivotButton="0" quotePrefix="0" xfId="0"/>
    <xf numFmtId="0" fontId="6" fillId="0" borderId="0" pivotButton="0" quotePrefix="0" xfId="0"/>
    <xf numFmtId="0" fontId="1" fillId="0" borderId="0" pivotButton="0" quotePrefix="0" xfId="0"/>
    <xf numFmtId="0" fontId="2" fillId="2" borderId="0" pivotButton="0" quotePrefix="0" xfId="0"/>
    <xf numFmtId="0" fontId="2"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buscador</author>
  </authors>
  <commentList>
    <comment ref="A1" authorId="0" shapeId="0">
      <text>
        <t>Datos de anuncio (azul): scrapeados de la plataforma; fuente exacta en la columna 'Fuente (fichero /raw)'.</t>
      </text>
    </comment>
    <comment ref="E1" authorId="0" shapeId="0">
      <text>
        <t>Normalizada por src/normalize.py a partir del dato scrapeado.</t>
      </text>
    </comment>
    <comment ref="G1" authorId="0" shapeId="0">
      <text>
        <t>Normalizado por src/normalize.py (cilindrada + tecnología).</t>
      </text>
    </comment>
    <comment ref="V1" authorId="0" shapeId="0">
      <text>
        <t>Extraído del texto del anuncio por src/extract.py: sí / no / vacío = no lo menciona.</t>
      </text>
    </comment>
    <comment ref="AN1" authorId="0" shapeId="0">
      <text>
        <t>Calculada en Python (src/scoring.py: market_medians) con los anuncios vistos en los listados de las plataformas (tabla 'mercado' de data/listings.sqlite), mismo esquema de segmentos.</t>
      </text>
    </comment>
    <comment ref="BC1" authorId="0" shapeId="0">
      <text>
        <t>Si hay MIN_N o más anuncios de mercado del segmento (todos los vistos en los listados, también &gt; precio máx.), usa la mediana de mercado; si no, fórmula matricial con la mediana de esta hoja (modelo+año+km, subiendo de nivel).</t>
      </text>
    </comment>
    <comment ref="CC1" authorId="0" shapeId="0">
      <text>
        <t>Cuota fija CV por antigüedad y cilindrada si valor &lt; CUOTA_VALOR_MAX; si no, tipo porcentual. Profesional: 0.</t>
      </text>
    </comment>
    <comment ref="CJ1" authorId="0" shapeId="0">
      <text>
        <t>Desempate por orden de fila.</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ocasionplus.com/coches-segunda-mano/opel-astra-17-cdti-edition-con-174458km-2009-b9f8hqaq" TargetMode="External" Id="rId1"/><Relationship Type="http://schemas.openxmlformats.org/officeDocument/2006/relationships/hyperlink" Target="https://www.ocasionplus.com/coches-segunda-mano/peugeot-207-14-confort-con-116183km-2008-b9auzqaa" TargetMode="External" Id="rId2"/><Relationship Type="http://schemas.openxmlformats.org/officeDocument/2006/relationships/hyperlink" Target="https://www.ocasionplus.com/coches-segunda-mano/peugeot-208-16-ehdi-allure-con-214706km-2012-zphyfqal" TargetMode="External" Id="rId3"/><Relationship Type="http://schemas.openxmlformats.org/officeDocument/2006/relationships/hyperlink" Target="https://www.ocasionplus.com/coches-segunda-mano/ford-focus-16-tdci-trend-con-163288km-2009-ynxb0qap" TargetMode="External" Id="rId4"/><Relationship Type="http://schemas.openxmlformats.org/officeDocument/2006/relationships/hyperlink" Target="https://www.ocasionplus.com/coches-segunda-mano/ford-ka-13-collection-con-115071km-2008-saqsyqa5" TargetMode="External" Id="rId5"/><Relationship Type="http://schemas.openxmlformats.org/officeDocument/2006/relationships/hyperlink" Target="https://www.autoscout24.es/anuncios/skoda-fabia-1-4tdi-style-80-diesel-cat_ma65mo15878-78433a06-4502-4d6e-8fd3-0fdd67d99ab8" TargetMode="External" Id="rId6"/><Relationship Type="http://schemas.openxmlformats.org/officeDocument/2006/relationships/hyperlink" Target="https://www.autoscout24.es/anuncios/seat-ibiza-1-4-sport-gasolina-cat_ma64mo2006-e82e2b46-304d-45e7-b319-e5896690fc01" TargetMode="External" Id="rId7"/><Relationship Type="http://schemas.openxmlformats.org/officeDocument/2006/relationships/hyperlink" Target="https://www.autoscout24.es/anuncios/seat-leon-leon-1-9tdi-reference-ecomotive-dpf-diesel-cat_ma64mo15869-2d71c35d-97f3-41e3-9fb7-f1bc373d9421" TargetMode="External" Id="rId8"/><Relationship Type="http://schemas.openxmlformats.org/officeDocument/2006/relationships/hyperlink" Target="https://www.autoscout24.es/anuncios/volkswagen-polo-1-2-advance-bmt-gasolina-gris-cat_ma74mo2090-827f958f-8688-4b6d-8737-916b285573e8" TargetMode="External" Id="rId9"/><Relationship Type="http://schemas.openxmlformats.org/officeDocument/2006/relationships/hyperlink" Target="https://www.autoscout24.es/anuncios/opel-corsa-1-2-essentia-gasolina-cat_ma54mo1918-eedca07e-c241-4b5e-92f9-ca201479b1f6" TargetMode="External" Id="rId10"/><Relationship Type="http://schemas.openxmlformats.org/officeDocument/2006/relationships/hyperlink" Target="https://www.autoscout24.es/anuncios/opel-corsa-1-4-c-mon-139co2-gasolina-gris-cat_ma54mo1918-530a78a6-41a7-4caa-9407-81ae2c44ad35" TargetMode="External" Id="rId11"/><Relationship Type="http://schemas.openxmlformats.org/officeDocument/2006/relationships/hyperlink" Target="https://www.autoscout24.es/anuncios/opel-corsa-5p-1-3-cdti-edition-elective-95cv-fap-diesel-cat_ma54mo1918-a7d76d98-e33b-4af3-9d7c-e4cd6a65aa00" TargetMode="External" Id="rId12"/><Relationship Type="http://schemas.openxmlformats.org/officeDocument/2006/relationships/hyperlink" Target="https://www.autoscout24.es/anuncios/opel-corsa-gasolina-cat_ma54mo1918-98e81ab3-945a-4a40-a02e-686a76c720ea" TargetMode="External" Id="rId13"/><Relationship Type="http://schemas.openxmlformats.org/officeDocument/2006/relationships/hyperlink" Target="https://www.autoscout24.es/anuncios/opel-astra-1-7cdti-enjoy-diesel-azul-cat_ma54mo1916-eff1fd1c-995f-4e05-b13f-0025ae2ba8f5" TargetMode="External" Id="rId14"/><Relationship Type="http://schemas.openxmlformats.org/officeDocument/2006/relationships/hyperlink" Target="https://www.autoscout24.es/anuncios/opel-meriva-meriva-1-7cdti-enjoy-110-enjoy-diesel-beige-cat_ma54mo18341-1bbab641-53ca-4d9b-80c6-f99884b3bd80" TargetMode="External" Id="rId15"/><Relationship Type="http://schemas.openxmlformats.org/officeDocument/2006/relationships/hyperlink" Target="https://www.autoscout24.es/anuncios/opel-corsa-1-3cdti-c-mon-ecoflex-diesel-cat_ma54mo1918-9a094bfd-f634-4d5d-9612-b134882a2a0b" TargetMode="External" Id="rId16"/><Relationship Type="http://schemas.openxmlformats.org/officeDocument/2006/relationships/hyperlink" Target="https://www.autoscout24.es/anuncios/peugeot-207-207-1-4i-confort-75-confort-gasolina-negro-cat_ma55mo18797-a9f25c00-f19e-4e5c-80ed-f8556168c772" TargetMode="External" Id="rId17"/><Relationship Type="http://schemas.openxmlformats.org/officeDocument/2006/relationships/hyperlink" Target="https://www.autoscout24.es/anuncios/peugeot-308-1-6hdi-fap-premium-diesel-cat_ma55mo19055-afaa55f1-33ea-42de-8895-468488489a30" TargetMode="External" Id="rId18"/><Relationship Type="http://schemas.openxmlformats.org/officeDocument/2006/relationships/hyperlink" Target="https://www.autoscout24.es/anuncios/citroen-c4-1-6e-hdi-collection-110-diesel-blanco-cat_ma21mo18545-135b1554-750c-4b53-880d-8fd5d78d72d3" TargetMode="External" Id="rId19"/><Relationship Type="http://schemas.openxmlformats.org/officeDocument/2006/relationships/hyperlink" Target="https://www.autoscout24.es/anuncios/citroen-c3-c3-pluriel-1-4hdi-exclusive-exclusive-diesel-beige-cat_ma21mo18264-976fabeb-a40c-41ae-a17f-af947b6a37bb" TargetMode="External" Id="rId20"/><Relationship Type="http://schemas.openxmlformats.org/officeDocument/2006/relationships/hyperlink" Target="https://www.autoscout24.es/anuncios/citroen-c4-c4-1-6hdi-business-business-diesel-blanco-cat_ma21mo18545-c0f0e084-36ac-44c7-bc7d-f25d75c2ac08" TargetMode="External" Id="rId21"/><Relationship Type="http://schemas.openxmlformats.org/officeDocument/2006/relationships/hyperlink" Target="https://www.autoscout24.es/anuncios/citroen-c4-1-6e-hdi-collection-110-diesel-cat_ma21mo18545-ed5884f9-3ed4-46e2-94c9-80796e5ef3a8" TargetMode="External" Id="rId22"/><Relationship Type="http://schemas.openxmlformats.org/officeDocument/2006/relationships/hyperlink" Target="https://www.autoscout24.es/anuncios/citroen-c4-1-6hdi-cool-diesel-cat_ma21mo18545-e18153a1-5cc8-4840-b81b-f019a8139379" TargetMode="External" Id="rId23"/><Relationship Type="http://schemas.openxmlformats.org/officeDocument/2006/relationships/hyperlink" Target="https://es.wallapop.com/item/ford-fiesta-ford-fiesta-1-3-ambiente-1313427276" TargetMode="External" Id="rId24"/><Relationship Type="http://schemas.openxmlformats.org/officeDocument/2006/relationships/hyperlink" Target="https://www.autoscout24.es/anuncios/ford-ka-ka+-ka-1-30tdci-titanium+-diesel-cat_ma29mo1761-a57f66ac-145f-4765-9ec5-fb1cfb789a07" TargetMode="External" Id="rId25"/><Relationship Type="http://schemas.openxmlformats.org/officeDocument/2006/relationships/hyperlink" Target="https://www.autoscout24.es/anuncios/fiat-punto-punto-1-2-feel-classic-feel-classic-gasolina-rojo-cat_ma28mo1747-c0e51c94-8ec0-4a36-8134-caae0331b183" TargetMode="External" Id="rId26"/><Relationship Type="http://schemas.openxmlformats.org/officeDocument/2006/relationships/hyperlink" Target="https://www.autoscout24.es/anuncios/fiat-500-500-0-9-t-twinair-pop-85-pop-gasolina-azul-cat_ma28mo15160-8b610c99-c37b-4f70-8870-40b71f5c62f6" TargetMode="External" Id="rId27"/><Relationship Type="http://schemas.openxmlformats.org/officeDocument/2006/relationships/hyperlink" Target="https://www.autoscout24.es/anuncios/chevrolet-aveo-sedan-1-4-16v-lt-gasolina-gris-cat_ma19mo18685-5df9bdd9-27ce-4647-b70f-976633b13f7a" TargetMode="External" Id="rId28"/><Relationship Type="http://schemas.openxmlformats.org/officeDocument/2006/relationships/hyperlink" Target="https://www.autoscout24.es/anuncios/chevrolet-aveo-aveo-1-4-16v-ls-ls-gasolina-blanco-cat_ma19mo18685-10ad7f0c-c270-4daf-8b53-d4973d7d0201" TargetMode="External" Id="rId29"/><Relationship Type="http://schemas.openxmlformats.org/officeDocument/2006/relationships/hyperlink" Target="https://es.wallapop.com/item/toyota-aygo-2009-1306587390" TargetMode="External" Id="rId30"/><Relationship Type="http://schemas.openxmlformats.org/officeDocument/2006/relationships/hyperlink" Target="https://es.wallapop.com/item/toyota-prius-2009-1254410344" TargetMode="External" Id="rId31"/><Relationship Type="http://schemas.openxmlformats.org/officeDocument/2006/relationships/hyperlink" Target="https://es.wallapop.com/item/hyundai-i10-2008-1306889282" TargetMode="External" Id="rId32"/><Relationship Type="http://schemas.openxmlformats.org/officeDocument/2006/relationships/hyperlink" Target="https://es.wallapop.com/item/hyundai-i30-2009-1303258356" TargetMode="External" Id="rId33"/><Relationship Type="http://schemas.openxmlformats.org/officeDocument/2006/relationships/hyperlink" Target="https://es.wallapop.com/item/seat-leon-2013-1318605374" TargetMode="External" Id="rId34"/><Relationship Type="http://schemas.openxmlformats.org/officeDocument/2006/relationships/hyperlink" Target="https://es.wallapop.com/item/volkswagen-polo-1-6-tdi-sport-90-cv-solo-86-000-1314563442" TargetMode="External" Id="rId35"/><Relationship Type="http://schemas.openxmlformats.org/officeDocument/2006/relationships/hyperlink" Target="https://www.coches.net/volkswagen-fox-14-tdi-70cv-3p-diesel-2008-en-valencia-71311230-covo.aspx" TargetMode="External" Id="rId36"/><Relationship Type="http://schemas.openxmlformats.org/officeDocument/2006/relationships/hyperlink" Target="https://es.wallapop.com/item/opel-corsa-2008-1310385297" TargetMode="External" Id="rId37"/><Relationship Type="http://schemas.openxmlformats.org/officeDocument/2006/relationships/hyperlink" Target="https://es.wallapop.com/item/opel-corsa-2009-1318223085" TargetMode="External" Id="rId38"/><Relationship Type="http://schemas.openxmlformats.org/officeDocument/2006/relationships/hyperlink" Target="https://es.wallapop.com/item/opel-corsa-d-2013-1316461365" TargetMode="External" Id="rId39"/><Relationship Type="http://schemas.openxmlformats.org/officeDocument/2006/relationships/hyperlink" Target="https://es.wallapop.com/item/opel-astra-2010-1317824509" TargetMode="External" Id="rId40"/><Relationship Type="http://schemas.openxmlformats.org/officeDocument/2006/relationships/hyperlink" Target="https://es.wallapop.com/item/opel-astra-2012-1308429797" TargetMode="External" Id="rId41"/><Relationship Type="http://schemas.openxmlformats.org/officeDocument/2006/relationships/hyperlink" Target="https://es.wallapop.com/item/opel-agila-2009-1282088556" TargetMode="External" Id="rId42"/><Relationship Type="http://schemas.openxmlformats.org/officeDocument/2006/relationships/hyperlink" Target="https://es.wallapop.com/item/renault-megane-2009-1316237992" TargetMode="External" Id="rId43"/><Relationship Type="http://schemas.openxmlformats.org/officeDocument/2006/relationships/hyperlink" Target="https://es.wallapop.com/item/renault-twingo-2009-1311131743" TargetMode="External" Id="rId44"/><Relationship Type="http://schemas.openxmlformats.org/officeDocument/2006/relationships/hyperlink" Target="https://es.wallapop.com/item/dacia-sandero-2009-1310485042" TargetMode="External" Id="rId45"/><Relationship Type="http://schemas.openxmlformats.org/officeDocument/2006/relationships/hyperlink" Target="https://es.wallapop.com/item/dacia-logan-2015-1285784488" TargetMode="External" Id="rId46"/><Relationship Type="http://schemas.openxmlformats.org/officeDocument/2006/relationships/hyperlink" Target="https://es.wallapop.com/item/peugeot-207-2008-1318790630" TargetMode="External" Id="rId47"/><Relationship Type="http://schemas.openxmlformats.org/officeDocument/2006/relationships/hyperlink" Target="https://es.wallapop.com/item/peugeot-207-2009-1316041007" TargetMode="External" Id="rId48"/><Relationship Type="http://schemas.openxmlformats.org/officeDocument/2006/relationships/hyperlink" Target="https://es.wallapop.com/item/peugeot-207-1-6-110cv-1259304018" TargetMode="External" Id="rId49"/><Relationship Type="http://schemas.openxmlformats.org/officeDocument/2006/relationships/hyperlink" Target="https://es.wallapop.com/item/peugeot-207-2012-1309416714" TargetMode="External" Id="rId50"/><Relationship Type="http://schemas.openxmlformats.org/officeDocument/2006/relationships/hyperlink" Target="https://es.wallapop.com/item/peugeot-207-1-6-hdi-90-cv-diesel-2008-1305060506" TargetMode="External" Id="rId51"/><Relationship Type="http://schemas.openxmlformats.org/officeDocument/2006/relationships/hyperlink" Target="https://es.wallapop.com/item/peugeot-207-2010-1295140251" TargetMode="External" Id="rId52"/><Relationship Type="http://schemas.openxmlformats.org/officeDocument/2006/relationships/hyperlink" Target="https://es.wallapop.com/item/peugeot-207-2008-1288893394" TargetMode="External" Id="rId53"/><Relationship Type="http://schemas.openxmlformats.org/officeDocument/2006/relationships/hyperlink" Target="https://es.wallapop.com/item/peugeot-207-2008-1288549890" TargetMode="External" Id="rId54"/><Relationship Type="http://schemas.openxmlformats.org/officeDocument/2006/relationships/hyperlink" Target="https://es.wallapop.com/item/peugeot-207-2008-1280300367" TargetMode="External" Id="rId55"/><Relationship Type="http://schemas.openxmlformats.org/officeDocument/2006/relationships/hyperlink" Target="https://es.wallapop.com/item/peugeot-207-2008-1266639855" TargetMode="External" Id="rId56"/><Relationship Type="http://schemas.openxmlformats.org/officeDocument/2006/relationships/hyperlink" Target="https://es.wallapop.com/item/peugeot-307-2009-1265753730" TargetMode="External" Id="rId57"/><Relationship Type="http://schemas.openxmlformats.org/officeDocument/2006/relationships/hyperlink" Target="https://es.wallapop.com/item/peugeot-207-2008-1258473301" TargetMode="External" Id="rId58"/><Relationship Type="http://schemas.openxmlformats.org/officeDocument/2006/relationships/hyperlink" Target="https://es.wallapop.com/item/207-1-4-hdi-135-353km-itv27-gomas-pastillas-nuevas-1315257495" TargetMode="External" Id="rId59"/><Relationship Type="http://schemas.openxmlformats.org/officeDocument/2006/relationships/hyperlink" Target="https://es.wallapop.com/item/peugeot-207-2009-1303500233" TargetMode="External" Id="rId60"/><Relationship Type="http://schemas.openxmlformats.org/officeDocument/2006/relationships/hyperlink" Target="https://es.wallapop.com/item/peugeot-308-2008-1318834980" TargetMode="External" Id="rId61"/><Relationship Type="http://schemas.openxmlformats.org/officeDocument/2006/relationships/hyperlink" Target="https://es.wallapop.com/item/peugeot-308-1-6-vti-120cv-solo-126-000-km-itv-1313565029" TargetMode="External" Id="rId62"/><Relationship Type="http://schemas.openxmlformats.org/officeDocument/2006/relationships/hyperlink" Target="https://es.wallapop.com/item/ford-ka-2014-1311163176" TargetMode="External" Id="rId63"/><Relationship Type="http://schemas.openxmlformats.org/officeDocument/2006/relationships/hyperlink" Target="https://es.wallapop.com/item/ford-ka-2010-en-muy-buen-estado-1294034931" TargetMode="External" Id="rId64"/><Relationship Type="http://schemas.openxmlformats.org/officeDocument/2006/relationships/hyperlink" Target="https://es.wallapop.com/item/ford-fiesta-2008-1317014608" TargetMode="External" Id="rId65"/><Relationship Type="http://schemas.openxmlformats.org/officeDocument/2006/relationships/hyperlink" Target="https://es.wallapop.com/item/ford-fiesta-2012-1303897694" TargetMode="External" Id="rId66"/><Relationship Type="http://schemas.openxmlformats.org/officeDocument/2006/relationships/hyperlink" Target="https://es.wallapop.com/item/ford-fiesta-2009-1299179562" TargetMode="External" Id="rId67"/><Relationship Type="http://schemas.openxmlformats.org/officeDocument/2006/relationships/hyperlink" Target="https://es.wallapop.com/item/ford-fiesta-2009-1296519951" TargetMode="External" Id="rId68"/><Relationship Type="http://schemas.openxmlformats.org/officeDocument/2006/relationships/hyperlink" Target="https://es.wallapop.com/item/ford-fiesta-2010-1296093081" TargetMode="External" Id="rId69"/><Relationship Type="http://schemas.openxmlformats.org/officeDocument/2006/relationships/hyperlink" Target="https://es.wallapop.com/item/ford-focus-2010-1318724177" TargetMode="External" Id="rId70"/><Relationship Type="http://schemas.openxmlformats.org/officeDocument/2006/relationships/hyperlink" Target="https://es.wallapop.com/item/ford-focus-1-8tdci-impoluto-1318150262" TargetMode="External" Id="rId71"/><Relationship Type="http://schemas.openxmlformats.org/officeDocument/2006/relationships/hyperlink" Target="https://es.wallapop.com/item/ford-focus-2008-diesel-1316341857" TargetMode="External" Id="rId72"/><Relationship Type="http://schemas.openxmlformats.org/officeDocument/2006/relationships/hyperlink" Target="https://es.wallapop.com/item/ford-focus-2010-1312844017" TargetMode="External" Id="rId73"/><Relationship Type="http://schemas.openxmlformats.org/officeDocument/2006/relationships/hyperlink" Target="https://es.wallapop.com/item/fiat-bravo-2008-1301004890" TargetMode="External" Id="rId74"/><Relationship Type="http://schemas.openxmlformats.org/officeDocument/2006/relationships/hyperlink" Target="https://es.wallapop.com/item/fiat-bravo-2008-1266735810" TargetMode="External" Id="rId75"/><Relationship Type="http://schemas.openxmlformats.org/officeDocument/2006/relationships/hyperlink" Target="https://es.wallapop.com/item/chevrolet-aveo-2012-1290605393" TargetMode="External" Id="rId76"/><Relationship Type="http://schemas.openxmlformats.org/officeDocument/2006/relationships/hyperlink" Target="https://es.wallapop.com/item/chevrolet-cruze-2011-1315219772" TargetMode="External" Id="rId77"/><Relationship Type="http://schemas.openxmlformats.org/officeDocument/2006/relationships/hyperlink" Target="https://es.wallapop.com/item/chevrolet-cruze-2012-1235670974" TargetMode="External" Id="rId78"/><Relationship Type="http://schemas.openxmlformats.org/officeDocument/2006/relationships/hyperlink" Target="https://www.coches.net/toyota-auris-20-d4d-sol-3p-diesel-2008-en-valencia-61732385-covo.aspx" TargetMode="External" Id="rId79"/><Relationship Type="http://schemas.openxmlformats.org/officeDocument/2006/relationships/hyperlink" Target="https://www.coches.net/toyota-aygo-10-vvti-live-5p-gasolina-2010-en-valencia-71691745-covo.aspx" TargetMode="External" Id="rId80"/><Relationship Type="http://schemas.openxmlformats.org/officeDocument/2006/relationships/hyperlink" Target="https://www.coches.net/mazda-mazda2-active-14-crtd-5p-diesel-2007-en-valencia-71265682-covo.aspx" TargetMode="External" Id="rId81"/><Relationship Type="http://schemas.openxmlformats.org/officeDocument/2006/relationships/hyperlink" Target="https://www.coches.net/mazda-mazda2-style-16-crtd-3p-diesel-2009-en-valencia-71525978-covo.aspx" TargetMode="External" Id="rId82"/><Relationship Type="http://schemas.openxmlformats.org/officeDocument/2006/relationships/hyperlink" Target="https://www.coches.net/kia-picanto-10-sohc-concept-5p-gasolina-2010-en-valencia-71817386-covo.aspx" TargetMode="External" Id="rId83"/><Relationship Type="http://schemas.openxmlformats.org/officeDocument/2006/relationships/hyperlink" Target="https://www.coches.net/kia-picanto-11-sohc-emotion-5p-gasolina-2008-en-valencia-71336745-covo.aspx" TargetMode="External" Id="rId84"/><Relationship Type="http://schemas.openxmlformats.org/officeDocument/2006/relationships/hyperlink" Target="https://www.coches.net/kia-rio-15-crdi-emotion-4p-diesel-2009-en-valencia-71256371-covo.aspx" TargetMode="External" Id="rId85"/><Relationship Type="http://schemas.openxmlformats.org/officeDocument/2006/relationships/hyperlink" Target="https://es.wallapop.com/item/hyundai-i10-2009-1303578407" TargetMode="External" Id="rId86"/><Relationship Type="http://schemas.openxmlformats.org/officeDocument/2006/relationships/hyperlink" Target="https://es.wallapop.com/item/hyundai-i10-2014-1307278706" TargetMode="External" Id="rId87"/><Relationship Type="http://schemas.openxmlformats.org/officeDocument/2006/relationships/hyperlink" Target="https://www.coches.net/hyundai-i20-i20-12-l-pbt-classic-aa-key-5p-gasolina-2012-en-valencia-71863369-covo.aspx" TargetMode="External" Id="rId88"/><Relationship Type="http://schemas.openxmlformats.org/officeDocument/2006/relationships/hyperlink" Target="https://www.coches.net/hyundai-getz-15-crdi-88cv-aa-5p-diesel-2008-en-valencia-71461135-covo.aspx" TargetMode="External" Id="rId89"/><Relationship Type="http://schemas.openxmlformats.org/officeDocument/2006/relationships/hyperlink" Target="https://www.coches.net/seat-ibiza-14-16v-85cv-rockroll-3p-gasolina-2009-en-valencia-71876716-covo.aspx" TargetMode="External" Id="rId90"/><Relationship Type="http://schemas.openxmlformats.org/officeDocument/2006/relationships/hyperlink" Target="https://www.coches.net/seat-ibiza-diesel-2009-en-valencia-71697159-covo.aspx" TargetMode="External" Id="rId91"/><Relationship Type="http://schemas.openxmlformats.org/officeDocument/2006/relationships/hyperlink" Target="https://www.coches.net/seat-leon-19-tdi-105cv-reference-5p-diesel-2008-en-valencia-71602139-covo.aspx" TargetMode="External" Id="rId92"/><Relationship Type="http://schemas.openxmlformats.org/officeDocument/2006/relationships/hyperlink" Target="https://www.coches.net/seat-leon-diesel-2012-en-valencia-71548964-covo.aspx" TargetMode="External" Id="rId93"/><Relationship Type="http://schemas.openxmlformats.org/officeDocument/2006/relationships/hyperlink" Target="https://www.coches.net/seat-leon-12-tsi-reference-5p-gasolina-2010-en-valencia-71516293-covo.aspx" TargetMode="External" Id="rId94"/><Relationship Type="http://schemas.openxmlformats.org/officeDocument/2006/relationships/hyperlink" Target="https://www.coches.net/volkswagen-polo-12-70cv-advance-5p-gasolina-2010-en-valencia-71874130-covo.aspx" TargetMode="External" Id="rId95"/><Relationship Type="http://schemas.openxmlformats.org/officeDocument/2006/relationships/hyperlink" Target="https://www.coches.net/volkswagen-polo-12-edition-60cv-5p-gasolina-2009-en-valencia-71666559-covo.aspx" TargetMode="External" Id="rId96"/><Relationship Type="http://schemas.openxmlformats.org/officeDocument/2006/relationships/hyperlink" Target="https://www.coches.net/volkswagen-polo-gasolina-2010-en-valencia-71536489-covo.aspx" TargetMode="External" Id="rId97"/><Relationship Type="http://schemas.openxmlformats.org/officeDocument/2006/relationships/hyperlink" Target="https://www.coches.net/volkswagen-polo-gasolina-2008-en-valencia-71512620-covo.aspx" TargetMode="External" Id="rId98"/><Relationship Type="http://schemas.openxmlformats.org/officeDocument/2006/relationships/hyperlink" Target="https://www.coches.net/volkswagen-polo-12-tdi-75cv-advance-5p-diesel-2010-en-valencia-71264538-covo.aspx" TargetMode="External" Id="rId99"/><Relationship Type="http://schemas.openxmlformats.org/officeDocument/2006/relationships/hyperlink" Target="https://www.coches.net/opel-corsa-13-ecoflex-75-cv-essentia-5p-diesel-2012-en-valencia-70216779-covo.aspx" TargetMode="External" Id="rId100"/><Relationship Type="http://schemas.openxmlformats.org/officeDocument/2006/relationships/hyperlink" Target="https://www.coches.net/opel-corsa-cosmo-14-5p-gasolina-2010-en-valencia-71818405-covo.aspx" TargetMode="External" Id="rId101"/><Relationship Type="http://schemas.openxmlformats.org/officeDocument/2006/relationships/hyperlink" Target="https://www.coches.net/opel-corsa-cmon-13-cdti-5p-diesel-2009-en-valencia-71781554-covo.aspx" TargetMode="External" Id="rId102"/><Relationship Type="http://schemas.openxmlformats.org/officeDocument/2006/relationships/hyperlink" Target="https://www.coches.net/opel-corsa-enjoy-13-cdti-5p-diesel-2008-en-valencia-71767490-covo.aspx" TargetMode="External" Id="rId103"/><Relationship Type="http://schemas.openxmlformats.org/officeDocument/2006/relationships/hyperlink" Target="https://www.coches.net/opel-corsa-12-expression-start--stop-5p-gasolina-2012-en-valencia-71729834-covo.aspx" TargetMode="External" Id="rId104"/><Relationship Type="http://schemas.openxmlformats.org/officeDocument/2006/relationships/hyperlink" Target="https://www.coches.net/opel-corsa-10-essentia-3p-gasolina-2011-en-valencia-71625576-covo.aspx" TargetMode="External" Id="rId105"/><Relationship Type="http://schemas.openxmlformats.org/officeDocument/2006/relationships/hyperlink" Target="https://www.coches.net/opel-corsa-14-selective-start--stop-5p-gasolina-2014-en-valencia-71686433-covo.aspx" TargetMode="External" Id="rId106"/><Relationship Type="http://schemas.openxmlformats.org/officeDocument/2006/relationships/hyperlink" Target="https://www.coches.net/opel-corsa-enjoy-13-cdti-90-cv-3p-diesel-2008-en-valencia-71572155-covo.aspx" TargetMode="External" Id="rId107"/><Relationship Type="http://schemas.openxmlformats.org/officeDocument/2006/relationships/hyperlink" Target="https://www.coches.net/opel-corsa-gasolina-2014-en-valencia-71531628-covo.aspx" TargetMode="External" Id="rId108"/><Relationship Type="http://schemas.openxmlformats.org/officeDocument/2006/relationships/hyperlink" Target="https://www.coches.net/opel-corsa-14-selective-start--stop-3p-gasolina-2014-en-valencia-71442825-covo.aspx" TargetMode="External" Id="rId109"/><Relationship Type="http://schemas.openxmlformats.org/officeDocument/2006/relationships/hyperlink" Target="https://www.coches.net/opel-corsa-cosmo-13-cdti-5p-diesel-2008-en-valencia-71399472-covo.aspx" TargetMode="External" Id="rId110"/><Relationship Type="http://schemas.openxmlformats.org/officeDocument/2006/relationships/hyperlink" Target="https://www.coches.net/opel-corsa-diesel-2013-en-valencia-71411401-covo.aspx" TargetMode="External" Id="rId111"/><Relationship Type="http://schemas.openxmlformats.org/officeDocument/2006/relationships/hyperlink" Target="https://www.coches.net/opel-corsa-cosmo-13-ecoflex-5p-diesel-2009-en-valencia-71398067-covo.aspx" TargetMode="External" Id="rId112"/><Relationship Type="http://schemas.openxmlformats.org/officeDocument/2006/relationships/hyperlink" Target="https://www.coches.net/opel-astra-gtc-14-16v-essentia-3p-gasolina-2009-en-valencia-71876224-covo.aspx" TargetMode="External" Id="rId113"/><Relationship Type="http://schemas.openxmlformats.org/officeDocument/2006/relationships/hyperlink" Target="https://www.coches.net/opel-astra-17-cdti-cosmo-5p-diesel-2009-en-valencia-71872803-covo.aspx" TargetMode="External" Id="rId114"/><Relationship Type="http://schemas.openxmlformats.org/officeDocument/2006/relationships/hyperlink" Target="https://www.coches.net/opel-astra-13-ecoflex-ss-selective-5p-diesel-2013-en-valencia-71339047-covo.aspx" TargetMode="External" Id="rId115"/><Relationship Type="http://schemas.openxmlformats.org/officeDocument/2006/relationships/hyperlink" Target="https://www.coches.net/opel-astra-14-turbo-sport-5p-gasolina-2010-en-valencia-71331925-covo.aspx" TargetMode="External" Id="rId116"/><Relationship Type="http://schemas.openxmlformats.org/officeDocument/2006/relationships/hyperlink" Target="https://www.coches.net/opel-astra-17-cdti-110-cv-sportive-5p-diesel-2014-en-valencia-71805860-covo.aspx" TargetMode="External" Id="rId117"/><Relationship Type="http://schemas.openxmlformats.org/officeDocument/2006/relationships/hyperlink" Target="https://www.coches.net/opel-astra-17-cdti-110-cv-cosmo-5p-diesel-2010-en-valencia-71561861-covo.aspx" TargetMode="External" Id="rId118"/><Relationship Type="http://schemas.openxmlformats.org/officeDocument/2006/relationships/hyperlink" Target="https://www.coches.net/opel-astra-17-cdti-ss-sportive-gtc-3p-diesel-2013-en-valencia-71370972-covo.aspx" TargetMode="External" Id="rId119"/><Relationship Type="http://schemas.openxmlformats.org/officeDocument/2006/relationships/hyperlink" Target="https://www.coches.net/opel-astra-17-cdti-110-cv-enjoy-5p-diesel-2011-en-valencia-71346295-covo.aspx" TargetMode="External" Id="rId120"/><Relationship Type="http://schemas.openxmlformats.org/officeDocument/2006/relationships/hyperlink" Target="https://www.coches.net/opel-astra-17-cdti-ss-130-cv-excellence-4p-diesel-2014-en-valencia-71249625-covo.aspx" TargetMode="External" Id="rId121"/><Relationship Type="http://schemas.openxmlformats.org/officeDocument/2006/relationships/hyperlink" Target="https://www.coches.net/opel-astra-diesel-2009-en-valencia-70943940-covo.aspx" TargetMode="External" Id="rId122"/><Relationship Type="http://schemas.openxmlformats.org/officeDocument/2006/relationships/hyperlink" Target="https://www.coches.net/renault-clio-grand-tour-20-aniv-dci-90-eco2-e5-5p-diesel-2010-en-valencia-71757766-covo.aspx" TargetMode="External" Id="rId123"/><Relationship Type="http://schemas.openxmlformats.org/officeDocument/2006/relationships/hyperlink" Target="https://www.coches.net/renault-clio-business-15dci85-eco2-5p-diesel-2008-en-valencia-71725639-covo.aspx" TargetMode="External" Id="rId124"/><Relationship Type="http://schemas.openxmlformats.org/officeDocument/2006/relationships/hyperlink" Target="https://www.coches.net/renault-clio-authentique-12-16v-75cv-5p-eco2-5p-gasolina-2009-en-valencia-71612608-covo.aspx" TargetMode="External" Id="rId125"/><Relationship Type="http://schemas.openxmlformats.org/officeDocument/2006/relationships/hyperlink" Target="https://www.coches.net/renault-clio-grand-tour-exception-15dci-105cv-eco2-5p-diesel-2008-en-valencia-71601675-covo.aspx" TargetMode="External" Id="rId126"/><Relationship Type="http://schemas.openxmlformats.org/officeDocument/2006/relationships/hyperlink" Target="https://www.coches.net/renault-clio-20-aniversario-15dci-85cv-3p-eco2-3p-diesel-2011-en-valencia-71554659-covo.aspx" TargetMode="External" Id="rId127"/><Relationship Type="http://schemas.openxmlformats.org/officeDocument/2006/relationships/hyperlink" Target="https://www.coches.net/renault-megane-emotion-2008-14-16v-5p-gasolina-2008-en-valencia-71399209-covo.aspx" TargetMode="External" Id="rId128"/><Relationship Type="http://schemas.openxmlformats.org/officeDocument/2006/relationships/hyperlink" Target="https://www.coches.net/renault-megane-dynamique-15dci85-eco2-5p-diesel-2008-en-valencia-71622320-covo.aspx" TargetMode="External" Id="rId129"/><Relationship Type="http://schemas.openxmlformats.org/officeDocument/2006/relationships/hyperlink" Target="https://www.coches.net/renault-megane-diesel-2011-en-valencia-71721172-covo.aspx" TargetMode="External" Id="rId130"/><Relationship Type="http://schemas.openxmlformats.org/officeDocument/2006/relationships/hyperlink" Target="https://www.coches.net/renault-megane-dynamique-16-16v-110-e5-5p-gasolina-2010-en-valencia-71224992-covo.aspx" TargetMode="External" Id="rId131"/><Relationship Type="http://schemas.openxmlformats.org/officeDocument/2006/relationships/hyperlink" Target="https://www.coches.net/renault-megane-dynamique-15dci-105cv-eco2-3p-diesel-2009-en-valencia-71600409-covo.aspx" TargetMode="External" Id="rId132"/><Relationship Type="http://schemas.openxmlformats.org/officeDocument/2006/relationships/hyperlink" Target="https://www.coches.net/renault-megane-dynamique-dci-110-eco2-3p-diesel-2009-en-valencia-71597988-covo.aspx" TargetMode="External" Id="rId133"/><Relationship Type="http://schemas.openxmlformats.org/officeDocument/2006/relationships/hyperlink" Target="https://www.coches.net/renault-megane-dynamique-16-16v-110cv-5p-gasolina-2008-en-valencia-71375913-covo.aspx" TargetMode="External" Id="rId134"/><Relationship Type="http://schemas.openxmlformats.org/officeDocument/2006/relationships/hyperlink" Target="https://www.coches.net/renault-twingo-emotion-dci-85-eco2-3p-diesel-2012-en-valencia-71806426-covo.aspx" TargetMode="External" Id="rId135"/><Relationship Type="http://schemas.openxmlformats.org/officeDocument/2006/relationships/hyperlink" Target="https://www.coches.net/dacia-sandero-ambiance-12-75cv-5p-gasolina-2012-en-valencia-70507667-covo.aspx" TargetMode="External" Id="rId136"/><Relationship Type="http://schemas.openxmlformats.org/officeDocument/2006/relationships/hyperlink" Target="https://www.coches.net/dacia-sandero-ambiance-12-16v-75cv-5p-gasolina-2010-en-valencia-71831034-covo.aspx" TargetMode="External" Id="rId137"/><Relationship Type="http://schemas.openxmlformats.org/officeDocument/2006/relationships/hyperlink" Target="https://www.coches.net/dacia-sandero-ambiance-14-5p-gasolina-2008-en-valencia-71662297-covo.aspx" TargetMode="External" Id="rId138"/><Relationship Type="http://schemas.openxmlformats.org/officeDocument/2006/relationships/hyperlink" Target="https://www.coches.net/dacia-sandero-diesel-2010-en-valencia-71576210-covo.aspx" TargetMode="External" Id="rId139"/><Relationship Type="http://schemas.openxmlformats.org/officeDocument/2006/relationships/hyperlink" Target="https://www.coches.net/dacia-sandero-gasolina-2010-en-valencia-71393663-covo.aspx" TargetMode="External" Id="rId140"/><Relationship Type="http://schemas.openxmlformats.org/officeDocument/2006/relationships/hyperlink" Target="https://www.coches.net/dacia-logan-laureate-14-4p-gasolina-2007-en-valencia-71571620-covo.aspx" TargetMode="External" Id="rId141"/><Relationship Type="http://schemas.openxmlformats.org/officeDocument/2006/relationships/hyperlink" Target="https://www.coches.net/peugeot-207-confort-14-75-5p-gasolina-2009-en-valencia-71833160-covo.aspx" TargetMode="External" Id="rId142"/><Relationship Type="http://schemas.openxmlformats.org/officeDocument/2006/relationships/hyperlink" Target="https://www.coches.net/peugeot-207-sw-active-16-hdi-92-fap-5p-diesel-2011-en-valencia-62295822-covo.aspx" TargetMode="External" Id="rId143"/><Relationship Type="http://schemas.openxmlformats.org/officeDocument/2006/relationships/hyperlink" Target="https://www.coches.net/peugeot-207-sport-16-hdi-110-3p-diesel-2008-en-valencia-71799891-covo.aspx" TargetMode="External" Id="rId144"/><Relationship Type="http://schemas.openxmlformats.org/officeDocument/2006/relationships/hyperlink" Target="https://www.coches.net/peugeot-207-gasolina-2009-en-valencia-71712964-covo.aspx" TargetMode="External" Id="rId145"/><Relationship Type="http://schemas.openxmlformats.org/officeDocument/2006/relationships/hyperlink" Target="https://www.coches.net/peugeot-207-urban-14-hdi-70-5p-diesel-2008-en-valencia-71680734-covo.aspx" TargetMode="External" Id="rId146"/><Relationship Type="http://schemas.openxmlformats.org/officeDocument/2006/relationships/hyperlink" Target="https://www.coches.net/peugeot-207-active-14i-75-5p-gasolina-2012-en-valencia-71674977-covo.aspx" TargetMode="External" Id="rId147"/><Relationship Type="http://schemas.openxmlformats.org/officeDocument/2006/relationships/hyperlink" Target="https://www.coches.net/peugeot-207-sport-14-vti-16v-95-3p-gasolina-2009-en-valencia-71608687-covo.aspx" TargetMode="External" Id="rId148"/><Relationship Type="http://schemas.openxmlformats.org/officeDocument/2006/relationships/hyperlink" Target="https://www.coches.net/peugeot-207-diesel-2008-en-valencia-71607247-covo.aspx" TargetMode="External" Id="rId149"/><Relationship Type="http://schemas.openxmlformats.org/officeDocument/2006/relationships/hyperlink" Target="https://www.coches.net/peugeot-207-14-75-urban-5p-gasolina-2008-en-valencia-71600206-covo.aspx" TargetMode="External" Id="rId150"/><Relationship Type="http://schemas.openxmlformats.org/officeDocument/2006/relationships/hyperlink" Target="https://www.coches.net/peugeot-207-confort-14-hdi-70-5p-diesel-2009-en-valencia-71499171-covo.aspx" TargetMode="External" Id="rId151"/><Relationship Type="http://schemas.openxmlformats.org/officeDocument/2006/relationships/hyperlink" Target="https://www.coches.net/peugeot-207-gasolina-2010-en-valencia-71658308-covo.aspx" TargetMode="External" Id="rId152"/><Relationship Type="http://schemas.openxmlformats.org/officeDocument/2006/relationships/hyperlink" Target="https://www.coches.net/peugeot-207-confort-14-75-5p-gasolina-2008-en-valencia-71372914-covo.aspx" TargetMode="External" Id="rId153"/><Relationship Type="http://schemas.openxmlformats.org/officeDocument/2006/relationships/hyperlink" Target="https://www.coches.net/peugeot-207-16thp-16v-gt-3p-gasolina-2008-en-valencia-71237986-covo.aspx" TargetMode="External" Id="rId154"/><Relationship Type="http://schemas.openxmlformats.org/officeDocument/2006/relationships/hyperlink" Target="https://www.coches.net/peugeot-207-diesel-2010-en-valencia-70477899-covo.aspx" TargetMode="External" Id="rId155"/><Relationship Type="http://schemas.openxmlformats.org/officeDocument/2006/relationships/hyperlink" Target="https://www.coches.net/peugeot-207-gasolina-2008-en-valencia-62317708-covo.aspx" TargetMode="External" Id="rId156"/><Relationship Type="http://schemas.openxmlformats.org/officeDocument/2006/relationships/hyperlink" Target="https://www.coches.net/peugeot-208-5p-active-14-hdi-68-5p-diesel-2014-en-valencia-71521071-covo.aspx" TargetMode="External" Id="rId157"/><Relationship Type="http://schemas.openxmlformats.org/officeDocument/2006/relationships/hyperlink" Target="https://www.coches.net/peugeot-208-5p-active-10l-puretech-68-5p-gasolina-2014-en-valencia-71855583-covo.aspx" TargetMode="External" Id="rId158"/><Relationship Type="http://schemas.openxmlformats.org/officeDocument/2006/relationships/hyperlink" Target="https://www.coches.net/peugeot-208-5p-allure-12-vti-82-5p-gasolina-2014-en-valencia-71665574-covo.aspx" TargetMode="External" Id="rId159"/><Relationship Type="http://schemas.openxmlformats.org/officeDocument/2006/relationships/hyperlink" Target="https://www.coches.net/peugeot-208-gasolina-2012-en-valencia-71427032-covo.aspx" TargetMode="External" Id="rId160"/><Relationship Type="http://schemas.openxmlformats.org/officeDocument/2006/relationships/hyperlink" Target="https://www.coches.net/peugeot-308-sport-16-hdi-90-3p-diesel-2007-en-valencia-70243275-covo.aspx" TargetMode="External" Id="rId161"/><Relationship Type="http://schemas.openxmlformats.org/officeDocument/2006/relationships/hyperlink" Target="https://www.coches.net/peugeot-308-premium-16-vti-120-5p-gasolina-2008-en-valencia-71721031-covo.aspx" TargetMode="External" Id="rId162"/><Relationship Type="http://schemas.openxmlformats.org/officeDocument/2006/relationships/hyperlink" Target="https://www.coches.net/peugeot-308-sport-16-vti-120-5p-gasolina-2009-en-valencia-71702102-covo.aspx" TargetMode="External" Id="rId163"/><Relationship Type="http://schemas.openxmlformats.org/officeDocument/2006/relationships/hyperlink" Target="https://www.coches.net/peugeot-308-premium-16-hdi-110-fap-5p-diesel-2008-en-valencia-70479283-covo.aspx" TargetMode="External" Id="rId164"/><Relationship Type="http://schemas.openxmlformats.org/officeDocument/2006/relationships/hyperlink" Target="https://www.coches.net/peugeot-308-diesel-2009-en-valencia-70283612-covo.aspx" TargetMode="External" Id="rId165"/><Relationship Type="http://schemas.openxmlformats.org/officeDocument/2006/relationships/hyperlink" Target="https://www.coches.net/citroen-c3-14-hdi-audace-5p-diesel-2005-en-valencia-71687389-covo.aspx" TargetMode="External" Id="rId166"/><Relationship Type="http://schemas.openxmlformats.org/officeDocument/2006/relationships/hyperlink" Target="https://www.coches.net/citroen-c3-puretech-82cv-collection-5p-gasolina-2015-en-valencia-71506230-covo.aspx" TargetMode="External" Id="rId167"/><Relationship Type="http://schemas.openxmlformats.org/officeDocument/2006/relationships/hyperlink" Target="https://www.coches.net/citroen-c3-diesel-2008-en-valencia-71537593-covo.aspx" TargetMode="External" Id="rId168"/><Relationship Type="http://schemas.openxmlformats.org/officeDocument/2006/relationships/hyperlink" Target="https://www.coches.net/citroen-c4-16-hdi-110-cool-5p-diesel-2005-en-valencia-71762226-covo.aspx" TargetMode="External" Id="rId169"/><Relationship Type="http://schemas.openxmlformats.org/officeDocument/2006/relationships/hyperlink" Target="https://www.coches.net/citroen-c4-14-16v-lx-5p-gasolina-2005-en-valencia-71580818-covo.aspx" TargetMode="External" Id="rId170"/><Relationship Type="http://schemas.openxmlformats.org/officeDocument/2006/relationships/hyperlink" Target="https://www.coches.net/citroen-c4-16-hdi-110-cool-3p-diesel-2005-en-valencia-71753988-covo.aspx" TargetMode="External" Id="rId171"/><Relationship Type="http://schemas.openxmlformats.org/officeDocument/2006/relationships/hyperlink" Target="https://www.coches.net/citroen-c4-16-hdi-90cv-business-5p-diesel-2011-en-valencia-71745617-covo.aspx" TargetMode="External" Id="rId172"/><Relationship Type="http://schemas.openxmlformats.org/officeDocument/2006/relationships/hyperlink" Target="https://www.coches.net/citroen-c4-16-hdi-90-lx-3p-diesel-2009-en-valencia-71678754-covo.aspx" TargetMode="External" Id="rId173"/><Relationship Type="http://schemas.openxmlformats.org/officeDocument/2006/relationships/hyperlink" Target="https://www.coches.net/citroen-c4-diesel-2009-en-valencia-71398379-covo.aspx" TargetMode="External" Id="rId174"/><Relationship Type="http://schemas.openxmlformats.org/officeDocument/2006/relationships/hyperlink" Target="https://www.coches.net/citroen-c4-diesel-2009-en-valencia-71230561-covo.aspx" TargetMode="External" Id="rId175"/><Relationship Type="http://schemas.openxmlformats.org/officeDocument/2006/relationships/hyperlink" Target="https://www.coches.net/citroen-c4-16-hdi-90-cool-5p-diesel-2010-en-valencia-70942339-covo.aspx" TargetMode="External" Id="rId176"/><Relationship Type="http://schemas.openxmlformats.org/officeDocument/2006/relationships/hyperlink" Target="https://www.coches.net/ford-ka-gasolina-2015-en-valencia-71672111-covo.aspx" TargetMode="External" Id="rId177"/><Relationship Type="http://schemas.openxmlformats.org/officeDocument/2006/relationships/hyperlink" Target="https://www.coches.net/ford-ka-12-trend-3p-gasolina-2010-en-valencia-71569576-covo.aspx" TargetMode="External" Id="rId178"/><Relationship Type="http://schemas.openxmlformats.org/officeDocument/2006/relationships/hyperlink" Target="https://www.coches.net/ford-ka-black-edition-13-tdci-autostartstop-3p-diesel-2012-en-valencia-70591603-covo.aspx" TargetMode="External" Id="rId179"/><Relationship Type="http://schemas.openxmlformats.org/officeDocument/2006/relationships/hyperlink" Target="https://www.coches.net/ford-fiesta-16-tdci-titanium-5p-diesel-2011-en-valencia-71866441-covo.aspx" TargetMode="External" Id="rId180"/><Relationship Type="http://schemas.openxmlformats.org/officeDocument/2006/relationships/hyperlink" Target="https://www.coches.net/ford-fiesta-14-tdci-trend-5p-diesel-2011-en-valencia-70592187-covo.aspx" TargetMode="External" Id="rId181"/><Relationship Type="http://schemas.openxmlformats.org/officeDocument/2006/relationships/hyperlink" Target="https://www.coches.net/ford-fiesta-14-tdci-trend-5p-diesel-2011-en-valencia-71146219-covo.aspx" TargetMode="External" Id="rId182"/><Relationship Type="http://schemas.openxmlformats.org/officeDocument/2006/relationships/hyperlink" Target="https://www.coches.net/ford-fiesta-16-tdci-dpf-trend-3p-diesel-2010-en-valencia-71812833-covo.aspx" TargetMode="External" Id="rId183"/><Relationship Type="http://schemas.openxmlformats.org/officeDocument/2006/relationships/hyperlink" Target="https://www.coches.net/ford-fiesta-16-sport-3p-gasolina-2008-en-valencia-71622303-covo.aspx" TargetMode="External" Id="rId184"/><Relationship Type="http://schemas.openxmlformats.org/officeDocument/2006/relationships/hyperlink" Target="https://www.coches.net/ford-fiesta-16-tdci-titanium-3p-diesel-2009-en-valencia-71620127-covo.aspx" TargetMode="External" Id="rId185"/><Relationship Type="http://schemas.openxmlformats.org/officeDocument/2006/relationships/hyperlink" Target="https://www.coches.net/ford-fiesta-diesel-2010-en-valencia-71531586-covo.aspx" TargetMode="External" Id="rId186"/><Relationship Type="http://schemas.openxmlformats.org/officeDocument/2006/relationships/hyperlink" Target="https://www.coches.net/ford-fiesta-15-tdci-75cv-trend-5p-5p-diesel-2011-en-valencia-71662762-covo.aspx" TargetMode="External" Id="rId187"/><Relationship Type="http://schemas.openxmlformats.org/officeDocument/2006/relationships/hyperlink" Target="https://www.coches.net/ford-fiesta-diesel-2010-en-valencia-71497287-covo.aspx" TargetMode="External" Id="rId188"/><Relationship Type="http://schemas.openxmlformats.org/officeDocument/2006/relationships/hyperlink" Target="https://www.coches.net/ford-fiesta-diesel-2011-en-valencia-71399583-covo.aspx" TargetMode="External" Id="rId189"/><Relationship Type="http://schemas.openxmlformats.org/officeDocument/2006/relationships/hyperlink" Target="https://www.coches.net/ford-fiesta-diesel-2008-en-valencia-71261001-covo.aspx" TargetMode="External" Id="rId190"/><Relationship Type="http://schemas.openxmlformats.org/officeDocument/2006/relationships/hyperlink" Target="https://www.coches.net/ford-fiesta-14-tdci-trend-5p-diesel-2010-en-valencia-71260438-covo.aspx" TargetMode="External" Id="rId191"/><Relationship Type="http://schemas.openxmlformats.org/officeDocument/2006/relationships/hyperlink" Target="https://www.coches.net/ford-fiesta-16-tdci-dpf-sport-match-3p-diesel-2012-en-valencia-70580860-covo.aspx" TargetMode="External" Id="rId192"/><Relationship Type="http://schemas.openxmlformats.org/officeDocument/2006/relationships/hyperlink" Target="https://www.coches.net/ford-focus-16-tdci-90-trend-5p-diesel-2009-en-valencia-71651802-covo.aspx" TargetMode="External" Id="rId193"/><Relationship Type="http://schemas.openxmlformats.org/officeDocument/2006/relationships/hyperlink" Target="https://www.coches.net/fiat-punto-12-active-e5-5p-gasolina-2009-en-valencia-71816544-covo.aspx" TargetMode="External" Id="rId194"/><Relationship Type="http://schemas.openxmlformats.org/officeDocument/2006/relationships/hyperlink" Target="https://www.coches.net/suzuki-swift-13-gl-3p-3p-gasolina-2009-en-valencia-71785002-covo.aspx" TargetMode="External" Id="rId195"/><Relationship Type="http://schemas.openxmlformats.org/officeDocument/2006/relationships/hyperlink" Target="https://www.coches.net/suzuki-alto-10-gl-5p-gasolina-2009-en-valencia-71388781-covo.aspx" TargetMode="External" Id="rId196"/><Relationship Type="http://schemas.openxmlformats.org/officeDocument/2006/relationships/hyperlink" Target="https://www.coches.net/chevrolet-aveo-13-75-cv-lt-4p-diesel-2013-en-valencia-71873466-covo.aspx" TargetMode="External" Id="rId197"/><Relationship Type="http://schemas.openxmlformats.org/officeDocument/2006/relationships/hyperlink" Target="https://www.coches.net/chevrolet-aveo-14-16v-ls-5p-gasolina-2010-en-valencia-71533850-covo.aspx" TargetMode="External" Id="rId198"/><Relationship Type="http://schemas.openxmlformats.org/officeDocument/2006/relationships/hyperlink" Target="https://www.coches.net/chevrolet-aveo-12-16v-ls-3p-gasolina-2011-en-valencia-71769865-covo.aspx" TargetMode="External" Id="rId199"/><Relationship Type="http://schemas.openxmlformats.org/officeDocument/2006/relationships/hyperlink" Target="https://www.coches.net/chevrolet-aveo-14-16v-ls-5p-gasolina-2010-en-valencia-71680921-covo.aspx" TargetMode="External" Id="rId200"/><Relationship Type="http://schemas.openxmlformats.org/officeDocument/2006/relationships/hyperlink" Target="https://www.coches.net/chevrolet-aveo-14-16v-ls-5p-gasolina-2009-en-valencia-71549713-covo.aspx" TargetMode="External" Id="rId201"/><Relationship Type="http://schemas.openxmlformats.org/officeDocument/2006/relationships/hyperlink" Target="https://www.coches.net/chevrolet-cruze-16-ls-clima-4p-gasolina-2011-en-valencia-71678496-covo.aspx" TargetMode="External" Id="rId202"/><Relationship Type="http://schemas.openxmlformats.org/officeDocument/2006/relationships/hyperlink" Target="https://www.coches.net/chevrolet-cruze-diesel-2011-en-valencia-71288999-covo.aspx" TargetMode="External" Id="rId203"/><Relationship Type="http://schemas.openxmlformats.org/officeDocument/2006/relationships/hyperlink" Target="https://es.wallapop.com/item/mazda-2-2011-1318257442" TargetMode="External" Id="rId204"/><Relationship Type="http://schemas.openxmlformats.org/officeDocument/2006/relationships/hyperlink" Target="https://www.ocasionplus.com/coches-segunda-mano/lancia-ypsilon-14-8v-platino-con-126555km-2007-b1himqaq" TargetMode="External" Id="rId205"/><Relationship Type="http://schemas.openxmlformats.org/officeDocument/2006/relationships/hyperlink" Target="https://www.ocasionplus.com/coches-segunda-mano/peugeot-107-10i-urban-con-150561km-2007-aynqvqai" TargetMode="External" Id="rId206"/><Relationship Type="http://schemas.openxmlformats.org/officeDocument/2006/relationships/hyperlink" Target="https://www.ocasionplus.com/coches-segunda-mano/renault-clio-confort-expression-dci-con-198577km-2006-b1sibqaa" TargetMode="External" Id="rId207"/><Relationship Type="http://schemas.openxmlformats.org/officeDocument/2006/relationships/hyperlink" Target="https://www.ocasionplus.com/coches-segunda-mano/renault-clio-14-16v-dynamique-con-106165km-2006-zgabhqan" TargetMode="External" Id="rId208"/><Relationship Type="http://schemas.openxmlformats.org/officeDocument/2006/relationships/hyperlink" Target="https://www.ocasionplus.com/coches-segunda-mano/seat-ibiza-14-tdi-reference-con-140744km-2007-ychajqan" TargetMode="External" Id="rId209"/><Relationship Type="http://schemas.openxmlformats.org/officeDocument/2006/relationships/hyperlink" Target="https://www.ocasionplus.com/coches-segunda-mano/ford-mondeo-20-tdci-ghia-con-142530km-2006-somqeqa3" TargetMode="External" Id="rId210"/><Relationship Type="http://schemas.openxmlformats.org/officeDocument/2006/relationships/hyperlink" Target="https://www.ocasionplus.com/coches-segunda-mano/seat-ibiza-14-16v-reference-con-70908km-2006-azeojqah" TargetMode="External" Id="rId211"/><Relationship Type="http://schemas.openxmlformats.org/officeDocument/2006/relationships/hyperlink" Target="https://www.ocasionplus.com/coches-segunda-mano/opel-corsa-12-enjoy-mta-con-112793km-2007-nu8qgqaj" TargetMode="External" Id="rId212"/><Relationship Type="http://schemas.openxmlformats.org/officeDocument/2006/relationships/hyperlink" Target="https://www.ocasionplus.com/coches-segunda-mano/fiat-panda-12-dynamic-con-213136km-2006" TargetMode="External" Id="rId213"/><Relationship Type="http://schemas.openxmlformats.org/officeDocument/2006/relationships/hyperlink" Target="https://www.autoscout24.es/anuncios/toyota-aygo-edition-gasolina-cat_ma70mo18655-b781a865-5dae-49bf-a729-21dc60e62642" TargetMode="External" Id="rId214"/><Relationship Type="http://schemas.openxmlformats.org/officeDocument/2006/relationships/hyperlink" Target="https://www.autoscout24.es/anuncios/toyota-avensis-wagon-1-8-sol-gasolina-cat_ma70mo15230-1a5a1cfa-8aa2-4eb2-becc-bd32ed1bb345" TargetMode="External" Id="rId215"/><Relationship Type="http://schemas.openxmlformats.org/officeDocument/2006/relationships/hyperlink" Target="https://www.autoscout24.es/anuncios/hyundai-i20-1-2-gasolina-100-emotion-gasolina-cat_ma33mo19188-a37432b1-37f1-494e-8619-bca54f407aa3" TargetMode="External" Id="rId216"/><Relationship Type="http://schemas.openxmlformats.org/officeDocument/2006/relationships/hyperlink" Target="https://www.coches.net/seat-ibiza-14-16v-75-cv-reference-5p-gasolina-2006-en-castellon-71437236-covo.aspx" TargetMode="External" Id="rId217"/><Relationship Type="http://schemas.openxmlformats.org/officeDocument/2006/relationships/hyperlink" Target="https://www.autoscout24.es/anuncios/volkswagen-polo-1-6tdi-advance-90-diesel-cat_ma74mo2090-e0bf78b3-f157-4a7c-8540-98e5e6f71788" TargetMode="External" Id="rId218"/><Relationship Type="http://schemas.openxmlformats.org/officeDocument/2006/relationships/hyperlink" Target="https://www.autoscout24.es/anuncios/volkswagen-golf-golf-1-6-highline-highline-gasolina-negro-cat_ma74mo2084-2422eae7-5387-42bd-9d60-aa5952b4a9ba" TargetMode="External" Id="rId219"/><Relationship Type="http://schemas.openxmlformats.org/officeDocument/2006/relationships/hyperlink" Target="https://www.autoscout24.es/anuncios/opel-meriva-meriva-1-7cdti-enjoy-enjoy-diesel-azul-cat_ma54mo18341-9824a598-2929-4b45-beea-6d5dc70af795" TargetMode="External" Id="rId220"/><Relationship Type="http://schemas.openxmlformats.org/officeDocument/2006/relationships/hyperlink" Target="https://www.autoscout24.es/anuncios/opel-meriva-1-7cdti-cosmo-110-diesel-blanco-cat_ma54mo18341-5db2cfac-b438-4efe-865b-c5e5c9526f20" TargetMode="External" Id="rId221"/><Relationship Type="http://schemas.openxmlformats.org/officeDocument/2006/relationships/hyperlink" Target="https://www.autoscout24.es/anuncios/opel-corsa-corsa-1-3cdti-c-mon-ecof-105co2-c-mon-diesel-blanco-cat_ma54mo1918-3e636209-0702-4864-af84-d7cdcaf23036" TargetMode="External" Id="rId222"/><Relationship Type="http://schemas.openxmlformats.org/officeDocument/2006/relationships/hyperlink" Target="https://www.autoscout24.es/anuncios/opel-astra-gtc-1-6-16v-enjoy-gasolina-cat_ma54mo1916-b8d0034e-0169-4e4e-8df5-96a140c9fcf9" TargetMode="External" Id="rId223"/><Relationship Type="http://schemas.openxmlformats.org/officeDocument/2006/relationships/hyperlink" Target="https://www.autoscout24.es/anuncios/opel-meriva-1-6-cdti-ecoflex-start-stop-edition-diesel-blanco-cat_ma54mo18341-1cca5cad-4cf0-4244-9080-00062bf7841d" TargetMode="External" Id="rId224"/><Relationship Type="http://schemas.openxmlformats.org/officeDocument/2006/relationships/hyperlink" Target="https://www.autoscout24.es/anuncios/opel-corsa-manual-gasolina-blanco-cat_ma54mo1918-16231333-d29d-407b-b721-6f4bf3ddfcdb" TargetMode="External" Id="rId225"/><Relationship Type="http://schemas.openxmlformats.org/officeDocument/2006/relationships/hyperlink" Target="https://www.autoscout24.es/anuncios/renault-clio-grand-tour-1-5dci-tom-tom-edition-85-diesel-negro-cat_ma60mo1961-260eace1-1e59-41f7-8463-28cceb82e543" TargetMode="External" Id="rId226"/><Relationship Type="http://schemas.openxmlformats.org/officeDocument/2006/relationships/hyperlink" Target="https://www.autoscout24.es/anuncios/peugeot-107-1-4-hdi-urban-move-diesel-cat_ma55mo18647-77c5d0eb-673d-4670-80bf-3ccde04d43f6" TargetMode="External" Id="rId227"/><Relationship Type="http://schemas.openxmlformats.org/officeDocument/2006/relationships/hyperlink" Target="https://www.autoscout24.es/anuncios/peugeot-407-407-2-0-st-confort-confort-gasolina-azul-cat_ma55mo18421-ebf476c8-6b0f-497f-aefa-69d270e58cfc" TargetMode="External" Id="rId228"/><Relationship Type="http://schemas.openxmlformats.org/officeDocument/2006/relationships/hyperlink" Target="https://es.wallapop.com/item/peugeot-208-peugeot-208-5p-style-1-4-hdi-68-1292118678" TargetMode="External" Id="rId229"/><Relationship Type="http://schemas.openxmlformats.org/officeDocument/2006/relationships/hyperlink" Target="https://www.autoscout24.es/anuncios/citroen-c4-picasso-1-6-vti-seduction-gasolina-gris-cat_ma21mo18545-5841fd8c-320a-4c8a-a7c4-7b12eb8db74e" TargetMode="External" Id="rId230"/><Relationship Type="http://schemas.openxmlformats.org/officeDocument/2006/relationships/hyperlink" Target="https://www.autoscout24.es/anuncios/citroen-c4-picasso-1-6hdi-exclusive-cmp-diesel-negro-cat_ma21mo18545-9a3e3dec-8321-4094-b277-fe9fc477dc7e" TargetMode="External" Id="rId231"/><Relationship Type="http://schemas.openxmlformats.org/officeDocument/2006/relationships/hyperlink" Target="https://www.autoscout24.es/anuncios/citroen-c2-1-4-16v-senso-drive-stop-und-start-gasolina-cat_ma21mo18373-fbeb66a7-87cc-4112-9996-60701a77054b" TargetMode="External" Id="rId232"/><Relationship Type="http://schemas.openxmlformats.org/officeDocument/2006/relationships/hyperlink" Target="https://www.autoscout24.es/anuncios/citroen-c3-1-4hdi-collection-diesel-azul-cat_ma21mo18264-e2ed9b2f-4d2e-4a7a-9e18-b1695019c69f" TargetMode="External" Id="rId233"/><Relationship Type="http://schemas.openxmlformats.org/officeDocument/2006/relationships/hyperlink" Target="https://www.autoscout24.es/anuncios/citroen-c3-1-4i-16v-exclusive-gasolina-azul-cat_ma21mo18264-b12d74bc-f99b-46aa-8160-c375b65746c5" TargetMode="External" Id="rId234"/><Relationship Type="http://schemas.openxmlformats.org/officeDocument/2006/relationships/hyperlink" Target="https://www.autoscout24.es/anuncios/citroen-c4-c4-1-6hdi-lx-lx-diesel-gris-cat_ma21mo18545-5c9e0074-ea85-4d16-9b22-94efbaa4a6fd" TargetMode="External" Id="rId235"/><Relationship Type="http://schemas.openxmlformats.org/officeDocument/2006/relationships/hyperlink" Target="https://www.autoscout24.es/anuncios/citroen-c4-1-6i-16v-lx-110-gasolina-cat_ma21mo18545-94a6ff88-25cc-426f-9425-4b78bc733e4e" TargetMode="External" Id="rId236"/><Relationship Type="http://schemas.openxmlformats.org/officeDocument/2006/relationships/hyperlink" Target="https://www.autoscout24.es/anuncios/citroen-c3-1-4hdi-exclusive-diesel-cat_ma21mo18264-04992b7a-8b3a-4ac5-b727-0409a55be446" TargetMode="External" Id="rId237"/><Relationship Type="http://schemas.openxmlformats.org/officeDocument/2006/relationships/hyperlink" Target="https://www.autoscout24.es/anuncios/ford-mondeo-2-2tdci-trend-diesel-cat_ma29mo1763-7ab236a3-1b93-42f3-bf06-cf71c62f8fab" TargetMode="External" Id="rId238"/><Relationship Type="http://schemas.openxmlformats.org/officeDocument/2006/relationships/hyperlink" Target="https://www.coches.net/ford-focus-18-tdci-ghia-4p-diesel-2007-en-valencia-71753984-covo.aspx" TargetMode="External" Id="rId239"/><Relationship Type="http://schemas.openxmlformats.org/officeDocument/2006/relationships/hyperlink" Target="https://www.autoscout24.es/anuncios/ford-focus-1-6-tdci-econetic-titanium-99g-diesel-cat_ma29mo15537-58a596ea-f50f-4c4e-8238-678ce382e9fd" TargetMode="External" Id="rId240"/><Relationship Type="http://schemas.openxmlformats.org/officeDocument/2006/relationships/hyperlink" Target="https://www.autoscout24.es/anuncios/ford-fiesta-fiesta-1-4tdci-newport-durashift-est-newport-diesel-negro-cat_ma29mo1758-76e6b1f4-44b8-4167-8015-2029b7465250" TargetMode="External" Id="rId241"/><Relationship Type="http://schemas.openxmlformats.org/officeDocument/2006/relationships/hyperlink" Target="https://www.autoscout24.es/anuncios/ford-focus-focus-2-0i-16v-trend-trend-gasolina-azul-cat_ma29mo15537-741792f4-6695-4e03-be4d-e3507e1dd9d4" TargetMode="External" Id="rId242"/><Relationship Type="http://schemas.openxmlformats.org/officeDocument/2006/relationships/hyperlink" Target="https://www.autoscout24.es/anuncios/ford-focus-1-6-ghia-115-gasolina-negro-cat_ma29mo15537-83c91b8f-ded0-4180-8192-3d0f5fa77558" TargetMode="External" Id="rId243"/><Relationship Type="http://schemas.openxmlformats.org/officeDocument/2006/relationships/hyperlink" Target="https://www.autoscout24.es/anuncios/ford-focus-1-8tdci-trend-diesel-plateado-cat_ma29mo15537-309efac1-c1bf-44d7-9fec-a231f0fb8dd4" TargetMode="External" Id="rId244"/><Relationship Type="http://schemas.openxmlformats.org/officeDocument/2006/relationships/hyperlink" Target="https://www.autoscout24.es/anuncios/nissan-pixo-1-0-acenta-gasolina-rojo-cat_ma52mo19222-7c82171e-675b-4fab-b114-97b5d9d6543d" TargetMode="External" Id="rId245"/><Relationship Type="http://schemas.openxmlformats.org/officeDocument/2006/relationships/hyperlink" Target="https://www.autoscout24.es/anuncios/nissan-micra-c+c-1-4i-tekna-gasolina-plateado-cat_ma52mo1904-14c4abf7-f10e-4e2e-8196-6f9a04f367f5" TargetMode="External" Id="rId246"/><Relationship Type="http://schemas.openxmlformats.org/officeDocument/2006/relationships/hyperlink" Target="https://www.autoscout24.es/anuncios/chevrolet-kalos-se-kalos-1-2-se-gasolina-rojo-cat_ma19mo18571-92c830e4-62a3-48b4-a4f3-381b86572a9a" TargetMode="External" Id="rId247"/><Relationship Type="http://schemas.openxmlformats.org/officeDocument/2006/relationships/hyperlink" Target="https://www.autoscout24.es/anuncios/chevrolet-cruze-2-0vcdi-lt+-clima-diesel-blanco-cat_ma19mo19172-71abdbb4-80a2-4744-b90c-ca00a2a9d98c" TargetMode="External" Id="rId248"/><Relationship Type="http://schemas.openxmlformats.org/officeDocument/2006/relationships/hyperlink" Target="https://www.autoscout24.es/anuncios/chevrolet-kalos-1-4-16v-sx-gasolina-rojo-cat_ma19mo18571-3c813df0-fdf9-4779-88cc-cd1d22b47c92" TargetMode="External" Id="rId249"/><Relationship Type="http://schemas.openxmlformats.org/officeDocument/2006/relationships/hyperlink" Target="https://www.autoscout24.es/anuncios/chevrolet-aveo-1-2-16v-ls-gasolina-blanco-cat_ma19mo18685-cb92863f-e240-4427-af20-4d726bf3e8c3" TargetMode="External" Id="rId250"/><Relationship Type="http://schemas.openxmlformats.org/officeDocument/2006/relationships/hyperlink" Target="https://www.coches.net/toyota-yaris-13-vvti-yaris-3p-gasolina-2007-en-valencia-71855647-covo.aspx" TargetMode="External" Id="rId251"/><Relationship Type="http://schemas.openxmlformats.org/officeDocument/2006/relationships/hyperlink" Target="https://www.coches.net/toyota-yaris-gasolina-2007-en-valencia-71676237-covo.aspx" TargetMode="External" Id="rId252"/><Relationship Type="http://schemas.openxmlformats.org/officeDocument/2006/relationships/hyperlink" Target="https://www.coches.net/toyota-yaris-14-d4d-sol-5p-diesel-2006-en-valencia-71318056-covo.aspx" TargetMode="External" Id="rId253"/><Relationship Type="http://schemas.openxmlformats.org/officeDocument/2006/relationships/hyperlink" Target="https://www.coches.net/toyota-yaris-13-vvti-yaris-5p-gasolina-2007-en-valencia-71279379-covo.aspx" TargetMode="External" Id="rId254"/><Relationship Type="http://schemas.openxmlformats.org/officeDocument/2006/relationships/hyperlink" Target="https://www.coches.net/toyota-corolla-16-vvti-luna-5p-gasolina-2006-en-valencia-71774731-covo.aspx" TargetMode="External" Id="rId255"/><Relationship Type="http://schemas.openxmlformats.org/officeDocument/2006/relationships/hyperlink" Target="https://www.coches.net/toyota-aygo-10-vvti-aygo-5p-gasolina-2007-en-valencia-71488801-covo.aspx" TargetMode="External" Id="rId256"/><Relationship Type="http://schemas.openxmlformats.org/officeDocument/2006/relationships/hyperlink" Target="https://www.coches.net/toyota-aygo-gasolina-2006-en-valencia-71690212-covo.aspx" TargetMode="External" Id="rId257"/><Relationship Type="http://schemas.openxmlformats.org/officeDocument/2006/relationships/hyperlink" Target="https://www.coches.net/toyota-avensis-20-d4d-sol-wagon-5p-diesel-2011-en-valencia-71838975-covo.aspx" TargetMode="External" Id="rId258"/><Relationship Type="http://schemas.openxmlformats.org/officeDocument/2006/relationships/hyperlink" Target="https://www.coches.net/toyota-avensis-22-d4d-executive-5p-diesel-2008-en-valencia-70377758-covo.aspx" TargetMode="External" Id="rId259"/><Relationship Type="http://schemas.openxmlformats.org/officeDocument/2006/relationships/hyperlink" Target="https://www.coches.net/honda-jazz-gasolina-2008-en-valencia-71368442-covo.aspx" TargetMode="External" Id="rId260"/><Relationship Type="http://schemas.openxmlformats.org/officeDocument/2006/relationships/hyperlink" Target="https://www.coches.net/mazda-mazda2-active-14-crtd-5p-diesel-2007-en-valencia-71732041-covo.aspx" TargetMode="External" Id="rId261"/><Relationship Type="http://schemas.openxmlformats.org/officeDocument/2006/relationships/hyperlink" Target="https://www.coches.net/mazda-mazda2-active-13-5p-gasolina-2007-en-valencia-71822936-covo.aspx" TargetMode="External" Id="rId262"/><Relationship Type="http://schemas.openxmlformats.org/officeDocument/2006/relationships/hyperlink" Target="https://www.coches.net/kia-picanto-11-sohc-lx-5p-gasolina-2007-en-valencia-71778568-covo.aspx" TargetMode="External" Id="rId263"/><Relationship Type="http://schemas.openxmlformats.org/officeDocument/2006/relationships/hyperlink" Target="https://www.coches.net/kia-picanto-11-sohc-ex-5p-gasolina-2006-en-valencia-71687938-covo.aspx" TargetMode="External" Id="rId264"/><Relationship Type="http://schemas.openxmlformats.org/officeDocument/2006/relationships/hyperlink" Target="https://www.coches.net/kia-ceed-16-crdi-115cv-emotion-5p-diesel-2009-en-valencia-71704887-covo.aspx" TargetMode="External" Id="rId265"/><Relationship Type="http://schemas.openxmlformats.org/officeDocument/2006/relationships/hyperlink" Target="https://www.coches.net/hyundai-matrix-15-16v-crdi-110cv-gls-full-5p-diesel-2005-en-valencia-71871606-covo.aspx" TargetMode="External" Id="rId266"/><Relationship Type="http://schemas.openxmlformats.org/officeDocument/2006/relationships/hyperlink" Target="https://www.coches.net/hyundai-matrix-15-16v-crdi-110cv-gls-full-5p-diesel-2005-en-valencia-71817936-covo.aspx" TargetMode="External" Id="rId267"/><Relationship Type="http://schemas.openxmlformats.org/officeDocument/2006/relationships/hyperlink" Target="https://www.coches.net/hyundai-getz-15-crdi-88cv-5p-diesel-2005-en-valencia-71863815-covo.aspx" TargetMode="External" Id="rId268"/><Relationship Type="http://schemas.openxmlformats.org/officeDocument/2006/relationships/hyperlink" Target="https://www.coches.net/hyundai-i30-14-gls-fde-comfort-5p-gasolina-2010-en-valencia-71864447-covo.aspx" TargetMode="External" Id="rId269"/><Relationship Type="http://schemas.openxmlformats.org/officeDocument/2006/relationships/hyperlink" Target="https://www.coches.net/skoda-fabia-combi-14-tdi-80cv-comfort-5p-diesel-2006-en-valencia-71790682-covo.aspx" TargetMode="External" Id="rId270"/><Relationship Type="http://schemas.openxmlformats.org/officeDocument/2006/relationships/hyperlink" Target="https://www.coches.net/skoda-fabia-12-tdi-cr-75cv-greenline-5p-diesel-2011-en-valencia-71654076-covo.aspx" TargetMode="External" Id="rId271"/><Relationship Type="http://schemas.openxmlformats.org/officeDocument/2006/relationships/hyperlink" Target="https://www.coches.net/skoda-citigo-10-mpi-60cv-ambition-3p-gasolina-2015-en-valencia-71648429-covo.aspx" TargetMode="External" Id="rId272"/><Relationship Type="http://schemas.openxmlformats.org/officeDocument/2006/relationships/hyperlink" Target="https://www.coches.net/skoda-fabia-sedan-14-tdi-80cv-comfort-4p-diesel-2006-en-valencia-71619015-covo.aspx" TargetMode="External" Id="rId273"/><Relationship Type="http://schemas.openxmlformats.org/officeDocument/2006/relationships/hyperlink" Target="https://www.coches.net/skoda-fabia-gasolina-2006-en-valencia-71668261-covo.aspx" TargetMode="External" Id="rId274"/><Relationship Type="http://schemas.openxmlformats.org/officeDocument/2006/relationships/hyperlink" Target="https://www.coches.net/skoda-superb-diesel-2010-en-valencia-71594775-covo.aspx" TargetMode="External" Id="rId275"/><Relationship Type="http://schemas.openxmlformats.org/officeDocument/2006/relationships/hyperlink" Target="https://www.coches.net/skoda-citigo-10-mpi-60cv-active-5p-gasolina-2013-en-valencia-71322051-covo.aspx" TargetMode="External" Id="rId276"/><Relationship Type="http://schemas.openxmlformats.org/officeDocument/2006/relationships/hyperlink" Target="https://www.coches.net/seat-ibiza-19-tdi-100cv-sport-5p-diesel-2008-en-valencia-71867781-covo.aspx" TargetMode="External" Id="rId277"/><Relationship Type="http://schemas.openxmlformats.org/officeDocument/2006/relationships/hyperlink" Target="https://www.coches.net/seat-altea-xl-16-tdi-105cv-eecomotive-style-5p-diesel-2012-en-valencia-71091584-covo.aspx" TargetMode="External" Id="rId278"/><Relationship Type="http://schemas.openxmlformats.org/officeDocument/2006/relationships/hyperlink" Target="https://www.coches.net/seat-ibiza-sc-16-tdi-105cv-sport-dpf-3p-diesel-2011-en-valencia-71785299-covo.aspx" TargetMode="External" Id="rId279"/><Relationship Type="http://schemas.openxmlformats.org/officeDocument/2006/relationships/hyperlink" Target="https://www.coches.net/seat-ibiza-14-16v-85cv-sport-5p-gasolina-2009-en-valencia-71775991-covo.aspx" TargetMode="External" Id="rId280"/><Relationship Type="http://schemas.openxmlformats.org/officeDocument/2006/relationships/hyperlink" Target="https://www.coches.net/seat-ibiza-st-12-tdi-75cv-reference-eecomotive-5p-diesel-2011-en-valencia-71655875-covo.aspx" TargetMode="External" Id="rId281"/><Relationship Type="http://schemas.openxmlformats.org/officeDocument/2006/relationships/hyperlink" Target="https://www.coches.net/seat-ibiza-st-12-tdi-75cv-reference-eecomotive-5p-diesel-2011-en-valencia-71656011-covo.aspx" TargetMode="External" Id="rId282"/><Relationship Type="http://schemas.openxmlformats.org/officeDocument/2006/relationships/hyperlink" Target="https://www.coches.net/seat-ibiza-diesel-2007-en-valencia-71575805-covo.aspx" TargetMode="External" Id="rId283"/><Relationship Type="http://schemas.openxmlformats.org/officeDocument/2006/relationships/hyperlink" Target="https://www.coches.net/seat-leon-20-fsi-150cv-tiptronic-sport-up-5p-gasolina-2009-en-valencia-70849377-covo.aspx" TargetMode="External" Id="rId284"/><Relationship Type="http://schemas.openxmlformats.org/officeDocument/2006/relationships/hyperlink" Target="https://www.coches.net/seat-leon-diesel-2011-en-valencia-71667405-covo.aspx" TargetMode="External" Id="rId285"/><Relationship Type="http://schemas.openxmlformats.org/officeDocument/2006/relationships/hyperlink" Target="https://www.coches.net/seat-leon-diesel-2008-en-valencia-71615876-covo.aspx" TargetMode="External" Id="rId286"/><Relationship Type="http://schemas.openxmlformats.org/officeDocument/2006/relationships/hyperlink" Target="https://www.coches.net/volkswagen-polo-12-edition-70cv-5p-gasolina-2008-en-valencia-71866787-covo.aspx" TargetMode="External" Id="rId287"/><Relationship Type="http://schemas.openxmlformats.org/officeDocument/2006/relationships/hyperlink" Target="https://www.coches.net/volkswagen-polo-14-united-80cv-5p-gasolina-2007-en-valencia-71770392-covo.aspx" TargetMode="External" Id="rId288"/><Relationship Type="http://schemas.openxmlformats.org/officeDocument/2006/relationships/hyperlink" Target="https://www.coches.net/volkswagen-polo-14-tdi-advance-80cv-5p-diesel-2007-en-valencia-71751370-covo.aspx" TargetMode="External" Id="rId289"/><Relationship Type="http://schemas.openxmlformats.org/officeDocument/2006/relationships/hyperlink" Target="https://www.coches.net/volkswagen-polo-14-match-80cv-5p-gasolina-2006-en-valencia-71746730-covo.aspx" TargetMode="External" Id="rId290"/><Relationship Type="http://schemas.openxmlformats.org/officeDocument/2006/relationships/hyperlink" Target="https://www.coches.net/volkswagen-polo-gasolina-2007-en-valencia-71357112-covo.aspx" TargetMode="External" Id="rId291"/><Relationship Type="http://schemas.openxmlformats.org/officeDocument/2006/relationships/hyperlink" Target="https://www.coches.net/volkswagen-polo-14-tdi-edition-70cv-5p-diesel-2007-en-valencia-71302718-covo.aspx" TargetMode="External" Id="rId292"/><Relationship Type="http://schemas.openxmlformats.org/officeDocument/2006/relationships/hyperlink" Target="https://www.coches.net/opel-corsa-enjoy-12-5p-gasolina-2008-en-valencia-71806576-covo.aspx" TargetMode="External" Id="rId293"/><Relationship Type="http://schemas.openxmlformats.org/officeDocument/2006/relationships/hyperlink" Target="https://www.coches.net/opel-corsa-enjoy-12-3p-gasolina-2007-en-valencia-71790451-covo.aspx" TargetMode="External" Id="rId294"/><Relationship Type="http://schemas.openxmlformats.org/officeDocument/2006/relationships/hyperlink" Target="https://www.coches.net/opel-corsa-13-ecoflex-cosmo-5p-diesel-2010-en-valencia-71818280-covo.aspx" TargetMode="External" Id="rId295"/><Relationship Type="http://schemas.openxmlformats.org/officeDocument/2006/relationships/hyperlink" Target="https://www.coches.net/opel-corsa-14-selective-start--stop-5p-gasolina-2014-en-valencia-71305472-covo.aspx" TargetMode="External" Id="rId296"/><Relationship Type="http://schemas.openxmlformats.org/officeDocument/2006/relationships/hyperlink" Target="https://www.coches.net/opel-corsa-enjoy-13-cdti-5p-diesel-2007-en-valencia-71798842-covo.aspx" TargetMode="External" Id="rId297"/><Relationship Type="http://schemas.openxmlformats.org/officeDocument/2006/relationships/hyperlink" Target="https://www.coches.net/opel-corsa-enjoy-13-cdti-90-cv-5p-diesel-2007-en-valencia-71860185-covo.aspx" TargetMode="External" Id="rId298"/><Relationship Type="http://schemas.openxmlformats.org/officeDocument/2006/relationships/hyperlink" Target="https://www.coches.net/opel-corsa-13-cdti-color-edition-3p-diesel-2012-en-valencia-71248981-covo.aspx" TargetMode="External" Id="rId299"/><Relationship Type="http://schemas.openxmlformats.org/officeDocument/2006/relationships/hyperlink" Target="https://www.coches.net/opel-corsa-12-expression-start--stop-5p-gasolina-2014-en-valencia-71580711-covo.aspx" TargetMode="External" Id="rId300"/><Relationship Type="http://schemas.openxmlformats.org/officeDocument/2006/relationships/hyperlink" Target="https://www.coches.net/opel-corsa-diesel-2006-en-valencia-71509899-covo.aspx" TargetMode="External" Id="rId301"/><Relationship Type="http://schemas.openxmlformats.org/officeDocument/2006/relationships/hyperlink" Target="https://www.coches.net/opel-corsa-diesel-2012-en-valencia-71502646-covo.aspx" TargetMode="External" Id="rId302"/><Relationship Type="http://schemas.openxmlformats.org/officeDocument/2006/relationships/hyperlink" Target="https://www.coches.net/opel-corsa-gasolina-2007-en-valencia-71474135-covo.aspx" TargetMode="External" Id="rId303"/><Relationship Type="http://schemas.openxmlformats.org/officeDocument/2006/relationships/hyperlink" Target="https://www.coches.net/opel-corsa-enjoy-12-mta-3p-gasolina-2006-en-valencia-71439003-covo.aspx" TargetMode="External" Id="rId304"/><Relationship Type="http://schemas.openxmlformats.org/officeDocument/2006/relationships/hyperlink" Target="https://www.coches.net/opel-corsa-12-essentia-5p-gasolina-2011-en-valencia-71385917-covo.aspx" TargetMode="External" Id="rId305"/><Relationship Type="http://schemas.openxmlformats.org/officeDocument/2006/relationships/hyperlink" Target="https://es.wallapop.com/item/kia-picanto-2006-1242429631" TargetMode="External" Id="rId306"/><Relationship Type="http://schemas.openxmlformats.org/officeDocument/2006/relationships/hyperlink" Target="https://es.wallapop.com/item/kia-picanto-1-1-active-48-kw-65-cv-1286345810" TargetMode="External" Id="rId307"/><Relationship Type="http://schemas.openxmlformats.org/officeDocument/2006/relationships/hyperlink" Target="https://es.wallapop.com/item/hyundai-i20-2009-1313372043" TargetMode="External" Id="rId308"/><Relationship Type="http://schemas.openxmlformats.org/officeDocument/2006/relationships/hyperlink" Target="https://es.wallapop.com/item/seat-ibiza-2006-1316295468" TargetMode="External" Id="rId309"/><Relationship Type="http://schemas.openxmlformats.org/officeDocument/2006/relationships/hyperlink" Target="https://es.wallapop.com/item/seat-ibiza-2006-1316076190" TargetMode="External" Id="rId310"/><Relationship Type="http://schemas.openxmlformats.org/officeDocument/2006/relationships/hyperlink" Target="https://es.wallapop.com/item/seat-ibiza-2008-1306122565" TargetMode="External" Id="rId311"/><Relationship Type="http://schemas.openxmlformats.org/officeDocument/2006/relationships/hyperlink" Target="https://es.wallapop.com/item/seat-leon-2010-1318819738" TargetMode="External" Id="rId312"/><Relationship Type="http://schemas.openxmlformats.org/officeDocument/2006/relationships/hyperlink" Target="https://es.wallapop.com/item/seat-leon-2006-1316858354" TargetMode="External" Id="rId313"/><Relationship Type="http://schemas.openxmlformats.org/officeDocument/2006/relationships/hyperlink" Target="https://es.wallapop.com/item/seat-leon-2007-1287440903" TargetMode="External" Id="rId314"/><Relationship Type="http://schemas.openxmlformats.org/officeDocument/2006/relationships/hyperlink" Target="https://es.wallapop.com/item/seat-leon-2009-1318871284" TargetMode="External" Id="rId315"/><Relationship Type="http://schemas.openxmlformats.org/officeDocument/2006/relationships/hyperlink" Target="https://es.wallapop.com/item/seat-altea-2006-1304310944" TargetMode="External" Id="rId316"/><Relationship Type="http://schemas.openxmlformats.org/officeDocument/2006/relationships/hyperlink" Target="https://es.wallapop.com/item/seat-altea-xl-1-9-tdi-105cv-unico-dueno-1302295708" TargetMode="External" Id="rId317"/><Relationship Type="http://schemas.openxmlformats.org/officeDocument/2006/relationships/hyperlink" Target="https://es.wallapop.com/item/seat-toledo-2007-1279575310" TargetMode="External" Id="rId318"/><Relationship Type="http://schemas.openxmlformats.org/officeDocument/2006/relationships/hyperlink" Target="https://es.wallapop.com/item/seat-toledo-2015-1253040643" TargetMode="External" Id="rId319"/><Relationship Type="http://schemas.openxmlformats.org/officeDocument/2006/relationships/hyperlink" Target="https://es.wallapop.com/item/volkswagen-polo-2006-1315532131" TargetMode="External" Id="rId320"/><Relationship Type="http://schemas.openxmlformats.org/officeDocument/2006/relationships/hyperlink" Target="https://es.wallapop.com/item/volkswagen-polo-2011-1314487131" TargetMode="External" Id="rId321"/><Relationship Type="http://schemas.openxmlformats.org/officeDocument/2006/relationships/hyperlink" Target="https://es.wallapop.com/item/opel-corsa-2014-1309392405" TargetMode="External" Id="rId322"/><Relationship Type="http://schemas.openxmlformats.org/officeDocument/2006/relationships/hyperlink" Target="https://es.wallapop.com/item/opel-corsa-2011-1318256126" TargetMode="External" Id="rId323"/><Relationship Type="http://schemas.openxmlformats.org/officeDocument/2006/relationships/hyperlink" Target="https://es.wallapop.com/item/opel-corsa-1-2-111-years-63-kw-85-cv-1316246339" TargetMode="External" Id="rId324"/><Relationship Type="http://schemas.openxmlformats.org/officeDocument/2006/relationships/hyperlink" Target="https://es.wallapop.com/item/opel-corsa-2006-1211831015" TargetMode="External" Id="rId325"/><Relationship Type="http://schemas.openxmlformats.org/officeDocument/2006/relationships/hyperlink" Target="https://es.wallapop.com/item/opel-astra-2006-twinport-1-6-1317003992" TargetMode="External" Id="rId326"/><Relationship Type="http://schemas.openxmlformats.org/officeDocument/2006/relationships/hyperlink" Target="https://es.wallapop.com/item/opel-astra-2008-1314718258" TargetMode="External" Id="rId327"/><Relationship Type="http://schemas.openxmlformats.org/officeDocument/2006/relationships/hyperlink" Target="https://es.wallapop.com/item/opel-astra-2010-diesel-cdti-1259878820" TargetMode="External" Id="rId328"/><Relationship Type="http://schemas.openxmlformats.org/officeDocument/2006/relationships/hyperlink" Target="https://www.coches.net/opel-astra-17-cdti-enjoy-5p-diesel-2007-en-valencia-71795199-covo.aspx" TargetMode="External" Id="rId329"/><Relationship Type="http://schemas.openxmlformats.org/officeDocument/2006/relationships/hyperlink" Target="https://es.wallapop.com/item/opel-astra-2007-1307336090" TargetMode="External" Id="rId330"/><Relationship Type="http://schemas.openxmlformats.org/officeDocument/2006/relationships/hyperlink" Target="https://es.wallapop.com/item/opel-astra-1-7-cdti-enjoy-74-kw-100-cv-1302134212" TargetMode="External" Id="rId331"/><Relationship Type="http://schemas.openxmlformats.org/officeDocument/2006/relationships/hyperlink" Target="https://es.wallapop.com/item/opel-astra-2006-1315853152" TargetMode="External" Id="rId332"/><Relationship Type="http://schemas.openxmlformats.org/officeDocument/2006/relationships/hyperlink" Target="https://es.wallapop.com/item/toyota-chr-1232504060" TargetMode="External" Id="rId333"/><Relationship Type="http://schemas.openxmlformats.org/officeDocument/2006/relationships/hyperlink" Target="https://es.wallapop.com/item/opel-astra-h-1300568626" TargetMode="External" Id="rId334"/><Relationship Type="http://schemas.openxmlformats.org/officeDocument/2006/relationships/hyperlink" Target="https://es.wallapop.com/item/opel-astra-2006-1265374448" TargetMode="External" Id="rId335"/><Relationship Type="http://schemas.openxmlformats.org/officeDocument/2006/relationships/hyperlink" Target="https://es.wallapop.com/item/opel-astra-2009-1315298326" TargetMode="External" Id="rId336"/><Relationship Type="http://schemas.openxmlformats.org/officeDocument/2006/relationships/hyperlink" Target="https://es.wallapop.com/item/renault-clio-2007-1316981731" TargetMode="External" Id="rId337"/><Relationship Type="http://schemas.openxmlformats.org/officeDocument/2006/relationships/hyperlink" Target="https://es.wallapop.com/item/renault-clio-1-6-16v-exception2-auto-82-kw-110-cv-1314881088" TargetMode="External" Id="rId338"/><Relationship Type="http://schemas.openxmlformats.org/officeDocument/2006/relationships/hyperlink" Target="https://es.wallapop.com/item/renault-clio-2008-1284104067" TargetMode="External" Id="rId339"/><Relationship Type="http://schemas.openxmlformats.org/officeDocument/2006/relationships/hyperlink" Target="https://es.wallapop.com/item/renault-clio-2006-1250621648" TargetMode="External" Id="rId340"/><Relationship Type="http://schemas.openxmlformats.org/officeDocument/2006/relationships/hyperlink" Target="https://es.wallapop.com/item/renault-clio-2007-1317117001" TargetMode="External" Id="rId341"/><Relationship Type="http://schemas.openxmlformats.org/officeDocument/2006/relationships/hyperlink" Target="https://es.wallapop.com/item/renault-megane-2007-1316972840" TargetMode="External" Id="rId342"/><Relationship Type="http://schemas.openxmlformats.org/officeDocument/2006/relationships/hyperlink" Target="https://es.wallapop.com/item/renault-megane-1-6-16v-1316457370" TargetMode="External" Id="rId343"/><Relationship Type="http://schemas.openxmlformats.org/officeDocument/2006/relationships/hyperlink" Target="https://es.wallapop.com/item/renault-megane-sport-tourer-dynamique-dci-81-kw-110-cv-1283471685" TargetMode="External" Id="rId344"/><Relationship Type="http://schemas.openxmlformats.org/officeDocument/2006/relationships/hyperlink" Target="https://es.wallapop.com/item/renault-megane-2007-1304241784" TargetMode="External" Id="rId345"/><Relationship Type="http://schemas.openxmlformats.org/officeDocument/2006/relationships/hyperlink" Target="https://es.wallapop.com/item/peugeot-207-2007-1316184209" TargetMode="External" Id="rId346"/><Relationship Type="http://schemas.openxmlformats.org/officeDocument/2006/relationships/hyperlink" Target="https://es.wallapop.com/item/peugeot-207-2007-1312982018" TargetMode="External" Id="rId347"/><Relationship Type="http://schemas.openxmlformats.org/officeDocument/2006/relationships/hyperlink" Target="https://es.wallapop.com/item/peugeot-207-2007-1301586201" TargetMode="External" Id="rId348"/><Relationship Type="http://schemas.openxmlformats.org/officeDocument/2006/relationships/hyperlink" Target="https://es.wallapop.com/item/peugeot-207-2007-1265581185" TargetMode="External" Id="rId349"/><Relationship Type="http://schemas.openxmlformats.org/officeDocument/2006/relationships/hyperlink" Target="https://es.wallapop.com/item/peugeot-207-2007-1237274117" TargetMode="External" Id="rId350"/><Relationship Type="http://schemas.openxmlformats.org/officeDocument/2006/relationships/hyperlink" Target="https://es.wallapop.com/item/peugeot-207-xs-pack-1-4-2006-1302895961" TargetMode="External" Id="rId351"/><Relationship Type="http://schemas.openxmlformats.org/officeDocument/2006/relationships/hyperlink" Target="https://es.wallapop.com/item/peugeot-207-2011-1283042925" TargetMode="External" Id="rId352"/><Relationship Type="http://schemas.openxmlformats.org/officeDocument/2006/relationships/hyperlink" Target="https://es.wallapop.com/item/peugeot-208-2015-1318039860" TargetMode="External" Id="rId353"/><Relationship Type="http://schemas.openxmlformats.org/officeDocument/2006/relationships/hyperlink" Target="https://es.wallapop.com/item/peugeot-208-2013-1317356046" TargetMode="External" Id="rId354"/><Relationship Type="http://schemas.openxmlformats.org/officeDocument/2006/relationships/hyperlink" Target="https://es.wallapop.com/item/citroen-c3-2006-1316399749" TargetMode="External" Id="rId355"/><Relationship Type="http://schemas.openxmlformats.org/officeDocument/2006/relationships/hyperlink" Target="https://es.wallapop.com/item/citroen-c4-2007-1318714261" TargetMode="External" Id="rId356"/><Relationship Type="http://schemas.openxmlformats.org/officeDocument/2006/relationships/hyperlink" Target="https://es.wallapop.com/item/citroen-c4-2007-1318079600" TargetMode="External" Id="rId357"/><Relationship Type="http://schemas.openxmlformats.org/officeDocument/2006/relationships/hyperlink" Target="https://es.wallapop.com/item/citroen-c4-2006-1315406284" TargetMode="External" Id="rId358"/><Relationship Type="http://schemas.openxmlformats.org/officeDocument/2006/relationships/hyperlink" Target="https://es.wallapop.com/item/citroen-c4-2007-1248952142" TargetMode="External" Id="rId359"/><Relationship Type="http://schemas.openxmlformats.org/officeDocument/2006/relationships/hyperlink" Target="https://es.wallapop.com/item/citroen-c3-picasso-2009-1315065813" TargetMode="External" Id="rId360"/><Relationship Type="http://schemas.openxmlformats.org/officeDocument/2006/relationships/hyperlink" Target="https://es.wallapop.com/item/citroen-c3-picasso-2015-1-6-hdi-1314003827" TargetMode="External" Id="rId361"/><Relationship Type="http://schemas.openxmlformats.org/officeDocument/2006/relationships/hyperlink" Target="https://es.wallapop.com/item/ford-ka-2015-1317858980" TargetMode="External" Id="rId362"/><Relationship Type="http://schemas.openxmlformats.org/officeDocument/2006/relationships/hyperlink" Target="https://es.wallapop.com/item/ford-ka-2015-1279395818" TargetMode="External" Id="rId363"/><Relationship Type="http://schemas.openxmlformats.org/officeDocument/2006/relationships/hyperlink" Target="https://es.wallapop.com/item/ford-fiesta-2013-1318538733" TargetMode="External" Id="rId364"/><Relationship Type="http://schemas.openxmlformats.org/officeDocument/2006/relationships/hyperlink" Target="https://es.wallapop.com/item/ford-fiesta-1-4-96-cv-manual-gasolina-1313786761" TargetMode="External" Id="rId365"/><Relationship Type="http://schemas.openxmlformats.org/officeDocument/2006/relationships/hyperlink" Target="https://es.wallapop.com/item/ford-fiesta-2007-153-000-km-1294181479" TargetMode="External" Id="rId366"/><Relationship Type="http://schemas.openxmlformats.org/officeDocument/2006/relationships/hyperlink" Target="https://es.wallapop.com/item/ford-fiesta-1-4-tdci-68cv-2009-perfecto-estado-1306658423" TargetMode="External" Id="rId367"/><Relationship Type="http://schemas.openxmlformats.org/officeDocument/2006/relationships/hyperlink" Target="https://es.wallapop.com/item/ford-fiesta-2010-1299696661" TargetMode="External" Id="rId368"/><Relationship Type="http://schemas.openxmlformats.org/officeDocument/2006/relationships/hyperlink" Target="https://es.wallapop.com/item/ford-fiesta-2007-1317820501" TargetMode="External" Id="rId369"/><Relationship Type="http://schemas.openxmlformats.org/officeDocument/2006/relationships/hyperlink" Target="https://es.wallapop.com/item/ford-fiesta-2010-1285701129" TargetMode="External" Id="rId370"/><Relationship Type="http://schemas.openxmlformats.org/officeDocument/2006/relationships/hyperlink" Target="https://es.wallapop.com/item/ford-fiesta-2010-1281484675" TargetMode="External" Id="rId371"/><Relationship Type="http://schemas.openxmlformats.org/officeDocument/2006/relationships/hyperlink" Target="https://es.wallapop.com/item/ford-fiesta-2008-1247015131" TargetMode="External" Id="rId372"/><Relationship Type="http://schemas.openxmlformats.org/officeDocument/2006/relationships/hyperlink" Target="https://es.wallapop.com/item/ford-fiesta-2012-1316074282" TargetMode="External" Id="rId373"/><Relationship Type="http://schemas.openxmlformats.org/officeDocument/2006/relationships/hyperlink" Target="https://es.wallapop.com/item/ford-ford-fiesta-2011-1315660957" TargetMode="External" Id="rId374"/><Relationship Type="http://schemas.openxmlformats.org/officeDocument/2006/relationships/hyperlink" Target="https://es.wallapop.com/item/ford-focus-2009-1317984979" TargetMode="External" Id="rId375"/><Relationship Type="http://schemas.openxmlformats.org/officeDocument/2006/relationships/hyperlink" Target="https://es.wallapop.com/item/ford-focus-2006-1317172692" TargetMode="External" Id="rId376"/><Relationship Type="http://schemas.openxmlformats.org/officeDocument/2006/relationships/hyperlink" Target="https://es.wallapop.com/item/ford-focus-2013-1317058741" TargetMode="External" Id="rId377"/><Relationship Type="http://schemas.openxmlformats.org/officeDocument/2006/relationships/hyperlink" Target="https://es.wallapop.com/item/ford-focus-2008-1315801957" TargetMode="External" Id="rId378"/><Relationship Type="http://schemas.openxmlformats.org/officeDocument/2006/relationships/hyperlink" Target="https://es.wallapop.com/item/ford-focus-2006-1312349242" TargetMode="External" Id="rId379"/><Relationship Type="http://schemas.openxmlformats.org/officeDocument/2006/relationships/hyperlink" Target="https://es.wallapop.com/item/ford-focus-2009-1311633052" TargetMode="External" Id="rId380"/><Relationship Type="http://schemas.openxmlformats.org/officeDocument/2006/relationships/hyperlink" Target="https://es.wallapop.com/item/ford-focus-2006-1318134950" TargetMode="External" Id="rId381"/><Relationship Type="http://schemas.openxmlformats.org/officeDocument/2006/relationships/hyperlink" Target="https://es.wallapop.com/item/ford-focus-2008-1236536274" TargetMode="External" Id="rId382"/><Relationship Type="http://schemas.openxmlformats.org/officeDocument/2006/relationships/hyperlink" Target="https://es.wallapop.com/item/ford-focus-2007-1302217553" TargetMode="External" Id="rId383"/><Relationship Type="http://schemas.openxmlformats.org/officeDocument/2006/relationships/hyperlink" Target="https://www.coches.net/ford-fusion-16-tdci-fusion--5p-diesel-2006-en-valencia-71370685-covo.aspx" TargetMode="External" Id="rId384"/><Relationship Type="http://schemas.openxmlformats.org/officeDocument/2006/relationships/hyperlink" Target="https://es.wallapop.com/item/fiat-punto-2007-1313114494" TargetMode="External" Id="rId385"/><Relationship Type="http://schemas.openxmlformats.org/officeDocument/2006/relationships/hyperlink" Target="https://es.wallapop.com/item/fiat-punto-2007-1312856146" TargetMode="External" Id="rId386"/><Relationship Type="http://schemas.openxmlformats.org/officeDocument/2006/relationships/hyperlink" Target="https://es.wallapop.com/item/fiat-punto-evo-2011-1309755985" TargetMode="External" Id="rId387"/><Relationship Type="http://schemas.openxmlformats.org/officeDocument/2006/relationships/hyperlink" Target="https://es.wallapop.com/item/fiat-punto-2006-1313124669" TargetMode="External" Id="rId388"/><Relationship Type="http://schemas.openxmlformats.org/officeDocument/2006/relationships/hyperlink" Target="https://es.wallapop.com/item/fiat-punto-2007-1308782246" TargetMode="External" Id="rId389"/><Relationship Type="http://schemas.openxmlformats.org/officeDocument/2006/relationships/hyperlink" Target="https://es.wallapop.com/item/fiat-punto-1-4-t-jet-sport-88-kw-120-cv-1305071192" TargetMode="External" Id="rId390"/><Relationship Type="http://schemas.openxmlformats.org/officeDocument/2006/relationships/hyperlink" Target="https://es.wallapop.com/item/nissan-micra-2013-1316397731" TargetMode="External" Id="rId391"/><Relationship Type="http://schemas.openxmlformats.org/officeDocument/2006/relationships/hyperlink" Target="https://es.wallapop.com/item/nissan-micra-2006-1215062849" TargetMode="External" Id="rId392"/><Relationship Type="http://schemas.openxmlformats.org/officeDocument/2006/relationships/hyperlink" Target="https://es.wallapop.com/item/suzuki-swift-2006-1308792677" TargetMode="External" Id="rId393"/><Relationship Type="http://schemas.openxmlformats.org/officeDocument/2006/relationships/hyperlink" Target="https://es.wallapop.com/item/mitsubishi-colt-2006-1317562817" TargetMode="External" Id="rId394"/><Relationship Type="http://schemas.openxmlformats.org/officeDocument/2006/relationships/hyperlink" Target="https://es.wallapop.com/item/mitsubishi-colt-1-3-16v-invite-70-kw-95-cv-1305417932" TargetMode="External" Id="rId395"/><Relationship Type="http://schemas.openxmlformats.org/officeDocument/2006/relationships/hyperlink" Target="https://es.wallapop.com/item/audi-a3-2008-1310393842" TargetMode="External" Id="rId396"/><Relationship Type="http://schemas.openxmlformats.org/officeDocument/2006/relationships/hyperlink" Target="https://es.wallapop.com/item/chevrolet-aveo-2014-1283507982" TargetMode="External" Id="rId397"/><Relationship Type="http://schemas.openxmlformats.org/officeDocument/2006/relationships/hyperlink" Target="https://es.wallapop.com/item/chevrolet-cruze-2012-1221552223" TargetMode="External" Id="rId398"/><Relationship Type="http://schemas.openxmlformats.org/officeDocument/2006/relationships/hyperlink" Target="https://www.coches.net/seat-altea-16-tdi-105cv-style-dsg-5p-diesel-2011-en-valencia-71859633-covo.aspx" TargetMode="External" Id="rId399"/><Relationship Type="http://schemas.openxmlformats.org/officeDocument/2006/relationships/hyperlink" Target="https://www.coches.net/seat-toledo-20-tdi-stylance-5p-diesel-2006-en-valencia-71876607-covo.aspx" TargetMode="External" Id="rId400"/><Relationship Type="http://schemas.openxmlformats.org/officeDocument/2006/relationships/hyperlink" Target="https://www.coches.net/opel-astra-13-cdti-111-years-gtc-3p-diesel-2011-en-valencia-71799024-covo.aspx" TargetMode="External" Id="rId401"/><Relationship Type="http://schemas.openxmlformats.org/officeDocument/2006/relationships/hyperlink" Target="https://www.coches.net/opel-astra-19-cdti-enjoy-120-cv-5p-diesel-2007-en-valencia-71599225-covo.aspx" TargetMode="External" Id="rId402"/><Relationship Type="http://schemas.openxmlformats.org/officeDocument/2006/relationships/hyperlink" Target="https://www.coches.net/opel-astra-20-cdti-165-cv-excellence-auto-st-5p-diesel-2015-en-valencia-71859065-covo.aspx" TargetMode="External" Id="rId403"/><Relationship Type="http://schemas.openxmlformats.org/officeDocument/2006/relationships/hyperlink" Target="https://www.coches.net/opel-astra-14-enjoy-5p-gasolina-2006-en-valencia-71722524-covo.aspx" TargetMode="External" Id="rId404"/><Relationship Type="http://schemas.openxmlformats.org/officeDocument/2006/relationships/hyperlink" Target="https://www.coches.net/opel-astra-19-cdti-sport-120-cv-5p-diesel-2007-en-valencia-71829456-covo.aspx" TargetMode="External" Id="rId405"/><Relationship Type="http://schemas.openxmlformats.org/officeDocument/2006/relationships/hyperlink" Target="https://www.coches.net/opel-astra-diesel-2006-en-valencia-71573870-covo.aspx" TargetMode="External" Id="rId406"/><Relationship Type="http://schemas.openxmlformats.org/officeDocument/2006/relationships/hyperlink" Target="https://www.coches.net/opel-astra-diesel-2007-en-valencia-71528758-covo.aspx" TargetMode="External" Id="rId407"/><Relationship Type="http://schemas.openxmlformats.org/officeDocument/2006/relationships/hyperlink" Target="https://www.coches.net/opel-astra-17-cdti-110-cv-sportive-5p-diesel-2012-en-valencia-71478387-covo.aspx" TargetMode="External" Id="rId408"/><Relationship Type="http://schemas.openxmlformats.org/officeDocument/2006/relationships/hyperlink" Target="https://www.coches.net/opel-astra-gasolina-2006-en-valencia-71450364-covo.aspx" TargetMode="External" Id="rId409"/><Relationship Type="http://schemas.openxmlformats.org/officeDocument/2006/relationships/hyperlink" Target="https://www.coches.net/opel-astra-17-cdti-enjoy-sw-5p-diesel-2007-en-valencia-71241892-covo.aspx" TargetMode="External" Id="rId410"/><Relationship Type="http://schemas.openxmlformats.org/officeDocument/2006/relationships/hyperlink" Target="https://www.coches.net/opel-astra-gtc-16-16v-enjoy-3p-gasolina-2007-en-valencia-71218282-covo.aspx" TargetMode="External" Id="rId411"/><Relationship Type="http://schemas.openxmlformats.org/officeDocument/2006/relationships/hyperlink" Target="https://www.coches.net/opel-astra-gtc-17-cdti-sport-3p-diesel-2006-en-valencia-71233866-covo.aspx" TargetMode="External" Id="rId412"/><Relationship Type="http://schemas.openxmlformats.org/officeDocument/2006/relationships/hyperlink" Target="https://www.coches.net/opel-astra-gasolina-2006-en-valencia-70786163-covo.aspx" TargetMode="External" Id="rId413"/><Relationship Type="http://schemas.openxmlformats.org/officeDocument/2006/relationships/hyperlink" Target="https://www.coches.net/opel-astra-diesel-2011-en-valencia-70647110-covo.aspx" TargetMode="External" Id="rId414"/><Relationship Type="http://schemas.openxmlformats.org/officeDocument/2006/relationships/hyperlink" Target="https://www.coches.net/opel-astra-13-cdti-enjoy-5p-diesel-2006-en-valencia-70491252-covo.aspx" TargetMode="External" Id="rId415"/><Relationship Type="http://schemas.openxmlformats.org/officeDocument/2006/relationships/hyperlink" Target="https://www.coches.net/opel-astra-gtc-19-cdti-120-cv-cosmo-3p-diesel-2007-en-valencia-55368252-covo.aspx" TargetMode="External" Id="rId416"/><Relationship Type="http://schemas.openxmlformats.org/officeDocument/2006/relationships/hyperlink" Target="https://www.coches.net/opel-astra-gtc-16-16v-enjoy-3p-gasolina-2006-en-valencia-55367607-covo.aspx" TargetMode="External" Id="rId417"/><Relationship Type="http://schemas.openxmlformats.org/officeDocument/2006/relationships/hyperlink" Target="https://www.coches.net/opel-meriva-14-net-excellence-5p-gasolina-2015-en-valencia-71780709-covo.aspx" TargetMode="External" Id="rId418"/><Relationship Type="http://schemas.openxmlformats.org/officeDocument/2006/relationships/hyperlink" Target="https://www.coches.net/renault-megane-coupecabrio-dynamique-16-16v-2p-gasolina-2007-en-valencia-71508169-covo.aspx" TargetMode="External" Id="rId419"/><Relationship Type="http://schemas.openxmlformats.org/officeDocument/2006/relationships/hyperlink" Target="https://www.coches.net/renault-megane-coupecabrio-dynamique-16-16v-2p-gasolina-2007-en-valencia-71662456-covo.aspx" TargetMode="External" Id="rId420"/><Relationship Type="http://schemas.openxmlformats.org/officeDocument/2006/relationships/hyperlink" Target="https://www.coches.net/renault-clio-rip-curl-15dci70-eco2-5p-diesel-2007-en-valencia-71827626-covo.aspx" TargetMode="External" Id="rId421"/><Relationship Type="http://schemas.openxmlformats.org/officeDocument/2006/relationships/hyperlink" Target="https://www.coches.net/renault-clio-expression-12-16v-5p-gasolina-2007-en-valencia-71693535-covo.aspx" TargetMode="External" Id="rId422"/><Relationship Type="http://schemas.openxmlformats.org/officeDocument/2006/relationships/hyperlink" Target="https://www.coches.net/renault-clio-luxe-privilege-15-dci105-5p-diesel-2006-en-valencia-71728280-covo.aspx" TargetMode="External" Id="rId423"/><Relationship Type="http://schemas.openxmlformats.org/officeDocument/2006/relationships/hyperlink" Target="https://www.coches.net/renault-clio-expression-12-16v-5p-gasolina-2006-en-valencia-71720117-covo.aspx" TargetMode="External" Id="rId424"/><Relationship Type="http://schemas.openxmlformats.org/officeDocument/2006/relationships/hyperlink" Target="https://www.coches.net/renault-clio-rip-curl-12-16v-3p-gasolina-2006-en-valencia-71579391-covo.aspx" TargetMode="External" Id="rId425"/><Relationship Type="http://schemas.openxmlformats.org/officeDocument/2006/relationships/hyperlink" Target="https://www.coches.net/renault-clio-authentique-12-16v-5p-gasolina-2006-en-valencia-61211557-covo.aspx" TargetMode="External" Id="rId426"/><Relationship Type="http://schemas.openxmlformats.org/officeDocument/2006/relationships/hyperlink" Target="https://www.coches.net/renault-clio-confort-dynamique-16-16v-3p-gasolina-2006-en-valencia-54869719-covo.aspx" TargetMode="External" Id="rId427"/><Relationship Type="http://schemas.openxmlformats.org/officeDocument/2006/relationships/hyperlink" Target="https://www.coches.net/renault-megane-emotion-16-16v-5p-gasolina-2006-en-valencia-71867959-covo.aspx" TargetMode="External" Id="rId428"/><Relationship Type="http://schemas.openxmlformats.org/officeDocument/2006/relationships/hyperlink" Target="https://www.coches.net/renault-megane-business-dci-110-5p-diesel-2012-en-valencia-71684364-covo.aspx" TargetMode="External" Id="rId429"/><Relationship Type="http://schemas.openxmlformats.org/officeDocument/2006/relationships/hyperlink" Target="https://www.coches.net/renault-megane-coupecabrio-privilege-19dci-2p-diesel-2007-en-valencia-71386380-covo.aspx" TargetMode="External" Id="rId430"/><Relationship Type="http://schemas.openxmlformats.org/officeDocument/2006/relationships/hyperlink" Target="https://www.coches.net/renault-megane-dynamique-energy-dci-110-ss-eco2-3p-diesel-2012-en-valencia-71537820-covo.aspx" TargetMode="External" Id="rId431"/><Relationship Type="http://schemas.openxmlformats.org/officeDocument/2006/relationships/hyperlink" Target="https://www.coches.net/renault-megane-confort-authentique-16-16v-5p-gasolina-2006-en-valencia-71852185-covo.aspx" TargetMode="External" Id="rId432"/><Relationship Type="http://schemas.openxmlformats.org/officeDocument/2006/relationships/hyperlink" Target="https://www.coches.net/renault-megane-dynamique-15dci105-3p-diesel-2007-en-valencia-71829418-covo.aspx" TargetMode="External" Id="rId433"/><Relationship Type="http://schemas.openxmlformats.org/officeDocument/2006/relationships/hyperlink" Target="https://www.coches.net/renault-megane-dynamique-energy-dci-110-ss-5p-diesel-2012-en-valencia-71821979-covo.aspx" TargetMode="External" Id="rId434"/><Relationship Type="http://schemas.openxmlformats.org/officeDocument/2006/relationships/hyperlink" Target="https://www.coches.net/renault-megane-sport-tourer-dynamique-15dci-105cv-eco2-5p-diesel-2009-en-valencia-71783816-covo.aspx" TargetMode="External" Id="rId435"/><Relationship Type="http://schemas.openxmlformats.org/officeDocument/2006/relationships/hyperlink" Target="https://www.coches.net/renault-megane-sedan-confort-authentique-16-16v-4p-gasolina-2006-en-valencia-71789007-covo.aspx" TargetMode="External" Id="rId436"/><Relationship Type="http://schemas.openxmlformats.org/officeDocument/2006/relationships/hyperlink" Target="https://www.coches.net/renault-megane-business-dci-110-eco2-5p-diesel-2012-en-valencia-71755437-covo.aspx" TargetMode="External" Id="rId437"/><Relationship Type="http://schemas.openxmlformats.org/officeDocument/2006/relationships/hyperlink" Target="https://www.coches.net/renault-megane-gasolina-2006-en-valencia-71440250-covo.aspx" TargetMode="External" Id="rId438"/><Relationship Type="http://schemas.openxmlformats.org/officeDocument/2006/relationships/hyperlink" Target="https://www.coches.net/renault-megane-confort-dynamique-19dci-5p-diesel-2006-en-valencia-70788485-covo.aspx" TargetMode="External" Id="rId439"/><Relationship Type="http://schemas.openxmlformats.org/officeDocument/2006/relationships/hyperlink" Target="https://www.coches.net/renault-megane-intens-dci-95-eco2-5p-diesel-2015-en-valencia-70660202-covo.aspx" TargetMode="External" Id="rId440"/><Relationship Type="http://schemas.openxmlformats.org/officeDocument/2006/relationships/hyperlink" Target="https://www.coches.net/renault-modus-confort-dynamique-14-16v-5p-gasolina-2006-en-valencia-70833355-covo.aspx" TargetMode="External" Id="rId441"/><Relationship Type="http://schemas.openxmlformats.org/officeDocument/2006/relationships/hyperlink" Target="https://www.coches.net/renault-fluence-dynamique-dci-110cv-4p-diesel-2010-en-valencia-71604371-covo.aspx" TargetMode="External" Id="rId442"/><Relationship Type="http://schemas.openxmlformats.org/officeDocument/2006/relationships/hyperlink" Target="https://www.coches.net/renault-fluence-dynamique-16-16v-110-4p-gasolina-2012-en-valencia-71334952-covo.aspx" TargetMode="External" Id="rId443"/><Relationship Type="http://schemas.openxmlformats.org/officeDocument/2006/relationships/hyperlink" Target="https://www.coches.net/dacia-logan-ambiance-15-dci-4p-diesel-2006-en-valencia-71537794-covo.aspx" TargetMode="External" Id="rId444"/><Relationship Type="http://schemas.openxmlformats.org/officeDocument/2006/relationships/hyperlink" Target="https://www.coches.net/dacia-sandero-laureate-12-16v-75cv-5p-gasolina-2009-en-valencia-71749298-covo.aspx" TargetMode="External" Id="rId445"/><Relationship Type="http://schemas.openxmlformats.org/officeDocument/2006/relationships/hyperlink" Target="https://www.coches.net/dacia-sandero-base-12-75cv-acc-12d-5ra-5p-gasolina-2014-en-valencia-71618631-covo.aspx" TargetMode="External" Id="rId446"/><Relationship Type="http://schemas.openxmlformats.org/officeDocument/2006/relationships/hyperlink" Target="https://www.coches.net/dacia-logan-diesel-2015-en-valencia-71041099-covo.aspx" TargetMode="External" Id="rId447"/><Relationship Type="http://schemas.openxmlformats.org/officeDocument/2006/relationships/hyperlink" Target="https://www.coches.net/peugeot-107-14-hdi-urban-5p-diesel-2007-en-valencia-71472468-covo.aspx" TargetMode="External" Id="rId448"/><Relationship Type="http://schemas.openxmlformats.org/officeDocument/2006/relationships/hyperlink" Target="https://www.coches.net/peugeot-107-10i-urban-3p-gasolina-2006-en-valencia-71267831-covo.aspx" TargetMode="External" Id="rId449"/><Relationship Type="http://schemas.openxmlformats.org/officeDocument/2006/relationships/hyperlink" Target="https://www.coches.net/peugeot-107-gasolina-2006-en-valencia-71267111-covo.aspx" TargetMode="External" Id="rId450"/><Relationship Type="http://schemas.openxmlformats.org/officeDocument/2006/relationships/hyperlink" Target="https://www.coches.net/peugeot-207-confort-14-vti-16v-95-5p-gasolina-2008-en-valencia-71858806-covo.aspx" TargetMode="External" Id="rId451"/><Relationship Type="http://schemas.openxmlformats.org/officeDocument/2006/relationships/hyperlink" Target="https://www.coches.net/peugeot-207-14-16v-xt-5p-gasolina-2006-en-valencia-71866323-covo.aspx" TargetMode="External" Id="rId452"/><Relationship Type="http://schemas.openxmlformats.org/officeDocument/2006/relationships/hyperlink" Target="https://www.coches.net/peugeot-207-confort-14-hdi-70-fap-5p-diesel-2012-en-valencia-71864932-covo.aspx" TargetMode="External" Id="rId453"/><Relationship Type="http://schemas.openxmlformats.org/officeDocument/2006/relationships/hyperlink" Target="https://www.coches.net/peugeot-207-14-16v-xt-5p-gasolina-2006-en-valencia-71828437-covo.aspx" TargetMode="External" Id="rId454"/><Relationship Type="http://schemas.openxmlformats.org/officeDocument/2006/relationships/hyperlink" Target="https://www.coches.net/peugeot-207-confort-16-hdi-90-3p-diesel-2007-en-valencia-71825187-covo.aspx" TargetMode="External" Id="rId455"/><Relationship Type="http://schemas.openxmlformats.org/officeDocument/2006/relationships/hyperlink" Target="https://www.coches.net/peugeot-207-sw-confort-14-vti-16v-95-5p-gasolina-2009-en-valencia-71764589-covo.aspx" TargetMode="External" Id="rId456"/><Relationship Type="http://schemas.openxmlformats.org/officeDocument/2006/relationships/hyperlink" Target="https://www.coches.net/peugeot-207-confort-14-vti-16v-95-5p-gasolina-2008-en-valencia-71618681-covo.aspx" TargetMode="External" Id="rId457"/><Relationship Type="http://schemas.openxmlformats.org/officeDocument/2006/relationships/hyperlink" Target="https://www.coches.net/peugeot-207-14-16v-xline-5p-gasolina-2006-en-valencia-71678457-covo.aspx" TargetMode="External" Id="rId458"/><Relationship Type="http://schemas.openxmlformats.org/officeDocument/2006/relationships/hyperlink" Target="https://www.coches.net/peugeot-207-sw-confort-16-hdi-90-5p-diesel-2009-en-valencia-71614561-covo.aspx" TargetMode="External" Id="rId459"/><Relationship Type="http://schemas.openxmlformats.org/officeDocument/2006/relationships/hyperlink" Target="https://www.coches.net/peugeot-207-14-75-urban-3p-gasolina-2007-en-valencia-71786783-covo.aspx" TargetMode="External" Id="rId460"/><Relationship Type="http://schemas.openxmlformats.org/officeDocument/2006/relationships/hyperlink" Target="https://www.coches.net/peugeot-207-16-hdi-xs-pack-3p-diesel-2007-en-valencia-71554460-covo.aspx" TargetMode="External" Id="rId461"/><Relationship Type="http://schemas.openxmlformats.org/officeDocument/2006/relationships/hyperlink" Target="https://www.coches.net/peugeot-207-gasolina-2006-en-valencia-71515167-covo.aspx" TargetMode="External" Id="rId462"/><Relationship Type="http://schemas.openxmlformats.org/officeDocument/2006/relationships/hyperlink" Target="https://www.coches.net/peugeot-207-diesel-2009-en-valencia-71330739-covo.aspx" TargetMode="External" Id="rId463"/><Relationship Type="http://schemas.openxmlformats.org/officeDocument/2006/relationships/hyperlink" Target="https://www.coches.net/peugeot-207-gasolina-2007-en-valencia-71262537-covo.aspx" TargetMode="External" Id="rId464"/><Relationship Type="http://schemas.openxmlformats.org/officeDocument/2006/relationships/hyperlink" Target="https://www.coches.net/peugeot-208-5p-access-10l-puretech-68-5p-gasolina-2013-en-valencia-71854218-covo.aspx" TargetMode="External" Id="rId465"/><Relationship Type="http://schemas.openxmlformats.org/officeDocument/2006/relationships/hyperlink" Target="https://www.coches.net/peugeot-208-5p-allure-12l-puretech-82-5p-gasolina-2016-en-valencia-71469134-covo.aspx" TargetMode="External" Id="rId466"/><Relationship Type="http://schemas.openxmlformats.org/officeDocument/2006/relationships/hyperlink" Target="https://www.coches.net/peugeot-208-gasolina-2016-en-valencia-71376986-covo.aspx" TargetMode="External" Id="rId467"/><Relationship Type="http://schemas.openxmlformats.org/officeDocument/2006/relationships/hyperlink" Target="https://www.coches.net/peugeot-208-gasolina-2013-en-valencia-71221918-covo.aspx" TargetMode="External" Id="rId468"/><Relationship Type="http://schemas.openxmlformats.org/officeDocument/2006/relationships/hyperlink" Target="https://www.coches.net/peugeot-308-premium-20-hdi-136-fap-5p-diesel-2007-en-valencia-71569605-covo.aspx" TargetMode="External" Id="rId469"/><Relationship Type="http://schemas.openxmlformats.org/officeDocument/2006/relationships/hyperlink" Target="https://www.coches.net/peugeot-308-premium-16-hdi-110-fap-5p-diesel-2007-en-valencia-71452030-covo.aspx" TargetMode="External" Id="rId470"/><Relationship Type="http://schemas.openxmlformats.org/officeDocument/2006/relationships/hyperlink" Target="https://www.coches.net/citroen-c2-14-hdi-sx-plus-3p-diesel-2005-en-valencia-71829918-covo.aspx" TargetMode="External" Id="rId471"/><Relationship Type="http://schemas.openxmlformats.org/officeDocument/2006/relationships/hyperlink" Target="https://www.coches.net/citroen-c2-14-hdi-furio-3p-diesel-2006-en-valencia-71520776-covo.aspx" TargetMode="External" Id="rId472"/><Relationship Type="http://schemas.openxmlformats.org/officeDocument/2006/relationships/hyperlink" Target="https://www.coches.net/citroen-c1-14-hdi-sx-3p-diesel-2006-en-valencia-71871523-covo.aspx" TargetMode="External" Id="rId473"/><Relationship Type="http://schemas.openxmlformats.org/officeDocument/2006/relationships/hyperlink" Target="https://www.coches.net/citroen-c1-10-x-5p-gasolina-2006-en-valencia-71713025-covo.aspx" TargetMode="External" Id="rId474"/><Relationship Type="http://schemas.openxmlformats.org/officeDocument/2006/relationships/hyperlink" Target="https://www.coches.net/citroen-c3-14-hdi-furio-5p-diesel-2005-en-valencia-71564342-covo.aspx" TargetMode="External" Id="rId475"/><Relationship Type="http://schemas.openxmlformats.org/officeDocument/2006/relationships/hyperlink" Target="https://www.coches.net/citroen-c3-11i-furio-5p-gasolina-2005-en-valencia-71492958-covo.aspx" TargetMode="External" Id="rId476"/><Relationship Type="http://schemas.openxmlformats.org/officeDocument/2006/relationships/hyperlink" Target="https://www.coches.net/citroen-c3-14-hdi-exclusive-5p-diesel-2006-en-valencia-71830100-covo.aspx" TargetMode="External" Id="rId477"/><Relationship Type="http://schemas.openxmlformats.org/officeDocument/2006/relationships/hyperlink" Target="https://www.coches.net/citroen-c3-14i-16v-collection-5p-gasolina-2007-en-valencia-71792868-covo.aspx" TargetMode="External" Id="rId478"/><Relationship Type="http://schemas.openxmlformats.org/officeDocument/2006/relationships/hyperlink" Target="https://www.coches.net/citroen-c3-gasolina-2007-en-valencia-71702836-covo.aspx" TargetMode="External" Id="rId479"/><Relationship Type="http://schemas.openxmlformats.org/officeDocument/2006/relationships/hyperlink" Target="https://www.coches.net/citroen-c3-ehdi-70-cmp-collection-5p-diesel-2015-en-valencia-71844510-covo.aspx" TargetMode="External" Id="rId480"/><Relationship Type="http://schemas.openxmlformats.org/officeDocument/2006/relationships/hyperlink" Target="https://www.coches.net/citroen-c3-diesel-2006-en-valencia-71646911-covo.aspx" TargetMode="External" Id="rId481"/><Relationship Type="http://schemas.openxmlformats.org/officeDocument/2006/relationships/hyperlink" Target="https://www.coches.net/citroen-c3-bluehdi-75-live-5p-diesel-2016-en-valencia-71494516-covo.aspx" TargetMode="External" Id="rId482"/><Relationship Type="http://schemas.openxmlformats.org/officeDocument/2006/relationships/hyperlink" Target="https://www.coches.net/citroen-c3-gasolina-2014-en-valencia-71487014-covo.aspx" TargetMode="External" Id="rId483"/><Relationship Type="http://schemas.openxmlformats.org/officeDocument/2006/relationships/hyperlink" Target="https://www.coches.net/citroen-c3-11i-sx-5p-gasolina-2006-en-valencia-71438007-covo.aspx" TargetMode="External" Id="rId484"/><Relationship Type="http://schemas.openxmlformats.org/officeDocument/2006/relationships/hyperlink" Target="https://www.coches.net/citroen-c3-gasolina-2006-en-valencia-71427611-covo.aspx" TargetMode="External" Id="rId485"/><Relationship Type="http://schemas.openxmlformats.org/officeDocument/2006/relationships/hyperlink" Target="https://www.coches.net/citroen-c3-14i-sx-5p-gasolina-2012-en-valencia-71399382-covo.aspx" TargetMode="External" Id="rId486"/><Relationship Type="http://schemas.openxmlformats.org/officeDocument/2006/relationships/hyperlink" Target="https://www.coches.net/citroen-c3-diesel-2007-en-valencia-71398931-covo.aspx" TargetMode="External" Id="rId487"/><Relationship Type="http://schemas.openxmlformats.org/officeDocument/2006/relationships/hyperlink" Target="https://www.coches.net/citroen-c3-diesel-2007-en-valencia-71250967-covo.aspx" TargetMode="External" Id="rId488"/><Relationship Type="http://schemas.openxmlformats.org/officeDocument/2006/relationships/hyperlink" Target="https://www.coches.net/citroen-c3-hdi-70-attraction-5p-diesel-2011-en-valencia-71041894-covo.aspx" TargetMode="External" Id="rId489"/><Relationship Type="http://schemas.openxmlformats.org/officeDocument/2006/relationships/hyperlink" Target="https://www.coches.net/citroen-c3-ehdi-115-exclusive-5p-diesel-2013-en-valencia-71039872-covo.aspx" TargetMode="External" Id="rId490"/><Relationship Type="http://schemas.openxmlformats.org/officeDocument/2006/relationships/hyperlink" Target="https://www.coches.net/citroen-c3-vti-68cv-tonic-5p-gasolina-2013-en-valencia-71055232-covo.aspx" TargetMode="External" Id="rId491"/><Relationship Type="http://schemas.openxmlformats.org/officeDocument/2006/relationships/hyperlink" Target="https://www.coches.net/citroen-c4-14-16v-lx-5p-gasolina-2004-en-valencia-71679274-covo.aspx" TargetMode="External" Id="rId492"/><Relationship Type="http://schemas.openxmlformats.org/officeDocument/2006/relationships/hyperlink" Target="https://www.coches.net/citroen-c4-16-hdi-90-vtnv-5p-diesel-2010-en-valencia-71546211-covo.aspx" TargetMode="External" Id="rId493"/><Relationship Type="http://schemas.openxmlformats.org/officeDocument/2006/relationships/hyperlink" Target="https://www.coches.net/citroen-c4-14-16v-collection-5p-gasolina-2007-en-valencia-71857272-covo.aspx" TargetMode="External" Id="rId494"/><Relationship Type="http://schemas.openxmlformats.org/officeDocument/2006/relationships/hyperlink" Target="https://www.coches.net/citroen-c4-16-hdi-90-vtnv-3p-diesel-2010-en-valencia-71823790-covo.aspx" TargetMode="External" Id="rId495"/><Relationship Type="http://schemas.openxmlformats.org/officeDocument/2006/relationships/hyperlink" Target="https://www.coches.net/citroen-c4-16-hdi-90-cool-5p-diesel-2007-en-valencia-71834276-covo.aspx" TargetMode="External" Id="rId496"/><Relationship Type="http://schemas.openxmlformats.org/officeDocument/2006/relationships/hyperlink" Target="https://www.coches.net/citroen-c4-16-hdi-110-vtr-plus-cmp-5p-diesel-2008-en-valencia-71362713-covo.aspx" TargetMode="External" Id="rId497"/><Relationship Type="http://schemas.openxmlformats.org/officeDocument/2006/relationships/hyperlink" Target="https://www.coches.net/citroen-c4-14-16v-cool-5p-gasolina-2005-en-valencia-71777076-covo.aspx" TargetMode="External" Id="rId498"/><Relationship Type="http://schemas.openxmlformats.org/officeDocument/2006/relationships/hyperlink" Target="https://www.coches.net/citroen-c4-16-16v-exclusive-5p-gasolina-2006-en-valencia-71757769-covo.aspx" TargetMode="External" Id="rId499"/><Relationship Type="http://schemas.openxmlformats.org/officeDocument/2006/relationships/hyperlink" Target="https://www.coches.net/citroen-c4-16-hdi-90-cool-5p-diesel-2005-en-valencia-71663953-covo.aspx" TargetMode="External" Id="rId500"/><Relationship Type="http://schemas.openxmlformats.org/officeDocument/2006/relationships/hyperlink" Target="https://www.coches.net/citroen-c4-gasolina-2006-en-valencia-71716161-covo.aspx" TargetMode="External" Id="rId501"/><Relationship Type="http://schemas.openxmlformats.org/officeDocument/2006/relationships/hyperlink" Target="https://www.coches.net/citroen-c4-16-thp-155cv-cmp-exclusive-5p-gasolina-2013-en-valencia-71685782-covo.aspx" TargetMode="External" Id="rId502"/><Relationship Type="http://schemas.openxmlformats.org/officeDocument/2006/relationships/hyperlink" Target="https://www.coches.net/citroen-c4-diesel-2006-en-valencia-71659228-covo.aspx" TargetMode="External" Id="rId503"/><Relationship Type="http://schemas.openxmlformats.org/officeDocument/2006/relationships/hyperlink" Target="https://www.coches.net/citroen-c4-14-16v-lx-5p-gasolina-2006-en-valencia-71324072-covo.aspx" TargetMode="External" Id="rId504"/><Relationship Type="http://schemas.openxmlformats.org/officeDocument/2006/relationships/hyperlink" Target="https://www.coches.net/citroen-c4-16-hdi-92-vtr-3p-diesel-2007-en-valencia-70605835-covo.aspx" TargetMode="External" Id="rId505"/><Relationship Type="http://schemas.openxmlformats.org/officeDocument/2006/relationships/hyperlink" Target="https://www.coches.net/citroen-c-elysee-hdi-90cv-millenium-4p-diesel-2014-en-valencia-71818180-covo.aspx" TargetMode="External" Id="rId506"/><Relationship Type="http://schemas.openxmlformats.org/officeDocument/2006/relationships/hyperlink" Target="https://www.coches.net/ford-fiesta-14-tdci-trend-5p-diesel-2010-en-valencia-71618923-covo.aspx" TargetMode="External" Id="rId507"/><Relationship Type="http://schemas.openxmlformats.org/officeDocument/2006/relationships/hyperlink" Target="https://www.coches.net/ford-focus-18-tdci-trend-5p-diesel-2007-en-valencia-71863788-covo.aspx" TargetMode="External" Id="rId508"/><Relationship Type="http://schemas.openxmlformats.org/officeDocument/2006/relationships/hyperlink" Target="https://www.coches.net/ford-ka-gasolina-2006-en-valencia-71461561-covo.aspx" TargetMode="External" Id="rId509"/><Relationship Type="http://schemas.openxmlformats.org/officeDocument/2006/relationships/hyperlink" Target="https://www.coches.net/ford-ka-16i-sportka-3p-gasolina-2005-en-valencia-71253044-covo.aspx" TargetMode="External" Id="rId510"/><Relationship Type="http://schemas.openxmlformats.org/officeDocument/2006/relationships/hyperlink" Target="https://www.coches.net/ford-ka-13-3p-gasolina-2006-en-valencia-71371893-covo.aspx" TargetMode="External" Id="rId511"/><Relationship Type="http://schemas.openxmlformats.org/officeDocument/2006/relationships/hyperlink" Target="https://www.coches.net/ford-fiesta-13-newport-5p-gasolina-2006-en-valencia-71841456-covo.aspx" TargetMode="External" Id="rId512"/><Relationship Type="http://schemas.openxmlformats.org/officeDocument/2006/relationships/hyperlink" Target="https://www.coches.net/ford-fiesta-14-tdci-trend-5p-diesel-2012-en-valencia-71654849-covo.aspx" TargetMode="External" Id="rId513"/><Relationship Type="http://schemas.openxmlformats.org/officeDocument/2006/relationships/hyperlink" Target="https://www.coches.net/ford-fiesta-14-tdci-trend-5p-diesel-2011-en-valencia-71021675-covo.aspx" TargetMode="External" Id="rId514"/><Relationship Type="http://schemas.openxmlformats.org/officeDocument/2006/relationships/hyperlink" Target="https://www.coches.net/ford-fiesta-14-tdci-ghia-5p-diesel-2009-en-valencia-71579775-covo.aspx" TargetMode="External" Id="rId515"/><Relationship Type="http://schemas.openxmlformats.org/officeDocument/2006/relationships/hyperlink" Target="https://www.coches.net/ford-fiesta-16-tdci-sport-3p-diesel-2009-en-valencia-61554598-covo.aspx" TargetMode="External" Id="rId516"/><Relationship Type="http://schemas.openxmlformats.org/officeDocument/2006/relationships/hyperlink" Target="https://www.coches.net/ford-fiesta-diesel-2006-en-valencia-71519458-covo.aspx" TargetMode="External" Id="rId517"/><Relationship Type="http://schemas.openxmlformats.org/officeDocument/2006/relationships/hyperlink" Target="https://www.coches.net/ford-fiesta-125-60cv-ambiente-5p-gasolina-2007-en-valencia-71488118-covo.aspx" TargetMode="External" Id="rId518"/><Relationship Type="http://schemas.openxmlformats.org/officeDocument/2006/relationships/hyperlink" Target="https://www.coches.net/ford-fiesta-diesel-2006-en-valencia-71399309-covo.aspx" TargetMode="External" Id="rId519"/><Relationship Type="http://schemas.openxmlformats.org/officeDocument/2006/relationships/hyperlink" Target="https://www.coches.net/ford-fiesta-diesel-2007-en-valencia-71396447-covo.aspx" TargetMode="External" Id="rId520"/><Relationship Type="http://schemas.openxmlformats.org/officeDocument/2006/relationships/hyperlink" Target="https://www.coches.net/ford-fiesta-20-st-3p-gasolina-2007-en-valencia-71356641-covo.aspx" TargetMode="External" Id="rId521"/><Relationship Type="http://schemas.openxmlformats.org/officeDocument/2006/relationships/hyperlink" Target="https://www.coches.net/ford-focus-18-tdci-sport-3p-diesel-2006-en-valencia-71868483-covo.aspx" TargetMode="External" Id="rId522"/><Relationship Type="http://schemas.openxmlformats.org/officeDocument/2006/relationships/hyperlink" Target="https://www.coches.net/ford-focus-16-trend-5p-gasolina-2006-en-valencia-71869539-covo.aspx" TargetMode="External" Id="rId523"/><Relationship Type="http://schemas.openxmlformats.org/officeDocument/2006/relationships/hyperlink" Target="https://www.coches.net/ford-focus-16ti-vct-ghia-5p-gasolina-2007-en-valencia-71824946-covo.aspx" TargetMode="External" Id="rId524"/><Relationship Type="http://schemas.openxmlformats.org/officeDocument/2006/relationships/hyperlink" Target="https://www.coches.net/ford-focus-18-tdci-ghia-5p-diesel-2005-en-valencia-71099479-covo.aspx" TargetMode="External" Id="rId525"/><Relationship Type="http://schemas.openxmlformats.org/officeDocument/2006/relationships/hyperlink" Target="https://www.coches.net/ford-focus-16-tdci-90-trend-5p-diesel-2005-en-valencia-71767355-covo.aspx" TargetMode="External" Id="rId526"/><Relationship Type="http://schemas.openxmlformats.org/officeDocument/2006/relationships/hyperlink" Target="https://www.coches.net/ford-focus-18-tdci-ghia-5p-diesel-2007-en-valencia-71021526-covo.aspx" TargetMode="External" Id="rId527"/><Relationship Type="http://schemas.openxmlformats.org/officeDocument/2006/relationships/hyperlink" Target="https://www.coches.net/ford-focus-20-tdci-s-3p-diesel-2007-en-valencia-71726866-covo.aspx" TargetMode="External" Id="rId528"/><Relationship Type="http://schemas.openxmlformats.org/officeDocument/2006/relationships/hyperlink" Target="https://www.coches.net/ford-focus-16-trend-5p-gasolina-2006-en-valencia-71700165-covo.aspx" TargetMode="External" Id="rId529"/><Relationship Type="http://schemas.openxmlformats.org/officeDocument/2006/relationships/hyperlink" Target="https://www.coches.net/ford-focus-diesel-2010-en-valencia-71699041-covo.aspx" TargetMode="External" Id="rId530"/><Relationship Type="http://schemas.openxmlformats.org/officeDocument/2006/relationships/hyperlink" Target="https://www.coches.net/ford-focus-diesel-2006-en-valencia-71678600-covo.aspx" TargetMode="External" Id="rId531"/><Relationship Type="http://schemas.openxmlformats.org/officeDocument/2006/relationships/hyperlink" Target="https://www.coches.net/ford-fusion-14-tdci-ambiente-5p-diesel-2009-en-valencia-71793171-covo.aspx" TargetMode="External" Id="rId532"/><Relationship Type="http://schemas.openxmlformats.org/officeDocument/2006/relationships/hyperlink" Target="https://www.coches.net/ford-fusion-14-tdci-ambiente-5p-diesel-2007-en-valencia-71552780-covo.aspx" TargetMode="External" Id="rId533"/><Relationship Type="http://schemas.openxmlformats.org/officeDocument/2006/relationships/hyperlink" Target="https://www.coches.net/fiat-500-13-16v-multijet-75-cv-sport-3p-diesel-2007-en-valencia-71844694-covo.aspx" TargetMode="External" Id="rId534"/><Relationship Type="http://schemas.openxmlformats.org/officeDocument/2006/relationships/hyperlink" Target="https://www.coches.net/fiat-linea-14-16v-tjet-120cv-dynamic-4p-gasolina-2007-en-valencia-70514152-covo.aspx" TargetMode="External" Id="rId535"/><Relationship Type="http://schemas.openxmlformats.org/officeDocument/2006/relationships/hyperlink" Target="https://www.coches.net/fiat-500-12-8v-69-cv-lounge-3p-gasolina-2014-en-valencia-62365434-covo.aspx" TargetMode="External" Id="rId536"/><Relationship Type="http://schemas.openxmlformats.org/officeDocument/2006/relationships/hyperlink" Target="https://www.coches.net/fiat-500-13-16v-multijet-75-cv-lounge-3p-diesel-2007-en-valencia-71862620-covo.aspx" TargetMode="External" Id="rId537"/><Relationship Type="http://schemas.openxmlformats.org/officeDocument/2006/relationships/hyperlink" Target="https://www.coches.net/fiat-punto-13-multijet-16v-dynamic-3p-diesel-2007-en-valencia-71858244-covo.aspx" TargetMode="External" Id="rId538"/><Relationship Type="http://schemas.openxmlformats.org/officeDocument/2006/relationships/hyperlink" Target="https://www.coches.net/fiat-grande-punto-13-multijet-16v-90-active-3p-diesel-2007-en-valencia-71857656-covo.aspx" TargetMode="External" Id="rId539"/><Relationship Type="http://schemas.openxmlformats.org/officeDocument/2006/relationships/hyperlink" Target="https://www.coches.net/fiat-bravo-16-multijet-120-cv-emotion-5p-diesel-2012-en-valencia-71808710-covo.aspx" TargetMode="External" Id="rId540"/><Relationship Type="http://schemas.openxmlformats.org/officeDocument/2006/relationships/hyperlink" Target="https://www.coches.net/fiat-500-12-8v-69-cv-sport-3p-gasolina-2009-en-valencia-71804422-covo.aspx" TargetMode="External" Id="rId541"/><Relationship Type="http://schemas.openxmlformats.org/officeDocument/2006/relationships/hyperlink" Target="https://www.coches.net/fiat-fiorino-combi-adventure-13-mjt-75cv-5plazas-e5-4p-diesel-2016-en-valencia-71800515-covo.aspx" TargetMode="External" Id="rId542"/><Relationship Type="http://schemas.openxmlformats.org/officeDocument/2006/relationships/hyperlink" Target="https://www.coches.net/fiat-punto-12-feel-5p-gasolina-2005-en-valencia-71702947-covo.aspx" TargetMode="External" Id="rId543"/><Relationship Type="http://schemas.openxmlformats.org/officeDocument/2006/relationships/hyperlink" Target="https://www.coches.net/fiat-500-12-8v-69-cv-lounge-3p-gasolina-2012-en-valencia-71487805-covo.aspx" TargetMode="External" Id="rId544"/><Relationship Type="http://schemas.openxmlformats.org/officeDocument/2006/relationships/hyperlink" Target="https://www.coches.net/fiat-bravo-diesel-2007-en-valencia-71258359-covo.aspx" TargetMode="External" Id="rId545"/><Relationship Type="http://schemas.openxmlformats.org/officeDocument/2006/relationships/hyperlink" Target="https://www.coches.net/nissan-note-5p-14g-88cv-acenta-5p-gasolina-2011-en-valencia-71643063-covo.aspx" TargetMode="External" Id="rId546"/><Relationship Type="http://schemas.openxmlformats.org/officeDocument/2006/relationships/hyperlink" Target="https://www.coches.net/suzuki-alto-10-gl-5p-gasolina-2009-en-valencia-71530109-covo.aspx" TargetMode="External" Id="rId547"/><Relationship Type="http://schemas.openxmlformats.org/officeDocument/2006/relationships/hyperlink" Target="https://www.coches.net/suzuki-swift-diesel-2006-en-valencia-71666662-covo.aspx" TargetMode="External" Id="rId548"/><Relationship Type="http://schemas.openxmlformats.org/officeDocument/2006/relationships/hyperlink" Target="https://www.coches.net/suzuki-swift-13-gl-5p-5p-gasolina-2006-en-valencia-71604098-covo.aspx" TargetMode="External" Id="rId549"/><Relationship Type="http://schemas.openxmlformats.org/officeDocument/2006/relationships/hyperlink" Target="https://www.coches.net/audi-a3-sportback-19-tdi-ambiente-dpf-5p-diesel-2006-en-valencia-71649260-covo.aspx" TargetMode="External" Id="rId550"/><Relationship Type="http://schemas.openxmlformats.org/officeDocument/2006/relationships/hyperlink" Target="https://www.coches.net/mini-mini-cooper-3p-gasolina-2009-en-valencia-71855000-covo.aspx" TargetMode="External" Id="rId551"/><Relationship Type="http://schemas.openxmlformats.org/officeDocument/2006/relationships/hyperlink" Target="https://www.coches.net/mini-mini-one-3p-gasolina-2008-en-valencia-71821326-covo.aspx" TargetMode="External" Id="rId552"/><Relationship Type="http://schemas.openxmlformats.org/officeDocument/2006/relationships/hyperlink" Target="https://www.coches.net/mini-mini-cooper-3p-gasolina-2007-en-valencia-71805914-covo.aspx" TargetMode="External" Id="rId553"/><Relationship Type="http://schemas.openxmlformats.org/officeDocument/2006/relationships/hyperlink" Target="https://www.coches.net/mini-mini-one-seven-3p-gasolina-2006-en-valencia-71745074-covo.aspx" TargetMode="External" Id="rId554"/><Relationship Type="http://schemas.openxmlformats.org/officeDocument/2006/relationships/hyperlink" Target="https://www.coches.net/mini-mini-diesel-2007-en-valencia-71599977-covo.aspx" TargetMode="External" Id="rId555"/><Relationship Type="http://schemas.openxmlformats.org/officeDocument/2006/relationships/hyperlink" Target="https://www.coches.net/mini-mini-gasolina-2006-en-valencia-71570664-covo.aspx" TargetMode="External" Id="rId556"/><Relationship Type="http://schemas.openxmlformats.org/officeDocument/2006/relationships/hyperlink" Target="https://www.coches.net/mini-mini-one-3p-gasolina-2009-en-valencia-71445782-covo.aspx" TargetMode="External" Id="rId557"/><Relationship Type="http://schemas.openxmlformats.org/officeDocument/2006/relationships/hyperlink" Target="https://www.coches.net/mini-mini-one-3p-gasolina-2009-en-valencia-71332504-covo.aspx" TargetMode="External" Id="rId558"/><Relationship Type="http://schemas.openxmlformats.org/officeDocument/2006/relationships/hyperlink" Target="https://www.coches.net/mini-mini-gasolina-2007-en-valencia-71026453-covo.aspx" TargetMode="External" Id="rId559"/><Relationship Type="http://schemas.openxmlformats.org/officeDocument/2006/relationships/hyperlink" Target="https://www.coches.net/chevrolet-aveo-12-16v-ls-5p-gasolina-2010-en-valencia-71527060-covo.aspx" TargetMode="External" Id="rId560"/><Relationship Type="http://schemas.openxmlformats.org/officeDocument/2006/relationships/hyperlink" Target="https://www.coches.net/chevrolet-epica-20-vcdi-16v-lt-4p-diesel-2008-en-valencia-71536876-covo.aspx" TargetMode="External" Id="rId561"/><Relationship Type="http://schemas.openxmlformats.org/officeDocument/2006/relationships/hyperlink" Target="https://www.coches.net/chevrolet-nubira-gasolina-2006-en-valencia-71677537-covo.aspx" TargetMode="External" Id="rId562"/><Relationship Type="http://schemas.openxmlformats.org/officeDocument/2006/relationships/hyperlink" Target="https://www.coches.net/chevrolet-matiz-gasolina-2009-en-valencia-71593732-covo.aspx" TargetMode="External" Id="rId563"/><Relationship Type="http://schemas.openxmlformats.org/officeDocument/2006/relationships/hyperlink" Target="https://www.coches.net/chevrolet-matiz-gasolina-2008-en-valencia-71463242-covo.aspx" TargetMode="External" Id="rId564"/><Relationship Type="http://schemas.openxmlformats.org/officeDocument/2006/relationships/hyperlink" Target="https://www.coches.net/chevrolet-nubira-gasolina-2010-en-valencia-71265158-covo.aspx" TargetMode="External" Id="rId565"/><Relationship Type="http://schemas.openxmlformats.org/officeDocument/2006/relationships/hyperlink" Target="https://www.coches.net/chevrolet-aveo-gasolina-2006-en-valencia-71109870-covo.aspx" TargetMode="External" Id="rId566"/><Relationship Type="http://schemas.openxmlformats.org/officeDocument/2006/relationships/hyperlink" Target="https://www.coches.net/chevrolet-epica-gasolina-2009-en-valencia-70954238-covo.aspx" TargetMode="External" Id="rId567"/><Relationship Type="http://schemas.openxmlformats.org/officeDocument/2006/relationships/hyperlink" Target="https://www.coches.net/chevrolet-matiz-gasolina-2007-en-valencia-61193809-covo.aspx" TargetMode="External" Id="rId568"/><Relationship Type="http://schemas.openxmlformats.org/officeDocument/2006/relationships/hyperlink" Target="https://www.coches.net/toyota-aygo-10-vvti-aygo-5p-gasolina-2008-en-castellon-71821051-covo.aspx" TargetMode="External" Id="rId569"/><Relationship Type="http://schemas.openxmlformats.org/officeDocument/2006/relationships/hyperlink" Target="https://www.coches.net/toyota-corolla-diesel-2006-en-castellon-71307943-covo.aspx" TargetMode="External" Id="rId570"/><Relationship Type="http://schemas.openxmlformats.org/officeDocument/2006/relationships/hyperlink" Target="https://www.coches.net/toyota-corolla-14-d4d-90cv-luna-5p-diesel-2006-en-castellon-71285724-covo.aspx" TargetMode="External" Id="rId571"/><Relationship Type="http://schemas.openxmlformats.org/officeDocument/2006/relationships/hyperlink" Target="https://www.coches.net/honda-civic-22-ictdi-sport-5p-diesel-2006-en-castellon-70981692-covo.aspx" TargetMode="External" Id="rId572"/><Relationship Type="http://schemas.openxmlformats.org/officeDocument/2006/relationships/hyperlink" Target="https://www.coches.net/mazda-mazda2-active-14-crtd-5p-diesel-2007-en-castellon-71743921-covo.aspx" TargetMode="External" Id="rId573"/><Relationship Type="http://schemas.openxmlformats.org/officeDocument/2006/relationships/hyperlink" Target="https://www.coches.net/kia-ceed-diesel-2009-en-castellon-70963914-covo.aspx" TargetMode="External" Id="rId574"/><Relationship Type="http://schemas.openxmlformats.org/officeDocument/2006/relationships/hyperlink" Target="https://www.coches.net/hyundai-matrix-16-gls-5p-gasolina-2007-en-castellon-71754825-covo.aspx" TargetMode="External" Id="rId575"/><Relationship Type="http://schemas.openxmlformats.org/officeDocument/2006/relationships/hyperlink" Target="https://www.coches.net/hyundai-i30-16-cvvt-style-5p-gasolina-2008-en-castellon-70497853-covo.aspx" TargetMode="External" Id="rId576"/><Relationship Type="http://schemas.openxmlformats.org/officeDocument/2006/relationships/hyperlink" Target="https://www.coches.net/skoda-fabia-combi-14-16v-75cv-young-5p-gasolina-2006-en-castellon-71735711-covo.aspx" TargetMode="External" Id="rId577"/><Relationship Type="http://schemas.openxmlformats.org/officeDocument/2006/relationships/hyperlink" Target="https://www.coches.net/skoda-fabia-12-12v-60cv-young-5p-gasolina-2011-en-castellon-71112200-covo.aspx" TargetMode="External" Id="rId578"/><Relationship Type="http://schemas.openxmlformats.org/officeDocument/2006/relationships/hyperlink" Target="https://www.coches.net/seat-ibiza-19-tdi-100cv-hit-5p-diesel-2007-en-castellon-62641273-covo.aspx" TargetMode="External" Id="rId579"/><Relationship Type="http://schemas.openxmlformats.org/officeDocument/2006/relationships/hyperlink" Target="https://www.coches.net/seat-ibiza-14-tdi-80cv-reference-5p-diesel-2007-en-castellon-71827782-covo.aspx" TargetMode="External" Id="rId580"/><Relationship Type="http://schemas.openxmlformats.org/officeDocument/2006/relationships/hyperlink" Target="https://www.coches.net/seat-altea-diesel-2010-en-castellon-71551845-covo.aspx" TargetMode="External" Id="rId581"/><Relationship Type="http://schemas.openxmlformats.org/officeDocument/2006/relationships/hyperlink" Target="https://www.coches.net/seat-ibiza-diesel-2009-en-castellon-71479587-covo.aspx" TargetMode="External" Id="rId582"/><Relationship Type="http://schemas.openxmlformats.org/officeDocument/2006/relationships/hyperlink" Target="https://www.coches.net/seat-cordoba-diesel-2007-en-castellon-71450904-covo.aspx" TargetMode="External" Id="rId583"/><Relationship Type="http://schemas.openxmlformats.org/officeDocument/2006/relationships/hyperlink" Target="https://www.coches.net/seat-leon-gasolina-2007-en-castellon-71374977-covo.aspx" TargetMode="External" Id="rId584"/><Relationship Type="http://schemas.openxmlformats.org/officeDocument/2006/relationships/hyperlink" Target="https://www.coches.net/seat-altea-xl-diesel-2006-en-castellon-71302646-covo.aspx" TargetMode="External" Id="rId585"/><Relationship Type="http://schemas.openxmlformats.org/officeDocument/2006/relationships/hyperlink" Target="https://www.coches.net/seat-leon-19-tdi-105cv-reference-5p-diesel-2007-en-castellon-71091125-covo.aspx" TargetMode="External" Id="rId586"/><Relationship Type="http://schemas.openxmlformats.org/officeDocument/2006/relationships/hyperlink" Target="https://www.coches.net/volkswagen-fox-14-3p-gasolina-2006-en-castellon-71837257-covo.aspx" TargetMode="External" Id="rId587"/><Relationship Type="http://schemas.openxmlformats.org/officeDocument/2006/relationships/hyperlink" Target="https://www.coches.net/volkswagen-polo-14-advance-75cv-3p-gasolina-2006-en-castellon-71807828-covo.aspx" TargetMode="External" Id="rId588"/><Relationship Type="http://schemas.openxmlformats.org/officeDocument/2006/relationships/hyperlink" Target="https://www.coches.net/volkswagen-polo-19-tdi-highline-100cv-5p-diesel-2007-en-castellon-71792798-covo.aspx" TargetMode="External" Id="rId589"/><Relationship Type="http://schemas.openxmlformats.org/officeDocument/2006/relationships/hyperlink" Target="https://www.coches.net/volkswagen-up-10-60cv-black-up-5p-gasolina-2012-en-castellon-71850085-covo.aspx" TargetMode="External" Id="rId590"/><Relationship Type="http://schemas.openxmlformats.org/officeDocument/2006/relationships/hyperlink" Target="https://www.coches.net/volkswagen-golf-variant-19-tdi-105cv-advance-5p-diesel-2007-en-castellon-71720362-covo.aspx" TargetMode="External" Id="rId591"/><Relationship Type="http://schemas.openxmlformats.org/officeDocument/2006/relationships/hyperlink" Target="https://www.coches.net/opel-astra-17-cdti-110-cv-sport-5p-diesel-2010-en-castellon-71874637-covo.aspx" TargetMode="External" Id="rId592"/><Relationship Type="http://schemas.openxmlformats.org/officeDocument/2006/relationships/hyperlink" Target="https://www.coches.net/opel-corsa-17-cdti-sport-3p-diesel-2010-en-castellon-71766461-covo.aspx" TargetMode="External" Id="rId593"/><Relationship Type="http://schemas.openxmlformats.org/officeDocument/2006/relationships/hyperlink" Target="https://www.coches.net/opel-corsa-14-expression-75-cv-3p-gasolina-2015-en-castellon-71743852-covo.aspx" TargetMode="External" Id="rId594"/><Relationship Type="http://schemas.openxmlformats.org/officeDocument/2006/relationships/hyperlink" Target="https://www.coches.net/opel-corsa-diesel-2015-en-castellon-71641526-covo.aspx" TargetMode="External" Id="rId595"/><Relationship Type="http://schemas.openxmlformats.org/officeDocument/2006/relationships/hyperlink" Target="https://www.coches.net/opel-astra-gtc-17-cdti-sport-3p-diesel-2007-en-castellon-71626737-covo.aspx" TargetMode="External" Id="rId596"/><Relationship Type="http://schemas.openxmlformats.org/officeDocument/2006/relationships/hyperlink" Target="https://www.coches.net/opel-corsa-enjoy-12-5p-gasolina-2008-en-castellon-71526255-covo.aspx" TargetMode="External" Id="rId597"/><Relationship Type="http://schemas.openxmlformats.org/officeDocument/2006/relationships/hyperlink" Target="https://www.coches.net/opel-corsa-cosmo-14-5p-gasolina-2008-en-castellon-71365444-covo.aspx" TargetMode="External" Id="rId598"/><Relationship Type="http://schemas.openxmlformats.org/officeDocument/2006/relationships/hyperlink" Target="https://www.coches.net/opel-astra-gtc-17-cdti-sport-6velocidades-3p-diesel-2006-en-castellon-71364410-covo.aspx" TargetMode="External" Id="rId599"/><Relationship Type="http://schemas.openxmlformats.org/officeDocument/2006/relationships/hyperlink" Target="https://www.coches.net/opel-corsa-gasolina-2008-en-castellon-71357426-covo.aspx" TargetMode="External" Id="rId600"/><Relationship Type="http://schemas.openxmlformats.org/officeDocument/2006/relationships/hyperlink" Target="https://www.coches.net/opel-astra-17-cdti-cosmo-5p-diesel-2010-en-castellon-71309711-covo.aspx" TargetMode="External" Id="rId601"/><Relationship Type="http://schemas.openxmlformats.org/officeDocument/2006/relationships/hyperlink" Target="https://www.coches.net/opel-corsa-diesel-2006-en-castellon-71431998-covo.aspx" TargetMode="External" Id="rId602"/><Relationship Type="http://schemas.openxmlformats.org/officeDocument/2006/relationships/hyperlink" Target="https://www.coches.net/renault-megane-limited-dci-110-eco2-5p-diesel-2014-en-castellon-71829616-covo.aspx" TargetMode="External" Id="rId603"/><Relationship Type="http://schemas.openxmlformats.org/officeDocument/2006/relationships/hyperlink" Target="https://www.coches.net/renault-megane-dynamique-16-16v-3p-gasolina-2006-en-castellon-71804078-covo.aspx" TargetMode="External" Id="rId604"/><Relationship Type="http://schemas.openxmlformats.org/officeDocument/2006/relationships/hyperlink" Target="https://www.coches.net/renault-laguna-expression-20dci-130cv-5p-diesel-2009-en-castellon-71721921-covo.aspx" TargetMode="External" Id="rId605"/><Relationship Type="http://schemas.openxmlformats.org/officeDocument/2006/relationships/hyperlink" Target="https://www.coches.net/renault-megane-gasolina-2009-en-castellon-71669228-covo.aspx" TargetMode="External" Id="rId606"/><Relationship Type="http://schemas.openxmlformats.org/officeDocument/2006/relationships/hyperlink" Target="https://www.coches.net/renault-megane-sport-tourer-business-dci-110-5p-diesel-2012-en-castellon-71609841-covo.aspx" TargetMode="External" Id="rId607"/><Relationship Type="http://schemas.openxmlformats.org/officeDocument/2006/relationships/hyperlink" Target="https://www.coches.net/renault-twingo-authentique-12-eco2-3p-gasolina-2008-en-castellon-70895846-covo.aspx" TargetMode="External" Id="rId608"/><Relationship Type="http://schemas.openxmlformats.org/officeDocument/2006/relationships/hyperlink" Target="https://www.coches.net/renault-megane-diesel-2011-en-castellon-71539906-covo.aspx" TargetMode="External" Id="rId609"/><Relationship Type="http://schemas.openxmlformats.org/officeDocument/2006/relationships/hyperlink" Target="https://www.coches.net/renault-megane-business-energy-dci-110-ss-eco2-5p-diesel-2013-en-castellon-71493075-covo.aspx" TargetMode="External" Id="rId610"/><Relationship Type="http://schemas.openxmlformats.org/officeDocument/2006/relationships/hyperlink" Target="https://www.coches.net/renault-clio-diesel-2012-en-castellon-71583806-covo.aspx" TargetMode="External" Id="rId611"/><Relationship Type="http://schemas.openxmlformats.org/officeDocument/2006/relationships/hyperlink" Target="https://www.coches.net/renault-clio-iii-diesel-2012-en-castellon-71222696-covo.aspx" TargetMode="External" Id="rId612"/><Relationship Type="http://schemas.openxmlformats.org/officeDocument/2006/relationships/hyperlink" Target="https://www.coches.net/renault-clio-campus-campus-authentique-12-5p-gasolina-2006-en-castellon-71287668-covo.aspx" TargetMode="External" Id="rId613"/><Relationship Type="http://schemas.openxmlformats.org/officeDocument/2006/relationships/hyperlink" Target="https://www.coches.net/dacia-sandero-podium-12-16v-75cv-5p-gasolina-2012-en-castellon-71669055-covo.aspx" TargetMode="External" Id="rId614"/><Relationship Type="http://schemas.openxmlformats.org/officeDocument/2006/relationships/hyperlink" Target="https://www.coches.net/dacia-sandero-ambiance-12-16v-75cv-5p-gasolina-2010-en-castellon-71800200-covo.aspx" TargetMode="External" Id="rId615"/><Relationship Type="http://schemas.openxmlformats.org/officeDocument/2006/relationships/hyperlink" Target="https://www.coches.net/dacia-sandero-gasolina-2010-en-castellon-71424773-covo.aspx" TargetMode="External" Id="rId616"/><Relationship Type="http://schemas.openxmlformats.org/officeDocument/2006/relationships/hyperlink" Target="https://www.coches.net/dacia-logan-ambiance-dci-90-eu6-4p-diesel-2016-en-castellon-71305630-covo.aspx" TargetMode="External" Id="rId617"/><Relationship Type="http://schemas.openxmlformats.org/officeDocument/2006/relationships/hyperlink" Target="https://www.coches.net/dacia-sandero-laureate-12-16v-75cv-5p-gasolina-2009-en-castellon-71299528-covo.aspx" TargetMode="External" Id="rId618"/><Relationship Type="http://schemas.openxmlformats.org/officeDocument/2006/relationships/hyperlink" Target="https://www.coches.net/peugeot-207-confort-14-vti-16v-95-5p-gasolina-2009-en-castellon-71576158-covo.aspx" TargetMode="External" Id="rId619"/><Relationship Type="http://schemas.openxmlformats.org/officeDocument/2006/relationships/hyperlink" Target="https://www.coches.net/peugeot-207-14-hdi-xline-5p-diesel-2006-en-castellon-71790338-covo.aspx" TargetMode="External" Id="rId620"/><Relationship Type="http://schemas.openxmlformats.org/officeDocument/2006/relationships/hyperlink" Target="https://www.coches.net/peugeot-108-gasolina-2018-en-castellon-71718082-covo.aspx" TargetMode="External" Id="rId621"/><Relationship Type="http://schemas.openxmlformats.org/officeDocument/2006/relationships/hyperlink" Target="https://www.coches.net/peugeot-108-top-allure-12-puretech-60kw-82cv-5p-gasolina-2017-en-castellon-71692509-covo.aspx" TargetMode="External" Id="rId622"/><Relationship Type="http://schemas.openxmlformats.org/officeDocument/2006/relationships/hyperlink" Target="https://www.coches.net/peugeot-207-access-14-hdi-70-fap-5p-diesel-2011-en-castellon-71616165-covo.aspx" TargetMode="External" Id="rId623"/><Relationship Type="http://schemas.openxmlformats.org/officeDocument/2006/relationships/hyperlink" Target="https://www.coches.net/peugeot-206-gasolina-2010-en-castellon-71623136-covo.aspx" TargetMode="External" Id="rId624"/><Relationship Type="http://schemas.openxmlformats.org/officeDocument/2006/relationships/hyperlink" Target="https://www.coches.net/peugeot-207-active-14-hdi-70-fap-5p-diesel-2011-en-castellon-71604952-covo.aspx" TargetMode="External" Id="rId625"/><Relationship Type="http://schemas.openxmlformats.org/officeDocument/2006/relationships/hyperlink" Target="https://www.coches.net/peugeot-508-access-16-hdi-112cv-4p-diesel-2011-en-castellon-71575695-covo.aspx" TargetMode="External" Id="rId626"/><Relationship Type="http://schemas.openxmlformats.org/officeDocument/2006/relationships/hyperlink" Target="https://www.coches.net/peugeot-308-gasolina-2008-en-castellon-71554085-covo.aspx" TargetMode="External" Id="rId627"/><Relationship Type="http://schemas.openxmlformats.org/officeDocument/2006/relationships/hyperlink" Target="https://www.coches.net/peugeot-308-gasolina-2008-en-castellon-71336300-covo.aspx" TargetMode="External" Id="rId628"/><Relationship Type="http://schemas.openxmlformats.org/officeDocument/2006/relationships/hyperlink" Target="https://www.coches.net/citroen-c1-10-sx-3p-gasolina-2005-en-castellon-71743794-covo.aspx" TargetMode="External" Id="rId629"/><Relationship Type="http://schemas.openxmlformats.org/officeDocument/2006/relationships/hyperlink" Target="https://www.coches.net/citroen-c4-16-hdi-110-collection-5p-diesel-2004-en-castellon-71039970-covo.aspx" TargetMode="External" Id="rId630"/><Relationship Type="http://schemas.openxmlformats.org/officeDocument/2006/relationships/hyperlink" Target="https://www.coches.net/citroen-c3-11i-sx-5p-gasolina-2007-en-castellon-71829623-covo.aspx" TargetMode="External" Id="rId631"/><Relationship Type="http://schemas.openxmlformats.org/officeDocument/2006/relationships/hyperlink" Target="https://www.coches.net/citroen-c2-14-hdi-collection-3p-diesel-2005-en-castellon-71441232-covo.aspx" TargetMode="External" Id="rId632"/><Relationship Type="http://schemas.openxmlformats.org/officeDocument/2006/relationships/hyperlink" Target="https://www.coches.net/citroen-c4-gasolina-2006-en-castellon-71690884-covo.aspx" TargetMode="External" Id="rId633"/><Relationship Type="http://schemas.openxmlformats.org/officeDocument/2006/relationships/hyperlink" Target="https://www.coches.net/citroen-c4-14-16v-collection-5p-gasolina-2004-en-castellon-71573999-covo.aspx" TargetMode="External" Id="rId634"/><Relationship Type="http://schemas.openxmlformats.org/officeDocument/2006/relationships/hyperlink" Target="https://www.coches.net/citroen-c4-gasolina-2007-en-castellon-71545301-covo.aspx" TargetMode="External" Id="rId635"/><Relationship Type="http://schemas.openxmlformats.org/officeDocument/2006/relationships/hyperlink" Target="https://www.coches.net/citroen-c4-gasolina-2009-en-castellon-71487124-covo.aspx" TargetMode="External" Id="rId636"/><Relationship Type="http://schemas.openxmlformats.org/officeDocument/2006/relationships/hyperlink" Target="https://www.coches.net/citroen-c4-14-16v-sx-5p-gasolina-2006-en-castellon-71302665-covo.aspx" TargetMode="External" Id="rId637"/><Relationship Type="http://schemas.openxmlformats.org/officeDocument/2006/relationships/hyperlink" Target="https://www.coches.net/citroen-c3-gasolina-2006-en-castellon-71131545-covo.aspx" TargetMode="External" Id="rId638"/><Relationship Type="http://schemas.openxmlformats.org/officeDocument/2006/relationships/hyperlink" Target="https://www.coches.net/citroen-c4-16-16v-collection-3p-gasolina-2007-en-castellon-70992587-covo.aspx" TargetMode="External" Id="rId639"/><Relationship Type="http://schemas.openxmlformats.org/officeDocument/2006/relationships/hyperlink" Target="https://www.coches.net/ford-fiesta-16-tdci-newport-5p-diesel-2006-en-castellon-71857142-covo.aspx" TargetMode="External" Id="rId640"/><Relationship Type="http://schemas.openxmlformats.org/officeDocument/2006/relationships/hyperlink" Target="https://www.coches.net/ford-focus-16-trend-5p-gasolina-2009-en-castellon-71827603-covo.aspx" TargetMode="External" Id="rId641"/><Relationship Type="http://schemas.openxmlformats.org/officeDocument/2006/relationships/hyperlink" Target="https://www.coches.net/ford-focus-16-tdci-109-trend-5p-diesel-2010-en-castellon-71795240-covo.aspx" TargetMode="External" Id="rId642"/><Relationship Type="http://schemas.openxmlformats.org/officeDocument/2006/relationships/hyperlink" Target="https://www.coches.net/ford-fusion-14-tdci-fusion--durashift-est-5p-diesel-2006-en-castellon-71554165-covo.aspx" TargetMode="External" Id="rId643"/><Relationship Type="http://schemas.openxmlformats.org/officeDocument/2006/relationships/hyperlink" Target="https://www.coches.net/ford-fiesta-125-60cv-ambiente-5p-gasolina-2009-en-castellon-71566517-covo.aspx" TargetMode="External" Id="rId644"/><Relationship Type="http://schemas.openxmlformats.org/officeDocument/2006/relationships/hyperlink" Target="https://www.coches.net/ford-fiesta-diesel-2009-en-castellon-71452715-covo.aspx" TargetMode="External" Id="rId645"/><Relationship Type="http://schemas.openxmlformats.org/officeDocument/2006/relationships/hyperlink" Target="https://www.coches.net/fiat-bravo-19-multijet-120-cv-active-5p-diesel-2007-en-castellon-71781100-covo.aspx" TargetMode="External" Id="rId646"/><Relationship Type="http://schemas.openxmlformats.org/officeDocument/2006/relationships/hyperlink" Target="https://www.coches.net/fiat-500-09-turbo-twinair-85cv-blackjack-3p-gasolina-2007-en-castellon-70833137-covo.aspx" TargetMode="External" Id="rId647"/><Relationship Type="http://schemas.openxmlformats.org/officeDocument/2006/relationships/hyperlink" Target="https://www.coches.net/suzuki-swift-13-ddis-glx-5p-5p-diesel-2007-en-castellon-71874126-covo.aspx" TargetMode="External" Id="rId648"/><Relationship Type="http://schemas.openxmlformats.org/officeDocument/2006/relationships/hyperlink" Target="https://www.coches.net/mitsubishi-colt-gasolina-2006-en-castellon-71561708-covo.aspx" TargetMode="External" Id="rId649"/><Relationship Type="http://schemas.openxmlformats.org/officeDocument/2006/relationships/hyperlink" Target="https://www.coches.net/audi-a3-sportback-19-tdi-ambition-dpf-5p-diesel-2006-en-castellon-71260271-covo.aspx" TargetMode="External" Id="rId650"/><Relationship Type="http://schemas.openxmlformats.org/officeDocument/2006/relationships/hyperlink" Target="https://www.coches.net/mini-mini-gasolina-2010-en-castellon-71617678-covo.aspx" TargetMode="External" Id="rId651"/><Relationship Type="http://schemas.openxmlformats.org/officeDocument/2006/relationships/hyperlink" Target="https://www.coches.net/mini-mini-gasolina-2010-en-castellon-71575875-covo.aspx" TargetMode="External" Id="rId652"/><Relationship Type="http://schemas.openxmlformats.org/officeDocument/2006/relationships/hyperlink" Target="https://www.coches.net/mini-mini-one-3p-gasolina-2011-en-castellon-71405848-covo.aspx" TargetMode="External" Id="rId653"/><Relationship Type="http://schemas.openxmlformats.org/officeDocument/2006/relationships/hyperlink" Target="https://www.coches.net/mini-mini-one-d-3p-diesel-2006-en-castellon-71354523-covo.aspx" TargetMode="External" Id="rId654"/><Relationship Type="http://schemas.openxmlformats.org/officeDocument/2006/relationships/hyperlink" Target="https://www.coches.net/smart-forfour-15-cdi-68cv-pure-5p-diesel-2006-en-castellon-70558216-covo.aspx" TargetMode="External" Id="rId655"/><Relationship Type="http://schemas.openxmlformats.org/officeDocument/2006/relationships/hyperlink" Target="https://www.coches.net/chevrolet-aveo-12-16v-ls-5p-gasolina-2011-en-castellon-71789822-covo.aspx" TargetMode="External" Id="rId656"/><Relationship Type="http://schemas.openxmlformats.org/officeDocument/2006/relationships/hyperlink" Target="https://www.coches.net/chevrolet-matiz-10-s-5p-gasolina-2006-en-castellon-71686041-covo.aspx" TargetMode="External" Id="rId657"/><Relationship Type="http://schemas.openxmlformats.org/officeDocument/2006/relationships/hyperlink" Target="https://www.coches.net/chevrolet-kalos-gasolina-2008-en-castellon-71555558-covo.aspx" TargetMode="External" Id="rId658"/><Relationship Type="http://schemas.openxmlformats.org/officeDocument/2006/relationships/hyperlink" Target="https://www.coches.net/chevrolet-kalos-12-se-5p-gasolina-2007-en-castellon-71504768-covo.aspx" TargetMode="External" Id="rId659"/><Relationship Type="http://schemas.openxmlformats.org/officeDocument/2006/relationships/hyperlink" Target="https://www.coches.net/chevrolet-epica-20-vcdi-16v-lt-4p-diesel-2009-en-castellon-71502762-covo.aspx" TargetMode="External" Id="rId660"/><Relationship Type="http://schemas.openxmlformats.org/officeDocument/2006/relationships/hyperlink" Target="https://www.coches.net/chevrolet-kalos-12-se-3p-gasolina-2006-en-castellon-71319739-covo.aspx" TargetMode="External" Id="rId66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J662"/>
  <sheetViews>
    <sheetView workbookViewId="0">
      <selection activeCell="A1" sqref="A1"/>
    </sheetView>
  </sheetViews>
  <sheetFormatPr baseColWidth="8" defaultRowHeight="15"/>
  <cols>
    <col width="13" customWidth="1" min="1" max="1"/>
    <col width="13" customWidth="1" min="2" max="2"/>
    <col width="30" customWidth="1" min="3" max="3"/>
    <col width="40"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30" customWidth="1" min="43" max="43"/>
    <col width="40" customWidth="1" min="44" max="44"/>
    <col width="60" customWidth="1" min="45" max="45"/>
    <col width="30"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s>
  <sheetData>
    <row r="1">
      <c r="A1" s="1" t="inlineStr">
        <is>
          <t>ID</t>
        </is>
      </c>
      <c r="B1" s="1" t="inlineStr">
        <is>
          <t>Plataforma</t>
        </is>
      </c>
      <c r="C1" s="1" t="inlineStr">
        <is>
          <t>URL</t>
        </is>
      </c>
      <c r="D1" s="1" t="inlineStr">
        <is>
          <t>Título</t>
        </is>
      </c>
      <c r="E1" s="1" t="inlineStr">
        <is>
          <t>Marca</t>
        </is>
      </c>
      <c r="F1" s="1" t="inlineStr">
        <is>
          <t>Modelo</t>
        </is>
      </c>
      <c r="G1" s="1" t="inlineStr">
        <is>
          <t>Motor (normalizado)</t>
        </is>
      </c>
      <c r="H1" s="1" t="inlineStr">
        <is>
          <t>Versión</t>
        </is>
      </c>
      <c r="I1" s="1" t="inlineStr">
        <is>
          <t>Cilindrada (cc)</t>
        </is>
      </c>
      <c r="J1" s="1" t="inlineStr">
        <is>
          <t>Potencia (CV)</t>
        </is>
      </c>
      <c r="K1" s="1" t="inlineStr">
        <is>
          <t>Combustible</t>
        </is>
      </c>
      <c r="L1" s="1" t="inlineStr">
        <is>
          <t>Segmento</t>
        </is>
      </c>
      <c r="M1" s="1" t="inlineStr">
        <is>
          <t>Año</t>
        </is>
      </c>
      <c r="N1" s="1" t="inlineStr">
        <is>
          <t>Km</t>
        </is>
      </c>
      <c r="O1" s="1" t="inlineStr">
        <is>
          <t>Precio (€)</t>
        </is>
      </c>
      <c r="P1" s="1" t="inlineStr">
        <is>
          <t>Cambio</t>
        </is>
      </c>
      <c r="Q1" s="1" t="inlineStr">
        <is>
          <t>Automático</t>
        </is>
      </c>
      <c r="R1" s="1" t="inlineStr">
        <is>
          <t>Vendedor</t>
        </is>
      </c>
      <c r="S1" s="1" t="inlineStr">
        <is>
          <t>Ubicación</t>
        </is>
      </c>
      <c r="T1" s="1" t="inlineStr">
        <is>
          <t>Publicado</t>
        </is>
      </c>
      <c r="U1" s="1" t="inlineStr">
        <is>
          <t>Nº fotos</t>
        </is>
      </c>
      <c r="V1" s="1" t="inlineStr">
        <is>
          <t>ITV en vigor</t>
        </is>
      </c>
      <c r="W1" s="1" t="inlineStr">
        <is>
          <t>Libro mantenimiento</t>
        </is>
      </c>
      <c r="X1" s="1" t="inlineStr">
        <is>
          <t>Correa/distrib. cambiada</t>
        </is>
      </c>
      <c r="Y1" s="1" t="inlineStr">
        <is>
          <t>Nº propietarios</t>
        </is>
      </c>
      <c r="Z1" s="1" t="inlineStr">
        <is>
          <t>Garantía</t>
        </is>
      </c>
      <c r="AA1" s="1" t="inlineStr">
        <is>
          <t>Km justificados</t>
        </is>
      </c>
      <c r="AB1" s="1" t="inlineStr">
        <is>
          <t>Garantía incluida (meses)</t>
        </is>
      </c>
      <c r="AC1" s="1" t="inlineStr">
        <is>
          <t>Garantía ampliable</t>
        </is>
      </c>
      <c r="AD1" s="1" t="inlineStr">
        <is>
          <t>Precio ampliación garantía (€)</t>
        </is>
      </c>
      <c r="AE1" s="1" t="inlineStr">
        <is>
          <t>Revisión (puntos)</t>
        </is>
      </c>
      <c r="AF1" s="1" t="inlineStr">
        <is>
          <t>Km certificados</t>
        </is>
      </c>
      <c r="AG1" s="1" t="inlineStr">
        <is>
          <t>Devolución (días)</t>
        </is>
      </c>
      <c r="AH1" s="1" t="inlineStr">
        <is>
          <t>Precio al contado (€)</t>
        </is>
      </c>
      <c r="AI1" s="1" t="inlineStr">
        <is>
          <t>Precio financiado (€)</t>
        </is>
      </c>
      <c r="AJ1" s="1" t="inlineStr">
        <is>
          <t>Precio anunciado solo financiando</t>
        </is>
      </c>
      <c r="AK1" s="1" t="inlineStr">
        <is>
          <t>Gastos de gestión del vendedor (€)</t>
        </is>
      </c>
      <c r="AL1" s="1" t="inlineStr">
        <is>
          <t>Gastos incluyen transferencia</t>
        </is>
      </c>
      <c r="AM1" s="1" t="inlineStr">
        <is>
          <t>Distancia a València (km)</t>
        </is>
      </c>
      <c r="AN1" s="1" t="inlineStr">
        <is>
          <t>Mediana de mercado del segmento (€)</t>
        </is>
      </c>
      <c r="AO1" s="1" t="inlineStr">
        <is>
          <t>N mercado</t>
        </is>
      </c>
      <c r="AP1" s="1" t="inlineStr">
        <is>
          <t>Nivel mediana mercado</t>
        </is>
      </c>
      <c r="AQ1" s="1" t="inlineStr">
        <is>
          <t>Duplicados fusionados</t>
        </is>
      </c>
      <c r="AR1" s="1" t="inlineStr">
        <is>
          <t>Avisos</t>
        </is>
      </c>
      <c r="AS1" s="1" t="inlineStr">
        <is>
          <t>Descripción</t>
        </is>
      </c>
      <c r="AT1" s="1" t="inlineStr">
        <is>
          <t>Fuente (fichero /raw)</t>
        </is>
      </c>
      <c r="AU1" s="1" t="inlineStr">
        <is>
          <t>Edad (años)</t>
        </is>
      </c>
      <c r="AV1" s="1" t="inlineStr">
        <is>
          <t>Km/año</t>
        </is>
      </c>
      <c r="AW1" s="1" t="inlineStr">
        <is>
          <t>Seg. modelo</t>
        </is>
      </c>
      <c r="AX1" s="1" t="inlineStr">
        <is>
          <t>Seg. modelo+año</t>
        </is>
      </c>
      <c r="AY1" s="1" t="inlineStr">
        <is>
          <t>Seg. modelo+año+km</t>
        </is>
      </c>
      <c r="AZ1" s="1" t="inlineStr">
        <is>
          <t>N modelo</t>
        </is>
      </c>
      <c r="BA1" s="1" t="inlineStr">
        <is>
          <t>N modelo+año</t>
        </is>
      </c>
      <c r="BB1" s="1" t="inlineStr">
        <is>
          <t>N modelo+año+km</t>
        </is>
      </c>
      <c r="BC1" s="1" t="inlineStr">
        <is>
          <t>Mediana segmento (€)</t>
        </is>
      </c>
      <c r="BD1" s="1" t="inlineStr">
        <is>
          <t>Nivel mediana</t>
        </is>
      </c>
      <c r="BE1" s="1" t="inlineStr">
        <is>
          <t>Descuento vs mediana</t>
        </is>
      </c>
      <c r="BF1" s="1" t="inlineStr">
        <is>
          <t>Etiqueta DGT</t>
        </is>
      </c>
      <c r="BG1" s="1" t="inlineStr">
        <is>
          <t>Fiab. base modelo</t>
        </is>
      </c>
      <c r="BH1" s="1" t="inlineStr">
        <is>
          <t>Ajuste motor</t>
        </is>
      </c>
      <c r="BI1" s="1" t="inlineStr">
        <is>
          <t>Ajuste combustible</t>
        </is>
      </c>
      <c r="BJ1" s="1" t="inlineStr">
        <is>
          <t>Motor con fuente (nº entradas)</t>
        </is>
      </c>
      <c r="BK1" s="1" t="inlineStr">
        <is>
          <t>Fiab. base aplicada</t>
        </is>
      </c>
      <c r="BL1" s="1" t="inlineStr">
        <is>
          <t>P. Fiabilidad</t>
        </is>
      </c>
      <c r="BM1" s="1" t="inlineStr">
        <is>
          <t>P. Precio</t>
        </is>
      </c>
      <c r="BN1" s="1" t="inlineStr">
        <is>
          <t>P. km totales</t>
        </is>
      </c>
      <c r="BO1" s="1" t="inlineStr">
        <is>
          <t>P. km/año</t>
        </is>
      </c>
      <c r="BP1" s="1" t="inlineStr">
        <is>
          <t>P. edad</t>
        </is>
      </c>
      <c r="BQ1" s="1" t="inlineStr">
        <is>
          <t>P. Km y edad</t>
        </is>
      </c>
      <c r="BR1" s="1" t="inlineStr">
        <is>
          <t>P. Anuncio</t>
        </is>
      </c>
      <c r="BS1" s="1" t="inlineStr">
        <is>
          <t>P. etiqueta</t>
        </is>
      </c>
      <c r="BT1" s="1" t="inlineStr">
        <is>
          <t>P. consumo (PENDIENTE)</t>
        </is>
      </c>
      <c r="BU1" s="1" t="inlineStr">
        <is>
          <t>Seguro estimado €/año (aprox.)</t>
        </is>
      </c>
      <c r="BV1" s="1" t="inlineStr">
        <is>
          <t>P. seguro</t>
        </is>
      </c>
      <c r="BW1" s="1" t="inlineStr">
        <is>
          <t>P. Coste uso</t>
        </is>
      </c>
      <c r="BX1" s="1" t="inlineStr">
        <is>
          <t>Garantía efectiva (meses)</t>
        </is>
      </c>
      <c r="BY1" s="1" t="inlineStr">
        <is>
          <t>P. Seguridad compra</t>
        </is>
      </c>
      <c r="BZ1" s="1" t="inlineStr">
        <is>
          <t>Penalización carrocería (puntos)</t>
        </is>
      </c>
      <c r="CA1" s="1" t="inlineStr">
        <is>
          <t>PUNTUACIÓN</t>
        </is>
      </c>
      <c r="CB1" s="1" t="inlineStr">
        <is>
          <t>cc para ITP</t>
        </is>
      </c>
      <c r="CC1" s="1" t="inlineStr">
        <is>
          <t>ITP (€)</t>
        </is>
      </c>
      <c r="CD1" s="1" t="inlineStr">
        <is>
          <t>Gastos vendedor en coste (€)</t>
        </is>
      </c>
      <c r="CE1" s="1" t="inlineStr">
        <is>
          <t>Tasa DGT (€)</t>
        </is>
      </c>
      <c r="CF1" s="1" t="inlineStr">
        <is>
          <t>Informe DGT (€)</t>
        </is>
      </c>
      <c r="CG1" s="1" t="inlineStr">
        <is>
          <t>COSTE TOTAL (€)</t>
        </is>
      </c>
      <c r="CH1" s="1" t="inlineStr">
        <is>
          <t>Coste 1er año con seguro (€)</t>
        </is>
      </c>
      <c r="CI1" s="1" t="inlineStr">
        <is>
          <t>Presupuesto (sí / negociar / no)</t>
        </is>
      </c>
      <c r="CJ1" s="1" t="inlineStr">
        <is>
          <t>Puesto</t>
        </is>
      </c>
    </row>
    <row r="2">
      <c r="A2" s="2" t="inlineStr">
        <is>
          <t>ocasionplus:b9f8hqaq</t>
        </is>
      </c>
      <c r="B2" s="2" t="inlineStr">
        <is>
          <t>ocasionplus</t>
        </is>
      </c>
      <c r="C2" s="2" t="inlineStr">
        <is>
          <t>https://www.ocasionplus.com/coches-segunda-mano/opel-astra-17-cdti-edition-con-174458km-2009-b9f8hqaq</t>
        </is>
      </c>
      <c r="D2" s="2" t="inlineStr">
        <is>
          <t>Opel Astra 1.7 CDTI Edition (110 CV)</t>
        </is>
      </c>
      <c r="E2" s="2" t="inlineStr">
        <is>
          <t>Opel</t>
        </is>
      </c>
      <c r="F2" s="2" t="inlineStr">
        <is>
          <t>Opel Astra</t>
        </is>
      </c>
      <c r="G2" s="2" t="inlineStr">
        <is>
          <t>1.7 CDTi</t>
        </is>
      </c>
      <c r="H2" s="2" t="inlineStr">
        <is>
          <t>Opel Astra 1.7 CDTI Edition (110 CV)</t>
        </is>
      </c>
      <c r="I2" s="2" t="n">
        <v>1686</v>
      </c>
      <c r="J2" s="2" t="n">
        <v>110</v>
      </c>
      <c r="K2" s="2" t="inlineStr">
        <is>
          <t>diesel</t>
        </is>
      </c>
      <c r="L2" s="2" t="inlineStr">
        <is>
          <t>compacto</t>
        </is>
      </c>
      <c r="M2" s="2" t="n">
        <v>2009</v>
      </c>
      <c r="N2" s="2" t="n">
        <v>174458</v>
      </c>
      <c r="O2" s="2" t="n">
        <v>4480</v>
      </c>
      <c r="P2" s="2" t="inlineStr">
        <is>
          <t>manual</t>
        </is>
      </c>
      <c r="Q2" s="2" t="inlineStr">
        <is>
          <t>no</t>
        </is>
      </c>
      <c r="R2" s="2" t="inlineStr">
        <is>
          <t>profesional</t>
        </is>
      </c>
      <c r="S2" s="2" t="inlineStr">
        <is>
          <t>Valencia - Gandía (Gandía, 46702)</t>
        </is>
      </c>
      <c r="T2" s="2" t="inlineStr">
        <is>
          <t>2026-10-27T00:00:00.000Z</t>
        </is>
      </c>
      <c r="U2" s="2" t="n">
        <v>103</v>
      </c>
      <c r="V2" s="2" t="inlineStr">
        <is>
          <t>sí</t>
        </is>
      </c>
      <c r="W2" s="2" t="inlineStr">
        <is>
          <t>sí</t>
        </is>
      </c>
      <c r="X2" s="2" t="n"/>
      <c r="Y2" s="2" t="n">
        <v>1</v>
      </c>
      <c r="Z2" s="2" t="inlineStr">
        <is>
          <t>sí</t>
        </is>
      </c>
      <c r="AA2" s="2" t="n"/>
      <c r="AB2" s="2" t="n">
        <v>12</v>
      </c>
      <c r="AC2" s="2" t="inlineStr">
        <is>
          <t>sí</t>
        </is>
      </c>
      <c r="AD2" s="2" t="n">
        <v>600</v>
      </c>
      <c r="AE2" s="2" t="n">
        <v>200</v>
      </c>
      <c r="AF2" s="2" t="inlineStr">
        <is>
          <t>sí</t>
        </is>
      </c>
      <c r="AG2" s="2" t="n"/>
      <c r="AH2" s="2" t="n">
        <v>4480</v>
      </c>
      <c r="AI2" s="2" t="n">
        <v>4480</v>
      </c>
      <c r="AJ2" s="2" t="inlineStr">
        <is>
          <t>no</t>
        </is>
      </c>
      <c r="AK2" s="2" t="n">
        <v>350</v>
      </c>
      <c r="AL2" s="2" t="inlineStr">
        <is>
          <t>sí</t>
        </is>
      </c>
      <c r="AM2" s="2" t="n">
        <v>58.4</v>
      </c>
      <c r="AN2" s="2" t="n">
        <v>4300</v>
      </c>
      <c r="AO2" s="2" t="n">
        <v>17</v>
      </c>
      <c r="AP2" s="2" t="inlineStr">
        <is>
          <t>modelo+año+km</t>
        </is>
      </c>
      <c r="AQ2" s="2" t="inlineStr">
        <is>
          <t>cochesnet:71847920 (https://www.coches.net/opel-astra-17-cdti-edition-5p-diesel-2010-en-valencia-71847920-covo.aspx); autoscout24:30a773f6-bab7-4317-b641-5999a4e84b1e (https://www.autoscout24.es/anuncios/opel-astra-1-7cdti-edition-110-diesel-negro-cat_ma54mo1916-30a773f6-bab7-4317-b641-5999a4e84b1e); wallapop:1317875143 (https://es.wallapop.com/item/opel-astra-1-7-cdti-edition-81-kw-110-cv-1317875143)</t>
        </is>
      </c>
      <c r="AR2" s="2" t="inlineStr">
        <is>
          <t>vendedor profesional: sin ITP (operación con IVA/REBU, confirmar en factura); diésel: motor sin fuente de fiabilidad (fiabilidad limitada a neutra)</t>
        </is>
      </c>
      <c r="AS2" s="2" t="inlineStr">
        <is>
          <t>Opel Astra 1.7 CDTI Edition (110 CV)</t>
        </is>
      </c>
      <c r="AT2" s="2" t="inlineStr">
        <is>
          <t>https://www.ocasionplus.com/coches-segunda-mano/opel-astra-17-cdti-edition-con-174458km-2009-b9f8hqaq (payload RSC 'vehicle') /home/user/Alopecia/buscador-coches/raw/ocasionplus/ca754db5993f1a49.json</t>
        </is>
      </c>
      <c r="AU2" s="3">
        <f>MAX(ANIO_ACTUAL-M2,0)</f>
        <v/>
      </c>
      <c r="AV2" s="4">
        <f>N2/MAX(AU2,0.5)</f>
        <v/>
      </c>
      <c r="AW2" s="4">
        <f>F2</f>
        <v/>
      </c>
      <c r="AX2" s="3">
        <f>AW2&amp;"|"&amp;INT(M2/SEG_ANIO)*SEG_ANIO</f>
        <v/>
      </c>
      <c r="AY2" s="3">
        <f>AX2&amp;"|"&amp;INT(N2/SEG_KM)*SEG_KM</f>
        <v/>
      </c>
      <c r="AZ2" s="4">
        <f>COUNTIF($AW$2:$AW$662,AW2)</f>
        <v/>
      </c>
      <c r="BA2" s="4">
        <f>COUNTIF($AX$2:$AX$662,AX2)</f>
        <v/>
      </c>
      <c r="BB2" s="4">
        <f>COUNTIF($AY$2:$AY$662,AY2)</f>
        <v/>
      </c>
      <c r="BC2" s="3">
        <f t="array" ref="BC2">IF(N(AO2)&gt;=MIN_N,AN2,IF(BB2&gt;=MIN_N,MEDIAN(IF($AY$2:$AY$662=AY2,$O$2:$O$662)),IF(BA2&gt;=MIN_N,MEDIAN(IF($AX$2:$AX$662=AX2,$O$2:$O$662)),MEDIAN(IF($AW$2:$AW$662=AW2,$O$2:$O$662)))))</f>
        <v/>
      </c>
      <c r="BD2" s="3">
        <f>IF(N(AO2)&gt;=MIN_N,"mercado "&amp;AP2,IF(BB2&gt;=MIN_N,"modelo+año+km",IF(BA2&gt;=MIN_N,"modelo+año","modelo")))</f>
        <v/>
      </c>
      <c r="BE2" s="4">
        <f>(BC2-O2)/BC2</f>
        <v/>
      </c>
      <c r="BF2" s="3">
        <f>IF(OR(K2="hibrido",K2="glp"),"ECO",IF(K2="electrico","CERO",IF(K2="gasolina",IF(M2&gt;=GAS_C,"C",IF(M2&gt;=GAS_B,"B","A")),IF(K2="diesel",IF(M2&gt;=DIE_C,"C",IF(M2&gt;=DIE_B,"B","A")),""))))</f>
        <v/>
      </c>
      <c r="BG2" s="3">
        <f>IFERROR(VLOOKUP(F2,MOD_TBL,11,0),IFERROR(VLOOKUP(E2,OCU_TBL,2,0),NEUTRO))</f>
        <v/>
      </c>
      <c r="BH2" s="3">
        <f>SUMIFS(MOT_AJUSTE,MOT_MOTOR,G2,MOT_MARCA,E2,MOT_DESDE,"&lt;="&amp;M2,MOT_HASTA,"&gt;="&amp;M2)+SUMIFS(MOT_AJUSTE,MOT_MOTOR,G2,MOT_MARCA,"(todas)",MOT_DESDE,"&lt;="&amp;M2,MOT_HASTA,"&gt;="&amp;M2)</f>
        <v/>
      </c>
      <c r="BI2" s="3">
        <f>SUMIFS(COMB_AJUSTE,COMB_COMB,K2)</f>
        <v/>
      </c>
      <c r="BJ2" s="3">
        <f>COUNTIFS(MOT_MOTOR,G2,MOT_MARCA,E2,MOT_DESDE,"&lt;="&amp;M2,MOT_HASTA,"&gt;="&amp;M2)+COUNTIFS(MOT_MOTOR,G2,MOT_MARCA,"(todas)",MOT_DESDE,"&lt;="&amp;M2,MOT_HASTA,"&gt;="&amp;M2)</f>
        <v/>
      </c>
      <c r="BK2" s="3">
        <f>IF(AND(K2="diesel",BJ2=0),MIN(BG2,NEUTRO),BG2)</f>
        <v/>
      </c>
      <c r="BL2" s="4">
        <f>MAX(0,MIN(100,BK2+BH2+BI2))</f>
        <v/>
      </c>
      <c r="BM2" s="3">
        <f>MAX(0,MIN(100,50+BE2*PRECIO_PEND))</f>
        <v/>
      </c>
      <c r="BN2" s="3">
        <f>MAX(0,100*(1-N2/KM_MAX))</f>
        <v/>
      </c>
      <c r="BO2" s="3">
        <f>IF(AV2&lt;KMA_SOSP,IF(AA2="sí",100,KMA_PEN),IF(AV2&lt;=KMA_IDEAL_MAX,100,MAX(0,100*(KMA_CERO-AV2)/(KMA_CERO-KMA_IDEAL_MAX))))</f>
        <v/>
      </c>
      <c r="BP2" s="3">
        <f>MAX(0,MIN(100,100*(M2-ANIO_MIN)/(ANIO_ACTUAL-ANIO_MIN)))</f>
        <v/>
      </c>
      <c r="BQ2" s="3">
        <f>W_KMT*BN2+W_KMA*BO2+W_EDAD*BP2</f>
        <v/>
      </c>
      <c r="BR2" s="3">
        <f>P_ITV*(V2="sí")+P_LIBRO*(W2="sí")+P_CORREA*(X2="sí")+P_PROP*(Y2=1)+P_GAR*(Z2="sí")+P_FOTOS*MIN(1,N(U2)/FOTOS_OBJ)</f>
        <v/>
      </c>
      <c r="BS2" s="3">
        <f>IFERROR(VLOOKUP(BF2,ETQ_TBL,2,0),NEUTRO)</f>
        <v/>
      </c>
      <c r="BT2" s="3">
        <f>NEUTRO</f>
        <v/>
      </c>
      <c r="BU2" s="3">
        <f>IFERROR(VLOOKUP(L2,SEGURO_TBL,3,0),"")</f>
        <v/>
      </c>
      <c r="BV2" s="3">
        <f>IF(BU2="",NEUTRO,MAX(0,MIN(100,100*(SEG_REF_MAX-BU2)/(SEG_REF_MAX-SEG_REF_MIN))))</f>
        <v/>
      </c>
      <c r="BW2" s="3">
        <f>W_ET*BS2+W_CONS*BT2+W_SEG*BV2</f>
        <v/>
      </c>
      <c r="BX2" s="3">
        <f>IF(N(AB2)&gt;0,AB2,IF(AND(R2="profesional",SG_LEGAL_ON=1),GAR_LEGAL,0))</f>
        <v/>
      </c>
      <c r="BY2" s="3">
        <f>SG_GAR*MIN(1,BX2/SG_GAR_FULL)+SG_AMPL*(AC2="sí")+SG_KMC*(AF2="sí")+SG_REV*(N(AE2)&gt;0)+SG_DEV*MIN(1,N(AG2)/SG_DEV_FULL)+SG_HIST*(W2="sí")</f>
        <v/>
      </c>
      <c r="BZ2" s="3">
        <f>IFERROR(VLOOKUP(L2,CARR_PEN_TBL,2,0),0)</f>
        <v/>
      </c>
      <c r="CA2" s="3">
        <f>W_FIAB*BL2+W_PRECIO*BM2+W_KMEDAD*BQ2+W_ANUNCIO*BR2+W_USO*BW2+W_SEGURIDAD*BY2-BZ2</f>
        <v/>
      </c>
      <c r="CB2" s="4">
        <f>IF(N(I2)&gt;0,I2,IFERROR(ROUND(_xlfn.NUMBERVALUE(LEFT(G2,FIND(" ",G2&amp;" ")-1),".")*1000,0),99999))</f>
        <v/>
      </c>
      <c r="CC2" s="3">
        <f>IF(R2="profesional",0,IF(O2&lt;CUOTA_VALOR_MAX,IF(AU2&gt;ITP_TRAMO_ALTO,SUMIFS(CF_CUOTA,CF_MAS,ITP_TRAMO_ALTO,CF_CCMIN,"&lt;="&amp;CB2,CF_CCMAX,"&gt;="&amp;CB2),IF(AU2&gt;ITP_TRAMO_BAJO,SUMIFS(CF_CUOTA,CF_MAS,ITP_TRAMO_BAJO,CF_CCMIN,"&lt;="&amp;CB2,CF_CCMAX,"&gt;="&amp;CB2),O2*ITP_TIPO)),O2*ITP_TIPO))</f>
        <v/>
      </c>
      <c r="CD2" s="4">
        <f>IF(R2="profesional",N(AK2),0)</f>
        <v/>
      </c>
      <c r="CE2" s="3">
        <f>IF(AND(R2="profesional",ISNUMBER(AK2),AL2="sí"),0,TASA_DGT)</f>
        <v/>
      </c>
      <c r="CF2" s="3">
        <f>INFORME_DGT</f>
        <v/>
      </c>
      <c r="CG2" s="4">
        <f>O2+CD2+CC2+CE2+CF2</f>
        <v/>
      </c>
      <c r="CH2" s="4">
        <f>CG2+N(BU2)</f>
        <v/>
      </c>
      <c r="CI2" s="3">
        <f>IF(CG2&lt;=TOTAL_MAX,"sí",IF(CG2&lt;=TOTAL_MAX+MARGEN_NEG,"negociar","no"))</f>
        <v/>
      </c>
      <c r="CJ2" s="4">
        <f>IF(CI2&lt;&gt;"no",COUNTIFS($CI$2:$CI$662,"&lt;&gt;no",$CA$2:$CA$662,"&gt;"&amp;CA2)+COUNTIFS($CI$2:CI2,"&lt;&gt;no",$CA$2:CA2,CA2),"")</f>
        <v/>
      </c>
    </row>
    <row r="3">
      <c r="A3" s="2" t="inlineStr">
        <is>
          <t>ocasionplus:b9auzqaa</t>
        </is>
      </c>
      <c r="B3" s="2" t="inlineStr">
        <is>
          <t>ocasionplus</t>
        </is>
      </c>
      <c r="C3" s="2" t="inlineStr">
        <is>
          <t>https://www.ocasionplus.com/coches-segunda-mano/peugeot-207-14-confort-con-116183km-2008-b9auzqaa</t>
        </is>
      </c>
      <c r="D3" s="2" t="inlineStr">
        <is>
          <t>Peugeot 207 1.4 Confort (75 CV)</t>
        </is>
      </c>
      <c r="E3" s="2" t="inlineStr">
        <is>
          <t>Peugeot</t>
        </is>
      </c>
      <c r="F3" s="2" t="inlineStr">
        <is>
          <t>Peugeot 207</t>
        </is>
      </c>
      <c r="G3" s="2" t="inlineStr">
        <is>
          <t>1.4</t>
        </is>
      </c>
      <c r="H3" s="2" t="inlineStr">
        <is>
          <t>Peugeot 207 1.4 Confort (75 CV)</t>
        </is>
      </c>
      <c r="I3" s="2" t="n">
        <v>1360</v>
      </c>
      <c r="J3" s="2" t="n">
        <v>75</v>
      </c>
      <c r="K3" s="2" t="inlineStr">
        <is>
          <t>gasolina</t>
        </is>
      </c>
      <c r="L3" s="2" t="inlineStr">
        <is>
          <t>utilitario</t>
        </is>
      </c>
      <c r="M3" s="2" t="n">
        <v>2008</v>
      </c>
      <c r="N3" s="2" t="n">
        <v>116183</v>
      </c>
      <c r="O3" s="2" t="n">
        <v>2900</v>
      </c>
      <c r="P3" s="2" t="inlineStr">
        <is>
          <t>manual</t>
        </is>
      </c>
      <c r="Q3" s="2" t="inlineStr">
        <is>
          <t>no</t>
        </is>
      </c>
      <c r="R3" s="2" t="inlineStr">
        <is>
          <t>profesional</t>
        </is>
      </c>
      <c r="S3" s="2" t="inlineStr">
        <is>
          <t>Valencia - Sagunto (Sagunto, 46500)</t>
        </is>
      </c>
      <c r="T3" s="2" t="inlineStr">
        <is>
          <t>2026-10-27T00:00:00.000Z</t>
        </is>
      </c>
      <c r="U3" s="2" t="n">
        <v>25</v>
      </c>
      <c r="V3" s="2" t="inlineStr">
        <is>
          <t>sí</t>
        </is>
      </c>
      <c r="W3" s="2" t="n"/>
      <c r="X3" s="2" t="n"/>
      <c r="Y3" s="2" t="n">
        <v>0</v>
      </c>
      <c r="Z3" s="2" t="n"/>
      <c r="AA3" s="2" t="n"/>
      <c r="AB3" s="2" t="n"/>
      <c r="AC3" s="2" t="inlineStr">
        <is>
          <t>sí</t>
        </is>
      </c>
      <c r="AD3" s="2" t="n">
        <v>500</v>
      </c>
      <c r="AE3" s="2" t="n"/>
      <c r="AF3" s="2" t="inlineStr">
        <is>
          <t>sí</t>
        </is>
      </c>
      <c r="AG3" s="2" t="n"/>
      <c r="AH3" s="2" t="n">
        <v>2900</v>
      </c>
      <c r="AI3" s="2" t="n">
        <v>2900</v>
      </c>
      <c r="AJ3" s="2" t="inlineStr">
        <is>
          <t>no</t>
        </is>
      </c>
      <c r="AK3" s="2" t="n">
        <v>350</v>
      </c>
      <c r="AL3" s="2" t="inlineStr">
        <is>
          <t>sí</t>
        </is>
      </c>
      <c r="AM3" s="2" t="n">
        <v>25.5</v>
      </c>
      <c r="AN3" s="2" t="n">
        <v>3550</v>
      </c>
      <c r="AO3" s="2" t="n">
        <v>30</v>
      </c>
      <c r="AP3" s="2" t="inlineStr">
        <is>
          <t>modelo+año+km</t>
        </is>
      </c>
      <c r="AQ3" s="2" t="n"/>
      <c r="AR3" s="2" t="inlineStr">
        <is>
          <t>vendedor profesional: sin ITP (operación con IVA/REBU, confirmar en factura); fiabilidad del modelo PENDIENTE de fuente (puntuación neutra)</t>
        </is>
      </c>
      <c r="AS3" s="2" t="inlineStr">
        <is>
          <t>Peugeot 207 1.4 Confort (75 CV)</t>
        </is>
      </c>
      <c r="AT3" s="2" t="inlineStr">
        <is>
          <t>https://www.ocasionplus.com/coches-segunda-mano/peugeot-207-14-confort-con-116183km-2008-b9auzqaa (payload RSC 'vehicle') /home/user/Alopecia/buscador-coches/raw/ocasionplus/fc0eb20181760918.json</t>
        </is>
      </c>
      <c r="AU3" s="3">
        <f>MAX(ANIO_ACTUAL-M3,0)</f>
        <v/>
      </c>
      <c r="AV3" s="4">
        <f>N3/MAX(AU3,0.5)</f>
        <v/>
      </c>
      <c r="AW3" s="4">
        <f>F3</f>
        <v/>
      </c>
      <c r="AX3" s="3">
        <f>AW3&amp;"|"&amp;INT(M3/SEG_ANIO)*SEG_ANIO</f>
        <v/>
      </c>
      <c r="AY3" s="3">
        <f>AX3&amp;"|"&amp;INT(N3/SEG_KM)*SEG_KM</f>
        <v/>
      </c>
      <c r="AZ3" s="4">
        <f>COUNTIF($AW$2:$AW$662,AW3)</f>
        <v/>
      </c>
      <c r="BA3" s="4">
        <f>COUNTIF($AX$2:$AX$662,AX3)</f>
        <v/>
      </c>
      <c r="BB3" s="4">
        <f>COUNTIF($AY$2:$AY$662,AY3)</f>
        <v/>
      </c>
      <c r="BC3" s="3">
        <f t="array" ref="BC3">IF(N(AO3)&gt;=MIN_N,AN3,IF(BB3&gt;=MIN_N,MEDIAN(IF($AY$2:$AY$662=AY3,$O$2:$O$662)),IF(BA3&gt;=MIN_N,MEDIAN(IF($AX$2:$AX$662=AX3,$O$2:$O$662)),MEDIAN(IF($AW$2:$AW$662=AW3,$O$2:$O$662)))))</f>
        <v/>
      </c>
      <c r="BD3" s="3">
        <f>IF(N(AO3)&gt;=MIN_N,"mercado "&amp;AP3,IF(BB3&gt;=MIN_N,"modelo+año+km",IF(BA3&gt;=MIN_N,"modelo+año","modelo")))</f>
        <v/>
      </c>
      <c r="BE3" s="4">
        <f>(BC3-O3)/BC3</f>
        <v/>
      </c>
      <c r="BF3" s="3">
        <f>IF(OR(K3="hibrido",K3="glp"),"ECO",IF(K3="electrico","CERO",IF(K3="gasolina",IF(M3&gt;=GAS_C,"C",IF(M3&gt;=GAS_B,"B","A")),IF(K3="diesel",IF(M3&gt;=DIE_C,"C",IF(M3&gt;=DIE_B,"B","A")),""))))</f>
        <v/>
      </c>
      <c r="BG3" s="3">
        <f>IFERROR(VLOOKUP(F3,MOD_TBL,11,0),IFERROR(VLOOKUP(E3,OCU_TBL,2,0),NEUTRO))</f>
        <v/>
      </c>
      <c r="BH3" s="3">
        <f>SUMIFS(MOT_AJUSTE,MOT_MOTOR,G3,MOT_MARCA,E3,MOT_DESDE,"&lt;="&amp;M3,MOT_HASTA,"&gt;="&amp;M3)+SUMIFS(MOT_AJUSTE,MOT_MOTOR,G3,MOT_MARCA,"(todas)",MOT_DESDE,"&lt;="&amp;M3,MOT_HASTA,"&gt;="&amp;M3)</f>
        <v/>
      </c>
      <c r="BI3" s="3">
        <f>SUMIFS(COMB_AJUSTE,COMB_COMB,K3)</f>
        <v/>
      </c>
      <c r="BJ3" s="3">
        <f>COUNTIFS(MOT_MOTOR,G3,MOT_MARCA,E3,MOT_DESDE,"&lt;="&amp;M3,MOT_HASTA,"&gt;="&amp;M3)+COUNTIFS(MOT_MOTOR,G3,MOT_MARCA,"(todas)",MOT_DESDE,"&lt;="&amp;M3,MOT_HASTA,"&gt;="&amp;M3)</f>
        <v/>
      </c>
      <c r="BK3" s="3">
        <f>IF(AND(K3="diesel",BJ3=0),MIN(BG3,NEUTRO),BG3)</f>
        <v/>
      </c>
      <c r="BL3" s="4">
        <f>MAX(0,MIN(100,BK3+BH3+BI3))</f>
        <v/>
      </c>
      <c r="BM3" s="3">
        <f>MAX(0,MIN(100,50+BE3*PRECIO_PEND))</f>
        <v/>
      </c>
      <c r="BN3" s="3">
        <f>MAX(0,100*(1-N3/KM_MAX))</f>
        <v/>
      </c>
      <c r="BO3" s="3">
        <f>IF(AV3&lt;KMA_SOSP,IF(AA3="sí",100,KMA_PEN),IF(AV3&lt;=KMA_IDEAL_MAX,100,MAX(0,100*(KMA_CERO-AV3)/(KMA_CERO-KMA_IDEAL_MAX))))</f>
        <v/>
      </c>
      <c r="BP3" s="3">
        <f>MAX(0,MIN(100,100*(M3-ANIO_MIN)/(ANIO_ACTUAL-ANIO_MIN)))</f>
        <v/>
      </c>
      <c r="BQ3" s="3">
        <f>W_KMT*BN3+W_KMA*BO3+W_EDAD*BP3</f>
        <v/>
      </c>
      <c r="BR3" s="3">
        <f>P_ITV*(V3="sí")+P_LIBRO*(W3="sí")+P_CORREA*(X3="sí")+P_PROP*(Y3=1)+P_GAR*(Z3="sí")+P_FOTOS*MIN(1,N(U3)/FOTOS_OBJ)</f>
        <v/>
      </c>
      <c r="BS3" s="3">
        <f>IFERROR(VLOOKUP(BF3,ETQ_TBL,2,0),NEUTRO)</f>
        <v/>
      </c>
      <c r="BT3" s="3">
        <f>NEUTRO</f>
        <v/>
      </c>
      <c r="BU3" s="3">
        <f>IFERROR(VLOOKUP(L3,SEGURO_TBL,3,0),"")</f>
        <v/>
      </c>
      <c r="BV3" s="3">
        <f>IF(BU3="",NEUTRO,MAX(0,MIN(100,100*(SEG_REF_MAX-BU3)/(SEG_REF_MAX-SEG_REF_MIN))))</f>
        <v/>
      </c>
      <c r="BW3" s="3">
        <f>W_ET*BS3+W_CONS*BT3+W_SEG*BV3</f>
        <v/>
      </c>
      <c r="BX3" s="3">
        <f>IF(N(AB3)&gt;0,AB3,IF(AND(R3="profesional",SG_LEGAL_ON=1),GAR_LEGAL,0))</f>
        <v/>
      </c>
      <c r="BY3" s="3">
        <f>SG_GAR*MIN(1,BX3/SG_GAR_FULL)+SG_AMPL*(AC3="sí")+SG_KMC*(AF3="sí")+SG_REV*(N(AE3)&gt;0)+SG_DEV*MIN(1,N(AG3)/SG_DEV_FULL)+SG_HIST*(W3="sí")</f>
        <v/>
      </c>
      <c r="BZ3" s="3">
        <f>IFERROR(VLOOKUP(L3,CARR_PEN_TBL,2,0),0)</f>
        <v/>
      </c>
      <c r="CA3" s="3">
        <f>W_FIAB*BL3+W_PRECIO*BM3+W_KMEDAD*BQ3+W_ANUNCIO*BR3+W_USO*BW3+W_SEGURIDAD*BY3-BZ3</f>
        <v/>
      </c>
      <c r="CB3" s="4">
        <f>IF(N(I3)&gt;0,I3,IFERROR(ROUND(_xlfn.NUMBERVALUE(LEFT(G3,FIND(" ",G3&amp;" ")-1),".")*1000,0),99999))</f>
        <v/>
      </c>
      <c r="CC3" s="3">
        <f>IF(R3="profesional",0,IF(O3&lt;CUOTA_VALOR_MAX,IF(AU3&gt;ITP_TRAMO_ALTO,SUMIFS(CF_CUOTA,CF_MAS,ITP_TRAMO_ALTO,CF_CCMIN,"&lt;="&amp;CB3,CF_CCMAX,"&gt;="&amp;CB3),IF(AU3&gt;ITP_TRAMO_BAJO,SUMIFS(CF_CUOTA,CF_MAS,ITP_TRAMO_BAJO,CF_CCMIN,"&lt;="&amp;CB3,CF_CCMAX,"&gt;="&amp;CB3),O3*ITP_TIPO)),O3*ITP_TIPO))</f>
        <v/>
      </c>
      <c r="CD3" s="4">
        <f>IF(R3="profesional",N(AK3),0)</f>
        <v/>
      </c>
      <c r="CE3" s="3">
        <f>IF(AND(R3="profesional",ISNUMBER(AK3),AL3="sí"),0,TASA_DGT)</f>
        <v/>
      </c>
      <c r="CF3" s="3">
        <f>INFORME_DGT</f>
        <v/>
      </c>
      <c r="CG3" s="4">
        <f>O3+CD3+CC3+CE3+CF3</f>
        <v/>
      </c>
      <c r="CH3" s="4">
        <f>CG3+N(BU3)</f>
        <v/>
      </c>
      <c r="CI3" s="3">
        <f>IF(CG3&lt;=TOTAL_MAX,"sí",IF(CG3&lt;=TOTAL_MAX+MARGEN_NEG,"negociar","no"))</f>
        <v/>
      </c>
      <c r="CJ3" s="4">
        <f>IF(CI3&lt;&gt;"no",COUNTIFS($CI$2:$CI$662,"&lt;&gt;no",$CA$2:$CA$662,"&gt;"&amp;CA3)+COUNTIFS($CI$2:CI3,"&lt;&gt;no",$CA$2:CA3,CA3),"")</f>
        <v/>
      </c>
    </row>
    <row r="4">
      <c r="A4" s="2" t="inlineStr">
        <is>
          <t>ocasionplus:zphyfqal</t>
        </is>
      </c>
      <c r="B4" s="2" t="inlineStr">
        <is>
          <t>ocasionplus</t>
        </is>
      </c>
      <c r="C4" s="2" t="inlineStr">
        <is>
          <t>https://www.ocasionplus.com/coches-segunda-mano/peugeot-208-16-ehdi-allure-con-214706km-2012-zphyfqal</t>
        </is>
      </c>
      <c r="D4" s="2" t="inlineStr">
        <is>
          <t>Peugeot 208 1.6 e-HDI Allure (92 CV)</t>
        </is>
      </c>
      <c r="E4" s="2" t="inlineStr">
        <is>
          <t>Peugeot</t>
        </is>
      </c>
      <c r="F4" s="2" t="inlineStr">
        <is>
          <t>Peugeot 208</t>
        </is>
      </c>
      <c r="G4" s="2" t="inlineStr">
        <is>
          <t>1.6 HDi</t>
        </is>
      </c>
      <c r="H4" s="2" t="inlineStr">
        <is>
          <t>Peugeot 208 1.6 e-HDI Allure (92 CV)</t>
        </is>
      </c>
      <c r="I4" s="2" t="n">
        <v>1560</v>
      </c>
      <c r="J4" s="2" t="n">
        <v>92</v>
      </c>
      <c r="K4" s="2" t="inlineStr">
        <is>
          <t>diesel</t>
        </is>
      </c>
      <c r="L4" s="2" t="inlineStr">
        <is>
          <t>utilitario</t>
        </is>
      </c>
      <c r="M4" s="2" t="n">
        <v>2012</v>
      </c>
      <c r="N4" s="2" t="n">
        <v>214706</v>
      </c>
      <c r="O4" s="2" t="n">
        <v>4300</v>
      </c>
      <c r="P4" s="2" t="inlineStr">
        <is>
          <t>manual</t>
        </is>
      </c>
      <c r="Q4" s="2" t="inlineStr">
        <is>
          <t>no</t>
        </is>
      </c>
      <c r="R4" s="2" t="inlineStr">
        <is>
          <t>profesional</t>
        </is>
      </c>
      <c r="S4" s="2" t="inlineStr">
        <is>
          <t>Valencia - Gandía (Gandía, 46702)</t>
        </is>
      </c>
      <c r="T4" s="2" t="inlineStr">
        <is>
          <t>2026-09-30T00:00:00.000Z</t>
        </is>
      </c>
      <c r="U4" s="2" t="n">
        <v>36</v>
      </c>
      <c r="V4" s="2" t="inlineStr">
        <is>
          <t>sí</t>
        </is>
      </c>
      <c r="W4" s="2" t="n"/>
      <c r="X4" s="2" t="n"/>
      <c r="Y4" s="2" t="n">
        <v>1</v>
      </c>
      <c r="Z4" s="2" t="inlineStr">
        <is>
          <t>sí</t>
        </is>
      </c>
      <c r="AA4" s="2" t="n"/>
      <c r="AB4" s="2" t="n">
        <v>12</v>
      </c>
      <c r="AC4" s="2" t="inlineStr">
        <is>
          <t>sí</t>
        </is>
      </c>
      <c r="AD4" s="2" t="n">
        <v>600</v>
      </c>
      <c r="AE4" s="2" t="n">
        <v>200</v>
      </c>
      <c r="AF4" s="2" t="inlineStr">
        <is>
          <t>sí</t>
        </is>
      </c>
      <c r="AG4" s="2" t="n"/>
      <c r="AH4" s="2" t="n">
        <v>4300</v>
      </c>
      <c r="AI4" s="2" t="n">
        <v>4300</v>
      </c>
      <c r="AJ4" s="2" t="inlineStr">
        <is>
          <t>no</t>
        </is>
      </c>
      <c r="AK4" s="2" t="n">
        <v>350</v>
      </c>
      <c r="AL4" s="2" t="inlineStr">
        <is>
          <t>sí</t>
        </is>
      </c>
      <c r="AM4" s="2" t="n">
        <v>58.4</v>
      </c>
      <c r="AN4" s="2" t="n">
        <v>5490</v>
      </c>
      <c r="AO4" s="2" t="n">
        <v>9</v>
      </c>
      <c r="AP4" s="2" t="inlineStr">
        <is>
          <t>modelo+año</t>
        </is>
      </c>
      <c r="AQ4" s="2" t="n"/>
      <c r="AR4" s="2" t="inlineStr">
        <is>
          <t>vendedor profesional: sin ITP (operación con IVA/REBU, confirmar en factura)</t>
        </is>
      </c>
      <c r="AS4" s="2" t="inlineStr">
        <is>
          <t>Peugeot 208 1.6 e-HDI Allure (92 CV)</t>
        </is>
      </c>
      <c r="AT4" s="2" t="inlineStr">
        <is>
          <t>https://www.ocasionplus.com/coches-segunda-mano/peugeot-208-16-ehdi-allure-con-214706km-2012-zphyfqal (payload RSC 'vehicle') /home/user/Alopecia/buscador-coches/raw/ocasionplus/7c93101413c2ab9a.json</t>
        </is>
      </c>
      <c r="AU4" s="3">
        <f>MAX(ANIO_ACTUAL-M4,0)</f>
        <v/>
      </c>
      <c r="AV4" s="4">
        <f>N4/MAX(AU4,0.5)</f>
        <v/>
      </c>
      <c r="AW4" s="4">
        <f>F4</f>
        <v/>
      </c>
      <c r="AX4" s="3">
        <f>AW4&amp;"|"&amp;INT(M4/SEG_ANIO)*SEG_ANIO</f>
        <v/>
      </c>
      <c r="AY4" s="3">
        <f>AX4&amp;"|"&amp;INT(N4/SEG_KM)*SEG_KM</f>
        <v/>
      </c>
      <c r="AZ4" s="4">
        <f>COUNTIF($AW$2:$AW$662,AW4)</f>
        <v/>
      </c>
      <c r="BA4" s="4">
        <f>COUNTIF($AX$2:$AX$662,AX4)</f>
        <v/>
      </c>
      <c r="BB4" s="4">
        <f>COUNTIF($AY$2:$AY$662,AY4)</f>
        <v/>
      </c>
      <c r="BC4" s="3">
        <f t="array" ref="BC4">IF(N(AO4)&gt;=MIN_N,AN4,IF(BB4&gt;=MIN_N,MEDIAN(IF($AY$2:$AY$662=AY4,$O$2:$O$662)),IF(BA4&gt;=MIN_N,MEDIAN(IF($AX$2:$AX$662=AX4,$O$2:$O$662)),MEDIAN(IF($AW$2:$AW$662=AW4,$O$2:$O$662)))))</f>
        <v/>
      </c>
      <c r="BD4" s="3">
        <f>IF(N(AO4)&gt;=MIN_N,"mercado "&amp;AP4,IF(BB4&gt;=MIN_N,"modelo+año+km",IF(BA4&gt;=MIN_N,"modelo+año","modelo")))</f>
        <v/>
      </c>
      <c r="BE4" s="4">
        <f>(BC4-O4)/BC4</f>
        <v/>
      </c>
      <c r="BF4" s="3">
        <f>IF(OR(K4="hibrido",K4="glp"),"ECO",IF(K4="electrico","CERO",IF(K4="gasolina",IF(M4&gt;=GAS_C,"C",IF(M4&gt;=GAS_B,"B","A")),IF(K4="diesel",IF(M4&gt;=DIE_C,"C",IF(M4&gt;=DIE_B,"B","A")),""))))</f>
        <v/>
      </c>
      <c r="BG4" s="3">
        <f>IFERROR(VLOOKUP(F4,MOD_TBL,11,0),IFERROR(VLOOKUP(E4,OCU_TBL,2,0),NEUTRO))</f>
        <v/>
      </c>
      <c r="BH4" s="3">
        <f>SUMIFS(MOT_AJUSTE,MOT_MOTOR,G4,MOT_MARCA,E4,MOT_DESDE,"&lt;="&amp;M4,MOT_HASTA,"&gt;="&amp;M4)+SUMIFS(MOT_AJUSTE,MOT_MOTOR,G4,MOT_MARCA,"(todas)",MOT_DESDE,"&lt;="&amp;M4,MOT_HASTA,"&gt;="&amp;M4)</f>
        <v/>
      </c>
      <c r="BI4" s="3">
        <f>SUMIFS(COMB_AJUSTE,COMB_COMB,K4)</f>
        <v/>
      </c>
      <c r="BJ4" s="3">
        <f>COUNTIFS(MOT_MOTOR,G4,MOT_MARCA,E4,MOT_DESDE,"&lt;="&amp;M4,MOT_HASTA,"&gt;="&amp;M4)+COUNTIFS(MOT_MOTOR,G4,MOT_MARCA,"(todas)",MOT_DESDE,"&lt;="&amp;M4,MOT_HASTA,"&gt;="&amp;M4)</f>
        <v/>
      </c>
      <c r="BK4" s="3">
        <f>IF(AND(K4="diesel",BJ4=0),MIN(BG4,NEUTRO),BG4)</f>
        <v/>
      </c>
      <c r="BL4" s="4">
        <f>MAX(0,MIN(100,BK4+BH4+BI4))</f>
        <v/>
      </c>
      <c r="BM4" s="3">
        <f>MAX(0,MIN(100,50+BE4*PRECIO_PEND))</f>
        <v/>
      </c>
      <c r="BN4" s="3">
        <f>MAX(0,100*(1-N4/KM_MAX))</f>
        <v/>
      </c>
      <c r="BO4" s="3">
        <f>IF(AV4&lt;KMA_SOSP,IF(AA4="sí",100,KMA_PEN),IF(AV4&lt;=KMA_IDEAL_MAX,100,MAX(0,100*(KMA_CERO-AV4)/(KMA_CERO-KMA_IDEAL_MAX))))</f>
        <v/>
      </c>
      <c r="BP4" s="3">
        <f>MAX(0,MIN(100,100*(M4-ANIO_MIN)/(ANIO_ACTUAL-ANIO_MIN)))</f>
        <v/>
      </c>
      <c r="BQ4" s="3">
        <f>W_KMT*BN4+W_KMA*BO4+W_EDAD*BP4</f>
        <v/>
      </c>
      <c r="BR4" s="3">
        <f>P_ITV*(V4="sí")+P_LIBRO*(W4="sí")+P_CORREA*(X4="sí")+P_PROP*(Y4=1)+P_GAR*(Z4="sí")+P_FOTOS*MIN(1,N(U4)/FOTOS_OBJ)</f>
        <v/>
      </c>
      <c r="BS4" s="3">
        <f>IFERROR(VLOOKUP(BF4,ETQ_TBL,2,0),NEUTRO)</f>
        <v/>
      </c>
      <c r="BT4" s="3">
        <f>NEUTRO</f>
        <v/>
      </c>
      <c r="BU4" s="3">
        <f>IFERROR(VLOOKUP(L4,SEGURO_TBL,3,0),"")</f>
        <v/>
      </c>
      <c r="BV4" s="3">
        <f>IF(BU4="",NEUTRO,MAX(0,MIN(100,100*(SEG_REF_MAX-BU4)/(SEG_REF_MAX-SEG_REF_MIN))))</f>
        <v/>
      </c>
      <c r="BW4" s="3">
        <f>W_ET*BS4+W_CONS*BT4+W_SEG*BV4</f>
        <v/>
      </c>
      <c r="BX4" s="3">
        <f>IF(N(AB4)&gt;0,AB4,IF(AND(R4="profesional",SG_LEGAL_ON=1),GAR_LEGAL,0))</f>
        <v/>
      </c>
      <c r="BY4" s="3">
        <f>SG_GAR*MIN(1,BX4/SG_GAR_FULL)+SG_AMPL*(AC4="sí")+SG_KMC*(AF4="sí")+SG_REV*(N(AE4)&gt;0)+SG_DEV*MIN(1,N(AG4)/SG_DEV_FULL)+SG_HIST*(W4="sí")</f>
        <v/>
      </c>
      <c r="BZ4" s="3">
        <f>IFERROR(VLOOKUP(L4,CARR_PEN_TBL,2,0),0)</f>
        <v/>
      </c>
      <c r="CA4" s="3">
        <f>W_FIAB*BL4+W_PRECIO*BM4+W_KMEDAD*BQ4+W_ANUNCIO*BR4+W_USO*BW4+W_SEGURIDAD*BY4-BZ4</f>
        <v/>
      </c>
      <c r="CB4" s="4">
        <f>IF(N(I4)&gt;0,I4,IFERROR(ROUND(_xlfn.NUMBERVALUE(LEFT(G4,FIND(" ",G4&amp;" ")-1),".")*1000,0),99999))</f>
        <v/>
      </c>
      <c r="CC4" s="3">
        <f>IF(R4="profesional",0,IF(O4&lt;CUOTA_VALOR_MAX,IF(AU4&gt;ITP_TRAMO_ALTO,SUMIFS(CF_CUOTA,CF_MAS,ITP_TRAMO_ALTO,CF_CCMIN,"&lt;="&amp;CB4,CF_CCMAX,"&gt;="&amp;CB4),IF(AU4&gt;ITP_TRAMO_BAJO,SUMIFS(CF_CUOTA,CF_MAS,ITP_TRAMO_BAJO,CF_CCMIN,"&lt;="&amp;CB4,CF_CCMAX,"&gt;="&amp;CB4),O4*ITP_TIPO)),O4*ITP_TIPO))</f>
        <v/>
      </c>
      <c r="CD4" s="4">
        <f>IF(R4="profesional",N(AK4),0)</f>
        <v/>
      </c>
      <c r="CE4" s="3">
        <f>IF(AND(R4="profesional",ISNUMBER(AK4),AL4="sí"),0,TASA_DGT)</f>
        <v/>
      </c>
      <c r="CF4" s="3">
        <f>INFORME_DGT</f>
        <v/>
      </c>
      <c r="CG4" s="4">
        <f>O4+CD4+CC4+CE4+CF4</f>
        <v/>
      </c>
      <c r="CH4" s="4">
        <f>CG4+N(BU4)</f>
        <v/>
      </c>
      <c r="CI4" s="3">
        <f>IF(CG4&lt;=TOTAL_MAX,"sí",IF(CG4&lt;=TOTAL_MAX+MARGEN_NEG,"negociar","no"))</f>
        <v/>
      </c>
      <c r="CJ4" s="4">
        <f>IF(CI4&lt;&gt;"no",COUNTIFS($CI$2:$CI$662,"&lt;&gt;no",$CA$2:$CA$662,"&gt;"&amp;CA4)+COUNTIFS($CI$2:CI4,"&lt;&gt;no",$CA$2:CA4,CA4),"")</f>
        <v/>
      </c>
    </row>
    <row r="5">
      <c r="A5" s="2" t="inlineStr">
        <is>
          <t>ocasionplus:ynxb0qap</t>
        </is>
      </c>
      <c r="B5" s="2" t="inlineStr">
        <is>
          <t>ocasionplus</t>
        </is>
      </c>
      <c r="C5" s="2" t="inlineStr">
        <is>
          <t>https://www.ocasionplus.com/coches-segunda-mano/ford-focus-16-tdci-trend-con-163288km-2009-ynxb0qap</t>
        </is>
      </c>
      <c r="D5" s="2" t="inlineStr">
        <is>
          <t>Ford Focus 1.6 TDCI Trend (90 CV)</t>
        </is>
      </c>
      <c r="E5" s="2" t="inlineStr">
        <is>
          <t>Ford</t>
        </is>
      </c>
      <c r="F5" s="2" t="inlineStr">
        <is>
          <t>Ford Focus</t>
        </is>
      </c>
      <c r="G5" s="2" t="inlineStr">
        <is>
          <t>1.6 TDCi</t>
        </is>
      </c>
      <c r="H5" s="2" t="inlineStr">
        <is>
          <t>Ford Focus 1.6 TDCI Trend (90 CV)</t>
        </is>
      </c>
      <c r="I5" s="2" t="n">
        <v>1560</v>
      </c>
      <c r="J5" s="2" t="n">
        <v>90</v>
      </c>
      <c r="K5" s="2" t="inlineStr">
        <is>
          <t>diesel</t>
        </is>
      </c>
      <c r="L5" s="2" t="inlineStr">
        <is>
          <t>compacto</t>
        </is>
      </c>
      <c r="M5" s="2" t="n">
        <v>2009</v>
      </c>
      <c r="N5" s="2" t="n">
        <v>163288</v>
      </c>
      <c r="O5" s="2" t="n">
        <v>4000</v>
      </c>
      <c r="P5" s="2" t="inlineStr">
        <is>
          <t>manual</t>
        </is>
      </c>
      <c r="Q5" s="2" t="inlineStr">
        <is>
          <t>no</t>
        </is>
      </c>
      <c r="R5" s="2" t="inlineStr">
        <is>
          <t>profesional</t>
        </is>
      </c>
      <c r="S5" s="2" t="inlineStr">
        <is>
          <t>Valencia - Paterna (Paterna, 46980)</t>
        </is>
      </c>
      <c r="T5" s="2" t="inlineStr">
        <is>
          <t>2026-09-14T00:00:00.000Z</t>
        </is>
      </c>
      <c r="U5" s="2" t="n">
        <v>32</v>
      </c>
      <c r="V5" s="2" t="inlineStr">
        <is>
          <t>sí</t>
        </is>
      </c>
      <c r="W5" s="2" t="n"/>
      <c r="X5" s="2" t="n"/>
      <c r="Y5" s="2" t="n">
        <v>1</v>
      </c>
      <c r="Z5" s="2" t="n"/>
      <c r="AA5" s="2" t="n"/>
      <c r="AB5" s="2" t="n"/>
      <c r="AC5" s="2" t="inlineStr">
        <is>
          <t>sí</t>
        </is>
      </c>
      <c r="AD5" s="2" t="n">
        <v>500</v>
      </c>
      <c r="AE5" s="2" t="n"/>
      <c r="AF5" s="2" t="inlineStr">
        <is>
          <t>sí</t>
        </is>
      </c>
      <c r="AG5" s="2" t="n"/>
      <c r="AH5" s="2" t="n">
        <v>4000</v>
      </c>
      <c r="AI5" s="2" t="n">
        <v>3990</v>
      </c>
      <c r="AJ5" s="2" t="inlineStr">
        <is>
          <t>sí</t>
        </is>
      </c>
      <c r="AK5" s="2" t="n">
        <v>350</v>
      </c>
      <c r="AL5" s="2" t="inlineStr">
        <is>
          <t>sí</t>
        </is>
      </c>
      <c r="AM5" s="2" t="n">
        <v>5.9</v>
      </c>
      <c r="AN5" s="2" t="n">
        <v>3870</v>
      </c>
      <c r="AO5" s="2" t="n">
        <v>10</v>
      </c>
      <c r="AP5" s="2" t="inlineStr">
        <is>
          <t>modelo+año+km</t>
        </is>
      </c>
      <c r="AQ5" s="2" t="n"/>
      <c r="AR5" s="2" t="inlineStr">
        <is>
          <t>vendedor profesional: sin ITP (operación con IVA/REBU, confirmar en factura); el precio anunciado (3.990 €) solo vale financiando; se usa el precio al contado</t>
        </is>
      </c>
      <c r="AS5" s="2" t="inlineStr">
        <is>
          <t>Ford Focus 1.6 TDCI Trend (90 CV)</t>
        </is>
      </c>
      <c r="AT5" s="2" t="inlineStr">
        <is>
          <t>https://www.ocasionplus.com/coches-segunda-mano/ford-focus-16-tdci-trend-con-163288km-2009-ynxb0qap (payload RSC 'vehicle') /home/user/Alopecia/buscador-coches/raw/ocasionplus/b387503f63e90b61.json</t>
        </is>
      </c>
      <c r="AU5" s="3">
        <f>MAX(ANIO_ACTUAL-M5,0)</f>
        <v/>
      </c>
      <c r="AV5" s="4">
        <f>N5/MAX(AU5,0.5)</f>
        <v/>
      </c>
      <c r="AW5" s="4">
        <f>F5</f>
        <v/>
      </c>
      <c r="AX5" s="3">
        <f>AW5&amp;"|"&amp;INT(M5/SEG_ANIO)*SEG_ANIO</f>
        <v/>
      </c>
      <c r="AY5" s="3">
        <f>AX5&amp;"|"&amp;INT(N5/SEG_KM)*SEG_KM</f>
        <v/>
      </c>
      <c r="AZ5" s="4">
        <f>COUNTIF($AW$2:$AW$662,AW5)</f>
        <v/>
      </c>
      <c r="BA5" s="4">
        <f>COUNTIF($AX$2:$AX$662,AX5)</f>
        <v/>
      </c>
      <c r="BB5" s="4">
        <f>COUNTIF($AY$2:$AY$662,AY5)</f>
        <v/>
      </c>
      <c r="BC5" s="3">
        <f t="array" ref="BC5">IF(N(AO5)&gt;=MIN_N,AN5,IF(BB5&gt;=MIN_N,MEDIAN(IF($AY$2:$AY$662=AY5,$O$2:$O$662)),IF(BA5&gt;=MIN_N,MEDIAN(IF($AX$2:$AX$662=AX5,$O$2:$O$662)),MEDIAN(IF($AW$2:$AW$662=AW5,$O$2:$O$662)))))</f>
        <v/>
      </c>
      <c r="BD5" s="3">
        <f>IF(N(AO5)&gt;=MIN_N,"mercado "&amp;AP5,IF(BB5&gt;=MIN_N,"modelo+año+km",IF(BA5&gt;=MIN_N,"modelo+año","modelo")))</f>
        <v/>
      </c>
      <c r="BE5" s="4">
        <f>(BC5-O5)/BC5</f>
        <v/>
      </c>
      <c r="BF5" s="3">
        <f>IF(OR(K5="hibrido",K5="glp"),"ECO",IF(K5="electrico","CERO",IF(K5="gasolina",IF(M5&gt;=GAS_C,"C",IF(M5&gt;=GAS_B,"B","A")),IF(K5="diesel",IF(M5&gt;=DIE_C,"C",IF(M5&gt;=DIE_B,"B","A")),""))))</f>
        <v/>
      </c>
      <c r="BG5" s="3">
        <f>IFERROR(VLOOKUP(F5,MOD_TBL,11,0),IFERROR(VLOOKUP(E5,OCU_TBL,2,0),NEUTRO))</f>
        <v/>
      </c>
      <c r="BH5" s="3">
        <f>SUMIFS(MOT_AJUSTE,MOT_MOTOR,G5,MOT_MARCA,E5,MOT_DESDE,"&lt;="&amp;M5,MOT_HASTA,"&gt;="&amp;M5)+SUMIFS(MOT_AJUSTE,MOT_MOTOR,G5,MOT_MARCA,"(todas)",MOT_DESDE,"&lt;="&amp;M5,MOT_HASTA,"&gt;="&amp;M5)</f>
        <v/>
      </c>
      <c r="BI5" s="3">
        <f>SUMIFS(COMB_AJUSTE,COMB_COMB,K5)</f>
        <v/>
      </c>
      <c r="BJ5" s="3">
        <f>COUNTIFS(MOT_MOTOR,G5,MOT_MARCA,E5,MOT_DESDE,"&lt;="&amp;M5,MOT_HASTA,"&gt;="&amp;M5)+COUNTIFS(MOT_MOTOR,G5,MOT_MARCA,"(todas)",MOT_DESDE,"&lt;="&amp;M5,MOT_HASTA,"&gt;="&amp;M5)</f>
        <v/>
      </c>
      <c r="BK5" s="3">
        <f>IF(AND(K5="diesel",BJ5=0),MIN(BG5,NEUTRO),BG5)</f>
        <v/>
      </c>
      <c r="BL5" s="4">
        <f>MAX(0,MIN(100,BK5+BH5+BI5))</f>
        <v/>
      </c>
      <c r="BM5" s="3">
        <f>MAX(0,MIN(100,50+BE5*PRECIO_PEND))</f>
        <v/>
      </c>
      <c r="BN5" s="3">
        <f>MAX(0,100*(1-N5/KM_MAX))</f>
        <v/>
      </c>
      <c r="BO5" s="3">
        <f>IF(AV5&lt;KMA_SOSP,IF(AA5="sí",100,KMA_PEN),IF(AV5&lt;=KMA_IDEAL_MAX,100,MAX(0,100*(KMA_CERO-AV5)/(KMA_CERO-KMA_IDEAL_MAX))))</f>
        <v/>
      </c>
      <c r="BP5" s="3">
        <f>MAX(0,MIN(100,100*(M5-ANIO_MIN)/(ANIO_ACTUAL-ANIO_MIN)))</f>
        <v/>
      </c>
      <c r="BQ5" s="3">
        <f>W_KMT*BN5+W_KMA*BO5+W_EDAD*BP5</f>
        <v/>
      </c>
      <c r="BR5" s="3">
        <f>P_ITV*(V5="sí")+P_LIBRO*(W5="sí")+P_CORREA*(X5="sí")+P_PROP*(Y5=1)+P_GAR*(Z5="sí")+P_FOTOS*MIN(1,N(U5)/FOTOS_OBJ)</f>
        <v/>
      </c>
      <c r="BS5" s="3">
        <f>IFERROR(VLOOKUP(BF5,ETQ_TBL,2,0),NEUTRO)</f>
        <v/>
      </c>
      <c r="BT5" s="3">
        <f>NEUTRO</f>
        <v/>
      </c>
      <c r="BU5" s="3">
        <f>IFERROR(VLOOKUP(L5,SEGURO_TBL,3,0),"")</f>
        <v/>
      </c>
      <c r="BV5" s="3">
        <f>IF(BU5="",NEUTRO,MAX(0,MIN(100,100*(SEG_REF_MAX-BU5)/(SEG_REF_MAX-SEG_REF_MIN))))</f>
        <v/>
      </c>
      <c r="BW5" s="3">
        <f>W_ET*BS5+W_CONS*BT5+W_SEG*BV5</f>
        <v/>
      </c>
      <c r="BX5" s="3">
        <f>IF(N(AB5)&gt;0,AB5,IF(AND(R5="profesional",SG_LEGAL_ON=1),GAR_LEGAL,0))</f>
        <v/>
      </c>
      <c r="BY5" s="3">
        <f>SG_GAR*MIN(1,BX5/SG_GAR_FULL)+SG_AMPL*(AC5="sí")+SG_KMC*(AF5="sí")+SG_REV*(N(AE5)&gt;0)+SG_DEV*MIN(1,N(AG5)/SG_DEV_FULL)+SG_HIST*(W5="sí")</f>
        <v/>
      </c>
      <c r="BZ5" s="3">
        <f>IFERROR(VLOOKUP(L5,CARR_PEN_TBL,2,0),0)</f>
        <v/>
      </c>
      <c r="CA5" s="3">
        <f>W_FIAB*BL5+W_PRECIO*BM5+W_KMEDAD*BQ5+W_ANUNCIO*BR5+W_USO*BW5+W_SEGURIDAD*BY5-BZ5</f>
        <v/>
      </c>
      <c r="CB5" s="4">
        <f>IF(N(I5)&gt;0,I5,IFERROR(ROUND(_xlfn.NUMBERVALUE(LEFT(G5,FIND(" ",G5&amp;" ")-1),".")*1000,0),99999))</f>
        <v/>
      </c>
      <c r="CC5" s="3">
        <f>IF(R5="profesional",0,IF(O5&lt;CUOTA_VALOR_MAX,IF(AU5&gt;ITP_TRAMO_ALTO,SUMIFS(CF_CUOTA,CF_MAS,ITP_TRAMO_ALTO,CF_CCMIN,"&lt;="&amp;CB5,CF_CCMAX,"&gt;="&amp;CB5),IF(AU5&gt;ITP_TRAMO_BAJO,SUMIFS(CF_CUOTA,CF_MAS,ITP_TRAMO_BAJO,CF_CCMIN,"&lt;="&amp;CB5,CF_CCMAX,"&gt;="&amp;CB5),O5*ITP_TIPO)),O5*ITP_TIPO))</f>
        <v/>
      </c>
      <c r="CD5" s="4">
        <f>IF(R5="profesional",N(AK5),0)</f>
        <v/>
      </c>
      <c r="CE5" s="3">
        <f>IF(AND(R5="profesional",ISNUMBER(AK5),AL5="sí"),0,TASA_DGT)</f>
        <v/>
      </c>
      <c r="CF5" s="3">
        <f>INFORME_DGT</f>
        <v/>
      </c>
      <c r="CG5" s="4">
        <f>O5+CD5+CC5+CE5+CF5</f>
        <v/>
      </c>
      <c r="CH5" s="4">
        <f>CG5+N(BU5)</f>
        <v/>
      </c>
      <c r="CI5" s="3">
        <f>IF(CG5&lt;=TOTAL_MAX,"sí",IF(CG5&lt;=TOTAL_MAX+MARGEN_NEG,"negociar","no"))</f>
        <v/>
      </c>
      <c r="CJ5" s="4">
        <f>IF(CI5&lt;&gt;"no",COUNTIFS($CI$2:$CI$662,"&lt;&gt;no",$CA$2:$CA$662,"&gt;"&amp;CA5)+COUNTIFS($CI$2:CI5,"&lt;&gt;no",$CA$2:CA5,CA5),"")</f>
        <v/>
      </c>
    </row>
    <row r="6">
      <c r="A6" s="2" t="inlineStr">
        <is>
          <t>ocasionplus:saqsyqa5</t>
        </is>
      </c>
      <c r="B6" s="2" t="inlineStr">
        <is>
          <t>ocasionplus</t>
        </is>
      </c>
      <c r="C6" s="2" t="inlineStr">
        <is>
          <t>https://www.ocasionplus.com/coches-segunda-mano/ford-ka-13-collection-con-115071km-2008-saqsyqa5</t>
        </is>
      </c>
      <c r="D6" s="2" t="inlineStr">
        <is>
          <t>Ford Ka 1.3 Collection (70 CV)</t>
        </is>
      </c>
      <c r="E6" s="2" t="inlineStr">
        <is>
          <t>Ford</t>
        </is>
      </c>
      <c r="F6" s="2" t="inlineStr">
        <is>
          <t>Ford Ka</t>
        </is>
      </c>
      <c r="G6" s="2" t="inlineStr">
        <is>
          <t>1.3</t>
        </is>
      </c>
      <c r="H6" s="2" t="inlineStr">
        <is>
          <t>Ford Ka 1.3 Collection (70 CV)</t>
        </is>
      </c>
      <c r="I6" s="2" t="n">
        <v>1299</v>
      </c>
      <c r="J6" s="2" t="n">
        <v>70</v>
      </c>
      <c r="K6" s="2" t="inlineStr">
        <is>
          <t>gasolina</t>
        </is>
      </c>
      <c r="L6" s="2" t="inlineStr">
        <is>
          <t>utilitario</t>
        </is>
      </c>
      <c r="M6" s="2" t="n">
        <v>2008</v>
      </c>
      <c r="N6" s="2" t="n">
        <v>115071</v>
      </c>
      <c r="O6" s="2" t="n">
        <v>3900</v>
      </c>
      <c r="P6" s="2" t="inlineStr">
        <is>
          <t>manual</t>
        </is>
      </c>
      <c r="Q6" s="2" t="inlineStr">
        <is>
          <t>no</t>
        </is>
      </c>
      <c r="R6" s="2" t="inlineStr">
        <is>
          <t>profesional</t>
        </is>
      </c>
      <c r="S6" s="2" t="inlineStr">
        <is>
          <t>Valencia - Gandía (Gandía, 46702)</t>
        </is>
      </c>
      <c r="T6" s="2" t="inlineStr">
        <is>
          <t>2026-05-21T00:00:00.000Z</t>
        </is>
      </c>
      <c r="U6" s="2" t="n">
        <v>22</v>
      </c>
      <c r="V6" s="2" t="inlineStr">
        <is>
          <t>sí</t>
        </is>
      </c>
      <c r="W6" s="2" t="n"/>
      <c r="X6" s="2" t="n"/>
      <c r="Y6" s="2" t="n">
        <v>0</v>
      </c>
      <c r="Z6" s="2" t="n"/>
      <c r="AA6" s="2" t="n"/>
      <c r="AB6" s="2" t="n"/>
      <c r="AC6" s="2" t="inlineStr">
        <is>
          <t>sí</t>
        </is>
      </c>
      <c r="AD6" s="2" t="n">
        <v>500</v>
      </c>
      <c r="AE6" s="2" t="n"/>
      <c r="AF6" s="2" t="inlineStr">
        <is>
          <t>sí</t>
        </is>
      </c>
      <c r="AG6" s="2" t="n"/>
      <c r="AH6" s="2" t="n">
        <v>3900</v>
      </c>
      <c r="AI6" s="2" t="n">
        <v>1700</v>
      </c>
      <c r="AJ6" s="2" t="inlineStr">
        <is>
          <t>sí</t>
        </is>
      </c>
      <c r="AK6" s="2" t="n">
        <v>350</v>
      </c>
      <c r="AL6" s="2" t="inlineStr">
        <is>
          <t>sí</t>
        </is>
      </c>
      <c r="AM6" s="2" t="n">
        <v>58.4</v>
      </c>
      <c r="AN6" s="2" t="n"/>
      <c r="AO6" s="2" t="n"/>
      <c r="AP6" s="2" t="n"/>
      <c r="AQ6" s="2" t="n"/>
      <c r="AR6" s="2" t="inlineStr">
        <is>
          <t>vendedor profesional: sin ITP (operación con IVA/REBU, confirmar en factura); el precio anunciado (1.700 €) solo vale financiando; se usa el precio al contado; fiabilidad del modelo PENDIENTE de fuente (puntuación neutra)</t>
        </is>
      </c>
      <c r="AS6" s="2" t="inlineStr">
        <is>
          <t>Ford Ka 1.3 Collection (70 CV)</t>
        </is>
      </c>
      <c r="AT6" s="2" t="inlineStr">
        <is>
          <t>https://www.ocasionplus.com/coches-segunda-mano/ford-ka-13-collection-con-115071km-2008-saqsyqa5 (payload RSC 'vehicle') /home/user/Alopecia/buscador-coches/raw/ocasionplus/91b2d0d1fcf52c76.json</t>
        </is>
      </c>
      <c r="AU6" s="3">
        <f>MAX(ANIO_ACTUAL-M6,0)</f>
        <v/>
      </c>
      <c r="AV6" s="4">
        <f>N6/MAX(AU6,0.5)</f>
        <v/>
      </c>
      <c r="AW6" s="4">
        <f>F6</f>
        <v/>
      </c>
      <c r="AX6" s="3">
        <f>AW6&amp;"|"&amp;INT(M6/SEG_ANIO)*SEG_ANIO</f>
        <v/>
      </c>
      <c r="AY6" s="3">
        <f>AX6&amp;"|"&amp;INT(N6/SEG_KM)*SEG_KM</f>
        <v/>
      </c>
      <c r="AZ6" s="4">
        <f>COUNTIF($AW$2:$AW$662,AW6)</f>
        <v/>
      </c>
      <c r="BA6" s="4">
        <f>COUNTIF($AX$2:$AX$662,AX6)</f>
        <v/>
      </c>
      <c r="BB6" s="4">
        <f>COUNTIF($AY$2:$AY$662,AY6)</f>
        <v/>
      </c>
      <c r="BC6" s="3">
        <f t="array" ref="BC6">IF(N(AO6)&gt;=MIN_N,AN6,IF(BB6&gt;=MIN_N,MEDIAN(IF($AY$2:$AY$662=AY6,$O$2:$O$662)),IF(BA6&gt;=MIN_N,MEDIAN(IF($AX$2:$AX$662=AX6,$O$2:$O$662)),MEDIAN(IF($AW$2:$AW$662=AW6,$O$2:$O$662)))))</f>
        <v/>
      </c>
      <c r="BD6" s="3">
        <f>IF(N(AO6)&gt;=MIN_N,"mercado "&amp;AP6,IF(BB6&gt;=MIN_N,"modelo+año+km",IF(BA6&gt;=MIN_N,"modelo+año","modelo")))</f>
        <v/>
      </c>
      <c r="BE6" s="4">
        <f>(BC6-O6)/BC6</f>
        <v/>
      </c>
      <c r="BF6" s="3">
        <f>IF(OR(K6="hibrido",K6="glp"),"ECO",IF(K6="electrico","CERO",IF(K6="gasolina",IF(M6&gt;=GAS_C,"C",IF(M6&gt;=GAS_B,"B","A")),IF(K6="diesel",IF(M6&gt;=DIE_C,"C",IF(M6&gt;=DIE_B,"B","A")),""))))</f>
        <v/>
      </c>
      <c r="BG6" s="3">
        <f>IFERROR(VLOOKUP(F6,MOD_TBL,11,0),IFERROR(VLOOKUP(E6,OCU_TBL,2,0),NEUTRO))</f>
        <v/>
      </c>
      <c r="BH6" s="3">
        <f>SUMIFS(MOT_AJUSTE,MOT_MOTOR,G6,MOT_MARCA,E6,MOT_DESDE,"&lt;="&amp;M6,MOT_HASTA,"&gt;="&amp;M6)+SUMIFS(MOT_AJUSTE,MOT_MOTOR,G6,MOT_MARCA,"(todas)",MOT_DESDE,"&lt;="&amp;M6,MOT_HASTA,"&gt;="&amp;M6)</f>
        <v/>
      </c>
      <c r="BI6" s="3">
        <f>SUMIFS(COMB_AJUSTE,COMB_COMB,K6)</f>
        <v/>
      </c>
      <c r="BJ6" s="3">
        <f>COUNTIFS(MOT_MOTOR,G6,MOT_MARCA,E6,MOT_DESDE,"&lt;="&amp;M6,MOT_HASTA,"&gt;="&amp;M6)+COUNTIFS(MOT_MOTOR,G6,MOT_MARCA,"(todas)",MOT_DESDE,"&lt;="&amp;M6,MOT_HASTA,"&gt;="&amp;M6)</f>
        <v/>
      </c>
      <c r="BK6" s="3">
        <f>IF(AND(K6="diesel",BJ6=0),MIN(BG6,NEUTRO),BG6)</f>
        <v/>
      </c>
      <c r="BL6" s="4">
        <f>MAX(0,MIN(100,BK6+BH6+BI6))</f>
        <v/>
      </c>
      <c r="BM6" s="3">
        <f>MAX(0,MIN(100,50+BE6*PRECIO_PEND))</f>
        <v/>
      </c>
      <c r="BN6" s="3">
        <f>MAX(0,100*(1-N6/KM_MAX))</f>
        <v/>
      </c>
      <c r="BO6" s="3">
        <f>IF(AV6&lt;KMA_SOSP,IF(AA6="sí",100,KMA_PEN),IF(AV6&lt;=KMA_IDEAL_MAX,100,MAX(0,100*(KMA_CERO-AV6)/(KMA_CERO-KMA_IDEAL_MAX))))</f>
        <v/>
      </c>
      <c r="BP6" s="3">
        <f>MAX(0,MIN(100,100*(M6-ANIO_MIN)/(ANIO_ACTUAL-ANIO_MIN)))</f>
        <v/>
      </c>
      <c r="BQ6" s="3">
        <f>W_KMT*BN6+W_KMA*BO6+W_EDAD*BP6</f>
        <v/>
      </c>
      <c r="BR6" s="3">
        <f>P_ITV*(V6="sí")+P_LIBRO*(W6="sí")+P_CORREA*(X6="sí")+P_PROP*(Y6=1)+P_GAR*(Z6="sí")+P_FOTOS*MIN(1,N(U6)/FOTOS_OBJ)</f>
        <v/>
      </c>
      <c r="BS6" s="3">
        <f>IFERROR(VLOOKUP(BF6,ETQ_TBL,2,0),NEUTRO)</f>
        <v/>
      </c>
      <c r="BT6" s="3">
        <f>NEUTRO</f>
        <v/>
      </c>
      <c r="BU6" s="3">
        <f>IFERROR(VLOOKUP(L6,SEGURO_TBL,3,0),"")</f>
        <v/>
      </c>
      <c r="BV6" s="3">
        <f>IF(BU6="",NEUTRO,MAX(0,MIN(100,100*(SEG_REF_MAX-BU6)/(SEG_REF_MAX-SEG_REF_MIN))))</f>
        <v/>
      </c>
      <c r="BW6" s="3">
        <f>W_ET*BS6+W_CONS*BT6+W_SEG*BV6</f>
        <v/>
      </c>
      <c r="BX6" s="3">
        <f>IF(N(AB6)&gt;0,AB6,IF(AND(R6="profesional",SG_LEGAL_ON=1),GAR_LEGAL,0))</f>
        <v/>
      </c>
      <c r="BY6" s="3">
        <f>SG_GAR*MIN(1,BX6/SG_GAR_FULL)+SG_AMPL*(AC6="sí")+SG_KMC*(AF6="sí")+SG_REV*(N(AE6)&gt;0)+SG_DEV*MIN(1,N(AG6)/SG_DEV_FULL)+SG_HIST*(W6="sí")</f>
        <v/>
      </c>
      <c r="BZ6" s="3">
        <f>IFERROR(VLOOKUP(L6,CARR_PEN_TBL,2,0),0)</f>
        <v/>
      </c>
      <c r="CA6" s="3">
        <f>W_FIAB*BL6+W_PRECIO*BM6+W_KMEDAD*BQ6+W_ANUNCIO*BR6+W_USO*BW6+W_SEGURIDAD*BY6-BZ6</f>
        <v/>
      </c>
      <c r="CB6" s="4">
        <f>IF(N(I6)&gt;0,I6,IFERROR(ROUND(_xlfn.NUMBERVALUE(LEFT(G6,FIND(" ",G6&amp;" ")-1),".")*1000,0),99999))</f>
        <v/>
      </c>
      <c r="CC6" s="3">
        <f>IF(R6="profesional",0,IF(O6&lt;CUOTA_VALOR_MAX,IF(AU6&gt;ITP_TRAMO_ALTO,SUMIFS(CF_CUOTA,CF_MAS,ITP_TRAMO_ALTO,CF_CCMIN,"&lt;="&amp;CB6,CF_CCMAX,"&gt;="&amp;CB6),IF(AU6&gt;ITP_TRAMO_BAJO,SUMIFS(CF_CUOTA,CF_MAS,ITP_TRAMO_BAJO,CF_CCMIN,"&lt;="&amp;CB6,CF_CCMAX,"&gt;="&amp;CB6),O6*ITP_TIPO)),O6*ITP_TIPO))</f>
        <v/>
      </c>
      <c r="CD6" s="4">
        <f>IF(R6="profesional",N(AK6),0)</f>
        <v/>
      </c>
      <c r="CE6" s="3">
        <f>IF(AND(R6="profesional",ISNUMBER(AK6),AL6="sí"),0,TASA_DGT)</f>
        <v/>
      </c>
      <c r="CF6" s="3">
        <f>INFORME_DGT</f>
        <v/>
      </c>
      <c r="CG6" s="4">
        <f>O6+CD6+CC6+CE6+CF6</f>
        <v/>
      </c>
      <c r="CH6" s="4">
        <f>CG6+N(BU6)</f>
        <v/>
      </c>
      <c r="CI6" s="3">
        <f>IF(CG6&lt;=TOTAL_MAX,"sí",IF(CG6&lt;=TOTAL_MAX+MARGEN_NEG,"negociar","no"))</f>
        <v/>
      </c>
      <c r="CJ6" s="4">
        <f>IF(CI6&lt;&gt;"no",COUNTIFS($CI$2:$CI$662,"&lt;&gt;no",$CA$2:$CA$662,"&gt;"&amp;CA6)+COUNTIFS($CI$2:CI6,"&lt;&gt;no",$CA$2:CA6,CA6),"")</f>
        <v/>
      </c>
    </row>
    <row r="7">
      <c r="A7" s="2" t="inlineStr">
        <is>
          <t>autoscout24:78433a06-4502-4d6e-8fd3-0fdd67d99ab8</t>
        </is>
      </c>
      <c r="B7" s="2" t="inlineStr">
        <is>
          <t>autoscout24</t>
        </is>
      </c>
      <c r="C7" s="2" t="inlineStr">
        <is>
          <t>https://www.autoscout24.es/anuncios/skoda-fabia-1-4tdi-style-80-diesel-cat_ma65mo15878-78433a06-4502-4d6e-8fd3-0fdd67d99ab8</t>
        </is>
      </c>
      <c r="D7" s="2" t="inlineStr">
        <is>
          <t>Skoda Fabia 1.4TDI Style 80</t>
        </is>
      </c>
      <c r="E7" s="2" t="inlineStr">
        <is>
          <t>Skoda</t>
        </is>
      </c>
      <c r="F7" s="2" t="inlineStr">
        <is>
          <t>Skoda Fabia</t>
        </is>
      </c>
      <c r="G7" s="2" t="inlineStr">
        <is>
          <t>1.4 TDI</t>
        </is>
      </c>
      <c r="H7" s="2" t="inlineStr">
        <is>
          <t>1.4TDI Style 80 1.4 TDI</t>
        </is>
      </c>
      <c r="I7" s="2" t="n">
        <v>1422</v>
      </c>
      <c r="J7" s="2" t="n">
        <v>80</v>
      </c>
      <c r="K7" s="2" t="inlineStr">
        <is>
          <t>diesel</t>
        </is>
      </c>
      <c r="L7" s="2" t="inlineStr">
        <is>
          <t>utilitario</t>
        </is>
      </c>
      <c r="M7" s="2" t="n">
        <v>2008</v>
      </c>
      <c r="N7" s="2" t="n">
        <v>166789</v>
      </c>
      <c r="O7" s="2" t="n">
        <v>4200</v>
      </c>
      <c r="P7" s="2" t="inlineStr">
        <is>
          <t>manual</t>
        </is>
      </c>
      <c r="Q7" s="2" t="inlineStr">
        <is>
          <t>no</t>
        </is>
      </c>
      <c r="R7" s="2" t="inlineStr">
        <is>
          <t>particular</t>
        </is>
      </c>
      <c r="S7" s="2" t="inlineStr">
        <is>
          <t>Picassent (46220)</t>
        </is>
      </c>
      <c r="T7" s="2" t="n"/>
      <c r="U7" s="2" t="n">
        <v>5</v>
      </c>
      <c r="V7" s="2" t="inlineStr">
        <is>
          <t>sí</t>
        </is>
      </c>
      <c r="W7" s="2" t="n"/>
      <c r="X7" s="2" t="n"/>
      <c r="Y7" s="2" t="n"/>
      <c r="Z7" s="2" t="n"/>
      <c r="AA7" s="2" t="n"/>
      <c r="AB7" s="2" t="n"/>
      <c r="AC7" s="2" t="n"/>
      <c r="AD7" s="2" t="n"/>
      <c r="AE7" s="2" t="n"/>
      <c r="AF7" s="2" t="n"/>
      <c r="AG7" s="2" t="n"/>
      <c r="AH7" s="2" t="n"/>
      <c r="AI7" s="2" t="n"/>
      <c r="AJ7" s="2" t="n"/>
      <c r="AK7" s="2" t="n"/>
      <c r="AL7" s="2" t="n"/>
      <c r="AM7" s="2" t="n">
        <v>12.7</v>
      </c>
      <c r="AN7" s="2" t="n">
        <v>3300</v>
      </c>
      <c r="AO7" s="2" t="n">
        <v>5</v>
      </c>
      <c r="AP7" s="2" t="inlineStr">
        <is>
          <t>modelo+año</t>
        </is>
      </c>
      <c r="AQ7" s="2" t="n"/>
      <c r="AR7" s="2" t="inlineStr">
        <is>
          <t>cuota fija ITP: &gt;12 años, hasta 1.500 cc; diésel: motor sin fuente de fiabilidad (fiabilidad limitada a neutra)</t>
        </is>
      </c>
      <c r="AS7" s="2" t="inlineStr">
        <is>
          <t>ITV hasta 11/07/2027&lt;br /&gt;Le cambié el aceite del motor y el filtro y todo Todo en él está arreglado 💯</t>
        </is>
      </c>
      <c r="AT7" s="2" t="inlineStr">
        <is>
          <t>https://www.autoscout24.es/anuncios/skoda-fabia-1-4tdi-style-80-diesel-cat_ma65mo15878-78433a06-4502-4d6e-8fd3-0fdd67d99ab8 (__NEXT_DATA__ listingDetails) /home/user/Alopecia/buscador-coches/raw/autoscout24/a7414d5259e05d65.json</t>
        </is>
      </c>
      <c r="AU7" s="3">
        <f>MAX(ANIO_ACTUAL-M7,0)</f>
        <v/>
      </c>
      <c r="AV7" s="4">
        <f>N7/MAX(AU7,0.5)</f>
        <v/>
      </c>
      <c r="AW7" s="4">
        <f>F7</f>
        <v/>
      </c>
      <c r="AX7" s="3">
        <f>AW7&amp;"|"&amp;INT(M7/SEG_ANIO)*SEG_ANIO</f>
        <v/>
      </c>
      <c r="AY7" s="3">
        <f>AX7&amp;"|"&amp;INT(N7/SEG_KM)*SEG_KM</f>
        <v/>
      </c>
      <c r="AZ7" s="4">
        <f>COUNTIF($AW$2:$AW$662,AW7)</f>
        <v/>
      </c>
      <c r="BA7" s="4">
        <f>COUNTIF($AX$2:$AX$662,AX7)</f>
        <v/>
      </c>
      <c r="BB7" s="4">
        <f>COUNTIF($AY$2:$AY$662,AY7)</f>
        <v/>
      </c>
      <c r="BC7" s="3">
        <f t="array" ref="BC7">IF(N(AO7)&gt;=MIN_N,AN7,IF(BB7&gt;=MIN_N,MEDIAN(IF($AY$2:$AY$662=AY7,$O$2:$O$662)),IF(BA7&gt;=MIN_N,MEDIAN(IF($AX$2:$AX$662=AX7,$O$2:$O$662)),MEDIAN(IF($AW$2:$AW$662=AW7,$O$2:$O$662)))))</f>
        <v/>
      </c>
      <c r="BD7" s="3">
        <f>IF(N(AO7)&gt;=MIN_N,"mercado "&amp;AP7,IF(BB7&gt;=MIN_N,"modelo+año+km",IF(BA7&gt;=MIN_N,"modelo+año","modelo")))</f>
        <v/>
      </c>
      <c r="BE7" s="4">
        <f>(BC7-O7)/BC7</f>
        <v/>
      </c>
      <c r="BF7" s="3">
        <f>IF(OR(K7="hibrido",K7="glp"),"ECO",IF(K7="electrico","CERO",IF(K7="gasolina",IF(M7&gt;=GAS_C,"C",IF(M7&gt;=GAS_B,"B","A")),IF(K7="diesel",IF(M7&gt;=DIE_C,"C",IF(M7&gt;=DIE_B,"B","A")),""))))</f>
        <v/>
      </c>
      <c r="BG7" s="3">
        <f>IFERROR(VLOOKUP(F7,MOD_TBL,11,0),IFERROR(VLOOKUP(E7,OCU_TBL,2,0),NEUTRO))</f>
        <v/>
      </c>
      <c r="BH7" s="3">
        <f>SUMIFS(MOT_AJUSTE,MOT_MOTOR,G7,MOT_MARCA,E7,MOT_DESDE,"&lt;="&amp;M7,MOT_HASTA,"&gt;="&amp;M7)+SUMIFS(MOT_AJUSTE,MOT_MOTOR,G7,MOT_MARCA,"(todas)",MOT_DESDE,"&lt;="&amp;M7,MOT_HASTA,"&gt;="&amp;M7)</f>
        <v/>
      </c>
      <c r="BI7" s="3">
        <f>SUMIFS(COMB_AJUSTE,COMB_COMB,K7)</f>
        <v/>
      </c>
      <c r="BJ7" s="3">
        <f>COUNTIFS(MOT_MOTOR,G7,MOT_MARCA,E7,MOT_DESDE,"&lt;="&amp;M7,MOT_HASTA,"&gt;="&amp;M7)+COUNTIFS(MOT_MOTOR,G7,MOT_MARCA,"(todas)",MOT_DESDE,"&lt;="&amp;M7,MOT_HASTA,"&gt;="&amp;M7)</f>
        <v/>
      </c>
      <c r="BK7" s="3">
        <f>IF(AND(K7="diesel",BJ7=0),MIN(BG7,NEUTRO),BG7)</f>
        <v/>
      </c>
      <c r="BL7" s="4">
        <f>MAX(0,MIN(100,BK7+BH7+BI7))</f>
        <v/>
      </c>
      <c r="BM7" s="3">
        <f>MAX(0,MIN(100,50+BE7*PRECIO_PEND))</f>
        <v/>
      </c>
      <c r="BN7" s="3">
        <f>MAX(0,100*(1-N7/KM_MAX))</f>
        <v/>
      </c>
      <c r="BO7" s="3">
        <f>IF(AV7&lt;KMA_SOSP,IF(AA7="sí",100,KMA_PEN),IF(AV7&lt;=KMA_IDEAL_MAX,100,MAX(0,100*(KMA_CERO-AV7)/(KMA_CERO-KMA_IDEAL_MAX))))</f>
        <v/>
      </c>
      <c r="BP7" s="3">
        <f>MAX(0,MIN(100,100*(M7-ANIO_MIN)/(ANIO_ACTUAL-ANIO_MIN)))</f>
        <v/>
      </c>
      <c r="BQ7" s="3">
        <f>W_KMT*BN7+W_KMA*BO7+W_EDAD*BP7</f>
        <v/>
      </c>
      <c r="BR7" s="3">
        <f>P_ITV*(V7="sí")+P_LIBRO*(W7="sí")+P_CORREA*(X7="sí")+P_PROP*(Y7=1)+P_GAR*(Z7="sí")+P_FOTOS*MIN(1,N(U7)/FOTOS_OBJ)</f>
        <v/>
      </c>
      <c r="BS7" s="3">
        <f>IFERROR(VLOOKUP(BF7,ETQ_TBL,2,0),NEUTRO)</f>
        <v/>
      </c>
      <c r="BT7" s="3">
        <f>NEUTRO</f>
        <v/>
      </c>
      <c r="BU7" s="3">
        <f>IFERROR(VLOOKUP(L7,SEGURO_TBL,3,0),"")</f>
        <v/>
      </c>
      <c r="BV7" s="3">
        <f>IF(BU7="",NEUTRO,MAX(0,MIN(100,100*(SEG_REF_MAX-BU7)/(SEG_REF_MAX-SEG_REF_MIN))))</f>
        <v/>
      </c>
      <c r="BW7" s="3">
        <f>W_ET*BS7+W_CONS*BT7+W_SEG*BV7</f>
        <v/>
      </c>
      <c r="BX7" s="3">
        <f>IF(N(AB7)&gt;0,AB7,IF(AND(R7="profesional",SG_LEGAL_ON=1),GAR_LEGAL,0))</f>
        <v/>
      </c>
      <c r="BY7" s="3">
        <f>SG_GAR*MIN(1,BX7/SG_GAR_FULL)+SG_AMPL*(AC7="sí")+SG_KMC*(AF7="sí")+SG_REV*(N(AE7)&gt;0)+SG_DEV*MIN(1,N(AG7)/SG_DEV_FULL)+SG_HIST*(W7="sí")</f>
        <v/>
      </c>
      <c r="BZ7" s="3">
        <f>IFERROR(VLOOKUP(L7,CARR_PEN_TBL,2,0),0)</f>
        <v/>
      </c>
      <c r="CA7" s="3">
        <f>W_FIAB*BL7+W_PRECIO*BM7+W_KMEDAD*BQ7+W_ANUNCIO*BR7+W_USO*BW7+W_SEGURIDAD*BY7-BZ7</f>
        <v/>
      </c>
      <c r="CB7" s="4">
        <f>IF(N(I7)&gt;0,I7,IFERROR(ROUND(_xlfn.NUMBERVALUE(LEFT(G7,FIND(" ",G7&amp;" ")-1),".")*1000,0),99999))</f>
        <v/>
      </c>
      <c r="CC7" s="3">
        <f>IF(R7="profesional",0,IF(O7&lt;CUOTA_VALOR_MAX,IF(AU7&gt;ITP_TRAMO_ALTO,SUMIFS(CF_CUOTA,CF_MAS,ITP_TRAMO_ALTO,CF_CCMIN,"&lt;="&amp;CB7,CF_CCMAX,"&gt;="&amp;CB7),IF(AU7&gt;ITP_TRAMO_BAJO,SUMIFS(CF_CUOTA,CF_MAS,ITP_TRAMO_BAJO,CF_CCMIN,"&lt;="&amp;CB7,CF_CCMAX,"&gt;="&amp;CB7),O7*ITP_TIPO)),O7*ITP_TIPO))</f>
        <v/>
      </c>
      <c r="CD7" s="4">
        <f>IF(R7="profesional",N(AK7),0)</f>
        <v/>
      </c>
      <c r="CE7" s="3">
        <f>IF(AND(R7="profesional",ISNUMBER(AK7),AL7="sí"),0,TASA_DGT)</f>
        <v/>
      </c>
      <c r="CF7" s="3">
        <f>INFORME_DGT</f>
        <v/>
      </c>
      <c r="CG7" s="4">
        <f>O7+CD7+CC7+CE7+CF7</f>
        <v/>
      </c>
      <c r="CH7" s="4">
        <f>CG7+N(BU7)</f>
        <v/>
      </c>
      <c r="CI7" s="3">
        <f>IF(CG7&lt;=TOTAL_MAX,"sí",IF(CG7&lt;=TOTAL_MAX+MARGEN_NEG,"negociar","no"))</f>
        <v/>
      </c>
      <c r="CJ7" s="4">
        <f>IF(CI7&lt;&gt;"no",COUNTIFS($CI$2:$CI$662,"&lt;&gt;no",$CA$2:$CA$662,"&gt;"&amp;CA7)+COUNTIFS($CI$2:CI7,"&lt;&gt;no",$CA$2:CA7,CA7),"")</f>
        <v/>
      </c>
    </row>
    <row r="8">
      <c r="A8" s="2" t="inlineStr">
        <is>
          <t>autoscout24:e82e2b46-304d-45e7-b319-e5896690fc01</t>
        </is>
      </c>
      <c r="B8" s="2" t="inlineStr">
        <is>
          <t>autoscout24</t>
        </is>
      </c>
      <c r="C8" s="2" t="inlineStr">
        <is>
          <t>https://www.autoscout24.es/anuncios/seat-ibiza-1-4-sport-gasolina-cat_ma64mo2006-e82e2b46-304d-45e7-b319-e5896690fc01</t>
        </is>
      </c>
      <c r="D8" s="2" t="inlineStr">
        <is>
          <t>SEAT Ibiza 1.4 Sport</t>
        </is>
      </c>
      <c r="E8" s="2" t="inlineStr">
        <is>
          <t>Seat</t>
        </is>
      </c>
      <c r="F8" s="2" t="inlineStr">
        <is>
          <t>Seat Ibiza</t>
        </is>
      </c>
      <c r="G8" s="2" t="inlineStr">
        <is>
          <t>1.4</t>
        </is>
      </c>
      <c r="H8" s="2" t="inlineStr">
        <is>
          <t>1.4 Sport 1.4</t>
        </is>
      </c>
      <c r="I8" s="2" t="n">
        <v>1390</v>
      </c>
      <c r="J8" s="2" t="n">
        <v>86</v>
      </c>
      <c r="K8" s="2" t="inlineStr">
        <is>
          <t>gasolina</t>
        </is>
      </c>
      <c r="L8" s="2" t="inlineStr">
        <is>
          <t>utilitario</t>
        </is>
      </c>
      <c r="M8" s="2" t="n">
        <v>2009</v>
      </c>
      <c r="N8" s="2" t="n">
        <v>180000</v>
      </c>
      <c r="O8" s="2" t="n">
        <v>4400</v>
      </c>
      <c r="P8" s="2" t="inlineStr">
        <is>
          <t>manual</t>
        </is>
      </c>
      <c r="Q8" s="2" t="inlineStr">
        <is>
          <t>no</t>
        </is>
      </c>
      <c r="R8" s="2" t="inlineStr">
        <is>
          <t>particular</t>
        </is>
      </c>
      <c r="S8" s="2" t="inlineStr">
        <is>
          <t>Vinalesa (46114)</t>
        </is>
      </c>
      <c r="T8" s="2" t="n"/>
      <c r="U8" s="2" t="n">
        <v>1</v>
      </c>
      <c r="V8" s="2" t="inlineStr">
        <is>
          <t>sí</t>
        </is>
      </c>
      <c r="W8" s="2" t="n"/>
      <c r="X8" s="2" t="inlineStr">
        <is>
          <t>sí</t>
        </is>
      </c>
      <c r="Y8" s="2" t="n"/>
      <c r="Z8" s="2" t="n"/>
      <c r="AA8" s="2" t="n"/>
      <c r="AB8" s="2" t="n"/>
      <c r="AC8" s="2" t="n"/>
      <c r="AD8" s="2" t="n"/>
      <c r="AE8" s="2" t="n"/>
      <c r="AF8" s="2" t="n"/>
      <c r="AG8" s="2" t="n"/>
      <c r="AH8" s="2" t="n"/>
      <c r="AI8" s="2" t="n"/>
      <c r="AJ8" s="2" t="n"/>
      <c r="AK8" s="2" t="n"/>
      <c r="AL8" s="2" t="n"/>
      <c r="AM8" s="2" t="n">
        <v>7.8</v>
      </c>
      <c r="AN8" s="2" t="n">
        <v>4750</v>
      </c>
      <c r="AO8" s="2" t="n">
        <v>4</v>
      </c>
      <c r="AP8" s="2" t="inlineStr">
        <is>
          <t>modelo+año+km</t>
        </is>
      </c>
      <c r="AQ8" s="2" t="n"/>
      <c r="AR8" s="2" t="inlineStr">
        <is>
          <t>cuota fija ITP: &gt;12 años, hasta 1.500 cc</t>
        </is>
      </c>
      <c r="AS8" s="2" t="inlineStr">
        <is>
          <t>🚗 SE VENDE SEAT IBIZA 1.4 SPORT – GASOLINA&lt;br /&gt;&lt;br /&gt;📅 Año: 2009&lt;br /&gt;⛽ Motor: Gasolina 1.4&lt;br /&gt;🏁 Versión: Sport&lt;br /&gt;📍 Kilómetros: 180.000 km&lt;br /&gt;✅ ITV pasada en mayo de 2026&lt;br /&gt;✅ Sin accidentes&lt;br /&gt;✅ Sin reparaciones graves&lt;br /&gt;✅ Buen estado general&lt;br /&gt;✅ Sistema multimedia Android instalado&lt;br /&gt;📱 Pantalla tipo tablet con Bluetooth y navegador GPS&lt;br /&gt;&lt;br /&gt;Coche ideal para uso diario, económico de mantener y con motor fiable.&lt;br /&gt;Se vende por cambio de vehículo.&lt;br /&gt;&lt;br /&gt;Caja de cambios y correa cambiados a los 140.000 kms por desgaste.</t>
        </is>
      </c>
      <c r="AT8" s="2" t="inlineStr">
        <is>
          <t>https://www.autoscout24.es/anuncios/seat-ibiza-1-4-sport-gasolina-cat_ma64mo2006-e82e2b46-304d-45e7-b319-e5896690fc01 (__NEXT_DATA__ listingDetails) /home/user/Alopecia/buscador-coches/raw/autoscout24/3b8e903b836218fd.json</t>
        </is>
      </c>
      <c r="AU8" s="3">
        <f>MAX(ANIO_ACTUAL-M8,0)</f>
        <v/>
      </c>
      <c r="AV8" s="4">
        <f>N8/MAX(AU8,0.5)</f>
        <v/>
      </c>
      <c r="AW8" s="4">
        <f>F8</f>
        <v/>
      </c>
      <c r="AX8" s="3">
        <f>AW8&amp;"|"&amp;INT(M8/SEG_ANIO)*SEG_ANIO</f>
        <v/>
      </c>
      <c r="AY8" s="3">
        <f>AX8&amp;"|"&amp;INT(N8/SEG_KM)*SEG_KM</f>
        <v/>
      </c>
      <c r="AZ8" s="4">
        <f>COUNTIF($AW$2:$AW$662,AW8)</f>
        <v/>
      </c>
      <c r="BA8" s="4">
        <f>COUNTIF($AX$2:$AX$662,AX8)</f>
        <v/>
      </c>
      <c r="BB8" s="4">
        <f>COUNTIF($AY$2:$AY$662,AY8)</f>
        <v/>
      </c>
      <c r="BC8" s="3">
        <f t="array" ref="BC8">IF(N(AO8)&gt;=MIN_N,AN8,IF(BB8&gt;=MIN_N,MEDIAN(IF($AY$2:$AY$662=AY8,$O$2:$O$662)),IF(BA8&gt;=MIN_N,MEDIAN(IF($AX$2:$AX$662=AX8,$O$2:$O$662)),MEDIAN(IF($AW$2:$AW$662=AW8,$O$2:$O$662)))))</f>
        <v/>
      </c>
      <c r="BD8" s="3">
        <f>IF(N(AO8)&gt;=MIN_N,"mercado "&amp;AP8,IF(BB8&gt;=MIN_N,"modelo+año+km",IF(BA8&gt;=MIN_N,"modelo+año","modelo")))</f>
        <v/>
      </c>
      <c r="BE8" s="4">
        <f>(BC8-O8)/BC8</f>
        <v/>
      </c>
      <c r="BF8" s="3">
        <f>IF(OR(K8="hibrido",K8="glp"),"ECO",IF(K8="electrico","CERO",IF(K8="gasolina",IF(M8&gt;=GAS_C,"C",IF(M8&gt;=GAS_B,"B","A")),IF(K8="diesel",IF(M8&gt;=DIE_C,"C",IF(M8&gt;=DIE_B,"B","A")),""))))</f>
        <v/>
      </c>
      <c r="BG8" s="3">
        <f>IFERROR(VLOOKUP(F8,MOD_TBL,11,0),IFERROR(VLOOKUP(E8,OCU_TBL,2,0),NEUTRO))</f>
        <v/>
      </c>
      <c r="BH8" s="3">
        <f>SUMIFS(MOT_AJUSTE,MOT_MOTOR,G8,MOT_MARCA,E8,MOT_DESDE,"&lt;="&amp;M8,MOT_HASTA,"&gt;="&amp;M8)+SUMIFS(MOT_AJUSTE,MOT_MOTOR,G8,MOT_MARCA,"(todas)",MOT_DESDE,"&lt;="&amp;M8,MOT_HASTA,"&gt;="&amp;M8)</f>
        <v/>
      </c>
      <c r="BI8" s="3">
        <f>SUMIFS(COMB_AJUSTE,COMB_COMB,K8)</f>
        <v/>
      </c>
      <c r="BJ8" s="3">
        <f>COUNTIFS(MOT_MOTOR,G8,MOT_MARCA,E8,MOT_DESDE,"&lt;="&amp;M8,MOT_HASTA,"&gt;="&amp;M8)+COUNTIFS(MOT_MOTOR,G8,MOT_MARCA,"(todas)",MOT_DESDE,"&lt;="&amp;M8,MOT_HASTA,"&gt;="&amp;M8)</f>
        <v/>
      </c>
      <c r="BK8" s="3">
        <f>IF(AND(K8="diesel",BJ8=0),MIN(BG8,NEUTRO),BG8)</f>
        <v/>
      </c>
      <c r="BL8" s="4">
        <f>MAX(0,MIN(100,BK8+BH8+BI8))</f>
        <v/>
      </c>
      <c r="BM8" s="3">
        <f>MAX(0,MIN(100,50+BE8*PRECIO_PEND))</f>
        <v/>
      </c>
      <c r="BN8" s="3">
        <f>MAX(0,100*(1-N8/KM_MAX))</f>
        <v/>
      </c>
      <c r="BO8" s="3">
        <f>IF(AV8&lt;KMA_SOSP,IF(AA8="sí",100,KMA_PEN),IF(AV8&lt;=KMA_IDEAL_MAX,100,MAX(0,100*(KMA_CERO-AV8)/(KMA_CERO-KMA_IDEAL_MAX))))</f>
        <v/>
      </c>
      <c r="BP8" s="3">
        <f>MAX(0,MIN(100,100*(M8-ANIO_MIN)/(ANIO_ACTUAL-ANIO_MIN)))</f>
        <v/>
      </c>
      <c r="BQ8" s="3">
        <f>W_KMT*BN8+W_KMA*BO8+W_EDAD*BP8</f>
        <v/>
      </c>
      <c r="BR8" s="3">
        <f>P_ITV*(V8="sí")+P_LIBRO*(W8="sí")+P_CORREA*(X8="sí")+P_PROP*(Y8=1)+P_GAR*(Z8="sí")+P_FOTOS*MIN(1,N(U8)/FOTOS_OBJ)</f>
        <v/>
      </c>
      <c r="BS8" s="3">
        <f>IFERROR(VLOOKUP(BF8,ETQ_TBL,2,0),NEUTRO)</f>
        <v/>
      </c>
      <c r="BT8" s="3">
        <f>NEUTRO</f>
        <v/>
      </c>
      <c r="BU8" s="3">
        <f>IFERROR(VLOOKUP(L8,SEGURO_TBL,3,0),"")</f>
        <v/>
      </c>
      <c r="BV8" s="3">
        <f>IF(BU8="",NEUTRO,MAX(0,MIN(100,100*(SEG_REF_MAX-BU8)/(SEG_REF_MAX-SEG_REF_MIN))))</f>
        <v/>
      </c>
      <c r="BW8" s="3">
        <f>W_ET*BS8+W_CONS*BT8+W_SEG*BV8</f>
        <v/>
      </c>
      <c r="BX8" s="3">
        <f>IF(N(AB8)&gt;0,AB8,IF(AND(R8="profesional",SG_LEGAL_ON=1),GAR_LEGAL,0))</f>
        <v/>
      </c>
      <c r="BY8" s="3">
        <f>SG_GAR*MIN(1,BX8/SG_GAR_FULL)+SG_AMPL*(AC8="sí")+SG_KMC*(AF8="sí")+SG_REV*(N(AE8)&gt;0)+SG_DEV*MIN(1,N(AG8)/SG_DEV_FULL)+SG_HIST*(W8="sí")</f>
        <v/>
      </c>
      <c r="BZ8" s="3">
        <f>IFERROR(VLOOKUP(L8,CARR_PEN_TBL,2,0),0)</f>
        <v/>
      </c>
      <c r="CA8" s="3">
        <f>W_FIAB*BL8+W_PRECIO*BM8+W_KMEDAD*BQ8+W_ANUNCIO*BR8+W_USO*BW8+W_SEGURIDAD*BY8-BZ8</f>
        <v/>
      </c>
      <c r="CB8" s="4">
        <f>IF(N(I8)&gt;0,I8,IFERROR(ROUND(_xlfn.NUMBERVALUE(LEFT(G8,FIND(" ",G8&amp;" ")-1),".")*1000,0),99999))</f>
        <v/>
      </c>
      <c r="CC8" s="3">
        <f>IF(R8="profesional",0,IF(O8&lt;CUOTA_VALOR_MAX,IF(AU8&gt;ITP_TRAMO_ALTO,SUMIFS(CF_CUOTA,CF_MAS,ITP_TRAMO_ALTO,CF_CCMIN,"&lt;="&amp;CB8,CF_CCMAX,"&gt;="&amp;CB8),IF(AU8&gt;ITP_TRAMO_BAJO,SUMIFS(CF_CUOTA,CF_MAS,ITP_TRAMO_BAJO,CF_CCMIN,"&lt;="&amp;CB8,CF_CCMAX,"&gt;="&amp;CB8),O8*ITP_TIPO)),O8*ITP_TIPO))</f>
        <v/>
      </c>
      <c r="CD8" s="4">
        <f>IF(R8="profesional",N(AK8),0)</f>
        <v/>
      </c>
      <c r="CE8" s="3">
        <f>IF(AND(R8="profesional",ISNUMBER(AK8),AL8="sí"),0,TASA_DGT)</f>
        <v/>
      </c>
      <c r="CF8" s="3">
        <f>INFORME_DGT</f>
        <v/>
      </c>
      <c r="CG8" s="4">
        <f>O8+CD8+CC8+CE8+CF8</f>
        <v/>
      </c>
      <c r="CH8" s="4">
        <f>CG8+N(BU8)</f>
        <v/>
      </c>
      <c r="CI8" s="3">
        <f>IF(CG8&lt;=TOTAL_MAX,"sí",IF(CG8&lt;=TOTAL_MAX+MARGEN_NEG,"negociar","no"))</f>
        <v/>
      </c>
      <c r="CJ8" s="4">
        <f>IF(CI8&lt;&gt;"no",COUNTIFS($CI$2:$CI$662,"&lt;&gt;no",$CA$2:$CA$662,"&gt;"&amp;CA8)+COUNTIFS($CI$2:CI8,"&lt;&gt;no",$CA$2:CA8,CA8),"")</f>
        <v/>
      </c>
    </row>
    <row r="9">
      <c r="A9" s="2" t="inlineStr">
        <is>
          <t>autoscout24:2d71c35d-97f3-41e3-9fb7-f1bc373d9421</t>
        </is>
      </c>
      <c r="B9" s="2" t="inlineStr">
        <is>
          <t>autoscout24</t>
        </is>
      </c>
      <c r="C9" s="2" t="inlineStr">
        <is>
          <t>https://www.autoscout24.es/anuncios/seat-leon-leon-1-9tdi-reference-ecomotive-dpf-diesel-cat_ma64mo15869-2d71c35d-97f3-41e3-9fb7-f1bc373d9421</t>
        </is>
      </c>
      <c r="D9" s="2" t="inlineStr">
        <is>
          <t>SEAT Leon León 1.9TDI Reference Ecomotive DPF</t>
        </is>
      </c>
      <c r="E9" s="2" t="inlineStr">
        <is>
          <t>Seat</t>
        </is>
      </c>
      <c r="F9" s="2" t="inlineStr">
        <is>
          <t>Seat León</t>
        </is>
      </c>
      <c r="G9" s="2" t="inlineStr">
        <is>
          <t>1.9 TDI</t>
        </is>
      </c>
      <c r="H9" s="2" t="inlineStr">
        <is>
          <t>León 1.9TDI Reference Ecomotive DPF 1.9 TDI</t>
        </is>
      </c>
      <c r="I9" s="2" t="n">
        <v>1896</v>
      </c>
      <c r="J9" s="2" t="n">
        <v>105</v>
      </c>
      <c r="K9" s="2" t="inlineStr">
        <is>
          <t>diesel</t>
        </is>
      </c>
      <c r="L9" s="2" t="inlineStr">
        <is>
          <t>compacto</t>
        </is>
      </c>
      <c r="M9" s="2" t="n">
        <v>2008</v>
      </c>
      <c r="N9" s="2" t="n">
        <v>200000</v>
      </c>
      <c r="O9" s="2" t="n">
        <v>4500</v>
      </c>
      <c r="P9" s="2" t="inlineStr">
        <is>
          <t>manual</t>
        </is>
      </c>
      <c r="Q9" s="2" t="inlineStr">
        <is>
          <t>no</t>
        </is>
      </c>
      <c r="R9" s="2" t="inlineStr">
        <is>
          <t>particular</t>
        </is>
      </c>
      <c r="S9" s="2" t="inlineStr">
        <is>
          <t>València (46191)</t>
        </is>
      </c>
      <c r="T9" s="2" t="n"/>
      <c r="U9" s="2" t="n">
        <v>11</v>
      </c>
      <c r="V9" s="2" t="n"/>
      <c r="W9" s="2" t="n"/>
      <c r="X9" s="2" t="n"/>
      <c r="Y9" s="2" t="n"/>
      <c r="Z9" s="2" t="n"/>
      <c r="AA9" s="2" t="n"/>
      <c r="AB9" s="2" t="n"/>
      <c r="AC9" s="2" t="n"/>
      <c r="AD9" s="2" t="n"/>
      <c r="AE9" s="2" t="n"/>
      <c r="AF9" s="2" t="n"/>
      <c r="AG9" s="2" t="n"/>
      <c r="AH9" s="2" t="n"/>
      <c r="AI9" s="2" t="n"/>
      <c r="AJ9" s="2" t="n"/>
      <c r="AK9" s="2" t="n"/>
      <c r="AL9" s="2" t="n"/>
      <c r="AM9" s="2" t="n">
        <v>20.6</v>
      </c>
      <c r="AN9" s="2" t="n">
        <v>4500</v>
      </c>
      <c r="AO9" s="2" t="n">
        <v>10</v>
      </c>
      <c r="AP9" s="2" t="inlineStr">
        <is>
          <t>modelo+año+km</t>
        </is>
      </c>
      <c r="AQ9" s="2" t="n"/>
      <c r="AR9" s="2" t="inlineStr">
        <is>
          <t>cuota fija ITP: &gt;12 años, 1.501-2.000 cc; diésel: motor sin fuente de fiabilidad (fiabilidad limitada a neutra)</t>
        </is>
      </c>
      <c r="AS9" s="2" t="inlineStr">
        <is>
          <t>se vende Seat León en condiciones aceptables con embrague recién cambiado todo con factura motor 1900 potente se puede ver y probar saludos teléfono 631862154</t>
        </is>
      </c>
      <c r="AT9" s="2" t="inlineStr">
        <is>
          <t>https://www.autoscout24.es/anuncios/seat-leon-leon-1-9tdi-reference-ecomotive-dpf-diesel-cat_ma64mo15869-2d71c35d-97f3-41e3-9fb7-f1bc373d9421 (__NEXT_DATA__ listingDetails) /home/user/Alopecia/buscador-coches/raw/autoscout24/22197e73cc7a77c1.json</t>
        </is>
      </c>
      <c r="AU9" s="3">
        <f>MAX(ANIO_ACTUAL-M9,0)</f>
        <v/>
      </c>
      <c r="AV9" s="4">
        <f>N9/MAX(AU9,0.5)</f>
        <v/>
      </c>
      <c r="AW9" s="4">
        <f>F9</f>
        <v/>
      </c>
      <c r="AX9" s="3">
        <f>AW9&amp;"|"&amp;INT(M9/SEG_ANIO)*SEG_ANIO</f>
        <v/>
      </c>
      <c r="AY9" s="3">
        <f>AX9&amp;"|"&amp;INT(N9/SEG_KM)*SEG_KM</f>
        <v/>
      </c>
      <c r="AZ9" s="4">
        <f>COUNTIF($AW$2:$AW$662,AW9)</f>
        <v/>
      </c>
      <c r="BA9" s="4">
        <f>COUNTIF($AX$2:$AX$662,AX9)</f>
        <v/>
      </c>
      <c r="BB9" s="4">
        <f>COUNTIF($AY$2:$AY$662,AY9)</f>
        <v/>
      </c>
      <c r="BC9" s="3">
        <f t="array" ref="BC9">IF(N(AO9)&gt;=MIN_N,AN9,IF(BB9&gt;=MIN_N,MEDIAN(IF($AY$2:$AY$662=AY9,$O$2:$O$662)),IF(BA9&gt;=MIN_N,MEDIAN(IF($AX$2:$AX$662=AX9,$O$2:$O$662)),MEDIAN(IF($AW$2:$AW$662=AW9,$O$2:$O$662)))))</f>
        <v/>
      </c>
      <c r="BD9" s="3">
        <f>IF(N(AO9)&gt;=MIN_N,"mercado "&amp;AP9,IF(BB9&gt;=MIN_N,"modelo+año+km",IF(BA9&gt;=MIN_N,"modelo+año","modelo")))</f>
        <v/>
      </c>
      <c r="BE9" s="4">
        <f>(BC9-O9)/BC9</f>
        <v/>
      </c>
      <c r="BF9" s="3">
        <f>IF(OR(K9="hibrido",K9="glp"),"ECO",IF(K9="electrico","CERO",IF(K9="gasolina",IF(M9&gt;=GAS_C,"C",IF(M9&gt;=GAS_B,"B","A")),IF(K9="diesel",IF(M9&gt;=DIE_C,"C",IF(M9&gt;=DIE_B,"B","A")),""))))</f>
        <v/>
      </c>
      <c r="BG9" s="3">
        <f>IFERROR(VLOOKUP(F9,MOD_TBL,11,0),IFERROR(VLOOKUP(E9,OCU_TBL,2,0),NEUTRO))</f>
        <v/>
      </c>
      <c r="BH9" s="3">
        <f>SUMIFS(MOT_AJUSTE,MOT_MOTOR,G9,MOT_MARCA,E9,MOT_DESDE,"&lt;="&amp;M9,MOT_HASTA,"&gt;="&amp;M9)+SUMIFS(MOT_AJUSTE,MOT_MOTOR,G9,MOT_MARCA,"(todas)",MOT_DESDE,"&lt;="&amp;M9,MOT_HASTA,"&gt;="&amp;M9)</f>
        <v/>
      </c>
      <c r="BI9" s="3">
        <f>SUMIFS(COMB_AJUSTE,COMB_COMB,K9)</f>
        <v/>
      </c>
      <c r="BJ9" s="3">
        <f>COUNTIFS(MOT_MOTOR,G9,MOT_MARCA,E9,MOT_DESDE,"&lt;="&amp;M9,MOT_HASTA,"&gt;="&amp;M9)+COUNTIFS(MOT_MOTOR,G9,MOT_MARCA,"(todas)",MOT_DESDE,"&lt;="&amp;M9,MOT_HASTA,"&gt;="&amp;M9)</f>
        <v/>
      </c>
      <c r="BK9" s="3">
        <f>IF(AND(K9="diesel",BJ9=0),MIN(BG9,NEUTRO),BG9)</f>
        <v/>
      </c>
      <c r="BL9" s="4">
        <f>MAX(0,MIN(100,BK9+BH9+BI9))</f>
        <v/>
      </c>
      <c r="BM9" s="3">
        <f>MAX(0,MIN(100,50+BE9*PRECIO_PEND))</f>
        <v/>
      </c>
      <c r="BN9" s="3">
        <f>MAX(0,100*(1-N9/KM_MAX))</f>
        <v/>
      </c>
      <c r="BO9" s="3">
        <f>IF(AV9&lt;KMA_SOSP,IF(AA9="sí",100,KMA_PEN),IF(AV9&lt;=KMA_IDEAL_MAX,100,MAX(0,100*(KMA_CERO-AV9)/(KMA_CERO-KMA_IDEAL_MAX))))</f>
        <v/>
      </c>
      <c r="BP9" s="3">
        <f>MAX(0,MIN(100,100*(M9-ANIO_MIN)/(ANIO_ACTUAL-ANIO_MIN)))</f>
        <v/>
      </c>
      <c r="BQ9" s="3">
        <f>W_KMT*BN9+W_KMA*BO9+W_EDAD*BP9</f>
        <v/>
      </c>
      <c r="BR9" s="3">
        <f>P_ITV*(V9="sí")+P_LIBRO*(W9="sí")+P_CORREA*(X9="sí")+P_PROP*(Y9=1)+P_GAR*(Z9="sí")+P_FOTOS*MIN(1,N(U9)/FOTOS_OBJ)</f>
        <v/>
      </c>
      <c r="BS9" s="3">
        <f>IFERROR(VLOOKUP(BF9,ETQ_TBL,2,0),NEUTRO)</f>
        <v/>
      </c>
      <c r="BT9" s="3">
        <f>NEUTRO</f>
        <v/>
      </c>
      <c r="BU9" s="3">
        <f>IFERROR(VLOOKUP(L9,SEGURO_TBL,3,0),"")</f>
        <v/>
      </c>
      <c r="BV9" s="3">
        <f>IF(BU9="",NEUTRO,MAX(0,MIN(100,100*(SEG_REF_MAX-BU9)/(SEG_REF_MAX-SEG_REF_MIN))))</f>
        <v/>
      </c>
      <c r="BW9" s="3">
        <f>W_ET*BS9+W_CONS*BT9+W_SEG*BV9</f>
        <v/>
      </c>
      <c r="BX9" s="3">
        <f>IF(N(AB9)&gt;0,AB9,IF(AND(R9="profesional",SG_LEGAL_ON=1),GAR_LEGAL,0))</f>
        <v/>
      </c>
      <c r="BY9" s="3">
        <f>SG_GAR*MIN(1,BX9/SG_GAR_FULL)+SG_AMPL*(AC9="sí")+SG_KMC*(AF9="sí")+SG_REV*(N(AE9)&gt;0)+SG_DEV*MIN(1,N(AG9)/SG_DEV_FULL)+SG_HIST*(W9="sí")</f>
        <v/>
      </c>
      <c r="BZ9" s="3">
        <f>IFERROR(VLOOKUP(L9,CARR_PEN_TBL,2,0),0)</f>
        <v/>
      </c>
      <c r="CA9" s="3">
        <f>W_FIAB*BL9+W_PRECIO*BM9+W_KMEDAD*BQ9+W_ANUNCIO*BR9+W_USO*BW9+W_SEGURIDAD*BY9-BZ9</f>
        <v/>
      </c>
      <c r="CB9" s="4">
        <f>IF(N(I9)&gt;0,I9,IFERROR(ROUND(_xlfn.NUMBERVALUE(LEFT(G9,FIND(" ",G9&amp;" ")-1),".")*1000,0),99999))</f>
        <v/>
      </c>
      <c r="CC9" s="3">
        <f>IF(R9="profesional",0,IF(O9&lt;CUOTA_VALOR_MAX,IF(AU9&gt;ITP_TRAMO_ALTO,SUMIFS(CF_CUOTA,CF_MAS,ITP_TRAMO_ALTO,CF_CCMIN,"&lt;="&amp;CB9,CF_CCMAX,"&gt;="&amp;CB9),IF(AU9&gt;ITP_TRAMO_BAJO,SUMIFS(CF_CUOTA,CF_MAS,ITP_TRAMO_BAJO,CF_CCMIN,"&lt;="&amp;CB9,CF_CCMAX,"&gt;="&amp;CB9),O9*ITP_TIPO)),O9*ITP_TIPO))</f>
        <v/>
      </c>
      <c r="CD9" s="4">
        <f>IF(R9="profesional",N(AK9),0)</f>
        <v/>
      </c>
      <c r="CE9" s="3">
        <f>IF(AND(R9="profesional",ISNUMBER(AK9),AL9="sí"),0,TASA_DGT)</f>
        <v/>
      </c>
      <c r="CF9" s="3">
        <f>INFORME_DGT</f>
        <v/>
      </c>
      <c r="CG9" s="4">
        <f>O9+CD9+CC9+CE9+CF9</f>
        <v/>
      </c>
      <c r="CH9" s="4">
        <f>CG9+N(BU9)</f>
        <v/>
      </c>
      <c r="CI9" s="3">
        <f>IF(CG9&lt;=TOTAL_MAX,"sí",IF(CG9&lt;=TOTAL_MAX+MARGEN_NEG,"negociar","no"))</f>
        <v/>
      </c>
      <c r="CJ9" s="4">
        <f>IF(CI9&lt;&gt;"no",COUNTIFS($CI$2:$CI$662,"&lt;&gt;no",$CA$2:$CA$662,"&gt;"&amp;CA9)+COUNTIFS($CI$2:CI9,"&lt;&gt;no",$CA$2:CA9,CA9),"")</f>
        <v/>
      </c>
    </row>
    <row r="10">
      <c r="A10" s="2" t="inlineStr">
        <is>
          <t>autoscout24:827f958f-8688-4b6d-8737-916b285573e8</t>
        </is>
      </c>
      <c r="B10" s="2" t="inlineStr">
        <is>
          <t>autoscout24</t>
        </is>
      </c>
      <c r="C10" s="2" t="inlineStr">
        <is>
          <t>https://www.autoscout24.es/anuncios/volkswagen-polo-1-2-advance-bmt-gasolina-gris-cat_ma74mo2090-827f958f-8688-4b6d-8737-916b285573e8</t>
        </is>
      </c>
      <c r="D10" s="2" t="inlineStr">
        <is>
          <t>Volkswagen Polo 1.2 Advance BMT</t>
        </is>
      </c>
      <c r="E10" s="2" t="inlineStr">
        <is>
          <t>Volkswagen</t>
        </is>
      </c>
      <c r="F10" s="2" t="inlineStr">
        <is>
          <t>Volkswagen Polo</t>
        </is>
      </c>
      <c r="G10" s="2" t="inlineStr">
        <is>
          <t>1.2</t>
        </is>
      </c>
      <c r="H10" s="2" t="inlineStr">
        <is>
          <t>1.2 Advance BMT 1.2</t>
        </is>
      </c>
      <c r="I10" s="2" t="n">
        <v>1198</v>
      </c>
      <c r="J10" s="2" t="n">
        <v>69</v>
      </c>
      <c r="K10" s="2" t="inlineStr">
        <is>
          <t>gasolina</t>
        </is>
      </c>
      <c r="L10" s="2" t="inlineStr">
        <is>
          <t>utilitario</t>
        </is>
      </c>
      <c r="M10" s="2" t="n">
        <v>2011</v>
      </c>
      <c r="N10" s="2" t="n">
        <v>211000</v>
      </c>
      <c r="O10" s="2" t="n">
        <v>4400</v>
      </c>
      <c r="P10" s="2" t="inlineStr">
        <is>
          <t>manual</t>
        </is>
      </c>
      <c r="Q10" s="2" t="inlineStr">
        <is>
          <t>no</t>
        </is>
      </c>
      <c r="R10" s="2" t="inlineStr">
        <is>
          <t>profesional</t>
        </is>
      </c>
      <c r="S10" s="2" t="inlineStr">
        <is>
          <t>Star Car Valencia — ALDAIA (46960)</t>
        </is>
      </c>
      <c r="T10" s="2" t="n"/>
      <c r="U10" s="2" t="n">
        <v>8</v>
      </c>
      <c r="V10" s="2" t="n"/>
      <c r="W10" s="2" t="n"/>
      <c r="X10" s="2" t="n"/>
      <c r="Y10" s="2" t="n"/>
      <c r="Z10" s="2" t="inlineStr">
        <is>
          <t>sí</t>
        </is>
      </c>
      <c r="AA10" s="2" t="n"/>
      <c r="AB10" s="2" t="n">
        <v>24</v>
      </c>
      <c r="AC10" s="2" t="n"/>
      <c r="AD10" s="2" t="n"/>
      <c r="AE10" s="2" t="n"/>
      <c r="AF10" s="2" t="n"/>
      <c r="AG10" s="2" t="n"/>
      <c r="AH10" s="2" t="n">
        <v>4400</v>
      </c>
      <c r="AI10" s="2" t="n"/>
      <c r="AJ10" s="2" t="n"/>
      <c r="AK10" s="2" t="n"/>
      <c r="AL10" s="2" t="n"/>
      <c r="AM10" s="2" t="n">
        <v>6.8</v>
      </c>
      <c r="AN10" s="2" t="n">
        <v>4900</v>
      </c>
      <c r="AO10" s="2" t="n">
        <v>8</v>
      </c>
      <c r="AP10" s="2" t="inlineStr">
        <is>
          <t>modelo+año+km</t>
        </is>
      </c>
      <c r="AQ10" s="2" t="n"/>
      <c r="AR10" s="2" t="inlineStr">
        <is>
          <t>vendedor profesional: sin ITP (operación con IVA/REBU, confirmar en factura); gastos de gestión del vendedor no indicados: se suma la tasa DGT; preguntar el precio final</t>
        </is>
      </c>
      <c r="AS10" s="2" t="inlineStr">
        <is>
          <t>&lt;strong&gt;Precio al contado: 4400 euros&lt;/strong&gt; &lt;br /&gt;&lt;br /&gt;&lt;strong&gt;Condiciones de la financiación&lt;/strong&gt; &lt;br /&gt;&lt;br /&gt;REQUISITOS&lt;br /&gt;LTIMA NOMINA&lt;br /&gt;TITULARIDAD BANCARIA&lt;br /&gt;DNI&lt;br /&gt;TELEFONO&lt;br /&gt;⅕&lt;br /&gt; &lt;br /&gt;&lt;br /&gt;1 AÑO DE GARANTÍA  o 2 AÑOS DE GARANTÍA DE MOTOR&lt;br /&gt;POSIBILIDAD DE FINANCIACION 100%&lt;br /&gt;MANTENIMIENTO REALIZADO&lt;br /&gt;ENTREGA INMEDIATA&lt;br /&gt;1ª Matriculación:	02/2011&lt;br /&gt;Lectura cuentakilómetros:	211.407 km&lt;br /&gt;Combustible:	Gasolina&lt;br /&gt;Potencia:	51 KW / 70 CV&lt;br /&gt;Cilindrada:	1.198 cc&lt;br /&gt;Caja de cambios:	Cambio tipo manual&lt;br /&gt;Fecha de vencimiento ITV:	01/2027&lt;br /&gt; Si necesitas cualquier coche — modelo, color, año y kilómetros — te lo traemos.&lt;br /&gt;Dinos qué necesitas y lo tendrás. &lt;br /&gt;&lt;br /&gt; El anuncio puede contener errores.&lt;br /&gt;&lt;br /&gt;</t>
        </is>
      </c>
      <c r="AT10" s="2" t="inlineStr">
        <is>
          <t>https://www.autoscout24.es/anuncios/volkswagen-polo-1-2-advance-bmt-gasolina-gris-cat_ma74mo2090-827f958f-8688-4b6d-8737-916b285573e8 (__NEXT_DATA__ listingDetails) /home/user/Alopecia/buscador-coches/raw/autoscout24/d6fff8df76fd308b.json</t>
        </is>
      </c>
      <c r="AU10" s="3">
        <f>MAX(ANIO_ACTUAL-M10,0)</f>
        <v/>
      </c>
      <c r="AV10" s="4">
        <f>N10/MAX(AU10,0.5)</f>
        <v/>
      </c>
      <c r="AW10" s="4">
        <f>F10</f>
        <v/>
      </c>
      <c r="AX10" s="3">
        <f>AW10&amp;"|"&amp;INT(M10/SEG_ANIO)*SEG_ANIO</f>
        <v/>
      </c>
      <c r="AY10" s="3">
        <f>AX10&amp;"|"&amp;INT(N10/SEG_KM)*SEG_KM</f>
        <v/>
      </c>
      <c r="AZ10" s="4">
        <f>COUNTIF($AW$2:$AW$662,AW10)</f>
        <v/>
      </c>
      <c r="BA10" s="4">
        <f>COUNTIF($AX$2:$AX$662,AX10)</f>
        <v/>
      </c>
      <c r="BB10" s="4">
        <f>COUNTIF($AY$2:$AY$662,AY10)</f>
        <v/>
      </c>
      <c r="BC10" s="3">
        <f t="array" ref="BC10">IF(N(AO10)&gt;=MIN_N,AN10,IF(BB10&gt;=MIN_N,MEDIAN(IF($AY$2:$AY$662=AY10,$O$2:$O$662)),IF(BA10&gt;=MIN_N,MEDIAN(IF($AX$2:$AX$662=AX10,$O$2:$O$662)),MEDIAN(IF($AW$2:$AW$662=AW10,$O$2:$O$662)))))</f>
        <v/>
      </c>
      <c r="BD10" s="3">
        <f>IF(N(AO10)&gt;=MIN_N,"mercado "&amp;AP10,IF(BB10&gt;=MIN_N,"modelo+año+km",IF(BA10&gt;=MIN_N,"modelo+año","modelo")))</f>
        <v/>
      </c>
      <c r="BE10" s="4">
        <f>(BC10-O10)/BC10</f>
        <v/>
      </c>
      <c r="BF10" s="3">
        <f>IF(OR(K10="hibrido",K10="glp"),"ECO",IF(K10="electrico","CERO",IF(K10="gasolina",IF(M10&gt;=GAS_C,"C",IF(M10&gt;=GAS_B,"B","A")),IF(K10="diesel",IF(M10&gt;=DIE_C,"C",IF(M10&gt;=DIE_B,"B","A")),""))))</f>
        <v/>
      </c>
      <c r="BG10" s="3">
        <f>IFERROR(VLOOKUP(F10,MOD_TBL,11,0),IFERROR(VLOOKUP(E10,OCU_TBL,2,0),NEUTRO))</f>
        <v/>
      </c>
      <c r="BH10" s="3">
        <f>SUMIFS(MOT_AJUSTE,MOT_MOTOR,G10,MOT_MARCA,E10,MOT_DESDE,"&lt;="&amp;M10,MOT_HASTA,"&gt;="&amp;M10)+SUMIFS(MOT_AJUSTE,MOT_MOTOR,G10,MOT_MARCA,"(todas)",MOT_DESDE,"&lt;="&amp;M10,MOT_HASTA,"&gt;="&amp;M10)</f>
        <v/>
      </c>
      <c r="BI10" s="3">
        <f>SUMIFS(COMB_AJUSTE,COMB_COMB,K10)</f>
        <v/>
      </c>
      <c r="BJ10" s="3">
        <f>COUNTIFS(MOT_MOTOR,G10,MOT_MARCA,E10,MOT_DESDE,"&lt;="&amp;M10,MOT_HASTA,"&gt;="&amp;M10)+COUNTIFS(MOT_MOTOR,G10,MOT_MARCA,"(todas)",MOT_DESDE,"&lt;="&amp;M10,MOT_HASTA,"&gt;="&amp;M10)</f>
        <v/>
      </c>
      <c r="BK10" s="3">
        <f>IF(AND(K10="diesel",BJ10=0),MIN(BG10,NEUTRO),BG10)</f>
        <v/>
      </c>
      <c r="BL10" s="4">
        <f>MAX(0,MIN(100,BK10+BH10+BI10))</f>
        <v/>
      </c>
      <c r="BM10" s="3">
        <f>MAX(0,MIN(100,50+BE10*PRECIO_PEND))</f>
        <v/>
      </c>
      <c r="BN10" s="3">
        <f>MAX(0,100*(1-N10/KM_MAX))</f>
        <v/>
      </c>
      <c r="BO10" s="3">
        <f>IF(AV10&lt;KMA_SOSP,IF(AA10="sí",100,KMA_PEN),IF(AV10&lt;=KMA_IDEAL_MAX,100,MAX(0,100*(KMA_CERO-AV10)/(KMA_CERO-KMA_IDEAL_MAX))))</f>
        <v/>
      </c>
      <c r="BP10" s="3">
        <f>MAX(0,MIN(100,100*(M10-ANIO_MIN)/(ANIO_ACTUAL-ANIO_MIN)))</f>
        <v/>
      </c>
      <c r="BQ10" s="3">
        <f>W_KMT*BN10+W_KMA*BO10+W_EDAD*BP10</f>
        <v/>
      </c>
      <c r="BR10" s="3">
        <f>P_ITV*(V10="sí")+P_LIBRO*(W10="sí")+P_CORREA*(X10="sí")+P_PROP*(Y10=1)+P_GAR*(Z10="sí")+P_FOTOS*MIN(1,N(U10)/FOTOS_OBJ)</f>
        <v/>
      </c>
      <c r="BS10" s="3">
        <f>IFERROR(VLOOKUP(BF10,ETQ_TBL,2,0),NEUTRO)</f>
        <v/>
      </c>
      <c r="BT10" s="3">
        <f>NEUTRO</f>
        <v/>
      </c>
      <c r="BU10" s="3">
        <f>IFERROR(VLOOKUP(L10,SEGURO_TBL,3,0),"")</f>
        <v/>
      </c>
      <c r="BV10" s="3">
        <f>IF(BU10="",NEUTRO,MAX(0,MIN(100,100*(SEG_REF_MAX-BU10)/(SEG_REF_MAX-SEG_REF_MIN))))</f>
        <v/>
      </c>
      <c r="BW10" s="3">
        <f>W_ET*BS10+W_CONS*BT10+W_SEG*BV10</f>
        <v/>
      </c>
      <c r="BX10" s="3">
        <f>IF(N(AB10)&gt;0,AB10,IF(AND(R10="profesional",SG_LEGAL_ON=1),GAR_LEGAL,0))</f>
        <v/>
      </c>
      <c r="BY10" s="3">
        <f>SG_GAR*MIN(1,BX10/SG_GAR_FULL)+SG_AMPL*(AC10="sí")+SG_KMC*(AF10="sí")+SG_REV*(N(AE10)&gt;0)+SG_DEV*MIN(1,N(AG10)/SG_DEV_FULL)+SG_HIST*(W10="sí")</f>
        <v/>
      </c>
      <c r="BZ10" s="3">
        <f>IFERROR(VLOOKUP(L10,CARR_PEN_TBL,2,0),0)</f>
        <v/>
      </c>
      <c r="CA10" s="3">
        <f>W_FIAB*BL10+W_PRECIO*BM10+W_KMEDAD*BQ10+W_ANUNCIO*BR10+W_USO*BW10+W_SEGURIDAD*BY10-BZ10</f>
        <v/>
      </c>
      <c r="CB10" s="4">
        <f>IF(N(I10)&gt;0,I10,IFERROR(ROUND(_xlfn.NUMBERVALUE(LEFT(G10,FIND(" ",G10&amp;" ")-1),".")*1000,0),99999))</f>
        <v/>
      </c>
      <c r="CC10" s="3">
        <f>IF(R10="profesional",0,IF(O10&lt;CUOTA_VALOR_MAX,IF(AU10&gt;ITP_TRAMO_ALTO,SUMIFS(CF_CUOTA,CF_MAS,ITP_TRAMO_ALTO,CF_CCMIN,"&lt;="&amp;CB10,CF_CCMAX,"&gt;="&amp;CB10),IF(AU10&gt;ITP_TRAMO_BAJO,SUMIFS(CF_CUOTA,CF_MAS,ITP_TRAMO_BAJO,CF_CCMIN,"&lt;="&amp;CB10,CF_CCMAX,"&gt;="&amp;CB10),O10*ITP_TIPO)),O10*ITP_TIPO))</f>
        <v/>
      </c>
      <c r="CD10" s="4">
        <f>IF(R10="profesional",N(AK10),0)</f>
        <v/>
      </c>
      <c r="CE10" s="3">
        <f>IF(AND(R10="profesional",ISNUMBER(AK10),AL10="sí"),0,TASA_DGT)</f>
        <v/>
      </c>
      <c r="CF10" s="3">
        <f>INFORME_DGT</f>
        <v/>
      </c>
      <c r="CG10" s="4">
        <f>O10+CD10+CC10+CE10+CF10</f>
        <v/>
      </c>
      <c r="CH10" s="4">
        <f>CG10+N(BU10)</f>
        <v/>
      </c>
      <c r="CI10" s="3">
        <f>IF(CG10&lt;=TOTAL_MAX,"sí",IF(CG10&lt;=TOTAL_MAX+MARGEN_NEG,"negociar","no"))</f>
        <v/>
      </c>
      <c r="CJ10" s="4">
        <f>IF(CI10&lt;&gt;"no",COUNTIFS($CI$2:$CI$662,"&lt;&gt;no",$CA$2:$CA$662,"&gt;"&amp;CA10)+COUNTIFS($CI$2:CI10,"&lt;&gt;no",$CA$2:CA10,CA10),"")</f>
        <v/>
      </c>
    </row>
    <row r="11">
      <c r="A11" s="2" t="inlineStr">
        <is>
          <t>autoscout24:eedca07e-c241-4b5e-92f9-ca201479b1f6</t>
        </is>
      </c>
      <c r="B11" s="2" t="inlineStr">
        <is>
          <t>autoscout24</t>
        </is>
      </c>
      <c r="C11" s="2" t="inlineStr">
        <is>
          <t>https://www.autoscout24.es/anuncios/opel-corsa-1-2-essentia-gasolina-cat_ma54mo1918-eedca07e-c241-4b5e-92f9-ca201479b1f6</t>
        </is>
      </c>
      <c r="D11" s="2" t="inlineStr">
        <is>
          <t>Opel Corsa 1.2 Essentia</t>
        </is>
      </c>
      <c r="E11" s="2" t="inlineStr">
        <is>
          <t>Opel</t>
        </is>
      </c>
      <c r="F11" s="2" t="inlineStr">
        <is>
          <t>Opel Corsa</t>
        </is>
      </c>
      <c r="G11" s="2" t="inlineStr">
        <is>
          <t>1.2</t>
        </is>
      </c>
      <c r="H11" s="2" t="inlineStr">
        <is>
          <t>1.2 Essentia 1.2</t>
        </is>
      </c>
      <c r="I11" s="2" t="n">
        <v>1229</v>
      </c>
      <c r="J11" s="2" t="n">
        <v>86</v>
      </c>
      <c r="K11" s="2" t="inlineStr">
        <is>
          <t>gasolina</t>
        </is>
      </c>
      <c r="L11" s="2" t="inlineStr">
        <is>
          <t>utilitario</t>
        </is>
      </c>
      <c r="M11" s="2" t="n">
        <v>2010</v>
      </c>
      <c r="N11" s="2" t="n">
        <v>163000</v>
      </c>
      <c r="O11" s="2" t="n">
        <v>3490</v>
      </c>
      <c r="P11" s="2" t="inlineStr">
        <is>
          <t>manual</t>
        </is>
      </c>
      <c r="Q11" s="2" t="inlineStr">
        <is>
          <t>no</t>
        </is>
      </c>
      <c r="R11" s="2" t="inlineStr">
        <is>
          <t>particular</t>
        </is>
      </c>
      <c r="S11" s="2" t="inlineStr">
        <is>
          <t>València (46007)</t>
        </is>
      </c>
      <c r="T11" s="2" t="n"/>
      <c r="U11" s="2" t="n">
        <v>14</v>
      </c>
      <c r="V11" s="2" t="n"/>
      <c r="W11" s="2" t="n"/>
      <c r="X11" s="2" t="n"/>
      <c r="Y11" s="2" t="n"/>
      <c r="Z11" s="2" t="n"/>
      <c r="AA11" s="2" t="n"/>
      <c r="AB11" s="2" t="n"/>
      <c r="AC11" s="2" t="n"/>
      <c r="AD11" s="2" t="n"/>
      <c r="AE11" s="2" t="n"/>
      <c r="AF11" s="2" t="n"/>
      <c r="AG11" s="2" t="n"/>
      <c r="AH11" s="2" t="n"/>
      <c r="AI11" s="2" t="n"/>
      <c r="AJ11" s="2" t="n"/>
      <c r="AK11" s="2" t="n"/>
      <c r="AL11" s="2" t="n"/>
      <c r="AM11" s="2" t="n">
        <v>1.2</v>
      </c>
      <c r="AN11" s="2" t="n">
        <v>3500</v>
      </c>
      <c r="AO11" s="2" t="n">
        <v>7</v>
      </c>
      <c r="AP11" s="2" t="inlineStr">
        <is>
          <t>modelo+año+km</t>
        </is>
      </c>
      <c r="AQ11" s="2" t="inlineStr">
        <is>
          <t>wallapop:1318387590 (https://es.wallapop.com/item/opel-corsa-2010-1318387590); cochesnet:71859737 (https://www.coches.net/opel-corsa-12-111-years-3p-gasolina-2010-en-valencia-71859737-covo.aspx)</t>
        </is>
      </c>
      <c r="AR11" s="2" t="inlineStr">
        <is>
          <t>cuota fija ITP: &gt;12 años, hasta 1.500 cc</t>
        </is>
      </c>
      <c r="AS11" s="2" t="inlineStr">
        <is>
          <t>Vendo mi Opel Corsa 1.2 gasolina con 163.000 km.&lt;br /&gt;&lt;br /&gt;Es un coche que está súper cuidado y muy bien conservado. Tiene motor con cadena de distribución, por lo que no hay que preocuparse de cambiar la correa.&lt;br /&gt;&lt;br /&gt;Es muy cómodo de conducir, consume poquito y tiene un mantenimiento económico. Ideal para el día a día, para ir a trabajar o como primer coche.&lt;br /&gt;&lt;br /&gt;Es un coche sencillo, práctico y que da muy buen servicio.&lt;br /&gt;&lt;br /&gt;Se puede venir a ver y probar sin ningún compromiso.&lt;br /&gt;&lt;br /&gt;Cualquier duda, preguntadme sin problema, estaré encantado de responder.</t>
        </is>
      </c>
      <c r="AT11" s="2" t="inlineStr">
        <is>
          <t>https://www.autoscout24.es/anuncios/opel-corsa-1-2-essentia-gasolina-cat_ma54mo1918-eedca07e-c241-4b5e-92f9-ca201479b1f6 (__NEXT_DATA__ listingDetails) /home/user/Alopecia/buscador-coches/raw/autoscout24/316e205209890238.json</t>
        </is>
      </c>
      <c r="AU11" s="3">
        <f>MAX(ANIO_ACTUAL-M11,0)</f>
        <v/>
      </c>
      <c r="AV11" s="4">
        <f>N11/MAX(AU11,0.5)</f>
        <v/>
      </c>
      <c r="AW11" s="4">
        <f>F11</f>
        <v/>
      </c>
      <c r="AX11" s="3">
        <f>AW11&amp;"|"&amp;INT(M11/SEG_ANIO)*SEG_ANIO</f>
        <v/>
      </c>
      <c r="AY11" s="3">
        <f>AX11&amp;"|"&amp;INT(N11/SEG_KM)*SEG_KM</f>
        <v/>
      </c>
      <c r="AZ11" s="4">
        <f>COUNTIF($AW$2:$AW$662,AW11)</f>
        <v/>
      </c>
      <c r="BA11" s="4">
        <f>COUNTIF($AX$2:$AX$662,AX11)</f>
        <v/>
      </c>
      <c r="BB11" s="4">
        <f>COUNTIF($AY$2:$AY$662,AY11)</f>
        <v/>
      </c>
      <c r="BC11" s="3">
        <f t="array" ref="BC11">IF(N(AO11)&gt;=MIN_N,AN11,IF(BB11&gt;=MIN_N,MEDIAN(IF($AY$2:$AY$662=AY11,$O$2:$O$662)),IF(BA11&gt;=MIN_N,MEDIAN(IF($AX$2:$AX$662=AX11,$O$2:$O$662)),MEDIAN(IF($AW$2:$AW$662=AW11,$O$2:$O$662)))))</f>
        <v/>
      </c>
      <c r="BD11" s="3">
        <f>IF(N(AO11)&gt;=MIN_N,"mercado "&amp;AP11,IF(BB11&gt;=MIN_N,"modelo+año+km",IF(BA11&gt;=MIN_N,"modelo+año","modelo")))</f>
        <v/>
      </c>
      <c r="BE11" s="4">
        <f>(BC11-O11)/BC11</f>
        <v/>
      </c>
      <c r="BF11" s="3">
        <f>IF(OR(K11="hibrido",K11="glp"),"ECO",IF(K11="electrico","CERO",IF(K11="gasolina",IF(M11&gt;=GAS_C,"C",IF(M11&gt;=GAS_B,"B","A")),IF(K11="diesel",IF(M11&gt;=DIE_C,"C",IF(M11&gt;=DIE_B,"B","A")),""))))</f>
        <v/>
      </c>
      <c r="BG11" s="3">
        <f>IFERROR(VLOOKUP(F11,MOD_TBL,11,0),IFERROR(VLOOKUP(E11,OCU_TBL,2,0),NEUTRO))</f>
        <v/>
      </c>
      <c r="BH11" s="3">
        <f>SUMIFS(MOT_AJUSTE,MOT_MOTOR,G11,MOT_MARCA,E11,MOT_DESDE,"&lt;="&amp;M11,MOT_HASTA,"&gt;="&amp;M11)+SUMIFS(MOT_AJUSTE,MOT_MOTOR,G11,MOT_MARCA,"(todas)",MOT_DESDE,"&lt;="&amp;M11,MOT_HASTA,"&gt;="&amp;M11)</f>
        <v/>
      </c>
      <c r="BI11" s="3">
        <f>SUMIFS(COMB_AJUSTE,COMB_COMB,K11)</f>
        <v/>
      </c>
      <c r="BJ11" s="3">
        <f>COUNTIFS(MOT_MOTOR,G11,MOT_MARCA,E11,MOT_DESDE,"&lt;="&amp;M11,MOT_HASTA,"&gt;="&amp;M11)+COUNTIFS(MOT_MOTOR,G11,MOT_MARCA,"(todas)",MOT_DESDE,"&lt;="&amp;M11,MOT_HASTA,"&gt;="&amp;M11)</f>
        <v/>
      </c>
      <c r="BK11" s="3">
        <f>IF(AND(K11="diesel",BJ11=0),MIN(BG11,NEUTRO),BG11)</f>
        <v/>
      </c>
      <c r="BL11" s="4">
        <f>MAX(0,MIN(100,BK11+BH11+BI11))</f>
        <v/>
      </c>
      <c r="BM11" s="3">
        <f>MAX(0,MIN(100,50+BE11*PRECIO_PEND))</f>
        <v/>
      </c>
      <c r="BN11" s="3">
        <f>MAX(0,100*(1-N11/KM_MAX))</f>
        <v/>
      </c>
      <c r="BO11" s="3">
        <f>IF(AV11&lt;KMA_SOSP,IF(AA11="sí",100,KMA_PEN),IF(AV11&lt;=KMA_IDEAL_MAX,100,MAX(0,100*(KMA_CERO-AV11)/(KMA_CERO-KMA_IDEAL_MAX))))</f>
        <v/>
      </c>
      <c r="BP11" s="3">
        <f>MAX(0,MIN(100,100*(M11-ANIO_MIN)/(ANIO_ACTUAL-ANIO_MIN)))</f>
        <v/>
      </c>
      <c r="BQ11" s="3">
        <f>W_KMT*BN11+W_KMA*BO11+W_EDAD*BP11</f>
        <v/>
      </c>
      <c r="BR11" s="3">
        <f>P_ITV*(V11="sí")+P_LIBRO*(W11="sí")+P_CORREA*(X11="sí")+P_PROP*(Y11=1)+P_GAR*(Z11="sí")+P_FOTOS*MIN(1,N(U11)/FOTOS_OBJ)</f>
        <v/>
      </c>
      <c r="BS11" s="3">
        <f>IFERROR(VLOOKUP(BF11,ETQ_TBL,2,0),NEUTRO)</f>
        <v/>
      </c>
      <c r="BT11" s="3">
        <f>NEUTRO</f>
        <v/>
      </c>
      <c r="BU11" s="3">
        <f>IFERROR(VLOOKUP(L11,SEGURO_TBL,3,0),"")</f>
        <v/>
      </c>
      <c r="BV11" s="3">
        <f>IF(BU11="",NEUTRO,MAX(0,MIN(100,100*(SEG_REF_MAX-BU11)/(SEG_REF_MAX-SEG_REF_MIN))))</f>
        <v/>
      </c>
      <c r="BW11" s="3">
        <f>W_ET*BS11+W_CONS*BT11+W_SEG*BV11</f>
        <v/>
      </c>
      <c r="BX11" s="3">
        <f>IF(N(AB11)&gt;0,AB11,IF(AND(R11="profesional",SG_LEGAL_ON=1),GAR_LEGAL,0))</f>
        <v/>
      </c>
      <c r="BY11" s="3">
        <f>SG_GAR*MIN(1,BX11/SG_GAR_FULL)+SG_AMPL*(AC11="sí")+SG_KMC*(AF11="sí")+SG_REV*(N(AE11)&gt;0)+SG_DEV*MIN(1,N(AG11)/SG_DEV_FULL)+SG_HIST*(W11="sí")</f>
        <v/>
      </c>
      <c r="BZ11" s="3">
        <f>IFERROR(VLOOKUP(L11,CARR_PEN_TBL,2,0),0)</f>
        <v/>
      </c>
      <c r="CA11" s="3">
        <f>W_FIAB*BL11+W_PRECIO*BM11+W_KMEDAD*BQ11+W_ANUNCIO*BR11+W_USO*BW11+W_SEGURIDAD*BY11-BZ11</f>
        <v/>
      </c>
      <c r="CB11" s="4">
        <f>IF(N(I11)&gt;0,I11,IFERROR(ROUND(_xlfn.NUMBERVALUE(LEFT(G11,FIND(" ",G11&amp;" ")-1),".")*1000,0),99999))</f>
        <v/>
      </c>
      <c r="CC11" s="3">
        <f>IF(R11="profesional",0,IF(O11&lt;CUOTA_VALOR_MAX,IF(AU11&gt;ITP_TRAMO_ALTO,SUMIFS(CF_CUOTA,CF_MAS,ITP_TRAMO_ALTO,CF_CCMIN,"&lt;="&amp;CB11,CF_CCMAX,"&gt;="&amp;CB11),IF(AU11&gt;ITP_TRAMO_BAJO,SUMIFS(CF_CUOTA,CF_MAS,ITP_TRAMO_BAJO,CF_CCMIN,"&lt;="&amp;CB11,CF_CCMAX,"&gt;="&amp;CB11),O11*ITP_TIPO)),O11*ITP_TIPO))</f>
        <v/>
      </c>
      <c r="CD11" s="4">
        <f>IF(R11="profesional",N(AK11),0)</f>
        <v/>
      </c>
      <c r="CE11" s="3">
        <f>IF(AND(R11="profesional",ISNUMBER(AK11),AL11="sí"),0,TASA_DGT)</f>
        <v/>
      </c>
      <c r="CF11" s="3">
        <f>INFORME_DGT</f>
        <v/>
      </c>
      <c r="CG11" s="4">
        <f>O11+CD11+CC11+CE11+CF11</f>
        <v/>
      </c>
      <c r="CH11" s="4">
        <f>CG11+N(BU11)</f>
        <v/>
      </c>
      <c r="CI11" s="3">
        <f>IF(CG11&lt;=TOTAL_MAX,"sí",IF(CG11&lt;=TOTAL_MAX+MARGEN_NEG,"negociar","no"))</f>
        <v/>
      </c>
      <c r="CJ11" s="4">
        <f>IF(CI11&lt;&gt;"no",COUNTIFS($CI$2:$CI$662,"&lt;&gt;no",$CA$2:$CA$662,"&gt;"&amp;CA11)+COUNTIFS($CI$2:CI11,"&lt;&gt;no",$CA$2:CA11,CA11),"")</f>
        <v/>
      </c>
    </row>
    <row r="12">
      <c r="A12" s="2" t="inlineStr">
        <is>
          <t>autoscout24:530a78a6-41a7-4caa-9407-81ae2c44ad35</t>
        </is>
      </c>
      <c r="B12" s="2" t="inlineStr">
        <is>
          <t>autoscout24</t>
        </is>
      </c>
      <c r="C12" s="2" t="inlineStr">
        <is>
          <t>https://www.autoscout24.es/anuncios/opel-corsa-1-4-c-mon-139co2-gasolina-gris-cat_ma54mo1918-530a78a6-41a7-4caa-9407-81ae2c44ad35</t>
        </is>
      </c>
      <c r="D12" s="2" t="inlineStr">
        <is>
          <t>Opel Corsa 1.4 C Mon (139CO2)</t>
        </is>
      </c>
      <c r="E12" s="2" t="inlineStr">
        <is>
          <t>Opel</t>
        </is>
      </c>
      <c r="F12" s="2" t="inlineStr">
        <is>
          <t>Opel Corsa</t>
        </is>
      </c>
      <c r="G12" s="2" t="inlineStr">
        <is>
          <t>1.4</t>
        </is>
      </c>
      <c r="H12" s="2" t="inlineStr">
        <is>
          <t>1.4 C Mon (139CO2) 1.4</t>
        </is>
      </c>
      <c r="I12" s="2" t="n">
        <v>1364</v>
      </c>
      <c r="J12" s="2" t="n">
        <v>90</v>
      </c>
      <c r="K12" s="2" t="inlineStr">
        <is>
          <t>gasolina</t>
        </is>
      </c>
      <c r="L12" s="2" t="inlineStr">
        <is>
          <t>utilitario</t>
        </is>
      </c>
      <c r="M12" s="2" t="n">
        <v>2009</v>
      </c>
      <c r="N12" s="2" t="n">
        <v>136000</v>
      </c>
      <c r="O12" s="2" t="n">
        <v>4500</v>
      </c>
      <c r="P12" s="2" t="inlineStr">
        <is>
          <t>manual</t>
        </is>
      </c>
      <c r="Q12" s="2" t="inlineStr">
        <is>
          <t>no</t>
        </is>
      </c>
      <c r="R12" s="2" t="inlineStr">
        <is>
          <t>profesional</t>
        </is>
      </c>
      <c r="S12" s="2" t="inlineStr">
        <is>
          <t>EUROREPAR AUTOS MERCHAN — MASANASSA (46470)</t>
        </is>
      </c>
      <c r="T12" s="2" t="n"/>
      <c r="U12" s="2" t="n">
        <v>8</v>
      </c>
      <c r="V12" s="2" t="inlineStr">
        <is>
          <t>sí</t>
        </is>
      </c>
      <c r="W12" s="2" t="n"/>
      <c r="X12" s="2" t="n"/>
      <c r="Y12" s="2" t="n"/>
      <c r="Z12" s="2" t="inlineStr">
        <is>
          <t>sí</t>
        </is>
      </c>
      <c r="AA12" s="2" t="n"/>
      <c r="AB12" s="2" t="n">
        <v>12</v>
      </c>
      <c r="AC12" s="2" t="n"/>
      <c r="AD12" s="2" t="n"/>
      <c r="AE12" s="2" t="n"/>
      <c r="AF12" s="2" t="n"/>
      <c r="AG12" s="2" t="n"/>
      <c r="AH12" s="2" t="n"/>
      <c r="AI12" s="2" t="n"/>
      <c r="AJ12" s="2" t="n"/>
      <c r="AK12" s="2" t="n"/>
      <c r="AL12" s="2" t="n"/>
      <c r="AM12" s="2" t="n">
        <v>6.7</v>
      </c>
      <c r="AN12" s="2" t="n">
        <v>3600</v>
      </c>
      <c r="AO12" s="2" t="n">
        <v>9</v>
      </c>
      <c r="AP12" s="2" t="inlineStr">
        <is>
          <t>modelo+año+km</t>
        </is>
      </c>
      <c r="AQ12" s="2" t="inlineStr">
        <is>
          <t>cochesnet:71842537 (https://www.coches.net/opel-corsa-cmon-14-3p-gasolina-2009-en-valencia-71842537-covo.aspx)</t>
        </is>
      </c>
      <c r="AR12" s="2" t="inlineStr">
        <is>
          <t>vendedor profesional: sin ITP (operación con IVA/REBU, confirmar en factura); gastos de gestión del vendedor no indicados: se suma la tasa DGT; preguntar el precio final</t>
        </is>
      </c>
      <c r="AS12" s="2" t="inlineStr">
        <is>
          <t>Se vende Opel Corsa 1.4 Gasolina (90CV) y fecha matriculación Enero 2009. Vehiculo muy bien cuidado tanto interior como exterior y motor . Se entrega con revisión completa aceite y filtros, bujías , 4 neumáticos nuevos, 2 llaves e itv recién pasada.&lt;br /&gt;&lt;br /&gt;</t>
        </is>
      </c>
      <c r="AT12" s="2" t="inlineStr">
        <is>
          <t>https://www.autoscout24.es/anuncios/opel-corsa-1-4-c-mon-139co2-gasolina-gris-cat_ma54mo1918-530a78a6-41a7-4caa-9407-81ae2c44ad35 (__NEXT_DATA__ listingDetails) /home/user/Alopecia/buscador-coches/raw/autoscout24/ea1df8b55d5dba3e.json</t>
        </is>
      </c>
      <c r="AU12" s="3">
        <f>MAX(ANIO_ACTUAL-M12,0)</f>
        <v/>
      </c>
      <c r="AV12" s="4">
        <f>N12/MAX(AU12,0.5)</f>
        <v/>
      </c>
      <c r="AW12" s="4">
        <f>F12</f>
        <v/>
      </c>
      <c r="AX12" s="3">
        <f>AW12&amp;"|"&amp;INT(M12/SEG_ANIO)*SEG_ANIO</f>
        <v/>
      </c>
      <c r="AY12" s="3">
        <f>AX12&amp;"|"&amp;INT(N12/SEG_KM)*SEG_KM</f>
        <v/>
      </c>
      <c r="AZ12" s="4">
        <f>COUNTIF($AW$2:$AW$662,AW12)</f>
        <v/>
      </c>
      <c r="BA12" s="4">
        <f>COUNTIF($AX$2:$AX$662,AX12)</f>
        <v/>
      </c>
      <c r="BB12" s="4">
        <f>COUNTIF($AY$2:$AY$662,AY12)</f>
        <v/>
      </c>
      <c r="BC12" s="3">
        <f t="array" ref="BC12">IF(N(AO12)&gt;=MIN_N,AN12,IF(BB12&gt;=MIN_N,MEDIAN(IF($AY$2:$AY$662=AY12,$O$2:$O$662)),IF(BA12&gt;=MIN_N,MEDIAN(IF($AX$2:$AX$662=AX12,$O$2:$O$662)),MEDIAN(IF($AW$2:$AW$662=AW12,$O$2:$O$662)))))</f>
        <v/>
      </c>
      <c r="BD12" s="3">
        <f>IF(N(AO12)&gt;=MIN_N,"mercado "&amp;AP12,IF(BB12&gt;=MIN_N,"modelo+año+km",IF(BA12&gt;=MIN_N,"modelo+año","modelo")))</f>
        <v/>
      </c>
      <c r="BE12" s="4">
        <f>(BC12-O12)/BC12</f>
        <v/>
      </c>
      <c r="BF12" s="3">
        <f>IF(OR(K12="hibrido",K12="glp"),"ECO",IF(K12="electrico","CERO",IF(K12="gasolina",IF(M12&gt;=GAS_C,"C",IF(M12&gt;=GAS_B,"B","A")),IF(K12="diesel",IF(M12&gt;=DIE_C,"C",IF(M12&gt;=DIE_B,"B","A")),""))))</f>
        <v/>
      </c>
      <c r="BG12" s="3">
        <f>IFERROR(VLOOKUP(F12,MOD_TBL,11,0),IFERROR(VLOOKUP(E12,OCU_TBL,2,0),NEUTRO))</f>
        <v/>
      </c>
      <c r="BH12" s="3">
        <f>SUMIFS(MOT_AJUSTE,MOT_MOTOR,G12,MOT_MARCA,E12,MOT_DESDE,"&lt;="&amp;M12,MOT_HASTA,"&gt;="&amp;M12)+SUMIFS(MOT_AJUSTE,MOT_MOTOR,G12,MOT_MARCA,"(todas)",MOT_DESDE,"&lt;="&amp;M12,MOT_HASTA,"&gt;="&amp;M12)</f>
        <v/>
      </c>
      <c r="BI12" s="3">
        <f>SUMIFS(COMB_AJUSTE,COMB_COMB,K12)</f>
        <v/>
      </c>
      <c r="BJ12" s="3">
        <f>COUNTIFS(MOT_MOTOR,G12,MOT_MARCA,E12,MOT_DESDE,"&lt;="&amp;M12,MOT_HASTA,"&gt;="&amp;M12)+COUNTIFS(MOT_MOTOR,G12,MOT_MARCA,"(todas)",MOT_DESDE,"&lt;="&amp;M12,MOT_HASTA,"&gt;="&amp;M12)</f>
        <v/>
      </c>
      <c r="BK12" s="3">
        <f>IF(AND(K12="diesel",BJ12=0),MIN(BG12,NEUTRO),BG12)</f>
        <v/>
      </c>
      <c r="BL12" s="4">
        <f>MAX(0,MIN(100,BK12+BH12+BI12))</f>
        <v/>
      </c>
      <c r="BM12" s="3">
        <f>MAX(0,MIN(100,50+BE12*PRECIO_PEND))</f>
        <v/>
      </c>
      <c r="BN12" s="3">
        <f>MAX(0,100*(1-N12/KM_MAX))</f>
        <v/>
      </c>
      <c r="BO12" s="3">
        <f>IF(AV12&lt;KMA_SOSP,IF(AA12="sí",100,KMA_PEN),IF(AV12&lt;=KMA_IDEAL_MAX,100,MAX(0,100*(KMA_CERO-AV12)/(KMA_CERO-KMA_IDEAL_MAX))))</f>
        <v/>
      </c>
      <c r="BP12" s="3">
        <f>MAX(0,MIN(100,100*(M12-ANIO_MIN)/(ANIO_ACTUAL-ANIO_MIN)))</f>
        <v/>
      </c>
      <c r="BQ12" s="3">
        <f>W_KMT*BN12+W_KMA*BO12+W_EDAD*BP12</f>
        <v/>
      </c>
      <c r="BR12" s="3">
        <f>P_ITV*(V12="sí")+P_LIBRO*(W12="sí")+P_CORREA*(X12="sí")+P_PROP*(Y12=1)+P_GAR*(Z12="sí")+P_FOTOS*MIN(1,N(U12)/FOTOS_OBJ)</f>
        <v/>
      </c>
      <c r="BS12" s="3">
        <f>IFERROR(VLOOKUP(BF12,ETQ_TBL,2,0),NEUTRO)</f>
        <v/>
      </c>
      <c r="BT12" s="3">
        <f>NEUTRO</f>
        <v/>
      </c>
      <c r="BU12" s="3">
        <f>IFERROR(VLOOKUP(L12,SEGURO_TBL,3,0),"")</f>
        <v/>
      </c>
      <c r="BV12" s="3">
        <f>IF(BU12="",NEUTRO,MAX(0,MIN(100,100*(SEG_REF_MAX-BU12)/(SEG_REF_MAX-SEG_REF_MIN))))</f>
        <v/>
      </c>
      <c r="BW12" s="3">
        <f>W_ET*BS12+W_CONS*BT12+W_SEG*BV12</f>
        <v/>
      </c>
      <c r="BX12" s="3">
        <f>IF(N(AB12)&gt;0,AB12,IF(AND(R12="profesional",SG_LEGAL_ON=1),GAR_LEGAL,0))</f>
        <v/>
      </c>
      <c r="BY12" s="3">
        <f>SG_GAR*MIN(1,BX12/SG_GAR_FULL)+SG_AMPL*(AC12="sí")+SG_KMC*(AF12="sí")+SG_REV*(N(AE12)&gt;0)+SG_DEV*MIN(1,N(AG12)/SG_DEV_FULL)+SG_HIST*(W12="sí")</f>
        <v/>
      </c>
      <c r="BZ12" s="3">
        <f>IFERROR(VLOOKUP(L12,CARR_PEN_TBL,2,0),0)</f>
        <v/>
      </c>
      <c r="CA12" s="3">
        <f>W_FIAB*BL12+W_PRECIO*BM12+W_KMEDAD*BQ12+W_ANUNCIO*BR12+W_USO*BW12+W_SEGURIDAD*BY12-BZ12</f>
        <v/>
      </c>
      <c r="CB12" s="4">
        <f>IF(N(I12)&gt;0,I12,IFERROR(ROUND(_xlfn.NUMBERVALUE(LEFT(G12,FIND(" ",G12&amp;" ")-1),".")*1000,0),99999))</f>
        <v/>
      </c>
      <c r="CC12" s="3">
        <f>IF(R12="profesional",0,IF(O12&lt;CUOTA_VALOR_MAX,IF(AU12&gt;ITP_TRAMO_ALTO,SUMIFS(CF_CUOTA,CF_MAS,ITP_TRAMO_ALTO,CF_CCMIN,"&lt;="&amp;CB12,CF_CCMAX,"&gt;="&amp;CB12),IF(AU12&gt;ITP_TRAMO_BAJO,SUMIFS(CF_CUOTA,CF_MAS,ITP_TRAMO_BAJO,CF_CCMIN,"&lt;="&amp;CB12,CF_CCMAX,"&gt;="&amp;CB12),O12*ITP_TIPO)),O12*ITP_TIPO))</f>
        <v/>
      </c>
      <c r="CD12" s="4">
        <f>IF(R12="profesional",N(AK12),0)</f>
        <v/>
      </c>
      <c r="CE12" s="3">
        <f>IF(AND(R12="profesional",ISNUMBER(AK12),AL12="sí"),0,TASA_DGT)</f>
        <v/>
      </c>
      <c r="CF12" s="3">
        <f>INFORME_DGT</f>
        <v/>
      </c>
      <c r="CG12" s="4">
        <f>O12+CD12+CC12+CE12+CF12</f>
        <v/>
      </c>
      <c r="CH12" s="4">
        <f>CG12+N(BU12)</f>
        <v/>
      </c>
      <c r="CI12" s="3">
        <f>IF(CG12&lt;=TOTAL_MAX,"sí",IF(CG12&lt;=TOTAL_MAX+MARGEN_NEG,"negociar","no"))</f>
        <v/>
      </c>
      <c r="CJ12" s="4">
        <f>IF(CI12&lt;&gt;"no",COUNTIFS($CI$2:$CI$662,"&lt;&gt;no",$CA$2:$CA$662,"&gt;"&amp;CA12)+COUNTIFS($CI$2:CI12,"&lt;&gt;no",$CA$2:CA12,CA12),"")</f>
        <v/>
      </c>
    </row>
    <row r="13">
      <c r="A13" s="2" t="inlineStr">
        <is>
          <t>autoscout24:a7d76d98-e33b-4af3-9d7c-e4cd6a65aa00</t>
        </is>
      </c>
      <c r="B13" s="2" t="inlineStr">
        <is>
          <t>autoscout24</t>
        </is>
      </c>
      <c r="C13" s="2" t="inlineStr">
        <is>
          <t>https://www.autoscout24.es/anuncios/opel-corsa-5p-1-3-cdti-edition-elective-95cv-fap-diesel-cat_ma54mo1918-a7d76d98-e33b-4af3-9d7c-e4cd6a65aa00</t>
        </is>
      </c>
      <c r="D13" s="2" t="inlineStr">
        <is>
          <t>Opel Corsa 5p 1.3 cdti Edition (elective) 95cv fap</t>
        </is>
      </c>
      <c r="E13" s="2" t="inlineStr">
        <is>
          <t>Opel</t>
        </is>
      </c>
      <c r="F13" s="2" t="inlineStr">
        <is>
          <t>Opel Corsa</t>
        </is>
      </c>
      <c r="G13" s="2" t="inlineStr">
        <is>
          <t>1.2 CDTi</t>
        </is>
      </c>
      <c r="H13" s="2" t="inlineStr">
        <is>
          <t>5p 1.3 cdti Edition (elective) 95cv fap 1.3 CDTI</t>
        </is>
      </c>
      <c r="I13" s="2" t="n">
        <v>1248</v>
      </c>
      <c r="J13" s="2" t="n">
        <v>95</v>
      </c>
      <c r="K13" s="2" t="inlineStr">
        <is>
          <t>diesel</t>
        </is>
      </c>
      <c r="L13" s="2" t="inlineStr">
        <is>
          <t>utilitario</t>
        </is>
      </c>
      <c r="M13" s="2" t="n">
        <v>2012</v>
      </c>
      <c r="N13" s="2" t="n">
        <v>145000</v>
      </c>
      <c r="O13" s="2" t="n">
        <v>4500</v>
      </c>
      <c r="P13" s="2" t="inlineStr">
        <is>
          <t>manual</t>
        </is>
      </c>
      <c r="Q13" s="2" t="inlineStr">
        <is>
          <t>no</t>
        </is>
      </c>
      <c r="R13" s="2" t="inlineStr">
        <is>
          <t>particular</t>
        </is>
      </c>
      <c r="S13" s="2" t="inlineStr">
        <is>
          <t>Godelleta (46388)</t>
        </is>
      </c>
      <c r="T13" s="2" t="n"/>
      <c r="U13" s="2" t="n">
        <v>10</v>
      </c>
      <c r="V13" s="2" t="n"/>
      <c r="W13" s="2" t="n"/>
      <c r="X13" s="2" t="n"/>
      <c r="Y13" s="2" t="n"/>
      <c r="Z13" s="2" t="n"/>
      <c r="AA13" s="2" t="n"/>
      <c r="AB13" s="2" t="n"/>
      <c r="AC13" s="2" t="n"/>
      <c r="AD13" s="2" t="n"/>
      <c r="AE13" s="2" t="n"/>
      <c r="AF13" s="2" t="n"/>
      <c r="AG13" s="2" t="n"/>
      <c r="AH13" s="2" t="n"/>
      <c r="AI13" s="2" t="n"/>
      <c r="AJ13" s="2" t="n"/>
      <c r="AK13" s="2" t="n"/>
      <c r="AL13" s="2" t="n"/>
      <c r="AM13" s="2" t="n">
        <v>31</v>
      </c>
      <c r="AN13" s="2" t="n">
        <v>4625</v>
      </c>
      <c r="AO13" s="2" t="n">
        <v>8</v>
      </c>
      <c r="AP13" s="2" t="inlineStr">
        <is>
          <t>modelo+año+km</t>
        </is>
      </c>
      <c r="AQ13" s="2" t="n"/>
      <c r="AR13" s="2" t="inlineStr">
        <is>
          <t>cuota fija ITP: &gt;12 años, hasta 1.500 cc; diésel: motor sin fuente de fiabilidad (fiabilidad limitada a neutra)</t>
        </is>
      </c>
      <c r="AS13" s="2" t="inlineStr"/>
      <c r="AT13" s="2" t="inlineStr">
        <is>
          <t>https://www.autoscout24.es/anuncios/opel-corsa-5p-1-3-cdti-edition-elective-95cv-fap-diesel-cat_ma54mo1918-a7d76d98-e33b-4af3-9d7c-e4cd6a65aa00 (__NEXT_DATA__ listingDetails) /home/user/Alopecia/buscador-coches/raw/autoscout24/910f7dd4aee272e6.json</t>
        </is>
      </c>
      <c r="AU13" s="3">
        <f>MAX(ANIO_ACTUAL-M13,0)</f>
        <v/>
      </c>
      <c r="AV13" s="4">
        <f>N13/MAX(AU13,0.5)</f>
        <v/>
      </c>
      <c r="AW13" s="4">
        <f>F13</f>
        <v/>
      </c>
      <c r="AX13" s="3">
        <f>AW13&amp;"|"&amp;INT(M13/SEG_ANIO)*SEG_ANIO</f>
        <v/>
      </c>
      <c r="AY13" s="3">
        <f>AX13&amp;"|"&amp;INT(N13/SEG_KM)*SEG_KM</f>
        <v/>
      </c>
      <c r="AZ13" s="4">
        <f>COUNTIF($AW$2:$AW$662,AW13)</f>
        <v/>
      </c>
      <c r="BA13" s="4">
        <f>COUNTIF($AX$2:$AX$662,AX13)</f>
        <v/>
      </c>
      <c r="BB13" s="4">
        <f>COUNTIF($AY$2:$AY$662,AY13)</f>
        <v/>
      </c>
      <c r="BC13" s="3">
        <f t="array" ref="BC13">IF(N(AO13)&gt;=MIN_N,AN13,IF(BB13&gt;=MIN_N,MEDIAN(IF($AY$2:$AY$662=AY13,$O$2:$O$662)),IF(BA13&gt;=MIN_N,MEDIAN(IF($AX$2:$AX$662=AX13,$O$2:$O$662)),MEDIAN(IF($AW$2:$AW$662=AW13,$O$2:$O$662)))))</f>
        <v/>
      </c>
      <c r="BD13" s="3">
        <f>IF(N(AO13)&gt;=MIN_N,"mercado "&amp;AP13,IF(BB13&gt;=MIN_N,"modelo+año+km",IF(BA13&gt;=MIN_N,"modelo+año","modelo")))</f>
        <v/>
      </c>
      <c r="BE13" s="4">
        <f>(BC13-O13)/BC13</f>
        <v/>
      </c>
      <c r="BF13" s="3">
        <f>IF(OR(K13="hibrido",K13="glp"),"ECO",IF(K13="electrico","CERO",IF(K13="gasolina",IF(M13&gt;=GAS_C,"C",IF(M13&gt;=GAS_B,"B","A")),IF(K13="diesel",IF(M13&gt;=DIE_C,"C",IF(M13&gt;=DIE_B,"B","A")),""))))</f>
        <v/>
      </c>
      <c r="BG13" s="3">
        <f>IFERROR(VLOOKUP(F13,MOD_TBL,11,0),IFERROR(VLOOKUP(E13,OCU_TBL,2,0),NEUTRO))</f>
        <v/>
      </c>
      <c r="BH13" s="3">
        <f>SUMIFS(MOT_AJUSTE,MOT_MOTOR,G13,MOT_MARCA,E13,MOT_DESDE,"&lt;="&amp;M13,MOT_HASTA,"&gt;="&amp;M13)+SUMIFS(MOT_AJUSTE,MOT_MOTOR,G13,MOT_MARCA,"(todas)",MOT_DESDE,"&lt;="&amp;M13,MOT_HASTA,"&gt;="&amp;M13)</f>
        <v/>
      </c>
      <c r="BI13" s="3">
        <f>SUMIFS(COMB_AJUSTE,COMB_COMB,K13)</f>
        <v/>
      </c>
      <c r="BJ13" s="3">
        <f>COUNTIFS(MOT_MOTOR,G13,MOT_MARCA,E13,MOT_DESDE,"&lt;="&amp;M13,MOT_HASTA,"&gt;="&amp;M13)+COUNTIFS(MOT_MOTOR,G13,MOT_MARCA,"(todas)",MOT_DESDE,"&lt;="&amp;M13,MOT_HASTA,"&gt;="&amp;M13)</f>
        <v/>
      </c>
      <c r="BK13" s="3">
        <f>IF(AND(K13="diesel",BJ13=0),MIN(BG13,NEUTRO),BG13)</f>
        <v/>
      </c>
      <c r="BL13" s="4">
        <f>MAX(0,MIN(100,BK13+BH13+BI13))</f>
        <v/>
      </c>
      <c r="BM13" s="3">
        <f>MAX(0,MIN(100,50+BE13*PRECIO_PEND))</f>
        <v/>
      </c>
      <c r="BN13" s="3">
        <f>MAX(0,100*(1-N13/KM_MAX))</f>
        <v/>
      </c>
      <c r="BO13" s="3">
        <f>IF(AV13&lt;KMA_SOSP,IF(AA13="sí",100,KMA_PEN),IF(AV13&lt;=KMA_IDEAL_MAX,100,MAX(0,100*(KMA_CERO-AV13)/(KMA_CERO-KMA_IDEAL_MAX))))</f>
        <v/>
      </c>
      <c r="BP13" s="3">
        <f>MAX(0,MIN(100,100*(M13-ANIO_MIN)/(ANIO_ACTUAL-ANIO_MIN)))</f>
        <v/>
      </c>
      <c r="BQ13" s="3">
        <f>W_KMT*BN13+W_KMA*BO13+W_EDAD*BP13</f>
        <v/>
      </c>
      <c r="BR13" s="3">
        <f>P_ITV*(V13="sí")+P_LIBRO*(W13="sí")+P_CORREA*(X13="sí")+P_PROP*(Y13=1)+P_GAR*(Z13="sí")+P_FOTOS*MIN(1,N(U13)/FOTOS_OBJ)</f>
        <v/>
      </c>
      <c r="BS13" s="3">
        <f>IFERROR(VLOOKUP(BF13,ETQ_TBL,2,0),NEUTRO)</f>
        <v/>
      </c>
      <c r="BT13" s="3">
        <f>NEUTRO</f>
        <v/>
      </c>
      <c r="BU13" s="3">
        <f>IFERROR(VLOOKUP(L13,SEGURO_TBL,3,0),"")</f>
        <v/>
      </c>
      <c r="BV13" s="3">
        <f>IF(BU13="",NEUTRO,MAX(0,MIN(100,100*(SEG_REF_MAX-BU13)/(SEG_REF_MAX-SEG_REF_MIN))))</f>
        <v/>
      </c>
      <c r="BW13" s="3">
        <f>W_ET*BS13+W_CONS*BT13+W_SEG*BV13</f>
        <v/>
      </c>
      <c r="BX13" s="3">
        <f>IF(N(AB13)&gt;0,AB13,IF(AND(R13="profesional",SG_LEGAL_ON=1),GAR_LEGAL,0))</f>
        <v/>
      </c>
      <c r="BY13" s="3">
        <f>SG_GAR*MIN(1,BX13/SG_GAR_FULL)+SG_AMPL*(AC13="sí")+SG_KMC*(AF13="sí")+SG_REV*(N(AE13)&gt;0)+SG_DEV*MIN(1,N(AG13)/SG_DEV_FULL)+SG_HIST*(W13="sí")</f>
        <v/>
      </c>
      <c r="BZ13" s="3">
        <f>IFERROR(VLOOKUP(L13,CARR_PEN_TBL,2,0),0)</f>
        <v/>
      </c>
      <c r="CA13" s="3">
        <f>W_FIAB*BL13+W_PRECIO*BM13+W_KMEDAD*BQ13+W_ANUNCIO*BR13+W_USO*BW13+W_SEGURIDAD*BY13-BZ13</f>
        <v/>
      </c>
      <c r="CB13" s="4">
        <f>IF(N(I13)&gt;0,I13,IFERROR(ROUND(_xlfn.NUMBERVALUE(LEFT(G13,FIND(" ",G13&amp;" ")-1),".")*1000,0),99999))</f>
        <v/>
      </c>
      <c r="CC13" s="3">
        <f>IF(R13="profesional",0,IF(O13&lt;CUOTA_VALOR_MAX,IF(AU13&gt;ITP_TRAMO_ALTO,SUMIFS(CF_CUOTA,CF_MAS,ITP_TRAMO_ALTO,CF_CCMIN,"&lt;="&amp;CB13,CF_CCMAX,"&gt;="&amp;CB13),IF(AU13&gt;ITP_TRAMO_BAJO,SUMIFS(CF_CUOTA,CF_MAS,ITP_TRAMO_BAJO,CF_CCMIN,"&lt;="&amp;CB13,CF_CCMAX,"&gt;="&amp;CB13),O13*ITP_TIPO)),O13*ITP_TIPO))</f>
        <v/>
      </c>
      <c r="CD13" s="4">
        <f>IF(R13="profesional",N(AK13),0)</f>
        <v/>
      </c>
      <c r="CE13" s="3">
        <f>IF(AND(R13="profesional",ISNUMBER(AK13),AL13="sí"),0,TASA_DGT)</f>
        <v/>
      </c>
      <c r="CF13" s="3">
        <f>INFORME_DGT</f>
        <v/>
      </c>
      <c r="CG13" s="4">
        <f>O13+CD13+CC13+CE13+CF13</f>
        <v/>
      </c>
      <c r="CH13" s="4">
        <f>CG13+N(BU13)</f>
        <v/>
      </c>
      <c r="CI13" s="3">
        <f>IF(CG13&lt;=TOTAL_MAX,"sí",IF(CG13&lt;=TOTAL_MAX+MARGEN_NEG,"negociar","no"))</f>
        <v/>
      </c>
      <c r="CJ13" s="4">
        <f>IF(CI13&lt;&gt;"no",COUNTIFS($CI$2:$CI$662,"&lt;&gt;no",$CA$2:$CA$662,"&gt;"&amp;CA13)+COUNTIFS($CI$2:CI13,"&lt;&gt;no",$CA$2:CA13,CA13),"")</f>
        <v/>
      </c>
    </row>
    <row r="14">
      <c r="A14" s="2" t="inlineStr">
        <is>
          <t>autoscout24:98e81ab3-945a-4a40-a02e-686a76c720ea</t>
        </is>
      </c>
      <c r="B14" s="2" t="inlineStr">
        <is>
          <t>autoscout24</t>
        </is>
      </c>
      <c r="C14" s="2" t="inlineStr">
        <is>
          <t>https://www.autoscout24.es/anuncios/opel-corsa-gasolina-cat_ma54mo1918-98e81ab3-945a-4a40-a02e-686a76c720ea</t>
        </is>
      </c>
      <c r="D14" s="2" t="inlineStr">
        <is>
          <t>Opel Corsa</t>
        </is>
      </c>
      <c r="E14" s="2" t="inlineStr">
        <is>
          <t>Opel</t>
        </is>
      </c>
      <c r="F14" s="2" t="inlineStr">
        <is>
          <t>Opel Corsa</t>
        </is>
      </c>
      <c r="G14" s="2" t="inlineStr">
        <is>
          <t>1.6</t>
        </is>
      </c>
      <c r="H14" s="2" t="inlineStr">
        <is>
          <t>1.4</t>
        </is>
      </c>
      <c r="I14" s="2" t="n">
        <v>1598</v>
      </c>
      <c r="J14" s="2" t="n">
        <v>109</v>
      </c>
      <c r="K14" s="2" t="inlineStr">
        <is>
          <t>gasolina</t>
        </is>
      </c>
      <c r="L14" s="2" t="inlineStr">
        <is>
          <t>utilitario</t>
        </is>
      </c>
      <c r="M14" s="2" t="n">
        <v>2014</v>
      </c>
      <c r="N14" s="2" t="n">
        <v>160000</v>
      </c>
      <c r="O14" s="2" t="n">
        <v>4500</v>
      </c>
      <c r="P14" s="2" t="inlineStr">
        <is>
          <t>manual</t>
        </is>
      </c>
      <c r="Q14" s="2" t="inlineStr">
        <is>
          <t>no</t>
        </is>
      </c>
      <c r="R14" s="2" t="inlineStr">
        <is>
          <t>particular</t>
        </is>
      </c>
      <c r="S14" s="2" t="inlineStr">
        <is>
          <t>Alzira (46600)</t>
        </is>
      </c>
      <c r="T14" s="2" t="n"/>
      <c r="U14" s="2" t="n">
        <v>7</v>
      </c>
      <c r="V14" s="2" t="n"/>
      <c r="W14" s="2" t="n"/>
      <c r="X14" s="2" t="n"/>
      <c r="Y14" s="2" t="n"/>
      <c r="Z14" s="2" t="n"/>
      <c r="AA14" s="2" t="n"/>
      <c r="AB14" s="2" t="n"/>
      <c r="AC14" s="2" t="n"/>
      <c r="AD14" s="2" t="n"/>
      <c r="AE14" s="2" t="n"/>
      <c r="AF14" s="2" t="n"/>
      <c r="AG14" s="2" t="n"/>
      <c r="AH14" s="2" t="n"/>
      <c r="AI14" s="2" t="n"/>
      <c r="AJ14" s="2" t="n"/>
      <c r="AK14" s="2" t="n"/>
      <c r="AL14" s="2" t="n"/>
      <c r="AM14" s="2" t="n">
        <v>35.8</v>
      </c>
      <c r="AN14" s="2" t="n">
        <v>4550</v>
      </c>
      <c r="AO14" s="2" t="n">
        <v>8</v>
      </c>
      <c r="AP14" s="2" t="inlineStr">
        <is>
          <t>modelo+año+km</t>
        </is>
      </c>
      <c r="AQ14" s="2" t="n"/>
      <c r="AR14" s="2" t="inlineStr">
        <is>
          <t>cuota fija ITP: &gt;5 y &lt;=12 años, 1.501-2.000 cc</t>
        </is>
      </c>
      <c r="AS14" s="2" t="inlineStr"/>
      <c r="AT14" s="2" t="inlineStr">
        <is>
          <t>https://www.autoscout24.es/anuncios/opel-corsa-gasolina-cat_ma54mo1918-98e81ab3-945a-4a40-a02e-686a76c720ea (__NEXT_DATA__ listingDetails) /home/user/Alopecia/buscador-coches/raw/autoscout24/91af491fffed3c36.json</t>
        </is>
      </c>
      <c r="AU14" s="3">
        <f>MAX(ANIO_ACTUAL-M14,0)</f>
        <v/>
      </c>
      <c r="AV14" s="4">
        <f>N14/MAX(AU14,0.5)</f>
        <v/>
      </c>
      <c r="AW14" s="4">
        <f>F14</f>
        <v/>
      </c>
      <c r="AX14" s="3">
        <f>AW14&amp;"|"&amp;INT(M14/SEG_ANIO)*SEG_ANIO</f>
        <v/>
      </c>
      <c r="AY14" s="3">
        <f>AX14&amp;"|"&amp;INT(N14/SEG_KM)*SEG_KM</f>
        <v/>
      </c>
      <c r="AZ14" s="4">
        <f>COUNTIF($AW$2:$AW$662,AW14)</f>
        <v/>
      </c>
      <c r="BA14" s="4">
        <f>COUNTIF($AX$2:$AX$662,AX14)</f>
        <v/>
      </c>
      <c r="BB14" s="4">
        <f>COUNTIF($AY$2:$AY$662,AY14)</f>
        <v/>
      </c>
      <c r="BC14" s="3">
        <f t="array" ref="BC14">IF(N(AO14)&gt;=MIN_N,AN14,IF(BB14&gt;=MIN_N,MEDIAN(IF($AY$2:$AY$662=AY14,$O$2:$O$662)),IF(BA14&gt;=MIN_N,MEDIAN(IF($AX$2:$AX$662=AX14,$O$2:$O$662)),MEDIAN(IF($AW$2:$AW$662=AW14,$O$2:$O$662)))))</f>
        <v/>
      </c>
      <c r="BD14" s="3">
        <f>IF(N(AO14)&gt;=MIN_N,"mercado "&amp;AP14,IF(BB14&gt;=MIN_N,"modelo+año+km",IF(BA14&gt;=MIN_N,"modelo+año","modelo")))</f>
        <v/>
      </c>
      <c r="BE14" s="4">
        <f>(BC14-O14)/BC14</f>
        <v/>
      </c>
      <c r="BF14" s="3">
        <f>IF(OR(K14="hibrido",K14="glp"),"ECO",IF(K14="electrico","CERO",IF(K14="gasolina",IF(M14&gt;=GAS_C,"C",IF(M14&gt;=GAS_B,"B","A")),IF(K14="diesel",IF(M14&gt;=DIE_C,"C",IF(M14&gt;=DIE_B,"B","A")),""))))</f>
        <v/>
      </c>
      <c r="BG14" s="3">
        <f>IFERROR(VLOOKUP(F14,MOD_TBL,11,0),IFERROR(VLOOKUP(E14,OCU_TBL,2,0),NEUTRO))</f>
        <v/>
      </c>
      <c r="BH14" s="3">
        <f>SUMIFS(MOT_AJUSTE,MOT_MOTOR,G14,MOT_MARCA,E14,MOT_DESDE,"&lt;="&amp;M14,MOT_HASTA,"&gt;="&amp;M14)+SUMIFS(MOT_AJUSTE,MOT_MOTOR,G14,MOT_MARCA,"(todas)",MOT_DESDE,"&lt;="&amp;M14,MOT_HASTA,"&gt;="&amp;M14)</f>
        <v/>
      </c>
      <c r="BI14" s="3">
        <f>SUMIFS(COMB_AJUSTE,COMB_COMB,K14)</f>
        <v/>
      </c>
      <c r="BJ14" s="3">
        <f>COUNTIFS(MOT_MOTOR,G14,MOT_MARCA,E14,MOT_DESDE,"&lt;="&amp;M14,MOT_HASTA,"&gt;="&amp;M14)+COUNTIFS(MOT_MOTOR,G14,MOT_MARCA,"(todas)",MOT_DESDE,"&lt;="&amp;M14,MOT_HASTA,"&gt;="&amp;M14)</f>
        <v/>
      </c>
      <c r="BK14" s="3">
        <f>IF(AND(K14="diesel",BJ14=0),MIN(BG14,NEUTRO),BG14)</f>
        <v/>
      </c>
      <c r="BL14" s="4">
        <f>MAX(0,MIN(100,BK14+BH14+BI14))</f>
        <v/>
      </c>
      <c r="BM14" s="3">
        <f>MAX(0,MIN(100,50+BE14*PRECIO_PEND))</f>
        <v/>
      </c>
      <c r="BN14" s="3">
        <f>MAX(0,100*(1-N14/KM_MAX))</f>
        <v/>
      </c>
      <c r="BO14" s="3">
        <f>IF(AV14&lt;KMA_SOSP,IF(AA14="sí",100,KMA_PEN),IF(AV14&lt;=KMA_IDEAL_MAX,100,MAX(0,100*(KMA_CERO-AV14)/(KMA_CERO-KMA_IDEAL_MAX))))</f>
        <v/>
      </c>
      <c r="BP14" s="3">
        <f>MAX(0,MIN(100,100*(M14-ANIO_MIN)/(ANIO_ACTUAL-ANIO_MIN)))</f>
        <v/>
      </c>
      <c r="BQ14" s="3">
        <f>W_KMT*BN14+W_KMA*BO14+W_EDAD*BP14</f>
        <v/>
      </c>
      <c r="BR14" s="3">
        <f>P_ITV*(V14="sí")+P_LIBRO*(W14="sí")+P_CORREA*(X14="sí")+P_PROP*(Y14=1)+P_GAR*(Z14="sí")+P_FOTOS*MIN(1,N(U14)/FOTOS_OBJ)</f>
        <v/>
      </c>
      <c r="BS14" s="3">
        <f>IFERROR(VLOOKUP(BF14,ETQ_TBL,2,0),NEUTRO)</f>
        <v/>
      </c>
      <c r="BT14" s="3">
        <f>NEUTRO</f>
        <v/>
      </c>
      <c r="BU14" s="3">
        <f>IFERROR(VLOOKUP(L14,SEGURO_TBL,3,0),"")</f>
        <v/>
      </c>
      <c r="BV14" s="3">
        <f>IF(BU14="",NEUTRO,MAX(0,MIN(100,100*(SEG_REF_MAX-BU14)/(SEG_REF_MAX-SEG_REF_MIN))))</f>
        <v/>
      </c>
      <c r="BW14" s="3">
        <f>W_ET*BS14+W_CONS*BT14+W_SEG*BV14</f>
        <v/>
      </c>
      <c r="BX14" s="3">
        <f>IF(N(AB14)&gt;0,AB14,IF(AND(R14="profesional",SG_LEGAL_ON=1),GAR_LEGAL,0))</f>
        <v/>
      </c>
      <c r="BY14" s="3">
        <f>SG_GAR*MIN(1,BX14/SG_GAR_FULL)+SG_AMPL*(AC14="sí")+SG_KMC*(AF14="sí")+SG_REV*(N(AE14)&gt;0)+SG_DEV*MIN(1,N(AG14)/SG_DEV_FULL)+SG_HIST*(W14="sí")</f>
        <v/>
      </c>
      <c r="BZ14" s="3">
        <f>IFERROR(VLOOKUP(L14,CARR_PEN_TBL,2,0),0)</f>
        <v/>
      </c>
      <c r="CA14" s="3">
        <f>W_FIAB*BL14+W_PRECIO*BM14+W_KMEDAD*BQ14+W_ANUNCIO*BR14+W_USO*BW14+W_SEGURIDAD*BY14-BZ14</f>
        <v/>
      </c>
      <c r="CB14" s="4">
        <f>IF(N(I14)&gt;0,I14,IFERROR(ROUND(_xlfn.NUMBERVALUE(LEFT(G14,FIND(" ",G14&amp;" ")-1),".")*1000,0),99999))</f>
        <v/>
      </c>
      <c r="CC14" s="3">
        <f>IF(R14="profesional",0,IF(O14&lt;CUOTA_VALOR_MAX,IF(AU14&gt;ITP_TRAMO_ALTO,SUMIFS(CF_CUOTA,CF_MAS,ITP_TRAMO_ALTO,CF_CCMIN,"&lt;="&amp;CB14,CF_CCMAX,"&gt;="&amp;CB14),IF(AU14&gt;ITP_TRAMO_BAJO,SUMIFS(CF_CUOTA,CF_MAS,ITP_TRAMO_BAJO,CF_CCMIN,"&lt;="&amp;CB14,CF_CCMAX,"&gt;="&amp;CB14),O14*ITP_TIPO)),O14*ITP_TIPO))</f>
        <v/>
      </c>
      <c r="CD14" s="4">
        <f>IF(R14="profesional",N(AK14),0)</f>
        <v/>
      </c>
      <c r="CE14" s="3">
        <f>IF(AND(R14="profesional",ISNUMBER(AK14),AL14="sí"),0,TASA_DGT)</f>
        <v/>
      </c>
      <c r="CF14" s="3">
        <f>INFORME_DGT</f>
        <v/>
      </c>
      <c r="CG14" s="4">
        <f>O14+CD14+CC14+CE14+CF14</f>
        <v/>
      </c>
      <c r="CH14" s="4">
        <f>CG14+N(BU14)</f>
        <v/>
      </c>
      <c r="CI14" s="3">
        <f>IF(CG14&lt;=TOTAL_MAX,"sí",IF(CG14&lt;=TOTAL_MAX+MARGEN_NEG,"negociar","no"))</f>
        <v/>
      </c>
      <c r="CJ14" s="4">
        <f>IF(CI14&lt;&gt;"no",COUNTIFS($CI$2:$CI$662,"&lt;&gt;no",$CA$2:$CA$662,"&gt;"&amp;CA14)+COUNTIFS($CI$2:CI14,"&lt;&gt;no",$CA$2:CA14,CA14),"")</f>
        <v/>
      </c>
    </row>
    <row r="15">
      <c r="A15" s="2" t="inlineStr">
        <is>
          <t>autoscout24:eff1fd1c-995f-4e05-b13f-0025ae2ba8f5</t>
        </is>
      </c>
      <c r="B15" s="2" t="inlineStr">
        <is>
          <t>autoscout24</t>
        </is>
      </c>
      <c r="C15" s="2" t="inlineStr">
        <is>
          <t>https://www.autoscout24.es/anuncios/opel-astra-1-7cdti-enjoy-diesel-azul-cat_ma54mo1916-eff1fd1c-995f-4e05-b13f-0025ae2ba8f5</t>
        </is>
      </c>
      <c r="D15" s="2" t="inlineStr">
        <is>
          <t>Opel Astra 1.7CDTi Enjoy</t>
        </is>
      </c>
      <c r="E15" s="2" t="inlineStr">
        <is>
          <t>Opel</t>
        </is>
      </c>
      <c r="F15" s="2" t="inlineStr">
        <is>
          <t>Opel Astra</t>
        </is>
      </c>
      <c r="G15" s="2" t="inlineStr">
        <is>
          <t>1.7</t>
        </is>
      </c>
      <c r="H15" s="2" t="inlineStr">
        <is>
          <t>1.7CDTi Enjoy 1.7</t>
        </is>
      </c>
      <c r="I15" s="2" t="n">
        <v>1686</v>
      </c>
      <c r="J15" s="2" t="n">
        <v>99</v>
      </c>
      <c r="K15" s="2" t="inlineStr">
        <is>
          <t>diesel</t>
        </is>
      </c>
      <c r="L15" s="2" t="inlineStr">
        <is>
          <t>compacto</t>
        </is>
      </c>
      <c r="M15" s="2" t="n">
        <v>2008</v>
      </c>
      <c r="N15" s="2" t="n">
        <v>180065</v>
      </c>
      <c r="O15" s="2" t="n">
        <v>3599</v>
      </c>
      <c r="P15" s="2" t="inlineStr">
        <is>
          <t>manual</t>
        </is>
      </c>
      <c r="Q15" s="2" t="inlineStr">
        <is>
          <t>no</t>
        </is>
      </c>
      <c r="R15" s="2" t="inlineStr">
        <is>
          <t>profesional</t>
        </is>
      </c>
      <c r="S15" s="2" t="inlineStr">
        <is>
          <t>AUTOS XUQUER — SUECA (46410)</t>
        </is>
      </c>
      <c r="T15" s="2" t="n"/>
      <c r="U15" s="2" t="n">
        <v>12</v>
      </c>
      <c r="V15" s="2" t="inlineStr">
        <is>
          <t>sí</t>
        </is>
      </c>
      <c r="W15" s="2" t="n"/>
      <c r="X15" s="2" t="n"/>
      <c r="Y15" s="2" t="n"/>
      <c r="Z15" s="2" t="inlineStr">
        <is>
          <t>sí</t>
        </is>
      </c>
      <c r="AA15" s="2" t="n"/>
      <c r="AB15" s="2" t="n">
        <v>12</v>
      </c>
      <c r="AC15" s="2" t="n"/>
      <c r="AD15" s="2" t="n"/>
      <c r="AE15" s="2" t="n"/>
      <c r="AF15" s="2" t="n"/>
      <c r="AG15" s="2" t="n"/>
      <c r="AH15" s="2" t="n"/>
      <c r="AI15" s="2" t="n"/>
      <c r="AJ15" s="2" t="n"/>
      <c r="AK15" s="2" t="n"/>
      <c r="AL15" s="2" t="n"/>
      <c r="AM15" s="2" t="n">
        <v>30.8</v>
      </c>
      <c r="AN15" s="2" t="n">
        <v>4300</v>
      </c>
      <c r="AO15" s="2" t="n">
        <v>17</v>
      </c>
      <c r="AP15" s="2" t="inlineStr">
        <is>
          <t>modelo+año+km</t>
        </is>
      </c>
      <c r="AQ15" s="2" t="n"/>
      <c r="AR15" s="2" t="inlineStr">
        <is>
          <t>vendedor profesional: sin ITP (operación con IVA/REBU, confirmar en factura); gastos de gestión del vendedor no indicados: se suma la tasa DGT; preguntar el precio final; diésel: motor sin fuente de fiabilidad (fiabilidad limitada a neutra)</t>
        </is>
      </c>
      <c r="AS15" s="2" t="inlineStr">
        <is>
          <t>Opel Astra SW 1.7 CDTI Familiar, espacioso y muy económico&lt;br /&gt;¿Buscas un coche espacioso, fiable y que no te haga temblar cada vez que vas a la gasolinera? Este Opel Astra SW es la combinación perfecta entre practicidad para el día a día y confort para viajar.&lt;br /&gt;Con su motor 1.7 CDTI de 100 CV, te llevas uno de los motores diésel más duros y contrastados del mercado: consumo muy ajustado y mantenimiento económico. Además, su carrocería familiar te ofrece un maletero amplísimo con boca de carga baja, ideal para familias, viajes con equipaje o para quien necesita espacio extra sin renunciar a la agilidad de un turismo.&lt;br /&gt;Volante con control velocidad de crucero, Radio CD, Aire Acondicionado, llantas de aleación, amplio maletero, elevalunas eléctricos. Cuenta con Baca porta equipajes.&lt;br /&gt;Coche económico, con revisiones e ITV al dia.&lt;br /&gt;En Autos Xúquer Albelda entregamos todos nuestros vehículos totalmente revisados y con garantía de 12 meses incluida. La financiación es 100 % flexible y sin trámites complicados, y te asesoramos en todo el proceso, antes y después de la compra. &lt;br /&gt;Cambio de nombre no incluido (+200 €). &lt;br /&gt;Visítanos en Sueca (Valencia) o escríbenos para concertar una prueba sin ningún compromiso.&lt;br /&gt;Este anuncio no es vinculante y puede contener errores.&lt;br /&gt;&lt;br /&gt;&lt;br /&gt;</t>
        </is>
      </c>
      <c r="AT15" s="2" t="inlineStr">
        <is>
          <t>https://www.autoscout24.es/anuncios/opel-astra-1-7cdti-enjoy-diesel-azul-cat_ma54mo1916-eff1fd1c-995f-4e05-b13f-0025ae2ba8f5 (__NEXT_DATA__ listingDetails) /home/user/Alopecia/buscador-coches/raw/autoscout24/f2becdc4ebbeca89.json</t>
        </is>
      </c>
      <c r="AU15" s="3">
        <f>MAX(ANIO_ACTUAL-M15,0)</f>
        <v/>
      </c>
      <c r="AV15" s="4">
        <f>N15/MAX(AU15,0.5)</f>
        <v/>
      </c>
      <c r="AW15" s="4">
        <f>F15</f>
        <v/>
      </c>
      <c r="AX15" s="3">
        <f>AW15&amp;"|"&amp;INT(M15/SEG_ANIO)*SEG_ANIO</f>
        <v/>
      </c>
      <c r="AY15" s="3">
        <f>AX15&amp;"|"&amp;INT(N15/SEG_KM)*SEG_KM</f>
        <v/>
      </c>
      <c r="AZ15" s="4">
        <f>COUNTIF($AW$2:$AW$662,AW15)</f>
        <v/>
      </c>
      <c r="BA15" s="4">
        <f>COUNTIF($AX$2:$AX$662,AX15)</f>
        <v/>
      </c>
      <c r="BB15" s="4">
        <f>COUNTIF($AY$2:$AY$662,AY15)</f>
        <v/>
      </c>
      <c r="BC15" s="3">
        <f t="array" ref="BC15">IF(N(AO15)&gt;=MIN_N,AN15,IF(BB15&gt;=MIN_N,MEDIAN(IF($AY$2:$AY$662=AY15,$O$2:$O$662)),IF(BA15&gt;=MIN_N,MEDIAN(IF($AX$2:$AX$662=AX15,$O$2:$O$662)),MEDIAN(IF($AW$2:$AW$662=AW15,$O$2:$O$662)))))</f>
        <v/>
      </c>
      <c r="BD15" s="3">
        <f>IF(N(AO15)&gt;=MIN_N,"mercado "&amp;AP15,IF(BB15&gt;=MIN_N,"modelo+año+km",IF(BA15&gt;=MIN_N,"modelo+año","modelo")))</f>
        <v/>
      </c>
      <c r="BE15" s="4">
        <f>(BC15-O15)/BC15</f>
        <v/>
      </c>
      <c r="BF15" s="3">
        <f>IF(OR(K15="hibrido",K15="glp"),"ECO",IF(K15="electrico","CERO",IF(K15="gasolina",IF(M15&gt;=GAS_C,"C",IF(M15&gt;=GAS_B,"B","A")),IF(K15="diesel",IF(M15&gt;=DIE_C,"C",IF(M15&gt;=DIE_B,"B","A")),""))))</f>
        <v/>
      </c>
      <c r="BG15" s="3">
        <f>IFERROR(VLOOKUP(F15,MOD_TBL,11,0),IFERROR(VLOOKUP(E15,OCU_TBL,2,0),NEUTRO))</f>
        <v/>
      </c>
      <c r="BH15" s="3">
        <f>SUMIFS(MOT_AJUSTE,MOT_MOTOR,G15,MOT_MARCA,E15,MOT_DESDE,"&lt;="&amp;M15,MOT_HASTA,"&gt;="&amp;M15)+SUMIFS(MOT_AJUSTE,MOT_MOTOR,G15,MOT_MARCA,"(todas)",MOT_DESDE,"&lt;="&amp;M15,MOT_HASTA,"&gt;="&amp;M15)</f>
        <v/>
      </c>
      <c r="BI15" s="3">
        <f>SUMIFS(COMB_AJUSTE,COMB_COMB,K15)</f>
        <v/>
      </c>
      <c r="BJ15" s="3">
        <f>COUNTIFS(MOT_MOTOR,G15,MOT_MARCA,E15,MOT_DESDE,"&lt;="&amp;M15,MOT_HASTA,"&gt;="&amp;M15)+COUNTIFS(MOT_MOTOR,G15,MOT_MARCA,"(todas)",MOT_DESDE,"&lt;="&amp;M15,MOT_HASTA,"&gt;="&amp;M15)</f>
        <v/>
      </c>
      <c r="BK15" s="3">
        <f>IF(AND(K15="diesel",BJ15=0),MIN(BG15,NEUTRO),BG15)</f>
        <v/>
      </c>
      <c r="BL15" s="4">
        <f>MAX(0,MIN(100,BK15+BH15+BI15))</f>
        <v/>
      </c>
      <c r="BM15" s="3">
        <f>MAX(0,MIN(100,50+BE15*PRECIO_PEND))</f>
        <v/>
      </c>
      <c r="BN15" s="3">
        <f>MAX(0,100*(1-N15/KM_MAX))</f>
        <v/>
      </c>
      <c r="BO15" s="3">
        <f>IF(AV15&lt;KMA_SOSP,IF(AA15="sí",100,KMA_PEN),IF(AV15&lt;=KMA_IDEAL_MAX,100,MAX(0,100*(KMA_CERO-AV15)/(KMA_CERO-KMA_IDEAL_MAX))))</f>
        <v/>
      </c>
      <c r="BP15" s="3">
        <f>MAX(0,MIN(100,100*(M15-ANIO_MIN)/(ANIO_ACTUAL-ANIO_MIN)))</f>
        <v/>
      </c>
      <c r="BQ15" s="3">
        <f>W_KMT*BN15+W_KMA*BO15+W_EDAD*BP15</f>
        <v/>
      </c>
      <c r="BR15" s="3">
        <f>P_ITV*(V15="sí")+P_LIBRO*(W15="sí")+P_CORREA*(X15="sí")+P_PROP*(Y15=1)+P_GAR*(Z15="sí")+P_FOTOS*MIN(1,N(U15)/FOTOS_OBJ)</f>
        <v/>
      </c>
      <c r="BS15" s="3">
        <f>IFERROR(VLOOKUP(BF15,ETQ_TBL,2,0),NEUTRO)</f>
        <v/>
      </c>
      <c r="BT15" s="3">
        <f>NEUTRO</f>
        <v/>
      </c>
      <c r="BU15" s="3">
        <f>IFERROR(VLOOKUP(L15,SEGURO_TBL,3,0),"")</f>
        <v/>
      </c>
      <c r="BV15" s="3">
        <f>IF(BU15="",NEUTRO,MAX(0,MIN(100,100*(SEG_REF_MAX-BU15)/(SEG_REF_MAX-SEG_REF_MIN))))</f>
        <v/>
      </c>
      <c r="BW15" s="3">
        <f>W_ET*BS15+W_CONS*BT15+W_SEG*BV15</f>
        <v/>
      </c>
      <c r="BX15" s="3">
        <f>IF(N(AB15)&gt;0,AB15,IF(AND(R15="profesional",SG_LEGAL_ON=1),GAR_LEGAL,0))</f>
        <v/>
      </c>
      <c r="BY15" s="3">
        <f>SG_GAR*MIN(1,BX15/SG_GAR_FULL)+SG_AMPL*(AC15="sí")+SG_KMC*(AF15="sí")+SG_REV*(N(AE15)&gt;0)+SG_DEV*MIN(1,N(AG15)/SG_DEV_FULL)+SG_HIST*(W15="sí")</f>
        <v/>
      </c>
      <c r="BZ15" s="3">
        <f>IFERROR(VLOOKUP(L15,CARR_PEN_TBL,2,0),0)</f>
        <v/>
      </c>
      <c r="CA15" s="3">
        <f>W_FIAB*BL15+W_PRECIO*BM15+W_KMEDAD*BQ15+W_ANUNCIO*BR15+W_USO*BW15+W_SEGURIDAD*BY15-BZ15</f>
        <v/>
      </c>
      <c r="CB15" s="4">
        <f>IF(N(I15)&gt;0,I15,IFERROR(ROUND(_xlfn.NUMBERVALUE(LEFT(G15,FIND(" ",G15&amp;" ")-1),".")*1000,0),99999))</f>
        <v/>
      </c>
      <c r="CC15" s="3">
        <f>IF(R15="profesional",0,IF(O15&lt;CUOTA_VALOR_MAX,IF(AU15&gt;ITP_TRAMO_ALTO,SUMIFS(CF_CUOTA,CF_MAS,ITP_TRAMO_ALTO,CF_CCMIN,"&lt;="&amp;CB15,CF_CCMAX,"&gt;="&amp;CB15),IF(AU15&gt;ITP_TRAMO_BAJO,SUMIFS(CF_CUOTA,CF_MAS,ITP_TRAMO_BAJO,CF_CCMIN,"&lt;="&amp;CB15,CF_CCMAX,"&gt;="&amp;CB15),O15*ITP_TIPO)),O15*ITP_TIPO))</f>
        <v/>
      </c>
      <c r="CD15" s="4">
        <f>IF(R15="profesional",N(AK15),0)</f>
        <v/>
      </c>
      <c r="CE15" s="3">
        <f>IF(AND(R15="profesional",ISNUMBER(AK15),AL15="sí"),0,TASA_DGT)</f>
        <v/>
      </c>
      <c r="CF15" s="3">
        <f>INFORME_DGT</f>
        <v/>
      </c>
      <c r="CG15" s="4">
        <f>O15+CD15+CC15+CE15+CF15</f>
        <v/>
      </c>
      <c r="CH15" s="4">
        <f>CG15+N(BU15)</f>
        <v/>
      </c>
      <c r="CI15" s="3">
        <f>IF(CG15&lt;=TOTAL_MAX,"sí",IF(CG15&lt;=TOTAL_MAX+MARGEN_NEG,"negociar","no"))</f>
        <v/>
      </c>
      <c r="CJ15" s="4">
        <f>IF(CI15&lt;&gt;"no",COUNTIFS($CI$2:$CI$662,"&lt;&gt;no",$CA$2:$CA$662,"&gt;"&amp;CA15)+COUNTIFS($CI$2:CI15,"&lt;&gt;no",$CA$2:CA15,CA15),"")</f>
        <v/>
      </c>
    </row>
    <row r="16">
      <c r="A16" s="2" t="inlineStr">
        <is>
          <t>autoscout24:1bbab641-53ca-4d9b-80c6-f99884b3bd80</t>
        </is>
      </c>
      <c r="B16" s="2" t="inlineStr">
        <is>
          <t>autoscout24</t>
        </is>
      </c>
      <c r="C16" s="2" t="inlineStr">
        <is>
          <t>https://www.autoscout24.es/anuncios/opel-meriva-meriva-1-7cdti-enjoy-110-enjoy-diesel-beige-cat_ma54mo18341-1bbab641-53ca-4d9b-80c6-f99884b3bd80</t>
        </is>
      </c>
      <c r="D16" s="2" t="inlineStr">
        <is>
          <t>Opel Meriva Meriva 1.7CDTi Enjoy 110 Enjoy</t>
        </is>
      </c>
      <c r="E16" s="2" t="inlineStr">
        <is>
          <t>Opel</t>
        </is>
      </c>
      <c r="F16" s="2" t="inlineStr">
        <is>
          <t>Opel Meriva</t>
        </is>
      </c>
      <c r="G16" s="2" t="inlineStr">
        <is>
          <t>1.7 CDTi</t>
        </is>
      </c>
      <c r="H16" s="2" t="inlineStr">
        <is>
          <t>Meriva 1.7CDTi Enjoy 110 Enjoy 1.7 CDTI</t>
        </is>
      </c>
      <c r="I16" s="2" t="n">
        <v>1686</v>
      </c>
      <c r="J16" s="2" t="n">
        <v>110</v>
      </c>
      <c r="K16" s="2" t="inlineStr">
        <is>
          <t>diesel</t>
        </is>
      </c>
      <c r="L16" s="2" t="inlineStr">
        <is>
          <t>monovolumen_pequeno</t>
        </is>
      </c>
      <c r="M16" s="2" t="n">
        <v>2010</v>
      </c>
      <c r="N16" s="2" t="n">
        <v>164500</v>
      </c>
      <c r="O16" s="2" t="n">
        <v>3900</v>
      </c>
      <c r="P16" s="2" t="inlineStr">
        <is>
          <t>manual</t>
        </is>
      </c>
      <c r="Q16" s="2" t="inlineStr">
        <is>
          <t>no</t>
        </is>
      </c>
      <c r="R16" s="2" t="inlineStr">
        <is>
          <t>particular</t>
        </is>
      </c>
      <c r="S16" s="2" t="inlineStr">
        <is>
          <t>Torrent (46900)</t>
        </is>
      </c>
      <c r="T16" s="2" t="n"/>
      <c r="U16" s="2" t="n">
        <v>5</v>
      </c>
      <c r="V16" s="2" t="inlineStr">
        <is>
          <t>sí</t>
        </is>
      </c>
      <c r="W16" s="2" t="inlineStr">
        <is>
          <t>sí</t>
        </is>
      </c>
      <c r="X16" s="2" t="n"/>
      <c r="Y16" s="2" t="n">
        <v>1</v>
      </c>
      <c r="Z16" s="2" t="n"/>
      <c r="AA16" s="2" t="n"/>
      <c r="AB16" s="2" t="n"/>
      <c r="AC16" s="2" t="n"/>
      <c r="AD16" s="2" t="n"/>
      <c r="AE16" s="2" t="n"/>
      <c r="AF16" s="2" t="n"/>
      <c r="AG16" s="2" t="n"/>
      <c r="AH16" s="2" t="n"/>
      <c r="AI16" s="2" t="n"/>
      <c r="AJ16" s="2" t="n"/>
      <c r="AK16" s="2" t="n"/>
      <c r="AL16" s="2" t="n"/>
      <c r="AM16" s="2" t="n">
        <v>8.5</v>
      </c>
      <c r="AN16" s="2" t="n">
        <v>4990</v>
      </c>
      <c r="AO16" s="2" t="n">
        <v>4</v>
      </c>
      <c r="AP16" s="2" t="inlineStr">
        <is>
          <t>modelo+año</t>
        </is>
      </c>
      <c r="AQ16" s="2" t="n"/>
      <c r="AR16" s="2" t="inlineStr">
        <is>
          <t>cuota fija ITP: &gt;12 años, 1.501-2.000 cc; diésel: motor sin fuente de fiabilidad (fiabilidad limitada a neutra); carrocería monovolumen_pequeno: -6 puntos; fiabilidad del modelo PENDIENTE de fuente (puntuación neutra)</t>
        </is>
      </c>
      <c r="AS16" s="2" t="inlineStr">
        <is>
          <t>Rebajado porque Urge.&lt;br /&gt;&lt;br /&gt;Urge venta, de ahí el precio. Coche en muy buen estado, único dueño y siempre bien cuidado. Primera matriculación en octubre de 2010. El vehículo funciona perfectamente, mecánica al día y listo para usar.&lt;br /&gt;Exterior en buen estado general, sin abolladuras, únicamente algunos rayones normales del uso y los años. Interior cuidado y limpio.&lt;br /&gt;Coche fiable, cómodo y económico de mantener. Ideal para quien busca un vehículo práctico y en buen estado.&lt;br /&gt;&lt;br /&gt;✔ Único propietario&lt;br /&gt;✔ Funciona perfectamente&lt;br /&gt;✔ ITV y mantenimiento al día (todas sus revisiones hechas y la itv pasada feb/2026)&lt;br /&gt;✔ Sin golpes ni abolladuras, algunas marcas de rayas del parking.&lt;br /&gt;✔ Precio negociable&lt;br /&gt;&lt;br /&gt;&lt;br /&gt;&lt;br /&gt;Se puede ver y probar sin compromiso.</t>
        </is>
      </c>
      <c r="AT16" s="2" t="inlineStr">
        <is>
          <t>https://www.autoscout24.es/anuncios/opel-meriva-meriva-1-7cdti-enjoy-110-enjoy-diesel-beige-cat_ma54mo18341-1bbab641-53ca-4d9b-80c6-f99884b3bd80 (__NEXT_DATA__ listingDetails) /home/user/Alopecia/buscador-coches/raw/autoscout24/5a478802c3aae019.json</t>
        </is>
      </c>
      <c r="AU16" s="3">
        <f>MAX(ANIO_ACTUAL-M16,0)</f>
        <v/>
      </c>
      <c r="AV16" s="4">
        <f>N16/MAX(AU16,0.5)</f>
        <v/>
      </c>
      <c r="AW16" s="4">
        <f>F16</f>
        <v/>
      </c>
      <c r="AX16" s="3">
        <f>AW16&amp;"|"&amp;INT(M16/SEG_ANIO)*SEG_ANIO</f>
        <v/>
      </c>
      <c r="AY16" s="3">
        <f>AX16&amp;"|"&amp;INT(N16/SEG_KM)*SEG_KM</f>
        <v/>
      </c>
      <c r="AZ16" s="4">
        <f>COUNTIF($AW$2:$AW$662,AW16)</f>
        <v/>
      </c>
      <c r="BA16" s="4">
        <f>COUNTIF($AX$2:$AX$662,AX16)</f>
        <v/>
      </c>
      <c r="BB16" s="4">
        <f>COUNTIF($AY$2:$AY$662,AY16)</f>
        <v/>
      </c>
      <c r="BC16" s="3">
        <f t="array" ref="BC16">IF(N(AO16)&gt;=MIN_N,AN16,IF(BB16&gt;=MIN_N,MEDIAN(IF($AY$2:$AY$662=AY16,$O$2:$O$662)),IF(BA16&gt;=MIN_N,MEDIAN(IF($AX$2:$AX$662=AX16,$O$2:$O$662)),MEDIAN(IF($AW$2:$AW$662=AW16,$O$2:$O$662)))))</f>
        <v/>
      </c>
      <c r="BD16" s="3">
        <f>IF(N(AO16)&gt;=MIN_N,"mercado "&amp;AP16,IF(BB16&gt;=MIN_N,"modelo+año+km",IF(BA16&gt;=MIN_N,"modelo+año","modelo")))</f>
        <v/>
      </c>
      <c r="BE16" s="4">
        <f>(BC16-O16)/BC16</f>
        <v/>
      </c>
      <c r="BF16" s="3">
        <f>IF(OR(K16="hibrido",K16="glp"),"ECO",IF(K16="electrico","CERO",IF(K16="gasolina",IF(M16&gt;=GAS_C,"C",IF(M16&gt;=GAS_B,"B","A")),IF(K16="diesel",IF(M16&gt;=DIE_C,"C",IF(M16&gt;=DIE_B,"B","A")),""))))</f>
        <v/>
      </c>
      <c r="BG16" s="3">
        <f>IFERROR(VLOOKUP(F16,MOD_TBL,11,0),IFERROR(VLOOKUP(E16,OCU_TBL,2,0),NEUTRO))</f>
        <v/>
      </c>
      <c r="BH16" s="3">
        <f>SUMIFS(MOT_AJUSTE,MOT_MOTOR,G16,MOT_MARCA,E16,MOT_DESDE,"&lt;="&amp;M16,MOT_HASTA,"&gt;="&amp;M16)+SUMIFS(MOT_AJUSTE,MOT_MOTOR,G16,MOT_MARCA,"(todas)",MOT_DESDE,"&lt;="&amp;M16,MOT_HASTA,"&gt;="&amp;M16)</f>
        <v/>
      </c>
      <c r="BI16" s="3">
        <f>SUMIFS(COMB_AJUSTE,COMB_COMB,K16)</f>
        <v/>
      </c>
      <c r="BJ16" s="3">
        <f>COUNTIFS(MOT_MOTOR,G16,MOT_MARCA,E16,MOT_DESDE,"&lt;="&amp;M16,MOT_HASTA,"&gt;="&amp;M16)+COUNTIFS(MOT_MOTOR,G16,MOT_MARCA,"(todas)",MOT_DESDE,"&lt;="&amp;M16,MOT_HASTA,"&gt;="&amp;M16)</f>
        <v/>
      </c>
      <c r="BK16" s="3">
        <f>IF(AND(K16="diesel",BJ16=0),MIN(BG16,NEUTRO),BG16)</f>
        <v/>
      </c>
      <c r="BL16" s="4">
        <f>MAX(0,MIN(100,BK16+BH16+BI16))</f>
        <v/>
      </c>
      <c r="BM16" s="3">
        <f>MAX(0,MIN(100,50+BE16*PRECIO_PEND))</f>
        <v/>
      </c>
      <c r="BN16" s="3">
        <f>MAX(0,100*(1-N16/KM_MAX))</f>
        <v/>
      </c>
      <c r="BO16" s="3">
        <f>IF(AV16&lt;KMA_SOSP,IF(AA16="sí",100,KMA_PEN),IF(AV16&lt;=KMA_IDEAL_MAX,100,MAX(0,100*(KMA_CERO-AV16)/(KMA_CERO-KMA_IDEAL_MAX))))</f>
        <v/>
      </c>
      <c r="BP16" s="3">
        <f>MAX(0,MIN(100,100*(M16-ANIO_MIN)/(ANIO_ACTUAL-ANIO_MIN)))</f>
        <v/>
      </c>
      <c r="BQ16" s="3">
        <f>W_KMT*BN16+W_KMA*BO16+W_EDAD*BP16</f>
        <v/>
      </c>
      <c r="BR16" s="3">
        <f>P_ITV*(V16="sí")+P_LIBRO*(W16="sí")+P_CORREA*(X16="sí")+P_PROP*(Y16=1)+P_GAR*(Z16="sí")+P_FOTOS*MIN(1,N(U16)/FOTOS_OBJ)</f>
        <v/>
      </c>
      <c r="BS16" s="3">
        <f>IFERROR(VLOOKUP(BF16,ETQ_TBL,2,0),NEUTRO)</f>
        <v/>
      </c>
      <c r="BT16" s="3">
        <f>NEUTRO</f>
        <v/>
      </c>
      <c r="BU16" s="3">
        <f>IFERROR(VLOOKUP(L16,SEGURO_TBL,3,0),"")</f>
        <v/>
      </c>
      <c r="BV16" s="3">
        <f>IF(BU16="",NEUTRO,MAX(0,MIN(100,100*(SEG_REF_MAX-BU16)/(SEG_REF_MAX-SEG_REF_MIN))))</f>
        <v/>
      </c>
      <c r="BW16" s="3">
        <f>W_ET*BS16+W_CONS*BT16+W_SEG*BV16</f>
        <v/>
      </c>
      <c r="BX16" s="3">
        <f>IF(N(AB16)&gt;0,AB16,IF(AND(R16="profesional",SG_LEGAL_ON=1),GAR_LEGAL,0))</f>
        <v/>
      </c>
      <c r="BY16" s="3">
        <f>SG_GAR*MIN(1,BX16/SG_GAR_FULL)+SG_AMPL*(AC16="sí")+SG_KMC*(AF16="sí")+SG_REV*(N(AE16)&gt;0)+SG_DEV*MIN(1,N(AG16)/SG_DEV_FULL)+SG_HIST*(W16="sí")</f>
        <v/>
      </c>
      <c r="BZ16" s="3">
        <f>IFERROR(VLOOKUP(L16,CARR_PEN_TBL,2,0),0)</f>
        <v/>
      </c>
      <c r="CA16" s="3">
        <f>W_FIAB*BL16+W_PRECIO*BM16+W_KMEDAD*BQ16+W_ANUNCIO*BR16+W_USO*BW16+W_SEGURIDAD*BY16-BZ16</f>
        <v/>
      </c>
      <c r="CB16" s="4">
        <f>IF(N(I16)&gt;0,I16,IFERROR(ROUND(_xlfn.NUMBERVALUE(LEFT(G16,FIND(" ",G16&amp;" ")-1),".")*1000,0),99999))</f>
        <v/>
      </c>
      <c r="CC16" s="3">
        <f>IF(R16="profesional",0,IF(O16&lt;CUOTA_VALOR_MAX,IF(AU16&gt;ITP_TRAMO_ALTO,SUMIFS(CF_CUOTA,CF_MAS,ITP_TRAMO_ALTO,CF_CCMIN,"&lt;="&amp;CB16,CF_CCMAX,"&gt;="&amp;CB16),IF(AU16&gt;ITP_TRAMO_BAJO,SUMIFS(CF_CUOTA,CF_MAS,ITP_TRAMO_BAJO,CF_CCMIN,"&lt;="&amp;CB16,CF_CCMAX,"&gt;="&amp;CB16),O16*ITP_TIPO)),O16*ITP_TIPO))</f>
        <v/>
      </c>
      <c r="CD16" s="4">
        <f>IF(R16="profesional",N(AK16),0)</f>
        <v/>
      </c>
      <c r="CE16" s="3">
        <f>IF(AND(R16="profesional",ISNUMBER(AK16),AL16="sí"),0,TASA_DGT)</f>
        <v/>
      </c>
      <c r="CF16" s="3">
        <f>INFORME_DGT</f>
        <v/>
      </c>
      <c r="CG16" s="4">
        <f>O16+CD16+CC16+CE16+CF16</f>
        <v/>
      </c>
      <c r="CH16" s="4">
        <f>CG16+N(BU16)</f>
        <v/>
      </c>
      <c r="CI16" s="3">
        <f>IF(CG16&lt;=TOTAL_MAX,"sí",IF(CG16&lt;=TOTAL_MAX+MARGEN_NEG,"negociar","no"))</f>
        <v/>
      </c>
      <c r="CJ16" s="4">
        <f>IF(CI16&lt;&gt;"no",COUNTIFS($CI$2:$CI$662,"&lt;&gt;no",$CA$2:$CA$662,"&gt;"&amp;CA16)+COUNTIFS($CI$2:CI16,"&lt;&gt;no",$CA$2:CA16,CA16),"")</f>
        <v/>
      </c>
    </row>
    <row r="17">
      <c r="A17" s="2" t="inlineStr">
        <is>
          <t>autoscout24:9a094bfd-f634-4d5d-9612-b134882a2a0b</t>
        </is>
      </c>
      <c r="B17" s="2" t="inlineStr">
        <is>
          <t>autoscout24</t>
        </is>
      </c>
      <c r="C17" s="2" t="inlineStr">
        <is>
          <t>https://www.autoscout24.es/anuncios/opel-corsa-1-3cdti-c-mon-ecoflex-diesel-cat_ma54mo1918-9a094bfd-f634-4d5d-9612-b134882a2a0b</t>
        </is>
      </c>
      <c r="D17" s="2" t="inlineStr">
        <is>
          <t>Opel Corsa 1.3CDTi C Mon ecoFlex</t>
        </is>
      </c>
      <c r="E17" s="2" t="inlineStr">
        <is>
          <t>Opel</t>
        </is>
      </c>
      <c r="F17" s="2" t="inlineStr">
        <is>
          <t>Opel Corsa</t>
        </is>
      </c>
      <c r="G17" s="2" t="inlineStr">
        <is>
          <t>1.2 CDTi</t>
        </is>
      </c>
      <c r="H17" s="2" t="inlineStr">
        <is>
          <t>1.3CDTi C Mon ecoFlex 1.3 CDTI</t>
        </is>
      </c>
      <c r="I17" s="2" t="n">
        <v>1248</v>
      </c>
      <c r="J17" s="2" t="n">
        <v>75</v>
      </c>
      <c r="K17" s="2" t="inlineStr">
        <is>
          <t>diesel</t>
        </is>
      </c>
      <c r="L17" s="2" t="inlineStr">
        <is>
          <t>utilitario</t>
        </is>
      </c>
      <c r="M17" s="2" t="n">
        <v>2009</v>
      </c>
      <c r="N17" s="2" t="n">
        <v>172000</v>
      </c>
      <c r="O17" s="2" t="n">
        <v>3990</v>
      </c>
      <c r="P17" s="2" t="inlineStr">
        <is>
          <t>manual</t>
        </is>
      </c>
      <c r="Q17" s="2" t="inlineStr">
        <is>
          <t>no</t>
        </is>
      </c>
      <c r="R17" s="2" t="inlineStr">
        <is>
          <t>profesional</t>
        </is>
      </c>
      <c r="S17" s="2" t="inlineStr">
        <is>
          <t>ORLANDO CARS — PATERNA (46980)</t>
        </is>
      </c>
      <c r="T17" s="2" t="n"/>
      <c r="U17" s="2" t="n">
        <v>37</v>
      </c>
      <c r="V17" s="2" t="inlineStr">
        <is>
          <t>sí</t>
        </is>
      </c>
      <c r="W17" s="2" t="n"/>
      <c r="X17" s="2" t="n"/>
      <c r="Y17" s="2" t="n"/>
      <c r="Z17" s="2" t="inlineStr">
        <is>
          <t>sí</t>
        </is>
      </c>
      <c r="AA17" s="2" t="n"/>
      <c r="AB17" s="2" t="n">
        <v>12</v>
      </c>
      <c r="AC17" s="2" t="n"/>
      <c r="AD17" s="2" t="n"/>
      <c r="AE17" s="2" t="n"/>
      <c r="AF17" s="2" t="n"/>
      <c r="AG17" s="2" t="n"/>
      <c r="AH17" s="2" t="n">
        <v>3990</v>
      </c>
      <c r="AI17" s="2" t="n">
        <v>3990</v>
      </c>
      <c r="AJ17" s="2" t="n"/>
      <c r="AK17" s="2" t="n"/>
      <c r="AL17" s="2" t="n"/>
      <c r="AM17" s="2" t="n">
        <v>9.4</v>
      </c>
      <c r="AN17" s="2" t="n">
        <v>3150</v>
      </c>
      <c r="AO17" s="2" t="n">
        <v>8</v>
      </c>
      <c r="AP17" s="2" t="inlineStr">
        <is>
          <t>modelo+año+km</t>
        </is>
      </c>
      <c r="AQ17" s="2" t="n"/>
      <c r="AR17" s="2" t="inlineStr">
        <is>
          <t>vendedor profesional: sin ITP (operación con IVA/REBU, confirmar en factura); gastos de gestión del vendedor no indicados: se suma la tasa DGT; preguntar el precio final; diésel: motor sin fuente de fiabilidad (fiabilidad limitada a neutra)</t>
        </is>
      </c>
      <c r="AS17" s="2" t="inlineStr">
        <is>
          <t>&lt;strong&gt;Precio al contado: 3990 euros&lt;/strong&gt; &lt;br /&gt;&lt;br /&gt;&lt;strong&gt;Condiciones de la financiación&lt;/strong&gt; &lt;br /&gt;&lt;br /&gt;Precio al contado: 3.990€&lt;br /&gt;Precio financiado: 3.990€&lt;br /&gt;&lt;br /&gt; &lt;br /&gt;&lt;br /&gt;&lt;strong&gt;OPEL CORSA ECOFLEX 1.3 75CV&lt;/strong&gt;&lt;br /&gt;&lt;strong&gt; &lt;/strong&gt;&lt;br /&gt;&lt;strong&gt;Nacional – Año 2009&lt;/strong&gt;&lt;br /&gt;&lt;strong&gt;Diesel – Con  172.000Km&lt;/strong&gt;&lt;br /&gt;&lt;strong&gt; &lt;/strong&gt;&lt;br /&gt;Equipado con: -3 Puertas. -2 Llaves. -Bajo consumo. -Radio. -CD. -USB. -AUX. . -Aire acondicionado. -Cierre centralizado. -Airbag. -Elevalunas eléctricos. -Retrovisores eléctricos. -Rueda de repuesto.&lt;br /&gt; &lt;br /&gt;Precio al contado: 3.990€&lt;br /&gt;Precio financiado: 3.990€&lt;br /&gt; &lt;br /&gt; &lt;br /&gt;Aceptamos vehículo como parte de pago. Financiación a medida. Se entrega totalmente revisado, con ITV al día, y 12 meses de garantía. Para más información, estaremos encantados de atenderle en nuestras instalaciones en c/ Ciutat de Llíria, Nº 61 en polígono industrial fuente del jarro, paterna. (cerca de Mislata, Burjasot, Llíria, Bétera, Manises).&lt;br /&gt; &lt;br /&gt;Este anuncio es de carácter informativo. Las especificaciones sobre equipamiento, modelo y precio no tienen carácter vinculante, ni puede constituir base de un futuro contrato ya que pueden contener algún error. Consulte con nuestros comerciales la información detallada de este vehículo.&lt;br /&gt;</t>
        </is>
      </c>
      <c r="AT17" s="2" t="inlineStr">
        <is>
          <t>https://www.autoscout24.es/anuncios/opel-corsa-1-3cdti-c-mon-ecoflex-diesel-cat_ma54mo1918-9a094bfd-f634-4d5d-9612-b134882a2a0b (__NEXT_DATA__ listingDetails) /home/user/Alopecia/buscador-coches/raw/autoscout24/1927e479532d8469.json</t>
        </is>
      </c>
      <c r="AU17" s="3">
        <f>MAX(ANIO_ACTUAL-M17,0)</f>
        <v/>
      </c>
      <c r="AV17" s="4">
        <f>N17/MAX(AU17,0.5)</f>
        <v/>
      </c>
      <c r="AW17" s="4">
        <f>F17</f>
        <v/>
      </c>
      <c r="AX17" s="3">
        <f>AW17&amp;"|"&amp;INT(M17/SEG_ANIO)*SEG_ANIO</f>
        <v/>
      </c>
      <c r="AY17" s="3">
        <f>AX17&amp;"|"&amp;INT(N17/SEG_KM)*SEG_KM</f>
        <v/>
      </c>
      <c r="AZ17" s="4">
        <f>COUNTIF($AW$2:$AW$662,AW17)</f>
        <v/>
      </c>
      <c r="BA17" s="4">
        <f>COUNTIF($AX$2:$AX$662,AX17)</f>
        <v/>
      </c>
      <c r="BB17" s="4">
        <f>COUNTIF($AY$2:$AY$662,AY17)</f>
        <v/>
      </c>
      <c r="BC17" s="3">
        <f t="array" ref="BC17">IF(N(AO17)&gt;=MIN_N,AN17,IF(BB17&gt;=MIN_N,MEDIAN(IF($AY$2:$AY$662=AY17,$O$2:$O$662)),IF(BA17&gt;=MIN_N,MEDIAN(IF($AX$2:$AX$662=AX17,$O$2:$O$662)),MEDIAN(IF($AW$2:$AW$662=AW17,$O$2:$O$662)))))</f>
        <v/>
      </c>
      <c r="BD17" s="3">
        <f>IF(N(AO17)&gt;=MIN_N,"mercado "&amp;AP17,IF(BB17&gt;=MIN_N,"modelo+año+km",IF(BA17&gt;=MIN_N,"modelo+año","modelo")))</f>
        <v/>
      </c>
      <c r="BE17" s="4">
        <f>(BC17-O17)/BC17</f>
        <v/>
      </c>
      <c r="BF17" s="3">
        <f>IF(OR(K17="hibrido",K17="glp"),"ECO",IF(K17="electrico","CERO",IF(K17="gasolina",IF(M17&gt;=GAS_C,"C",IF(M17&gt;=GAS_B,"B","A")),IF(K17="diesel",IF(M17&gt;=DIE_C,"C",IF(M17&gt;=DIE_B,"B","A")),""))))</f>
        <v/>
      </c>
      <c r="BG17" s="3">
        <f>IFERROR(VLOOKUP(F17,MOD_TBL,11,0),IFERROR(VLOOKUP(E17,OCU_TBL,2,0),NEUTRO))</f>
        <v/>
      </c>
      <c r="BH17" s="3">
        <f>SUMIFS(MOT_AJUSTE,MOT_MOTOR,G17,MOT_MARCA,E17,MOT_DESDE,"&lt;="&amp;M17,MOT_HASTA,"&gt;="&amp;M17)+SUMIFS(MOT_AJUSTE,MOT_MOTOR,G17,MOT_MARCA,"(todas)",MOT_DESDE,"&lt;="&amp;M17,MOT_HASTA,"&gt;="&amp;M17)</f>
        <v/>
      </c>
      <c r="BI17" s="3">
        <f>SUMIFS(COMB_AJUSTE,COMB_COMB,K17)</f>
        <v/>
      </c>
      <c r="BJ17" s="3">
        <f>COUNTIFS(MOT_MOTOR,G17,MOT_MARCA,E17,MOT_DESDE,"&lt;="&amp;M17,MOT_HASTA,"&gt;="&amp;M17)+COUNTIFS(MOT_MOTOR,G17,MOT_MARCA,"(todas)",MOT_DESDE,"&lt;="&amp;M17,MOT_HASTA,"&gt;="&amp;M17)</f>
        <v/>
      </c>
      <c r="BK17" s="3">
        <f>IF(AND(K17="diesel",BJ17=0),MIN(BG17,NEUTRO),BG17)</f>
        <v/>
      </c>
      <c r="BL17" s="4">
        <f>MAX(0,MIN(100,BK17+BH17+BI17))</f>
        <v/>
      </c>
      <c r="BM17" s="3">
        <f>MAX(0,MIN(100,50+BE17*PRECIO_PEND))</f>
        <v/>
      </c>
      <c r="BN17" s="3">
        <f>MAX(0,100*(1-N17/KM_MAX))</f>
        <v/>
      </c>
      <c r="BO17" s="3">
        <f>IF(AV17&lt;KMA_SOSP,IF(AA17="sí",100,KMA_PEN),IF(AV17&lt;=KMA_IDEAL_MAX,100,MAX(0,100*(KMA_CERO-AV17)/(KMA_CERO-KMA_IDEAL_MAX))))</f>
        <v/>
      </c>
      <c r="BP17" s="3">
        <f>MAX(0,MIN(100,100*(M17-ANIO_MIN)/(ANIO_ACTUAL-ANIO_MIN)))</f>
        <v/>
      </c>
      <c r="BQ17" s="3">
        <f>W_KMT*BN17+W_KMA*BO17+W_EDAD*BP17</f>
        <v/>
      </c>
      <c r="BR17" s="3">
        <f>P_ITV*(V17="sí")+P_LIBRO*(W17="sí")+P_CORREA*(X17="sí")+P_PROP*(Y17=1)+P_GAR*(Z17="sí")+P_FOTOS*MIN(1,N(U17)/FOTOS_OBJ)</f>
        <v/>
      </c>
      <c r="BS17" s="3">
        <f>IFERROR(VLOOKUP(BF17,ETQ_TBL,2,0),NEUTRO)</f>
        <v/>
      </c>
      <c r="BT17" s="3">
        <f>NEUTRO</f>
        <v/>
      </c>
      <c r="BU17" s="3">
        <f>IFERROR(VLOOKUP(L17,SEGURO_TBL,3,0),"")</f>
        <v/>
      </c>
      <c r="BV17" s="3">
        <f>IF(BU17="",NEUTRO,MAX(0,MIN(100,100*(SEG_REF_MAX-BU17)/(SEG_REF_MAX-SEG_REF_MIN))))</f>
        <v/>
      </c>
      <c r="BW17" s="3">
        <f>W_ET*BS17+W_CONS*BT17+W_SEG*BV17</f>
        <v/>
      </c>
      <c r="BX17" s="3">
        <f>IF(N(AB17)&gt;0,AB17,IF(AND(R17="profesional",SG_LEGAL_ON=1),GAR_LEGAL,0))</f>
        <v/>
      </c>
      <c r="BY17" s="3">
        <f>SG_GAR*MIN(1,BX17/SG_GAR_FULL)+SG_AMPL*(AC17="sí")+SG_KMC*(AF17="sí")+SG_REV*(N(AE17)&gt;0)+SG_DEV*MIN(1,N(AG17)/SG_DEV_FULL)+SG_HIST*(W17="sí")</f>
        <v/>
      </c>
      <c r="BZ17" s="3">
        <f>IFERROR(VLOOKUP(L17,CARR_PEN_TBL,2,0),0)</f>
        <v/>
      </c>
      <c r="CA17" s="3">
        <f>W_FIAB*BL17+W_PRECIO*BM17+W_KMEDAD*BQ17+W_ANUNCIO*BR17+W_USO*BW17+W_SEGURIDAD*BY17-BZ17</f>
        <v/>
      </c>
      <c r="CB17" s="4">
        <f>IF(N(I17)&gt;0,I17,IFERROR(ROUND(_xlfn.NUMBERVALUE(LEFT(G17,FIND(" ",G17&amp;" ")-1),".")*1000,0),99999))</f>
        <v/>
      </c>
      <c r="CC17" s="3">
        <f>IF(R17="profesional",0,IF(O17&lt;CUOTA_VALOR_MAX,IF(AU17&gt;ITP_TRAMO_ALTO,SUMIFS(CF_CUOTA,CF_MAS,ITP_TRAMO_ALTO,CF_CCMIN,"&lt;="&amp;CB17,CF_CCMAX,"&gt;="&amp;CB17),IF(AU17&gt;ITP_TRAMO_BAJO,SUMIFS(CF_CUOTA,CF_MAS,ITP_TRAMO_BAJO,CF_CCMIN,"&lt;="&amp;CB17,CF_CCMAX,"&gt;="&amp;CB17),O17*ITP_TIPO)),O17*ITP_TIPO))</f>
        <v/>
      </c>
      <c r="CD17" s="4">
        <f>IF(R17="profesional",N(AK17),0)</f>
        <v/>
      </c>
      <c r="CE17" s="3">
        <f>IF(AND(R17="profesional",ISNUMBER(AK17),AL17="sí"),0,TASA_DGT)</f>
        <v/>
      </c>
      <c r="CF17" s="3">
        <f>INFORME_DGT</f>
        <v/>
      </c>
      <c r="CG17" s="4">
        <f>O17+CD17+CC17+CE17+CF17</f>
        <v/>
      </c>
      <c r="CH17" s="4">
        <f>CG17+N(BU17)</f>
        <v/>
      </c>
      <c r="CI17" s="3">
        <f>IF(CG17&lt;=TOTAL_MAX,"sí",IF(CG17&lt;=TOTAL_MAX+MARGEN_NEG,"negociar","no"))</f>
        <v/>
      </c>
      <c r="CJ17" s="4">
        <f>IF(CI17&lt;&gt;"no",COUNTIFS($CI$2:$CI$662,"&lt;&gt;no",$CA$2:$CA$662,"&gt;"&amp;CA17)+COUNTIFS($CI$2:CI17,"&lt;&gt;no",$CA$2:CA17,CA17),"")</f>
        <v/>
      </c>
    </row>
    <row r="18">
      <c r="A18" s="2" t="inlineStr">
        <is>
          <t>autoscout24:a9f25c00-f19e-4e5c-80ed-f8556168c772</t>
        </is>
      </c>
      <c r="B18" s="2" t="inlineStr">
        <is>
          <t>autoscout24</t>
        </is>
      </c>
      <c r="C18" s="2" t="inlineStr">
        <is>
          <t>https://www.autoscout24.es/anuncios/peugeot-207-207-1-4i-confort-75-confort-gasolina-negro-cat_ma55mo18797-a9f25c00-f19e-4e5c-80ed-f8556168c772</t>
        </is>
      </c>
      <c r="D18" s="2" t="inlineStr">
        <is>
          <t>Peugeot 207 207 1.4i Confort 75 Confort</t>
        </is>
      </c>
      <c r="E18" s="2" t="inlineStr">
        <is>
          <t>Peugeot</t>
        </is>
      </c>
      <c r="F18" s="2" t="inlineStr">
        <is>
          <t>Peugeot 207</t>
        </is>
      </c>
      <c r="G18" s="2" t="inlineStr">
        <is>
          <t>1.4</t>
        </is>
      </c>
      <c r="H18" s="2" t="inlineStr">
        <is>
          <t>207 1.4i Confort 75 Confort 75</t>
        </is>
      </c>
      <c r="I18" s="2" t="n">
        <v>1360</v>
      </c>
      <c r="J18" s="2" t="n">
        <v>75</v>
      </c>
      <c r="K18" s="2" t="inlineStr">
        <is>
          <t>gasolina</t>
        </is>
      </c>
      <c r="L18" s="2" t="inlineStr">
        <is>
          <t>utilitario</t>
        </is>
      </c>
      <c r="M18" s="2" t="n">
        <v>2008</v>
      </c>
      <c r="N18" s="2" t="n">
        <v>218000</v>
      </c>
      <c r="O18" s="2" t="n">
        <v>2600</v>
      </c>
      <c r="P18" s="2" t="inlineStr">
        <is>
          <t>manual</t>
        </is>
      </c>
      <c r="Q18" s="2" t="inlineStr">
        <is>
          <t>no</t>
        </is>
      </c>
      <c r="R18" s="2" t="inlineStr">
        <is>
          <t>particular</t>
        </is>
      </c>
      <c r="S18" s="2" t="inlineStr">
        <is>
          <t>València (46022)</t>
        </is>
      </c>
      <c r="T18" s="2" t="n"/>
      <c r="U18" s="2" t="n">
        <v>14</v>
      </c>
      <c r="V18" s="2" t="n"/>
      <c r="W18" s="2" t="n"/>
      <c r="X18" s="2" t="n"/>
      <c r="Y18" s="2" t="n"/>
      <c r="Z18" s="2" t="n"/>
      <c r="AA18" s="2" t="n"/>
      <c r="AB18" s="2" t="n"/>
      <c r="AC18" s="2" t="n"/>
      <c r="AD18" s="2" t="n"/>
      <c r="AE18" s="2" t="n"/>
      <c r="AF18" s="2" t="n"/>
      <c r="AG18" s="2" t="n"/>
      <c r="AH18" s="2" t="n"/>
      <c r="AI18" s="2" t="n"/>
      <c r="AJ18" s="2" t="n"/>
      <c r="AK18" s="2" t="n"/>
      <c r="AL18" s="2" t="n"/>
      <c r="AM18" s="2" t="n">
        <v>3.1</v>
      </c>
      <c r="AN18" s="2" t="n">
        <v>2950</v>
      </c>
      <c r="AO18" s="2" t="n">
        <v>13</v>
      </c>
      <c r="AP18" s="2" t="inlineStr">
        <is>
          <t>modelo+año+km</t>
        </is>
      </c>
      <c r="AQ18" s="2" t="n"/>
      <c r="AR18" s="2" t="inlineStr">
        <is>
          <t>cuota fija ITP: &gt;12 años, hasta 1.500 cc; fiabilidad del modelo PENDIENTE de fuente (puntuación neutra)</t>
        </is>
      </c>
      <c r="AS18" s="2" t="inlineStr"/>
      <c r="AT18" s="2" t="inlineStr">
        <is>
          <t>https://www.autoscout24.es/anuncios/peugeot-207-207-1-4i-confort-75-confort-gasolina-negro-cat_ma55mo18797-a9f25c00-f19e-4e5c-80ed-f8556168c772 (__NEXT_DATA__ listingDetails) /home/user/Alopecia/buscador-coches/raw/autoscout24/db9e1974065f04e5.json</t>
        </is>
      </c>
      <c r="AU18" s="3">
        <f>MAX(ANIO_ACTUAL-M18,0)</f>
        <v/>
      </c>
      <c r="AV18" s="4">
        <f>N18/MAX(AU18,0.5)</f>
        <v/>
      </c>
      <c r="AW18" s="4">
        <f>F18</f>
        <v/>
      </c>
      <c r="AX18" s="3">
        <f>AW18&amp;"|"&amp;INT(M18/SEG_ANIO)*SEG_ANIO</f>
        <v/>
      </c>
      <c r="AY18" s="3">
        <f>AX18&amp;"|"&amp;INT(N18/SEG_KM)*SEG_KM</f>
        <v/>
      </c>
      <c r="AZ18" s="4">
        <f>COUNTIF($AW$2:$AW$662,AW18)</f>
        <v/>
      </c>
      <c r="BA18" s="4">
        <f>COUNTIF($AX$2:$AX$662,AX18)</f>
        <v/>
      </c>
      <c r="BB18" s="4">
        <f>COUNTIF($AY$2:$AY$662,AY18)</f>
        <v/>
      </c>
      <c r="BC18" s="3">
        <f t="array" ref="BC18">IF(N(AO18)&gt;=MIN_N,AN18,IF(BB18&gt;=MIN_N,MEDIAN(IF($AY$2:$AY$662=AY18,$O$2:$O$662)),IF(BA18&gt;=MIN_N,MEDIAN(IF($AX$2:$AX$662=AX18,$O$2:$O$662)),MEDIAN(IF($AW$2:$AW$662=AW18,$O$2:$O$662)))))</f>
        <v/>
      </c>
      <c r="BD18" s="3">
        <f>IF(N(AO18)&gt;=MIN_N,"mercado "&amp;AP18,IF(BB18&gt;=MIN_N,"modelo+año+km",IF(BA18&gt;=MIN_N,"modelo+año","modelo")))</f>
        <v/>
      </c>
      <c r="BE18" s="4">
        <f>(BC18-O18)/BC18</f>
        <v/>
      </c>
      <c r="BF18" s="3">
        <f>IF(OR(K18="hibrido",K18="glp"),"ECO",IF(K18="electrico","CERO",IF(K18="gasolina",IF(M18&gt;=GAS_C,"C",IF(M18&gt;=GAS_B,"B","A")),IF(K18="diesel",IF(M18&gt;=DIE_C,"C",IF(M18&gt;=DIE_B,"B","A")),""))))</f>
        <v/>
      </c>
      <c r="BG18" s="3">
        <f>IFERROR(VLOOKUP(F18,MOD_TBL,11,0),IFERROR(VLOOKUP(E18,OCU_TBL,2,0),NEUTRO))</f>
        <v/>
      </c>
      <c r="BH18" s="3">
        <f>SUMIFS(MOT_AJUSTE,MOT_MOTOR,G18,MOT_MARCA,E18,MOT_DESDE,"&lt;="&amp;M18,MOT_HASTA,"&gt;="&amp;M18)+SUMIFS(MOT_AJUSTE,MOT_MOTOR,G18,MOT_MARCA,"(todas)",MOT_DESDE,"&lt;="&amp;M18,MOT_HASTA,"&gt;="&amp;M18)</f>
        <v/>
      </c>
      <c r="BI18" s="3">
        <f>SUMIFS(COMB_AJUSTE,COMB_COMB,K18)</f>
        <v/>
      </c>
      <c r="BJ18" s="3">
        <f>COUNTIFS(MOT_MOTOR,G18,MOT_MARCA,E18,MOT_DESDE,"&lt;="&amp;M18,MOT_HASTA,"&gt;="&amp;M18)+COUNTIFS(MOT_MOTOR,G18,MOT_MARCA,"(todas)",MOT_DESDE,"&lt;="&amp;M18,MOT_HASTA,"&gt;="&amp;M18)</f>
        <v/>
      </c>
      <c r="BK18" s="3">
        <f>IF(AND(K18="diesel",BJ18=0),MIN(BG18,NEUTRO),BG18)</f>
        <v/>
      </c>
      <c r="BL18" s="4">
        <f>MAX(0,MIN(100,BK18+BH18+BI18))</f>
        <v/>
      </c>
      <c r="BM18" s="3">
        <f>MAX(0,MIN(100,50+BE18*PRECIO_PEND))</f>
        <v/>
      </c>
      <c r="BN18" s="3">
        <f>MAX(0,100*(1-N18/KM_MAX))</f>
        <v/>
      </c>
      <c r="BO18" s="3">
        <f>IF(AV18&lt;KMA_SOSP,IF(AA18="sí",100,KMA_PEN),IF(AV18&lt;=KMA_IDEAL_MAX,100,MAX(0,100*(KMA_CERO-AV18)/(KMA_CERO-KMA_IDEAL_MAX))))</f>
        <v/>
      </c>
      <c r="BP18" s="3">
        <f>MAX(0,MIN(100,100*(M18-ANIO_MIN)/(ANIO_ACTUAL-ANIO_MIN)))</f>
        <v/>
      </c>
      <c r="BQ18" s="3">
        <f>W_KMT*BN18+W_KMA*BO18+W_EDAD*BP18</f>
        <v/>
      </c>
      <c r="BR18" s="3">
        <f>P_ITV*(V18="sí")+P_LIBRO*(W18="sí")+P_CORREA*(X18="sí")+P_PROP*(Y18=1)+P_GAR*(Z18="sí")+P_FOTOS*MIN(1,N(U18)/FOTOS_OBJ)</f>
        <v/>
      </c>
      <c r="BS18" s="3">
        <f>IFERROR(VLOOKUP(BF18,ETQ_TBL,2,0),NEUTRO)</f>
        <v/>
      </c>
      <c r="BT18" s="3">
        <f>NEUTRO</f>
        <v/>
      </c>
      <c r="BU18" s="3">
        <f>IFERROR(VLOOKUP(L18,SEGURO_TBL,3,0),"")</f>
        <v/>
      </c>
      <c r="BV18" s="3">
        <f>IF(BU18="",NEUTRO,MAX(0,MIN(100,100*(SEG_REF_MAX-BU18)/(SEG_REF_MAX-SEG_REF_MIN))))</f>
        <v/>
      </c>
      <c r="BW18" s="3">
        <f>W_ET*BS18+W_CONS*BT18+W_SEG*BV18</f>
        <v/>
      </c>
      <c r="BX18" s="3">
        <f>IF(N(AB18)&gt;0,AB18,IF(AND(R18="profesional",SG_LEGAL_ON=1),GAR_LEGAL,0))</f>
        <v/>
      </c>
      <c r="BY18" s="3">
        <f>SG_GAR*MIN(1,BX18/SG_GAR_FULL)+SG_AMPL*(AC18="sí")+SG_KMC*(AF18="sí")+SG_REV*(N(AE18)&gt;0)+SG_DEV*MIN(1,N(AG18)/SG_DEV_FULL)+SG_HIST*(W18="sí")</f>
        <v/>
      </c>
      <c r="BZ18" s="3">
        <f>IFERROR(VLOOKUP(L18,CARR_PEN_TBL,2,0),0)</f>
        <v/>
      </c>
      <c r="CA18" s="3">
        <f>W_FIAB*BL18+W_PRECIO*BM18+W_KMEDAD*BQ18+W_ANUNCIO*BR18+W_USO*BW18+W_SEGURIDAD*BY18-BZ18</f>
        <v/>
      </c>
      <c r="CB18" s="4">
        <f>IF(N(I18)&gt;0,I18,IFERROR(ROUND(_xlfn.NUMBERVALUE(LEFT(G18,FIND(" ",G18&amp;" ")-1),".")*1000,0),99999))</f>
        <v/>
      </c>
      <c r="CC18" s="3">
        <f>IF(R18="profesional",0,IF(O18&lt;CUOTA_VALOR_MAX,IF(AU18&gt;ITP_TRAMO_ALTO,SUMIFS(CF_CUOTA,CF_MAS,ITP_TRAMO_ALTO,CF_CCMIN,"&lt;="&amp;CB18,CF_CCMAX,"&gt;="&amp;CB18),IF(AU18&gt;ITP_TRAMO_BAJO,SUMIFS(CF_CUOTA,CF_MAS,ITP_TRAMO_BAJO,CF_CCMIN,"&lt;="&amp;CB18,CF_CCMAX,"&gt;="&amp;CB18),O18*ITP_TIPO)),O18*ITP_TIPO))</f>
        <v/>
      </c>
      <c r="CD18" s="4">
        <f>IF(R18="profesional",N(AK18),0)</f>
        <v/>
      </c>
      <c r="CE18" s="3">
        <f>IF(AND(R18="profesional",ISNUMBER(AK18),AL18="sí"),0,TASA_DGT)</f>
        <v/>
      </c>
      <c r="CF18" s="3">
        <f>INFORME_DGT</f>
        <v/>
      </c>
      <c r="CG18" s="4">
        <f>O18+CD18+CC18+CE18+CF18</f>
        <v/>
      </c>
      <c r="CH18" s="4">
        <f>CG18+N(BU18)</f>
        <v/>
      </c>
      <c r="CI18" s="3">
        <f>IF(CG18&lt;=TOTAL_MAX,"sí",IF(CG18&lt;=TOTAL_MAX+MARGEN_NEG,"negociar","no"))</f>
        <v/>
      </c>
      <c r="CJ18" s="4">
        <f>IF(CI18&lt;&gt;"no",COUNTIFS($CI$2:$CI$662,"&lt;&gt;no",$CA$2:$CA$662,"&gt;"&amp;CA18)+COUNTIFS($CI$2:CI18,"&lt;&gt;no",$CA$2:CA18,CA18),"")</f>
        <v/>
      </c>
    </row>
    <row r="19">
      <c r="A19" s="2" t="inlineStr">
        <is>
          <t>autoscout24:afaa55f1-33ea-42de-8895-468488489a30</t>
        </is>
      </c>
      <c r="B19" s="2" t="inlineStr">
        <is>
          <t>autoscout24</t>
        </is>
      </c>
      <c r="C19" s="2" t="inlineStr">
        <is>
          <t>https://www.autoscout24.es/anuncios/peugeot-308-1-6hdi-fap-premium-diesel-cat_ma55mo19055-afaa55f1-33ea-42de-8895-468488489a30</t>
        </is>
      </c>
      <c r="D19" s="2" t="inlineStr">
        <is>
          <t>Peugeot 308 1.6HDI FAP Premium</t>
        </is>
      </c>
      <c r="E19" s="2" t="inlineStr">
        <is>
          <t>Peugeot</t>
        </is>
      </c>
      <c r="F19" s="2" t="inlineStr">
        <is>
          <t>Peugeot 308</t>
        </is>
      </c>
      <c r="G19" s="2" t="inlineStr">
        <is>
          <t>1.6 HDi</t>
        </is>
      </c>
      <c r="H19" s="2" t="inlineStr">
        <is>
          <t>1.6HDI FAP Premium 110 HDI</t>
        </is>
      </c>
      <c r="I19" s="2" t="n">
        <v>1560</v>
      </c>
      <c r="J19" s="2" t="n">
        <v>109</v>
      </c>
      <c r="K19" s="2" t="inlineStr">
        <is>
          <t>diesel</t>
        </is>
      </c>
      <c r="L19" s="2" t="inlineStr">
        <is>
          <t>compacto</t>
        </is>
      </c>
      <c r="M19" s="2" t="n">
        <v>2008</v>
      </c>
      <c r="N19" s="2" t="n">
        <v>128000</v>
      </c>
      <c r="O19" s="2" t="n">
        <v>4500</v>
      </c>
      <c r="P19" s="2" t="inlineStr">
        <is>
          <t>manual</t>
        </is>
      </c>
      <c r="Q19" s="2" t="inlineStr">
        <is>
          <t>no</t>
        </is>
      </c>
      <c r="R19" s="2" t="inlineStr">
        <is>
          <t>particular</t>
        </is>
      </c>
      <c r="S19" s="2" t="inlineStr">
        <is>
          <t>València (46026)</t>
        </is>
      </c>
      <c r="T19" s="2" t="n"/>
      <c r="U19" s="2" t="n">
        <v>8</v>
      </c>
      <c r="V19" s="2" t="inlineStr">
        <is>
          <t>sí</t>
        </is>
      </c>
      <c r="W19" s="2" t="n"/>
      <c r="X19" s="2" t="n"/>
      <c r="Y19" s="2" t="n"/>
      <c r="Z19" s="2" t="n"/>
      <c r="AA19" s="2" t="n"/>
      <c r="AB19" s="2" t="n"/>
      <c r="AC19" s="2" t="n"/>
      <c r="AD19" s="2" t="n"/>
      <c r="AE19" s="2" t="n"/>
      <c r="AF19" s="2" t="n"/>
      <c r="AG19" s="2" t="n"/>
      <c r="AH19" s="2" t="n"/>
      <c r="AI19" s="2" t="n"/>
      <c r="AJ19" s="2" t="n"/>
      <c r="AK19" s="2" t="n"/>
      <c r="AL19" s="2" t="n"/>
      <c r="AM19" s="2" t="n">
        <v>4.3</v>
      </c>
      <c r="AN19" s="2" t="n">
        <v>4300</v>
      </c>
      <c r="AO19" s="2" t="n">
        <v>9</v>
      </c>
      <c r="AP19" s="2" t="inlineStr">
        <is>
          <t>modelo+año+km</t>
        </is>
      </c>
      <c r="AQ19" s="2" t="n"/>
      <c r="AR19" s="2" t="inlineStr">
        <is>
          <t>cuota fija ITP: &gt;12 años, 1.501-2.000 cc</t>
        </is>
      </c>
      <c r="AS19" s="2" t="inlineStr">
        <is>
          <t>Espectacular Peugeot 308 1.6 HDMI 110cv premium muy cuidado siempre en garaje ITV recién pasada listo para circular y disfrutar de la conducción</t>
        </is>
      </c>
      <c r="AT19" s="2" t="inlineStr">
        <is>
          <t>https://www.autoscout24.es/anuncios/peugeot-308-1-6hdi-fap-premium-diesel-cat_ma55mo19055-afaa55f1-33ea-42de-8895-468488489a30 (__NEXT_DATA__ listingDetails) /home/user/Alopecia/buscador-coches/raw/autoscout24/10309be3e444f031.json</t>
        </is>
      </c>
      <c r="AU19" s="3">
        <f>MAX(ANIO_ACTUAL-M19,0)</f>
        <v/>
      </c>
      <c r="AV19" s="4">
        <f>N19/MAX(AU19,0.5)</f>
        <v/>
      </c>
      <c r="AW19" s="4">
        <f>F19</f>
        <v/>
      </c>
      <c r="AX19" s="3">
        <f>AW19&amp;"|"&amp;INT(M19/SEG_ANIO)*SEG_ANIO</f>
        <v/>
      </c>
      <c r="AY19" s="3">
        <f>AX19&amp;"|"&amp;INT(N19/SEG_KM)*SEG_KM</f>
        <v/>
      </c>
      <c r="AZ19" s="4">
        <f>COUNTIF($AW$2:$AW$662,AW19)</f>
        <v/>
      </c>
      <c r="BA19" s="4">
        <f>COUNTIF($AX$2:$AX$662,AX19)</f>
        <v/>
      </c>
      <c r="BB19" s="4">
        <f>COUNTIF($AY$2:$AY$662,AY19)</f>
        <v/>
      </c>
      <c r="BC19" s="3">
        <f t="array" ref="BC19">IF(N(AO19)&gt;=MIN_N,AN19,IF(BB19&gt;=MIN_N,MEDIAN(IF($AY$2:$AY$662=AY19,$O$2:$O$662)),IF(BA19&gt;=MIN_N,MEDIAN(IF($AX$2:$AX$662=AX19,$O$2:$O$662)),MEDIAN(IF($AW$2:$AW$662=AW19,$O$2:$O$662)))))</f>
        <v/>
      </c>
      <c r="BD19" s="3">
        <f>IF(N(AO19)&gt;=MIN_N,"mercado "&amp;AP19,IF(BB19&gt;=MIN_N,"modelo+año+km",IF(BA19&gt;=MIN_N,"modelo+año","modelo")))</f>
        <v/>
      </c>
      <c r="BE19" s="4">
        <f>(BC19-O19)/BC19</f>
        <v/>
      </c>
      <c r="BF19" s="3">
        <f>IF(OR(K19="hibrido",K19="glp"),"ECO",IF(K19="electrico","CERO",IF(K19="gasolina",IF(M19&gt;=GAS_C,"C",IF(M19&gt;=GAS_B,"B","A")),IF(K19="diesel",IF(M19&gt;=DIE_C,"C",IF(M19&gt;=DIE_B,"B","A")),""))))</f>
        <v/>
      </c>
      <c r="BG19" s="3">
        <f>IFERROR(VLOOKUP(F19,MOD_TBL,11,0),IFERROR(VLOOKUP(E19,OCU_TBL,2,0),NEUTRO))</f>
        <v/>
      </c>
      <c r="BH19" s="3">
        <f>SUMIFS(MOT_AJUSTE,MOT_MOTOR,G19,MOT_MARCA,E19,MOT_DESDE,"&lt;="&amp;M19,MOT_HASTA,"&gt;="&amp;M19)+SUMIFS(MOT_AJUSTE,MOT_MOTOR,G19,MOT_MARCA,"(todas)",MOT_DESDE,"&lt;="&amp;M19,MOT_HASTA,"&gt;="&amp;M19)</f>
        <v/>
      </c>
      <c r="BI19" s="3">
        <f>SUMIFS(COMB_AJUSTE,COMB_COMB,K19)</f>
        <v/>
      </c>
      <c r="BJ19" s="3">
        <f>COUNTIFS(MOT_MOTOR,G19,MOT_MARCA,E19,MOT_DESDE,"&lt;="&amp;M19,MOT_HASTA,"&gt;="&amp;M19)+COUNTIFS(MOT_MOTOR,G19,MOT_MARCA,"(todas)",MOT_DESDE,"&lt;="&amp;M19,MOT_HASTA,"&gt;="&amp;M19)</f>
        <v/>
      </c>
      <c r="BK19" s="3">
        <f>IF(AND(K19="diesel",BJ19=0),MIN(BG19,NEUTRO),BG19)</f>
        <v/>
      </c>
      <c r="BL19" s="4">
        <f>MAX(0,MIN(100,BK19+BH19+BI19))</f>
        <v/>
      </c>
      <c r="BM19" s="3">
        <f>MAX(0,MIN(100,50+BE19*PRECIO_PEND))</f>
        <v/>
      </c>
      <c r="BN19" s="3">
        <f>MAX(0,100*(1-N19/KM_MAX))</f>
        <v/>
      </c>
      <c r="BO19" s="3">
        <f>IF(AV19&lt;KMA_SOSP,IF(AA19="sí",100,KMA_PEN),IF(AV19&lt;=KMA_IDEAL_MAX,100,MAX(0,100*(KMA_CERO-AV19)/(KMA_CERO-KMA_IDEAL_MAX))))</f>
        <v/>
      </c>
      <c r="BP19" s="3">
        <f>MAX(0,MIN(100,100*(M19-ANIO_MIN)/(ANIO_ACTUAL-ANIO_MIN)))</f>
        <v/>
      </c>
      <c r="BQ19" s="3">
        <f>W_KMT*BN19+W_KMA*BO19+W_EDAD*BP19</f>
        <v/>
      </c>
      <c r="BR19" s="3">
        <f>P_ITV*(V19="sí")+P_LIBRO*(W19="sí")+P_CORREA*(X19="sí")+P_PROP*(Y19=1)+P_GAR*(Z19="sí")+P_FOTOS*MIN(1,N(U19)/FOTOS_OBJ)</f>
        <v/>
      </c>
      <c r="BS19" s="3">
        <f>IFERROR(VLOOKUP(BF19,ETQ_TBL,2,0),NEUTRO)</f>
        <v/>
      </c>
      <c r="BT19" s="3">
        <f>NEUTRO</f>
        <v/>
      </c>
      <c r="BU19" s="3">
        <f>IFERROR(VLOOKUP(L19,SEGURO_TBL,3,0),"")</f>
        <v/>
      </c>
      <c r="BV19" s="3">
        <f>IF(BU19="",NEUTRO,MAX(0,MIN(100,100*(SEG_REF_MAX-BU19)/(SEG_REF_MAX-SEG_REF_MIN))))</f>
        <v/>
      </c>
      <c r="BW19" s="3">
        <f>W_ET*BS19+W_CONS*BT19+W_SEG*BV19</f>
        <v/>
      </c>
      <c r="BX19" s="3">
        <f>IF(N(AB19)&gt;0,AB19,IF(AND(R19="profesional",SG_LEGAL_ON=1),GAR_LEGAL,0))</f>
        <v/>
      </c>
      <c r="BY19" s="3">
        <f>SG_GAR*MIN(1,BX19/SG_GAR_FULL)+SG_AMPL*(AC19="sí")+SG_KMC*(AF19="sí")+SG_REV*(N(AE19)&gt;0)+SG_DEV*MIN(1,N(AG19)/SG_DEV_FULL)+SG_HIST*(W19="sí")</f>
        <v/>
      </c>
      <c r="BZ19" s="3">
        <f>IFERROR(VLOOKUP(L19,CARR_PEN_TBL,2,0),0)</f>
        <v/>
      </c>
      <c r="CA19" s="3">
        <f>W_FIAB*BL19+W_PRECIO*BM19+W_KMEDAD*BQ19+W_ANUNCIO*BR19+W_USO*BW19+W_SEGURIDAD*BY19-BZ19</f>
        <v/>
      </c>
      <c r="CB19" s="4">
        <f>IF(N(I19)&gt;0,I19,IFERROR(ROUND(_xlfn.NUMBERVALUE(LEFT(G19,FIND(" ",G19&amp;" ")-1),".")*1000,0),99999))</f>
        <v/>
      </c>
      <c r="CC19" s="3">
        <f>IF(R19="profesional",0,IF(O19&lt;CUOTA_VALOR_MAX,IF(AU19&gt;ITP_TRAMO_ALTO,SUMIFS(CF_CUOTA,CF_MAS,ITP_TRAMO_ALTO,CF_CCMIN,"&lt;="&amp;CB19,CF_CCMAX,"&gt;="&amp;CB19),IF(AU19&gt;ITP_TRAMO_BAJO,SUMIFS(CF_CUOTA,CF_MAS,ITP_TRAMO_BAJO,CF_CCMIN,"&lt;="&amp;CB19,CF_CCMAX,"&gt;="&amp;CB19),O19*ITP_TIPO)),O19*ITP_TIPO))</f>
        <v/>
      </c>
      <c r="CD19" s="4">
        <f>IF(R19="profesional",N(AK19),0)</f>
        <v/>
      </c>
      <c r="CE19" s="3">
        <f>IF(AND(R19="profesional",ISNUMBER(AK19),AL19="sí"),0,TASA_DGT)</f>
        <v/>
      </c>
      <c r="CF19" s="3">
        <f>INFORME_DGT</f>
        <v/>
      </c>
      <c r="CG19" s="4">
        <f>O19+CD19+CC19+CE19+CF19</f>
        <v/>
      </c>
      <c r="CH19" s="4">
        <f>CG19+N(BU19)</f>
        <v/>
      </c>
      <c r="CI19" s="3">
        <f>IF(CG19&lt;=TOTAL_MAX,"sí",IF(CG19&lt;=TOTAL_MAX+MARGEN_NEG,"negociar","no"))</f>
        <v/>
      </c>
      <c r="CJ19" s="4">
        <f>IF(CI19&lt;&gt;"no",COUNTIFS($CI$2:$CI$662,"&lt;&gt;no",$CA$2:$CA$662,"&gt;"&amp;CA19)+COUNTIFS($CI$2:CI19,"&lt;&gt;no",$CA$2:CA19,CA19),"")</f>
        <v/>
      </c>
    </row>
    <row r="20">
      <c r="A20" s="2" t="inlineStr">
        <is>
          <t>autoscout24:135b1554-750c-4b53-880d-8fd5d78d72d3</t>
        </is>
      </c>
      <c r="B20" s="2" t="inlineStr">
        <is>
          <t>autoscout24</t>
        </is>
      </c>
      <c r="C20" s="2" t="inlineStr">
        <is>
          <t>https://www.autoscout24.es/anuncios/citroen-c4-1-6e-hdi-collection-110-diesel-blanco-cat_ma21mo18545-135b1554-750c-4b53-880d-8fd5d78d72d3</t>
        </is>
      </c>
      <c r="D20" s="2" t="inlineStr">
        <is>
          <t>Citroën C4 1.6e-HDi Collection 110</t>
        </is>
      </c>
      <c r="E20" s="2" t="inlineStr">
        <is>
          <t>Citroën</t>
        </is>
      </c>
      <c r="F20" s="2" t="inlineStr">
        <is>
          <t>Citroën C4</t>
        </is>
      </c>
      <c r="G20" s="2" t="inlineStr">
        <is>
          <t>1.6 HDi</t>
        </is>
      </c>
      <c r="H20" s="2" t="inlineStr">
        <is>
          <t>1.6e-HDi Collection 110 110 HDI</t>
        </is>
      </c>
      <c r="I20" s="2" t="n">
        <v>1560</v>
      </c>
      <c r="J20" s="2" t="n">
        <v>111</v>
      </c>
      <c r="K20" s="2" t="inlineStr">
        <is>
          <t>diesel</t>
        </is>
      </c>
      <c r="L20" s="2" t="inlineStr">
        <is>
          <t>compacto</t>
        </is>
      </c>
      <c r="M20" s="2" t="n">
        <v>2011</v>
      </c>
      <c r="N20" s="2" t="n">
        <v>210000</v>
      </c>
      <c r="O20" s="2" t="n">
        <v>4400</v>
      </c>
      <c r="P20" s="2" t="inlineStr">
        <is>
          <t>manual</t>
        </is>
      </c>
      <c r="Q20" s="2" t="inlineStr">
        <is>
          <t>no</t>
        </is>
      </c>
      <c r="R20" s="2" t="inlineStr">
        <is>
          <t>profesional</t>
        </is>
      </c>
      <c r="S20" s="2" t="inlineStr">
        <is>
          <t>Star Car Valencia — ALDAIA (46960)</t>
        </is>
      </c>
      <c r="T20" s="2" t="n"/>
      <c r="U20" s="2" t="n">
        <v>8</v>
      </c>
      <c r="V20" s="2" t="n"/>
      <c r="W20" s="2" t="inlineStr">
        <is>
          <t>sí</t>
        </is>
      </c>
      <c r="X20" s="2" t="n"/>
      <c r="Y20" s="2" t="n"/>
      <c r="Z20" s="2" t="n"/>
      <c r="AA20" s="2" t="n"/>
      <c r="AB20" s="2" t="n"/>
      <c r="AC20" s="2" t="n"/>
      <c r="AD20" s="2" t="n"/>
      <c r="AE20" s="2" t="n"/>
      <c r="AF20" s="2" t="n"/>
      <c r="AG20" s="2" t="n"/>
      <c r="AH20" s="2" t="n">
        <v>4400</v>
      </c>
      <c r="AI20" s="2" t="n"/>
      <c r="AJ20" s="2" t="n"/>
      <c r="AK20" s="2" t="n"/>
      <c r="AL20" s="2" t="n"/>
      <c r="AM20" s="2" t="n">
        <v>6.8</v>
      </c>
      <c r="AN20" s="2" t="n">
        <v>4000</v>
      </c>
      <c r="AO20" s="2" t="n">
        <v>16</v>
      </c>
      <c r="AP20" s="2" t="inlineStr">
        <is>
          <t>modelo+año+km</t>
        </is>
      </c>
      <c r="AQ20" s="2" t="inlineStr">
        <is>
          <t>cochesnet:71791952 (https://www.coches.net/citroen-c4-16-ehdi-110cv-cmp-sport-5p-diesel-2011-en-valencia-71791952-covo.aspx)</t>
        </is>
      </c>
      <c r="AR20" s="2" t="inlineStr">
        <is>
          <t>vendedor profesional: sin ITP (operación con IVA/REBU, confirmar en factura); gastos de gestión del vendedor no indicados: se suma la tasa DGT; preguntar el precio final; fiabilidad del modelo PENDIENTE de fuente (puntuación neutra)</t>
        </is>
      </c>
      <c r="AS20" s="2" t="inlineStr">
        <is>
          <t>&lt;strong&gt;Precio al contado: 4400 euros&lt;/strong&gt; &lt;br /&gt;&lt;br /&gt;&lt;strong&gt;Condiciones de la financiación&lt;/strong&gt; &lt;br /&gt;&lt;br /&gt;REQUISITOS&lt;br /&gt;LTIMA NOMINA&lt;br /&gt;TITULARIDAD BANCARIA&lt;br /&gt;DNI&lt;br /&gt;TELEFONO&lt;br /&gt;&lt;br /&gt; &lt;br /&gt;&lt;br /&gt; Citroën C4 1.6 HDi 112 CV (2011) – 211.000 km&lt;br /&gt;​En venta Citroën C4 compacto, fiable, muy cómodo y de consumo extremadamente bajo (diésel). Ideal tanto para el día a día en ciudad como para viajes por carretera.&lt;br /&gt;​Características principales:&lt;br /&gt;​Marca y Modelo: Citroën C4 HDi110 &lt;br /&gt;​Motorization: 1.6 HDi 112 CV (82 kW / Motor D-9HR)  &lt;br /&gt;​Kilometraje: 211.000 km&lt;br /&gt;​Año de matriculación: 2011  &lt;br /&gt;​Combustible: Diésel (Consumo muy reducido)&lt;br /&gt;​Plazas: 5  &lt;br /&gt;​Cambio: Manual&lt;br /&gt;​Equipamiento y detalles:&lt;br /&gt;​Coche muy amplio, cómodo y con gran capacidad de maletero.&lt;br /&gt;​Neumáticos en buen estado (homologados 205/55 R16 / 195/65 R15).  &lt;br /&gt;​Mecánica fiable, mantenimiento al día y motor muy duradero.&lt;br /&gt;​El vehículo funciona perfectamente, se puede ver y probar sin compromiso.&lt;br /&gt;​ Ubicación: Valencia&lt;br /&gt;</t>
        </is>
      </c>
      <c r="AT20" s="2" t="inlineStr">
        <is>
          <t>https://www.autoscout24.es/anuncios/citroen-c4-1-6e-hdi-collection-110-diesel-blanco-cat_ma21mo18545-135b1554-750c-4b53-880d-8fd5d78d72d3 (__NEXT_DATA__ listingDetails) /home/user/Alopecia/buscador-coches/raw/autoscout24/8515704da7227fbc.json</t>
        </is>
      </c>
      <c r="AU20" s="3">
        <f>MAX(ANIO_ACTUAL-M20,0)</f>
        <v/>
      </c>
      <c r="AV20" s="4">
        <f>N20/MAX(AU20,0.5)</f>
        <v/>
      </c>
      <c r="AW20" s="4">
        <f>F20</f>
        <v/>
      </c>
      <c r="AX20" s="3">
        <f>AW20&amp;"|"&amp;INT(M20/SEG_ANIO)*SEG_ANIO</f>
        <v/>
      </c>
      <c r="AY20" s="3">
        <f>AX20&amp;"|"&amp;INT(N20/SEG_KM)*SEG_KM</f>
        <v/>
      </c>
      <c r="AZ20" s="4">
        <f>COUNTIF($AW$2:$AW$662,AW20)</f>
        <v/>
      </c>
      <c r="BA20" s="4">
        <f>COUNTIF($AX$2:$AX$662,AX20)</f>
        <v/>
      </c>
      <c r="BB20" s="4">
        <f>COUNTIF($AY$2:$AY$662,AY20)</f>
        <v/>
      </c>
      <c r="BC20" s="3">
        <f t="array" ref="BC20">IF(N(AO20)&gt;=MIN_N,AN20,IF(BB20&gt;=MIN_N,MEDIAN(IF($AY$2:$AY$662=AY20,$O$2:$O$662)),IF(BA20&gt;=MIN_N,MEDIAN(IF($AX$2:$AX$662=AX20,$O$2:$O$662)),MEDIAN(IF($AW$2:$AW$662=AW20,$O$2:$O$662)))))</f>
        <v/>
      </c>
      <c r="BD20" s="3">
        <f>IF(N(AO20)&gt;=MIN_N,"mercado "&amp;AP20,IF(BB20&gt;=MIN_N,"modelo+año+km",IF(BA20&gt;=MIN_N,"modelo+año","modelo")))</f>
        <v/>
      </c>
      <c r="BE20" s="4">
        <f>(BC20-O20)/BC20</f>
        <v/>
      </c>
      <c r="BF20" s="3">
        <f>IF(OR(K20="hibrido",K20="glp"),"ECO",IF(K20="electrico","CERO",IF(K20="gasolina",IF(M20&gt;=GAS_C,"C",IF(M20&gt;=GAS_B,"B","A")),IF(K20="diesel",IF(M20&gt;=DIE_C,"C",IF(M20&gt;=DIE_B,"B","A")),""))))</f>
        <v/>
      </c>
      <c r="BG20" s="3">
        <f>IFERROR(VLOOKUP(F20,MOD_TBL,11,0),IFERROR(VLOOKUP(E20,OCU_TBL,2,0),NEUTRO))</f>
        <v/>
      </c>
      <c r="BH20" s="3">
        <f>SUMIFS(MOT_AJUSTE,MOT_MOTOR,G20,MOT_MARCA,E20,MOT_DESDE,"&lt;="&amp;M20,MOT_HASTA,"&gt;="&amp;M20)+SUMIFS(MOT_AJUSTE,MOT_MOTOR,G20,MOT_MARCA,"(todas)",MOT_DESDE,"&lt;="&amp;M20,MOT_HASTA,"&gt;="&amp;M20)</f>
        <v/>
      </c>
      <c r="BI20" s="3">
        <f>SUMIFS(COMB_AJUSTE,COMB_COMB,K20)</f>
        <v/>
      </c>
      <c r="BJ20" s="3">
        <f>COUNTIFS(MOT_MOTOR,G20,MOT_MARCA,E20,MOT_DESDE,"&lt;="&amp;M20,MOT_HASTA,"&gt;="&amp;M20)+COUNTIFS(MOT_MOTOR,G20,MOT_MARCA,"(todas)",MOT_DESDE,"&lt;="&amp;M20,MOT_HASTA,"&gt;="&amp;M20)</f>
        <v/>
      </c>
      <c r="BK20" s="3">
        <f>IF(AND(K20="diesel",BJ20=0),MIN(BG20,NEUTRO),BG20)</f>
        <v/>
      </c>
      <c r="BL20" s="4">
        <f>MAX(0,MIN(100,BK20+BH20+BI20))</f>
        <v/>
      </c>
      <c r="BM20" s="3">
        <f>MAX(0,MIN(100,50+BE20*PRECIO_PEND))</f>
        <v/>
      </c>
      <c r="BN20" s="3">
        <f>MAX(0,100*(1-N20/KM_MAX))</f>
        <v/>
      </c>
      <c r="BO20" s="3">
        <f>IF(AV20&lt;KMA_SOSP,IF(AA20="sí",100,KMA_PEN),IF(AV20&lt;=KMA_IDEAL_MAX,100,MAX(0,100*(KMA_CERO-AV20)/(KMA_CERO-KMA_IDEAL_MAX))))</f>
        <v/>
      </c>
      <c r="BP20" s="3">
        <f>MAX(0,MIN(100,100*(M20-ANIO_MIN)/(ANIO_ACTUAL-ANIO_MIN)))</f>
        <v/>
      </c>
      <c r="BQ20" s="3">
        <f>W_KMT*BN20+W_KMA*BO20+W_EDAD*BP20</f>
        <v/>
      </c>
      <c r="BR20" s="3">
        <f>P_ITV*(V20="sí")+P_LIBRO*(W20="sí")+P_CORREA*(X20="sí")+P_PROP*(Y20=1)+P_GAR*(Z20="sí")+P_FOTOS*MIN(1,N(U20)/FOTOS_OBJ)</f>
        <v/>
      </c>
      <c r="BS20" s="3">
        <f>IFERROR(VLOOKUP(BF20,ETQ_TBL,2,0),NEUTRO)</f>
        <v/>
      </c>
      <c r="BT20" s="3">
        <f>NEUTRO</f>
        <v/>
      </c>
      <c r="BU20" s="3">
        <f>IFERROR(VLOOKUP(L20,SEGURO_TBL,3,0),"")</f>
        <v/>
      </c>
      <c r="BV20" s="3">
        <f>IF(BU20="",NEUTRO,MAX(0,MIN(100,100*(SEG_REF_MAX-BU20)/(SEG_REF_MAX-SEG_REF_MIN))))</f>
        <v/>
      </c>
      <c r="BW20" s="3">
        <f>W_ET*BS20+W_CONS*BT20+W_SEG*BV20</f>
        <v/>
      </c>
      <c r="BX20" s="3">
        <f>IF(N(AB20)&gt;0,AB20,IF(AND(R20="profesional",SG_LEGAL_ON=1),GAR_LEGAL,0))</f>
        <v/>
      </c>
      <c r="BY20" s="3">
        <f>SG_GAR*MIN(1,BX20/SG_GAR_FULL)+SG_AMPL*(AC20="sí")+SG_KMC*(AF20="sí")+SG_REV*(N(AE20)&gt;0)+SG_DEV*MIN(1,N(AG20)/SG_DEV_FULL)+SG_HIST*(W20="sí")</f>
        <v/>
      </c>
      <c r="BZ20" s="3">
        <f>IFERROR(VLOOKUP(L20,CARR_PEN_TBL,2,0),0)</f>
        <v/>
      </c>
      <c r="CA20" s="3">
        <f>W_FIAB*BL20+W_PRECIO*BM20+W_KMEDAD*BQ20+W_ANUNCIO*BR20+W_USO*BW20+W_SEGURIDAD*BY20-BZ20</f>
        <v/>
      </c>
      <c r="CB20" s="4">
        <f>IF(N(I20)&gt;0,I20,IFERROR(ROUND(_xlfn.NUMBERVALUE(LEFT(G20,FIND(" ",G20&amp;" ")-1),".")*1000,0),99999))</f>
        <v/>
      </c>
      <c r="CC20" s="3">
        <f>IF(R20="profesional",0,IF(O20&lt;CUOTA_VALOR_MAX,IF(AU20&gt;ITP_TRAMO_ALTO,SUMIFS(CF_CUOTA,CF_MAS,ITP_TRAMO_ALTO,CF_CCMIN,"&lt;="&amp;CB20,CF_CCMAX,"&gt;="&amp;CB20),IF(AU20&gt;ITP_TRAMO_BAJO,SUMIFS(CF_CUOTA,CF_MAS,ITP_TRAMO_BAJO,CF_CCMIN,"&lt;="&amp;CB20,CF_CCMAX,"&gt;="&amp;CB20),O20*ITP_TIPO)),O20*ITP_TIPO))</f>
        <v/>
      </c>
      <c r="CD20" s="4">
        <f>IF(R20="profesional",N(AK20),0)</f>
        <v/>
      </c>
      <c r="CE20" s="3">
        <f>IF(AND(R20="profesional",ISNUMBER(AK20),AL20="sí"),0,TASA_DGT)</f>
        <v/>
      </c>
      <c r="CF20" s="3">
        <f>INFORME_DGT</f>
        <v/>
      </c>
      <c r="CG20" s="4">
        <f>O20+CD20+CC20+CE20+CF20</f>
        <v/>
      </c>
      <c r="CH20" s="4">
        <f>CG20+N(BU20)</f>
        <v/>
      </c>
      <c r="CI20" s="3">
        <f>IF(CG20&lt;=TOTAL_MAX,"sí",IF(CG20&lt;=TOTAL_MAX+MARGEN_NEG,"negociar","no"))</f>
        <v/>
      </c>
      <c r="CJ20" s="4">
        <f>IF(CI20&lt;&gt;"no",COUNTIFS($CI$2:$CI$662,"&lt;&gt;no",$CA$2:$CA$662,"&gt;"&amp;CA20)+COUNTIFS($CI$2:CI20,"&lt;&gt;no",$CA$2:CA20,CA20),"")</f>
        <v/>
      </c>
    </row>
    <row r="21">
      <c r="A21" s="2" t="inlineStr">
        <is>
          <t>autoscout24:976fabeb-a40c-41ae-a17f-af947b6a37bb</t>
        </is>
      </c>
      <c r="B21" s="2" t="inlineStr">
        <is>
          <t>autoscout24</t>
        </is>
      </c>
      <c r="C21" s="2" t="inlineStr">
        <is>
          <t>https://www.autoscout24.es/anuncios/citroen-c3-c3-pluriel-1-4hdi-exclusive-exclusive-diesel-beige-cat_ma21mo18264-976fabeb-a40c-41ae-a17f-af947b6a37bb</t>
        </is>
      </c>
      <c r="D21" s="2" t="inlineStr">
        <is>
          <t>Citroën C3 C3 Pluriel 1.4HDi Exclusive Exclusive</t>
        </is>
      </c>
      <c r="E21" s="2" t="inlineStr">
        <is>
          <t>Citroën</t>
        </is>
      </c>
      <c r="F21" s="2" t="inlineStr">
        <is>
          <t>Citroën C3</t>
        </is>
      </c>
      <c r="G21" s="2" t="inlineStr">
        <is>
          <t>1.4 HDi</t>
        </is>
      </c>
      <c r="H21" s="2" t="inlineStr">
        <is>
          <t>C3 Pluriel 1.4HDi Exclusive Exclusive 70 HDI</t>
        </is>
      </c>
      <c r="I21" s="2" t="n">
        <v>1398</v>
      </c>
      <c r="J21" s="2" t="n">
        <v>69</v>
      </c>
      <c r="K21" s="2" t="inlineStr">
        <is>
          <t>diesel</t>
        </is>
      </c>
      <c r="L21" s="2" t="inlineStr">
        <is>
          <t>utilitario</t>
        </is>
      </c>
      <c r="M21" s="2" t="n">
        <v>2009</v>
      </c>
      <c r="N21" s="2" t="n">
        <v>198000</v>
      </c>
      <c r="O21" s="2" t="n">
        <v>3600</v>
      </c>
      <c r="P21" s="2" t="inlineStr">
        <is>
          <t>manual</t>
        </is>
      </c>
      <c r="Q21" s="2" t="inlineStr">
        <is>
          <t>no</t>
        </is>
      </c>
      <c r="R21" s="2" t="inlineStr">
        <is>
          <t>particular</t>
        </is>
      </c>
      <c r="S21" s="2" t="inlineStr">
        <is>
          <t>València (46019)</t>
        </is>
      </c>
      <c r="T21" s="2" t="n"/>
      <c r="U21" s="2" t="n">
        <v>12</v>
      </c>
      <c r="V21" s="2" t="inlineStr">
        <is>
          <t>sí</t>
        </is>
      </c>
      <c r="W21" s="2" t="n"/>
      <c r="X21" s="2" t="n"/>
      <c r="Y21" s="2" t="n"/>
      <c r="Z21" s="2" t="n"/>
      <c r="AA21" s="2" t="n"/>
      <c r="AB21" s="2" t="n"/>
      <c r="AC21" s="2" t="n"/>
      <c r="AD21" s="2" t="n"/>
      <c r="AE21" s="2" t="n"/>
      <c r="AF21" s="2" t="n"/>
      <c r="AG21" s="2" t="n"/>
      <c r="AH21" s="2" t="n"/>
      <c r="AI21" s="2" t="n"/>
      <c r="AJ21" s="2" t="n"/>
      <c r="AK21" s="2" t="n"/>
      <c r="AL21" s="2" t="n"/>
      <c r="AM21" s="2" t="n">
        <v>3.1</v>
      </c>
      <c r="AN21" s="2" t="n">
        <v>3550</v>
      </c>
      <c r="AO21" s="2" t="n">
        <v>6</v>
      </c>
      <c r="AP21" s="2" t="inlineStr">
        <is>
          <t>modelo+año+km</t>
        </is>
      </c>
      <c r="AQ21" s="2" t="n"/>
      <c r="AR21" s="2" t="inlineStr">
        <is>
          <t>cuota fija ITP: &gt;12 años, hasta 1.500 cc</t>
        </is>
      </c>
      <c r="AS21" s="2" t="inlineStr">
        <is>
          <t>- ITV recién pasada.&lt;br /&gt;- Perfecto estado mecánico.&lt;br /&gt;- Muy bajo consumo.&lt;br /&gt;- Climatizador Automático.&lt;br /&gt;- Muy cuidado de chapa.&lt;br /&gt;- La capota no abre, esta perfectamente sellada.</t>
        </is>
      </c>
      <c r="AT21" s="2" t="inlineStr">
        <is>
          <t>https://www.autoscout24.es/anuncios/citroen-c3-c3-pluriel-1-4hdi-exclusive-exclusive-diesel-beige-cat_ma21mo18264-976fabeb-a40c-41ae-a17f-af947b6a37bb (__NEXT_DATA__ listingDetails) /home/user/Alopecia/buscador-coches/raw/autoscout24/f9a359a5f0cd1016.json</t>
        </is>
      </c>
      <c r="AU21" s="3">
        <f>MAX(ANIO_ACTUAL-M21,0)</f>
        <v/>
      </c>
      <c r="AV21" s="4">
        <f>N21/MAX(AU21,0.5)</f>
        <v/>
      </c>
      <c r="AW21" s="4">
        <f>F21</f>
        <v/>
      </c>
      <c r="AX21" s="3">
        <f>AW21&amp;"|"&amp;INT(M21/SEG_ANIO)*SEG_ANIO</f>
        <v/>
      </c>
      <c r="AY21" s="3">
        <f>AX21&amp;"|"&amp;INT(N21/SEG_KM)*SEG_KM</f>
        <v/>
      </c>
      <c r="AZ21" s="4">
        <f>COUNTIF($AW$2:$AW$662,AW21)</f>
        <v/>
      </c>
      <c r="BA21" s="4">
        <f>COUNTIF($AX$2:$AX$662,AX21)</f>
        <v/>
      </c>
      <c r="BB21" s="4">
        <f>COUNTIF($AY$2:$AY$662,AY21)</f>
        <v/>
      </c>
      <c r="BC21" s="3">
        <f t="array" ref="BC21">IF(N(AO21)&gt;=MIN_N,AN21,IF(BB21&gt;=MIN_N,MEDIAN(IF($AY$2:$AY$662=AY21,$O$2:$O$662)),IF(BA21&gt;=MIN_N,MEDIAN(IF($AX$2:$AX$662=AX21,$O$2:$O$662)),MEDIAN(IF($AW$2:$AW$662=AW21,$O$2:$O$662)))))</f>
        <v/>
      </c>
      <c r="BD21" s="3">
        <f>IF(N(AO21)&gt;=MIN_N,"mercado "&amp;AP21,IF(BB21&gt;=MIN_N,"modelo+año+km",IF(BA21&gt;=MIN_N,"modelo+año","modelo")))</f>
        <v/>
      </c>
      <c r="BE21" s="4">
        <f>(BC21-O21)/BC21</f>
        <v/>
      </c>
      <c r="BF21" s="3">
        <f>IF(OR(K21="hibrido",K21="glp"),"ECO",IF(K21="electrico","CERO",IF(K21="gasolina",IF(M21&gt;=GAS_C,"C",IF(M21&gt;=GAS_B,"B","A")),IF(K21="diesel",IF(M21&gt;=DIE_C,"C",IF(M21&gt;=DIE_B,"B","A")),""))))</f>
        <v/>
      </c>
      <c r="BG21" s="3">
        <f>IFERROR(VLOOKUP(F21,MOD_TBL,11,0),IFERROR(VLOOKUP(E21,OCU_TBL,2,0),NEUTRO))</f>
        <v/>
      </c>
      <c r="BH21" s="3">
        <f>SUMIFS(MOT_AJUSTE,MOT_MOTOR,G21,MOT_MARCA,E21,MOT_DESDE,"&lt;="&amp;M21,MOT_HASTA,"&gt;="&amp;M21)+SUMIFS(MOT_AJUSTE,MOT_MOTOR,G21,MOT_MARCA,"(todas)",MOT_DESDE,"&lt;="&amp;M21,MOT_HASTA,"&gt;="&amp;M21)</f>
        <v/>
      </c>
      <c r="BI21" s="3">
        <f>SUMIFS(COMB_AJUSTE,COMB_COMB,K21)</f>
        <v/>
      </c>
      <c r="BJ21" s="3">
        <f>COUNTIFS(MOT_MOTOR,G21,MOT_MARCA,E21,MOT_DESDE,"&lt;="&amp;M21,MOT_HASTA,"&gt;="&amp;M21)+COUNTIFS(MOT_MOTOR,G21,MOT_MARCA,"(todas)",MOT_DESDE,"&lt;="&amp;M21,MOT_HASTA,"&gt;="&amp;M21)</f>
        <v/>
      </c>
      <c r="BK21" s="3">
        <f>IF(AND(K21="diesel",BJ21=0),MIN(BG21,NEUTRO),BG21)</f>
        <v/>
      </c>
      <c r="BL21" s="4">
        <f>MAX(0,MIN(100,BK21+BH21+BI21))</f>
        <v/>
      </c>
      <c r="BM21" s="3">
        <f>MAX(0,MIN(100,50+BE21*PRECIO_PEND))</f>
        <v/>
      </c>
      <c r="BN21" s="3">
        <f>MAX(0,100*(1-N21/KM_MAX))</f>
        <v/>
      </c>
      <c r="BO21" s="3">
        <f>IF(AV21&lt;KMA_SOSP,IF(AA21="sí",100,KMA_PEN),IF(AV21&lt;=KMA_IDEAL_MAX,100,MAX(0,100*(KMA_CERO-AV21)/(KMA_CERO-KMA_IDEAL_MAX))))</f>
        <v/>
      </c>
      <c r="BP21" s="3">
        <f>MAX(0,MIN(100,100*(M21-ANIO_MIN)/(ANIO_ACTUAL-ANIO_MIN)))</f>
        <v/>
      </c>
      <c r="BQ21" s="3">
        <f>W_KMT*BN21+W_KMA*BO21+W_EDAD*BP21</f>
        <v/>
      </c>
      <c r="BR21" s="3">
        <f>P_ITV*(V21="sí")+P_LIBRO*(W21="sí")+P_CORREA*(X21="sí")+P_PROP*(Y21=1)+P_GAR*(Z21="sí")+P_FOTOS*MIN(1,N(U21)/FOTOS_OBJ)</f>
        <v/>
      </c>
      <c r="BS21" s="3">
        <f>IFERROR(VLOOKUP(BF21,ETQ_TBL,2,0),NEUTRO)</f>
        <v/>
      </c>
      <c r="BT21" s="3">
        <f>NEUTRO</f>
        <v/>
      </c>
      <c r="BU21" s="3">
        <f>IFERROR(VLOOKUP(L21,SEGURO_TBL,3,0),"")</f>
        <v/>
      </c>
      <c r="BV21" s="3">
        <f>IF(BU21="",NEUTRO,MAX(0,MIN(100,100*(SEG_REF_MAX-BU21)/(SEG_REF_MAX-SEG_REF_MIN))))</f>
        <v/>
      </c>
      <c r="BW21" s="3">
        <f>W_ET*BS21+W_CONS*BT21+W_SEG*BV21</f>
        <v/>
      </c>
      <c r="BX21" s="3">
        <f>IF(N(AB21)&gt;0,AB21,IF(AND(R21="profesional",SG_LEGAL_ON=1),GAR_LEGAL,0))</f>
        <v/>
      </c>
      <c r="BY21" s="3">
        <f>SG_GAR*MIN(1,BX21/SG_GAR_FULL)+SG_AMPL*(AC21="sí")+SG_KMC*(AF21="sí")+SG_REV*(N(AE21)&gt;0)+SG_DEV*MIN(1,N(AG21)/SG_DEV_FULL)+SG_HIST*(W21="sí")</f>
        <v/>
      </c>
      <c r="BZ21" s="3">
        <f>IFERROR(VLOOKUP(L21,CARR_PEN_TBL,2,0),0)</f>
        <v/>
      </c>
      <c r="CA21" s="3">
        <f>W_FIAB*BL21+W_PRECIO*BM21+W_KMEDAD*BQ21+W_ANUNCIO*BR21+W_USO*BW21+W_SEGURIDAD*BY21-BZ21</f>
        <v/>
      </c>
      <c r="CB21" s="4">
        <f>IF(N(I21)&gt;0,I21,IFERROR(ROUND(_xlfn.NUMBERVALUE(LEFT(G21,FIND(" ",G21&amp;" ")-1),".")*1000,0),99999))</f>
        <v/>
      </c>
      <c r="CC21" s="3">
        <f>IF(R21="profesional",0,IF(O21&lt;CUOTA_VALOR_MAX,IF(AU21&gt;ITP_TRAMO_ALTO,SUMIFS(CF_CUOTA,CF_MAS,ITP_TRAMO_ALTO,CF_CCMIN,"&lt;="&amp;CB21,CF_CCMAX,"&gt;="&amp;CB21),IF(AU21&gt;ITP_TRAMO_BAJO,SUMIFS(CF_CUOTA,CF_MAS,ITP_TRAMO_BAJO,CF_CCMIN,"&lt;="&amp;CB21,CF_CCMAX,"&gt;="&amp;CB21),O21*ITP_TIPO)),O21*ITP_TIPO))</f>
        <v/>
      </c>
      <c r="CD21" s="4">
        <f>IF(R21="profesional",N(AK21),0)</f>
        <v/>
      </c>
      <c r="CE21" s="3">
        <f>IF(AND(R21="profesional",ISNUMBER(AK21),AL21="sí"),0,TASA_DGT)</f>
        <v/>
      </c>
      <c r="CF21" s="3">
        <f>INFORME_DGT</f>
        <v/>
      </c>
      <c r="CG21" s="4">
        <f>O21+CD21+CC21+CE21+CF21</f>
        <v/>
      </c>
      <c r="CH21" s="4">
        <f>CG21+N(BU21)</f>
        <v/>
      </c>
      <c r="CI21" s="3">
        <f>IF(CG21&lt;=TOTAL_MAX,"sí",IF(CG21&lt;=TOTAL_MAX+MARGEN_NEG,"negociar","no"))</f>
        <v/>
      </c>
      <c r="CJ21" s="4">
        <f>IF(CI21&lt;&gt;"no",COUNTIFS($CI$2:$CI$662,"&lt;&gt;no",$CA$2:$CA$662,"&gt;"&amp;CA21)+COUNTIFS($CI$2:CI21,"&lt;&gt;no",$CA$2:CA21,CA21),"")</f>
        <v/>
      </c>
    </row>
    <row r="22">
      <c r="A22" s="2" t="inlineStr">
        <is>
          <t>autoscout24:c0f0e084-36ac-44c7-bc7d-f25d75c2ac08</t>
        </is>
      </c>
      <c r="B22" s="2" t="inlineStr">
        <is>
          <t>autoscout24</t>
        </is>
      </c>
      <c r="C22" s="2" t="inlineStr">
        <is>
          <t>https://www.autoscout24.es/anuncios/citroen-c4-c4-1-6hdi-business-business-diesel-blanco-cat_ma21mo18545-c0f0e084-36ac-44c7-bc7d-f25d75c2ac08</t>
        </is>
      </c>
      <c r="D22" s="2" t="inlineStr">
        <is>
          <t>Citroën C4 C4 1.6HDi Business Business</t>
        </is>
      </c>
      <c r="E22" s="2" t="inlineStr">
        <is>
          <t>Citroën</t>
        </is>
      </c>
      <c r="F22" s="2" t="inlineStr">
        <is>
          <t>Citroën C4</t>
        </is>
      </c>
      <c r="G22" s="2" t="inlineStr">
        <is>
          <t>1.6 HDi</t>
        </is>
      </c>
      <c r="H22" s="2" t="inlineStr">
        <is>
          <t>C4 1.6HDi Business Business 90 HDI</t>
        </is>
      </c>
      <c r="I22" s="2" t="n">
        <v>1560</v>
      </c>
      <c r="J22" s="2" t="n">
        <v>92</v>
      </c>
      <c r="K22" s="2" t="inlineStr">
        <is>
          <t>diesel</t>
        </is>
      </c>
      <c r="L22" s="2" t="inlineStr">
        <is>
          <t>compacto</t>
        </is>
      </c>
      <c r="M22" s="2" t="n">
        <v>2011</v>
      </c>
      <c r="N22" s="2" t="n">
        <v>200479</v>
      </c>
      <c r="O22" s="2" t="n">
        <v>4500</v>
      </c>
      <c r="P22" s="2" t="inlineStr">
        <is>
          <t>manual</t>
        </is>
      </c>
      <c r="Q22" s="2" t="inlineStr">
        <is>
          <t>no</t>
        </is>
      </c>
      <c r="R22" s="2" t="inlineStr">
        <is>
          <t>particular</t>
        </is>
      </c>
      <c r="S22" s="2" t="inlineStr">
        <is>
          <t>Picassent (46220)</t>
        </is>
      </c>
      <c r="T22" s="2" t="n"/>
      <c r="U22" s="2" t="n">
        <v>18</v>
      </c>
      <c r="V22" s="2" t="inlineStr">
        <is>
          <t>sí</t>
        </is>
      </c>
      <c r="W22" s="2" t="n"/>
      <c r="X22" s="2" t="n"/>
      <c r="Y22" s="2" t="n"/>
      <c r="Z22" s="2" t="n"/>
      <c r="AA22" s="2" t="n"/>
      <c r="AB22" s="2" t="n"/>
      <c r="AC22" s="2" t="n"/>
      <c r="AD22" s="2" t="n"/>
      <c r="AE22" s="2" t="n"/>
      <c r="AF22" s="2" t="n"/>
      <c r="AG22" s="2" t="n"/>
      <c r="AH22" s="2" t="n"/>
      <c r="AI22" s="2" t="n"/>
      <c r="AJ22" s="2" t="n"/>
      <c r="AK22" s="2" t="n"/>
      <c r="AL22" s="2" t="n"/>
      <c r="AM22" s="2" t="n">
        <v>12.7</v>
      </c>
      <c r="AN22" s="2" t="n">
        <v>4000</v>
      </c>
      <c r="AO22" s="2" t="n">
        <v>16</v>
      </c>
      <c r="AP22" s="2" t="inlineStr">
        <is>
          <t>modelo+año+km</t>
        </is>
      </c>
      <c r="AQ22" s="2" t="n"/>
      <c r="AR22" s="2" t="inlineStr">
        <is>
          <t>cuota fija ITP: &gt;12 años, 1.501-2.000 cc; fiabilidad del modelo PENDIENTE de fuente (puntuación neutra)</t>
        </is>
      </c>
      <c r="AS22" s="2" t="inlineStr">
        <is>
          <t>Vendo Citroën C4 II 1.6 HDi 90 CV, acabado Business, diésel sin AdBlue. Matriculado en julio de 2011.&lt;br /&gt;- Se le ha hecho el cambio de distribución a los 188.297 Km (factura disponible)&lt;br /&gt;- Se le ha cambiado el embrague completo a los 200.358 Km, en garantía (factura disponible)&lt;br /&gt;- Se le ha cambiado los filtros y el aceite en julio 2026 (factura disponible)&lt;br /&gt;- Techo interior completamente retapizado - Matrículas acrílicas nuevas&lt;br /&gt;- Neumaticos traseros nuevos, delanteros al 80%&lt;br /&gt;- Rueda de repuesto original, neumatico nuevo.&lt;br /&gt;- Interior limpio y cuidado, no fumador, sin mascotas&lt;br /&gt;- 2 juegos de llaves&lt;br /&gt;- ITV en vigor sin ningún hallazgo hasta 10/09/2027&lt;br /&gt;&lt;br /&gt;Tiene algún desperfecto en la carrocería. Desgaste interior acorde a los años, estado general muy bueno.  Motor muy fiable y de bajo consumo, en transito mixto hace entre 4.1 y 4.8 litros por 100km. Ninguna avería desde que lo tengo. Mantenimientos al día.&lt;br /&gt;Se vende porque tengo coche de empresa. No me interesan cambios.  Se puede ver y probar sin problemas cualquier día.</t>
        </is>
      </c>
      <c r="AT22" s="2" t="inlineStr">
        <is>
          <t>https://www.autoscout24.es/anuncios/citroen-c4-c4-1-6hdi-business-business-diesel-blanco-cat_ma21mo18545-c0f0e084-36ac-44c7-bc7d-f25d75c2ac08 (__NEXT_DATA__ listingDetails) /home/user/Alopecia/buscador-coches/raw/autoscout24/5d9034c698571594.json</t>
        </is>
      </c>
      <c r="AU22" s="3">
        <f>MAX(ANIO_ACTUAL-M22,0)</f>
        <v/>
      </c>
      <c r="AV22" s="4">
        <f>N22/MAX(AU22,0.5)</f>
        <v/>
      </c>
      <c r="AW22" s="4">
        <f>F22</f>
        <v/>
      </c>
      <c r="AX22" s="3">
        <f>AW22&amp;"|"&amp;INT(M22/SEG_ANIO)*SEG_ANIO</f>
        <v/>
      </c>
      <c r="AY22" s="3">
        <f>AX22&amp;"|"&amp;INT(N22/SEG_KM)*SEG_KM</f>
        <v/>
      </c>
      <c r="AZ22" s="4">
        <f>COUNTIF($AW$2:$AW$662,AW22)</f>
        <v/>
      </c>
      <c r="BA22" s="4">
        <f>COUNTIF($AX$2:$AX$662,AX22)</f>
        <v/>
      </c>
      <c r="BB22" s="4">
        <f>COUNTIF($AY$2:$AY$662,AY22)</f>
        <v/>
      </c>
      <c r="BC22" s="3">
        <f t="array" ref="BC22">IF(N(AO22)&gt;=MIN_N,AN22,IF(BB22&gt;=MIN_N,MEDIAN(IF($AY$2:$AY$662=AY22,$O$2:$O$662)),IF(BA22&gt;=MIN_N,MEDIAN(IF($AX$2:$AX$662=AX22,$O$2:$O$662)),MEDIAN(IF($AW$2:$AW$662=AW22,$O$2:$O$662)))))</f>
        <v/>
      </c>
      <c r="BD22" s="3">
        <f>IF(N(AO22)&gt;=MIN_N,"mercado "&amp;AP22,IF(BB22&gt;=MIN_N,"modelo+año+km",IF(BA22&gt;=MIN_N,"modelo+año","modelo")))</f>
        <v/>
      </c>
      <c r="BE22" s="4">
        <f>(BC22-O22)/BC22</f>
        <v/>
      </c>
      <c r="BF22" s="3">
        <f>IF(OR(K22="hibrido",K22="glp"),"ECO",IF(K22="electrico","CERO",IF(K22="gasolina",IF(M22&gt;=GAS_C,"C",IF(M22&gt;=GAS_B,"B","A")),IF(K22="diesel",IF(M22&gt;=DIE_C,"C",IF(M22&gt;=DIE_B,"B","A")),""))))</f>
        <v/>
      </c>
      <c r="BG22" s="3">
        <f>IFERROR(VLOOKUP(F22,MOD_TBL,11,0),IFERROR(VLOOKUP(E22,OCU_TBL,2,0),NEUTRO))</f>
        <v/>
      </c>
      <c r="BH22" s="3">
        <f>SUMIFS(MOT_AJUSTE,MOT_MOTOR,G22,MOT_MARCA,E22,MOT_DESDE,"&lt;="&amp;M22,MOT_HASTA,"&gt;="&amp;M22)+SUMIFS(MOT_AJUSTE,MOT_MOTOR,G22,MOT_MARCA,"(todas)",MOT_DESDE,"&lt;="&amp;M22,MOT_HASTA,"&gt;="&amp;M22)</f>
        <v/>
      </c>
      <c r="BI22" s="3">
        <f>SUMIFS(COMB_AJUSTE,COMB_COMB,K22)</f>
        <v/>
      </c>
      <c r="BJ22" s="3">
        <f>COUNTIFS(MOT_MOTOR,G22,MOT_MARCA,E22,MOT_DESDE,"&lt;="&amp;M22,MOT_HASTA,"&gt;="&amp;M22)+COUNTIFS(MOT_MOTOR,G22,MOT_MARCA,"(todas)",MOT_DESDE,"&lt;="&amp;M22,MOT_HASTA,"&gt;="&amp;M22)</f>
        <v/>
      </c>
      <c r="BK22" s="3">
        <f>IF(AND(K22="diesel",BJ22=0),MIN(BG22,NEUTRO),BG22)</f>
        <v/>
      </c>
      <c r="BL22" s="4">
        <f>MAX(0,MIN(100,BK22+BH22+BI22))</f>
        <v/>
      </c>
      <c r="BM22" s="3">
        <f>MAX(0,MIN(100,50+BE22*PRECIO_PEND))</f>
        <v/>
      </c>
      <c r="BN22" s="3">
        <f>MAX(0,100*(1-N22/KM_MAX))</f>
        <v/>
      </c>
      <c r="BO22" s="3">
        <f>IF(AV22&lt;KMA_SOSP,IF(AA22="sí",100,KMA_PEN),IF(AV22&lt;=KMA_IDEAL_MAX,100,MAX(0,100*(KMA_CERO-AV22)/(KMA_CERO-KMA_IDEAL_MAX))))</f>
        <v/>
      </c>
      <c r="BP22" s="3">
        <f>MAX(0,MIN(100,100*(M22-ANIO_MIN)/(ANIO_ACTUAL-ANIO_MIN)))</f>
        <v/>
      </c>
      <c r="BQ22" s="3">
        <f>W_KMT*BN22+W_KMA*BO22+W_EDAD*BP22</f>
        <v/>
      </c>
      <c r="BR22" s="3">
        <f>P_ITV*(V22="sí")+P_LIBRO*(W22="sí")+P_CORREA*(X22="sí")+P_PROP*(Y22=1)+P_GAR*(Z22="sí")+P_FOTOS*MIN(1,N(U22)/FOTOS_OBJ)</f>
        <v/>
      </c>
      <c r="BS22" s="3">
        <f>IFERROR(VLOOKUP(BF22,ETQ_TBL,2,0),NEUTRO)</f>
        <v/>
      </c>
      <c r="BT22" s="3">
        <f>NEUTRO</f>
        <v/>
      </c>
      <c r="BU22" s="3">
        <f>IFERROR(VLOOKUP(L22,SEGURO_TBL,3,0),"")</f>
        <v/>
      </c>
      <c r="BV22" s="3">
        <f>IF(BU22="",NEUTRO,MAX(0,MIN(100,100*(SEG_REF_MAX-BU22)/(SEG_REF_MAX-SEG_REF_MIN))))</f>
        <v/>
      </c>
      <c r="BW22" s="3">
        <f>W_ET*BS22+W_CONS*BT22+W_SEG*BV22</f>
        <v/>
      </c>
      <c r="BX22" s="3">
        <f>IF(N(AB22)&gt;0,AB22,IF(AND(R22="profesional",SG_LEGAL_ON=1),GAR_LEGAL,0))</f>
        <v/>
      </c>
      <c r="BY22" s="3">
        <f>SG_GAR*MIN(1,BX22/SG_GAR_FULL)+SG_AMPL*(AC22="sí")+SG_KMC*(AF22="sí")+SG_REV*(N(AE22)&gt;0)+SG_DEV*MIN(1,N(AG22)/SG_DEV_FULL)+SG_HIST*(W22="sí")</f>
        <v/>
      </c>
      <c r="BZ22" s="3">
        <f>IFERROR(VLOOKUP(L22,CARR_PEN_TBL,2,0),0)</f>
        <v/>
      </c>
      <c r="CA22" s="3">
        <f>W_FIAB*BL22+W_PRECIO*BM22+W_KMEDAD*BQ22+W_ANUNCIO*BR22+W_USO*BW22+W_SEGURIDAD*BY22-BZ22</f>
        <v/>
      </c>
      <c r="CB22" s="4">
        <f>IF(N(I22)&gt;0,I22,IFERROR(ROUND(_xlfn.NUMBERVALUE(LEFT(G22,FIND(" ",G22&amp;" ")-1),".")*1000,0),99999))</f>
        <v/>
      </c>
      <c r="CC22" s="3">
        <f>IF(R22="profesional",0,IF(O22&lt;CUOTA_VALOR_MAX,IF(AU22&gt;ITP_TRAMO_ALTO,SUMIFS(CF_CUOTA,CF_MAS,ITP_TRAMO_ALTO,CF_CCMIN,"&lt;="&amp;CB22,CF_CCMAX,"&gt;="&amp;CB22),IF(AU22&gt;ITP_TRAMO_BAJO,SUMIFS(CF_CUOTA,CF_MAS,ITP_TRAMO_BAJO,CF_CCMIN,"&lt;="&amp;CB22,CF_CCMAX,"&gt;="&amp;CB22),O22*ITP_TIPO)),O22*ITP_TIPO))</f>
        <v/>
      </c>
      <c r="CD22" s="4">
        <f>IF(R22="profesional",N(AK22),0)</f>
        <v/>
      </c>
      <c r="CE22" s="3">
        <f>IF(AND(R22="profesional",ISNUMBER(AK22),AL22="sí"),0,TASA_DGT)</f>
        <v/>
      </c>
      <c r="CF22" s="3">
        <f>INFORME_DGT</f>
        <v/>
      </c>
      <c r="CG22" s="4">
        <f>O22+CD22+CC22+CE22+CF22</f>
        <v/>
      </c>
      <c r="CH22" s="4">
        <f>CG22+N(BU22)</f>
        <v/>
      </c>
      <c r="CI22" s="3">
        <f>IF(CG22&lt;=TOTAL_MAX,"sí",IF(CG22&lt;=TOTAL_MAX+MARGEN_NEG,"negociar","no"))</f>
        <v/>
      </c>
      <c r="CJ22" s="4">
        <f>IF(CI22&lt;&gt;"no",COUNTIFS($CI$2:$CI$662,"&lt;&gt;no",$CA$2:$CA$662,"&gt;"&amp;CA22)+COUNTIFS($CI$2:CI22,"&lt;&gt;no",$CA$2:CA22,CA22),"")</f>
        <v/>
      </c>
    </row>
    <row r="23">
      <c r="A23" s="2" t="inlineStr">
        <is>
          <t>autoscout24:ed5884f9-3ed4-46e2-94c9-80796e5ef3a8</t>
        </is>
      </c>
      <c r="B23" s="2" t="inlineStr">
        <is>
          <t>autoscout24</t>
        </is>
      </c>
      <c r="C23" s="2" t="inlineStr">
        <is>
          <t>https://www.autoscout24.es/anuncios/citroen-c4-1-6e-hdi-collection-110-diesel-cat_ma21mo18545-ed5884f9-3ed4-46e2-94c9-80796e5ef3a8</t>
        </is>
      </c>
      <c r="D23" s="2" t="inlineStr">
        <is>
          <t>Citroën C4 1.6e-HDi Collection 110</t>
        </is>
      </c>
      <c r="E23" s="2" t="inlineStr">
        <is>
          <t>Citroën</t>
        </is>
      </c>
      <c r="F23" s="2" t="inlineStr">
        <is>
          <t>Citroën C4</t>
        </is>
      </c>
      <c r="G23" s="2" t="inlineStr">
        <is>
          <t>1.6 HDi</t>
        </is>
      </c>
      <c r="H23" s="2" t="inlineStr">
        <is>
          <t>1.6e-HDi Collection 110 110 HDI</t>
        </is>
      </c>
      <c r="I23" s="2" t="n">
        <v>1560</v>
      </c>
      <c r="J23" s="2" t="n">
        <v>111</v>
      </c>
      <c r="K23" s="2" t="inlineStr">
        <is>
          <t>diesel</t>
        </is>
      </c>
      <c r="L23" s="2" t="inlineStr">
        <is>
          <t>compacto</t>
        </is>
      </c>
      <c r="M23" s="2" t="n">
        <v>2012</v>
      </c>
      <c r="N23" s="2" t="n">
        <v>199500</v>
      </c>
      <c r="O23" s="2" t="n">
        <v>4600</v>
      </c>
      <c r="P23" s="2" t="inlineStr">
        <is>
          <t>manual</t>
        </is>
      </c>
      <c r="Q23" s="2" t="inlineStr">
        <is>
          <t>no</t>
        </is>
      </c>
      <c r="R23" s="2" t="inlineStr">
        <is>
          <t>profesional</t>
        </is>
      </c>
      <c r="S23" s="2" t="inlineStr">
        <is>
          <t>Star Car Valencia — ALDAIA (46960)</t>
        </is>
      </c>
      <c r="T23" s="2" t="n"/>
      <c r="U23" s="2" t="n">
        <v>9</v>
      </c>
      <c r="V23" s="2" t="n"/>
      <c r="W23" s="2" t="n"/>
      <c r="X23" s="2" t="n"/>
      <c r="Y23" s="2" t="n"/>
      <c r="Z23" s="2" t="inlineStr">
        <is>
          <t>sí</t>
        </is>
      </c>
      <c r="AA23" s="2" t="n"/>
      <c r="AB23" s="2" t="n">
        <v>12</v>
      </c>
      <c r="AC23" s="2" t="n"/>
      <c r="AD23" s="2" t="n"/>
      <c r="AE23" s="2" t="n"/>
      <c r="AF23" s="2" t="n"/>
      <c r="AG23" s="2" t="n"/>
      <c r="AH23" s="2" t="n">
        <v>4600</v>
      </c>
      <c r="AI23" s="2" t="n"/>
      <c r="AJ23" s="2" t="n"/>
      <c r="AK23" s="2" t="n"/>
      <c r="AL23" s="2" t="n"/>
      <c r="AM23" s="2" t="n">
        <v>6.8</v>
      </c>
      <c r="AN23" s="2" t="n">
        <v>5800</v>
      </c>
      <c r="AO23" s="2" t="n">
        <v>7</v>
      </c>
      <c r="AP23" s="2" t="inlineStr">
        <is>
          <t>modelo+año+km</t>
        </is>
      </c>
      <c r="AQ23" s="2" t="n"/>
      <c r="AR23" s="2" t="inlineStr">
        <is>
          <t>vendedor profesional: sin ITP (operación con IVA/REBU, confirmar en factura); gastos de gestión del vendedor no indicados: se suma la tasa DGT; preguntar el precio final; fiabilidad del modelo PENDIENTE de fuente (puntuación neutra)</t>
        </is>
      </c>
      <c r="AS23" s="2" t="inlineStr">
        <is>
          <t>&lt;strong&gt;Precio al contado: 4600 euros&lt;/strong&gt; &lt;br /&gt;&lt;br /&gt;&lt;strong&gt;Condiciones de la financiación&lt;/strong&gt; &lt;br /&gt;&lt;br /&gt;REQUISITOS&lt;br /&gt;LTIMA NOMINA&lt;br /&gt;TITULARIDAD BANCARIA&lt;br /&gt;DNI&lt;br /&gt;TELEFONO&lt;br /&gt;&lt;br /&gt; &lt;br /&gt;&lt;br /&gt;1 AÑO DE GARANTÍA o 2 AÑOS DE GARANTIA&lt;br /&gt;POSIBILIDAD DE FINANCIACION 100%&lt;br /&gt;MANTENIMIENTO REALIZADO&lt;br /&gt;ENTREGA INMEDIATA&lt;br /&gt;1ª Matriculación:	03/2012&lt;br /&gt;Lectura cuentakilómetros:	200.449 km&lt;br /&gt;Combustible:	Diésel&lt;br /&gt;Potencia:	68 KW / 92 CV&lt;br /&gt;Cilindrada:	1.560 cc&lt;br /&gt;Caja de cambios:	Cambio tipo manual&lt;br /&gt;Fecha de vencimiento ITV:	04/2027&lt;br /&gt; Si necesitas cualquier coche — modelo, color, año y kilómetros — te lo traemos.&lt;br /&gt;Dinos qué necesitas y lo tendrás. &lt;br /&gt;&lt;br /&gt; El anuncio puede contener errores.&lt;br /&gt;&lt;br /&gt;</t>
        </is>
      </c>
      <c r="AT23" s="2" t="inlineStr">
        <is>
          <t>https://www.autoscout24.es/anuncios/citroen-c4-1-6e-hdi-collection-110-diesel-cat_ma21mo18545-ed5884f9-3ed4-46e2-94c9-80796e5ef3a8 (__NEXT_DATA__ listingDetails) /home/user/Alopecia/buscador-coches/raw/autoscout24/55b8313cefbe5f5f.json</t>
        </is>
      </c>
      <c r="AU23" s="3">
        <f>MAX(ANIO_ACTUAL-M23,0)</f>
        <v/>
      </c>
      <c r="AV23" s="4">
        <f>N23/MAX(AU23,0.5)</f>
        <v/>
      </c>
      <c r="AW23" s="4">
        <f>F23</f>
        <v/>
      </c>
      <c r="AX23" s="3">
        <f>AW23&amp;"|"&amp;INT(M23/SEG_ANIO)*SEG_ANIO</f>
        <v/>
      </c>
      <c r="AY23" s="3">
        <f>AX23&amp;"|"&amp;INT(N23/SEG_KM)*SEG_KM</f>
        <v/>
      </c>
      <c r="AZ23" s="4">
        <f>COUNTIF($AW$2:$AW$662,AW23)</f>
        <v/>
      </c>
      <c r="BA23" s="4">
        <f>COUNTIF($AX$2:$AX$662,AX23)</f>
        <v/>
      </c>
      <c r="BB23" s="4">
        <f>COUNTIF($AY$2:$AY$662,AY23)</f>
        <v/>
      </c>
      <c r="BC23" s="3">
        <f t="array" ref="BC23">IF(N(AO23)&gt;=MIN_N,AN23,IF(BB23&gt;=MIN_N,MEDIAN(IF($AY$2:$AY$662=AY23,$O$2:$O$662)),IF(BA23&gt;=MIN_N,MEDIAN(IF($AX$2:$AX$662=AX23,$O$2:$O$662)),MEDIAN(IF($AW$2:$AW$662=AW23,$O$2:$O$662)))))</f>
        <v/>
      </c>
      <c r="BD23" s="3">
        <f>IF(N(AO23)&gt;=MIN_N,"mercado "&amp;AP23,IF(BB23&gt;=MIN_N,"modelo+año+km",IF(BA23&gt;=MIN_N,"modelo+año","modelo")))</f>
        <v/>
      </c>
      <c r="BE23" s="4">
        <f>(BC23-O23)/BC23</f>
        <v/>
      </c>
      <c r="BF23" s="3">
        <f>IF(OR(K23="hibrido",K23="glp"),"ECO",IF(K23="electrico","CERO",IF(K23="gasolina",IF(M23&gt;=GAS_C,"C",IF(M23&gt;=GAS_B,"B","A")),IF(K23="diesel",IF(M23&gt;=DIE_C,"C",IF(M23&gt;=DIE_B,"B","A")),""))))</f>
        <v/>
      </c>
      <c r="BG23" s="3">
        <f>IFERROR(VLOOKUP(F23,MOD_TBL,11,0),IFERROR(VLOOKUP(E23,OCU_TBL,2,0),NEUTRO))</f>
        <v/>
      </c>
      <c r="BH23" s="3">
        <f>SUMIFS(MOT_AJUSTE,MOT_MOTOR,G23,MOT_MARCA,E23,MOT_DESDE,"&lt;="&amp;M23,MOT_HASTA,"&gt;="&amp;M23)+SUMIFS(MOT_AJUSTE,MOT_MOTOR,G23,MOT_MARCA,"(todas)",MOT_DESDE,"&lt;="&amp;M23,MOT_HASTA,"&gt;="&amp;M23)</f>
        <v/>
      </c>
      <c r="BI23" s="3">
        <f>SUMIFS(COMB_AJUSTE,COMB_COMB,K23)</f>
        <v/>
      </c>
      <c r="BJ23" s="3">
        <f>COUNTIFS(MOT_MOTOR,G23,MOT_MARCA,E23,MOT_DESDE,"&lt;="&amp;M23,MOT_HASTA,"&gt;="&amp;M23)+COUNTIFS(MOT_MOTOR,G23,MOT_MARCA,"(todas)",MOT_DESDE,"&lt;="&amp;M23,MOT_HASTA,"&gt;="&amp;M23)</f>
        <v/>
      </c>
      <c r="BK23" s="3">
        <f>IF(AND(K23="diesel",BJ23=0),MIN(BG23,NEUTRO),BG23)</f>
        <v/>
      </c>
      <c r="BL23" s="4">
        <f>MAX(0,MIN(100,BK23+BH23+BI23))</f>
        <v/>
      </c>
      <c r="BM23" s="3">
        <f>MAX(0,MIN(100,50+BE23*PRECIO_PEND))</f>
        <v/>
      </c>
      <c r="BN23" s="3">
        <f>MAX(0,100*(1-N23/KM_MAX))</f>
        <v/>
      </c>
      <c r="BO23" s="3">
        <f>IF(AV23&lt;KMA_SOSP,IF(AA23="sí",100,KMA_PEN),IF(AV23&lt;=KMA_IDEAL_MAX,100,MAX(0,100*(KMA_CERO-AV23)/(KMA_CERO-KMA_IDEAL_MAX))))</f>
        <v/>
      </c>
      <c r="BP23" s="3">
        <f>MAX(0,MIN(100,100*(M23-ANIO_MIN)/(ANIO_ACTUAL-ANIO_MIN)))</f>
        <v/>
      </c>
      <c r="BQ23" s="3">
        <f>W_KMT*BN23+W_KMA*BO23+W_EDAD*BP23</f>
        <v/>
      </c>
      <c r="BR23" s="3">
        <f>P_ITV*(V23="sí")+P_LIBRO*(W23="sí")+P_CORREA*(X23="sí")+P_PROP*(Y23=1)+P_GAR*(Z23="sí")+P_FOTOS*MIN(1,N(U23)/FOTOS_OBJ)</f>
        <v/>
      </c>
      <c r="BS23" s="3">
        <f>IFERROR(VLOOKUP(BF23,ETQ_TBL,2,0),NEUTRO)</f>
        <v/>
      </c>
      <c r="BT23" s="3">
        <f>NEUTRO</f>
        <v/>
      </c>
      <c r="BU23" s="3">
        <f>IFERROR(VLOOKUP(L23,SEGURO_TBL,3,0),"")</f>
        <v/>
      </c>
      <c r="BV23" s="3">
        <f>IF(BU23="",NEUTRO,MAX(0,MIN(100,100*(SEG_REF_MAX-BU23)/(SEG_REF_MAX-SEG_REF_MIN))))</f>
        <v/>
      </c>
      <c r="BW23" s="3">
        <f>W_ET*BS23+W_CONS*BT23+W_SEG*BV23</f>
        <v/>
      </c>
      <c r="BX23" s="3">
        <f>IF(N(AB23)&gt;0,AB23,IF(AND(R23="profesional",SG_LEGAL_ON=1),GAR_LEGAL,0))</f>
        <v/>
      </c>
      <c r="BY23" s="3">
        <f>SG_GAR*MIN(1,BX23/SG_GAR_FULL)+SG_AMPL*(AC23="sí")+SG_KMC*(AF23="sí")+SG_REV*(N(AE23)&gt;0)+SG_DEV*MIN(1,N(AG23)/SG_DEV_FULL)+SG_HIST*(W23="sí")</f>
        <v/>
      </c>
      <c r="BZ23" s="3">
        <f>IFERROR(VLOOKUP(L23,CARR_PEN_TBL,2,0),0)</f>
        <v/>
      </c>
      <c r="CA23" s="3">
        <f>W_FIAB*BL23+W_PRECIO*BM23+W_KMEDAD*BQ23+W_ANUNCIO*BR23+W_USO*BW23+W_SEGURIDAD*BY23-BZ23</f>
        <v/>
      </c>
      <c r="CB23" s="4">
        <f>IF(N(I23)&gt;0,I23,IFERROR(ROUND(_xlfn.NUMBERVALUE(LEFT(G23,FIND(" ",G23&amp;" ")-1),".")*1000,0),99999))</f>
        <v/>
      </c>
      <c r="CC23" s="3">
        <f>IF(R23="profesional",0,IF(O23&lt;CUOTA_VALOR_MAX,IF(AU23&gt;ITP_TRAMO_ALTO,SUMIFS(CF_CUOTA,CF_MAS,ITP_TRAMO_ALTO,CF_CCMIN,"&lt;="&amp;CB23,CF_CCMAX,"&gt;="&amp;CB23),IF(AU23&gt;ITP_TRAMO_BAJO,SUMIFS(CF_CUOTA,CF_MAS,ITP_TRAMO_BAJO,CF_CCMIN,"&lt;="&amp;CB23,CF_CCMAX,"&gt;="&amp;CB23),O23*ITP_TIPO)),O23*ITP_TIPO))</f>
        <v/>
      </c>
      <c r="CD23" s="4">
        <f>IF(R23="profesional",N(AK23),0)</f>
        <v/>
      </c>
      <c r="CE23" s="3">
        <f>IF(AND(R23="profesional",ISNUMBER(AK23),AL23="sí"),0,TASA_DGT)</f>
        <v/>
      </c>
      <c r="CF23" s="3">
        <f>INFORME_DGT</f>
        <v/>
      </c>
      <c r="CG23" s="4">
        <f>O23+CD23+CC23+CE23+CF23</f>
        <v/>
      </c>
      <c r="CH23" s="4">
        <f>CG23+N(BU23)</f>
        <v/>
      </c>
      <c r="CI23" s="3">
        <f>IF(CG23&lt;=TOTAL_MAX,"sí",IF(CG23&lt;=TOTAL_MAX+MARGEN_NEG,"negociar","no"))</f>
        <v/>
      </c>
      <c r="CJ23" s="4">
        <f>IF(CI23&lt;&gt;"no",COUNTIFS($CI$2:$CI$662,"&lt;&gt;no",$CA$2:$CA$662,"&gt;"&amp;CA23)+COUNTIFS($CI$2:CI23,"&lt;&gt;no",$CA$2:CA23,CA23),"")</f>
        <v/>
      </c>
    </row>
    <row r="24">
      <c r="A24" s="2" t="inlineStr">
        <is>
          <t>autoscout24:e18153a1-5cc8-4840-b81b-f019a8139379</t>
        </is>
      </c>
      <c r="B24" s="2" t="inlineStr">
        <is>
          <t>autoscout24</t>
        </is>
      </c>
      <c r="C24" s="2" t="inlineStr">
        <is>
          <t>https://www.autoscout24.es/anuncios/citroen-c4-1-6hdi-cool-diesel-cat_ma21mo18545-e18153a1-5cc8-4840-b81b-f019a8139379</t>
        </is>
      </c>
      <c r="D24" s="2" t="inlineStr">
        <is>
          <t>Citroën C4 1.6HDI Cool</t>
        </is>
      </c>
      <c r="E24" s="2" t="inlineStr">
        <is>
          <t>Citroën</t>
        </is>
      </c>
      <c r="F24" s="2" t="inlineStr">
        <is>
          <t>Citroën C4</t>
        </is>
      </c>
      <c r="G24" s="2" t="inlineStr">
        <is>
          <t>1.6</t>
        </is>
      </c>
      <c r="H24" s="2" t="inlineStr">
        <is>
          <t>1.6HDI Cool 1.4</t>
        </is>
      </c>
      <c r="I24" s="2" t="n">
        <v>1560</v>
      </c>
      <c r="J24" s="2" t="n">
        <v>90</v>
      </c>
      <c r="K24" s="2" t="inlineStr">
        <is>
          <t>diesel</t>
        </is>
      </c>
      <c r="L24" s="2" t="inlineStr">
        <is>
          <t>compacto</t>
        </is>
      </c>
      <c r="M24" s="2" t="n">
        <v>2010</v>
      </c>
      <c r="N24" s="2" t="n">
        <v>206000</v>
      </c>
      <c r="O24" s="2" t="n">
        <v>4000</v>
      </c>
      <c r="P24" s="2" t="inlineStr">
        <is>
          <t>manual</t>
        </is>
      </c>
      <c r="Q24" s="2" t="inlineStr">
        <is>
          <t>no</t>
        </is>
      </c>
      <c r="R24" s="2" t="inlineStr">
        <is>
          <t>particular</t>
        </is>
      </c>
      <c r="S24" s="2" t="inlineStr">
        <is>
          <t>València (46018)</t>
        </is>
      </c>
      <c r="T24" s="2" t="n"/>
      <c r="U24" s="2" t="n">
        <v>7</v>
      </c>
      <c r="V24" s="2" t="inlineStr">
        <is>
          <t>sí</t>
        </is>
      </c>
      <c r="W24" s="2" t="inlineStr">
        <is>
          <t>sí</t>
        </is>
      </c>
      <c r="X24" s="2" t="n"/>
      <c r="Y24" s="2" t="n">
        <v>1</v>
      </c>
      <c r="Z24" s="2" t="n"/>
      <c r="AA24" s="2" t="n"/>
      <c r="AB24" s="2" t="n"/>
      <c r="AC24" s="2" t="n"/>
      <c r="AD24" s="2" t="n"/>
      <c r="AE24" s="2" t="n"/>
      <c r="AF24" s="2" t="n"/>
      <c r="AG24" s="2" t="n"/>
      <c r="AH24" s="2" t="n"/>
      <c r="AI24" s="2" t="n"/>
      <c r="AJ24" s="2" t="n"/>
      <c r="AK24" s="2" t="n"/>
      <c r="AL24" s="2" t="n"/>
      <c r="AM24" s="2" t="n">
        <v>2</v>
      </c>
      <c r="AN24" s="2" t="n">
        <v>4000</v>
      </c>
      <c r="AO24" s="2" t="n">
        <v>16</v>
      </c>
      <c r="AP24" s="2" t="inlineStr">
        <is>
          <t>modelo+año+km</t>
        </is>
      </c>
      <c r="AQ24" s="2" t="n"/>
      <c r="AR24" s="2" t="inlineStr">
        <is>
          <t>cuota fija ITP: &gt;12 años, 1.501-2.000 cc; diésel: motor sin fuente de fiabilidad (fiabilidad limitada a neutra); fiabilidad del modelo PENDIENTE de fuente (puntuación neutra)</t>
        </is>
      </c>
      <c r="AS24" s="2" t="inlineStr">
        <is>
          <t>Mantenimiento al día. ITV en vigor (hasta abril de 2027). Neumáticos nuevos, pastillas y discos nuevos. Tela del techo interior nueva. &lt;br /&gt;&lt;br /&gt;Único propietario. &lt;br /&gt;&lt;br /&gt;Muy buen estado de chapa y pintura. &lt;br /&gt;&lt;br /&gt;Autorradio con pantalla táctil. &lt;br /&gt;&lt;br /&gt;Maletero amplio de 408 litros.</t>
        </is>
      </c>
      <c r="AT24" s="2" t="inlineStr">
        <is>
          <t>https://www.autoscout24.es/anuncios/citroen-c4-1-6hdi-cool-diesel-cat_ma21mo18545-e18153a1-5cc8-4840-b81b-f019a8139379 (__NEXT_DATA__ listingDetails) /home/user/Alopecia/buscador-coches/raw/autoscout24/4cd37ca3cf3540bc.json</t>
        </is>
      </c>
      <c r="AU24" s="3">
        <f>MAX(ANIO_ACTUAL-M24,0)</f>
        <v/>
      </c>
      <c r="AV24" s="4">
        <f>N24/MAX(AU24,0.5)</f>
        <v/>
      </c>
      <c r="AW24" s="4">
        <f>F24</f>
        <v/>
      </c>
      <c r="AX24" s="3">
        <f>AW24&amp;"|"&amp;INT(M24/SEG_ANIO)*SEG_ANIO</f>
        <v/>
      </c>
      <c r="AY24" s="3">
        <f>AX24&amp;"|"&amp;INT(N24/SEG_KM)*SEG_KM</f>
        <v/>
      </c>
      <c r="AZ24" s="4">
        <f>COUNTIF($AW$2:$AW$662,AW24)</f>
        <v/>
      </c>
      <c r="BA24" s="4">
        <f>COUNTIF($AX$2:$AX$662,AX24)</f>
        <v/>
      </c>
      <c r="BB24" s="4">
        <f>COUNTIF($AY$2:$AY$662,AY24)</f>
        <v/>
      </c>
      <c r="BC24" s="3">
        <f t="array" ref="BC24">IF(N(AO24)&gt;=MIN_N,AN24,IF(BB24&gt;=MIN_N,MEDIAN(IF($AY$2:$AY$662=AY24,$O$2:$O$662)),IF(BA24&gt;=MIN_N,MEDIAN(IF($AX$2:$AX$662=AX24,$O$2:$O$662)),MEDIAN(IF($AW$2:$AW$662=AW24,$O$2:$O$662)))))</f>
        <v/>
      </c>
      <c r="BD24" s="3">
        <f>IF(N(AO24)&gt;=MIN_N,"mercado "&amp;AP24,IF(BB24&gt;=MIN_N,"modelo+año+km",IF(BA24&gt;=MIN_N,"modelo+año","modelo")))</f>
        <v/>
      </c>
      <c r="BE24" s="4">
        <f>(BC24-O24)/BC24</f>
        <v/>
      </c>
      <c r="BF24" s="3">
        <f>IF(OR(K24="hibrido",K24="glp"),"ECO",IF(K24="electrico","CERO",IF(K24="gasolina",IF(M24&gt;=GAS_C,"C",IF(M24&gt;=GAS_B,"B","A")),IF(K24="diesel",IF(M24&gt;=DIE_C,"C",IF(M24&gt;=DIE_B,"B","A")),""))))</f>
        <v/>
      </c>
      <c r="BG24" s="3">
        <f>IFERROR(VLOOKUP(F24,MOD_TBL,11,0),IFERROR(VLOOKUP(E24,OCU_TBL,2,0),NEUTRO))</f>
        <v/>
      </c>
      <c r="BH24" s="3">
        <f>SUMIFS(MOT_AJUSTE,MOT_MOTOR,G24,MOT_MARCA,E24,MOT_DESDE,"&lt;="&amp;M24,MOT_HASTA,"&gt;="&amp;M24)+SUMIFS(MOT_AJUSTE,MOT_MOTOR,G24,MOT_MARCA,"(todas)",MOT_DESDE,"&lt;="&amp;M24,MOT_HASTA,"&gt;="&amp;M24)</f>
        <v/>
      </c>
      <c r="BI24" s="3">
        <f>SUMIFS(COMB_AJUSTE,COMB_COMB,K24)</f>
        <v/>
      </c>
      <c r="BJ24" s="3">
        <f>COUNTIFS(MOT_MOTOR,G24,MOT_MARCA,E24,MOT_DESDE,"&lt;="&amp;M24,MOT_HASTA,"&gt;="&amp;M24)+COUNTIFS(MOT_MOTOR,G24,MOT_MARCA,"(todas)",MOT_DESDE,"&lt;="&amp;M24,MOT_HASTA,"&gt;="&amp;M24)</f>
        <v/>
      </c>
      <c r="BK24" s="3">
        <f>IF(AND(K24="diesel",BJ24=0),MIN(BG24,NEUTRO),BG24)</f>
        <v/>
      </c>
      <c r="BL24" s="4">
        <f>MAX(0,MIN(100,BK24+BH24+BI24))</f>
        <v/>
      </c>
      <c r="BM24" s="3">
        <f>MAX(0,MIN(100,50+BE24*PRECIO_PEND))</f>
        <v/>
      </c>
      <c r="BN24" s="3">
        <f>MAX(0,100*(1-N24/KM_MAX))</f>
        <v/>
      </c>
      <c r="BO24" s="3">
        <f>IF(AV24&lt;KMA_SOSP,IF(AA24="sí",100,KMA_PEN),IF(AV24&lt;=KMA_IDEAL_MAX,100,MAX(0,100*(KMA_CERO-AV24)/(KMA_CERO-KMA_IDEAL_MAX))))</f>
        <v/>
      </c>
      <c r="BP24" s="3">
        <f>MAX(0,MIN(100,100*(M24-ANIO_MIN)/(ANIO_ACTUAL-ANIO_MIN)))</f>
        <v/>
      </c>
      <c r="BQ24" s="3">
        <f>W_KMT*BN24+W_KMA*BO24+W_EDAD*BP24</f>
        <v/>
      </c>
      <c r="BR24" s="3">
        <f>P_ITV*(V24="sí")+P_LIBRO*(W24="sí")+P_CORREA*(X24="sí")+P_PROP*(Y24=1)+P_GAR*(Z24="sí")+P_FOTOS*MIN(1,N(U24)/FOTOS_OBJ)</f>
        <v/>
      </c>
      <c r="BS24" s="3">
        <f>IFERROR(VLOOKUP(BF24,ETQ_TBL,2,0),NEUTRO)</f>
        <v/>
      </c>
      <c r="BT24" s="3">
        <f>NEUTRO</f>
        <v/>
      </c>
      <c r="BU24" s="3">
        <f>IFERROR(VLOOKUP(L24,SEGURO_TBL,3,0),"")</f>
        <v/>
      </c>
      <c r="BV24" s="3">
        <f>IF(BU24="",NEUTRO,MAX(0,MIN(100,100*(SEG_REF_MAX-BU24)/(SEG_REF_MAX-SEG_REF_MIN))))</f>
        <v/>
      </c>
      <c r="BW24" s="3">
        <f>W_ET*BS24+W_CONS*BT24+W_SEG*BV24</f>
        <v/>
      </c>
      <c r="BX24" s="3">
        <f>IF(N(AB24)&gt;0,AB24,IF(AND(R24="profesional",SG_LEGAL_ON=1),GAR_LEGAL,0))</f>
        <v/>
      </c>
      <c r="BY24" s="3">
        <f>SG_GAR*MIN(1,BX24/SG_GAR_FULL)+SG_AMPL*(AC24="sí")+SG_KMC*(AF24="sí")+SG_REV*(N(AE24)&gt;0)+SG_DEV*MIN(1,N(AG24)/SG_DEV_FULL)+SG_HIST*(W24="sí")</f>
        <v/>
      </c>
      <c r="BZ24" s="3">
        <f>IFERROR(VLOOKUP(L24,CARR_PEN_TBL,2,0),0)</f>
        <v/>
      </c>
      <c r="CA24" s="3">
        <f>W_FIAB*BL24+W_PRECIO*BM24+W_KMEDAD*BQ24+W_ANUNCIO*BR24+W_USO*BW24+W_SEGURIDAD*BY24-BZ24</f>
        <v/>
      </c>
      <c r="CB24" s="4">
        <f>IF(N(I24)&gt;0,I24,IFERROR(ROUND(_xlfn.NUMBERVALUE(LEFT(G24,FIND(" ",G24&amp;" ")-1),".")*1000,0),99999))</f>
        <v/>
      </c>
      <c r="CC24" s="3">
        <f>IF(R24="profesional",0,IF(O24&lt;CUOTA_VALOR_MAX,IF(AU24&gt;ITP_TRAMO_ALTO,SUMIFS(CF_CUOTA,CF_MAS,ITP_TRAMO_ALTO,CF_CCMIN,"&lt;="&amp;CB24,CF_CCMAX,"&gt;="&amp;CB24),IF(AU24&gt;ITP_TRAMO_BAJO,SUMIFS(CF_CUOTA,CF_MAS,ITP_TRAMO_BAJO,CF_CCMIN,"&lt;="&amp;CB24,CF_CCMAX,"&gt;="&amp;CB24),O24*ITP_TIPO)),O24*ITP_TIPO))</f>
        <v/>
      </c>
      <c r="CD24" s="4">
        <f>IF(R24="profesional",N(AK24),0)</f>
        <v/>
      </c>
      <c r="CE24" s="3">
        <f>IF(AND(R24="profesional",ISNUMBER(AK24),AL24="sí"),0,TASA_DGT)</f>
        <v/>
      </c>
      <c r="CF24" s="3">
        <f>INFORME_DGT</f>
        <v/>
      </c>
      <c r="CG24" s="4">
        <f>O24+CD24+CC24+CE24+CF24</f>
        <v/>
      </c>
      <c r="CH24" s="4">
        <f>CG24+N(BU24)</f>
        <v/>
      </c>
      <c r="CI24" s="3">
        <f>IF(CG24&lt;=TOTAL_MAX,"sí",IF(CG24&lt;=TOTAL_MAX+MARGEN_NEG,"negociar","no"))</f>
        <v/>
      </c>
      <c r="CJ24" s="4">
        <f>IF(CI24&lt;&gt;"no",COUNTIFS($CI$2:$CI$662,"&lt;&gt;no",$CA$2:$CA$662,"&gt;"&amp;CA24)+COUNTIFS($CI$2:CI24,"&lt;&gt;no",$CA$2:CA24,CA24),"")</f>
        <v/>
      </c>
    </row>
    <row r="25">
      <c r="A25" s="2" t="inlineStr">
        <is>
          <t>wallapop:1313427276</t>
        </is>
      </c>
      <c r="B25" s="2" t="inlineStr">
        <is>
          <t>wallapop</t>
        </is>
      </c>
      <c r="C25" s="2" t="inlineStr">
        <is>
          <t>https://es.wallapop.com/item/ford-fiesta-ford-fiesta-1-3-ambiente-1313427276</t>
        </is>
      </c>
      <c r="D25" s="2" t="inlineStr">
        <is>
          <t>Ford Fiesta Ford Fiesta 1.3 Ambiente</t>
        </is>
      </c>
      <c r="E25" s="2" t="inlineStr">
        <is>
          <t>Ford</t>
        </is>
      </c>
      <c r="F25" s="2" t="inlineStr">
        <is>
          <t>Ford Fiesta</t>
        </is>
      </c>
      <c r="G25" s="2" t="inlineStr">
        <is>
          <t>1.3</t>
        </is>
      </c>
      <c r="H25" s="2" t="inlineStr">
        <is>
          <t>Ford Fiesta 1.3 Ambiente</t>
        </is>
      </c>
      <c r="I25" s="2" t="n"/>
      <c r="J25" s="2" t="n">
        <v>70</v>
      </c>
      <c r="K25" s="2" t="inlineStr">
        <is>
          <t>gasolina</t>
        </is>
      </c>
      <c r="L25" s="2" t="inlineStr">
        <is>
          <t>utilitario</t>
        </is>
      </c>
      <c r="M25" s="2" t="n">
        <v>2008</v>
      </c>
      <c r="N25" s="2" t="n">
        <v>82000</v>
      </c>
      <c r="O25" s="2" t="n">
        <v>3500</v>
      </c>
      <c r="P25" s="2" t="inlineStr">
        <is>
          <t>manual</t>
        </is>
      </c>
      <c r="Q25" s="2" t="inlineStr">
        <is>
          <t>no</t>
        </is>
      </c>
      <c r="R25" s="2" t="inlineStr">
        <is>
          <t>profesional</t>
        </is>
      </c>
      <c r="S25" s="2" t="inlineStr">
        <is>
          <t>Manises (46940)</t>
        </is>
      </c>
      <c r="T25" s="2" t="inlineStr">
        <is>
          <t>2026-10-30T18:10:07</t>
        </is>
      </c>
      <c r="U25" s="2" t="n">
        <v>9</v>
      </c>
      <c r="V25" s="2" t="n"/>
      <c r="W25" s="2" t="n"/>
      <c r="X25" s="2" t="n"/>
      <c r="Y25" s="2" t="n"/>
      <c r="Z25" s="2" t="n"/>
      <c r="AA25" s="2" t="n"/>
      <c r="AB25" s="2" t="n"/>
      <c r="AC25" s="2" t="n"/>
      <c r="AD25" s="2" t="n"/>
      <c r="AE25" s="2" t="n"/>
      <c r="AF25" s="2" t="n"/>
      <c r="AG25" s="2" t="n"/>
      <c r="AH25" s="2" t="n"/>
      <c r="AI25" s="2" t="n"/>
      <c r="AJ25" s="2" t="n"/>
      <c r="AK25" s="2" t="n"/>
      <c r="AL25" s="2" t="n"/>
      <c r="AM25" s="2" t="n">
        <v>7.2</v>
      </c>
      <c r="AN25" s="2" t="n">
        <v>3500</v>
      </c>
      <c r="AO25" s="2" t="n">
        <v>47</v>
      </c>
      <c r="AP25" s="2" t="inlineStr">
        <is>
          <t>modelo+año</t>
        </is>
      </c>
      <c r="AQ25" s="2" t="inlineStr">
        <is>
          <t>autoscout24:cb47557d-00cb-449b-8153-e5de1e64bdaf (https://www.autoscout24.es/anuncios/ford-fiesta-1-3-ambiente-gasolina-gris-cat_ma29mo1758-cb47557d-00cb-449b-8153-e5de1e64bdaf)</t>
        </is>
      </c>
      <c r="AR25" s="2" t="inlineStr">
        <is>
          <t>vendedor profesional: sin ITP (operación con IVA/REBU, confirmar en factura); gastos de gestión del vendedor no indicados: se suma la tasa DGT; preguntar el precio final</t>
        </is>
      </c>
      <c r="AS25" s="2" t="inlineStr">
        <is>
          <t>🔹- con posibilidad de financiar desde 🔹79€ al mes-🤝🚗
🔹-Ford fiesta 2008 
🔹-1.3 60cv gasolina( a cadena)
🔹-82.000 kilómetros 
🔹-se entrega totalmente al día
🔹- 1 año de garantía 
🔺-3.500€🔻
-SE ACEPTA COCHE INFERIOR COMO PARTE DE PAGO!!🤝🚗
-tiktok @eurocochesmanival
-instam eloy_manival 
(Mini,208,Clío,micra,Ibiza,kalos,picanto,i10,i20,Mazda 2,Golf,polo,a3,Leon,Ibiza,i30,Astra,Megane,307)</t>
        </is>
      </c>
      <c r="AT25" s="2" t="inlineStr">
        <is>
          <t>https://es.wallapop.com/item/ford-fiesta-ford-fiesta-1-3-ambiente-1313427276 (__NEXT_DATA__ item) /home/user/Alopecia/buscador-coches/raw/wallapop/564731e59dcd7515.json</t>
        </is>
      </c>
      <c r="AU25" s="3">
        <f>MAX(ANIO_ACTUAL-M25,0)</f>
        <v/>
      </c>
      <c r="AV25" s="4">
        <f>N25/MAX(AU25,0.5)</f>
        <v/>
      </c>
      <c r="AW25" s="4">
        <f>F25</f>
        <v/>
      </c>
      <c r="AX25" s="3">
        <f>AW25&amp;"|"&amp;INT(M25/SEG_ANIO)*SEG_ANIO</f>
        <v/>
      </c>
      <c r="AY25" s="3">
        <f>AX25&amp;"|"&amp;INT(N25/SEG_KM)*SEG_KM</f>
        <v/>
      </c>
      <c r="AZ25" s="4">
        <f>COUNTIF($AW$2:$AW$662,AW25)</f>
        <v/>
      </c>
      <c r="BA25" s="4">
        <f>COUNTIF($AX$2:$AX$662,AX25)</f>
        <v/>
      </c>
      <c r="BB25" s="4">
        <f>COUNTIF($AY$2:$AY$662,AY25)</f>
        <v/>
      </c>
      <c r="BC25" s="3">
        <f t="array" ref="BC25">IF(N(AO25)&gt;=MIN_N,AN25,IF(BB25&gt;=MIN_N,MEDIAN(IF($AY$2:$AY$662=AY25,$O$2:$O$662)),IF(BA25&gt;=MIN_N,MEDIAN(IF($AX$2:$AX$662=AX25,$O$2:$O$662)),MEDIAN(IF($AW$2:$AW$662=AW25,$O$2:$O$662)))))</f>
        <v/>
      </c>
      <c r="BD25" s="3">
        <f>IF(N(AO25)&gt;=MIN_N,"mercado "&amp;AP25,IF(BB25&gt;=MIN_N,"modelo+año+km",IF(BA25&gt;=MIN_N,"modelo+año","modelo")))</f>
        <v/>
      </c>
      <c r="BE25" s="4">
        <f>(BC25-O25)/BC25</f>
        <v/>
      </c>
      <c r="BF25" s="3">
        <f>IF(OR(K25="hibrido",K25="glp"),"ECO",IF(K25="electrico","CERO",IF(K25="gasolina",IF(M25&gt;=GAS_C,"C",IF(M25&gt;=GAS_B,"B","A")),IF(K25="diesel",IF(M25&gt;=DIE_C,"C",IF(M25&gt;=DIE_B,"B","A")),""))))</f>
        <v/>
      </c>
      <c r="BG25" s="3">
        <f>IFERROR(VLOOKUP(F25,MOD_TBL,11,0),IFERROR(VLOOKUP(E25,OCU_TBL,2,0),NEUTRO))</f>
        <v/>
      </c>
      <c r="BH25" s="3">
        <f>SUMIFS(MOT_AJUSTE,MOT_MOTOR,G25,MOT_MARCA,E25,MOT_DESDE,"&lt;="&amp;M25,MOT_HASTA,"&gt;="&amp;M25)+SUMIFS(MOT_AJUSTE,MOT_MOTOR,G25,MOT_MARCA,"(todas)",MOT_DESDE,"&lt;="&amp;M25,MOT_HASTA,"&gt;="&amp;M25)</f>
        <v/>
      </c>
      <c r="BI25" s="3">
        <f>SUMIFS(COMB_AJUSTE,COMB_COMB,K25)</f>
        <v/>
      </c>
      <c r="BJ25" s="3">
        <f>COUNTIFS(MOT_MOTOR,G25,MOT_MARCA,E25,MOT_DESDE,"&lt;="&amp;M25,MOT_HASTA,"&gt;="&amp;M25)+COUNTIFS(MOT_MOTOR,G25,MOT_MARCA,"(todas)",MOT_DESDE,"&lt;="&amp;M25,MOT_HASTA,"&gt;="&amp;M25)</f>
        <v/>
      </c>
      <c r="BK25" s="3">
        <f>IF(AND(K25="diesel",BJ25=0),MIN(BG25,NEUTRO),BG25)</f>
        <v/>
      </c>
      <c r="BL25" s="4">
        <f>MAX(0,MIN(100,BK25+BH25+BI25))</f>
        <v/>
      </c>
      <c r="BM25" s="3">
        <f>MAX(0,MIN(100,50+BE25*PRECIO_PEND))</f>
        <v/>
      </c>
      <c r="BN25" s="3">
        <f>MAX(0,100*(1-N25/KM_MAX))</f>
        <v/>
      </c>
      <c r="BO25" s="3">
        <f>IF(AV25&lt;KMA_SOSP,IF(AA25="sí",100,KMA_PEN),IF(AV25&lt;=KMA_IDEAL_MAX,100,MAX(0,100*(KMA_CERO-AV25)/(KMA_CERO-KMA_IDEAL_MAX))))</f>
        <v/>
      </c>
      <c r="BP25" s="3">
        <f>MAX(0,MIN(100,100*(M25-ANIO_MIN)/(ANIO_ACTUAL-ANIO_MIN)))</f>
        <v/>
      </c>
      <c r="BQ25" s="3">
        <f>W_KMT*BN25+W_KMA*BO25+W_EDAD*BP25</f>
        <v/>
      </c>
      <c r="BR25" s="3">
        <f>P_ITV*(V25="sí")+P_LIBRO*(W25="sí")+P_CORREA*(X25="sí")+P_PROP*(Y25=1)+P_GAR*(Z25="sí")+P_FOTOS*MIN(1,N(U25)/FOTOS_OBJ)</f>
        <v/>
      </c>
      <c r="BS25" s="3">
        <f>IFERROR(VLOOKUP(BF25,ETQ_TBL,2,0),NEUTRO)</f>
        <v/>
      </c>
      <c r="BT25" s="3">
        <f>NEUTRO</f>
        <v/>
      </c>
      <c r="BU25" s="3">
        <f>IFERROR(VLOOKUP(L25,SEGURO_TBL,3,0),"")</f>
        <v/>
      </c>
      <c r="BV25" s="3">
        <f>IF(BU25="",NEUTRO,MAX(0,MIN(100,100*(SEG_REF_MAX-BU25)/(SEG_REF_MAX-SEG_REF_MIN))))</f>
        <v/>
      </c>
      <c r="BW25" s="3">
        <f>W_ET*BS25+W_CONS*BT25+W_SEG*BV25</f>
        <v/>
      </c>
      <c r="BX25" s="3">
        <f>IF(N(AB25)&gt;0,AB25,IF(AND(R25="profesional",SG_LEGAL_ON=1),GAR_LEGAL,0))</f>
        <v/>
      </c>
      <c r="BY25" s="3">
        <f>SG_GAR*MIN(1,BX25/SG_GAR_FULL)+SG_AMPL*(AC25="sí")+SG_KMC*(AF25="sí")+SG_REV*(N(AE25)&gt;0)+SG_DEV*MIN(1,N(AG25)/SG_DEV_FULL)+SG_HIST*(W25="sí")</f>
        <v/>
      </c>
      <c r="BZ25" s="3">
        <f>IFERROR(VLOOKUP(L25,CARR_PEN_TBL,2,0),0)</f>
        <v/>
      </c>
      <c r="CA25" s="3">
        <f>W_FIAB*BL25+W_PRECIO*BM25+W_KMEDAD*BQ25+W_ANUNCIO*BR25+W_USO*BW25+W_SEGURIDAD*BY25-BZ25</f>
        <v/>
      </c>
      <c r="CB25" s="4">
        <f>IF(N(I25)&gt;0,I25,IFERROR(ROUND(_xlfn.NUMBERVALUE(LEFT(G25,FIND(" ",G25&amp;" ")-1),".")*1000,0),99999))</f>
        <v/>
      </c>
      <c r="CC25" s="3">
        <f>IF(R25="profesional",0,IF(O25&lt;CUOTA_VALOR_MAX,IF(AU25&gt;ITP_TRAMO_ALTO,SUMIFS(CF_CUOTA,CF_MAS,ITP_TRAMO_ALTO,CF_CCMIN,"&lt;="&amp;CB25,CF_CCMAX,"&gt;="&amp;CB25),IF(AU25&gt;ITP_TRAMO_BAJO,SUMIFS(CF_CUOTA,CF_MAS,ITP_TRAMO_BAJO,CF_CCMIN,"&lt;="&amp;CB25,CF_CCMAX,"&gt;="&amp;CB25),O25*ITP_TIPO)),O25*ITP_TIPO))</f>
        <v/>
      </c>
      <c r="CD25" s="4">
        <f>IF(R25="profesional",N(AK25),0)</f>
        <v/>
      </c>
      <c r="CE25" s="3">
        <f>IF(AND(R25="profesional",ISNUMBER(AK25),AL25="sí"),0,TASA_DGT)</f>
        <v/>
      </c>
      <c r="CF25" s="3">
        <f>INFORME_DGT</f>
        <v/>
      </c>
      <c r="CG25" s="4">
        <f>O25+CD25+CC25+CE25+CF25</f>
        <v/>
      </c>
      <c r="CH25" s="4">
        <f>CG25+N(BU25)</f>
        <v/>
      </c>
      <c r="CI25" s="3">
        <f>IF(CG25&lt;=TOTAL_MAX,"sí",IF(CG25&lt;=TOTAL_MAX+MARGEN_NEG,"negociar","no"))</f>
        <v/>
      </c>
      <c r="CJ25" s="4">
        <f>IF(CI25&lt;&gt;"no",COUNTIFS($CI$2:$CI$662,"&lt;&gt;no",$CA$2:$CA$662,"&gt;"&amp;CA25)+COUNTIFS($CI$2:CI25,"&lt;&gt;no",$CA$2:CA25,CA25),"")</f>
        <v/>
      </c>
    </row>
    <row r="26">
      <c r="A26" s="2" t="inlineStr">
        <is>
          <t>autoscout24:a57f66ac-145f-4765-9ec5-fb1cfb789a07</t>
        </is>
      </c>
      <c r="B26" s="2" t="inlineStr">
        <is>
          <t>autoscout24</t>
        </is>
      </c>
      <c r="C26" s="2" t="inlineStr">
        <is>
          <t>https://www.autoscout24.es/anuncios/ford-ka-ka+-ka-1-30tdci-titanium+-diesel-cat_ma29mo1761-a57f66ac-145f-4765-9ec5-fb1cfb789a07</t>
        </is>
      </c>
      <c r="D26" s="2" t="inlineStr">
        <is>
          <t>Ford Ka/Ka+ Ka 1.30TDCi Titanium+</t>
        </is>
      </c>
      <c r="E26" s="2" t="inlineStr">
        <is>
          <t>Ford</t>
        </is>
      </c>
      <c r="F26" s="2" t="inlineStr">
        <is>
          <t>Ford Ka</t>
        </is>
      </c>
      <c r="G26" s="2" t="inlineStr">
        <is>
          <t>1.2 TDCi</t>
        </is>
      </c>
      <c r="H26" s="2" t="inlineStr">
        <is>
          <t>Ka 1.30TDCi Titanium+ 1.3 TDCi</t>
        </is>
      </c>
      <c r="I26" s="2" t="n">
        <v>1248</v>
      </c>
      <c r="J26" s="2" t="n">
        <v>75</v>
      </c>
      <c r="K26" s="2" t="inlineStr">
        <is>
          <t>diesel</t>
        </is>
      </c>
      <c r="L26" s="2" t="inlineStr">
        <is>
          <t>utilitario</t>
        </is>
      </c>
      <c r="M26" s="2" t="n">
        <v>2010</v>
      </c>
      <c r="N26" s="2" t="n">
        <v>172730</v>
      </c>
      <c r="O26" s="2" t="n">
        <v>3500</v>
      </c>
      <c r="P26" s="2" t="inlineStr">
        <is>
          <t>manual</t>
        </is>
      </c>
      <c r="Q26" s="2" t="inlineStr">
        <is>
          <t>no</t>
        </is>
      </c>
      <c r="R26" s="2" t="inlineStr">
        <is>
          <t>particular</t>
        </is>
      </c>
      <c r="S26" s="2" t="inlineStr">
        <is>
          <t>Riba-roja de Túria (46190)</t>
        </is>
      </c>
      <c r="T26" s="2" t="n"/>
      <c r="U26" s="2" t="n">
        <v>8</v>
      </c>
      <c r="V26" s="2" t="n"/>
      <c r="W26" s="2" t="n"/>
      <c r="X26" s="2" t="n"/>
      <c r="Y26" s="2" t="n"/>
      <c r="Z26" s="2" t="n"/>
      <c r="AA26" s="2" t="n"/>
      <c r="AB26" s="2" t="n"/>
      <c r="AC26" s="2" t="n"/>
      <c r="AD26" s="2" t="n"/>
      <c r="AE26" s="2" t="n"/>
      <c r="AF26" s="2" t="n"/>
      <c r="AG26" s="2" t="n"/>
      <c r="AH26" s="2" t="n"/>
      <c r="AI26" s="2" t="n"/>
      <c r="AJ26" s="2" t="n"/>
      <c r="AK26" s="2" t="n"/>
      <c r="AL26" s="2" t="n"/>
      <c r="AM26" s="2" t="n">
        <v>18.4</v>
      </c>
      <c r="AN26" s="2" t="n">
        <v>3000</v>
      </c>
      <c r="AO26" s="2" t="n">
        <v>9</v>
      </c>
      <c r="AP26" s="2" t="inlineStr">
        <is>
          <t>modelo+año</t>
        </is>
      </c>
      <c r="AQ26" s="2" t="n"/>
      <c r="AR26" s="2" t="inlineStr">
        <is>
          <t>cuota fija ITP: &gt;12 años, hasta 1.500 cc; diésel: motor sin fuente de fiabilidad (fiabilidad limitada a neutra); fiabilidad del modelo PENDIENTE de fuente (puntuación neutra)</t>
        </is>
      </c>
      <c r="AS26" s="2" t="inlineStr">
        <is>
          <t>Mecánica e historial impecables con todas sus facturas. Solo detalles estéticos de uso exterior. Ford Ka en Valencia</t>
        </is>
      </c>
      <c r="AT26" s="2" t="inlineStr">
        <is>
          <t>https://www.autoscout24.es/anuncios/ford-ka-ka+-ka-1-30tdci-titanium+-diesel-cat_ma29mo1761-a57f66ac-145f-4765-9ec5-fb1cfb789a07 (__NEXT_DATA__ listingDetails) /home/user/Alopecia/buscador-coches/raw/autoscout24/18605a6df58af184.json</t>
        </is>
      </c>
      <c r="AU26" s="3">
        <f>MAX(ANIO_ACTUAL-M26,0)</f>
        <v/>
      </c>
      <c r="AV26" s="4">
        <f>N26/MAX(AU26,0.5)</f>
        <v/>
      </c>
      <c r="AW26" s="4">
        <f>F26</f>
        <v/>
      </c>
      <c r="AX26" s="3">
        <f>AW26&amp;"|"&amp;INT(M26/SEG_ANIO)*SEG_ANIO</f>
        <v/>
      </c>
      <c r="AY26" s="3">
        <f>AX26&amp;"|"&amp;INT(N26/SEG_KM)*SEG_KM</f>
        <v/>
      </c>
      <c r="AZ26" s="4">
        <f>COUNTIF($AW$2:$AW$662,AW26)</f>
        <v/>
      </c>
      <c r="BA26" s="4">
        <f>COUNTIF($AX$2:$AX$662,AX26)</f>
        <v/>
      </c>
      <c r="BB26" s="4">
        <f>COUNTIF($AY$2:$AY$662,AY26)</f>
        <v/>
      </c>
      <c r="BC26" s="3">
        <f t="array" ref="BC26">IF(N(AO26)&gt;=MIN_N,AN26,IF(BB26&gt;=MIN_N,MEDIAN(IF($AY$2:$AY$662=AY26,$O$2:$O$662)),IF(BA26&gt;=MIN_N,MEDIAN(IF($AX$2:$AX$662=AX26,$O$2:$O$662)),MEDIAN(IF($AW$2:$AW$662=AW26,$O$2:$O$662)))))</f>
        <v/>
      </c>
      <c r="BD26" s="3">
        <f>IF(N(AO26)&gt;=MIN_N,"mercado "&amp;AP26,IF(BB26&gt;=MIN_N,"modelo+año+km",IF(BA26&gt;=MIN_N,"modelo+año","modelo")))</f>
        <v/>
      </c>
      <c r="BE26" s="4">
        <f>(BC26-O26)/BC26</f>
        <v/>
      </c>
      <c r="BF26" s="3">
        <f>IF(OR(K26="hibrido",K26="glp"),"ECO",IF(K26="electrico","CERO",IF(K26="gasolina",IF(M26&gt;=GAS_C,"C",IF(M26&gt;=GAS_B,"B","A")),IF(K26="diesel",IF(M26&gt;=DIE_C,"C",IF(M26&gt;=DIE_B,"B","A")),""))))</f>
        <v/>
      </c>
      <c r="BG26" s="3">
        <f>IFERROR(VLOOKUP(F26,MOD_TBL,11,0),IFERROR(VLOOKUP(E26,OCU_TBL,2,0),NEUTRO))</f>
        <v/>
      </c>
      <c r="BH26" s="3">
        <f>SUMIFS(MOT_AJUSTE,MOT_MOTOR,G26,MOT_MARCA,E26,MOT_DESDE,"&lt;="&amp;M26,MOT_HASTA,"&gt;="&amp;M26)+SUMIFS(MOT_AJUSTE,MOT_MOTOR,G26,MOT_MARCA,"(todas)",MOT_DESDE,"&lt;="&amp;M26,MOT_HASTA,"&gt;="&amp;M26)</f>
        <v/>
      </c>
      <c r="BI26" s="3">
        <f>SUMIFS(COMB_AJUSTE,COMB_COMB,K26)</f>
        <v/>
      </c>
      <c r="BJ26" s="3">
        <f>COUNTIFS(MOT_MOTOR,G26,MOT_MARCA,E26,MOT_DESDE,"&lt;="&amp;M26,MOT_HASTA,"&gt;="&amp;M26)+COUNTIFS(MOT_MOTOR,G26,MOT_MARCA,"(todas)",MOT_DESDE,"&lt;="&amp;M26,MOT_HASTA,"&gt;="&amp;M26)</f>
        <v/>
      </c>
      <c r="BK26" s="3">
        <f>IF(AND(K26="diesel",BJ26=0),MIN(BG26,NEUTRO),BG26)</f>
        <v/>
      </c>
      <c r="BL26" s="4">
        <f>MAX(0,MIN(100,BK26+BH26+BI26))</f>
        <v/>
      </c>
      <c r="BM26" s="3">
        <f>MAX(0,MIN(100,50+BE26*PRECIO_PEND))</f>
        <v/>
      </c>
      <c r="BN26" s="3">
        <f>MAX(0,100*(1-N26/KM_MAX))</f>
        <v/>
      </c>
      <c r="BO26" s="3">
        <f>IF(AV26&lt;KMA_SOSP,IF(AA26="sí",100,KMA_PEN),IF(AV26&lt;=KMA_IDEAL_MAX,100,MAX(0,100*(KMA_CERO-AV26)/(KMA_CERO-KMA_IDEAL_MAX))))</f>
        <v/>
      </c>
      <c r="BP26" s="3">
        <f>MAX(0,MIN(100,100*(M26-ANIO_MIN)/(ANIO_ACTUAL-ANIO_MIN)))</f>
        <v/>
      </c>
      <c r="BQ26" s="3">
        <f>W_KMT*BN26+W_KMA*BO26+W_EDAD*BP26</f>
        <v/>
      </c>
      <c r="BR26" s="3">
        <f>P_ITV*(V26="sí")+P_LIBRO*(W26="sí")+P_CORREA*(X26="sí")+P_PROP*(Y26=1)+P_GAR*(Z26="sí")+P_FOTOS*MIN(1,N(U26)/FOTOS_OBJ)</f>
        <v/>
      </c>
      <c r="BS26" s="3">
        <f>IFERROR(VLOOKUP(BF26,ETQ_TBL,2,0),NEUTRO)</f>
        <v/>
      </c>
      <c r="BT26" s="3">
        <f>NEUTRO</f>
        <v/>
      </c>
      <c r="BU26" s="3">
        <f>IFERROR(VLOOKUP(L26,SEGURO_TBL,3,0),"")</f>
        <v/>
      </c>
      <c r="BV26" s="3">
        <f>IF(BU26="",NEUTRO,MAX(0,MIN(100,100*(SEG_REF_MAX-BU26)/(SEG_REF_MAX-SEG_REF_MIN))))</f>
        <v/>
      </c>
      <c r="BW26" s="3">
        <f>W_ET*BS26+W_CONS*BT26+W_SEG*BV26</f>
        <v/>
      </c>
      <c r="BX26" s="3">
        <f>IF(N(AB26)&gt;0,AB26,IF(AND(R26="profesional",SG_LEGAL_ON=1),GAR_LEGAL,0))</f>
        <v/>
      </c>
      <c r="BY26" s="3">
        <f>SG_GAR*MIN(1,BX26/SG_GAR_FULL)+SG_AMPL*(AC26="sí")+SG_KMC*(AF26="sí")+SG_REV*(N(AE26)&gt;0)+SG_DEV*MIN(1,N(AG26)/SG_DEV_FULL)+SG_HIST*(W26="sí")</f>
        <v/>
      </c>
      <c r="BZ26" s="3">
        <f>IFERROR(VLOOKUP(L26,CARR_PEN_TBL,2,0),0)</f>
        <v/>
      </c>
      <c r="CA26" s="3">
        <f>W_FIAB*BL26+W_PRECIO*BM26+W_KMEDAD*BQ26+W_ANUNCIO*BR26+W_USO*BW26+W_SEGURIDAD*BY26-BZ26</f>
        <v/>
      </c>
      <c r="CB26" s="4">
        <f>IF(N(I26)&gt;0,I26,IFERROR(ROUND(_xlfn.NUMBERVALUE(LEFT(G26,FIND(" ",G26&amp;" ")-1),".")*1000,0),99999))</f>
        <v/>
      </c>
      <c r="CC26" s="3">
        <f>IF(R26="profesional",0,IF(O26&lt;CUOTA_VALOR_MAX,IF(AU26&gt;ITP_TRAMO_ALTO,SUMIFS(CF_CUOTA,CF_MAS,ITP_TRAMO_ALTO,CF_CCMIN,"&lt;="&amp;CB26,CF_CCMAX,"&gt;="&amp;CB26),IF(AU26&gt;ITP_TRAMO_BAJO,SUMIFS(CF_CUOTA,CF_MAS,ITP_TRAMO_BAJO,CF_CCMIN,"&lt;="&amp;CB26,CF_CCMAX,"&gt;="&amp;CB26),O26*ITP_TIPO)),O26*ITP_TIPO))</f>
        <v/>
      </c>
      <c r="CD26" s="4">
        <f>IF(R26="profesional",N(AK26),0)</f>
        <v/>
      </c>
      <c r="CE26" s="3">
        <f>IF(AND(R26="profesional",ISNUMBER(AK26),AL26="sí"),0,TASA_DGT)</f>
        <v/>
      </c>
      <c r="CF26" s="3">
        <f>INFORME_DGT</f>
        <v/>
      </c>
      <c r="CG26" s="4">
        <f>O26+CD26+CC26+CE26+CF26</f>
        <v/>
      </c>
      <c r="CH26" s="4">
        <f>CG26+N(BU26)</f>
        <v/>
      </c>
      <c r="CI26" s="3">
        <f>IF(CG26&lt;=TOTAL_MAX,"sí",IF(CG26&lt;=TOTAL_MAX+MARGEN_NEG,"negociar","no"))</f>
        <v/>
      </c>
      <c r="CJ26" s="4">
        <f>IF(CI26&lt;&gt;"no",COUNTIFS($CI$2:$CI$662,"&lt;&gt;no",$CA$2:$CA$662,"&gt;"&amp;CA26)+COUNTIFS($CI$2:CI26,"&lt;&gt;no",$CA$2:CA26,CA26),"")</f>
        <v/>
      </c>
    </row>
    <row r="27">
      <c r="A27" s="2" t="inlineStr">
        <is>
          <t>autoscout24:c0e51c94-8ec0-4a36-8134-caae0331b183</t>
        </is>
      </c>
      <c r="B27" s="2" t="inlineStr">
        <is>
          <t>autoscout24</t>
        </is>
      </c>
      <c r="C27" s="2" t="inlineStr">
        <is>
          <t>https://www.autoscout24.es/anuncios/fiat-punto-punto-1-2-feel-classic-feel-classic-gasolina-rojo-cat_ma28mo1747-c0e51c94-8ec0-4a36-8134-caae0331b183</t>
        </is>
      </c>
      <c r="D27" s="2" t="inlineStr">
        <is>
          <t>Fiat Punto Punto 1.2 Feel/Classic Feel/Classic</t>
        </is>
      </c>
      <c r="E27" s="2" t="inlineStr">
        <is>
          <t>Fiat</t>
        </is>
      </c>
      <c r="F27" s="2" t="inlineStr">
        <is>
          <t>Fiat Punto</t>
        </is>
      </c>
      <c r="G27" s="2" t="inlineStr">
        <is>
          <t>1.2</t>
        </is>
      </c>
      <c r="H27" s="2" t="inlineStr">
        <is>
          <t>Punto 1.2 Feel/Classic Feel/Classic 1.2 8V</t>
        </is>
      </c>
      <c r="I27" s="2" t="n">
        <v>1242</v>
      </c>
      <c r="J27" s="2" t="n">
        <v>60</v>
      </c>
      <c r="K27" s="2" t="inlineStr">
        <is>
          <t>gasolina</t>
        </is>
      </c>
      <c r="L27" s="2" t="inlineStr">
        <is>
          <t>utilitario</t>
        </is>
      </c>
      <c r="M27" s="2" t="n">
        <v>2009</v>
      </c>
      <c r="N27" s="2" t="n">
        <v>114000</v>
      </c>
      <c r="O27" s="2" t="n">
        <v>3900</v>
      </c>
      <c r="P27" s="2" t="inlineStr">
        <is>
          <t>manual</t>
        </is>
      </c>
      <c r="Q27" s="2" t="inlineStr">
        <is>
          <t>no</t>
        </is>
      </c>
      <c r="R27" s="2" t="inlineStr">
        <is>
          <t>particular</t>
        </is>
      </c>
      <c r="S27" s="2" t="inlineStr">
        <is>
          <t>Vilamarxant (46191)</t>
        </is>
      </c>
      <c r="T27" s="2" t="n"/>
      <c r="U27" s="2" t="n">
        <v>5</v>
      </c>
      <c r="V27" s="2" t="inlineStr">
        <is>
          <t>sí</t>
        </is>
      </c>
      <c r="W27" s="2" t="n"/>
      <c r="X27" s="2" t="n"/>
      <c r="Y27" s="2" t="n"/>
      <c r="Z27" s="2" t="n"/>
      <c r="AA27" s="2" t="n"/>
      <c r="AB27" s="2" t="n"/>
      <c r="AC27" s="2" t="n"/>
      <c r="AD27" s="2" t="n"/>
      <c r="AE27" s="2" t="n"/>
      <c r="AF27" s="2" t="n"/>
      <c r="AG27" s="2" t="n"/>
      <c r="AH27" s="2" t="n"/>
      <c r="AI27" s="2" t="n"/>
      <c r="AJ27" s="2" t="n"/>
      <c r="AK27" s="2" t="n"/>
      <c r="AL27" s="2" t="n"/>
      <c r="AM27" s="2" t="n">
        <v>20.6</v>
      </c>
      <c r="AN27" s="2" t="n">
        <v>2500</v>
      </c>
      <c r="AO27" s="2" t="n">
        <v>13</v>
      </c>
      <c r="AP27" s="2" t="inlineStr">
        <is>
          <t>modelo+año</t>
        </is>
      </c>
      <c r="AQ27" s="2" t="n"/>
      <c r="AR27" s="2" t="inlineStr">
        <is>
          <t>cuota fija ITP: &gt;12 años, hasta 1.500 cc; fiabilidad del modelo PENDIENTE de fuente (puntuación neutra)</t>
        </is>
      </c>
      <c r="AS27" s="2" t="inlineStr">
        <is>
          <t>Vendo Fiat Punto gasolina del año 2009, con 114. 000km por cambio a coche eléctrico . Coche cuidado y en buen estado general, ideal como coche urbano o segundo vehículo.&lt;br /&gt;- Etiqueta C&lt;br /&gt;- ITV hasta noviembre de 2026.&lt;br /&gt;- Aire Acondicionado&lt;br /&gt;- Mantenimiento realizado regularmente, con facturas disponibles.&lt;br /&gt;-Pastillas de freno delanteras sustituidas.&lt;br /&gt;- Batería nueva.&lt;br /&gt;- Bujías nuevas.&lt;br /&gt;- 4 neumáticos sustituidos: traseros en noviembre y delanteros recientemente .&lt;br /&gt;- 2 llaves&lt;br /&gt;Se puede ver y probar sin compromiso&lt;br /&gt;€ Precio negociable&lt;br /&gt;Se escuchan ofertas razonables una vez visto el vehículo.&lt;br /&gt;</t>
        </is>
      </c>
      <c r="AT27" s="2" t="inlineStr">
        <is>
          <t>https://www.autoscout24.es/anuncios/fiat-punto-punto-1-2-feel-classic-feel-classic-gasolina-rojo-cat_ma28mo1747-c0e51c94-8ec0-4a36-8134-caae0331b183 (__NEXT_DATA__ listingDetails) /home/user/Alopecia/buscador-coches/raw/autoscout24/4d7631f2559e0d7b.json</t>
        </is>
      </c>
      <c r="AU27" s="3">
        <f>MAX(ANIO_ACTUAL-M27,0)</f>
        <v/>
      </c>
      <c r="AV27" s="4">
        <f>N27/MAX(AU27,0.5)</f>
        <v/>
      </c>
      <c r="AW27" s="4">
        <f>F27</f>
        <v/>
      </c>
      <c r="AX27" s="3">
        <f>AW27&amp;"|"&amp;INT(M27/SEG_ANIO)*SEG_ANIO</f>
        <v/>
      </c>
      <c r="AY27" s="3">
        <f>AX27&amp;"|"&amp;INT(N27/SEG_KM)*SEG_KM</f>
        <v/>
      </c>
      <c r="AZ27" s="4">
        <f>COUNTIF($AW$2:$AW$662,AW27)</f>
        <v/>
      </c>
      <c r="BA27" s="4">
        <f>COUNTIF($AX$2:$AX$662,AX27)</f>
        <v/>
      </c>
      <c r="BB27" s="4">
        <f>COUNTIF($AY$2:$AY$662,AY27)</f>
        <v/>
      </c>
      <c r="BC27" s="3">
        <f t="array" ref="BC27">IF(N(AO27)&gt;=MIN_N,AN27,IF(BB27&gt;=MIN_N,MEDIAN(IF($AY$2:$AY$662=AY27,$O$2:$O$662)),IF(BA27&gt;=MIN_N,MEDIAN(IF($AX$2:$AX$662=AX27,$O$2:$O$662)),MEDIAN(IF($AW$2:$AW$662=AW27,$O$2:$O$662)))))</f>
        <v/>
      </c>
      <c r="BD27" s="3">
        <f>IF(N(AO27)&gt;=MIN_N,"mercado "&amp;AP27,IF(BB27&gt;=MIN_N,"modelo+año+km",IF(BA27&gt;=MIN_N,"modelo+año","modelo")))</f>
        <v/>
      </c>
      <c r="BE27" s="4">
        <f>(BC27-O27)/BC27</f>
        <v/>
      </c>
      <c r="BF27" s="3">
        <f>IF(OR(K27="hibrido",K27="glp"),"ECO",IF(K27="electrico","CERO",IF(K27="gasolina",IF(M27&gt;=GAS_C,"C",IF(M27&gt;=GAS_B,"B","A")),IF(K27="diesel",IF(M27&gt;=DIE_C,"C",IF(M27&gt;=DIE_B,"B","A")),""))))</f>
        <v/>
      </c>
      <c r="BG27" s="3">
        <f>IFERROR(VLOOKUP(F27,MOD_TBL,11,0),IFERROR(VLOOKUP(E27,OCU_TBL,2,0),NEUTRO))</f>
        <v/>
      </c>
      <c r="BH27" s="3">
        <f>SUMIFS(MOT_AJUSTE,MOT_MOTOR,G27,MOT_MARCA,E27,MOT_DESDE,"&lt;="&amp;M27,MOT_HASTA,"&gt;="&amp;M27)+SUMIFS(MOT_AJUSTE,MOT_MOTOR,G27,MOT_MARCA,"(todas)",MOT_DESDE,"&lt;="&amp;M27,MOT_HASTA,"&gt;="&amp;M27)</f>
        <v/>
      </c>
      <c r="BI27" s="3">
        <f>SUMIFS(COMB_AJUSTE,COMB_COMB,K27)</f>
        <v/>
      </c>
      <c r="BJ27" s="3">
        <f>COUNTIFS(MOT_MOTOR,G27,MOT_MARCA,E27,MOT_DESDE,"&lt;="&amp;M27,MOT_HASTA,"&gt;="&amp;M27)+COUNTIFS(MOT_MOTOR,G27,MOT_MARCA,"(todas)",MOT_DESDE,"&lt;="&amp;M27,MOT_HASTA,"&gt;="&amp;M27)</f>
        <v/>
      </c>
      <c r="BK27" s="3">
        <f>IF(AND(K27="diesel",BJ27=0),MIN(BG27,NEUTRO),BG27)</f>
        <v/>
      </c>
      <c r="BL27" s="4">
        <f>MAX(0,MIN(100,BK27+BH27+BI27))</f>
        <v/>
      </c>
      <c r="BM27" s="3">
        <f>MAX(0,MIN(100,50+BE27*PRECIO_PEND))</f>
        <v/>
      </c>
      <c r="BN27" s="3">
        <f>MAX(0,100*(1-N27/KM_MAX))</f>
        <v/>
      </c>
      <c r="BO27" s="3">
        <f>IF(AV27&lt;KMA_SOSP,IF(AA27="sí",100,KMA_PEN),IF(AV27&lt;=KMA_IDEAL_MAX,100,MAX(0,100*(KMA_CERO-AV27)/(KMA_CERO-KMA_IDEAL_MAX))))</f>
        <v/>
      </c>
      <c r="BP27" s="3">
        <f>MAX(0,MIN(100,100*(M27-ANIO_MIN)/(ANIO_ACTUAL-ANIO_MIN)))</f>
        <v/>
      </c>
      <c r="BQ27" s="3">
        <f>W_KMT*BN27+W_KMA*BO27+W_EDAD*BP27</f>
        <v/>
      </c>
      <c r="BR27" s="3">
        <f>P_ITV*(V27="sí")+P_LIBRO*(W27="sí")+P_CORREA*(X27="sí")+P_PROP*(Y27=1)+P_GAR*(Z27="sí")+P_FOTOS*MIN(1,N(U27)/FOTOS_OBJ)</f>
        <v/>
      </c>
      <c r="BS27" s="3">
        <f>IFERROR(VLOOKUP(BF27,ETQ_TBL,2,0),NEUTRO)</f>
        <v/>
      </c>
      <c r="BT27" s="3">
        <f>NEUTRO</f>
        <v/>
      </c>
      <c r="BU27" s="3">
        <f>IFERROR(VLOOKUP(L27,SEGURO_TBL,3,0),"")</f>
        <v/>
      </c>
      <c r="BV27" s="3">
        <f>IF(BU27="",NEUTRO,MAX(0,MIN(100,100*(SEG_REF_MAX-BU27)/(SEG_REF_MAX-SEG_REF_MIN))))</f>
        <v/>
      </c>
      <c r="BW27" s="3">
        <f>W_ET*BS27+W_CONS*BT27+W_SEG*BV27</f>
        <v/>
      </c>
      <c r="BX27" s="3">
        <f>IF(N(AB27)&gt;0,AB27,IF(AND(R27="profesional",SG_LEGAL_ON=1),GAR_LEGAL,0))</f>
        <v/>
      </c>
      <c r="BY27" s="3">
        <f>SG_GAR*MIN(1,BX27/SG_GAR_FULL)+SG_AMPL*(AC27="sí")+SG_KMC*(AF27="sí")+SG_REV*(N(AE27)&gt;0)+SG_DEV*MIN(1,N(AG27)/SG_DEV_FULL)+SG_HIST*(W27="sí")</f>
        <v/>
      </c>
      <c r="BZ27" s="3">
        <f>IFERROR(VLOOKUP(L27,CARR_PEN_TBL,2,0),0)</f>
        <v/>
      </c>
      <c r="CA27" s="3">
        <f>W_FIAB*BL27+W_PRECIO*BM27+W_KMEDAD*BQ27+W_ANUNCIO*BR27+W_USO*BW27+W_SEGURIDAD*BY27-BZ27</f>
        <v/>
      </c>
      <c r="CB27" s="4">
        <f>IF(N(I27)&gt;0,I27,IFERROR(ROUND(_xlfn.NUMBERVALUE(LEFT(G27,FIND(" ",G27&amp;" ")-1),".")*1000,0),99999))</f>
        <v/>
      </c>
      <c r="CC27" s="3">
        <f>IF(R27="profesional",0,IF(O27&lt;CUOTA_VALOR_MAX,IF(AU27&gt;ITP_TRAMO_ALTO,SUMIFS(CF_CUOTA,CF_MAS,ITP_TRAMO_ALTO,CF_CCMIN,"&lt;="&amp;CB27,CF_CCMAX,"&gt;="&amp;CB27),IF(AU27&gt;ITP_TRAMO_BAJO,SUMIFS(CF_CUOTA,CF_MAS,ITP_TRAMO_BAJO,CF_CCMIN,"&lt;="&amp;CB27,CF_CCMAX,"&gt;="&amp;CB27),O27*ITP_TIPO)),O27*ITP_TIPO))</f>
        <v/>
      </c>
      <c r="CD27" s="4">
        <f>IF(R27="profesional",N(AK27),0)</f>
        <v/>
      </c>
      <c r="CE27" s="3">
        <f>IF(AND(R27="profesional",ISNUMBER(AK27),AL27="sí"),0,TASA_DGT)</f>
        <v/>
      </c>
      <c r="CF27" s="3">
        <f>INFORME_DGT</f>
        <v/>
      </c>
      <c r="CG27" s="4">
        <f>O27+CD27+CC27+CE27+CF27</f>
        <v/>
      </c>
      <c r="CH27" s="4">
        <f>CG27+N(BU27)</f>
        <v/>
      </c>
      <c r="CI27" s="3">
        <f>IF(CG27&lt;=TOTAL_MAX,"sí",IF(CG27&lt;=TOTAL_MAX+MARGEN_NEG,"negociar","no"))</f>
        <v/>
      </c>
      <c r="CJ27" s="4">
        <f>IF(CI27&lt;&gt;"no",COUNTIFS($CI$2:$CI$662,"&lt;&gt;no",$CA$2:$CA$662,"&gt;"&amp;CA27)+COUNTIFS($CI$2:CI27,"&lt;&gt;no",$CA$2:CA27,CA27),"")</f>
        <v/>
      </c>
    </row>
    <row r="28">
      <c r="A28" s="2" t="inlineStr">
        <is>
          <t>autoscout24:8b610c99-c37b-4f70-8870-40b71f5c62f6</t>
        </is>
      </c>
      <c r="B28" s="2" t="inlineStr">
        <is>
          <t>autoscout24</t>
        </is>
      </c>
      <c r="C28" s="2" t="inlineStr">
        <is>
          <t>https://www.autoscout24.es/anuncios/fiat-500-500-0-9-t-twinair-pop-85-pop-gasolina-azul-cat_ma28mo15160-8b610c99-c37b-4f70-8870-40b71f5c62f6</t>
        </is>
      </c>
      <c r="D28" s="2" t="inlineStr">
        <is>
          <t>Fiat 500 500 0.9 T TwinAir Pop 85 Pop</t>
        </is>
      </c>
      <c r="E28" s="2" t="inlineStr">
        <is>
          <t>Fiat</t>
        </is>
      </c>
      <c r="F28" s="2" t="inlineStr">
        <is>
          <t>Fiat 500</t>
        </is>
      </c>
      <c r="G28" s="2" t="inlineStr">
        <is>
          <t>0.9</t>
        </is>
      </c>
      <c r="H28" s="2" t="inlineStr">
        <is>
          <t>500 0.9 T TwinAir Pop 85 Pop 0.9</t>
        </is>
      </c>
      <c r="I28" s="2" t="n">
        <v>875</v>
      </c>
      <c r="J28" s="2" t="n">
        <v>84</v>
      </c>
      <c r="K28" s="2" t="inlineStr">
        <is>
          <t>gasolina</t>
        </is>
      </c>
      <c r="L28" s="2" t="inlineStr">
        <is>
          <t>utilitario</t>
        </is>
      </c>
      <c r="M28" s="2" t="n">
        <v>2010</v>
      </c>
      <c r="N28" s="2" t="n">
        <v>133218</v>
      </c>
      <c r="O28" s="2" t="n">
        <v>4200</v>
      </c>
      <c r="P28" s="2" t="inlineStr">
        <is>
          <t>manual</t>
        </is>
      </c>
      <c r="Q28" s="2" t="inlineStr">
        <is>
          <t>no</t>
        </is>
      </c>
      <c r="R28" s="2" t="inlineStr">
        <is>
          <t>particular</t>
        </is>
      </c>
      <c r="S28" s="2" t="inlineStr">
        <is>
          <t>València (46006)</t>
        </is>
      </c>
      <c r="T28" s="2" t="n"/>
      <c r="U28" s="2" t="n">
        <v>19</v>
      </c>
      <c r="V28" s="2" t="n"/>
      <c r="W28" s="2" t="n"/>
      <c r="X28" s="2" t="n"/>
      <c r="Y28" s="2" t="n"/>
      <c r="Z28" s="2" t="n"/>
      <c r="AA28" s="2" t="n"/>
      <c r="AB28" s="2" t="n"/>
      <c r="AC28" s="2" t="n"/>
      <c r="AD28" s="2" t="n"/>
      <c r="AE28" s="2" t="n"/>
      <c r="AF28" s="2" t="n"/>
      <c r="AG28" s="2" t="n"/>
      <c r="AH28" s="2" t="n"/>
      <c r="AI28" s="2" t="n"/>
      <c r="AJ28" s="2" t="n"/>
      <c r="AK28" s="2" t="n"/>
      <c r="AL28" s="2" t="n"/>
      <c r="AM28" s="2" t="n">
        <v>1.4</v>
      </c>
      <c r="AN28" s="2" t="n">
        <v>5500</v>
      </c>
      <c r="AO28" s="2" t="n">
        <v>7</v>
      </c>
      <c r="AP28" s="2" t="inlineStr">
        <is>
          <t>modelo+año+km</t>
        </is>
      </c>
      <c r="AQ28" s="2" t="n"/>
      <c r="AR28" s="2" t="inlineStr">
        <is>
          <t>cuota fija ITP: &gt;12 años, hasta 1.500 cc</t>
        </is>
      </c>
      <c r="AS28" s="2" t="inlineStr">
        <is>
          <t>Se vende Fiat 500 1.2 de 69 CV, un vehículo fiable, económico y perfecto tanto para ciudad como para carretera. Destaca por su bajo consumo, facilidad de aparcamiento y mantenimiento asequible.&lt;br /&gt;El coche cuenta con 133.218 km y se encuentra en buen estado, listo para seguir circulando. Se puede ver y probar sin compromiso en Valencia.&lt;br /&gt;Características&lt;br /&gt;* Motor 1.2 Gasolina (1.242 cc)&lt;br /&gt;* 69 CV (51 kW)&lt;br /&gt;* Cambio manual&lt;br /&gt;* 4 plazas&lt;br /&gt;* 133.218 km&lt;br /&gt;* Bajo consumo&lt;br /&gt;* Mantenimiento económico&lt;br /&gt;* Documentación al día&lt;br /&gt;Ideal como primer coche, para desplazamientos diarios o como vehículo urbano.</t>
        </is>
      </c>
      <c r="AT28" s="2" t="inlineStr">
        <is>
          <t>https://www.autoscout24.es/anuncios/fiat-500-500-0-9-t-twinair-pop-85-pop-gasolina-azul-cat_ma28mo15160-8b610c99-c37b-4f70-8870-40b71f5c62f6 (__NEXT_DATA__ listingDetails) /home/user/Alopecia/buscador-coches/raw/autoscout24/8c6a9964f7b01d4a.json</t>
        </is>
      </c>
      <c r="AU28" s="3">
        <f>MAX(ANIO_ACTUAL-M28,0)</f>
        <v/>
      </c>
      <c r="AV28" s="4">
        <f>N28/MAX(AU28,0.5)</f>
        <v/>
      </c>
      <c r="AW28" s="4">
        <f>F28</f>
        <v/>
      </c>
      <c r="AX28" s="3">
        <f>AW28&amp;"|"&amp;INT(M28/SEG_ANIO)*SEG_ANIO</f>
        <v/>
      </c>
      <c r="AY28" s="3">
        <f>AX28&amp;"|"&amp;INT(N28/SEG_KM)*SEG_KM</f>
        <v/>
      </c>
      <c r="AZ28" s="4">
        <f>COUNTIF($AW$2:$AW$662,AW28)</f>
        <v/>
      </c>
      <c r="BA28" s="4">
        <f>COUNTIF($AX$2:$AX$662,AX28)</f>
        <v/>
      </c>
      <c r="BB28" s="4">
        <f>COUNTIF($AY$2:$AY$662,AY28)</f>
        <v/>
      </c>
      <c r="BC28" s="3">
        <f t="array" ref="BC28">IF(N(AO28)&gt;=MIN_N,AN28,IF(BB28&gt;=MIN_N,MEDIAN(IF($AY$2:$AY$662=AY28,$O$2:$O$662)),IF(BA28&gt;=MIN_N,MEDIAN(IF($AX$2:$AX$662=AX28,$O$2:$O$662)),MEDIAN(IF($AW$2:$AW$662=AW28,$O$2:$O$662)))))</f>
        <v/>
      </c>
      <c r="BD28" s="3">
        <f>IF(N(AO28)&gt;=MIN_N,"mercado "&amp;AP28,IF(BB28&gt;=MIN_N,"modelo+año+km",IF(BA28&gt;=MIN_N,"modelo+año","modelo")))</f>
        <v/>
      </c>
      <c r="BE28" s="4">
        <f>(BC28-O28)/BC28</f>
        <v/>
      </c>
      <c r="BF28" s="3">
        <f>IF(OR(K28="hibrido",K28="glp"),"ECO",IF(K28="electrico","CERO",IF(K28="gasolina",IF(M28&gt;=GAS_C,"C",IF(M28&gt;=GAS_B,"B","A")),IF(K28="diesel",IF(M28&gt;=DIE_C,"C",IF(M28&gt;=DIE_B,"B","A")),""))))</f>
        <v/>
      </c>
      <c r="BG28" s="3">
        <f>IFERROR(VLOOKUP(F28,MOD_TBL,11,0),IFERROR(VLOOKUP(E28,OCU_TBL,2,0),NEUTRO))</f>
        <v/>
      </c>
      <c r="BH28" s="3">
        <f>SUMIFS(MOT_AJUSTE,MOT_MOTOR,G28,MOT_MARCA,E28,MOT_DESDE,"&lt;="&amp;M28,MOT_HASTA,"&gt;="&amp;M28)+SUMIFS(MOT_AJUSTE,MOT_MOTOR,G28,MOT_MARCA,"(todas)",MOT_DESDE,"&lt;="&amp;M28,MOT_HASTA,"&gt;="&amp;M28)</f>
        <v/>
      </c>
      <c r="BI28" s="3">
        <f>SUMIFS(COMB_AJUSTE,COMB_COMB,K28)</f>
        <v/>
      </c>
      <c r="BJ28" s="3">
        <f>COUNTIFS(MOT_MOTOR,G28,MOT_MARCA,E28,MOT_DESDE,"&lt;="&amp;M28,MOT_HASTA,"&gt;="&amp;M28)+COUNTIFS(MOT_MOTOR,G28,MOT_MARCA,"(todas)",MOT_DESDE,"&lt;="&amp;M28,MOT_HASTA,"&gt;="&amp;M28)</f>
        <v/>
      </c>
      <c r="BK28" s="3">
        <f>IF(AND(K28="diesel",BJ28=0),MIN(BG28,NEUTRO),BG28)</f>
        <v/>
      </c>
      <c r="BL28" s="4">
        <f>MAX(0,MIN(100,BK28+BH28+BI28))</f>
        <v/>
      </c>
      <c r="BM28" s="3">
        <f>MAX(0,MIN(100,50+BE28*PRECIO_PEND))</f>
        <v/>
      </c>
      <c r="BN28" s="3">
        <f>MAX(0,100*(1-N28/KM_MAX))</f>
        <v/>
      </c>
      <c r="BO28" s="3">
        <f>IF(AV28&lt;KMA_SOSP,IF(AA28="sí",100,KMA_PEN),IF(AV28&lt;=KMA_IDEAL_MAX,100,MAX(0,100*(KMA_CERO-AV28)/(KMA_CERO-KMA_IDEAL_MAX))))</f>
        <v/>
      </c>
      <c r="BP28" s="3">
        <f>MAX(0,MIN(100,100*(M28-ANIO_MIN)/(ANIO_ACTUAL-ANIO_MIN)))</f>
        <v/>
      </c>
      <c r="BQ28" s="3">
        <f>W_KMT*BN28+W_KMA*BO28+W_EDAD*BP28</f>
        <v/>
      </c>
      <c r="BR28" s="3">
        <f>P_ITV*(V28="sí")+P_LIBRO*(W28="sí")+P_CORREA*(X28="sí")+P_PROP*(Y28=1)+P_GAR*(Z28="sí")+P_FOTOS*MIN(1,N(U28)/FOTOS_OBJ)</f>
        <v/>
      </c>
      <c r="BS28" s="3">
        <f>IFERROR(VLOOKUP(BF28,ETQ_TBL,2,0),NEUTRO)</f>
        <v/>
      </c>
      <c r="BT28" s="3">
        <f>NEUTRO</f>
        <v/>
      </c>
      <c r="BU28" s="3">
        <f>IFERROR(VLOOKUP(L28,SEGURO_TBL,3,0),"")</f>
        <v/>
      </c>
      <c r="BV28" s="3">
        <f>IF(BU28="",NEUTRO,MAX(0,MIN(100,100*(SEG_REF_MAX-BU28)/(SEG_REF_MAX-SEG_REF_MIN))))</f>
        <v/>
      </c>
      <c r="BW28" s="3">
        <f>W_ET*BS28+W_CONS*BT28+W_SEG*BV28</f>
        <v/>
      </c>
      <c r="BX28" s="3">
        <f>IF(N(AB28)&gt;0,AB28,IF(AND(R28="profesional",SG_LEGAL_ON=1),GAR_LEGAL,0))</f>
        <v/>
      </c>
      <c r="BY28" s="3">
        <f>SG_GAR*MIN(1,BX28/SG_GAR_FULL)+SG_AMPL*(AC28="sí")+SG_KMC*(AF28="sí")+SG_REV*(N(AE28)&gt;0)+SG_DEV*MIN(1,N(AG28)/SG_DEV_FULL)+SG_HIST*(W28="sí")</f>
        <v/>
      </c>
      <c r="BZ28" s="3">
        <f>IFERROR(VLOOKUP(L28,CARR_PEN_TBL,2,0),0)</f>
        <v/>
      </c>
      <c r="CA28" s="3">
        <f>W_FIAB*BL28+W_PRECIO*BM28+W_KMEDAD*BQ28+W_ANUNCIO*BR28+W_USO*BW28+W_SEGURIDAD*BY28-BZ28</f>
        <v/>
      </c>
      <c r="CB28" s="4">
        <f>IF(N(I28)&gt;0,I28,IFERROR(ROUND(_xlfn.NUMBERVALUE(LEFT(G28,FIND(" ",G28&amp;" ")-1),".")*1000,0),99999))</f>
        <v/>
      </c>
      <c r="CC28" s="3">
        <f>IF(R28="profesional",0,IF(O28&lt;CUOTA_VALOR_MAX,IF(AU28&gt;ITP_TRAMO_ALTO,SUMIFS(CF_CUOTA,CF_MAS,ITP_TRAMO_ALTO,CF_CCMIN,"&lt;="&amp;CB28,CF_CCMAX,"&gt;="&amp;CB28),IF(AU28&gt;ITP_TRAMO_BAJO,SUMIFS(CF_CUOTA,CF_MAS,ITP_TRAMO_BAJO,CF_CCMIN,"&lt;="&amp;CB28,CF_CCMAX,"&gt;="&amp;CB28),O28*ITP_TIPO)),O28*ITP_TIPO))</f>
        <v/>
      </c>
      <c r="CD28" s="4">
        <f>IF(R28="profesional",N(AK28),0)</f>
        <v/>
      </c>
      <c r="CE28" s="3">
        <f>IF(AND(R28="profesional",ISNUMBER(AK28),AL28="sí"),0,TASA_DGT)</f>
        <v/>
      </c>
      <c r="CF28" s="3">
        <f>INFORME_DGT</f>
        <v/>
      </c>
      <c r="CG28" s="4">
        <f>O28+CD28+CC28+CE28+CF28</f>
        <v/>
      </c>
      <c r="CH28" s="4">
        <f>CG28+N(BU28)</f>
        <v/>
      </c>
      <c r="CI28" s="3">
        <f>IF(CG28&lt;=TOTAL_MAX,"sí",IF(CG28&lt;=TOTAL_MAX+MARGEN_NEG,"negociar","no"))</f>
        <v/>
      </c>
      <c r="CJ28" s="4">
        <f>IF(CI28&lt;&gt;"no",COUNTIFS($CI$2:$CI$662,"&lt;&gt;no",$CA$2:$CA$662,"&gt;"&amp;CA28)+COUNTIFS($CI$2:CI28,"&lt;&gt;no",$CA$2:CA28,CA28),"")</f>
        <v/>
      </c>
    </row>
    <row r="29">
      <c r="A29" s="2" t="inlineStr">
        <is>
          <t>autoscout24:5df9bdd9-27ce-4647-b70f-976633b13f7a</t>
        </is>
      </c>
      <c r="B29" s="2" t="inlineStr">
        <is>
          <t>autoscout24</t>
        </is>
      </c>
      <c r="C29" s="2" t="inlineStr">
        <is>
          <t>https://www.autoscout24.es/anuncios/chevrolet-aveo-sedan-1-4-16v-lt-gasolina-gris-cat_ma19mo18685-5df9bdd9-27ce-4647-b70f-976633b13f7a</t>
        </is>
      </c>
      <c r="D29" s="2" t="inlineStr">
        <is>
          <t>Chevrolet Aveo Sedán 1.4 16v LT</t>
        </is>
      </c>
      <c r="E29" s="2" t="inlineStr">
        <is>
          <t>Chevrolet</t>
        </is>
      </c>
      <c r="F29" s="2" t="inlineStr">
        <is>
          <t>Chevrolet Aveo</t>
        </is>
      </c>
      <c r="G29" s="2" t="inlineStr">
        <is>
          <t>1.4</t>
        </is>
      </c>
      <c r="H29" s="2" t="inlineStr">
        <is>
          <t>Sedán 1.4 16v LT 1.4</t>
        </is>
      </c>
      <c r="I29" s="2" t="n">
        <v>1399</v>
      </c>
      <c r="J29" s="2" t="n">
        <v>94</v>
      </c>
      <c r="K29" s="2" t="inlineStr">
        <is>
          <t>gasolina</t>
        </is>
      </c>
      <c r="L29" s="2" t="inlineStr">
        <is>
          <t>berlina</t>
        </is>
      </c>
      <c r="M29" s="2" t="n">
        <v>2008</v>
      </c>
      <c r="N29" s="2" t="n">
        <v>138000</v>
      </c>
      <c r="O29" s="2" t="n">
        <v>3990</v>
      </c>
      <c r="P29" s="2" t="inlineStr">
        <is>
          <t>manual</t>
        </is>
      </c>
      <c r="Q29" s="2" t="inlineStr">
        <is>
          <t>no</t>
        </is>
      </c>
      <c r="R29" s="2" t="inlineStr">
        <is>
          <t>profesional</t>
        </is>
      </c>
      <c r="S29" s="2" t="inlineStr">
        <is>
          <t>SAGA VEHICULOS — MASSANASSA (46470)</t>
        </is>
      </c>
      <c r="T29" s="2" t="n"/>
      <c r="U29" s="2" t="n">
        <v>26</v>
      </c>
      <c r="V29" s="2" t="n"/>
      <c r="W29" s="2" t="n"/>
      <c r="X29" s="2" t="n"/>
      <c r="Y29" s="2" t="n"/>
      <c r="Z29" s="2" t="inlineStr">
        <is>
          <t>sí</t>
        </is>
      </c>
      <c r="AA29" s="2" t="n"/>
      <c r="AB29" s="2" t="n">
        <v>12</v>
      </c>
      <c r="AC29" s="2" t="inlineStr">
        <is>
          <t>sí</t>
        </is>
      </c>
      <c r="AD29" s="2" t="n"/>
      <c r="AE29" s="2" t="n"/>
      <c r="AF29" s="2" t="n"/>
      <c r="AG29" s="2" t="n"/>
      <c r="AH29" s="2" t="n"/>
      <c r="AI29" s="2" t="n"/>
      <c r="AJ29" s="2" t="n"/>
      <c r="AK29" s="2" t="n">
        <v>350</v>
      </c>
      <c r="AL29" s="2" t="inlineStr">
        <is>
          <t>no</t>
        </is>
      </c>
      <c r="AM29" s="2" t="n">
        <v>7.1</v>
      </c>
      <c r="AN29" s="2" t="n">
        <v>3990</v>
      </c>
      <c r="AO29" s="2" t="n">
        <v>4</v>
      </c>
      <c r="AP29" s="2" t="inlineStr">
        <is>
          <t>modelo+año+km</t>
        </is>
      </c>
      <c r="AQ29" s="2" t="inlineStr">
        <is>
          <t>cochesnet:71651301 (https://www.coches.net/chevrolet-aveo-14-16v-lt-4p-gasolina-2008-en-valencia-71651301-covo.aspx)</t>
        </is>
      </c>
      <c r="AR29" s="2" t="inlineStr">
        <is>
          <t>vendedor profesional: sin ITP (operación con IVA/REBU, confirmar en factura); gastos del vendedor sin indicar si incluyen la transferencia: se suma la tasa DGT; carrocería berlina: -4 puntos; fiabilidad del modelo PENDIENTE de fuente (puntuación neutra)</t>
        </is>
      </c>
      <c r="AS29" s="2" t="inlineStr">
        <is>
          <t>Chevrolet Aveo LT 1.4 E-TEC ll, 95CV,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&lt;br /&gt;- Dirección asistida&lt;br /&gt;- Frenos ABS/EBD&lt;br /&gt;- Airbags&lt;br /&gt;- Ordenador abordo&lt;br /&gt;- Android Auto / Apple CarPlay &lt;br /&gt;- Sistema multimedia Bluetooth&lt;br /&gt;- GPS navegación &lt;br /&gt;- Camara trasera &lt;br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Pintura metalizada&lt;br /&gt;</t>
        </is>
      </c>
      <c r="AT29" s="2" t="inlineStr">
        <is>
          <t>https://www.autoscout24.es/anuncios/chevrolet-aveo-sedan-1-4-16v-lt-gasolina-gris-cat_ma19mo18685-5df9bdd9-27ce-4647-b70f-976633b13f7a (__NEXT_DATA__ listingDetails) /home/user/Alopecia/buscador-coches/raw/autoscout24/b2dc71ccfcad6c3c.json</t>
        </is>
      </c>
      <c r="AU29" s="3">
        <f>MAX(ANIO_ACTUAL-M29,0)</f>
        <v/>
      </c>
      <c r="AV29" s="4">
        <f>N29/MAX(AU29,0.5)</f>
        <v/>
      </c>
      <c r="AW29" s="4">
        <f>F29</f>
        <v/>
      </c>
      <c r="AX29" s="3">
        <f>AW29&amp;"|"&amp;INT(M29/SEG_ANIO)*SEG_ANIO</f>
        <v/>
      </c>
      <c r="AY29" s="3">
        <f>AX29&amp;"|"&amp;INT(N29/SEG_KM)*SEG_KM</f>
        <v/>
      </c>
      <c r="AZ29" s="4">
        <f>COUNTIF($AW$2:$AW$662,AW29)</f>
        <v/>
      </c>
      <c r="BA29" s="4">
        <f>COUNTIF($AX$2:$AX$662,AX29)</f>
        <v/>
      </c>
      <c r="BB29" s="4">
        <f>COUNTIF($AY$2:$AY$662,AY29)</f>
        <v/>
      </c>
      <c r="BC29" s="3">
        <f t="array" ref="BC29">IF(N(AO29)&gt;=MIN_N,AN29,IF(BB29&gt;=MIN_N,MEDIAN(IF($AY$2:$AY$662=AY29,$O$2:$O$662)),IF(BA29&gt;=MIN_N,MEDIAN(IF($AX$2:$AX$662=AX29,$O$2:$O$662)),MEDIAN(IF($AW$2:$AW$662=AW29,$O$2:$O$662)))))</f>
        <v/>
      </c>
      <c r="BD29" s="3">
        <f>IF(N(AO29)&gt;=MIN_N,"mercado "&amp;AP29,IF(BB29&gt;=MIN_N,"modelo+año+km",IF(BA29&gt;=MIN_N,"modelo+año","modelo")))</f>
        <v/>
      </c>
      <c r="BE29" s="4">
        <f>(BC29-O29)/BC29</f>
        <v/>
      </c>
      <c r="BF29" s="3">
        <f>IF(OR(K29="hibrido",K29="glp"),"ECO",IF(K29="electrico","CERO",IF(K29="gasolina",IF(M29&gt;=GAS_C,"C",IF(M29&gt;=GAS_B,"B","A")),IF(K29="diesel",IF(M29&gt;=DIE_C,"C",IF(M29&gt;=DIE_B,"B","A")),""))))</f>
        <v/>
      </c>
      <c r="BG29" s="3">
        <f>IFERROR(VLOOKUP(F29,MOD_TBL,11,0),IFERROR(VLOOKUP(E29,OCU_TBL,2,0),NEUTRO))</f>
        <v/>
      </c>
      <c r="BH29" s="3">
        <f>SUMIFS(MOT_AJUSTE,MOT_MOTOR,G29,MOT_MARCA,E29,MOT_DESDE,"&lt;="&amp;M29,MOT_HASTA,"&gt;="&amp;M29)+SUMIFS(MOT_AJUSTE,MOT_MOTOR,G29,MOT_MARCA,"(todas)",MOT_DESDE,"&lt;="&amp;M29,MOT_HASTA,"&gt;="&amp;M29)</f>
        <v/>
      </c>
      <c r="BI29" s="3">
        <f>SUMIFS(COMB_AJUSTE,COMB_COMB,K29)</f>
        <v/>
      </c>
      <c r="BJ29" s="3">
        <f>COUNTIFS(MOT_MOTOR,G29,MOT_MARCA,E29,MOT_DESDE,"&lt;="&amp;M29,MOT_HASTA,"&gt;="&amp;M29)+COUNTIFS(MOT_MOTOR,G29,MOT_MARCA,"(todas)",MOT_DESDE,"&lt;="&amp;M29,MOT_HASTA,"&gt;="&amp;M29)</f>
        <v/>
      </c>
      <c r="BK29" s="3">
        <f>IF(AND(K29="diesel",BJ29=0),MIN(BG29,NEUTRO),BG29)</f>
        <v/>
      </c>
      <c r="BL29" s="4">
        <f>MAX(0,MIN(100,BK29+BH29+BI29))</f>
        <v/>
      </c>
      <c r="BM29" s="3">
        <f>MAX(0,MIN(100,50+BE29*PRECIO_PEND))</f>
        <v/>
      </c>
      <c r="BN29" s="3">
        <f>MAX(0,100*(1-N29/KM_MAX))</f>
        <v/>
      </c>
      <c r="BO29" s="3">
        <f>IF(AV29&lt;KMA_SOSP,IF(AA29="sí",100,KMA_PEN),IF(AV29&lt;=KMA_IDEAL_MAX,100,MAX(0,100*(KMA_CERO-AV29)/(KMA_CERO-KMA_IDEAL_MAX))))</f>
        <v/>
      </c>
      <c r="BP29" s="3">
        <f>MAX(0,MIN(100,100*(M29-ANIO_MIN)/(ANIO_ACTUAL-ANIO_MIN)))</f>
        <v/>
      </c>
      <c r="BQ29" s="3">
        <f>W_KMT*BN29+W_KMA*BO29+W_EDAD*BP29</f>
        <v/>
      </c>
      <c r="BR29" s="3">
        <f>P_ITV*(V29="sí")+P_LIBRO*(W29="sí")+P_CORREA*(X29="sí")+P_PROP*(Y29=1)+P_GAR*(Z29="sí")+P_FOTOS*MIN(1,N(U29)/FOTOS_OBJ)</f>
        <v/>
      </c>
      <c r="BS29" s="3">
        <f>IFERROR(VLOOKUP(BF29,ETQ_TBL,2,0),NEUTRO)</f>
        <v/>
      </c>
      <c r="BT29" s="3">
        <f>NEUTRO</f>
        <v/>
      </c>
      <c r="BU29" s="3">
        <f>IFERROR(VLOOKUP(L29,SEGURO_TBL,3,0),"")</f>
        <v/>
      </c>
      <c r="BV29" s="3">
        <f>IF(BU29="",NEUTRO,MAX(0,MIN(100,100*(SEG_REF_MAX-BU29)/(SEG_REF_MAX-SEG_REF_MIN))))</f>
        <v/>
      </c>
      <c r="BW29" s="3">
        <f>W_ET*BS29+W_CONS*BT29+W_SEG*BV29</f>
        <v/>
      </c>
      <c r="BX29" s="3">
        <f>IF(N(AB29)&gt;0,AB29,IF(AND(R29="profesional",SG_LEGAL_ON=1),GAR_LEGAL,0))</f>
        <v/>
      </c>
      <c r="BY29" s="3">
        <f>SG_GAR*MIN(1,BX29/SG_GAR_FULL)+SG_AMPL*(AC29="sí")+SG_KMC*(AF29="sí")+SG_REV*(N(AE29)&gt;0)+SG_DEV*MIN(1,N(AG29)/SG_DEV_FULL)+SG_HIST*(W29="sí")</f>
        <v/>
      </c>
      <c r="BZ29" s="3">
        <f>IFERROR(VLOOKUP(L29,CARR_PEN_TBL,2,0),0)</f>
        <v/>
      </c>
      <c r="CA29" s="3">
        <f>W_FIAB*BL29+W_PRECIO*BM29+W_KMEDAD*BQ29+W_ANUNCIO*BR29+W_USO*BW29+W_SEGURIDAD*BY29-BZ29</f>
        <v/>
      </c>
      <c r="CB29" s="4">
        <f>IF(N(I29)&gt;0,I29,IFERROR(ROUND(_xlfn.NUMBERVALUE(LEFT(G29,FIND(" ",G29&amp;" ")-1),".")*1000,0),99999))</f>
        <v/>
      </c>
      <c r="CC29" s="3">
        <f>IF(R29="profesional",0,IF(O29&lt;CUOTA_VALOR_MAX,IF(AU29&gt;ITP_TRAMO_ALTO,SUMIFS(CF_CUOTA,CF_MAS,ITP_TRAMO_ALTO,CF_CCMIN,"&lt;="&amp;CB29,CF_CCMAX,"&gt;="&amp;CB29),IF(AU29&gt;ITP_TRAMO_BAJO,SUMIFS(CF_CUOTA,CF_MAS,ITP_TRAMO_BAJO,CF_CCMIN,"&lt;="&amp;CB29,CF_CCMAX,"&gt;="&amp;CB29),O29*ITP_TIPO)),O29*ITP_TIPO))</f>
        <v/>
      </c>
      <c r="CD29" s="4">
        <f>IF(R29="profesional",N(AK29),0)</f>
        <v/>
      </c>
      <c r="CE29" s="3">
        <f>IF(AND(R29="profesional",ISNUMBER(AK29),AL29="sí"),0,TASA_DGT)</f>
        <v/>
      </c>
      <c r="CF29" s="3">
        <f>INFORME_DGT</f>
        <v/>
      </c>
      <c r="CG29" s="4">
        <f>O29+CD29+CC29+CE29+CF29</f>
        <v/>
      </c>
      <c r="CH29" s="4">
        <f>CG29+N(BU29)</f>
        <v/>
      </c>
      <c r="CI29" s="3">
        <f>IF(CG29&lt;=TOTAL_MAX,"sí",IF(CG29&lt;=TOTAL_MAX+MARGEN_NEG,"negociar","no"))</f>
        <v/>
      </c>
      <c r="CJ29" s="4">
        <f>IF(CI29&lt;&gt;"no",COUNTIFS($CI$2:$CI$662,"&lt;&gt;no",$CA$2:$CA$662,"&gt;"&amp;CA29)+COUNTIFS($CI$2:CI29,"&lt;&gt;no",$CA$2:CA29,CA29),"")</f>
        <v/>
      </c>
    </row>
    <row r="30">
      <c r="A30" s="2" t="inlineStr">
        <is>
          <t>autoscout24:10ad7f0c-c270-4daf-8b53-d4973d7d0201</t>
        </is>
      </c>
      <c r="B30" s="2" t="inlineStr">
        <is>
          <t>autoscout24</t>
        </is>
      </c>
      <c r="C30" s="2" t="inlineStr">
        <is>
          <t>https://www.autoscout24.es/anuncios/chevrolet-aveo-aveo-1-4-16v-ls-ls-gasolina-blanco-cat_ma19mo18685-10ad7f0c-c270-4daf-8b53-d4973d7d0201</t>
        </is>
      </c>
      <c r="D30" s="2" t="inlineStr">
        <is>
          <t>Chevrolet Aveo Aveo 1.4 16v LS LS</t>
        </is>
      </c>
      <c r="E30" s="2" t="inlineStr">
        <is>
          <t>Chevrolet</t>
        </is>
      </c>
      <c r="F30" s="2" t="inlineStr">
        <is>
          <t>Chevrolet Aveo</t>
        </is>
      </c>
      <c r="G30" s="2" t="inlineStr">
        <is>
          <t>1.4</t>
        </is>
      </c>
      <c r="H30" s="2" t="inlineStr">
        <is>
          <t>Aveo 1.4 16v LS LS 1.4</t>
        </is>
      </c>
      <c r="I30" s="2" t="n">
        <v>1399</v>
      </c>
      <c r="J30" s="2" t="n">
        <v>101</v>
      </c>
      <c r="K30" s="2" t="inlineStr">
        <is>
          <t>gasolina</t>
        </is>
      </c>
      <c r="L30" s="2" t="inlineStr">
        <is>
          <t>utilitario</t>
        </is>
      </c>
      <c r="M30" s="2" t="n">
        <v>2009</v>
      </c>
      <c r="N30" s="2" t="n">
        <v>121000</v>
      </c>
      <c r="O30" s="2" t="n">
        <v>3800</v>
      </c>
      <c r="P30" s="2" t="inlineStr">
        <is>
          <t>manual</t>
        </is>
      </c>
      <c r="Q30" s="2" t="inlineStr">
        <is>
          <t>no</t>
        </is>
      </c>
      <c r="R30" s="2" t="inlineStr">
        <is>
          <t>particular</t>
        </is>
      </c>
      <c r="S30" s="2" t="inlineStr">
        <is>
          <t>València (46006)</t>
        </is>
      </c>
      <c r="T30" s="2" t="n"/>
      <c r="U30" s="2" t="n">
        <v>5</v>
      </c>
      <c r="V30" s="2" t="inlineStr">
        <is>
          <t>sí</t>
        </is>
      </c>
      <c r="W30" s="2" t="inlineStr">
        <is>
          <t>sí</t>
        </is>
      </c>
      <c r="X30" s="2" t="n"/>
      <c r="Y30" s="2" t="n"/>
      <c r="Z30" s="2" t="n"/>
      <c r="AA30" s="2" t="n"/>
      <c r="AB30" s="2" t="n"/>
      <c r="AC30" s="2" t="n"/>
      <c r="AD30" s="2" t="n"/>
      <c r="AE30" s="2" t="n"/>
      <c r="AF30" s="2" t="n"/>
      <c r="AG30" s="2" t="n"/>
      <c r="AH30" s="2" t="n"/>
      <c r="AI30" s="2" t="n"/>
      <c r="AJ30" s="2" t="n"/>
      <c r="AK30" s="2" t="n"/>
      <c r="AL30" s="2" t="n"/>
      <c r="AM30" s="2" t="n">
        <v>1.4</v>
      </c>
      <c r="AN30" s="2" t="n">
        <v>3990</v>
      </c>
      <c r="AO30" s="2" t="n">
        <v>4</v>
      </c>
      <c r="AP30" s="2" t="inlineStr">
        <is>
          <t>modelo+año+km</t>
        </is>
      </c>
      <c r="AQ30" s="2" t="n"/>
      <c r="AR30" s="2" t="inlineStr">
        <is>
          <t>cuota fija ITP: &gt;12 años, hasta 1.500 cc; fiabilidad del modelo PENDIENTE de fuente (puntuación neutra)</t>
        </is>
      </c>
      <c r="AS30" s="2" t="inlineStr">
        <is>
          <t>ITV hasta enero del 2027, mantenimiento al día, impecable de todo tanto de pintura como de mecánica</t>
        </is>
      </c>
      <c r="AT30" s="2" t="inlineStr">
        <is>
          <t>https://www.autoscout24.es/anuncios/chevrolet-aveo-aveo-1-4-16v-ls-ls-gasolina-blanco-cat_ma19mo18685-10ad7f0c-c270-4daf-8b53-d4973d7d0201 (__NEXT_DATA__ listingDetails) /home/user/Alopecia/buscador-coches/raw/autoscout24/06ab9d01a2dbe980.json</t>
        </is>
      </c>
      <c r="AU30" s="3">
        <f>MAX(ANIO_ACTUAL-M30,0)</f>
        <v/>
      </c>
      <c r="AV30" s="4">
        <f>N30/MAX(AU30,0.5)</f>
        <v/>
      </c>
      <c r="AW30" s="4">
        <f>F30</f>
        <v/>
      </c>
      <c r="AX30" s="3">
        <f>AW30&amp;"|"&amp;INT(M30/SEG_ANIO)*SEG_ANIO</f>
        <v/>
      </c>
      <c r="AY30" s="3">
        <f>AX30&amp;"|"&amp;INT(N30/SEG_KM)*SEG_KM</f>
        <v/>
      </c>
      <c r="AZ30" s="4">
        <f>COUNTIF($AW$2:$AW$662,AW30)</f>
        <v/>
      </c>
      <c r="BA30" s="4">
        <f>COUNTIF($AX$2:$AX$662,AX30)</f>
        <v/>
      </c>
      <c r="BB30" s="4">
        <f>COUNTIF($AY$2:$AY$662,AY30)</f>
        <v/>
      </c>
      <c r="BC30" s="3">
        <f t="array" ref="BC30">IF(N(AO30)&gt;=MIN_N,AN30,IF(BB30&gt;=MIN_N,MEDIAN(IF($AY$2:$AY$662=AY30,$O$2:$O$662)),IF(BA30&gt;=MIN_N,MEDIAN(IF($AX$2:$AX$662=AX30,$O$2:$O$662)),MEDIAN(IF($AW$2:$AW$662=AW30,$O$2:$O$662)))))</f>
        <v/>
      </c>
      <c r="BD30" s="3">
        <f>IF(N(AO30)&gt;=MIN_N,"mercado "&amp;AP30,IF(BB30&gt;=MIN_N,"modelo+año+km",IF(BA30&gt;=MIN_N,"modelo+año","modelo")))</f>
        <v/>
      </c>
      <c r="BE30" s="4">
        <f>(BC30-O30)/BC30</f>
        <v/>
      </c>
      <c r="BF30" s="3">
        <f>IF(OR(K30="hibrido",K30="glp"),"ECO",IF(K30="electrico","CERO",IF(K30="gasolina",IF(M30&gt;=GAS_C,"C",IF(M30&gt;=GAS_B,"B","A")),IF(K30="diesel",IF(M30&gt;=DIE_C,"C",IF(M30&gt;=DIE_B,"B","A")),""))))</f>
        <v/>
      </c>
      <c r="BG30" s="3">
        <f>IFERROR(VLOOKUP(F30,MOD_TBL,11,0),IFERROR(VLOOKUP(E30,OCU_TBL,2,0),NEUTRO))</f>
        <v/>
      </c>
      <c r="BH30" s="3">
        <f>SUMIFS(MOT_AJUSTE,MOT_MOTOR,G30,MOT_MARCA,E30,MOT_DESDE,"&lt;="&amp;M30,MOT_HASTA,"&gt;="&amp;M30)+SUMIFS(MOT_AJUSTE,MOT_MOTOR,G30,MOT_MARCA,"(todas)",MOT_DESDE,"&lt;="&amp;M30,MOT_HASTA,"&gt;="&amp;M30)</f>
        <v/>
      </c>
      <c r="BI30" s="3">
        <f>SUMIFS(COMB_AJUSTE,COMB_COMB,K30)</f>
        <v/>
      </c>
      <c r="BJ30" s="3">
        <f>COUNTIFS(MOT_MOTOR,G30,MOT_MARCA,E30,MOT_DESDE,"&lt;="&amp;M30,MOT_HASTA,"&gt;="&amp;M30)+COUNTIFS(MOT_MOTOR,G30,MOT_MARCA,"(todas)",MOT_DESDE,"&lt;="&amp;M30,MOT_HASTA,"&gt;="&amp;M30)</f>
        <v/>
      </c>
      <c r="BK30" s="3">
        <f>IF(AND(K30="diesel",BJ30=0),MIN(BG30,NEUTRO),BG30)</f>
        <v/>
      </c>
      <c r="BL30" s="4">
        <f>MAX(0,MIN(100,BK30+BH30+BI30))</f>
        <v/>
      </c>
      <c r="BM30" s="3">
        <f>MAX(0,MIN(100,50+BE30*PRECIO_PEND))</f>
        <v/>
      </c>
      <c r="BN30" s="3">
        <f>MAX(0,100*(1-N30/KM_MAX))</f>
        <v/>
      </c>
      <c r="BO30" s="3">
        <f>IF(AV30&lt;KMA_SOSP,IF(AA30="sí",100,KMA_PEN),IF(AV30&lt;=KMA_IDEAL_MAX,100,MAX(0,100*(KMA_CERO-AV30)/(KMA_CERO-KMA_IDEAL_MAX))))</f>
        <v/>
      </c>
      <c r="BP30" s="3">
        <f>MAX(0,MIN(100,100*(M30-ANIO_MIN)/(ANIO_ACTUAL-ANIO_MIN)))</f>
        <v/>
      </c>
      <c r="BQ30" s="3">
        <f>W_KMT*BN30+W_KMA*BO30+W_EDAD*BP30</f>
        <v/>
      </c>
      <c r="BR30" s="3">
        <f>P_ITV*(V30="sí")+P_LIBRO*(W30="sí")+P_CORREA*(X30="sí")+P_PROP*(Y30=1)+P_GAR*(Z30="sí")+P_FOTOS*MIN(1,N(U30)/FOTOS_OBJ)</f>
        <v/>
      </c>
      <c r="BS30" s="3">
        <f>IFERROR(VLOOKUP(BF30,ETQ_TBL,2,0),NEUTRO)</f>
        <v/>
      </c>
      <c r="BT30" s="3">
        <f>NEUTRO</f>
        <v/>
      </c>
      <c r="BU30" s="3">
        <f>IFERROR(VLOOKUP(L30,SEGURO_TBL,3,0),"")</f>
        <v/>
      </c>
      <c r="BV30" s="3">
        <f>IF(BU30="",NEUTRO,MAX(0,MIN(100,100*(SEG_REF_MAX-BU30)/(SEG_REF_MAX-SEG_REF_MIN))))</f>
        <v/>
      </c>
      <c r="BW30" s="3">
        <f>W_ET*BS30+W_CONS*BT30+W_SEG*BV30</f>
        <v/>
      </c>
      <c r="BX30" s="3">
        <f>IF(N(AB30)&gt;0,AB30,IF(AND(R30="profesional",SG_LEGAL_ON=1),GAR_LEGAL,0))</f>
        <v/>
      </c>
      <c r="BY30" s="3">
        <f>SG_GAR*MIN(1,BX30/SG_GAR_FULL)+SG_AMPL*(AC30="sí")+SG_KMC*(AF30="sí")+SG_REV*(N(AE30)&gt;0)+SG_DEV*MIN(1,N(AG30)/SG_DEV_FULL)+SG_HIST*(W30="sí")</f>
        <v/>
      </c>
      <c r="BZ30" s="3">
        <f>IFERROR(VLOOKUP(L30,CARR_PEN_TBL,2,0),0)</f>
        <v/>
      </c>
      <c r="CA30" s="3">
        <f>W_FIAB*BL30+W_PRECIO*BM30+W_KMEDAD*BQ30+W_ANUNCIO*BR30+W_USO*BW30+W_SEGURIDAD*BY30-BZ30</f>
        <v/>
      </c>
      <c r="CB30" s="4">
        <f>IF(N(I30)&gt;0,I30,IFERROR(ROUND(_xlfn.NUMBERVALUE(LEFT(G30,FIND(" ",G30&amp;" ")-1),".")*1000,0),99999))</f>
        <v/>
      </c>
      <c r="CC30" s="3">
        <f>IF(R30="profesional",0,IF(O30&lt;CUOTA_VALOR_MAX,IF(AU30&gt;ITP_TRAMO_ALTO,SUMIFS(CF_CUOTA,CF_MAS,ITP_TRAMO_ALTO,CF_CCMIN,"&lt;="&amp;CB30,CF_CCMAX,"&gt;="&amp;CB30),IF(AU30&gt;ITP_TRAMO_BAJO,SUMIFS(CF_CUOTA,CF_MAS,ITP_TRAMO_BAJO,CF_CCMIN,"&lt;="&amp;CB30,CF_CCMAX,"&gt;="&amp;CB30),O30*ITP_TIPO)),O30*ITP_TIPO))</f>
        <v/>
      </c>
      <c r="CD30" s="4">
        <f>IF(R30="profesional",N(AK30),0)</f>
        <v/>
      </c>
      <c r="CE30" s="3">
        <f>IF(AND(R30="profesional",ISNUMBER(AK30),AL30="sí"),0,TASA_DGT)</f>
        <v/>
      </c>
      <c r="CF30" s="3">
        <f>INFORME_DGT</f>
        <v/>
      </c>
      <c r="CG30" s="4">
        <f>O30+CD30+CC30+CE30+CF30</f>
        <v/>
      </c>
      <c r="CH30" s="4">
        <f>CG30+N(BU30)</f>
        <v/>
      </c>
      <c r="CI30" s="3">
        <f>IF(CG30&lt;=TOTAL_MAX,"sí",IF(CG30&lt;=TOTAL_MAX+MARGEN_NEG,"negociar","no"))</f>
        <v/>
      </c>
      <c r="CJ30" s="4">
        <f>IF(CI30&lt;&gt;"no",COUNTIFS($CI$2:$CI$662,"&lt;&gt;no",$CA$2:$CA$662,"&gt;"&amp;CA30)+COUNTIFS($CI$2:CI30,"&lt;&gt;no",$CA$2:CA30,CA30),"")</f>
        <v/>
      </c>
    </row>
    <row r="31">
      <c r="A31" s="2" t="inlineStr">
        <is>
          <t>wallapop:1306587390</t>
        </is>
      </c>
      <c r="B31" s="2" t="inlineStr">
        <is>
          <t>wallapop</t>
        </is>
      </c>
      <c r="C31" s="2" t="inlineStr">
        <is>
          <t>https://es.wallapop.com/item/toyota-aygo-2009-1306587390</t>
        </is>
      </c>
      <c r="D31" s="2" t="inlineStr">
        <is>
          <t>Toyota Aygo 2009</t>
        </is>
      </c>
      <c r="E31" s="2" t="inlineStr">
        <is>
          <t>Toyota</t>
        </is>
      </c>
      <c r="F31" s="2" t="inlineStr">
        <is>
          <t>Toyota Aygo</t>
        </is>
      </c>
      <c r="G31" s="2" t="n"/>
      <c r="H31" s="2" t="n"/>
      <c r="I31" s="2" t="n"/>
      <c r="J31" s="2" t="n"/>
      <c r="K31" s="2" t="inlineStr">
        <is>
          <t>diesel</t>
        </is>
      </c>
      <c r="L31" s="2" t="inlineStr">
        <is>
          <t>utilitario</t>
        </is>
      </c>
      <c r="M31" s="2" t="n">
        <v>2009</v>
      </c>
      <c r="N31" s="2" t="n">
        <v>177605</v>
      </c>
      <c r="O31" s="2" t="n">
        <v>3600</v>
      </c>
      <c r="P31" s="2" t="inlineStr">
        <is>
          <t>manual</t>
        </is>
      </c>
      <c r="Q31" s="2" t="inlineStr">
        <is>
          <t>no</t>
        </is>
      </c>
      <c r="R31" s="2" t="inlineStr">
        <is>
          <t>particular</t>
        </is>
      </c>
      <c r="S31" s="2" t="inlineStr">
        <is>
          <t>Valencia (46002)</t>
        </is>
      </c>
      <c r="T31" s="2" t="inlineStr">
        <is>
          <t>2026-09-30T22:08:17</t>
        </is>
      </c>
      <c r="U31" s="2" t="n">
        <v>7</v>
      </c>
      <c r="V31" s="2" t="inlineStr">
        <is>
          <t>sí</t>
        </is>
      </c>
      <c r="W31" s="2" t="n"/>
      <c r="X31" s="2" t="n"/>
      <c r="Y31" s="2" t="n"/>
      <c r="Z31" s="2" t="n"/>
      <c r="AA31" s="2" t="n"/>
      <c r="AB31" s="2" t="n"/>
      <c r="AC31" s="2" t="n"/>
      <c r="AD31" s="2" t="n"/>
      <c r="AE31" s="2" t="n"/>
      <c r="AF31" s="2" t="n"/>
      <c r="AG31" s="2" t="n"/>
      <c r="AH31" s="2" t="n"/>
      <c r="AI31" s="2" t="n"/>
      <c r="AJ31" s="2" t="n"/>
      <c r="AK31" s="2" t="n"/>
      <c r="AL31" s="2" t="n"/>
      <c r="AM31" s="2" t="n">
        <v>0.8</v>
      </c>
      <c r="AN31" s="2" t="n">
        <v>3795</v>
      </c>
      <c r="AO31" s="2" t="n">
        <v>4</v>
      </c>
      <c r="AP31" s="2" t="inlineStr">
        <is>
          <t>modelo+año</t>
        </is>
      </c>
      <c r="AQ31" s="2" t="inlineStr">
        <is>
          <t>cochesnet:71716808 (https://www.coches.net/toyota-aygo-diesel-2009-en-valencia-71716808-covo.aspx)</t>
        </is>
      </c>
      <c r="AR31" s="2" t="inlineStr">
        <is>
          <t>cilindrada desconocida: se aplica el tramo de cuota fija más alto; cuota fija ITP: &gt;12 años, más de 2.000 cc; diésel: motor sin fuente de fiabilidad (fiabilidad limitada a neutra)</t>
        </is>
      </c>
      <c r="AS31" s="2" t="inlineStr">
        <is>
          <t xml:space="preserve">Vendo Toyota Aygo 1.4 D-4D 5 puertas del año 2009. Coche ideal para Valencia, muy económico y fácil de aparcar.
•  ITV recién pasada el 22/06/2026, válida hasta el 22/06/2027 (1 año entero)
 •  Neumáticos nuevos
 •  Mecánica perfecta, motor Toyota muy fiable
 •  Interior limpio y cuidado
 •  Listo para conducir, no necesita nada
Tiene pequeños detalles de pintura por el uso y los años, normal. Nada importante.
Precio: 3.600€ algo negociable al verlo.
No cambios, solo venta.
</t>
        </is>
      </c>
      <c r="AT31" s="2" t="inlineStr">
        <is>
          <t>https://es.wallapop.com/item/toyota-aygo-2009-1306587390 (__NEXT_DATA__ item) /home/user/Alopecia/buscador-coches/raw/wallapop/c2aecd9ab2334fb5.json</t>
        </is>
      </c>
      <c r="AU31" s="3">
        <f>MAX(ANIO_ACTUAL-M31,0)</f>
        <v/>
      </c>
      <c r="AV31" s="4">
        <f>N31/MAX(AU31,0.5)</f>
        <v/>
      </c>
      <c r="AW31" s="4">
        <f>F31</f>
        <v/>
      </c>
      <c r="AX31" s="3">
        <f>AW31&amp;"|"&amp;INT(M31/SEG_ANIO)*SEG_ANIO</f>
        <v/>
      </c>
      <c r="AY31" s="3">
        <f>AX31&amp;"|"&amp;INT(N31/SEG_KM)*SEG_KM</f>
        <v/>
      </c>
      <c r="AZ31" s="4">
        <f>COUNTIF($AW$2:$AW$662,AW31)</f>
        <v/>
      </c>
      <c r="BA31" s="4">
        <f>COUNTIF($AX$2:$AX$662,AX31)</f>
        <v/>
      </c>
      <c r="BB31" s="4">
        <f>COUNTIF($AY$2:$AY$662,AY31)</f>
        <v/>
      </c>
      <c r="BC31" s="3">
        <f t="array" ref="BC31">IF(N(AO31)&gt;=MIN_N,AN31,IF(BB31&gt;=MIN_N,MEDIAN(IF($AY$2:$AY$662=AY31,$O$2:$O$662)),IF(BA31&gt;=MIN_N,MEDIAN(IF($AX$2:$AX$662=AX31,$O$2:$O$662)),MEDIAN(IF($AW$2:$AW$662=AW31,$O$2:$O$662)))))</f>
        <v/>
      </c>
      <c r="BD31" s="3">
        <f>IF(N(AO31)&gt;=MIN_N,"mercado "&amp;AP31,IF(BB31&gt;=MIN_N,"modelo+año+km",IF(BA31&gt;=MIN_N,"modelo+año","modelo")))</f>
        <v/>
      </c>
      <c r="BE31" s="4">
        <f>(BC31-O31)/BC31</f>
        <v/>
      </c>
      <c r="BF31" s="3">
        <f>IF(OR(K31="hibrido",K31="glp"),"ECO",IF(K31="electrico","CERO",IF(K31="gasolina",IF(M31&gt;=GAS_C,"C",IF(M31&gt;=GAS_B,"B","A")),IF(K31="diesel",IF(M31&gt;=DIE_C,"C",IF(M31&gt;=DIE_B,"B","A")),""))))</f>
        <v/>
      </c>
      <c r="BG31" s="3">
        <f>IFERROR(VLOOKUP(F31,MOD_TBL,11,0),IFERROR(VLOOKUP(E31,OCU_TBL,2,0),NEUTRO))</f>
        <v/>
      </c>
      <c r="BH31" s="3">
        <f>SUMIFS(MOT_AJUSTE,MOT_MOTOR,G31,MOT_MARCA,E31,MOT_DESDE,"&lt;="&amp;M31,MOT_HASTA,"&gt;="&amp;M31)+SUMIFS(MOT_AJUSTE,MOT_MOTOR,G31,MOT_MARCA,"(todas)",MOT_DESDE,"&lt;="&amp;M31,MOT_HASTA,"&gt;="&amp;M31)</f>
        <v/>
      </c>
      <c r="BI31" s="3">
        <f>SUMIFS(COMB_AJUSTE,COMB_COMB,K31)</f>
        <v/>
      </c>
      <c r="BJ31" s="3">
        <f>COUNTIFS(MOT_MOTOR,G31,MOT_MARCA,E31,MOT_DESDE,"&lt;="&amp;M31,MOT_HASTA,"&gt;="&amp;M31)+COUNTIFS(MOT_MOTOR,G31,MOT_MARCA,"(todas)",MOT_DESDE,"&lt;="&amp;M31,MOT_HASTA,"&gt;="&amp;M31)</f>
        <v/>
      </c>
      <c r="BK31" s="3">
        <f>IF(AND(K31="diesel",BJ31=0),MIN(BG31,NEUTRO),BG31)</f>
        <v/>
      </c>
      <c r="BL31" s="4">
        <f>MAX(0,MIN(100,BK31+BH31+BI31))</f>
        <v/>
      </c>
      <c r="BM31" s="3">
        <f>MAX(0,MIN(100,50+BE31*PRECIO_PEND))</f>
        <v/>
      </c>
      <c r="BN31" s="3">
        <f>MAX(0,100*(1-N31/KM_MAX))</f>
        <v/>
      </c>
      <c r="BO31" s="3">
        <f>IF(AV31&lt;KMA_SOSP,IF(AA31="sí",100,KMA_PEN),IF(AV31&lt;=KMA_IDEAL_MAX,100,MAX(0,100*(KMA_CERO-AV31)/(KMA_CERO-KMA_IDEAL_MAX))))</f>
        <v/>
      </c>
      <c r="BP31" s="3">
        <f>MAX(0,MIN(100,100*(M31-ANIO_MIN)/(ANIO_ACTUAL-ANIO_MIN)))</f>
        <v/>
      </c>
      <c r="BQ31" s="3">
        <f>W_KMT*BN31+W_KMA*BO31+W_EDAD*BP31</f>
        <v/>
      </c>
      <c r="BR31" s="3">
        <f>P_ITV*(V31="sí")+P_LIBRO*(W31="sí")+P_CORREA*(X31="sí")+P_PROP*(Y31=1)+P_GAR*(Z31="sí")+P_FOTOS*MIN(1,N(U31)/FOTOS_OBJ)</f>
        <v/>
      </c>
      <c r="BS31" s="3">
        <f>IFERROR(VLOOKUP(BF31,ETQ_TBL,2,0),NEUTRO)</f>
        <v/>
      </c>
      <c r="BT31" s="3">
        <f>NEUTRO</f>
        <v/>
      </c>
      <c r="BU31" s="3">
        <f>IFERROR(VLOOKUP(L31,SEGURO_TBL,3,0),"")</f>
        <v/>
      </c>
      <c r="BV31" s="3">
        <f>IF(BU31="",NEUTRO,MAX(0,MIN(100,100*(SEG_REF_MAX-BU31)/(SEG_REF_MAX-SEG_REF_MIN))))</f>
        <v/>
      </c>
      <c r="BW31" s="3">
        <f>W_ET*BS31+W_CONS*BT31+W_SEG*BV31</f>
        <v/>
      </c>
      <c r="BX31" s="3">
        <f>IF(N(AB31)&gt;0,AB31,IF(AND(R31="profesional",SG_LEGAL_ON=1),GAR_LEGAL,0))</f>
        <v/>
      </c>
      <c r="BY31" s="3">
        <f>SG_GAR*MIN(1,BX31/SG_GAR_FULL)+SG_AMPL*(AC31="sí")+SG_KMC*(AF31="sí")+SG_REV*(N(AE31)&gt;0)+SG_DEV*MIN(1,N(AG31)/SG_DEV_FULL)+SG_HIST*(W31="sí")</f>
        <v/>
      </c>
      <c r="BZ31" s="3">
        <f>IFERROR(VLOOKUP(L31,CARR_PEN_TBL,2,0),0)</f>
        <v/>
      </c>
      <c r="CA31" s="3">
        <f>W_FIAB*BL31+W_PRECIO*BM31+W_KMEDAD*BQ31+W_ANUNCIO*BR31+W_USO*BW31+W_SEGURIDAD*BY31-BZ31</f>
        <v/>
      </c>
      <c r="CB31" s="4">
        <f>IF(N(I31)&gt;0,I31,IFERROR(ROUND(_xlfn.NUMBERVALUE(LEFT(G31,FIND(" ",G31&amp;" ")-1),".")*1000,0),99999))</f>
        <v/>
      </c>
      <c r="CC31" s="3">
        <f>IF(R31="profesional",0,IF(O31&lt;CUOTA_VALOR_MAX,IF(AU31&gt;ITP_TRAMO_ALTO,SUMIFS(CF_CUOTA,CF_MAS,ITP_TRAMO_ALTO,CF_CCMIN,"&lt;="&amp;CB31,CF_CCMAX,"&gt;="&amp;CB31),IF(AU31&gt;ITP_TRAMO_BAJO,SUMIFS(CF_CUOTA,CF_MAS,ITP_TRAMO_BAJO,CF_CCMIN,"&lt;="&amp;CB31,CF_CCMAX,"&gt;="&amp;CB31),O31*ITP_TIPO)),O31*ITP_TIPO))</f>
        <v/>
      </c>
      <c r="CD31" s="4">
        <f>IF(R31="profesional",N(AK31),0)</f>
        <v/>
      </c>
      <c r="CE31" s="3">
        <f>IF(AND(R31="profesional",ISNUMBER(AK31),AL31="sí"),0,TASA_DGT)</f>
        <v/>
      </c>
      <c r="CF31" s="3">
        <f>INFORME_DGT</f>
        <v/>
      </c>
      <c r="CG31" s="4">
        <f>O31+CD31+CC31+CE31+CF31</f>
        <v/>
      </c>
      <c r="CH31" s="4">
        <f>CG31+N(BU31)</f>
        <v/>
      </c>
      <c r="CI31" s="3">
        <f>IF(CG31&lt;=TOTAL_MAX,"sí",IF(CG31&lt;=TOTAL_MAX+MARGEN_NEG,"negociar","no"))</f>
        <v/>
      </c>
      <c r="CJ31" s="4">
        <f>IF(CI31&lt;&gt;"no",COUNTIFS($CI$2:$CI$662,"&lt;&gt;no",$CA$2:$CA$662,"&gt;"&amp;CA31)+COUNTIFS($CI$2:CI31,"&lt;&gt;no",$CA$2:CA31,CA31),"")</f>
        <v/>
      </c>
    </row>
    <row r="32">
      <c r="A32" s="2" t="inlineStr">
        <is>
          <t>wallapop:1254410344</t>
        </is>
      </c>
      <c r="B32" s="2" t="inlineStr">
        <is>
          <t>wallapop</t>
        </is>
      </c>
      <c r="C32" s="2" t="inlineStr">
        <is>
          <t>https://es.wallapop.com/item/toyota-prius-2009-1254410344</t>
        </is>
      </c>
      <c r="D32" s="2" t="inlineStr">
        <is>
          <t>Toyota Prius 2009</t>
        </is>
      </c>
      <c r="E32" s="2" t="inlineStr">
        <is>
          <t>Toyota</t>
        </is>
      </c>
      <c r="F32" s="2" t="inlineStr">
        <is>
          <t>Toyota Prius</t>
        </is>
      </c>
      <c r="G32" s="2" t="inlineStr">
        <is>
          <t>1.8 Hybrid</t>
        </is>
      </c>
      <c r="H32" s="2" t="inlineStr">
        <is>
          <t>1.8 136 HSD Advance 5p</t>
        </is>
      </c>
      <c r="I32" s="2" t="n"/>
      <c r="J32" s="2" t="n">
        <v>136</v>
      </c>
      <c r="K32" s="2" t="inlineStr">
        <is>
          <t>hibrido</t>
        </is>
      </c>
      <c r="L32" s="2" t="inlineStr">
        <is>
          <t>compacto</t>
        </is>
      </c>
      <c r="M32" s="2" t="n">
        <v>2009</v>
      </c>
      <c r="N32" s="2" t="n">
        <v>70000</v>
      </c>
      <c r="O32" s="2" t="n">
        <v>3999</v>
      </c>
      <c r="P32" s="2" t="inlineStr">
        <is>
          <t>automatico</t>
        </is>
      </c>
      <c r="Q32" s="2" t="inlineStr">
        <is>
          <t>sí</t>
        </is>
      </c>
      <c r="R32" s="2" t="inlineStr">
        <is>
          <t>particular</t>
        </is>
      </c>
      <c r="S32" s="2" t="inlineStr">
        <is>
          <t>Valencia (46002)</t>
        </is>
      </c>
      <c r="T32" s="2" t="inlineStr">
        <is>
          <t>2026-10-08T19:28:02</t>
        </is>
      </c>
      <c r="U32" s="2" t="n">
        <v>8</v>
      </c>
      <c r="V32" s="2" t="n"/>
      <c r="W32" s="2" t="n"/>
      <c r="X32" s="2" t="n"/>
      <c r="Y32" s="2" t="n"/>
      <c r="Z32" s="2" t="n"/>
      <c r="AA32" s="2" t="n"/>
      <c r="AB32" s="2" t="n"/>
      <c r="AC32" s="2" t="n"/>
      <c r="AD32" s="2" t="n"/>
      <c r="AE32" s="2" t="n"/>
      <c r="AF32" s="2" t="n"/>
      <c r="AG32" s="2" t="n"/>
      <c r="AH32" s="2" t="n"/>
      <c r="AI32" s="2" t="n"/>
      <c r="AJ32" s="2" t="n"/>
      <c r="AK32" s="2" t="n"/>
      <c r="AL32" s="2" t="n"/>
      <c r="AM32" s="2" t="n">
        <v>0.9</v>
      </c>
      <c r="AN32" s="2" t="n"/>
      <c r="AO32" s="2" t="n"/>
      <c r="AP32" s="2" t="n"/>
      <c r="AQ32" s="2" t="n"/>
      <c r="AR32" s="2" t="inlineStr">
        <is>
          <t>cuota fija ITP: &gt;12 años, 1.501-2.000 cc; mediana con solo 1 anuncio(s)</t>
        </is>
      </c>
      <c r="AS32" s="2" t="inlineStr">
        <is>
          <t xml:space="preserve">Sin catalizador.(350€ en desguace) Le falta la marca toyota delantera como se ve en la foto y parachoques delantero para reparar o cambiar de ( desguace 150€ )Por lo demás en perfecto estado. Sin problemas, con motor cambiado de 70.000 km carroceria 490.000 km y bateria hibrida cambiada. Fue taxi. Muy bien cuidado
</t>
        </is>
      </c>
      <c r="AT32" s="2" t="inlineStr">
        <is>
          <t>https://es.wallapop.com/item/toyota-prius-2009-1254410344 (__NEXT_DATA__ item) /home/user/Alopecia/buscador-coches/raw/wallapop/830f984b89666fd2.json</t>
        </is>
      </c>
      <c r="AU32" s="3">
        <f>MAX(ANIO_ACTUAL-M32,0)</f>
        <v/>
      </c>
      <c r="AV32" s="4">
        <f>N32/MAX(AU32,0.5)</f>
        <v/>
      </c>
      <c r="AW32" s="4">
        <f>F32</f>
        <v/>
      </c>
      <c r="AX32" s="3">
        <f>AW32&amp;"|"&amp;INT(M32/SEG_ANIO)*SEG_ANIO</f>
        <v/>
      </c>
      <c r="AY32" s="3">
        <f>AX32&amp;"|"&amp;INT(N32/SEG_KM)*SEG_KM</f>
        <v/>
      </c>
      <c r="AZ32" s="4">
        <f>COUNTIF($AW$2:$AW$662,AW32)</f>
        <v/>
      </c>
      <c r="BA32" s="4">
        <f>COUNTIF($AX$2:$AX$662,AX32)</f>
        <v/>
      </c>
      <c r="BB32" s="4">
        <f>COUNTIF($AY$2:$AY$662,AY32)</f>
        <v/>
      </c>
      <c r="BC32" s="3">
        <f t="array" ref="BC32">IF(N(AO32)&gt;=MIN_N,AN32,IF(BB32&gt;=MIN_N,MEDIAN(IF($AY$2:$AY$662=AY32,$O$2:$O$662)),IF(BA32&gt;=MIN_N,MEDIAN(IF($AX$2:$AX$662=AX32,$O$2:$O$662)),MEDIAN(IF($AW$2:$AW$662=AW32,$O$2:$O$662)))))</f>
        <v/>
      </c>
      <c r="BD32" s="3">
        <f>IF(N(AO32)&gt;=MIN_N,"mercado "&amp;AP32,IF(BB32&gt;=MIN_N,"modelo+año+km",IF(BA32&gt;=MIN_N,"modelo+año","modelo")))</f>
        <v/>
      </c>
      <c r="BE32" s="4">
        <f>(BC32-O32)/BC32</f>
        <v/>
      </c>
      <c r="BF32" s="3">
        <f>IF(OR(K32="hibrido",K32="glp"),"ECO",IF(K32="electrico","CERO",IF(K32="gasolina",IF(M32&gt;=GAS_C,"C",IF(M32&gt;=GAS_B,"B","A")),IF(K32="diesel",IF(M32&gt;=DIE_C,"C",IF(M32&gt;=DIE_B,"B","A")),""))))</f>
        <v/>
      </c>
      <c r="BG32" s="3">
        <f>IFERROR(VLOOKUP(F32,MOD_TBL,11,0),IFERROR(VLOOKUP(E32,OCU_TBL,2,0),NEUTRO))</f>
        <v/>
      </c>
      <c r="BH32" s="3">
        <f>SUMIFS(MOT_AJUSTE,MOT_MOTOR,G32,MOT_MARCA,E32,MOT_DESDE,"&lt;="&amp;M32,MOT_HASTA,"&gt;="&amp;M32)+SUMIFS(MOT_AJUSTE,MOT_MOTOR,G32,MOT_MARCA,"(todas)",MOT_DESDE,"&lt;="&amp;M32,MOT_HASTA,"&gt;="&amp;M32)</f>
        <v/>
      </c>
      <c r="BI32" s="3">
        <f>SUMIFS(COMB_AJUSTE,COMB_COMB,K32)</f>
        <v/>
      </c>
      <c r="BJ32" s="3">
        <f>COUNTIFS(MOT_MOTOR,G32,MOT_MARCA,E32,MOT_DESDE,"&lt;="&amp;M32,MOT_HASTA,"&gt;="&amp;M32)+COUNTIFS(MOT_MOTOR,G32,MOT_MARCA,"(todas)",MOT_DESDE,"&lt;="&amp;M32,MOT_HASTA,"&gt;="&amp;M32)</f>
        <v/>
      </c>
      <c r="BK32" s="3">
        <f>IF(AND(K32="diesel",BJ32=0),MIN(BG32,NEUTRO),BG32)</f>
        <v/>
      </c>
      <c r="BL32" s="4">
        <f>MAX(0,MIN(100,BK32+BH32+BI32))</f>
        <v/>
      </c>
      <c r="BM32" s="3">
        <f>MAX(0,MIN(100,50+BE32*PRECIO_PEND))</f>
        <v/>
      </c>
      <c r="BN32" s="3">
        <f>MAX(0,100*(1-N32/KM_MAX))</f>
        <v/>
      </c>
      <c r="BO32" s="3">
        <f>IF(AV32&lt;KMA_SOSP,IF(AA32="sí",100,KMA_PEN),IF(AV32&lt;=KMA_IDEAL_MAX,100,MAX(0,100*(KMA_CERO-AV32)/(KMA_CERO-KMA_IDEAL_MAX))))</f>
        <v/>
      </c>
      <c r="BP32" s="3">
        <f>MAX(0,MIN(100,100*(M32-ANIO_MIN)/(ANIO_ACTUAL-ANIO_MIN)))</f>
        <v/>
      </c>
      <c r="BQ32" s="3">
        <f>W_KMT*BN32+W_KMA*BO32+W_EDAD*BP32</f>
        <v/>
      </c>
      <c r="BR32" s="3">
        <f>P_ITV*(V32="sí")+P_LIBRO*(W32="sí")+P_CORREA*(X32="sí")+P_PROP*(Y32=1)+P_GAR*(Z32="sí")+P_FOTOS*MIN(1,N(U32)/FOTOS_OBJ)</f>
        <v/>
      </c>
      <c r="BS32" s="3">
        <f>IFERROR(VLOOKUP(BF32,ETQ_TBL,2,0),NEUTRO)</f>
        <v/>
      </c>
      <c r="BT32" s="3">
        <f>NEUTRO</f>
        <v/>
      </c>
      <c r="BU32" s="3">
        <f>IFERROR(VLOOKUP(L32,SEGURO_TBL,3,0),"")</f>
        <v/>
      </c>
      <c r="BV32" s="3">
        <f>IF(BU32="",NEUTRO,MAX(0,MIN(100,100*(SEG_REF_MAX-BU32)/(SEG_REF_MAX-SEG_REF_MIN))))</f>
        <v/>
      </c>
      <c r="BW32" s="3">
        <f>W_ET*BS32+W_CONS*BT32+W_SEG*BV32</f>
        <v/>
      </c>
      <c r="BX32" s="3">
        <f>IF(N(AB32)&gt;0,AB32,IF(AND(R32="profesional",SG_LEGAL_ON=1),GAR_LEGAL,0))</f>
        <v/>
      </c>
      <c r="BY32" s="3">
        <f>SG_GAR*MIN(1,BX32/SG_GAR_FULL)+SG_AMPL*(AC32="sí")+SG_KMC*(AF32="sí")+SG_REV*(N(AE32)&gt;0)+SG_DEV*MIN(1,N(AG32)/SG_DEV_FULL)+SG_HIST*(W32="sí")</f>
        <v/>
      </c>
      <c r="BZ32" s="3">
        <f>IFERROR(VLOOKUP(L32,CARR_PEN_TBL,2,0),0)</f>
        <v/>
      </c>
      <c r="CA32" s="3">
        <f>W_FIAB*BL32+W_PRECIO*BM32+W_KMEDAD*BQ32+W_ANUNCIO*BR32+W_USO*BW32+W_SEGURIDAD*BY32-BZ32</f>
        <v/>
      </c>
      <c r="CB32" s="4">
        <f>IF(N(I32)&gt;0,I32,IFERROR(ROUND(_xlfn.NUMBERVALUE(LEFT(G32,FIND(" ",G32&amp;" ")-1),".")*1000,0),99999))</f>
        <v/>
      </c>
      <c r="CC32" s="3">
        <f>IF(R32="profesional",0,IF(O32&lt;CUOTA_VALOR_MAX,IF(AU32&gt;ITP_TRAMO_ALTO,SUMIFS(CF_CUOTA,CF_MAS,ITP_TRAMO_ALTO,CF_CCMIN,"&lt;="&amp;CB32,CF_CCMAX,"&gt;="&amp;CB32),IF(AU32&gt;ITP_TRAMO_BAJO,SUMIFS(CF_CUOTA,CF_MAS,ITP_TRAMO_BAJO,CF_CCMIN,"&lt;="&amp;CB32,CF_CCMAX,"&gt;="&amp;CB32),O32*ITP_TIPO)),O32*ITP_TIPO))</f>
        <v/>
      </c>
      <c r="CD32" s="4">
        <f>IF(R32="profesional",N(AK32),0)</f>
        <v/>
      </c>
      <c r="CE32" s="3">
        <f>IF(AND(R32="profesional",ISNUMBER(AK32),AL32="sí"),0,TASA_DGT)</f>
        <v/>
      </c>
      <c r="CF32" s="3">
        <f>INFORME_DGT</f>
        <v/>
      </c>
      <c r="CG32" s="4">
        <f>O32+CD32+CC32+CE32+CF32</f>
        <v/>
      </c>
      <c r="CH32" s="4">
        <f>CG32+N(BU32)</f>
        <v/>
      </c>
      <c r="CI32" s="3">
        <f>IF(CG32&lt;=TOTAL_MAX,"sí",IF(CG32&lt;=TOTAL_MAX+MARGEN_NEG,"negociar","no"))</f>
        <v/>
      </c>
      <c r="CJ32" s="4">
        <f>IF(CI32&lt;&gt;"no",COUNTIFS($CI$2:$CI$662,"&lt;&gt;no",$CA$2:$CA$662,"&gt;"&amp;CA32)+COUNTIFS($CI$2:CI32,"&lt;&gt;no",$CA$2:CA32,CA32),"")</f>
        <v/>
      </c>
    </row>
    <row r="33">
      <c r="A33" s="2" t="inlineStr">
        <is>
          <t>wallapop:1306889282</t>
        </is>
      </c>
      <c r="B33" s="2" t="inlineStr">
        <is>
          <t>wallapop</t>
        </is>
      </c>
      <c r="C33" s="2" t="inlineStr">
        <is>
          <t>https://es.wallapop.com/item/hyundai-i10-2008-1306889282</t>
        </is>
      </c>
      <c r="D33" s="2" t="inlineStr">
        <is>
          <t>Hyundai i10 2008</t>
        </is>
      </c>
      <c r="E33" s="2" t="inlineStr">
        <is>
          <t>Hyundai</t>
        </is>
      </c>
      <c r="F33" s="2" t="inlineStr">
        <is>
          <t>Hyundai i10</t>
        </is>
      </c>
      <c r="G33" s="2" t="inlineStr">
        <is>
          <t>1.1</t>
        </is>
      </c>
      <c r="H33" s="2" t="inlineStr">
        <is>
          <t>1.1 66 Classic 5p</t>
        </is>
      </c>
      <c r="I33" s="2" t="n"/>
      <c r="J33" s="2" t="n">
        <v>66</v>
      </c>
      <c r="K33" s="2" t="inlineStr">
        <is>
          <t>gasolina</t>
        </is>
      </c>
      <c r="L33" s="2" t="inlineStr">
        <is>
          <t>utilitario</t>
        </is>
      </c>
      <c r="M33" s="2" t="n">
        <v>2008</v>
      </c>
      <c r="N33" s="2" t="n">
        <v>133000</v>
      </c>
      <c r="O33" s="2" t="n">
        <v>3300</v>
      </c>
      <c r="P33" s="2" t="inlineStr">
        <is>
          <t>manual</t>
        </is>
      </c>
      <c r="Q33" s="2" t="inlineStr">
        <is>
          <t>no</t>
        </is>
      </c>
      <c r="R33" s="2" t="inlineStr">
        <is>
          <t>particular</t>
        </is>
      </c>
      <c r="S33" s="2" t="inlineStr">
        <is>
          <t>Valencia (46002)</t>
        </is>
      </c>
      <c r="T33" s="2" t="inlineStr">
        <is>
          <t>2026-10-22T18:44:25</t>
        </is>
      </c>
      <c r="U33" s="2" t="n">
        <v>4</v>
      </c>
      <c r="V33" s="2" t="n"/>
      <c r="W33" s="2" t="n"/>
      <c r="X33" s="2" t="inlineStr">
        <is>
          <t>sí</t>
        </is>
      </c>
      <c r="Y33" s="2" t="n"/>
      <c r="Z33" s="2" t="n"/>
      <c r="AA33" s="2" t="n"/>
      <c r="AB33" s="2" t="n"/>
      <c r="AC33" s="2" t="n"/>
      <c r="AD33" s="2" t="n"/>
      <c r="AE33" s="2" t="n"/>
      <c r="AF33" s="2" t="n"/>
      <c r="AG33" s="2" t="n"/>
      <c r="AH33" s="2" t="n"/>
      <c r="AI33" s="2" t="n"/>
      <c r="AJ33" s="2" t="n"/>
      <c r="AK33" s="2" t="n"/>
      <c r="AL33" s="2" t="n"/>
      <c r="AM33" s="2" t="n">
        <v>0.3</v>
      </c>
      <c r="AN33" s="2" t="n"/>
      <c r="AO33" s="2" t="n"/>
      <c r="AP33" s="2" t="n"/>
      <c r="AQ33" s="2" t="n"/>
      <c r="AR33" s="2" t="inlineStr">
        <is>
          <t>cuota fija ITP: &gt;12 años, hasta 1.500 cc; mediana con solo 3 anuncio(s)</t>
        </is>
      </c>
      <c r="AS33" s="2" t="inlineStr">
        <is>
          <t xml:space="preserve">Coche muy cuco, recién pasada la ITV, mecánica en perfecto estado. Correa distribución cambiada a los 130000km. Precio negociable, razonable. </t>
        </is>
      </c>
      <c r="AT33" s="2" t="inlineStr">
        <is>
          <t>https://es.wallapop.com/item/hyundai-i10-2008-1306889282 (__NEXT_DATA__ item) /home/user/Alopecia/buscador-coches/raw/wallapop/4d32262f32fcc6c8.json</t>
        </is>
      </c>
      <c r="AU33" s="3">
        <f>MAX(ANIO_ACTUAL-M33,0)</f>
        <v/>
      </c>
      <c r="AV33" s="4">
        <f>N33/MAX(AU33,0.5)</f>
        <v/>
      </c>
      <c r="AW33" s="4">
        <f>F33</f>
        <v/>
      </c>
      <c r="AX33" s="3">
        <f>AW33&amp;"|"&amp;INT(M33/SEG_ANIO)*SEG_ANIO</f>
        <v/>
      </c>
      <c r="AY33" s="3">
        <f>AX33&amp;"|"&amp;INT(N33/SEG_KM)*SEG_KM</f>
        <v/>
      </c>
      <c r="AZ33" s="4">
        <f>COUNTIF($AW$2:$AW$662,AW33)</f>
        <v/>
      </c>
      <c r="BA33" s="4">
        <f>COUNTIF($AX$2:$AX$662,AX33)</f>
        <v/>
      </c>
      <c r="BB33" s="4">
        <f>COUNTIF($AY$2:$AY$662,AY33)</f>
        <v/>
      </c>
      <c r="BC33" s="3">
        <f t="array" ref="BC33">IF(N(AO33)&gt;=MIN_N,AN33,IF(BB33&gt;=MIN_N,MEDIAN(IF($AY$2:$AY$662=AY33,$O$2:$O$662)),IF(BA33&gt;=MIN_N,MEDIAN(IF($AX$2:$AX$662=AX33,$O$2:$O$662)),MEDIAN(IF($AW$2:$AW$662=AW33,$O$2:$O$662)))))</f>
        <v/>
      </c>
      <c r="BD33" s="3">
        <f>IF(N(AO33)&gt;=MIN_N,"mercado "&amp;AP33,IF(BB33&gt;=MIN_N,"modelo+año+km",IF(BA33&gt;=MIN_N,"modelo+año","modelo")))</f>
        <v/>
      </c>
      <c r="BE33" s="4">
        <f>(BC33-O33)/BC33</f>
        <v/>
      </c>
      <c r="BF33" s="3">
        <f>IF(OR(K33="hibrido",K33="glp"),"ECO",IF(K33="electrico","CERO",IF(K33="gasolina",IF(M33&gt;=GAS_C,"C",IF(M33&gt;=GAS_B,"B","A")),IF(K33="diesel",IF(M33&gt;=DIE_C,"C",IF(M33&gt;=DIE_B,"B","A")),""))))</f>
        <v/>
      </c>
      <c r="BG33" s="3">
        <f>IFERROR(VLOOKUP(F33,MOD_TBL,11,0),IFERROR(VLOOKUP(E33,OCU_TBL,2,0),NEUTRO))</f>
        <v/>
      </c>
      <c r="BH33" s="3">
        <f>SUMIFS(MOT_AJUSTE,MOT_MOTOR,G33,MOT_MARCA,E33,MOT_DESDE,"&lt;="&amp;M33,MOT_HASTA,"&gt;="&amp;M33)+SUMIFS(MOT_AJUSTE,MOT_MOTOR,G33,MOT_MARCA,"(todas)",MOT_DESDE,"&lt;="&amp;M33,MOT_HASTA,"&gt;="&amp;M33)</f>
        <v/>
      </c>
      <c r="BI33" s="3">
        <f>SUMIFS(COMB_AJUSTE,COMB_COMB,K33)</f>
        <v/>
      </c>
      <c r="BJ33" s="3">
        <f>COUNTIFS(MOT_MOTOR,G33,MOT_MARCA,E33,MOT_DESDE,"&lt;="&amp;M33,MOT_HASTA,"&gt;="&amp;M33)+COUNTIFS(MOT_MOTOR,G33,MOT_MARCA,"(todas)",MOT_DESDE,"&lt;="&amp;M33,MOT_HASTA,"&gt;="&amp;M33)</f>
        <v/>
      </c>
      <c r="BK33" s="3">
        <f>IF(AND(K33="diesel",BJ33=0),MIN(BG33,NEUTRO),BG33)</f>
        <v/>
      </c>
      <c r="BL33" s="4">
        <f>MAX(0,MIN(100,BK33+BH33+BI33))</f>
        <v/>
      </c>
      <c r="BM33" s="3">
        <f>MAX(0,MIN(100,50+BE33*PRECIO_PEND))</f>
        <v/>
      </c>
      <c r="BN33" s="3">
        <f>MAX(0,100*(1-N33/KM_MAX))</f>
        <v/>
      </c>
      <c r="BO33" s="3">
        <f>IF(AV33&lt;KMA_SOSP,IF(AA33="sí",100,KMA_PEN),IF(AV33&lt;=KMA_IDEAL_MAX,100,MAX(0,100*(KMA_CERO-AV33)/(KMA_CERO-KMA_IDEAL_MAX))))</f>
        <v/>
      </c>
      <c r="BP33" s="3">
        <f>MAX(0,MIN(100,100*(M33-ANIO_MIN)/(ANIO_ACTUAL-ANIO_MIN)))</f>
        <v/>
      </c>
      <c r="BQ33" s="3">
        <f>W_KMT*BN33+W_KMA*BO33+W_EDAD*BP33</f>
        <v/>
      </c>
      <c r="BR33" s="3">
        <f>P_ITV*(V33="sí")+P_LIBRO*(W33="sí")+P_CORREA*(X33="sí")+P_PROP*(Y33=1)+P_GAR*(Z33="sí")+P_FOTOS*MIN(1,N(U33)/FOTOS_OBJ)</f>
        <v/>
      </c>
      <c r="BS33" s="3">
        <f>IFERROR(VLOOKUP(BF33,ETQ_TBL,2,0),NEUTRO)</f>
        <v/>
      </c>
      <c r="BT33" s="3">
        <f>NEUTRO</f>
        <v/>
      </c>
      <c r="BU33" s="3">
        <f>IFERROR(VLOOKUP(L33,SEGURO_TBL,3,0),"")</f>
        <v/>
      </c>
      <c r="BV33" s="3">
        <f>IF(BU33="",NEUTRO,MAX(0,MIN(100,100*(SEG_REF_MAX-BU33)/(SEG_REF_MAX-SEG_REF_MIN))))</f>
        <v/>
      </c>
      <c r="BW33" s="3">
        <f>W_ET*BS33+W_CONS*BT33+W_SEG*BV33</f>
        <v/>
      </c>
      <c r="BX33" s="3">
        <f>IF(N(AB33)&gt;0,AB33,IF(AND(R33="profesional",SG_LEGAL_ON=1),GAR_LEGAL,0))</f>
        <v/>
      </c>
      <c r="BY33" s="3">
        <f>SG_GAR*MIN(1,BX33/SG_GAR_FULL)+SG_AMPL*(AC33="sí")+SG_KMC*(AF33="sí")+SG_REV*(N(AE33)&gt;0)+SG_DEV*MIN(1,N(AG33)/SG_DEV_FULL)+SG_HIST*(W33="sí")</f>
        <v/>
      </c>
      <c r="BZ33" s="3">
        <f>IFERROR(VLOOKUP(L33,CARR_PEN_TBL,2,0),0)</f>
        <v/>
      </c>
      <c r="CA33" s="3">
        <f>W_FIAB*BL33+W_PRECIO*BM33+W_KMEDAD*BQ33+W_ANUNCIO*BR33+W_USO*BW33+W_SEGURIDAD*BY33-BZ33</f>
        <v/>
      </c>
      <c r="CB33" s="4">
        <f>IF(N(I33)&gt;0,I33,IFERROR(ROUND(_xlfn.NUMBERVALUE(LEFT(G33,FIND(" ",G33&amp;" ")-1),".")*1000,0),99999))</f>
        <v/>
      </c>
      <c r="CC33" s="3">
        <f>IF(R33="profesional",0,IF(O33&lt;CUOTA_VALOR_MAX,IF(AU33&gt;ITP_TRAMO_ALTO,SUMIFS(CF_CUOTA,CF_MAS,ITP_TRAMO_ALTO,CF_CCMIN,"&lt;="&amp;CB33,CF_CCMAX,"&gt;="&amp;CB33),IF(AU33&gt;ITP_TRAMO_BAJO,SUMIFS(CF_CUOTA,CF_MAS,ITP_TRAMO_BAJO,CF_CCMIN,"&lt;="&amp;CB33,CF_CCMAX,"&gt;="&amp;CB33),O33*ITP_TIPO)),O33*ITP_TIPO))</f>
        <v/>
      </c>
      <c r="CD33" s="4">
        <f>IF(R33="profesional",N(AK33),0)</f>
        <v/>
      </c>
      <c r="CE33" s="3">
        <f>IF(AND(R33="profesional",ISNUMBER(AK33),AL33="sí"),0,TASA_DGT)</f>
        <v/>
      </c>
      <c r="CF33" s="3">
        <f>INFORME_DGT</f>
        <v/>
      </c>
      <c r="CG33" s="4">
        <f>O33+CD33+CC33+CE33+CF33</f>
        <v/>
      </c>
      <c r="CH33" s="4">
        <f>CG33+N(BU33)</f>
        <v/>
      </c>
      <c r="CI33" s="3">
        <f>IF(CG33&lt;=TOTAL_MAX,"sí",IF(CG33&lt;=TOTAL_MAX+MARGEN_NEG,"negociar","no"))</f>
        <v/>
      </c>
      <c r="CJ33" s="4">
        <f>IF(CI33&lt;&gt;"no",COUNTIFS($CI$2:$CI$662,"&lt;&gt;no",$CA$2:$CA$662,"&gt;"&amp;CA33)+COUNTIFS($CI$2:CI33,"&lt;&gt;no",$CA$2:CA33,CA33),"")</f>
        <v/>
      </c>
    </row>
    <row r="34">
      <c r="A34" s="2" t="inlineStr">
        <is>
          <t>wallapop:1303258356</t>
        </is>
      </c>
      <c r="B34" s="2" t="inlineStr">
        <is>
          <t>wallapop</t>
        </is>
      </c>
      <c r="C34" s="2" t="inlineStr">
        <is>
          <t>https://es.wallapop.com/item/hyundai-i30-2009-1303258356</t>
        </is>
      </c>
      <c r="D34" s="2" t="inlineStr">
        <is>
          <t>Hyundai i30 2009</t>
        </is>
      </c>
      <c r="E34" s="2" t="inlineStr">
        <is>
          <t>Hyundai</t>
        </is>
      </c>
      <c r="F34" s="2" t="inlineStr">
        <is>
          <t>Hyundai i30</t>
        </is>
      </c>
      <c r="G34" s="2" t="inlineStr">
        <is>
          <t>1.4</t>
        </is>
      </c>
      <c r="H34" s="2" t="inlineStr">
        <is>
          <t>1.4 109 Classic 5p</t>
        </is>
      </c>
      <c r="I34" s="2" t="n"/>
      <c r="J34" s="2" t="n">
        <v>109</v>
      </c>
      <c r="K34" s="2" t="inlineStr">
        <is>
          <t>gasolina</t>
        </is>
      </c>
      <c r="L34" s="2" t="inlineStr">
        <is>
          <t>compacto</t>
        </is>
      </c>
      <c r="M34" s="2" t="n">
        <v>2009</v>
      </c>
      <c r="N34" s="2" t="n">
        <v>177000</v>
      </c>
      <c r="O34" s="2" t="n">
        <v>4000</v>
      </c>
      <c r="P34" s="2" t="inlineStr">
        <is>
          <t>manual</t>
        </is>
      </c>
      <c r="Q34" s="2" t="inlineStr">
        <is>
          <t>no</t>
        </is>
      </c>
      <c r="R34" s="2" t="inlineStr">
        <is>
          <t>particular</t>
        </is>
      </c>
      <c r="S34" s="2" t="inlineStr">
        <is>
          <t>Valencia (46018)</t>
        </is>
      </c>
      <c r="T34" s="2" t="inlineStr">
        <is>
          <t>2026-10-21T07:05:34</t>
        </is>
      </c>
      <c r="U34" s="2" t="n">
        <v>3</v>
      </c>
      <c r="V34" s="2" t="n"/>
      <c r="W34" s="2" t="n"/>
      <c r="X34" s="2" t="n"/>
      <c r="Y34" s="2" t="n"/>
      <c r="Z34" s="2" t="n"/>
      <c r="AA34" s="2" t="n"/>
      <c r="AB34" s="2" t="n"/>
      <c r="AC34" s="2" t="n"/>
      <c r="AD34" s="2" t="n"/>
      <c r="AE34" s="2" t="n"/>
      <c r="AF34" s="2" t="n"/>
      <c r="AG34" s="2" t="n"/>
      <c r="AH34" s="2" t="n"/>
      <c r="AI34" s="2" t="n"/>
      <c r="AJ34" s="2" t="n"/>
      <c r="AK34" s="2" t="n"/>
      <c r="AL34" s="2" t="n"/>
      <c r="AM34" s="2" t="n">
        <v>1.2</v>
      </c>
      <c r="AN34" s="2" t="n">
        <v>5850</v>
      </c>
      <c r="AO34" s="2" t="n">
        <v>7</v>
      </c>
      <c r="AP34" s="2" t="inlineStr">
        <is>
          <t>modelo+año</t>
        </is>
      </c>
      <c r="AQ34" s="2" t="n"/>
      <c r="AR34" s="2" t="inlineStr">
        <is>
          <t>cuota fija ITP: &gt;12 años, hasta 1.500 cc</t>
        </is>
      </c>
      <c r="AS34" s="2" t="inlineStr">
        <is>
          <t xml:space="preserve">
Hyundai I30 en Valencia</t>
        </is>
      </c>
      <c r="AT34" s="2" t="inlineStr">
        <is>
          <t>https://es.wallapop.com/item/hyundai-i30-2009-1303258356 (__NEXT_DATA__ item) /home/user/Alopecia/buscador-coches/raw/wallapop/275a620999c29339.json</t>
        </is>
      </c>
      <c r="AU34" s="3">
        <f>MAX(ANIO_ACTUAL-M34,0)</f>
        <v/>
      </c>
      <c r="AV34" s="4">
        <f>N34/MAX(AU34,0.5)</f>
        <v/>
      </c>
      <c r="AW34" s="4">
        <f>F34</f>
        <v/>
      </c>
      <c r="AX34" s="3">
        <f>AW34&amp;"|"&amp;INT(M34/SEG_ANIO)*SEG_ANIO</f>
        <v/>
      </c>
      <c r="AY34" s="3">
        <f>AX34&amp;"|"&amp;INT(N34/SEG_KM)*SEG_KM</f>
        <v/>
      </c>
      <c r="AZ34" s="4">
        <f>COUNTIF($AW$2:$AW$662,AW34)</f>
        <v/>
      </c>
      <c r="BA34" s="4">
        <f>COUNTIF($AX$2:$AX$662,AX34)</f>
        <v/>
      </c>
      <c r="BB34" s="4">
        <f>COUNTIF($AY$2:$AY$662,AY34)</f>
        <v/>
      </c>
      <c r="BC34" s="3">
        <f t="array" ref="BC34">IF(N(AO34)&gt;=MIN_N,AN34,IF(BB34&gt;=MIN_N,MEDIAN(IF($AY$2:$AY$662=AY34,$O$2:$O$662)),IF(BA34&gt;=MIN_N,MEDIAN(IF($AX$2:$AX$662=AX34,$O$2:$O$662)),MEDIAN(IF($AW$2:$AW$662=AW34,$O$2:$O$662)))))</f>
        <v/>
      </c>
      <c r="BD34" s="3">
        <f>IF(N(AO34)&gt;=MIN_N,"mercado "&amp;AP34,IF(BB34&gt;=MIN_N,"modelo+año+km",IF(BA34&gt;=MIN_N,"modelo+año","modelo")))</f>
        <v/>
      </c>
      <c r="BE34" s="4">
        <f>(BC34-O34)/BC34</f>
        <v/>
      </c>
      <c r="BF34" s="3">
        <f>IF(OR(K34="hibrido",K34="glp"),"ECO",IF(K34="electrico","CERO",IF(K34="gasolina",IF(M34&gt;=GAS_C,"C",IF(M34&gt;=GAS_B,"B","A")),IF(K34="diesel",IF(M34&gt;=DIE_C,"C",IF(M34&gt;=DIE_B,"B","A")),""))))</f>
        <v/>
      </c>
      <c r="BG34" s="3">
        <f>IFERROR(VLOOKUP(F34,MOD_TBL,11,0),IFERROR(VLOOKUP(E34,OCU_TBL,2,0),NEUTRO))</f>
        <v/>
      </c>
      <c r="BH34" s="3">
        <f>SUMIFS(MOT_AJUSTE,MOT_MOTOR,G34,MOT_MARCA,E34,MOT_DESDE,"&lt;="&amp;M34,MOT_HASTA,"&gt;="&amp;M34)+SUMIFS(MOT_AJUSTE,MOT_MOTOR,G34,MOT_MARCA,"(todas)",MOT_DESDE,"&lt;="&amp;M34,MOT_HASTA,"&gt;="&amp;M34)</f>
        <v/>
      </c>
      <c r="BI34" s="3">
        <f>SUMIFS(COMB_AJUSTE,COMB_COMB,K34)</f>
        <v/>
      </c>
      <c r="BJ34" s="3">
        <f>COUNTIFS(MOT_MOTOR,G34,MOT_MARCA,E34,MOT_DESDE,"&lt;="&amp;M34,MOT_HASTA,"&gt;="&amp;M34)+COUNTIFS(MOT_MOTOR,G34,MOT_MARCA,"(todas)",MOT_DESDE,"&lt;="&amp;M34,MOT_HASTA,"&gt;="&amp;M34)</f>
        <v/>
      </c>
      <c r="BK34" s="3">
        <f>IF(AND(K34="diesel",BJ34=0),MIN(BG34,NEUTRO),BG34)</f>
        <v/>
      </c>
      <c r="BL34" s="4">
        <f>MAX(0,MIN(100,BK34+BH34+BI34))</f>
        <v/>
      </c>
      <c r="BM34" s="3">
        <f>MAX(0,MIN(100,50+BE34*PRECIO_PEND))</f>
        <v/>
      </c>
      <c r="BN34" s="3">
        <f>MAX(0,100*(1-N34/KM_MAX))</f>
        <v/>
      </c>
      <c r="BO34" s="3">
        <f>IF(AV34&lt;KMA_SOSP,IF(AA34="sí",100,KMA_PEN),IF(AV34&lt;=KMA_IDEAL_MAX,100,MAX(0,100*(KMA_CERO-AV34)/(KMA_CERO-KMA_IDEAL_MAX))))</f>
        <v/>
      </c>
      <c r="BP34" s="3">
        <f>MAX(0,MIN(100,100*(M34-ANIO_MIN)/(ANIO_ACTUAL-ANIO_MIN)))</f>
        <v/>
      </c>
      <c r="BQ34" s="3">
        <f>W_KMT*BN34+W_KMA*BO34+W_EDAD*BP34</f>
        <v/>
      </c>
      <c r="BR34" s="3">
        <f>P_ITV*(V34="sí")+P_LIBRO*(W34="sí")+P_CORREA*(X34="sí")+P_PROP*(Y34=1)+P_GAR*(Z34="sí")+P_FOTOS*MIN(1,N(U34)/FOTOS_OBJ)</f>
        <v/>
      </c>
      <c r="BS34" s="3">
        <f>IFERROR(VLOOKUP(BF34,ETQ_TBL,2,0),NEUTRO)</f>
        <v/>
      </c>
      <c r="BT34" s="3">
        <f>NEUTRO</f>
        <v/>
      </c>
      <c r="BU34" s="3">
        <f>IFERROR(VLOOKUP(L34,SEGURO_TBL,3,0),"")</f>
        <v/>
      </c>
      <c r="BV34" s="3">
        <f>IF(BU34="",NEUTRO,MAX(0,MIN(100,100*(SEG_REF_MAX-BU34)/(SEG_REF_MAX-SEG_REF_MIN))))</f>
        <v/>
      </c>
      <c r="BW34" s="3">
        <f>W_ET*BS34+W_CONS*BT34+W_SEG*BV34</f>
        <v/>
      </c>
      <c r="BX34" s="3">
        <f>IF(N(AB34)&gt;0,AB34,IF(AND(R34="profesional",SG_LEGAL_ON=1),GAR_LEGAL,0))</f>
        <v/>
      </c>
      <c r="BY34" s="3">
        <f>SG_GAR*MIN(1,BX34/SG_GAR_FULL)+SG_AMPL*(AC34="sí")+SG_KMC*(AF34="sí")+SG_REV*(N(AE34)&gt;0)+SG_DEV*MIN(1,N(AG34)/SG_DEV_FULL)+SG_HIST*(W34="sí")</f>
        <v/>
      </c>
      <c r="BZ34" s="3">
        <f>IFERROR(VLOOKUP(L34,CARR_PEN_TBL,2,0),0)</f>
        <v/>
      </c>
      <c r="CA34" s="3">
        <f>W_FIAB*BL34+W_PRECIO*BM34+W_KMEDAD*BQ34+W_ANUNCIO*BR34+W_USO*BW34+W_SEGURIDAD*BY34-BZ34</f>
        <v/>
      </c>
      <c r="CB34" s="4">
        <f>IF(N(I34)&gt;0,I34,IFERROR(ROUND(_xlfn.NUMBERVALUE(LEFT(G34,FIND(" ",G34&amp;" ")-1),".")*1000,0),99999))</f>
        <v/>
      </c>
      <c r="CC34" s="3">
        <f>IF(R34="profesional",0,IF(O34&lt;CUOTA_VALOR_MAX,IF(AU34&gt;ITP_TRAMO_ALTO,SUMIFS(CF_CUOTA,CF_MAS,ITP_TRAMO_ALTO,CF_CCMIN,"&lt;="&amp;CB34,CF_CCMAX,"&gt;="&amp;CB34),IF(AU34&gt;ITP_TRAMO_BAJO,SUMIFS(CF_CUOTA,CF_MAS,ITP_TRAMO_BAJO,CF_CCMIN,"&lt;="&amp;CB34,CF_CCMAX,"&gt;="&amp;CB34),O34*ITP_TIPO)),O34*ITP_TIPO))</f>
        <v/>
      </c>
      <c r="CD34" s="4">
        <f>IF(R34="profesional",N(AK34),0)</f>
        <v/>
      </c>
      <c r="CE34" s="3">
        <f>IF(AND(R34="profesional",ISNUMBER(AK34),AL34="sí"),0,TASA_DGT)</f>
        <v/>
      </c>
      <c r="CF34" s="3">
        <f>INFORME_DGT</f>
        <v/>
      </c>
      <c r="CG34" s="4">
        <f>O34+CD34+CC34+CE34+CF34</f>
        <v/>
      </c>
      <c r="CH34" s="4">
        <f>CG34+N(BU34)</f>
        <v/>
      </c>
      <c r="CI34" s="3">
        <f>IF(CG34&lt;=TOTAL_MAX,"sí",IF(CG34&lt;=TOTAL_MAX+MARGEN_NEG,"negociar","no"))</f>
        <v/>
      </c>
      <c r="CJ34" s="4">
        <f>IF(CI34&lt;&gt;"no",COUNTIFS($CI$2:$CI$662,"&lt;&gt;no",$CA$2:$CA$662,"&gt;"&amp;CA34)+COUNTIFS($CI$2:CI34,"&lt;&gt;no",$CA$2:CA34,CA34),"")</f>
        <v/>
      </c>
    </row>
    <row r="35">
      <c r="A35" s="2" t="inlineStr">
        <is>
          <t>wallapop:1318605374</t>
        </is>
      </c>
      <c r="B35" s="2" t="inlineStr">
        <is>
          <t>wallapop</t>
        </is>
      </c>
      <c r="C35" s="2" t="inlineStr">
        <is>
          <t>https://es.wallapop.com/item/seat-leon-2013-1318605374</t>
        </is>
      </c>
      <c r="D35" s="2" t="inlineStr">
        <is>
          <t>SEAT Leon 2013</t>
        </is>
      </c>
      <c r="E35" s="2" t="inlineStr">
        <is>
          <t>Seat</t>
        </is>
      </c>
      <c r="F35" s="2" t="inlineStr">
        <is>
          <t>Seat León</t>
        </is>
      </c>
      <c r="G35" s="2" t="inlineStr">
        <is>
          <t>1.6 TDI</t>
        </is>
      </c>
      <c r="H35" s="2" t="inlineStr">
        <is>
          <t>1.6 TDI CR 105 Reference 5p S/S</t>
        </is>
      </c>
      <c r="I35" s="2" t="n"/>
      <c r="J35" s="2" t="n">
        <v>105</v>
      </c>
      <c r="K35" s="2" t="inlineStr">
        <is>
          <t>diesel</t>
        </is>
      </c>
      <c r="L35" s="2" t="inlineStr">
        <is>
          <t>compacto</t>
        </is>
      </c>
      <c r="M35" s="2" t="n">
        <v>2013</v>
      </c>
      <c r="N35" s="2" t="n">
        <v>207000</v>
      </c>
      <c r="O35" s="2" t="n">
        <v>4500</v>
      </c>
      <c r="P35" s="2" t="inlineStr">
        <is>
          <t>manual</t>
        </is>
      </c>
      <c r="Q35" s="2" t="inlineStr">
        <is>
          <t>no</t>
        </is>
      </c>
      <c r="R35" s="2" t="inlineStr">
        <is>
          <t>particular</t>
        </is>
      </c>
      <c r="S35" s="2" t="inlineStr">
        <is>
          <t>Valencia (46001)</t>
        </is>
      </c>
      <c r="T35" s="2" t="inlineStr">
        <is>
          <t>2026-10-31T06:53:25</t>
        </is>
      </c>
      <c r="U35" s="2" t="n">
        <v>17</v>
      </c>
      <c r="V35" s="2" t="n"/>
      <c r="W35" s="2" t="n"/>
      <c r="X35" s="2" t="n"/>
      <c r="Y35" s="2" t="n"/>
      <c r="Z35" s="2" t="n"/>
      <c r="AA35" s="2" t="n"/>
      <c r="AB35" s="2" t="n"/>
      <c r="AC35" s="2" t="n"/>
      <c r="AD35" s="2" t="n"/>
      <c r="AE35" s="2" t="n"/>
      <c r="AF35" s="2" t="n"/>
      <c r="AG35" s="2" t="n"/>
      <c r="AH35" s="2" t="n"/>
      <c r="AI35" s="2" t="n"/>
      <c r="AJ35" s="2" t="n"/>
      <c r="AK35" s="2" t="n"/>
      <c r="AL35" s="2" t="n"/>
      <c r="AM35" s="2" t="n">
        <v>0.8</v>
      </c>
      <c r="AN35" s="2" t="n">
        <v>6400</v>
      </c>
      <c r="AO35" s="2" t="n">
        <v>9</v>
      </c>
      <c r="AP35" s="2" t="inlineStr">
        <is>
          <t>modelo+año+km</t>
        </is>
      </c>
      <c r="AQ35" s="2" t="inlineStr">
        <is>
          <t>cochesnet:71849768 (https://www.coches.net/seat-leon-16-tdi-105cv-reference-5p-diesel-2013-en-valencia-71849768-covo.aspx)</t>
        </is>
      </c>
      <c r="AR35" s="2" t="inlineStr">
        <is>
          <t>antigüedad en el límite del tramo: depende de la fecha exacta de matriculación; cuota fija ITP: &gt;12 años, 1.501-2.000 cc</t>
        </is>
      </c>
      <c r="AS35" s="2" t="inlineStr">
        <is>
          <t>🚗 SEAT León 1.6 TDI 105CV – 2013 – PARA PROFESIONALES / REACONDICIONAR
Se vende SEAT León 1.6 TDI 105CV del año 2013 con 207.000 km, vehículo orientado exclusivamente a profesionales del sector o compraventa.
🔧 Vehículo a reacondicionar – se vende tal cual:
Detalles de pintura y chapa para repasar.
Tensor de correa auxiliar con ruido (requiere sustitución)
✔️ Motor en funcionamiento
✔️ Base ideal para reacondicionamiento y posterior venta
✔️ Modelo con buena salida en mercado
📦 Vehículo sin preparar desperfectos estéticos, precio ajustado acorde a estado.
💰 Precio: 4.500€ (NO negociable)
🚫 Abstenerse ofertas absurdas o particulares que busquen vehículo listo</t>
        </is>
      </c>
      <c r="AT35" s="2" t="inlineStr">
        <is>
          <t>https://es.wallapop.com/item/seat-leon-2013-1318605374 (__NEXT_DATA__ item) /home/user/Alopecia/buscador-coches/raw/wallapop/2a1c7143a6328ace.json</t>
        </is>
      </c>
      <c r="AU35" s="3">
        <f>MAX(ANIO_ACTUAL-M35,0)</f>
        <v/>
      </c>
      <c r="AV35" s="4">
        <f>N35/MAX(AU35,0.5)</f>
        <v/>
      </c>
      <c r="AW35" s="4">
        <f>F35</f>
        <v/>
      </c>
      <c r="AX35" s="3">
        <f>AW35&amp;"|"&amp;INT(M35/SEG_ANIO)*SEG_ANIO</f>
        <v/>
      </c>
      <c r="AY35" s="3">
        <f>AX35&amp;"|"&amp;INT(N35/SEG_KM)*SEG_KM</f>
        <v/>
      </c>
      <c r="AZ35" s="4">
        <f>COUNTIF($AW$2:$AW$662,AW35)</f>
        <v/>
      </c>
      <c r="BA35" s="4">
        <f>COUNTIF($AX$2:$AX$662,AX35)</f>
        <v/>
      </c>
      <c r="BB35" s="4">
        <f>COUNTIF($AY$2:$AY$662,AY35)</f>
        <v/>
      </c>
      <c r="BC35" s="3">
        <f t="array" ref="BC35">IF(N(AO35)&gt;=MIN_N,AN35,IF(BB35&gt;=MIN_N,MEDIAN(IF($AY$2:$AY$662=AY35,$O$2:$O$662)),IF(BA35&gt;=MIN_N,MEDIAN(IF($AX$2:$AX$662=AX35,$O$2:$O$662)),MEDIAN(IF($AW$2:$AW$662=AW35,$O$2:$O$662)))))</f>
        <v/>
      </c>
      <c r="BD35" s="3">
        <f>IF(N(AO35)&gt;=MIN_N,"mercado "&amp;AP35,IF(BB35&gt;=MIN_N,"modelo+año+km",IF(BA35&gt;=MIN_N,"modelo+año","modelo")))</f>
        <v/>
      </c>
      <c r="BE35" s="4">
        <f>(BC35-O35)/BC35</f>
        <v/>
      </c>
      <c r="BF35" s="3">
        <f>IF(OR(K35="hibrido",K35="glp"),"ECO",IF(K35="electrico","CERO",IF(K35="gasolina",IF(M35&gt;=GAS_C,"C",IF(M35&gt;=GAS_B,"B","A")),IF(K35="diesel",IF(M35&gt;=DIE_C,"C",IF(M35&gt;=DIE_B,"B","A")),""))))</f>
        <v/>
      </c>
      <c r="BG35" s="3">
        <f>IFERROR(VLOOKUP(F35,MOD_TBL,11,0),IFERROR(VLOOKUP(E35,OCU_TBL,2,0),NEUTRO))</f>
        <v/>
      </c>
      <c r="BH35" s="3">
        <f>SUMIFS(MOT_AJUSTE,MOT_MOTOR,G35,MOT_MARCA,E35,MOT_DESDE,"&lt;="&amp;M35,MOT_HASTA,"&gt;="&amp;M35)+SUMIFS(MOT_AJUSTE,MOT_MOTOR,G35,MOT_MARCA,"(todas)",MOT_DESDE,"&lt;="&amp;M35,MOT_HASTA,"&gt;="&amp;M35)</f>
        <v/>
      </c>
      <c r="BI35" s="3">
        <f>SUMIFS(COMB_AJUSTE,COMB_COMB,K35)</f>
        <v/>
      </c>
      <c r="BJ35" s="3">
        <f>COUNTIFS(MOT_MOTOR,G35,MOT_MARCA,E35,MOT_DESDE,"&lt;="&amp;M35,MOT_HASTA,"&gt;="&amp;M35)+COUNTIFS(MOT_MOTOR,G35,MOT_MARCA,"(todas)",MOT_DESDE,"&lt;="&amp;M35,MOT_HASTA,"&gt;="&amp;M35)</f>
        <v/>
      </c>
      <c r="BK35" s="3">
        <f>IF(AND(K35="diesel",BJ35=0),MIN(BG35,NEUTRO),BG35)</f>
        <v/>
      </c>
      <c r="BL35" s="4">
        <f>MAX(0,MIN(100,BK35+BH35+BI35))</f>
        <v/>
      </c>
      <c r="BM35" s="3">
        <f>MAX(0,MIN(100,50+BE35*PRECIO_PEND))</f>
        <v/>
      </c>
      <c r="BN35" s="3">
        <f>MAX(0,100*(1-N35/KM_MAX))</f>
        <v/>
      </c>
      <c r="BO35" s="3">
        <f>IF(AV35&lt;KMA_SOSP,IF(AA35="sí",100,KMA_PEN),IF(AV35&lt;=KMA_IDEAL_MAX,100,MAX(0,100*(KMA_CERO-AV35)/(KMA_CERO-KMA_IDEAL_MAX))))</f>
        <v/>
      </c>
      <c r="BP35" s="3">
        <f>MAX(0,MIN(100,100*(M35-ANIO_MIN)/(ANIO_ACTUAL-ANIO_MIN)))</f>
        <v/>
      </c>
      <c r="BQ35" s="3">
        <f>W_KMT*BN35+W_KMA*BO35+W_EDAD*BP35</f>
        <v/>
      </c>
      <c r="BR35" s="3">
        <f>P_ITV*(V35="sí")+P_LIBRO*(W35="sí")+P_CORREA*(X35="sí")+P_PROP*(Y35=1)+P_GAR*(Z35="sí")+P_FOTOS*MIN(1,N(U35)/FOTOS_OBJ)</f>
        <v/>
      </c>
      <c r="BS35" s="3">
        <f>IFERROR(VLOOKUP(BF35,ETQ_TBL,2,0),NEUTRO)</f>
        <v/>
      </c>
      <c r="BT35" s="3">
        <f>NEUTRO</f>
        <v/>
      </c>
      <c r="BU35" s="3">
        <f>IFERROR(VLOOKUP(L35,SEGURO_TBL,3,0),"")</f>
        <v/>
      </c>
      <c r="BV35" s="3">
        <f>IF(BU35="",NEUTRO,MAX(0,MIN(100,100*(SEG_REF_MAX-BU35)/(SEG_REF_MAX-SEG_REF_MIN))))</f>
        <v/>
      </c>
      <c r="BW35" s="3">
        <f>W_ET*BS35+W_CONS*BT35+W_SEG*BV35</f>
        <v/>
      </c>
      <c r="BX35" s="3">
        <f>IF(N(AB35)&gt;0,AB35,IF(AND(R35="profesional",SG_LEGAL_ON=1),GAR_LEGAL,0))</f>
        <v/>
      </c>
      <c r="BY35" s="3">
        <f>SG_GAR*MIN(1,BX35/SG_GAR_FULL)+SG_AMPL*(AC35="sí")+SG_KMC*(AF35="sí")+SG_REV*(N(AE35)&gt;0)+SG_DEV*MIN(1,N(AG35)/SG_DEV_FULL)+SG_HIST*(W35="sí")</f>
        <v/>
      </c>
      <c r="BZ35" s="3">
        <f>IFERROR(VLOOKUP(L35,CARR_PEN_TBL,2,0),0)</f>
        <v/>
      </c>
      <c r="CA35" s="3">
        <f>W_FIAB*BL35+W_PRECIO*BM35+W_KMEDAD*BQ35+W_ANUNCIO*BR35+W_USO*BW35+W_SEGURIDAD*BY35-BZ35</f>
        <v/>
      </c>
      <c r="CB35" s="4">
        <f>IF(N(I35)&gt;0,I35,IFERROR(ROUND(_xlfn.NUMBERVALUE(LEFT(G35,FIND(" ",G35&amp;" ")-1),".")*1000,0),99999))</f>
        <v/>
      </c>
      <c r="CC35" s="3">
        <f>IF(R35="profesional",0,IF(O35&lt;CUOTA_VALOR_MAX,IF(AU35&gt;ITP_TRAMO_ALTO,SUMIFS(CF_CUOTA,CF_MAS,ITP_TRAMO_ALTO,CF_CCMIN,"&lt;="&amp;CB35,CF_CCMAX,"&gt;="&amp;CB35),IF(AU35&gt;ITP_TRAMO_BAJO,SUMIFS(CF_CUOTA,CF_MAS,ITP_TRAMO_BAJO,CF_CCMIN,"&lt;="&amp;CB35,CF_CCMAX,"&gt;="&amp;CB35),O35*ITP_TIPO)),O35*ITP_TIPO))</f>
        <v/>
      </c>
      <c r="CD35" s="4">
        <f>IF(R35="profesional",N(AK35),0)</f>
        <v/>
      </c>
      <c r="CE35" s="3">
        <f>IF(AND(R35="profesional",ISNUMBER(AK35),AL35="sí"),0,TASA_DGT)</f>
        <v/>
      </c>
      <c r="CF35" s="3">
        <f>INFORME_DGT</f>
        <v/>
      </c>
      <c r="CG35" s="4">
        <f>O35+CD35+CC35+CE35+CF35</f>
        <v/>
      </c>
      <c r="CH35" s="4">
        <f>CG35+N(BU35)</f>
        <v/>
      </c>
      <c r="CI35" s="3">
        <f>IF(CG35&lt;=TOTAL_MAX,"sí",IF(CG35&lt;=TOTAL_MAX+MARGEN_NEG,"negociar","no"))</f>
        <v/>
      </c>
      <c r="CJ35" s="4">
        <f>IF(CI35&lt;&gt;"no",COUNTIFS($CI$2:$CI$662,"&lt;&gt;no",$CA$2:$CA$662,"&gt;"&amp;CA35)+COUNTIFS($CI$2:CI35,"&lt;&gt;no",$CA$2:CA35,CA35),"")</f>
        <v/>
      </c>
    </row>
    <row r="36">
      <c r="A36" s="2" t="inlineStr">
        <is>
          <t>wallapop:1314563442</t>
        </is>
      </c>
      <c r="B36" s="2" t="inlineStr">
        <is>
          <t>wallapop</t>
        </is>
      </c>
      <c r="C36" s="2" t="inlineStr">
        <is>
          <t>https://es.wallapop.com/item/volkswagen-polo-1-6-tdi-sport-90-cv-solo-86-000-1314563442</t>
        </is>
      </c>
      <c r="D36" s="2" t="inlineStr">
        <is>
          <t>Volkswagen Polo 1.6 TDI Sport 90 CV – SOLO 86.000</t>
        </is>
      </c>
      <c r="E36" s="2" t="inlineStr">
        <is>
          <t>Volkswagen</t>
        </is>
      </c>
      <c r="F36" s="2" t="inlineStr">
        <is>
          <t>Volkswagen Polo</t>
        </is>
      </c>
      <c r="G36" s="2" t="inlineStr">
        <is>
          <t>1.6 TDI</t>
        </is>
      </c>
      <c r="H36" s="2" t="inlineStr">
        <is>
          <t>1.6 TDI 90 Sport 3p</t>
        </is>
      </c>
      <c r="I36" s="2" t="n"/>
      <c r="J36" s="2" t="n">
        <v>90</v>
      </c>
      <c r="K36" s="2" t="inlineStr">
        <is>
          <t>diesel</t>
        </is>
      </c>
      <c r="L36" s="2" t="inlineStr">
        <is>
          <t>utilitario</t>
        </is>
      </c>
      <c r="M36" s="2" t="n">
        <v>2011</v>
      </c>
      <c r="N36" s="2" t="n">
        <v>86000</v>
      </c>
      <c r="O36" s="2" t="n">
        <v>4480</v>
      </c>
      <c r="P36" s="2" t="inlineStr">
        <is>
          <t>manual</t>
        </is>
      </c>
      <c r="Q36" s="2" t="inlineStr">
        <is>
          <t>no</t>
        </is>
      </c>
      <c r="R36" s="2" t="inlineStr">
        <is>
          <t>particular</t>
        </is>
      </c>
      <c r="S36" s="2" t="inlineStr">
        <is>
          <t>Valencia (46001)</t>
        </is>
      </c>
      <c r="T36" s="2" t="inlineStr">
        <is>
          <t>2026-10-30T12:20:07</t>
        </is>
      </c>
      <c r="U36" s="2" t="n">
        <v>10</v>
      </c>
      <c r="V36" s="2" t="inlineStr">
        <is>
          <t>sí</t>
        </is>
      </c>
      <c r="W36" s="2" t="n"/>
      <c r="X36" s="2" t="n"/>
      <c r="Y36" s="2" t="n"/>
      <c r="Z36" s="2" t="n"/>
      <c r="AA36" s="2" t="n"/>
      <c r="AB36" s="2" t="n"/>
      <c r="AC36" s="2" t="n"/>
      <c r="AD36" s="2" t="n"/>
      <c r="AE36" s="2" t="n"/>
      <c r="AF36" s="2" t="n"/>
      <c r="AG36" s="2" t="n"/>
      <c r="AH36" s="2" t="n"/>
      <c r="AI36" s="2" t="n"/>
      <c r="AJ36" s="2" t="n"/>
      <c r="AK36" s="2" t="n"/>
      <c r="AL36" s="2" t="n"/>
      <c r="AM36" s="2" t="n">
        <v>0.4</v>
      </c>
      <c r="AN36" s="2" t="n">
        <v>5925</v>
      </c>
      <c r="AO36" s="2" t="n">
        <v>30</v>
      </c>
      <c r="AP36" s="2" t="inlineStr">
        <is>
          <t>modelo+año</t>
        </is>
      </c>
      <c r="AQ36" s="2" t="inlineStr">
        <is>
          <t>cochesnet:71777008 (https://www.coches.net/volkswagen-polo-16-tdi-90cv-sport-3p-diesel-2011-en-valencia-71777008-covo.aspx)</t>
        </is>
      </c>
      <c r="AR36" s="2" t="inlineStr">
        <is>
          <t>cuota fija ITP: &gt;12 años, 1.501-2.000 cc</t>
        </is>
      </c>
      <c r="AS36" s="2" t="inlineStr">
        <is>
          <t>Vendo mi Volkswagen Polo del 2011 con solo 86.229 km, muy pocos kilómetros para los años que tiene.
Motor 1.6 diésel de 90 CV, cambio manual de 5 marchas y acabado Sport.
Es de color rojo, tiene 3 puertas, 5 plazas y consume poco. Va bien tanto para ciudad como para carretera.
Tiene etiqueta ambiental B e ITV hasta marzo de 2027.
Se puede venir a ver y probar sin problema. Cualquier duda, preguntadme.</t>
        </is>
      </c>
      <c r="AT36" s="2" t="inlineStr">
        <is>
          <t>https://es.wallapop.com/item/volkswagen-polo-1-6-tdi-sport-90-cv-solo-86-000-1314563442 (__NEXT_DATA__ item) /home/user/Alopecia/buscador-coches/raw/wallapop/1c5bf7020142bdd9.json</t>
        </is>
      </c>
      <c r="AU36" s="3">
        <f>MAX(ANIO_ACTUAL-M36,0)</f>
        <v/>
      </c>
      <c r="AV36" s="4">
        <f>N36/MAX(AU36,0.5)</f>
        <v/>
      </c>
      <c r="AW36" s="4">
        <f>F36</f>
        <v/>
      </c>
      <c r="AX36" s="3">
        <f>AW36&amp;"|"&amp;INT(M36/SEG_ANIO)*SEG_ANIO</f>
        <v/>
      </c>
      <c r="AY36" s="3">
        <f>AX36&amp;"|"&amp;INT(N36/SEG_KM)*SEG_KM</f>
        <v/>
      </c>
      <c r="AZ36" s="4">
        <f>COUNTIF($AW$2:$AW$662,AW36)</f>
        <v/>
      </c>
      <c r="BA36" s="4">
        <f>COUNTIF($AX$2:$AX$662,AX36)</f>
        <v/>
      </c>
      <c r="BB36" s="4">
        <f>COUNTIF($AY$2:$AY$662,AY36)</f>
        <v/>
      </c>
      <c r="BC36" s="3">
        <f t="array" ref="BC36">IF(N(AO36)&gt;=MIN_N,AN36,IF(BB36&gt;=MIN_N,MEDIAN(IF($AY$2:$AY$662=AY36,$O$2:$O$662)),IF(BA36&gt;=MIN_N,MEDIAN(IF($AX$2:$AX$662=AX36,$O$2:$O$662)),MEDIAN(IF($AW$2:$AW$662=AW36,$O$2:$O$662)))))</f>
        <v/>
      </c>
      <c r="BD36" s="3">
        <f>IF(N(AO36)&gt;=MIN_N,"mercado "&amp;AP36,IF(BB36&gt;=MIN_N,"modelo+año+km",IF(BA36&gt;=MIN_N,"modelo+año","modelo")))</f>
        <v/>
      </c>
      <c r="BE36" s="4">
        <f>(BC36-O36)/BC36</f>
        <v/>
      </c>
      <c r="BF36" s="3">
        <f>IF(OR(K36="hibrido",K36="glp"),"ECO",IF(K36="electrico","CERO",IF(K36="gasolina",IF(M36&gt;=GAS_C,"C",IF(M36&gt;=GAS_B,"B","A")),IF(K36="diesel",IF(M36&gt;=DIE_C,"C",IF(M36&gt;=DIE_B,"B","A")),""))))</f>
        <v/>
      </c>
      <c r="BG36" s="3">
        <f>IFERROR(VLOOKUP(F36,MOD_TBL,11,0),IFERROR(VLOOKUP(E36,OCU_TBL,2,0),NEUTRO))</f>
        <v/>
      </c>
      <c r="BH36" s="3">
        <f>SUMIFS(MOT_AJUSTE,MOT_MOTOR,G36,MOT_MARCA,E36,MOT_DESDE,"&lt;="&amp;M36,MOT_HASTA,"&gt;="&amp;M36)+SUMIFS(MOT_AJUSTE,MOT_MOTOR,G36,MOT_MARCA,"(todas)",MOT_DESDE,"&lt;="&amp;M36,MOT_HASTA,"&gt;="&amp;M36)</f>
        <v/>
      </c>
      <c r="BI36" s="3">
        <f>SUMIFS(COMB_AJUSTE,COMB_COMB,K36)</f>
        <v/>
      </c>
      <c r="BJ36" s="3">
        <f>COUNTIFS(MOT_MOTOR,G36,MOT_MARCA,E36,MOT_DESDE,"&lt;="&amp;M36,MOT_HASTA,"&gt;="&amp;M36)+COUNTIFS(MOT_MOTOR,G36,MOT_MARCA,"(todas)",MOT_DESDE,"&lt;="&amp;M36,MOT_HASTA,"&gt;="&amp;M36)</f>
        <v/>
      </c>
      <c r="BK36" s="3">
        <f>IF(AND(K36="diesel",BJ36=0),MIN(BG36,NEUTRO),BG36)</f>
        <v/>
      </c>
      <c r="BL36" s="4">
        <f>MAX(0,MIN(100,BK36+BH36+BI36))</f>
        <v/>
      </c>
      <c r="BM36" s="3">
        <f>MAX(0,MIN(100,50+BE36*PRECIO_PEND))</f>
        <v/>
      </c>
      <c r="BN36" s="3">
        <f>MAX(0,100*(1-N36/KM_MAX))</f>
        <v/>
      </c>
      <c r="BO36" s="3">
        <f>IF(AV36&lt;KMA_SOSP,IF(AA36="sí",100,KMA_PEN),IF(AV36&lt;=KMA_IDEAL_MAX,100,MAX(0,100*(KMA_CERO-AV36)/(KMA_CERO-KMA_IDEAL_MAX))))</f>
        <v/>
      </c>
      <c r="BP36" s="3">
        <f>MAX(0,MIN(100,100*(M36-ANIO_MIN)/(ANIO_ACTUAL-ANIO_MIN)))</f>
        <v/>
      </c>
      <c r="BQ36" s="3">
        <f>W_KMT*BN36+W_KMA*BO36+W_EDAD*BP36</f>
        <v/>
      </c>
      <c r="BR36" s="3">
        <f>P_ITV*(V36="sí")+P_LIBRO*(W36="sí")+P_CORREA*(X36="sí")+P_PROP*(Y36=1)+P_GAR*(Z36="sí")+P_FOTOS*MIN(1,N(U36)/FOTOS_OBJ)</f>
        <v/>
      </c>
      <c r="BS36" s="3">
        <f>IFERROR(VLOOKUP(BF36,ETQ_TBL,2,0),NEUTRO)</f>
        <v/>
      </c>
      <c r="BT36" s="3">
        <f>NEUTRO</f>
        <v/>
      </c>
      <c r="BU36" s="3">
        <f>IFERROR(VLOOKUP(L36,SEGURO_TBL,3,0),"")</f>
        <v/>
      </c>
      <c r="BV36" s="3">
        <f>IF(BU36="",NEUTRO,MAX(0,MIN(100,100*(SEG_REF_MAX-BU36)/(SEG_REF_MAX-SEG_REF_MIN))))</f>
        <v/>
      </c>
      <c r="BW36" s="3">
        <f>W_ET*BS36+W_CONS*BT36+W_SEG*BV36</f>
        <v/>
      </c>
      <c r="BX36" s="3">
        <f>IF(N(AB36)&gt;0,AB36,IF(AND(R36="profesional",SG_LEGAL_ON=1),GAR_LEGAL,0))</f>
        <v/>
      </c>
      <c r="BY36" s="3">
        <f>SG_GAR*MIN(1,BX36/SG_GAR_FULL)+SG_AMPL*(AC36="sí")+SG_KMC*(AF36="sí")+SG_REV*(N(AE36)&gt;0)+SG_DEV*MIN(1,N(AG36)/SG_DEV_FULL)+SG_HIST*(W36="sí")</f>
        <v/>
      </c>
      <c r="BZ36" s="3">
        <f>IFERROR(VLOOKUP(L36,CARR_PEN_TBL,2,0),0)</f>
        <v/>
      </c>
      <c r="CA36" s="3">
        <f>W_FIAB*BL36+W_PRECIO*BM36+W_KMEDAD*BQ36+W_ANUNCIO*BR36+W_USO*BW36+W_SEGURIDAD*BY36-BZ36</f>
        <v/>
      </c>
      <c r="CB36" s="4">
        <f>IF(N(I36)&gt;0,I36,IFERROR(ROUND(_xlfn.NUMBERVALUE(LEFT(G36,FIND(" ",G36&amp;" ")-1),".")*1000,0),99999))</f>
        <v/>
      </c>
      <c r="CC36" s="3">
        <f>IF(R36="profesional",0,IF(O36&lt;CUOTA_VALOR_MAX,IF(AU36&gt;ITP_TRAMO_ALTO,SUMIFS(CF_CUOTA,CF_MAS,ITP_TRAMO_ALTO,CF_CCMIN,"&lt;="&amp;CB36,CF_CCMAX,"&gt;="&amp;CB36),IF(AU36&gt;ITP_TRAMO_BAJO,SUMIFS(CF_CUOTA,CF_MAS,ITP_TRAMO_BAJO,CF_CCMIN,"&lt;="&amp;CB36,CF_CCMAX,"&gt;="&amp;CB36),O36*ITP_TIPO)),O36*ITP_TIPO))</f>
        <v/>
      </c>
      <c r="CD36" s="4">
        <f>IF(R36="profesional",N(AK36),0)</f>
        <v/>
      </c>
      <c r="CE36" s="3">
        <f>IF(AND(R36="profesional",ISNUMBER(AK36),AL36="sí"),0,TASA_DGT)</f>
        <v/>
      </c>
      <c r="CF36" s="3">
        <f>INFORME_DGT</f>
        <v/>
      </c>
      <c r="CG36" s="4">
        <f>O36+CD36+CC36+CE36+CF36</f>
        <v/>
      </c>
      <c r="CH36" s="4">
        <f>CG36+N(BU36)</f>
        <v/>
      </c>
      <c r="CI36" s="3">
        <f>IF(CG36&lt;=TOTAL_MAX,"sí",IF(CG36&lt;=TOTAL_MAX+MARGEN_NEG,"negociar","no"))</f>
        <v/>
      </c>
      <c r="CJ36" s="4">
        <f>IF(CI36&lt;&gt;"no",COUNTIFS($CI$2:$CI$662,"&lt;&gt;no",$CA$2:$CA$662,"&gt;"&amp;CA36)+COUNTIFS($CI$2:CI36,"&lt;&gt;no",$CA$2:CA36,CA36),"")</f>
        <v/>
      </c>
    </row>
    <row r="37">
      <c r="A37" s="2" t="inlineStr">
        <is>
          <t>cochesnet:71311230</t>
        </is>
      </c>
      <c r="B37" s="2" t="inlineStr">
        <is>
          <t>cochesnet</t>
        </is>
      </c>
      <c r="C37" s="2" t="inlineStr">
        <is>
          <t>https://www.coches.net/volkswagen-fox-14-tdi-70cv-3p-diesel-2008-en-valencia-71311230-covo.aspx</t>
        </is>
      </c>
      <c r="D37" s="2" t="inlineStr">
        <is>
          <t>VOLKSWAGEN Fox 1.4 TDI</t>
        </is>
      </c>
      <c r="E37" s="2" t="inlineStr">
        <is>
          <t>Volkswagen</t>
        </is>
      </c>
      <c r="F37" s="2" t="inlineStr">
        <is>
          <t>Volkswagen Fox</t>
        </is>
      </c>
      <c r="G37" s="2" t="inlineStr">
        <is>
          <t>1.4 TDI</t>
        </is>
      </c>
      <c r="H37" s="2" t="inlineStr">
        <is>
          <t>1.4 TDI 70cv</t>
        </is>
      </c>
      <c r="I37" s="2" t="n"/>
      <c r="J37" s="2" t="n">
        <v>70</v>
      </c>
      <c r="K37" s="2" t="inlineStr">
        <is>
          <t>diesel</t>
        </is>
      </c>
      <c r="L37" s="2" t="inlineStr">
        <is>
          <t>utilitario</t>
        </is>
      </c>
      <c r="M37" s="2" t="n">
        <v>2008</v>
      </c>
      <c r="N37" s="2" t="n">
        <v>205000</v>
      </c>
      <c r="O37" s="2" t="n">
        <v>2200</v>
      </c>
      <c r="P37" s="2" t="inlineStr">
        <is>
          <t>manual</t>
        </is>
      </c>
      <c r="Q37" s="2" t="inlineStr">
        <is>
          <t>no</t>
        </is>
      </c>
      <c r="R37" s="2" t="inlineStr">
        <is>
          <t>particular</t>
        </is>
      </c>
      <c r="S37" s="2" t="inlineStr">
        <is>
          <t>Valencia</t>
        </is>
      </c>
      <c r="T37" s="2" t="inlineStr">
        <is>
          <t>2026-08-18T10:05:07Z</t>
        </is>
      </c>
      <c r="U37" s="2" t="n">
        <v>8</v>
      </c>
      <c r="V37" s="2" t="inlineStr">
        <is>
          <t>sí</t>
        </is>
      </c>
      <c r="W37" s="2" t="n"/>
      <c r="X37" s="2" t="n"/>
      <c r="Y37" s="2" t="n"/>
      <c r="Z37" s="2" t="inlineStr">
        <is>
          <t>no</t>
        </is>
      </c>
      <c r="AA37" s="2" t="n"/>
      <c r="AB37" s="2" t="n"/>
      <c r="AC37" s="2" t="n"/>
      <c r="AD37" s="2" t="n"/>
      <c r="AE37" s="2" t="n"/>
      <c r="AF37" s="2" t="n"/>
      <c r="AG37" s="2" t="n"/>
      <c r="AH37" s="2" t="n">
        <v>2200</v>
      </c>
      <c r="AI37" s="2" t="n"/>
      <c r="AJ37" s="2" t="n"/>
      <c r="AK37" s="2" t="n"/>
      <c r="AL37" s="2" t="n"/>
      <c r="AM37" s="2" t="n">
        <v>0.1</v>
      </c>
      <c r="AN37" s="2" t="n"/>
      <c r="AO37" s="2" t="n"/>
      <c r="AP37" s="2" t="n"/>
      <c r="AQ37" s="2" t="inlineStr">
        <is>
          <t>wallapop:1296442115 (https://es.wallapop.com/item/volkswagen-fox-2008-1296442115)</t>
        </is>
      </c>
      <c r="AR37" s="2" t="inlineStr">
        <is>
          <t>cuota fija ITP: &gt;12 años, hasta 1.500 cc; diésel: motor sin fuente de fiabilidad (fiabilidad limitada a neutra); fiabilidad del modelo PENDIENTE de fuente (puntuación neutra); mediana con solo 2 anuncio(s)</t>
        </is>
      </c>
      <c r="AS37" s="2" t="inlineStr">
        <is>
          <t xml:space="preserve">Volkswagen Fox 1.4 TDI Diesel 70cv
Matriculado en enero de 2008
Muy bajo consumo 4.3 L/100km
205.000 km
ITV hasta marzo
Ruedas delanteras al 60%
Ruedas traseras al 80%
Aire acondicionado hay que recargar cada año
2 llaves
Radio Android
Rueda de repuesto
Elevalunas eléctricos
Tiene arañazos por aparcar en la calle
El aire acondicionado tiene un poro y pierde el gas, pero la recarga dura un año aproximadamente.
La ITV la pasó bien en Marzo de 2026.
La última revisión fue hace 20.000 km.
</t>
        </is>
      </c>
      <c r="AT37" s="2" t="inlineStr">
        <is>
          <t>https://www.coches.net/volkswagen-fox-14-tdi-70cv-3p-diesel-2008-en-valencia-71311230-covo.aspx (window.__INITIAL_PROPS__.ad) /home/user/Alopecia/buscador-coches/raw/cochesnet/500b38fdc0db8218.json</t>
        </is>
      </c>
      <c r="AU37" s="3">
        <f>MAX(ANIO_ACTUAL-M37,0)</f>
        <v/>
      </c>
      <c r="AV37" s="4">
        <f>N37/MAX(AU37,0.5)</f>
        <v/>
      </c>
      <c r="AW37" s="4">
        <f>F37</f>
        <v/>
      </c>
      <c r="AX37" s="3">
        <f>AW37&amp;"|"&amp;INT(M37/SEG_ANIO)*SEG_ANIO</f>
        <v/>
      </c>
      <c r="AY37" s="3">
        <f>AX37&amp;"|"&amp;INT(N37/SEG_KM)*SEG_KM</f>
        <v/>
      </c>
      <c r="AZ37" s="4">
        <f>COUNTIF($AW$2:$AW$662,AW37)</f>
        <v/>
      </c>
      <c r="BA37" s="4">
        <f>COUNTIF($AX$2:$AX$662,AX37)</f>
        <v/>
      </c>
      <c r="BB37" s="4">
        <f>COUNTIF($AY$2:$AY$662,AY37)</f>
        <v/>
      </c>
      <c r="BC37" s="3">
        <f t="array" ref="BC37">IF(N(AO37)&gt;=MIN_N,AN37,IF(BB37&gt;=MIN_N,MEDIAN(IF($AY$2:$AY$662=AY37,$O$2:$O$662)),IF(BA37&gt;=MIN_N,MEDIAN(IF($AX$2:$AX$662=AX37,$O$2:$O$662)),MEDIAN(IF($AW$2:$AW$662=AW37,$O$2:$O$662)))))</f>
        <v/>
      </c>
      <c r="BD37" s="3">
        <f>IF(N(AO37)&gt;=MIN_N,"mercado "&amp;AP37,IF(BB37&gt;=MIN_N,"modelo+año+km",IF(BA37&gt;=MIN_N,"modelo+año","modelo")))</f>
        <v/>
      </c>
      <c r="BE37" s="4">
        <f>(BC37-O37)/BC37</f>
        <v/>
      </c>
      <c r="BF37" s="3">
        <f>IF(OR(K37="hibrido",K37="glp"),"ECO",IF(K37="electrico","CERO",IF(K37="gasolina",IF(M37&gt;=GAS_C,"C",IF(M37&gt;=GAS_B,"B","A")),IF(K37="diesel",IF(M37&gt;=DIE_C,"C",IF(M37&gt;=DIE_B,"B","A")),""))))</f>
        <v/>
      </c>
      <c r="BG37" s="3">
        <f>IFERROR(VLOOKUP(F37,MOD_TBL,11,0),IFERROR(VLOOKUP(E37,OCU_TBL,2,0),NEUTRO))</f>
        <v/>
      </c>
      <c r="BH37" s="3">
        <f>SUMIFS(MOT_AJUSTE,MOT_MOTOR,G37,MOT_MARCA,E37,MOT_DESDE,"&lt;="&amp;M37,MOT_HASTA,"&gt;="&amp;M37)+SUMIFS(MOT_AJUSTE,MOT_MOTOR,G37,MOT_MARCA,"(todas)",MOT_DESDE,"&lt;="&amp;M37,MOT_HASTA,"&gt;="&amp;M37)</f>
        <v/>
      </c>
      <c r="BI37" s="3">
        <f>SUMIFS(COMB_AJUSTE,COMB_COMB,K37)</f>
        <v/>
      </c>
      <c r="BJ37" s="3">
        <f>COUNTIFS(MOT_MOTOR,G37,MOT_MARCA,E37,MOT_DESDE,"&lt;="&amp;M37,MOT_HASTA,"&gt;="&amp;M37)+COUNTIFS(MOT_MOTOR,G37,MOT_MARCA,"(todas)",MOT_DESDE,"&lt;="&amp;M37,MOT_HASTA,"&gt;="&amp;M37)</f>
        <v/>
      </c>
      <c r="BK37" s="3">
        <f>IF(AND(K37="diesel",BJ37=0),MIN(BG37,NEUTRO),BG37)</f>
        <v/>
      </c>
      <c r="BL37" s="4">
        <f>MAX(0,MIN(100,BK37+BH37+BI37))</f>
        <v/>
      </c>
      <c r="BM37" s="3">
        <f>MAX(0,MIN(100,50+BE37*PRECIO_PEND))</f>
        <v/>
      </c>
      <c r="BN37" s="3">
        <f>MAX(0,100*(1-N37/KM_MAX))</f>
        <v/>
      </c>
      <c r="BO37" s="3">
        <f>IF(AV37&lt;KMA_SOSP,IF(AA37="sí",100,KMA_PEN),IF(AV37&lt;=KMA_IDEAL_MAX,100,MAX(0,100*(KMA_CERO-AV37)/(KMA_CERO-KMA_IDEAL_MAX))))</f>
        <v/>
      </c>
      <c r="BP37" s="3">
        <f>MAX(0,MIN(100,100*(M37-ANIO_MIN)/(ANIO_ACTUAL-ANIO_MIN)))</f>
        <v/>
      </c>
      <c r="BQ37" s="3">
        <f>W_KMT*BN37+W_KMA*BO37+W_EDAD*BP37</f>
        <v/>
      </c>
      <c r="BR37" s="3">
        <f>P_ITV*(V37="sí")+P_LIBRO*(W37="sí")+P_CORREA*(X37="sí")+P_PROP*(Y37=1)+P_GAR*(Z37="sí")+P_FOTOS*MIN(1,N(U37)/FOTOS_OBJ)</f>
        <v/>
      </c>
      <c r="BS37" s="3">
        <f>IFERROR(VLOOKUP(BF37,ETQ_TBL,2,0),NEUTRO)</f>
        <v/>
      </c>
      <c r="BT37" s="3">
        <f>NEUTRO</f>
        <v/>
      </c>
      <c r="BU37" s="3">
        <f>IFERROR(VLOOKUP(L37,SEGURO_TBL,3,0),"")</f>
        <v/>
      </c>
      <c r="BV37" s="3">
        <f>IF(BU37="",NEUTRO,MAX(0,MIN(100,100*(SEG_REF_MAX-BU37)/(SEG_REF_MAX-SEG_REF_MIN))))</f>
        <v/>
      </c>
      <c r="BW37" s="3">
        <f>W_ET*BS37+W_CONS*BT37+W_SEG*BV37</f>
        <v/>
      </c>
      <c r="BX37" s="3">
        <f>IF(N(AB37)&gt;0,AB37,IF(AND(R37="profesional",SG_LEGAL_ON=1),GAR_LEGAL,0))</f>
        <v/>
      </c>
      <c r="BY37" s="3">
        <f>SG_GAR*MIN(1,BX37/SG_GAR_FULL)+SG_AMPL*(AC37="sí")+SG_KMC*(AF37="sí")+SG_REV*(N(AE37)&gt;0)+SG_DEV*MIN(1,N(AG37)/SG_DEV_FULL)+SG_HIST*(W37="sí")</f>
        <v/>
      </c>
      <c r="BZ37" s="3">
        <f>IFERROR(VLOOKUP(L37,CARR_PEN_TBL,2,0),0)</f>
        <v/>
      </c>
      <c r="CA37" s="3">
        <f>W_FIAB*BL37+W_PRECIO*BM37+W_KMEDAD*BQ37+W_ANUNCIO*BR37+W_USO*BW37+W_SEGURIDAD*BY37-BZ37</f>
        <v/>
      </c>
      <c r="CB37" s="4">
        <f>IF(N(I37)&gt;0,I37,IFERROR(ROUND(_xlfn.NUMBERVALUE(LEFT(G37,FIND(" ",G37&amp;" ")-1),".")*1000,0),99999))</f>
        <v/>
      </c>
      <c r="CC37" s="3">
        <f>IF(R37="profesional",0,IF(O37&lt;CUOTA_VALOR_MAX,IF(AU37&gt;ITP_TRAMO_ALTO,SUMIFS(CF_CUOTA,CF_MAS,ITP_TRAMO_ALTO,CF_CCMIN,"&lt;="&amp;CB37,CF_CCMAX,"&gt;="&amp;CB37),IF(AU37&gt;ITP_TRAMO_BAJO,SUMIFS(CF_CUOTA,CF_MAS,ITP_TRAMO_BAJO,CF_CCMIN,"&lt;="&amp;CB37,CF_CCMAX,"&gt;="&amp;CB37),O37*ITP_TIPO)),O37*ITP_TIPO))</f>
        <v/>
      </c>
      <c r="CD37" s="4">
        <f>IF(R37="profesional",N(AK37),0)</f>
        <v/>
      </c>
      <c r="CE37" s="3">
        <f>IF(AND(R37="profesional",ISNUMBER(AK37),AL37="sí"),0,TASA_DGT)</f>
        <v/>
      </c>
      <c r="CF37" s="3">
        <f>INFORME_DGT</f>
        <v/>
      </c>
      <c r="CG37" s="4">
        <f>O37+CD37+CC37+CE37+CF37</f>
        <v/>
      </c>
      <c r="CH37" s="4">
        <f>CG37+N(BU37)</f>
        <v/>
      </c>
      <c r="CI37" s="3">
        <f>IF(CG37&lt;=TOTAL_MAX,"sí",IF(CG37&lt;=TOTAL_MAX+MARGEN_NEG,"negociar","no"))</f>
        <v/>
      </c>
      <c r="CJ37" s="4">
        <f>IF(CI37&lt;&gt;"no",COUNTIFS($CI$2:$CI$662,"&lt;&gt;no",$CA$2:$CA$662,"&gt;"&amp;CA37)+COUNTIFS($CI$2:CI37,"&lt;&gt;no",$CA$2:CA37,CA37),"")</f>
        <v/>
      </c>
    </row>
    <row r="38">
      <c r="A38" s="2" t="inlineStr">
        <is>
          <t>wallapop:1310385297</t>
        </is>
      </c>
      <c r="B38" s="2" t="inlineStr">
        <is>
          <t>wallapop</t>
        </is>
      </c>
      <c r="C38" s="2" t="inlineStr">
        <is>
          <t>https://es.wallapop.com/item/opel-corsa-2008-1310385297</t>
        </is>
      </c>
      <c r="D38" s="2" t="inlineStr">
        <is>
          <t>Opel Corsa 2008</t>
        </is>
      </c>
      <c r="E38" s="2" t="inlineStr">
        <is>
          <t>Opel</t>
        </is>
      </c>
      <c r="F38" s="2" t="inlineStr">
        <is>
          <t>Opel Corsa</t>
        </is>
      </c>
      <c r="G38" s="2" t="inlineStr">
        <is>
          <t>1.4</t>
        </is>
      </c>
      <c r="H38" s="2" t="inlineStr">
        <is>
          <t>1.4 90 C Mon 3p</t>
        </is>
      </c>
      <c r="I38" s="2" t="n"/>
      <c r="J38" s="2" t="n">
        <v>90</v>
      </c>
      <c r="K38" s="2" t="inlineStr">
        <is>
          <t>gasolina</t>
        </is>
      </c>
      <c r="L38" s="2" t="inlineStr">
        <is>
          <t>utilitario</t>
        </is>
      </c>
      <c r="M38" s="2" t="n">
        <v>2008</v>
      </c>
      <c r="N38" s="2" t="n">
        <v>185000</v>
      </c>
      <c r="O38" s="2" t="n">
        <v>2399</v>
      </c>
      <c r="P38" s="2" t="inlineStr">
        <is>
          <t>manual</t>
        </is>
      </c>
      <c r="Q38" s="2" t="inlineStr">
        <is>
          <t>no</t>
        </is>
      </c>
      <c r="R38" s="2" t="inlineStr">
        <is>
          <t>particular</t>
        </is>
      </c>
      <c r="S38" s="2" t="inlineStr">
        <is>
          <t>Valencia (46002)</t>
        </is>
      </c>
      <c r="T38" s="2" t="inlineStr">
        <is>
          <t>2026-10-13T09:25:00</t>
        </is>
      </c>
      <c r="U38" s="2" t="n">
        <v>10</v>
      </c>
      <c r="V38" s="2" t="inlineStr">
        <is>
          <t>sí</t>
        </is>
      </c>
      <c r="W38" s="2" t="n"/>
      <c r="X38" s="2" t="n"/>
      <c r="Y38" s="2" t="n"/>
      <c r="Z38" s="2" t="n"/>
      <c r="AA38" s="2" t="n"/>
      <c r="AB38" s="2" t="n"/>
      <c r="AC38" s="2" t="n"/>
      <c r="AD38" s="2" t="n"/>
      <c r="AE38" s="2" t="n"/>
      <c r="AF38" s="2" t="n"/>
      <c r="AG38" s="2" t="n"/>
      <c r="AH38" s="2" t="n"/>
      <c r="AI38" s="2" t="n"/>
      <c r="AJ38" s="2" t="n"/>
      <c r="AK38" s="2" t="n"/>
      <c r="AL38" s="2" t="n"/>
      <c r="AM38" s="2" t="n">
        <v>0</v>
      </c>
      <c r="AN38" s="2" t="n">
        <v>3150</v>
      </c>
      <c r="AO38" s="2" t="n">
        <v>8</v>
      </c>
      <c r="AP38" s="2" t="inlineStr">
        <is>
          <t>modelo+año+km</t>
        </is>
      </c>
      <c r="AQ38" s="2" t="n"/>
      <c r="AR38" s="2" t="inlineStr">
        <is>
          <t>cuota fija ITP: &gt;12 años, hasta 1.500 cc</t>
        </is>
      </c>
      <c r="AS38" s="2" t="inlineStr">
        <is>
          <t xml:space="preserve">Se vende opel corsa 1.4i coche fiable y robusto, itv hasta julio de 27 un utilitario para el dia dia, ya que tiene un consumo contenido y no tiene tendencia a las averias. 
Tiene techo solar, aire acondicionado, elevalunas electricos, control cruzero cierre centralizado. No es un coche de alta gama pero si un coche funcional.
Se encuentra en la poblacion de benifaio, cambio de nombre incluido en el precio.
Cualquier duda la respondere encantado.
Gancho:
Golf focus ford mondeo audi diesel gasolina dci tdi sdi cdti 1.9 2.0 meriva astra lupo polo clio megane a3 a4 fiesta </t>
        </is>
      </c>
      <c r="AT38" s="2" t="inlineStr">
        <is>
          <t>https://es.wallapop.com/item/opel-corsa-2008-1310385297 (__NEXT_DATA__ item) /home/user/Alopecia/buscador-coches/raw/wallapop/01eab1cf519f8463.json</t>
        </is>
      </c>
      <c r="AU38" s="3">
        <f>MAX(ANIO_ACTUAL-M38,0)</f>
        <v/>
      </c>
      <c r="AV38" s="4">
        <f>N38/MAX(AU38,0.5)</f>
        <v/>
      </c>
      <c r="AW38" s="4">
        <f>F38</f>
        <v/>
      </c>
      <c r="AX38" s="3">
        <f>AW38&amp;"|"&amp;INT(M38/SEG_ANIO)*SEG_ANIO</f>
        <v/>
      </c>
      <c r="AY38" s="3">
        <f>AX38&amp;"|"&amp;INT(N38/SEG_KM)*SEG_KM</f>
        <v/>
      </c>
      <c r="AZ38" s="4">
        <f>COUNTIF($AW$2:$AW$662,AW38)</f>
        <v/>
      </c>
      <c r="BA38" s="4">
        <f>COUNTIF($AX$2:$AX$662,AX38)</f>
        <v/>
      </c>
      <c r="BB38" s="4">
        <f>COUNTIF($AY$2:$AY$662,AY38)</f>
        <v/>
      </c>
      <c r="BC38" s="3">
        <f t="array" ref="BC38">IF(N(AO38)&gt;=MIN_N,AN38,IF(BB38&gt;=MIN_N,MEDIAN(IF($AY$2:$AY$662=AY38,$O$2:$O$662)),IF(BA38&gt;=MIN_N,MEDIAN(IF($AX$2:$AX$662=AX38,$O$2:$O$662)),MEDIAN(IF($AW$2:$AW$662=AW38,$O$2:$O$662)))))</f>
        <v/>
      </c>
      <c r="BD38" s="3">
        <f>IF(N(AO38)&gt;=MIN_N,"mercado "&amp;AP38,IF(BB38&gt;=MIN_N,"modelo+año+km",IF(BA38&gt;=MIN_N,"modelo+año","modelo")))</f>
        <v/>
      </c>
      <c r="BE38" s="4">
        <f>(BC38-O38)/BC38</f>
        <v/>
      </c>
      <c r="BF38" s="3">
        <f>IF(OR(K38="hibrido",K38="glp"),"ECO",IF(K38="electrico","CERO",IF(K38="gasolina",IF(M38&gt;=GAS_C,"C",IF(M38&gt;=GAS_B,"B","A")),IF(K38="diesel",IF(M38&gt;=DIE_C,"C",IF(M38&gt;=DIE_B,"B","A")),""))))</f>
        <v/>
      </c>
      <c r="BG38" s="3">
        <f>IFERROR(VLOOKUP(F38,MOD_TBL,11,0),IFERROR(VLOOKUP(E38,OCU_TBL,2,0),NEUTRO))</f>
        <v/>
      </c>
      <c r="BH38" s="3">
        <f>SUMIFS(MOT_AJUSTE,MOT_MOTOR,G38,MOT_MARCA,E38,MOT_DESDE,"&lt;="&amp;M38,MOT_HASTA,"&gt;="&amp;M38)+SUMIFS(MOT_AJUSTE,MOT_MOTOR,G38,MOT_MARCA,"(todas)",MOT_DESDE,"&lt;="&amp;M38,MOT_HASTA,"&gt;="&amp;M38)</f>
        <v/>
      </c>
      <c r="BI38" s="3">
        <f>SUMIFS(COMB_AJUSTE,COMB_COMB,K38)</f>
        <v/>
      </c>
      <c r="BJ38" s="3">
        <f>COUNTIFS(MOT_MOTOR,G38,MOT_MARCA,E38,MOT_DESDE,"&lt;="&amp;M38,MOT_HASTA,"&gt;="&amp;M38)+COUNTIFS(MOT_MOTOR,G38,MOT_MARCA,"(todas)",MOT_DESDE,"&lt;="&amp;M38,MOT_HASTA,"&gt;="&amp;M38)</f>
        <v/>
      </c>
      <c r="BK38" s="3">
        <f>IF(AND(K38="diesel",BJ38=0),MIN(BG38,NEUTRO),BG38)</f>
        <v/>
      </c>
      <c r="BL38" s="4">
        <f>MAX(0,MIN(100,BK38+BH38+BI38))</f>
        <v/>
      </c>
      <c r="BM38" s="3">
        <f>MAX(0,MIN(100,50+BE38*PRECIO_PEND))</f>
        <v/>
      </c>
      <c r="BN38" s="3">
        <f>MAX(0,100*(1-N38/KM_MAX))</f>
        <v/>
      </c>
      <c r="BO38" s="3">
        <f>IF(AV38&lt;KMA_SOSP,IF(AA38="sí",100,KMA_PEN),IF(AV38&lt;=KMA_IDEAL_MAX,100,MAX(0,100*(KMA_CERO-AV38)/(KMA_CERO-KMA_IDEAL_MAX))))</f>
        <v/>
      </c>
      <c r="BP38" s="3">
        <f>MAX(0,MIN(100,100*(M38-ANIO_MIN)/(ANIO_ACTUAL-ANIO_MIN)))</f>
        <v/>
      </c>
      <c r="BQ38" s="3">
        <f>W_KMT*BN38+W_KMA*BO38+W_EDAD*BP38</f>
        <v/>
      </c>
      <c r="BR38" s="3">
        <f>P_ITV*(V38="sí")+P_LIBRO*(W38="sí")+P_CORREA*(X38="sí")+P_PROP*(Y38=1)+P_GAR*(Z38="sí")+P_FOTOS*MIN(1,N(U38)/FOTOS_OBJ)</f>
        <v/>
      </c>
      <c r="BS38" s="3">
        <f>IFERROR(VLOOKUP(BF38,ETQ_TBL,2,0),NEUTRO)</f>
        <v/>
      </c>
      <c r="BT38" s="3">
        <f>NEUTRO</f>
        <v/>
      </c>
      <c r="BU38" s="3">
        <f>IFERROR(VLOOKUP(L38,SEGURO_TBL,3,0),"")</f>
        <v/>
      </c>
      <c r="BV38" s="3">
        <f>IF(BU38="",NEUTRO,MAX(0,MIN(100,100*(SEG_REF_MAX-BU38)/(SEG_REF_MAX-SEG_REF_MIN))))</f>
        <v/>
      </c>
      <c r="BW38" s="3">
        <f>W_ET*BS38+W_CONS*BT38+W_SEG*BV38</f>
        <v/>
      </c>
      <c r="BX38" s="3">
        <f>IF(N(AB38)&gt;0,AB38,IF(AND(R38="profesional",SG_LEGAL_ON=1),GAR_LEGAL,0))</f>
        <v/>
      </c>
      <c r="BY38" s="3">
        <f>SG_GAR*MIN(1,BX38/SG_GAR_FULL)+SG_AMPL*(AC38="sí")+SG_KMC*(AF38="sí")+SG_REV*(N(AE38)&gt;0)+SG_DEV*MIN(1,N(AG38)/SG_DEV_FULL)+SG_HIST*(W38="sí")</f>
        <v/>
      </c>
      <c r="BZ38" s="3">
        <f>IFERROR(VLOOKUP(L38,CARR_PEN_TBL,2,0),0)</f>
        <v/>
      </c>
      <c r="CA38" s="3">
        <f>W_FIAB*BL38+W_PRECIO*BM38+W_KMEDAD*BQ38+W_ANUNCIO*BR38+W_USO*BW38+W_SEGURIDAD*BY38-BZ38</f>
        <v/>
      </c>
      <c r="CB38" s="4">
        <f>IF(N(I38)&gt;0,I38,IFERROR(ROUND(_xlfn.NUMBERVALUE(LEFT(G38,FIND(" ",G38&amp;" ")-1),".")*1000,0),99999))</f>
        <v/>
      </c>
      <c r="CC38" s="3">
        <f>IF(R38="profesional",0,IF(O38&lt;CUOTA_VALOR_MAX,IF(AU38&gt;ITP_TRAMO_ALTO,SUMIFS(CF_CUOTA,CF_MAS,ITP_TRAMO_ALTO,CF_CCMIN,"&lt;="&amp;CB38,CF_CCMAX,"&gt;="&amp;CB38),IF(AU38&gt;ITP_TRAMO_BAJO,SUMIFS(CF_CUOTA,CF_MAS,ITP_TRAMO_BAJO,CF_CCMIN,"&lt;="&amp;CB38,CF_CCMAX,"&gt;="&amp;CB38),O38*ITP_TIPO)),O38*ITP_TIPO))</f>
        <v/>
      </c>
      <c r="CD38" s="4">
        <f>IF(R38="profesional",N(AK38),0)</f>
        <v/>
      </c>
      <c r="CE38" s="3">
        <f>IF(AND(R38="profesional",ISNUMBER(AK38),AL38="sí"),0,TASA_DGT)</f>
        <v/>
      </c>
      <c r="CF38" s="3">
        <f>INFORME_DGT</f>
        <v/>
      </c>
      <c r="CG38" s="4">
        <f>O38+CD38+CC38+CE38+CF38</f>
        <v/>
      </c>
      <c r="CH38" s="4">
        <f>CG38+N(BU38)</f>
        <v/>
      </c>
      <c r="CI38" s="3">
        <f>IF(CG38&lt;=TOTAL_MAX,"sí",IF(CG38&lt;=TOTAL_MAX+MARGEN_NEG,"negociar","no"))</f>
        <v/>
      </c>
      <c r="CJ38" s="4">
        <f>IF(CI38&lt;&gt;"no",COUNTIFS($CI$2:$CI$662,"&lt;&gt;no",$CA$2:$CA$662,"&gt;"&amp;CA38)+COUNTIFS($CI$2:CI38,"&lt;&gt;no",$CA$2:CA38,CA38),"")</f>
        <v/>
      </c>
    </row>
    <row r="39">
      <c r="A39" s="2" t="inlineStr">
        <is>
          <t>wallapop:1318223085</t>
        </is>
      </c>
      <c r="B39" s="2" t="inlineStr">
        <is>
          <t>wallapop</t>
        </is>
      </c>
      <c r="C39" s="2" t="inlineStr">
        <is>
          <t>https://es.wallapop.com/item/opel-corsa-2009-1318223085</t>
        </is>
      </c>
      <c r="D39" s="2" t="inlineStr">
        <is>
          <t>Opel  Corsa 2009</t>
        </is>
      </c>
      <c r="E39" s="2" t="inlineStr">
        <is>
          <t>Opel</t>
        </is>
      </c>
      <c r="F39" s="2" t="inlineStr">
        <is>
          <t>Opel Corsa</t>
        </is>
      </c>
      <c r="G39" s="2" t="n"/>
      <c r="H39" s="2" t="n"/>
      <c r="I39" s="2" t="n"/>
      <c r="J39" s="2" t="n">
        <v>90</v>
      </c>
      <c r="K39" s="2" t="inlineStr">
        <is>
          <t>gasolina</t>
        </is>
      </c>
      <c r="L39" s="2" t="inlineStr">
        <is>
          <t>utilitario</t>
        </is>
      </c>
      <c r="M39" s="2" t="n">
        <v>2009</v>
      </c>
      <c r="N39" s="2" t="n">
        <v>118857</v>
      </c>
      <c r="O39" s="2" t="n">
        <v>3600</v>
      </c>
      <c r="P39" s="2" t="inlineStr">
        <is>
          <t>manual</t>
        </is>
      </c>
      <c r="Q39" s="2" t="inlineStr">
        <is>
          <t>no</t>
        </is>
      </c>
      <c r="R39" s="2" t="inlineStr">
        <is>
          <t>particular</t>
        </is>
      </c>
      <c r="S39" s="2" t="inlineStr">
        <is>
          <t>Valencia (46026)</t>
        </is>
      </c>
      <c r="T39" s="2" t="inlineStr">
        <is>
          <t>2026-10-28T18:33:29</t>
        </is>
      </c>
      <c r="U39" s="2" t="n">
        <v>8</v>
      </c>
      <c r="V39" s="2" t="n"/>
      <c r="W39" s="2" t="n"/>
      <c r="X39" s="2" t="n"/>
      <c r="Y39" s="2" t="n"/>
      <c r="Z39" s="2" t="n"/>
      <c r="AA39" s="2" t="n"/>
      <c r="AB39" s="2" t="n"/>
      <c r="AC39" s="2" t="n"/>
      <c r="AD39" s="2" t="n"/>
      <c r="AE39" s="2" t="n"/>
      <c r="AF39" s="2" t="n"/>
      <c r="AG39" s="2" t="n"/>
      <c r="AH39" s="2" t="n"/>
      <c r="AI39" s="2" t="n"/>
      <c r="AJ39" s="2" t="n"/>
      <c r="AK39" s="2" t="n"/>
      <c r="AL39" s="2" t="n"/>
      <c r="AM39" s="2" t="n">
        <v>2.8</v>
      </c>
      <c r="AN39" s="2" t="n">
        <v>3600</v>
      </c>
      <c r="AO39" s="2" t="n">
        <v>9</v>
      </c>
      <c r="AP39" s="2" t="inlineStr">
        <is>
          <t>modelo+año+km</t>
        </is>
      </c>
      <c r="AQ39" s="2" t="n"/>
      <c r="AR39" s="2" t="inlineStr">
        <is>
          <t>cilindrada desconocida: se aplica el tramo de cuota fija más alto; cuota fija ITP: &gt;12 años, más de 2.000 cc</t>
        </is>
      </c>
      <c r="AS39" s="2" t="inlineStr">
        <is>
          <t xml:space="preserve">Tiene bloqueo de volante, parrot para llamadas y control crucero </t>
        </is>
      </c>
      <c r="AT39" s="2" t="inlineStr">
        <is>
          <t>https://es.wallapop.com/item/opel-corsa-2009-1318223085 (__NEXT_DATA__ item) /home/user/Alopecia/buscador-coches/raw/wallapop/2a391b383404390b.json</t>
        </is>
      </c>
      <c r="AU39" s="3">
        <f>MAX(ANIO_ACTUAL-M39,0)</f>
        <v/>
      </c>
      <c r="AV39" s="4">
        <f>N39/MAX(AU39,0.5)</f>
        <v/>
      </c>
      <c r="AW39" s="4">
        <f>F39</f>
        <v/>
      </c>
      <c r="AX39" s="3">
        <f>AW39&amp;"|"&amp;INT(M39/SEG_ANIO)*SEG_ANIO</f>
        <v/>
      </c>
      <c r="AY39" s="3">
        <f>AX39&amp;"|"&amp;INT(N39/SEG_KM)*SEG_KM</f>
        <v/>
      </c>
      <c r="AZ39" s="4">
        <f>COUNTIF($AW$2:$AW$662,AW39)</f>
        <v/>
      </c>
      <c r="BA39" s="4">
        <f>COUNTIF($AX$2:$AX$662,AX39)</f>
        <v/>
      </c>
      <c r="BB39" s="4">
        <f>COUNTIF($AY$2:$AY$662,AY39)</f>
        <v/>
      </c>
      <c r="BC39" s="3">
        <f t="array" ref="BC39">IF(N(AO39)&gt;=MIN_N,AN39,IF(BB39&gt;=MIN_N,MEDIAN(IF($AY$2:$AY$662=AY39,$O$2:$O$662)),IF(BA39&gt;=MIN_N,MEDIAN(IF($AX$2:$AX$662=AX39,$O$2:$O$662)),MEDIAN(IF($AW$2:$AW$662=AW39,$O$2:$O$662)))))</f>
        <v/>
      </c>
      <c r="BD39" s="3">
        <f>IF(N(AO39)&gt;=MIN_N,"mercado "&amp;AP39,IF(BB39&gt;=MIN_N,"modelo+año+km",IF(BA39&gt;=MIN_N,"modelo+año","modelo")))</f>
        <v/>
      </c>
      <c r="BE39" s="4">
        <f>(BC39-O39)/BC39</f>
        <v/>
      </c>
      <c r="BF39" s="3">
        <f>IF(OR(K39="hibrido",K39="glp"),"ECO",IF(K39="electrico","CERO",IF(K39="gasolina",IF(M39&gt;=GAS_C,"C",IF(M39&gt;=GAS_B,"B","A")),IF(K39="diesel",IF(M39&gt;=DIE_C,"C",IF(M39&gt;=DIE_B,"B","A")),""))))</f>
        <v/>
      </c>
      <c r="BG39" s="3">
        <f>IFERROR(VLOOKUP(F39,MOD_TBL,11,0),IFERROR(VLOOKUP(E39,OCU_TBL,2,0),NEUTRO))</f>
        <v/>
      </c>
      <c r="BH39" s="3">
        <f>SUMIFS(MOT_AJUSTE,MOT_MOTOR,G39,MOT_MARCA,E39,MOT_DESDE,"&lt;="&amp;M39,MOT_HASTA,"&gt;="&amp;M39)+SUMIFS(MOT_AJUSTE,MOT_MOTOR,G39,MOT_MARCA,"(todas)",MOT_DESDE,"&lt;="&amp;M39,MOT_HASTA,"&gt;="&amp;M39)</f>
        <v/>
      </c>
      <c r="BI39" s="3">
        <f>SUMIFS(COMB_AJUSTE,COMB_COMB,K39)</f>
        <v/>
      </c>
      <c r="BJ39" s="3">
        <f>COUNTIFS(MOT_MOTOR,G39,MOT_MARCA,E39,MOT_DESDE,"&lt;="&amp;M39,MOT_HASTA,"&gt;="&amp;M39)+COUNTIFS(MOT_MOTOR,G39,MOT_MARCA,"(todas)",MOT_DESDE,"&lt;="&amp;M39,MOT_HASTA,"&gt;="&amp;M39)</f>
        <v/>
      </c>
      <c r="BK39" s="3">
        <f>IF(AND(K39="diesel",BJ39=0),MIN(BG39,NEUTRO),BG39)</f>
        <v/>
      </c>
      <c r="BL39" s="4">
        <f>MAX(0,MIN(100,BK39+BH39+BI39))</f>
        <v/>
      </c>
      <c r="BM39" s="3">
        <f>MAX(0,MIN(100,50+BE39*PRECIO_PEND))</f>
        <v/>
      </c>
      <c r="BN39" s="3">
        <f>MAX(0,100*(1-N39/KM_MAX))</f>
        <v/>
      </c>
      <c r="BO39" s="3">
        <f>IF(AV39&lt;KMA_SOSP,IF(AA39="sí",100,KMA_PEN),IF(AV39&lt;=KMA_IDEAL_MAX,100,MAX(0,100*(KMA_CERO-AV39)/(KMA_CERO-KMA_IDEAL_MAX))))</f>
        <v/>
      </c>
      <c r="BP39" s="3">
        <f>MAX(0,MIN(100,100*(M39-ANIO_MIN)/(ANIO_ACTUAL-ANIO_MIN)))</f>
        <v/>
      </c>
      <c r="BQ39" s="3">
        <f>W_KMT*BN39+W_KMA*BO39+W_EDAD*BP39</f>
        <v/>
      </c>
      <c r="BR39" s="3">
        <f>P_ITV*(V39="sí")+P_LIBRO*(W39="sí")+P_CORREA*(X39="sí")+P_PROP*(Y39=1)+P_GAR*(Z39="sí")+P_FOTOS*MIN(1,N(U39)/FOTOS_OBJ)</f>
        <v/>
      </c>
      <c r="BS39" s="3">
        <f>IFERROR(VLOOKUP(BF39,ETQ_TBL,2,0),NEUTRO)</f>
        <v/>
      </c>
      <c r="BT39" s="3">
        <f>NEUTRO</f>
        <v/>
      </c>
      <c r="BU39" s="3">
        <f>IFERROR(VLOOKUP(L39,SEGURO_TBL,3,0),"")</f>
        <v/>
      </c>
      <c r="BV39" s="3">
        <f>IF(BU39="",NEUTRO,MAX(0,MIN(100,100*(SEG_REF_MAX-BU39)/(SEG_REF_MAX-SEG_REF_MIN))))</f>
        <v/>
      </c>
      <c r="BW39" s="3">
        <f>W_ET*BS39+W_CONS*BT39+W_SEG*BV39</f>
        <v/>
      </c>
      <c r="BX39" s="3">
        <f>IF(N(AB39)&gt;0,AB39,IF(AND(R39="profesional",SG_LEGAL_ON=1),GAR_LEGAL,0))</f>
        <v/>
      </c>
      <c r="BY39" s="3">
        <f>SG_GAR*MIN(1,BX39/SG_GAR_FULL)+SG_AMPL*(AC39="sí")+SG_KMC*(AF39="sí")+SG_REV*(N(AE39)&gt;0)+SG_DEV*MIN(1,N(AG39)/SG_DEV_FULL)+SG_HIST*(W39="sí")</f>
        <v/>
      </c>
      <c r="BZ39" s="3">
        <f>IFERROR(VLOOKUP(L39,CARR_PEN_TBL,2,0),0)</f>
        <v/>
      </c>
      <c r="CA39" s="3">
        <f>W_FIAB*BL39+W_PRECIO*BM39+W_KMEDAD*BQ39+W_ANUNCIO*BR39+W_USO*BW39+W_SEGURIDAD*BY39-BZ39</f>
        <v/>
      </c>
      <c r="CB39" s="4">
        <f>IF(N(I39)&gt;0,I39,IFERROR(ROUND(_xlfn.NUMBERVALUE(LEFT(G39,FIND(" ",G39&amp;" ")-1),".")*1000,0),99999))</f>
        <v/>
      </c>
      <c r="CC39" s="3">
        <f>IF(R39="profesional",0,IF(O39&lt;CUOTA_VALOR_MAX,IF(AU39&gt;ITP_TRAMO_ALTO,SUMIFS(CF_CUOTA,CF_MAS,ITP_TRAMO_ALTO,CF_CCMIN,"&lt;="&amp;CB39,CF_CCMAX,"&gt;="&amp;CB39),IF(AU39&gt;ITP_TRAMO_BAJO,SUMIFS(CF_CUOTA,CF_MAS,ITP_TRAMO_BAJO,CF_CCMIN,"&lt;="&amp;CB39,CF_CCMAX,"&gt;="&amp;CB39),O39*ITP_TIPO)),O39*ITP_TIPO))</f>
        <v/>
      </c>
      <c r="CD39" s="4">
        <f>IF(R39="profesional",N(AK39),0)</f>
        <v/>
      </c>
      <c r="CE39" s="3">
        <f>IF(AND(R39="profesional",ISNUMBER(AK39),AL39="sí"),0,TASA_DGT)</f>
        <v/>
      </c>
      <c r="CF39" s="3">
        <f>INFORME_DGT</f>
        <v/>
      </c>
      <c r="CG39" s="4">
        <f>O39+CD39+CC39+CE39+CF39</f>
        <v/>
      </c>
      <c r="CH39" s="4">
        <f>CG39+N(BU39)</f>
        <v/>
      </c>
      <c r="CI39" s="3">
        <f>IF(CG39&lt;=TOTAL_MAX,"sí",IF(CG39&lt;=TOTAL_MAX+MARGEN_NEG,"negociar","no"))</f>
        <v/>
      </c>
      <c r="CJ39" s="4">
        <f>IF(CI39&lt;&gt;"no",COUNTIFS($CI$2:$CI$662,"&lt;&gt;no",$CA$2:$CA$662,"&gt;"&amp;CA39)+COUNTIFS($CI$2:CI39,"&lt;&gt;no",$CA$2:CA39,CA39),"")</f>
        <v/>
      </c>
    </row>
    <row r="40">
      <c r="A40" s="2" t="inlineStr">
        <is>
          <t>wallapop:1316461365</t>
        </is>
      </c>
      <c r="B40" s="2" t="inlineStr">
        <is>
          <t>wallapop</t>
        </is>
      </c>
      <c r="C40" s="2" t="inlineStr">
        <is>
          <t>https://es.wallapop.com/item/opel-corsa-d-2013-1316461365</t>
        </is>
      </c>
      <c r="D40" s="2" t="inlineStr">
        <is>
          <t>Opel corsa d 2013</t>
        </is>
      </c>
      <c r="E40" s="2" t="inlineStr">
        <is>
          <t>Opel</t>
        </is>
      </c>
      <c r="F40" s="2" t="inlineStr">
        <is>
          <t>Opel Corsa</t>
        </is>
      </c>
      <c r="G40" s="2" t="n"/>
      <c r="H40" s="2" t="n"/>
      <c r="I40" s="2" t="n"/>
      <c r="J40" s="2" t="n">
        <v>90</v>
      </c>
      <c r="K40" s="2" t="inlineStr">
        <is>
          <t>gasolina</t>
        </is>
      </c>
      <c r="L40" s="2" t="inlineStr">
        <is>
          <t>utilitario</t>
        </is>
      </c>
      <c r="M40" s="2" t="n">
        <v>2013</v>
      </c>
      <c r="N40" s="2" t="n">
        <v>208000</v>
      </c>
      <c r="O40" s="2" t="n">
        <v>4000</v>
      </c>
      <c r="P40" s="2" t="inlineStr">
        <is>
          <t>manual</t>
        </is>
      </c>
      <c r="Q40" s="2" t="inlineStr">
        <is>
          <t>no</t>
        </is>
      </c>
      <c r="R40" s="2" t="inlineStr">
        <is>
          <t>particular</t>
        </is>
      </c>
      <c r="S40" s="2" t="inlineStr">
        <is>
          <t>Valencia (46002)</t>
        </is>
      </c>
      <c r="T40" s="2" t="inlineStr">
        <is>
          <t>2026-10-27T19:35:38</t>
        </is>
      </c>
      <c r="U40" s="2" t="n">
        <v>10</v>
      </c>
      <c r="V40" s="2" t="n"/>
      <c r="W40" s="2" t="n"/>
      <c r="X40" s="2" t="n"/>
      <c r="Y40" s="2" t="n"/>
      <c r="Z40" s="2" t="n"/>
      <c r="AA40" s="2" t="n"/>
      <c r="AB40" s="2" t="n"/>
      <c r="AC40" s="2" t="n"/>
      <c r="AD40" s="2" t="n"/>
      <c r="AE40" s="2" t="n"/>
      <c r="AF40" s="2" t="n"/>
      <c r="AG40" s="2" t="n"/>
      <c r="AH40" s="2" t="n"/>
      <c r="AI40" s="2" t="n"/>
      <c r="AJ40" s="2" t="n"/>
      <c r="AK40" s="2" t="n"/>
      <c r="AL40" s="2" t="n"/>
      <c r="AM40" s="2" t="n">
        <v>0.4</v>
      </c>
      <c r="AN40" s="2" t="n">
        <v>4690</v>
      </c>
      <c r="AO40" s="2" t="n">
        <v>8</v>
      </c>
      <c r="AP40" s="2" t="inlineStr">
        <is>
          <t>modelo+año+km</t>
        </is>
      </c>
      <c r="AQ40" s="2" t="n"/>
      <c r="AR40" s="2" t="inlineStr">
        <is>
          <t>cilindrada desconocida: se aplica el tramo de cuota fija más alto; antigüedad en el límite del tramo: depende de la fecha exacta de matriculación; cuota fija ITP: &gt;12 años, más de 2.000 cc</t>
        </is>
      </c>
      <c r="AS40" s="2" t="inlineStr">
        <is>
          <t>Vendo Opel corsa D del año 2013 , cuenta con 208.300 km , tiene recién cambiado el aceite , filtro de aire , filtro de aceite y filtro de habitáculo, se le cambiaron las 2 bieletas, el embrague lo cambié hace 5 meses más o menos unos 4.500 km de ruedas está bien , motor a cadena impuestos al día , algún que otro detalle por algún roce, no hay que hacerle nada , mejor ver y probar , precio negociable .</t>
        </is>
      </c>
      <c r="AT40" s="2" t="inlineStr">
        <is>
          <t>https://es.wallapop.com/item/opel-corsa-d-2013-1316461365 (__NEXT_DATA__ item) /home/user/Alopecia/buscador-coches/raw/wallapop/15045070d8c7f62b.json</t>
        </is>
      </c>
      <c r="AU40" s="3">
        <f>MAX(ANIO_ACTUAL-M40,0)</f>
        <v/>
      </c>
      <c r="AV40" s="4">
        <f>N40/MAX(AU40,0.5)</f>
        <v/>
      </c>
      <c r="AW40" s="4">
        <f>F40</f>
        <v/>
      </c>
      <c r="AX40" s="3">
        <f>AW40&amp;"|"&amp;INT(M40/SEG_ANIO)*SEG_ANIO</f>
        <v/>
      </c>
      <c r="AY40" s="3">
        <f>AX40&amp;"|"&amp;INT(N40/SEG_KM)*SEG_KM</f>
        <v/>
      </c>
      <c r="AZ40" s="4">
        <f>COUNTIF($AW$2:$AW$662,AW40)</f>
        <v/>
      </c>
      <c r="BA40" s="4">
        <f>COUNTIF($AX$2:$AX$662,AX40)</f>
        <v/>
      </c>
      <c r="BB40" s="4">
        <f>COUNTIF($AY$2:$AY$662,AY40)</f>
        <v/>
      </c>
      <c r="BC40" s="3">
        <f t="array" ref="BC40">IF(N(AO40)&gt;=MIN_N,AN40,IF(BB40&gt;=MIN_N,MEDIAN(IF($AY$2:$AY$662=AY40,$O$2:$O$662)),IF(BA40&gt;=MIN_N,MEDIAN(IF($AX$2:$AX$662=AX40,$O$2:$O$662)),MEDIAN(IF($AW$2:$AW$662=AW40,$O$2:$O$662)))))</f>
        <v/>
      </c>
      <c r="BD40" s="3">
        <f>IF(N(AO40)&gt;=MIN_N,"mercado "&amp;AP40,IF(BB40&gt;=MIN_N,"modelo+año+km",IF(BA40&gt;=MIN_N,"modelo+año","modelo")))</f>
        <v/>
      </c>
      <c r="BE40" s="4">
        <f>(BC40-O40)/BC40</f>
        <v/>
      </c>
      <c r="BF40" s="3">
        <f>IF(OR(K40="hibrido",K40="glp"),"ECO",IF(K40="electrico","CERO",IF(K40="gasolina",IF(M40&gt;=GAS_C,"C",IF(M40&gt;=GAS_B,"B","A")),IF(K40="diesel",IF(M40&gt;=DIE_C,"C",IF(M40&gt;=DIE_B,"B","A")),""))))</f>
        <v/>
      </c>
      <c r="BG40" s="3">
        <f>IFERROR(VLOOKUP(F40,MOD_TBL,11,0),IFERROR(VLOOKUP(E40,OCU_TBL,2,0),NEUTRO))</f>
        <v/>
      </c>
      <c r="BH40" s="3">
        <f>SUMIFS(MOT_AJUSTE,MOT_MOTOR,G40,MOT_MARCA,E40,MOT_DESDE,"&lt;="&amp;M40,MOT_HASTA,"&gt;="&amp;M40)+SUMIFS(MOT_AJUSTE,MOT_MOTOR,G40,MOT_MARCA,"(todas)",MOT_DESDE,"&lt;="&amp;M40,MOT_HASTA,"&gt;="&amp;M40)</f>
        <v/>
      </c>
      <c r="BI40" s="3">
        <f>SUMIFS(COMB_AJUSTE,COMB_COMB,K40)</f>
        <v/>
      </c>
      <c r="BJ40" s="3">
        <f>COUNTIFS(MOT_MOTOR,G40,MOT_MARCA,E40,MOT_DESDE,"&lt;="&amp;M40,MOT_HASTA,"&gt;="&amp;M40)+COUNTIFS(MOT_MOTOR,G40,MOT_MARCA,"(todas)",MOT_DESDE,"&lt;="&amp;M40,MOT_HASTA,"&gt;="&amp;M40)</f>
        <v/>
      </c>
      <c r="BK40" s="3">
        <f>IF(AND(K40="diesel",BJ40=0),MIN(BG40,NEUTRO),BG40)</f>
        <v/>
      </c>
      <c r="BL40" s="4">
        <f>MAX(0,MIN(100,BK40+BH40+BI40))</f>
        <v/>
      </c>
      <c r="BM40" s="3">
        <f>MAX(0,MIN(100,50+BE40*PRECIO_PEND))</f>
        <v/>
      </c>
      <c r="BN40" s="3">
        <f>MAX(0,100*(1-N40/KM_MAX))</f>
        <v/>
      </c>
      <c r="BO40" s="3">
        <f>IF(AV40&lt;KMA_SOSP,IF(AA40="sí",100,KMA_PEN),IF(AV40&lt;=KMA_IDEAL_MAX,100,MAX(0,100*(KMA_CERO-AV40)/(KMA_CERO-KMA_IDEAL_MAX))))</f>
        <v/>
      </c>
      <c r="BP40" s="3">
        <f>MAX(0,MIN(100,100*(M40-ANIO_MIN)/(ANIO_ACTUAL-ANIO_MIN)))</f>
        <v/>
      </c>
      <c r="BQ40" s="3">
        <f>W_KMT*BN40+W_KMA*BO40+W_EDAD*BP40</f>
        <v/>
      </c>
      <c r="BR40" s="3">
        <f>P_ITV*(V40="sí")+P_LIBRO*(W40="sí")+P_CORREA*(X40="sí")+P_PROP*(Y40=1)+P_GAR*(Z40="sí")+P_FOTOS*MIN(1,N(U40)/FOTOS_OBJ)</f>
        <v/>
      </c>
      <c r="BS40" s="3">
        <f>IFERROR(VLOOKUP(BF40,ETQ_TBL,2,0),NEUTRO)</f>
        <v/>
      </c>
      <c r="BT40" s="3">
        <f>NEUTRO</f>
        <v/>
      </c>
      <c r="BU40" s="3">
        <f>IFERROR(VLOOKUP(L40,SEGURO_TBL,3,0),"")</f>
        <v/>
      </c>
      <c r="BV40" s="3">
        <f>IF(BU40="",NEUTRO,MAX(0,MIN(100,100*(SEG_REF_MAX-BU40)/(SEG_REF_MAX-SEG_REF_MIN))))</f>
        <v/>
      </c>
      <c r="BW40" s="3">
        <f>W_ET*BS40+W_CONS*BT40+W_SEG*BV40</f>
        <v/>
      </c>
      <c r="BX40" s="3">
        <f>IF(N(AB40)&gt;0,AB40,IF(AND(R40="profesional",SG_LEGAL_ON=1),GAR_LEGAL,0))</f>
        <v/>
      </c>
      <c r="BY40" s="3">
        <f>SG_GAR*MIN(1,BX40/SG_GAR_FULL)+SG_AMPL*(AC40="sí")+SG_KMC*(AF40="sí")+SG_REV*(N(AE40)&gt;0)+SG_DEV*MIN(1,N(AG40)/SG_DEV_FULL)+SG_HIST*(W40="sí")</f>
        <v/>
      </c>
      <c r="BZ40" s="3">
        <f>IFERROR(VLOOKUP(L40,CARR_PEN_TBL,2,0),0)</f>
        <v/>
      </c>
      <c r="CA40" s="3">
        <f>W_FIAB*BL40+W_PRECIO*BM40+W_KMEDAD*BQ40+W_ANUNCIO*BR40+W_USO*BW40+W_SEGURIDAD*BY40-BZ40</f>
        <v/>
      </c>
      <c r="CB40" s="4">
        <f>IF(N(I40)&gt;0,I40,IFERROR(ROUND(_xlfn.NUMBERVALUE(LEFT(G40,FIND(" ",G40&amp;" ")-1),".")*1000,0),99999))</f>
        <v/>
      </c>
      <c r="CC40" s="3">
        <f>IF(R40="profesional",0,IF(O40&lt;CUOTA_VALOR_MAX,IF(AU40&gt;ITP_TRAMO_ALTO,SUMIFS(CF_CUOTA,CF_MAS,ITP_TRAMO_ALTO,CF_CCMIN,"&lt;="&amp;CB40,CF_CCMAX,"&gt;="&amp;CB40),IF(AU40&gt;ITP_TRAMO_BAJO,SUMIFS(CF_CUOTA,CF_MAS,ITP_TRAMO_BAJO,CF_CCMIN,"&lt;="&amp;CB40,CF_CCMAX,"&gt;="&amp;CB40),O40*ITP_TIPO)),O40*ITP_TIPO))</f>
        <v/>
      </c>
      <c r="CD40" s="4">
        <f>IF(R40="profesional",N(AK40),0)</f>
        <v/>
      </c>
      <c r="CE40" s="3">
        <f>IF(AND(R40="profesional",ISNUMBER(AK40),AL40="sí"),0,TASA_DGT)</f>
        <v/>
      </c>
      <c r="CF40" s="3">
        <f>INFORME_DGT</f>
        <v/>
      </c>
      <c r="CG40" s="4">
        <f>O40+CD40+CC40+CE40+CF40</f>
        <v/>
      </c>
      <c r="CH40" s="4">
        <f>CG40+N(BU40)</f>
        <v/>
      </c>
      <c r="CI40" s="3">
        <f>IF(CG40&lt;=TOTAL_MAX,"sí",IF(CG40&lt;=TOTAL_MAX+MARGEN_NEG,"negociar","no"))</f>
        <v/>
      </c>
      <c r="CJ40" s="4">
        <f>IF(CI40&lt;&gt;"no",COUNTIFS($CI$2:$CI$662,"&lt;&gt;no",$CA$2:$CA$662,"&gt;"&amp;CA40)+COUNTIFS($CI$2:CI40,"&lt;&gt;no",$CA$2:CA40,CA40),"")</f>
        <v/>
      </c>
    </row>
    <row r="41">
      <c r="A41" s="2" t="inlineStr">
        <is>
          <t>wallapop:1317824509</t>
        </is>
      </c>
      <c r="B41" s="2" t="inlineStr">
        <is>
          <t>wallapop</t>
        </is>
      </c>
      <c r="C41" s="2" t="inlineStr">
        <is>
          <t>https://es.wallapop.com/item/opel-astra-2010-1317824509</t>
        </is>
      </c>
      <c r="D41" s="2" t="inlineStr">
        <is>
          <t>Opel Astra 2010</t>
        </is>
      </c>
      <c r="E41" s="2" t="inlineStr">
        <is>
          <t>Opel</t>
        </is>
      </c>
      <c r="F41" s="2" t="inlineStr">
        <is>
          <t>Opel Astra</t>
        </is>
      </c>
      <c r="G41" s="2" t="n"/>
      <c r="H41" s="2" t="n"/>
      <c r="I41" s="2" t="n"/>
      <c r="J41" s="2" t="n"/>
      <c r="K41" s="2" t="inlineStr">
        <is>
          <t>diesel</t>
        </is>
      </c>
      <c r="L41" s="2" t="inlineStr">
        <is>
          <t>compacto</t>
        </is>
      </c>
      <c r="M41" s="2" t="n">
        <v>2010</v>
      </c>
      <c r="N41" s="2" t="n">
        <v>179000</v>
      </c>
      <c r="O41" s="2" t="n">
        <v>3300</v>
      </c>
      <c r="P41" s="2" t="n"/>
      <c r="Q41" s="2" t="n"/>
      <c r="R41" s="2" t="inlineStr">
        <is>
          <t>particular</t>
        </is>
      </c>
      <c r="S41" s="2" t="inlineStr">
        <is>
          <t>Valencia (46002)</t>
        </is>
      </c>
      <c r="T41" s="2" t="inlineStr">
        <is>
          <t>2026-10-27T16:22:15</t>
        </is>
      </c>
      <c r="U41" s="2" t="n">
        <v>5</v>
      </c>
      <c r="V41" s="2" t="n"/>
      <c r="W41" s="2" t="n"/>
      <c r="X41" s="2" t="n"/>
      <c r="Y41" s="2" t="n"/>
      <c r="Z41" s="2" t="n"/>
      <c r="AA41" s="2" t="n"/>
      <c r="AB41" s="2" t="n"/>
      <c r="AC41" s="2" t="n"/>
      <c r="AD41" s="2" t="n"/>
      <c r="AE41" s="2" t="n"/>
      <c r="AF41" s="2" t="n"/>
      <c r="AG41" s="2" t="n"/>
      <c r="AH41" s="2" t="n"/>
      <c r="AI41" s="2" t="n"/>
      <c r="AJ41" s="2" t="n"/>
      <c r="AK41" s="2" t="n"/>
      <c r="AL41" s="2" t="n"/>
      <c r="AM41" s="2" t="n">
        <v>0.5</v>
      </c>
      <c r="AN41" s="2" t="n">
        <v>4745</v>
      </c>
      <c r="AO41" s="2" t="n">
        <v>10</v>
      </c>
      <c r="AP41" s="2" t="inlineStr">
        <is>
          <t>modelo+año+km</t>
        </is>
      </c>
      <c r="AQ41" s="2" t="n"/>
      <c r="AR41" s="2" t="inlineStr">
        <is>
          <t>cilindrada desconocida: se aplica el tramo de cuota fija más alto; cuota fija ITP: &gt;12 años, más de 2.000 cc; diésel: motor sin fuente de fiabilidad (fiabilidad limitada a neutra)</t>
        </is>
      </c>
      <c r="AS41" s="2" t="inlineStr">
        <is>
          <t xml:space="preserve">
Opel Astra en Valencia</t>
        </is>
      </c>
      <c r="AT41" s="2" t="inlineStr">
        <is>
          <t>https://es.wallapop.com/item/opel-astra-2010-1317824509 (__NEXT_DATA__ item) /home/user/Alopecia/buscador-coches/raw/wallapop/486badb9085186d2.json</t>
        </is>
      </c>
      <c r="AU41" s="3">
        <f>MAX(ANIO_ACTUAL-M41,0)</f>
        <v/>
      </c>
      <c r="AV41" s="4">
        <f>N41/MAX(AU41,0.5)</f>
        <v/>
      </c>
      <c r="AW41" s="4">
        <f>F41</f>
        <v/>
      </c>
      <c r="AX41" s="3">
        <f>AW41&amp;"|"&amp;INT(M41/SEG_ANIO)*SEG_ANIO</f>
        <v/>
      </c>
      <c r="AY41" s="3">
        <f>AX41&amp;"|"&amp;INT(N41/SEG_KM)*SEG_KM</f>
        <v/>
      </c>
      <c r="AZ41" s="4">
        <f>COUNTIF($AW$2:$AW$662,AW41)</f>
        <v/>
      </c>
      <c r="BA41" s="4">
        <f>COUNTIF($AX$2:$AX$662,AX41)</f>
        <v/>
      </c>
      <c r="BB41" s="4">
        <f>COUNTIF($AY$2:$AY$662,AY41)</f>
        <v/>
      </c>
      <c r="BC41" s="3">
        <f t="array" ref="BC41">IF(N(AO41)&gt;=MIN_N,AN41,IF(BB41&gt;=MIN_N,MEDIAN(IF($AY$2:$AY$662=AY41,$O$2:$O$662)),IF(BA41&gt;=MIN_N,MEDIAN(IF($AX$2:$AX$662=AX41,$O$2:$O$662)),MEDIAN(IF($AW$2:$AW$662=AW41,$O$2:$O$662)))))</f>
        <v/>
      </c>
      <c r="BD41" s="3">
        <f>IF(N(AO41)&gt;=MIN_N,"mercado "&amp;AP41,IF(BB41&gt;=MIN_N,"modelo+año+km",IF(BA41&gt;=MIN_N,"modelo+año","modelo")))</f>
        <v/>
      </c>
      <c r="BE41" s="4">
        <f>(BC41-O41)/BC41</f>
        <v/>
      </c>
      <c r="BF41" s="3">
        <f>IF(OR(K41="hibrido",K41="glp"),"ECO",IF(K41="electrico","CERO",IF(K41="gasolina",IF(M41&gt;=GAS_C,"C",IF(M41&gt;=GAS_B,"B","A")),IF(K41="diesel",IF(M41&gt;=DIE_C,"C",IF(M41&gt;=DIE_B,"B","A")),""))))</f>
        <v/>
      </c>
      <c r="BG41" s="3">
        <f>IFERROR(VLOOKUP(F41,MOD_TBL,11,0),IFERROR(VLOOKUP(E41,OCU_TBL,2,0),NEUTRO))</f>
        <v/>
      </c>
      <c r="BH41" s="3">
        <f>SUMIFS(MOT_AJUSTE,MOT_MOTOR,G41,MOT_MARCA,E41,MOT_DESDE,"&lt;="&amp;M41,MOT_HASTA,"&gt;="&amp;M41)+SUMIFS(MOT_AJUSTE,MOT_MOTOR,G41,MOT_MARCA,"(todas)",MOT_DESDE,"&lt;="&amp;M41,MOT_HASTA,"&gt;="&amp;M41)</f>
        <v/>
      </c>
      <c r="BI41" s="3">
        <f>SUMIFS(COMB_AJUSTE,COMB_COMB,K41)</f>
        <v/>
      </c>
      <c r="BJ41" s="3">
        <f>COUNTIFS(MOT_MOTOR,G41,MOT_MARCA,E41,MOT_DESDE,"&lt;="&amp;M41,MOT_HASTA,"&gt;="&amp;M41)+COUNTIFS(MOT_MOTOR,G41,MOT_MARCA,"(todas)",MOT_DESDE,"&lt;="&amp;M41,MOT_HASTA,"&gt;="&amp;M41)</f>
        <v/>
      </c>
      <c r="BK41" s="3">
        <f>IF(AND(K41="diesel",BJ41=0),MIN(BG41,NEUTRO),BG41)</f>
        <v/>
      </c>
      <c r="BL41" s="4">
        <f>MAX(0,MIN(100,BK41+BH41+BI41))</f>
        <v/>
      </c>
      <c r="BM41" s="3">
        <f>MAX(0,MIN(100,50+BE41*PRECIO_PEND))</f>
        <v/>
      </c>
      <c r="BN41" s="3">
        <f>MAX(0,100*(1-N41/KM_MAX))</f>
        <v/>
      </c>
      <c r="BO41" s="3">
        <f>IF(AV41&lt;KMA_SOSP,IF(AA41="sí",100,KMA_PEN),IF(AV41&lt;=KMA_IDEAL_MAX,100,MAX(0,100*(KMA_CERO-AV41)/(KMA_CERO-KMA_IDEAL_MAX))))</f>
        <v/>
      </c>
      <c r="BP41" s="3">
        <f>MAX(0,MIN(100,100*(M41-ANIO_MIN)/(ANIO_ACTUAL-ANIO_MIN)))</f>
        <v/>
      </c>
      <c r="BQ41" s="3">
        <f>W_KMT*BN41+W_KMA*BO41+W_EDAD*BP41</f>
        <v/>
      </c>
      <c r="BR41" s="3">
        <f>P_ITV*(V41="sí")+P_LIBRO*(W41="sí")+P_CORREA*(X41="sí")+P_PROP*(Y41=1)+P_GAR*(Z41="sí")+P_FOTOS*MIN(1,N(U41)/FOTOS_OBJ)</f>
        <v/>
      </c>
      <c r="BS41" s="3">
        <f>IFERROR(VLOOKUP(BF41,ETQ_TBL,2,0),NEUTRO)</f>
        <v/>
      </c>
      <c r="BT41" s="3">
        <f>NEUTRO</f>
        <v/>
      </c>
      <c r="BU41" s="3">
        <f>IFERROR(VLOOKUP(L41,SEGURO_TBL,3,0),"")</f>
        <v/>
      </c>
      <c r="BV41" s="3">
        <f>IF(BU41="",NEUTRO,MAX(0,MIN(100,100*(SEG_REF_MAX-BU41)/(SEG_REF_MAX-SEG_REF_MIN))))</f>
        <v/>
      </c>
      <c r="BW41" s="3">
        <f>W_ET*BS41+W_CONS*BT41+W_SEG*BV41</f>
        <v/>
      </c>
      <c r="BX41" s="3">
        <f>IF(N(AB41)&gt;0,AB41,IF(AND(R41="profesional",SG_LEGAL_ON=1),GAR_LEGAL,0))</f>
        <v/>
      </c>
      <c r="BY41" s="3">
        <f>SG_GAR*MIN(1,BX41/SG_GAR_FULL)+SG_AMPL*(AC41="sí")+SG_KMC*(AF41="sí")+SG_REV*(N(AE41)&gt;0)+SG_DEV*MIN(1,N(AG41)/SG_DEV_FULL)+SG_HIST*(W41="sí")</f>
        <v/>
      </c>
      <c r="BZ41" s="3">
        <f>IFERROR(VLOOKUP(L41,CARR_PEN_TBL,2,0),0)</f>
        <v/>
      </c>
      <c r="CA41" s="3">
        <f>W_FIAB*BL41+W_PRECIO*BM41+W_KMEDAD*BQ41+W_ANUNCIO*BR41+W_USO*BW41+W_SEGURIDAD*BY41-BZ41</f>
        <v/>
      </c>
      <c r="CB41" s="4">
        <f>IF(N(I41)&gt;0,I41,IFERROR(ROUND(_xlfn.NUMBERVALUE(LEFT(G41,FIND(" ",G41&amp;" ")-1),".")*1000,0),99999))</f>
        <v/>
      </c>
      <c r="CC41" s="3">
        <f>IF(R41="profesional",0,IF(O41&lt;CUOTA_VALOR_MAX,IF(AU41&gt;ITP_TRAMO_ALTO,SUMIFS(CF_CUOTA,CF_MAS,ITP_TRAMO_ALTO,CF_CCMIN,"&lt;="&amp;CB41,CF_CCMAX,"&gt;="&amp;CB41),IF(AU41&gt;ITP_TRAMO_BAJO,SUMIFS(CF_CUOTA,CF_MAS,ITP_TRAMO_BAJO,CF_CCMIN,"&lt;="&amp;CB41,CF_CCMAX,"&gt;="&amp;CB41),O41*ITP_TIPO)),O41*ITP_TIPO))</f>
        <v/>
      </c>
      <c r="CD41" s="4">
        <f>IF(R41="profesional",N(AK41),0)</f>
        <v/>
      </c>
      <c r="CE41" s="3">
        <f>IF(AND(R41="profesional",ISNUMBER(AK41),AL41="sí"),0,TASA_DGT)</f>
        <v/>
      </c>
      <c r="CF41" s="3">
        <f>INFORME_DGT</f>
        <v/>
      </c>
      <c r="CG41" s="4">
        <f>O41+CD41+CC41+CE41+CF41</f>
        <v/>
      </c>
      <c r="CH41" s="4">
        <f>CG41+N(BU41)</f>
        <v/>
      </c>
      <c r="CI41" s="3">
        <f>IF(CG41&lt;=TOTAL_MAX,"sí",IF(CG41&lt;=TOTAL_MAX+MARGEN_NEG,"negociar","no"))</f>
        <v/>
      </c>
      <c r="CJ41" s="4">
        <f>IF(CI41&lt;&gt;"no",COUNTIFS($CI$2:$CI$662,"&lt;&gt;no",$CA$2:$CA$662,"&gt;"&amp;CA41)+COUNTIFS($CI$2:CI41,"&lt;&gt;no",$CA$2:CA41,CA41),"")</f>
        <v/>
      </c>
    </row>
    <row r="42">
      <c r="A42" s="2" t="inlineStr">
        <is>
          <t>wallapop:1308429797</t>
        </is>
      </c>
      <c r="B42" s="2" t="inlineStr">
        <is>
          <t>wallapop</t>
        </is>
      </c>
      <c r="C42" s="2" t="inlineStr">
        <is>
          <t>https://es.wallapop.com/item/opel-astra-2012-1308429797</t>
        </is>
      </c>
      <c r="D42" s="2" t="inlineStr">
        <is>
          <t>Opel Astra 2012</t>
        </is>
      </c>
      <c r="E42" s="2" t="inlineStr">
        <is>
          <t>Opel</t>
        </is>
      </c>
      <c r="F42" s="2" t="inlineStr">
        <is>
          <t>Opel Astra</t>
        </is>
      </c>
      <c r="G42" s="2" t="inlineStr">
        <is>
          <t>1.7 CDTi</t>
        </is>
      </c>
      <c r="H42" s="2" t="inlineStr">
        <is>
          <t>1.7 CDTi 110 Selective 5p</t>
        </is>
      </c>
      <c r="I42" s="2" t="n"/>
      <c r="J42" s="2" t="n">
        <v>110</v>
      </c>
      <c r="K42" s="2" t="inlineStr">
        <is>
          <t>diesel</t>
        </is>
      </c>
      <c r="L42" s="2" t="inlineStr">
        <is>
          <t>compacto</t>
        </is>
      </c>
      <c r="M42" s="2" t="n">
        <v>2012</v>
      </c>
      <c r="N42" s="2" t="n">
        <v>200000</v>
      </c>
      <c r="O42" s="2" t="n">
        <v>4300</v>
      </c>
      <c r="P42" s="2" t="inlineStr">
        <is>
          <t>manual</t>
        </is>
      </c>
      <c r="Q42" s="2" t="inlineStr">
        <is>
          <t>no</t>
        </is>
      </c>
      <c r="R42" s="2" t="inlineStr">
        <is>
          <t>particular</t>
        </is>
      </c>
      <c r="S42" s="2" t="inlineStr">
        <is>
          <t>Valencia (46002)</t>
        </is>
      </c>
      <c r="T42" s="2" t="inlineStr">
        <is>
          <t>2026-10-02T17:30:59</t>
        </is>
      </c>
      <c r="U42" s="2" t="n">
        <v>7</v>
      </c>
      <c r="V42" s="2" t="inlineStr">
        <is>
          <t>sí</t>
        </is>
      </c>
      <c r="W42" s="2" t="n"/>
      <c r="X42" s="2" t="n"/>
      <c r="Y42" s="2" t="n"/>
      <c r="Z42" s="2" t="n"/>
      <c r="AA42" s="2" t="n"/>
      <c r="AB42" s="2" t="n"/>
      <c r="AC42" s="2" t="n"/>
      <c r="AD42" s="2" t="n"/>
      <c r="AE42" s="2" t="n"/>
      <c r="AF42" s="2" t="n"/>
      <c r="AG42" s="2" t="n"/>
      <c r="AH42" s="2" t="n"/>
      <c r="AI42" s="2" t="n"/>
      <c r="AJ42" s="2" t="n"/>
      <c r="AK42" s="2" t="n"/>
      <c r="AL42" s="2" t="n"/>
      <c r="AM42" s="2" t="n">
        <v>0.7</v>
      </c>
      <c r="AN42" s="2" t="n">
        <v>4490</v>
      </c>
      <c r="AO42" s="2" t="n">
        <v>7</v>
      </c>
      <c r="AP42" s="2" t="inlineStr">
        <is>
          <t>modelo+año+km</t>
        </is>
      </c>
      <c r="AQ42" s="2" t="n"/>
      <c r="AR42" s="2" t="inlineStr">
        <is>
          <t>cuota fija ITP: &gt;12 años, 1.501-2.000 cc; diésel: motor sin fuente de fiabilidad (fiabilidad limitada a neutra)</t>
        </is>
      </c>
      <c r="AS42" s="2" t="inlineStr">
        <is>
          <t>Coche en perfecto estado, itv recién pasada y seguro 1 año, mejor ven a ver y probar. El coche no tiene ni un fallo va perfecto.</t>
        </is>
      </c>
      <c r="AT42" s="2" t="inlineStr">
        <is>
          <t>https://es.wallapop.com/item/opel-astra-2012-1308429797 (__NEXT_DATA__ item) /home/user/Alopecia/buscador-coches/raw/wallapop/1aef2b8818be428c.json</t>
        </is>
      </c>
      <c r="AU42" s="3">
        <f>MAX(ANIO_ACTUAL-M42,0)</f>
        <v/>
      </c>
      <c r="AV42" s="4">
        <f>N42/MAX(AU42,0.5)</f>
        <v/>
      </c>
      <c r="AW42" s="4">
        <f>F42</f>
        <v/>
      </c>
      <c r="AX42" s="3">
        <f>AW42&amp;"|"&amp;INT(M42/SEG_ANIO)*SEG_ANIO</f>
        <v/>
      </c>
      <c r="AY42" s="3">
        <f>AX42&amp;"|"&amp;INT(N42/SEG_KM)*SEG_KM</f>
        <v/>
      </c>
      <c r="AZ42" s="4">
        <f>COUNTIF($AW$2:$AW$662,AW42)</f>
        <v/>
      </c>
      <c r="BA42" s="4">
        <f>COUNTIF($AX$2:$AX$662,AX42)</f>
        <v/>
      </c>
      <c r="BB42" s="4">
        <f>COUNTIF($AY$2:$AY$662,AY42)</f>
        <v/>
      </c>
      <c r="BC42" s="3">
        <f t="array" ref="BC42">IF(N(AO42)&gt;=MIN_N,AN42,IF(BB42&gt;=MIN_N,MEDIAN(IF($AY$2:$AY$662=AY42,$O$2:$O$662)),IF(BA42&gt;=MIN_N,MEDIAN(IF($AX$2:$AX$662=AX42,$O$2:$O$662)),MEDIAN(IF($AW$2:$AW$662=AW42,$O$2:$O$662)))))</f>
        <v/>
      </c>
      <c r="BD42" s="3">
        <f>IF(N(AO42)&gt;=MIN_N,"mercado "&amp;AP42,IF(BB42&gt;=MIN_N,"modelo+año+km",IF(BA42&gt;=MIN_N,"modelo+año","modelo")))</f>
        <v/>
      </c>
      <c r="BE42" s="4">
        <f>(BC42-O42)/BC42</f>
        <v/>
      </c>
      <c r="BF42" s="3">
        <f>IF(OR(K42="hibrido",K42="glp"),"ECO",IF(K42="electrico","CERO",IF(K42="gasolina",IF(M42&gt;=GAS_C,"C",IF(M42&gt;=GAS_B,"B","A")),IF(K42="diesel",IF(M42&gt;=DIE_C,"C",IF(M42&gt;=DIE_B,"B","A")),""))))</f>
        <v/>
      </c>
      <c r="BG42" s="3">
        <f>IFERROR(VLOOKUP(F42,MOD_TBL,11,0),IFERROR(VLOOKUP(E42,OCU_TBL,2,0),NEUTRO))</f>
        <v/>
      </c>
      <c r="BH42" s="3">
        <f>SUMIFS(MOT_AJUSTE,MOT_MOTOR,G42,MOT_MARCA,E42,MOT_DESDE,"&lt;="&amp;M42,MOT_HASTA,"&gt;="&amp;M42)+SUMIFS(MOT_AJUSTE,MOT_MOTOR,G42,MOT_MARCA,"(todas)",MOT_DESDE,"&lt;="&amp;M42,MOT_HASTA,"&gt;="&amp;M42)</f>
        <v/>
      </c>
      <c r="BI42" s="3">
        <f>SUMIFS(COMB_AJUSTE,COMB_COMB,K42)</f>
        <v/>
      </c>
      <c r="BJ42" s="3">
        <f>COUNTIFS(MOT_MOTOR,G42,MOT_MARCA,E42,MOT_DESDE,"&lt;="&amp;M42,MOT_HASTA,"&gt;="&amp;M42)+COUNTIFS(MOT_MOTOR,G42,MOT_MARCA,"(todas)",MOT_DESDE,"&lt;="&amp;M42,MOT_HASTA,"&gt;="&amp;M42)</f>
        <v/>
      </c>
      <c r="BK42" s="3">
        <f>IF(AND(K42="diesel",BJ42=0),MIN(BG42,NEUTRO),BG42)</f>
        <v/>
      </c>
      <c r="BL42" s="4">
        <f>MAX(0,MIN(100,BK42+BH42+BI42))</f>
        <v/>
      </c>
      <c r="BM42" s="3">
        <f>MAX(0,MIN(100,50+BE42*PRECIO_PEND))</f>
        <v/>
      </c>
      <c r="BN42" s="3">
        <f>MAX(0,100*(1-N42/KM_MAX))</f>
        <v/>
      </c>
      <c r="BO42" s="3">
        <f>IF(AV42&lt;KMA_SOSP,IF(AA42="sí",100,KMA_PEN),IF(AV42&lt;=KMA_IDEAL_MAX,100,MAX(0,100*(KMA_CERO-AV42)/(KMA_CERO-KMA_IDEAL_MAX))))</f>
        <v/>
      </c>
      <c r="BP42" s="3">
        <f>MAX(0,MIN(100,100*(M42-ANIO_MIN)/(ANIO_ACTUAL-ANIO_MIN)))</f>
        <v/>
      </c>
      <c r="BQ42" s="3">
        <f>W_KMT*BN42+W_KMA*BO42+W_EDAD*BP42</f>
        <v/>
      </c>
      <c r="BR42" s="3">
        <f>P_ITV*(V42="sí")+P_LIBRO*(W42="sí")+P_CORREA*(X42="sí")+P_PROP*(Y42=1)+P_GAR*(Z42="sí")+P_FOTOS*MIN(1,N(U42)/FOTOS_OBJ)</f>
        <v/>
      </c>
      <c r="BS42" s="3">
        <f>IFERROR(VLOOKUP(BF42,ETQ_TBL,2,0),NEUTRO)</f>
        <v/>
      </c>
      <c r="BT42" s="3">
        <f>NEUTRO</f>
        <v/>
      </c>
      <c r="BU42" s="3">
        <f>IFERROR(VLOOKUP(L42,SEGURO_TBL,3,0),"")</f>
        <v/>
      </c>
      <c r="BV42" s="3">
        <f>IF(BU42="",NEUTRO,MAX(0,MIN(100,100*(SEG_REF_MAX-BU42)/(SEG_REF_MAX-SEG_REF_MIN))))</f>
        <v/>
      </c>
      <c r="BW42" s="3">
        <f>W_ET*BS42+W_CONS*BT42+W_SEG*BV42</f>
        <v/>
      </c>
      <c r="BX42" s="3">
        <f>IF(N(AB42)&gt;0,AB42,IF(AND(R42="profesional",SG_LEGAL_ON=1),GAR_LEGAL,0))</f>
        <v/>
      </c>
      <c r="BY42" s="3">
        <f>SG_GAR*MIN(1,BX42/SG_GAR_FULL)+SG_AMPL*(AC42="sí")+SG_KMC*(AF42="sí")+SG_REV*(N(AE42)&gt;0)+SG_DEV*MIN(1,N(AG42)/SG_DEV_FULL)+SG_HIST*(W42="sí")</f>
        <v/>
      </c>
      <c r="BZ42" s="3">
        <f>IFERROR(VLOOKUP(L42,CARR_PEN_TBL,2,0),0)</f>
        <v/>
      </c>
      <c r="CA42" s="3">
        <f>W_FIAB*BL42+W_PRECIO*BM42+W_KMEDAD*BQ42+W_ANUNCIO*BR42+W_USO*BW42+W_SEGURIDAD*BY42-BZ42</f>
        <v/>
      </c>
      <c r="CB42" s="4">
        <f>IF(N(I42)&gt;0,I42,IFERROR(ROUND(_xlfn.NUMBERVALUE(LEFT(G42,FIND(" ",G42&amp;" ")-1),".")*1000,0),99999))</f>
        <v/>
      </c>
      <c r="CC42" s="3">
        <f>IF(R42="profesional",0,IF(O42&lt;CUOTA_VALOR_MAX,IF(AU42&gt;ITP_TRAMO_ALTO,SUMIFS(CF_CUOTA,CF_MAS,ITP_TRAMO_ALTO,CF_CCMIN,"&lt;="&amp;CB42,CF_CCMAX,"&gt;="&amp;CB42),IF(AU42&gt;ITP_TRAMO_BAJO,SUMIFS(CF_CUOTA,CF_MAS,ITP_TRAMO_BAJO,CF_CCMIN,"&lt;="&amp;CB42,CF_CCMAX,"&gt;="&amp;CB42),O42*ITP_TIPO)),O42*ITP_TIPO))</f>
        <v/>
      </c>
      <c r="CD42" s="4">
        <f>IF(R42="profesional",N(AK42),0)</f>
        <v/>
      </c>
      <c r="CE42" s="3">
        <f>IF(AND(R42="profesional",ISNUMBER(AK42),AL42="sí"),0,TASA_DGT)</f>
        <v/>
      </c>
      <c r="CF42" s="3">
        <f>INFORME_DGT</f>
        <v/>
      </c>
      <c r="CG42" s="4">
        <f>O42+CD42+CC42+CE42+CF42</f>
        <v/>
      </c>
      <c r="CH42" s="4">
        <f>CG42+N(BU42)</f>
        <v/>
      </c>
      <c r="CI42" s="3">
        <f>IF(CG42&lt;=TOTAL_MAX,"sí",IF(CG42&lt;=TOTAL_MAX+MARGEN_NEG,"negociar","no"))</f>
        <v/>
      </c>
      <c r="CJ42" s="4">
        <f>IF(CI42&lt;&gt;"no",COUNTIFS($CI$2:$CI$662,"&lt;&gt;no",$CA$2:$CA$662,"&gt;"&amp;CA42)+COUNTIFS($CI$2:CI42,"&lt;&gt;no",$CA$2:CA42,CA42),"")</f>
        <v/>
      </c>
    </row>
    <row r="43">
      <c r="A43" s="2" t="inlineStr">
        <is>
          <t>wallapop:1282088556</t>
        </is>
      </c>
      <c r="B43" s="2" t="inlineStr">
        <is>
          <t>wallapop</t>
        </is>
      </c>
      <c r="C43" s="2" t="inlineStr">
        <is>
          <t>https://es.wallapop.com/item/opel-agila-2009-1282088556</t>
        </is>
      </c>
      <c r="D43" s="2" t="inlineStr">
        <is>
          <t>Opel Agila 2009</t>
        </is>
      </c>
      <c r="E43" s="2" t="inlineStr">
        <is>
          <t>Opel</t>
        </is>
      </c>
      <c r="F43" s="2" t="inlineStr">
        <is>
          <t>Opel Agila</t>
        </is>
      </c>
      <c r="G43" s="2" t="inlineStr">
        <is>
          <t>1.0</t>
        </is>
      </c>
      <c r="H43" s="2" t="inlineStr">
        <is>
          <t>1.0 12v 65 Enjoy 5p</t>
        </is>
      </c>
      <c r="I43" s="2" t="n"/>
      <c r="J43" s="2" t="n">
        <v>65</v>
      </c>
      <c r="K43" s="2" t="inlineStr">
        <is>
          <t>gasolina</t>
        </is>
      </c>
      <c r="L43" s="2" t="inlineStr">
        <is>
          <t>utilitario</t>
        </is>
      </c>
      <c r="M43" s="2" t="n">
        <v>2009</v>
      </c>
      <c r="N43" s="2" t="n">
        <v>134000</v>
      </c>
      <c r="O43" s="2" t="n">
        <v>3300</v>
      </c>
      <c r="P43" s="2" t="inlineStr">
        <is>
          <t>manual</t>
        </is>
      </c>
      <c r="Q43" s="2" t="inlineStr">
        <is>
          <t>no</t>
        </is>
      </c>
      <c r="R43" s="2" t="inlineStr">
        <is>
          <t>particular</t>
        </is>
      </c>
      <c r="S43" s="2" t="inlineStr">
        <is>
          <t>Valencia (46018)</t>
        </is>
      </c>
      <c r="T43" s="2" t="inlineStr">
        <is>
          <t>2026-10-06T12:43:20</t>
        </is>
      </c>
      <c r="U43" s="2" t="n">
        <v>9</v>
      </c>
      <c r="V43" s="2" t="inlineStr">
        <is>
          <t>sí</t>
        </is>
      </c>
      <c r="W43" s="2" t="n"/>
      <c r="X43" s="2" t="n"/>
      <c r="Y43" s="2" t="n"/>
      <c r="Z43" s="2" t="n"/>
      <c r="AA43" s="2" t="n"/>
      <c r="AB43" s="2" t="n"/>
      <c r="AC43" s="2" t="n"/>
      <c r="AD43" s="2" t="n"/>
      <c r="AE43" s="2" t="n"/>
      <c r="AF43" s="2" t="n"/>
      <c r="AG43" s="2" t="n"/>
      <c r="AH43" s="2" t="n"/>
      <c r="AI43" s="2" t="n"/>
      <c r="AJ43" s="2" t="n"/>
      <c r="AK43" s="2" t="n"/>
      <c r="AL43" s="2" t="n"/>
      <c r="AM43" s="2" t="n">
        <v>1.5</v>
      </c>
      <c r="AN43" s="2" t="n"/>
      <c r="AO43" s="2" t="n"/>
      <c r="AP43" s="2" t="n"/>
      <c r="AQ43" s="2" t="n"/>
      <c r="AR43" s="2" t="inlineStr">
        <is>
          <t>cuota fija ITP: &gt;12 años, hasta 1.500 cc; fiabilidad del modelo PENDIENTE de fuente (puntuación neutra); mediana con solo 1 anuncio(s)</t>
        </is>
      </c>
      <c r="AS43" s="2" t="inlineStr">
        <is>
          <t>Opel Agila con tan solo 134.000km
Itv recien pasada y con todos los mantenimientos al dia
El coche se encuentra en buen estado pero con algunos roces por el paso de los años
Mecánicamente revisado y sin ningun problema 
Coche ideal para el dia a dia con etiqueta C</t>
        </is>
      </c>
      <c r="AT43" s="2" t="inlineStr">
        <is>
          <t>https://es.wallapop.com/item/opel-agila-2009-1282088556 (__NEXT_DATA__ item) /home/user/Alopecia/buscador-coches/raw/wallapop/1758bdcff44eb808.json</t>
        </is>
      </c>
      <c r="AU43" s="3">
        <f>MAX(ANIO_ACTUAL-M43,0)</f>
        <v/>
      </c>
      <c r="AV43" s="4">
        <f>N43/MAX(AU43,0.5)</f>
        <v/>
      </c>
      <c r="AW43" s="4">
        <f>F43</f>
        <v/>
      </c>
      <c r="AX43" s="3">
        <f>AW43&amp;"|"&amp;INT(M43/SEG_ANIO)*SEG_ANIO</f>
        <v/>
      </c>
      <c r="AY43" s="3">
        <f>AX43&amp;"|"&amp;INT(N43/SEG_KM)*SEG_KM</f>
        <v/>
      </c>
      <c r="AZ43" s="4">
        <f>COUNTIF($AW$2:$AW$662,AW43)</f>
        <v/>
      </c>
      <c r="BA43" s="4">
        <f>COUNTIF($AX$2:$AX$662,AX43)</f>
        <v/>
      </c>
      <c r="BB43" s="4">
        <f>COUNTIF($AY$2:$AY$662,AY43)</f>
        <v/>
      </c>
      <c r="BC43" s="3">
        <f t="array" ref="BC43">IF(N(AO43)&gt;=MIN_N,AN43,IF(BB43&gt;=MIN_N,MEDIAN(IF($AY$2:$AY$662=AY43,$O$2:$O$662)),IF(BA43&gt;=MIN_N,MEDIAN(IF($AX$2:$AX$662=AX43,$O$2:$O$662)),MEDIAN(IF($AW$2:$AW$662=AW43,$O$2:$O$662)))))</f>
        <v/>
      </c>
      <c r="BD43" s="3">
        <f>IF(N(AO43)&gt;=MIN_N,"mercado "&amp;AP43,IF(BB43&gt;=MIN_N,"modelo+año+km",IF(BA43&gt;=MIN_N,"modelo+año","modelo")))</f>
        <v/>
      </c>
      <c r="BE43" s="4">
        <f>(BC43-O43)/BC43</f>
        <v/>
      </c>
      <c r="BF43" s="3">
        <f>IF(OR(K43="hibrido",K43="glp"),"ECO",IF(K43="electrico","CERO",IF(K43="gasolina",IF(M43&gt;=GAS_C,"C",IF(M43&gt;=GAS_B,"B","A")),IF(K43="diesel",IF(M43&gt;=DIE_C,"C",IF(M43&gt;=DIE_B,"B","A")),""))))</f>
        <v/>
      </c>
      <c r="BG43" s="3">
        <f>IFERROR(VLOOKUP(F43,MOD_TBL,11,0),IFERROR(VLOOKUP(E43,OCU_TBL,2,0),NEUTRO))</f>
        <v/>
      </c>
      <c r="BH43" s="3">
        <f>SUMIFS(MOT_AJUSTE,MOT_MOTOR,G43,MOT_MARCA,E43,MOT_DESDE,"&lt;="&amp;M43,MOT_HASTA,"&gt;="&amp;M43)+SUMIFS(MOT_AJUSTE,MOT_MOTOR,G43,MOT_MARCA,"(todas)",MOT_DESDE,"&lt;="&amp;M43,MOT_HASTA,"&gt;="&amp;M43)</f>
        <v/>
      </c>
      <c r="BI43" s="3">
        <f>SUMIFS(COMB_AJUSTE,COMB_COMB,K43)</f>
        <v/>
      </c>
      <c r="BJ43" s="3">
        <f>COUNTIFS(MOT_MOTOR,G43,MOT_MARCA,E43,MOT_DESDE,"&lt;="&amp;M43,MOT_HASTA,"&gt;="&amp;M43)+COUNTIFS(MOT_MOTOR,G43,MOT_MARCA,"(todas)",MOT_DESDE,"&lt;="&amp;M43,MOT_HASTA,"&gt;="&amp;M43)</f>
        <v/>
      </c>
      <c r="BK43" s="3">
        <f>IF(AND(K43="diesel",BJ43=0),MIN(BG43,NEUTRO),BG43)</f>
        <v/>
      </c>
      <c r="BL43" s="4">
        <f>MAX(0,MIN(100,BK43+BH43+BI43))</f>
        <v/>
      </c>
      <c r="BM43" s="3">
        <f>MAX(0,MIN(100,50+BE43*PRECIO_PEND))</f>
        <v/>
      </c>
      <c r="BN43" s="3">
        <f>MAX(0,100*(1-N43/KM_MAX))</f>
        <v/>
      </c>
      <c r="BO43" s="3">
        <f>IF(AV43&lt;KMA_SOSP,IF(AA43="sí",100,KMA_PEN),IF(AV43&lt;=KMA_IDEAL_MAX,100,MAX(0,100*(KMA_CERO-AV43)/(KMA_CERO-KMA_IDEAL_MAX))))</f>
        <v/>
      </c>
      <c r="BP43" s="3">
        <f>MAX(0,MIN(100,100*(M43-ANIO_MIN)/(ANIO_ACTUAL-ANIO_MIN)))</f>
        <v/>
      </c>
      <c r="BQ43" s="3">
        <f>W_KMT*BN43+W_KMA*BO43+W_EDAD*BP43</f>
        <v/>
      </c>
      <c r="BR43" s="3">
        <f>P_ITV*(V43="sí")+P_LIBRO*(W43="sí")+P_CORREA*(X43="sí")+P_PROP*(Y43=1)+P_GAR*(Z43="sí")+P_FOTOS*MIN(1,N(U43)/FOTOS_OBJ)</f>
        <v/>
      </c>
      <c r="BS43" s="3">
        <f>IFERROR(VLOOKUP(BF43,ETQ_TBL,2,0),NEUTRO)</f>
        <v/>
      </c>
      <c r="BT43" s="3">
        <f>NEUTRO</f>
        <v/>
      </c>
      <c r="BU43" s="3">
        <f>IFERROR(VLOOKUP(L43,SEGURO_TBL,3,0),"")</f>
        <v/>
      </c>
      <c r="BV43" s="3">
        <f>IF(BU43="",NEUTRO,MAX(0,MIN(100,100*(SEG_REF_MAX-BU43)/(SEG_REF_MAX-SEG_REF_MIN))))</f>
        <v/>
      </c>
      <c r="BW43" s="3">
        <f>W_ET*BS43+W_CONS*BT43+W_SEG*BV43</f>
        <v/>
      </c>
      <c r="BX43" s="3">
        <f>IF(N(AB43)&gt;0,AB43,IF(AND(R43="profesional",SG_LEGAL_ON=1),GAR_LEGAL,0))</f>
        <v/>
      </c>
      <c r="BY43" s="3">
        <f>SG_GAR*MIN(1,BX43/SG_GAR_FULL)+SG_AMPL*(AC43="sí")+SG_KMC*(AF43="sí")+SG_REV*(N(AE43)&gt;0)+SG_DEV*MIN(1,N(AG43)/SG_DEV_FULL)+SG_HIST*(W43="sí")</f>
        <v/>
      </c>
      <c r="BZ43" s="3">
        <f>IFERROR(VLOOKUP(L43,CARR_PEN_TBL,2,0),0)</f>
        <v/>
      </c>
      <c r="CA43" s="3">
        <f>W_FIAB*BL43+W_PRECIO*BM43+W_KMEDAD*BQ43+W_ANUNCIO*BR43+W_USO*BW43+W_SEGURIDAD*BY43-BZ43</f>
        <v/>
      </c>
      <c r="CB43" s="4">
        <f>IF(N(I43)&gt;0,I43,IFERROR(ROUND(_xlfn.NUMBERVALUE(LEFT(G43,FIND(" ",G43&amp;" ")-1),".")*1000,0),99999))</f>
        <v/>
      </c>
      <c r="CC43" s="3">
        <f>IF(R43="profesional",0,IF(O43&lt;CUOTA_VALOR_MAX,IF(AU43&gt;ITP_TRAMO_ALTO,SUMIFS(CF_CUOTA,CF_MAS,ITP_TRAMO_ALTO,CF_CCMIN,"&lt;="&amp;CB43,CF_CCMAX,"&gt;="&amp;CB43),IF(AU43&gt;ITP_TRAMO_BAJO,SUMIFS(CF_CUOTA,CF_MAS,ITP_TRAMO_BAJO,CF_CCMIN,"&lt;="&amp;CB43,CF_CCMAX,"&gt;="&amp;CB43),O43*ITP_TIPO)),O43*ITP_TIPO))</f>
        <v/>
      </c>
      <c r="CD43" s="4">
        <f>IF(R43="profesional",N(AK43),0)</f>
        <v/>
      </c>
      <c r="CE43" s="3">
        <f>IF(AND(R43="profesional",ISNUMBER(AK43),AL43="sí"),0,TASA_DGT)</f>
        <v/>
      </c>
      <c r="CF43" s="3">
        <f>INFORME_DGT</f>
        <v/>
      </c>
      <c r="CG43" s="4">
        <f>O43+CD43+CC43+CE43+CF43</f>
        <v/>
      </c>
      <c r="CH43" s="4">
        <f>CG43+N(BU43)</f>
        <v/>
      </c>
      <c r="CI43" s="3">
        <f>IF(CG43&lt;=TOTAL_MAX,"sí",IF(CG43&lt;=TOTAL_MAX+MARGEN_NEG,"negociar","no"))</f>
        <v/>
      </c>
      <c r="CJ43" s="4">
        <f>IF(CI43&lt;&gt;"no",COUNTIFS($CI$2:$CI$662,"&lt;&gt;no",$CA$2:$CA$662,"&gt;"&amp;CA43)+COUNTIFS($CI$2:CI43,"&lt;&gt;no",$CA$2:CA43,CA43),"")</f>
        <v/>
      </c>
    </row>
    <row r="44">
      <c r="A44" s="2" t="inlineStr">
        <is>
          <t>wallapop:1316237992</t>
        </is>
      </c>
      <c r="B44" s="2" t="inlineStr">
        <is>
          <t>wallapop</t>
        </is>
      </c>
      <c r="C44" s="2" t="inlineStr">
        <is>
          <t>https://es.wallapop.com/item/renault-megane-2009-1316237992</t>
        </is>
      </c>
      <c r="D44" s="2" t="inlineStr">
        <is>
          <t>Renault Megane 2009</t>
        </is>
      </c>
      <c r="E44" s="2" t="inlineStr">
        <is>
          <t>Renault</t>
        </is>
      </c>
      <c r="F44" s="2" t="inlineStr">
        <is>
          <t>Renault Mégane</t>
        </is>
      </c>
      <c r="G44" s="2" t="n"/>
      <c r="H44" s="2" t="n"/>
      <c r="I44" s="2" t="n"/>
      <c r="J44" s="2" t="n"/>
      <c r="K44" s="2" t="inlineStr">
        <is>
          <t>diesel</t>
        </is>
      </c>
      <c r="L44" s="2" t="inlineStr">
        <is>
          <t>compacto</t>
        </is>
      </c>
      <c r="M44" s="2" t="n">
        <v>2009</v>
      </c>
      <c r="N44" s="2" t="n">
        <v>206000</v>
      </c>
      <c r="O44" s="2" t="n">
        <v>2500</v>
      </c>
      <c r="P44" s="2" t="inlineStr">
        <is>
          <t>manual</t>
        </is>
      </c>
      <c r="Q44" s="2" t="inlineStr">
        <is>
          <t>no</t>
        </is>
      </c>
      <c r="R44" s="2" t="inlineStr">
        <is>
          <t>particular</t>
        </is>
      </c>
      <c r="S44" s="2" t="inlineStr">
        <is>
          <t>Valencia (46006)</t>
        </is>
      </c>
      <c r="T44" s="2" t="inlineStr">
        <is>
          <t>2026-10-23T08:58:02</t>
        </is>
      </c>
      <c r="U44" s="2" t="n">
        <v>3</v>
      </c>
      <c r="V44" s="2" t="inlineStr">
        <is>
          <t>no</t>
        </is>
      </c>
      <c r="W44" s="2" t="n"/>
      <c r="X44" s="2" t="n"/>
      <c r="Y44" s="2" t="n"/>
      <c r="Z44" s="2" t="n"/>
      <c r="AA44" s="2" t="n"/>
      <c r="AB44" s="2" t="n"/>
      <c r="AC44" s="2" t="n"/>
      <c r="AD44" s="2" t="n"/>
      <c r="AE44" s="2" t="n"/>
      <c r="AF44" s="2" t="n"/>
      <c r="AG44" s="2" t="n"/>
      <c r="AH44" s="2" t="n"/>
      <c r="AI44" s="2" t="n"/>
      <c r="AJ44" s="2" t="n"/>
      <c r="AK44" s="2" t="n"/>
      <c r="AL44" s="2" t="n"/>
      <c r="AM44" s="2" t="n">
        <v>1.8</v>
      </c>
      <c r="AN44" s="2" t="n">
        <v>2350</v>
      </c>
      <c r="AO44" s="2" t="n">
        <v>11</v>
      </c>
      <c r="AP44" s="2" t="inlineStr">
        <is>
          <t>modelo+año+km</t>
        </is>
      </c>
      <c r="AQ44" s="2" t="n"/>
      <c r="AR44" s="2" t="inlineStr">
        <is>
          <t>cilindrada desconocida: se aplica el tramo de cuota fija más alto; cuota fija ITP: &gt;12 años, más de 2.000 cc; diésel: motor sin fuente de fiabilidad (fiabilidad limitada a neutra)</t>
        </is>
      </c>
      <c r="AS44" s="2" t="inlineStr">
        <is>
          <t>Queda pendiente el cambio del retrovisor por el seguro 
Lo vendo urgentemente  tiene desgaste de pintura 
No tiene la ITV
Para mas información al 611561794</t>
        </is>
      </c>
      <c r="AT44" s="2" t="inlineStr">
        <is>
          <t>https://es.wallapop.com/item/renault-megane-2009-1316237992 (__NEXT_DATA__ item) /home/user/Alopecia/buscador-coches/raw/wallapop/3ba146450e2d08b1.json</t>
        </is>
      </c>
      <c r="AU44" s="3">
        <f>MAX(ANIO_ACTUAL-M44,0)</f>
        <v/>
      </c>
      <c r="AV44" s="4">
        <f>N44/MAX(AU44,0.5)</f>
        <v/>
      </c>
      <c r="AW44" s="4">
        <f>F44</f>
        <v/>
      </c>
      <c r="AX44" s="3">
        <f>AW44&amp;"|"&amp;INT(M44/SEG_ANIO)*SEG_ANIO</f>
        <v/>
      </c>
      <c r="AY44" s="3">
        <f>AX44&amp;"|"&amp;INT(N44/SEG_KM)*SEG_KM</f>
        <v/>
      </c>
      <c r="AZ44" s="4">
        <f>COUNTIF($AW$2:$AW$662,AW44)</f>
        <v/>
      </c>
      <c r="BA44" s="4">
        <f>COUNTIF($AX$2:$AX$662,AX44)</f>
        <v/>
      </c>
      <c r="BB44" s="4">
        <f>COUNTIF($AY$2:$AY$662,AY44)</f>
        <v/>
      </c>
      <c r="BC44" s="3">
        <f t="array" ref="BC44">IF(N(AO44)&gt;=MIN_N,AN44,IF(BB44&gt;=MIN_N,MEDIAN(IF($AY$2:$AY$662=AY44,$O$2:$O$662)),IF(BA44&gt;=MIN_N,MEDIAN(IF($AX$2:$AX$662=AX44,$O$2:$O$662)),MEDIAN(IF($AW$2:$AW$662=AW44,$O$2:$O$662)))))</f>
        <v/>
      </c>
      <c r="BD44" s="3">
        <f>IF(N(AO44)&gt;=MIN_N,"mercado "&amp;AP44,IF(BB44&gt;=MIN_N,"modelo+año+km",IF(BA44&gt;=MIN_N,"modelo+año","modelo")))</f>
        <v/>
      </c>
      <c r="BE44" s="4">
        <f>(BC44-O44)/BC44</f>
        <v/>
      </c>
      <c r="BF44" s="3">
        <f>IF(OR(K44="hibrido",K44="glp"),"ECO",IF(K44="electrico","CERO",IF(K44="gasolina",IF(M44&gt;=GAS_C,"C",IF(M44&gt;=GAS_B,"B","A")),IF(K44="diesel",IF(M44&gt;=DIE_C,"C",IF(M44&gt;=DIE_B,"B","A")),""))))</f>
        <v/>
      </c>
      <c r="BG44" s="3">
        <f>IFERROR(VLOOKUP(F44,MOD_TBL,11,0),IFERROR(VLOOKUP(E44,OCU_TBL,2,0),NEUTRO))</f>
        <v/>
      </c>
      <c r="BH44" s="3">
        <f>SUMIFS(MOT_AJUSTE,MOT_MOTOR,G44,MOT_MARCA,E44,MOT_DESDE,"&lt;="&amp;M44,MOT_HASTA,"&gt;="&amp;M44)+SUMIFS(MOT_AJUSTE,MOT_MOTOR,G44,MOT_MARCA,"(todas)",MOT_DESDE,"&lt;="&amp;M44,MOT_HASTA,"&gt;="&amp;M44)</f>
        <v/>
      </c>
      <c r="BI44" s="3">
        <f>SUMIFS(COMB_AJUSTE,COMB_COMB,K44)</f>
        <v/>
      </c>
      <c r="BJ44" s="3">
        <f>COUNTIFS(MOT_MOTOR,G44,MOT_MARCA,E44,MOT_DESDE,"&lt;="&amp;M44,MOT_HASTA,"&gt;="&amp;M44)+COUNTIFS(MOT_MOTOR,G44,MOT_MARCA,"(todas)",MOT_DESDE,"&lt;="&amp;M44,MOT_HASTA,"&gt;="&amp;M44)</f>
        <v/>
      </c>
      <c r="BK44" s="3">
        <f>IF(AND(K44="diesel",BJ44=0),MIN(BG44,NEUTRO),BG44)</f>
        <v/>
      </c>
      <c r="BL44" s="4">
        <f>MAX(0,MIN(100,BK44+BH44+BI44))</f>
        <v/>
      </c>
      <c r="BM44" s="3">
        <f>MAX(0,MIN(100,50+BE44*PRECIO_PEND))</f>
        <v/>
      </c>
      <c r="BN44" s="3">
        <f>MAX(0,100*(1-N44/KM_MAX))</f>
        <v/>
      </c>
      <c r="BO44" s="3">
        <f>IF(AV44&lt;KMA_SOSP,IF(AA44="sí",100,KMA_PEN),IF(AV44&lt;=KMA_IDEAL_MAX,100,MAX(0,100*(KMA_CERO-AV44)/(KMA_CERO-KMA_IDEAL_MAX))))</f>
        <v/>
      </c>
      <c r="BP44" s="3">
        <f>MAX(0,MIN(100,100*(M44-ANIO_MIN)/(ANIO_ACTUAL-ANIO_MIN)))</f>
        <v/>
      </c>
      <c r="BQ44" s="3">
        <f>W_KMT*BN44+W_KMA*BO44+W_EDAD*BP44</f>
        <v/>
      </c>
      <c r="BR44" s="3">
        <f>P_ITV*(V44="sí")+P_LIBRO*(W44="sí")+P_CORREA*(X44="sí")+P_PROP*(Y44=1)+P_GAR*(Z44="sí")+P_FOTOS*MIN(1,N(U44)/FOTOS_OBJ)</f>
        <v/>
      </c>
      <c r="BS44" s="3">
        <f>IFERROR(VLOOKUP(BF44,ETQ_TBL,2,0),NEUTRO)</f>
        <v/>
      </c>
      <c r="BT44" s="3">
        <f>NEUTRO</f>
        <v/>
      </c>
      <c r="BU44" s="3">
        <f>IFERROR(VLOOKUP(L44,SEGURO_TBL,3,0),"")</f>
        <v/>
      </c>
      <c r="BV44" s="3">
        <f>IF(BU44="",NEUTRO,MAX(0,MIN(100,100*(SEG_REF_MAX-BU44)/(SEG_REF_MAX-SEG_REF_MIN))))</f>
        <v/>
      </c>
      <c r="BW44" s="3">
        <f>W_ET*BS44+W_CONS*BT44+W_SEG*BV44</f>
        <v/>
      </c>
      <c r="BX44" s="3">
        <f>IF(N(AB44)&gt;0,AB44,IF(AND(R44="profesional",SG_LEGAL_ON=1),GAR_LEGAL,0))</f>
        <v/>
      </c>
      <c r="BY44" s="3">
        <f>SG_GAR*MIN(1,BX44/SG_GAR_FULL)+SG_AMPL*(AC44="sí")+SG_KMC*(AF44="sí")+SG_REV*(N(AE44)&gt;0)+SG_DEV*MIN(1,N(AG44)/SG_DEV_FULL)+SG_HIST*(W44="sí")</f>
        <v/>
      </c>
      <c r="BZ44" s="3">
        <f>IFERROR(VLOOKUP(L44,CARR_PEN_TBL,2,0),0)</f>
        <v/>
      </c>
      <c r="CA44" s="3">
        <f>W_FIAB*BL44+W_PRECIO*BM44+W_KMEDAD*BQ44+W_ANUNCIO*BR44+W_USO*BW44+W_SEGURIDAD*BY44-BZ44</f>
        <v/>
      </c>
      <c r="CB44" s="4">
        <f>IF(N(I44)&gt;0,I44,IFERROR(ROUND(_xlfn.NUMBERVALUE(LEFT(G44,FIND(" ",G44&amp;" ")-1),".")*1000,0),99999))</f>
        <v/>
      </c>
      <c r="CC44" s="3">
        <f>IF(R44="profesional",0,IF(O44&lt;CUOTA_VALOR_MAX,IF(AU44&gt;ITP_TRAMO_ALTO,SUMIFS(CF_CUOTA,CF_MAS,ITP_TRAMO_ALTO,CF_CCMIN,"&lt;="&amp;CB44,CF_CCMAX,"&gt;="&amp;CB44),IF(AU44&gt;ITP_TRAMO_BAJO,SUMIFS(CF_CUOTA,CF_MAS,ITP_TRAMO_BAJO,CF_CCMIN,"&lt;="&amp;CB44,CF_CCMAX,"&gt;="&amp;CB44),O44*ITP_TIPO)),O44*ITP_TIPO))</f>
        <v/>
      </c>
      <c r="CD44" s="4">
        <f>IF(R44="profesional",N(AK44),0)</f>
        <v/>
      </c>
      <c r="CE44" s="3">
        <f>IF(AND(R44="profesional",ISNUMBER(AK44),AL44="sí"),0,TASA_DGT)</f>
        <v/>
      </c>
      <c r="CF44" s="3">
        <f>INFORME_DGT</f>
        <v/>
      </c>
      <c r="CG44" s="4">
        <f>O44+CD44+CC44+CE44+CF44</f>
        <v/>
      </c>
      <c r="CH44" s="4">
        <f>CG44+N(BU44)</f>
        <v/>
      </c>
      <c r="CI44" s="3">
        <f>IF(CG44&lt;=TOTAL_MAX,"sí",IF(CG44&lt;=TOTAL_MAX+MARGEN_NEG,"negociar","no"))</f>
        <v/>
      </c>
      <c r="CJ44" s="4">
        <f>IF(CI44&lt;&gt;"no",COUNTIFS($CI$2:$CI$662,"&lt;&gt;no",$CA$2:$CA$662,"&gt;"&amp;CA44)+COUNTIFS($CI$2:CI44,"&lt;&gt;no",$CA$2:CA44,CA44),"")</f>
        <v/>
      </c>
    </row>
    <row r="45">
      <c r="A45" s="2" t="inlineStr">
        <is>
          <t>wallapop:1311131743</t>
        </is>
      </c>
      <c r="B45" s="2" t="inlineStr">
        <is>
          <t>wallapop</t>
        </is>
      </c>
      <c r="C45" s="2" t="inlineStr">
        <is>
          <t>https://es.wallapop.com/item/renault-twingo-2009-1311131743</t>
        </is>
      </c>
      <c r="D45" s="2" t="inlineStr">
        <is>
          <t>Renault Twingo 2009</t>
        </is>
      </c>
      <c r="E45" s="2" t="inlineStr">
        <is>
          <t>Renault</t>
        </is>
      </c>
      <c r="F45" s="2" t="inlineStr">
        <is>
          <t>Renault Twingo</t>
        </is>
      </c>
      <c r="G45" s="2" t="inlineStr">
        <is>
          <t>1.2</t>
        </is>
      </c>
      <c r="H45" s="2" t="inlineStr">
        <is>
          <t>1.2 16v 75 eco2 dynamique 3p quickshift</t>
        </is>
      </c>
      <c r="I45" s="2" t="n"/>
      <c r="J45" s="2" t="n">
        <v>75</v>
      </c>
      <c r="K45" s="2" t="inlineStr">
        <is>
          <t>gasolina</t>
        </is>
      </c>
      <c r="L45" s="2" t="inlineStr">
        <is>
          <t>utilitario</t>
        </is>
      </c>
      <c r="M45" s="2" t="n">
        <v>2009</v>
      </c>
      <c r="N45" s="2" t="n">
        <v>85000</v>
      </c>
      <c r="O45" s="2" t="n">
        <v>4500</v>
      </c>
      <c r="P45" s="2" t="inlineStr">
        <is>
          <t>automatico</t>
        </is>
      </c>
      <c r="Q45" s="2" t="inlineStr">
        <is>
          <t>sí</t>
        </is>
      </c>
      <c r="R45" s="2" t="inlineStr">
        <is>
          <t>particular</t>
        </is>
      </c>
      <c r="S45" s="2" t="inlineStr">
        <is>
          <t>Valencia (46003)</t>
        </is>
      </c>
      <c r="T45" s="2" t="inlineStr">
        <is>
          <t>2026-10-09T21:15:55</t>
        </is>
      </c>
      <c r="U45" s="2" t="n">
        <v>9</v>
      </c>
      <c r="V45" s="2" t="n"/>
      <c r="W45" s="2" t="n"/>
      <c r="X45" s="2" t="n"/>
      <c r="Y45" s="2" t="n"/>
      <c r="Z45" s="2" t="n"/>
      <c r="AA45" s="2" t="n"/>
      <c r="AB45" s="2" t="n"/>
      <c r="AC45" s="2" t="n"/>
      <c r="AD45" s="2" t="n"/>
      <c r="AE45" s="2" t="n"/>
      <c r="AF45" s="2" t="n"/>
      <c r="AG45" s="2" t="n"/>
      <c r="AH45" s="2" t="n"/>
      <c r="AI45" s="2" t="n"/>
      <c r="AJ45" s="2" t="n"/>
      <c r="AK45" s="2" t="n"/>
      <c r="AL45" s="2" t="n"/>
      <c r="AM45" s="2" t="n">
        <v>1.6</v>
      </c>
      <c r="AN45" s="2" t="n"/>
      <c r="AO45" s="2" t="n"/>
      <c r="AP45" s="2" t="n"/>
      <c r="AQ45" s="2" t="n"/>
      <c r="AR45" s="2" t="inlineStr">
        <is>
          <t>cuota fija ITP: &gt;12 años, hasta 1.500 cc; fiabilidad del modelo PENDIENTE de fuente (puntuación neutra); mediana con solo 3 anuncio(s)</t>
        </is>
      </c>
      <c r="AS45" s="2" t="inlineStr">
        <is>
          <t xml:space="preserve">Se vende recién revisado </t>
        </is>
      </c>
      <c r="AT45" s="2" t="inlineStr">
        <is>
          <t>https://es.wallapop.com/item/renault-twingo-2009-1311131743 (__NEXT_DATA__ item) /home/user/Alopecia/buscador-coches/raw/wallapop/0cb3d92209fa0e19.json</t>
        </is>
      </c>
      <c r="AU45" s="3">
        <f>MAX(ANIO_ACTUAL-M45,0)</f>
        <v/>
      </c>
      <c r="AV45" s="4">
        <f>N45/MAX(AU45,0.5)</f>
        <v/>
      </c>
      <c r="AW45" s="4">
        <f>F45</f>
        <v/>
      </c>
      <c r="AX45" s="3">
        <f>AW45&amp;"|"&amp;INT(M45/SEG_ANIO)*SEG_ANIO</f>
        <v/>
      </c>
      <c r="AY45" s="3">
        <f>AX45&amp;"|"&amp;INT(N45/SEG_KM)*SEG_KM</f>
        <v/>
      </c>
      <c r="AZ45" s="4">
        <f>COUNTIF($AW$2:$AW$662,AW45)</f>
        <v/>
      </c>
      <c r="BA45" s="4">
        <f>COUNTIF($AX$2:$AX$662,AX45)</f>
        <v/>
      </c>
      <c r="BB45" s="4">
        <f>COUNTIF($AY$2:$AY$662,AY45)</f>
        <v/>
      </c>
      <c r="BC45" s="3">
        <f t="array" ref="BC45">IF(N(AO45)&gt;=MIN_N,AN45,IF(BB45&gt;=MIN_N,MEDIAN(IF($AY$2:$AY$662=AY45,$O$2:$O$662)),IF(BA45&gt;=MIN_N,MEDIAN(IF($AX$2:$AX$662=AX45,$O$2:$O$662)),MEDIAN(IF($AW$2:$AW$662=AW45,$O$2:$O$662)))))</f>
        <v/>
      </c>
      <c r="BD45" s="3">
        <f>IF(N(AO45)&gt;=MIN_N,"mercado "&amp;AP45,IF(BB45&gt;=MIN_N,"modelo+año+km",IF(BA45&gt;=MIN_N,"modelo+año","modelo")))</f>
        <v/>
      </c>
      <c r="BE45" s="4">
        <f>(BC45-O45)/BC45</f>
        <v/>
      </c>
      <c r="BF45" s="3">
        <f>IF(OR(K45="hibrido",K45="glp"),"ECO",IF(K45="electrico","CERO",IF(K45="gasolina",IF(M45&gt;=GAS_C,"C",IF(M45&gt;=GAS_B,"B","A")),IF(K45="diesel",IF(M45&gt;=DIE_C,"C",IF(M45&gt;=DIE_B,"B","A")),""))))</f>
        <v/>
      </c>
      <c r="BG45" s="3">
        <f>IFERROR(VLOOKUP(F45,MOD_TBL,11,0),IFERROR(VLOOKUP(E45,OCU_TBL,2,0),NEUTRO))</f>
        <v/>
      </c>
      <c r="BH45" s="3">
        <f>SUMIFS(MOT_AJUSTE,MOT_MOTOR,G45,MOT_MARCA,E45,MOT_DESDE,"&lt;="&amp;M45,MOT_HASTA,"&gt;="&amp;M45)+SUMIFS(MOT_AJUSTE,MOT_MOTOR,G45,MOT_MARCA,"(todas)",MOT_DESDE,"&lt;="&amp;M45,MOT_HASTA,"&gt;="&amp;M45)</f>
        <v/>
      </c>
      <c r="BI45" s="3">
        <f>SUMIFS(COMB_AJUSTE,COMB_COMB,K45)</f>
        <v/>
      </c>
      <c r="BJ45" s="3">
        <f>COUNTIFS(MOT_MOTOR,G45,MOT_MARCA,E45,MOT_DESDE,"&lt;="&amp;M45,MOT_HASTA,"&gt;="&amp;M45)+COUNTIFS(MOT_MOTOR,G45,MOT_MARCA,"(todas)",MOT_DESDE,"&lt;="&amp;M45,MOT_HASTA,"&gt;="&amp;M45)</f>
        <v/>
      </c>
      <c r="BK45" s="3">
        <f>IF(AND(K45="diesel",BJ45=0),MIN(BG45,NEUTRO),BG45)</f>
        <v/>
      </c>
      <c r="BL45" s="4">
        <f>MAX(0,MIN(100,BK45+BH45+BI45))</f>
        <v/>
      </c>
      <c r="BM45" s="3">
        <f>MAX(0,MIN(100,50+BE45*PRECIO_PEND))</f>
        <v/>
      </c>
      <c r="BN45" s="3">
        <f>MAX(0,100*(1-N45/KM_MAX))</f>
        <v/>
      </c>
      <c r="BO45" s="3">
        <f>IF(AV45&lt;KMA_SOSP,IF(AA45="sí",100,KMA_PEN),IF(AV45&lt;=KMA_IDEAL_MAX,100,MAX(0,100*(KMA_CERO-AV45)/(KMA_CERO-KMA_IDEAL_MAX))))</f>
        <v/>
      </c>
      <c r="BP45" s="3">
        <f>MAX(0,MIN(100,100*(M45-ANIO_MIN)/(ANIO_ACTUAL-ANIO_MIN)))</f>
        <v/>
      </c>
      <c r="BQ45" s="3">
        <f>W_KMT*BN45+W_KMA*BO45+W_EDAD*BP45</f>
        <v/>
      </c>
      <c r="BR45" s="3">
        <f>P_ITV*(V45="sí")+P_LIBRO*(W45="sí")+P_CORREA*(X45="sí")+P_PROP*(Y45=1)+P_GAR*(Z45="sí")+P_FOTOS*MIN(1,N(U45)/FOTOS_OBJ)</f>
        <v/>
      </c>
      <c r="BS45" s="3">
        <f>IFERROR(VLOOKUP(BF45,ETQ_TBL,2,0),NEUTRO)</f>
        <v/>
      </c>
      <c r="BT45" s="3">
        <f>NEUTRO</f>
        <v/>
      </c>
      <c r="BU45" s="3">
        <f>IFERROR(VLOOKUP(L45,SEGURO_TBL,3,0),"")</f>
        <v/>
      </c>
      <c r="BV45" s="3">
        <f>IF(BU45="",NEUTRO,MAX(0,MIN(100,100*(SEG_REF_MAX-BU45)/(SEG_REF_MAX-SEG_REF_MIN))))</f>
        <v/>
      </c>
      <c r="BW45" s="3">
        <f>W_ET*BS45+W_CONS*BT45+W_SEG*BV45</f>
        <v/>
      </c>
      <c r="BX45" s="3">
        <f>IF(N(AB45)&gt;0,AB45,IF(AND(R45="profesional",SG_LEGAL_ON=1),GAR_LEGAL,0))</f>
        <v/>
      </c>
      <c r="BY45" s="3">
        <f>SG_GAR*MIN(1,BX45/SG_GAR_FULL)+SG_AMPL*(AC45="sí")+SG_KMC*(AF45="sí")+SG_REV*(N(AE45)&gt;0)+SG_DEV*MIN(1,N(AG45)/SG_DEV_FULL)+SG_HIST*(W45="sí")</f>
        <v/>
      </c>
      <c r="BZ45" s="3">
        <f>IFERROR(VLOOKUP(L45,CARR_PEN_TBL,2,0),0)</f>
        <v/>
      </c>
      <c r="CA45" s="3">
        <f>W_FIAB*BL45+W_PRECIO*BM45+W_KMEDAD*BQ45+W_ANUNCIO*BR45+W_USO*BW45+W_SEGURIDAD*BY45-BZ45</f>
        <v/>
      </c>
      <c r="CB45" s="4">
        <f>IF(N(I45)&gt;0,I45,IFERROR(ROUND(_xlfn.NUMBERVALUE(LEFT(G45,FIND(" ",G45&amp;" ")-1),".")*1000,0),99999))</f>
        <v/>
      </c>
      <c r="CC45" s="3">
        <f>IF(R45="profesional",0,IF(O45&lt;CUOTA_VALOR_MAX,IF(AU45&gt;ITP_TRAMO_ALTO,SUMIFS(CF_CUOTA,CF_MAS,ITP_TRAMO_ALTO,CF_CCMIN,"&lt;="&amp;CB45,CF_CCMAX,"&gt;="&amp;CB45),IF(AU45&gt;ITP_TRAMO_BAJO,SUMIFS(CF_CUOTA,CF_MAS,ITP_TRAMO_BAJO,CF_CCMIN,"&lt;="&amp;CB45,CF_CCMAX,"&gt;="&amp;CB45),O45*ITP_TIPO)),O45*ITP_TIPO))</f>
        <v/>
      </c>
      <c r="CD45" s="4">
        <f>IF(R45="profesional",N(AK45),0)</f>
        <v/>
      </c>
      <c r="CE45" s="3">
        <f>IF(AND(R45="profesional",ISNUMBER(AK45),AL45="sí"),0,TASA_DGT)</f>
        <v/>
      </c>
      <c r="CF45" s="3">
        <f>INFORME_DGT</f>
        <v/>
      </c>
      <c r="CG45" s="4">
        <f>O45+CD45+CC45+CE45+CF45</f>
        <v/>
      </c>
      <c r="CH45" s="4">
        <f>CG45+N(BU45)</f>
        <v/>
      </c>
      <c r="CI45" s="3">
        <f>IF(CG45&lt;=TOTAL_MAX,"sí",IF(CG45&lt;=TOTAL_MAX+MARGEN_NEG,"negociar","no"))</f>
        <v/>
      </c>
      <c r="CJ45" s="4">
        <f>IF(CI45&lt;&gt;"no",COUNTIFS($CI$2:$CI$662,"&lt;&gt;no",$CA$2:$CA$662,"&gt;"&amp;CA45)+COUNTIFS($CI$2:CI45,"&lt;&gt;no",$CA$2:CA45,CA45),"")</f>
        <v/>
      </c>
    </row>
    <row r="46">
      <c r="A46" s="2" t="inlineStr">
        <is>
          <t>wallapop:1310485042</t>
        </is>
      </c>
      <c r="B46" s="2" t="inlineStr">
        <is>
          <t>wallapop</t>
        </is>
      </c>
      <c r="C46" s="2" t="inlineStr">
        <is>
          <t>https://es.wallapop.com/item/dacia-sandero-2009-1310485042</t>
        </is>
      </c>
      <c r="D46" s="2" t="inlineStr">
        <is>
          <t>Dacia Sandero 2009</t>
        </is>
      </c>
      <c r="E46" s="2" t="inlineStr">
        <is>
          <t>Dacia</t>
        </is>
      </c>
      <c r="F46" s="2" t="inlineStr">
        <is>
          <t>Dacia Sandero</t>
        </is>
      </c>
      <c r="G46" s="2" t="inlineStr">
        <is>
          <t>1.4</t>
        </is>
      </c>
      <c r="H46" s="2" t="inlineStr">
        <is>
          <t>1.4 75 Base 5p</t>
        </is>
      </c>
      <c r="I46" s="2" t="n"/>
      <c r="J46" s="2" t="n">
        <v>75</v>
      </c>
      <c r="K46" s="2" t="inlineStr">
        <is>
          <t>gasolina</t>
        </is>
      </c>
      <c r="L46" s="2" t="inlineStr">
        <is>
          <t>utilitario</t>
        </is>
      </c>
      <c r="M46" s="2" t="n">
        <v>2009</v>
      </c>
      <c r="N46" s="2" t="n">
        <v>183000</v>
      </c>
      <c r="O46" s="2" t="n">
        <v>3800</v>
      </c>
      <c r="P46" s="2" t="inlineStr">
        <is>
          <t>manual</t>
        </is>
      </c>
      <c r="Q46" s="2" t="inlineStr">
        <is>
          <t>no</t>
        </is>
      </c>
      <c r="R46" s="2" t="inlineStr">
        <is>
          <t>particular</t>
        </is>
      </c>
      <c r="S46" s="2" t="inlineStr">
        <is>
          <t>Valencia (46014)</t>
        </is>
      </c>
      <c r="T46" s="2" t="inlineStr">
        <is>
          <t>2026-10-07T18:41:29</t>
        </is>
      </c>
      <c r="U46" s="2" t="n">
        <v>10</v>
      </c>
      <c r="V46" s="2" t="n"/>
      <c r="W46" s="2" t="n"/>
      <c r="X46" s="2" t="n"/>
      <c r="Y46" s="2" t="n"/>
      <c r="Z46" s="2" t="n"/>
      <c r="AA46" s="2" t="n"/>
      <c r="AB46" s="2" t="n"/>
      <c r="AC46" s="2" t="n"/>
      <c r="AD46" s="2" t="n"/>
      <c r="AE46" s="2" t="n"/>
      <c r="AF46" s="2" t="n"/>
      <c r="AG46" s="2" t="n"/>
      <c r="AH46" s="2" t="n"/>
      <c r="AI46" s="2" t="n"/>
      <c r="AJ46" s="2" t="n"/>
      <c r="AK46" s="2" t="n"/>
      <c r="AL46" s="2" t="n"/>
      <c r="AM46" s="2" t="n">
        <v>2.8</v>
      </c>
      <c r="AN46" s="2" t="n">
        <v>3225</v>
      </c>
      <c r="AO46" s="2" t="n">
        <v>4</v>
      </c>
      <c r="AP46" s="2" t="inlineStr">
        <is>
          <t>modelo+año+km</t>
        </is>
      </c>
      <c r="AQ46" s="2" t="n"/>
      <c r="AR46" s="2" t="inlineStr">
        <is>
          <t>cuota fija ITP: &gt;12 años, hasta 1.500 cc</t>
        </is>
      </c>
      <c r="AS46" s="2" t="inlineStr">
        <is>
          <t xml:space="preserve">Dacia sandero en muy buen estado se le cambio correa de distribución y bomba de agua embrague en buen estado aire funcionando la itv la tiene para marzo del próximo año coche en muy buena condiciones listo para usar discos y pastillas delanteras cambiadas </t>
        </is>
      </c>
      <c r="AT46" s="2" t="inlineStr">
        <is>
          <t>https://es.wallapop.com/item/dacia-sandero-2009-1310485042 (__NEXT_DATA__ item) /home/user/Alopecia/buscador-coches/raw/wallapop/33f6bc963392d242.json</t>
        </is>
      </c>
      <c r="AU46" s="3">
        <f>MAX(ANIO_ACTUAL-M46,0)</f>
        <v/>
      </c>
      <c r="AV46" s="4">
        <f>N46/MAX(AU46,0.5)</f>
        <v/>
      </c>
      <c r="AW46" s="4">
        <f>F46</f>
        <v/>
      </c>
      <c r="AX46" s="3">
        <f>AW46&amp;"|"&amp;INT(M46/SEG_ANIO)*SEG_ANIO</f>
        <v/>
      </c>
      <c r="AY46" s="3">
        <f>AX46&amp;"|"&amp;INT(N46/SEG_KM)*SEG_KM</f>
        <v/>
      </c>
      <c r="AZ46" s="4">
        <f>COUNTIF($AW$2:$AW$662,AW46)</f>
        <v/>
      </c>
      <c r="BA46" s="4">
        <f>COUNTIF($AX$2:$AX$662,AX46)</f>
        <v/>
      </c>
      <c r="BB46" s="4">
        <f>COUNTIF($AY$2:$AY$662,AY46)</f>
        <v/>
      </c>
      <c r="BC46" s="3">
        <f t="array" ref="BC46">IF(N(AO46)&gt;=MIN_N,AN46,IF(BB46&gt;=MIN_N,MEDIAN(IF($AY$2:$AY$662=AY46,$O$2:$O$662)),IF(BA46&gt;=MIN_N,MEDIAN(IF($AX$2:$AX$662=AX46,$O$2:$O$662)),MEDIAN(IF($AW$2:$AW$662=AW46,$O$2:$O$662)))))</f>
        <v/>
      </c>
      <c r="BD46" s="3">
        <f>IF(N(AO46)&gt;=MIN_N,"mercado "&amp;AP46,IF(BB46&gt;=MIN_N,"modelo+año+km",IF(BA46&gt;=MIN_N,"modelo+año","modelo")))</f>
        <v/>
      </c>
      <c r="BE46" s="4">
        <f>(BC46-O46)/BC46</f>
        <v/>
      </c>
      <c r="BF46" s="3">
        <f>IF(OR(K46="hibrido",K46="glp"),"ECO",IF(K46="electrico","CERO",IF(K46="gasolina",IF(M46&gt;=GAS_C,"C",IF(M46&gt;=GAS_B,"B","A")),IF(K46="diesel",IF(M46&gt;=DIE_C,"C",IF(M46&gt;=DIE_B,"B","A")),""))))</f>
        <v/>
      </c>
      <c r="BG46" s="3">
        <f>IFERROR(VLOOKUP(F46,MOD_TBL,11,0),IFERROR(VLOOKUP(E46,OCU_TBL,2,0),NEUTRO))</f>
        <v/>
      </c>
      <c r="BH46" s="3">
        <f>SUMIFS(MOT_AJUSTE,MOT_MOTOR,G46,MOT_MARCA,E46,MOT_DESDE,"&lt;="&amp;M46,MOT_HASTA,"&gt;="&amp;M46)+SUMIFS(MOT_AJUSTE,MOT_MOTOR,G46,MOT_MARCA,"(todas)",MOT_DESDE,"&lt;="&amp;M46,MOT_HASTA,"&gt;="&amp;M46)</f>
        <v/>
      </c>
      <c r="BI46" s="3">
        <f>SUMIFS(COMB_AJUSTE,COMB_COMB,K46)</f>
        <v/>
      </c>
      <c r="BJ46" s="3">
        <f>COUNTIFS(MOT_MOTOR,G46,MOT_MARCA,E46,MOT_DESDE,"&lt;="&amp;M46,MOT_HASTA,"&gt;="&amp;M46)+COUNTIFS(MOT_MOTOR,G46,MOT_MARCA,"(todas)",MOT_DESDE,"&lt;="&amp;M46,MOT_HASTA,"&gt;="&amp;M46)</f>
        <v/>
      </c>
      <c r="BK46" s="3">
        <f>IF(AND(K46="diesel",BJ46=0),MIN(BG46,NEUTRO),BG46)</f>
        <v/>
      </c>
      <c r="BL46" s="4">
        <f>MAX(0,MIN(100,BK46+BH46+BI46))</f>
        <v/>
      </c>
      <c r="BM46" s="3">
        <f>MAX(0,MIN(100,50+BE46*PRECIO_PEND))</f>
        <v/>
      </c>
      <c r="BN46" s="3">
        <f>MAX(0,100*(1-N46/KM_MAX))</f>
        <v/>
      </c>
      <c r="BO46" s="3">
        <f>IF(AV46&lt;KMA_SOSP,IF(AA46="sí",100,KMA_PEN),IF(AV46&lt;=KMA_IDEAL_MAX,100,MAX(0,100*(KMA_CERO-AV46)/(KMA_CERO-KMA_IDEAL_MAX))))</f>
        <v/>
      </c>
      <c r="BP46" s="3">
        <f>MAX(0,MIN(100,100*(M46-ANIO_MIN)/(ANIO_ACTUAL-ANIO_MIN)))</f>
        <v/>
      </c>
      <c r="BQ46" s="3">
        <f>W_KMT*BN46+W_KMA*BO46+W_EDAD*BP46</f>
        <v/>
      </c>
      <c r="BR46" s="3">
        <f>P_ITV*(V46="sí")+P_LIBRO*(W46="sí")+P_CORREA*(X46="sí")+P_PROP*(Y46=1)+P_GAR*(Z46="sí")+P_FOTOS*MIN(1,N(U46)/FOTOS_OBJ)</f>
        <v/>
      </c>
      <c r="BS46" s="3">
        <f>IFERROR(VLOOKUP(BF46,ETQ_TBL,2,0),NEUTRO)</f>
        <v/>
      </c>
      <c r="BT46" s="3">
        <f>NEUTRO</f>
        <v/>
      </c>
      <c r="BU46" s="3">
        <f>IFERROR(VLOOKUP(L46,SEGURO_TBL,3,0),"")</f>
        <v/>
      </c>
      <c r="BV46" s="3">
        <f>IF(BU46="",NEUTRO,MAX(0,MIN(100,100*(SEG_REF_MAX-BU46)/(SEG_REF_MAX-SEG_REF_MIN))))</f>
        <v/>
      </c>
      <c r="BW46" s="3">
        <f>W_ET*BS46+W_CONS*BT46+W_SEG*BV46</f>
        <v/>
      </c>
      <c r="BX46" s="3">
        <f>IF(N(AB46)&gt;0,AB46,IF(AND(R46="profesional",SG_LEGAL_ON=1),GAR_LEGAL,0))</f>
        <v/>
      </c>
      <c r="BY46" s="3">
        <f>SG_GAR*MIN(1,BX46/SG_GAR_FULL)+SG_AMPL*(AC46="sí")+SG_KMC*(AF46="sí")+SG_REV*(N(AE46)&gt;0)+SG_DEV*MIN(1,N(AG46)/SG_DEV_FULL)+SG_HIST*(W46="sí")</f>
        <v/>
      </c>
      <c r="BZ46" s="3">
        <f>IFERROR(VLOOKUP(L46,CARR_PEN_TBL,2,0),0)</f>
        <v/>
      </c>
      <c r="CA46" s="3">
        <f>W_FIAB*BL46+W_PRECIO*BM46+W_KMEDAD*BQ46+W_ANUNCIO*BR46+W_USO*BW46+W_SEGURIDAD*BY46-BZ46</f>
        <v/>
      </c>
      <c r="CB46" s="4">
        <f>IF(N(I46)&gt;0,I46,IFERROR(ROUND(_xlfn.NUMBERVALUE(LEFT(G46,FIND(" ",G46&amp;" ")-1),".")*1000,0),99999))</f>
        <v/>
      </c>
      <c r="CC46" s="3">
        <f>IF(R46="profesional",0,IF(O46&lt;CUOTA_VALOR_MAX,IF(AU46&gt;ITP_TRAMO_ALTO,SUMIFS(CF_CUOTA,CF_MAS,ITP_TRAMO_ALTO,CF_CCMIN,"&lt;="&amp;CB46,CF_CCMAX,"&gt;="&amp;CB46),IF(AU46&gt;ITP_TRAMO_BAJO,SUMIFS(CF_CUOTA,CF_MAS,ITP_TRAMO_BAJO,CF_CCMIN,"&lt;="&amp;CB46,CF_CCMAX,"&gt;="&amp;CB46),O46*ITP_TIPO)),O46*ITP_TIPO))</f>
        <v/>
      </c>
      <c r="CD46" s="4">
        <f>IF(R46="profesional",N(AK46),0)</f>
        <v/>
      </c>
      <c r="CE46" s="3">
        <f>IF(AND(R46="profesional",ISNUMBER(AK46),AL46="sí"),0,TASA_DGT)</f>
        <v/>
      </c>
      <c r="CF46" s="3">
        <f>INFORME_DGT</f>
        <v/>
      </c>
      <c r="CG46" s="4">
        <f>O46+CD46+CC46+CE46+CF46</f>
        <v/>
      </c>
      <c r="CH46" s="4">
        <f>CG46+N(BU46)</f>
        <v/>
      </c>
      <c r="CI46" s="3">
        <f>IF(CG46&lt;=TOTAL_MAX,"sí",IF(CG46&lt;=TOTAL_MAX+MARGEN_NEG,"negociar","no"))</f>
        <v/>
      </c>
      <c r="CJ46" s="4">
        <f>IF(CI46&lt;&gt;"no",COUNTIFS($CI$2:$CI$662,"&lt;&gt;no",$CA$2:$CA$662,"&gt;"&amp;CA46)+COUNTIFS($CI$2:CI46,"&lt;&gt;no",$CA$2:CA46,CA46),"")</f>
        <v/>
      </c>
    </row>
    <row r="47">
      <c r="A47" s="2" t="inlineStr">
        <is>
          <t>wallapop:1285784488</t>
        </is>
      </c>
      <c r="B47" s="2" t="inlineStr">
        <is>
          <t>wallapop</t>
        </is>
      </c>
      <c r="C47" s="2" t="inlineStr">
        <is>
          <t>https://es.wallapop.com/item/dacia-logan-2015-1285784488</t>
        </is>
      </c>
      <c r="D47" s="2" t="inlineStr">
        <is>
          <t>Dacia Logan 2015</t>
        </is>
      </c>
      <c r="E47" s="2" t="inlineStr">
        <is>
          <t>Dacia</t>
        </is>
      </c>
      <c r="F47" s="2" t="inlineStr">
        <is>
          <t>Dacia Logan</t>
        </is>
      </c>
      <c r="G47" s="2" t="inlineStr">
        <is>
          <t>1.5 dCi</t>
        </is>
      </c>
      <c r="H47" s="2" t="inlineStr">
        <is>
          <t>1.5 dCi 90 Laureate 4p</t>
        </is>
      </c>
      <c r="I47" s="2" t="n"/>
      <c r="J47" s="2" t="n">
        <v>90</v>
      </c>
      <c r="K47" s="2" t="inlineStr">
        <is>
          <t>diesel</t>
        </is>
      </c>
      <c r="L47" s="2" t="inlineStr">
        <is>
          <t>berlina</t>
        </is>
      </c>
      <c r="M47" s="2" t="n">
        <v>2015</v>
      </c>
      <c r="N47" s="2" t="n">
        <v>183000</v>
      </c>
      <c r="O47" s="2" t="n">
        <v>3900</v>
      </c>
      <c r="P47" s="2" t="inlineStr">
        <is>
          <t>manual</t>
        </is>
      </c>
      <c r="Q47" s="2" t="inlineStr">
        <is>
          <t>no</t>
        </is>
      </c>
      <c r="R47" s="2" t="inlineStr">
        <is>
          <t>particular</t>
        </is>
      </c>
      <c r="S47" s="2" t="inlineStr">
        <is>
          <t>Valencia (46002)</t>
        </is>
      </c>
      <c r="T47" s="2" t="inlineStr">
        <is>
          <t>2026-09-26T13:05:59</t>
        </is>
      </c>
      <c r="U47" s="2" t="n">
        <v>9</v>
      </c>
      <c r="V47" s="2" t="n"/>
      <c r="W47" s="2" t="n"/>
      <c r="X47" s="2" t="n"/>
      <c r="Y47" s="2" t="n"/>
      <c r="Z47" s="2" t="n"/>
      <c r="AA47" s="2" t="n"/>
      <c r="AB47" s="2" t="n"/>
      <c r="AC47" s="2" t="n"/>
      <c r="AD47" s="2" t="n"/>
      <c r="AE47" s="2" t="n"/>
      <c r="AF47" s="2" t="n"/>
      <c r="AG47" s="2" t="n"/>
      <c r="AH47" s="2" t="n"/>
      <c r="AI47" s="2" t="n"/>
      <c r="AJ47" s="2" t="n"/>
      <c r="AK47" s="2" t="n"/>
      <c r="AL47" s="2" t="n"/>
      <c r="AM47" s="2" t="n">
        <v>0.9</v>
      </c>
      <c r="AN47" s="2" t="n"/>
      <c r="AO47" s="2" t="n"/>
      <c r="AP47" s="2" t="n"/>
      <c r="AQ47" s="2" t="n"/>
      <c r="AR47" s="2" t="inlineStr">
        <is>
          <t>cuota fija ITP: &gt;5 y &lt;=12 años, hasta 1.500 cc; carrocería berlina: -4 puntos</t>
        </is>
      </c>
      <c r="AS47" s="2" t="inlineStr">
        <is>
          <t>Se vende dacia logan en buen estado</t>
        </is>
      </c>
      <c r="AT47" s="2" t="inlineStr">
        <is>
          <t>https://es.wallapop.com/item/dacia-logan-2015-1285784488 (__NEXT_DATA__ item) /home/user/Alopecia/buscador-coches/raw/wallapop/4811da9a3ddf9dd4.json</t>
        </is>
      </c>
      <c r="AU47" s="3">
        <f>MAX(ANIO_ACTUAL-M47,0)</f>
        <v/>
      </c>
      <c r="AV47" s="4">
        <f>N47/MAX(AU47,0.5)</f>
        <v/>
      </c>
      <c r="AW47" s="4">
        <f>F47</f>
        <v/>
      </c>
      <c r="AX47" s="3">
        <f>AW47&amp;"|"&amp;INT(M47/SEG_ANIO)*SEG_ANIO</f>
        <v/>
      </c>
      <c r="AY47" s="3">
        <f>AX47&amp;"|"&amp;INT(N47/SEG_KM)*SEG_KM</f>
        <v/>
      </c>
      <c r="AZ47" s="4">
        <f>COUNTIF($AW$2:$AW$662,AW47)</f>
        <v/>
      </c>
      <c r="BA47" s="4">
        <f>COUNTIF($AX$2:$AX$662,AX47)</f>
        <v/>
      </c>
      <c r="BB47" s="4">
        <f>COUNTIF($AY$2:$AY$662,AY47)</f>
        <v/>
      </c>
      <c r="BC47" s="3">
        <f t="array" ref="BC47">IF(N(AO47)&gt;=MIN_N,AN47,IF(BB47&gt;=MIN_N,MEDIAN(IF($AY$2:$AY$662=AY47,$O$2:$O$662)),IF(BA47&gt;=MIN_N,MEDIAN(IF($AX$2:$AX$662=AX47,$O$2:$O$662)),MEDIAN(IF($AW$2:$AW$662=AW47,$O$2:$O$662)))))</f>
        <v/>
      </c>
      <c r="BD47" s="3">
        <f>IF(N(AO47)&gt;=MIN_N,"mercado "&amp;AP47,IF(BB47&gt;=MIN_N,"modelo+año+km",IF(BA47&gt;=MIN_N,"modelo+año","modelo")))</f>
        <v/>
      </c>
      <c r="BE47" s="4">
        <f>(BC47-O47)/BC47</f>
        <v/>
      </c>
      <c r="BF47" s="3">
        <f>IF(OR(K47="hibrido",K47="glp"),"ECO",IF(K47="electrico","CERO",IF(K47="gasolina",IF(M47&gt;=GAS_C,"C",IF(M47&gt;=GAS_B,"B","A")),IF(K47="diesel",IF(M47&gt;=DIE_C,"C",IF(M47&gt;=DIE_B,"B","A")),""))))</f>
        <v/>
      </c>
      <c r="BG47" s="3">
        <f>IFERROR(VLOOKUP(F47,MOD_TBL,11,0),IFERROR(VLOOKUP(E47,OCU_TBL,2,0),NEUTRO))</f>
        <v/>
      </c>
      <c r="BH47" s="3">
        <f>SUMIFS(MOT_AJUSTE,MOT_MOTOR,G47,MOT_MARCA,E47,MOT_DESDE,"&lt;="&amp;M47,MOT_HASTA,"&gt;="&amp;M47)+SUMIFS(MOT_AJUSTE,MOT_MOTOR,G47,MOT_MARCA,"(todas)",MOT_DESDE,"&lt;="&amp;M47,MOT_HASTA,"&gt;="&amp;M47)</f>
        <v/>
      </c>
      <c r="BI47" s="3">
        <f>SUMIFS(COMB_AJUSTE,COMB_COMB,K47)</f>
        <v/>
      </c>
      <c r="BJ47" s="3">
        <f>COUNTIFS(MOT_MOTOR,G47,MOT_MARCA,E47,MOT_DESDE,"&lt;="&amp;M47,MOT_HASTA,"&gt;="&amp;M47)+COUNTIFS(MOT_MOTOR,G47,MOT_MARCA,"(todas)",MOT_DESDE,"&lt;="&amp;M47,MOT_HASTA,"&gt;="&amp;M47)</f>
        <v/>
      </c>
      <c r="BK47" s="3">
        <f>IF(AND(K47="diesel",BJ47=0),MIN(BG47,NEUTRO),BG47)</f>
        <v/>
      </c>
      <c r="BL47" s="4">
        <f>MAX(0,MIN(100,BK47+BH47+BI47))</f>
        <v/>
      </c>
      <c r="BM47" s="3">
        <f>MAX(0,MIN(100,50+BE47*PRECIO_PEND))</f>
        <v/>
      </c>
      <c r="BN47" s="3">
        <f>MAX(0,100*(1-N47/KM_MAX))</f>
        <v/>
      </c>
      <c r="BO47" s="3">
        <f>IF(AV47&lt;KMA_SOSP,IF(AA47="sí",100,KMA_PEN),IF(AV47&lt;=KMA_IDEAL_MAX,100,MAX(0,100*(KMA_CERO-AV47)/(KMA_CERO-KMA_IDEAL_MAX))))</f>
        <v/>
      </c>
      <c r="BP47" s="3">
        <f>MAX(0,MIN(100,100*(M47-ANIO_MIN)/(ANIO_ACTUAL-ANIO_MIN)))</f>
        <v/>
      </c>
      <c r="BQ47" s="3">
        <f>W_KMT*BN47+W_KMA*BO47+W_EDAD*BP47</f>
        <v/>
      </c>
      <c r="BR47" s="3">
        <f>P_ITV*(V47="sí")+P_LIBRO*(W47="sí")+P_CORREA*(X47="sí")+P_PROP*(Y47=1)+P_GAR*(Z47="sí")+P_FOTOS*MIN(1,N(U47)/FOTOS_OBJ)</f>
        <v/>
      </c>
      <c r="BS47" s="3">
        <f>IFERROR(VLOOKUP(BF47,ETQ_TBL,2,0),NEUTRO)</f>
        <v/>
      </c>
      <c r="BT47" s="3">
        <f>NEUTRO</f>
        <v/>
      </c>
      <c r="BU47" s="3">
        <f>IFERROR(VLOOKUP(L47,SEGURO_TBL,3,0),"")</f>
        <v/>
      </c>
      <c r="BV47" s="3">
        <f>IF(BU47="",NEUTRO,MAX(0,MIN(100,100*(SEG_REF_MAX-BU47)/(SEG_REF_MAX-SEG_REF_MIN))))</f>
        <v/>
      </c>
      <c r="BW47" s="3">
        <f>W_ET*BS47+W_CONS*BT47+W_SEG*BV47</f>
        <v/>
      </c>
      <c r="BX47" s="3">
        <f>IF(N(AB47)&gt;0,AB47,IF(AND(R47="profesional",SG_LEGAL_ON=1),GAR_LEGAL,0))</f>
        <v/>
      </c>
      <c r="BY47" s="3">
        <f>SG_GAR*MIN(1,BX47/SG_GAR_FULL)+SG_AMPL*(AC47="sí")+SG_KMC*(AF47="sí")+SG_REV*(N(AE47)&gt;0)+SG_DEV*MIN(1,N(AG47)/SG_DEV_FULL)+SG_HIST*(W47="sí")</f>
        <v/>
      </c>
      <c r="BZ47" s="3">
        <f>IFERROR(VLOOKUP(L47,CARR_PEN_TBL,2,0),0)</f>
        <v/>
      </c>
      <c r="CA47" s="3">
        <f>W_FIAB*BL47+W_PRECIO*BM47+W_KMEDAD*BQ47+W_ANUNCIO*BR47+W_USO*BW47+W_SEGURIDAD*BY47-BZ47</f>
        <v/>
      </c>
      <c r="CB47" s="4">
        <f>IF(N(I47)&gt;0,I47,IFERROR(ROUND(_xlfn.NUMBERVALUE(LEFT(G47,FIND(" ",G47&amp;" ")-1),".")*1000,0),99999))</f>
        <v/>
      </c>
      <c r="CC47" s="3">
        <f>IF(R47="profesional",0,IF(O47&lt;CUOTA_VALOR_MAX,IF(AU47&gt;ITP_TRAMO_ALTO,SUMIFS(CF_CUOTA,CF_MAS,ITP_TRAMO_ALTO,CF_CCMIN,"&lt;="&amp;CB47,CF_CCMAX,"&gt;="&amp;CB47),IF(AU47&gt;ITP_TRAMO_BAJO,SUMIFS(CF_CUOTA,CF_MAS,ITP_TRAMO_BAJO,CF_CCMIN,"&lt;="&amp;CB47,CF_CCMAX,"&gt;="&amp;CB47),O47*ITP_TIPO)),O47*ITP_TIPO))</f>
        <v/>
      </c>
      <c r="CD47" s="4">
        <f>IF(R47="profesional",N(AK47),0)</f>
        <v/>
      </c>
      <c r="CE47" s="3">
        <f>IF(AND(R47="profesional",ISNUMBER(AK47),AL47="sí"),0,TASA_DGT)</f>
        <v/>
      </c>
      <c r="CF47" s="3">
        <f>INFORME_DGT</f>
        <v/>
      </c>
      <c r="CG47" s="4">
        <f>O47+CD47+CC47+CE47+CF47</f>
        <v/>
      </c>
      <c r="CH47" s="4">
        <f>CG47+N(BU47)</f>
        <v/>
      </c>
      <c r="CI47" s="3">
        <f>IF(CG47&lt;=TOTAL_MAX,"sí",IF(CG47&lt;=TOTAL_MAX+MARGEN_NEG,"negociar","no"))</f>
        <v/>
      </c>
      <c r="CJ47" s="4">
        <f>IF(CI47&lt;&gt;"no",COUNTIFS($CI$2:$CI$662,"&lt;&gt;no",$CA$2:$CA$662,"&gt;"&amp;CA47)+COUNTIFS($CI$2:CI47,"&lt;&gt;no",$CA$2:CA47,CA47),"")</f>
        <v/>
      </c>
    </row>
    <row r="48">
      <c r="A48" s="2" t="inlineStr">
        <is>
          <t>wallapop:1318790630</t>
        </is>
      </c>
      <c r="B48" s="2" t="inlineStr">
        <is>
          <t>wallapop</t>
        </is>
      </c>
      <c r="C48" s="2" t="inlineStr">
        <is>
          <t>https://es.wallapop.com/item/peugeot-207-2008-1318790630</t>
        </is>
      </c>
      <c r="D48" s="2" t="inlineStr">
        <is>
          <t>Peugeot 207 2008</t>
        </is>
      </c>
      <c r="E48" s="2" t="inlineStr">
        <is>
          <t>Peugeot</t>
        </is>
      </c>
      <c r="F48" s="2" t="inlineStr">
        <is>
          <t>Peugeot 207</t>
        </is>
      </c>
      <c r="G48" s="2" t="n"/>
      <c r="H48" s="2" t="n"/>
      <c r="I48" s="2" t="n"/>
      <c r="J48" s="2" t="n"/>
      <c r="K48" s="2" t="inlineStr">
        <is>
          <t>gasolina</t>
        </is>
      </c>
      <c r="L48" s="2" t="inlineStr">
        <is>
          <t>utilitario</t>
        </is>
      </c>
      <c r="M48" s="2" t="n">
        <v>2008</v>
      </c>
      <c r="N48" s="2" t="n">
        <v>107433</v>
      </c>
      <c r="O48" s="2" t="n">
        <v>3000</v>
      </c>
      <c r="P48" s="2" t="inlineStr">
        <is>
          <t>manual</t>
        </is>
      </c>
      <c r="Q48" s="2" t="inlineStr">
        <is>
          <t>no</t>
        </is>
      </c>
      <c r="R48" s="2" t="inlineStr">
        <is>
          <t>particular</t>
        </is>
      </c>
      <c r="S48" s="2" t="inlineStr">
        <is>
          <t>Valencia (46003)</t>
        </is>
      </c>
      <c r="T48" s="2" t="inlineStr">
        <is>
          <t>2026-10-31T06:34:24</t>
        </is>
      </c>
      <c r="U48" s="2" t="n">
        <v>1</v>
      </c>
      <c r="V48" s="2" t="inlineStr">
        <is>
          <t>sí</t>
        </is>
      </c>
      <c r="W48" s="2" t="n"/>
      <c r="X48" s="2" t="n"/>
      <c r="Y48" s="2" t="n"/>
      <c r="Z48" s="2" t="n"/>
      <c r="AA48" s="2" t="n"/>
      <c r="AB48" s="2" t="n"/>
      <c r="AC48" s="2" t="n"/>
      <c r="AD48" s="2" t="n"/>
      <c r="AE48" s="2" t="n"/>
      <c r="AF48" s="2" t="n"/>
      <c r="AG48" s="2" t="n"/>
      <c r="AH48" s="2" t="n"/>
      <c r="AI48" s="2" t="n"/>
      <c r="AJ48" s="2" t="n"/>
      <c r="AK48" s="2" t="n"/>
      <c r="AL48" s="2" t="n"/>
      <c r="AM48" s="2" t="n">
        <v>0.9</v>
      </c>
      <c r="AN48" s="2" t="n">
        <v>3550</v>
      </c>
      <c r="AO48" s="2" t="n">
        <v>30</v>
      </c>
      <c r="AP48" s="2" t="inlineStr">
        <is>
          <t>modelo+año+km</t>
        </is>
      </c>
      <c r="AQ48" s="2" t="n"/>
      <c r="AR48" s="2" t="inlineStr">
        <is>
          <t>cilindrada desconocida: se aplica el tramo de cuota fija más alto; cuota fija ITP: &gt;12 años, más de 2.000 cc; fiabilidad del modelo PENDIENTE de fuente (puntuación neutra)</t>
        </is>
      </c>
      <c r="AS48" s="2" t="inlineStr">
        <is>
          <t>Se vende coche por 3000€ con fallo en el cilindro 4 baja compresión. Embrague nuevo ,caja de cambios nueva, filtros recién cambiados y las 4 bobinas nuevas . ITV hasta mayo.</t>
        </is>
      </c>
      <c r="AT48" s="2" t="inlineStr">
        <is>
          <t>https://es.wallapop.com/item/peugeot-207-2008-1318790630 (__NEXT_DATA__ item) /home/user/Alopecia/buscador-coches/raw/wallapop/2849de789c65555b.json</t>
        </is>
      </c>
      <c r="AU48" s="3">
        <f>MAX(ANIO_ACTUAL-M48,0)</f>
        <v/>
      </c>
      <c r="AV48" s="4">
        <f>N48/MAX(AU48,0.5)</f>
        <v/>
      </c>
      <c r="AW48" s="4">
        <f>F48</f>
        <v/>
      </c>
      <c r="AX48" s="3">
        <f>AW48&amp;"|"&amp;INT(M48/SEG_ANIO)*SEG_ANIO</f>
        <v/>
      </c>
      <c r="AY48" s="3">
        <f>AX48&amp;"|"&amp;INT(N48/SEG_KM)*SEG_KM</f>
        <v/>
      </c>
      <c r="AZ48" s="4">
        <f>COUNTIF($AW$2:$AW$662,AW48)</f>
        <v/>
      </c>
      <c r="BA48" s="4">
        <f>COUNTIF($AX$2:$AX$662,AX48)</f>
        <v/>
      </c>
      <c r="BB48" s="4">
        <f>COUNTIF($AY$2:$AY$662,AY48)</f>
        <v/>
      </c>
      <c r="BC48" s="3">
        <f t="array" ref="BC48">IF(N(AO48)&gt;=MIN_N,AN48,IF(BB48&gt;=MIN_N,MEDIAN(IF($AY$2:$AY$662=AY48,$O$2:$O$662)),IF(BA48&gt;=MIN_N,MEDIAN(IF($AX$2:$AX$662=AX48,$O$2:$O$662)),MEDIAN(IF($AW$2:$AW$662=AW48,$O$2:$O$662)))))</f>
        <v/>
      </c>
      <c r="BD48" s="3">
        <f>IF(N(AO48)&gt;=MIN_N,"mercado "&amp;AP48,IF(BB48&gt;=MIN_N,"modelo+año+km",IF(BA48&gt;=MIN_N,"modelo+año","modelo")))</f>
        <v/>
      </c>
      <c r="BE48" s="4">
        <f>(BC48-O48)/BC48</f>
        <v/>
      </c>
      <c r="BF48" s="3">
        <f>IF(OR(K48="hibrido",K48="glp"),"ECO",IF(K48="electrico","CERO",IF(K48="gasolina",IF(M48&gt;=GAS_C,"C",IF(M48&gt;=GAS_B,"B","A")),IF(K48="diesel",IF(M48&gt;=DIE_C,"C",IF(M48&gt;=DIE_B,"B","A")),""))))</f>
        <v/>
      </c>
      <c r="BG48" s="3">
        <f>IFERROR(VLOOKUP(F48,MOD_TBL,11,0),IFERROR(VLOOKUP(E48,OCU_TBL,2,0),NEUTRO))</f>
        <v/>
      </c>
      <c r="BH48" s="3">
        <f>SUMIFS(MOT_AJUSTE,MOT_MOTOR,G48,MOT_MARCA,E48,MOT_DESDE,"&lt;="&amp;M48,MOT_HASTA,"&gt;="&amp;M48)+SUMIFS(MOT_AJUSTE,MOT_MOTOR,G48,MOT_MARCA,"(todas)",MOT_DESDE,"&lt;="&amp;M48,MOT_HASTA,"&gt;="&amp;M48)</f>
        <v/>
      </c>
      <c r="BI48" s="3">
        <f>SUMIFS(COMB_AJUSTE,COMB_COMB,K48)</f>
        <v/>
      </c>
      <c r="BJ48" s="3">
        <f>COUNTIFS(MOT_MOTOR,G48,MOT_MARCA,E48,MOT_DESDE,"&lt;="&amp;M48,MOT_HASTA,"&gt;="&amp;M48)+COUNTIFS(MOT_MOTOR,G48,MOT_MARCA,"(todas)",MOT_DESDE,"&lt;="&amp;M48,MOT_HASTA,"&gt;="&amp;M48)</f>
        <v/>
      </c>
      <c r="BK48" s="3">
        <f>IF(AND(K48="diesel",BJ48=0),MIN(BG48,NEUTRO),BG48)</f>
        <v/>
      </c>
      <c r="BL48" s="4">
        <f>MAX(0,MIN(100,BK48+BH48+BI48))</f>
        <v/>
      </c>
      <c r="BM48" s="3">
        <f>MAX(0,MIN(100,50+BE48*PRECIO_PEND))</f>
        <v/>
      </c>
      <c r="BN48" s="3">
        <f>MAX(0,100*(1-N48/KM_MAX))</f>
        <v/>
      </c>
      <c r="BO48" s="3">
        <f>IF(AV48&lt;KMA_SOSP,IF(AA48="sí",100,KMA_PEN),IF(AV48&lt;=KMA_IDEAL_MAX,100,MAX(0,100*(KMA_CERO-AV48)/(KMA_CERO-KMA_IDEAL_MAX))))</f>
        <v/>
      </c>
      <c r="BP48" s="3">
        <f>MAX(0,MIN(100,100*(M48-ANIO_MIN)/(ANIO_ACTUAL-ANIO_MIN)))</f>
        <v/>
      </c>
      <c r="BQ48" s="3">
        <f>W_KMT*BN48+W_KMA*BO48+W_EDAD*BP48</f>
        <v/>
      </c>
      <c r="BR48" s="3">
        <f>P_ITV*(V48="sí")+P_LIBRO*(W48="sí")+P_CORREA*(X48="sí")+P_PROP*(Y48=1)+P_GAR*(Z48="sí")+P_FOTOS*MIN(1,N(U48)/FOTOS_OBJ)</f>
        <v/>
      </c>
      <c r="BS48" s="3">
        <f>IFERROR(VLOOKUP(BF48,ETQ_TBL,2,0),NEUTRO)</f>
        <v/>
      </c>
      <c r="BT48" s="3">
        <f>NEUTRO</f>
        <v/>
      </c>
      <c r="BU48" s="3">
        <f>IFERROR(VLOOKUP(L48,SEGURO_TBL,3,0),"")</f>
        <v/>
      </c>
      <c r="BV48" s="3">
        <f>IF(BU48="",NEUTRO,MAX(0,MIN(100,100*(SEG_REF_MAX-BU48)/(SEG_REF_MAX-SEG_REF_MIN))))</f>
        <v/>
      </c>
      <c r="BW48" s="3">
        <f>W_ET*BS48+W_CONS*BT48+W_SEG*BV48</f>
        <v/>
      </c>
      <c r="BX48" s="3">
        <f>IF(N(AB48)&gt;0,AB48,IF(AND(R48="profesional",SG_LEGAL_ON=1),GAR_LEGAL,0))</f>
        <v/>
      </c>
      <c r="BY48" s="3">
        <f>SG_GAR*MIN(1,BX48/SG_GAR_FULL)+SG_AMPL*(AC48="sí")+SG_KMC*(AF48="sí")+SG_REV*(N(AE48)&gt;0)+SG_DEV*MIN(1,N(AG48)/SG_DEV_FULL)+SG_HIST*(W48="sí")</f>
        <v/>
      </c>
      <c r="BZ48" s="3">
        <f>IFERROR(VLOOKUP(L48,CARR_PEN_TBL,2,0),0)</f>
        <v/>
      </c>
      <c r="CA48" s="3">
        <f>W_FIAB*BL48+W_PRECIO*BM48+W_KMEDAD*BQ48+W_ANUNCIO*BR48+W_USO*BW48+W_SEGURIDAD*BY48-BZ48</f>
        <v/>
      </c>
      <c r="CB48" s="4">
        <f>IF(N(I48)&gt;0,I48,IFERROR(ROUND(_xlfn.NUMBERVALUE(LEFT(G48,FIND(" ",G48&amp;" ")-1),".")*1000,0),99999))</f>
        <v/>
      </c>
      <c r="CC48" s="3">
        <f>IF(R48="profesional",0,IF(O48&lt;CUOTA_VALOR_MAX,IF(AU48&gt;ITP_TRAMO_ALTO,SUMIFS(CF_CUOTA,CF_MAS,ITP_TRAMO_ALTO,CF_CCMIN,"&lt;="&amp;CB48,CF_CCMAX,"&gt;="&amp;CB48),IF(AU48&gt;ITP_TRAMO_BAJO,SUMIFS(CF_CUOTA,CF_MAS,ITP_TRAMO_BAJO,CF_CCMIN,"&lt;="&amp;CB48,CF_CCMAX,"&gt;="&amp;CB48),O48*ITP_TIPO)),O48*ITP_TIPO))</f>
        <v/>
      </c>
      <c r="CD48" s="4">
        <f>IF(R48="profesional",N(AK48),0)</f>
        <v/>
      </c>
      <c r="CE48" s="3">
        <f>IF(AND(R48="profesional",ISNUMBER(AK48),AL48="sí"),0,TASA_DGT)</f>
        <v/>
      </c>
      <c r="CF48" s="3">
        <f>INFORME_DGT</f>
        <v/>
      </c>
      <c r="CG48" s="4">
        <f>O48+CD48+CC48+CE48+CF48</f>
        <v/>
      </c>
      <c r="CH48" s="4">
        <f>CG48+N(BU48)</f>
        <v/>
      </c>
      <c r="CI48" s="3">
        <f>IF(CG48&lt;=TOTAL_MAX,"sí",IF(CG48&lt;=TOTAL_MAX+MARGEN_NEG,"negociar","no"))</f>
        <v/>
      </c>
      <c r="CJ48" s="4">
        <f>IF(CI48&lt;&gt;"no",COUNTIFS($CI$2:$CI$662,"&lt;&gt;no",$CA$2:$CA$662,"&gt;"&amp;CA48)+COUNTIFS($CI$2:CI48,"&lt;&gt;no",$CA$2:CA48,CA48),"")</f>
        <v/>
      </c>
    </row>
    <row r="49">
      <c r="A49" s="2" t="inlineStr">
        <is>
          <t>wallapop:1316041007</t>
        </is>
      </c>
      <c r="B49" s="2" t="inlineStr">
        <is>
          <t>wallapop</t>
        </is>
      </c>
      <c r="C49" s="2" t="inlineStr">
        <is>
          <t>https://es.wallapop.com/item/peugeot-207-2009-1316041007</t>
        </is>
      </c>
      <c r="D49" s="2" t="inlineStr">
        <is>
          <t>Peugeot 207 2009</t>
        </is>
      </c>
      <c r="E49" s="2" t="inlineStr">
        <is>
          <t>Peugeot</t>
        </is>
      </c>
      <c r="F49" s="2" t="inlineStr">
        <is>
          <t>Peugeot 207</t>
        </is>
      </c>
      <c r="G49" s="2" t="inlineStr">
        <is>
          <t>1.4 HDi</t>
        </is>
      </c>
      <c r="H49" s="2" t="inlineStr">
        <is>
          <t>1.4 HDi 70 Confort 3p AM70</t>
        </is>
      </c>
      <c r="I49" s="2" t="n"/>
      <c r="J49" s="2" t="n">
        <v>70</v>
      </c>
      <c r="K49" s="2" t="inlineStr">
        <is>
          <t>diesel</t>
        </is>
      </c>
      <c r="L49" s="2" t="inlineStr">
        <is>
          <t>utilitario</t>
        </is>
      </c>
      <c r="M49" s="2" t="n">
        <v>2009</v>
      </c>
      <c r="N49" s="2" t="n">
        <v>106500</v>
      </c>
      <c r="O49" s="2" t="n">
        <v>3400</v>
      </c>
      <c r="P49" s="2" t="inlineStr">
        <is>
          <t>manual</t>
        </is>
      </c>
      <c r="Q49" s="2" t="inlineStr">
        <is>
          <t>no</t>
        </is>
      </c>
      <c r="R49" s="2" t="inlineStr">
        <is>
          <t>particular</t>
        </is>
      </c>
      <c r="S49" s="2" t="inlineStr">
        <is>
          <t>Valencia (46006)</t>
        </is>
      </c>
      <c r="T49" s="2" t="inlineStr">
        <is>
          <t>2026-10-22T15:04:42</t>
        </is>
      </c>
      <c r="U49" s="2" t="n">
        <v>10</v>
      </c>
      <c r="V49" s="2" t="inlineStr">
        <is>
          <t>sí</t>
        </is>
      </c>
      <c r="W49" s="2" t="n"/>
      <c r="X49" s="2" t="n"/>
      <c r="Y49" s="2" t="n"/>
      <c r="Z49" s="2" t="n"/>
      <c r="AA49" s="2" t="n"/>
      <c r="AB49" s="2" t="n"/>
      <c r="AC49" s="2" t="n"/>
      <c r="AD49" s="2" t="n"/>
      <c r="AE49" s="2" t="n"/>
      <c r="AF49" s="2" t="n"/>
      <c r="AG49" s="2" t="n"/>
      <c r="AH49" s="2" t="n"/>
      <c r="AI49" s="2" t="n"/>
      <c r="AJ49" s="2" t="n"/>
      <c r="AK49" s="2" t="n"/>
      <c r="AL49" s="2" t="n"/>
      <c r="AM49" s="2" t="n">
        <v>1.8</v>
      </c>
      <c r="AN49" s="2" t="n">
        <v>3550</v>
      </c>
      <c r="AO49" s="2" t="n">
        <v>30</v>
      </c>
      <c r="AP49" s="2" t="inlineStr">
        <is>
          <t>modelo+año+km</t>
        </is>
      </c>
      <c r="AQ49" s="2" t="n"/>
      <c r="AR49" s="2" t="inlineStr">
        <is>
          <t>cuota fija ITP: &gt;12 años, hasta 1.500 cc; fiabilidad del modelo PENDIENTE de fuente (puntuación neutra)</t>
        </is>
      </c>
      <c r="AS49" s="2" t="inlineStr">
        <is>
          <t>Motor diesel 
Cambio manual.
106.500 km.
Aire acondicionado.
Revisiones al día.
ITV en vigor hasta marzo de 2027.</t>
        </is>
      </c>
      <c r="AT49" s="2" t="inlineStr">
        <is>
          <t>https://es.wallapop.com/item/peugeot-207-2009-1316041007 (__NEXT_DATA__ item) /home/user/Alopecia/buscador-coches/raw/wallapop/6dbc51de9da98d6d.json</t>
        </is>
      </c>
      <c r="AU49" s="3">
        <f>MAX(ANIO_ACTUAL-M49,0)</f>
        <v/>
      </c>
      <c r="AV49" s="4">
        <f>N49/MAX(AU49,0.5)</f>
        <v/>
      </c>
      <c r="AW49" s="4">
        <f>F49</f>
        <v/>
      </c>
      <c r="AX49" s="3">
        <f>AW49&amp;"|"&amp;INT(M49/SEG_ANIO)*SEG_ANIO</f>
        <v/>
      </c>
      <c r="AY49" s="3">
        <f>AX49&amp;"|"&amp;INT(N49/SEG_KM)*SEG_KM</f>
        <v/>
      </c>
      <c r="AZ49" s="4">
        <f>COUNTIF($AW$2:$AW$662,AW49)</f>
        <v/>
      </c>
      <c r="BA49" s="4">
        <f>COUNTIF($AX$2:$AX$662,AX49)</f>
        <v/>
      </c>
      <c r="BB49" s="4">
        <f>COUNTIF($AY$2:$AY$662,AY49)</f>
        <v/>
      </c>
      <c r="BC49" s="3">
        <f t="array" ref="BC49">IF(N(AO49)&gt;=MIN_N,AN49,IF(BB49&gt;=MIN_N,MEDIAN(IF($AY$2:$AY$662=AY49,$O$2:$O$662)),IF(BA49&gt;=MIN_N,MEDIAN(IF($AX$2:$AX$662=AX49,$O$2:$O$662)),MEDIAN(IF($AW$2:$AW$662=AW49,$O$2:$O$662)))))</f>
        <v/>
      </c>
      <c r="BD49" s="3">
        <f>IF(N(AO49)&gt;=MIN_N,"mercado "&amp;AP49,IF(BB49&gt;=MIN_N,"modelo+año+km",IF(BA49&gt;=MIN_N,"modelo+año","modelo")))</f>
        <v/>
      </c>
      <c r="BE49" s="4">
        <f>(BC49-O49)/BC49</f>
        <v/>
      </c>
      <c r="BF49" s="3">
        <f>IF(OR(K49="hibrido",K49="glp"),"ECO",IF(K49="electrico","CERO",IF(K49="gasolina",IF(M49&gt;=GAS_C,"C",IF(M49&gt;=GAS_B,"B","A")),IF(K49="diesel",IF(M49&gt;=DIE_C,"C",IF(M49&gt;=DIE_B,"B","A")),""))))</f>
        <v/>
      </c>
      <c r="BG49" s="3">
        <f>IFERROR(VLOOKUP(F49,MOD_TBL,11,0),IFERROR(VLOOKUP(E49,OCU_TBL,2,0),NEUTRO))</f>
        <v/>
      </c>
      <c r="BH49" s="3">
        <f>SUMIFS(MOT_AJUSTE,MOT_MOTOR,G49,MOT_MARCA,E49,MOT_DESDE,"&lt;="&amp;M49,MOT_HASTA,"&gt;="&amp;M49)+SUMIFS(MOT_AJUSTE,MOT_MOTOR,G49,MOT_MARCA,"(todas)",MOT_DESDE,"&lt;="&amp;M49,MOT_HASTA,"&gt;="&amp;M49)</f>
        <v/>
      </c>
      <c r="BI49" s="3">
        <f>SUMIFS(COMB_AJUSTE,COMB_COMB,K49)</f>
        <v/>
      </c>
      <c r="BJ49" s="3">
        <f>COUNTIFS(MOT_MOTOR,G49,MOT_MARCA,E49,MOT_DESDE,"&lt;="&amp;M49,MOT_HASTA,"&gt;="&amp;M49)+COUNTIFS(MOT_MOTOR,G49,MOT_MARCA,"(todas)",MOT_DESDE,"&lt;="&amp;M49,MOT_HASTA,"&gt;="&amp;M49)</f>
        <v/>
      </c>
      <c r="BK49" s="3">
        <f>IF(AND(K49="diesel",BJ49=0),MIN(BG49,NEUTRO),BG49)</f>
        <v/>
      </c>
      <c r="BL49" s="4">
        <f>MAX(0,MIN(100,BK49+BH49+BI49))</f>
        <v/>
      </c>
      <c r="BM49" s="3">
        <f>MAX(0,MIN(100,50+BE49*PRECIO_PEND))</f>
        <v/>
      </c>
      <c r="BN49" s="3">
        <f>MAX(0,100*(1-N49/KM_MAX))</f>
        <v/>
      </c>
      <c r="BO49" s="3">
        <f>IF(AV49&lt;KMA_SOSP,IF(AA49="sí",100,KMA_PEN),IF(AV49&lt;=KMA_IDEAL_MAX,100,MAX(0,100*(KMA_CERO-AV49)/(KMA_CERO-KMA_IDEAL_MAX))))</f>
        <v/>
      </c>
      <c r="BP49" s="3">
        <f>MAX(0,MIN(100,100*(M49-ANIO_MIN)/(ANIO_ACTUAL-ANIO_MIN)))</f>
        <v/>
      </c>
      <c r="BQ49" s="3">
        <f>W_KMT*BN49+W_KMA*BO49+W_EDAD*BP49</f>
        <v/>
      </c>
      <c r="BR49" s="3">
        <f>P_ITV*(V49="sí")+P_LIBRO*(W49="sí")+P_CORREA*(X49="sí")+P_PROP*(Y49=1)+P_GAR*(Z49="sí")+P_FOTOS*MIN(1,N(U49)/FOTOS_OBJ)</f>
        <v/>
      </c>
      <c r="BS49" s="3">
        <f>IFERROR(VLOOKUP(BF49,ETQ_TBL,2,0),NEUTRO)</f>
        <v/>
      </c>
      <c r="BT49" s="3">
        <f>NEUTRO</f>
        <v/>
      </c>
      <c r="BU49" s="3">
        <f>IFERROR(VLOOKUP(L49,SEGURO_TBL,3,0),"")</f>
        <v/>
      </c>
      <c r="BV49" s="3">
        <f>IF(BU49="",NEUTRO,MAX(0,MIN(100,100*(SEG_REF_MAX-BU49)/(SEG_REF_MAX-SEG_REF_MIN))))</f>
        <v/>
      </c>
      <c r="BW49" s="3">
        <f>W_ET*BS49+W_CONS*BT49+W_SEG*BV49</f>
        <v/>
      </c>
      <c r="BX49" s="3">
        <f>IF(N(AB49)&gt;0,AB49,IF(AND(R49="profesional",SG_LEGAL_ON=1),GAR_LEGAL,0))</f>
        <v/>
      </c>
      <c r="BY49" s="3">
        <f>SG_GAR*MIN(1,BX49/SG_GAR_FULL)+SG_AMPL*(AC49="sí")+SG_KMC*(AF49="sí")+SG_REV*(N(AE49)&gt;0)+SG_DEV*MIN(1,N(AG49)/SG_DEV_FULL)+SG_HIST*(W49="sí")</f>
        <v/>
      </c>
      <c r="BZ49" s="3">
        <f>IFERROR(VLOOKUP(L49,CARR_PEN_TBL,2,0),0)</f>
        <v/>
      </c>
      <c r="CA49" s="3">
        <f>W_FIAB*BL49+W_PRECIO*BM49+W_KMEDAD*BQ49+W_ANUNCIO*BR49+W_USO*BW49+W_SEGURIDAD*BY49-BZ49</f>
        <v/>
      </c>
      <c r="CB49" s="4">
        <f>IF(N(I49)&gt;0,I49,IFERROR(ROUND(_xlfn.NUMBERVALUE(LEFT(G49,FIND(" ",G49&amp;" ")-1),".")*1000,0),99999))</f>
        <v/>
      </c>
      <c r="CC49" s="3">
        <f>IF(R49="profesional",0,IF(O49&lt;CUOTA_VALOR_MAX,IF(AU49&gt;ITP_TRAMO_ALTO,SUMIFS(CF_CUOTA,CF_MAS,ITP_TRAMO_ALTO,CF_CCMIN,"&lt;="&amp;CB49,CF_CCMAX,"&gt;="&amp;CB49),IF(AU49&gt;ITP_TRAMO_BAJO,SUMIFS(CF_CUOTA,CF_MAS,ITP_TRAMO_BAJO,CF_CCMIN,"&lt;="&amp;CB49,CF_CCMAX,"&gt;="&amp;CB49),O49*ITP_TIPO)),O49*ITP_TIPO))</f>
        <v/>
      </c>
      <c r="CD49" s="4">
        <f>IF(R49="profesional",N(AK49),0)</f>
        <v/>
      </c>
      <c r="CE49" s="3">
        <f>IF(AND(R49="profesional",ISNUMBER(AK49),AL49="sí"),0,TASA_DGT)</f>
        <v/>
      </c>
      <c r="CF49" s="3">
        <f>INFORME_DGT</f>
        <v/>
      </c>
      <c r="CG49" s="4">
        <f>O49+CD49+CC49+CE49+CF49</f>
        <v/>
      </c>
      <c r="CH49" s="4">
        <f>CG49+N(BU49)</f>
        <v/>
      </c>
      <c r="CI49" s="3">
        <f>IF(CG49&lt;=TOTAL_MAX,"sí",IF(CG49&lt;=TOTAL_MAX+MARGEN_NEG,"negociar","no"))</f>
        <v/>
      </c>
      <c r="CJ49" s="4">
        <f>IF(CI49&lt;&gt;"no",COUNTIFS($CI$2:$CI$662,"&lt;&gt;no",$CA$2:$CA$662,"&gt;"&amp;CA49)+COUNTIFS($CI$2:CI49,"&lt;&gt;no",$CA$2:CA49,CA49),"")</f>
        <v/>
      </c>
    </row>
    <row r="50">
      <c r="A50" s="2" t="inlineStr">
        <is>
          <t>wallapop:1259304018</t>
        </is>
      </c>
      <c r="B50" s="2" t="inlineStr">
        <is>
          <t>wallapop</t>
        </is>
      </c>
      <c r="C50" s="2" t="inlineStr">
        <is>
          <t>https://es.wallapop.com/item/peugeot-207-1-6-110cv-1259304018</t>
        </is>
      </c>
      <c r="D50" s="2" t="inlineStr">
        <is>
          <t>Peugeot 207 1.6 110cv</t>
        </is>
      </c>
      <c r="E50" s="2" t="inlineStr">
        <is>
          <t>Peugeot</t>
        </is>
      </c>
      <c r="F50" s="2" t="inlineStr">
        <is>
          <t>Peugeot 207</t>
        </is>
      </c>
      <c r="G50" s="2" t="inlineStr">
        <is>
          <t>1.6 HDi</t>
        </is>
      </c>
      <c r="H50" s="2" t="inlineStr">
        <is>
          <t>1.6 HDi 110 Premium 3p</t>
        </is>
      </c>
      <c r="I50" s="2" t="n"/>
      <c r="J50" s="2" t="n">
        <v>110</v>
      </c>
      <c r="K50" s="2" t="inlineStr">
        <is>
          <t>diesel</t>
        </is>
      </c>
      <c r="L50" s="2" t="inlineStr">
        <is>
          <t>utilitario</t>
        </is>
      </c>
      <c r="M50" s="2" t="n">
        <v>2008</v>
      </c>
      <c r="N50" s="2" t="n">
        <v>174000</v>
      </c>
      <c r="O50" s="2" t="n">
        <v>2500</v>
      </c>
      <c r="P50" s="2" t="inlineStr">
        <is>
          <t>manual</t>
        </is>
      </c>
      <c r="Q50" s="2" t="inlineStr">
        <is>
          <t>no</t>
        </is>
      </c>
      <c r="R50" s="2" t="inlineStr">
        <is>
          <t>particular</t>
        </is>
      </c>
      <c r="S50" s="2" t="inlineStr">
        <is>
          <t>Valencia (46001)</t>
        </is>
      </c>
      <c r="T50" s="2" t="inlineStr">
        <is>
          <t>2026-10-21T12:27:40</t>
        </is>
      </c>
      <c r="U50" s="2" t="n">
        <v>10</v>
      </c>
      <c r="V50" s="2" t="inlineStr">
        <is>
          <t>sí</t>
        </is>
      </c>
      <c r="W50" s="2" t="n"/>
      <c r="X50" s="2" t="inlineStr">
        <is>
          <t>sí</t>
        </is>
      </c>
      <c r="Y50" s="2" t="n"/>
      <c r="Z50" s="2" t="n"/>
      <c r="AA50" s="2" t="n"/>
      <c r="AB50" s="2" t="n"/>
      <c r="AC50" s="2" t="n"/>
      <c r="AD50" s="2" t="n"/>
      <c r="AE50" s="2" t="n"/>
      <c r="AF50" s="2" t="n"/>
      <c r="AG50" s="2" t="n"/>
      <c r="AH50" s="2" t="n"/>
      <c r="AI50" s="2" t="n"/>
      <c r="AJ50" s="2" t="n"/>
      <c r="AK50" s="2" t="n"/>
      <c r="AL50" s="2" t="n"/>
      <c r="AM50" s="2" t="n">
        <v>1</v>
      </c>
      <c r="AN50" s="2" t="n">
        <v>3600</v>
      </c>
      <c r="AO50" s="2" t="n">
        <v>21</v>
      </c>
      <c r="AP50" s="2" t="inlineStr">
        <is>
          <t>modelo+año+km</t>
        </is>
      </c>
      <c r="AQ50" s="2" t="inlineStr">
        <is>
          <t>wallapop:1315041723 (https://es.wallapop.com/item/peugeot-207-2008-1315041723); cochesnet:71786035 (https://www.coches.net/peugeot-207-16-hdi-110-xs-3p-diesel-2008-en-valencia-71786035-covo.aspx)</t>
        </is>
      </c>
      <c r="AR50" s="2" t="inlineStr">
        <is>
          <t>cuota fija ITP: &gt;12 años, 1.501-2.000 cc; fiabilidad del modelo PENDIENTE de fuente (puntuación neutra)</t>
        </is>
      </c>
      <c r="AS50" s="2" t="inlineStr">
        <is>
          <t xml:space="preserve">Vendo este coche , un Peugeot 207 motor 1.6 con 110 CV . El coche es del dicembre 2008 , con 174k km . Presenta algún arañazo en la parte externa ..  tiene el motor de arranque estropeado.. tiene todo el kit de distribución nuevo (incluso guia , bomba agua y líquidos) todo demostrable, con filtros todos cambiados.. filtro de combustión Y conectores de inietores nuevo, todo demostrable . ITV hasta 10/2027 .. Precio poco negociable </t>
        </is>
      </c>
      <c r="AT50" s="2" t="inlineStr">
        <is>
          <t>https://es.wallapop.com/item/peugeot-207-1-6-110cv-1259304018 (__NEXT_DATA__ item) /home/user/Alopecia/buscador-coches/raw/wallapop/075fa3fb2ff53002.json</t>
        </is>
      </c>
      <c r="AU50" s="3">
        <f>MAX(ANIO_ACTUAL-M50,0)</f>
        <v/>
      </c>
      <c r="AV50" s="4">
        <f>N50/MAX(AU50,0.5)</f>
        <v/>
      </c>
      <c r="AW50" s="4">
        <f>F50</f>
        <v/>
      </c>
      <c r="AX50" s="3">
        <f>AW50&amp;"|"&amp;INT(M50/SEG_ANIO)*SEG_ANIO</f>
        <v/>
      </c>
      <c r="AY50" s="3">
        <f>AX50&amp;"|"&amp;INT(N50/SEG_KM)*SEG_KM</f>
        <v/>
      </c>
      <c r="AZ50" s="4">
        <f>COUNTIF($AW$2:$AW$662,AW50)</f>
        <v/>
      </c>
      <c r="BA50" s="4">
        <f>COUNTIF($AX$2:$AX$662,AX50)</f>
        <v/>
      </c>
      <c r="BB50" s="4">
        <f>COUNTIF($AY$2:$AY$662,AY50)</f>
        <v/>
      </c>
      <c r="BC50" s="3">
        <f t="array" ref="BC50">IF(N(AO50)&gt;=MIN_N,AN50,IF(BB50&gt;=MIN_N,MEDIAN(IF($AY$2:$AY$662=AY50,$O$2:$O$662)),IF(BA50&gt;=MIN_N,MEDIAN(IF($AX$2:$AX$662=AX50,$O$2:$O$662)),MEDIAN(IF($AW$2:$AW$662=AW50,$O$2:$O$662)))))</f>
        <v/>
      </c>
      <c r="BD50" s="3">
        <f>IF(N(AO50)&gt;=MIN_N,"mercado "&amp;AP50,IF(BB50&gt;=MIN_N,"modelo+año+km",IF(BA50&gt;=MIN_N,"modelo+año","modelo")))</f>
        <v/>
      </c>
      <c r="BE50" s="4">
        <f>(BC50-O50)/BC50</f>
        <v/>
      </c>
      <c r="BF50" s="3">
        <f>IF(OR(K50="hibrido",K50="glp"),"ECO",IF(K50="electrico","CERO",IF(K50="gasolina",IF(M50&gt;=GAS_C,"C",IF(M50&gt;=GAS_B,"B","A")),IF(K50="diesel",IF(M50&gt;=DIE_C,"C",IF(M50&gt;=DIE_B,"B","A")),""))))</f>
        <v/>
      </c>
      <c r="BG50" s="3">
        <f>IFERROR(VLOOKUP(F50,MOD_TBL,11,0),IFERROR(VLOOKUP(E50,OCU_TBL,2,0),NEUTRO))</f>
        <v/>
      </c>
      <c r="BH50" s="3">
        <f>SUMIFS(MOT_AJUSTE,MOT_MOTOR,G50,MOT_MARCA,E50,MOT_DESDE,"&lt;="&amp;M50,MOT_HASTA,"&gt;="&amp;M50)+SUMIFS(MOT_AJUSTE,MOT_MOTOR,G50,MOT_MARCA,"(todas)",MOT_DESDE,"&lt;="&amp;M50,MOT_HASTA,"&gt;="&amp;M50)</f>
        <v/>
      </c>
      <c r="BI50" s="3">
        <f>SUMIFS(COMB_AJUSTE,COMB_COMB,K50)</f>
        <v/>
      </c>
      <c r="BJ50" s="3">
        <f>COUNTIFS(MOT_MOTOR,G50,MOT_MARCA,E50,MOT_DESDE,"&lt;="&amp;M50,MOT_HASTA,"&gt;="&amp;M50)+COUNTIFS(MOT_MOTOR,G50,MOT_MARCA,"(todas)",MOT_DESDE,"&lt;="&amp;M50,MOT_HASTA,"&gt;="&amp;M50)</f>
        <v/>
      </c>
      <c r="BK50" s="3">
        <f>IF(AND(K50="diesel",BJ50=0),MIN(BG50,NEUTRO),BG50)</f>
        <v/>
      </c>
      <c r="BL50" s="4">
        <f>MAX(0,MIN(100,BK50+BH50+BI50))</f>
        <v/>
      </c>
      <c r="BM50" s="3">
        <f>MAX(0,MIN(100,50+BE50*PRECIO_PEND))</f>
        <v/>
      </c>
      <c r="BN50" s="3">
        <f>MAX(0,100*(1-N50/KM_MAX))</f>
        <v/>
      </c>
      <c r="BO50" s="3">
        <f>IF(AV50&lt;KMA_SOSP,IF(AA50="sí",100,KMA_PEN),IF(AV50&lt;=KMA_IDEAL_MAX,100,MAX(0,100*(KMA_CERO-AV50)/(KMA_CERO-KMA_IDEAL_MAX))))</f>
        <v/>
      </c>
      <c r="BP50" s="3">
        <f>MAX(0,MIN(100,100*(M50-ANIO_MIN)/(ANIO_ACTUAL-ANIO_MIN)))</f>
        <v/>
      </c>
      <c r="BQ50" s="3">
        <f>W_KMT*BN50+W_KMA*BO50+W_EDAD*BP50</f>
        <v/>
      </c>
      <c r="BR50" s="3">
        <f>P_ITV*(V50="sí")+P_LIBRO*(W50="sí")+P_CORREA*(X50="sí")+P_PROP*(Y50=1)+P_GAR*(Z50="sí")+P_FOTOS*MIN(1,N(U50)/FOTOS_OBJ)</f>
        <v/>
      </c>
      <c r="BS50" s="3">
        <f>IFERROR(VLOOKUP(BF50,ETQ_TBL,2,0),NEUTRO)</f>
        <v/>
      </c>
      <c r="BT50" s="3">
        <f>NEUTRO</f>
        <v/>
      </c>
      <c r="BU50" s="3">
        <f>IFERROR(VLOOKUP(L50,SEGURO_TBL,3,0),"")</f>
        <v/>
      </c>
      <c r="BV50" s="3">
        <f>IF(BU50="",NEUTRO,MAX(0,MIN(100,100*(SEG_REF_MAX-BU50)/(SEG_REF_MAX-SEG_REF_MIN))))</f>
        <v/>
      </c>
      <c r="BW50" s="3">
        <f>W_ET*BS50+W_CONS*BT50+W_SEG*BV50</f>
        <v/>
      </c>
      <c r="BX50" s="3">
        <f>IF(N(AB50)&gt;0,AB50,IF(AND(R50="profesional",SG_LEGAL_ON=1),GAR_LEGAL,0))</f>
        <v/>
      </c>
      <c r="BY50" s="3">
        <f>SG_GAR*MIN(1,BX50/SG_GAR_FULL)+SG_AMPL*(AC50="sí")+SG_KMC*(AF50="sí")+SG_REV*(N(AE50)&gt;0)+SG_DEV*MIN(1,N(AG50)/SG_DEV_FULL)+SG_HIST*(W50="sí")</f>
        <v/>
      </c>
      <c r="BZ50" s="3">
        <f>IFERROR(VLOOKUP(L50,CARR_PEN_TBL,2,0),0)</f>
        <v/>
      </c>
      <c r="CA50" s="3">
        <f>W_FIAB*BL50+W_PRECIO*BM50+W_KMEDAD*BQ50+W_ANUNCIO*BR50+W_USO*BW50+W_SEGURIDAD*BY50-BZ50</f>
        <v/>
      </c>
      <c r="CB50" s="4">
        <f>IF(N(I50)&gt;0,I50,IFERROR(ROUND(_xlfn.NUMBERVALUE(LEFT(G50,FIND(" ",G50&amp;" ")-1),".")*1000,0),99999))</f>
        <v/>
      </c>
      <c r="CC50" s="3">
        <f>IF(R50="profesional",0,IF(O50&lt;CUOTA_VALOR_MAX,IF(AU50&gt;ITP_TRAMO_ALTO,SUMIFS(CF_CUOTA,CF_MAS,ITP_TRAMO_ALTO,CF_CCMIN,"&lt;="&amp;CB50,CF_CCMAX,"&gt;="&amp;CB50),IF(AU50&gt;ITP_TRAMO_BAJO,SUMIFS(CF_CUOTA,CF_MAS,ITP_TRAMO_BAJO,CF_CCMIN,"&lt;="&amp;CB50,CF_CCMAX,"&gt;="&amp;CB50),O50*ITP_TIPO)),O50*ITP_TIPO))</f>
        <v/>
      </c>
      <c r="CD50" s="4">
        <f>IF(R50="profesional",N(AK50),0)</f>
        <v/>
      </c>
      <c r="CE50" s="3">
        <f>IF(AND(R50="profesional",ISNUMBER(AK50),AL50="sí"),0,TASA_DGT)</f>
        <v/>
      </c>
      <c r="CF50" s="3">
        <f>INFORME_DGT</f>
        <v/>
      </c>
      <c r="CG50" s="4">
        <f>O50+CD50+CC50+CE50+CF50</f>
        <v/>
      </c>
      <c r="CH50" s="4">
        <f>CG50+N(BU50)</f>
        <v/>
      </c>
      <c r="CI50" s="3">
        <f>IF(CG50&lt;=TOTAL_MAX,"sí",IF(CG50&lt;=TOTAL_MAX+MARGEN_NEG,"negociar","no"))</f>
        <v/>
      </c>
      <c r="CJ50" s="4">
        <f>IF(CI50&lt;&gt;"no",COUNTIFS($CI$2:$CI$662,"&lt;&gt;no",$CA$2:$CA$662,"&gt;"&amp;CA50)+COUNTIFS($CI$2:CI50,"&lt;&gt;no",$CA$2:CA50,CA50),"")</f>
        <v/>
      </c>
    </row>
    <row r="51">
      <c r="A51" s="2" t="inlineStr">
        <is>
          <t>wallapop:1309416714</t>
        </is>
      </c>
      <c r="B51" s="2" t="inlineStr">
        <is>
          <t>wallapop</t>
        </is>
      </c>
      <c r="C51" s="2" t="inlineStr">
        <is>
          <t>https://es.wallapop.com/item/peugeot-207-2012-1309416714</t>
        </is>
      </c>
      <c r="D51" s="2" t="inlineStr">
        <is>
          <t>Peugeot 207 2012 pocos KM</t>
        </is>
      </c>
      <c r="E51" s="2" t="inlineStr">
        <is>
          <t>Peugeot</t>
        </is>
      </c>
      <c r="F51" s="2" t="inlineStr">
        <is>
          <t>Peugeot 207</t>
        </is>
      </c>
      <c r="G51" s="2" t="inlineStr">
        <is>
          <t>1.4</t>
        </is>
      </c>
      <c r="H51" s="2" t="inlineStr">
        <is>
          <t>1.4i 75 Access 5p AM80</t>
        </is>
      </c>
      <c r="I51" s="2" t="n"/>
      <c r="J51" s="2" t="n">
        <v>75</v>
      </c>
      <c r="K51" s="2" t="inlineStr">
        <is>
          <t>gasolina</t>
        </is>
      </c>
      <c r="L51" s="2" t="inlineStr">
        <is>
          <t>utilitario</t>
        </is>
      </c>
      <c r="M51" s="2" t="n">
        <v>2012</v>
      </c>
      <c r="N51" s="2" t="n">
        <v>145000</v>
      </c>
      <c r="O51" s="2" t="n">
        <v>4200</v>
      </c>
      <c r="P51" s="2" t="inlineStr">
        <is>
          <t>manual</t>
        </is>
      </c>
      <c r="Q51" s="2" t="inlineStr">
        <is>
          <t>no</t>
        </is>
      </c>
      <c r="R51" s="2" t="inlineStr">
        <is>
          <t>particular</t>
        </is>
      </c>
      <c r="S51" s="2" t="inlineStr">
        <is>
          <t>Valencia (46002)</t>
        </is>
      </c>
      <c r="T51" s="2" t="inlineStr">
        <is>
          <t>2026-10-26T10:28:41</t>
        </is>
      </c>
      <c r="U51" s="2" t="n">
        <v>7</v>
      </c>
      <c r="V51" s="2" t="inlineStr">
        <is>
          <t>sí</t>
        </is>
      </c>
      <c r="W51" s="2" t="n"/>
      <c r="X51" s="2" t="inlineStr">
        <is>
          <t>sí</t>
        </is>
      </c>
      <c r="Y51" s="2" t="n"/>
      <c r="Z51" s="2" t="n"/>
      <c r="AA51" s="2" t="n"/>
      <c r="AB51" s="2" t="n"/>
      <c r="AC51" s="2" t="n"/>
      <c r="AD51" s="2" t="n"/>
      <c r="AE51" s="2" t="n"/>
      <c r="AF51" s="2" t="n"/>
      <c r="AG51" s="2" t="n"/>
      <c r="AH51" s="2" t="n"/>
      <c r="AI51" s="2" t="n"/>
      <c r="AJ51" s="2" t="n"/>
      <c r="AK51" s="2" t="n"/>
      <c r="AL51" s="2" t="n"/>
      <c r="AM51" s="2" t="n">
        <v>0</v>
      </c>
      <c r="AN51" s="2" t="n">
        <v>4490</v>
      </c>
      <c r="AO51" s="2" t="n">
        <v>15</v>
      </c>
      <c r="AP51" s="2" t="inlineStr">
        <is>
          <t>modelo+año+km</t>
        </is>
      </c>
      <c r="AQ51" s="2" t="n"/>
      <c r="AR51" s="2" t="inlineStr">
        <is>
          <t>cuota fija ITP: &gt;12 años, hasta 1.500 cc; fiabilidad del modelo PENDIENTE de fuente (puntuación neutra)</t>
        </is>
      </c>
      <c r="AS51" s="2" t="inlineStr">
        <is>
          <t>Se vende Peugeot 207 del año 2012 y con tan solo 145.000 km. Motor 1.4i  poco consumo.
Distribución cambiada.
El coche esta cuidado y va fino.
Itv hasta junio 27.
Revisión de aceite y filtros reciente.
2 llaves.
Se puede ver y probar</t>
        </is>
      </c>
      <c r="AT51" s="2" t="inlineStr">
        <is>
          <t>https://es.wallapop.com/item/peugeot-207-2012-1309416714 (__NEXT_DATA__ item) /home/user/Alopecia/buscador-coches/raw/wallapop/65f9534ea3b1df77.json</t>
        </is>
      </c>
      <c r="AU51" s="3">
        <f>MAX(ANIO_ACTUAL-M51,0)</f>
        <v/>
      </c>
      <c r="AV51" s="4">
        <f>N51/MAX(AU51,0.5)</f>
        <v/>
      </c>
      <c r="AW51" s="4">
        <f>F51</f>
        <v/>
      </c>
      <c r="AX51" s="3">
        <f>AW51&amp;"|"&amp;INT(M51/SEG_ANIO)*SEG_ANIO</f>
        <v/>
      </c>
      <c r="AY51" s="3">
        <f>AX51&amp;"|"&amp;INT(N51/SEG_KM)*SEG_KM</f>
        <v/>
      </c>
      <c r="AZ51" s="4">
        <f>COUNTIF($AW$2:$AW$662,AW51)</f>
        <v/>
      </c>
      <c r="BA51" s="4">
        <f>COUNTIF($AX$2:$AX$662,AX51)</f>
        <v/>
      </c>
      <c r="BB51" s="4">
        <f>COUNTIF($AY$2:$AY$662,AY51)</f>
        <v/>
      </c>
      <c r="BC51" s="3">
        <f t="array" ref="BC51">IF(N(AO51)&gt;=MIN_N,AN51,IF(BB51&gt;=MIN_N,MEDIAN(IF($AY$2:$AY$662=AY51,$O$2:$O$662)),IF(BA51&gt;=MIN_N,MEDIAN(IF($AX$2:$AX$662=AX51,$O$2:$O$662)),MEDIAN(IF($AW$2:$AW$662=AW51,$O$2:$O$662)))))</f>
        <v/>
      </c>
      <c r="BD51" s="3">
        <f>IF(N(AO51)&gt;=MIN_N,"mercado "&amp;AP51,IF(BB51&gt;=MIN_N,"modelo+año+km",IF(BA51&gt;=MIN_N,"modelo+año","modelo")))</f>
        <v/>
      </c>
      <c r="BE51" s="4">
        <f>(BC51-O51)/BC51</f>
        <v/>
      </c>
      <c r="BF51" s="3">
        <f>IF(OR(K51="hibrido",K51="glp"),"ECO",IF(K51="electrico","CERO",IF(K51="gasolina",IF(M51&gt;=GAS_C,"C",IF(M51&gt;=GAS_B,"B","A")),IF(K51="diesel",IF(M51&gt;=DIE_C,"C",IF(M51&gt;=DIE_B,"B","A")),""))))</f>
        <v/>
      </c>
      <c r="BG51" s="3">
        <f>IFERROR(VLOOKUP(F51,MOD_TBL,11,0),IFERROR(VLOOKUP(E51,OCU_TBL,2,0),NEUTRO))</f>
        <v/>
      </c>
      <c r="BH51" s="3">
        <f>SUMIFS(MOT_AJUSTE,MOT_MOTOR,G51,MOT_MARCA,E51,MOT_DESDE,"&lt;="&amp;M51,MOT_HASTA,"&gt;="&amp;M51)+SUMIFS(MOT_AJUSTE,MOT_MOTOR,G51,MOT_MARCA,"(todas)",MOT_DESDE,"&lt;="&amp;M51,MOT_HASTA,"&gt;="&amp;M51)</f>
        <v/>
      </c>
      <c r="BI51" s="3">
        <f>SUMIFS(COMB_AJUSTE,COMB_COMB,K51)</f>
        <v/>
      </c>
      <c r="BJ51" s="3">
        <f>COUNTIFS(MOT_MOTOR,G51,MOT_MARCA,E51,MOT_DESDE,"&lt;="&amp;M51,MOT_HASTA,"&gt;="&amp;M51)+COUNTIFS(MOT_MOTOR,G51,MOT_MARCA,"(todas)",MOT_DESDE,"&lt;="&amp;M51,MOT_HASTA,"&gt;="&amp;M51)</f>
        <v/>
      </c>
      <c r="BK51" s="3">
        <f>IF(AND(K51="diesel",BJ51=0),MIN(BG51,NEUTRO),BG51)</f>
        <v/>
      </c>
      <c r="BL51" s="4">
        <f>MAX(0,MIN(100,BK51+BH51+BI51))</f>
        <v/>
      </c>
      <c r="BM51" s="3">
        <f>MAX(0,MIN(100,50+BE51*PRECIO_PEND))</f>
        <v/>
      </c>
      <c r="BN51" s="3">
        <f>MAX(0,100*(1-N51/KM_MAX))</f>
        <v/>
      </c>
      <c r="BO51" s="3">
        <f>IF(AV51&lt;KMA_SOSP,IF(AA51="sí",100,KMA_PEN),IF(AV51&lt;=KMA_IDEAL_MAX,100,MAX(0,100*(KMA_CERO-AV51)/(KMA_CERO-KMA_IDEAL_MAX))))</f>
        <v/>
      </c>
      <c r="BP51" s="3">
        <f>MAX(0,MIN(100,100*(M51-ANIO_MIN)/(ANIO_ACTUAL-ANIO_MIN)))</f>
        <v/>
      </c>
      <c r="BQ51" s="3">
        <f>W_KMT*BN51+W_KMA*BO51+W_EDAD*BP51</f>
        <v/>
      </c>
      <c r="BR51" s="3">
        <f>P_ITV*(V51="sí")+P_LIBRO*(W51="sí")+P_CORREA*(X51="sí")+P_PROP*(Y51=1)+P_GAR*(Z51="sí")+P_FOTOS*MIN(1,N(U51)/FOTOS_OBJ)</f>
        <v/>
      </c>
      <c r="BS51" s="3">
        <f>IFERROR(VLOOKUP(BF51,ETQ_TBL,2,0),NEUTRO)</f>
        <v/>
      </c>
      <c r="BT51" s="3">
        <f>NEUTRO</f>
        <v/>
      </c>
      <c r="BU51" s="3">
        <f>IFERROR(VLOOKUP(L51,SEGURO_TBL,3,0),"")</f>
        <v/>
      </c>
      <c r="BV51" s="3">
        <f>IF(BU51="",NEUTRO,MAX(0,MIN(100,100*(SEG_REF_MAX-BU51)/(SEG_REF_MAX-SEG_REF_MIN))))</f>
        <v/>
      </c>
      <c r="BW51" s="3">
        <f>W_ET*BS51+W_CONS*BT51+W_SEG*BV51</f>
        <v/>
      </c>
      <c r="BX51" s="3">
        <f>IF(N(AB51)&gt;0,AB51,IF(AND(R51="profesional",SG_LEGAL_ON=1),GAR_LEGAL,0))</f>
        <v/>
      </c>
      <c r="BY51" s="3">
        <f>SG_GAR*MIN(1,BX51/SG_GAR_FULL)+SG_AMPL*(AC51="sí")+SG_KMC*(AF51="sí")+SG_REV*(N(AE51)&gt;0)+SG_DEV*MIN(1,N(AG51)/SG_DEV_FULL)+SG_HIST*(W51="sí")</f>
        <v/>
      </c>
      <c r="BZ51" s="3">
        <f>IFERROR(VLOOKUP(L51,CARR_PEN_TBL,2,0),0)</f>
        <v/>
      </c>
      <c r="CA51" s="3">
        <f>W_FIAB*BL51+W_PRECIO*BM51+W_KMEDAD*BQ51+W_ANUNCIO*BR51+W_USO*BW51+W_SEGURIDAD*BY51-BZ51</f>
        <v/>
      </c>
      <c r="CB51" s="4">
        <f>IF(N(I51)&gt;0,I51,IFERROR(ROUND(_xlfn.NUMBERVALUE(LEFT(G51,FIND(" ",G51&amp;" ")-1),".")*1000,0),99999))</f>
        <v/>
      </c>
      <c r="CC51" s="3">
        <f>IF(R51="profesional",0,IF(O51&lt;CUOTA_VALOR_MAX,IF(AU51&gt;ITP_TRAMO_ALTO,SUMIFS(CF_CUOTA,CF_MAS,ITP_TRAMO_ALTO,CF_CCMIN,"&lt;="&amp;CB51,CF_CCMAX,"&gt;="&amp;CB51),IF(AU51&gt;ITP_TRAMO_BAJO,SUMIFS(CF_CUOTA,CF_MAS,ITP_TRAMO_BAJO,CF_CCMIN,"&lt;="&amp;CB51,CF_CCMAX,"&gt;="&amp;CB51),O51*ITP_TIPO)),O51*ITP_TIPO))</f>
        <v/>
      </c>
      <c r="CD51" s="4">
        <f>IF(R51="profesional",N(AK51),0)</f>
        <v/>
      </c>
      <c r="CE51" s="3">
        <f>IF(AND(R51="profesional",ISNUMBER(AK51),AL51="sí"),0,TASA_DGT)</f>
        <v/>
      </c>
      <c r="CF51" s="3">
        <f>INFORME_DGT</f>
        <v/>
      </c>
      <c r="CG51" s="4">
        <f>O51+CD51+CC51+CE51+CF51</f>
        <v/>
      </c>
      <c r="CH51" s="4">
        <f>CG51+N(BU51)</f>
        <v/>
      </c>
      <c r="CI51" s="3">
        <f>IF(CG51&lt;=TOTAL_MAX,"sí",IF(CG51&lt;=TOTAL_MAX+MARGEN_NEG,"negociar","no"))</f>
        <v/>
      </c>
      <c r="CJ51" s="4">
        <f>IF(CI51&lt;&gt;"no",COUNTIFS($CI$2:$CI$662,"&lt;&gt;no",$CA$2:$CA$662,"&gt;"&amp;CA51)+COUNTIFS($CI$2:CI51,"&lt;&gt;no",$CA$2:CA51,CA51),"")</f>
        <v/>
      </c>
    </row>
    <row r="52">
      <c r="A52" s="2" t="inlineStr">
        <is>
          <t>wallapop:1305060506</t>
        </is>
      </c>
      <c r="B52" s="2" t="inlineStr">
        <is>
          <t>wallapop</t>
        </is>
      </c>
      <c r="C52" s="2" t="inlineStr">
        <is>
          <t>https://es.wallapop.com/item/peugeot-207-1-6-hdi-90-cv-diesel-2008-1305060506</t>
        </is>
      </c>
      <c r="D52" s="2" t="inlineStr">
        <is>
          <t>Peugeot 207 1.6 HDi 90 CV Diésel 2008</t>
        </is>
      </c>
      <c r="E52" s="2" t="inlineStr">
        <is>
          <t>Peugeot</t>
        </is>
      </c>
      <c r="F52" s="2" t="inlineStr">
        <is>
          <t>Peugeot 207</t>
        </is>
      </c>
      <c r="G52" s="2" t="inlineStr">
        <is>
          <t>1.6 HDi</t>
        </is>
      </c>
      <c r="H52" s="2" t="inlineStr">
        <is>
          <t>1.6 HDi 90 Premium 5p</t>
        </is>
      </c>
      <c r="I52" s="2" t="n"/>
      <c r="J52" s="2" t="n">
        <v>90</v>
      </c>
      <c r="K52" s="2" t="inlineStr">
        <is>
          <t>diesel</t>
        </is>
      </c>
      <c r="L52" s="2" t="inlineStr">
        <is>
          <t>utilitario</t>
        </is>
      </c>
      <c r="M52" s="2" t="n">
        <v>2008</v>
      </c>
      <c r="N52" s="2" t="n">
        <v>213000</v>
      </c>
      <c r="O52" s="2" t="n">
        <v>2600</v>
      </c>
      <c r="P52" s="2" t="inlineStr">
        <is>
          <t>manual</t>
        </is>
      </c>
      <c r="Q52" s="2" t="inlineStr">
        <is>
          <t>no</t>
        </is>
      </c>
      <c r="R52" s="2" t="inlineStr">
        <is>
          <t>particular</t>
        </is>
      </c>
      <c r="S52" s="2" t="inlineStr">
        <is>
          <t>Valencia (46024)</t>
        </is>
      </c>
      <c r="T52" s="2" t="inlineStr">
        <is>
          <t>2026-10-29T11:17:53</t>
        </is>
      </c>
      <c r="U52" s="2" t="n">
        <v>7</v>
      </c>
      <c r="V52" s="2" t="inlineStr">
        <is>
          <t>sí</t>
        </is>
      </c>
      <c r="W52" s="2" t="n"/>
      <c r="X52" s="2" t="inlineStr">
        <is>
          <t>sí</t>
        </is>
      </c>
      <c r="Y52" s="2" t="n"/>
      <c r="Z52" s="2" t="n"/>
      <c r="AA52" s="2" t="n"/>
      <c r="AB52" s="2" t="n"/>
      <c r="AC52" s="2" t="n"/>
      <c r="AD52" s="2" t="n"/>
      <c r="AE52" s="2" t="n"/>
      <c r="AF52" s="2" t="n"/>
      <c r="AG52" s="2" t="n"/>
      <c r="AH52" s="2" t="n"/>
      <c r="AI52" s="2" t="n"/>
      <c r="AJ52" s="2" t="n"/>
      <c r="AK52" s="2" t="n"/>
      <c r="AL52" s="2" t="n"/>
      <c r="AM52" s="2" t="n">
        <v>4.1</v>
      </c>
      <c r="AN52" s="2" t="n">
        <v>2950</v>
      </c>
      <c r="AO52" s="2" t="n">
        <v>13</v>
      </c>
      <c r="AP52" s="2" t="inlineStr">
        <is>
          <t>modelo+año+km</t>
        </is>
      </c>
      <c r="AQ52" s="2" t="inlineStr">
        <is>
          <t>cochesnet:71776840 (https://www.coches.net/peugeot-207-confort-16-hdi-90-5p-diesel-2008-en-valencia-71776840-covo.aspx)</t>
        </is>
      </c>
      <c r="AR52" s="2" t="inlineStr">
        <is>
          <t>cuota fija ITP: &gt;12 años, 1.501-2.000 cc; fiabilidad del modelo PENDIENTE de fuente (puntuación neutra)</t>
        </is>
      </c>
      <c r="AS52" s="2" t="inlineStr">
        <is>
          <t>Coche de uso diario, económico de consumo y con mantenimiento realizado regularmente.
Mantenimiento y trabajos realizados:
* Distribución cambiada.
* 4 neumáticos nuevos cambiados en mayo.
* Revisiones y mantenimiento correspondientes.
* ITV hasta diciembre.
* Motor 1.6 HDi 90 CV.
* 213000 km.
Se vende por cambio de vehículo.
Tiene los detalles normales de uso y de los años, pero ha tenido su mantenimiento correspondiente. Se puede ver y probar sin compromiso.</t>
        </is>
      </c>
      <c r="AT52" s="2" t="inlineStr">
        <is>
          <t>https://es.wallapop.com/item/peugeot-207-1-6-hdi-90-cv-diesel-2008-1305060506 (__NEXT_DATA__ item) /home/user/Alopecia/buscador-coches/raw/wallapop/82814b5373df0b00.json</t>
        </is>
      </c>
      <c r="AU52" s="3">
        <f>MAX(ANIO_ACTUAL-M52,0)</f>
        <v/>
      </c>
      <c r="AV52" s="4">
        <f>N52/MAX(AU52,0.5)</f>
        <v/>
      </c>
      <c r="AW52" s="4">
        <f>F52</f>
        <v/>
      </c>
      <c r="AX52" s="3">
        <f>AW52&amp;"|"&amp;INT(M52/SEG_ANIO)*SEG_ANIO</f>
        <v/>
      </c>
      <c r="AY52" s="3">
        <f>AX52&amp;"|"&amp;INT(N52/SEG_KM)*SEG_KM</f>
        <v/>
      </c>
      <c r="AZ52" s="4">
        <f>COUNTIF($AW$2:$AW$662,AW52)</f>
        <v/>
      </c>
      <c r="BA52" s="4">
        <f>COUNTIF($AX$2:$AX$662,AX52)</f>
        <v/>
      </c>
      <c r="BB52" s="4">
        <f>COUNTIF($AY$2:$AY$662,AY52)</f>
        <v/>
      </c>
      <c r="BC52" s="3">
        <f t="array" ref="BC52">IF(N(AO52)&gt;=MIN_N,AN52,IF(BB52&gt;=MIN_N,MEDIAN(IF($AY$2:$AY$662=AY52,$O$2:$O$662)),IF(BA52&gt;=MIN_N,MEDIAN(IF($AX$2:$AX$662=AX52,$O$2:$O$662)),MEDIAN(IF($AW$2:$AW$662=AW52,$O$2:$O$662)))))</f>
        <v/>
      </c>
      <c r="BD52" s="3">
        <f>IF(N(AO52)&gt;=MIN_N,"mercado "&amp;AP52,IF(BB52&gt;=MIN_N,"modelo+año+km",IF(BA52&gt;=MIN_N,"modelo+año","modelo")))</f>
        <v/>
      </c>
      <c r="BE52" s="4">
        <f>(BC52-O52)/BC52</f>
        <v/>
      </c>
      <c r="BF52" s="3">
        <f>IF(OR(K52="hibrido",K52="glp"),"ECO",IF(K52="electrico","CERO",IF(K52="gasolina",IF(M52&gt;=GAS_C,"C",IF(M52&gt;=GAS_B,"B","A")),IF(K52="diesel",IF(M52&gt;=DIE_C,"C",IF(M52&gt;=DIE_B,"B","A")),""))))</f>
        <v/>
      </c>
      <c r="BG52" s="3">
        <f>IFERROR(VLOOKUP(F52,MOD_TBL,11,0),IFERROR(VLOOKUP(E52,OCU_TBL,2,0),NEUTRO))</f>
        <v/>
      </c>
      <c r="BH52" s="3">
        <f>SUMIFS(MOT_AJUSTE,MOT_MOTOR,G52,MOT_MARCA,E52,MOT_DESDE,"&lt;="&amp;M52,MOT_HASTA,"&gt;="&amp;M52)+SUMIFS(MOT_AJUSTE,MOT_MOTOR,G52,MOT_MARCA,"(todas)",MOT_DESDE,"&lt;="&amp;M52,MOT_HASTA,"&gt;="&amp;M52)</f>
        <v/>
      </c>
      <c r="BI52" s="3">
        <f>SUMIFS(COMB_AJUSTE,COMB_COMB,K52)</f>
        <v/>
      </c>
      <c r="BJ52" s="3">
        <f>COUNTIFS(MOT_MOTOR,G52,MOT_MARCA,E52,MOT_DESDE,"&lt;="&amp;M52,MOT_HASTA,"&gt;="&amp;M52)+COUNTIFS(MOT_MOTOR,G52,MOT_MARCA,"(todas)",MOT_DESDE,"&lt;="&amp;M52,MOT_HASTA,"&gt;="&amp;M52)</f>
        <v/>
      </c>
      <c r="BK52" s="3">
        <f>IF(AND(K52="diesel",BJ52=0),MIN(BG52,NEUTRO),BG52)</f>
        <v/>
      </c>
      <c r="BL52" s="4">
        <f>MAX(0,MIN(100,BK52+BH52+BI52))</f>
        <v/>
      </c>
      <c r="BM52" s="3">
        <f>MAX(0,MIN(100,50+BE52*PRECIO_PEND))</f>
        <v/>
      </c>
      <c r="BN52" s="3">
        <f>MAX(0,100*(1-N52/KM_MAX))</f>
        <v/>
      </c>
      <c r="BO52" s="3">
        <f>IF(AV52&lt;KMA_SOSP,IF(AA52="sí",100,KMA_PEN),IF(AV52&lt;=KMA_IDEAL_MAX,100,MAX(0,100*(KMA_CERO-AV52)/(KMA_CERO-KMA_IDEAL_MAX))))</f>
        <v/>
      </c>
      <c r="BP52" s="3">
        <f>MAX(0,MIN(100,100*(M52-ANIO_MIN)/(ANIO_ACTUAL-ANIO_MIN)))</f>
        <v/>
      </c>
      <c r="BQ52" s="3">
        <f>W_KMT*BN52+W_KMA*BO52+W_EDAD*BP52</f>
        <v/>
      </c>
      <c r="BR52" s="3">
        <f>P_ITV*(V52="sí")+P_LIBRO*(W52="sí")+P_CORREA*(X52="sí")+P_PROP*(Y52=1)+P_GAR*(Z52="sí")+P_FOTOS*MIN(1,N(U52)/FOTOS_OBJ)</f>
        <v/>
      </c>
      <c r="BS52" s="3">
        <f>IFERROR(VLOOKUP(BF52,ETQ_TBL,2,0),NEUTRO)</f>
        <v/>
      </c>
      <c r="BT52" s="3">
        <f>NEUTRO</f>
        <v/>
      </c>
      <c r="BU52" s="3">
        <f>IFERROR(VLOOKUP(L52,SEGURO_TBL,3,0),"")</f>
        <v/>
      </c>
      <c r="BV52" s="3">
        <f>IF(BU52="",NEUTRO,MAX(0,MIN(100,100*(SEG_REF_MAX-BU52)/(SEG_REF_MAX-SEG_REF_MIN))))</f>
        <v/>
      </c>
      <c r="BW52" s="3">
        <f>W_ET*BS52+W_CONS*BT52+W_SEG*BV52</f>
        <v/>
      </c>
      <c r="BX52" s="3">
        <f>IF(N(AB52)&gt;0,AB52,IF(AND(R52="profesional",SG_LEGAL_ON=1),GAR_LEGAL,0))</f>
        <v/>
      </c>
      <c r="BY52" s="3">
        <f>SG_GAR*MIN(1,BX52/SG_GAR_FULL)+SG_AMPL*(AC52="sí")+SG_KMC*(AF52="sí")+SG_REV*(N(AE52)&gt;0)+SG_DEV*MIN(1,N(AG52)/SG_DEV_FULL)+SG_HIST*(W52="sí")</f>
        <v/>
      </c>
      <c r="BZ52" s="3">
        <f>IFERROR(VLOOKUP(L52,CARR_PEN_TBL,2,0),0)</f>
        <v/>
      </c>
      <c r="CA52" s="3">
        <f>W_FIAB*BL52+W_PRECIO*BM52+W_KMEDAD*BQ52+W_ANUNCIO*BR52+W_USO*BW52+W_SEGURIDAD*BY52-BZ52</f>
        <v/>
      </c>
      <c r="CB52" s="4">
        <f>IF(N(I52)&gt;0,I52,IFERROR(ROUND(_xlfn.NUMBERVALUE(LEFT(G52,FIND(" ",G52&amp;" ")-1),".")*1000,0),99999))</f>
        <v/>
      </c>
      <c r="CC52" s="3">
        <f>IF(R52="profesional",0,IF(O52&lt;CUOTA_VALOR_MAX,IF(AU52&gt;ITP_TRAMO_ALTO,SUMIFS(CF_CUOTA,CF_MAS,ITP_TRAMO_ALTO,CF_CCMIN,"&lt;="&amp;CB52,CF_CCMAX,"&gt;="&amp;CB52),IF(AU52&gt;ITP_TRAMO_BAJO,SUMIFS(CF_CUOTA,CF_MAS,ITP_TRAMO_BAJO,CF_CCMIN,"&lt;="&amp;CB52,CF_CCMAX,"&gt;="&amp;CB52),O52*ITP_TIPO)),O52*ITP_TIPO))</f>
        <v/>
      </c>
      <c r="CD52" s="4">
        <f>IF(R52="profesional",N(AK52),0)</f>
        <v/>
      </c>
      <c r="CE52" s="3">
        <f>IF(AND(R52="profesional",ISNUMBER(AK52),AL52="sí"),0,TASA_DGT)</f>
        <v/>
      </c>
      <c r="CF52" s="3">
        <f>INFORME_DGT</f>
        <v/>
      </c>
      <c r="CG52" s="4">
        <f>O52+CD52+CC52+CE52+CF52</f>
        <v/>
      </c>
      <c r="CH52" s="4">
        <f>CG52+N(BU52)</f>
        <v/>
      </c>
      <c r="CI52" s="3">
        <f>IF(CG52&lt;=TOTAL_MAX,"sí",IF(CG52&lt;=TOTAL_MAX+MARGEN_NEG,"negociar","no"))</f>
        <v/>
      </c>
      <c r="CJ52" s="4">
        <f>IF(CI52&lt;&gt;"no",COUNTIFS($CI$2:$CI$662,"&lt;&gt;no",$CA$2:$CA$662,"&gt;"&amp;CA52)+COUNTIFS($CI$2:CI52,"&lt;&gt;no",$CA$2:CA52,CA52),"")</f>
        <v/>
      </c>
    </row>
    <row r="53">
      <c r="A53" s="2" t="inlineStr">
        <is>
          <t>wallapop:1295140251</t>
        </is>
      </c>
      <c r="B53" s="2" t="inlineStr">
        <is>
          <t>wallapop</t>
        </is>
      </c>
      <c r="C53" s="2" t="inlineStr">
        <is>
          <t>https://es.wallapop.com/item/peugeot-207-2010-1295140251</t>
        </is>
      </c>
      <c r="D53" s="2" t="inlineStr">
        <is>
          <t>Peugeot 207 2010</t>
        </is>
      </c>
      <c r="E53" s="2" t="inlineStr">
        <is>
          <t>Peugeot</t>
        </is>
      </c>
      <c r="F53" s="2" t="inlineStr">
        <is>
          <t>Peugeot 207</t>
        </is>
      </c>
      <c r="G53" s="2" t="inlineStr">
        <is>
          <t>1.4 VTi</t>
        </is>
      </c>
      <c r="H53" s="2" t="inlineStr">
        <is>
          <t>1.4 VTi 95 Confort 5p AM70</t>
        </is>
      </c>
      <c r="I53" s="2" t="n"/>
      <c r="J53" s="2" t="n">
        <v>95</v>
      </c>
      <c r="K53" s="2" t="inlineStr">
        <is>
          <t>gasolina</t>
        </is>
      </c>
      <c r="L53" s="2" t="inlineStr">
        <is>
          <t>utilitario</t>
        </is>
      </c>
      <c r="M53" s="2" t="n">
        <v>2010</v>
      </c>
      <c r="N53" s="2" t="n">
        <v>140000</v>
      </c>
      <c r="O53" s="2" t="n">
        <v>3200</v>
      </c>
      <c r="P53" s="2" t="inlineStr">
        <is>
          <t>manual</t>
        </is>
      </c>
      <c r="Q53" s="2" t="inlineStr">
        <is>
          <t>no</t>
        </is>
      </c>
      <c r="R53" s="2" t="inlineStr">
        <is>
          <t>particular</t>
        </is>
      </c>
      <c r="S53" s="2" t="inlineStr">
        <is>
          <t>Valencia (46002)</t>
        </is>
      </c>
      <c r="T53" s="2" t="inlineStr">
        <is>
          <t>2026-09-24T08:57:29</t>
        </is>
      </c>
      <c r="U53" s="2" t="n">
        <v>5</v>
      </c>
      <c r="V53" s="2" t="n"/>
      <c r="W53" s="2" t="n"/>
      <c r="X53" s="2" t="n"/>
      <c r="Y53" s="2" t="n"/>
      <c r="Z53" s="2" t="n"/>
      <c r="AA53" s="2" t="n"/>
      <c r="AB53" s="2" t="n"/>
      <c r="AC53" s="2" t="n"/>
      <c r="AD53" s="2" t="n"/>
      <c r="AE53" s="2" t="n"/>
      <c r="AF53" s="2" t="n"/>
      <c r="AG53" s="2" t="n"/>
      <c r="AH53" s="2" t="n"/>
      <c r="AI53" s="2" t="n"/>
      <c r="AJ53" s="2" t="n"/>
      <c r="AK53" s="2" t="n"/>
      <c r="AL53" s="2" t="n"/>
      <c r="AM53" s="2" t="n">
        <v>0.5</v>
      </c>
      <c r="AN53" s="2" t="n">
        <v>4490</v>
      </c>
      <c r="AO53" s="2" t="n">
        <v>15</v>
      </c>
      <c r="AP53" s="2" t="inlineStr">
        <is>
          <t>modelo+año+km</t>
        </is>
      </c>
      <c r="AQ53" s="2" t="n"/>
      <c r="AR53" s="2" t="inlineStr">
        <is>
          <t>cuota fija ITP: &gt;12 años, hasta 1.500 cc; fiabilidad del modelo PENDIENTE de fuente (puntuación neutra)</t>
        </is>
      </c>
      <c r="AS53" s="2" t="inlineStr">
        <is>
          <t xml:space="preserve">Se le acaba de hacer distribución, aceite y filtros, bujías, junta de culata nueva, válvulas nuevas, 
Lo probáis y sacáis conclusión.  </t>
        </is>
      </c>
      <c r="AT53" s="2" t="inlineStr">
        <is>
          <t>https://es.wallapop.com/item/peugeot-207-2010-1295140251 (__NEXT_DATA__ item) /home/user/Alopecia/buscador-coches/raw/wallapop/4e14ec4c538561fc.json</t>
        </is>
      </c>
      <c r="AU53" s="3">
        <f>MAX(ANIO_ACTUAL-M53,0)</f>
        <v/>
      </c>
      <c r="AV53" s="4">
        <f>N53/MAX(AU53,0.5)</f>
        <v/>
      </c>
      <c r="AW53" s="4">
        <f>F53</f>
        <v/>
      </c>
      <c r="AX53" s="3">
        <f>AW53&amp;"|"&amp;INT(M53/SEG_ANIO)*SEG_ANIO</f>
        <v/>
      </c>
      <c r="AY53" s="3">
        <f>AX53&amp;"|"&amp;INT(N53/SEG_KM)*SEG_KM</f>
        <v/>
      </c>
      <c r="AZ53" s="4">
        <f>COUNTIF($AW$2:$AW$662,AW53)</f>
        <v/>
      </c>
      <c r="BA53" s="4">
        <f>COUNTIF($AX$2:$AX$662,AX53)</f>
        <v/>
      </c>
      <c r="BB53" s="4">
        <f>COUNTIF($AY$2:$AY$662,AY53)</f>
        <v/>
      </c>
      <c r="BC53" s="3">
        <f t="array" ref="BC53">IF(N(AO53)&gt;=MIN_N,AN53,IF(BB53&gt;=MIN_N,MEDIAN(IF($AY$2:$AY$662=AY53,$O$2:$O$662)),IF(BA53&gt;=MIN_N,MEDIAN(IF($AX$2:$AX$662=AX53,$O$2:$O$662)),MEDIAN(IF($AW$2:$AW$662=AW53,$O$2:$O$662)))))</f>
        <v/>
      </c>
      <c r="BD53" s="3">
        <f>IF(N(AO53)&gt;=MIN_N,"mercado "&amp;AP53,IF(BB53&gt;=MIN_N,"modelo+año+km",IF(BA53&gt;=MIN_N,"modelo+año","modelo")))</f>
        <v/>
      </c>
      <c r="BE53" s="4">
        <f>(BC53-O53)/BC53</f>
        <v/>
      </c>
      <c r="BF53" s="3">
        <f>IF(OR(K53="hibrido",K53="glp"),"ECO",IF(K53="electrico","CERO",IF(K53="gasolina",IF(M53&gt;=GAS_C,"C",IF(M53&gt;=GAS_B,"B","A")),IF(K53="diesel",IF(M53&gt;=DIE_C,"C",IF(M53&gt;=DIE_B,"B","A")),""))))</f>
        <v/>
      </c>
      <c r="BG53" s="3">
        <f>IFERROR(VLOOKUP(F53,MOD_TBL,11,0),IFERROR(VLOOKUP(E53,OCU_TBL,2,0),NEUTRO))</f>
        <v/>
      </c>
      <c r="BH53" s="3">
        <f>SUMIFS(MOT_AJUSTE,MOT_MOTOR,G53,MOT_MARCA,E53,MOT_DESDE,"&lt;="&amp;M53,MOT_HASTA,"&gt;="&amp;M53)+SUMIFS(MOT_AJUSTE,MOT_MOTOR,G53,MOT_MARCA,"(todas)",MOT_DESDE,"&lt;="&amp;M53,MOT_HASTA,"&gt;="&amp;M53)</f>
        <v/>
      </c>
      <c r="BI53" s="3">
        <f>SUMIFS(COMB_AJUSTE,COMB_COMB,K53)</f>
        <v/>
      </c>
      <c r="BJ53" s="3">
        <f>COUNTIFS(MOT_MOTOR,G53,MOT_MARCA,E53,MOT_DESDE,"&lt;="&amp;M53,MOT_HASTA,"&gt;="&amp;M53)+COUNTIFS(MOT_MOTOR,G53,MOT_MARCA,"(todas)",MOT_DESDE,"&lt;="&amp;M53,MOT_HASTA,"&gt;="&amp;M53)</f>
        <v/>
      </c>
      <c r="BK53" s="3">
        <f>IF(AND(K53="diesel",BJ53=0),MIN(BG53,NEUTRO),BG53)</f>
        <v/>
      </c>
      <c r="BL53" s="4">
        <f>MAX(0,MIN(100,BK53+BH53+BI53))</f>
        <v/>
      </c>
      <c r="BM53" s="3">
        <f>MAX(0,MIN(100,50+BE53*PRECIO_PEND))</f>
        <v/>
      </c>
      <c r="BN53" s="3">
        <f>MAX(0,100*(1-N53/KM_MAX))</f>
        <v/>
      </c>
      <c r="BO53" s="3">
        <f>IF(AV53&lt;KMA_SOSP,IF(AA53="sí",100,KMA_PEN),IF(AV53&lt;=KMA_IDEAL_MAX,100,MAX(0,100*(KMA_CERO-AV53)/(KMA_CERO-KMA_IDEAL_MAX))))</f>
        <v/>
      </c>
      <c r="BP53" s="3">
        <f>MAX(0,MIN(100,100*(M53-ANIO_MIN)/(ANIO_ACTUAL-ANIO_MIN)))</f>
        <v/>
      </c>
      <c r="BQ53" s="3">
        <f>W_KMT*BN53+W_KMA*BO53+W_EDAD*BP53</f>
        <v/>
      </c>
      <c r="BR53" s="3">
        <f>P_ITV*(V53="sí")+P_LIBRO*(W53="sí")+P_CORREA*(X53="sí")+P_PROP*(Y53=1)+P_GAR*(Z53="sí")+P_FOTOS*MIN(1,N(U53)/FOTOS_OBJ)</f>
        <v/>
      </c>
      <c r="BS53" s="3">
        <f>IFERROR(VLOOKUP(BF53,ETQ_TBL,2,0),NEUTRO)</f>
        <v/>
      </c>
      <c r="BT53" s="3">
        <f>NEUTRO</f>
        <v/>
      </c>
      <c r="BU53" s="3">
        <f>IFERROR(VLOOKUP(L53,SEGURO_TBL,3,0),"")</f>
        <v/>
      </c>
      <c r="BV53" s="3">
        <f>IF(BU53="",NEUTRO,MAX(0,MIN(100,100*(SEG_REF_MAX-BU53)/(SEG_REF_MAX-SEG_REF_MIN))))</f>
        <v/>
      </c>
      <c r="BW53" s="3">
        <f>W_ET*BS53+W_CONS*BT53+W_SEG*BV53</f>
        <v/>
      </c>
      <c r="BX53" s="3">
        <f>IF(N(AB53)&gt;0,AB53,IF(AND(R53="profesional",SG_LEGAL_ON=1),GAR_LEGAL,0))</f>
        <v/>
      </c>
      <c r="BY53" s="3">
        <f>SG_GAR*MIN(1,BX53/SG_GAR_FULL)+SG_AMPL*(AC53="sí")+SG_KMC*(AF53="sí")+SG_REV*(N(AE53)&gt;0)+SG_DEV*MIN(1,N(AG53)/SG_DEV_FULL)+SG_HIST*(W53="sí")</f>
        <v/>
      </c>
      <c r="BZ53" s="3">
        <f>IFERROR(VLOOKUP(L53,CARR_PEN_TBL,2,0),0)</f>
        <v/>
      </c>
      <c r="CA53" s="3">
        <f>W_FIAB*BL53+W_PRECIO*BM53+W_KMEDAD*BQ53+W_ANUNCIO*BR53+W_USO*BW53+W_SEGURIDAD*BY53-BZ53</f>
        <v/>
      </c>
      <c r="CB53" s="4">
        <f>IF(N(I53)&gt;0,I53,IFERROR(ROUND(_xlfn.NUMBERVALUE(LEFT(G53,FIND(" ",G53&amp;" ")-1),".")*1000,0),99999))</f>
        <v/>
      </c>
      <c r="CC53" s="3">
        <f>IF(R53="profesional",0,IF(O53&lt;CUOTA_VALOR_MAX,IF(AU53&gt;ITP_TRAMO_ALTO,SUMIFS(CF_CUOTA,CF_MAS,ITP_TRAMO_ALTO,CF_CCMIN,"&lt;="&amp;CB53,CF_CCMAX,"&gt;="&amp;CB53),IF(AU53&gt;ITP_TRAMO_BAJO,SUMIFS(CF_CUOTA,CF_MAS,ITP_TRAMO_BAJO,CF_CCMIN,"&lt;="&amp;CB53,CF_CCMAX,"&gt;="&amp;CB53),O53*ITP_TIPO)),O53*ITP_TIPO))</f>
        <v/>
      </c>
      <c r="CD53" s="4">
        <f>IF(R53="profesional",N(AK53),0)</f>
        <v/>
      </c>
      <c r="CE53" s="3">
        <f>IF(AND(R53="profesional",ISNUMBER(AK53),AL53="sí"),0,TASA_DGT)</f>
        <v/>
      </c>
      <c r="CF53" s="3">
        <f>INFORME_DGT</f>
        <v/>
      </c>
      <c r="CG53" s="4">
        <f>O53+CD53+CC53+CE53+CF53</f>
        <v/>
      </c>
      <c r="CH53" s="4">
        <f>CG53+N(BU53)</f>
        <v/>
      </c>
      <c r="CI53" s="3">
        <f>IF(CG53&lt;=TOTAL_MAX,"sí",IF(CG53&lt;=TOTAL_MAX+MARGEN_NEG,"negociar","no"))</f>
        <v/>
      </c>
      <c r="CJ53" s="4">
        <f>IF(CI53&lt;&gt;"no",COUNTIFS($CI$2:$CI$662,"&lt;&gt;no",$CA$2:$CA$662,"&gt;"&amp;CA53)+COUNTIFS($CI$2:CI53,"&lt;&gt;no",$CA$2:CA53,CA53),"")</f>
        <v/>
      </c>
    </row>
    <row r="54">
      <c r="A54" s="2" t="inlineStr">
        <is>
          <t>wallapop:1288893394</t>
        </is>
      </c>
      <c r="B54" s="2" t="inlineStr">
        <is>
          <t>wallapop</t>
        </is>
      </c>
      <c r="C54" s="2" t="inlineStr">
        <is>
          <t>https://es.wallapop.com/item/peugeot-207-2008-1288893394</t>
        </is>
      </c>
      <c r="D54" s="2" t="inlineStr">
        <is>
          <t>Peugeot 207 2008</t>
        </is>
      </c>
      <c r="E54" s="2" t="inlineStr">
        <is>
          <t>Peugeot</t>
        </is>
      </c>
      <c r="F54" s="2" t="inlineStr">
        <is>
          <t>Peugeot 207</t>
        </is>
      </c>
      <c r="G54" s="2" t="n"/>
      <c r="H54" s="2" t="n"/>
      <c r="I54" s="2" t="n"/>
      <c r="J54" s="2" t="n"/>
      <c r="K54" s="2" t="inlineStr">
        <is>
          <t>diesel</t>
        </is>
      </c>
      <c r="L54" s="2" t="inlineStr">
        <is>
          <t>utilitario</t>
        </is>
      </c>
      <c r="M54" s="2" t="n">
        <v>2008</v>
      </c>
      <c r="N54" s="2" t="n">
        <v>200000</v>
      </c>
      <c r="O54" s="2" t="n">
        <v>3000</v>
      </c>
      <c r="P54" s="2" t="inlineStr">
        <is>
          <t>manual</t>
        </is>
      </c>
      <c r="Q54" s="2" t="inlineStr">
        <is>
          <t>no</t>
        </is>
      </c>
      <c r="R54" s="2" t="inlineStr">
        <is>
          <t>particular</t>
        </is>
      </c>
      <c r="S54" s="2" t="inlineStr">
        <is>
          <t>Valencia (46020)</t>
        </is>
      </c>
      <c r="T54" s="2" t="inlineStr">
        <is>
          <t>2026-10-14T12:39:31</t>
        </is>
      </c>
      <c r="U54" s="2" t="n">
        <v>6</v>
      </c>
      <c r="V54" s="2" t="n"/>
      <c r="W54" s="2" t="n"/>
      <c r="X54" s="2" t="inlineStr">
        <is>
          <t>sí</t>
        </is>
      </c>
      <c r="Y54" s="2" t="n"/>
      <c r="Z54" s="2" t="n"/>
      <c r="AA54" s="2" t="n"/>
      <c r="AB54" s="2" t="n"/>
      <c r="AC54" s="2" t="n"/>
      <c r="AD54" s="2" t="n"/>
      <c r="AE54" s="2" t="n"/>
      <c r="AF54" s="2" t="n"/>
      <c r="AG54" s="2" t="n"/>
      <c r="AH54" s="2" t="n"/>
      <c r="AI54" s="2" t="n"/>
      <c r="AJ54" s="2" t="n"/>
      <c r="AK54" s="2" t="n"/>
      <c r="AL54" s="2" t="n"/>
      <c r="AM54" s="2" t="n">
        <v>3.2</v>
      </c>
      <c r="AN54" s="2" t="n">
        <v>2950</v>
      </c>
      <c r="AO54" s="2" t="n">
        <v>13</v>
      </c>
      <c r="AP54" s="2" t="inlineStr">
        <is>
          <t>modelo+año+km</t>
        </is>
      </c>
      <c r="AQ54" s="2" t="n"/>
      <c r="AR54" s="2" t="inlineStr">
        <is>
          <t>cilindrada desconocida: se aplica el tramo de cuota fija más alto; cuota fija ITP: &gt;12 años, más de 2.000 cc; diésel: motor sin fuente de fiabilidad (fiabilidad limitada a neutra); fiabilidad del modelo PENDIENTE de fuente (puntuación neutra)</t>
        </is>
      </c>
      <c r="AS54" s="2" t="inlineStr">
        <is>
          <t>Peugeot 207 en color negro muy bien cuidado, correa distribución cambiada hace 2 años, consumo de combustible bajo, 1.4 Hdi, funciona aire acondicionado, ventanillas, radio ..todo, ITV finales 2027</t>
        </is>
      </c>
      <c r="AT54" s="2" t="inlineStr">
        <is>
          <t>https://es.wallapop.com/item/peugeot-207-2008-1288893394 (__NEXT_DATA__ item) /home/user/Alopecia/buscador-coches/raw/wallapop/bebce9ca566811ee.json</t>
        </is>
      </c>
      <c r="AU54" s="3">
        <f>MAX(ANIO_ACTUAL-M54,0)</f>
        <v/>
      </c>
      <c r="AV54" s="4">
        <f>N54/MAX(AU54,0.5)</f>
        <v/>
      </c>
      <c r="AW54" s="4">
        <f>F54</f>
        <v/>
      </c>
      <c r="AX54" s="3">
        <f>AW54&amp;"|"&amp;INT(M54/SEG_ANIO)*SEG_ANIO</f>
        <v/>
      </c>
      <c r="AY54" s="3">
        <f>AX54&amp;"|"&amp;INT(N54/SEG_KM)*SEG_KM</f>
        <v/>
      </c>
      <c r="AZ54" s="4">
        <f>COUNTIF($AW$2:$AW$662,AW54)</f>
        <v/>
      </c>
      <c r="BA54" s="4">
        <f>COUNTIF($AX$2:$AX$662,AX54)</f>
        <v/>
      </c>
      <c r="BB54" s="4">
        <f>COUNTIF($AY$2:$AY$662,AY54)</f>
        <v/>
      </c>
      <c r="BC54" s="3">
        <f t="array" ref="BC54">IF(N(AO54)&gt;=MIN_N,AN54,IF(BB54&gt;=MIN_N,MEDIAN(IF($AY$2:$AY$662=AY54,$O$2:$O$662)),IF(BA54&gt;=MIN_N,MEDIAN(IF($AX$2:$AX$662=AX54,$O$2:$O$662)),MEDIAN(IF($AW$2:$AW$662=AW54,$O$2:$O$662)))))</f>
        <v/>
      </c>
      <c r="BD54" s="3">
        <f>IF(N(AO54)&gt;=MIN_N,"mercado "&amp;AP54,IF(BB54&gt;=MIN_N,"modelo+año+km",IF(BA54&gt;=MIN_N,"modelo+año","modelo")))</f>
        <v/>
      </c>
      <c r="BE54" s="4">
        <f>(BC54-O54)/BC54</f>
        <v/>
      </c>
      <c r="BF54" s="3">
        <f>IF(OR(K54="hibrido",K54="glp"),"ECO",IF(K54="electrico","CERO",IF(K54="gasolina",IF(M54&gt;=GAS_C,"C",IF(M54&gt;=GAS_B,"B","A")),IF(K54="diesel",IF(M54&gt;=DIE_C,"C",IF(M54&gt;=DIE_B,"B","A")),""))))</f>
        <v/>
      </c>
      <c r="BG54" s="3">
        <f>IFERROR(VLOOKUP(F54,MOD_TBL,11,0),IFERROR(VLOOKUP(E54,OCU_TBL,2,0),NEUTRO))</f>
        <v/>
      </c>
      <c r="BH54" s="3">
        <f>SUMIFS(MOT_AJUSTE,MOT_MOTOR,G54,MOT_MARCA,E54,MOT_DESDE,"&lt;="&amp;M54,MOT_HASTA,"&gt;="&amp;M54)+SUMIFS(MOT_AJUSTE,MOT_MOTOR,G54,MOT_MARCA,"(todas)",MOT_DESDE,"&lt;="&amp;M54,MOT_HASTA,"&gt;="&amp;M54)</f>
        <v/>
      </c>
      <c r="BI54" s="3">
        <f>SUMIFS(COMB_AJUSTE,COMB_COMB,K54)</f>
        <v/>
      </c>
      <c r="BJ54" s="3">
        <f>COUNTIFS(MOT_MOTOR,G54,MOT_MARCA,E54,MOT_DESDE,"&lt;="&amp;M54,MOT_HASTA,"&gt;="&amp;M54)+COUNTIFS(MOT_MOTOR,G54,MOT_MARCA,"(todas)",MOT_DESDE,"&lt;="&amp;M54,MOT_HASTA,"&gt;="&amp;M54)</f>
        <v/>
      </c>
      <c r="BK54" s="3">
        <f>IF(AND(K54="diesel",BJ54=0),MIN(BG54,NEUTRO),BG54)</f>
        <v/>
      </c>
      <c r="BL54" s="4">
        <f>MAX(0,MIN(100,BK54+BH54+BI54))</f>
        <v/>
      </c>
      <c r="BM54" s="3">
        <f>MAX(0,MIN(100,50+BE54*PRECIO_PEND))</f>
        <v/>
      </c>
      <c r="BN54" s="3">
        <f>MAX(0,100*(1-N54/KM_MAX))</f>
        <v/>
      </c>
      <c r="BO54" s="3">
        <f>IF(AV54&lt;KMA_SOSP,IF(AA54="sí",100,KMA_PEN),IF(AV54&lt;=KMA_IDEAL_MAX,100,MAX(0,100*(KMA_CERO-AV54)/(KMA_CERO-KMA_IDEAL_MAX))))</f>
        <v/>
      </c>
      <c r="BP54" s="3">
        <f>MAX(0,MIN(100,100*(M54-ANIO_MIN)/(ANIO_ACTUAL-ANIO_MIN)))</f>
        <v/>
      </c>
      <c r="BQ54" s="3">
        <f>W_KMT*BN54+W_KMA*BO54+W_EDAD*BP54</f>
        <v/>
      </c>
      <c r="BR54" s="3">
        <f>P_ITV*(V54="sí")+P_LIBRO*(W54="sí")+P_CORREA*(X54="sí")+P_PROP*(Y54=1)+P_GAR*(Z54="sí")+P_FOTOS*MIN(1,N(U54)/FOTOS_OBJ)</f>
        <v/>
      </c>
      <c r="BS54" s="3">
        <f>IFERROR(VLOOKUP(BF54,ETQ_TBL,2,0),NEUTRO)</f>
        <v/>
      </c>
      <c r="BT54" s="3">
        <f>NEUTRO</f>
        <v/>
      </c>
      <c r="BU54" s="3">
        <f>IFERROR(VLOOKUP(L54,SEGURO_TBL,3,0),"")</f>
        <v/>
      </c>
      <c r="BV54" s="3">
        <f>IF(BU54="",NEUTRO,MAX(0,MIN(100,100*(SEG_REF_MAX-BU54)/(SEG_REF_MAX-SEG_REF_MIN))))</f>
        <v/>
      </c>
      <c r="BW54" s="3">
        <f>W_ET*BS54+W_CONS*BT54+W_SEG*BV54</f>
        <v/>
      </c>
      <c r="BX54" s="3">
        <f>IF(N(AB54)&gt;0,AB54,IF(AND(R54="profesional",SG_LEGAL_ON=1),GAR_LEGAL,0))</f>
        <v/>
      </c>
      <c r="BY54" s="3">
        <f>SG_GAR*MIN(1,BX54/SG_GAR_FULL)+SG_AMPL*(AC54="sí")+SG_KMC*(AF54="sí")+SG_REV*(N(AE54)&gt;0)+SG_DEV*MIN(1,N(AG54)/SG_DEV_FULL)+SG_HIST*(W54="sí")</f>
        <v/>
      </c>
      <c r="BZ54" s="3">
        <f>IFERROR(VLOOKUP(L54,CARR_PEN_TBL,2,0),0)</f>
        <v/>
      </c>
      <c r="CA54" s="3">
        <f>W_FIAB*BL54+W_PRECIO*BM54+W_KMEDAD*BQ54+W_ANUNCIO*BR54+W_USO*BW54+W_SEGURIDAD*BY54-BZ54</f>
        <v/>
      </c>
      <c r="CB54" s="4">
        <f>IF(N(I54)&gt;0,I54,IFERROR(ROUND(_xlfn.NUMBERVALUE(LEFT(G54,FIND(" ",G54&amp;" ")-1),".")*1000,0),99999))</f>
        <v/>
      </c>
      <c r="CC54" s="3">
        <f>IF(R54="profesional",0,IF(O54&lt;CUOTA_VALOR_MAX,IF(AU54&gt;ITP_TRAMO_ALTO,SUMIFS(CF_CUOTA,CF_MAS,ITP_TRAMO_ALTO,CF_CCMIN,"&lt;="&amp;CB54,CF_CCMAX,"&gt;="&amp;CB54),IF(AU54&gt;ITP_TRAMO_BAJO,SUMIFS(CF_CUOTA,CF_MAS,ITP_TRAMO_BAJO,CF_CCMIN,"&lt;="&amp;CB54,CF_CCMAX,"&gt;="&amp;CB54),O54*ITP_TIPO)),O54*ITP_TIPO))</f>
        <v/>
      </c>
      <c r="CD54" s="4">
        <f>IF(R54="profesional",N(AK54),0)</f>
        <v/>
      </c>
      <c r="CE54" s="3">
        <f>IF(AND(R54="profesional",ISNUMBER(AK54),AL54="sí"),0,TASA_DGT)</f>
        <v/>
      </c>
      <c r="CF54" s="3">
        <f>INFORME_DGT</f>
        <v/>
      </c>
      <c r="CG54" s="4">
        <f>O54+CD54+CC54+CE54+CF54</f>
        <v/>
      </c>
      <c r="CH54" s="4">
        <f>CG54+N(BU54)</f>
        <v/>
      </c>
      <c r="CI54" s="3">
        <f>IF(CG54&lt;=TOTAL_MAX,"sí",IF(CG54&lt;=TOTAL_MAX+MARGEN_NEG,"negociar","no"))</f>
        <v/>
      </c>
      <c r="CJ54" s="4">
        <f>IF(CI54&lt;&gt;"no",COUNTIFS($CI$2:$CI$662,"&lt;&gt;no",$CA$2:$CA$662,"&gt;"&amp;CA54)+COUNTIFS($CI$2:CI54,"&lt;&gt;no",$CA$2:CA54,CA54),"")</f>
        <v/>
      </c>
    </row>
    <row r="55">
      <c r="A55" s="2" t="inlineStr">
        <is>
          <t>wallapop:1288549890</t>
        </is>
      </c>
      <c r="B55" s="2" t="inlineStr">
        <is>
          <t>wallapop</t>
        </is>
      </c>
      <c r="C55" s="2" t="inlineStr">
        <is>
          <t>https://es.wallapop.com/item/peugeot-207-2008-1288549890</t>
        </is>
      </c>
      <c r="D55" s="2" t="inlineStr">
        <is>
          <t>Peugeot 207 2008</t>
        </is>
      </c>
      <c r="E55" s="2" t="inlineStr">
        <is>
          <t>Peugeot</t>
        </is>
      </c>
      <c r="F55" s="2" t="inlineStr">
        <is>
          <t>Peugeot 207</t>
        </is>
      </c>
      <c r="G55" s="2" t="inlineStr">
        <is>
          <t>1.6 THP</t>
        </is>
      </c>
      <c r="H55" s="2" t="inlineStr">
        <is>
          <t>1.6 THP 175 RC 3p AM62</t>
        </is>
      </c>
      <c r="I55" s="2" t="n"/>
      <c r="J55" s="2" t="n">
        <v>175</v>
      </c>
      <c r="K55" s="2" t="inlineStr">
        <is>
          <t>gasolina</t>
        </is>
      </c>
      <c r="L55" s="2" t="inlineStr">
        <is>
          <t>utilitario</t>
        </is>
      </c>
      <c r="M55" s="2" t="n">
        <v>2008</v>
      </c>
      <c r="N55" s="2" t="n">
        <v>195400</v>
      </c>
      <c r="O55" s="2" t="n">
        <v>3900</v>
      </c>
      <c r="P55" s="2" t="inlineStr">
        <is>
          <t>manual</t>
        </is>
      </c>
      <c r="Q55" s="2" t="inlineStr">
        <is>
          <t>no</t>
        </is>
      </c>
      <c r="R55" s="2" t="inlineStr">
        <is>
          <t>particular</t>
        </is>
      </c>
      <c r="S55" s="2" t="inlineStr">
        <is>
          <t>Valencia (46002)</t>
        </is>
      </c>
      <c r="T55" s="2" t="inlineStr">
        <is>
          <t>2026-10-13T12:48:33</t>
        </is>
      </c>
      <c r="U55" s="2" t="n">
        <v>10</v>
      </c>
      <c r="V55" s="2" t="n"/>
      <c r="W55" s="2" t="n"/>
      <c r="X55" s="2" t="n"/>
      <c r="Y55" s="2" t="n"/>
      <c r="Z55" s="2" t="n"/>
      <c r="AA55" s="2" t="n"/>
      <c r="AB55" s="2" t="n"/>
      <c r="AC55" s="2" t="n"/>
      <c r="AD55" s="2" t="n"/>
      <c r="AE55" s="2" t="n"/>
      <c r="AF55" s="2" t="n"/>
      <c r="AG55" s="2" t="n"/>
      <c r="AH55" s="2" t="n"/>
      <c r="AI55" s="2" t="n"/>
      <c r="AJ55" s="2" t="n"/>
      <c r="AK55" s="2" t="n"/>
      <c r="AL55" s="2" t="n"/>
      <c r="AM55" s="2" t="n">
        <v>0.5</v>
      </c>
      <c r="AN55" s="2" t="n">
        <v>3600</v>
      </c>
      <c r="AO55" s="2" t="n">
        <v>21</v>
      </c>
      <c r="AP55" s="2" t="inlineStr">
        <is>
          <t>modelo+año+km</t>
        </is>
      </c>
      <c r="AQ55" s="2" t="n"/>
      <c r="AR55" s="2" t="inlineStr">
        <is>
          <t>cuota fija ITP: &gt;12 años, 1.501-2.000 cc; fiabilidad del modelo PENDIENTE de fuente (puntuación neutra)</t>
        </is>
      </c>
      <c r="AS55" s="2" t="inlineStr">
        <is>
          <t xml:space="preserve">PEUGEOT 207, TECHO SOLAR, ASIENTOS DE CUERO. 5 PLAZAS 175 CV COLOR NEGRO, 3 PUERTAS.  PARA MÁS INFO MI NÚMERO ES 691623801 </t>
        </is>
      </c>
      <c r="AT55" s="2" t="inlineStr">
        <is>
          <t>https://es.wallapop.com/item/peugeot-207-2008-1288549890 (__NEXT_DATA__ item) /home/user/Alopecia/buscador-coches/raw/wallapop/9eb03b1c190a17fe.json</t>
        </is>
      </c>
      <c r="AU55" s="3">
        <f>MAX(ANIO_ACTUAL-M55,0)</f>
        <v/>
      </c>
      <c r="AV55" s="4">
        <f>N55/MAX(AU55,0.5)</f>
        <v/>
      </c>
      <c r="AW55" s="4">
        <f>F55</f>
        <v/>
      </c>
      <c r="AX55" s="3">
        <f>AW55&amp;"|"&amp;INT(M55/SEG_ANIO)*SEG_ANIO</f>
        <v/>
      </c>
      <c r="AY55" s="3">
        <f>AX55&amp;"|"&amp;INT(N55/SEG_KM)*SEG_KM</f>
        <v/>
      </c>
      <c r="AZ55" s="4">
        <f>COUNTIF($AW$2:$AW$662,AW55)</f>
        <v/>
      </c>
      <c r="BA55" s="4">
        <f>COUNTIF($AX$2:$AX$662,AX55)</f>
        <v/>
      </c>
      <c r="BB55" s="4">
        <f>COUNTIF($AY$2:$AY$662,AY55)</f>
        <v/>
      </c>
      <c r="BC55" s="3">
        <f t="array" ref="BC55">IF(N(AO55)&gt;=MIN_N,AN55,IF(BB55&gt;=MIN_N,MEDIAN(IF($AY$2:$AY$662=AY55,$O$2:$O$662)),IF(BA55&gt;=MIN_N,MEDIAN(IF($AX$2:$AX$662=AX55,$O$2:$O$662)),MEDIAN(IF($AW$2:$AW$662=AW55,$O$2:$O$662)))))</f>
        <v/>
      </c>
      <c r="BD55" s="3">
        <f>IF(N(AO55)&gt;=MIN_N,"mercado "&amp;AP55,IF(BB55&gt;=MIN_N,"modelo+año+km",IF(BA55&gt;=MIN_N,"modelo+año","modelo")))</f>
        <v/>
      </c>
      <c r="BE55" s="4">
        <f>(BC55-O55)/BC55</f>
        <v/>
      </c>
      <c r="BF55" s="3">
        <f>IF(OR(K55="hibrido",K55="glp"),"ECO",IF(K55="electrico","CERO",IF(K55="gasolina",IF(M55&gt;=GAS_C,"C",IF(M55&gt;=GAS_B,"B","A")),IF(K55="diesel",IF(M55&gt;=DIE_C,"C",IF(M55&gt;=DIE_B,"B","A")),""))))</f>
        <v/>
      </c>
      <c r="BG55" s="3">
        <f>IFERROR(VLOOKUP(F55,MOD_TBL,11,0),IFERROR(VLOOKUP(E55,OCU_TBL,2,0),NEUTRO))</f>
        <v/>
      </c>
      <c r="BH55" s="3">
        <f>SUMIFS(MOT_AJUSTE,MOT_MOTOR,G55,MOT_MARCA,E55,MOT_DESDE,"&lt;="&amp;M55,MOT_HASTA,"&gt;="&amp;M55)+SUMIFS(MOT_AJUSTE,MOT_MOTOR,G55,MOT_MARCA,"(todas)",MOT_DESDE,"&lt;="&amp;M55,MOT_HASTA,"&gt;="&amp;M55)</f>
        <v/>
      </c>
      <c r="BI55" s="3">
        <f>SUMIFS(COMB_AJUSTE,COMB_COMB,K55)</f>
        <v/>
      </c>
      <c r="BJ55" s="3">
        <f>COUNTIFS(MOT_MOTOR,G55,MOT_MARCA,E55,MOT_DESDE,"&lt;="&amp;M55,MOT_HASTA,"&gt;="&amp;M55)+COUNTIFS(MOT_MOTOR,G55,MOT_MARCA,"(todas)",MOT_DESDE,"&lt;="&amp;M55,MOT_HASTA,"&gt;="&amp;M55)</f>
        <v/>
      </c>
      <c r="BK55" s="3">
        <f>IF(AND(K55="diesel",BJ55=0),MIN(BG55,NEUTRO),BG55)</f>
        <v/>
      </c>
      <c r="BL55" s="4">
        <f>MAX(0,MIN(100,BK55+BH55+BI55))</f>
        <v/>
      </c>
      <c r="BM55" s="3">
        <f>MAX(0,MIN(100,50+BE55*PRECIO_PEND))</f>
        <v/>
      </c>
      <c r="BN55" s="3">
        <f>MAX(0,100*(1-N55/KM_MAX))</f>
        <v/>
      </c>
      <c r="BO55" s="3">
        <f>IF(AV55&lt;KMA_SOSP,IF(AA55="sí",100,KMA_PEN),IF(AV55&lt;=KMA_IDEAL_MAX,100,MAX(0,100*(KMA_CERO-AV55)/(KMA_CERO-KMA_IDEAL_MAX))))</f>
        <v/>
      </c>
      <c r="BP55" s="3">
        <f>MAX(0,MIN(100,100*(M55-ANIO_MIN)/(ANIO_ACTUAL-ANIO_MIN)))</f>
        <v/>
      </c>
      <c r="BQ55" s="3">
        <f>W_KMT*BN55+W_KMA*BO55+W_EDAD*BP55</f>
        <v/>
      </c>
      <c r="BR55" s="3">
        <f>P_ITV*(V55="sí")+P_LIBRO*(W55="sí")+P_CORREA*(X55="sí")+P_PROP*(Y55=1)+P_GAR*(Z55="sí")+P_FOTOS*MIN(1,N(U55)/FOTOS_OBJ)</f>
        <v/>
      </c>
      <c r="BS55" s="3">
        <f>IFERROR(VLOOKUP(BF55,ETQ_TBL,2,0),NEUTRO)</f>
        <v/>
      </c>
      <c r="BT55" s="3">
        <f>NEUTRO</f>
        <v/>
      </c>
      <c r="BU55" s="3">
        <f>IFERROR(VLOOKUP(L55,SEGURO_TBL,3,0),"")</f>
        <v/>
      </c>
      <c r="BV55" s="3">
        <f>IF(BU55="",NEUTRO,MAX(0,MIN(100,100*(SEG_REF_MAX-BU55)/(SEG_REF_MAX-SEG_REF_MIN))))</f>
        <v/>
      </c>
      <c r="BW55" s="3">
        <f>W_ET*BS55+W_CONS*BT55+W_SEG*BV55</f>
        <v/>
      </c>
      <c r="BX55" s="3">
        <f>IF(N(AB55)&gt;0,AB55,IF(AND(R55="profesional",SG_LEGAL_ON=1),GAR_LEGAL,0))</f>
        <v/>
      </c>
      <c r="BY55" s="3">
        <f>SG_GAR*MIN(1,BX55/SG_GAR_FULL)+SG_AMPL*(AC55="sí")+SG_KMC*(AF55="sí")+SG_REV*(N(AE55)&gt;0)+SG_DEV*MIN(1,N(AG55)/SG_DEV_FULL)+SG_HIST*(W55="sí")</f>
        <v/>
      </c>
      <c r="BZ55" s="3">
        <f>IFERROR(VLOOKUP(L55,CARR_PEN_TBL,2,0),0)</f>
        <v/>
      </c>
      <c r="CA55" s="3">
        <f>W_FIAB*BL55+W_PRECIO*BM55+W_KMEDAD*BQ55+W_ANUNCIO*BR55+W_USO*BW55+W_SEGURIDAD*BY55-BZ55</f>
        <v/>
      </c>
      <c r="CB55" s="4">
        <f>IF(N(I55)&gt;0,I55,IFERROR(ROUND(_xlfn.NUMBERVALUE(LEFT(G55,FIND(" ",G55&amp;" ")-1),".")*1000,0),99999))</f>
        <v/>
      </c>
      <c r="CC55" s="3">
        <f>IF(R55="profesional",0,IF(O55&lt;CUOTA_VALOR_MAX,IF(AU55&gt;ITP_TRAMO_ALTO,SUMIFS(CF_CUOTA,CF_MAS,ITP_TRAMO_ALTO,CF_CCMIN,"&lt;="&amp;CB55,CF_CCMAX,"&gt;="&amp;CB55),IF(AU55&gt;ITP_TRAMO_BAJO,SUMIFS(CF_CUOTA,CF_MAS,ITP_TRAMO_BAJO,CF_CCMIN,"&lt;="&amp;CB55,CF_CCMAX,"&gt;="&amp;CB55),O55*ITP_TIPO)),O55*ITP_TIPO))</f>
        <v/>
      </c>
      <c r="CD55" s="4">
        <f>IF(R55="profesional",N(AK55),0)</f>
        <v/>
      </c>
      <c r="CE55" s="3">
        <f>IF(AND(R55="profesional",ISNUMBER(AK55),AL55="sí"),0,TASA_DGT)</f>
        <v/>
      </c>
      <c r="CF55" s="3">
        <f>INFORME_DGT</f>
        <v/>
      </c>
      <c r="CG55" s="4">
        <f>O55+CD55+CC55+CE55+CF55</f>
        <v/>
      </c>
      <c r="CH55" s="4">
        <f>CG55+N(BU55)</f>
        <v/>
      </c>
      <c r="CI55" s="3">
        <f>IF(CG55&lt;=TOTAL_MAX,"sí",IF(CG55&lt;=TOTAL_MAX+MARGEN_NEG,"negociar","no"))</f>
        <v/>
      </c>
      <c r="CJ55" s="4">
        <f>IF(CI55&lt;&gt;"no",COUNTIFS($CI$2:$CI$662,"&lt;&gt;no",$CA$2:$CA$662,"&gt;"&amp;CA55)+COUNTIFS($CI$2:CI55,"&lt;&gt;no",$CA$2:CA55,CA55),"")</f>
        <v/>
      </c>
    </row>
    <row r="56">
      <c r="A56" s="2" t="inlineStr">
        <is>
          <t>wallapop:1280300367</t>
        </is>
      </c>
      <c r="B56" s="2" t="inlineStr">
        <is>
          <t>wallapop</t>
        </is>
      </c>
      <c r="C56" s="2" t="inlineStr">
        <is>
          <t>https://es.wallapop.com/item/peugeot-207-2008-1280300367</t>
        </is>
      </c>
      <c r="D56" s="2" t="inlineStr">
        <is>
          <t>Peugeot 207 2008</t>
        </is>
      </c>
      <c r="E56" s="2" t="inlineStr">
        <is>
          <t>Peugeot</t>
        </is>
      </c>
      <c r="F56" s="2" t="inlineStr">
        <is>
          <t>Peugeot 207</t>
        </is>
      </c>
      <c r="G56" s="2" t="inlineStr">
        <is>
          <t>1.6 HDi</t>
        </is>
      </c>
      <c r="H56" s="2" t="inlineStr">
        <is>
          <t>1.6 HDi 110 Sport 5p</t>
        </is>
      </c>
      <c r="I56" s="2" t="n"/>
      <c r="J56" s="2" t="n">
        <v>110</v>
      </c>
      <c r="K56" s="2" t="inlineStr">
        <is>
          <t>gasolina</t>
        </is>
      </c>
      <c r="L56" s="2" t="inlineStr">
        <is>
          <t>utilitario</t>
        </is>
      </c>
      <c r="M56" s="2" t="n">
        <v>2008</v>
      </c>
      <c r="N56" s="2" t="n">
        <v>207000</v>
      </c>
      <c r="O56" s="2" t="n">
        <v>2950</v>
      </c>
      <c r="P56" s="2" t="inlineStr">
        <is>
          <t>manual</t>
        </is>
      </c>
      <c r="Q56" s="2" t="inlineStr">
        <is>
          <t>no</t>
        </is>
      </c>
      <c r="R56" s="2" t="inlineStr">
        <is>
          <t>particular</t>
        </is>
      </c>
      <c r="S56" s="2" t="inlineStr">
        <is>
          <t>Valencia (46002)</t>
        </is>
      </c>
      <c r="T56" s="2" t="inlineStr">
        <is>
          <t>2026-10-29T08:27:38</t>
        </is>
      </c>
      <c r="U56" s="2" t="n">
        <v>7</v>
      </c>
      <c r="V56" s="2" t="inlineStr">
        <is>
          <t>sí</t>
        </is>
      </c>
      <c r="W56" s="2" t="n"/>
      <c r="X56" s="2" t="n"/>
      <c r="Y56" s="2" t="n"/>
      <c r="Z56" s="2" t="n"/>
      <c r="AA56" s="2" t="n"/>
      <c r="AB56" s="2" t="n"/>
      <c r="AC56" s="2" t="n"/>
      <c r="AD56" s="2" t="n"/>
      <c r="AE56" s="2" t="n"/>
      <c r="AF56" s="2" t="n"/>
      <c r="AG56" s="2" t="n"/>
      <c r="AH56" s="2" t="n"/>
      <c r="AI56" s="2" t="n"/>
      <c r="AJ56" s="2" t="n"/>
      <c r="AK56" s="2" t="n"/>
      <c r="AL56" s="2" t="n"/>
      <c r="AM56" s="2" t="n">
        <v>0.6</v>
      </c>
      <c r="AN56" s="2" t="n">
        <v>2950</v>
      </c>
      <c r="AO56" s="2" t="n">
        <v>13</v>
      </c>
      <c r="AP56" s="2" t="inlineStr">
        <is>
          <t>modelo+año+km</t>
        </is>
      </c>
      <c r="AQ56" s="2" t="n"/>
      <c r="AR56" s="2" t="inlineStr">
        <is>
          <t>cuota fija ITP: &gt;12 años, 1.501-2.000 cc; fiabilidad del modelo PENDIENTE de fuente (puntuación neutra)</t>
        </is>
      </c>
      <c r="AS56" s="2" t="inlineStr">
        <is>
          <t>Muy buen estado, todas la evalunas son eléctricas, funcionando todas . Cambio de aceite reciente. Ver sin Compromiso 
ITV hasta sept 2027</t>
        </is>
      </c>
      <c r="AT56" s="2" t="inlineStr">
        <is>
          <t>https://es.wallapop.com/item/peugeot-207-2008-1280300367 (__NEXT_DATA__ item) /home/user/Alopecia/buscador-coches/raw/wallapop/e1785a7cbe3be93c.json</t>
        </is>
      </c>
      <c r="AU56" s="3">
        <f>MAX(ANIO_ACTUAL-M56,0)</f>
        <v/>
      </c>
      <c r="AV56" s="4">
        <f>N56/MAX(AU56,0.5)</f>
        <v/>
      </c>
      <c r="AW56" s="4">
        <f>F56</f>
        <v/>
      </c>
      <c r="AX56" s="3">
        <f>AW56&amp;"|"&amp;INT(M56/SEG_ANIO)*SEG_ANIO</f>
        <v/>
      </c>
      <c r="AY56" s="3">
        <f>AX56&amp;"|"&amp;INT(N56/SEG_KM)*SEG_KM</f>
        <v/>
      </c>
      <c r="AZ56" s="4">
        <f>COUNTIF($AW$2:$AW$662,AW56)</f>
        <v/>
      </c>
      <c r="BA56" s="4">
        <f>COUNTIF($AX$2:$AX$662,AX56)</f>
        <v/>
      </c>
      <c r="BB56" s="4">
        <f>COUNTIF($AY$2:$AY$662,AY56)</f>
        <v/>
      </c>
      <c r="BC56" s="3">
        <f t="array" ref="BC56">IF(N(AO56)&gt;=MIN_N,AN56,IF(BB56&gt;=MIN_N,MEDIAN(IF($AY$2:$AY$662=AY56,$O$2:$O$662)),IF(BA56&gt;=MIN_N,MEDIAN(IF($AX$2:$AX$662=AX56,$O$2:$O$662)),MEDIAN(IF($AW$2:$AW$662=AW56,$O$2:$O$662)))))</f>
        <v/>
      </c>
      <c r="BD56" s="3">
        <f>IF(N(AO56)&gt;=MIN_N,"mercado "&amp;AP56,IF(BB56&gt;=MIN_N,"modelo+año+km",IF(BA56&gt;=MIN_N,"modelo+año","modelo")))</f>
        <v/>
      </c>
      <c r="BE56" s="4">
        <f>(BC56-O56)/BC56</f>
        <v/>
      </c>
      <c r="BF56" s="3">
        <f>IF(OR(K56="hibrido",K56="glp"),"ECO",IF(K56="electrico","CERO",IF(K56="gasolina",IF(M56&gt;=GAS_C,"C",IF(M56&gt;=GAS_B,"B","A")),IF(K56="diesel",IF(M56&gt;=DIE_C,"C",IF(M56&gt;=DIE_B,"B","A")),""))))</f>
        <v/>
      </c>
      <c r="BG56" s="3">
        <f>IFERROR(VLOOKUP(F56,MOD_TBL,11,0),IFERROR(VLOOKUP(E56,OCU_TBL,2,0),NEUTRO))</f>
        <v/>
      </c>
      <c r="BH56" s="3">
        <f>SUMIFS(MOT_AJUSTE,MOT_MOTOR,G56,MOT_MARCA,E56,MOT_DESDE,"&lt;="&amp;M56,MOT_HASTA,"&gt;="&amp;M56)+SUMIFS(MOT_AJUSTE,MOT_MOTOR,G56,MOT_MARCA,"(todas)",MOT_DESDE,"&lt;="&amp;M56,MOT_HASTA,"&gt;="&amp;M56)</f>
        <v/>
      </c>
      <c r="BI56" s="3">
        <f>SUMIFS(COMB_AJUSTE,COMB_COMB,K56)</f>
        <v/>
      </c>
      <c r="BJ56" s="3">
        <f>COUNTIFS(MOT_MOTOR,G56,MOT_MARCA,E56,MOT_DESDE,"&lt;="&amp;M56,MOT_HASTA,"&gt;="&amp;M56)+COUNTIFS(MOT_MOTOR,G56,MOT_MARCA,"(todas)",MOT_DESDE,"&lt;="&amp;M56,MOT_HASTA,"&gt;="&amp;M56)</f>
        <v/>
      </c>
      <c r="BK56" s="3">
        <f>IF(AND(K56="diesel",BJ56=0),MIN(BG56,NEUTRO),BG56)</f>
        <v/>
      </c>
      <c r="BL56" s="4">
        <f>MAX(0,MIN(100,BK56+BH56+BI56))</f>
        <v/>
      </c>
      <c r="BM56" s="3">
        <f>MAX(0,MIN(100,50+BE56*PRECIO_PEND))</f>
        <v/>
      </c>
      <c r="BN56" s="3">
        <f>MAX(0,100*(1-N56/KM_MAX))</f>
        <v/>
      </c>
      <c r="BO56" s="3">
        <f>IF(AV56&lt;KMA_SOSP,IF(AA56="sí",100,KMA_PEN),IF(AV56&lt;=KMA_IDEAL_MAX,100,MAX(0,100*(KMA_CERO-AV56)/(KMA_CERO-KMA_IDEAL_MAX))))</f>
        <v/>
      </c>
      <c r="BP56" s="3">
        <f>MAX(0,MIN(100,100*(M56-ANIO_MIN)/(ANIO_ACTUAL-ANIO_MIN)))</f>
        <v/>
      </c>
      <c r="BQ56" s="3">
        <f>W_KMT*BN56+W_KMA*BO56+W_EDAD*BP56</f>
        <v/>
      </c>
      <c r="BR56" s="3">
        <f>P_ITV*(V56="sí")+P_LIBRO*(W56="sí")+P_CORREA*(X56="sí")+P_PROP*(Y56=1)+P_GAR*(Z56="sí")+P_FOTOS*MIN(1,N(U56)/FOTOS_OBJ)</f>
        <v/>
      </c>
      <c r="BS56" s="3">
        <f>IFERROR(VLOOKUP(BF56,ETQ_TBL,2,0),NEUTRO)</f>
        <v/>
      </c>
      <c r="BT56" s="3">
        <f>NEUTRO</f>
        <v/>
      </c>
      <c r="BU56" s="3">
        <f>IFERROR(VLOOKUP(L56,SEGURO_TBL,3,0),"")</f>
        <v/>
      </c>
      <c r="BV56" s="3">
        <f>IF(BU56="",NEUTRO,MAX(0,MIN(100,100*(SEG_REF_MAX-BU56)/(SEG_REF_MAX-SEG_REF_MIN))))</f>
        <v/>
      </c>
      <c r="BW56" s="3">
        <f>W_ET*BS56+W_CONS*BT56+W_SEG*BV56</f>
        <v/>
      </c>
      <c r="BX56" s="3">
        <f>IF(N(AB56)&gt;0,AB56,IF(AND(R56="profesional",SG_LEGAL_ON=1),GAR_LEGAL,0))</f>
        <v/>
      </c>
      <c r="BY56" s="3">
        <f>SG_GAR*MIN(1,BX56/SG_GAR_FULL)+SG_AMPL*(AC56="sí")+SG_KMC*(AF56="sí")+SG_REV*(N(AE56)&gt;0)+SG_DEV*MIN(1,N(AG56)/SG_DEV_FULL)+SG_HIST*(W56="sí")</f>
        <v/>
      </c>
      <c r="BZ56" s="3">
        <f>IFERROR(VLOOKUP(L56,CARR_PEN_TBL,2,0),0)</f>
        <v/>
      </c>
      <c r="CA56" s="3">
        <f>W_FIAB*BL56+W_PRECIO*BM56+W_KMEDAD*BQ56+W_ANUNCIO*BR56+W_USO*BW56+W_SEGURIDAD*BY56-BZ56</f>
        <v/>
      </c>
      <c r="CB56" s="4">
        <f>IF(N(I56)&gt;0,I56,IFERROR(ROUND(_xlfn.NUMBERVALUE(LEFT(G56,FIND(" ",G56&amp;" ")-1),".")*1000,0),99999))</f>
        <v/>
      </c>
      <c r="CC56" s="3">
        <f>IF(R56="profesional",0,IF(O56&lt;CUOTA_VALOR_MAX,IF(AU56&gt;ITP_TRAMO_ALTO,SUMIFS(CF_CUOTA,CF_MAS,ITP_TRAMO_ALTO,CF_CCMIN,"&lt;="&amp;CB56,CF_CCMAX,"&gt;="&amp;CB56),IF(AU56&gt;ITP_TRAMO_BAJO,SUMIFS(CF_CUOTA,CF_MAS,ITP_TRAMO_BAJO,CF_CCMIN,"&lt;="&amp;CB56,CF_CCMAX,"&gt;="&amp;CB56),O56*ITP_TIPO)),O56*ITP_TIPO))</f>
        <v/>
      </c>
      <c r="CD56" s="4">
        <f>IF(R56="profesional",N(AK56),0)</f>
        <v/>
      </c>
      <c r="CE56" s="3">
        <f>IF(AND(R56="profesional",ISNUMBER(AK56),AL56="sí"),0,TASA_DGT)</f>
        <v/>
      </c>
      <c r="CF56" s="3">
        <f>INFORME_DGT</f>
        <v/>
      </c>
      <c r="CG56" s="4">
        <f>O56+CD56+CC56+CE56+CF56</f>
        <v/>
      </c>
      <c r="CH56" s="4">
        <f>CG56+N(BU56)</f>
        <v/>
      </c>
      <c r="CI56" s="3">
        <f>IF(CG56&lt;=TOTAL_MAX,"sí",IF(CG56&lt;=TOTAL_MAX+MARGEN_NEG,"negociar","no"))</f>
        <v/>
      </c>
      <c r="CJ56" s="4">
        <f>IF(CI56&lt;&gt;"no",COUNTIFS($CI$2:$CI$662,"&lt;&gt;no",$CA$2:$CA$662,"&gt;"&amp;CA56)+COUNTIFS($CI$2:CI56,"&lt;&gt;no",$CA$2:CA56,CA56),"")</f>
        <v/>
      </c>
    </row>
    <row r="57">
      <c r="A57" s="2" t="inlineStr">
        <is>
          <t>wallapop:1266639855</t>
        </is>
      </c>
      <c r="B57" s="2" t="inlineStr">
        <is>
          <t>wallapop</t>
        </is>
      </c>
      <c r="C57" s="2" t="inlineStr">
        <is>
          <t>https://es.wallapop.com/item/peugeot-207-2008-1266639855</t>
        </is>
      </c>
      <c r="D57" s="2" t="inlineStr">
        <is>
          <t>Peugeot 207 2008</t>
        </is>
      </c>
      <c r="E57" s="2" t="inlineStr">
        <is>
          <t>Peugeot</t>
        </is>
      </c>
      <c r="F57" s="2" t="inlineStr">
        <is>
          <t>Peugeot 207</t>
        </is>
      </c>
      <c r="G57" s="2" t="inlineStr">
        <is>
          <t>1.4 HDi</t>
        </is>
      </c>
      <c r="H57" s="2" t="inlineStr">
        <is>
          <t>1.4 HDi 70 Urban 5p</t>
        </is>
      </c>
      <c r="I57" s="2" t="n"/>
      <c r="J57" s="2" t="n">
        <v>70</v>
      </c>
      <c r="K57" s="2" t="inlineStr">
        <is>
          <t>gasolina</t>
        </is>
      </c>
      <c r="L57" s="2" t="inlineStr">
        <is>
          <t>utilitario</t>
        </is>
      </c>
      <c r="M57" s="2" t="n">
        <v>2008</v>
      </c>
      <c r="N57" s="2" t="n">
        <v>143000</v>
      </c>
      <c r="O57" s="2" t="n">
        <v>3000</v>
      </c>
      <c r="P57" s="2" t="inlineStr">
        <is>
          <t>manual</t>
        </is>
      </c>
      <c r="Q57" s="2" t="inlineStr">
        <is>
          <t>no</t>
        </is>
      </c>
      <c r="R57" s="2" t="inlineStr">
        <is>
          <t>particular</t>
        </is>
      </c>
      <c r="S57" s="2" t="inlineStr">
        <is>
          <t>Valencia (46002)</t>
        </is>
      </c>
      <c r="T57" s="2" t="inlineStr">
        <is>
          <t>2026-09-30T21:36:51</t>
        </is>
      </c>
      <c r="U57" s="2" t="n">
        <v>7</v>
      </c>
      <c r="V57" s="2" t="n"/>
      <c r="W57" s="2" t="n"/>
      <c r="X57" s="2" t="n"/>
      <c r="Y57" s="2" t="n"/>
      <c r="Z57" s="2" t="n"/>
      <c r="AA57" s="2" t="n"/>
      <c r="AB57" s="2" t="n"/>
      <c r="AC57" s="2" t="n"/>
      <c r="AD57" s="2" t="n"/>
      <c r="AE57" s="2" t="n"/>
      <c r="AF57" s="2" t="n"/>
      <c r="AG57" s="2" t="n"/>
      <c r="AH57" s="2" t="n"/>
      <c r="AI57" s="2" t="n"/>
      <c r="AJ57" s="2" t="n"/>
      <c r="AK57" s="2" t="n"/>
      <c r="AL57" s="2" t="n"/>
      <c r="AM57" s="2" t="n">
        <v>0.7</v>
      </c>
      <c r="AN57" s="2" t="n">
        <v>3550</v>
      </c>
      <c r="AO57" s="2" t="n">
        <v>30</v>
      </c>
      <c r="AP57" s="2" t="inlineStr">
        <is>
          <t>modelo+año+km</t>
        </is>
      </c>
      <c r="AQ57" s="2" t="n"/>
      <c r="AR57" s="2" t="inlineStr">
        <is>
          <t>cuota fija ITP: &gt;12 años, hasta 1.500 cc; fiabilidad del modelo PENDIENTE de fuente (puntuación neutra)</t>
        </is>
      </c>
      <c r="AS57" s="2" t="inlineStr">
        <is>
          <t xml:space="preserve">Se vende Peugeot 207 1.4 gasolina 70 CV.
Se encuentra en excelente estado , tanto el interior como el exterior . 
Coche perfecto y cómodo para uso diario por carretera . 
Dispone de distribución mediante cadena .
</t>
        </is>
      </c>
      <c r="AT57" s="2" t="inlineStr">
        <is>
          <t>https://es.wallapop.com/item/peugeot-207-2008-1266639855 (__NEXT_DATA__ item) /home/user/Alopecia/buscador-coches/raw/wallapop/938350f1b3e3ae0b.json</t>
        </is>
      </c>
      <c r="AU57" s="3">
        <f>MAX(ANIO_ACTUAL-M57,0)</f>
        <v/>
      </c>
      <c r="AV57" s="4">
        <f>N57/MAX(AU57,0.5)</f>
        <v/>
      </c>
      <c r="AW57" s="4">
        <f>F57</f>
        <v/>
      </c>
      <c r="AX57" s="3">
        <f>AW57&amp;"|"&amp;INT(M57/SEG_ANIO)*SEG_ANIO</f>
        <v/>
      </c>
      <c r="AY57" s="3">
        <f>AX57&amp;"|"&amp;INT(N57/SEG_KM)*SEG_KM</f>
        <v/>
      </c>
      <c r="AZ57" s="4">
        <f>COUNTIF($AW$2:$AW$662,AW57)</f>
        <v/>
      </c>
      <c r="BA57" s="4">
        <f>COUNTIF($AX$2:$AX$662,AX57)</f>
        <v/>
      </c>
      <c r="BB57" s="4">
        <f>COUNTIF($AY$2:$AY$662,AY57)</f>
        <v/>
      </c>
      <c r="BC57" s="3">
        <f t="array" ref="BC57">IF(N(AO57)&gt;=MIN_N,AN57,IF(BB57&gt;=MIN_N,MEDIAN(IF($AY$2:$AY$662=AY57,$O$2:$O$662)),IF(BA57&gt;=MIN_N,MEDIAN(IF($AX$2:$AX$662=AX57,$O$2:$O$662)),MEDIAN(IF($AW$2:$AW$662=AW57,$O$2:$O$662)))))</f>
        <v/>
      </c>
      <c r="BD57" s="3">
        <f>IF(N(AO57)&gt;=MIN_N,"mercado "&amp;AP57,IF(BB57&gt;=MIN_N,"modelo+año+km",IF(BA57&gt;=MIN_N,"modelo+año","modelo")))</f>
        <v/>
      </c>
      <c r="BE57" s="4">
        <f>(BC57-O57)/BC57</f>
        <v/>
      </c>
      <c r="BF57" s="3">
        <f>IF(OR(K57="hibrido",K57="glp"),"ECO",IF(K57="electrico","CERO",IF(K57="gasolina",IF(M57&gt;=GAS_C,"C",IF(M57&gt;=GAS_B,"B","A")),IF(K57="diesel",IF(M57&gt;=DIE_C,"C",IF(M57&gt;=DIE_B,"B","A")),""))))</f>
        <v/>
      </c>
      <c r="BG57" s="3">
        <f>IFERROR(VLOOKUP(F57,MOD_TBL,11,0),IFERROR(VLOOKUP(E57,OCU_TBL,2,0),NEUTRO))</f>
        <v/>
      </c>
      <c r="BH57" s="3">
        <f>SUMIFS(MOT_AJUSTE,MOT_MOTOR,G57,MOT_MARCA,E57,MOT_DESDE,"&lt;="&amp;M57,MOT_HASTA,"&gt;="&amp;M57)+SUMIFS(MOT_AJUSTE,MOT_MOTOR,G57,MOT_MARCA,"(todas)",MOT_DESDE,"&lt;="&amp;M57,MOT_HASTA,"&gt;="&amp;M57)</f>
        <v/>
      </c>
      <c r="BI57" s="3">
        <f>SUMIFS(COMB_AJUSTE,COMB_COMB,K57)</f>
        <v/>
      </c>
      <c r="BJ57" s="3">
        <f>COUNTIFS(MOT_MOTOR,G57,MOT_MARCA,E57,MOT_DESDE,"&lt;="&amp;M57,MOT_HASTA,"&gt;="&amp;M57)+COUNTIFS(MOT_MOTOR,G57,MOT_MARCA,"(todas)",MOT_DESDE,"&lt;="&amp;M57,MOT_HASTA,"&gt;="&amp;M57)</f>
        <v/>
      </c>
      <c r="BK57" s="3">
        <f>IF(AND(K57="diesel",BJ57=0),MIN(BG57,NEUTRO),BG57)</f>
        <v/>
      </c>
      <c r="BL57" s="4">
        <f>MAX(0,MIN(100,BK57+BH57+BI57))</f>
        <v/>
      </c>
      <c r="BM57" s="3">
        <f>MAX(0,MIN(100,50+BE57*PRECIO_PEND))</f>
        <v/>
      </c>
      <c r="BN57" s="3">
        <f>MAX(0,100*(1-N57/KM_MAX))</f>
        <v/>
      </c>
      <c r="BO57" s="3">
        <f>IF(AV57&lt;KMA_SOSP,IF(AA57="sí",100,KMA_PEN),IF(AV57&lt;=KMA_IDEAL_MAX,100,MAX(0,100*(KMA_CERO-AV57)/(KMA_CERO-KMA_IDEAL_MAX))))</f>
        <v/>
      </c>
      <c r="BP57" s="3">
        <f>MAX(0,MIN(100,100*(M57-ANIO_MIN)/(ANIO_ACTUAL-ANIO_MIN)))</f>
        <v/>
      </c>
      <c r="BQ57" s="3">
        <f>W_KMT*BN57+W_KMA*BO57+W_EDAD*BP57</f>
        <v/>
      </c>
      <c r="BR57" s="3">
        <f>P_ITV*(V57="sí")+P_LIBRO*(W57="sí")+P_CORREA*(X57="sí")+P_PROP*(Y57=1)+P_GAR*(Z57="sí")+P_FOTOS*MIN(1,N(U57)/FOTOS_OBJ)</f>
        <v/>
      </c>
      <c r="BS57" s="3">
        <f>IFERROR(VLOOKUP(BF57,ETQ_TBL,2,0),NEUTRO)</f>
        <v/>
      </c>
      <c r="BT57" s="3">
        <f>NEUTRO</f>
        <v/>
      </c>
      <c r="BU57" s="3">
        <f>IFERROR(VLOOKUP(L57,SEGURO_TBL,3,0),"")</f>
        <v/>
      </c>
      <c r="BV57" s="3">
        <f>IF(BU57="",NEUTRO,MAX(0,MIN(100,100*(SEG_REF_MAX-BU57)/(SEG_REF_MAX-SEG_REF_MIN))))</f>
        <v/>
      </c>
      <c r="BW57" s="3">
        <f>W_ET*BS57+W_CONS*BT57+W_SEG*BV57</f>
        <v/>
      </c>
      <c r="BX57" s="3">
        <f>IF(N(AB57)&gt;0,AB57,IF(AND(R57="profesional",SG_LEGAL_ON=1),GAR_LEGAL,0))</f>
        <v/>
      </c>
      <c r="BY57" s="3">
        <f>SG_GAR*MIN(1,BX57/SG_GAR_FULL)+SG_AMPL*(AC57="sí")+SG_KMC*(AF57="sí")+SG_REV*(N(AE57)&gt;0)+SG_DEV*MIN(1,N(AG57)/SG_DEV_FULL)+SG_HIST*(W57="sí")</f>
        <v/>
      </c>
      <c r="BZ57" s="3">
        <f>IFERROR(VLOOKUP(L57,CARR_PEN_TBL,2,0),0)</f>
        <v/>
      </c>
      <c r="CA57" s="3">
        <f>W_FIAB*BL57+W_PRECIO*BM57+W_KMEDAD*BQ57+W_ANUNCIO*BR57+W_USO*BW57+W_SEGURIDAD*BY57-BZ57</f>
        <v/>
      </c>
      <c r="CB57" s="4">
        <f>IF(N(I57)&gt;0,I57,IFERROR(ROUND(_xlfn.NUMBERVALUE(LEFT(G57,FIND(" ",G57&amp;" ")-1),".")*1000,0),99999))</f>
        <v/>
      </c>
      <c r="CC57" s="3">
        <f>IF(R57="profesional",0,IF(O57&lt;CUOTA_VALOR_MAX,IF(AU57&gt;ITP_TRAMO_ALTO,SUMIFS(CF_CUOTA,CF_MAS,ITP_TRAMO_ALTO,CF_CCMIN,"&lt;="&amp;CB57,CF_CCMAX,"&gt;="&amp;CB57),IF(AU57&gt;ITP_TRAMO_BAJO,SUMIFS(CF_CUOTA,CF_MAS,ITP_TRAMO_BAJO,CF_CCMIN,"&lt;="&amp;CB57,CF_CCMAX,"&gt;="&amp;CB57),O57*ITP_TIPO)),O57*ITP_TIPO))</f>
        <v/>
      </c>
      <c r="CD57" s="4">
        <f>IF(R57="profesional",N(AK57),0)</f>
        <v/>
      </c>
      <c r="CE57" s="3">
        <f>IF(AND(R57="profesional",ISNUMBER(AK57),AL57="sí"),0,TASA_DGT)</f>
        <v/>
      </c>
      <c r="CF57" s="3">
        <f>INFORME_DGT</f>
        <v/>
      </c>
      <c r="CG57" s="4">
        <f>O57+CD57+CC57+CE57+CF57</f>
        <v/>
      </c>
      <c r="CH57" s="4">
        <f>CG57+N(BU57)</f>
        <v/>
      </c>
      <c r="CI57" s="3">
        <f>IF(CG57&lt;=TOTAL_MAX,"sí",IF(CG57&lt;=TOTAL_MAX+MARGEN_NEG,"negociar","no"))</f>
        <v/>
      </c>
      <c r="CJ57" s="4">
        <f>IF(CI57&lt;&gt;"no",COUNTIFS($CI$2:$CI$662,"&lt;&gt;no",$CA$2:$CA$662,"&gt;"&amp;CA57)+COUNTIFS($CI$2:CI57,"&lt;&gt;no",$CA$2:CA57,CA57),"")</f>
        <v/>
      </c>
    </row>
    <row r="58">
      <c r="A58" s="2" t="inlineStr">
        <is>
          <t>wallapop:1265753730</t>
        </is>
      </c>
      <c r="B58" s="2" t="inlineStr">
        <is>
          <t>wallapop</t>
        </is>
      </c>
      <c r="C58" s="2" t="inlineStr">
        <is>
          <t>https://es.wallapop.com/item/peugeot-307-2009-1265753730</t>
        </is>
      </c>
      <c r="D58" s="2" t="inlineStr">
        <is>
          <t>Peugeot 207 SW 2009</t>
        </is>
      </c>
      <c r="E58" s="2" t="inlineStr">
        <is>
          <t>Peugeot</t>
        </is>
      </c>
      <c r="F58" s="2" t="inlineStr">
        <is>
          <t>Peugeot 207</t>
        </is>
      </c>
      <c r="G58" s="2" t="inlineStr">
        <is>
          <t>1.6 HDi</t>
        </is>
      </c>
      <c r="H58" s="2" t="inlineStr">
        <is>
          <t>1.6 HDi 90 Confort 5p AM63</t>
        </is>
      </c>
      <c r="I58" s="2" t="n"/>
      <c r="J58" s="2" t="n">
        <v>90</v>
      </c>
      <c r="K58" s="2" t="inlineStr">
        <is>
          <t>diesel</t>
        </is>
      </c>
      <c r="L58" s="2" t="inlineStr">
        <is>
          <t>familiar</t>
        </is>
      </c>
      <c r="M58" s="2" t="n">
        <v>2009</v>
      </c>
      <c r="N58" s="2" t="n">
        <v>100000</v>
      </c>
      <c r="O58" s="2" t="n">
        <v>2500</v>
      </c>
      <c r="P58" s="2" t="inlineStr">
        <is>
          <t>manual</t>
        </is>
      </c>
      <c r="Q58" s="2" t="inlineStr">
        <is>
          <t>no</t>
        </is>
      </c>
      <c r="R58" s="2" t="inlineStr">
        <is>
          <t>particular</t>
        </is>
      </c>
      <c r="S58" s="2" t="inlineStr">
        <is>
          <t>Valencia (46003)</t>
        </is>
      </c>
      <c r="T58" s="2" t="inlineStr">
        <is>
          <t>2026-09-27T19:22:18</t>
        </is>
      </c>
      <c r="U58" s="2" t="n">
        <v>5</v>
      </c>
      <c r="V58" s="2" t="n"/>
      <c r="W58" s="2" t="n"/>
      <c r="X58" s="2" t="n"/>
      <c r="Y58" s="2" t="n"/>
      <c r="Z58" s="2" t="n"/>
      <c r="AA58" s="2" t="inlineStr">
        <is>
          <t>sí</t>
        </is>
      </c>
      <c r="AB58" s="2" t="n"/>
      <c r="AC58" s="2" t="n"/>
      <c r="AD58" s="2" t="n"/>
      <c r="AE58" s="2" t="n"/>
      <c r="AF58" s="2" t="n"/>
      <c r="AG58" s="2" t="n"/>
      <c r="AH58" s="2" t="n"/>
      <c r="AI58" s="2" t="n"/>
      <c r="AJ58" s="2" t="n"/>
      <c r="AK58" s="2" t="n"/>
      <c r="AL58" s="2" t="n"/>
      <c r="AM58" s="2" t="n">
        <v>0.6</v>
      </c>
      <c r="AN58" s="2" t="n">
        <v>3550</v>
      </c>
      <c r="AO58" s="2" t="n">
        <v>30</v>
      </c>
      <c r="AP58" s="2" t="inlineStr">
        <is>
          <t>modelo+año+km</t>
        </is>
      </c>
      <c r="AQ58" s="2" t="n"/>
      <c r="AR58" s="2" t="inlineStr">
        <is>
          <t>cuota fija ITP: &gt;12 años, 1.501-2.000 cc; carrocería familiar: -3 puntos; fiabilidad del modelo PENDIENTE de fuente (puntuación neutra)</t>
        </is>
      </c>
      <c r="AS58" s="2" t="inlineStr">
        <is>
          <t xml:space="preserve">Se vende peugeot 207 SW,muy bien conservado,utilizado muy poco,por persona mayor,techo panorámico,asientos de piel,el asiento del conductor tiene una pequeña grieta prácticamente sin importancia,aire acondicionado funcionando,lunas traseras tintadas,no contesto ofertas absurdas.
EL COCHE SE ENCUENTRA ACTUALMENTE EN ALEMANIA SIN ULTILIZAR POR MOTIVOS DE TRABAJO SE VENDE AL MISMO KILOMETRAJE 
EL COCHE ES ESPAÑOL MATRICULA ESPAÑOLA [ Acepto cambio por iphone 18 pro max y diferencia o iphone duo y diferencia o zfold 8 ultra y diferencia o zfold 8 y diferencia </t>
        </is>
      </c>
      <c r="AT58" s="2" t="inlineStr">
        <is>
          <t>https://es.wallapop.com/item/peugeot-307-2009-1265753730 (__NEXT_DATA__ item) /home/user/Alopecia/buscador-coches/raw/wallapop/b4617e49df4b3a62.json</t>
        </is>
      </c>
      <c r="AU58" s="3">
        <f>MAX(ANIO_ACTUAL-M58,0)</f>
        <v/>
      </c>
      <c r="AV58" s="4">
        <f>N58/MAX(AU58,0.5)</f>
        <v/>
      </c>
      <c r="AW58" s="4">
        <f>F58</f>
        <v/>
      </c>
      <c r="AX58" s="3">
        <f>AW58&amp;"|"&amp;INT(M58/SEG_ANIO)*SEG_ANIO</f>
        <v/>
      </c>
      <c r="AY58" s="3">
        <f>AX58&amp;"|"&amp;INT(N58/SEG_KM)*SEG_KM</f>
        <v/>
      </c>
      <c r="AZ58" s="4">
        <f>COUNTIF($AW$2:$AW$662,AW58)</f>
        <v/>
      </c>
      <c r="BA58" s="4">
        <f>COUNTIF($AX$2:$AX$662,AX58)</f>
        <v/>
      </c>
      <c r="BB58" s="4">
        <f>COUNTIF($AY$2:$AY$662,AY58)</f>
        <v/>
      </c>
      <c r="BC58" s="3">
        <f t="array" ref="BC58">IF(N(AO58)&gt;=MIN_N,AN58,IF(BB58&gt;=MIN_N,MEDIAN(IF($AY$2:$AY$662=AY58,$O$2:$O$662)),IF(BA58&gt;=MIN_N,MEDIAN(IF($AX$2:$AX$662=AX58,$O$2:$O$662)),MEDIAN(IF($AW$2:$AW$662=AW58,$O$2:$O$662)))))</f>
        <v/>
      </c>
      <c r="BD58" s="3">
        <f>IF(N(AO58)&gt;=MIN_N,"mercado "&amp;AP58,IF(BB58&gt;=MIN_N,"modelo+año+km",IF(BA58&gt;=MIN_N,"modelo+año","modelo")))</f>
        <v/>
      </c>
      <c r="BE58" s="4">
        <f>(BC58-O58)/BC58</f>
        <v/>
      </c>
      <c r="BF58" s="3">
        <f>IF(OR(K58="hibrido",K58="glp"),"ECO",IF(K58="electrico","CERO",IF(K58="gasolina",IF(M58&gt;=GAS_C,"C",IF(M58&gt;=GAS_B,"B","A")),IF(K58="diesel",IF(M58&gt;=DIE_C,"C",IF(M58&gt;=DIE_B,"B","A")),""))))</f>
        <v/>
      </c>
      <c r="BG58" s="3">
        <f>IFERROR(VLOOKUP(F58,MOD_TBL,11,0),IFERROR(VLOOKUP(E58,OCU_TBL,2,0),NEUTRO))</f>
        <v/>
      </c>
      <c r="BH58" s="3">
        <f>SUMIFS(MOT_AJUSTE,MOT_MOTOR,G58,MOT_MARCA,E58,MOT_DESDE,"&lt;="&amp;M58,MOT_HASTA,"&gt;="&amp;M58)+SUMIFS(MOT_AJUSTE,MOT_MOTOR,G58,MOT_MARCA,"(todas)",MOT_DESDE,"&lt;="&amp;M58,MOT_HASTA,"&gt;="&amp;M58)</f>
        <v/>
      </c>
      <c r="BI58" s="3">
        <f>SUMIFS(COMB_AJUSTE,COMB_COMB,K58)</f>
        <v/>
      </c>
      <c r="BJ58" s="3">
        <f>COUNTIFS(MOT_MOTOR,G58,MOT_MARCA,E58,MOT_DESDE,"&lt;="&amp;M58,MOT_HASTA,"&gt;="&amp;M58)+COUNTIFS(MOT_MOTOR,G58,MOT_MARCA,"(todas)",MOT_DESDE,"&lt;="&amp;M58,MOT_HASTA,"&gt;="&amp;M58)</f>
        <v/>
      </c>
      <c r="BK58" s="3">
        <f>IF(AND(K58="diesel",BJ58=0),MIN(BG58,NEUTRO),BG58)</f>
        <v/>
      </c>
      <c r="BL58" s="4">
        <f>MAX(0,MIN(100,BK58+BH58+BI58))</f>
        <v/>
      </c>
      <c r="BM58" s="3">
        <f>MAX(0,MIN(100,50+BE58*PRECIO_PEND))</f>
        <v/>
      </c>
      <c r="BN58" s="3">
        <f>MAX(0,100*(1-N58/KM_MAX))</f>
        <v/>
      </c>
      <c r="BO58" s="3">
        <f>IF(AV58&lt;KMA_SOSP,IF(AA58="sí",100,KMA_PEN),IF(AV58&lt;=KMA_IDEAL_MAX,100,MAX(0,100*(KMA_CERO-AV58)/(KMA_CERO-KMA_IDEAL_MAX))))</f>
        <v/>
      </c>
      <c r="BP58" s="3">
        <f>MAX(0,MIN(100,100*(M58-ANIO_MIN)/(ANIO_ACTUAL-ANIO_MIN)))</f>
        <v/>
      </c>
      <c r="BQ58" s="3">
        <f>W_KMT*BN58+W_KMA*BO58+W_EDAD*BP58</f>
        <v/>
      </c>
      <c r="BR58" s="3">
        <f>P_ITV*(V58="sí")+P_LIBRO*(W58="sí")+P_CORREA*(X58="sí")+P_PROP*(Y58=1)+P_GAR*(Z58="sí")+P_FOTOS*MIN(1,N(U58)/FOTOS_OBJ)</f>
        <v/>
      </c>
      <c r="BS58" s="3">
        <f>IFERROR(VLOOKUP(BF58,ETQ_TBL,2,0),NEUTRO)</f>
        <v/>
      </c>
      <c r="BT58" s="3">
        <f>NEUTRO</f>
        <v/>
      </c>
      <c r="BU58" s="3">
        <f>IFERROR(VLOOKUP(L58,SEGURO_TBL,3,0),"")</f>
        <v/>
      </c>
      <c r="BV58" s="3">
        <f>IF(BU58="",NEUTRO,MAX(0,MIN(100,100*(SEG_REF_MAX-BU58)/(SEG_REF_MAX-SEG_REF_MIN))))</f>
        <v/>
      </c>
      <c r="BW58" s="3">
        <f>W_ET*BS58+W_CONS*BT58+W_SEG*BV58</f>
        <v/>
      </c>
      <c r="BX58" s="3">
        <f>IF(N(AB58)&gt;0,AB58,IF(AND(R58="profesional",SG_LEGAL_ON=1),GAR_LEGAL,0))</f>
        <v/>
      </c>
      <c r="BY58" s="3">
        <f>SG_GAR*MIN(1,BX58/SG_GAR_FULL)+SG_AMPL*(AC58="sí")+SG_KMC*(AF58="sí")+SG_REV*(N(AE58)&gt;0)+SG_DEV*MIN(1,N(AG58)/SG_DEV_FULL)+SG_HIST*(W58="sí")</f>
        <v/>
      </c>
      <c r="BZ58" s="3">
        <f>IFERROR(VLOOKUP(L58,CARR_PEN_TBL,2,0),0)</f>
        <v/>
      </c>
      <c r="CA58" s="3">
        <f>W_FIAB*BL58+W_PRECIO*BM58+W_KMEDAD*BQ58+W_ANUNCIO*BR58+W_USO*BW58+W_SEGURIDAD*BY58-BZ58</f>
        <v/>
      </c>
      <c r="CB58" s="4">
        <f>IF(N(I58)&gt;0,I58,IFERROR(ROUND(_xlfn.NUMBERVALUE(LEFT(G58,FIND(" ",G58&amp;" ")-1),".")*1000,0),99999))</f>
        <v/>
      </c>
      <c r="CC58" s="3">
        <f>IF(R58="profesional",0,IF(O58&lt;CUOTA_VALOR_MAX,IF(AU58&gt;ITP_TRAMO_ALTO,SUMIFS(CF_CUOTA,CF_MAS,ITP_TRAMO_ALTO,CF_CCMIN,"&lt;="&amp;CB58,CF_CCMAX,"&gt;="&amp;CB58),IF(AU58&gt;ITP_TRAMO_BAJO,SUMIFS(CF_CUOTA,CF_MAS,ITP_TRAMO_BAJO,CF_CCMIN,"&lt;="&amp;CB58,CF_CCMAX,"&gt;="&amp;CB58),O58*ITP_TIPO)),O58*ITP_TIPO))</f>
        <v/>
      </c>
      <c r="CD58" s="4">
        <f>IF(R58="profesional",N(AK58),0)</f>
        <v/>
      </c>
      <c r="CE58" s="3">
        <f>IF(AND(R58="profesional",ISNUMBER(AK58),AL58="sí"),0,TASA_DGT)</f>
        <v/>
      </c>
      <c r="CF58" s="3">
        <f>INFORME_DGT</f>
        <v/>
      </c>
      <c r="CG58" s="4">
        <f>O58+CD58+CC58+CE58+CF58</f>
        <v/>
      </c>
      <c r="CH58" s="4">
        <f>CG58+N(BU58)</f>
        <v/>
      </c>
      <c r="CI58" s="3">
        <f>IF(CG58&lt;=TOTAL_MAX,"sí",IF(CG58&lt;=TOTAL_MAX+MARGEN_NEG,"negociar","no"))</f>
        <v/>
      </c>
      <c r="CJ58" s="4">
        <f>IF(CI58&lt;&gt;"no",COUNTIFS($CI$2:$CI$662,"&lt;&gt;no",$CA$2:$CA$662,"&gt;"&amp;CA58)+COUNTIFS($CI$2:CI58,"&lt;&gt;no",$CA$2:CA58,CA58),"")</f>
        <v/>
      </c>
    </row>
    <row r="59">
      <c r="A59" s="2" t="inlineStr">
        <is>
          <t>wallapop:1258473301</t>
        </is>
      </c>
      <c r="B59" s="2" t="inlineStr">
        <is>
          <t>wallapop</t>
        </is>
      </c>
      <c r="C59" s="2" t="inlineStr">
        <is>
          <t>https://es.wallapop.com/item/peugeot-207-2008-1258473301</t>
        </is>
      </c>
      <c r="D59" s="2" t="inlineStr">
        <is>
          <t>Peugeot 207 2008</t>
        </is>
      </c>
      <c r="E59" s="2" t="inlineStr">
        <is>
          <t>Peugeot</t>
        </is>
      </c>
      <c r="F59" s="2" t="inlineStr">
        <is>
          <t>Peugeot 207</t>
        </is>
      </c>
      <c r="G59" s="2" t="inlineStr">
        <is>
          <t>1.6 HDi</t>
        </is>
      </c>
      <c r="H59" s="2" t="inlineStr">
        <is>
          <t>1.6 HDi 110 GT 3p FAP AM62</t>
        </is>
      </c>
      <c r="I59" s="2" t="n"/>
      <c r="J59" s="2" t="n">
        <v>110</v>
      </c>
      <c r="K59" s="2" t="inlineStr">
        <is>
          <t>diesel</t>
        </is>
      </c>
      <c r="L59" s="2" t="inlineStr">
        <is>
          <t>utilitario</t>
        </is>
      </c>
      <c r="M59" s="2" t="n">
        <v>2008</v>
      </c>
      <c r="N59" s="2" t="n">
        <v>210000</v>
      </c>
      <c r="O59" s="2" t="n">
        <v>3900</v>
      </c>
      <c r="P59" s="2" t="inlineStr">
        <is>
          <t>manual</t>
        </is>
      </c>
      <c r="Q59" s="2" t="inlineStr">
        <is>
          <t>no</t>
        </is>
      </c>
      <c r="R59" s="2" t="inlineStr">
        <is>
          <t>particular</t>
        </is>
      </c>
      <c r="S59" s="2" t="inlineStr">
        <is>
          <t>Valencia (46002)</t>
        </is>
      </c>
      <c r="T59" s="2" t="inlineStr">
        <is>
          <t>2026-09-16T21:08:56</t>
        </is>
      </c>
      <c r="U59" s="2" t="n">
        <v>1</v>
      </c>
      <c r="V59" s="2" t="inlineStr">
        <is>
          <t>sí</t>
        </is>
      </c>
      <c r="W59" s="2" t="n"/>
      <c r="X59" s="2" t="n"/>
      <c r="Y59" s="2" t="n"/>
      <c r="Z59" s="2" t="n"/>
      <c r="AA59" s="2" t="n"/>
      <c r="AB59" s="2" t="n"/>
      <c r="AC59" s="2" t="n"/>
      <c r="AD59" s="2" t="n"/>
      <c r="AE59" s="2" t="n"/>
      <c r="AF59" s="2" t="n"/>
      <c r="AG59" s="2" t="n"/>
      <c r="AH59" s="2" t="n"/>
      <c r="AI59" s="2" t="n"/>
      <c r="AJ59" s="2" t="n"/>
      <c r="AK59" s="2" t="n"/>
      <c r="AL59" s="2" t="n"/>
      <c r="AM59" s="2" t="n">
        <v>0.8</v>
      </c>
      <c r="AN59" s="2" t="n">
        <v>2950</v>
      </c>
      <c r="AO59" s="2" t="n">
        <v>13</v>
      </c>
      <c r="AP59" s="2" t="inlineStr">
        <is>
          <t>modelo+año+km</t>
        </is>
      </c>
      <c r="AQ59" s="2" t="n"/>
      <c r="AR59" s="2" t="inlineStr">
        <is>
          <t>cuota fija ITP: &gt;12 años, 1.501-2.000 cc; fiabilidad del modelo PENDIENTE de fuente (puntuación neutra)</t>
        </is>
      </c>
      <c r="AS59" s="2" t="inlineStr">
        <is>
          <t xml:space="preserve">🚗 PEUGEOT 207 GT 2008 – MUY CUIDADO – FULL EQUIP 🔥
Se vende Peugeot 207 GT en muy buen estado general. Coche cuidado, siempre al día de mantenimiento y listo para usar sin hacerle nada. Perfecto tanto para diario como para quien busca un coche con estética deportiva y buen equipamiento.
🔴 Versión GT (gama alta)
No es el básico, lleva extras que marcan la diferencia.
✨ Extras y equipamiento:
* Techo panorámico de cristal (interior súper luminoso)
* Techo exterior en negro (contraste deportivo)
* Asientos de cuero en muy buen estado
* Llantas en negro
* Cristales traseros oscurecidos
* Retrovisores en color carrocería
* Volante deportivo multifunción
* Climatizador bizona
* Pantalla central + ordenador de a bordo
* Equipo de sonido de serie de buena calidad
* Faros antiniebla
* Cierre centralizado
* Elevalunas eléctricos
* Dirección asistida
* Pantalla 10" con CarPlay / Bluetooh 
* Antena aleta de tiburón 
* Cristales traseros oscurecidos 
* Llantas serie GT versión deportiva 
🔧 Estado:
* Motor fino, arranca a la primera
* Interior muy cuidado (como se ve en fotos)
* Exterior con muy buena presencia
* ITV al día
* Mejor ver y probar sin compromiso
💥 Lo mejor:
Coche con estética deportiva, muy completo de extras y cada vez más difícil de encontrar en este estado. Perfecto si quieres algo diferente a los típicos utilitarios básicos.
⚡ IMPORTANTE:
Se vende por cambio a coche más grande.
Precio algo negociable, pero abstenerse ofertas absurdas.
📩 Contesto rápido – si </t>
        </is>
      </c>
      <c r="AT59" s="2" t="inlineStr">
        <is>
          <t>https://es.wallapop.com/item/peugeot-207-2008-1258473301 (__NEXT_DATA__ item) /home/user/Alopecia/buscador-coches/raw/wallapop/48795000ecc37d63.json</t>
        </is>
      </c>
      <c r="AU59" s="3">
        <f>MAX(ANIO_ACTUAL-M59,0)</f>
        <v/>
      </c>
      <c r="AV59" s="4">
        <f>N59/MAX(AU59,0.5)</f>
        <v/>
      </c>
      <c r="AW59" s="4">
        <f>F59</f>
        <v/>
      </c>
      <c r="AX59" s="3">
        <f>AW59&amp;"|"&amp;INT(M59/SEG_ANIO)*SEG_ANIO</f>
        <v/>
      </c>
      <c r="AY59" s="3">
        <f>AX59&amp;"|"&amp;INT(N59/SEG_KM)*SEG_KM</f>
        <v/>
      </c>
      <c r="AZ59" s="4">
        <f>COUNTIF($AW$2:$AW$662,AW59)</f>
        <v/>
      </c>
      <c r="BA59" s="4">
        <f>COUNTIF($AX$2:$AX$662,AX59)</f>
        <v/>
      </c>
      <c r="BB59" s="4">
        <f>COUNTIF($AY$2:$AY$662,AY59)</f>
        <v/>
      </c>
      <c r="BC59" s="3">
        <f t="array" ref="BC59">IF(N(AO59)&gt;=MIN_N,AN59,IF(BB59&gt;=MIN_N,MEDIAN(IF($AY$2:$AY$662=AY59,$O$2:$O$662)),IF(BA59&gt;=MIN_N,MEDIAN(IF($AX$2:$AX$662=AX59,$O$2:$O$662)),MEDIAN(IF($AW$2:$AW$662=AW59,$O$2:$O$662)))))</f>
        <v/>
      </c>
      <c r="BD59" s="3">
        <f>IF(N(AO59)&gt;=MIN_N,"mercado "&amp;AP59,IF(BB59&gt;=MIN_N,"modelo+año+km",IF(BA59&gt;=MIN_N,"modelo+año","modelo")))</f>
        <v/>
      </c>
      <c r="BE59" s="4">
        <f>(BC59-O59)/BC59</f>
        <v/>
      </c>
      <c r="BF59" s="3">
        <f>IF(OR(K59="hibrido",K59="glp"),"ECO",IF(K59="electrico","CERO",IF(K59="gasolina",IF(M59&gt;=GAS_C,"C",IF(M59&gt;=GAS_B,"B","A")),IF(K59="diesel",IF(M59&gt;=DIE_C,"C",IF(M59&gt;=DIE_B,"B","A")),""))))</f>
        <v/>
      </c>
      <c r="BG59" s="3">
        <f>IFERROR(VLOOKUP(F59,MOD_TBL,11,0),IFERROR(VLOOKUP(E59,OCU_TBL,2,0),NEUTRO))</f>
        <v/>
      </c>
      <c r="BH59" s="3">
        <f>SUMIFS(MOT_AJUSTE,MOT_MOTOR,G59,MOT_MARCA,E59,MOT_DESDE,"&lt;="&amp;M59,MOT_HASTA,"&gt;="&amp;M59)+SUMIFS(MOT_AJUSTE,MOT_MOTOR,G59,MOT_MARCA,"(todas)",MOT_DESDE,"&lt;="&amp;M59,MOT_HASTA,"&gt;="&amp;M59)</f>
        <v/>
      </c>
      <c r="BI59" s="3">
        <f>SUMIFS(COMB_AJUSTE,COMB_COMB,K59)</f>
        <v/>
      </c>
      <c r="BJ59" s="3">
        <f>COUNTIFS(MOT_MOTOR,G59,MOT_MARCA,E59,MOT_DESDE,"&lt;="&amp;M59,MOT_HASTA,"&gt;="&amp;M59)+COUNTIFS(MOT_MOTOR,G59,MOT_MARCA,"(todas)",MOT_DESDE,"&lt;="&amp;M59,MOT_HASTA,"&gt;="&amp;M59)</f>
        <v/>
      </c>
      <c r="BK59" s="3">
        <f>IF(AND(K59="diesel",BJ59=0),MIN(BG59,NEUTRO),BG59)</f>
        <v/>
      </c>
      <c r="BL59" s="4">
        <f>MAX(0,MIN(100,BK59+BH59+BI59))</f>
        <v/>
      </c>
      <c r="BM59" s="3">
        <f>MAX(0,MIN(100,50+BE59*PRECIO_PEND))</f>
        <v/>
      </c>
      <c r="BN59" s="3">
        <f>MAX(0,100*(1-N59/KM_MAX))</f>
        <v/>
      </c>
      <c r="BO59" s="3">
        <f>IF(AV59&lt;KMA_SOSP,IF(AA59="sí",100,KMA_PEN),IF(AV59&lt;=KMA_IDEAL_MAX,100,MAX(0,100*(KMA_CERO-AV59)/(KMA_CERO-KMA_IDEAL_MAX))))</f>
        <v/>
      </c>
      <c r="BP59" s="3">
        <f>MAX(0,MIN(100,100*(M59-ANIO_MIN)/(ANIO_ACTUAL-ANIO_MIN)))</f>
        <v/>
      </c>
      <c r="BQ59" s="3">
        <f>W_KMT*BN59+W_KMA*BO59+W_EDAD*BP59</f>
        <v/>
      </c>
      <c r="BR59" s="3">
        <f>P_ITV*(V59="sí")+P_LIBRO*(W59="sí")+P_CORREA*(X59="sí")+P_PROP*(Y59=1)+P_GAR*(Z59="sí")+P_FOTOS*MIN(1,N(U59)/FOTOS_OBJ)</f>
        <v/>
      </c>
      <c r="BS59" s="3">
        <f>IFERROR(VLOOKUP(BF59,ETQ_TBL,2,0),NEUTRO)</f>
        <v/>
      </c>
      <c r="BT59" s="3">
        <f>NEUTRO</f>
        <v/>
      </c>
      <c r="BU59" s="3">
        <f>IFERROR(VLOOKUP(L59,SEGURO_TBL,3,0),"")</f>
        <v/>
      </c>
      <c r="BV59" s="3">
        <f>IF(BU59="",NEUTRO,MAX(0,MIN(100,100*(SEG_REF_MAX-BU59)/(SEG_REF_MAX-SEG_REF_MIN))))</f>
        <v/>
      </c>
      <c r="BW59" s="3">
        <f>W_ET*BS59+W_CONS*BT59+W_SEG*BV59</f>
        <v/>
      </c>
      <c r="BX59" s="3">
        <f>IF(N(AB59)&gt;0,AB59,IF(AND(R59="profesional",SG_LEGAL_ON=1),GAR_LEGAL,0))</f>
        <v/>
      </c>
      <c r="BY59" s="3">
        <f>SG_GAR*MIN(1,BX59/SG_GAR_FULL)+SG_AMPL*(AC59="sí")+SG_KMC*(AF59="sí")+SG_REV*(N(AE59)&gt;0)+SG_DEV*MIN(1,N(AG59)/SG_DEV_FULL)+SG_HIST*(W59="sí")</f>
        <v/>
      </c>
      <c r="BZ59" s="3">
        <f>IFERROR(VLOOKUP(L59,CARR_PEN_TBL,2,0),0)</f>
        <v/>
      </c>
      <c r="CA59" s="3">
        <f>W_FIAB*BL59+W_PRECIO*BM59+W_KMEDAD*BQ59+W_ANUNCIO*BR59+W_USO*BW59+W_SEGURIDAD*BY59-BZ59</f>
        <v/>
      </c>
      <c r="CB59" s="4">
        <f>IF(N(I59)&gt;0,I59,IFERROR(ROUND(_xlfn.NUMBERVALUE(LEFT(G59,FIND(" ",G59&amp;" ")-1),".")*1000,0),99999))</f>
        <v/>
      </c>
      <c r="CC59" s="3">
        <f>IF(R59="profesional",0,IF(O59&lt;CUOTA_VALOR_MAX,IF(AU59&gt;ITP_TRAMO_ALTO,SUMIFS(CF_CUOTA,CF_MAS,ITP_TRAMO_ALTO,CF_CCMIN,"&lt;="&amp;CB59,CF_CCMAX,"&gt;="&amp;CB59),IF(AU59&gt;ITP_TRAMO_BAJO,SUMIFS(CF_CUOTA,CF_MAS,ITP_TRAMO_BAJO,CF_CCMIN,"&lt;="&amp;CB59,CF_CCMAX,"&gt;="&amp;CB59),O59*ITP_TIPO)),O59*ITP_TIPO))</f>
        <v/>
      </c>
      <c r="CD59" s="4">
        <f>IF(R59="profesional",N(AK59),0)</f>
        <v/>
      </c>
      <c r="CE59" s="3">
        <f>IF(AND(R59="profesional",ISNUMBER(AK59),AL59="sí"),0,TASA_DGT)</f>
        <v/>
      </c>
      <c r="CF59" s="3">
        <f>INFORME_DGT</f>
        <v/>
      </c>
      <c r="CG59" s="4">
        <f>O59+CD59+CC59+CE59+CF59</f>
        <v/>
      </c>
      <c r="CH59" s="4">
        <f>CG59+N(BU59)</f>
        <v/>
      </c>
      <c r="CI59" s="3">
        <f>IF(CG59&lt;=TOTAL_MAX,"sí",IF(CG59&lt;=TOTAL_MAX+MARGEN_NEG,"negociar","no"))</f>
        <v/>
      </c>
      <c r="CJ59" s="4">
        <f>IF(CI59&lt;&gt;"no",COUNTIFS($CI$2:$CI$662,"&lt;&gt;no",$CA$2:$CA$662,"&gt;"&amp;CA59)+COUNTIFS($CI$2:CI59,"&lt;&gt;no",$CA$2:CA59,CA59),"")</f>
        <v/>
      </c>
    </row>
    <row r="60">
      <c r="A60" s="2" t="inlineStr">
        <is>
          <t>wallapop:1315257495</t>
        </is>
      </c>
      <c r="B60" s="2" t="inlineStr">
        <is>
          <t>wallapop</t>
        </is>
      </c>
      <c r="C60" s="2" t="inlineStr">
        <is>
          <t>https://es.wallapop.com/item/207-1-4-hdi-135-353km-itv27-gomas-pastillas-nuevas-1315257495</t>
        </is>
      </c>
      <c r="D60" s="2" t="inlineStr">
        <is>
          <t>207 1.4 HDi 135.353km ITV27 Gomas Pastillas Nuevas</t>
        </is>
      </c>
      <c r="E60" s="2" t="inlineStr">
        <is>
          <t>Peugeot</t>
        </is>
      </c>
      <c r="F60" s="2" t="inlineStr">
        <is>
          <t>Peugeot 207</t>
        </is>
      </c>
      <c r="G60" s="2" t="inlineStr">
        <is>
          <t>1.4 HDi</t>
        </is>
      </c>
      <c r="H60" s="2" t="inlineStr">
        <is>
          <t>1.4 HDi 70 Confort 5p AM70</t>
        </is>
      </c>
      <c r="I60" s="2" t="n"/>
      <c r="J60" s="2" t="n">
        <v>70</v>
      </c>
      <c r="K60" s="2" t="inlineStr">
        <is>
          <t>diesel</t>
        </is>
      </c>
      <c r="L60" s="2" t="inlineStr">
        <is>
          <t>utilitario</t>
        </is>
      </c>
      <c r="M60" s="2" t="n">
        <v>2010</v>
      </c>
      <c r="N60" s="2" t="n">
        <v>135353</v>
      </c>
      <c r="O60" s="2" t="n">
        <v>3750</v>
      </c>
      <c r="P60" s="2" t="inlineStr">
        <is>
          <t>manual</t>
        </is>
      </c>
      <c r="Q60" s="2" t="inlineStr">
        <is>
          <t>no</t>
        </is>
      </c>
      <c r="R60" s="2" t="inlineStr">
        <is>
          <t>particular</t>
        </is>
      </c>
      <c r="S60" s="2" t="inlineStr">
        <is>
          <t>Valencia (46010)</t>
        </is>
      </c>
      <c r="T60" s="2" t="inlineStr">
        <is>
          <t>2026-10-21T07:02:14</t>
        </is>
      </c>
      <c r="U60" s="2" t="n">
        <v>10</v>
      </c>
      <c r="V60" s="2" t="inlineStr">
        <is>
          <t>sí</t>
        </is>
      </c>
      <c r="W60" s="2" t="n"/>
      <c r="X60" s="2" t="n"/>
      <c r="Y60" s="2" t="n"/>
      <c r="Z60" s="2" t="n"/>
      <c r="AA60" s="2" t="inlineStr">
        <is>
          <t>sí</t>
        </is>
      </c>
      <c r="AB60" s="2" t="n"/>
      <c r="AC60" s="2" t="n"/>
      <c r="AD60" s="2" t="n"/>
      <c r="AE60" s="2" t="n"/>
      <c r="AF60" s="2" t="n"/>
      <c r="AG60" s="2" t="n"/>
      <c r="AH60" s="2" t="n"/>
      <c r="AI60" s="2" t="n"/>
      <c r="AJ60" s="2" t="n"/>
      <c r="AK60" s="2" t="n"/>
      <c r="AL60" s="2" t="n"/>
      <c r="AM60" s="2" t="n">
        <v>1.5</v>
      </c>
      <c r="AN60" s="2" t="n">
        <v>4490</v>
      </c>
      <c r="AO60" s="2" t="n">
        <v>15</v>
      </c>
      <c r="AP60" s="2" t="inlineStr">
        <is>
          <t>modelo+año+km</t>
        </is>
      </c>
      <c r="AQ60" s="2" t="inlineStr">
        <is>
          <t>cochesnet:71793240 (https://www.coches.net/peugeot-207-confort-14-hdi-70-5p-diesel-2010-en-valencia-71793240-covo.aspx)</t>
        </is>
      </c>
      <c r="AR60" s="2" t="inlineStr">
        <is>
          <t>cuota fija ITP: &gt;12 años, hasta 1.500 cc; fiabilidad del modelo PENDIENTE de fuente (puntuación neutra)</t>
        </is>
      </c>
      <c r="AS60" s="2" t="inlineStr">
        <is>
          <t>207 1.4 HDi 70cv diésel 5 puertas. 
135.353 KM REALES con ITV hasta julio de 2027 
• Neumáticos delanteros NUEVOS (foto)
• Traseros prácticamente nuevos
• Pastillas de freno NUEVAS
• Calefacción funcionando perfectamente
• Pantalla  / USB
• 5 puertas, interior muy cuidado
• Etiqueta B
Detalles por el precio:
• A/A no enfría, a revisar
• Detalles de pintura.
Valencia capital. 3.750€, transferencia aparte.</t>
        </is>
      </c>
      <c r="AT60" s="2" t="inlineStr">
        <is>
          <t>https://es.wallapop.com/item/207-1-4-hdi-135-353km-itv27-gomas-pastillas-nuevas-1315257495 (__NEXT_DATA__ item) /home/user/Alopecia/buscador-coches/raw/wallapop/86290139c2953761.json</t>
        </is>
      </c>
      <c r="AU60" s="3">
        <f>MAX(ANIO_ACTUAL-M60,0)</f>
        <v/>
      </c>
      <c r="AV60" s="4">
        <f>N60/MAX(AU60,0.5)</f>
        <v/>
      </c>
      <c r="AW60" s="4">
        <f>F60</f>
        <v/>
      </c>
      <c r="AX60" s="3">
        <f>AW60&amp;"|"&amp;INT(M60/SEG_ANIO)*SEG_ANIO</f>
        <v/>
      </c>
      <c r="AY60" s="3">
        <f>AX60&amp;"|"&amp;INT(N60/SEG_KM)*SEG_KM</f>
        <v/>
      </c>
      <c r="AZ60" s="4">
        <f>COUNTIF($AW$2:$AW$662,AW60)</f>
        <v/>
      </c>
      <c r="BA60" s="4">
        <f>COUNTIF($AX$2:$AX$662,AX60)</f>
        <v/>
      </c>
      <c r="BB60" s="4">
        <f>COUNTIF($AY$2:$AY$662,AY60)</f>
        <v/>
      </c>
      <c r="BC60" s="3">
        <f t="array" ref="BC60">IF(N(AO60)&gt;=MIN_N,AN60,IF(BB60&gt;=MIN_N,MEDIAN(IF($AY$2:$AY$662=AY60,$O$2:$O$662)),IF(BA60&gt;=MIN_N,MEDIAN(IF($AX$2:$AX$662=AX60,$O$2:$O$662)),MEDIAN(IF($AW$2:$AW$662=AW60,$O$2:$O$662)))))</f>
        <v/>
      </c>
      <c r="BD60" s="3">
        <f>IF(N(AO60)&gt;=MIN_N,"mercado "&amp;AP60,IF(BB60&gt;=MIN_N,"modelo+año+km",IF(BA60&gt;=MIN_N,"modelo+año","modelo")))</f>
        <v/>
      </c>
      <c r="BE60" s="4">
        <f>(BC60-O60)/BC60</f>
        <v/>
      </c>
      <c r="BF60" s="3">
        <f>IF(OR(K60="hibrido",K60="glp"),"ECO",IF(K60="electrico","CERO",IF(K60="gasolina",IF(M60&gt;=GAS_C,"C",IF(M60&gt;=GAS_B,"B","A")),IF(K60="diesel",IF(M60&gt;=DIE_C,"C",IF(M60&gt;=DIE_B,"B","A")),""))))</f>
        <v/>
      </c>
      <c r="BG60" s="3">
        <f>IFERROR(VLOOKUP(F60,MOD_TBL,11,0),IFERROR(VLOOKUP(E60,OCU_TBL,2,0),NEUTRO))</f>
        <v/>
      </c>
      <c r="BH60" s="3">
        <f>SUMIFS(MOT_AJUSTE,MOT_MOTOR,G60,MOT_MARCA,E60,MOT_DESDE,"&lt;="&amp;M60,MOT_HASTA,"&gt;="&amp;M60)+SUMIFS(MOT_AJUSTE,MOT_MOTOR,G60,MOT_MARCA,"(todas)",MOT_DESDE,"&lt;="&amp;M60,MOT_HASTA,"&gt;="&amp;M60)</f>
        <v/>
      </c>
      <c r="BI60" s="3">
        <f>SUMIFS(COMB_AJUSTE,COMB_COMB,K60)</f>
        <v/>
      </c>
      <c r="BJ60" s="3">
        <f>COUNTIFS(MOT_MOTOR,G60,MOT_MARCA,E60,MOT_DESDE,"&lt;="&amp;M60,MOT_HASTA,"&gt;="&amp;M60)+COUNTIFS(MOT_MOTOR,G60,MOT_MARCA,"(todas)",MOT_DESDE,"&lt;="&amp;M60,MOT_HASTA,"&gt;="&amp;M60)</f>
        <v/>
      </c>
      <c r="BK60" s="3">
        <f>IF(AND(K60="diesel",BJ60=0),MIN(BG60,NEUTRO),BG60)</f>
        <v/>
      </c>
      <c r="BL60" s="4">
        <f>MAX(0,MIN(100,BK60+BH60+BI60))</f>
        <v/>
      </c>
      <c r="BM60" s="3">
        <f>MAX(0,MIN(100,50+BE60*PRECIO_PEND))</f>
        <v/>
      </c>
      <c r="BN60" s="3">
        <f>MAX(0,100*(1-N60/KM_MAX))</f>
        <v/>
      </c>
      <c r="BO60" s="3">
        <f>IF(AV60&lt;KMA_SOSP,IF(AA60="sí",100,KMA_PEN),IF(AV60&lt;=KMA_IDEAL_MAX,100,MAX(0,100*(KMA_CERO-AV60)/(KMA_CERO-KMA_IDEAL_MAX))))</f>
        <v/>
      </c>
      <c r="BP60" s="3">
        <f>MAX(0,MIN(100,100*(M60-ANIO_MIN)/(ANIO_ACTUAL-ANIO_MIN)))</f>
        <v/>
      </c>
      <c r="BQ60" s="3">
        <f>W_KMT*BN60+W_KMA*BO60+W_EDAD*BP60</f>
        <v/>
      </c>
      <c r="BR60" s="3">
        <f>P_ITV*(V60="sí")+P_LIBRO*(W60="sí")+P_CORREA*(X60="sí")+P_PROP*(Y60=1)+P_GAR*(Z60="sí")+P_FOTOS*MIN(1,N(U60)/FOTOS_OBJ)</f>
        <v/>
      </c>
      <c r="BS60" s="3">
        <f>IFERROR(VLOOKUP(BF60,ETQ_TBL,2,0),NEUTRO)</f>
        <v/>
      </c>
      <c r="BT60" s="3">
        <f>NEUTRO</f>
        <v/>
      </c>
      <c r="BU60" s="3">
        <f>IFERROR(VLOOKUP(L60,SEGURO_TBL,3,0),"")</f>
        <v/>
      </c>
      <c r="BV60" s="3">
        <f>IF(BU60="",NEUTRO,MAX(0,MIN(100,100*(SEG_REF_MAX-BU60)/(SEG_REF_MAX-SEG_REF_MIN))))</f>
        <v/>
      </c>
      <c r="BW60" s="3">
        <f>W_ET*BS60+W_CONS*BT60+W_SEG*BV60</f>
        <v/>
      </c>
      <c r="BX60" s="3">
        <f>IF(N(AB60)&gt;0,AB60,IF(AND(R60="profesional",SG_LEGAL_ON=1),GAR_LEGAL,0))</f>
        <v/>
      </c>
      <c r="BY60" s="3">
        <f>SG_GAR*MIN(1,BX60/SG_GAR_FULL)+SG_AMPL*(AC60="sí")+SG_KMC*(AF60="sí")+SG_REV*(N(AE60)&gt;0)+SG_DEV*MIN(1,N(AG60)/SG_DEV_FULL)+SG_HIST*(W60="sí")</f>
        <v/>
      </c>
      <c r="BZ60" s="3">
        <f>IFERROR(VLOOKUP(L60,CARR_PEN_TBL,2,0),0)</f>
        <v/>
      </c>
      <c r="CA60" s="3">
        <f>W_FIAB*BL60+W_PRECIO*BM60+W_KMEDAD*BQ60+W_ANUNCIO*BR60+W_USO*BW60+W_SEGURIDAD*BY60-BZ60</f>
        <v/>
      </c>
      <c r="CB60" s="4">
        <f>IF(N(I60)&gt;0,I60,IFERROR(ROUND(_xlfn.NUMBERVALUE(LEFT(G60,FIND(" ",G60&amp;" ")-1),".")*1000,0),99999))</f>
        <v/>
      </c>
      <c r="CC60" s="3">
        <f>IF(R60="profesional",0,IF(O60&lt;CUOTA_VALOR_MAX,IF(AU60&gt;ITP_TRAMO_ALTO,SUMIFS(CF_CUOTA,CF_MAS,ITP_TRAMO_ALTO,CF_CCMIN,"&lt;="&amp;CB60,CF_CCMAX,"&gt;="&amp;CB60),IF(AU60&gt;ITP_TRAMO_BAJO,SUMIFS(CF_CUOTA,CF_MAS,ITP_TRAMO_BAJO,CF_CCMIN,"&lt;="&amp;CB60,CF_CCMAX,"&gt;="&amp;CB60),O60*ITP_TIPO)),O60*ITP_TIPO))</f>
        <v/>
      </c>
      <c r="CD60" s="4">
        <f>IF(R60="profesional",N(AK60),0)</f>
        <v/>
      </c>
      <c r="CE60" s="3">
        <f>IF(AND(R60="profesional",ISNUMBER(AK60),AL60="sí"),0,TASA_DGT)</f>
        <v/>
      </c>
      <c r="CF60" s="3">
        <f>INFORME_DGT</f>
        <v/>
      </c>
      <c r="CG60" s="4">
        <f>O60+CD60+CC60+CE60+CF60</f>
        <v/>
      </c>
      <c r="CH60" s="4">
        <f>CG60+N(BU60)</f>
        <v/>
      </c>
      <c r="CI60" s="3">
        <f>IF(CG60&lt;=TOTAL_MAX,"sí",IF(CG60&lt;=TOTAL_MAX+MARGEN_NEG,"negociar","no"))</f>
        <v/>
      </c>
      <c r="CJ60" s="4">
        <f>IF(CI60&lt;&gt;"no",COUNTIFS($CI$2:$CI$662,"&lt;&gt;no",$CA$2:$CA$662,"&gt;"&amp;CA60)+COUNTIFS($CI$2:CI60,"&lt;&gt;no",$CA$2:CA60,CA60),"")</f>
        <v/>
      </c>
    </row>
    <row r="61">
      <c r="A61" s="2" t="inlineStr">
        <is>
          <t>wallapop:1303500233</t>
        </is>
      </c>
      <c r="B61" s="2" t="inlineStr">
        <is>
          <t>wallapop</t>
        </is>
      </c>
      <c r="C61" s="2" t="inlineStr">
        <is>
          <t>https://es.wallapop.com/item/peugeot-207-2009-1303500233</t>
        </is>
      </c>
      <c r="D61" s="2" t="inlineStr">
        <is>
          <t>Peugeot 207 2009</t>
        </is>
      </c>
      <c r="E61" s="2" t="inlineStr">
        <is>
          <t>Peugeot</t>
        </is>
      </c>
      <c r="F61" s="2" t="inlineStr">
        <is>
          <t>Peugeot 207</t>
        </is>
      </c>
      <c r="G61" s="2" t="inlineStr">
        <is>
          <t>1.4 VTi</t>
        </is>
      </c>
      <c r="H61" s="2" t="inlineStr">
        <is>
          <t>1.4 VTi 95 Confort 5p AM61</t>
        </is>
      </c>
      <c r="I61" s="2" t="n"/>
      <c r="J61" s="2" t="n">
        <v>95</v>
      </c>
      <c r="K61" s="2" t="inlineStr">
        <is>
          <t>gasolina</t>
        </is>
      </c>
      <c r="L61" s="2" t="inlineStr">
        <is>
          <t>utilitario</t>
        </is>
      </c>
      <c r="M61" s="2" t="n">
        <v>2009</v>
      </c>
      <c r="N61" s="2" t="n">
        <v>92750</v>
      </c>
      <c r="O61" s="2" t="n">
        <v>4500</v>
      </c>
      <c r="P61" s="2" t="inlineStr">
        <is>
          <t>manual</t>
        </is>
      </c>
      <c r="Q61" s="2" t="inlineStr">
        <is>
          <t>no</t>
        </is>
      </c>
      <c r="R61" s="2" t="inlineStr">
        <is>
          <t>particular</t>
        </is>
      </c>
      <c r="S61" s="2" t="inlineStr">
        <is>
          <t>Valencia (46010)</t>
        </is>
      </c>
      <c r="T61" s="2" t="inlineStr">
        <is>
          <t>2026-09-19T21:49:25</t>
        </is>
      </c>
      <c r="U61" s="2" t="n">
        <v>8</v>
      </c>
      <c r="V61" s="2" t="n"/>
      <c r="W61" s="2" t="inlineStr">
        <is>
          <t>sí</t>
        </is>
      </c>
      <c r="X61" s="2" t="n"/>
      <c r="Y61" s="2" t="n"/>
      <c r="Z61" s="2" t="n"/>
      <c r="AA61" s="2" t="n"/>
      <c r="AB61" s="2" t="n"/>
      <c r="AC61" s="2" t="n"/>
      <c r="AD61" s="2" t="n"/>
      <c r="AE61" s="2" t="n"/>
      <c r="AF61" s="2" t="n"/>
      <c r="AG61" s="2" t="n"/>
      <c r="AH61" s="2" t="n"/>
      <c r="AI61" s="2" t="n"/>
      <c r="AJ61" s="2" t="n"/>
      <c r="AK61" s="2" t="n"/>
      <c r="AL61" s="2" t="n"/>
      <c r="AM61" s="2" t="n">
        <v>1.1</v>
      </c>
      <c r="AN61" s="2" t="n">
        <v>4750</v>
      </c>
      <c r="AO61" s="2" t="n">
        <v>13</v>
      </c>
      <c r="AP61" s="2" t="inlineStr">
        <is>
          <t>modelo+año+km</t>
        </is>
      </c>
      <c r="AQ61" s="2" t="n"/>
      <c r="AR61" s="2" t="inlineStr">
        <is>
          <t>cuota fija ITP: &gt;12 años, hasta 1.500 cc; fiabilidad del modelo PENDIENTE de fuente (puntuación neutra)</t>
        </is>
      </c>
      <c r="AS61" s="2" t="inlineStr">
        <is>
          <t>Coche en buenas condiciones , mantenimiento al dia 
Itv para Diciembre</t>
        </is>
      </c>
      <c r="AT61" s="2" t="inlineStr">
        <is>
          <t>https://es.wallapop.com/item/peugeot-207-2009-1303500233 (__NEXT_DATA__ item) /home/user/Alopecia/buscador-coches/raw/wallapop/5e5123f265e8bc99.json</t>
        </is>
      </c>
      <c r="AU61" s="3">
        <f>MAX(ANIO_ACTUAL-M61,0)</f>
        <v/>
      </c>
      <c r="AV61" s="4">
        <f>N61/MAX(AU61,0.5)</f>
        <v/>
      </c>
      <c r="AW61" s="4">
        <f>F61</f>
        <v/>
      </c>
      <c r="AX61" s="3">
        <f>AW61&amp;"|"&amp;INT(M61/SEG_ANIO)*SEG_ANIO</f>
        <v/>
      </c>
      <c r="AY61" s="3">
        <f>AX61&amp;"|"&amp;INT(N61/SEG_KM)*SEG_KM</f>
        <v/>
      </c>
      <c r="AZ61" s="4">
        <f>COUNTIF($AW$2:$AW$662,AW61)</f>
        <v/>
      </c>
      <c r="BA61" s="4">
        <f>COUNTIF($AX$2:$AX$662,AX61)</f>
        <v/>
      </c>
      <c r="BB61" s="4">
        <f>COUNTIF($AY$2:$AY$662,AY61)</f>
        <v/>
      </c>
      <c r="BC61" s="3">
        <f t="array" ref="BC61">IF(N(AO61)&gt;=MIN_N,AN61,IF(BB61&gt;=MIN_N,MEDIAN(IF($AY$2:$AY$662=AY61,$O$2:$O$662)),IF(BA61&gt;=MIN_N,MEDIAN(IF($AX$2:$AX$662=AX61,$O$2:$O$662)),MEDIAN(IF($AW$2:$AW$662=AW61,$O$2:$O$662)))))</f>
        <v/>
      </c>
      <c r="BD61" s="3">
        <f>IF(N(AO61)&gt;=MIN_N,"mercado "&amp;AP61,IF(BB61&gt;=MIN_N,"modelo+año+km",IF(BA61&gt;=MIN_N,"modelo+año","modelo")))</f>
        <v/>
      </c>
      <c r="BE61" s="4">
        <f>(BC61-O61)/BC61</f>
        <v/>
      </c>
      <c r="BF61" s="3">
        <f>IF(OR(K61="hibrido",K61="glp"),"ECO",IF(K61="electrico","CERO",IF(K61="gasolina",IF(M61&gt;=GAS_C,"C",IF(M61&gt;=GAS_B,"B","A")),IF(K61="diesel",IF(M61&gt;=DIE_C,"C",IF(M61&gt;=DIE_B,"B","A")),""))))</f>
        <v/>
      </c>
      <c r="BG61" s="3">
        <f>IFERROR(VLOOKUP(F61,MOD_TBL,11,0),IFERROR(VLOOKUP(E61,OCU_TBL,2,0),NEUTRO))</f>
        <v/>
      </c>
      <c r="BH61" s="3">
        <f>SUMIFS(MOT_AJUSTE,MOT_MOTOR,G61,MOT_MARCA,E61,MOT_DESDE,"&lt;="&amp;M61,MOT_HASTA,"&gt;="&amp;M61)+SUMIFS(MOT_AJUSTE,MOT_MOTOR,G61,MOT_MARCA,"(todas)",MOT_DESDE,"&lt;="&amp;M61,MOT_HASTA,"&gt;="&amp;M61)</f>
        <v/>
      </c>
      <c r="BI61" s="3">
        <f>SUMIFS(COMB_AJUSTE,COMB_COMB,K61)</f>
        <v/>
      </c>
      <c r="BJ61" s="3">
        <f>COUNTIFS(MOT_MOTOR,G61,MOT_MARCA,E61,MOT_DESDE,"&lt;="&amp;M61,MOT_HASTA,"&gt;="&amp;M61)+COUNTIFS(MOT_MOTOR,G61,MOT_MARCA,"(todas)",MOT_DESDE,"&lt;="&amp;M61,MOT_HASTA,"&gt;="&amp;M61)</f>
        <v/>
      </c>
      <c r="BK61" s="3">
        <f>IF(AND(K61="diesel",BJ61=0),MIN(BG61,NEUTRO),BG61)</f>
        <v/>
      </c>
      <c r="BL61" s="4">
        <f>MAX(0,MIN(100,BK61+BH61+BI61))</f>
        <v/>
      </c>
      <c r="BM61" s="3">
        <f>MAX(0,MIN(100,50+BE61*PRECIO_PEND))</f>
        <v/>
      </c>
      <c r="BN61" s="3">
        <f>MAX(0,100*(1-N61/KM_MAX))</f>
        <v/>
      </c>
      <c r="BO61" s="3">
        <f>IF(AV61&lt;KMA_SOSP,IF(AA61="sí",100,KMA_PEN),IF(AV61&lt;=KMA_IDEAL_MAX,100,MAX(0,100*(KMA_CERO-AV61)/(KMA_CERO-KMA_IDEAL_MAX))))</f>
        <v/>
      </c>
      <c r="BP61" s="3">
        <f>MAX(0,MIN(100,100*(M61-ANIO_MIN)/(ANIO_ACTUAL-ANIO_MIN)))</f>
        <v/>
      </c>
      <c r="BQ61" s="3">
        <f>W_KMT*BN61+W_KMA*BO61+W_EDAD*BP61</f>
        <v/>
      </c>
      <c r="BR61" s="3">
        <f>P_ITV*(V61="sí")+P_LIBRO*(W61="sí")+P_CORREA*(X61="sí")+P_PROP*(Y61=1)+P_GAR*(Z61="sí")+P_FOTOS*MIN(1,N(U61)/FOTOS_OBJ)</f>
        <v/>
      </c>
      <c r="BS61" s="3">
        <f>IFERROR(VLOOKUP(BF61,ETQ_TBL,2,0),NEUTRO)</f>
        <v/>
      </c>
      <c r="BT61" s="3">
        <f>NEUTRO</f>
        <v/>
      </c>
      <c r="BU61" s="3">
        <f>IFERROR(VLOOKUP(L61,SEGURO_TBL,3,0),"")</f>
        <v/>
      </c>
      <c r="BV61" s="3">
        <f>IF(BU61="",NEUTRO,MAX(0,MIN(100,100*(SEG_REF_MAX-BU61)/(SEG_REF_MAX-SEG_REF_MIN))))</f>
        <v/>
      </c>
      <c r="BW61" s="3">
        <f>W_ET*BS61+W_CONS*BT61+W_SEG*BV61</f>
        <v/>
      </c>
      <c r="BX61" s="3">
        <f>IF(N(AB61)&gt;0,AB61,IF(AND(R61="profesional",SG_LEGAL_ON=1),GAR_LEGAL,0))</f>
        <v/>
      </c>
      <c r="BY61" s="3">
        <f>SG_GAR*MIN(1,BX61/SG_GAR_FULL)+SG_AMPL*(AC61="sí")+SG_KMC*(AF61="sí")+SG_REV*(N(AE61)&gt;0)+SG_DEV*MIN(1,N(AG61)/SG_DEV_FULL)+SG_HIST*(W61="sí")</f>
        <v/>
      </c>
      <c r="BZ61" s="3">
        <f>IFERROR(VLOOKUP(L61,CARR_PEN_TBL,2,0),0)</f>
        <v/>
      </c>
      <c r="CA61" s="3">
        <f>W_FIAB*BL61+W_PRECIO*BM61+W_KMEDAD*BQ61+W_ANUNCIO*BR61+W_USO*BW61+W_SEGURIDAD*BY61-BZ61</f>
        <v/>
      </c>
      <c r="CB61" s="4">
        <f>IF(N(I61)&gt;0,I61,IFERROR(ROUND(_xlfn.NUMBERVALUE(LEFT(G61,FIND(" ",G61&amp;" ")-1),".")*1000,0),99999))</f>
        <v/>
      </c>
      <c r="CC61" s="3">
        <f>IF(R61="profesional",0,IF(O61&lt;CUOTA_VALOR_MAX,IF(AU61&gt;ITP_TRAMO_ALTO,SUMIFS(CF_CUOTA,CF_MAS,ITP_TRAMO_ALTO,CF_CCMIN,"&lt;="&amp;CB61,CF_CCMAX,"&gt;="&amp;CB61),IF(AU61&gt;ITP_TRAMO_BAJO,SUMIFS(CF_CUOTA,CF_MAS,ITP_TRAMO_BAJO,CF_CCMIN,"&lt;="&amp;CB61,CF_CCMAX,"&gt;="&amp;CB61),O61*ITP_TIPO)),O61*ITP_TIPO))</f>
        <v/>
      </c>
      <c r="CD61" s="4">
        <f>IF(R61="profesional",N(AK61),0)</f>
        <v/>
      </c>
      <c r="CE61" s="3">
        <f>IF(AND(R61="profesional",ISNUMBER(AK61),AL61="sí"),0,TASA_DGT)</f>
        <v/>
      </c>
      <c r="CF61" s="3">
        <f>INFORME_DGT</f>
        <v/>
      </c>
      <c r="CG61" s="4">
        <f>O61+CD61+CC61+CE61+CF61</f>
        <v/>
      </c>
      <c r="CH61" s="4">
        <f>CG61+N(BU61)</f>
        <v/>
      </c>
      <c r="CI61" s="3">
        <f>IF(CG61&lt;=TOTAL_MAX,"sí",IF(CG61&lt;=TOTAL_MAX+MARGEN_NEG,"negociar","no"))</f>
        <v/>
      </c>
      <c r="CJ61" s="4">
        <f>IF(CI61&lt;&gt;"no",COUNTIFS($CI$2:$CI$662,"&lt;&gt;no",$CA$2:$CA$662,"&gt;"&amp;CA61)+COUNTIFS($CI$2:CI61,"&lt;&gt;no",$CA$2:CA61,CA61),"")</f>
        <v/>
      </c>
    </row>
    <row r="62">
      <c r="A62" s="2" t="inlineStr">
        <is>
          <t>wallapop:1318834980</t>
        </is>
      </c>
      <c r="B62" s="2" t="inlineStr">
        <is>
          <t>wallapop</t>
        </is>
      </c>
      <c r="C62" s="2" t="inlineStr">
        <is>
          <t>https://es.wallapop.com/item/peugeot-308-2008-1318834980</t>
        </is>
      </c>
      <c r="D62" s="2" t="inlineStr">
        <is>
          <t>Peugeot 308 2008</t>
        </is>
      </c>
      <c r="E62" s="2" t="inlineStr">
        <is>
          <t>Peugeot</t>
        </is>
      </c>
      <c r="F62" s="2" t="inlineStr">
        <is>
          <t>Peugeot 308</t>
        </is>
      </c>
      <c r="G62" s="2" t="inlineStr">
        <is>
          <t>1.6 VTi</t>
        </is>
      </c>
      <c r="H62" s="2" t="inlineStr">
        <is>
          <t>1.6 VTi 120 Sport 5p</t>
        </is>
      </c>
      <c r="I62" s="2" t="n"/>
      <c r="J62" s="2" t="n">
        <v>120</v>
      </c>
      <c r="K62" s="2" t="inlineStr">
        <is>
          <t>gasolina</t>
        </is>
      </c>
      <c r="L62" s="2" t="inlineStr">
        <is>
          <t>compacto</t>
        </is>
      </c>
      <c r="M62" s="2" t="n">
        <v>2008</v>
      </c>
      <c r="N62" s="2" t="n">
        <v>140000</v>
      </c>
      <c r="O62" s="2" t="n">
        <v>3500</v>
      </c>
      <c r="P62" s="2" t="inlineStr">
        <is>
          <t>manual</t>
        </is>
      </c>
      <c r="Q62" s="2" t="inlineStr">
        <is>
          <t>no</t>
        </is>
      </c>
      <c r="R62" s="2" t="inlineStr">
        <is>
          <t>profesional</t>
        </is>
      </c>
      <c r="S62" s="2" t="inlineStr">
        <is>
          <t>Valencia (46014)</t>
        </is>
      </c>
      <c r="T62" s="2" t="inlineStr">
        <is>
          <t>2026-10-30T17:14:43</t>
        </is>
      </c>
      <c r="U62" s="2" t="n">
        <v>14</v>
      </c>
      <c r="V62" s="2" t="n"/>
      <c r="W62" s="2" t="n"/>
      <c r="X62" s="2" t="n"/>
      <c r="Y62" s="2" t="n">
        <v>1</v>
      </c>
      <c r="Z62" s="2" t="n"/>
      <c r="AA62" s="2" t="n"/>
      <c r="AB62" s="2" t="n"/>
      <c r="AC62" s="2" t="n"/>
      <c r="AD62" s="2" t="n"/>
      <c r="AE62" s="2" t="n"/>
      <c r="AF62" s="2" t="n"/>
      <c r="AG62" s="2" t="n"/>
      <c r="AH62" s="2" t="n"/>
      <c r="AI62" s="2" t="n"/>
      <c r="AJ62" s="2" t="n"/>
      <c r="AK62" s="2" t="n"/>
      <c r="AL62" s="2" t="n"/>
      <c r="AM62" s="2" t="n">
        <v>3.3</v>
      </c>
      <c r="AN62" s="2" t="n">
        <v>4300</v>
      </c>
      <c r="AO62" s="2" t="n">
        <v>9</v>
      </c>
      <c r="AP62" s="2" t="inlineStr">
        <is>
          <t>modelo+año+km</t>
        </is>
      </c>
      <c r="AQ62" s="2" t="n"/>
      <c r="AR62" s="2" t="inlineStr">
        <is>
          <t>vendedor profesional: sin ITP (operación con IVA/REBU, confirmar en factura); gastos de gestión del vendedor no indicados: se suma la tasa DGT; preguntar el precio final</t>
        </is>
      </c>
      <c r="AS62" s="2" t="inlineStr">
        <is>
          <t xml:space="preserve">Hermoso 308 sport muy cuidado y con mantenimientos al día
Motor potente de 120cv 1.6cc gasolina sin turbo y con distribución por cadena, tan solo con 140mil kms, etiqueta C , único propietario 2 llaves, batería nueva </t>
        </is>
      </c>
      <c r="AT62" s="2" t="inlineStr">
        <is>
          <t>https://es.wallapop.com/item/peugeot-308-2008-1318834980 (__NEXT_DATA__ item) /home/user/Alopecia/buscador-coches/raw/wallapop/3b63e46021db0664.json</t>
        </is>
      </c>
      <c r="AU62" s="3">
        <f>MAX(ANIO_ACTUAL-M62,0)</f>
        <v/>
      </c>
      <c r="AV62" s="4">
        <f>N62/MAX(AU62,0.5)</f>
        <v/>
      </c>
      <c r="AW62" s="4">
        <f>F62</f>
        <v/>
      </c>
      <c r="AX62" s="3">
        <f>AW62&amp;"|"&amp;INT(M62/SEG_ANIO)*SEG_ANIO</f>
        <v/>
      </c>
      <c r="AY62" s="3">
        <f>AX62&amp;"|"&amp;INT(N62/SEG_KM)*SEG_KM</f>
        <v/>
      </c>
      <c r="AZ62" s="4">
        <f>COUNTIF($AW$2:$AW$662,AW62)</f>
        <v/>
      </c>
      <c r="BA62" s="4">
        <f>COUNTIF($AX$2:$AX$662,AX62)</f>
        <v/>
      </c>
      <c r="BB62" s="4">
        <f>COUNTIF($AY$2:$AY$662,AY62)</f>
        <v/>
      </c>
      <c r="BC62" s="3">
        <f t="array" ref="BC62">IF(N(AO62)&gt;=MIN_N,AN62,IF(BB62&gt;=MIN_N,MEDIAN(IF($AY$2:$AY$662=AY62,$O$2:$O$662)),IF(BA62&gt;=MIN_N,MEDIAN(IF($AX$2:$AX$662=AX62,$O$2:$O$662)),MEDIAN(IF($AW$2:$AW$662=AW62,$O$2:$O$662)))))</f>
        <v/>
      </c>
      <c r="BD62" s="3">
        <f>IF(N(AO62)&gt;=MIN_N,"mercado "&amp;AP62,IF(BB62&gt;=MIN_N,"modelo+año+km",IF(BA62&gt;=MIN_N,"modelo+año","modelo")))</f>
        <v/>
      </c>
      <c r="BE62" s="4">
        <f>(BC62-O62)/BC62</f>
        <v/>
      </c>
      <c r="BF62" s="3">
        <f>IF(OR(K62="hibrido",K62="glp"),"ECO",IF(K62="electrico","CERO",IF(K62="gasolina",IF(M62&gt;=GAS_C,"C",IF(M62&gt;=GAS_B,"B","A")),IF(K62="diesel",IF(M62&gt;=DIE_C,"C",IF(M62&gt;=DIE_B,"B","A")),""))))</f>
        <v/>
      </c>
      <c r="BG62" s="3">
        <f>IFERROR(VLOOKUP(F62,MOD_TBL,11,0),IFERROR(VLOOKUP(E62,OCU_TBL,2,0),NEUTRO))</f>
        <v/>
      </c>
      <c r="BH62" s="3">
        <f>SUMIFS(MOT_AJUSTE,MOT_MOTOR,G62,MOT_MARCA,E62,MOT_DESDE,"&lt;="&amp;M62,MOT_HASTA,"&gt;="&amp;M62)+SUMIFS(MOT_AJUSTE,MOT_MOTOR,G62,MOT_MARCA,"(todas)",MOT_DESDE,"&lt;="&amp;M62,MOT_HASTA,"&gt;="&amp;M62)</f>
        <v/>
      </c>
      <c r="BI62" s="3">
        <f>SUMIFS(COMB_AJUSTE,COMB_COMB,K62)</f>
        <v/>
      </c>
      <c r="BJ62" s="3">
        <f>COUNTIFS(MOT_MOTOR,G62,MOT_MARCA,E62,MOT_DESDE,"&lt;="&amp;M62,MOT_HASTA,"&gt;="&amp;M62)+COUNTIFS(MOT_MOTOR,G62,MOT_MARCA,"(todas)",MOT_DESDE,"&lt;="&amp;M62,MOT_HASTA,"&gt;="&amp;M62)</f>
        <v/>
      </c>
      <c r="BK62" s="3">
        <f>IF(AND(K62="diesel",BJ62=0),MIN(BG62,NEUTRO),BG62)</f>
        <v/>
      </c>
      <c r="BL62" s="4">
        <f>MAX(0,MIN(100,BK62+BH62+BI62))</f>
        <v/>
      </c>
      <c r="BM62" s="3">
        <f>MAX(0,MIN(100,50+BE62*PRECIO_PEND))</f>
        <v/>
      </c>
      <c r="BN62" s="3">
        <f>MAX(0,100*(1-N62/KM_MAX))</f>
        <v/>
      </c>
      <c r="BO62" s="3">
        <f>IF(AV62&lt;KMA_SOSP,IF(AA62="sí",100,KMA_PEN),IF(AV62&lt;=KMA_IDEAL_MAX,100,MAX(0,100*(KMA_CERO-AV62)/(KMA_CERO-KMA_IDEAL_MAX))))</f>
        <v/>
      </c>
      <c r="BP62" s="3">
        <f>MAX(0,MIN(100,100*(M62-ANIO_MIN)/(ANIO_ACTUAL-ANIO_MIN)))</f>
        <v/>
      </c>
      <c r="BQ62" s="3">
        <f>W_KMT*BN62+W_KMA*BO62+W_EDAD*BP62</f>
        <v/>
      </c>
      <c r="BR62" s="3">
        <f>P_ITV*(V62="sí")+P_LIBRO*(W62="sí")+P_CORREA*(X62="sí")+P_PROP*(Y62=1)+P_GAR*(Z62="sí")+P_FOTOS*MIN(1,N(U62)/FOTOS_OBJ)</f>
        <v/>
      </c>
      <c r="BS62" s="3">
        <f>IFERROR(VLOOKUP(BF62,ETQ_TBL,2,0),NEUTRO)</f>
        <v/>
      </c>
      <c r="BT62" s="3">
        <f>NEUTRO</f>
        <v/>
      </c>
      <c r="BU62" s="3">
        <f>IFERROR(VLOOKUP(L62,SEGURO_TBL,3,0),"")</f>
        <v/>
      </c>
      <c r="BV62" s="3">
        <f>IF(BU62="",NEUTRO,MAX(0,MIN(100,100*(SEG_REF_MAX-BU62)/(SEG_REF_MAX-SEG_REF_MIN))))</f>
        <v/>
      </c>
      <c r="BW62" s="3">
        <f>W_ET*BS62+W_CONS*BT62+W_SEG*BV62</f>
        <v/>
      </c>
      <c r="BX62" s="3">
        <f>IF(N(AB62)&gt;0,AB62,IF(AND(R62="profesional",SG_LEGAL_ON=1),GAR_LEGAL,0))</f>
        <v/>
      </c>
      <c r="BY62" s="3">
        <f>SG_GAR*MIN(1,BX62/SG_GAR_FULL)+SG_AMPL*(AC62="sí")+SG_KMC*(AF62="sí")+SG_REV*(N(AE62)&gt;0)+SG_DEV*MIN(1,N(AG62)/SG_DEV_FULL)+SG_HIST*(W62="sí")</f>
        <v/>
      </c>
      <c r="BZ62" s="3">
        <f>IFERROR(VLOOKUP(L62,CARR_PEN_TBL,2,0),0)</f>
        <v/>
      </c>
      <c r="CA62" s="3">
        <f>W_FIAB*BL62+W_PRECIO*BM62+W_KMEDAD*BQ62+W_ANUNCIO*BR62+W_USO*BW62+W_SEGURIDAD*BY62-BZ62</f>
        <v/>
      </c>
      <c r="CB62" s="4">
        <f>IF(N(I62)&gt;0,I62,IFERROR(ROUND(_xlfn.NUMBERVALUE(LEFT(G62,FIND(" ",G62&amp;" ")-1),".")*1000,0),99999))</f>
        <v/>
      </c>
      <c r="CC62" s="3">
        <f>IF(R62="profesional",0,IF(O62&lt;CUOTA_VALOR_MAX,IF(AU62&gt;ITP_TRAMO_ALTO,SUMIFS(CF_CUOTA,CF_MAS,ITP_TRAMO_ALTO,CF_CCMIN,"&lt;="&amp;CB62,CF_CCMAX,"&gt;="&amp;CB62),IF(AU62&gt;ITP_TRAMO_BAJO,SUMIFS(CF_CUOTA,CF_MAS,ITP_TRAMO_BAJO,CF_CCMIN,"&lt;="&amp;CB62,CF_CCMAX,"&gt;="&amp;CB62),O62*ITP_TIPO)),O62*ITP_TIPO))</f>
        <v/>
      </c>
      <c r="CD62" s="4">
        <f>IF(R62="profesional",N(AK62),0)</f>
        <v/>
      </c>
      <c r="CE62" s="3">
        <f>IF(AND(R62="profesional",ISNUMBER(AK62),AL62="sí"),0,TASA_DGT)</f>
        <v/>
      </c>
      <c r="CF62" s="3">
        <f>INFORME_DGT</f>
        <v/>
      </c>
      <c r="CG62" s="4">
        <f>O62+CD62+CC62+CE62+CF62</f>
        <v/>
      </c>
      <c r="CH62" s="4">
        <f>CG62+N(BU62)</f>
        <v/>
      </c>
      <c r="CI62" s="3">
        <f>IF(CG62&lt;=TOTAL_MAX,"sí",IF(CG62&lt;=TOTAL_MAX+MARGEN_NEG,"negociar","no"))</f>
        <v/>
      </c>
      <c r="CJ62" s="4">
        <f>IF(CI62&lt;&gt;"no",COUNTIFS($CI$2:$CI$662,"&lt;&gt;no",$CA$2:$CA$662,"&gt;"&amp;CA62)+COUNTIFS($CI$2:CI62,"&lt;&gt;no",$CA$2:CA62,CA62),"")</f>
        <v/>
      </c>
    </row>
    <row r="63">
      <c r="A63" s="2" t="inlineStr">
        <is>
          <t>wallapop:1313565029</t>
        </is>
      </c>
      <c r="B63" s="2" t="inlineStr">
        <is>
          <t>wallapop</t>
        </is>
      </c>
      <c r="C63" s="2" t="inlineStr">
        <is>
          <t>https://es.wallapop.com/item/peugeot-308-1-6-vti-120cv-solo-126-000-km-itv-1313565029</t>
        </is>
      </c>
      <c r="D63" s="2" t="inlineStr">
        <is>
          <t>Peugeot 308 1.6 VTi 120cv | ¡Solo 126.000 km! ITV</t>
        </is>
      </c>
      <c r="E63" s="2" t="inlineStr">
        <is>
          <t>Peugeot</t>
        </is>
      </c>
      <c r="F63" s="2" t="inlineStr">
        <is>
          <t>Peugeot 308</t>
        </is>
      </c>
      <c r="G63" s="2" t="inlineStr">
        <is>
          <t>1.6 VTi</t>
        </is>
      </c>
      <c r="H63" s="2" t="inlineStr">
        <is>
          <t>1.6 VTi 120 Confort 5p</t>
        </is>
      </c>
      <c r="I63" s="2" t="n"/>
      <c r="J63" s="2" t="n">
        <v>120</v>
      </c>
      <c r="K63" s="2" t="inlineStr">
        <is>
          <t>gasolina</t>
        </is>
      </c>
      <c r="L63" s="2" t="inlineStr">
        <is>
          <t>compacto</t>
        </is>
      </c>
      <c r="M63" s="2" t="n">
        <v>2008</v>
      </c>
      <c r="N63" s="2" t="n">
        <v>126000</v>
      </c>
      <c r="O63" s="2" t="n">
        <v>2999</v>
      </c>
      <c r="P63" s="2" t="inlineStr">
        <is>
          <t>manual</t>
        </is>
      </c>
      <c r="Q63" s="2" t="inlineStr">
        <is>
          <t>no</t>
        </is>
      </c>
      <c r="R63" s="2" t="inlineStr">
        <is>
          <t>particular</t>
        </is>
      </c>
      <c r="S63" s="2" t="inlineStr">
        <is>
          <t>Valencia (46021)</t>
        </is>
      </c>
      <c r="T63" s="2" t="inlineStr">
        <is>
          <t>2026-10-29T09:07:31</t>
        </is>
      </c>
      <c r="U63" s="2" t="n">
        <v>10</v>
      </c>
      <c r="V63" s="2" t="inlineStr">
        <is>
          <t>sí</t>
        </is>
      </c>
      <c r="W63" s="2" t="n"/>
      <c r="X63" s="2" t="n"/>
      <c r="Y63" s="2" t="n"/>
      <c r="Z63" s="2" t="n"/>
      <c r="AA63" s="2" t="n"/>
      <c r="AB63" s="2" t="n"/>
      <c r="AC63" s="2" t="n"/>
      <c r="AD63" s="2" t="n"/>
      <c r="AE63" s="2" t="n"/>
      <c r="AF63" s="2" t="n"/>
      <c r="AG63" s="2" t="n"/>
      <c r="AH63" s="2" t="n"/>
      <c r="AI63" s="2" t="n"/>
      <c r="AJ63" s="2" t="n"/>
      <c r="AK63" s="2" t="n"/>
      <c r="AL63" s="2" t="n"/>
      <c r="AM63" s="2" t="n">
        <v>2.5</v>
      </c>
      <c r="AN63" s="2" t="n">
        <v>4300</v>
      </c>
      <c r="AO63" s="2" t="n">
        <v>9</v>
      </c>
      <c r="AP63" s="2" t="inlineStr">
        <is>
          <t>modelo+año+km</t>
        </is>
      </c>
      <c r="AQ63" s="2" t="inlineStr">
        <is>
          <t>cochesnet:71804396 (https://www.coches.net/peugeot-308-premium-16-vti-120-5p-gasolina-2008-en-valencia-71804396-covo.aspx)</t>
        </is>
      </c>
      <c r="AR63" s="2" t="inlineStr">
        <is>
          <t>cuota fija ITP: &gt;12 años, 1.501-2.000 cc</t>
        </is>
      </c>
      <c r="AS63" s="2" t="inlineStr">
        <is>
          <t xml:space="preserve">Vendo Peugeot 308 1.6 VTi de gasolina con 120 cv y solo 120.000 kilómetros reales y certificados. Yo soy segundo propietario. ITV hasta marzo de 2026. Neumaticos delanteros de marzo 2026 y traseros en excelente estado. El coche mecánicamente está impecable, va finísimo y tiene los mantenimientos totalmente al día. Lleva motor con distribución por cadena (muy fiable, te olvidas de cambiar la correa).
Coche totalmente libre de inundaciones o siniestros (DANA). Siempre resguardado.
* Etiqueta C (Verde): Sin restricciones para circular por la ZBE de Valencia.
* Kilometraje: 120.000 km reales. Año 2008 (Matrícula GBS).
* Estado mecánico: ITV en vigor, neumáticos en buen estado y revisiones al día. Listo para llevar y usar desde el primer día sin gastar nada.
* Estado estético: El interior está muy limpio y cuidado. Por fuera tiene algunos rayones típicos del uso diario y de aparcar (nada grave, se ve en las fotos), de ahí que el precio esté ajustado.
* Equipamiento: Climatizador, control de crucero/velocidad, elevalunas eléctricos, ordenador de a bordo.
Se puede ver en Valencia capital y acepto cualquier tipo de prueba mecánica para verificar su excelente estado de motor. Disponibilidad inmediata para transferir. No cambios. </t>
        </is>
      </c>
      <c r="AT63" s="2" t="inlineStr">
        <is>
          <t>https://es.wallapop.com/item/peugeot-308-1-6-vti-120cv-solo-126-000-km-itv-1313565029 (__NEXT_DATA__ item) /home/user/Alopecia/buscador-coches/raw/wallapop/ffa1b5093b40cc76.json</t>
        </is>
      </c>
      <c r="AU63" s="3">
        <f>MAX(ANIO_ACTUAL-M63,0)</f>
        <v/>
      </c>
      <c r="AV63" s="4">
        <f>N63/MAX(AU63,0.5)</f>
        <v/>
      </c>
      <c r="AW63" s="4">
        <f>F63</f>
        <v/>
      </c>
      <c r="AX63" s="3">
        <f>AW63&amp;"|"&amp;INT(M63/SEG_ANIO)*SEG_ANIO</f>
        <v/>
      </c>
      <c r="AY63" s="3">
        <f>AX63&amp;"|"&amp;INT(N63/SEG_KM)*SEG_KM</f>
        <v/>
      </c>
      <c r="AZ63" s="4">
        <f>COUNTIF($AW$2:$AW$662,AW63)</f>
        <v/>
      </c>
      <c r="BA63" s="4">
        <f>COUNTIF($AX$2:$AX$662,AX63)</f>
        <v/>
      </c>
      <c r="BB63" s="4">
        <f>COUNTIF($AY$2:$AY$662,AY63)</f>
        <v/>
      </c>
      <c r="BC63" s="3">
        <f t="array" ref="BC63">IF(N(AO63)&gt;=MIN_N,AN63,IF(BB63&gt;=MIN_N,MEDIAN(IF($AY$2:$AY$662=AY63,$O$2:$O$662)),IF(BA63&gt;=MIN_N,MEDIAN(IF($AX$2:$AX$662=AX63,$O$2:$O$662)),MEDIAN(IF($AW$2:$AW$662=AW63,$O$2:$O$662)))))</f>
        <v/>
      </c>
      <c r="BD63" s="3">
        <f>IF(N(AO63)&gt;=MIN_N,"mercado "&amp;AP63,IF(BB63&gt;=MIN_N,"modelo+año+km",IF(BA63&gt;=MIN_N,"modelo+año","modelo")))</f>
        <v/>
      </c>
      <c r="BE63" s="4">
        <f>(BC63-O63)/BC63</f>
        <v/>
      </c>
      <c r="BF63" s="3">
        <f>IF(OR(K63="hibrido",K63="glp"),"ECO",IF(K63="electrico","CERO",IF(K63="gasolina",IF(M63&gt;=GAS_C,"C",IF(M63&gt;=GAS_B,"B","A")),IF(K63="diesel",IF(M63&gt;=DIE_C,"C",IF(M63&gt;=DIE_B,"B","A")),""))))</f>
        <v/>
      </c>
      <c r="BG63" s="3">
        <f>IFERROR(VLOOKUP(F63,MOD_TBL,11,0),IFERROR(VLOOKUP(E63,OCU_TBL,2,0),NEUTRO))</f>
        <v/>
      </c>
      <c r="BH63" s="3">
        <f>SUMIFS(MOT_AJUSTE,MOT_MOTOR,G63,MOT_MARCA,E63,MOT_DESDE,"&lt;="&amp;M63,MOT_HASTA,"&gt;="&amp;M63)+SUMIFS(MOT_AJUSTE,MOT_MOTOR,G63,MOT_MARCA,"(todas)",MOT_DESDE,"&lt;="&amp;M63,MOT_HASTA,"&gt;="&amp;M63)</f>
        <v/>
      </c>
      <c r="BI63" s="3">
        <f>SUMIFS(COMB_AJUSTE,COMB_COMB,K63)</f>
        <v/>
      </c>
      <c r="BJ63" s="3">
        <f>COUNTIFS(MOT_MOTOR,G63,MOT_MARCA,E63,MOT_DESDE,"&lt;="&amp;M63,MOT_HASTA,"&gt;="&amp;M63)+COUNTIFS(MOT_MOTOR,G63,MOT_MARCA,"(todas)",MOT_DESDE,"&lt;="&amp;M63,MOT_HASTA,"&gt;="&amp;M63)</f>
        <v/>
      </c>
      <c r="BK63" s="3">
        <f>IF(AND(K63="diesel",BJ63=0),MIN(BG63,NEUTRO),BG63)</f>
        <v/>
      </c>
      <c r="BL63" s="4">
        <f>MAX(0,MIN(100,BK63+BH63+BI63))</f>
        <v/>
      </c>
      <c r="BM63" s="3">
        <f>MAX(0,MIN(100,50+BE63*PRECIO_PEND))</f>
        <v/>
      </c>
      <c r="BN63" s="3">
        <f>MAX(0,100*(1-N63/KM_MAX))</f>
        <v/>
      </c>
      <c r="BO63" s="3">
        <f>IF(AV63&lt;KMA_SOSP,IF(AA63="sí",100,KMA_PEN),IF(AV63&lt;=KMA_IDEAL_MAX,100,MAX(0,100*(KMA_CERO-AV63)/(KMA_CERO-KMA_IDEAL_MAX))))</f>
        <v/>
      </c>
      <c r="BP63" s="3">
        <f>MAX(0,MIN(100,100*(M63-ANIO_MIN)/(ANIO_ACTUAL-ANIO_MIN)))</f>
        <v/>
      </c>
      <c r="BQ63" s="3">
        <f>W_KMT*BN63+W_KMA*BO63+W_EDAD*BP63</f>
        <v/>
      </c>
      <c r="BR63" s="3">
        <f>P_ITV*(V63="sí")+P_LIBRO*(W63="sí")+P_CORREA*(X63="sí")+P_PROP*(Y63=1)+P_GAR*(Z63="sí")+P_FOTOS*MIN(1,N(U63)/FOTOS_OBJ)</f>
        <v/>
      </c>
      <c r="BS63" s="3">
        <f>IFERROR(VLOOKUP(BF63,ETQ_TBL,2,0),NEUTRO)</f>
        <v/>
      </c>
      <c r="BT63" s="3">
        <f>NEUTRO</f>
        <v/>
      </c>
      <c r="BU63" s="3">
        <f>IFERROR(VLOOKUP(L63,SEGURO_TBL,3,0),"")</f>
        <v/>
      </c>
      <c r="BV63" s="3">
        <f>IF(BU63="",NEUTRO,MAX(0,MIN(100,100*(SEG_REF_MAX-BU63)/(SEG_REF_MAX-SEG_REF_MIN))))</f>
        <v/>
      </c>
      <c r="BW63" s="3">
        <f>W_ET*BS63+W_CONS*BT63+W_SEG*BV63</f>
        <v/>
      </c>
      <c r="BX63" s="3">
        <f>IF(N(AB63)&gt;0,AB63,IF(AND(R63="profesional",SG_LEGAL_ON=1),GAR_LEGAL,0))</f>
        <v/>
      </c>
      <c r="BY63" s="3">
        <f>SG_GAR*MIN(1,BX63/SG_GAR_FULL)+SG_AMPL*(AC63="sí")+SG_KMC*(AF63="sí")+SG_REV*(N(AE63)&gt;0)+SG_DEV*MIN(1,N(AG63)/SG_DEV_FULL)+SG_HIST*(W63="sí")</f>
        <v/>
      </c>
      <c r="BZ63" s="3">
        <f>IFERROR(VLOOKUP(L63,CARR_PEN_TBL,2,0),0)</f>
        <v/>
      </c>
      <c r="CA63" s="3">
        <f>W_FIAB*BL63+W_PRECIO*BM63+W_KMEDAD*BQ63+W_ANUNCIO*BR63+W_USO*BW63+W_SEGURIDAD*BY63-BZ63</f>
        <v/>
      </c>
      <c r="CB63" s="4">
        <f>IF(N(I63)&gt;0,I63,IFERROR(ROUND(_xlfn.NUMBERVALUE(LEFT(G63,FIND(" ",G63&amp;" ")-1),".")*1000,0),99999))</f>
        <v/>
      </c>
      <c r="CC63" s="3">
        <f>IF(R63="profesional",0,IF(O63&lt;CUOTA_VALOR_MAX,IF(AU63&gt;ITP_TRAMO_ALTO,SUMIFS(CF_CUOTA,CF_MAS,ITP_TRAMO_ALTO,CF_CCMIN,"&lt;="&amp;CB63,CF_CCMAX,"&gt;="&amp;CB63),IF(AU63&gt;ITP_TRAMO_BAJO,SUMIFS(CF_CUOTA,CF_MAS,ITP_TRAMO_BAJO,CF_CCMIN,"&lt;="&amp;CB63,CF_CCMAX,"&gt;="&amp;CB63),O63*ITP_TIPO)),O63*ITP_TIPO))</f>
        <v/>
      </c>
      <c r="CD63" s="4">
        <f>IF(R63="profesional",N(AK63),0)</f>
        <v/>
      </c>
      <c r="CE63" s="3">
        <f>IF(AND(R63="profesional",ISNUMBER(AK63),AL63="sí"),0,TASA_DGT)</f>
        <v/>
      </c>
      <c r="CF63" s="3">
        <f>INFORME_DGT</f>
        <v/>
      </c>
      <c r="CG63" s="4">
        <f>O63+CD63+CC63+CE63+CF63</f>
        <v/>
      </c>
      <c r="CH63" s="4">
        <f>CG63+N(BU63)</f>
        <v/>
      </c>
      <c r="CI63" s="3">
        <f>IF(CG63&lt;=TOTAL_MAX,"sí",IF(CG63&lt;=TOTAL_MAX+MARGEN_NEG,"negociar","no"))</f>
        <v/>
      </c>
      <c r="CJ63" s="4">
        <f>IF(CI63&lt;&gt;"no",COUNTIFS($CI$2:$CI$662,"&lt;&gt;no",$CA$2:$CA$662,"&gt;"&amp;CA63)+COUNTIFS($CI$2:CI63,"&lt;&gt;no",$CA$2:CA63,CA63),"")</f>
        <v/>
      </c>
    </row>
    <row r="64">
      <c r="A64" s="2" t="inlineStr">
        <is>
          <t>wallapop:1311163176</t>
        </is>
      </c>
      <c r="B64" s="2" t="inlineStr">
        <is>
          <t>wallapop</t>
        </is>
      </c>
      <c r="C64" s="2" t="inlineStr">
        <is>
          <t>https://es.wallapop.com/item/ford-ka-2014-1311163176</t>
        </is>
      </c>
      <c r="D64" s="2" t="inlineStr">
        <is>
          <t>Ford Ka 2014</t>
        </is>
      </c>
      <c r="E64" s="2" t="inlineStr">
        <is>
          <t>Ford</t>
        </is>
      </c>
      <c r="F64" s="2" t="inlineStr">
        <is>
          <t>Ford Ka</t>
        </is>
      </c>
      <c r="G64" s="2" t="inlineStr">
        <is>
          <t>1.2</t>
        </is>
      </c>
      <c r="H64" s="2" t="inlineStr">
        <is>
          <t>1.2 69 Urban 3p S/S</t>
        </is>
      </c>
      <c r="I64" s="2" t="n"/>
      <c r="J64" s="2" t="n">
        <v>69</v>
      </c>
      <c r="K64" s="2" t="inlineStr">
        <is>
          <t>gasolina</t>
        </is>
      </c>
      <c r="L64" s="2" t="inlineStr">
        <is>
          <t>utilitario</t>
        </is>
      </c>
      <c r="M64" s="2" t="n">
        <v>2014</v>
      </c>
      <c r="N64" s="2" t="n">
        <v>177000</v>
      </c>
      <c r="O64" s="2" t="n">
        <v>4200</v>
      </c>
      <c r="P64" s="2" t="inlineStr">
        <is>
          <t>manual</t>
        </is>
      </c>
      <c r="Q64" s="2" t="inlineStr">
        <is>
          <t>no</t>
        </is>
      </c>
      <c r="R64" s="2" t="inlineStr">
        <is>
          <t>particular</t>
        </is>
      </c>
      <c r="S64" s="2" t="inlineStr">
        <is>
          <t>Valencia (46002)</t>
        </is>
      </c>
      <c r="T64" s="2" t="inlineStr">
        <is>
          <t>2026-10-13T00:21:09</t>
        </is>
      </c>
      <c r="U64" s="2" t="n">
        <v>7</v>
      </c>
      <c r="V64" s="2" t="inlineStr">
        <is>
          <t>sí</t>
        </is>
      </c>
      <c r="W64" s="2" t="n"/>
      <c r="X64" s="2" t="inlineStr">
        <is>
          <t>sí</t>
        </is>
      </c>
      <c r="Y64" s="2" t="n"/>
      <c r="Z64" s="2" t="n"/>
      <c r="AA64" s="2" t="n"/>
      <c r="AB64" s="2" t="n"/>
      <c r="AC64" s="2" t="n"/>
      <c r="AD64" s="2" t="n"/>
      <c r="AE64" s="2" t="n"/>
      <c r="AF64" s="2" t="n"/>
      <c r="AG64" s="2" t="n"/>
      <c r="AH64" s="2" t="n"/>
      <c r="AI64" s="2" t="n"/>
      <c r="AJ64" s="2" t="n"/>
      <c r="AK64" s="2" t="n"/>
      <c r="AL64" s="2" t="n"/>
      <c r="AM64" s="2" t="n">
        <v>0.8</v>
      </c>
      <c r="AN64" s="2" t="n">
        <v>4990</v>
      </c>
      <c r="AO64" s="2" t="n">
        <v>7</v>
      </c>
      <c r="AP64" s="2" t="inlineStr">
        <is>
          <t>modelo+año</t>
        </is>
      </c>
      <c r="AQ64" s="2" t="n"/>
      <c r="AR64" s="2" t="inlineStr">
        <is>
          <t>cuota fija ITP: &gt;5 y &lt;=12 años, hasta 1.500 cc; fiabilidad del modelo PENDIENTE de fuente (puntuación neutra)</t>
        </is>
      </c>
      <c r="AS64" s="2" t="inlineStr">
        <is>
          <t xml:space="preserve">Coche en perfecto estado, ITV al dia, funciona todo, aire acondicionado, Navegador GPS, elevalunas eléctrico, star and stop, se usa todos los días, gasta poco, el seguro es barato y se aparca fácil, muy bien de chapa y pintura. Ruedas traser nuevas hace 2.000 kms, delanteras bastante nuevas, aceite y mantenimientos todo al dia, correa distribucion hecha hace 30.0000 kms, listo para rodar muchos Kilometros. </t>
        </is>
      </c>
      <c r="AT64" s="2" t="inlineStr">
        <is>
          <t>https://es.wallapop.com/item/ford-ka-2014-1311163176 (__NEXT_DATA__ item) /home/user/Alopecia/buscador-coches/raw/wallapop/ab3adf6bda39cb9c.json</t>
        </is>
      </c>
      <c r="AU64" s="3">
        <f>MAX(ANIO_ACTUAL-M64,0)</f>
        <v/>
      </c>
      <c r="AV64" s="4">
        <f>N64/MAX(AU64,0.5)</f>
        <v/>
      </c>
      <c r="AW64" s="4">
        <f>F64</f>
        <v/>
      </c>
      <c r="AX64" s="3">
        <f>AW64&amp;"|"&amp;INT(M64/SEG_ANIO)*SEG_ANIO</f>
        <v/>
      </c>
      <c r="AY64" s="3">
        <f>AX64&amp;"|"&amp;INT(N64/SEG_KM)*SEG_KM</f>
        <v/>
      </c>
      <c r="AZ64" s="4">
        <f>COUNTIF($AW$2:$AW$662,AW64)</f>
        <v/>
      </c>
      <c r="BA64" s="4">
        <f>COUNTIF($AX$2:$AX$662,AX64)</f>
        <v/>
      </c>
      <c r="BB64" s="4">
        <f>COUNTIF($AY$2:$AY$662,AY64)</f>
        <v/>
      </c>
      <c r="BC64" s="3">
        <f t="array" ref="BC64">IF(N(AO64)&gt;=MIN_N,AN64,IF(BB64&gt;=MIN_N,MEDIAN(IF($AY$2:$AY$662=AY64,$O$2:$O$662)),IF(BA64&gt;=MIN_N,MEDIAN(IF($AX$2:$AX$662=AX64,$O$2:$O$662)),MEDIAN(IF($AW$2:$AW$662=AW64,$O$2:$O$662)))))</f>
        <v/>
      </c>
      <c r="BD64" s="3">
        <f>IF(N(AO64)&gt;=MIN_N,"mercado "&amp;AP64,IF(BB64&gt;=MIN_N,"modelo+año+km",IF(BA64&gt;=MIN_N,"modelo+año","modelo")))</f>
        <v/>
      </c>
      <c r="BE64" s="4">
        <f>(BC64-O64)/BC64</f>
        <v/>
      </c>
      <c r="BF64" s="3">
        <f>IF(OR(K64="hibrido",K64="glp"),"ECO",IF(K64="electrico","CERO",IF(K64="gasolina",IF(M64&gt;=GAS_C,"C",IF(M64&gt;=GAS_B,"B","A")),IF(K64="diesel",IF(M64&gt;=DIE_C,"C",IF(M64&gt;=DIE_B,"B","A")),""))))</f>
        <v/>
      </c>
      <c r="BG64" s="3">
        <f>IFERROR(VLOOKUP(F64,MOD_TBL,11,0),IFERROR(VLOOKUP(E64,OCU_TBL,2,0),NEUTRO))</f>
        <v/>
      </c>
      <c r="BH64" s="3">
        <f>SUMIFS(MOT_AJUSTE,MOT_MOTOR,G64,MOT_MARCA,E64,MOT_DESDE,"&lt;="&amp;M64,MOT_HASTA,"&gt;="&amp;M64)+SUMIFS(MOT_AJUSTE,MOT_MOTOR,G64,MOT_MARCA,"(todas)",MOT_DESDE,"&lt;="&amp;M64,MOT_HASTA,"&gt;="&amp;M64)</f>
        <v/>
      </c>
      <c r="BI64" s="3">
        <f>SUMIFS(COMB_AJUSTE,COMB_COMB,K64)</f>
        <v/>
      </c>
      <c r="BJ64" s="3">
        <f>COUNTIFS(MOT_MOTOR,G64,MOT_MARCA,E64,MOT_DESDE,"&lt;="&amp;M64,MOT_HASTA,"&gt;="&amp;M64)+COUNTIFS(MOT_MOTOR,G64,MOT_MARCA,"(todas)",MOT_DESDE,"&lt;="&amp;M64,MOT_HASTA,"&gt;="&amp;M64)</f>
        <v/>
      </c>
      <c r="BK64" s="3">
        <f>IF(AND(K64="diesel",BJ64=0),MIN(BG64,NEUTRO),BG64)</f>
        <v/>
      </c>
      <c r="BL64" s="4">
        <f>MAX(0,MIN(100,BK64+BH64+BI64))</f>
        <v/>
      </c>
      <c r="BM64" s="3">
        <f>MAX(0,MIN(100,50+BE64*PRECIO_PEND))</f>
        <v/>
      </c>
      <c r="BN64" s="3">
        <f>MAX(0,100*(1-N64/KM_MAX))</f>
        <v/>
      </c>
      <c r="BO64" s="3">
        <f>IF(AV64&lt;KMA_SOSP,IF(AA64="sí",100,KMA_PEN),IF(AV64&lt;=KMA_IDEAL_MAX,100,MAX(0,100*(KMA_CERO-AV64)/(KMA_CERO-KMA_IDEAL_MAX))))</f>
        <v/>
      </c>
      <c r="BP64" s="3">
        <f>MAX(0,MIN(100,100*(M64-ANIO_MIN)/(ANIO_ACTUAL-ANIO_MIN)))</f>
        <v/>
      </c>
      <c r="BQ64" s="3">
        <f>W_KMT*BN64+W_KMA*BO64+W_EDAD*BP64</f>
        <v/>
      </c>
      <c r="BR64" s="3">
        <f>P_ITV*(V64="sí")+P_LIBRO*(W64="sí")+P_CORREA*(X64="sí")+P_PROP*(Y64=1)+P_GAR*(Z64="sí")+P_FOTOS*MIN(1,N(U64)/FOTOS_OBJ)</f>
        <v/>
      </c>
      <c r="BS64" s="3">
        <f>IFERROR(VLOOKUP(BF64,ETQ_TBL,2,0),NEUTRO)</f>
        <v/>
      </c>
      <c r="BT64" s="3">
        <f>NEUTRO</f>
        <v/>
      </c>
      <c r="BU64" s="3">
        <f>IFERROR(VLOOKUP(L64,SEGURO_TBL,3,0),"")</f>
        <v/>
      </c>
      <c r="BV64" s="3">
        <f>IF(BU64="",NEUTRO,MAX(0,MIN(100,100*(SEG_REF_MAX-BU64)/(SEG_REF_MAX-SEG_REF_MIN))))</f>
        <v/>
      </c>
      <c r="BW64" s="3">
        <f>W_ET*BS64+W_CONS*BT64+W_SEG*BV64</f>
        <v/>
      </c>
      <c r="BX64" s="3">
        <f>IF(N(AB64)&gt;0,AB64,IF(AND(R64="profesional",SG_LEGAL_ON=1),GAR_LEGAL,0))</f>
        <v/>
      </c>
      <c r="BY64" s="3">
        <f>SG_GAR*MIN(1,BX64/SG_GAR_FULL)+SG_AMPL*(AC64="sí")+SG_KMC*(AF64="sí")+SG_REV*(N(AE64)&gt;0)+SG_DEV*MIN(1,N(AG64)/SG_DEV_FULL)+SG_HIST*(W64="sí")</f>
        <v/>
      </c>
      <c r="BZ64" s="3">
        <f>IFERROR(VLOOKUP(L64,CARR_PEN_TBL,2,0),0)</f>
        <v/>
      </c>
      <c r="CA64" s="3">
        <f>W_FIAB*BL64+W_PRECIO*BM64+W_KMEDAD*BQ64+W_ANUNCIO*BR64+W_USO*BW64+W_SEGURIDAD*BY64-BZ64</f>
        <v/>
      </c>
      <c r="CB64" s="4">
        <f>IF(N(I64)&gt;0,I64,IFERROR(ROUND(_xlfn.NUMBERVALUE(LEFT(G64,FIND(" ",G64&amp;" ")-1),".")*1000,0),99999))</f>
        <v/>
      </c>
      <c r="CC64" s="3">
        <f>IF(R64="profesional",0,IF(O64&lt;CUOTA_VALOR_MAX,IF(AU64&gt;ITP_TRAMO_ALTO,SUMIFS(CF_CUOTA,CF_MAS,ITP_TRAMO_ALTO,CF_CCMIN,"&lt;="&amp;CB64,CF_CCMAX,"&gt;="&amp;CB64),IF(AU64&gt;ITP_TRAMO_BAJO,SUMIFS(CF_CUOTA,CF_MAS,ITP_TRAMO_BAJO,CF_CCMIN,"&lt;="&amp;CB64,CF_CCMAX,"&gt;="&amp;CB64),O64*ITP_TIPO)),O64*ITP_TIPO))</f>
        <v/>
      </c>
      <c r="CD64" s="4">
        <f>IF(R64="profesional",N(AK64),0)</f>
        <v/>
      </c>
      <c r="CE64" s="3">
        <f>IF(AND(R64="profesional",ISNUMBER(AK64),AL64="sí"),0,TASA_DGT)</f>
        <v/>
      </c>
      <c r="CF64" s="3">
        <f>INFORME_DGT</f>
        <v/>
      </c>
      <c r="CG64" s="4">
        <f>O64+CD64+CC64+CE64+CF64</f>
        <v/>
      </c>
      <c r="CH64" s="4">
        <f>CG64+N(BU64)</f>
        <v/>
      </c>
      <c r="CI64" s="3">
        <f>IF(CG64&lt;=TOTAL_MAX,"sí",IF(CG64&lt;=TOTAL_MAX+MARGEN_NEG,"negociar","no"))</f>
        <v/>
      </c>
      <c r="CJ64" s="4">
        <f>IF(CI64&lt;&gt;"no",COUNTIFS($CI$2:$CI$662,"&lt;&gt;no",$CA$2:$CA$662,"&gt;"&amp;CA64)+COUNTIFS($CI$2:CI64,"&lt;&gt;no",$CA$2:CA64,CA64),"")</f>
        <v/>
      </c>
    </row>
    <row r="65">
      <c r="A65" s="2" t="inlineStr">
        <is>
          <t>wallapop:1294034931</t>
        </is>
      </c>
      <c r="B65" s="2" t="inlineStr">
        <is>
          <t>wallapop</t>
        </is>
      </c>
      <c r="C65" s="2" t="inlineStr">
        <is>
          <t>https://es.wallapop.com/item/ford-ka-2010-en-muy-buen-estado-1294034931</t>
        </is>
      </c>
      <c r="D65" s="2" t="inlineStr">
        <is>
          <t>Ford Ka 2010 en muy buen estado</t>
        </is>
      </c>
      <c r="E65" s="2" t="inlineStr">
        <is>
          <t>Ford</t>
        </is>
      </c>
      <c r="F65" s="2" t="inlineStr">
        <is>
          <t>Ford Ka</t>
        </is>
      </c>
      <c r="G65" s="2" t="inlineStr">
        <is>
          <t>1.2</t>
        </is>
      </c>
      <c r="H65" s="2" t="inlineStr">
        <is>
          <t>1.2 69 Trend+ 3p</t>
        </is>
      </c>
      <c r="I65" s="2" t="n"/>
      <c r="J65" s="2" t="n">
        <v>69</v>
      </c>
      <c r="K65" s="2" t="inlineStr">
        <is>
          <t>gasolina</t>
        </is>
      </c>
      <c r="L65" s="2" t="inlineStr">
        <is>
          <t>utilitario</t>
        </is>
      </c>
      <c r="M65" s="2" t="n">
        <v>2010</v>
      </c>
      <c r="N65" s="2" t="n">
        <v>159000</v>
      </c>
      <c r="O65" s="2" t="n">
        <v>2500</v>
      </c>
      <c r="P65" s="2" t="inlineStr">
        <is>
          <t>manual</t>
        </is>
      </c>
      <c r="Q65" s="2" t="inlineStr">
        <is>
          <t>no</t>
        </is>
      </c>
      <c r="R65" s="2" t="inlineStr">
        <is>
          <t>particular</t>
        </is>
      </c>
      <c r="S65" s="2" t="inlineStr">
        <is>
          <t>Valencia (46025)</t>
        </is>
      </c>
      <c r="T65" s="2" t="inlineStr">
        <is>
          <t>2026-10-08T20:08:31</t>
        </is>
      </c>
      <c r="U65" s="2" t="n">
        <v>6</v>
      </c>
      <c r="V65" s="2" t="inlineStr">
        <is>
          <t>sí</t>
        </is>
      </c>
      <c r="W65" s="2" t="n"/>
      <c r="X65" s="2" t="n"/>
      <c r="Y65" s="2" t="n"/>
      <c r="Z65" s="2" t="n"/>
      <c r="AA65" s="2" t="n"/>
      <c r="AB65" s="2" t="n"/>
      <c r="AC65" s="2" t="n"/>
      <c r="AD65" s="2" t="n"/>
      <c r="AE65" s="2" t="n"/>
      <c r="AF65" s="2" t="n"/>
      <c r="AG65" s="2" t="n"/>
      <c r="AH65" s="2" t="n"/>
      <c r="AI65" s="2" t="n"/>
      <c r="AJ65" s="2" t="n"/>
      <c r="AK65" s="2" t="n"/>
      <c r="AL65" s="2" t="n"/>
      <c r="AM65" s="2" t="n">
        <v>3.1</v>
      </c>
      <c r="AN65" s="2" t="n">
        <v>3000</v>
      </c>
      <c r="AO65" s="2" t="n">
        <v>9</v>
      </c>
      <c r="AP65" s="2" t="inlineStr">
        <is>
          <t>modelo+año</t>
        </is>
      </c>
      <c r="AQ65" s="2" t="n"/>
      <c r="AR65" s="2" t="inlineStr">
        <is>
          <t>cuota fija ITP: &gt;12 años, hasta 1.500 cc; fiabilidad del modelo PENDIENTE de fuente (puntuación neutra)</t>
        </is>
      </c>
      <c r="AS65" s="2" t="inlineStr">
        <is>
          <t>ITV pasada
Neumáticos cambiados
Revisión pasada
Correa distribución y kit de correa de servicio cambiada
Interior y exterior en muy buen estado (ver fotos)</t>
        </is>
      </c>
      <c r="AT65" s="2" t="inlineStr">
        <is>
          <t>https://es.wallapop.com/item/ford-ka-2010-en-muy-buen-estado-1294034931 (__NEXT_DATA__ item) /home/user/Alopecia/buscador-coches/raw/wallapop/ddaaf5d76c445008.json</t>
        </is>
      </c>
      <c r="AU65" s="3">
        <f>MAX(ANIO_ACTUAL-M65,0)</f>
        <v/>
      </c>
      <c r="AV65" s="4">
        <f>N65/MAX(AU65,0.5)</f>
        <v/>
      </c>
      <c r="AW65" s="4">
        <f>F65</f>
        <v/>
      </c>
      <c r="AX65" s="3">
        <f>AW65&amp;"|"&amp;INT(M65/SEG_ANIO)*SEG_ANIO</f>
        <v/>
      </c>
      <c r="AY65" s="3">
        <f>AX65&amp;"|"&amp;INT(N65/SEG_KM)*SEG_KM</f>
        <v/>
      </c>
      <c r="AZ65" s="4">
        <f>COUNTIF($AW$2:$AW$662,AW65)</f>
        <v/>
      </c>
      <c r="BA65" s="4">
        <f>COUNTIF($AX$2:$AX$662,AX65)</f>
        <v/>
      </c>
      <c r="BB65" s="4">
        <f>COUNTIF($AY$2:$AY$662,AY65)</f>
        <v/>
      </c>
      <c r="BC65" s="3">
        <f t="array" ref="BC65">IF(N(AO65)&gt;=MIN_N,AN65,IF(BB65&gt;=MIN_N,MEDIAN(IF($AY$2:$AY$662=AY65,$O$2:$O$662)),IF(BA65&gt;=MIN_N,MEDIAN(IF($AX$2:$AX$662=AX65,$O$2:$O$662)),MEDIAN(IF($AW$2:$AW$662=AW65,$O$2:$O$662)))))</f>
        <v/>
      </c>
      <c r="BD65" s="3">
        <f>IF(N(AO65)&gt;=MIN_N,"mercado "&amp;AP65,IF(BB65&gt;=MIN_N,"modelo+año+km",IF(BA65&gt;=MIN_N,"modelo+año","modelo")))</f>
        <v/>
      </c>
      <c r="BE65" s="4">
        <f>(BC65-O65)/BC65</f>
        <v/>
      </c>
      <c r="BF65" s="3">
        <f>IF(OR(K65="hibrido",K65="glp"),"ECO",IF(K65="electrico","CERO",IF(K65="gasolina",IF(M65&gt;=GAS_C,"C",IF(M65&gt;=GAS_B,"B","A")),IF(K65="diesel",IF(M65&gt;=DIE_C,"C",IF(M65&gt;=DIE_B,"B","A")),""))))</f>
        <v/>
      </c>
      <c r="BG65" s="3">
        <f>IFERROR(VLOOKUP(F65,MOD_TBL,11,0),IFERROR(VLOOKUP(E65,OCU_TBL,2,0),NEUTRO))</f>
        <v/>
      </c>
      <c r="BH65" s="3">
        <f>SUMIFS(MOT_AJUSTE,MOT_MOTOR,G65,MOT_MARCA,E65,MOT_DESDE,"&lt;="&amp;M65,MOT_HASTA,"&gt;="&amp;M65)+SUMIFS(MOT_AJUSTE,MOT_MOTOR,G65,MOT_MARCA,"(todas)",MOT_DESDE,"&lt;="&amp;M65,MOT_HASTA,"&gt;="&amp;M65)</f>
        <v/>
      </c>
      <c r="BI65" s="3">
        <f>SUMIFS(COMB_AJUSTE,COMB_COMB,K65)</f>
        <v/>
      </c>
      <c r="BJ65" s="3">
        <f>COUNTIFS(MOT_MOTOR,G65,MOT_MARCA,E65,MOT_DESDE,"&lt;="&amp;M65,MOT_HASTA,"&gt;="&amp;M65)+COUNTIFS(MOT_MOTOR,G65,MOT_MARCA,"(todas)",MOT_DESDE,"&lt;="&amp;M65,MOT_HASTA,"&gt;="&amp;M65)</f>
        <v/>
      </c>
      <c r="BK65" s="3">
        <f>IF(AND(K65="diesel",BJ65=0),MIN(BG65,NEUTRO),BG65)</f>
        <v/>
      </c>
      <c r="BL65" s="4">
        <f>MAX(0,MIN(100,BK65+BH65+BI65))</f>
        <v/>
      </c>
      <c r="BM65" s="3">
        <f>MAX(0,MIN(100,50+BE65*PRECIO_PEND))</f>
        <v/>
      </c>
      <c r="BN65" s="3">
        <f>MAX(0,100*(1-N65/KM_MAX))</f>
        <v/>
      </c>
      <c r="BO65" s="3">
        <f>IF(AV65&lt;KMA_SOSP,IF(AA65="sí",100,KMA_PEN),IF(AV65&lt;=KMA_IDEAL_MAX,100,MAX(0,100*(KMA_CERO-AV65)/(KMA_CERO-KMA_IDEAL_MAX))))</f>
        <v/>
      </c>
      <c r="BP65" s="3">
        <f>MAX(0,MIN(100,100*(M65-ANIO_MIN)/(ANIO_ACTUAL-ANIO_MIN)))</f>
        <v/>
      </c>
      <c r="BQ65" s="3">
        <f>W_KMT*BN65+W_KMA*BO65+W_EDAD*BP65</f>
        <v/>
      </c>
      <c r="BR65" s="3">
        <f>P_ITV*(V65="sí")+P_LIBRO*(W65="sí")+P_CORREA*(X65="sí")+P_PROP*(Y65=1)+P_GAR*(Z65="sí")+P_FOTOS*MIN(1,N(U65)/FOTOS_OBJ)</f>
        <v/>
      </c>
      <c r="BS65" s="3">
        <f>IFERROR(VLOOKUP(BF65,ETQ_TBL,2,0),NEUTRO)</f>
        <v/>
      </c>
      <c r="BT65" s="3">
        <f>NEUTRO</f>
        <v/>
      </c>
      <c r="BU65" s="3">
        <f>IFERROR(VLOOKUP(L65,SEGURO_TBL,3,0),"")</f>
        <v/>
      </c>
      <c r="BV65" s="3">
        <f>IF(BU65="",NEUTRO,MAX(0,MIN(100,100*(SEG_REF_MAX-BU65)/(SEG_REF_MAX-SEG_REF_MIN))))</f>
        <v/>
      </c>
      <c r="BW65" s="3">
        <f>W_ET*BS65+W_CONS*BT65+W_SEG*BV65</f>
        <v/>
      </c>
      <c r="BX65" s="3">
        <f>IF(N(AB65)&gt;0,AB65,IF(AND(R65="profesional",SG_LEGAL_ON=1),GAR_LEGAL,0))</f>
        <v/>
      </c>
      <c r="BY65" s="3">
        <f>SG_GAR*MIN(1,BX65/SG_GAR_FULL)+SG_AMPL*(AC65="sí")+SG_KMC*(AF65="sí")+SG_REV*(N(AE65)&gt;0)+SG_DEV*MIN(1,N(AG65)/SG_DEV_FULL)+SG_HIST*(W65="sí")</f>
        <v/>
      </c>
      <c r="BZ65" s="3">
        <f>IFERROR(VLOOKUP(L65,CARR_PEN_TBL,2,0),0)</f>
        <v/>
      </c>
      <c r="CA65" s="3">
        <f>W_FIAB*BL65+W_PRECIO*BM65+W_KMEDAD*BQ65+W_ANUNCIO*BR65+W_USO*BW65+W_SEGURIDAD*BY65-BZ65</f>
        <v/>
      </c>
      <c r="CB65" s="4">
        <f>IF(N(I65)&gt;0,I65,IFERROR(ROUND(_xlfn.NUMBERVALUE(LEFT(G65,FIND(" ",G65&amp;" ")-1),".")*1000,0),99999))</f>
        <v/>
      </c>
      <c r="CC65" s="3">
        <f>IF(R65="profesional",0,IF(O65&lt;CUOTA_VALOR_MAX,IF(AU65&gt;ITP_TRAMO_ALTO,SUMIFS(CF_CUOTA,CF_MAS,ITP_TRAMO_ALTO,CF_CCMIN,"&lt;="&amp;CB65,CF_CCMAX,"&gt;="&amp;CB65),IF(AU65&gt;ITP_TRAMO_BAJO,SUMIFS(CF_CUOTA,CF_MAS,ITP_TRAMO_BAJO,CF_CCMIN,"&lt;="&amp;CB65,CF_CCMAX,"&gt;="&amp;CB65),O65*ITP_TIPO)),O65*ITP_TIPO))</f>
        <v/>
      </c>
      <c r="CD65" s="4">
        <f>IF(R65="profesional",N(AK65),0)</f>
        <v/>
      </c>
      <c r="CE65" s="3">
        <f>IF(AND(R65="profesional",ISNUMBER(AK65),AL65="sí"),0,TASA_DGT)</f>
        <v/>
      </c>
      <c r="CF65" s="3">
        <f>INFORME_DGT</f>
        <v/>
      </c>
      <c r="CG65" s="4">
        <f>O65+CD65+CC65+CE65+CF65</f>
        <v/>
      </c>
      <c r="CH65" s="4">
        <f>CG65+N(BU65)</f>
        <v/>
      </c>
      <c r="CI65" s="3">
        <f>IF(CG65&lt;=TOTAL_MAX,"sí",IF(CG65&lt;=TOTAL_MAX+MARGEN_NEG,"negociar","no"))</f>
        <v/>
      </c>
      <c r="CJ65" s="4">
        <f>IF(CI65&lt;&gt;"no",COUNTIFS($CI$2:$CI$662,"&lt;&gt;no",$CA$2:$CA$662,"&gt;"&amp;CA65)+COUNTIFS($CI$2:CI65,"&lt;&gt;no",$CA$2:CA65,CA65),"")</f>
        <v/>
      </c>
    </row>
    <row r="66">
      <c r="A66" s="2" t="inlineStr">
        <is>
          <t>wallapop:1317014608</t>
        </is>
      </c>
      <c r="B66" s="2" t="inlineStr">
        <is>
          <t>wallapop</t>
        </is>
      </c>
      <c r="C66" s="2" t="inlineStr">
        <is>
          <t>https://es.wallapop.com/item/ford-fiesta-2008-1317014608</t>
        </is>
      </c>
      <c r="D66" s="2" t="inlineStr">
        <is>
          <t>Ford Fiesta 2008</t>
        </is>
      </c>
      <c r="E66" s="2" t="inlineStr">
        <is>
          <t>Ford</t>
        </is>
      </c>
      <c r="F66" s="2" t="inlineStr">
        <is>
          <t>Ford Fiesta</t>
        </is>
      </c>
      <c r="G66" s="2" t="inlineStr">
        <is>
          <t>1.4 TDCi</t>
        </is>
      </c>
      <c r="H66" s="2" t="inlineStr">
        <is>
          <t>1.4 TDCi 68 Ambiente 5p</t>
        </is>
      </c>
      <c r="I66" s="2" t="n"/>
      <c r="J66" s="2" t="n">
        <v>68</v>
      </c>
      <c r="K66" s="2" t="inlineStr">
        <is>
          <t>diesel</t>
        </is>
      </c>
      <c r="L66" s="2" t="inlineStr">
        <is>
          <t>utilitario</t>
        </is>
      </c>
      <c r="M66" s="2" t="n">
        <v>2008</v>
      </c>
      <c r="N66" s="2" t="n">
        <v>219000</v>
      </c>
      <c r="O66" s="2" t="n">
        <v>3000</v>
      </c>
      <c r="P66" s="2" t="inlineStr">
        <is>
          <t>manual</t>
        </is>
      </c>
      <c r="Q66" s="2" t="inlineStr">
        <is>
          <t>no</t>
        </is>
      </c>
      <c r="R66" s="2" t="inlineStr">
        <is>
          <t>particular</t>
        </is>
      </c>
      <c r="S66" s="2" t="inlineStr">
        <is>
          <t>Valencia (46002)</t>
        </is>
      </c>
      <c r="T66" s="2" t="inlineStr">
        <is>
          <t>2026-10-25T12:16:55</t>
        </is>
      </c>
      <c r="U66" s="2" t="n">
        <v>10</v>
      </c>
      <c r="V66" s="2" t="inlineStr">
        <is>
          <t>sí</t>
        </is>
      </c>
      <c r="W66" s="2" t="n"/>
      <c r="X66" s="2" t="n"/>
      <c r="Y66" s="2" t="n"/>
      <c r="Z66" s="2" t="inlineStr">
        <is>
          <t>sí</t>
        </is>
      </c>
      <c r="AA66" s="2" t="n"/>
      <c r="AB66" s="2" t="n"/>
      <c r="AC66" s="2" t="n"/>
      <c r="AD66" s="2" t="n"/>
      <c r="AE66" s="2" t="n"/>
      <c r="AF66" s="2" t="n"/>
      <c r="AG66" s="2" t="n"/>
      <c r="AH66" s="2" t="n"/>
      <c r="AI66" s="2" t="n"/>
      <c r="AJ66" s="2" t="n"/>
      <c r="AK66" s="2" t="n"/>
      <c r="AL66" s="2" t="n"/>
      <c r="AM66" s="2" t="n">
        <v>0.7</v>
      </c>
      <c r="AN66" s="2" t="n">
        <v>3250</v>
      </c>
      <c r="AO66" s="2" t="n">
        <v>12</v>
      </c>
      <c r="AP66" s="2" t="inlineStr">
        <is>
          <t>modelo+año+km</t>
        </is>
      </c>
      <c r="AQ66" s="2" t="inlineStr">
        <is>
          <t>cochesnet:71828083 (https://www.coches.net/ford-fiesta-14-tdci-ambiente-5p-diesel-2008-en-valencia-71828083-covo.aspx)</t>
        </is>
      </c>
      <c r="AR66" s="2" t="inlineStr">
        <is>
          <t>cuota fija ITP: &gt;12 años, hasta 1.500 cc</t>
        </is>
      </c>
      <c r="AS66" s="2" t="inlineStr">
        <is>
          <t>Ford Fiesta del año 2.008, motor Peugeot HDI 1.4 de 70 caballos con 219.000 km. ITV recién pasada, faros recién pulidos, kit de distribución completo nuevo, correa de servicio nueva, termostato completo nuevo, bieletas de suspensión nuevas. Los 4 inyectores nuevos Siemens y el filtro del gasoil con factura de 1.000 euros. Las 2 placas de matrícula nuevas. Las 3 escobillas del limpiaparabrisas nuevas. Batería nueva. Precio 3.000 euros incluido el cambio de nombre y garantía de 12 meses.</t>
        </is>
      </c>
      <c r="AT66" s="2" t="inlineStr">
        <is>
          <t>https://es.wallapop.com/item/ford-fiesta-2008-1317014608 (__NEXT_DATA__ item) /home/user/Alopecia/buscador-coches/raw/wallapop/e0e41ba9813541aa.json</t>
        </is>
      </c>
      <c r="AU66" s="3">
        <f>MAX(ANIO_ACTUAL-M66,0)</f>
        <v/>
      </c>
      <c r="AV66" s="4">
        <f>N66/MAX(AU66,0.5)</f>
        <v/>
      </c>
      <c r="AW66" s="4">
        <f>F66</f>
        <v/>
      </c>
      <c r="AX66" s="3">
        <f>AW66&amp;"|"&amp;INT(M66/SEG_ANIO)*SEG_ANIO</f>
        <v/>
      </c>
      <c r="AY66" s="3">
        <f>AX66&amp;"|"&amp;INT(N66/SEG_KM)*SEG_KM</f>
        <v/>
      </c>
      <c r="AZ66" s="4">
        <f>COUNTIF($AW$2:$AW$662,AW66)</f>
        <v/>
      </c>
      <c r="BA66" s="4">
        <f>COUNTIF($AX$2:$AX$662,AX66)</f>
        <v/>
      </c>
      <c r="BB66" s="4">
        <f>COUNTIF($AY$2:$AY$662,AY66)</f>
        <v/>
      </c>
      <c r="BC66" s="3">
        <f t="array" ref="BC66">IF(N(AO66)&gt;=MIN_N,AN66,IF(BB66&gt;=MIN_N,MEDIAN(IF($AY$2:$AY$662=AY66,$O$2:$O$662)),IF(BA66&gt;=MIN_N,MEDIAN(IF($AX$2:$AX$662=AX66,$O$2:$O$662)),MEDIAN(IF($AW$2:$AW$662=AW66,$O$2:$O$662)))))</f>
        <v/>
      </c>
      <c r="BD66" s="3">
        <f>IF(N(AO66)&gt;=MIN_N,"mercado "&amp;AP66,IF(BB66&gt;=MIN_N,"modelo+año+km",IF(BA66&gt;=MIN_N,"modelo+año","modelo")))</f>
        <v/>
      </c>
      <c r="BE66" s="4">
        <f>(BC66-O66)/BC66</f>
        <v/>
      </c>
      <c r="BF66" s="3">
        <f>IF(OR(K66="hibrido",K66="glp"),"ECO",IF(K66="electrico","CERO",IF(K66="gasolina",IF(M66&gt;=GAS_C,"C",IF(M66&gt;=GAS_B,"B","A")),IF(K66="diesel",IF(M66&gt;=DIE_C,"C",IF(M66&gt;=DIE_B,"B","A")),""))))</f>
        <v/>
      </c>
      <c r="BG66" s="3">
        <f>IFERROR(VLOOKUP(F66,MOD_TBL,11,0),IFERROR(VLOOKUP(E66,OCU_TBL,2,0),NEUTRO))</f>
        <v/>
      </c>
      <c r="BH66" s="3">
        <f>SUMIFS(MOT_AJUSTE,MOT_MOTOR,G66,MOT_MARCA,E66,MOT_DESDE,"&lt;="&amp;M66,MOT_HASTA,"&gt;="&amp;M66)+SUMIFS(MOT_AJUSTE,MOT_MOTOR,G66,MOT_MARCA,"(todas)",MOT_DESDE,"&lt;="&amp;M66,MOT_HASTA,"&gt;="&amp;M66)</f>
        <v/>
      </c>
      <c r="BI66" s="3">
        <f>SUMIFS(COMB_AJUSTE,COMB_COMB,K66)</f>
        <v/>
      </c>
      <c r="BJ66" s="3">
        <f>COUNTIFS(MOT_MOTOR,G66,MOT_MARCA,E66,MOT_DESDE,"&lt;="&amp;M66,MOT_HASTA,"&gt;="&amp;M66)+COUNTIFS(MOT_MOTOR,G66,MOT_MARCA,"(todas)",MOT_DESDE,"&lt;="&amp;M66,MOT_HASTA,"&gt;="&amp;M66)</f>
        <v/>
      </c>
      <c r="BK66" s="3">
        <f>IF(AND(K66="diesel",BJ66=0),MIN(BG66,NEUTRO),BG66)</f>
        <v/>
      </c>
      <c r="BL66" s="4">
        <f>MAX(0,MIN(100,BK66+BH66+BI66))</f>
        <v/>
      </c>
      <c r="BM66" s="3">
        <f>MAX(0,MIN(100,50+BE66*PRECIO_PEND))</f>
        <v/>
      </c>
      <c r="BN66" s="3">
        <f>MAX(0,100*(1-N66/KM_MAX))</f>
        <v/>
      </c>
      <c r="BO66" s="3">
        <f>IF(AV66&lt;KMA_SOSP,IF(AA66="sí",100,KMA_PEN),IF(AV66&lt;=KMA_IDEAL_MAX,100,MAX(0,100*(KMA_CERO-AV66)/(KMA_CERO-KMA_IDEAL_MAX))))</f>
        <v/>
      </c>
      <c r="BP66" s="3">
        <f>MAX(0,MIN(100,100*(M66-ANIO_MIN)/(ANIO_ACTUAL-ANIO_MIN)))</f>
        <v/>
      </c>
      <c r="BQ66" s="3">
        <f>W_KMT*BN66+W_KMA*BO66+W_EDAD*BP66</f>
        <v/>
      </c>
      <c r="BR66" s="3">
        <f>P_ITV*(V66="sí")+P_LIBRO*(W66="sí")+P_CORREA*(X66="sí")+P_PROP*(Y66=1)+P_GAR*(Z66="sí")+P_FOTOS*MIN(1,N(U66)/FOTOS_OBJ)</f>
        <v/>
      </c>
      <c r="BS66" s="3">
        <f>IFERROR(VLOOKUP(BF66,ETQ_TBL,2,0),NEUTRO)</f>
        <v/>
      </c>
      <c r="BT66" s="3">
        <f>NEUTRO</f>
        <v/>
      </c>
      <c r="BU66" s="3">
        <f>IFERROR(VLOOKUP(L66,SEGURO_TBL,3,0),"")</f>
        <v/>
      </c>
      <c r="BV66" s="3">
        <f>IF(BU66="",NEUTRO,MAX(0,MIN(100,100*(SEG_REF_MAX-BU66)/(SEG_REF_MAX-SEG_REF_MIN))))</f>
        <v/>
      </c>
      <c r="BW66" s="3">
        <f>W_ET*BS66+W_CONS*BT66+W_SEG*BV66</f>
        <v/>
      </c>
      <c r="BX66" s="3">
        <f>IF(N(AB66)&gt;0,AB66,IF(AND(R66="profesional",SG_LEGAL_ON=1),GAR_LEGAL,0))</f>
        <v/>
      </c>
      <c r="BY66" s="3">
        <f>SG_GAR*MIN(1,BX66/SG_GAR_FULL)+SG_AMPL*(AC66="sí")+SG_KMC*(AF66="sí")+SG_REV*(N(AE66)&gt;0)+SG_DEV*MIN(1,N(AG66)/SG_DEV_FULL)+SG_HIST*(W66="sí")</f>
        <v/>
      </c>
      <c r="BZ66" s="3">
        <f>IFERROR(VLOOKUP(L66,CARR_PEN_TBL,2,0),0)</f>
        <v/>
      </c>
      <c r="CA66" s="3">
        <f>W_FIAB*BL66+W_PRECIO*BM66+W_KMEDAD*BQ66+W_ANUNCIO*BR66+W_USO*BW66+W_SEGURIDAD*BY66-BZ66</f>
        <v/>
      </c>
      <c r="CB66" s="4">
        <f>IF(N(I66)&gt;0,I66,IFERROR(ROUND(_xlfn.NUMBERVALUE(LEFT(G66,FIND(" ",G66&amp;" ")-1),".")*1000,0),99999))</f>
        <v/>
      </c>
      <c r="CC66" s="3">
        <f>IF(R66="profesional",0,IF(O66&lt;CUOTA_VALOR_MAX,IF(AU66&gt;ITP_TRAMO_ALTO,SUMIFS(CF_CUOTA,CF_MAS,ITP_TRAMO_ALTO,CF_CCMIN,"&lt;="&amp;CB66,CF_CCMAX,"&gt;="&amp;CB66),IF(AU66&gt;ITP_TRAMO_BAJO,SUMIFS(CF_CUOTA,CF_MAS,ITP_TRAMO_BAJO,CF_CCMIN,"&lt;="&amp;CB66,CF_CCMAX,"&gt;="&amp;CB66),O66*ITP_TIPO)),O66*ITP_TIPO))</f>
        <v/>
      </c>
      <c r="CD66" s="4">
        <f>IF(R66="profesional",N(AK66),0)</f>
        <v/>
      </c>
      <c r="CE66" s="3">
        <f>IF(AND(R66="profesional",ISNUMBER(AK66),AL66="sí"),0,TASA_DGT)</f>
        <v/>
      </c>
      <c r="CF66" s="3">
        <f>INFORME_DGT</f>
        <v/>
      </c>
      <c r="CG66" s="4">
        <f>O66+CD66+CC66+CE66+CF66</f>
        <v/>
      </c>
      <c r="CH66" s="4">
        <f>CG66+N(BU66)</f>
        <v/>
      </c>
      <c r="CI66" s="3">
        <f>IF(CG66&lt;=TOTAL_MAX,"sí",IF(CG66&lt;=TOTAL_MAX+MARGEN_NEG,"negociar","no"))</f>
        <v/>
      </c>
      <c r="CJ66" s="4">
        <f>IF(CI66&lt;&gt;"no",COUNTIFS($CI$2:$CI$662,"&lt;&gt;no",$CA$2:$CA$662,"&gt;"&amp;CA66)+COUNTIFS($CI$2:CI66,"&lt;&gt;no",$CA$2:CA66,CA66),"")</f>
        <v/>
      </c>
    </row>
    <row r="67">
      <c r="A67" s="2" t="inlineStr">
        <is>
          <t>wallapop:1303897694</t>
        </is>
      </c>
      <c r="B67" s="2" t="inlineStr">
        <is>
          <t>wallapop</t>
        </is>
      </c>
      <c r="C67" s="2" t="inlineStr">
        <is>
          <t>https://es.wallapop.com/item/ford-fiesta-2012-1303897694</t>
        </is>
      </c>
      <c r="D67" s="2" t="inlineStr">
        <is>
          <t>Ford Fiesta 2012</t>
        </is>
      </c>
      <c r="E67" s="2" t="inlineStr">
        <is>
          <t>Ford</t>
        </is>
      </c>
      <c r="F67" s="2" t="inlineStr">
        <is>
          <t>Ford Fiesta</t>
        </is>
      </c>
      <c r="G67" s="2" t="inlineStr">
        <is>
          <t>1.6 TDCi</t>
        </is>
      </c>
      <c r="H67" s="2" t="inlineStr">
        <is>
          <t>1.6 TDCi 95 Sport 3p</t>
        </is>
      </c>
      <c r="I67" s="2" t="n"/>
      <c r="J67" s="2" t="n">
        <v>95</v>
      </c>
      <c r="K67" s="2" t="inlineStr">
        <is>
          <t>diesel</t>
        </is>
      </c>
      <c r="L67" s="2" t="inlineStr">
        <is>
          <t>utilitario</t>
        </is>
      </c>
      <c r="M67" s="2" t="n">
        <v>2012</v>
      </c>
      <c r="N67" s="2" t="n">
        <v>214000</v>
      </c>
      <c r="O67" s="2" t="n">
        <v>4500</v>
      </c>
      <c r="P67" s="2" t="inlineStr">
        <is>
          <t>manual</t>
        </is>
      </c>
      <c r="Q67" s="2" t="inlineStr">
        <is>
          <t>no</t>
        </is>
      </c>
      <c r="R67" s="2" t="inlineStr">
        <is>
          <t>particular</t>
        </is>
      </c>
      <c r="S67" s="2" t="inlineStr">
        <is>
          <t>Valencia (46003)</t>
        </is>
      </c>
      <c r="T67" s="2" t="inlineStr">
        <is>
          <t>2026-10-26T13:46:25</t>
        </is>
      </c>
      <c r="U67" s="2" t="n">
        <v>4</v>
      </c>
      <c r="V67" s="2" t="n"/>
      <c r="W67" s="2" t="n"/>
      <c r="X67" s="2" t="n"/>
      <c r="Y67" s="2" t="n"/>
      <c r="Z67" s="2" t="n"/>
      <c r="AA67" s="2" t="n"/>
      <c r="AB67" s="2" t="n"/>
      <c r="AC67" s="2" t="n"/>
      <c r="AD67" s="2" t="n"/>
      <c r="AE67" s="2" t="n"/>
      <c r="AF67" s="2" t="n"/>
      <c r="AG67" s="2" t="n"/>
      <c r="AH67" s="2" t="n"/>
      <c r="AI67" s="2" t="n"/>
      <c r="AJ67" s="2" t="n"/>
      <c r="AK67" s="2" t="n"/>
      <c r="AL67" s="2" t="n"/>
      <c r="AM67" s="2" t="n">
        <v>1.2</v>
      </c>
      <c r="AN67" s="2" t="n">
        <v>3500</v>
      </c>
      <c r="AO67" s="2" t="n">
        <v>13</v>
      </c>
      <c r="AP67" s="2" t="inlineStr">
        <is>
          <t>modelo+año+km</t>
        </is>
      </c>
      <c r="AQ67" s="2" t="n"/>
      <c r="AR67" s="2" t="inlineStr">
        <is>
          <t>cuota fija ITP: &gt;12 años, 1.501-2.000 cc</t>
        </is>
      </c>
      <c r="AS67" s="2" t="inlineStr">
        <is>
          <t>Ford fiesta con la ITV acabada de pasar. Revisión hecha. Correa de distribución y bomba de agua  cambiada hace un mes con factura.coche muy cuidado de motor está perfecto . Tiene algún desperfectos de chapa. Precio negociable. Se aceptan cambio por coche</t>
        </is>
      </c>
      <c r="AT67" s="2" t="inlineStr">
        <is>
          <t>https://es.wallapop.com/item/ford-fiesta-2012-1303897694 (__NEXT_DATA__ item) /home/user/Alopecia/buscador-coches/raw/wallapop/df3ae7a9906e6096.json</t>
        </is>
      </c>
      <c r="AU67" s="3">
        <f>MAX(ANIO_ACTUAL-M67,0)</f>
        <v/>
      </c>
      <c r="AV67" s="4">
        <f>N67/MAX(AU67,0.5)</f>
        <v/>
      </c>
      <c r="AW67" s="4">
        <f>F67</f>
        <v/>
      </c>
      <c r="AX67" s="3">
        <f>AW67&amp;"|"&amp;INT(M67/SEG_ANIO)*SEG_ANIO</f>
        <v/>
      </c>
      <c r="AY67" s="3">
        <f>AX67&amp;"|"&amp;INT(N67/SEG_KM)*SEG_KM</f>
        <v/>
      </c>
      <c r="AZ67" s="4">
        <f>COUNTIF($AW$2:$AW$662,AW67)</f>
        <v/>
      </c>
      <c r="BA67" s="4">
        <f>COUNTIF($AX$2:$AX$662,AX67)</f>
        <v/>
      </c>
      <c r="BB67" s="4">
        <f>COUNTIF($AY$2:$AY$662,AY67)</f>
        <v/>
      </c>
      <c r="BC67" s="3">
        <f t="array" ref="BC67">IF(N(AO67)&gt;=MIN_N,AN67,IF(BB67&gt;=MIN_N,MEDIAN(IF($AY$2:$AY$662=AY67,$O$2:$O$662)),IF(BA67&gt;=MIN_N,MEDIAN(IF($AX$2:$AX$662=AX67,$O$2:$O$662)),MEDIAN(IF($AW$2:$AW$662=AW67,$O$2:$O$662)))))</f>
        <v/>
      </c>
      <c r="BD67" s="3">
        <f>IF(N(AO67)&gt;=MIN_N,"mercado "&amp;AP67,IF(BB67&gt;=MIN_N,"modelo+año+km",IF(BA67&gt;=MIN_N,"modelo+año","modelo")))</f>
        <v/>
      </c>
      <c r="BE67" s="4">
        <f>(BC67-O67)/BC67</f>
        <v/>
      </c>
      <c r="BF67" s="3">
        <f>IF(OR(K67="hibrido",K67="glp"),"ECO",IF(K67="electrico","CERO",IF(K67="gasolina",IF(M67&gt;=GAS_C,"C",IF(M67&gt;=GAS_B,"B","A")),IF(K67="diesel",IF(M67&gt;=DIE_C,"C",IF(M67&gt;=DIE_B,"B","A")),""))))</f>
        <v/>
      </c>
      <c r="BG67" s="3">
        <f>IFERROR(VLOOKUP(F67,MOD_TBL,11,0),IFERROR(VLOOKUP(E67,OCU_TBL,2,0),NEUTRO))</f>
        <v/>
      </c>
      <c r="BH67" s="3">
        <f>SUMIFS(MOT_AJUSTE,MOT_MOTOR,G67,MOT_MARCA,E67,MOT_DESDE,"&lt;="&amp;M67,MOT_HASTA,"&gt;="&amp;M67)+SUMIFS(MOT_AJUSTE,MOT_MOTOR,G67,MOT_MARCA,"(todas)",MOT_DESDE,"&lt;="&amp;M67,MOT_HASTA,"&gt;="&amp;M67)</f>
        <v/>
      </c>
      <c r="BI67" s="3">
        <f>SUMIFS(COMB_AJUSTE,COMB_COMB,K67)</f>
        <v/>
      </c>
      <c r="BJ67" s="3">
        <f>COUNTIFS(MOT_MOTOR,G67,MOT_MARCA,E67,MOT_DESDE,"&lt;="&amp;M67,MOT_HASTA,"&gt;="&amp;M67)+COUNTIFS(MOT_MOTOR,G67,MOT_MARCA,"(todas)",MOT_DESDE,"&lt;="&amp;M67,MOT_HASTA,"&gt;="&amp;M67)</f>
        <v/>
      </c>
      <c r="BK67" s="3">
        <f>IF(AND(K67="diesel",BJ67=0),MIN(BG67,NEUTRO),BG67)</f>
        <v/>
      </c>
      <c r="BL67" s="4">
        <f>MAX(0,MIN(100,BK67+BH67+BI67))</f>
        <v/>
      </c>
      <c r="BM67" s="3">
        <f>MAX(0,MIN(100,50+BE67*PRECIO_PEND))</f>
        <v/>
      </c>
      <c r="BN67" s="3">
        <f>MAX(0,100*(1-N67/KM_MAX))</f>
        <v/>
      </c>
      <c r="BO67" s="3">
        <f>IF(AV67&lt;KMA_SOSP,IF(AA67="sí",100,KMA_PEN),IF(AV67&lt;=KMA_IDEAL_MAX,100,MAX(0,100*(KMA_CERO-AV67)/(KMA_CERO-KMA_IDEAL_MAX))))</f>
        <v/>
      </c>
      <c r="BP67" s="3">
        <f>MAX(0,MIN(100,100*(M67-ANIO_MIN)/(ANIO_ACTUAL-ANIO_MIN)))</f>
        <v/>
      </c>
      <c r="BQ67" s="3">
        <f>W_KMT*BN67+W_KMA*BO67+W_EDAD*BP67</f>
        <v/>
      </c>
      <c r="BR67" s="3">
        <f>P_ITV*(V67="sí")+P_LIBRO*(W67="sí")+P_CORREA*(X67="sí")+P_PROP*(Y67=1)+P_GAR*(Z67="sí")+P_FOTOS*MIN(1,N(U67)/FOTOS_OBJ)</f>
        <v/>
      </c>
      <c r="BS67" s="3">
        <f>IFERROR(VLOOKUP(BF67,ETQ_TBL,2,0),NEUTRO)</f>
        <v/>
      </c>
      <c r="BT67" s="3">
        <f>NEUTRO</f>
        <v/>
      </c>
      <c r="BU67" s="3">
        <f>IFERROR(VLOOKUP(L67,SEGURO_TBL,3,0),"")</f>
        <v/>
      </c>
      <c r="BV67" s="3">
        <f>IF(BU67="",NEUTRO,MAX(0,MIN(100,100*(SEG_REF_MAX-BU67)/(SEG_REF_MAX-SEG_REF_MIN))))</f>
        <v/>
      </c>
      <c r="BW67" s="3">
        <f>W_ET*BS67+W_CONS*BT67+W_SEG*BV67</f>
        <v/>
      </c>
      <c r="BX67" s="3">
        <f>IF(N(AB67)&gt;0,AB67,IF(AND(R67="profesional",SG_LEGAL_ON=1),GAR_LEGAL,0))</f>
        <v/>
      </c>
      <c r="BY67" s="3">
        <f>SG_GAR*MIN(1,BX67/SG_GAR_FULL)+SG_AMPL*(AC67="sí")+SG_KMC*(AF67="sí")+SG_REV*(N(AE67)&gt;0)+SG_DEV*MIN(1,N(AG67)/SG_DEV_FULL)+SG_HIST*(W67="sí")</f>
        <v/>
      </c>
      <c r="BZ67" s="3">
        <f>IFERROR(VLOOKUP(L67,CARR_PEN_TBL,2,0),0)</f>
        <v/>
      </c>
      <c r="CA67" s="3">
        <f>W_FIAB*BL67+W_PRECIO*BM67+W_KMEDAD*BQ67+W_ANUNCIO*BR67+W_USO*BW67+W_SEGURIDAD*BY67-BZ67</f>
        <v/>
      </c>
      <c r="CB67" s="4">
        <f>IF(N(I67)&gt;0,I67,IFERROR(ROUND(_xlfn.NUMBERVALUE(LEFT(G67,FIND(" ",G67&amp;" ")-1),".")*1000,0),99999))</f>
        <v/>
      </c>
      <c r="CC67" s="3">
        <f>IF(R67="profesional",0,IF(O67&lt;CUOTA_VALOR_MAX,IF(AU67&gt;ITP_TRAMO_ALTO,SUMIFS(CF_CUOTA,CF_MAS,ITP_TRAMO_ALTO,CF_CCMIN,"&lt;="&amp;CB67,CF_CCMAX,"&gt;="&amp;CB67),IF(AU67&gt;ITP_TRAMO_BAJO,SUMIFS(CF_CUOTA,CF_MAS,ITP_TRAMO_BAJO,CF_CCMIN,"&lt;="&amp;CB67,CF_CCMAX,"&gt;="&amp;CB67),O67*ITP_TIPO)),O67*ITP_TIPO))</f>
        <v/>
      </c>
      <c r="CD67" s="4">
        <f>IF(R67="profesional",N(AK67),0)</f>
        <v/>
      </c>
      <c r="CE67" s="3">
        <f>IF(AND(R67="profesional",ISNUMBER(AK67),AL67="sí"),0,TASA_DGT)</f>
        <v/>
      </c>
      <c r="CF67" s="3">
        <f>INFORME_DGT</f>
        <v/>
      </c>
      <c r="CG67" s="4">
        <f>O67+CD67+CC67+CE67+CF67</f>
        <v/>
      </c>
      <c r="CH67" s="4">
        <f>CG67+N(BU67)</f>
        <v/>
      </c>
      <c r="CI67" s="3">
        <f>IF(CG67&lt;=TOTAL_MAX,"sí",IF(CG67&lt;=TOTAL_MAX+MARGEN_NEG,"negociar","no"))</f>
        <v/>
      </c>
      <c r="CJ67" s="4">
        <f>IF(CI67&lt;&gt;"no",COUNTIFS($CI$2:$CI$662,"&lt;&gt;no",$CA$2:$CA$662,"&gt;"&amp;CA67)+COUNTIFS($CI$2:CI67,"&lt;&gt;no",$CA$2:CA67,CA67),"")</f>
        <v/>
      </c>
    </row>
    <row r="68">
      <c r="A68" s="2" t="inlineStr">
        <is>
          <t>wallapop:1299179562</t>
        </is>
      </c>
      <c r="B68" s="2" t="inlineStr">
        <is>
          <t>wallapop</t>
        </is>
      </c>
      <c r="C68" s="2" t="inlineStr">
        <is>
          <t>https://es.wallapop.com/item/ford-fiesta-2009-1299179562</t>
        </is>
      </c>
      <c r="D68" s="2" t="inlineStr">
        <is>
          <t>Ford Fiesta 2009</t>
        </is>
      </c>
      <c r="E68" s="2" t="inlineStr">
        <is>
          <t>Ford</t>
        </is>
      </c>
      <c r="F68" s="2" t="inlineStr">
        <is>
          <t>Ford Fiesta</t>
        </is>
      </c>
      <c r="G68" s="2" t="inlineStr">
        <is>
          <t>1.2</t>
        </is>
      </c>
      <c r="H68" s="2" t="inlineStr">
        <is>
          <t>1.25 82 Trend 5p</t>
        </is>
      </c>
      <c r="I68" s="2" t="n"/>
      <c r="J68" s="2" t="n">
        <v>82</v>
      </c>
      <c r="K68" s="2" t="inlineStr">
        <is>
          <t>gasolina</t>
        </is>
      </c>
      <c r="L68" s="2" t="inlineStr">
        <is>
          <t>utilitario</t>
        </is>
      </c>
      <c r="M68" s="2" t="n">
        <v>2009</v>
      </c>
      <c r="N68" s="2" t="n">
        <v>175000</v>
      </c>
      <c r="O68" s="2" t="n">
        <v>3449</v>
      </c>
      <c r="P68" s="2" t="inlineStr">
        <is>
          <t>manual</t>
        </is>
      </c>
      <c r="Q68" s="2" t="inlineStr">
        <is>
          <t>no</t>
        </is>
      </c>
      <c r="R68" s="2" t="inlineStr">
        <is>
          <t>particular</t>
        </is>
      </c>
      <c r="S68" s="2" t="inlineStr">
        <is>
          <t>Valencia (46003)</t>
        </is>
      </c>
      <c r="T68" s="2" t="inlineStr">
        <is>
          <t>2026-10-30T13:25:02</t>
        </is>
      </c>
      <c r="U68" s="2" t="n">
        <v>10</v>
      </c>
      <c r="V68" s="2" t="inlineStr">
        <is>
          <t>sí</t>
        </is>
      </c>
      <c r="W68" s="2" t="n"/>
      <c r="X68" s="2" t="n"/>
      <c r="Y68" s="2" t="n"/>
      <c r="Z68" s="2" t="n"/>
      <c r="AA68" s="2" t="n"/>
      <c r="AB68" s="2" t="n"/>
      <c r="AC68" s="2" t="n"/>
      <c r="AD68" s="2" t="n"/>
      <c r="AE68" s="2" t="n"/>
      <c r="AF68" s="2" t="n"/>
      <c r="AG68" s="2" t="n"/>
      <c r="AH68" s="2" t="n"/>
      <c r="AI68" s="2" t="n"/>
      <c r="AJ68" s="2" t="n"/>
      <c r="AK68" s="2" t="n"/>
      <c r="AL68" s="2" t="n"/>
      <c r="AM68" s="2" t="n">
        <v>0.2</v>
      </c>
      <c r="AN68" s="2" t="n">
        <v>4500</v>
      </c>
      <c r="AO68" s="2" t="n">
        <v>18</v>
      </c>
      <c r="AP68" s="2" t="inlineStr">
        <is>
          <t>modelo+año+km</t>
        </is>
      </c>
      <c r="AQ68" s="2" t="n"/>
      <c r="AR68" s="2" t="inlineStr">
        <is>
          <t>cuota fija ITP: &gt;12 años, hasta 1.500 cc</t>
        </is>
      </c>
      <c r="AS68" s="2" t="inlineStr">
        <is>
          <t>Los gastos de cambio de nombre corren a mi cargo. ITV en vigor hasta Noviembre de 2026. Funciona perfectamente, se puede probar sin problema. Tiene los dos juegos de llaves. El interior está muy bien cuidado. Lo vendo porque ya no lo necesito.
Cualquier foto o información adicional consultar sin problema.</t>
        </is>
      </c>
      <c r="AT68" s="2" t="inlineStr">
        <is>
          <t>https://es.wallapop.com/item/ford-fiesta-2009-1299179562 (__NEXT_DATA__ item) /home/user/Alopecia/buscador-coches/raw/wallapop/56b4c3f695254080.json</t>
        </is>
      </c>
      <c r="AU68" s="3">
        <f>MAX(ANIO_ACTUAL-M68,0)</f>
        <v/>
      </c>
      <c r="AV68" s="4">
        <f>N68/MAX(AU68,0.5)</f>
        <v/>
      </c>
      <c r="AW68" s="4">
        <f>F68</f>
        <v/>
      </c>
      <c r="AX68" s="3">
        <f>AW68&amp;"|"&amp;INT(M68/SEG_ANIO)*SEG_ANIO</f>
        <v/>
      </c>
      <c r="AY68" s="3">
        <f>AX68&amp;"|"&amp;INT(N68/SEG_KM)*SEG_KM</f>
        <v/>
      </c>
      <c r="AZ68" s="4">
        <f>COUNTIF($AW$2:$AW$662,AW68)</f>
        <v/>
      </c>
      <c r="BA68" s="4">
        <f>COUNTIF($AX$2:$AX$662,AX68)</f>
        <v/>
      </c>
      <c r="BB68" s="4">
        <f>COUNTIF($AY$2:$AY$662,AY68)</f>
        <v/>
      </c>
      <c r="BC68" s="3">
        <f t="array" ref="BC68">IF(N(AO68)&gt;=MIN_N,AN68,IF(BB68&gt;=MIN_N,MEDIAN(IF($AY$2:$AY$662=AY68,$O$2:$O$662)),IF(BA68&gt;=MIN_N,MEDIAN(IF($AX$2:$AX$662=AX68,$O$2:$O$662)),MEDIAN(IF($AW$2:$AW$662=AW68,$O$2:$O$662)))))</f>
        <v/>
      </c>
      <c r="BD68" s="3">
        <f>IF(N(AO68)&gt;=MIN_N,"mercado "&amp;AP68,IF(BB68&gt;=MIN_N,"modelo+año+km",IF(BA68&gt;=MIN_N,"modelo+año","modelo")))</f>
        <v/>
      </c>
      <c r="BE68" s="4">
        <f>(BC68-O68)/BC68</f>
        <v/>
      </c>
      <c r="BF68" s="3">
        <f>IF(OR(K68="hibrido",K68="glp"),"ECO",IF(K68="electrico","CERO",IF(K68="gasolina",IF(M68&gt;=GAS_C,"C",IF(M68&gt;=GAS_B,"B","A")),IF(K68="diesel",IF(M68&gt;=DIE_C,"C",IF(M68&gt;=DIE_B,"B","A")),""))))</f>
        <v/>
      </c>
      <c r="BG68" s="3">
        <f>IFERROR(VLOOKUP(F68,MOD_TBL,11,0),IFERROR(VLOOKUP(E68,OCU_TBL,2,0),NEUTRO))</f>
        <v/>
      </c>
      <c r="BH68" s="3">
        <f>SUMIFS(MOT_AJUSTE,MOT_MOTOR,G68,MOT_MARCA,E68,MOT_DESDE,"&lt;="&amp;M68,MOT_HASTA,"&gt;="&amp;M68)+SUMIFS(MOT_AJUSTE,MOT_MOTOR,G68,MOT_MARCA,"(todas)",MOT_DESDE,"&lt;="&amp;M68,MOT_HASTA,"&gt;="&amp;M68)</f>
        <v/>
      </c>
      <c r="BI68" s="3">
        <f>SUMIFS(COMB_AJUSTE,COMB_COMB,K68)</f>
        <v/>
      </c>
      <c r="BJ68" s="3">
        <f>COUNTIFS(MOT_MOTOR,G68,MOT_MARCA,E68,MOT_DESDE,"&lt;="&amp;M68,MOT_HASTA,"&gt;="&amp;M68)+COUNTIFS(MOT_MOTOR,G68,MOT_MARCA,"(todas)",MOT_DESDE,"&lt;="&amp;M68,MOT_HASTA,"&gt;="&amp;M68)</f>
        <v/>
      </c>
      <c r="BK68" s="3">
        <f>IF(AND(K68="diesel",BJ68=0),MIN(BG68,NEUTRO),BG68)</f>
        <v/>
      </c>
      <c r="BL68" s="4">
        <f>MAX(0,MIN(100,BK68+BH68+BI68))</f>
        <v/>
      </c>
      <c r="BM68" s="3">
        <f>MAX(0,MIN(100,50+BE68*PRECIO_PEND))</f>
        <v/>
      </c>
      <c r="BN68" s="3">
        <f>MAX(0,100*(1-N68/KM_MAX))</f>
        <v/>
      </c>
      <c r="BO68" s="3">
        <f>IF(AV68&lt;KMA_SOSP,IF(AA68="sí",100,KMA_PEN),IF(AV68&lt;=KMA_IDEAL_MAX,100,MAX(0,100*(KMA_CERO-AV68)/(KMA_CERO-KMA_IDEAL_MAX))))</f>
        <v/>
      </c>
      <c r="BP68" s="3">
        <f>MAX(0,MIN(100,100*(M68-ANIO_MIN)/(ANIO_ACTUAL-ANIO_MIN)))</f>
        <v/>
      </c>
      <c r="BQ68" s="3">
        <f>W_KMT*BN68+W_KMA*BO68+W_EDAD*BP68</f>
        <v/>
      </c>
      <c r="BR68" s="3">
        <f>P_ITV*(V68="sí")+P_LIBRO*(W68="sí")+P_CORREA*(X68="sí")+P_PROP*(Y68=1)+P_GAR*(Z68="sí")+P_FOTOS*MIN(1,N(U68)/FOTOS_OBJ)</f>
        <v/>
      </c>
      <c r="BS68" s="3">
        <f>IFERROR(VLOOKUP(BF68,ETQ_TBL,2,0),NEUTRO)</f>
        <v/>
      </c>
      <c r="BT68" s="3">
        <f>NEUTRO</f>
        <v/>
      </c>
      <c r="BU68" s="3">
        <f>IFERROR(VLOOKUP(L68,SEGURO_TBL,3,0),"")</f>
        <v/>
      </c>
      <c r="BV68" s="3">
        <f>IF(BU68="",NEUTRO,MAX(0,MIN(100,100*(SEG_REF_MAX-BU68)/(SEG_REF_MAX-SEG_REF_MIN))))</f>
        <v/>
      </c>
      <c r="BW68" s="3">
        <f>W_ET*BS68+W_CONS*BT68+W_SEG*BV68</f>
        <v/>
      </c>
      <c r="BX68" s="3">
        <f>IF(N(AB68)&gt;0,AB68,IF(AND(R68="profesional",SG_LEGAL_ON=1),GAR_LEGAL,0))</f>
        <v/>
      </c>
      <c r="BY68" s="3">
        <f>SG_GAR*MIN(1,BX68/SG_GAR_FULL)+SG_AMPL*(AC68="sí")+SG_KMC*(AF68="sí")+SG_REV*(N(AE68)&gt;0)+SG_DEV*MIN(1,N(AG68)/SG_DEV_FULL)+SG_HIST*(W68="sí")</f>
        <v/>
      </c>
      <c r="BZ68" s="3">
        <f>IFERROR(VLOOKUP(L68,CARR_PEN_TBL,2,0),0)</f>
        <v/>
      </c>
      <c r="CA68" s="3">
        <f>W_FIAB*BL68+W_PRECIO*BM68+W_KMEDAD*BQ68+W_ANUNCIO*BR68+W_USO*BW68+W_SEGURIDAD*BY68-BZ68</f>
        <v/>
      </c>
      <c r="CB68" s="4">
        <f>IF(N(I68)&gt;0,I68,IFERROR(ROUND(_xlfn.NUMBERVALUE(LEFT(G68,FIND(" ",G68&amp;" ")-1),".")*1000,0),99999))</f>
        <v/>
      </c>
      <c r="CC68" s="3">
        <f>IF(R68="profesional",0,IF(O68&lt;CUOTA_VALOR_MAX,IF(AU68&gt;ITP_TRAMO_ALTO,SUMIFS(CF_CUOTA,CF_MAS,ITP_TRAMO_ALTO,CF_CCMIN,"&lt;="&amp;CB68,CF_CCMAX,"&gt;="&amp;CB68),IF(AU68&gt;ITP_TRAMO_BAJO,SUMIFS(CF_CUOTA,CF_MAS,ITP_TRAMO_BAJO,CF_CCMIN,"&lt;="&amp;CB68,CF_CCMAX,"&gt;="&amp;CB68),O68*ITP_TIPO)),O68*ITP_TIPO))</f>
        <v/>
      </c>
      <c r="CD68" s="4">
        <f>IF(R68="profesional",N(AK68),0)</f>
        <v/>
      </c>
      <c r="CE68" s="3">
        <f>IF(AND(R68="profesional",ISNUMBER(AK68),AL68="sí"),0,TASA_DGT)</f>
        <v/>
      </c>
      <c r="CF68" s="3">
        <f>INFORME_DGT</f>
        <v/>
      </c>
      <c r="CG68" s="4">
        <f>O68+CD68+CC68+CE68+CF68</f>
        <v/>
      </c>
      <c r="CH68" s="4">
        <f>CG68+N(BU68)</f>
        <v/>
      </c>
      <c r="CI68" s="3">
        <f>IF(CG68&lt;=TOTAL_MAX,"sí",IF(CG68&lt;=TOTAL_MAX+MARGEN_NEG,"negociar","no"))</f>
        <v/>
      </c>
      <c r="CJ68" s="4">
        <f>IF(CI68&lt;&gt;"no",COUNTIFS($CI$2:$CI$662,"&lt;&gt;no",$CA$2:$CA$662,"&gt;"&amp;CA68)+COUNTIFS($CI$2:CI68,"&lt;&gt;no",$CA$2:CA68,CA68),"")</f>
        <v/>
      </c>
    </row>
    <row r="69">
      <c r="A69" s="2" t="inlineStr">
        <is>
          <t>wallapop:1296519951</t>
        </is>
      </c>
      <c r="B69" s="2" t="inlineStr">
        <is>
          <t>wallapop</t>
        </is>
      </c>
      <c r="C69" s="2" t="inlineStr">
        <is>
          <t>https://es.wallapop.com/item/ford-fiesta-2009-1296519951</t>
        </is>
      </c>
      <c r="D69" s="2" t="inlineStr">
        <is>
          <t>Ford Fiesta 2009</t>
        </is>
      </c>
      <c r="E69" s="2" t="inlineStr">
        <is>
          <t>Ford</t>
        </is>
      </c>
      <c r="F69" s="2" t="inlineStr">
        <is>
          <t>Ford Fiesta</t>
        </is>
      </c>
      <c r="G69" s="2" t="inlineStr">
        <is>
          <t>1.6 TDCi</t>
        </is>
      </c>
      <c r="H69" s="2" t="inlineStr">
        <is>
          <t>1.6 TDCi 90 Sport 3p</t>
        </is>
      </c>
      <c r="I69" s="2" t="n"/>
      <c r="J69" s="2" t="n">
        <v>90</v>
      </c>
      <c r="K69" s="2" t="inlineStr">
        <is>
          <t>diesel</t>
        </is>
      </c>
      <c r="L69" s="2" t="inlineStr">
        <is>
          <t>utilitario</t>
        </is>
      </c>
      <c r="M69" s="2" t="n">
        <v>2009</v>
      </c>
      <c r="N69" s="2" t="n">
        <v>191000</v>
      </c>
      <c r="O69" s="2" t="n">
        <v>3750</v>
      </c>
      <c r="P69" s="2" t="inlineStr">
        <is>
          <t>manual</t>
        </is>
      </c>
      <c r="Q69" s="2" t="inlineStr">
        <is>
          <t>no</t>
        </is>
      </c>
      <c r="R69" s="2" t="inlineStr">
        <is>
          <t>particular</t>
        </is>
      </c>
      <c r="S69" s="2" t="inlineStr">
        <is>
          <t>Valencia (46020)</t>
        </is>
      </c>
      <c r="T69" s="2" t="inlineStr">
        <is>
          <t>2026-10-29T19:27:03</t>
        </is>
      </c>
      <c r="U69" s="2" t="n">
        <v>10</v>
      </c>
      <c r="V69" s="2" t="inlineStr">
        <is>
          <t>sí</t>
        </is>
      </c>
      <c r="W69" s="2" t="n"/>
      <c r="X69" s="2" t="inlineStr">
        <is>
          <t>sí</t>
        </is>
      </c>
      <c r="Y69" s="2" t="n"/>
      <c r="Z69" s="2" t="n"/>
      <c r="AA69" s="2" t="n"/>
      <c r="AB69" s="2" t="n"/>
      <c r="AC69" s="2" t="n"/>
      <c r="AD69" s="2" t="n"/>
      <c r="AE69" s="2" t="n"/>
      <c r="AF69" s="2" t="n"/>
      <c r="AG69" s="2" t="n"/>
      <c r="AH69" s="2" t="n"/>
      <c r="AI69" s="2" t="n"/>
      <c r="AJ69" s="2" t="n"/>
      <c r="AK69" s="2" t="n"/>
      <c r="AL69" s="2" t="n"/>
      <c r="AM69" s="2" t="n">
        <v>2.1</v>
      </c>
      <c r="AN69" s="2" t="n">
        <v>4500</v>
      </c>
      <c r="AO69" s="2" t="n">
        <v>18</v>
      </c>
      <c r="AP69" s="2" t="inlineStr">
        <is>
          <t>modelo+año+km</t>
        </is>
      </c>
      <c r="AQ69" s="2" t="inlineStr">
        <is>
          <t>cochesnet:71395262 (https://www.coches.net/ford-fiesta-diesel-2009-en-valencia-71395262-covo.aspx)</t>
        </is>
      </c>
      <c r="AR69" s="2" t="inlineStr">
        <is>
          <t>cuota fija ITP: &gt;12 años, 1.501-2.000 cc</t>
        </is>
      </c>
      <c r="AS69" s="2" t="inlineStr">
        <is>
          <t>Perfecto estado 
Acabado ST
ITV recien pasada
Mantenimiento aceite y filtros
Correa distribucion cambiada
Climatizador
Asientos de piel individual azul y blancos
Salpicadero azul
2 llaves
Llantas 17”
Gente seria gracias</t>
        </is>
      </c>
      <c r="AT69" s="2" t="inlineStr">
        <is>
          <t>https://es.wallapop.com/item/ford-fiesta-2009-1296519951 (__NEXT_DATA__ item) /home/user/Alopecia/buscador-coches/raw/wallapop/71289bafc205d2a4.json</t>
        </is>
      </c>
      <c r="AU69" s="3">
        <f>MAX(ANIO_ACTUAL-M69,0)</f>
        <v/>
      </c>
      <c r="AV69" s="4">
        <f>N69/MAX(AU69,0.5)</f>
        <v/>
      </c>
      <c r="AW69" s="4">
        <f>F69</f>
        <v/>
      </c>
      <c r="AX69" s="3">
        <f>AW69&amp;"|"&amp;INT(M69/SEG_ANIO)*SEG_ANIO</f>
        <v/>
      </c>
      <c r="AY69" s="3">
        <f>AX69&amp;"|"&amp;INT(N69/SEG_KM)*SEG_KM</f>
        <v/>
      </c>
      <c r="AZ69" s="4">
        <f>COUNTIF($AW$2:$AW$662,AW69)</f>
        <v/>
      </c>
      <c r="BA69" s="4">
        <f>COUNTIF($AX$2:$AX$662,AX69)</f>
        <v/>
      </c>
      <c r="BB69" s="4">
        <f>COUNTIF($AY$2:$AY$662,AY69)</f>
        <v/>
      </c>
      <c r="BC69" s="3">
        <f t="array" ref="BC69">IF(N(AO69)&gt;=MIN_N,AN69,IF(BB69&gt;=MIN_N,MEDIAN(IF($AY$2:$AY$662=AY69,$O$2:$O$662)),IF(BA69&gt;=MIN_N,MEDIAN(IF($AX$2:$AX$662=AX69,$O$2:$O$662)),MEDIAN(IF($AW$2:$AW$662=AW69,$O$2:$O$662)))))</f>
        <v/>
      </c>
      <c r="BD69" s="3">
        <f>IF(N(AO69)&gt;=MIN_N,"mercado "&amp;AP69,IF(BB69&gt;=MIN_N,"modelo+año+km",IF(BA69&gt;=MIN_N,"modelo+año","modelo")))</f>
        <v/>
      </c>
      <c r="BE69" s="4">
        <f>(BC69-O69)/BC69</f>
        <v/>
      </c>
      <c r="BF69" s="3">
        <f>IF(OR(K69="hibrido",K69="glp"),"ECO",IF(K69="electrico","CERO",IF(K69="gasolina",IF(M69&gt;=GAS_C,"C",IF(M69&gt;=GAS_B,"B","A")),IF(K69="diesel",IF(M69&gt;=DIE_C,"C",IF(M69&gt;=DIE_B,"B","A")),""))))</f>
        <v/>
      </c>
      <c r="BG69" s="3">
        <f>IFERROR(VLOOKUP(F69,MOD_TBL,11,0),IFERROR(VLOOKUP(E69,OCU_TBL,2,0),NEUTRO))</f>
        <v/>
      </c>
      <c r="BH69" s="3">
        <f>SUMIFS(MOT_AJUSTE,MOT_MOTOR,G69,MOT_MARCA,E69,MOT_DESDE,"&lt;="&amp;M69,MOT_HASTA,"&gt;="&amp;M69)+SUMIFS(MOT_AJUSTE,MOT_MOTOR,G69,MOT_MARCA,"(todas)",MOT_DESDE,"&lt;="&amp;M69,MOT_HASTA,"&gt;="&amp;M69)</f>
        <v/>
      </c>
      <c r="BI69" s="3">
        <f>SUMIFS(COMB_AJUSTE,COMB_COMB,K69)</f>
        <v/>
      </c>
      <c r="BJ69" s="3">
        <f>COUNTIFS(MOT_MOTOR,G69,MOT_MARCA,E69,MOT_DESDE,"&lt;="&amp;M69,MOT_HASTA,"&gt;="&amp;M69)+COUNTIFS(MOT_MOTOR,G69,MOT_MARCA,"(todas)",MOT_DESDE,"&lt;="&amp;M69,MOT_HASTA,"&gt;="&amp;M69)</f>
        <v/>
      </c>
      <c r="BK69" s="3">
        <f>IF(AND(K69="diesel",BJ69=0),MIN(BG69,NEUTRO),BG69)</f>
        <v/>
      </c>
      <c r="BL69" s="4">
        <f>MAX(0,MIN(100,BK69+BH69+BI69))</f>
        <v/>
      </c>
      <c r="BM69" s="3">
        <f>MAX(0,MIN(100,50+BE69*PRECIO_PEND))</f>
        <v/>
      </c>
      <c r="BN69" s="3">
        <f>MAX(0,100*(1-N69/KM_MAX))</f>
        <v/>
      </c>
      <c r="BO69" s="3">
        <f>IF(AV69&lt;KMA_SOSP,IF(AA69="sí",100,KMA_PEN),IF(AV69&lt;=KMA_IDEAL_MAX,100,MAX(0,100*(KMA_CERO-AV69)/(KMA_CERO-KMA_IDEAL_MAX))))</f>
        <v/>
      </c>
      <c r="BP69" s="3">
        <f>MAX(0,MIN(100,100*(M69-ANIO_MIN)/(ANIO_ACTUAL-ANIO_MIN)))</f>
        <v/>
      </c>
      <c r="BQ69" s="3">
        <f>W_KMT*BN69+W_KMA*BO69+W_EDAD*BP69</f>
        <v/>
      </c>
      <c r="BR69" s="3">
        <f>P_ITV*(V69="sí")+P_LIBRO*(W69="sí")+P_CORREA*(X69="sí")+P_PROP*(Y69=1)+P_GAR*(Z69="sí")+P_FOTOS*MIN(1,N(U69)/FOTOS_OBJ)</f>
        <v/>
      </c>
      <c r="BS69" s="3">
        <f>IFERROR(VLOOKUP(BF69,ETQ_TBL,2,0),NEUTRO)</f>
        <v/>
      </c>
      <c r="BT69" s="3">
        <f>NEUTRO</f>
        <v/>
      </c>
      <c r="BU69" s="3">
        <f>IFERROR(VLOOKUP(L69,SEGURO_TBL,3,0),"")</f>
        <v/>
      </c>
      <c r="BV69" s="3">
        <f>IF(BU69="",NEUTRO,MAX(0,MIN(100,100*(SEG_REF_MAX-BU69)/(SEG_REF_MAX-SEG_REF_MIN))))</f>
        <v/>
      </c>
      <c r="BW69" s="3">
        <f>W_ET*BS69+W_CONS*BT69+W_SEG*BV69</f>
        <v/>
      </c>
      <c r="BX69" s="3">
        <f>IF(N(AB69)&gt;0,AB69,IF(AND(R69="profesional",SG_LEGAL_ON=1),GAR_LEGAL,0))</f>
        <v/>
      </c>
      <c r="BY69" s="3">
        <f>SG_GAR*MIN(1,BX69/SG_GAR_FULL)+SG_AMPL*(AC69="sí")+SG_KMC*(AF69="sí")+SG_REV*(N(AE69)&gt;0)+SG_DEV*MIN(1,N(AG69)/SG_DEV_FULL)+SG_HIST*(W69="sí")</f>
        <v/>
      </c>
      <c r="BZ69" s="3">
        <f>IFERROR(VLOOKUP(L69,CARR_PEN_TBL,2,0),0)</f>
        <v/>
      </c>
      <c r="CA69" s="3">
        <f>W_FIAB*BL69+W_PRECIO*BM69+W_KMEDAD*BQ69+W_ANUNCIO*BR69+W_USO*BW69+W_SEGURIDAD*BY69-BZ69</f>
        <v/>
      </c>
      <c r="CB69" s="4">
        <f>IF(N(I69)&gt;0,I69,IFERROR(ROUND(_xlfn.NUMBERVALUE(LEFT(G69,FIND(" ",G69&amp;" ")-1),".")*1000,0),99999))</f>
        <v/>
      </c>
      <c r="CC69" s="3">
        <f>IF(R69="profesional",0,IF(O69&lt;CUOTA_VALOR_MAX,IF(AU69&gt;ITP_TRAMO_ALTO,SUMIFS(CF_CUOTA,CF_MAS,ITP_TRAMO_ALTO,CF_CCMIN,"&lt;="&amp;CB69,CF_CCMAX,"&gt;="&amp;CB69),IF(AU69&gt;ITP_TRAMO_BAJO,SUMIFS(CF_CUOTA,CF_MAS,ITP_TRAMO_BAJO,CF_CCMIN,"&lt;="&amp;CB69,CF_CCMAX,"&gt;="&amp;CB69),O69*ITP_TIPO)),O69*ITP_TIPO))</f>
        <v/>
      </c>
      <c r="CD69" s="4">
        <f>IF(R69="profesional",N(AK69),0)</f>
        <v/>
      </c>
      <c r="CE69" s="3">
        <f>IF(AND(R69="profesional",ISNUMBER(AK69),AL69="sí"),0,TASA_DGT)</f>
        <v/>
      </c>
      <c r="CF69" s="3">
        <f>INFORME_DGT</f>
        <v/>
      </c>
      <c r="CG69" s="4">
        <f>O69+CD69+CC69+CE69+CF69</f>
        <v/>
      </c>
      <c r="CH69" s="4">
        <f>CG69+N(BU69)</f>
        <v/>
      </c>
      <c r="CI69" s="3">
        <f>IF(CG69&lt;=TOTAL_MAX,"sí",IF(CG69&lt;=TOTAL_MAX+MARGEN_NEG,"negociar","no"))</f>
        <v/>
      </c>
      <c r="CJ69" s="4">
        <f>IF(CI69&lt;&gt;"no",COUNTIFS($CI$2:$CI$662,"&lt;&gt;no",$CA$2:$CA$662,"&gt;"&amp;CA69)+COUNTIFS($CI$2:CI69,"&lt;&gt;no",$CA$2:CA69,CA69),"")</f>
        <v/>
      </c>
    </row>
    <row r="70">
      <c r="A70" s="2" t="inlineStr">
        <is>
          <t>wallapop:1296093081</t>
        </is>
      </c>
      <c r="B70" s="2" t="inlineStr">
        <is>
          <t>wallapop</t>
        </is>
      </c>
      <c r="C70" s="2" t="inlineStr">
        <is>
          <t>https://es.wallapop.com/item/ford-fiesta-2010-1296093081</t>
        </is>
      </c>
      <c r="D70" s="2" t="inlineStr">
        <is>
          <t>Ford Fiesta 2010</t>
        </is>
      </c>
      <c r="E70" s="2" t="inlineStr">
        <is>
          <t>Ford</t>
        </is>
      </c>
      <c r="F70" s="2" t="inlineStr">
        <is>
          <t>Ford Fiesta</t>
        </is>
      </c>
      <c r="G70" s="2" t="inlineStr">
        <is>
          <t>1.6 TDCi</t>
        </is>
      </c>
      <c r="H70" s="2" t="inlineStr">
        <is>
          <t>1.6 TDCi 90 Sport 3p</t>
        </is>
      </c>
      <c r="I70" s="2" t="n"/>
      <c r="J70" s="2" t="n">
        <v>90</v>
      </c>
      <c r="K70" s="2" t="inlineStr">
        <is>
          <t>diesel</t>
        </is>
      </c>
      <c r="L70" s="2" t="inlineStr">
        <is>
          <t>utilitario</t>
        </is>
      </c>
      <c r="M70" s="2" t="n">
        <v>2010</v>
      </c>
      <c r="N70" s="2" t="n">
        <v>199000</v>
      </c>
      <c r="O70" s="2" t="n">
        <v>3950</v>
      </c>
      <c r="P70" s="2" t="inlineStr">
        <is>
          <t>manual</t>
        </is>
      </c>
      <c r="Q70" s="2" t="inlineStr">
        <is>
          <t>no</t>
        </is>
      </c>
      <c r="R70" s="2" t="inlineStr">
        <is>
          <t>particular</t>
        </is>
      </c>
      <c r="S70" s="2" t="inlineStr">
        <is>
          <t>Valencia (46004)</t>
        </is>
      </c>
      <c r="T70" s="2" t="inlineStr">
        <is>
          <t>2026-10-30T13:43:22</t>
        </is>
      </c>
      <c r="U70" s="2" t="n">
        <v>8</v>
      </c>
      <c r="V70" s="2" t="n"/>
      <c r="W70" s="2" t="n"/>
      <c r="X70" s="2" t="n"/>
      <c r="Y70" s="2" t="n"/>
      <c r="Z70" s="2" t="n"/>
      <c r="AA70" s="2" t="n"/>
      <c r="AB70" s="2" t="n"/>
      <c r="AC70" s="2" t="n"/>
      <c r="AD70" s="2" t="n"/>
      <c r="AE70" s="2" t="n"/>
      <c r="AF70" s="2" t="n"/>
      <c r="AG70" s="2" t="n"/>
      <c r="AH70" s="2" t="n"/>
      <c r="AI70" s="2" t="n"/>
      <c r="AJ70" s="2" t="n"/>
      <c r="AK70" s="2" t="n"/>
      <c r="AL70" s="2" t="n"/>
      <c r="AM70" s="2" t="n">
        <v>1.2</v>
      </c>
      <c r="AN70" s="2" t="n">
        <v>4545</v>
      </c>
      <c r="AO70" s="2" t="n">
        <v>18</v>
      </c>
      <c r="AP70" s="2" t="inlineStr">
        <is>
          <t>modelo+año+km</t>
        </is>
      </c>
      <c r="AQ70" s="2" t="n"/>
      <c r="AR70" s="2" t="inlineStr">
        <is>
          <t>cuota fija ITP: &gt;12 años, 1.501-2.000 cc</t>
        </is>
      </c>
      <c r="AS70" s="2" t="inlineStr">
        <is>
          <t>Vendo Ford Fiesta 2010 importado de Bélgica.
Coche muy cuidado, de los que vienen de Bélgica, que allí están mucho mejor mantenidos que aquí, sin óxido y con mantenimientos al día.
IMPORTANTE: Hay que matricularlo en España. Lo he traído desde Bélgica y es belga, por lo que tiene documentación belga. Entrego toda la documentación original belga + factura de compra y COC para hacer el cambio de matrícula sin problema. Trámite sencillo.
Características:
•  Año: 2010
•  Motor: [ 1.6 diesel ]
•  Km: [ 199000 ]
•  Combustible: [ Diésel ]
•  Cambio manual
•  3 puertas
•  ITV: [  tiene ITV belga vigente ]
Equipamiento:
 cierre centralizado, elevalunas eléctricos, radio CD / AUX, control de velocidad, etc.
Coche ideal para diario, muy económico, gasta muy poco y va perfecto. Motor y caja van de lujo.
Se puede ver y probar en Valencia sin compromiso.
Precio negociable por el tema de la matriculación. No mareadores.
¡Escríbeme y te informo</t>
        </is>
      </c>
      <c r="AT70" s="2" t="inlineStr">
        <is>
          <t>https://es.wallapop.com/item/ford-fiesta-2010-1296093081 (__NEXT_DATA__ item) /home/user/Alopecia/buscador-coches/raw/wallapop/a846047a864a20ea.json</t>
        </is>
      </c>
      <c r="AU70" s="3">
        <f>MAX(ANIO_ACTUAL-M70,0)</f>
        <v/>
      </c>
      <c r="AV70" s="4">
        <f>N70/MAX(AU70,0.5)</f>
        <v/>
      </c>
      <c r="AW70" s="4">
        <f>F70</f>
        <v/>
      </c>
      <c r="AX70" s="3">
        <f>AW70&amp;"|"&amp;INT(M70/SEG_ANIO)*SEG_ANIO</f>
        <v/>
      </c>
      <c r="AY70" s="3">
        <f>AX70&amp;"|"&amp;INT(N70/SEG_KM)*SEG_KM</f>
        <v/>
      </c>
      <c r="AZ70" s="4">
        <f>COUNTIF($AW$2:$AW$662,AW70)</f>
        <v/>
      </c>
      <c r="BA70" s="4">
        <f>COUNTIF($AX$2:$AX$662,AX70)</f>
        <v/>
      </c>
      <c r="BB70" s="4">
        <f>COUNTIF($AY$2:$AY$662,AY70)</f>
        <v/>
      </c>
      <c r="BC70" s="3">
        <f t="array" ref="BC70">IF(N(AO70)&gt;=MIN_N,AN70,IF(BB70&gt;=MIN_N,MEDIAN(IF($AY$2:$AY$662=AY70,$O$2:$O$662)),IF(BA70&gt;=MIN_N,MEDIAN(IF($AX$2:$AX$662=AX70,$O$2:$O$662)),MEDIAN(IF($AW$2:$AW$662=AW70,$O$2:$O$662)))))</f>
        <v/>
      </c>
      <c r="BD70" s="3">
        <f>IF(N(AO70)&gt;=MIN_N,"mercado "&amp;AP70,IF(BB70&gt;=MIN_N,"modelo+año+km",IF(BA70&gt;=MIN_N,"modelo+año","modelo")))</f>
        <v/>
      </c>
      <c r="BE70" s="4">
        <f>(BC70-O70)/BC70</f>
        <v/>
      </c>
      <c r="BF70" s="3">
        <f>IF(OR(K70="hibrido",K70="glp"),"ECO",IF(K70="electrico","CERO",IF(K70="gasolina",IF(M70&gt;=GAS_C,"C",IF(M70&gt;=GAS_B,"B","A")),IF(K70="diesel",IF(M70&gt;=DIE_C,"C",IF(M70&gt;=DIE_B,"B","A")),""))))</f>
        <v/>
      </c>
      <c r="BG70" s="3">
        <f>IFERROR(VLOOKUP(F70,MOD_TBL,11,0),IFERROR(VLOOKUP(E70,OCU_TBL,2,0),NEUTRO))</f>
        <v/>
      </c>
      <c r="BH70" s="3">
        <f>SUMIFS(MOT_AJUSTE,MOT_MOTOR,G70,MOT_MARCA,E70,MOT_DESDE,"&lt;="&amp;M70,MOT_HASTA,"&gt;="&amp;M70)+SUMIFS(MOT_AJUSTE,MOT_MOTOR,G70,MOT_MARCA,"(todas)",MOT_DESDE,"&lt;="&amp;M70,MOT_HASTA,"&gt;="&amp;M70)</f>
        <v/>
      </c>
      <c r="BI70" s="3">
        <f>SUMIFS(COMB_AJUSTE,COMB_COMB,K70)</f>
        <v/>
      </c>
      <c r="BJ70" s="3">
        <f>COUNTIFS(MOT_MOTOR,G70,MOT_MARCA,E70,MOT_DESDE,"&lt;="&amp;M70,MOT_HASTA,"&gt;="&amp;M70)+COUNTIFS(MOT_MOTOR,G70,MOT_MARCA,"(todas)",MOT_DESDE,"&lt;="&amp;M70,MOT_HASTA,"&gt;="&amp;M70)</f>
        <v/>
      </c>
      <c r="BK70" s="3">
        <f>IF(AND(K70="diesel",BJ70=0),MIN(BG70,NEUTRO),BG70)</f>
        <v/>
      </c>
      <c r="BL70" s="4">
        <f>MAX(0,MIN(100,BK70+BH70+BI70))</f>
        <v/>
      </c>
      <c r="BM70" s="3">
        <f>MAX(0,MIN(100,50+BE70*PRECIO_PEND))</f>
        <v/>
      </c>
      <c r="BN70" s="3">
        <f>MAX(0,100*(1-N70/KM_MAX))</f>
        <v/>
      </c>
      <c r="BO70" s="3">
        <f>IF(AV70&lt;KMA_SOSP,IF(AA70="sí",100,KMA_PEN),IF(AV70&lt;=KMA_IDEAL_MAX,100,MAX(0,100*(KMA_CERO-AV70)/(KMA_CERO-KMA_IDEAL_MAX))))</f>
        <v/>
      </c>
      <c r="BP70" s="3">
        <f>MAX(0,MIN(100,100*(M70-ANIO_MIN)/(ANIO_ACTUAL-ANIO_MIN)))</f>
        <v/>
      </c>
      <c r="BQ70" s="3">
        <f>W_KMT*BN70+W_KMA*BO70+W_EDAD*BP70</f>
        <v/>
      </c>
      <c r="BR70" s="3">
        <f>P_ITV*(V70="sí")+P_LIBRO*(W70="sí")+P_CORREA*(X70="sí")+P_PROP*(Y70=1)+P_GAR*(Z70="sí")+P_FOTOS*MIN(1,N(U70)/FOTOS_OBJ)</f>
        <v/>
      </c>
      <c r="BS70" s="3">
        <f>IFERROR(VLOOKUP(BF70,ETQ_TBL,2,0),NEUTRO)</f>
        <v/>
      </c>
      <c r="BT70" s="3">
        <f>NEUTRO</f>
        <v/>
      </c>
      <c r="BU70" s="3">
        <f>IFERROR(VLOOKUP(L70,SEGURO_TBL,3,0),"")</f>
        <v/>
      </c>
      <c r="BV70" s="3">
        <f>IF(BU70="",NEUTRO,MAX(0,MIN(100,100*(SEG_REF_MAX-BU70)/(SEG_REF_MAX-SEG_REF_MIN))))</f>
        <v/>
      </c>
      <c r="BW70" s="3">
        <f>W_ET*BS70+W_CONS*BT70+W_SEG*BV70</f>
        <v/>
      </c>
      <c r="BX70" s="3">
        <f>IF(N(AB70)&gt;0,AB70,IF(AND(R70="profesional",SG_LEGAL_ON=1),GAR_LEGAL,0))</f>
        <v/>
      </c>
      <c r="BY70" s="3">
        <f>SG_GAR*MIN(1,BX70/SG_GAR_FULL)+SG_AMPL*(AC70="sí")+SG_KMC*(AF70="sí")+SG_REV*(N(AE70)&gt;0)+SG_DEV*MIN(1,N(AG70)/SG_DEV_FULL)+SG_HIST*(W70="sí")</f>
        <v/>
      </c>
      <c r="BZ70" s="3">
        <f>IFERROR(VLOOKUP(L70,CARR_PEN_TBL,2,0),0)</f>
        <v/>
      </c>
      <c r="CA70" s="3">
        <f>W_FIAB*BL70+W_PRECIO*BM70+W_KMEDAD*BQ70+W_ANUNCIO*BR70+W_USO*BW70+W_SEGURIDAD*BY70-BZ70</f>
        <v/>
      </c>
      <c r="CB70" s="4">
        <f>IF(N(I70)&gt;0,I70,IFERROR(ROUND(_xlfn.NUMBERVALUE(LEFT(G70,FIND(" ",G70&amp;" ")-1),".")*1000,0),99999))</f>
        <v/>
      </c>
      <c r="CC70" s="3">
        <f>IF(R70="profesional",0,IF(O70&lt;CUOTA_VALOR_MAX,IF(AU70&gt;ITP_TRAMO_ALTO,SUMIFS(CF_CUOTA,CF_MAS,ITP_TRAMO_ALTO,CF_CCMIN,"&lt;="&amp;CB70,CF_CCMAX,"&gt;="&amp;CB70),IF(AU70&gt;ITP_TRAMO_BAJO,SUMIFS(CF_CUOTA,CF_MAS,ITP_TRAMO_BAJO,CF_CCMIN,"&lt;="&amp;CB70,CF_CCMAX,"&gt;="&amp;CB70),O70*ITP_TIPO)),O70*ITP_TIPO))</f>
        <v/>
      </c>
      <c r="CD70" s="4">
        <f>IF(R70="profesional",N(AK70),0)</f>
        <v/>
      </c>
      <c r="CE70" s="3">
        <f>IF(AND(R70="profesional",ISNUMBER(AK70),AL70="sí"),0,TASA_DGT)</f>
        <v/>
      </c>
      <c r="CF70" s="3">
        <f>INFORME_DGT</f>
        <v/>
      </c>
      <c r="CG70" s="4">
        <f>O70+CD70+CC70+CE70+CF70</f>
        <v/>
      </c>
      <c r="CH70" s="4">
        <f>CG70+N(BU70)</f>
        <v/>
      </c>
      <c r="CI70" s="3">
        <f>IF(CG70&lt;=TOTAL_MAX,"sí",IF(CG70&lt;=TOTAL_MAX+MARGEN_NEG,"negociar","no"))</f>
        <v/>
      </c>
      <c r="CJ70" s="4">
        <f>IF(CI70&lt;&gt;"no",COUNTIFS($CI$2:$CI$662,"&lt;&gt;no",$CA$2:$CA$662,"&gt;"&amp;CA70)+COUNTIFS($CI$2:CI70,"&lt;&gt;no",$CA$2:CA70,CA70),"")</f>
        <v/>
      </c>
    </row>
    <row r="71">
      <c r="A71" s="2" t="inlineStr">
        <is>
          <t>wallapop:1318724177</t>
        </is>
      </c>
      <c r="B71" s="2" t="inlineStr">
        <is>
          <t>wallapop</t>
        </is>
      </c>
      <c r="C71" s="2" t="inlineStr">
        <is>
          <t>https://es.wallapop.com/item/ford-focus-2010-1318724177</t>
        </is>
      </c>
      <c r="D71" s="2" t="inlineStr">
        <is>
          <t>Ford Focus 2010</t>
        </is>
      </c>
      <c r="E71" s="2" t="inlineStr">
        <is>
          <t>Ford</t>
        </is>
      </c>
      <c r="F71" s="2" t="inlineStr">
        <is>
          <t>Ford Focus</t>
        </is>
      </c>
      <c r="G71" s="2" t="inlineStr">
        <is>
          <t>1.6 TDCi</t>
        </is>
      </c>
      <c r="H71" s="2" t="inlineStr">
        <is>
          <t>1.6 TDCi 109 Titanium 5p</t>
        </is>
      </c>
      <c r="I71" s="2" t="n"/>
      <c r="J71" s="2" t="n">
        <v>109</v>
      </c>
      <c r="K71" s="2" t="inlineStr">
        <is>
          <t>diesel</t>
        </is>
      </c>
      <c r="L71" s="2" t="inlineStr">
        <is>
          <t>compacto</t>
        </is>
      </c>
      <c r="M71" s="2" t="n">
        <v>2010</v>
      </c>
      <c r="N71" s="2" t="n">
        <v>139000</v>
      </c>
      <c r="O71" s="2" t="n">
        <v>4000</v>
      </c>
      <c r="P71" s="2" t="inlineStr">
        <is>
          <t>manual</t>
        </is>
      </c>
      <c r="Q71" s="2" t="inlineStr">
        <is>
          <t>no</t>
        </is>
      </c>
      <c r="R71" s="2" t="inlineStr">
        <is>
          <t>particular</t>
        </is>
      </c>
      <c r="S71" s="2" t="inlineStr">
        <is>
          <t>Valencia (46008)</t>
        </is>
      </c>
      <c r="T71" s="2" t="inlineStr">
        <is>
          <t>2026-10-30T10:50:37</t>
        </is>
      </c>
      <c r="U71" s="2" t="n">
        <v>6</v>
      </c>
      <c r="V71" s="2" t="inlineStr">
        <is>
          <t>sí</t>
        </is>
      </c>
      <c r="W71" s="2" t="n"/>
      <c r="X71" s="2" t="n"/>
      <c r="Y71" s="2" t="n"/>
      <c r="Z71" s="2" t="n"/>
      <c r="AA71" s="2" t="n"/>
      <c r="AB71" s="2" t="n"/>
      <c r="AC71" s="2" t="n"/>
      <c r="AD71" s="2" t="n"/>
      <c r="AE71" s="2" t="n"/>
      <c r="AF71" s="2" t="n"/>
      <c r="AG71" s="2" t="n"/>
      <c r="AH71" s="2" t="n"/>
      <c r="AI71" s="2" t="n"/>
      <c r="AJ71" s="2" t="n"/>
      <c r="AK71" s="2" t="n"/>
      <c r="AL71" s="2" t="n"/>
      <c r="AM71" s="2" t="n">
        <v>1.4</v>
      </c>
      <c r="AN71" s="2" t="n">
        <v>4500</v>
      </c>
      <c r="AO71" s="2" t="n">
        <v>27</v>
      </c>
      <c r="AP71" s="2" t="inlineStr">
        <is>
          <t>modelo+año</t>
        </is>
      </c>
      <c r="AQ71" s="2" t="n"/>
      <c r="AR71" s="2" t="inlineStr">
        <is>
          <t>cuota fija ITP: &gt;12 años, 1.501-2.000 cc</t>
        </is>
      </c>
      <c r="AS71" s="2" t="inlineStr">
        <is>
          <t>Ford Focus 1.6 TDCi Diésel – 2010 – 139.000 km – 4.000 €
Vendo Ford Focus 1.6 TDCi diésel del año 2010, con 130.000 km.
* Motor diésel 1.6 TDCi.
* ITV en vigor hasta diciembre.
* Buen funcionamiento general.
* Tiene algún pequeño detalle estético propio de los años y del uso.
* Coche cómodo y práctico para el día a día.
Se vende por cambio a un vehículo nuevo (0 km).
Se puede ver y probar.</t>
        </is>
      </c>
      <c r="AT71" s="2" t="inlineStr">
        <is>
          <t>https://es.wallapop.com/item/ford-focus-2010-1318724177 (__NEXT_DATA__ item) /home/user/Alopecia/buscador-coches/raw/wallapop/8deff2989f1ddd85.json</t>
        </is>
      </c>
      <c r="AU71" s="3">
        <f>MAX(ANIO_ACTUAL-M71,0)</f>
        <v/>
      </c>
      <c r="AV71" s="4">
        <f>N71/MAX(AU71,0.5)</f>
        <v/>
      </c>
      <c r="AW71" s="4">
        <f>F71</f>
        <v/>
      </c>
      <c r="AX71" s="3">
        <f>AW71&amp;"|"&amp;INT(M71/SEG_ANIO)*SEG_ANIO</f>
        <v/>
      </c>
      <c r="AY71" s="3">
        <f>AX71&amp;"|"&amp;INT(N71/SEG_KM)*SEG_KM</f>
        <v/>
      </c>
      <c r="AZ71" s="4">
        <f>COUNTIF($AW$2:$AW$662,AW71)</f>
        <v/>
      </c>
      <c r="BA71" s="4">
        <f>COUNTIF($AX$2:$AX$662,AX71)</f>
        <v/>
      </c>
      <c r="BB71" s="4">
        <f>COUNTIF($AY$2:$AY$662,AY71)</f>
        <v/>
      </c>
      <c r="BC71" s="3">
        <f t="array" ref="BC71">IF(N(AO71)&gt;=MIN_N,AN71,IF(BB71&gt;=MIN_N,MEDIAN(IF($AY$2:$AY$662=AY71,$O$2:$O$662)),IF(BA71&gt;=MIN_N,MEDIAN(IF($AX$2:$AX$662=AX71,$O$2:$O$662)),MEDIAN(IF($AW$2:$AW$662=AW71,$O$2:$O$662)))))</f>
        <v/>
      </c>
      <c r="BD71" s="3">
        <f>IF(N(AO71)&gt;=MIN_N,"mercado "&amp;AP71,IF(BB71&gt;=MIN_N,"modelo+año+km",IF(BA71&gt;=MIN_N,"modelo+año","modelo")))</f>
        <v/>
      </c>
      <c r="BE71" s="4">
        <f>(BC71-O71)/BC71</f>
        <v/>
      </c>
      <c r="BF71" s="3">
        <f>IF(OR(K71="hibrido",K71="glp"),"ECO",IF(K71="electrico","CERO",IF(K71="gasolina",IF(M71&gt;=GAS_C,"C",IF(M71&gt;=GAS_B,"B","A")),IF(K71="diesel",IF(M71&gt;=DIE_C,"C",IF(M71&gt;=DIE_B,"B","A")),""))))</f>
        <v/>
      </c>
      <c r="BG71" s="3">
        <f>IFERROR(VLOOKUP(F71,MOD_TBL,11,0),IFERROR(VLOOKUP(E71,OCU_TBL,2,0),NEUTRO))</f>
        <v/>
      </c>
      <c r="BH71" s="3">
        <f>SUMIFS(MOT_AJUSTE,MOT_MOTOR,G71,MOT_MARCA,E71,MOT_DESDE,"&lt;="&amp;M71,MOT_HASTA,"&gt;="&amp;M71)+SUMIFS(MOT_AJUSTE,MOT_MOTOR,G71,MOT_MARCA,"(todas)",MOT_DESDE,"&lt;="&amp;M71,MOT_HASTA,"&gt;="&amp;M71)</f>
        <v/>
      </c>
      <c r="BI71" s="3">
        <f>SUMIFS(COMB_AJUSTE,COMB_COMB,K71)</f>
        <v/>
      </c>
      <c r="BJ71" s="3">
        <f>COUNTIFS(MOT_MOTOR,G71,MOT_MARCA,E71,MOT_DESDE,"&lt;="&amp;M71,MOT_HASTA,"&gt;="&amp;M71)+COUNTIFS(MOT_MOTOR,G71,MOT_MARCA,"(todas)",MOT_DESDE,"&lt;="&amp;M71,MOT_HASTA,"&gt;="&amp;M71)</f>
        <v/>
      </c>
      <c r="BK71" s="3">
        <f>IF(AND(K71="diesel",BJ71=0),MIN(BG71,NEUTRO),BG71)</f>
        <v/>
      </c>
      <c r="BL71" s="4">
        <f>MAX(0,MIN(100,BK71+BH71+BI71))</f>
        <v/>
      </c>
      <c r="BM71" s="3">
        <f>MAX(0,MIN(100,50+BE71*PRECIO_PEND))</f>
        <v/>
      </c>
      <c r="BN71" s="3">
        <f>MAX(0,100*(1-N71/KM_MAX))</f>
        <v/>
      </c>
      <c r="BO71" s="3">
        <f>IF(AV71&lt;KMA_SOSP,IF(AA71="sí",100,KMA_PEN),IF(AV71&lt;=KMA_IDEAL_MAX,100,MAX(0,100*(KMA_CERO-AV71)/(KMA_CERO-KMA_IDEAL_MAX))))</f>
        <v/>
      </c>
      <c r="BP71" s="3">
        <f>MAX(0,MIN(100,100*(M71-ANIO_MIN)/(ANIO_ACTUAL-ANIO_MIN)))</f>
        <v/>
      </c>
      <c r="BQ71" s="3">
        <f>W_KMT*BN71+W_KMA*BO71+W_EDAD*BP71</f>
        <v/>
      </c>
      <c r="BR71" s="3">
        <f>P_ITV*(V71="sí")+P_LIBRO*(W71="sí")+P_CORREA*(X71="sí")+P_PROP*(Y71=1)+P_GAR*(Z71="sí")+P_FOTOS*MIN(1,N(U71)/FOTOS_OBJ)</f>
        <v/>
      </c>
      <c r="BS71" s="3">
        <f>IFERROR(VLOOKUP(BF71,ETQ_TBL,2,0),NEUTRO)</f>
        <v/>
      </c>
      <c r="BT71" s="3">
        <f>NEUTRO</f>
        <v/>
      </c>
      <c r="BU71" s="3">
        <f>IFERROR(VLOOKUP(L71,SEGURO_TBL,3,0),"")</f>
        <v/>
      </c>
      <c r="BV71" s="3">
        <f>IF(BU71="",NEUTRO,MAX(0,MIN(100,100*(SEG_REF_MAX-BU71)/(SEG_REF_MAX-SEG_REF_MIN))))</f>
        <v/>
      </c>
      <c r="BW71" s="3">
        <f>W_ET*BS71+W_CONS*BT71+W_SEG*BV71</f>
        <v/>
      </c>
      <c r="BX71" s="3">
        <f>IF(N(AB71)&gt;0,AB71,IF(AND(R71="profesional",SG_LEGAL_ON=1),GAR_LEGAL,0))</f>
        <v/>
      </c>
      <c r="BY71" s="3">
        <f>SG_GAR*MIN(1,BX71/SG_GAR_FULL)+SG_AMPL*(AC71="sí")+SG_KMC*(AF71="sí")+SG_REV*(N(AE71)&gt;0)+SG_DEV*MIN(1,N(AG71)/SG_DEV_FULL)+SG_HIST*(W71="sí")</f>
        <v/>
      </c>
      <c r="BZ71" s="3">
        <f>IFERROR(VLOOKUP(L71,CARR_PEN_TBL,2,0),0)</f>
        <v/>
      </c>
      <c r="CA71" s="3">
        <f>W_FIAB*BL71+W_PRECIO*BM71+W_KMEDAD*BQ71+W_ANUNCIO*BR71+W_USO*BW71+W_SEGURIDAD*BY71-BZ71</f>
        <v/>
      </c>
      <c r="CB71" s="4">
        <f>IF(N(I71)&gt;0,I71,IFERROR(ROUND(_xlfn.NUMBERVALUE(LEFT(G71,FIND(" ",G71&amp;" ")-1),".")*1000,0),99999))</f>
        <v/>
      </c>
      <c r="CC71" s="3">
        <f>IF(R71="profesional",0,IF(O71&lt;CUOTA_VALOR_MAX,IF(AU71&gt;ITP_TRAMO_ALTO,SUMIFS(CF_CUOTA,CF_MAS,ITP_TRAMO_ALTO,CF_CCMIN,"&lt;="&amp;CB71,CF_CCMAX,"&gt;="&amp;CB71),IF(AU71&gt;ITP_TRAMO_BAJO,SUMIFS(CF_CUOTA,CF_MAS,ITP_TRAMO_BAJO,CF_CCMIN,"&lt;="&amp;CB71,CF_CCMAX,"&gt;="&amp;CB71),O71*ITP_TIPO)),O71*ITP_TIPO))</f>
        <v/>
      </c>
      <c r="CD71" s="4">
        <f>IF(R71="profesional",N(AK71),0)</f>
        <v/>
      </c>
      <c r="CE71" s="3">
        <f>IF(AND(R71="profesional",ISNUMBER(AK71),AL71="sí"),0,TASA_DGT)</f>
        <v/>
      </c>
      <c r="CF71" s="3">
        <f>INFORME_DGT</f>
        <v/>
      </c>
      <c r="CG71" s="4">
        <f>O71+CD71+CC71+CE71+CF71</f>
        <v/>
      </c>
      <c r="CH71" s="4">
        <f>CG71+N(BU71)</f>
        <v/>
      </c>
      <c r="CI71" s="3">
        <f>IF(CG71&lt;=TOTAL_MAX,"sí",IF(CG71&lt;=TOTAL_MAX+MARGEN_NEG,"negociar","no"))</f>
        <v/>
      </c>
      <c r="CJ71" s="4">
        <f>IF(CI71&lt;&gt;"no",COUNTIFS($CI$2:$CI$662,"&lt;&gt;no",$CA$2:$CA$662,"&gt;"&amp;CA71)+COUNTIFS($CI$2:CI71,"&lt;&gt;no",$CA$2:CA71,CA71),"")</f>
        <v/>
      </c>
    </row>
    <row r="72">
      <c r="A72" s="2" t="inlineStr">
        <is>
          <t>wallapop:1318150262</t>
        </is>
      </c>
      <c r="B72" s="2" t="inlineStr">
        <is>
          <t>wallapop</t>
        </is>
      </c>
      <c r="C72" s="2" t="inlineStr">
        <is>
          <t>https://es.wallapop.com/item/ford-focus-1-8tdci-impoluto-1318150262</t>
        </is>
      </c>
      <c r="D72" s="2" t="inlineStr">
        <is>
          <t>Ford Focus 1.8tdci IMPOLUTO</t>
        </is>
      </c>
      <c r="E72" s="2" t="inlineStr">
        <is>
          <t>Ford</t>
        </is>
      </c>
      <c r="F72" s="2" t="inlineStr">
        <is>
          <t>Ford Focus</t>
        </is>
      </c>
      <c r="G72" s="2" t="inlineStr">
        <is>
          <t>1.8 TDCi</t>
        </is>
      </c>
      <c r="H72" s="2" t="inlineStr">
        <is>
          <t>1.8 TDCi 115 Trend 5p</t>
        </is>
      </c>
      <c r="I72" s="2" t="n"/>
      <c r="J72" s="2" t="n">
        <v>115</v>
      </c>
      <c r="K72" s="2" t="inlineStr">
        <is>
          <t>diesel</t>
        </is>
      </c>
      <c r="L72" s="2" t="inlineStr">
        <is>
          <t>compacto</t>
        </is>
      </c>
      <c r="M72" s="2" t="n">
        <v>2008</v>
      </c>
      <c r="N72" s="2" t="n">
        <v>150000</v>
      </c>
      <c r="O72" s="2" t="n">
        <v>3550</v>
      </c>
      <c r="P72" s="2" t="inlineStr">
        <is>
          <t>manual</t>
        </is>
      </c>
      <c r="Q72" s="2" t="inlineStr">
        <is>
          <t>no</t>
        </is>
      </c>
      <c r="R72" s="2" t="inlineStr">
        <is>
          <t>particular</t>
        </is>
      </c>
      <c r="S72" s="2" t="inlineStr">
        <is>
          <t>Valencia (46009)</t>
        </is>
      </c>
      <c r="T72" s="2" t="inlineStr">
        <is>
          <t>2026-10-28T15:14:16</t>
        </is>
      </c>
      <c r="U72" s="2" t="n">
        <v>10</v>
      </c>
      <c r="V72" s="2" t="inlineStr">
        <is>
          <t>sí</t>
        </is>
      </c>
      <c r="W72" s="2" t="n"/>
      <c r="X72" s="2" t="n"/>
      <c r="Y72" s="2" t="n"/>
      <c r="Z72" s="2" t="n"/>
      <c r="AA72" s="2" t="inlineStr">
        <is>
          <t>sí</t>
        </is>
      </c>
      <c r="AB72" s="2" t="n"/>
      <c r="AC72" s="2" t="n"/>
      <c r="AD72" s="2" t="n"/>
      <c r="AE72" s="2" t="n"/>
      <c r="AF72" s="2" t="n"/>
      <c r="AG72" s="2" t="n"/>
      <c r="AH72" s="2" t="n"/>
      <c r="AI72" s="2" t="n"/>
      <c r="AJ72" s="2" t="n"/>
      <c r="AK72" s="2" t="n"/>
      <c r="AL72" s="2" t="n"/>
      <c r="AM72" s="2" t="n">
        <v>1.9</v>
      </c>
      <c r="AN72" s="2" t="n">
        <v>3870</v>
      </c>
      <c r="AO72" s="2" t="n">
        <v>10</v>
      </c>
      <c r="AP72" s="2" t="inlineStr">
        <is>
          <t>modelo+año+km</t>
        </is>
      </c>
      <c r="AQ72" s="2" t="n"/>
      <c r="AR72" s="2" t="inlineStr">
        <is>
          <t>cuota fija ITP: &gt;12 años, 1.501-2.000 cc; diésel: motor sin fuente de fiabilidad (fiabilidad limitada a neutra)</t>
        </is>
      </c>
      <c r="AS72" s="2" t="inlineStr">
        <is>
          <t>Vehiculo recien revisado 
ITV AL DIA 
 TAN SOLO 150000km CERTIFICADOS
 RECIENPINTADO ENTERO HACE UN MES POR CAPRICHO 
 INTERIOR EN PERFECTO ESTADO
UNIDAD MUY CUIDADA</t>
        </is>
      </c>
      <c r="AT72" s="2" t="inlineStr">
        <is>
          <t>https://es.wallapop.com/item/ford-focus-1-8tdci-impoluto-1318150262 (__NEXT_DATA__ item) /home/user/Alopecia/buscador-coches/raw/wallapop/1918a09099f384e3.json</t>
        </is>
      </c>
      <c r="AU72" s="3">
        <f>MAX(ANIO_ACTUAL-M72,0)</f>
        <v/>
      </c>
      <c r="AV72" s="4">
        <f>N72/MAX(AU72,0.5)</f>
        <v/>
      </c>
      <c r="AW72" s="4">
        <f>F72</f>
        <v/>
      </c>
      <c r="AX72" s="3">
        <f>AW72&amp;"|"&amp;INT(M72/SEG_ANIO)*SEG_ANIO</f>
        <v/>
      </c>
      <c r="AY72" s="3">
        <f>AX72&amp;"|"&amp;INT(N72/SEG_KM)*SEG_KM</f>
        <v/>
      </c>
      <c r="AZ72" s="4">
        <f>COUNTIF($AW$2:$AW$662,AW72)</f>
        <v/>
      </c>
      <c r="BA72" s="4">
        <f>COUNTIF($AX$2:$AX$662,AX72)</f>
        <v/>
      </c>
      <c r="BB72" s="4">
        <f>COUNTIF($AY$2:$AY$662,AY72)</f>
        <v/>
      </c>
      <c r="BC72" s="3">
        <f t="array" ref="BC72">IF(N(AO72)&gt;=MIN_N,AN72,IF(BB72&gt;=MIN_N,MEDIAN(IF($AY$2:$AY$662=AY72,$O$2:$O$662)),IF(BA72&gt;=MIN_N,MEDIAN(IF($AX$2:$AX$662=AX72,$O$2:$O$662)),MEDIAN(IF($AW$2:$AW$662=AW72,$O$2:$O$662)))))</f>
        <v/>
      </c>
      <c r="BD72" s="3">
        <f>IF(N(AO72)&gt;=MIN_N,"mercado "&amp;AP72,IF(BB72&gt;=MIN_N,"modelo+año+km",IF(BA72&gt;=MIN_N,"modelo+año","modelo")))</f>
        <v/>
      </c>
      <c r="BE72" s="4">
        <f>(BC72-O72)/BC72</f>
        <v/>
      </c>
      <c r="BF72" s="3">
        <f>IF(OR(K72="hibrido",K72="glp"),"ECO",IF(K72="electrico","CERO",IF(K72="gasolina",IF(M72&gt;=GAS_C,"C",IF(M72&gt;=GAS_B,"B","A")),IF(K72="diesel",IF(M72&gt;=DIE_C,"C",IF(M72&gt;=DIE_B,"B","A")),""))))</f>
        <v/>
      </c>
      <c r="BG72" s="3">
        <f>IFERROR(VLOOKUP(F72,MOD_TBL,11,0),IFERROR(VLOOKUP(E72,OCU_TBL,2,0),NEUTRO))</f>
        <v/>
      </c>
      <c r="BH72" s="3">
        <f>SUMIFS(MOT_AJUSTE,MOT_MOTOR,G72,MOT_MARCA,E72,MOT_DESDE,"&lt;="&amp;M72,MOT_HASTA,"&gt;="&amp;M72)+SUMIFS(MOT_AJUSTE,MOT_MOTOR,G72,MOT_MARCA,"(todas)",MOT_DESDE,"&lt;="&amp;M72,MOT_HASTA,"&gt;="&amp;M72)</f>
        <v/>
      </c>
      <c r="BI72" s="3">
        <f>SUMIFS(COMB_AJUSTE,COMB_COMB,K72)</f>
        <v/>
      </c>
      <c r="BJ72" s="3">
        <f>COUNTIFS(MOT_MOTOR,G72,MOT_MARCA,E72,MOT_DESDE,"&lt;="&amp;M72,MOT_HASTA,"&gt;="&amp;M72)+COUNTIFS(MOT_MOTOR,G72,MOT_MARCA,"(todas)",MOT_DESDE,"&lt;="&amp;M72,MOT_HASTA,"&gt;="&amp;M72)</f>
        <v/>
      </c>
      <c r="BK72" s="3">
        <f>IF(AND(K72="diesel",BJ72=0),MIN(BG72,NEUTRO),BG72)</f>
        <v/>
      </c>
      <c r="BL72" s="4">
        <f>MAX(0,MIN(100,BK72+BH72+BI72))</f>
        <v/>
      </c>
      <c r="BM72" s="3">
        <f>MAX(0,MIN(100,50+BE72*PRECIO_PEND))</f>
        <v/>
      </c>
      <c r="BN72" s="3">
        <f>MAX(0,100*(1-N72/KM_MAX))</f>
        <v/>
      </c>
      <c r="BO72" s="3">
        <f>IF(AV72&lt;KMA_SOSP,IF(AA72="sí",100,KMA_PEN),IF(AV72&lt;=KMA_IDEAL_MAX,100,MAX(0,100*(KMA_CERO-AV72)/(KMA_CERO-KMA_IDEAL_MAX))))</f>
        <v/>
      </c>
      <c r="BP72" s="3">
        <f>MAX(0,MIN(100,100*(M72-ANIO_MIN)/(ANIO_ACTUAL-ANIO_MIN)))</f>
        <v/>
      </c>
      <c r="BQ72" s="3">
        <f>W_KMT*BN72+W_KMA*BO72+W_EDAD*BP72</f>
        <v/>
      </c>
      <c r="BR72" s="3">
        <f>P_ITV*(V72="sí")+P_LIBRO*(W72="sí")+P_CORREA*(X72="sí")+P_PROP*(Y72=1)+P_GAR*(Z72="sí")+P_FOTOS*MIN(1,N(U72)/FOTOS_OBJ)</f>
        <v/>
      </c>
      <c r="BS72" s="3">
        <f>IFERROR(VLOOKUP(BF72,ETQ_TBL,2,0),NEUTRO)</f>
        <v/>
      </c>
      <c r="BT72" s="3">
        <f>NEUTRO</f>
        <v/>
      </c>
      <c r="BU72" s="3">
        <f>IFERROR(VLOOKUP(L72,SEGURO_TBL,3,0),"")</f>
        <v/>
      </c>
      <c r="BV72" s="3">
        <f>IF(BU72="",NEUTRO,MAX(0,MIN(100,100*(SEG_REF_MAX-BU72)/(SEG_REF_MAX-SEG_REF_MIN))))</f>
        <v/>
      </c>
      <c r="BW72" s="3">
        <f>W_ET*BS72+W_CONS*BT72+W_SEG*BV72</f>
        <v/>
      </c>
      <c r="BX72" s="3">
        <f>IF(N(AB72)&gt;0,AB72,IF(AND(R72="profesional",SG_LEGAL_ON=1),GAR_LEGAL,0))</f>
        <v/>
      </c>
      <c r="BY72" s="3">
        <f>SG_GAR*MIN(1,BX72/SG_GAR_FULL)+SG_AMPL*(AC72="sí")+SG_KMC*(AF72="sí")+SG_REV*(N(AE72)&gt;0)+SG_DEV*MIN(1,N(AG72)/SG_DEV_FULL)+SG_HIST*(W72="sí")</f>
        <v/>
      </c>
      <c r="BZ72" s="3">
        <f>IFERROR(VLOOKUP(L72,CARR_PEN_TBL,2,0),0)</f>
        <v/>
      </c>
      <c r="CA72" s="3">
        <f>W_FIAB*BL72+W_PRECIO*BM72+W_KMEDAD*BQ72+W_ANUNCIO*BR72+W_USO*BW72+W_SEGURIDAD*BY72-BZ72</f>
        <v/>
      </c>
      <c r="CB72" s="4">
        <f>IF(N(I72)&gt;0,I72,IFERROR(ROUND(_xlfn.NUMBERVALUE(LEFT(G72,FIND(" ",G72&amp;" ")-1),".")*1000,0),99999))</f>
        <v/>
      </c>
      <c r="CC72" s="3">
        <f>IF(R72="profesional",0,IF(O72&lt;CUOTA_VALOR_MAX,IF(AU72&gt;ITP_TRAMO_ALTO,SUMIFS(CF_CUOTA,CF_MAS,ITP_TRAMO_ALTO,CF_CCMIN,"&lt;="&amp;CB72,CF_CCMAX,"&gt;="&amp;CB72),IF(AU72&gt;ITP_TRAMO_BAJO,SUMIFS(CF_CUOTA,CF_MAS,ITP_TRAMO_BAJO,CF_CCMIN,"&lt;="&amp;CB72,CF_CCMAX,"&gt;="&amp;CB72),O72*ITP_TIPO)),O72*ITP_TIPO))</f>
        <v/>
      </c>
      <c r="CD72" s="4">
        <f>IF(R72="profesional",N(AK72),0)</f>
        <v/>
      </c>
      <c r="CE72" s="3">
        <f>IF(AND(R72="profesional",ISNUMBER(AK72),AL72="sí"),0,TASA_DGT)</f>
        <v/>
      </c>
      <c r="CF72" s="3">
        <f>INFORME_DGT</f>
        <v/>
      </c>
      <c r="CG72" s="4">
        <f>O72+CD72+CC72+CE72+CF72</f>
        <v/>
      </c>
      <c r="CH72" s="4">
        <f>CG72+N(BU72)</f>
        <v/>
      </c>
      <c r="CI72" s="3">
        <f>IF(CG72&lt;=TOTAL_MAX,"sí",IF(CG72&lt;=TOTAL_MAX+MARGEN_NEG,"negociar","no"))</f>
        <v/>
      </c>
      <c r="CJ72" s="4">
        <f>IF(CI72&lt;&gt;"no",COUNTIFS($CI$2:$CI$662,"&lt;&gt;no",$CA$2:$CA$662,"&gt;"&amp;CA72)+COUNTIFS($CI$2:CI72,"&lt;&gt;no",$CA$2:CA72,CA72),"")</f>
        <v/>
      </c>
    </row>
    <row r="73">
      <c r="A73" s="2" t="inlineStr">
        <is>
          <t>wallapop:1316341857</t>
        </is>
      </c>
      <c r="B73" s="2" t="inlineStr">
        <is>
          <t>wallapop</t>
        </is>
      </c>
      <c r="C73" s="2" t="inlineStr">
        <is>
          <t>https://es.wallapop.com/item/ford-focus-2008-diesel-1316341857</t>
        </is>
      </c>
      <c r="D73" s="2" t="inlineStr">
        <is>
          <t>Ford Focus 2008 Diesel</t>
        </is>
      </c>
      <c r="E73" s="2" t="inlineStr">
        <is>
          <t>Ford</t>
        </is>
      </c>
      <c r="F73" s="2" t="inlineStr">
        <is>
          <t>Ford Focus</t>
        </is>
      </c>
      <c r="G73" s="2" t="inlineStr">
        <is>
          <t>1.6 TDCi</t>
        </is>
      </c>
      <c r="H73" s="2" t="inlineStr">
        <is>
          <t>1.6 TDCi 90 Trend 5p</t>
        </is>
      </c>
      <c r="I73" s="2" t="n"/>
      <c r="J73" s="2" t="n">
        <v>90</v>
      </c>
      <c r="K73" s="2" t="inlineStr">
        <is>
          <t>diesel</t>
        </is>
      </c>
      <c r="L73" s="2" t="inlineStr">
        <is>
          <t>compacto</t>
        </is>
      </c>
      <c r="M73" s="2" t="n">
        <v>2008</v>
      </c>
      <c r="N73" s="2" t="n">
        <v>212000</v>
      </c>
      <c r="O73" s="2" t="n">
        <v>3600</v>
      </c>
      <c r="P73" s="2" t="inlineStr">
        <is>
          <t>manual</t>
        </is>
      </c>
      <c r="Q73" s="2" t="inlineStr">
        <is>
          <t>no</t>
        </is>
      </c>
      <c r="R73" s="2" t="inlineStr">
        <is>
          <t>particular</t>
        </is>
      </c>
      <c r="S73" s="2" t="inlineStr">
        <is>
          <t>Valencia (46002)</t>
        </is>
      </c>
      <c r="T73" s="2" t="inlineStr">
        <is>
          <t>2026-10-25T21:03:22</t>
        </is>
      </c>
      <c r="U73" s="2" t="n">
        <v>9</v>
      </c>
      <c r="V73" s="2" t="n"/>
      <c r="W73" s="2" t="n"/>
      <c r="X73" s="2" t="n"/>
      <c r="Y73" s="2" t="n"/>
      <c r="Z73" s="2" t="n"/>
      <c r="AA73" s="2" t="n"/>
      <c r="AB73" s="2" t="n"/>
      <c r="AC73" s="2" t="n"/>
      <c r="AD73" s="2" t="n"/>
      <c r="AE73" s="2" t="n"/>
      <c r="AF73" s="2" t="n"/>
      <c r="AG73" s="2" t="n"/>
      <c r="AH73" s="2" t="n"/>
      <c r="AI73" s="2" t="n"/>
      <c r="AJ73" s="2" t="n"/>
      <c r="AK73" s="2" t="n"/>
      <c r="AL73" s="2" t="n"/>
      <c r="AM73" s="2" t="n">
        <v>0.6</v>
      </c>
      <c r="AN73" s="2" t="n">
        <v>3500</v>
      </c>
      <c r="AO73" s="2" t="n">
        <v>12</v>
      </c>
      <c r="AP73" s="2" t="inlineStr">
        <is>
          <t>modelo+año+km</t>
        </is>
      </c>
      <c r="AQ73" s="2" t="n"/>
      <c r="AR73" s="2" t="inlineStr">
        <is>
          <t>cuota fija ITP: &gt;12 años, 1.501-2.000 cc</t>
        </is>
      </c>
      <c r="AS73" s="2" t="inlineStr">
        <is>
          <t>Ford Focus Diésel en excelente estado. iTV vigente, aprobada en agosto. Coche muy confiable y confortable , muy bien mantenido y de bajo consumo de combustible, 5 litros/100km aproximadamente. Cambio de aceite y filtros recién realizados. Cubiertas en muy buen estado. Aire acondicionado, elevalunas, espejos retrovisores eléctricos, tapizados, cierre centralizado en perfecto estado y funcionamiento.
Ford Focus en Valencia</t>
        </is>
      </c>
      <c r="AT73" s="2" t="inlineStr">
        <is>
          <t>https://es.wallapop.com/item/ford-focus-2008-diesel-1316341857 (__NEXT_DATA__ item) /home/user/Alopecia/buscador-coches/raw/wallapop/9163a0bc3fc0c927.json</t>
        </is>
      </c>
      <c r="AU73" s="3">
        <f>MAX(ANIO_ACTUAL-M73,0)</f>
        <v/>
      </c>
      <c r="AV73" s="4">
        <f>N73/MAX(AU73,0.5)</f>
        <v/>
      </c>
      <c r="AW73" s="4">
        <f>F73</f>
        <v/>
      </c>
      <c r="AX73" s="3">
        <f>AW73&amp;"|"&amp;INT(M73/SEG_ANIO)*SEG_ANIO</f>
        <v/>
      </c>
      <c r="AY73" s="3">
        <f>AX73&amp;"|"&amp;INT(N73/SEG_KM)*SEG_KM</f>
        <v/>
      </c>
      <c r="AZ73" s="4">
        <f>COUNTIF($AW$2:$AW$662,AW73)</f>
        <v/>
      </c>
      <c r="BA73" s="4">
        <f>COUNTIF($AX$2:$AX$662,AX73)</f>
        <v/>
      </c>
      <c r="BB73" s="4">
        <f>COUNTIF($AY$2:$AY$662,AY73)</f>
        <v/>
      </c>
      <c r="BC73" s="3">
        <f t="array" ref="BC73">IF(N(AO73)&gt;=MIN_N,AN73,IF(BB73&gt;=MIN_N,MEDIAN(IF($AY$2:$AY$662=AY73,$O$2:$O$662)),IF(BA73&gt;=MIN_N,MEDIAN(IF($AX$2:$AX$662=AX73,$O$2:$O$662)),MEDIAN(IF($AW$2:$AW$662=AW73,$O$2:$O$662)))))</f>
        <v/>
      </c>
      <c r="BD73" s="3">
        <f>IF(N(AO73)&gt;=MIN_N,"mercado "&amp;AP73,IF(BB73&gt;=MIN_N,"modelo+año+km",IF(BA73&gt;=MIN_N,"modelo+año","modelo")))</f>
        <v/>
      </c>
      <c r="BE73" s="4">
        <f>(BC73-O73)/BC73</f>
        <v/>
      </c>
      <c r="BF73" s="3">
        <f>IF(OR(K73="hibrido",K73="glp"),"ECO",IF(K73="electrico","CERO",IF(K73="gasolina",IF(M73&gt;=GAS_C,"C",IF(M73&gt;=GAS_B,"B","A")),IF(K73="diesel",IF(M73&gt;=DIE_C,"C",IF(M73&gt;=DIE_B,"B","A")),""))))</f>
        <v/>
      </c>
      <c r="BG73" s="3">
        <f>IFERROR(VLOOKUP(F73,MOD_TBL,11,0),IFERROR(VLOOKUP(E73,OCU_TBL,2,0),NEUTRO))</f>
        <v/>
      </c>
      <c r="BH73" s="3">
        <f>SUMIFS(MOT_AJUSTE,MOT_MOTOR,G73,MOT_MARCA,E73,MOT_DESDE,"&lt;="&amp;M73,MOT_HASTA,"&gt;="&amp;M73)+SUMIFS(MOT_AJUSTE,MOT_MOTOR,G73,MOT_MARCA,"(todas)",MOT_DESDE,"&lt;="&amp;M73,MOT_HASTA,"&gt;="&amp;M73)</f>
        <v/>
      </c>
      <c r="BI73" s="3">
        <f>SUMIFS(COMB_AJUSTE,COMB_COMB,K73)</f>
        <v/>
      </c>
      <c r="BJ73" s="3">
        <f>COUNTIFS(MOT_MOTOR,G73,MOT_MARCA,E73,MOT_DESDE,"&lt;="&amp;M73,MOT_HASTA,"&gt;="&amp;M73)+COUNTIFS(MOT_MOTOR,G73,MOT_MARCA,"(todas)",MOT_DESDE,"&lt;="&amp;M73,MOT_HASTA,"&gt;="&amp;M73)</f>
        <v/>
      </c>
      <c r="BK73" s="3">
        <f>IF(AND(K73="diesel",BJ73=0),MIN(BG73,NEUTRO),BG73)</f>
        <v/>
      </c>
      <c r="BL73" s="4">
        <f>MAX(0,MIN(100,BK73+BH73+BI73))</f>
        <v/>
      </c>
      <c r="BM73" s="3">
        <f>MAX(0,MIN(100,50+BE73*PRECIO_PEND))</f>
        <v/>
      </c>
      <c r="BN73" s="3">
        <f>MAX(0,100*(1-N73/KM_MAX))</f>
        <v/>
      </c>
      <c r="BO73" s="3">
        <f>IF(AV73&lt;KMA_SOSP,IF(AA73="sí",100,KMA_PEN),IF(AV73&lt;=KMA_IDEAL_MAX,100,MAX(0,100*(KMA_CERO-AV73)/(KMA_CERO-KMA_IDEAL_MAX))))</f>
        <v/>
      </c>
      <c r="BP73" s="3">
        <f>MAX(0,MIN(100,100*(M73-ANIO_MIN)/(ANIO_ACTUAL-ANIO_MIN)))</f>
        <v/>
      </c>
      <c r="BQ73" s="3">
        <f>W_KMT*BN73+W_KMA*BO73+W_EDAD*BP73</f>
        <v/>
      </c>
      <c r="BR73" s="3">
        <f>P_ITV*(V73="sí")+P_LIBRO*(W73="sí")+P_CORREA*(X73="sí")+P_PROP*(Y73=1)+P_GAR*(Z73="sí")+P_FOTOS*MIN(1,N(U73)/FOTOS_OBJ)</f>
        <v/>
      </c>
      <c r="BS73" s="3">
        <f>IFERROR(VLOOKUP(BF73,ETQ_TBL,2,0),NEUTRO)</f>
        <v/>
      </c>
      <c r="BT73" s="3">
        <f>NEUTRO</f>
        <v/>
      </c>
      <c r="BU73" s="3">
        <f>IFERROR(VLOOKUP(L73,SEGURO_TBL,3,0),"")</f>
        <v/>
      </c>
      <c r="BV73" s="3">
        <f>IF(BU73="",NEUTRO,MAX(0,MIN(100,100*(SEG_REF_MAX-BU73)/(SEG_REF_MAX-SEG_REF_MIN))))</f>
        <v/>
      </c>
      <c r="BW73" s="3">
        <f>W_ET*BS73+W_CONS*BT73+W_SEG*BV73</f>
        <v/>
      </c>
      <c r="BX73" s="3">
        <f>IF(N(AB73)&gt;0,AB73,IF(AND(R73="profesional",SG_LEGAL_ON=1),GAR_LEGAL,0))</f>
        <v/>
      </c>
      <c r="BY73" s="3">
        <f>SG_GAR*MIN(1,BX73/SG_GAR_FULL)+SG_AMPL*(AC73="sí")+SG_KMC*(AF73="sí")+SG_REV*(N(AE73)&gt;0)+SG_DEV*MIN(1,N(AG73)/SG_DEV_FULL)+SG_HIST*(W73="sí")</f>
        <v/>
      </c>
      <c r="BZ73" s="3">
        <f>IFERROR(VLOOKUP(L73,CARR_PEN_TBL,2,0),0)</f>
        <v/>
      </c>
      <c r="CA73" s="3">
        <f>W_FIAB*BL73+W_PRECIO*BM73+W_KMEDAD*BQ73+W_ANUNCIO*BR73+W_USO*BW73+W_SEGURIDAD*BY73-BZ73</f>
        <v/>
      </c>
      <c r="CB73" s="4">
        <f>IF(N(I73)&gt;0,I73,IFERROR(ROUND(_xlfn.NUMBERVALUE(LEFT(G73,FIND(" ",G73&amp;" ")-1),".")*1000,0),99999))</f>
        <v/>
      </c>
      <c r="CC73" s="3">
        <f>IF(R73="profesional",0,IF(O73&lt;CUOTA_VALOR_MAX,IF(AU73&gt;ITP_TRAMO_ALTO,SUMIFS(CF_CUOTA,CF_MAS,ITP_TRAMO_ALTO,CF_CCMIN,"&lt;="&amp;CB73,CF_CCMAX,"&gt;="&amp;CB73),IF(AU73&gt;ITP_TRAMO_BAJO,SUMIFS(CF_CUOTA,CF_MAS,ITP_TRAMO_BAJO,CF_CCMIN,"&lt;="&amp;CB73,CF_CCMAX,"&gt;="&amp;CB73),O73*ITP_TIPO)),O73*ITP_TIPO))</f>
        <v/>
      </c>
      <c r="CD73" s="4">
        <f>IF(R73="profesional",N(AK73),0)</f>
        <v/>
      </c>
      <c r="CE73" s="3">
        <f>IF(AND(R73="profesional",ISNUMBER(AK73),AL73="sí"),0,TASA_DGT)</f>
        <v/>
      </c>
      <c r="CF73" s="3">
        <f>INFORME_DGT</f>
        <v/>
      </c>
      <c r="CG73" s="4">
        <f>O73+CD73+CC73+CE73+CF73</f>
        <v/>
      </c>
      <c r="CH73" s="4">
        <f>CG73+N(BU73)</f>
        <v/>
      </c>
      <c r="CI73" s="3">
        <f>IF(CG73&lt;=TOTAL_MAX,"sí",IF(CG73&lt;=TOTAL_MAX+MARGEN_NEG,"negociar","no"))</f>
        <v/>
      </c>
      <c r="CJ73" s="4">
        <f>IF(CI73&lt;&gt;"no",COUNTIFS($CI$2:$CI$662,"&lt;&gt;no",$CA$2:$CA$662,"&gt;"&amp;CA73)+COUNTIFS($CI$2:CI73,"&lt;&gt;no",$CA$2:CA73,CA73),"")</f>
        <v/>
      </c>
    </row>
    <row r="74">
      <c r="A74" s="2" t="inlineStr">
        <is>
          <t>wallapop:1312844017</t>
        </is>
      </c>
      <c r="B74" s="2" t="inlineStr">
        <is>
          <t>wallapop</t>
        </is>
      </c>
      <c r="C74" s="2" t="inlineStr">
        <is>
          <t>https://es.wallapop.com/item/ford-focus-2010-1312844017</t>
        </is>
      </c>
      <c r="D74" s="2" t="inlineStr">
        <is>
          <t>Ford Focus 2010</t>
        </is>
      </c>
      <c r="E74" s="2" t="inlineStr">
        <is>
          <t>Ford</t>
        </is>
      </c>
      <c r="F74" s="2" t="inlineStr">
        <is>
          <t>Ford Focus</t>
        </is>
      </c>
      <c r="G74" s="2" t="inlineStr">
        <is>
          <t>1.6 TDCi</t>
        </is>
      </c>
      <c r="H74" s="2" t="inlineStr">
        <is>
          <t>1.6 TDCi 109 Trend 5p</t>
        </is>
      </c>
      <c r="I74" s="2" t="n"/>
      <c r="J74" s="2" t="n">
        <v>109</v>
      </c>
      <c r="K74" s="2" t="inlineStr">
        <is>
          <t>diesel</t>
        </is>
      </c>
      <c r="L74" s="2" t="inlineStr">
        <is>
          <t>compacto</t>
        </is>
      </c>
      <c r="M74" s="2" t="n">
        <v>2010</v>
      </c>
      <c r="N74" s="2" t="n">
        <v>200000</v>
      </c>
      <c r="O74" s="2" t="n">
        <v>4000</v>
      </c>
      <c r="P74" s="2" t="inlineStr">
        <is>
          <t>manual</t>
        </is>
      </c>
      <c r="Q74" s="2" t="inlineStr">
        <is>
          <t>no</t>
        </is>
      </c>
      <c r="R74" s="2" t="inlineStr">
        <is>
          <t>particular</t>
        </is>
      </c>
      <c r="S74" s="2" t="inlineStr">
        <is>
          <t>Valencia (46003)</t>
        </is>
      </c>
      <c r="T74" s="2" t="inlineStr">
        <is>
          <t>2026-10-14T05:11:43</t>
        </is>
      </c>
      <c r="U74" s="2" t="n">
        <v>3</v>
      </c>
      <c r="V74" s="2" t="inlineStr">
        <is>
          <t>sí</t>
        </is>
      </c>
      <c r="W74" s="2" t="n"/>
      <c r="X74" s="2" t="n"/>
      <c r="Y74" s="2" t="n">
        <v>1</v>
      </c>
      <c r="Z74" s="2" t="n"/>
      <c r="AA74" s="2" t="n"/>
      <c r="AB74" s="2" t="n"/>
      <c r="AC74" s="2" t="n"/>
      <c r="AD74" s="2" t="n"/>
      <c r="AE74" s="2" t="n"/>
      <c r="AF74" s="2" t="n"/>
      <c r="AG74" s="2" t="n"/>
      <c r="AH74" s="2" t="n"/>
      <c r="AI74" s="2" t="n"/>
      <c r="AJ74" s="2" t="n"/>
      <c r="AK74" s="2" t="n"/>
      <c r="AL74" s="2" t="n"/>
      <c r="AM74" s="2" t="n">
        <v>0.5</v>
      </c>
      <c r="AN74" s="2" t="n">
        <v>4500</v>
      </c>
      <c r="AO74" s="2" t="n">
        <v>27</v>
      </c>
      <c r="AP74" s="2" t="inlineStr">
        <is>
          <t>modelo+año</t>
        </is>
      </c>
      <c r="AQ74" s="2" t="n"/>
      <c r="AR74" s="2" t="inlineStr">
        <is>
          <t>cuota fija ITP: &gt;12 años, 1.501-2.000 cc</t>
        </is>
      </c>
      <c r="AS74" s="2" t="inlineStr">
        <is>
          <t xml:space="preserve">Coche de único dueño.
Neumáticos ok
Revisión recién hecha
Itv al día.
Funciona de maravilla. </t>
        </is>
      </c>
      <c r="AT74" s="2" t="inlineStr">
        <is>
          <t>https://es.wallapop.com/item/ford-focus-2010-1312844017 (__NEXT_DATA__ item) /home/user/Alopecia/buscador-coches/raw/wallapop/6c00ef57a134260c.json</t>
        </is>
      </c>
      <c r="AU74" s="3">
        <f>MAX(ANIO_ACTUAL-M74,0)</f>
        <v/>
      </c>
      <c r="AV74" s="4">
        <f>N74/MAX(AU74,0.5)</f>
        <v/>
      </c>
      <c r="AW74" s="4">
        <f>F74</f>
        <v/>
      </c>
      <c r="AX74" s="3">
        <f>AW74&amp;"|"&amp;INT(M74/SEG_ANIO)*SEG_ANIO</f>
        <v/>
      </c>
      <c r="AY74" s="3">
        <f>AX74&amp;"|"&amp;INT(N74/SEG_KM)*SEG_KM</f>
        <v/>
      </c>
      <c r="AZ74" s="4">
        <f>COUNTIF($AW$2:$AW$662,AW74)</f>
        <v/>
      </c>
      <c r="BA74" s="4">
        <f>COUNTIF($AX$2:$AX$662,AX74)</f>
        <v/>
      </c>
      <c r="BB74" s="4">
        <f>COUNTIF($AY$2:$AY$662,AY74)</f>
        <v/>
      </c>
      <c r="BC74" s="3">
        <f t="array" ref="BC74">IF(N(AO74)&gt;=MIN_N,AN74,IF(BB74&gt;=MIN_N,MEDIAN(IF($AY$2:$AY$662=AY74,$O$2:$O$662)),IF(BA74&gt;=MIN_N,MEDIAN(IF($AX$2:$AX$662=AX74,$O$2:$O$662)),MEDIAN(IF($AW$2:$AW$662=AW74,$O$2:$O$662)))))</f>
        <v/>
      </c>
      <c r="BD74" s="3">
        <f>IF(N(AO74)&gt;=MIN_N,"mercado "&amp;AP74,IF(BB74&gt;=MIN_N,"modelo+año+km",IF(BA74&gt;=MIN_N,"modelo+año","modelo")))</f>
        <v/>
      </c>
      <c r="BE74" s="4">
        <f>(BC74-O74)/BC74</f>
        <v/>
      </c>
      <c r="BF74" s="3">
        <f>IF(OR(K74="hibrido",K74="glp"),"ECO",IF(K74="electrico","CERO",IF(K74="gasolina",IF(M74&gt;=GAS_C,"C",IF(M74&gt;=GAS_B,"B","A")),IF(K74="diesel",IF(M74&gt;=DIE_C,"C",IF(M74&gt;=DIE_B,"B","A")),""))))</f>
        <v/>
      </c>
      <c r="BG74" s="3">
        <f>IFERROR(VLOOKUP(F74,MOD_TBL,11,0),IFERROR(VLOOKUP(E74,OCU_TBL,2,0),NEUTRO))</f>
        <v/>
      </c>
      <c r="BH74" s="3">
        <f>SUMIFS(MOT_AJUSTE,MOT_MOTOR,G74,MOT_MARCA,E74,MOT_DESDE,"&lt;="&amp;M74,MOT_HASTA,"&gt;="&amp;M74)+SUMIFS(MOT_AJUSTE,MOT_MOTOR,G74,MOT_MARCA,"(todas)",MOT_DESDE,"&lt;="&amp;M74,MOT_HASTA,"&gt;="&amp;M74)</f>
        <v/>
      </c>
      <c r="BI74" s="3">
        <f>SUMIFS(COMB_AJUSTE,COMB_COMB,K74)</f>
        <v/>
      </c>
      <c r="BJ74" s="3">
        <f>COUNTIFS(MOT_MOTOR,G74,MOT_MARCA,E74,MOT_DESDE,"&lt;="&amp;M74,MOT_HASTA,"&gt;="&amp;M74)+COUNTIFS(MOT_MOTOR,G74,MOT_MARCA,"(todas)",MOT_DESDE,"&lt;="&amp;M74,MOT_HASTA,"&gt;="&amp;M74)</f>
        <v/>
      </c>
      <c r="BK74" s="3">
        <f>IF(AND(K74="diesel",BJ74=0),MIN(BG74,NEUTRO),BG74)</f>
        <v/>
      </c>
      <c r="BL74" s="4">
        <f>MAX(0,MIN(100,BK74+BH74+BI74))</f>
        <v/>
      </c>
      <c r="BM74" s="3">
        <f>MAX(0,MIN(100,50+BE74*PRECIO_PEND))</f>
        <v/>
      </c>
      <c r="BN74" s="3">
        <f>MAX(0,100*(1-N74/KM_MAX))</f>
        <v/>
      </c>
      <c r="BO74" s="3">
        <f>IF(AV74&lt;KMA_SOSP,IF(AA74="sí",100,KMA_PEN),IF(AV74&lt;=KMA_IDEAL_MAX,100,MAX(0,100*(KMA_CERO-AV74)/(KMA_CERO-KMA_IDEAL_MAX))))</f>
        <v/>
      </c>
      <c r="BP74" s="3">
        <f>MAX(0,MIN(100,100*(M74-ANIO_MIN)/(ANIO_ACTUAL-ANIO_MIN)))</f>
        <v/>
      </c>
      <c r="BQ74" s="3">
        <f>W_KMT*BN74+W_KMA*BO74+W_EDAD*BP74</f>
        <v/>
      </c>
      <c r="BR74" s="3">
        <f>P_ITV*(V74="sí")+P_LIBRO*(W74="sí")+P_CORREA*(X74="sí")+P_PROP*(Y74=1)+P_GAR*(Z74="sí")+P_FOTOS*MIN(1,N(U74)/FOTOS_OBJ)</f>
        <v/>
      </c>
      <c r="BS74" s="3">
        <f>IFERROR(VLOOKUP(BF74,ETQ_TBL,2,0),NEUTRO)</f>
        <v/>
      </c>
      <c r="BT74" s="3">
        <f>NEUTRO</f>
        <v/>
      </c>
      <c r="BU74" s="3">
        <f>IFERROR(VLOOKUP(L74,SEGURO_TBL,3,0),"")</f>
        <v/>
      </c>
      <c r="BV74" s="3">
        <f>IF(BU74="",NEUTRO,MAX(0,MIN(100,100*(SEG_REF_MAX-BU74)/(SEG_REF_MAX-SEG_REF_MIN))))</f>
        <v/>
      </c>
      <c r="BW74" s="3">
        <f>W_ET*BS74+W_CONS*BT74+W_SEG*BV74</f>
        <v/>
      </c>
      <c r="BX74" s="3">
        <f>IF(N(AB74)&gt;0,AB74,IF(AND(R74="profesional",SG_LEGAL_ON=1),GAR_LEGAL,0))</f>
        <v/>
      </c>
      <c r="BY74" s="3">
        <f>SG_GAR*MIN(1,BX74/SG_GAR_FULL)+SG_AMPL*(AC74="sí")+SG_KMC*(AF74="sí")+SG_REV*(N(AE74)&gt;0)+SG_DEV*MIN(1,N(AG74)/SG_DEV_FULL)+SG_HIST*(W74="sí")</f>
        <v/>
      </c>
      <c r="BZ74" s="3">
        <f>IFERROR(VLOOKUP(L74,CARR_PEN_TBL,2,0),0)</f>
        <v/>
      </c>
      <c r="CA74" s="3">
        <f>W_FIAB*BL74+W_PRECIO*BM74+W_KMEDAD*BQ74+W_ANUNCIO*BR74+W_USO*BW74+W_SEGURIDAD*BY74-BZ74</f>
        <v/>
      </c>
      <c r="CB74" s="4">
        <f>IF(N(I74)&gt;0,I74,IFERROR(ROUND(_xlfn.NUMBERVALUE(LEFT(G74,FIND(" ",G74&amp;" ")-1),".")*1000,0),99999))</f>
        <v/>
      </c>
      <c r="CC74" s="3">
        <f>IF(R74="profesional",0,IF(O74&lt;CUOTA_VALOR_MAX,IF(AU74&gt;ITP_TRAMO_ALTO,SUMIFS(CF_CUOTA,CF_MAS,ITP_TRAMO_ALTO,CF_CCMIN,"&lt;="&amp;CB74,CF_CCMAX,"&gt;="&amp;CB74),IF(AU74&gt;ITP_TRAMO_BAJO,SUMIFS(CF_CUOTA,CF_MAS,ITP_TRAMO_BAJO,CF_CCMIN,"&lt;="&amp;CB74,CF_CCMAX,"&gt;="&amp;CB74),O74*ITP_TIPO)),O74*ITP_TIPO))</f>
        <v/>
      </c>
      <c r="CD74" s="4">
        <f>IF(R74="profesional",N(AK74),0)</f>
        <v/>
      </c>
      <c r="CE74" s="3">
        <f>IF(AND(R74="profesional",ISNUMBER(AK74),AL74="sí"),0,TASA_DGT)</f>
        <v/>
      </c>
      <c r="CF74" s="3">
        <f>INFORME_DGT</f>
        <v/>
      </c>
      <c r="CG74" s="4">
        <f>O74+CD74+CC74+CE74+CF74</f>
        <v/>
      </c>
      <c r="CH74" s="4">
        <f>CG74+N(BU74)</f>
        <v/>
      </c>
      <c r="CI74" s="3">
        <f>IF(CG74&lt;=TOTAL_MAX,"sí",IF(CG74&lt;=TOTAL_MAX+MARGEN_NEG,"negociar","no"))</f>
        <v/>
      </c>
      <c r="CJ74" s="4">
        <f>IF(CI74&lt;&gt;"no",COUNTIFS($CI$2:$CI$662,"&lt;&gt;no",$CA$2:$CA$662,"&gt;"&amp;CA74)+COUNTIFS($CI$2:CI74,"&lt;&gt;no",$CA$2:CA74,CA74),"")</f>
        <v/>
      </c>
    </row>
    <row r="75">
      <c r="A75" s="2" t="inlineStr">
        <is>
          <t>wallapop:1301004890</t>
        </is>
      </c>
      <c r="B75" s="2" t="inlineStr">
        <is>
          <t>wallapop</t>
        </is>
      </c>
      <c r="C75" s="2" t="inlineStr">
        <is>
          <t>https://es.wallapop.com/item/fiat-bravo-2008-1301004890</t>
        </is>
      </c>
      <c r="D75" s="2" t="inlineStr">
        <is>
          <t>GRAN OFERTA FIAT Bravo 2008 PERFECTO ESTADO</t>
        </is>
      </c>
      <c r="E75" s="2" t="inlineStr">
        <is>
          <t>Fiat</t>
        </is>
      </c>
      <c r="F75" s="2" t="inlineStr">
        <is>
          <t>Fiat Bravo</t>
        </is>
      </c>
      <c r="G75" s="2" t="inlineStr">
        <is>
          <t>1.4 T-Jet</t>
        </is>
      </c>
      <c r="H75" s="2" t="inlineStr">
        <is>
          <t>1.4 T-Jet 16v 120 Dynamic 5p</t>
        </is>
      </c>
      <c r="I75" s="2" t="n"/>
      <c r="J75" s="2" t="n">
        <v>120</v>
      </c>
      <c r="K75" s="2" t="inlineStr">
        <is>
          <t>diesel</t>
        </is>
      </c>
      <c r="L75" s="2" t="inlineStr">
        <is>
          <t>compacto</t>
        </is>
      </c>
      <c r="M75" s="2" t="n">
        <v>2008</v>
      </c>
      <c r="N75" s="2" t="n">
        <v>170000</v>
      </c>
      <c r="O75" s="2" t="n">
        <v>3000</v>
      </c>
      <c r="P75" s="2" t="inlineStr">
        <is>
          <t>manual</t>
        </is>
      </c>
      <c r="Q75" s="2" t="inlineStr">
        <is>
          <t>no</t>
        </is>
      </c>
      <c r="R75" s="2" t="inlineStr">
        <is>
          <t>particular</t>
        </is>
      </c>
      <c r="S75" s="2" t="inlineStr">
        <is>
          <t>Valencia (46019)</t>
        </is>
      </c>
      <c r="T75" s="2" t="inlineStr">
        <is>
          <t>2026-09-12T14:36:23</t>
        </is>
      </c>
      <c r="U75" s="2" t="n">
        <v>8</v>
      </c>
      <c r="V75" s="2" t="inlineStr">
        <is>
          <t>sí</t>
        </is>
      </c>
      <c r="W75" s="2" t="n"/>
      <c r="X75" s="2" t="n"/>
      <c r="Y75" s="2" t="n"/>
      <c r="Z75" s="2" t="n"/>
      <c r="AA75" s="2" t="n"/>
      <c r="AB75" s="2" t="n"/>
      <c r="AC75" s="2" t="n"/>
      <c r="AD75" s="2" t="n"/>
      <c r="AE75" s="2" t="n"/>
      <c r="AF75" s="2" t="n"/>
      <c r="AG75" s="2" t="n"/>
      <c r="AH75" s="2" t="n"/>
      <c r="AI75" s="2" t="n"/>
      <c r="AJ75" s="2" t="n"/>
      <c r="AK75" s="2" t="n"/>
      <c r="AL75" s="2" t="n"/>
      <c r="AM75" s="2" t="n">
        <v>3.7</v>
      </c>
      <c r="AN75" s="2" t="n">
        <v>2800</v>
      </c>
      <c r="AO75" s="2" t="n">
        <v>8</v>
      </c>
      <c r="AP75" s="2" t="inlineStr">
        <is>
          <t>modelo+año</t>
        </is>
      </c>
      <c r="AQ75" s="2" t="n"/>
      <c r="AR75" s="2" t="inlineStr">
        <is>
          <t>cuota fija ITP: &gt;12 años, hasta 1.500 cc; diésel: motor sin fuente de fiabilidad (fiabilidad limitada a neutra); fiabilidad del modelo PENDIENTE de fuente (puntuación neutra)</t>
        </is>
      </c>
      <c r="AS75" s="2" t="inlineStr">
        <is>
          <t>Se vende este magnifico coche, en perfecto estado, revisiones al día. ITV al día.
Increible precio.</t>
        </is>
      </c>
      <c r="AT75" s="2" t="inlineStr">
        <is>
          <t>https://es.wallapop.com/item/fiat-bravo-2008-1301004890 (__NEXT_DATA__ item) /home/user/Alopecia/buscador-coches/raw/wallapop/e6e173557728f819.json</t>
        </is>
      </c>
      <c r="AU75" s="3">
        <f>MAX(ANIO_ACTUAL-M75,0)</f>
        <v/>
      </c>
      <c r="AV75" s="4">
        <f>N75/MAX(AU75,0.5)</f>
        <v/>
      </c>
      <c r="AW75" s="4">
        <f>F75</f>
        <v/>
      </c>
      <c r="AX75" s="3">
        <f>AW75&amp;"|"&amp;INT(M75/SEG_ANIO)*SEG_ANIO</f>
        <v/>
      </c>
      <c r="AY75" s="3">
        <f>AX75&amp;"|"&amp;INT(N75/SEG_KM)*SEG_KM</f>
        <v/>
      </c>
      <c r="AZ75" s="4">
        <f>COUNTIF($AW$2:$AW$662,AW75)</f>
        <v/>
      </c>
      <c r="BA75" s="4">
        <f>COUNTIF($AX$2:$AX$662,AX75)</f>
        <v/>
      </c>
      <c r="BB75" s="4">
        <f>COUNTIF($AY$2:$AY$662,AY75)</f>
        <v/>
      </c>
      <c r="BC75" s="3">
        <f t="array" ref="BC75">IF(N(AO75)&gt;=MIN_N,AN75,IF(BB75&gt;=MIN_N,MEDIAN(IF($AY$2:$AY$662=AY75,$O$2:$O$662)),IF(BA75&gt;=MIN_N,MEDIAN(IF($AX$2:$AX$662=AX75,$O$2:$O$662)),MEDIAN(IF($AW$2:$AW$662=AW75,$O$2:$O$662)))))</f>
        <v/>
      </c>
      <c r="BD75" s="3">
        <f>IF(N(AO75)&gt;=MIN_N,"mercado "&amp;AP75,IF(BB75&gt;=MIN_N,"modelo+año+km",IF(BA75&gt;=MIN_N,"modelo+año","modelo")))</f>
        <v/>
      </c>
      <c r="BE75" s="4">
        <f>(BC75-O75)/BC75</f>
        <v/>
      </c>
      <c r="BF75" s="3">
        <f>IF(OR(K75="hibrido",K75="glp"),"ECO",IF(K75="electrico","CERO",IF(K75="gasolina",IF(M75&gt;=GAS_C,"C",IF(M75&gt;=GAS_B,"B","A")),IF(K75="diesel",IF(M75&gt;=DIE_C,"C",IF(M75&gt;=DIE_B,"B","A")),""))))</f>
        <v/>
      </c>
      <c r="BG75" s="3">
        <f>IFERROR(VLOOKUP(F75,MOD_TBL,11,0),IFERROR(VLOOKUP(E75,OCU_TBL,2,0),NEUTRO))</f>
        <v/>
      </c>
      <c r="BH75" s="3">
        <f>SUMIFS(MOT_AJUSTE,MOT_MOTOR,G75,MOT_MARCA,E75,MOT_DESDE,"&lt;="&amp;M75,MOT_HASTA,"&gt;="&amp;M75)+SUMIFS(MOT_AJUSTE,MOT_MOTOR,G75,MOT_MARCA,"(todas)",MOT_DESDE,"&lt;="&amp;M75,MOT_HASTA,"&gt;="&amp;M75)</f>
        <v/>
      </c>
      <c r="BI75" s="3">
        <f>SUMIFS(COMB_AJUSTE,COMB_COMB,K75)</f>
        <v/>
      </c>
      <c r="BJ75" s="3">
        <f>COUNTIFS(MOT_MOTOR,G75,MOT_MARCA,E75,MOT_DESDE,"&lt;="&amp;M75,MOT_HASTA,"&gt;="&amp;M75)+COUNTIFS(MOT_MOTOR,G75,MOT_MARCA,"(todas)",MOT_DESDE,"&lt;="&amp;M75,MOT_HASTA,"&gt;="&amp;M75)</f>
        <v/>
      </c>
      <c r="BK75" s="3">
        <f>IF(AND(K75="diesel",BJ75=0),MIN(BG75,NEUTRO),BG75)</f>
        <v/>
      </c>
      <c r="BL75" s="4">
        <f>MAX(0,MIN(100,BK75+BH75+BI75))</f>
        <v/>
      </c>
      <c r="BM75" s="3">
        <f>MAX(0,MIN(100,50+BE75*PRECIO_PEND))</f>
        <v/>
      </c>
      <c r="BN75" s="3">
        <f>MAX(0,100*(1-N75/KM_MAX))</f>
        <v/>
      </c>
      <c r="BO75" s="3">
        <f>IF(AV75&lt;KMA_SOSP,IF(AA75="sí",100,KMA_PEN),IF(AV75&lt;=KMA_IDEAL_MAX,100,MAX(0,100*(KMA_CERO-AV75)/(KMA_CERO-KMA_IDEAL_MAX))))</f>
        <v/>
      </c>
      <c r="BP75" s="3">
        <f>MAX(0,MIN(100,100*(M75-ANIO_MIN)/(ANIO_ACTUAL-ANIO_MIN)))</f>
        <v/>
      </c>
      <c r="BQ75" s="3">
        <f>W_KMT*BN75+W_KMA*BO75+W_EDAD*BP75</f>
        <v/>
      </c>
      <c r="BR75" s="3">
        <f>P_ITV*(V75="sí")+P_LIBRO*(W75="sí")+P_CORREA*(X75="sí")+P_PROP*(Y75=1)+P_GAR*(Z75="sí")+P_FOTOS*MIN(1,N(U75)/FOTOS_OBJ)</f>
        <v/>
      </c>
      <c r="BS75" s="3">
        <f>IFERROR(VLOOKUP(BF75,ETQ_TBL,2,0),NEUTRO)</f>
        <v/>
      </c>
      <c r="BT75" s="3">
        <f>NEUTRO</f>
        <v/>
      </c>
      <c r="BU75" s="3">
        <f>IFERROR(VLOOKUP(L75,SEGURO_TBL,3,0),"")</f>
        <v/>
      </c>
      <c r="BV75" s="3">
        <f>IF(BU75="",NEUTRO,MAX(0,MIN(100,100*(SEG_REF_MAX-BU75)/(SEG_REF_MAX-SEG_REF_MIN))))</f>
        <v/>
      </c>
      <c r="BW75" s="3">
        <f>W_ET*BS75+W_CONS*BT75+W_SEG*BV75</f>
        <v/>
      </c>
      <c r="BX75" s="3">
        <f>IF(N(AB75)&gt;0,AB75,IF(AND(R75="profesional",SG_LEGAL_ON=1),GAR_LEGAL,0))</f>
        <v/>
      </c>
      <c r="BY75" s="3">
        <f>SG_GAR*MIN(1,BX75/SG_GAR_FULL)+SG_AMPL*(AC75="sí")+SG_KMC*(AF75="sí")+SG_REV*(N(AE75)&gt;0)+SG_DEV*MIN(1,N(AG75)/SG_DEV_FULL)+SG_HIST*(W75="sí")</f>
        <v/>
      </c>
      <c r="BZ75" s="3">
        <f>IFERROR(VLOOKUP(L75,CARR_PEN_TBL,2,0),0)</f>
        <v/>
      </c>
      <c r="CA75" s="3">
        <f>W_FIAB*BL75+W_PRECIO*BM75+W_KMEDAD*BQ75+W_ANUNCIO*BR75+W_USO*BW75+W_SEGURIDAD*BY75-BZ75</f>
        <v/>
      </c>
      <c r="CB75" s="4">
        <f>IF(N(I75)&gt;0,I75,IFERROR(ROUND(_xlfn.NUMBERVALUE(LEFT(G75,FIND(" ",G75&amp;" ")-1),".")*1000,0),99999))</f>
        <v/>
      </c>
      <c r="CC75" s="3">
        <f>IF(R75="profesional",0,IF(O75&lt;CUOTA_VALOR_MAX,IF(AU75&gt;ITP_TRAMO_ALTO,SUMIFS(CF_CUOTA,CF_MAS,ITP_TRAMO_ALTO,CF_CCMIN,"&lt;="&amp;CB75,CF_CCMAX,"&gt;="&amp;CB75),IF(AU75&gt;ITP_TRAMO_BAJO,SUMIFS(CF_CUOTA,CF_MAS,ITP_TRAMO_BAJO,CF_CCMIN,"&lt;="&amp;CB75,CF_CCMAX,"&gt;="&amp;CB75),O75*ITP_TIPO)),O75*ITP_TIPO))</f>
        <v/>
      </c>
      <c r="CD75" s="4">
        <f>IF(R75="profesional",N(AK75),0)</f>
        <v/>
      </c>
      <c r="CE75" s="3">
        <f>IF(AND(R75="profesional",ISNUMBER(AK75),AL75="sí"),0,TASA_DGT)</f>
        <v/>
      </c>
      <c r="CF75" s="3">
        <f>INFORME_DGT</f>
        <v/>
      </c>
      <c r="CG75" s="4">
        <f>O75+CD75+CC75+CE75+CF75</f>
        <v/>
      </c>
      <c r="CH75" s="4">
        <f>CG75+N(BU75)</f>
        <v/>
      </c>
      <c r="CI75" s="3">
        <f>IF(CG75&lt;=TOTAL_MAX,"sí",IF(CG75&lt;=TOTAL_MAX+MARGEN_NEG,"negociar","no"))</f>
        <v/>
      </c>
      <c r="CJ75" s="4">
        <f>IF(CI75&lt;&gt;"no",COUNTIFS($CI$2:$CI$662,"&lt;&gt;no",$CA$2:$CA$662,"&gt;"&amp;CA75)+COUNTIFS($CI$2:CI75,"&lt;&gt;no",$CA$2:CA75,CA75),"")</f>
        <v/>
      </c>
    </row>
    <row r="76">
      <c r="A76" s="2" t="inlineStr">
        <is>
          <t>wallapop:1266735810</t>
        </is>
      </c>
      <c r="B76" s="2" t="inlineStr">
        <is>
          <t>wallapop</t>
        </is>
      </c>
      <c r="C76" s="2" t="inlineStr">
        <is>
          <t>https://es.wallapop.com/item/fiat-bravo-2008-1266735810</t>
        </is>
      </c>
      <c r="D76" s="2" t="inlineStr">
        <is>
          <t>FIAT Bravo 2008</t>
        </is>
      </c>
      <c r="E76" s="2" t="inlineStr">
        <is>
          <t>Fiat</t>
        </is>
      </c>
      <c r="F76" s="2" t="inlineStr">
        <is>
          <t>Fiat Bravo</t>
        </is>
      </c>
      <c r="G76" s="2" t="inlineStr">
        <is>
          <t>1.6 Multijet</t>
        </is>
      </c>
      <c r="H76" s="2" t="inlineStr">
        <is>
          <t>1.6 Multijet 105 ECO Active 5p</t>
        </is>
      </c>
      <c r="I76" s="2" t="n"/>
      <c r="J76" s="2" t="n">
        <v>105</v>
      </c>
      <c r="K76" s="2" t="inlineStr">
        <is>
          <t>diesel</t>
        </is>
      </c>
      <c r="L76" s="2" t="inlineStr">
        <is>
          <t>compacto</t>
        </is>
      </c>
      <c r="M76" s="2" t="n">
        <v>2008</v>
      </c>
      <c r="N76" s="2" t="n">
        <v>192000</v>
      </c>
      <c r="O76" s="2" t="n">
        <v>2500</v>
      </c>
      <c r="P76" s="2" t="inlineStr">
        <is>
          <t>manual</t>
        </is>
      </c>
      <c r="Q76" s="2" t="inlineStr">
        <is>
          <t>no</t>
        </is>
      </c>
      <c r="R76" s="2" t="inlineStr">
        <is>
          <t>particular</t>
        </is>
      </c>
      <c r="S76" s="2" t="inlineStr">
        <is>
          <t>Valencia (46018)</t>
        </is>
      </c>
      <c r="T76" s="2" t="inlineStr">
        <is>
          <t>2026-10-16T20:27:43</t>
        </is>
      </c>
      <c r="U76" s="2" t="n">
        <v>10</v>
      </c>
      <c r="V76" s="2" t="inlineStr">
        <is>
          <t>sí</t>
        </is>
      </c>
      <c r="W76" s="2" t="n"/>
      <c r="X76" s="2" t="n"/>
      <c r="Y76" s="2" t="n"/>
      <c r="Z76" s="2" t="n"/>
      <c r="AA76" s="2" t="n"/>
      <c r="AB76" s="2" t="n"/>
      <c r="AC76" s="2" t="n"/>
      <c r="AD76" s="2" t="n"/>
      <c r="AE76" s="2" t="n"/>
      <c r="AF76" s="2" t="n"/>
      <c r="AG76" s="2" t="n"/>
      <c r="AH76" s="2" t="n"/>
      <c r="AI76" s="2" t="n"/>
      <c r="AJ76" s="2" t="n"/>
      <c r="AK76" s="2" t="n"/>
      <c r="AL76" s="2" t="n"/>
      <c r="AM76" s="2" t="n">
        <v>1.8</v>
      </c>
      <c r="AN76" s="2" t="n">
        <v>2800</v>
      </c>
      <c r="AO76" s="2" t="n">
        <v>8</v>
      </c>
      <c r="AP76" s="2" t="inlineStr">
        <is>
          <t>modelo+año</t>
        </is>
      </c>
      <c r="AQ76" s="2" t="n"/>
      <c r="AR76" s="2" t="inlineStr">
        <is>
          <t>cuota fija ITP: &gt;12 años, 1.501-2.000 cc; diésel: motor sin fuente de fiabilidad (fiabilidad limitada a neutra); fiabilidad del modelo PENDIENTE de fuente (puntuación neutra)</t>
        </is>
      </c>
      <c r="AS76" s="2" t="inlineStr">
        <is>
          <t>Coche al día con todo , aire acondicionado, dirección asistida, cierre con mando , ITV recién pasada , coche de uso diario con sus cosas de los años , compacto y espacioso por dentro.</t>
        </is>
      </c>
      <c r="AT76" s="2" t="inlineStr">
        <is>
          <t>https://es.wallapop.com/item/fiat-bravo-2008-1266735810 (__NEXT_DATA__ item) /home/user/Alopecia/buscador-coches/raw/wallapop/6c1fc3b58b7b7404.json</t>
        </is>
      </c>
      <c r="AU76" s="3">
        <f>MAX(ANIO_ACTUAL-M76,0)</f>
        <v/>
      </c>
      <c r="AV76" s="4">
        <f>N76/MAX(AU76,0.5)</f>
        <v/>
      </c>
      <c r="AW76" s="4">
        <f>F76</f>
        <v/>
      </c>
      <c r="AX76" s="3">
        <f>AW76&amp;"|"&amp;INT(M76/SEG_ANIO)*SEG_ANIO</f>
        <v/>
      </c>
      <c r="AY76" s="3">
        <f>AX76&amp;"|"&amp;INT(N76/SEG_KM)*SEG_KM</f>
        <v/>
      </c>
      <c r="AZ76" s="4">
        <f>COUNTIF($AW$2:$AW$662,AW76)</f>
        <v/>
      </c>
      <c r="BA76" s="4">
        <f>COUNTIF($AX$2:$AX$662,AX76)</f>
        <v/>
      </c>
      <c r="BB76" s="4">
        <f>COUNTIF($AY$2:$AY$662,AY76)</f>
        <v/>
      </c>
      <c r="BC76" s="3">
        <f t="array" ref="BC76">IF(N(AO76)&gt;=MIN_N,AN76,IF(BB76&gt;=MIN_N,MEDIAN(IF($AY$2:$AY$662=AY76,$O$2:$O$662)),IF(BA76&gt;=MIN_N,MEDIAN(IF($AX$2:$AX$662=AX76,$O$2:$O$662)),MEDIAN(IF($AW$2:$AW$662=AW76,$O$2:$O$662)))))</f>
        <v/>
      </c>
      <c r="BD76" s="3">
        <f>IF(N(AO76)&gt;=MIN_N,"mercado "&amp;AP76,IF(BB76&gt;=MIN_N,"modelo+año+km",IF(BA76&gt;=MIN_N,"modelo+año","modelo")))</f>
        <v/>
      </c>
      <c r="BE76" s="4">
        <f>(BC76-O76)/BC76</f>
        <v/>
      </c>
      <c r="BF76" s="3">
        <f>IF(OR(K76="hibrido",K76="glp"),"ECO",IF(K76="electrico","CERO",IF(K76="gasolina",IF(M76&gt;=GAS_C,"C",IF(M76&gt;=GAS_B,"B","A")),IF(K76="diesel",IF(M76&gt;=DIE_C,"C",IF(M76&gt;=DIE_B,"B","A")),""))))</f>
        <v/>
      </c>
      <c r="BG76" s="3">
        <f>IFERROR(VLOOKUP(F76,MOD_TBL,11,0),IFERROR(VLOOKUP(E76,OCU_TBL,2,0),NEUTRO))</f>
        <v/>
      </c>
      <c r="BH76" s="3">
        <f>SUMIFS(MOT_AJUSTE,MOT_MOTOR,G76,MOT_MARCA,E76,MOT_DESDE,"&lt;="&amp;M76,MOT_HASTA,"&gt;="&amp;M76)+SUMIFS(MOT_AJUSTE,MOT_MOTOR,G76,MOT_MARCA,"(todas)",MOT_DESDE,"&lt;="&amp;M76,MOT_HASTA,"&gt;="&amp;M76)</f>
        <v/>
      </c>
      <c r="BI76" s="3">
        <f>SUMIFS(COMB_AJUSTE,COMB_COMB,K76)</f>
        <v/>
      </c>
      <c r="BJ76" s="3">
        <f>COUNTIFS(MOT_MOTOR,G76,MOT_MARCA,E76,MOT_DESDE,"&lt;="&amp;M76,MOT_HASTA,"&gt;="&amp;M76)+COUNTIFS(MOT_MOTOR,G76,MOT_MARCA,"(todas)",MOT_DESDE,"&lt;="&amp;M76,MOT_HASTA,"&gt;="&amp;M76)</f>
        <v/>
      </c>
      <c r="BK76" s="3">
        <f>IF(AND(K76="diesel",BJ76=0),MIN(BG76,NEUTRO),BG76)</f>
        <v/>
      </c>
      <c r="BL76" s="4">
        <f>MAX(0,MIN(100,BK76+BH76+BI76))</f>
        <v/>
      </c>
      <c r="BM76" s="3">
        <f>MAX(0,MIN(100,50+BE76*PRECIO_PEND))</f>
        <v/>
      </c>
      <c r="BN76" s="3">
        <f>MAX(0,100*(1-N76/KM_MAX))</f>
        <v/>
      </c>
      <c r="BO76" s="3">
        <f>IF(AV76&lt;KMA_SOSP,IF(AA76="sí",100,KMA_PEN),IF(AV76&lt;=KMA_IDEAL_MAX,100,MAX(0,100*(KMA_CERO-AV76)/(KMA_CERO-KMA_IDEAL_MAX))))</f>
        <v/>
      </c>
      <c r="BP76" s="3">
        <f>MAX(0,MIN(100,100*(M76-ANIO_MIN)/(ANIO_ACTUAL-ANIO_MIN)))</f>
        <v/>
      </c>
      <c r="BQ76" s="3">
        <f>W_KMT*BN76+W_KMA*BO76+W_EDAD*BP76</f>
        <v/>
      </c>
      <c r="BR76" s="3">
        <f>P_ITV*(V76="sí")+P_LIBRO*(W76="sí")+P_CORREA*(X76="sí")+P_PROP*(Y76=1)+P_GAR*(Z76="sí")+P_FOTOS*MIN(1,N(U76)/FOTOS_OBJ)</f>
        <v/>
      </c>
      <c r="BS76" s="3">
        <f>IFERROR(VLOOKUP(BF76,ETQ_TBL,2,0),NEUTRO)</f>
        <v/>
      </c>
      <c r="BT76" s="3">
        <f>NEUTRO</f>
        <v/>
      </c>
      <c r="BU76" s="3">
        <f>IFERROR(VLOOKUP(L76,SEGURO_TBL,3,0),"")</f>
        <v/>
      </c>
      <c r="BV76" s="3">
        <f>IF(BU76="",NEUTRO,MAX(0,MIN(100,100*(SEG_REF_MAX-BU76)/(SEG_REF_MAX-SEG_REF_MIN))))</f>
        <v/>
      </c>
      <c r="BW76" s="3">
        <f>W_ET*BS76+W_CONS*BT76+W_SEG*BV76</f>
        <v/>
      </c>
      <c r="BX76" s="3">
        <f>IF(N(AB76)&gt;0,AB76,IF(AND(R76="profesional",SG_LEGAL_ON=1),GAR_LEGAL,0))</f>
        <v/>
      </c>
      <c r="BY76" s="3">
        <f>SG_GAR*MIN(1,BX76/SG_GAR_FULL)+SG_AMPL*(AC76="sí")+SG_KMC*(AF76="sí")+SG_REV*(N(AE76)&gt;0)+SG_DEV*MIN(1,N(AG76)/SG_DEV_FULL)+SG_HIST*(W76="sí")</f>
        <v/>
      </c>
      <c r="BZ76" s="3">
        <f>IFERROR(VLOOKUP(L76,CARR_PEN_TBL,2,0),0)</f>
        <v/>
      </c>
      <c r="CA76" s="3">
        <f>W_FIAB*BL76+W_PRECIO*BM76+W_KMEDAD*BQ76+W_ANUNCIO*BR76+W_USO*BW76+W_SEGURIDAD*BY76-BZ76</f>
        <v/>
      </c>
      <c r="CB76" s="4">
        <f>IF(N(I76)&gt;0,I76,IFERROR(ROUND(_xlfn.NUMBERVALUE(LEFT(G76,FIND(" ",G76&amp;" ")-1),".")*1000,0),99999))</f>
        <v/>
      </c>
      <c r="CC76" s="3">
        <f>IF(R76="profesional",0,IF(O76&lt;CUOTA_VALOR_MAX,IF(AU76&gt;ITP_TRAMO_ALTO,SUMIFS(CF_CUOTA,CF_MAS,ITP_TRAMO_ALTO,CF_CCMIN,"&lt;="&amp;CB76,CF_CCMAX,"&gt;="&amp;CB76),IF(AU76&gt;ITP_TRAMO_BAJO,SUMIFS(CF_CUOTA,CF_MAS,ITP_TRAMO_BAJO,CF_CCMIN,"&lt;="&amp;CB76,CF_CCMAX,"&gt;="&amp;CB76),O76*ITP_TIPO)),O76*ITP_TIPO))</f>
        <v/>
      </c>
      <c r="CD76" s="4">
        <f>IF(R76="profesional",N(AK76),0)</f>
        <v/>
      </c>
      <c r="CE76" s="3">
        <f>IF(AND(R76="profesional",ISNUMBER(AK76),AL76="sí"),0,TASA_DGT)</f>
        <v/>
      </c>
      <c r="CF76" s="3">
        <f>INFORME_DGT</f>
        <v/>
      </c>
      <c r="CG76" s="4">
        <f>O76+CD76+CC76+CE76+CF76</f>
        <v/>
      </c>
      <c r="CH76" s="4">
        <f>CG76+N(BU76)</f>
        <v/>
      </c>
      <c r="CI76" s="3">
        <f>IF(CG76&lt;=TOTAL_MAX,"sí",IF(CG76&lt;=TOTAL_MAX+MARGEN_NEG,"negociar","no"))</f>
        <v/>
      </c>
      <c r="CJ76" s="4">
        <f>IF(CI76&lt;&gt;"no",COUNTIFS($CI$2:$CI$662,"&lt;&gt;no",$CA$2:$CA$662,"&gt;"&amp;CA76)+COUNTIFS($CI$2:CI76,"&lt;&gt;no",$CA$2:CA76,CA76),"")</f>
        <v/>
      </c>
    </row>
    <row r="77">
      <c r="A77" s="2" t="inlineStr">
        <is>
          <t>wallapop:1290605393</t>
        </is>
      </c>
      <c r="B77" s="2" t="inlineStr">
        <is>
          <t>wallapop</t>
        </is>
      </c>
      <c r="C77" s="2" t="inlineStr">
        <is>
          <t>https://es.wallapop.com/item/chevrolet-aveo-2012-1290605393</t>
        </is>
      </c>
      <c r="D77" s="2" t="inlineStr">
        <is>
          <t>SE VENDE Chevrolet Aveo 1.4 2012 - Etiqueta C</t>
        </is>
      </c>
      <c r="E77" s="2" t="inlineStr">
        <is>
          <t>Chevrolet</t>
        </is>
      </c>
      <c r="F77" s="2" t="inlineStr">
        <is>
          <t>Chevrolet Aveo</t>
        </is>
      </c>
      <c r="G77" s="2" t="inlineStr">
        <is>
          <t>1.4</t>
        </is>
      </c>
      <c r="H77" s="2" t="inlineStr">
        <is>
          <t>1.4 100 LT+ 5p MY12</t>
        </is>
      </c>
      <c r="I77" s="2" t="n"/>
      <c r="J77" s="2" t="n">
        <v>100</v>
      </c>
      <c r="K77" s="2" t="inlineStr">
        <is>
          <t>gasolina</t>
        </is>
      </c>
      <c r="L77" s="2" t="inlineStr">
        <is>
          <t>utilitario</t>
        </is>
      </c>
      <c r="M77" s="2" t="n">
        <v>2012</v>
      </c>
      <c r="N77" s="2" t="n">
        <v>211000</v>
      </c>
      <c r="O77" s="2" t="n">
        <v>4000</v>
      </c>
      <c r="P77" s="2" t="inlineStr">
        <is>
          <t>manual</t>
        </is>
      </c>
      <c r="Q77" s="2" t="inlineStr">
        <is>
          <t>no</t>
        </is>
      </c>
      <c r="R77" s="2" t="inlineStr">
        <is>
          <t>particular</t>
        </is>
      </c>
      <c r="S77" s="2" t="inlineStr">
        <is>
          <t>Valencia (46007)</t>
        </is>
      </c>
      <c r="T77" s="2" t="inlineStr">
        <is>
          <t>2026-09-10T11:16:51</t>
        </is>
      </c>
      <c r="U77" s="2" t="n">
        <v>10</v>
      </c>
      <c r="V77" s="2" t="n"/>
      <c r="W77" s="2" t="n"/>
      <c r="X77" s="2" t="n"/>
      <c r="Y77" s="2" t="n"/>
      <c r="Z77" s="2" t="n"/>
      <c r="AA77" s="2" t="n"/>
      <c r="AB77" s="2" t="n"/>
      <c r="AC77" s="2" t="n"/>
      <c r="AD77" s="2" t="n"/>
      <c r="AE77" s="2" t="n"/>
      <c r="AF77" s="2" t="n"/>
      <c r="AG77" s="2" t="n"/>
      <c r="AH77" s="2" t="n"/>
      <c r="AI77" s="2" t="n"/>
      <c r="AJ77" s="2" t="n"/>
      <c r="AK77" s="2" t="n"/>
      <c r="AL77" s="2" t="n"/>
      <c r="AM77" s="2" t="n">
        <v>1</v>
      </c>
      <c r="AN77" s="2" t="n">
        <v>3950</v>
      </c>
      <c r="AO77" s="2" t="n">
        <v>12</v>
      </c>
      <c r="AP77" s="2" t="inlineStr">
        <is>
          <t>modelo+año</t>
        </is>
      </c>
      <c r="AQ77" s="2" t="n"/>
      <c r="AR77" s="2" t="inlineStr">
        <is>
          <t>cuota fija ITP: &gt;12 años, hasta 1.500 cc; fiabilidad del modelo PENDIENTE de fuente (puntuación neutra)</t>
        </is>
      </c>
      <c r="AS77" s="2" t="inlineStr">
        <is>
          <t>Vendo mi Chevrolet Aveo 1.4 gasolina del año 2012 itv 2027 todos los impuestos pagados.
Un coche muy fiable y súper económico, ideal para diario. Se aceptan cambios por moto y oro...</t>
        </is>
      </c>
      <c r="AT77" s="2" t="inlineStr">
        <is>
          <t>https://es.wallapop.com/item/chevrolet-aveo-2012-1290605393 (__NEXT_DATA__ item) /home/user/Alopecia/buscador-coches/raw/wallapop/10a13ec19628f129.json</t>
        </is>
      </c>
      <c r="AU77" s="3">
        <f>MAX(ANIO_ACTUAL-M77,0)</f>
        <v/>
      </c>
      <c r="AV77" s="4">
        <f>N77/MAX(AU77,0.5)</f>
        <v/>
      </c>
      <c r="AW77" s="4">
        <f>F77</f>
        <v/>
      </c>
      <c r="AX77" s="3">
        <f>AW77&amp;"|"&amp;INT(M77/SEG_ANIO)*SEG_ANIO</f>
        <v/>
      </c>
      <c r="AY77" s="3">
        <f>AX77&amp;"|"&amp;INT(N77/SEG_KM)*SEG_KM</f>
        <v/>
      </c>
      <c r="AZ77" s="4">
        <f>COUNTIF($AW$2:$AW$662,AW77)</f>
        <v/>
      </c>
      <c r="BA77" s="4">
        <f>COUNTIF($AX$2:$AX$662,AX77)</f>
        <v/>
      </c>
      <c r="BB77" s="4">
        <f>COUNTIF($AY$2:$AY$662,AY77)</f>
        <v/>
      </c>
      <c r="BC77" s="3">
        <f t="array" ref="BC77">IF(N(AO77)&gt;=MIN_N,AN77,IF(BB77&gt;=MIN_N,MEDIAN(IF($AY$2:$AY$662=AY77,$O$2:$O$662)),IF(BA77&gt;=MIN_N,MEDIAN(IF($AX$2:$AX$662=AX77,$O$2:$O$662)),MEDIAN(IF($AW$2:$AW$662=AW77,$O$2:$O$662)))))</f>
        <v/>
      </c>
      <c r="BD77" s="3">
        <f>IF(N(AO77)&gt;=MIN_N,"mercado "&amp;AP77,IF(BB77&gt;=MIN_N,"modelo+año+km",IF(BA77&gt;=MIN_N,"modelo+año","modelo")))</f>
        <v/>
      </c>
      <c r="BE77" s="4">
        <f>(BC77-O77)/BC77</f>
        <v/>
      </c>
      <c r="BF77" s="3">
        <f>IF(OR(K77="hibrido",K77="glp"),"ECO",IF(K77="electrico","CERO",IF(K77="gasolina",IF(M77&gt;=GAS_C,"C",IF(M77&gt;=GAS_B,"B","A")),IF(K77="diesel",IF(M77&gt;=DIE_C,"C",IF(M77&gt;=DIE_B,"B","A")),""))))</f>
        <v/>
      </c>
      <c r="BG77" s="3">
        <f>IFERROR(VLOOKUP(F77,MOD_TBL,11,0),IFERROR(VLOOKUP(E77,OCU_TBL,2,0),NEUTRO))</f>
        <v/>
      </c>
      <c r="BH77" s="3">
        <f>SUMIFS(MOT_AJUSTE,MOT_MOTOR,G77,MOT_MARCA,E77,MOT_DESDE,"&lt;="&amp;M77,MOT_HASTA,"&gt;="&amp;M77)+SUMIFS(MOT_AJUSTE,MOT_MOTOR,G77,MOT_MARCA,"(todas)",MOT_DESDE,"&lt;="&amp;M77,MOT_HASTA,"&gt;="&amp;M77)</f>
        <v/>
      </c>
      <c r="BI77" s="3">
        <f>SUMIFS(COMB_AJUSTE,COMB_COMB,K77)</f>
        <v/>
      </c>
      <c r="BJ77" s="3">
        <f>COUNTIFS(MOT_MOTOR,G77,MOT_MARCA,E77,MOT_DESDE,"&lt;="&amp;M77,MOT_HASTA,"&gt;="&amp;M77)+COUNTIFS(MOT_MOTOR,G77,MOT_MARCA,"(todas)",MOT_DESDE,"&lt;="&amp;M77,MOT_HASTA,"&gt;="&amp;M77)</f>
        <v/>
      </c>
      <c r="BK77" s="3">
        <f>IF(AND(K77="diesel",BJ77=0),MIN(BG77,NEUTRO),BG77)</f>
        <v/>
      </c>
      <c r="BL77" s="4">
        <f>MAX(0,MIN(100,BK77+BH77+BI77))</f>
        <v/>
      </c>
      <c r="BM77" s="3">
        <f>MAX(0,MIN(100,50+BE77*PRECIO_PEND))</f>
        <v/>
      </c>
      <c r="BN77" s="3">
        <f>MAX(0,100*(1-N77/KM_MAX))</f>
        <v/>
      </c>
      <c r="BO77" s="3">
        <f>IF(AV77&lt;KMA_SOSP,IF(AA77="sí",100,KMA_PEN),IF(AV77&lt;=KMA_IDEAL_MAX,100,MAX(0,100*(KMA_CERO-AV77)/(KMA_CERO-KMA_IDEAL_MAX))))</f>
        <v/>
      </c>
      <c r="BP77" s="3">
        <f>MAX(0,MIN(100,100*(M77-ANIO_MIN)/(ANIO_ACTUAL-ANIO_MIN)))</f>
        <v/>
      </c>
      <c r="BQ77" s="3">
        <f>W_KMT*BN77+W_KMA*BO77+W_EDAD*BP77</f>
        <v/>
      </c>
      <c r="BR77" s="3">
        <f>P_ITV*(V77="sí")+P_LIBRO*(W77="sí")+P_CORREA*(X77="sí")+P_PROP*(Y77=1)+P_GAR*(Z77="sí")+P_FOTOS*MIN(1,N(U77)/FOTOS_OBJ)</f>
        <v/>
      </c>
      <c r="BS77" s="3">
        <f>IFERROR(VLOOKUP(BF77,ETQ_TBL,2,0),NEUTRO)</f>
        <v/>
      </c>
      <c r="BT77" s="3">
        <f>NEUTRO</f>
        <v/>
      </c>
      <c r="BU77" s="3">
        <f>IFERROR(VLOOKUP(L77,SEGURO_TBL,3,0),"")</f>
        <v/>
      </c>
      <c r="BV77" s="3">
        <f>IF(BU77="",NEUTRO,MAX(0,MIN(100,100*(SEG_REF_MAX-BU77)/(SEG_REF_MAX-SEG_REF_MIN))))</f>
        <v/>
      </c>
      <c r="BW77" s="3">
        <f>W_ET*BS77+W_CONS*BT77+W_SEG*BV77</f>
        <v/>
      </c>
      <c r="BX77" s="3">
        <f>IF(N(AB77)&gt;0,AB77,IF(AND(R77="profesional",SG_LEGAL_ON=1),GAR_LEGAL,0))</f>
        <v/>
      </c>
      <c r="BY77" s="3">
        <f>SG_GAR*MIN(1,BX77/SG_GAR_FULL)+SG_AMPL*(AC77="sí")+SG_KMC*(AF77="sí")+SG_REV*(N(AE77)&gt;0)+SG_DEV*MIN(1,N(AG77)/SG_DEV_FULL)+SG_HIST*(W77="sí")</f>
        <v/>
      </c>
      <c r="BZ77" s="3">
        <f>IFERROR(VLOOKUP(L77,CARR_PEN_TBL,2,0),0)</f>
        <v/>
      </c>
      <c r="CA77" s="3">
        <f>W_FIAB*BL77+W_PRECIO*BM77+W_KMEDAD*BQ77+W_ANUNCIO*BR77+W_USO*BW77+W_SEGURIDAD*BY77-BZ77</f>
        <v/>
      </c>
      <c r="CB77" s="4">
        <f>IF(N(I77)&gt;0,I77,IFERROR(ROUND(_xlfn.NUMBERVALUE(LEFT(G77,FIND(" ",G77&amp;" ")-1),".")*1000,0),99999))</f>
        <v/>
      </c>
      <c r="CC77" s="3">
        <f>IF(R77="profesional",0,IF(O77&lt;CUOTA_VALOR_MAX,IF(AU77&gt;ITP_TRAMO_ALTO,SUMIFS(CF_CUOTA,CF_MAS,ITP_TRAMO_ALTO,CF_CCMIN,"&lt;="&amp;CB77,CF_CCMAX,"&gt;="&amp;CB77),IF(AU77&gt;ITP_TRAMO_BAJO,SUMIFS(CF_CUOTA,CF_MAS,ITP_TRAMO_BAJO,CF_CCMIN,"&lt;="&amp;CB77,CF_CCMAX,"&gt;="&amp;CB77),O77*ITP_TIPO)),O77*ITP_TIPO))</f>
        <v/>
      </c>
      <c r="CD77" s="4">
        <f>IF(R77="profesional",N(AK77),0)</f>
        <v/>
      </c>
      <c r="CE77" s="3">
        <f>IF(AND(R77="profesional",ISNUMBER(AK77),AL77="sí"),0,TASA_DGT)</f>
        <v/>
      </c>
      <c r="CF77" s="3">
        <f>INFORME_DGT</f>
        <v/>
      </c>
      <c r="CG77" s="4">
        <f>O77+CD77+CC77+CE77+CF77</f>
        <v/>
      </c>
      <c r="CH77" s="4">
        <f>CG77+N(BU77)</f>
        <v/>
      </c>
      <c r="CI77" s="3">
        <f>IF(CG77&lt;=TOTAL_MAX,"sí",IF(CG77&lt;=TOTAL_MAX+MARGEN_NEG,"negociar","no"))</f>
        <v/>
      </c>
      <c r="CJ77" s="4">
        <f>IF(CI77&lt;&gt;"no",COUNTIFS($CI$2:$CI$662,"&lt;&gt;no",$CA$2:$CA$662,"&gt;"&amp;CA77)+COUNTIFS($CI$2:CI77,"&lt;&gt;no",$CA$2:CA77,CA77),"")</f>
        <v/>
      </c>
    </row>
    <row r="78">
      <c r="A78" s="2" t="inlineStr">
        <is>
          <t>wallapop:1315219772</t>
        </is>
      </c>
      <c r="B78" s="2" t="inlineStr">
        <is>
          <t>wallapop</t>
        </is>
      </c>
      <c r="C78" s="2" t="inlineStr">
        <is>
          <t>https://es.wallapop.com/item/chevrolet-cruze-2011-1315219772</t>
        </is>
      </c>
      <c r="D78" s="2" t="inlineStr">
        <is>
          <t>Chevrolet Cruze 2011</t>
        </is>
      </c>
      <c r="E78" s="2" t="inlineStr">
        <is>
          <t>Chevrolet</t>
        </is>
      </c>
      <c r="F78" s="2" t="inlineStr">
        <is>
          <t>Chevrolet Cruze</t>
        </is>
      </c>
      <c r="G78" s="2" t="inlineStr">
        <is>
          <t>2.0</t>
        </is>
      </c>
      <c r="H78" s="2" t="inlineStr">
        <is>
          <t>2.0 VCDI 125 LS 4p</t>
        </is>
      </c>
      <c r="I78" s="2" t="n"/>
      <c r="J78" s="2" t="n">
        <v>125</v>
      </c>
      <c r="K78" s="2" t="inlineStr">
        <is>
          <t>diesel</t>
        </is>
      </c>
      <c r="L78" s="2" t="inlineStr">
        <is>
          <t>berlina</t>
        </is>
      </c>
      <c r="M78" s="2" t="n">
        <v>2011</v>
      </c>
      <c r="N78" s="2" t="n">
        <v>200000</v>
      </c>
      <c r="O78" s="2" t="n">
        <v>2900</v>
      </c>
      <c r="P78" s="2" t="inlineStr">
        <is>
          <t>manual</t>
        </is>
      </c>
      <c r="Q78" s="2" t="inlineStr">
        <is>
          <t>no</t>
        </is>
      </c>
      <c r="R78" s="2" t="inlineStr">
        <is>
          <t>particular</t>
        </is>
      </c>
      <c r="S78" s="2" t="inlineStr">
        <is>
          <t>Valencia (46002)</t>
        </is>
      </c>
      <c r="T78" s="2" t="inlineStr">
        <is>
          <t>2026-10-22T09:26:33</t>
        </is>
      </c>
      <c r="U78" s="2" t="n">
        <v>5</v>
      </c>
      <c r="V78" s="2" t="inlineStr">
        <is>
          <t>sí</t>
        </is>
      </c>
      <c r="W78" s="2" t="n"/>
      <c r="X78" s="2" t="n"/>
      <c r="Y78" s="2" t="n"/>
      <c r="Z78" s="2" t="n"/>
      <c r="AA78" s="2" t="n"/>
      <c r="AB78" s="2" t="n"/>
      <c r="AC78" s="2" t="n"/>
      <c r="AD78" s="2" t="n"/>
      <c r="AE78" s="2" t="n"/>
      <c r="AF78" s="2" t="n"/>
      <c r="AG78" s="2" t="n"/>
      <c r="AH78" s="2" t="n"/>
      <c r="AI78" s="2" t="n"/>
      <c r="AJ78" s="2" t="n"/>
      <c r="AK78" s="2" t="n"/>
      <c r="AL78" s="2" t="n"/>
      <c r="AM78" s="2" t="n">
        <v>0.9</v>
      </c>
      <c r="AN78" s="2" t="n">
        <v>3100</v>
      </c>
      <c r="AO78" s="2" t="n">
        <v>6</v>
      </c>
      <c r="AP78" s="2" t="inlineStr">
        <is>
          <t>modelo+año+km</t>
        </is>
      </c>
      <c r="AQ78" s="2" t="inlineStr">
        <is>
          <t>cochesnet:71789862 (https://www.coches.net/chevrolet-cruze-20-vcdi-lt-5p-diesel-2011-en-valencia-71789862-covo.aspx)</t>
        </is>
      </c>
      <c r="AR78" s="2" t="inlineStr">
        <is>
          <t>cuota fija ITP: &gt;12 años, 1.501-2.000 cc; diésel: motor sin fuente de fiabilidad (fiabilidad limitada a neutra); carrocería berlina: -4 puntos; fiabilidad del modelo PENDIENTE de fuente (puntuación neutra)</t>
        </is>
      </c>
      <c r="AS78" s="2" t="inlineStr">
        <is>
          <t xml:space="preserve">Año 2011
Aceite y filtro 
Diesel 
280000 kilómetros 
Itv recién pasada 
</t>
        </is>
      </c>
      <c r="AT78" s="2" t="inlineStr">
        <is>
          <t>https://es.wallapop.com/item/chevrolet-cruze-2011-1315219772 (__NEXT_DATA__ item) /home/user/Alopecia/buscador-coches/raw/wallapop/62e60c3afd9f29ce.json</t>
        </is>
      </c>
      <c r="AU78" s="3">
        <f>MAX(ANIO_ACTUAL-M78,0)</f>
        <v/>
      </c>
      <c r="AV78" s="4">
        <f>N78/MAX(AU78,0.5)</f>
        <v/>
      </c>
      <c r="AW78" s="4">
        <f>F78</f>
        <v/>
      </c>
      <c r="AX78" s="3">
        <f>AW78&amp;"|"&amp;INT(M78/SEG_ANIO)*SEG_ANIO</f>
        <v/>
      </c>
      <c r="AY78" s="3">
        <f>AX78&amp;"|"&amp;INT(N78/SEG_KM)*SEG_KM</f>
        <v/>
      </c>
      <c r="AZ78" s="4">
        <f>COUNTIF($AW$2:$AW$662,AW78)</f>
        <v/>
      </c>
      <c r="BA78" s="4">
        <f>COUNTIF($AX$2:$AX$662,AX78)</f>
        <v/>
      </c>
      <c r="BB78" s="4">
        <f>COUNTIF($AY$2:$AY$662,AY78)</f>
        <v/>
      </c>
      <c r="BC78" s="3">
        <f t="array" ref="BC78">IF(N(AO78)&gt;=MIN_N,AN78,IF(BB78&gt;=MIN_N,MEDIAN(IF($AY$2:$AY$662=AY78,$O$2:$O$662)),IF(BA78&gt;=MIN_N,MEDIAN(IF($AX$2:$AX$662=AX78,$O$2:$O$662)),MEDIAN(IF($AW$2:$AW$662=AW78,$O$2:$O$662)))))</f>
        <v/>
      </c>
      <c r="BD78" s="3">
        <f>IF(N(AO78)&gt;=MIN_N,"mercado "&amp;AP78,IF(BB78&gt;=MIN_N,"modelo+año+km",IF(BA78&gt;=MIN_N,"modelo+año","modelo")))</f>
        <v/>
      </c>
      <c r="BE78" s="4">
        <f>(BC78-O78)/BC78</f>
        <v/>
      </c>
      <c r="BF78" s="3">
        <f>IF(OR(K78="hibrido",K78="glp"),"ECO",IF(K78="electrico","CERO",IF(K78="gasolina",IF(M78&gt;=GAS_C,"C",IF(M78&gt;=GAS_B,"B","A")),IF(K78="diesel",IF(M78&gt;=DIE_C,"C",IF(M78&gt;=DIE_B,"B","A")),""))))</f>
        <v/>
      </c>
      <c r="BG78" s="3">
        <f>IFERROR(VLOOKUP(F78,MOD_TBL,11,0),IFERROR(VLOOKUP(E78,OCU_TBL,2,0),NEUTRO))</f>
        <v/>
      </c>
      <c r="BH78" s="3">
        <f>SUMIFS(MOT_AJUSTE,MOT_MOTOR,G78,MOT_MARCA,E78,MOT_DESDE,"&lt;="&amp;M78,MOT_HASTA,"&gt;="&amp;M78)+SUMIFS(MOT_AJUSTE,MOT_MOTOR,G78,MOT_MARCA,"(todas)",MOT_DESDE,"&lt;="&amp;M78,MOT_HASTA,"&gt;="&amp;M78)</f>
        <v/>
      </c>
      <c r="BI78" s="3">
        <f>SUMIFS(COMB_AJUSTE,COMB_COMB,K78)</f>
        <v/>
      </c>
      <c r="BJ78" s="3">
        <f>COUNTIFS(MOT_MOTOR,G78,MOT_MARCA,E78,MOT_DESDE,"&lt;="&amp;M78,MOT_HASTA,"&gt;="&amp;M78)+COUNTIFS(MOT_MOTOR,G78,MOT_MARCA,"(todas)",MOT_DESDE,"&lt;="&amp;M78,MOT_HASTA,"&gt;="&amp;M78)</f>
        <v/>
      </c>
      <c r="BK78" s="3">
        <f>IF(AND(K78="diesel",BJ78=0),MIN(BG78,NEUTRO),BG78)</f>
        <v/>
      </c>
      <c r="BL78" s="4">
        <f>MAX(0,MIN(100,BK78+BH78+BI78))</f>
        <v/>
      </c>
      <c r="BM78" s="3">
        <f>MAX(0,MIN(100,50+BE78*PRECIO_PEND))</f>
        <v/>
      </c>
      <c r="BN78" s="3">
        <f>MAX(0,100*(1-N78/KM_MAX))</f>
        <v/>
      </c>
      <c r="BO78" s="3">
        <f>IF(AV78&lt;KMA_SOSP,IF(AA78="sí",100,KMA_PEN),IF(AV78&lt;=KMA_IDEAL_MAX,100,MAX(0,100*(KMA_CERO-AV78)/(KMA_CERO-KMA_IDEAL_MAX))))</f>
        <v/>
      </c>
      <c r="BP78" s="3">
        <f>MAX(0,MIN(100,100*(M78-ANIO_MIN)/(ANIO_ACTUAL-ANIO_MIN)))</f>
        <v/>
      </c>
      <c r="BQ78" s="3">
        <f>W_KMT*BN78+W_KMA*BO78+W_EDAD*BP78</f>
        <v/>
      </c>
      <c r="BR78" s="3">
        <f>P_ITV*(V78="sí")+P_LIBRO*(W78="sí")+P_CORREA*(X78="sí")+P_PROP*(Y78=1)+P_GAR*(Z78="sí")+P_FOTOS*MIN(1,N(U78)/FOTOS_OBJ)</f>
        <v/>
      </c>
      <c r="BS78" s="3">
        <f>IFERROR(VLOOKUP(BF78,ETQ_TBL,2,0),NEUTRO)</f>
        <v/>
      </c>
      <c r="BT78" s="3">
        <f>NEUTRO</f>
        <v/>
      </c>
      <c r="BU78" s="3">
        <f>IFERROR(VLOOKUP(L78,SEGURO_TBL,3,0),"")</f>
        <v/>
      </c>
      <c r="BV78" s="3">
        <f>IF(BU78="",NEUTRO,MAX(0,MIN(100,100*(SEG_REF_MAX-BU78)/(SEG_REF_MAX-SEG_REF_MIN))))</f>
        <v/>
      </c>
      <c r="BW78" s="3">
        <f>W_ET*BS78+W_CONS*BT78+W_SEG*BV78</f>
        <v/>
      </c>
      <c r="BX78" s="3">
        <f>IF(N(AB78)&gt;0,AB78,IF(AND(R78="profesional",SG_LEGAL_ON=1),GAR_LEGAL,0))</f>
        <v/>
      </c>
      <c r="BY78" s="3">
        <f>SG_GAR*MIN(1,BX78/SG_GAR_FULL)+SG_AMPL*(AC78="sí")+SG_KMC*(AF78="sí")+SG_REV*(N(AE78)&gt;0)+SG_DEV*MIN(1,N(AG78)/SG_DEV_FULL)+SG_HIST*(W78="sí")</f>
        <v/>
      </c>
      <c r="BZ78" s="3">
        <f>IFERROR(VLOOKUP(L78,CARR_PEN_TBL,2,0),0)</f>
        <v/>
      </c>
      <c r="CA78" s="3">
        <f>W_FIAB*BL78+W_PRECIO*BM78+W_KMEDAD*BQ78+W_ANUNCIO*BR78+W_USO*BW78+W_SEGURIDAD*BY78-BZ78</f>
        <v/>
      </c>
      <c r="CB78" s="4">
        <f>IF(N(I78)&gt;0,I78,IFERROR(ROUND(_xlfn.NUMBERVALUE(LEFT(G78,FIND(" ",G78&amp;" ")-1),".")*1000,0),99999))</f>
        <v/>
      </c>
      <c r="CC78" s="3">
        <f>IF(R78="profesional",0,IF(O78&lt;CUOTA_VALOR_MAX,IF(AU78&gt;ITP_TRAMO_ALTO,SUMIFS(CF_CUOTA,CF_MAS,ITP_TRAMO_ALTO,CF_CCMIN,"&lt;="&amp;CB78,CF_CCMAX,"&gt;="&amp;CB78),IF(AU78&gt;ITP_TRAMO_BAJO,SUMIFS(CF_CUOTA,CF_MAS,ITP_TRAMO_BAJO,CF_CCMIN,"&lt;="&amp;CB78,CF_CCMAX,"&gt;="&amp;CB78),O78*ITP_TIPO)),O78*ITP_TIPO))</f>
        <v/>
      </c>
      <c r="CD78" s="4">
        <f>IF(R78="profesional",N(AK78),0)</f>
        <v/>
      </c>
      <c r="CE78" s="3">
        <f>IF(AND(R78="profesional",ISNUMBER(AK78),AL78="sí"),0,TASA_DGT)</f>
        <v/>
      </c>
      <c r="CF78" s="3">
        <f>INFORME_DGT</f>
        <v/>
      </c>
      <c r="CG78" s="4">
        <f>O78+CD78+CC78+CE78+CF78</f>
        <v/>
      </c>
      <c r="CH78" s="4">
        <f>CG78+N(BU78)</f>
        <v/>
      </c>
      <c r="CI78" s="3">
        <f>IF(CG78&lt;=TOTAL_MAX,"sí",IF(CG78&lt;=TOTAL_MAX+MARGEN_NEG,"negociar","no"))</f>
        <v/>
      </c>
      <c r="CJ78" s="4">
        <f>IF(CI78&lt;&gt;"no",COUNTIFS($CI$2:$CI$662,"&lt;&gt;no",$CA$2:$CA$662,"&gt;"&amp;CA78)+COUNTIFS($CI$2:CI78,"&lt;&gt;no",$CA$2:CA78,CA78),"")</f>
        <v/>
      </c>
    </row>
    <row r="79">
      <c r="A79" s="2" t="inlineStr">
        <is>
          <t>wallapop:1235670974</t>
        </is>
      </c>
      <c r="B79" s="2" t="inlineStr">
        <is>
          <t>wallapop</t>
        </is>
      </c>
      <c r="C79" s="2" t="inlineStr">
        <is>
          <t>https://es.wallapop.com/item/chevrolet-cruze-2012-1235670974</t>
        </is>
      </c>
      <c r="D79" s="2" t="inlineStr">
        <is>
          <t>Chevrolet Cruze 2012</t>
        </is>
      </c>
      <c r="E79" s="2" t="inlineStr">
        <is>
          <t>Chevrolet</t>
        </is>
      </c>
      <c r="F79" s="2" t="inlineStr">
        <is>
          <t>Chevrolet Cruze</t>
        </is>
      </c>
      <c r="G79" s="2" t="inlineStr">
        <is>
          <t>1.6</t>
        </is>
      </c>
      <c r="H79" s="2" t="inlineStr">
        <is>
          <t>1.6 16v 124 LS+ A/A 5p MY12</t>
        </is>
      </c>
      <c r="I79" s="2" t="n"/>
      <c r="J79" s="2" t="n">
        <v>124</v>
      </c>
      <c r="K79" s="2" t="inlineStr">
        <is>
          <t>gasolina</t>
        </is>
      </c>
      <c r="L79" s="2" t="inlineStr">
        <is>
          <t>compacto</t>
        </is>
      </c>
      <c r="M79" s="2" t="n">
        <v>2012</v>
      </c>
      <c r="N79" s="2" t="n">
        <v>210000</v>
      </c>
      <c r="O79" s="2" t="n">
        <v>2800</v>
      </c>
      <c r="P79" s="2" t="inlineStr">
        <is>
          <t>manual</t>
        </is>
      </c>
      <c r="Q79" s="2" t="inlineStr">
        <is>
          <t>no</t>
        </is>
      </c>
      <c r="R79" s="2" t="inlineStr">
        <is>
          <t>particular</t>
        </is>
      </c>
      <c r="S79" s="2" t="inlineStr">
        <is>
          <t>Valencia (46002)</t>
        </is>
      </c>
      <c r="T79" s="2" t="inlineStr">
        <is>
          <t>2026-10-06T11:49:40</t>
        </is>
      </c>
      <c r="U79" s="2" t="n">
        <v>9</v>
      </c>
      <c r="V79" s="2" t="n"/>
      <c r="W79" s="2" t="n"/>
      <c r="X79" s="2" t="n"/>
      <c r="Y79" s="2" t="n"/>
      <c r="Z79" s="2" t="n"/>
      <c r="AA79" s="2" t="n"/>
      <c r="AB79" s="2" t="n"/>
      <c r="AC79" s="2" t="n"/>
      <c r="AD79" s="2" t="n"/>
      <c r="AE79" s="2" t="n"/>
      <c r="AF79" s="2" t="n"/>
      <c r="AG79" s="2" t="n"/>
      <c r="AH79" s="2" t="n"/>
      <c r="AI79" s="2" t="n"/>
      <c r="AJ79" s="2" t="n"/>
      <c r="AK79" s="2" t="n"/>
      <c r="AL79" s="2" t="n"/>
      <c r="AM79" s="2" t="n">
        <v>0.5</v>
      </c>
      <c r="AN79" s="2" t="n">
        <v>3100</v>
      </c>
      <c r="AO79" s="2" t="n">
        <v>6</v>
      </c>
      <c r="AP79" s="2" t="inlineStr">
        <is>
          <t>modelo+año+km</t>
        </is>
      </c>
      <c r="AQ79" s="2" t="n"/>
      <c r="AR79" s="2" t="inlineStr">
        <is>
          <t>cuota fija ITP: &gt;12 años, 1.501-2.000 cc; fiabilidad del modelo PENDIENTE de fuente (puntuación neutra)</t>
        </is>
      </c>
      <c r="AS79" s="2" t="inlineStr">
        <is>
          <t xml:space="preserve">Chevrolet cruz en buen estado, con desgaste de sus años </t>
        </is>
      </c>
      <c r="AT79" s="2" t="inlineStr">
        <is>
          <t>https://es.wallapop.com/item/chevrolet-cruze-2012-1235670974 (__NEXT_DATA__ item) /home/user/Alopecia/buscador-coches/raw/wallapop/4875f2fdeb0eb4fc.json</t>
        </is>
      </c>
      <c r="AU79" s="3">
        <f>MAX(ANIO_ACTUAL-M79,0)</f>
        <v/>
      </c>
      <c r="AV79" s="4">
        <f>N79/MAX(AU79,0.5)</f>
        <v/>
      </c>
      <c r="AW79" s="4">
        <f>F79</f>
        <v/>
      </c>
      <c r="AX79" s="3">
        <f>AW79&amp;"|"&amp;INT(M79/SEG_ANIO)*SEG_ANIO</f>
        <v/>
      </c>
      <c r="AY79" s="3">
        <f>AX79&amp;"|"&amp;INT(N79/SEG_KM)*SEG_KM</f>
        <v/>
      </c>
      <c r="AZ79" s="4">
        <f>COUNTIF($AW$2:$AW$662,AW79)</f>
        <v/>
      </c>
      <c r="BA79" s="4">
        <f>COUNTIF($AX$2:$AX$662,AX79)</f>
        <v/>
      </c>
      <c r="BB79" s="4">
        <f>COUNTIF($AY$2:$AY$662,AY79)</f>
        <v/>
      </c>
      <c r="BC79" s="3">
        <f t="array" ref="BC79">IF(N(AO79)&gt;=MIN_N,AN79,IF(BB79&gt;=MIN_N,MEDIAN(IF($AY$2:$AY$662=AY79,$O$2:$O$662)),IF(BA79&gt;=MIN_N,MEDIAN(IF($AX$2:$AX$662=AX79,$O$2:$O$662)),MEDIAN(IF($AW$2:$AW$662=AW79,$O$2:$O$662)))))</f>
        <v/>
      </c>
      <c r="BD79" s="3">
        <f>IF(N(AO79)&gt;=MIN_N,"mercado "&amp;AP79,IF(BB79&gt;=MIN_N,"modelo+año+km",IF(BA79&gt;=MIN_N,"modelo+año","modelo")))</f>
        <v/>
      </c>
      <c r="BE79" s="4">
        <f>(BC79-O79)/BC79</f>
        <v/>
      </c>
      <c r="BF79" s="3">
        <f>IF(OR(K79="hibrido",K79="glp"),"ECO",IF(K79="electrico","CERO",IF(K79="gasolina",IF(M79&gt;=GAS_C,"C",IF(M79&gt;=GAS_B,"B","A")),IF(K79="diesel",IF(M79&gt;=DIE_C,"C",IF(M79&gt;=DIE_B,"B","A")),""))))</f>
        <v/>
      </c>
      <c r="BG79" s="3">
        <f>IFERROR(VLOOKUP(F79,MOD_TBL,11,0),IFERROR(VLOOKUP(E79,OCU_TBL,2,0),NEUTRO))</f>
        <v/>
      </c>
      <c r="BH79" s="3">
        <f>SUMIFS(MOT_AJUSTE,MOT_MOTOR,G79,MOT_MARCA,E79,MOT_DESDE,"&lt;="&amp;M79,MOT_HASTA,"&gt;="&amp;M79)+SUMIFS(MOT_AJUSTE,MOT_MOTOR,G79,MOT_MARCA,"(todas)",MOT_DESDE,"&lt;="&amp;M79,MOT_HASTA,"&gt;="&amp;M79)</f>
        <v/>
      </c>
      <c r="BI79" s="3">
        <f>SUMIFS(COMB_AJUSTE,COMB_COMB,K79)</f>
        <v/>
      </c>
      <c r="BJ79" s="3">
        <f>COUNTIFS(MOT_MOTOR,G79,MOT_MARCA,E79,MOT_DESDE,"&lt;="&amp;M79,MOT_HASTA,"&gt;="&amp;M79)+COUNTIFS(MOT_MOTOR,G79,MOT_MARCA,"(todas)",MOT_DESDE,"&lt;="&amp;M79,MOT_HASTA,"&gt;="&amp;M79)</f>
        <v/>
      </c>
      <c r="BK79" s="3">
        <f>IF(AND(K79="diesel",BJ79=0),MIN(BG79,NEUTRO),BG79)</f>
        <v/>
      </c>
      <c r="BL79" s="4">
        <f>MAX(0,MIN(100,BK79+BH79+BI79))</f>
        <v/>
      </c>
      <c r="BM79" s="3">
        <f>MAX(0,MIN(100,50+BE79*PRECIO_PEND))</f>
        <v/>
      </c>
      <c r="BN79" s="3">
        <f>MAX(0,100*(1-N79/KM_MAX))</f>
        <v/>
      </c>
      <c r="BO79" s="3">
        <f>IF(AV79&lt;KMA_SOSP,IF(AA79="sí",100,KMA_PEN),IF(AV79&lt;=KMA_IDEAL_MAX,100,MAX(0,100*(KMA_CERO-AV79)/(KMA_CERO-KMA_IDEAL_MAX))))</f>
        <v/>
      </c>
      <c r="BP79" s="3">
        <f>MAX(0,MIN(100,100*(M79-ANIO_MIN)/(ANIO_ACTUAL-ANIO_MIN)))</f>
        <v/>
      </c>
      <c r="BQ79" s="3">
        <f>W_KMT*BN79+W_KMA*BO79+W_EDAD*BP79</f>
        <v/>
      </c>
      <c r="BR79" s="3">
        <f>P_ITV*(V79="sí")+P_LIBRO*(W79="sí")+P_CORREA*(X79="sí")+P_PROP*(Y79=1)+P_GAR*(Z79="sí")+P_FOTOS*MIN(1,N(U79)/FOTOS_OBJ)</f>
        <v/>
      </c>
      <c r="BS79" s="3">
        <f>IFERROR(VLOOKUP(BF79,ETQ_TBL,2,0),NEUTRO)</f>
        <v/>
      </c>
      <c r="BT79" s="3">
        <f>NEUTRO</f>
        <v/>
      </c>
      <c r="BU79" s="3">
        <f>IFERROR(VLOOKUP(L79,SEGURO_TBL,3,0),"")</f>
        <v/>
      </c>
      <c r="BV79" s="3">
        <f>IF(BU79="",NEUTRO,MAX(0,MIN(100,100*(SEG_REF_MAX-BU79)/(SEG_REF_MAX-SEG_REF_MIN))))</f>
        <v/>
      </c>
      <c r="BW79" s="3">
        <f>W_ET*BS79+W_CONS*BT79+W_SEG*BV79</f>
        <v/>
      </c>
      <c r="BX79" s="3">
        <f>IF(N(AB79)&gt;0,AB79,IF(AND(R79="profesional",SG_LEGAL_ON=1),GAR_LEGAL,0))</f>
        <v/>
      </c>
      <c r="BY79" s="3">
        <f>SG_GAR*MIN(1,BX79/SG_GAR_FULL)+SG_AMPL*(AC79="sí")+SG_KMC*(AF79="sí")+SG_REV*(N(AE79)&gt;0)+SG_DEV*MIN(1,N(AG79)/SG_DEV_FULL)+SG_HIST*(W79="sí")</f>
        <v/>
      </c>
      <c r="BZ79" s="3">
        <f>IFERROR(VLOOKUP(L79,CARR_PEN_TBL,2,0),0)</f>
        <v/>
      </c>
      <c r="CA79" s="3">
        <f>W_FIAB*BL79+W_PRECIO*BM79+W_KMEDAD*BQ79+W_ANUNCIO*BR79+W_USO*BW79+W_SEGURIDAD*BY79-BZ79</f>
        <v/>
      </c>
      <c r="CB79" s="4">
        <f>IF(N(I79)&gt;0,I79,IFERROR(ROUND(_xlfn.NUMBERVALUE(LEFT(G79,FIND(" ",G79&amp;" ")-1),".")*1000,0),99999))</f>
        <v/>
      </c>
      <c r="CC79" s="3">
        <f>IF(R79="profesional",0,IF(O79&lt;CUOTA_VALOR_MAX,IF(AU79&gt;ITP_TRAMO_ALTO,SUMIFS(CF_CUOTA,CF_MAS,ITP_TRAMO_ALTO,CF_CCMIN,"&lt;="&amp;CB79,CF_CCMAX,"&gt;="&amp;CB79),IF(AU79&gt;ITP_TRAMO_BAJO,SUMIFS(CF_CUOTA,CF_MAS,ITP_TRAMO_BAJO,CF_CCMIN,"&lt;="&amp;CB79,CF_CCMAX,"&gt;="&amp;CB79),O79*ITP_TIPO)),O79*ITP_TIPO))</f>
        <v/>
      </c>
      <c r="CD79" s="4">
        <f>IF(R79="profesional",N(AK79),0)</f>
        <v/>
      </c>
      <c r="CE79" s="3">
        <f>IF(AND(R79="profesional",ISNUMBER(AK79),AL79="sí"),0,TASA_DGT)</f>
        <v/>
      </c>
      <c r="CF79" s="3">
        <f>INFORME_DGT</f>
        <v/>
      </c>
      <c r="CG79" s="4">
        <f>O79+CD79+CC79+CE79+CF79</f>
        <v/>
      </c>
      <c r="CH79" s="4">
        <f>CG79+N(BU79)</f>
        <v/>
      </c>
      <c r="CI79" s="3">
        <f>IF(CG79&lt;=TOTAL_MAX,"sí",IF(CG79&lt;=TOTAL_MAX+MARGEN_NEG,"negociar","no"))</f>
        <v/>
      </c>
      <c r="CJ79" s="4">
        <f>IF(CI79&lt;&gt;"no",COUNTIFS($CI$2:$CI$662,"&lt;&gt;no",$CA$2:$CA$662,"&gt;"&amp;CA79)+COUNTIFS($CI$2:CI79,"&lt;&gt;no",$CA$2:CA79,CA79),"")</f>
        <v/>
      </c>
    </row>
    <row r="80">
      <c r="A80" s="2" t="inlineStr">
        <is>
          <t>cochesnet:61732385</t>
        </is>
      </c>
      <c r="B80" s="2" t="inlineStr">
        <is>
          <t>cochesnet</t>
        </is>
      </c>
      <c r="C80" s="2" t="inlineStr">
        <is>
          <t>https://www.coches.net/toyota-auris-20-d4d-sol-3p-diesel-2008-en-valencia-61732385-covo.aspx</t>
        </is>
      </c>
      <c r="D80" s="2" t="inlineStr">
        <is>
          <t>TOYOTA Auris 2.0 D4D Sol</t>
        </is>
      </c>
      <c r="E80" s="2" t="inlineStr">
        <is>
          <t>Toyota</t>
        </is>
      </c>
      <c r="F80" s="2" t="inlineStr">
        <is>
          <t>Toyota Auris</t>
        </is>
      </c>
      <c r="G80" s="2" t="inlineStr">
        <is>
          <t>2.0 D-4D</t>
        </is>
      </c>
      <c r="H80" s="2" t="inlineStr">
        <is>
          <t>2.0 D4D Sol</t>
        </is>
      </c>
      <c r="I80" s="2" t="n"/>
      <c r="J80" s="2" t="n"/>
      <c r="K80" s="2" t="inlineStr">
        <is>
          <t>diesel</t>
        </is>
      </c>
      <c r="L80" s="2" t="inlineStr">
        <is>
          <t>compacto</t>
        </is>
      </c>
      <c r="M80" s="2" t="n">
        <v>2008</v>
      </c>
      <c r="N80" s="2" t="n">
        <v>220000</v>
      </c>
      <c r="O80" s="2" t="n">
        <v>3900</v>
      </c>
      <c r="P80" s="2" t="inlineStr">
        <is>
          <t>manual</t>
        </is>
      </c>
      <c r="Q80" s="2" t="inlineStr">
        <is>
          <t>no</t>
        </is>
      </c>
      <c r="R80" s="2" t="inlineStr">
        <is>
          <t>particular</t>
        </is>
      </c>
      <c r="S80" s="2" t="inlineStr">
        <is>
          <t>Manises</t>
        </is>
      </c>
      <c r="T80" s="2" t="inlineStr">
        <is>
          <t>2026-08-11T16:13:32Z</t>
        </is>
      </c>
      <c r="U80" s="2" t="n">
        <v>12</v>
      </c>
      <c r="V80" s="2" t="n"/>
      <c r="W80" s="2" t="n"/>
      <c r="X80" s="2" t="n"/>
      <c r="Y80" s="2" t="n"/>
      <c r="Z80" s="2" t="inlineStr">
        <is>
          <t>no</t>
        </is>
      </c>
      <c r="AA80" s="2" t="n"/>
      <c r="AB80" s="2" t="n"/>
      <c r="AC80" s="2" t="n"/>
      <c r="AD80" s="2" t="n"/>
      <c r="AE80" s="2" t="n"/>
      <c r="AF80" s="2" t="n"/>
      <c r="AG80" s="2" t="n"/>
      <c r="AH80" s="2" t="n">
        <v>3900</v>
      </c>
      <c r="AI80" s="2" t="n"/>
      <c r="AJ80" s="2" t="n"/>
      <c r="AK80" s="2" t="n"/>
      <c r="AL80" s="2" t="n"/>
      <c r="AM80" s="2" t="n">
        <v>8.1</v>
      </c>
      <c r="AN80" s="2" t="n">
        <v>4350</v>
      </c>
      <c r="AO80" s="2" t="n">
        <v>8</v>
      </c>
      <c r="AP80" s="2" t="inlineStr">
        <is>
          <t>modelo+año</t>
        </is>
      </c>
      <c r="AQ80" s="2" t="n"/>
      <c r="AR80" s="2" t="inlineStr">
        <is>
          <t>cuota fija ITP: &gt;12 años, 1.501-2.000 cc; diésel: motor sin fuente de fiabilidad (fiabilidad limitada a neutra)</t>
        </is>
      </c>
      <c r="AS80" s="2" t="inlineStr">
        <is>
          <t>El cambio de nombre es a cargo del comprador.</t>
        </is>
      </c>
      <c r="AT80" s="2" t="inlineStr">
        <is>
          <t>https://www.coches.net/toyota-auris-20-d4d-sol-3p-diesel-2008-en-valencia-61732385-covo.aspx (window.__INITIAL_PROPS__.ad) /home/user/Alopecia/buscador-coches/raw/cochesnet/e2e8affebead4452.json</t>
        </is>
      </c>
      <c r="AU80" s="3">
        <f>MAX(ANIO_ACTUAL-M80,0)</f>
        <v/>
      </c>
      <c r="AV80" s="4">
        <f>N80/MAX(AU80,0.5)</f>
        <v/>
      </c>
      <c r="AW80" s="4">
        <f>F80</f>
        <v/>
      </c>
      <c r="AX80" s="3">
        <f>AW80&amp;"|"&amp;INT(M80/SEG_ANIO)*SEG_ANIO</f>
        <v/>
      </c>
      <c r="AY80" s="3">
        <f>AX80&amp;"|"&amp;INT(N80/SEG_KM)*SEG_KM</f>
        <v/>
      </c>
      <c r="AZ80" s="4">
        <f>COUNTIF($AW$2:$AW$662,AW80)</f>
        <v/>
      </c>
      <c r="BA80" s="4">
        <f>COUNTIF($AX$2:$AX$662,AX80)</f>
        <v/>
      </c>
      <c r="BB80" s="4">
        <f>COUNTIF($AY$2:$AY$662,AY80)</f>
        <v/>
      </c>
      <c r="BC80" s="3">
        <f t="array" ref="BC80">IF(N(AO80)&gt;=MIN_N,AN80,IF(BB80&gt;=MIN_N,MEDIAN(IF($AY$2:$AY$662=AY80,$O$2:$O$662)),IF(BA80&gt;=MIN_N,MEDIAN(IF($AX$2:$AX$662=AX80,$O$2:$O$662)),MEDIAN(IF($AW$2:$AW$662=AW80,$O$2:$O$662)))))</f>
        <v/>
      </c>
      <c r="BD80" s="3">
        <f>IF(N(AO80)&gt;=MIN_N,"mercado "&amp;AP80,IF(BB80&gt;=MIN_N,"modelo+año+km",IF(BA80&gt;=MIN_N,"modelo+año","modelo")))</f>
        <v/>
      </c>
      <c r="BE80" s="4">
        <f>(BC80-O80)/BC80</f>
        <v/>
      </c>
      <c r="BF80" s="3">
        <f>IF(OR(K80="hibrido",K80="glp"),"ECO",IF(K80="electrico","CERO",IF(K80="gasolina",IF(M80&gt;=GAS_C,"C",IF(M80&gt;=GAS_B,"B","A")),IF(K80="diesel",IF(M80&gt;=DIE_C,"C",IF(M80&gt;=DIE_B,"B","A")),""))))</f>
        <v/>
      </c>
      <c r="BG80" s="3">
        <f>IFERROR(VLOOKUP(F80,MOD_TBL,11,0),IFERROR(VLOOKUP(E80,OCU_TBL,2,0),NEUTRO))</f>
        <v/>
      </c>
      <c r="BH80" s="3">
        <f>SUMIFS(MOT_AJUSTE,MOT_MOTOR,G80,MOT_MARCA,E80,MOT_DESDE,"&lt;="&amp;M80,MOT_HASTA,"&gt;="&amp;M80)+SUMIFS(MOT_AJUSTE,MOT_MOTOR,G80,MOT_MARCA,"(todas)",MOT_DESDE,"&lt;="&amp;M80,MOT_HASTA,"&gt;="&amp;M80)</f>
        <v/>
      </c>
      <c r="BI80" s="3">
        <f>SUMIFS(COMB_AJUSTE,COMB_COMB,K80)</f>
        <v/>
      </c>
      <c r="BJ80" s="3">
        <f>COUNTIFS(MOT_MOTOR,G80,MOT_MARCA,E80,MOT_DESDE,"&lt;="&amp;M80,MOT_HASTA,"&gt;="&amp;M80)+COUNTIFS(MOT_MOTOR,G80,MOT_MARCA,"(todas)",MOT_DESDE,"&lt;="&amp;M80,MOT_HASTA,"&gt;="&amp;M80)</f>
        <v/>
      </c>
      <c r="BK80" s="3">
        <f>IF(AND(K80="diesel",BJ80=0),MIN(BG80,NEUTRO),BG80)</f>
        <v/>
      </c>
      <c r="BL80" s="4">
        <f>MAX(0,MIN(100,BK80+BH80+BI80))</f>
        <v/>
      </c>
      <c r="BM80" s="3">
        <f>MAX(0,MIN(100,50+BE80*PRECIO_PEND))</f>
        <v/>
      </c>
      <c r="BN80" s="3">
        <f>MAX(0,100*(1-N80/KM_MAX))</f>
        <v/>
      </c>
      <c r="BO80" s="3">
        <f>IF(AV80&lt;KMA_SOSP,IF(AA80="sí",100,KMA_PEN),IF(AV80&lt;=KMA_IDEAL_MAX,100,MAX(0,100*(KMA_CERO-AV80)/(KMA_CERO-KMA_IDEAL_MAX))))</f>
        <v/>
      </c>
      <c r="BP80" s="3">
        <f>MAX(0,MIN(100,100*(M80-ANIO_MIN)/(ANIO_ACTUAL-ANIO_MIN)))</f>
        <v/>
      </c>
      <c r="BQ80" s="3">
        <f>W_KMT*BN80+W_KMA*BO80+W_EDAD*BP80</f>
        <v/>
      </c>
      <c r="BR80" s="3">
        <f>P_ITV*(V80="sí")+P_LIBRO*(W80="sí")+P_CORREA*(X80="sí")+P_PROP*(Y80=1)+P_GAR*(Z80="sí")+P_FOTOS*MIN(1,N(U80)/FOTOS_OBJ)</f>
        <v/>
      </c>
      <c r="BS80" s="3">
        <f>IFERROR(VLOOKUP(BF80,ETQ_TBL,2,0),NEUTRO)</f>
        <v/>
      </c>
      <c r="BT80" s="3">
        <f>NEUTRO</f>
        <v/>
      </c>
      <c r="BU80" s="3">
        <f>IFERROR(VLOOKUP(L80,SEGURO_TBL,3,0),"")</f>
        <v/>
      </c>
      <c r="BV80" s="3">
        <f>IF(BU80="",NEUTRO,MAX(0,MIN(100,100*(SEG_REF_MAX-BU80)/(SEG_REF_MAX-SEG_REF_MIN))))</f>
        <v/>
      </c>
      <c r="BW80" s="3">
        <f>W_ET*BS80+W_CONS*BT80+W_SEG*BV80</f>
        <v/>
      </c>
      <c r="BX80" s="3">
        <f>IF(N(AB80)&gt;0,AB80,IF(AND(R80="profesional",SG_LEGAL_ON=1),GAR_LEGAL,0))</f>
        <v/>
      </c>
      <c r="BY80" s="3">
        <f>SG_GAR*MIN(1,BX80/SG_GAR_FULL)+SG_AMPL*(AC80="sí")+SG_KMC*(AF80="sí")+SG_REV*(N(AE80)&gt;0)+SG_DEV*MIN(1,N(AG80)/SG_DEV_FULL)+SG_HIST*(W80="sí")</f>
        <v/>
      </c>
      <c r="BZ80" s="3">
        <f>IFERROR(VLOOKUP(L80,CARR_PEN_TBL,2,0),0)</f>
        <v/>
      </c>
      <c r="CA80" s="3">
        <f>W_FIAB*BL80+W_PRECIO*BM80+W_KMEDAD*BQ80+W_ANUNCIO*BR80+W_USO*BW80+W_SEGURIDAD*BY80-BZ80</f>
        <v/>
      </c>
      <c r="CB80" s="4">
        <f>IF(N(I80)&gt;0,I80,IFERROR(ROUND(_xlfn.NUMBERVALUE(LEFT(G80,FIND(" ",G80&amp;" ")-1),".")*1000,0),99999))</f>
        <v/>
      </c>
      <c r="CC80" s="3">
        <f>IF(R80="profesional",0,IF(O80&lt;CUOTA_VALOR_MAX,IF(AU80&gt;ITP_TRAMO_ALTO,SUMIFS(CF_CUOTA,CF_MAS,ITP_TRAMO_ALTO,CF_CCMIN,"&lt;="&amp;CB80,CF_CCMAX,"&gt;="&amp;CB80),IF(AU80&gt;ITP_TRAMO_BAJO,SUMIFS(CF_CUOTA,CF_MAS,ITP_TRAMO_BAJO,CF_CCMIN,"&lt;="&amp;CB80,CF_CCMAX,"&gt;="&amp;CB80),O80*ITP_TIPO)),O80*ITP_TIPO))</f>
        <v/>
      </c>
      <c r="CD80" s="4">
        <f>IF(R80="profesional",N(AK80),0)</f>
        <v/>
      </c>
      <c r="CE80" s="3">
        <f>IF(AND(R80="profesional",ISNUMBER(AK80),AL80="sí"),0,TASA_DGT)</f>
        <v/>
      </c>
      <c r="CF80" s="3">
        <f>INFORME_DGT</f>
        <v/>
      </c>
      <c r="CG80" s="4">
        <f>O80+CD80+CC80+CE80+CF80</f>
        <v/>
      </c>
      <c r="CH80" s="4">
        <f>CG80+N(BU80)</f>
        <v/>
      </c>
      <c r="CI80" s="3">
        <f>IF(CG80&lt;=TOTAL_MAX,"sí",IF(CG80&lt;=TOTAL_MAX+MARGEN_NEG,"negociar","no"))</f>
        <v/>
      </c>
      <c r="CJ80" s="4">
        <f>IF(CI80&lt;&gt;"no",COUNTIFS($CI$2:$CI$662,"&lt;&gt;no",$CA$2:$CA$662,"&gt;"&amp;CA80)+COUNTIFS($CI$2:CI80,"&lt;&gt;no",$CA$2:CA80,CA80),"")</f>
        <v/>
      </c>
    </row>
    <row r="81">
      <c r="A81" s="2" t="inlineStr">
        <is>
          <t>cochesnet:71691745</t>
        </is>
      </c>
      <c r="B81" s="2" t="inlineStr">
        <is>
          <t>cochesnet</t>
        </is>
      </c>
      <c r="C81" s="2" t="inlineStr">
        <is>
          <t>https://www.coches.net/toyota-aygo-10-vvti-live-5p-gasolina-2010-en-valencia-71691745-covo.aspx</t>
        </is>
      </c>
      <c r="D81" s="2" t="inlineStr">
        <is>
          <t>TOYOTA Aygo 1.0 VVTi Live</t>
        </is>
      </c>
      <c r="E81" s="2" t="inlineStr">
        <is>
          <t>Toyota</t>
        </is>
      </c>
      <c r="F81" s="2" t="inlineStr">
        <is>
          <t>Toyota Aygo</t>
        </is>
      </c>
      <c r="G81" s="2" t="inlineStr">
        <is>
          <t>1.0 VVT-i</t>
        </is>
      </c>
      <c r="H81" s="2" t="inlineStr">
        <is>
          <t>1.0 VVTi Live</t>
        </is>
      </c>
      <c r="I81" s="2" t="n"/>
      <c r="J81" s="2" t="n"/>
      <c r="K81" s="2" t="inlineStr">
        <is>
          <t>gasolina</t>
        </is>
      </c>
      <c r="L81" s="2" t="inlineStr">
        <is>
          <t>utilitario</t>
        </is>
      </c>
      <c r="M81" s="2" t="n">
        <v>2010</v>
      </c>
      <c r="N81" s="2" t="n">
        <v>166000</v>
      </c>
      <c r="O81" s="2" t="n">
        <v>4450</v>
      </c>
      <c r="P81" s="2" t="inlineStr">
        <is>
          <t>manual</t>
        </is>
      </c>
      <c r="Q81" s="2" t="inlineStr">
        <is>
          <t>no</t>
        </is>
      </c>
      <c r="R81" s="2" t="inlineStr">
        <is>
          <t>profesional</t>
        </is>
      </c>
      <c r="S81" s="2" t="inlineStr">
        <is>
          <t>GO! autos Sagunto (Sagunt)</t>
        </is>
      </c>
      <c r="T81" s="2" t="inlineStr">
        <is>
          <t>2026-10-07T09:35:00Z</t>
        </is>
      </c>
      <c r="U81" s="2" t="n">
        <v>14</v>
      </c>
      <c r="V81" s="2" t="inlineStr">
        <is>
          <t>sí</t>
        </is>
      </c>
      <c r="W81" s="2" t="n"/>
      <c r="X81" s="2" t="n"/>
      <c r="Y81" s="2" t="n"/>
      <c r="Z81" s="2" t="inlineStr">
        <is>
          <t>sí</t>
        </is>
      </c>
      <c r="AA81" s="2" t="n"/>
      <c r="AB81" s="2" t="n">
        <v>12</v>
      </c>
      <c r="AC81" s="2" t="n"/>
      <c r="AD81" s="2" t="n"/>
      <c r="AE81" s="2" t="n"/>
      <c r="AF81" s="2" t="n"/>
      <c r="AG81" s="2" t="n"/>
      <c r="AH81" s="2" t="n">
        <v>4450</v>
      </c>
      <c r="AI81" s="2" t="n">
        <v>4450</v>
      </c>
      <c r="AJ81" s="2" t="n"/>
      <c r="AK81" s="2" t="n"/>
      <c r="AL81" s="2" t="n"/>
      <c r="AM81" s="2" t="n"/>
      <c r="AN81" s="2" t="n">
        <v>5944.5</v>
      </c>
      <c r="AO81" s="2" t="n">
        <v>4</v>
      </c>
      <c r="AP81" s="2" t="inlineStr">
        <is>
          <t>modelo+año</t>
        </is>
      </c>
      <c r="AQ81" s="2" t="n"/>
      <c r="AR81"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81" s="2" t="inlineStr">
        <is>
          <t>TOYOTA AYGO 1.0 LIVE | 2010 | 165.000 KM | GARANTÍA 1 AÑO
Toyota Aygo 1.0 Live del año 2010, con 165.000 km, motor gasolina 1.0 y cambio manual.
Vehículo económico, fiable y muy práctico, ideal para ciudad y desplazamientos diarios. Un coche con un mantenimiento sencillo y un consumo reducido.
EQUIPAMIENTO
Aire acondicionado ??
Cierre centralizado
Elevalunas eléctricos
2 llaves
Cambio manual
SE ENTREGA
? ITV en vigor
? Todos los mantenimientos realizados
? Revisado y listo para entregar
? 1 AÑO DE GARANTÍA
Una opción ideal para quien busca un coche económico, fiable y fácil de mantener, con garantía y listo para circular.
Consulte sin compromiso para más información, fotos o para concertar una visita y probarlo.</t>
        </is>
      </c>
      <c r="AT81" s="2" t="inlineStr">
        <is>
          <t>https://www.coches.net/toyota-aygo-10-vvti-live-5p-gasolina-2010-en-valencia-71691745-covo.aspx (window.__INITIAL_PROPS__.ad) /home/user/Alopecia/buscador-coches/raw/cochesnet/680c32fd6cdc2d9a.json</t>
        </is>
      </c>
      <c r="AU81" s="3">
        <f>MAX(ANIO_ACTUAL-M81,0)</f>
        <v/>
      </c>
      <c r="AV81" s="4">
        <f>N81/MAX(AU81,0.5)</f>
        <v/>
      </c>
      <c r="AW81" s="4">
        <f>F81</f>
        <v/>
      </c>
      <c r="AX81" s="3">
        <f>AW81&amp;"|"&amp;INT(M81/SEG_ANIO)*SEG_ANIO</f>
        <v/>
      </c>
      <c r="AY81" s="3">
        <f>AX81&amp;"|"&amp;INT(N81/SEG_KM)*SEG_KM</f>
        <v/>
      </c>
      <c r="AZ81" s="4">
        <f>COUNTIF($AW$2:$AW$662,AW81)</f>
        <v/>
      </c>
      <c r="BA81" s="4">
        <f>COUNTIF($AX$2:$AX$662,AX81)</f>
        <v/>
      </c>
      <c r="BB81" s="4">
        <f>COUNTIF($AY$2:$AY$662,AY81)</f>
        <v/>
      </c>
      <c r="BC81" s="3">
        <f t="array" ref="BC81">IF(N(AO81)&gt;=MIN_N,AN81,IF(BB81&gt;=MIN_N,MEDIAN(IF($AY$2:$AY$662=AY81,$O$2:$O$662)),IF(BA81&gt;=MIN_N,MEDIAN(IF($AX$2:$AX$662=AX81,$O$2:$O$662)),MEDIAN(IF($AW$2:$AW$662=AW81,$O$2:$O$662)))))</f>
        <v/>
      </c>
      <c r="BD81" s="3">
        <f>IF(N(AO81)&gt;=MIN_N,"mercado "&amp;AP81,IF(BB81&gt;=MIN_N,"modelo+año+km",IF(BA81&gt;=MIN_N,"modelo+año","modelo")))</f>
        <v/>
      </c>
      <c r="BE81" s="4">
        <f>(BC81-O81)/BC81</f>
        <v/>
      </c>
      <c r="BF81" s="3">
        <f>IF(OR(K81="hibrido",K81="glp"),"ECO",IF(K81="electrico","CERO",IF(K81="gasolina",IF(M81&gt;=GAS_C,"C",IF(M81&gt;=GAS_B,"B","A")),IF(K81="diesel",IF(M81&gt;=DIE_C,"C",IF(M81&gt;=DIE_B,"B","A")),""))))</f>
        <v/>
      </c>
      <c r="BG81" s="3">
        <f>IFERROR(VLOOKUP(F81,MOD_TBL,11,0),IFERROR(VLOOKUP(E81,OCU_TBL,2,0),NEUTRO))</f>
        <v/>
      </c>
      <c r="BH81" s="3">
        <f>SUMIFS(MOT_AJUSTE,MOT_MOTOR,G81,MOT_MARCA,E81,MOT_DESDE,"&lt;="&amp;M81,MOT_HASTA,"&gt;="&amp;M81)+SUMIFS(MOT_AJUSTE,MOT_MOTOR,G81,MOT_MARCA,"(todas)",MOT_DESDE,"&lt;="&amp;M81,MOT_HASTA,"&gt;="&amp;M81)</f>
        <v/>
      </c>
      <c r="BI81" s="3">
        <f>SUMIFS(COMB_AJUSTE,COMB_COMB,K81)</f>
        <v/>
      </c>
      <c r="BJ81" s="3">
        <f>COUNTIFS(MOT_MOTOR,G81,MOT_MARCA,E81,MOT_DESDE,"&lt;="&amp;M81,MOT_HASTA,"&gt;="&amp;M81)+COUNTIFS(MOT_MOTOR,G81,MOT_MARCA,"(todas)",MOT_DESDE,"&lt;="&amp;M81,MOT_HASTA,"&gt;="&amp;M81)</f>
        <v/>
      </c>
      <c r="BK81" s="3">
        <f>IF(AND(K81="diesel",BJ81=0),MIN(BG81,NEUTRO),BG81)</f>
        <v/>
      </c>
      <c r="BL81" s="4">
        <f>MAX(0,MIN(100,BK81+BH81+BI81))</f>
        <v/>
      </c>
      <c r="BM81" s="3">
        <f>MAX(0,MIN(100,50+BE81*PRECIO_PEND))</f>
        <v/>
      </c>
      <c r="BN81" s="3">
        <f>MAX(0,100*(1-N81/KM_MAX))</f>
        <v/>
      </c>
      <c r="BO81" s="3">
        <f>IF(AV81&lt;KMA_SOSP,IF(AA81="sí",100,KMA_PEN),IF(AV81&lt;=KMA_IDEAL_MAX,100,MAX(0,100*(KMA_CERO-AV81)/(KMA_CERO-KMA_IDEAL_MAX))))</f>
        <v/>
      </c>
      <c r="BP81" s="3">
        <f>MAX(0,MIN(100,100*(M81-ANIO_MIN)/(ANIO_ACTUAL-ANIO_MIN)))</f>
        <v/>
      </c>
      <c r="BQ81" s="3">
        <f>W_KMT*BN81+W_KMA*BO81+W_EDAD*BP81</f>
        <v/>
      </c>
      <c r="BR81" s="3">
        <f>P_ITV*(V81="sí")+P_LIBRO*(W81="sí")+P_CORREA*(X81="sí")+P_PROP*(Y81=1)+P_GAR*(Z81="sí")+P_FOTOS*MIN(1,N(U81)/FOTOS_OBJ)</f>
        <v/>
      </c>
      <c r="BS81" s="3">
        <f>IFERROR(VLOOKUP(BF81,ETQ_TBL,2,0),NEUTRO)</f>
        <v/>
      </c>
      <c r="BT81" s="3">
        <f>NEUTRO</f>
        <v/>
      </c>
      <c r="BU81" s="3">
        <f>IFERROR(VLOOKUP(L81,SEGURO_TBL,3,0),"")</f>
        <v/>
      </c>
      <c r="BV81" s="3">
        <f>IF(BU81="",NEUTRO,MAX(0,MIN(100,100*(SEG_REF_MAX-BU81)/(SEG_REF_MAX-SEG_REF_MIN))))</f>
        <v/>
      </c>
      <c r="BW81" s="3">
        <f>W_ET*BS81+W_CONS*BT81+W_SEG*BV81</f>
        <v/>
      </c>
      <c r="BX81" s="3">
        <f>IF(N(AB81)&gt;0,AB81,IF(AND(R81="profesional",SG_LEGAL_ON=1),GAR_LEGAL,0))</f>
        <v/>
      </c>
      <c r="BY81" s="3">
        <f>SG_GAR*MIN(1,BX81/SG_GAR_FULL)+SG_AMPL*(AC81="sí")+SG_KMC*(AF81="sí")+SG_REV*(N(AE81)&gt;0)+SG_DEV*MIN(1,N(AG81)/SG_DEV_FULL)+SG_HIST*(W81="sí")</f>
        <v/>
      </c>
      <c r="BZ81" s="3">
        <f>IFERROR(VLOOKUP(L81,CARR_PEN_TBL,2,0),0)</f>
        <v/>
      </c>
      <c r="CA81" s="3">
        <f>W_FIAB*BL81+W_PRECIO*BM81+W_KMEDAD*BQ81+W_ANUNCIO*BR81+W_USO*BW81+W_SEGURIDAD*BY81-BZ81</f>
        <v/>
      </c>
      <c r="CB81" s="4">
        <f>IF(N(I81)&gt;0,I81,IFERROR(ROUND(_xlfn.NUMBERVALUE(LEFT(G81,FIND(" ",G81&amp;" ")-1),".")*1000,0),99999))</f>
        <v/>
      </c>
      <c r="CC81" s="3">
        <f>IF(R81="profesional",0,IF(O81&lt;CUOTA_VALOR_MAX,IF(AU81&gt;ITP_TRAMO_ALTO,SUMIFS(CF_CUOTA,CF_MAS,ITP_TRAMO_ALTO,CF_CCMIN,"&lt;="&amp;CB81,CF_CCMAX,"&gt;="&amp;CB81),IF(AU81&gt;ITP_TRAMO_BAJO,SUMIFS(CF_CUOTA,CF_MAS,ITP_TRAMO_BAJO,CF_CCMIN,"&lt;="&amp;CB81,CF_CCMAX,"&gt;="&amp;CB81),O81*ITP_TIPO)),O81*ITP_TIPO))</f>
        <v/>
      </c>
      <c r="CD81" s="4">
        <f>IF(R81="profesional",N(AK81),0)</f>
        <v/>
      </c>
      <c r="CE81" s="3">
        <f>IF(AND(R81="profesional",ISNUMBER(AK81),AL81="sí"),0,TASA_DGT)</f>
        <v/>
      </c>
      <c r="CF81" s="3">
        <f>INFORME_DGT</f>
        <v/>
      </c>
      <c r="CG81" s="4">
        <f>O81+CD81+CC81+CE81+CF81</f>
        <v/>
      </c>
      <c r="CH81" s="4">
        <f>CG81+N(BU81)</f>
        <v/>
      </c>
      <c r="CI81" s="3">
        <f>IF(CG81&lt;=TOTAL_MAX,"sí",IF(CG81&lt;=TOTAL_MAX+MARGEN_NEG,"negociar","no"))</f>
        <v/>
      </c>
      <c r="CJ81" s="4">
        <f>IF(CI81&lt;&gt;"no",COUNTIFS($CI$2:$CI$662,"&lt;&gt;no",$CA$2:$CA$662,"&gt;"&amp;CA81)+COUNTIFS($CI$2:CI81,"&lt;&gt;no",$CA$2:CA81,CA81),"")</f>
        <v/>
      </c>
    </row>
    <row r="82">
      <c r="A82" s="2" t="inlineStr">
        <is>
          <t>cochesnet:71265682</t>
        </is>
      </c>
      <c r="B82" s="2" t="inlineStr">
        <is>
          <t>cochesnet</t>
        </is>
      </c>
      <c r="C82" s="2" t="inlineStr">
        <is>
          <t>https://www.coches.net/mazda-mazda2-active-14-crtd-5p-diesel-2007-en-valencia-71265682-covo.aspx</t>
        </is>
      </c>
      <c r="D82" s="2" t="inlineStr">
        <is>
          <t>MAZDA Mazda2 Active 1.4 CRTD</t>
        </is>
      </c>
      <c r="E82" s="2" t="inlineStr">
        <is>
          <t>Mazda</t>
        </is>
      </c>
      <c r="F82" s="2" t="inlineStr">
        <is>
          <t>Mazda 2</t>
        </is>
      </c>
      <c r="G82" s="2" t="inlineStr">
        <is>
          <t>1.4</t>
        </is>
      </c>
      <c r="H82" s="2" t="inlineStr">
        <is>
          <t>Active 1.4 CRTD</t>
        </is>
      </c>
      <c r="I82" s="2" t="n"/>
      <c r="J82" s="2" t="n"/>
      <c r="K82" s="2" t="inlineStr">
        <is>
          <t>diesel</t>
        </is>
      </c>
      <c r="L82" s="2" t="inlineStr">
        <is>
          <t>utilitario</t>
        </is>
      </c>
      <c r="M82" s="2" t="n">
        <v>2008</v>
      </c>
      <c r="N82" s="2" t="n">
        <v>145000</v>
      </c>
      <c r="O82" s="2" t="n">
        <v>4500</v>
      </c>
      <c r="P82" s="2" t="inlineStr">
        <is>
          <t>manual</t>
        </is>
      </c>
      <c r="Q82" s="2" t="inlineStr">
        <is>
          <t>no</t>
        </is>
      </c>
      <c r="R82" s="2" t="inlineStr">
        <is>
          <t>profesional</t>
        </is>
      </c>
      <c r="S82" s="2" t="inlineStr">
        <is>
          <t>Beniparrell</t>
        </is>
      </c>
      <c r="T82" s="2" t="inlineStr">
        <is>
          <t>2026-08-10T16:34:09Z</t>
        </is>
      </c>
      <c r="U82" s="2" t="n">
        <v>13</v>
      </c>
      <c r="V82" s="2" t="n"/>
      <c r="W82" s="2" t="n"/>
      <c r="X82" s="2" t="n"/>
      <c r="Y82" s="2" t="n"/>
      <c r="Z82" s="2" t="inlineStr">
        <is>
          <t>sí</t>
        </is>
      </c>
      <c r="AA82" s="2" t="n"/>
      <c r="AB82" s="2" t="n">
        <v>12</v>
      </c>
      <c r="AC82" s="2" t="n"/>
      <c r="AD82" s="2" t="n"/>
      <c r="AE82" s="2" t="n"/>
      <c r="AF82" s="2" t="n"/>
      <c r="AG82" s="2" t="n"/>
      <c r="AH82" s="2" t="n">
        <v>4500</v>
      </c>
      <c r="AI82" s="2" t="n"/>
      <c r="AJ82" s="2" t="n"/>
      <c r="AK82" s="2" t="n"/>
      <c r="AL82" s="2" t="n"/>
      <c r="AM82" s="2" t="n">
        <v>10.2</v>
      </c>
      <c r="AN82" s="2" t="n">
        <v>5000</v>
      </c>
      <c r="AO82" s="2" t="n">
        <v>12</v>
      </c>
      <c r="AP82" s="2" t="inlineStr">
        <is>
          <t>modelo+año</t>
        </is>
      </c>
      <c r="AQ82" s="2" t="n"/>
      <c r="AR82" s="2" t="inlineStr">
        <is>
          <t>vendedor profesional: sin ITP (operación con IVA/REBU, confirmar en factura); gastos de gestión del vendedor no indicados: se suma la tasa DGT; preguntar el precio final; diésel: motor sin fuente de fiabilidad (fiabilidad limitada a neutra)</t>
        </is>
      </c>
      <c r="AS82" s="2" t="inlineStr">
        <is>
          <t>Este Mazda2 Active 1.4 CRTD es un compacto versátil y eficiente, diseñado para quienes buscan un vehículo manejable en ciudad sin renunciar a la practicidad. Su motor diésel de 1.4 litros ofrece un consumo moderado —4,3 l/100 km en ciclo mixto— con par disponible desde bajas revoluciones, lo que facilita la conducción en tráfico urbano y en carreteras secundarias.
El interior aprovecha bien el espacio disponible con asientos delanteros individuales ajustables en altura y respaldo trasero abatible asimétrico, permitiendo ampliar la capacidad de carga hasta 787 litros con los asientos plegados. La dirección asistida con endurecimiento progresivo y la suspensión independiente delantera proporcionan una respuesta equilibrada en diferentes condiciones de circulación.
En cuanto a equipamiento, este vehículo integra climatizador automático, elevalunas eléctricos en todas las puertas, cierre centralizado con mando a distancia, y un sistema de audio con radio AM/FM, lector de CD para MP3 y mandos en el volante. La seguridad se refuerza con airbags frontales inteligentes, laterales delanteros y de cortina, además de ABS en las cuatro ruedas y preparación Isofix para sistemas de retención infantil.
Los cristales tintados, retrovisores exteriores eléctricos y desempañables, así como los limpiaparabrisas con intermitencia, completan el equipamiento de confort. Este ejemplar cuenta con etiqueta medioambiental B, lo que permite acceso a las ciudades con regulación de zonas de bajas emisi</t>
        </is>
      </c>
      <c r="AT82" s="2" t="inlineStr">
        <is>
          <t>https://www.coches.net/mazda-mazda2-active-14-crtd-5p-diesel-2007-en-valencia-71265682-covo.aspx (window.__INITIAL_PROPS__.ad) /home/user/Alopecia/buscador-coches/raw/cochesnet/5cd5d6b176a66f9b.json</t>
        </is>
      </c>
      <c r="AU82" s="3">
        <f>MAX(ANIO_ACTUAL-M82,0)</f>
        <v/>
      </c>
      <c r="AV82" s="4">
        <f>N82/MAX(AU82,0.5)</f>
        <v/>
      </c>
      <c r="AW82" s="4">
        <f>F82</f>
        <v/>
      </c>
      <c r="AX82" s="3">
        <f>AW82&amp;"|"&amp;INT(M82/SEG_ANIO)*SEG_ANIO</f>
        <v/>
      </c>
      <c r="AY82" s="3">
        <f>AX82&amp;"|"&amp;INT(N82/SEG_KM)*SEG_KM</f>
        <v/>
      </c>
      <c r="AZ82" s="4">
        <f>COUNTIF($AW$2:$AW$662,AW82)</f>
        <v/>
      </c>
      <c r="BA82" s="4">
        <f>COUNTIF($AX$2:$AX$662,AX82)</f>
        <v/>
      </c>
      <c r="BB82" s="4">
        <f>COUNTIF($AY$2:$AY$662,AY82)</f>
        <v/>
      </c>
      <c r="BC82" s="3">
        <f t="array" ref="BC82">IF(N(AO82)&gt;=MIN_N,AN82,IF(BB82&gt;=MIN_N,MEDIAN(IF($AY$2:$AY$662=AY82,$O$2:$O$662)),IF(BA82&gt;=MIN_N,MEDIAN(IF($AX$2:$AX$662=AX82,$O$2:$O$662)),MEDIAN(IF($AW$2:$AW$662=AW82,$O$2:$O$662)))))</f>
        <v/>
      </c>
      <c r="BD82" s="3">
        <f>IF(N(AO82)&gt;=MIN_N,"mercado "&amp;AP82,IF(BB82&gt;=MIN_N,"modelo+año+km",IF(BA82&gt;=MIN_N,"modelo+año","modelo")))</f>
        <v/>
      </c>
      <c r="BE82" s="4">
        <f>(BC82-O82)/BC82</f>
        <v/>
      </c>
      <c r="BF82" s="3">
        <f>IF(OR(K82="hibrido",K82="glp"),"ECO",IF(K82="electrico","CERO",IF(K82="gasolina",IF(M82&gt;=GAS_C,"C",IF(M82&gt;=GAS_B,"B","A")),IF(K82="diesel",IF(M82&gt;=DIE_C,"C",IF(M82&gt;=DIE_B,"B","A")),""))))</f>
        <v/>
      </c>
      <c r="BG82" s="3">
        <f>IFERROR(VLOOKUP(F82,MOD_TBL,11,0),IFERROR(VLOOKUP(E82,OCU_TBL,2,0),NEUTRO))</f>
        <v/>
      </c>
      <c r="BH82" s="3">
        <f>SUMIFS(MOT_AJUSTE,MOT_MOTOR,G82,MOT_MARCA,E82,MOT_DESDE,"&lt;="&amp;M82,MOT_HASTA,"&gt;="&amp;M82)+SUMIFS(MOT_AJUSTE,MOT_MOTOR,G82,MOT_MARCA,"(todas)",MOT_DESDE,"&lt;="&amp;M82,MOT_HASTA,"&gt;="&amp;M82)</f>
        <v/>
      </c>
      <c r="BI82" s="3">
        <f>SUMIFS(COMB_AJUSTE,COMB_COMB,K82)</f>
        <v/>
      </c>
      <c r="BJ82" s="3">
        <f>COUNTIFS(MOT_MOTOR,G82,MOT_MARCA,E82,MOT_DESDE,"&lt;="&amp;M82,MOT_HASTA,"&gt;="&amp;M82)+COUNTIFS(MOT_MOTOR,G82,MOT_MARCA,"(todas)",MOT_DESDE,"&lt;="&amp;M82,MOT_HASTA,"&gt;="&amp;M82)</f>
        <v/>
      </c>
      <c r="BK82" s="3">
        <f>IF(AND(K82="diesel",BJ82=0),MIN(BG82,NEUTRO),BG82)</f>
        <v/>
      </c>
      <c r="BL82" s="4">
        <f>MAX(0,MIN(100,BK82+BH82+BI82))</f>
        <v/>
      </c>
      <c r="BM82" s="3">
        <f>MAX(0,MIN(100,50+BE82*PRECIO_PEND))</f>
        <v/>
      </c>
      <c r="BN82" s="3">
        <f>MAX(0,100*(1-N82/KM_MAX))</f>
        <v/>
      </c>
      <c r="BO82" s="3">
        <f>IF(AV82&lt;KMA_SOSP,IF(AA82="sí",100,KMA_PEN),IF(AV82&lt;=KMA_IDEAL_MAX,100,MAX(0,100*(KMA_CERO-AV82)/(KMA_CERO-KMA_IDEAL_MAX))))</f>
        <v/>
      </c>
      <c r="BP82" s="3">
        <f>MAX(0,MIN(100,100*(M82-ANIO_MIN)/(ANIO_ACTUAL-ANIO_MIN)))</f>
        <v/>
      </c>
      <c r="BQ82" s="3">
        <f>W_KMT*BN82+W_KMA*BO82+W_EDAD*BP82</f>
        <v/>
      </c>
      <c r="BR82" s="3">
        <f>P_ITV*(V82="sí")+P_LIBRO*(W82="sí")+P_CORREA*(X82="sí")+P_PROP*(Y82=1)+P_GAR*(Z82="sí")+P_FOTOS*MIN(1,N(U82)/FOTOS_OBJ)</f>
        <v/>
      </c>
      <c r="BS82" s="3">
        <f>IFERROR(VLOOKUP(BF82,ETQ_TBL,2,0),NEUTRO)</f>
        <v/>
      </c>
      <c r="BT82" s="3">
        <f>NEUTRO</f>
        <v/>
      </c>
      <c r="BU82" s="3">
        <f>IFERROR(VLOOKUP(L82,SEGURO_TBL,3,0),"")</f>
        <v/>
      </c>
      <c r="BV82" s="3">
        <f>IF(BU82="",NEUTRO,MAX(0,MIN(100,100*(SEG_REF_MAX-BU82)/(SEG_REF_MAX-SEG_REF_MIN))))</f>
        <v/>
      </c>
      <c r="BW82" s="3">
        <f>W_ET*BS82+W_CONS*BT82+W_SEG*BV82</f>
        <v/>
      </c>
      <c r="BX82" s="3">
        <f>IF(N(AB82)&gt;0,AB82,IF(AND(R82="profesional",SG_LEGAL_ON=1),GAR_LEGAL,0))</f>
        <v/>
      </c>
      <c r="BY82" s="3">
        <f>SG_GAR*MIN(1,BX82/SG_GAR_FULL)+SG_AMPL*(AC82="sí")+SG_KMC*(AF82="sí")+SG_REV*(N(AE82)&gt;0)+SG_DEV*MIN(1,N(AG82)/SG_DEV_FULL)+SG_HIST*(W82="sí")</f>
        <v/>
      </c>
      <c r="BZ82" s="3">
        <f>IFERROR(VLOOKUP(L82,CARR_PEN_TBL,2,0),0)</f>
        <v/>
      </c>
      <c r="CA82" s="3">
        <f>W_FIAB*BL82+W_PRECIO*BM82+W_KMEDAD*BQ82+W_ANUNCIO*BR82+W_USO*BW82+W_SEGURIDAD*BY82-BZ82</f>
        <v/>
      </c>
      <c r="CB82" s="4">
        <f>IF(N(I82)&gt;0,I82,IFERROR(ROUND(_xlfn.NUMBERVALUE(LEFT(G82,FIND(" ",G82&amp;" ")-1),".")*1000,0),99999))</f>
        <v/>
      </c>
      <c r="CC82" s="3">
        <f>IF(R82="profesional",0,IF(O82&lt;CUOTA_VALOR_MAX,IF(AU82&gt;ITP_TRAMO_ALTO,SUMIFS(CF_CUOTA,CF_MAS,ITP_TRAMO_ALTO,CF_CCMIN,"&lt;="&amp;CB82,CF_CCMAX,"&gt;="&amp;CB82),IF(AU82&gt;ITP_TRAMO_BAJO,SUMIFS(CF_CUOTA,CF_MAS,ITP_TRAMO_BAJO,CF_CCMIN,"&lt;="&amp;CB82,CF_CCMAX,"&gt;="&amp;CB82),O82*ITP_TIPO)),O82*ITP_TIPO))</f>
        <v/>
      </c>
      <c r="CD82" s="4">
        <f>IF(R82="profesional",N(AK82),0)</f>
        <v/>
      </c>
      <c r="CE82" s="3">
        <f>IF(AND(R82="profesional",ISNUMBER(AK82),AL82="sí"),0,TASA_DGT)</f>
        <v/>
      </c>
      <c r="CF82" s="3">
        <f>INFORME_DGT</f>
        <v/>
      </c>
      <c r="CG82" s="4">
        <f>O82+CD82+CC82+CE82+CF82</f>
        <v/>
      </c>
      <c r="CH82" s="4">
        <f>CG82+N(BU82)</f>
        <v/>
      </c>
      <c r="CI82" s="3">
        <f>IF(CG82&lt;=TOTAL_MAX,"sí",IF(CG82&lt;=TOTAL_MAX+MARGEN_NEG,"negociar","no"))</f>
        <v/>
      </c>
      <c r="CJ82" s="4">
        <f>IF(CI82&lt;&gt;"no",COUNTIFS($CI$2:$CI$662,"&lt;&gt;no",$CA$2:$CA$662,"&gt;"&amp;CA82)+COUNTIFS($CI$2:CI82,"&lt;&gt;no",$CA$2:CA82,CA82),"")</f>
        <v/>
      </c>
    </row>
    <row r="83">
      <c r="A83" s="2" t="inlineStr">
        <is>
          <t>cochesnet:71525978</t>
        </is>
      </c>
      <c r="B83" s="2" t="inlineStr">
        <is>
          <t>cochesnet</t>
        </is>
      </c>
      <c r="C83" s="2" t="inlineStr">
        <is>
          <t>https://www.coches.net/mazda-mazda2-style-16-crtd-3p-diesel-2009-en-valencia-71525978-covo.aspx</t>
        </is>
      </c>
      <c r="D83" s="2" t="inlineStr">
        <is>
          <t>MAZDA Mazda2 Style 1.6 CRTD</t>
        </is>
      </c>
      <c r="E83" s="2" t="inlineStr">
        <is>
          <t>Mazda</t>
        </is>
      </c>
      <c r="F83" s="2" t="inlineStr">
        <is>
          <t>Mazda 2</t>
        </is>
      </c>
      <c r="G83" s="2" t="inlineStr">
        <is>
          <t>1.6</t>
        </is>
      </c>
      <c r="H83" s="2" t="inlineStr">
        <is>
          <t>Style 1.6 CRTD</t>
        </is>
      </c>
      <c r="I83" s="2" t="n"/>
      <c r="J83" s="2" t="n"/>
      <c r="K83" s="2" t="inlineStr">
        <is>
          <t>diesel</t>
        </is>
      </c>
      <c r="L83" s="2" t="inlineStr">
        <is>
          <t>utilitario</t>
        </is>
      </c>
      <c r="M83" s="2" t="n">
        <v>2011</v>
      </c>
      <c r="N83" s="2" t="n">
        <v>214000</v>
      </c>
      <c r="O83" s="2" t="n">
        <v>3800</v>
      </c>
      <c r="P83" s="2" t="inlineStr">
        <is>
          <t>manual</t>
        </is>
      </c>
      <c r="Q83" s="2" t="inlineStr">
        <is>
          <t>no</t>
        </is>
      </c>
      <c r="R83" s="2" t="inlineStr">
        <is>
          <t>profesional</t>
        </is>
      </c>
      <c r="S83" s="2" t="inlineStr">
        <is>
          <t>Coches Venar Valencia</t>
        </is>
      </c>
      <c r="T83" s="2" t="inlineStr">
        <is>
          <t>2026-09-16T11:48:49Z</t>
        </is>
      </c>
      <c r="U83" s="2" t="n">
        <v>8</v>
      </c>
      <c r="V83" s="2" t="n"/>
      <c r="W83" s="2" t="n"/>
      <c r="X83" s="2" t="n"/>
      <c r="Y83" s="2" t="n"/>
      <c r="Z83" s="2" t="inlineStr">
        <is>
          <t>sí</t>
        </is>
      </c>
      <c r="AA83" s="2" t="n"/>
      <c r="AB83" s="2" t="n">
        <v>12</v>
      </c>
      <c r="AC83" s="2" t="n"/>
      <c r="AD83" s="2" t="n"/>
      <c r="AE83" s="2" t="n"/>
      <c r="AF83" s="2" t="n"/>
      <c r="AG83" s="2" t="n"/>
      <c r="AH83" s="2" t="n">
        <v>3800</v>
      </c>
      <c r="AI83" s="2" t="n"/>
      <c r="AJ83" s="2" t="n"/>
      <c r="AK83" s="2" t="n"/>
      <c r="AL83" s="2" t="n"/>
      <c r="AM83" s="2" t="n">
        <v>0.1</v>
      </c>
      <c r="AN83" s="2" t="n">
        <v>5000</v>
      </c>
      <c r="AO83" s="2" t="n">
        <v>6</v>
      </c>
      <c r="AP83" s="2" t="inlineStr">
        <is>
          <t>modelo+año</t>
        </is>
      </c>
      <c r="AQ83" s="2" t="n"/>
      <c r="AR83" s="2" t="inlineStr">
        <is>
          <t>vendedor profesional: sin ITP (operación con IVA/REBU, confirmar en factura); gastos de gestión del vendedor no indicados: se suma la tasa DGT; preguntar el precio final; diésel: motor sin fuente de fiabilidad (fiabilidad limitada a neutra)</t>
        </is>
      </c>
      <c r="AS83" s="2" t="inlineStr">
        <is>
          <t>Este Mazda2 Style 1.6 CRTD combina practicidad urbana con equipamiento de confort pensado para el uso diario. Destaca por su aire acondicionado automático, dirección asistida eléctrica con endurecimiento progresivo, y volante multifunción ajustable que facilitan la conducción. Dispone de cierre centralizado con mando a distancia, elevalunas eléctricos delanteros con función de un solo toque, y retrovisores exteriores eléctricos desempañables. El interior ofrece asientos ajustables en altura, reposacabezas regulables en todas las plazas, y sistema de ventilación con filtro de polen. Incluye ordenador de viaje con datos de consumo y autonomía, equipo de audio con radio AM/FM/LW, reproductor de CD y lector MP3 con control remoto en volante. Cristales tintados y climatización automática completan un habitáculo versátil para desplazamientos cotidianos.</t>
        </is>
      </c>
      <c r="AT83" s="2" t="inlineStr">
        <is>
          <t>https://www.coches.net/mazda-mazda2-style-16-crtd-3p-diesel-2009-en-valencia-71525978-covo.aspx (window.__INITIAL_PROPS__.ad) /home/user/Alopecia/buscador-coches/raw/cochesnet/680bda08a6c8bde6.json</t>
        </is>
      </c>
      <c r="AU83" s="3">
        <f>MAX(ANIO_ACTUAL-M83,0)</f>
        <v/>
      </c>
      <c r="AV83" s="4">
        <f>N83/MAX(AU83,0.5)</f>
        <v/>
      </c>
      <c r="AW83" s="4">
        <f>F83</f>
        <v/>
      </c>
      <c r="AX83" s="3">
        <f>AW83&amp;"|"&amp;INT(M83/SEG_ANIO)*SEG_ANIO</f>
        <v/>
      </c>
      <c r="AY83" s="3">
        <f>AX83&amp;"|"&amp;INT(N83/SEG_KM)*SEG_KM</f>
        <v/>
      </c>
      <c r="AZ83" s="4">
        <f>COUNTIF($AW$2:$AW$662,AW83)</f>
        <v/>
      </c>
      <c r="BA83" s="4">
        <f>COUNTIF($AX$2:$AX$662,AX83)</f>
        <v/>
      </c>
      <c r="BB83" s="4">
        <f>COUNTIF($AY$2:$AY$662,AY83)</f>
        <v/>
      </c>
      <c r="BC83" s="3">
        <f t="array" ref="BC83">IF(N(AO83)&gt;=MIN_N,AN83,IF(BB83&gt;=MIN_N,MEDIAN(IF($AY$2:$AY$662=AY83,$O$2:$O$662)),IF(BA83&gt;=MIN_N,MEDIAN(IF($AX$2:$AX$662=AX83,$O$2:$O$662)),MEDIAN(IF($AW$2:$AW$662=AW83,$O$2:$O$662)))))</f>
        <v/>
      </c>
      <c r="BD83" s="3">
        <f>IF(N(AO83)&gt;=MIN_N,"mercado "&amp;AP83,IF(BB83&gt;=MIN_N,"modelo+año+km",IF(BA83&gt;=MIN_N,"modelo+año","modelo")))</f>
        <v/>
      </c>
      <c r="BE83" s="4">
        <f>(BC83-O83)/BC83</f>
        <v/>
      </c>
      <c r="BF83" s="3">
        <f>IF(OR(K83="hibrido",K83="glp"),"ECO",IF(K83="electrico","CERO",IF(K83="gasolina",IF(M83&gt;=GAS_C,"C",IF(M83&gt;=GAS_B,"B","A")),IF(K83="diesel",IF(M83&gt;=DIE_C,"C",IF(M83&gt;=DIE_B,"B","A")),""))))</f>
        <v/>
      </c>
      <c r="BG83" s="3">
        <f>IFERROR(VLOOKUP(F83,MOD_TBL,11,0),IFERROR(VLOOKUP(E83,OCU_TBL,2,0),NEUTRO))</f>
        <v/>
      </c>
      <c r="BH83" s="3">
        <f>SUMIFS(MOT_AJUSTE,MOT_MOTOR,G83,MOT_MARCA,E83,MOT_DESDE,"&lt;="&amp;M83,MOT_HASTA,"&gt;="&amp;M83)+SUMIFS(MOT_AJUSTE,MOT_MOTOR,G83,MOT_MARCA,"(todas)",MOT_DESDE,"&lt;="&amp;M83,MOT_HASTA,"&gt;="&amp;M83)</f>
        <v/>
      </c>
      <c r="BI83" s="3">
        <f>SUMIFS(COMB_AJUSTE,COMB_COMB,K83)</f>
        <v/>
      </c>
      <c r="BJ83" s="3">
        <f>COUNTIFS(MOT_MOTOR,G83,MOT_MARCA,E83,MOT_DESDE,"&lt;="&amp;M83,MOT_HASTA,"&gt;="&amp;M83)+COUNTIFS(MOT_MOTOR,G83,MOT_MARCA,"(todas)",MOT_DESDE,"&lt;="&amp;M83,MOT_HASTA,"&gt;="&amp;M83)</f>
        <v/>
      </c>
      <c r="BK83" s="3">
        <f>IF(AND(K83="diesel",BJ83=0),MIN(BG83,NEUTRO),BG83)</f>
        <v/>
      </c>
      <c r="BL83" s="4">
        <f>MAX(0,MIN(100,BK83+BH83+BI83))</f>
        <v/>
      </c>
      <c r="BM83" s="3">
        <f>MAX(0,MIN(100,50+BE83*PRECIO_PEND))</f>
        <v/>
      </c>
      <c r="BN83" s="3">
        <f>MAX(0,100*(1-N83/KM_MAX))</f>
        <v/>
      </c>
      <c r="BO83" s="3">
        <f>IF(AV83&lt;KMA_SOSP,IF(AA83="sí",100,KMA_PEN),IF(AV83&lt;=KMA_IDEAL_MAX,100,MAX(0,100*(KMA_CERO-AV83)/(KMA_CERO-KMA_IDEAL_MAX))))</f>
        <v/>
      </c>
      <c r="BP83" s="3">
        <f>MAX(0,MIN(100,100*(M83-ANIO_MIN)/(ANIO_ACTUAL-ANIO_MIN)))</f>
        <v/>
      </c>
      <c r="BQ83" s="3">
        <f>W_KMT*BN83+W_KMA*BO83+W_EDAD*BP83</f>
        <v/>
      </c>
      <c r="BR83" s="3">
        <f>P_ITV*(V83="sí")+P_LIBRO*(W83="sí")+P_CORREA*(X83="sí")+P_PROP*(Y83=1)+P_GAR*(Z83="sí")+P_FOTOS*MIN(1,N(U83)/FOTOS_OBJ)</f>
        <v/>
      </c>
      <c r="BS83" s="3">
        <f>IFERROR(VLOOKUP(BF83,ETQ_TBL,2,0),NEUTRO)</f>
        <v/>
      </c>
      <c r="BT83" s="3">
        <f>NEUTRO</f>
        <v/>
      </c>
      <c r="BU83" s="3">
        <f>IFERROR(VLOOKUP(L83,SEGURO_TBL,3,0),"")</f>
        <v/>
      </c>
      <c r="BV83" s="3">
        <f>IF(BU83="",NEUTRO,MAX(0,MIN(100,100*(SEG_REF_MAX-BU83)/(SEG_REF_MAX-SEG_REF_MIN))))</f>
        <v/>
      </c>
      <c r="BW83" s="3">
        <f>W_ET*BS83+W_CONS*BT83+W_SEG*BV83</f>
        <v/>
      </c>
      <c r="BX83" s="3">
        <f>IF(N(AB83)&gt;0,AB83,IF(AND(R83="profesional",SG_LEGAL_ON=1),GAR_LEGAL,0))</f>
        <v/>
      </c>
      <c r="BY83" s="3">
        <f>SG_GAR*MIN(1,BX83/SG_GAR_FULL)+SG_AMPL*(AC83="sí")+SG_KMC*(AF83="sí")+SG_REV*(N(AE83)&gt;0)+SG_DEV*MIN(1,N(AG83)/SG_DEV_FULL)+SG_HIST*(W83="sí")</f>
        <v/>
      </c>
      <c r="BZ83" s="3">
        <f>IFERROR(VLOOKUP(L83,CARR_PEN_TBL,2,0),0)</f>
        <v/>
      </c>
      <c r="CA83" s="3">
        <f>W_FIAB*BL83+W_PRECIO*BM83+W_KMEDAD*BQ83+W_ANUNCIO*BR83+W_USO*BW83+W_SEGURIDAD*BY83-BZ83</f>
        <v/>
      </c>
      <c r="CB83" s="4">
        <f>IF(N(I83)&gt;0,I83,IFERROR(ROUND(_xlfn.NUMBERVALUE(LEFT(G83,FIND(" ",G83&amp;" ")-1),".")*1000,0),99999))</f>
        <v/>
      </c>
      <c r="CC83" s="3">
        <f>IF(R83="profesional",0,IF(O83&lt;CUOTA_VALOR_MAX,IF(AU83&gt;ITP_TRAMO_ALTO,SUMIFS(CF_CUOTA,CF_MAS,ITP_TRAMO_ALTO,CF_CCMIN,"&lt;="&amp;CB83,CF_CCMAX,"&gt;="&amp;CB83),IF(AU83&gt;ITP_TRAMO_BAJO,SUMIFS(CF_CUOTA,CF_MAS,ITP_TRAMO_BAJO,CF_CCMIN,"&lt;="&amp;CB83,CF_CCMAX,"&gt;="&amp;CB83),O83*ITP_TIPO)),O83*ITP_TIPO))</f>
        <v/>
      </c>
      <c r="CD83" s="4">
        <f>IF(R83="profesional",N(AK83),0)</f>
        <v/>
      </c>
      <c r="CE83" s="3">
        <f>IF(AND(R83="profesional",ISNUMBER(AK83),AL83="sí"),0,TASA_DGT)</f>
        <v/>
      </c>
      <c r="CF83" s="3">
        <f>INFORME_DGT</f>
        <v/>
      </c>
      <c r="CG83" s="4">
        <f>O83+CD83+CC83+CE83+CF83</f>
        <v/>
      </c>
      <c r="CH83" s="4">
        <f>CG83+N(BU83)</f>
        <v/>
      </c>
      <c r="CI83" s="3">
        <f>IF(CG83&lt;=TOTAL_MAX,"sí",IF(CG83&lt;=TOTAL_MAX+MARGEN_NEG,"negociar","no"))</f>
        <v/>
      </c>
      <c r="CJ83" s="4">
        <f>IF(CI83&lt;&gt;"no",COUNTIFS($CI$2:$CI$662,"&lt;&gt;no",$CA$2:$CA$662,"&gt;"&amp;CA83)+COUNTIFS($CI$2:CI83,"&lt;&gt;no",$CA$2:CA83,CA83),"")</f>
        <v/>
      </c>
    </row>
    <row r="84">
      <c r="A84" s="2" t="inlineStr">
        <is>
          <t>cochesnet:71817386</t>
        </is>
      </c>
      <c r="B84" s="2" t="inlineStr">
        <is>
          <t>cochesnet</t>
        </is>
      </c>
      <c r="C84" s="2" t="inlineStr">
        <is>
          <t>https://www.coches.net/kia-picanto-10-sohc-concept-5p-gasolina-2010-en-valencia-71817386-covo.aspx</t>
        </is>
      </c>
      <c r="D84" s="2" t="inlineStr">
        <is>
          <t>KIA Picanto 1.0 SOHC Concept</t>
        </is>
      </c>
      <c r="E84" s="2" t="inlineStr">
        <is>
          <t>Kia</t>
        </is>
      </c>
      <c r="F84" s="2" t="inlineStr">
        <is>
          <t>Kia Picanto</t>
        </is>
      </c>
      <c r="G84" s="2" t="inlineStr">
        <is>
          <t>1.0</t>
        </is>
      </c>
      <c r="H84" s="2" t="inlineStr">
        <is>
          <t>1.0 SOHC Concept</t>
        </is>
      </c>
      <c r="I84" s="2" t="n"/>
      <c r="J84" s="2" t="n"/>
      <c r="K84" s="2" t="inlineStr">
        <is>
          <t>gasolina</t>
        </is>
      </c>
      <c r="L84" s="2" t="inlineStr">
        <is>
          <t>utilitario</t>
        </is>
      </c>
      <c r="M84" s="2" t="n">
        <v>2010</v>
      </c>
      <c r="N84" s="2" t="n">
        <v>99500</v>
      </c>
      <c r="O84" s="2" t="n">
        <v>4490</v>
      </c>
      <c r="P84" s="2" t="inlineStr">
        <is>
          <t>manual</t>
        </is>
      </c>
      <c r="Q84" s="2" t="inlineStr">
        <is>
          <t>no</t>
        </is>
      </c>
      <c r="R84" s="2" t="inlineStr">
        <is>
          <t>profesional</t>
        </is>
      </c>
      <c r="S84" s="2" t="inlineStr">
        <is>
          <t>JM Automóviles Alboraya</t>
        </is>
      </c>
      <c r="T84" s="2" t="inlineStr">
        <is>
          <t>2026-10-23T14:17:23Z</t>
        </is>
      </c>
      <c r="U84" s="2" t="n">
        <v>17</v>
      </c>
      <c r="V84" s="2" t="n"/>
      <c r="W84" s="2" t="n"/>
      <c r="X84" s="2" t="n"/>
      <c r="Y84" s="2" t="n"/>
      <c r="Z84" s="2" t="inlineStr">
        <is>
          <t>sí</t>
        </is>
      </c>
      <c r="AA84" s="2" t="n"/>
      <c r="AB84" s="2" t="n">
        <v>12</v>
      </c>
      <c r="AC84" s="2" t="n"/>
      <c r="AD84" s="2" t="n"/>
      <c r="AE84" s="2" t="n"/>
      <c r="AF84" s="2" t="n"/>
      <c r="AG84" s="2" t="n"/>
      <c r="AH84" s="2" t="n">
        <v>4490</v>
      </c>
      <c r="AI84" s="2" t="n">
        <v>4490</v>
      </c>
      <c r="AJ84" s="2" t="n"/>
      <c r="AK84" s="2" t="n"/>
      <c r="AL84" s="2" t="n"/>
      <c r="AM84" s="2" t="n">
        <v>4</v>
      </c>
      <c r="AN84" s="2" t="n"/>
      <c r="AO84" s="2" t="n"/>
      <c r="AP84" s="2" t="n"/>
      <c r="AQ84" s="2" t="n"/>
      <c r="AR84" s="2" t="inlineStr">
        <is>
          <t>vendedor profesional: sin ITP (operación con IVA/REBU, confirmar en factura); gastos de gestión del vendedor no indicados: se suma la tasa DGT; preguntar el precio final</t>
        </is>
      </c>
      <c r="AS84" s="2" t="inlineStr">
        <is>
          <t>KIA PICANTO GASOLINA – 2010 – 99.500 KM
Kia Picanto del año 2010, con motor de gasolina y 99.500 km. Un vehículo urbano, práctico y económico, ideal para el día a día, con un tamaño perfecto para moverse por ciudad y aparcar fácilmente.
DATOS PRINCIPALES
Año: 2010
Combustible: Gasolina
Kilómetros: 99.500 km
Motor: Gasolina
Cambio: Manual (por confirmar)
EQUIPAMIENTO DESTACADO
Aire acondicionado
Radio
Elevalunas eléctricos
Cierre centralizado
Dirección asistida
ABS
Interior práctico y funcional
LO MEJOR
Solo 99.500 km
Motor de gasolina
Tamaño compacto, ideal para ciudad
Fácil de aparcar
Mantenimiento económico
Vehículo en buen estado, cuidado y preparado para su entrega.</t>
        </is>
      </c>
      <c r="AT84" s="2" t="inlineStr">
        <is>
          <t>https://www.coches.net/kia-picanto-10-sohc-concept-5p-gasolina-2010-en-valencia-71817386-covo.aspx (window.__INITIAL_PROPS__.ad) /home/user/Alopecia/buscador-coches/raw/cochesnet/7d779d6ecf209f81.json</t>
        </is>
      </c>
      <c r="AU84" s="3">
        <f>MAX(ANIO_ACTUAL-M84,0)</f>
        <v/>
      </c>
      <c r="AV84" s="4">
        <f>N84/MAX(AU84,0.5)</f>
        <v/>
      </c>
      <c r="AW84" s="4">
        <f>F84</f>
        <v/>
      </c>
      <c r="AX84" s="3">
        <f>AW84&amp;"|"&amp;INT(M84/SEG_ANIO)*SEG_ANIO</f>
        <v/>
      </c>
      <c r="AY84" s="3">
        <f>AX84&amp;"|"&amp;INT(N84/SEG_KM)*SEG_KM</f>
        <v/>
      </c>
      <c r="AZ84" s="4">
        <f>COUNTIF($AW$2:$AW$662,AW84)</f>
        <v/>
      </c>
      <c r="BA84" s="4">
        <f>COUNTIF($AX$2:$AX$662,AX84)</f>
        <v/>
      </c>
      <c r="BB84" s="4">
        <f>COUNTIF($AY$2:$AY$662,AY84)</f>
        <v/>
      </c>
      <c r="BC84" s="3">
        <f t="array" ref="BC84">IF(N(AO84)&gt;=MIN_N,AN84,IF(BB84&gt;=MIN_N,MEDIAN(IF($AY$2:$AY$662=AY84,$O$2:$O$662)),IF(BA84&gt;=MIN_N,MEDIAN(IF($AX$2:$AX$662=AX84,$O$2:$O$662)),MEDIAN(IF($AW$2:$AW$662=AW84,$O$2:$O$662)))))</f>
        <v/>
      </c>
      <c r="BD84" s="3">
        <f>IF(N(AO84)&gt;=MIN_N,"mercado "&amp;AP84,IF(BB84&gt;=MIN_N,"modelo+año+km",IF(BA84&gt;=MIN_N,"modelo+año","modelo")))</f>
        <v/>
      </c>
      <c r="BE84" s="4">
        <f>(BC84-O84)/BC84</f>
        <v/>
      </c>
      <c r="BF84" s="3">
        <f>IF(OR(K84="hibrido",K84="glp"),"ECO",IF(K84="electrico","CERO",IF(K84="gasolina",IF(M84&gt;=GAS_C,"C",IF(M84&gt;=GAS_B,"B","A")),IF(K84="diesel",IF(M84&gt;=DIE_C,"C",IF(M84&gt;=DIE_B,"B","A")),""))))</f>
        <v/>
      </c>
      <c r="BG84" s="3">
        <f>IFERROR(VLOOKUP(F84,MOD_TBL,11,0),IFERROR(VLOOKUP(E84,OCU_TBL,2,0),NEUTRO))</f>
        <v/>
      </c>
      <c r="BH84" s="3">
        <f>SUMIFS(MOT_AJUSTE,MOT_MOTOR,G84,MOT_MARCA,E84,MOT_DESDE,"&lt;="&amp;M84,MOT_HASTA,"&gt;="&amp;M84)+SUMIFS(MOT_AJUSTE,MOT_MOTOR,G84,MOT_MARCA,"(todas)",MOT_DESDE,"&lt;="&amp;M84,MOT_HASTA,"&gt;="&amp;M84)</f>
        <v/>
      </c>
      <c r="BI84" s="3">
        <f>SUMIFS(COMB_AJUSTE,COMB_COMB,K84)</f>
        <v/>
      </c>
      <c r="BJ84" s="3">
        <f>COUNTIFS(MOT_MOTOR,G84,MOT_MARCA,E84,MOT_DESDE,"&lt;="&amp;M84,MOT_HASTA,"&gt;="&amp;M84)+COUNTIFS(MOT_MOTOR,G84,MOT_MARCA,"(todas)",MOT_DESDE,"&lt;="&amp;M84,MOT_HASTA,"&gt;="&amp;M84)</f>
        <v/>
      </c>
      <c r="BK84" s="3">
        <f>IF(AND(K84="diesel",BJ84=0),MIN(BG84,NEUTRO),BG84)</f>
        <v/>
      </c>
      <c r="BL84" s="4">
        <f>MAX(0,MIN(100,BK84+BH84+BI84))</f>
        <v/>
      </c>
      <c r="BM84" s="3">
        <f>MAX(0,MIN(100,50+BE84*PRECIO_PEND))</f>
        <v/>
      </c>
      <c r="BN84" s="3">
        <f>MAX(0,100*(1-N84/KM_MAX))</f>
        <v/>
      </c>
      <c r="BO84" s="3">
        <f>IF(AV84&lt;KMA_SOSP,IF(AA84="sí",100,KMA_PEN),IF(AV84&lt;=KMA_IDEAL_MAX,100,MAX(0,100*(KMA_CERO-AV84)/(KMA_CERO-KMA_IDEAL_MAX))))</f>
        <v/>
      </c>
      <c r="BP84" s="3">
        <f>MAX(0,MIN(100,100*(M84-ANIO_MIN)/(ANIO_ACTUAL-ANIO_MIN)))</f>
        <v/>
      </c>
      <c r="BQ84" s="3">
        <f>W_KMT*BN84+W_KMA*BO84+W_EDAD*BP84</f>
        <v/>
      </c>
      <c r="BR84" s="3">
        <f>P_ITV*(V84="sí")+P_LIBRO*(W84="sí")+P_CORREA*(X84="sí")+P_PROP*(Y84=1)+P_GAR*(Z84="sí")+P_FOTOS*MIN(1,N(U84)/FOTOS_OBJ)</f>
        <v/>
      </c>
      <c r="BS84" s="3">
        <f>IFERROR(VLOOKUP(BF84,ETQ_TBL,2,0),NEUTRO)</f>
        <v/>
      </c>
      <c r="BT84" s="3">
        <f>NEUTRO</f>
        <v/>
      </c>
      <c r="BU84" s="3">
        <f>IFERROR(VLOOKUP(L84,SEGURO_TBL,3,0),"")</f>
        <v/>
      </c>
      <c r="BV84" s="3">
        <f>IF(BU84="",NEUTRO,MAX(0,MIN(100,100*(SEG_REF_MAX-BU84)/(SEG_REF_MAX-SEG_REF_MIN))))</f>
        <v/>
      </c>
      <c r="BW84" s="3">
        <f>W_ET*BS84+W_CONS*BT84+W_SEG*BV84</f>
        <v/>
      </c>
      <c r="BX84" s="3">
        <f>IF(N(AB84)&gt;0,AB84,IF(AND(R84="profesional",SG_LEGAL_ON=1),GAR_LEGAL,0))</f>
        <v/>
      </c>
      <c r="BY84" s="3">
        <f>SG_GAR*MIN(1,BX84/SG_GAR_FULL)+SG_AMPL*(AC84="sí")+SG_KMC*(AF84="sí")+SG_REV*(N(AE84)&gt;0)+SG_DEV*MIN(1,N(AG84)/SG_DEV_FULL)+SG_HIST*(W84="sí")</f>
        <v/>
      </c>
      <c r="BZ84" s="3">
        <f>IFERROR(VLOOKUP(L84,CARR_PEN_TBL,2,0),0)</f>
        <v/>
      </c>
      <c r="CA84" s="3">
        <f>W_FIAB*BL84+W_PRECIO*BM84+W_KMEDAD*BQ84+W_ANUNCIO*BR84+W_USO*BW84+W_SEGURIDAD*BY84-BZ84</f>
        <v/>
      </c>
      <c r="CB84" s="4">
        <f>IF(N(I84)&gt;0,I84,IFERROR(ROUND(_xlfn.NUMBERVALUE(LEFT(G84,FIND(" ",G84&amp;" ")-1),".")*1000,0),99999))</f>
        <v/>
      </c>
      <c r="CC84" s="3">
        <f>IF(R84="profesional",0,IF(O84&lt;CUOTA_VALOR_MAX,IF(AU84&gt;ITP_TRAMO_ALTO,SUMIFS(CF_CUOTA,CF_MAS,ITP_TRAMO_ALTO,CF_CCMIN,"&lt;="&amp;CB84,CF_CCMAX,"&gt;="&amp;CB84),IF(AU84&gt;ITP_TRAMO_BAJO,SUMIFS(CF_CUOTA,CF_MAS,ITP_TRAMO_BAJO,CF_CCMIN,"&lt;="&amp;CB84,CF_CCMAX,"&gt;="&amp;CB84),O84*ITP_TIPO)),O84*ITP_TIPO))</f>
        <v/>
      </c>
      <c r="CD84" s="4">
        <f>IF(R84="profesional",N(AK84),0)</f>
        <v/>
      </c>
      <c r="CE84" s="3">
        <f>IF(AND(R84="profesional",ISNUMBER(AK84),AL84="sí"),0,TASA_DGT)</f>
        <v/>
      </c>
      <c r="CF84" s="3">
        <f>INFORME_DGT</f>
        <v/>
      </c>
      <c r="CG84" s="4">
        <f>O84+CD84+CC84+CE84+CF84</f>
        <v/>
      </c>
      <c r="CH84" s="4">
        <f>CG84+N(BU84)</f>
        <v/>
      </c>
      <c r="CI84" s="3">
        <f>IF(CG84&lt;=TOTAL_MAX,"sí",IF(CG84&lt;=TOTAL_MAX+MARGEN_NEG,"negociar","no"))</f>
        <v/>
      </c>
      <c r="CJ84" s="4">
        <f>IF(CI84&lt;&gt;"no",COUNTIFS($CI$2:$CI$662,"&lt;&gt;no",$CA$2:$CA$662,"&gt;"&amp;CA84)+COUNTIFS($CI$2:CI84,"&lt;&gt;no",$CA$2:CA84,CA84),"")</f>
        <v/>
      </c>
    </row>
    <row r="85">
      <c r="A85" s="2" t="inlineStr">
        <is>
          <t>cochesnet:71336745</t>
        </is>
      </c>
      <c r="B85" s="2" t="inlineStr">
        <is>
          <t>cochesnet</t>
        </is>
      </c>
      <c r="C85" s="2" t="inlineStr">
        <is>
          <t>https://www.coches.net/kia-picanto-11-sohc-emotion-5p-gasolina-2008-en-valencia-71336745-covo.aspx</t>
        </is>
      </c>
      <c r="D85" s="2" t="inlineStr">
        <is>
          <t>KIA Picanto 1.1 SOHC Emotion</t>
        </is>
      </c>
      <c r="E85" s="2" t="inlineStr">
        <is>
          <t>Kia</t>
        </is>
      </c>
      <c r="F85" s="2" t="inlineStr">
        <is>
          <t>Kia Picanto</t>
        </is>
      </c>
      <c r="G85" s="2" t="inlineStr">
        <is>
          <t>1.1</t>
        </is>
      </c>
      <c r="H85" s="2" t="inlineStr">
        <is>
          <t>1.1 SOHC Emotion</t>
        </is>
      </c>
      <c r="I85" s="2" t="n"/>
      <c r="J85" s="2" t="n"/>
      <c r="K85" s="2" t="inlineStr">
        <is>
          <t>gasolina</t>
        </is>
      </c>
      <c r="L85" s="2" t="inlineStr">
        <is>
          <t>utilitario</t>
        </is>
      </c>
      <c r="M85" s="2" t="n">
        <v>2008</v>
      </c>
      <c r="N85" s="2" t="n">
        <v>180000</v>
      </c>
      <c r="O85" s="2" t="n">
        <v>2450</v>
      </c>
      <c r="P85" s="2" t="inlineStr">
        <is>
          <t>manual</t>
        </is>
      </c>
      <c r="Q85" s="2" t="inlineStr">
        <is>
          <t>no</t>
        </is>
      </c>
      <c r="R85" s="2" t="inlineStr">
        <is>
          <t>particular</t>
        </is>
      </c>
      <c r="S85" s="2" t="inlineStr">
        <is>
          <t>Alboraya</t>
        </is>
      </c>
      <c r="T85" s="2" t="inlineStr">
        <is>
          <t>2026-08-21T10:31:08Z</t>
        </is>
      </c>
      <c r="U85" s="2" t="n">
        <v>5</v>
      </c>
      <c r="V85" s="2" t="n"/>
      <c r="W85" s="2" t="n"/>
      <c r="X85" s="2" t="n"/>
      <c r="Y85" s="2" t="n"/>
      <c r="Z85" s="2" t="inlineStr">
        <is>
          <t>no</t>
        </is>
      </c>
      <c r="AA85" s="2" t="n"/>
      <c r="AB85" s="2" t="n"/>
      <c r="AC85" s="2" t="n"/>
      <c r="AD85" s="2" t="n"/>
      <c r="AE85" s="2" t="n"/>
      <c r="AF85" s="2" t="n"/>
      <c r="AG85" s="2" t="n"/>
      <c r="AH85" s="2" t="n">
        <v>2450</v>
      </c>
      <c r="AI85" s="2" t="n"/>
      <c r="AJ85" s="2" t="n"/>
      <c r="AK85" s="2" t="n"/>
      <c r="AL85" s="2" t="n"/>
      <c r="AM85" s="2" t="n">
        <v>4</v>
      </c>
      <c r="AN85" s="2" t="n">
        <v>2590</v>
      </c>
      <c r="AO85" s="2" t="n">
        <v>4</v>
      </c>
      <c r="AP85" s="2" t="inlineStr">
        <is>
          <t>modelo+año</t>
        </is>
      </c>
      <c r="AQ85" s="2" t="n"/>
      <c r="AR85" s="2" t="inlineStr">
        <is>
          <t>cuota fija ITP: &gt;12 años, hasta 1.500 cc</t>
        </is>
      </c>
      <c r="AS85" s="2" t="inlineStr">
        <is>
          <t>Perfecto para quienes buscan fiabilidad, estilo y buen rendimiento a un precio justo. Te presento mi KIA Picanto 1.1 SOHC Emotion, un utilitario versátil que combina lo mejor de la conducción urbana con la practicidad que necesitas en tu día a día.
Este Picanto destaca por su excelente relación entre consumo y potencia. Con un motor de 1086 cc y 65 CV, ofrece una conducción ágil y eficiente, perfecta tanto para moverte por la ciudad como para trayectos más largos. Su cambio manual garantiza un control total y una experiencia de conducción directa y responsiva.
El estado general del vehículo es bueno, tanto interior como exterior. Se trata de un coche berlina de cinco puertas y cinco plazas, ideal para familias o para quien necesite espacio y versatilidad sin renunciar a la maniobrabilidad en espacios reducidos. Su color amarillo le da un toque diferente y fácil de localizar en el aparcamiento.
Este modelo destaca por su fiabilidad característica de la marca KIA, con un motor robusto que ha demostrado su durabilidad a lo largo de los años. Es un vehículo sin pretensiones pero efectivo, pensado para quien valora la practicidad y el buen funcionamiento por encima de las modas pasajeras.
Estoy disponible para resolver cualquier duda específica que tengas sobre el vehículo. Puedes contactarme tanto por chat como por teléfono para ampliar la información o concertar una cita para verlo en persona.
¡No lo dejes escapar! Contacta hoy mismo y descubre por qué este Picanto puede se</t>
        </is>
      </c>
      <c r="AT85" s="2" t="inlineStr">
        <is>
          <t>https://www.coches.net/kia-picanto-11-sohc-emotion-5p-gasolina-2008-en-valencia-71336745-covo.aspx (window.__INITIAL_PROPS__.ad) /home/user/Alopecia/buscador-coches/raw/cochesnet/7b36e2eae2b2420f.json</t>
        </is>
      </c>
      <c r="AU85" s="3">
        <f>MAX(ANIO_ACTUAL-M85,0)</f>
        <v/>
      </c>
      <c r="AV85" s="4">
        <f>N85/MAX(AU85,0.5)</f>
        <v/>
      </c>
      <c r="AW85" s="4">
        <f>F85</f>
        <v/>
      </c>
      <c r="AX85" s="3">
        <f>AW85&amp;"|"&amp;INT(M85/SEG_ANIO)*SEG_ANIO</f>
        <v/>
      </c>
      <c r="AY85" s="3">
        <f>AX85&amp;"|"&amp;INT(N85/SEG_KM)*SEG_KM</f>
        <v/>
      </c>
      <c r="AZ85" s="4">
        <f>COUNTIF($AW$2:$AW$662,AW85)</f>
        <v/>
      </c>
      <c r="BA85" s="4">
        <f>COUNTIF($AX$2:$AX$662,AX85)</f>
        <v/>
      </c>
      <c r="BB85" s="4">
        <f>COUNTIF($AY$2:$AY$662,AY85)</f>
        <v/>
      </c>
      <c r="BC85" s="3">
        <f t="array" ref="BC85">IF(N(AO85)&gt;=MIN_N,AN85,IF(BB85&gt;=MIN_N,MEDIAN(IF($AY$2:$AY$662=AY85,$O$2:$O$662)),IF(BA85&gt;=MIN_N,MEDIAN(IF($AX$2:$AX$662=AX85,$O$2:$O$662)),MEDIAN(IF($AW$2:$AW$662=AW85,$O$2:$O$662)))))</f>
        <v/>
      </c>
      <c r="BD85" s="3">
        <f>IF(N(AO85)&gt;=MIN_N,"mercado "&amp;AP85,IF(BB85&gt;=MIN_N,"modelo+año+km",IF(BA85&gt;=MIN_N,"modelo+año","modelo")))</f>
        <v/>
      </c>
      <c r="BE85" s="4">
        <f>(BC85-O85)/BC85</f>
        <v/>
      </c>
      <c r="BF85" s="3">
        <f>IF(OR(K85="hibrido",K85="glp"),"ECO",IF(K85="electrico","CERO",IF(K85="gasolina",IF(M85&gt;=GAS_C,"C",IF(M85&gt;=GAS_B,"B","A")),IF(K85="diesel",IF(M85&gt;=DIE_C,"C",IF(M85&gt;=DIE_B,"B","A")),""))))</f>
        <v/>
      </c>
      <c r="BG85" s="3">
        <f>IFERROR(VLOOKUP(F85,MOD_TBL,11,0),IFERROR(VLOOKUP(E85,OCU_TBL,2,0),NEUTRO))</f>
        <v/>
      </c>
      <c r="BH85" s="3">
        <f>SUMIFS(MOT_AJUSTE,MOT_MOTOR,G85,MOT_MARCA,E85,MOT_DESDE,"&lt;="&amp;M85,MOT_HASTA,"&gt;="&amp;M85)+SUMIFS(MOT_AJUSTE,MOT_MOTOR,G85,MOT_MARCA,"(todas)",MOT_DESDE,"&lt;="&amp;M85,MOT_HASTA,"&gt;="&amp;M85)</f>
        <v/>
      </c>
      <c r="BI85" s="3">
        <f>SUMIFS(COMB_AJUSTE,COMB_COMB,K85)</f>
        <v/>
      </c>
      <c r="BJ85" s="3">
        <f>COUNTIFS(MOT_MOTOR,G85,MOT_MARCA,E85,MOT_DESDE,"&lt;="&amp;M85,MOT_HASTA,"&gt;="&amp;M85)+COUNTIFS(MOT_MOTOR,G85,MOT_MARCA,"(todas)",MOT_DESDE,"&lt;="&amp;M85,MOT_HASTA,"&gt;="&amp;M85)</f>
        <v/>
      </c>
      <c r="BK85" s="3">
        <f>IF(AND(K85="diesel",BJ85=0),MIN(BG85,NEUTRO),BG85)</f>
        <v/>
      </c>
      <c r="BL85" s="4">
        <f>MAX(0,MIN(100,BK85+BH85+BI85))</f>
        <v/>
      </c>
      <c r="BM85" s="3">
        <f>MAX(0,MIN(100,50+BE85*PRECIO_PEND))</f>
        <v/>
      </c>
      <c r="BN85" s="3">
        <f>MAX(0,100*(1-N85/KM_MAX))</f>
        <v/>
      </c>
      <c r="BO85" s="3">
        <f>IF(AV85&lt;KMA_SOSP,IF(AA85="sí",100,KMA_PEN),IF(AV85&lt;=KMA_IDEAL_MAX,100,MAX(0,100*(KMA_CERO-AV85)/(KMA_CERO-KMA_IDEAL_MAX))))</f>
        <v/>
      </c>
      <c r="BP85" s="3">
        <f>MAX(0,MIN(100,100*(M85-ANIO_MIN)/(ANIO_ACTUAL-ANIO_MIN)))</f>
        <v/>
      </c>
      <c r="BQ85" s="3">
        <f>W_KMT*BN85+W_KMA*BO85+W_EDAD*BP85</f>
        <v/>
      </c>
      <c r="BR85" s="3">
        <f>P_ITV*(V85="sí")+P_LIBRO*(W85="sí")+P_CORREA*(X85="sí")+P_PROP*(Y85=1)+P_GAR*(Z85="sí")+P_FOTOS*MIN(1,N(U85)/FOTOS_OBJ)</f>
        <v/>
      </c>
      <c r="BS85" s="3">
        <f>IFERROR(VLOOKUP(BF85,ETQ_TBL,2,0),NEUTRO)</f>
        <v/>
      </c>
      <c r="BT85" s="3">
        <f>NEUTRO</f>
        <v/>
      </c>
      <c r="BU85" s="3">
        <f>IFERROR(VLOOKUP(L85,SEGURO_TBL,3,0),"")</f>
        <v/>
      </c>
      <c r="BV85" s="3">
        <f>IF(BU85="",NEUTRO,MAX(0,MIN(100,100*(SEG_REF_MAX-BU85)/(SEG_REF_MAX-SEG_REF_MIN))))</f>
        <v/>
      </c>
      <c r="BW85" s="3">
        <f>W_ET*BS85+W_CONS*BT85+W_SEG*BV85</f>
        <v/>
      </c>
      <c r="BX85" s="3">
        <f>IF(N(AB85)&gt;0,AB85,IF(AND(R85="profesional",SG_LEGAL_ON=1),GAR_LEGAL,0))</f>
        <v/>
      </c>
      <c r="BY85" s="3">
        <f>SG_GAR*MIN(1,BX85/SG_GAR_FULL)+SG_AMPL*(AC85="sí")+SG_KMC*(AF85="sí")+SG_REV*(N(AE85)&gt;0)+SG_DEV*MIN(1,N(AG85)/SG_DEV_FULL)+SG_HIST*(W85="sí")</f>
        <v/>
      </c>
      <c r="BZ85" s="3">
        <f>IFERROR(VLOOKUP(L85,CARR_PEN_TBL,2,0),0)</f>
        <v/>
      </c>
      <c r="CA85" s="3">
        <f>W_FIAB*BL85+W_PRECIO*BM85+W_KMEDAD*BQ85+W_ANUNCIO*BR85+W_USO*BW85+W_SEGURIDAD*BY85-BZ85</f>
        <v/>
      </c>
      <c r="CB85" s="4">
        <f>IF(N(I85)&gt;0,I85,IFERROR(ROUND(_xlfn.NUMBERVALUE(LEFT(G85,FIND(" ",G85&amp;" ")-1),".")*1000,0),99999))</f>
        <v/>
      </c>
      <c r="CC85" s="3">
        <f>IF(R85="profesional",0,IF(O85&lt;CUOTA_VALOR_MAX,IF(AU85&gt;ITP_TRAMO_ALTO,SUMIFS(CF_CUOTA,CF_MAS,ITP_TRAMO_ALTO,CF_CCMIN,"&lt;="&amp;CB85,CF_CCMAX,"&gt;="&amp;CB85),IF(AU85&gt;ITP_TRAMO_BAJO,SUMIFS(CF_CUOTA,CF_MAS,ITP_TRAMO_BAJO,CF_CCMIN,"&lt;="&amp;CB85,CF_CCMAX,"&gt;="&amp;CB85),O85*ITP_TIPO)),O85*ITP_TIPO))</f>
        <v/>
      </c>
      <c r="CD85" s="4">
        <f>IF(R85="profesional",N(AK85),0)</f>
        <v/>
      </c>
      <c r="CE85" s="3">
        <f>IF(AND(R85="profesional",ISNUMBER(AK85),AL85="sí"),0,TASA_DGT)</f>
        <v/>
      </c>
      <c r="CF85" s="3">
        <f>INFORME_DGT</f>
        <v/>
      </c>
      <c r="CG85" s="4">
        <f>O85+CD85+CC85+CE85+CF85</f>
        <v/>
      </c>
      <c r="CH85" s="4">
        <f>CG85+N(BU85)</f>
        <v/>
      </c>
      <c r="CI85" s="3">
        <f>IF(CG85&lt;=TOTAL_MAX,"sí",IF(CG85&lt;=TOTAL_MAX+MARGEN_NEG,"negociar","no"))</f>
        <v/>
      </c>
      <c r="CJ85" s="4">
        <f>IF(CI85&lt;&gt;"no",COUNTIFS($CI$2:$CI$662,"&lt;&gt;no",$CA$2:$CA$662,"&gt;"&amp;CA85)+COUNTIFS($CI$2:CI85,"&lt;&gt;no",$CA$2:CA85,CA85),"")</f>
        <v/>
      </c>
    </row>
    <row r="86">
      <c r="A86" s="2" t="inlineStr">
        <is>
          <t>cochesnet:71256371</t>
        </is>
      </c>
      <c r="B86" s="2" t="inlineStr">
        <is>
          <t>cochesnet</t>
        </is>
      </c>
      <c r="C86" s="2" t="inlineStr">
        <is>
          <t>https://www.coches.net/kia-rio-15-crdi-emotion-4p-diesel-2009-en-valencia-71256371-covo.aspx</t>
        </is>
      </c>
      <c r="D86" s="2" t="inlineStr">
        <is>
          <t>KIA Rio 1.5 CRDi Emotion</t>
        </is>
      </c>
      <c r="E86" s="2" t="inlineStr">
        <is>
          <t>Kia</t>
        </is>
      </c>
      <c r="F86" s="2" t="inlineStr">
        <is>
          <t>Kia Rio</t>
        </is>
      </c>
      <c r="G86" s="2" t="inlineStr">
        <is>
          <t>1.5 CRDi</t>
        </is>
      </c>
      <c r="H86" s="2" t="inlineStr">
        <is>
          <t>1.5 CRDi Emotion</t>
        </is>
      </c>
      <c r="I86" s="2" t="n"/>
      <c r="J86" s="2" t="n"/>
      <c r="K86" s="2" t="inlineStr">
        <is>
          <t>diesel</t>
        </is>
      </c>
      <c r="L86" s="2" t="inlineStr">
        <is>
          <t>utilitario</t>
        </is>
      </c>
      <c r="M86" s="2" t="n">
        <v>2009</v>
      </c>
      <c r="N86" s="2" t="n">
        <v>198000</v>
      </c>
      <c r="O86" s="2" t="n">
        <v>4000</v>
      </c>
      <c r="P86" s="2" t="inlineStr">
        <is>
          <t>manual</t>
        </is>
      </c>
      <c r="Q86" s="2" t="inlineStr">
        <is>
          <t>no</t>
        </is>
      </c>
      <c r="R86" s="2" t="inlineStr">
        <is>
          <t>particular</t>
        </is>
      </c>
      <c r="S86" s="2" t="inlineStr">
        <is>
          <t>Tavernes de la Valldigna</t>
        </is>
      </c>
      <c r="T86" s="2" t="inlineStr">
        <is>
          <t>2026-08-08T14:52:54Z</t>
        </is>
      </c>
      <c r="U86" s="2" t="n"/>
      <c r="V86" s="2" t="n"/>
      <c r="W86" s="2" t="inlineStr">
        <is>
          <t>sí</t>
        </is>
      </c>
      <c r="X86" s="2" t="n"/>
      <c r="Y86" s="2" t="n"/>
      <c r="Z86" s="2" t="inlineStr">
        <is>
          <t>no</t>
        </is>
      </c>
      <c r="AA86" s="2" t="n"/>
      <c r="AB86" s="2" t="n"/>
      <c r="AC86" s="2" t="n"/>
      <c r="AD86" s="2" t="n"/>
      <c r="AE86" s="2" t="n"/>
      <c r="AF86" s="2" t="n"/>
      <c r="AG86" s="2" t="n"/>
      <c r="AH86" s="2" t="n">
        <v>4000</v>
      </c>
      <c r="AI86" s="2" t="n"/>
      <c r="AJ86" s="2" t="n"/>
      <c r="AK86" s="2" t="n"/>
      <c r="AL86" s="2" t="n"/>
      <c r="AM86" s="2" t="n">
        <v>45.8</v>
      </c>
      <c r="AN86" s="2" t="n"/>
      <c r="AO86" s="2" t="n"/>
      <c r="AP86" s="2" t="n"/>
      <c r="AQ86" s="2" t="n"/>
      <c r="AR86" s="2" t="inlineStr">
        <is>
          <t>cuota fija ITP: &gt;12 años, hasta 1.500 cc; diésel: motor sin fuente de fiabilidad (fiabilidad limitada a neutra); fiabilidad del modelo PENDIENTE de fuente (puntuación neutra); mediana con solo 1 anuncio(s)</t>
        </is>
      </c>
      <c r="AS86" s="2" t="inlineStr">
        <is>
          <t>Si buscas un coche funcional y económico que te lleve de un lado a otro sin complicaciones, aquí tienes una oportunidad. Este Kia Rio es un berlina diésel compacta y práctica, ideal para quien necesita un vehículo fiable a un precio accesible.
El motor de 1.5 CRDi ofrece 110 caballos con un consumo muy contenido, característica fundamental de los diésel de esta gama. La transmisión manual es directa y eficiente, perfecta para quienes valoran la sencillez mecánica. Con cinco plazas y cuatro puertas, es versátil tanto para desplazamientos urbanos como para trayectos más largos.
Aunque el vehículo presenta signos de uso acorde a sus años de circulación, sigue siendo operativo y funcional. Es el tipo de coche que necesita alguien que busque rentabilidad antes que estética, sin renunciar a la seguridad básica que ofrece esta berlina de clase B.
A este precio, tienes un diésel de marca consolidada que cumple su función sin pretensiones innecesarias. Los Kia Rio son conocidos por su durabilidad, y este modelo mantiene esa reputación.
Si tienes dudas sobre el estado específico, el historial de mantenimiento o cualquier otro aspecto no detallado aquí, no dudes en contactarme a través del chat. Estaré encantado de resolver todas tus preguntas.
Contacta hoy mismo y comprueba si este Rio es lo que estabas buscando.</t>
        </is>
      </c>
      <c r="AT86" s="2" t="inlineStr">
        <is>
          <t>https://www.coches.net/kia-rio-15-crdi-emotion-4p-diesel-2009-en-valencia-71256371-covo.aspx (window.__INITIAL_PROPS__.ad) /home/user/Alopecia/buscador-coches/raw/cochesnet/94fafb6aa5842e7f.json</t>
        </is>
      </c>
      <c r="AU86" s="3">
        <f>MAX(ANIO_ACTUAL-M86,0)</f>
        <v/>
      </c>
      <c r="AV86" s="4">
        <f>N86/MAX(AU86,0.5)</f>
        <v/>
      </c>
      <c r="AW86" s="4">
        <f>F86</f>
        <v/>
      </c>
      <c r="AX86" s="3">
        <f>AW86&amp;"|"&amp;INT(M86/SEG_ANIO)*SEG_ANIO</f>
        <v/>
      </c>
      <c r="AY86" s="3">
        <f>AX86&amp;"|"&amp;INT(N86/SEG_KM)*SEG_KM</f>
        <v/>
      </c>
      <c r="AZ86" s="4">
        <f>COUNTIF($AW$2:$AW$662,AW86)</f>
        <v/>
      </c>
      <c r="BA86" s="4">
        <f>COUNTIF($AX$2:$AX$662,AX86)</f>
        <v/>
      </c>
      <c r="BB86" s="4">
        <f>COUNTIF($AY$2:$AY$662,AY86)</f>
        <v/>
      </c>
      <c r="BC86" s="3">
        <f t="array" ref="BC86">IF(N(AO86)&gt;=MIN_N,AN86,IF(BB86&gt;=MIN_N,MEDIAN(IF($AY$2:$AY$662=AY86,$O$2:$O$662)),IF(BA86&gt;=MIN_N,MEDIAN(IF($AX$2:$AX$662=AX86,$O$2:$O$662)),MEDIAN(IF($AW$2:$AW$662=AW86,$O$2:$O$662)))))</f>
        <v/>
      </c>
      <c r="BD86" s="3">
        <f>IF(N(AO86)&gt;=MIN_N,"mercado "&amp;AP86,IF(BB86&gt;=MIN_N,"modelo+año+km",IF(BA86&gt;=MIN_N,"modelo+año","modelo")))</f>
        <v/>
      </c>
      <c r="BE86" s="4">
        <f>(BC86-O86)/BC86</f>
        <v/>
      </c>
      <c r="BF86" s="3">
        <f>IF(OR(K86="hibrido",K86="glp"),"ECO",IF(K86="electrico","CERO",IF(K86="gasolina",IF(M86&gt;=GAS_C,"C",IF(M86&gt;=GAS_B,"B","A")),IF(K86="diesel",IF(M86&gt;=DIE_C,"C",IF(M86&gt;=DIE_B,"B","A")),""))))</f>
        <v/>
      </c>
      <c r="BG86" s="3">
        <f>IFERROR(VLOOKUP(F86,MOD_TBL,11,0),IFERROR(VLOOKUP(E86,OCU_TBL,2,0),NEUTRO))</f>
        <v/>
      </c>
      <c r="BH86" s="3">
        <f>SUMIFS(MOT_AJUSTE,MOT_MOTOR,G86,MOT_MARCA,E86,MOT_DESDE,"&lt;="&amp;M86,MOT_HASTA,"&gt;="&amp;M86)+SUMIFS(MOT_AJUSTE,MOT_MOTOR,G86,MOT_MARCA,"(todas)",MOT_DESDE,"&lt;="&amp;M86,MOT_HASTA,"&gt;="&amp;M86)</f>
        <v/>
      </c>
      <c r="BI86" s="3">
        <f>SUMIFS(COMB_AJUSTE,COMB_COMB,K86)</f>
        <v/>
      </c>
      <c r="BJ86" s="3">
        <f>COUNTIFS(MOT_MOTOR,G86,MOT_MARCA,E86,MOT_DESDE,"&lt;="&amp;M86,MOT_HASTA,"&gt;="&amp;M86)+COUNTIFS(MOT_MOTOR,G86,MOT_MARCA,"(todas)",MOT_DESDE,"&lt;="&amp;M86,MOT_HASTA,"&gt;="&amp;M86)</f>
        <v/>
      </c>
      <c r="BK86" s="3">
        <f>IF(AND(K86="diesel",BJ86=0),MIN(BG86,NEUTRO),BG86)</f>
        <v/>
      </c>
      <c r="BL86" s="4">
        <f>MAX(0,MIN(100,BK86+BH86+BI86))</f>
        <v/>
      </c>
      <c r="BM86" s="3">
        <f>MAX(0,MIN(100,50+BE86*PRECIO_PEND))</f>
        <v/>
      </c>
      <c r="BN86" s="3">
        <f>MAX(0,100*(1-N86/KM_MAX))</f>
        <v/>
      </c>
      <c r="BO86" s="3">
        <f>IF(AV86&lt;KMA_SOSP,IF(AA86="sí",100,KMA_PEN),IF(AV86&lt;=KMA_IDEAL_MAX,100,MAX(0,100*(KMA_CERO-AV86)/(KMA_CERO-KMA_IDEAL_MAX))))</f>
        <v/>
      </c>
      <c r="BP86" s="3">
        <f>MAX(0,MIN(100,100*(M86-ANIO_MIN)/(ANIO_ACTUAL-ANIO_MIN)))</f>
        <v/>
      </c>
      <c r="BQ86" s="3">
        <f>W_KMT*BN86+W_KMA*BO86+W_EDAD*BP86</f>
        <v/>
      </c>
      <c r="BR86" s="3">
        <f>P_ITV*(V86="sí")+P_LIBRO*(W86="sí")+P_CORREA*(X86="sí")+P_PROP*(Y86=1)+P_GAR*(Z86="sí")+P_FOTOS*MIN(1,N(U86)/FOTOS_OBJ)</f>
        <v/>
      </c>
      <c r="BS86" s="3">
        <f>IFERROR(VLOOKUP(BF86,ETQ_TBL,2,0),NEUTRO)</f>
        <v/>
      </c>
      <c r="BT86" s="3">
        <f>NEUTRO</f>
        <v/>
      </c>
      <c r="BU86" s="3">
        <f>IFERROR(VLOOKUP(L86,SEGURO_TBL,3,0),"")</f>
        <v/>
      </c>
      <c r="BV86" s="3">
        <f>IF(BU86="",NEUTRO,MAX(0,MIN(100,100*(SEG_REF_MAX-BU86)/(SEG_REF_MAX-SEG_REF_MIN))))</f>
        <v/>
      </c>
      <c r="BW86" s="3">
        <f>W_ET*BS86+W_CONS*BT86+W_SEG*BV86</f>
        <v/>
      </c>
      <c r="BX86" s="3">
        <f>IF(N(AB86)&gt;0,AB86,IF(AND(R86="profesional",SG_LEGAL_ON=1),GAR_LEGAL,0))</f>
        <v/>
      </c>
      <c r="BY86" s="3">
        <f>SG_GAR*MIN(1,BX86/SG_GAR_FULL)+SG_AMPL*(AC86="sí")+SG_KMC*(AF86="sí")+SG_REV*(N(AE86)&gt;0)+SG_DEV*MIN(1,N(AG86)/SG_DEV_FULL)+SG_HIST*(W86="sí")</f>
        <v/>
      </c>
      <c r="BZ86" s="3">
        <f>IFERROR(VLOOKUP(L86,CARR_PEN_TBL,2,0),0)</f>
        <v/>
      </c>
      <c r="CA86" s="3">
        <f>W_FIAB*BL86+W_PRECIO*BM86+W_KMEDAD*BQ86+W_ANUNCIO*BR86+W_USO*BW86+W_SEGURIDAD*BY86-BZ86</f>
        <v/>
      </c>
      <c r="CB86" s="4">
        <f>IF(N(I86)&gt;0,I86,IFERROR(ROUND(_xlfn.NUMBERVALUE(LEFT(G86,FIND(" ",G86&amp;" ")-1),".")*1000,0),99999))</f>
        <v/>
      </c>
      <c r="CC86" s="3">
        <f>IF(R86="profesional",0,IF(O86&lt;CUOTA_VALOR_MAX,IF(AU86&gt;ITP_TRAMO_ALTO,SUMIFS(CF_CUOTA,CF_MAS,ITP_TRAMO_ALTO,CF_CCMIN,"&lt;="&amp;CB86,CF_CCMAX,"&gt;="&amp;CB86),IF(AU86&gt;ITP_TRAMO_BAJO,SUMIFS(CF_CUOTA,CF_MAS,ITP_TRAMO_BAJO,CF_CCMIN,"&lt;="&amp;CB86,CF_CCMAX,"&gt;="&amp;CB86),O86*ITP_TIPO)),O86*ITP_TIPO))</f>
        <v/>
      </c>
      <c r="CD86" s="4">
        <f>IF(R86="profesional",N(AK86),0)</f>
        <v/>
      </c>
      <c r="CE86" s="3">
        <f>IF(AND(R86="profesional",ISNUMBER(AK86),AL86="sí"),0,TASA_DGT)</f>
        <v/>
      </c>
      <c r="CF86" s="3">
        <f>INFORME_DGT</f>
        <v/>
      </c>
      <c r="CG86" s="4">
        <f>O86+CD86+CC86+CE86+CF86</f>
        <v/>
      </c>
      <c r="CH86" s="4">
        <f>CG86+N(BU86)</f>
        <v/>
      </c>
      <c r="CI86" s="3">
        <f>IF(CG86&lt;=TOTAL_MAX,"sí",IF(CG86&lt;=TOTAL_MAX+MARGEN_NEG,"negociar","no"))</f>
        <v/>
      </c>
      <c r="CJ86" s="4">
        <f>IF(CI86&lt;&gt;"no",COUNTIFS($CI$2:$CI$662,"&lt;&gt;no",$CA$2:$CA$662,"&gt;"&amp;CA86)+COUNTIFS($CI$2:CI86,"&lt;&gt;no",$CA$2:CA86,CA86),"")</f>
        <v/>
      </c>
    </row>
    <row r="87">
      <c r="A87" s="2" t="inlineStr">
        <is>
          <t>wallapop:1303578407</t>
        </is>
      </c>
      <c r="B87" s="2" t="inlineStr">
        <is>
          <t>wallapop</t>
        </is>
      </c>
      <c r="C87" s="2" t="inlineStr">
        <is>
          <t>https://es.wallapop.com/item/hyundai-i10-2009-1303578407</t>
        </is>
      </c>
      <c r="D87" s="2" t="inlineStr">
        <is>
          <t>Hyundai i10 2009</t>
        </is>
      </c>
      <c r="E87" s="2" t="inlineStr">
        <is>
          <t>Hyundai</t>
        </is>
      </c>
      <c r="F87" s="2" t="inlineStr">
        <is>
          <t>Hyundai i10</t>
        </is>
      </c>
      <c r="G87" s="2" t="inlineStr">
        <is>
          <t>1.1</t>
        </is>
      </c>
      <c r="H87" s="2" t="inlineStr">
        <is>
          <t>1.1 66 Classic 5p</t>
        </is>
      </c>
      <c r="I87" s="2" t="n"/>
      <c r="J87" s="2" t="n">
        <v>66</v>
      </c>
      <c r="K87" s="2" t="inlineStr">
        <is>
          <t>gasolina</t>
        </is>
      </c>
      <c r="L87" s="2" t="inlineStr">
        <is>
          <t>utilitario</t>
        </is>
      </c>
      <c r="M87" s="2" t="n">
        <v>2009</v>
      </c>
      <c r="N87" s="2" t="n">
        <v>156200</v>
      </c>
      <c r="O87" s="2" t="n">
        <v>3990</v>
      </c>
      <c r="P87" s="2" t="inlineStr">
        <is>
          <t>manual</t>
        </is>
      </c>
      <c r="Q87" s="2" t="inlineStr">
        <is>
          <t>no</t>
        </is>
      </c>
      <c r="R87" s="2" t="inlineStr">
        <is>
          <t>profesional</t>
        </is>
      </c>
      <c r="S87" s="2" t="inlineStr">
        <is>
          <t>Torrent (46900)</t>
        </is>
      </c>
      <c r="T87" s="2" t="inlineStr">
        <is>
          <t>2026-10-14T00:07:49</t>
        </is>
      </c>
      <c r="U87" s="2" t="n">
        <v>16</v>
      </c>
      <c r="V87" s="2" t="n"/>
      <c r="W87" s="2" t="n"/>
      <c r="X87" s="2" t="n"/>
      <c r="Y87" s="2" t="n"/>
      <c r="Z87" s="2" t="inlineStr">
        <is>
          <t>sí</t>
        </is>
      </c>
      <c r="AA87" s="2" t="n"/>
      <c r="AB87" s="2" t="n">
        <v>12</v>
      </c>
      <c r="AC87" s="2" t="n"/>
      <c r="AD87" s="2" t="n"/>
      <c r="AE87" s="2" t="n"/>
      <c r="AF87" s="2" t="n"/>
      <c r="AG87" s="2" t="n"/>
      <c r="AH87" s="2" t="n"/>
      <c r="AI87" s="2" t="n"/>
      <c r="AJ87" s="2" t="n"/>
      <c r="AK87" s="2" t="n"/>
      <c r="AL87" s="2" t="n"/>
      <c r="AM87" s="2" t="n">
        <v>9.300000000000001</v>
      </c>
      <c r="AN87" s="2" t="n"/>
      <c r="AO87" s="2" t="n"/>
      <c r="AP87" s="2" t="n"/>
      <c r="AQ87" s="2" t="inlineStr">
        <is>
          <t>cochesnet:71571543 (https://www.coches.net/hyundai-i10-11-comfort-5p-gasolina-2008-en-valencia-71571543-covo.aspx)</t>
        </is>
      </c>
      <c r="AR87" s="2" t="inlineStr">
        <is>
          <t>vendedor profesional: sin ITP (operación con IVA/REBU, confirmar en factura); gastos de gestión del vendedor no indicados: se suma la tasa DGT; preguntar el precio final; mediana con solo 3 anuncio(s)</t>
        </is>
      </c>
      <c r="AS87" s="2" t="inlineStr">
        <is>
          <t>HYUNDAI i10 1.1 67 CV – AÑO 2009
✅ 156.200 km reales
✅ Gasolina | Cambio manual | 5 puertas
✅ Color negro
✅ Distintivo ambiental: Etiqueta C
✅ Sin daños ni accidentes
✅ 2 llaves
Coche revisado y preparado en nuestras instalaciones antes de la venta. Motor 1.1 muy económico en consumo, fiable y barato de mantener, con recambios asequibles.
Compacto, fácil de aparcar y muy ágil en ciudad. Ideal como primer coche o para uso diario.
💶 PRECIO: 4.100 €
🛡️ Garantía de 12 meses
📄 Cambio de nombre: 180 €
Somos profesionales del sector, compraventa de vehículos de ocasión en Valencia. Facturamos y entregamos toda la documentación en regla.
💬 Escríbenos para más fotos o para venir a verlo y probarlo sin compromiso.
🚗 También compramos y tasamos tu coche.</t>
        </is>
      </c>
      <c r="AT87" s="2" t="inlineStr">
        <is>
          <t>https://es.wallapop.com/item/hyundai-i10-2009-1303578407 (__NEXT_DATA__ item) /home/user/Alopecia/buscador-coches/raw/wallapop/778119b776486aca.json</t>
        </is>
      </c>
      <c r="AU87" s="3">
        <f>MAX(ANIO_ACTUAL-M87,0)</f>
        <v/>
      </c>
      <c r="AV87" s="4">
        <f>N87/MAX(AU87,0.5)</f>
        <v/>
      </c>
      <c r="AW87" s="4">
        <f>F87</f>
        <v/>
      </c>
      <c r="AX87" s="3">
        <f>AW87&amp;"|"&amp;INT(M87/SEG_ANIO)*SEG_ANIO</f>
        <v/>
      </c>
      <c r="AY87" s="3">
        <f>AX87&amp;"|"&amp;INT(N87/SEG_KM)*SEG_KM</f>
        <v/>
      </c>
      <c r="AZ87" s="4">
        <f>COUNTIF($AW$2:$AW$662,AW87)</f>
        <v/>
      </c>
      <c r="BA87" s="4">
        <f>COUNTIF($AX$2:$AX$662,AX87)</f>
        <v/>
      </c>
      <c r="BB87" s="4">
        <f>COUNTIF($AY$2:$AY$662,AY87)</f>
        <v/>
      </c>
      <c r="BC87" s="3">
        <f t="array" ref="BC87">IF(N(AO87)&gt;=MIN_N,AN87,IF(BB87&gt;=MIN_N,MEDIAN(IF($AY$2:$AY$662=AY87,$O$2:$O$662)),IF(BA87&gt;=MIN_N,MEDIAN(IF($AX$2:$AX$662=AX87,$O$2:$O$662)),MEDIAN(IF($AW$2:$AW$662=AW87,$O$2:$O$662)))))</f>
        <v/>
      </c>
      <c r="BD87" s="3">
        <f>IF(N(AO87)&gt;=MIN_N,"mercado "&amp;AP87,IF(BB87&gt;=MIN_N,"modelo+año+km",IF(BA87&gt;=MIN_N,"modelo+año","modelo")))</f>
        <v/>
      </c>
      <c r="BE87" s="4">
        <f>(BC87-O87)/BC87</f>
        <v/>
      </c>
      <c r="BF87" s="3">
        <f>IF(OR(K87="hibrido",K87="glp"),"ECO",IF(K87="electrico","CERO",IF(K87="gasolina",IF(M87&gt;=GAS_C,"C",IF(M87&gt;=GAS_B,"B","A")),IF(K87="diesel",IF(M87&gt;=DIE_C,"C",IF(M87&gt;=DIE_B,"B","A")),""))))</f>
        <v/>
      </c>
      <c r="BG87" s="3">
        <f>IFERROR(VLOOKUP(F87,MOD_TBL,11,0),IFERROR(VLOOKUP(E87,OCU_TBL,2,0),NEUTRO))</f>
        <v/>
      </c>
      <c r="BH87" s="3">
        <f>SUMIFS(MOT_AJUSTE,MOT_MOTOR,G87,MOT_MARCA,E87,MOT_DESDE,"&lt;="&amp;M87,MOT_HASTA,"&gt;="&amp;M87)+SUMIFS(MOT_AJUSTE,MOT_MOTOR,G87,MOT_MARCA,"(todas)",MOT_DESDE,"&lt;="&amp;M87,MOT_HASTA,"&gt;="&amp;M87)</f>
        <v/>
      </c>
      <c r="BI87" s="3">
        <f>SUMIFS(COMB_AJUSTE,COMB_COMB,K87)</f>
        <v/>
      </c>
      <c r="BJ87" s="3">
        <f>COUNTIFS(MOT_MOTOR,G87,MOT_MARCA,E87,MOT_DESDE,"&lt;="&amp;M87,MOT_HASTA,"&gt;="&amp;M87)+COUNTIFS(MOT_MOTOR,G87,MOT_MARCA,"(todas)",MOT_DESDE,"&lt;="&amp;M87,MOT_HASTA,"&gt;="&amp;M87)</f>
        <v/>
      </c>
      <c r="BK87" s="3">
        <f>IF(AND(K87="diesel",BJ87=0),MIN(BG87,NEUTRO),BG87)</f>
        <v/>
      </c>
      <c r="BL87" s="4">
        <f>MAX(0,MIN(100,BK87+BH87+BI87))</f>
        <v/>
      </c>
      <c r="BM87" s="3">
        <f>MAX(0,MIN(100,50+BE87*PRECIO_PEND))</f>
        <v/>
      </c>
      <c r="BN87" s="3">
        <f>MAX(0,100*(1-N87/KM_MAX))</f>
        <v/>
      </c>
      <c r="BO87" s="3">
        <f>IF(AV87&lt;KMA_SOSP,IF(AA87="sí",100,KMA_PEN),IF(AV87&lt;=KMA_IDEAL_MAX,100,MAX(0,100*(KMA_CERO-AV87)/(KMA_CERO-KMA_IDEAL_MAX))))</f>
        <v/>
      </c>
      <c r="BP87" s="3">
        <f>MAX(0,MIN(100,100*(M87-ANIO_MIN)/(ANIO_ACTUAL-ANIO_MIN)))</f>
        <v/>
      </c>
      <c r="BQ87" s="3">
        <f>W_KMT*BN87+W_KMA*BO87+W_EDAD*BP87</f>
        <v/>
      </c>
      <c r="BR87" s="3">
        <f>P_ITV*(V87="sí")+P_LIBRO*(W87="sí")+P_CORREA*(X87="sí")+P_PROP*(Y87=1)+P_GAR*(Z87="sí")+P_FOTOS*MIN(1,N(U87)/FOTOS_OBJ)</f>
        <v/>
      </c>
      <c r="BS87" s="3">
        <f>IFERROR(VLOOKUP(BF87,ETQ_TBL,2,0),NEUTRO)</f>
        <v/>
      </c>
      <c r="BT87" s="3">
        <f>NEUTRO</f>
        <v/>
      </c>
      <c r="BU87" s="3">
        <f>IFERROR(VLOOKUP(L87,SEGURO_TBL,3,0),"")</f>
        <v/>
      </c>
      <c r="BV87" s="3">
        <f>IF(BU87="",NEUTRO,MAX(0,MIN(100,100*(SEG_REF_MAX-BU87)/(SEG_REF_MAX-SEG_REF_MIN))))</f>
        <v/>
      </c>
      <c r="BW87" s="3">
        <f>W_ET*BS87+W_CONS*BT87+W_SEG*BV87</f>
        <v/>
      </c>
      <c r="BX87" s="3">
        <f>IF(N(AB87)&gt;0,AB87,IF(AND(R87="profesional",SG_LEGAL_ON=1),GAR_LEGAL,0))</f>
        <v/>
      </c>
      <c r="BY87" s="3">
        <f>SG_GAR*MIN(1,BX87/SG_GAR_FULL)+SG_AMPL*(AC87="sí")+SG_KMC*(AF87="sí")+SG_REV*(N(AE87)&gt;0)+SG_DEV*MIN(1,N(AG87)/SG_DEV_FULL)+SG_HIST*(W87="sí")</f>
        <v/>
      </c>
      <c r="BZ87" s="3">
        <f>IFERROR(VLOOKUP(L87,CARR_PEN_TBL,2,0),0)</f>
        <v/>
      </c>
      <c r="CA87" s="3">
        <f>W_FIAB*BL87+W_PRECIO*BM87+W_KMEDAD*BQ87+W_ANUNCIO*BR87+W_USO*BW87+W_SEGURIDAD*BY87-BZ87</f>
        <v/>
      </c>
      <c r="CB87" s="4">
        <f>IF(N(I87)&gt;0,I87,IFERROR(ROUND(_xlfn.NUMBERVALUE(LEFT(G87,FIND(" ",G87&amp;" ")-1),".")*1000,0),99999))</f>
        <v/>
      </c>
      <c r="CC87" s="3">
        <f>IF(R87="profesional",0,IF(O87&lt;CUOTA_VALOR_MAX,IF(AU87&gt;ITP_TRAMO_ALTO,SUMIFS(CF_CUOTA,CF_MAS,ITP_TRAMO_ALTO,CF_CCMIN,"&lt;="&amp;CB87,CF_CCMAX,"&gt;="&amp;CB87),IF(AU87&gt;ITP_TRAMO_BAJO,SUMIFS(CF_CUOTA,CF_MAS,ITP_TRAMO_BAJO,CF_CCMIN,"&lt;="&amp;CB87,CF_CCMAX,"&gt;="&amp;CB87),O87*ITP_TIPO)),O87*ITP_TIPO))</f>
        <v/>
      </c>
      <c r="CD87" s="4">
        <f>IF(R87="profesional",N(AK87),0)</f>
        <v/>
      </c>
      <c r="CE87" s="3">
        <f>IF(AND(R87="profesional",ISNUMBER(AK87),AL87="sí"),0,TASA_DGT)</f>
        <v/>
      </c>
      <c r="CF87" s="3">
        <f>INFORME_DGT</f>
        <v/>
      </c>
      <c r="CG87" s="4">
        <f>O87+CD87+CC87+CE87+CF87</f>
        <v/>
      </c>
      <c r="CH87" s="4">
        <f>CG87+N(BU87)</f>
        <v/>
      </c>
      <c r="CI87" s="3">
        <f>IF(CG87&lt;=TOTAL_MAX,"sí",IF(CG87&lt;=TOTAL_MAX+MARGEN_NEG,"negociar","no"))</f>
        <v/>
      </c>
      <c r="CJ87" s="4">
        <f>IF(CI87&lt;&gt;"no",COUNTIFS($CI$2:$CI$662,"&lt;&gt;no",$CA$2:$CA$662,"&gt;"&amp;CA87)+COUNTIFS($CI$2:CI87,"&lt;&gt;no",$CA$2:CA87,CA87),"")</f>
        <v/>
      </c>
    </row>
    <row r="88">
      <c r="A88" s="2" t="inlineStr">
        <is>
          <t>wallapop:1307278706</t>
        </is>
      </c>
      <c r="B88" s="2" t="inlineStr">
        <is>
          <t>wallapop</t>
        </is>
      </c>
      <c r="C88" s="2" t="inlineStr">
        <is>
          <t>https://es.wallapop.com/item/hyundai-i10-2014-1307278706</t>
        </is>
      </c>
      <c r="D88" s="2" t="inlineStr">
        <is>
          <t>Hyundai i10 2014</t>
        </is>
      </c>
      <c r="E88" s="2" t="inlineStr">
        <is>
          <t>Hyundai</t>
        </is>
      </c>
      <c r="F88" s="2" t="inlineStr">
        <is>
          <t>Hyundai i10</t>
        </is>
      </c>
      <c r="G88" s="2" t="inlineStr">
        <is>
          <t>1.0 MPI</t>
        </is>
      </c>
      <c r="H88" s="2" t="inlineStr">
        <is>
          <t>1.0 MPI 66 Essence Plus 5p</t>
        </is>
      </c>
      <c r="I88" s="2" t="n"/>
      <c r="J88" s="2" t="n">
        <v>67</v>
      </c>
      <c r="K88" s="2" t="inlineStr">
        <is>
          <t>gasolina</t>
        </is>
      </c>
      <c r="L88" s="2" t="inlineStr">
        <is>
          <t>utilitario</t>
        </is>
      </c>
      <c r="M88" s="2" t="n">
        <v>2014</v>
      </c>
      <c r="N88" s="2" t="n">
        <v>212000</v>
      </c>
      <c r="O88" s="2" t="n">
        <v>4500</v>
      </c>
      <c r="P88" s="2" t="inlineStr">
        <is>
          <t>manual</t>
        </is>
      </c>
      <c r="Q88" s="2" t="inlineStr">
        <is>
          <t>no</t>
        </is>
      </c>
      <c r="R88" s="2" t="inlineStr">
        <is>
          <t>particular</t>
        </is>
      </c>
      <c r="S88" s="2" t="inlineStr">
        <is>
          <t>Torrent (46900)</t>
        </is>
      </c>
      <c r="T88" s="2" t="inlineStr">
        <is>
          <t>2026-10-29T19:33:23</t>
        </is>
      </c>
      <c r="U88" s="2" t="n">
        <v>8</v>
      </c>
      <c r="V88" s="2" t="inlineStr">
        <is>
          <t>sí</t>
        </is>
      </c>
      <c r="W88" s="2" t="n"/>
      <c r="X88" s="2" t="n"/>
      <c r="Y88" s="2" t="n"/>
      <c r="Z88" s="2" t="n"/>
      <c r="AA88" s="2" t="n"/>
      <c r="AB88" s="2" t="n"/>
      <c r="AC88" s="2" t="n"/>
      <c r="AD88" s="2" t="n"/>
      <c r="AE88" s="2" t="n"/>
      <c r="AF88" s="2" t="n"/>
      <c r="AG88" s="2" t="n"/>
      <c r="AH88" s="2" t="n"/>
      <c r="AI88" s="2" t="n"/>
      <c r="AJ88" s="2" t="n"/>
      <c r="AK88" s="2" t="n"/>
      <c r="AL88" s="2" t="n"/>
      <c r="AM88" s="2" t="n">
        <v>9.9</v>
      </c>
      <c r="AN88" s="2" t="n"/>
      <c r="AO88" s="2" t="n"/>
      <c r="AP88" s="2" t="n"/>
      <c r="AQ88" s="2" t="inlineStr">
        <is>
          <t>cochesnet:71828688 (https://www.coches.net/hyundai-i10-10-essence-5p-gasolina-2014-en-valencia-71828688-covo.aspx); cochesnet:71870097 (https://www.coches.net/hyundai-i10-10-essence-5p-gasolina-2014-en-valencia-71870097-covo.aspx)</t>
        </is>
      </c>
      <c r="AR88" s="2" t="inlineStr">
        <is>
          <t>cuota fija ITP: &gt;5 y &lt;=12 años, hasta 1.500 cc; mediana con solo 3 anuncio(s)</t>
        </is>
      </c>
      <c r="AS88" s="2" t="inlineStr">
        <is>
          <t>Vendo mi coche i10 2014 manual
ITV hasta mayo 2027
Abstenerse ofertas absurdas. Solo se atenderán ofertas serias y razonables.</t>
        </is>
      </c>
      <c r="AT88" s="2" t="inlineStr">
        <is>
          <t>https://es.wallapop.com/item/hyundai-i10-2014-1307278706 (__NEXT_DATA__ item) /home/user/Alopecia/buscador-coches/raw/wallapop/d5bfe37c2f1f05b4.json</t>
        </is>
      </c>
      <c r="AU88" s="3">
        <f>MAX(ANIO_ACTUAL-M88,0)</f>
        <v/>
      </c>
      <c r="AV88" s="4">
        <f>N88/MAX(AU88,0.5)</f>
        <v/>
      </c>
      <c r="AW88" s="4">
        <f>F88</f>
        <v/>
      </c>
      <c r="AX88" s="3">
        <f>AW88&amp;"|"&amp;INT(M88/SEG_ANIO)*SEG_ANIO</f>
        <v/>
      </c>
      <c r="AY88" s="3">
        <f>AX88&amp;"|"&amp;INT(N88/SEG_KM)*SEG_KM</f>
        <v/>
      </c>
      <c r="AZ88" s="4">
        <f>COUNTIF($AW$2:$AW$662,AW88)</f>
        <v/>
      </c>
      <c r="BA88" s="4">
        <f>COUNTIF($AX$2:$AX$662,AX88)</f>
        <v/>
      </c>
      <c r="BB88" s="4">
        <f>COUNTIF($AY$2:$AY$662,AY88)</f>
        <v/>
      </c>
      <c r="BC88" s="3">
        <f t="array" ref="BC88">IF(N(AO88)&gt;=MIN_N,AN88,IF(BB88&gt;=MIN_N,MEDIAN(IF($AY$2:$AY$662=AY88,$O$2:$O$662)),IF(BA88&gt;=MIN_N,MEDIAN(IF($AX$2:$AX$662=AX88,$O$2:$O$662)),MEDIAN(IF($AW$2:$AW$662=AW88,$O$2:$O$662)))))</f>
        <v/>
      </c>
      <c r="BD88" s="3">
        <f>IF(N(AO88)&gt;=MIN_N,"mercado "&amp;AP88,IF(BB88&gt;=MIN_N,"modelo+año+km",IF(BA88&gt;=MIN_N,"modelo+año","modelo")))</f>
        <v/>
      </c>
      <c r="BE88" s="4">
        <f>(BC88-O88)/BC88</f>
        <v/>
      </c>
      <c r="BF88" s="3">
        <f>IF(OR(K88="hibrido",K88="glp"),"ECO",IF(K88="electrico","CERO",IF(K88="gasolina",IF(M88&gt;=GAS_C,"C",IF(M88&gt;=GAS_B,"B","A")),IF(K88="diesel",IF(M88&gt;=DIE_C,"C",IF(M88&gt;=DIE_B,"B","A")),""))))</f>
        <v/>
      </c>
      <c r="BG88" s="3">
        <f>IFERROR(VLOOKUP(F88,MOD_TBL,11,0),IFERROR(VLOOKUP(E88,OCU_TBL,2,0),NEUTRO))</f>
        <v/>
      </c>
      <c r="BH88" s="3">
        <f>SUMIFS(MOT_AJUSTE,MOT_MOTOR,G88,MOT_MARCA,E88,MOT_DESDE,"&lt;="&amp;M88,MOT_HASTA,"&gt;="&amp;M88)+SUMIFS(MOT_AJUSTE,MOT_MOTOR,G88,MOT_MARCA,"(todas)",MOT_DESDE,"&lt;="&amp;M88,MOT_HASTA,"&gt;="&amp;M88)</f>
        <v/>
      </c>
      <c r="BI88" s="3">
        <f>SUMIFS(COMB_AJUSTE,COMB_COMB,K88)</f>
        <v/>
      </c>
      <c r="BJ88" s="3">
        <f>COUNTIFS(MOT_MOTOR,G88,MOT_MARCA,E88,MOT_DESDE,"&lt;="&amp;M88,MOT_HASTA,"&gt;="&amp;M88)+COUNTIFS(MOT_MOTOR,G88,MOT_MARCA,"(todas)",MOT_DESDE,"&lt;="&amp;M88,MOT_HASTA,"&gt;="&amp;M88)</f>
        <v/>
      </c>
      <c r="BK88" s="3">
        <f>IF(AND(K88="diesel",BJ88=0),MIN(BG88,NEUTRO),BG88)</f>
        <v/>
      </c>
      <c r="BL88" s="4">
        <f>MAX(0,MIN(100,BK88+BH88+BI88))</f>
        <v/>
      </c>
      <c r="BM88" s="3">
        <f>MAX(0,MIN(100,50+BE88*PRECIO_PEND))</f>
        <v/>
      </c>
      <c r="BN88" s="3">
        <f>MAX(0,100*(1-N88/KM_MAX))</f>
        <v/>
      </c>
      <c r="BO88" s="3">
        <f>IF(AV88&lt;KMA_SOSP,IF(AA88="sí",100,KMA_PEN),IF(AV88&lt;=KMA_IDEAL_MAX,100,MAX(0,100*(KMA_CERO-AV88)/(KMA_CERO-KMA_IDEAL_MAX))))</f>
        <v/>
      </c>
      <c r="BP88" s="3">
        <f>MAX(0,MIN(100,100*(M88-ANIO_MIN)/(ANIO_ACTUAL-ANIO_MIN)))</f>
        <v/>
      </c>
      <c r="BQ88" s="3">
        <f>W_KMT*BN88+W_KMA*BO88+W_EDAD*BP88</f>
        <v/>
      </c>
      <c r="BR88" s="3">
        <f>P_ITV*(V88="sí")+P_LIBRO*(W88="sí")+P_CORREA*(X88="sí")+P_PROP*(Y88=1)+P_GAR*(Z88="sí")+P_FOTOS*MIN(1,N(U88)/FOTOS_OBJ)</f>
        <v/>
      </c>
      <c r="BS88" s="3">
        <f>IFERROR(VLOOKUP(BF88,ETQ_TBL,2,0),NEUTRO)</f>
        <v/>
      </c>
      <c r="BT88" s="3">
        <f>NEUTRO</f>
        <v/>
      </c>
      <c r="BU88" s="3">
        <f>IFERROR(VLOOKUP(L88,SEGURO_TBL,3,0),"")</f>
        <v/>
      </c>
      <c r="BV88" s="3">
        <f>IF(BU88="",NEUTRO,MAX(0,MIN(100,100*(SEG_REF_MAX-BU88)/(SEG_REF_MAX-SEG_REF_MIN))))</f>
        <v/>
      </c>
      <c r="BW88" s="3">
        <f>W_ET*BS88+W_CONS*BT88+W_SEG*BV88</f>
        <v/>
      </c>
      <c r="BX88" s="3">
        <f>IF(N(AB88)&gt;0,AB88,IF(AND(R88="profesional",SG_LEGAL_ON=1),GAR_LEGAL,0))</f>
        <v/>
      </c>
      <c r="BY88" s="3">
        <f>SG_GAR*MIN(1,BX88/SG_GAR_FULL)+SG_AMPL*(AC88="sí")+SG_KMC*(AF88="sí")+SG_REV*(N(AE88)&gt;0)+SG_DEV*MIN(1,N(AG88)/SG_DEV_FULL)+SG_HIST*(W88="sí")</f>
        <v/>
      </c>
      <c r="BZ88" s="3">
        <f>IFERROR(VLOOKUP(L88,CARR_PEN_TBL,2,0),0)</f>
        <v/>
      </c>
      <c r="CA88" s="3">
        <f>W_FIAB*BL88+W_PRECIO*BM88+W_KMEDAD*BQ88+W_ANUNCIO*BR88+W_USO*BW88+W_SEGURIDAD*BY88-BZ88</f>
        <v/>
      </c>
      <c r="CB88" s="4">
        <f>IF(N(I88)&gt;0,I88,IFERROR(ROUND(_xlfn.NUMBERVALUE(LEFT(G88,FIND(" ",G88&amp;" ")-1),".")*1000,0),99999))</f>
        <v/>
      </c>
      <c r="CC88" s="3">
        <f>IF(R88="profesional",0,IF(O88&lt;CUOTA_VALOR_MAX,IF(AU88&gt;ITP_TRAMO_ALTO,SUMIFS(CF_CUOTA,CF_MAS,ITP_TRAMO_ALTO,CF_CCMIN,"&lt;="&amp;CB88,CF_CCMAX,"&gt;="&amp;CB88),IF(AU88&gt;ITP_TRAMO_BAJO,SUMIFS(CF_CUOTA,CF_MAS,ITP_TRAMO_BAJO,CF_CCMIN,"&lt;="&amp;CB88,CF_CCMAX,"&gt;="&amp;CB88),O88*ITP_TIPO)),O88*ITP_TIPO))</f>
        <v/>
      </c>
      <c r="CD88" s="4">
        <f>IF(R88="profesional",N(AK88),0)</f>
        <v/>
      </c>
      <c r="CE88" s="3">
        <f>IF(AND(R88="profesional",ISNUMBER(AK88),AL88="sí"),0,TASA_DGT)</f>
        <v/>
      </c>
      <c r="CF88" s="3">
        <f>INFORME_DGT</f>
        <v/>
      </c>
      <c r="CG88" s="4">
        <f>O88+CD88+CC88+CE88+CF88</f>
        <v/>
      </c>
      <c r="CH88" s="4">
        <f>CG88+N(BU88)</f>
        <v/>
      </c>
      <c r="CI88" s="3">
        <f>IF(CG88&lt;=TOTAL_MAX,"sí",IF(CG88&lt;=TOTAL_MAX+MARGEN_NEG,"negociar","no"))</f>
        <v/>
      </c>
      <c r="CJ88" s="4">
        <f>IF(CI88&lt;&gt;"no",COUNTIFS($CI$2:$CI$662,"&lt;&gt;no",$CA$2:$CA$662,"&gt;"&amp;CA88)+COUNTIFS($CI$2:CI88,"&lt;&gt;no",$CA$2:CA88,CA88),"")</f>
        <v/>
      </c>
    </row>
    <row r="89">
      <c r="A89" s="2" t="inlineStr">
        <is>
          <t>cochesnet:71863369</t>
        </is>
      </c>
      <c r="B89" s="2" t="inlineStr">
        <is>
          <t>cochesnet</t>
        </is>
      </c>
      <c r="C89" s="2" t="inlineStr">
        <is>
          <t>https://www.coches.net/hyundai-i20-i20-12-l-pbt-classic-aa-key-5p-gasolina-2012-en-valencia-71863369-covo.aspx</t>
        </is>
      </c>
      <c r="D89" s="2" t="inlineStr">
        <is>
          <t>HYUNDAI i20 i20 1.2 L PBT Classic AA Key</t>
        </is>
      </c>
      <c r="E89" s="2" t="inlineStr">
        <is>
          <t>Hyundai</t>
        </is>
      </c>
      <c r="F89" s="2" t="inlineStr">
        <is>
          <t>Hyundai i20</t>
        </is>
      </c>
      <c r="G89" s="2" t="inlineStr">
        <is>
          <t>1.2</t>
        </is>
      </c>
      <c r="H89" s="2" t="inlineStr">
        <is>
          <t>i20 1.2 L PBT Classic AA Key</t>
        </is>
      </c>
      <c r="I89" s="2" t="n"/>
      <c r="J89" s="2" t="n"/>
      <c r="K89" s="2" t="inlineStr">
        <is>
          <t>gasolina</t>
        </is>
      </c>
      <c r="L89" s="2" t="inlineStr">
        <is>
          <t>utilitario</t>
        </is>
      </c>
      <c r="M89" s="2" t="n">
        <v>2012</v>
      </c>
      <c r="N89" s="2" t="n">
        <v>178000</v>
      </c>
      <c r="O89" s="2" t="n">
        <v>3650</v>
      </c>
      <c r="P89" s="2" t="inlineStr">
        <is>
          <t>manual</t>
        </is>
      </c>
      <c r="Q89" s="2" t="inlineStr">
        <is>
          <t>no</t>
        </is>
      </c>
      <c r="R89" s="2" t="inlineStr">
        <is>
          <t>particular</t>
        </is>
      </c>
      <c r="S89" s="2" t="inlineStr">
        <is>
          <t>Valencia</t>
        </is>
      </c>
      <c r="T89" s="2" t="inlineStr">
        <is>
          <t>2026-10-29T16:35:39Z</t>
        </is>
      </c>
      <c r="U89" s="2" t="n">
        <v>5</v>
      </c>
      <c r="V89" s="2" t="n"/>
      <c r="W89" s="2" t="n"/>
      <c r="X89" s="2" t="n"/>
      <c r="Y89" s="2" t="n"/>
      <c r="Z89" s="2" t="inlineStr">
        <is>
          <t>no</t>
        </is>
      </c>
      <c r="AA89" s="2" t="n"/>
      <c r="AB89" s="2" t="n"/>
      <c r="AC89" s="2" t="n"/>
      <c r="AD89" s="2" t="n"/>
      <c r="AE89" s="2" t="n"/>
      <c r="AF89" s="2" t="n"/>
      <c r="AG89" s="2" t="n"/>
      <c r="AH89" s="2" t="n">
        <v>3650</v>
      </c>
      <c r="AI89" s="2" t="n"/>
      <c r="AJ89" s="2" t="n"/>
      <c r="AK89" s="2" t="n"/>
      <c r="AL89" s="2" t="n"/>
      <c r="AM89" s="2" t="n">
        <v>0.1</v>
      </c>
      <c r="AN89" s="2" t="n">
        <v>5250</v>
      </c>
      <c r="AO89" s="2" t="n">
        <v>4</v>
      </c>
      <c r="AP89" s="2" t="inlineStr">
        <is>
          <t>modelo+año+km</t>
        </is>
      </c>
      <c r="AQ89" s="2" t="n"/>
      <c r="AR89" s="2" t="inlineStr">
        <is>
          <t>cuota fija ITP: &gt;12 años, hasta 1.500 cc</t>
        </is>
      </c>
      <c r="AS89" s="2" t="inlineStr">
        <is>
          <t>El coche está recién sacado del taller, tiene algunos desperfectos en pintura, nunca ha sido accidentado y tiene un par de desperfectos en los asientos.
Etiqueta C
Recién pasada revisión y batería nueva.
Se dispone de 2 llaves.</t>
        </is>
      </c>
      <c r="AT89" s="2" t="inlineStr">
        <is>
          <t>https://www.coches.net/hyundai-i20-i20-12-l-pbt-classic-aa-key-5p-gasolina-2012-en-valencia-71863369-covo.aspx (window.__INITIAL_PROPS__.ad) /home/user/Alopecia/buscador-coches/raw/cochesnet/ed852685a2f5189d.json</t>
        </is>
      </c>
      <c r="AU89" s="3">
        <f>MAX(ANIO_ACTUAL-M89,0)</f>
        <v/>
      </c>
      <c r="AV89" s="4">
        <f>N89/MAX(AU89,0.5)</f>
        <v/>
      </c>
      <c r="AW89" s="4">
        <f>F89</f>
        <v/>
      </c>
      <c r="AX89" s="3">
        <f>AW89&amp;"|"&amp;INT(M89/SEG_ANIO)*SEG_ANIO</f>
        <v/>
      </c>
      <c r="AY89" s="3">
        <f>AX89&amp;"|"&amp;INT(N89/SEG_KM)*SEG_KM</f>
        <v/>
      </c>
      <c r="AZ89" s="4">
        <f>COUNTIF($AW$2:$AW$662,AW89)</f>
        <v/>
      </c>
      <c r="BA89" s="4">
        <f>COUNTIF($AX$2:$AX$662,AX89)</f>
        <v/>
      </c>
      <c r="BB89" s="4">
        <f>COUNTIF($AY$2:$AY$662,AY89)</f>
        <v/>
      </c>
      <c r="BC89" s="3">
        <f t="array" ref="BC89">IF(N(AO89)&gt;=MIN_N,AN89,IF(BB89&gt;=MIN_N,MEDIAN(IF($AY$2:$AY$662=AY89,$O$2:$O$662)),IF(BA89&gt;=MIN_N,MEDIAN(IF($AX$2:$AX$662=AX89,$O$2:$O$662)),MEDIAN(IF($AW$2:$AW$662=AW89,$O$2:$O$662)))))</f>
        <v/>
      </c>
      <c r="BD89" s="3">
        <f>IF(N(AO89)&gt;=MIN_N,"mercado "&amp;AP89,IF(BB89&gt;=MIN_N,"modelo+año+km",IF(BA89&gt;=MIN_N,"modelo+año","modelo")))</f>
        <v/>
      </c>
      <c r="BE89" s="4">
        <f>(BC89-O89)/BC89</f>
        <v/>
      </c>
      <c r="BF89" s="3">
        <f>IF(OR(K89="hibrido",K89="glp"),"ECO",IF(K89="electrico","CERO",IF(K89="gasolina",IF(M89&gt;=GAS_C,"C",IF(M89&gt;=GAS_B,"B","A")),IF(K89="diesel",IF(M89&gt;=DIE_C,"C",IF(M89&gt;=DIE_B,"B","A")),""))))</f>
        <v/>
      </c>
      <c r="BG89" s="3">
        <f>IFERROR(VLOOKUP(F89,MOD_TBL,11,0),IFERROR(VLOOKUP(E89,OCU_TBL,2,0),NEUTRO))</f>
        <v/>
      </c>
      <c r="BH89" s="3">
        <f>SUMIFS(MOT_AJUSTE,MOT_MOTOR,G89,MOT_MARCA,E89,MOT_DESDE,"&lt;="&amp;M89,MOT_HASTA,"&gt;="&amp;M89)+SUMIFS(MOT_AJUSTE,MOT_MOTOR,G89,MOT_MARCA,"(todas)",MOT_DESDE,"&lt;="&amp;M89,MOT_HASTA,"&gt;="&amp;M89)</f>
        <v/>
      </c>
      <c r="BI89" s="3">
        <f>SUMIFS(COMB_AJUSTE,COMB_COMB,K89)</f>
        <v/>
      </c>
      <c r="BJ89" s="3">
        <f>COUNTIFS(MOT_MOTOR,G89,MOT_MARCA,E89,MOT_DESDE,"&lt;="&amp;M89,MOT_HASTA,"&gt;="&amp;M89)+COUNTIFS(MOT_MOTOR,G89,MOT_MARCA,"(todas)",MOT_DESDE,"&lt;="&amp;M89,MOT_HASTA,"&gt;="&amp;M89)</f>
        <v/>
      </c>
      <c r="BK89" s="3">
        <f>IF(AND(K89="diesel",BJ89=0),MIN(BG89,NEUTRO),BG89)</f>
        <v/>
      </c>
      <c r="BL89" s="4">
        <f>MAX(0,MIN(100,BK89+BH89+BI89))</f>
        <v/>
      </c>
      <c r="BM89" s="3">
        <f>MAX(0,MIN(100,50+BE89*PRECIO_PEND))</f>
        <v/>
      </c>
      <c r="BN89" s="3">
        <f>MAX(0,100*(1-N89/KM_MAX))</f>
        <v/>
      </c>
      <c r="BO89" s="3">
        <f>IF(AV89&lt;KMA_SOSP,IF(AA89="sí",100,KMA_PEN),IF(AV89&lt;=KMA_IDEAL_MAX,100,MAX(0,100*(KMA_CERO-AV89)/(KMA_CERO-KMA_IDEAL_MAX))))</f>
        <v/>
      </c>
      <c r="BP89" s="3">
        <f>MAX(0,MIN(100,100*(M89-ANIO_MIN)/(ANIO_ACTUAL-ANIO_MIN)))</f>
        <v/>
      </c>
      <c r="BQ89" s="3">
        <f>W_KMT*BN89+W_KMA*BO89+W_EDAD*BP89</f>
        <v/>
      </c>
      <c r="BR89" s="3">
        <f>P_ITV*(V89="sí")+P_LIBRO*(W89="sí")+P_CORREA*(X89="sí")+P_PROP*(Y89=1)+P_GAR*(Z89="sí")+P_FOTOS*MIN(1,N(U89)/FOTOS_OBJ)</f>
        <v/>
      </c>
      <c r="BS89" s="3">
        <f>IFERROR(VLOOKUP(BF89,ETQ_TBL,2,0),NEUTRO)</f>
        <v/>
      </c>
      <c r="BT89" s="3">
        <f>NEUTRO</f>
        <v/>
      </c>
      <c r="BU89" s="3">
        <f>IFERROR(VLOOKUP(L89,SEGURO_TBL,3,0),"")</f>
        <v/>
      </c>
      <c r="BV89" s="3">
        <f>IF(BU89="",NEUTRO,MAX(0,MIN(100,100*(SEG_REF_MAX-BU89)/(SEG_REF_MAX-SEG_REF_MIN))))</f>
        <v/>
      </c>
      <c r="BW89" s="3">
        <f>W_ET*BS89+W_CONS*BT89+W_SEG*BV89</f>
        <v/>
      </c>
      <c r="BX89" s="3">
        <f>IF(N(AB89)&gt;0,AB89,IF(AND(R89="profesional",SG_LEGAL_ON=1),GAR_LEGAL,0))</f>
        <v/>
      </c>
      <c r="BY89" s="3">
        <f>SG_GAR*MIN(1,BX89/SG_GAR_FULL)+SG_AMPL*(AC89="sí")+SG_KMC*(AF89="sí")+SG_REV*(N(AE89)&gt;0)+SG_DEV*MIN(1,N(AG89)/SG_DEV_FULL)+SG_HIST*(W89="sí")</f>
        <v/>
      </c>
      <c r="BZ89" s="3">
        <f>IFERROR(VLOOKUP(L89,CARR_PEN_TBL,2,0),0)</f>
        <v/>
      </c>
      <c r="CA89" s="3">
        <f>W_FIAB*BL89+W_PRECIO*BM89+W_KMEDAD*BQ89+W_ANUNCIO*BR89+W_USO*BW89+W_SEGURIDAD*BY89-BZ89</f>
        <v/>
      </c>
      <c r="CB89" s="4">
        <f>IF(N(I89)&gt;0,I89,IFERROR(ROUND(_xlfn.NUMBERVALUE(LEFT(G89,FIND(" ",G89&amp;" ")-1),".")*1000,0),99999))</f>
        <v/>
      </c>
      <c r="CC89" s="3">
        <f>IF(R89="profesional",0,IF(O89&lt;CUOTA_VALOR_MAX,IF(AU89&gt;ITP_TRAMO_ALTO,SUMIFS(CF_CUOTA,CF_MAS,ITP_TRAMO_ALTO,CF_CCMIN,"&lt;="&amp;CB89,CF_CCMAX,"&gt;="&amp;CB89),IF(AU89&gt;ITP_TRAMO_BAJO,SUMIFS(CF_CUOTA,CF_MAS,ITP_TRAMO_BAJO,CF_CCMIN,"&lt;="&amp;CB89,CF_CCMAX,"&gt;="&amp;CB89),O89*ITP_TIPO)),O89*ITP_TIPO))</f>
        <v/>
      </c>
      <c r="CD89" s="4">
        <f>IF(R89="profesional",N(AK89),0)</f>
        <v/>
      </c>
      <c r="CE89" s="3">
        <f>IF(AND(R89="profesional",ISNUMBER(AK89),AL89="sí"),0,TASA_DGT)</f>
        <v/>
      </c>
      <c r="CF89" s="3">
        <f>INFORME_DGT</f>
        <v/>
      </c>
      <c r="CG89" s="4">
        <f>O89+CD89+CC89+CE89+CF89</f>
        <v/>
      </c>
      <c r="CH89" s="4">
        <f>CG89+N(BU89)</f>
        <v/>
      </c>
      <c r="CI89" s="3">
        <f>IF(CG89&lt;=TOTAL_MAX,"sí",IF(CG89&lt;=TOTAL_MAX+MARGEN_NEG,"negociar","no"))</f>
        <v/>
      </c>
      <c r="CJ89" s="4">
        <f>IF(CI89&lt;&gt;"no",COUNTIFS($CI$2:$CI$662,"&lt;&gt;no",$CA$2:$CA$662,"&gt;"&amp;CA89)+COUNTIFS($CI$2:CI89,"&lt;&gt;no",$CA$2:CA89,CA89),"")</f>
        <v/>
      </c>
    </row>
    <row r="90">
      <c r="A90" s="2" t="inlineStr">
        <is>
          <t>cochesnet:71461135</t>
        </is>
      </c>
      <c r="B90" s="2" t="inlineStr">
        <is>
          <t>cochesnet</t>
        </is>
      </c>
      <c r="C90" s="2" t="inlineStr">
        <is>
          <t>https://www.coches.net/hyundai-getz-15-crdi-88cv-aa-5p-diesel-2008-en-valencia-71461135-covo.aspx</t>
        </is>
      </c>
      <c r="D90" s="2" t="inlineStr">
        <is>
          <t>HYUNDAI Getz 1.5 CRDi AA</t>
        </is>
      </c>
      <c r="E90" s="2" t="inlineStr">
        <is>
          <t>Hyundai</t>
        </is>
      </c>
      <c r="F90" s="2" t="inlineStr">
        <is>
          <t>Hyundai Getz</t>
        </is>
      </c>
      <c r="G90" s="2" t="inlineStr">
        <is>
          <t>1.5 CRDi</t>
        </is>
      </c>
      <c r="H90" s="2" t="inlineStr">
        <is>
          <t>1.5 CRDi 88cv AA</t>
        </is>
      </c>
      <c r="I90" s="2" t="n"/>
      <c r="J90" s="2" t="n">
        <v>88</v>
      </c>
      <c r="K90" s="2" t="inlineStr">
        <is>
          <t>diesel</t>
        </is>
      </c>
      <c r="L90" s="2" t="inlineStr">
        <is>
          <t>utilitario</t>
        </is>
      </c>
      <c r="M90" s="2" t="n">
        <v>2008</v>
      </c>
      <c r="N90" s="2" t="n">
        <v>131000</v>
      </c>
      <c r="O90" s="2" t="n">
        <v>3250</v>
      </c>
      <c r="P90" s="2" t="inlineStr">
        <is>
          <t>manual</t>
        </is>
      </c>
      <c r="Q90" s="2" t="inlineStr">
        <is>
          <t>no</t>
        </is>
      </c>
      <c r="R90" s="2" t="inlineStr">
        <is>
          <t>particular</t>
        </is>
      </c>
      <c r="S90" s="2" t="inlineStr">
        <is>
          <t>Valencia</t>
        </is>
      </c>
      <c r="T90" s="2" t="inlineStr">
        <is>
          <t>2026-09-10T12:06:43Z</t>
        </is>
      </c>
      <c r="U90" s="2" t="n">
        <v>10</v>
      </c>
      <c r="V90" s="2" t="n"/>
      <c r="W90" s="2" t="n"/>
      <c r="X90" s="2" t="n"/>
      <c r="Y90" s="2" t="n"/>
      <c r="Z90" s="2" t="inlineStr">
        <is>
          <t>no</t>
        </is>
      </c>
      <c r="AA90" s="2" t="n"/>
      <c r="AB90" s="2" t="n"/>
      <c r="AC90" s="2" t="n"/>
      <c r="AD90" s="2" t="n"/>
      <c r="AE90" s="2" t="n"/>
      <c r="AF90" s="2" t="n"/>
      <c r="AG90" s="2" t="n"/>
      <c r="AH90" s="2" t="n">
        <v>3250</v>
      </c>
      <c r="AI90" s="2" t="n"/>
      <c r="AJ90" s="2" t="n"/>
      <c r="AK90" s="2" t="n"/>
      <c r="AL90" s="2" t="n"/>
      <c r="AM90" s="2" t="n">
        <v>0.1</v>
      </c>
      <c r="AN90" s="2" t="n"/>
      <c r="AO90" s="2" t="n"/>
      <c r="AP90" s="2" t="n"/>
      <c r="AQ90" s="2" t="n"/>
      <c r="AR90" s="2" t="inlineStr">
        <is>
          <t>cuota fija ITP: &gt;12 años, hasta 1.500 cc; diésel: motor sin fuente de fiabilidad (fiabilidad limitada a neutra); fiabilidad del modelo PENDIENTE de fuente (puntuación neutra); mediana con solo 2 anuncio(s)</t>
        </is>
      </c>
      <c r="AS90" s="2" t="inlineStr">
        <is>
          <t>Vehículo en buen estado, listo para usar y ofrecer un transporte fiable y económico. Un coche práctico que combina eficiencia de combustible, bajo coste de mantenimiento y la robustez característica de la marca.
Tiene motor diésel de 1.5 litros y 88 caballos de potencia, pero con un consumo mínimo que notarás en tu bolsillo. Su tamaño compacto lo hace ideal para aparcar sin complicaciones en espacios reducidos.
Siempre se ha utilizado con cuidado y cariño, y ha dormido en garaje. Nunca ha dado ningún fallo mecánico, ni ha tenido accidentes y funciona perfectamente. Se trata de un coche que ha cumplido su función de forma fiable y continúa, siendo una opción para quien necesite un transporte diario sin pretensiones o un segundo coche.
Recién revisado aceite + filtro, y neumáticos con menos de un año.
Por su edad, presenta marcas y signos de uso en la carrocería, pero nada que afecte a su funcionamiento. 
Se puede ver y probar sin compromiso en Valencia.
Si tienes cualquier duda sobre aspectos específicos del vehículo o deseas conocer detalles adicionales, no dudes en contactarme a través del chat.</t>
        </is>
      </c>
      <c r="AT90" s="2" t="inlineStr">
        <is>
          <t>https://www.coches.net/hyundai-getz-15-crdi-88cv-aa-5p-diesel-2008-en-valencia-71461135-covo.aspx (window.__INITIAL_PROPS__.ad) /home/user/Alopecia/buscador-coches/raw/cochesnet/e9d5f59bf2be351e.json</t>
        </is>
      </c>
      <c r="AU90" s="3">
        <f>MAX(ANIO_ACTUAL-M90,0)</f>
        <v/>
      </c>
      <c r="AV90" s="4">
        <f>N90/MAX(AU90,0.5)</f>
        <v/>
      </c>
      <c r="AW90" s="4">
        <f>F90</f>
        <v/>
      </c>
      <c r="AX90" s="3">
        <f>AW90&amp;"|"&amp;INT(M90/SEG_ANIO)*SEG_ANIO</f>
        <v/>
      </c>
      <c r="AY90" s="3">
        <f>AX90&amp;"|"&amp;INT(N90/SEG_KM)*SEG_KM</f>
        <v/>
      </c>
      <c r="AZ90" s="4">
        <f>COUNTIF($AW$2:$AW$662,AW90)</f>
        <v/>
      </c>
      <c r="BA90" s="4">
        <f>COUNTIF($AX$2:$AX$662,AX90)</f>
        <v/>
      </c>
      <c r="BB90" s="4">
        <f>COUNTIF($AY$2:$AY$662,AY90)</f>
        <v/>
      </c>
      <c r="BC90" s="3">
        <f t="array" ref="BC90">IF(N(AO90)&gt;=MIN_N,AN90,IF(BB90&gt;=MIN_N,MEDIAN(IF($AY$2:$AY$662=AY90,$O$2:$O$662)),IF(BA90&gt;=MIN_N,MEDIAN(IF($AX$2:$AX$662=AX90,$O$2:$O$662)),MEDIAN(IF($AW$2:$AW$662=AW90,$O$2:$O$662)))))</f>
        <v/>
      </c>
      <c r="BD90" s="3">
        <f>IF(N(AO90)&gt;=MIN_N,"mercado "&amp;AP90,IF(BB90&gt;=MIN_N,"modelo+año+km",IF(BA90&gt;=MIN_N,"modelo+año","modelo")))</f>
        <v/>
      </c>
      <c r="BE90" s="4">
        <f>(BC90-O90)/BC90</f>
        <v/>
      </c>
      <c r="BF90" s="3">
        <f>IF(OR(K90="hibrido",K90="glp"),"ECO",IF(K90="electrico","CERO",IF(K90="gasolina",IF(M90&gt;=GAS_C,"C",IF(M90&gt;=GAS_B,"B","A")),IF(K90="diesel",IF(M90&gt;=DIE_C,"C",IF(M90&gt;=DIE_B,"B","A")),""))))</f>
        <v/>
      </c>
      <c r="BG90" s="3">
        <f>IFERROR(VLOOKUP(F90,MOD_TBL,11,0),IFERROR(VLOOKUP(E90,OCU_TBL,2,0),NEUTRO))</f>
        <v/>
      </c>
      <c r="BH90" s="3">
        <f>SUMIFS(MOT_AJUSTE,MOT_MOTOR,G90,MOT_MARCA,E90,MOT_DESDE,"&lt;="&amp;M90,MOT_HASTA,"&gt;="&amp;M90)+SUMIFS(MOT_AJUSTE,MOT_MOTOR,G90,MOT_MARCA,"(todas)",MOT_DESDE,"&lt;="&amp;M90,MOT_HASTA,"&gt;="&amp;M90)</f>
        <v/>
      </c>
      <c r="BI90" s="3">
        <f>SUMIFS(COMB_AJUSTE,COMB_COMB,K90)</f>
        <v/>
      </c>
      <c r="BJ90" s="3">
        <f>COUNTIFS(MOT_MOTOR,G90,MOT_MARCA,E90,MOT_DESDE,"&lt;="&amp;M90,MOT_HASTA,"&gt;="&amp;M90)+COUNTIFS(MOT_MOTOR,G90,MOT_MARCA,"(todas)",MOT_DESDE,"&lt;="&amp;M90,MOT_HASTA,"&gt;="&amp;M90)</f>
        <v/>
      </c>
      <c r="BK90" s="3">
        <f>IF(AND(K90="diesel",BJ90=0),MIN(BG90,NEUTRO),BG90)</f>
        <v/>
      </c>
      <c r="BL90" s="4">
        <f>MAX(0,MIN(100,BK90+BH90+BI90))</f>
        <v/>
      </c>
      <c r="BM90" s="3">
        <f>MAX(0,MIN(100,50+BE90*PRECIO_PEND))</f>
        <v/>
      </c>
      <c r="BN90" s="3">
        <f>MAX(0,100*(1-N90/KM_MAX))</f>
        <v/>
      </c>
      <c r="BO90" s="3">
        <f>IF(AV90&lt;KMA_SOSP,IF(AA90="sí",100,KMA_PEN),IF(AV90&lt;=KMA_IDEAL_MAX,100,MAX(0,100*(KMA_CERO-AV90)/(KMA_CERO-KMA_IDEAL_MAX))))</f>
        <v/>
      </c>
      <c r="BP90" s="3">
        <f>MAX(0,MIN(100,100*(M90-ANIO_MIN)/(ANIO_ACTUAL-ANIO_MIN)))</f>
        <v/>
      </c>
      <c r="BQ90" s="3">
        <f>W_KMT*BN90+W_KMA*BO90+W_EDAD*BP90</f>
        <v/>
      </c>
      <c r="BR90" s="3">
        <f>P_ITV*(V90="sí")+P_LIBRO*(W90="sí")+P_CORREA*(X90="sí")+P_PROP*(Y90=1)+P_GAR*(Z90="sí")+P_FOTOS*MIN(1,N(U90)/FOTOS_OBJ)</f>
        <v/>
      </c>
      <c r="BS90" s="3">
        <f>IFERROR(VLOOKUP(BF90,ETQ_TBL,2,0),NEUTRO)</f>
        <v/>
      </c>
      <c r="BT90" s="3">
        <f>NEUTRO</f>
        <v/>
      </c>
      <c r="BU90" s="3">
        <f>IFERROR(VLOOKUP(L90,SEGURO_TBL,3,0),"")</f>
        <v/>
      </c>
      <c r="BV90" s="3">
        <f>IF(BU90="",NEUTRO,MAX(0,MIN(100,100*(SEG_REF_MAX-BU90)/(SEG_REF_MAX-SEG_REF_MIN))))</f>
        <v/>
      </c>
      <c r="BW90" s="3">
        <f>W_ET*BS90+W_CONS*BT90+W_SEG*BV90</f>
        <v/>
      </c>
      <c r="BX90" s="3">
        <f>IF(N(AB90)&gt;0,AB90,IF(AND(R90="profesional",SG_LEGAL_ON=1),GAR_LEGAL,0))</f>
        <v/>
      </c>
      <c r="BY90" s="3">
        <f>SG_GAR*MIN(1,BX90/SG_GAR_FULL)+SG_AMPL*(AC90="sí")+SG_KMC*(AF90="sí")+SG_REV*(N(AE90)&gt;0)+SG_DEV*MIN(1,N(AG90)/SG_DEV_FULL)+SG_HIST*(W90="sí")</f>
        <v/>
      </c>
      <c r="BZ90" s="3">
        <f>IFERROR(VLOOKUP(L90,CARR_PEN_TBL,2,0),0)</f>
        <v/>
      </c>
      <c r="CA90" s="3">
        <f>W_FIAB*BL90+W_PRECIO*BM90+W_KMEDAD*BQ90+W_ANUNCIO*BR90+W_USO*BW90+W_SEGURIDAD*BY90-BZ90</f>
        <v/>
      </c>
      <c r="CB90" s="4">
        <f>IF(N(I90)&gt;0,I90,IFERROR(ROUND(_xlfn.NUMBERVALUE(LEFT(G90,FIND(" ",G90&amp;" ")-1),".")*1000,0),99999))</f>
        <v/>
      </c>
      <c r="CC90" s="3">
        <f>IF(R90="profesional",0,IF(O90&lt;CUOTA_VALOR_MAX,IF(AU90&gt;ITP_TRAMO_ALTO,SUMIFS(CF_CUOTA,CF_MAS,ITP_TRAMO_ALTO,CF_CCMIN,"&lt;="&amp;CB90,CF_CCMAX,"&gt;="&amp;CB90),IF(AU90&gt;ITP_TRAMO_BAJO,SUMIFS(CF_CUOTA,CF_MAS,ITP_TRAMO_BAJO,CF_CCMIN,"&lt;="&amp;CB90,CF_CCMAX,"&gt;="&amp;CB90),O90*ITP_TIPO)),O90*ITP_TIPO))</f>
        <v/>
      </c>
      <c r="CD90" s="4">
        <f>IF(R90="profesional",N(AK90),0)</f>
        <v/>
      </c>
      <c r="CE90" s="3">
        <f>IF(AND(R90="profesional",ISNUMBER(AK90),AL90="sí"),0,TASA_DGT)</f>
        <v/>
      </c>
      <c r="CF90" s="3">
        <f>INFORME_DGT</f>
        <v/>
      </c>
      <c r="CG90" s="4">
        <f>O90+CD90+CC90+CE90+CF90</f>
        <v/>
      </c>
      <c r="CH90" s="4">
        <f>CG90+N(BU90)</f>
        <v/>
      </c>
      <c r="CI90" s="3">
        <f>IF(CG90&lt;=TOTAL_MAX,"sí",IF(CG90&lt;=TOTAL_MAX+MARGEN_NEG,"negociar","no"))</f>
        <v/>
      </c>
      <c r="CJ90" s="4">
        <f>IF(CI90&lt;&gt;"no",COUNTIFS($CI$2:$CI$662,"&lt;&gt;no",$CA$2:$CA$662,"&gt;"&amp;CA90)+COUNTIFS($CI$2:CI90,"&lt;&gt;no",$CA$2:CA90,CA90),"")</f>
        <v/>
      </c>
    </row>
    <row r="91">
      <c r="A91" s="2" t="inlineStr">
        <is>
          <t>cochesnet:71876716</t>
        </is>
      </c>
      <c r="B91" s="2" t="inlineStr">
        <is>
          <t>cochesnet</t>
        </is>
      </c>
      <c r="C91" s="2" t="inlineStr">
        <is>
          <t>https://www.coches.net/seat-ibiza-14-16v-85cv-rockroll-3p-gasolina-2009-en-valencia-71876716-covo.aspx</t>
        </is>
      </c>
      <c r="D91" s="2" t="inlineStr">
        <is>
          <t>SEAT Ibiza 1.4 16v RockRoll</t>
        </is>
      </c>
      <c r="E91" s="2" t="inlineStr">
        <is>
          <t>Seat</t>
        </is>
      </c>
      <c r="F91" s="2" t="inlineStr">
        <is>
          <t>Seat Ibiza</t>
        </is>
      </c>
      <c r="G91" s="2" t="inlineStr">
        <is>
          <t>1.4</t>
        </is>
      </c>
      <c r="H91" s="2" t="inlineStr">
        <is>
          <t>1.4 16v 85cv RockRoll</t>
        </is>
      </c>
      <c r="I91" s="2" t="n"/>
      <c r="J91" s="2" t="n">
        <v>85</v>
      </c>
      <c r="K91" s="2" t="inlineStr">
        <is>
          <t>gasolina</t>
        </is>
      </c>
      <c r="L91" s="2" t="inlineStr">
        <is>
          <t>utilitario</t>
        </is>
      </c>
      <c r="M91" s="2" t="n">
        <v>2009</v>
      </c>
      <c r="N91" s="2" t="n">
        <v>200000</v>
      </c>
      <c r="O91" s="2" t="n">
        <v>3000</v>
      </c>
      <c r="P91" s="2" t="inlineStr">
        <is>
          <t>manual</t>
        </is>
      </c>
      <c r="Q91" s="2" t="inlineStr">
        <is>
          <t>no</t>
        </is>
      </c>
      <c r="R91" s="2" t="inlineStr">
        <is>
          <t>particular</t>
        </is>
      </c>
      <c r="S91" s="2" t="inlineStr">
        <is>
          <t>Paterna</t>
        </is>
      </c>
      <c r="T91" s="2" t="inlineStr">
        <is>
          <t>2026-10-31T09:21:30Z</t>
        </is>
      </c>
      <c r="U91" s="2" t="n"/>
      <c r="V91" s="2" t="inlineStr">
        <is>
          <t>sí</t>
        </is>
      </c>
      <c r="W91" s="2" t="n"/>
      <c r="X91" s="2" t="n"/>
      <c r="Y91" s="2" t="n"/>
      <c r="Z91" s="2" t="inlineStr">
        <is>
          <t>no</t>
        </is>
      </c>
      <c r="AA91" s="2" t="n"/>
      <c r="AB91" s="2" t="n"/>
      <c r="AC91" s="2" t="n"/>
      <c r="AD91" s="2" t="n"/>
      <c r="AE91" s="2" t="n"/>
      <c r="AF91" s="2" t="n"/>
      <c r="AG91" s="2" t="n"/>
      <c r="AH91" s="2" t="n">
        <v>3000</v>
      </c>
      <c r="AI91" s="2" t="n"/>
      <c r="AJ91" s="2" t="n"/>
      <c r="AK91" s="2" t="n"/>
      <c r="AL91" s="2" t="n"/>
      <c r="AM91" s="2" t="n">
        <v>6.8</v>
      </c>
      <c r="AN91" s="2" t="n">
        <v>3100</v>
      </c>
      <c r="AO91" s="2" t="n">
        <v>10</v>
      </c>
      <c r="AP91" s="2" t="inlineStr">
        <is>
          <t>modelo+año+km</t>
        </is>
      </c>
      <c r="AQ91" s="2" t="n"/>
      <c r="AR91" s="2" t="inlineStr">
        <is>
          <t>cuota fija ITP: &gt;12 años, hasta 1.500 cc</t>
        </is>
      </c>
      <c r="AS91" s="2" t="inlineStr">
        <is>
          <t>SEAT IBIZA 1.4 ROCK &amp; ROLL – AÑO 2009 – 200.000 KM
Se vende Seat Ibiza 1.4 Rock &amp; Roll del año 2009, con 200.000 km.
Coche compacto, práctico y económico, ideal para ciudad y desplazamientos diarios.
- Motor gasolina 1.4
- Año 2009
- 205.000 km
- Acabado Rock &amp; Roll
- ITV en vigor hasta abril de 2027
Para más información o concertar una visita, contactar sin compromiso.
¡Ven a verlo y pruébalo!</t>
        </is>
      </c>
      <c r="AT91" s="2" t="inlineStr">
        <is>
          <t>https://www.coches.net/seat-ibiza-14-16v-85cv-rockroll-3p-gasolina-2009-en-valencia-71876716-covo.aspx (window.__INITIAL_PROPS__.ad) /home/user/Alopecia/buscador-coches/raw/cochesnet/d48709c648711d4c.json</t>
        </is>
      </c>
      <c r="AU91" s="3">
        <f>MAX(ANIO_ACTUAL-M91,0)</f>
        <v/>
      </c>
      <c r="AV91" s="4">
        <f>N91/MAX(AU91,0.5)</f>
        <v/>
      </c>
      <c r="AW91" s="4">
        <f>F91</f>
        <v/>
      </c>
      <c r="AX91" s="3">
        <f>AW91&amp;"|"&amp;INT(M91/SEG_ANIO)*SEG_ANIO</f>
        <v/>
      </c>
      <c r="AY91" s="3">
        <f>AX91&amp;"|"&amp;INT(N91/SEG_KM)*SEG_KM</f>
        <v/>
      </c>
      <c r="AZ91" s="4">
        <f>COUNTIF($AW$2:$AW$662,AW91)</f>
        <v/>
      </c>
      <c r="BA91" s="4">
        <f>COUNTIF($AX$2:$AX$662,AX91)</f>
        <v/>
      </c>
      <c r="BB91" s="4">
        <f>COUNTIF($AY$2:$AY$662,AY91)</f>
        <v/>
      </c>
      <c r="BC91" s="3">
        <f t="array" ref="BC91">IF(N(AO91)&gt;=MIN_N,AN91,IF(BB91&gt;=MIN_N,MEDIAN(IF($AY$2:$AY$662=AY91,$O$2:$O$662)),IF(BA91&gt;=MIN_N,MEDIAN(IF($AX$2:$AX$662=AX91,$O$2:$O$662)),MEDIAN(IF($AW$2:$AW$662=AW91,$O$2:$O$662)))))</f>
        <v/>
      </c>
      <c r="BD91" s="3">
        <f>IF(N(AO91)&gt;=MIN_N,"mercado "&amp;AP91,IF(BB91&gt;=MIN_N,"modelo+año+km",IF(BA91&gt;=MIN_N,"modelo+año","modelo")))</f>
        <v/>
      </c>
      <c r="BE91" s="4">
        <f>(BC91-O91)/BC91</f>
        <v/>
      </c>
      <c r="BF91" s="3">
        <f>IF(OR(K91="hibrido",K91="glp"),"ECO",IF(K91="electrico","CERO",IF(K91="gasolina",IF(M91&gt;=GAS_C,"C",IF(M91&gt;=GAS_B,"B","A")),IF(K91="diesel",IF(M91&gt;=DIE_C,"C",IF(M91&gt;=DIE_B,"B","A")),""))))</f>
        <v/>
      </c>
      <c r="BG91" s="3">
        <f>IFERROR(VLOOKUP(F91,MOD_TBL,11,0),IFERROR(VLOOKUP(E91,OCU_TBL,2,0),NEUTRO))</f>
        <v/>
      </c>
      <c r="BH91" s="3">
        <f>SUMIFS(MOT_AJUSTE,MOT_MOTOR,G91,MOT_MARCA,E91,MOT_DESDE,"&lt;="&amp;M91,MOT_HASTA,"&gt;="&amp;M91)+SUMIFS(MOT_AJUSTE,MOT_MOTOR,G91,MOT_MARCA,"(todas)",MOT_DESDE,"&lt;="&amp;M91,MOT_HASTA,"&gt;="&amp;M91)</f>
        <v/>
      </c>
      <c r="BI91" s="3">
        <f>SUMIFS(COMB_AJUSTE,COMB_COMB,K91)</f>
        <v/>
      </c>
      <c r="BJ91" s="3">
        <f>COUNTIFS(MOT_MOTOR,G91,MOT_MARCA,E91,MOT_DESDE,"&lt;="&amp;M91,MOT_HASTA,"&gt;="&amp;M91)+COUNTIFS(MOT_MOTOR,G91,MOT_MARCA,"(todas)",MOT_DESDE,"&lt;="&amp;M91,MOT_HASTA,"&gt;="&amp;M91)</f>
        <v/>
      </c>
      <c r="BK91" s="3">
        <f>IF(AND(K91="diesel",BJ91=0),MIN(BG91,NEUTRO),BG91)</f>
        <v/>
      </c>
      <c r="BL91" s="4">
        <f>MAX(0,MIN(100,BK91+BH91+BI91))</f>
        <v/>
      </c>
      <c r="BM91" s="3">
        <f>MAX(0,MIN(100,50+BE91*PRECIO_PEND))</f>
        <v/>
      </c>
      <c r="BN91" s="3">
        <f>MAX(0,100*(1-N91/KM_MAX))</f>
        <v/>
      </c>
      <c r="BO91" s="3">
        <f>IF(AV91&lt;KMA_SOSP,IF(AA91="sí",100,KMA_PEN),IF(AV91&lt;=KMA_IDEAL_MAX,100,MAX(0,100*(KMA_CERO-AV91)/(KMA_CERO-KMA_IDEAL_MAX))))</f>
        <v/>
      </c>
      <c r="BP91" s="3">
        <f>MAX(0,MIN(100,100*(M91-ANIO_MIN)/(ANIO_ACTUAL-ANIO_MIN)))</f>
        <v/>
      </c>
      <c r="BQ91" s="3">
        <f>W_KMT*BN91+W_KMA*BO91+W_EDAD*BP91</f>
        <v/>
      </c>
      <c r="BR91" s="3">
        <f>P_ITV*(V91="sí")+P_LIBRO*(W91="sí")+P_CORREA*(X91="sí")+P_PROP*(Y91=1)+P_GAR*(Z91="sí")+P_FOTOS*MIN(1,N(U91)/FOTOS_OBJ)</f>
        <v/>
      </c>
      <c r="BS91" s="3">
        <f>IFERROR(VLOOKUP(BF91,ETQ_TBL,2,0),NEUTRO)</f>
        <v/>
      </c>
      <c r="BT91" s="3">
        <f>NEUTRO</f>
        <v/>
      </c>
      <c r="BU91" s="3">
        <f>IFERROR(VLOOKUP(L91,SEGURO_TBL,3,0),"")</f>
        <v/>
      </c>
      <c r="BV91" s="3">
        <f>IF(BU91="",NEUTRO,MAX(0,MIN(100,100*(SEG_REF_MAX-BU91)/(SEG_REF_MAX-SEG_REF_MIN))))</f>
        <v/>
      </c>
      <c r="BW91" s="3">
        <f>W_ET*BS91+W_CONS*BT91+W_SEG*BV91</f>
        <v/>
      </c>
      <c r="BX91" s="3">
        <f>IF(N(AB91)&gt;0,AB91,IF(AND(R91="profesional",SG_LEGAL_ON=1),GAR_LEGAL,0))</f>
        <v/>
      </c>
      <c r="BY91" s="3">
        <f>SG_GAR*MIN(1,BX91/SG_GAR_FULL)+SG_AMPL*(AC91="sí")+SG_KMC*(AF91="sí")+SG_REV*(N(AE91)&gt;0)+SG_DEV*MIN(1,N(AG91)/SG_DEV_FULL)+SG_HIST*(W91="sí")</f>
        <v/>
      </c>
      <c r="BZ91" s="3">
        <f>IFERROR(VLOOKUP(L91,CARR_PEN_TBL,2,0),0)</f>
        <v/>
      </c>
      <c r="CA91" s="3">
        <f>W_FIAB*BL91+W_PRECIO*BM91+W_KMEDAD*BQ91+W_ANUNCIO*BR91+W_USO*BW91+W_SEGURIDAD*BY91-BZ91</f>
        <v/>
      </c>
      <c r="CB91" s="4">
        <f>IF(N(I91)&gt;0,I91,IFERROR(ROUND(_xlfn.NUMBERVALUE(LEFT(G91,FIND(" ",G91&amp;" ")-1),".")*1000,0),99999))</f>
        <v/>
      </c>
      <c r="CC91" s="3">
        <f>IF(R91="profesional",0,IF(O91&lt;CUOTA_VALOR_MAX,IF(AU91&gt;ITP_TRAMO_ALTO,SUMIFS(CF_CUOTA,CF_MAS,ITP_TRAMO_ALTO,CF_CCMIN,"&lt;="&amp;CB91,CF_CCMAX,"&gt;="&amp;CB91),IF(AU91&gt;ITP_TRAMO_BAJO,SUMIFS(CF_CUOTA,CF_MAS,ITP_TRAMO_BAJO,CF_CCMIN,"&lt;="&amp;CB91,CF_CCMAX,"&gt;="&amp;CB91),O91*ITP_TIPO)),O91*ITP_TIPO))</f>
        <v/>
      </c>
      <c r="CD91" s="4">
        <f>IF(R91="profesional",N(AK91),0)</f>
        <v/>
      </c>
      <c r="CE91" s="3">
        <f>IF(AND(R91="profesional",ISNUMBER(AK91),AL91="sí"),0,TASA_DGT)</f>
        <v/>
      </c>
      <c r="CF91" s="3">
        <f>INFORME_DGT</f>
        <v/>
      </c>
      <c r="CG91" s="4">
        <f>O91+CD91+CC91+CE91+CF91</f>
        <v/>
      </c>
      <c r="CH91" s="4">
        <f>CG91+N(BU91)</f>
        <v/>
      </c>
      <c r="CI91" s="3">
        <f>IF(CG91&lt;=TOTAL_MAX,"sí",IF(CG91&lt;=TOTAL_MAX+MARGEN_NEG,"negociar","no"))</f>
        <v/>
      </c>
      <c r="CJ91" s="4">
        <f>IF(CI91&lt;&gt;"no",COUNTIFS($CI$2:$CI$662,"&lt;&gt;no",$CA$2:$CA$662,"&gt;"&amp;CA91)+COUNTIFS($CI$2:CI91,"&lt;&gt;no",$CA$2:CA91,CA91),"")</f>
        <v/>
      </c>
    </row>
    <row r="92">
      <c r="A92" s="2" t="inlineStr">
        <is>
          <t>cochesnet:71697159</t>
        </is>
      </c>
      <c r="B92" s="2" t="inlineStr">
        <is>
          <t>cochesnet</t>
        </is>
      </c>
      <c r="C92" s="2" t="inlineStr">
        <is>
          <t>https://www.coches.net/seat-ibiza-diesel-2009-en-valencia-71697159-covo.aspx</t>
        </is>
      </c>
      <c r="D92" s="2" t="inlineStr">
        <is>
          <t>SEAT Ibiza</t>
        </is>
      </c>
      <c r="E92" s="2" t="inlineStr">
        <is>
          <t>Seat</t>
        </is>
      </c>
      <c r="F92" s="2" t="inlineStr">
        <is>
          <t>Seat Ibiza</t>
        </is>
      </c>
      <c r="G92" s="2" t="n"/>
      <c r="H92" s="2" t="n"/>
      <c r="I92" s="2" t="n"/>
      <c r="J92" s="2" t="n"/>
      <c r="K92" s="2" t="inlineStr">
        <is>
          <t>diesel</t>
        </is>
      </c>
      <c r="L92" s="2" t="inlineStr">
        <is>
          <t>utilitario</t>
        </is>
      </c>
      <c r="M92" s="2" t="n">
        <v>2009</v>
      </c>
      <c r="N92" s="2" t="n">
        <v>132502</v>
      </c>
      <c r="O92" s="2" t="n">
        <v>4500</v>
      </c>
      <c r="P92" s="2" t="inlineStr">
        <is>
          <t>manual</t>
        </is>
      </c>
      <c r="Q92" s="2" t="inlineStr">
        <is>
          <t>no</t>
        </is>
      </c>
      <c r="R92" s="2" t="inlineStr">
        <is>
          <t>particular</t>
        </is>
      </c>
      <c r="S92" s="2" t="n"/>
      <c r="T92" s="2" t="inlineStr">
        <is>
          <t>2026-10-07T15:43:41Z</t>
        </is>
      </c>
      <c r="U92" s="2" t="n">
        <v>8</v>
      </c>
      <c r="V92" s="2" t="inlineStr">
        <is>
          <t>sí</t>
        </is>
      </c>
      <c r="W92" s="2" t="n"/>
      <c r="X92" s="2" t="n"/>
      <c r="Y92" s="2" t="n"/>
      <c r="Z92" s="2" t="inlineStr">
        <is>
          <t>no</t>
        </is>
      </c>
      <c r="AA92" s="2" t="n"/>
      <c r="AB92" s="2" t="n"/>
      <c r="AC92" s="2" t="n"/>
      <c r="AD92" s="2" t="n"/>
      <c r="AE92" s="2" t="n"/>
      <c r="AF92" s="2" t="n"/>
      <c r="AG92" s="2" t="n"/>
      <c r="AH92" s="2" t="n">
        <v>4500</v>
      </c>
      <c r="AI92" s="2" t="n"/>
      <c r="AJ92" s="2" t="n"/>
      <c r="AK92" s="2" t="n"/>
      <c r="AL92" s="2" t="n"/>
      <c r="AM92" s="2" t="n"/>
      <c r="AN92" s="2" t="n">
        <v>3850</v>
      </c>
      <c r="AO92" s="2" t="n">
        <v>26</v>
      </c>
      <c r="AP92" s="2" t="inlineStr">
        <is>
          <t>modelo+año</t>
        </is>
      </c>
      <c r="AQ92" s="2" t="n"/>
      <c r="AR9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92" s="2" t="inlineStr">
        <is>
          <t>Itv pasada asta julio 2027 coche va bien</t>
        </is>
      </c>
      <c r="AT92" s="2" t="inlineStr">
        <is>
          <t>https://www.coches.net/seat-ibiza-diesel-2009-en-valencia-71697159-covo.aspx (window.__INITIAL_PROPS__.ad) /home/user/Alopecia/buscador-coches/raw/cochesnet/d1a10282ebfcaeee.json</t>
        </is>
      </c>
      <c r="AU92" s="3">
        <f>MAX(ANIO_ACTUAL-M92,0)</f>
        <v/>
      </c>
      <c r="AV92" s="4">
        <f>N92/MAX(AU92,0.5)</f>
        <v/>
      </c>
      <c r="AW92" s="4">
        <f>F92</f>
        <v/>
      </c>
      <c r="AX92" s="3">
        <f>AW92&amp;"|"&amp;INT(M92/SEG_ANIO)*SEG_ANIO</f>
        <v/>
      </c>
      <c r="AY92" s="3">
        <f>AX92&amp;"|"&amp;INT(N92/SEG_KM)*SEG_KM</f>
        <v/>
      </c>
      <c r="AZ92" s="4">
        <f>COUNTIF($AW$2:$AW$662,AW92)</f>
        <v/>
      </c>
      <c r="BA92" s="4">
        <f>COUNTIF($AX$2:$AX$662,AX92)</f>
        <v/>
      </c>
      <c r="BB92" s="4">
        <f>COUNTIF($AY$2:$AY$662,AY92)</f>
        <v/>
      </c>
      <c r="BC92" s="3">
        <f t="array" ref="BC92">IF(N(AO92)&gt;=MIN_N,AN92,IF(BB92&gt;=MIN_N,MEDIAN(IF($AY$2:$AY$662=AY92,$O$2:$O$662)),IF(BA92&gt;=MIN_N,MEDIAN(IF($AX$2:$AX$662=AX92,$O$2:$O$662)),MEDIAN(IF($AW$2:$AW$662=AW92,$O$2:$O$662)))))</f>
        <v/>
      </c>
      <c r="BD92" s="3">
        <f>IF(N(AO92)&gt;=MIN_N,"mercado "&amp;AP92,IF(BB92&gt;=MIN_N,"modelo+año+km",IF(BA92&gt;=MIN_N,"modelo+año","modelo")))</f>
        <v/>
      </c>
      <c r="BE92" s="4">
        <f>(BC92-O92)/BC92</f>
        <v/>
      </c>
      <c r="BF92" s="3">
        <f>IF(OR(K92="hibrido",K92="glp"),"ECO",IF(K92="electrico","CERO",IF(K92="gasolina",IF(M92&gt;=GAS_C,"C",IF(M92&gt;=GAS_B,"B","A")),IF(K92="diesel",IF(M92&gt;=DIE_C,"C",IF(M92&gt;=DIE_B,"B","A")),""))))</f>
        <v/>
      </c>
      <c r="BG92" s="3">
        <f>IFERROR(VLOOKUP(F92,MOD_TBL,11,0),IFERROR(VLOOKUP(E92,OCU_TBL,2,0),NEUTRO))</f>
        <v/>
      </c>
      <c r="BH92" s="3">
        <f>SUMIFS(MOT_AJUSTE,MOT_MOTOR,G92,MOT_MARCA,E92,MOT_DESDE,"&lt;="&amp;M92,MOT_HASTA,"&gt;="&amp;M92)+SUMIFS(MOT_AJUSTE,MOT_MOTOR,G92,MOT_MARCA,"(todas)",MOT_DESDE,"&lt;="&amp;M92,MOT_HASTA,"&gt;="&amp;M92)</f>
        <v/>
      </c>
      <c r="BI92" s="3">
        <f>SUMIFS(COMB_AJUSTE,COMB_COMB,K92)</f>
        <v/>
      </c>
      <c r="BJ92" s="3">
        <f>COUNTIFS(MOT_MOTOR,G92,MOT_MARCA,E92,MOT_DESDE,"&lt;="&amp;M92,MOT_HASTA,"&gt;="&amp;M92)+COUNTIFS(MOT_MOTOR,G92,MOT_MARCA,"(todas)",MOT_DESDE,"&lt;="&amp;M92,MOT_HASTA,"&gt;="&amp;M92)</f>
        <v/>
      </c>
      <c r="BK92" s="3">
        <f>IF(AND(K92="diesel",BJ92=0),MIN(BG92,NEUTRO),BG92)</f>
        <v/>
      </c>
      <c r="BL92" s="4">
        <f>MAX(0,MIN(100,BK92+BH92+BI92))</f>
        <v/>
      </c>
      <c r="BM92" s="3">
        <f>MAX(0,MIN(100,50+BE92*PRECIO_PEND))</f>
        <v/>
      </c>
      <c r="BN92" s="3">
        <f>MAX(0,100*(1-N92/KM_MAX))</f>
        <v/>
      </c>
      <c r="BO92" s="3">
        <f>IF(AV92&lt;KMA_SOSP,IF(AA92="sí",100,KMA_PEN),IF(AV92&lt;=KMA_IDEAL_MAX,100,MAX(0,100*(KMA_CERO-AV92)/(KMA_CERO-KMA_IDEAL_MAX))))</f>
        <v/>
      </c>
      <c r="BP92" s="3">
        <f>MAX(0,MIN(100,100*(M92-ANIO_MIN)/(ANIO_ACTUAL-ANIO_MIN)))</f>
        <v/>
      </c>
      <c r="BQ92" s="3">
        <f>W_KMT*BN92+W_KMA*BO92+W_EDAD*BP92</f>
        <v/>
      </c>
      <c r="BR92" s="3">
        <f>P_ITV*(V92="sí")+P_LIBRO*(W92="sí")+P_CORREA*(X92="sí")+P_PROP*(Y92=1)+P_GAR*(Z92="sí")+P_FOTOS*MIN(1,N(U92)/FOTOS_OBJ)</f>
        <v/>
      </c>
      <c r="BS92" s="3">
        <f>IFERROR(VLOOKUP(BF92,ETQ_TBL,2,0),NEUTRO)</f>
        <v/>
      </c>
      <c r="BT92" s="3">
        <f>NEUTRO</f>
        <v/>
      </c>
      <c r="BU92" s="3">
        <f>IFERROR(VLOOKUP(L92,SEGURO_TBL,3,0),"")</f>
        <v/>
      </c>
      <c r="BV92" s="3">
        <f>IF(BU92="",NEUTRO,MAX(0,MIN(100,100*(SEG_REF_MAX-BU92)/(SEG_REF_MAX-SEG_REF_MIN))))</f>
        <v/>
      </c>
      <c r="BW92" s="3">
        <f>W_ET*BS92+W_CONS*BT92+W_SEG*BV92</f>
        <v/>
      </c>
      <c r="BX92" s="3">
        <f>IF(N(AB92)&gt;0,AB92,IF(AND(R92="profesional",SG_LEGAL_ON=1),GAR_LEGAL,0))</f>
        <v/>
      </c>
      <c r="BY92" s="3">
        <f>SG_GAR*MIN(1,BX92/SG_GAR_FULL)+SG_AMPL*(AC92="sí")+SG_KMC*(AF92="sí")+SG_REV*(N(AE92)&gt;0)+SG_DEV*MIN(1,N(AG92)/SG_DEV_FULL)+SG_HIST*(W92="sí")</f>
        <v/>
      </c>
      <c r="BZ92" s="3">
        <f>IFERROR(VLOOKUP(L92,CARR_PEN_TBL,2,0),0)</f>
        <v/>
      </c>
      <c r="CA92" s="3">
        <f>W_FIAB*BL92+W_PRECIO*BM92+W_KMEDAD*BQ92+W_ANUNCIO*BR92+W_USO*BW92+W_SEGURIDAD*BY92-BZ92</f>
        <v/>
      </c>
      <c r="CB92" s="4">
        <f>IF(N(I92)&gt;0,I92,IFERROR(ROUND(_xlfn.NUMBERVALUE(LEFT(G92,FIND(" ",G92&amp;" ")-1),".")*1000,0),99999))</f>
        <v/>
      </c>
      <c r="CC92" s="3">
        <f>IF(R92="profesional",0,IF(O92&lt;CUOTA_VALOR_MAX,IF(AU92&gt;ITP_TRAMO_ALTO,SUMIFS(CF_CUOTA,CF_MAS,ITP_TRAMO_ALTO,CF_CCMIN,"&lt;="&amp;CB92,CF_CCMAX,"&gt;="&amp;CB92),IF(AU92&gt;ITP_TRAMO_BAJO,SUMIFS(CF_CUOTA,CF_MAS,ITP_TRAMO_BAJO,CF_CCMIN,"&lt;="&amp;CB92,CF_CCMAX,"&gt;="&amp;CB92),O92*ITP_TIPO)),O92*ITP_TIPO))</f>
        <v/>
      </c>
      <c r="CD92" s="4">
        <f>IF(R92="profesional",N(AK92),0)</f>
        <v/>
      </c>
      <c r="CE92" s="3">
        <f>IF(AND(R92="profesional",ISNUMBER(AK92),AL92="sí"),0,TASA_DGT)</f>
        <v/>
      </c>
      <c r="CF92" s="3">
        <f>INFORME_DGT</f>
        <v/>
      </c>
      <c r="CG92" s="4">
        <f>O92+CD92+CC92+CE92+CF92</f>
        <v/>
      </c>
      <c r="CH92" s="4">
        <f>CG92+N(BU92)</f>
        <v/>
      </c>
      <c r="CI92" s="3">
        <f>IF(CG92&lt;=TOTAL_MAX,"sí",IF(CG92&lt;=TOTAL_MAX+MARGEN_NEG,"negociar","no"))</f>
        <v/>
      </c>
      <c r="CJ92" s="4">
        <f>IF(CI92&lt;&gt;"no",COUNTIFS($CI$2:$CI$662,"&lt;&gt;no",$CA$2:$CA$662,"&gt;"&amp;CA92)+COUNTIFS($CI$2:CI92,"&lt;&gt;no",$CA$2:CA92,CA92),"")</f>
        <v/>
      </c>
    </row>
    <row r="93">
      <c r="A93" s="2" t="inlineStr">
        <is>
          <t>cochesnet:71602139</t>
        </is>
      </c>
      <c r="B93" s="2" t="inlineStr">
        <is>
          <t>cochesnet</t>
        </is>
      </c>
      <c r="C93" s="2" t="inlineStr">
        <is>
          <t>https://www.coches.net/seat-leon-19-tdi-105cv-reference-5p-diesel-2008-en-valencia-71602139-covo.aspx</t>
        </is>
      </c>
      <c r="D93" s="2" t="inlineStr">
        <is>
          <t>SEAT Leon 1.9 TDI Reference</t>
        </is>
      </c>
      <c r="E93" s="2" t="inlineStr">
        <is>
          <t>Seat</t>
        </is>
      </c>
      <c r="F93" s="2" t="inlineStr">
        <is>
          <t>Seat León</t>
        </is>
      </c>
      <c r="G93" s="2" t="inlineStr">
        <is>
          <t>1.9 TDI</t>
        </is>
      </c>
      <c r="H93" s="2" t="n"/>
      <c r="I93" s="2" t="n"/>
      <c r="J93" s="2" t="n"/>
      <c r="K93" s="2" t="inlineStr">
        <is>
          <t>diesel</t>
        </is>
      </c>
      <c r="L93" s="2" t="inlineStr">
        <is>
          <t>compacto</t>
        </is>
      </c>
      <c r="M93" s="2" t="n">
        <v>2008</v>
      </c>
      <c r="N93" s="2" t="n">
        <v>215000</v>
      </c>
      <c r="O93" s="2" t="n">
        <v>4500</v>
      </c>
      <c r="P93" s="2" t="n"/>
      <c r="Q93" s="2" t="n"/>
      <c r="R93" s="2" t="inlineStr">
        <is>
          <t>particular</t>
        </is>
      </c>
      <c r="S93" s="2" t="inlineStr">
        <is>
          <t>Valencia</t>
        </is>
      </c>
      <c r="T93" s="2" t="inlineStr">
        <is>
          <t>2026-09-26T10:30:35Z</t>
        </is>
      </c>
      <c r="U93" s="2" t="n">
        <v>9</v>
      </c>
      <c r="V93" s="2" t="n"/>
      <c r="W93" s="2" t="n"/>
      <c r="X93" s="2" t="n"/>
      <c r="Y93" s="2" t="n"/>
      <c r="Z93" s="2" t="inlineStr">
        <is>
          <t>no</t>
        </is>
      </c>
      <c r="AA93" s="2" t="n"/>
      <c r="AB93" s="2" t="n"/>
      <c r="AC93" s="2" t="n"/>
      <c r="AD93" s="2" t="n"/>
      <c r="AE93" s="2" t="n"/>
      <c r="AF93" s="2" t="n"/>
      <c r="AG93" s="2" t="n"/>
      <c r="AH93" s="2" t="n">
        <v>4500</v>
      </c>
      <c r="AI93" s="2" t="n"/>
      <c r="AJ93" s="2" t="n"/>
      <c r="AK93" s="2" t="n"/>
      <c r="AL93" s="2" t="n"/>
      <c r="AM93" s="2" t="n"/>
      <c r="AN93" s="2" t="n">
        <v>4500</v>
      </c>
      <c r="AO93" s="2" t="n">
        <v>10</v>
      </c>
      <c r="AP93" s="2" t="inlineStr">
        <is>
          <t>modelo+año+km</t>
        </is>
      </c>
      <c r="AQ93" s="2" t="n"/>
      <c r="AR93" s="2" t="inlineStr">
        <is>
          <t>cuota fija ITP: &gt;12 años, 1.501-2.000 cc; diésel: motor sin fuente de fiabilidad (fiabilidad limitada a neutra); distancia no verificable (el anuncio solo indica la provincia): confirmar que está a &lt;= 70 km</t>
        </is>
      </c>
      <c r="AS93" s="2" t="inlineStr"/>
      <c r="AT93" s="2" t="inlineStr">
        <is>
          <t>https://www.coches.net/seat/leon/segunda-mano/valencia/?pg=5 /home/user/Alopecia/buscador-coches/raw/cochesnet/39c20fa8323240b4.json</t>
        </is>
      </c>
      <c r="AU93" s="3">
        <f>MAX(ANIO_ACTUAL-M93,0)</f>
        <v/>
      </c>
      <c r="AV93" s="4">
        <f>N93/MAX(AU93,0.5)</f>
        <v/>
      </c>
      <c r="AW93" s="4">
        <f>F93</f>
        <v/>
      </c>
      <c r="AX93" s="3">
        <f>AW93&amp;"|"&amp;INT(M93/SEG_ANIO)*SEG_ANIO</f>
        <v/>
      </c>
      <c r="AY93" s="3">
        <f>AX93&amp;"|"&amp;INT(N93/SEG_KM)*SEG_KM</f>
        <v/>
      </c>
      <c r="AZ93" s="4">
        <f>COUNTIF($AW$2:$AW$662,AW93)</f>
        <v/>
      </c>
      <c r="BA93" s="4">
        <f>COUNTIF($AX$2:$AX$662,AX93)</f>
        <v/>
      </c>
      <c r="BB93" s="4">
        <f>COUNTIF($AY$2:$AY$662,AY93)</f>
        <v/>
      </c>
      <c r="BC93" s="3">
        <f t="array" ref="BC93">IF(N(AO93)&gt;=MIN_N,AN93,IF(BB93&gt;=MIN_N,MEDIAN(IF($AY$2:$AY$662=AY93,$O$2:$O$662)),IF(BA93&gt;=MIN_N,MEDIAN(IF($AX$2:$AX$662=AX93,$O$2:$O$662)),MEDIAN(IF($AW$2:$AW$662=AW93,$O$2:$O$662)))))</f>
        <v/>
      </c>
      <c r="BD93" s="3">
        <f>IF(N(AO93)&gt;=MIN_N,"mercado "&amp;AP93,IF(BB93&gt;=MIN_N,"modelo+año+km",IF(BA93&gt;=MIN_N,"modelo+año","modelo")))</f>
        <v/>
      </c>
      <c r="BE93" s="4">
        <f>(BC93-O93)/BC93</f>
        <v/>
      </c>
      <c r="BF93" s="3">
        <f>IF(OR(K93="hibrido",K93="glp"),"ECO",IF(K93="electrico","CERO",IF(K93="gasolina",IF(M93&gt;=GAS_C,"C",IF(M93&gt;=GAS_B,"B","A")),IF(K93="diesel",IF(M93&gt;=DIE_C,"C",IF(M93&gt;=DIE_B,"B","A")),""))))</f>
        <v/>
      </c>
      <c r="BG93" s="3">
        <f>IFERROR(VLOOKUP(F93,MOD_TBL,11,0),IFERROR(VLOOKUP(E93,OCU_TBL,2,0),NEUTRO))</f>
        <v/>
      </c>
      <c r="BH93" s="3">
        <f>SUMIFS(MOT_AJUSTE,MOT_MOTOR,G93,MOT_MARCA,E93,MOT_DESDE,"&lt;="&amp;M93,MOT_HASTA,"&gt;="&amp;M93)+SUMIFS(MOT_AJUSTE,MOT_MOTOR,G93,MOT_MARCA,"(todas)",MOT_DESDE,"&lt;="&amp;M93,MOT_HASTA,"&gt;="&amp;M93)</f>
        <v/>
      </c>
      <c r="BI93" s="3">
        <f>SUMIFS(COMB_AJUSTE,COMB_COMB,K93)</f>
        <v/>
      </c>
      <c r="BJ93" s="3">
        <f>COUNTIFS(MOT_MOTOR,G93,MOT_MARCA,E93,MOT_DESDE,"&lt;="&amp;M93,MOT_HASTA,"&gt;="&amp;M93)+COUNTIFS(MOT_MOTOR,G93,MOT_MARCA,"(todas)",MOT_DESDE,"&lt;="&amp;M93,MOT_HASTA,"&gt;="&amp;M93)</f>
        <v/>
      </c>
      <c r="BK93" s="3">
        <f>IF(AND(K93="diesel",BJ93=0),MIN(BG93,NEUTRO),BG93)</f>
        <v/>
      </c>
      <c r="BL93" s="4">
        <f>MAX(0,MIN(100,BK93+BH93+BI93))</f>
        <v/>
      </c>
      <c r="BM93" s="3">
        <f>MAX(0,MIN(100,50+BE93*PRECIO_PEND))</f>
        <v/>
      </c>
      <c r="BN93" s="3">
        <f>MAX(0,100*(1-N93/KM_MAX))</f>
        <v/>
      </c>
      <c r="BO93" s="3">
        <f>IF(AV93&lt;KMA_SOSP,IF(AA93="sí",100,KMA_PEN),IF(AV93&lt;=KMA_IDEAL_MAX,100,MAX(0,100*(KMA_CERO-AV93)/(KMA_CERO-KMA_IDEAL_MAX))))</f>
        <v/>
      </c>
      <c r="BP93" s="3">
        <f>MAX(0,MIN(100,100*(M93-ANIO_MIN)/(ANIO_ACTUAL-ANIO_MIN)))</f>
        <v/>
      </c>
      <c r="BQ93" s="3">
        <f>W_KMT*BN93+W_KMA*BO93+W_EDAD*BP93</f>
        <v/>
      </c>
      <c r="BR93" s="3">
        <f>P_ITV*(V93="sí")+P_LIBRO*(W93="sí")+P_CORREA*(X93="sí")+P_PROP*(Y93=1)+P_GAR*(Z93="sí")+P_FOTOS*MIN(1,N(U93)/FOTOS_OBJ)</f>
        <v/>
      </c>
      <c r="BS93" s="3">
        <f>IFERROR(VLOOKUP(BF93,ETQ_TBL,2,0),NEUTRO)</f>
        <v/>
      </c>
      <c r="BT93" s="3">
        <f>NEUTRO</f>
        <v/>
      </c>
      <c r="BU93" s="3">
        <f>IFERROR(VLOOKUP(L93,SEGURO_TBL,3,0),"")</f>
        <v/>
      </c>
      <c r="BV93" s="3">
        <f>IF(BU93="",NEUTRO,MAX(0,MIN(100,100*(SEG_REF_MAX-BU93)/(SEG_REF_MAX-SEG_REF_MIN))))</f>
        <v/>
      </c>
      <c r="BW93" s="3">
        <f>W_ET*BS93+W_CONS*BT93+W_SEG*BV93</f>
        <v/>
      </c>
      <c r="BX93" s="3">
        <f>IF(N(AB93)&gt;0,AB93,IF(AND(R93="profesional",SG_LEGAL_ON=1),GAR_LEGAL,0))</f>
        <v/>
      </c>
      <c r="BY93" s="3">
        <f>SG_GAR*MIN(1,BX93/SG_GAR_FULL)+SG_AMPL*(AC93="sí")+SG_KMC*(AF93="sí")+SG_REV*(N(AE93)&gt;0)+SG_DEV*MIN(1,N(AG93)/SG_DEV_FULL)+SG_HIST*(W93="sí")</f>
        <v/>
      </c>
      <c r="BZ93" s="3">
        <f>IFERROR(VLOOKUP(L93,CARR_PEN_TBL,2,0),0)</f>
        <v/>
      </c>
      <c r="CA93" s="3">
        <f>W_FIAB*BL93+W_PRECIO*BM93+W_KMEDAD*BQ93+W_ANUNCIO*BR93+W_USO*BW93+W_SEGURIDAD*BY93-BZ93</f>
        <v/>
      </c>
      <c r="CB93" s="4">
        <f>IF(N(I93)&gt;0,I93,IFERROR(ROUND(_xlfn.NUMBERVALUE(LEFT(G93,FIND(" ",G93&amp;" ")-1),".")*1000,0),99999))</f>
        <v/>
      </c>
      <c r="CC93" s="3">
        <f>IF(R93="profesional",0,IF(O93&lt;CUOTA_VALOR_MAX,IF(AU93&gt;ITP_TRAMO_ALTO,SUMIFS(CF_CUOTA,CF_MAS,ITP_TRAMO_ALTO,CF_CCMIN,"&lt;="&amp;CB93,CF_CCMAX,"&gt;="&amp;CB93),IF(AU93&gt;ITP_TRAMO_BAJO,SUMIFS(CF_CUOTA,CF_MAS,ITP_TRAMO_BAJO,CF_CCMIN,"&lt;="&amp;CB93,CF_CCMAX,"&gt;="&amp;CB93),O93*ITP_TIPO)),O93*ITP_TIPO))</f>
        <v/>
      </c>
      <c r="CD93" s="4">
        <f>IF(R93="profesional",N(AK93),0)</f>
        <v/>
      </c>
      <c r="CE93" s="3">
        <f>IF(AND(R93="profesional",ISNUMBER(AK93),AL93="sí"),0,TASA_DGT)</f>
        <v/>
      </c>
      <c r="CF93" s="3">
        <f>INFORME_DGT</f>
        <v/>
      </c>
      <c r="CG93" s="4">
        <f>O93+CD93+CC93+CE93+CF93</f>
        <v/>
      </c>
      <c r="CH93" s="4">
        <f>CG93+N(BU93)</f>
        <v/>
      </c>
      <c r="CI93" s="3">
        <f>IF(CG93&lt;=TOTAL_MAX,"sí",IF(CG93&lt;=TOTAL_MAX+MARGEN_NEG,"negociar","no"))</f>
        <v/>
      </c>
      <c r="CJ93" s="4">
        <f>IF(CI93&lt;&gt;"no",COUNTIFS($CI$2:$CI$662,"&lt;&gt;no",$CA$2:$CA$662,"&gt;"&amp;CA93)+COUNTIFS($CI$2:CI93,"&lt;&gt;no",$CA$2:CA93,CA93),"")</f>
        <v/>
      </c>
    </row>
    <row r="94">
      <c r="A94" s="2" t="inlineStr">
        <is>
          <t>cochesnet:71548964</t>
        </is>
      </c>
      <c r="B94" s="2" t="inlineStr">
        <is>
          <t>cochesnet</t>
        </is>
      </c>
      <c r="C94" s="2" t="inlineStr">
        <is>
          <t>https://www.coches.net/seat-leon-diesel-2012-en-valencia-71548964-covo.aspx</t>
        </is>
      </c>
      <c r="D94" s="2" t="inlineStr">
        <is>
          <t>SEAT Leon</t>
        </is>
      </c>
      <c r="E94" s="2" t="inlineStr">
        <is>
          <t>Seat</t>
        </is>
      </c>
      <c r="F94" s="2" t="inlineStr">
        <is>
          <t>Seat León</t>
        </is>
      </c>
      <c r="G94" s="2" t="n"/>
      <c r="H94" s="2" t="n"/>
      <c r="I94" s="2" t="n"/>
      <c r="J94" s="2" t="n"/>
      <c r="K94" s="2" t="inlineStr">
        <is>
          <t>diesel</t>
        </is>
      </c>
      <c r="L94" s="2" t="inlineStr">
        <is>
          <t>compacto</t>
        </is>
      </c>
      <c r="M94" s="2" t="n">
        <v>2012</v>
      </c>
      <c r="N94" s="2" t="n">
        <v>24000</v>
      </c>
      <c r="O94" s="2" t="n">
        <v>4300</v>
      </c>
      <c r="P94" s="2" t="inlineStr">
        <is>
          <t>manual</t>
        </is>
      </c>
      <c r="Q94" s="2" t="inlineStr">
        <is>
          <t>no</t>
        </is>
      </c>
      <c r="R94" s="2" t="inlineStr">
        <is>
          <t>particular</t>
        </is>
      </c>
      <c r="S94" s="2" t="n"/>
      <c r="T94" s="2" t="inlineStr">
        <is>
          <t>2026-09-18T17:28:44Z</t>
        </is>
      </c>
      <c r="U94" s="2" t="n">
        <v>9</v>
      </c>
      <c r="V94" s="2" t="n"/>
      <c r="W94" s="2" t="n"/>
      <c r="X94" s="2" t="n"/>
      <c r="Y94" s="2" t="n"/>
      <c r="Z94" s="2" t="inlineStr">
        <is>
          <t>no</t>
        </is>
      </c>
      <c r="AA94" s="2" t="n"/>
      <c r="AB94" s="2" t="n"/>
      <c r="AC94" s="2" t="n"/>
      <c r="AD94" s="2" t="n"/>
      <c r="AE94" s="2" t="n"/>
      <c r="AF94" s="2" t="n"/>
      <c r="AG94" s="2" t="n"/>
      <c r="AH94" s="2" t="n">
        <v>4300</v>
      </c>
      <c r="AI94" s="2" t="n"/>
      <c r="AJ94" s="2" t="n"/>
      <c r="AK94" s="2" t="n"/>
      <c r="AL94" s="2" t="n"/>
      <c r="AM94" s="2" t="n"/>
      <c r="AN94" s="2" t="n">
        <v>5500</v>
      </c>
      <c r="AO94" s="2" t="n">
        <v>28</v>
      </c>
      <c r="AP94" s="2" t="inlineStr">
        <is>
          <t>modelo+año</t>
        </is>
      </c>
      <c r="AQ94" s="2" t="n"/>
      <c r="AR9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94" s="2" t="inlineStr">
        <is>
          <t xml:space="preserve">negociable el precio </t>
        </is>
      </c>
      <c r="AT94" s="2" t="inlineStr">
        <is>
          <t>https://www.coches.net/seat-leon-diesel-2012-en-valencia-71548964-covo.aspx (window.__INITIAL_PROPS__.ad) /home/user/Alopecia/buscador-coches/raw/cochesnet/157e87db8019c556.json</t>
        </is>
      </c>
      <c r="AU94" s="3">
        <f>MAX(ANIO_ACTUAL-M94,0)</f>
        <v/>
      </c>
      <c r="AV94" s="4">
        <f>N94/MAX(AU94,0.5)</f>
        <v/>
      </c>
      <c r="AW94" s="4">
        <f>F94</f>
        <v/>
      </c>
      <c r="AX94" s="3">
        <f>AW94&amp;"|"&amp;INT(M94/SEG_ANIO)*SEG_ANIO</f>
        <v/>
      </c>
      <c r="AY94" s="3">
        <f>AX94&amp;"|"&amp;INT(N94/SEG_KM)*SEG_KM</f>
        <v/>
      </c>
      <c r="AZ94" s="4">
        <f>COUNTIF($AW$2:$AW$662,AW94)</f>
        <v/>
      </c>
      <c r="BA94" s="4">
        <f>COUNTIF($AX$2:$AX$662,AX94)</f>
        <v/>
      </c>
      <c r="BB94" s="4">
        <f>COUNTIF($AY$2:$AY$662,AY94)</f>
        <v/>
      </c>
      <c r="BC94" s="3">
        <f t="array" ref="BC94">IF(N(AO94)&gt;=MIN_N,AN94,IF(BB94&gt;=MIN_N,MEDIAN(IF($AY$2:$AY$662=AY94,$O$2:$O$662)),IF(BA94&gt;=MIN_N,MEDIAN(IF($AX$2:$AX$662=AX94,$O$2:$O$662)),MEDIAN(IF($AW$2:$AW$662=AW94,$O$2:$O$662)))))</f>
        <v/>
      </c>
      <c r="BD94" s="3">
        <f>IF(N(AO94)&gt;=MIN_N,"mercado "&amp;AP94,IF(BB94&gt;=MIN_N,"modelo+año+km",IF(BA94&gt;=MIN_N,"modelo+año","modelo")))</f>
        <v/>
      </c>
      <c r="BE94" s="4">
        <f>(BC94-O94)/BC94</f>
        <v/>
      </c>
      <c r="BF94" s="3">
        <f>IF(OR(K94="hibrido",K94="glp"),"ECO",IF(K94="electrico","CERO",IF(K94="gasolina",IF(M94&gt;=GAS_C,"C",IF(M94&gt;=GAS_B,"B","A")),IF(K94="diesel",IF(M94&gt;=DIE_C,"C",IF(M94&gt;=DIE_B,"B","A")),""))))</f>
        <v/>
      </c>
      <c r="BG94" s="3">
        <f>IFERROR(VLOOKUP(F94,MOD_TBL,11,0),IFERROR(VLOOKUP(E94,OCU_TBL,2,0),NEUTRO))</f>
        <v/>
      </c>
      <c r="BH94" s="3">
        <f>SUMIFS(MOT_AJUSTE,MOT_MOTOR,G94,MOT_MARCA,E94,MOT_DESDE,"&lt;="&amp;M94,MOT_HASTA,"&gt;="&amp;M94)+SUMIFS(MOT_AJUSTE,MOT_MOTOR,G94,MOT_MARCA,"(todas)",MOT_DESDE,"&lt;="&amp;M94,MOT_HASTA,"&gt;="&amp;M94)</f>
        <v/>
      </c>
      <c r="BI94" s="3">
        <f>SUMIFS(COMB_AJUSTE,COMB_COMB,K94)</f>
        <v/>
      </c>
      <c r="BJ94" s="3">
        <f>COUNTIFS(MOT_MOTOR,G94,MOT_MARCA,E94,MOT_DESDE,"&lt;="&amp;M94,MOT_HASTA,"&gt;="&amp;M94)+COUNTIFS(MOT_MOTOR,G94,MOT_MARCA,"(todas)",MOT_DESDE,"&lt;="&amp;M94,MOT_HASTA,"&gt;="&amp;M94)</f>
        <v/>
      </c>
      <c r="BK94" s="3">
        <f>IF(AND(K94="diesel",BJ94=0),MIN(BG94,NEUTRO),BG94)</f>
        <v/>
      </c>
      <c r="BL94" s="4">
        <f>MAX(0,MIN(100,BK94+BH94+BI94))</f>
        <v/>
      </c>
      <c r="BM94" s="3">
        <f>MAX(0,MIN(100,50+BE94*PRECIO_PEND))</f>
        <v/>
      </c>
      <c r="BN94" s="3">
        <f>MAX(0,100*(1-N94/KM_MAX))</f>
        <v/>
      </c>
      <c r="BO94" s="3">
        <f>IF(AV94&lt;KMA_SOSP,IF(AA94="sí",100,KMA_PEN),IF(AV94&lt;=KMA_IDEAL_MAX,100,MAX(0,100*(KMA_CERO-AV94)/(KMA_CERO-KMA_IDEAL_MAX))))</f>
        <v/>
      </c>
      <c r="BP94" s="3">
        <f>MAX(0,MIN(100,100*(M94-ANIO_MIN)/(ANIO_ACTUAL-ANIO_MIN)))</f>
        <v/>
      </c>
      <c r="BQ94" s="3">
        <f>W_KMT*BN94+W_KMA*BO94+W_EDAD*BP94</f>
        <v/>
      </c>
      <c r="BR94" s="3">
        <f>P_ITV*(V94="sí")+P_LIBRO*(W94="sí")+P_CORREA*(X94="sí")+P_PROP*(Y94=1)+P_GAR*(Z94="sí")+P_FOTOS*MIN(1,N(U94)/FOTOS_OBJ)</f>
        <v/>
      </c>
      <c r="BS94" s="3">
        <f>IFERROR(VLOOKUP(BF94,ETQ_TBL,2,0),NEUTRO)</f>
        <v/>
      </c>
      <c r="BT94" s="3">
        <f>NEUTRO</f>
        <v/>
      </c>
      <c r="BU94" s="3">
        <f>IFERROR(VLOOKUP(L94,SEGURO_TBL,3,0),"")</f>
        <v/>
      </c>
      <c r="BV94" s="3">
        <f>IF(BU94="",NEUTRO,MAX(0,MIN(100,100*(SEG_REF_MAX-BU94)/(SEG_REF_MAX-SEG_REF_MIN))))</f>
        <v/>
      </c>
      <c r="BW94" s="3">
        <f>W_ET*BS94+W_CONS*BT94+W_SEG*BV94</f>
        <v/>
      </c>
      <c r="BX94" s="3">
        <f>IF(N(AB94)&gt;0,AB94,IF(AND(R94="profesional",SG_LEGAL_ON=1),GAR_LEGAL,0))</f>
        <v/>
      </c>
      <c r="BY94" s="3">
        <f>SG_GAR*MIN(1,BX94/SG_GAR_FULL)+SG_AMPL*(AC94="sí")+SG_KMC*(AF94="sí")+SG_REV*(N(AE94)&gt;0)+SG_DEV*MIN(1,N(AG94)/SG_DEV_FULL)+SG_HIST*(W94="sí")</f>
        <v/>
      </c>
      <c r="BZ94" s="3">
        <f>IFERROR(VLOOKUP(L94,CARR_PEN_TBL,2,0),0)</f>
        <v/>
      </c>
      <c r="CA94" s="3">
        <f>W_FIAB*BL94+W_PRECIO*BM94+W_KMEDAD*BQ94+W_ANUNCIO*BR94+W_USO*BW94+W_SEGURIDAD*BY94-BZ94</f>
        <v/>
      </c>
      <c r="CB94" s="4">
        <f>IF(N(I94)&gt;0,I94,IFERROR(ROUND(_xlfn.NUMBERVALUE(LEFT(G94,FIND(" ",G94&amp;" ")-1),".")*1000,0),99999))</f>
        <v/>
      </c>
      <c r="CC94" s="3">
        <f>IF(R94="profesional",0,IF(O94&lt;CUOTA_VALOR_MAX,IF(AU94&gt;ITP_TRAMO_ALTO,SUMIFS(CF_CUOTA,CF_MAS,ITP_TRAMO_ALTO,CF_CCMIN,"&lt;="&amp;CB94,CF_CCMAX,"&gt;="&amp;CB94),IF(AU94&gt;ITP_TRAMO_BAJO,SUMIFS(CF_CUOTA,CF_MAS,ITP_TRAMO_BAJO,CF_CCMIN,"&lt;="&amp;CB94,CF_CCMAX,"&gt;="&amp;CB94),O94*ITP_TIPO)),O94*ITP_TIPO))</f>
        <v/>
      </c>
      <c r="CD94" s="4">
        <f>IF(R94="profesional",N(AK94),0)</f>
        <v/>
      </c>
      <c r="CE94" s="3">
        <f>IF(AND(R94="profesional",ISNUMBER(AK94),AL94="sí"),0,TASA_DGT)</f>
        <v/>
      </c>
      <c r="CF94" s="3">
        <f>INFORME_DGT</f>
        <v/>
      </c>
      <c r="CG94" s="4">
        <f>O94+CD94+CC94+CE94+CF94</f>
        <v/>
      </c>
      <c r="CH94" s="4">
        <f>CG94+N(BU94)</f>
        <v/>
      </c>
      <c r="CI94" s="3">
        <f>IF(CG94&lt;=TOTAL_MAX,"sí",IF(CG94&lt;=TOTAL_MAX+MARGEN_NEG,"negociar","no"))</f>
        <v/>
      </c>
      <c r="CJ94" s="4">
        <f>IF(CI94&lt;&gt;"no",COUNTIFS($CI$2:$CI$662,"&lt;&gt;no",$CA$2:$CA$662,"&gt;"&amp;CA94)+COUNTIFS($CI$2:CI94,"&lt;&gt;no",$CA$2:CA94,CA94),"")</f>
        <v/>
      </c>
    </row>
    <row r="95">
      <c r="A95" s="2" t="inlineStr">
        <is>
          <t>cochesnet:71516293</t>
        </is>
      </c>
      <c r="B95" s="2" t="inlineStr">
        <is>
          <t>cochesnet</t>
        </is>
      </c>
      <c r="C95" s="2" t="inlineStr">
        <is>
          <t>https://www.coches.net/seat-leon-12-tsi-reference-5p-gasolina-2010-en-valencia-71516293-covo.aspx</t>
        </is>
      </c>
      <c r="D95" s="2" t="inlineStr">
        <is>
          <t>SEAT Leon 1.2 TSI Reference</t>
        </is>
      </c>
      <c r="E95" s="2" t="inlineStr">
        <is>
          <t>Seat</t>
        </is>
      </c>
      <c r="F95" s="2" t="inlineStr">
        <is>
          <t>Seat León</t>
        </is>
      </c>
      <c r="G95" s="2" t="inlineStr">
        <is>
          <t>1.2 TSI</t>
        </is>
      </c>
      <c r="H95" s="2" t="inlineStr">
        <is>
          <t>1.2 TSI Reference</t>
        </is>
      </c>
      <c r="I95" s="2" t="n"/>
      <c r="J95" s="2" t="n"/>
      <c r="K95" s="2" t="inlineStr">
        <is>
          <t>gasolina</t>
        </is>
      </c>
      <c r="L95" s="2" t="inlineStr">
        <is>
          <t>compacto</t>
        </is>
      </c>
      <c r="M95" s="2" t="n">
        <v>2010</v>
      </c>
      <c r="N95" s="2" t="n">
        <v>212000</v>
      </c>
      <c r="O95" s="2" t="n">
        <v>4390</v>
      </c>
      <c r="P95" s="2" t="inlineStr">
        <is>
          <t>manual</t>
        </is>
      </c>
      <c r="Q95" s="2" t="inlineStr">
        <is>
          <t>no</t>
        </is>
      </c>
      <c r="R95" s="2" t="inlineStr">
        <is>
          <t>particular</t>
        </is>
      </c>
      <c r="S95" s="2" t="inlineStr">
        <is>
          <t>Godelleta</t>
        </is>
      </c>
      <c r="T95" s="2" t="inlineStr">
        <is>
          <t>2026-09-15T11:24:11Z</t>
        </is>
      </c>
      <c r="U95" s="2" t="n">
        <v>11</v>
      </c>
      <c r="V95" s="2" t="inlineStr">
        <is>
          <t>sí</t>
        </is>
      </c>
      <c r="W95" s="2" t="n"/>
      <c r="X95" s="2" t="n"/>
      <c r="Y95" s="2" t="n"/>
      <c r="Z95" s="2" t="inlineStr">
        <is>
          <t>no</t>
        </is>
      </c>
      <c r="AA95" s="2" t="n"/>
      <c r="AB95" s="2" t="n"/>
      <c r="AC95" s="2" t="n"/>
      <c r="AD95" s="2" t="n"/>
      <c r="AE95" s="2" t="n"/>
      <c r="AF95" s="2" t="n"/>
      <c r="AG95" s="2" t="n"/>
      <c r="AH95" s="2" t="n">
        <v>4390</v>
      </c>
      <c r="AI95" s="2" t="n"/>
      <c r="AJ95" s="2" t="n"/>
      <c r="AK95" s="2" t="n"/>
      <c r="AL95" s="2" t="n"/>
      <c r="AM95" s="2" t="n">
        <v>27.2</v>
      </c>
      <c r="AN95" s="2" t="n">
        <v>5900</v>
      </c>
      <c r="AO95" s="2" t="n">
        <v>7</v>
      </c>
      <c r="AP95" s="2" t="inlineStr">
        <is>
          <t>modelo+año+km</t>
        </is>
      </c>
      <c r="AQ95" s="2" t="n"/>
      <c r="AR95" s="2" t="inlineStr">
        <is>
          <t>cuota fija ITP: &gt;12 años, hasta 1.500 cc</t>
        </is>
      </c>
      <c r="AS95" s="2" t="inlineStr">
        <is>
          <t xml:space="preserve">- 105cv
- ITV hasta febrero 2027
- Escape final homologado
- Vehículo muy bien cuidado
- Mantenimientos hechos cada 10.000km
- Cambio pastillas de freno delanteras hace 7000km
- Cambio de la transmisión de ambos lados hace 15.000km
- Cambio hace de 18.000km de bujías y bobinas
- Cambio del bombín y clausor de arranque hace 1000km
- Cambio hace menos de 100km de cables de las bujías
- El coche nunca sale en frio
</t>
        </is>
      </c>
      <c r="AT95" s="2" t="inlineStr">
        <is>
          <t>https://www.coches.net/seat-leon-12-tsi-reference-5p-gasolina-2010-en-valencia-71516293-covo.aspx (window.__INITIAL_PROPS__.ad) /home/user/Alopecia/buscador-coches/raw/cochesnet/b8483d7b372df98b.json</t>
        </is>
      </c>
      <c r="AU95" s="3">
        <f>MAX(ANIO_ACTUAL-M95,0)</f>
        <v/>
      </c>
      <c r="AV95" s="4">
        <f>N95/MAX(AU95,0.5)</f>
        <v/>
      </c>
      <c r="AW95" s="4">
        <f>F95</f>
        <v/>
      </c>
      <c r="AX95" s="3">
        <f>AW95&amp;"|"&amp;INT(M95/SEG_ANIO)*SEG_ANIO</f>
        <v/>
      </c>
      <c r="AY95" s="3">
        <f>AX95&amp;"|"&amp;INT(N95/SEG_KM)*SEG_KM</f>
        <v/>
      </c>
      <c r="AZ95" s="4">
        <f>COUNTIF($AW$2:$AW$662,AW95)</f>
        <v/>
      </c>
      <c r="BA95" s="4">
        <f>COUNTIF($AX$2:$AX$662,AX95)</f>
        <v/>
      </c>
      <c r="BB95" s="4">
        <f>COUNTIF($AY$2:$AY$662,AY95)</f>
        <v/>
      </c>
      <c r="BC95" s="3">
        <f t="array" ref="BC95">IF(N(AO95)&gt;=MIN_N,AN95,IF(BB95&gt;=MIN_N,MEDIAN(IF($AY$2:$AY$662=AY95,$O$2:$O$662)),IF(BA95&gt;=MIN_N,MEDIAN(IF($AX$2:$AX$662=AX95,$O$2:$O$662)),MEDIAN(IF($AW$2:$AW$662=AW95,$O$2:$O$662)))))</f>
        <v/>
      </c>
      <c r="BD95" s="3">
        <f>IF(N(AO95)&gt;=MIN_N,"mercado "&amp;AP95,IF(BB95&gt;=MIN_N,"modelo+año+km",IF(BA95&gt;=MIN_N,"modelo+año","modelo")))</f>
        <v/>
      </c>
      <c r="BE95" s="4">
        <f>(BC95-O95)/BC95</f>
        <v/>
      </c>
      <c r="BF95" s="3">
        <f>IF(OR(K95="hibrido",K95="glp"),"ECO",IF(K95="electrico","CERO",IF(K95="gasolina",IF(M95&gt;=GAS_C,"C",IF(M95&gt;=GAS_B,"B","A")),IF(K95="diesel",IF(M95&gt;=DIE_C,"C",IF(M95&gt;=DIE_B,"B","A")),""))))</f>
        <v/>
      </c>
      <c r="BG95" s="3">
        <f>IFERROR(VLOOKUP(F95,MOD_TBL,11,0),IFERROR(VLOOKUP(E95,OCU_TBL,2,0),NEUTRO))</f>
        <v/>
      </c>
      <c r="BH95" s="3">
        <f>SUMIFS(MOT_AJUSTE,MOT_MOTOR,G95,MOT_MARCA,E95,MOT_DESDE,"&lt;="&amp;M95,MOT_HASTA,"&gt;="&amp;M95)+SUMIFS(MOT_AJUSTE,MOT_MOTOR,G95,MOT_MARCA,"(todas)",MOT_DESDE,"&lt;="&amp;M95,MOT_HASTA,"&gt;="&amp;M95)</f>
        <v/>
      </c>
      <c r="BI95" s="3">
        <f>SUMIFS(COMB_AJUSTE,COMB_COMB,K95)</f>
        <v/>
      </c>
      <c r="BJ95" s="3">
        <f>COUNTIFS(MOT_MOTOR,G95,MOT_MARCA,E95,MOT_DESDE,"&lt;="&amp;M95,MOT_HASTA,"&gt;="&amp;M95)+COUNTIFS(MOT_MOTOR,G95,MOT_MARCA,"(todas)",MOT_DESDE,"&lt;="&amp;M95,MOT_HASTA,"&gt;="&amp;M95)</f>
        <v/>
      </c>
      <c r="BK95" s="3">
        <f>IF(AND(K95="diesel",BJ95=0),MIN(BG95,NEUTRO),BG95)</f>
        <v/>
      </c>
      <c r="BL95" s="4">
        <f>MAX(0,MIN(100,BK95+BH95+BI95))</f>
        <v/>
      </c>
      <c r="BM95" s="3">
        <f>MAX(0,MIN(100,50+BE95*PRECIO_PEND))</f>
        <v/>
      </c>
      <c r="BN95" s="3">
        <f>MAX(0,100*(1-N95/KM_MAX))</f>
        <v/>
      </c>
      <c r="BO95" s="3">
        <f>IF(AV95&lt;KMA_SOSP,IF(AA95="sí",100,KMA_PEN),IF(AV95&lt;=KMA_IDEAL_MAX,100,MAX(0,100*(KMA_CERO-AV95)/(KMA_CERO-KMA_IDEAL_MAX))))</f>
        <v/>
      </c>
      <c r="BP95" s="3">
        <f>MAX(0,MIN(100,100*(M95-ANIO_MIN)/(ANIO_ACTUAL-ANIO_MIN)))</f>
        <v/>
      </c>
      <c r="BQ95" s="3">
        <f>W_KMT*BN95+W_KMA*BO95+W_EDAD*BP95</f>
        <v/>
      </c>
      <c r="BR95" s="3">
        <f>P_ITV*(V95="sí")+P_LIBRO*(W95="sí")+P_CORREA*(X95="sí")+P_PROP*(Y95=1)+P_GAR*(Z95="sí")+P_FOTOS*MIN(1,N(U95)/FOTOS_OBJ)</f>
        <v/>
      </c>
      <c r="BS95" s="3">
        <f>IFERROR(VLOOKUP(BF95,ETQ_TBL,2,0),NEUTRO)</f>
        <v/>
      </c>
      <c r="BT95" s="3">
        <f>NEUTRO</f>
        <v/>
      </c>
      <c r="BU95" s="3">
        <f>IFERROR(VLOOKUP(L95,SEGURO_TBL,3,0),"")</f>
        <v/>
      </c>
      <c r="BV95" s="3">
        <f>IF(BU95="",NEUTRO,MAX(0,MIN(100,100*(SEG_REF_MAX-BU95)/(SEG_REF_MAX-SEG_REF_MIN))))</f>
        <v/>
      </c>
      <c r="BW95" s="3">
        <f>W_ET*BS95+W_CONS*BT95+W_SEG*BV95</f>
        <v/>
      </c>
      <c r="BX95" s="3">
        <f>IF(N(AB95)&gt;0,AB95,IF(AND(R95="profesional",SG_LEGAL_ON=1),GAR_LEGAL,0))</f>
        <v/>
      </c>
      <c r="BY95" s="3">
        <f>SG_GAR*MIN(1,BX95/SG_GAR_FULL)+SG_AMPL*(AC95="sí")+SG_KMC*(AF95="sí")+SG_REV*(N(AE95)&gt;0)+SG_DEV*MIN(1,N(AG95)/SG_DEV_FULL)+SG_HIST*(W95="sí")</f>
        <v/>
      </c>
      <c r="BZ95" s="3">
        <f>IFERROR(VLOOKUP(L95,CARR_PEN_TBL,2,0),0)</f>
        <v/>
      </c>
      <c r="CA95" s="3">
        <f>W_FIAB*BL95+W_PRECIO*BM95+W_KMEDAD*BQ95+W_ANUNCIO*BR95+W_USO*BW95+W_SEGURIDAD*BY95-BZ95</f>
        <v/>
      </c>
      <c r="CB95" s="4">
        <f>IF(N(I95)&gt;0,I95,IFERROR(ROUND(_xlfn.NUMBERVALUE(LEFT(G95,FIND(" ",G95&amp;" ")-1),".")*1000,0),99999))</f>
        <v/>
      </c>
      <c r="CC95" s="3">
        <f>IF(R95="profesional",0,IF(O95&lt;CUOTA_VALOR_MAX,IF(AU95&gt;ITP_TRAMO_ALTO,SUMIFS(CF_CUOTA,CF_MAS,ITP_TRAMO_ALTO,CF_CCMIN,"&lt;="&amp;CB95,CF_CCMAX,"&gt;="&amp;CB95),IF(AU95&gt;ITP_TRAMO_BAJO,SUMIFS(CF_CUOTA,CF_MAS,ITP_TRAMO_BAJO,CF_CCMIN,"&lt;="&amp;CB95,CF_CCMAX,"&gt;="&amp;CB95),O95*ITP_TIPO)),O95*ITP_TIPO))</f>
        <v/>
      </c>
      <c r="CD95" s="4">
        <f>IF(R95="profesional",N(AK95),0)</f>
        <v/>
      </c>
      <c r="CE95" s="3">
        <f>IF(AND(R95="profesional",ISNUMBER(AK95),AL95="sí"),0,TASA_DGT)</f>
        <v/>
      </c>
      <c r="CF95" s="3">
        <f>INFORME_DGT</f>
        <v/>
      </c>
      <c r="CG95" s="4">
        <f>O95+CD95+CC95+CE95+CF95</f>
        <v/>
      </c>
      <c r="CH95" s="4">
        <f>CG95+N(BU95)</f>
        <v/>
      </c>
      <c r="CI95" s="3">
        <f>IF(CG95&lt;=TOTAL_MAX,"sí",IF(CG95&lt;=TOTAL_MAX+MARGEN_NEG,"negociar","no"))</f>
        <v/>
      </c>
      <c r="CJ95" s="4">
        <f>IF(CI95&lt;&gt;"no",COUNTIFS($CI$2:$CI$662,"&lt;&gt;no",$CA$2:$CA$662,"&gt;"&amp;CA95)+COUNTIFS($CI$2:CI95,"&lt;&gt;no",$CA$2:CA95,CA95),"")</f>
        <v/>
      </c>
    </row>
    <row r="96">
      <c r="A96" s="2" t="inlineStr">
        <is>
          <t>cochesnet:71874130</t>
        </is>
      </c>
      <c r="B96" s="2" t="inlineStr">
        <is>
          <t>cochesnet</t>
        </is>
      </c>
      <c r="C96" s="2" t="inlineStr">
        <is>
          <t>https://www.coches.net/volkswagen-polo-12-70cv-advance-5p-gasolina-2010-en-valencia-71874130-covo.aspx</t>
        </is>
      </c>
      <c r="D96" s="2" t="inlineStr">
        <is>
          <t>VOLKSWAGEN Polo 1.2 Advance</t>
        </is>
      </c>
      <c r="E96" s="2" t="inlineStr">
        <is>
          <t>Volkswagen</t>
        </is>
      </c>
      <c r="F96" s="2" t="inlineStr">
        <is>
          <t>Volkswagen Polo</t>
        </is>
      </c>
      <c r="G96" s="2" t="inlineStr">
        <is>
          <t>1.2</t>
        </is>
      </c>
      <c r="H96" s="2" t="inlineStr">
        <is>
          <t>1.2 70cv Advance</t>
        </is>
      </c>
      <c r="I96" s="2" t="n"/>
      <c r="J96" s="2" t="n">
        <v>70</v>
      </c>
      <c r="K96" s="2" t="inlineStr">
        <is>
          <t>gasolina</t>
        </is>
      </c>
      <c r="L96" s="2" t="inlineStr">
        <is>
          <t>utilitario</t>
        </is>
      </c>
      <c r="M96" s="2" t="n">
        <v>2010</v>
      </c>
      <c r="N96" s="2" t="n">
        <v>210000</v>
      </c>
      <c r="O96" s="2" t="n">
        <v>4200</v>
      </c>
      <c r="P96" s="2" t="inlineStr">
        <is>
          <t>manual</t>
        </is>
      </c>
      <c r="Q96" s="2" t="inlineStr">
        <is>
          <t>no</t>
        </is>
      </c>
      <c r="R96" s="2" t="inlineStr">
        <is>
          <t>particular</t>
        </is>
      </c>
      <c r="S96" s="2" t="inlineStr">
        <is>
          <t>Torrent</t>
        </is>
      </c>
      <c r="T96" s="2" t="inlineStr">
        <is>
          <t>2026-10-30T15:29:38Z</t>
        </is>
      </c>
      <c r="U96" s="2" t="n">
        <v>7</v>
      </c>
      <c r="V96" s="2" t="inlineStr">
        <is>
          <t>sí</t>
        </is>
      </c>
      <c r="W96" s="2" t="inlineStr">
        <is>
          <t>sí</t>
        </is>
      </c>
      <c r="X96" s="2" t="n"/>
      <c r="Y96" s="2" t="n"/>
      <c r="Z96" s="2" t="inlineStr">
        <is>
          <t>no</t>
        </is>
      </c>
      <c r="AA96" s="2" t="n"/>
      <c r="AB96" s="2" t="n"/>
      <c r="AC96" s="2" t="n"/>
      <c r="AD96" s="2" t="n"/>
      <c r="AE96" s="2" t="n"/>
      <c r="AF96" s="2" t="n"/>
      <c r="AG96" s="2" t="n"/>
      <c r="AH96" s="2" t="n">
        <v>4200</v>
      </c>
      <c r="AI96" s="2" t="n"/>
      <c r="AJ96" s="2" t="n"/>
      <c r="AK96" s="2" t="n"/>
      <c r="AL96" s="2" t="n"/>
      <c r="AM96" s="2" t="n">
        <v>8.800000000000001</v>
      </c>
      <c r="AN96" s="2" t="n">
        <v>4900</v>
      </c>
      <c r="AO96" s="2" t="n">
        <v>8</v>
      </c>
      <c r="AP96" s="2" t="inlineStr">
        <is>
          <t>modelo+año+km</t>
        </is>
      </c>
      <c r="AQ96" s="2" t="n"/>
      <c r="AR96" s="2" t="inlineStr">
        <is>
          <t>cuota fija ITP: &gt;12 años, hasta 1.500 cc</t>
        </is>
      </c>
      <c r="AS96" s="2" t="inlineStr">
        <is>
          <t>Volkswagen Polo 1.2 Gasolina 70 CV | Económico y Fiable | ITV 2027
?¿Buscas un utilitario urbano práctico, fácil de aparcar, de bajo consumo y con la fiabilidad de Volkswagen? Este Polo 1.2 Gasolina con cambio manual es perfecto tanto para el día a día en ciudad como para conductores noveles o segundo coche familiar.
?? Puntos clave del vehículo:
• Motor 1.2 Gasolina (70 CV): mecánico, ágil, de mantenimiento económico y muy bajo consumo.
• 1ª Matriculación: 02/2011
• Kilometraje: 211.407 km
• ITV en vigor: Pasada hasta 01/2027.
• Mantenimiento al día recién realizado, listo para llevarte a donde quieras sin invertir más.
• Entrega inmediata.</t>
        </is>
      </c>
      <c r="AT96" s="2" t="inlineStr">
        <is>
          <t>https://www.coches.net/volkswagen-polo-12-70cv-advance-5p-gasolina-2010-en-valencia-71874130-covo.aspx (window.__INITIAL_PROPS__.ad) /home/user/Alopecia/buscador-coches/raw/cochesnet/6a7fc55baa18c560.json</t>
        </is>
      </c>
      <c r="AU96" s="3">
        <f>MAX(ANIO_ACTUAL-M96,0)</f>
        <v/>
      </c>
      <c r="AV96" s="4">
        <f>N96/MAX(AU96,0.5)</f>
        <v/>
      </c>
      <c r="AW96" s="4">
        <f>F96</f>
        <v/>
      </c>
      <c r="AX96" s="3">
        <f>AW96&amp;"|"&amp;INT(M96/SEG_ANIO)*SEG_ANIO</f>
        <v/>
      </c>
      <c r="AY96" s="3">
        <f>AX96&amp;"|"&amp;INT(N96/SEG_KM)*SEG_KM</f>
        <v/>
      </c>
      <c r="AZ96" s="4">
        <f>COUNTIF($AW$2:$AW$662,AW96)</f>
        <v/>
      </c>
      <c r="BA96" s="4">
        <f>COUNTIF($AX$2:$AX$662,AX96)</f>
        <v/>
      </c>
      <c r="BB96" s="4">
        <f>COUNTIF($AY$2:$AY$662,AY96)</f>
        <v/>
      </c>
      <c r="BC96" s="3">
        <f t="array" ref="BC96">IF(N(AO96)&gt;=MIN_N,AN96,IF(BB96&gt;=MIN_N,MEDIAN(IF($AY$2:$AY$662=AY96,$O$2:$O$662)),IF(BA96&gt;=MIN_N,MEDIAN(IF($AX$2:$AX$662=AX96,$O$2:$O$662)),MEDIAN(IF($AW$2:$AW$662=AW96,$O$2:$O$662)))))</f>
        <v/>
      </c>
      <c r="BD96" s="3">
        <f>IF(N(AO96)&gt;=MIN_N,"mercado "&amp;AP96,IF(BB96&gt;=MIN_N,"modelo+año+km",IF(BA96&gt;=MIN_N,"modelo+año","modelo")))</f>
        <v/>
      </c>
      <c r="BE96" s="4">
        <f>(BC96-O96)/BC96</f>
        <v/>
      </c>
      <c r="BF96" s="3">
        <f>IF(OR(K96="hibrido",K96="glp"),"ECO",IF(K96="electrico","CERO",IF(K96="gasolina",IF(M96&gt;=GAS_C,"C",IF(M96&gt;=GAS_B,"B","A")),IF(K96="diesel",IF(M96&gt;=DIE_C,"C",IF(M96&gt;=DIE_B,"B","A")),""))))</f>
        <v/>
      </c>
      <c r="BG96" s="3">
        <f>IFERROR(VLOOKUP(F96,MOD_TBL,11,0),IFERROR(VLOOKUP(E96,OCU_TBL,2,0),NEUTRO))</f>
        <v/>
      </c>
      <c r="BH96" s="3">
        <f>SUMIFS(MOT_AJUSTE,MOT_MOTOR,G96,MOT_MARCA,E96,MOT_DESDE,"&lt;="&amp;M96,MOT_HASTA,"&gt;="&amp;M96)+SUMIFS(MOT_AJUSTE,MOT_MOTOR,G96,MOT_MARCA,"(todas)",MOT_DESDE,"&lt;="&amp;M96,MOT_HASTA,"&gt;="&amp;M96)</f>
        <v/>
      </c>
      <c r="BI96" s="3">
        <f>SUMIFS(COMB_AJUSTE,COMB_COMB,K96)</f>
        <v/>
      </c>
      <c r="BJ96" s="3">
        <f>COUNTIFS(MOT_MOTOR,G96,MOT_MARCA,E96,MOT_DESDE,"&lt;="&amp;M96,MOT_HASTA,"&gt;="&amp;M96)+COUNTIFS(MOT_MOTOR,G96,MOT_MARCA,"(todas)",MOT_DESDE,"&lt;="&amp;M96,MOT_HASTA,"&gt;="&amp;M96)</f>
        <v/>
      </c>
      <c r="BK96" s="3">
        <f>IF(AND(K96="diesel",BJ96=0),MIN(BG96,NEUTRO),BG96)</f>
        <v/>
      </c>
      <c r="BL96" s="4">
        <f>MAX(0,MIN(100,BK96+BH96+BI96))</f>
        <v/>
      </c>
      <c r="BM96" s="3">
        <f>MAX(0,MIN(100,50+BE96*PRECIO_PEND))</f>
        <v/>
      </c>
      <c r="BN96" s="3">
        <f>MAX(0,100*(1-N96/KM_MAX))</f>
        <v/>
      </c>
      <c r="BO96" s="3">
        <f>IF(AV96&lt;KMA_SOSP,IF(AA96="sí",100,KMA_PEN),IF(AV96&lt;=KMA_IDEAL_MAX,100,MAX(0,100*(KMA_CERO-AV96)/(KMA_CERO-KMA_IDEAL_MAX))))</f>
        <v/>
      </c>
      <c r="BP96" s="3">
        <f>MAX(0,MIN(100,100*(M96-ANIO_MIN)/(ANIO_ACTUAL-ANIO_MIN)))</f>
        <v/>
      </c>
      <c r="BQ96" s="3">
        <f>W_KMT*BN96+W_KMA*BO96+W_EDAD*BP96</f>
        <v/>
      </c>
      <c r="BR96" s="3">
        <f>P_ITV*(V96="sí")+P_LIBRO*(W96="sí")+P_CORREA*(X96="sí")+P_PROP*(Y96=1)+P_GAR*(Z96="sí")+P_FOTOS*MIN(1,N(U96)/FOTOS_OBJ)</f>
        <v/>
      </c>
      <c r="BS96" s="3">
        <f>IFERROR(VLOOKUP(BF96,ETQ_TBL,2,0),NEUTRO)</f>
        <v/>
      </c>
      <c r="BT96" s="3">
        <f>NEUTRO</f>
        <v/>
      </c>
      <c r="BU96" s="3">
        <f>IFERROR(VLOOKUP(L96,SEGURO_TBL,3,0),"")</f>
        <v/>
      </c>
      <c r="BV96" s="3">
        <f>IF(BU96="",NEUTRO,MAX(0,MIN(100,100*(SEG_REF_MAX-BU96)/(SEG_REF_MAX-SEG_REF_MIN))))</f>
        <v/>
      </c>
      <c r="BW96" s="3">
        <f>W_ET*BS96+W_CONS*BT96+W_SEG*BV96</f>
        <v/>
      </c>
      <c r="BX96" s="3">
        <f>IF(N(AB96)&gt;0,AB96,IF(AND(R96="profesional",SG_LEGAL_ON=1),GAR_LEGAL,0))</f>
        <v/>
      </c>
      <c r="BY96" s="3">
        <f>SG_GAR*MIN(1,BX96/SG_GAR_FULL)+SG_AMPL*(AC96="sí")+SG_KMC*(AF96="sí")+SG_REV*(N(AE96)&gt;0)+SG_DEV*MIN(1,N(AG96)/SG_DEV_FULL)+SG_HIST*(W96="sí")</f>
        <v/>
      </c>
      <c r="BZ96" s="3">
        <f>IFERROR(VLOOKUP(L96,CARR_PEN_TBL,2,0),0)</f>
        <v/>
      </c>
      <c r="CA96" s="3">
        <f>W_FIAB*BL96+W_PRECIO*BM96+W_KMEDAD*BQ96+W_ANUNCIO*BR96+W_USO*BW96+W_SEGURIDAD*BY96-BZ96</f>
        <v/>
      </c>
      <c r="CB96" s="4">
        <f>IF(N(I96)&gt;0,I96,IFERROR(ROUND(_xlfn.NUMBERVALUE(LEFT(G96,FIND(" ",G96&amp;" ")-1),".")*1000,0),99999))</f>
        <v/>
      </c>
      <c r="CC96" s="3">
        <f>IF(R96="profesional",0,IF(O96&lt;CUOTA_VALOR_MAX,IF(AU96&gt;ITP_TRAMO_ALTO,SUMIFS(CF_CUOTA,CF_MAS,ITP_TRAMO_ALTO,CF_CCMIN,"&lt;="&amp;CB96,CF_CCMAX,"&gt;="&amp;CB96),IF(AU96&gt;ITP_TRAMO_BAJO,SUMIFS(CF_CUOTA,CF_MAS,ITP_TRAMO_BAJO,CF_CCMIN,"&lt;="&amp;CB96,CF_CCMAX,"&gt;="&amp;CB96),O96*ITP_TIPO)),O96*ITP_TIPO))</f>
        <v/>
      </c>
      <c r="CD96" s="4">
        <f>IF(R96="profesional",N(AK96),0)</f>
        <v/>
      </c>
      <c r="CE96" s="3">
        <f>IF(AND(R96="profesional",ISNUMBER(AK96),AL96="sí"),0,TASA_DGT)</f>
        <v/>
      </c>
      <c r="CF96" s="3">
        <f>INFORME_DGT</f>
        <v/>
      </c>
      <c r="CG96" s="4">
        <f>O96+CD96+CC96+CE96+CF96</f>
        <v/>
      </c>
      <c r="CH96" s="4">
        <f>CG96+N(BU96)</f>
        <v/>
      </c>
      <c r="CI96" s="3">
        <f>IF(CG96&lt;=TOTAL_MAX,"sí",IF(CG96&lt;=TOTAL_MAX+MARGEN_NEG,"negociar","no"))</f>
        <v/>
      </c>
      <c r="CJ96" s="4">
        <f>IF(CI96&lt;&gt;"no",COUNTIFS($CI$2:$CI$662,"&lt;&gt;no",$CA$2:$CA$662,"&gt;"&amp;CA96)+COUNTIFS($CI$2:CI96,"&lt;&gt;no",$CA$2:CA96,CA96),"")</f>
        <v/>
      </c>
    </row>
    <row r="97">
      <c r="A97" s="2" t="inlineStr">
        <is>
          <t>cochesnet:71666559</t>
        </is>
      </c>
      <c r="B97" s="2" t="inlineStr">
        <is>
          <t>cochesnet</t>
        </is>
      </c>
      <c r="C97" s="2" t="inlineStr">
        <is>
          <t>https://www.coches.net/volkswagen-polo-12-edition-60cv-5p-gasolina-2009-en-valencia-71666559-covo.aspx</t>
        </is>
      </c>
      <c r="D97" s="2" t="inlineStr">
        <is>
          <t>VOLKSWAGEN Polo 1.2 Edition</t>
        </is>
      </c>
      <c r="E97" s="2" t="inlineStr">
        <is>
          <t>Volkswagen</t>
        </is>
      </c>
      <c r="F97" s="2" t="inlineStr">
        <is>
          <t>Volkswagen Polo</t>
        </is>
      </c>
      <c r="G97" s="2" t="inlineStr">
        <is>
          <t>1.2</t>
        </is>
      </c>
      <c r="H97" s="2" t="n"/>
      <c r="I97" s="2" t="n"/>
      <c r="J97" s="2" t="n"/>
      <c r="K97" s="2" t="inlineStr">
        <is>
          <t>gasolina</t>
        </is>
      </c>
      <c r="L97" s="2" t="inlineStr">
        <is>
          <t>utilitario</t>
        </is>
      </c>
      <c r="M97" s="2" t="n">
        <v>2009</v>
      </c>
      <c r="N97" s="2" t="n">
        <v>128680</v>
      </c>
      <c r="O97" s="2" t="n">
        <v>3300</v>
      </c>
      <c r="P97" s="2" t="n"/>
      <c r="Q97" s="2" t="n"/>
      <c r="R97" s="2" t="inlineStr">
        <is>
          <t>particular</t>
        </is>
      </c>
      <c r="S97" s="2" t="inlineStr">
        <is>
          <t>Torrent</t>
        </is>
      </c>
      <c r="T97" s="2" t="inlineStr">
        <is>
          <t>2026-10-03T20:18:16Z</t>
        </is>
      </c>
      <c r="U97" s="2" t="n">
        <v>10</v>
      </c>
      <c r="V97" s="2" t="n"/>
      <c r="W97" s="2" t="n"/>
      <c r="X97" s="2" t="n"/>
      <c r="Y97" s="2" t="n"/>
      <c r="Z97" s="2" t="inlineStr">
        <is>
          <t>no</t>
        </is>
      </c>
      <c r="AA97" s="2" t="n"/>
      <c r="AB97" s="2" t="n"/>
      <c r="AC97" s="2" t="n"/>
      <c r="AD97" s="2" t="n"/>
      <c r="AE97" s="2" t="n"/>
      <c r="AF97" s="2" t="n"/>
      <c r="AG97" s="2" t="n"/>
      <c r="AH97" s="2" t="n">
        <v>3300</v>
      </c>
      <c r="AI97" s="2" t="n"/>
      <c r="AJ97" s="2" t="n"/>
      <c r="AK97" s="2" t="n"/>
      <c r="AL97" s="2" t="n"/>
      <c r="AM97" s="2" t="n"/>
      <c r="AN97" s="2" t="n">
        <v>4990</v>
      </c>
      <c r="AO97" s="2" t="n">
        <v>7</v>
      </c>
      <c r="AP97" s="2" t="inlineStr">
        <is>
          <t>modelo+año+km</t>
        </is>
      </c>
      <c r="AQ97" s="2" t="n"/>
      <c r="AR97" s="2" t="inlineStr">
        <is>
          <t>cuota fija ITP: &gt;12 años, hasta 1.500 cc; distancia no verificable (el anuncio solo indica la provincia): confirmar que está a &lt;= 70 km</t>
        </is>
      </c>
      <c r="AS97" s="2" t="inlineStr"/>
      <c r="AT97" s="2" t="inlineStr">
        <is>
          <t>https://www.coches.net/volkswagen/polo/segunda-mano/valencia/?pg=4 /home/user/Alopecia/buscador-coches/raw/cochesnet/aad67ad27b5970b2.json</t>
        </is>
      </c>
      <c r="AU97" s="3">
        <f>MAX(ANIO_ACTUAL-M97,0)</f>
        <v/>
      </c>
      <c r="AV97" s="4">
        <f>N97/MAX(AU97,0.5)</f>
        <v/>
      </c>
      <c r="AW97" s="4">
        <f>F97</f>
        <v/>
      </c>
      <c r="AX97" s="3">
        <f>AW97&amp;"|"&amp;INT(M97/SEG_ANIO)*SEG_ANIO</f>
        <v/>
      </c>
      <c r="AY97" s="3">
        <f>AX97&amp;"|"&amp;INT(N97/SEG_KM)*SEG_KM</f>
        <v/>
      </c>
      <c r="AZ97" s="4">
        <f>COUNTIF($AW$2:$AW$662,AW97)</f>
        <v/>
      </c>
      <c r="BA97" s="4">
        <f>COUNTIF($AX$2:$AX$662,AX97)</f>
        <v/>
      </c>
      <c r="BB97" s="4">
        <f>COUNTIF($AY$2:$AY$662,AY97)</f>
        <v/>
      </c>
      <c r="BC97" s="3">
        <f t="array" ref="BC97">IF(N(AO97)&gt;=MIN_N,AN97,IF(BB97&gt;=MIN_N,MEDIAN(IF($AY$2:$AY$662=AY97,$O$2:$O$662)),IF(BA97&gt;=MIN_N,MEDIAN(IF($AX$2:$AX$662=AX97,$O$2:$O$662)),MEDIAN(IF($AW$2:$AW$662=AW97,$O$2:$O$662)))))</f>
        <v/>
      </c>
      <c r="BD97" s="3">
        <f>IF(N(AO97)&gt;=MIN_N,"mercado "&amp;AP97,IF(BB97&gt;=MIN_N,"modelo+año+km",IF(BA97&gt;=MIN_N,"modelo+año","modelo")))</f>
        <v/>
      </c>
      <c r="BE97" s="4">
        <f>(BC97-O97)/BC97</f>
        <v/>
      </c>
      <c r="BF97" s="3">
        <f>IF(OR(K97="hibrido",K97="glp"),"ECO",IF(K97="electrico","CERO",IF(K97="gasolina",IF(M97&gt;=GAS_C,"C",IF(M97&gt;=GAS_B,"B","A")),IF(K97="diesel",IF(M97&gt;=DIE_C,"C",IF(M97&gt;=DIE_B,"B","A")),""))))</f>
        <v/>
      </c>
      <c r="BG97" s="3">
        <f>IFERROR(VLOOKUP(F97,MOD_TBL,11,0),IFERROR(VLOOKUP(E97,OCU_TBL,2,0),NEUTRO))</f>
        <v/>
      </c>
      <c r="BH97" s="3">
        <f>SUMIFS(MOT_AJUSTE,MOT_MOTOR,G97,MOT_MARCA,E97,MOT_DESDE,"&lt;="&amp;M97,MOT_HASTA,"&gt;="&amp;M97)+SUMIFS(MOT_AJUSTE,MOT_MOTOR,G97,MOT_MARCA,"(todas)",MOT_DESDE,"&lt;="&amp;M97,MOT_HASTA,"&gt;="&amp;M97)</f>
        <v/>
      </c>
      <c r="BI97" s="3">
        <f>SUMIFS(COMB_AJUSTE,COMB_COMB,K97)</f>
        <v/>
      </c>
      <c r="BJ97" s="3">
        <f>COUNTIFS(MOT_MOTOR,G97,MOT_MARCA,E97,MOT_DESDE,"&lt;="&amp;M97,MOT_HASTA,"&gt;="&amp;M97)+COUNTIFS(MOT_MOTOR,G97,MOT_MARCA,"(todas)",MOT_DESDE,"&lt;="&amp;M97,MOT_HASTA,"&gt;="&amp;M97)</f>
        <v/>
      </c>
      <c r="BK97" s="3">
        <f>IF(AND(K97="diesel",BJ97=0),MIN(BG97,NEUTRO),BG97)</f>
        <v/>
      </c>
      <c r="BL97" s="4">
        <f>MAX(0,MIN(100,BK97+BH97+BI97))</f>
        <v/>
      </c>
      <c r="BM97" s="3">
        <f>MAX(0,MIN(100,50+BE97*PRECIO_PEND))</f>
        <v/>
      </c>
      <c r="BN97" s="3">
        <f>MAX(0,100*(1-N97/KM_MAX))</f>
        <v/>
      </c>
      <c r="BO97" s="3">
        <f>IF(AV97&lt;KMA_SOSP,IF(AA97="sí",100,KMA_PEN),IF(AV97&lt;=KMA_IDEAL_MAX,100,MAX(0,100*(KMA_CERO-AV97)/(KMA_CERO-KMA_IDEAL_MAX))))</f>
        <v/>
      </c>
      <c r="BP97" s="3">
        <f>MAX(0,MIN(100,100*(M97-ANIO_MIN)/(ANIO_ACTUAL-ANIO_MIN)))</f>
        <v/>
      </c>
      <c r="BQ97" s="3">
        <f>W_KMT*BN97+W_KMA*BO97+W_EDAD*BP97</f>
        <v/>
      </c>
      <c r="BR97" s="3">
        <f>P_ITV*(V97="sí")+P_LIBRO*(W97="sí")+P_CORREA*(X97="sí")+P_PROP*(Y97=1)+P_GAR*(Z97="sí")+P_FOTOS*MIN(1,N(U97)/FOTOS_OBJ)</f>
        <v/>
      </c>
      <c r="BS97" s="3">
        <f>IFERROR(VLOOKUP(BF97,ETQ_TBL,2,0),NEUTRO)</f>
        <v/>
      </c>
      <c r="BT97" s="3">
        <f>NEUTRO</f>
        <v/>
      </c>
      <c r="BU97" s="3">
        <f>IFERROR(VLOOKUP(L97,SEGURO_TBL,3,0),"")</f>
        <v/>
      </c>
      <c r="BV97" s="3">
        <f>IF(BU97="",NEUTRO,MAX(0,MIN(100,100*(SEG_REF_MAX-BU97)/(SEG_REF_MAX-SEG_REF_MIN))))</f>
        <v/>
      </c>
      <c r="BW97" s="3">
        <f>W_ET*BS97+W_CONS*BT97+W_SEG*BV97</f>
        <v/>
      </c>
      <c r="BX97" s="3">
        <f>IF(N(AB97)&gt;0,AB97,IF(AND(R97="profesional",SG_LEGAL_ON=1),GAR_LEGAL,0))</f>
        <v/>
      </c>
      <c r="BY97" s="3">
        <f>SG_GAR*MIN(1,BX97/SG_GAR_FULL)+SG_AMPL*(AC97="sí")+SG_KMC*(AF97="sí")+SG_REV*(N(AE97)&gt;0)+SG_DEV*MIN(1,N(AG97)/SG_DEV_FULL)+SG_HIST*(W97="sí")</f>
        <v/>
      </c>
      <c r="BZ97" s="3">
        <f>IFERROR(VLOOKUP(L97,CARR_PEN_TBL,2,0),0)</f>
        <v/>
      </c>
      <c r="CA97" s="3">
        <f>W_FIAB*BL97+W_PRECIO*BM97+W_KMEDAD*BQ97+W_ANUNCIO*BR97+W_USO*BW97+W_SEGURIDAD*BY97-BZ97</f>
        <v/>
      </c>
      <c r="CB97" s="4">
        <f>IF(N(I97)&gt;0,I97,IFERROR(ROUND(_xlfn.NUMBERVALUE(LEFT(G97,FIND(" ",G97&amp;" ")-1),".")*1000,0),99999))</f>
        <v/>
      </c>
      <c r="CC97" s="3">
        <f>IF(R97="profesional",0,IF(O97&lt;CUOTA_VALOR_MAX,IF(AU97&gt;ITP_TRAMO_ALTO,SUMIFS(CF_CUOTA,CF_MAS,ITP_TRAMO_ALTO,CF_CCMIN,"&lt;="&amp;CB97,CF_CCMAX,"&gt;="&amp;CB97),IF(AU97&gt;ITP_TRAMO_BAJO,SUMIFS(CF_CUOTA,CF_MAS,ITP_TRAMO_BAJO,CF_CCMIN,"&lt;="&amp;CB97,CF_CCMAX,"&gt;="&amp;CB97),O97*ITP_TIPO)),O97*ITP_TIPO))</f>
        <v/>
      </c>
      <c r="CD97" s="4">
        <f>IF(R97="profesional",N(AK97),0)</f>
        <v/>
      </c>
      <c r="CE97" s="3">
        <f>IF(AND(R97="profesional",ISNUMBER(AK97),AL97="sí"),0,TASA_DGT)</f>
        <v/>
      </c>
      <c r="CF97" s="3">
        <f>INFORME_DGT</f>
        <v/>
      </c>
      <c r="CG97" s="4">
        <f>O97+CD97+CC97+CE97+CF97</f>
        <v/>
      </c>
      <c r="CH97" s="4">
        <f>CG97+N(BU97)</f>
        <v/>
      </c>
      <c r="CI97" s="3">
        <f>IF(CG97&lt;=TOTAL_MAX,"sí",IF(CG97&lt;=TOTAL_MAX+MARGEN_NEG,"negociar","no"))</f>
        <v/>
      </c>
      <c r="CJ97" s="4">
        <f>IF(CI97&lt;&gt;"no",COUNTIFS($CI$2:$CI$662,"&lt;&gt;no",$CA$2:$CA$662,"&gt;"&amp;CA97)+COUNTIFS($CI$2:CI97,"&lt;&gt;no",$CA$2:CA97,CA97),"")</f>
        <v/>
      </c>
    </row>
    <row r="98">
      <c r="A98" s="2" t="inlineStr">
        <is>
          <t>cochesnet:71536489</t>
        </is>
      </c>
      <c r="B98" s="2" t="inlineStr">
        <is>
          <t>cochesnet</t>
        </is>
      </c>
      <c r="C98" s="2" t="inlineStr">
        <is>
          <t>https://www.coches.net/volkswagen-polo-gasolina-2010-en-valencia-71536489-covo.aspx</t>
        </is>
      </c>
      <c r="D98" s="2" t="inlineStr">
        <is>
          <t>VOLKSWAGEN Polo 1.4 Advance DSG 7</t>
        </is>
      </c>
      <c r="E98" s="2" t="inlineStr">
        <is>
          <t>Volkswagen</t>
        </is>
      </c>
      <c r="F98" s="2" t="inlineStr">
        <is>
          <t>Volkswagen Polo</t>
        </is>
      </c>
      <c r="G98" s="2" t="inlineStr">
        <is>
          <t>1.4</t>
        </is>
      </c>
      <c r="H98" s="2" t="inlineStr">
        <is>
          <t>1.4 Advance 85cv DSG 7</t>
        </is>
      </c>
      <c r="I98" s="2" t="n"/>
      <c r="J98" s="2" t="n">
        <v>85</v>
      </c>
      <c r="K98" s="2" t="inlineStr">
        <is>
          <t>gasolina</t>
        </is>
      </c>
      <c r="L98" s="2" t="inlineStr">
        <is>
          <t>utilitario</t>
        </is>
      </c>
      <c r="M98" s="2" t="n">
        <v>2010</v>
      </c>
      <c r="N98" s="2" t="n">
        <v>177000</v>
      </c>
      <c r="O98" s="2" t="n">
        <v>4400</v>
      </c>
      <c r="P98" s="2" t="inlineStr">
        <is>
          <t>automatico</t>
        </is>
      </c>
      <c r="Q98" s="2" t="inlineStr">
        <is>
          <t>sí</t>
        </is>
      </c>
      <c r="R98" s="2" t="inlineStr">
        <is>
          <t>particular</t>
        </is>
      </c>
      <c r="S98" s="2" t="inlineStr">
        <is>
          <t>Alboraya</t>
        </is>
      </c>
      <c r="T98" s="2" t="inlineStr">
        <is>
          <t>2026-09-17T11:20:30Z</t>
        </is>
      </c>
      <c r="U98" s="2" t="n">
        <v>5</v>
      </c>
      <c r="V98" s="2" t="n"/>
      <c r="W98" s="2" t="n"/>
      <c r="X98" s="2" t="inlineStr">
        <is>
          <t>sí</t>
        </is>
      </c>
      <c r="Y98" s="2" t="n"/>
      <c r="Z98" s="2" t="inlineStr">
        <is>
          <t>no</t>
        </is>
      </c>
      <c r="AA98" s="2" t="n"/>
      <c r="AB98" s="2" t="n"/>
      <c r="AC98" s="2" t="n"/>
      <c r="AD98" s="2" t="n"/>
      <c r="AE98" s="2" t="n"/>
      <c r="AF98" s="2" t="n"/>
      <c r="AG98" s="2" t="n"/>
      <c r="AH98" s="2" t="n">
        <v>4400</v>
      </c>
      <c r="AI98" s="2" t="n"/>
      <c r="AJ98" s="2" t="n"/>
      <c r="AK98" s="2" t="n"/>
      <c r="AL98" s="2" t="n"/>
      <c r="AM98" s="2" t="n">
        <v>4</v>
      </c>
      <c r="AN98" s="2" t="n">
        <v>5825</v>
      </c>
      <c r="AO98" s="2" t="n">
        <v>12</v>
      </c>
      <c r="AP98" s="2" t="inlineStr">
        <is>
          <t>modelo+año+km</t>
        </is>
      </c>
      <c r="AQ98" s="2" t="n"/>
      <c r="AR98" s="2" t="inlineStr">
        <is>
          <t>cuota fija ITP: &gt;12 años, hasta 1.500 cc</t>
        </is>
      </c>
      <c r="AS98" s="2" t="inlineStr">
        <is>
          <t>Se vende Volkswagen Polo 1.4 gasolina con cambio automático DSG, año 2010, con aproximadamente 177.000 km.
Coche cómodo, práctico y fácil de conducir, ideal tanto para ciudad como para carretera.
Cambio automático DSG
Motor 1.4 gasolina
3 puertas
Dirección asistida
Cierre centralizado
Elevalunas eléctricos
Airbags
ABS
Radio/equipo de sonido
Asientos traseros abatibles
Ordenador/display de a bordo
Color rojo
Llantas negras
Tiene la distribución hecha, mantenimiento de motor realizado con aceite y filtros cambiados, y también mantenimiento de la caja DSG con cambio de aceite y filtro.
Carrocería roja, 3 puertas y buen estado general.
Se puede ver y probar sin compromiso.
Un coche listo para seguir haciendo kilómetros con su próximo dueño. ??</t>
        </is>
      </c>
      <c r="AT98" s="2" t="inlineStr">
        <is>
          <t>https://www.coches.net/volkswagen-polo-gasolina-2010-en-valencia-71536489-covo.aspx (window.__INITIAL_PROPS__.ad) /home/user/Alopecia/buscador-coches/raw/cochesnet/6d557d81e74b839f.json</t>
        </is>
      </c>
      <c r="AU98" s="3">
        <f>MAX(ANIO_ACTUAL-M98,0)</f>
        <v/>
      </c>
      <c r="AV98" s="4">
        <f>N98/MAX(AU98,0.5)</f>
        <v/>
      </c>
      <c r="AW98" s="4">
        <f>F98</f>
        <v/>
      </c>
      <c r="AX98" s="3">
        <f>AW98&amp;"|"&amp;INT(M98/SEG_ANIO)*SEG_ANIO</f>
        <v/>
      </c>
      <c r="AY98" s="3">
        <f>AX98&amp;"|"&amp;INT(N98/SEG_KM)*SEG_KM</f>
        <v/>
      </c>
      <c r="AZ98" s="4">
        <f>COUNTIF($AW$2:$AW$662,AW98)</f>
        <v/>
      </c>
      <c r="BA98" s="4">
        <f>COUNTIF($AX$2:$AX$662,AX98)</f>
        <v/>
      </c>
      <c r="BB98" s="4">
        <f>COUNTIF($AY$2:$AY$662,AY98)</f>
        <v/>
      </c>
      <c r="BC98" s="3">
        <f t="array" ref="BC98">IF(N(AO98)&gt;=MIN_N,AN98,IF(BB98&gt;=MIN_N,MEDIAN(IF($AY$2:$AY$662=AY98,$O$2:$O$662)),IF(BA98&gt;=MIN_N,MEDIAN(IF($AX$2:$AX$662=AX98,$O$2:$O$662)),MEDIAN(IF($AW$2:$AW$662=AW98,$O$2:$O$662)))))</f>
        <v/>
      </c>
      <c r="BD98" s="3">
        <f>IF(N(AO98)&gt;=MIN_N,"mercado "&amp;AP98,IF(BB98&gt;=MIN_N,"modelo+año+km",IF(BA98&gt;=MIN_N,"modelo+año","modelo")))</f>
        <v/>
      </c>
      <c r="BE98" s="4">
        <f>(BC98-O98)/BC98</f>
        <v/>
      </c>
      <c r="BF98" s="3">
        <f>IF(OR(K98="hibrido",K98="glp"),"ECO",IF(K98="electrico","CERO",IF(K98="gasolina",IF(M98&gt;=GAS_C,"C",IF(M98&gt;=GAS_B,"B","A")),IF(K98="diesel",IF(M98&gt;=DIE_C,"C",IF(M98&gt;=DIE_B,"B","A")),""))))</f>
        <v/>
      </c>
      <c r="BG98" s="3">
        <f>IFERROR(VLOOKUP(F98,MOD_TBL,11,0),IFERROR(VLOOKUP(E98,OCU_TBL,2,0),NEUTRO))</f>
        <v/>
      </c>
      <c r="BH98" s="3">
        <f>SUMIFS(MOT_AJUSTE,MOT_MOTOR,G98,MOT_MARCA,E98,MOT_DESDE,"&lt;="&amp;M98,MOT_HASTA,"&gt;="&amp;M98)+SUMIFS(MOT_AJUSTE,MOT_MOTOR,G98,MOT_MARCA,"(todas)",MOT_DESDE,"&lt;="&amp;M98,MOT_HASTA,"&gt;="&amp;M98)</f>
        <v/>
      </c>
      <c r="BI98" s="3">
        <f>SUMIFS(COMB_AJUSTE,COMB_COMB,K98)</f>
        <v/>
      </c>
      <c r="BJ98" s="3">
        <f>COUNTIFS(MOT_MOTOR,G98,MOT_MARCA,E98,MOT_DESDE,"&lt;="&amp;M98,MOT_HASTA,"&gt;="&amp;M98)+COUNTIFS(MOT_MOTOR,G98,MOT_MARCA,"(todas)",MOT_DESDE,"&lt;="&amp;M98,MOT_HASTA,"&gt;="&amp;M98)</f>
        <v/>
      </c>
      <c r="BK98" s="3">
        <f>IF(AND(K98="diesel",BJ98=0),MIN(BG98,NEUTRO),BG98)</f>
        <v/>
      </c>
      <c r="BL98" s="4">
        <f>MAX(0,MIN(100,BK98+BH98+BI98))</f>
        <v/>
      </c>
      <c r="BM98" s="3">
        <f>MAX(0,MIN(100,50+BE98*PRECIO_PEND))</f>
        <v/>
      </c>
      <c r="BN98" s="3">
        <f>MAX(0,100*(1-N98/KM_MAX))</f>
        <v/>
      </c>
      <c r="BO98" s="3">
        <f>IF(AV98&lt;KMA_SOSP,IF(AA98="sí",100,KMA_PEN),IF(AV98&lt;=KMA_IDEAL_MAX,100,MAX(0,100*(KMA_CERO-AV98)/(KMA_CERO-KMA_IDEAL_MAX))))</f>
        <v/>
      </c>
      <c r="BP98" s="3">
        <f>MAX(0,MIN(100,100*(M98-ANIO_MIN)/(ANIO_ACTUAL-ANIO_MIN)))</f>
        <v/>
      </c>
      <c r="BQ98" s="3">
        <f>W_KMT*BN98+W_KMA*BO98+W_EDAD*BP98</f>
        <v/>
      </c>
      <c r="BR98" s="3">
        <f>P_ITV*(V98="sí")+P_LIBRO*(W98="sí")+P_CORREA*(X98="sí")+P_PROP*(Y98=1)+P_GAR*(Z98="sí")+P_FOTOS*MIN(1,N(U98)/FOTOS_OBJ)</f>
        <v/>
      </c>
      <c r="BS98" s="3">
        <f>IFERROR(VLOOKUP(BF98,ETQ_TBL,2,0),NEUTRO)</f>
        <v/>
      </c>
      <c r="BT98" s="3">
        <f>NEUTRO</f>
        <v/>
      </c>
      <c r="BU98" s="3">
        <f>IFERROR(VLOOKUP(L98,SEGURO_TBL,3,0),"")</f>
        <v/>
      </c>
      <c r="BV98" s="3">
        <f>IF(BU98="",NEUTRO,MAX(0,MIN(100,100*(SEG_REF_MAX-BU98)/(SEG_REF_MAX-SEG_REF_MIN))))</f>
        <v/>
      </c>
      <c r="BW98" s="3">
        <f>W_ET*BS98+W_CONS*BT98+W_SEG*BV98</f>
        <v/>
      </c>
      <c r="BX98" s="3">
        <f>IF(N(AB98)&gt;0,AB98,IF(AND(R98="profesional",SG_LEGAL_ON=1),GAR_LEGAL,0))</f>
        <v/>
      </c>
      <c r="BY98" s="3">
        <f>SG_GAR*MIN(1,BX98/SG_GAR_FULL)+SG_AMPL*(AC98="sí")+SG_KMC*(AF98="sí")+SG_REV*(N(AE98)&gt;0)+SG_DEV*MIN(1,N(AG98)/SG_DEV_FULL)+SG_HIST*(W98="sí")</f>
        <v/>
      </c>
      <c r="BZ98" s="3">
        <f>IFERROR(VLOOKUP(L98,CARR_PEN_TBL,2,0),0)</f>
        <v/>
      </c>
      <c r="CA98" s="3">
        <f>W_FIAB*BL98+W_PRECIO*BM98+W_KMEDAD*BQ98+W_ANUNCIO*BR98+W_USO*BW98+W_SEGURIDAD*BY98-BZ98</f>
        <v/>
      </c>
      <c r="CB98" s="4">
        <f>IF(N(I98)&gt;0,I98,IFERROR(ROUND(_xlfn.NUMBERVALUE(LEFT(G98,FIND(" ",G98&amp;" ")-1),".")*1000,0),99999))</f>
        <v/>
      </c>
      <c r="CC98" s="3">
        <f>IF(R98="profesional",0,IF(O98&lt;CUOTA_VALOR_MAX,IF(AU98&gt;ITP_TRAMO_ALTO,SUMIFS(CF_CUOTA,CF_MAS,ITP_TRAMO_ALTO,CF_CCMIN,"&lt;="&amp;CB98,CF_CCMAX,"&gt;="&amp;CB98),IF(AU98&gt;ITP_TRAMO_BAJO,SUMIFS(CF_CUOTA,CF_MAS,ITP_TRAMO_BAJO,CF_CCMIN,"&lt;="&amp;CB98,CF_CCMAX,"&gt;="&amp;CB98),O98*ITP_TIPO)),O98*ITP_TIPO))</f>
        <v/>
      </c>
      <c r="CD98" s="4">
        <f>IF(R98="profesional",N(AK98),0)</f>
        <v/>
      </c>
      <c r="CE98" s="3">
        <f>IF(AND(R98="profesional",ISNUMBER(AK98),AL98="sí"),0,TASA_DGT)</f>
        <v/>
      </c>
      <c r="CF98" s="3">
        <f>INFORME_DGT</f>
        <v/>
      </c>
      <c r="CG98" s="4">
        <f>O98+CD98+CC98+CE98+CF98</f>
        <v/>
      </c>
      <c r="CH98" s="4">
        <f>CG98+N(BU98)</f>
        <v/>
      </c>
      <c r="CI98" s="3">
        <f>IF(CG98&lt;=TOTAL_MAX,"sí",IF(CG98&lt;=TOTAL_MAX+MARGEN_NEG,"negociar","no"))</f>
        <v/>
      </c>
      <c r="CJ98" s="4">
        <f>IF(CI98&lt;&gt;"no",COUNTIFS($CI$2:$CI$662,"&lt;&gt;no",$CA$2:$CA$662,"&gt;"&amp;CA98)+COUNTIFS($CI$2:CI98,"&lt;&gt;no",$CA$2:CA98,CA98),"")</f>
        <v/>
      </c>
    </row>
    <row r="99">
      <c r="A99" s="2" t="inlineStr">
        <is>
          <t>cochesnet:71512620</t>
        </is>
      </c>
      <c r="B99" s="2" t="inlineStr">
        <is>
          <t>cochesnet</t>
        </is>
      </c>
      <c r="C99" s="2" t="inlineStr">
        <is>
          <t>https://www.coches.net/volkswagen-polo-gasolina-2008-en-valencia-71512620-covo.aspx</t>
        </is>
      </c>
      <c r="D99" s="2" t="inlineStr">
        <is>
          <t>VOLKSWAGEN Polo</t>
        </is>
      </c>
      <c r="E99" s="2" t="inlineStr">
        <is>
          <t>Volkswagen</t>
        </is>
      </c>
      <c r="F99" s="2" t="inlineStr">
        <is>
          <t>Volkswagen Polo</t>
        </is>
      </c>
      <c r="G99" s="2" t="n"/>
      <c r="H99" s="2" t="n"/>
      <c r="I99" s="2" t="n"/>
      <c r="J99" s="2" t="n"/>
      <c r="K99" s="2" t="inlineStr">
        <is>
          <t>gasolina</t>
        </is>
      </c>
      <c r="L99" s="2" t="inlineStr">
        <is>
          <t>utilitario</t>
        </is>
      </c>
      <c r="M99" s="2" t="n">
        <v>2008</v>
      </c>
      <c r="N99" s="2" t="n">
        <v>219000</v>
      </c>
      <c r="O99" s="2" t="n">
        <v>3700</v>
      </c>
      <c r="P99" s="2" t="inlineStr">
        <is>
          <t>manual</t>
        </is>
      </c>
      <c r="Q99" s="2" t="inlineStr">
        <is>
          <t>no</t>
        </is>
      </c>
      <c r="R99" s="2" t="inlineStr">
        <is>
          <t>particular</t>
        </is>
      </c>
      <c r="S99" s="2" t="n"/>
      <c r="T99" s="2" t="inlineStr">
        <is>
          <t>2026-09-14T16:21:38Z</t>
        </is>
      </c>
      <c r="U99" s="2" t="n">
        <v>1</v>
      </c>
      <c r="V99" s="2" t="n"/>
      <c r="W99" s="2" t="n"/>
      <c r="X99" s="2" t="n"/>
      <c r="Y99" s="2" t="n"/>
      <c r="Z99" s="2" t="inlineStr">
        <is>
          <t>no</t>
        </is>
      </c>
      <c r="AA99" s="2" t="n"/>
      <c r="AB99" s="2" t="n"/>
      <c r="AC99" s="2" t="n"/>
      <c r="AD99" s="2" t="n"/>
      <c r="AE99" s="2" t="n"/>
      <c r="AF99" s="2" t="n"/>
      <c r="AG99" s="2" t="n"/>
      <c r="AH99" s="2" t="n">
        <v>3700</v>
      </c>
      <c r="AI99" s="2" t="n"/>
      <c r="AJ99" s="2" t="n"/>
      <c r="AK99" s="2" t="n"/>
      <c r="AL99" s="2" t="n"/>
      <c r="AM99" s="2" t="n"/>
      <c r="AN99" s="2" t="n">
        <v>3800</v>
      </c>
      <c r="AO99" s="2" t="n">
        <v>8</v>
      </c>
      <c r="AP99" s="2" t="inlineStr">
        <is>
          <t>modelo+año+km</t>
        </is>
      </c>
      <c r="AQ99" s="2" t="n"/>
      <c r="AR99" s="2" t="inlineStr">
        <is>
          <t>cilindrada desconocida: se aplica el tramo de cuota fija más alto; cuota fija ITP: &gt;12 años, más de 2.000 cc; distancia no verificable (el anuncio solo indica la provincia): confirmar que está a &lt;= 70 km</t>
        </is>
      </c>
      <c r="AS99" s="2" t="inlineStr">
        <is>
          <t xml:space="preserve">el auto está impecable , lo vendo porque me regreso a mi país, está todo al día, listo para trasferir .. ! </t>
        </is>
      </c>
      <c r="AT99" s="2" t="inlineStr">
        <is>
          <t>https://www.coches.net/volkswagen-polo-gasolina-2008-en-valencia-71512620-covo.aspx (window.__INITIAL_PROPS__.ad) /home/user/Alopecia/buscador-coches/raw/cochesnet/4757b288d8103f20.json</t>
        </is>
      </c>
      <c r="AU99" s="3">
        <f>MAX(ANIO_ACTUAL-M99,0)</f>
        <v/>
      </c>
      <c r="AV99" s="4">
        <f>N99/MAX(AU99,0.5)</f>
        <v/>
      </c>
      <c r="AW99" s="4">
        <f>F99</f>
        <v/>
      </c>
      <c r="AX99" s="3">
        <f>AW99&amp;"|"&amp;INT(M99/SEG_ANIO)*SEG_ANIO</f>
        <v/>
      </c>
      <c r="AY99" s="3">
        <f>AX99&amp;"|"&amp;INT(N99/SEG_KM)*SEG_KM</f>
        <v/>
      </c>
      <c r="AZ99" s="4">
        <f>COUNTIF($AW$2:$AW$662,AW99)</f>
        <v/>
      </c>
      <c r="BA99" s="4">
        <f>COUNTIF($AX$2:$AX$662,AX99)</f>
        <v/>
      </c>
      <c r="BB99" s="4">
        <f>COUNTIF($AY$2:$AY$662,AY99)</f>
        <v/>
      </c>
      <c r="BC99" s="3">
        <f t="array" ref="BC99">IF(N(AO99)&gt;=MIN_N,AN99,IF(BB99&gt;=MIN_N,MEDIAN(IF($AY$2:$AY$662=AY99,$O$2:$O$662)),IF(BA99&gt;=MIN_N,MEDIAN(IF($AX$2:$AX$662=AX99,$O$2:$O$662)),MEDIAN(IF($AW$2:$AW$662=AW99,$O$2:$O$662)))))</f>
        <v/>
      </c>
      <c r="BD99" s="3">
        <f>IF(N(AO99)&gt;=MIN_N,"mercado "&amp;AP99,IF(BB99&gt;=MIN_N,"modelo+año+km",IF(BA99&gt;=MIN_N,"modelo+año","modelo")))</f>
        <v/>
      </c>
      <c r="BE99" s="4">
        <f>(BC99-O99)/BC99</f>
        <v/>
      </c>
      <c r="BF99" s="3">
        <f>IF(OR(K99="hibrido",K99="glp"),"ECO",IF(K99="electrico","CERO",IF(K99="gasolina",IF(M99&gt;=GAS_C,"C",IF(M99&gt;=GAS_B,"B","A")),IF(K99="diesel",IF(M99&gt;=DIE_C,"C",IF(M99&gt;=DIE_B,"B","A")),""))))</f>
        <v/>
      </c>
      <c r="BG99" s="3">
        <f>IFERROR(VLOOKUP(F99,MOD_TBL,11,0),IFERROR(VLOOKUP(E99,OCU_TBL,2,0),NEUTRO))</f>
        <v/>
      </c>
      <c r="BH99" s="3">
        <f>SUMIFS(MOT_AJUSTE,MOT_MOTOR,G99,MOT_MARCA,E99,MOT_DESDE,"&lt;="&amp;M99,MOT_HASTA,"&gt;="&amp;M99)+SUMIFS(MOT_AJUSTE,MOT_MOTOR,G99,MOT_MARCA,"(todas)",MOT_DESDE,"&lt;="&amp;M99,MOT_HASTA,"&gt;="&amp;M99)</f>
        <v/>
      </c>
      <c r="BI99" s="3">
        <f>SUMIFS(COMB_AJUSTE,COMB_COMB,K99)</f>
        <v/>
      </c>
      <c r="BJ99" s="3">
        <f>COUNTIFS(MOT_MOTOR,G99,MOT_MARCA,E99,MOT_DESDE,"&lt;="&amp;M99,MOT_HASTA,"&gt;="&amp;M99)+COUNTIFS(MOT_MOTOR,G99,MOT_MARCA,"(todas)",MOT_DESDE,"&lt;="&amp;M99,MOT_HASTA,"&gt;="&amp;M99)</f>
        <v/>
      </c>
      <c r="BK99" s="3">
        <f>IF(AND(K99="diesel",BJ99=0),MIN(BG99,NEUTRO),BG99)</f>
        <v/>
      </c>
      <c r="BL99" s="4">
        <f>MAX(0,MIN(100,BK99+BH99+BI99))</f>
        <v/>
      </c>
      <c r="BM99" s="3">
        <f>MAX(0,MIN(100,50+BE99*PRECIO_PEND))</f>
        <v/>
      </c>
      <c r="BN99" s="3">
        <f>MAX(0,100*(1-N99/KM_MAX))</f>
        <v/>
      </c>
      <c r="BO99" s="3">
        <f>IF(AV99&lt;KMA_SOSP,IF(AA99="sí",100,KMA_PEN),IF(AV99&lt;=KMA_IDEAL_MAX,100,MAX(0,100*(KMA_CERO-AV99)/(KMA_CERO-KMA_IDEAL_MAX))))</f>
        <v/>
      </c>
      <c r="BP99" s="3">
        <f>MAX(0,MIN(100,100*(M99-ANIO_MIN)/(ANIO_ACTUAL-ANIO_MIN)))</f>
        <v/>
      </c>
      <c r="BQ99" s="3">
        <f>W_KMT*BN99+W_KMA*BO99+W_EDAD*BP99</f>
        <v/>
      </c>
      <c r="BR99" s="3">
        <f>P_ITV*(V99="sí")+P_LIBRO*(W99="sí")+P_CORREA*(X99="sí")+P_PROP*(Y99=1)+P_GAR*(Z99="sí")+P_FOTOS*MIN(1,N(U99)/FOTOS_OBJ)</f>
        <v/>
      </c>
      <c r="BS99" s="3">
        <f>IFERROR(VLOOKUP(BF99,ETQ_TBL,2,0),NEUTRO)</f>
        <v/>
      </c>
      <c r="BT99" s="3">
        <f>NEUTRO</f>
        <v/>
      </c>
      <c r="BU99" s="3">
        <f>IFERROR(VLOOKUP(L99,SEGURO_TBL,3,0),"")</f>
        <v/>
      </c>
      <c r="BV99" s="3">
        <f>IF(BU99="",NEUTRO,MAX(0,MIN(100,100*(SEG_REF_MAX-BU99)/(SEG_REF_MAX-SEG_REF_MIN))))</f>
        <v/>
      </c>
      <c r="BW99" s="3">
        <f>W_ET*BS99+W_CONS*BT99+W_SEG*BV99</f>
        <v/>
      </c>
      <c r="BX99" s="3">
        <f>IF(N(AB99)&gt;0,AB99,IF(AND(R99="profesional",SG_LEGAL_ON=1),GAR_LEGAL,0))</f>
        <v/>
      </c>
      <c r="BY99" s="3">
        <f>SG_GAR*MIN(1,BX99/SG_GAR_FULL)+SG_AMPL*(AC99="sí")+SG_KMC*(AF99="sí")+SG_REV*(N(AE99)&gt;0)+SG_DEV*MIN(1,N(AG99)/SG_DEV_FULL)+SG_HIST*(W99="sí")</f>
        <v/>
      </c>
      <c r="BZ99" s="3">
        <f>IFERROR(VLOOKUP(L99,CARR_PEN_TBL,2,0),0)</f>
        <v/>
      </c>
      <c r="CA99" s="3">
        <f>W_FIAB*BL99+W_PRECIO*BM99+W_KMEDAD*BQ99+W_ANUNCIO*BR99+W_USO*BW99+W_SEGURIDAD*BY99-BZ99</f>
        <v/>
      </c>
      <c r="CB99" s="4">
        <f>IF(N(I99)&gt;0,I99,IFERROR(ROUND(_xlfn.NUMBERVALUE(LEFT(G99,FIND(" ",G99&amp;" ")-1),".")*1000,0),99999))</f>
        <v/>
      </c>
      <c r="CC99" s="3">
        <f>IF(R99="profesional",0,IF(O99&lt;CUOTA_VALOR_MAX,IF(AU99&gt;ITP_TRAMO_ALTO,SUMIFS(CF_CUOTA,CF_MAS,ITP_TRAMO_ALTO,CF_CCMIN,"&lt;="&amp;CB99,CF_CCMAX,"&gt;="&amp;CB99),IF(AU99&gt;ITP_TRAMO_BAJO,SUMIFS(CF_CUOTA,CF_MAS,ITP_TRAMO_BAJO,CF_CCMIN,"&lt;="&amp;CB99,CF_CCMAX,"&gt;="&amp;CB99),O99*ITP_TIPO)),O99*ITP_TIPO))</f>
        <v/>
      </c>
      <c r="CD99" s="4">
        <f>IF(R99="profesional",N(AK99),0)</f>
        <v/>
      </c>
      <c r="CE99" s="3">
        <f>IF(AND(R99="profesional",ISNUMBER(AK99),AL99="sí"),0,TASA_DGT)</f>
        <v/>
      </c>
      <c r="CF99" s="3">
        <f>INFORME_DGT</f>
        <v/>
      </c>
      <c r="CG99" s="4">
        <f>O99+CD99+CC99+CE99+CF99</f>
        <v/>
      </c>
      <c r="CH99" s="4">
        <f>CG99+N(BU99)</f>
        <v/>
      </c>
      <c r="CI99" s="3">
        <f>IF(CG99&lt;=TOTAL_MAX,"sí",IF(CG99&lt;=TOTAL_MAX+MARGEN_NEG,"negociar","no"))</f>
        <v/>
      </c>
      <c r="CJ99" s="4">
        <f>IF(CI99&lt;&gt;"no",COUNTIFS($CI$2:$CI$662,"&lt;&gt;no",$CA$2:$CA$662,"&gt;"&amp;CA99)+COUNTIFS($CI$2:CI99,"&lt;&gt;no",$CA$2:CA99,CA99),"")</f>
        <v/>
      </c>
    </row>
    <row r="100">
      <c r="A100" s="2" t="inlineStr">
        <is>
          <t>cochesnet:71264538</t>
        </is>
      </c>
      <c r="B100" s="2" t="inlineStr">
        <is>
          <t>cochesnet</t>
        </is>
      </c>
      <c r="C100" s="2" t="inlineStr">
        <is>
          <t>https://www.coches.net/volkswagen-polo-12-tdi-75cv-advance-5p-diesel-2010-en-valencia-71264538-covo.aspx</t>
        </is>
      </c>
      <c r="D100" s="2" t="inlineStr">
        <is>
          <t>VOLKSWAGEN Polo 1.2 TDI Advance</t>
        </is>
      </c>
      <c r="E100" s="2" t="inlineStr">
        <is>
          <t>Volkswagen</t>
        </is>
      </c>
      <c r="F100" s="2" t="inlineStr">
        <is>
          <t>Volkswagen Polo</t>
        </is>
      </c>
      <c r="G100" s="2" t="inlineStr">
        <is>
          <t>1.2 TDI</t>
        </is>
      </c>
      <c r="H100" s="2" t="inlineStr">
        <is>
          <t>1.2 TDI 75cv Advance</t>
        </is>
      </c>
      <c r="I100" s="2" t="n"/>
      <c r="J100" s="2" t="n">
        <v>75</v>
      </c>
      <c r="K100" s="2" t="inlineStr">
        <is>
          <t>diesel</t>
        </is>
      </c>
      <c r="L100" s="2" t="inlineStr">
        <is>
          <t>utilitario</t>
        </is>
      </c>
      <c r="M100" s="2" t="n">
        <v>2010</v>
      </c>
      <c r="N100" s="2" t="n">
        <v>200000</v>
      </c>
      <c r="O100" s="2" t="n">
        <v>4150</v>
      </c>
      <c r="P100" s="2" t="inlineStr">
        <is>
          <t>manual</t>
        </is>
      </c>
      <c r="Q100" s="2" t="inlineStr">
        <is>
          <t>no</t>
        </is>
      </c>
      <c r="R100" s="2" t="inlineStr">
        <is>
          <t>particular</t>
        </is>
      </c>
      <c r="S100" s="2" t="inlineStr">
        <is>
          <t>Valencia</t>
        </is>
      </c>
      <c r="T100" s="2" t="inlineStr">
        <is>
          <t>2026-08-10T13:57:33Z</t>
        </is>
      </c>
      <c r="U100" s="2" t="n">
        <v>4</v>
      </c>
      <c r="V100" s="2" t="n"/>
      <c r="W100" s="2" t="n"/>
      <c r="X100" s="2" t="inlineStr">
        <is>
          <t>sí</t>
        </is>
      </c>
      <c r="Y100" s="2" t="n"/>
      <c r="Z100" s="2" t="inlineStr">
        <is>
          <t>no</t>
        </is>
      </c>
      <c r="AA100" s="2" t="n"/>
      <c r="AB100" s="2" t="n"/>
      <c r="AC100" s="2" t="n"/>
      <c r="AD100" s="2" t="n"/>
      <c r="AE100" s="2" t="n"/>
      <c r="AF100" s="2" t="n"/>
      <c r="AG100" s="2" t="n"/>
      <c r="AH100" s="2" t="n">
        <v>4150</v>
      </c>
      <c r="AI100" s="2" t="n"/>
      <c r="AJ100" s="2" t="n"/>
      <c r="AK100" s="2" t="n"/>
      <c r="AL100" s="2" t="n"/>
      <c r="AM100" s="2" t="n">
        <v>0.1</v>
      </c>
      <c r="AN100" s="2" t="n">
        <v>4900</v>
      </c>
      <c r="AO100" s="2" t="n">
        <v>8</v>
      </c>
      <c r="AP100" s="2" t="inlineStr">
        <is>
          <t>modelo+año+km</t>
        </is>
      </c>
      <c r="AQ100" s="2" t="n"/>
      <c r="AR100" s="2" t="inlineStr">
        <is>
          <t>cuota fija ITP: &gt;12 años, hasta 1.500 cc</t>
        </is>
      </c>
      <c r="AS100" s="2" t="inlineStr">
        <is>
          <t>RECIEN CAMBIADO LA CORREA DE DISTRIBUCIÓN, LA BATERÍA Y LAS RUEDAS. PASADO LA ITV EN AGOSTO DE 2026. PERO TIENE UN GOLPE EN LA PUERTA DEL PILOTO POR ESO SU PRECIO ES UN POCO MÁS BAJO
Vehículo en buen estado general,y listo para ponerse en marcha, recien pasada ITV. Te presento mi Volkswagen Polo 1.2 TDI 75cv Advance, un berlina versátil y confiable que combina eficiencia, practicidad y un excelente rendimiento en carretera.
Este Polo destaca por su motor diésel de 75 CV, perfecto para quienes buscan un consumo controlado sin sacrificar potencia. La tracción manual te proporciona una conducción directa y responsiva, ideal tanto para ciudad como para desplazamientos más largos. Su carrocería blanca se mantiene en perfecto estado, sin daños visibles, con una pintura bien conservada que refleja el cuidado que ha recibido.
El interior es limpio y funcional, con espacio suficiente para cinco pasajeros. Los detalles cromados están en buen estado, y tanto los neumáticos como los cristales se encuentran en condiciones óptimas, lo que te permite utilizarlo sin preocupaciones desde el primer día.
Lo que hace especialmente atractivo este vehículo es su relación entre eficiencia y practicidad. El motor diésel garantiza un consumo moderado en todo tipo de condiciones, mientras que las cinco puertas facilitan el acceso y la versatilidad en el día a día. Es un coche que funciona, que no te dará sorpresas y que mantiene el valor típico de la marca Volkswagen.
Si tienes cualquier duda sob</t>
        </is>
      </c>
      <c r="AT100" s="2" t="inlineStr">
        <is>
          <t>https://www.coches.net/volkswagen-polo-12-tdi-75cv-advance-5p-diesel-2010-en-valencia-71264538-covo.aspx (window.__INITIAL_PROPS__.ad) /home/user/Alopecia/buscador-coches/raw/cochesnet/c107b7496f9b897d.json</t>
        </is>
      </c>
      <c r="AU100" s="3">
        <f>MAX(ANIO_ACTUAL-M100,0)</f>
        <v/>
      </c>
      <c r="AV100" s="4">
        <f>N100/MAX(AU100,0.5)</f>
        <v/>
      </c>
      <c r="AW100" s="4">
        <f>F100</f>
        <v/>
      </c>
      <c r="AX100" s="3">
        <f>AW100&amp;"|"&amp;INT(M100/SEG_ANIO)*SEG_ANIO</f>
        <v/>
      </c>
      <c r="AY100" s="3">
        <f>AX100&amp;"|"&amp;INT(N100/SEG_KM)*SEG_KM</f>
        <v/>
      </c>
      <c r="AZ100" s="4">
        <f>COUNTIF($AW$2:$AW$662,AW100)</f>
        <v/>
      </c>
      <c r="BA100" s="4">
        <f>COUNTIF($AX$2:$AX$662,AX100)</f>
        <v/>
      </c>
      <c r="BB100" s="4">
        <f>COUNTIF($AY$2:$AY$662,AY100)</f>
        <v/>
      </c>
      <c r="BC100" s="3">
        <f t="array" ref="BC100">IF(N(AO100)&gt;=MIN_N,AN100,IF(BB100&gt;=MIN_N,MEDIAN(IF($AY$2:$AY$662=AY100,$O$2:$O$662)),IF(BA100&gt;=MIN_N,MEDIAN(IF($AX$2:$AX$662=AX100,$O$2:$O$662)),MEDIAN(IF($AW$2:$AW$662=AW100,$O$2:$O$662)))))</f>
        <v/>
      </c>
      <c r="BD100" s="3">
        <f>IF(N(AO100)&gt;=MIN_N,"mercado "&amp;AP100,IF(BB100&gt;=MIN_N,"modelo+año+km",IF(BA100&gt;=MIN_N,"modelo+año","modelo")))</f>
        <v/>
      </c>
      <c r="BE100" s="4">
        <f>(BC100-O100)/BC100</f>
        <v/>
      </c>
      <c r="BF100" s="3">
        <f>IF(OR(K100="hibrido",K100="glp"),"ECO",IF(K100="electrico","CERO",IF(K100="gasolina",IF(M100&gt;=GAS_C,"C",IF(M100&gt;=GAS_B,"B","A")),IF(K100="diesel",IF(M100&gt;=DIE_C,"C",IF(M100&gt;=DIE_B,"B","A")),""))))</f>
        <v/>
      </c>
      <c r="BG100" s="3">
        <f>IFERROR(VLOOKUP(F100,MOD_TBL,11,0),IFERROR(VLOOKUP(E100,OCU_TBL,2,0),NEUTRO))</f>
        <v/>
      </c>
      <c r="BH100" s="3">
        <f>SUMIFS(MOT_AJUSTE,MOT_MOTOR,G100,MOT_MARCA,E100,MOT_DESDE,"&lt;="&amp;M100,MOT_HASTA,"&gt;="&amp;M100)+SUMIFS(MOT_AJUSTE,MOT_MOTOR,G100,MOT_MARCA,"(todas)",MOT_DESDE,"&lt;="&amp;M100,MOT_HASTA,"&gt;="&amp;M100)</f>
        <v/>
      </c>
      <c r="BI100" s="3">
        <f>SUMIFS(COMB_AJUSTE,COMB_COMB,K100)</f>
        <v/>
      </c>
      <c r="BJ100" s="3">
        <f>COUNTIFS(MOT_MOTOR,G100,MOT_MARCA,E100,MOT_DESDE,"&lt;="&amp;M100,MOT_HASTA,"&gt;="&amp;M100)+COUNTIFS(MOT_MOTOR,G100,MOT_MARCA,"(todas)",MOT_DESDE,"&lt;="&amp;M100,MOT_HASTA,"&gt;="&amp;M100)</f>
        <v/>
      </c>
      <c r="BK100" s="3">
        <f>IF(AND(K100="diesel",BJ100=0),MIN(BG100,NEUTRO),BG100)</f>
        <v/>
      </c>
      <c r="BL100" s="4">
        <f>MAX(0,MIN(100,BK100+BH100+BI100))</f>
        <v/>
      </c>
      <c r="BM100" s="3">
        <f>MAX(0,MIN(100,50+BE100*PRECIO_PEND))</f>
        <v/>
      </c>
      <c r="BN100" s="3">
        <f>MAX(0,100*(1-N100/KM_MAX))</f>
        <v/>
      </c>
      <c r="BO100" s="3">
        <f>IF(AV100&lt;KMA_SOSP,IF(AA100="sí",100,KMA_PEN),IF(AV100&lt;=KMA_IDEAL_MAX,100,MAX(0,100*(KMA_CERO-AV100)/(KMA_CERO-KMA_IDEAL_MAX))))</f>
        <v/>
      </c>
      <c r="BP100" s="3">
        <f>MAX(0,MIN(100,100*(M100-ANIO_MIN)/(ANIO_ACTUAL-ANIO_MIN)))</f>
        <v/>
      </c>
      <c r="BQ100" s="3">
        <f>W_KMT*BN100+W_KMA*BO100+W_EDAD*BP100</f>
        <v/>
      </c>
      <c r="BR100" s="3">
        <f>P_ITV*(V100="sí")+P_LIBRO*(W100="sí")+P_CORREA*(X100="sí")+P_PROP*(Y100=1)+P_GAR*(Z100="sí")+P_FOTOS*MIN(1,N(U100)/FOTOS_OBJ)</f>
        <v/>
      </c>
      <c r="BS100" s="3">
        <f>IFERROR(VLOOKUP(BF100,ETQ_TBL,2,0),NEUTRO)</f>
        <v/>
      </c>
      <c r="BT100" s="3">
        <f>NEUTRO</f>
        <v/>
      </c>
      <c r="BU100" s="3">
        <f>IFERROR(VLOOKUP(L100,SEGURO_TBL,3,0),"")</f>
        <v/>
      </c>
      <c r="BV100" s="3">
        <f>IF(BU100="",NEUTRO,MAX(0,MIN(100,100*(SEG_REF_MAX-BU100)/(SEG_REF_MAX-SEG_REF_MIN))))</f>
        <v/>
      </c>
      <c r="BW100" s="3">
        <f>W_ET*BS100+W_CONS*BT100+W_SEG*BV100</f>
        <v/>
      </c>
      <c r="BX100" s="3">
        <f>IF(N(AB100)&gt;0,AB100,IF(AND(R100="profesional",SG_LEGAL_ON=1),GAR_LEGAL,0))</f>
        <v/>
      </c>
      <c r="BY100" s="3">
        <f>SG_GAR*MIN(1,BX100/SG_GAR_FULL)+SG_AMPL*(AC100="sí")+SG_KMC*(AF100="sí")+SG_REV*(N(AE100)&gt;0)+SG_DEV*MIN(1,N(AG100)/SG_DEV_FULL)+SG_HIST*(W100="sí")</f>
        <v/>
      </c>
      <c r="BZ100" s="3">
        <f>IFERROR(VLOOKUP(L100,CARR_PEN_TBL,2,0),0)</f>
        <v/>
      </c>
      <c r="CA100" s="3">
        <f>W_FIAB*BL100+W_PRECIO*BM100+W_KMEDAD*BQ100+W_ANUNCIO*BR100+W_USO*BW100+W_SEGURIDAD*BY100-BZ100</f>
        <v/>
      </c>
      <c r="CB100" s="4">
        <f>IF(N(I100)&gt;0,I100,IFERROR(ROUND(_xlfn.NUMBERVALUE(LEFT(G100,FIND(" ",G100&amp;" ")-1),".")*1000,0),99999))</f>
        <v/>
      </c>
      <c r="CC100" s="3">
        <f>IF(R100="profesional",0,IF(O100&lt;CUOTA_VALOR_MAX,IF(AU100&gt;ITP_TRAMO_ALTO,SUMIFS(CF_CUOTA,CF_MAS,ITP_TRAMO_ALTO,CF_CCMIN,"&lt;="&amp;CB100,CF_CCMAX,"&gt;="&amp;CB100),IF(AU100&gt;ITP_TRAMO_BAJO,SUMIFS(CF_CUOTA,CF_MAS,ITP_TRAMO_BAJO,CF_CCMIN,"&lt;="&amp;CB100,CF_CCMAX,"&gt;="&amp;CB100),O100*ITP_TIPO)),O100*ITP_TIPO))</f>
        <v/>
      </c>
      <c r="CD100" s="4">
        <f>IF(R100="profesional",N(AK100),0)</f>
        <v/>
      </c>
      <c r="CE100" s="3">
        <f>IF(AND(R100="profesional",ISNUMBER(AK100),AL100="sí"),0,TASA_DGT)</f>
        <v/>
      </c>
      <c r="CF100" s="3">
        <f>INFORME_DGT</f>
        <v/>
      </c>
      <c r="CG100" s="4">
        <f>O100+CD100+CC100+CE100+CF100</f>
        <v/>
      </c>
      <c r="CH100" s="4">
        <f>CG100+N(BU100)</f>
        <v/>
      </c>
      <c r="CI100" s="3">
        <f>IF(CG100&lt;=TOTAL_MAX,"sí",IF(CG100&lt;=TOTAL_MAX+MARGEN_NEG,"negociar","no"))</f>
        <v/>
      </c>
      <c r="CJ100" s="4">
        <f>IF(CI100&lt;&gt;"no",COUNTIFS($CI$2:$CI$662,"&lt;&gt;no",$CA$2:$CA$662,"&gt;"&amp;CA100)+COUNTIFS($CI$2:CI100,"&lt;&gt;no",$CA$2:CA100,CA100),"")</f>
        <v/>
      </c>
    </row>
    <row r="101">
      <c r="A101" s="2" t="inlineStr">
        <is>
          <t>cochesnet:70216779</t>
        </is>
      </c>
      <c r="B101" s="2" t="inlineStr">
        <is>
          <t>cochesnet</t>
        </is>
      </c>
      <c r="C101" s="2" t="inlineStr">
        <is>
          <t>https://www.coches.net/opel-corsa-13-ecoflex-75-cv-essentia-5p-diesel-2012-en-valencia-70216779-covo.aspx</t>
        </is>
      </c>
      <c r="D101" s="2" t="inlineStr">
        <is>
          <t>OPEL Corsa 1.3 ecoFLEX 75 CV Essentia</t>
        </is>
      </c>
      <c r="E101" s="2" t="inlineStr">
        <is>
          <t>Opel</t>
        </is>
      </c>
      <c r="F101" s="2" t="inlineStr">
        <is>
          <t>Opel Corsa</t>
        </is>
      </c>
      <c r="G101" s="2" t="inlineStr">
        <is>
          <t>1.3</t>
        </is>
      </c>
      <c r="H101" s="2" t="inlineStr">
        <is>
          <t>1.3 ecoFLEX 75 CV Essentia</t>
        </is>
      </c>
      <c r="I101" s="2" t="n"/>
      <c r="J101" s="2" t="n">
        <v>75</v>
      </c>
      <c r="K101" s="2" t="inlineStr">
        <is>
          <t>diesel</t>
        </is>
      </c>
      <c r="L101" s="2" t="inlineStr">
        <is>
          <t>utilitario</t>
        </is>
      </c>
      <c r="M101" s="2" t="n">
        <v>2011</v>
      </c>
      <c r="N101" s="2" t="n">
        <v>193600</v>
      </c>
      <c r="O101" s="2" t="n">
        <v>4300</v>
      </c>
      <c r="P101" s="2" t="inlineStr">
        <is>
          <t>manual</t>
        </is>
      </c>
      <c r="Q101" s="2" t="inlineStr">
        <is>
          <t>no</t>
        </is>
      </c>
      <c r="R101" s="2" t="inlineStr">
        <is>
          <t>profesional</t>
        </is>
      </c>
      <c r="S101" s="2" t="inlineStr">
        <is>
          <t>Motor Valencia Alaquàs</t>
        </is>
      </c>
      <c r="T101" s="2" t="inlineStr">
        <is>
          <t>2026-09-11T18:55:45Z</t>
        </is>
      </c>
      <c r="U101" s="2" t="n">
        <v>16</v>
      </c>
      <c r="V101" s="2" t="inlineStr">
        <is>
          <t>sí</t>
        </is>
      </c>
      <c r="W101" s="2" t="n"/>
      <c r="X101" s="2" t="n"/>
      <c r="Y101" s="2" t="n"/>
      <c r="Z101" s="2" t="inlineStr">
        <is>
          <t>sí</t>
        </is>
      </c>
      <c r="AA101" s="2" t="n"/>
      <c r="AB101" s="2" t="n">
        <v>12</v>
      </c>
      <c r="AC101" s="2" t="n"/>
      <c r="AD101" s="2" t="n"/>
      <c r="AE101" s="2" t="n"/>
      <c r="AF101" s="2" t="n"/>
      <c r="AG101" s="2" t="n"/>
      <c r="AH101" s="2" t="n">
        <v>4300</v>
      </c>
      <c r="AI101" s="2" t="n">
        <v>4300</v>
      </c>
      <c r="AJ101" s="2" t="n"/>
      <c r="AK101" s="2" t="n"/>
      <c r="AL101" s="2" t="n"/>
      <c r="AM101" s="2" t="n">
        <v>7.4</v>
      </c>
      <c r="AN101" s="2" t="n">
        <v>3500</v>
      </c>
      <c r="AO101" s="2" t="n">
        <v>7</v>
      </c>
      <c r="AP101" s="2" t="inlineStr">
        <is>
          <t>modelo+año+km</t>
        </is>
      </c>
      <c r="AQ101" s="2" t="n"/>
      <c r="AR101" s="2" t="inlineStr">
        <is>
          <t>vendedor profesional: sin ITP (operación con IVA/REBU, confirmar en factura); gastos de gestión del vendedor no indicados: se suma la tasa DGT; preguntar el precio final; diésel: motor sin fuente de fiabilidad (fiabilidad limitada a neutra)</t>
        </is>
      </c>
      <c r="AS101" s="2" t="inlineStr">
        <is>
          <t>MOTOR MUY DURADERO Y MINIMO CONSUMO, SE ENTREGA CON MANTENIMIENTO COMPLETO Y KIT CADENA DISTRIBUCION REALIZADO, ITV RECIEN PASADA, CON GARANTIA, LIMPIO Y DESINFECTADO DE TAPICERIA, SE ACEPTA PRUEBAS VEHICULO DONDE DESIGNE COMPRADOR, VISITE STOCK VEHICULOS DISPONIBLES EN NUESTRA PAGINA WEB</t>
        </is>
      </c>
      <c r="AT101" s="2" t="inlineStr">
        <is>
          <t>https://www.coches.net/opel-corsa-13-ecoflex-75-cv-essentia-5p-diesel-2012-en-valencia-70216779-covo.aspx (window.__INITIAL_PROPS__.ad) /home/user/Alopecia/buscador-coches/raw/cochesnet/ee37a0c149e995e6.json</t>
        </is>
      </c>
      <c r="AU101" s="3">
        <f>MAX(ANIO_ACTUAL-M101,0)</f>
        <v/>
      </c>
      <c r="AV101" s="4">
        <f>N101/MAX(AU101,0.5)</f>
        <v/>
      </c>
      <c r="AW101" s="4">
        <f>F101</f>
        <v/>
      </c>
      <c r="AX101" s="3">
        <f>AW101&amp;"|"&amp;INT(M101/SEG_ANIO)*SEG_ANIO</f>
        <v/>
      </c>
      <c r="AY101" s="3">
        <f>AX101&amp;"|"&amp;INT(N101/SEG_KM)*SEG_KM</f>
        <v/>
      </c>
      <c r="AZ101" s="4">
        <f>COUNTIF($AW$2:$AW$662,AW101)</f>
        <v/>
      </c>
      <c r="BA101" s="4">
        <f>COUNTIF($AX$2:$AX$662,AX101)</f>
        <v/>
      </c>
      <c r="BB101" s="4">
        <f>COUNTIF($AY$2:$AY$662,AY101)</f>
        <v/>
      </c>
      <c r="BC101" s="3">
        <f t="array" ref="BC101">IF(N(AO101)&gt;=MIN_N,AN101,IF(BB101&gt;=MIN_N,MEDIAN(IF($AY$2:$AY$662=AY101,$O$2:$O$662)),IF(BA101&gt;=MIN_N,MEDIAN(IF($AX$2:$AX$662=AX101,$O$2:$O$662)),MEDIAN(IF($AW$2:$AW$662=AW101,$O$2:$O$662)))))</f>
        <v/>
      </c>
      <c r="BD101" s="3">
        <f>IF(N(AO101)&gt;=MIN_N,"mercado "&amp;AP101,IF(BB101&gt;=MIN_N,"modelo+año+km",IF(BA101&gt;=MIN_N,"modelo+año","modelo")))</f>
        <v/>
      </c>
      <c r="BE101" s="4">
        <f>(BC101-O101)/BC101</f>
        <v/>
      </c>
      <c r="BF101" s="3">
        <f>IF(OR(K101="hibrido",K101="glp"),"ECO",IF(K101="electrico","CERO",IF(K101="gasolina",IF(M101&gt;=GAS_C,"C",IF(M101&gt;=GAS_B,"B","A")),IF(K101="diesel",IF(M101&gt;=DIE_C,"C",IF(M101&gt;=DIE_B,"B","A")),""))))</f>
        <v/>
      </c>
      <c r="BG101" s="3">
        <f>IFERROR(VLOOKUP(F101,MOD_TBL,11,0),IFERROR(VLOOKUP(E101,OCU_TBL,2,0),NEUTRO))</f>
        <v/>
      </c>
      <c r="BH101" s="3">
        <f>SUMIFS(MOT_AJUSTE,MOT_MOTOR,G101,MOT_MARCA,E101,MOT_DESDE,"&lt;="&amp;M101,MOT_HASTA,"&gt;="&amp;M101)+SUMIFS(MOT_AJUSTE,MOT_MOTOR,G101,MOT_MARCA,"(todas)",MOT_DESDE,"&lt;="&amp;M101,MOT_HASTA,"&gt;="&amp;M101)</f>
        <v/>
      </c>
      <c r="BI101" s="3">
        <f>SUMIFS(COMB_AJUSTE,COMB_COMB,K101)</f>
        <v/>
      </c>
      <c r="BJ101" s="3">
        <f>COUNTIFS(MOT_MOTOR,G101,MOT_MARCA,E101,MOT_DESDE,"&lt;="&amp;M101,MOT_HASTA,"&gt;="&amp;M101)+COUNTIFS(MOT_MOTOR,G101,MOT_MARCA,"(todas)",MOT_DESDE,"&lt;="&amp;M101,MOT_HASTA,"&gt;="&amp;M101)</f>
        <v/>
      </c>
      <c r="BK101" s="3">
        <f>IF(AND(K101="diesel",BJ101=0),MIN(BG101,NEUTRO),BG101)</f>
        <v/>
      </c>
      <c r="BL101" s="4">
        <f>MAX(0,MIN(100,BK101+BH101+BI101))</f>
        <v/>
      </c>
      <c r="BM101" s="3">
        <f>MAX(0,MIN(100,50+BE101*PRECIO_PEND))</f>
        <v/>
      </c>
      <c r="BN101" s="3">
        <f>MAX(0,100*(1-N101/KM_MAX))</f>
        <v/>
      </c>
      <c r="BO101" s="3">
        <f>IF(AV101&lt;KMA_SOSP,IF(AA101="sí",100,KMA_PEN),IF(AV101&lt;=KMA_IDEAL_MAX,100,MAX(0,100*(KMA_CERO-AV101)/(KMA_CERO-KMA_IDEAL_MAX))))</f>
        <v/>
      </c>
      <c r="BP101" s="3">
        <f>MAX(0,MIN(100,100*(M101-ANIO_MIN)/(ANIO_ACTUAL-ANIO_MIN)))</f>
        <v/>
      </c>
      <c r="BQ101" s="3">
        <f>W_KMT*BN101+W_KMA*BO101+W_EDAD*BP101</f>
        <v/>
      </c>
      <c r="BR101" s="3">
        <f>P_ITV*(V101="sí")+P_LIBRO*(W101="sí")+P_CORREA*(X101="sí")+P_PROP*(Y101=1)+P_GAR*(Z101="sí")+P_FOTOS*MIN(1,N(U101)/FOTOS_OBJ)</f>
        <v/>
      </c>
      <c r="BS101" s="3">
        <f>IFERROR(VLOOKUP(BF101,ETQ_TBL,2,0),NEUTRO)</f>
        <v/>
      </c>
      <c r="BT101" s="3">
        <f>NEUTRO</f>
        <v/>
      </c>
      <c r="BU101" s="3">
        <f>IFERROR(VLOOKUP(L101,SEGURO_TBL,3,0),"")</f>
        <v/>
      </c>
      <c r="BV101" s="3">
        <f>IF(BU101="",NEUTRO,MAX(0,MIN(100,100*(SEG_REF_MAX-BU101)/(SEG_REF_MAX-SEG_REF_MIN))))</f>
        <v/>
      </c>
      <c r="BW101" s="3">
        <f>W_ET*BS101+W_CONS*BT101+W_SEG*BV101</f>
        <v/>
      </c>
      <c r="BX101" s="3">
        <f>IF(N(AB101)&gt;0,AB101,IF(AND(R101="profesional",SG_LEGAL_ON=1),GAR_LEGAL,0))</f>
        <v/>
      </c>
      <c r="BY101" s="3">
        <f>SG_GAR*MIN(1,BX101/SG_GAR_FULL)+SG_AMPL*(AC101="sí")+SG_KMC*(AF101="sí")+SG_REV*(N(AE101)&gt;0)+SG_DEV*MIN(1,N(AG101)/SG_DEV_FULL)+SG_HIST*(W101="sí")</f>
        <v/>
      </c>
      <c r="BZ101" s="3">
        <f>IFERROR(VLOOKUP(L101,CARR_PEN_TBL,2,0),0)</f>
        <v/>
      </c>
      <c r="CA101" s="3">
        <f>W_FIAB*BL101+W_PRECIO*BM101+W_KMEDAD*BQ101+W_ANUNCIO*BR101+W_USO*BW101+W_SEGURIDAD*BY101-BZ101</f>
        <v/>
      </c>
      <c r="CB101" s="4">
        <f>IF(N(I101)&gt;0,I101,IFERROR(ROUND(_xlfn.NUMBERVALUE(LEFT(G101,FIND(" ",G101&amp;" ")-1),".")*1000,0),99999))</f>
        <v/>
      </c>
      <c r="CC101" s="3">
        <f>IF(R101="profesional",0,IF(O101&lt;CUOTA_VALOR_MAX,IF(AU101&gt;ITP_TRAMO_ALTO,SUMIFS(CF_CUOTA,CF_MAS,ITP_TRAMO_ALTO,CF_CCMIN,"&lt;="&amp;CB101,CF_CCMAX,"&gt;="&amp;CB101),IF(AU101&gt;ITP_TRAMO_BAJO,SUMIFS(CF_CUOTA,CF_MAS,ITP_TRAMO_BAJO,CF_CCMIN,"&lt;="&amp;CB101,CF_CCMAX,"&gt;="&amp;CB101),O101*ITP_TIPO)),O101*ITP_TIPO))</f>
        <v/>
      </c>
      <c r="CD101" s="4">
        <f>IF(R101="profesional",N(AK101),0)</f>
        <v/>
      </c>
      <c r="CE101" s="3">
        <f>IF(AND(R101="profesional",ISNUMBER(AK101),AL101="sí"),0,TASA_DGT)</f>
        <v/>
      </c>
      <c r="CF101" s="3">
        <f>INFORME_DGT</f>
        <v/>
      </c>
      <c r="CG101" s="4">
        <f>O101+CD101+CC101+CE101+CF101</f>
        <v/>
      </c>
      <c r="CH101" s="4">
        <f>CG101+N(BU101)</f>
        <v/>
      </c>
      <c r="CI101" s="3">
        <f>IF(CG101&lt;=TOTAL_MAX,"sí",IF(CG101&lt;=TOTAL_MAX+MARGEN_NEG,"negociar","no"))</f>
        <v/>
      </c>
      <c r="CJ101" s="4">
        <f>IF(CI101&lt;&gt;"no",COUNTIFS($CI$2:$CI$662,"&lt;&gt;no",$CA$2:$CA$662,"&gt;"&amp;CA101)+COUNTIFS($CI$2:CI101,"&lt;&gt;no",$CA$2:CA101,CA101),"")</f>
        <v/>
      </c>
    </row>
    <row r="102">
      <c r="A102" s="2" t="inlineStr">
        <is>
          <t>cochesnet:71818405</t>
        </is>
      </c>
      <c r="B102" s="2" t="inlineStr">
        <is>
          <t>cochesnet</t>
        </is>
      </c>
      <c r="C102" s="2" t="inlineStr">
        <is>
          <t>https://www.coches.net/opel-corsa-cosmo-14-5p-gasolina-2010-en-valencia-71818405-covo.aspx</t>
        </is>
      </c>
      <c r="D102" s="2" t="inlineStr">
        <is>
          <t>OPEL Corsa Cosmo 1.4</t>
        </is>
      </c>
      <c r="E102" s="2" t="inlineStr">
        <is>
          <t>Opel</t>
        </is>
      </c>
      <c r="F102" s="2" t="inlineStr">
        <is>
          <t>Opel Corsa</t>
        </is>
      </c>
      <c r="G102" s="2" t="inlineStr">
        <is>
          <t>1.4</t>
        </is>
      </c>
      <c r="H102" s="2" t="inlineStr">
        <is>
          <t>Cosmo 1.4</t>
        </is>
      </c>
      <c r="I102" s="2" t="n"/>
      <c r="J102" s="2" t="n"/>
      <c r="K102" s="2" t="inlineStr">
        <is>
          <t>gasolina</t>
        </is>
      </c>
      <c r="L102" s="2" t="inlineStr">
        <is>
          <t>utilitario</t>
        </is>
      </c>
      <c r="M102" s="2" t="n">
        <v>2010</v>
      </c>
      <c r="N102" s="2" t="n">
        <v>118857</v>
      </c>
      <c r="O102" s="2" t="n">
        <v>3700</v>
      </c>
      <c r="P102" s="2" t="inlineStr">
        <is>
          <t>manual</t>
        </is>
      </c>
      <c r="Q102" s="2" t="inlineStr">
        <is>
          <t>no</t>
        </is>
      </c>
      <c r="R102" s="2" t="inlineStr">
        <is>
          <t>particular</t>
        </is>
      </c>
      <c r="S102" s="2" t="inlineStr">
        <is>
          <t>Valencia</t>
        </is>
      </c>
      <c r="T102" s="2" t="inlineStr">
        <is>
          <t>2026-10-23T16:57:52Z</t>
        </is>
      </c>
      <c r="U102" s="2" t="n">
        <v>12</v>
      </c>
      <c r="V102" s="2" t="inlineStr">
        <is>
          <t>sí</t>
        </is>
      </c>
      <c r="W102" s="2" t="n"/>
      <c r="X102" s="2" t="n"/>
      <c r="Y102" s="2" t="n"/>
      <c r="Z102" s="2" t="inlineStr">
        <is>
          <t>no</t>
        </is>
      </c>
      <c r="AA102" s="2" t="n"/>
      <c r="AB102" s="2" t="n"/>
      <c r="AC102" s="2" t="n"/>
      <c r="AD102" s="2" t="n"/>
      <c r="AE102" s="2" t="n"/>
      <c r="AF102" s="2" t="n"/>
      <c r="AG102" s="2" t="n"/>
      <c r="AH102" s="2" t="n">
        <v>3700</v>
      </c>
      <c r="AI102" s="2" t="n"/>
      <c r="AJ102" s="2" t="n"/>
      <c r="AK102" s="2" t="n"/>
      <c r="AL102" s="2" t="n"/>
      <c r="AM102" s="2" t="n">
        <v>0.1</v>
      </c>
      <c r="AN102" s="2" t="n">
        <v>4625</v>
      </c>
      <c r="AO102" s="2" t="n">
        <v>8</v>
      </c>
      <c r="AP102" s="2" t="inlineStr">
        <is>
          <t>modelo+año+km</t>
        </is>
      </c>
      <c r="AQ102" s="2" t="n"/>
      <c r="AR102" s="2" t="inlineStr">
        <is>
          <t>cuota fija ITP: &gt;12 años, hasta 1.500 cc</t>
        </is>
      </c>
      <c r="AS102" s="2" t="inlineStr">
        <is>
          <t>Lleva incorporado el parrot, perfecto para llamar por teléfonos.
ITV pasada, bloqueo de volante y etiqueta C.</t>
        </is>
      </c>
      <c r="AT102" s="2" t="inlineStr">
        <is>
          <t>https://www.coches.net/opel-corsa-cosmo-14-5p-gasolina-2010-en-valencia-71818405-covo.aspx (window.__INITIAL_PROPS__.ad) /home/user/Alopecia/buscador-coches/raw/cochesnet/7bc0a8d4e9ae401c.json</t>
        </is>
      </c>
      <c r="AU102" s="3">
        <f>MAX(ANIO_ACTUAL-M102,0)</f>
        <v/>
      </c>
      <c r="AV102" s="4">
        <f>N102/MAX(AU102,0.5)</f>
        <v/>
      </c>
      <c r="AW102" s="4">
        <f>F102</f>
        <v/>
      </c>
      <c r="AX102" s="3">
        <f>AW102&amp;"|"&amp;INT(M102/SEG_ANIO)*SEG_ANIO</f>
        <v/>
      </c>
      <c r="AY102" s="3">
        <f>AX102&amp;"|"&amp;INT(N102/SEG_KM)*SEG_KM</f>
        <v/>
      </c>
      <c r="AZ102" s="4">
        <f>COUNTIF($AW$2:$AW$662,AW102)</f>
        <v/>
      </c>
      <c r="BA102" s="4">
        <f>COUNTIF($AX$2:$AX$662,AX102)</f>
        <v/>
      </c>
      <c r="BB102" s="4">
        <f>COUNTIF($AY$2:$AY$662,AY102)</f>
        <v/>
      </c>
      <c r="BC102" s="3">
        <f t="array" ref="BC102">IF(N(AO102)&gt;=MIN_N,AN102,IF(BB102&gt;=MIN_N,MEDIAN(IF($AY$2:$AY$662=AY102,$O$2:$O$662)),IF(BA102&gt;=MIN_N,MEDIAN(IF($AX$2:$AX$662=AX102,$O$2:$O$662)),MEDIAN(IF($AW$2:$AW$662=AW102,$O$2:$O$662)))))</f>
        <v/>
      </c>
      <c r="BD102" s="3">
        <f>IF(N(AO102)&gt;=MIN_N,"mercado "&amp;AP102,IF(BB102&gt;=MIN_N,"modelo+año+km",IF(BA102&gt;=MIN_N,"modelo+año","modelo")))</f>
        <v/>
      </c>
      <c r="BE102" s="4">
        <f>(BC102-O102)/BC102</f>
        <v/>
      </c>
      <c r="BF102" s="3">
        <f>IF(OR(K102="hibrido",K102="glp"),"ECO",IF(K102="electrico","CERO",IF(K102="gasolina",IF(M102&gt;=GAS_C,"C",IF(M102&gt;=GAS_B,"B","A")),IF(K102="diesel",IF(M102&gt;=DIE_C,"C",IF(M102&gt;=DIE_B,"B","A")),""))))</f>
        <v/>
      </c>
      <c r="BG102" s="3">
        <f>IFERROR(VLOOKUP(F102,MOD_TBL,11,0),IFERROR(VLOOKUP(E102,OCU_TBL,2,0),NEUTRO))</f>
        <v/>
      </c>
      <c r="BH102" s="3">
        <f>SUMIFS(MOT_AJUSTE,MOT_MOTOR,G102,MOT_MARCA,E102,MOT_DESDE,"&lt;="&amp;M102,MOT_HASTA,"&gt;="&amp;M102)+SUMIFS(MOT_AJUSTE,MOT_MOTOR,G102,MOT_MARCA,"(todas)",MOT_DESDE,"&lt;="&amp;M102,MOT_HASTA,"&gt;="&amp;M102)</f>
        <v/>
      </c>
      <c r="BI102" s="3">
        <f>SUMIFS(COMB_AJUSTE,COMB_COMB,K102)</f>
        <v/>
      </c>
      <c r="BJ102" s="3">
        <f>COUNTIFS(MOT_MOTOR,G102,MOT_MARCA,E102,MOT_DESDE,"&lt;="&amp;M102,MOT_HASTA,"&gt;="&amp;M102)+COUNTIFS(MOT_MOTOR,G102,MOT_MARCA,"(todas)",MOT_DESDE,"&lt;="&amp;M102,MOT_HASTA,"&gt;="&amp;M102)</f>
        <v/>
      </c>
      <c r="BK102" s="3">
        <f>IF(AND(K102="diesel",BJ102=0),MIN(BG102,NEUTRO),BG102)</f>
        <v/>
      </c>
      <c r="BL102" s="4">
        <f>MAX(0,MIN(100,BK102+BH102+BI102))</f>
        <v/>
      </c>
      <c r="BM102" s="3">
        <f>MAX(0,MIN(100,50+BE102*PRECIO_PEND))</f>
        <v/>
      </c>
      <c r="BN102" s="3">
        <f>MAX(0,100*(1-N102/KM_MAX))</f>
        <v/>
      </c>
      <c r="BO102" s="3">
        <f>IF(AV102&lt;KMA_SOSP,IF(AA102="sí",100,KMA_PEN),IF(AV102&lt;=KMA_IDEAL_MAX,100,MAX(0,100*(KMA_CERO-AV102)/(KMA_CERO-KMA_IDEAL_MAX))))</f>
        <v/>
      </c>
      <c r="BP102" s="3">
        <f>MAX(0,MIN(100,100*(M102-ANIO_MIN)/(ANIO_ACTUAL-ANIO_MIN)))</f>
        <v/>
      </c>
      <c r="BQ102" s="3">
        <f>W_KMT*BN102+W_KMA*BO102+W_EDAD*BP102</f>
        <v/>
      </c>
      <c r="BR102" s="3">
        <f>P_ITV*(V102="sí")+P_LIBRO*(W102="sí")+P_CORREA*(X102="sí")+P_PROP*(Y102=1)+P_GAR*(Z102="sí")+P_FOTOS*MIN(1,N(U102)/FOTOS_OBJ)</f>
        <v/>
      </c>
      <c r="BS102" s="3">
        <f>IFERROR(VLOOKUP(BF102,ETQ_TBL,2,0),NEUTRO)</f>
        <v/>
      </c>
      <c r="BT102" s="3">
        <f>NEUTRO</f>
        <v/>
      </c>
      <c r="BU102" s="3">
        <f>IFERROR(VLOOKUP(L102,SEGURO_TBL,3,0),"")</f>
        <v/>
      </c>
      <c r="BV102" s="3">
        <f>IF(BU102="",NEUTRO,MAX(0,MIN(100,100*(SEG_REF_MAX-BU102)/(SEG_REF_MAX-SEG_REF_MIN))))</f>
        <v/>
      </c>
      <c r="BW102" s="3">
        <f>W_ET*BS102+W_CONS*BT102+W_SEG*BV102</f>
        <v/>
      </c>
      <c r="BX102" s="3">
        <f>IF(N(AB102)&gt;0,AB102,IF(AND(R102="profesional",SG_LEGAL_ON=1),GAR_LEGAL,0))</f>
        <v/>
      </c>
      <c r="BY102" s="3">
        <f>SG_GAR*MIN(1,BX102/SG_GAR_FULL)+SG_AMPL*(AC102="sí")+SG_KMC*(AF102="sí")+SG_REV*(N(AE102)&gt;0)+SG_DEV*MIN(1,N(AG102)/SG_DEV_FULL)+SG_HIST*(W102="sí")</f>
        <v/>
      </c>
      <c r="BZ102" s="3">
        <f>IFERROR(VLOOKUP(L102,CARR_PEN_TBL,2,0),0)</f>
        <v/>
      </c>
      <c r="CA102" s="3">
        <f>W_FIAB*BL102+W_PRECIO*BM102+W_KMEDAD*BQ102+W_ANUNCIO*BR102+W_USO*BW102+W_SEGURIDAD*BY102-BZ102</f>
        <v/>
      </c>
      <c r="CB102" s="4">
        <f>IF(N(I102)&gt;0,I102,IFERROR(ROUND(_xlfn.NUMBERVALUE(LEFT(G102,FIND(" ",G102&amp;" ")-1),".")*1000,0),99999))</f>
        <v/>
      </c>
      <c r="CC102" s="3">
        <f>IF(R102="profesional",0,IF(O102&lt;CUOTA_VALOR_MAX,IF(AU102&gt;ITP_TRAMO_ALTO,SUMIFS(CF_CUOTA,CF_MAS,ITP_TRAMO_ALTO,CF_CCMIN,"&lt;="&amp;CB102,CF_CCMAX,"&gt;="&amp;CB102),IF(AU102&gt;ITP_TRAMO_BAJO,SUMIFS(CF_CUOTA,CF_MAS,ITP_TRAMO_BAJO,CF_CCMIN,"&lt;="&amp;CB102,CF_CCMAX,"&gt;="&amp;CB102),O102*ITP_TIPO)),O102*ITP_TIPO))</f>
        <v/>
      </c>
      <c r="CD102" s="4">
        <f>IF(R102="profesional",N(AK102),0)</f>
        <v/>
      </c>
      <c r="CE102" s="3">
        <f>IF(AND(R102="profesional",ISNUMBER(AK102),AL102="sí"),0,TASA_DGT)</f>
        <v/>
      </c>
      <c r="CF102" s="3">
        <f>INFORME_DGT</f>
        <v/>
      </c>
      <c r="CG102" s="4">
        <f>O102+CD102+CC102+CE102+CF102</f>
        <v/>
      </c>
      <c r="CH102" s="4">
        <f>CG102+N(BU102)</f>
        <v/>
      </c>
      <c r="CI102" s="3">
        <f>IF(CG102&lt;=TOTAL_MAX,"sí",IF(CG102&lt;=TOTAL_MAX+MARGEN_NEG,"negociar","no"))</f>
        <v/>
      </c>
      <c r="CJ102" s="4">
        <f>IF(CI102&lt;&gt;"no",COUNTIFS($CI$2:$CI$662,"&lt;&gt;no",$CA$2:$CA$662,"&gt;"&amp;CA102)+COUNTIFS($CI$2:CI102,"&lt;&gt;no",$CA$2:CA102,CA102),"")</f>
        <v/>
      </c>
    </row>
    <row r="103">
      <c r="A103" s="2" t="inlineStr">
        <is>
          <t>cochesnet:71781554</t>
        </is>
      </c>
      <c r="B103" s="2" t="inlineStr">
        <is>
          <t>cochesnet</t>
        </is>
      </c>
      <c r="C103" s="2" t="inlineStr">
        <is>
          <t>https://www.coches.net/opel-corsa-cmon-13-cdti-5p-diesel-2009-en-valencia-71781554-covo.aspx</t>
        </is>
      </c>
      <c r="D103" s="2" t="inlineStr">
        <is>
          <t>OPEL Corsa CMon 1.3 CDTi</t>
        </is>
      </c>
      <c r="E103" s="2" t="inlineStr">
        <is>
          <t>Opel</t>
        </is>
      </c>
      <c r="F103" s="2" t="inlineStr">
        <is>
          <t>Opel Corsa</t>
        </is>
      </c>
      <c r="G103" s="2" t="inlineStr">
        <is>
          <t>1.3 CDTi</t>
        </is>
      </c>
      <c r="H103" s="2" t="inlineStr">
        <is>
          <t>CMon 1.3 CDTi</t>
        </is>
      </c>
      <c r="I103" s="2" t="n"/>
      <c r="J103" s="2" t="n"/>
      <c r="K103" s="2" t="inlineStr">
        <is>
          <t>diesel</t>
        </is>
      </c>
      <c r="L103" s="2" t="inlineStr">
        <is>
          <t>utilitario</t>
        </is>
      </c>
      <c r="M103" s="2" t="n">
        <v>2008</v>
      </c>
      <c r="N103" s="2" t="n">
        <v>220000</v>
      </c>
      <c r="O103" s="2" t="n">
        <v>2990</v>
      </c>
      <c r="P103" s="2" t="inlineStr">
        <is>
          <t>manual</t>
        </is>
      </c>
      <c r="Q103" s="2" t="inlineStr">
        <is>
          <t>no</t>
        </is>
      </c>
      <c r="R103" s="2" t="inlineStr">
        <is>
          <t>profesional</t>
        </is>
      </c>
      <c r="S103" s="2" t="inlineStr">
        <is>
          <t>Foios</t>
        </is>
      </c>
      <c r="T103" s="2" t="inlineStr">
        <is>
          <t>2026-10-19T14:36:37Z</t>
        </is>
      </c>
      <c r="U103" s="2" t="n">
        <v>37</v>
      </c>
      <c r="V103" s="2" t="n"/>
      <c r="W103" s="2" t="n"/>
      <c r="X103" s="2" t="n"/>
      <c r="Y103" s="2" t="n"/>
      <c r="Z103" s="2" t="inlineStr">
        <is>
          <t>sí</t>
        </is>
      </c>
      <c r="AA103" s="2" t="n"/>
      <c r="AB103" s="2" t="n">
        <v>12</v>
      </c>
      <c r="AC103" s="2" t="n"/>
      <c r="AD103" s="2" t="n"/>
      <c r="AE103" s="2" t="n"/>
      <c r="AF103" s="2" t="n"/>
      <c r="AG103" s="2" t="n"/>
      <c r="AH103" s="2" t="n">
        <v>2990</v>
      </c>
      <c r="AI103" s="2" t="n">
        <v>2990</v>
      </c>
      <c r="AJ103" s="2" t="n"/>
      <c r="AK103" s="2" t="n"/>
      <c r="AL103" s="2" t="n"/>
      <c r="AM103" s="2" t="n">
        <v>7.7</v>
      </c>
      <c r="AN103" s="2" t="n">
        <v>2990</v>
      </c>
      <c r="AO103" s="2" t="n">
        <v>11</v>
      </c>
      <c r="AP103" s="2" t="inlineStr">
        <is>
          <t>modelo+año+km</t>
        </is>
      </c>
      <c r="AQ103" s="2" t="n"/>
      <c r="AR103" s="2" t="inlineStr">
        <is>
          <t>vendedor profesional: sin ITP (operación con IVA/REBU, confirmar en factura); gastos de gestión del vendedor no indicados: se suma la tasa DGT; preguntar el precio final</t>
        </is>
      </c>
      <c r="AS103" s="2" t="inlineStr"/>
      <c r="AT103" s="2" t="inlineStr">
        <is>
          <t>https://www.coches.net/opel-corsa-cmon-13-cdti-5p-diesel-2009-en-valencia-71781554-covo.aspx (window.__INITIAL_PROPS__.ad) /home/user/Alopecia/buscador-coches/raw/cochesnet/4bc13f9a929a8cbf.json</t>
        </is>
      </c>
      <c r="AU103" s="3">
        <f>MAX(ANIO_ACTUAL-M103,0)</f>
        <v/>
      </c>
      <c r="AV103" s="4">
        <f>N103/MAX(AU103,0.5)</f>
        <v/>
      </c>
      <c r="AW103" s="4">
        <f>F103</f>
        <v/>
      </c>
      <c r="AX103" s="3">
        <f>AW103&amp;"|"&amp;INT(M103/SEG_ANIO)*SEG_ANIO</f>
        <v/>
      </c>
      <c r="AY103" s="3">
        <f>AX103&amp;"|"&amp;INT(N103/SEG_KM)*SEG_KM</f>
        <v/>
      </c>
      <c r="AZ103" s="4">
        <f>COUNTIF($AW$2:$AW$662,AW103)</f>
        <v/>
      </c>
      <c r="BA103" s="4">
        <f>COUNTIF($AX$2:$AX$662,AX103)</f>
        <v/>
      </c>
      <c r="BB103" s="4">
        <f>COUNTIF($AY$2:$AY$662,AY103)</f>
        <v/>
      </c>
      <c r="BC103" s="3">
        <f t="array" ref="BC103">IF(N(AO103)&gt;=MIN_N,AN103,IF(BB103&gt;=MIN_N,MEDIAN(IF($AY$2:$AY$662=AY103,$O$2:$O$662)),IF(BA103&gt;=MIN_N,MEDIAN(IF($AX$2:$AX$662=AX103,$O$2:$O$662)),MEDIAN(IF($AW$2:$AW$662=AW103,$O$2:$O$662)))))</f>
        <v/>
      </c>
      <c r="BD103" s="3">
        <f>IF(N(AO103)&gt;=MIN_N,"mercado "&amp;AP103,IF(BB103&gt;=MIN_N,"modelo+año+km",IF(BA103&gt;=MIN_N,"modelo+año","modelo")))</f>
        <v/>
      </c>
      <c r="BE103" s="4">
        <f>(BC103-O103)/BC103</f>
        <v/>
      </c>
      <c r="BF103" s="3">
        <f>IF(OR(K103="hibrido",K103="glp"),"ECO",IF(K103="electrico","CERO",IF(K103="gasolina",IF(M103&gt;=GAS_C,"C",IF(M103&gt;=GAS_B,"B","A")),IF(K103="diesel",IF(M103&gt;=DIE_C,"C",IF(M103&gt;=DIE_B,"B","A")),""))))</f>
        <v/>
      </c>
      <c r="BG103" s="3">
        <f>IFERROR(VLOOKUP(F103,MOD_TBL,11,0),IFERROR(VLOOKUP(E103,OCU_TBL,2,0),NEUTRO))</f>
        <v/>
      </c>
      <c r="BH103" s="3">
        <f>SUMIFS(MOT_AJUSTE,MOT_MOTOR,G103,MOT_MARCA,E103,MOT_DESDE,"&lt;="&amp;M103,MOT_HASTA,"&gt;="&amp;M103)+SUMIFS(MOT_AJUSTE,MOT_MOTOR,G103,MOT_MARCA,"(todas)",MOT_DESDE,"&lt;="&amp;M103,MOT_HASTA,"&gt;="&amp;M103)</f>
        <v/>
      </c>
      <c r="BI103" s="3">
        <f>SUMIFS(COMB_AJUSTE,COMB_COMB,K103)</f>
        <v/>
      </c>
      <c r="BJ103" s="3">
        <f>COUNTIFS(MOT_MOTOR,G103,MOT_MARCA,E103,MOT_DESDE,"&lt;="&amp;M103,MOT_HASTA,"&gt;="&amp;M103)+COUNTIFS(MOT_MOTOR,G103,MOT_MARCA,"(todas)",MOT_DESDE,"&lt;="&amp;M103,MOT_HASTA,"&gt;="&amp;M103)</f>
        <v/>
      </c>
      <c r="BK103" s="3">
        <f>IF(AND(K103="diesel",BJ103=0),MIN(BG103,NEUTRO),BG103)</f>
        <v/>
      </c>
      <c r="BL103" s="4">
        <f>MAX(0,MIN(100,BK103+BH103+BI103))</f>
        <v/>
      </c>
      <c r="BM103" s="3">
        <f>MAX(0,MIN(100,50+BE103*PRECIO_PEND))</f>
        <v/>
      </c>
      <c r="BN103" s="3">
        <f>MAX(0,100*(1-N103/KM_MAX))</f>
        <v/>
      </c>
      <c r="BO103" s="3">
        <f>IF(AV103&lt;KMA_SOSP,IF(AA103="sí",100,KMA_PEN),IF(AV103&lt;=KMA_IDEAL_MAX,100,MAX(0,100*(KMA_CERO-AV103)/(KMA_CERO-KMA_IDEAL_MAX))))</f>
        <v/>
      </c>
      <c r="BP103" s="3">
        <f>MAX(0,MIN(100,100*(M103-ANIO_MIN)/(ANIO_ACTUAL-ANIO_MIN)))</f>
        <v/>
      </c>
      <c r="BQ103" s="3">
        <f>W_KMT*BN103+W_KMA*BO103+W_EDAD*BP103</f>
        <v/>
      </c>
      <c r="BR103" s="3">
        <f>P_ITV*(V103="sí")+P_LIBRO*(W103="sí")+P_CORREA*(X103="sí")+P_PROP*(Y103=1)+P_GAR*(Z103="sí")+P_FOTOS*MIN(1,N(U103)/FOTOS_OBJ)</f>
        <v/>
      </c>
      <c r="BS103" s="3">
        <f>IFERROR(VLOOKUP(BF103,ETQ_TBL,2,0),NEUTRO)</f>
        <v/>
      </c>
      <c r="BT103" s="3">
        <f>NEUTRO</f>
        <v/>
      </c>
      <c r="BU103" s="3">
        <f>IFERROR(VLOOKUP(L103,SEGURO_TBL,3,0),"")</f>
        <v/>
      </c>
      <c r="BV103" s="3">
        <f>IF(BU103="",NEUTRO,MAX(0,MIN(100,100*(SEG_REF_MAX-BU103)/(SEG_REF_MAX-SEG_REF_MIN))))</f>
        <v/>
      </c>
      <c r="BW103" s="3">
        <f>W_ET*BS103+W_CONS*BT103+W_SEG*BV103</f>
        <v/>
      </c>
      <c r="BX103" s="3">
        <f>IF(N(AB103)&gt;0,AB103,IF(AND(R103="profesional",SG_LEGAL_ON=1),GAR_LEGAL,0))</f>
        <v/>
      </c>
      <c r="BY103" s="3">
        <f>SG_GAR*MIN(1,BX103/SG_GAR_FULL)+SG_AMPL*(AC103="sí")+SG_KMC*(AF103="sí")+SG_REV*(N(AE103)&gt;0)+SG_DEV*MIN(1,N(AG103)/SG_DEV_FULL)+SG_HIST*(W103="sí")</f>
        <v/>
      </c>
      <c r="BZ103" s="3">
        <f>IFERROR(VLOOKUP(L103,CARR_PEN_TBL,2,0),0)</f>
        <v/>
      </c>
      <c r="CA103" s="3">
        <f>W_FIAB*BL103+W_PRECIO*BM103+W_KMEDAD*BQ103+W_ANUNCIO*BR103+W_USO*BW103+W_SEGURIDAD*BY103-BZ103</f>
        <v/>
      </c>
      <c r="CB103" s="4">
        <f>IF(N(I103)&gt;0,I103,IFERROR(ROUND(_xlfn.NUMBERVALUE(LEFT(G103,FIND(" ",G103&amp;" ")-1),".")*1000,0),99999))</f>
        <v/>
      </c>
      <c r="CC103" s="3">
        <f>IF(R103="profesional",0,IF(O103&lt;CUOTA_VALOR_MAX,IF(AU103&gt;ITP_TRAMO_ALTO,SUMIFS(CF_CUOTA,CF_MAS,ITP_TRAMO_ALTO,CF_CCMIN,"&lt;="&amp;CB103,CF_CCMAX,"&gt;="&amp;CB103),IF(AU103&gt;ITP_TRAMO_BAJO,SUMIFS(CF_CUOTA,CF_MAS,ITP_TRAMO_BAJO,CF_CCMIN,"&lt;="&amp;CB103,CF_CCMAX,"&gt;="&amp;CB103),O103*ITP_TIPO)),O103*ITP_TIPO))</f>
        <v/>
      </c>
      <c r="CD103" s="4">
        <f>IF(R103="profesional",N(AK103),0)</f>
        <v/>
      </c>
      <c r="CE103" s="3">
        <f>IF(AND(R103="profesional",ISNUMBER(AK103),AL103="sí"),0,TASA_DGT)</f>
        <v/>
      </c>
      <c r="CF103" s="3">
        <f>INFORME_DGT</f>
        <v/>
      </c>
      <c r="CG103" s="4">
        <f>O103+CD103+CC103+CE103+CF103</f>
        <v/>
      </c>
      <c r="CH103" s="4">
        <f>CG103+N(BU103)</f>
        <v/>
      </c>
      <c r="CI103" s="3">
        <f>IF(CG103&lt;=TOTAL_MAX,"sí",IF(CG103&lt;=TOTAL_MAX+MARGEN_NEG,"negociar","no"))</f>
        <v/>
      </c>
      <c r="CJ103" s="4">
        <f>IF(CI103&lt;&gt;"no",COUNTIFS($CI$2:$CI$662,"&lt;&gt;no",$CA$2:$CA$662,"&gt;"&amp;CA103)+COUNTIFS($CI$2:CI103,"&lt;&gt;no",$CA$2:CA103,CA103),"")</f>
        <v/>
      </c>
    </row>
    <row r="104">
      <c r="A104" s="2" t="inlineStr">
        <is>
          <t>cochesnet:71767490</t>
        </is>
      </c>
      <c r="B104" s="2" t="inlineStr">
        <is>
          <t>cochesnet</t>
        </is>
      </c>
      <c r="C104" s="2" t="inlineStr">
        <is>
          <t>https://www.coches.net/opel-corsa-enjoy-13-cdti-5p-diesel-2008-en-valencia-71767490-covo.aspx</t>
        </is>
      </c>
      <c r="D104" s="2" t="inlineStr">
        <is>
          <t>OPEL Corsa Enjoy 1.3 CDTI</t>
        </is>
      </c>
      <c r="E104" s="2" t="inlineStr">
        <is>
          <t>Opel</t>
        </is>
      </c>
      <c r="F104" s="2" t="inlineStr">
        <is>
          <t>Opel Corsa</t>
        </is>
      </c>
      <c r="G104" s="2" t="inlineStr">
        <is>
          <t>1.3 CDTi</t>
        </is>
      </c>
      <c r="H104" s="2" t="inlineStr">
        <is>
          <t>Enjoy 1.3 CDTI</t>
        </is>
      </c>
      <c r="I104" s="2" t="n"/>
      <c r="J104" s="2" t="n"/>
      <c r="K104" s="2" t="inlineStr">
        <is>
          <t>diesel</t>
        </is>
      </c>
      <c r="L104" s="2" t="inlineStr">
        <is>
          <t>utilitario</t>
        </is>
      </c>
      <c r="M104" s="2" t="n">
        <v>2008</v>
      </c>
      <c r="N104" s="2" t="n">
        <v>219000</v>
      </c>
      <c r="O104" s="2" t="n">
        <v>2300</v>
      </c>
      <c r="P104" s="2" t="inlineStr">
        <is>
          <t>manual</t>
        </is>
      </c>
      <c r="Q104" s="2" t="inlineStr">
        <is>
          <t>no</t>
        </is>
      </c>
      <c r="R104" s="2" t="inlineStr">
        <is>
          <t>particular</t>
        </is>
      </c>
      <c r="S104" s="2" t="n"/>
      <c r="T104" s="2" t="inlineStr">
        <is>
          <t>2026-10-16T19:32:49Z</t>
        </is>
      </c>
      <c r="U104" s="2" t="n">
        <v>8</v>
      </c>
      <c r="V104" s="2" t="n"/>
      <c r="W104" s="2" t="n"/>
      <c r="X104" s="2" t="n"/>
      <c r="Y104" s="2" t="n"/>
      <c r="Z104" s="2" t="inlineStr">
        <is>
          <t>no</t>
        </is>
      </c>
      <c r="AA104" s="2" t="n"/>
      <c r="AB104" s="2" t="n"/>
      <c r="AC104" s="2" t="n"/>
      <c r="AD104" s="2" t="n"/>
      <c r="AE104" s="2" t="n"/>
      <c r="AF104" s="2" t="n"/>
      <c r="AG104" s="2" t="n"/>
      <c r="AH104" s="2" t="n">
        <v>2300</v>
      </c>
      <c r="AI104" s="2" t="n"/>
      <c r="AJ104" s="2" t="n"/>
      <c r="AK104" s="2" t="n"/>
      <c r="AL104" s="2" t="n"/>
      <c r="AM104" s="2" t="n"/>
      <c r="AN104" s="2" t="n">
        <v>2990</v>
      </c>
      <c r="AO104" s="2" t="n">
        <v>11</v>
      </c>
      <c r="AP104" s="2" t="inlineStr">
        <is>
          <t>modelo+año+km</t>
        </is>
      </c>
      <c r="AQ104" s="2" t="n"/>
      <c r="AR104" s="2" t="inlineStr">
        <is>
          <t>cuota fija ITP: &gt;12 años, hasta 1.500 cc; distancia no verificable (el anuncio solo indica la provincia): confirmar que está a &lt;= 70 km</t>
        </is>
      </c>
      <c r="AS104" s="2" t="inlineStr">
        <is>
          <t>dudas preguntar gente seria gracias</t>
        </is>
      </c>
      <c r="AT104" s="2" t="inlineStr">
        <is>
          <t>https://www.coches.net/opel-corsa-enjoy-13-cdti-5p-diesel-2008-en-valencia-71767490-covo.aspx (window.__INITIAL_PROPS__.ad) /home/user/Alopecia/buscador-coches/raw/cochesnet/fd8ef67c868e78a6.json</t>
        </is>
      </c>
      <c r="AU104" s="3">
        <f>MAX(ANIO_ACTUAL-M104,0)</f>
        <v/>
      </c>
      <c r="AV104" s="4">
        <f>N104/MAX(AU104,0.5)</f>
        <v/>
      </c>
      <c r="AW104" s="4">
        <f>F104</f>
        <v/>
      </c>
      <c r="AX104" s="3">
        <f>AW104&amp;"|"&amp;INT(M104/SEG_ANIO)*SEG_ANIO</f>
        <v/>
      </c>
      <c r="AY104" s="3">
        <f>AX104&amp;"|"&amp;INT(N104/SEG_KM)*SEG_KM</f>
        <v/>
      </c>
      <c r="AZ104" s="4">
        <f>COUNTIF($AW$2:$AW$662,AW104)</f>
        <v/>
      </c>
      <c r="BA104" s="4">
        <f>COUNTIF($AX$2:$AX$662,AX104)</f>
        <v/>
      </c>
      <c r="BB104" s="4">
        <f>COUNTIF($AY$2:$AY$662,AY104)</f>
        <v/>
      </c>
      <c r="BC104" s="3">
        <f t="array" ref="BC104">IF(N(AO104)&gt;=MIN_N,AN104,IF(BB104&gt;=MIN_N,MEDIAN(IF($AY$2:$AY$662=AY104,$O$2:$O$662)),IF(BA104&gt;=MIN_N,MEDIAN(IF($AX$2:$AX$662=AX104,$O$2:$O$662)),MEDIAN(IF($AW$2:$AW$662=AW104,$O$2:$O$662)))))</f>
        <v/>
      </c>
      <c r="BD104" s="3">
        <f>IF(N(AO104)&gt;=MIN_N,"mercado "&amp;AP104,IF(BB104&gt;=MIN_N,"modelo+año+km",IF(BA104&gt;=MIN_N,"modelo+año","modelo")))</f>
        <v/>
      </c>
      <c r="BE104" s="4">
        <f>(BC104-O104)/BC104</f>
        <v/>
      </c>
      <c r="BF104" s="3">
        <f>IF(OR(K104="hibrido",K104="glp"),"ECO",IF(K104="electrico","CERO",IF(K104="gasolina",IF(M104&gt;=GAS_C,"C",IF(M104&gt;=GAS_B,"B","A")),IF(K104="diesel",IF(M104&gt;=DIE_C,"C",IF(M104&gt;=DIE_B,"B","A")),""))))</f>
        <v/>
      </c>
      <c r="BG104" s="3">
        <f>IFERROR(VLOOKUP(F104,MOD_TBL,11,0),IFERROR(VLOOKUP(E104,OCU_TBL,2,0),NEUTRO))</f>
        <v/>
      </c>
      <c r="BH104" s="3">
        <f>SUMIFS(MOT_AJUSTE,MOT_MOTOR,G104,MOT_MARCA,E104,MOT_DESDE,"&lt;="&amp;M104,MOT_HASTA,"&gt;="&amp;M104)+SUMIFS(MOT_AJUSTE,MOT_MOTOR,G104,MOT_MARCA,"(todas)",MOT_DESDE,"&lt;="&amp;M104,MOT_HASTA,"&gt;="&amp;M104)</f>
        <v/>
      </c>
      <c r="BI104" s="3">
        <f>SUMIFS(COMB_AJUSTE,COMB_COMB,K104)</f>
        <v/>
      </c>
      <c r="BJ104" s="3">
        <f>COUNTIFS(MOT_MOTOR,G104,MOT_MARCA,E104,MOT_DESDE,"&lt;="&amp;M104,MOT_HASTA,"&gt;="&amp;M104)+COUNTIFS(MOT_MOTOR,G104,MOT_MARCA,"(todas)",MOT_DESDE,"&lt;="&amp;M104,MOT_HASTA,"&gt;="&amp;M104)</f>
        <v/>
      </c>
      <c r="BK104" s="3">
        <f>IF(AND(K104="diesel",BJ104=0),MIN(BG104,NEUTRO),BG104)</f>
        <v/>
      </c>
      <c r="BL104" s="4">
        <f>MAX(0,MIN(100,BK104+BH104+BI104))</f>
        <v/>
      </c>
      <c r="BM104" s="3">
        <f>MAX(0,MIN(100,50+BE104*PRECIO_PEND))</f>
        <v/>
      </c>
      <c r="BN104" s="3">
        <f>MAX(0,100*(1-N104/KM_MAX))</f>
        <v/>
      </c>
      <c r="BO104" s="3">
        <f>IF(AV104&lt;KMA_SOSP,IF(AA104="sí",100,KMA_PEN),IF(AV104&lt;=KMA_IDEAL_MAX,100,MAX(0,100*(KMA_CERO-AV104)/(KMA_CERO-KMA_IDEAL_MAX))))</f>
        <v/>
      </c>
      <c r="BP104" s="3">
        <f>MAX(0,MIN(100,100*(M104-ANIO_MIN)/(ANIO_ACTUAL-ANIO_MIN)))</f>
        <v/>
      </c>
      <c r="BQ104" s="3">
        <f>W_KMT*BN104+W_KMA*BO104+W_EDAD*BP104</f>
        <v/>
      </c>
      <c r="BR104" s="3">
        <f>P_ITV*(V104="sí")+P_LIBRO*(W104="sí")+P_CORREA*(X104="sí")+P_PROP*(Y104=1)+P_GAR*(Z104="sí")+P_FOTOS*MIN(1,N(U104)/FOTOS_OBJ)</f>
        <v/>
      </c>
      <c r="BS104" s="3">
        <f>IFERROR(VLOOKUP(BF104,ETQ_TBL,2,0),NEUTRO)</f>
        <v/>
      </c>
      <c r="BT104" s="3">
        <f>NEUTRO</f>
        <v/>
      </c>
      <c r="BU104" s="3">
        <f>IFERROR(VLOOKUP(L104,SEGURO_TBL,3,0),"")</f>
        <v/>
      </c>
      <c r="BV104" s="3">
        <f>IF(BU104="",NEUTRO,MAX(0,MIN(100,100*(SEG_REF_MAX-BU104)/(SEG_REF_MAX-SEG_REF_MIN))))</f>
        <v/>
      </c>
      <c r="BW104" s="3">
        <f>W_ET*BS104+W_CONS*BT104+W_SEG*BV104</f>
        <v/>
      </c>
      <c r="BX104" s="3">
        <f>IF(N(AB104)&gt;0,AB104,IF(AND(R104="profesional",SG_LEGAL_ON=1),GAR_LEGAL,0))</f>
        <v/>
      </c>
      <c r="BY104" s="3">
        <f>SG_GAR*MIN(1,BX104/SG_GAR_FULL)+SG_AMPL*(AC104="sí")+SG_KMC*(AF104="sí")+SG_REV*(N(AE104)&gt;0)+SG_DEV*MIN(1,N(AG104)/SG_DEV_FULL)+SG_HIST*(W104="sí")</f>
        <v/>
      </c>
      <c r="BZ104" s="3">
        <f>IFERROR(VLOOKUP(L104,CARR_PEN_TBL,2,0),0)</f>
        <v/>
      </c>
      <c r="CA104" s="3">
        <f>W_FIAB*BL104+W_PRECIO*BM104+W_KMEDAD*BQ104+W_ANUNCIO*BR104+W_USO*BW104+W_SEGURIDAD*BY104-BZ104</f>
        <v/>
      </c>
      <c r="CB104" s="4">
        <f>IF(N(I104)&gt;0,I104,IFERROR(ROUND(_xlfn.NUMBERVALUE(LEFT(G104,FIND(" ",G104&amp;" ")-1),".")*1000,0),99999))</f>
        <v/>
      </c>
      <c r="CC104" s="3">
        <f>IF(R104="profesional",0,IF(O104&lt;CUOTA_VALOR_MAX,IF(AU104&gt;ITP_TRAMO_ALTO,SUMIFS(CF_CUOTA,CF_MAS,ITP_TRAMO_ALTO,CF_CCMIN,"&lt;="&amp;CB104,CF_CCMAX,"&gt;="&amp;CB104),IF(AU104&gt;ITP_TRAMO_BAJO,SUMIFS(CF_CUOTA,CF_MAS,ITP_TRAMO_BAJO,CF_CCMIN,"&lt;="&amp;CB104,CF_CCMAX,"&gt;="&amp;CB104),O104*ITP_TIPO)),O104*ITP_TIPO))</f>
        <v/>
      </c>
      <c r="CD104" s="4">
        <f>IF(R104="profesional",N(AK104),0)</f>
        <v/>
      </c>
      <c r="CE104" s="3">
        <f>IF(AND(R104="profesional",ISNUMBER(AK104),AL104="sí"),0,TASA_DGT)</f>
        <v/>
      </c>
      <c r="CF104" s="3">
        <f>INFORME_DGT</f>
        <v/>
      </c>
      <c r="CG104" s="4">
        <f>O104+CD104+CC104+CE104+CF104</f>
        <v/>
      </c>
      <c r="CH104" s="4">
        <f>CG104+N(BU104)</f>
        <v/>
      </c>
      <c r="CI104" s="3">
        <f>IF(CG104&lt;=TOTAL_MAX,"sí",IF(CG104&lt;=TOTAL_MAX+MARGEN_NEG,"negociar","no"))</f>
        <v/>
      </c>
      <c r="CJ104" s="4">
        <f>IF(CI104&lt;&gt;"no",COUNTIFS($CI$2:$CI$662,"&lt;&gt;no",$CA$2:$CA$662,"&gt;"&amp;CA104)+COUNTIFS($CI$2:CI104,"&lt;&gt;no",$CA$2:CA104,CA104),"")</f>
        <v/>
      </c>
    </row>
    <row r="105">
      <c r="A105" s="2" t="inlineStr">
        <is>
          <t>cochesnet:71729834</t>
        </is>
      </c>
      <c r="B105" s="2" t="inlineStr">
        <is>
          <t>cochesnet</t>
        </is>
      </c>
      <c r="C105" s="2" t="inlineStr">
        <is>
          <t>https://www.coches.net/opel-corsa-12-expression-start--stop-5p-gasolina-2012-en-valencia-71729834-covo.aspx</t>
        </is>
      </c>
      <c r="D105" s="2" t="inlineStr">
        <is>
          <t>OPEL Corsa 1.2 Expression Start Stop</t>
        </is>
      </c>
      <c r="E105" s="2" t="inlineStr">
        <is>
          <t>Opel</t>
        </is>
      </c>
      <c r="F105" s="2" t="inlineStr">
        <is>
          <t>Opel Corsa</t>
        </is>
      </c>
      <c r="G105" s="2" t="inlineStr">
        <is>
          <t>1.2</t>
        </is>
      </c>
      <c r="H105" s="2" t="inlineStr">
        <is>
          <t>1.2 Expression Start  Stop</t>
        </is>
      </c>
      <c r="I105" s="2" t="n"/>
      <c r="J105" s="2" t="n"/>
      <c r="K105" s="2" t="inlineStr">
        <is>
          <t>gasolina</t>
        </is>
      </c>
      <c r="L105" s="2" t="inlineStr">
        <is>
          <t>utilitario</t>
        </is>
      </c>
      <c r="M105" s="2" t="n">
        <v>2012</v>
      </c>
      <c r="N105" s="2" t="n">
        <v>166000</v>
      </c>
      <c r="O105" s="2" t="n">
        <v>4300</v>
      </c>
      <c r="P105" s="2" t="inlineStr">
        <is>
          <t>manual</t>
        </is>
      </c>
      <c r="Q105" s="2" t="inlineStr">
        <is>
          <t>no</t>
        </is>
      </c>
      <c r="R105" s="2" t="inlineStr">
        <is>
          <t>particular</t>
        </is>
      </c>
      <c r="S105" s="2" t="inlineStr">
        <is>
          <t>Valencia</t>
        </is>
      </c>
      <c r="T105" s="2" t="inlineStr">
        <is>
          <t>2026-10-13T07:31:22Z</t>
        </is>
      </c>
      <c r="U105" s="2" t="n">
        <v>4</v>
      </c>
      <c r="V105" s="2" t="n"/>
      <c r="W105" s="2" t="n"/>
      <c r="X105" s="2" t="n"/>
      <c r="Y105" s="2" t="n"/>
      <c r="Z105" s="2" t="inlineStr">
        <is>
          <t>no</t>
        </is>
      </c>
      <c r="AA105" s="2" t="n"/>
      <c r="AB105" s="2" t="n"/>
      <c r="AC105" s="2" t="n"/>
      <c r="AD105" s="2" t="n"/>
      <c r="AE105" s="2" t="n"/>
      <c r="AF105" s="2" t="n"/>
      <c r="AG105" s="2" t="n"/>
      <c r="AH105" s="2" t="n">
        <v>4300</v>
      </c>
      <c r="AI105" s="2" t="n"/>
      <c r="AJ105" s="2" t="n"/>
      <c r="AK105" s="2" t="n"/>
      <c r="AL105" s="2" t="n"/>
      <c r="AM105" s="2" t="n">
        <v>0.1</v>
      </c>
      <c r="AN105" s="2" t="n">
        <v>3500</v>
      </c>
      <c r="AO105" s="2" t="n">
        <v>7</v>
      </c>
      <c r="AP105" s="2" t="inlineStr">
        <is>
          <t>modelo+año+km</t>
        </is>
      </c>
      <c r="AQ105" s="2" t="n"/>
      <c r="AR105" s="2" t="inlineStr">
        <is>
          <t>cuota fija ITP: &gt;12 años, hasta 1.500 cc</t>
        </is>
      </c>
      <c r="AS105" s="2" t="inlineStr">
        <is>
          <t>Revisión mecánica al día yneumáticos cambiados recientemente</t>
        </is>
      </c>
      <c r="AT105" s="2" t="inlineStr">
        <is>
          <t>https://www.coches.net/opel-corsa-12-expression-start--stop-5p-gasolina-2012-en-valencia-71729834-covo.aspx (window.__INITIAL_PROPS__.ad) /home/user/Alopecia/buscador-coches/raw/cochesnet/3b6a5f8f4f22e958.json</t>
        </is>
      </c>
      <c r="AU105" s="3">
        <f>MAX(ANIO_ACTUAL-M105,0)</f>
        <v/>
      </c>
      <c r="AV105" s="4">
        <f>N105/MAX(AU105,0.5)</f>
        <v/>
      </c>
      <c r="AW105" s="4">
        <f>F105</f>
        <v/>
      </c>
      <c r="AX105" s="3">
        <f>AW105&amp;"|"&amp;INT(M105/SEG_ANIO)*SEG_ANIO</f>
        <v/>
      </c>
      <c r="AY105" s="3">
        <f>AX105&amp;"|"&amp;INT(N105/SEG_KM)*SEG_KM</f>
        <v/>
      </c>
      <c r="AZ105" s="4">
        <f>COUNTIF($AW$2:$AW$662,AW105)</f>
        <v/>
      </c>
      <c r="BA105" s="4">
        <f>COUNTIF($AX$2:$AX$662,AX105)</f>
        <v/>
      </c>
      <c r="BB105" s="4">
        <f>COUNTIF($AY$2:$AY$662,AY105)</f>
        <v/>
      </c>
      <c r="BC105" s="3">
        <f t="array" ref="BC105">IF(N(AO105)&gt;=MIN_N,AN105,IF(BB105&gt;=MIN_N,MEDIAN(IF($AY$2:$AY$662=AY105,$O$2:$O$662)),IF(BA105&gt;=MIN_N,MEDIAN(IF($AX$2:$AX$662=AX105,$O$2:$O$662)),MEDIAN(IF($AW$2:$AW$662=AW105,$O$2:$O$662)))))</f>
        <v/>
      </c>
      <c r="BD105" s="3">
        <f>IF(N(AO105)&gt;=MIN_N,"mercado "&amp;AP105,IF(BB105&gt;=MIN_N,"modelo+año+km",IF(BA105&gt;=MIN_N,"modelo+año","modelo")))</f>
        <v/>
      </c>
      <c r="BE105" s="4">
        <f>(BC105-O105)/BC105</f>
        <v/>
      </c>
      <c r="BF105" s="3">
        <f>IF(OR(K105="hibrido",K105="glp"),"ECO",IF(K105="electrico","CERO",IF(K105="gasolina",IF(M105&gt;=GAS_C,"C",IF(M105&gt;=GAS_B,"B","A")),IF(K105="diesel",IF(M105&gt;=DIE_C,"C",IF(M105&gt;=DIE_B,"B","A")),""))))</f>
        <v/>
      </c>
      <c r="BG105" s="3">
        <f>IFERROR(VLOOKUP(F105,MOD_TBL,11,0),IFERROR(VLOOKUP(E105,OCU_TBL,2,0),NEUTRO))</f>
        <v/>
      </c>
      <c r="BH105" s="3">
        <f>SUMIFS(MOT_AJUSTE,MOT_MOTOR,G105,MOT_MARCA,E105,MOT_DESDE,"&lt;="&amp;M105,MOT_HASTA,"&gt;="&amp;M105)+SUMIFS(MOT_AJUSTE,MOT_MOTOR,G105,MOT_MARCA,"(todas)",MOT_DESDE,"&lt;="&amp;M105,MOT_HASTA,"&gt;="&amp;M105)</f>
        <v/>
      </c>
      <c r="BI105" s="3">
        <f>SUMIFS(COMB_AJUSTE,COMB_COMB,K105)</f>
        <v/>
      </c>
      <c r="BJ105" s="3">
        <f>COUNTIFS(MOT_MOTOR,G105,MOT_MARCA,E105,MOT_DESDE,"&lt;="&amp;M105,MOT_HASTA,"&gt;="&amp;M105)+COUNTIFS(MOT_MOTOR,G105,MOT_MARCA,"(todas)",MOT_DESDE,"&lt;="&amp;M105,MOT_HASTA,"&gt;="&amp;M105)</f>
        <v/>
      </c>
      <c r="BK105" s="3">
        <f>IF(AND(K105="diesel",BJ105=0),MIN(BG105,NEUTRO),BG105)</f>
        <v/>
      </c>
      <c r="BL105" s="4">
        <f>MAX(0,MIN(100,BK105+BH105+BI105))</f>
        <v/>
      </c>
      <c r="BM105" s="3">
        <f>MAX(0,MIN(100,50+BE105*PRECIO_PEND))</f>
        <v/>
      </c>
      <c r="BN105" s="3">
        <f>MAX(0,100*(1-N105/KM_MAX))</f>
        <v/>
      </c>
      <c r="BO105" s="3">
        <f>IF(AV105&lt;KMA_SOSP,IF(AA105="sí",100,KMA_PEN),IF(AV105&lt;=KMA_IDEAL_MAX,100,MAX(0,100*(KMA_CERO-AV105)/(KMA_CERO-KMA_IDEAL_MAX))))</f>
        <v/>
      </c>
      <c r="BP105" s="3">
        <f>MAX(0,MIN(100,100*(M105-ANIO_MIN)/(ANIO_ACTUAL-ANIO_MIN)))</f>
        <v/>
      </c>
      <c r="BQ105" s="3">
        <f>W_KMT*BN105+W_KMA*BO105+W_EDAD*BP105</f>
        <v/>
      </c>
      <c r="BR105" s="3">
        <f>P_ITV*(V105="sí")+P_LIBRO*(W105="sí")+P_CORREA*(X105="sí")+P_PROP*(Y105=1)+P_GAR*(Z105="sí")+P_FOTOS*MIN(1,N(U105)/FOTOS_OBJ)</f>
        <v/>
      </c>
      <c r="BS105" s="3">
        <f>IFERROR(VLOOKUP(BF105,ETQ_TBL,2,0),NEUTRO)</f>
        <v/>
      </c>
      <c r="BT105" s="3">
        <f>NEUTRO</f>
        <v/>
      </c>
      <c r="BU105" s="3">
        <f>IFERROR(VLOOKUP(L105,SEGURO_TBL,3,0),"")</f>
        <v/>
      </c>
      <c r="BV105" s="3">
        <f>IF(BU105="",NEUTRO,MAX(0,MIN(100,100*(SEG_REF_MAX-BU105)/(SEG_REF_MAX-SEG_REF_MIN))))</f>
        <v/>
      </c>
      <c r="BW105" s="3">
        <f>W_ET*BS105+W_CONS*BT105+W_SEG*BV105</f>
        <v/>
      </c>
      <c r="BX105" s="3">
        <f>IF(N(AB105)&gt;0,AB105,IF(AND(R105="profesional",SG_LEGAL_ON=1),GAR_LEGAL,0))</f>
        <v/>
      </c>
      <c r="BY105" s="3">
        <f>SG_GAR*MIN(1,BX105/SG_GAR_FULL)+SG_AMPL*(AC105="sí")+SG_KMC*(AF105="sí")+SG_REV*(N(AE105)&gt;0)+SG_DEV*MIN(1,N(AG105)/SG_DEV_FULL)+SG_HIST*(W105="sí")</f>
        <v/>
      </c>
      <c r="BZ105" s="3">
        <f>IFERROR(VLOOKUP(L105,CARR_PEN_TBL,2,0),0)</f>
        <v/>
      </c>
      <c r="CA105" s="3">
        <f>W_FIAB*BL105+W_PRECIO*BM105+W_KMEDAD*BQ105+W_ANUNCIO*BR105+W_USO*BW105+W_SEGURIDAD*BY105-BZ105</f>
        <v/>
      </c>
      <c r="CB105" s="4">
        <f>IF(N(I105)&gt;0,I105,IFERROR(ROUND(_xlfn.NUMBERVALUE(LEFT(G105,FIND(" ",G105&amp;" ")-1),".")*1000,0),99999))</f>
        <v/>
      </c>
      <c r="CC105" s="3">
        <f>IF(R105="profesional",0,IF(O105&lt;CUOTA_VALOR_MAX,IF(AU105&gt;ITP_TRAMO_ALTO,SUMIFS(CF_CUOTA,CF_MAS,ITP_TRAMO_ALTO,CF_CCMIN,"&lt;="&amp;CB105,CF_CCMAX,"&gt;="&amp;CB105),IF(AU105&gt;ITP_TRAMO_BAJO,SUMIFS(CF_CUOTA,CF_MAS,ITP_TRAMO_BAJO,CF_CCMIN,"&lt;="&amp;CB105,CF_CCMAX,"&gt;="&amp;CB105),O105*ITP_TIPO)),O105*ITP_TIPO))</f>
        <v/>
      </c>
      <c r="CD105" s="4">
        <f>IF(R105="profesional",N(AK105),0)</f>
        <v/>
      </c>
      <c r="CE105" s="3">
        <f>IF(AND(R105="profesional",ISNUMBER(AK105),AL105="sí"),0,TASA_DGT)</f>
        <v/>
      </c>
      <c r="CF105" s="3">
        <f>INFORME_DGT</f>
        <v/>
      </c>
      <c r="CG105" s="4">
        <f>O105+CD105+CC105+CE105+CF105</f>
        <v/>
      </c>
      <c r="CH105" s="4">
        <f>CG105+N(BU105)</f>
        <v/>
      </c>
      <c r="CI105" s="3">
        <f>IF(CG105&lt;=TOTAL_MAX,"sí",IF(CG105&lt;=TOTAL_MAX+MARGEN_NEG,"negociar","no"))</f>
        <v/>
      </c>
      <c r="CJ105" s="4">
        <f>IF(CI105&lt;&gt;"no",COUNTIFS($CI$2:$CI$662,"&lt;&gt;no",$CA$2:$CA$662,"&gt;"&amp;CA105)+COUNTIFS($CI$2:CI105,"&lt;&gt;no",$CA$2:CA105,CA105),"")</f>
        <v/>
      </c>
    </row>
    <row r="106">
      <c r="A106" s="2" t="inlineStr">
        <is>
          <t>cochesnet:71625576</t>
        </is>
      </c>
      <c r="B106" s="2" t="inlineStr">
        <is>
          <t>cochesnet</t>
        </is>
      </c>
      <c r="C106" s="2" t="inlineStr">
        <is>
          <t>https://www.coches.net/opel-corsa-10-essentia-3p-gasolina-2011-en-valencia-71625576-covo.aspx</t>
        </is>
      </c>
      <c r="D106" s="2" t="inlineStr">
        <is>
          <t>OPEL Corsa 1.0 Essentia</t>
        </is>
      </c>
      <c r="E106" s="2" t="inlineStr">
        <is>
          <t>Opel</t>
        </is>
      </c>
      <c r="F106" s="2" t="inlineStr">
        <is>
          <t>Opel Corsa</t>
        </is>
      </c>
      <c r="G106" s="2" t="inlineStr">
        <is>
          <t>1.0</t>
        </is>
      </c>
      <c r="H106" s="2" t="inlineStr">
        <is>
          <t>1.0 Essentia</t>
        </is>
      </c>
      <c r="I106" s="2" t="n"/>
      <c r="J106" s="2" t="n"/>
      <c r="K106" s="2" t="inlineStr">
        <is>
          <t>gasolina</t>
        </is>
      </c>
      <c r="L106" s="2" t="inlineStr">
        <is>
          <t>utilitario</t>
        </is>
      </c>
      <c r="M106" s="2" t="n">
        <v>2010</v>
      </c>
      <c r="N106" s="2" t="n">
        <v>205000</v>
      </c>
      <c r="O106" s="2" t="n">
        <v>3990</v>
      </c>
      <c r="P106" s="2" t="inlineStr">
        <is>
          <t>manual</t>
        </is>
      </c>
      <c r="Q106" s="2" t="inlineStr">
        <is>
          <t>no</t>
        </is>
      </c>
      <c r="R106" s="2" t="inlineStr">
        <is>
          <t>profesional</t>
        </is>
      </c>
      <c r="S106" s="2" t="inlineStr">
        <is>
          <t>Fos Motor Valencia</t>
        </is>
      </c>
      <c r="T106" s="2" t="inlineStr">
        <is>
          <t>2026-09-29T16:17:21Z</t>
        </is>
      </c>
      <c r="U106" s="2" t="n">
        <v>11</v>
      </c>
      <c r="V106" s="2" t="n"/>
      <c r="W106" s="2" t="n"/>
      <c r="X106" s="2" t="n"/>
      <c r="Y106" s="2" t="n"/>
      <c r="Z106" s="2" t="inlineStr">
        <is>
          <t>sí</t>
        </is>
      </c>
      <c r="AA106" s="2" t="n"/>
      <c r="AB106" s="2" t="n">
        <v>12</v>
      </c>
      <c r="AC106" s="2" t="n"/>
      <c r="AD106" s="2" t="n"/>
      <c r="AE106" s="2" t="n"/>
      <c r="AF106" s="2" t="inlineStr">
        <is>
          <t>sí</t>
        </is>
      </c>
      <c r="AG106" s="2" t="n"/>
      <c r="AH106" s="2" t="n">
        <v>3990</v>
      </c>
      <c r="AI106" s="2" t="n">
        <v>3990</v>
      </c>
      <c r="AJ106" s="2" t="n"/>
      <c r="AK106" s="2" t="n"/>
      <c r="AL106" s="2" t="n"/>
      <c r="AM106" s="2" t="n">
        <v>0.1</v>
      </c>
      <c r="AN106" s="2" t="n">
        <v>2990</v>
      </c>
      <c r="AO106" s="2" t="n">
        <v>4</v>
      </c>
      <c r="AP106" s="2" t="inlineStr">
        <is>
          <t>modelo+año+km</t>
        </is>
      </c>
      <c r="AQ106" s="2" t="n"/>
      <c r="AR106" s="2" t="inlineStr">
        <is>
          <t>vendedor profesional: sin ITP (operación con IVA/REBU, confirmar en factura); gastos de gestión del vendedor no indicados: se suma la tasa DGT; preguntar el precio final</t>
        </is>
      </c>
      <c r="AS106" s="2" t="inlineStr">
        <is>
          <t>Opel Corsa en la Motorización 1.0i de 60Cv.
Visitas solo con cita previa.
-Kilómetros certificados.
-Nacional.
Equipamiento destacado:
-Volante Multifunción.
-Elevalunas eléctricos
-Aire Acondicionado
-Cierre Centralizado
-Espejos con regulación
-Y mucho más…
Mantenimieto destacado:
-Aceite y filtro.
-Filtro de Habitáculo.
-Filtro de Aire.
En definitiva, una unidad de reestreno lista para disfrutar.
Servicios adicionales:
-Envío a toda España (consultar condiciones)
-Garantía europea adicional y/o ampliada (consultar precios)
-Cambio de titularidad: 150 €
¡Contacta para más información o reservar tu visita!</t>
        </is>
      </c>
      <c r="AT106" s="2" t="inlineStr">
        <is>
          <t>https://www.coches.net/opel-corsa-10-essentia-3p-gasolina-2011-en-valencia-71625576-covo.aspx (window.__INITIAL_PROPS__.ad) /home/user/Alopecia/buscador-coches/raw/cochesnet/25f38d7266968fd1.json</t>
        </is>
      </c>
      <c r="AU106" s="3">
        <f>MAX(ANIO_ACTUAL-M106,0)</f>
        <v/>
      </c>
      <c r="AV106" s="4">
        <f>N106/MAX(AU106,0.5)</f>
        <v/>
      </c>
      <c r="AW106" s="4">
        <f>F106</f>
        <v/>
      </c>
      <c r="AX106" s="3">
        <f>AW106&amp;"|"&amp;INT(M106/SEG_ANIO)*SEG_ANIO</f>
        <v/>
      </c>
      <c r="AY106" s="3">
        <f>AX106&amp;"|"&amp;INT(N106/SEG_KM)*SEG_KM</f>
        <v/>
      </c>
      <c r="AZ106" s="4">
        <f>COUNTIF($AW$2:$AW$662,AW106)</f>
        <v/>
      </c>
      <c r="BA106" s="4">
        <f>COUNTIF($AX$2:$AX$662,AX106)</f>
        <v/>
      </c>
      <c r="BB106" s="4">
        <f>COUNTIF($AY$2:$AY$662,AY106)</f>
        <v/>
      </c>
      <c r="BC106" s="3">
        <f t="array" ref="BC106">IF(N(AO106)&gt;=MIN_N,AN106,IF(BB106&gt;=MIN_N,MEDIAN(IF($AY$2:$AY$662=AY106,$O$2:$O$662)),IF(BA106&gt;=MIN_N,MEDIAN(IF($AX$2:$AX$662=AX106,$O$2:$O$662)),MEDIAN(IF($AW$2:$AW$662=AW106,$O$2:$O$662)))))</f>
        <v/>
      </c>
      <c r="BD106" s="3">
        <f>IF(N(AO106)&gt;=MIN_N,"mercado "&amp;AP106,IF(BB106&gt;=MIN_N,"modelo+año+km",IF(BA106&gt;=MIN_N,"modelo+año","modelo")))</f>
        <v/>
      </c>
      <c r="BE106" s="4">
        <f>(BC106-O106)/BC106</f>
        <v/>
      </c>
      <c r="BF106" s="3">
        <f>IF(OR(K106="hibrido",K106="glp"),"ECO",IF(K106="electrico","CERO",IF(K106="gasolina",IF(M106&gt;=GAS_C,"C",IF(M106&gt;=GAS_B,"B","A")),IF(K106="diesel",IF(M106&gt;=DIE_C,"C",IF(M106&gt;=DIE_B,"B","A")),""))))</f>
        <v/>
      </c>
      <c r="BG106" s="3">
        <f>IFERROR(VLOOKUP(F106,MOD_TBL,11,0),IFERROR(VLOOKUP(E106,OCU_TBL,2,0),NEUTRO))</f>
        <v/>
      </c>
      <c r="BH106" s="3">
        <f>SUMIFS(MOT_AJUSTE,MOT_MOTOR,G106,MOT_MARCA,E106,MOT_DESDE,"&lt;="&amp;M106,MOT_HASTA,"&gt;="&amp;M106)+SUMIFS(MOT_AJUSTE,MOT_MOTOR,G106,MOT_MARCA,"(todas)",MOT_DESDE,"&lt;="&amp;M106,MOT_HASTA,"&gt;="&amp;M106)</f>
        <v/>
      </c>
      <c r="BI106" s="3">
        <f>SUMIFS(COMB_AJUSTE,COMB_COMB,K106)</f>
        <v/>
      </c>
      <c r="BJ106" s="3">
        <f>COUNTIFS(MOT_MOTOR,G106,MOT_MARCA,E106,MOT_DESDE,"&lt;="&amp;M106,MOT_HASTA,"&gt;="&amp;M106)+COUNTIFS(MOT_MOTOR,G106,MOT_MARCA,"(todas)",MOT_DESDE,"&lt;="&amp;M106,MOT_HASTA,"&gt;="&amp;M106)</f>
        <v/>
      </c>
      <c r="BK106" s="3">
        <f>IF(AND(K106="diesel",BJ106=0),MIN(BG106,NEUTRO),BG106)</f>
        <v/>
      </c>
      <c r="BL106" s="4">
        <f>MAX(0,MIN(100,BK106+BH106+BI106))</f>
        <v/>
      </c>
      <c r="BM106" s="3">
        <f>MAX(0,MIN(100,50+BE106*PRECIO_PEND))</f>
        <v/>
      </c>
      <c r="BN106" s="3">
        <f>MAX(0,100*(1-N106/KM_MAX))</f>
        <v/>
      </c>
      <c r="BO106" s="3">
        <f>IF(AV106&lt;KMA_SOSP,IF(AA106="sí",100,KMA_PEN),IF(AV106&lt;=KMA_IDEAL_MAX,100,MAX(0,100*(KMA_CERO-AV106)/(KMA_CERO-KMA_IDEAL_MAX))))</f>
        <v/>
      </c>
      <c r="BP106" s="3">
        <f>MAX(0,MIN(100,100*(M106-ANIO_MIN)/(ANIO_ACTUAL-ANIO_MIN)))</f>
        <v/>
      </c>
      <c r="BQ106" s="3">
        <f>W_KMT*BN106+W_KMA*BO106+W_EDAD*BP106</f>
        <v/>
      </c>
      <c r="BR106" s="3">
        <f>P_ITV*(V106="sí")+P_LIBRO*(W106="sí")+P_CORREA*(X106="sí")+P_PROP*(Y106=1)+P_GAR*(Z106="sí")+P_FOTOS*MIN(1,N(U106)/FOTOS_OBJ)</f>
        <v/>
      </c>
      <c r="BS106" s="3">
        <f>IFERROR(VLOOKUP(BF106,ETQ_TBL,2,0),NEUTRO)</f>
        <v/>
      </c>
      <c r="BT106" s="3">
        <f>NEUTRO</f>
        <v/>
      </c>
      <c r="BU106" s="3">
        <f>IFERROR(VLOOKUP(L106,SEGURO_TBL,3,0),"")</f>
        <v/>
      </c>
      <c r="BV106" s="3">
        <f>IF(BU106="",NEUTRO,MAX(0,MIN(100,100*(SEG_REF_MAX-BU106)/(SEG_REF_MAX-SEG_REF_MIN))))</f>
        <v/>
      </c>
      <c r="BW106" s="3">
        <f>W_ET*BS106+W_CONS*BT106+W_SEG*BV106</f>
        <v/>
      </c>
      <c r="BX106" s="3">
        <f>IF(N(AB106)&gt;0,AB106,IF(AND(R106="profesional",SG_LEGAL_ON=1),GAR_LEGAL,0))</f>
        <v/>
      </c>
      <c r="BY106" s="3">
        <f>SG_GAR*MIN(1,BX106/SG_GAR_FULL)+SG_AMPL*(AC106="sí")+SG_KMC*(AF106="sí")+SG_REV*(N(AE106)&gt;0)+SG_DEV*MIN(1,N(AG106)/SG_DEV_FULL)+SG_HIST*(W106="sí")</f>
        <v/>
      </c>
      <c r="BZ106" s="3">
        <f>IFERROR(VLOOKUP(L106,CARR_PEN_TBL,2,0),0)</f>
        <v/>
      </c>
      <c r="CA106" s="3">
        <f>W_FIAB*BL106+W_PRECIO*BM106+W_KMEDAD*BQ106+W_ANUNCIO*BR106+W_USO*BW106+W_SEGURIDAD*BY106-BZ106</f>
        <v/>
      </c>
      <c r="CB106" s="4">
        <f>IF(N(I106)&gt;0,I106,IFERROR(ROUND(_xlfn.NUMBERVALUE(LEFT(G106,FIND(" ",G106&amp;" ")-1),".")*1000,0),99999))</f>
        <v/>
      </c>
      <c r="CC106" s="3">
        <f>IF(R106="profesional",0,IF(O106&lt;CUOTA_VALOR_MAX,IF(AU106&gt;ITP_TRAMO_ALTO,SUMIFS(CF_CUOTA,CF_MAS,ITP_TRAMO_ALTO,CF_CCMIN,"&lt;="&amp;CB106,CF_CCMAX,"&gt;="&amp;CB106),IF(AU106&gt;ITP_TRAMO_BAJO,SUMIFS(CF_CUOTA,CF_MAS,ITP_TRAMO_BAJO,CF_CCMIN,"&lt;="&amp;CB106,CF_CCMAX,"&gt;="&amp;CB106),O106*ITP_TIPO)),O106*ITP_TIPO))</f>
        <v/>
      </c>
      <c r="CD106" s="4">
        <f>IF(R106="profesional",N(AK106),0)</f>
        <v/>
      </c>
      <c r="CE106" s="3">
        <f>IF(AND(R106="profesional",ISNUMBER(AK106),AL106="sí"),0,TASA_DGT)</f>
        <v/>
      </c>
      <c r="CF106" s="3">
        <f>INFORME_DGT</f>
        <v/>
      </c>
      <c r="CG106" s="4">
        <f>O106+CD106+CC106+CE106+CF106</f>
        <v/>
      </c>
      <c r="CH106" s="4">
        <f>CG106+N(BU106)</f>
        <v/>
      </c>
      <c r="CI106" s="3">
        <f>IF(CG106&lt;=TOTAL_MAX,"sí",IF(CG106&lt;=TOTAL_MAX+MARGEN_NEG,"negociar","no"))</f>
        <v/>
      </c>
      <c r="CJ106" s="4">
        <f>IF(CI106&lt;&gt;"no",COUNTIFS($CI$2:$CI$662,"&lt;&gt;no",$CA$2:$CA$662,"&gt;"&amp;CA106)+COUNTIFS($CI$2:CI106,"&lt;&gt;no",$CA$2:CA106,CA106),"")</f>
        <v/>
      </c>
    </row>
    <row r="107">
      <c r="A107" s="2" t="inlineStr">
        <is>
          <t>cochesnet:71686433</t>
        </is>
      </c>
      <c r="B107" s="2" t="inlineStr">
        <is>
          <t>cochesnet</t>
        </is>
      </c>
      <c r="C107" s="2" t="inlineStr">
        <is>
          <t>https://www.coches.net/opel-corsa-14-selective-start--stop-5p-gasolina-2014-en-valencia-71686433-covo.aspx</t>
        </is>
      </c>
      <c r="D107" s="2" t="inlineStr">
        <is>
          <t>OPEL Corsa 1.4 Selective Start Stop</t>
        </is>
      </c>
      <c r="E107" s="2" t="inlineStr">
        <is>
          <t>Opel</t>
        </is>
      </c>
      <c r="F107" s="2" t="inlineStr">
        <is>
          <t>Opel Corsa</t>
        </is>
      </c>
      <c r="G107" s="2" t="inlineStr">
        <is>
          <t>1.4</t>
        </is>
      </c>
      <c r="H107" s="2" t="inlineStr">
        <is>
          <t>1.4 Selective Start  Stop</t>
        </is>
      </c>
      <c r="I107" s="2" t="n"/>
      <c r="J107" s="2" t="n"/>
      <c r="K107" s="2" t="inlineStr">
        <is>
          <t>gasolina</t>
        </is>
      </c>
      <c r="L107" s="2" t="inlineStr">
        <is>
          <t>utilitario</t>
        </is>
      </c>
      <c r="M107" s="2" t="n">
        <v>2014</v>
      </c>
      <c r="N107" s="2" t="n">
        <v>215000</v>
      </c>
      <c r="O107" s="2" t="n">
        <v>3950</v>
      </c>
      <c r="P107" s="2" t="inlineStr">
        <is>
          <t>manual</t>
        </is>
      </c>
      <c r="Q107" s="2" t="inlineStr">
        <is>
          <t>no</t>
        </is>
      </c>
      <c r="R107" s="2" t="inlineStr">
        <is>
          <t>particular</t>
        </is>
      </c>
      <c r="S107" s="2" t="inlineStr">
        <is>
          <t>Paterna</t>
        </is>
      </c>
      <c r="T107" s="2" t="inlineStr">
        <is>
          <t>2026-10-06T15:44:23Z</t>
        </is>
      </c>
      <c r="U107" s="2" t="n">
        <v>9</v>
      </c>
      <c r="V107" s="2" t="inlineStr">
        <is>
          <t>sí</t>
        </is>
      </c>
      <c r="W107" s="2" t="inlineStr">
        <is>
          <t>sí</t>
        </is>
      </c>
      <c r="X107" s="2" t="n"/>
      <c r="Y107" s="2" t="n"/>
      <c r="Z107" s="2" t="inlineStr">
        <is>
          <t>no</t>
        </is>
      </c>
      <c r="AA107" s="2" t="n"/>
      <c r="AB107" s="2" t="n"/>
      <c r="AC107" s="2" t="n"/>
      <c r="AD107" s="2" t="n"/>
      <c r="AE107" s="2" t="n"/>
      <c r="AF107" s="2" t="n"/>
      <c r="AG107" s="2" t="n"/>
      <c r="AH107" s="2" t="n">
        <v>3950</v>
      </c>
      <c r="AI107" s="2" t="n"/>
      <c r="AJ107" s="2" t="n"/>
      <c r="AK107" s="2" t="n"/>
      <c r="AL107" s="2" t="n"/>
      <c r="AM107" s="2" t="n">
        <v>6.8</v>
      </c>
      <c r="AN107" s="2" t="n">
        <v>4690</v>
      </c>
      <c r="AO107" s="2" t="n">
        <v>8</v>
      </c>
      <c r="AP107" s="2" t="inlineStr">
        <is>
          <t>modelo+año+km</t>
        </is>
      </c>
      <c r="AQ107" s="2" t="n"/>
      <c r="AR107" s="2" t="inlineStr">
        <is>
          <t>cuota fija ITP: &gt;5 y &lt;=12 años, hasta 1.500 cc</t>
        </is>
      </c>
      <c r="AS107" s="2" t="inlineStr">
        <is>
          <t>OPEL CORSA 2014 – PERSONALIZADO Y CON MANTENIMIENTO AL DÍA ??
¿Buscas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
?? MANTENIMIENTO COMPLETO Y RECIENTE:
El coche se ha mantenido rigurosamente al día. Cuenta con:
• ITV RECIÉN PASADA: Totalmente al día y válida hasta junio del año que viene.
• Revisión mecánica reciente: Aceite y todos los filtros recién cambiados.
• Frenos: Pastillas de freno totalmente nuevas.
• Renovación de ópticas: Todas las luces de los faros, tanto delanteras como traseras, se acaban de cambiar por completo.
• Estética: Matrículas recién cambiadas de las antiguas metálicas a unas nuevas de metacrilato, mucho más modernas.
?? EXTRAS EXCLUSIVOS AÑADIDOS:
Este coche destaca por su personalización tanto en rendimiento como en estética:
• ILUMINACIÓN: Faros delanteros con bombillas LED H7 HOMOLOGADAS (pasan ITV sin problemas y ofrecen una visibilidad nocturna espectacular).
• MULTIMEDIA Y SONIDO: Pantalla con conexión Bluetooth instantánea (conecta al momento). Además, se ha cambiado y mejorado por completo el equipo de música y los altavoces para una calidad de audio limpia y potente.
• RENDIMIENTO: Filtro de aire cilíndrico de alto flujo y tubo de escape especial que le da un toque extra de personalidad.
• E</t>
        </is>
      </c>
      <c r="AT107" s="2" t="inlineStr">
        <is>
          <t>https://www.coches.net/opel-corsa-14-selective-start--stop-5p-gasolina-2014-en-valencia-71686433-covo.aspx (window.__INITIAL_PROPS__.ad) /home/user/Alopecia/buscador-coches/raw/cochesnet/0f18ff75809ca372.json</t>
        </is>
      </c>
      <c r="AU107" s="3">
        <f>MAX(ANIO_ACTUAL-M107,0)</f>
        <v/>
      </c>
      <c r="AV107" s="4">
        <f>N107/MAX(AU107,0.5)</f>
        <v/>
      </c>
      <c r="AW107" s="4">
        <f>F107</f>
        <v/>
      </c>
      <c r="AX107" s="3">
        <f>AW107&amp;"|"&amp;INT(M107/SEG_ANIO)*SEG_ANIO</f>
        <v/>
      </c>
      <c r="AY107" s="3">
        <f>AX107&amp;"|"&amp;INT(N107/SEG_KM)*SEG_KM</f>
        <v/>
      </c>
      <c r="AZ107" s="4">
        <f>COUNTIF($AW$2:$AW$662,AW107)</f>
        <v/>
      </c>
      <c r="BA107" s="4">
        <f>COUNTIF($AX$2:$AX$662,AX107)</f>
        <v/>
      </c>
      <c r="BB107" s="4">
        <f>COUNTIF($AY$2:$AY$662,AY107)</f>
        <v/>
      </c>
      <c r="BC107" s="3">
        <f t="array" ref="BC107">IF(N(AO107)&gt;=MIN_N,AN107,IF(BB107&gt;=MIN_N,MEDIAN(IF($AY$2:$AY$662=AY107,$O$2:$O$662)),IF(BA107&gt;=MIN_N,MEDIAN(IF($AX$2:$AX$662=AX107,$O$2:$O$662)),MEDIAN(IF($AW$2:$AW$662=AW107,$O$2:$O$662)))))</f>
        <v/>
      </c>
      <c r="BD107" s="3">
        <f>IF(N(AO107)&gt;=MIN_N,"mercado "&amp;AP107,IF(BB107&gt;=MIN_N,"modelo+año+km",IF(BA107&gt;=MIN_N,"modelo+año","modelo")))</f>
        <v/>
      </c>
      <c r="BE107" s="4">
        <f>(BC107-O107)/BC107</f>
        <v/>
      </c>
      <c r="BF107" s="3">
        <f>IF(OR(K107="hibrido",K107="glp"),"ECO",IF(K107="electrico","CERO",IF(K107="gasolina",IF(M107&gt;=GAS_C,"C",IF(M107&gt;=GAS_B,"B","A")),IF(K107="diesel",IF(M107&gt;=DIE_C,"C",IF(M107&gt;=DIE_B,"B","A")),""))))</f>
        <v/>
      </c>
      <c r="BG107" s="3">
        <f>IFERROR(VLOOKUP(F107,MOD_TBL,11,0),IFERROR(VLOOKUP(E107,OCU_TBL,2,0),NEUTRO))</f>
        <v/>
      </c>
      <c r="BH107" s="3">
        <f>SUMIFS(MOT_AJUSTE,MOT_MOTOR,G107,MOT_MARCA,E107,MOT_DESDE,"&lt;="&amp;M107,MOT_HASTA,"&gt;="&amp;M107)+SUMIFS(MOT_AJUSTE,MOT_MOTOR,G107,MOT_MARCA,"(todas)",MOT_DESDE,"&lt;="&amp;M107,MOT_HASTA,"&gt;="&amp;M107)</f>
        <v/>
      </c>
      <c r="BI107" s="3">
        <f>SUMIFS(COMB_AJUSTE,COMB_COMB,K107)</f>
        <v/>
      </c>
      <c r="BJ107" s="3">
        <f>COUNTIFS(MOT_MOTOR,G107,MOT_MARCA,E107,MOT_DESDE,"&lt;="&amp;M107,MOT_HASTA,"&gt;="&amp;M107)+COUNTIFS(MOT_MOTOR,G107,MOT_MARCA,"(todas)",MOT_DESDE,"&lt;="&amp;M107,MOT_HASTA,"&gt;="&amp;M107)</f>
        <v/>
      </c>
      <c r="BK107" s="3">
        <f>IF(AND(K107="diesel",BJ107=0),MIN(BG107,NEUTRO),BG107)</f>
        <v/>
      </c>
      <c r="BL107" s="4">
        <f>MAX(0,MIN(100,BK107+BH107+BI107))</f>
        <v/>
      </c>
      <c r="BM107" s="3">
        <f>MAX(0,MIN(100,50+BE107*PRECIO_PEND))</f>
        <v/>
      </c>
      <c r="BN107" s="3">
        <f>MAX(0,100*(1-N107/KM_MAX))</f>
        <v/>
      </c>
      <c r="BO107" s="3">
        <f>IF(AV107&lt;KMA_SOSP,IF(AA107="sí",100,KMA_PEN),IF(AV107&lt;=KMA_IDEAL_MAX,100,MAX(0,100*(KMA_CERO-AV107)/(KMA_CERO-KMA_IDEAL_MAX))))</f>
        <v/>
      </c>
      <c r="BP107" s="3">
        <f>MAX(0,MIN(100,100*(M107-ANIO_MIN)/(ANIO_ACTUAL-ANIO_MIN)))</f>
        <v/>
      </c>
      <c r="BQ107" s="3">
        <f>W_KMT*BN107+W_KMA*BO107+W_EDAD*BP107</f>
        <v/>
      </c>
      <c r="BR107" s="3">
        <f>P_ITV*(V107="sí")+P_LIBRO*(W107="sí")+P_CORREA*(X107="sí")+P_PROP*(Y107=1)+P_GAR*(Z107="sí")+P_FOTOS*MIN(1,N(U107)/FOTOS_OBJ)</f>
        <v/>
      </c>
      <c r="BS107" s="3">
        <f>IFERROR(VLOOKUP(BF107,ETQ_TBL,2,0),NEUTRO)</f>
        <v/>
      </c>
      <c r="BT107" s="3">
        <f>NEUTRO</f>
        <v/>
      </c>
      <c r="BU107" s="3">
        <f>IFERROR(VLOOKUP(L107,SEGURO_TBL,3,0),"")</f>
        <v/>
      </c>
      <c r="BV107" s="3">
        <f>IF(BU107="",NEUTRO,MAX(0,MIN(100,100*(SEG_REF_MAX-BU107)/(SEG_REF_MAX-SEG_REF_MIN))))</f>
        <v/>
      </c>
      <c r="BW107" s="3">
        <f>W_ET*BS107+W_CONS*BT107+W_SEG*BV107</f>
        <v/>
      </c>
      <c r="BX107" s="3">
        <f>IF(N(AB107)&gt;0,AB107,IF(AND(R107="profesional",SG_LEGAL_ON=1),GAR_LEGAL,0))</f>
        <v/>
      </c>
      <c r="BY107" s="3">
        <f>SG_GAR*MIN(1,BX107/SG_GAR_FULL)+SG_AMPL*(AC107="sí")+SG_KMC*(AF107="sí")+SG_REV*(N(AE107)&gt;0)+SG_DEV*MIN(1,N(AG107)/SG_DEV_FULL)+SG_HIST*(W107="sí")</f>
        <v/>
      </c>
      <c r="BZ107" s="3">
        <f>IFERROR(VLOOKUP(L107,CARR_PEN_TBL,2,0),0)</f>
        <v/>
      </c>
      <c r="CA107" s="3">
        <f>W_FIAB*BL107+W_PRECIO*BM107+W_KMEDAD*BQ107+W_ANUNCIO*BR107+W_USO*BW107+W_SEGURIDAD*BY107-BZ107</f>
        <v/>
      </c>
      <c r="CB107" s="4">
        <f>IF(N(I107)&gt;0,I107,IFERROR(ROUND(_xlfn.NUMBERVALUE(LEFT(G107,FIND(" ",G107&amp;" ")-1),".")*1000,0),99999))</f>
        <v/>
      </c>
      <c r="CC107" s="3">
        <f>IF(R107="profesional",0,IF(O107&lt;CUOTA_VALOR_MAX,IF(AU107&gt;ITP_TRAMO_ALTO,SUMIFS(CF_CUOTA,CF_MAS,ITP_TRAMO_ALTO,CF_CCMIN,"&lt;="&amp;CB107,CF_CCMAX,"&gt;="&amp;CB107),IF(AU107&gt;ITP_TRAMO_BAJO,SUMIFS(CF_CUOTA,CF_MAS,ITP_TRAMO_BAJO,CF_CCMIN,"&lt;="&amp;CB107,CF_CCMAX,"&gt;="&amp;CB107),O107*ITP_TIPO)),O107*ITP_TIPO))</f>
        <v/>
      </c>
      <c r="CD107" s="4">
        <f>IF(R107="profesional",N(AK107),0)</f>
        <v/>
      </c>
      <c r="CE107" s="3">
        <f>IF(AND(R107="profesional",ISNUMBER(AK107),AL107="sí"),0,TASA_DGT)</f>
        <v/>
      </c>
      <c r="CF107" s="3">
        <f>INFORME_DGT</f>
        <v/>
      </c>
      <c r="CG107" s="4">
        <f>O107+CD107+CC107+CE107+CF107</f>
        <v/>
      </c>
      <c r="CH107" s="4">
        <f>CG107+N(BU107)</f>
        <v/>
      </c>
      <c r="CI107" s="3">
        <f>IF(CG107&lt;=TOTAL_MAX,"sí",IF(CG107&lt;=TOTAL_MAX+MARGEN_NEG,"negociar","no"))</f>
        <v/>
      </c>
      <c r="CJ107" s="4">
        <f>IF(CI107&lt;&gt;"no",COUNTIFS($CI$2:$CI$662,"&lt;&gt;no",$CA$2:$CA$662,"&gt;"&amp;CA107)+COUNTIFS($CI$2:CI107,"&lt;&gt;no",$CA$2:CA107,CA107),"")</f>
        <v/>
      </c>
    </row>
    <row r="108">
      <c r="A108" s="2" t="inlineStr">
        <is>
          <t>cochesnet:71572155</t>
        </is>
      </c>
      <c r="B108" s="2" t="inlineStr">
        <is>
          <t>cochesnet</t>
        </is>
      </c>
      <c r="C108" s="2" t="inlineStr">
        <is>
          <t>https://www.coches.net/opel-corsa-enjoy-13-cdti-90-cv-3p-diesel-2008-en-valencia-71572155-covo.aspx</t>
        </is>
      </c>
      <c r="D108" s="2" t="inlineStr">
        <is>
          <t>OPEL Corsa Enjoy 1.3 CDTi 90 CV</t>
        </is>
      </c>
      <c r="E108" s="2" t="inlineStr">
        <is>
          <t>Opel</t>
        </is>
      </c>
      <c r="F108" s="2" t="inlineStr">
        <is>
          <t>Opel Corsa</t>
        </is>
      </c>
      <c r="G108" s="2" t="inlineStr">
        <is>
          <t>1.3 CDTi</t>
        </is>
      </c>
      <c r="H108" s="2" t="inlineStr">
        <is>
          <t>Enjoy 1.3 CDTi 90 CV</t>
        </is>
      </c>
      <c r="I108" s="2" t="n"/>
      <c r="J108" s="2" t="n">
        <v>90</v>
      </c>
      <c r="K108" s="2" t="inlineStr">
        <is>
          <t>diesel</t>
        </is>
      </c>
      <c r="L108" s="2" t="inlineStr">
        <is>
          <t>utilitario</t>
        </is>
      </c>
      <c r="M108" s="2" t="n">
        <v>2008</v>
      </c>
      <c r="N108" s="2" t="n">
        <v>164220</v>
      </c>
      <c r="O108" s="2" t="n">
        <v>3800</v>
      </c>
      <c r="P108" s="2" t="inlineStr">
        <is>
          <t>manual</t>
        </is>
      </c>
      <c r="Q108" s="2" t="inlineStr">
        <is>
          <t>no</t>
        </is>
      </c>
      <c r="R108" s="2" t="inlineStr">
        <is>
          <t>particular</t>
        </is>
      </c>
      <c r="S108" s="2" t="inlineStr">
        <is>
          <t>Puig</t>
        </is>
      </c>
      <c r="T108" s="2" t="inlineStr">
        <is>
          <t>2026-09-22T16:36:22Z</t>
        </is>
      </c>
      <c r="U108" s="2" t="n">
        <v>19</v>
      </c>
      <c r="V108" s="2" t="inlineStr">
        <is>
          <t>sí</t>
        </is>
      </c>
      <c r="W108" s="2" t="n"/>
      <c r="X108" s="2" t="n"/>
      <c r="Y108" s="2" t="n"/>
      <c r="Z108" s="2" t="inlineStr">
        <is>
          <t>no</t>
        </is>
      </c>
      <c r="AA108" s="2" t="n"/>
      <c r="AB108" s="2" t="n"/>
      <c r="AC108" s="2" t="n"/>
      <c r="AD108" s="2" t="n"/>
      <c r="AE108" s="2" t="n"/>
      <c r="AF108" s="2" t="n"/>
      <c r="AG108" s="2" t="n"/>
      <c r="AH108" s="2" t="n">
        <v>3800</v>
      </c>
      <c r="AI108" s="2" t="n"/>
      <c r="AJ108" s="2" t="n"/>
      <c r="AK108" s="2" t="n"/>
      <c r="AL108" s="2" t="n"/>
      <c r="AM108" s="2" t="n"/>
      <c r="AN108" s="2" t="n">
        <v>3150</v>
      </c>
      <c r="AO108" s="2" t="n">
        <v>8</v>
      </c>
      <c r="AP108" s="2" t="inlineStr">
        <is>
          <t>modelo+año+km</t>
        </is>
      </c>
      <c r="AQ108" s="2" t="n"/>
      <c r="AR108" s="2" t="inlineStr">
        <is>
          <t>cuota fija ITP: &gt;12 años, hasta 1.500 cc; distancia no verificable (el anuncio solo indica la provincia): confirmar que está a &lt;= 70 km</t>
        </is>
      </c>
      <c r="AS108" s="2" t="inlineStr">
        <is>
          <t>Se vende Opel Corsa Turbo diésel del año 2009,el coche dispone de ITV pasada y se encuentra preparado para seguir utilizándose con normalidad. Es un vehículo compacto, práctico y cómodo para el día a día, especialmente manejable tanto en ciudad como en carretera.
El coche está bien conservado para los años que tiene y, como se puede apreciar en las fotografías, las imágenes muestran claramente el estado actual del vehículo, tanto por fuera como por dentro,es una unidad de 3 puertas, con el característico formato compacto del Opel Corsa, y su motor diésel resulta una opción práctica para quien busca un vehículo para desplazamientos diarios y trayectos habituales.
Para más información no olvide contactar.</t>
        </is>
      </c>
      <c r="AT108" s="2" t="inlineStr">
        <is>
          <t>https://www.coches.net/opel-corsa-enjoy-13-cdti-90-cv-3p-diesel-2008-en-valencia-71572155-covo.aspx (window.__INITIAL_PROPS__.ad) /home/user/Alopecia/buscador-coches/raw/cochesnet/b9e141e789df897d.json</t>
        </is>
      </c>
      <c r="AU108" s="3">
        <f>MAX(ANIO_ACTUAL-M108,0)</f>
        <v/>
      </c>
      <c r="AV108" s="4">
        <f>N108/MAX(AU108,0.5)</f>
        <v/>
      </c>
      <c r="AW108" s="4">
        <f>F108</f>
        <v/>
      </c>
      <c r="AX108" s="3">
        <f>AW108&amp;"|"&amp;INT(M108/SEG_ANIO)*SEG_ANIO</f>
        <v/>
      </c>
      <c r="AY108" s="3">
        <f>AX108&amp;"|"&amp;INT(N108/SEG_KM)*SEG_KM</f>
        <v/>
      </c>
      <c r="AZ108" s="4">
        <f>COUNTIF($AW$2:$AW$662,AW108)</f>
        <v/>
      </c>
      <c r="BA108" s="4">
        <f>COUNTIF($AX$2:$AX$662,AX108)</f>
        <v/>
      </c>
      <c r="BB108" s="4">
        <f>COUNTIF($AY$2:$AY$662,AY108)</f>
        <v/>
      </c>
      <c r="BC108" s="3">
        <f t="array" ref="BC108">IF(N(AO108)&gt;=MIN_N,AN108,IF(BB108&gt;=MIN_N,MEDIAN(IF($AY$2:$AY$662=AY108,$O$2:$O$662)),IF(BA108&gt;=MIN_N,MEDIAN(IF($AX$2:$AX$662=AX108,$O$2:$O$662)),MEDIAN(IF($AW$2:$AW$662=AW108,$O$2:$O$662)))))</f>
        <v/>
      </c>
      <c r="BD108" s="3">
        <f>IF(N(AO108)&gt;=MIN_N,"mercado "&amp;AP108,IF(BB108&gt;=MIN_N,"modelo+año+km",IF(BA108&gt;=MIN_N,"modelo+año","modelo")))</f>
        <v/>
      </c>
      <c r="BE108" s="4">
        <f>(BC108-O108)/BC108</f>
        <v/>
      </c>
      <c r="BF108" s="3">
        <f>IF(OR(K108="hibrido",K108="glp"),"ECO",IF(K108="electrico","CERO",IF(K108="gasolina",IF(M108&gt;=GAS_C,"C",IF(M108&gt;=GAS_B,"B","A")),IF(K108="diesel",IF(M108&gt;=DIE_C,"C",IF(M108&gt;=DIE_B,"B","A")),""))))</f>
        <v/>
      </c>
      <c r="BG108" s="3">
        <f>IFERROR(VLOOKUP(F108,MOD_TBL,11,0),IFERROR(VLOOKUP(E108,OCU_TBL,2,0),NEUTRO))</f>
        <v/>
      </c>
      <c r="BH108" s="3">
        <f>SUMIFS(MOT_AJUSTE,MOT_MOTOR,G108,MOT_MARCA,E108,MOT_DESDE,"&lt;="&amp;M108,MOT_HASTA,"&gt;="&amp;M108)+SUMIFS(MOT_AJUSTE,MOT_MOTOR,G108,MOT_MARCA,"(todas)",MOT_DESDE,"&lt;="&amp;M108,MOT_HASTA,"&gt;="&amp;M108)</f>
        <v/>
      </c>
      <c r="BI108" s="3">
        <f>SUMIFS(COMB_AJUSTE,COMB_COMB,K108)</f>
        <v/>
      </c>
      <c r="BJ108" s="3">
        <f>COUNTIFS(MOT_MOTOR,G108,MOT_MARCA,E108,MOT_DESDE,"&lt;="&amp;M108,MOT_HASTA,"&gt;="&amp;M108)+COUNTIFS(MOT_MOTOR,G108,MOT_MARCA,"(todas)",MOT_DESDE,"&lt;="&amp;M108,MOT_HASTA,"&gt;="&amp;M108)</f>
        <v/>
      </c>
      <c r="BK108" s="3">
        <f>IF(AND(K108="diesel",BJ108=0),MIN(BG108,NEUTRO),BG108)</f>
        <v/>
      </c>
      <c r="BL108" s="4">
        <f>MAX(0,MIN(100,BK108+BH108+BI108))</f>
        <v/>
      </c>
      <c r="BM108" s="3">
        <f>MAX(0,MIN(100,50+BE108*PRECIO_PEND))</f>
        <v/>
      </c>
      <c r="BN108" s="3">
        <f>MAX(0,100*(1-N108/KM_MAX))</f>
        <v/>
      </c>
      <c r="BO108" s="3">
        <f>IF(AV108&lt;KMA_SOSP,IF(AA108="sí",100,KMA_PEN),IF(AV108&lt;=KMA_IDEAL_MAX,100,MAX(0,100*(KMA_CERO-AV108)/(KMA_CERO-KMA_IDEAL_MAX))))</f>
        <v/>
      </c>
      <c r="BP108" s="3">
        <f>MAX(0,MIN(100,100*(M108-ANIO_MIN)/(ANIO_ACTUAL-ANIO_MIN)))</f>
        <v/>
      </c>
      <c r="BQ108" s="3">
        <f>W_KMT*BN108+W_KMA*BO108+W_EDAD*BP108</f>
        <v/>
      </c>
      <c r="BR108" s="3">
        <f>P_ITV*(V108="sí")+P_LIBRO*(W108="sí")+P_CORREA*(X108="sí")+P_PROP*(Y108=1)+P_GAR*(Z108="sí")+P_FOTOS*MIN(1,N(U108)/FOTOS_OBJ)</f>
        <v/>
      </c>
      <c r="BS108" s="3">
        <f>IFERROR(VLOOKUP(BF108,ETQ_TBL,2,0),NEUTRO)</f>
        <v/>
      </c>
      <c r="BT108" s="3">
        <f>NEUTRO</f>
        <v/>
      </c>
      <c r="BU108" s="3">
        <f>IFERROR(VLOOKUP(L108,SEGURO_TBL,3,0),"")</f>
        <v/>
      </c>
      <c r="BV108" s="3">
        <f>IF(BU108="",NEUTRO,MAX(0,MIN(100,100*(SEG_REF_MAX-BU108)/(SEG_REF_MAX-SEG_REF_MIN))))</f>
        <v/>
      </c>
      <c r="BW108" s="3">
        <f>W_ET*BS108+W_CONS*BT108+W_SEG*BV108</f>
        <v/>
      </c>
      <c r="BX108" s="3">
        <f>IF(N(AB108)&gt;0,AB108,IF(AND(R108="profesional",SG_LEGAL_ON=1),GAR_LEGAL,0))</f>
        <v/>
      </c>
      <c r="BY108" s="3">
        <f>SG_GAR*MIN(1,BX108/SG_GAR_FULL)+SG_AMPL*(AC108="sí")+SG_KMC*(AF108="sí")+SG_REV*(N(AE108)&gt;0)+SG_DEV*MIN(1,N(AG108)/SG_DEV_FULL)+SG_HIST*(W108="sí")</f>
        <v/>
      </c>
      <c r="BZ108" s="3">
        <f>IFERROR(VLOOKUP(L108,CARR_PEN_TBL,2,0),0)</f>
        <v/>
      </c>
      <c r="CA108" s="3">
        <f>W_FIAB*BL108+W_PRECIO*BM108+W_KMEDAD*BQ108+W_ANUNCIO*BR108+W_USO*BW108+W_SEGURIDAD*BY108-BZ108</f>
        <v/>
      </c>
      <c r="CB108" s="4">
        <f>IF(N(I108)&gt;0,I108,IFERROR(ROUND(_xlfn.NUMBERVALUE(LEFT(G108,FIND(" ",G108&amp;" ")-1),".")*1000,0),99999))</f>
        <v/>
      </c>
      <c r="CC108" s="3">
        <f>IF(R108="profesional",0,IF(O108&lt;CUOTA_VALOR_MAX,IF(AU108&gt;ITP_TRAMO_ALTO,SUMIFS(CF_CUOTA,CF_MAS,ITP_TRAMO_ALTO,CF_CCMIN,"&lt;="&amp;CB108,CF_CCMAX,"&gt;="&amp;CB108),IF(AU108&gt;ITP_TRAMO_BAJO,SUMIFS(CF_CUOTA,CF_MAS,ITP_TRAMO_BAJO,CF_CCMIN,"&lt;="&amp;CB108,CF_CCMAX,"&gt;="&amp;CB108),O108*ITP_TIPO)),O108*ITP_TIPO))</f>
        <v/>
      </c>
      <c r="CD108" s="4">
        <f>IF(R108="profesional",N(AK108),0)</f>
        <v/>
      </c>
      <c r="CE108" s="3">
        <f>IF(AND(R108="profesional",ISNUMBER(AK108),AL108="sí"),0,TASA_DGT)</f>
        <v/>
      </c>
      <c r="CF108" s="3">
        <f>INFORME_DGT</f>
        <v/>
      </c>
      <c r="CG108" s="4">
        <f>O108+CD108+CC108+CE108+CF108</f>
        <v/>
      </c>
      <c r="CH108" s="4">
        <f>CG108+N(BU108)</f>
        <v/>
      </c>
      <c r="CI108" s="3">
        <f>IF(CG108&lt;=TOTAL_MAX,"sí",IF(CG108&lt;=TOTAL_MAX+MARGEN_NEG,"negociar","no"))</f>
        <v/>
      </c>
      <c r="CJ108" s="4">
        <f>IF(CI108&lt;&gt;"no",COUNTIFS($CI$2:$CI$662,"&lt;&gt;no",$CA$2:$CA$662,"&gt;"&amp;CA108)+COUNTIFS($CI$2:CI108,"&lt;&gt;no",$CA$2:CA108,CA108),"")</f>
        <v/>
      </c>
    </row>
    <row r="109">
      <c r="A109" s="2" t="inlineStr">
        <is>
          <t>cochesnet:71531628</t>
        </is>
      </c>
      <c r="B109" s="2" t="inlineStr">
        <is>
          <t>cochesnet</t>
        </is>
      </c>
      <c r="C109" s="2" t="inlineStr">
        <is>
          <t>https://www.coches.net/opel-corsa-gasolina-2014-en-valencia-71531628-covo.aspx</t>
        </is>
      </c>
      <c r="D109" s="2" t="inlineStr">
        <is>
          <t>OPEL Corsa 1.4 Selective Start Stop</t>
        </is>
      </c>
      <c r="E109" s="2" t="inlineStr">
        <is>
          <t>Opel</t>
        </is>
      </c>
      <c r="F109" s="2" t="inlineStr">
        <is>
          <t>Opel Corsa</t>
        </is>
      </c>
      <c r="G109" s="2" t="inlineStr">
        <is>
          <t>1.4</t>
        </is>
      </c>
      <c r="H109" s="2" t="inlineStr">
        <is>
          <t>1.4 Selective Start  Stop</t>
        </is>
      </c>
      <c r="I109" s="2" t="n"/>
      <c r="J109" s="2" t="n"/>
      <c r="K109" s="2" t="inlineStr">
        <is>
          <t>gasolina</t>
        </is>
      </c>
      <c r="L109" s="2" t="inlineStr">
        <is>
          <t>utilitario</t>
        </is>
      </c>
      <c r="M109" s="2" t="n">
        <v>2014</v>
      </c>
      <c r="N109" s="2" t="n">
        <v>160000</v>
      </c>
      <c r="O109" s="2" t="n">
        <v>4000</v>
      </c>
      <c r="P109" s="2" t="inlineStr">
        <is>
          <t>manual</t>
        </is>
      </c>
      <c r="Q109" s="2" t="inlineStr">
        <is>
          <t>no</t>
        </is>
      </c>
      <c r="R109" s="2" t="inlineStr">
        <is>
          <t>particular</t>
        </is>
      </c>
      <c r="S109" s="2" t="inlineStr">
        <is>
          <t>Alzira</t>
        </is>
      </c>
      <c r="T109" s="2" t="inlineStr">
        <is>
          <t>2026-09-16T17:55:30Z</t>
        </is>
      </c>
      <c r="U109" s="2" t="n">
        <v>8</v>
      </c>
      <c r="V109" s="2" t="n"/>
      <c r="W109" s="2" t="n"/>
      <c r="X109" s="2" t="n"/>
      <c r="Y109" s="2" t="n"/>
      <c r="Z109" s="2" t="inlineStr">
        <is>
          <t>no</t>
        </is>
      </c>
      <c r="AA109" s="2" t="n"/>
      <c r="AB109" s="2" t="n"/>
      <c r="AC109" s="2" t="n"/>
      <c r="AD109" s="2" t="n"/>
      <c r="AE109" s="2" t="n"/>
      <c r="AF109" s="2" t="n"/>
      <c r="AG109" s="2" t="n"/>
      <c r="AH109" s="2" t="n">
        <v>4000</v>
      </c>
      <c r="AI109" s="2" t="n"/>
      <c r="AJ109" s="2" t="n"/>
      <c r="AK109" s="2" t="n"/>
      <c r="AL109" s="2" t="n"/>
      <c r="AM109" s="2" t="n">
        <v>35.7</v>
      </c>
      <c r="AN109" s="2" t="n">
        <v>4550</v>
      </c>
      <c r="AO109" s="2" t="n">
        <v>8</v>
      </c>
      <c r="AP109" s="2" t="inlineStr">
        <is>
          <t>modelo+año+km</t>
        </is>
      </c>
      <c r="AQ109" s="2" t="n"/>
      <c r="AR109" s="2" t="inlineStr">
        <is>
          <t>cuota fija ITP: &gt;5 y &lt;=12 años, hasta 1.500 cc</t>
        </is>
      </c>
      <c r="AS109" s="2" t="inlineStr">
        <is>
          <t>se vende por cambio de coche, 
perfecto para ir a trabajar
 no gasta casi nada de gasolina
6-7 es un mechero 
revisiones pasadas listo para 
conducir 
( NEGOCIABLE</t>
        </is>
      </c>
      <c r="AT109" s="2" t="inlineStr">
        <is>
          <t>https://www.coches.net/opel-corsa-gasolina-2014-en-valencia-71531628-covo.aspx (window.__INITIAL_PROPS__.ad) /home/user/Alopecia/buscador-coches/raw/cochesnet/d02eaf1dc9ab39c9.json</t>
        </is>
      </c>
      <c r="AU109" s="3">
        <f>MAX(ANIO_ACTUAL-M109,0)</f>
        <v/>
      </c>
      <c r="AV109" s="4">
        <f>N109/MAX(AU109,0.5)</f>
        <v/>
      </c>
      <c r="AW109" s="4">
        <f>F109</f>
        <v/>
      </c>
      <c r="AX109" s="3">
        <f>AW109&amp;"|"&amp;INT(M109/SEG_ANIO)*SEG_ANIO</f>
        <v/>
      </c>
      <c r="AY109" s="3">
        <f>AX109&amp;"|"&amp;INT(N109/SEG_KM)*SEG_KM</f>
        <v/>
      </c>
      <c r="AZ109" s="4">
        <f>COUNTIF($AW$2:$AW$662,AW109)</f>
        <v/>
      </c>
      <c r="BA109" s="4">
        <f>COUNTIF($AX$2:$AX$662,AX109)</f>
        <v/>
      </c>
      <c r="BB109" s="4">
        <f>COUNTIF($AY$2:$AY$662,AY109)</f>
        <v/>
      </c>
      <c r="BC109" s="3">
        <f t="array" ref="BC109">IF(N(AO109)&gt;=MIN_N,AN109,IF(BB109&gt;=MIN_N,MEDIAN(IF($AY$2:$AY$662=AY109,$O$2:$O$662)),IF(BA109&gt;=MIN_N,MEDIAN(IF($AX$2:$AX$662=AX109,$O$2:$O$662)),MEDIAN(IF($AW$2:$AW$662=AW109,$O$2:$O$662)))))</f>
        <v/>
      </c>
      <c r="BD109" s="3">
        <f>IF(N(AO109)&gt;=MIN_N,"mercado "&amp;AP109,IF(BB109&gt;=MIN_N,"modelo+año+km",IF(BA109&gt;=MIN_N,"modelo+año","modelo")))</f>
        <v/>
      </c>
      <c r="BE109" s="4">
        <f>(BC109-O109)/BC109</f>
        <v/>
      </c>
      <c r="BF109" s="3">
        <f>IF(OR(K109="hibrido",K109="glp"),"ECO",IF(K109="electrico","CERO",IF(K109="gasolina",IF(M109&gt;=GAS_C,"C",IF(M109&gt;=GAS_B,"B","A")),IF(K109="diesel",IF(M109&gt;=DIE_C,"C",IF(M109&gt;=DIE_B,"B","A")),""))))</f>
        <v/>
      </c>
      <c r="BG109" s="3">
        <f>IFERROR(VLOOKUP(F109,MOD_TBL,11,0),IFERROR(VLOOKUP(E109,OCU_TBL,2,0),NEUTRO))</f>
        <v/>
      </c>
      <c r="BH109" s="3">
        <f>SUMIFS(MOT_AJUSTE,MOT_MOTOR,G109,MOT_MARCA,E109,MOT_DESDE,"&lt;="&amp;M109,MOT_HASTA,"&gt;="&amp;M109)+SUMIFS(MOT_AJUSTE,MOT_MOTOR,G109,MOT_MARCA,"(todas)",MOT_DESDE,"&lt;="&amp;M109,MOT_HASTA,"&gt;="&amp;M109)</f>
        <v/>
      </c>
      <c r="BI109" s="3">
        <f>SUMIFS(COMB_AJUSTE,COMB_COMB,K109)</f>
        <v/>
      </c>
      <c r="BJ109" s="3">
        <f>COUNTIFS(MOT_MOTOR,G109,MOT_MARCA,E109,MOT_DESDE,"&lt;="&amp;M109,MOT_HASTA,"&gt;="&amp;M109)+COUNTIFS(MOT_MOTOR,G109,MOT_MARCA,"(todas)",MOT_DESDE,"&lt;="&amp;M109,MOT_HASTA,"&gt;="&amp;M109)</f>
        <v/>
      </c>
      <c r="BK109" s="3">
        <f>IF(AND(K109="diesel",BJ109=0),MIN(BG109,NEUTRO),BG109)</f>
        <v/>
      </c>
      <c r="BL109" s="4">
        <f>MAX(0,MIN(100,BK109+BH109+BI109))</f>
        <v/>
      </c>
      <c r="BM109" s="3">
        <f>MAX(0,MIN(100,50+BE109*PRECIO_PEND))</f>
        <v/>
      </c>
      <c r="BN109" s="3">
        <f>MAX(0,100*(1-N109/KM_MAX))</f>
        <v/>
      </c>
      <c r="BO109" s="3">
        <f>IF(AV109&lt;KMA_SOSP,IF(AA109="sí",100,KMA_PEN),IF(AV109&lt;=KMA_IDEAL_MAX,100,MAX(0,100*(KMA_CERO-AV109)/(KMA_CERO-KMA_IDEAL_MAX))))</f>
        <v/>
      </c>
      <c r="BP109" s="3">
        <f>MAX(0,MIN(100,100*(M109-ANIO_MIN)/(ANIO_ACTUAL-ANIO_MIN)))</f>
        <v/>
      </c>
      <c r="BQ109" s="3">
        <f>W_KMT*BN109+W_KMA*BO109+W_EDAD*BP109</f>
        <v/>
      </c>
      <c r="BR109" s="3">
        <f>P_ITV*(V109="sí")+P_LIBRO*(W109="sí")+P_CORREA*(X109="sí")+P_PROP*(Y109=1)+P_GAR*(Z109="sí")+P_FOTOS*MIN(1,N(U109)/FOTOS_OBJ)</f>
        <v/>
      </c>
      <c r="BS109" s="3">
        <f>IFERROR(VLOOKUP(BF109,ETQ_TBL,2,0),NEUTRO)</f>
        <v/>
      </c>
      <c r="BT109" s="3">
        <f>NEUTRO</f>
        <v/>
      </c>
      <c r="BU109" s="3">
        <f>IFERROR(VLOOKUP(L109,SEGURO_TBL,3,0),"")</f>
        <v/>
      </c>
      <c r="BV109" s="3">
        <f>IF(BU109="",NEUTRO,MAX(0,MIN(100,100*(SEG_REF_MAX-BU109)/(SEG_REF_MAX-SEG_REF_MIN))))</f>
        <v/>
      </c>
      <c r="BW109" s="3">
        <f>W_ET*BS109+W_CONS*BT109+W_SEG*BV109</f>
        <v/>
      </c>
      <c r="BX109" s="3">
        <f>IF(N(AB109)&gt;0,AB109,IF(AND(R109="profesional",SG_LEGAL_ON=1),GAR_LEGAL,0))</f>
        <v/>
      </c>
      <c r="BY109" s="3">
        <f>SG_GAR*MIN(1,BX109/SG_GAR_FULL)+SG_AMPL*(AC109="sí")+SG_KMC*(AF109="sí")+SG_REV*(N(AE109)&gt;0)+SG_DEV*MIN(1,N(AG109)/SG_DEV_FULL)+SG_HIST*(W109="sí")</f>
        <v/>
      </c>
      <c r="BZ109" s="3">
        <f>IFERROR(VLOOKUP(L109,CARR_PEN_TBL,2,0),0)</f>
        <v/>
      </c>
      <c r="CA109" s="3">
        <f>W_FIAB*BL109+W_PRECIO*BM109+W_KMEDAD*BQ109+W_ANUNCIO*BR109+W_USO*BW109+W_SEGURIDAD*BY109-BZ109</f>
        <v/>
      </c>
      <c r="CB109" s="4">
        <f>IF(N(I109)&gt;0,I109,IFERROR(ROUND(_xlfn.NUMBERVALUE(LEFT(G109,FIND(" ",G109&amp;" ")-1),".")*1000,0),99999))</f>
        <v/>
      </c>
      <c r="CC109" s="3">
        <f>IF(R109="profesional",0,IF(O109&lt;CUOTA_VALOR_MAX,IF(AU109&gt;ITP_TRAMO_ALTO,SUMIFS(CF_CUOTA,CF_MAS,ITP_TRAMO_ALTO,CF_CCMIN,"&lt;="&amp;CB109,CF_CCMAX,"&gt;="&amp;CB109),IF(AU109&gt;ITP_TRAMO_BAJO,SUMIFS(CF_CUOTA,CF_MAS,ITP_TRAMO_BAJO,CF_CCMIN,"&lt;="&amp;CB109,CF_CCMAX,"&gt;="&amp;CB109),O109*ITP_TIPO)),O109*ITP_TIPO))</f>
        <v/>
      </c>
      <c r="CD109" s="4">
        <f>IF(R109="profesional",N(AK109),0)</f>
        <v/>
      </c>
      <c r="CE109" s="3">
        <f>IF(AND(R109="profesional",ISNUMBER(AK109),AL109="sí"),0,TASA_DGT)</f>
        <v/>
      </c>
      <c r="CF109" s="3">
        <f>INFORME_DGT</f>
        <v/>
      </c>
      <c r="CG109" s="4">
        <f>O109+CD109+CC109+CE109+CF109</f>
        <v/>
      </c>
      <c r="CH109" s="4">
        <f>CG109+N(BU109)</f>
        <v/>
      </c>
      <c r="CI109" s="3">
        <f>IF(CG109&lt;=TOTAL_MAX,"sí",IF(CG109&lt;=TOTAL_MAX+MARGEN_NEG,"negociar","no"))</f>
        <v/>
      </c>
      <c r="CJ109" s="4">
        <f>IF(CI109&lt;&gt;"no",COUNTIFS($CI$2:$CI$662,"&lt;&gt;no",$CA$2:$CA$662,"&gt;"&amp;CA109)+COUNTIFS($CI$2:CI109,"&lt;&gt;no",$CA$2:CA109,CA109),"")</f>
        <v/>
      </c>
    </row>
    <row r="110">
      <c r="A110" s="2" t="inlineStr">
        <is>
          <t>cochesnet:71442825</t>
        </is>
      </c>
      <c r="B110" s="2" t="inlineStr">
        <is>
          <t>cochesnet</t>
        </is>
      </c>
      <c r="C110" s="2" t="inlineStr">
        <is>
          <t>https://www.coches.net/opel-corsa-14-selective-start--stop-3p-gasolina-2014-en-valencia-71442825-covo.aspx</t>
        </is>
      </c>
      <c r="D110" s="2" t="inlineStr">
        <is>
          <t>OPEL Corsa 1.4 Selective Start Stop</t>
        </is>
      </c>
      <c r="E110" s="2" t="inlineStr">
        <is>
          <t>Opel</t>
        </is>
      </c>
      <c r="F110" s="2" t="inlineStr">
        <is>
          <t>Opel Corsa</t>
        </is>
      </c>
      <c r="G110" s="2" t="inlineStr">
        <is>
          <t>1.4</t>
        </is>
      </c>
      <c r="H110" s="2" t="inlineStr">
        <is>
          <t>1.4 Selective Start  Stop</t>
        </is>
      </c>
      <c r="I110" s="2" t="n"/>
      <c r="J110" s="2" t="n"/>
      <c r="K110" s="2" t="inlineStr">
        <is>
          <t>gasolina</t>
        </is>
      </c>
      <c r="L110" s="2" t="inlineStr">
        <is>
          <t>utilitario</t>
        </is>
      </c>
      <c r="M110" s="2" t="n">
        <v>2014</v>
      </c>
      <c r="N110" s="2" t="n">
        <v>163000</v>
      </c>
      <c r="O110" s="2" t="n">
        <v>4600</v>
      </c>
      <c r="P110" s="2" t="inlineStr">
        <is>
          <t>manual</t>
        </is>
      </c>
      <c r="Q110" s="2" t="inlineStr">
        <is>
          <t>no</t>
        </is>
      </c>
      <c r="R110" s="2" t="inlineStr">
        <is>
          <t>particular</t>
        </is>
      </c>
      <c r="S110" s="2" t="inlineStr">
        <is>
          <t>Alzira</t>
        </is>
      </c>
      <c r="T110" s="2" t="inlineStr">
        <is>
          <t>2026-09-04T16:01:22Z</t>
        </is>
      </c>
      <c r="U110" s="2" t="n">
        <v>3</v>
      </c>
      <c r="V110" s="2" t="n"/>
      <c r="W110" s="2" t="n"/>
      <c r="X110" s="2" t="n"/>
      <c r="Y110" s="2" t="n"/>
      <c r="Z110" s="2" t="inlineStr">
        <is>
          <t>no</t>
        </is>
      </c>
      <c r="AA110" s="2" t="n"/>
      <c r="AB110" s="2" t="n"/>
      <c r="AC110" s="2" t="n"/>
      <c r="AD110" s="2" t="n"/>
      <c r="AE110" s="2" t="n"/>
      <c r="AF110" s="2" t="n"/>
      <c r="AG110" s="2" t="n"/>
      <c r="AH110" s="2" t="n">
        <v>4600</v>
      </c>
      <c r="AI110" s="2" t="n"/>
      <c r="AJ110" s="2" t="n"/>
      <c r="AK110" s="2" t="n"/>
      <c r="AL110" s="2" t="n"/>
      <c r="AM110" s="2" t="n">
        <v>35.7</v>
      </c>
      <c r="AN110" s="2" t="n">
        <v>4550</v>
      </c>
      <c r="AO110" s="2" t="n">
        <v>8</v>
      </c>
      <c r="AP110" s="2" t="inlineStr">
        <is>
          <t>modelo+año+km</t>
        </is>
      </c>
      <c r="AQ110" s="2" t="n"/>
      <c r="AR110" s="2" t="inlineStr">
        <is>
          <t>cuota fija ITP: &gt;5 y &lt;=12 años, hasta 1.500 cc</t>
        </is>
      </c>
      <c r="AS110" s="2" t="inlineStr">
        <is>
          <t xml:space="preserve">coche en vigor se vende por cambio de coche, 
garantia  oficial  hasta diciembre
vehiculo en muy buen estado con consumos muy bajos, bien cuidado durmiendo en garaje
NEGOCIABLE VENTA URGENTE
</t>
        </is>
      </c>
      <c r="AT110" s="2" t="inlineStr">
        <is>
          <t>https://www.coches.net/opel-corsa-14-selective-start--stop-3p-gasolina-2014-en-valencia-71442825-covo.aspx (window.__INITIAL_PROPS__.ad) /home/user/Alopecia/buscador-coches/raw/cochesnet/1f34c95fd0f4f3f4.json</t>
        </is>
      </c>
      <c r="AU110" s="3">
        <f>MAX(ANIO_ACTUAL-M110,0)</f>
        <v/>
      </c>
      <c r="AV110" s="4">
        <f>N110/MAX(AU110,0.5)</f>
        <v/>
      </c>
      <c r="AW110" s="4">
        <f>F110</f>
        <v/>
      </c>
      <c r="AX110" s="3">
        <f>AW110&amp;"|"&amp;INT(M110/SEG_ANIO)*SEG_ANIO</f>
        <v/>
      </c>
      <c r="AY110" s="3">
        <f>AX110&amp;"|"&amp;INT(N110/SEG_KM)*SEG_KM</f>
        <v/>
      </c>
      <c r="AZ110" s="4">
        <f>COUNTIF($AW$2:$AW$662,AW110)</f>
        <v/>
      </c>
      <c r="BA110" s="4">
        <f>COUNTIF($AX$2:$AX$662,AX110)</f>
        <v/>
      </c>
      <c r="BB110" s="4">
        <f>COUNTIF($AY$2:$AY$662,AY110)</f>
        <v/>
      </c>
      <c r="BC110" s="3">
        <f t="array" ref="BC110">IF(N(AO110)&gt;=MIN_N,AN110,IF(BB110&gt;=MIN_N,MEDIAN(IF($AY$2:$AY$662=AY110,$O$2:$O$662)),IF(BA110&gt;=MIN_N,MEDIAN(IF($AX$2:$AX$662=AX110,$O$2:$O$662)),MEDIAN(IF($AW$2:$AW$662=AW110,$O$2:$O$662)))))</f>
        <v/>
      </c>
      <c r="BD110" s="3">
        <f>IF(N(AO110)&gt;=MIN_N,"mercado "&amp;AP110,IF(BB110&gt;=MIN_N,"modelo+año+km",IF(BA110&gt;=MIN_N,"modelo+año","modelo")))</f>
        <v/>
      </c>
      <c r="BE110" s="4">
        <f>(BC110-O110)/BC110</f>
        <v/>
      </c>
      <c r="BF110" s="3">
        <f>IF(OR(K110="hibrido",K110="glp"),"ECO",IF(K110="electrico","CERO",IF(K110="gasolina",IF(M110&gt;=GAS_C,"C",IF(M110&gt;=GAS_B,"B","A")),IF(K110="diesel",IF(M110&gt;=DIE_C,"C",IF(M110&gt;=DIE_B,"B","A")),""))))</f>
        <v/>
      </c>
      <c r="BG110" s="3">
        <f>IFERROR(VLOOKUP(F110,MOD_TBL,11,0),IFERROR(VLOOKUP(E110,OCU_TBL,2,0),NEUTRO))</f>
        <v/>
      </c>
      <c r="BH110" s="3">
        <f>SUMIFS(MOT_AJUSTE,MOT_MOTOR,G110,MOT_MARCA,E110,MOT_DESDE,"&lt;="&amp;M110,MOT_HASTA,"&gt;="&amp;M110)+SUMIFS(MOT_AJUSTE,MOT_MOTOR,G110,MOT_MARCA,"(todas)",MOT_DESDE,"&lt;="&amp;M110,MOT_HASTA,"&gt;="&amp;M110)</f>
        <v/>
      </c>
      <c r="BI110" s="3">
        <f>SUMIFS(COMB_AJUSTE,COMB_COMB,K110)</f>
        <v/>
      </c>
      <c r="BJ110" s="3">
        <f>COUNTIFS(MOT_MOTOR,G110,MOT_MARCA,E110,MOT_DESDE,"&lt;="&amp;M110,MOT_HASTA,"&gt;="&amp;M110)+COUNTIFS(MOT_MOTOR,G110,MOT_MARCA,"(todas)",MOT_DESDE,"&lt;="&amp;M110,MOT_HASTA,"&gt;="&amp;M110)</f>
        <v/>
      </c>
      <c r="BK110" s="3">
        <f>IF(AND(K110="diesel",BJ110=0),MIN(BG110,NEUTRO),BG110)</f>
        <v/>
      </c>
      <c r="BL110" s="4">
        <f>MAX(0,MIN(100,BK110+BH110+BI110))</f>
        <v/>
      </c>
      <c r="BM110" s="3">
        <f>MAX(0,MIN(100,50+BE110*PRECIO_PEND))</f>
        <v/>
      </c>
      <c r="BN110" s="3">
        <f>MAX(0,100*(1-N110/KM_MAX))</f>
        <v/>
      </c>
      <c r="BO110" s="3">
        <f>IF(AV110&lt;KMA_SOSP,IF(AA110="sí",100,KMA_PEN),IF(AV110&lt;=KMA_IDEAL_MAX,100,MAX(0,100*(KMA_CERO-AV110)/(KMA_CERO-KMA_IDEAL_MAX))))</f>
        <v/>
      </c>
      <c r="BP110" s="3">
        <f>MAX(0,MIN(100,100*(M110-ANIO_MIN)/(ANIO_ACTUAL-ANIO_MIN)))</f>
        <v/>
      </c>
      <c r="BQ110" s="3">
        <f>W_KMT*BN110+W_KMA*BO110+W_EDAD*BP110</f>
        <v/>
      </c>
      <c r="BR110" s="3">
        <f>P_ITV*(V110="sí")+P_LIBRO*(W110="sí")+P_CORREA*(X110="sí")+P_PROP*(Y110=1)+P_GAR*(Z110="sí")+P_FOTOS*MIN(1,N(U110)/FOTOS_OBJ)</f>
        <v/>
      </c>
      <c r="BS110" s="3">
        <f>IFERROR(VLOOKUP(BF110,ETQ_TBL,2,0),NEUTRO)</f>
        <v/>
      </c>
      <c r="BT110" s="3">
        <f>NEUTRO</f>
        <v/>
      </c>
      <c r="BU110" s="3">
        <f>IFERROR(VLOOKUP(L110,SEGURO_TBL,3,0),"")</f>
        <v/>
      </c>
      <c r="BV110" s="3">
        <f>IF(BU110="",NEUTRO,MAX(0,MIN(100,100*(SEG_REF_MAX-BU110)/(SEG_REF_MAX-SEG_REF_MIN))))</f>
        <v/>
      </c>
      <c r="BW110" s="3">
        <f>W_ET*BS110+W_CONS*BT110+W_SEG*BV110</f>
        <v/>
      </c>
      <c r="BX110" s="3">
        <f>IF(N(AB110)&gt;0,AB110,IF(AND(R110="profesional",SG_LEGAL_ON=1),GAR_LEGAL,0))</f>
        <v/>
      </c>
      <c r="BY110" s="3">
        <f>SG_GAR*MIN(1,BX110/SG_GAR_FULL)+SG_AMPL*(AC110="sí")+SG_KMC*(AF110="sí")+SG_REV*(N(AE110)&gt;0)+SG_DEV*MIN(1,N(AG110)/SG_DEV_FULL)+SG_HIST*(W110="sí")</f>
        <v/>
      </c>
      <c r="BZ110" s="3">
        <f>IFERROR(VLOOKUP(L110,CARR_PEN_TBL,2,0),0)</f>
        <v/>
      </c>
      <c r="CA110" s="3">
        <f>W_FIAB*BL110+W_PRECIO*BM110+W_KMEDAD*BQ110+W_ANUNCIO*BR110+W_USO*BW110+W_SEGURIDAD*BY110-BZ110</f>
        <v/>
      </c>
      <c r="CB110" s="4">
        <f>IF(N(I110)&gt;0,I110,IFERROR(ROUND(_xlfn.NUMBERVALUE(LEFT(G110,FIND(" ",G110&amp;" ")-1),".")*1000,0),99999))</f>
        <v/>
      </c>
      <c r="CC110" s="3">
        <f>IF(R110="profesional",0,IF(O110&lt;CUOTA_VALOR_MAX,IF(AU110&gt;ITP_TRAMO_ALTO,SUMIFS(CF_CUOTA,CF_MAS,ITP_TRAMO_ALTO,CF_CCMIN,"&lt;="&amp;CB110,CF_CCMAX,"&gt;="&amp;CB110),IF(AU110&gt;ITP_TRAMO_BAJO,SUMIFS(CF_CUOTA,CF_MAS,ITP_TRAMO_BAJO,CF_CCMIN,"&lt;="&amp;CB110,CF_CCMAX,"&gt;="&amp;CB110),O110*ITP_TIPO)),O110*ITP_TIPO))</f>
        <v/>
      </c>
      <c r="CD110" s="4">
        <f>IF(R110="profesional",N(AK110),0)</f>
        <v/>
      </c>
      <c r="CE110" s="3">
        <f>IF(AND(R110="profesional",ISNUMBER(AK110),AL110="sí"),0,TASA_DGT)</f>
        <v/>
      </c>
      <c r="CF110" s="3">
        <f>INFORME_DGT</f>
        <v/>
      </c>
      <c r="CG110" s="4">
        <f>O110+CD110+CC110+CE110+CF110</f>
        <v/>
      </c>
      <c r="CH110" s="4">
        <f>CG110+N(BU110)</f>
        <v/>
      </c>
      <c r="CI110" s="3">
        <f>IF(CG110&lt;=TOTAL_MAX,"sí",IF(CG110&lt;=TOTAL_MAX+MARGEN_NEG,"negociar","no"))</f>
        <v/>
      </c>
      <c r="CJ110" s="4">
        <f>IF(CI110&lt;&gt;"no",COUNTIFS($CI$2:$CI$662,"&lt;&gt;no",$CA$2:$CA$662,"&gt;"&amp;CA110)+COUNTIFS($CI$2:CI110,"&lt;&gt;no",$CA$2:CA110,CA110),"")</f>
        <v/>
      </c>
    </row>
    <row r="111">
      <c r="A111" s="2" t="inlineStr">
        <is>
          <t>cochesnet:71399472</t>
        </is>
      </c>
      <c r="B111" s="2" t="inlineStr">
        <is>
          <t>cochesnet</t>
        </is>
      </c>
      <c r="C111" s="2" t="inlineStr">
        <is>
          <t>https://www.coches.net/opel-corsa-cosmo-13-cdti-5p-diesel-2008-en-valencia-71399472-covo.aspx</t>
        </is>
      </c>
      <c r="D111" s="2" t="inlineStr">
        <is>
          <t>OPEL Corsa Cosmo 1.3 CDTi</t>
        </is>
      </c>
      <c r="E111" s="2" t="inlineStr">
        <is>
          <t>Opel</t>
        </is>
      </c>
      <c r="F111" s="2" t="inlineStr">
        <is>
          <t>Opel Corsa</t>
        </is>
      </c>
      <c r="G111" s="2" t="inlineStr">
        <is>
          <t>1.3 CDTi</t>
        </is>
      </c>
      <c r="H111" s="2" t="inlineStr">
        <is>
          <t>Cosmo 1.3 CDTi</t>
        </is>
      </c>
      <c r="I111" s="2" t="n"/>
      <c r="J111" s="2" t="n"/>
      <c r="K111" s="2" t="inlineStr">
        <is>
          <t>diesel</t>
        </is>
      </c>
      <c r="L111" s="2" t="inlineStr">
        <is>
          <t>utilitario</t>
        </is>
      </c>
      <c r="M111" s="2" t="n">
        <v>2008</v>
      </c>
      <c r="N111" s="2" t="n">
        <v>210000</v>
      </c>
      <c r="O111" s="2" t="n">
        <v>4500</v>
      </c>
      <c r="P111" s="2" t="inlineStr">
        <is>
          <t>manual</t>
        </is>
      </c>
      <c r="Q111" s="2" t="inlineStr">
        <is>
          <t>no</t>
        </is>
      </c>
      <c r="R111" s="2" t="inlineStr">
        <is>
          <t>profesional</t>
        </is>
      </c>
      <c r="S111" s="2" t="inlineStr">
        <is>
          <t>Benimax auto sl Beniparrell</t>
        </is>
      </c>
      <c r="T111" s="2" t="inlineStr">
        <is>
          <t>2026-08-31T12:38:36Z</t>
        </is>
      </c>
      <c r="U111" s="2" t="n">
        <v>8</v>
      </c>
      <c r="V111" s="2" t="inlineStr">
        <is>
          <t>sí</t>
        </is>
      </c>
      <c r="W111" s="2" t="n"/>
      <c r="X111" s="2" t="n"/>
      <c r="Y111" s="2" t="n"/>
      <c r="Z111" s="2" t="inlineStr">
        <is>
          <t>sí</t>
        </is>
      </c>
      <c r="AA111" s="2" t="n"/>
      <c r="AB111" s="2" t="n">
        <v>12</v>
      </c>
      <c r="AC111" s="2" t="n"/>
      <c r="AD111" s="2" t="n"/>
      <c r="AE111" s="2" t="n"/>
      <c r="AF111" s="2" t="n"/>
      <c r="AG111" s="2" t="n"/>
      <c r="AH111" s="2" t="n">
        <v>4500</v>
      </c>
      <c r="AI111" s="2" t="n"/>
      <c r="AJ111" s="2" t="n"/>
      <c r="AK111" s="2" t="n"/>
      <c r="AL111" s="2" t="n"/>
      <c r="AM111" s="2" t="n">
        <v>10.2</v>
      </c>
      <c r="AN111" s="2" t="n">
        <v>2990</v>
      </c>
      <c r="AO111" s="2" t="n">
        <v>11</v>
      </c>
      <c r="AP111" s="2" t="inlineStr">
        <is>
          <t>modelo+año+km</t>
        </is>
      </c>
      <c r="AQ111" s="2" t="n"/>
      <c r="AR111" s="2" t="inlineStr">
        <is>
          <t>vendedor profesional: sin ITP (operación con IVA/REBU, confirmar en factura); gastos de gestión del vendedor no indicados: se suma la tasa DGT; preguntar el precio final</t>
        </is>
      </c>
      <c r="AS111" s="2" t="inlineStr">
        <is>
          <t>El vehículo se entrega en perfecto funcionamiento con la ITV en vigor y garantía de bloque motor y caja de cambios.
Cambio de nombre incluido en el precio.</t>
        </is>
      </c>
      <c r="AT111" s="2" t="inlineStr">
        <is>
          <t>https://www.coches.net/opel-corsa-cosmo-13-cdti-5p-diesel-2008-en-valencia-71399472-covo.aspx (window.__INITIAL_PROPS__.ad) /home/user/Alopecia/buscador-coches/raw/cochesnet/7368cd4b5b6a37b1.json</t>
        </is>
      </c>
      <c r="AU111" s="3">
        <f>MAX(ANIO_ACTUAL-M111,0)</f>
        <v/>
      </c>
      <c r="AV111" s="4">
        <f>N111/MAX(AU111,0.5)</f>
        <v/>
      </c>
      <c r="AW111" s="4">
        <f>F111</f>
        <v/>
      </c>
      <c r="AX111" s="3">
        <f>AW111&amp;"|"&amp;INT(M111/SEG_ANIO)*SEG_ANIO</f>
        <v/>
      </c>
      <c r="AY111" s="3">
        <f>AX111&amp;"|"&amp;INT(N111/SEG_KM)*SEG_KM</f>
        <v/>
      </c>
      <c r="AZ111" s="4">
        <f>COUNTIF($AW$2:$AW$662,AW111)</f>
        <v/>
      </c>
      <c r="BA111" s="4">
        <f>COUNTIF($AX$2:$AX$662,AX111)</f>
        <v/>
      </c>
      <c r="BB111" s="4">
        <f>COUNTIF($AY$2:$AY$662,AY111)</f>
        <v/>
      </c>
      <c r="BC111" s="3">
        <f t="array" ref="BC111">IF(N(AO111)&gt;=MIN_N,AN111,IF(BB111&gt;=MIN_N,MEDIAN(IF($AY$2:$AY$662=AY111,$O$2:$O$662)),IF(BA111&gt;=MIN_N,MEDIAN(IF($AX$2:$AX$662=AX111,$O$2:$O$662)),MEDIAN(IF($AW$2:$AW$662=AW111,$O$2:$O$662)))))</f>
        <v/>
      </c>
      <c r="BD111" s="3">
        <f>IF(N(AO111)&gt;=MIN_N,"mercado "&amp;AP111,IF(BB111&gt;=MIN_N,"modelo+año+km",IF(BA111&gt;=MIN_N,"modelo+año","modelo")))</f>
        <v/>
      </c>
      <c r="BE111" s="4">
        <f>(BC111-O111)/BC111</f>
        <v/>
      </c>
      <c r="BF111" s="3">
        <f>IF(OR(K111="hibrido",K111="glp"),"ECO",IF(K111="electrico","CERO",IF(K111="gasolina",IF(M111&gt;=GAS_C,"C",IF(M111&gt;=GAS_B,"B","A")),IF(K111="diesel",IF(M111&gt;=DIE_C,"C",IF(M111&gt;=DIE_B,"B","A")),""))))</f>
        <v/>
      </c>
      <c r="BG111" s="3">
        <f>IFERROR(VLOOKUP(F111,MOD_TBL,11,0),IFERROR(VLOOKUP(E111,OCU_TBL,2,0),NEUTRO))</f>
        <v/>
      </c>
      <c r="BH111" s="3">
        <f>SUMIFS(MOT_AJUSTE,MOT_MOTOR,G111,MOT_MARCA,E111,MOT_DESDE,"&lt;="&amp;M111,MOT_HASTA,"&gt;="&amp;M111)+SUMIFS(MOT_AJUSTE,MOT_MOTOR,G111,MOT_MARCA,"(todas)",MOT_DESDE,"&lt;="&amp;M111,MOT_HASTA,"&gt;="&amp;M111)</f>
        <v/>
      </c>
      <c r="BI111" s="3">
        <f>SUMIFS(COMB_AJUSTE,COMB_COMB,K111)</f>
        <v/>
      </c>
      <c r="BJ111" s="3">
        <f>COUNTIFS(MOT_MOTOR,G111,MOT_MARCA,E111,MOT_DESDE,"&lt;="&amp;M111,MOT_HASTA,"&gt;="&amp;M111)+COUNTIFS(MOT_MOTOR,G111,MOT_MARCA,"(todas)",MOT_DESDE,"&lt;="&amp;M111,MOT_HASTA,"&gt;="&amp;M111)</f>
        <v/>
      </c>
      <c r="BK111" s="3">
        <f>IF(AND(K111="diesel",BJ111=0),MIN(BG111,NEUTRO),BG111)</f>
        <v/>
      </c>
      <c r="BL111" s="4">
        <f>MAX(0,MIN(100,BK111+BH111+BI111))</f>
        <v/>
      </c>
      <c r="BM111" s="3">
        <f>MAX(0,MIN(100,50+BE111*PRECIO_PEND))</f>
        <v/>
      </c>
      <c r="BN111" s="3">
        <f>MAX(0,100*(1-N111/KM_MAX))</f>
        <v/>
      </c>
      <c r="BO111" s="3">
        <f>IF(AV111&lt;KMA_SOSP,IF(AA111="sí",100,KMA_PEN),IF(AV111&lt;=KMA_IDEAL_MAX,100,MAX(0,100*(KMA_CERO-AV111)/(KMA_CERO-KMA_IDEAL_MAX))))</f>
        <v/>
      </c>
      <c r="BP111" s="3">
        <f>MAX(0,MIN(100,100*(M111-ANIO_MIN)/(ANIO_ACTUAL-ANIO_MIN)))</f>
        <v/>
      </c>
      <c r="BQ111" s="3">
        <f>W_KMT*BN111+W_KMA*BO111+W_EDAD*BP111</f>
        <v/>
      </c>
      <c r="BR111" s="3">
        <f>P_ITV*(V111="sí")+P_LIBRO*(W111="sí")+P_CORREA*(X111="sí")+P_PROP*(Y111=1)+P_GAR*(Z111="sí")+P_FOTOS*MIN(1,N(U111)/FOTOS_OBJ)</f>
        <v/>
      </c>
      <c r="BS111" s="3">
        <f>IFERROR(VLOOKUP(BF111,ETQ_TBL,2,0),NEUTRO)</f>
        <v/>
      </c>
      <c r="BT111" s="3">
        <f>NEUTRO</f>
        <v/>
      </c>
      <c r="BU111" s="3">
        <f>IFERROR(VLOOKUP(L111,SEGURO_TBL,3,0),"")</f>
        <v/>
      </c>
      <c r="BV111" s="3">
        <f>IF(BU111="",NEUTRO,MAX(0,MIN(100,100*(SEG_REF_MAX-BU111)/(SEG_REF_MAX-SEG_REF_MIN))))</f>
        <v/>
      </c>
      <c r="BW111" s="3">
        <f>W_ET*BS111+W_CONS*BT111+W_SEG*BV111</f>
        <v/>
      </c>
      <c r="BX111" s="3">
        <f>IF(N(AB111)&gt;0,AB111,IF(AND(R111="profesional",SG_LEGAL_ON=1),GAR_LEGAL,0))</f>
        <v/>
      </c>
      <c r="BY111" s="3">
        <f>SG_GAR*MIN(1,BX111/SG_GAR_FULL)+SG_AMPL*(AC111="sí")+SG_KMC*(AF111="sí")+SG_REV*(N(AE111)&gt;0)+SG_DEV*MIN(1,N(AG111)/SG_DEV_FULL)+SG_HIST*(W111="sí")</f>
        <v/>
      </c>
      <c r="BZ111" s="3">
        <f>IFERROR(VLOOKUP(L111,CARR_PEN_TBL,2,0),0)</f>
        <v/>
      </c>
      <c r="CA111" s="3">
        <f>W_FIAB*BL111+W_PRECIO*BM111+W_KMEDAD*BQ111+W_ANUNCIO*BR111+W_USO*BW111+W_SEGURIDAD*BY111-BZ111</f>
        <v/>
      </c>
      <c r="CB111" s="4">
        <f>IF(N(I111)&gt;0,I111,IFERROR(ROUND(_xlfn.NUMBERVALUE(LEFT(G111,FIND(" ",G111&amp;" ")-1),".")*1000,0),99999))</f>
        <v/>
      </c>
      <c r="CC111" s="3">
        <f>IF(R111="profesional",0,IF(O111&lt;CUOTA_VALOR_MAX,IF(AU111&gt;ITP_TRAMO_ALTO,SUMIFS(CF_CUOTA,CF_MAS,ITP_TRAMO_ALTO,CF_CCMIN,"&lt;="&amp;CB111,CF_CCMAX,"&gt;="&amp;CB111),IF(AU111&gt;ITP_TRAMO_BAJO,SUMIFS(CF_CUOTA,CF_MAS,ITP_TRAMO_BAJO,CF_CCMIN,"&lt;="&amp;CB111,CF_CCMAX,"&gt;="&amp;CB111),O111*ITP_TIPO)),O111*ITP_TIPO))</f>
        <v/>
      </c>
      <c r="CD111" s="4">
        <f>IF(R111="profesional",N(AK111),0)</f>
        <v/>
      </c>
      <c r="CE111" s="3">
        <f>IF(AND(R111="profesional",ISNUMBER(AK111),AL111="sí"),0,TASA_DGT)</f>
        <v/>
      </c>
      <c r="CF111" s="3">
        <f>INFORME_DGT</f>
        <v/>
      </c>
      <c r="CG111" s="4">
        <f>O111+CD111+CC111+CE111+CF111</f>
        <v/>
      </c>
      <c r="CH111" s="4">
        <f>CG111+N(BU111)</f>
        <v/>
      </c>
      <c r="CI111" s="3">
        <f>IF(CG111&lt;=TOTAL_MAX,"sí",IF(CG111&lt;=TOTAL_MAX+MARGEN_NEG,"negociar","no"))</f>
        <v/>
      </c>
      <c r="CJ111" s="4">
        <f>IF(CI111&lt;&gt;"no",COUNTIFS($CI$2:$CI$662,"&lt;&gt;no",$CA$2:$CA$662,"&gt;"&amp;CA111)+COUNTIFS($CI$2:CI111,"&lt;&gt;no",$CA$2:CA111,CA111),"")</f>
        <v/>
      </c>
    </row>
    <row r="112">
      <c r="A112" s="2" t="inlineStr">
        <is>
          <t>cochesnet:71411401</t>
        </is>
      </c>
      <c r="B112" s="2" t="inlineStr">
        <is>
          <t>cochesnet</t>
        </is>
      </c>
      <c r="C112" s="2" t="inlineStr">
        <is>
          <t>https://www.coches.net/opel-corsa-diesel-2013-en-valencia-71411401-covo.aspx</t>
        </is>
      </c>
      <c r="D112" s="2" t="inlineStr">
        <is>
          <t>OPEL Corsa</t>
        </is>
      </c>
      <c r="E112" s="2" t="inlineStr">
        <is>
          <t>Opel</t>
        </is>
      </c>
      <c r="F112" s="2" t="inlineStr">
        <is>
          <t>Opel Corsa</t>
        </is>
      </c>
      <c r="G112" s="2" t="n"/>
      <c r="H112" s="2" t="n"/>
      <c r="I112" s="2" t="n"/>
      <c r="J112" s="2" t="n"/>
      <c r="K112" s="2" t="inlineStr">
        <is>
          <t>diesel</t>
        </is>
      </c>
      <c r="L112" s="2" t="inlineStr">
        <is>
          <t>utilitario</t>
        </is>
      </c>
      <c r="M112" s="2" t="n">
        <v>2013</v>
      </c>
      <c r="N112" s="2" t="n">
        <v>180000</v>
      </c>
      <c r="O112" s="2" t="n">
        <v>3999</v>
      </c>
      <c r="P112" s="2" t="inlineStr">
        <is>
          <t>manual</t>
        </is>
      </c>
      <c r="Q112" s="2" t="inlineStr">
        <is>
          <t>no</t>
        </is>
      </c>
      <c r="R112" s="2" t="inlineStr">
        <is>
          <t>particular</t>
        </is>
      </c>
      <c r="S112" s="2" t="inlineStr">
        <is>
          <t>Alboraya</t>
        </is>
      </c>
      <c r="T112" s="2" t="inlineStr">
        <is>
          <t>2026-09-01T10:58:08Z</t>
        </is>
      </c>
      <c r="U112" s="2" t="n">
        <v>9</v>
      </c>
      <c r="V112" s="2" t="n"/>
      <c r="W112" s="2" t="n"/>
      <c r="X112" s="2" t="n"/>
      <c r="Y112" s="2" t="n"/>
      <c r="Z112" s="2" t="inlineStr">
        <is>
          <t>no</t>
        </is>
      </c>
      <c r="AA112" s="2" t="n"/>
      <c r="AB112" s="2" t="n"/>
      <c r="AC112" s="2" t="n"/>
      <c r="AD112" s="2" t="n"/>
      <c r="AE112" s="2" t="n"/>
      <c r="AF112" s="2" t="n"/>
      <c r="AG112" s="2" t="n"/>
      <c r="AH112" s="2" t="n">
        <v>3999</v>
      </c>
      <c r="AI112" s="2" t="n"/>
      <c r="AJ112" s="2" t="n"/>
      <c r="AK112" s="2" t="n"/>
      <c r="AL112" s="2" t="n"/>
      <c r="AM112" s="2" t="n">
        <v>4</v>
      </c>
      <c r="AN112" s="2" t="n">
        <v>4550</v>
      </c>
      <c r="AO112" s="2" t="n">
        <v>8</v>
      </c>
      <c r="AP112" s="2" t="inlineStr">
        <is>
          <t>modelo+año+km</t>
        </is>
      </c>
      <c r="AQ112" s="2" t="n"/>
      <c r="AR112" s="2" t="inlineStr">
        <is>
          <t>cilindrada desconocida: se aplica el tramo de cuota fija más alto; antigüedad en el límite del tramo: depende de la fecha exacta de matriculación; cuota fija ITP: &gt;12 años, más de 2.000 cc; diésel: motor sin fuente de fiabilidad (fiabilidad limitada a neutra)</t>
        </is>
      </c>
      <c r="AS112" s="2" t="inlineStr">
        <is>
          <t xml:space="preserve">De promoción se vende Opel corsa, recién pasada la ITV, en perfecto estado, pantalla táctil nueva, motor Diésel 2013 le funciona todo en 3.999€. València </t>
        </is>
      </c>
      <c r="AT112" s="2" t="inlineStr">
        <is>
          <t>https://www.coches.net/opel-corsa-diesel-2013-en-valencia-71411401-covo.aspx (window.__INITIAL_PROPS__.ad) /home/user/Alopecia/buscador-coches/raw/cochesnet/3733effccce9ec6d.json</t>
        </is>
      </c>
      <c r="AU112" s="3">
        <f>MAX(ANIO_ACTUAL-M112,0)</f>
        <v/>
      </c>
      <c r="AV112" s="4">
        <f>N112/MAX(AU112,0.5)</f>
        <v/>
      </c>
      <c r="AW112" s="4">
        <f>F112</f>
        <v/>
      </c>
      <c r="AX112" s="3">
        <f>AW112&amp;"|"&amp;INT(M112/SEG_ANIO)*SEG_ANIO</f>
        <v/>
      </c>
      <c r="AY112" s="3">
        <f>AX112&amp;"|"&amp;INT(N112/SEG_KM)*SEG_KM</f>
        <v/>
      </c>
      <c r="AZ112" s="4">
        <f>COUNTIF($AW$2:$AW$662,AW112)</f>
        <v/>
      </c>
      <c r="BA112" s="4">
        <f>COUNTIF($AX$2:$AX$662,AX112)</f>
        <v/>
      </c>
      <c r="BB112" s="4">
        <f>COUNTIF($AY$2:$AY$662,AY112)</f>
        <v/>
      </c>
      <c r="BC112" s="3">
        <f t="array" ref="BC112">IF(N(AO112)&gt;=MIN_N,AN112,IF(BB112&gt;=MIN_N,MEDIAN(IF($AY$2:$AY$662=AY112,$O$2:$O$662)),IF(BA112&gt;=MIN_N,MEDIAN(IF($AX$2:$AX$662=AX112,$O$2:$O$662)),MEDIAN(IF($AW$2:$AW$662=AW112,$O$2:$O$662)))))</f>
        <v/>
      </c>
      <c r="BD112" s="3">
        <f>IF(N(AO112)&gt;=MIN_N,"mercado "&amp;AP112,IF(BB112&gt;=MIN_N,"modelo+año+km",IF(BA112&gt;=MIN_N,"modelo+año","modelo")))</f>
        <v/>
      </c>
      <c r="BE112" s="4">
        <f>(BC112-O112)/BC112</f>
        <v/>
      </c>
      <c r="BF112" s="3">
        <f>IF(OR(K112="hibrido",K112="glp"),"ECO",IF(K112="electrico","CERO",IF(K112="gasolina",IF(M112&gt;=GAS_C,"C",IF(M112&gt;=GAS_B,"B","A")),IF(K112="diesel",IF(M112&gt;=DIE_C,"C",IF(M112&gt;=DIE_B,"B","A")),""))))</f>
        <v/>
      </c>
      <c r="BG112" s="3">
        <f>IFERROR(VLOOKUP(F112,MOD_TBL,11,0),IFERROR(VLOOKUP(E112,OCU_TBL,2,0),NEUTRO))</f>
        <v/>
      </c>
      <c r="BH112" s="3">
        <f>SUMIFS(MOT_AJUSTE,MOT_MOTOR,G112,MOT_MARCA,E112,MOT_DESDE,"&lt;="&amp;M112,MOT_HASTA,"&gt;="&amp;M112)+SUMIFS(MOT_AJUSTE,MOT_MOTOR,G112,MOT_MARCA,"(todas)",MOT_DESDE,"&lt;="&amp;M112,MOT_HASTA,"&gt;="&amp;M112)</f>
        <v/>
      </c>
      <c r="BI112" s="3">
        <f>SUMIFS(COMB_AJUSTE,COMB_COMB,K112)</f>
        <v/>
      </c>
      <c r="BJ112" s="3">
        <f>COUNTIFS(MOT_MOTOR,G112,MOT_MARCA,E112,MOT_DESDE,"&lt;="&amp;M112,MOT_HASTA,"&gt;="&amp;M112)+COUNTIFS(MOT_MOTOR,G112,MOT_MARCA,"(todas)",MOT_DESDE,"&lt;="&amp;M112,MOT_HASTA,"&gt;="&amp;M112)</f>
        <v/>
      </c>
      <c r="BK112" s="3">
        <f>IF(AND(K112="diesel",BJ112=0),MIN(BG112,NEUTRO),BG112)</f>
        <v/>
      </c>
      <c r="BL112" s="4">
        <f>MAX(0,MIN(100,BK112+BH112+BI112))</f>
        <v/>
      </c>
      <c r="BM112" s="3">
        <f>MAX(0,MIN(100,50+BE112*PRECIO_PEND))</f>
        <v/>
      </c>
      <c r="BN112" s="3">
        <f>MAX(0,100*(1-N112/KM_MAX))</f>
        <v/>
      </c>
      <c r="BO112" s="3">
        <f>IF(AV112&lt;KMA_SOSP,IF(AA112="sí",100,KMA_PEN),IF(AV112&lt;=KMA_IDEAL_MAX,100,MAX(0,100*(KMA_CERO-AV112)/(KMA_CERO-KMA_IDEAL_MAX))))</f>
        <v/>
      </c>
      <c r="BP112" s="3">
        <f>MAX(0,MIN(100,100*(M112-ANIO_MIN)/(ANIO_ACTUAL-ANIO_MIN)))</f>
        <v/>
      </c>
      <c r="BQ112" s="3">
        <f>W_KMT*BN112+W_KMA*BO112+W_EDAD*BP112</f>
        <v/>
      </c>
      <c r="BR112" s="3">
        <f>P_ITV*(V112="sí")+P_LIBRO*(W112="sí")+P_CORREA*(X112="sí")+P_PROP*(Y112=1)+P_GAR*(Z112="sí")+P_FOTOS*MIN(1,N(U112)/FOTOS_OBJ)</f>
        <v/>
      </c>
      <c r="BS112" s="3">
        <f>IFERROR(VLOOKUP(BF112,ETQ_TBL,2,0),NEUTRO)</f>
        <v/>
      </c>
      <c r="BT112" s="3">
        <f>NEUTRO</f>
        <v/>
      </c>
      <c r="BU112" s="3">
        <f>IFERROR(VLOOKUP(L112,SEGURO_TBL,3,0),"")</f>
        <v/>
      </c>
      <c r="BV112" s="3">
        <f>IF(BU112="",NEUTRO,MAX(0,MIN(100,100*(SEG_REF_MAX-BU112)/(SEG_REF_MAX-SEG_REF_MIN))))</f>
        <v/>
      </c>
      <c r="BW112" s="3">
        <f>W_ET*BS112+W_CONS*BT112+W_SEG*BV112</f>
        <v/>
      </c>
      <c r="BX112" s="3">
        <f>IF(N(AB112)&gt;0,AB112,IF(AND(R112="profesional",SG_LEGAL_ON=1),GAR_LEGAL,0))</f>
        <v/>
      </c>
      <c r="BY112" s="3">
        <f>SG_GAR*MIN(1,BX112/SG_GAR_FULL)+SG_AMPL*(AC112="sí")+SG_KMC*(AF112="sí")+SG_REV*(N(AE112)&gt;0)+SG_DEV*MIN(1,N(AG112)/SG_DEV_FULL)+SG_HIST*(W112="sí")</f>
        <v/>
      </c>
      <c r="BZ112" s="3">
        <f>IFERROR(VLOOKUP(L112,CARR_PEN_TBL,2,0),0)</f>
        <v/>
      </c>
      <c r="CA112" s="3">
        <f>W_FIAB*BL112+W_PRECIO*BM112+W_KMEDAD*BQ112+W_ANUNCIO*BR112+W_USO*BW112+W_SEGURIDAD*BY112-BZ112</f>
        <v/>
      </c>
      <c r="CB112" s="4">
        <f>IF(N(I112)&gt;0,I112,IFERROR(ROUND(_xlfn.NUMBERVALUE(LEFT(G112,FIND(" ",G112&amp;" ")-1),".")*1000,0),99999))</f>
        <v/>
      </c>
      <c r="CC112" s="3">
        <f>IF(R112="profesional",0,IF(O112&lt;CUOTA_VALOR_MAX,IF(AU112&gt;ITP_TRAMO_ALTO,SUMIFS(CF_CUOTA,CF_MAS,ITP_TRAMO_ALTO,CF_CCMIN,"&lt;="&amp;CB112,CF_CCMAX,"&gt;="&amp;CB112),IF(AU112&gt;ITP_TRAMO_BAJO,SUMIFS(CF_CUOTA,CF_MAS,ITP_TRAMO_BAJO,CF_CCMIN,"&lt;="&amp;CB112,CF_CCMAX,"&gt;="&amp;CB112),O112*ITP_TIPO)),O112*ITP_TIPO))</f>
        <v/>
      </c>
      <c r="CD112" s="4">
        <f>IF(R112="profesional",N(AK112),0)</f>
        <v/>
      </c>
      <c r="CE112" s="3">
        <f>IF(AND(R112="profesional",ISNUMBER(AK112),AL112="sí"),0,TASA_DGT)</f>
        <v/>
      </c>
      <c r="CF112" s="3">
        <f>INFORME_DGT</f>
        <v/>
      </c>
      <c r="CG112" s="4">
        <f>O112+CD112+CC112+CE112+CF112</f>
        <v/>
      </c>
      <c r="CH112" s="4">
        <f>CG112+N(BU112)</f>
        <v/>
      </c>
      <c r="CI112" s="3">
        <f>IF(CG112&lt;=TOTAL_MAX,"sí",IF(CG112&lt;=TOTAL_MAX+MARGEN_NEG,"negociar","no"))</f>
        <v/>
      </c>
      <c r="CJ112" s="4">
        <f>IF(CI112&lt;&gt;"no",COUNTIFS($CI$2:$CI$662,"&lt;&gt;no",$CA$2:$CA$662,"&gt;"&amp;CA112)+COUNTIFS($CI$2:CI112,"&lt;&gt;no",$CA$2:CA112,CA112),"")</f>
        <v/>
      </c>
    </row>
    <row r="113">
      <c r="A113" s="2" t="inlineStr">
        <is>
          <t>cochesnet:71398067</t>
        </is>
      </c>
      <c r="B113" s="2" t="inlineStr">
        <is>
          <t>cochesnet</t>
        </is>
      </c>
      <c r="C113" s="2" t="inlineStr">
        <is>
          <t>https://www.coches.net/opel-corsa-cosmo-13-ecoflex-5p-diesel-2009-en-valencia-71398067-covo.aspx</t>
        </is>
      </c>
      <c r="D113" s="2" t="inlineStr">
        <is>
          <t>OPEL Corsa Cosmo 1.3 ecoFLEX</t>
        </is>
      </c>
      <c r="E113" s="2" t="inlineStr">
        <is>
          <t>Opel</t>
        </is>
      </c>
      <c r="F113" s="2" t="inlineStr">
        <is>
          <t>Opel Corsa</t>
        </is>
      </c>
      <c r="G113" s="2" t="inlineStr">
        <is>
          <t>1.3</t>
        </is>
      </c>
      <c r="H113" s="2" t="inlineStr">
        <is>
          <t>Cosmo 1.3 ecoFLEX</t>
        </is>
      </c>
      <c r="I113" s="2" t="n"/>
      <c r="J113" s="2" t="n"/>
      <c r="K113" s="2" t="inlineStr">
        <is>
          <t>diesel</t>
        </is>
      </c>
      <c r="L113" s="2" t="inlineStr">
        <is>
          <t>utilitario</t>
        </is>
      </c>
      <c r="M113" s="2" t="n">
        <v>2009</v>
      </c>
      <c r="N113" s="2" t="n">
        <v>120000</v>
      </c>
      <c r="O113" s="2" t="n">
        <v>3300</v>
      </c>
      <c r="P113" s="2" t="inlineStr">
        <is>
          <t>manual</t>
        </is>
      </c>
      <c r="Q113" s="2" t="inlineStr">
        <is>
          <t>no</t>
        </is>
      </c>
      <c r="R113" s="2" t="inlineStr">
        <is>
          <t>particular</t>
        </is>
      </c>
      <c r="S113" s="2" t="inlineStr">
        <is>
          <t>Valencia</t>
        </is>
      </c>
      <c r="T113" s="2" t="inlineStr">
        <is>
          <t>2026-08-31T10:55:27Z</t>
        </is>
      </c>
      <c r="U113" s="2" t="n">
        <v>4</v>
      </c>
      <c r="V113" s="2" t="inlineStr">
        <is>
          <t>sí</t>
        </is>
      </c>
      <c r="W113" s="2" t="n"/>
      <c r="X113" s="2" t="n"/>
      <c r="Y113" s="2" t="n"/>
      <c r="Z113" s="2" t="inlineStr">
        <is>
          <t>no</t>
        </is>
      </c>
      <c r="AA113" s="2" t="n"/>
      <c r="AB113" s="2" t="n"/>
      <c r="AC113" s="2" t="n"/>
      <c r="AD113" s="2" t="n"/>
      <c r="AE113" s="2" t="n"/>
      <c r="AF113" s="2" t="n"/>
      <c r="AG113" s="2" t="n"/>
      <c r="AH113" s="2" t="n">
        <v>3300</v>
      </c>
      <c r="AI113" s="2" t="n"/>
      <c r="AJ113" s="2" t="n"/>
      <c r="AK113" s="2" t="n"/>
      <c r="AL113" s="2" t="n"/>
      <c r="AM113" s="2" t="n">
        <v>0.1</v>
      </c>
      <c r="AN113" s="2" t="n">
        <v>3600</v>
      </c>
      <c r="AO113" s="2" t="n">
        <v>9</v>
      </c>
      <c r="AP113" s="2" t="inlineStr">
        <is>
          <t>modelo+año+km</t>
        </is>
      </c>
      <c r="AQ113" s="2" t="n"/>
      <c r="AR113" s="2" t="inlineStr">
        <is>
          <t>cuota fija ITP: &gt;12 años, hasta 1.500 cc; diésel: motor sin fuente de fiabilidad (fiabilidad limitada a neutra)</t>
        </is>
      </c>
      <c r="AS113" s="2" t="inlineStr">
        <is>
          <t xml:space="preserve">ITV recién pasada (Agosto 2026)
Funciona perfectamente y consume poquísimo 
Coche perfecto para romper mano o para uso diario 
Pequeño fallo en los altavoces que no se escuchan a la perfección pero son útiles
Chapa lateral trasera ligeramente levantada pero no le pusieron pegas en la ITV, no se aprecia prácticamente y su reparación es de bajo coste 
Pintura algo desgastada por el sol 
Precio ligeramente negociable 
</t>
        </is>
      </c>
      <c r="AT113" s="2" t="inlineStr">
        <is>
          <t>https://www.coches.net/opel-corsa-cosmo-13-ecoflex-5p-diesel-2009-en-valencia-71398067-covo.aspx (window.__INITIAL_PROPS__.ad) /home/user/Alopecia/buscador-coches/raw/cochesnet/492363561c87c562.json</t>
        </is>
      </c>
      <c r="AU113" s="3">
        <f>MAX(ANIO_ACTUAL-M113,0)</f>
        <v/>
      </c>
      <c r="AV113" s="4">
        <f>N113/MAX(AU113,0.5)</f>
        <v/>
      </c>
      <c r="AW113" s="4">
        <f>F113</f>
        <v/>
      </c>
      <c r="AX113" s="3">
        <f>AW113&amp;"|"&amp;INT(M113/SEG_ANIO)*SEG_ANIO</f>
        <v/>
      </c>
      <c r="AY113" s="3">
        <f>AX113&amp;"|"&amp;INT(N113/SEG_KM)*SEG_KM</f>
        <v/>
      </c>
      <c r="AZ113" s="4">
        <f>COUNTIF($AW$2:$AW$662,AW113)</f>
        <v/>
      </c>
      <c r="BA113" s="4">
        <f>COUNTIF($AX$2:$AX$662,AX113)</f>
        <v/>
      </c>
      <c r="BB113" s="4">
        <f>COUNTIF($AY$2:$AY$662,AY113)</f>
        <v/>
      </c>
      <c r="BC113" s="3">
        <f t="array" ref="BC113">IF(N(AO113)&gt;=MIN_N,AN113,IF(BB113&gt;=MIN_N,MEDIAN(IF($AY$2:$AY$662=AY113,$O$2:$O$662)),IF(BA113&gt;=MIN_N,MEDIAN(IF($AX$2:$AX$662=AX113,$O$2:$O$662)),MEDIAN(IF($AW$2:$AW$662=AW113,$O$2:$O$662)))))</f>
        <v/>
      </c>
      <c r="BD113" s="3">
        <f>IF(N(AO113)&gt;=MIN_N,"mercado "&amp;AP113,IF(BB113&gt;=MIN_N,"modelo+año+km",IF(BA113&gt;=MIN_N,"modelo+año","modelo")))</f>
        <v/>
      </c>
      <c r="BE113" s="4">
        <f>(BC113-O113)/BC113</f>
        <v/>
      </c>
      <c r="BF113" s="3">
        <f>IF(OR(K113="hibrido",K113="glp"),"ECO",IF(K113="electrico","CERO",IF(K113="gasolina",IF(M113&gt;=GAS_C,"C",IF(M113&gt;=GAS_B,"B","A")),IF(K113="diesel",IF(M113&gt;=DIE_C,"C",IF(M113&gt;=DIE_B,"B","A")),""))))</f>
        <v/>
      </c>
      <c r="BG113" s="3">
        <f>IFERROR(VLOOKUP(F113,MOD_TBL,11,0),IFERROR(VLOOKUP(E113,OCU_TBL,2,0),NEUTRO))</f>
        <v/>
      </c>
      <c r="BH113" s="3">
        <f>SUMIFS(MOT_AJUSTE,MOT_MOTOR,G113,MOT_MARCA,E113,MOT_DESDE,"&lt;="&amp;M113,MOT_HASTA,"&gt;="&amp;M113)+SUMIFS(MOT_AJUSTE,MOT_MOTOR,G113,MOT_MARCA,"(todas)",MOT_DESDE,"&lt;="&amp;M113,MOT_HASTA,"&gt;="&amp;M113)</f>
        <v/>
      </c>
      <c r="BI113" s="3">
        <f>SUMIFS(COMB_AJUSTE,COMB_COMB,K113)</f>
        <v/>
      </c>
      <c r="BJ113" s="3">
        <f>COUNTIFS(MOT_MOTOR,G113,MOT_MARCA,E113,MOT_DESDE,"&lt;="&amp;M113,MOT_HASTA,"&gt;="&amp;M113)+COUNTIFS(MOT_MOTOR,G113,MOT_MARCA,"(todas)",MOT_DESDE,"&lt;="&amp;M113,MOT_HASTA,"&gt;="&amp;M113)</f>
        <v/>
      </c>
      <c r="BK113" s="3">
        <f>IF(AND(K113="diesel",BJ113=0),MIN(BG113,NEUTRO),BG113)</f>
        <v/>
      </c>
      <c r="BL113" s="4">
        <f>MAX(0,MIN(100,BK113+BH113+BI113))</f>
        <v/>
      </c>
      <c r="BM113" s="3">
        <f>MAX(0,MIN(100,50+BE113*PRECIO_PEND))</f>
        <v/>
      </c>
      <c r="BN113" s="3">
        <f>MAX(0,100*(1-N113/KM_MAX))</f>
        <v/>
      </c>
      <c r="BO113" s="3">
        <f>IF(AV113&lt;KMA_SOSP,IF(AA113="sí",100,KMA_PEN),IF(AV113&lt;=KMA_IDEAL_MAX,100,MAX(0,100*(KMA_CERO-AV113)/(KMA_CERO-KMA_IDEAL_MAX))))</f>
        <v/>
      </c>
      <c r="BP113" s="3">
        <f>MAX(0,MIN(100,100*(M113-ANIO_MIN)/(ANIO_ACTUAL-ANIO_MIN)))</f>
        <v/>
      </c>
      <c r="BQ113" s="3">
        <f>W_KMT*BN113+W_KMA*BO113+W_EDAD*BP113</f>
        <v/>
      </c>
      <c r="BR113" s="3">
        <f>P_ITV*(V113="sí")+P_LIBRO*(W113="sí")+P_CORREA*(X113="sí")+P_PROP*(Y113=1)+P_GAR*(Z113="sí")+P_FOTOS*MIN(1,N(U113)/FOTOS_OBJ)</f>
        <v/>
      </c>
      <c r="BS113" s="3">
        <f>IFERROR(VLOOKUP(BF113,ETQ_TBL,2,0),NEUTRO)</f>
        <v/>
      </c>
      <c r="BT113" s="3">
        <f>NEUTRO</f>
        <v/>
      </c>
      <c r="BU113" s="3">
        <f>IFERROR(VLOOKUP(L113,SEGURO_TBL,3,0),"")</f>
        <v/>
      </c>
      <c r="BV113" s="3">
        <f>IF(BU113="",NEUTRO,MAX(0,MIN(100,100*(SEG_REF_MAX-BU113)/(SEG_REF_MAX-SEG_REF_MIN))))</f>
        <v/>
      </c>
      <c r="BW113" s="3">
        <f>W_ET*BS113+W_CONS*BT113+W_SEG*BV113</f>
        <v/>
      </c>
      <c r="BX113" s="3">
        <f>IF(N(AB113)&gt;0,AB113,IF(AND(R113="profesional",SG_LEGAL_ON=1),GAR_LEGAL,0))</f>
        <v/>
      </c>
      <c r="BY113" s="3">
        <f>SG_GAR*MIN(1,BX113/SG_GAR_FULL)+SG_AMPL*(AC113="sí")+SG_KMC*(AF113="sí")+SG_REV*(N(AE113)&gt;0)+SG_DEV*MIN(1,N(AG113)/SG_DEV_FULL)+SG_HIST*(W113="sí")</f>
        <v/>
      </c>
      <c r="BZ113" s="3">
        <f>IFERROR(VLOOKUP(L113,CARR_PEN_TBL,2,0),0)</f>
        <v/>
      </c>
      <c r="CA113" s="3">
        <f>W_FIAB*BL113+W_PRECIO*BM113+W_KMEDAD*BQ113+W_ANUNCIO*BR113+W_USO*BW113+W_SEGURIDAD*BY113-BZ113</f>
        <v/>
      </c>
      <c r="CB113" s="4">
        <f>IF(N(I113)&gt;0,I113,IFERROR(ROUND(_xlfn.NUMBERVALUE(LEFT(G113,FIND(" ",G113&amp;" ")-1),".")*1000,0),99999))</f>
        <v/>
      </c>
      <c r="CC113" s="3">
        <f>IF(R113="profesional",0,IF(O113&lt;CUOTA_VALOR_MAX,IF(AU113&gt;ITP_TRAMO_ALTO,SUMIFS(CF_CUOTA,CF_MAS,ITP_TRAMO_ALTO,CF_CCMIN,"&lt;="&amp;CB113,CF_CCMAX,"&gt;="&amp;CB113),IF(AU113&gt;ITP_TRAMO_BAJO,SUMIFS(CF_CUOTA,CF_MAS,ITP_TRAMO_BAJO,CF_CCMIN,"&lt;="&amp;CB113,CF_CCMAX,"&gt;="&amp;CB113),O113*ITP_TIPO)),O113*ITP_TIPO))</f>
        <v/>
      </c>
      <c r="CD113" s="4">
        <f>IF(R113="profesional",N(AK113),0)</f>
        <v/>
      </c>
      <c r="CE113" s="3">
        <f>IF(AND(R113="profesional",ISNUMBER(AK113),AL113="sí"),0,TASA_DGT)</f>
        <v/>
      </c>
      <c r="CF113" s="3">
        <f>INFORME_DGT</f>
        <v/>
      </c>
      <c r="CG113" s="4">
        <f>O113+CD113+CC113+CE113+CF113</f>
        <v/>
      </c>
      <c r="CH113" s="4">
        <f>CG113+N(BU113)</f>
        <v/>
      </c>
      <c r="CI113" s="3">
        <f>IF(CG113&lt;=TOTAL_MAX,"sí",IF(CG113&lt;=TOTAL_MAX+MARGEN_NEG,"negociar","no"))</f>
        <v/>
      </c>
      <c r="CJ113" s="4">
        <f>IF(CI113&lt;&gt;"no",COUNTIFS($CI$2:$CI$662,"&lt;&gt;no",$CA$2:$CA$662,"&gt;"&amp;CA113)+COUNTIFS($CI$2:CI113,"&lt;&gt;no",$CA$2:CA113,CA113),"")</f>
        <v/>
      </c>
    </row>
    <row r="114">
      <c r="A114" s="2" t="inlineStr">
        <is>
          <t>cochesnet:71876224</t>
        </is>
      </c>
      <c r="B114" s="2" t="inlineStr">
        <is>
          <t>cochesnet</t>
        </is>
      </c>
      <c r="C114" s="2" t="inlineStr">
        <is>
          <t>https://www.coches.net/opel-astra-gtc-14-16v-essentia-3p-gasolina-2009-en-valencia-71876224-covo.aspx</t>
        </is>
      </c>
      <c r="D114" s="2" t="inlineStr">
        <is>
          <t>OPEL Astra GTC 1.4 16v Essentia</t>
        </is>
      </c>
      <c r="E114" s="2" t="inlineStr">
        <is>
          <t>Opel</t>
        </is>
      </c>
      <c r="F114" s="2" t="inlineStr">
        <is>
          <t>Opel Astra</t>
        </is>
      </c>
      <c r="G114" s="2" t="inlineStr">
        <is>
          <t>1.4</t>
        </is>
      </c>
      <c r="H114" s="2" t="inlineStr">
        <is>
          <t>GTC 1.4 16v Essentia</t>
        </is>
      </c>
      <c r="I114" s="2" t="n"/>
      <c r="J114" s="2" t="n"/>
      <c r="K114" s="2" t="inlineStr">
        <is>
          <t>gasolina</t>
        </is>
      </c>
      <c r="L114" s="2" t="inlineStr">
        <is>
          <t>compacto</t>
        </is>
      </c>
      <c r="M114" s="2" t="n">
        <v>2009</v>
      </c>
      <c r="N114" s="2" t="n">
        <v>121000</v>
      </c>
      <c r="O114" s="2" t="n">
        <v>3990</v>
      </c>
      <c r="P114" s="2" t="inlineStr">
        <is>
          <t>manual</t>
        </is>
      </c>
      <c r="Q114" s="2" t="inlineStr">
        <is>
          <t>no</t>
        </is>
      </c>
      <c r="R114" s="2" t="inlineStr">
        <is>
          <t>profesional</t>
        </is>
      </c>
      <c r="S114" s="2" t="inlineStr">
        <is>
          <t>AutoEco Valencia</t>
        </is>
      </c>
      <c r="T114" s="2" t="inlineStr">
        <is>
          <t>2026-10-31T00:52:16Z</t>
        </is>
      </c>
      <c r="U114" s="2" t="n">
        <v>5</v>
      </c>
      <c r="V114" s="2" t="n"/>
      <c r="W114" s="2" t="inlineStr">
        <is>
          <t>sí</t>
        </is>
      </c>
      <c r="X114" s="2" t="n"/>
      <c r="Y114" s="2" t="n"/>
      <c r="Z114" s="2" t="inlineStr">
        <is>
          <t>sí</t>
        </is>
      </c>
      <c r="AA114" s="2" t="n"/>
      <c r="AB114" s="2" t="n">
        <v>12</v>
      </c>
      <c r="AC114" s="2" t="n"/>
      <c r="AD114" s="2" t="n"/>
      <c r="AE114" s="2" t="n"/>
      <c r="AF114" s="2" t="n"/>
      <c r="AG114" s="2" t="n"/>
      <c r="AH114" s="2" t="n">
        <v>3990</v>
      </c>
      <c r="AI114" s="2" t="n">
        <v>3990</v>
      </c>
      <c r="AJ114" s="2" t="n"/>
      <c r="AK114" s="2" t="n"/>
      <c r="AL114" s="2" t="n"/>
      <c r="AM114" s="2" t="n">
        <v>0.1</v>
      </c>
      <c r="AN114" s="2" t="n">
        <v>4445</v>
      </c>
      <c r="AO114" s="2" t="n">
        <v>10</v>
      </c>
      <c r="AP114" s="2" t="inlineStr">
        <is>
          <t>modelo+año+km</t>
        </is>
      </c>
      <c r="AQ114" s="2" t="n"/>
      <c r="AR114" s="2" t="inlineStr">
        <is>
          <t>vendedor profesional: sin ITP (operación con IVA/REBU, confirmar en factura); gastos de gestión del vendedor no indicados: se suma la tasa DGT; preguntar el precio final</t>
        </is>
      </c>
      <c r="AS114"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-Luces xenon.
-Aire acondicionado.
-Pantalla Android táctil con sistema de navegación.
-Llantas de aleación.
-Gran espacio interior y amplitud de maletero.
- 1 año de Garantía incluida en precio con opción de ampliación. 
*Se entrega con ITV y mantenimiento al día, listo para circular.*
Este anuncio puede contener algún error tipográfico o de transcripción. 
Para más información contacten sin compromiso.</t>
        </is>
      </c>
      <c r="AT114" s="2" t="inlineStr">
        <is>
          <t>https://www.coches.net/opel-astra-gtc-14-16v-essentia-3p-gasolina-2009-en-valencia-71876224-covo.aspx (window.__INITIAL_PROPS__.ad) /home/user/Alopecia/buscador-coches/raw/cochesnet/6280a944348bcd0b.json</t>
        </is>
      </c>
      <c r="AU114" s="3">
        <f>MAX(ANIO_ACTUAL-M114,0)</f>
        <v/>
      </c>
      <c r="AV114" s="4">
        <f>N114/MAX(AU114,0.5)</f>
        <v/>
      </c>
      <c r="AW114" s="4">
        <f>F114</f>
        <v/>
      </c>
      <c r="AX114" s="3">
        <f>AW114&amp;"|"&amp;INT(M114/SEG_ANIO)*SEG_ANIO</f>
        <v/>
      </c>
      <c r="AY114" s="3">
        <f>AX114&amp;"|"&amp;INT(N114/SEG_KM)*SEG_KM</f>
        <v/>
      </c>
      <c r="AZ114" s="4">
        <f>COUNTIF($AW$2:$AW$662,AW114)</f>
        <v/>
      </c>
      <c r="BA114" s="4">
        <f>COUNTIF($AX$2:$AX$662,AX114)</f>
        <v/>
      </c>
      <c r="BB114" s="4">
        <f>COUNTIF($AY$2:$AY$662,AY114)</f>
        <v/>
      </c>
      <c r="BC114" s="3">
        <f t="array" ref="BC114">IF(N(AO114)&gt;=MIN_N,AN114,IF(BB114&gt;=MIN_N,MEDIAN(IF($AY$2:$AY$662=AY114,$O$2:$O$662)),IF(BA114&gt;=MIN_N,MEDIAN(IF($AX$2:$AX$662=AX114,$O$2:$O$662)),MEDIAN(IF($AW$2:$AW$662=AW114,$O$2:$O$662)))))</f>
        <v/>
      </c>
      <c r="BD114" s="3">
        <f>IF(N(AO114)&gt;=MIN_N,"mercado "&amp;AP114,IF(BB114&gt;=MIN_N,"modelo+año+km",IF(BA114&gt;=MIN_N,"modelo+año","modelo")))</f>
        <v/>
      </c>
      <c r="BE114" s="4">
        <f>(BC114-O114)/BC114</f>
        <v/>
      </c>
      <c r="BF114" s="3">
        <f>IF(OR(K114="hibrido",K114="glp"),"ECO",IF(K114="electrico","CERO",IF(K114="gasolina",IF(M114&gt;=GAS_C,"C",IF(M114&gt;=GAS_B,"B","A")),IF(K114="diesel",IF(M114&gt;=DIE_C,"C",IF(M114&gt;=DIE_B,"B","A")),""))))</f>
        <v/>
      </c>
      <c r="BG114" s="3">
        <f>IFERROR(VLOOKUP(F114,MOD_TBL,11,0),IFERROR(VLOOKUP(E114,OCU_TBL,2,0),NEUTRO))</f>
        <v/>
      </c>
      <c r="BH114" s="3">
        <f>SUMIFS(MOT_AJUSTE,MOT_MOTOR,G114,MOT_MARCA,E114,MOT_DESDE,"&lt;="&amp;M114,MOT_HASTA,"&gt;="&amp;M114)+SUMIFS(MOT_AJUSTE,MOT_MOTOR,G114,MOT_MARCA,"(todas)",MOT_DESDE,"&lt;="&amp;M114,MOT_HASTA,"&gt;="&amp;M114)</f>
        <v/>
      </c>
      <c r="BI114" s="3">
        <f>SUMIFS(COMB_AJUSTE,COMB_COMB,K114)</f>
        <v/>
      </c>
      <c r="BJ114" s="3">
        <f>COUNTIFS(MOT_MOTOR,G114,MOT_MARCA,E114,MOT_DESDE,"&lt;="&amp;M114,MOT_HASTA,"&gt;="&amp;M114)+COUNTIFS(MOT_MOTOR,G114,MOT_MARCA,"(todas)",MOT_DESDE,"&lt;="&amp;M114,MOT_HASTA,"&gt;="&amp;M114)</f>
        <v/>
      </c>
      <c r="BK114" s="3">
        <f>IF(AND(K114="diesel",BJ114=0),MIN(BG114,NEUTRO),BG114)</f>
        <v/>
      </c>
      <c r="BL114" s="4">
        <f>MAX(0,MIN(100,BK114+BH114+BI114))</f>
        <v/>
      </c>
      <c r="BM114" s="3">
        <f>MAX(0,MIN(100,50+BE114*PRECIO_PEND))</f>
        <v/>
      </c>
      <c r="BN114" s="3">
        <f>MAX(0,100*(1-N114/KM_MAX))</f>
        <v/>
      </c>
      <c r="BO114" s="3">
        <f>IF(AV114&lt;KMA_SOSP,IF(AA114="sí",100,KMA_PEN),IF(AV114&lt;=KMA_IDEAL_MAX,100,MAX(0,100*(KMA_CERO-AV114)/(KMA_CERO-KMA_IDEAL_MAX))))</f>
        <v/>
      </c>
      <c r="BP114" s="3">
        <f>MAX(0,MIN(100,100*(M114-ANIO_MIN)/(ANIO_ACTUAL-ANIO_MIN)))</f>
        <v/>
      </c>
      <c r="BQ114" s="3">
        <f>W_KMT*BN114+W_KMA*BO114+W_EDAD*BP114</f>
        <v/>
      </c>
      <c r="BR114" s="3">
        <f>P_ITV*(V114="sí")+P_LIBRO*(W114="sí")+P_CORREA*(X114="sí")+P_PROP*(Y114=1)+P_GAR*(Z114="sí")+P_FOTOS*MIN(1,N(U114)/FOTOS_OBJ)</f>
        <v/>
      </c>
      <c r="BS114" s="3">
        <f>IFERROR(VLOOKUP(BF114,ETQ_TBL,2,0),NEUTRO)</f>
        <v/>
      </c>
      <c r="BT114" s="3">
        <f>NEUTRO</f>
        <v/>
      </c>
      <c r="BU114" s="3">
        <f>IFERROR(VLOOKUP(L114,SEGURO_TBL,3,0),"")</f>
        <v/>
      </c>
      <c r="BV114" s="3">
        <f>IF(BU114="",NEUTRO,MAX(0,MIN(100,100*(SEG_REF_MAX-BU114)/(SEG_REF_MAX-SEG_REF_MIN))))</f>
        <v/>
      </c>
      <c r="BW114" s="3">
        <f>W_ET*BS114+W_CONS*BT114+W_SEG*BV114</f>
        <v/>
      </c>
      <c r="BX114" s="3">
        <f>IF(N(AB114)&gt;0,AB114,IF(AND(R114="profesional",SG_LEGAL_ON=1),GAR_LEGAL,0))</f>
        <v/>
      </c>
      <c r="BY114" s="3">
        <f>SG_GAR*MIN(1,BX114/SG_GAR_FULL)+SG_AMPL*(AC114="sí")+SG_KMC*(AF114="sí")+SG_REV*(N(AE114)&gt;0)+SG_DEV*MIN(1,N(AG114)/SG_DEV_FULL)+SG_HIST*(W114="sí")</f>
        <v/>
      </c>
      <c r="BZ114" s="3">
        <f>IFERROR(VLOOKUP(L114,CARR_PEN_TBL,2,0),0)</f>
        <v/>
      </c>
      <c r="CA114" s="3">
        <f>W_FIAB*BL114+W_PRECIO*BM114+W_KMEDAD*BQ114+W_ANUNCIO*BR114+W_USO*BW114+W_SEGURIDAD*BY114-BZ114</f>
        <v/>
      </c>
      <c r="CB114" s="4">
        <f>IF(N(I114)&gt;0,I114,IFERROR(ROUND(_xlfn.NUMBERVALUE(LEFT(G114,FIND(" ",G114&amp;" ")-1),".")*1000,0),99999))</f>
        <v/>
      </c>
      <c r="CC114" s="3">
        <f>IF(R114="profesional",0,IF(O114&lt;CUOTA_VALOR_MAX,IF(AU114&gt;ITP_TRAMO_ALTO,SUMIFS(CF_CUOTA,CF_MAS,ITP_TRAMO_ALTO,CF_CCMIN,"&lt;="&amp;CB114,CF_CCMAX,"&gt;="&amp;CB114),IF(AU114&gt;ITP_TRAMO_BAJO,SUMIFS(CF_CUOTA,CF_MAS,ITP_TRAMO_BAJO,CF_CCMIN,"&lt;="&amp;CB114,CF_CCMAX,"&gt;="&amp;CB114),O114*ITP_TIPO)),O114*ITP_TIPO))</f>
        <v/>
      </c>
      <c r="CD114" s="4">
        <f>IF(R114="profesional",N(AK114),0)</f>
        <v/>
      </c>
      <c r="CE114" s="3">
        <f>IF(AND(R114="profesional",ISNUMBER(AK114),AL114="sí"),0,TASA_DGT)</f>
        <v/>
      </c>
      <c r="CF114" s="3">
        <f>INFORME_DGT</f>
        <v/>
      </c>
      <c r="CG114" s="4">
        <f>O114+CD114+CC114+CE114+CF114</f>
        <v/>
      </c>
      <c r="CH114" s="4">
        <f>CG114+N(BU114)</f>
        <v/>
      </c>
      <c r="CI114" s="3">
        <f>IF(CG114&lt;=TOTAL_MAX,"sí",IF(CG114&lt;=TOTAL_MAX+MARGEN_NEG,"negociar","no"))</f>
        <v/>
      </c>
      <c r="CJ114" s="4">
        <f>IF(CI114&lt;&gt;"no",COUNTIFS($CI$2:$CI$662,"&lt;&gt;no",$CA$2:$CA$662,"&gt;"&amp;CA114)+COUNTIFS($CI$2:CI114,"&lt;&gt;no",$CA$2:CA114,CA114),"")</f>
        <v/>
      </c>
    </row>
    <row r="115">
      <c r="A115" s="2" t="inlineStr">
        <is>
          <t>cochesnet:71872803</t>
        </is>
      </c>
      <c r="B115" s="2" t="inlineStr">
        <is>
          <t>cochesnet</t>
        </is>
      </c>
      <c r="C115" s="2" t="inlineStr">
        <is>
          <t>https://www.coches.net/opel-astra-17-cdti-cosmo-5p-diesel-2009-en-valencia-71872803-covo.aspx</t>
        </is>
      </c>
      <c r="D115" s="2" t="inlineStr">
        <is>
          <t>OPEL Astra 1.7 CDTi Cosmo</t>
        </is>
      </c>
      <c r="E115" s="2" t="inlineStr">
        <is>
          <t>Opel</t>
        </is>
      </c>
      <c r="F115" s="2" t="inlineStr">
        <is>
          <t>Opel Astra</t>
        </is>
      </c>
      <c r="G115" s="2" t="inlineStr">
        <is>
          <t>1.7 CDTi</t>
        </is>
      </c>
      <c r="H115" s="2" t="inlineStr">
        <is>
          <t>1.7 CDTi Cosmo</t>
        </is>
      </c>
      <c r="I115" s="2" t="n"/>
      <c r="J115" s="2" t="n"/>
      <c r="K115" s="2" t="inlineStr">
        <is>
          <t>diesel</t>
        </is>
      </c>
      <c r="L115" s="2" t="inlineStr">
        <is>
          <t>compacto</t>
        </is>
      </c>
      <c r="M115" s="2" t="n">
        <v>2009</v>
      </c>
      <c r="N115" s="2" t="n">
        <v>190000</v>
      </c>
      <c r="O115" s="2" t="n">
        <v>3500</v>
      </c>
      <c r="P115" s="2" t="inlineStr">
        <is>
          <t>manual</t>
        </is>
      </c>
      <c r="Q115" s="2" t="inlineStr">
        <is>
          <t>no</t>
        </is>
      </c>
      <c r="R115" s="2" t="inlineStr">
        <is>
          <t>particular</t>
        </is>
      </c>
      <c r="S115" s="2" t="n"/>
      <c r="T115" s="2" t="inlineStr">
        <is>
          <t>2026-10-30T14:02:39Z</t>
        </is>
      </c>
      <c r="U115" s="2" t="n">
        <v>6</v>
      </c>
      <c r="V115" s="2" t="inlineStr">
        <is>
          <t>sí</t>
        </is>
      </c>
      <c r="W115" s="2" t="n"/>
      <c r="X115" s="2" t="inlineStr">
        <is>
          <t>sí</t>
        </is>
      </c>
      <c r="Y115" s="2" t="n"/>
      <c r="Z115" s="2" t="inlineStr">
        <is>
          <t>no</t>
        </is>
      </c>
      <c r="AA115" s="2" t="n"/>
      <c r="AB115" s="2" t="n"/>
      <c r="AC115" s="2" t="n"/>
      <c r="AD115" s="2" t="n"/>
      <c r="AE115" s="2" t="n"/>
      <c r="AF115" s="2" t="n"/>
      <c r="AG115" s="2" t="n"/>
      <c r="AH115" s="2" t="n">
        <v>3500</v>
      </c>
      <c r="AI115" s="2" t="n"/>
      <c r="AJ115" s="2" t="n"/>
      <c r="AK115" s="2" t="n"/>
      <c r="AL115" s="2" t="n"/>
      <c r="AM115" s="2" t="n"/>
      <c r="AN115" s="2" t="n">
        <v>4300</v>
      </c>
      <c r="AO115" s="2" t="n">
        <v>17</v>
      </c>
      <c r="AP115" s="2" t="inlineStr">
        <is>
          <t>modelo+año+km</t>
        </is>
      </c>
      <c r="AQ115" s="2" t="n"/>
      <c r="AR115" s="2" t="inlineStr">
        <is>
          <t>cuota fija ITP: &gt;12 años, 1.501-2.000 cc; diésel: motor sin fuente de fiabilidad (fiabilidad limitada a neutra); distancia no verificable (el anuncio solo indica la provincia): confirmar que está a &lt;= 70 km</t>
        </is>
      </c>
      <c r="AS115" s="2" t="inlineStr">
        <is>
          <t>Vendo Opel Astra 1.7 CDTI de 100 CV, año 2009, con solo 190.000 km. Coche en buen estado general, listo para usar sin gastos.
?? Precio: 3.500 €
?? ITV en vigor hasta enero de 2027
? Mantenimiento recién hecho:
• Neumáticos nuevos
• Cambio de aceite y filtro de aceite
• Filtro de aire y filtro de polen nuevos
? Correa de distribución cambiada a los 130.000 km
? Embrague en buen estado
? Aire acondicionado funcionando perfectamente
Motor diésel muy fiable y económico de consumo, ideal para el día a día o para viajar.
?? Llosa de Ranes (Valencia). Se puede ver y probar sin compromiso.
?? Escríbeme por el chat para más información o para concertar una visita.</t>
        </is>
      </c>
      <c r="AT115" s="2" t="inlineStr">
        <is>
          <t>https://www.coches.net/opel-astra-17-cdti-cosmo-5p-diesel-2009-en-valencia-71872803-covo.aspx (window.__INITIAL_PROPS__.ad) /home/user/Alopecia/buscador-coches/raw/cochesnet/1f2c43a57bc447a8.json</t>
        </is>
      </c>
      <c r="AU115" s="3">
        <f>MAX(ANIO_ACTUAL-M115,0)</f>
        <v/>
      </c>
      <c r="AV115" s="4">
        <f>N115/MAX(AU115,0.5)</f>
        <v/>
      </c>
      <c r="AW115" s="4">
        <f>F115</f>
        <v/>
      </c>
      <c r="AX115" s="3">
        <f>AW115&amp;"|"&amp;INT(M115/SEG_ANIO)*SEG_ANIO</f>
        <v/>
      </c>
      <c r="AY115" s="3">
        <f>AX115&amp;"|"&amp;INT(N115/SEG_KM)*SEG_KM</f>
        <v/>
      </c>
      <c r="AZ115" s="4">
        <f>COUNTIF($AW$2:$AW$662,AW115)</f>
        <v/>
      </c>
      <c r="BA115" s="4">
        <f>COUNTIF($AX$2:$AX$662,AX115)</f>
        <v/>
      </c>
      <c r="BB115" s="4">
        <f>COUNTIF($AY$2:$AY$662,AY115)</f>
        <v/>
      </c>
      <c r="BC115" s="3">
        <f t="array" ref="BC115">IF(N(AO115)&gt;=MIN_N,AN115,IF(BB115&gt;=MIN_N,MEDIAN(IF($AY$2:$AY$662=AY115,$O$2:$O$662)),IF(BA115&gt;=MIN_N,MEDIAN(IF($AX$2:$AX$662=AX115,$O$2:$O$662)),MEDIAN(IF($AW$2:$AW$662=AW115,$O$2:$O$662)))))</f>
        <v/>
      </c>
      <c r="BD115" s="3">
        <f>IF(N(AO115)&gt;=MIN_N,"mercado "&amp;AP115,IF(BB115&gt;=MIN_N,"modelo+año+km",IF(BA115&gt;=MIN_N,"modelo+año","modelo")))</f>
        <v/>
      </c>
      <c r="BE115" s="4">
        <f>(BC115-O115)/BC115</f>
        <v/>
      </c>
      <c r="BF115" s="3">
        <f>IF(OR(K115="hibrido",K115="glp"),"ECO",IF(K115="electrico","CERO",IF(K115="gasolina",IF(M115&gt;=GAS_C,"C",IF(M115&gt;=GAS_B,"B","A")),IF(K115="diesel",IF(M115&gt;=DIE_C,"C",IF(M115&gt;=DIE_B,"B","A")),""))))</f>
        <v/>
      </c>
      <c r="BG115" s="3">
        <f>IFERROR(VLOOKUP(F115,MOD_TBL,11,0),IFERROR(VLOOKUP(E115,OCU_TBL,2,0),NEUTRO))</f>
        <v/>
      </c>
      <c r="BH115" s="3">
        <f>SUMIFS(MOT_AJUSTE,MOT_MOTOR,G115,MOT_MARCA,E115,MOT_DESDE,"&lt;="&amp;M115,MOT_HASTA,"&gt;="&amp;M115)+SUMIFS(MOT_AJUSTE,MOT_MOTOR,G115,MOT_MARCA,"(todas)",MOT_DESDE,"&lt;="&amp;M115,MOT_HASTA,"&gt;="&amp;M115)</f>
        <v/>
      </c>
      <c r="BI115" s="3">
        <f>SUMIFS(COMB_AJUSTE,COMB_COMB,K115)</f>
        <v/>
      </c>
      <c r="BJ115" s="3">
        <f>COUNTIFS(MOT_MOTOR,G115,MOT_MARCA,E115,MOT_DESDE,"&lt;="&amp;M115,MOT_HASTA,"&gt;="&amp;M115)+COUNTIFS(MOT_MOTOR,G115,MOT_MARCA,"(todas)",MOT_DESDE,"&lt;="&amp;M115,MOT_HASTA,"&gt;="&amp;M115)</f>
        <v/>
      </c>
      <c r="BK115" s="3">
        <f>IF(AND(K115="diesel",BJ115=0),MIN(BG115,NEUTRO),BG115)</f>
        <v/>
      </c>
      <c r="BL115" s="4">
        <f>MAX(0,MIN(100,BK115+BH115+BI115))</f>
        <v/>
      </c>
      <c r="BM115" s="3">
        <f>MAX(0,MIN(100,50+BE115*PRECIO_PEND))</f>
        <v/>
      </c>
      <c r="BN115" s="3">
        <f>MAX(0,100*(1-N115/KM_MAX))</f>
        <v/>
      </c>
      <c r="BO115" s="3">
        <f>IF(AV115&lt;KMA_SOSP,IF(AA115="sí",100,KMA_PEN),IF(AV115&lt;=KMA_IDEAL_MAX,100,MAX(0,100*(KMA_CERO-AV115)/(KMA_CERO-KMA_IDEAL_MAX))))</f>
        <v/>
      </c>
      <c r="BP115" s="3">
        <f>MAX(0,MIN(100,100*(M115-ANIO_MIN)/(ANIO_ACTUAL-ANIO_MIN)))</f>
        <v/>
      </c>
      <c r="BQ115" s="3">
        <f>W_KMT*BN115+W_KMA*BO115+W_EDAD*BP115</f>
        <v/>
      </c>
      <c r="BR115" s="3">
        <f>P_ITV*(V115="sí")+P_LIBRO*(W115="sí")+P_CORREA*(X115="sí")+P_PROP*(Y115=1)+P_GAR*(Z115="sí")+P_FOTOS*MIN(1,N(U115)/FOTOS_OBJ)</f>
        <v/>
      </c>
      <c r="BS115" s="3">
        <f>IFERROR(VLOOKUP(BF115,ETQ_TBL,2,0),NEUTRO)</f>
        <v/>
      </c>
      <c r="BT115" s="3">
        <f>NEUTRO</f>
        <v/>
      </c>
      <c r="BU115" s="3">
        <f>IFERROR(VLOOKUP(L115,SEGURO_TBL,3,0),"")</f>
        <v/>
      </c>
      <c r="BV115" s="3">
        <f>IF(BU115="",NEUTRO,MAX(0,MIN(100,100*(SEG_REF_MAX-BU115)/(SEG_REF_MAX-SEG_REF_MIN))))</f>
        <v/>
      </c>
      <c r="BW115" s="3">
        <f>W_ET*BS115+W_CONS*BT115+W_SEG*BV115</f>
        <v/>
      </c>
      <c r="BX115" s="3">
        <f>IF(N(AB115)&gt;0,AB115,IF(AND(R115="profesional",SG_LEGAL_ON=1),GAR_LEGAL,0))</f>
        <v/>
      </c>
      <c r="BY115" s="3">
        <f>SG_GAR*MIN(1,BX115/SG_GAR_FULL)+SG_AMPL*(AC115="sí")+SG_KMC*(AF115="sí")+SG_REV*(N(AE115)&gt;0)+SG_DEV*MIN(1,N(AG115)/SG_DEV_FULL)+SG_HIST*(W115="sí")</f>
        <v/>
      </c>
      <c r="BZ115" s="3">
        <f>IFERROR(VLOOKUP(L115,CARR_PEN_TBL,2,0),0)</f>
        <v/>
      </c>
      <c r="CA115" s="3">
        <f>W_FIAB*BL115+W_PRECIO*BM115+W_KMEDAD*BQ115+W_ANUNCIO*BR115+W_USO*BW115+W_SEGURIDAD*BY115-BZ115</f>
        <v/>
      </c>
      <c r="CB115" s="4">
        <f>IF(N(I115)&gt;0,I115,IFERROR(ROUND(_xlfn.NUMBERVALUE(LEFT(G115,FIND(" ",G115&amp;" ")-1),".")*1000,0),99999))</f>
        <v/>
      </c>
      <c r="CC115" s="3">
        <f>IF(R115="profesional",0,IF(O115&lt;CUOTA_VALOR_MAX,IF(AU115&gt;ITP_TRAMO_ALTO,SUMIFS(CF_CUOTA,CF_MAS,ITP_TRAMO_ALTO,CF_CCMIN,"&lt;="&amp;CB115,CF_CCMAX,"&gt;="&amp;CB115),IF(AU115&gt;ITP_TRAMO_BAJO,SUMIFS(CF_CUOTA,CF_MAS,ITP_TRAMO_BAJO,CF_CCMIN,"&lt;="&amp;CB115,CF_CCMAX,"&gt;="&amp;CB115),O115*ITP_TIPO)),O115*ITP_TIPO))</f>
        <v/>
      </c>
      <c r="CD115" s="4">
        <f>IF(R115="profesional",N(AK115),0)</f>
        <v/>
      </c>
      <c r="CE115" s="3">
        <f>IF(AND(R115="profesional",ISNUMBER(AK115),AL115="sí"),0,TASA_DGT)</f>
        <v/>
      </c>
      <c r="CF115" s="3">
        <f>INFORME_DGT</f>
        <v/>
      </c>
      <c r="CG115" s="4">
        <f>O115+CD115+CC115+CE115+CF115</f>
        <v/>
      </c>
      <c r="CH115" s="4">
        <f>CG115+N(BU115)</f>
        <v/>
      </c>
      <c r="CI115" s="3">
        <f>IF(CG115&lt;=TOTAL_MAX,"sí",IF(CG115&lt;=TOTAL_MAX+MARGEN_NEG,"negociar","no"))</f>
        <v/>
      </c>
      <c r="CJ115" s="4">
        <f>IF(CI115&lt;&gt;"no",COUNTIFS($CI$2:$CI$662,"&lt;&gt;no",$CA$2:$CA$662,"&gt;"&amp;CA115)+COUNTIFS($CI$2:CI115,"&lt;&gt;no",$CA$2:CA115,CA115),"")</f>
        <v/>
      </c>
    </row>
    <row r="116">
      <c r="A116" s="2" t="inlineStr">
        <is>
          <t>cochesnet:71339047</t>
        </is>
      </c>
      <c r="B116" s="2" t="inlineStr">
        <is>
          <t>cochesnet</t>
        </is>
      </c>
      <c r="C116" s="2" t="inlineStr">
        <is>
          <t>https://www.coches.net/opel-astra-13-ecoflex-ss-selective-5p-diesel-2013-en-valencia-71339047-covo.aspx</t>
        </is>
      </c>
      <c r="D116" s="2" t="inlineStr">
        <is>
          <t>OPEL Astra 1.3 ecoFlex SS Selective</t>
        </is>
      </c>
      <c r="E116" s="2" t="inlineStr">
        <is>
          <t>Opel</t>
        </is>
      </c>
      <c r="F116" s="2" t="inlineStr">
        <is>
          <t>Opel Astra</t>
        </is>
      </c>
      <c r="G116" s="2" t="inlineStr">
        <is>
          <t>1.3</t>
        </is>
      </c>
      <c r="H116" s="2" t="inlineStr">
        <is>
          <t>1.3 ecoFlex SS Selective</t>
        </is>
      </c>
      <c r="I116" s="2" t="n"/>
      <c r="J116" s="2" t="n"/>
      <c r="K116" s="2" t="inlineStr">
        <is>
          <t>diesel</t>
        </is>
      </c>
      <c r="L116" s="2" t="inlineStr">
        <is>
          <t>compacto</t>
        </is>
      </c>
      <c r="M116" s="2" t="n">
        <v>2012</v>
      </c>
      <c r="N116" s="2" t="n">
        <v>215000</v>
      </c>
      <c r="O116" s="2" t="n">
        <v>4490</v>
      </c>
      <c r="P116" s="2" t="inlineStr">
        <is>
          <t>manual</t>
        </is>
      </c>
      <c r="Q116" s="2" t="inlineStr">
        <is>
          <t>no</t>
        </is>
      </c>
      <c r="R116" s="2" t="inlineStr">
        <is>
          <t>profesional</t>
        </is>
      </c>
      <c r="S116" s="2" t="inlineStr">
        <is>
          <t>V.O. Eliana San Antonio de Benagéber</t>
        </is>
      </c>
      <c r="T116" s="2" t="inlineStr">
        <is>
          <t>2026-08-21T14:26:39Z</t>
        </is>
      </c>
      <c r="U116" s="2" t="n">
        <v>16</v>
      </c>
      <c r="V116" s="2" t="n"/>
      <c r="W116" s="2" t="n"/>
      <c r="X116" s="2" t="n"/>
      <c r="Y116" s="2" t="n"/>
      <c r="Z116" s="2" t="inlineStr">
        <is>
          <t>sí</t>
        </is>
      </c>
      <c r="AA116" s="2" t="n"/>
      <c r="AB116" s="2" t="n">
        <v>12</v>
      </c>
      <c r="AC116" s="2" t="n"/>
      <c r="AD116" s="2" t="n"/>
      <c r="AE116" s="2" t="n"/>
      <c r="AF116" s="2" t="n"/>
      <c r="AG116" s="2" t="n"/>
      <c r="AH116" s="2" t="n">
        <v>4490</v>
      </c>
      <c r="AI116" s="2" t="n"/>
      <c r="AJ116" s="2" t="n"/>
      <c r="AK116" s="2" t="n"/>
      <c r="AL116" s="2" t="n"/>
      <c r="AM116" s="2" t="n">
        <v>19.1</v>
      </c>
      <c r="AN116" s="2" t="n">
        <v>4490</v>
      </c>
      <c r="AO116" s="2" t="n">
        <v>7</v>
      </c>
      <c r="AP116" s="2" t="inlineStr">
        <is>
          <t>modelo+año+km</t>
        </is>
      </c>
      <c r="AQ116" s="2" t="n"/>
      <c r="AR116" s="2" t="inlineStr">
        <is>
          <t>vendedor profesional: sin ITP (operación con IVA/REBU, confirmar en factura); gastos de gestión del vendedor no indicados: se suma la tasa DGT; preguntar el precio final; diésel: motor sin fuente de fiabilidad (fiabilidad limitada a neutra)</t>
        </is>
      </c>
      <c r="AS116" s="2" t="inlineStr">
        <is>
          <t>Este Opel Astra Selective combina equipamiento multimedia completo con control de crucero y ordenador de viaje para optimizar cada trayecto. Dirección asistida eléctrica con endurecimiento progresivo, aire acondicionado, asientos delanteros ajustables manualmente y volante multifunción regulable ofrecen confort y practicidad diaria. Cristales tintados, retrovisores eléctricos desempañables y elevalunas con un solo toque completan la experiencia de conducción. Sistema de ventilación con filtros de polen y carbón activo, junto con limpiaparabrisas delantero, garantizan habitabilidad. Etiqueta medioambiental B facilita acceso a zonas de tráfico limitado.</t>
        </is>
      </c>
      <c r="AT116" s="2" t="inlineStr">
        <is>
          <t>https://www.coches.net/opel-astra-13-ecoflex-ss-selective-5p-diesel-2013-en-valencia-71339047-covo.aspx (window.__INITIAL_PROPS__.ad) /home/user/Alopecia/buscador-coches/raw/cochesnet/127119c37c17981d.json</t>
        </is>
      </c>
      <c r="AU116" s="3">
        <f>MAX(ANIO_ACTUAL-M116,0)</f>
        <v/>
      </c>
      <c r="AV116" s="4">
        <f>N116/MAX(AU116,0.5)</f>
        <v/>
      </c>
      <c r="AW116" s="4">
        <f>F116</f>
        <v/>
      </c>
      <c r="AX116" s="3">
        <f>AW116&amp;"|"&amp;INT(M116/SEG_ANIO)*SEG_ANIO</f>
        <v/>
      </c>
      <c r="AY116" s="3">
        <f>AX116&amp;"|"&amp;INT(N116/SEG_KM)*SEG_KM</f>
        <v/>
      </c>
      <c r="AZ116" s="4">
        <f>COUNTIF($AW$2:$AW$662,AW116)</f>
        <v/>
      </c>
      <c r="BA116" s="4">
        <f>COUNTIF($AX$2:$AX$662,AX116)</f>
        <v/>
      </c>
      <c r="BB116" s="4">
        <f>COUNTIF($AY$2:$AY$662,AY116)</f>
        <v/>
      </c>
      <c r="BC116" s="3">
        <f t="array" ref="BC116">IF(N(AO116)&gt;=MIN_N,AN116,IF(BB116&gt;=MIN_N,MEDIAN(IF($AY$2:$AY$662=AY116,$O$2:$O$662)),IF(BA116&gt;=MIN_N,MEDIAN(IF($AX$2:$AX$662=AX116,$O$2:$O$662)),MEDIAN(IF($AW$2:$AW$662=AW116,$O$2:$O$662)))))</f>
        <v/>
      </c>
      <c r="BD116" s="3">
        <f>IF(N(AO116)&gt;=MIN_N,"mercado "&amp;AP116,IF(BB116&gt;=MIN_N,"modelo+año+km",IF(BA116&gt;=MIN_N,"modelo+año","modelo")))</f>
        <v/>
      </c>
      <c r="BE116" s="4">
        <f>(BC116-O116)/BC116</f>
        <v/>
      </c>
      <c r="BF116" s="3">
        <f>IF(OR(K116="hibrido",K116="glp"),"ECO",IF(K116="electrico","CERO",IF(K116="gasolina",IF(M116&gt;=GAS_C,"C",IF(M116&gt;=GAS_B,"B","A")),IF(K116="diesel",IF(M116&gt;=DIE_C,"C",IF(M116&gt;=DIE_B,"B","A")),""))))</f>
        <v/>
      </c>
      <c r="BG116" s="3">
        <f>IFERROR(VLOOKUP(F116,MOD_TBL,11,0),IFERROR(VLOOKUP(E116,OCU_TBL,2,0),NEUTRO))</f>
        <v/>
      </c>
      <c r="BH116" s="3">
        <f>SUMIFS(MOT_AJUSTE,MOT_MOTOR,G116,MOT_MARCA,E116,MOT_DESDE,"&lt;="&amp;M116,MOT_HASTA,"&gt;="&amp;M116)+SUMIFS(MOT_AJUSTE,MOT_MOTOR,G116,MOT_MARCA,"(todas)",MOT_DESDE,"&lt;="&amp;M116,MOT_HASTA,"&gt;="&amp;M116)</f>
        <v/>
      </c>
      <c r="BI116" s="3">
        <f>SUMIFS(COMB_AJUSTE,COMB_COMB,K116)</f>
        <v/>
      </c>
      <c r="BJ116" s="3">
        <f>COUNTIFS(MOT_MOTOR,G116,MOT_MARCA,E116,MOT_DESDE,"&lt;="&amp;M116,MOT_HASTA,"&gt;="&amp;M116)+COUNTIFS(MOT_MOTOR,G116,MOT_MARCA,"(todas)",MOT_DESDE,"&lt;="&amp;M116,MOT_HASTA,"&gt;="&amp;M116)</f>
        <v/>
      </c>
      <c r="BK116" s="3">
        <f>IF(AND(K116="diesel",BJ116=0),MIN(BG116,NEUTRO),BG116)</f>
        <v/>
      </c>
      <c r="BL116" s="4">
        <f>MAX(0,MIN(100,BK116+BH116+BI116))</f>
        <v/>
      </c>
      <c r="BM116" s="3">
        <f>MAX(0,MIN(100,50+BE116*PRECIO_PEND))</f>
        <v/>
      </c>
      <c r="BN116" s="3">
        <f>MAX(0,100*(1-N116/KM_MAX))</f>
        <v/>
      </c>
      <c r="BO116" s="3">
        <f>IF(AV116&lt;KMA_SOSP,IF(AA116="sí",100,KMA_PEN),IF(AV116&lt;=KMA_IDEAL_MAX,100,MAX(0,100*(KMA_CERO-AV116)/(KMA_CERO-KMA_IDEAL_MAX))))</f>
        <v/>
      </c>
      <c r="BP116" s="3">
        <f>MAX(0,MIN(100,100*(M116-ANIO_MIN)/(ANIO_ACTUAL-ANIO_MIN)))</f>
        <v/>
      </c>
      <c r="BQ116" s="3">
        <f>W_KMT*BN116+W_KMA*BO116+W_EDAD*BP116</f>
        <v/>
      </c>
      <c r="BR116" s="3">
        <f>P_ITV*(V116="sí")+P_LIBRO*(W116="sí")+P_CORREA*(X116="sí")+P_PROP*(Y116=1)+P_GAR*(Z116="sí")+P_FOTOS*MIN(1,N(U116)/FOTOS_OBJ)</f>
        <v/>
      </c>
      <c r="BS116" s="3">
        <f>IFERROR(VLOOKUP(BF116,ETQ_TBL,2,0),NEUTRO)</f>
        <v/>
      </c>
      <c r="BT116" s="3">
        <f>NEUTRO</f>
        <v/>
      </c>
      <c r="BU116" s="3">
        <f>IFERROR(VLOOKUP(L116,SEGURO_TBL,3,0),"")</f>
        <v/>
      </c>
      <c r="BV116" s="3">
        <f>IF(BU116="",NEUTRO,MAX(0,MIN(100,100*(SEG_REF_MAX-BU116)/(SEG_REF_MAX-SEG_REF_MIN))))</f>
        <v/>
      </c>
      <c r="BW116" s="3">
        <f>W_ET*BS116+W_CONS*BT116+W_SEG*BV116</f>
        <v/>
      </c>
      <c r="BX116" s="3">
        <f>IF(N(AB116)&gt;0,AB116,IF(AND(R116="profesional",SG_LEGAL_ON=1),GAR_LEGAL,0))</f>
        <v/>
      </c>
      <c r="BY116" s="3">
        <f>SG_GAR*MIN(1,BX116/SG_GAR_FULL)+SG_AMPL*(AC116="sí")+SG_KMC*(AF116="sí")+SG_REV*(N(AE116)&gt;0)+SG_DEV*MIN(1,N(AG116)/SG_DEV_FULL)+SG_HIST*(W116="sí")</f>
        <v/>
      </c>
      <c r="BZ116" s="3">
        <f>IFERROR(VLOOKUP(L116,CARR_PEN_TBL,2,0),0)</f>
        <v/>
      </c>
      <c r="CA116" s="3">
        <f>W_FIAB*BL116+W_PRECIO*BM116+W_KMEDAD*BQ116+W_ANUNCIO*BR116+W_USO*BW116+W_SEGURIDAD*BY116-BZ116</f>
        <v/>
      </c>
      <c r="CB116" s="4">
        <f>IF(N(I116)&gt;0,I116,IFERROR(ROUND(_xlfn.NUMBERVALUE(LEFT(G116,FIND(" ",G116&amp;" ")-1),".")*1000,0),99999))</f>
        <v/>
      </c>
      <c r="CC116" s="3">
        <f>IF(R116="profesional",0,IF(O116&lt;CUOTA_VALOR_MAX,IF(AU116&gt;ITP_TRAMO_ALTO,SUMIFS(CF_CUOTA,CF_MAS,ITP_TRAMO_ALTO,CF_CCMIN,"&lt;="&amp;CB116,CF_CCMAX,"&gt;="&amp;CB116),IF(AU116&gt;ITP_TRAMO_BAJO,SUMIFS(CF_CUOTA,CF_MAS,ITP_TRAMO_BAJO,CF_CCMIN,"&lt;="&amp;CB116,CF_CCMAX,"&gt;="&amp;CB116),O116*ITP_TIPO)),O116*ITP_TIPO))</f>
        <v/>
      </c>
      <c r="CD116" s="4">
        <f>IF(R116="profesional",N(AK116),0)</f>
        <v/>
      </c>
      <c r="CE116" s="3">
        <f>IF(AND(R116="profesional",ISNUMBER(AK116),AL116="sí"),0,TASA_DGT)</f>
        <v/>
      </c>
      <c r="CF116" s="3">
        <f>INFORME_DGT</f>
        <v/>
      </c>
      <c r="CG116" s="4">
        <f>O116+CD116+CC116+CE116+CF116</f>
        <v/>
      </c>
      <c r="CH116" s="4">
        <f>CG116+N(BU116)</f>
        <v/>
      </c>
      <c r="CI116" s="3">
        <f>IF(CG116&lt;=TOTAL_MAX,"sí",IF(CG116&lt;=TOTAL_MAX+MARGEN_NEG,"negociar","no"))</f>
        <v/>
      </c>
      <c r="CJ116" s="4">
        <f>IF(CI116&lt;&gt;"no",COUNTIFS($CI$2:$CI$662,"&lt;&gt;no",$CA$2:$CA$662,"&gt;"&amp;CA116)+COUNTIFS($CI$2:CI116,"&lt;&gt;no",$CA$2:CA116,CA116),"")</f>
        <v/>
      </c>
    </row>
    <row r="117">
      <c r="A117" s="2" t="inlineStr">
        <is>
          <t>cochesnet:71331925</t>
        </is>
      </c>
      <c r="B117" s="2" t="inlineStr">
        <is>
          <t>cochesnet</t>
        </is>
      </c>
      <c r="C117" s="2" t="inlineStr">
        <is>
          <t>https://www.coches.net/opel-astra-14-turbo-sport-5p-gasolina-2010-en-valencia-71331925-covo.aspx</t>
        </is>
      </c>
      <c r="D117" s="2" t="inlineStr">
        <is>
          <t>OPEL Astra 1.4 Turbo Sport</t>
        </is>
      </c>
      <c r="E117" s="2" t="inlineStr">
        <is>
          <t>Opel</t>
        </is>
      </c>
      <c r="F117" s="2" t="inlineStr">
        <is>
          <t>Opel Astra</t>
        </is>
      </c>
      <c r="G117" s="2" t="inlineStr">
        <is>
          <t>1.4 Turbo</t>
        </is>
      </c>
      <c r="H117" s="2" t="inlineStr">
        <is>
          <t>1.4 Turbo Sport</t>
        </is>
      </c>
      <c r="I117" s="2" t="n"/>
      <c r="J117" s="2" t="n"/>
      <c r="K117" s="2" t="inlineStr">
        <is>
          <t>gasolina</t>
        </is>
      </c>
      <c r="L117" s="2" t="inlineStr">
        <is>
          <t>compacto</t>
        </is>
      </c>
      <c r="M117" s="2" t="n">
        <v>2010</v>
      </c>
      <c r="N117" s="2" t="n">
        <v>195000</v>
      </c>
      <c r="O117" s="2" t="n">
        <v>4500</v>
      </c>
      <c r="P117" s="2" t="inlineStr">
        <is>
          <t>manual</t>
        </is>
      </c>
      <c r="Q117" s="2" t="inlineStr">
        <is>
          <t>no</t>
        </is>
      </c>
      <c r="R117" s="2" t="inlineStr">
        <is>
          <t>particular</t>
        </is>
      </c>
      <c r="S117" s="2" t="inlineStr">
        <is>
          <t>Alzira</t>
        </is>
      </c>
      <c r="T117" s="2" t="inlineStr">
        <is>
          <t>2026-10-31T08:29:44Z</t>
        </is>
      </c>
      <c r="U117" s="2" t="n">
        <v>21</v>
      </c>
      <c r="V117" s="2" t="inlineStr">
        <is>
          <t>sí</t>
        </is>
      </c>
      <c r="W117" s="2" t="inlineStr">
        <is>
          <t>sí</t>
        </is>
      </c>
      <c r="X117" s="2" t="n"/>
      <c r="Y117" s="2" t="n">
        <v>1</v>
      </c>
      <c r="Z117" s="2" t="inlineStr">
        <is>
          <t>no</t>
        </is>
      </c>
      <c r="AA117" s="2" t="n"/>
      <c r="AB117" s="2" t="n"/>
      <c r="AC117" s="2" t="n"/>
      <c r="AD117" s="2" t="n"/>
      <c r="AE117" s="2" t="n"/>
      <c r="AF117" s="2" t="n"/>
      <c r="AG117" s="2" t="n"/>
      <c r="AH117" s="2" t="n">
        <v>4500</v>
      </c>
      <c r="AI117" s="2" t="n"/>
      <c r="AJ117" s="2" t="n"/>
      <c r="AK117" s="2" t="n"/>
      <c r="AL117" s="2" t="n"/>
      <c r="AM117" s="2" t="n">
        <v>35.7</v>
      </c>
      <c r="AN117" s="2" t="n">
        <v>4745</v>
      </c>
      <c r="AO117" s="2" t="n">
        <v>10</v>
      </c>
      <c r="AP117" s="2" t="inlineStr">
        <is>
          <t>modelo+año+km</t>
        </is>
      </c>
      <c r="AQ117" s="2" t="n"/>
      <c r="AR117" s="2" t="inlineStr">
        <is>
          <t>cuota fija ITP: &gt;12 años, hasta 1.500 cc</t>
        </is>
      </c>
      <c r="AS117" s="2" t="inlineStr">
        <is>
          <t>Opel Astra Sport 5 puertas, año 2010, motor 1.4 Turbo 140cv, color negro, con aproximadamente 195.000 km. 
Un solo dueño, no fumador. 
Equipado con faros de Xenón, luces automáticas y largas automáticas, limpiaparabrisas automático regulable en velocidad, climatizador bizona, navegador vía CD con pantalla a color, Bluetooth para llamadas, reproductor USB y compatible con iPod/iPhone, reposacabezas en plazas traseras, porta esquís, pack interior versatilidad, pack premium, elevalunas eléctricos traseros, asistente de aparcamiento delantero y trasero, retrovisores exteriores plegables y llantas de 18". 
Neumáticos Michelin Sport 5 en muy buen estado. Estado interior impecable. Dos arañazos en el paragolpes trasero y un desperfecto en la puerta trasera derecha. 
Historial de mantenimiento disponible. 
Factura original de compra disponible. 
ITV en vigor. 
Se vende por cambio a vehículo eléctrico.</t>
        </is>
      </c>
      <c r="AT117" s="2" t="inlineStr">
        <is>
          <t>https://www.coches.net/opel-astra-14-turbo-sport-5p-gasolina-2010-en-valencia-71331925-covo.aspx (window.__INITIAL_PROPS__.ad) /home/user/Alopecia/buscador-coches/raw/cochesnet/396a2396256ccd48.json</t>
        </is>
      </c>
      <c r="AU117" s="3">
        <f>MAX(ANIO_ACTUAL-M117,0)</f>
        <v/>
      </c>
      <c r="AV117" s="4">
        <f>N117/MAX(AU117,0.5)</f>
        <v/>
      </c>
      <c r="AW117" s="4">
        <f>F117</f>
        <v/>
      </c>
      <c r="AX117" s="3">
        <f>AW117&amp;"|"&amp;INT(M117/SEG_ANIO)*SEG_ANIO</f>
        <v/>
      </c>
      <c r="AY117" s="3">
        <f>AX117&amp;"|"&amp;INT(N117/SEG_KM)*SEG_KM</f>
        <v/>
      </c>
      <c r="AZ117" s="4">
        <f>COUNTIF($AW$2:$AW$662,AW117)</f>
        <v/>
      </c>
      <c r="BA117" s="4">
        <f>COUNTIF($AX$2:$AX$662,AX117)</f>
        <v/>
      </c>
      <c r="BB117" s="4">
        <f>COUNTIF($AY$2:$AY$662,AY117)</f>
        <v/>
      </c>
      <c r="BC117" s="3">
        <f t="array" ref="BC117">IF(N(AO117)&gt;=MIN_N,AN117,IF(BB117&gt;=MIN_N,MEDIAN(IF($AY$2:$AY$662=AY117,$O$2:$O$662)),IF(BA117&gt;=MIN_N,MEDIAN(IF($AX$2:$AX$662=AX117,$O$2:$O$662)),MEDIAN(IF($AW$2:$AW$662=AW117,$O$2:$O$662)))))</f>
        <v/>
      </c>
      <c r="BD117" s="3">
        <f>IF(N(AO117)&gt;=MIN_N,"mercado "&amp;AP117,IF(BB117&gt;=MIN_N,"modelo+año+km",IF(BA117&gt;=MIN_N,"modelo+año","modelo")))</f>
        <v/>
      </c>
      <c r="BE117" s="4">
        <f>(BC117-O117)/BC117</f>
        <v/>
      </c>
      <c r="BF117" s="3">
        <f>IF(OR(K117="hibrido",K117="glp"),"ECO",IF(K117="electrico","CERO",IF(K117="gasolina",IF(M117&gt;=GAS_C,"C",IF(M117&gt;=GAS_B,"B","A")),IF(K117="diesel",IF(M117&gt;=DIE_C,"C",IF(M117&gt;=DIE_B,"B","A")),""))))</f>
        <v/>
      </c>
      <c r="BG117" s="3">
        <f>IFERROR(VLOOKUP(F117,MOD_TBL,11,0),IFERROR(VLOOKUP(E117,OCU_TBL,2,0),NEUTRO))</f>
        <v/>
      </c>
      <c r="BH117" s="3">
        <f>SUMIFS(MOT_AJUSTE,MOT_MOTOR,G117,MOT_MARCA,E117,MOT_DESDE,"&lt;="&amp;M117,MOT_HASTA,"&gt;="&amp;M117)+SUMIFS(MOT_AJUSTE,MOT_MOTOR,G117,MOT_MARCA,"(todas)",MOT_DESDE,"&lt;="&amp;M117,MOT_HASTA,"&gt;="&amp;M117)</f>
        <v/>
      </c>
      <c r="BI117" s="3">
        <f>SUMIFS(COMB_AJUSTE,COMB_COMB,K117)</f>
        <v/>
      </c>
      <c r="BJ117" s="3">
        <f>COUNTIFS(MOT_MOTOR,G117,MOT_MARCA,E117,MOT_DESDE,"&lt;="&amp;M117,MOT_HASTA,"&gt;="&amp;M117)+COUNTIFS(MOT_MOTOR,G117,MOT_MARCA,"(todas)",MOT_DESDE,"&lt;="&amp;M117,MOT_HASTA,"&gt;="&amp;M117)</f>
        <v/>
      </c>
      <c r="BK117" s="3">
        <f>IF(AND(K117="diesel",BJ117=0),MIN(BG117,NEUTRO),BG117)</f>
        <v/>
      </c>
      <c r="BL117" s="4">
        <f>MAX(0,MIN(100,BK117+BH117+BI117))</f>
        <v/>
      </c>
      <c r="BM117" s="3">
        <f>MAX(0,MIN(100,50+BE117*PRECIO_PEND))</f>
        <v/>
      </c>
      <c r="BN117" s="3">
        <f>MAX(0,100*(1-N117/KM_MAX))</f>
        <v/>
      </c>
      <c r="BO117" s="3">
        <f>IF(AV117&lt;KMA_SOSP,IF(AA117="sí",100,KMA_PEN),IF(AV117&lt;=KMA_IDEAL_MAX,100,MAX(0,100*(KMA_CERO-AV117)/(KMA_CERO-KMA_IDEAL_MAX))))</f>
        <v/>
      </c>
      <c r="BP117" s="3">
        <f>MAX(0,MIN(100,100*(M117-ANIO_MIN)/(ANIO_ACTUAL-ANIO_MIN)))</f>
        <v/>
      </c>
      <c r="BQ117" s="3">
        <f>W_KMT*BN117+W_KMA*BO117+W_EDAD*BP117</f>
        <v/>
      </c>
      <c r="BR117" s="3">
        <f>P_ITV*(V117="sí")+P_LIBRO*(W117="sí")+P_CORREA*(X117="sí")+P_PROP*(Y117=1)+P_GAR*(Z117="sí")+P_FOTOS*MIN(1,N(U117)/FOTOS_OBJ)</f>
        <v/>
      </c>
      <c r="BS117" s="3">
        <f>IFERROR(VLOOKUP(BF117,ETQ_TBL,2,0),NEUTRO)</f>
        <v/>
      </c>
      <c r="BT117" s="3">
        <f>NEUTRO</f>
        <v/>
      </c>
      <c r="BU117" s="3">
        <f>IFERROR(VLOOKUP(L117,SEGURO_TBL,3,0),"")</f>
        <v/>
      </c>
      <c r="BV117" s="3">
        <f>IF(BU117="",NEUTRO,MAX(0,MIN(100,100*(SEG_REF_MAX-BU117)/(SEG_REF_MAX-SEG_REF_MIN))))</f>
        <v/>
      </c>
      <c r="BW117" s="3">
        <f>W_ET*BS117+W_CONS*BT117+W_SEG*BV117</f>
        <v/>
      </c>
      <c r="BX117" s="3">
        <f>IF(N(AB117)&gt;0,AB117,IF(AND(R117="profesional",SG_LEGAL_ON=1),GAR_LEGAL,0))</f>
        <v/>
      </c>
      <c r="BY117" s="3">
        <f>SG_GAR*MIN(1,BX117/SG_GAR_FULL)+SG_AMPL*(AC117="sí")+SG_KMC*(AF117="sí")+SG_REV*(N(AE117)&gt;0)+SG_DEV*MIN(1,N(AG117)/SG_DEV_FULL)+SG_HIST*(W117="sí")</f>
        <v/>
      </c>
      <c r="BZ117" s="3">
        <f>IFERROR(VLOOKUP(L117,CARR_PEN_TBL,2,0),0)</f>
        <v/>
      </c>
      <c r="CA117" s="3">
        <f>W_FIAB*BL117+W_PRECIO*BM117+W_KMEDAD*BQ117+W_ANUNCIO*BR117+W_USO*BW117+W_SEGURIDAD*BY117-BZ117</f>
        <v/>
      </c>
      <c r="CB117" s="4">
        <f>IF(N(I117)&gt;0,I117,IFERROR(ROUND(_xlfn.NUMBERVALUE(LEFT(G117,FIND(" ",G117&amp;" ")-1),".")*1000,0),99999))</f>
        <v/>
      </c>
      <c r="CC117" s="3">
        <f>IF(R117="profesional",0,IF(O117&lt;CUOTA_VALOR_MAX,IF(AU117&gt;ITP_TRAMO_ALTO,SUMIFS(CF_CUOTA,CF_MAS,ITP_TRAMO_ALTO,CF_CCMIN,"&lt;="&amp;CB117,CF_CCMAX,"&gt;="&amp;CB117),IF(AU117&gt;ITP_TRAMO_BAJO,SUMIFS(CF_CUOTA,CF_MAS,ITP_TRAMO_BAJO,CF_CCMIN,"&lt;="&amp;CB117,CF_CCMAX,"&gt;="&amp;CB117),O117*ITP_TIPO)),O117*ITP_TIPO))</f>
        <v/>
      </c>
      <c r="CD117" s="4">
        <f>IF(R117="profesional",N(AK117),0)</f>
        <v/>
      </c>
      <c r="CE117" s="3">
        <f>IF(AND(R117="profesional",ISNUMBER(AK117),AL117="sí"),0,TASA_DGT)</f>
        <v/>
      </c>
      <c r="CF117" s="3">
        <f>INFORME_DGT</f>
        <v/>
      </c>
      <c r="CG117" s="4">
        <f>O117+CD117+CC117+CE117+CF117</f>
        <v/>
      </c>
      <c r="CH117" s="4">
        <f>CG117+N(BU117)</f>
        <v/>
      </c>
      <c r="CI117" s="3">
        <f>IF(CG117&lt;=TOTAL_MAX,"sí",IF(CG117&lt;=TOTAL_MAX+MARGEN_NEG,"negociar","no"))</f>
        <v/>
      </c>
      <c r="CJ117" s="4">
        <f>IF(CI117&lt;&gt;"no",COUNTIFS($CI$2:$CI$662,"&lt;&gt;no",$CA$2:$CA$662,"&gt;"&amp;CA117)+COUNTIFS($CI$2:CI117,"&lt;&gt;no",$CA$2:CA117,CA117),"")</f>
        <v/>
      </c>
    </row>
    <row r="118">
      <c r="A118" s="2" t="inlineStr">
        <is>
          <t>cochesnet:71805860</t>
        </is>
      </c>
      <c r="B118" s="2" t="inlineStr">
        <is>
          <t>cochesnet</t>
        </is>
      </c>
      <c r="C118" s="2" t="inlineStr">
        <is>
          <t>https://www.coches.net/opel-astra-17-cdti-110-cv-sportive-5p-diesel-2014-en-valencia-71805860-covo.aspx</t>
        </is>
      </c>
      <c r="D118" s="2" t="inlineStr">
        <is>
          <t>OPEL Astra 1.7 CDTi 110 CV Sportive</t>
        </is>
      </c>
      <c r="E118" s="2" t="inlineStr">
        <is>
          <t>Opel</t>
        </is>
      </c>
      <c r="F118" s="2" t="inlineStr">
        <is>
          <t>Opel Astra</t>
        </is>
      </c>
      <c r="G118" s="2" t="inlineStr">
        <is>
          <t>1.7 CDTi</t>
        </is>
      </c>
      <c r="H118" s="2" t="inlineStr">
        <is>
          <t>1.7 CDTi 110 CV Sportive</t>
        </is>
      </c>
      <c r="I118" s="2" t="n"/>
      <c r="J118" s="2" t="n">
        <v>110</v>
      </c>
      <c r="K118" s="2" t="inlineStr">
        <is>
          <t>diesel</t>
        </is>
      </c>
      <c r="L118" s="2" t="inlineStr">
        <is>
          <t>compacto</t>
        </is>
      </c>
      <c r="M118" s="2" t="n">
        <v>2014</v>
      </c>
      <c r="N118" s="2" t="n">
        <v>160000</v>
      </c>
      <c r="O118" s="2" t="n">
        <v>3900</v>
      </c>
      <c r="P118" s="2" t="inlineStr">
        <is>
          <t>manual</t>
        </is>
      </c>
      <c r="Q118" s="2" t="inlineStr">
        <is>
          <t>no</t>
        </is>
      </c>
      <c r="R118" s="2" t="inlineStr">
        <is>
          <t>particular</t>
        </is>
      </c>
      <c r="S118" s="2" t="n"/>
      <c r="T118" s="2" t="inlineStr">
        <is>
          <t>2026-10-22T06:41:42Z</t>
        </is>
      </c>
      <c r="U118" s="2" t="n">
        <v>6</v>
      </c>
      <c r="V118" s="2" t="inlineStr">
        <is>
          <t>sí</t>
        </is>
      </c>
      <c r="W118" s="2" t="n"/>
      <c r="X118" s="2" t="n"/>
      <c r="Y118" s="2" t="n"/>
      <c r="Z118" s="2" t="inlineStr">
        <is>
          <t>no</t>
        </is>
      </c>
      <c r="AA118" s="2" t="n"/>
      <c r="AB118" s="2" t="n"/>
      <c r="AC118" s="2" t="n"/>
      <c r="AD118" s="2" t="n"/>
      <c r="AE118" s="2" t="n"/>
      <c r="AF118" s="2" t="n"/>
      <c r="AG118" s="2" t="n"/>
      <c r="AH118" s="2" t="n">
        <v>3900</v>
      </c>
      <c r="AI118" s="2" t="n"/>
      <c r="AJ118" s="2" t="n"/>
      <c r="AK118" s="2" t="n"/>
      <c r="AL118" s="2" t="n"/>
      <c r="AM118" s="2" t="n"/>
      <c r="AN118" s="2" t="n">
        <v>5700</v>
      </c>
      <c r="AO118" s="2" t="n">
        <v>7</v>
      </c>
      <c r="AP118" s="2" t="inlineStr">
        <is>
          <t>modelo+año+km</t>
        </is>
      </c>
      <c r="AQ118" s="2" t="n"/>
      <c r="AR118" s="2" t="inlineStr">
        <is>
          <t>cuota fija ITP: &gt;5 y &lt;=12 años, 1.501-2.000 cc; diésel: motor sin fuente de fiabilidad (fiabilidad limitada a neutra); distancia no verificable (el anuncio solo indica la provincia): confirmar que está a &lt;= 70 km</t>
        </is>
      </c>
      <c r="AS118" s="2" t="inlineStr">
        <is>
          <t>Opel Astra excelente estado ITV hasta el 05/2027
móvil +33  aíre acondicionado seguro hasta mayo</t>
        </is>
      </c>
      <c r="AT118" s="2" t="inlineStr">
        <is>
          <t>https://www.coches.net/opel-astra-17-cdti-110-cv-sportive-5p-diesel-2014-en-valencia-71805860-covo.aspx (window.__INITIAL_PROPS__.ad) /home/user/Alopecia/buscador-coches/raw/cochesnet/1d4cc4a127353db3.json</t>
        </is>
      </c>
      <c r="AU118" s="3">
        <f>MAX(ANIO_ACTUAL-M118,0)</f>
        <v/>
      </c>
      <c r="AV118" s="4">
        <f>N118/MAX(AU118,0.5)</f>
        <v/>
      </c>
      <c r="AW118" s="4">
        <f>F118</f>
        <v/>
      </c>
      <c r="AX118" s="3">
        <f>AW118&amp;"|"&amp;INT(M118/SEG_ANIO)*SEG_ANIO</f>
        <v/>
      </c>
      <c r="AY118" s="3">
        <f>AX118&amp;"|"&amp;INT(N118/SEG_KM)*SEG_KM</f>
        <v/>
      </c>
      <c r="AZ118" s="4">
        <f>COUNTIF($AW$2:$AW$662,AW118)</f>
        <v/>
      </c>
      <c r="BA118" s="4">
        <f>COUNTIF($AX$2:$AX$662,AX118)</f>
        <v/>
      </c>
      <c r="BB118" s="4">
        <f>COUNTIF($AY$2:$AY$662,AY118)</f>
        <v/>
      </c>
      <c r="BC118" s="3">
        <f t="array" ref="BC118">IF(N(AO118)&gt;=MIN_N,AN118,IF(BB118&gt;=MIN_N,MEDIAN(IF($AY$2:$AY$662=AY118,$O$2:$O$662)),IF(BA118&gt;=MIN_N,MEDIAN(IF($AX$2:$AX$662=AX118,$O$2:$O$662)),MEDIAN(IF($AW$2:$AW$662=AW118,$O$2:$O$662)))))</f>
        <v/>
      </c>
      <c r="BD118" s="3">
        <f>IF(N(AO118)&gt;=MIN_N,"mercado "&amp;AP118,IF(BB118&gt;=MIN_N,"modelo+año+km",IF(BA118&gt;=MIN_N,"modelo+año","modelo")))</f>
        <v/>
      </c>
      <c r="BE118" s="4">
        <f>(BC118-O118)/BC118</f>
        <v/>
      </c>
      <c r="BF118" s="3">
        <f>IF(OR(K118="hibrido",K118="glp"),"ECO",IF(K118="electrico","CERO",IF(K118="gasolina",IF(M118&gt;=GAS_C,"C",IF(M118&gt;=GAS_B,"B","A")),IF(K118="diesel",IF(M118&gt;=DIE_C,"C",IF(M118&gt;=DIE_B,"B","A")),""))))</f>
        <v/>
      </c>
      <c r="BG118" s="3">
        <f>IFERROR(VLOOKUP(F118,MOD_TBL,11,0),IFERROR(VLOOKUP(E118,OCU_TBL,2,0),NEUTRO))</f>
        <v/>
      </c>
      <c r="BH118" s="3">
        <f>SUMIFS(MOT_AJUSTE,MOT_MOTOR,G118,MOT_MARCA,E118,MOT_DESDE,"&lt;="&amp;M118,MOT_HASTA,"&gt;="&amp;M118)+SUMIFS(MOT_AJUSTE,MOT_MOTOR,G118,MOT_MARCA,"(todas)",MOT_DESDE,"&lt;="&amp;M118,MOT_HASTA,"&gt;="&amp;M118)</f>
        <v/>
      </c>
      <c r="BI118" s="3">
        <f>SUMIFS(COMB_AJUSTE,COMB_COMB,K118)</f>
        <v/>
      </c>
      <c r="BJ118" s="3">
        <f>COUNTIFS(MOT_MOTOR,G118,MOT_MARCA,E118,MOT_DESDE,"&lt;="&amp;M118,MOT_HASTA,"&gt;="&amp;M118)+COUNTIFS(MOT_MOTOR,G118,MOT_MARCA,"(todas)",MOT_DESDE,"&lt;="&amp;M118,MOT_HASTA,"&gt;="&amp;M118)</f>
        <v/>
      </c>
      <c r="BK118" s="3">
        <f>IF(AND(K118="diesel",BJ118=0),MIN(BG118,NEUTRO),BG118)</f>
        <v/>
      </c>
      <c r="BL118" s="4">
        <f>MAX(0,MIN(100,BK118+BH118+BI118))</f>
        <v/>
      </c>
      <c r="BM118" s="3">
        <f>MAX(0,MIN(100,50+BE118*PRECIO_PEND))</f>
        <v/>
      </c>
      <c r="BN118" s="3">
        <f>MAX(0,100*(1-N118/KM_MAX))</f>
        <v/>
      </c>
      <c r="BO118" s="3">
        <f>IF(AV118&lt;KMA_SOSP,IF(AA118="sí",100,KMA_PEN),IF(AV118&lt;=KMA_IDEAL_MAX,100,MAX(0,100*(KMA_CERO-AV118)/(KMA_CERO-KMA_IDEAL_MAX))))</f>
        <v/>
      </c>
      <c r="BP118" s="3">
        <f>MAX(0,MIN(100,100*(M118-ANIO_MIN)/(ANIO_ACTUAL-ANIO_MIN)))</f>
        <v/>
      </c>
      <c r="BQ118" s="3">
        <f>W_KMT*BN118+W_KMA*BO118+W_EDAD*BP118</f>
        <v/>
      </c>
      <c r="BR118" s="3">
        <f>P_ITV*(V118="sí")+P_LIBRO*(W118="sí")+P_CORREA*(X118="sí")+P_PROP*(Y118=1)+P_GAR*(Z118="sí")+P_FOTOS*MIN(1,N(U118)/FOTOS_OBJ)</f>
        <v/>
      </c>
      <c r="BS118" s="3">
        <f>IFERROR(VLOOKUP(BF118,ETQ_TBL,2,0),NEUTRO)</f>
        <v/>
      </c>
      <c r="BT118" s="3">
        <f>NEUTRO</f>
        <v/>
      </c>
      <c r="BU118" s="3">
        <f>IFERROR(VLOOKUP(L118,SEGURO_TBL,3,0),"")</f>
        <v/>
      </c>
      <c r="BV118" s="3">
        <f>IF(BU118="",NEUTRO,MAX(0,MIN(100,100*(SEG_REF_MAX-BU118)/(SEG_REF_MAX-SEG_REF_MIN))))</f>
        <v/>
      </c>
      <c r="BW118" s="3">
        <f>W_ET*BS118+W_CONS*BT118+W_SEG*BV118</f>
        <v/>
      </c>
      <c r="BX118" s="3">
        <f>IF(N(AB118)&gt;0,AB118,IF(AND(R118="profesional",SG_LEGAL_ON=1),GAR_LEGAL,0))</f>
        <v/>
      </c>
      <c r="BY118" s="3">
        <f>SG_GAR*MIN(1,BX118/SG_GAR_FULL)+SG_AMPL*(AC118="sí")+SG_KMC*(AF118="sí")+SG_REV*(N(AE118)&gt;0)+SG_DEV*MIN(1,N(AG118)/SG_DEV_FULL)+SG_HIST*(W118="sí")</f>
        <v/>
      </c>
      <c r="BZ118" s="3">
        <f>IFERROR(VLOOKUP(L118,CARR_PEN_TBL,2,0),0)</f>
        <v/>
      </c>
      <c r="CA118" s="3">
        <f>W_FIAB*BL118+W_PRECIO*BM118+W_KMEDAD*BQ118+W_ANUNCIO*BR118+W_USO*BW118+W_SEGURIDAD*BY118-BZ118</f>
        <v/>
      </c>
      <c r="CB118" s="4">
        <f>IF(N(I118)&gt;0,I118,IFERROR(ROUND(_xlfn.NUMBERVALUE(LEFT(G118,FIND(" ",G118&amp;" ")-1),".")*1000,0),99999))</f>
        <v/>
      </c>
      <c r="CC118" s="3">
        <f>IF(R118="profesional",0,IF(O118&lt;CUOTA_VALOR_MAX,IF(AU118&gt;ITP_TRAMO_ALTO,SUMIFS(CF_CUOTA,CF_MAS,ITP_TRAMO_ALTO,CF_CCMIN,"&lt;="&amp;CB118,CF_CCMAX,"&gt;="&amp;CB118),IF(AU118&gt;ITP_TRAMO_BAJO,SUMIFS(CF_CUOTA,CF_MAS,ITP_TRAMO_BAJO,CF_CCMIN,"&lt;="&amp;CB118,CF_CCMAX,"&gt;="&amp;CB118),O118*ITP_TIPO)),O118*ITP_TIPO))</f>
        <v/>
      </c>
      <c r="CD118" s="4">
        <f>IF(R118="profesional",N(AK118),0)</f>
        <v/>
      </c>
      <c r="CE118" s="3">
        <f>IF(AND(R118="profesional",ISNUMBER(AK118),AL118="sí"),0,TASA_DGT)</f>
        <v/>
      </c>
      <c r="CF118" s="3">
        <f>INFORME_DGT</f>
        <v/>
      </c>
      <c r="CG118" s="4">
        <f>O118+CD118+CC118+CE118+CF118</f>
        <v/>
      </c>
      <c r="CH118" s="4">
        <f>CG118+N(BU118)</f>
        <v/>
      </c>
      <c r="CI118" s="3">
        <f>IF(CG118&lt;=TOTAL_MAX,"sí",IF(CG118&lt;=TOTAL_MAX+MARGEN_NEG,"negociar","no"))</f>
        <v/>
      </c>
      <c r="CJ118" s="4">
        <f>IF(CI118&lt;&gt;"no",COUNTIFS($CI$2:$CI$662,"&lt;&gt;no",$CA$2:$CA$662,"&gt;"&amp;CA118)+COUNTIFS($CI$2:CI118,"&lt;&gt;no",$CA$2:CA118,CA118),"")</f>
        <v/>
      </c>
    </row>
    <row r="119">
      <c r="A119" s="2" t="inlineStr">
        <is>
          <t>cochesnet:71561861</t>
        </is>
      </c>
      <c r="B119" s="2" t="inlineStr">
        <is>
          <t>cochesnet</t>
        </is>
      </c>
      <c r="C119" s="2" t="inlineStr">
        <is>
          <t>https://www.coches.net/opel-astra-17-cdti-110-cv-cosmo-5p-diesel-2010-en-valencia-71561861-covo.aspx</t>
        </is>
      </c>
      <c r="D119" s="2" t="inlineStr">
        <is>
          <t>OPEL Astra 1.7 CDTi 110 CV Cosmo</t>
        </is>
      </c>
      <c r="E119" s="2" t="inlineStr">
        <is>
          <t>Opel</t>
        </is>
      </c>
      <c r="F119" s="2" t="inlineStr">
        <is>
          <t>Opel Astra</t>
        </is>
      </c>
      <c r="G119" s="2" t="inlineStr">
        <is>
          <t>1.7 CDTi</t>
        </is>
      </c>
      <c r="H119" s="2" t="inlineStr">
        <is>
          <t>1.7 CDTi 110 CV Cosmo</t>
        </is>
      </c>
      <c r="I119" s="2" t="n"/>
      <c r="J119" s="2" t="n">
        <v>110</v>
      </c>
      <c r="K119" s="2" t="inlineStr">
        <is>
          <t>diesel</t>
        </is>
      </c>
      <c r="L119" s="2" t="inlineStr">
        <is>
          <t>compacto</t>
        </is>
      </c>
      <c r="M119" s="2" t="n">
        <v>2010</v>
      </c>
      <c r="N119" s="2" t="n">
        <v>140000</v>
      </c>
      <c r="O119" s="2" t="n">
        <v>4390</v>
      </c>
      <c r="P119" s="2" t="inlineStr">
        <is>
          <t>manual</t>
        </is>
      </c>
      <c r="Q119" s="2" t="inlineStr">
        <is>
          <t>no</t>
        </is>
      </c>
      <c r="R119" s="2" t="inlineStr">
        <is>
          <t>particular</t>
        </is>
      </c>
      <c r="S119" s="2" t="inlineStr">
        <is>
          <t>Valencia</t>
        </is>
      </c>
      <c r="T119" s="2" t="inlineStr">
        <is>
          <t>2026-09-21T13:28:52Z</t>
        </is>
      </c>
      <c r="U119" s="2" t="n">
        <v>5</v>
      </c>
      <c r="V119" s="2" t="inlineStr">
        <is>
          <t>sí</t>
        </is>
      </c>
      <c r="W119" s="2" t="n"/>
      <c r="X119" s="2" t="n"/>
      <c r="Y119" s="2" t="n"/>
      <c r="Z119" s="2" t="inlineStr">
        <is>
          <t>no</t>
        </is>
      </c>
      <c r="AA119" s="2" t="n"/>
      <c r="AB119" s="2" t="n"/>
      <c r="AC119" s="2" t="n"/>
      <c r="AD119" s="2" t="n"/>
      <c r="AE119" s="2" t="n"/>
      <c r="AF119" s="2" t="n"/>
      <c r="AG119" s="2" t="n"/>
      <c r="AH119" s="2" t="n">
        <v>4390</v>
      </c>
      <c r="AI119" s="2" t="n"/>
      <c r="AJ119" s="2" t="n"/>
      <c r="AK119" s="2" t="n"/>
      <c r="AL119" s="2" t="n"/>
      <c r="AM119" s="2" t="n">
        <v>0.1</v>
      </c>
      <c r="AN119" s="2" t="n">
        <v>5695</v>
      </c>
      <c r="AO119" s="2" t="n">
        <v>8</v>
      </c>
      <c r="AP119" s="2" t="inlineStr">
        <is>
          <t>modelo+año+km</t>
        </is>
      </c>
      <c r="AQ119" s="2" t="inlineStr">
        <is>
          <t>cochesnet:71561678 (https://www.coches.net/opel-astra-diesel-2010-en-valencia-71561678-covo.aspx)</t>
        </is>
      </c>
      <c r="AR119" s="2" t="inlineStr">
        <is>
          <t>cuota fija ITP: &gt;12 años, 1.501-2.000 cc; diésel: motor sin fuente de fiabilidad (fiabilidad limitada a neutra)</t>
        </is>
      </c>
      <c r="AS119" s="2" t="inlineStr">
        <is>
          <t xml:space="preserve">Mantenimientos al día 
Cambio de aceite y filtros 29/09/26
ITV en vigor 
Acepto prueba mecánica </t>
        </is>
      </c>
      <c r="AT119" s="2" t="inlineStr">
        <is>
          <t>https://www.coches.net/opel-astra-17-cdti-110-cv-cosmo-5p-diesel-2010-en-valencia-71561861-covo.aspx (window.__INITIAL_PROPS__.ad) /home/user/Alopecia/buscador-coches/raw/cochesnet/eb2e4e78a124d8a8.json</t>
        </is>
      </c>
      <c r="AU119" s="3">
        <f>MAX(ANIO_ACTUAL-M119,0)</f>
        <v/>
      </c>
      <c r="AV119" s="4">
        <f>N119/MAX(AU119,0.5)</f>
        <v/>
      </c>
      <c r="AW119" s="4">
        <f>F119</f>
        <v/>
      </c>
      <c r="AX119" s="3">
        <f>AW119&amp;"|"&amp;INT(M119/SEG_ANIO)*SEG_ANIO</f>
        <v/>
      </c>
      <c r="AY119" s="3">
        <f>AX119&amp;"|"&amp;INT(N119/SEG_KM)*SEG_KM</f>
        <v/>
      </c>
      <c r="AZ119" s="4">
        <f>COUNTIF($AW$2:$AW$662,AW119)</f>
        <v/>
      </c>
      <c r="BA119" s="4">
        <f>COUNTIF($AX$2:$AX$662,AX119)</f>
        <v/>
      </c>
      <c r="BB119" s="4">
        <f>COUNTIF($AY$2:$AY$662,AY119)</f>
        <v/>
      </c>
      <c r="BC119" s="3">
        <f t="array" ref="BC119">IF(N(AO119)&gt;=MIN_N,AN119,IF(BB119&gt;=MIN_N,MEDIAN(IF($AY$2:$AY$662=AY119,$O$2:$O$662)),IF(BA119&gt;=MIN_N,MEDIAN(IF($AX$2:$AX$662=AX119,$O$2:$O$662)),MEDIAN(IF($AW$2:$AW$662=AW119,$O$2:$O$662)))))</f>
        <v/>
      </c>
      <c r="BD119" s="3">
        <f>IF(N(AO119)&gt;=MIN_N,"mercado "&amp;AP119,IF(BB119&gt;=MIN_N,"modelo+año+km",IF(BA119&gt;=MIN_N,"modelo+año","modelo")))</f>
        <v/>
      </c>
      <c r="BE119" s="4">
        <f>(BC119-O119)/BC119</f>
        <v/>
      </c>
      <c r="BF119" s="3">
        <f>IF(OR(K119="hibrido",K119="glp"),"ECO",IF(K119="electrico","CERO",IF(K119="gasolina",IF(M119&gt;=GAS_C,"C",IF(M119&gt;=GAS_B,"B","A")),IF(K119="diesel",IF(M119&gt;=DIE_C,"C",IF(M119&gt;=DIE_B,"B","A")),""))))</f>
        <v/>
      </c>
      <c r="BG119" s="3">
        <f>IFERROR(VLOOKUP(F119,MOD_TBL,11,0),IFERROR(VLOOKUP(E119,OCU_TBL,2,0),NEUTRO))</f>
        <v/>
      </c>
      <c r="BH119" s="3">
        <f>SUMIFS(MOT_AJUSTE,MOT_MOTOR,G119,MOT_MARCA,E119,MOT_DESDE,"&lt;="&amp;M119,MOT_HASTA,"&gt;="&amp;M119)+SUMIFS(MOT_AJUSTE,MOT_MOTOR,G119,MOT_MARCA,"(todas)",MOT_DESDE,"&lt;="&amp;M119,MOT_HASTA,"&gt;="&amp;M119)</f>
        <v/>
      </c>
      <c r="BI119" s="3">
        <f>SUMIFS(COMB_AJUSTE,COMB_COMB,K119)</f>
        <v/>
      </c>
      <c r="BJ119" s="3">
        <f>COUNTIFS(MOT_MOTOR,G119,MOT_MARCA,E119,MOT_DESDE,"&lt;="&amp;M119,MOT_HASTA,"&gt;="&amp;M119)+COUNTIFS(MOT_MOTOR,G119,MOT_MARCA,"(todas)",MOT_DESDE,"&lt;="&amp;M119,MOT_HASTA,"&gt;="&amp;M119)</f>
        <v/>
      </c>
      <c r="BK119" s="3">
        <f>IF(AND(K119="diesel",BJ119=0),MIN(BG119,NEUTRO),BG119)</f>
        <v/>
      </c>
      <c r="BL119" s="4">
        <f>MAX(0,MIN(100,BK119+BH119+BI119))</f>
        <v/>
      </c>
      <c r="BM119" s="3">
        <f>MAX(0,MIN(100,50+BE119*PRECIO_PEND))</f>
        <v/>
      </c>
      <c r="BN119" s="3">
        <f>MAX(0,100*(1-N119/KM_MAX))</f>
        <v/>
      </c>
      <c r="BO119" s="3">
        <f>IF(AV119&lt;KMA_SOSP,IF(AA119="sí",100,KMA_PEN),IF(AV119&lt;=KMA_IDEAL_MAX,100,MAX(0,100*(KMA_CERO-AV119)/(KMA_CERO-KMA_IDEAL_MAX))))</f>
        <v/>
      </c>
      <c r="BP119" s="3">
        <f>MAX(0,MIN(100,100*(M119-ANIO_MIN)/(ANIO_ACTUAL-ANIO_MIN)))</f>
        <v/>
      </c>
      <c r="BQ119" s="3">
        <f>W_KMT*BN119+W_KMA*BO119+W_EDAD*BP119</f>
        <v/>
      </c>
      <c r="BR119" s="3">
        <f>P_ITV*(V119="sí")+P_LIBRO*(W119="sí")+P_CORREA*(X119="sí")+P_PROP*(Y119=1)+P_GAR*(Z119="sí")+P_FOTOS*MIN(1,N(U119)/FOTOS_OBJ)</f>
        <v/>
      </c>
      <c r="BS119" s="3">
        <f>IFERROR(VLOOKUP(BF119,ETQ_TBL,2,0),NEUTRO)</f>
        <v/>
      </c>
      <c r="BT119" s="3">
        <f>NEUTRO</f>
        <v/>
      </c>
      <c r="BU119" s="3">
        <f>IFERROR(VLOOKUP(L119,SEGURO_TBL,3,0),"")</f>
        <v/>
      </c>
      <c r="BV119" s="3">
        <f>IF(BU119="",NEUTRO,MAX(0,MIN(100,100*(SEG_REF_MAX-BU119)/(SEG_REF_MAX-SEG_REF_MIN))))</f>
        <v/>
      </c>
      <c r="BW119" s="3">
        <f>W_ET*BS119+W_CONS*BT119+W_SEG*BV119</f>
        <v/>
      </c>
      <c r="BX119" s="3">
        <f>IF(N(AB119)&gt;0,AB119,IF(AND(R119="profesional",SG_LEGAL_ON=1),GAR_LEGAL,0))</f>
        <v/>
      </c>
      <c r="BY119" s="3">
        <f>SG_GAR*MIN(1,BX119/SG_GAR_FULL)+SG_AMPL*(AC119="sí")+SG_KMC*(AF119="sí")+SG_REV*(N(AE119)&gt;0)+SG_DEV*MIN(1,N(AG119)/SG_DEV_FULL)+SG_HIST*(W119="sí")</f>
        <v/>
      </c>
      <c r="BZ119" s="3">
        <f>IFERROR(VLOOKUP(L119,CARR_PEN_TBL,2,0),0)</f>
        <v/>
      </c>
      <c r="CA119" s="3">
        <f>W_FIAB*BL119+W_PRECIO*BM119+W_KMEDAD*BQ119+W_ANUNCIO*BR119+W_USO*BW119+W_SEGURIDAD*BY119-BZ119</f>
        <v/>
      </c>
      <c r="CB119" s="4">
        <f>IF(N(I119)&gt;0,I119,IFERROR(ROUND(_xlfn.NUMBERVALUE(LEFT(G119,FIND(" ",G119&amp;" ")-1),".")*1000,0),99999))</f>
        <v/>
      </c>
      <c r="CC119" s="3">
        <f>IF(R119="profesional",0,IF(O119&lt;CUOTA_VALOR_MAX,IF(AU119&gt;ITP_TRAMO_ALTO,SUMIFS(CF_CUOTA,CF_MAS,ITP_TRAMO_ALTO,CF_CCMIN,"&lt;="&amp;CB119,CF_CCMAX,"&gt;="&amp;CB119),IF(AU119&gt;ITP_TRAMO_BAJO,SUMIFS(CF_CUOTA,CF_MAS,ITP_TRAMO_BAJO,CF_CCMIN,"&lt;="&amp;CB119,CF_CCMAX,"&gt;="&amp;CB119),O119*ITP_TIPO)),O119*ITP_TIPO))</f>
        <v/>
      </c>
      <c r="CD119" s="4">
        <f>IF(R119="profesional",N(AK119),0)</f>
        <v/>
      </c>
      <c r="CE119" s="3">
        <f>IF(AND(R119="profesional",ISNUMBER(AK119),AL119="sí"),0,TASA_DGT)</f>
        <v/>
      </c>
      <c r="CF119" s="3">
        <f>INFORME_DGT</f>
        <v/>
      </c>
      <c r="CG119" s="4">
        <f>O119+CD119+CC119+CE119+CF119</f>
        <v/>
      </c>
      <c r="CH119" s="4">
        <f>CG119+N(BU119)</f>
        <v/>
      </c>
      <c r="CI119" s="3">
        <f>IF(CG119&lt;=TOTAL_MAX,"sí",IF(CG119&lt;=TOTAL_MAX+MARGEN_NEG,"negociar","no"))</f>
        <v/>
      </c>
      <c r="CJ119" s="4">
        <f>IF(CI119&lt;&gt;"no",COUNTIFS($CI$2:$CI$662,"&lt;&gt;no",$CA$2:$CA$662,"&gt;"&amp;CA119)+COUNTIFS($CI$2:CI119,"&lt;&gt;no",$CA$2:CA119,CA119),"")</f>
        <v/>
      </c>
    </row>
    <row r="120">
      <c r="A120" s="2" t="inlineStr">
        <is>
          <t>cochesnet:71370972</t>
        </is>
      </c>
      <c r="B120" s="2" t="inlineStr">
        <is>
          <t>cochesnet</t>
        </is>
      </c>
      <c r="C120" s="2" t="inlineStr">
        <is>
          <t>https://www.coches.net/opel-astra-17-cdti-ss-sportive-gtc-3p-diesel-2013-en-valencia-71370972-covo.aspx</t>
        </is>
      </c>
      <c r="D120" s="2" t="inlineStr">
        <is>
          <t>OPEL Astra 1.7 CDTi SS Sportive GTC</t>
        </is>
      </c>
      <c r="E120" s="2" t="inlineStr">
        <is>
          <t>Opel</t>
        </is>
      </c>
      <c r="F120" s="2" t="inlineStr">
        <is>
          <t>Opel Astra</t>
        </is>
      </c>
      <c r="G120" s="2" t="inlineStr">
        <is>
          <t>1.7 CDTi</t>
        </is>
      </c>
      <c r="H120" s="2" t="inlineStr">
        <is>
          <t>1.7 CDTi SS Sportive GTC</t>
        </is>
      </c>
      <c r="I120" s="2" t="n"/>
      <c r="J120" s="2" t="n"/>
      <c r="K120" s="2" t="inlineStr">
        <is>
          <t>diesel</t>
        </is>
      </c>
      <c r="L120" s="2" t="inlineStr">
        <is>
          <t>compacto</t>
        </is>
      </c>
      <c r="M120" s="2" t="n">
        <v>2013</v>
      </c>
      <c r="N120" s="2" t="n">
        <v>199000</v>
      </c>
      <c r="O120" s="2" t="n">
        <v>4400</v>
      </c>
      <c r="P120" s="2" t="inlineStr">
        <is>
          <t>manual</t>
        </is>
      </c>
      <c r="Q120" s="2" t="inlineStr">
        <is>
          <t>no</t>
        </is>
      </c>
      <c r="R120" s="2" t="inlineStr">
        <is>
          <t>particular</t>
        </is>
      </c>
      <c r="S120" s="2" t="inlineStr">
        <is>
          <t>Rotglà i Corbera</t>
        </is>
      </c>
      <c r="T120" s="2" t="inlineStr">
        <is>
          <t>2026-08-26T18:55:16Z</t>
        </is>
      </c>
      <c r="U120" s="2" t="n">
        <v>10</v>
      </c>
      <c r="V120" s="2" t="inlineStr">
        <is>
          <t>sí</t>
        </is>
      </c>
      <c r="W120" s="2" t="n"/>
      <c r="X120" s="2" t="n"/>
      <c r="Y120" s="2" t="n"/>
      <c r="Z120" s="2" t="inlineStr">
        <is>
          <t>no</t>
        </is>
      </c>
      <c r="AA120" s="2" t="n"/>
      <c r="AB120" s="2" t="n"/>
      <c r="AC120" s="2" t="n"/>
      <c r="AD120" s="2" t="n"/>
      <c r="AE120" s="2" t="n"/>
      <c r="AF120" s="2" t="n"/>
      <c r="AG120" s="2" t="n"/>
      <c r="AH120" s="2" t="n">
        <v>4400</v>
      </c>
      <c r="AI120" s="2" t="n"/>
      <c r="AJ120" s="2" t="n"/>
      <c r="AK120" s="2" t="n"/>
      <c r="AL120" s="2" t="n"/>
      <c r="AM120" s="2" t="n">
        <v>54.2</v>
      </c>
      <c r="AN120" s="2" t="n">
        <v>5700</v>
      </c>
      <c r="AO120" s="2" t="n">
        <v>7</v>
      </c>
      <c r="AP120" s="2" t="inlineStr">
        <is>
          <t>modelo+año+km</t>
        </is>
      </c>
      <c r="AQ120" s="2" t="n"/>
      <c r="AR120" s="2" t="inlineStr">
        <is>
          <t>antigüedad en el límite del tramo: depende de la fecha exacta de matriculación; cuota fija ITP: &gt;12 años, 1.501-2.000 cc; diésel: motor sin fuente de fiabilidad (fiabilidad limitada a neutra)</t>
        </is>
      </c>
      <c r="AS120" s="2" t="inlineStr">
        <is>
          <t xml:space="preserve">ULTIMO PRECIO
-Asiento de piel mixtos
-Interior en perfecto estado
-Ruedas en perfecto sado
-Aceite y filtros recien hechos
-Se deja con ITV pasada de un año
-Posibilidad ampliación de garantia 1 año
-Se puede ver y probar sin compromiso </t>
        </is>
      </c>
      <c r="AT120" s="2" t="inlineStr">
        <is>
          <t>https://www.coches.net/opel-astra-17-cdti-ss-sportive-gtc-3p-diesel-2013-en-valencia-71370972-covo.aspx (window.__INITIAL_PROPS__.ad) /home/user/Alopecia/buscador-coches/raw/cochesnet/b872b3cb4f54b6ca.json</t>
        </is>
      </c>
      <c r="AU120" s="3">
        <f>MAX(ANIO_ACTUAL-M120,0)</f>
        <v/>
      </c>
      <c r="AV120" s="4">
        <f>N120/MAX(AU120,0.5)</f>
        <v/>
      </c>
      <c r="AW120" s="4">
        <f>F120</f>
        <v/>
      </c>
      <c r="AX120" s="3">
        <f>AW120&amp;"|"&amp;INT(M120/SEG_ANIO)*SEG_ANIO</f>
        <v/>
      </c>
      <c r="AY120" s="3">
        <f>AX120&amp;"|"&amp;INT(N120/SEG_KM)*SEG_KM</f>
        <v/>
      </c>
      <c r="AZ120" s="4">
        <f>COUNTIF($AW$2:$AW$662,AW120)</f>
        <v/>
      </c>
      <c r="BA120" s="4">
        <f>COUNTIF($AX$2:$AX$662,AX120)</f>
        <v/>
      </c>
      <c r="BB120" s="4">
        <f>COUNTIF($AY$2:$AY$662,AY120)</f>
        <v/>
      </c>
      <c r="BC120" s="3">
        <f t="array" ref="BC120">IF(N(AO120)&gt;=MIN_N,AN120,IF(BB120&gt;=MIN_N,MEDIAN(IF($AY$2:$AY$662=AY120,$O$2:$O$662)),IF(BA120&gt;=MIN_N,MEDIAN(IF($AX$2:$AX$662=AX120,$O$2:$O$662)),MEDIAN(IF($AW$2:$AW$662=AW120,$O$2:$O$662)))))</f>
        <v/>
      </c>
      <c r="BD120" s="3">
        <f>IF(N(AO120)&gt;=MIN_N,"mercado "&amp;AP120,IF(BB120&gt;=MIN_N,"modelo+año+km",IF(BA120&gt;=MIN_N,"modelo+año","modelo")))</f>
        <v/>
      </c>
      <c r="BE120" s="4">
        <f>(BC120-O120)/BC120</f>
        <v/>
      </c>
      <c r="BF120" s="3">
        <f>IF(OR(K120="hibrido",K120="glp"),"ECO",IF(K120="electrico","CERO",IF(K120="gasolina",IF(M120&gt;=GAS_C,"C",IF(M120&gt;=GAS_B,"B","A")),IF(K120="diesel",IF(M120&gt;=DIE_C,"C",IF(M120&gt;=DIE_B,"B","A")),""))))</f>
        <v/>
      </c>
      <c r="BG120" s="3">
        <f>IFERROR(VLOOKUP(F120,MOD_TBL,11,0),IFERROR(VLOOKUP(E120,OCU_TBL,2,0),NEUTRO))</f>
        <v/>
      </c>
      <c r="BH120" s="3">
        <f>SUMIFS(MOT_AJUSTE,MOT_MOTOR,G120,MOT_MARCA,E120,MOT_DESDE,"&lt;="&amp;M120,MOT_HASTA,"&gt;="&amp;M120)+SUMIFS(MOT_AJUSTE,MOT_MOTOR,G120,MOT_MARCA,"(todas)",MOT_DESDE,"&lt;="&amp;M120,MOT_HASTA,"&gt;="&amp;M120)</f>
        <v/>
      </c>
      <c r="BI120" s="3">
        <f>SUMIFS(COMB_AJUSTE,COMB_COMB,K120)</f>
        <v/>
      </c>
      <c r="BJ120" s="3">
        <f>COUNTIFS(MOT_MOTOR,G120,MOT_MARCA,E120,MOT_DESDE,"&lt;="&amp;M120,MOT_HASTA,"&gt;="&amp;M120)+COUNTIFS(MOT_MOTOR,G120,MOT_MARCA,"(todas)",MOT_DESDE,"&lt;="&amp;M120,MOT_HASTA,"&gt;="&amp;M120)</f>
        <v/>
      </c>
      <c r="BK120" s="3">
        <f>IF(AND(K120="diesel",BJ120=0),MIN(BG120,NEUTRO),BG120)</f>
        <v/>
      </c>
      <c r="BL120" s="4">
        <f>MAX(0,MIN(100,BK120+BH120+BI120))</f>
        <v/>
      </c>
      <c r="BM120" s="3">
        <f>MAX(0,MIN(100,50+BE120*PRECIO_PEND))</f>
        <v/>
      </c>
      <c r="BN120" s="3">
        <f>MAX(0,100*(1-N120/KM_MAX))</f>
        <v/>
      </c>
      <c r="BO120" s="3">
        <f>IF(AV120&lt;KMA_SOSP,IF(AA120="sí",100,KMA_PEN),IF(AV120&lt;=KMA_IDEAL_MAX,100,MAX(0,100*(KMA_CERO-AV120)/(KMA_CERO-KMA_IDEAL_MAX))))</f>
        <v/>
      </c>
      <c r="BP120" s="3">
        <f>MAX(0,MIN(100,100*(M120-ANIO_MIN)/(ANIO_ACTUAL-ANIO_MIN)))</f>
        <v/>
      </c>
      <c r="BQ120" s="3">
        <f>W_KMT*BN120+W_KMA*BO120+W_EDAD*BP120</f>
        <v/>
      </c>
      <c r="BR120" s="3">
        <f>P_ITV*(V120="sí")+P_LIBRO*(W120="sí")+P_CORREA*(X120="sí")+P_PROP*(Y120=1)+P_GAR*(Z120="sí")+P_FOTOS*MIN(1,N(U120)/FOTOS_OBJ)</f>
        <v/>
      </c>
      <c r="BS120" s="3">
        <f>IFERROR(VLOOKUP(BF120,ETQ_TBL,2,0),NEUTRO)</f>
        <v/>
      </c>
      <c r="BT120" s="3">
        <f>NEUTRO</f>
        <v/>
      </c>
      <c r="BU120" s="3">
        <f>IFERROR(VLOOKUP(L120,SEGURO_TBL,3,0),"")</f>
        <v/>
      </c>
      <c r="BV120" s="3">
        <f>IF(BU120="",NEUTRO,MAX(0,MIN(100,100*(SEG_REF_MAX-BU120)/(SEG_REF_MAX-SEG_REF_MIN))))</f>
        <v/>
      </c>
      <c r="BW120" s="3">
        <f>W_ET*BS120+W_CONS*BT120+W_SEG*BV120</f>
        <v/>
      </c>
      <c r="BX120" s="3">
        <f>IF(N(AB120)&gt;0,AB120,IF(AND(R120="profesional",SG_LEGAL_ON=1),GAR_LEGAL,0))</f>
        <v/>
      </c>
      <c r="BY120" s="3">
        <f>SG_GAR*MIN(1,BX120/SG_GAR_FULL)+SG_AMPL*(AC120="sí")+SG_KMC*(AF120="sí")+SG_REV*(N(AE120)&gt;0)+SG_DEV*MIN(1,N(AG120)/SG_DEV_FULL)+SG_HIST*(W120="sí")</f>
        <v/>
      </c>
      <c r="BZ120" s="3">
        <f>IFERROR(VLOOKUP(L120,CARR_PEN_TBL,2,0),0)</f>
        <v/>
      </c>
      <c r="CA120" s="3">
        <f>W_FIAB*BL120+W_PRECIO*BM120+W_KMEDAD*BQ120+W_ANUNCIO*BR120+W_USO*BW120+W_SEGURIDAD*BY120-BZ120</f>
        <v/>
      </c>
      <c r="CB120" s="4">
        <f>IF(N(I120)&gt;0,I120,IFERROR(ROUND(_xlfn.NUMBERVALUE(LEFT(G120,FIND(" ",G120&amp;" ")-1),".")*1000,0),99999))</f>
        <v/>
      </c>
      <c r="CC120" s="3">
        <f>IF(R120="profesional",0,IF(O120&lt;CUOTA_VALOR_MAX,IF(AU120&gt;ITP_TRAMO_ALTO,SUMIFS(CF_CUOTA,CF_MAS,ITP_TRAMO_ALTO,CF_CCMIN,"&lt;="&amp;CB120,CF_CCMAX,"&gt;="&amp;CB120),IF(AU120&gt;ITP_TRAMO_BAJO,SUMIFS(CF_CUOTA,CF_MAS,ITP_TRAMO_BAJO,CF_CCMIN,"&lt;="&amp;CB120,CF_CCMAX,"&gt;="&amp;CB120),O120*ITP_TIPO)),O120*ITP_TIPO))</f>
        <v/>
      </c>
      <c r="CD120" s="4">
        <f>IF(R120="profesional",N(AK120),0)</f>
        <v/>
      </c>
      <c r="CE120" s="3">
        <f>IF(AND(R120="profesional",ISNUMBER(AK120),AL120="sí"),0,TASA_DGT)</f>
        <v/>
      </c>
      <c r="CF120" s="3">
        <f>INFORME_DGT</f>
        <v/>
      </c>
      <c r="CG120" s="4">
        <f>O120+CD120+CC120+CE120+CF120</f>
        <v/>
      </c>
      <c r="CH120" s="4">
        <f>CG120+N(BU120)</f>
        <v/>
      </c>
      <c r="CI120" s="3">
        <f>IF(CG120&lt;=TOTAL_MAX,"sí",IF(CG120&lt;=TOTAL_MAX+MARGEN_NEG,"negociar","no"))</f>
        <v/>
      </c>
      <c r="CJ120" s="4">
        <f>IF(CI120&lt;&gt;"no",COUNTIFS($CI$2:$CI$662,"&lt;&gt;no",$CA$2:$CA$662,"&gt;"&amp;CA120)+COUNTIFS($CI$2:CI120,"&lt;&gt;no",$CA$2:CA120,CA120),"")</f>
        <v/>
      </c>
    </row>
    <row r="121">
      <c r="A121" s="2" t="inlineStr">
        <is>
          <t>cochesnet:71346295</t>
        </is>
      </c>
      <c r="B121" s="2" t="inlineStr">
        <is>
          <t>cochesnet</t>
        </is>
      </c>
      <c r="C121" s="2" t="inlineStr">
        <is>
          <t>https://www.coches.net/opel-astra-17-cdti-110-cv-enjoy-5p-diesel-2011-en-valencia-71346295-covo.aspx</t>
        </is>
      </c>
      <c r="D121" s="2" t="inlineStr">
        <is>
          <t>OPEL Astra 1.7 CDTi 110 CV Enjoy</t>
        </is>
      </c>
      <c r="E121" s="2" t="inlineStr">
        <is>
          <t>Opel</t>
        </is>
      </c>
      <c r="F121" s="2" t="inlineStr">
        <is>
          <t>Opel Astra</t>
        </is>
      </c>
      <c r="G121" s="2" t="inlineStr">
        <is>
          <t>1.7 CDTi</t>
        </is>
      </c>
      <c r="H121" s="2" t="inlineStr">
        <is>
          <t>1.7 CDTi 110 CV Enjoy</t>
        </is>
      </c>
      <c r="I121" s="2" t="n"/>
      <c r="J121" s="2" t="n">
        <v>110</v>
      </c>
      <c r="K121" s="2" t="inlineStr">
        <is>
          <t>diesel</t>
        </is>
      </c>
      <c r="L121" s="2" t="inlineStr">
        <is>
          <t>compacto</t>
        </is>
      </c>
      <c r="M121" s="2" t="n">
        <v>2011</v>
      </c>
      <c r="N121" s="2" t="n">
        <v>160000</v>
      </c>
      <c r="O121" s="2" t="n">
        <v>4000</v>
      </c>
      <c r="P121" s="2" t="inlineStr">
        <is>
          <t>manual</t>
        </is>
      </c>
      <c r="Q121" s="2" t="inlineStr">
        <is>
          <t>no</t>
        </is>
      </c>
      <c r="R121" s="2" t="inlineStr">
        <is>
          <t>particular</t>
        </is>
      </c>
      <c r="S121" s="2" t="inlineStr">
        <is>
          <t>Gandia</t>
        </is>
      </c>
      <c r="T121" s="2" t="inlineStr">
        <is>
          <t>2026-08-23T20:01:23Z</t>
        </is>
      </c>
      <c r="U121" s="2" t="n">
        <v>6</v>
      </c>
      <c r="V121" s="2" t="n"/>
      <c r="W121" s="2" t="n"/>
      <c r="X121" s="2" t="n"/>
      <c r="Y121" s="2" t="n"/>
      <c r="Z121" s="2" t="inlineStr">
        <is>
          <t>no</t>
        </is>
      </c>
      <c r="AA121" s="2" t="n"/>
      <c r="AB121" s="2" t="n"/>
      <c r="AC121" s="2" t="n"/>
      <c r="AD121" s="2" t="n"/>
      <c r="AE121" s="2" t="n"/>
      <c r="AF121" s="2" t="n"/>
      <c r="AG121" s="2" t="n"/>
      <c r="AH121" s="2" t="n">
        <v>4000</v>
      </c>
      <c r="AI121" s="2" t="n"/>
      <c r="AJ121" s="2" t="n"/>
      <c r="AK121" s="2" t="n"/>
      <c r="AL121" s="2" t="n"/>
      <c r="AM121" s="2" t="n">
        <v>58.4</v>
      </c>
      <c r="AN121" s="2" t="n">
        <v>4745</v>
      </c>
      <c r="AO121" s="2" t="n">
        <v>10</v>
      </c>
      <c r="AP121" s="2" t="inlineStr">
        <is>
          <t>modelo+año+km</t>
        </is>
      </c>
      <c r="AQ121" s="2" t="n"/>
      <c r="AR121" s="2" t="inlineStr">
        <is>
          <t>cuota fija ITP: &gt;12 años, 1.501-2.000 cc; diésel: motor sin fuente de fiabilidad (fiabilidad limitada a neutra)</t>
        </is>
      </c>
      <c r="AS121" s="2" t="inlineStr">
        <is>
          <t>De Gandia</t>
        </is>
      </c>
      <c r="AT121" s="2" t="inlineStr">
        <is>
          <t>https://www.coches.net/opel-astra-17-cdti-110-cv-enjoy-5p-diesel-2011-en-valencia-71346295-covo.aspx (window.__INITIAL_PROPS__.ad) /home/user/Alopecia/buscador-coches/raw/cochesnet/bd0f5a5afc44d2f1.json</t>
        </is>
      </c>
      <c r="AU121" s="3">
        <f>MAX(ANIO_ACTUAL-M121,0)</f>
        <v/>
      </c>
      <c r="AV121" s="4">
        <f>N121/MAX(AU121,0.5)</f>
        <v/>
      </c>
      <c r="AW121" s="4">
        <f>F121</f>
        <v/>
      </c>
      <c r="AX121" s="3">
        <f>AW121&amp;"|"&amp;INT(M121/SEG_ANIO)*SEG_ANIO</f>
        <v/>
      </c>
      <c r="AY121" s="3">
        <f>AX121&amp;"|"&amp;INT(N121/SEG_KM)*SEG_KM</f>
        <v/>
      </c>
      <c r="AZ121" s="4">
        <f>COUNTIF($AW$2:$AW$662,AW121)</f>
        <v/>
      </c>
      <c r="BA121" s="4">
        <f>COUNTIF($AX$2:$AX$662,AX121)</f>
        <v/>
      </c>
      <c r="BB121" s="4">
        <f>COUNTIF($AY$2:$AY$662,AY121)</f>
        <v/>
      </c>
      <c r="BC121" s="3">
        <f t="array" ref="BC121">IF(N(AO121)&gt;=MIN_N,AN121,IF(BB121&gt;=MIN_N,MEDIAN(IF($AY$2:$AY$662=AY121,$O$2:$O$662)),IF(BA121&gt;=MIN_N,MEDIAN(IF($AX$2:$AX$662=AX121,$O$2:$O$662)),MEDIAN(IF($AW$2:$AW$662=AW121,$O$2:$O$662)))))</f>
        <v/>
      </c>
      <c r="BD121" s="3">
        <f>IF(N(AO121)&gt;=MIN_N,"mercado "&amp;AP121,IF(BB121&gt;=MIN_N,"modelo+año+km",IF(BA121&gt;=MIN_N,"modelo+año","modelo")))</f>
        <v/>
      </c>
      <c r="BE121" s="4">
        <f>(BC121-O121)/BC121</f>
        <v/>
      </c>
      <c r="BF121" s="3">
        <f>IF(OR(K121="hibrido",K121="glp"),"ECO",IF(K121="electrico","CERO",IF(K121="gasolina",IF(M121&gt;=GAS_C,"C",IF(M121&gt;=GAS_B,"B","A")),IF(K121="diesel",IF(M121&gt;=DIE_C,"C",IF(M121&gt;=DIE_B,"B","A")),""))))</f>
        <v/>
      </c>
      <c r="BG121" s="3">
        <f>IFERROR(VLOOKUP(F121,MOD_TBL,11,0),IFERROR(VLOOKUP(E121,OCU_TBL,2,0),NEUTRO))</f>
        <v/>
      </c>
      <c r="BH121" s="3">
        <f>SUMIFS(MOT_AJUSTE,MOT_MOTOR,G121,MOT_MARCA,E121,MOT_DESDE,"&lt;="&amp;M121,MOT_HASTA,"&gt;="&amp;M121)+SUMIFS(MOT_AJUSTE,MOT_MOTOR,G121,MOT_MARCA,"(todas)",MOT_DESDE,"&lt;="&amp;M121,MOT_HASTA,"&gt;="&amp;M121)</f>
        <v/>
      </c>
      <c r="BI121" s="3">
        <f>SUMIFS(COMB_AJUSTE,COMB_COMB,K121)</f>
        <v/>
      </c>
      <c r="BJ121" s="3">
        <f>COUNTIFS(MOT_MOTOR,G121,MOT_MARCA,E121,MOT_DESDE,"&lt;="&amp;M121,MOT_HASTA,"&gt;="&amp;M121)+COUNTIFS(MOT_MOTOR,G121,MOT_MARCA,"(todas)",MOT_DESDE,"&lt;="&amp;M121,MOT_HASTA,"&gt;="&amp;M121)</f>
        <v/>
      </c>
      <c r="BK121" s="3">
        <f>IF(AND(K121="diesel",BJ121=0),MIN(BG121,NEUTRO),BG121)</f>
        <v/>
      </c>
      <c r="BL121" s="4">
        <f>MAX(0,MIN(100,BK121+BH121+BI121))</f>
        <v/>
      </c>
      <c r="BM121" s="3">
        <f>MAX(0,MIN(100,50+BE121*PRECIO_PEND))</f>
        <v/>
      </c>
      <c r="BN121" s="3">
        <f>MAX(0,100*(1-N121/KM_MAX))</f>
        <v/>
      </c>
      <c r="BO121" s="3">
        <f>IF(AV121&lt;KMA_SOSP,IF(AA121="sí",100,KMA_PEN),IF(AV121&lt;=KMA_IDEAL_MAX,100,MAX(0,100*(KMA_CERO-AV121)/(KMA_CERO-KMA_IDEAL_MAX))))</f>
        <v/>
      </c>
      <c r="BP121" s="3">
        <f>MAX(0,MIN(100,100*(M121-ANIO_MIN)/(ANIO_ACTUAL-ANIO_MIN)))</f>
        <v/>
      </c>
      <c r="BQ121" s="3">
        <f>W_KMT*BN121+W_KMA*BO121+W_EDAD*BP121</f>
        <v/>
      </c>
      <c r="BR121" s="3">
        <f>P_ITV*(V121="sí")+P_LIBRO*(W121="sí")+P_CORREA*(X121="sí")+P_PROP*(Y121=1)+P_GAR*(Z121="sí")+P_FOTOS*MIN(1,N(U121)/FOTOS_OBJ)</f>
        <v/>
      </c>
      <c r="BS121" s="3">
        <f>IFERROR(VLOOKUP(BF121,ETQ_TBL,2,0),NEUTRO)</f>
        <v/>
      </c>
      <c r="BT121" s="3">
        <f>NEUTRO</f>
        <v/>
      </c>
      <c r="BU121" s="3">
        <f>IFERROR(VLOOKUP(L121,SEGURO_TBL,3,0),"")</f>
        <v/>
      </c>
      <c r="BV121" s="3">
        <f>IF(BU121="",NEUTRO,MAX(0,MIN(100,100*(SEG_REF_MAX-BU121)/(SEG_REF_MAX-SEG_REF_MIN))))</f>
        <v/>
      </c>
      <c r="BW121" s="3">
        <f>W_ET*BS121+W_CONS*BT121+W_SEG*BV121</f>
        <v/>
      </c>
      <c r="BX121" s="3">
        <f>IF(N(AB121)&gt;0,AB121,IF(AND(R121="profesional",SG_LEGAL_ON=1),GAR_LEGAL,0))</f>
        <v/>
      </c>
      <c r="BY121" s="3">
        <f>SG_GAR*MIN(1,BX121/SG_GAR_FULL)+SG_AMPL*(AC121="sí")+SG_KMC*(AF121="sí")+SG_REV*(N(AE121)&gt;0)+SG_DEV*MIN(1,N(AG121)/SG_DEV_FULL)+SG_HIST*(W121="sí")</f>
        <v/>
      </c>
      <c r="BZ121" s="3">
        <f>IFERROR(VLOOKUP(L121,CARR_PEN_TBL,2,0),0)</f>
        <v/>
      </c>
      <c r="CA121" s="3">
        <f>W_FIAB*BL121+W_PRECIO*BM121+W_KMEDAD*BQ121+W_ANUNCIO*BR121+W_USO*BW121+W_SEGURIDAD*BY121-BZ121</f>
        <v/>
      </c>
      <c r="CB121" s="4">
        <f>IF(N(I121)&gt;0,I121,IFERROR(ROUND(_xlfn.NUMBERVALUE(LEFT(G121,FIND(" ",G121&amp;" ")-1),".")*1000,0),99999))</f>
        <v/>
      </c>
      <c r="CC121" s="3">
        <f>IF(R121="profesional",0,IF(O121&lt;CUOTA_VALOR_MAX,IF(AU121&gt;ITP_TRAMO_ALTO,SUMIFS(CF_CUOTA,CF_MAS,ITP_TRAMO_ALTO,CF_CCMIN,"&lt;="&amp;CB121,CF_CCMAX,"&gt;="&amp;CB121),IF(AU121&gt;ITP_TRAMO_BAJO,SUMIFS(CF_CUOTA,CF_MAS,ITP_TRAMO_BAJO,CF_CCMIN,"&lt;="&amp;CB121,CF_CCMAX,"&gt;="&amp;CB121),O121*ITP_TIPO)),O121*ITP_TIPO))</f>
        <v/>
      </c>
      <c r="CD121" s="4">
        <f>IF(R121="profesional",N(AK121),0)</f>
        <v/>
      </c>
      <c r="CE121" s="3">
        <f>IF(AND(R121="profesional",ISNUMBER(AK121),AL121="sí"),0,TASA_DGT)</f>
        <v/>
      </c>
      <c r="CF121" s="3">
        <f>INFORME_DGT</f>
        <v/>
      </c>
      <c r="CG121" s="4">
        <f>O121+CD121+CC121+CE121+CF121</f>
        <v/>
      </c>
      <c r="CH121" s="4">
        <f>CG121+N(BU121)</f>
        <v/>
      </c>
      <c r="CI121" s="3">
        <f>IF(CG121&lt;=TOTAL_MAX,"sí",IF(CG121&lt;=TOTAL_MAX+MARGEN_NEG,"negociar","no"))</f>
        <v/>
      </c>
      <c r="CJ121" s="4">
        <f>IF(CI121&lt;&gt;"no",COUNTIFS($CI$2:$CI$662,"&lt;&gt;no",$CA$2:$CA$662,"&gt;"&amp;CA121)+COUNTIFS($CI$2:CI121,"&lt;&gt;no",$CA$2:CA121,CA121),"")</f>
        <v/>
      </c>
    </row>
    <row r="122">
      <c r="A122" s="2" t="inlineStr">
        <is>
          <t>cochesnet:71249625</t>
        </is>
      </c>
      <c r="B122" s="2" t="inlineStr">
        <is>
          <t>cochesnet</t>
        </is>
      </c>
      <c r="C122" s="2" t="inlineStr">
        <is>
          <t>https://www.coches.net/opel-astra-17-cdti-ss-130-cv-excellence-4p-diesel-2014-en-valencia-71249625-covo.aspx</t>
        </is>
      </c>
      <c r="D122" s="2" t="inlineStr">
        <is>
          <t>OPEL Astra 1.7 CDTi SS 130 CV Excellence</t>
        </is>
      </c>
      <c r="E122" s="2" t="inlineStr">
        <is>
          <t>Opel</t>
        </is>
      </c>
      <c r="F122" s="2" t="inlineStr">
        <is>
          <t>Opel Astra</t>
        </is>
      </c>
      <c r="G122" s="2" t="inlineStr">
        <is>
          <t>1.7 CDTi</t>
        </is>
      </c>
      <c r="H122" s="2" t="inlineStr">
        <is>
          <t>1.7 CDTi SS 130 CV Excellence</t>
        </is>
      </c>
      <c r="I122" s="2" t="n"/>
      <c r="J122" s="2" t="n">
        <v>130</v>
      </c>
      <c r="K122" s="2" t="inlineStr">
        <is>
          <t>diesel</t>
        </is>
      </c>
      <c r="L122" s="2" t="inlineStr">
        <is>
          <t>compacto</t>
        </is>
      </c>
      <c r="M122" s="2" t="n">
        <v>2014</v>
      </c>
      <c r="N122" s="2" t="n">
        <v>220000</v>
      </c>
      <c r="O122" s="2" t="n">
        <v>4500</v>
      </c>
      <c r="P122" s="2" t="inlineStr">
        <is>
          <t>manual</t>
        </is>
      </c>
      <c r="Q122" s="2" t="inlineStr">
        <is>
          <t>no</t>
        </is>
      </c>
      <c r="R122" s="2" t="inlineStr">
        <is>
          <t>particular</t>
        </is>
      </c>
      <c r="S122" s="2" t="inlineStr">
        <is>
          <t>La Pobla de Vallbona</t>
        </is>
      </c>
      <c r="T122" s="2" t="inlineStr">
        <is>
          <t>2026-08-07T12:55:35Z</t>
        </is>
      </c>
      <c r="U122" s="2" t="n"/>
      <c r="V122" s="2" t="n"/>
      <c r="W122" s="2" t="n"/>
      <c r="X122" s="2" t="n"/>
      <c r="Y122" s="2" t="n"/>
      <c r="Z122" s="2" t="inlineStr">
        <is>
          <t>no</t>
        </is>
      </c>
      <c r="AA122" s="2" t="n"/>
      <c r="AB122" s="2" t="n"/>
      <c r="AC122" s="2" t="n"/>
      <c r="AD122" s="2" t="n"/>
      <c r="AE122" s="2" t="n"/>
      <c r="AF122" s="2" t="n"/>
      <c r="AG122" s="2" t="n"/>
      <c r="AH122" s="2" t="n">
        <v>4500</v>
      </c>
      <c r="AI122" s="2" t="n"/>
      <c r="AJ122" s="2" t="n"/>
      <c r="AK122" s="2" t="n"/>
      <c r="AL122" s="2" t="n"/>
      <c r="AM122" s="2" t="n">
        <v>20.8</v>
      </c>
      <c r="AN122" s="2" t="n">
        <v>5300</v>
      </c>
      <c r="AO122" s="2" t="n">
        <v>30</v>
      </c>
      <c r="AP122" s="2" t="inlineStr">
        <is>
          <t>modelo+año</t>
        </is>
      </c>
      <c r="AQ122" s="2" t="n"/>
      <c r="AR122" s="2" t="inlineStr">
        <is>
          <t>cuota fija ITP: &gt;5 y &lt;=12 años, 1.501-2.000 cc; diésel: motor sin fuente de fiabilidad (fiabilidad limitada a neutra)</t>
        </is>
      </c>
      <c r="AS122" s="2" t="inlineStr">
        <is>
          <t>Motor potente, consumo ajustado y conducción suave: una gran oportunidad.
Te presento mi Opel Astra 1.7 CDTi SS 130 CV Excellence, un berlina diésel que combina eficiencia y rendimiento en la carretera. Con motor de 1686 cc y 130 caballos de potencia, ofrece una conducción ágil y responsiva, ideal tanto para desplazamientos urbanos como para viajes de mayor distancia.
Este modelo destaca por su consumo optimizado gracias a la tecnología diésel, lo que se traduce en ahorros significativos en combustible sin renunciar a la potencia. La caja de cambios manual proporciona un control directo y una experiencia de conducción más conectada, característica que muchos conductores valoran especialmente.
La versión Excellence incluye un equipamiento pensado para el confort y la seguridad, con características que elevan la experiencia de conducción diaria. El diseño de berlina de cuatro puertas y cinco plazas lo hace versátil para familias y usuarios que necesitan espacio práctico.
Se trata de un vehículo que ha demostrado la fiabilidad característica de la marca Opel, con un motor diésel conocido por su durabilidad. La carrocería y el interior reflejan un uso cuidadoso a lo largo de los años.
Si tienes dudas sobre aspectos específicos del vehículo o deseas conocer más detalles sobre su estado, no dudes en contactarme a través del chat. Estoy disponible para resolver cualquier pregunta que tengas.
Contacta hoy mismo y descubre por qué este Astra puede ser exactamente lo que buscas.</t>
        </is>
      </c>
      <c r="AT122" s="2" t="inlineStr">
        <is>
          <t>https://www.coches.net/opel-astra-17-cdti-ss-130-cv-excellence-4p-diesel-2014-en-valencia-71249625-covo.aspx (window.__INITIAL_PROPS__.ad) /home/user/Alopecia/buscador-coches/raw/cochesnet/300b5820103d642b.json</t>
        </is>
      </c>
      <c r="AU122" s="3">
        <f>MAX(ANIO_ACTUAL-M122,0)</f>
        <v/>
      </c>
      <c r="AV122" s="4">
        <f>N122/MAX(AU122,0.5)</f>
        <v/>
      </c>
      <c r="AW122" s="4">
        <f>F122</f>
        <v/>
      </c>
      <c r="AX122" s="3">
        <f>AW122&amp;"|"&amp;INT(M122/SEG_ANIO)*SEG_ANIO</f>
        <v/>
      </c>
      <c r="AY122" s="3">
        <f>AX122&amp;"|"&amp;INT(N122/SEG_KM)*SEG_KM</f>
        <v/>
      </c>
      <c r="AZ122" s="4">
        <f>COUNTIF($AW$2:$AW$662,AW122)</f>
        <v/>
      </c>
      <c r="BA122" s="4">
        <f>COUNTIF($AX$2:$AX$662,AX122)</f>
        <v/>
      </c>
      <c r="BB122" s="4">
        <f>COUNTIF($AY$2:$AY$662,AY122)</f>
        <v/>
      </c>
      <c r="BC122" s="3">
        <f t="array" ref="BC122">IF(N(AO122)&gt;=MIN_N,AN122,IF(BB122&gt;=MIN_N,MEDIAN(IF($AY$2:$AY$662=AY122,$O$2:$O$662)),IF(BA122&gt;=MIN_N,MEDIAN(IF($AX$2:$AX$662=AX122,$O$2:$O$662)),MEDIAN(IF($AW$2:$AW$662=AW122,$O$2:$O$662)))))</f>
        <v/>
      </c>
      <c r="BD122" s="3">
        <f>IF(N(AO122)&gt;=MIN_N,"mercado "&amp;AP122,IF(BB122&gt;=MIN_N,"modelo+año+km",IF(BA122&gt;=MIN_N,"modelo+año","modelo")))</f>
        <v/>
      </c>
      <c r="BE122" s="4">
        <f>(BC122-O122)/BC122</f>
        <v/>
      </c>
      <c r="BF122" s="3">
        <f>IF(OR(K122="hibrido",K122="glp"),"ECO",IF(K122="electrico","CERO",IF(K122="gasolina",IF(M122&gt;=GAS_C,"C",IF(M122&gt;=GAS_B,"B","A")),IF(K122="diesel",IF(M122&gt;=DIE_C,"C",IF(M122&gt;=DIE_B,"B","A")),""))))</f>
        <v/>
      </c>
      <c r="BG122" s="3">
        <f>IFERROR(VLOOKUP(F122,MOD_TBL,11,0),IFERROR(VLOOKUP(E122,OCU_TBL,2,0),NEUTRO))</f>
        <v/>
      </c>
      <c r="BH122" s="3">
        <f>SUMIFS(MOT_AJUSTE,MOT_MOTOR,G122,MOT_MARCA,E122,MOT_DESDE,"&lt;="&amp;M122,MOT_HASTA,"&gt;="&amp;M122)+SUMIFS(MOT_AJUSTE,MOT_MOTOR,G122,MOT_MARCA,"(todas)",MOT_DESDE,"&lt;="&amp;M122,MOT_HASTA,"&gt;="&amp;M122)</f>
        <v/>
      </c>
      <c r="BI122" s="3">
        <f>SUMIFS(COMB_AJUSTE,COMB_COMB,K122)</f>
        <v/>
      </c>
      <c r="BJ122" s="3">
        <f>COUNTIFS(MOT_MOTOR,G122,MOT_MARCA,E122,MOT_DESDE,"&lt;="&amp;M122,MOT_HASTA,"&gt;="&amp;M122)+COUNTIFS(MOT_MOTOR,G122,MOT_MARCA,"(todas)",MOT_DESDE,"&lt;="&amp;M122,MOT_HASTA,"&gt;="&amp;M122)</f>
        <v/>
      </c>
      <c r="BK122" s="3">
        <f>IF(AND(K122="diesel",BJ122=0),MIN(BG122,NEUTRO),BG122)</f>
        <v/>
      </c>
      <c r="BL122" s="4">
        <f>MAX(0,MIN(100,BK122+BH122+BI122))</f>
        <v/>
      </c>
      <c r="BM122" s="3">
        <f>MAX(0,MIN(100,50+BE122*PRECIO_PEND))</f>
        <v/>
      </c>
      <c r="BN122" s="3">
        <f>MAX(0,100*(1-N122/KM_MAX))</f>
        <v/>
      </c>
      <c r="BO122" s="3">
        <f>IF(AV122&lt;KMA_SOSP,IF(AA122="sí",100,KMA_PEN),IF(AV122&lt;=KMA_IDEAL_MAX,100,MAX(0,100*(KMA_CERO-AV122)/(KMA_CERO-KMA_IDEAL_MAX))))</f>
        <v/>
      </c>
      <c r="BP122" s="3">
        <f>MAX(0,MIN(100,100*(M122-ANIO_MIN)/(ANIO_ACTUAL-ANIO_MIN)))</f>
        <v/>
      </c>
      <c r="BQ122" s="3">
        <f>W_KMT*BN122+W_KMA*BO122+W_EDAD*BP122</f>
        <v/>
      </c>
      <c r="BR122" s="3">
        <f>P_ITV*(V122="sí")+P_LIBRO*(W122="sí")+P_CORREA*(X122="sí")+P_PROP*(Y122=1)+P_GAR*(Z122="sí")+P_FOTOS*MIN(1,N(U122)/FOTOS_OBJ)</f>
        <v/>
      </c>
      <c r="BS122" s="3">
        <f>IFERROR(VLOOKUP(BF122,ETQ_TBL,2,0),NEUTRO)</f>
        <v/>
      </c>
      <c r="BT122" s="3">
        <f>NEUTRO</f>
        <v/>
      </c>
      <c r="BU122" s="3">
        <f>IFERROR(VLOOKUP(L122,SEGURO_TBL,3,0),"")</f>
        <v/>
      </c>
      <c r="BV122" s="3">
        <f>IF(BU122="",NEUTRO,MAX(0,MIN(100,100*(SEG_REF_MAX-BU122)/(SEG_REF_MAX-SEG_REF_MIN))))</f>
        <v/>
      </c>
      <c r="BW122" s="3">
        <f>W_ET*BS122+W_CONS*BT122+W_SEG*BV122</f>
        <v/>
      </c>
      <c r="BX122" s="3">
        <f>IF(N(AB122)&gt;0,AB122,IF(AND(R122="profesional",SG_LEGAL_ON=1),GAR_LEGAL,0))</f>
        <v/>
      </c>
      <c r="BY122" s="3">
        <f>SG_GAR*MIN(1,BX122/SG_GAR_FULL)+SG_AMPL*(AC122="sí")+SG_KMC*(AF122="sí")+SG_REV*(N(AE122)&gt;0)+SG_DEV*MIN(1,N(AG122)/SG_DEV_FULL)+SG_HIST*(W122="sí")</f>
        <v/>
      </c>
      <c r="BZ122" s="3">
        <f>IFERROR(VLOOKUP(L122,CARR_PEN_TBL,2,0),0)</f>
        <v/>
      </c>
      <c r="CA122" s="3">
        <f>W_FIAB*BL122+W_PRECIO*BM122+W_KMEDAD*BQ122+W_ANUNCIO*BR122+W_USO*BW122+W_SEGURIDAD*BY122-BZ122</f>
        <v/>
      </c>
      <c r="CB122" s="4">
        <f>IF(N(I122)&gt;0,I122,IFERROR(ROUND(_xlfn.NUMBERVALUE(LEFT(G122,FIND(" ",G122&amp;" ")-1),".")*1000,0),99999))</f>
        <v/>
      </c>
      <c r="CC122" s="3">
        <f>IF(R122="profesional",0,IF(O122&lt;CUOTA_VALOR_MAX,IF(AU122&gt;ITP_TRAMO_ALTO,SUMIFS(CF_CUOTA,CF_MAS,ITP_TRAMO_ALTO,CF_CCMIN,"&lt;="&amp;CB122,CF_CCMAX,"&gt;="&amp;CB122),IF(AU122&gt;ITP_TRAMO_BAJO,SUMIFS(CF_CUOTA,CF_MAS,ITP_TRAMO_BAJO,CF_CCMIN,"&lt;="&amp;CB122,CF_CCMAX,"&gt;="&amp;CB122),O122*ITP_TIPO)),O122*ITP_TIPO))</f>
        <v/>
      </c>
      <c r="CD122" s="4">
        <f>IF(R122="profesional",N(AK122),0)</f>
        <v/>
      </c>
      <c r="CE122" s="3">
        <f>IF(AND(R122="profesional",ISNUMBER(AK122),AL122="sí"),0,TASA_DGT)</f>
        <v/>
      </c>
      <c r="CF122" s="3">
        <f>INFORME_DGT</f>
        <v/>
      </c>
      <c r="CG122" s="4">
        <f>O122+CD122+CC122+CE122+CF122</f>
        <v/>
      </c>
      <c r="CH122" s="4">
        <f>CG122+N(BU122)</f>
        <v/>
      </c>
      <c r="CI122" s="3">
        <f>IF(CG122&lt;=TOTAL_MAX,"sí",IF(CG122&lt;=TOTAL_MAX+MARGEN_NEG,"negociar","no"))</f>
        <v/>
      </c>
      <c r="CJ122" s="4">
        <f>IF(CI122&lt;&gt;"no",COUNTIFS($CI$2:$CI$662,"&lt;&gt;no",$CA$2:$CA$662,"&gt;"&amp;CA122)+COUNTIFS($CI$2:CI122,"&lt;&gt;no",$CA$2:CA122,CA122),"")</f>
        <v/>
      </c>
    </row>
    <row r="123">
      <c r="A123" s="2" t="inlineStr">
        <is>
          <t>cochesnet:70943940</t>
        </is>
      </c>
      <c r="B123" s="2" t="inlineStr">
        <is>
          <t>cochesnet</t>
        </is>
      </c>
      <c r="C123" s="2" t="inlineStr">
        <is>
          <t>https://www.coches.net/opel-astra-diesel-2009-en-valencia-70943940-covo.aspx</t>
        </is>
      </c>
      <c r="D123" s="2" t="inlineStr">
        <is>
          <t>OPEL Astra</t>
        </is>
      </c>
      <c r="E123" s="2" t="inlineStr">
        <is>
          <t>Opel</t>
        </is>
      </c>
      <c r="F123" s="2" t="inlineStr">
        <is>
          <t>Opel Astra</t>
        </is>
      </c>
      <c r="G123" s="2" t="n"/>
      <c r="H123" s="2" t="n"/>
      <c r="I123" s="2" t="n"/>
      <c r="J123" s="2" t="n"/>
      <c r="K123" s="2" t="inlineStr">
        <is>
          <t>diesel</t>
        </is>
      </c>
      <c r="L123" s="2" t="inlineStr">
        <is>
          <t>compacto</t>
        </is>
      </c>
      <c r="M123" s="2" t="n">
        <v>2009</v>
      </c>
      <c r="N123" s="2" t="n">
        <v>195000</v>
      </c>
      <c r="O123" s="2" t="n">
        <v>4500</v>
      </c>
      <c r="P123" s="2" t="inlineStr">
        <is>
          <t>manual</t>
        </is>
      </c>
      <c r="Q123" s="2" t="inlineStr">
        <is>
          <t>no</t>
        </is>
      </c>
      <c r="R123" s="2" t="inlineStr">
        <is>
          <t>particular</t>
        </is>
      </c>
      <c r="S123" s="2" t="n"/>
      <c r="T123" s="2" t="inlineStr">
        <is>
          <t>2026-06-28T08:36:24Z</t>
        </is>
      </c>
      <c r="U123" s="2" t="n">
        <v>4</v>
      </c>
      <c r="V123" s="2" t="n"/>
      <c r="W123" s="2" t="n"/>
      <c r="X123" s="2" t="n"/>
      <c r="Y123" s="2" t="n">
        <v>1</v>
      </c>
      <c r="Z123" s="2" t="inlineStr">
        <is>
          <t>no</t>
        </is>
      </c>
      <c r="AA123" s="2" t="n"/>
      <c r="AB123" s="2" t="n"/>
      <c r="AC123" s="2" t="n"/>
      <c r="AD123" s="2" t="n"/>
      <c r="AE123" s="2" t="n"/>
      <c r="AF123" s="2" t="n"/>
      <c r="AG123" s="2" t="n"/>
      <c r="AH123" s="2" t="n">
        <v>4500</v>
      </c>
      <c r="AI123" s="2" t="n"/>
      <c r="AJ123" s="2" t="n"/>
      <c r="AK123" s="2" t="n"/>
      <c r="AL123" s="2" t="n"/>
      <c r="AM123" s="2" t="n"/>
      <c r="AN123" s="2" t="n">
        <v>4300</v>
      </c>
      <c r="AO123" s="2" t="n">
        <v>17</v>
      </c>
      <c r="AP123" s="2" t="inlineStr">
        <is>
          <t>modelo+año+km</t>
        </is>
      </c>
      <c r="AQ123" s="2" t="n"/>
      <c r="AR12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23" s="2" t="inlineStr">
        <is>
          <t>Opel astra 1.7 cdti unico dueño , aceite filtros echo y correa hace 6 mesos , acepto canvio por moto whatssap gsx cbr, r6</t>
        </is>
      </c>
      <c r="AT123" s="2" t="inlineStr">
        <is>
          <t>https://www.coches.net/opel-astra-diesel-2009-en-valencia-70943940-covo.aspx (window.__INITIAL_PROPS__.ad) /home/user/Alopecia/buscador-coches/raw/cochesnet/1fc896ec409145e4.json</t>
        </is>
      </c>
      <c r="AU123" s="3">
        <f>MAX(ANIO_ACTUAL-M123,0)</f>
        <v/>
      </c>
      <c r="AV123" s="4">
        <f>N123/MAX(AU123,0.5)</f>
        <v/>
      </c>
      <c r="AW123" s="4">
        <f>F123</f>
        <v/>
      </c>
      <c r="AX123" s="3">
        <f>AW123&amp;"|"&amp;INT(M123/SEG_ANIO)*SEG_ANIO</f>
        <v/>
      </c>
      <c r="AY123" s="3">
        <f>AX123&amp;"|"&amp;INT(N123/SEG_KM)*SEG_KM</f>
        <v/>
      </c>
      <c r="AZ123" s="4">
        <f>COUNTIF($AW$2:$AW$662,AW123)</f>
        <v/>
      </c>
      <c r="BA123" s="4">
        <f>COUNTIF($AX$2:$AX$662,AX123)</f>
        <v/>
      </c>
      <c r="BB123" s="4">
        <f>COUNTIF($AY$2:$AY$662,AY123)</f>
        <v/>
      </c>
      <c r="BC123" s="3">
        <f t="array" ref="BC123">IF(N(AO123)&gt;=MIN_N,AN123,IF(BB123&gt;=MIN_N,MEDIAN(IF($AY$2:$AY$662=AY123,$O$2:$O$662)),IF(BA123&gt;=MIN_N,MEDIAN(IF($AX$2:$AX$662=AX123,$O$2:$O$662)),MEDIAN(IF($AW$2:$AW$662=AW123,$O$2:$O$662)))))</f>
        <v/>
      </c>
      <c r="BD123" s="3">
        <f>IF(N(AO123)&gt;=MIN_N,"mercado "&amp;AP123,IF(BB123&gt;=MIN_N,"modelo+año+km",IF(BA123&gt;=MIN_N,"modelo+año","modelo")))</f>
        <v/>
      </c>
      <c r="BE123" s="4">
        <f>(BC123-O123)/BC123</f>
        <v/>
      </c>
      <c r="BF123" s="3">
        <f>IF(OR(K123="hibrido",K123="glp"),"ECO",IF(K123="electrico","CERO",IF(K123="gasolina",IF(M123&gt;=GAS_C,"C",IF(M123&gt;=GAS_B,"B","A")),IF(K123="diesel",IF(M123&gt;=DIE_C,"C",IF(M123&gt;=DIE_B,"B","A")),""))))</f>
        <v/>
      </c>
      <c r="BG123" s="3">
        <f>IFERROR(VLOOKUP(F123,MOD_TBL,11,0),IFERROR(VLOOKUP(E123,OCU_TBL,2,0),NEUTRO))</f>
        <v/>
      </c>
      <c r="BH123" s="3">
        <f>SUMIFS(MOT_AJUSTE,MOT_MOTOR,G123,MOT_MARCA,E123,MOT_DESDE,"&lt;="&amp;M123,MOT_HASTA,"&gt;="&amp;M123)+SUMIFS(MOT_AJUSTE,MOT_MOTOR,G123,MOT_MARCA,"(todas)",MOT_DESDE,"&lt;="&amp;M123,MOT_HASTA,"&gt;="&amp;M123)</f>
        <v/>
      </c>
      <c r="BI123" s="3">
        <f>SUMIFS(COMB_AJUSTE,COMB_COMB,K123)</f>
        <v/>
      </c>
      <c r="BJ123" s="3">
        <f>COUNTIFS(MOT_MOTOR,G123,MOT_MARCA,E123,MOT_DESDE,"&lt;="&amp;M123,MOT_HASTA,"&gt;="&amp;M123)+COUNTIFS(MOT_MOTOR,G123,MOT_MARCA,"(todas)",MOT_DESDE,"&lt;="&amp;M123,MOT_HASTA,"&gt;="&amp;M123)</f>
        <v/>
      </c>
      <c r="BK123" s="3">
        <f>IF(AND(K123="diesel",BJ123=0),MIN(BG123,NEUTRO),BG123)</f>
        <v/>
      </c>
      <c r="BL123" s="4">
        <f>MAX(0,MIN(100,BK123+BH123+BI123))</f>
        <v/>
      </c>
      <c r="BM123" s="3">
        <f>MAX(0,MIN(100,50+BE123*PRECIO_PEND))</f>
        <v/>
      </c>
      <c r="BN123" s="3">
        <f>MAX(0,100*(1-N123/KM_MAX))</f>
        <v/>
      </c>
      <c r="BO123" s="3">
        <f>IF(AV123&lt;KMA_SOSP,IF(AA123="sí",100,KMA_PEN),IF(AV123&lt;=KMA_IDEAL_MAX,100,MAX(0,100*(KMA_CERO-AV123)/(KMA_CERO-KMA_IDEAL_MAX))))</f>
        <v/>
      </c>
      <c r="BP123" s="3">
        <f>MAX(0,MIN(100,100*(M123-ANIO_MIN)/(ANIO_ACTUAL-ANIO_MIN)))</f>
        <v/>
      </c>
      <c r="BQ123" s="3">
        <f>W_KMT*BN123+W_KMA*BO123+W_EDAD*BP123</f>
        <v/>
      </c>
      <c r="BR123" s="3">
        <f>P_ITV*(V123="sí")+P_LIBRO*(W123="sí")+P_CORREA*(X123="sí")+P_PROP*(Y123=1)+P_GAR*(Z123="sí")+P_FOTOS*MIN(1,N(U123)/FOTOS_OBJ)</f>
        <v/>
      </c>
      <c r="BS123" s="3">
        <f>IFERROR(VLOOKUP(BF123,ETQ_TBL,2,0),NEUTRO)</f>
        <v/>
      </c>
      <c r="BT123" s="3">
        <f>NEUTRO</f>
        <v/>
      </c>
      <c r="BU123" s="3">
        <f>IFERROR(VLOOKUP(L123,SEGURO_TBL,3,0),"")</f>
        <v/>
      </c>
      <c r="BV123" s="3">
        <f>IF(BU123="",NEUTRO,MAX(0,MIN(100,100*(SEG_REF_MAX-BU123)/(SEG_REF_MAX-SEG_REF_MIN))))</f>
        <v/>
      </c>
      <c r="BW123" s="3">
        <f>W_ET*BS123+W_CONS*BT123+W_SEG*BV123</f>
        <v/>
      </c>
      <c r="BX123" s="3">
        <f>IF(N(AB123)&gt;0,AB123,IF(AND(R123="profesional",SG_LEGAL_ON=1),GAR_LEGAL,0))</f>
        <v/>
      </c>
      <c r="BY123" s="3">
        <f>SG_GAR*MIN(1,BX123/SG_GAR_FULL)+SG_AMPL*(AC123="sí")+SG_KMC*(AF123="sí")+SG_REV*(N(AE123)&gt;0)+SG_DEV*MIN(1,N(AG123)/SG_DEV_FULL)+SG_HIST*(W123="sí")</f>
        <v/>
      </c>
      <c r="BZ123" s="3">
        <f>IFERROR(VLOOKUP(L123,CARR_PEN_TBL,2,0),0)</f>
        <v/>
      </c>
      <c r="CA123" s="3">
        <f>W_FIAB*BL123+W_PRECIO*BM123+W_KMEDAD*BQ123+W_ANUNCIO*BR123+W_USO*BW123+W_SEGURIDAD*BY123-BZ123</f>
        <v/>
      </c>
      <c r="CB123" s="4">
        <f>IF(N(I123)&gt;0,I123,IFERROR(ROUND(_xlfn.NUMBERVALUE(LEFT(G123,FIND(" ",G123&amp;" ")-1),".")*1000,0),99999))</f>
        <v/>
      </c>
      <c r="CC123" s="3">
        <f>IF(R123="profesional",0,IF(O123&lt;CUOTA_VALOR_MAX,IF(AU123&gt;ITP_TRAMO_ALTO,SUMIFS(CF_CUOTA,CF_MAS,ITP_TRAMO_ALTO,CF_CCMIN,"&lt;="&amp;CB123,CF_CCMAX,"&gt;="&amp;CB123),IF(AU123&gt;ITP_TRAMO_BAJO,SUMIFS(CF_CUOTA,CF_MAS,ITP_TRAMO_BAJO,CF_CCMIN,"&lt;="&amp;CB123,CF_CCMAX,"&gt;="&amp;CB123),O123*ITP_TIPO)),O123*ITP_TIPO))</f>
        <v/>
      </c>
      <c r="CD123" s="4">
        <f>IF(R123="profesional",N(AK123),0)</f>
        <v/>
      </c>
      <c r="CE123" s="3">
        <f>IF(AND(R123="profesional",ISNUMBER(AK123),AL123="sí"),0,TASA_DGT)</f>
        <v/>
      </c>
      <c r="CF123" s="3">
        <f>INFORME_DGT</f>
        <v/>
      </c>
      <c r="CG123" s="4">
        <f>O123+CD123+CC123+CE123+CF123</f>
        <v/>
      </c>
      <c r="CH123" s="4">
        <f>CG123+N(BU123)</f>
        <v/>
      </c>
      <c r="CI123" s="3">
        <f>IF(CG123&lt;=TOTAL_MAX,"sí",IF(CG123&lt;=TOTAL_MAX+MARGEN_NEG,"negociar","no"))</f>
        <v/>
      </c>
      <c r="CJ123" s="4">
        <f>IF(CI123&lt;&gt;"no",COUNTIFS($CI$2:$CI$662,"&lt;&gt;no",$CA$2:$CA$662,"&gt;"&amp;CA123)+COUNTIFS($CI$2:CI123,"&lt;&gt;no",$CA$2:CA123,CA123),"")</f>
        <v/>
      </c>
    </row>
    <row r="124">
      <c r="A124" s="2" t="inlineStr">
        <is>
          <t>cochesnet:71757766</t>
        </is>
      </c>
      <c r="B124" s="2" t="inlineStr">
        <is>
          <t>cochesnet</t>
        </is>
      </c>
      <c r="C124" s="2" t="inlineStr">
        <is>
          <t>https://www.coches.net/renault-clio-grand-tour-20-aniv-dci-90-eco2-e5-5p-diesel-2010-en-valencia-71757766-covo.aspx</t>
        </is>
      </c>
      <c r="D124" s="2" t="inlineStr">
        <is>
          <t>RENAULT Clio Grand Tour 20 Aniv. dCi 90 eco2 E5</t>
        </is>
      </c>
      <c r="E124" s="2" t="inlineStr">
        <is>
          <t>Renault</t>
        </is>
      </c>
      <c r="F124" s="2" t="inlineStr">
        <is>
          <t>Renault Clio</t>
        </is>
      </c>
      <c r="G124" s="2" t="inlineStr">
        <is>
          <t>? dCi</t>
        </is>
      </c>
      <c r="H124" s="2" t="inlineStr">
        <is>
          <t>Grand Tour 20 Aniv. dCi 90 eco2 E5</t>
        </is>
      </c>
      <c r="I124" s="2" t="n"/>
      <c r="J124" s="2" t="n"/>
      <c r="K124" s="2" t="inlineStr">
        <is>
          <t>diesel</t>
        </is>
      </c>
      <c r="L124" s="2" t="inlineStr">
        <is>
          <t>familiar</t>
        </is>
      </c>
      <c r="M124" s="2" t="n">
        <v>2010</v>
      </c>
      <c r="N124" s="2" t="n">
        <v>185000</v>
      </c>
      <c r="O124" s="2" t="n">
        <v>3700</v>
      </c>
      <c r="P124" s="2" t="inlineStr">
        <is>
          <t>manual</t>
        </is>
      </c>
      <c r="Q124" s="2" t="inlineStr">
        <is>
          <t>no</t>
        </is>
      </c>
      <c r="R124" s="2" t="inlineStr">
        <is>
          <t>particular</t>
        </is>
      </c>
      <c r="S124" s="2" t="n"/>
      <c r="T124" s="2" t="inlineStr">
        <is>
          <t>2026-10-15T18:22:57Z</t>
        </is>
      </c>
      <c r="U124" s="2" t="n">
        <v>9</v>
      </c>
      <c r="V124" s="2" t="inlineStr">
        <is>
          <t>sí</t>
        </is>
      </c>
      <c r="W124" s="2" t="n"/>
      <c r="X124" s="2" t="n"/>
      <c r="Y124" s="2" t="n"/>
      <c r="Z124" s="2" t="inlineStr">
        <is>
          <t>no</t>
        </is>
      </c>
      <c r="AA124" s="2" t="n"/>
      <c r="AB124" s="2" t="n"/>
      <c r="AC124" s="2" t="n"/>
      <c r="AD124" s="2" t="n"/>
      <c r="AE124" s="2" t="n"/>
      <c r="AF124" s="2" t="n"/>
      <c r="AG124" s="2" t="n"/>
      <c r="AH124" s="2" t="n">
        <v>3700</v>
      </c>
      <c r="AI124" s="2" t="n"/>
      <c r="AJ124" s="2" t="n"/>
      <c r="AK124" s="2" t="n"/>
      <c r="AL124" s="2" t="n"/>
      <c r="AM124" s="2" t="n"/>
      <c r="AN124" s="2" t="n">
        <v>4200</v>
      </c>
      <c r="AO124" s="2" t="n">
        <v>7</v>
      </c>
      <c r="AP124" s="2" t="inlineStr">
        <is>
          <t>modelo+año+km</t>
        </is>
      </c>
      <c r="AQ124" s="2" t="n"/>
      <c r="AR124" s="2" t="inlineStr">
        <is>
          <t>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S124" s="2" t="inlineStr">
        <is>
          <t>Revisiones  siempre  al dia
Itv recien pasada ( sept)
Ruedas con solo 10000km
Bateria nueva
Aceite y filtros recien camb
Correa y bomba cambiados a los 140000km
Frenos y discos recientes</t>
        </is>
      </c>
      <c r="AT124" s="2" t="inlineStr">
        <is>
          <t>https://www.coches.net/renault-clio-grand-tour-20-aniv-dci-90-eco2-e5-5p-diesel-2010-en-valencia-71757766-covo.aspx (window.__INITIAL_PROPS__.ad) /home/user/Alopecia/buscador-coches/raw/cochesnet/919f2f6ca3b3a79d.json</t>
        </is>
      </c>
      <c r="AU124" s="3">
        <f>MAX(ANIO_ACTUAL-M124,0)</f>
        <v/>
      </c>
      <c r="AV124" s="4">
        <f>N124/MAX(AU124,0.5)</f>
        <v/>
      </c>
      <c r="AW124" s="4">
        <f>F124</f>
        <v/>
      </c>
      <c r="AX124" s="3">
        <f>AW124&amp;"|"&amp;INT(M124/SEG_ANIO)*SEG_ANIO</f>
        <v/>
      </c>
      <c r="AY124" s="3">
        <f>AX124&amp;"|"&amp;INT(N124/SEG_KM)*SEG_KM</f>
        <v/>
      </c>
      <c r="AZ124" s="4">
        <f>COUNTIF($AW$2:$AW$662,AW124)</f>
        <v/>
      </c>
      <c r="BA124" s="4">
        <f>COUNTIF($AX$2:$AX$662,AX124)</f>
        <v/>
      </c>
      <c r="BB124" s="4">
        <f>COUNTIF($AY$2:$AY$662,AY124)</f>
        <v/>
      </c>
      <c r="BC124" s="3">
        <f t="array" ref="BC124">IF(N(AO124)&gt;=MIN_N,AN124,IF(BB124&gt;=MIN_N,MEDIAN(IF($AY$2:$AY$662=AY124,$O$2:$O$662)),IF(BA124&gt;=MIN_N,MEDIAN(IF($AX$2:$AX$662=AX124,$O$2:$O$662)),MEDIAN(IF($AW$2:$AW$662=AW124,$O$2:$O$662)))))</f>
        <v/>
      </c>
      <c r="BD124" s="3">
        <f>IF(N(AO124)&gt;=MIN_N,"mercado "&amp;AP124,IF(BB124&gt;=MIN_N,"modelo+año+km",IF(BA124&gt;=MIN_N,"modelo+año","modelo")))</f>
        <v/>
      </c>
      <c r="BE124" s="4">
        <f>(BC124-O124)/BC124</f>
        <v/>
      </c>
      <c r="BF124" s="3">
        <f>IF(OR(K124="hibrido",K124="glp"),"ECO",IF(K124="electrico","CERO",IF(K124="gasolina",IF(M124&gt;=GAS_C,"C",IF(M124&gt;=GAS_B,"B","A")),IF(K124="diesel",IF(M124&gt;=DIE_C,"C",IF(M124&gt;=DIE_B,"B","A")),""))))</f>
        <v/>
      </c>
      <c r="BG124" s="3">
        <f>IFERROR(VLOOKUP(F124,MOD_TBL,11,0),IFERROR(VLOOKUP(E124,OCU_TBL,2,0),NEUTRO))</f>
        <v/>
      </c>
      <c r="BH124" s="3">
        <f>SUMIFS(MOT_AJUSTE,MOT_MOTOR,G124,MOT_MARCA,E124,MOT_DESDE,"&lt;="&amp;M124,MOT_HASTA,"&gt;="&amp;M124)+SUMIFS(MOT_AJUSTE,MOT_MOTOR,G124,MOT_MARCA,"(todas)",MOT_DESDE,"&lt;="&amp;M124,MOT_HASTA,"&gt;="&amp;M124)</f>
        <v/>
      </c>
      <c r="BI124" s="3">
        <f>SUMIFS(COMB_AJUSTE,COMB_COMB,K124)</f>
        <v/>
      </c>
      <c r="BJ124" s="3">
        <f>COUNTIFS(MOT_MOTOR,G124,MOT_MARCA,E124,MOT_DESDE,"&lt;="&amp;M124,MOT_HASTA,"&gt;="&amp;M124)+COUNTIFS(MOT_MOTOR,G124,MOT_MARCA,"(todas)",MOT_DESDE,"&lt;="&amp;M124,MOT_HASTA,"&gt;="&amp;M124)</f>
        <v/>
      </c>
      <c r="BK124" s="3">
        <f>IF(AND(K124="diesel",BJ124=0),MIN(BG124,NEUTRO),BG124)</f>
        <v/>
      </c>
      <c r="BL124" s="4">
        <f>MAX(0,MIN(100,BK124+BH124+BI124))</f>
        <v/>
      </c>
      <c r="BM124" s="3">
        <f>MAX(0,MIN(100,50+BE124*PRECIO_PEND))</f>
        <v/>
      </c>
      <c r="BN124" s="3">
        <f>MAX(0,100*(1-N124/KM_MAX))</f>
        <v/>
      </c>
      <c r="BO124" s="3">
        <f>IF(AV124&lt;KMA_SOSP,IF(AA124="sí",100,KMA_PEN),IF(AV124&lt;=KMA_IDEAL_MAX,100,MAX(0,100*(KMA_CERO-AV124)/(KMA_CERO-KMA_IDEAL_MAX))))</f>
        <v/>
      </c>
      <c r="BP124" s="3">
        <f>MAX(0,MIN(100,100*(M124-ANIO_MIN)/(ANIO_ACTUAL-ANIO_MIN)))</f>
        <v/>
      </c>
      <c r="BQ124" s="3">
        <f>W_KMT*BN124+W_KMA*BO124+W_EDAD*BP124</f>
        <v/>
      </c>
      <c r="BR124" s="3">
        <f>P_ITV*(V124="sí")+P_LIBRO*(W124="sí")+P_CORREA*(X124="sí")+P_PROP*(Y124=1)+P_GAR*(Z124="sí")+P_FOTOS*MIN(1,N(U124)/FOTOS_OBJ)</f>
        <v/>
      </c>
      <c r="BS124" s="3">
        <f>IFERROR(VLOOKUP(BF124,ETQ_TBL,2,0),NEUTRO)</f>
        <v/>
      </c>
      <c r="BT124" s="3">
        <f>NEUTRO</f>
        <v/>
      </c>
      <c r="BU124" s="3">
        <f>IFERROR(VLOOKUP(L124,SEGURO_TBL,3,0),"")</f>
        <v/>
      </c>
      <c r="BV124" s="3">
        <f>IF(BU124="",NEUTRO,MAX(0,MIN(100,100*(SEG_REF_MAX-BU124)/(SEG_REF_MAX-SEG_REF_MIN))))</f>
        <v/>
      </c>
      <c r="BW124" s="3">
        <f>W_ET*BS124+W_CONS*BT124+W_SEG*BV124</f>
        <v/>
      </c>
      <c r="BX124" s="3">
        <f>IF(N(AB124)&gt;0,AB124,IF(AND(R124="profesional",SG_LEGAL_ON=1),GAR_LEGAL,0))</f>
        <v/>
      </c>
      <c r="BY124" s="3">
        <f>SG_GAR*MIN(1,BX124/SG_GAR_FULL)+SG_AMPL*(AC124="sí")+SG_KMC*(AF124="sí")+SG_REV*(N(AE124)&gt;0)+SG_DEV*MIN(1,N(AG124)/SG_DEV_FULL)+SG_HIST*(W124="sí")</f>
        <v/>
      </c>
      <c r="BZ124" s="3">
        <f>IFERROR(VLOOKUP(L124,CARR_PEN_TBL,2,0),0)</f>
        <v/>
      </c>
      <c r="CA124" s="3">
        <f>W_FIAB*BL124+W_PRECIO*BM124+W_KMEDAD*BQ124+W_ANUNCIO*BR124+W_USO*BW124+W_SEGURIDAD*BY124-BZ124</f>
        <v/>
      </c>
      <c r="CB124" s="4">
        <f>IF(N(I124)&gt;0,I124,IFERROR(ROUND(_xlfn.NUMBERVALUE(LEFT(G124,FIND(" ",G124&amp;" ")-1),".")*1000,0),99999))</f>
        <v/>
      </c>
      <c r="CC124" s="3">
        <f>IF(R124="profesional",0,IF(O124&lt;CUOTA_VALOR_MAX,IF(AU124&gt;ITP_TRAMO_ALTO,SUMIFS(CF_CUOTA,CF_MAS,ITP_TRAMO_ALTO,CF_CCMIN,"&lt;="&amp;CB124,CF_CCMAX,"&gt;="&amp;CB124),IF(AU124&gt;ITP_TRAMO_BAJO,SUMIFS(CF_CUOTA,CF_MAS,ITP_TRAMO_BAJO,CF_CCMIN,"&lt;="&amp;CB124,CF_CCMAX,"&gt;="&amp;CB124),O124*ITP_TIPO)),O124*ITP_TIPO))</f>
        <v/>
      </c>
      <c r="CD124" s="4">
        <f>IF(R124="profesional",N(AK124),0)</f>
        <v/>
      </c>
      <c r="CE124" s="3">
        <f>IF(AND(R124="profesional",ISNUMBER(AK124),AL124="sí"),0,TASA_DGT)</f>
        <v/>
      </c>
      <c r="CF124" s="3">
        <f>INFORME_DGT</f>
        <v/>
      </c>
      <c r="CG124" s="4">
        <f>O124+CD124+CC124+CE124+CF124</f>
        <v/>
      </c>
      <c r="CH124" s="4">
        <f>CG124+N(BU124)</f>
        <v/>
      </c>
      <c r="CI124" s="3">
        <f>IF(CG124&lt;=TOTAL_MAX,"sí",IF(CG124&lt;=TOTAL_MAX+MARGEN_NEG,"negociar","no"))</f>
        <v/>
      </c>
      <c r="CJ124" s="4">
        <f>IF(CI124&lt;&gt;"no",COUNTIFS($CI$2:$CI$662,"&lt;&gt;no",$CA$2:$CA$662,"&gt;"&amp;CA124)+COUNTIFS($CI$2:CI124,"&lt;&gt;no",$CA$2:CA124,CA124),"")</f>
        <v/>
      </c>
    </row>
    <row r="125">
      <c r="A125" s="2" t="inlineStr">
        <is>
          <t>cochesnet:71725639</t>
        </is>
      </c>
      <c r="B125" s="2" t="inlineStr">
        <is>
          <t>cochesnet</t>
        </is>
      </c>
      <c r="C125" s="2" t="inlineStr">
        <is>
          <t>https://www.coches.net/renault-clio-business-15dci85-eco2-5p-diesel-2008-en-valencia-71725639-covo.aspx</t>
        </is>
      </c>
      <c r="D125" s="2" t="inlineStr">
        <is>
          <t>RENAULT Clio Business 1.5DCI85 eco2</t>
        </is>
      </c>
      <c r="E125" s="2" t="inlineStr">
        <is>
          <t>Renault</t>
        </is>
      </c>
      <c r="F125" s="2" t="inlineStr">
        <is>
          <t>Renault Clio</t>
        </is>
      </c>
      <c r="G125" s="2" t="inlineStr">
        <is>
          <t>1.5</t>
        </is>
      </c>
      <c r="H125" s="2" t="inlineStr">
        <is>
          <t>Business 1.5DCI85 eco2</t>
        </is>
      </c>
      <c r="I125" s="2" t="n"/>
      <c r="J125" s="2" t="n"/>
      <c r="K125" s="2" t="inlineStr">
        <is>
          <t>diesel</t>
        </is>
      </c>
      <c r="L125" s="2" t="inlineStr">
        <is>
          <t>utilitario</t>
        </is>
      </c>
      <c r="M125" s="2" t="n">
        <v>2009</v>
      </c>
      <c r="N125" s="2" t="n">
        <v>160000</v>
      </c>
      <c r="O125" s="2" t="n">
        <v>3990</v>
      </c>
      <c r="P125" s="2" t="inlineStr">
        <is>
          <t>manual</t>
        </is>
      </c>
      <c r="Q125" s="2" t="inlineStr">
        <is>
          <t>no</t>
        </is>
      </c>
      <c r="R125" s="2" t="inlineStr">
        <is>
          <t>profesional</t>
        </is>
      </c>
      <c r="S125" s="2" t="inlineStr">
        <is>
          <t>Foios</t>
        </is>
      </c>
      <c r="T125" s="2" t="inlineStr">
        <is>
          <t>2026-10-12T10:42:16Z</t>
        </is>
      </c>
      <c r="U125" s="2" t="n">
        <v>10</v>
      </c>
      <c r="V125" s="2" t="n"/>
      <c r="W125" s="2" t="n"/>
      <c r="X125" s="2" t="n"/>
      <c r="Y125" s="2" t="n"/>
      <c r="Z125" s="2" t="inlineStr">
        <is>
          <t>sí</t>
        </is>
      </c>
      <c r="AA125" s="2" t="n"/>
      <c r="AB125" s="2" t="n">
        <v>12</v>
      </c>
      <c r="AC125" s="2" t="n"/>
      <c r="AD125" s="2" t="n"/>
      <c r="AE125" s="2" t="n"/>
      <c r="AF125" s="2" t="n"/>
      <c r="AG125" s="2" t="n"/>
      <c r="AH125" s="2" t="n">
        <v>3990</v>
      </c>
      <c r="AI125" s="2" t="n">
        <v>3990</v>
      </c>
      <c r="AJ125" s="2" t="n"/>
      <c r="AK125" s="2" t="n"/>
      <c r="AL125" s="2" t="n"/>
      <c r="AM125" s="2" t="n">
        <v>7.7</v>
      </c>
      <c r="AN125" s="2" t="n">
        <v>3470</v>
      </c>
      <c r="AO125" s="2" t="n">
        <v>4</v>
      </c>
      <c r="AP125" s="2" t="inlineStr">
        <is>
          <t>modelo+año+km</t>
        </is>
      </c>
      <c r="AQ125" s="2" t="n"/>
      <c r="AR125" s="2" t="inlineStr">
        <is>
          <t>vendedor profesional: sin ITP (operación con IVA/REBU, confirmar en factura); gastos de gestión del vendedor no indicados: se suma la tasa DGT; preguntar el precio final; diésel: motor sin fuente de fiabilidad (fiabilidad limitada a neutra)</t>
        </is>
      </c>
      <c r="AS125" s="2" t="inlineStr">
        <is>
          <t xml:space="preserve">Este Renault Clio Exception 1.5dCi destaca por su equipamiento multimedia completo con radio AM/FM, reproductor de CD y mandos en el volante, combinado con climatizador automático y dirección asistida progresiva. Incorpora control de crucero, sensor de lluvia en limpiaparabrisas, retrovisores eléctricos desempañables y cristales tintados. Dispone de asientos ajustables en altura con reposacabezas regulables, volante multifuncional de cuero, elevalunas eléctricos en las cuatro puertas y cierre centralizado con mando a distancia. Este modelo ofrece confort y conectividad en un compacto versátil con etiqueta medioambiental C. Este anuncio puede contener errores de valor no contractual </t>
        </is>
      </c>
      <c r="AT125" s="2" t="inlineStr">
        <is>
          <t>https://www.coches.net/renault-clio-business-15dci85-eco2-5p-diesel-2008-en-valencia-71725639-covo.aspx (window.__INITIAL_PROPS__.ad) /home/user/Alopecia/buscador-coches/raw/cochesnet/56093e2c37b0b096.json</t>
        </is>
      </c>
      <c r="AU125" s="3">
        <f>MAX(ANIO_ACTUAL-M125,0)</f>
        <v/>
      </c>
      <c r="AV125" s="4">
        <f>N125/MAX(AU125,0.5)</f>
        <v/>
      </c>
      <c r="AW125" s="4">
        <f>F125</f>
        <v/>
      </c>
      <c r="AX125" s="3">
        <f>AW125&amp;"|"&amp;INT(M125/SEG_ANIO)*SEG_ANIO</f>
        <v/>
      </c>
      <c r="AY125" s="3">
        <f>AX125&amp;"|"&amp;INT(N125/SEG_KM)*SEG_KM</f>
        <v/>
      </c>
      <c r="AZ125" s="4">
        <f>COUNTIF($AW$2:$AW$662,AW125)</f>
        <v/>
      </c>
      <c r="BA125" s="4">
        <f>COUNTIF($AX$2:$AX$662,AX125)</f>
        <v/>
      </c>
      <c r="BB125" s="4">
        <f>COUNTIF($AY$2:$AY$662,AY125)</f>
        <v/>
      </c>
      <c r="BC125" s="3">
        <f t="array" ref="BC125">IF(N(AO125)&gt;=MIN_N,AN125,IF(BB125&gt;=MIN_N,MEDIAN(IF($AY$2:$AY$662=AY125,$O$2:$O$662)),IF(BA125&gt;=MIN_N,MEDIAN(IF($AX$2:$AX$662=AX125,$O$2:$O$662)),MEDIAN(IF($AW$2:$AW$662=AW125,$O$2:$O$662)))))</f>
        <v/>
      </c>
      <c r="BD125" s="3">
        <f>IF(N(AO125)&gt;=MIN_N,"mercado "&amp;AP125,IF(BB125&gt;=MIN_N,"modelo+año+km",IF(BA125&gt;=MIN_N,"modelo+año","modelo")))</f>
        <v/>
      </c>
      <c r="BE125" s="4">
        <f>(BC125-O125)/BC125</f>
        <v/>
      </c>
      <c r="BF125" s="3">
        <f>IF(OR(K125="hibrido",K125="glp"),"ECO",IF(K125="electrico","CERO",IF(K125="gasolina",IF(M125&gt;=GAS_C,"C",IF(M125&gt;=GAS_B,"B","A")),IF(K125="diesel",IF(M125&gt;=DIE_C,"C",IF(M125&gt;=DIE_B,"B","A")),""))))</f>
        <v/>
      </c>
      <c r="BG125" s="3">
        <f>IFERROR(VLOOKUP(F125,MOD_TBL,11,0),IFERROR(VLOOKUP(E125,OCU_TBL,2,0),NEUTRO))</f>
        <v/>
      </c>
      <c r="BH125" s="3">
        <f>SUMIFS(MOT_AJUSTE,MOT_MOTOR,G125,MOT_MARCA,E125,MOT_DESDE,"&lt;="&amp;M125,MOT_HASTA,"&gt;="&amp;M125)+SUMIFS(MOT_AJUSTE,MOT_MOTOR,G125,MOT_MARCA,"(todas)",MOT_DESDE,"&lt;="&amp;M125,MOT_HASTA,"&gt;="&amp;M125)</f>
        <v/>
      </c>
      <c r="BI125" s="3">
        <f>SUMIFS(COMB_AJUSTE,COMB_COMB,K125)</f>
        <v/>
      </c>
      <c r="BJ125" s="3">
        <f>COUNTIFS(MOT_MOTOR,G125,MOT_MARCA,E125,MOT_DESDE,"&lt;="&amp;M125,MOT_HASTA,"&gt;="&amp;M125)+COUNTIFS(MOT_MOTOR,G125,MOT_MARCA,"(todas)",MOT_DESDE,"&lt;="&amp;M125,MOT_HASTA,"&gt;="&amp;M125)</f>
        <v/>
      </c>
      <c r="BK125" s="3">
        <f>IF(AND(K125="diesel",BJ125=0),MIN(BG125,NEUTRO),BG125)</f>
        <v/>
      </c>
      <c r="BL125" s="4">
        <f>MAX(0,MIN(100,BK125+BH125+BI125))</f>
        <v/>
      </c>
      <c r="BM125" s="3">
        <f>MAX(0,MIN(100,50+BE125*PRECIO_PEND))</f>
        <v/>
      </c>
      <c r="BN125" s="3">
        <f>MAX(0,100*(1-N125/KM_MAX))</f>
        <v/>
      </c>
      <c r="BO125" s="3">
        <f>IF(AV125&lt;KMA_SOSP,IF(AA125="sí",100,KMA_PEN),IF(AV125&lt;=KMA_IDEAL_MAX,100,MAX(0,100*(KMA_CERO-AV125)/(KMA_CERO-KMA_IDEAL_MAX))))</f>
        <v/>
      </c>
      <c r="BP125" s="3">
        <f>MAX(0,MIN(100,100*(M125-ANIO_MIN)/(ANIO_ACTUAL-ANIO_MIN)))</f>
        <v/>
      </c>
      <c r="BQ125" s="3">
        <f>W_KMT*BN125+W_KMA*BO125+W_EDAD*BP125</f>
        <v/>
      </c>
      <c r="BR125" s="3">
        <f>P_ITV*(V125="sí")+P_LIBRO*(W125="sí")+P_CORREA*(X125="sí")+P_PROP*(Y125=1)+P_GAR*(Z125="sí")+P_FOTOS*MIN(1,N(U125)/FOTOS_OBJ)</f>
        <v/>
      </c>
      <c r="BS125" s="3">
        <f>IFERROR(VLOOKUP(BF125,ETQ_TBL,2,0),NEUTRO)</f>
        <v/>
      </c>
      <c r="BT125" s="3">
        <f>NEUTRO</f>
        <v/>
      </c>
      <c r="BU125" s="3">
        <f>IFERROR(VLOOKUP(L125,SEGURO_TBL,3,0),"")</f>
        <v/>
      </c>
      <c r="BV125" s="3">
        <f>IF(BU125="",NEUTRO,MAX(0,MIN(100,100*(SEG_REF_MAX-BU125)/(SEG_REF_MAX-SEG_REF_MIN))))</f>
        <v/>
      </c>
      <c r="BW125" s="3">
        <f>W_ET*BS125+W_CONS*BT125+W_SEG*BV125</f>
        <v/>
      </c>
      <c r="BX125" s="3">
        <f>IF(N(AB125)&gt;0,AB125,IF(AND(R125="profesional",SG_LEGAL_ON=1),GAR_LEGAL,0))</f>
        <v/>
      </c>
      <c r="BY125" s="3">
        <f>SG_GAR*MIN(1,BX125/SG_GAR_FULL)+SG_AMPL*(AC125="sí")+SG_KMC*(AF125="sí")+SG_REV*(N(AE125)&gt;0)+SG_DEV*MIN(1,N(AG125)/SG_DEV_FULL)+SG_HIST*(W125="sí")</f>
        <v/>
      </c>
      <c r="BZ125" s="3">
        <f>IFERROR(VLOOKUP(L125,CARR_PEN_TBL,2,0),0)</f>
        <v/>
      </c>
      <c r="CA125" s="3">
        <f>W_FIAB*BL125+W_PRECIO*BM125+W_KMEDAD*BQ125+W_ANUNCIO*BR125+W_USO*BW125+W_SEGURIDAD*BY125-BZ125</f>
        <v/>
      </c>
      <c r="CB125" s="4">
        <f>IF(N(I125)&gt;0,I125,IFERROR(ROUND(_xlfn.NUMBERVALUE(LEFT(G125,FIND(" ",G125&amp;" ")-1),".")*1000,0),99999))</f>
        <v/>
      </c>
      <c r="CC125" s="3">
        <f>IF(R125="profesional",0,IF(O125&lt;CUOTA_VALOR_MAX,IF(AU125&gt;ITP_TRAMO_ALTO,SUMIFS(CF_CUOTA,CF_MAS,ITP_TRAMO_ALTO,CF_CCMIN,"&lt;="&amp;CB125,CF_CCMAX,"&gt;="&amp;CB125),IF(AU125&gt;ITP_TRAMO_BAJO,SUMIFS(CF_CUOTA,CF_MAS,ITP_TRAMO_BAJO,CF_CCMIN,"&lt;="&amp;CB125,CF_CCMAX,"&gt;="&amp;CB125),O125*ITP_TIPO)),O125*ITP_TIPO))</f>
        <v/>
      </c>
      <c r="CD125" s="4">
        <f>IF(R125="profesional",N(AK125),0)</f>
        <v/>
      </c>
      <c r="CE125" s="3">
        <f>IF(AND(R125="profesional",ISNUMBER(AK125),AL125="sí"),0,TASA_DGT)</f>
        <v/>
      </c>
      <c r="CF125" s="3">
        <f>INFORME_DGT</f>
        <v/>
      </c>
      <c r="CG125" s="4">
        <f>O125+CD125+CC125+CE125+CF125</f>
        <v/>
      </c>
      <c r="CH125" s="4">
        <f>CG125+N(BU125)</f>
        <v/>
      </c>
      <c r="CI125" s="3">
        <f>IF(CG125&lt;=TOTAL_MAX,"sí",IF(CG125&lt;=TOTAL_MAX+MARGEN_NEG,"negociar","no"))</f>
        <v/>
      </c>
      <c r="CJ125" s="4">
        <f>IF(CI125&lt;&gt;"no",COUNTIFS($CI$2:$CI$662,"&lt;&gt;no",$CA$2:$CA$662,"&gt;"&amp;CA125)+COUNTIFS($CI$2:CI125,"&lt;&gt;no",$CA$2:CA125,CA125),"")</f>
        <v/>
      </c>
    </row>
    <row r="126">
      <c r="A126" s="2" t="inlineStr">
        <is>
          <t>cochesnet:71612608</t>
        </is>
      </c>
      <c r="B126" s="2" t="inlineStr">
        <is>
          <t>cochesnet</t>
        </is>
      </c>
      <c r="C126" s="2" t="inlineStr">
        <is>
          <t>https://www.coches.net/renault-clio-authentique-12-16v-75cv-5p-eco2-5p-gasolina-2009-en-valencia-71612608-covo.aspx</t>
        </is>
      </c>
      <c r="D126" s="2" t="inlineStr">
        <is>
          <t>RENAULT Clio Authentique 1.2 16v eco2</t>
        </is>
      </c>
      <c r="E126" s="2" t="inlineStr">
        <is>
          <t>Renault</t>
        </is>
      </c>
      <c r="F126" s="2" t="inlineStr">
        <is>
          <t>Renault Clio</t>
        </is>
      </c>
      <c r="G126" s="2" t="inlineStr">
        <is>
          <t>1.2</t>
        </is>
      </c>
      <c r="H126" s="2" t="inlineStr">
        <is>
          <t>Authentique 1.2 16v 75cv 5p. eco2</t>
        </is>
      </c>
      <c r="I126" s="2" t="n"/>
      <c r="J126" s="2" t="n">
        <v>75</v>
      </c>
      <c r="K126" s="2" t="inlineStr">
        <is>
          <t>gasolina</t>
        </is>
      </c>
      <c r="L126" s="2" t="inlineStr">
        <is>
          <t>utilitario</t>
        </is>
      </c>
      <c r="M126" s="2" t="n">
        <v>2009</v>
      </c>
      <c r="N126" s="2" t="n">
        <v>200500</v>
      </c>
      <c r="O126" s="2" t="n">
        <v>2200</v>
      </c>
      <c r="P126" s="2" t="inlineStr">
        <is>
          <t>manual</t>
        </is>
      </c>
      <c r="Q126" s="2" t="inlineStr">
        <is>
          <t>no</t>
        </is>
      </c>
      <c r="R126" s="2" t="inlineStr">
        <is>
          <t>particular</t>
        </is>
      </c>
      <c r="S126" s="2" t="inlineStr">
        <is>
          <t>Valencia</t>
        </is>
      </c>
      <c r="T126" s="2" t="inlineStr">
        <is>
          <t>2026-09-28T10:46:30Z</t>
        </is>
      </c>
      <c r="U126" s="2" t="n">
        <v>10</v>
      </c>
      <c r="V126" s="2" t="n"/>
      <c r="W126" s="2" t="n"/>
      <c r="X126" s="2" t="n"/>
      <c r="Y126" s="2" t="n"/>
      <c r="Z126" s="2" t="inlineStr">
        <is>
          <t>no</t>
        </is>
      </c>
      <c r="AA126" s="2" t="n"/>
      <c r="AB126" s="2" t="n"/>
      <c r="AC126" s="2" t="n"/>
      <c r="AD126" s="2" t="n"/>
      <c r="AE126" s="2" t="n"/>
      <c r="AF126" s="2" t="n"/>
      <c r="AG126" s="2" t="n"/>
      <c r="AH126" s="2" t="n">
        <v>2200</v>
      </c>
      <c r="AI126" s="2" t="n"/>
      <c r="AJ126" s="2" t="n"/>
      <c r="AK126" s="2" t="n"/>
      <c r="AL126" s="2" t="n"/>
      <c r="AM126" s="2" t="n">
        <v>0.1</v>
      </c>
      <c r="AN126" s="2" t="n">
        <v>2575</v>
      </c>
      <c r="AO126" s="2" t="n">
        <v>6</v>
      </c>
      <c r="AP126" s="2" t="inlineStr">
        <is>
          <t>modelo+año+km</t>
        </is>
      </c>
      <c r="AQ126" s="2" t="n"/>
      <c r="AR126" s="2" t="inlineStr">
        <is>
          <t>cuota fija ITP: &gt;12 años, hasta 1.500 cc</t>
        </is>
      </c>
      <c r="AS126" s="2" t="inlineStr">
        <is>
          <t>Si buscas un coche funcional y económico para moverte por la ciudad, este Renault Clio es una opción práctica a tener en cuenta. Se trata de un berlina de cinco puertas con motor 1.2 de 75 CV que destaca por su eficiencia en consumo, ideal para quienes quieren mantener los gastos de combustible bajo control sin renunciar a la movilidad diaria.
Con cambio manual y cinco plazas, ofrece la versatilidad que necesitas para desplazamientos cotidianos. Su tamaño compacto lo hace especialmente ágil en tráfico urbano y fácil de aparcar, mientras que la tracción delantera garantiza una buena estabilidad en cualquier condición.
Este modelo cuenta con la etiqueta medioambiental, lo que te permite acceder a determinadas zonas de circulación restringida en ciudades. Además, el motor sin plomo es respetuoso con el medio ambiente, un punto a favor si te importa tu huella ecológica.
Se vende tal como se ve, con el historial de uso que refleja un vehículo que ha prestado servicio durante años. Si tienes dudas sobre aspectos específicos del estado, equipamiento o historial del coche, no dudes en contactarme. Estoy disponible tanto por chat como por teléfono para resolver cualquier pregunta que tengas.
Es una buena oportunidad para quien busca un transporte fiable y asequible. Contacta hoy mismo si te interesa conocer más detalles o concertar una cita para verlo en persona.</t>
        </is>
      </c>
      <c r="AT126" s="2" t="inlineStr">
        <is>
          <t>https://www.coches.net/renault-clio-authentique-12-16v-75cv-5p-eco2-5p-gasolina-2009-en-valencia-71612608-covo.aspx (window.__INITIAL_PROPS__.ad) /home/user/Alopecia/buscador-coches/raw/cochesnet/0089906f83d7fbfd.json</t>
        </is>
      </c>
      <c r="AU126" s="3">
        <f>MAX(ANIO_ACTUAL-M126,0)</f>
        <v/>
      </c>
      <c r="AV126" s="4">
        <f>N126/MAX(AU126,0.5)</f>
        <v/>
      </c>
      <c r="AW126" s="4">
        <f>F126</f>
        <v/>
      </c>
      <c r="AX126" s="3">
        <f>AW126&amp;"|"&amp;INT(M126/SEG_ANIO)*SEG_ANIO</f>
        <v/>
      </c>
      <c r="AY126" s="3">
        <f>AX126&amp;"|"&amp;INT(N126/SEG_KM)*SEG_KM</f>
        <v/>
      </c>
      <c r="AZ126" s="4">
        <f>COUNTIF($AW$2:$AW$662,AW126)</f>
        <v/>
      </c>
      <c r="BA126" s="4">
        <f>COUNTIF($AX$2:$AX$662,AX126)</f>
        <v/>
      </c>
      <c r="BB126" s="4">
        <f>COUNTIF($AY$2:$AY$662,AY126)</f>
        <v/>
      </c>
      <c r="BC126" s="3">
        <f t="array" ref="BC126">IF(N(AO126)&gt;=MIN_N,AN126,IF(BB126&gt;=MIN_N,MEDIAN(IF($AY$2:$AY$662=AY126,$O$2:$O$662)),IF(BA126&gt;=MIN_N,MEDIAN(IF($AX$2:$AX$662=AX126,$O$2:$O$662)),MEDIAN(IF($AW$2:$AW$662=AW126,$O$2:$O$662)))))</f>
        <v/>
      </c>
      <c r="BD126" s="3">
        <f>IF(N(AO126)&gt;=MIN_N,"mercado "&amp;AP126,IF(BB126&gt;=MIN_N,"modelo+año+km",IF(BA126&gt;=MIN_N,"modelo+año","modelo")))</f>
        <v/>
      </c>
      <c r="BE126" s="4">
        <f>(BC126-O126)/BC126</f>
        <v/>
      </c>
      <c r="BF126" s="3">
        <f>IF(OR(K126="hibrido",K126="glp"),"ECO",IF(K126="electrico","CERO",IF(K126="gasolina",IF(M126&gt;=GAS_C,"C",IF(M126&gt;=GAS_B,"B","A")),IF(K126="diesel",IF(M126&gt;=DIE_C,"C",IF(M126&gt;=DIE_B,"B","A")),""))))</f>
        <v/>
      </c>
      <c r="BG126" s="3">
        <f>IFERROR(VLOOKUP(F126,MOD_TBL,11,0),IFERROR(VLOOKUP(E126,OCU_TBL,2,0),NEUTRO))</f>
        <v/>
      </c>
      <c r="BH126" s="3">
        <f>SUMIFS(MOT_AJUSTE,MOT_MOTOR,G126,MOT_MARCA,E126,MOT_DESDE,"&lt;="&amp;M126,MOT_HASTA,"&gt;="&amp;M126)+SUMIFS(MOT_AJUSTE,MOT_MOTOR,G126,MOT_MARCA,"(todas)",MOT_DESDE,"&lt;="&amp;M126,MOT_HASTA,"&gt;="&amp;M126)</f>
        <v/>
      </c>
      <c r="BI126" s="3">
        <f>SUMIFS(COMB_AJUSTE,COMB_COMB,K126)</f>
        <v/>
      </c>
      <c r="BJ126" s="3">
        <f>COUNTIFS(MOT_MOTOR,G126,MOT_MARCA,E126,MOT_DESDE,"&lt;="&amp;M126,MOT_HASTA,"&gt;="&amp;M126)+COUNTIFS(MOT_MOTOR,G126,MOT_MARCA,"(todas)",MOT_DESDE,"&lt;="&amp;M126,MOT_HASTA,"&gt;="&amp;M126)</f>
        <v/>
      </c>
      <c r="BK126" s="3">
        <f>IF(AND(K126="diesel",BJ126=0),MIN(BG126,NEUTRO),BG126)</f>
        <v/>
      </c>
      <c r="BL126" s="4">
        <f>MAX(0,MIN(100,BK126+BH126+BI126))</f>
        <v/>
      </c>
      <c r="BM126" s="3">
        <f>MAX(0,MIN(100,50+BE126*PRECIO_PEND))</f>
        <v/>
      </c>
      <c r="BN126" s="3">
        <f>MAX(0,100*(1-N126/KM_MAX))</f>
        <v/>
      </c>
      <c r="BO126" s="3">
        <f>IF(AV126&lt;KMA_SOSP,IF(AA126="sí",100,KMA_PEN),IF(AV126&lt;=KMA_IDEAL_MAX,100,MAX(0,100*(KMA_CERO-AV126)/(KMA_CERO-KMA_IDEAL_MAX))))</f>
        <v/>
      </c>
      <c r="BP126" s="3">
        <f>MAX(0,MIN(100,100*(M126-ANIO_MIN)/(ANIO_ACTUAL-ANIO_MIN)))</f>
        <v/>
      </c>
      <c r="BQ126" s="3">
        <f>W_KMT*BN126+W_KMA*BO126+W_EDAD*BP126</f>
        <v/>
      </c>
      <c r="BR126" s="3">
        <f>P_ITV*(V126="sí")+P_LIBRO*(W126="sí")+P_CORREA*(X126="sí")+P_PROP*(Y126=1)+P_GAR*(Z126="sí")+P_FOTOS*MIN(1,N(U126)/FOTOS_OBJ)</f>
        <v/>
      </c>
      <c r="BS126" s="3">
        <f>IFERROR(VLOOKUP(BF126,ETQ_TBL,2,0),NEUTRO)</f>
        <v/>
      </c>
      <c r="BT126" s="3">
        <f>NEUTRO</f>
        <v/>
      </c>
      <c r="BU126" s="3">
        <f>IFERROR(VLOOKUP(L126,SEGURO_TBL,3,0),"")</f>
        <v/>
      </c>
      <c r="BV126" s="3">
        <f>IF(BU126="",NEUTRO,MAX(0,MIN(100,100*(SEG_REF_MAX-BU126)/(SEG_REF_MAX-SEG_REF_MIN))))</f>
        <v/>
      </c>
      <c r="BW126" s="3">
        <f>W_ET*BS126+W_CONS*BT126+W_SEG*BV126</f>
        <v/>
      </c>
      <c r="BX126" s="3">
        <f>IF(N(AB126)&gt;0,AB126,IF(AND(R126="profesional",SG_LEGAL_ON=1),GAR_LEGAL,0))</f>
        <v/>
      </c>
      <c r="BY126" s="3">
        <f>SG_GAR*MIN(1,BX126/SG_GAR_FULL)+SG_AMPL*(AC126="sí")+SG_KMC*(AF126="sí")+SG_REV*(N(AE126)&gt;0)+SG_DEV*MIN(1,N(AG126)/SG_DEV_FULL)+SG_HIST*(W126="sí")</f>
        <v/>
      </c>
      <c r="BZ126" s="3">
        <f>IFERROR(VLOOKUP(L126,CARR_PEN_TBL,2,0),0)</f>
        <v/>
      </c>
      <c r="CA126" s="3">
        <f>W_FIAB*BL126+W_PRECIO*BM126+W_KMEDAD*BQ126+W_ANUNCIO*BR126+W_USO*BW126+W_SEGURIDAD*BY126-BZ126</f>
        <v/>
      </c>
      <c r="CB126" s="4">
        <f>IF(N(I126)&gt;0,I126,IFERROR(ROUND(_xlfn.NUMBERVALUE(LEFT(G126,FIND(" ",G126&amp;" ")-1),".")*1000,0),99999))</f>
        <v/>
      </c>
      <c r="CC126" s="3">
        <f>IF(R126="profesional",0,IF(O126&lt;CUOTA_VALOR_MAX,IF(AU126&gt;ITP_TRAMO_ALTO,SUMIFS(CF_CUOTA,CF_MAS,ITP_TRAMO_ALTO,CF_CCMIN,"&lt;="&amp;CB126,CF_CCMAX,"&gt;="&amp;CB126),IF(AU126&gt;ITP_TRAMO_BAJO,SUMIFS(CF_CUOTA,CF_MAS,ITP_TRAMO_BAJO,CF_CCMIN,"&lt;="&amp;CB126,CF_CCMAX,"&gt;="&amp;CB126),O126*ITP_TIPO)),O126*ITP_TIPO))</f>
        <v/>
      </c>
      <c r="CD126" s="4">
        <f>IF(R126="profesional",N(AK126),0)</f>
        <v/>
      </c>
      <c r="CE126" s="3">
        <f>IF(AND(R126="profesional",ISNUMBER(AK126),AL126="sí"),0,TASA_DGT)</f>
        <v/>
      </c>
      <c r="CF126" s="3">
        <f>INFORME_DGT</f>
        <v/>
      </c>
      <c r="CG126" s="4">
        <f>O126+CD126+CC126+CE126+CF126</f>
        <v/>
      </c>
      <c r="CH126" s="4">
        <f>CG126+N(BU126)</f>
        <v/>
      </c>
      <c r="CI126" s="3">
        <f>IF(CG126&lt;=TOTAL_MAX,"sí",IF(CG126&lt;=TOTAL_MAX+MARGEN_NEG,"negociar","no"))</f>
        <v/>
      </c>
      <c r="CJ126" s="4">
        <f>IF(CI126&lt;&gt;"no",COUNTIFS($CI$2:$CI$662,"&lt;&gt;no",$CA$2:$CA$662,"&gt;"&amp;CA126)+COUNTIFS($CI$2:CI126,"&lt;&gt;no",$CA$2:CA126,CA126),"")</f>
        <v/>
      </c>
    </row>
    <row r="127">
      <c r="A127" s="2" t="inlineStr">
        <is>
          <t>cochesnet:71601675</t>
        </is>
      </c>
      <c r="B127" s="2" t="inlineStr">
        <is>
          <t>cochesnet</t>
        </is>
      </c>
      <c r="C127" s="2" t="inlineStr">
        <is>
          <t>https://www.coches.net/renault-clio-grand-tour-exception-15dci-105cv-eco2-5p-diesel-2008-en-valencia-71601675-covo.aspx</t>
        </is>
      </c>
      <c r="D127" s="2" t="inlineStr">
        <is>
          <t>RENAULT Clio Grand Tour Exception 1.5dCi eco2</t>
        </is>
      </c>
      <c r="E127" s="2" t="inlineStr">
        <is>
          <t>Renault</t>
        </is>
      </c>
      <c r="F127" s="2" t="inlineStr">
        <is>
          <t>Renault Clio</t>
        </is>
      </c>
      <c r="G127" s="2" t="inlineStr">
        <is>
          <t>1.5</t>
        </is>
      </c>
      <c r="H127" s="2" t="inlineStr">
        <is>
          <t>Grand Tour Exception 1.5dCi 105cv eco2</t>
        </is>
      </c>
      <c r="I127" s="2" t="n"/>
      <c r="J127" s="2" t="n">
        <v>105</v>
      </c>
      <c r="K127" s="2" t="inlineStr">
        <is>
          <t>diesel</t>
        </is>
      </c>
      <c r="L127" s="2" t="inlineStr">
        <is>
          <t>familiar</t>
        </is>
      </c>
      <c r="M127" s="2" t="n">
        <v>2008</v>
      </c>
      <c r="N127" s="2" t="n">
        <v>123000</v>
      </c>
      <c r="O127" s="2" t="n">
        <v>3800</v>
      </c>
      <c r="P127" s="2" t="inlineStr">
        <is>
          <t>manual</t>
        </is>
      </c>
      <c r="Q127" s="2" t="inlineStr">
        <is>
          <t>no</t>
        </is>
      </c>
      <c r="R127" s="2" t="inlineStr">
        <is>
          <t>particular</t>
        </is>
      </c>
      <c r="S127" s="2" t="inlineStr">
        <is>
          <t>Valencia</t>
        </is>
      </c>
      <c r="T127" s="2" t="inlineStr">
        <is>
          <t>2026-09-25T21:49:01Z</t>
        </is>
      </c>
      <c r="U127" s="2" t="n">
        <v>5</v>
      </c>
      <c r="V127" s="2" t="n"/>
      <c r="W127" s="2" t="n"/>
      <c r="X127" s="2" t="n"/>
      <c r="Y127" s="2" t="n"/>
      <c r="Z127" s="2" t="inlineStr">
        <is>
          <t>no</t>
        </is>
      </c>
      <c r="AA127" s="2" t="n"/>
      <c r="AB127" s="2" t="n"/>
      <c r="AC127" s="2" t="n"/>
      <c r="AD127" s="2" t="n"/>
      <c r="AE127" s="2" t="n"/>
      <c r="AF127" s="2" t="n"/>
      <c r="AG127" s="2" t="n"/>
      <c r="AH127" s="2" t="n">
        <v>3800</v>
      </c>
      <c r="AI127" s="2" t="n"/>
      <c r="AJ127" s="2" t="n"/>
      <c r="AK127" s="2" t="n"/>
      <c r="AL127" s="2" t="n"/>
      <c r="AM127" s="2" t="n">
        <v>0.1</v>
      </c>
      <c r="AN127" s="2" t="n">
        <v>3500</v>
      </c>
      <c r="AO127" s="2" t="n">
        <v>7</v>
      </c>
      <c r="AP127" s="2" t="inlineStr">
        <is>
          <t>modelo+año+km</t>
        </is>
      </c>
      <c r="AQ127" s="2" t="n"/>
      <c r="AR127" s="2" t="inlineStr">
        <is>
          <t>cuota fija ITP: &gt;12 años, hasta 1.500 cc; diésel: motor sin fuente de fiabilidad (fiabilidad limitada a neutra); carrocería familiar: -3 puntos</t>
        </is>
      </c>
      <c r="AS127" s="2" t="inlineStr">
        <is>
          <t>Se vende Renault Clio 3 uno de los más alto de gama con todos los estras y con pantalla car play lo tienes todo echo y muy pocos kilómetros distribución recién echa ruedas nuevas no hace falta sacar la tarjeta ni para abrir ni cerrar ni arrancar el coche mejor ver y probar es del 2007(no me deja modificarlo)</t>
        </is>
      </c>
      <c r="AT127" s="2" t="inlineStr">
        <is>
          <t>https://www.coches.net/renault-clio-grand-tour-exception-15dci-105cv-eco2-5p-diesel-2008-en-valencia-71601675-covo.aspx (window.__INITIAL_PROPS__.ad) /home/user/Alopecia/buscador-coches/raw/cochesnet/f2fee8dbbfc19a30.json</t>
        </is>
      </c>
      <c r="AU127" s="3">
        <f>MAX(ANIO_ACTUAL-M127,0)</f>
        <v/>
      </c>
      <c r="AV127" s="4">
        <f>N127/MAX(AU127,0.5)</f>
        <v/>
      </c>
      <c r="AW127" s="4">
        <f>F127</f>
        <v/>
      </c>
      <c r="AX127" s="3">
        <f>AW127&amp;"|"&amp;INT(M127/SEG_ANIO)*SEG_ANIO</f>
        <v/>
      </c>
      <c r="AY127" s="3">
        <f>AX127&amp;"|"&amp;INT(N127/SEG_KM)*SEG_KM</f>
        <v/>
      </c>
      <c r="AZ127" s="4">
        <f>COUNTIF($AW$2:$AW$662,AW127)</f>
        <v/>
      </c>
      <c r="BA127" s="4">
        <f>COUNTIF($AX$2:$AX$662,AX127)</f>
        <v/>
      </c>
      <c r="BB127" s="4">
        <f>COUNTIF($AY$2:$AY$662,AY127)</f>
        <v/>
      </c>
      <c r="BC127" s="3">
        <f t="array" ref="BC127">IF(N(AO127)&gt;=MIN_N,AN127,IF(BB127&gt;=MIN_N,MEDIAN(IF($AY$2:$AY$662=AY127,$O$2:$O$662)),IF(BA127&gt;=MIN_N,MEDIAN(IF($AX$2:$AX$662=AX127,$O$2:$O$662)),MEDIAN(IF($AW$2:$AW$662=AW127,$O$2:$O$662)))))</f>
        <v/>
      </c>
      <c r="BD127" s="3">
        <f>IF(N(AO127)&gt;=MIN_N,"mercado "&amp;AP127,IF(BB127&gt;=MIN_N,"modelo+año+km",IF(BA127&gt;=MIN_N,"modelo+año","modelo")))</f>
        <v/>
      </c>
      <c r="BE127" s="4">
        <f>(BC127-O127)/BC127</f>
        <v/>
      </c>
      <c r="BF127" s="3">
        <f>IF(OR(K127="hibrido",K127="glp"),"ECO",IF(K127="electrico","CERO",IF(K127="gasolina",IF(M127&gt;=GAS_C,"C",IF(M127&gt;=GAS_B,"B","A")),IF(K127="diesel",IF(M127&gt;=DIE_C,"C",IF(M127&gt;=DIE_B,"B","A")),""))))</f>
        <v/>
      </c>
      <c r="BG127" s="3">
        <f>IFERROR(VLOOKUP(F127,MOD_TBL,11,0),IFERROR(VLOOKUP(E127,OCU_TBL,2,0),NEUTRO))</f>
        <v/>
      </c>
      <c r="BH127" s="3">
        <f>SUMIFS(MOT_AJUSTE,MOT_MOTOR,G127,MOT_MARCA,E127,MOT_DESDE,"&lt;="&amp;M127,MOT_HASTA,"&gt;="&amp;M127)+SUMIFS(MOT_AJUSTE,MOT_MOTOR,G127,MOT_MARCA,"(todas)",MOT_DESDE,"&lt;="&amp;M127,MOT_HASTA,"&gt;="&amp;M127)</f>
        <v/>
      </c>
      <c r="BI127" s="3">
        <f>SUMIFS(COMB_AJUSTE,COMB_COMB,K127)</f>
        <v/>
      </c>
      <c r="BJ127" s="3">
        <f>COUNTIFS(MOT_MOTOR,G127,MOT_MARCA,E127,MOT_DESDE,"&lt;="&amp;M127,MOT_HASTA,"&gt;="&amp;M127)+COUNTIFS(MOT_MOTOR,G127,MOT_MARCA,"(todas)",MOT_DESDE,"&lt;="&amp;M127,MOT_HASTA,"&gt;="&amp;M127)</f>
        <v/>
      </c>
      <c r="BK127" s="3">
        <f>IF(AND(K127="diesel",BJ127=0),MIN(BG127,NEUTRO),BG127)</f>
        <v/>
      </c>
      <c r="BL127" s="4">
        <f>MAX(0,MIN(100,BK127+BH127+BI127))</f>
        <v/>
      </c>
      <c r="BM127" s="3">
        <f>MAX(0,MIN(100,50+BE127*PRECIO_PEND))</f>
        <v/>
      </c>
      <c r="BN127" s="3">
        <f>MAX(0,100*(1-N127/KM_MAX))</f>
        <v/>
      </c>
      <c r="BO127" s="3">
        <f>IF(AV127&lt;KMA_SOSP,IF(AA127="sí",100,KMA_PEN),IF(AV127&lt;=KMA_IDEAL_MAX,100,MAX(0,100*(KMA_CERO-AV127)/(KMA_CERO-KMA_IDEAL_MAX))))</f>
        <v/>
      </c>
      <c r="BP127" s="3">
        <f>MAX(0,MIN(100,100*(M127-ANIO_MIN)/(ANIO_ACTUAL-ANIO_MIN)))</f>
        <v/>
      </c>
      <c r="BQ127" s="3">
        <f>W_KMT*BN127+W_KMA*BO127+W_EDAD*BP127</f>
        <v/>
      </c>
      <c r="BR127" s="3">
        <f>P_ITV*(V127="sí")+P_LIBRO*(W127="sí")+P_CORREA*(X127="sí")+P_PROP*(Y127=1)+P_GAR*(Z127="sí")+P_FOTOS*MIN(1,N(U127)/FOTOS_OBJ)</f>
        <v/>
      </c>
      <c r="BS127" s="3">
        <f>IFERROR(VLOOKUP(BF127,ETQ_TBL,2,0),NEUTRO)</f>
        <v/>
      </c>
      <c r="BT127" s="3">
        <f>NEUTRO</f>
        <v/>
      </c>
      <c r="BU127" s="3">
        <f>IFERROR(VLOOKUP(L127,SEGURO_TBL,3,0),"")</f>
        <v/>
      </c>
      <c r="BV127" s="3">
        <f>IF(BU127="",NEUTRO,MAX(0,MIN(100,100*(SEG_REF_MAX-BU127)/(SEG_REF_MAX-SEG_REF_MIN))))</f>
        <v/>
      </c>
      <c r="BW127" s="3">
        <f>W_ET*BS127+W_CONS*BT127+W_SEG*BV127</f>
        <v/>
      </c>
      <c r="BX127" s="3">
        <f>IF(N(AB127)&gt;0,AB127,IF(AND(R127="profesional",SG_LEGAL_ON=1),GAR_LEGAL,0))</f>
        <v/>
      </c>
      <c r="BY127" s="3">
        <f>SG_GAR*MIN(1,BX127/SG_GAR_FULL)+SG_AMPL*(AC127="sí")+SG_KMC*(AF127="sí")+SG_REV*(N(AE127)&gt;0)+SG_DEV*MIN(1,N(AG127)/SG_DEV_FULL)+SG_HIST*(W127="sí")</f>
        <v/>
      </c>
      <c r="BZ127" s="3">
        <f>IFERROR(VLOOKUP(L127,CARR_PEN_TBL,2,0),0)</f>
        <v/>
      </c>
      <c r="CA127" s="3">
        <f>W_FIAB*BL127+W_PRECIO*BM127+W_KMEDAD*BQ127+W_ANUNCIO*BR127+W_USO*BW127+W_SEGURIDAD*BY127-BZ127</f>
        <v/>
      </c>
      <c r="CB127" s="4">
        <f>IF(N(I127)&gt;0,I127,IFERROR(ROUND(_xlfn.NUMBERVALUE(LEFT(G127,FIND(" ",G127&amp;" ")-1),".")*1000,0),99999))</f>
        <v/>
      </c>
      <c r="CC127" s="3">
        <f>IF(R127="profesional",0,IF(O127&lt;CUOTA_VALOR_MAX,IF(AU127&gt;ITP_TRAMO_ALTO,SUMIFS(CF_CUOTA,CF_MAS,ITP_TRAMO_ALTO,CF_CCMIN,"&lt;="&amp;CB127,CF_CCMAX,"&gt;="&amp;CB127),IF(AU127&gt;ITP_TRAMO_BAJO,SUMIFS(CF_CUOTA,CF_MAS,ITP_TRAMO_BAJO,CF_CCMIN,"&lt;="&amp;CB127,CF_CCMAX,"&gt;="&amp;CB127),O127*ITP_TIPO)),O127*ITP_TIPO))</f>
        <v/>
      </c>
      <c r="CD127" s="4">
        <f>IF(R127="profesional",N(AK127),0)</f>
        <v/>
      </c>
      <c r="CE127" s="3">
        <f>IF(AND(R127="profesional",ISNUMBER(AK127),AL127="sí"),0,TASA_DGT)</f>
        <v/>
      </c>
      <c r="CF127" s="3">
        <f>INFORME_DGT</f>
        <v/>
      </c>
      <c r="CG127" s="4">
        <f>O127+CD127+CC127+CE127+CF127</f>
        <v/>
      </c>
      <c r="CH127" s="4">
        <f>CG127+N(BU127)</f>
        <v/>
      </c>
      <c r="CI127" s="3">
        <f>IF(CG127&lt;=TOTAL_MAX,"sí",IF(CG127&lt;=TOTAL_MAX+MARGEN_NEG,"negociar","no"))</f>
        <v/>
      </c>
      <c r="CJ127" s="4">
        <f>IF(CI127&lt;&gt;"no",COUNTIFS($CI$2:$CI$662,"&lt;&gt;no",$CA$2:$CA$662,"&gt;"&amp;CA127)+COUNTIFS($CI$2:CI127,"&lt;&gt;no",$CA$2:CA127,CA127),"")</f>
        <v/>
      </c>
    </row>
    <row r="128">
      <c r="A128" s="2" t="inlineStr">
        <is>
          <t>cochesnet:71554659</t>
        </is>
      </c>
      <c r="B128" s="2" t="inlineStr">
        <is>
          <t>cochesnet</t>
        </is>
      </c>
      <c r="C128" s="2" t="inlineStr">
        <is>
          <t>https://www.coches.net/renault-clio-20-aniversario-15dci-85cv-3p-eco2-3p-diesel-2011-en-valencia-71554659-covo.aspx</t>
        </is>
      </c>
      <c r="D128" s="2" t="inlineStr">
        <is>
          <t>RENAULT Clio 20 Aniversario 1.5dCi eco2</t>
        </is>
      </c>
      <c r="E128" s="2" t="inlineStr">
        <is>
          <t>Renault</t>
        </is>
      </c>
      <c r="F128" s="2" t="inlineStr">
        <is>
          <t>Renault Clio</t>
        </is>
      </c>
      <c r="G128" s="2" t="inlineStr">
        <is>
          <t>1.5</t>
        </is>
      </c>
      <c r="H128" s="2" t="inlineStr">
        <is>
          <t>20 Aniversario 1.5dCi 85cv 3p. eco2</t>
        </is>
      </c>
      <c r="I128" s="2" t="n"/>
      <c r="J128" s="2" t="n">
        <v>85</v>
      </c>
      <c r="K128" s="2" t="inlineStr">
        <is>
          <t>diesel</t>
        </is>
      </c>
      <c r="L128" s="2" t="inlineStr">
        <is>
          <t>utilitario</t>
        </is>
      </c>
      <c r="M128" s="2" t="n">
        <v>2010</v>
      </c>
      <c r="N128" s="2" t="n">
        <v>182000</v>
      </c>
      <c r="O128" s="2" t="n">
        <v>3800</v>
      </c>
      <c r="P128" s="2" t="inlineStr">
        <is>
          <t>manual</t>
        </is>
      </c>
      <c r="Q128" s="2" t="inlineStr">
        <is>
          <t>no</t>
        </is>
      </c>
      <c r="R128" s="2" t="inlineStr">
        <is>
          <t>particular</t>
        </is>
      </c>
      <c r="S128" s="2" t="inlineStr">
        <is>
          <t>Valencia</t>
        </is>
      </c>
      <c r="T128" s="2" t="inlineStr">
        <is>
          <t>2026-09-20T10:03:01Z</t>
        </is>
      </c>
      <c r="U128" s="2" t="n">
        <v>6</v>
      </c>
      <c r="V128" s="2" t="inlineStr">
        <is>
          <t>sí</t>
        </is>
      </c>
      <c r="W128" s="2" t="n"/>
      <c r="X128" s="2" t="inlineStr">
        <is>
          <t>sí</t>
        </is>
      </c>
      <c r="Y128" s="2" t="n"/>
      <c r="Z128" s="2" t="inlineStr">
        <is>
          <t>no</t>
        </is>
      </c>
      <c r="AA128" s="2" t="n"/>
      <c r="AB128" s="2" t="n"/>
      <c r="AC128" s="2" t="n"/>
      <c r="AD128" s="2" t="n"/>
      <c r="AE128" s="2" t="n"/>
      <c r="AF128" s="2" t="n"/>
      <c r="AG128" s="2" t="n"/>
      <c r="AH128" s="2" t="n">
        <v>3800</v>
      </c>
      <c r="AI128" s="2" t="n"/>
      <c r="AJ128" s="2" t="n"/>
      <c r="AK128" s="2" t="n"/>
      <c r="AL128" s="2" t="n"/>
      <c r="AM128" s="2" t="n">
        <v>0.1</v>
      </c>
      <c r="AN128" s="2" t="n">
        <v>4200</v>
      </c>
      <c r="AO128" s="2" t="n">
        <v>7</v>
      </c>
      <c r="AP128" s="2" t="inlineStr">
        <is>
          <t>modelo+año+km</t>
        </is>
      </c>
      <c r="AQ128" s="2" t="n"/>
      <c r="AR128" s="2" t="inlineStr">
        <is>
          <t>cuota fija ITP: &gt;12 años, hasta 1.500 cc; diésel: motor sin fuente de fiabilidad (fiabilidad limitada a neutra)</t>
        </is>
      </c>
      <c r="AS128" s="2" t="inlineStr">
        <is>
          <t xml:space="preserve">Itv recién pasada ruedas embrague y distribución cambiadas año de matriculación 2011
</t>
        </is>
      </c>
      <c r="AT128" s="2" t="inlineStr">
        <is>
          <t>https://www.coches.net/renault-clio-20-aniversario-15dci-85cv-3p-eco2-3p-diesel-2011-en-valencia-71554659-covo.aspx (window.__INITIAL_PROPS__.ad) /home/user/Alopecia/buscador-coches/raw/cochesnet/55f3a536b1ff8523.json</t>
        </is>
      </c>
      <c r="AU128" s="3">
        <f>MAX(ANIO_ACTUAL-M128,0)</f>
        <v/>
      </c>
      <c r="AV128" s="4">
        <f>N128/MAX(AU128,0.5)</f>
        <v/>
      </c>
      <c r="AW128" s="4">
        <f>F128</f>
        <v/>
      </c>
      <c r="AX128" s="3">
        <f>AW128&amp;"|"&amp;INT(M128/SEG_ANIO)*SEG_ANIO</f>
        <v/>
      </c>
      <c r="AY128" s="3">
        <f>AX128&amp;"|"&amp;INT(N128/SEG_KM)*SEG_KM</f>
        <v/>
      </c>
      <c r="AZ128" s="4">
        <f>COUNTIF($AW$2:$AW$662,AW128)</f>
        <v/>
      </c>
      <c r="BA128" s="4">
        <f>COUNTIF($AX$2:$AX$662,AX128)</f>
        <v/>
      </c>
      <c r="BB128" s="4">
        <f>COUNTIF($AY$2:$AY$662,AY128)</f>
        <v/>
      </c>
      <c r="BC128" s="3">
        <f t="array" ref="BC128">IF(N(AO128)&gt;=MIN_N,AN128,IF(BB128&gt;=MIN_N,MEDIAN(IF($AY$2:$AY$662=AY128,$O$2:$O$662)),IF(BA128&gt;=MIN_N,MEDIAN(IF($AX$2:$AX$662=AX128,$O$2:$O$662)),MEDIAN(IF($AW$2:$AW$662=AW128,$O$2:$O$662)))))</f>
        <v/>
      </c>
      <c r="BD128" s="3">
        <f>IF(N(AO128)&gt;=MIN_N,"mercado "&amp;AP128,IF(BB128&gt;=MIN_N,"modelo+año+km",IF(BA128&gt;=MIN_N,"modelo+año","modelo")))</f>
        <v/>
      </c>
      <c r="BE128" s="4">
        <f>(BC128-O128)/BC128</f>
        <v/>
      </c>
      <c r="BF128" s="3">
        <f>IF(OR(K128="hibrido",K128="glp"),"ECO",IF(K128="electrico","CERO",IF(K128="gasolina",IF(M128&gt;=GAS_C,"C",IF(M128&gt;=GAS_B,"B","A")),IF(K128="diesel",IF(M128&gt;=DIE_C,"C",IF(M128&gt;=DIE_B,"B","A")),""))))</f>
        <v/>
      </c>
      <c r="BG128" s="3">
        <f>IFERROR(VLOOKUP(F128,MOD_TBL,11,0),IFERROR(VLOOKUP(E128,OCU_TBL,2,0),NEUTRO))</f>
        <v/>
      </c>
      <c r="BH128" s="3">
        <f>SUMIFS(MOT_AJUSTE,MOT_MOTOR,G128,MOT_MARCA,E128,MOT_DESDE,"&lt;="&amp;M128,MOT_HASTA,"&gt;="&amp;M128)+SUMIFS(MOT_AJUSTE,MOT_MOTOR,G128,MOT_MARCA,"(todas)",MOT_DESDE,"&lt;="&amp;M128,MOT_HASTA,"&gt;="&amp;M128)</f>
        <v/>
      </c>
      <c r="BI128" s="3">
        <f>SUMIFS(COMB_AJUSTE,COMB_COMB,K128)</f>
        <v/>
      </c>
      <c r="BJ128" s="3">
        <f>COUNTIFS(MOT_MOTOR,G128,MOT_MARCA,E128,MOT_DESDE,"&lt;="&amp;M128,MOT_HASTA,"&gt;="&amp;M128)+COUNTIFS(MOT_MOTOR,G128,MOT_MARCA,"(todas)",MOT_DESDE,"&lt;="&amp;M128,MOT_HASTA,"&gt;="&amp;M128)</f>
        <v/>
      </c>
      <c r="BK128" s="3">
        <f>IF(AND(K128="diesel",BJ128=0),MIN(BG128,NEUTRO),BG128)</f>
        <v/>
      </c>
      <c r="BL128" s="4">
        <f>MAX(0,MIN(100,BK128+BH128+BI128))</f>
        <v/>
      </c>
      <c r="BM128" s="3">
        <f>MAX(0,MIN(100,50+BE128*PRECIO_PEND))</f>
        <v/>
      </c>
      <c r="BN128" s="3">
        <f>MAX(0,100*(1-N128/KM_MAX))</f>
        <v/>
      </c>
      <c r="BO128" s="3">
        <f>IF(AV128&lt;KMA_SOSP,IF(AA128="sí",100,KMA_PEN),IF(AV128&lt;=KMA_IDEAL_MAX,100,MAX(0,100*(KMA_CERO-AV128)/(KMA_CERO-KMA_IDEAL_MAX))))</f>
        <v/>
      </c>
      <c r="BP128" s="3">
        <f>MAX(0,MIN(100,100*(M128-ANIO_MIN)/(ANIO_ACTUAL-ANIO_MIN)))</f>
        <v/>
      </c>
      <c r="BQ128" s="3">
        <f>W_KMT*BN128+W_KMA*BO128+W_EDAD*BP128</f>
        <v/>
      </c>
      <c r="BR128" s="3">
        <f>P_ITV*(V128="sí")+P_LIBRO*(W128="sí")+P_CORREA*(X128="sí")+P_PROP*(Y128=1)+P_GAR*(Z128="sí")+P_FOTOS*MIN(1,N(U128)/FOTOS_OBJ)</f>
        <v/>
      </c>
      <c r="BS128" s="3">
        <f>IFERROR(VLOOKUP(BF128,ETQ_TBL,2,0),NEUTRO)</f>
        <v/>
      </c>
      <c r="BT128" s="3">
        <f>NEUTRO</f>
        <v/>
      </c>
      <c r="BU128" s="3">
        <f>IFERROR(VLOOKUP(L128,SEGURO_TBL,3,0),"")</f>
        <v/>
      </c>
      <c r="BV128" s="3">
        <f>IF(BU128="",NEUTRO,MAX(0,MIN(100,100*(SEG_REF_MAX-BU128)/(SEG_REF_MAX-SEG_REF_MIN))))</f>
        <v/>
      </c>
      <c r="BW128" s="3">
        <f>W_ET*BS128+W_CONS*BT128+W_SEG*BV128</f>
        <v/>
      </c>
      <c r="BX128" s="3">
        <f>IF(N(AB128)&gt;0,AB128,IF(AND(R128="profesional",SG_LEGAL_ON=1),GAR_LEGAL,0))</f>
        <v/>
      </c>
      <c r="BY128" s="3">
        <f>SG_GAR*MIN(1,BX128/SG_GAR_FULL)+SG_AMPL*(AC128="sí")+SG_KMC*(AF128="sí")+SG_REV*(N(AE128)&gt;0)+SG_DEV*MIN(1,N(AG128)/SG_DEV_FULL)+SG_HIST*(W128="sí")</f>
        <v/>
      </c>
      <c r="BZ128" s="3">
        <f>IFERROR(VLOOKUP(L128,CARR_PEN_TBL,2,0),0)</f>
        <v/>
      </c>
      <c r="CA128" s="3">
        <f>W_FIAB*BL128+W_PRECIO*BM128+W_KMEDAD*BQ128+W_ANUNCIO*BR128+W_USO*BW128+W_SEGURIDAD*BY128-BZ128</f>
        <v/>
      </c>
      <c r="CB128" s="4">
        <f>IF(N(I128)&gt;0,I128,IFERROR(ROUND(_xlfn.NUMBERVALUE(LEFT(G128,FIND(" ",G128&amp;" ")-1),".")*1000,0),99999))</f>
        <v/>
      </c>
      <c r="CC128" s="3">
        <f>IF(R128="profesional",0,IF(O128&lt;CUOTA_VALOR_MAX,IF(AU128&gt;ITP_TRAMO_ALTO,SUMIFS(CF_CUOTA,CF_MAS,ITP_TRAMO_ALTO,CF_CCMIN,"&lt;="&amp;CB128,CF_CCMAX,"&gt;="&amp;CB128),IF(AU128&gt;ITP_TRAMO_BAJO,SUMIFS(CF_CUOTA,CF_MAS,ITP_TRAMO_BAJO,CF_CCMIN,"&lt;="&amp;CB128,CF_CCMAX,"&gt;="&amp;CB128),O128*ITP_TIPO)),O128*ITP_TIPO))</f>
        <v/>
      </c>
      <c r="CD128" s="4">
        <f>IF(R128="profesional",N(AK128),0)</f>
        <v/>
      </c>
      <c r="CE128" s="3">
        <f>IF(AND(R128="profesional",ISNUMBER(AK128),AL128="sí"),0,TASA_DGT)</f>
        <v/>
      </c>
      <c r="CF128" s="3">
        <f>INFORME_DGT</f>
        <v/>
      </c>
      <c r="CG128" s="4">
        <f>O128+CD128+CC128+CE128+CF128</f>
        <v/>
      </c>
      <c r="CH128" s="4">
        <f>CG128+N(BU128)</f>
        <v/>
      </c>
      <c r="CI128" s="3">
        <f>IF(CG128&lt;=TOTAL_MAX,"sí",IF(CG128&lt;=TOTAL_MAX+MARGEN_NEG,"negociar","no"))</f>
        <v/>
      </c>
      <c r="CJ128" s="4">
        <f>IF(CI128&lt;&gt;"no",COUNTIFS($CI$2:$CI$662,"&lt;&gt;no",$CA$2:$CA$662,"&gt;"&amp;CA128)+COUNTIFS($CI$2:CI128,"&lt;&gt;no",$CA$2:CA128,CA128),"")</f>
        <v/>
      </c>
    </row>
    <row r="129">
      <c r="A129" s="2" t="inlineStr">
        <is>
          <t>cochesnet:71399209</t>
        </is>
      </c>
      <c r="B129" s="2" t="inlineStr">
        <is>
          <t>cochesnet</t>
        </is>
      </c>
      <c r="C129" s="2" t="inlineStr">
        <is>
          <t>https://www.coches.net/renault-megane-emotion-2008-14-16v-5p-gasolina-2008-en-valencia-71399209-covo.aspx</t>
        </is>
      </c>
      <c r="D129" s="2" t="inlineStr">
        <is>
          <t>RENAULT Mégane Emotion 2008 1.4 16V</t>
        </is>
      </c>
      <c r="E129" s="2" t="inlineStr">
        <is>
          <t>Renault</t>
        </is>
      </c>
      <c r="F129" s="2" t="inlineStr">
        <is>
          <t>Renault Mégane</t>
        </is>
      </c>
      <c r="G129" s="2" t="inlineStr">
        <is>
          <t>1.4</t>
        </is>
      </c>
      <c r="H129" s="2" t="inlineStr">
        <is>
          <t>Emotion 2008 1.4 16V</t>
        </is>
      </c>
      <c r="I129" s="2" t="n"/>
      <c r="J129" s="2" t="n"/>
      <c r="K129" s="2" t="inlineStr">
        <is>
          <t>gasolina</t>
        </is>
      </c>
      <c r="L129" s="2" t="inlineStr">
        <is>
          <t>compacto</t>
        </is>
      </c>
      <c r="M129" s="2" t="n">
        <v>2008</v>
      </c>
      <c r="N129" s="2" t="n">
        <v>134000</v>
      </c>
      <c r="O129" s="2" t="n">
        <v>4590</v>
      </c>
      <c r="P129" s="2" t="inlineStr">
        <is>
          <t>manual</t>
        </is>
      </c>
      <c r="Q129" s="2" t="inlineStr">
        <is>
          <t>no</t>
        </is>
      </c>
      <c r="R129" s="2" t="inlineStr">
        <is>
          <t>profesional</t>
        </is>
      </c>
      <c r="S129" s="2" t="inlineStr">
        <is>
          <t>Only Cars Valencia Aldaia</t>
        </is>
      </c>
      <c r="T129" s="2" t="inlineStr">
        <is>
          <t>2026-08-31T12:15:05Z</t>
        </is>
      </c>
      <c r="U129" s="2" t="n">
        <v>11</v>
      </c>
      <c r="V129" s="2" t="n"/>
      <c r="W129" s="2" t="n"/>
      <c r="X129" s="2" t="n"/>
      <c r="Y129" s="2" t="n">
        <v>1</v>
      </c>
      <c r="Z129" s="2" t="inlineStr">
        <is>
          <t>sí</t>
        </is>
      </c>
      <c r="AA129" s="2" t="n"/>
      <c r="AB129" s="2" t="n">
        <v>12</v>
      </c>
      <c r="AC129" s="2" t="n"/>
      <c r="AD129" s="2" t="n"/>
      <c r="AE129" s="2" t="n"/>
      <c r="AF129" s="2" t="n"/>
      <c r="AG129" s="2" t="n"/>
      <c r="AH129" s="2" t="n">
        <v>4590</v>
      </c>
      <c r="AI129" s="2" t="n"/>
      <c r="AJ129" s="2" t="n"/>
      <c r="AK129" s="2" t="n"/>
      <c r="AL129" s="2" t="n"/>
      <c r="AM129" s="2" t="n">
        <v>7.5</v>
      </c>
      <c r="AN129" s="2" t="n">
        <v>4500</v>
      </c>
      <c r="AO129" s="2" t="n">
        <v>5</v>
      </c>
      <c r="AP129" s="2" t="inlineStr">
        <is>
          <t>modelo+año+km</t>
        </is>
      </c>
      <c r="AQ129" s="2" t="n"/>
      <c r="AR129" s="2" t="inlineStr">
        <is>
          <t>vendedor profesional: sin ITP (operación con IVA/REBU, confirmar en factura); gastos de gestión del vendedor no indicados: se suma la tasa DGT; preguntar el precio final</t>
        </is>
      </c>
      <c r="AS129" s="2" t="inlineStr">
        <is>
          <t>Renault Megane 1.4 Emotion año 2008 con 134.000Kms 98CV. ÚNICO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129" s="2" t="inlineStr">
        <is>
          <t>https://www.coches.net/renault-megane-emotion-2008-14-16v-5p-gasolina-2008-en-valencia-71399209-covo.aspx (window.__INITIAL_PROPS__.ad) /home/user/Alopecia/buscador-coches/raw/cochesnet/893afa53c262edfe.json</t>
        </is>
      </c>
      <c r="AU129" s="3">
        <f>MAX(ANIO_ACTUAL-M129,0)</f>
        <v/>
      </c>
      <c r="AV129" s="4">
        <f>N129/MAX(AU129,0.5)</f>
        <v/>
      </c>
      <c r="AW129" s="4">
        <f>F129</f>
        <v/>
      </c>
      <c r="AX129" s="3">
        <f>AW129&amp;"|"&amp;INT(M129/SEG_ANIO)*SEG_ANIO</f>
        <v/>
      </c>
      <c r="AY129" s="3">
        <f>AX129&amp;"|"&amp;INT(N129/SEG_KM)*SEG_KM</f>
        <v/>
      </c>
      <c r="AZ129" s="4">
        <f>COUNTIF($AW$2:$AW$662,AW129)</f>
        <v/>
      </c>
      <c r="BA129" s="4">
        <f>COUNTIF($AX$2:$AX$662,AX129)</f>
        <v/>
      </c>
      <c r="BB129" s="4">
        <f>COUNTIF($AY$2:$AY$662,AY129)</f>
        <v/>
      </c>
      <c r="BC129" s="3">
        <f t="array" ref="BC129">IF(N(AO129)&gt;=MIN_N,AN129,IF(BB129&gt;=MIN_N,MEDIAN(IF($AY$2:$AY$662=AY129,$O$2:$O$662)),IF(BA129&gt;=MIN_N,MEDIAN(IF($AX$2:$AX$662=AX129,$O$2:$O$662)),MEDIAN(IF($AW$2:$AW$662=AW129,$O$2:$O$662)))))</f>
        <v/>
      </c>
      <c r="BD129" s="3">
        <f>IF(N(AO129)&gt;=MIN_N,"mercado "&amp;AP129,IF(BB129&gt;=MIN_N,"modelo+año+km",IF(BA129&gt;=MIN_N,"modelo+año","modelo")))</f>
        <v/>
      </c>
      <c r="BE129" s="4">
        <f>(BC129-O129)/BC129</f>
        <v/>
      </c>
      <c r="BF129" s="3">
        <f>IF(OR(K129="hibrido",K129="glp"),"ECO",IF(K129="electrico","CERO",IF(K129="gasolina",IF(M129&gt;=GAS_C,"C",IF(M129&gt;=GAS_B,"B","A")),IF(K129="diesel",IF(M129&gt;=DIE_C,"C",IF(M129&gt;=DIE_B,"B","A")),""))))</f>
        <v/>
      </c>
      <c r="BG129" s="3">
        <f>IFERROR(VLOOKUP(F129,MOD_TBL,11,0),IFERROR(VLOOKUP(E129,OCU_TBL,2,0),NEUTRO))</f>
        <v/>
      </c>
      <c r="BH129" s="3">
        <f>SUMIFS(MOT_AJUSTE,MOT_MOTOR,G129,MOT_MARCA,E129,MOT_DESDE,"&lt;="&amp;M129,MOT_HASTA,"&gt;="&amp;M129)+SUMIFS(MOT_AJUSTE,MOT_MOTOR,G129,MOT_MARCA,"(todas)",MOT_DESDE,"&lt;="&amp;M129,MOT_HASTA,"&gt;="&amp;M129)</f>
        <v/>
      </c>
      <c r="BI129" s="3">
        <f>SUMIFS(COMB_AJUSTE,COMB_COMB,K129)</f>
        <v/>
      </c>
      <c r="BJ129" s="3">
        <f>COUNTIFS(MOT_MOTOR,G129,MOT_MARCA,E129,MOT_DESDE,"&lt;="&amp;M129,MOT_HASTA,"&gt;="&amp;M129)+COUNTIFS(MOT_MOTOR,G129,MOT_MARCA,"(todas)",MOT_DESDE,"&lt;="&amp;M129,MOT_HASTA,"&gt;="&amp;M129)</f>
        <v/>
      </c>
      <c r="BK129" s="3">
        <f>IF(AND(K129="diesel",BJ129=0),MIN(BG129,NEUTRO),BG129)</f>
        <v/>
      </c>
      <c r="BL129" s="4">
        <f>MAX(0,MIN(100,BK129+BH129+BI129))</f>
        <v/>
      </c>
      <c r="BM129" s="3">
        <f>MAX(0,MIN(100,50+BE129*PRECIO_PEND))</f>
        <v/>
      </c>
      <c r="BN129" s="3">
        <f>MAX(0,100*(1-N129/KM_MAX))</f>
        <v/>
      </c>
      <c r="BO129" s="3">
        <f>IF(AV129&lt;KMA_SOSP,IF(AA129="sí",100,KMA_PEN),IF(AV129&lt;=KMA_IDEAL_MAX,100,MAX(0,100*(KMA_CERO-AV129)/(KMA_CERO-KMA_IDEAL_MAX))))</f>
        <v/>
      </c>
      <c r="BP129" s="3">
        <f>MAX(0,MIN(100,100*(M129-ANIO_MIN)/(ANIO_ACTUAL-ANIO_MIN)))</f>
        <v/>
      </c>
      <c r="BQ129" s="3">
        <f>W_KMT*BN129+W_KMA*BO129+W_EDAD*BP129</f>
        <v/>
      </c>
      <c r="BR129" s="3">
        <f>P_ITV*(V129="sí")+P_LIBRO*(W129="sí")+P_CORREA*(X129="sí")+P_PROP*(Y129=1)+P_GAR*(Z129="sí")+P_FOTOS*MIN(1,N(U129)/FOTOS_OBJ)</f>
        <v/>
      </c>
      <c r="BS129" s="3">
        <f>IFERROR(VLOOKUP(BF129,ETQ_TBL,2,0),NEUTRO)</f>
        <v/>
      </c>
      <c r="BT129" s="3">
        <f>NEUTRO</f>
        <v/>
      </c>
      <c r="BU129" s="3">
        <f>IFERROR(VLOOKUP(L129,SEGURO_TBL,3,0),"")</f>
        <v/>
      </c>
      <c r="BV129" s="3">
        <f>IF(BU129="",NEUTRO,MAX(0,MIN(100,100*(SEG_REF_MAX-BU129)/(SEG_REF_MAX-SEG_REF_MIN))))</f>
        <v/>
      </c>
      <c r="BW129" s="3">
        <f>W_ET*BS129+W_CONS*BT129+W_SEG*BV129</f>
        <v/>
      </c>
      <c r="BX129" s="3">
        <f>IF(N(AB129)&gt;0,AB129,IF(AND(R129="profesional",SG_LEGAL_ON=1),GAR_LEGAL,0))</f>
        <v/>
      </c>
      <c r="BY129" s="3">
        <f>SG_GAR*MIN(1,BX129/SG_GAR_FULL)+SG_AMPL*(AC129="sí")+SG_KMC*(AF129="sí")+SG_REV*(N(AE129)&gt;0)+SG_DEV*MIN(1,N(AG129)/SG_DEV_FULL)+SG_HIST*(W129="sí")</f>
        <v/>
      </c>
      <c r="BZ129" s="3">
        <f>IFERROR(VLOOKUP(L129,CARR_PEN_TBL,2,0),0)</f>
        <v/>
      </c>
      <c r="CA129" s="3">
        <f>W_FIAB*BL129+W_PRECIO*BM129+W_KMEDAD*BQ129+W_ANUNCIO*BR129+W_USO*BW129+W_SEGURIDAD*BY129-BZ129</f>
        <v/>
      </c>
      <c r="CB129" s="4">
        <f>IF(N(I129)&gt;0,I129,IFERROR(ROUND(_xlfn.NUMBERVALUE(LEFT(G129,FIND(" ",G129&amp;" ")-1),".")*1000,0),99999))</f>
        <v/>
      </c>
      <c r="CC129" s="3">
        <f>IF(R129="profesional",0,IF(O129&lt;CUOTA_VALOR_MAX,IF(AU129&gt;ITP_TRAMO_ALTO,SUMIFS(CF_CUOTA,CF_MAS,ITP_TRAMO_ALTO,CF_CCMIN,"&lt;="&amp;CB129,CF_CCMAX,"&gt;="&amp;CB129),IF(AU129&gt;ITP_TRAMO_BAJO,SUMIFS(CF_CUOTA,CF_MAS,ITP_TRAMO_BAJO,CF_CCMIN,"&lt;="&amp;CB129,CF_CCMAX,"&gt;="&amp;CB129),O129*ITP_TIPO)),O129*ITP_TIPO))</f>
        <v/>
      </c>
      <c r="CD129" s="4">
        <f>IF(R129="profesional",N(AK129),0)</f>
        <v/>
      </c>
      <c r="CE129" s="3">
        <f>IF(AND(R129="profesional",ISNUMBER(AK129),AL129="sí"),0,TASA_DGT)</f>
        <v/>
      </c>
      <c r="CF129" s="3">
        <f>INFORME_DGT</f>
        <v/>
      </c>
      <c r="CG129" s="4">
        <f>O129+CD129+CC129+CE129+CF129</f>
        <v/>
      </c>
      <c r="CH129" s="4">
        <f>CG129+N(BU129)</f>
        <v/>
      </c>
      <c r="CI129" s="3">
        <f>IF(CG129&lt;=TOTAL_MAX,"sí",IF(CG129&lt;=TOTAL_MAX+MARGEN_NEG,"negociar","no"))</f>
        <v/>
      </c>
      <c r="CJ129" s="4">
        <f>IF(CI129&lt;&gt;"no",COUNTIFS($CI$2:$CI$662,"&lt;&gt;no",$CA$2:$CA$662,"&gt;"&amp;CA129)+COUNTIFS($CI$2:CI129,"&lt;&gt;no",$CA$2:CA129,CA129),"")</f>
        <v/>
      </c>
    </row>
    <row r="130">
      <c r="A130" s="2" t="inlineStr">
        <is>
          <t>cochesnet:71622320</t>
        </is>
      </c>
      <c r="B130" s="2" t="inlineStr">
        <is>
          <t>cochesnet</t>
        </is>
      </c>
      <c r="C130" s="2" t="inlineStr">
        <is>
          <t>https://www.coches.net/renault-megane-dynamique-15dci85-eco2-5p-diesel-2008-en-valencia-71622320-covo.aspx</t>
        </is>
      </c>
      <c r="D130" s="2" t="inlineStr">
        <is>
          <t>RENAULT Mégane Dynamique 1.5dCi85 eco2</t>
        </is>
      </c>
      <c r="E130" s="2" t="inlineStr">
        <is>
          <t>Renault</t>
        </is>
      </c>
      <c r="F130" s="2" t="inlineStr">
        <is>
          <t>Renault Mégane</t>
        </is>
      </c>
      <c r="G130" s="2" t="inlineStr">
        <is>
          <t>1.5</t>
        </is>
      </c>
      <c r="H130" s="2" t="inlineStr">
        <is>
          <t>Dynamique 1.5dCi85 eco2</t>
        </is>
      </c>
      <c r="I130" s="2" t="n"/>
      <c r="J130" s="2" t="n"/>
      <c r="K130" s="2" t="inlineStr">
        <is>
          <t>diesel</t>
        </is>
      </c>
      <c r="L130" s="2" t="inlineStr">
        <is>
          <t>compacto</t>
        </is>
      </c>
      <c r="M130" s="2" t="n">
        <v>2008</v>
      </c>
      <c r="N130" s="2" t="n">
        <v>145000</v>
      </c>
      <c r="O130" s="2" t="n">
        <v>3990</v>
      </c>
      <c r="P130" s="2" t="inlineStr">
        <is>
          <t>manual</t>
        </is>
      </c>
      <c r="Q130" s="2" t="inlineStr">
        <is>
          <t>no</t>
        </is>
      </c>
      <c r="R130" s="2" t="inlineStr">
        <is>
          <t>profesional</t>
        </is>
      </c>
      <c r="S130" s="2" t="inlineStr">
        <is>
          <t>Only Cars Valencia Aldaia</t>
        </is>
      </c>
      <c r="T130" s="2" t="inlineStr">
        <is>
          <t>2026-09-29T10:48:11Z</t>
        </is>
      </c>
      <c r="U130" s="2" t="n">
        <v>11</v>
      </c>
      <c r="V130" s="2" t="n"/>
      <c r="W130" s="2" t="n"/>
      <c r="X130" s="2" t="n"/>
      <c r="Y130" s="2" t="n">
        <v>1</v>
      </c>
      <c r="Z130" s="2" t="inlineStr">
        <is>
          <t>sí</t>
        </is>
      </c>
      <c r="AA130" s="2" t="n"/>
      <c r="AB130" s="2" t="n">
        <v>12</v>
      </c>
      <c r="AC130" s="2" t="n"/>
      <c r="AD130" s="2" t="n"/>
      <c r="AE130" s="2" t="n"/>
      <c r="AF130" s="2" t="n"/>
      <c r="AG130" s="2" t="n"/>
      <c r="AH130" s="2" t="n">
        <v>3990</v>
      </c>
      <c r="AI130" s="2" t="n"/>
      <c r="AJ130" s="2" t="n"/>
      <c r="AK130" s="2" t="n"/>
      <c r="AL130" s="2" t="n"/>
      <c r="AM130" s="2" t="n">
        <v>7.5</v>
      </c>
      <c r="AN130" s="2" t="n">
        <v>4500</v>
      </c>
      <c r="AO130" s="2" t="n">
        <v>5</v>
      </c>
      <c r="AP130" s="2" t="inlineStr">
        <is>
          <t>modelo+año+km</t>
        </is>
      </c>
      <c r="AQ130" s="2" t="n"/>
      <c r="AR130" s="2" t="inlineStr">
        <is>
          <t>vendedor profesional: sin ITP (operación con IVA/REBU, confirmar en factura); gastos de gestión del vendedor no indicados: se suma la tasa DGT; preguntar el precio final; diésel: motor sin fuente de fiabilidad (fiabilidad limitada a neutra)</t>
        </is>
      </c>
      <c r="AS130" s="2" t="inlineStr">
        <is>
          <t>Renault Megane 1.5 dCi Dynamique año 2008 con 145.000Kms 85CV.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130" s="2" t="inlineStr">
        <is>
          <t>https://www.coches.net/renault-megane-dynamique-15dci85-eco2-5p-diesel-2008-en-valencia-71622320-covo.aspx (window.__INITIAL_PROPS__.ad) /home/user/Alopecia/buscador-coches/raw/cochesnet/b27e6845a5e23e51.json</t>
        </is>
      </c>
      <c r="AU130" s="3">
        <f>MAX(ANIO_ACTUAL-M130,0)</f>
        <v/>
      </c>
      <c r="AV130" s="4">
        <f>N130/MAX(AU130,0.5)</f>
        <v/>
      </c>
      <c r="AW130" s="4">
        <f>F130</f>
        <v/>
      </c>
      <c r="AX130" s="3">
        <f>AW130&amp;"|"&amp;INT(M130/SEG_ANIO)*SEG_ANIO</f>
        <v/>
      </c>
      <c r="AY130" s="3">
        <f>AX130&amp;"|"&amp;INT(N130/SEG_KM)*SEG_KM</f>
        <v/>
      </c>
      <c r="AZ130" s="4">
        <f>COUNTIF($AW$2:$AW$662,AW130)</f>
        <v/>
      </c>
      <c r="BA130" s="4">
        <f>COUNTIF($AX$2:$AX$662,AX130)</f>
        <v/>
      </c>
      <c r="BB130" s="4">
        <f>COUNTIF($AY$2:$AY$662,AY130)</f>
        <v/>
      </c>
      <c r="BC130" s="3">
        <f t="array" ref="BC130">IF(N(AO130)&gt;=MIN_N,AN130,IF(BB130&gt;=MIN_N,MEDIAN(IF($AY$2:$AY$662=AY130,$O$2:$O$662)),IF(BA130&gt;=MIN_N,MEDIAN(IF($AX$2:$AX$662=AX130,$O$2:$O$662)),MEDIAN(IF($AW$2:$AW$662=AW130,$O$2:$O$662)))))</f>
        <v/>
      </c>
      <c r="BD130" s="3">
        <f>IF(N(AO130)&gt;=MIN_N,"mercado "&amp;AP130,IF(BB130&gt;=MIN_N,"modelo+año+km",IF(BA130&gt;=MIN_N,"modelo+año","modelo")))</f>
        <v/>
      </c>
      <c r="BE130" s="4">
        <f>(BC130-O130)/BC130</f>
        <v/>
      </c>
      <c r="BF130" s="3">
        <f>IF(OR(K130="hibrido",K130="glp"),"ECO",IF(K130="electrico","CERO",IF(K130="gasolina",IF(M130&gt;=GAS_C,"C",IF(M130&gt;=GAS_B,"B","A")),IF(K130="diesel",IF(M130&gt;=DIE_C,"C",IF(M130&gt;=DIE_B,"B","A")),""))))</f>
        <v/>
      </c>
      <c r="BG130" s="3">
        <f>IFERROR(VLOOKUP(F130,MOD_TBL,11,0),IFERROR(VLOOKUP(E130,OCU_TBL,2,0),NEUTRO))</f>
        <v/>
      </c>
      <c r="BH130" s="3">
        <f>SUMIFS(MOT_AJUSTE,MOT_MOTOR,G130,MOT_MARCA,E130,MOT_DESDE,"&lt;="&amp;M130,MOT_HASTA,"&gt;="&amp;M130)+SUMIFS(MOT_AJUSTE,MOT_MOTOR,G130,MOT_MARCA,"(todas)",MOT_DESDE,"&lt;="&amp;M130,MOT_HASTA,"&gt;="&amp;M130)</f>
        <v/>
      </c>
      <c r="BI130" s="3">
        <f>SUMIFS(COMB_AJUSTE,COMB_COMB,K130)</f>
        <v/>
      </c>
      <c r="BJ130" s="3">
        <f>COUNTIFS(MOT_MOTOR,G130,MOT_MARCA,E130,MOT_DESDE,"&lt;="&amp;M130,MOT_HASTA,"&gt;="&amp;M130)+COUNTIFS(MOT_MOTOR,G130,MOT_MARCA,"(todas)",MOT_DESDE,"&lt;="&amp;M130,MOT_HASTA,"&gt;="&amp;M130)</f>
        <v/>
      </c>
      <c r="BK130" s="3">
        <f>IF(AND(K130="diesel",BJ130=0),MIN(BG130,NEUTRO),BG130)</f>
        <v/>
      </c>
      <c r="BL130" s="4">
        <f>MAX(0,MIN(100,BK130+BH130+BI130))</f>
        <v/>
      </c>
      <c r="BM130" s="3">
        <f>MAX(0,MIN(100,50+BE130*PRECIO_PEND))</f>
        <v/>
      </c>
      <c r="BN130" s="3">
        <f>MAX(0,100*(1-N130/KM_MAX))</f>
        <v/>
      </c>
      <c r="BO130" s="3">
        <f>IF(AV130&lt;KMA_SOSP,IF(AA130="sí",100,KMA_PEN),IF(AV130&lt;=KMA_IDEAL_MAX,100,MAX(0,100*(KMA_CERO-AV130)/(KMA_CERO-KMA_IDEAL_MAX))))</f>
        <v/>
      </c>
      <c r="BP130" s="3">
        <f>MAX(0,MIN(100,100*(M130-ANIO_MIN)/(ANIO_ACTUAL-ANIO_MIN)))</f>
        <v/>
      </c>
      <c r="BQ130" s="3">
        <f>W_KMT*BN130+W_KMA*BO130+W_EDAD*BP130</f>
        <v/>
      </c>
      <c r="BR130" s="3">
        <f>P_ITV*(V130="sí")+P_LIBRO*(W130="sí")+P_CORREA*(X130="sí")+P_PROP*(Y130=1)+P_GAR*(Z130="sí")+P_FOTOS*MIN(1,N(U130)/FOTOS_OBJ)</f>
        <v/>
      </c>
      <c r="BS130" s="3">
        <f>IFERROR(VLOOKUP(BF130,ETQ_TBL,2,0),NEUTRO)</f>
        <v/>
      </c>
      <c r="BT130" s="3">
        <f>NEUTRO</f>
        <v/>
      </c>
      <c r="BU130" s="3">
        <f>IFERROR(VLOOKUP(L130,SEGURO_TBL,3,0),"")</f>
        <v/>
      </c>
      <c r="BV130" s="3">
        <f>IF(BU130="",NEUTRO,MAX(0,MIN(100,100*(SEG_REF_MAX-BU130)/(SEG_REF_MAX-SEG_REF_MIN))))</f>
        <v/>
      </c>
      <c r="BW130" s="3">
        <f>W_ET*BS130+W_CONS*BT130+W_SEG*BV130</f>
        <v/>
      </c>
      <c r="BX130" s="3">
        <f>IF(N(AB130)&gt;0,AB130,IF(AND(R130="profesional",SG_LEGAL_ON=1),GAR_LEGAL,0))</f>
        <v/>
      </c>
      <c r="BY130" s="3">
        <f>SG_GAR*MIN(1,BX130/SG_GAR_FULL)+SG_AMPL*(AC130="sí")+SG_KMC*(AF130="sí")+SG_REV*(N(AE130)&gt;0)+SG_DEV*MIN(1,N(AG130)/SG_DEV_FULL)+SG_HIST*(W130="sí")</f>
        <v/>
      </c>
      <c r="BZ130" s="3">
        <f>IFERROR(VLOOKUP(L130,CARR_PEN_TBL,2,0),0)</f>
        <v/>
      </c>
      <c r="CA130" s="3">
        <f>W_FIAB*BL130+W_PRECIO*BM130+W_KMEDAD*BQ130+W_ANUNCIO*BR130+W_USO*BW130+W_SEGURIDAD*BY130-BZ130</f>
        <v/>
      </c>
      <c r="CB130" s="4">
        <f>IF(N(I130)&gt;0,I130,IFERROR(ROUND(_xlfn.NUMBERVALUE(LEFT(G130,FIND(" ",G130&amp;" ")-1),".")*1000,0),99999))</f>
        <v/>
      </c>
      <c r="CC130" s="3">
        <f>IF(R130="profesional",0,IF(O130&lt;CUOTA_VALOR_MAX,IF(AU130&gt;ITP_TRAMO_ALTO,SUMIFS(CF_CUOTA,CF_MAS,ITP_TRAMO_ALTO,CF_CCMIN,"&lt;="&amp;CB130,CF_CCMAX,"&gt;="&amp;CB130),IF(AU130&gt;ITP_TRAMO_BAJO,SUMIFS(CF_CUOTA,CF_MAS,ITP_TRAMO_BAJO,CF_CCMIN,"&lt;="&amp;CB130,CF_CCMAX,"&gt;="&amp;CB130),O130*ITP_TIPO)),O130*ITP_TIPO))</f>
        <v/>
      </c>
      <c r="CD130" s="4">
        <f>IF(R130="profesional",N(AK130),0)</f>
        <v/>
      </c>
      <c r="CE130" s="3">
        <f>IF(AND(R130="profesional",ISNUMBER(AK130),AL130="sí"),0,TASA_DGT)</f>
        <v/>
      </c>
      <c r="CF130" s="3">
        <f>INFORME_DGT</f>
        <v/>
      </c>
      <c r="CG130" s="4">
        <f>O130+CD130+CC130+CE130+CF130</f>
        <v/>
      </c>
      <c r="CH130" s="4">
        <f>CG130+N(BU130)</f>
        <v/>
      </c>
      <c r="CI130" s="3">
        <f>IF(CG130&lt;=TOTAL_MAX,"sí",IF(CG130&lt;=TOTAL_MAX+MARGEN_NEG,"negociar","no"))</f>
        <v/>
      </c>
      <c r="CJ130" s="4">
        <f>IF(CI130&lt;&gt;"no",COUNTIFS($CI$2:$CI$662,"&lt;&gt;no",$CA$2:$CA$662,"&gt;"&amp;CA130)+COUNTIFS($CI$2:CI130,"&lt;&gt;no",$CA$2:CA130,CA130),"")</f>
        <v/>
      </c>
    </row>
    <row r="131">
      <c r="A131" s="2" t="inlineStr">
        <is>
          <t>cochesnet:71721172</t>
        </is>
      </c>
      <c r="B131" s="2" t="inlineStr">
        <is>
          <t>cochesnet</t>
        </is>
      </c>
      <c r="C131" s="2" t="inlineStr">
        <is>
          <t>https://www.coches.net/renault-megane-diesel-2011-en-valencia-71721172-covo.aspx</t>
        </is>
      </c>
      <c r="D131" s="2" t="inlineStr">
        <is>
          <t>RENAULT Megane</t>
        </is>
      </c>
      <c r="E131" s="2" t="inlineStr">
        <is>
          <t>Renault</t>
        </is>
      </c>
      <c r="F131" s="2" t="inlineStr">
        <is>
          <t>Renault Mégane</t>
        </is>
      </c>
      <c r="G131" s="2" t="n"/>
      <c r="H131" s="2" t="n"/>
      <c r="I131" s="2" t="n"/>
      <c r="J131" s="2" t="n"/>
      <c r="K131" s="2" t="inlineStr">
        <is>
          <t>diesel</t>
        </is>
      </c>
      <c r="L131" s="2" t="inlineStr">
        <is>
          <t>compacto</t>
        </is>
      </c>
      <c r="M131" s="2" t="n">
        <v>2011</v>
      </c>
      <c r="N131" s="2" t="n">
        <v>215000</v>
      </c>
      <c r="O131" s="2" t="n">
        <v>4500</v>
      </c>
      <c r="P131" s="2" t="inlineStr">
        <is>
          <t>manual</t>
        </is>
      </c>
      <c r="Q131" s="2" t="inlineStr">
        <is>
          <t>no</t>
        </is>
      </c>
      <c r="R131" s="2" t="inlineStr">
        <is>
          <t>particular</t>
        </is>
      </c>
      <c r="S131" s="2" t="n"/>
      <c r="T131" s="2" t="inlineStr">
        <is>
          <t>2026-10-11T04:39:45Z</t>
        </is>
      </c>
      <c r="U131" s="2" t="n">
        <v>8</v>
      </c>
      <c r="V131" s="2" t="n"/>
      <c r="W131" s="2" t="n"/>
      <c r="X131" s="2" t="n"/>
      <c r="Y131" s="2" t="n"/>
      <c r="Z131" s="2" t="inlineStr">
        <is>
          <t>no</t>
        </is>
      </c>
      <c r="AA131" s="2" t="n"/>
      <c r="AB131" s="2" t="n"/>
      <c r="AC131" s="2" t="n"/>
      <c r="AD131" s="2" t="n"/>
      <c r="AE131" s="2" t="n"/>
      <c r="AF131" s="2" t="n"/>
      <c r="AG131" s="2" t="n"/>
      <c r="AH131" s="2" t="n">
        <v>4500</v>
      </c>
      <c r="AI131" s="2" t="n"/>
      <c r="AJ131" s="2" t="n"/>
      <c r="AK131" s="2" t="n"/>
      <c r="AL131" s="2" t="n"/>
      <c r="AM131" s="2" t="n"/>
      <c r="AN131" s="2" t="n">
        <v>4500</v>
      </c>
      <c r="AO131" s="2" t="n">
        <v>7</v>
      </c>
      <c r="AP131" s="2" t="inlineStr">
        <is>
          <t>modelo+año+km</t>
        </is>
      </c>
      <c r="AQ131" s="2" t="n"/>
      <c r="AR131"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31" s="2" t="inlineStr">
        <is>
          <t xml:space="preserve">coche nova con motour Bueno </t>
        </is>
      </c>
      <c r="AT131" s="2" t="inlineStr">
        <is>
          <t>https://www.coches.net/renault-megane-diesel-2011-en-valencia-71721172-covo.aspx (window.__INITIAL_PROPS__.ad) /home/user/Alopecia/buscador-coches/raw/cochesnet/fa615d654d0dc531.json</t>
        </is>
      </c>
      <c r="AU131" s="3">
        <f>MAX(ANIO_ACTUAL-M131,0)</f>
        <v/>
      </c>
      <c r="AV131" s="4">
        <f>N131/MAX(AU131,0.5)</f>
        <v/>
      </c>
      <c r="AW131" s="4">
        <f>F131</f>
        <v/>
      </c>
      <c r="AX131" s="3">
        <f>AW131&amp;"|"&amp;INT(M131/SEG_ANIO)*SEG_ANIO</f>
        <v/>
      </c>
      <c r="AY131" s="3">
        <f>AX131&amp;"|"&amp;INT(N131/SEG_KM)*SEG_KM</f>
        <v/>
      </c>
      <c r="AZ131" s="4">
        <f>COUNTIF($AW$2:$AW$662,AW131)</f>
        <v/>
      </c>
      <c r="BA131" s="4">
        <f>COUNTIF($AX$2:$AX$662,AX131)</f>
        <v/>
      </c>
      <c r="BB131" s="4">
        <f>COUNTIF($AY$2:$AY$662,AY131)</f>
        <v/>
      </c>
      <c r="BC131" s="3">
        <f t="array" ref="BC131">IF(N(AO131)&gt;=MIN_N,AN131,IF(BB131&gt;=MIN_N,MEDIAN(IF($AY$2:$AY$662=AY131,$O$2:$O$662)),IF(BA131&gt;=MIN_N,MEDIAN(IF($AX$2:$AX$662=AX131,$O$2:$O$662)),MEDIAN(IF($AW$2:$AW$662=AW131,$O$2:$O$662)))))</f>
        <v/>
      </c>
      <c r="BD131" s="3">
        <f>IF(N(AO131)&gt;=MIN_N,"mercado "&amp;AP131,IF(BB131&gt;=MIN_N,"modelo+año+km",IF(BA131&gt;=MIN_N,"modelo+año","modelo")))</f>
        <v/>
      </c>
      <c r="BE131" s="4">
        <f>(BC131-O131)/BC131</f>
        <v/>
      </c>
      <c r="BF131" s="3">
        <f>IF(OR(K131="hibrido",K131="glp"),"ECO",IF(K131="electrico","CERO",IF(K131="gasolina",IF(M131&gt;=GAS_C,"C",IF(M131&gt;=GAS_B,"B","A")),IF(K131="diesel",IF(M131&gt;=DIE_C,"C",IF(M131&gt;=DIE_B,"B","A")),""))))</f>
        <v/>
      </c>
      <c r="BG131" s="3">
        <f>IFERROR(VLOOKUP(F131,MOD_TBL,11,0),IFERROR(VLOOKUP(E131,OCU_TBL,2,0),NEUTRO))</f>
        <v/>
      </c>
      <c r="BH131" s="3">
        <f>SUMIFS(MOT_AJUSTE,MOT_MOTOR,G131,MOT_MARCA,E131,MOT_DESDE,"&lt;="&amp;M131,MOT_HASTA,"&gt;="&amp;M131)+SUMIFS(MOT_AJUSTE,MOT_MOTOR,G131,MOT_MARCA,"(todas)",MOT_DESDE,"&lt;="&amp;M131,MOT_HASTA,"&gt;="&amp;M131)</f>
        <v/>
      </c>
      <c r="BI131" s="3">
        <f>SUMIFS(COMB_AJUSTE,COMB_COMB,K131)</f>
        <v/>
      </c>
      <c r="BJ131" s="3">
        <f>COUNTIFS(MOT_MOTOR,G131,MOT_MARCA,E131,MOT_DESDE,"&lt;="&amp;M131,MOT_HASTA,"&gt;="&amp;M131)+COUNTIFS(MOT_MOTOR,G131,MOT_MARCA,"(todas)",MOT_DESDE,"&lt;="&amp;M131,MOT_HASTA,"&gt;="&amp;M131)</f>
        <v/>
      </c>
      <c r="BK131" s="3">
        <f>IF(AND(K131="diesel",BJ131=0),MIN(BG131,NEUTRO),BG131)</f>
        <v/>
      </c>
      <c r="BL131" s="4">
        <f>MAX(0,MIN(100,BK131+BH131+BI131))</f>
        <v/>
      </c>
      <c r="BM131" s="3">
        <f>MAX(0,MIN(100,50+BE131*PRECIO_PEND))</f>
        <v/>
      </c>
      <c r="BN131" s="3">
        <f>MAX(0,100*(1-N131/KM_MAX))</f>
        <v/>
      </c>
      <c r="BO131" s="3">
        <f>IF(AV131&lt;KMA_SOSP,IF(AA131="sí",100,KMA_PEN),IF(AV131&lt;=KMA_IDEAL_MAX,100,MAX(0,100*(KMA_CERO-AV131)/(KMA_CERO-KMA_IDEAL_MAX))))</f>
        <v/>
      </c>
      <c r="BP131" s="3">
        <f>MAX(0,MIN(100,100*(M131-ANIO_MIN)/(ANIO_ACTUAL-ANIO_MIN)))</f>
        <v/>
      </c>
      <c r="BQ131" s="3">
        <f>W_KMT*BN131+W_KMA*BO131+W_EDAD*BP131</f>
        <v/>
      </c>
      <c r="BR131" s="3">
        <f>P_ITV*(V131="sí")+P_LIBRO*(W131="sí")+P_CORREA*(X131="sí")+P_PROP*(Y131=1)+P_GAR*(Z131="sí")+P_FOTOS*MIN(1,N(U131)/FOTOS_OBJ)</f>
        <v/>
      </c>
      <c r="BS131" s="3">
        <f>IFERROR(VLOOKUP(BF131,ETQ_TBL,2,0),NEUTRO)</f>
        <v/>
      </c>
      <c r="BT131" s="3">
        <f>NEUTRO</f>
        <v/>
      </c>
      <c r="BU131" s="3">
        <f>IFERROR(VLOOKUP(L131,SEGURO_TBL,3,0),"")</f>
        <v/>
      </c>
      <c r="BV131" s="3">
        <f>IF(BU131="",NEUTRO,MAX(0,MIN(100,100*(SEG_REF_MAX-BU131)/(SEG_REF_MAX-SEG_REF_MIN))))</f>
        <v/>
      </c>
      <c r="BW131" s="3">
        <f>W_ET*BS131+W_CONS*BT131+W_SEG*BV131</f>
        <v/>
      </c>
      <c r="BX131" s="3">
        <f>IF(N(AB131)&gt;0,AB131,IF(AND(R131="profesional",SG_LEGAL_ON=1),GAR_LEGAL,0))</f>
        <v/>
      </c>
      <c r="BY131" s="3">
        <f>SG_GAR*MIN(1,BX131/SG_GAR_FULL)+SG_AMPL*(AC131="sí")+SG_KMC*(AF131="sí")+SG_REV*(N(AE131)&gt;0)+SG_DEV*MIN(1,N(AG131)/SG_DEV_FULL)+SG_HIST*(W131="sí")</f>
        <v/>
      </c>
      <c r="BZ131" s="3">
        <f>IFERROR(VLOOKUP(L131,CARR_PEN_TBL,2,0),0)</f>
        <v/>
      </c>
      <c r="CA131" s="3">
        <f>W_FIAB*BL131+W_PRECIO*BM131+W_KMEDAD*BQ131+W_ANUNCIO*BR131+W_USO*BW131+W_SEGURIDAD*BY131-BZ131</f>
        <v/>
      </c>
      <c r="CB131" s="4">
        <f>IF(N(I131)&gt;0,I131,IFERROR(ROUND(_xlfn.NUMBERVALUE(LEFT(G131,FIND(" ",G131&amp;" ")-1),".")*1000,0),99999))</f>
        <v/>
      </c>
      <c r="CC131" s="3">
        <f>IF(R131="profesional",0,IF(O131&lt;CUOTA_VALOR_MAX,IF(AU131&gt;ITP_TRAMO_ALTO,SUMIFS(CF_CUOTA,CF_MAS,ITP_TRAMO_ALTO,CF_CCMIN,"&lt;="&amp;CB131,CF_CCMAX,"&gt;="&amp;CB131),IF(AU131&gt;ITP_TRAMO_BAJO,SUMIFS(CF_CUOTA,CF_MAS,ITP_TRAMO_BAJO,CF_CCMIN,"&lt;="&amp;CB131,CF_CCMAX,"&gt;="&amp;CB131),O131*ITP_TIPO)),O131*ITP_TIPO))</f>
        <v/>
      </c>
      <c r="CD131" s="4">
        <f>IF(R131="profesional",N(AK131),0)</f>
        <v/>
      </c>
      <c r="CE131" s="3">
        <f>IF(AND(R131="profesional",ISNUMBER(AK131),AL131="sí"),0,TASA_DGT)</f>
        <v/>
      </c>
      <c r="CF131" s="3">
        <f>INFORME_DGT</f>
        <v/>
      </c>
      <c r="CG131" s="4">
        <f>O131+CD131+CC131+CE131+CF131</f>
        <v/>
      </c>
      <c r="CH131" s="4">
        <f>CG131+N(BU131)</f>
        <v/>
      </c>
      <c r="CI131" s="3">
        <f>IF(CG131&lt;=TOTAL_MAX,"sí",IF(CG131&lt;=TOTAL_MAX+MARGEN_NEG,"negociar","no"))</f>
        <v/>
      </c>
      <c r="CJ131" s="4">
        <f>IF(CI131&lt;&gt;"no",COUNTIFS($CI$2:$CI$662,"&lt;&gt;no",$CA$2:$CA$662,"&gt;"&amp;CA131)+COUNTIFS($CI$2:CI131,"&lt;&gt;no",$CA$2:CA131,CA131),"")</f>
        <v/>
      </c>
    </row>
    <row r="132">
      <c r="A132" s="2" t="inlineStr">
        <is>
          <t>cochesnet:71224992</t>
        </is>
      </c>
      <c r="B132" s="2" t="inlineStr">
        <is>
          <t>cochesnet</t>
        </is>
      </c>
      <c r="C132" s="2" t="inlineStr">
        <is>
          <t>https://www.coches.net/renault-megane-dynamique-16-16v-110-e5-5p-gasolina-2010-en-valencia-71224992-covo.aspx</t>
        </is>
      </c>
      <c r="D132" s="2" t="inlineStr">
        <is>
          <t>RENAULT Mégane Dynamique 1.6 16v 110 E5</t>
        </is>
      </c>
      <c r="E132" s="2" t="inlineStr">
        <is>
          <t>Renault</t>
        </is>
      </c>
      <c r="F132" s="2" t="inlineStr">
        <is>
          <t>Renault Mégane</t>
        </is>
      </c>
      <c r="G132" s="2" t="inlineStr">
        <is>
          <t>1.6</t>
        </is>
      </c>
      <c r="H132" s="2" t="inlineStr">
        <is>
          <t>Dynamique 1.6 16v 110 E5</t>
        </is>
      </c>
      <c r="I132" s="2" t="n"/>
      <c r="J132" s="2" t="n"/>
      <c r="K132" s="2" t="inlineStr">
        <is>
          <t>gasolina</t>
        </is>
      </c>
      <c r="L132" s="2" t="inlineStr">
        <is>
          <t>compacto</t>
        </is>
      </c>
      <c r="M132" s="2" t="n">
        <v>2011</v>
      </c>
      <c r="N132" s="2" t="n">
        <v>170000</v>
      </c>
      <c r="O132" s="2" t="n">
        <v>4490</v>
      </c>
      <c r="P132" s="2" t="inlineStr">
        <is>
          <t>manual</t>
        </is>
      </c>
      <c r="Q132" s="2" t="inlineStr">
        <is>
          <t>no</t>
        </is>
      </c>
      <c r="R132" s="2" t="inlineStr">
        <is>
          <t>profesional</t>
        </is>
      </c>
      <c r="S132" s="2" t="inlineStr">
        <is>
          <t>Cullera</t>
        </is>
      </c>
      <c r="T132" s="2" t="inlineStr">
        <is>
          <t>2026-08-04T11:55:07Z</t>
        </is>
      </c>
      <c r="U132" s="2" t="n">
        <v>16</v>
      </c>
      <c r="V132" s="2" t="n"/>
      <c r="W132" s="2" t="n"/>
      <c r="X132" s="2" t="n"/>
      <c r="Y132" s="2" t="n"/>
      <c r="Z132" s="2" t="inlineStr">
        <is>
          <t>sí</t>
        </is>
      </c>
      <c r="AA132" s="2" t="n"/>
      <c r="AB132" s="2" t="n">
        <v>12</v>
      </c>
      <c r="AC132" s="2" t="n"/>
      <c r="AD132" s="2" t="n"/>
      <c r="AE132" s="2" t="n"/>
      <c r="AF132" s="2" t="n"/>
      <c r="AG132" s="2" t="n"/>
      <c r="AH132" s="2" t="n">
        <v>4490</v>
      </c>
      <c r="AI132" s="2" t="n"/>
      <c r="AJ132" s="2" t="n"/>
      <c r="AK132" s="2" t="n"/>
      <c r="AL132" s="2" t="n"/>
      <c r="AM132" s="2" t="n">
        <v>35.4</v>
      </c>
      <c r="AN132" s="2" t="n">
        <v>5045</v>
      </c>
      <c r="AO132" s="2" t="n">
        <v>12</v>
      </c>
      <c r="AP132" s="2" t="inlineStr">
        <is>
          <t>modelo+año+km</t>
        </is>
      </c>
      <c r="AQ132" s="2" t="n"/>
      <c r="AR132" s="2" t="inlineStr">
        <is>
          <t>vendedor profesional: sin ITP (operación con IVA/REBU, confirmar en factura); gastos de gestión del vendedor no indicados: se suma la tasa DGT; preguntar el precio final</t>
        </is>
      </c>
      <c r="AS132" s="2" t="inlineStr">
        <is>
          <t>?VEHÍCULO NACIONAL, 170.000KMS CERTIFICADOS, LIBRE DE ACCIDENTES ESTRUCTURALES  ?1 AÑO DE GARANTÍA INCLUIDO EN EL PRECIO, POSIBILIDAD DE AMPLIAR A 2 AÑOS -ENVÍO A TODA ESPAÑA DESDE 150€, POSIBILIDAD DE COMPRA ONLINE O EN NUESTRA TIENDA EN CORBERA, VALENCIA -ETIQUETA MEDIOAMBIENTAL C VERDE -MOTOR MUY FIABLE Y DE BAJO CONSUMO AIRE ACONDICIONADO, ELEVALUNAS ELECTRICOS, DIRECCIÓN ASISITIDA ETC</t>
        </is>
      </c>
      <c r="AT132" s="2" t="inlineStr">
        <is>
          <t>https://www.coches.net/renault-megane-dynamique-16-16v-110-e5-5p-gasolina-2010-en-valencia-71224992-covo.aspx (window.__INITIAL_PROPS__.ad) /home/user/Alopecia/buscador-coches/raw/cochesnet/b60848ab8e8cf1e1.json</t>
        </is>
      </c>
      <c r="AU132" s="3">
        <f>MAX(ANIO_ACTUAL-M132,0)</f>
        <v/>
      </c>
      <c r="AV132" s="4">
        <f>N132/MAX(AU132,0.5)</f>
        <v/>
      </c>
      <c r="AW132" s="4">
        <f>F132</f>
        <v/>
      </c>
      <c r="AX132" s="3">
        <f>AW132&amp;"|"&amp;INT(M132/SEG_ANIO)*SEG_ANIO</f>
        <v/>
      </c>
      <c r="AY132" s="3">
        <f>AX132&amp;"|"&amp;INT(N132/SEG_KM)*SEG_KM</f>
        <v/>
      </c>
      <c r="AZ132" s="4">
        <f>COUNTIF($AW$2:$AW$662,AW132)</f>
        <v/>
      </c>
      <c r="BA132" s="4">
        <f>COUNTIF($AX$2:$AX$662,AX132)</f>
        <v/>
      </c>
      <c r="BB132" s="4">
        <f>COUNTIF($AY$2:$AY$662,AY132)</f>
        <v/>
      </c>
      <c r="BC132" s="3">
        <f t="array" ref="BC132">IF(N(AO132)&gt;=MIN_N,AN132,IF(BB132&gt;=MIN_N,MEDIAN(IF($AY$2:$AY$662=AY132,$O$2:$O$662)),IF(BA132&gt;=MIN_N,MEDIAN(IF($AX$2:$AX$662=AX132,$O$2:$O$662)),MEDIAN(IF($AW$2:$AW$662=AW132,$O$2:$O$662)))))</f>
        <v/>
      </c>
      <c r="BD132" s="3">
        <f>IF(N(AO132)&gt;=MIN_N,"mercado "&amp;AP132,IF(BB132&gt;=MIN_N,"modelo+año+km",IF(BA132&gt;=MIN_N,"modelo+año","modelo")))</f>
        <v/>
      </c>
      <c r="BE132" s="4">
        <f>(BC132-O132)/BC132</f>
        <v/>
      </c>
      <c r="BF132" s="3">
        <f>IF(OR(K132="hibrido",K132="glp"),"ECO",IF(K132="electrico","CERO",IF(K132="gasolina",IF(M132&gt;=GAS_C,"C",IF(M132&gt;=GAS_B,"B","A")),IF(K132="diesel",IF(M132&gt;=DIE_C,"C",IF(M132&gt;=DIE_B,"B","A")),""))))</f>
        <v/>
      </c>
      <c r="BG132" s="3">
        <f>IFERROR(VLOOKUP(F132,MOD_TBL,11,0),IFERROR(VLOOKUP(E132,OCU_TBL,2,0),NEUTRO))</f>
        <v/>
      </c>
      <c r="BH132" s="3">
        <f>SUMIFS(MOT_AJUSTE,MOT_MOTOR,G132,MOT_MARCA,E132,MOT_DESDE,"&lt;="&amp;M132,MOT_HASTA,"&gt;="&amp;M132)+SUMIFS(MOT_AJUSTE,MOT_MOTOR,G132,MOT_MARCA,"(todas)",MOT_DESDE,"&lt;="&amp;M132,MOT_HASTA,"&gt;="&amp;M132)</f>
        <v/>
      </c>
      <c r="BI132" s="3">
        <f>SUMIFS(COMB_AJUSTE,COMB_COMB,K132)</f>
        <v/>
      </c>
      <c r="BJ132" s="3">
        <f>COUNTIFS(MOT_MOTOR,G132,MOT_MARCA,E132,MOT_DESDE,"&lt;="&amp;M132,MOT_HASTA,"&gt;="&amp;M132)+COUNTIFS(MOT_MOTOR,G132,MOT_MARCA,"(todas)",MOT_DESDE,"&lt;="&amp;M132,MOT_HASTA,"&gt;="&amp;M132)</f>
        <v/>
      </c>
      <c r="BK132" s="3">
        <f>IF(AND(K132="diesel",BJ132=0),MIN(BG132,NEUTRO),BG132)</f>
        <v/>
      </c>
      <c r="BL132" s="4">
        <f>MAX(0,MIN(100,BK132+BH132+BI132))</f>
        <v/>
      </c>
      <c r="BM132" s="3">
        <f>MAX(0,MIN(100,50+BE132*PRECIO_PEND))</f>
        <v/>
      </c>
      <c r="BN132" s="3">
        <f>MAX(0,100*(1-N132/KM_MAX))</f>
        <v/>
      </c>
      <c r="BO132" s="3">
        <f>IF(AV132&lt;KMA_SOSP,IF(AA132="sí",100,KMA_PEN),IF(AV132&lt;=KMA_IDEAL_MAX,100,MAX(0,100*(KMA_CERO-AV132)/(KMA_CERO-KMA_IDEAL_MAX))))</f>
        <v/>
      </c>
      <c r="BP132" s="3">
        <f>MAX(0,MIN(100,100*(M132-ANIO_MIN)/(ANIO_ACTUAL-ANIO_MIN)))</f>
        <v/>
      </c>
      <c r="BQ132" s="3">
        <f>W_KMT*BN132+W_KMA*BO132+W_EDAD*BP132</f>
        <v/>
      </c>
      <c r="BR132" s="3">
        <f>P_ITV*(V132="sí")+P_LIBRO*(W132="sí")+P_CORREA*(X132="sí")+P_PROP*(Y132=1)+P_GAR*(Z132="sí")+P_FOTOS*MIN(1,N(U132)/FOTOS_OBJ)</f>
        <v/>
      </c>
      <c r="BS132" s="3">
        <f>IFERROR(VLOOKUP(BF132,ETQ_TBL,2,0),NEUTRO)</f>
        <v/>
      </c>
      <c r="BT132" s="3">
        <f>NEUTRO</f>
        <v/>
      </c>
      <c r="BU132" s="3">
        <f>IFERROR(VLOOKUP(L132,SEGURO_TBL,3,0),"")</f>
        <v/>
      </c>
      <c r="BV132" s="3">
        <f>IF(BU132="",NEUTRO,MAX(0,MIN(100,100*(SEG_REF_MAX-BU132)/(SEG_REF_MAX-SEG_REF_MIN))))</f>
        <v/>
      </c>
      <c r="BW132" s="3">
        <f>W_ET*BS132+W_CONS*BT132+W_SEG*BV132</f>
        <v/>
      </c>
      <c r="BX132" s="3">
        <f>IF(N(AB132)&gt;0,AB132,IF(AND(R132="profesional",SG_LEGAL_ON=1),GAR_LEGAL,0))</f>
        <v/>
      </c>
      <c r="BY132" s="3">
        <f>SG_GAR*MIN(1,BX132/SG_GAR_FULL)+SG_AMPL*(AC132="sí")+SG_KMC*(AF132="sí")+SG_REV*(N(AE132)&gt;0)+SG_DEV*MIN(1,N(AG132)/SG_DEV_FULL)+SG_HIST*(W132="sí")</f>
        <v/>
      </c>
      <c r="BZ132" s="3">
        <f>IFERROR(VLOOKUP(L132,CARR_PEN_TBL,2,0),0)</f>
        <v/>
      </c>
      <c r="CA132" s="3">
        <f>W_FIAB*BL132+W_PRECIO*BM132+W_KMEDAD*BQ132+W_ANUNCIO*BR132+W_USO*BW132+W_SEGURIDAD*BY132-BZ132</f>
        <v/>
      </c>
      <c r="CB132" s="4">
        <f>IF(N(I132)&gt;0,I132,IFERROR(ROUND(_xlfn.NUMBERVALUE(LEFT(G132,FIND(" ",G132&amp;" ")-1),".")*1000,0),99999))</f>
        <v/>
      </c>
      <c r="CC132" s="3">
        <f>IF(R132="profesional",0,IF(O132&lt;CUOTA_VALOR_MAX,IF(AU132&gt;ITP_TRAMO_ALTO,SUMIFS(CF_CUOTA,CF_MAS,ITP_TRAMO_ALTO,CF_CCMIN,"&lt;="&amp;CB132,CF_CCMAX,"&gt;="&amp;CB132),IF(AU132&gt;ITP_TRAMO_BAJO,SUMIFS(CF_CUOTA,CF_MAS,ITP_TRAMO_BAJO,CF_CCMIN,"&lt;="&amp;CB132,CF_CCMAX,"&gt;="&amp;CB132),O132*ITP_TIPO)),O132*ITP_TIPO))</f>
        <v/>
      </c>
      <c r="CD132" s="4">
        <f>IF(R132="profesional",N(AK132),0)</f>
        <v/>
      </c>
      <c r="CE132" s="3">
        <f>IF(AND(R132="profesional",ISNUMBER(AK132),AL132="sí"),0,TASA_DGT)</f>
        <v/>
      </c>
      <c r="CF132" s="3">
        <f>INFORME_DGT</f>
        <v/>
      </c>
      <c r="CG132" s="4">
        <f>O132+CD132+CC132+CE132+CF132</f>
        <v/>
      </c>
      <c r="CH132" s="4">
        <f>CG132+N(BU132)</f>
        <v/>
      </c>
      <c r="CI132" s="3">
        <f>IF(CG132&lt;=TOTAL_MAX,"sí",IF(CG132&lt;=TOTAL_MAX+MARGEN_NEG,"negociar","no"))</f>
        <v/>
      </c>
      <c r="CJ132" s="4">
        <f>IF(CI132&lt;&gt;"no",COUNTIFS($CI$2:$CI$662,"&lt;&gt;no",$CA$2:$CA$662,"&gt;"&amp;CA132)+COUNTIFS($CI$2:CI132,"&lt;&gt;no",$CA$2:CA132,CA132),"")</f>
        <v/>
      </c>
    </row>
    <row r="133">
      <c r="A133" s="2" t="inlineStr">
        <is>
          <t>cochesnet:71600409</t>
        </is>
      </c>
      <c r="B133" s="2" t="inlineStr">
        <is>
          <t>cochesnet</t>
        </is>
      </c>
      <c r="C133" s="2" t="inlineStr">
        <is>
          <t>https://www.coches.net/renault-megane-dynamique-15dci-105cv-eco2-3p-diesel-2009-en-valencia-71600409-covo.aspx</t>
        </is>
      </c>
      <c r="D133" s="2" t="inlineStr">
        <is>
          <t>RENAULT Megane Dynamique 1.5dCi eco2</t>
        </is>
      </c>
      <c r="E133" s="2" t="inlineStr">
        <is>
          <t>Renault</t>
        </is>
      </c>
      <c r="F133" s="2" t="inlineStr">
        <is>
          <t>Renault Mégane</t>
        </is>
      </c>
      <c r="G133" s="2" t="inlineStr">
        <is>
          <t>1.5</t>
        </is>
      </c>
      <c r="H133" s="2" t="inlineStr">
        <is>
          <t>Dynamique 1.5dCi 105cv eco2</t>
        </is>
      </c>
      <c r="I133" s="2" t="n"/>
      <c r="J133" s="2" t="n">
        <v>105</v>
      </c>
      <c r="K133" s="2" t="inlineStr">
        <is>
          <t>diesel</t>
        </is>
      </c>
      <c r="L133" s="2" t="inlineStr">
        <is>
          <t>compacto</t>
        </is>
      </c>
      <c r="M133" s="2" t="n">
        <v>2009</v>
      </c>
      <c r="N133" s="2" t="n">
        <v>204000</v>
      </c>
      <c r="O133" s="2" t="n">
        <v>4290</v>
      </c>
      <c r="P133" s="2" t="inlineStr">
        <is>
          <t>manual</t>
        </is>
      </c>
      <c r="Q133" s="2" t="inlineStr">
        <is>
          <t>no</t>
        </is>
      </c>
      <c r="R133" s="2" t="inlineStr">
        <is>
          <t>particular</t>
        </is>
      </c>
      <c r="S133" s="2" t="inlineStr">
        <is>
          <t>Alboraya</t>
        </is>
      </c>
      <c r="T133" s="2" t="inlineStr">
        <is>
          <t>2026-09-25T19:27:14Z</t>
        </is>
      </c>
      <c r="U133" s="2" t="n">
        <v>8</v>
      </c>
      <c r="V133" s="2" t="n"/>
      <c r="W133" s="2" t="n"/>
      <c r="X133" s="2" t="n"/>
      <c r="Y133" s="2" t="n"/>
      <c r="Z133" s="2" t="inlineStr">
        <is>
          <t>no</t>
        </is>
      </c>
      <c r="AA133" s="2" t="n"/>
      <c r="AB133" s="2" t="n"/>
      <c r="AC133" s="2" t="n"/>
      <c r="AD133" s="2" t="n"/>
      <c r="AE133" s="2" t="n"/>
      <c r="AF133" s="2" t="n"/>
      <c r="AG133" s="2" t="n"/>
      <c r="AH133" s="2" t="n">
        <v>4290</v>
      </c>
      <c r="AI133" s="2" t="n"/>
      <c r="AJ133" s="2" t="n"/>
      <c r="AK133" s="2" t="n"/>
      <c r="AL133" s="2" t="n"/>
      <c r="AM133" s="2" t="n">
        <v>4</v>
      </c>
      <c r="AN133" s="2" t="n">
        <v>2350</v>
      </c>
      <c r="AO133" s="2" t="n">
        <v>11</v>
      </c>
      <c r="AP133" s="2" t="inlineStr">
        <is>
          <t>modelo+año+km</t>
        </is>
      </c>
      <c r="AQ133" s="2" t="n"/>
      <c r="AR133" s="2" t="inlineStr">
        <is>
          <t>cuota fija ITP: &gt;12 años, hasta 1.500 cc; diésel: motor sin fuente de fiabilidad (fiabilidad limitada a neutra)</t>
        </is>
      </c>
      <c r="AS133" s="2" t="inlineStr">
        <is>
          <t>Vendo mi Renault Mégane Dynamique 1.5dCi 105cv eco2, un diésel que combina eficiencia, fiabilidad y practicidad. Vehículo en buen estado general, con exterior limpio y bien conservado. El interior presenta asientos en buen estado con tapicería sin daños significativos, mostrando solo los signos naturales de uso habitual.
Este motor diésel de 105 CV es conocido por su excelente relación entre potencia y consumo, ideal si buscas economía en carburante sin renunciar a prestaciones. La etiqueta medioambiental eco2 refleja su compromiso con la eficiencia energética, perfecto para quienes valoran un consumo responsable.
Con tres puertas y cinco plazas, ofrece la versatilidad que necesitas para la ciudad y los viajes más largos. La caja de cambios manual proporciona una conducción directa y controlada, característica que muchos conductores aprecian por su fiabilidad y bajo mantenimiento.
Se trata de un vehículo práctico que ha demostrado su durabilidad a lo largo del tiempo. El Mégane es sinónimo de robustez y sencillez mecánica, lo que significa menores costes de mantenimiento y reparación en el futuro.
Disponible en gris plata, color que siempre mantiene un aspecto limpio y distinguido.
Si tienes preguntas sobre aspectos específicos del vehículo o deseas conocer más detalles, no dudes en contactarme a través del chat. Estoy disponible para resolver cualquier duda que tengas.
Contacta hoy mismo y descubre por qué este Mégane puede ser exactamente lo que buscas.</t>
        </is>
      </c>
      <c r="AT133" s="2" t="inlineStr">
        <is>
          <t>https://www.coches.net/renault-megane-dynamique-15dci-105cv-eco2-3p-diesel-2009-en-valencia-71600409-covo.aspx (window.__INITIAL_PROPS__.ad) /home/user/Alopecia/buscador-coches/raw/cochesnet/8f4e11c0dffc4e29.json</t>
        </is>
      </c>
      <c r="AU133" s="3">
        <f>MAX(ANIO_ACTUAL-M133,0)</f>
        <v/>
      </c>
      <c r="AV133" s="4">
        <f>N133/MAX(AU133,0.5)</f>
        <v/>
      </c>
      <c r="AW133" s="4">
        <f>F133</f>
        <v/>
      </c>
      <c r="AX133" s="3">
        <f>AW133&amp;"|"&amp;INT(M133/SEG_ANIO)*SEG_ANIO</f>
        <v/>
      </c>
      <c r="AY133" s="3">
        <f>AX133&amp;"|"&amp;INT(N133/SEG_KM)*SEG_KM</f>
        <v/>
      </c>
      <c r="AZ133" s="4">
        <f>COUNTIF($AW$2:$AW$662,AW133)</f>
        <v/>
      </c>
      <c r="BA133" s="4">
        <f>COUNTIF($AX$2:$AX$662,AX133)</f>
        <v/>
      </c>
      <c r="BB133" s="4">
        <f>COUNTIF($AY$2:$AY$662,AY133)</f>
        <v/>
      </c>
      <c r="BC133" s="3">
        <f t="array" ref="BC133">IF(N(AO133)&gt;=MIN_N,AN133,IF(BB133&gt;=MIN_N,MEDIAN(IF($AY$2:$AY$662=AY133,$O$2:$O$662)),IF(BA133&gt;=MIN_N,MEDIAN(IF($AX$2:$AX$662=AX133,$O$2:$O$662)),MEDIAN(IF($AW$2:$AW$662=AW133,$O$2:$O$662)))))</f>
        <v/>
      </c>
      <c r="BD133" s="3">
        <f>IF(N(AO133)&gt;=MIN_N,"mercado "&amp;AP133,IF(BB133&gt;=MIN_N,"modelo+año+km",IF(BA133&gt;=MIN_N,"modelo+año","modelo")))</f>
        <v/>
      </c>
      <c r="BE133" s="4">
        <f>(BC133-O133)/BC133</f>
        <v/>
      </c>
      <c r="BF133" s="3">
        <f>IF(OR(K133="hibrido",K133="glp"),"ECO",IF(K133="electrico","CERO",IF(K133="gasolina",IF(M133&gt;=GAS_C,"C",IF(M133&gt;=GAS_B,"B","A")),IF(K133="diesel",IF(M133&gt;=DIE_C,"C",IF(M133&gt;=DIE_B,"B","A")),""))))</f>
        <v/>
      </c>
      <c r="BG133" s="3">
        <f>IFERROR(VLOOKUP(F133,MOD_TBL,11,0),IFERROR(VLOOKUP(E133,OCU_TBL,2,0),NEUTRO))</f>
        <v/>
      </c>
      <c r="BH133" s="3">
        <f>SUMIFS(MOT_AJUSTE,MOT_MOTOR,G133,MOT_MARCA,E133,MOT_DESDE,"&lt;="&amp;M133,MOT_HASTA,"&gt;="&amp;M133)+SUMIFS(MOT_AJUSTE,MOT_MOTOR,G133,MOT_MARCA,"(todas)",MOT_DESDE,"&lt;="&amp;M133,MOT_HASTA,"&gt;="&amp;M133)</f>
        <v/>
      </c>
      <c r="BI133" s="3">
        <f>SUMIFS(COMB_AJUSTE,COMB_COMB,K133)</f>
        <v/>
      </c>
      <c r="BJ133" s="3">
        <f>COUNTIFS(MOT_MOTOR,G133,MOT_MARCA,E133,MOT_DESDE,"&lt;="&amp;M133,MOT_HASTA,"&gt;="&amp;M133)+COUNTIFS(MOT_MOTOR,G133,MOT_MARCA,"(todas)",MOT_DESDE,"&lt;="&amp;M133,MOT_HASTA,"&gt;="&amp;M133)</f>
        <v/>
      </c>
      <c r="BK133" s="3">
        <f>IF(AND(K133="diesel",BJ133=0),MIN(BG133,NEUTRO),BG133)</f>
        <v/>
      </c>
      <c r="BL133" s="4">
        <f>MAX(0,MIN(100,BK133+BH133+BI133))</f>
        <v/>
      </c>
      <c r="BM133" s="3">
        <f>MAX(0,MIN(100,50+BE133*PRECIO_PEND))</f>
        <v/>
      </c>
      <c r="BN133" s="3">
        <f>MAX(0,100*(1-N133/KM_MAX))</f>
        <v/>
      </c>
      <c r="BO133" s="3">
        <f>IF(AV133&lt;KMA_SOSP,IF(AA133="sí",100,KMA_PEN),IF(AV133&lt;=KMA_IDEAL_MAX,100,MAX(0,100*(KMA_CERO-AV133)/(KMA_CERO-KMA_IDEAL_MAX))))</f>
        <v/>
      </c>
      <c r="BP133" s="3">
        <f>MAX(0,MIN(100,100*(M133-ANIO_MIN)/(ANIO_ACTUAL-ANIO_MIN)))</f>
        <v/>
      </c>
      <c r="BQ133" s="3">
        <f>W_KMT*BN133+W_KMA*BO133+W_EDAD*BP133</f>
        <v/>
      </c>
      <c r="BR133" s="3">
        <f>P_ITV*(V133="sí")+P_LIBRO*(W133="sí")+P_CORREA*(X133="sí")+P_PROP*(Y133=1)+P_GAR*(Z133="sí")+P_FOTOS*MIN(1,N(U133)/FOTOS_OBJ)</f>
        <v/>
      </c>
      <c r="BS133" s="3">
        <f>IFERROR(VLOOKUP(BF133,ETQ_TBL,2,0),NEUTRO)</f>
        <v/>
      </c>
      <c r="BT133" s="3">
        <f>NEUTRO</f>
        <v/>
      </c>
      <c r="BU133" s="3">
        <f>IFERROR(VLOOKUP(L133,SEGURO_TBL,3,0),"")</f>
        <v/>
      </c>
      <c r="BV133" s="3">
        <f>IF(BU133="",NEUTRO,MAX(0,MIN(100,100*(SEG_REF_MAX-BU133)/(SEG_REF_MAX-SEG_REF_MIN))))</f>
        <v/>
      </c>
      <c r="BW133" s="3">
        <f>W_ET*BS133+W_CONS*BT133+W_SEG*BV133</f>
        <v/>
      </c>
      <c r="BX133" s="3">
        <f>IF(N(AB133)&gt;0,AB133,IF(AND(R133="profesional",SG_LEGAL_ON=1),GAR_LEGAL,0))</f>
        <v/>
      </c>
      <c r="BY133" s="3">
        <f>SG_GAR*MIN(1,BX133/SG_GAR_FULL)+SG_AMPL*(AC133="sí")+SG_KMC*(AF133="sí")+SG_REV*(N(AE133)&gt;0)+SG_DEV*MIN(1,N(AG133)/SG_DEV_FULL)+SG_HIST*(W133="sí")</f>
        <v/>
      </c>
      <c r="BZ133" s="3">
        <f>IFERROR(VLOOKUP(L133,CARR_PEN_TBL,2,0),0)</f>
        <v/>
      </c>
      <c r="CA133" s="3">
        <f>W_FIAB*BL133+W_PRECIO*BM133+W_KMEDAD*BQ133+W_ANUNCIO*BR133+W_USO*BW133+W_SEGURIDAD*BY133-BZ133</f>
        <v/>
      </c>
      <c r="CB133" s="4">
        <f>IF(N(I133)&gt;0,I133,IFERROR(ROUND(_xlfn.NUMBERVALUE(LEFT(G133,FIND(" ",G133&amp;" ")-1),".")*1000,0),99999))</f>
        <v/>
      </c>
      <c r="CC133" s="3">
        <f>IF(R133="profesional",0,IF(O133&lt;CUOTA_VALOR_MAX,IF(AU133&gt;ITP_TRAMO_ALTO,SUMIFS(CF_CUOTA,CF_MAS,ITP_TRAMO_ALTO,CF_CCMIN,"&lt;="&amp;CB133,CF_CCMAX,"&gt;="&amp;CB133),IF(AU133&gt;ITP_TRAMO_BAJO,SUMIFS(CF_CUOTA,CF_MAS,ITP_TRAMO_BAJO,CF_CCMIN,"&lt;="&amp;CB133,CF_CCMAX,"&gt;="&amp;CB133),O133*ITP_TIPO)),O133*ITP_TIPO))</f>
        <v/>
      </c>
      <c r="CD133" s="4">
        <f>IF(R133="profesional",N(AK133),0)</f>
        <v/>
      </c>
      <c r="CE133" s="3">
        <f>IF(AND(R133="profesional",ISNUMBER(AK133),AL133="sí"),0,TASA_DGT)</f>
        <v/>
      </c>
      <c r="CF133" s="3">
        <f>INFORME_DGT</f>
        <v/>
      </c>
      <c r="CG133" s="4">
        <f>O133+CD133+CC133+CE133+CF133</f>
        <v/>
      </c>
      <c r="CH133" s="4">
        <f>CG133+N(BU133)</f>
        <v/>
      </c>
      <c r="CI133" s="3">
        <f>IF(CG133&lt;=TOTAL_MAX,"sí",IF(CG133&lt;=TOTAL_MAX+MARGEN_NEG,"negociar","no"))</f>
        <v/>
      </c>
      <c r="CJ133" s="4">
        <f>IF(CI133&lt;&gt;"no",COUNTIFS($CI$2:$CI$662,"&lt;&gt;no",$CA$2:$CA$662,"&gt;"&amp;CA133)+COUNTIFS($CI$2:CI133,"&lt;&gt;no",$CA$2:CA133,CA133),"")</f>
        <v/>
      </c>
    </row>
    <row r="134">
      <c r="A134" s="2" t="inlineStr">
        <is>
          <t>cochesnet:71597988</t>
        </is>
      </c>
      <c r="B134" s="2" t="inlineStr">
        <is>
          <t>cochesnet</t>
        </is>
      </c>
      <c r="C134" s="2" t="inlineStr">
        <is>
          <t>https://www.coches.net/renault-megane-dynamique-dci-110-eco2-3p-diesel-2009-en-valencia-71597988-covo.aspx</t>
        </is>
      </c>
      <c r="D134" s="2" t="inlineStr">
        <is>
          <t>RENAULT Megane Dynamique dCi 110 eco2</t>
        </is>
      </c>
      <c r="E134" s="2" t="inlineStr">
        <is>
          <t>Renault</t>
        </is>
      </c>
      <c r="F134" s="2" t="inlineStr">
        <is>
          <t>Renault Mégane</t>
        </is>
      </c>
      <c r="G134" s="2" t="inlineStr">
        <is>
          <t>? dCi</t>
        </is>
      </c>
      <c r="H134" s="2" t="inlineStr">
        <is>
          <t>Dynamique dCi 110 eco2</t>
        </is>
      </c>
      <c r="I134" s="2" t="n"/>
      <c r="J134" s="2" t="n"/>
      <c r="K134" s="2" t="inlineStr">
        <is>
          <t>diesel</t>
        </is>
      </c>
      <c r="L134" s="2" t="inlineStr">
        <is>
          <t>compacto</t>
        </is>
      </c>
      <c r="M134" s="2" t="n">
        <v>2009</v>
      </c>
      <c r="N134" s="2" t="n">
        <v>199000</v>
      </c>
      <c r="O134" s="2" t="n">
        <v>4000</v>
      </c>
      <c r="P134" s="2" t="inlineStr">
        <is>
          <t>manual</t>
        </is>
      </c>
      <c r="Q134" s="2" t="inlineStr">
        <is>
          <t>no</t>
        </is>
      </c>
      <c r="R134" s="2" t="inlineStr">
        <is>
          <t>particular</t>
        </is>
      </c>
      <c r="S134" s="2" t="inlineStr">
        <is>
          <t>Sueca</t>
        </is>
      </c>
      <c r="T134" s="2" t="inlineStr">
        <is>
          <t>2026-09-25T13:48:19Z</t>
        </is>
      </c>
      <c r="U134" s="2" t="n">
        <v>7</v>
      </c>
      <c r="V134" s="2" t="n"/>
      <c r="W134" s="2" t="n"/>
      <c r="X134" s="2" t="n"/>
      <c r="Y134" s="2" t="n"/>
      <c r="Z134" s="2" t="inlineStr">
        <is>
          <t>no</t>
        </is>
      </c>
      <c r="AA134" s="2" t="n"/>
      <c r="AB134" s="2" t="n"/>
      <c r="AC134" s="2" t="n"/>
      <c r="AD134" s="2" t="n"/>
      <c r="AE134" s="2" t="n"/>
      <c r="AF134" s="2" t="n"/>
      <c r="AG134" s="2" t="n"/>
      <c r="AH134" s="2" t="n">
        <v>4000</v>
      </c>
      <c r="AI134" s="2" t="n"/>
      <c r="AJ134" s="2" t="n"/>
      <c r="AK134" s="2" t="n"/>
      <c r="AL134" s="2" t="n"/>
      <c r="AM134" s="2" t="n">
        <v>30.3</v>
      </c>
      <c r="AN134" s="2" t="n">
        <v>3850</v>
      </c>
      <c r="AO134" s="2" t="n">
        <v>6</v>
      </c>
      <c r="AP134" s="2" t="inlineStr">
        <is>
          <t>modelo+año+km</t>
        </is>
      </c>
      <c r="AQ134" s="2" t="n"/>
      <c r="AR134" s="2" t="inlineStr">
        <is>
          <t>cilindrada desconocida: se aplica el tramo de cuota fija más alto; cuota fija ITP: &gt;12 años, más de 2.000 cc; diésel: motor sin fuente de fiabilidad (fiabilidad limitada a neutra)</t>
        </is>
      </c>
      <c r="AS134" s="2" t="inlineStr"/>
      <c r="AT134" s="2" t="inlineStr">
        <is>
          <t>https://www.coches.net/renault-megane-dynamique-dci-110-eco2-3p-diesel-2009-en-valencia-71597988-covo.aspx (window.__INITIAL_PROPS__.ad) /home/user/Alopecia/buscador-coches/raw/cochesnet/850c471972782053.json</t>
        </is>
      </c>
      <c r="AU134" s="3">
        <f>MAX(ANIO_ACTUAL-M134,0)</f>
        <v/>
      </c>
      <c r="AV134" s="4">
        <f>N134/MAX(AU134,0.5)</f>
        <v/>
      </c>
      <c r="AW134" s="4">
        <f>F134</f>
        <v/>
      </c>
      <c r="AX134" s="3">
        <f>AW134&amp;"|"&amp;INT(M134/SEG_ANIO)*SEG_ANIO</f>
        <v/>
      </c>
      <c r="AY134" s="3">
        <f>AX134&amp;"|"&amp;INT(N134/SEG_KM)*SEG_KM</f>
        <v/>
      </c>
      <c r="AZ134" s="4">
        <f>COUNTIF($AW$2:$AW$662,AW134)</f>
        <v/>
      </c>
      <c r="BA134" s="4">
        <f>COUNTIF($AX$2:$AX$662,AX134)</f>
        <v/>
      </c>
      <c r="BB134" s="4">
        <f>COUNTIF($AY$2:$AY$662,AY134)</f>
        <v/>
      </c>
      <c r="BC134" s="3">
        <f t="array" ref="BC134">IF(N(AO134)&gt;=MIN_N,AN134,IF(BB134&gt;=MIN_N,MEDIAN(IF($AY$2:$AY$662=AY134,$O$2:$O$662)),IF(BA134&gt;=MIN_N,MEDIAN(IF($AX$2:$AX$662=AX134,$O$2:$O$662)),MEDIAN(IF($AW$2:$AW$662=AW134,$O$2:$O$662)))))</f>
        <v/>
      </c>
      <c r="BD134" s="3">
        <f>IF(N(AO134)&gt;=MIN_N,"mercado "&amp;AP134,IF(BB134&gt;=MIN_N,"modelo+año+km",IF(BA134&gt;=MIN_N,"modelo+año","modelo")))</f>
        <v/>
      </c>
      <c r="BE134" s="4">
        <f>(BC134-O134)/BC134</f>
        <v/>
      </c>
      <c r="BF134" s="3">
        <f>IF(OR(K134="hibrido",K134="glp"),"ECO",IF(K134="electrico","CERO",IF(K134="gasolina",IF(M134&gt;=GAS_C,"C",IF(M134&gt;=GAS_B,"B","A")),IF(K134="diesel",IF(M134&gt;=DIE_C,"C",IF(M134&gt;=DIE_B,"B","A")),""))))</f>
        <v/>
      </c>
      <c r="BG134" s="3">
        <f>IFERROR(VLOOKUP(F134,MOD_TBL,11,0),IFERROR(VLOOKUP(E134,OCU_TBL,2,0),NEUTRO))</f>
        <v/>
      </c>
      <c r="BH134" s="3">
        <f>SUMIFS(MOT_AJUSTE,MOT_MOTOR,G134,MOT_MARCA,E134,MOT_DESDE,"&lt;="&amp;M134,MOT_HASTA,"&gt;="&amp;M134)+SUMIFS(MOT_AJUSTE,MOT_MOTOR,G134,MOT_MARCA,"(todas)",MOT_DESDE,"&lt;="&amp;M134,MOT_HASTA,"&gt;="&amp;M134)</f>
        <v/>
      </c>
      <c r="BI134" s="3">
        <f>SUMIFS(COMB_AJUSTE,COMB_COMB,K134)</f>
        <v/>
      </c>
      <c r="BJ134" s="3">
        <f>COUNTIFS(MOT_MOTOR,G134,MOT_MARCA,E134,MOT_DESDE,"&lt;="&amp;M134,MOT_HASTA,"&gt;="&amp;M134)+COUNTIFS(MOT_MOTOR,G134,MOT_MARCA,"(todas)",MOT_DESDE,"&lt;="&amp;M134,MOT_HASTA,"&gt;="&amp;M134)</f>
        <v/>
      </c>
      <c r="BK134" s="3">
        <f>IF(AND(K134="diesel",BJ134=0),MIN(BG134,NEUTRO),BG134)</f>
        <v/>
      </c>
      <c r="BL134" s="4">
        <f>MAX(0,MIN(100,BK134+BH134+BI134))</f>
        <v/>
      </c>
      <c r="BM134" s="3">
        <f>MAX(0,MIN(100,50+BE134*PRECIO_PEND))</f>
        <v/>
      </c>
      <c r="BN134" s="3">
        <f>MAX(0,100*(1-N134/KM_MAX))</f>
        <v/>
      </c>
      <c r="BO134" s="3">
        <f>IF(AV134&lt;KMA_SOSP,IF(AA134="sí",100,KMA_PEN),IF(AV134&lt;=KMA_IDEAL_MAX,100,MAX(0,100*(KMA_CERO-AV134)/(KMA_CERO-KMA_IDEAL_MAX))))</f>
        <v/>
      </c>
      <c r="BP134" s="3">
        <f>MAX(0,MIN(100,100*(M134-ANIO_MIN)/(ANIO_ACTUAL-ANIO_MIN)))</f>
        <v/>
      </c>
      <c r="BQ134" s="3">
        <f>W_KMT*BN134+W_KMA*BO134+W_EDAD*BP134</f>
        <v/>
      </c>
      <c r="BR134" s="3">
        <f>P_ITV*(V134="sí")+P_LIBRO*(W134="sí")+P_CORREA*(X134="sí")+P_PROP*(Y134=1)+P_GAR*(Z134="sí")+P_FOTOS*MIN(1,N(U134)/FOTOS_OBJ)</f>
        <v/>
      </c>
      <c r="BS134" s="3">
        <f>IFERROR(VLOOKUP(BF134,ETQ_TBL,2,0),NEUTRO)</f>
        <v/>
      </c>
      <c r="BT134" s="3">
        <f>NEUTRO</f>
        <v/>
      </c>
      <c r="BU134" s="3">
        <f>IFERROR(VLOOKUP(L134,SEGURO_TBL,3,0),"")</f>
        <v/>
      </c>
      <c r="BV134" s="3">
        <f>IF(BU134="",NEUTRO,MAX(0,MIN(100,100*(SEG_REF_MAX-BU134)/(SEG_REF_MAX-SEG_REF_MIN))))</f>
        <v/>
      </c>
      <c r="BW134" s="3">
        <f>W_ET*BS134+W_CONS*BT134+W_SEG*BV134</f>
        <v/>
      </c>
      <c r="BX134" s="3">
        <f>IF(N(AB134)&gt;0,AB134,IF(AND(R134="profesional",SG_LEGAL_ON=1),GAR_LEGAL,0))</f>
        <v/>
      </c>
      <c r="BY134" s="3">
        <f>SG_GAR*MIN(1,BX134/SG_GAR_FULL)+SG_AMPL*(AC134="sí")+SG_KMC*(AF134="sí")+SG_REV*(N(AE134)&gt;0)+SG_DEV*MIN(1,N(AG134)/SG_DEV_FULL)+SG_HIST*(W134="sí")</f>
        <v/>
      </c>
      <c r="BZ134" s="3">
        <f>IFERROR(VLOOKUP(L134,CARR_PEN_TBL,2,0),0)</f>
        <v/>
      </c>
      <c r="CA134" s="3">
        <f>W_FIAB*BL134+W_PRECIO*BM134+W_KMEDAD*BQ134+W_ANUNCIO*BR134+W_USO*BW134+W_SEGURIDAD*BY134-BZ134</f>
        <v/>
      </c>
      <c r="CB134" s="4">
        <f>IF(N(I134)&gt;0,I134,IFERROR(ROUND(_xlfn.NUMBERVALUE(LEFT(G134,FIND(" ",G134&amp;" ")-1),".")*1000,0),99999))</f>
        <v/>
      </c>
      <c r="CC134" s="3">
        <f>IF(R134="profesional",0,IF(O134&lt;CUOTA_VALOR_MAX,IF(AU134&gt;ITP_TRAMO_ALTO,SUMIFS(CF_CUOTA,CF_MAS,ITP_TRAMO_ALTO,CF_CCMIN,"&lt;="&amp;CB134,CF_CCMAX,"&gt;="&amp;CB134),IF(AU134&gt;ITP_TRAMO_BAJO,SUMIFS(CF_CUOTA,CF_MAS,ITP_TRAMO_BAJO,CF_CCMIN,"&lt;="&amp;CB134,CF_CCMAX,"&gt;="&amp;CB134),O134*ITP_TIPO)),O134*ITP_TIPO))</f>
        <v/>
      </c>
      <c r="CD134" s="4">
        <f>IF(R134="profesional",N(AK134),0)</f>
        <v/>
      </c>
      <c r="CE134" s="3">
        <f>IF(AND(R134="profesional",ISNUMBER(AK134),AL134="sí"),0,TASA_DGT)</f>
        <v/>
      </c>
      <c r="CF134" s="3">
        <f>INFORME_DGT</f>
        <v/>
      </c>
      <c r="CG134" s="4">
        <f>O134+CD134+CC134+CE134+CF134</f>
        <v/>
      </c>
      <c r="CH134" s="4">
        <f>CG134+N(BU134)</f>
        <v/>
      </c>
      <c r="CI134" s="3">
        <f>IF(CG134&lt;=TOTAL_MAX,"sí",IF(CG134&lt;=TOTAL_MAX+MARGEN_NEG,"negociar","no"))</f>
        <v/>
      </c>
      <c r="CJ134" s="4">
        <f>IF(CI134&lt;&gt;"no",COUNTIFS($CI$2:$CI$662,"&lt;&gt;no",$CA$2:$CA$662,"&gt;"&amp;CA134)+COUNTIFS($CI$2:CI134,"&lt;&gt;no",$CA$2:CA134,CA134),"")</f>
        <v/>
      </c>
    </row>
    <row r="135">
      <c r="A135" s="2" t="inlineStr">
        <is>
          <t>cochesnet:71375913</t>
        </is>
      </c>
      <c r="B135" s="2" t="inlineStr">
        <is>
          <t>cochesnet</t>
        </is>
      </c>
      <c r="C135" s="2" t="inlineStr">
        <is>
          <t>https://www.coches.net/renault-megane-dynamique-16-16v-110cv-5p-gasolina-2008-en-valencia-71375913-covo.aspx</t>
        </is>
      </c>
      <c r="D135" s="2" t="inlineStr">
        <is>
          <t>RENAULT Megane Dynamique 1.6 16v</t>
        </is>
      </c>
      <c r="E135" s="2" t="inlineStr">
        <is>
          <t>Renault</t>
        </is>
      </c>
      <c r="F135" s="2" t="inlineStr">
        <is>
          <t>Renault Mégane</t>
        </is>
      </c>
      <c r="G135" s="2" t="inlineStr">
        <is>
          <t>1.6</t>
        </is>
      </c>
      <c r="H135" s="2" t="inlineStr">
        <is>
          <t>Dynamique 1.6 16v 110cv</t>
        </is>
      </c>
      <c r="I135" s="2" t="n"/>
      <c r="J135" s="2" t="n">
        <v>110</v>
      </c>
      <c r="K135" s="2" t="inlineStr">
        <is>
          <t>gasolina</t>
        </is>
      </c>
      <c r="L135" s="2" t="inlineStr">
        <is>
          <t>compacto</t>
        </is>
      </c>
      <c r="M135" s="2" t="n">
        <v>2008</v>
      </c>
      <c r="N135" s="2" t="n">
        <v>94500</v>
      </c>
      <c r="O135" s="2" t="n">
        <v>4400</v>
      </c>
      <c r="P135" s="2" t="inlineStr">
        <is>
          <t>manual</t>
        </is>
      </c>
      <c r="Q135" s="2" t="inlineStr">
        <is>
          <t>no</t>
        </is>
      </c>
      <c r="R135" s="2" t="inlineStr">
        <is>
          <t>particular</t>
        </is>
      </c>
      <c r="S135" s="2" t="inlineStr">
        <is>
          <t>Llíria</t>
        </is>
      </c>
      <c r="T135" s="2" t="inlineStr">
        <is>
          <t>2026-08-27T14:08:50Z</t>
        </is>
      </c>
      <c r="U135" s="2" t="n">
        <v>7</v>
      </c>
      <c r="V135" s="2" t="n"/>
      <c r="W135" s="2" t="n"/>
      <c r="X135" s="2" t="n"/>
      <c r="Y135" s="2" t="n"/>
      <c r="Z135" s="2" t="inlineStr">
        <is>
          <t>no</t>
        </is>
      </c>
      <c r="AA135" s="2" t="n"/>
      <c r="AB135" s="2" t="n"/>
      <c r="AC135" s="2" t="n"/>
      <c r="AD135" s="2" t="n"/>
      <c r="AE135" s="2" t="n"/>
      <c r="AF135" s="2" t="n"/>
      <c r="AG135" s="2" t="n"/>
      <c r="AH135" s="2" t="n">
        <v>4400</v>
      </c>
      <c r="AI135" s="2" t="n"/>
      <c r="AJ135" s="2" t="n"/>
      <c r="AK135" s="2" t="n"/>
      <c r="AL135" s="2" t="n"/>
      <c r="AM135" s="2" t="n">
        <v>26.4</v>
      </c>
      <c r="AN135" s="2" t="n">
        <v>5200</v>
      </c>
      <c r="AO135" s="2" t="n">
        <v>4</v>
      </c>
      <c r="AP135" s="2" t="inlineStr">
        <is>
          <t>modelo+año+km</t>
        </is>
      </c>
      <c r="AQ135" s="2" t="n"/>
      <c r="AR135" s="2" t="inlineStr">
        <is>
          <t>cuota fija ITP: &gt;12 años, 1.501-2.000 cc</t>
        </is>
      </c>
      <c r="AS135" s="2" t="inlineStr">
        <is>
          <t>Vendo mi Renault Mégane Dynamique, un berlina práctico y fiable que ha sido mi compañero de viajes durante estos años. Se trata de un vehículo perfecto para quien busca un coche versátil, económico y con un motor que responde bien en cualquier situación.
Este Mégane cuenta con un motor de 1.6 litros y 110 caballos de potencia que ofrece un excelente equilibrio entre rendimiento y consumo eficiente. Ideal tanto para desplazamientos urbanos como para carreteras, te proporciona la comodidad y seguridad que esperas en un berlina de cinco puertas y cinco plazas. Además, cuenta con etiqueta medioambiental B, lo que facilita tu circulación en cualquier zona.
El cambio manual garantiza una conducción directa y controlada, mientras que el estado general del vehículo te permite disfrutar de él sin preocupaciones. Con este precio de 4.900 euros, accedes a un transporte funcional y duradero que cumple perfectamente su cometido.
Si tienes dudas sobre aspectos específicos del vehículo o deseas conocer más detalles sobre su historial y estado, no dudes en contactarme a través del chat. Estaré encantada de resolver todas tus preguntas.
Contacta hoy mismo y comprueba por qué este Mégane es una gran oportunidad.</t>
        </is>
      </c>
      <c r="AT135" s="2" t="inlineStr">
        <is>
          <t>https://www.coches.net/renault-megane-dynamique-16-16v-110cv-5p-gasolina-2008-en-valencia-71375913-covo.aspx (window.__INITIAL_PROPS__.ad) /home/user/Alopecia/buscador-coches/raw/cochesnet/59f7f0221cac3ed6.json</t>
        </is>
      </c>
      <c r="AU135" s="3">
        <f>MAX(ANIO_ACTUAL-M135,0)</f>
        <v/>
      </c>
      <c r="AV135" s="4">
        <f>N135/MAX(AU135,0.5)</f>
        <v/>
      </c>
      <c r="AW135" s="4">
        <f>F135</f>
        <v/>
      </c>
      <c r="AX135" s="3">
        <f>AW135&amp;"|"&amp;INT(M135/SEG_ANIO)*SEG_ANIO</f>
        <v/>
      </c>
      <c r="AY135" s="3">
        <f>AX135&amp;"|"&amp;INT(N135/SEG_KM)*SEG_KM</f>
        <v/>
      </c>
      <c r="AZ135" s="4">
        <f>COUNTIF($AW$2:$AW$662,AW135)</f>
        <v/>
      </c>
      <c r="BA135" s="4">
        <f>COUNTIF($AX$2:$AX$662,AX135)</f>
        <v/>
      </c>
      <c r="BB135" s="4">
        <f>COUNTIF($AY$2:$AY$662,AY135)</f>
        <v/>
      </c>
      <c r="BC135" s="3">
        <f t="array" ref="BC135">IF(N(AO135)&gt;=MIN_N,AN135,IF(BB135&gt;=MIN_N,MEDIAN(IF($AY$2:$AY$662=AY135,$O$2:$O$662)),IF(BA135&gt;=MIN_N,MEDIAN(IF($AX$2:$AX$662=AX135,$O$2:$O$662)),MEDIAN(IF($AW$2:$AW$662=AW135,$O$2:$O$662)))))</f>
        <v/>
      </c>
      <c r="BD135" s="3">
        <f>IF(N(AO135)&gt;=MIN_N,"mercado "&amp;AP135,IF(BB135&gt;=MIN_N,"modelo+año+km",IF(BA135&gt;=MIN_N,"modelo+año","modelo")))</f>
        <v/>
      </c>
      <c r="BE135" s="4">
        <f>(BC135-O135)/BC135</f>
        <v/>
      </c>
      <c r="BF135" s="3">
        <f>IF(OR(K135="hibrido",K135="glp"),"ECO",IF(K135="electrico","CERO",IF(K135="gasolina",IF(M135&gt;=GAS_C,"C",IF(M135&gt;=GAS_B,"B","A")),IF(K135="diesel",IF(M135&gt;=DIE_C,"C",IF(M135&gt;=DIE_B,"B","A")),""))))</f>
        <v/>
      </c>
      <c r="BG135" s="3">
        <f>IFERROR(VLOOKUP(F135,MOD_TBL,11,0),IFERROR(VLOOKUP(E135,OCU_TBL,2,0),NEUTRO))</f>
        <v/>
      </c>
      <c r="BH135" s="3">
        <f>SUMIFS(MOT_AJUSTE,MOT_MOTOR,G135,MOT_MARCA,E135,MOT_DESDE,"&lt;="&amp;M135,MOT_HASTA,"&gt;="&amp;M135)+SUMIFS(MOT_AJUSTE,MOT_MOTOR,G135,MOT_MARCA,"(todas)",MOT_DESDE,"&lt;="&amp;M135,MOT_HASTA,"&gt;="&amp;M135)</f>
        <v/>
      </c>
      <c r="BI135" s="3">
        <f>SUMIFS(COMB_AJUSTE,COMB_COMB,K135)</f>
        <v/>
      </c>
      <c r="BJ135" s="3">
        <f>COUNTIFS(MOT_MOTOR,G135,MOT_MARCA,E135,MOT_DESDE,"&lt;="&amp;M135,MOT_HASTA,"&gt;="&amp;M135)+COUNTIFS(MOT_MOTOR,G135,MOT_MARCA,"(todas)",MOT_DESDE,"&lt;="&amp;M135,MOT_HASTA,"&gt;="&amp;M135)</f>
        <v/>
      </c>
      <c r="BK135" s="3">
        <f>IF(AND(K135="diesel",BJ135=0),MIN(BG135,NEUTRO),BG135)</f>
        <v/>
      </c>
      <c r="BL135" s="4">
        <f>MAX(0,MIN(100,BK135+BH135+BI135))</f>
        <v/>
      </c>
      <c r="BM135" s="3">
        <f>MAX(0,MIN(100,50+BE135*PRECIO_PEND))</f>
        <v/>
      </c>
      <c r="BN135" s="3">
        <f>MAX(0,100*(1-N135/KM_MAX))</f>
        <v/>
      </c>
      <c r="BO135" s="3">
        <f>IF(AV135&lt;KMA_SOSP,IF(AA135="sí",100,KMA_PEN),IF(AV135&lt;=KMA_IDEAL_MAX,100,MAX(0,100*(KMA_CERO-AV135)/(KMA_CERO-KMA_IDEAL_MAX))))</f>
        <v/>
      </c>
      <c r="BP135" s="3">
        <f>MAX(0,MIN(100,100*(M135-ANIO_MIN)/(ANIO_ACTUAL-ANIO_MIN)))</f>
        <v/>
      </c>
      <c r="BQ135" s="3">
        <f>W_KMT*BN135+W_KMA*BO135+W_EDAD*BP135</f>
        <v/>
      </c>
      <c r="BR135" s="3">
        <f>P_ITV*(V135="sí")+P_LIBRO*(W135="sí")+P_CORREA*(X135="sí")+P_PROP*(Y135=1)+P_GAR*(Z135="sí")+P_FOTOS*MIN(1,N(U135)/FOTOS_OBJ)</f>
        <v/>
      </c>
      <c r="BS135" s="3">
        <f>IFERROR(VLOOKUP(BF135,ETQ_TBL,2,0),NEUTRO)</f>
        <v/>
      </c>
      <c r="BT135" s="3">
        <f>NEUTRO</f>
        <v/>
      </c>
      <c r="BU135" s="3">
        <f>IFERROR(VLOOKUP(L135,SEGURO_TBL,3,0),"")</f>
        <v/>
      </c>
      <c r="BV135" s="3">
        <f>IF(BU135="",NEUTRO,MAX(0,MIN(100,100*(SEG_REF_MAX-BU135)/(SEG_REF_MAX-SEG_REF_MIN))))</f>
        <v/>
      </c>
      <c r="BW135" s="3">
        <f>W_ET*BS135+W_CONS*BT135+W_SEG*BV135</f>
        <v/>
      </c>
      <c r="BX135" s="3">
        <f>IF(N(AB135)&gt;0,AB135,IF(AND(R135="profesional",SG_LEGAL_ON=1),GAR_LEGAL,0))</f>
        <v/>
      </c>
      <c r="BY135" s="3">
        <f>SG_GAR*MIN(1,BX135/SG_GAR_FULL)+SG_AMPL*(AC135="sí")+SG_KMC*(AF135="sí")+SG_REV*(N(AE135)&gt;0)+SG_DEV*MIN(1,N(AG135)/SG_DEV_FULL)+SG_HIST*(W135="sí")</f>
        <v/>
      </c>
      <c r="BZ135" s="3">
        <f>IFERROR(VLOOKUP(L135,CARR_PEN_TBL,2,0),0)</f>
        <v/>
      </c>
      <c r="CA135" s="3">
        <f>W_FIAB*BL135+W_PRECIO*BM135+W_KMEDAD*BQ135+W_ANUNCIO*BR135+W_USO*BW135+W_SEGURIDAD*BY135-BZ135</f>
        <v/>
      </c>
      <c r="CB135" s="4">
        <f>IF(N(I135)&gt;0,I135,IFERROR(ROUND(_xlfn.NUMBERVALUE(LEFT(G135,FIND(" ",G135&amp;" ")-1),".")*1000,0),99999))</f>
        <v/>
      </c>
      <c r="CC135" s="3">
        <f>IF(R135="profesional",0,IF(O135&lt;CUOTA_VALOR_MAX,IF(AU135&gt;ITP_TRAMO_ALTO,SUMIFS(CF_CUOTA,CF_MAS,ITP_TRAMO_ALTO,CF_CCMIN,"&lt;="&amp;CB135,CF_CCMAX,"&gt;="&amp;CB135),IF(AU135&gt;ITP_TRAMO_BAJO,SUMIFS(CF_CUOTA,CF_MAS,ITP_TRAMO_BAJO,CF_CCMIN,"&lt;="&amp;CB135,CF_CCMAX,"&gt;="&amp;CB135),O135*ITP_TIPO)),O135*ITP_TIPO))</f>
        <v/>
      </c>
      <c r="CD135" s="4">
        <f>IF(R135="profesional",N(AK135),0)</f>
        <v/>
      </c>
      <c r="CE135" s="3">
        <f>IF(AND(R135="profesional",ISNUMBER(AK135),AL135="sí"),0,TASA_DGT)</f>
        <v/>
      </c>
      <c r="CF135" s="3">
        <f>INFORME_DGT</f>
        <v/>
      </c>
      <c r="CG135" s="4">
        <f>O135+CD135+CC135+CE135+CF135</f>
        <v/>
      </c>
      <c r="CH135" s="4">
        <f>CG135+N(BU135)</f>
        <v/>
      </c>
      <c r="CI135" s="3">
        <f>IF(CG135&lt;=TOTAL_MAX,"sí",IF(CG135&lt;=TOTAL_MAX+MARGEN_NEG,"negociar","no"))</f>
        <v/>
      </c>
      <c r="CJ135" s="4">
        <f>IF(CI135&lt;&gt;"no",COUNTIFS($CI$2:$CI$662,"&lt;&gt;no",$CA$2:$CA$662,"&gt;"&amp;CA135)+COUNTIFS($CI$2:CI135,"&lt;&gt;no",$CA$2:CA135,CA135),"")</f>
        <v/>
      </c>
    </row>
    <row r="136">
      <c r="A136" s="2" t="inlineStr">
        <is>
          <t>cochesnet:71806426</t>
        </is>
      </c>
      <c r="B136" s="2" t="inlineStr">
        <is>
          <t>cochesnet</t>
        </is>
      </c>
      <c r="C136" s="2" t="inlineStr">
        <is>
          <t>https://www.coches.net/renault-twingo-emotion-dci-85-eco2-3p-diesel-2012-en-valencia-71806426-covo.aspx</t>
        </is>
      </c>
      <c r="D136" s="2" t="inlineStr">
        <is>
          <t>RENAULT Twingo Emotion dCi 85 eco2</t>
        </is>
      </c>
      <c r="E136" s="2" t="inlineStr">
        <is>
          <t>Renault</t>
        </is>
      </c>
      <c r="F136" s="2" t="inlineStr">
        <is>
          <t>Renault Twingo</t>
        </is>
      </c>
      <c r="G136" s="2" t="inlineStr">
        <is>
          <t>? dCi</t>
        </is>
      </c>
      <c r="H136" s="2" t="inlineStr">
        <is>
          <t>Emotion dCi 85 eco2</t>
        </is>
      </c>
      <c r="I136" s="2" t="n"/>
      <c r="J136" s="2" t="n"/>
      <c r="K136" s="2" t="inlineStr">
        <is>
          <t>diesel</t>
        </is>
      </c>
      <c r="L136" s="2" t="inlineStr">
        <is>
          <t>utilitario</t>
        </is>
      </c>
      <c r="M136" s="2" t="n">
        <v>2012</v>
      </c>
      <c r="N136" s="2" t="n">
        <v>131375</v>
      </c>
      <c r="O136" s="2" t="n">
        <v>4550</v>
      </c>
      <c r="P136" s="2" t="inlineStr">
        <is>
          <t>manual</t>
        </is>
      </c>
      <c r="Q136" s="2" t="inlineStr">
        <is>
          <t>no</t>
        </is>
      </c>
      <c r="R136" s="2" t="inlineStr">
        <is>
          <t>profesional</t>
        </is>
      </c>
      <c r="S136" s="2" t="inlineStr">
        <is>
          <t>Autos Sant Isidre Valencia</t>
        </is>
      </c>
      <c r="T136" s="2" t="inlineStr">
        <is>
          <t>2026-10-22T10:28:20Z</t>
        </is>
      </c>
      <c r="U136" s="2" t="n">
        <v>12</v>
      </c>
      <c r="V136" s="2" t="n"/>
      <c r="W136" s="2" t="n"/>
      <c r="X136" s="2" t="n"/>
      <c r="Y136" s="2" t="n"/>
      <c r="Z136" s="2" t="inlineStr">
        <is>
          <t>sí</t>
        </is>
      </c>
      <c r="AA136" s="2" t="n"/>
      <c r="AB136" s="2" t="n">
        <v>12</v>
      </c>
      <c r="AC136" s="2" t="n"/>
      <c r="AD136" s="2" t="n"/>
      <c r="AE136" s="2" t="n"/>
      <c r="AF136" s="2" t="n"/>
      <c r="AG136" s="2" t="n"/>
      <c r="AH136" s="2" t="n">
        <v>4550</v>
      </c>
      <c r="AI136" s="2" t="n">
        <v>4550</v>
      </c>
      <c r="AJ136" s="2" t="n"/>
      <c r="AK136" s="2" t="n"/>
      <c r="AL136" s="2" t="n"/>
      <c r="AM136" s="2" t="n">
        <v>0.1</v>
      </c>
      <c r="AN136" s="2" t="n"/>
      <c r="AO136" s="2" t="n"/>
      <c r="AP136" s="2" t="n"/>
      <c r="AQ136" s="2" t="n"/>
      <c r="AR136"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 mediana con solo 3 anuncio(s)</t>
        </is>
      </c>
      <c r="AS136" s="2" t="inlineStr"/>
      <c r="AT136" s="2" t="inlineStr">
        <is>
          <t>https://www.coches.net/renault-twingo-emotion-dci-85-eco2-3p-diesel-2012-en-valencia-71806426-covo.aspx (window.__INITIAL_PROPS__.ad) /home/user/Alopecia/buscador-coches/raw/cochesnet/d74433edc5e27707.json</t>
        </is>
      </c>
      <c r="AU136" s="3">
        <f>MAX(ANIO_ACTUAL-M136,0)</f>
        <v/>
      </c>
      <c r="AV136" s="4">
        <f>N136/MAX(AU136,0.5)</f>
        <v/>
      </c>
      <c r="AW136" s="4">
        <f>F136</f>
        <v/>
      </c>
      <c r="AX136" s="3">
        <f>AW136&amp;"|"&amp;INT(M136/SEG_ANIO)*SEG_ANIO</f>
        <v/>
      </c>
      <c r="AY136" s="3">
        <f>AX136&amp;"|"&amp;INT(N136/SEG_KM)*SEG_KM</f>
        <v/>
      </c>
      <c r="AZ136" s="4">
        <f>COUNTIF($AW$2:$AW$662,AW136)</f>
        <v/>
      </c>
      <c r="BA136" s="4">
        <f>COUNTIF($AX$2:$AX$662,AX136)</f>
        <v/>
      </c>
      <c r="BB136" s="4">
        <f>COUNTIF($AY$2:$AY$662,AY136)</f>
        <v/>
      </c>
      <c r="BC136" s="3">
        <f t="array" ref="BC136">IF(N(AO136)&gt;=MIN_N,AN136,IF(BB136&gt;=MIN_N,MEDIAN(IF($AY$2:$AY$662=AY136,$O$2:$O$662)),IF(BA136&gt;=MIN_N,MEDIAN(IF($AX$2:$AX$662=AX136,$O$2:$O$662)),MEDIAN(IF($AW$2:$AW$662=AW136,$O$2:$O$662)))))</f>
        <v/>
      </c>
      <c r="BD136" s="3">
        <f>IF(N(AO136)&gt;=MIN_N,"mercado "&amp;AP136,IF(BB136&gt;=MIN_N,"modelo+año+km",IF(BA136&gt;=MIN_N,"modelo+año","modelo")))</f>
        <v/>
      </c>
      <c r="BE136" s="4">
        <f>(BC136-O136)/BC136</f>
        <v/>
      </c>
      <c r="BF136" s="3">
        <f>IF(OR(K136="hibrido",K136="glp"),"ECO",IF(K136="electrico","CERO",IF(K136="gasolina",IF(M136&gt;=GAS_C,"C",IF(M136&gt;=GAS_B,"B","A")),IF(K136="diesel",IF(M136&gt;=DIE_C,"C",IF(M136&gt;=DIE_B,"B","A")),""))))</f>
        <v/>
      </c>
      <c r="BG136" s="3">
        <f>IFERROR(VLOOKUP(F136,MOD_TBL,11,0),IFERROR(VLOOKUP(E136,OCU_TBL,2,0),NEUTRO))</f>
        <v/>
      </c>
      <c r="BH136" s="3">
        <f>SUMIFS(MOT_AJUSTE,MOT_MOTOR,G136,MOT_MARCA,E136,MOT_DESDE,"&lt;="&amp;M136,MOT_HASTA,"&gt;="&amp;M136)+SUMIFS(MOT_AJUSTE,MOT_MOTOR,G136,MOT_MARCA,"(todas)",MOT_DESDE,"&lt;="&amp;M136,MOT_HASTA,"&gt;="&amp;M136)</f>
        <v/>
      </c>
      <c r="BI136" s="3">
        <f>SUMIFS(COMB_AJUSTE,COMB_COMB,K136)</f>
        <v/>
      </c>
      <c r="BJ136" s="3">
        <f>COUNTIFS(MOT_MOTOR,G136,MOT_MARCA,E136,MOT_DESDE,"&lt;="&amp;M136,MOT_HASTA,"&gt;="&amp;M136)+COUNTIFS(MOT_MOTOR,G136,MOT_MARCA,"(todas)",MOT_DESDE,"&lt;="&amp;M136,MOT_HASTA,"&gt;="&amp;M136)</f>
        <v/>
      </c>
      <c r="BK136" s="3">
        <f>IF(AND(K136="diesel",BJ136=0),MIN(BG136,NEUTRO),BG136)</f>
        <v/>
      </c>
      <c r="BL136" s="4">
        <f>MAX(0,MIN(100,BK136+BH136+BI136))</f>
        <v/>
      </c>
      <c r="BM136" s="3">
        <f>MAX(0,MIN(100,50+BE136*PRECIO_PEND))</f>
        <v/>
      </c>
      <c r="BN136" s="3">
        <f>MAX(0,100*(1-N136/KM_MAX))</f>
        <v/>
      </c>
      <c r="BO136" s="3">
        <f>IF(AV136&lt;KMA_SOSP,IF(AA136="sí",100,KMA_PEN),IF(AV136&lt;=KMA_IDEAL_MAX,100,MAX(0,100*(KMA_CERO-AV136)/(KMA_CERO-KMA_IDEAL_MAX))))</f>
        <v/>
      </c>
      <c r="BP136" s="3">
        <f>MAX(0,MIN(100,100*(M136-ANIO_MIN)/(ANIO_ACTUAL-ANIO_MIN)))</f>
        <v/>
      </c>
      <c r="BQ136" s="3">
        <f>W_KMT*BN136+W_KMA*BO136+W_EDAD*BP136</f>
        <v/>
      </c>
      <c r="BR136" s="3">
        <f>P_ITV*(V136="sí")+P_LIBRO*(W136="sí")+P_CORREA*(X136="sí")+P_PROP*(Y136=1)+P_GAR*(Z136="sí")+P_FOTOS*MIN(1,N(U136)/FOTOS_OBJ)</f>
        <v/>
      </c>
      <c r="BS136" s="3">
        <f>IFERROR(VLOOKUP(BF136,ETQ_TBL,2,0),NEUTRO)</f>
        <v/>
      </c>
      <c r="BT136" s="3">
        <f>NEUTRO</f>
        <v/>
      </c>
      <c r="BU136" s="3">
        <f>IFERROR(VLOOKUP(L136,SEGURO_TBL,3,0),"")</f>
        <v/>
      </c>
      <c r="BV136" s="3">
        <f>IF(BU136="",NEUTRO,MAX(0,MIN(100,100*(SEG_REF_MAX-BU136)/(SEG_REF_MAX-SEG_REF_MIN))))</f>
        <v/>
      </c>
      <c r="BW136" s="3">
        <f>W_ET*BS136+W_CONS*BT136+W_SEG*BV136</f>
        <v/>
      </c>
      <c r="BX136" s="3">
        <f>IF(N(AB136)&gt;0,AB136,IF(AND(R136="profesional",SG_LEGAL_ON=1),GAR_LEGAL,0))</f>
        <v/>
      </c>
      <c r="BY136" s="3">
        <f>SG_GAR*MIN(1,BX136/SG_GAR_FULL)+SG_AMPL*(AC136="sí")+SG_KMC*(AF136="sí")+SG_REV*(N(AE136)&gt;0)+SG_DEV*MIN(1,N(AG136)/SG_DEV_FULL)+SG_HIST*(W136="sí")</f>
        <v/>
      </c>
      <c r="BZ136" s="3">
        <f>IFERROR(VLOOKUP(L136,CARR_PEN_TBL,2,0),0)</f>
        <v/>
      </c>
      <c r="CA136" s="3">
        <f>W_FIAB*BL136+W_PRECIO*BM136+W_KMEDAD*BQ136+W_ANUNCIO*BR136+W_USO*BW136+W_SEGURIDAD*BY136-BZ136</f>
        <v/>
      </c>
      <c r="CB136" s="4">
        <f>IF(N(I136)&gt;0,I136,IFERROR(ROUND(_xlfn.NUMBERVALUE(LEFT(G136,FIND(" ",G136&amp;" ")-1),".")*1000,0),99999))</f>
        <v/>
      </c>
      <c r="CC136" s="3">
        <f>IF(R136="profesional",0,IF(O136&lt;CUOTA_VALOR_MAX,IF(AU136&gt;ITP_TRAMO_ALTO,SUMIFS(CF_CUOTA,CF_MAS,ITP_TRAMO_ALTO,CF_CCMIN,"&lt;="&amp;CB136,CF_CCMAX,"&gt;="&amp;CB136),IF(AU136&gt;ITP_TRAMO_BAJO,SUMIFS(CF_CUOTA,CF_MAS,ITP_TRAMO_BAJO,CF_CCMIN,"&lt;="&amp;CB136,CF_CCMAX,"&gt;="&amp;CB136),O136*ITP_TIPO)),O136*ITP_TIPO))</f>
        <v/>
      </c>
      <c r="CD136" s="4">
        <f>IF(R136="profesional",N(AK136),0)</f>
        <v/>
      </c>
      <c r="CE136" s="3">
        <f>IF(AND(R136="profesional",ISNUMBER(AK136),AL136="sí"),0,TASA_DGT)</f>
        <v/>
      </c>
      <c r="CF136" s="3">
        <f>INFORME_DGT</f>
        <v/>
      </c>
      <c r="CG136" s="4">
        <f>O136+CD136+CC136+CE136+CF136</f>
        <v/>
      </c>
      <c r="CH136" s="4">
        <f>CG136+N(BU136)</f>
        <v/>
      </c>
      <c r="CI136" s="3">
        <f>IF(CG136&lt;=TOTAL_MAX,"sí",IF(CG136&lt;=TOTAL_MAX+MARGEN_NEG,"negociar","no"))</f>
        <v/>
      </c>
      <c r="CJ136" s="4">
        <f>IF(CI136&lt;&gt;"no",COUNTIFS($CI$2:$CI$662,"&lt;&gt;no",$CA$2:$CA$662,"&gt;"&amp;CA136)+COUNTIFS($CI$2:CI136,"&lt;&gt;no",$CA$2:CA136,CA136),"")</f>
        <v/>
      </c>
    </row>
    <row r="137">
      <c r="A137" s="2" t="inlineStr">
        <is>
          <t>cochesnet:70507667</t>
        </is>
      </c>
      <c r="B137" s="2" t="inlineStr">
        <is>
          <t>cochesnet</t>
        </is>
      </c>
      <c r="C137" s="2" t="inlineStr">
        <is>
          <t>https://www.coches.net/dacia-sandero-ambiance-12-75cv-5p-gasolina-2012-en-valencia-70507667-covo.aspx</t>
        </is>
      </c>
      <c r="D137" s="2" t="inlineStr">
        <is>
          <t>DACIA Sandero Ambiance 1.2</t>
        </is>
      </c>
      <c r="E137" s="2" t="inlineStr">
        <is>
          <t>Dacia</t>
        </is>
      </c>
      <c r="F137" s="2" t="inlineStr">
        <is>
          <t>Dacia Sandero</t>
        </is>
      </c>
      <c r="G137" s="2" t="inlineStr">
        <is>
          <t>1.2</t>
        </is>
      </c>
      <c r="H137" s="2" t="inlineStr">
        <is>
          <t>Ambiance 1.2 75cv</t>
        </is>
      </c>
      <c r="I137" s="2" t="n"/>
      <c r="J137" s="2" t="n">
        <v>75</v>
      </c>
      <c r="K137" s="2" t="inlineStr">
        <is>
          <t>gasolina</t>
        </is>
      </c>
      <c r="L137" s="2" t="inlineStr">
        <is>
          <t>utilitario</t>
        </is>
      </c>
      <c r="M137" s="2" t="n">
        <v>2013</v>
      </c>
      <c r="N137" s="2" t="n">
        <v>175000</v>
      </c>
      <c r="O137" s="2" t="n">
        <v>3490</v>
      </c>
      <c r="P137" s="2" t="inlineStr">
        <is>
          <t>manual</t>
        </is>
      </c>
      <c r="Q137" s="2" t="inlineStr">
        <is>
          <t>no</t>
        </is>
      </c>
      <c r="R137" s="2" t="inlineStr">
        <is>
          <t>profesional</t>
        </is>
      </c>
      <c r="S137" s="2" t="inlineStr">
        <is>
          <t>AutoEco Valencia</t>
        </is>
      </c>
      <c r="T137" s="2" t="inlineStr">
        <is>
          <t>2026-10-23T09:34:08Z</t>
        </is>
      </c>
      <c r="U137" s="2" t="n">
        <v>14</v>
      </c>
      <c r="V137" s="2" t="n"/>
      <c r="W137" s="2" t="inlineStr">
        <is>
          <t>sí</t>
        </is>
      </c>
      <c r="X137" s="2" t="n"/>
      <c r="Y137" s="2" t="n"/>
      <c r="Z137" s="2" t="inlineStr">
        <is>
          <t>sí</t>
        </is>
      </c>
      <c r="AA137" s="2" t="n"/>
      <c r="AB137" s="2" t="n">
        <v>12</v>
      </c>
      <c r="AC137" s="2" t="n"/>
      <c r="AD137" s="2" t="n"/>
      <c r="AE137" s="2" t="n"/>
      <c r="AF137" s="2" t="n"/>
      <c r="AG137" s="2" t="n"/>
      <c r="AH137" s="2" t="n">
        <v>3490</v>
      </c>
      <c r="AI137" s="2" t="n">
        <v>3490</v>
      </c>
      <c r="AJ137" s="2" t="n"/>
      <c r="AK137" s="2" t="n"/>
      <c r="AL137" s="2" t="n"/>
      <c r="AM137" s="2" t="n">
        <v>0.1</v>
      </c>
      <c r="AN137" s="2" t="n">
        <v>5300</v>
      </c>
      <c r="AO137" s="2" t="n">
        <v>4</v>
      </c>
      <c r="AP137" s="2" t="inlineStr">
        <is>
          <t>modelo+año+km</t>
        </is>
      </c>
      <c r="AQ137" s="2" t="n"/>
      <c r="AR137" s="2" t="inlineStr">
        <is>
          <t>vendedor profesional: sin ITP (operación con IVA/REBU, confirmar en factura); gastos de gestión del vendedor no indicados: se suma la tasa DGT; preguntar el precio final</t>
        </is>
      </c>
      <c r="AS137" s="2" t="inlineStr">
        <is>
          <t>-AUTOECO- 
*Concesionario Vehículos Ocasión multimarca. 
*C/ Cases de Bárcena N4 Bonrepos/Valencia 46131 Junto a Gasolinera Repsol*
*Lunes a Viernes 9h a 14h y 16h a 20h*
*Sábados 10h a 14h tarde y domingos atendemos con cita previa*
FINANCIACIÓN A SU MEDIDA sin necesidad de entrada, consulte sin compromiso.
DESTACADO: 
-Con algunos desperfectos de chapa, de ahí su precio.
-Vehículo nacional.
-Vehículo sin mucha electrónica, fiable.
-Sin aire acondicionado.
-Muy buen estado interior con desperfectos exteriores de chapa.
-Distintivo medioambiental C.
-Gran espacio de maletero y amplitud interior.
-Radio CD/USB.
-1 año de Garantía incluido en precio con opción de ampliación a Premium. 
*Se entrega con ITV y mantenimiento al día, listo para circular.*
Este anuncio puede contener algún error tipográfico o de transcripción. 
Para más información contacten sin compromiso.</t>
        </is>
      </c>
      <c r="AT137" s="2" t="inlineStr">
        <is>
          <t>https://www.coches.net/dacia-sandero-ambiance-12-75cv-5p-gasolina-2012-en-valencia-70507667-covo.aspx (window.__INITIAL_PROPS__.ad) /home/user/Alopecia/buscador-coches/raw/cochesnet/0b381e23cb5ab3e1.json</t>
        </is>
      </c>
      <c r="AU137" s="3">
        <f>MAX(ANIO_ACTUAL-M137,0)</f>
        <v/>
      </c>
      <c r="AV137" s="4">
        <f>N137/MAX(AU137,0.5)</f>
        <v/>
      </c>
      <c r="AW137" s="4">
        <f>F137</f>
        <v/>
      </c>
      <c r="AX137" s="3">
        <f>AW137&amp;"|"&amp;INT(M137/SEG_ANIO)*SEG_ANIO</f>
        <v/>
      </c>
      <c r="AY137" s="3">
        <f>AX137&amp;"|"&amp;INT(N137/SEG_KM)*SEG_KM</f>
        <v/>
      </c>
      <c r="AZ137" s="4">
        <f>COUNTIF($AW$2:$AW$662,AW137)</f>
        <v/>
      </c>
      <c r="BA137" s="4">
        <f>COUNTIF($AX$2:$AX$662,AX137)</f>
        <v/>
      </c>
      <c r="BB137" s="4">
        <f>COUNTIF($AY$2:$AY$662,AY137)</f>
        <v/>
      </c>
      <c r="BC137" s="3">
        <f t="array" ref="BC137">IF(N(AO137)&gt;=MIN_N,AN137,IF(BB137&gt;=MIN_N,MEDIAN(IF($AY$2:$AY$662=AY137,$O$2:$O$662)),IF(BA137&gt;=MIN_N,MEDIAN(IF($AX$2:$AX$662=AX137,$O$2:$O$662)),MEDIAN(IF($AW$2:$AW$662=AW137,$O$2:$O$662)))))</f>
        <v/>
      </c>
      <c r="BD137" s="3">
        <f>IF(N(AO137)&gt;=MIN_N,"mercado "&amp;AP137,IF(BB137&gt;=MIN_N,"modelo+año+km",IF(BA137&gt;=MIN_N,"modelo+año","modelo")))</f>
        <v/>
      </c>
      <c r="BE137" s="4">
        <f>(BC137-O137)/BC137</f>
        <v/>
      </c>
      <c r="BF137" s="3">
        <f>IF(OR(K137="hibrido",K137="glp"),"ECO",IF(K137="electrico","CERO",IF(K137="gasolina",IF(M137&gt;=GAS_C,"C",IF(M137&gt;=GAS_B,"B","A")),IF(K137="diesel",IF(M137&gt;=DIE_C,"C",IF(M137&gt;=DIE_B,"B","A")),""))))</f>
        <v/>
      </c>
      <c r="BG137" s="3">
        <f>IFERROR(VLOOKUP(F137,MOD_TBL,11,0),IFERROR(VLOOKUP(E137,OCU_TBL,2,0),NEUTRO))</f>
        <v/>
      </c>
      <c r="BH137" s="3">
        <f>SUMIFS(MOT_AJUSTE,MOT_MOTOR,G137,MOT_MARCA,E137,MOT_DESDE,"&lt;="&amp;M137,MOT_HASTA,"&gt;="&amp;M137)+SUMIFS(MOT_AJUSTE,MOT_MOTOR,G137,MOT_MARCA,"(todas)",MOT_DESDE,"&lt;="&amp;M137,MOT_HASTA,"&gt;="&amp;M137)</f>
        <v/>
      </c>
      <c r="BI137" s="3">
        <f>SUMIFS(COMB_AJUSTE,COMB_COMB,K137)</f>
        <v/>
      </c>
      <c r="BJ137" s="3">
        <f>COUNTIFS(MOT_MOTOR,G137,MOT_MARCA,E137,MOT_DESDE,"&lt;="&amp;M137,MOT_HASTA,"&gt;="&amp;M137)+COUNTIFS(MOT_MOTOR,G137,MOT_MARCA,"(todas)",MOT_DESDE,"&lt;="&amp;M137,MOT_HASTA,"&gt;="&amp;M137)</f>
        <v/>
      </c>
      <c r="BK137" s="3">
        <f>IF(AND(K137="diesel",BJ137=0),MIN(BG137,NEUTRO),BG137)</f>
        <v/>
      </c>
      <c r="BL137" s="4">
        <f>MAX(0,MIN(100,BK137+BH137+BI137))</f>
        <v/>
      </c>
      <c r="BM137" s="3">
        <f>MAX(0,MIN(100,50+BE137*PRECIO_PEND))</f>
        <v/>
      </c>
      <c r="BN137" s="3">
        <f>MAX(0,100*(1-N137/KM_MAX))</f>
        <v/>
      </c>
      <c r="BO137" s="3">
        <f>IF(AV137&lt;KMA_SOSP,IF(AA137="sí",100,KMA_PEN),IF(AV137&lt;=KMA_IDEAL_MAX,100,MAX(0,100*(KMA_CERO-AV137)/(KMA_CERO-KMA_IDEAL_MAX))))</f>
        <v/>
      </c>
      <c r="BP137" s="3">
        <f>MAX(0,MIN(100,100*(M137-ANIO_MIN)/(ANIO_ACTUAL-ANIO_MIN)))</f>
        <v/>
      </c>
      <c r="BQ137" s="3">
        <f>W_KMT*BN137+W_KMA*BO137+W_EDAD*BP137</f>
        <v/>
      </c>
      <c r="BR137" s="3">
        <f>P_ITV*(V137="sí")+P_LIBRO*(W137="sí")+P_CORREA*(X137="sí")+P_PROP*(Y137=1)+P_GAR*(Z137="sí")+P_FOTOS*MIN(1,N(U137)/FOTOS_OBJ)</f>
        <v/>
      </c>
      <c r="BS137" s="3">
        <f>IFERROR(VLOOKUP(BF137,ETQ_TBL,2,0),NEUTRO)</f>
        <v/>
      </c>
      <c r="BT137" s="3">
        <f>NEUTRO</f>
        <v/>
      </c>
      <c r="BU137" s="3">
        <f>IFERROR(VLOOKUP(L137,SEGURO_TBL,3,0),"")</f>
        <v/>
      </c>
      <c r="BV137" s="3">
        <f>IF(BU137="",NEUTRO,MAX(0,MIN(100,100*(SEG_REF_MAX-BU137)/(SEG_REF_MAX-SEG_REF_MIN))))</f>
        <v/>
      </c>
      <c r="BW137" s="3">
        <f>W_ET*BS137+W_CONS*BT137+W_SEG*BV137</f>
        <v/>
      </c>
      <c r="BX137" s="3">
        <f>IF(N(AB137)&gt;0,AB137,IF(AND(R137="profesional",SG_LEGAL_ON=1),GAR_LEGAL,0))</f>
        <v/>
      </c>
      <c r="BY137" s="3">
        <f>SG_GAR*MIN(1,BX137/SG_GAR_FULL)+SG_AMPL*(AC137="sí")+SG_KMC*(AF137="sí")+SG_REV*(N(AE137)&gt;0)+SG_DEV*MIN(1,N(AG137)/SG_DEV_FULL)+SG_HIST*(W137="sí")</f>
        <v/>
      </c>
      <c r="BZ137" s="3">
        <f>IFERROR(VLOOKUP(L137,CARR_PEN_TBL,2,0),0)</f>
        <v/>
      </c>
      <c r="CA137" s="3">
        <f>W_FIAB*BL137+W_PRECIO*BM137+W_KMEDAD*BQ137+W_ANUNCIO*BR137+W_USO*BW137+W_SEGURIDAD*BY137-BZ137</f>
        <v/>
      </c>
      <c r="CB137" s="4">
        <f>IF(N(I137)&gt;0,I137,IFERROR(ROUND(_xlfn.NUMBERVALUE(LEFT(G137,FIND(" ",G137&amp;" ")-1),".")*1000,0),99999))</f>
        <v/>
      </c>
      <c r="CC137" s="3">
        <f>IF(R137="profesional",0,IF(O137&lt;CUOTA_VALOR_MAX,IF(AU137&gt;ITP_TRAMO_ALTO,SUMIFS(CF_CUOTA,CF_MAS,ITP_TRAMO_ALTO,CF_CCMIN,"&lt;="&amp;CB137,CF_CCMAX,"&gt;="&amp;CB137),IF(AU137&gt;ITP_TRAMO_BAJO,SUMIFS(CF_CUOTA,CF_MAS,ITP_TRAMO_BAJO,CF_CCMIN,"&lt;="&amp;CB137,CF_CCMAX,"&gt;="&amp;CB137),O137*ITP_TIPO)),O137*ITP_TIPO))</f>
        <v/>
      </c>
      <c r="CD137" s="4">
        <f>IF(R137="profesional",N(AK137),0)</f>
        <v/>
      </c>
      <c r="CE137" s="3">
        <f>IF(AND(R137="profesional",ISNUMBER(AK137),AL137="sí"),0,TASA_DGT)</f>
        <v/>
      </c>
      <c r="CF137" s="3">
        <f>INFORME_DGT</f>
        <v/>
      </c>
      <c r="CG137" s="4">
        <f>O137+CD137+CC137+CE137+CF137</f>
        <v/>
      </c>
      <c r="CH137" s="4">
        <f>CG137+N(BU137)</f>
        <v/>
      </c>
      <c r="CI137" s="3">
        <f>IF(CG137&lt;=TOTAL_MAX,"sí",IF(CG137&lt;=TOTAL_MAX+MARGEN_NEG,"negociar","no"))</f>
        <v/>
      </c>
      <c r="CJ137" s="4">
        <f>IF(CI137&lt;&gt;"no",COUNTIFS($CI$2:$CI$662,"&lt;&gt;no",$CA$2:$CA$662,"&gt;"&amp;CA137)+COUNTIFS($CI$2:CI137,"&lt;&gt;no",$CA$2:CA137,CA137),"")</f>
        <v/>
      </c>
    </row>
    <row r="138">
      <c r="A138" s="2" t="inlineStr">
        <is>
          <t>cochesnet:71831034</t>
        </is>
      </c>
      <c r="B138" s="2" t="inlineStr">
        <is>
          <t>cochesnet</t>
        </is>
      </c>
      <c r="C138" s="2" t="inlineStr">
        <is>
          <t>https://www.coches.net/dacia-sandero-ambiance-12-16v-75cv-5p-gasolina-2010-en-valencia-71831034-covo.aspx</t>
        </is>
      </c>
      <c r="D138" s="2" t="inlineStr">
        <is>
          <t>DACIA Sandero Ambiance 1.2 16v</t>
        </is>
      </c>
      <c r="E138" s="2" t="inlineStr">
        <is>
          <t>Dacia</t>
        </is>
      </c>
      <c r="F138" s="2" t="inlineStr">
        <is>
          <t>Dacia Sandero</t>
        </is>
      </c>
      <c r="G138" s="2" t="inlineStr">
        <is>
          <t>1.2</t>
        </is>
      </c>
      <c r="H138" s="2" t="inlineStr">
        <is>
          <t>Ambiance 1.2 16v 75cv</t>
        </is>
      </c>
      <c r="I138" s="2" t="n"/>
      <c r="J138" s="2" t="n">
        <v>75</v>
      </c>
      <c r="K138" s="2" t="inlineStr">
        <is>
          <t>gasolina</t>
        </is>
      </c>
      <c r="L138" s="2" t="inlineStr">
        <is>
          <t>utilitario</t>
        </is>
      </c>
      <c r="M138" s="2" t="n">
        <v>2010</v>
      </c>
      <c r="N138" s="2" t="n">
        <v>99000</v>
      </c>
      <c r="O138" s="2" t="n">
        <v>3800</v>
      </c>
      <c r="P138" s="2" t="inlineStr">
        <is>
          <t>manual</t>
        </is>
      </c>
      <c r="Q138" s="2" t="inlineStr">
        <is>
          <t>no</t>
        </is>
      </c>
      <c r="R138" s="2" t="inlineStr">
        <is>
          <t>particular</t>
        </is>
      </c>
      <c r="S138" s="2" t="inlineStr">
        <is>
          <t>Valencia</t>
        </is>
      </c>
      <c r="T138" s="2" t="inlineStr">
        <is>
          <t>2026-10-26T09:55:46Z</t>
        </is>
      </c>
      <c r="U138" s="2" t="n">
        <v>46</v>
      </c>
      <c r="V138" s="2" t="n"/>
      <c r="W138" s="2" t="inlineStr">
        <is>
          <t>sí</t>
        </is>
      </c>
      <c r="X138" s="2" t="n"/>
      <c r="Y138" s="2" t="n"/>
      <c r="Z138" s="2" t="inlineStr">
        <is>
          <t>no</t>
        </is>
      </c>
      <c r="AA138" s="2" t="n"/>
      <c r="AB138" s="2" t="n"/>
      <c r="AC138" s="2" t="n"/>
      <c r="AD138" s="2" t="n"/>
      <c r="AE138" s="2" t="n"/>
      <c r="AF138" s="2" t="n"/>
      <c r="AG138" s="2" t="n"/>
      <c r="AH138" s="2" t="n">
        <v>3800</v>
      </c>
      <c r="AI138" s="2" t="n"/>
      <c r="AJ138" s="2" t="n"/>
      <c r="AK138" s="2" t="n"/>
      <c r="AL138" s="2" t="n"/>
      <c r="AM138" s="2" t="n">
        <v>0.1</v>
      </c>
      <c r="AN138" s="2" t="n">
        <v>3800</v>
      </c>
      <c r="AO138" s="2" t="n">
        <v>4</v>
      </c>
      <c r="AP138" s="2" t="inlineStr">
        <is>
          <t>modelo+año+km</t>
        </is>
      </c>
      <c r="AQ138" s="2" t="n"/>
      <c r="AR138" s="2" t="inlineStr">
        <is>
          <t>cuota fija ITP: &gt;12 años, hasta 1.500 cc</t>
        </is>
      </c>
      <c r="AS138" s="2" t="inlineStr">
        <is>
          <t xml:space="preserve">DACIA SANDERO 1.2 AMBIANCE 2010 - 99.000 KM - MUY BUEN ESTADO
Vendo Dacia Sandero Ambiance 1.2 gasolina, 5 puertas, año 2010, color gris, con aproximadamente 99.000 km.
MOTIVO DE VENTA: MUDANZA A ARGENTINA
Compré el vehículo en junio de 2024 con aproximadamente 75.000 km. Desde entonces, lo he utilizado de forma particular, recorriendo unos 24.000 km y realizando los mantenimientos y reparaciones necesarios, con sus correspondientes facturas.
Es un coche práctico, económico, de bajo consumo y mantenimiento sencillo. Ideal para uso diario, desplazamientos urbanos o como primer vehículo.
EQUIPAMIENTO
Motor 1.2 gasolina, cambio manual, 5 puertas, aire acondicionado funcionando perfectamente, elevalunas eléctricos, cierre centralizado, dirección asistida, radio original y llantas de aleación.
MANTENIMIENTO Y REPARACIONES DOCUMENTADAS
JULIO 2024 - 75.400 KM
Cambio de aceite y filtros. Sustitución del kit de distribución y bomba de agua. Cambio de discos y pastillas de freno. Otros componentes y mantenimiento general.
ENERO 2026 - 89.000 KM
Sustitución de los cuatro neumáticos por BFGoodrich nuevos, incluyendo montaje, equilibrado y válvulas.
Contratación de Master Garantía de Euromaster, con cobertura de tres años frente a pinchazos, roturas y vandalismo, conforme a sus condiciones y en centros asociados.
JULIO 2026 - 94.600 KM
Trabajos de mantenimiento y reparación del sistema de frenos traseros, sustitución de componentes y revisión en taller.
ITV Y DOCUMENTACIÓN
</t>
        </is>
      </c>
      <c r="AT138" s="2" t="inlineStr">
        <is>
          <t>https://www.coches.net/dacia-sandero-ambiance-12-16v-75cv-5p-gasolina-2010-en-valencia-71831034-covo.aspx (window.__INITIAL_PROPS__.ad) /home/user/Alopecia/buscador-coches/raw/cochesnet/33e686ccd017f9a5.json</t>
        </is>
      </c>
      <c r="AU138" s="3">
        <f>MAX(ANIO_ACTUAL-M138,0)</f>
        <v/>
      </c>
      <c r="AV138" s="4">
        <f>N138/MAX(AU138,0.5)</f>
        <v/>
      </c>
      <c r="AW138" s="4">
        <f>F138</f>
        <v/>
      </c>
      <c r="AX138" s="3">
        <f>AW138&amp;"|"&amp;INT(M138/SEG_ANIO)*SEG_ANIO</f>
        <v/>
      </c>
      <c r="AY138" s="3">
        <f>AX138&amp;"|"&amp;INT(N138/SEG_KM)*SEG_KM</f>
        <v/>
      </c>
      <c r="AZ138" s="4">
        <f>COUNTIF($AW$2:$AW$662,AW138)</f>
        <v/>
      </c>
      <c r="BA138" s="4">
        <f>COUNTIF($AX$2:$AX$662,AX138)</f>
        <v/>
      </c>
      <c r="BB138" s="4">
        <f>COUNTIF($AY$2:$AY$662,AY138)</f>
        <v/>
      </c>
      <c r="BC138" s="3">
        <f t="array" ref="BC138">IF(N(AO138)&gt;=MIN_N,AN138,IF(BB138&gt;=MIN_N,MEDIAN(IF($AY$2:$AY$662=AY138,$O$2:$O$662)),IF(BA138&gt;=MIN_N,MEDIAN(IF($AX$2:$AX$662=AX138,$O$2:$O$662)),MEDIAN(IF($AW$2:$AW$662=AW138,$O$2:$O$662)))))</f>
        <v/>
      </c>
      <c r="BD138" s="3">
        <f>IF(N(AO138)&gt;=MIN_N,"mercado "&amp;AP138,IF(BB138&gt;=MIN_N,"modelo+año+km",IF(BA138&gt;=MIN_N,"modelo+año","modelo")))</f>
        <v/>
      </c>
      <c r="BE138" s="4">
        <f>(BC138-O138)/BC138</f>
        <v/>
      </c>
      <c r="BF138" s="3">
        <f>IF(OR(K138="hibrido",K138="glp"),"ECO",IF(K138="electrico","CERO",IF(K138="gasolina",IF(M138&gt;=GAS_C,"C",IF(M138&gt;=GAS_B,"B","A")),IF(K138="diesel",IF(M138&gt;=DIE_C,"C",IF(M138&gt;=DIE_B,"B","A")),""))))</f>
        <v/>
      </c>
      <c r="BG138" s="3">
        <f>IFERROR(VLOOKUP(F138,MOD_TBL,11,0),IFERROR(VLOOKUP(E138,OCU_TBL,2,0),NEUTRO))</f>
        <v/>
      </c>
      <c r="BH138" s="3">
        <f>SUMIFS(MOT_AJUSTE,MOT_MOTOR,G138,MOT_MARCA,E138,MOT_DESDE,"&lt;="&amp;M138,MOT_HASTA,"&gt;="&amp;M138)+SUMIFS(MOT_AJUSTE,MOT_MOTOR,G138,MOT_MARCA,"(todas)",MOT_DESDE,"&lt;="&amp;M138,MOT_HASTA,"&gt;="&amp;M138)</f>
        <v/>
      </c>
      <c r="BI138" s="3">
        <f>SUMIFS(COMB_AJUSTE,COMB_COMB,K138)</f>
        <v/>
      </c>
      <c r="BJ138" s="3">
        <f>COUNTIFS(MOT_MOTOR,G138,MOT_MARCA,E138,MOT_DESDE,"&lt;="&amp;M138,MOT_HASTA,"&gt;="&amp;M138)+COUNTIFS(MOT_MOTOR,G138,MOT_MARCA,"(todas)",MOT_DESDE,"&lt;="&amp;M138,MOT_HASTA,"&gt;="&amp;M138)</f>
        <v/>
      </c>
      <c r="BK138" s="3">
        <f>IF(AND(K138="diesel",BJ138=0),MIN(BG138,NEUTRO),BG138)</f>
        <v/>
      </c>
      <c r="BL138" s="4">
        <f>MAX(0,MIN(100,BK138+BH138+BI138))</f>
        <v/>
      </c>
      <c r="BM138" s="3">
        <f>MAX(0,MIN(100,50+BE138*PRECIO_PEND))</f>
        <v/>
      </c>
      <c r="BN138" s="3">
        <f>MAX(0,100*(1-N138/KM_MAX))</f>
        <v/>
      </c>
      <c r="BO138" s="3">
        <f>IF(AV138&lt;KMA_SOSP,IF(AA138="sí",100,KMA_PEN),IF(AV138&lt;=KMA_IDEAL_MAX,100,MAX(0,100*(KMA_CERO-AV138)/(KMA_CERO-KMA_IDEAL_MAX))))</f>
        <v/>
      </c>
      <c r="BP138" s="3">
        <f>MAX(0,MIN(100,100*(M138-ANIO_MIN)/(ANIO_ACTUAL-ANIO_MIN)))</f>
        <v/>
      </c>
      <c r="BQ138" s="3">
        <f>W_KMT*BN138+W_KMA*BO138+W_EDAD*BP138</f>
        <v/>
      </c>
      <c r="BR138" s="3">
        <f>P_ITV*(V138="sí")+P_LIBRO*(W138="sí")+P_CORREA*(X138="sí")+P_PROP*(Y138=1)+P_GAR*(Z138="sí")+P_FOTOS*MIN(1,N(U138)/FOTOS_OBJ)</f>
        <v/>
      </c>
      <c r="BS138" s="3">
        <f>IFERROR(VLOOKUP(BF138,ETQ_TBL,2,0),NEUTRO)</f>
        <v/>
      </c>
      <c r="BT138" s="3">
        <f>NEUTRO</f>
        <v/>
      </c>
      <c r="BU138" s="3">
        <f>IFERROR(VLOOKUP(L138,SEGURO_TBL,3,0),"")</f>
        <v/>
      </c>
      <c r="BV138" s="3">
        <f>IF(BU138="",NEUTRO,MAX(0,MIN(100,100*(SEG_REF_MAX-BU138)/(SEG_REF_MAX-SEG_REF_MIN))))</f>
        <v/>
      </c>
      <c r="BW138" s="3">
        <f>W_ET*BS138+W_CONS*BT138+W_SEG*BV138</f>
        <v/>
      </c>
      <c r="BX138" s="3">
        <f>IF(N(AB138)&gt;0,AB138,IF(AND(R138="profesional",SG_LEGAL_ON=1),GAR_LEGAL,0))</f>
        <v/>
      </c>
      <c r="BY138" s="3">
        <f>SG_GAR*MIN(1,BX138/SG_GAR_FULL)+SG_AMPL*(AC138="sí")+SG_KMC*(AF138="sí")+SG_REV*(N(AE138)&gt;0)+SG_DEV*MIN(1,N(AG138)/SG_DEV_FULL)+SG_HIST*(W138="sí")</f>
        <v/>
      </c>
      <c r="BZ138" s="3">
        <f>IFERROR(VLOOKUP(L138,CARR_PEN_TBL,2,0),0)</f>
        <v/>
      </c>
      <c r="CA138" s="3">
        <f>W_FIAB*BL138+W_PRECIO*BM138+W_KMEDAD*BQ138+W_ANUNCIO*BR138+W_USO*BW138+W_SEGURIDAD*BY138-BZ138</f>
        <v/>
      </c>
      <c r="CB138" s="4">
        <f>IF(N(I138)&gt;0,I138,IFERROR(ROUND(_xlfn.NUMBERVALUE(LEFT(G138,FIND(" ",G138&amp;" ")-1),".")*1000,0),99999))</f>
        <v/>
      </c>
      <c r="CC138" s="3">
        <f>IF(R138="profesional",0,IF(O138&lt;CUOTA_VALOR_MAX,IF(AU138&gt;ITP_TRAMO_ALTO,SUMIFS(CF_CUOTA,CF_MAS,ITP_TRAMO_ALTO,CF_CCMIN,"&lt;="&amp;CB138,CF_CCMAX,"&gt;="&amp;CB138),IF(AU138&gt;ITP_TRAMO_BAJO,SUMIFS(CF_CUOTA,CF_MAS,ITP_TRAMO_BAJO,CF_CCMIN,"&lt;="&amp;CB138,CF_CCMAX,"&gt;="&amp;CB138),O138*ITP_TIPO)),O138*ITP_TIPO))</f>
        <v/>
      </c>
      <c r="CD138" s="4">
        <f>IF(R138="profesional",N(AK138),0)</f>
        <v/>
      </c>
      <c r="CE138" s="3">
        <f>IF(AND(R138="profesional",ISNUMBER(AK138),AL138="sí"),0,TASA_DGT)</f>
        <v/>
      </c>
      <c r="CF138" s="3">
        <f>INFORME_DGT</f>
        <v/>
      </c>
      <c r="CG138" s="4">
        <f>O138+CD138+CC138+CE138+CF138</f>
        <v/>
      </c>
      <c r="CH138" s="4">
        <f>CG138+N(BU138)</f>
        <v/>
      </c>
      <c r="CI138" s="3">
        <f>IF(CG138&lt;=TOTAL_MAX,"sí",IF(CG138&lt;=TOTAL_MAX+MARGEN_NEG,"negociar","no"))</f>
        <v/>
      </c>
      <c r="CJ138" s="4">
        <f>IF(CI138&lt;&gt;"no",COUNTIFS($CI$2:$CI$662,"&lt;&gt;no",$CA$2:$CA$662,"&gt;"&amp;CA138)+COUNTIFS($CI$2:CI138,"&lt;&gt;no",$CA$2:CA138,CA138),"")</f>
        <v/>
      </c>
    </row>
    <row r="139">
      <c r="A139" s="2" t="inlineStr">
        <is>
          <t>cochesnet:71662297</t>
        </is>
      </c>
      <c r="B139" s="2" t="inlineStr">
        <is>
          <t>cochesnet</t>
        </is>
      </c>
      <c r="C139" s="2" t="inlineStr">
        <is>
          <t>https://www.coches.net/dacia-sandero-ambiance-14-5p-gasolina-2008-en-valencia-71662297-covo.aspx</t>
        </is>
      </c>
      <c r="D139" s="2" t="inlineStr">
        <is>
          <t>DACIA Sandero Ambiance 1.4</t>
        </is>
      </c>
      <c r="E139" s="2" t="inlineStr">
        <is>
          <t>Dacia</t>
        </is>
      </c>
      <c r="F139" s="2" t="inlineStr">
        <is>
          <t>Dacia Sandero</t>
        </is>
      </c>
      <c r="G139" s="2" t="inlineStr">
        <is>
          <t>1.4</t>
        </is>
      </c>
      <c r="H139" s="2" t="inlineStr">
        <is>
          <t>Ambiance 1.4</t>
        </is>
      </c>
      <c r="I139" s="2" t="n"/>
      <c r="J139" s="2" t="n"/>
      <c r="K139" s="2" t="inlineStr">
        <is>
          <t>gasolina</t>
        </is>
      </c>
      <c r="L139" s="2" t="inlineStr">
        <is>
          <t>utilitario</t>
        </is>
      </c>
      <c r="M139" s="2" t="n">
        <v>2008</v>
      </c>
      <c r="N139" s="2" t="n">
        <v>184000</v>
      </c>
      <c r="O139" s="2" t="n">
        <v>3200</v>
      </c>
      <c r="P139" s="2" t="inlineStr">
        <is>
          <t>manual</t>
        </is>
      </c>
      <c r="Q139" s="2" t="inlineStr">
        <is>
          <t>no</t>
        </is>
      </c>
      <c r="R139" s="2" t="inlineStr">
        <is>
          <t>particular</t>
        </is>
      </c>
      <c r="S139" s="2" t="inlineStr">
        <is>
          <t>Valencia</t>
        </is>
      </c>
      <c r="T139" s="2" t="inlineStr">
        <is>
          <t>2026-10-02T23:16:12Z</t>
        </is>
      </c>
      <c r="U139" s="2" t="n">
        <v>7</v>
      </c>
      <c r="V139" s="2" t="inlineStr">
        <is>
          <t>sí</t>
        </is>
      </c>
      <c r="W139" s="2" t="inlineStr">
        <is>
          <t>sí</t>
        </is>
      </c>
      <c r="X139" s="2" t="n"/>
      <c r="Y139" s="2" t="n"/>
      <c r="Z139" s="2" t="inlineStr">
        <is>
          <t>no</t>
        </is>
      </c>
      <c r="AA139" s="2" t="n"/>
      <c r="AB139" s="2" t="n"/>
      <c r="AC139" s="2" t="n"/>
      <c r="AD139" s="2" t="n"/>
      <c r="AE139" s="2" t="n"/>
      <c r="AF139" s="2" t="n"/>
      <c r="AG139" s="2" t="n"/>
      <c r="AH139" s="2" t="n">
        <v>3200</v>
      </c>
      <c r="AI139" s="2" t="n"/>
      <c r="AJ139" s="2" t="n"/>
      <c r="AK139" s="2" t="n"/>
      <c r="AL139" s="2" t="n"/>
      <c r="AM139" s="2" t="n">
        <v>0.1</v>
      </c>
      <c r="AN139" s="2" t="n">
        <v>3225</v>
      </c>
      <c r="AO139" s="2" t="n">
        <v>4</v>
      </c>
      <c r="AP139" s="2" t="inlineStr">
        <is>
          <t>modelo+año+km</t>
        </is>
      </c>
      <c r="AQ139" s="2" t="inlineStr">
        <is>
          <t>wallapop:1307444875 (https://es.wallapop.com/item/dacia-sandero-2008-1307444875)</t>
        </is>
      </c>
      <c r="AR139" s="2" t="inlineStr">
        <is>
          <t>cuota fija ITP: &gt;12 años, hasta 1.500 cc</t>
        </is>
      </c>
      <c r="AS139" s="2" t="inlineStr">
        <is>
          <t xml:space="preserve">Coche en muy buen estado, ITV hasta Febrero 2027, batería recién cambiada, etiqueta ambiental C, gasolina, mantenimiento al día.
Si desean mas fotos e informacion preguntar 
NEGOCIABLES </t>
        </is>
      </c>
      <c r="AT139" s="2" t="inlineStr">
        <is>
          <t>https://www.coches.net/dacia-sandero-ambiance-14-5p-gasolina-2008-en-valencia-71662297-covo.aspx (window.__INITIAL_PROPS__.ad) /home/user/Alopecia/buscador-coches/raw/cochesnet/83ce804c42af57db.json</t>
        </is>
      </c>
      <c r="AU139" s="3">
        <f>MAX(ANIO_ACTUAL-M139,0)</f>
        <v/>
      </c>
      <c r="AV139" s="4">
        <f>N139/MAX(AU139,0.5)</f>
        <v/>
      </c>
      <c r="AW139" s="4">
        <f>F139</f>
        <v/>
      </c>
      <c r="AX139" s="3">
        <f>AW139&amp;"|"&amp;INT(M139/SEG_ANIO)*SEG_ANIO</f>
        <v/>
      </c>
      <c r="AY139" s="3">
        <f>AX139&amp;"|"&amp;INT(N139/SEG_KM)*SEG_KM</f>
        <v/>
      </c>
      <c r="AZ139" s="4">
        <f>COUNTIF($AW$2:$AW$662,AW139)</f>
        <v/>
      </c>
      <c r="BA139" s="4">
        <f>COUNTIF($AX$2:$AX$662,AX139)</f>
        <v/>
      </c>
      <c r="BB139" s="4">
        <f>COUNTIF($AY$2:$AY$662,AY139)</f>
        <v/>
      </c>
      <c r="BC139" s="3">
        <f t="array" ref="BC139">IF(N(AO139)&gt;=MIN_N,AN139,IF(BB139&gt;=MIN_N,MEDIAN(IF($AY$2:$AY$662=AY139,$O$2:$O$662)),IF(BA139&gt;=MIN_N,MEDIAN(IF($AX$2:$AX$662=AX139,$O$2:$O$662)),MEDIAN(IF($AW$2:$AW$662=AW139,$O$2:$O$662)))))</f>
        <v/>
      </c>
      <c r="BD139" s="3">
        <f>IF(N(AO139)&gt;=MIN_N,"mercado "&amp;AP139,IF(BB139&gt;=MIN_N,"modelo+año+km",IF(BA139&gt;=MIN_N,"modelo+año","modelo")))</f>
        <v/>
      </c>
      <c r="BE139" s="4">
        <f>(BC139-O139)/BC139</f>
        <v/>
      </c>
      <c r="BF139" s="3">
        <f>IF(OR(K139="hibrido",K139="glp"),"ECO",IF(K139="electrico","CERO",IF(K139="gasolina",IF(M139&gt;=GAS_C,"C",IF(M139&gt;=GAS_B,"B","A")),IF(K139="diesel",IF(M139&gt;=DIE_C,"C",IF(M139&gt;=DIE_B,"B","A")),""))))</f>
        <v/>
      </c>
      <c r="BG139" s="3">
        <f>IFERROR(VLOOKUP(F139,MOD_TBL,11,0),IFERROR(VLOOKUP(E139,OCU_TBL,2,0),NEUTRO))</f>
        <v/>
      </c>
      <c r="BH139" s="3">
        <f>SUMIFS(MOT_AJUSTE,MOT_MOTOR,G139,MOT_MARCA,E139,MOT_DESDE,"&lt;="&amp;M139,MOT_HASTA,"&gt;="&amp;M139)+SUMIFS(MOT_AJUSTE,MOT_MOTOR,G139,MOT_MARCA,"(todas)",MOT_DESDE,"&lt;="&amp;M139,MOT_HASTA,"&gt;="&amp;M139)</f>
        <v/>
      </c>
      <c r="BI139" s="3">
        <f>SUMIFS(COMB_AJUSTE,COMB_COMB,K139)</f>
        <v/>
      </c>
      <c r="BJ139" s="3">
        <f>COUNTIFS(MOT_MOTOR,G139,MOT_MARCA,E139,MOT_DESDE,"&lt;="&amp;M139,MOT_HASTA,"&gt;="&amp;M139)+COUNTIFS(MOT_MOTOR,G139,MOT_MARCA,"(todas)",MOT_DESDE,"&lt;="&amp;M139,MOT_HASTA,"&gt;="&amp;M139)</f>
        <v/>
      </c>
      <c r="BK139" s="3">
        <f>IF(AND(K139="diesel",BJ139=0),MIN(BG139,NEUTRO),BG139)</f>
        <v/>
      </c>
      <c r="BL139" s="4">
        <f>MAX(0,MIN(100,BK139+BH139+BI139))</f>
        <v/>
      </c>
      <c r="BM139" s="3">
        <f>MAX(0,MIN(100,50+BE139*PRECIO_PEND))</f>
        <v/>
      </c>
      <c r="BN139" s="3">
        <f>MAX(0,100*(1-N139/KM_MAX))</f>
        <v/>
      </c>
      <c r="BO139" s="3">
        <f>IF(AV139&lt;KMA_SOSP,IF(AA139="sí",100,KMA_PEN),IF(AV139&lt;=KMA_IDEAL_MAX,100,MAX(0,100*(KMA_CERO-AV139)/(KMA_CERO-KMA_IDEAL_MAX))))</f>
        <v/>
      </c>
      <c r="BP139" s="3">
        <f>MAX(0,MIN(100,100*(M139-ANIO_MIN)/(ANIO_ACTUAL-ANIO_MIN)))</f>
        <v/>
      </c>
      <c r="BQ139" s="3">
        <f>W_KMT*BN139+W_KMA*BO139+W_EDAD*BP139</f>
        <v/>
      </c>
      <c r="BR139" s="3">
        <f>P_ITV*(V139="sí")+P_LIBRO*(W139="sí")+P_CORREA*(X139="sí")+P_PROP*(Y139=1)+P_GAR*(Z139="sí")+P_FOTOS*MIN(1,N(U139)/FOTOS_OBJ)</f>
        <v/>
      </c>
      <c r="BS139" s="3">
        <f>IFERROR(VLOOKUP(BF139,ETQ_TBL,2,0),NEUTRO)</f>
        <v/>
      </c>
      <c r="BT139" s="3">
        <f>NEUTRO</f>
        <v/>
      </c>
      <c r="BU139" s="3">
        <f>IFERROR(VLOOKUP(L139,SEGURO_TBL,3,0),"")</f>
        <v/>
      </c>
      <c r="BV139" s="3">
        <f>IF(BU139="",NEUTRO,MAX(0,MIN(100,100*(SEG_REF_MAX-BU139)/(SEG_REF_MAX-SEG_REF_MIN))))</f>
        <v/>
      </c>
      <c r="BW139" s="3">
        <f>W_ET*BS139+W_CONS*BT139+W_SEG*BV139</f>
        <v/>
      </c>
      <c r="BX139" s="3">
        <f>IF(N(AB139)&gt;0,AB139,IF(AND(R139="profesional",SG_LEGAL_ON=1),GAR_LEGAL,0))</f>
        <v/>
      </c>
      <c r="BY139" s="3">
        <f>SG_GAR*MIN(1,BX139/SG_GAR_FULL)+SG_AMPL*(AC139="sí")+SG_KMC*(AF139="sí")+SG_REV*(N(AE139)&gt;0)+SG_DEV*MIN(1,N(AG139)/SG_DEV_FULL)+SG_HIST*(W139="sí")</f>
        <v/>
      </c>
      <c r="BZ139" s="3">
        <f>IFERROR(VLOOKUP(L139,CARR_PEN_TBL,2,0),0)</f>
        <v/>
      </c>
      <c r="CA139" s="3">
        <f>W_FIAB*BL139+W_PRECIO*BM139+W_KMEDAD*BQ139+W_ANUNCIO*BR139+W_USO*BW139+W_SEGURIDAD*BY139-BZ139</f>
        <v/>
      </c>
      <c r="CB139" s="4">
        <f>IF(N(I139)&gt;0,I139,IFERROR(ROUND(_xlfn.NUMBERVALUE(LEFT(G139,FIND(" ",G139&amp;" ")-1),".")*1000,0),99999))</f>
        <v/>
      </c>
      <c r="CC139" s="3">
        <f>IF(R139="profesional",0,IF(O139&lt;CUOTA_VALOR_MAX,IF(AU139&gt;ITP_TRAMO_ALTO,SUMIFS(CF_CUOTA,CF_MAS,ITP_TRAMO_ALTO,CF_CCMIN,"&lt;="&amp;CB139,CF_CCMAX,"&gt;="&amp;CB139),IF(AU139&gt;ITP_TRAMO_BAJO,SUMIFS(CF_CUOTA,CF_MAS,ITP_TRAMO_BAJO,CF_CCMIN,"&lt;="&amp;CB139,CF_CCMAX,"&gt;="&amp;CB139),O139*ITP_TIPO)),O139*ITP_TIPO))</f>
        <v/>
      </c>
      <c r="CD139" s="4">
        <f>IF(R139="profesional",N(AK139),0)</f>
        <v/>
      </c>
      <c r="CE139" s="3">
        <f>IF(AND(R139="profesional",ISNUMBER(AK139),AL139="sí"),0,TASA_DGT)</f>
        <v/>
      </c>
      <c r="CF139" s="3">
        <f>INFORME_DGT</f>
        <v/>
      </c>
      <c r="CG139" s="4">
        <f>O139+CD139+CC139+CE139+CF139</f>
        <v/>
      </c>
      <c r="CH139" s="4">
        <f>CG139+N(BU139)</f>
        <v/>
      </c>
      <c r="CI139" s="3">
        <f>IF(CG139&lt;=TOTAL_MAX,"sí",IF(CG139&lt;=TOTAL_MAX+MARGEN_NEG,"negociar","no"))</f>
        <v/>
      </c>
      <c r="CJ139" s="4">
        <f>IF(CI139&lt;&gt;"no",COUNTIFS($CI$2:$CI$662,"&lt;&gt;no",$CA$2:$CA$662,"&gt;"&amp;CA139)+COUNTIFS($CI$2:CI139,"&lt;&gt;no",$CA$2:CA139,CA139),"")</f>
        <v/>
      </c>
    </row>
    <row r="140">
      <c r="A140" s="2" t="inlineStr">
        <is>
          <t>cochesnet:71576210</t>
        </is>
      </c>
      <c r="B140" s="2" t="inlineStr">
        <is>
          <t>cochesnet</t>
        </is>
      </c>
      <c r="C140" s="2" t="inlineStr">
        <is>
          <t>https://www.coches.net/dacia-sandero-diesel-2010-en-valencia-71576210-covo.aspx</t>
        </is>
      </c>
      <c r="D140" s="2" t="inlineStr">
        <is>
          <t>DACIA Sandero</t>
        </is>
      </c>
      <c r="E140" s="2" t="inlineStr">
        <is>
          <t>Dacia</t>
        </is>
      </c>
      <c r="F140" s="2" t="inlineStr">
        <is>
          <t>Dacia Sandero</t>
        </is>
      </c>
      <c r="G140" s="2" t="n"/>
      <c r="H140" s="2" t="n"/>
      <c r="I140" s="2" t="n"/>
      <c r="J140" s="2" t="n"/>
      <c r="K140" s="2" t="inlineStr">
        <is>
          <t>diesel</t>
        </is>
      </c>
      <c r="L140" s="2" t="inlineStr">
        <is>
          <t>utilitario</t>
        </is>
      </c>
      <c r="M140" s="2" t="n">
        <v>2010</v>
      </c>
      <c r="N140" s="2" t="n">
        <v>210000</v>
      </c>
      <c r="O140" s="2" t="n">
        <v>2650</v>
      </c>
      <c r="P140" s="2" t="inlineStr">
        <is>
          <t>manual</t>
        </is>
      </c>
      <c r="Q140" s="2" t="inlineStr">
        <is>
          <t>no</t>
        </is>
      </c>
      <c r="R140" s="2" t="inlineStr">
        <is>
          <t>particular</t>
        </is>
      </c>
      <c r="S140" s="2" t="inlineStr">
        <is>
          <t>Vinalesa</t>
        </is>
      </c>
      <c r="T140" s="2" t="inlineStr">
        <is>
          <t>2026-09-22T19:10:34Z</t>
        </is>
      </c>
      <c r="U140" s="2" t="n">
        <v>4</v>
      </c>
      <c r="V140" s="2" t="inlineStr">
        <is>
          <t>sí</t>
        </is>
      </c>
      <c r="W140" s="2" t="n"/>
      <c r="X140" s="2" t="n"/>
      <c r="Y140" s="2" t="n"/>
      <c r="Z140" s="2" t="inlineStr">
        <is>
          <t>no</t>
        </is>
      </c>
      <c r="AA140" s="2" t="n"/>
      <c r="AB140" s="2" t="n"/>
      <c r="AC140" s="2" t="n"/>
      <c r="AD140" s="2" t="n"/>
      <c r="AE140" s="2" t="n"/>
      <c r="AF140" s="2" t="n"/>
      <c r="AG140" s="2" t="n"/>
      <c r="AH140" s="2" t="n">
        <v>2650</v>
      </c>
      <c r="AI140" s="2" t="n"/>
      <c r="AJ140" s="2" t="n"/>
      <c r="AK140" s="2" t="n"/>
      <c r="AL140" s="2" t="n"/>
      <c r="AM140" s="2" t="n">
        <v>7.6</v>
      </c>
      <c r="AN140" s="2" t="n">
        <v>3800</v>
      </c>
      <c r="AO140" s="2" t="n">
        <v>8</v>
      </c>
      <c r="AP140" s="2" t="inlineStr">
        <is>
          <t>modelo+año</t>
        </is>
      </c>
      <c r="AQ140" s="2" t="n"/>
      <c r="AR140" s="2" t="inlineStr">
        <is>
          <t>cilindrada desconocida: se aplica el tramo de cuota fija más alto; cuota fija ITP: &gt;12 años, más de 2.000 cc; diésel: motor sin fuente de fiabilidad (fiabilidad limitada a neutra)</t>
        </is>
      </c>
      <c r="AS140" s="2" t="inlineStr">
        <is>
          <t>Vendo Dacia Sandero 1.5dci 85 caballos coche con ITV hasta julio del 2027. El Coche tiene todos los extras más información por privado. Gracias</t>
        </is>
      </c>
      <c r="AT140" s="2" t="inlineStr">
        <is>
          <t>https://www.coches.net/dacia-sandero-diesel-2010-en-valencia-71576210-covo.aspx (window.__INITIAL_PROPS__.ad) /home/user/Alopecia/buscador-coches/raw/cochesnet/d350643f0716cfd1.json</t>
        </is>
      </c>
      <c r="AU140" s="3">
        <f>MAX(ANIO_ACTUAL-M140,0)</f>
        <v/>
      </c>
      <c r="AV140" s="4">
        <f>N140/MAX(AU140,0.5)</f>
        <v/>
      </c>
      <c r="AW140" s="4">
        <f>F140</f>
        <v/>
      </c>
      <c r="AX140" s="3">
        <f>AW140&amp;"|"&amp;INT(M140/SEG_ANIO)*SEG_ANIO</f>
        <v/>
      </c>
      <c r="AY140" s="3">
        <f>AX140&amp;"|"&amp;INT(N140/SEG_KM)*SEG_KM</f>
        <v/>
      </c>
      <c r="AZ140" s="4">
        <f>COUNTIF($AW$2:$AW$662,AW140)</f>
        <v/>
      </c>
      <c r="BA140" s="4">
        <f>COUNTIF($AX$2:$AX$662,AX140)</f>
        <v/>
      </c>
      <c r="BB140" s="4">
        <f>COUNTIF($AY$2:$AY$662,AY140)</f>
        <v/>
      </c>
      <c r="BC140" s="3">
        <f t="array" ref="BC140">IF(N(AO140)&gt;=MIN_N,AN140,IF(BB140&gt;=MIN_N,MEDIAN(IF($AY$2:$AY$662=AY140,$O$2:$O$662)),IF(BA140&gt;=MIN_N,MEDIAN(IF($AX$2:$AX$662=AX140,$O$2:$O$662)),MEDIAN(IF($AW$2:$AW$662=AW140,$O$2:$O$662)))))</f>
        <v/>
      </c>
      <c r="BD140" s="3">
        <f>IF(N(AO140)&gt;=MIN_N,"mercado "&amp;AP140,IF(BB140&gt;=MIN_N,"modelo+año+km",IF(BA140&gt;=MIN_N,"modelo+año","modelo")))</f>
        <v/>
      </c>
      <c r="BE140" s="4">
        <f>(BC140-O140)/BC140</f>
        <v/>
      </c>
      <c r="BF140" s="3">
        <f>IF(OR(K140="hibrido",K140="glp"),"ECO",IF(K140="electrico","CERO",IF(K140="gasolina",IF(M140&gt;=GAS_C,"C",IF(M140&gt;=GAS_B,"B","A")),IF(K140="diesel",IF(M140&gt;=DIE_C,"C",IF(M140&gt;=DIE_B,"B","A")),""))))</f>
        <v/>
      </c>
      <c r="BG140" s="3">
        <f>IFERROR(VLOOKUP(F140,MOD_TBL,11,0),IFERROR(VLOOKUP(E140,OCU_TBL,2,0),NEUTRO))</f>
        <v/>
      </c>
      <c r="BH140" s="3">
        <f>SUMIFS(MOT_AJUSTE,MOT_MOTOR,G140,MOT_MARCA,E140,MOT_DESDE,"&lt;="&amp;M140,MOT_HASTA,"&gt;="&amp;M140)+SUMIFS(MOT_AJUSTE,MOT_MOTOR,G140,MOT_MARCA,"(todas)",MOT_DESDE,"&lt;="&amp;M140,MOT_HASTA,"&gt;="&amp;M140)</f>
        <v/>
      </c>
      <c r="BI140" s="3">
        <f>SUMIFS(COMB_AJUSTE,COMB_COMB,K140)</f>
        <v/>
      </c>
      <c r="BJ140" s="3">
        <f>COUNTIFS(MOT_MOTOR,G140,MOT_MARCA,E140,MOT_DESDE,"&lt;="&amp;M140,MOT_HASTA,"&gt;="&amp;M140)+COUNTIFS(MOT_MOTOR,G140,MOT_MARCA,"(todas)",MOT_DESDE,"&lt;="&amp;M140,MOT_HASTA,"&gt;="&amp;M140)</f>
        <v/>
      </c>
      <c r="BK140" s="3">
        <f>IF(AND(K140="diesel",BJ140=0),MIN(BG140,NEUTRO),BG140)</f>
        <v/>
      </c>
      <c r="BL140" s="4">
        <f>MAX(0,MIN(100,BK140+BH140+BI140))</f>
        <v/>
      </c>
      <c r="BM140" s="3">
        <f>MAX(0,MIN(100,50+BE140*PRECIO_PEND))</f>
        <v/>
      </c>
      <c r="BN140" s="3">
        <f>MAX(0,100*(1-N140/KM_MAX))</f>
        <v/>
      </c>
      <c r="BO140" s="3">
        <f>IF(AV140&lt;KMA_SOSP,IF(AA140="sí",100,KMA_PEN),IF(AV140&lt;=KMA_IDEAL_MAX,100,MAX(0,100*(KMA_CERO-AV140)/(KMA_CERO-KMA_IDEAL_MAX))))</f>
        <v/>
      </c>
      <c r="BP140" s="3">
        <f>MAX(0,MIN(100,100*(M140-ANIO_MIN)/(ANIO_ACTUAL-ANIO_MIN)))</f>
        <v/>
      </c>
      <c r="BQ140" s="3">
        <f>W_KMT*BN140+W_KMA*BO140+W_EDAD*BP140</f>
        <v/>
      </c>
      <c r="BR140" s="3">
        <f>P_ITV*(V140="sí")+P_LIBRO*(W140="sí")+P_CORREA*(X140="sí")+P_PROP*(Y140=1)+P_GAR*(Z140="sí")+P_FOTOS*MIN(1,N(U140)/FOTOS_OBJ)</f>
        <v/>
      </c>
      <c r="BS140" s="3">
        <f>IFERROR(VLOOKUP(BF140,ETQ_TBL,2,0),NEUTRO)</f>
        <v/>
      </c>
      <c r="BT140" s="3">
        <f>NEUTRO</f>
        <v/>
      </c>
      <c r="BU140" s="3">
        <f>IFERROR(VLOOKUP(L140,SEGURO_TBL,3,0),"")</f>
        <v/>
      </c>
      <c r="BV140" s="3">
        <f>IF(BU140="",NEUTRO,MAX(0,MIN(100,100*(SEG_REF_MAX-BU140)/(SEG_REF_MAX-SEG_REF_MIN))))</f>
        <v/>
      </c>
      <c r="BW140" s="3">
        <f>W_ET*BS140+W_CONS*BT140+W_SEG*BV140</f>
        <v/>
      </c>
      <c r="BX140" s="3">
        <f>IF(N(AB140)&gt;0,AB140,IF(AND(R140="profesional",SG_LEGAL_ON=1),GAR_LEGAL,0))</f>
        <v/>
      </c>
      <c r="BY140" s="3">
        <f>SG_GAR*MIN(1,BX140/SG_GAR_FULL)+SG_AMPL*(AC140="sí")+SG_KMC*(AF140="sí")+SG_REV*(N(AE140)&gt;0)+SG_DEV*MIN(1,N(AG140)/SG_DEV_FULL)+SG_HIST*(W140="sí")</f>
        <v/>
      </c>
      <c r="BZ140" s="3">
        <f>IFERROR(VLOOKUP(L140,CARR_PEN_TBL,2,0),0)</f>
        <v/>
      </c>
      <c r="CA140" s="3">
        <f>W_FIAB*BL140+W_PRECIO*BM140+W_KMEDAD*BQ140+W_ANUNCIO*BR140+W_USO*BW140+W_SEGURIDAD*BY140-BZ140</f>
        <v/>
      </c>
      <c r="CB140" s="4">
        <f>IF(N(I140)&gt;0,I140,IFERROR(ROUND(_xlfn.NUMBERVALUE(LEFT(G140,FIND(" ",G140&amp;" ")-1),".")*1000,0),99999))</f>
        <v/>
      </c>
      <c r="CC140" s="3">
        <f>IF(R140="profesional",0,IF(O140&lt;CUOTA_VALOR_MAX,IF(AU140&gt;ITP_TRAMO_ALTO,SUMIFS(CF_CUOTA,CF_MAS,ITP_TRAMO_ALTO,CF_CCMIN,"&lt;="&amp;CB140,CF_CCMAX,"&gt;="&amp;CB140),IF(AU140&gt;ITP_TRAMO_BAJO,SUMIFS(CF_CUOTA,CF_MAS,ITP_TRAMO_BAJO,CF_CCMIN,"&lt;="&amp;CB140,CF_CCMAX,"&gt;="&amp;CB140),O140*ITP_TIPO)),O140*ITP_TIPO))</f>
        <v/>
      </c>
      <c r="CD140" s="4">
        <f>IF(R140="profesional",N(AK140),0)</f>
        <v/>
      </c>
      <c r="CE140" s="3">
        <f>IF(AND(R140="profesional",ISNUMBER(AK140),AL140="sí"),0,TASA_DGT)</f>
        <v/>
      </c>
      <c r="CF140" s="3">
        <f>INFORME_DGT</f>
        <v/>
      </c>
      <c r="CG140" s="4">
        <f>O140+CD140+CC140+CE140+CF140</f>
        <v/>
      </c>
      <c r="CH140" s="4">
        <f>CG140+N(BU140)</f>
        <v/>
      </c>
      <c r="CI140" s="3">
        <f>IF(CG140&lt;=TOTAL_MAX,"sí",IF(CG140&lt;=TOTAL_MAX+MARGEN_NEG,"negociar","no"))</f>
        <v/>
      </c>
      <c r="CJ140" s="4">
        <f>IF(CI140&lt;&gt;"no",COUNTIFS($CI$2:$CI$662,"&lt;&gt;no",$CA$2:$CA$662,"&gt;"&amp;CA140)+COUNTIFS($CI$2:CI140,"&lt;&gt;no",$CA$2:CA140,CA140),"")</f>
        <v/>
      </c>
    </row>
    <row r="141">
      <c r="A141" s="2" t="inlineStr">
        <is>
          <t>cochesnet:71393663</t>
        </is>
      </c>
      <c r="B141" s="2" t="inlineStr">
        <is>
          <t>cochesnet</t>
        </is>
      </c>
      <c r="C141" s="2" t="inlineStr">
        <is>
          <t>https://www.coches.net/dacia-sandero-gasolina-2010-en-valencia-71393663-covo.aspx</t>
        </is>
      </c>
      <c r="D141" s="2" t="inlineStr">
        <is>
          <t>DACIA Sandero Laureate 1.2 16v</t>
        </is>
      </c>
      <c r="E141" s="2" t="inlineStr">
        <is>
          <t>Dacia</t>
        </is>
      </c>
      <c r="F141" s="2" t="inlineStr">
        <is>
          <t>Dacia Sandero</t>
        </is>
      </c>
      <c r="G141" s="2" t="inlineStr">
        <is>
          <t>1.2</t>
        </is>
      </c>
      <c r="H141" s="2" t="inlineStr">
        <is>
          <t>Laureate 1.2 16v 75cv</t>
        </is>
      </c>
      <c r="I141" s="2" t="n"/>
      <c r="J141" s="2" t="n">
        <v>75</v>
      </c>
      <c r="K141" s="2" t="inlineStr">
        <is>
          <t>gasolina</t>
        </is>
      </c>
      <c r="L141" s="2" t="inlineStr">
        <is>
          <t>utilitario</t>
        </is>
      </c>
      <c r="M141" s="2" t="n">
        <v>2010</v>
      </c>
      <c r="N141" s="2" t="n">
        <v>143000</v>
      </c>
      <c r="O141" s="2" t="n">
        <v>4000</v>
      </c>
      <c r="P141" s="2" t="inlineStr">
        <is>
          <t>manual</t>
        </is>
      </c>
      <c r="Q141" s="2" t="inlineStr">
        <is>
          <t>no</t>
        </is>
      </c>
      <c r="R141" s="2" t="inlineStr">
        <is>
          <t>particular</t>
        </is>
      </c>
      <c r="S141" s="2" t="n"/>
      <c r="T141" s="2" t="inlineStr">
        <is>
          <t>2026-08-30T09:47:21Z</t>
        </is>
      </c>
      <c r="U141" s="2" t="n">
        <v>9</v>
      </c>
      <c r="V141" s="2" t="n"/>
      <c r="W141" s="2" t="n"/>
      <c r="X141" s="2" t="n"/>
      <c r="Y141" s="2" t="n"/>
      <c r="Z141" s="2" t="inlineStr">
        <is>
          <t>no</t>
        </is>
      </c>
      <c r="AA141" s="2" t="n"/>
      <c r="AB141" s="2" t="n"/>
      <c r="AC141" s="2" t="n"/>
      <c r="AD141" s="2" t="n"/>
      <c r="AE141" s="2" t="n"/>
      <c r="AF141" s="2" t="n"/>
      <c r="AG141" s="2" t="n"/>
      <c r="AH141" s="2" t="n">
        <v>4000</v>
      </c>
      <c r="AI141" s="2" t="n"/>
      <c r="AJ141" s="2" t="n"/>
      <c r="AK141" s="2" t="n"/>
      <c r="AL141" s="2" t="n"/>
      <c r="AM141" s="2" t="n"/>
      <c r="AN141" s="2" t="n">
        <v>3800</v>
      </c>
      <c r="AO141" s="2" t="n">
        <v>8</v>
      </c>
      <c r="AP141" s="2" t="inlineStr">
        <is>
          <t>modelo+año</t>
        </is>
      </c>
      <c r="AQ141" s="2" t="n"/>
      <c r="AR141" s="2" t="inlineStr">
        <is>
          <t>cuota fija ITP: &gt;12 años, hasta 1.500 cc; distancia no verificable (el anuncio solo indica la provincia): confirmar que está a &lt;= 70 km</t>
        </is>
      </c>
      <c r="AS141" s="2" t="inlineStr">
        <is>
          <t xml:space="preserve">aceite, filtros, patillas de freno recién cambiados, itv hace un mes se le hizo, lo único el aire me dejó de enfriar hace una semana! del resto perfecto </t>
        </is>
      </c>
      <c r="AT141" s="2" t="inlineStr">
        <is>
          <t>https://www.coches.net/dacia-sandero-gasolina-2010-en-valencia-71393663-covo.aspx (window.__INITIAL_PROPS__.ad) /home/user/Alopecia/buscador-coches/raw/cochesnet/f15dade2dad63cd0.json</t>
        </is>
      </c>
      <c r="AU141" s="3">
        <f>MAX(ANIO_ACTUAL-M141,0)</f>
        <v/>
      </c>
      <c r="AV141" s="4">
        <f>N141/MAX(AU141,0.5)</f>
        <v/>
      </c>
      <c r="AW141" s="4">
        <f>F141</f>
        <v/>
      </c>
      <c r="AX141" s="3">
        <f>AW141&amp;"|"&amp;INT(M141/SEG_ANIO)*SEG_ANIO</f>
        <v/>
      </c>
      <c r="AY141" s="3">
        <f>AX141&amp;"|"&amp;INT(N141/SEG_KM)*SEG_KM</f>
        <v/>
      </c>
      <c r="AZ141" s="4">
        <f>COUNTIF($AW$2:$AW$662,AW141)</f>
        <v/>
      </c>
      <c r="BA141" s="4">
        <f>COUNTIF($AX$2:$AX$662,AX141)</f>
        <v/>
      </c>
      <c r="BB141" s="4">
        <f>COUNTIF($AY$2:$AY$662,AY141)</f>
        <v/>
      </c>
      <c r="BC141" s="3">
        <f t="array" ref="BC141">IF(N(AO141)&gt;=MIN_N,AN141,IF(BB141&gt;=MIN_N,MEDIAN(IF($AY$2:$AY$662=AY141,$O$2:$O$662)),IF(BA141&gt;=MIN_N,MEDIAN(IF($AX$2:$AX$662=AX141,$O$2:$O$662)),MEDIAN(IF($AW$2:$AW$662=AW141,$O$2:$O$662)))))</f>
        <v/>
      </c>
      <c r="BD141" s="3">
        <f>IF(N(AO141)&gt;=MIN_N,"mercado "&amp;AP141,IF(BB141&gt;=MIN_N,"modelo+año+km",IF(BA141&gt;=MIN_N,"modelo+año","modelo")))</f>
        <v/>
      </c>
      <c r="BE141" s="4">
        <f>(BC141-O141)/BC141</f>
        <v/>
      </c>
      <c r="BF141" s="3">
        <f>IF(OR(K141="hibrido",K141="glp"),"ECO",IF(K141="electrico","CERO",IF(K141="gasolina",IF(M141&gt;=GAS_C,"C",IF(M141&gt;=GAS_B,"B","A")),IF(K141="diesel",IF(M141&gt;=DIE_C,"C",IF(M141&gt;=DIE_B,"B","A")),""))))</f>
        <v/>
      </c>
      <c r="BG141" s="3">
        <f>IFERROR(VLOOKUP(F141,MOD_TBL,11,0),IFERROR(VLOOKUP(E141,OCU_TBL,2,0),NEUTRO))</f>
        <v/>
      </c>
      <c r="BH141" s="3">
        <f>SUMIFS(MOT_AJUSTE,MOT_MOTOR,G141,MOT_MARCA,E141,MOT_DESDE,"&lt;="&amp;M141,MOT_HASTA,"&gt;="&amp;M141)+SUMIFS(MOT_AJUSTE,MOT_MOTOR,G141,MOT_MARCA,"(todas)",MOT_DESDE,"&lt;="&amp;M141,MOT_HASTA,"&gt;="&amp;M141)</f>
        <v/>
      </c>
      <c r="BI141" s="3">
        <f>SUMIFS(COMB_AJUSTE,COMB_COMB,K141)</f>
        <v/>
      </c>
      <c r="BJ141" s="3">
        <f>COUNTIFS(MOT_MOTOR,G141,MOT_MARCA,E141,MOT_DESDE,"&lt;="&amp;M141,MOT_HASTA,"&gt;="&amp;M141)+COUNTIFS(MOT_MOTOR,G141,MOT_MARCA,"(todas)",MOT_DESDE,"&lt;="&amp;M141,MOT_HASTA,"&gt;="&amp;M141)</f>
        <v/>
      </c>
      <c r="BK141" s="3">
        <f>IF(AND(K141="diesel",BJ141=0),MIN(BG141,NEUTRO),BG141)</f>
        <v/>
      </c>
      <c r="BL141" s="4">
        <f>MAX(0,MIN(100,BK141+BH141+BI141))</f>
        <v/>
      </c>
      <c r="BM141" s="3">
        <f>MAX(0,MIN(100,50+BE141*PRECIO_PEND))</f>
        <v/>
      </c>
      <c r="BN141" s="3">
        <f>MAX(0,100*(1-N141/KM_MAX))</f>
        <v/>
      </c>
      <c r="BO141" s="3">
        <f>IF(AV141&lt;KMA_SOSP,IF(AA141="sí",100,KMA_PEN),IF(AV141&lt;=KMA_IDEAL_MAX,100,MAX(0,100*(KMA_CERO-AV141)/(KMA_CERO-KMA_IDEAL_MAX))))</f>
        <v/>
      </c>
      <c r="BP141" s="3">
        <f>MAX(0,MIN(100,100*(M141-ANIO_MIN)/(ANIO_ACTUAL-ANIO_MIN)))</f>
        <v/>
      </c>
      <c r="BQ141" s="3">
        <f>W_KMT*BN141+W_KMA*BO141+W_EDAD*BP141</f>
        <v/>
      </c>
      <c r="BR141" s="3">
        <f>P_ITV*(V141="sí")+P_LIBRO*(W141="sí")+P_CORREA*(X141="sí")+P_PROP*(Y141=1)+P_GAR*(Z141="sí")+P_FOTOS*MIN(1,N(U141)/FOTOS_OBJ)</f>
        <v/>
      </c>
      <c r="BS141" s="3">
        <f>IFERROR(VLOOKUP(BF141,ETQ_TBL,2,0),NEUTRO)</f>
        <v/>
      </c>
      <c r="BT141" s="3">
        <f>NEUTRO</f>
        <v/>
      </c>
      <c r="BU141" s="3">
        <f>IFERROR(VLOOKUP(L141,SEGURO_TBL,3,0),"")</f>
        <v/>
      </c>
      <c r="BV141" s="3">
        <f>IF(BU141="",NEUTRO,MAX(0,MIN(100,100*(SEG_REF_MAX-BU141)/(SEG_REF_MAX-SEG_REF_MIN))))</f>
        <v/>
      </c>
      <c r="BW141" s="3">
        <f>W_ET*BS141+W_CONS*BT141+W_SEG*BV141</f>
        <v/>
      </c>
      <c r="BX141" s="3">
        <f>IF(N(AB141)&gt;0,AB141,IF(AND(R141="profesional",SG_LEGAL_ON=1),GAR_LEGAL,0))</f>
        <v/>
      </c>
      <c r="BY141" s="3">
        <f>SG_GAR*MIN(1,BX141/SG_GAR_FULL)+SG_AMPL*(AC141="sí")+SG_KMC*(AF141="sí")+SG_REV*(N(AE141)&gt;0)+SG_DEV*MIN(1,N(AG141)/SG_DEV_FULL)+SG_HIST*(W141="sí")</f>
        <v/>
      </c>
      <c r="BZ141" s="3">
        <f>IFERROR(VLOOKUP(L141,CARR_PEN_TBL,2,0),0)</f>
        <v/>
      </c>
      <c r="CA141" s="3">
        <f>W_FIAB*BL141+W_PRECIO*BM141+W_KMEDAD*BQ141+W_ANUNCIO*BR141+W_USO*BW141+W_SEGURIDAD*BY141-BZ141</f>
        <v/>
      </c>
      <c r="CB141" s="4">
        <f>IF(N(I141)&gt;0,I141,IFERROR(ROUND(_xlfn.NUMBERVALUE(LEFT(G141,FIND(" ",G141&amp;" ")-1),".")*1000,0),99999))</f>
        <v/>
      </c>
      <c r="CC141" s="3">
        <f>IF(R141="profesional",0,IF(O141&lt;CUOTA_VALOR_MAX,IF(AU141&gt;ITP_TRAMO_ALTO,SUMIFS(CF_CUOTA,CF_MAS,ITP_TRAMO_ALTO,CF_CCMIN,"&lt;="&amp;CB141,CF_CCMAX,"&gt;="&amp;CB141),IF(AU141&gt;ITP_TRAMO_BAJO,SUMIFS(CF_CUOTA,CF_MAS,ITP_TRAMO_BAJO,CF_CCMIN,"&lt;="&amp;CB141,CF_CCMAX,"&gt;="&amp;CB141),O141*ITP_TIPO)),O141*ITP_TIPO))</f>
        <v/>
      </c>
      <c r="CD141" s="4">
        <f>IF(R141="profesional",N(AK141),0)</f>
        <v/>
      </c>
      <c r="CE141" s="3">
        <f>IF(AND(R141="profesional",ISNUMBER(AK141),AL141="sí"),0,TASA_DGT)</f>
        <v/>
      </c>
      <c r="CF141" s="3">
        <f>INFORME_DGT</f>
        <v/>
      </c>
      <c r="CG141" s="4">
        <f>O141+CD141+CC141+CE141+CF141</f>
        <v/>
      </c>
      <c r="CH141" s="4">
        <f>CG141+N(BU141)</f>
        <v/>
      </c>
      <c r="CI141" s="3">
        <f>IF(CG141&lt;=TOTAL_MAX,"sí",IF(CG141&lt;=TOTAL_MAX+MARGEN_NEG,"negociar","no"))</f>
        <v/>
      </c>
      <c r="CJ141" s="4">
        <f>IF(CI141&lt;&gt;"no",COUNTIFS($CI$2:$CI$662,"&lt;&gt;no",$CA$2:$CA$662,"&gt;"&amp;CA141)+COUNTIFS($CI$2:CI141,"&lt;&gt;no",$CA$2:CA141,CA141),"")</f>
        <v/>
      </c>
    </row>
    <row r="142">
      <c r="A142" s="2" t="inlineStr">
        <is>
          <t>cochesnet:71571620</t>
        </is>
      </c>
      <c r="B142" s="2" t="inlineStr">
        <is>
          <t>cochesnet</t>
        </is>
      </c>
      <c r="C142" s="2" t="inlineStr">
        <is>
          <t>https://www.coches.net/dacia-logan-laureate-14-4p-gasolina-2007-en-valencia-71571620-covo.aspx</t>
        </is>
      </c>
      <c r="D142" s="2" t="inlineStr">
        <is>
          <t>DACIA Logan Laureate 1.4</t>
        </is>
      </c>
      <c r="E142" s="2" t="inlineStr">
        <is>
          <t>Dacia</t>
        </is>
      </c>
      <c r="F142" s="2" t="inlineStr">
        <is>
          <t>Dacia Logan</t>
        </is>
      </c>
      <c r="G142" s="2" t="inlineStr">
        <is>
          <t>1.4</t>
        </is>
      </c>
      <c r="H142" s="2" t="inlineStr">
        <is>
          <t>Laureate 1.4</t>
        </is>
      </c>
      <c r="I142" s="2" t="n"/>
      <c r="J142" s="2" t="n"/>
      <c r="K142" s="2" t="inlineStr">
        <is>
          <t>gasolina</t>
        </is>
      </c>
      <c r="L142" s="2" t="inlineStr">
        <is>
          <t>berlina</t>
        </is>
      </c>
      <c r="M142" s="2" t="n">
        <v>2008</v>
      </c>
      <c r="N142" s="2" t="n">
        <v>128293</v>
      </c>
      <c r="O142" s="2" t="n">
        <v>3490</v>
      </c>
      <c r="P142" s="2" t="inlineStr">
        <is>
          <t>manual</t>
        </is>
      </c>
      <c r="Q142" s="2" t="inlineStr">
        <is>
          <t>no</t>
        </is>
      </c>
      <c r="R142" s="2" t="inlineStr">
        <is>
          <t>profesional</t>
        </is>
      </c>
      <c r="S142" s="2" t="inlineStr">
        <is>
          <t>AUTOSCOL Torrent</t>
        </is>
      </c>
      <c r="T142" s="2" t="inlineStr">
        <is>
          <t>2026-09-22T15:40:22Z</t>
        </is>
      </c>
      <c r="U142" s="2" t="n">
        <v>18</v>
      </c>
      <c r="V142" s="2" t="n"/>
      <c r="W142" s="2" t="n"/>
      <c r="X142" s="2" t="n"/>
      <c r="Y142" s="2" t="n"/>
      <c r="Z142" s="2" t="inlineStr">
        <is>
          <t>sí</t>
        </is>
      </c>
      <c r="AA142" s="2" t="n"/>
      <c r="AB142" s="2" t="n">
        <v>12</v>
      </c>
      <c r="AC142" s="2" t="n"/>
      <c r="AD142" s="2" t="n"/>
      <c r="AE142" s="2" t="n"/>
      <c r="AF142" s="2" t="n"/>
      <c r="AG142" s="2" t="n"/>
      <c r="AH142" s="2" t="n">
        <v>3490</v>
      </c>
      <c r="AI142" s="2" t="n"/>
      <c r="AJ142" s="2" t="n"/>
      <c r="AK142" s="2" t="n">
        <v>180</v>
      </c>
      <c r="AL142" s="2" t="inlineStr">
        <is>
          <t>sí</t>
        </is>
      </c>
      <c r="AM142" s="2" t="n">
        <v>8.800000000000001</v>
      </c>
      <c r="AN142" s="2" t="n"/>
      <c r="AO142" s="2" t="n"/>
      <c r="AP142" s="2" t="n"/>
      <c r="AQ142" s="2" t="n"/>
      <c r="AR142" s="2" t="inlineStr">
        <is>
          <t>vendedor profesional: sin ITP (operación con IVA/REBU, confirmar en factura); carrocería berlina: -4 puntos</t>
        </is>
      </c>
      <c r="AS142" s="2" t="inlineStr">
        <is>
          <t>DACIA LOGAN 1.4 LAUREATE 75 CV – AÑO 2008
? 128.293 km reales
? Gasolina | Cambio manual | 5 puertas
? Color azul
? Distintivo ambiental: Etiqueta C
Coche revisado y preparado en nuestras instalaciones antes de la venta. Motor 1.4 de mecánica Renault, sencilla y resistente, con recambios muy económicos y barato de mantener.
Maletero muy amplio y mucho espacio interior. Ideal como primer coche, para trabajar o para uso diario.
?? PRECIO: 3.490 €
??? Garantía de 12 meses
?? Transferencia aparte: 180 €
Somos profesionales del sector, compraventa de vehículos de ocasión en Valencia. Facturamos y entregamos toda la documentación en regla.
?? Escríbenos para más fotos o para venir a verlo y probarlo sin compromiso.
?? También compramos y tasamos tu coche.
Dacia Logan Sedan en Torrent</t>
        </is>
      </c>
      <c r="AT142" s="2" t="inlineStr">
        <is>
          <t>https://www.coches.net/dacia-logan-laureate-14-4p-gasolina-2007-en-valencia-71571620-covo.aspx (window.__INITIAL_PROPS__.ad) /home/user/Alopecia/buscador-coches/raw/cochesnet/419db24ec45a6b74.json</t>
        </is>
      </c>
      <c r="AU142" s="3">
        <f>MAX(ANIO_ACTUAL-M142,0)</f>
        <v/>
      </c>
      <c r="AV142" s="4">
        <f>N142/MAX(AU142,0.5)</f>
        <v/>
      </c>
      <c r="AW142" s="4">
        <f>F142</f>
        <v/>
      </c>
      <c r="AX142" s="3">
        <f>AW142&amp;"|"&amp;INT(M142/SEG_ANIO)*SEG_ANIO</f>
        <v/>
      </c>
      <c r="AY142" s="3">
        <f>AX142&amp;"|"&amp;INT(N142/SEG_KM)*SEG_KM</f>
        <v/>
      </c>
      <c r="AZ142" s="4">
        <f>COUNTIF($AW$2:$AW$662,AW142)</f>
        <v/>
      </c>
      <c r="BA142" s="4">
        <f>COUNTIF($AX$2:$AX$662,AX142)</f>
        <v/>
      </c>
      <c r="BB142" s="4">
        <f>COUNTIF($AY$2:$AY$662,AY142)</f>
        <v/>
      </c>
      <c r="BC142" s="3">
        <f t="array" ref="BC142">IF(N(AO142)&gt;=MIN_N,AN142,IF(BB142&gt;=MIN_N,MEDIAN(IF($AY$2:$AY$662=AY142,$O$2:$O$662)),IF(BA142&gt;=MIN_N,MEDIAN(IF($AX$2:$AX$662=AX142,$O$2:$O$662)),MEDIAN(IF($AW$2:$AW$662=AW142,$O$2:$O$662)))))</f>
        <v/>
      </c>
      <c r="BD142" s="3">
        <f>IF(N(AO142)&gt;=MIN_N,"mercado "&amp;AP142,IF(BB142&gt;=MIN_N,"modelo+año+km",IF(BA142&gt;=MIN_N,"modelo+año","modelo")))</f>
        <v/>
      </c>
      <c r="BE142" s="4">
        <f>(BC142-O142)/BC142</f>
        <v/>
      </c>
      <c r="BF142" s="3">
        <f>IF(OR(K142="hibrido",K142="glp"),"ECO",IF(K142="electrico","CERO",IF(K142="gasolina",IF(M142&gt;=GAS_C,"C",IF(M142&gt;=GAS_B,"B","A")),IF(K142="diesel",IF(M142&gt;=DIE_C,"C",IF(M142&gt;=DIE_B,"B","A")),""))))</f>
        <v/>
      </c>
      <c r="BG142" s="3">
        <f>IFERROR(VLOOKUP(F142,MOD_TBL,11,0),IFERROR(VLOOKUP(E142,OCU_TBL,2,0),NEUTRO))</f>
        <v/>
      </c>
      <c r="BH142" s="3">
        <f>SUMIFS(MOT_AJUSTE,MOT_MOTOR,G142,MOT_MARCA,E142,MOT_DESDE,"&lt;="&amp;M142,MOT_HASTA,"&gt;="&amp;M142)+SUMIFS(MOT_AJUSTE,MOT_MOTOR,G142,MOT_MARCA,"(todas)",MOT_DESDE,"&lt;="&amp;M142,MOT_HASTA,"&gt;="&amp;M142)</f>
        <v/>
      </c>
      <c r="BI142" s="3">
        <f>SUMIFS(COMB_AJUSTE,COMB_COMB,K142)</f>
        <v/>
      </c>
      <c r="BJ142" s="3">
        <f>COUNTIFS(MOT_MOTOR,G142,MOT_MARCA,E142,MOT_DESDE,"&lt;="&amp;M142,MOT_HASTA,"&gt;="&amp;M142)+COUNTIFS(MOT_MOTOR,G142,MOT_MARCA,"(todas)",MOT_DESDE,"&lt;="&amp;M142,MOT_HASTA,"&gt;="&amp;M142)</f>
        <v/>
      </c>
      <c r="BK142" s="3">
        <f>IF(AND(K142="diesel",BJ142=0),MIN(BG142,NEUTRO),BG142)</f>
        <v/>
      </c>
      <c r="BL142" s="4">
        <f>MAX(0,MIN(100,BK142+BH142+BI142))</f>
        <v/>
      </c>
      <c r="BM142" s="3">
        <f>MAX(0,MIN(100,50+BE142*PRECIO_PEND))</f>
        <v/>
      </c>
      <c r="BN142" s="3">
        <f>MAX(0,100*(1-N142/KM_MAX))</f>
        <v/>
      </c>
      <c r="BO142" s="3">
        <f>IF(AV142&lt;KMA_SOSP,IF(AA142="sí",100,KMA_PEN),IF(AV142&lt;=KMA_IDEAL_MAX,100,MAX(0,100*(KMA_CERO-AV142)/(KMA_CERO-KMA_IDEAL_MAX))))</f>
        <v/>
      </c>
      <c r="BP142" s="3">
        <f>MAX(0,MIN(100,100*(M142-ANIO_MIN)/(ANIO_ACTUAL-ANIO_MIN)))</f>
        <v/>
      </c>
      <c r="BQ142" s="3">
        <f>W_KMT*BN142+W_KMA*BO142+W_EDAD*BP142</f>
        <v/>
      </c>
      <c r="BR142" s="3">
        <f>P_ITV*(V142="sí")+P_LIBRO*(W142="sí")+P_CORREA*(X142="sí")+P_PROP*(Y142=1)+P_GAR*(Z142="sí")+P_FOTOS*MIN(1,N(U142)/FOTOS_OBJ)</f>
        <v/>
      </c>
      <c r="BS142" s="3">
        <f>IFERROR(VLOOKUP(BF142,ETQ_TBL,2,0),NEUTRO)</f>
        <v/>
      </c>
      <c r="BT142" s="3">
        <f>NEUTRO</f>
        <v/>
      </c>
      <c r="BU142" s="3">
        <f>IFERROR(VLOOKUP(L142,SEGURO_TBL,3,0),"")</f>
        <v/>
      </c>
      <c r="BV142" s="3">
        <f>IF(BU142="",NEUTRO,MAX(0,MIN(100,100*(SEG_REF_MAX-BU142)/(SEG_REF_MAX-SEG_REF_MIN))))</f>
        <v/>
      </c>
      <c r="BW142" s="3">
        <f>W_ET*BS142+W_CONS*BT142+W_SEG*BV142</f>
        <v/>
      </c>
      <c r="BX142" s="3">
        <f>IF(N(AB142)&gt;0,AB142,IF(AND(R142="profesional",SG_LEGAL_ON=1),GAR_LEGAL,0))</f>
        <v/>
      </c>
      <c r="BY142" s="3">
        <f>SG_GAR*MIN(1,BX142/SG_GAR_FULL)+SG_AMPL*(AC142="sí")+SG_KMC*(AF142="sí")+SG_REV*(N(AE142)&gt;0)+SG_DEV*MIN(1,N(AG142)/SG_DEV_FULL)+SG_HIST*(W142="sí")</f>
        <v/>
      </c>
      <c r="BZ142" s="3">
        <f>IFERROR(VLOOKUP(L142,CARR_PEN_TBL,2,0),0)</f>
        <v/>
      </c>
      <c r="CA142" s="3">
        <f>W_FIAB*BL142+W_PRECIO*BM142+W_KMEDAD*BQ142+W_ANUNCIO*BR142+W_USO*BW142+W_SEGURIDAD*BY142-BZ142</f>
        <v/>
      </c>
      <c r="CB142" s="4">
        <f>IF(N(I142)&gt;0,I142,IFERROR(ROUND(_xlfn.NUMBERVALUE(LEFT(G142,FIND(" ",G142&amp;" ")-1),".")*1000,0),99999))</f>
        <v/>
      </c>
      <c r="CC142" s="3">
        <f>IF(R142="profesional",0,IF(O142&lt;CUOTA_VALOR_MAX,IF(AU142&gt;ITP_TRAMO_ALTO,SUMIFS(CF_CUOTA,CF_MAS,ITP_TRAMO_ALTO,CF_CCMIN,"&lt;="&amp;CB142,CF_CCMAX,"&gt;="&amp;CB142),IF(AU142&gt;ITP_TRAMO_BAJO,SUMIFS(CF_CUOTA,CF_MAS,ITP_TRAMO_BAJO,CF_CCMIN,"&lt;="&amp;CB142,CF_CCMAX,"&gt;="&amp;CB142),O142*ITP_TIPO)),O142*ITP_TIPO))</f>
        <v/>
      </c>
      <c r="CD142" s="4">
        <f>IF(R142="profesional",N(AK142),0)</f>
        <v/>
      </c>
      <c r="CE142" s="3">
        <f>IF(AND(R142="profesional",ISNUMBER(AK142),AL142="sí"),0,TASA_DGT)</f>
        <v/>
      </c>
      <c r="CF142" s="3">
        <f>INFORME_DGT</f>
        <v/>
      </c>
      <c r="CG142" s="4">
        <f>O142+CD142+CC142+CE142+CF142</f>
        <v/>
      </c>
      <c r="CH142" s="4">
        <f>CG142+N(BU142)</f>
        <v/>
      </c>
      <c r="CI142" s="3">
        <f>IF(CG142&lt;=TOTAL_MAX,"sí",IF(CG142&lt;=TOTAL_MAX+MARGEN_NEG,"negociar","no"))</f>
        <v/>
      </c>
      <c r="CJ142" s="4">
        <f>IF(CI142&lt;&gt;"no",COUNTIFS($CI$2:$CI$662,"&lt;&gt;no",$CA$2:$CA$662,"&gt;"&amp;CA142)+COUNTIFS($CI$2:CI142,"&lt;&gt;no",$CA$2:CA142,CA142),"")</f>
        <v/>
      </c>
    </row>
    <row r="143">
      <c r="A143" s="2" t="inlineStr">
        <is>
          <t>cochesnet:71833160</t>
        </is>
      </c>
      <c r="B143" s="2" t="inlineStr">
        <is>
          <t>cochesnet</t>
        </is>
      </c>
      <c r="C143" s="2" t="inlineStr">
        <is>
          <t>https://www.coches.net/peugeot-207-confort-14-75-5p-gasolina-2009-en-valencia-71833160-covo.aspx</t>
        </is>
      </c>
      <c r="D143" s="2" t="inlineStr">
        <is>
          <t>PEUGEOT 207 Confort 1.4 75</t>
        </is>
      </c>
      <c r="E143" s="2" t="inlineStr">
        <is>
          <t>Peugeot</t>
        </is>
      </c>
      <c r="F143" s="2" t="inlineStr">
        <is>
          <t>Peugeot 207</t>
        </is>
      </c>
      <c r="G143" s="2" t="inlineStr">
        <is>
          <t>1.4</t>
        </is>
      </c>
      <c r="H143" s="2" t="inlineStr">
        <is>
          <t>Confort 1.4 75</t>
        </is>
      </c>
      <c r="I143" s="2" t="n"/>
      <c r="J143" s="2" t="n"/>
      <c r="K143" s="2" t="inlineStr">
        <is>
          <t>gasolina</t>
        </is>
      </c>
      <c r="L143" s="2" t="inlineStr">
        <is>
          <t>utilitario</t>
        </is>
      </c>
      <c r="M143" s="2" t="n">
        <v>2009</v>
      </c>
      <c r="N143" s="2" t="n">
        <v>95000</v>
      </c>
      <c r="O143" s="2" t="n">
        <v>3990</v>
      </c>
      <c r="P143" s="2" t="inlineStr">
        <is>
          <t>manual</t>
        </is>
      </c>
      <c r="Q143" s="2" t="inlineStr">
        <is>
          <t>no</t>
        </is>
      </c>
      <c r="R143" s="2" t="inlineStr">
        <is>
          <t>profesional</t>
        </is>
      </c>
      <c r="S143" s="2" t="inlineStr">
        <is>
          <t>Prime Cars Alzira Alzira</t>
        </is>
      </c>
      <c r="T143" s="2" t="inlineStr">
        <is>
          <t>2026-10-26T12:09:55Z</t>
        </is>
      </c>
      <c r="U143" s="2" t="n">
        <v>10</v>
      </c>
      <c r="V143" s="2" t="inlineStr">
        <is>
          <t>sí</t>
        </is>
      </c>
      <c r="W143" s="2" t="n"/>
      <c r="X143" s="2" t="inlineStr">
        <is>
          <t>sí</t>
        </is>
      </c>
      <c r="Y143" s="2" t="n"/>
      <c r="Z143" s="2" t="inlineStr">
        <is>
          <t>no</t>
        </is>
      </c>
      <c r="AA143" s="2" t="n"/>
      <c r="AB143" s="2" t="n"/>
      <c r="AC143" s="2" t="n"/>
      <c r="AD143" s="2" t="n"/>
      <c r="AE143" s="2" t="n"/>
      <c r="AF143" s="2" t="n"/>
      <c r="AG143" s="2" t="n"/>
      <c r="AH143" s="2" t="n">
        <v>3990</v>
      </c>
      <c r="AI143" s="2" t="n"/>
      <c r="AJ143" s="2" t="n"/>
      <c r="AK143" s="2" t="n"/>
      <c r="AL143" s="2" t="n"/>
      <c r="AM143" s="2" t="n">
        <v>35.7</v>
      </c>
      <c r="AN143" s="2" t="n">
        <v>4750</v>
      </c>
      <c r="AO143" s="2" t="n">
        <v>13</v>
      </c>
      <c r="AP143" s="2" t="inlineStr">
        <is>
          <t>modelo+año+km</t>
        </is>
      </c>
      <c r="AQ143" s="2" t="n"/>
      <c r="AR143" s="2" t="inlineStr">
        <is>
          <t>vendedor profesional: sin ITP (operación con IVA/REBU, confirmar en factura); gastos de gestión del vendedor no indicados: se suma la tasa DGT; preguntar el precio final; fiabilidad del modelo PENDIENTE de fuente (puntuación neutra)</t>
        </is>
      </c>
      <c r="AS143" s="2" t="inlineStr">
        <is>
          <t>Peugeot 207 motor 1.4 gasolina con 75 CV.
Se encuentra en buen estado general, tiene Aire acondicionado, control de velocidad de crucero, fijaciones Isofix, etc.
Se entrega con ITV recién pasada hasta el 10/2027, distribución hecha a los 66.000 kilometros, se acepta prueba mecánica.</t>
        </is>
      </c>
      <c r="AT143" s="2" t="inlineStr">
        <is>
          <t>https://www.coches.net/peugeot-207-confort-14-75-5p-gasolina-2009-en-valencia-71833160-covo.aspx (window.__INITIAL_PROPS__.ad) /home/user/Alopecia/buscador-coches/raw/cochesnet/0b54a76ea589cdf3.json</t>
        </is>
      </c>
      <c r="AU143" s="3">
        <f>MAX(ANIO_ACTUAL-M143,0)</f>
        <v/>
      </c>
      <c r="AV143" s="4">
        <f>N143/MAX(AU143,0.5)</f>
        <v/>
      </c>
      <c r="AW143" s="4">
        <f>F143</f>
        <v/>
      </c>
      <c r="AX143" s="3">
        <f>AW143&amp;"|"&amp;INT(M143/SEG_ANIO)*SEG_ANIO</f>
        <v/>
      </c>
      <c r="AY143" s="3">
        <f>AX143&amp;"|"&amp;INT(N143/SEG_KM)*SEG_KM</f>
        <v/>
      </c>
      <c r="AZ143" s="4">
        <f>COUNTIF($AW$2:$AW$662,AW143)</f>
        <v/>
      </c>
      <c r="BA143" s="4">
        <f>COUNTIF($AX$2:$AX$662,AX143)</f>
        <v/>
      </c>
      <c r="BB143" s="4">
        <f>COUNTIF($AY$2:$AY$662,AY143)</f>
        <v/>
      </c>
      <c r="BC143" s="3">
        <f t="array" ref="BC143">IF(N(AO143)&gt;=MIN_N,AN143,IF(BB143&gt;=MIN_N,MEDIAN(IF($AY$2:$AY$662=AY143,$O$2:$O$662)),IF(BA143&gt;=MIN_N,MEDIAN(IF($AX$2:$AX$662=AX143,$O$2:$O$662)),MEDIAN(IF($AW$2:$AW$662=AW143,$O$2:$O$662)))))</f>
        <v/>
      </c>
      <c r="BD143" s="3">
        <f>IF(N(AO143)&gt;=MIN_N,"mercado "&amp;AP143,IF(BB143&gt;=MIN_N,"modelo+año+km",IF(BA143&gt;=MIN_N,"modelo+año","modelo")))</f>
        <v/>
      </c>
      <c r="BE143" s="4">
        <f>(BC143-O143)/BC143</f>
        <v/>
      </c>
      <c r="BF143" s="3">
        <f>IF(OR(K143="hibrido",K143="glp"),"ECO",IF(K143="electrico","CERO",IF(K143="gasolina",IF(M143&gt;=GAS_C,"C",IF(M143&gt;=GAS_B,"B","A")),IF(K143="diesel",IF(M143&gt;=DIE_C,"C",IF(M143&gt;=DIE_B,"B","A")),""))))</f>
        <v/>
      </c>
      <c r="BG143" s="3">
        <f>IFERROR(VLOOKUP(F143,MOD_TBL,11,0),IFERROR(VLOOKUP(E143,OCU_TBL,2,0),NEUTRO))</f>
        <v/>
      </c>
      <c r="BH143" s="3">
        <f>SUMIFS(MOT_AJUSTE,MOT_MOTOR,G143,MOT_MARCA,E143,MOT_DESDE,"&lt;="&amp;M143,MOT_HASTA,"&gt;="&amp;M143)+SUMIFS(MOT_AJUSTE,MOT_MOTOR,G143,MOT_MARCA,"(todas)",MOT_DESDE,"&lt;="&amp;M143,MOT_HASTA,"&gt;="&amp;M143)</f>
        <v/>
      </c>
      <c r="BI143" s="3">
        <f>SUMIFS(COMB_AJUSTE,COMB_COMB,K143)</f>
        <v/>
      </c>
      <c r="BJ143" s="3">
        <f>COUNTIFS(MOT_MOTOR,G143,MOT_MARCA,E143,MOT_DESDE,"&lt;="&amp;M143,MOT_HASTA,"&gt;="&amp;M143)+COUNTIFS(MOT_MOTOR,G143,MOT_MARCA,"(todas)",MOT_DESDE,"&lt;="&amp;M143,MOT_HASTA,"&gt;="&amp;M143)</f>
        <v/>
      </c>
      <c r="BK143" s="3">
        <f>IF(AND(K143="diesel",BJ143=0),MIN(BG143,NEUTRO),BG143)</f>
        <v/>
      </c>
      <c r="BL143" s="4">
        <f>MAX(0,MIN(100,BK143+BH143+BI143))</f>
        <v/>
      </c>
      <c r="BM143" s="3">
        <f>MAX(0,MIN(100,50+BE143*PRECIO_PEND))</f>
        <v/>
      </c>
      <c r="BN143" s="3">
        <f>MAX(0,100*(1-N143/KM_MAX))</f>
        <v/>
      </c>
      <c r="BO143" s="3">
        <f>IF(AV143&lt;KMA_SOSP,IF(AA143="sí",100,KMA_PEN),IF(AV143&lt;=KMA_IDEAL_MAX,100,MAX(0,100*(KMA_CERO-AV143)/(KMA_CERO-KMA_IDEAL_MAX))))</f>
        <v/>
      </c>
      <c r="BP143" s="3">
        <f>MAX(0,MIN(100,100*(M143-ANIO_MIN)/(ANIO_ACTUAL-ANIO_MIN)))</f>
        <v/>
      </c>
      <c r="BQ143" s="3">
        <f>W_KMT*BN143+W_KMA*BO143+W_EDAD*BP143</f>
        <v/>
      </c>
      <c r="BR143" s="3">
        <f>P_ITV*(V143="sí")+P_LIBRO*(W143="sí")+P_CORREA*(X143="sí")+P_PROP*(Y143=1)+P_GAR*(Z143="sí")+P_FOTOS*MIN(1,N(U143)/FOTOS_OBJ)</f>
        <v/>
      </c>
      <c r="BS143" s="3">
        <f>IFERROR(VLOOKUP(BF143,ETQ_TBL,2,0),NEUTRO)</f>
        <v/>
      </c>
      <c r="BT143" s="3">
        <f>NEUTRO</f>
        <v/>
      </c>
      <c r="BU143" s="3">
        <f>IFERROR(VLOOKUP(L143,SEGURO_TBL,3,0),"")</f>
        <v/>
      </c>
      <c r="BV143" s="3">
        <f>IF(BU143="",NEUTRO,MAX(0,MIN(100,100*(SEG_REF_MAX-BU143)/(SEG_REF_MAX-SEG_REF_MIN))))</f>
        <v/>
      </c>
      <c r="BW143" s="3">
        <f>W_ET*BS143+W_CONS*BT143+W_SEG*BV143</f>
        <v/>
      </c>
      <c r="BX143" s="3">
        <f>IF(N(AB143)&gt;0,AB143,IF(AND(R143="profesional",SG_LEGAL_ON=1),GAR_LEGAL,0))</f>
        <v/>
      </c>
      <c r="BY143" s="3">
        <f>SG_GAR*MIN(1,BX143/SG_GAR_FULL)+SG_AMPL*(AC143="sí")+SG_KMC*(AF143="sí")+SG_REV*(N(AE143)&gt;0)+SG_DEV*MIN(1,N(AG143)/SG_DEV_FULL)+SG_HIST*(W143="sí")</f>
        <v/>
      </c>
      <c r="BZ143" s="3">
        <f>IFERROR(VLOOKUP(L143,CARR_PEN_TBL,2,0),0)</f>
        <v/>
      </c>
      <c r="CA143" s="3">
        <f>W_FIAB*BL143+W_PRECIO*BM143+W_KMEDAD*BQ143+W_ANUNCIO*BR143+W_USO*BW143+W_SEGURIDAD*BY143-BZ143</f>
        <v/>
      </c>
      <c r="CB143" s="4">
        <f>IF(N(I143)&gt;0,I143,IFERROR(ROUND(_xlfn.NUMBERVALUE(LEFT(G143,FIND(" ",G143&amp;" ")-1),".")*1000,0),99999))</f>
        <v/>
      </c>
      <c r="CC143" s="3">
        <f>IF(R143="profesional",0,IF(O143&lt;CUOTA_VALOR_MAX,IF(AU143&gt;ITP_TRAMO_ALTO,SUMIFS(CF_CUOTA,CF_MAS,ITP_TRAMO_ALTO,CF_CCMIN,"&lt;="&amp;CB143,CF_CCMAX,"&gt;="&amp;CB143),IF(AU143&gt;ITP_TRAMO_BAJO,SUMIFS(CF_CUOTA,CF_MAS,ITP_TRAMO_BAJO,CF_CCMIN,"&lt;="&amp;CB143,CF_CCMAX,"&gt;="&amp;CB143),O143*ITP_TIPO)),O143*ITP_TIPO))</f>
        <v/>
      </c>
      <c r="CD143" s="4">
        <f>IF(R143="profesional",N(AK143),0)</f>
        <v/>
      </c>
      <c r="CE143" s="3">
        <f>IF(AND(R143="profesional",ISNUMBER(AK143),AL143="sí"),0,TASA_DGT)</f>
        <v/>
      </c>
      <c r="CF143" s="3">
        <f>INFORME_DGT</f>
        <v/>
      </c>
      <c r="CG143" s="4">
        <f>O143+CD143+CC143+CE143+CF143</f>
        <v/>
      </c>
      <c r="CH143" s="4">
        <f>CG143+N(BU143)</f>
        <v/>
      </c>
      <c r="CI143" s="3">
        <f>IF(CG143&lt;=TOTAL_MAX,"sí",IF(CG143&lt;=TOTAL_MAX+MARGEN_NEG,"negociar","no"))</f>
        <v/>
      </c>
      <c r="CJ143" s="4">
        <f>IF(CI143&lt;&gt;"no",COUNTIFS($CI$2:$CI$662,"&lt;&gt;no",$CA$2:$CA$662,"&gt;"&amp;CA143)+COUNTIFS($CI$2:CI143,"&lt;&gt;no",$CA$2:CA143,CA143),"")</f>
        <v/>
      </c>
    </row>
    <row r="144">
      <c r="A144" s="2" t="inlineStr">
        <is>
          <t>cochesnet:62295822</t>
        </is>
      </c>
      <c r="B144" s="2" t="inlineStr">
        <is>
          <t>cochesnet</t>
        </is>
      </c>
      <c r="C144" s="2" t="inlineStr">
        <is>
          <t>https://www.coches.net/peugeot-207-sw-active-16-hdi-92-fap-5p-diesel-2011-en-valencia-62295822-covo.aspx</t>
        </is>
      </c>
      <c r="D144" s="2" t="inlineStr">
        <is>
          <t>PEUGEOT 207 SW ACTIVE 1.6 HDI 92 FAP</t>
        </is>
      </c>
      <c r="E144" s="2" t="inlineStr">
        <is>
          <t>Peugeot</t>
        </is>
      </c>
      <c r="F144" s="2" t="inlineStr">
        <is>
          <t>Peugeot 207</t>
        </is>
      </c>
      <c r="G144" s="2" t="inlineStr">
        <is>
          <t>1.6 HDi</t>
        </is>
      </c>
      <c r="H144" s="2" t="inlineStr">
        <is>
          <t>SW ACTIVE 1.6 HDI 92 FAP</t>
        </is>
      </c>
      <c r="I144" s="2" t="n"/>
      <c r="J144" s="2" t="n"/>
      <c r="K144" s="2" t="inlineStr">
        <is>
          <t>diesel</t>
        </is>
      </c>
      <c r="L144" s="2" t="inlineStr">
        <is>
          <t>familiar</t>
        </is>
      </c>
      <c r="M144" s="2" t="n">
        <v>2011</v>
      </c>
      <c r="N144" s="2" t="n">
        <v>129000</v>
      </c>
      <c r="O144" s="2" t="n">
        <v>3800</v>
      </c>
      <c r="P144" s="2" t="inlineStr">
        <is>
          <t>manual</t>
        </is>
      </c>
      <c r="Q144" s="2" t="inlineStr">
        <is>
          <t>no</t>
        </is>
      </c>
      <c r="R144" s="2" t="inlineStr">
        <is>
          <t>profesional</t>
        </is>
      </c>
      <c r="S144" s="2" t="inlineStr">
        <is>
          <t>Automoción Valencia Albal</t>
        </is>
      </c>
      <c r="T144" s="2" t="inlineStr">
        <is>
          <t>2026-09-11T12:12:37Z</t>
        </is>
      </c>
      <c r="U144" s="2" t="n">
        <v>15</v>
      </c>
      <c r="V144" s="2" t="n"/>
      <c r="W144" s="2" t="n"/>
      <c r="X144" s="2" t="n"/>
      <c r="Y144" s="2" t="n"/>
      <c r="Z144" s="2" t="inlineStr">
        <is>
          <t>no</t>
        </is>
      </c>
      <c r="AA144" s="2" t="inlineStr">
        <is>
          <t>sí</t>
        </is>
      </c>
      <c r="AB144" s="2" t="n"/>
      <c r="AC144" s="2" t="n"/>
      <c r="AD144" s="2" t="n"/>
      <c r="AE144" s="2" t="n"/>
      <c r="AF144" s="2" t="inlineStr">
        <is>
          <t>sí</t>
        </is>
      </c>
      <c r="AG144" s="2" t="n"/>
      <c r="AH144" s="2" t="n">
        <v>3800</v>
      </c>
      <c r="AI144" s="2" t="n">
        <v>3800</v>
      </c>
      <c r="AJ144" s="2" t="n"/>
      <c r="AK144" s="2" t="n"/>
      <c r="AL144" s="2" t="n"/>
      <c r="AM144" s="2" t="n">
        <v>8.699999999999999</v>
      </c>
      <c r="AN144" s="2" t="n">
        <v>4490</v>
      </c>
      <c r="AO144" s="2" t="n">
        <v>15</v>
      </c>
      <c r="AP144" s="2" t="inlineStr">
        <is>
          <t>modelo+año+km</t>
        </is>
      </c>
      <c r="AQ144" s="2" t="n"/>
      <c r="AR144" s="2" t="inlineStr">
        <is>
          <t>vendedor profesional: sin ITP (operación con IVA/REBU, confirmar en factura); gastos de gestión del vendedor no indicados: se suma la tasa DGT; preguntar el precio final; carrocería familiar: -3 puntos; fiabilidad del modelo PENDIENTE de fuente (puntuación neutra)</t>
        </is>
      </c>
      <c r="AS144" s="2" t="inlineStr">
        <is>
          <t xml:space="preserve">Peugeot 207 Active 1.6 HDi 92 CV – Año 12/2011
129.000 km – Diésel – Kilómetros certificados –
Peugeot 207 Active con motor 1.6 HDi de 92 CV, económico, fiable y con un consumo muy bajo. Vehículo nacional, con kilometraje certificado, 
Extras y equipamiento destacado:
Aire acondicionado / climatizador
Volante multifunción
Control y limitador de velocidad (cruise control)
Cierre centralizado con mando
Elevalunas eléctricos delanteros
Retrovisores eléctricos
Radio CD MP3 con mandos al volante
USB y entrada auxiliar
Ordenador de a bordo
Dirección asistida
ABS y ESP
Airbags frontales y laterales
Llantas de aleación
Faros antiniebla
Asientos traseros abatibles
Isofix
Financiación a tu medida
Aceptamos tu coche como parte de pago
</t>
        </is>
      </c>
      <c r="AT144" s="2" t="inlineStr">
        <is>
          <t>https://www.coches.net/peugeot-207-sw-active-16-hdi-92-fap-5p-diesel-2011-en-valencia-62295822-covo.aspx (window.__INITIAL_PROPS__.ad) /home/user/Alopecia/buscador-coches/raw/cochesnet/079764d722750c51.json</t>
        </is>
      </c>
      <c r="AU144" s="3">
        <f>MAX(ANIO_ACTUAL-M144,0)</f>
        <v/>
      </c>
      <c r="AV144" s="4">
        <f>N144/MAX(AU144,0.5)</f>
        <v/>
      </c>
      <c r="AW144" s="4">
        <f>F144</f>
        <v/>
      </c>
      <c r="AX144" s="3">
        <f>AW144&amp;"|"&amp;INT(M144/SEG_ANIO)*SEG_ANIO</f>
        <v/>
      </c>
      <c r="AY144" s="3">
        <f>AX144&amp;"|"&amp;INT(N144/SEG_KM)*SEG_KM</f>
        <v/>
      </c>
      <c r="AZ144" s="4">
        <f>COUNTIF($AW$2:$AW$662,AW144)</f>
        <v/>
      </c>
      <c r="BA144" s="4">
        <f>COUNTIF($AX$2:$AX$662,AX144)</f>
        <v/>
      </c>
      <c r="BB144" s="4">
        <f>COUNTIF($AY$2:$AY$662,AY144)</f>
        <v/>
      </c>
      <c r="BC144" s="3">
        <f t="array" ref="BC144">IF(N(AO144)&gt;=MIN_N,AN144,IF(BB144&gt;=MIN_N,MEDIAN(IF($AY$2:$AY$662=AY144,$O$2:$O$662)),IF(BA144&gt;=MIN_N,MEDIAN(IF($AX$2:$AX$662=AX144,$O$2:$O$662)),MEDIAN(IF($AW$2:$AW$662=AW144,$O$2:$O$662)))))</f>
        <v/>
      </c>
      <c r="BD144" s="3">
        <f>IF(N(AO144)&gt;=MIN_N,"mercado "&amp;AP144,IF(BB144&gt;=MIN_N,"modelo+año+km",IF(BA144&gt;=MIN_N,"modelo+año","modelo")))</f>
        <v/>
      </c>
      <c r="BE144" s="4">
        <f>(BC144-O144)/BC144</f>
        <v/>
      </c>
      <c r="BF144" s="3">
        <f>IF(OR(K144="hibrido",K144="glp"),"ECO",IF(K144="electrico","CERO",IF(K144="gasolina",IF(M144&gt;=GAS_C,"C",IF(M144&gt;=GAS_B,"B","A")),IF(K144="diesel",IF(M144&gt;=DIE_C,"C",IF(M144&gt;=DIE_B,"B","A")),""))))</f>
        <v/>
      </c>
      <c r="BG144" s="3">
        <f>IFERROR(VLOOKUP(F144,MOD_TBL,11,0),IFERROR(VLOOKUP(E144,OCU_TBL,2,0),NEUTRO))</f>
        <v/>
      </c>
      <c r="BH144" s="3">
        <f>SUMIFS(MOT_AJUSTE,MOT_MOTOR,G144,MOT_MARCA,E144,MOT_DESDE,"&lt;="&amp;M144,MOT_HASTA,"&gt;="&amp;M144)+SUMIFS(MOT_AJUSTE,MOT_MOTOR,G144,MOT_MARCA,"(todas)",MOT_DESDE,"&lt;="&amp;M144,MOT_HASTA,"&gt;="&amp;M144)</f>
        <v/>
      </c>
      <c r="BI144" s="3">
        <f>SUMIFS(COMB_AJUSTE,COMB_COMB,K144)</f>
        <v/>
      </c>
      <c r="BJ144" s="3">
        <f>COUNTIFS(MOT_MOTOR,G144,MOT_MARCA,E144,MOT_DESDE,"&lt;="&amp;M144,MOT_HASTA,"&gt;="&amp;M144)+COUNTIFS(MOT_MOTOR,G144,MOT_MARCA,"(todas)",MOT_DESDE,"&lt;="&amp;M144,MOT_HASTA,"&gt;="&amp;M144)</f>
        <v/>
      </c>
      <c r="BK144" s="3">
        <f>IF(AND(K144="diesel",BJ144=0),MIN(BG144,NEUTRO),BG144)</f>
        <v/>
      </c>
      <c r="BL144" s="4">
        <f>MAX(0,MIN(100,BK144+BH144+BI144))</f>
        <v/>
      </c>
      <c r="BM144" s="3">
        <f>MAX(0,MIN(100,50+BE144*PRECIO_PEND))</f>
        <v/>
      </c>
      <c r="BN144" s="3">
        <f>MAX(0,100*(1-N144/KM_MAX))</f>
        <v/>
      </c>
      <c r="BO144" s="3">
        <f>IF(AV144&lt;KMA_SOSP,IF(AA144="sí",100,KMA_PEN),IF(AV144&lt;=KMA_IDEAL_MAX,100,MAX(0,100*(KMA_CERO-AV144)/(KMA_CERO-KMA_IDEAL_MAX))))</f>
        <v/>
      </c>
      <c r="BP144" s="3">
        <f>MAX(0,MIN(100,100*(M144-ANIO_MIN)/(ANIO_ACTUAL-ANIO_MIN)))</f>
        <v/>
      </c>
      <c r="BQ144" s="3">
        <f>W_KMT*BN144+W_KMA*BO144+W_EDAD*BP144</f>
        <v/>
      </c>
      <c r="BR144" s="3">
        <f>P_ITV*(V144="sí")+P_LIBRO*(W144="sí")+P_CORREA*(X144="sí")+P_PROP*(Y144=1)+P_GAR*(Z144="sí")+P_FOTOS*MIN(1,N(U144)/FOTOS_OBJ)</f>
        <v/>
      </c>
      <c r="BS144" s="3">
        <f>IFERROR(VLOOKUP(BF144,ETQ_TBL,2,0),NEUTRO)</f>
        <v/>
      </c>
      <c r="BT144" s="3">
        <f>NEUTRO</f>
        <v/>
      </c>
      <c r="BU144" s="3">
        <f>IFERROR(VLOOKUP(L144,SEGURO_TBL,3,0),"")</f>
        <v/>
      </c>
      <c r="BV144" s="3">
        <f>IF(BU144="",NEUTRO,MAX(0,MIN(100,100*(SEG_REF_MAX-BU144)/(SEG_REF_MAX-SEG_REF_MIN))))</f>
        <v/>
      </c>
      <c r="BW144" s="3">
        <f>W_ET*BS144+W_CONS*BT144+W_SEG*BV144</f>
        <v/>
      </c>
      <c r="BX144" s="3">
        <f>IF(N(AB144)&gt;0,AB144,IF(AND(R144="profesional",SG_LEGAL_ON=1),GAR_LEGAL,0))</f>
        <v/>
      </c>
      <c r="BY144" s="3">
        <f>SG_GAR*MIN(1,BX144/SG_GAR_FULL)+SG_AMPL*(AC144="sí")+SG_KMC*(AF144="sí")+SG_REV*(N(AE144)&gt;0)+SG_DEV*MIN(1,N(AG144)/SG_DEV_FULL)+SG_HIST*(W144="sí")</f>
        <v/>
      </c>
      <c r="BZ144" s="3">
        <f>IFERROR(VLOOKUP(L144,CARR_PEN_TBL,2,0),0)</f>
        <v/>
      </c>
      <c r="CA144" s="3">
        <f>W_FIAB*BL144+W_PRECIO*BM144+W_KMEDAD*BQ144+W_ANUNCIO*BR144+W_USO*BW144+W_SEGURIDAD*BY144-BZ144</f>
        <v/>
      </c>
      <c r="CB144" s="4">
        <f>IF(N(I144)&gt;0,I144,IFERROR(ROUND(_xlfn.NUMBERVALUE(LEFT(G144,FIND(" ",G144&amp;" ")-1),".")*1000,0),99999))</f>
        <v/>
      </c>
      <c r="CC144" s="3">
        <f>IF(R144="profesional",0,IF(O144&lt;CUOTA_VALOR_MAX,IF(AU144&gt;ITP_TRAMO_ALTO,SUMIFS(CF_CUOTA,CF_MAS,ITP_TRAMO_ALTO,CF_CCMIN,"&lt;="&amp;CB144,CF_CCMAX,"&gt;="&amp;CB144),IF(AU144&gt;ITP_TRAMO_BAJO,SUMIFS(CF_CUOTA,CF_MAS,ITP_TRAMO_BAJO,CF_CCMIN,"&lt;="&amp;CB144,CF_CCMAX,"&gt;="&amp;CB144),O144*ITP_TIPO)),O144*ITP_TIPO))</f>
        <v/>
      </c>
      <c r="CD144" s="4">
        <f>IF(R144="profesional",N(AK144),0)</f>
        <v/>
      </c>
      <c r="CE144" s="3">
        <f>IF(AND(R144="profesional",ISNUMBER(AK144),AL144="sí"),0,TASA_DGT)</f>
        <v/>
      </c>
      <c r="CF144" s="3">
        <f>INFORME_DGT</f>
        <v/>
      </c>
      <c r="CG144" s="4">
        <f>O144+CD144+CC144+CE144+CF144</f>
        <v/>
      </c>
      <c r="CH144" s="4">
        <f>CG144+N(BU144)</f>
        <v/>
      </c>
      <c r="CI144" s="3">
        <f>IF(CG144&lt;=TOTAL_MAX,"sí",IF(CG144&lt;=TOTAL_MAX+MARGEN_NEG,"negociar","no"))</f>
        <v/>
      </c>
      <c r="CJ144" s="4">
        <f>IF(CI144&lt;&gt;"no",COUNTIFS($CI$2:$CI$662,"&lt;&gt;no",$CA$2:$CA$662,"&gt;"&amp;CA144)+COUNTIFS($CI$2:CI144,"&lt;&gt;no",$CA$2:CA144,CA144),"")</f>
        <v/>
      </c>
    </row>
    <row r="145">
      <c r="A145" s="2" t="inlineStr">
        <is>
          <t>cochesnet:71799891</t>
        </is>
      </c>
      <c r="B145" s="2" t="inlineStr">
        <is>
          <t>cochesnet</t>
        </is>
      </c>
      <c r="C145" s="2" t="inlineStr">
        <is>
          <t>https://www.coches.net/peugeot-207-sport-16-hdi-110-3p-diesel-2008-en-valencia-71799891-covo.aspx</t>
        </is>
      </c>
      <c r="D145" s="2" t="inlineStr">
        <is>
          <t>PEUGEOT 207 Sport 1.6 HDI 110</t>
        </is>
      </c>
      <c r="E145" s="2" t="inlineStr">
        <is>
          <t>Peugeot</t>
        </is>
      </c>
      <c r="F145" s="2" t="inlineStr">
        <is>
          <t>Peugeot 207</t>
        </is>
      </c>
      <c r="G145" s="2" t="inlineStr">
        <is>
          <t>1.6 HDi</t>
        </is>
      </c>
      <c r="H145" s="2" t="inlineStr">
        <is>
          <t>Sport 1.6 HDI 110</t>
        </is>
      </c>
      <c r="I145" s="2" t="n"/>
      <c r="J145" s="2" t="n"/>
      <c r="K145" s="2" t="inlineStr">
        <is>
          <t>diesel</t>
        </is>
      </c>
      <c r="L145" s="2" t="inlineStr">
        <is>
          <t>utilitario</t>
        </is>
      </c>
      <c r="M145" s="2" t="n">
        <v>2008</v>
      </c>
      <c r="N145" s="2" t="n">
        <v>175000</v>
      </c>
      <c r="O145" s="2" t="n">
        <v>2700</v>
      </c>
      <c r="P145" s="2" t="inlineStr">
        <is>
          <t>manual</t>
        </is>
      </c>
      <c r="Q145" s="2" t="inlineStr">
        <is>
          <t>no</t>
        </is>
      </c>
      <c r="R145" s="2" t="inlineStr">
        <is>
          <t>particular</t>
        </is>
      </c>
      <c r="S145" s="2" t="inlineStr">
        <is>
          <t>Valencia</t>
        </is>
      </c>
      <c r="T145" s="2" t="inlineStr">
        <is>
          <t>2026-10-21T14:20:56Z</t>
        </is>
      </c>
      <c r="U145" s="2" t="n">
        <v>12</v>
      </c>
      <c r="V145" s="2" t="inlineStr">
        <is>
          <t>sí</t>
        </is>
      </c>
      <c r="W145" s="2" t="n"/>
      <c r="X145" s="2" t="n"/>
      <c r="Y145" s="2" t="n"/>
      <c r="Z145" s="2" t="inlineStr">
        <is>
          <t>no</t>
        </is>
      </c>
      <c r="AA145" s="2" t="n"/>
      <c r="AB145" s="2" t="n"/>
      <c r="AC145" s="2" t="n"/>
      <c r="AD145" s="2" t="n"/>
      <c r="AE145" s="2" t="n"/>
      <c r="AF145" s="2" t="n"/>
      <c r="AG145" s="2" t="n"/>
      <c r="AH145" s="2" t="n">
        <v>2700</v>
      </c>
      <c r="AI145" s="2" t="n"/>
      <c r="AJ145" s="2" t="n"/>
      <c r="AK145" s="2" t="n"/>
      <c r="AL145" s="2" t="n"/>
      <c r="AM145" s="2" t="n">
        <v>0.1</v>
      </c>
      <c r="AN145" s="2" t="n">
        <v>3600</v>
      </c>
      <c r="AO145" s="2" t="n">
        <v>21</v>
      </c>
      <c r="AP145" s="2" t="inlineStr">
        <is>
          <t>modelo+año+km</t>
        </is>
      </c>
      <c r="AQ145" s="2" t="inlineStr">
        <is>
          <t>cochesnet:71786039 (https://www.coches.net/peugeot-207-premium-16-hdi-110-3p-diesel-2008-en-valencia-71786039-covo.aspx)</t>
        </is>
      </c>
      <c r="AR145" s="2" t="inlineStr">
        <is>
          <t>cuota fija ITP: &gt;12 años, 1.501-2.000 cc; fiabilidad del modelo PENDIENTE de fuente (puntuación neutra)</t>
        </is>
      </c>
      <c r="AS145" s="2" t="inlineStr">
        <is>
          <t>Coche del 2008 motor 1.6 con 110cv . El coche tiene el motor de arranque roto. 
Filtro del combustible nuevo 
Kit distribución todo nuevo (guía , tensor, bomba de agua i líquidos)
Conectores de los inietores todos nuevos . Todo demostrable . ITV hasta 10/2027</t>
        </is>
      </c>
      <c r="AT145" s="2" t="inlineStr">
        <is>
          <t>https://www.coches.net/peugeot-207-sport-16-hdi-110-3p-diesel-2008-en-valencia-71799891-covo.aspx (window.__INITIAL_PROPS__.ad) /home/user/Alopecia/buscador-coches/raw/cochesnet/8da5029436b2ddbd.json</t>
        </is>
      </c>
      <c r="AU145" s="3">
        <f>MAX(ANIO_ACTUAL-M145,0)</f>
        <v/>
      </c>
      <c r="AV145" s="4">
        <f>N145/MAX(AU145,0.5)</f>
        <v/>
      </c>
      <c r="AW145" s="4">
        <f>F145</f>
        <v/>
      </c>
      <c r="AX145" s="3">
        <f>AW145&amp;"|"&amp;INT(M145/SEG_ANIO)*SEG_ANIO</f>
        <v/>
      </c>
      <c r="AY145" s="3">
        <f>AX145&amp;"|"&amp;INT(N145/SEG_KM)*SEG_KM</f>
        <v/>
      </c>
      <c r="AZ145" s="4">
        <f>COUNTIF($AW$2:$AW$662,AW145)</f>
        <v/>
      </c>
      <c r="BA145" s="4">
        <f>COUNTIF($AX$2:$AX$662,AX145)</f>
        <v/>
      </c>
      <c r="BB145" s="4">
        <f>COUNTIF($AY$2:$AY$662,AY145)</f>
        <v/>
      </c>
      <c r="BC145" s="3">
        <f t="array" ref="BC145">IF(N(AO145)&gt;=MIN_N,AN145,IF(BB145&gt;=MIN_N,MEDIAN(IF($AY$2:$AY$662=AY145,$O$2:$O$662)),IF(BA145&gt;=MIN_N,MEDIAN(IF($AX$2:$AX$662=AX145,$O$2:$O$662)),MEDIAN(IF($AW$2:$AW$662=AW145,$O$2:$O$662)))))</f>
        <v/>
      </c>
      <c r="BD145" s="3">
        <f>IF(N(AO145)&gt;=MIN_N,"mercado "&amp;AP145,IF(BB145&gt;=MIN_N,"modelo+año+km",IF(BA145&gt;=MIN_N,"modelo+año","modelo")))</f>
        <v/>
      </c>
      <c r="BE145" s="4">
        <f>(BC145-O145)/BC145</f>
        <v/>
      </c>
      <c r="BF145" s="3">
        <f>IF(OR(K145="hibrido",K145="glp"),"ECO",IF(K145="electrico","CERO",IF(K145="gasolina",IF(M145&gt;=GAS_C,"C",IF(M145&gt;=GAS_B,"B","A")),IF(K145="diesel",IF(M145&gt;=DIE_C,"C",IF(M145&gt;=DIE_B,"B","A")),""))))</f>
        <v/>
      </c>
      <c r="BG145" s="3">
        <f>IFERROR(VLOOKUP(F145,MOD_TBL,11,0),IFERROR(VLOOKUP(E145,OCU_TBL,2,0),NEUTRO))</f>
        <v/>
      </c>
      <c r="BH145" s="3">
        <f>SUMIFS(MOT_AJUSTE,MOT_MOTOR,G145,MOT_MARCA,E145,MOT_DESDE,"&lt;="&amp;M145,MOT_HASTA,"&gt;="&amp;M145)+SUMIFS(MOT_AJUSTE,MOT_MOTOR,G145,MOT_MARCA,"(todas)",MOT_DESDE,"&lt;="&amp;M145,MOT_HASTA,"&gt;="&amp;M145)</f>
        <v/>
      </c>
      <c r="BI145" s="3">
        <f>SUMIFS(COMB_AJUSTE,COMB_COMB,K145)</f>
        <v/>
      </c>
      <c r="BJ145" s="3">
        <f>COUNTIFS(MOT_MOTOR,G145,MOT_MARCA,E145,MOT_DESDE,"&lt;="&amp;M145,MOT_HASTA,"&gt;="&amp;M145)+COUNTIFS(MOT_MOTOR,G145,MOT_MARCA,"(todas)",MOT_DESDE,"&lt;="&amp;M145,MOT_HASTA,"&gt;="&amp;M145)</f>
        <v/>
      </c>
      <c r="BK145" s="3">
        <f>IF(AND(K145="diesel",BJ145=0),MIN(BG145,NEUTRO),BG145)</f>
        <v/>
      </c>
      <c r="BL145" s="4">
        <f>MAX(0,MIN(100,BK145+BH145+BI145))</f>
        <v/>
      </c>
      <c r="BM145" s="3">
        <f>MAX(0,MIN(100,50+BE145*PRECIO_PEND))</f>
        <v/>
      </c>
      <c r="BN145" s="3">
        <f>MAX(0,100*(1-N145/KM_MAX))</f>
        <v/>
      </c>
      <c r="BO145" s="3">
        <f>IF(AV145&lt;KMA_SOSP,IF(AA145="sí",100,KMA_PEN),IF(AV145&lt;=KMA_IDEAL_MAX,100,MAX(0,100*(KMA_CERO-AV145)/(KMA_CERO-KMA_IDEAL_MAX))))</f>
        <v/>
      </c>
      <c r="BP145" s="3">
        <f>MAX(0,MIN(100,100*(M145-ANIO_MIN)/(ANIO_ACTUAL-ANIO_MIN)))</f>
        <v/>
      </c>
      <c r="BQ145" s="3">
        <f>W_KMT*BN145+W_KMA*BO145+W_EDAD*BP145</f>
        <v/>
      </c>
      <c r="BR145" s="3">
        <f>P_ITV*(V145="sí")+P_LIBRO*(W145="sí")+P_CORREA*(X145="sí")+P_PROP*(Y145=1)+P_GAR*(Z145="sí")+P_FOTOS*MIN(1,N(U145)/FOTOS_OBJ)</f>
        <v/>
      </c>
      <c r="BS145" s="3">
        <f>IFERROR(VLOOKUP(BF145,ETQ_TBL,2,0),NEUTRO)</f>
        <v/>
      </c>
      <c r="BT145" s="3">
        <f>NEUTRO</f>
        <v/>
      </c>
      <c r="BU145" s="3">
        <f>IFERROR(VLOOKUP(L145,SEGURO_TBL,3,0),"")</f>
        <v/>
      </c>
      <c r="BV145" s="3">
        <f>IF(BU145="",NEUTRO,MAX(0,MIN(100,100*(SEG_REF_MAX-BU145)/(SEG_REF_MAX-SEG_REF_MIN))))</f>
        <v/>
      </c>
      <c r="BW145" s="3">
        <f>W_ET*BS145+W_CONS*BT145+W_SEG*BV145</f>
        <v/>
      </c>
      <c r="BX145" s="3">
        <f>IF(N(AB145)&gt;0,AB145,IF(AND(R145="profesional",SG_LEGAL_ON=1),GAR_LEGAL,0))</f>
        <v/>
      </c>
      <c r="BY145" s="3">
        <f>SG_GAR*MIN(1,BX145/SG_GAR_FULL)+SG_AMPL*(AC145="sí")+SG_KMC*(AF145="sí")+SG_REV*(N(AE145)&gt;0)+SG_DEV*MIN(1,N(AG145)/SG_DEV_FULL)+SG_HIST*(W145="sí")</f>
        <v/>
      </c>
      <c r="BZ145" s="3">
        <f>IFERROR(VLOOKUP(L145,CARR_PEN_TBL,2,0),0)</f>
        <v/>
      </c>
      <c r="CA145" s="3">
        <f>W_FIAB*BL145+W_PRECIO*BM145+W_KMEDAD*BQ145+W_ANUNCIO*BR145+W_USO*BW145+W_SEGURIDAD*BY145-BZ145</f>
        <v/>
      </c>
      <c r="CB145" s="4">
        <f>IF(N(I145)&gt;0,I145,IFERROR(ROUND(_xlfn.NUMBERVALUE(LEFT(G145,FIND(" ",G145&amp;" ")-1),".")*1000,0),99999))</f>
        <v/>
      </c>
      <c r="CC145" s="3">
        <f>IF(R145="profesional",0,IF(O145&lt;CUOTA_VALOR_MAX,IF(AU145&gt;ITP_TRAMO_ALTO,SUMIFS(CF_CUOTA,CF_MAS,ITP_TRAMO_ALTO,CF_CCMIN,"&lt;="&amp;CB145,CF_CCMAX,"&gt;="&amp;CB145),IF(AU145&gt;ITP_TRAMO_BAJO,SUMIFS(CF_CUOTA,CF_MAS,ITP_TRAMO_BAJO,CF_CCMIN,"&lt;="&amp;CB145,CF_CCMAX,"&gt;="&amp;CB145),O145*ITP_TIPO)),O145*ITP_TIPO))</f>
        <v/>
      </c>
      <c r="CD145" s="4">
        <f>IF(R145="profesional",N(AK145),0)</f>
        <v/>
      </c>
      <c r="CE145" s="3">
        <f>IF(AND(R145="profesional",ISNUMBER(AK145),AL145="sí"),0,TASA_DGT)</f>
        <v/>
      </c>
      <c r="CF145" s="3">
        <f>INFORME_DGT</f>
        <v/>
      </c>
      <c r="CG145" s="4">
        <f>O145+CD145+CC145+CE145+CF145</f>
        <v/>
      </c>
      <c r="CH145" s="4">
        <f>CG145+N(BU145)</f>
        <v/>
      </c>
      <c r="CI145" s="3">
        <f>IF(CG145&lt;=TOTAL_MAX,"sí",IF(CG145&lt;=TOTAL_MAX+MARGEN_NEG,"negociar","no"))</f>
        <v/>
      </c>
      <c r="CJ145" s="4">
        <f>IF(CI145&lt;&gt;"no",COUNTIFS($CI$2:$CI$662,"&lt;&gt;no",$CA$2:$CA$662,"&gt;"&amp;CA145)+COUNTIFS($CI$2:CI145,"&lt;&gt;no",$CA$2:CA145,CA145),"")</f>
        <v/>
      </c>
    </row>
    <row r="146">
      <c r="A146" s="2" t="inlineStr">
        <is>
          <t>cochesnet:71712964</t>
        </is>
      </c>
      <c r="B146" s="2" t="inlineStr">
        <is>
          <t>cochesnet</t>
        </is>
      </c>
      <c r="C146" s="2" t="inlineStr">
        <is>
          <t>https://www.coches.net/peugeot-207-gasolina-2009-en-valencia-71712964-covo.aspx</t>
        </is>
      </c>
      <c r="D146" s="2" t="inlineStr">
        <is>
          <t>PEUGEOT 207</t>
        </is>
      </c>
      <c r="E146" s="2" t="inlineStr">
        <is>
          <t>Peugeot</t>
        </is>
      </c>
      <c r="F146" s="2" t="inlineStr">
        <is>
          <t>Peugeot 207</t>
        </is>
      </c>
      <c r="G146" s="2" t="n"/>
      <c r="H146" s="2" t="n"/>
      <c r="I146" s="2" t="n"/>
      <c r="J146" s="2" t="n"/>
      <c r="K146" s="2" t="inlineStr">
        <is>
          <t>gasolina</t>
        </is>
      </c>
      <c r="L146" s="2" t="inlineStr">
        <is>
          <t>utilitario</t>
        </is>
      </c>
      <c r="M146" s="2" t="n">
        <v>2009</v>
      </c>
      <c r="N146" s="2" t="n">
        <v>133000</v>
      </c>
      <c r="O146" s="2" t="n">
        <v>3900</v>
      </c>
      <c r="P146" s="2" t="inlineStr">
        <is>
          <t>manual</t>
        </is>
      </c>
      <c r="Q146" s="2" t="inlineStr">
        <is>
          <t>no</t>
        </is>
      </c>
      <c r="R146" s="2" t="inlineStr">
        <is>
          <t>particular</t>
        </is>
      </c>
      <c r="S146" s="2" t="n"/>
      <c r="T146" s="2" t="inlineStr">
        <is>
          <t>2026-10-09T12:31:01Z</t>
        </is>
      </c>
      <c r="U146" s="2" t="n">
        <v>6</v>
      </c>
      <c r="V146" s="2" t="inlineStr">
        <is>
          <t>sí</t>
        </is>
      </c>
      <c r="W146" s="2" t="n"/>
      <c r="X146" s="2" t="n"/>
      <c r="Y146" s="2" t="n"/>
      <c r="Z146" s="2" t="inlineStr">
        <is>
          <t>no</t>
        </is>
      </c>
      <c r="AA146" s="2" t="n"/>
      <c r="AB146" s="2" t="n"/>
      <c r="AC146" s="2" t="n"/>
      <c r="AD146" s="2" t="n"/>
      <c r="AE146" s="2" t="n"/>
      <c r="AF146" s="2" t="n"/>
      <c r="AG146" s="2" t="n"/>
      <c r="AH146" s="2" t="n">
        <v>3900</v>
      </c>
      <c r="AI146" s="2" t="n"/>
      <c r="AJ146" s="2" t="n"/>
      <c r="AK146" s="2" t="n"/>
      <c r="AL146" s="2" t="n"/>
      <c r="AM146" s="2" t="n"/>
      <c r="AN146" s="2" t="n">
        <v>3550</v>
      </c>
      <c r="AO146" s="2" t="n">
        <v>30</v>
      </c>
      <c r="AP146" s="2" t="inlineStr">
        <is>
          <t>modelo+año+km</t>
        </is>
      </c>
      <c r="AQ146" s="2" t="n"/>
      <c r="AR14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146" s="2" t="inlineStr">
        <is>
          <t xml:space="preserve">Peugeot 207 cabrio 1.6i 133.000km 
itv recién pasada 
Aire acondicionando funcionando
2 llaves 
Etiqueta C
</t>
        </is>
      </c>
      <c r="AT146" s="2" t="inlineStr">
        <is>
          <t>https://www.coches.net/peugeot-207-gasolina-2009-en-valencia-71712964-covo.aspx (window.__INITIAL_PROPS__.ad) /home/user/Alopecia/buscador-coches/raw/cochesnet/3e63472acf74901b.json</t>
        </is>
      </c>
      <c r="AU146" s="3">
        <f>MAX(ANIO_ACTUAL-M146,0)</f>
        <v/>
      </c>
      <c r="AV146" s="4">
        <f>N146/MAX(AU146,0.5)</f>
        <v/>
      </c>
      <c r="AW146" s="4">
        <f>F146</f>
        <v/>
      </c>
      <c r="AX146" s="3">
        <f>AW146&amp;"|"&amp;INT(M146/SEG_ANIO)*SEG_ANIO</f>
        <v/>
      </c>
      <c r="AY146" s="3">
        <f>AX146&amp;"|"&amp;INT(N146/SEG_KM)*SEG_KM</f>
        <v/>
      </c>
      <c r="AZ146" s="4">
        <f>COUNTIF($AW$2:$AW$662,AW146)</f>
        <v/>
      </c>
      <c r="BA146" s="4">
        <f>COUNTIF($AX$2:$AX$662,AX146)</f>
        <v/>
      </c>
      <c r="BB146" s="4">
        <f>COUNTIF($AY$2:$AY$662,AY146)</f>
        <v/>
      </c>
      <c r="BC146" s="3">
        <f t="array" ref="BC146">IF(N(AO146)&gt;=MIN_N,AN146,IF(BB146&gt;=MIN_N,MEDIAN(IF($AY$2:$AY$662=AY146,$O$2:$O$662)),IF(BA146&gt;=MIN_N,MEDIAN(IF($AX$2:$AX$662=AX146,$O$2:$O$662)),MEDIAN(IF($AW$2:$AW$662=AW146,$O$2:$O$662)))))</f>
        <v/>
      </c>
      <c r="BD146" s="3">
        <f>IF(N(AO146)&gt;=MIN_N,"mercado "&amp;AP146,IF(BB146&gt;=MIN_N,"modelo+año+km",IF(BA146&gt;=MIN_N,"modelo+año","modelo")))</f>
        <v/>
      </c>
      <c r="BE146" s="4">
        <f>(BC146-O146)/BC146</f>
        <v/>
      </c>
      <c r="BF146" s="3">
        <f>IF(OR(K146="hibrido",K146="glp"),"ECO",IF(K146="electrico","CERO",IF(K146="gasolina",IF(M146&gt;=GAS_C,"C",IF(M146&gt;=GAS_B,"B","A")),IF(K146="diesel",IF(M146&gt;=DIE_C,"C",IF(M146&gt;=DIE_B,"B","A")),""))))</f>
        <v/>
      </c>
      <c r="BG146" s="3">
        <f>IFERROR(VLOOKUP(F146,MOD_TBL,11,0),IFERROR(VLOOKUP(E146,OCU_TBL,2,0),NEUTRO))</f>
        <v/>
      </c>
      <c r="BH146" s="3">
        <f>SUMIFS(MOT_AJUSTE,MOT_MOTOR,G146,MOT_MARCA,E146,MOT_DESDE,"&lt;="&amp;M146,MOT_HASTA,"&gt;="&amp;M146)+SUMIFS(MOT_AJUSTE,MOT_MOTOR,G146,MOT_MARCA,"(todas)",MOT_DESDE,"&lt;="&amp;M146,MOT_HASTA,"&gt;="&amp;M146)</f>
        <v/>
      </c>
      <c r="BI146" s="3">
        <f>SUMIFS(COMB_AJUSTE,COMB_COMB,K146)</f>
        <v/>
      </c>
      <c r="BJ146" s="3">
        <f>COUNTIFS(MOT_MOTOR,G146,MOT_MARCA,E146,MOT_DESDE,"&lt;="&amp;M146,MOT_HASTA,"&gt;="&amp;M146)+COUNTIFS(MOT_MOTOR,G146,MOT_MARCA,"(todas)",MOT_DESDE,"&lt;="&amp;M146,MOT_HASTA,"&gt;="&amp;M146)</f>
        <v/>
      </c>
      <c r="BK146" s="3">
        <f>IF(AND(K146="diesel",BJ146=0),MIN(BG146,NEUTRO),BG146)</f>
        <v/>
      </c>
      <c r="BL146" s="4">
        <f>MAX(0,MIN(100,BK146+BH146+BI146))</f>
        <v/>
      </c>
      <c r="BM146" s="3">
        <f>MAX(0,MIN(100,50+BE146*PRECIO_PEND))</f>
        <v/>
      </c>
      <c r="BN146" s="3">
        <f>MAX(0,100*(1-N146/KM_MAX))</f>
        <v/>
      </c>
      <c r="BO146" s="3">
        <f>IF(AV146&lt;KMA_SOSP,IF(AA146="sí",100,KMA_PEN),IF(AV146&lt;=KMA_IDEAL_MAX,100,MAX(0,100*(KMA_CERO-AV146)/(KMA_CERO-KMA_IDEAL_MAX))))</f>
        <v/>
      </c>
      <c r="BP146" s="3">
        <f>MAX(0,MIN(100,100*(M146-ANIO_MIN)/(ANIO_ACTUAL-ANIO_MIN)))</f>
        <v/>
      </c>
      <c r="BQ146" s="3">
        <f>W_KMT*BN146+W_KMA*BO146+W_EDAD*BP146</f>
        <v/>
      </c>
      <c r="BR146" s="3">
        <f>P_ITV*(V146="sí")+P_LIBRO*(W146="sí")+P_CORREA*(X146="sí")+P_PROP*(Y146=1)+P_GAR*(Z146="sí")+P_FOTOS*MIN(1,N(U146)/FOTOS_OBJ)</f>
        <v/>
      </c>
      <c r="BS146" s="3">
        <f>IFERROR(VLOOKUP(BF146,ETQ_TBL,2,0),NEUTRO)</f>
        <v/>
      </c>
      <c r="BT146" s="3">
        <f>NEUTRO</f>
        <v/>
      </c>
      <c r="BU146" s="3">
        <f>IFERROR(VLOOKUP(L146,SEGURO_TBL,3,0),"")</f>
        <v/>
      </c>
      <c r="BV146" s="3">
        <f>IF(BU146="",NEUTRO,MAX(0,MIN(100,100*(SEG_REF_MAX-BU146)/(SEG_REF_MAX-SEG_REF_MIN))))</f>
        <v/>
      </c>
      <c r="BW146" s="3">
        <f>W_ET*BS146+W_CONS*BT146+W_SEG*BV146</f>
        <v/>
      </c>
      <c r="BX146" s="3">
        <f>IF(N(AB146)&gt;0,AB146,IF(AND(R146="profesional",SG_LEGAL_ON=1),GAR_LEGAL,0))</f>
        <v/>
      </c>
      <c r="BY146" s="3">
        <f>SG_GAR*MIN(1,BX146/SG_GAR_FULL)+SG_AMPL*(AC146="sí")+SG_KMC*(AF146="sí")+SG_REV*(N(AE146)&gt;0)+SG_DEV*MIN(1,N(AG146)/SG_DEV_FULL)+SG_HIST*(W146="sí")</f>
        <v/>
      </c>
      <c r="BZ146" s="3">
        <f>IFERROR(VLOOKUP(L146,CARR_PEN_TBL,2,0),0)</f>
        <v/>
      </c>
      <c r="CA146" s="3">
        <f>W_FIAB*BL146+W_PRECIO*BM146+W_KMEDAD*BQ146+W_ANUNCIO*BR146+W_USO*BW146+W_SEGURIDAD*BY146-BZ146</f>
        <v/>
      </c>
      <c r="CB146" s="4">
        <f>IF(N(I146)&gt;0,I146,IFERROR(ROUND(_xlfn.NUMBERVALUE(LEFT(G146,FIND(" ",G146&amp;" ")-1),".")*1000,0),99999))</f>
        <v/>
      </c>
      <c r="CC146" s="3">
        <f>IF(R146="profesional",0,IF(O146&lt;CUOTA_VALOR_MAX,IF(AU146&gt;ITP_TRAMO_ALTO,SUMIFS(CF_CUOTA,CF_MAS,ITP_TRAMO_ALTO,CF_CCMIN,"&lt;="&amp;CB146,CF_CCMAX,"&gt;="&amp;CB146),IF(AU146&gt;ITP_TRAMO_BAJO,SUMIFS(CF_CUOTA,CF_MAS,ITP_TRAMO_BAJO,CF_CCMIN,"&lt;="&amp;CB146,CF_CCMAX,"&gt;="&amp;CB146),O146*ITP_TIPO)),O146*ITP_TIPO))</f>
        <v/>
      </c>
      <c r="CD146" s="4">
        <f>IF(R146="profesional",N(AK146),0)</f>
        <v/>
      </c>
      <c r="CE146" s="3">
        <f>IF(AND(R146="profesional",ISNUMBER(AK146),AL146="sí"),0,TASA_DGT)</f>
        <v/>
      </c>
      <c r="CF146" s="3">
        <f>INFORME_DGT</f>
        <v/>
      </c>
      <c r="CG146" s="4">
        <f>O146+CD146+CC146+CE146+CF146</f>
        <v/>
      </c>
      <c r="CH146" s="4">
        <f>CG146+N(BU146)</f>
        <v/>
      </c>
      <c r="CI146" s="3">
        <f>IF(CG146&lt;=TOTAL_MAX,"sí",IF(CG146&lt;=TOTAL_MAX+MARGEN_NEG,"negociar","no"))</f>
        <v/>
      </c>
      <c r="CJ146" s="4">
        <f>IF(CI146&lt;&gt;"no",COUNTIFS($CI$2:$CI$662,"&lt;&gt;no",$CA$2:$CA$662,"&gt;"&amp;CA146)+COUNTIFS($CI$2:CI146,"&lt;&gt;no",$CA$2:CA146,CA146),"")</f>
        <v/>
      </c>
    </row>
    <row r="147">
      <c r="A147" s="2" t="inlineStr">
        <is>
          <t>cochesnet:71680734</t>
        </is>
      </c>
      <c r="B147" s="2" t="inlineStr">
        <is>
          <t>cochesnet</t>
        </is>
      </c>
      <c r="C147" s="2" t="inlineStr">
        <is>
          <t>https://www.coches.net/peugeot-207-urban-14-hdi-70-5p-diesel-2008-en-valencia-71680734-covo.aspx</t>
        </is>
      </c>
      <c r="D147" s="2" t="inlineStr">
        <is>
          <t>PEUGEOT 207 Urban 1.4 HDI 70</t>
        </is>
      </c>
      <c r="E147" s="2" t="inlineStr">
        <is>
          <t>Peugeot</t>
        </is>
      </c>
      <c r="F147" s="2" t="inlineStr">
        <is>
          <t>Peugeot 207</t>
        </is>
      </c>
      <c r="G147" s="2" t="inlineStr">
        <is>
          <t>1.4 HDi</t>
        </is>
      </c>
      <c r="H147" s="2" t="inlineStr">
        <is>
          <t>Urban 1.4 HDI 70</t>
        </is>
      </c>
      <c r="I147" s="2" t="n"/>
      <c r="J147" s="2" t="n"/>
      <c r="K147" s="2" t="inlineStr">
        <is>
          <t>diesel</t>
        </is>
      </c>
      <c r="L147" s="2" t="inlineStr">
        <is>
          <t>utilitario</t>
        </is>
      </c>
      <c r="M147" s="2" t="n">
        <v>2008</v>
      </c>
      <c r="N147" s="2" t="n">
        <v>170000</v>
      </c>
      <c r="O147" s="2" t="n">
        <v>4500</v>
      </c>
      <c r="P147" s="2" t="inlineStr">
        <is>
          <t>manual</t>
        </is>
      </c>
      <c r="Q147" s="2" t="inlineStr">
        <is>
          <t>no</t>
        </is>
      </c>
      <c r="R147" s="2" t="inlineStr">
        <is>
          <t>profesional</t>
        </is>
      </c>
      <c r="S147" s="2" t="inlineStr">
        <is>
          <t>Compraventa MCars L'Alcúdia</t>
        </is>
      </c>
      <c r="T147" s="2" t="inlineStr">
        <is>
          <t>2026-10-05T21:54:07Z</t>
        </is>
      </c>
      <c r="U147" s="2" t="n">
        <v>11</v>
      </c>
      <c r="V147" s="2" t="n"/>
      <c r="W147" s="2" t="n"/>
      <c r="X147" s="2" t="n"/>
      <c r="Y147" s="2" t="n">
        <v>1</v>
      </c>
      <c r="Z147" s="2" t="inlineStr">
        <is>
          <t>sí</t>
        </is>
      </c>
      <c r="AA147" s="2" t="n"/>
      <c r="AB147" s="2" t="n">
        <v>12</v>
      </c>
      <c r="AC147" s="2" t="n"/>
      <c r="AD147" s="2" t="n"/>
      <c r="AE147" s="2" t="n"/>
      <c r="AF147" s="2" t="n"/>
      <c r="AG147" s="2" t="n"/>
      <c r="AH147" s="2" t="n">
        <v>4500</v>
      </c>
      <c r="AI147" s="2" t="n"/>
      <c r="AJ147" s="2" t="n"/>
      <c r="AK147" s="2" t="n"/>
      <c r="AL147" s="2" t="n"/>
      <c r="AM147" s="2" t="n"/>
      <c r="AN147" s="2" t="n">
        <v>3600</v>
      </c>
      <c r="AO147" s="2" t="n">
        <v>21</v>
      </c>
      <c r="AP147" s="2" t="inlineStr">
        <is>
          <t>modelo+año+km</t>
        </is>
      </c>
      <c r="AQ147" s="2" t="n"/>
      <c r="AR147"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147" s="2" t="inlineStr">
        <is>
          <t xml:space="preserve">Vehículo nacional de único propietario, todos los mantenimientos al día, aire acondicionado, elevalunas eléctricos,,,
Se entrega totalmente revisado por nuestros mecánicos transferido y con 12 meses de garantía </t>
        </is>
      </c>
      <c r="AT147" s="2" t="inlineStr">
        <is>
          <t>https://www.coches.net/peugeot-207-urban-14-hdi-70-5p-diesel-2008-en-valencia-71680734-covo.aspx (window.__INITIAL_PROPS__.ad) /home/user/Alopecia/buscador-coches/raw/cochesnet/243ae1264f7721e0.json</t>
        </is>
      </c>
      <c r="AU147" s="3">
        <f>MAX(ANIO_ACTUAL-M147,0)</f>
        <v/>
      </c>
      <c r="AV147" s="4">
        <f>N147/MAX(AU147,0.5)</f>
        <v/>
      </c>
      <c r="AW147" s="4">
        <f>F147</f>
        <v/>
      </c>
      <c r="AX147" s="3">
        <f>AW147&amp;"|"&amp;INT(M147/SEG_ANIO)*SEG_ANIO</f>
        <v/>
      </c>
      <c r="AY147" s="3">
        <f>AX147&amp;"|"&amp;INT(N147/SEG_KM)*SEG_KM</f>
        <v/>
      </c>
      <c r="AZ147" s="4">
        <f>COUNTIF($AW$2:$AW$662,AW147)</f>
        <v/>
      </c>
      <c r="BA147" s="4">
        <f>COUNTIF($AX$2:$AX$662,AX147)</f>
        <v/>
      </c>
      <c r="BB147" s="4">
        <f>COUNTIF($AY$2:$AY$662,AY147)</f>
        <v/>
      </c>
      <c r="BC147" s="3">
        <f t="array" ref="BC147">IF(N(AO147)&gt;=MIN_N,AN147,IF(BB147&gt;=MIN_N,MEDIAN(IF($AY$2:$AY$662=AY147,$O$2:$O$662)),IF(BA147&gt;=MIN_N,MEDIAN(IF($AX$2:$AX$662=AX147,$O$2:$O$662)),MEDIAN(IF($AW$2:$AW$662=AW147,$O$2:$O$662)))))</f>
        <v/>
      </c>
      <c r="BD147" s="3">
        <f>IF(N(AO147)&gt;=MIN_N,"mercado "&amp;AP147,IF(BB147&gt;=MIN_N,"modelo+año+km",IF(BA147&gt;=MIN_N,"modelo+año","modelo")))</f>
        <v/>
      </c>
      <c r="BE147" s="4">
        <f>(BC147-O147)/BC147</f>
        <v/>
      </c>
      <c r="BF147" s="3">
        <f>IF(OR(K147="hibrido",K147="glp"),"ECO",IF(K147="electrico","CERO",IF(K147="gasolina",IF(M147&gt;=GAS_C,"C",IF(M147&gt;=GAS_B,"B","A")),IF(K147="diesel",IF(M147&gt;=DIE_C,"C",IF(M147&gt;=DIE_B,"B","A")),""))))</f>
        <v/>
      </c>
      <c r="BG147" s="3">
        <f>IFERROR(VLOOKUP(F147,MOD_TBL,11,0),IFERROR(VLOOKUP(E147,OCU_TBL,2,0),NEUTRO))</f>
        <v/>
      </c>
      <c r="BH147" s="3">
        <f>SUMIFS(MOT_AJUSTE,MOT_MOTOR,G147,MOT_MARCA,E147,MOT_DESDE,"&lt;="&amp;M147,MOT_HASTA,"&gt;="&amp;M147)+SUMIFS(MOT_AJUSTE,MOT_MOTOR,G147,MOT_MARCA,"(todas)",MOT_DESDE,"&lt;="&amp;M147,MOT_HASTA,"&gt;="&amp;M147)</f>
        <v/>
      </c>
      <c r="BI147" s="3">
        <f>SUMIFS(COMB_AJUSTE,COMB_COMB,K147)</f>
        <v/>
      </c>
      <c r="BJ147" s="3">
        <f>COUNTIFS(MOT_MOTOR,G147,MOT_MARCA,E147,MOT_DESDE,"&lt;="&amp;M147,MOT_HASTA,"&gt;="&amp;M147)+COUNTIFS(MOT_MOTOR,G147,MOT_MARCA,"(todas)",MOT_DESDE,"&lt;="&amp;M147,MOT_HASTA,"&gt;="&amp;M147)</f>
        <v/>
      </c>
      <c r="BK147" s="3">
        <f>IF(AND(K147="diesel",BJ147=0),MIN(BG147,NEUTRO),BG147)</f>
        <v/>
      </c>
      <c r="BL147" s="4">
        <f>MAX(0,MIN(100,BK147+BH147+BI147))</f>
        <v/>
      </c>
      <c r="BM147" s="3">
        <f>MAX(0,MIN(100,50+BE147*PRECIO_PEND))</f>
        <v/>
      </c>
      <c r="BN147" s="3">
        <f>MAX(0,100*(1-N147/KM_MAX))</f>
        <v/>
      </c>
      <c r="BO147" s="3">
        <f>IF(AV147&lt;KMA_SOSP,IF(AA147="sí",100,KMA_PEN),IF(AV147&lt;=KMA_IDEAL_MAX,100,MAX(0,100*(KMA_CERO-AV147)/(KMA_CERO-KMA_IDEAL_MAX))))</f>
        <v/>
      </c>
      <c r="BP147" s="3">
        <f>MAX(0,MIN(100,100*(M147-ANIO_MIN)/(ANIO_ACTUAL-ANIO_MIN)))</f>
        <v/>
      </c>
      <c r="BQ147" s="3">
        <f>W_KMT*BN147+W_KMA*BO147+W_EDAD*BP147</f>
        <v/>
      </c>
      <c r="BR147" s="3">
        <f>P_ITV*(V147="sí")+P_LIBRO*(W147="sí")+P_CORREA*(X147="sí")+P_PROP*(Y147=1)+P_GAR*(Z147="sí")+P_FOTOS*MIN(1,N(U147)/FOTOS_OBJ)</f>
        <v/>
      </c>
      <c r="BS147" s="3">
        <f>IFERROR(VLOOKUP(BF147,ETQ_TBL,2,0),NEUTRO)</f>
        <v/>
      </c>
      <c r="BT147" s="3">
        <f>NEUTRO</f>
        <v/>
      </c>
      <c r="BU147" s="3">
        <f>IFERROR(VLOOKUP(L147,SEGURO_TBL,3,0),"")</f>
        <v/>
      </c>
      <c r="BV147" s="3">
        <f>IF(BU147="",NEUTRO,MAX(0,MIN(100,100*(SEG_REF_MAX-BU147)/(SEG_REF_MAX-SEG_REF_MIN))))</f>
        <v/>
      </c>
      <c r="BW147" s="3">
        <f>W_ET*BS147+W_CONS*BT147+W_SEG*BV147</f>
        <v/>
      </c>
      <c r="BX147" s="3">
        <f>IF(N(AB147)&gt;0,AB147,IF(AND(R147="profesional",SG_LEGAL_ON=1),GAR_LEGAL,0))</f>
        <v/>
      </c>
      <c r="BY147" s="3">
        <f>SG_GAR*MIN(1,BX147/SG_GAR_FULL)+SG_AMPL*(AC147="sí")+SG_KMC*(AF147="sí")+SG_REV*(N(AE147)&gt;0)+SG_DEV*MIN(1,N(AG147)/SG_DEV_FULL)+SG_HIST*(W147="sí")</f>
        <v/>
      </c>
      <c r="BZ147" s="3">
        <f>IFERROR(VLOOKUP(L147,CARR_PEN_TBL,2,0),0)</f>
        <v/>
      </c>
      <c r="CA147" s="3">
        <f>W_FIAB*BL147+W_PRECIO*BM147+W_KMEDAD*BQ147+W_ANUNCIO*BR147+W_USO*BW147+W_SEGURIDAD*BY147-BZ147</f>
        <v/>
      </c>
      <c r="CB147" s="4">
        <f>IF(N(I147)&gt;0,I147,IFERROR(ROUND(_xlfn.NUMBERVALUE(LEFT(G147,FIND(" ",G147&amp;" ")-1),".")*1000,0),99999))</f>
        <v/>
      </c>
      <c r="CC147" s="3">
        <f>IF(R147="profesional",0,IF(O147&lt;CUOTA_VALOR_MAX,IF(AU147&gt;ITP_TRAMO_ALTO,SUMIFS(CF_CUOTA,CF_MAS,ITP_TRAMO_ALTO,CF_CCMIN,"&lt;="&amp;CB147,CF_CCMAX,"&gt;="&amp;CB147),IF(AU147&gt;ITP_TRAMO_BAJO,SUMIFS(CF_CUOTA,CF_MAS,ITP_TRAMO_BAJO,CF_CCMIN,"&lt;="&amp;CB147,CF_CCMAX,"&gt;="&amp;CB147),O147*ITP_TIPO)),O147*ITP_TIPO))</f>
        <v/>
      </c>
      <c r="CD147" s="4">
        <f>IF(R147="profesional",N(AK147),0)</f>
        <v/>
      </c>
      <c r="CE147" s="3">
        <f>IF(AND(R147="profesional",ISNUMBER(AK147),AL147="sí"),0,TASA_DGT)</f>
        <v/>
      </c>
      <c r="CF147" s="3">
        <f>INFORME_DGT</f>
        <v/>
      </c>
      <c r="CG147" s="4">
        <f>O147+CD147+CC147+CE147+CF147</f>
        <v/>
      </c>
      <c r="CH147" s="4">
        <f>CG147+N(BU147)</f>
        <v/>
      </c>
      <c r="CI147" s="3">
        <f>IF(CG147&lt;=TOTAL_MAX,"sí",IF(CG147&lt;=TOTAL_MAX+MARGEN_NEG,"negociar","no"))</f>
        <v/>
      </c>
      <c r="CJ147" s="4">
        <f>IF(CI147&lt;&gt;"no",COUNTIFS($CI$2:$CI$662,"&lt;&gt;no",$CA$2:$CA$662,"&gt;"&amp;CA147)+COUNTIFS($CI$2:CI147,"&lt;&gt;no",$CA$2:CA147,CA147),"")</f>
        <v/>
      </c>
    </row>
    <row r="148">
      <c r="A148" s="2" t="inlineStr">
        <is>
          <t>cochesnet:71674977</t>
        </is>
      </c>
      <c r="B148" s="2" t="inlineStr">
        <is>
          <t>cochesnet</t>
        </is>
      </c>
      <c r="C148" s="2" t="inlineStr">
        <is>
          <t>https://www.coches.net/peugeot-207-active-14i-75-5p-gasolina-2012-en-valencia-71674977-covo.aspx</t>
        </is>
      </c>
      <c r="D148" s="2" t="inlineStr">
        <is>
          <t>PEUGEOT 207 ACTIVE 1.4i 75</t>
        </is>
      </c>
      <c r="E148" s="2" t="inlineStr">
        <is>
          <t>Peugeot</t>
        </is>
      </c>
      <c r="F148" s="2" t="inlineStr">
        <is>
          <t>Peugeot 207</t>
        </is>
      </c>
      <c r="G148" s="2" t="inlineStr">
        <is>
          <t>1.4</t>
        </is>
      </c>
      <c r="H148" s="2" t="inlineStr">
        <is>
          <t>ACTIVE 1.4i 75</t>
        </is>
      </c>
      <c r="I148" s="2" t="n"/>
      <c r="J148" s="2" t="n"/>
      <c r="K148" s="2" t="inlineStr">
        <is>
          <t>gasolina</t>
        </is>
      </c>
      <c r="L148" s="2" t="inlineStr">
        <is>
          <t>utilitario</t>
        </is>
      </c>
      <c r="M148" s="2" t="n">
        <v>2012</v>
      </c>
      <c r="N148" s="2" t="n">
        <v>139000</v>
      </c>
      <c r="O148" s="2" t="n">
        <v>4500</v>
      </c>
      <c r="P148" s="2" t="inlineStr">
        <is>
          <t>manual</t>
        </is>
      </c>
      <c r="Q148" s="2" t="inlineStr">
        <is>
          <t>no</t>
        </is>
      </c>
      <c r="R148" s="2" t="inlineStr">
        <is>
          <t>particular</t>
        </is>
      </c>
      <c r="S148" s="2" t="inlineStr">
        <is>
          <t>Valencia</t>
        </is>
      </c>
      <c r="T148" s="2" t="inlineStr">
        <is>
          <t>2026-10-05T12:20:38Z</t>
        </is>
      </c>
      <c r="U148" s="2" t="n">
        <v>12</v>
      </c>
      <c r="V148" s="2" t="inlineStr">
        <is>
          <t>sí</t>
        </is>
      </c>
      <c r="W148" s="2" t="n"/>
      <c r="X148" s="2" t="n"/>
      <c r="Y148" s="2" t="n"/>
      <c r="Z148" s="2" t="inlineStr">
        <is>
          <t>no</t>
        </is>
      </c>
      <c r="AA148" s="2" t="n"/>
      <c r="AB148" s="2" t="n"/>
      <c r="AC148" s="2" t="n"/>
      <c r="AD148" s="2" t="n"/>
      <c r="AE148" s="2" t="n"/>
      <c r="AF148" s="2" t="n"/>
      <c r="AG148" s="2" t="n"/>
      <c r="AH148" s="2" t="n">
        <v>4500</v>
      </c>
      <c r="AI148" s="2" t="n"/>
      <c r="AJ148" s="2" t="n"/>
      <c r="AK148" s="2" t="n"/>
      <c r="AL148" s="2" t="n"/>
      <c r="AM148" s="2" t="n">
        <v>0.1</v>
      </c>
      <c r="AN148" s="2" t="n">
        <v>4490</v>
      </c>
      <c r="AO148" s="2" t="n">
        <v>15</v>
      </c>
      <c r="AP148" s="2" t="inlineStr">
        <is>
          <t>modelo+año+km</t>
        </is>
      </c>
      <c r="AQ148" s="2" t="n"/>
      <c r="AR148" s="2" t="inlineStr">
        <is>
          <t>cuota fija ITP: &gt;12 años, hasta 1.500 cc; fiabilidad del modelo PENDIENTE de fuente (puntuación neutra)</t>
        </is>
      </c>
      <c r="AS148" s="2" t="inlineStr">
        <is>
          <t>Peugeot 207 en muy buen estado, cuidado y listo para seguir disfrutando.
El coche funciona perfectamente, tanto de motor como de cambio y demás elementos, y tiene la ITV en vigor. Se han realizado sus mantenimientos correspondientes y dispongo de copias de los mantenimientos/facturas, para que el comprador pueda consultar su historial.
Se entrega con 2 llaves.
Cuenta con el equipamiento indicado en el anuncio, incluyendo Bluetooth y los diferentes elementos de confort y equipamiento de esta versión. Un coche práctico, cómodo y económico para el día a día, ideal tanto para ciudad como para carretera.
Se puede ver y probar sin compromiso. Venta seria y transparente; el coche se puede revisar con tranquilidad antes de la compra.
ITV en vigor · 2 llaves · Mantenimientos documentados · Bluetooth · Funciona perfectamente.</t>
        </is>
      </c>
      <c r="AT148" s="2" t="inlineStr">
        <is>
          <t>https://www.coches.net/peugeot-207-active-14i-75-5p-gasolina-2012-en-valencia-71674977-covo.aspx (window.__INITIAL_PROPS__.ad) /home/user/Alopecia/buscador-coches/raw/cochesnet/d1245cedf0895d79.json</t>
        </is>
      </c>
      <c r="AU148" s="3">
        <f>MAX(ANIO_ACTUAL-M148,0)</f>
        <v/>
      </c>
      <c r="AV148" s="4">
        <f>N148/MAX(AU148,0.5)</f>
        <v/>
      </c>
      <c r="AW148" s="4">
        <f>F148</f>
        <v/>
      </c>
      <c r="AX148" s="3">
        <f>AW148&amp;"|"&amp;INT(M148/SEG_ANIO)*SEG_ANIO</f>
        <v/>
      </c>
      <c r="AY148" s="3">
        <f>AX148&amp;"|"&amp;INT(N148/SEG_KM)*SEG_KM</f>
        <v/>
      </c>
      <c r="AZ148" s="4">
        <f>COUNTIF($AW$2:$AW$662,AW148)</f>
        <v/>
      </c>
      <c r="BA148" s="4">
        <f>COUNTIF($AX$2:$AX$662,AX148)</f>
        <v/>
      </c>
      <c r="BB148" s="4">
        <f>COUNTIF($AY$2:$AY$662,AY148)</f>
        <v/>
      </c>
      <c r="BC148" s="3">
        <f t="array" ref="BC148">IF(N(AO148)&gt;=MIN_N,AN148,IF(BB148&gt;=MIN_N,MEDIAN(IF($AY$2:$AY$662=AY148,$O$2:$O$662)),IF(BA148&gt;=MIN_N,MEDIAN(IF($AX$2:$AX$662=AX148,$O$2:$O$662)),MEDIAN(IF($AW$2:$AW$662=AW148,$O$2:$O$662)))))</f>
        <v/>
      </c>
      <c r="BD148" s="3">
        <f>IF(N(AO148)&gt;=MIN_N,"mercado "&amp;AP148,IF(BB148&gt;=MIN_N,"modelo+año+km",IF(BA148&gt;=MIN_N,"modelo+año","modelo")))</f>
        <v/>
      </c>
      <c r="BE148" s="4">
        <f>(BC148-O148)/BC148</f>
        <v/>
      </c>
      <c r="BF148" s="3">
        <f>IF(OR(K148="hibrido",K148="glp"),"ECO",IF(K148="electrico","CERO",IF(K148="gasolina",IF(M148&gt;=GAS_C,"C",IF(M148&gt;=GAS_B,"B","A")),IF(K148="diesel",IF(M148&gt;=DIE_C,"C",IF(M148&gt;=DIE_B,"B","A")),""))))</f>
        <v/>
      </c>
      <c r="BG148" s="3">
        <f>IFERROR(VLOOKUP(F148,MOD_TBL,11,0),IFERROR(VLOOKUP(E148,OCU_TBL,2,0),NEUTRO))</f>
        <v/>
      </c>
      <c r="BH148" s="3">
        <f>SUMIFS(MOT_AJUSTE,MOT_MOTOR,G148,MOT_MARCA,E148,MOT_DESDE,"&lt;="&amp;M148,MOT_HASTA,"&gt;="&amp;M148)+SUMIFS(MOT_AJUSTE,MOT_MOTOR,G148,MOT_MARCA,"(todas)",MOT_DESDE,"&lt;="&amp;M148,MOT_HASTA,"&gt;="&amp;M148)</f>
        <v/>
      </c>
      <c r="BI148" s="3">
        <f>SUMIFS(COMB_AJUSTE,COMB_COMB,K148)</f>
        <v/>
      </c>
      <c r="BJ148" s="3">
        <f>COUNTIFS(MOT_MOTOR,G148,MOT_MARCA,E148,MOT_DESDE,"&lt;="&amp;M148,MOT_HASTA,"&gt;="&amp;M148)+COUNTIFS(MOT_MOTOR,G148,MOT_MARCA,"(todas)",MOT_DESDE,"&lt;="&amp;M148,MOT_HASTA,"&gt;="&amp;M148)</f>
        <v/>
      </c>
      <c r="BK148" s="3">
        <f>IF(AND(K148="diesel",BJ148=0),MIN(BG148,NEUTRO),BG148)</f>
        <v/>
      </c>
      <c r="BL148" s="4">
        <f>MAX(0,MIN(100,BK148+BH148+BI148))</f>
        <v/>
      </c>
      <c r="BM148" s="3">
        <f>MAX(0,MIN(100,50+BE148*PRECIO_PEND))</f>
        <v/>
      </c>
      <c r="BN148" s="3">
        <f>MAX(0,100*(1-N148/KM_MAX))</f>
        <v/>
      </c>
      <c r="BO148" s="3">
        <f>IF(AV148&lt;KMA_SOSP,IF(AA148="sí",100,KMA_PEN),IF(AV148&lt;=KMA_IDEAL_MAX,100,MAX(0,100*(KMA_CERO-AV148)/(KMA_CERO-KMA_IDEAL_MAX))))</f>
        <v/>
      </c>
      <c r="BP148" s="3">
        <f>MAX(0,MIN(100,100*(M148-ANIO_MIN)/(ANIO_ACTUAL-ANIO_MIN)))</f>
        <v/>
      </c>
      <c r="BQ148" s="3">
        <f>W_KMT*BN148+W_KMA*BO148+W_EDAD*BP148</f>
        <v/>
      </c>
      <c r="BR148" s="3">
        <f>P_ITV*(V148="sí")+P_LIBRO*(W148="sí")+P_CORREA*(X148="sí")+P_PROP*(Y148=1)+P_GAR*(Z148="sí")+P_FOTOS*MIN(1,N(U148)/FOTOS_OBJ)</f>
        <v/>
      </c>
      <c r="BS148" s="3">
        <f>IFERROR(VLOOKUP(BF148,ETQ_TBL,2,0),NEUTRO)</f>
        <v/>
      </c>
      <c r="BT148" s="3">
        <f>NEUTRO</f>
        <v/>
      </c>
      <c r="BU148" s="3">
        <f>IFERROR(VLOOKUP(L148,SEGURO_TBL,3,0),"")</f>
        <v/>
      </c>
      <c r="BV148" s="3">
        <f>IF(BU148="",NEUTRO,MAX(0,MIN(100,100*(SEG_REF_MAX-BU148)/(SEG_REF_MAX-SEG_REF_MIN))))</f>
        <v/>
      </c>
      <c r="BW148" s="3">
        <f>W_ET*BS148+W_CONS*BT148+W_SEG*BV148</f>
        <v/>
      </c>
      <c r="BX148" s="3">
        <f>IF(N(AB148)&gt;0,AB148,IF(AND(R148="profesional",SG_LEGAL_ON=1),GAR_LEGAL,0))</f>
        <v/>
      </c>
      <c r="BY148" s="3">
        <f>SG_GAR*MIN(1,BX148/SG_GAR_FULL)+SG_AMPL*(AC148="sí")+SG_KMC*(AF148="sí")+SG_REV*(N(AE148)&gt;0)+SG_DEV*MIN(1,N(AG148)/SG_DEV_FULL)+SG_HIST*(W148="sí")</f>
        <v/>
      </c>
      <c r="BZ148" s="3">
        <f>IFERROR(VLOOKUP(L148,CARR_PEN_TBL,2,0),0)</f>
        <v/>
      </c>
      <c r="CA148" s="3">
        <f>W_FIAB*BL148+W_PRECIO*BM148+W_KMEDAD*BQ148+W_ANUNCIO*BR148+W_USO*BW148+W_SEGURIDAD*BY148-BZ148</f>
        <v/>
      </c>
      <c r="CB148" s="4">
        <f>IF(N(I148)&gt;0,I148,IFERROR(ROUND(_xlfn.NUMBERVALUE(LEFT(G148,FIND(" ",G148&amp;" ")-1),".")*1000,0),99999))</f>
        <v/>
      </c>
      <c r="CC148" s="3">
        <f>IF(R148="profesional",0,IF(O148&lt;CUOTA_VALOR_MAX,IF(AU148&gt;ITP_TRAMO_ALTO,SUMIFS(CF_CUOTA,CF_MAS,ITP_TRAMO_ALTO,CF_CCMIN,"&lt;="&amp;CB148,CF_CCMAX,"&gt;="&amp;CB148),IF(AU148&gt;ITP_TRAMO_BAJO,SUMIFS(CF_CUOTA,CF_MAS,ITP_TRAMO_BAJO,CF_CCMIN,"&lt;="&amp;CB148,CF_CCMAX,"&gt;="&amp;CB148),O148*ITP_TIPO)),O148*ITP_TIPO))</f>
        <v/>
      </c>
      <c r="CD148" s="4">
        <f>IF(R148="profesional",N(AK148),0)</f>
        <v/>
      </c>
      <c r="CE148" s="3">
        <f>IF(AND(R148="profesional",ISNUMBER(AK148),AL148="sí"),0,TASA_DGT)</f>
        <v/>
      </c>
      <c r="CF148" s="3">
        <f>INFORME_DGT</f>
        <v/>
      </c>
      <c r="CG148" s="4">
        <f>O148+CD148+CC148+CE148+CF148</f>
        <v/>
      </c>
      <c r="CH148" s="4">
        <f>CG148+N(BU148)</f>
        <v/>
      </c>
      <c r="CI148" s="3">
        <f>IF(CG148&lt;=TOTAL_MAX,"sí",IF(CG148&lt;=TOTAL_MAX+MARGEN_NEG,"negociar","no"))</f>
        <v/>
      </c>
      <c r="CJ148" s="4">
        <f>IF(CI148&lt;&gt;"no",COUNTIFS($CI$2:$CI$662,"&lt;&gt;no",$CA$2:$CA$662,"&gt;"&amp;CA148)+COUNTIFS($CI$2:CI148,"&lt;&gt;no",$CA$2:CA148,CA148),"")</f>
        <v/>
      </c>
    </row>
    <row r="149">
      <c r="A149" s="2" t="inlineStr">
        <is>
          <t>cochesnet:71608687</t>
        </is>
      </c>
      <c r="B149" s="2" t="inlineStr">
        <is>
          <t>cochesnet</t>
        </is>
      </c>
      <c r="C149" s="2" t="inlineStr">
        <is>
          <t>https://www.coches.net/peugeot-207-sport-14-vti-16v-95-3p-gasolina-2009-en-valencia-71608687-covo.aspx</t>
        </is>
      </c>
      <c r="D149" s="2" t="inlineStr">
        <is>
          <t>PEUGEOT 207 Sport 1.4 VTi 16v 95</t>
        </is>
      </c>
      <c r="E149" s="2" t="inlineStr">
        <is>
          <t>Peugeot</t>
        </is>
      </c>
      <c r="F149" s="2" t="inlineStr">
        <is>
          <t>Peugeot 207</t>
        </is>
      </c>
      <c r="G149" s="2" t="inlineStr">
        <is>
          <t>1.4 VTi</t>
        </is>
      </c>
      <c r="H149" s="2" t="inlineStr">
        <is>
          <t>Sport 1.4 VTi 16v 95</t>
        </is>
      </c>
      <c r="I149" s="2" t="n"/>
      <c r="J149" s="2" t="n"/>
      <c r="K149" s="2" t="inlineStr">
        <is>
          <t>gasolina</t>
        </is>
      </c>
      <c r="L149" s="2" t="inlineStr">
        <is>
          <t>utilitario</t>
        </is>
      </c>
      <c r="M149" s="2" t="n">
        <v>2009</v>
      </c>
      <c r="N149" s="2" t="n">
        <v>156000</v>
      </c>
      <c r="O149" s="2" t="n">
        <v>4100</v>
      </c>
      <c r="P149" s="2" t="inlineStr">
        <is>
          <t>manual</t>
        </is>
      </c>
      <c r="Q149" s="2" t="inlineStr">
        <is>
          <t>no</t>
        </is>
      </c>
      <c r="R149" s="2" t="inlineStr">
        <is>
          <t>particular</t>
        </is>
      </c>
      <c r="S149" s="2" t="inlineStr">
        <is>
          <t>Gandia</t>
        </is>
      </c>
      <c r="T149" s="2" t="inlineStr">
        <is>
          <t>2026-09-27T15:52:05Z</t>
        </is>
      </c>
      <c r="U149" s="2" t="n">
        <v>8</v>
      </c>
      <c r="V149" s="2" t="n"/>
      <c r="W149" s="2" t="n"/>
      <c r="X149" s="2" t="n"/>
      <c r="Y149" s="2" t="n"/>
      <c r="Z149" s="2" t="inlineStr">
        <is>
          <t>no</t>
        </is>
      </c>
      <c r="AA149" s="2" t="n"/>
      <c r="AB149" s="2" t="n"/>
      <c r="AC149" s="2" t="n"/>
      <c r="AD149" s="2" t="n"/>
      <c r="AE149" s="2" t="n"/>
      <c r="AF149" s="2" t="n"/>
      <c r="AG149" s="2" t="n"/>
      <c r="AH149" s="2" t="n">
        <v>4100</v>
      </c>
      <c r="AI149" s="2" t="n"/>
      <c r="AJ149" s="2" t="n"/>
      <c r="AK149" s="2" t="n"/>
      <c r="AL149" s="2" t="n"/>
      <c r="AM149" s="2" t="n">
        <v>58.4</v>
      </c>
      <c r="AN149" s="2" t="n">
        <v>3600</v>
      </c>
      <c r="AO149" s="2" t="n">
        <v>21</v>
      </c>
      <c r="AP149" s="2" t="inlineStr">
        <is>
          <t>modelo+año+km</t>
        </is>
      </c>
      <c r="AQ149" s="2" t="n"/>
      <c r="AR149" s="2" t="inlineStr">
        <is>
          <t>cuota fija ITP: &gt;12 años, hasta 1.500 cc; fiabilidad del modelo PENDIENTE de fuente (puntuación neutra)</t>
        </is>
      </c>
      <c r="AS149" s="2" t="inlineStr">
        <is>
          <t>Peugeot 207 versión Restyling (facelift 2009) con acabado Sport. Coche ideal como primer vehículo o para desplazamientos diarios.
* Año: 2009 (Restyling)
* Kilómetros: 156.000 km
* Motor: 1.4 VTi 95 CV (Gasolina - Motor con cadena de distribución, sin gastos de cambio de correa)
* Cambio: Manual de 5 velocidades
* Carrocería: 3 puertas
* Etiqueta DGT: C
Puntos clave y equipamiento destacado
(Acabado Sport):
* Estética exterior mejorada: Frontal con rejilla cromada y paragolpes deportivo post-restyling, faros antiniebla integrados y llantas de aleación.
* Interior y confort: Asientos deportivos con mayor sujeción lateral, aire acondicionado / climatizador, ordenador de a bordo y elevalunas eléctricos.
* Mantenimiento: Al día de mecánica, ITV en regla hasta enero del 2027.
Coche ágil y cómodo de aparcar. Acepto prueba mecánica sin compromiso.
Ubicación: Playa de Gandía
Precio: 4.100 €</t>
        </is>
      </c>
      <c r="AT149" s="2" t="inlineStr">
        <is>
          <t>https://www.coches.net/peugeot-207-sport-14-vti-16v-95-3p-gasolina-2009-en-valencia-71608687-covo.aspx (window.__INITIAL_PROPS__.ad) /home/user/Alopecia/buscador-coches/raw/cochesnet/845605bd212f67b6.json</t>
        </is>
      </c>
      <c r="AU149" s="3">
        <f>MAX(ANIO_ACTUAL-M149,0)</f>
        <v/>
      </c>
      <c r="AV149" s="4">
        <f>N149/MAX(AU149,0.5)</f>
        <v/>
      </c>
      <c r="AW149" s="4">
        <f>F149</f>
        <v/>
      </c>
      <c r="AX149" s="3">
        <f>AW149&amp;"|"&amp;INT(M149/SEG_ANIO)*SEG_ANIO</f>
        <v/>
      </c>
      <c r="AY149" s="3">
        <f>AX149&amp;"|"&amp;INT(N149/SEG_KM)*SEG_KM</f>
        <v/>
      </c>
      <c r="AZ149" s="4">
        <f>COUNTIF($AW$2:$AW$662,AW149)</f>
        <v/>
      </c>
      <c r="BA149" s="4">
        <f>COUNTIF($AX$2:$AX$662,AX149)</f>
        <v/>
      </c>
      <c r="BB149" s="4">
        <f>COUNTIF($AY$2:$AY$662,AY149)</f>
        <v/>
      </c>
      <c r="BC149" s="3">
        <f t="array" ref="BC149">IF(N(AO149)&gt;=MIN_N,AN149,IF(BB149&gt;=MIN_N,MEDIAN(IF($AY$2:$AY$662=AY149,$O$2:$O$662)),IF(BA149&gt;=MIN_N,MEDIAN(IF($AX$2:$AX$662=AX149,$O$2:$O$662)),MEDIAN(IF($AW$2:$AW$662=AW149,$O$2:$O$662)))))</f>
        <v/>
      </c>
      <c r="BD149" s="3">
        <f>IF(N(AO149)&gt;=MIN_N,"mercado "&amp;AP149,IF(BB149&gt;=MIN_N,"modelo+año+km",IF(BA149&gt;=MIN_N,"modelo+año","modelo")))</f>
        <v/>
      </c>
      <c r="BE149" s="4">
        <f>(BC149-O149)/BC149</f>
        <v/>
      </c>
      <c r="BF149" s="3">
        <f>IF(OR(K149="hibrido",K149="glp"),"ECO",IF(K149="electrico","CERO",IF(K149="gasolina",IF(M149&gt;=GAS_C,"C",IF(M149&gt;=GAS_B,"B","A")),IF(K149="diesel",IF(M149&gt;=DIE_C,"C",IF(M149&gt;=DIE_B,"B","A")),""))))</f>
        <v/>
      </c>
      <c r="BG149" s="3">
        <f>IFERROR(VLOOKUP(F149,MOD_TBL,11,0),IFERROR(VLOOKUP(E149,OCU_TBL,2,0),NEUTRO))</f>
        <v/>
      </c>
      <c r="BH149" s="3">
        <f>SUMIFS(MOT_AJUSTE,MOT_MOTOR,G149,MOT_MARCA,E149,MOT_DESDE,"&lt;="&amp;M149,MOT_HASTA,"&gt;="&amp;M149)+SUMIFS(MOT_AJUSTE,MOT_MOTOR,G149,MOT_MARCA,"(todas)",MOT_DESDE,"&lt;="&amp;M149,MOT_HASTA,"&gt;="&amp;M149)</f>
        <v/>
      </c>
      <c r="BI149" s="3">
        <f>SUMIFS(COMB_AJUSTE,COMB_COMB,K149)</f>
        <v/>
      </c>
      <c r="BJ149" s="3">
        <f>COUNTIFS(MOT_MOTOR,G149,MOT_MARCA,E149,MOT_DESDE,"&lt;="&amp;M149,MOT_HASTA,"&gt;="&amp;M149)+COUNTIFS(MOT_MOTOR,G149,MOT_MARCA,"(todas)",MOT_DESDE,"&lt;="&amp;M149,MOT_HASTA,"&gt;="&amp;M149)</f>
        <v/>
      </c>
      <c r="BK149" s="3">
        <f>IF(AND(K149="diesel",BJ149=0),MIN(BG149,NEUTRO),BG149)</f>
        <v/>
      </c>
      <c r="BL149" s="4">
        <f>MAX(0,MIN(100,BK149+BH149+BI149))</f>
        <v/>
      </c>
      <c r="BM149" s="3">
        <f>MAX(0,MIN(100,50+BE149*PRECIO_PEND))</f>
        <v/>
      </c>
      <c r="BN149" s="3">
        <f>MAX(0,100*(1-N149/KM_MAX))</f>
        <v/>
      </c>
      <c r="BO149" s="3">
        <f>IF(AV149&lt;KMA_SOSP,IF(AA149="sí",100,KMA_PEN),IF(AV149&lt;=KMA_IDEAL_MAX,100,MAX(0,100*(KMA_CERO-AV149)/(KMA_CERO-KMA_IDEAL_MAX))))</f>
        <v/>
      </c>
      <c r="BP149" s="3">
        <f>MAX(0,MIN(100,100*(M149-ANIO_MIN)/(ANIO_ACTUAL-ANIO_MIN)))</f>
        <v/>
      </c>
      <c r="BQ149" s="3">
        <f>W_KMT*BN149+W_KMA*BO149+W_EDAD*BP149</f>
        <v/>
      </c>
      <c r="BR149" s="3">
        <f>P_ITV*(V149="sí")+P_LIBRO*(W149="sí")+P_CORREA*(X149="sí")+P_PROP*(Y149=1)+P_GAR*(Z149="sí")+P_FOTOS*MIN(1,N(U149)/FOTOS_OBJ)</f>
        <v/>
      </c>
      <c r="BS149" s="3">
        <f>IFERROR(VLOOKUP(BF149,ETQ_TBL,2,0),NEUTRO)</f>
        <v/>
      </c>
      <c r="BT149" s="3">
        <f>NEUTRO</f>
        <v/>
      </c>
      <c r="BU149" s="3">
        <f>IFERROR(VLOOKUP(L149,SEGURO_TBL,3,0),"")</f>
        <v/>
      </c>
      <c r="BV149" s="3">
        <f>IF(BU149="",NEUTRO,MAX(0,MIN(100,100*(SEG_REF_MAX-BU149)/(SEG_REF_MAX-SEG_REF_MIN))))</f>
        <v/>
      </c>
      <c r="BW149" s="3">
        <f>W_ET*BS149+W_CONS*BT149+W_SEG*BV149</f>
        <v/>
      </c>
      <c r="BX149" s="3">
        <f>IF(N(AB149)&gt;0,AB149,IF(AND(R149="profesional",SG_LEGAL_ON=1),GAR_LEGAL,0))</f>
        <v/>
      </c>
      <c r="BY149" s="3">
        <f>SG_GAR*MIN(1,BX149/SG_GAR_FULL)+SG_AMPL*(AC149="sí")+SG_KMC*(AF149="sí")+SG_REV*(N(AE149)&gt;0)+SG_DEV*MIN(1,N(AG149)/SG_DEV_FULL)+SG_HIST*(W149="sí")</f>
        <v/>
      </c>
      <c r="BZ149" s="3">
        <f>IFERROR(VLOOKUP(L149,CARR_PEN_TBL,2,0),0)</f>
        <v/>
      </c>
      <c r="CA149" s="3">
        <f>W_FIAB*BL149+W_PRECIO*BM149+W_KMEDAD*BQ149+W_ANUNCIO*BR149+W_USO*BW149+W_SEGURIDAD*BY149-BZ149</f>
        <v/>
      </c>
      <c r="CB149" s="4">
        <f>IF(N(I149)&gt;0,I149,IFERROR(ROUND(_xlfn.NUMBERVALUE(LEFT(G149,FIND(" ",G149&amp;" ")-1),".")*1000,0),99999))</f>
        <v/>
      </c>
      <c r="CC149" s="3">
        <f>IF(R149="profesional",0,IF(O149&lt;CUOTA_VALOR_MAX,IF(AU149&gt;ITP_TRAMO_ALTO,SUMIFS(CF_CUOTA,CF_MAS,ITP_TRAMO_ALTO,CF_CCMIN,"&lt;="&amp;CB149,CF_CCMAX,"&gt;="&amp;CB149),IF(AU149&gt;ITP_TRAMO_BAJO,SUMIFS(CF_CUOTA,CF_MAS,ITP_TRAMO_BAJO,CF_CCMIN,"&lt;="&amp;CB149,CF_CCMAX,"&gt;="&amp;CB149),O149*ITP_TIPO)),O149*ITP_TIPO))</f>
        <v/>
      </c>
      <c r="CD149" s="4">
        <f>IF(R149="profesional",N(AK149),0)</f>
        <v/>
      </c>
      <c r="CE149" s="3">
        <f>IF(AND(R149="profesional",ISNUMBER(AK149),AL149="sí"),0,TASA_DGT)</f>
        <v/>
      </c>
      <c r="CF149" s="3">
        <f>INFORME_DGT</f>
        <v/>
      </c>
      <c r="CG149" s="4">
        <f>O149+CD149+CC149+CE149+CF149</f>
        <v/>
      </c>
      <c r="CH149" s="4">
        <f>CG149+N(BU149)</f>
        <v/>
      </c>
      <c r="CI149" s="3">
        <f>IF(CG149&lt;=TOTAL_MAX,"sí",IF(CG149&lt;=TOTAL_MAX+MARGEN_NEG,"negociar","no"))</f>
        <v/>
      </c>
      <c r="CJ149" s="4">
        <f>IF(CI149&lt;&gt;"no",COUNTIFS($CI$2:$CI$662,"&lt;&gt;no",$CA$2:$CA$662,"&gt;"&amp;CA149)+COUNTIFS($CI$2:CI149,"&lt;&gt;no",$CA$2:CA149,CA149),"")</f>
        <v/>
      </c>
    </row>
    <row r="150">
      <c r="A150" s="2" t="inlineStr">
        <is>
          <t>cochesnet:71607247</t>
        </is>
      </c>
      <c r="B150" s="2" t="inlineStr">
        <is>
          <t>cochesnet</t>
        </is>
      </c>
      <c r="C150" s="2" t="inlineStr">
        <is>
          <t>https://www.coches.net/peugeot-207-diesel-2008-en-valencia-71607247-covo.aspx</t>
        </is>
      </c>
      <c r="D150" s="2" t="inlineStr">
        <is>
          <t>PEUGEOT 207</t>
        </is>
      </c>
      <c r="E150" s="2" t="inlineStr">
        <is>
          <t>Peugeot</t>
        </is>
      </c>
      <c r="F150" s="2" t="inlineStr">
        <is>
          <t>Peugeot 207</t>
        </is>
      </c>
      <c r="G150" s="2" t="n"/>
      <c r="H150" s="2" t="n"/>
      <c r="I150" s="2" t="n"/>
      <c r="J150" s="2" t="n"/>
      <c r="K150" s="2" t="inlineStr">
        <is>
          <t>diesel</t>
        </is>
      </c>
      <c r="L150" s="2" t="inlineStr">
        <is>
          <t>utilitario</t>
        </is>
      </c>
      <c r="M150" s="2" t="n">
        <v>2008</v>
      </c>
      <c r="N150" s="2" t="n">
        <v>157000</v>
      </c>
      <c r="O150" s="2" t="n">
        <v>3500</v>
      </c>
      <c r="P150" s="2" t="inlineStr">
        <is>
          <t>manual</t>
        </is>
      </c>
      <c r="Q150" s="2" t="inlineStr">
        <is>
          <t>no</t>
        </is>
      </c>
      <c r="R150" s="2" t="inlineStr">
        <is>
          <t>particular</t>
        </is>
      </c>
      <c r="S150" s="2" t="n"/>
      <c r="T150" s="2" t="inlineStr">
        <is>
          <t>2026-09-27T07:50:52Z</t>
        </is>
      </c>
      <c r="U150" s="2" t="n">
        <v>6</v>
      </c>
      <c r="V150" s="2" t="inlineStr">
        <is>
          <t>sí</t>
        </is>
      </c>
      <c r="W150" s="2" t="n"/>
      <c r="X150" s="2" t="n"/>
      <c r="Y150" s="2" t="n"/>
      <c r="Z150" s="2" t="inlineStr">
        <is>
          <t>no</t>
        </is>
      </c>
      <c r="AA150" s="2" t="n"/>
      <c r="AB150" s="2" t="n"/>
      <c r="AC150" s="2" t="n"/>
      <c r="AD150" s="2" t="n"/>
      <c r="AE150" s="2" t="n"/>
      <c r="AF150" s="2" t="n"/>
      <c r="AG150" s="2" t="n"/>
      <c r="AH150" s="2" t="n">
        <v>3500</v>
      </c>
      <c r="AI150" s="2" t="n"/>
      <c r="AJ150" s="2" t="n"/>
      <c r="AK150" s="2" t="n"/>
      <c r="AL150" s="2" t="n"/>
      <c r="AM150" s="2" t="n"/>
      <c r="AN150" s="2" t="n">
        <v>3600</v>
      </c>
      <c r="AO150" s="2" t="n">
        <v>21</v>
      </c>
      <c r="AP150" s="2" t="inlineStr">
        <is>
          <t>modelo+año+km</t>
        </is>
      </c>
      <c r="AQ150" s="2" t="n"/>
      <c r="AR15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150" s="2" t="inlineStr">
        <is>
          <t>Itv pasada en septiembre 2026</t>
        </is>
      </c>
      <c r="AT150" s="2" t="inlineStr">
        <is>
          <t>https://www.coches.net/peugeot-207-diesel-2008-en-valencia-71607247-covo.aspx (window.__INITIAL_PROPS__.ad) /home/user/Alopecia/buscador-coches/raw/cochesnet/f07e482661de594f.json</t>
        </is>
      </c>
      <c r="AU150" s="3">
        <f>MAX(ANIO_ACTUAL-M150,0)</f>
        <v/>
      </c>
      <c r="AV150" s="4">
        <f>N150/MAX(AU150,0.5)</f>
        <v/>
      </c>
      <c r="AW150" s="4">
        <f>F150</f>
        <v/>
      </c>
      <c r="AX150" s="3">
        <f>AW150&amp;"|"&amp;INT(M150/SEG_ANIO)*SEG_ANIO</f>
        <v/>
      </c>
      <c r="AY150" s="3">
        <f>AX150&amp;"|"&amp;INT(N150/SEG_KM)*SEG_KM</f>
        <v/>
      </c>
      <c r="AZ150" s="4">
        <f>COUNTIF($AW$2:$AW$662,AW150)</f>
        <v/>
      </c>
      <c r="BA150" s="4">
        <f>COUNTIF($AX$2:$AX$662,AX150)</f>
        <v/>
      </c>
      <c r="BB150" s="4">
        <f>COUNTIF($AY$2:$AY$662,AY150)</f>
        <v/>
      </c>
      <c r="BC150" s="3">
        <f t="array" ref="BC150">IF(N(AO150)&gt;=MIN_N,AN150,IF(BB150&gt;=MIN_N,MEDIAN(IF($AY$2:$AY$662=AY150,$O$2:$O$662)),IF(BA150&gt;=MIN_N,MEDIAN(IF($AX$2:$AX$662=AX150,$O$2:$O$662)),MEDIAN(IF($AW$2:$AW$662=AW150,$O$2:$O$662)))))</f>
        <v/>
      </c>
      <c r="BD150" s="3">
        <f>IF(N(AO150)&gt;=MIN_N,"mercado "&amp;AP150,IF(BB150&gt;=MIN_N,"modelo+año+km",IF(BA150&gt;=MIN_N,"modelo+año","modelo")))</f>
        <v/>
      </c>
      <c r="BE150" s="4">
        <f>(BC150-O150)/BC150</f>
        <v/>
      </c>
      <c r="BF150" s="3">
        <f>IF(OR(K150="hibrido",K150="glp"),"ECO",IF(K150="electrico","CERO",IF(K150="gasolina",IF(M150&gt;=GAS_C,"C",IF(M150&gt;=GAS_B,"B","A")),IF(K150="diesel",IF(M150&gt;=DIE_C,"C",IF(M150&gt;=DIE_B,"B","A")),""))))</f>
        <v/>
      </c>
      <c r="BG150" s="3">
        <f>IFERROR(VLOOKUP(F150,MOD_TBL,11,0),IFERROR(VLOOKUP(E150,OCU_TBL,2,0),NEUTRO))</f>
        <v/>
      </c>
      <c r="BH150" s="3">
        <f>SUMIFS(MOT_AJUSTE,MOT_MOTOR,G150,MOT_MARCA,E150,MOT_DESDE,"&lt;="&amp;M150,MOT_HASTA,"&gt;="&amp;M150)+SUMIFS(MOT_AJUSTE,MOT_MOTOR,G150,MOT_MARCA,"(todas)",MOT_DESDE,"&lt;="&amp;M150,MOT_HASTA,"&gt;="&amp;M150)</f>
        <v/>
      </c>
      <c r="BI150" s="3">
        <f>SUMIFS(COMB_AJUSTE,COMB_COMB,K150)</f>
        <v/>
      </c>
      <c r="BJ150" s="3">
        <f>COUNTIFS(MOT_MOTOR,G150,MOT_MARCA,E150,MOT_DESDE,"&lt;="&amp;M150,MOT_HASTA,"&gt;="&amp;M150)+COUNTIFS(MOT_MOTOR,G150,MOT_MARCA,"(todas)",MOT_DESDE,"&lt;="&amp;M150,MOT_HASTA,"&gt;="&amp;M150)</f>
        <v/>
      </c>
      <c r="BK150" s="3">
        <f>IF(AND(K150="diesel",BJ150=0),MIN(BG150,NEUTRO),BG150)</f>
        <v/>
      </c>
      <c r="BL150" s="4">
        <f>MAX(0,MIN(100,BK150+BH150+BI150))</f>
        <v/>
      </c>
      <c r="BM150" s="3">
        <f>MAX(0,MIN(100,50+BE150*PRECIO_PEND))</f>
        <v/>
      </c>
      <c r="BN150" s="3">
        <f>MAX(0,100*(1-N150/KM_MAX))</f>
        <v/>
      </c>
      <c r="BO150" s="3">
        <f>IF(AV150&lt;KMA_SOSP,IF(AA150="sí",100,KMA_PEN),IF(AV150&lt;=KMA_IDEAL_MAX,100,MAX(0,100*(KMA_CERO-AV150)/(KMA_CERO-KMA_IDEAL_MAX))))</f>
        <v/>
      </c>
      <c r="BP150" s="3">
        <f>MAX(0,MIN(100,100*(M150-ANIO_MIN)/(ANIO_ACTUAL-ANIO_MIN)))</f>
        <v/>
      </c>
      <c r="BQ150" s="3">
        <f>W_KMT*BN150+W_KMA*BO150+W_EDAD*BP150</f>
        <v/>
      </c>
      <c r="BR150" s="3">
        <f>P_ITV*(V150="sí")+P_LIBRO*(W150="sí")+P_CORREA*(X150="sí")+P_PROP*(Y150=1)+P_GAR*(Z150="sí")+P_FOTOS*MIN(1,N(U150)/FOTOS_OBJ)</f>
        <v/>
      </c>
      <c r="BS150" s="3">
        <f>IFERROR(VLOOKUP(BF150,ETQ_TBL,2,0),NEUTRO)</f>
        <v/>
      </c>
      <c r="BT150" s="3">
        <f>NEUTRO</f>
        <v/>
      </c>
      <c r="BU150" s="3">
        <f>IFERROR(VLOOKUP(L150,SEGURO_TBL,3,0),"")</f>
        <v/>
      </c>
      <c r="BV150" s="3">
        <f>IF(BU150="",NEUTRO,MAX(0,MIN(100,100*(SEG_REF_MAX-BU150)/(SEG_REF_MAX-SEG_REF_MIN))))</f>
        <v/>
      </c>
      <c r="BW150" s="3">
        <f>W_ET*BS150+W_CONS*BT150+W_SEG*BV150</f>
        <v/>
      </c>
      <c r="BX150" s="3">
        <f>IF(N(AB150)&gt;0,AB150,IF(AND(R150="profesional",SG_LEGAL_ON=1),GAR_LEGAL,0))</f>
        <v/>
      </c>
      <c r="BY150" s="3">
        <f>SG_GAR*MIN(1,BX150/SG_GAR_FULL)+SG_AMPL*(AC150="sí")+SG_KMC*(AF150="sí")+SG_REV*(N(AE150)&gt;0)+SG_DEV*MIN(1,N(AG150)/SG_DEV_FULL)+SG_HIST*(W150="sí")</f>
        <v/>
      </c>
      <c r="BZ150" s="3">
        <f>IFERROR(VLOOKUP(L150,CARR_PEN_TBL,2,0),0)</f>
        <v/>
      </c>
      <c r="CA150" s="3">
        <f>W_FIAB*BL150+W_PRECIO*BM150+W_KMEDAD*BQ150+W_ANUNCIO*BR150+W_USO*BW150+W_SEGURIDAD*BY150-BZ150</f>
        <v/>
      </c>
      <c r="CB150" s="4">
        <f>IF(N(I150)&gt;0,I150,IFERROR(ROUND(_xlfn.NUMBERVALUE(LEFT(G150,FIND(" ",G150&amp;" ")-1),".")*1000,0),99999))</f>
        <v/>
      </c>
      <c r="CC150" s="3">
        <f>IF(R150="profesional",0,IF(O150&lt;CUOTA_VALOR_MAX,IF(AU150&gt;ITP_TRAMO_ALTO,SUMIFS(CF_CUOTA,CF_MAS,ITP_TRAMO_ALTO,CF_CCMIN,"&lt;="&amp;CB150,CF_CCMAX,"&gt;="&amp;CB150),IF(AU150&gt;ITP_TRAMO_BAJO,SUMIFS(CF_CUOTA,CF_MAS,ITP_TRAMO_BAJO,CF_CCMIN,"&lt;="&amp;CB150,CF_CCMAX,"&gt;="&amp;CB150),O150*ITP_TIPO)),O150*ITP_TIPO))</f>
        <v/>
      </c>
      <c r="CD150" s="4">
        <f>IF(R150="profesional",N(AK150),0)</f>
        <v/>
      </c>
      <c r="CE150" s="3">
        <f>IF(AND(R150="profesional",ISNUMBER(AK150),AL150="sí"),0,TASA_DGT)</f>
        <v/>
      </c>
      <c r="CF150" s="3">
        <f>INFORME_DGT</f>
        <v/>
      </c>
      <c r="CG150" s="4">
        <f>O150+CD150+CC150+CE150+CF150</f>
        <v/>
      </c>
      <c r="CH150" s="4">
        <f>CG150+N(BU150)</f>
        <v/>
      </c>
      <c r="CI150" s="3">
        <f>IF(CG150&lt;=TOTAL_MAX,"sí",IF(CG150&lt;=TOTAL_MAX+MARGEN_NEG,"negociar","no"))</f>
        <v/>
      </c>
      <c r="CJ150" s="4">
        <f>IF(CI150&lt;&gt;"no",COUNTIFS($CI$2:$CI$662,"&lt;&gt;no",$CA$2:$CA$662,"&gt;"&amp;CA150)+COUNTIFS($CI$2:CI150,"&lt;&gt;no",$CA$2:CA150,CA150),"")</f>
        <v/>
      </c>
    </row>
    <row r="151">
      <c r="A151" s="2" t="inlineStr">
        <is>
          <t>cochesnet:71600206</t>
        </is>
      </c>
      <c r="B151" s="2" t="inlineStr">
        <is>
          <t>cochesnet</t>
        </is>
      </c>
      <c r="C151" s="2" t="inlineStr">
        <is>
          <t>https://www.coches.net/peugeot-207-14-75-urban-5p-gasolina-2008-en-valencia-71600206-covo.aspx</t>
        </is>
      </c>
      <c r="D151" s="2" t="inlineStr">
        <is>
          <t>PEUGEOT 207 1.4 75 Urban</t>
        </is>
      </c>
      <c r="E151" s="2" t="inlineStr">
        <is>
          <t>Peugeot</t>
        </is>
      </c>
      <c r="F151" s="2" t="inlineStr">
        <is>
          <t>Peugeot 207</t>
        </is>
      </c>
      <c r="G151" s="2" t="inlineStr">
        <is>
          <t>1.4</t>
        </is>
      </c>
      <c r="H151" s="2" t="inlineStr">
        <is>
          <t>1.4 75 Urban</t>
        </is>
      </c>
      <c r="I151" s="2" t="n"/>
      <c r="J151" s="2" t="n"/>
      <c r="K151" s="2" t="inlineStr">
        <is>
          <t>gasolina</t>
        </is>
      </c>
      <c r="L151" s="2" t="inlineStr">
        <is>
          <t>utilitario</t>
        </is>
      </c>
      <c r="M151" s="2" t="n">
        <v>2008</v>
      </c>
      <c r="N151" s="2" t="n">
        <v>95000</v>
      </c>
      <c r="O151" s="2" t="n">
        <v>4400</v>
      </c>
      <c r="P151" s="2" t="inlineStr">
        <is>
          <t>manual</t>
        </is>
      </c>
      <c r="Q151" s="2" t="inlineStr">
        <is>
          <t>no</t>
        </is>
      </c>
      <c r="R151" s="2" t="inlineStr">
        <is>
          <t>particular</t>
        </is>
      </c>
      <c r="S151" s="2" t="inlineStr">
        <is>
          <t>Alzira</t>
        </is>
      </c>
      <c r="T151" s="2" t="inlineStr">
        <is>
          <t>2026-09-25T18:49:00Z</t>
        </is>
      </c>
      <c r="U151" s="2" t="n">
        <v>8</v>
      </c>
      <c r="V151" s="2" t="n"/>
      <c r="W151" s="2" t="n"/>
      <c r="X151" s="2" t="n"/>
      <c r="Y151" s="2" t="n"/>
      <c r="Z151" s="2" t="inlineStr">
        <is>
          <t>no</t>
        </is>
      </c>
      <c r="AA151" s="2" t="n"/>
      <c r="AB151" s="2" t="n"/>
      <c r="AC151" s="2" t="n"/>
      <c r="AD151" s="2" t="n"/>
      <c r="AE151" s="2" t="n"/>
      <c r="AF151" s="2" t="n"/>
      <c r="AG151" s="2" t="n"/>
      <c r="AH151" s="2" t="n">
        <v>4400</v>
      </c>
      <c r="AI151" s="2" t="n"/>
      <c r="AJ151" s="2" t="n"/>
      <c r="AK151" s="2" t="n"/>
      <c r="AL151" s="2" t="n"/>
      <c r="AM151" s="2" t="n">
        <v>35.7</v>
      </c>
      <c r="AN151" s="2" t="n">
        <v>4750</v>
      </c>
      <c r="AO151" s="2" t="n">
        <v>13</v>
      </c>
      <c r="AP151" s="2" t="inlineStr">
        <is>
          <t>modelo+año+km</t>
        </is>
      </c>
      <c r="AQ151" s="2" t="inlineStr">
        <is>
          <t>cochesnet:71401447 (https://www.coches.net/peugeot-207-confort-14-75-5p-gasolina-2008-en-valencia-71401447-covo.aspx)</t>
        </is>
      </c>
      <c r="AR151" s="2" t="inlineStr">
        <is>
          <t>cuota fija ITP: &gt;12 años, hasta 1.500 cc; fiabilidad del modelo PENDIENTE de fuente (puntuación neutra)</t>
        </is>
      </c>
      <c r="AS151" s="2" t="inlineStr">
        <is>
          <t>Si buscas un coche práctico y asequible para el día a día, este Peugeot 207 es una opción a considerar. Se trata de un berlina de cinco puertas y cinco plazas, perfecta para la ciudad y los desplazamientos cotidianos.
El motor de 1.4 litros con 75 CV ofrece un consumo contenido, ideal si quieres mantener los gastos de combustible bajo control. Su cambio manual te da la flexibilidad que buscas en la conducción, y la carrocería gris plata es discreta y práctica.
Con casi una década de antigüedad, este vehículo ha demostrado la fiabilidad característica de la marca Peugeot. Es un coche que funciona, con una mecánica probada y accesible en mantenimiento y reparaciones.
Está ubicado en la zona de zipCode, lo que facilita su inspección antes de tomar una decisión. Te invito a que lo veas en persona para que compruebes su estado actual y resuelvas cualquier duda que tengas sobre su funcionamiento o historial.
Si tienes preguntas específicas sobre aspectos que no aparezcan en la ficha técnica, no dudes en contactarme a través del chat. Estoy disponible para conversar sobre el vehículo y ayudarte en el proceso.
Contacta hoy mismo y descubre si este 207 es lo que necesitas.</t>
        </is>
      </c>
      <c r="AT151" s="2" t="inlineStr">
        <is>
          <t>https://www.coches.net/peugeot-207-14-75-urban-5p-gasolina-2008-en-valencia-71600206-covo.aspx (window.__INITIAL_PROPS__.ad) /home/user/Alopecia/buscador-coches/raw/cochesnet/0289eb9bee6511f0.json</t>
        </is>
      </c>
      <c r="AU151" s="3">
        <f>MAX(ANIO_ACTUAL-M151,0)</f>
        <v/>
      </c>
      <c r="AV151" s="4">
        <f>N151/MAX(AU151,0.5)</f>
        <v/>
      </c>
      <c r="AW151" s="4">
        <f>F151</f>
        <v/>
      </c>
      <c r="AX151" s="3">
        <f>AW151&amp;"|"&amp;INT(M151/SEG_ANIO)*SEG_ANIO</f>
        <v/>
      </c>
      <c r="AY151" s="3">
        <f>AX151&amp;"|"&amp;INT(N151/SEG_KM)*SEG_KM</f>
        <v/>
      </c>
      <c r="AZ151" s="4">
        <f>COUNTIF($AW$2:$AW$662,AW151)</f>
        <v/>
      </c>
      <c r="BA151" s="4">
        <f>COUNTIF($AX$2:$AX$662,AX151)</f>
        <v/>
      </c>
      <c r="BB151" s="4">
        <f>COUNTIF($AY$2:$AY$662,AY151)</f>
        <v/>
      </c>
      <c r="BC151" s="3">
        <f t="array" ref="BC151">IF(N(AO151)&gt;=MIN_N,AN151,IF(BB151&gt;=MIN_N,MEDIAN(IF($AY$2:$AY$662=AY151,$O$2:$O$662)),IF(BA151&gt;=MIN_N,MEDIAN(IF($AX$2:$AX$662=AX151,$O$2:$O$662)),MEDIAN(IF($AW$2:$AW$662=AW151,$O$2:$O$662)))))</f>
        <v/>
      </c>
      <c r="BD151" s="3">
        <f>IF(N(AO151)&gt;=MIN_N,"mercado "&amp;AP151,IF(BB151&gt;=MIN_N,"modelo+año+km",IF(BA151&gt;=MIN_N,"modelo+año","modelo")))</f>
        <v/>
      </c>
      <c r="BE151" s="4">
        <f>(BC151-O151)/BC151</f>
        <v/>
      </c>
      <c r="BF151" s="3">
        <f>IF(OR(K151="hibrido",K151="glp"),"ECO",IF(K151="electrico","CERO",IF(K151="gasolina",IF(M151&gt;=GAS_C,"C",IF(M151&gt;=GAS_B,"B","A")),IF(K151="diesel",IF(M151&gt;=DIE_C,"C",IF(M151&gt;=DIE_B,"B","A")),""))))</f>
        <v/>
      </c>
      <c r="BG151" s="3">
        <f>IFERROR(VLOOKUP(F151,MOD_TBL,11,0),IFERROR(VLOOKUP(E151,OCU_TBL,2,0),NEUTRO))</f>
        <v/>
      </c>
      <c r="BH151" s="3">
        <f>SUMIFS(MOT_AJUSTE,MOT_MOTOR,G151,MOT_MARCA,E151,MOT_DESDE,"&lt;="&amp;M151,MOT_HASTA,"&gt;="&amp;M151)+SUMIFS(MOT_AJUSTE,MOT_MOTOR,G151,MOT_MARCA,"(todas)",MOT_DESDE,"&lt;="&amp;M151,MOT_HASTA,"&gt;="&amp;M151)</f>
        <v/>
      </c>
      <c r="BI151" s="3">
        <f>SUMIFS(COMB_AJUSTE,COMB_COMB,K151)</f>
        <v/>
      </c>
      <c r="BJ151" s="3">
        <f>COUNTIFS(MOT_MOTOR,G151,MOT_MARCA,E151,MOT_DESDE,"&lt;="&amp;M151,MOT_HASTA,"&gt;="&amp;M151)+COUNTIFS(MOT_MOTOR,G151,MOT_MARCA,"(todas)",MOT_DESDE,"&lt;="&amp;M151,MOT_HASTA,"&gt;="&amp;M151)</f>
        <v/>
      </c>
      <c r="BK151" s="3">
        <f>IF(AND(K151="diesel",BJ151=0),MIN(BG151,NEUTRO),BG151)</f>
        <v/>
      </c>
      <c r="BL151" s="4">
        <f>MAX(0,MIN(100,BK151+BH151+BI151))</f>
        <v/>
      </c>
      <c r="BM151" s="3">
        <f>MAX(0,MIN(100,50+BE151*PRECIO_PEND))</f>
        <v/>
      </c>
      <c r="BN151" s="3">
        <f>MAX(0,100*(1-N151/KM_MAX))</f>
        <v/>
      </c>
      <c r="BO151" s="3">
        <f>IF(AV151&lt;KMA_SOSP,IF(AA151="sí",100,KMA_PEN),IF(AV151&lt;=KMA_IDEAL_MAX,100,MAX(0,100*(KMA_CERO-AV151)/(KMA_CERO-KMA_IDEAL_MAX))))</f>
        <v/>
      </c>
      <c r="BP151" s="3">
        <f>MAX(0,MIN(100,100*(M151-ANIO_MIN)/(ANIO_ACTUAL-ANIO_MIN)))</f>
        <v/>
      </c>
      <c r="BQ151" s="3">
        <f>W_KMT*BN151+W_KMA*BO151+W_EDAD*BP151</f>
        <v/>
      </c>
      <c r="BR151" s="3">
        <f>P_ITV*(V151="sí")+P_LIBRO*(W151="sí")+P_CORREA*(X151="sí")+P_PROP*(Y151=1)+P_GAR*(Z151="sí")+P_FOTOS*MIN(1,N(U151)/FOTOS_OBJ)</f>
        <v/>
      </c>
      <c r="BS151" s="3">
        <f>IFERROR(VLOOKUP(BF151,ETQ_TBL,2,0),NEUTRO)</f>
        <v/>
      </c>
      <c r="BT151" s="3">
        <f>NEUTRO</f>
        <v/>
      </c>
      <c r="BU151" s="3">
        <f>IFERROR(VLOOKUP(L151,SEGURO_TBL,3,0),"")</f>
        <v/>
      </c>
      <c r="BV151" s="3">
        <f>IF(BU151="",NEUTRO,MAX(0,MIN(100,100*(SEG_REF_MAX-BU151)/(SEG_REF_MAX-SEG_REF_MIN))))</f>
        <v/>
      </c>
      <c r="BW151" s="3">
        <f>W_ET*BS151+W_CONS*BT151+W_SEG*BV151</f>
        <v/>
      </c>
      <c r="BX151" s="3">
        <f>IF(N(AB151)&gt;0,AB151,IF(AND(R151="profesional",SG_LEGAL_ON=1),GAR_LEGAL,0))</f>
        <v/>
      </c>
      <c r="BY151" s="3">
        <f>SG_GAR*MIN(1,BX151/SG_GAR_FULL)+SG_AMPL*(AC151="sí")+SG_KMC*(AF151="sí")+SG_REV*(N(AE151)&gt;0)+SG_DEV*MIN(1,N(AG151)/SG_DEV_FULL)+SG_HIST*(W151="sí")</f>
        <v/>
      </c>
      <c r="BZ151" s="3">
        <f>IFERROR(VLOOKUP(L151,CARR_PEN_TBL,2,0),0)</f>
        <v/>
      </c>
      <c r="CA151" s="3">
        <f>W_FIAB*BL151+W_PRECIO*BM151+W_KMEDAD*BQ151+W_ANUNCIO*BR151+W_USO*BW151+W_SEGURIDAD*BY151-BZ151</f>
        <v/>
      </c>
      <c r="CB151" s="4">
        <f>IF(N(I151)&gt;0,I151,IFERROR(ROUND(_xlfn.NUMBERVALUE(LEFT(G151,FIND(" ",G151&amp;" ")-1),".")*1000,0),99999))</f>
        <v/>
      </c>
      <c r="CC151" s="3">
        <f>IF(R151="profesional",0,IF(O151&lt;CUOTA_VALOR_MAX,IF(AU151&gt;ITP_TRAMO_ALTO,SUMIFS(CF_CUOTA,CF_MAS,ITP_TRAMO_ALTO,CF_CCMIN,"&lt;="&amp;CB151,CF_CCMAX,"&gt;="&amp;CB151),IF(AU151&gt;ITP_TRAMO_BAJO,SUMIFS(CF_CUOTA,CF_MAS,ITP_TRAMO_BAJO,CF_CCMIN,"&lt;="&amp;CB151,CF_CCMAX,"&gt;="&amp;CB151),O151*ITP_TIPO)),O151*ITP_TIPO))</f>
        <v/>
      </c>
      <c r="CD151" s="4">
        <f>IF(R151="profesional",N(AK151),0)</f>
        <v/>
      </c>
      <c r="CE151" s="3">
        <f>IF(AND(R151="profesional",ISNUMBER(AK151),AL151="sí"),0,TASA_DGT)</f>
        <v/>
      </c>
      <c r="CF151" s="3">
        <f>INFORME_DGT</f>
        <v/>
      </c>
      <c r="CG151" s="4">
        <f>O151+CD151+CC151+CE151+CF151</f>
        <v/>
      </c>
      <c r="CH151" s="4">
        <f>CG151+N(BU151)</f>
        <v/>
      </c>
      <c r="CI151" s="3">
        <f>IF(CG151&lt;=TOTAL_MAX,"sí",IF(CG151&lt;=TOTAL_MAX+MARGEN_NEG,"negociar","no"))</f>
        <v/>
      </c>
      <c r="CJ151" s="4">
        <f>IF(CI151&lt;&gt;"no",COUNTIFS($CI$2:$CI$662,"&lt;&gt;no",$CA$2:$CA$662,"&gt;"&amp;CA151)+COUNTIFS($CI$2:CI151,"&lt;&gt;no",$CA$2:CA151,CA151),"")</f>
        <v/>
      </c>
    </row>
    <row r="152">
      <c r="A152" s="2" t="inlineStr">
        <is>
          <t>cochesnet:71499171</t>
        </is>
      </c>
      <c r="B152" s="2" t="inlineStr">
        <is>
          <t>cochesnet</t>
        </is>
      </c>
      <c r="C152" s="2" t="inlineStr">
        <is>
          <t>https://www.coches.net/peugeot-207-confort-14-hdi-70-5p-diesel-2009-en-valencia-71499171-covo.aspx</t>
        </is>
      </c>
      <c r="D152" s="2" t="inlineStr">
        <is>
          <t>PEUGEOT 207 Confort 1.4 HDI 70</t>
        </is>
      </c>
      <c r="E152" s="2" t="inlineStr">
        <is>
          <t>Peugeot</t>
        </is>
      </c>
      <c r="F152" s="2" t="inlineStr">
        <is>
          <t>Peugeot 207</t>
        </is>
      </c>
      <c r="G152" s="2" t="inlineStr">
        <is>
          <t>1.4 HDi</t>
        </is>
      </c>
      <c r="H152" s="2" t="inlineStr">
        <is>
          <t>Confort 1.4 HDI 70</t>
        </is>
      </c>
      <c r="I152" s="2" t="n"/>
      <c r="J152" s="2" t="n"/>
      <c r="K152" s="2" t="inlineStr">
        <is>
          <t>diesel</t>
        </is>
      </c>
      <c r="L152" s="2" t="inlineStr">
        <is>
          <t>utilitario</t>
        </is>
      </c>
      <c r="M152" s="2" t="n">
        <v>2009</v>
      </c>
      <c r="N152" s="2" t="n">
        <v>188000</v>
      </c>
      <c r="O152" s="2" t="n">
        <v>2500</v>
      </c>
      <c r="P152" s="2" t="inlineStr">
        <is>
          <t>manual</t>
        </is>
      </c>
      <c r="Q152" s="2" t="inlineStr">
        <is>
          <t>no</t>
        </is>
      </c>
      <c r="R152" s="2" t="inlineStr">
        <is>
          <t>particular</t>
        </is>
      </c>
      <c r="S152" s="2" t="inlineStr">
        <is>
          <t>Valencia</t>
        </is>
      </c>
      <c r="T152" s="2" t="inlineStr">
        <is>
          <t>2026-09-12T17:05:52Z</t>
        </is>
      </c>
      <c r="U152" s="2" t="n">
        <v>4</v>
      </c>
      <c r="V152" s="2" t="inlineStr">
        <is>
          <t>sí</t>
        </is>
      </c>
      <c r="W152" s="2" t="n"/>
      <c r="X152" s="2" t="inlineStr">
        <is>
          <t>sí</t>
        </is>
      </c>
      <c r="Y152" s="2" t="n"/>
      <c r="Z152" s="2" t="inlineStr">
        <is>
          <t>no</t>
        </is>
      </c>
      <c r="AA152" s="2" t="n"/>
      <c r="AB152" s="2" t="n"/>
      <c r="AC152" s="2" t="n"/>
      <c r="AD152" s="2" t="n"/>
      <c r="AE152" s="2" t="n"/>
      <c r="AF152" s="2" t="n"/>
      <c r="AG152" s="2" t="n"/>
      <c r="AH152" s="2" t="n">
        <v>2500</v>
      </c>
      <c r="AI152" s="2" t="n"/>
      <c r="AJ152" s="2" t="n"/>
      <c r="AK152" s="2" t="n"/>
      <c r="AL152" s="2" t="n"/>
      <c r="AM152" s="2" t="n">
        <v>0.1</v>
      </c>
      <c r="AN152" s="2" t="n">
        <v>3600</v>
      </c>
      <c r="AO152" s="2" t="n">
        <v>21</v>
      </c>
      <c r="AP152" s="2" t="inlineStr">
        <is>
          <t>modelo+año+km</t>
        </is>
      </c>
      <c r="AQ152" s="2" t="n"/>
      <c r="AR152" s="2" t="inlineStr">
        <is>
          <t>cuota fija ITP: &gt;12 años, hasta 1.500 cc; fiabilidad del modelo PENDIENTE de fuente (puntuación neutra)</t>
        </is>
      </c>
      <c r="AS152" s="2" t="inlineStr">
        <is>
          <t xml:space="preserve">ITV hasta mayo 2027.
Cambiadas las 4 pastillas de freno.
Correa de distribución cambiada a los 174.000 km.
Filtro de gasoil y filtro de aire cambiados.
Mas fotos por WhatsApp. Precio negociable.
Valencia. </t>
        </is>
      </c>
      <c r="AT152" s="2" t="inlineStr">
        <is>
          <t>https://www.coches.net/peugeot-207-confort-14-hdi-70-5p-diesel-2009-en-valencia-71499171-covo.aspx (window.__INITIAL_PROPS__.ad) /home/user/Alopecia/buscador-coches/raw/cochesnet/cb6915c6b29f3254.json</t>
        </is>
      </c>
      <c r="AU152" s="3">
        <f>MAX(ANIO_ACTUAL-M152,0)</f>
        <v/>
      </c>
      <c r="AV152" s="4">
        <f>N152/MAX(AU152,0.5)</f>
        <v/>
      </c>
      <c r="AW152" s="4">
        <f>F152</f>
        <v/>
      </c>
      <c r="AX152" s="3">
        <f>AW152&amp;"|"&amp;INT(M152/SEG_ANIO)*SEG_ANIO</f>
        <v/>
      </c>
      <c r="AY152" s="3">
        <f>AX152&amp;"|"&amp;INT(N152/SEG_KM)*SEG_KM</f>
        <v/>
      </c>
      <c r="AZ152" s="4">
        <f>COUNTIF($AW$2:$AW$662,AW152)</f>
        <v/>
      </c>
      <c r="BA152" s="4">
        <f>COUNTIF($AX$2:$AX$662,AX152)</f>
        <v/>
      </c>
      <c r="BB152" s="4">
        <f>COUNTIF($AY$2:$AY$662,AY152)</f>
        <v/>
      </c>
      <c r="BC152" s="3">
        <f t="array" ref="BC152">IF(N(AO152)&gt;=MIN_N,AN152,IF(BB152&gt;=MIN_N,MEDIAN(IF($AY$2:$AY$662=AY152,$O$2:$O$662)),IF(BA152&gt;=MIN_N,MEDIAN(IF($AX$2:$AX$662=AX152,$O$2:$O$662)),MEDIAN(IF($AW$2:$AW$662=AW152,$O$2:$O$662)))))</f>
        <v/>
      </c>
      <c r="BD152" s="3">
        <f>IF(N(AO152)&gt;=MIN_N,"mercado "&amp;AP152,IF(BB152&gt;=MIN_N,"modelo+año+km",IF(BA152&gt;=MIN_N,"modelo+año","modelo")))</f>
        <v/>
      </c>
      <c r="BE152" s="4">
        <f>(BC152-O152)/BC152</f>
        <v/>
      </c>
      <c r="BF152" s="3">
        <f>IF(OR(K152="hibrido",K152="glp"),"ECO",IF(K152="electrico","CERO",IF(K152="gasolina",IF(M152&gt;=GAS_C,"C",IF(M152&gt;=GAS_B,"B","A")),IF(K152="diesel",IF(M152&gt;=DIE_C,"C",IF(M152&gt;=DIE_B,"B","A")),""))))</f>
        <v/>
      </c>
      <c r="BG152" s="3">
        <f>IFERROR(VLOOKUP(F152,MOD_TBL,11,0),IFERROR(VLOOKUP(E152,OCU_TBL,2,0),NEUTRO))</f>
        <v/>
      </c>
      <c r="BH152" s="3">
        <f>SUMIFS(MOT_AJUSTE,MOT_MOTOR,G152,MOT_MARCA,E152,MOT_DESDE,"&lt;="&amp;M152,MOT_HASTA,"&gt;="&amp;M152)+SUMIFS(MOT_AJUSTE,MOT_MOTOR,G152,MOT_MARCA,"(todas)",MOT_DESDE,"&lt;="&amp;M152,MOT_HASTA,"&gt;="&amp;M152)</f>
        <v/>
      </c>
      <c r="BI152" s="3">
        <f>SUMIFS(COMB_AJUSTE,COMB_COMB,K152)</f>
        <v/>
      </c>
      <c r="BJ152" s="3">
        <f>COUNTIFS(MOT_MOTOR,G152,MOT_MARCA,E152,MOT_DESDE,"&lt;="&amp;M152,MOT_HASTA,"&gt;="&amp;M152)+COUNTIFS(MOT_MOTOR,G152,MOT_MARCA,"(todas)",MOT_DESDE,"&lt;="&amp;M152,MOT_HASTA,"&gt;="&amp;M152)</f>
        <v/>
      </c>
      <c r="BK152" s="3">
        <f>IF(AND(K152="diesel",BJ152=0),MIN(BG152,NEUTRO),BG152)</f>
        <v/>
      </c>
      <c r="BL152" s="4">
        <f>MAX(0,MIN(100,BK152+BH152+BI152))</f>
        <v/>
      </c>
      <c r="BM152" s="3">
        <f>MAX(0,MIN(100,50+BE152*PRECIO_PEND))</f>
        <v/>
      </c>
      <c r="BN152" s="3">
        <f>MAX(0,100*(1-N152/KM_MAX))</f>
        <v/>
      </c>
      <c r="BO152" s="3">
        <f>IF(AV152&lt;KMA_SOSP,IF(AA152="sí",100,KMA_PEN),IF(AV152&lt;=KMA_IDEAL_MAX,100,MAX(0,100*(KMA_CERO-AV152)/(KMA_CERO-KMA_IDEAL_MAX))))</f>
        <v/>
      </c>
      <c r="BP152" s="3">
        <f>MAX(0,MIN(100,100*(M152-ANIO_MIN)/(ANIO_ACTUAL-ANIO_MIN)))</f>
        <v/>
      </c>
      <c r="BQ152" s="3">
        <f>W_KMT*BN152+W_KMA*BO152+W_EDAD*BP152</f>
        <v/>
      </c>
      <c r="BR152" s="3">
        <f>P_ITV*(V152="sí")+P_LIBRO*(W152="sí")+P_CORREA*(X152="sí")+P_PROP*(Y152=1)+P_GAR*(Z152="sí")+P_FOTOS*MIN(1,N(U152)/FOTOS_OBJ)</f>
        <v/>
      </c>
      <c r="BS152" s="3">
        <f>IFERROR(VLOOKUP(BF152,ETQ_TBL,2,0),NEUTRO)</f>
        <v/>
      </c>
      <c r="BT152" s="3">
        <f>NEUTRO</f>
        <v/>
      </c>
      <c r="BU152" s="3">
        <f>IFERROR(VLOOKUP(L152,SEGURO_TBL,3,0),"")</f>
        <v/>
      </c>
      <c r="BV152" s="3">
        <f>IF(BU152="",NEUTRO,MAX(0,MIN(100,100*(SEG_REF_MAX-BU152)/(SEG_REF_MAX-SEG_REF_MIN))))</f>
        <v/>
      </c>
      <c r="BW152" s="3">
        <f>W_ET*BS152+W_CONS*BT152+W_SEG*BV152</f>
        <v/>
      </c>
      <c r="BX152" s="3">
        <f>IF(N(AB152)&gt;0,AB152,IF(AND(R152="profesional",SG_LEGAL_ON=1),GAR_LEGAL,0))</f>
        <v/>
      </c>
      <c r="BY152" s="3">
        <f>SG_GAR*MIN(1,BX152/SG_GAR_FULL)+SG_AMPL*(AC152="sí")+SG_KMC*(AF152="sí")+SG_REV*(N(AE152)&gt;0)+SG_DEV*MIN(1,N(AG152)/SG_DEV_FULL)+SG_HIST*(W152="sí")</f>
        <v/>
      </c>
      <c r="BZ152" s="3">
        <f>IFERROR(VLOOKUP(L152,CARR_PEN_TBL,2,0),0)</f>
        <v/>
      </c>
      <c r="CA152" s="3">
        <f>W_FIAB*BL152+W_PRECIO*BM152+W_KMEDAD*BQ152+W_ANUNCIO*BR152+W_USO*BW152+W_SEGURIDAD*BY152-BZ152</f>
        <v/>
      </c>
      <c r="CB152" s="4">
        <f>IF(N(I152)&gt;0,I152,IFERROR(ROUND(_xlfn.NUMBERVALUE(LEFT(G152,FIND(" ",G152&amp;" ")-1),".")*1000,0),99999))</f>
        <v/>
      </c>
      <c r="CC152" s="3">
        <f>IF(R152="profesional",0,IF(O152&lt;CUOTA_VALOR_MAX,IF(AU152&gt;ITP_TRAMO_ALTO,SUMIFS(CF_CUOTA,CF_MAS,ITP_TRAMO_ALTO,CF_CCMIN,"&lt;="&amp;CB152,CF_CCMAX,"&gt;="&amp;CB152),IF(AU152&gt;ITP_TRAMO_BAJO,SUMIFS(CF_CUOTA,CF_MAS,ITP_TRAMO_BAJO,CF_CCMIN,"&lt;="&amp;CB152,CF_CCMAX,"&gt;="&amp;CB152),O152*ITP_TIPO)),O152*ITP_TIPO))</f>
        <v/>
      </c>
      <c r="CD152" s="4">
        <f>IF(R152="profesional",N(AK152),0)</f>
        <v/>
      </c>
      <c r="CE152" s="3">
        <f>IF(AND(R152="profesional",ISNUMBER(AK152),AL152="sí"),0,TASA_DGT)</f>
        <v/>
      </c>
      <c r="CF152" s="3">
        <f>INFORME_DGT</f>
        <v/>
      </c>
      <c r="CG152" s="4">
        <f>O152+CD152+CC152+CE152+CF152</f>
        <v/>
      </c>
      <c r="CH152" s="4">
        <f>CG152+N(BU152)</f>
        <v/>
      </c>
      <c r="CI152" s="3">
        <f>IF(CG152&lt;=TOTAL_MAX,"sí",IF(CG152&lt;=TOTAL_MAX+MARGEN_NEG,"negociar","no"))</f>
        <v/>
      </c>
      <c r="CJ152" s="4">
        <f>IF(CI152&lt;&gt;"no",COUNTIFS($CI$2:$CI$662,"&lt;&gt;no",$CA$2:$CA$662,"&gt;"&amp;CA152)+COUNTIFS($CI$2:CI152,"&lt;&gt;no",$CA$2:CA152,CA152),"")</f>
        <v/>
      </c>
    </row>
    <row r="153">
      <c r="A153" s="2" t="inlineStr">
        <is>
          <t>cochesnet:71658308</t>
        </is>
      </c>
      <c r="B153" s="2" t="inlineStr">
        <is>
          <t>cochesnet</t>
        </is>
      </c>
      <c r="C153" s="2" t="inlineStr">
        <is>
          <t>https://www.coches.net/peugeot-207-gasolina-2010-en-valencia-71658308-covo.aspx</t>
        </is>
      </c>
      <c r="D153" s="2" t="inlineStr">
        <is>
          <t>PEUGEOT 207</t>
        </is>
      </c>
      <c r="E153" s="2" t="inlineStr">
        <is>
          <t>Peugeot</t>
        </is>
      </c>
      <c r="F153" s="2" t="inlineStr">
        <is>
          <t>Peugeot 207</t>
        </is>
      </c>
      <c r="G153" s="2" t="n"/>
      <c r="H153" s="2" t="n"/>
      <c r="I153" s="2" t="n"/>
      <c r="J153" s="2" t="n"/>
      <c r="K153" s="2" t="inlineStr">
        <is>
          <t>gasolina</t>
        </is>
      </c>
      <c r="L153" s="2" t="inlineStr">
        <is>
          <t>utilitario</t>
        </is>
      </c>
      <c r="M153" s="2" t="n">
        <v>2010</v>
      </c>
      <c r="N153" s="2" t="n">
        <v>145000</v>
      </c>
      <c r="O153" s="2" t="n">
        <v>3500</v>
      </c>
      <c r="P153" s="2" t="inlineStr">
        <is>
          <t>manual</t>
        </is>
      </c>
      <c r="Q153" s="2" t="inlineStr">
        <is>
          <t>no</t>
        </is>
      </c>
      <c r="R153" s="2" t="inlineStr">
        <is>
          <t>particular</t>
        </is>
      </c>
      <c r="S153" s="2" t="inlineStr">
        <is>
          <t>Torrent</t>
        </is>
      </c>
      <c r="T153" s="2" t="inlineStr">
        <is>
          <t>2026-10-02T14:11:17Z</t>
        </is>
      </c>
      <c r="U153" s="2" t="n"/>
      <c r="V153" s="2" t="n"/>
      <c r="W153" s="2" t="n"/>
      <c r="X153" s="2" t="n"/>
      <c r="Y153" s="2" t="n"/>
      <c r="Z153" s="2" t="inlineStr">
        <is>
          <t>no</t>
        </is>
      </c>
      <c r="AA153" s="2" t="n"/>
      <c r="AB153" s="2" t="n"/>
      <c r="AC153" s="2" t="n"/>
      <c r="AD153" s="2" t="n"/>
      <c r="AE153" s="2" t="n"/>
      <c r="AF153" s="2" t="n"/>
      <c r="AG153" s="2" t="n"/>
      <c r="AH153" s="2" t="n">
        <v>3500</v>
      </c>
      <c r="AI153" s="2" t="n"/>
      <c r="AJ153" s="2" t="n"/>
      <c r="AK153" s="2" t="n"/>
      <c r="AL153" s="2" t="n"/>
      <c r="AM153" s="2" t="n">
        <v>8.800000000000001</v>
      </c>
      <c r="AN153" s="2" t="n">
        <v>4490</v>
      </c>
      <c r="AO153" s="2" t="n">
        <v>15</v>
      </c>
      <c r="AP153" s="2" t="inlineStr">
        <is>
          <t>modelo+año+km</t>
        </is>
      </c>
      <c r="AQ153" s="2" t="n"/>
      <c r="AR153" s="2" t="inlineStr">
        <is>
          <t>cilindrada desconocida: se aplica el tramo de cuota fija más alto; cuota fija ITP: &gt;12 años, más de 2.000 cc; fiabilidad del modelo PENDIENTE de fuente (puntuación neutra)</t>
        </is>
      </c>
      <c r="AS153" s="2" t="inlineStr">
        <is>
          <t xml:space="preserve">usado en buen estado </t>
        </is>
      </c>
      <c r="AT153" s="2" t="inlineStr">
        <is>
          <t>https://www.coches.net/peugeot-207-gasolina-2010-en-valencia-71658308-covo.aspx (window.__INITIAL_PROPS__.ad) /home/user/Alopecia/buscador-coches/raw/cochesnet/bdf4b3130f8a7ee9.json</t>
        </is>
      </c>
      <c r="AU153" s="3">
        <f>MAX(ANIO_ACTUAL-M153,0)</f>
        <v/>
      </c>
      <c r="AV153" s="4">
        <f>N153/MAX(AU153,0.5)</f>
        <v/>
      </c>
      <c r="AW153" s="4">
        <f>F153</f>
        <v/>
      </c>
      <c r="AX153" s="3">
        <f>AW153&amp;"|"&amp;INT(M153/SEG_ANIO)*SEG_ANIO</f>
        <v/>
      </c>
      <c r="AY153" s="3">
        <f>AX153&amp;"|"&amp;INT(N153/SEG_KM)*SEG_KM</f>
        <v/>
      </c>
      <c r="AZ153" s="4">
        <f>COUNTIF($AW$2:$AW$662,AW153)</f>
        <v/>
      </c>
      <c r="BA153" s="4">
        <f>COUNTIF($AX$2:$AX$662,AX153)</f>
        <v/>
      </c>
      <c r="BB153" s="4">
        <f>COUNTIF($AY$2:$AY$662,AY153)</f>
        <v/>
      </c>
      <c r="BC153" s="3">
        <f t="array" ref="BC153">IF(N(AO153)&gt;=MIN_N,AN153,IF(BB153&gt;=MIN_N,MEDIAN(IF($AY$2:$AY$662=AY153,$O$2:$O$662)),IF(BA153&gt;=MIN_N,MEDIAN(IF($AX$2:$AX$662=AX153,$O$2:$O$662)),MEDIAN(IF($AW$2:$AW$662=AW153,$O$2:$O$662)))))</f>
        <v/>
      </c>
      <c r="BD153" s="3">
        <f>IF(N(AO153)&gt;=MIN_N,"mercado "&amp;AP153,IF(BB153&gt;=MIN_N,"modelo+año+km",IF(BA153&gt;=MIN_N,"modelo+año","modelo")))</f>
        <v/>
      </c>
      <c r="BE153" s="4">
        <f>(BC153-O153)/BC153</f>
        <v/>
      </c>
      <c r="BF153" s="3">
        <f>IF(OR(K153="hibrido",K153="glp"),"ECO",IF(K153="electrico","CERO",IF(K153="gasolina",IF(M153&gt;=GAS_C,"C",IF(M153&gt;=GAS_B,"B","A")),IF(K153="diesel",IF(M153&gt;=DIE_C,"C",IF(M153&gt;=DIE_B,"B","A")),""))))</f>
        <v/>
      </c>
      <c r="BG153" s="3">
        <f>IFERROR(VLOOKUP(F153,MOD_TBL,11,0),IFERROR(VLOOKUP(E153,OCU_TBL,2,0),NEUTRO))</f>
        <v/>
      </c>
      <c r="BH153" s="3">
        <f>SUMIFS(MOT_AJUSTE,MOT_MOTOR,G153,MOT_MARCA,E153,MOT_DESDE,"&lt;="&amp;M153,MOT_HASTA,"&gt;="&amp;M153)+SUMIFS(MOT_AJUSTE,MOT_MOTOR,G153,MOT_MARCA,"(todas)",MOT_DESDE,"&lt;="&amp;M153,MOT_HASTA,"&gt;="&amp;M153)</f>
        <v/>
      </c>
      <c r="BI153" s="3">
        <f>SUMIFS(COMB_AJUSTE,COMB_COMB,K153)</f>
        <v/>
      </c>
      <c r="BJ153" s="3">
        <f>COUNTIFS(MOT_MOTOR,G153,MOT_MARCA,E153,MOT_DESDE,"&lt;="&amp;M153,MOT_HASTA,"&gt;="&amp;M153)+COUNTIFS(MOT_MOTOR,G153,MOT_MARCA,"(todas)",MOT_DESDE,"&lt;="&amp;M153,MOT_HASTA,"&gt;="&amp;M153)</f>
        <v/>
      </c>
      <c r="BK153" s="3">
        <f>IF(AND(K153="diesel",BJ153=0),MIN(BG153,NEUTRO),BG153)</f>
        <v/>
      </c>
      <c r="BL153" s="4">
        <f>MAX(0,MIN(100,BK153+BH153+BI153))</f>
        <v/>
      </c>
      <c r="BM153" s="3">
        <f>MAX(0,MIN(100,50+BE153*PRECIO_PEND))</f>
        <v/>
      </c>
      <c r="BN153" s="3">
        <f>MAX(0,100*(1-N153/KM_MAX))</f>
        <v/>
      </c>
      <c r="BO153" s="3">
        <f>IF(AV153&lt;KMA_SOSP,IF(AA153="sí",100,KMA_PEN),IF(AV153&lt;=KMA_IDEAL_MAX,100,MAX(0,100*(KMA_CERO-AV153)/(KMA_CERO-KMA_IDEAL_MAX))))</f>
        <v/>
      </c>
      <c r="BP153" s="3">
        <f>MAX(0,MIN(100,100*(M153-ANIO_MIN)/(ANIO_ACTUAL-ANIO_MIN)))</f>
        <v/>
      </c>
      <c r="BQ153" s="3">
        <f>W_KMT*BN153+W_KMA*BO153+W_EDAD*BP153</f>
        <v/>
      </c>
      <c r="BR153" s="3">
        <f>P_ITV*(V153="sí")+P_LIBRO*(W153="sí")+P_CORREA*(X153="sí")+P_PROP*(Y153=1)+P_GAR*(Z153="sí")+P_FOTOS*MIN(1,N(U153)/FOTOS_OBJ)</f>
        <v/>
      </c>
      <c r="BS153" s="3">
        <f>IFERROR(VLOOKUP(BF153,ETQ_TBL,2,0),NEUTRO)</f>
        <v/>
      </c>
      <c r="BT153" s="3">
        <f>NEUTRO</f>
        <v/>
      </c>
      <c r="BU153" s="3">
        <f>IFERROR(VLOOKUP(L153,SEGURO_TBL,3,0),"")</f>
        <v/>
      </c>
      <c r="BV153" s="3">
        <f>IF(BU153="",NEUTRO,MAX(0,MIN(100,100*(SEG_REF_MAX-BU153)/(SEG_REF_MAX-SEG_REF_MIN))))</f>
        <v/>
      </c>
      <c r="BW153" s="3">
        <f>W_ET*BS153+W_CONS*BT153+W_SEG*BV153</f>
        <v/>
      </c>
      <c r="BX153" s="3">
        <f>IF(N(AB153)&gt;0,AB153,IF(AND(R153="profesional",SG_LEGAL_ON=1),GAR_LEGAL,0))</f>
        <v/>
      </c>
      <c r="BY153" s="3">
        <f>SG_GAR*MIN(1,BX153/SG_GAR_FULL)+SG_AMPL*(AC153="sí")+SG_KMC*(AF153="sí")+SG_REV*(N(AE153)&gt;0)+SG_DEV*MIN(1,N(AG153)/SG_DEV_FULL)+SG_HIST*(W153="sí")</f>
        <v/>
      </c>
      <c r="BZ153" s="3">
        <f>IFERROR(VLOOKUP(L153,CARR_PEN_TBL,2,0),0)</f>
        <v/>
      </c>
      <c r="CA153" s="3">
        <f>W_FIAB*BL153+W_PRECIO*BM153+W_KMEDAD*BQ153+W_ANUNCIO*BR153+W_USO*BW153+W_SEGURIDAD*BY153-BZ153</f>
        <v/>
      </c>
      <c r="CB153" s="4">
        <f>IF(N(I153)&gt;0,I153,IFERROR(ROUND(_xlfn.NUMBERVALUE(LEFT(G153,FIND(" ",G153&amp;" ")-1),".")*1000,0),99999))</f>
        <v/>
      </c>
      <c r="CC153" s="3">
        <f>IF(R153="profesional",0,IF(O153&lt;CUOTA_VALOR_MAX,IF(AU153&gt;ITP_TRAMO_ALTO,SUMIFS(CF_CUOTA,CF_MAS,ITP_TRAMO_ALTO,CF_CCMIN,"&lt;="&amp;CB153,CF_CCMAX,"&gt;="&amp;CB153),IF(AU153&gt;ITP_TRAMO_BAJO,SUMIFS(CF_CUOTA,CF_MAS,ITP_TRAMO_BAJO,CF_CCMIN,"&lt;="&amp;CB153,CF_CCMAX,"&gt;="&amp;CB153),O153*ITP_TIPO)),O153*ITP_TIPO))</f>
        <v/>
      </c>
      <c r="CD153" s="4">
        <f>IF(R153="profesional",N(AK153),0)</f>
        <v/>
      </c>
      <c r="CE153" s="3">
        <f>IF(AND(R153="profesional",ISNUMBER(AK153),AL153="sí"),0,TASA_DGT)</f>
        <v/>
      </c>
      <c r="CF153" s="3">
        <f>INFORME_DGT</f>
        <v/>
      </c>
      <c r="CG153" s="4">
        <f>O153+CD153+CC153+CE153+CF153</f>
        <v/>
      </c>
      <c r="CH153" s="4">
        <f>CG153+N(BU153)</f>
        <v/>
      </c>
      <c r="CI153" s="3">
        <f>IF(CG153&lt;=TOTAL_MAX,"sí",IF(CG153&lt;=TOTAL_MAX+MARGEN_NEG,"negociar","no"))</f>
        <v/>
      </c>
      <c r="CJ153" s="4">
        <f>IF(CI153&lt;&gt;"no",COUNTIFS($CI$2:$CI$662,"&lt;&gt;no",$CA$2:$CA$662,"&gt;"&amp;CA153)+COUNTIFS($CI$2:CI153,"&lt;&gt;no",$CA$2:CA153,CA153),"")</f>
        <v/>
      </c>
    </row>
    <row r="154">
      <c r="A154" s="2" t="inlineStr">
        <is>
          <t>cochesnet:71372914</t>
        </is>
      </c>
      <c r="B154" s="2" t="inlineStr">
        <is>
          <t>cochesnet</t>
        </is>
      </c>
      <c r="C154" s="2" t="inlineStr">
        <is>
          <t>https://www.coches.net/peugeot-207-confort-14-75-5p-gasolina-2008-en-valencia-71372914-covo.aspx</t>
        </is>
      </c>
      <c r="D154" s="2" t="inlineStr">
        <is>
          <t>PEUGEOT 207 Confort 1.4 75</t>
        </is>
      </c>
      <c r="E154" s="2" t="inlineStr">
        <is>
          <t>Peugeot</t>
        </is>
      </c>
      <c r="F154" s="2" t="inlineStr">
        <is>
          <t>Peugeot 207</t>
        </is>
      </c>
      <c r="G154" s="2" t="inlineStr">
        <is>
          <t>1.4</t>
        </is>
      </c>
      <c r="H154" s="2" t="inlineStr">
        <is>
          <t>Confort 1.4 75</t>
        </is>
      </c>
      <c r="I154" s="2" t="n"/>
      <c r="J154" s="2" t="n"/>
      <c r="K154" s="2" t="inlineStr">
        <is>
          <t>gasolina</t>
        </is>
      </c>
      <c r="L154" s="2" t="inlineStr">
        <is>
          <t>utilitario</t>
        </is>
      </c>
      <c r="M154" s="2" t="n">
        <v>2008</v>
      </c>
      <c r="N154" s="2" t="n">
        <v>132000</v>
      </c>
      <c r="O154" s="2" t="n">
        <v>3700</v>
      </c>
      <c r="P154" s="2" t="inlineStr">
        <is>
          <t>manual</t>
        </is>
      </c>
      <c r="Q154" s="2" t="inlineStr">
        <is>
          <t>no</t>
        </is>
      </c>
      <c r="R154" s="2" t="inlineStr">
        <is>
          <t>particular</t>
        </is>
      </c>
      <c r="S154" s="2" t="inlineStr">
        <is>
          <t>Xàtiva</t>
        </is>
      </c>
      <c r="T154" s="2" t="inlineStr">
        <is>
          <t>2026-08-27T07:18:37Z</t>
        </is>
      </c>
      <c r="U154" s="2" t="n">
        <v>10</v>
      </c>
      <c r="V154" s="2" t="n"/>
      <c r="W154" s="2" t="n"/>
      <c r="X154" s="2" t="n"/>
      <c r="Y154" s="2" t="n"/>
      <c r="Z154" s="2" t="inlineStr">
        <is>
          <t>no</t>
        </is>
      </c>
      <c r="AA154" s="2" t="n"/>
      <c r="AB154" s="2" t="n"/>
      <c r="AC154" s="2" t="n"/>
      <c r="AD154" s="2" t="n"/>
      <c r="AE154" s="2" t="n"/>
      <c r="AF154" s="2" t="n"/>
      <c r="AG154" s="2" t="n"/>
      <c r="AH154" s="2" t="n">
        <v>3700</v>
      </c>
      <c r="AI154" s="2" t="n"/>
      <c r="AJ154" s="2" t="n"/>
      <c r="AK154" s="2" t="n"/>
      <c r="AL154" s="2" t="n"/>
      <c r="AM154" s="2" t="n">
        <v>55.4</v>
      </c>
      <c r="AN154" s="2" t="n">
        <v>3550</v>
      </c>
      <c r="AO154" s="2" t="n">
        <v>30</v>
      </c>
      <c r="AP154" s="2" t="inlineStr">
        <is>
          <t>modelo+año+km</t>
        </is>
      </c>
      <c r="AQ154" s="2" t="inlineStr">
        <is>
          <t>cochesnet:71381924 (https://www.coches.net/peugeot-207-gasolina-2008-en-valencia-71381924-covo.aspx)</t>
        </is>
      </c>
      <c r="AR154" s="2" t="inlineStr">
        <is>
          <t>cuota fija ITP: &gt;12 años, hasta 1.500 cc; fiabilidad del modelo PENDIENTE de fuente (puntuación neutra)</t>
        </is>
      </c>
      <c r="AS154" s="2" t="inlineStr"/>
      <c r="AT154" s="2" t="inlineStr">
        <is>
          <t>https://www.coches.net/peugeot-207-confort-14-75-5p-gasolina-2008-en-valencia-71372914-covo.aspx (window.__INITIAL_PROPS__.ad) /home/user/Alopecia/buscador-coches/raw/cochesnet/52526cc9bdb938c1.json</t>
        </is>
      </c>
      <c r="AU154" s="3">
        <f>MAX(ANIO_ACTUAL-M154,0)</f>
        <v/>
      </c>
      <c r="AV154" s="4">
        <f>N154/MAX(AU154,0.5)</f>
        <v/>
      </c>
      <c r="AW154" s="4">
        <f>F154</f>
        <v/>
      </c>
      <c r="AX154" s="3">
        <f>AW154&amp;"|"&amp;INT(M154/SEG_ANIO)*SEG_ANIO</f>
        <v/>
      </c>
      <c r="AY154" s="3">
        <f>AX154&amp;"|"&amp;INT(N154/SEG_KM)*SEG_KM</f>
        <v/>
      </c>
      <c r="AZ154" s="4">
        <f>COUNTIF($AW$2:$AW$662,AW154)</f>
        <v/>
      </c>
      <c r="BA154" s="4">
        <f>COUNTIF($AX$2:$AX$662,AX154)</f>
        <v/>
      </c>
      <c r="BB154" s="4">
        <f>COUNTIF($AY$2:$AY$662,AY154)</f>
        <v/>
      </c>
      <c r="BC154" s="3">
        <f t="array" ref="BC154">IF(N(AO154)&gt;=MIN_N,AN154,IF(BB154&gt;=MIN_N,MEDIAN(IF($AY$2:$AY$662=AY154,$O$2:$O$662)),IF(BA154&gt;=MIN_N,MEDIAN(IF($AX$2:$AX$662=AX154,$O$2:$O$662)),MEDIAN(IF($AW$2:$AW$662=AW154,$O$2:$O$662)))))</f>
        <v/>
      </c>
      <c r="BD154" s="3">
        <f>IF(N(AO154)&gt;=MIN_N,"mercado "&amp;AP154,IF(BB154&gt;=MIN_N,"modelo+año+km",IF(BA154&gt;=MIN_N,"modelo+año","modelo")))</f>
        <v/>
      </c>
      <c r="BE154" s="4">
        <f>(BC154-O154)/BC154</f>
        <v/>
      </c>
      <c r="BF154" s="3">
        <f>IF(OR(K154="hibrido",K154="glp"),"ECO",IF(K154="electrico","CERO",IF(K154="gasolina",IF(M154&gt;=GAS_C,"C",IF(M154&gt;=GAS_B,"B","A")),IF(K154="diesel",IF(M154&gt;=DIE_C,"C",IF(M154&gt;=DIE_B,"B","A")),""))))</f>
        <v/>
      </c>
      <c r="BG154" s="3">
        <f>IFERROR(VLOOKUP(F154,MOD_TBL,11,0),IFERROR(VLOOKUP(E154,OCU_TBL,2,0),NEUTRO))</f>
        <v/>
      </c>
      <c r="BH154" s="3">
        <f>SUMIFS(MOT_AJUSTE,MOT_MOTOR,G154,MOT_MARCA,E154,MOT_DESDE,"&lt;="&amp;M154,MOT_HASTA,"&gt;="&amp;M154)+SUMIFS(MOT_AJUSTE,MOT_MOTOR,G154,MOT_MARCA,"(todas)",MOT_DESDE,"&lt;="&amp;M154,MOT_HASTA,"&gt;="&amp;M154)</f>
        <v/>
      </c>
      <c r="BI154" s="3">
        <f>SUMIFS(COMB_AJUSTE,COMB_COMB,K154)</f>
        <v/>
      </c>
      <c r="BJ154" s="3">
        <f>COUNTIFS(MOT_MOTOR,G154,MOT_MARCA,E154,MOT_DESDE,"&lt;="&amp;M154,MOT_HASTA,"&gt;="&amp;M154)+COUNTIFS(MOT_MOTOR,G154,MOT_MARCA,"(todas)",MOT_DESDE,"&lt;="&amp;M154,MOT_HASTA,"&gt;="&amp;M154)</f>
        <v/>
      </c>
      <c r="BK154" s="3">
        <f>IF(AND(K154="diesel",BJ154=0),MIN(BG154,NEUTRO),BG154)</f>
        <v/>
      </c>
      <c r="BL154" s="4">
        <f>MAX(0,MIN(100,BK154+BH154+BI154))</f>
        <v/>
      </c>
      <c r="BM154" s="3">
        <f>MAX(0,MIN(100,50+BE154*PRECIO_PEND))</f>
        <v/>
      </c>
      <c r="BN154" s="3">
        <f>MAX(0,100*(1-N154/KM_MAX))</f>
        <v/>
      </c>
      <c r="BO154" s="3">
        <f>IF(AV154&lt;KMA_SOSP,IF(AA154="sí",100,KMA_PEN),IF(AV154&lt;=KMA_IDEAL_MAX,100,MAX(0,100*(KMA_CERO-AV154)/(KMA_CERO-KMA_IDEAL_MAX))))</f>
        <v/>
      </c>
      <c r="BP154" s="3">
        <f>MAX(0,MIN(100,100*(M154-ANIO_MIN)/(ANIO_ACTUAL-ANIO_MIN)))</f>
        <v/>
      </c>
      <c r="BQ154" s="3">
        <f>W_KMT*BN154+W_KMA*BO154+W_EDAD*BP154</f>
        <v/>
      </c>
      <c r="BR154" s="3">
        <f>P_ITV*(V154="sí")+P_LIBRO*(W154="sí")+P_CORREA*(X154="sí")+P_PROP*(Y154=1)+P_GAR*(Z154="sí")+P_FOTOS*MIN(1,N(U154)/FOTOS_OBJ)</f>
        <v/>
      </c>
      <c r="BS154" s="3">
        <f>IFERROR(VLOOKUP(BF154,ETQ_TBL,2,0),NEUTRO)</f>
        <v/>
      </c>
      <c r="BT154" s="3">
        <f>NEUTRO</f>
        <v/>
      </c>
      <c r="BU154" s="3">
        <f>IFERROR(VLOOKUP(L154,SEGURO_TBL,3,0),"")</f>
        <v/>
      </c>
      <c r="BV154" s="3">
        <f>IF(BU154="",NEUTRO,MAX(0,MIN(100,100*(SEG_REF_MAX-BU154)/(SEG_REF_MAX-SEG_REF_MIN))))</f>
        <v/>
      </c>
      <c r="BW154" s="3">
        <f>W_ET*BS154+W_CONS*BT154+W_SEG*BV154</f>
        <v/>
      </c>
      <c r="BX154" s="3">
        <f>IF(N(AB154)&gt;0,AB154,IF(AND(R154="profesional",SG_LEGAL_ON=1),GAR_LEGAL,0))</f>
        <v/>
      </c>
      <c r="BY154" s="3">
        <f>SG_GAR*MIN(1,BX154/SG_GAR_FULL)+SG_AMPL*(AC154="sí")+SG_KMC*(AF154="sí")+SG_REV*(N(AE154)&gt;0)+SG_DEV*MIN(1,N(AG154)/SG_DEV_FULL)+SG_HIST*(W154="sí")</f>
        <v/>
      </c>
      <c r="BZ154" s="3">
        <f>IFERROR(VLOOKUP(L154,CARR_PEN_TBL,2,0),0)</f>
        <v/>
      </c>
      <c r="CA154" s="3">
        <f>W_FIAB*BL154+W_PRECIO*BM154+W_KMEDAD*BQ154+W_ANUNCIO*BR154+W_USO*BW154+W_SEGURIDAD*BY154-BZ154</f>
        <v/>
      </c>
      <c r="CB154" s="4">
        <f>IF(N(I154)&gt;0,I154,IFERROR(ROUND(_xlfn.NUMBERVALUE(LEFT(G154,FIND(" ",G154&amp;" ")-1),".")*1000,0),99999))</f>
        <v/>
      </c>
      <c r="CC154" s="3">
        <f>IF(R154="profesional",0,IF(O154&lt;CUOTA_VALOR_MAX,IF(AU154&gt;ITP_TRAMO_ALTO,SUMIFS(CF_CUOTA,CF_MAS,ITP_TRAMO_ALTO,CF_CCMIN,"&lt;="&amp;CB154,CF_CCMAX,"&gt;="&amp;CB154),IF(AU154&gt;ITP_TRAMO_BAJO,SUMIFS(CF_CUOTA,CF_MAS,ITP_TRAMO_BAJO,CF_CCMIN,"&lt;="&amp;CB154,CF_CCMAX,"&gt;="&amp;CB154),O154*ITP_TIPO)),O154*ITP_TIPO))</f>
        <v/>
      </c>
      <c r="CD154" s="4">
        <f>IF(R154="profesional",N(AK154),0)</f>
        <v/>
      </c>
      <c r="CE154" s="3">
        <f>IF(AND(R154="profesional",ISNUMBER(AK154),AL154="sí"),0,TASA_DGT)</f>
        <v/>
      </c>
      <c r="CF154" s="3">
        <f>INFORME_DGT</f>
        <v/>
      </c>
      <c r="CG154" s="4">
        <f>O154+CD154+CC154+CE154+CF154</f>
        <v/>
      </c>
      <c r="CH154" s="4">
        <f>CG154+N(BU154)</f>
        <v/>
      </c>
      <c r="CI154" s="3">
        <f>IF(CG154&lt;=TOTAL_MAX,"sí",IF(CG154&lt;=TOTAL_MAX+MARGEN_NEG,"negociar","no"))</f>
        <v/>
      </c>
      <c r="CJ154" s="4">
        <f>IF(CI154&lt;&gt;"no",COUNTIFS($CI$2:$CI$662,"&lt;&gt;no",$CA$2:$CA$662,"&gt;"&amp;CA154)+COUNTIFS($CI$2:CI154,"&lt;&gt;no",$CA$2:CA154,CA154),"")</f>
        <v/>
      </c>
    </row>
    <row r="155">
      <c r="A155" s="2" t="inlineStr">
        <is>
          <t>cochesnet:71237986</t>
        </is>
      </c>
      <c r="B155" s="2" t="inlineStr">
        <is>
          <t>cochesnet</t>
        </is>
      </c>
      <c r="C155" s="2" t="inlineStr">
        <is>
          <t>https://www.coches.net/peugeot-207-16thp-16v-gt-3p-gasolina-2008-en-valencia-71237986-covo.aspx</t>
        </is>
      </c>
      <c r="D155" s="2" t="inlineStr">
        <is>
          <t>PEUGEOT 207 1.6THP 16v GT</t>
        </is>
      </c>
      <c r="E155" s="2" t="inlineStr">
        <is>
          <t>Peugeot</t>
        </is>
      </c>
      <c r="F155" s="2" t="inlineStr">
        <is>
          <t>Peugeot 207</t>
        </is>
      </c>
      <c r="G155" s="2" t="inlineStr">
        <is>
          <t>1.6</t>
        </is>
      </c>
      <c r="H155" s="2" t="inlineStr">
        <is>
          <t>1.6THP 16v GT</t>
        </is>
      </c>
      <c r="I155" s="2" t="n"/>
      <c r="J155" s="2" t="n"/>
      <c r="K155" s="2" t="inlineStr">
        <is>
          <t>gasolina</t>
        </is>
      </c>
      <c r="L155" s="2" t="inlineStr">
        <is>
          <t>utilitario</t>
        </is>
      </c>
      <c r="M155" s="2" t="n">
        <v>2008</v>
      </c>
      <c r="N155" s="2" t="n">
        <v>195000</v>
      </c>
      <c r="O155" s="2" t="n">
        <v>3900</v>
      </c>
      <c r="P155" s="2" t="inlineStr">
        <is>
          <t>manual</t>
        </is>
      </c>
      <c r="Q155" s="2" t="inlineStr">
        <is>
          <t>no</t>
        </is>
      </c>
      <c r="R155" s="2" t="inlineStr">
        <is>
          <t>particular</t>
        </is>
      </c>
      <c r="S155" s="2" t="inlineStr">
        <is>
          <t>Valencia</t>
        </is>
      </c>
      <c r="T155" s="2" t="inlineStr">
        <is>
          <t>2026-08-05T21:54:08Z</t>
        </is>
      </c>
      <c r="U155" s="2" t="n">
        <v>10</v>
      </c>
      <c r="V155" s="2" t="inlineStr">
        <is>
          <t>sí</t>
        </is>
      </c>
      <c r="W155" s="2" t="n"/>
      <c r="X155" s="2" t="n"/>
      <c r="Y155" s="2" t="n"/>
      <c r="Z155" s="2" t="inlineStr">
        <is>
          <t>no</t>
        </is>
      </c>
      <c r="AA155" s="2" t="n"/>
      <c r="AB155" s="2" t="n"/>
      <c r="AC155" s="2" t="n"/>
      <c r="AD155" s="2" t="n"/>
      <c r="AE155" s="2" t="n"/>
      <c r="AF155" s="2" t="n"/>
      <c r="AG155" s="2" t="n"/>
      <c r="AH155" s="2" t="n">
        <v>3900</v>
      </c>
      <c r="AI155" s="2" t="n"/>
      <c r="AJ155" s="2" t="n"/>
      <c r="AK155" s="2" t="n"/>
      <c r="AL155" s="2" t="n"/>
      <c r="AM155" s="2" t="n">
        <v>0.1</v>
      </c>
      <c r="AN155" s="2" t="n">
        <v>3600</v>
      </c>
      <c r="AO155" s="2" t="n">
        <v>21</v>
      </c>
      <c r="AP155" s="2" t="inlineStr">
        <is>
          <t>modelo+año+km</t>
        </is>
      </c>
      <c r="AQ155" s="2" t="n"/>
      <c r="AR155" s="2" t="inlineStr">
        <is>
          <t>cuota fija ITP: &gt;12 años, 1.501-2.000 cc; fiabilidad del modelo PENDIENTE de fuente (puntuación neutra)</t>
        </is>
      </c>
      <c r="AS155" s="2" t="inlineStr">
        <is>
          <t>PEUGEOT 207 3P GT 1.6 TH DE 2008. GASOLINA, COLOR NEGRO, 3 PUERTAS, VERSION DEPORTIVA. ASIENTOS DE CUERO Y TECHO SOLAR. GASOLINA 195.000KM Y 175CV. 
CUALQUIER INFORMACIÓN ADICIONAL ESCRIBIR CHAT. ITV EN VIGOR</t>
        </is>
      </c>
      <c r="AT155" s="2" t="inlineStr">
        <is>
          <t>https://www.coches.net/peugeot-207-16thp-16v-gt-3p-gasolina-2008-en-valencia-71237986-covo.aspx (window.__INITIAL_PROPS__.ad) /home/user/Alopecia/buscador-coches/raw/cochesnet/186fe741347008e9.json</t>
        </is>
      </c>
      <c r="AU155" s="3">
        <f>MAX(ANIO_ACTUAL-M155,0)</f>
        <v/>
      </c>
      <c r="AV155" s="4">
        <f>N155/MAX(AU155,0.5)</f>
        <v/>
      </c>
      <c r="AW155" s="4">
        <f>F155</f>
        <v/>
      </c>
      <c r="AX155" s="3">
        <f>AW155&amp;"|"&amp;INT(M155/SEG_ANIO)*SEG_ANIO</f>
        <v/>
      </c>
      <c r="AY155" s="3">
        <f>AX155&amp;"|"&amp;INT(N155/SEG_KM)*SEG_KM</f>
        <v/>
      </c>
      <c r="AZ155" s="4">
        <f>COUNTIF($AW$2:$AW$662,AW155)</f>
        <v/>
      </c>
      <c r="BA155" s="4">
        <f>COUNTIF($AX$2:$AX$662,AX155)</f>
        <v/>
      </c>
      <c r="BB155" s="4">
        <f>COUNTIF($AY$2:$AY$662,AY155)</f>
        <v/>
      </c>
      <c r="BC155" s="3">
        <f t="array" ref="BC155">IF(N(AO155)&gt;=MIN_N,AN155,IF(BB155&gt;=MIN_N,MEDIAN(IF($AY$2:$AY$662=AY155,$O$2:$O$662)),IF(BA155&gt;=MIN_N,MEDIAN(IF($AX$2:$AX$662=AX155,$O$2:$O$662)),MEDIAN(IF($AW$2:$AW$662=AW155,$O$2:$O$662)))))</f>
        <v/>
      </c>
      <c r="BD155" s="3">
        <f>IF(N(AO155)&gt;=MIN_N,"mercado "&amp;AP155,IF(BB155&gt;=MIN_N,"modelo+año+km",IF(BA155&gt;=MIN_N,"modelo+año","modelo")))</f>
        <v/>
      </c>
      <c r="BE155" s="4">
        <f>(BC155-O155)/BC155</f>
        <v/>
      </c>
      <c r="BF155" s="3">
        <f>IF(OR(K155="hibrido",K155="glp"),"ECO",IF(K155="electrico","CERO",IF(K155="gasolina",IF(M155&gt;=GAS_C,"C",IF(M155&gt;=GAS_B,"B","A")),IF(K155="diesel",IF(M155&gt;=DIE_C,"C",IF(M155&gt;=DIE_B,"B","A")),""))))</f>
        <v/>
      </c>
      <c r="BG155" s="3">
        <f>IFERROR(VLOOKUP(F155,MOD_TBL,11,0),IFERROR(VLOOKUP(E155,OCU_TBL,2,0),NEUTRO))</f>
        <v/>
      </c>
      <c r="BH155" s="3">
        <f>SUMIFS(MOT_AJUSTE,MOT_MOTOR,G155,MOT_MARCA,E155,MOT_DESDE,"&lt;="&amp;M155,MOT_HASTA,"&gt;="&amp;M155)+SUMIFS(MOT_AJUSTE,MOT_MOTOR,G155,MOT_MARCA,"(todas)",MOT_DESDE,"&lt;="&amp;M155,MOT_HASTA,"&gt;="&amp;M155)</f>
        <v/>
      </c>
      <c r="BI155" s="3">
        <f>SUMIFS(COMB_AJUSTE,COMB_COMB,K155)</f>
        <v/>
      </c>
      <c r="BJ155" s="3">
        <f>COUNTIFS(MOT_MOTOR,G155,MOT_MARCA,E155,MOT_DESDE,"&lt;="&amp;M155,MOT_HASTA,"&gt;="&amp;M155)+COUNTIFS(MOT_MOTOR,G155,MOT_MARCA,"(todas)",MOT_DESDE,"&lt;="&amp;M155,MOT_HASTA,"&gt;="&amp;M155)</f>
        <v/>
      </c>
      <c r="BK155" s="3">
        <f>IF(AND(K155="diesel",BJ155=0),MIN(BG155,NEUTRO),BG155)</f>
        <v/>
      </c>
      <c r="BL155" s="4">
        <f>MAX(0,MIN(100,BK155+BH155+BI155))</f>
        <v/>
      </c>
      <c r="BM155" s="3">
        <f>MAX(0,MIN(100,50+BE155*PRECIO_PEND))</f>
        <v/>
      </c>
      <c r="BN155" s="3">
        <f>MAX(0,100*(1-N155/KM_MAX))</f>
        <v/>
      </c>
      <c r="BO155" s="3">
        <f>IF(AV155&lt;KMA_SOSP,IF(AA155="sí",100,KMA_PEN),IF(AV155&lt;=KMA_IDEAL_MAX,100,MAX(0,100*(KMA_CERO-AV155)/(KMA_CERO-KMA_IDEAL_MAX))))</f>
        <v/>
      </c>
      <c r="BP155" s="3">
        <f>MAX(0,MIN(100,100*(M155-ANIO_MIN)/(ANIO_ACTUAL-ANIO_MIN)))</f>
        <v/>
      </c>
      <c r="BQ155" s="3">
        <f>W_KMT*BN155+W_KMA*BO155+W_EDAD*BP155</f>
        <v/>
      </c>
      <c r="BR155" s="3">
        <f>P_ITV*(V155="sí")+P_LIBRO*(W155="sí")+P_CORREA*(X155="sí")+P_PROP*(Y155=1)+P_GAR*(Z155="sí")+P_FOTOS*MIN(1,N(U155)/FOTOS_OBJ)</f>
        <v/>
      </c>
      <c r="BS155" s="3">
        <f>IFERROR(VLOOKUP(BF155,ETQ_TBL,2,0),NEUTRO)</f>
        <v/>
      </c>
      <c r="BT155" s="3">
        <f>NEUTRO</f>
        <v/>
      </c>
      <c r="BU155" s="3">
        <f>IFERROR(VLOOKUP(L155,SEGURO_TBL,3,0),"")</f>
        <v/>
      </c>
      <c r="BV155" s="3">
        <f>IF(BU155="",NEUTRO,MAX(0,MIN(100,100*(SEG_REF_MAX-BU155)/(SEG_REF_MAX-SEG_REF_MIN))))</f>
        <v/>
      </c>
      <c r="BW155" s="3">
        <f>W_ET*BS155+W_CONS*BT155+W_SEG*BV155</f>
        <v/>
      </c>
      <c r="BX155" s="3">
        <f>IF(N(AB155)&gt;0,AB155,IF(AND(R155="profesional",SG_LEGAL_ON=1),GAR_LEGAL,0))</f>
        <v/>
      </c>
      <c r="BY155" s="3">
        <f>SG_GAR*MIN(1,BX155/SG_GAR_FULL)+SG_AMPL*(AC155="sí")+SG_KMC*(AF155="sí")+SG_REV*(N(AE155)&gt;0)+SG_DEV*MIN(1,N(AG155)/SG_DEV_FULL)+SG_HIST*(W155="sí")</f>
        <v/>
      </c>
      <c r="BZ155" s="3">
        <f>IFERROR(VLOOKUP(L155,CARR_PEN_TBL,2,0),0)</f>
        <v/>
      </c>
      <c r="CA155" s="3">
        <f>W_FIAB*BL155+W_PRECIO*BM155+W_KMEDAD*BQ155+W_ANUNCIO*BR155+W_USO*BW155+W_SEGURIDAD*BY155-BZ155</f>
        <v/>
      </c>
      <c r="CB155" s="4">
        <f>IF(N(I155)&gt;0,I155,IFERROR(ROUND(_xlfn.NUMBERVALUE(LEFT(G155,FIND(" ",G155&amp;" ")-1),".")*1000,0),99999))</f>
        <v/>
      </c>
      <c r="CC155" s="3">
        <f>IF(R155="profesional",0,IF(O155&lt;CUOTA_VALOR_MAX,IF(AU155&gt;ITP_TRAMO_ALTO,SUMIFS(CF_CUOTA,CF_MAS,ITP_TRAMO_ALTO,CF_CCMIN,"&lt;="&amp;CB155,CF_CCMAX,"&gt;="&amp;CB155),IF(AU155&gt;ITP_TRAMO_BAJO,SUMIFS(CF_CUOTA,CF_MAS,ITP_TRAMO_BAJO,CF_CCMIN,"&lt;="&amp;CB155,CF_CCMAX,"&gt;="&amp;CB155),O155*ITP_TIPO)),O155*ITP_TIPO))</f>
        <v/>
      </c>
      <c r="CD155" s="4">
        <f>IF(R155="profesional",N(AK155),0)</f>
        <v/>
      </c>
      <c r="CE155" s="3">
        <f>IF(AND(R155="profesional",ISNUMBER(AK155),AL155="sí"),0,TASA_DGT)</f>
        <v/>
      </c>
      <c r="CF155" s="3">
        <f>INFORME_DGT</f>
        <v/>
      </c>
      <c r="CG155" s="4">
        <f>O155+CD155+CC155+CE155+CF155</f>
        <v/>
      </c>
      <c r="CH155" s="4">
        <f>CG155+N(BU155)</f>
        <v/>
      </c>
      <c r="CI155" s="3">
        <f>IF(CG155&lt;=TOTAL_MAX,"sí",IF(CG155&lt;=TOTAL_MAX+MARGEN_NEG,"negociar","no"))</f>
        <v/>
      </c>
      <c r="CJ155" s="4">
        <f>IF(CI155&lt;&gt;"no",COUNTIFS($CI$2:$CI$662,"&lt;&gt;no",$CA$2:$CA$662,"&gt;"&amp;CA155)+COUNTIFS($CI$2:CI155,"&lt;&gt;no",$CA$2:CA155,CA155),"")</f>
        <v/>
      </c>
    </row>
    <row r="156">
      <c r="A156" s="2" t="inlineStr">
        <is>
          <t>cochesnet:70477899</t>
        </is>
      </c>
      <c r="B156" s="2" t="inlineStr">
        <is>
          <t>cochesnet</t>
        </is>
      </c>
      <c r="C156" s="2" t="inlineStr">
        <is>
          <t>https://www.coches.net/peugeot-207-diesel-2010-en-valencia-70477899-covo.aspx</t>
        </is>
      </c>
      <c r="D156" s="2" t="inlineStr">
        <is>
          <t>PEUGEOT 207</t>
        </is>
      </c>
      <c r="E156" s="2" t="inlineStr">
        <is>
          <t>Peugeot</t>
        </is>
      </c>
      <c r="F156" s="2" t="inlineStr">
        <is>
          <t>Peugeot 207</t>
        </is>
      </c>
      <c r="G156" s="2" t="n"/>
      <c r="H156" s="2" t="n"/>
      <c r="I156" s="2" t="n"/>
      <c r="J156" s="2" t="n"/>
      <c r="K156" s="2" t="inlineStr">
        <is>
          <t>diesel</t>
        </is>
      </c>
      <c r="L156" s="2" t="inlineStr">
        <is>
          <t>utilitario</t>
        </is>
      </c>
      <c r="M156" s="2" t="n">
        <v>2010</v>
      </c>
      <c r="N156" s="2" t="n">
        <v>214956</v>
      </c>
      <c r="O156" s="2" t="n">
        <v>3800</v>
      </c>
      <c r="P156" s="2" t="inlineStr">
        <is>
          <t>manual</t>
        </is>
      </c>
      <c r="Q156" s="2" t="inlineStr">
        <is>
          <t>no</t>
        </is>
      </c>
      <c r="R156" s="2" t="inlineStr">
        <is>
          <t>particular</t>
        </is>
      </c>
      <c r="S156" s="2" t="n"/>
      <c r="T156" s="2" t="inlineStr">
        <is>
          <t>2026-04-23T14:19:40Z</t>
        </is>
      </c>
      <c r="U156" s="2" t="n">
        <v>7</v>
      </c>
      <c r="V156" s="2" t="inlineStr">
        <is>
          <t>sí</t>
        </is>
      </c>
      <c r="W156" s="2" t="n"/>
      <c r="X156" s="2" t="inlineStr">
        <is>
          <t>sí</t>
        </is>
      </c>
      <c r="Y156" s="2" t="n"/>
      <c r="Z156" s="2" t="inlineStr">
        <is>
          <t>no</t>
        </is>
      </c>
      <c r="AA156" s="2" t="n"/>
      <c r="AB156" s="2" t="n"/>
      <c r="AC156" s="2" t="n"/>
      <c r="AD156" s="2" t="n"/>
      <c r="AE156" s="2" t="n"/>
      <c r="AF156" s="2" t="n"/>
      <c r="AG156" s="2" t="n"/>
      <c r="AH156" s="2" t="n">
        <v>3800</v>
      </c>
      <c r="AI156" s="2" t="n"/>
      <c r="AJ156" s="2" t="n"/>
      <c r="AK156" s="2" t="n"/>
      <c r="AL156" s="2" t="n"/>
      <c r="AM156" s="2" t="n"/>
      <c r="AN156" s="2" t="n">
        <v>3350</v>
      </c>
      <c r="AO156" s="2" t="n">
        <v>6</v>
      </c>
      <c r="AP156" s="2" t="inlineStr">
        <is>
          <t>modelo+año+km</t>
        </is>
      </c>
      <c r="AQ156" s="2" t="n"/>
      <c r="AR15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156" s="2" t="inlineStr">
        <is>
          <t>Vendo o cambio por motivo de espacio 
Kits de correa de distribucion cambiada.
Itv en vigor.
Pantalla.
Cámara trasera. 
Negociable, por favor no marear.</t>
        </is>
      </c>
      <c r="AT156" s="2" t="inlineStr">
        <is>
          <t>https://www.coches.net/peugeot-207-diesel-2010-en-valencia-70477899-covo.aspx (window.__INITIAL_PROPS__.ad) /home/user/Alopecia/buscador-coches/raw/cochesnet/62814f1ebfc9a5f5.json</t>
        </is>
      </c>
      <c r="AU156" s="3">
        <f>MAX(ANIO_ACTUAL-M156,0)</f>
        <v/>
      </c>
      <c r="AV156" s="4">
        <f>N156/MAX(AU156,0.5)</f>
        <v/>
      </c>
      <c r="AW156" s="4">
        <f>F156</f>
        <v/>
      </c>
      <c r="AX156" s="3">
        <f>AW156&amp;"|"&amp;INT(M156/SEG_ANIO)*SEG_ANIO</f>
        <v/>
      </c>
      <c r="AY156" s="3">
        <f>AX156&amp;"|"&amp;INT(N156/SEG_KM)*SEG_KM</f>
        <v/>
      </c>
      <c r="AZ156" s="4">
        <f>COUNTIF($AW$2:$AW$662,AW156)</f>
        <v/>
      </c>
      <c r="BA156" s="4">
        <f>COUNTIF($AX$2:$AX$662,AX156)</f>
        <v/>
      </c>
      <c r="BB156" s="4">
        <f>COUNTIF($AY$2:$AY$662,AY156)</f>
        <v/>
      </c>
      <c r="BC156" s="3">
        <f t="array" ref="BC156">IF(N(AO156)&gt;=MIN_N,AN156,IF(BB156&gt;=MIN_N,MEDIAN(IF($AY$2:$AY$662=AY156,$O$2:$O$662)),IF(BA156&gt;=MIN_N,MEDIAN(IF($AX$2:$AX$662=AX156,$O$2:$O$662)),MEDIAN(IF($AW$2:$AW$662=AW156,$O$2:$O$662)))))</f>
        <v/>
      </c>
      <c r="BD156" s="3">
        <f>IF(N(AO156)&gt;=MIN_N,"mercado "&amp;AP156,IF(BB156&gt;=MIN_N,"modelo+año+km",IF(BA156&gt;=MIN_N,"modelo+año","modelo")))</f>
        <v/>
      </c>
      <c r="BE156" s="4">
        <f>(BC156-O156)/BC156</f>
        <v/>
      </c>
      <c r="BF156" s="3">
        <f>IF(OR(K156="hibrido",K156="glp"),"ECO",IF(K156="electrico","CERO",IF(K156="gasolina",IF(M156&gt;=GAS_C,"C",IF(M156&gt;=GAS_B,"B","A")),IF(K156="diesel",IF(M156&gt;=DIE_C,"C",IF(M156&gt;=DIE_B,"B","A")),""))))</f>
        <v/>
      </c>
      <c r="BG156" s="3">
        <f>IFERROR(VLOOKUP(F156,MOD_TBL,11,0),IFERROR(VLOOKUP(E156,OCU_TBL,2,0),NEUTRO))</f>
        <v/>
      </c>
      <c r="BH156" s="3">
        <f>SUMIFS(MOT_AJUSTE,MOT_MOTOR,G156,MOT_MARCA,E156,MOT_DESDE,"&lt;="&amp;M156,MOT_HASTA,"&gt;="&amp;M156)+SUMIFS(MOT_AJUSTE,MOT_MOTOR,G156,MOT_MARCA,"(todas)",MOT_DESDE,"&lt;="&amp;M156,MOT_HASTA,"&gt;="&amp;M156)</f>
        <v/>
      </c>
      <c r="BI156" s="3">
        <f>SUMIFS(COMB_AJUSTE,COMB_COMB,K156)</f>
        <v/>
      </c>
      <c r="BJ156" s="3">
        <f>COUNTIFS(MOT_MOTOR,G156,MOT_MARCA,E156,MOT_DESDE,"&lt;="&amp;M156,MOT_HASTA,"&gt;="&amp;M156)+COUNTIFS(MOT_MOTOR,G156,MOT_MARCA,"(todas)",MOT_DESDE,"&lt;="&amp;M156,MOT_HASTA,"&gt;="&amp;M156)</f>
        <v/>
      </c>
      <c r="BK156" s="3">
        <f>IF(AND(K156="diesel",BJ156=0),MIN(BG156,NEUTRO),BG156)</f>
        <v/>
      </c>
      <c r="BL156" s="4">
        <f>MAX(0,MIN(100,BK156+BH156+BI156))</f>
        <v/>
      </c>
      <c r="BM156" s="3">
        <f>MAX(0,MIN(100,50+BE156*PRECIO_PEND))</f>
        <v/>
      </c>
      <c r="BN156" s="3">
        <f>MAX(0,100*(1-N156/KM_MAX))</f>
        <v/>
      </c>
      <c r="BO156" s="3">
        <f>IF(AV156&lt;KMA_SOSP,IF(AA156="sí",100,KMA_PEN),IF(AV156&lt;=KMA_IDEAL_MAX,100,MAX(0,100*(KMA_CERO-AV156)/(KMA_CERO-KMA_IDEAL_MAX))))</f>
        <v/>
      </c>
      <c r="BP156" s="3">
        <f>MAX(0,MIN(100,100*(M156-ANIO_MIN)/(ANIO_ACTUAL-ANIO_MIN)))</f>
        <v/>
      </c>
      <c r="BQ156" s="3">
        <f>W_KMT*BN156+W_KMA*BO156+W_EDAD*BP156</f>
        <v/>
      </c>
      <c r="BR156" s="3">
        <f>P_ITV*(V156="sí")+P_LIBRO*(W156="sí")+P_CORREA*(X156="sí")+P_PROP*(Y156=1)+P_GAR*(Z156="sí")+P_FOTOS*MIN(1,N(U156)/FOTOS_OBJ)</f>
        <v/>
      </c>
      <c r="BS156" s="3">
        <f>IFERROR(VLOOKUP(BF156,ETQ_TBL,2,0),NEUTRO)</f>
        <v/>
      </c>
      <c r="BT156" s="3">
        <f>NEUTRO</f>
        <v/>
      </c>
      <c r="BU156" s="3">
        <f>IFERROR(VLOOKUP(L156,SEGURO_TBL,3,0),"")</f>
        <v/>
      </c>
      <c r="BV156" s="3">
        <f>IF(BU156="",NEUTRO,MAX(0,MIN(100,100*(SEG_REF_MAX-BU156)/(SEG_REF_MAX-SEG_REF_MIN))))</f>
        <v/>
      </c>
      <c r="BW156" s="3">
        <f>W_ET*BS156+W_CONS*BT156+W_SEG*BV156</f>
        <v/>
      </c>
      <c r="BX156" s="3">
        <f>IF(N(AB156)&gt;0,AB156,IF(AND(R156="profesional",SG_LEGAL_ON=1),GAR_LEGAL,0))</f>
        <v/>
      </c>
      <c r="BY156" s="3">
        <f>SG_GAR*MIN(1,BX156/SG_GAR_FULL)+SG_AMPL*(AC156="sí")+SG_KMC*(AF156="sí")+SG_REV*(N(AE156)&gt;0)+SG_DEV*MIN(1,N(AG156)/SG_DEV_FULL)+SG_HIST*(W156="sí")</f>
        <v/>
      </c>
      <c r="BZ156" s="3">
        <f>IFERROR(VLOOKUP(L156,CARR_PEN_TBL,2,0),0)</f>
        <v/>
      </c>
      <c r="CA156" s="3">
        <f>W_FIAB*BL156+W_PRECIO*BM156+W_KMEDAD*BQ156+W_ANUNCIO*BR156+W_USO*BW156+W_SEGURIDAD*BY156-BZ156</f>
        <v/>
      </c>
      <c r="CB156" s="4">
        <f>IF(N(I156)&gt;0,I156,IFERROR(ROUND(_xlfn.NUMBERVALUE(LEFT(G156,FIND(" ",G156&amp;" ")-1),".")*1000,0),99999))</f>
        <v/>
      </c>
      <c r="CC156" s="3">
        <f>IF(R156="profesional",0,IF(O156&lt;CUOTA_VALOR_MAX,IF(AU156&gt;ITP_TRAMO_ALTO,SUMIFS(CF_CUOTA,CF_MAS,ITP_TRAMO_ALTO,CF_CCMIN,"&lt;="&amp;CB156,CF_CCMAX,"&gt;="&amp;CB156),IF(AU156&gt;ITP_TRAMO_BAJO,SUMIFS(CF_CUOTA,CF_MAS,ITP_TRAMO_BAJO,CF_CCMIN,"&lt;="&amp;CB156,CF_CCMAX,"&gt;="&amp;CB156),O156*ITP_TIPO)),O156*ITP_TIPO))</f>
        <v/>
      </c>
      <c r="CD156" s="4">
        <f>IF(R156="profesional",N(AK156),0)</f>
        <v/>
      </c>
      <c r="CE156" s="3">
        <f>IF(AND(R156="profesional",ISNUMBER(AK156),AL156="sí"),0,TASA_DGT)</f>
        <v/>
      </c>
      <c r="CF156" s="3">
        <f>INFORME_DGT</f>
        <v/>
      </c>
      <c r="CG156" s="4">
        <f>O156+CD156+CC156+CE156+CF156</f>
        <v/>
      </c>
      <c r="CH156" s="4">
        <f>CG156+N(BU156)</f>
        <v/>
      </c>
      <c r="CI156" s="3">
        <f>IF(CG156&lt;=TOTAL_MAX,"sí",IF(CG156&lt;=TOTAL_MAX+MARGEN_NEG,"negociar","no"))</f>
        <v/>
      </c>
      <c r="CJ156" s="4">
        <f>IF(CI156&lt;&gt;"no",COUNTIFS($CI$2:$CI$662,"&lt;&gt;no",$CA$2:$CA$662,"&gt;"&amp;CA156)+COUNTIFS($CI$2:CI156,"&lt;&gt;no",$CA$2:CA156,CA156),"")</f>
        <v/>
      </c>
    </row>
    <row r="157">
      <c r="A157" s="2" t="inlineStr">
        <is>
          <t>cochesnet:62317708</t>
        </is>
      </c>
      <c r="B157" s="2" t="inlineStr">
        <is>
          <t>cochesnet</t>
        </is>
      </c>
      <c r="C157" s="2" t="inlineStr">
        <is>
          <t>https://www.coches.net/peugeot-207-gasolina-2008-en-valencia-62317708-covo.aspx</t>
        </is>
      </c>
      <c r="D157" s="2" t="inlineStr">
        <is>
          <t>PEUGEOT 207</t>
        </is>
      </c>
      <c r="E157" s="2" t="inlineStr">
        <is>
          <t>Peugeot</t>
        </is>
      </c>
      <c r="F157" s="2" t="inlineStr">
        <is>
          <t>Peugeot 207</t>
        </is>
      </c>
      <c r="G157" s="2" t="n"/>
      <c r="H157" s="2" t="n"/>
      <c r="I157" s="2" t="n"/>
      <c r="J157" s="2" t="n"/>
      <c r="K157" s="2" t="inlineStr">
        <is>
          <t>gasolina</t>
        </is>
      </c>
      <c r="L157" s="2" t="inlineStr">
        <is>
          <t>utilitario</t>
        </is>
      </c>
      <c r="M157" s="2" t="n">
        <v>2008</v>
      </c>
      <c r="N157" s="2" t="n">
        <v>180000</v>
      </c>
      <c r="O157" s="2" t="n">
        <v>3000</v>
      </c>
      <c r="P157" s="2" t="inlineStr">
        <is>
          <t>manual</t>
        </is>
      </c>
      <c r="Q157" s="2" t="inlineStr">
        <is>
          <t>no</t>
        </is>
      </c>
      <c r="R157" s="2" t="inlineStr">
        <is>
          <t>particular</t>
        </is>
      </c>
      <c r="S157" s="2" t="n"/>
      <c r="T157" s="2" t="inlineStr">
        <is>
          <t>2025-12-30T10:29:01Z</t>
        </is>
      </c>
      <c r="U157" s="2" t="n">
        <v>9</v>
      </c>
      <c r="V157" s="2" t="n"/>
      <c r="W157" s="2" t="n"/>
      <c r="X157" s="2" t="n"/>
      <c r="Y157" s="2" t="n"/>
      <c r="Z157" s="2" t="inlineStr">
        <is>
          <t>no</t>
        </is>
      </c>
      <c r="AA157" s="2" t="n"/>
      <c r="AB157" s="2" t="n"/>
      <c r="AC157" s="2" t="n"/>
      <c r="AD157" s="2" t="n"/>
      <c r="AE157" s="2" t="n"/>
      <c r="AF157" s="2" t="n"/>
      <c r="AG157" s="2" t="n"/>
      <c r="AH157" s="2" t="n">
        <v>3000</v>
      </c>
      <c r="AI157" s="2" t="n"/>
      <c r="AJ157" s="2" t="n"/>
      <c r="AK157" s="2" t="n"/>
      <c r="AL157" s="2" t="n"/>
      <c r="AM157" s="2" t="n"/>
      <c r="AN157" s="2" t="n">
        <v>3600</v>
      </c>
      <c r="AO157" s="2" t="n">
        <v>21</v>
      </c>
      <c r="AP157" s="2" t="inlineStr">
        <is>
          <t>modelo+año+km</t>
        </is>
      </c>
      <c r="AQ157" s="2" t="n"/>
      <c r="AR15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157" s="2" t="inlineStr">
        <is>
          <t>Saludos,
Lo compré hace 2 años y no ha dado ningún problema, lo quiero vender porque me voy a comprar otro y no lo voy a usar.
Se puede llevar a un taller para tranquilidad del cliente.
• Ruedas dynaxer recién cambiadas.
• Todo en regla.
• Va de maravilla y es súper entretenido.
• Si va a ser tu primer coche es muy buena opción, pequeño, versatil y a muy buen precio.</t>
        </is>
      </c>
      <c r="AT157" s="2" t="inlineStr">
        <is>
          <t>https://www.coches.net/peugeot-207-gasolina-2008-en-valencia-62317708-covo.aspx (window.__INITIAL_PROPS__.ad) /home/user/Alopecia/buscador-coches/raw/cochesnet/06184d609faebc5b.json</t>
        </is>
      </c>
      <c r="AU157" s="3">
        <f>MAX(ANIO_ACTUAL-M157,0)</f>
        <v/>
      </c>
      <c r="AV157" s="4">
        <f>N157/MAX(AU157,0.5)</f>
        <v/>
      </c>
      <c r="AW157" s="4">
        <f>F157</f>
        <v/>
      </c>
      <c r="AX157" s="3">
        <f>AW157&amp;"|"&amp;INT(M157/SEG_ANIO)*SEG_ANIO</f>
        <v/>
      </c>
      <c r="AY157" s="3">
        <f>AX157&amp;"|"&amp;INT(N157/SEG_KM)*SEG_KM</f>
        <v/>
      </c>
      <c r="AZ157" s="4">
        <f>COUNTIF($AW$2:$AW$662,AW157)</f>
        <v/>
      </c>
      <c r="BA157" s="4">
        <f>COUNTIF($AX$2:$AX$662,AX157)</f>
        <v/>
      </c>
      <c r="BB157" s="4">
        <f>COUNTIF($AY$2:$AY$662,AY157)</f>
        <v/>
      </c>
      <c r="BC157" s="3">
        <f t="array" ref="BC157">IF(N(AO157)&gt;=MIN_N,AN157,IF(BB157&gt;=MIN_N,MEDIAN(IF($AY$2:$AY$662=AY157,$O$2:$O$662)),IF(BA157&gt;=MIN_N,MEDIAN(IF($AX$2:$AX$662=AX157,$O$2:$O$662)),MEDIAN(IF($AW$2:$AW$662=AW157,$O$2:$O$662)))))</f>
        <v/>
      </c>
      <c r="BD157" s="3">
        <f>IF(N(AO157)&gt;=MIN_N,"mercado "&amp;AP157,IF(BB157&gt;=MIN_N,"modelo+año+km",IF(BA157&gt;=MIN_N,"modelo+año","modelo")))</f>
        <v/>
      </c>
      <c r="BE157" s="4">
        <f>(BC157-O157)/BC157</f>
        <v/>
      </c>
      <c r="BF157" s="3">
        <f>IF(OR(K157="hibrido",K157="glp"),"ECO",IF(K157="electrico","CERO",IF(K157="gasolina",IF(M157&gt;=GAS_C,"C",IF(M157&gt;=GAS_B,"B","A")),IF(K157="diesel",IF(M157&gt;=DIE_C,"C",IF(M157&gt;=DIE_B,"B","A")),""))))</f>
        <v/>
      </c>
      <c r="BG157" s="3">
        <f>IFERROR(VLOOKUP(F157,MOD_TBL,11,0),IFERROR(VLOOKUP(E157,OCU_TBL,2,0),NEUTRO))</f>
        <v/>
      </c>
      <c r="BH157" s="3">
        <f>SUMIFS(MOT_AJUSTE,MOT_MOTOR,G157,MOT_MARCA,E157,MOT_DESDE,"&lt;="&amp;M157,MOT_HASTA,"&gt;="&amp;M157)+SUMIFS(MOT_AJUSTE,MOT_MOTOR,G157,MOT_MARCA,"(todas)",MOT_DESDE,"&lt;="&amp;M157,MOT_HASTA,"&gt;="&amp;M157)</f>
        <v/>
      </c>
      <c r="BI157" s="3">
        <f>SUMIFS(COMB_AJUSTE,COMB_COMB,K157)</f>
        <v/>
      </c>
      <c r="BJ157" s="3">
        <f>COUNTIFS(MOT_MOTOR,G157,MOT_MARCA,E157,MOT_DESDE,"&lt;="&amp;M157,MOT_HASTA,"&gt;="&amp;M157)+COUNTIFS(MOT_MOTOR,G157,MOT_MARCA,"(todas)",MOT_DESDE,"&lt;="&amp;M157,MOT_HASTA,"&gt;="&amp;M157)</f>
        <v/>
      </c>
      <c r="BK157" s="3">
        <f>IF(AND(K157="diesel",BJ157=0),MIN(BG157,NEUTRO),BG157)</f>
        <v/>
      </c>
      <c r="BL157" s="4">
        <f>MAX(0,MIN(100,BK157+BH157+BI157))</f>
        <v/>
      </c>
      <c r="BM157" s="3">
        <f>MAX(0,MIN(100,50+BE157*PRECIO_PEND))</f>
        <v/>
      </c>
      <c r="BN157" s="3">
        <f>MAX(0,100*(1-N157/KM_MAX))</f>
        <v/>
      </c>
      <c r="BO157" s="3">
        <f>IF(AV157&lt;KMA_SOSP,IF(AA157="sí",100,KMA_PEN),IF(AV157&lt;=KMA_IDEAL_MAX,100,MAX(0,100*(KMA_CERO-AV157)/(KMA_CERO-KMA_IDEAL_MAX))))</f>
        <v/>
      </c>
      <c r="BP157" s="3">
        <f>MAX(0,MIN(100,100*(M157-ANIO_MIN)/(ANIO_ACTUAL-ANIO_MIN)))</f>
        <v/>
      </c>
      <c r="BQ157" s="3">
        <f>W_KMT*BN157+W_KMA*BO157+W_EDAD*BP157</f>
        <v/>
      </c>
      <c r="BR157" s="3">
        <f>P_ITV*(V157="sí")+P_LIBRO*(W157="sí")+P_CORREA*(X157="sí")+P_PROP*(Y157=1)+P_GAR*(Z157="sí")+P_FOTOS*MIN(1,N(U157)/FOTOS_OBJ)</f>
        <v/>
      </c>
      <c r="BS157" s="3">
        <f>IFERROR(VLOOKUP(BF157,ETQ_TBL,2,0),NEUTRO)</f>
        <v/>
      </c>
      <c r="BT157" s="3">
        <f>NEUTRO</f>
        <v/>
      </c>
      <c r="BU157" s="3">
        <f>IFERROR(VLOOKUP(L157,SEGURO_TBL,3,0),"")</f>
        <v/>
      </c>
      <c r="BV157" s="3">
        <f>IF(BU157="",NEUTRO,MAX(0,MIN(100,100*(SEG_REF_MAX-BU157)/(SEG_REF_MAX-SEG_REF_MIN))))</f>
        <v/>
      </c>
      <c r="BW157" s="3">
        <f>W_ET*BS157+W_CONS*BT157+W_SEG*BV157</f>
        <v/>
      </c>
      <c r="BX157" s="3">
        <f>IF(N(AB157)&gt;0,AB157,IF(AND(R157="profesional",SG_LEGAL_ON=1),GAR_LEGAL,0))</f>
        <v/>
      </c>
      <c r="BY157" s="3">
        <f>SG_GAR*MIN(1,BX157/SG_GAR_FULL)+SG_AMPL*(AC157="sí")+SG_KMC*(AF157="sí")+SG_REV*(N(AE157)&gt;0)+SG_DEV*MIN(1,N(AG157)/SG_DEV_FULL)+SG_HIST*(W157="sí")</f>
        <v/>
      </c>
      <c r="BZ157" s="3">
        <f>IFERROR(VLOOKUP(L157,CARR_PEN_TBL,2,0),0)</f>
        <v/>
      </c>
      <c r="CA157" s="3">
        <f>W_FIAB*BL157+W_PRECIO*BM157+W_KMEDAD*BQ157+W_ANUNCIO*BR157+W_USO*BW157+W_SEGURIDAD*BY157-BZ157</f>
        <v/>
      </c>
      <c r="CB157" s="4">
        <f>IF(N(I157)&gt;0,I157,IFERROR(ROUND(_xlfn.NUMBERVALUE(LEFT(G157,FIND(" ",G157&amp;" ")-1),".")*1000,0),99999))</f>
        <v/>
      </c>
      <c r="CC157" s="3">
        <f>IF(R157="profesional",0,IF(O157&lt;CUOTA_VALOR_MAX,IF(AU157&gt;ITP_TRAMO_ALTO,SUMIFS(CF_CUOTA,CF_MAS,ITP_TRAMO_ALTO,CF_CCMIN,"&lt;="&amp;CB157,CF_CCMAX,"&gt;="&amp;CB157),IF(AU157&gt;ITP_TRAMO_BAJO,SUMIFS(CF_CUOTA,CF_MAS,ITP_TRAMO_BAJO,CF_CCMIN,"&lt;="&amp;CB157,CF_CCMAX,"&gt;="&amp;CB157),O157*ITP_TIPO)),O157*ITP_TIPO))</f>
        <v/>
      </c>
      <c r="CD157" s="4">
        <f>IF(R157="profesional",N(AK157),0)</f>
        <v/>
      </c>
      <c r="CE157" s="3">
        <f>IF(AND(R157="profesional",ISNUMBER(AK157),AL157="sí"),0,TASA_DGT)</f>
        <v/>
      </c>
      <c r="CF157" s="3">
        <f>INFORME_DGT</f>
        <v/>
      </c>
      <c r="CG157" s="4">
        <f>O157+CD157+CC157+CE157+CF157</f>
        <v/>
      </c>
      <c r="CH157" s="4">
        <f>CG157+N(BU157)</f>
        <v/>
      </c>
      <c r="CI157" s="3">
        <f>IF(CG157&lt;=TOTAL_MAX,"sí",IF(CG157&lt;=TOTAL_MAX+MARGEN_NEG,"negociar","no"))</f>
        <v/>
      </c>
      <c r="CJ157" s="4">
        <f>IF(CI157&lt;&gt;"no",COUNTIFS($CI$2:$CI$662,"&lt;&gt;no",$CA$2:$CA$662,"&gt;"&amp;CA157)+COUNTIFS($CI$2:CI157,"&lt;&gt;no",$CA$2:CA157,CA157),"")</f>
        <v/>
      </c>
    </row>
    <row r="158">
      <c r="A158" s="2" t="inlineStr">
        <is>
          <t>cochesnet:71521071</t>
        </is>
      </c>
      <c r="B158" s="2" t="inlineStr">
        <is>
          <t>cochesnet</t>
        </is>
      </c>
      <c r="C158" s="2" t="inlineStr">
        <is>
          <t>https://www.coches.net/peugeot-208-5p-active-14-hdi-68-5p-diesel-2014-en-valencia-71521071-covo.aspx</t>
        </is>
      </c>
      <c r="D158" s="2" t="inlineStr">
        <is>
          <t>PEUGEOT 208 ACTIVE 1.4 HDi 68</t>
        </is>
      </c>
      <c r="E158" s="2" t="inlineStr">
        <is>
          <t>Peugeot</t>
        </is>
      </c>
      <c r="F158" s="2" t="inlineStr">
        <is>
          <t>Peugeot 208</t>
        </is>
      </c>
      <c r="G158" s="2" t="inlineStr">
        <is>
          <t>1.4 HDi</t>
        </is>
      </c>
      <c r="H158" s="2" t="inlineStr">
        <is>
          <t>5P ACTIVE 1.4 HDi 68</t>
        </is>
      </c>
      <c r="I158" s="2" t="n"/>
      <c r="J158" s="2" t="n"/>
      <c r="K158" s="2" t="inlineStr">
        <is>
          <t>diesel</t>
        </is>
      </c>
      <c r="L158" s="2" t="inlineStr">
        <is>
          <t>utilitario</t>
        </is>
      </c>
      <c r="M158" s="2" t="n">
        <v>2014</v>
      </c>
      <c r="N158" s="2" t="n">
        <v>220000</v>
      </c>
      <c r="O158" s="2" t="n">
        <v>4599</v>
      </c>
      <c r="P158" s="2" t="inlineStr">
        <is>
          <t>manual</t>
        </is>
      </c>
      <c r="Q158" s="2" t="inlineStr">
        <is>
          <t>no</t>
        </is>
      </c>
      <c r="R158" s="2" t="inlineStr">
        <is>
          <t>profesional</t>
        </is>
      </c>
      <c r="S158" s="2" t="inlineStr">
        <is>
          <t>Cars Premium Albal Albal</t>
        </is>
      </c>
      <c r="T158" s="2" t="inlineStr">
        <is>
          <t>2026-09-15T18:35:51Z</t>
        </is>
      </c>
      <c r="U158" s="2" t="n">
        <v>12</v>
      </c>
      <c r="V158" s="2" t="n"/>
      <c r="W158" s="2" t="n"/>
      <c r="X158" s="2" t="n"/>
      <c r="Y158" s="2" t="n"/>
      <c r="Z158" s="2" t="inlineStr">
        <is>
          <t>sí</t>
        </is>
      </c>
      <c r="AA158" s="2" t="n"/>
      <c r="AB158" s="2" t="n">
        <v>12</v>
      </c>
      <c r="AC158" s="2" t="n"/>
      <c r="AD158" s="2" t="n"/>
      <c r="AE158" s="2" t="n"/>
      <c r="AF158" s="2" t="n"/>
      <c r="AG158" s="2" t="n"/>
      <c r="AH158" s="2" t="n">
        <v>4599</v>
      </c>
      <c r="AI158" s="2" t="n">
        <v>4599</v>
      </c>
      <c r="AJ158" s="2" t="n"/>
      <c r="AK158" s="2" t="n"/>
      <c r="AL158" s="2" t="n"/>
      <c r="AM158" s="2" t="n">
        <v>8.699999999999999</v>
      </c>
      <c r="AN158" s="2" t="n">
        <v>6200</v>
      </c>
      <c r="AO158" s="2" t="n">
        <v>39</v>
      </c>
      <c r="AP158" s="2" t="inlineStr">
        <is>
          <t>modelo+año</t>
        </is>
      </c>
      <c r="AQ158" s="2" t="n"/>
      <c r="AR158" s="2" t="inlineStr">
        <is>
          <t>vendedor profesional: sin ITP (operación con IVA/REBU, confirmar en factura); gastos de gestión del vendedor no indicados: se suma la tasa DGT; preguntar el precio final; diésel: motor sin fuente de fiabilidad (fiabilidad limitada a neutra)</t>
        </is>
      </c>
      <c r="AS158" s="2" t="inlineStr">
        <is>
          <t>MARCA: Peugeot
MODELO: 208
AÑO: 2014
KM: 220.000
MOTOR: 1.4Hdi 68cv
PEGATINA MEDIO AMBIENTAL: Tipo B
GARANTIA: 12 Meses
ITV: Se entrega en vigor
TIPS: Vehiculo utilitario con un motor fiable y de consumos ridiculos entorno a los 4.5l/100km
EQUIPAMIENTO: Aire acondicionado, RCD, elevalunas electricas, cierre centralizado con llave, airbag etc.
UBICACION: Av padre Carlos Ferris 87, ALBAL, VALENCIA
Para mas info contacten</t>
        </is>
      </c>
      <c r="AT158" s="2" t="inlineStr">
        <is>
          <t>https://www.coches.net/peugeot-208-5p-active-14-hdi-68-5p-diesel-2014-en-valencia-71521071-covo.aspx (window.__INITIAL_PROPS__.ad) /home/user/Alopecia/buscador-coches/raw/cochesnet/56c97e1381d73b00.json</t>
        </is>
      </c>
      <c r="AU158" s="3">
        <f>MAX(ANIO_ACTUAL-M158,0)</f>
        <v/>
      </c>
      <c r="AV158" s="4">
        <f>N158/MAX(AU158,0.5)</f>
        <v/>
      </c>
      <c r="AW158" s="4">
        <f>F158</f>
        <v/>
      </c>
      <c r="AX158" s="3">
        <f>AW158&amp;"|"&amp;INT(M158/SEG_ANIO)*SEG_ANIO</f>
        <v/>
      </c>
      <c r="AY158" s="3">
        <f>AX158&amp;"|"&amp;INT(N158/SEG_KM)*SEG_KM</f>
        <v/>
      </c>
      <c r="AZ158" s="4">
        <f>COUNTIF($AW$2:$AW$662,AW158)</f>
        <v/>
      </c>
      <c r="BA158" s="4">
        <f>COUNTIF($AX$2:$AX$662,AX158)</f>
        <v/>
      </c>
      <c r="BB158" s="4">
        <f>COUNTIF($AY$2:$AY$662,AY158)</f>
        <v/>
      </c>
      <c r="BC158" s="3">
        <f t="array" ref="BC158">IF(N(AO158)&gt;=MIN_N,AN158,IF(BB158&gt;=MIN_N,MEDIAN(IF($AY$2:$AY$662=AY158,$O$2:$O$662)),IF(BA158&gt;=MIN_N,MEDIAN(IF($AX$2:$AX$662=AX158,$O$2:$O$662)),MEDIAN(IF($AW$2:$AW$662=AW158,$O$2:$O$662)))))</f>
        <v/>
      </c>
      <c r="BD158" s="3">
        <f>IF(N(AO158)&gt;=MIN_N,"mercado "&amp;AP158,IF(BB158&gt;=MIN_N,"modelo+año+km",IF(BA158&gt;=MIN_N,"modelo+año","modelo")))</f>
        <v/>
      </c>
      <c r="BE158" s="4">
        <f>(BC158-O158)/BC158</f>
        <v/>
      </c>
      <c r="BF158" s="3">
        <f>IF(OR(K158="hibrido",K158="glp"),"ECO",IF(K158="electrico","CERO",IF(K158="gasolina",IF(M158&gt;=GAS_C,"C",IF(M158&gt;=GAS_B,"B","A")),IF(K158="diesel",IF(M158&gt;=DIE_C,"C",IF(M158&gt;=DIE_B,"B","A")),""))))</f>
        <v/>
      </c>
      <c r="BG158" s="3">
        <f>IFERROR(VLOOKUP(F158,MOD_TBL,11,0),IFERROR(VLOOKUP(E158,OCU_TBL,2,0),NEUTRO))</f>
        <v/>
      </c>
      <c r="BH158" s="3">
        <f>SUMIFS(MOT_AJUSTE,MOT_MOTOR,G158,MOT_MARCA,E158,MOT_DESDE,"&lt;="&amp;M158,MOT_HASTA,"&gt;="&amp;M158)+SUMIFS(MOT_AJUSTE,MOT_MOTOR,G158,MOT_MARCA,"(todas)",MOT_DESDE,"&lt;="&amp;M158,MOT_HASTA,"&gt;="&amp;M158)</f>
        <v/>
      </c>
      <c r="BI158" s="3">
        <f>SUMIFS(COMB_AJUSTE,COMB_COMB,K158)</f>
        <v/>
      </c>
      <c r="BJ158" s="3">
        <f>COUNTIFS(MOT_MOTOR,G158,MOT_MARCA,E158,MOT_DESDE,"&lt;="&amp;M158,MOT_HASTA,"&gt;="&amp;M158)+COUNTIFS(MOT_MOTOR,G158,MOT_MARCA,"(todas)",MOT_DESDE,"&lt;="&amp;M158,MOT_HASTA,"&gt;="&amp;M158)</f>
        <v/>
      </c>
      <c r="BK158" s="3">
        <f>IF(AND(K158="diesel",BJ158=0),MIN(BG158,NEUTRO),BG158)</f>
        <v/>
      </c>
      <c r="BL158" s="4">
        <f>MAX(0,MIN(100,BK158+BH158+BI158))</f>
        <v/>
      </c>
      <c r="BM158" s="3">
        <f>MAX(0,MIN(100,50+BE158*PRECIO_PEND))</f>
        <v/>
      </c>
      <c r="BN158" s="3">
        <f>MAX(0,100*(1-N158/KM_MAX))</f>
        <v/>
      </c>
      <c r="BO158" s="3">
        <f>IF(AV158&lt;KMA_SOSP,IF(AA158="sí",100,KMA_PEN),IF(AV158&lt;=KMA_IDEAL_MAX,100,MAX(0,100*(KMA_CERO-AV158)/(KMA_CERO-KMA_IDEAL_MAX))))</f>
        <v/>
      </c>
      <c r="BP158" s="3">
        <f>MAX(0,MIN(100,100*(M158-ANIO_MIN)/(ANIO_ACTUAL-ANIO_MIN)))</f>
        <v/>
      </c>
      <c r="BQ158" s="3">
        <f>W_KMT*BN158+W_KMA*BO158+W_EDAD*BP158</f>
        <v/>
      </c>
      <c r="BR158" s="3">
        <f>P_ITV*(V158="sí")+P_LIBRO*(W158="sí")+P_CORREA*(X158="sí")+P_PROP*(Y158=1)+P_GAR*(Z158="sí")+P_FOTOS*MIN(1,N(U158)/FOTOS_OBJ)</f>
        <v/>
      </c>
      <c r="BS158" s="3">
        <f>IFERROR(VLOOKUP(BF158,ETQ_TBL,2,0),NEUTRO)</f>
        <v/>
      </c>
      <c r="BT158" s="3">
        <f>NEUTRO</f>
        <v/>
      </c>
      <c r="BU158" s="3">
        <f>IFERROR(VLOOKUP(L158,SEGURO_TBL,3,0),"")</f>
        <v/>
      </c>
      <c r="BV158" s="3">
        <f>IF(BU158="",NEUTRO,MAX(0,MIN(100,100*(SEG_REF_MAX-BU158)/(SEG_REF_MAX-SEG_REF_MIN))))</f>
        <v/>
      </c>
      <c r="BW158" s="3">
        <f>W_ET*BS158+W_CONS*BT158+W_SEG*BV158</f>
        <v/>
      </c>
      <c r="BX158" s="3">
        <f>IF(N(AB158)&gt;0,AB158,IF(AND(R158="profesional",SG_LEGAL_ON=1),GAR_LEGAL,0))</f>
        <v/>
      </c>
      <c r="BY158" s="3">
        <f>SG_GAR*MIN(1,BX158/SG_GAR_FULL)+SG_AMPL*(AC158="sí")+SG_KMC*(AF158="sí")+SG_REV*(N(AE158)&gt;0)+SG_DEV*MIN(1,N(AG158)/SG_DEV_FULL)+SG_HIST*(W158="sí")</f>
        <v/>
      </c>
      <c r="BZ158" s="3">
        <f>IFERROR(VLOOKUP(L158,CARR_PEN_TBL,2,0),0)</f>
        <v/>
      </c>
      <c r="CA158" s="3">
        <f>W_FIAB*BL158+W_PRECIO*BM158+W_KMEDAD*BQ158+W_ANUNCIO*BR158+W_USO*BW158+W_SEGURIDAD*BY158-BZ158</f>
        <v/>
      </c>
      <c r="CB158" s="4">
        <f>IF(N(I158)&gt;0,I158,IFERROR(ROUND(_xlfn.NUMBERVALUE(LEFT(G158,FIND(" ",G158&amp;" ")-1),".")*1000,0),99999))</f>
        <v/>
      </c>
      <c r="CC158" s="3">
        <f>IF(R158="profesional",0,IF(O158&lt;CUOTA_VALOR_MAX,IF(AU158&gt;ITP_TRAMO_ALTO,SUMIFS(CF_CUOTA,CF_MAS,ITP_TRAMO_ALTO,CF_CCMIN,"&lt;="&amp;CB158,CF_CCMAX,"&gt;="&amp;CB158),IF(AU158&gt;ITP_TRAMO_BAJO,SUMIFS(CF_CUOTA,CF_MAS,ITP_TRAMO_BAJO,CF_CCMIN,"&lt;="&amp;CB158,CF_CCMAX,"&gt;="&amp;CB158),O158*ITP_TIPO)),O158*ITP_TIPO))</f>
        <v/>
      </c>
      <c r="CD158" s="4">
        <f>IF(R158="profesional",N(AK158),0)</f>
        <v/>
      </c>
      <c r="CE158" s="3">
        <f>IF(AND(R158="profesional",ISNUMBER(AK158),AL158="sí"),0,TASA_DGT)</f>
        <v/>
      </c>
      <c r="CF158" s="3">
        <f>INFORME_DGT</f>
        <v/>
      </c>
      <c r="CG158" s="4">
        <f>O158+CD158+CC158+CE158+CF158</f>
        <v/>
      </c>
      <c r="CH158" s="4">
        <f>CG158+N(BU158)</f>
        <v/>
      </c>
      <c r="CI158" s="3">
        <f>IF(CG158&lt;=TOTAL_MAX,"sí",IF(CG158&lt;=TOTAL_MAX+MARGEN_NEG,"negociar","no"))</f>
        <v/>
      </c>
      <c r="CJ158" s="4">
        <f>IF(CI158&lt;&gt;"no",COUNTIFS($CI$2:$CI$662,"&lt;&gt;no",$CA$2:$CA$662,"&gt;"&amp;CA158)+COUNTIFS($CI$2:CI158,"&lt;&gt;no",$CA$2:CA158,CA158),"")</f>
        <v/>
      </c>
    </row>
    <row r="159">
      <c r="A159" s="2" t="inlineStr">
        <is>
          <t>cochesnet:71855583</t>
        </is>
      </c>
      <c r="B159" s="2" t="inlineStr">
        <is>
          <t>cochesnet</t>
        </is>
      </c>
      <c r="C159" s="2" t="inlineStr">
        <is>
          <t>https://www.coches.net/peugeot-208-5p-active-10l-puretech-68-5p-gasolina-2014-en-valencia-71855583-covo.aspx</t>
        </is>
      </c>
      <c r="D159" s="2" t="inlineStr">
        <is>
          <t>PEUGEOT 208 ACTIVE 1.0L PureTech 68</t>
        </is>
      </c>
      <c r="E159" s="2" t="inlineStr">
        <is>
          <t>Peugeot</t>
        </is>
      </c>
      <c r="F159" s="2" t="inlineStr">
        <is>
          <t>Peugeot 208</t>
        </is>
      </c>
      <c r="G159" s="2" t="inlineStr">
        <is>
          <t>1.0 PureTech</t>
        </is>
      </c>
      <c r="H159" s="2" t="inlineStr">
        <is>
          <t>5P ACTIVE 1.0L PureTech 68</t>
        </is>
      </c>
      <c r="I159" s="2" t="n"/>
      <c r="J159" s="2" t="n"/>
      <c r="K159" s="2" t="inlineStr">
        <is>
          <t>gasolina</t>
        </is>
      </c>
      <c r="L159" s="2" t="inlineStr">
        <is>
          <t>utilitario</t>
        </is>
      </c>
      <c r="M159" s="2" t="n">
        <v>2014</v>
      </c>
      <c r="N159" s="2" t="n">
        <v>145000</v>
      </c>
      <c r="O159" s="2" t="n">
        <v>4500</v>
      </c>
      <c r="P159" s="2" t="inlineStr">
        <is>
          <t>manual</t>
        </is>
      </c>
      <c r="Q159" s="2" t="inlineStr">
        <is>
          <t>no</t>
        </is>
      </c>
      <c r="R159" s="2" t="inlineStr">
        <is>
          <t>particular</t>
        </is>
      </c>
      <c r="S159" s="2" t="n"/>
      <c r="T159" s="2" t="inlineStr">
        <is>
          <t>2026-10-28T15:04:13Z</t>
        </is>
      </c>
      <c r="U159" s="2" t="n">
        <v>1</v>
      </c>
      <c r="V159" s="2" t="inlineStr">
        <is>
          <t>sí</t>
        </is>
      </c>
      <c r="W159" s="2" t="n"/>
      <c r="X159" s="2" t="inlineStr">
        <is>
          <t>sí</t>
        </is>
      </c>
      <c r="Y159" s="2" t="n"/>
      <c r="Z159" s="2" t="inlineStr">
        <is>
          <t>no</t>
        </is>
      </c>
      <c r="AA159" s="2" t="n"/>
      <c r="AB159" s="2" t="n"/>
      <c r="AC159" s="2" t="n"/>
      <c r="AD159" s="2" t="n"/>
      <c r="AE159" s="2" t="n"/>
      <c r="AF159" s="2" t="n"/>
      <c r="AG159" s="2" t="n"/>
      <c r="AH159" s="2" t="n">
        <v>4500</v>
      </c>
      <c r="AI159" s="2" t="n"/>
      <c r="AJ159" s="2" t="n"/>
      <c r="AK159" s="2" t="n"/>
      <c r="AL159" s="2" t="n"/>
      <c r="AM159" s="2" t="n"/>
      <c r="AN159" s="2" t="n">
        <v>5990</v>
      </c>
      <c r="AO159" s="2" t="n">
        <v>17</v>
      </c>
      <c r="AP159" s="2" t="inlineStr">
        <is>
          <t>modelo+año+km</t>
        </is>
      </c>
      <c r="AQ159" s="2" t="n"/>
      <c r="AR159" s="2" t="inlineStr">
        <is>
          <t>cuota fija ITP: &gt;5 y &lt;=12 años, hasta 1.500 cc; distancia no verificable (el anuncio solo indica la provincia): confirmar que está a &lt;= 70 km</t>
        </is>
      </c>
      <c r="AS159" s="2" t="inlineStr">
        <is>
          <t>ITV pasada,cambiada la correa y kit de distribución con factura en taller de Peugeot.</t>
        </is>
      </c>
      <c r="AT159" s="2" t="inlineStr">
        <is>
          <t>https://www.coches.net/peugeot-208-5p-active-10l-puretech-68-5p-gasolina-2014-en-valencia-71855583-covo.aspx (window.__INITIAL_PROPS__.ad) /home/user/Alopecia/buscador-coches/raw/cochesnet/b565a01e8230e094.json</t>
        </is>
      </c>
      <c r="AU159" s="3">
        <f>MAX(ANIO_ACTUAL-M159,0)</f>
        <v/>
      </c>
      <c r="AV159" s="4">
        <f>N159/MAX(AU159,0.5)</f>
        <v/>
      </c>
      <c r="AW159" s="4">
        <f>F159</f>
        <v/>
      </c>
      <c r="AX159" s="3">
        <f>AW159&amp;"|"&amp;INT(M159/SEG_ANIO)*SEG_ANIO</f>
        <v/>
      </c>
      <c r="AY159" s="3">
        <f>AX159&amp;"|"&amp;INT(N159/SEG_KM)*SEG_KM</f>
        <v/>
      </c>
      <c r="AZ159" s="4">
        <f>COUNTIF($AW$2:$AW$662,AW159)</f>
        <v/>
      </c>
      <c r="BA159" s="4">
        <f>COUNTIF($AX$2:$AX$662,AX159)</f>
        <v/>
      </c>
      <c r="BB159" s="4">
        <f>COUNTIF($AY$2:$AY$662,AY159)</f>
        <v/>
      </c>
      <c r="BC159" s="3">
        <f t="array" ref="BC159">IF(N(AO159)&gt;=MIN_N,AN159,IF(BB159&gt;=MIN_N,MEDIAN(IF($AY$2:$AY$662=AY159,$O$2:$O$662)),IF(BA159&gt;=MIN_N,MEDIAN(IF($AX$2:$AX$662=AX159,$O$2:$O$662)),MEDIAN(IF($AW$2:$AW$662=AW159,$O$2:$O$662)))))</f>
        <v/>
      </c>
      <c r="BD159" s="3">
        <f>IF(N(AO159)&gt;=MIN_N,"mercado "&amp;AP159,IF(BB159&gt;=MIN_N,"modelo+año+km",IF(BA159&gt;=MIN_N,"modelo+año","modelo")))</f>
        <v/>
      </c>
      <c r="BE159" s="4">
        <f>(BC159-O159)/BC159</f>
        <v/>
      </c>
      <c r="BF159" s="3">
        <f>IF(OR(K159="hibrido",K159="glp"),"ECO",IF(K159="electrico","CERO",IF(K159="gasolina",IF(M159&gt;=GAS_C,"C",IF(M159&gt;=GAS_B,"B","A")),IF(K159="diesel",IF(M159&gt;=DIE_C,"C",IF(M159&gt;=DIE_B,"B","A")),""))))</f>
        <v/>
      </c>
      <c r="BG159" s="3">
        <f>IFERROR(VLOOKUP(F159,MOD_TBL,11,0),IFERROR(VLOOKUP(E159,OCU_TBL,2,0),NEUTRO))</f>
        <v/>
      </c>
      <c r="BH159" s="3">
        <f>SUMIFS(MOT_AJUSTE,MOT_MOTOR,G159,MOT_MARCA,E159,MOT_DESDE,"&lt;="&amp;M159,MOT_HASTA,"&gt;="&amp;M159)+SUMIFS(MOT_AJUSTE,MOT_MOTOR,G159,MOT_MARCA,"(todas)",MOT_DESDE,"&lt;="&amp;M159,MOT_HASTA,"&gt;="&amp;M159)</f>
        <v/>
      </c>
      <c r="BI159" s="3">
        <f>SUMIFS(COMB_AJUSTE,COMB_COMB,K159)</f>
        <v/>
      </c>
      <c r="BJ159" s="3">
        <f>COUNTIFS(MOT_MOTOR,G159,MOT_MARCA,E159,MOT_DESDE,"&lt;="&amp;M159,MOT_HASTA,"&gt;="&amp;M159)+COUNTIFS(MOT_MOTOR,G159,MOT_MARCA,"(todas)",MOT_DESDE,"&lt;="&amp;M159,MOT_HASTA,"&gt;="&amp;M159)</f>
        <v/>
      </c>
      <c r="BK159" s="3">
        <f>IF(AND(K159="diesel",BJ159=0),MIN(BG159,NEUTRO),BG159)</f>
        <v/>
      </c>
      <c r="BL159" s="4">
        <f>MAX(0,MIN(100,BK159+BH159+BI159))</f>
        <v/>
      </c>
      <c r="BM159" s="3">
        <f>MAX(0,MIN(100,50+BE159*PRECIO_PEND))</f>
        <v/>
      </c>
      <c r="BN159" s="3">
        <f>MAX(0,100*(1-N159/KM_MAX))</f>
        <v/>
      </c>
      <c r="BO159" s="3">
        <f>IF(AV159&lt;KMA_SOSP,IF(AA159="sí",100,KMA_PEN),IF(AV159&lt;=KMA_IDEAL_MAX,100,MAX(0,100*(KMA_CERO-AV159)/(KMA_CERO-KMA_IDEAL_MAX))))</f>
        <v/>
      </c>
      <c r="BP159" s="3">
        <f>MAX(0,MIN(100,100*(M159-ANIO_MIN)/(ANIO_ACTUAL-ANIO_MIN)))</f>
        <v/>
      </c>
      <c r="BQ159" s="3">
        <f>W_KMT*BN159+W_KMA*BO159+W_EDAD*BP159</f>
        <v/>
      </c>
      <c r="BR159" s="3">
        <f>P_ITV*(V159="sí")+P_LIBRO*(W159="sí")+P_CORREA*(X159="sí")+P_PROP*(Y159=1)+P_GAR*(Z159="sí")+P_FOTOS*MIN(1,N(U159)/FOTOS_OBJ)</f>
        <v/>
      </c>
      <c r="BS159" s="3">
        <f>IFERROR(VLOOKUP(BF159,ETQ_TBL,2,0),NEUTRO)</f>
        <v/>
      </c>
      <c r="BT159" s="3">
        <f>NEUTRO</f>
        <v/>
      </c>
      <c r="BU159" s="3">
        <f>IFERROR(VLOOKUP(L159,SEGURO_TBL,3,0),"")</f>
        <v/>
      </c>
      <c r="BV159" s="3">
        <f>IF(BU159="",NEUTRO,MAX(0,MIN(100,100*(SEG_REF_MAX-BU159)/(SEG_REF_MAX-SEG_REF_MIN))))</f>
        <v/>
      </c>
      <c r="BW159" s="3">
        <f>W_ET*BS159+W_CONS*BT159+W_SEG*BV159</f>
        <v/>
      </c>
      <c r="BX159" s="3">
        <f>IF(N(AB159)&gt;0,AB159,IF(AND(R159="profesional",SG_LEGAL_ON=1),GAR_LEGAL,0))</f>
        <v/>
      </c>
      <c r="BY159" s="3">
        <f>SG_GAR*MIN(1,BX159/SG_GAR_FULL)+SG_AMPL*(AC159="sí")+SG_KMC*(AF159="sí")+SG_REV*(N(AE159)&gt;0)+SG_DEV*MIN(1,N(AG159)/SG_DEV_FULL)+SG_HIST*(W159="sí")</f>
        <v/>
      </c>
      <c r="BZ159" s="3">
        <f>IFERROR(VLOOKUP(L159,CARR_PEN_TBL,2,0),0)</f>
        <v/>
      </c>
      <c r="CA159" s="3">
        <f>W_FIAB*BL159+W_PRECIO*BM159+W_KMEDAD*BQ159+W_ANUNCIO*BR159+W_USO*BW159+W_SEGURIDAD*BY159-BZ159</f>
        <v/>
      </c>
      <c r="CB159" s="4">
        <f>IF(N(I159)&gt;0,I159,IFERROR(ROUND(_xlfn.NUMBERVALUE(LEFT(G159,FIND(" ",G159&amp;" ")-1),".")*1000,0),99999))</f>
        <v/>
      </c>
      <c r="CC159" s="3">
        <f>IF(R159="profesional",0,IF(O159&lt;CUOTA_VALOR_MAX,IF(AU159&gt;ITP_TRAMO_ALTO,SUMIFS(CF_CUOTA,CF_MAS,ITP_TRAMO_ALTO,CF_CCMIN,"&lt;="&amp;CB159,CF_CCMAX,"&gt;="&amp;CB159),IF(AU159&gt;ITP_TRAMO_BAJO,SUMIFS(CF_CUOTA,CF_MAS,ITP_TRAMO_BAJO,CF_CCMIN,"&lt;="&amp;CB159,CF_CCMAX,"&gt;="&amp;CB159),O159*ITP_TIPO)),O159*ITP_TIPO))</f>
        <v/>
      </c>
      <c r="CD159" s="4">
        <f>IF(R159="profesional",N(AK159),0)</f>
        <v/>
      </c>
      <c r="CE159" s="3">
        <f>IF(AND(R159="profesional",ISNUMBER(AK159),AL159="sí"),0,TASA_DGT)</f>
        <v/>
      </c>
      <c r="CF159" s="3">
        <f>INFORME_DGT</f>
        <v/>
      </c>
      <c r="CG159" s="4">
        <f>O159+CD159+CC159+CE159+CF159</f>
        <v/>
      </c>
      <c r="CH159" s="4">
        <f>CG159+N(BU159)</f>
        <v/>
      </c>
      <c r="CI159" s="3">
        <f>IF(CG159&lt;=TOTAL_MAX,"sí",IF(CG159&lt;=TOTAL_MAX+MARGEN_NEG,"negociar","no"))</f>
        <v/>
      </c>
      <c r="CJ159" s="4">
        <f>IF(CI159&lt;&gt;"no",COUNTIFS($CI$2:$CI$662,"&lt;&gt;no",$CA$2:$CA$662,"&gt;"&amp;CA159)+COUNTIFS($CI$2:CI159,"&lt;&gt;no",$CA$2:CA159,CA159),"")</f>
        <v/>
      </c>
    </row>
    <row r="160">
      <c r="A160" s="2" t="inlineStr">
        <is>
          <t>cochesnet:71665574</t>
        </is>
      </c>
      <c r="B160" s="2" t="inlineStr">
        <is>
          <t>cochesnet</t>
        </is>
      </c>
      <c r="C160" s="2" t="inlineStr">
        <is>
          <t>https://www.coches.net/peugeot-208-5p-allure-12-vti-82-5p-gasolina-2014-en-valencia-71665574-covo.aspx</t>
        </is>
      </c>
      <c r="D160" s="2" t="inlineStr">
        <is>
          <t>PEUGEOT 208 ALLURE 1.2 VTi 82</t>
        </is>
      </c>
      <c r="E160" s="2" t="inlineStr">
        <is>
          <t>Peugeot</t>
        </is>
      </c>
      <c r="F160" s="2" t="inlineStr">
        <is>
          <t>Peugeot 208</t>
        </is>
      </c>
      <c r="G160" s="2" t="inlineStr">
        <is>
          <t>1.2 VTi</t>
        </is>
      </c>
      <c r="H160" s="2" t="inlineStr">
        <is>
          <t>5P ALLURE 1.2 VTi 82</t>
        </is>
      </c>
      <c r="I160" s="2" t="n"/>
      <c r="J160" s="2" t="n"/>
      <c r="K160" s="2" t="inlineStr">
        <is>
          <t>gasolina</t>
        </is>
      </c>
      <c r="L160" s="2" t="inlineStr">
        <is>
          <t>utilitario</t>
        </is>
      </c>
      <c r="M160" s="2" t="n">
        <v>2014</v>
      </c>
      <c r="N160" s="2" t="n">
        <v>167000</v>
      </c>
      <c r="O160" s="2" t="n">
        <v>4500</v>
      </c>
      <c r="P160" s="2" t="inlineStr">
        <is>
          <t>manual</t>
        </is>
      </c>
      <c r="Q160" s="2" t="inlineStr">
        <is>
          <t>no</t>
        </is>
      </c>
      <c r="R160" s="2" t="inlineStr">
        <is>
          <t>particular</t>
        </is>
      </c>
      <c r="S160" s="2" t="inlineStr">
        <is>
          <t>Mislata</t>
        </is>
      </c>
      <c r="T160" s="2" t="inlineStr">
        <is>
          <t>2026-10-03T17:07:26Z</t>
        </is>
      </c>
      <c r="U160" s="2" t="n">
        <v>9</v>
      </c>
      <c r="V160" s="2" t="inlineStr">
        <is>
          <t>sí</t>
        </is>
      </c>
      <c r="W160" s="2" t="n"/>
      <c r="X160" s="2" t="n"/>
      <c r="Y160" s="2" t="n">
        <v>1</v>
      </c>
      <c r="Z160" s="2" t="inlineStr">
        <is>
          <t>no</t>
        </is>
      </c>
      <c r="AA160" s="2" t="n"/>
      <c r="AB160" s="2" t="n"/>
      <c r="AC160" s="2" t="n"/>
      <c r="AD160" s="2" t="n"/>
      <c r="AE160" s="2" t="n"/>
      <c r="AF160" s="2" t="n"/>
      <c r="AG160" s="2" t="n"/>
      <c r="AH160" s="2" t="n">
        <v>4500</v>
      </c>
      <c r="AI160" s="2" t="n"/>
      <c r="AJ160" s="2" t="n"/>
      <c r="AK160" s="2" t="n"/>
      <c r="AL160" s="2" t="n"/>
      <c r="AM160" s="2" t="n">
        <v>3</v>
      </c>
      <c r="AN160" s="2" t="n">
        <v>4700</v>
      </c>
      <c r="AO160" s="2" t="n">
        <v>6</v>
      </c>
      <c r="AP160" s="2" t="inlineStr">
        <is>
          <t>modelo+año+km</t>
        </is>
      </c>
      <c r="AQ160" s="2" t="n"/>
      <c r="AR160" s="2" t="inlineStr">
        <is>
          <t>cuota fija ITP: &gt;5 y &lt;=12 años, hasta 1.500 cc</t>
        </is>
      </c>
      <c r="AS160" s="2" t="inlineStr">
        <is>
          <t>ITV pasada, único dueño, coche en perfecto estado con todas las revisiones al día.</t>
        </is>
      </c>
      <c r="AT160" s="2" t="inlineStr">
        <is>
          <t>https://www.coches.net/peugeot-208-5p-allure-12-vti-82-5p-gasolina-2014-en-valencia-71665574-covo.aspx (window.__INITIAL_PROPS__.ad) /home/user/Alopecia/buscador-coches/raw/cochesnet/663ac3e4bc2cb6b5.json</t>
        </is>
      </c>
      <c r="AU160" s="3">
        <f>MAX(ANIO_ACTUAL-M160,0)</f>
        <v/>
      </c>
      <c r="AV160" s="4">
        <f>N160/MAX(AU160,0.5)</f>
        <v/>
      </c>
      <c r="AW160" s="4">
        <f>F160</f>
        <v/>
      </c>
      <c r="AX160" s="3">
        <f>AW160&amp;"|"&amp;INT(M160/SEG_ANIO)*SEG_ANIO</f>
        <v/>
      </c>
      <c r="AY160" s="3">
        <f>AX160&amp;"|"&amp;INT(N160/SEG_KM)*SEG_KM</f>
        <v/>
      </c>
      <c r="AZ160" s="4">
        <f>COUNTIF($AW$2:$AW$662,AW160)</f>
        <v/>
      </c>
      <c r="BA160" s="4">
        <f>COUNTIF($AX$2:$AX$662,AX160)</f>
        <v/>
      </c>
      <c r="BB160" s="4">
        <f>COUNTIF($AY$2:$AY$662,AY160)</f>
        <v/>
      </c>
      <c r="BC160" s="3">
        <f t="array" ref="BC160">IF(N(AO160)&gt;=MIN_N,AN160,IF(BB160&gt;=MIN_N,MEDIAN(IF($AY$2:$AY$662=AY160,$O$2:$O$662)),IF(BA160&gt;=MIN_N,MEDIAN(IF($AX$2:$AX$662=AX160,$O$2:$O$662)),MEDIAN(IF($AW$2:$AW$662=AW160,$O$2:$O$662)))))</f>
        <v/>
      </c>
      <c r="BD160" s="3">
        <f>IF(N(AO160)&gt;=MIN_N,"mercado "&amp;AP160,IF(BB160&gt;=MIN_N,"modelo+año+km",IF(BA160&gt;=MIN_N,"modelo+año","modelo")))</f>
        <v/>
      </c>
      <c r="BE160" s="4">
        <f>(BC160-O160)/BC160</f>
        <v/>
      </c>
      <c r="BF160" s="3">
        <f>IF(OR(K160="hibrido",K160="glp"),"ECO",IF(K160="electrico","CERO",IF(K160="gasolina",IF(M160&gt;=GAS_C,"C",IF(M160&gt;=GAS_B,"B","A")),IF(K160="diesel",IF(M160&gt;=DIE_C,"C",IF(M160&gt;=DIE_B,"B","A")),""))))</f>
        <v/>
      </c>
      <c r="BG160" s="3">
        <f>IFERROR(VLOOKUP(F160,MOD_TBL,11,0),IFERROR(VLOOKUP(E160,OCU_TBL,2,0),NEUTRO))</f>
        <v/>
      </c>
      <c r="BH160" s="3">
        <f>SUMIFS(MOT_AJUSTE,MOT_MOTOR,G160,MOT_MARCA,E160,MOT_DESDE,"&lt;="&amp;M160,MOT_HASTA,"&gt;="&amp;M160)+SUMIFS(MOT_AJUSTE,MOT_MOTOR,G160,MOT_MARCA,"(todas)",MOT_DESDE,"&lt;="&amp;M160,MOT_HASTA,"&gt;="&amp;M160)</f>
        <v/>
      </c>
      <c r="BI160" s="3">
        <f>SUMIFS(COMB_AJUSTE,COMB_COMB,K160)</f>
        <v/>
      </c>
      <c r="BJ160" s="3">
        <f>COUNTIFS(MOT_MOTOR,G160,MOT_MARCA,E160,MOT_DESDE,"&lt;="&amp;M160,MOT_HASTA,"&gt;="&amp;M160)+COUNTIFS(MOT_MOTOR,G160,MOT_MARCA,"(todas)",MOT_DESDE,"&lt;="&amp;M160,MOT_HASTA,"&gt;="&amp;M160)</f>
        <v/>
      </c>
      <c r="BK160" s="3">
        <f>IF(AND(K160="diesel",BJ160=0),MIN(BG160,NEUTRO),BG160)</f>
        <v/>
      </c>
      <c r="BL160" s="4">
        <f>MAX(0,MIN(100,BK160+BH160+BI160))</f>
        <v/>
      </c>
      <c r="BM160" s="3">
        <f>MAX(0,MIN(100,50+BE160*PRECIO_PEND))</f>
        <v/>
      </c>
      <c r="BN160" s="3">
        <f>MAX(0,100*(1-N160/KM_MAX))</f>
        <v/>
      </c>
      <c r="BO160" s="3">
        <f>IF(AV160&lt;KMA_SOSP,IF(AA160="sí",100,KMA_PEN),IF(AV160&lt;=KMA_IDEAL_MAX,100,MAX(0,100*(KMA_CERO-AV160)/(KMA_CERO-KMA_IDEAL_MAX))))</f>
        <v/>
      </c>
      <c r="BP160" s="3">
        <f>MAX(0,MIN(100,100*(M160-ANIO_MIN)/(ANIO_ACTUAL-ANIO_MIN)))</f>
        <v/>
      </c>
      <c r="BQ160" s="3">
        <f>W_KMT*BN160+W_KMA*BO160+W_EDAD*BP160</f>
        <v/>
      </c>
      <c r="BR160" s="3">
        <f>P_ITV*(V160="sí")+P_LIBRO*(W160="sí")+P_CORREA*(X160="sí")+P_PROP*(Y160=1)+P_GAR*(Z160="sí")+P_FOTOS*MIN(1,N(U160)/FOTOS_OBJ)</f>
        <v/>
      </c>
      <c r="BS160" s="3">
        <f>IFERROR(VLOOKUP(BF160,ETQ_TBL,2,0),NEUTRO)</f>
        <v/>
      </c>
      <c r="BT160" s="3">
        <f>NEUTRO</f>
        <v/>
      </c>
      <c r="BU160" s="3">
        <f>IFERROR(VLOOKUP(L160,SEGURO_TBL,3,0),"")</f>
        <v/>
      </c>
      <c r="BV160" s="3">
        <f>IF(BU160="",NEUTRO,MAX(0,MIN(100,100*(SEG_REF_MAX-BU160)/(SEG_REF_MAX-SEG_REF_MIN))))</f>
        <v/>
      </c>
      <c r="BW160" s="3">
        <f>W_ET*BS160+W_CONS*BT160+W_SEG*BV160</f>
        <v/>
      </c>
      <c r="BX160" s="3">
        <f>IF(N(AB160)&gt;0,AB160,IF(AND(R160="profesional",SG_LEGAL_ON=1),GAR_LEGAL,0))</f>
        <v/>
      </c>
      <c r="BY160" s="3">
        <f>SG_GAR*MIN(1,BX160/SG_GAR_FULL)+SG_AMPL*(AC160="sí")+SG_KMC*(AF160="sí")+SG_REV*(N(AE160)&gt;0)+SG_DEV*MIN(1,N(AG160)/SG_DEV_FULL)+SG_HIST*(W160="sí")</f>
        <v/>
      </c>
      <c r="BZ160" s="3">
        <f>IFERROR(VLOOKUP(L160,CARR_PEN_TBL,2,0),0)</f>
        <v/>
      </c>
      <c r="CA160" s="3">
        <f>W_FIAB*BL160+W_PRECIO*BM160+W_KMEDAD*BQ160+W_ANUNCIO*BR160+W_USO*BW160+W_SEGURIDAD*BY160-BZ160</f>
        <v/>
      </c>
      <c r="CB160" s="4">
        <f>IF(N(I160)&gt;0,I160,IFERROR(ROUND(_xlfn.NUMBERVALUE(LEFT(G160,FIND(" ",G160&amp;" ")-1),".")*1000,0),99999))</f>
        <v/>
      </c>
      <c r="CC160" s="3">
        <f>IF(R160="profesional",0,IF(O160&lt;CUOTA_VALOR_MAX,IF(AU160&gt;ITP_TRAMO_ALTO,SUMIFS(CF_CUOTA,CF_MAS,ITP_TRAMO_ALTO,CF_CCMIN,"&lt;="&amp;CB160,CF_CCMAX,"&gt;="&amp;CB160),IF(AU160&gt;ITP_TRAMO_BAJO,SUMIFS(CF_CUOTA,CF_MAS,ITP_TRAMO_BAJO,CF_CCMIN,"&lt;="&amp;CB160,CF_CCMAX,"&gt;="&amp;CB160),O160*ITP_TIPO)),O160*ITP_TIPO))</f>
        <v/>
      </c>
      <c r="CD160" s="4">
        <f>IF(R160="profesional",N(AK160),0)</f>
        <v/>
      </c>
      <c r="CE160" s="3">
        <f>IF(AND(R160="profesional",ISNUMBER(AK160),AL160="sí"),0,TASA_DGT)</f>
        <v/>
      </c>
      <c r="CF160" s="3">
        <f>INFORME_DGT</f>
        <v/>
      </c>
      <c r="CG160" s="4">
        <f>O160+CD160+CC160+CE160+CF160</f>
        <v/>
      </c>
      <c r="CH160" s="4">
        <f>CG160+N(BU160)</f>
        <v/>
      </c>
      <c r="CI160" s="3">
        <f>IF(CG160&lt;=TOTAL_MAX,"sí",IF(CG160&lt;=TOTAL_MAX+MARGEN_NEG,"negociar","no"))</f>
        <v/>
      </c>
      <c r="CJ160" s="4">
        <f>IF(CI160&lt;&gt;"no",COUNTIFS($CI$2:$CI$662,"&lt;&gt;no",$CA$2:$CA$662,"&gt;"&amp;CA160)+COUNTIFS($CI$2:CI160,"&lt;&gt;no",$CA$2:CA160,CA160),"")</f>
        <v/>
      </c>
    </row>
    <row r="161">
      <c r="A161" s="2" t="inlineStr">
        <is>
          <t>cochesnet:71427032</t>
        </is>
      </c>
      <c r="B161" s="2" t="inlineStr">
        <is>
          <t>cochesnet</t>
        </is>
      </c>
      <c r="C161" s="2" t="inlineStr">
        <is>
          <t>https://www.coches.net/peugeot-208-gasolina-2012-en-valencia-71427032-covo.aspx</t>
        </is>
      </c>
      <c r="D161" s="2" t="inlineStr">
        <is>
          <t>PEUGEOT 208</t>
        </is>
      </c>
      <c r="E161" s="2" t="inlineStr">
        <is>
          <t>Peugeot</t>
        </is>
      </c>
      <c r="F161" s="2" t="inlineStr">
        <is>
          <t>Peugeot 208</t>
        </is>
      </c>
      <c r="G161" s="2" t="n"/>
      <c r="H161" s="2" t="n"/>
      <c r="I161" s="2" t="n"/>
      <c r="J161" s="2" t="n"/>
      <c r="K161" s="2" t="inlineStr">
        <is>
          <t>gasolina</t>
        </is>
      </c>
      <c r="L161" s="2" t="inlineStr">
        <is>
          <t>utilitario</t>
        </is>
      </c>
      <c r="M161" s="2" t="n">
        <v>2012</v>
      </c>
      <c r="N161" s="2" t="n">
        <v>215000</v>
      </c>
      <c r="O161" s="2" t="n">
        <v>4500</v>
      </c>
      <c r="P161" s="2" t="inlineStr">
        <is>
          <t>manual</t>
        </is>
      </c>
      <c r="Q161" s="2" t="inlineStr">
        <is>
          <t>no</t>
        </is>
      </c>
      <c r="R161" s="2" t="inlineStr">
        <is>
          <t>particular</t>
        </is>
      </c>
      <c r="S161" s="2" t="n"/>
      <c r="T161" s="2" t="inlineStr">
        <is>
          <t>2026-09-02T15:17:55Z</t>
        </is>
      </c>
      <c r="U161" s="2" t="n">
        <v>9</v>
      </c>
      <c r="V161" s="2" t="inlineStr">
        <is>
          <t>sí</t>
        </is>
      </c>
      <c r="W161" s="2" t="n"/>
      <c r="X161" s="2" t="n"/>
      <c r="Y161" s="2" t="n"/>
      <c r="Z161" s="2" t="inlineStr">
        <is>
          <t>no</t>
        </is>
      </c>
      <c r="AA161" s="2" t="n"/>
      <c r="AB161" s="2" t="n"/>
      <c r="AC161" s="2" t="n"/>
      <c r="AD161" s="2" t="n"/>
      <c r="AE161" s="2" t="n"/>
      <c r="AF161" s="2" t="n"/>
      <c r="AG161" s="2" t="n"/>
      <c r="AH161" s="2" t="n">
        <v>4500</v>
      </c>
      <c r="AI161" s="2" t="n"/>
      <c r="AJ161" s="2" t="n"/>
      <c r="AK161" s="2" t="n"/>
      <c r="AL161" s="2" t="n"/>
      <c r="AM161" s="2" t="n"/>
      <c r="AN161" s="2" t="n">
        <v>5490</v>
      </c>
      <c r="AO161" s="2" t="n">
        <v>9</v>
      </c>
      <c r="AP161" s="2" t="inlineStr">
        <is>
          <t>modelo+año</t>
        </is>
      </c>
      <c r="AQ161" s="2" t="n"/>
      <c r="AR161" s="2" t="inlineStr">
        <is>
          <t>cilindrada desconocida: se aplica el tramo de cuota fija más alto; cuota fija ITP: &gt;12 años, más de 2.000 cc; distancia no verificable (el anuncio solo indica la provincia): confirmar que está a &lt;= 70 km</t>
        </is>
      </c>
      <c r="AS161" s="2" t="inlineStr">
        <is>
          <t xml:space="preserve">Se vende peugeot 208 del año 2012 lo entrego con seguro hasta diciembre si quieren lo doy de regalo
Tiene la distribución recien hecha 
Cambio de aceite recien hecho
Filtros de aceites y de aire hecho 
Pastilla de frenos recien hechas
Itv hasta enero 2027 pasa la itv sin problemas
Aire acondicionado perfecto
Ruedas michelin las 4 estan casi nuevas con su rueda de repuesto
Un coche fiable ahorrador de gasolina y muy practico al manejar 
La pintura esta bien cuidada al igual que el interior estan en perfecto estado
</t>
        </is>
      </c>
      <c r="AT161" s="2" t="inlineStr">
        <is>
          <t>https://www.coches.net/peugeot-208-gasolina-2012-en-valencia-71427032-covo.aspx (window.__INITIAL_PROPS__.ad) /home/user/Alopecia/buscador-coches/raw/cochesnet/7422982074c41c19.json</t>
        </is>
      </c>
      <c r="AU161" s="3">
        <f>MAX(ANIO_ACTUAL-M161,0)</f>
        <v/>
      </c>
      <c r="AV161" s="4">
        <f>N161/MAX(AU161,0.5)</f>
        <v/>
      </c>
      <c r="AW161" s="4">
        <f>F161</f>
        <v/>
      </c>
      <c r="AX161" s="3">
        <f>AW161&amp;"|"&amp;INT(M161/SEG_ANIO)*SEG_ANIO</f>
        <v/>
      </c>
      <c r="AY161" s="3">
        <f>AX161&amp;"|"&amp;INT(N161/SEG_KM)*SEG_KM</f>
        <v/>
      </c>
      <c r="AZ161" s="4">
        <f>COUNTIF($AW$2:$AW$662,AW161)</f>
        <v/>
      </c>
      <c r="BA161" s="4">
        <f>COUNTIF($AX$2:$AX$662,AX161)</f>
        <v/>
      </c>
      <c r="BB161" s="4">
        <f>COUNTIF($AY$2:$AY$662,AY161)</f>
        <v/>
      </c>
      <c r="BC161" s="3">
        <f t="array" ref="BC161">IF(N(AO161)&gt;=MIN_N,AN161,IF(BB161&gt;=MIN_N,MEDIAN(IF($AY$2:$AY$662=AY161,$O$2:$O$662)),IF(BA161&gt;=MIN_N,MEDIAN(IF($AX$2:$AX$662=AX161,$O$2:$O$662)),MEDIAN(IF($AW$2:$AW$662=AW161,$O$2:$O$662)))))</f>
        <v/>
      </c>
      <c r="BD161" s="3">
        <f>IF(N(AO161)&gt;=MIN_N,"mercado "&amp;AP161,IF(BB161&gt;=MIN_N,"modelo+año+km",IF(BA161&gt;=MIN_N,"modelo+año","modelo")))</f>
        <v/>
      </c>
      <c r="BE161" s="4">
        <f>(BC161-O161)/BC161</f>
        <v/>
      </c>
      <c r="BF161" s="3">
        <f>IF(OR(K161="hibrido",K161="glp"),"ECO",IF(K161="electrico","CERO",IF(K161="gasolina",IF(M161&gt;=GAS_C,"C",IF(M161&gt;=GAS_B,"B","A")),IF(K161="diesel",IF(M161&gt;=DIE_C,"C",IF(M161&gt;=DIE_B,"B","A")),""))))</f>
        <v/>
      </c>
      <c r="BG161" s="3">
        <f>IFERROR(VLOOKUP(F161,MOD_TBL,11,0),IFERROR(VLOOKUP(E161,OCU_TBL,2,0),NEUTRO))</f>
        <v/>
      </c>
      <c r="BH161" s="3">
        <f>SUMIFS(MOT_AJUSTE,MOT_MOTOR,G161,MOT_MARCA,E161,MOT_DESDE,"&lt;="&amp;M161,MOT_HASTA,"&gt;="&amp;M161)+SUMIFS(MOT_AJUSTE,MOT_MOTOR,G161,MOT_MARCA,"(todas)",MOT_DESDE,"&lt;="&amp;M161,MOT_HASTA,"&gt;="&amp;M161)</f>
        <v/>
      </c>
      <c r="BI161" s="3">
        <f>SUMIFS(COMB_AJUSTE,COMB_COMB,K161)</f>
        <v/>
      </c>
      <c r="BJ161" s="3">
        <f>COUNTIFS(MOT_MOTOR,G161,MOT_MARCA,E161,MOT_DESDE,"&lt;="&amp;M161,MOT_HASTA,"&gt;="&amp;M161)+COUNTIFS(MOT_MOTOR,G161,MOT_MARCA,"(todas)",MOT_DESDE,"&lt;="&amp;M161,MOT_HASTA,"&gt;="&amp;M161)</f>
        <v/>
      </c>
      <c r="BK161" s="3">
        <f>IF(AND(K161="diesel",BJ161=0),MIN(BG161,NEUTRO),BG161)</f>
        <v/>
      </c>
      <c r="BL161" s="4">
        <f>MAX(0,MIN(100,BK161+BH161+BI161))</f>
        <v/>
      </c>
      <c r="BM161" s="3">
        <f>MAX(0,MIN(100,50+BE161*PRECIO_PEND))</f>
        <v/>
      </c>
      <c r="BN161" s="3">
        <f>MAX(0,100*(1-N161/KM_MAX))</f>
        <v/>
      </c>
      <c r="BO161" s="3">
        <f>IF(AV161&lt;KMA_SOSP,IF(AA161="sí",100,KMA_PEN),IF(AV161&lt;=KMA_IDEAL_MAX,100,MAX(0,100*(KMA_CERO-AV161)/(KMA_CERO-KMA_IDEAL_MAX))))</f>
        <v/>
      </c>
      <c r="BP161" s="3">
        <f>MAX(0,MIN(100,100*(M161-ANIO_MIN)/(ANIO_ACTUAL-ANIO_MIN)))</f>
        <v/>
      </c>
      <c r="BQ161" s="3">
        <f>W_KMT*BN161+W_KMA*BO161+W_EDAD*BP161</f>
        <v/>
      </c>
      <c r="BR161" s="3">
        <f>P_ITV*(V161="sí")+P_LIBRO*(W161="sí")+P_CORREA*(X161="sí")+P_PROP*(Y161=1)+P_GAR*(Z161="sí")+P_FOTOS*MIN(1,N(U161)/FOTOS_OBJ)</f>
        <v/>
      </c>
      <c r="BS161" s="3">
        <f>IFERROR(VLOOKUP(BF161,ETQ_TBL,2,0),NEUTRO)</f>
        <v/>
      </c>
      <c r="BT161" s="3">
        <f>NEUTRO</f>
        <v/>
      </c>
      <c r="BU161" s="3">
        <f>IFERROR(VLOOKUP(L161,SEGURO_TBL,3,0),"")</f>
        <v/>
      </c>
      <c r="BV161" s="3">
        <f>IF(BU161="",NEUTRO,MAX(0,MIN(100,100*(SEG_REF_MAX-BU161)/(SEG_REF_MAX-SEG_REF_MIN))))</f>
        <v/>
      </c>
      <c r="BW161" s="3">
        <f>W_ET*BS161+W_CONS*BT161+W_SEG*BV161</f>
        <v/>
      </c>
      <c r="BX161" s="3">
        <f>IF(N(AB161)&gt;0,AB161,IF(AND(R161="profesional",SG_LEGAL_ON=1),GAR_LEGAL,0))</f>
        <v/>
      </c>
      <c r="BY161" s="3">
        <f>SG_GAR*MIN(1,BX161/SG_GAR_FULL)+SG_AMPL*(AC161="sí")+SG_KMC*(AF161="sí")+SG_REV*(N(AE161)&gt;0)+SG_DEV*MIN(1,N(AG161)/SG_DEV_FULL)+SG_HIST*(W161="sí")</f>
        <v/>
      </c>
      <c r="BZ161" s="3">
        <f>IFERROR(VLOOKUP(L161,CARR_PEN_TBL,2,0),0)</f>
        <v/>
      </c>
      <c r="CA161" s="3">
        <f>W_FIAB*BL161+W_PRECIO*BM161+W_KMEDAD*BQ161+W_ANUNCIO*BR161+W_USO*BW161+W_SEGURIDAD*BY161-BZ161</f>
        <v/>
      </c>
      <c r="CB161" s="4">
        <f>IF(N(I161)&gt;0,I161,IFERROR(ROUND(_xlfn.NUMBERVALUE(LEFT(G161,FIND(" ",G161&amp;" ")-1),".")*1000,0),99999))</f>
        <v/>
      </c>
      <c r="CC161" s="3">
        <f>IF(R161="profesional",0,IF(O161&lt;CUOTA_VALOR_MAX,IF(AU161&gt;ITP_TRAMO_ALTO,SUMIFS(CF_CUOTA,CF_MAS,ITP_TRAMO_ALTO,CF_CCMIN,"&lt;="&amp;CB161,CF_CCMAX,"&gt;="&amp;CB161),IF(AU161&gt;ITP_TRAMO_BAJO,SUMIFS(CF_CUOTA,CF_MAS,ITP_TRAMO_BAJO,CF_CCMIN,"&lt;="&amp;CB161,CF_CCMAX,"&gt;="&amp;CB161),O161*ITP_TIPO)),O161*ITP_TIPO))</f>
        <v/>
      </c>
      <c r="CD161" s="4">
        <f>IF(R161="profesional",N(AK161),0)</f>
        <v/>
      </c>
      <c r="CE161" s="3">
        <f>IF(AND(R161="profesional",ISNUMBER(AK161),AL161="sí"),0,TASA_DGT)</f>
        <v/>
      </c>
      <c r="CF161" s="3">
        <f>INFORME_DGT</f>
        <v/>
      </c>
      <c r="CG161" s="4">
        <f>O161+CD161+CC161+CE161+CF161</f>
        <v/>
      </c>
      <c r="CH161" s="4">
        <f>CG161+N(BU161)</f>
        <v/>
      </c>
      <c r="CI161" s="3">
        <f>IF(CG161&lt;=TOTAL_MAX,"sí",IF(CG161&lt;=TOTAL_MAX+MARGEN_NEG,"negociar","no"))</f>
        <v/>
      </c>
      <c r="CJ161" s="4">
        <f>IF(CI161&lt;&gt;"no",COUNTIFS($CI$2:$CI$662,"&lt;&gt;no",$CA$2:$CA$662,"&gt;"&amp;CA161)+COUNTIFS($CI$2:CI161,"&lt;&gt;no",$CA$2:CA161,CA161),"")</f>
        <v/>
      </c>
    </row>
    <row r="162">
      <c r="A162" s="2" t="inlineStr">
        <is>
          <t>cochesnet:70243275</t>
        </is>
      </c>
      <c r="B162" s="2" t="inlineStr">
        <is>
          <t>cochesnet</t>
        </is>
      </c>
      <c r="C162" s="2" t="inlineStr">
        <is>
          <t>https://www.coches.net/peugeot-308-sport-16-hdi-90-3p-diesel-2007-en-valencia-70243275-covo.aspx</t>
        </is>
      </c>
      <c r="D162" s="2" t="inlineStr">
        <is>
          <t>PEUGEOT 308 Sport 1.6 HDI 90</t>
        </is>
      </c>
      <c r="E162" s="2" t="inlineStr">
        <is>
          <t>Peugeot</t>
        </is>
      </c>
      <c r="F162" s="2" t="inlineStr">
        <is>
          <t>Peugeot 308</t>
        </is>
      </c>
      <c r="G162" s="2" t="inlineStr">
        <is>
          <t>1.6 HDi</t>
        </is>
      </c>
      <c r="H162" s="2" t="inlineStr">
        <is>
          <t>Sport 1.6 HDI 90</t>
        </is>
      </c>
      <c r="I162" s="2" t="n"/>
      <c r="J162" s="2" t="n"/>
      <c r="K162" s="2" t="inlineStr">
        <is>
          <t>diesel</t>
        </is>
      </c>
      <c r="L162" s="2" t="inlineStr">
        <is>
          <t>compacto</t>
        </is>
      </c>
      <c r="M162" s="2" t="n">
        <v>2008</v>
      </c>
      <c r="N162" s="2" t="n">
        <v>160000</v>
      </c>
      <c r="O162" s="2" t="n">
        <v>3300</v>
      </c>
      <c r="P162" s="2" t="inlineStr">
        <is>
          <t>manual</t>
        </is>
      </c>
      <c r="Q162" s="2" t="inlineStr">
        <is>
          <t>no</t>
        </is>
      </c>
      <c r="R162" s="2" t="inlineStr">
        <is>
          <t>profesional</t>
        </is>
      </c>
      <c r="S162" s="2" t="inlineStr">
        <is>
          <t>Automoción Valencia Albal</t>
        </is>
      </c>
      <c r="T162" s="2" t="inlineStr">
        <is>
          <t>2026-09-15T11:22:06Z</t>
        </is>
      </c>
      <c r="U162" s="2" t="n">
        <v>9</v>
      </c>
      <c r="V162" s="2" t="n"/>
      <c r="W162" s="2" t="n"/>
      <c r="X162" s="2" t="n"/>
      <c r="Y162" s="2" t="n"/>
      <c r="Z162" s="2" t="inlineStr">
        <is>
          <t>no</t>
        </is>
      </c>
      <c r="AA162" s="2" t="n"/>
      <c r="AB162" s="2" t="n"/>
      <c r="AC162" s="2" t="n"/>
      <c r="AD162" s="2" t="n"/>
      <c r="AE162" s="2" t="n"/>
      <c r="AF162" s="2" t="n"/>
      <c r="AG162" s="2" t="n"/>
      <c r="AH162" s="2" t="n">
        <v>3300</v>
      </c>
      <c r="AI162" s="2" t="n">
        <v>3300</v>
      </c>
      <c r="AJ162" s="2" t="n"/>
      <c r="AK162" s="2" t="n"/>
      <c r="AL162" s="2" t="n"/>
      <c r="AM162" s="2" t="n">
        <v>8.699999999999999</v>
      </c>
      <c r="AN162" s="2" t="n">
        <v>4000</v>
      </c>
      <c r="AO162" s="2" t="n">
        <v>5</v>
      </c>
      <c r="AP162" s="2" t="inlineStr">
        <is>
          <t>modelo+año+km</t>
        </is>
      </c>
      <c r="AQ162" s="2" t="n"/>
      <c r="AR162" s="2" t="inlineStr">
        <is>
          <t>vendedor profesional: sin ITP (operación con IVA/REBU, confirmar en factura); gastos de gestión del vendedor no indicados: se suma la tasa DGT; preguntar el precio final</t>
        </is>
      </c>
      <c r="AS162" s="2" t="inlineStr">
        <is>
          <t>PEUGEOT 308 1.6HDI DIESEL DEL AÑO 21/12/2007 CON TODOS LOS EXTRAS: CLIMATIZADOR DIGITAL INDEPENDIENTE, TECHO PANORAMICO, ASIENTOS SPORT, VELOCIDAD DE CRUCERO, ESP,AIRBAGS,CD MP3, RETROVISORES ELECTRICOS,ETC...BIEN EQUIPADO Y A TODA PRUEBA, INCLUYE 1 AÑO DE GARANTIA,REVISION DE ACEITE Y FILTRO,ITV RECEIN PASADA.</t>
        </is>
      </c>
      <c r="AT162" s="2" t="inlineStr">
        <is>
          <t>https://www.coches.net/peugeot-308-sport-16-hdi-90-3p-diesel-2007-en-valencia-70243275-covo.aspx (window.__INITIAL_PROPS__.ad) /home/user/Alopecia/buscador-coches/raw/cochesnet/ef4ae0e9f984b685.json</t>
        </is>
      </c>
      <c r="AU162" s="3">
        <f>MAX(ANIO_ACTUAL-M162,0)</f>
        <v/>
      </c>
      <c r="AV162" s="4">
        <f>N162/MAX(AU162,0.5)</f>
        <v/>
      </c>
      <c r="AW162" s="4">
        <f>F162</f>
        <v/>
      </c>
      <c r="AX162" s="3">
        <f>AW162&amp;"|"&amp;INT(M162/SEG_ANIO)*SEG_ANIO</f>
        <v/>
      </c>
      <c r="AY162" s="3">
        <f>AX162&amp;"|"&amp;INT(N162/SEG_KM)*SEG_KM</f>
        <v/>
      </c>
      <c r="AZ162" s="4">
        <f>COUNTIF($AW$2:$AW$662,AW162)</f>
        <v/>
      </c>
      <c r="BA162" s="4">
        <f>COUNTIF($AX$2:$AX$662,AX162)</f>
        <v/>
      </c>
      <c r="BB162" s="4">
        <f>COUNTIF($AY$2:$AY$662,AY162)</f>
        <v/>
      </c>
      <c r="BC162" s="3">
        <f t="array" ref="BC162">IF(N(AO162)&gt;=MIN_N,AN162,IF(BB162&gt;=MIN_N,MEDIAN(IF($AY$2:$AY$662=AY162,$O$2:$O$662)),IF(BA162&gt;=MIN_N,MEDIAN(IF($AX$2:$AX$662=AX162,$O$2:$O$662)),MEDIAN(IF($AW$2:$AW$662=AW162,$O$2:$O$662)))))</f>
        <v/>
      </c>
      <c r="BD162" s="3">
        <f>IF(N(AO162)&gt;=MIN_N,"mercado "&amp;AP162,IF(BB162&gt;=MIN_N,"modelo+año+km",IF(BA162&gt;=MIN_N,"modelo+año","modelo")))</f>
        <v/>
      </c>
      <c r="BE162" s="4">
        <f>(BC162-O162)/BC162</f>
        <v/>
      </c>
      <c r="BF162" s="3">
        <f>IF(OR(K162="hibrido",K162="glp"),"ECO",IF(K162="electrico","CERO",IF(K162="gasolina",IF(M162&gt;=GAS_C,"C",IF(M162&gt;=GAS_B,"B","A")),IF(K162="diesel",IF(M162&gt;=DIE_C,"C",IF(M162&gt;=DIE_B,"B","A")),""))))</f>
        <v/>
      </c>
      <c r="BG162" s="3">
        <f>IFERROR(VLOOKUP(F162,MOD_TBL,11,0),IFERROR(VLOOKUP(E162,OCU_TBL,2,0),NEUTRO))</f>
        <v/>
      </c>
      <c r="BH162" s="3">
        <f>SUMIFS(MOT_AJUSTE,MOT_MOTOR,G162,MOT_MARCA,E162,MOT_DESDE,"&lt;="&amp;M162,MOT_HASTA,"&gt;="&amp;M162)+SUMIFS(MOT_AJUSTE,MOT_MOTOR,G162,MOT_MARCA,"(todas)",MOT_DESDE,"&lt;="&amp;M162,MOT_HASTA,"&gt;="&amp;M162)</f>
        <v/>
      </c>
      <c r="BI162" s="3">
        <f>SUMIFS(COMB_AJUSTE,COMB_COMB,K162)</f>
        <v/>
      </c>
      <c r="BJ162" s="3">
        <f>COUNTIFS(MOT_MOTOR,G162,MOT_MARCA,E162,MOT_DESDE,"&lt;="&amp;M162,MOT_HASTA,"&gt;="&amp;M162)+COUNTIFS(MOT_MOTOR,G162,MOT_MARCA,"(todas)",MOT_DESDE,"&lt;="&amp;M162,MOT_HASTA,"&gt;="&amp;M162)</f>
        <v/>
      </c>
      <c r="BK162" s="3">
        <f>IF(AND(K162="diesel",BJ162=0),MIN(BG162,NEUTRO),BG162)</f>
        <v/>
      </c>
      <c r="BL162" s="4">
        <f>MAX(0,MIN(100,BK162+BH162+BI162))</f>
        <v/>
      </c>
      <c r="BM162" s="3">
        <f>MAX(0,MIN(100,50+BE162*PRECIO_PEND))</f>
        <v/>
      </c>
      <c r="BN162" s="3">
        <f>MAX(0,100*(1-N162/KM_MAX))</f>
        <v/>
      </c>
      <c r="BO162" s="3">
        <f>IF(AV162&lt;KMA_SOSP,IF(AA162="sí",100,KMA_PEN),IF(AV162&lt;=KMA_IDEAL_MAX,100,MAX(0,100*(KMA_CERO-AV162)/(KMA_CERO-KMA_IDEAL_MAX))))</f>
        <v/>
      </c>
      <c r="BP162" s="3">
        <f>MAX(0,MIN(100,100*(M162-ANIO_MIN)/(ANIO_ACTUAL-ANIO_MIN)))</f>
        <v/>
      </c>
      <c r="BQ162" s="3">
        <f>W_KMT*BN162+W_KMA*BO162+W_EDAD*BP162</f>
        <v/>
      </c>
      <c r="BR162" s="3">
        <f>P_ITV*(V162="sí")+P_LIBRO*(W162="sí")+P_CORREA*(X162="sí")+P_PROP*(Y162=1)+P_GAR*(Z162="sí")+P_FOTOS*MIN(1,N(U162)/FOTOS_OBJ)</f>
        <v/>
      </c>
      <c r="BS162" s="3">
        <f>IFERROR(VLOOKUP(BF162,ETQ_TBL,2,0),NEUTRO)</f>
        <v/>
      </c>
      <c r="BT162" s="3">
        <f>NEUTRO</f>
        <v/>
      </c>
      <c r="BU162" s="3">
        <f>IFERROR(VLOOKUP(L162,SEGURO_TBL,3,0),"")</f>
        <v/>
      </c>
      <c r="BV162" s="3">
        <f>IF(BU162="",NEUTRO,MAX(0,MIN(100,100*(SEG_REF_MAX-BU162)/(SEG_REF_MAX-SEG_REF_MIN))))</f>
        <v/>
      </c>
      <c r="BW162" s="3">
        <f>W_ET*BS162+W_CONS*BT162+W_SEG*BV162</f>
        <v/>
      </c>
      <c r="BX162" s="3">
        <f>IF(N(AB162)&gt;0,AB162,IF(AND(R162="profesional",SG_LEGAL_ON=1),GAR_LEGAL,0))</f>
        <v/>
      </c>
      <c r="BY162" s="3">
        <f>SG_GAR*MIN(1,BX162/SG_GAR_FULL)+SG_AMPL*(AC162="sí")+SG_KMC*(AF162="sí")+SG_REV*(N(AE162)&gt;0)+SG_DEV*MIN(1,N(AG162)/SG_DEV_FULL)+SG_HIST*(W162="sí")</f>
        <v/>
      </c>
      <c r="BZ162" s="3">
        <f>IFERROR(VLOOKUP(L162,CARR_PEN_TBL,2,0),0)</f>
        <v/>
      </c>
      <c r="CA162" s="3">
        <f>W_FIAB*BL162+W_PRECIO*BM162+W_KMEDAD*BQ162+W_ANUNCIO*BR162+W_USO*BW162+W_SEGURIDAD*BY162-BZ162</f>
        <v/>
      </c>
      <c r="CB162" s="4">
        <f>IF(N(I162)&gt;0,I162,IFERROR(ROUND(_xlfn.NUMBERVALUE(LEFT(G162,FIND(" ",G162&amp;" ")-1),".")*1000,0),99999))</f>
        <v/>
      </c>
      <c r="CC162" s="3">
        <f>IF(R162="profesional",0,IF(O162&lt;CUOTA_VALOR_MAX,IF(AU162&gt;ITP_TRAMO_ALTO,SUMIFS(CF_CUOTA,CF_MAS,ITP_TRAMO_ALTO,CF_CCMIN,"&lt;="&amp;CB162,CF_CCMAX,"&gt;="&amp;CB162),IF(AU162&gt;ITP_TRAMO_BAJO,SUMIFS(CF_CUOTA,CF_MAS,ITP_TRAMO_BAJO,CF_CCMIN,"&lt;="&amp;CB162,CF_CCMAX,"&gt;="&amp;CB162),O162*ITP_TIPO)),O162*ITP_TIPO))</f>
        <v/>
      </c>
      <c r="CD162" s="4">
        <f>IF(R162="profesional",N(AK162),0)</f>
        <v/>
      </c>
      <c r="CE162" s="3">
        <f>IF(AND(R162="profesional",ISNUMBER(AK162),AL162="sí"),0,TASA_DGT)</f>
        <v/>
      </c>
      <c r="CF162" s="3">
        <f>INFORME_DGT</f>
        <v/>
      </c>
      <c r="CG162" s="4">
        <f>O162+CD162+CC162+CE162+CF162</f>
        <v/>
      </c>
      <c r="CH162" s="4">
        <f>CG162+N(BU162)</f>
        <v/>
      </c>
      <c r="CI162" s="3">
        <f>IF(CG162&lt;=TOTAL_MAX,"sí",IF(CG162&lt;=TOTAL_MAX+MARGEN_NEG,"negociar","no"))</f>
        <v/>
      </c>
      <c r="CJ162" s="4">
        <f>IF(CI162&lt;&gt;"no",COUNTIFS($CI$2:$CI$662,"&lt;&gt;no",$CA$2:$CA$662,"&gt;"&amp;CA162)+COUNTIFS($CI$2:CI162,"&lt;&gt;no",$CA$2:CA162,CA162),"")</f>
        <v/>
      </c>
    </row>
    <row r="163">
      <c r="A163" s="2" t="inlineStr">
        <is>
          <t>cochesnet:71721031</t>
        </is>
      </c>
      <c r="B163" s="2" t="inlineStr">
        <is>
          <t>cochesnet</t>
        </is>
      </c>
      <c r="C163" s="2" t="inlineStr">
        <is>
          <t>https://www.coches.net/peugeot-308-premium-16-vti-120-5p-gasolina-2008-en-valencia-71721031-covo.aspx</t>
        </is>
      </c>
      <c r="D163" s="2" t="inlineStr">
        <is>
          <t>PEUGEOT 308 Premium 1.6 VTi 120</t>
        </is>
      </c>
      <c r="E163" s="2" t="inlineStr">
        <is>
          <t>Peugeot</t>
        </is>
      </c>
      <c r="F163" s="2" t="inlineStr">
        <is>
          <t>Peugeot 308</t>
        </is>
      </c>
      <c r="G163" s="2" t="inlineStr">
        <is>
          <t>1.6 VTi</t>
        </is>
      </c>
      <c r="H163" s="2" t="inlineStr">
        <is>
          <t>Premium 1.6 VTi 120</t>
        </is>
      </c>
      <c r="I163" s="2" t="n"/>
      <c r="J163" s="2" t="n"/>
      <c r="K163" s="2" t="inlineStr">
        <is>
          <t>gasolina</t>
        </is>
      </c>
      <c r="L163" s="2" t="inlineStr">
        <is>
          <t>compacto</t>
        </is>
      </c>
      <c r="M163" s="2" t="n">
        <v>2008</v>
      </c>
      <c r="N163" s="2" t="n">
        <v>190000</v>
      </c>
      <c r="O163" s="2" t="n">
        <v>4000</v>
      </c>
      <c r="P163" s="2" t="inlineStr">
        <is>
          <t>manual</t>
        </is>
      </c>
      <c r="Q163" s="2" t="inlineStr">
        <is>
          <t>no</t>
        </is>
      </c>
      <c r="R163" s="2" t="inlineStr">
        <is>
          <t>particular</t>
        </is>
      </c>
      <c r="S163" s="2" t="inlineStr">
        <is>
          <t>Moncada</t>
        </is>
      </c>
      <c r="T163" s="2" t="inlineStr">
        <is>
          <t>2026-10-11T01:07:33Z</t>
        </is>
      </c>
      <c r="U163" s="2" t="n">
        <v>17</v>
      </c>
      <c r="V163" s="2" t="inlineStr">
        <is>
          <t>sí</t>
        </is>
      </c>
      <c r="W163" s="2" t="n"/>
      <c r="X163" s="2" t="n"/>
      <c r="Y163" s="2" t="n">
        <v>2</v>
      </c>
      <c r="Z163" s="2" t="inlineStr">
        <is>
          <t>no</t>
        </is>
      </c>
      <c r="AA163" s="2" t="n"/>
      <c r="AB163" s="2" t="n"/>
      <c r="AC163" s="2" t="n"/>
      <c r="AD163" s="2" t="n"/>
      <c r="AE163" s="2" t="n"/>
      <c r="AF163" s="2" t="n"/>
      <c r="AG163" s="2" t="n"/>
      <c r="AH163" s="2" t="n">
        <v>4000</v>
      </c>
      <c r="AI163" s="2" t="n"/>
      <c r="AJ163" s="2" t="n"/>
      <c r="AK163" s="2" t="n"/>
      <c r="AL163" s="2" t="n"/>
      <c r="AM163" s="2" t="n">
        <v>8.699999999999999</v>
      </c>
      <c r="AN163" s="2" t="n">
        <v>4000</v>
      </c>
      <c r="AO163" s="2" t="n">
        <v>5</v>
      </c>
      <c r="AP163" s="2" t="inlineStr">
        <is>
          <t>modelo+año+km</t>
        </is>
      </c>
      <c r="AQ163" s="2" t="n"/>
      <c r="AR163" s="2" t="inlineStr">
        <is>
          <t>cuota fija ITP: &gt;12 años, 1.501-2.000 cc</t>
        </is>
      </c>
      <c r="AS163" s="2" t="inlineStr">
        <is>
          <t>Se vende Peugeot 308 Premium 1.6 Vti del año 2008 con 190.000 km.
Interior muy cuidado y exterior solo con algunos roces del uso cotidiano.
ITV recién pasada y mantenimientos al día.
Solamente 2 propietarios.
Equipamiento:
Climatizador automático bizona.
Control y limitador de velocidad (Control de crucero).
Sensor de luces y sensor de lluvia automáticos.
Volante multifunción.
Radio CD/MP3 con mandos en el volante y entrada auxiliar.
Elevalunas eléctricos en las 4 puertas y retrovisores eléctricos.
Asientos ISOFIX.
Techo solar.</t>
        </is>
      </c>
      <c r="AT163" s="2" t="inlineStr">
        <is>
          <t>https://www.coches.net/peugeot-308-premium-16-vti-120-5p-gasolina-2008-en-valencia-71721031-covo.aspx (window.__INITIAL_PROPS__.ad) /home/user/Alopecia/buscador-coches/raw/cochesnet/bdd6eb5cdb8f6a3b.json</t>
        </is>
      </c>
      <c r="AU163" s="3">
        <f>MAX(ANIO_ACTUAL-M163,0)</f>
        <v/>
      </c>
      <c r="AV163" s="4">
        <f>N163/MAX(AU163,0.5)</f>
        <v/>
      </c>
      <c r="AW163" s="4">
        <f>F163</f>
        <v/>
      </c>
      <c r="AX163" s="3">
        <f>AW163&amp;"|"&amp;INT(M163/SEG_ANIO)*SEG_ANIO</f>
        <v/>
      </c>
      <c r="AY163" s="3">
        <f>AX163&amp;"|"&amp;INT(N163/SEG_KM)*SEG_KM</f>
        <v/>
      </c>
      <c r="AZ163" s="4">
        <f>COUNTIF($AW$2:$AW$662,AW163)</f>
        <v/>
      </c>
      <c r="BA163" s="4">
        <f>COUNTIF($AX$2:$AX$662,AX163)</f>
        <v/>
      </c>
      <c r="BB163" s="4">
        <f>COUNTIF($AY$2:$AY$662,AY163)</f>
        <v/>
      </c>
      <c r="BC163" s="3">
        <f t="array" ref="BC163">IF(N(AO163)&gt;=MIN_N,AN163,IF(BB163&gt;=MIN_N,MEDIAN(IF($AY$2:$AY$662=AY163,$O$2:$O$662)),IF(BA163&gt;=MIN_N,MEDIAN(IF($AX$2:$AX$662=AX163,$O$2:$O$662)),MEDIAN(IF($AW$2:$AW$662=AW163,$O$2:$O$662)))))</f>
        <v/>
      </c>
      <c r="BD163" s="3">
        <f>IF(N(AO163)&gt;=MIN_N,"mercado "&amp;AP163,IF(BB163&gt;=MIN_N,"modelo+año+km",IF(BA163&gt;=MIN_N,"modelo+año","modelo")))</f>
        <v/>
      </c>
      <c r="BE163" s="4">
        <f>(BC163-O163)/BC163</f>
        <v/>
      </c>
      <c r="BF163" s="3">
        <f>IF(OR(K163="hibrido",K163="glp"),"ECO",IF(K163="electrico","CERO",IF(K163="gasolina",IF(M163&gt;=GAS_C,"C",IF(M163&gt;=GAS_B,"B","A")),IF(K163="diesel",IF(M163&gt;=DIE_C,"C",IF(M163&gt;=DIE_B,"B","A")),""))))</f>
        <v/>
      </c>
      <c r="BG163" s="3">
        <f>IFERROR(VLOOKUP(F163,MOD_TBL,11,0),IFERROR(VLOOKUP(E163,OCU_TBL,2,0),NEUTRO))</f>
        <v/>
      </c>
      <c r="BH163" s="3">
        <f>SUMIFS(MOT_AJUSTE,MOT_MOTOR,G163,MOT_MARCA,E163,MOT_DESDE,"&lt;="&amp;M163,MOT_HASTA,"&gt;="&amp;M163)+SUMIFS(MOT_AJUSTE,MOT_MOTOR,G163,MOT_MARCA,"(todas)",MOT_DESDE,"&lt;="&amp;M163,MOT_HASTA,"&gt;="&amp;M163)</f>
        <v/>
      </c>
      <c r="BI163" s="3">
        <f>SUMIFS(COMB_AJUSTE,COMB_COMB,K163)</f>
        <v/>
      </c>
      <c r="BJ163" s="3">
        <f>COUNTIFS(MOT_MOTOR,G163,MOT_MARCA,E163,MOT_DESDE,"&lt;="&amp;M163,MOT_HASTA,"&gt;="&amp;M163)+COUNTIFS(MOT_MOTOR,G163,MOT_MARCA,"(todas)",MOT_DESDE,"&lt;="&amp;M163,MOT_HASTA,"&gt;="&amp;M163)</f>
        <v/>
      </c>
      <c r="BK163" s="3">
        <f>IF(AND(K163="diesel",BJ163=0),MIN(BG163,NEUTRO),BG163)</f>
        <v/>
      </c>
      <c r="BL163" s="4">
        <f>MAX(0,MIN(100,BK163+BH163+BI163))</f>
        <v/>
      </c>
      <c r="BM163" s="3">
        <f>MAX(0,MIN(100,50+BE163*PRECIO_PEND))</f>
        <v/>
      </c>
      <c r="BN163" s="3">
        <f>MAX(0,100*(1-N163/KM_MAX))</f>
        <v/>
      </c>
      <c r="BO163" s="3">
        <f>IF(AV163&lt;KMA_SOSP,IF(AA163="sí",100,KMA_PEN),IF(AV163&lt;=KMA_IDEAL_MAX,100,MAX(0,100*(KMA_CERO-AV163)/(KMA_CERO-KMA_IDEAL_MAX))))</f>
        <v/>
      </c>
      <c r="BP163" s="3">
        <f>MAX(0,MIN(100,100*(M163-ANIO_MIN)/(ANIO_ACTUAL-ANIO_MIN)))</f>
        <v/>
      </c>
      <c r="BQ163" s="3">
        <f>W_KMT*BN163+W_KMA*BO163+W_EDAD*BP163</f>
        <v/>
      </c>
      <c r="BR163" s="3">
        <f>P_ITV*(V163="sí")+P_LIBRO*(W163="sí")+P_CORREA*(X163="sí")+P_PROP*(Y163=1)+P_GAR*(Z163="sí")+P_FOTOS*MIN(1,N(U163)/FOTOS_OBJ)</f>
        <v/>
      </c>
      <c r="BS163" s="3">
        <f>IFERROR(VLOOKUP(BF163,ETQ_TBL,2,0),NEUTRO)</f>
        <v/>
      </c>
      <c r="BT163" s="3">
        <f>NEUTRO</f>
        <v/>
      </c>
      <c r="BU163" s="3">
        <f>IFERROR(VLOOKUP(L163,SEGURO_TBL,3,0),"")</f>
        <v/>
      </c>
      <c r="BV163" s="3">
        <f>IF(BU163="",NEUTRO,MAX(0,MIN(100,100*(SEG_REF_MAX-BU163)/(SEG_REF_MAX-SEG_REF_MIN))))</f>
        <v/>
      </c>
      <c r="BW163" s="3">
        <f>W_ET*BS163+W_CONS*BT163+W_SEG*BV163</f>
        <v/>
      </c>
      <c r="BX163" s="3">
        <f>IF(N(AB163)&gt;0,AB163,IF(AND(R163="profesional",SG_LEGAL_ON=1),GAR_LEGAL,0))</f>
        <v/>
      </c>
      <c r="BY163" s="3">
        <f>SG_GAR*MIN(1,BX163/SG_GAR_FULL)+SG_AMPL*(AC163="sí")+SG_KMC*(AF163="sí")+SG_REV*(N(AE163)&gt;0)+SG_DEV*MIN(1,N(AG163)/SG_DEV_FULL)+SG_HIST*(W163="sí")</f>
        <v/>
      </c>
      <c r="BZ163" s="3">
        <f>IFERROR(VLOOKUP(L163,CARR_PEN_TBL,2,0),0)</f>
        <v/>
      </c>
      <c r="CA163" s="3">
        <f>W_FIAB*BL163+W_PRECIO*BM163+W_KMEDAD*BQ163+W_ANUNCIO*BR163+W_USO*BW163+W_SEGURIDAD*BY163-BZ163</f>
        <v/>
      </c>
      <c r="CB163" s="4">
        <f>IF(N(I163)&gt;0,I163,IFERROR(ROUND(_xlfn.NUMBERVALUE(LEFT(G163,FIND(" ",G163&amp;" ")-1),".")*1000,0),99999))</f>
        <v/>
      </c>
      <c r="CC163" s="3">
        <f>IF(R163="profesional",0,IF(O163&lt;CUOTA_VALOR_MAX,IF(AU163&gt;ITP_TRAMO_ALTO,SUMIFS(CF_CUOTA,CF_MAS,ITP_TRAMO_ALTO,CF_CCMIN,"&lt;="&amp;CB163,CF_CCMAX,"&gt;="&amp;CB163),IF(AU163&gt;ITP_TRAMO_BAJO,SUMIFS(CF_CUOTA,CF_MAS,ITP_TRAMO_BAJO,CF_CCMIN,"&lt;="&amp;CB163,CF_CCMAX,"&gt;="&amp;CB163),O163*ITP_TIPO)),O163*ITP_TIPO))</f>
        <v/>
      </c>
      <c r="CD163" s="4">
        <f>IF(R163="profesional",N(AK163),0)</f>
        <v/>
      </c>
      <c r="CE163" s="3">
        <f>IF(AND(R163="profesional",ISNUMBER(AK163),AL163="sí"),0,TASA_DGT)</f>
        <v/>
      </c>
      <c r="CF163" s="3">
        <f>INFORME_DGT</f>
        <v/>
      </c>
      <c r="CG163" s="4">
        <f>O163+CD163+CC163+CE163+CF163</f>
        <v/>
      </c>
      <c r="CH163" s="4">
        <f>CG163+N(BU163)</f>
        <v/>
      </c>
      <c r="CI163" s="3">
        <f>IF(CG163&lt;=TOTAL_MAX,"sí",IF(CG163&lt;=TOTAL_MAX+MARGEN_NEG,"negociar","no"))</f>
        <v/>
      </c>
      <c r="CJ163" s="4">
        <f>IF(CI163&lt;&gt;"no",COUNTIFS($CI$2:$CI$662,"&lt;&gt;no",$CA$2:$CA$662,"&gt;"&amp;CA163)+COUNTIFS($CI$2:CI163,"&lt;&gt;no",$CA$2:CA163,CA163),"")</f>
        <v/>
      </c>
    </row>
    <row r="164">
      <c r="A164" s="2" t="inlineStr">
        <is>
          <t>cochesnet:71702102</t>
        </is>
      </c>
      <c r="B164" s="2" t="inlineStr">
        <is>
          <t>cochesnet</t>
        </is>
      </c>
      <c r="C164" s="2" t="inlineStr">
        <is>
          <t>https://www.coches.net/peugeot-308-sport-16-vti-120-5p-gasolina-2009-en-valencia-71702102-covo.aspx</t>
        </is>
      </c>
      <c r="D164" s="2" t="inlineStr">
        <is>
          <t>PEUGEOT 308 Sport 1.6 VTi 120</t>
        </is>
      </c>
      <c r="E164" s="2" t="inlineStr">
        <is>
          <t>Peugeot</t>
        </is>
      </c>
      <c r="F164" s="2" t="inlineStr">
        <is>
          <t>Peugeot 308</t>
        </is>
      </c>
      <c r="G164" s="2" t="inlineStr">
        <is>
          <t>1.6 VTi</t>
        </is>
      </c>
      <c r="H164" s="2" t="inlineStr">
        <is>
          <t>Sport 1.6 VTi 120</t>
        </is>
      </c>
      <c r="I164" s="2" t="n"/>
      <c r="J164" s="2" t="n"/>
      <c r="K164" s="2" t="inlineStr">
        <is>
          <t>gasolina</t>
        </is>
      </c>
      <c r="L164" s="2" t="inlineStr">
        <is>
          <t>compacto</t>
        </is>
      </c>
      <c r="M164" s="2" t="n">
        <v>2009</v>
      </c>
      <c r="N164" s="2" t="n">
        <v>200000</v>
      </c>
      <c r="O164" s="2" t="n">
        <v>3000</v>
      </c>
      <c r="P164" s="2" t="inlineStr">
        <is>
          <t>manual</t>
        </is>
      </c>
      <c r="Q164" s="2" t="inlineStr">
        <is>
          <t>no</t>
        </is>
      </c>
      <c r="R164" s="2" t="inlineStr">
        <is>
          <t>particular</t>
        </is>
      </c>
      <c r="S164" s="2" t="inlineStr">
        <is>
          <t>Gandia</t>
        </is>
      </c>
      <c r="T164" s="2" t="inlineStr">
        <is>
          <t>2026-10-08T12:26:18Z</t>
        </is>
      </c>
      <c r="U164" s="2" t="n">
        <v>8</v>
      </c>
      <c r="V164" s="2" t="inlineStr">
        <is>
          <t>sí</t>
        </is>
      </c>
      <c r="W164" s="2" t="n"/>
      <c r="X164" s="2" t="n"/>
      <c r="Y164" s="2" t="n"/>
      <c r="Z164" s="2" t="inlineStr">
        <is>
          <t>no</t>
        </is>
      </c>
      <c r="AA164" s="2" t="n"/>
      <c r="AB164" s="2" t="n"/>
      <c r="AC164" s="2" t="n"/>
      <c r="AD164" s="2" t="n"/>
      <c r="AE164" s="2" t="n"/>
      <c r="AF164" s="2" t="n"/>
      <c r="AG164" s="2" t="n"/>
      <c r="AH164" s="2" t="n">
        <v>3000</v>
      </c>
      <c r="AI164" s="2" t="n"/>
      <c r="AJ164" s="2" t="n"/>
      <c r="AK164" s="2" t="n"/>
      <c r="AL164" s="2" t="n"/>
      <c r="AM164" s="2" t="n">
        <v>58.4</v>
      </c>
      <c r="AN164" s="2" t="n">
        <v>3100</v>
      </c>
      <c r="AO164" s="2" t="n">
        <v>9</v>
      </c>
      <c r="AP164" s="2" t="inlineStr">
        <is>
          <t>modelo+año+km</t>
        </is>
      </c>
      <c r="AQ164" s="2" t="n"/>
      <c r="AR164" s="2" t="inlineStr">
        <is>
          <t>cuota fija ITP: &gt;12 años, 1.501-2.000 cc</t>
        </is>
      </c>
      <c r="AS164" s="2" t="inlineStr">
        <is>
          <t xml:space="preserve">ITV HASTA FEBRERO 2027, con todas las revisiones al día.
Motivo de viaje. </t>
        </is>
      </c>
      <c r="AT164" s="2" t="inlineStr">
        <is>
          <t>https://www.coches.net/peugeot-308-sport-16-vti-120-5p-gasolina-2009-en-valencia-71702102-covo.aspx (window.__INITIAL_PROPS__.ad) /home/user/Alopecia/buscador-coches/raw/cochesnet/dbed3fe3c0bd593d.json</t>
        </is>
      </c>
      <c r="AU164" s="3">
        <f>MAX(ANIO_ACTUAL-M164,0)</f>
        <v/>
      </c>
      <c r="AV164" s="4">
        <f>N164/MAX(AU164,0.5)</f>
        <v/>
      </c>
      <c r="AW164" s="4">
        <f>F164</f>
        <v/>
      </c>
      <c r="AX164" s="3">
        <f>AW164&amp;"|"&amp;INT(M164/SEG_ANIO)*SEG_ANIO</f>
        <v/>
      </c>
      <c r="AY164" s="3">
        <f>AX164&amp;"|"&amp;INT(N164/SEG_KM)*SEG_KM</f>
        <v/>
      </c>
      <c r="AZ164" s="4">
        <f>COUNTIF($AW$2:$AW$662,AW164)</f>
        <v/>
      </c>
      <c r="BA164" s="4">
        <f>COUNTIF($AX$2:$AX$662,AX164)</f>
        <v/>
      </c>
      <c r="BB164" s="4">
        <f>COUNTIF($AY$2:$AY$662,AY164)</f>
        <v/>
      </c>
      <c r="BC164" s="3">
        <f t="array" ref="BC164">IF(N(AO164)&gt;=MIN_N,AN164,IF(BB164&gt;=MIN_N,MEDIAN(IF($AY$2:$AY$662=AY164,$O$2:$O$662)),IF(BA164&gt;=MIN_N,MEDIAN(IF($AX$2:$AX$662=AX164,$O$2:$O$662)),MEDIAN(IF($AW$2:$AW$662=AW164,$O$2:$O$662)))))</f>
        <v/>
      </c>
      <c r="BD164" s="3">
        <f>IF(N(AO164)&gt;=MIN_N,"mercado "&amp;AP164,IF(BB164&gt;=MIN_N,"modelo+año+km",IF(BA164&gt;=MIN_N,"modelo+año","modelo")))</f>
        <v/>
      </c>
      <c r="BE164" s="4">
        <f>(BC164-O164)/BC164</f>
        <v/>
      </c>
      <c r="BF164" s="3">
        <f>IF(OR(K164="hibrido",K164="glp"),"ECO",IF(K164="electrico","CERO",IF(K164="gasolina",IF(M164&gt;=GAS_C,"C",IF(M164&gt;=GAS_B,"B","A")),IF(K164="diesel",IF(M164&gt;=DIE_C,"C",IF(M164&gt;=DIE_B,"B","A")),""))))</f>
        <v/>
      </c>
      <c r="BG164" s="3">
        <f>IFERROR(VLOOKUP(F164,MOD_TBL,11,0),IFERROR(VLOOKUP(E164,OCU_TBL,2,0),NEUTRO))</f>
        <v/>
      </c>
      <c r="BH164" s="3">
        <f>SUMIFS(MOT_AJUSTE,MOT_MOTOR,G164,MOT_MARCA,E164,MOT_DESDE,"&lt;="&amp;M164,MOT_HASTA,"&gt;="&amp;M164)+SUMIFS(MOT_AJUSTE,MOT_MOTOR,G164,MOT_MARCA,"(todas)",MOT_DESDE,"&lt;="&amp;M164,MOT_HASTA,"&gt;="&amp;M164)</f>
        <v/>
      </c>
      <c r="BI164" s="3">
        <f>SUMIFS(COMB_AJUSTE,COMB_COMB,K164)</f>
        <v/>
      </c>
      <c r="BJ164" s="3">
        <f>COUNTIFS(MOT_MOTOR,G164,MOT_MARCA,E164,MOT_DESDE,"&lt;="&amp;M164,MOT_HASTA,"&gt;="&amp;M164)+COUNTIFS(MOT_MOTOR,G164,MOT_MARCA,"(todas)",MOT_DESDE,"&lt;="&amp;M164,MOT_HASTA,"&gt;="&amp;M164)</f>
        <v/>
      </c>
      <c r="BK164" s="3">
        <f>IF(AND(K164="diesel",BJ164=0),MIN(BG164,NEUTRO),BG164)</f>
        <v/>
      </c>
      <c r="BL164" s="4">
        <f>MAX(0,MIN(100,BK164+BH164+BI164))</f>
        <v/>
      </c>
      <c r="BM164" s="3">
        <f>MAX(0,MIN(100,50+BE164*PRECIO_PEND))</f>
        <v/>
      </c>
      <c r="BN164" s="3">
        <f>MAX(0,100*(1-N164/KM_MAX))</f>
        <v/>
      </c>
      <c r="BO164" s="3">
        <f>IF(AV164&lt;KMA_SOSP,IF(AA164="sí",100,KMA_PEN),IF(AV164&lt;=KMA_IDEAL_MAX,100,MAX(0,100*(KMA_CERO-AV164)/(KMA_CERO-KMA_IDEAL_MAX))))</f>
        <v/>
      </c>
      <c r="BP164" s="3">
        <f>MAX(0,MIN(100,100*(M164-ANIO_MIN)/(ANIO_ACTUAL-ANIO_MIN)))</f>
        <v/>
      </c>
      <c r="BQ164" s="3">
        <f>W_KMT*BN164+W_KMA*BO164+W_EDAD*BP164</f>
        <v/>
      </c>
      <c r="BR164" s="3">
        <f>P_ITV*(V164="sí")+P_LIBRO*(W164="sí")+P_CORREA*(X164="sí")+P_PROP*(Y164=1)+P_GAR*(Z164="sí")+P_FOTOS*MIN(1,N(U164)/FOTOS_OBJ)</f>
        <v/>
      </c>
      <c r="BS164" s="3">
        <f>IFERROR(VLOOKUP(BF164,ETQ_TBL,2,0),NEUTRO)</f>
        <v/>
      </c>
      <c r="BT164" s="3">
        <f>NEUTRO</f>
        <v/>
      </c>
      <c r="BU164" s="3">
        <f>IFERROR(VLOOKUP(L164,SEGURO_TBL,3,0),"")</f>
        <v/>
      </c>
      <c r="BV164" s="3">
        <f>IF(BU164="",NEUTRO,MAX(0,MIN(100,100*(SEG_REF_MAX-BU164)/(SEG_REF_MAX-SEG_REF_MIN))))</f>
        <v/>
      </c>
      <c r="BW164" s="3">
        <f>W_ET*BS164+W_CONS*BT164+W_SEG*BV164</f>
        <v/>
      </c>
      <c r="BX164" s="3">
        <f>IF(N(AB164)&gt;0,AB164,IF(AND(R164="profesional",SG_LEGAL_ON=1),GAR_LEGAL,0))</f>
        <v/>
      </c>
      <c r="BY164" s="3">
        <f>SG_GAR*MIN(1,BX164/SG_GAR_FULL)+SG_AMPL*(AC164="sí")+SG_KMC*(AF164="sí")+SG_REV*(N(AE164)&gt;0)+SG_DEV*MIN(1,N(AG164)/SG_DEV_FULL)+SG_HIST*(W164="sí")</f>
        <v/>
      </c>
      <c r="BZ164" s="3">
        <f>IFERROR(VLOOKUP(L164,CARR_PEN_TBL,2,0),0)</f>
        <v/>
      </c>
      <c r="CA164" s="3">
        <f>W_FIAB*BL164+W_PRECIO*BM164+W_KMEDAD*BQ164+W_ANUNCIO*BR164+W_USO*BW164+W_SEGURIDAD*BY164-BZ164</f>
        <v/>
      </c>
      <c r="CB164" s="4">
        <f>IF(N(I164)&gt;0,I164,IFERROR(ROUND(_xlfn.NUMBERVALUE(LEFT(G164,FIND(" ",G164&amp;" ")-1),".")*1000,0),99999))</f>
        <v/>
      </c>
      <c r="CC164" s="3">
        <f>IF(R164="profesional",0,IF(O164&lt;CUOTA_VALOR_MAX,IF(AU164&gt;ITP_TRAMO_ALTO,SUMIFS(CF_CUOTA,CF_MAS,ITP_TRAMO_ALTO,CF_CCMIN,"&lt;="&amp;CB164,CF_CCMAX,"&gt;="&amp;CB164),IF(AU164&gt;ITP_TRAMO_BAJO,SUMIFS(CF_CUOTA,CF_MAS,ITP_TRAMO_BAJO,CF_CCMIN,"&lt;="&amp;CB164,CF_CCMAX,"&gt;="&amp;CB164),O164*ITP_TIPO)),O164*ITP_TIPO))</f>
        <v/>
      </c>
      <c r="CD164" s="4">
        <f>IF(R164="profesional",N(AK164),0)</f>
        <v/>
      </c>
      <c r="CE164" s="3">
        <f>IF(AND(R164="profesional",ISNUMBER(AK164),AL164="sí"),0,TASA_DGT)</f>
        <v/>
      </c>
      <c r="CF164" s="3">
        <f>INFORME_DGT</f>
        <v/>
      </c>
      <c r="CG164" s="4">
        <f>O164+CD164+CC164+CE164+CF164</f>
        <v/>
      </c>
      <c r="CH164" s="4">
        <f>CG164+N(BU164)</f>
        <v/>
      </c>
      <c r="CI164" s="3">
        <f>IF(CG164&lt;=TOTAL_MAX,"sí",IF(CG164&lt;=TOTAL_MAX+MARGEN_NEG,"negociar","no"))</f>
        <v/>
      </c>
      <c r="CJ164" s="4">
        <f>IF(CI164&lt;&gt;"no",COUNTIFS($CI$2:$CI$662,"&lt;&gt;no",$CA$2:$CA$662,"&gt;"&amp;CA164)+COUNTIFS($CI$2:CI164,"&lt;&gt;no",$CA$2:CA164,CA164),"")</f>
        <v/>
      </c>
    </row>
    <row r="165">
      <c r="A165" s="2" t="inlineStr">
        <is>
          <t>cochesnet:70479283</t>
        </is>
      </c>
      <c r="B165" s="2" t="inlineStr">
        <is>
          <t>cochesnet</t>
        </is>
      </c>
      <c r="C165" s="2" t="inlineStr">
        <is>
          <t>https://www.coches.net/peugeot-308-premium-16-hdi-110-fap-5p-diesel-2008-en-valencia-70479283-covo.aspx</t>
        </is>
      </c>
      <c r="D165" s="2" t="inlineStr">
        <is>
          <t>PEUGEOT 308 Premium 1.6 HDI 110 FAP</t>
        </is>
      </c>
      <c r="E165" s="2" t="inlineStr">
        <is>
          <t>Peugeot</t>
        </is>
      </c>
      <c r="F165" s="2" t="inlineStr">
        <is>
          <t>Peugeot 308</t>
        </is>
      </c>
      <c r="G165" s="2" t="inlineStr">
        <is>
          <t>1.6 HDi</t>
        </is>
      </c>
      <c r="H165" s="2" t="inlineStr">
        <is>
          <t>Premium 1.6 HDI 110 FAP</t>
        </is>
      </c>
      <c r="I165" s="2" t="n"/>
      <c r="J165" s="2" t="n"/>
      <c r="K165" s="2" t="inlineStr">
        <is>
          <t>diesel</t>
        </is>
      </c>
      <c r="L165" s="2" t="inlineStr">
        <is>
          <t>compacto</t>
        </is>
      </c>
      <c r="M165" s="2" t="n">
        <v>2008</v>
      </c>
      <c r="N165" s="2" t="n">
        <v>128620</v>
      </c>
      <c r="O165" s="2" t="n">
        <v>4000</v>
      </c>
      <c r="P165" s="2" t="inlineStr">
        <is>
          <t>manual</t>
        </is>
      </c>
      <c r="Q165" s="2" t="inlineStr">
        <is>
          <t>no</t>
        </is>
      </c>
      <c r="R165" s="2" t="inlineStr">
        <is>
          <t>particular</t>
        </is>
      </c>
      <c r="S165" s="2" t="inlineStr">
        <is>
          <t>Valencia</t>
        </is>
      </c>
      <c r="T165" s="2" t="inlineStr">
        <is>
          <t>2026-08-14T10:26:19Z</t>
        </is>
      </c>
      <c r="U165" s="2" t="n">
        <v>9</v>
      </c>
      <c r="V165" s="2" t="n"/>
      <c r="W165" s="2" t="n"/>
      <c r="X165" s="2" t="n"/>
      <c r="Y165" s="2" t="n"/>
      <c r="Z165" s="2" t="inlineStr">
        <is>
          <t>no</t>
        </is>
      </c>
      <c r="AA165" s="2" t="n"/>
      <c r="AB165" s="2" t="n"/>
      <c r="AC165" s="2" t="n"/>
      <c r="AD165" s="2" t="n"/>
      <c r="AE165" s="2" t="n"/>
      <c r="AF165" s="2" t="n"/>
      <c r="AG165" s="2" t="n"/>
      <c r="AH165" s="2" t="n">
        <v>4000</v>
      </c>
      <c r="AI165" s="2" t="n"/>
      <c r="AJ165" s="2" t="n"/>
      <c r="AK165" s="2" t="n"/>
      <c r="AL165" s="2" t="n"/>
      <c r="AM165" s="2" t="n">
        <v>0.1</v>
      </c>
      <c r="AN165" s="2" t="n">
        <v>4300</v>
      </c>
      <c r="AO165" s="2" t="n">
        <v>9</v>
      </c>
      <c r="AP165" s="2" t="inlineStr">
        <is>
          <t>modelo+año+km</t>
        </is>
      </c>
      <c r="AQ165" s="2" t="n"/>
      <c r="AR165" s="2" t="inlineStr">
        <is>
          <t>cuota fija ITP: &gt;12 años, 1.501-2.000 cc</t>
        </is>
      </c>
      <c r="AS165" s="2" t="inlineStr">
        <is>
          <t>Perfecto para quienes buscan fiabilidad, eficiencia y buen rendimiento a un precio justo. Te presento mi Peugeot 308 Confort, un berlina versátil que combina lo mejor de la tecnología diesel con la practicidad de un cinco puertas pensado para el día a día. Revisión al día y juego 4 neumáticos nuevos estrenar . Aprovecha la oportunidad .No negociable abstenerse curiosos
Este 308 cuenta con un motor 1.6 HDi de 110 CV que ofrece una potencia equilibrada y un consumo eficiente, ideal si buscas ahorrar en combustible sin renunciar al rendimiento. La tracción manual te proporciona una conducción directa y controlada, perfecta tanto para ciudad como para carretera.
El estado general del vehículo es bueno, con un exterior bien conservado y un interior en condiciones de uso habitual. Se trata de un coche que ha sido utilizado de forma normal, manteniendo su funcionalidad y aspecto de manera adecuada.
Con cinco plazas y una carrocería versátil, es el compañero ideal para familias o quienes necesitan espacio sin sacrificar maniobrabilidad. Su motor diesel y su equipamiento de serie lo hacen especialmente atractivo para quienes valoran la relación entre consumo y prestaciones.
Si tienes dudas sobre aspectos específicos del vehículo o deseas conocer más detalles, no dudes en contactarme. Estoy disponible tanto por teléfono como por chat para resolver cualquier pregunta que tengas.
No lo dejes escapar. Contacta hoy mismo y comprueba por qué este 308 es una oportunidad que no debes pe</t>
        </is>
      </c>
      <c r="AT165" s="2" t="inlineStr">
        <is>
          <t>https://www.coches.net/peugeot-308-premium-16-hdi-110-fap-5p-diesel-2008-en-valencia-70479283-covo.aspx (window.__INITIAL_PROPS__.ad) /home/user/Alopecia/buscador-coches/raw/cochesnet/bbf26067021b8fb7.json</t>
        </is>
      </c>
      <c r="AU165" s="3">
        <f>MAX(ANIO_ACTUAL-M165,0)</f>
        <v/>
      </c>
      <c r="AV165" s="4">
        <f>N165/MAX(AU165,0.5)</f>
        <v/>
      </c>
      <c r="AW165" s="4">
        <f>F165</f>
        <v/>
      </c>
      <c r="AX165" s="3">
        <f>AW165&amp;"|"&amp;INT(M165/SEG_ANIO)*SEG_ANIO</f>
        <v/>
      </c>
      <c r="AY165" s="3">
        <f>AX165&amp;"|"&amp;INT(N165/SEG_KM)*SEG_KM</f>
        <v/>
      </c>
      <c r="AZ165" s="4">
        <f>COUNTIF($AW$2:$AW$662,AW165)</f>
        <v/>
      </c>
      <c r="BA165" s="4">
        <f>COUNTIF($AX$2:$AX$662,AX165)</f>
        <v/>
      </c>
      <c r="BB165" s="4">
        <f>COUNTIF($AY$2:$AY$662,AY165)</f>
        <v/>
      </c>
      <c r="BC165" s="3">
        <f t="array" ref="BC165">IF(N(AO165)&gt;=MIN_N,AN165,IF(BB165&gt;=MIN_N,MEDIAN(IF($AY$2:$AY$662=AY165,$O$2:$O$662)),IF(BA165&gt;=MIN_N,MEDIAN(IF($AX$2:$AX$662=AX165,$O$2:$O$662)),MEDIAN(IF($AW$2:$AW$662=AW165,$O$2:$O$662)))))</f>
        <v/>
      </c>
      <c r="BD165" s="3">
        <f>IF(N(AO165)&gt;=MIN_N,"mercado "&amp;AP165,IF(BB165&gt;=MIN_N,"modelo+año+km",IF(BA165&gt;=MIN_N,"modelo+año","modelo")))</f>
        <v/>
      </c>
      <c r="BE165" s="4">
        <f>(BC165-O165)/BC165</f>
        <v/>
      </c>
      <c r="BF165" s="3">
        <f>IF(OR(K165="hibrido",K165="glp"),"ECO",IF(K165="electrico","CERO",IF(K165="gasolina",IF(M165&gt;=GAS_C,"C",IF(M165&gt;=GAS_B,"B","A")),IF(K165="diesel",IF(M165&gt;=DIE_C,"C",IF(M165&gt;=DIE_B,"B","A")),""))))</f>
        <v/>
      </c>
      <c r="BG165" s="3">
        <f>IFERROR(VLOOKUP(F165,MOD_TBL,11,0),IFERROR(VLOOKUP(E165,OCU_TBL,2,0),NEUTRO))</f>
        <v/>
      </c>
      <c r="BH165" s="3">
        <f>SUMIFS(MOT_AJUSTE,MOT_MOTOR,G165,MOT_MARCA,E165,MOT_DESDE,"&lt;="&amp;M165,MOT_HASTA,"&gt;="&amp;M165)+SUMIFS(MOT_AJUSTE,MOT_MOTOR,G165,MOT_MARCA,"(todas)",MOT_DESDE,"&lt;="&amp;M165,MOT_HASTA,"&gt;="&amp;M165)</f>
        <v/>
      </c>
      <c r="BI165" s="3">
        <f>SUMIFS(COMB_AJUSTE,COMB_COMB,K165)</f>
        <v/>
      </c>
      <c r="BJ165" s="3">
        <f>COUNTIFS(MOT_MOTOR,G165,MOT_MARCA,E165,MOT_DESDE,"&lt;="&amp;M165,MOT_HASTA,"&gt;="&amp;M165)+COUNTIFS(MOT_MOTOR,G165,MOT_MARCA,"(todas)",MOT_DESDE,"&lt;="&amp;M165,MOT_HASTA,"&gt;="&amp;M165)</f>
        <v/>
      </c>
      <c r="BK165" s="3">
        <f>IF(AND(K165="diesel",BJ165=0),MIN(BG165,NEUTRO),BG165)</f>
        <v/>
      </c>
      <c r="BL165" s="4">
        <f>MAX(0,MIN(100,BK165+BH165+BI165))</f>
        <v/>
      </c>
      <c r="BM165" s="3">
        <f>MAX(0,MIN(100,50+BE165*PRECIO_PEND))</f>
        <v/>
      </c>
      <c r="BN165" s="3">
        <f>MAX(0,100*(1-N165/KM_MAX))</f>
        <v/>
      </c>
      <c r="BO165" s="3">
        <f>IF(AV165&lt;KMA_SOSP,IF(AA165="sí",100,KMA_PEN),IF(AV165&lt;=KMA_IDEAL_MAX,100,MAX(0,100*(KMA_CERO-AV165)/(KMA_CERO-KMA_IDEAL_MAX))))</f>
        <v/>
      </c>
      <c r="BP165" s="3">
        <f>MAX(0,MIN(100,100*(M165-ANIO_MIN)/(ANIO_ACTUAL-ANIO_MIN)))</f>
        <v/>
      </c>
      <c r="BQ165" s="3">
        <f>W_KMT*BN165+W_KMA*BO165+W_EDAD*BP165</f>
        <v/>
      </c>
      <c r="BR165" s="3">
        <f>P_ITV*(V165="sí")+P_LIBRO*(W165="sí")+P_CORREA*(X165="sí")+P_PROP*(Y165=1)+P_GAR*(Z165="sí")+P_FOTOS*MIN(1,N(U165)/FOTOS_OBJ)</f>
        <v/>
      </c>
      <c r="BS165" s="3">
        <f>IFERROR(VLOOKUP(BF165,ETQ_TBL,2,0),NEUTRO)</f>
        <v/>
      </c>
      <c r="BT165" s="3">
        <f>NEUTRO</f>
        <v/>
      </c>
      <c r="BU165" s="3">
        <f>IFERROR(VLOOKUP(L165,SEGURO_TBL,3,0),"")</f>
        <v/>
      </c>
      <c r="BV165" s="3">
        <f>IF(BU165="",NEUTRO,MAX(0,MIN(100,100*(SEG_REF_MAX-BU165)/(SEG_REF_MAX-SEG_REF_MIN))))</f>
        <v/>
      </c>
      <c r="BW165" s="3">
        <f>W_ET*BS165+W_CONS*BT165+W_SEG*BV165</f>
        <v/>
      </c>
      <c r="BX165" s="3">
        <f>IF(N(AB165)&gt;0,AB165,IF(AND(R165="profesional",SG_LEGAL_ON=1),GAR_LEGAL,0))</f>
        <v/>
      </c>
      <c r="BY165" s="3">
        <f>SG_GAR*MIN(1,BX165/SG_GAR_FULL)+SG_AMPL*(AC165="sí")+SG_KMC*(AF165="sí")+SG_REV*(N(AE165)&gt;0)+SG_DEV*MIN(1,N(AG165)/SG_DEV_FULL)+SG_HIST*(W165="sí")</f>
        <v/>
      </c>
      <c r="BZ165" s="3">
        <f>IFERROR(VLOOKUP(L165,CARR_PEN_TBL,2,0),0)</f>
        <v/>
      </c>
      <c r="CA165" s="3">
        <f>W_FIAB*BL165+W_PRECIO*BM165+W_KMEDAD*BQ165+W_ANUNCIO*BR165+W_USO*BW165+W_SEGURIDAD*BY165-BZ165</f>
        <v/>
      </c>
      <c r="CB165" s="4">
        <f>IF(N(I165)&gt;0,I165,IFERROR(ROUND(_xlfn.NUMBERVALUE(LEFT(G165,FIND(" ",G165&amp;" ")-1),".")*1000,0),99999))</f>
        <v/>
      </c>
      <c r="CC165" s="3">
        <f>IF(R165="profesional",0,IF(O165&lt;CUOTA_VALOR_MAX,IF(AU165&gt;ITP_TRAMO_ALTO,SUMIFS(CF_CUOTA,CF_MAS,ITP_TRAMO_ALTO,CF_CCMIN,"&lt;="&amp;CB165,CF_CCMAX,"&gt;="&amp;CB165),IF(AU165&gt;ITP_TRAMO_BAJO,SUMIFS(CF_CUOTA,CF_MAS,ITP_TRAMO_BAJO,CF_CCMIN,"&lt;="&amp;CB165,CF_CCMAX,"&gt;="&amp;CB165),O165*ITP_TIPO)),O165*ITP_TIPO))</f>
        <v/>
      </c>
      <c r="CD165" s="4">
        <f>IF(R165="profesional",N(AK165),0)</f>
        <v/>
      </c>
      <c r="CE165" s="3">
        <f>IF(AND(R165="profesional",ISNUMBER(AK165),AL165="sí"),0,TASA_DGT)</f>
        <v/>
      </c>
      <c r="CF165" s="3">
        <f>INFORME_DGT</f>
        <v/>
      </c>
      <c r="CG165" s="4">
        <f>O165+CD165+CC165+CE165+CF165</f>
        <v/>
      </c>
      <c r="CH165" s="4">
        <f>CG165+N(BU165)</f>
        <v/>
      </c>
      <c r="CI165" s="3">
        <f>IF(CG165&lt;=TOTAL_MAX,"sí",IF(CG165&lt;=TOTAL_MAX+MARGEN_NEG,"negociar","no"))</f>
        <v/>
      </c>
      <c r="CJ165" s="4">
        <f>IF(CI165&lt;&gt;"no",COUNTIFS($CI$2:$CI$662,"&lt;&gt;no",$CA$2:$CA$662,"&gt;"&amp;CA165)+COUNTIFS($CI$2:CI165,"&lt;&gt;no",$CA$2:CA165,CA165),"")</f>
        <v/>
      </c>
    </row>
    <row r="166">
      <c r="A166" s="2" t="inlineStr">
        <is>
          <t>cochesnet:70283612</t>
        </is>
      </c>
      <c r="B166" s="2" t="inlineStr">
        <is>
          <t>cochesnet</t>
        </is>
      </c>
      <c r="C166" s="2" t="inlineStr">
        <is>
          <t>https://www.coches.net/peugeot-308-diesel-2009-en-valencia-70283612-covo.aspx</t>
        </is>
      </c>
      <c r="D166" s="2" t="inlineStr">
        <is>
          <t>PEUGEOT 308</t>
        </is>
      </c>
      <c r="E166" s="2" t="inlineStr">
        <is>
          <t>Peugeot</t>
        </is>
      </c>
      <c r="F166" s="2" t="inlineStr">
        <is>
          <t>Peugeot 308</t>
        </is>
      </c>
      <c r="G166" s="2" t="n"/>
      <c r="H166" s="2" t="n"/>
      <c r="I166" s="2" t="n"/>
      <c r="J166" s="2" t="n"/>
      <c r="K166" s="2" t="inlineStr">
        <is>
          <t>diesel</t>
        </is>
      </c>
      <c r="L166" s="2" t="inlineStr">
        <is>
          <t>compacto</t>
        </is>
      </c>
      <c r="M166" s="2" t="n">
        <v>2009</v>
      </c>
      <c r="N166" s="2" t="n">
        <v>198000</v>
      </c>
      <c r="O166" s="2" t="n">
        <v>3000</v>
      </c>
      <c r="P166" s="2" t="n"/>
      <c r="Q166" s="2" t="n"/>
      <c r="R166" s="2" t="inlineStr">
        <is>
          <t>particular</t>
        </is>
      </c>
      <c r="S166" s="2" t="n"/>
      <c r="T166" s="2" t="inlineStr">
        <is>
          <t>2026-03-26T16:05:12Z</t>
        </is>
      </c>
      <c r="U166" s="2" t="n">
        <v>6</v>
      </c>
      <c r="V166" s="2" t="n"/>
      <c r="W166" s="2" t="n"/>
      <c r="X166" s="2" t="n"/>
      <c r="Y166" s="2" t="n"/>
      <c r="Z166" s="2" t="inlineStr">
        <is>
          <t>no</t>
        </is>
      </c>
      <c r="AA166" s="2" t="n"/>
      <c r="AB166" s="2" t="n"/>
      <c r="AC166" s="2" t="n"/>
      <c r="AD166" s="2" t="n"/>
      <c r="AE166" s="2" t="n"/>
      <c r="AF166" s="2" t="n"/>
      <c r="AG166" s="2" t="n"/>
      <c r="AH166" s="2" t="n">
        <v>3000</v>
      </c>
      <c r="AI166" s="2" t="n"/>
      <c r="AJ166" s="2" t="n"/>
      <c r="AK166" s="2" t="n"/>
      <c r="AL166" s="2" t="n"/>
      <c r="AM166" s="2" t="n"/>
      <c r="AN166" s="2" t="n">
        <v>4000</v>
      </c>
      <c r="AO166" s="2" t="n">
        <v>5</v>
      </c>
      <c r="AP166" s="2" t="inlineStr">
        <is>
          <t>modelo+año+km</t>
        </is>
      </c>
      <c r="AQ166" s="2" t="n"/>
      <c r="AR16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66" s="2" t="inlineStr"/>
      <c r="AT166" s="2" t="inlineStr">
        <is>
          <t>https://www.coches.net/peugeot/308/segunda-mano/valencia/?pg=6 /home/user/Alopecia/buscador-coches/raw/cochesnet/5a4db14a8c59680d.json</t>
        </is>
      </c>
      <c r="AU166" s="3">
        <f>MAX(ANIO_ACTUAL-M166,0)</f>
        <v/>
      </c>
      <c r="AV166" s="4">
        <f>N166/MAX(AU166,0.5)</f>
        <v/>
      </c>
      <c r="AW166" s="4">
        <f>F166</f>
        <v/>
      </c>
      <c r="AX166" s="3">
        <f>AW166&amp;"|"&amp;INT(M166/SEG_ANIO)*SEG_ANIO</f>
        <v/>
      </c>
      <c r="AY166" s="3">
        <f>AX166&amp;"|"&amp;INT(N166/SEG_KM)*SEG_KM</f>
        <v/>
      </c>
      <c r="AZ166" s="4">
        <f>COUNTIF($AW$2:$AW$662,AW166)</f>
        <v/>
      </c>
      <c r="BA166" s="4">
        <f>COUNTIF($AX$2:$AX$662,AX166)</f>
        <v/>
      </c>
      <c r="BB166" s="4">
        <f>COUNTIF($AY$2:$AY$662,AY166)</f>
        <v/>
      </c>
      <c r="BC166" s="3">
        <f t="array" ref="BC166">IF(N(AO166)&gt;=MIN_N,AN166,IF(BB166&gt;=MIN_N,MEDIAN(IF($AY$2:$AY$662=AY166,$O$2:$O$662)),IF(BA166&gt;=MIN_N,MEDIAN(IF($AX$2:$AX$662=AX166,$O$2:$O$662)),MEDIAN(IF($AW$2:$AW$662=AW166,$O$2:$O$662)))))</f>
        <v/>
      </c>
      <c r="BD166" s="3">
        <f>IF(N(AO166)&gt;=MIN_N,"mercado "&amp;AP166,IF(BB166&gt;=MIN_N,"modelo+año+km",IF(BA166&gt;=MIN_N,"modelo+año","modelo")))</f>
        <v/>
      </c>
      <c r="BE166" s="4">
        <f>(BC166-O166)/BC166</f>
        <v/>
      </c>
      <c r="BF166" s="3">
        <f>IF(OR(K166="hibrido",K166="glp"),"ECO",IF(K166="electrico","CERO",IF(K166="gasolina",IF(M166&gt;=GAS_C,"C",IF(M166&gt;=GAS_B,"B","A")),IF(K166="diesel",IF(M166&gt;=DIE_C,"C",IF(M166&gt;=DIE_B,"B","A")),""))))</f>
        <v/>
      </c>
      <c r="BG166" s="3">
        <f>IFERROR(VLOOKUP(F166,MOD_TBL,11,0),IFERROR(VLOOKUP(E166,OCU_TBL,2,0),NEUTRO))</f>
        <v/>
      </c>
      <c r="BH166" s="3">
        <f>SUMIFS(MOT_AJUSTE,MOT_MOTOR,G166,MOT_MARCA,E166,MOT_DESDE,"&lt;="&amp;M166,MOT_HASTA,"&gt;="&amp;M166)+SUMIFS(MOT_AJUSTE,MOT_MOTOR,G166,MOT_MARCA,"(todas)",MOT_DESDE,"&lt;="&amp;M166,MOT_HASTA,"&gt;="&amp;M166)</f>
        <v/>
      </c>
      <c r="BI166" s="3">
        <f>SUMIFS(COMB_AJUSTE,COMB_COMB,K166)</f>
        <v/>
      </c>
      <c r="BJ166" s="3">
        <f>COUNTIFS(MOT_MOTOR,G166,MOT_MARCA,E166,MOT_DESDE,"&lt;="&amp;M166,MOT_HASTA,"&gt;="&amp;M166)+COUNTIFS(MOT_MOTOR,G166,MOT_MARCA,"(todas)",MOT_DESDE,"&lt;="&amp;M166,MOT_HASTA,"&gt;="&amp;M166)</f>
        <v/>
      </c>
      <c r="BK166" s="3">
        <f>IF(AND(K166="diesel",BJ166=0),MIN(BG166,NEUTRO),BG166)</f>
        <v/>
      </c>
      <c r="BL166" s="4">
        <f>MAX(0,MIN(100,BK166+BH166+BI166))</f>
        <v/>
      </c>
      <c r="BM166" s="3">
        <f>MAX(0,MIN(100,50+BE166*PRECIO_PEND))</f>
        <v/>
      </c>
      <c r="BN166" s="3">
        <f>MAX(0,100*(1-N166/KM_MAX))</f>
        <v/>
      </c>
      <c r="BO166" s="3">
        <f>IF(AV166&lt;KMA_SOSP,IF(AA166="sí",100,KMA_PEN),IF(AV166&lt;=KMA_IDEAL_MAX,100,MAX(0,100*(KMA_CERO-AV166)/(KMA_CERO-KMA_IDEAL_MAX))))</f>
        <v/>
      </c>
      <c r="BP166" s="3">
        <f>MAX(0,MIN(100,100*(M166-ANIO_MIN)/(ANIO_ACTUAL-ANIO_MIN)))</f>
        <v/>
      </c>
      <c r="BQ166" s="3">
        <f>W_KMT*BN166+W_KMA*BO166+W_EDAD*BP166</f>
        <v/>
      </c>
      <c r="BR166" s="3">
        <f>P_ITV*(V166="sí")+P_LIBRO*(W166="sí")+P_CORREA*(X166="sí")+P_PROP*(Y166=1)+P_GAR*(Z166="sí")+P_FOTOS*MIN(1,N(U166)/FOTOS_OBJ)</f>
        <v/>
      </c>
      <c r="BS166" s="3">
        <f>IFERROR(VLOOKUP(BF166,ETQ_TBL,2,0),NEUTRO)</f>
        <v/>
      </c>
      <c r="BT166" s="3">
        <f>NEUTRO</f>
        <v/>
      </c>
      <c r="BU166" s="3">
        <f>IFERROR(VLOOKUP(L166,SEGURO_TBL,3,0),"")</f>
        <v/>
      </c>
      <c r="BV166" s="3">
        <f>IF(BU166="",NEUTRO,MAX(0,MIN(100,100*(SEG_REF_MAX-BU166)/(SEG_REF_MAX-SEG_REF_MIN))))</f>
        <v/>
      </c>
      <c r="BW166" s="3">
        <f>W_ET*BS166+W_CONS*BT166+W_SEG*BV166</f>
        <v/>
      </c>
      <c r="BX166" s="3">
        <f>IF(N(AB166)&gt;0,AB166,IF(AND(R166="profesional",SG_LEGAL_ON=1),GAR_LEGAL,0))</f>
        <v/>
      </c>
      <c r="BY166" s="3">
        <f>SG_GAR*MIN(1,BX166/SG_GAR_FULL)+SG_AMPL*(AC166="sí")+SG_KMC*(AF166="sí")+SG_REV*(N(AE166)&gt;0)+SG_DEV*MIN(1,N(AG166)/SG_DEV_FULL)+SG_HIST*(W166="sí")</f>
        <v/>
      </c>
      <c r="BZ166" s="3">
        <f>IFERROR(VLOOKUP(L166,CARR_PEN_TBL,2,0),0)</f>
        <v/>
      </c>
      <c r="CA166" s="3">
        <f>W_FIAB*BL166+W_PRECIO*BM166+W_KMEDAD*BQ166+W_ANUNCIO*BR166+W_USO*BW166+W_SEGURIDAD*BY166-BZ166</f>
        <v/>
      </c>
      <c r="CB166" s="4">
        <f>IF(N(I166)&gt;0,I166,IFERROR(ROUND(_xlfn.NUMBERVALUE(LEFT(G166,FIND(" ",G166&amp;" ")-1),".")*1000,0),99999))</f>
        <v/>
      </c>
      <c r="CC166" s="3">
        <f>IF(R166="profesional",0,IF(O166&lt;CUOTA_VALOR_MAX,IF(AU166&gt;ITP_TRAMO_ALTO,SUMIFS(CF_CUOTA,CF_MAS,ITP_TRAMO_ALTO,CF_CCMIN,"&lt;="&amp;CB166,CF_CCMAX,"&gt;="&amp;CB166),IF(AU166&gt;ITP_TRAMO_BAJO,SUMIFS(CF_CUOTA,CF_MAS,ITP_TRAMO_BAJO,CF_CCMIN,"&lt;="&amp;CB166,CF_CCMAX,"&gt;="&amp;CB166),O166*ITP_TIPO)),O166*ITP_TIPO))</f>
        <v/>
      </c>
      <c r="CD166" s="4">
        <f>IF(R166="profesional",N(AK166),0)</f>
        <v/>
      </c>
      <c r="CE166" s="3">
        <f>IF(AND(R166="profesional",ISNUMBER(AK166),AL166="sí"),0,TASA_DGT)</f>
        <v/>
      </c>
      <c r="CF166" s="3">
        <f>INFORME_DGT</f>
        <v/>
      </c>
      <c r="CG166" s="4">
        <f>O166+CD166+CC166+CE166+CF166</f>
        <v/>
      </c>
      <c r="CH166" s="4">
        <f>CG166+N(BU166)</f>
        <v/>
      </c>
      <c r="CI166" s="3">
        <f>IF(CG166&lt;=TOTAL_MAX,"sí",IF(CG166&lt;=TOTAL_MAX+MARGEN_NEG,"negociar","no"))</f>
        <v/>
      </c>
      <c r="CJ166" s="4">
        <f>IF(CI166&lt;&gt;"no",COUNTIFS($CI$2:$CI$662,"&lt;&gt;no",$CA$2:$CA$662,"&gt;"&amp;CA166)+COUNTIFS($CI$2:CI166,"&lt;&gt;no",$CA$2:CA166,CA166),"")</f>
        <v/>
      </c>
    </row>
    <row r="167">
      <c r="A167" s="2" t="inlineStr">
        <is>
          <t>cochesnet:71687389</t>
        </is>
      </c>
      <c r="B167" s="2" t="inlineStr">
        <is>
          <t>cochesnet</t>
        </is>
      </c>
      <c r="C167" s="2" t="inlineStr">
        <is>
          <t>https://www.coches.net/citroen-c3-14-hdi-audace-5p-diesel-2005-en-valencia-71687389-covo.aspx</t>
        </is>
      </c>
      <c r="D167" s="2" t="inlineStr">
        <is>
          <t>CITROEN C3 1.4 HDi Audace</t>
        </is>
      </c>
      <c r="E167" s="2" t="inlineStr">
        <is>
          <t>Citroën</t>
        </is>
      </c>
      <c r="F167" s="2" t="inlineStr">
        <is>
          <t>Citroën C3</t>
        </is>
      </c>
      <c r="G167" s="2" t="inlineStr">
        <is>
          <t>1.4 HDi</t>
        </is>
      </c>
      <c r="H167" s="2" t="inlineStr">
        <is>
          <t>1.4 HDi Audace</t>
        </is>
      </c>
      <c r="I167" s="2" t="n"/>
      <c r="J167" s="2" t="n"/>
      <c r="K167" s="2" t="inlineStr">
        <is>
          <t>diesel</t>
        </is>
      </c>
      <c r="L167" s="2" t="inlineStr">
        <is>
          <t>utilitario</t>
        </is>
      </c>
      <c r="M167" s="2" t="n">
        <v>2008</v>
      </c>
      <c r="N167" s="2" t="n">
        <v>135102</v>
      </c>
      <c r="O167" s="2" t="n">
        <v>3999</v>
      </c>
      <c r="P167" s="2" t="inlineStr">
        <is>
          <t>manual</t>
        </is>
      </c>
      <c r="Q167" s="2" t="inlineStr">
        <is>
          <t>no</t>
        </is>
      </c>
      <c r="R167" s="2" t="inlineStr">
        <is>
          <t>profesional</t>
        </is>
      </c>
      <c r="S167" s="2" t="inlineStr">
        <is>
          <t>ANDARO CARS Catarroja</t>
        </is>
      </c>
      <c r="T167" s="2" t="inlineStr">
        <is>
          <t>2026-10-06T17:10:30Z</t>
        </is>
      </c>
      <c r="U167" s="2" t="n">
        <v>16</v>
      </c>
      <c r="V167" s="2" t="n"/>
      <c r="W167" s="2" t="n"/>
      <c r="X167" s="2" t="n"/>
      <c r="Y167" s="2" t="n"/>
      <c r="Z167" s="2" t="inlineStr">
        <is>
          <t>sí</t>
        </is>
      </c>
      <c r="AA167" s="2" t="n"/>
      <c r="AB167" s="2" t="n">
        <v>12</v>
      </c>
      <c r="AC167" s="2" t="n"/>
      <c r="AD167" s="2" t="n"/>
      <c r="AE167" s="2" t="n"/>
      <c r="AF167" s="2" t="n"/>
      <c r="AG167" s="2" t="n"/>
      <c r="AH167" s="2" t="n">
        <v>3999</v>
      </c>
      <c r="AI167" s="2" t="n">
        <v>3999</v>
      </c>
      <c r="AJ167" s="2" t="n"/>
      <c r="AK167" s="2" t="n"/>
      <c r="AL167" s="2" t="n"/>
      <c r="AM167" s="2" t="n">
        <v>7.8</v>
      </c>
      <c r="AN167" s="2" t="n">
        <v>3000</v>
      </c>
      <c r="AO167" s="2" t="n">
        <v>17</v>
      </c>
      <c r="AP167" s="2" t="inlineStr">
        <is>
          <t>modelo+año</t>
        </is>
      </c>
      <c r="AQ167" s="2" t="n"/>
      <c r="AR167" s="2" t="inlineStr">
        <is>
          <t>vendedor profesional: sin ITP (operación con IVA/REBU, confirmar en factura); gastos de gestión del vendedor no indicados: se suma la tasa DGT; preguntar el precio final</t>
        </is>
      </c>
      <c r="AS167" s="2" t="inlineStr">
        <is>
          <t>Empresa especializada en vehículos de ocasión
-Vehiculos completamente revisados
-Disponemos de un equipo con el mejor trato directo y personalizado tanto presencial
como online (videollamadas, peritaciones, fotos en detalle, asesoramiento, consultas.....)
-OFRECEMOS FINANCIACION A SU MEDIDA CON CAMPAÑAS ESPECIALES!! -
-CONSULTENOS CUOTAS Y PLAZOS QUE GESTIONAREMOS EN EL MOMENTO CON USTED</t>
        </is>
      </c>
      <c r="AT167" s="2" t="inlineStr">
        <is>
          <t>https://www.coches.net/citroen-c3-14-hdi-audace-5p-diesel-2005-en-valencia-71687389-covo.aspx (window.__INITIAL_PROPS__.ad) /home/user/Alopecia/buscador-coches/raw/cochesnet/86b3ccc9bbb367a0.json</t>
        </is>
      </c>
      <c r="AU167" s="3">
        <f>MAX(ANIO_ACTUAL-M167,0)</f>
        <v/>
      </c>
      <c r="AV167" s="4">
        <f>N167/MAX(AU167,0.5)</f>
        <v/>
      </c>
      <c r="AW167" s="4">
        <f>F167</f>
        <v/>
      </c>
      <c r="AX167" s="3">
        <f>AW167&amp;"|"&amp;INT(M167/SEG_ANIO)*SEG_ANIO</f>
        <v/>
      </c>
      <c r="AY167" s="3">
        <f>AX167&amp;"|"&amp;INT(N167/SEG_KM)*SEG_KM</f>
        <v/>
      </c>
      <c r="AZ167" s="4">
        <f>COUNTIF($AW$2:$AW$662,AW167)</f>
        <v/>
      </c>
      <c r="BA167" s="4">
        <f>COUNTIF($AX$2:$AX$662,AX167)</f>
        <v/>
      </c>
      <c r="BB167" s="4">
        <f>COUNTIF($AY$2:$AY$662,AY167)</f>
        <v/>
      </c>
      <c r="BC167" s="3">
        <f t="array" ref="BC167">IF(N(AO167)&gt;=MIN_N,AN167,IF(BB167&gt;=MIN_N,MEDIAN(IF($AY$2:$AY$662=AY167,$O$2:$O$662)),IF(BA167&gt;=MIN_N,MEDIAN(IF($AX$2:$AX$662=AX167,$O$2:$O$662)),MEDIAN(IF($AW$2:$AW$662=AW167,$O$2:$O$662)))))</f>
        <v/>
      </c>
      <c r="BD167" s="3">
        <f>IF(N(AO167)&gt;=MIN_N,"mercado "&amp;AP167,IF(BB167&gt;=MIN_N,"modelo+año+km",IF(BA167&gt;=MIN_N,"modelo+año","modelo")))</f>
        <v/>
      </c>
      <c r="BE167" s="4">
        <f>(BC167-O167)/BC167</f>
        <v/>
      </c>
      <c r="BF167" s="3">
        <f>IF(OR(K167="hibrido",K167="glp"),"ECO",IF(K167="electrico","CERO",IF(K167="gasolina",IF(M167&gt;=GAS_C,"C",IF(M167&gt;=GAS_B,"B","A")),IF(K167="diesel",IF(M167&gt;=DIE_C,"C",IF(M167&gt;=DIE_B,"B","A")),""))))</f>
        <v/>
      </c>
      <c r="BG167" s="3">
        <f>IFERROR(VLOOKUP(F167,MOD_TBL,11,0),IFERROR(VLOOKUP(E167,OCU_TBL,2,0),NEUTRO))</f>
        <v/>
      </c>
      <c r="BH167" s="3">
        <f>SUMIFS(MOT_AJUSTE,MOT_MOTOR,G167,MOT_MARCA,E167,MOT_DESDE,"&lt;="&amp;M167,MOT_HASTA,"&gt;="&amp;M167)+SUMIFS(MOT_AJUSTE,MOT_MOTOR,G167,MOT_MARCA,"(todas)",MOT_DESDE,"&lt;="&amp;M167,MOT_HASTA,"&gt;="&amp;M167)</f>
        <v/>
      </c>
      <c r="BI167" s="3">
        <f>SUMIFS(COMB_AJUSTE,COMB_COMB,K167)</f>
        <v/>
      </c>
      <c r="BJ167" s="3">
        <f>COUNTIFS(MOT_MOTOR,G167,MOT_MARCA,E167,MOT_DESDE,"&lt;="&amp;M167,MOT_HASTA,"&gt;="&amp;M167)+COUNTIFS(MOT_MOTOR,G167,MOT_MARCA,"(todas)",MOT_DESDE,"&lt;="&amp;M167,MOT_HASTA,"&gt;="&amp;M167)</f>
        <v/>
      </c>
      <c r="BK167" s="3">
        <f>IF(AND(K167="diesel",BJ167=0),MIN(BG167,NEUTRO),BG167)</f>
        <v/>
      </c>
      <c r="BL167" s="4">
        <f>MAX(0,MIN(100,BK167+BH167+BI167))</f>
        <v/>
      </c>
      <c r="BM167" s="3">
        <f>MAX(0,MIN(100,50+BE167*PRECIO_PEND))</f>
        <v/>
      </c>
      <c r="BN167" s="3">
        <f>MAX(0,100*(1-N167/KM_MAX))</f>
        <v/>
      </c>
      <c r="BO167" s="3">
        <f>IF(AV167&lt;KMA_SOSP,IF(AA167="sí",100,KMA_PEN),IF(AV167&lt;=KMA_IDEAL_MAX,100,MAX(0,100*(KMA_CERO-AV167)/(KMA_CERO-KMA_IDEAL_MAX))))</f>
        <v/>
      </c>
      <c r="BP167" s="3">
        <f>MAX(0,MIN(100,100*(M167-ANIO_MIN)/(ANIO_ACTUAL-ANIO_MIN)))</f>
        <v/>
      </c>
      <c r="BQ167" s="3">
        <f>W_KMT*BN167+W_KMA*BO167+W_EDAD*BP167</f>
        <v/>
      </c>
      <c r="BR167" s="3">
        <f>P_ITV*(V167="sí")+P_LIBRO*(W167="sí")+P_CORREA*(X167="sí")+P_PROP*(Y167=1)+P_GAR*(Z167="sí")+P_FOTOS*MIN(1,N(U167)/FOTOS_OBJ)</f>
        <v/>
      </c>
      <c r="BS167" s="3">
        <f>IFERROR(VLOOKUP(BF167,ETQ_TBL,2,0),NEUTRO)</f>
        <v/>
      </c>
      <c r="BT167" s="3">
        <f>NEUTRO</f>
        <v/>
      </c>
      <c r="BU167" s="3">
        <f>IFERROR(VLOOKUP(L167,SEGURO_TBL,3,0),"")</f>
        <v/>
      </c>
      <c r="BV167" s="3">
        <f>IF(BU167="",NEUTRO,MAX(0,MIN(100,100*(SEG_REF_MAX-BU167)/(SEG_REF_MAX-SEG_REF_MIN))))</f>
        <v/>
      </c>
      <c r="BW167" s="3">
        <f>W_ET*BS167+W_CONS*BT167+W_SEG*BV167</f>
        <v/>
      </c>
      <c r="BX167" s="3">
        <f>IF(N(AB167)&gt;0,AB167,IF(AND(R167="profesional",SG_LEGAL_ON=1),GAR_LEGAL,0))</f>
        <v/>
      </c>
      <c r="BY167" s="3">
        <f>SG_GAR*MIN(1,BX167/SG_GAR_FULL)+SG_AMPL*(AC167="sí")+SG_KMC*(AF167="sí")+SG_REV*(N(AE167)&gt;0)+SG_DEV*MIN(1,N(AG167)/SG_DEV_FULL)+SG_HIST*(W167="sí")</f>
        <v/>
      </c>
      <c r="BZ167" s="3">
        <f>IFERROR(VLOOKUP(L167,CARR_PEN_TBL,2,0),0)</f>
        <v/>
      </c>
      <c r="CA167" s="3">
        <f>W_FIAB*BL167+W_PRECIO*BM167+W_KMEDAD*BQ167+W_ANUNCIO*BR167+W_USO*BW167+W_SEGURIDAD*BY167-BZ167</f>
        <v/>
      </c>
      <c r="CB167" s="4">
        <f>IF(N(I167)&gt;0,I167,IFERROR(ROUND(_xlfn.NUMBERVALUE(LEFT(G167,FIND(" ",G167&amp;" ")-1),".")*1000,0),99999))</f>
        <v/>
      </c>
      <c r="CC167" s="3">
        <f>IF(R167="profesional",0,IF(O167&lt;CUOTA_VALOR_MAX,IF(AU167&gt;ITP_TRAMO_ALTO,SUMIFS(CF_CUOTA,CF_MAS,ITP_TRAMO_ALTO,CF_CCMIN,"&lt;="&amp;CB167,CF_CCMAX,"&gt;="&amp;CB167),IF(AU167&gt;ITP_TRAMO_BAJO,SUMIFS(CF_CUOTA,CF_MAS,ITP_TRAMO_BAJO,CF_CCMIN,"&lt;="&amp;CB167,CF_CCMAX,"&gt;="&amp;CB167),O167*ITP_TIPO)),O167*ITP_TIPO))</f>
        <v/>
      </c>
      <c r="CD167" s="4">
        <f>IF(R167="profesional",N(AK167),0)</f>
        <v/>
      </c>
      <c r="CE167" s="3">
        <f>IF(AND(R167="profesional",ISNUMBER(AK167),AL167="sí"),0,TASA_DGT)</f>
        <v/>
      </c>
      <c r="CF167" s="3">
        <f>INFORME_DGT</f>
        <v/>
      </c>
      <c r="CG167" s="4">
        <f>O167+CD167+CC167+CE167+CF167</f>
        <v/>
      </c>
      <c r="CH167" s="4">
        <f>CG167+N(BU167)</f>
        <v/>
      </c>
      <c r="CI167" s="3">
        <f>IF(CG167&lt;=TOTAL_MAX,"sí",IF(CG167&lt;=TOTAL_MAX+MARGEN_NEG,"negociar","no"))</f>
        <v/>
      </c>
      <c r="CJ167" s="4">
        <f>IF(CI167&lt;&gt;"no",COUNTIFS($CI$2:$CI$662,"&lt;&gt;no",$CA$2:$CA$662,"&gt;"&amp;CA167)+COUNTIFS($CI$2:CI167,"&lt;&gt;no",$CA$2:CA167,CA167),"")</f>
        <v/>
      </c>
    </row>
    <row r="168">
      <c r="A168" s="2" t="inlineStr">
        <is>
          <t>cochesnet:71506230</t>
        </is>
      </c>
      <c r="B168" s="2" t="inlineStr">
        <is>
          <t>cochesnet</t>
        </is>
      </c>
      <c r="C168" s="2" t="inlineStr">
        <is>
          <t>https://www.coches.net/citroen-c3-puretech-82cv-collection-5p-gasolina-2015-en-valencia-71506230-covo.aspx</t>
        </is>
      </c>
      <c r="D168" s="2" t="inlineStr">
        <is>
          <t>CITROEN C3 Puretech Collection</t>
        </is>
      </c>
      <c r="E168" s="2" t="inlineStr">
        <is>
          <t>Citroën</t>
        </is>
      </c>
      <c r="F168" s="2" t="inlineStr">
        <is>
          <t>Citroën C3</t>
        </is>
      </c>
      <c r="G168" s="2" t="inlineStr">
        <is>
          <t>? PureTech</t>
        </is>
      </c>
      <c r="H168" s="2" t="inlineStr">
        <is>
          <t>Puretech 82cv Collection</t>
        </is>
      </c>
      <c r="I168" s="2" t="n"/>
      <c r="J168" s="2" t="n">
        <v>82</v>
      </c>
      <c r="K168" s="2" t="inlineStr">
        <is>
          <t>gasolina</t>
        </is>
      </c>
      <c r="L168" s="2" t="inlineStr">
        <is>
          <t>utilitario</t>
        </is>
      </c>
      <c r="M168" s="2" t="n">
        <v>2015</v>
      </c>
      <c r="N168" s="2" t="n">
        <v>98000</v>
      </c>
      <c r="O168" s="2" t="n">
        <v>3900</v>
      </c>
      <c r="P168" s="2" t="inlineStr">
        <is>
          <t>manual</t>
        </is>
      </c>
      <c r="Q168" s="2" t="inlineStr">
        <is>
          <t>no</t>
        </is>
      </c>
      <c r="R168" s="2" t="inlineStr">
        <is>
          <t>particular</t>
        </is>
      </c>
      <c r="S168" s="2" t="inlineStr">
        <is>
          <t>Rafelbuñol / Rafelbunyol</t>
        </is>
      </c>
      <c r="T168" s="2" t="inlineStr">
        <is>
          <t>2026-09-14T09:42:50Z</t>
        </is>
      </c>
      <c r="U168" s="2" t="n">
        <v>4</v>
      </c>
      <c r="V168" s="2" t="n"/>
      <c r="W168" s="2" t="n"/>
      <c r="X168" s="2" t="n"/>
      <c r="Y168" s="2" t="n"/>
      <c r="Z168" s="2" t="inlineStr">
        <is>
          <t>no</t>
        </is>
      </c>
      <c r="AA168" s="2" t="n"/>
      <c r="AB168" s="2" t="n"/>
      <c r="AC168" s="2" t="n"/>
      <c r="AD168" s="2" t="n"/>
      <c r="AE168" s="2" t="n"/>
      <c r="AF168" s="2" t="n"/>
      <c r="AG168" s="2" t="n"/>
      <c r="AH168" s="2" t="n">
        <v>3900</v>
      </c>
      <c r="AI168" s="2" t="n"/>
      <c r="AJ168" s="2" t="n"/>
      <c r="AK168" s="2" t="n"/>
      <c r="AL168" s="2" t="n"/>
      <c r="AM168" s="2" t="n"/>
      <c r="AN168" s="2" t="n">
        <v>5500</v>
      </c>
      <c r="AO168" s="2" t="n">
        <v>17</v>
      </c>
      <c r="AP168" s="2" t="inlineStr">
        <is>
          <t>modelo+año</t>
        </is>
      </c>
      <c r="AQ168" s="2" t="n"/>
      <c r="AR168" s="2" t="inlineStr">
        <is>
          <t>cilindrada desconocida: se aplica el tramo de cuota fija más alto; cuota fija ITP: &gt;5 y &lt;=12 años, más de 2.000 cc; distancia no verificable (el anuncio solo indica la provincia): confirmar que está a &lt;= 70 km</t>
        </is>
      </c>
      <c r="AS168" s="2" t="inlineStr">
        <is>
          <t>Vendo mi Citroën C3 PureTech 82 CV Collection porque he cambiado a un SUV familiar y ya no lo necesitamos.
Es un coche muy cómodo y práctico tanto para el día a día como para hacer viajes. Tiene motor 1.2 PureTech de 82 CV, cambio manual y 5 puertas/5 plazas. Tiene un consumo bastante ajustado y es fácil de conducir, especialmente en ciudad.
El coche está en buen estado general, tanto por dentro como por fuera. La carrocería es blanca y el interior está bien cuidado.
Como pequeño detalle, el cristal de la puerta derecha sube un poco más despacio que los demás, aunque funciona perfectamente tanto para subir como para bajar.
Hay que recargar el aire acondicionado. La recarga suele durar unos 2/3 años y cuesta unos 60 euros.
Si quieres más información, fotos o tienes cualquier duda, escríbeme sin problema. También podemos quedar para verlo y probarlo.
FFI: Le acabo de quitar el seguro para pasarlo al coche nuevo.
También le toca pasar la ITV pronto.
Se puede ver sin compromiso.</t>
        </is>
      </c>
      <c r="AT168" s="2" t="inlineStr">
        <is>
          <t>https://www.coches.net/citroen-c3-puretech-82cv-collection-5p-gasolina-2015-en-valencia-71506230-covo.aspx (window.__INITIAL_PROPS__.ad) /home/user/Alopecia/buscador-coches/raw/cochesnet/35b16581acf35805.json</t>
        </is>
      </c>
      <c r="AU168" s="3">
        <f>MAX(ANIO_ACTUAL-M168,0)</f>
        <v/>
      </c>
      <c r="AV168" s="4">
        <f>N168/MAX(AU168,0.5)</f>
        <v/>
      </c>
      <c r="AW168" s="4">
        <f>F168</f>
        <v/>
      </c>
      <c r="AX168" s="3">
        <f>AW168&amp;"|"&amp;INT(M168/SEG_ANIO)*SEG_ANIO</f>
        <v/>
      </c>
      <c r="AY168" s="3">
        <f>AX168&amp;"|"&amp;INT(N168/SEG_KM)*SEG_KM</f>
        <v/>
      </c>
      <c r="AZ168" s="4">
        <f>COUNTIF($AW$2:$AW$662,AW168)</f>
        <v/>
      </c>
      <c r="BA168" s="4">
        <f>COUNTIF($AX$2:$AX$662,AX168)</f>
        <v/>
      </c>
      <c r="BB168" s="4">
        <f>COUNTIF($AY$2:$AY$662,AY168)</f>
        <v/>
      </c>
      <c r="BC168" s="3">
        <f t="array" ref="BC168">IF(N(AO168)&gt;=MIN_N,AN168,IF(BB168&gt;=MIN_N,MEDIAN(IF($AY$2:$AY$662=AY168,$O$2:$O$662)),IF(BA168&gt;=MIN_N,MEDIAN(IF($AX$2:$AX$662=AX168,$O$2:$O$662)),MEDIAN(IF($AW$2:$AW$662=AW168,$O$2:$O$662)))))</f>
        <v/>
      </c>
      <c r="BD168" s="3">
        <f>IF(N(AO168)&gt;=MIN_N,"mercado "&amp;AP168,IF(BB168&gt;=MIN_N,"modelo+año+km",IF(BA168&gt;=MIN_N,"modelo+año","modelo")))</f>
        <v/>
      </c>
      <c r="BE168" s="4">
        <f>(BC168-O168)/BC168</f>
        <v/>
      </c>
      <c r="BF168" s="3">
        <f>IF(OR(K168="hibrido",K168="glp"),"ECO",IF(K168="electrico","CERO",IF(K168="gasolina",IF(M168&gt;=GAS_C,"C",IF(M168&gt;=GAS_B,"B","A")),IF(K168="diesel",IF(M168&gt;=DIE_C,"C",IF(M168&gt;=DIE_B,"B","A")),""))))</f>
        <v/>
      </c>
      <c r="BG168" s="3">
        <f>IFERROR(VLOOKUP(F168,MOD_TBL,11,0),IFERROR(VLOOKUP(E168,OCU_TBL,2,0),NEUTRO))</f>
        <v/>
      </c>
      <c r="BH168" s="3">
        <f>SUMIFS(MOT_AJUSTE,MOT_MOTOR,G168,MOT_MARCA,E168,MOT_DESDE,"&lt;="&amp;M168,MOT_HASTA,"&gt;="&amp;M168)+SUMIFS(MOT_AJUSTE,MOT_MOTOR,G168,MOT_MARCA,"(todas)",MOT_DESDE,"&lt;="&amp;M168,MOT_HASTA,"&gt;="&amp;M168)</f>
        <v/>
      </c>
      <c r="BI168" s="3">
        <f>SUMIFS(COMB_AJUSTE,COMB_COMB,K168)</f>
        <v/>
      </c>
      <c r="BJ168" s="3">
        <f>COUNTIFS(MOT_MOTOR,G168,MOT_MARCA,E168,MOT_DESDE,"&lt;="&amp;M168,MOT_HASTA,"&gt;="&amp;M168)+COUNTIFS(MOT_MOTOR,G168,MOT_MARCA,"(todas)",MOT_DESDE,"&lt;="&amp;M168,MOT_HASTA,"&gt;="&amp;M168)</f>
        <v/>
      </c>
      <c r="BK168" s="3">
        <f>IF(AND(K168="diesel",BJ168=0),MIN(BG168,NEUTRO),BG168)</f>
        <v/>
      </c>
      <c r="BL168" s="4">
        <f>MAX(0,MIN(100,BK168+BH168+BI168))</f>
        <v/>
      </c>
      <c r="BM168" s="3">
        <f>MAX(0,MIN(100,50+BE168*PRECIO_PEND))</f>
        <v/>
      </c>
      <c r="BN168" s="3">
        <f>MAX(0,100*(1-N168/KM_MAX))</f>
        <v/>
      </c>
      <c r="BO168" s="3">
        <f>IF(AV168&lt;KMA_SOSP,IF(AA168="sí",100,KMA_PEN),IF(AV168&lt;=KMA_IDEAL_MAX,100,MAX(0,100*(KMA_CERO-AV168)/(KMA_CERO-KMA_IDEAL_MAX))))</f>
        <v/>
      </c>
      <c r="BP168" s="3">
        <f>MAX(0,MIN(100,100*(M168-ANIO_MIN)/(ANIO_ACTUAL-ANIO_MIN)))</f>
        <v/>
      </c>
      <c r="BQ168" s="3">
        <f>W_KMT*BN168+W_KMA*BO168+W_EDAD*BP168</f>
        <v/>
      </c>
      <c r="BR168" s="3">
        <f>P_ITV*(V168="sí")+P_LIBRO*(W168="sí")+P_CORREA*(X168="sí")+P_PROP*(Y168=1)+P_GAR*(Z168="sí")+P_FOTOS*MIN(1,N(U168)/FOTOS_OBJ)</f>
        <v/>
      </c>
      <c r="BS168" s="3">
        <f>IFERROR(VLOOKUP(BF168,ETQ_TBL,2,0),NEUTRO)</f>
        <v/>
      </c>
      <c r="BT168" s="3">
        <f>NEUTRO</f>
        <v/>
      </c>
      <c r="BU168" s="3">
        <f>IFERROR(VLOOKUP(L168,SEGURO_TBL,3,0),"")</f>
        <v/>
      </c>
      <c r="BV168" s="3">
        <f>IF(BU168="",NEUTRO,MAX(0,MIN(100,100*(SEG_REF_MAX-BU168)/(SEG_REF_MAX-SEG_REF_MIN))))</f>
        <v/>
      </c>
      <c r="BW168" s="3">
        <f>W_ET*BS168+W_CONS*BT168+W_SEG*BV168</f>
        <v/>
      </c>
      <c r="BX168" s="3">
        <f>IF(N(AB168)&gt;0,AB168,IF(AND(R168="profesional",SG_LEGAL_ON=1),GAR_LEGAL,0))</f>
        <v/>
      </c>
      <c r="BY168" s="3">
        <f>SG_GAR*MIN(1,BX168/SG_GAR_FULL)+SG_AMPL*(AC168="sí")+SG_KMC*(AF168="sí")+SG_REV*(N(AE168)&gt;0)+SG_DEV*MIN(1,N(AG168)/SG_DEV_FULL)+SG_HIST*(W168="sí")</f>
        <v/>
      </c>
      <c r="BZ168" s="3">
        <f>IFERROR(VLOOKUP(L168,CARR_PEN_TBL,2,0),0)</f>
        <v/>
      </c>
      <c r="CA168" s="3">
        <f>W_FIAB*BL168+W_PRECIO*BM168+W_KMEDAD*BQ168+W_ANUNCIO*BR168+W_USO*BW168+W_SEGURIDAD*BY168-BZ168</f>
        <v/>
      </c>
      <c r="CB168" s="4">
        <f>IF(N(I168)&gt;0,I168,IFERROR(ROUND(_xlfn.NUMBERVALUE(LEFT(G168,FIND(" ",G168&amp;" ")-1),".")*1000,0),99999))</f>
        <v/>
      </c>
      <c r="CC168" s="3">
        <f>IF(R168="profesional",0,IF(O168&lt;CUOTA_VALOR_MAX,IF(AU168&gt;ITP_TRAMO_ALTO,SUMIFS(CF_CUOTA,CF_MAS,ITP_TRAMO_ALTO,CF_CCMIN,"&lt;="&amp;CB168,CF_CCMAX,"&gt;="&amp;CB168),IF(AU168&gt;ITP_TRAMO_BAJO,SUMIFS(CF_CUOTA,CF_MAS,ITP_TRAMO_BAJO,CF_CCMIN,"&lt;="&amp;CB168,CF_CCMAX,"&gt;="&amp;CB168),O168*ITP_TIPO)),O168*ITP_TIPO))</f>
        <v/>
      </c>
      <c r="CD168" s="4">
        <f>IF(R168="profesional",N(AK168),0)</f>
        <v/>
      </c>
      <c r="CE168" s="3">
        <f>IF(AND(R168="profesional",ISNUMBER(AK168),AL168="sí"),0,TASA_DGT)</f>
        <v/>
      </c>
      <c r="CF168" s="3">
        <f>INFORME_DGT</f>
        <v/>
      </c>
      <c r="CG168" s="4">
        <f>O168+CD168+CC168+CE168+CF168</f>
        <v/>
      </c>
      <c r="CH168" s="4">
        <f>CG168+N(BU168)</f>
        <v/>
      </c>
      <c r="CI168" s="3">
        <f>IF(CG168&lt;=TOTAL_MAX,"sí",IF(CG168&lt;=TOTAL_MAX+MARGEN_NEG,"negociar","no"))</f>
        <v/>
      </c>
      <c r="CJ168" s="4">
        <f>IF(CI168&lt;&gt;"no",COUNTIFS($CI$2:$CI$662,"&lt;&gt;no",$CA$2:$CA$662,"&gt;"&amp;CA168)+COUNTIFS($CI$2:CI168,"&lt;&gt;no",$CA$2:CA168,CA168),"")</f>
        <v/>
      </c>
    </row>
    <row r="169">
      <c r="A169" s="2" t="inlineStr">
        <is>
          <t>cochesnet:71537593</t>
        </is>
      </c>
      <c r="B169" s="2" t="inlineStr">
        <is>
          <t>cochesnet</t>
        </is>
      </c>
      <c r="C169" s="2" t="inlineStr">
        <is>
          <t>https://www.coches.net/citroen-c3-diesel-2008-en-valencia-71537593-covo.aspx</t>
        </is>
      </c>
      <c r="D169" s="2" t="inlineStr">
        <is>
          <t>CITROEN C3</t>
        </is>
      </c>
      <c r="E169" s="2" t="inlineStr">
        <is>
          <t>Citroën</t>
        </is>
      </c>
      <c r="F169" s="2" t="inlineStr">
        <is>
          <t>Citroën C3</t>
        </is>
      </c>
      <c r="G169" s="2" t="n"/>
      <c r="H169" s="2" t="n"/>
      <c r="I169" s="2" t="n"/>
      <c r="J169" s="2" t="n"/>
      <c r="K169" s="2" t="inlineStr">
        <is>
          <t>diesel</t>
        </is>
      </c>
      <c r="L169" s="2" t="inlineStr">
        <is>
          <t>utilitario</t>
        </is>
      </c>
      <c r="M169" s="2" t="n">
        <v>2008</v>
      </c>
      <c r="N169" s="2" t="n">
        <v>204200</v>
      </c>
      <c r="O169" s="2" t="n">
        <v>2200</v>
      </c>
      <c r="P169" s="2" t="inlineStr">
        <is>
          <t>manual</t>
        </is>
      </c>
      <c r="Q169" s="2" t="inlineStr">
        <is>
          <t>no</t>
        </is>
      </c>
      <c r="R169" s="2" t="inlineStr">
        <is>
          <t>particular</t>
        </is>
      </c>
      <c r="S169" s="2" t="n"/>
      <c r="T169" s="2" t="inlineStr">
        <is>
          <t>2026-09-17T13:50:30Z</t>
        </is>
      </c>
      <c r="U169" s="2" t="n">
        <v>7</v>
      </c>
      <c r="V169" s="2" t="inlineStr">
        <is>
          <t>sí</t>
        </is>
      </c>
      <c r="W169" s="2" t="n"/>
      <c r="X169" s="2" t="n"/>
      <c r="Y169" s="2" t="n"/>
      <c r="Z169" s="2" t="inlineStr">
        <is>
          <t>no</t>
        </is>
      </c>
      <c r="AA169" s="2" t="n"/>
      <c r="AB169" s="2" t="n"/>
      <c r="AC169" s="2" t="n"/>
      <c r="AD169" s="2" t="n"/>
      <c r="AE169" s="2" t="n"/>
      <c r="AF169" s="2" t="n"/>
      <c r="AG169" s="2" t="n"/>
      <c r="AH169" s="2" t="n">
        <v>2200</v>
      </c>
      <c r="AI169" s="2" t="n"/>
      <c r="AJ169" s="2" t="n"/>
      <c r="AK169" s="2" t="n"/>
      <c r="AL169" s="2" t="n"/>
      <c r="AM169" s="2" t="n"/>
      <c r="AN169" s="2" t="n">
        <v>2550</v>
      </c>
      <c r="AO169" s="2" t="n">
        <v>4</v>
      </c>
      <c r="AP169" s="2" t="inlineStr">
        <is>
          <t>modelo+año+km</t>
        </is>
      </c>
      <c r="AQ169" s="2" t="n"/>
      <c r="AR16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69" s="2" t="inlineStr">
        <is>
          <t xml:space="preserve">AIre acondicionado, Airbags, ABS,Itv pasada. </t>
        </is>
      </c>
      <c r="AT169" s="2" t="inlineStr">
        <is>
          <t>https://www.coches.net/citroen-c3-diesel-2008-en-valencia-71537593-covo.aspx (window.__INITIAL_PROPS__.ad) /home/user/Alopecia/buscador-coches/raw/cochesnet/b21b7ae55056e972.json</t>
        </is>
      </c>
      <c r="AU169" s="3">
        <f>MAX(ANIO_ACTUAL-M169,0)</f>
        <v/>
      </c>
      <c r="AV169" s="4">
        <f>N169/MAX(AU169,0.5)</f>
        <v/>
      </c>
      <c r="AW169" s="4">
        <f>F169</f>
        <v/>
      </c>
      <c r="AX169" s="3">
        <f>AW169&amp;"|"&amp;INT(M169/SEG_ANIO)*SEG_ANIO</f>
        <v/>
      </c>
      <c r="AY169" s="3">
        <f>AX169&amp;"|"&amp;INT(N169/SEG_KM)*SEG_KM</f>
        <v/>
      </c>
      <c r="AZ169" s="4">
        <f>COUNTIF($AW$2:$AW$662,AW169)</f>
        <v/>
      </c>
      <c r="BA169" s="4">
        <f>COUNTIF($AX$2:$AX$662,AX169)</f>
        <v/>
      </c>
      <c r="BB169" s="4">
        <f>COUNTIF($AY$2:$AY$662,AY169)</f>
        <v/>
      </c>
      <c r="BC169" s="3">
        <f t="array" ref="BC169">IF(N(AO169)&gt;=MIN_N,AN169,IF(BB169&gt;=MIN_N,MEDIAN(IF($AY$2:$AY$662=AY169,$O$2:$O$662)),IF(BA169&gt;=MIN_N,MEDIAN(IF($AX$2:$AX$662=AX169,$O$2:$O$662)),MEDIAN(IF($AW$2:$AW$662=AW169,$O$2:$O$662)))))</f>
        <v/>
      </c>
      <c r="BD169" s="3">
        <f>IF(N(AO169)&gt;=MIN_N,"mercado "&amp;AP169,IF(BB169&gt;=MIN_N,"modelo+año+km",IF(BA169&gt;=MIN_N,"modelo+año","modelo")))</f>
        <v/>
      </c>
      <c r="BE169" s="4">
        <f>(BC169-O169)/BC169</f>
        <v/>
      </c>
      <c r="BF169" s="3">
        <f>IF(OR(K169="hibrido",K169="glp"),"ECO",IF(K169="electrico","CERO",IF(K169="gasolina",IF(M169&gt;=GAS_C,"C",IF(M169&gt;=GAS_B,"B","A")),IF(K169="diesel",IF(M169&gt;=DIE_C,"C",IF(M169&gt;=DIE_B,"B","A")),""))))</f>
        <v/>
      </c>
      <c r="BG169" s="3">
        <f>IFERROR(VLOOKUP(F169,MOD_TBL,11,0),IFERROR(VLOOKUP(E169,OCU_TBL,2,0),NEUTRO))</f>
        <v/>
      </c>
      <c r="BH169" s="3">
        <f>SUMIFS(MOT_AJUSTE,MOT_MOTOR,G169,MOT_MARCA,E169,MOT_DESDE,"&lt;="&amp;M169,MOT_HASTA,"&gt;="&amp;M169)+SUMIFS(MOT_AJUSTE,MOT_MOTOR,G169,MOT_MARCA,"(todas)",MOT_DESDE,"&lt;="&amp;M169,MOT_HASTA,"&gt;="&amp;M169)</f>
        <v/>
      </c>
      <c r="BI169" s="3">
        <f>SUMIFS(COMB_AJUSTE,COMB_COMB,K169)</f>
        <v/>
      </c>
      <c r="BJ169" s="3">
        <f>COUNTIFS(MOT_MOTOR,G169,MOT_MARCA,E169,MOT_DESDE,"&lt;="&amp;M169,MOT_HASTA,"&gt;="&amp;M169)+COUNTIFS(MOT_MOTOR,G169,MOT_MARCA,"(todas)",MOT_DESDE,"&lt;="&amp;M169,MOT_HASTA,"&gt;="&amp;M169)</f>
        <v/>
      </c>
      <c r="BK169" s="3">
        <f>IF(AND(K169="diesel",BJ169=0),MIN(BG169,NEUTRO),BG169)</f>
        <v/>
      </c>
      <c r="BL169" s="4">
        <f>MAX(0,MIN(100,BK169+BH169+BI169))</f>
        <v/>
      </c>
      <c r="BM169" s="3">
        <f>MAX(0,MIN(100,50+BE169*PRECIO_PEND))</f>
        <v/>
      </c>
      <c r="BN169" s="3">
        <f>MAX(0,100*(1-N169/KM_MAX))</f>
        <v/>
      </c>
      <c r="BO169" s="3">
        <f>IF(AV169&lt;KMA_SOSP,IF(AA169="sí",100,KMA_PEN),IF(AV169&lt;=KMA_IDEAL_MAX,100,MAX(0,100*(KMA_CERO-AV169)/(KMA_CERO-KMA_IDEAL_MAX))))</f>
        <v/>
      </c>
      <c r="BP169" s="3">
        <f>MAX(0,MIN(100,100*(M169-ANIO_MIN)/(ANIO_ACTUAL-ANIO_MIN)))</f>
        <v/>
      </c>
      <c r="BQ169" s="3">
        <f>W_KMT*BN169+W_KMA*BO169+W_EDAD*BP169</f>
        <v/>
      </c>
      <c r="BR169" s="3">
        <f>P_ITV*(V169="sí")+P_LIBRO*(W169="sí")+P_CORREA*(X169="sí")+P_PROP*(Y169=1)+P_GAR*(Z169="sí")+P_FOTOS*MIN(1,N(U169)/FOTOS_OBJ)</f>
        <v/>
      </c>
      <c r="BS169" s="3">
        <f>IFERROR(VLOOKUP(BF169,ETQ_TBL,2,0),NEUTRO)</f>
        <v/>
      </c>
      <c r="BT169" s="3">
        <f>NEUTRO</f>
        <v/>
      </c>
      <c r="BU169" s="3">
        <f>IFERROR(VLOOKUP(L169,SEGURO_TBL,3,0),"")</f>
        <v/>
      </c>
      <c r="BV169" s="3">
        <f>IF(BU169="",NEUTRO,MAX(0,MIN(100,100*(SEG_REF_MAX-BU169)/(SEG_REF_MAX-SEG_REF_MIN))))</f>
        <v/>
      </c>
      <c r="BW169" s="3">
        <f>W_ET*BS169+W_CONS*BT169+W_SEG*BV169</f>
        <v/>
      </c>
      <c r="BX169" s="3">
        <f>IF(N(AB169)&gt;0,AB169,IF(AND(R169="profesional",SG_LEGAL_ON=1),GAR_LEGAL,0))</f>
        <v/>
      </c>
      <c r="BY169" s="3">
        <f>SG_GAR*MIN(1,BX169/SG_GAR_FULL)+SG_AMPL*(AC169="sí")+SG_KMC*(AF169="sí")+SG_REV*(N(AE169)&gt;0)+SG_DEV*MIN(1,N(AG169)/SG_DEV_FULL)+SG_HIST*(W169="sí")</f>
        <v/>
      </c>
      <c r="BZ169" s="3">
        <f>IFERROR(VLOOKUP(L169,CARR_PEN_TBL,2,0),0)</f>
        <v/>
      </c>
      <c r="CA169" s="3">
        <f>W_FIAB*BL169+W_PRECIO*BM169+W_KMEDAD*BQ169+W_ANUNCIO*BR169+W_USO*BW169+W_SEGURIDAD*BY169-BZ169</f>
        <v/>
      </c>
      <c r="CB169" s="4">
        <f>IF(N(I169)&gt;0,I169,IFERROR(ROUND(_xlfn.NUMBERVALUE(LEFT(G169,FIND(" ",G169&amp;" ")-1),".")*1000,0),99999))</f>
        <v/>
      </c>
      <c r="CC169" s="3">
        <f>IF(R169="profesional",0,IF(O169&lt;CUOTA_VALOR_MAX,IF(AU169&gt;ITP_TRAMO_ALTO,SUMIFS(CF_CUOTA,CF_MAS,ITP_TRAMO_ALTO,CF_CCMIN,"&lt;="&amp;CB169,CF_CCMAX,"&gt;="&amp;CB169),IF(AU169&gt;ITP_TRAMO_BAJO,SUMIFS(CF_CUOTA,CF_MAS,ITP_TRAMO_BAJO,CF_CCMIN,"&lt;="&amp;CB169,CF_CCMAX,"&gt;="&amp;CB169),O169*ITP_TIPO)),O169*ITP_TIPO))</f>
        <v/>
      </c>
      <c r="CD169" s="4">
        <f>IF(R169="profesional",N(AK169),0)</f>
        <v/>
      </c>
      <c r="CE169" s="3">
        <f>IF(AND(R169="profesional",ISNUMBER(AK169),AL169="sí"),0,TASA_DGT)</f>
        <v/>
      </c>
      <c r="CF169" s="3">
        <f>INFORME_DGT</f>
        <v/>
      </c>
      <c r="CG169" s="4">
        <f>O169+CD169+CC169+CE169+CF169</f>
        <v/>
      </c>
      <c r="CH169" s="4">
        <f>CG169+N(BU169)</f>
        <v/>
      </c>
      <c r="CI169" s="3">
        <f>IF(CG169&lt;=TOTAL_MAX,"sí",IF(CG169&lt;=TOTAL_MAX+MARGEN_NEG,"negociar","no"))</f>
        <v/>
      </c>
      <c r="CJ169" s="4">
        <f>IF(CI169&lt;&gt;"no",COUNTIFS($CI$2:$CI$662,"&lt;&gt;no",$CA$2:$CA$662,"&gt;"&amp;CA169)+COUNTIFS($CI$2:CI169,"&lt;&gt;no",$CA$2:CA169,CA169),"")</f>
        <v/>
      </c>
    </row>
    <row r="170">
      <c r="A170" s="2" t="inlineStr">
        <is>
          <t>cochesnet:71762226</t>
        </is>
      </c>
      <c r="B170" s="2" t="inlineStr">
        <is>
          <t>cochesnet</t>
        </is>
      </c>
      <c r="C170" s="2" t="inlineStr">
        <is>
          <t>https://www.coches.net/citroen-c4-16-hdi-110-cool-5p-diesel-2005-en-valencia-71762226-covo.aspx</t>
        </is>
      </c>
      <c r="D170" s="2" t="inlineStr">
        <is>
          <t>CITROEN C4 1.6 HDi 110 Cool</t>
        </is>
      </c>
      <c r="E170" s="2" t="inlineStr">
        <is>
          <t>Citroën</t>
        </is>
      </c>
      <c r="F170" s="2" t="inlineStr">
        <is>
          <t>Citroën C4</t>
        </is>
      </c>
      <c r="G170" s="2" t="inlineStr">
        <is>
          <t>1.6 HDi</t>
        </is>
      </c>
      <c r="H170" s="2" t="inlineStr">
        <is>
          <t>1.6 HDi 110 Cool</t>
        </is>
      </c>
      <c r="I170" s="2" t="n"/>
      <c r="J170" s="2" t="n"/>
      <c r="K170" s="2" t="inlineStr">
        <is>
          <t>diesel</t>
        </is>
      </c>
      <c r="L170" s="2" t="inlineStr">
        <is>
          <t>compacto</t>
        </is>
      </c>
      <c r="M170" s="2" t="n">
        <v>2008</v>
      </c>
      <c r="N170" s="2" t="n">
        <v>197000</v>
      </c>
      <c r="O170" s="2" t="n">
        <v>3990</v>
      </c>
      <c r="P170" s="2" t="inlineStr">
        <is>
          <t>automatico</t>
        </is>
      </c>
      <c r="Q170" s="2" t="inlineStr">
        <is>
          <t>sí</t>
        </is>
      </c>
      <c r="R170" s="2" t="inlineStr">
        <is>
          <t>profesional</t>
        </is>
      </c>
      <c r="S170" s="2" t="inlineStr">
        <is>
          <t>MSG Car 4 Valencia</t>
        </is>
      </c>
      <c r="T170" s="2" t="inlineStr">
        <is>
          <t>2026-10-16T13:39:50Z</t>
        </is>
      </c>
      <c r="U170" s="2" t="n">
        <v>12</v>
      </c>
      <c r="V170" s="2" t="n"/>
      <c r="W170" s="2" t="n"/>
      <c r="X170" s="2" t="inlineStr">
        <is>
          <t>sí</t>
        </is>
      </c>
      <c r="Y170" s="2" t="n"/>
      <c r="Z170" s="2" t="inlineStr">
        <is>
          <t>sí</t>
        </is>
      </c>
      <c r="AA170" s="2" t="inlineStr">
        <is>
          <t>sí</t>
        </is>
      </c>
      <c r="AB170" s="2" t="n">
        <v>12</v>
      </c>
      <c r="AC170" s="2" t="n"/>
      <c r="AD170" s="2" t="n"/>
      <c r="AE170" s="2" t="n"/>
      <c r="AF170" s="2" t="inlineStr">
        <is>
          <t>sí</t>
        </is>
      </c>
      <c r="AG170" s="2" t="n"/>
      <c r="AH170" s="2" t="n">
        <v>3990</v>
      </c>
      <c r="AI170" s="2" t="n"/>
      <c r="AJ170" s="2" t="n"/>
      <c r="AK170" s="2" t="n"/>
      <c r="AL170" s="2" t="n"/>
      <c r="AM170" s="2" t="n">
        <v>0.1</v>
      </c>
      <c r="AN170" s="2" t="n">
        <v>3500</v>
      </c>
      <c r="AO170" s="2" t="n">
        <v>11</v>
      </c>
      <c r="AP170" s="2" t="inlineStr">
        <is>
          <t>modelo+año+km</t>
        </is>
      </c>
      <c r="AQ170" s="2" t="n"/>
      <c r="AR170" s="2" t="inlineStr">
        <is>
          <t>vendedor profesional: sin ITP (operación con IVA/REBU, confirmar en factura); gastos de gestión del vendedor no indicados: se suma la tasa DGT; preguntar el precio final; fiabilidad del modelo PENDIENTE de fuente (puntuación neutra)</t>
        </is>
      </c>
      <c r="AS170" s="2" t="inlineStr">
        <is>
          <t>-Automático-Nacional-Kilometraje certificado-Etiqueta medioambiental B-Recién revisado-Distribución cambiada-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AT170" s="2" t="inlineStr">
        <is>
          <t>https://www.coches.net/citroen-c4-16-hdi-110-cool-5p-diesel-2005-en-valencia-71762226-covo.aspx (window.__INITIAL_PROPS__.ad) /home/user/Alopecia/buscador-coches/raw/cochesnet/d47641de556ca375.json</t>
        </is>
      </c>
      <c r="AU170" s="3">
        <f>MAX(ANIO_ACTUAL-M170,0)</f>
        <v/>
      </c>
      <c r="AV170" s="4">
        <f>N170/MAX(AU170,0.5)</f>
        <v/>
      </c>
      <c r="AW170" s="4">
        <f>F170</f>
        <v/>
      </c>
      <c r="AX170" s="3">
        <f>AW170&amp;"|"&amp;INT(M170/SEG_ANIO)*SEG_ANIO</f>
        <v/>
      </c>
      <c r="AY170" s="3">
        <f>AX170&amp;"|"&amp;INT(N170/SEG_KM)*SEG_KM</f>
        <v/>
      </c>
      <c r="AZ170" s="4">
        <f>COUNTIF($AW$2:$AW$662,AW170)</f>
        <v/>
      </c>
      <c r="BA170" s="4">
        <f>COUNTIF($AX$2:$AX$662,AX170)</f>
        <v/>
      </c>
      <c r="BB170" s="4">
        <f>COUNTIF($AY$2:$AY$662,AY170)</f>
        <v/>
      </c>
      <c r="BC170" s="3">
        <f t="array" ref="BC170">IF(N(AO170)&gt;=MIN_N,AN170,IF(BB170&gt;=MIN_N,MEDIAN(IF($AY$2:$AY$662=AY170,$O$2:$O$662)),IF(BA170&gt;=MIN_N,MEDIAN(IF($AX$2:$AX$662=AX170,$O$2:$O$662)),MEDIAN(IF($AW$2:$AW$662=AW170,$O$2:$O$662)))))</f>
        <v/>
      </c>
      <c r="BD170" s="3">
        <f>IF(N(AO170)&gt;=MIN_N,"mercado "&amp;AP170,IF(BB170&gt;=MIN_N,"modelo+año+km",IF(BA170&gt;=MIN_N,"modelo+año","modelo")))</f>
        <v/>
      </c>
      <c r="BE170" s="4">
        <f>(BC170-O170)/BC170</f>
        <v/>
      </c>
      <c r="BF170" s="3">
        <f>IF(OR(K170="hibrido",K170="glp"),"ECO",IF(K170="electrico","CERO",IF(K170="gasolina",IF(M170&gt;=GAS_C,"C",IF(M170&gt;=GAS_B,"B","A")),IF(K170="diesel",IF(M170&gt;=DIE_C,"C",IF(M170&gt;=DIE_B,"B","A")),""))))</f>
        <v/>
      </c>
      <c r="BG170" s="3">
        <f>IFERROR(VLOOKUP(F170,MOD_TBL,11,0),IFERROR(VLOOKUP(E170,OCU_TBL,2,0),NEUTRO))</f>
        <v/>
      </c>
      <c r="BH170" s="3">
        <f>SUMIFS(MOT_AJUSTE,MOT_MOTOR,G170,MOT_MARCA,E170,MOT_DESDE,"&lt;="&amp;M170,MOT_HASTA,"&gt;="&amp;M170)+SUMIFS(MOT_AJUSTE,MOT_MOTOR,G170,MOT_MARCA,"(todas)",MOT_DESDE,"&lt;="&amp;M170,MOT_HASTA,"&gt;="&amp;M170)</f>
        <v/>
      </c>
      <c r="BI170" s="3">
        <f>SUMIFS(COMB_AJUSTE,COMB_COMB,K170)</f>
        <v/>
      </c>
      <c r="BJ170" s="3">
        <f>COUNTIFS(MOT_MOTOR,G170,MOT_MARCA,E170,MOT_DESDE,"&lt;="&amp;M170,MOT_HASTA,"&gt;="&amp;M170)+COUNTIFS(MOT_MOTOR,G170,MOT_MARCA,"(todas)",MOT_DESDE,"&lt;="&amp;M170,MOT_HASTA,"&gt;="&amp;M170)</f>
        <v/>
      </c>
      <c r="BK170" s="3">
        <f>IF(AND(K170="diesel",BJ170=0),MIN(BG170,NEUTRO),BG170)</f>
        <v/>
      </c>
      <c r="BL170" s="4">
        <f>MAX(0,MIN(100,BK170+BH170+BI170))</f>
        <v/>
      </c>
      <c r="BM170" s="3">
        <f>MAX(0,MIN(100,50+BE170*PRECIO_PEND))</f>
        <v/>
      </c>
      <c r="BN170" s="3">
        <f>MAX(0,100*(1-N170/KM_MAX))</f>
        <v/>
      </c>
      <c r="BO170" s="3">
        <f>IF(AV170&lt;KMA_SOSP,IF(AA170="sí",100,KMA_PEN),IF(AV170&lt;=KMA_IDEAL_MAX,100,MAX(0,100*(KMA_CERO-AV170)/(KMA_CERO-KMA_IDEAL_MAX))))</f>
        <v/>
      </c>
      <c r="BP170" s="3">
        <f>MAX(0,MIN(100,100*(M170-ANIO_MIN)/(ANIO_ACTUAL-ANIO_MIN)))</f>
        <v/>
      </c>
      <c r="BQ170" s="3">
        <f>W_KMT*BN170+W_KMA*BO170+W_EDAD*BP170</f>
        <v/>
      </c>
      <c r="BR170" s="3">
        <f>P_ITV*(V170="sí")+P_LIBRO*(W170="sí")+P_CORREA*(X170="sí")+P_PROP*(Y170=1)+P_GAR*(Z170="sí")+P_FOTOS*MIN(1,N(U170)/FOTOS_OBJ)</f>
        <v/>
      </c>
      <c r="BS170" s="3">
        <f>IFERROR(VLOOKUP(BF170,ETQ_TBL,2,0),NEUTRO)</f>
        <v/>
      </c>
      <c r="BT170" s="3">
        <f>NEUTRO</f>
        <v/>
      </c>
      <c r="BU170" s="3">
        <f>IFERROR(VLOOKUP(L170,SEGURO_TBL,3,0),"")</f>
        <v/>
      </c>
      <c r="BV170" s="3">
        <f>IF(BU170="",NEUTRO,MAX(0,MIN(100,100*(SEG_REF_MAX-BU170)/(SEG_REF_MAX-SEG_REF_MIN))))</f>
        <v/>
      </c>
      <c r="BW170" s="3">
        <f>W_ET*BS170+W_CONS*BT170+W_SEG*BV170</f>
        <v/>
      </c>
      <c r="BX170" s="3">
        <f>IF(N(AB170)&gt;0,AB170,IF(AND(R170="profesional",SG_LEGAL_ON=1),GAR_LEGAL,0))</f>
        <v/>
      </c>
      <c r="BY170" s="3">
        <f>SG_GAR*MIN(1,BX170/SG_GAR_FULL)+SG_AMPL*(AC170="sí")+SG_KMC*(AF170="sí")+SG_REV*(N(AE170)&gt;0)+SG_DEV*MIN(1,N(AG170)/SG_DEV_FULL)+SG_HIST*(W170="sí")</f>
        <v/>
      </c>
      <c r="BZ170" s="3">
        <f>IFERROR(VLOOKUP(L170,CARR_PEN_TBL,2,0),0)</f>
        <v/>
      </c>
      <c r="CA170" s="3">
        <f>W_FIAB*BL170+W_PRECIO*BM170+W_KMEDAD*BQ170+W_ANUNCIO*BR170+W_USO*BW170+W_SEGURIDAD*BY170-BZ170</f>
        <v/>
      </c>
      <c r="CB170" s="4">
        <f>IF(N(I170)&gt;0,I170,IFERROR(ROUND(_xlfn.NUMBERVALUE(LEFT(G170,FIND(" ",G170&amp;" ")-1),".")*1000,0),99999))</f>
        <v/>
      </c>
      <c r="CC170" s="3">
        <f>IF(R170="profesional",0,IF(O170&lt;CUOTA_VALOR_MAX,IF(AU170&gt;ITP_TRAMO_ALTO,SUMIFS(CF_CUOTA,CF_MAS,ITP_TRAMO_ALTO,CF_CCMIN,"&lt;="&amp;CB170,CF_CCMAX,"&gt;="&amp;CB170),IF(AU170&gt;ITP_TRAMO_BAJO,SUMIFS(CF_CUOTA,CF_MAS,ITP_TRAMO_BAJO,CF_CCMIN,"&lt;="&amp;CB170,CF_CCMAX,"&gt;="&amp;CB170),O170*ITP_TIPO)),O170*ITP_TIPO))</f>
        <v/>
      </c>
      <c r="CD170" s="4">
        <f>IF(R170="profesional",N(AK170),0)</f>
        <v/>
      </c>
      <c r="CE170" s="3">
        <f>IF(AND(R170="profesional",ISNUMBER(AK170),AL170="sí"),0,TASA_DGT)</f>
        <v/>
      </c>
      <c r="CF170" s="3">
        <f>INFORME_DGT</f>
        <v/>
      </c>
      <c r="CG170" s="4">
        <f>O170+CD170+CC170+CE170+CF170</f>
        <v/>
      </c>
      <c r="CH170" s="4">
        <f>CG170+N(BU170)</f>
        <v/>
      </c>
      <c r="CI170" s="3">
        <f>IF(CG170&lt;=TOTAL_MAX,"sí",IF(CG170&lt;=TOTAL_MAX+MARGEN_NEG,"negociar","no"))</f>
        <v/>
      </c>
      <c r="CJ170" s="4">
        <f>IF(CI170&lt;&gt;"no",COUNTIFS($CI$2:$CI$662,"&lt;&gt;no",$CA$2:$CA$662,"&gt;"&amp;CA170)+COUNTIFS($CI$2:CI170,"&lt;&gt;no",$CA$2:CA170,CA170),"")</f>
        <v/>
      </c>
    </row>
    <row r="171">
      <c r="A171" s="2" t="inlineStr">
        <is>
          <t>cochesnet:71580818</t>
        </is>
      </c>
      <c r="B171" s="2" t="inlineStr">
        <is>
          <t>cochesnet</t>
        </is>
      </c>
      <c r="C171" s="2" t="inlineStr">
        <is>
          <t>https://www.coches.net/citroen-c4-14-16v-lx-5p-gasolina-2005-en-valencia-71580818-covo.aspx</t>
        </is>
      </c>
      <c r="D171" s="2" t="inlineStr">
        <is>
          <t>CITROEN C4 1.4 16v LX</t>
        </is>
      </c>
      <c r="E171" s="2" t="inlineStr">
        <is>
          <t>Citroën</t>
        </is>
      </c>
      <c r="F171" s="2" t="inlineStr">
        <is>
          <t>Citroën C4</t>
        </is>
      </c>
      <c r="G171" s="2" t="inlineStr">
        <is>
          <t>1.4</t>
        </is>
      </c>
      <c r="H171" s="2" t="inlineStr">
        <is>
          <t>1.4 16v LX</t>
        </is>
      </c>
      <c r="I171" s="2" t="n"/>
      <c r="J171" s="2" t="n"/>
      <c r="K171" s="2" t="inlineStr">
        <is>
          <t>gasolina</t>
        </is>
      </c>
      <c r="L171" s="2" t="inlineStr">
        <is>
          <t>compacto</t>
        </is>
      </c>
      <c r="M171" s="2" t="n">
        <v>2008</v>
      </c>
      <c r="N171" s="2" t="n">
        <v>148000</v>
      </c>
      <c r="O171" s="2" t="n">
        <v>4390</v>
      </c>
      <c r="P171" s="2" t="inlineStr">
        <is>
          <t>manual</t>
        </is>
      </c>
      <c r="Q171" s="2" t="inlineStr">
        <is>
          <t>no</t>
        </is>
      </c>
      <c r="R171" s="2" t="inlineStr">
        <is>
          <t>profesional</t>
        </is>
      </c>
      <c r="S171" s="2" t="inlineStr">
        <is>
          <t>Only Cars Valencia Aldaia</t>
        </is>
      </c>
      <c r="T171" s="2" t="inlineStr">
        <is>
          <t>2026-09-23T13:56:52Z</t>
        </is>
      </c>
      <c r="U171" s="2" t="n">
        <v>11</v>
      </c>
      <c r="V171" s="2" t="n"/>
      <c r="W171" s="2" t="n"/>
      <c r="X171" s="2" t="n"/>
      <c r="Y171" s="2" t="n">
        <v>1</v>
      </c>
      <c r="Z171" s="2" t="inlineStr">
        <is>
          <t>sí</t>
        </is>
      </c>
      <c r="AA171" s="2" t="n"/>
      <c r="AB171" s="2" t="n">
        <v>12</v>
      </c>
      <c r="AC171" s="2" t="n"/>
      <c r="AD171" s="2" t="n"/>
      <c r="AE171" s="2" t="n"/>
      <c r="AF171" s="2" t="n"/>
      <c r="AG171" s="2" t="n"/>
      <c r="AH171" s="2" t="n">
        <v>4390</v>
      </c>
      <c r="AI171" s="2" t="n"/>
      <c r="AJ171" s="2" t="n"/>
      <c r="AK171" s="2" t="n"/>
      <c r="AL171" s="2" t="n"/>
      <c r="AM171" s="2" t="n">
        <v>7.5</v>
      </c>
      <c r="AN171" s="2" t="n">
        <v>3797</v>
      </c>
      <c r="AO171" s="2" t="n">
        <v>9</v>
      </c>
      <c r="AP171" s="2" t="inlineStr">
        <is>
          <t>modelo+año+km</t>
        </is>
      </c>
      <c r="AQ171" s="2" t="n"/>
      <c r="AR171" s="2" t="inlineStr">
        <is>
          <t>vendedor profesional: sin ITP (operación con IVA/REBU, confirmar en factura); gastos de gestión del vendedor no indicados: se suma la tasa DGT; preguntar el precio final; fiabilidad del modelo PENDIENTE de fuente (puntuación neutra)</t>
        </is>
      </c>
      <c r="AS171" s="2" t="inlineStr">
        <is>
          <t>Citroen C4 1.4 LX año 2008 con 148.000Kms 88CV.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171" s="2" t="inlineStr">
        <is>
          <t>https://www.coches.net/citroen-c4-14-16v-lx-5p-gasolina-2005-en-valencia-71580818-covo.aspx (window.__INITIAL_PROPS__.ad) /home/user/Alopecia/buscador-coches/raw/cochesnet/50707d9d0aa0d3c2.json</t>
        </is>
      </c>
      <c r="AU171" s="3">
        <f>MAX(ANIO_ACTUAL-M171,0)</f>
        <v/>
      </c>
      <c r="AV171" s="4">
        <f>N171/MAX(AU171,0.5)</f>
        <v/>
      </c>
      <c r="AW171" s="4">
        <f>F171</f>
        <v/>
      </c>
      <c r="AX171" s="3">
        <f>AW171&amp;"|"&amp;INT(M171/SEG_ANIO)*SEG_ANIO</f>
        <v/>
      </c>
      <c r="AY171" s="3">
        <f>AX171&amp;"|"&amp;INT(N171/SEG_KM)*SEG_KM</f>
        <v/>
      </c>
      <c r="AZ171" s="4">
        <f>COUNTIF($AW$2:$AW$662,AW171)</f>
        <v/>
      </c>
      <c r="BA171" s="4">
        <f>COUNTIF($AX$2:$AX$662,AX171)</f>
        <v/>
      </c>
      <c r="BB171" s="4">
        <f>COUNTIF($AY$2:$AY$662,AY171)</f>
        <v/>
      </c>
      <c r="BC171" s="3">
        <f t="array" ref="BC171">IF(N(AO171)&gt;=MIN_N,AN171,IF(BB171&gt;=MIN_N,MEDIAN(IF($AY$2:$AY$662=AY171,$O$2:$O$662)),IF(BA171&gt;=MIN_N,MEDIAN(IF($AX$2:$AX$662=AX171,$O$2:$O$662)),MEDIAN(IF($AW$2:$AW$662=AW171,$O$2:$O$662)))))</f>
        <v/>
      </c>
      <c r="BD171" s="3">
        <f>IF(N(AO171)&gt;=MIN_N,"mercado "&amp;AP171,IF(BB171&gt;=MIN_N,"modelo+año+km",IF(BA171&gt;=MIN_N,"modelo+año","modelo")))</f>
        <v/>
      </c>
      <c r="BE171" s="4">
        <f>(BC171-O171)/BC171</f>
        <v/>
      </c>
      <c r="BF171" s="3">
        <f>IF(OR(K171="hibrido",K171="glp"),"ECO",IF(K171="electrico","CERO",IF(K171="gasolina",IF(M171&gt;=GAS_C,"C",IF(M171&gt;=GAS_B,"B","A")),IF(K171="diesel",IF(M171&gt;=DIE_C,"C",IF(M171&gt;=DIE_B,"B","A")),""))))</f>
        <v/>
      </c>
      <c r="BG171" s="3">
        <f>IFERROR(VLOOKUP(F171,MOD_TBL,11,0),IFERROR(VLOOKUP(E171,OCU_TBL,2,0),NEUTRO))</f>
        <v/>
      </c>
      <c r="BH171" s="3">
        <f>SUMIFS(MOT_AJUSTE,MOT_MOTOR,G171,MOT_MARCA,E171,MOT_DESDE,"&lt;="&amp;M171,MOT_HASTA,"&gt;="&amp;M171)+SUMIFS(MOT_AJUSTE,MOT_MOTOR,G171,MOT_MARCA,"(todas)",MOT_DESDE,"&lt;="&amp;M171,MOT_HASTA,"&gt;="&amp;M171)</f>
        <v/>
      </c>
      <c r="BI171" s="3">
        <f>SUMIFS(COMB_AJUSTE,COMB_COMB,K171)</f>
        <v/>
      </c>
      <c r="BJ171" s="3">
        <f>COUNTIFS(MOT_MOTOR,G171,MOT_MARCA,E171,MOT_DESDE,"&lt;="&amp;M171,MOT_HASTA,"&gt;="&amp;M171)+COUNTIFS(MOT_MOTOR,G171,MOT_MARCA,"(todas)",MOT_DESDE,"&lt;="&amp;M171,MOT_HASTA,"&gt;="&amp;M171)</f>
        <v/>
      </c>
      <c r="BK171" s="3">
        <f>IF(AND(K171="diesel",BJ171=0),MIN(BG171,NEUTRO),BG171)</f>
        <v/>
      </c>
      <c r="BL171" s="4">
        <f>MAX(0,MIN(100,BK171+BH171+BI171))</f>
        <v/>
      </c>
      <c r="BM171" s="3">
        <f>MAX(0,MIN(100,50+BE171*PRECIO_PEND))</f>
        <v/>
      </c>
      <c r="BN171" s="3">
        <f>MAX(0,100*(1-N171/KM_MAX))</f>
        <v/>
      </c>
      <c r="BO171" s="3">
        <f>IF(AV171&lt;KMA_SOSP,IF(AA171="sí",100,KMA_PEN),IF(AV171&lt;=KMA_IDEAL_MAX,100,MAX(0,100*(KMA_CERO-AV171)/(KMA_CERO-KMA_IDEAL_MAX))))</f>
        <v/>
      </c>
      <c r="BP171" s="3">
        <f>MAX(0,MIN(100,100*(M171-ANIO_MIN)/(ANIO_ACTUAL-ANIO_MIN)))</f>
        <v/>
      </c>
      <c r="BQ171" s="3">
        <f>W_KMT*BN171+W_KMA*BO171+W_EDAD*BP171</f>
        <v/>
      </c>
      <c r="BR171" s="3">
        <f>P_ITV*(V171="sí")+P_LIBRO*(W171="sí")+P_CORREA*(X171="sí")+P_PROP*(Y171=1)+P_GAR*(Z171="sí")+P_FOTOS*MIN(1,N(U171)/FOTOS_OBJ)</f>
        <v/>
      </c>
      <c r="BS171" s="3">
        <f>IFERROR(VLOOKUP(BF171,ETQ_TBL,2,0),NEUTRO)</f>
        <v/>
      </c>
      <c r="BT171" s="3">
        <f>NEUTRO</f>
        <v/>
      </c>
      <c r="BU171" s="3">
        <f>IFERROR(VLOOKUP(L171,SEGURO_TBL,3,0),"")</f>
        <v/>
      </c>
      <c r="BV171" s="3">
        <f>IF(BU171="",NEUTRO,MAX(0,MIN(100,100*(SEG_REF_MAX-BU171)/(SEG_REF_MAX-SEG_REF_MIN))))</f>
        <v/>
      </c>
      <c r="BW171" s="3">
        <f>W_ET*BS171+W_CONS*BT171+W_SEG*BV171</f>
        <v/>
      </c>
      <c r="BX171" s="3">
        <f>IF(N(AB171)&gt;0,AB171,IF(AND(R171="profesional",SG_LEGAL_ON=1),GAR_LEGAL,0))</f>
        <v/>
      </c>
      <c r="BY171" s="3">
        <f>SG_GAR*MIN(1,BX171/SG_GAR_FULL)+SG_AMPL*(AC171="sí")+SG_KMC*(AF171="sí")+SG_REV*(N(AE171)&gt;0)+SG_DEV*MIN(1,N(AG171)/SG_DEV_FULL)+SG_HIST*(W171="sí")</f>
        <v/>
      </c>
      <c r="BZ171" s="3">
        <f>IFERROR(VLOOKUP(L171,CARR_PEN_TBL,2,0),0)</f>
        <v/>
      </c>
      <c r="CA171" s="3">
        <f>W_FIAB*BL171+W_PRECIO*BM171+W_KMEDAD*BQ171+W_ANUNCIO*BR171+W_USO*BW171+W_SEGURIDAD*BY171-BZ171</f>
        <v/>
      </c>
      <c r="CB171" s="4">
        <f>IF(N(I171)&gt;0,I171,IFERROR(ROUND(_xlfn.NUMBERVALUE(LEFT(G171,FIND(" ",G171&amp;" ")-1),".")*1000,0),99999))</f>
        <v/>
      </c>
      <c r="CC171" s="3">
        <f>IF(R171="profesional",0,IF(O171&lt;CUOTA_VALOR_MAX,IF(AU171&gt;ITP_TRAMO_ALTO,SUMIFS(CF_CUOTA,CF_MAS,ITP_TRAMO_ALTO,CF_CCMIN,"&lt;="&amp;CB171,CF_CCMAX,"&gt;="&amp;CB171),IF(AU171&gt;ITP_TRAMO_BAJO,SUMIFS(CF_CUOTA,CF_MAS,ITP_TRAMO_BAJO,CF_CCMIN,"&lt;="&amp;CB171,CF_CCMAX,"&gt;="&amp;CB171),O171*ITP_TIPO)),O171*ITP_TIPO))</f>
        <v/>
      </c>
      <c r="CD171" s="4">
        <f>IF(R171="profesional",N(AK171),0)</f>
        <v/>
      </c>
      <c r="CE171" s="3">
        <f>IF(AND(R171="profesional",ISNUMBER(AK171),AL171="sí"),0,TASA_DGT)</f>
        <v/>
      </c>
      <c r="CF171" s="3">
        <f>INFORME_DGT</f>
        <v/>
      </c>
      <c r="CG171" s="4">
        <f>O171+CD171+CC171+CE171+CF171</f>
        <v/>
      </c>
      <c r="CH171" s="4">
        <f>CG171+N(BU171)</f>
        <v/>
      </c>
      <c r="CI171" s="3">
        <f>IF(CG171&lt;=TOTAL_MAX,"sí",IF(CG171&lt;=TOTAL_MAX+MARGEN_NEG,"negociar","no"))</f>
        <v/>
      </c>
      <c r="CJ171" s="4">
        <f>IF(CI171&lt;&gt;"no",COUNTIFS($CI$2:$CI$662,"&lt;&gt;no",$CA$2:$CA$662,"&gt;"&amp;CA171)+COUNTIFS($CI$2:CI171,"&lt;&gt;no",$CA$2:CA171,CA171),"")</f>
        <v/>
      </c>
    </row>
    <row r="172">
      <c r="A172" s="2" t="inlineStr">
        <is>
          <t>cochesnet:71753988</t>
        </is>
      </c>
      <c r="B172" s="2" t="inlineStr">
        <is>
          <t>cochesnet</t>
        </is>
      </c>
      <c r="C172" s="2" t="inlineStr">
        <is>
          <t>https://www.coches.net/citroen-c4-16-hdi-110-cool-3p-diesel-2005-en-valencia-71753988-covo.aspx</t>
        </is>
      </c>
      <c r="D172" s="2" t="inlineStr">
        <is>
          <t>CITROEN C4 1.6 HDi 110 Cool</t>
        </is>
      </c>
      <c r="E172" s="2" t="inlineStr">
        <is>
          <t>Citroën</t>
        </is>
      </c>
      <c r="F172" s="2" t="inlineStr">
        <is>
          <t>Citroën C4</t>
        </is>
      </c>
      <c r="G172" s="2" t="inlineStr">
        <is>
          <t>1.6 HDi</t>
        </is>
      </c>
      <c r="H172" s="2" t="inlineStr">
        <is>
          <t>1.6 HDi 110 Cool</t>
        </is>
      </c>
      <c r="I172" s="2" t="n"/>
      <c r="J172" s="2" t="n"/>
      <c r="K172" s="2" t="inlineStr">
        <is>
          <t>diesel</t>
        </is>
      </c>
      <c r="L172" s="2" t="inlineStr">
        <is>
          <t>compacto</t>
        </is>
      </c>
      <c r="M172" s="2" t="n">
        <v>2009</v>
      </c>
      <c r="N172" s="2" t="n">
        <v>132000</v>
      </c>
      <c r="O172" s="2" t="n">
        <v>3500</v>
      </c>
      <c r="P172" s="2" t="inlineStr">
        <is>
          <t>manual</t>
        </is>
      </c>
      <c r="Q172" s="2" t="inlineStr">
        <is>
          <t>no</t>
        </is>
      </c>
      <c r="R172" s="2" t="inlineStr">
        <is>
          <t>profesional</t>
        </is>
      </c>
      <c r="S172" s="2" t="inlineStr">
        <is>
          <t>Los autos locos xirivella  Xirivella</t>
        </is>
      </c>
      <c r="T172" s="2" t="inlineStr">
        <is>
          <t>2026-10-15T16:39:25Z</t>
        </is>
      </c>
      <c r="U172" s="2" t="n">
        <v>4</v>
      </c>
      <c r="V172" s="2" t="inlineStr">
        <is>
          <t>sí</t>
        </is>
      </c>
      <c r="W172" s="2" t="n"/>
      <c r="X172" s="2" t="n"/>
      <c r="Y172" s="2" t="n"/>
      <c r="Z172" s="2" t="inlineStr">
        <is>
          <t>sí</t>
        </is>
      </c>
      <c r="AA172" s="2" t="n"/>
      <c r="AB172" s="2" t="n">
        <v>12</v>
      </c>
      <c r="AC172" s="2" t="n"/>
      <c r="AD172" s="2" t="n"/>
      <c r="AE172" s="2" t="n"/>
      <c r="AF172" s="2" t="n"/>
      <c r="AG172" s="2" t="n"/>
      <c r="AH172" s="2" t="n">
        <v>3500</v>
      </c>
      <c r="AI172" s="2" t="n"/>
      <c r="AJ172" s="2" t="n"/>
      <c r="AK172" s="2" t="n"/>
      <c r="AL172" s="2" t="n"/>
      <c r="AM172" s="2" t="n">
        <v>4.7</v>
      </c>
      <c r="AN172" s="2" t="n">
        <v>3797</v>
      </c>
      <c r="AO172" s="2" t="n">
        <v>9</v>
      </c>
      <c r="AP172" s="2" t="inlineStr">
        <is>
          <t>modelo+año+km</t>
        </is>
      </c>
      <c r="AQ172" s="2" t="n"/>
      <c r="AR172" s="2" t="inlineStr">
        <is>
          <t>vendedor profesional: sin ITP (operación con IVA/REBU, confirmar en factura); gastos de gestión del vendedor no indicados: se suma la tasa DGT; preguntar el precio final; fiabilidad del modelo PENDIENTE de fuente (puntuación neutra)</t>
        </is>
      </c>
      <c r="AS172" s="2" t="inlineStr">
        <is>
          <t xml:space="preserve">Este Citroën C4 diésel destaca por su equipamiento completo con aire acondicionado bizona automático, volante multifuncional ajustable, asientos deportivos con reposacabezas regulables y ordenador de viaje avanzado que muestra velocidad media, consumo instantáneo y autonomía. Dispone de dirección asistida, elevalunas eléctricos, retrovisores exteriores eléctricos con intermitente, cierre centralizado con mando a distancia y luces antiniebla. Su etiqueta ecológica B facilita el acceso a zonas de circulación restringida. Transmisión manual con excelente practicidad para uso diario y desplazamientos frecuentes.
132000 km
ITV pasada
12 meses Garantía o 25000 km
el iva se podra pactar entre ambos
</t>
        </is>
      </c>
      <c r="AT172" s="2" t="inlineStr">
        <is>
          <t>https://www.coches.net/citroen-c4-16-hdi-110-cool-3p-diesel-2005-en-valencia-71753988-covo.aspx (window.__INITIAL_PROPS__.ad) /home/user/Alopecia/buscador-coches/raw/cochesnet/eb6e667a63802d81.json</t>
        </is>
      </c>
      <c r="AU172" s="3">
        <f>MAX(ANIO_ACTUAL-M172,0)</f>
        <v/>
      </c>
      <c r="AV172" s="4">
        <f>N172/MAX(AU172,0.5)</f>
        <v/>
      </c>
      <c r="AW172" s="4">
        <f>F172</f>
        <v/>
      </c>
      <c r="AX172" s="3">
        <f>AW172&amp;"|"&amp;INT(M172/SEG_ANIO)*SEG_ANIO</f>
        <v/>
      </c>
      <c r="AY172" s="3">
        <f>AX172&amp;"|"&amp;INT(N172/SEG_KM)*SEG_KM</f>
        <v/>
      </c>
      <c r="AZ172" s="4">
        <f>COUNTIF($AW$2:$AW$662,AW172)</f>
        <v/>
      </c>
      <c r="BA172" s="4">
        <f>COUNTIF($AX$2:$AX$662,AX172)</f>
        <v/>
      </c>
      <c r="BB172" s="4">
        <f>COUNTIF($AY$2:$AY$662,AY172)</f>
        <v/>
      </c>
      <c r="BC172" s="3">
        <f t="array" ref="BC172">IF(N(AO172)&gt;=MIN_N,AN172,IF(BB172&gt;=MIN_N,MEDIAN(IF($AY$2:$AY$662=AY172,$O$2:$O$662)),IF(BA172&gt;=MIN_N,MEDIAN(IF($AX$2:$AX$662=AX172,$O$2:$O$662)),MEDIAN(IF($AW$2:$AW$662=AW172,$O$2:$O$662)))))</f>
        <v/>
      </c>
      <c r="BD172" s="3">
        <f>IF(N(AO172)&gt;=MIN_N,"mercado "&amp;AP172,IF(BB172&gt;=MIN_N,"modelo+año+km",IF(BA172&gt;=MIN_N,"modelo+año","modelo")))</f>
        <v/>
      </c>
      <c r="BE172" s="4">
        <f>(BC172-O172)/BC172</f>
        <v/>
      </c>
      <c r="BF172" s="3">
        <f>IF(OR(K172="hibrido",K172="glp"),"ECO",IF(K172="electrico","CERO",IF(K172="gasolina",IF(M172&gt;=GAS_C,"C",IF(M172&gt;=GAS_B,"B","A")),IF(K172="diesel",IF(M172&gt;=DIE_C,"C",IF(M172&gt;=DIE_B,"B","A")),""))))</f>
        <v/>
      </c>
      <c r="BG172" s="3">
        <f>IFERROR(VLOOKUP(F172,MOD_TBL,11,0),IFERROR(VLOOKUP(E172,OCU_TBL,2,0),NEUTRO))</f>
        <v/>
      </c>
      <c r="BH172" s="3">
        <f>SUMIFS(MOT_AJUSTE,MOT_MOTOR,G172,MOT_MARCA,E172,MOT_DESDE,"&lt;="&amp;M172,MOT_HASTA,"&gt;="&amp;M172)+SUMIFS(MOT_AJUSTE,MOT_MOTOR,G172,MOT_MARCA,"(todas)",MOT_DESDE,"&lt;="&amp;M172,MOT_HASTA,"&gt;="&amp;M172)</f>
        <v/>
      </c>
      <c r="BI172" s="3">
        <f>SUMIFS(COMB_AJUSTE,COMB_COMB,K172)</f>
        <v/>
      </c>
      <c r="BJ172" s="3">
        <f>COUNTIFS(MOT_MOTOR,G172,MOT_MARCA,E172,MOT_DESDE,"&lt;="&amp;M172,MOT_HASTA,"&gt;="&amp;M172)+COUNTIFS(MOT_MOTOR,G172,MOT_MARCA,"(todas)",MOT_DESDE,"&lt;="&amp;M172,MOT_HASTA,"&gt;="&amp;M172)</f>
        <v/>
      </c>
      <c r="BK172" s="3">
        <f>IF(AND(K172="diesel",BJ172=0),MIN(BG172,NEUTRO),BG172)</f>
        <v/>
      </c>
      <c r="BL172" s="4">
        <f>MAX(0,MIN(100,BK172+BH172+BI172))</f>
        <v/>
      </c>
      <c r="BM172" s="3">
        <f>MAX(0,MIN(100,50+BE172*PRECIO_PEND))</f>
        <v/>
      </c>
      <c r="BN172" s="3">
        <f>MAX(0,100*(1-N172/KM_MAX))</f>
        <v/>
      </c>
      <c r="BO172" s="3">
        <f>IF(AV172&lt;KMA_SOSP,IF(AA172="sí",100,KMA_PEN),IF(AV172&lt;=KMA_IDEAL_MAX,100,MAX(0,100*(KMA_CERO-AV172)/(KMA_CERO-KMA_IDEAL_MAX))))</f>
        <v/>
      </c>
      <c r="BP172" s="3">
        <f>MAX(0,MIN(100,100*(M172-ANIO_MIN)/(ANIO_ACTUAL-ANIO_MIN)))</f>
        <v/>
      </c>
      <c r="BQ172" s="3">
        <f>W_KMT*BN172+W_KMA*BO172+W_EDAD*BP172</f>
        <v/>
      </c>
      <c r="BR172" s="3">
        <f>P_ITV*(V172="sí")+P_LIBRO*(W172="sí")+P_CORREA*(X172="sí")+P_PROP*(Y172=1)+P_GAR*(Z172="sí")+P_FOTOS*MIN(1,N(U172)/FOTOS_OBJ)</f>
        <v/>
      </c>
      <c r="BS172" s="3">
        <f>IFERROR(VLOOKUP(BF172,ETQ_TBL,2,0),NEUTRO)</f>
        <v/>
      </c>
      <c r="BT172" s="3">
        <f>NEUTRO</f>
        <v/>
      </c>
      <c r="BU172" s="3">
        <f>IFERROR(VLOOKUP(L172,SEGURO_TBL,3,0),"")</f>
        <v/>
      </c>
      <c r="BV172" s="3">
        <f>IF(BU172="",NEUTRO,MAX(0,MIN(100,100*(SEG_REF_MAX-BU172)/(SEG_REF_MAX-SEG_REF_MIN))))</f>
        <v/>
      </c>
      <c r="BW172" s="3">
        <f>W_ET*BS172+W_CONS*BT172+W_SEG*BV172</f>
        <v/>
      </c>
      <c r="BX172" s="3">
        <f>IF(N(AB172)&gt;0,AB172,IF(AND(R172="profesional",SG_LEGAL_ON=1),GAR_LEGAL,0))</f>
        <v/>
      </c>
      <c r="BY172" s="3">
        <f>SG_GAR*MIN(1,BX172/SG_GAR_FULL)+SG_AMPL*(AC172="sí")+SG_KMC*(AF172="sí")+SG_REV*(N(AE172)&gt;0)+SG_DEV*MIN(1,N(AG172)/SG_DEV_FULL)+SG_HIST*(W172="sí")</f>
        <v/>
      </c>
      <c r="BZ172" s="3">
        <f>IFERROR(VLOOKUP(L172,CARR_PEN_TBL,2,0),0)</f>
        <v/>
      </c>
      <c r="CA172" s="3">
        <f>W_FIAB*BL172+W_PRECIO*BM172+W_KMEDAD*BQ172+W_ANUNCIO*BR172+W_USO*BW172+W_SEGURIDAD*BY172-BZ172</f>
        <v/>
      </c>
      <c r="CB172" s="4">
        <f>IF(N(I172)&gt;0,I172,IFERROR(ROUND(_xlfn.NUMBERVALUE(LEFT(G172,FIND(" ",G172&amp;" ")-1),".")*1000,0),99999))</f>
        <v/>
      </c>
      <c r="CC172" s="3">
        <f>IF(R172="profesional",0,IF(O172&lt;CUOTA_VALOR_MAX,IF(AU172&gt;ITP_TRAMO_ALTO,SUMIFS(CF_CUOTA,CF_MAS,ITP_TRAMO_ALTO,CF_CCMIN,"&lt;="&amp;CB172,CF_CCMAX,"&gt;="&amp;CB172),IF(AU172&gt;ITP_TRAMO_BAJO,SUMIFS(CF_CUOTA,CF_MAS,ITP_TRAMO_BAJO,CF_CCMIN,"&lt;="&amp;CB172,CF_CCMAX,"&gt;="&amp;CB172),O172*ITP_TIPO)),O172*ITP_TIPO))</f>
        <v/>
      </c>
      <c r="CD172" s="4">
        <f>IF(R172="profesional",N(AK172),0)</f>
        <v/>
      </c>
      <c r="CE172" s="3">
        <f>IF(AND(R172="profesional",ISNUMBER(AK172),AL172="sí"),0,TASA_DGT)</f>
        <v/>
      </c>
      <c r="CF172" s="3">
        <f>INFORME_DGT</f>
        <v/>
      </c>
      <c r="CG172" s="4">
        <f>O172+CD172+CC172+CE172+CF172</f>
        <v/>
      </c>
      <c r="CH172" s="4">
        <f>CG172+N(BU172)</f>
        <v/>
      </c>
      <c r="CI172" s="3">
        <f>IF(CG172&lt;=TOTAL_MAX,"sí",IF(CG172&lt;=TOTAL_MAX+MARGEN_NEG,"negociar","no"))</f>
        <v/>
      </c>
      <c r="CJ172" s="4">
        <f>IF(CI172&lt;&gt;"no",COUNTIFS($CI$2:$CI$662,"&lt;&gt;no",$CA$2:$CA$662,"&gt;"&amp;CA172)+COUNTIFS($CI$2:CI172,"&lt;&gt;no",$CA$2:CA172,CA172),"")</f>
        <v/>
      </c>
    </row>
    <row r="173">
      <c r="A173" s="2" t="inlineStr">
        <is>
          <t>cochesnet:71745617</t>
        </is>
      </c>
      <c r="B173" s="2" t="inlineStr">
        <is>
          <t>cochesnet</t>
        </is>
      </c>
      <c r="C173" s="2" t="inlineStr">
        <is>
          <t>https://www.coches.net/citroen-c4-16-hdi-90cv-business-5p-diesel-2011-en-valencia-71745617-covo.aspx</t>
        </is>
      </c>
      <c r="D173" s="2" t="inlineStr">
        <is>
          <t>CITROEN C4 1.6 HDi Business</t>
        </is>
      </c>
      <c r="E173" s="2" t="inlineStr">
        <is>
          <t>Citroën</t>
        </is>
      </c>
      <c r="F173" s="2" t="inlineStr">
        <is>
          <t>Citroën C4</t>
        </is>
      </c>
      <c r="G173" s="2" t="inlineStr">
        <is>
          <t>1.6 HDi</t>
        </is>
      </c>
      <c r="H173" s="2" t="inlineStr">
        <is>
          <t>1.6 HDi 90cv Business</t>
        </is>
      </c>
      <c r="I173" s="2" t="n"/>
      <c r="J173" s="2" t="n">
        <v>90</v>
      </c>
      <c r="K173" s="2" t="inlineStr">
        <is>
          <t>diesel</t>
        </is>
      </c>
      <c r="L173" s="2" t="inlineStr">
        <is>
          <t>compacto</t>
        </is>
      </c>
      <c r="M173" s="2" t="n">
        <v>2010</v>
      </c>
      <c r="N173" s="2" t="n">
        <v>130000</v>
      </c>
      <c r="O173" s="2" t="n">
        <v>4299</v>
      </c>
      <c r="P173" s="2" t="inlineStr">
        <is>
          <t>manual</t>
        </is>
      </c>
      <c r="Q173" s="2" t="inlineStr">
        <is>
          <t>no</t>
        </is>
      </c>
      <c r="R173" s="2" t="inlineStr">
        <is>
          <t>profesional</t>
        </is>
      </c>
      <c r="S173" s="2" t="inlineStr">
        <is>
          <t>Cars Premium Albal Albal</t>
        </is>
      </c>
      <c r="T173" s="2" t="inlineStr">
        <is>
          <t>2026-10-14T17:55:41Z</t>
        </is>
      </c>
      <c r="U173" s="2" t="n">
        <v>11</v>
      </c>
      <c r="V173" s="2" t="inlineStr">
        <is>
          <t>sí</t>
        </is>
      </c>
      <c r="W173" s="2" t="n"/>
      <c r="X173" s="2" t="n"/>
      <c r="Y173" s="2" t="n"/>
      <c r="Z173" s="2" t="inlineStr">
        <is>
          <t>sí</t>
        </is>
      </c>
      <c r="AA173" s="2" t="n"/>
      <c r="AB173" s="2" t="n">
        <v>12</v>
      </c>
      <c r="AC173" s="2" t="n"/>
      <c r="AD173" s="2" t="n"/>
      <c r="AE173" s="2" t="n"/>
      <c r="AF173" s="2" t="n"/>
      <c r="AG173" s="2" t="n"/>
      <c r="AH173" s="2" t="n">
        <v>4299</v>
      </c>
      <c r="AI173" s="2" t="n">
        <v>4299</v>
      </c>
      <c r="AJ173" s="2" t="n"/>
      <c r="AK173" s="2" t="n"/>
      <c r="AL173" s="2" t="n"/>
      <c r="AM173" s="2" t="n">
        <v>8.699999999999999</v>
      </c>
      <c r="AN173" s="2" t="n">
        <v>5850</v>
      </c>
      <c r="AO173" s="2" t="n">
        <v>7</v>
      </c>
      <c r="AP173" s="2" t="inlineStr">
        <is>
          <t>modelo+año+km</t>
        </is>
      </c>
      <c r="AQ173" s="2" t="n"/>
      <c r="AR173" s="2" t="inlineStr">
        <is>
          <t>vendedor profesional: sin ITP (operación con IVA/REBU, confirmar en factura); gastos de gestión del vendedor no indicados: se suma la tasa DGT; preguntar el precio final; fiabilidad del modelo PENDIENTE de fuente (puntuación neutra)</t>
        </is>
      </c>
      <c r="AS173" s="2" t="inlineStr">
        <is>
          <t>PRECIOSO CITROEN C4 AÑO 2010 MOTOR 1.6HDI 90CV  CON TAN SOLO 130000 KILÓMETROS DE BUENÍSIMAS PRESTACIONES Y BAJISIMO CONSUMO CON ITV AL DIA 12 MESES DE GARANTÍA OFRECEMOS UNA FINANCIACION A SU MEDIDA HASTA 48 MESES PERFECTO ESTADO DE INTERIOR Y EXTERIOR , VEHÍCULO CON   MUCHOS EXTRAS , MANDOS EN EL VOLANTE, CLIMATIZADOR , VELOCIDAD DE CRUCERO , LIMITADOR DE VELOCIDAD , SENSOR DE LLUVIA , SENSOR DE LUCES , ELEVALUNAS ELECTRICAS , CIERRE CENTRALIZADO, RETROVISORES ELECTRICOS,  DIRECCION ASISTIDA , AIRBAGS , RD CD MP3,,,, PARA MAS INFORMACION LLAMEN AL 646354408 O VISITEN NUESTRAS INSTALACIONES EN ALBAL VALENCIA AV PADRE CARLOS FERRIS 87</t>
        </is>
      </c>
      <c r="AT173" s="2" t="inlineStr">
        <is>
          <t>https://www.coches.net/citroen-c4-16-hdi-90cv-business-5p-diesel-2011-en-valencia-71745617-covo.aspx (window.__INITIAL_PROPS__.ad) /home/user/Alopecia/buscador-coches/raw/cochesnet/e46d29a9ad901026.json</t>
        </is>
      </c>
      <c r="AU173" s="3">
        <f>MAX(ANIO_ACTUAL-M173,0)</f>
        <v/>
      </c>
      <c r="AV173" s="4">
        <f>N173/MAX(AU173,0.5)</f>
        <v/>
      </c>
      <c r="AW173" s="4">
        <f>F173</f>
        <v/>
      </c>
      <c r="AX173" s="3">
        <f>AW173&amp;"|"&amp;INT(M173/SEG_ANIO)*SEG_ANIO</f>
        <v/>
      </c>
      <c r="AY173" s="3">
        <f>AX173&amp;"|"&amp;INT(N173/SEG_KM)*SEG_KM</f>
        <v/>
      </c>
      <c r="AZ173" s="4">
        <f>COUNTIF($AW$2:$AW$662,AW173)</f>
        <v/>
      </c>
      <c r="BA173" s="4">
        <f>COUNTIF($AX$2:$AX$662,AX173)</f>
        <v/>
      </c>
      <c r="BB173" s="4">
        <f>COUNTIF($AY$2:$AY$662,AY173)</f>
        <v/>
      </c>
      <c r="BC173" s="3">
        <f t="array" ref="BC173">IF(N(AO173)&gt;=MIN_N,AN173,IF(BB173&gt;=MIN_N,MEDIAN(IF($AY$2:$AY$662=AY173,$O$2:$O$662)),IF(BA173&gt;=MIN_N,MEDIAN(IF($AX$2:$AX$662=AX173,$O$2:$O$662)),MEDIAN(IF($AW$2:$AW$662=AW173,$O$2:$O$662)))))</f>
        <v/>
      </c>
      <c r="BD173" s="3">
        <f>IF(N(AO173)&gt;=MIN_N,"mercado "&amp;AP173,IF(BB173&gt;=MIN_N,"modelo+año+km",IF(BA173&gt;=MIN_N,"modelo+año","modelo")))</f>
        <v/>
      </c>
      <c r="BE173" s="4">
        <f>(BC173-O173)/BC173</f>
        <v/>
      </c>
      <c r="BF173" s="3">
        <f>IF(OR(K173="hibrido",K173="glp"),"ECO",IF(K173="electrico","CERO",IF(K173="gasolina",IF(M173&gt;=GAS_C,"C",IF(M173&gt;=GAS_B,"B","A")),IF(K173="diesel",IF(M173&gt;=DIE_C,"C",IF(M173&gt;=DIE_B,"B","A")),""))))</f>
        <v/>
      </c>
      <c r="BG173" s="3">
        <f>IFERROR(VLOOKUP(F173,MOD_TBL,11,0),IFERROR(VLOOKUP(E173,OCU_TBL,2,0),NEUTRO))</f>
        <v/>
      </c>
      <c r="BH173" s="3">
        <f>SUMIFS(MOT_AJUSTE,MOT_MOTOR,G173,MOT_MARCA,E173,MOT_DESDE,"&lt;="&amp;M173,MOT_HASTA,"&gt;="&amp;M173)+SUMIFS(MOT_AJUSTE,MOT_MOTOR,G173,MOT_MARCA,"(todas)",MOT_DESDE,"&lt;="&amp;M173,MOT_HASTA,"&gt;="&amp;M173)</f>
        <v/>
      </c>
      <c r="BI173" s="3">
        <f>SUMIFS(COMB_AJUSTE,COMB_COMB,K173)</f>
        <v/>
      </c>
      <c r="BJ173" s="3">
        <f>COUNTIFS(MOT_MOTOR,G173,MOT_MARCA,E173,MOT_DESDE,"&lt;="&amp;M173,MOT_HASTA,"&gt;="&amp;M173)+COUNTIFS(MOT_MOTOR,G173,MOT_MARCA,"(todas)",MOT_DESDE,"&lt;="&amp;M173,MOT_HASTA,"&gt;="&amp;M173)</f>
        <v/>
      </c>
      <c r="BK173" s="3">
        <f>IF(AND(K173="diesel",BJ173=0),MIN(BG173,NEUTRO),BG173)</f>
        <v/>
      </c>
      <c r="BL173" s="4">
        <f>MAX(0,MIN(100,BK173+BH173+BI173))</f>
        <v/>
      </c>
      <c r="BM173" s="3">
        <f>MAX(0,MIN(100,50+BE173*PRECIO_PEND))</f>
        <v/>
      </c>
      <c r="BN173" s="3">
        <f>MAX(0,100*(1-N173/KM_MAX))</f>
        <v/>
      </c>
      <c r="BO173" s="3">
        <f>IF(AV173&lt;KMA_SOSP,IF(AA173="sí",100,KMA_PEN),IF(AV173&lt;=KMA_IDEAL_MAX,100,MAX(0,100*(KMA_CERO-AV173)/(KMA_CERO-KMA_IDEAL_MAX))))</f>
        <v/>
      </c>
      <c r="BP173" s="3">
        <f>MAX(0,MIN(100,100*(M173-ANIO_MIN)/(ANIO_ACTUAL-ANIO_MIN)))</f>
        <v/>
      </c>
      <c r="BQ173" s="3">
        <f>W_KMT*BN173+W_KMA*BO173+W_EDAD*BP173</f>
        <v/>
      </c>
      <c r="BR173" s="3">
        <f>P_ITV*(V173="sí")+P_LIBRO*(W173="sí")+P_CORREA*(X173="sí")+P_PROP*(Y173=1)+P_GAR*(Z173="sí")+P_FOTOS*MIN(1,N(U173)/FOTOS_OBJ)</f>
        <v/>
      </c>
      <c r="BS173" s="3">
        <f>IFERROR(VLOOKUP(BF173,ETQ_TBL,2,0),NEUTRO)</f>
        <v/>
      </c>
      <c r="BT173" s="3">
        <f>NEUTRO</f>
        <v/>
      </c>
      <c r="BU173" s="3">
        <f>IFERROR(VLOOKUP(L173,SEGURO_TBL,3,0),"")</f>
        <v/>
      </c>
      <c r="BV173" s="3">
        <f>IF(BU173="",NEUTRO,MAX(0,MIN(100,100*(SEG_REF_MAX-BU173)/(SEG_REF_MAX-SEG_REF_MIN))))</f>
        <v/>
      </c>
      <c r="BW173" s="3">
        <f>W_ET*BS173+W_CONS*BT173+W_SEG*BV173</f>
        <v/>
      </c>
      <c r="BX173" s="3">
        <f>IF(N(AB173)&gt;0,AB173,IF(AND(R173="profesional",SG_LEGAL_ON=1),GAR_LEGAL,0))</f>
        <v/>
      </c>
      <c r="BY173" s="3">
        <f>SG_GAR*MIN(1,BX173/SG_GAR_FULL)+SG_AMPL*(AC173="sí")+SG_KMC*(AF173="sí")+SG_REV*(N(AE173)&gt;0)+SG_DEV*MIN(1,N(AG173)/SG_DEV_FULL)+SG_HIST*(W173="sí")</f>
        <v/>
      </c>
      <c r="BZ173" s="3">
        <f>IFERROR(VLOOKUP(L173,CARR_PEN_TBL,2,0),0)</f>
        <v/>
      </c>
      <c r="CA173" s="3">
        <f>W_FIAB*BL173+W_PRECIO*BM173+W_KMEDAD*BQ173+W_ANUNCIO*BR173+W_USO*BW173+W_SEGURIDAD*BY173-BZ173</f>
        <v/>
      </c>
      <c r="CB173" s="4">
        <f>IF(N(I173)&gt;0,I173,IFERROR(ROUND(_xlfn.NUMBERVALUE(LEFT(G173,FIND(" ",G173&amp;" ")-1),".")*1000,0),99999))</f>
        <v/>
      </c>
      <c r="CC173" s="3">
        <f>IF(R173="profesional",0,IF(O173&lt;CUOTA_VALOR_MAX,IF(AU173&gt;ITP_TRAMO_ALTO,SUMIFS(CF_CUOTA,CF_MAS,ITP_TRAMO_ALTO,CF_CCMIN,"&lt;="&amp;CB173,CF_CCMAX,"&gt;="&amp;CB173),IF(AU173&gt;ITP_TRAMO_BAJO,SUMIFS(CF_CUOTA,CF_MAS,ITP_TRAMO_BAJO,CF_CCMIN,"&lt;="&amp;CB173,CF_CCMAX,"&gt;="&amp;CB173),O173*ITP_TIPO)),O173*ITP_TIPO))</f>
        <v/>
      </c>
      <c r="CD173" s="4">
        <f>IF(R173="profesional",N(AK173),0)</f>
        <v/>
      </c>
      <c r="CE173" s="3">
        <f>IF(AND(R173="profesional",ISNUMBER(AK173),AL173="sí"),0,TASA_DGT)</f>
        <v/>
      </c>
      <c r="CF173" s="3">
        <f>INFORME_DGT</f>
        <v/>
      </c>
      <c r="CG173" s="4">
        <f>O173+CD173+CC173+CE173+CF173</f>
        <v/>
      </c>
      <c r="CH173" s="4">
        <f>CG173+N(BU173)</f>
        <v/>
      </c>
      <c r="CI173" s="3">
        <f>IF(CG173&lt;=TOTAL_MAX,"sí",IF(CG173&lt;=TOTAL_MAX+MARGEN_NEG,"negociar","no"))</f>
        <v/>
      </c>
      <c r="CJ173" s="4">
        <f>IF(CI173&lt;&gt;"no",COUNTIFS($CI$2:$CI$662,"&lt;&gt;no",$CA$2:$CA$662,"&gt;"&amp;CA173)+COUNTIFS($CI$2:CI173,"&lt;&gt;no",$CA$2:CA173,CA173),"")</f>
        <v/>
      </c>
    </row>
    <row r="174">
      <c r="A174" s="2" t="inlineStr">
        <is>
          <t>cochesnet:71678754</t>
        </is>
      </c>
      <c r="B174" s="2" t="inlineStr">
        <is>
          <t>cochesnet</t>
        </is>
      </c>
      <c r="C174" s="2" t="inlineStr">
        <is>
          <t>https://www.coches.net/citroen-c4-16-hdi-90-lx-3p-diesel-2009-en-valencia-71678754-covo.aspx</t>
        </is>
      </c>
      <c r="D174" s="2" t="inlineStr">
        <is>
          <t>CITROEN C4 1.6 HDi 90 LX</t>
        </is>
      </c>
      <c r="E174" s="2" t="inlineStr">
        <is>
          <t>Citroën</t>
        </is>
      </c>
      <c r="F174" s="2" t="inlineStr">
        <is>
          <t>Citroën C4</t>
        </is>
      </c>
      <c r="G174" s="2" t="inlineStr">
        <is>
          <t>1.6 HDi</t>
        </is>
      </c>
      <c r="H174" s="2" t="inlineStr">
        <is>
          <t>1.6 HDi 90 LX</t>
        </is>
      </c>
      <c r="I174" s="2" t="n"/>
      <c r="J174" s="2" t="n"/>
      <c r="K174" s="2" t="inlineStr">
        <is>
          <t>diesel</t>
        </is>
      </c>
      <c r="L174" s="2" t="inlineStr">
        <is>
          <t>compacto</t>
        </is>
      </c>
      <c r="M174" s="2" t="n">
        <v>2009</v>
      </c>
      <c r="N174" s="2" t="n">
        <v>132000</v>
      </c>
      <c r="O174" s="2" t="n">
        <v>3700</v>
      </c>
      <c r="P174" s="2" t="inlineStr">
        <is>
          <t>manual</t>
        </is>
      </c>
      <c r="Q174" s="2" t="inlineStr">
        <is>
          <t>no</t>
        </is>
      </c>
      <c r="R174" s="2" t="inlineStr">
        <is>
          <t>particular</t>
        </is>
      </c>
      <c r="S174" s="2" t="inlineStr">
        <is>
          <t>Xirivella</t>
        </is>
      </c>
      <c r="T174" s="2" t="inlineStr">
        <is>
          <t>2026-10-05T18:25:53Z</t>
        </is>
      </c>
      <c r="U174" s="2" t="n"/>
      <c r="V174" s="2" t="inlineStr">
        <is>
          <t>sí</t>
        </is>
      </c>
      <c r="W174" s="2" t="n"/>
      <c r="X174" s="2" t="n"/>
      <c r="Y174" s="2" t="n">
        <v>2</v>
      </c>
      <c r="Z174" s="2" t="inlineStr">
        <is>
          <t>no</t>
        </is>
      </c>
      <c r="AA174" s="2" t="n"/>
      <c r="AB174" s="2" t="n"/>
      <c r="AC174" s="2" t="n"/>
      <c r="AD174" s="2" t="n"/>
      <c r="AE174" s="2" t="n"/>
      <c r="AF174" s="2" t="n"/>
      <c r="AG174" s="2" t="n"/>
      <c r="AH174" s="2" t="n">
        <v>3700</v>
      </c>
      <c r="AI174" s="2" t="n"/>
      <c r="AJ174" s="2" t="n"/>
      <c r="AK174" s="2" t="n"/>
      <c r="AL174" s="2" t="n"/>
      <c r="AM174" s="2" t="n">
        <v>4.7</v>
      </c>
      <c r="AN174" s="2" t="n">
        <v>3797</v>
      </c>
      <c r="AO174" s="2" t="n">
        <v>9</v>
      </c>
      <c r="AP174" s="2" t="inlineStr">
        <is>
          <t>modelo+año+km</t>
        </is>
      </c>
      <c r="AQ174" s="2" t="n"/>
      <c r="AR174" s="2" t="inlineStr">
        <is>
          <t>cuota fija ITP: &gt;12 años, 1.501-2.000 cc; fiabilidad del modelo PENDIENTE de fuente (puntuación neutra)</t>
        </is>
      </c>
      <c r="AS174" s="2" t="inlineStr">
        <is>
          <t>Vendo mi Citroën C4 1.6 HDi 90 LX, un berlina versátil y fiable que ha sido mi compañero de viajes durante años. Se trata de un vehículo práctico y económico, perfecto para quien busca un coche funcional sin renunciar a la comodidad.
Este C4 destaca por su motor diésel de 90 CV, que ofrece un excelente equilibrio entre potencia y consumo eficiente. Ideal tanto para desplazamientos urbanos como para largos recorridos por carretera, te permite ahorrar en combustible sin sacrificar prestaciones. Con cinco puertas y cinco plazas, es la solución perfecta para familias o profesionales que necesitan espacio y versatilidad.
El vehículo se encuentra en buen estado general, listo para continuar prestando servicio a su nuevo propietario. Su carrocería tipo berlina le proporciona ese toque de elegancia clásica que nunca pasa de moda, mientras que el cambio manual te garantiza una conducción directa y control total en todo momento.
A este precio, estás adquiriendo un coche con una relación calidad-precio muy interesante. Es una opción inteligente si buscas fiabilidad Citroën, bajo coste de mantenimiento y un vehículo que simplemente funciona.
Si tienes dudas sobre aspectos específicos del estado, equipamiento o historial del coche, no dudes en contactarme a través del chat. Estaré encantado de resolver cualquier pregunta que puedas tener.
Contacta hoy mismo y ¡aprovecha esta oportunidad!
2 dueños
itv hasta noviembre 2026
cambio nombre incluido</t>
        </is>
      </c>
      <c r="AT174" s="2" t="inlineStr">
        <is>
          <t>https://www.coches.net/citroen-c4-16-hdi-90-lx-3p-diesel-2009-en-valencia-71678754-covo.aspx (window.__INITIAL_PROPS__.ad) /home/user/Alopecia/buscador-coches/raw/cochesnet/60234faebec9cee2.json</t>
        </is>
      </c>
      <c r="AU174" s="3">
        <f>MAX(ANIO_ACTUAL-M174,0)</f>
        <v/>
      </c>
      <c r="AV174" s="4">
        <f>N174/MAX(AU174,0.5)</f>
        <v/>
      </c>
      <c r="AW174" s="4">
        <f>F174</f>
        <v/>
      </c>
      <c r="AX174" s="3">
        <f>AW174&amp;"|"&amp;INT(M174/SEG_ANIO)*SEG_ANIO</f>
        <v/>
      </c>
      <c r="AY174" s="3">
        <f>AX174&amp;"|"&amp;INT(N174/SEG_KM)*SEG_KM</f>
        <v/>
      </c>
      <c r="AZ174" s="4">
        <f>COUNTIF($AW$2:$AW$662,AW174)</f>
        <v/>
      </c>
      <c r="BA174" s="4">
        <f>COUNTIF($AX$2:$AX$662,AX174)</f>
        <v/>
      </c>
      <c r="BB174" s="4">
        <f>COUNTIF($AY$2:$AY$662,AY174)</f>
        <v/>
      </c>
      <c r="BC174" s="3">
        <f t="array" ref="BC174">IF(N(AO174)&gt;=MIN_N,AN174,IF(BB174&gt;=MIN_N,MEDIAN(IF($AY$2:$AY$662=AY174,$O$2:$O$662)),IF(BA174&gt;=MIN_N,MEDIAN(IF($AX$2:$AX$662=AX174,$O$2:$O$662)),MEDIAN(IF($AW$2:$AW$662=AW174,$O$2:$O$662)))))</f>
        <v/>
      </c>
      <c r="BD174" s="3">
        <f>IF(N(AO174)&gt;=MIN_N,"mercado "&amp;AP174,IF(BB174&gt;=MIN_N,"modelo+año+km",IF(BA174&gt;=MIN_N,"modelo+año","modelo")))</f>
        <v/>
      </c>
      <c r="BE174" s="4">
        <f>(BC174-O174)/BC174</f>
        <v/>
      </c>
      <c r="BF174" s="3">
        <f>IF(OR(K174="hibrido",K174="glp"),"ECO",IF(K174="electrico","CERO",IF(K174="gasolina",IF(M174&gt;=GAS_C,"C",IF(M174&gt;=GAS_B,"B","A")),IF(K174="diesel",IF(M174&gt;=DIE_C,"C",IF(M174&gt;=DIE_B,"B","A")),""))))</f>
        <v/>
      </c>
      <c r="BG174" s="3">
        <f>IFERROR(VLOOKUP(F174,MOD_TBL,11,0),IFERROR(VLOOKUP(E174,OCU_TBL,2,0),NEUTRO))</f>
        <v/>
      </c>
      <c r="BH174" s="3">
        <f>SUMIFS(MOT_AJUSTE,MOT_MOTOR,G174,MOT_MARCA,E174,MOT_DESDE,"&lt;="&amp;M174,MOT_HASTA,"&gt;="&amp;M174)+SUMIFS(MOT_AJUSTE,MOT_MOTOR,G174,MOT_MARCA,"(todas)",MOT_DESDE,"&lt;="&amp;M174,MOT_HASTA,"&gt;="&amp;M174)</f>
        <v/>
      </c>
      <c r="BI174" s="3">
        <f>SUMIFS(COMB_AJUSTE,COMB_COMB,K174)</f>
        <v/>
      </c>
      <c r="BJ174" s="3">
        <f>COUNTIFS(MOT_MOTOR,G174,MOT_MARCA,E174,MOT_DESDE,"&lt;="&amp;M174,MOT_HASTA,"&gt;="&amp;M174)+COUNTIFS(MOT_MOTOR,G174,MOT_MARCA,"(todas)",MOT_DESDE,"&lt;="&amp;M174,MOT_HASTA,"&gt;="&amp;M174)</f>
        <v/>
      </c>
      <c r="BK174" s="3">
        <f>IF(AND(K174="diesel",BJ174=0),MIN(BG174,NEUTRO),BG174)</f>
        <v/>
      </c>
      <c r="BL174" s="4">
        <f>MAX(0,MIN(100,BK174+BH174+BI174))</f>
        <v/>
      </c>
      <c r="BM174" s="3">
        <f>MAX(0,MIN(100,50+BE174*PRECIO_PEND))</f>
        <v/>
      </c>
      <c r="BN174" s="3">
        <f>MAX(0,100*(1-N174/KM_MAX))</f>
        <v/>
      </c>
      <c r="BO174" s="3">
        <f>IF(AV174&lt;KMA_SOSP,IF(AA174="sí",100,KMA_PEN),IF(AV174&lt;=KMA_IDEAL_MAX,100,MAX(0,100*(KMA_CERO-AV174)/(KMA_CERO-KMA_IDEAL_MAX))))</f>
        <v/>
      </c>
      <c r="BP174" s="3">
        <f>MAX(0,MIN(100,100*(M174-ANIO_MIN)/(ANIO_ACTUAL-ANIO_MIN)))</f>
        <v/>
      </c>
      <c r="BQ174" s="3">
        <f>W_KMT*BN174+W_KMA*BO174+W_EDAD*BP174</f>
        <v/>
      </c>
      <c r="BR174" s="3">
        <f>P_ITV*(V174="sí")+P_LIBRO*(W174="sí")+P_CORREA*(X174="sí")+P_PROP*(Y174=1)+P_GAR*(Z174="sí")+P_FOTOS*MIN(1,N(U174)/FOTOS_OBJ)</f>
        <v/>
      </c>
      <c r="BS174" s="3">
        <f>IFERROR(VLOOKUP(BF174,ETQ_TBL,2,0),NEUTRO)</f>
        <v/>
      </c>
      <c r="BT174" s="3">
        <f>NEUTRO</f>
        <v/>
      </c>
      <c r="BU174" s="3">
        <f>IFERROR(VLOOKUP(L174,SEGURO_TBL,3,0),"")</f>
        <v/>
      </c>
      <c r="BV174" s="3">
        <f>IF(BU174="",NEUTRO,MAX(0,MIN(100,100*(SEG_REF_MAX-BU174)/(SEG_REF_MAX-SEG_REF_MIN))))</f>
        <v/>
      </c>
      <c r="BW174" s="3">
        <f>W_ET*BS174+W_CONS*BT174+W_SEG*BV174</f>
        <v/>
      </c>
      <c r="BX174" s="3">
        <f>IF(N(AB174)&gt;0,AB174,IF(AND(R174="profesional",SG_LEGAL_ON=1),GAR_LEGAL,0))</f>
        <v/>
      </c>
      <c r="BY174" s="3">
        <f>SG_GAR*MIN(1,BX174/SG_GAR_FULL)+SG_AMPL*(AC174="sí")+SG_KMC*(AF174="sí")+SG_REV*(N(AE174)&gt;0)+SG_DEV*MIN(1,N(AG174)/SG_DEV_FULL)+SG_HIST*(W174="sí")</f>
        <v/>
      </c>
      <c r="BZ174" s="3">
        <f>IFERROR(VLOOKUP(L174,CARR_PEN_TBL,2,0),0)</f>
        <v/>
      </c>
      <c r="CA174" s="3">
        <f>W_FIAB*BL174+W_PRECIO*BM174+W_KMEDAD*BQ174+W_ANUNCIO*BR174+W_USO*BW174+W_SEGURIDAD*BY174-BZ174</f>
        <v/>
      </c>
      <c r="CB174" s="4">
        <f>IF(N(I174)&gt;0,I174,IFERROR(ROUND(_xlfn.NUMBERVALUE(LEFT(G174,FIND(" ",G174&amp;" ")-1),".")*1000,0),99999))</f>
        <v/>
      </c>
      <c r="CC174" s="3">
        <f>IF(R174="profesional",0,IF(O174&lt;CUOTA_VALOR_MAX,IF(AU174&gt;ITP_TRAMO_ALTO,SUMIFS(CF_CUOTA,CF_MAS,ITP_TRAMO_ALTO,CF_CCMIN,"&lt;="&amp;CB174,CF_CCMAX,"&gt;="&amp;CB174),IF(AU174&gt;ITP_TRAMO_BAJO,SUMIFS(CF_CUOTA,CF_MAS,ITP_TRAMO_BAJO,CF_CCMIN,"&lt;="&amp;CB174,CF_CCMAX,"&gt;="&amp;CB174),O174*ITP_TIPO)),O174*ITP_TIPO))</f>
        <v/>
      </c>
      <c r="CD174" s="4">
        <f>IF(R174="profesional",N(AK174),0)</f>
        <v/>
      </c>
      <c r="CE174" s="3">
        <f>IF(AND(R174="profesional",ISNUMBER(AK174),AL174="sí"),0,TASA_DGT)</f>
        <v/>
      </c>
      <c r="CF174" s="3">
        <f>INFORME_DGT</f>
        <v/>
      </c>
      <c r="CG174" s="4">
        <f>O174+CD174+CC174+CE174+CF174</f>
        <v/>
      </c>
      <c r="CH174" s="4">
        <f>CG174+N(BU174)</f>
        <v/>
      </c>
      <c r="CI174" s="3">
        <f>IF(CG174&lt;=TOTAL_MAX,"sí",IF(CG174&lt;=TOTAL_MAX+MARGEN_NEG,"negociar","no"))</f>
        <v/>
      </c>
      <c r="CJ174" s="4">
        <f>IF(CI174&lt;&gt;"no",COUNTIFS($CI$2:$CI$662,"&lt;&gt;no",$CA$2:$CA$662,"&gt;"&amp;CA174)+COUNTIFS($CI$2:CI174,"&lt;&gt;no",$CA$2:CA174,CA174),"")</f>
        <v/>
      </c>
    </row>
    <row r="175">
      <c r="A175" s="2" t="inlineStr">
        <is>
          <t>cochesnet:71398379</t>
        </is>
      </c>
      <c r="B175" s="2" t="inlineStr">
        <is>
          <t>cochesnet</t>
        </is>
      </c>
      <c r="C175" s="2" t="inlineStr">
        <is>
          <t>https://www.coches.net/citroen-c4-diesel-2009-en-valencia-71398379-covo.aspx</t>
        </is>
      </c>
      <c r="D175" s="2" t="inlineStr">
        <is>
          <t>CITROEN C4</t>
        </is>
      </c>
      <c r="E175" s="2" t="inlineStr">
        <is>
          <t>Citroën</t>
        </is>
      </c>
      <c r="F175" s="2" t="inlineStr">
        <is>
          <t>Citroën C4</t>
        </is>
      </c>
      <c r="G175" s="2" t="n"/>
      <c r="H175" s="2" t="n"/>
      <c r="I175" s="2" t="n"/>
      <c r="J175" s="2" t="n"/>
      <c r="K175" s="2" t="inlineStr">
        <is>
          <t>diesel</t>
        </is>
      </c>
      <c r="L175" s="2" t="inlineStr">
        <is>
          <t>compacto</t>
        </is>
      </c>
      <c r="M175" s="2" t="n">
        <v>2009</v>
      </c>
      <c r="N175" s="2" t="n">
        <v>180000</v>
      </c>
      <c r="O175" s="2" t="n">
        <v>3500</v>
      </c>
      <c r="P175" s="2" t="inlineStr">
        <is>
          <t>manual</t>
        </is>
      </c>
      <c r="Q175" s="2" t="inlineStr">
        <is>
          <t>no</t>
        </is>
      </c>
      <c r="R175" s="2" t="inlineStr">
        <is>
          <t>particular</t>
        </is>
      </c>
      <c r="S175" s="2" t="n"/>
      <c r="T175" s="2" t="inlineStr">
        <is>
          <t>2026-08-31T08:12:51Z</t>
        </is>
      </c>
      <c r="U175" s="2" t="n">
        <v>9</v>
      </c>
      <c r="V175" s="2" t="inlineStr">
        <is>
          <t>sí</t>
        </is>
      </c>
      <c r="W175" s="2" t="n"/>
      <c r="X175" s="2" t="inlineStr">
        <is>
          <t>sí</t>
        </is>
      </c>
      <c r="Y175" s="2" t="n"/>
      <c r="Z175" s="2" t="inlineStr">
        <is>
          <t>no</t>
        </is>
      </c>
      <c r="AA175" s="2" t="n"/>
      <c r="AB175" s="2" t="n"/>
      <c r="AC175" s="2" t="n"/>
      <c r="AD175" s="2" t="n"/>
      <c r="AE175" s="2" t="n"/>
      <c r="AF175" s="2" t="n"/>
      <c r="AG175" s="2" t="n"/>
      <c r="AH175" s="2" t="n">
        <v>3500</v>
      </c>
      <c r="AI175" s="2" t="n"/>
      <c r="AJ175" s="2" t="n"/>
      <c r="AK175" s="2" t="n"/>
      <c r="AL175" s="2" t="n"/>
      <c r="AM175" s="2" t="n"/>
      <c r="AN175" s="2" t="n">
        <v>3500</v>
      </c>
      <c r="AO175" s="2" t="n">
        <v>11</v>
      </c>
      <c r="AP175" s="2" t="inlineStr">
        <is>
          <t>modelo+año+km</t>
        </is>
      </c>
      <c r="AQ175" s="2" t="n"/>
      <c r="AR175"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175" s="2" t="inlineStr">
        <is>
          <t xml:space="preserve">Se vende Citroen c 4  1.6 HDI 110 5 puertas año 2009 con 170.000 kilómetros con correa distribución cambiada a 120.000 kilómetros itv hasta abril 2027 aceites y filtros recién cambiados discos frenos cambiados 4 ruedas nuevas discos pastillas embrague cambiado hace 2 años precio 3500 e
Quieres venir haberlo?
</t>
        </is>
      </c>
      <c r="AT175" s="2" t="inlineStr">
        <is>
          <t>https://www.coches.net/citroen-c4-diesel-2009-en-valencia-71398379-covo.aspx (window.__INITIAL_PROPS__.ad) /home/user/Alopecia/buscador-coches/raw/cochesnet/712813cffaade278.json</t>
        </is>
      </c>
      <c r="AU175" s="3">
        <f>MAX(ANIO_ACTUAL-M175,0)</f>
        <v/>
      </c>
      <c r="AV175" s="4">
        <f>N175/MAX(AU175,0.5)</f>
        <v/>
      </c>
      <c r="AW175" s="4">
        <f>F175</f>
        <v/>
      </c>
      <c r="AX175" s="3">
        <f>AW175&amp;"|"&amp;INT(M175/SEG_ANIO)*SEG_ANIO</f>
        <v/>
      </c>
      <c r="AY175" s="3">
        <f>AX175&amp;"|"&amp;INT(N175/SEG_KM)*SEG_KM</f>
        <v/>
      </c>
      <c r="AZ175" s="4">
        <f>COUNTIF($AW$2:$AW$662,AW175)</f>
        <v/>
      </c>
      <c r="BA175" s="4">
        <f>COUNTIF($AX$2:$AX$662,AX175)</f>
        <v/>
      </c>
      <c r="BB175" s="4">
        <f>COUNTIF($AY$2:$AY$662,AY175)</f>
        <v/>
      </c>
      <c r="BC175" s="3">
        <f t="array" ref="BC175">IF(N(AO175)&gt;=MIN_N,AN175,IF(BB175&gt;=MIN_N,MEDIAN(IF($AY$2:$AY$662=AY175,$O$2:$O$662)),IF(BA175&gt;=MIN_N,MEDIAN(IF($AX$2:$AX$662=AX175,$O$2:$O$662)),MEDIAN(IF($AW$2:$AW$662=AW175,$O$2:$O$662)))))</f>
        <v/>
      </c>
      <c r="BD175" s="3">
        <f>IF(N(AO175)&gt;=MIN_N,"mercado "&amp;AP175,IF(BB175&gt;=MIN_N,"modelo+año+km",IF(BA175&gt;=MIN_N,"modelo+año","modelo")))</f>
        <v/>
      </c>
      <c r="BE175" s="4">
        <f>(BC175-O175)/BC175</f>
        <v/>
      </c>
      <c r="BF175" s="3">
        <f>IF(OR(K175="hibrido",K175="glp"),"ECO",IF(K175="electrico","CERO",IF(K175="gasolina",IF(M175&gt;=GAS_C,"C",IF(M175&gt;=GAS_B,"B","A")),IF(K175="diesel",IF(M175&gt;=DIE_C,"C",IF(M175&gt;=DIE_B,"B","A")),""))))</f>
        <v/>
      </c>
      <c r="BG175" s="3">
        <f>IFERROR(VLOOKUP(F175,MOD_TBL,11,0),IFERROR(VLOOKUP(E175,OCU_TBL,2,0),NEUTRO))</f>
        <v/>
      </c>
      <c r="BH175" s="3">
        <f>SUMIFS(MOT_AJUSTE,MOT_MOTOR,G175,MOT_MARCA,E175,MOT_DESDE,"&lt;="&amp;M175,MOT_HASTA,"&gt;="&amp;M175)+SUMIFS(MOT_AJUSTE,MOT_MOTOR,G175,MOT_MARCA,"(todas)",MOT_DESDE,"&lt;="&amp;M175,MOT_HASTA,"&gt;="&amp;M175)</f>
        <v/>
      </c>
      <c r="BI175" s="3">
        <f>SUMIFS(COMB_AJUSTE,COMB_COMB,K175)</f>
        <v/>
      </c>
      <c r="BJ175" s="3">
        <f>COUNTIFS(MOT_MOTOR,G175,MOT_MARCA,E175,MOT_DESDE,"&lt;="&amp;M175,MOT_HASTA,"&gt;="&amp;M175)+COUNTIFS(MOT_MOTOR,G175,MOT_MARCA,"(todas)",MOT_DESDE,"&lt;="&amp;M175,MOT_HASTA,"&gt;="&amp;M175)</f>
        <v/>
      </c>
      <c r="BK175" s="3">
        <f>IF(AND(K175="diesel",BJ175=0),MIN(BG175,NEUTRO),BG175)</f>
        <v/>
      </c>
      <c r="BL175" s="4">
        <f>MAX(0,MIN(100,BK175+BH175+BI175))</f>
        <v/>
      </c>
      <c r="BM175" s="3">
        <f>MAX(0,MIN(100,50+BE175*PRECIO_PEND))</f>
        <v/>
      </c>
      <c r="BN175" s="3">
        <f>MAX(0,100*(1-N175/KM_MAX))</f>
        <v/>
      </c>
      <c r="BO175" s="3">
        <f>IF(AV175&lt;KMA_SOSP,IF(AA175="sí",100,KMA_PEN),IF(AV175&lt;=KMA_IDEAL_MAX,100,MAX(0,100*(KMA_CERO-AV175)/(KMA_CERO-KMA_IDEAL_MAX))))</f>
        <v/>
      </c>
      <c r="BP175" s="3">
        <f>MAX(0,MIN(100,100*(M175-ANIO_MIN)/(ANIO_ACTUAL-ANIO_MIN)))</f>
        <v/>
      </c>
      <c r="BQ175" s="3">
        <f>W_KMT*BN175+W_KMA*BO175+W_EDAD*BP175</f>
        <v/>
      </c>
      <c r="BR175" s="3">
        <f>P_ITV*(V175="sí")+P_LIBRO*(W175="sí")+P_CORREA*(X175="sí")+P_PROP*(Y175=1)+P_GAR*(Z175="sí")+P_FOTOS*MIN(1,N(U175)/FOTOS_OBJ)</f>
        <v/>
      </c>
      <c r="BS175" s="3">
        <f>IFERROR(VLOOKUP(BF175,ETQ_TBL,2,0),NEUTRO)</f>
        <v/>
      </c>
      <c r="BT175" s="3">
        <f>NEUTRO</f>
        <v/>
      </c>
      <c r="BU175" s="3">
        <f>IFERROR(VLOOKUP(L175,SEGURO_TBL,3,0),"")</f>
        <v/>
      </c>
      <c r="BV175" s="3">
        <f>IF(BU175="",NEUTRO,MAX(0,MIN(100,100*(SEG_REF_MAX-BU175)/(SEG_REF_MAX-SEG_REF_MIN))))</f>
        <v/>
      </c>
      <c r="BW175" s="3">
        <f>W_ET*BS175+W_CONS*BT175+W_SEG*BV175</f>
        <v/>
      </c>
      <c r="BX175" s="3">
        <f>IF(N(AB175)&gt;0,AB175,IF(AND(R175="profesional",SG_LEGAL_ON=1),GAR_LEGAL,0))</f>
        <v/>
      </c>
      <c r="BY175" s="3">
        <f>SG_GAR*MIN(1,BX175/SG_GAR_FULL)+SG_AMPL*(AC175="sí")+SG_KMC*(AF175="sí")+SG_REV*(N(AE175)&gt;0)+SG_DEV*MIN(1,N(AG175)/SG_DEV_FULL)+SG_HIST*(W175="sí")</f>
        <v/>
      </c>
      <c r="BZ175" s="3">
        <f>IFERROR(VLOOKUP(L175,CARR_PEN_TBL,2,0),0)</f>
        <v/>
      </c>
      <c r="CA175" s="3">
        <f>W_FIAB*BL175+W_PRECIO*BM175+W_KMEDAD*BQ175+W_ANUNCIO*BR175+W_USO*BW175+W_SEGURIDAD*BY175-BZ175</f>
        <v/>
      </c>
      <c r="CB175" s="4">
        <f>IF(N(I175)&gt;0,I175,IFERROR(ROUND(_xlfn.NUMBERVALUE(LEFT(G175,FIND(" ",G175&amp;" ")-1),".")*1000,0),99999))</f>
        <v/>
      </c>
      <c r="CC175" s="3">
        <f>IF(R175="profesional",0,IF(O175&lt;CUOTA_VALOR_MAX,IF(AU175&gt;ITP_TRAMO_ALTO,SUMIFS(CF_CUOTA,CF_MAS,ITP_TRAMO_ALTO,CF_CCMIN,"&lt;="&amp;CB175,CF_CCMAX,"&gt;="&amp;CB175),IF(AU175&gt;ITP_TRAMO_BAJO,SUMIFS(CF_CUOTA,CF_MAS,ITP_TRAMO_BAJO,CF_CCMIN,"&lt;="&amp;CB175,CF_CCMAX,"&gt;="&amp;CB175),O175*ITP_TIPO)),O175*ITP_TIPO))</f>
        <v/>
      </c>
      <c r="CD175" s="4">
        <f>IF(R175="profesional",N(AK175),0)</f>
        <v/>
      </c>
      <c r="CE175" s="3">
        <f>IF(AND(R175="profesional",ISNUMBER(AK175),AL175="sí"),0,TASA_DGT)</f>
        <v/>
      </c>
      <c r="CF175" s="3">
        <f>INFORME_DGT</f>
        <v/>
      </c>
      <c r="CG175" s="4">
        <f>O175+CD175+CC175+CE175+CF175</f>
        <v/>
      </c>
      <c r="CH175" s="4">
        <f>CG175+N(BU175)</f>
        <v/>
      </c>
      <c r="CI175" s="3">
        <f>IF(CG175&lt;=TOTAL_MAX,"sí",IF(CG175&lt;=TOTAL_MAX+MARGEN_NEG,"negociar","no"))</f>
        <v/>
      </c>
      <c r="CJ175" s="4">
        <f>IF(CI175&lt;&gt;"no",COUNTIFS($CI$2:$CI$662,"&lt;&gt;no",$CA$2:$CA$662,"&gt;"&amp;CA175)+COUNTIFS($CI$2:CI175,"&lt;&gt;no",$CA$2:CA175,CA175),"")</f>
        <v/>
      </c>
    </row>
    <row r="176">
      <c r="A176" s="2" t="inlineStr">
        <is>
          <t>cochesnet:71230561</t>
        </is>
      </c>
      <c r="B176" s="2" t="inlineStr">
        <is>
          <t>cochesnet</t>
        </is>
      </c>
      <c r="C176" s="2" t="inlineStr">
        <is>
          <t>https://www.coches.net/citroen-c4-diesel-2009-en-valencia-71230561-covo.aspx</t>
        </is>
      </c>
      <c r="D176" s="2" t="inlineStr">
        <is>
          <t>CITROEN C4</t>
        </is>
      </c>
      <c r="E176" s="2" t="inlineStr">
        <is>
          <t>Citroën</t>
        </is>
      </c>
      <c r="F176" s="2" t="inlineStr">
        <is>
          <t>Citroën C4</t>
        </is>
      </c>
      <c r="G176" s="2" t="n"/>
      <c r="H176" s="2" t="n"/>
      <c r="I176" s="2" t="n"/>
      <c r="J176" s="2" t="n"/>
      <c r="K176" s="2" t="inlineStr">
        <is>
          <t>diesel</t>
        </is>
      </c>
      <c r="L176" s="2" t="inlineStr">
        <is>
          <t>compacto</t>
        </is>
      </c>
      <c r="M176" s="2" t="n">
        <v>2009</v>
      </c>
      <c r="N176" s="2" t="n">
        <v>220000</v>
      </c>
      <c r="O176" s="2" t="n">
        <v>3500</v>
      </c>
      <c r="P176" s="2" t="inlineStr">
        <is>
          <t>manual</t>
        </is>
      </c>
      <c r="Q176" s="2" t="inlineStr">
        <is>
          <t>no</t>
        </is>
      </c>
      <c r="R176" s="2" t="inlineStr">
        <is>
          <t>particular</t>
        </is>
      </c>
      <c r="S176" s="2" t="n"/>
      <c r="T176" s="2" t="inlineStr">
        <is>
          <t>2026-08-04T18:17:42Z</t>
        </is>
      </c>
      <c r="U176" s="2" t="n">
        <v>7</v>
      </c>
      <c r="V176" s="2" t="n"/>
      <c r="W176" s="2" t="n"/>
      <c r="X176" s="2" t="n"/>
      <c r="Y176" s="2" t="n"/>
      <c r="Z176" s="2" t="inlineStr">
        <is>
          <t>no</t>
        </is>
      </c>
      <c r="AA176" s="2" t="n"/>
      <c r="AB176" s="2" t="n"/>
      <c r="AC176" s="2" t="n"/>
      <c r="AD176" s="2" t="n"/>
      <c r="AE176" s="2" t="n"/>
      <c r="AF176" s="2" t="n"/>
      <c r="AG176" s="2" t="n"/>
      <c r="AH176" s="2" t="n">
        <v>3500</v>
      </c>
      <c r="AI176" s="2" t="n"/>
      <c r="AJ176" s="2" t="n"/>
      <c r="AK176" s="2" t="n"/>
      <c r="AL176" s="2" t="n"/>
      <c r="AM176" s="2" t="n"/>
      <c r="AN176" s="2" t="n">
        <v>3600</v>
      </c>
      <c r="AO176" s="2" t="n">
        <v>9</v>
      </c>
      <c r="AP176" s="2" t="inlineStr">
        <is>
          <t>modelo+año+km</t>
        </is>
      </c>
      <c r="AQ176" s="2" t="n"/>
      <c r="AR17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176" s="2" t="inlineStr">
        <is>
          <t xml:space="preserve">Mayor informacion  ubicado en meliana  negociable </t>
        </is>
      </c>
      <c r="AT176" s="2" t="inlineStr">
        <is>
          <t>https://www.coches.net/citroen-c4-diesel-2009-en-valencia-71230561-covo.aspx (window.__INITIAL_PROPS__.ad) /home/user/Alopecia/buscador-coches/raw/cochesnet/bfdd5ef9a3a9f4b2.json</t>
        </is>
      </c>
      <c r="AU176" s="3">
        <f>MAX(ANIO_ACTUAL-M176,0)</f>
        <v/>
      </c>
      <c r="AV176" s="4">
        <f>N176/MAX(AU176,0.5)</f>
        <v/>
      </c>
      <c r="AW176" s="4">
        <f>F176</f>
        <v/>
      </c>
      <c r="AX176" s="3">
        <f>AW176&amp;"|"&amp;INT(M176/SEG_ANIO)*SEG_ANIO</f>
        <v/>
      </c>
      <c r="AY176" s="3">
        <f>AX176&amp;"|"&amp;INT(N176/SEG_KM)*SEG_KM</f>
        <v/>
      </c>
      <c r="AZ176" s="4">
        <f>COUNTIF($AW$2:$AW$662,AW176)</f>
        <v/>
      </c>
      <c r="BA176" s="4">
        <f>COUNTIF($AX$2:$AX$662,AX176)</f>
        <v/>
      </c>
      <c r="BB176" s="4">
        <f>COUNTIF($AY$2:$AY$662,AY176)</f>
        <v/>
      </c>
      <c r="BC176" s="3">
        <f t="array" ref="BC176">IF(N(AO176)&gt;=MIN_N,AN176,IF(BB176&gt;=MIN_N,MEDIAN(IF($AY$2:$AY$662=AY176,$O$2:$O$662)),IF(BA176&gt;=MIN_N,MEDIAN(IF($AX$2:$AX$662=AX176,$O$2:$O$662)),MEDIAN(IF($AW$2:$AW$662=AW176,$O$2:$O$662)))))</f>
        <v/>
      </c>
      <c r="BD176" s="3">
        <f>IF(N(AO176)&gt;=MIN_N,"mercado "&amp;AP176,IF(BB176&gt;=MIN_N,"modelo+año+km",IF(BA176&gt;=MIN_N,"modelo+año","modelo")))</f>
        <v/>
      </c>
      <c r="BE176" s="4">
        <f>(BC176-O176)/BC176</f>
        <v/>
      </c>
      <c r="BF176" s="3">
        <f>IF(OR(K176="hibrido",K176="glp"),"ECO",IF(K176="electrico","CERO",IF(K176="gasolina",IF(M176&gt;=GAS_C,"C",IF(M176&gt;=GAS_B,"B","A")),IF(K176="diesel",IF(M176&gt;=DIE_C,"C",IF(M176&gt;=DIE_B,"B","A")),""))))</f>
        <v/>
      </c>
      <c r="BG176" s="3">
        <f>IFERROR(VLOOKUP(F176,MOD_TBL,11,0),IFERROR(VLOOKUP(E176,OCU_TBL,2,0),NEUTRO))</f>
        <v/>
      </c>
      <c r="BH176" s="3">
        <f>SUMIFS(MOT_AJUSTE,MOT_MOTOR,G176,MOT_MARCA,E176,MOT_DESDE,"&lt;="&amp;M176,MOT_HASTA,"&gt;="&amp;M176)+SUMIFS(MOT_AJUSTE,MOT_MOTOR,G176,MOT_MARCA,"(todas)",MOT_DESDE,"&lt;="&amp;M176,MOT_HASTA,"&gt;="&amp;M176)</f>
        <v/>
      </c>
      <c r="BI176" s="3">
        <f>SUMIFS(COMB_AJUSTE,COMB_COMB,K176)</f>
        <v/>
      </c>
      <c r="BJ176" s="3">
        <f>COUNTIFS(MOT_MOTOR,G176,MOT_MARCA,E176,MOT_DESDE,"&lt;="&amp;M176,MOT_HASTA,"&gt;="&amp;M176)+COUNTIFS(MOT_MOTOR,G176,MOT_MARCA,"(todas)",MOT_DESDE,"&lt;="&amp;M176,MOT_HASTA,"&gt;="&amp;M176)</f>
        <v/>
      </c>
      <c r="BK176" s="3">
        <f>IF(AND(K176="diesel",BJ176=0),MIN(BG176,NEUTRO),BG176)</f>
        <v/>
      </c>
      <c r="BL176" s="4">
        <f>MAX(0,MIN(100,BK176+BH176+BI176))</f>
        <v/>
      </c>
      <c r="BM176" s="3">
        <f>MAX(0,MIN(100,50+BE176*PRECIO_PEND))</f>
        <v/>
      </c>
      <c r="BN176" s="3">
        <f>MAX(0,100*(1-N176/KM_MAX))</f>
        <v/>
      </c>
      <c r="BO176" s="3">
        <f>IF(AV176&lt;KMA_SOSP,IF(AA176="sí",100,KMA_PEN),IF(AV176&lt;=KMA_IDEAL_MAX,100,MAX(0,100*(KMA_CERO-AV176)/(KMA_CERO-KMA_IDEAL_MAX))))</f>
        <v/>
      </c>
      <c r="BP176" s="3">
        <f>MAX(0,MIN(100,100*(M176-ANIO_MIN)/(ANIO_ACTUAL-ANIO_MIN)))</f>
        <v/>
      </c>
      <c r="BQ176" s="3">
        <f>W_KMT*BN176+W_KMA*BO176+W_EDAD*BP176</f>
        <v/>
      </c>
      <c r="BR176" s="3">
        <f>P_ITV*(V176="sí")+P_LIBRO*(W176="sí")+P_CORREA*(X176="sí")+P_PROP*(Y176=1)+P_GAR*(Z176="sí")+P_FOTOS*MIN(1,N(U176)/FOTOS_OBJ)</f>
        <v/>
      </c>
      <c r="BS176" s="3">
        <f>IFERROR(VLOOKUP(BF176,ETQ_TBL,2,0),NEUTRO)</f>
        <v/>
      </c>
      <c r="BT176" s="3">
        <f>NEUTRO</f>
        <v/>
      </c>
      <c r="BU176" s="3">
        <f>IFERROR(VLOOKUP(L176,SEGURO_TBL,3,0),"")</f>
        <v/>
      </c>
      <c r="BV176" s="3">
        <f>IF(BU176="",NEUTRO,MAX(0,MIN(100,100*(SEG_REF_MAX-BU176)/(SEG_REF_MAX-SEG_REF_MIN))))</f>
        <v/>
      </c>
      <c r="BW176" s="3">
        <f>W_ET*BS176+W_CONS*BT176+W_SEG*BV176</f>
        <v/>
      </c>
      <c r="BX176" s="3">
        <f>IF(N(AB176)&gt;0,AB176,IF(AND(R176="profesional",SG_LEGAL_ON=1),GAR_LEGAL,0))</f>
        <v/>
      </c>
      <c r="BY176" s="3">
        <f>SG_GAR*MIN(1,BX176/SG_GAR_FULL)+SG_AMPL*(AC176="sí")+SG_KMC*(AF176="sí")+SG_REV*(N(AE176)&gt;0)+SG_DEV*MIN(1,N(AG176)/SG_DEV_FULL)+SG_HIST*(W176="sí")</f>
        <v/>
      </c>
      <c r="BZ176" s="3">
        <f>IFERROR(VLOOKUP(L176,CARR_PEN_TBL,2,0),0)</f>
        <v/>
      </c>
      <c r="CA176" s="3">
        <f>W_FIAB*BL176+W_PRECIO*BM176+W_KMEDAD*BQ176+W_ANUNCIO*BR176+W_USO*BW176+W_SEGURIDAD*BY176-BZ176</f>
        <v/>
      </c>
      <c r="CB176" s="4">
        <f>IF(N(I176)&gt;0,I176,IFERROR(ROUND(_xlfn.NUMBERVALUE(LEFT(G176,FIND(" ",G176&amp;" ")-1),".")*1000,0),99999))</f>
        <v/>
      </c>
      <c r="CC176" s="3">
        <f>IF(R176="profesional",0,IF(O176&lt;CUOTA_VALOR_MAX,IF(AU176&gt;ITP_TRAMO_ALTO,SUMIFS(CF_CUOTA,CF_MAS,ITP_TRAMO_ALTO,CF_CCMIN,"&lt;="&amp;CB176,CF_CCMAX,"&gt;="&amp;CB176),IF(AU176&gt;ITP_TRAMO_BAJO,SUMIFS(CF_CUOTA,CF_MAS,ITP_TRAMO_BAJO,CF_CCMIN,"&lt;="&amp;CB176,CF_CCMAX,"&gt;="&amp;CB176),O176*ITP_TIPO)),O176*ITP_TIPO))</f>
        <v/>
      </c>
      <c r="CD176" s="4">
        <f>IF(R176="profesional",N(AK176),0)</f>
        <v/>
      </c>
      <c r="CE176" s="3">
        <f>IF(AND(R176="profesional",ISNUMBER(AK176),AL176="sí"),0,TASA_DGT)</f>
        <v/>
      </c>
      <c r="CF176" s="3">
        <f>INFORME_DGT</f>
        <v/>
      </c>
      <c r="CG176" s="4">
        <f>O176+CD176+CC176+CE176+CF176</f>
        <v/>
      </c>
      <c r="CH176" s="4">
        <f>CG176+N(BU176)</f>
        <v/>
      </c>
      <c r="CI176" s="3">
        <f>IF(CG176&lt;=TOTAL_MAX,"sí",IF(CG176&lt;=TOTAL_MAX+MARGEN_NEG,"negociar","no"))</f>
        <v/>
      </c>
      <c r="CJ176" s="4">
        <f>IF(CI176&lt;&gt;"no",COUNTIFS($CI$2:$CI$662,"&lt;&gt;no",$CA$2:$CA$662,"&gt;"&amp;CA176)+COUNTIFS($CI$2:CI176,"&lt;&gt;no",$CA$2:CA176,CA176),"")</f>
        <v/>
      </c>
    </row>
    <row r="177">
      <c r="A177" s="2" t="inlineStr">
        <is>
          <t>cochesnet:70942339</t>
        </is>
      </c>
      <c r="B177" s="2" t="inlineStr">
        <is>
          <t>cochesnet</t>
        </is>
      </c>
      <c r="C177" s="2" t="inlineStr">
        <is>
          <t>https://www.coches.net/citroen-c4-16-hdi-90-cool-5p-diesel-2010-en-valencia-70942339-covo.aspx</t>
        </is>
      </c>
      <c r="D177" s="2" t="inlineStr">
        <is>
          <t>CITROEN C4 1.6 HDi 90 Cool</t>
        </is>
      </c>
      <c r="E177" s="2" t="inlineStr">
        <is>
          <t>Citroën</t>
        </is>
      </c>
      <c r="F177" s="2" t="inlineStr">
        <is>
          <t>Citroën C4</t>
        </is>
      </c>
      <c r="G177" s="2" t="inlineStr">
        <is>
          <t>1.6 HDi</t>
        </is>
      </c>
      <c r="H177" s="2" t="inlineStr">
        <is>
          <t>1.6 HDi 90 Cool</t>
        </is>
      </c>
      <c r="I177" s="2" t="n"/>
      <c r="J177" s="2" t="n"/>
      <c r="K177" s="2" t="inlineStr">
        <is>
          <t>diesel</t>
        </is>
      </c>
      <c r="L177" s="2" t="inlineStr">
        <is>
          <t>compacto</t>
        </is>
      </c>
      <c r="M177" s="2" t="n">
        <v>2010</v>
      </c>
      <c r="N177" s="2" t="n">
        <v>210000</v>
      </c>
      <c r="O177" s="2" t="n">
        <v>3500</v>
      </c>
      <c r="P177" s="2" t="inlineStr">
        <is>
          <t>manual</t>
        </is>
      </c>
      <c r="Q177" s="2" t="inlineStr">
        <is>
          <t>no</t>
        </is>
      </c>
      <c r="R177" s="2" t="inlineStr">
        <is>
          <t>particular</t>
        </is>
      </c>
      <c r="S177" s="2" t="inlineStr">
        <is>
          <t>Valencia</t>
        </is>
      </c>
      <c r="T177" s="2" t="inlineStr">
        <is>
          <t>2026-09-12T16:21:37Z</t>
        </is>
      </c>
      <c r="U177" s="2" t="n">
        <v>9</v>
      </c>
      <c r="V177" s="2" t="n"/>
      <c r="W177" s="2" t="n"/>
      <c r="X177" s="2" t="n"/>
      <c r="Y177" s="2" t="n">
        <v>1</v>
      </c>
      <c r="Z177" s="2" t="inlineStr">
        <is>
          <t>no</t>
        </is>
      </c>
      <c r="AA177" s="2" t="n"/>
      <c r="AB177" s="2" t="n"/>
      <c r="AC177" s="2" t="n"/>
      <c r="AD177" s="2" t="n"/>
      <c r="AE177" s="2" t="n"/>
      <c r="AF177" s="2" t="n"/>
      <c r="AG177" s="2" t="n"/>
      <c r="AH177" s="2" t="n">
        <v>3500</v>
      </c>
      <c r="AI177" s="2" t="n"/>
      <c r="AJ177" s="2" t="n"/>
      <c r="AK177" s="2" t="n"/>
      <c r="AL177" s="2" t="n"/>
      <c r="AM177" s="2" t="n">
        <v>0.1</v>
      </c>
      <c r="AN177" s="2" t="n">
        <v>4000</v>
      </c>
      <c r="AO177" s="2" t="n">
        <v>16</v>
      </c>
      <c r="AP177" s="2" t="inlineStr">
        <is>
          <t>modelo+año+km</t>
        </is>
      </c>
      <c r="AQ177" s="2" t="n"/>
      <c r="AR177" s="2" t="inlineStr">
        <is>
          <t>cuota fija ITP: &gt;12 años, 1.501-2.000 cc; fiabilidad del modelo PENDIENTE de fuente (puntuación neutra)</t>
        </is>
      </c>
      <c r="AS177" s="2" t="inlineStr">
        <is>
          <t>Coche práctico y económico para el día a día gracias a su motor diésel de 90 CV y un consumo eficiente que te permitirá ahorrar en combustible que  solo ha tenido un propietario.
Se trata de un berlina de cinco puertas y cinco plazas y un amplio maletero de 408 litros. 
Este vehículo ha tenido un uso habitual, lo que refleja la fiabilidad y resistencia de su mecánica. 
Tiene llantas de aleación de 16 pulgadas con neumáticos nuevos. las pastillas de freno delanteras y traseras son nuevas y los discos delanteros también.
Todas las revisiones de mto. realizadas en su debido momento, la última a los 200.000km. 
El interior presenta signos de uso, pero nada que impida su funcionamiento normal. Lo importante es que tienes aquí un coche que sigue cumpliendo su misión: llevarte de un lado a otro sin preocupaciones ni gastos excesivos.
El coche dispone de climatizador bizona, sensor de lluvia, ordenador de abordo, limitador de velocidad y regulador de velocidad.
Se entrega,con dos llaves, con autorradio con pantalla táctil y radio CD de origen.
Si buscas un coche para el día a día, práctico, con un bajo consumo y preparado para empezar a circular, esta es una magnífica oportunidad.
Estoy disponible por chat para resolver cualquier pregunta.
Contacta hoy mismo y descubre si este coche es lo que buscas.</t>
        </is>
      </c>
      <c r="AT177" s="2" t="inlineStr">
        <is>
          <t>https://www.coches.net/citroen-c4-16-hdi-90-cool-5p-diesel-2010-en-valencia-70942339-covo.aspx (window.__INITIAL_PROPS__.ad) /home/user/Alopecia/buscador-coches/raw/cochesnet/2d55cf956880f3f9.json</t>
        </is>
      </c>
      <c r="AU177" s="3">
        <f>MAX(ANIO_ACTUAL-M177,0)</f>
        <v/>
      </c>
      <c r="AV177" s="4">
        <f>N177/MAX(AU177,0.5)</f>
        <v/>
      </c>
      <c r="AW177" s="4">
        <f>F177</f>
        <v/>
      </c>
      <c r="AX177" s="3">
        <f>AW177&amp;"|"&amp;INT(M177/SEG_ANIO)*SEG_ANIO</f>
        <v/>
      </c>
      <c r="AY177" s="3">
        <f>AX177&amp;"|"&amp;INT(N177/SEG_KM)*SEG_KM</f>
        <v/>
      </c>
      <c r="AZ177" s="4">
        <f>COUNTIF($AW$2:$AW$662,AW177)</f>
        <v/>
      </c>
      <c r="BA177" s="4">
        <f>COUNTIF($AX$2:$AX$662,AX177)</f>
        <v/>
      </c>
      <c r="BB177" s="4">
        <f>COUNTIF($AY$2:$AY$662,AY177)</f>
        <v/>
      </c>
      <c r="BC177" s="3">
        <f t="array" ref="BC177">IF(N(AO177)&gt;=MIN_N,AN177,IF(BB177&gt;=MIN_N,MEDIAN(IF($AY$2:$AY$662=AY177,$O$2:$O$662)),IF(BA177&gt;=MIN_N,MEDIAN(IF($AX$2:$AX$662=AX177,$O$2:$O$662)),MEDIAN(IF($AW$2:$AW$662=AW177,$O$2:$O$662)))))</f>
        <v/>
      </c>
      <c r="BD177" s="3">
        <f>IF(N(AO177)&gt;=MIN_N,"mercado "&amp;AP177,IF(BB177&gt;=MIN_N,"modelo+año+km",IF(BA177&gt;=MIN_N,"modelo+año","modelo")))</f>
        <v/>
      </c>
      <c r="BE177" s="4">
        <f>(BC177-O177)/BC177</f>
        <v/>
      </c>
      <c r="BF177" s="3">
        <f>IF(OR(K177="hibrido",K177="glp"),"ECO",IF(K177="electrico","CERO",IF(K177="gasolina",IF(M177&gt;=GAS_C,"C",IF(M177&gt;=GAS_B,"B","A")),IF(K177="diesel",IF(M177&gt;=DIE_C,"C",IF(M177&gt;=DIE_B,"B","A")),""))))</f>
        <v/>
      </c>
      <c r="BG177" s="3">
        <f>IFERROR(VLOOKUP(F177,MOD_TBL,11,0),IFERROR(VLOOKUP(E177,OCU_TBL,2,0),NEUTRO))</f>
        <v/>
      </c>
      <c r="BH177" s="3">
        <f>SUMIFS(MOT_AJUSTE,MOT_MOTOR,G177,MOT_MARCA,E177,MOT_DESDE,"&lt;="&amp;M177,MOT_HASTA,"&gt;="&amp;M177)+SUMIFS(MOT_AJUSTE,MOT_MOTOR,G177,MOT_MARCA,"(todas)",MOT_DESDE,"&lt;="&amp;M177,MOT_HASTA,"&gt;="&amp;M177)</f>
        <v/>
      </c>
      <c r="BI177" s="3">
        <f>SUMIFS(COMB_AJUSTE,COMB_COMB,K177)</f>
        <v/>
      </c>
      <c r="BJ177" s="3">
        <f>COUNTIFS(MOT_MOTOR,G177,MOT_MARCA,E177,MOT_DESDE,"&lt;="&amp;M177,MOT_HASTA,"&gt;="&amp;M177)+COUNTIFS(MOT_MOTOR,G177,MOT_MARCA,"(todas)",MOT_DESDE,"&lt;="&amp;M177,MOT_HASTA,"&gt;="&amp;M177)</f>
        <v/>
      </c>
      <c r="BK177" s="3">
        <f>IF(AND(K177="diesel",BJ177=0),MIN(BG177,NEUTRO),BG177)</f>
        <v/>
      </c>
      <c r="BL177" s="4">
        <f>MAX(0,MIN(100,BK177+BH177+BI177))</f>
        <v/>
      </c>
      <c r="BM177" s="3">
        <f>MAX(0,MIN(100,50+BE177*PRECIO_PEND))</f>
        <v/>
      </c>
      <c r="BN177" s="3">
        <f>MAX(0,100*(1-N177/KM_MAX))</f>
        <v/>
      </c>
      <c r="BO177" s="3">
        <f>IF(AV177&lt;KMA_SOSP,IF(AA177="sí",100,KMA_PEN),IF(AV177&lt;=KMA_IDEAL_MAX,100,MAX(0,100*(KMA_CERO-AV177)/(KMA_CERO-KMA_IDEAL_MAX))))</f>
        <v/>
      </c>
      <c r="BP177" s="3">
        <f>MAX(0,MIN(100,100*(M177-ANIO_MIN)/(ANIO_ACTUAL-ANIO_MIN)))</f>
        <v/>
      </c>
      <c r="BQ177" s="3">
        <f>W_KMT*BN177+W_KMA*BO177+W_EDAD*BP177</f>
        <v/>
      </c>
      <c r="BR177" s="3">
        <f>P_ITV*(V177="sí")+P_LIBRO*(W177="sí")+P_CORREA*(X177="sí")+P_PROP*(Y177=1)+P_GAR*(Z177="sí")+P_FOTOS*MIN(1,N(U177)/FOTOS_OBJ)</f>
        <v/>
      </c>
      <c r="BS177" s="3">
        <f>IFERROR(VLOOKUP(BF177,ETQ_TBL,2,0),NEUTRO)</f>
        <v/>
      </c>
      <c r="BT177" s="3">
        <f>NEUTRO</f>
        <v/>
      </c>
      <c r="BU177" s="3">
        <f>IFERROR(VLOOKUP(L177,SEGURO_TBL,3,0),"")</f>
        <v/>
      </c>
      <c r="BV177" s="3">
        <f>IF(BU177="",NEUTRO,MAX(0,MIN(100,100*(SEG_REF_MAX-BU177)/(SEG_REF_MAX-SEG_REF_MIN))))</f>
        <v/>
      </c>
      <c r="BW177" s="3">
        <f>W_ET*BS177+W_CONS*BT177+W_SEG*BV177</f>
        <v/>
      </c>
      <c r="BX177" s="3">
        <f>IF(N(AB177)&gt;0,AB177,IF(AND(R177="profesional",SG_LEGAL_ON=1),GAR_LEGAL,0))</f>
        <v/>
      </c>
      <c r="BY177" s="3">
        <f>SG_GAR*MIN(1,BX177/SG_GAR_FULL)+SG_AMPL*(AC177="sí")+SG_KMC*(AF177="sí")+SG_REV*(N(AE177)&gt;0)+SG_DEV*MIN(1,N(AG177)/SG_DEV_FULL)+SG_HIST*(W177="sí")</f>
        <v/>
      </c>
      <c r="BZ177" s="3">
        <f>IFERROR(VLOOKUP(L177,CARR_PEN_TBL,2,0),0)</f>
        <v/>
      </c>
      <c r="CA177" s="3">
        <f>W_FIAB*BL177+W_PRECIO*BM177+W_KMEDAD*BQ177+W_ANUNCIO*BR177+W_USO*BW177+W_SEGURIDAD*BY177-BZ177</f>
        <v/>
      </c>
      <c r="CB177" s="4">
        <f>IF(N(I177)&gt;0,I177,IFERROR(ROUND(_xlfn.NUMBERVALUE(LEFT(G177,FIND(" ",G177&amp;" ")-1),".")*1000,0),99999))</f>
        <v/>
      </c>
      <c r="CC177" s="3">
        <f>IF(R177="profesional",0,IF(O177&lt;CUOTA_VALOR_MAX,IF(AU177&gt;ITP_TRAMO_ALTO,SUMIFS(CF_CUOTA,CF_MAS,ITP_TRAMO_ALTO,CF_CCMIN,"&lt;="&amp;CB177,CF_CCMAX,"&gt;="&amp;CB177),IF(AU177&gt;ITP_TRAMO_BAJO,SUMIFS(CF_CUOTA,CF_MAS,ITP_TRAMO_BAJO,CF_CCMIN,"&lt;="&amp;CB177,CF_CCMAX,"&gt;="&amp;CB177),O177*ITP_TIPO)),O177*ITP_TIPO))</f>
        <v/>
      </c>
      <c r="CD177" s="4">
        <f>IF(R177="profesional",N(AK177),0)</f>
        <v/>
      </c>
      <c r="CE177" s="3">
        <f>IF(AND(R177="profesional",ISNUMBER(AK177),AL177="sí"),0,TASA_DGT)</f>
        <v/>
      </c>
      <c r="CF177" s="3">
        <f>INFORME_DGT</f>
        <v/>
      </c>
      <c r="CG177" s="4">
        <f>O177+CD177+CC177+CE177+CF177</f>
        <v/>
      </c>
      <c r="CH177" s="4">
        <f>CG177+N(BU177)</f>
        <v/>
      </c>
      <c r="CI177" s="3">
        <f>IF(CG177&lt;=TOTAL_MAX,"sí",IF(CG177&lt;=TOTAL_MAX+MARGEN_NEG,"negociar","no"))</f>
        <v/>
      </c>
      <c r="CJ177" s="4">
        <f>IF(CI177&lt;&gt;"no",COUNTIFS($CI$2:$CI$662,"&lt;&gt;no",$CA$2:$CA$662,"&gt;"&amp;CA177)+COUNTIFS($CI$2:CI177,"&lt;&gt;no",$CA$2:CA177,CA177),"")</f>
        <v/>
      </c>
    </row>
    <row r="178">
      <c r="A178" s="2" t="inlineStr">
        <is>
          <t>cochesnet:71672111</t>
        </is>
      </c>
      <c r="B178" s="2" t="inlineStr">
        <is>
          <t>cochesnet</t>
        </is>
      </c>
      <c r="C178" s="2" t="inlineStr">
        <is>
          <t>https://www.coches.net/ford-ka-gasolina-2015-en-valencia-71672111-covo.aspx</t>
        </is>
      </c>
      <c r="D178" s="2" t="inlineStr">
        <is>
          <t>FORD KA</t>
        </is>
      </c>
      <c r="E178" s="2" t="inlineStr">
        <is>
          <t>Ford</t>
        </is>
      </c>
      <c r="F178" s="2" t="inlineStr">
        <is>
          <t>Ford Ka</t>
        </is>
      </c>
      <c r="G178" s="2" t="n"/>
      <c r="H178" s="2" t="n"/>
      <c r="I178" s="2" t="n"/>
      <c r="J178" s="2" t="n"/>
      <c r="K178" s="2" t="inlineStr">
        <is>
          <t>gasolina</t>
        </is>
      </c>
      <c r="L178" s="2" t="inlineStr">
        <is>
          <t>utilitario</t>
        </is>
      </c>
      <c r="M178" s="2" t="n">
        <v>2015</v>
      </c>
      <c r="N178" s="2" t="n">
        <v>134068</v>
      </c>
      <c r="O178" s="2" t="n">
        <v>4000</v>
      </c>
      <c r="P178" s="2" t="inlineStr">
        <is>
          <t>manual</t>
        </is>
      </c>
      <c r="Q178" s="2" t="inlineStr">
        <is>
          <t>no</t>
        </is>
      </c>
      <c r="R178" s="2" t="inlineStr">
        <is>
          <t>particular</t>
        </is>
      </c>
      <c r="S178" s="2" t="inlineStr">
        <is>
          <t>Gandia</t>
        </is>
      </c>
      <c r="T178" s="2" t="inlineStr">
        <is>
          <t>2026-10-05T02:39:53Z</t>
        </is>
      </c>
      <c r="U178" s="2" t="n">
        <v>9</v>
      </c>
      <c r="V178" s="2" t="inlineStr">
        <is>
          <t>sí</t>
        </is>
      </c>
      <c r="W178" s="2" t="n"/>
      <c r="X178" s="2" t="n"/>
      <c r="Y178" s="2" t="n"/>
      <c r="Z178" s="2" t="inlineStr">
        <is>
          <t>no</t>
        </is>
      </c>
      <c r="AA178" s="2" t="n"/>
      <c r="AB178" s="2" t="n"/>
      <c r="AC178" s="2" t="n"/>
      <c r="AD178" s="2" t="n"/>
      <c r="AE178" s="2" t="n"/>
      <c r="AF178" s="2" t="n"/>
      <c r="AG178" s="2" t="n"/>
      <c r="AH178" s="2" t="n">
        <v>4000</v>
      </c>
      <c r="AI178" s="2" t="n"/>
      <c r="AJ178" s="2" t="n"/>
      <c r="AK178" s="2" t="n"/>
      <c r="AL178" s="2" t="n"/>
      <c r="AM178" s="2" t="n">
        <v>58.4</v>
      </c>
      <c r="AN178" s="2" t="n">
        <v>4990</v>
      </c>
      <c r="AO178" s="2" t="n">
        <v>7</v>
      </c>
      <c r="AP178" s="2" t="inlineStr">
        <is>
          <t>modelo+año</t>
        </is>
      </c>
      <c r="AQ178" s="2" t="n"/>
      <c r="AR178" s="2" t="inlineStr">
        <is>
          <t>cilindrada desconocida: se aplica el tramo de cuota fija más alto; cuota fija ITP: &gt;5 y &lt;=12 años, más de 2.000 cc; fiabilidad del modelo PENDIENTE de fuente (puntuación neutra)</t>
        </is>
      </c>
      <c r="AS178" s="2" t="inlineStr">
        <is>
          <t>Se vende Ford Ka,año 2015,bien cuidado,unica dueña y concesionario,color gris mate, 134068 km,manual,Ideal para usar en ciudades grandes con facilidad de aparcar rapido por el tamaño ,itv pasada hace pocos meses,tiene unos pequeños arañazos debido a alguien que golpeo el coche y se dio a la fuga pero de ahi esas bandas negras que disimulan bastante.Interesados llamen al .Cristina</t>
        </is>
      </c>
      <c r="AT178" s="2" t="inlineStr">
        <is>
          <t>https://www.coches.net/ford-ka-gasolina-2015-en-valencia-71672111-covo.aspx (window.__INITIAL_PROPS__.ad) /home/user/Alopecia/buscador-coches/raw/cochesnet/922beef2835ef0df.json</t>
        </is>
      </c>
      <c r="AU178" s="3">
        <f>MAX(ANIO_ACTUAL-M178,0)</f>
        <v/>
      </c>
      <c r="AV178" s="4">
        <f>N178/MAX(AU178,0.5)</f>
        <v/>
      </c>
      <c r="AW178" s="4">
        <f>F178</f>
        <v/>
      </c>
      <c r="AX178" s="3">
        <f>AW178&amp;"|"&amp;INT(M178/SEG_ANIO)*SEG_ANIO</f>
        <v/>
      </c>
      <c r="AY178" s="3">
        <f>AX178&amp;"|"&amp;INT(N178/SEG_KM)*SEG_KM</f>
        <v/>
      </c>
      <c r="AZ178" s="4">
        <f>COUNTIF($AW$2:$AW$662,AW178)</f>
        <v/>
      </c>
      <c r="BA178" s="4">
        <f>COUNTIF($AX$2:$AX$662,AX178)</f>
        <v/>
      </c>
      <c r="BB178" s="4">
        <f>COUNTIF($AY$2:$AY$662,AY178)</f>
        <v/>
      </c>
      <c r="BC178" s="3">
        <f t="array" ref="BC178">IF(N(AO178)&gt;=MIN_N,AN178,IF(BB178&gt;=MIN_N,MEDIAN(IF($AY$2:$AY$662=AY178,$O$2:$O$662)),IF(BA178&gt;=MIN_N,MEDIAN(IF($AX$2:$AX$662=AX178,$O$2:$O$662)),MEDIAN(IF($AW$2:$AW$662=AW178,$O$2:$O$662)))))</f>
        <v/>
      </c>
      <c r="BD178" s="3">
        <f>IF(N(AO178)&gt;=MIN_N,"mercado "&amp;AP178,IF(BB178&gt;=MIN_N,"modelo+año+km",IF(BA178&gt;=MIN_N,"modelo+año","modelo")))</f>
        <v/>
      </c>
      <c r="BE178" s="4">
        <f>(BC178-O178)/BC178</f>
        <v/>
      </c>
      <c r="BF178" s="3">
        <f>IF(OR(K178="hibrido",K178="glp"),"ECO",IF(K178="electrico","CERO",IF(K178="gasolina",IF(M178&gt;=GAS_C,"C",IF(M178&gt;=GAS_B,"B","A")),IF(K178="diesel",IF(M178&gt;=DIE_C,"C",IF(M178&gt;=DIE_B,"B","A")),""))))</f>
        <v/>
      </c>
      <c r="BG178" s="3">
        <f>IFERROR(VLOOKUP(F178,MOD_TBL,11,0),IFERROR(VLOOKUP(E178,OCU_TBL,2,0),NEUTRO))</f>
        <v/>
      </c>
      <c r="BH178" s="3">
        <f>SUMIFS(MOT_AJUSTE,MOT_MOTOR,G178,MOT_MARCA,E178,MOT_DESDE,"&lt;="&amp;M178,MOT_HASTA,"&gt;="&amp;M178)+SUMIFS(MOT_AJUSTE,MOT_MOTOR,G178,MOT_MARCA,"(todas)",MOT_DESDE,"&lt;="&amp;M178,MOT_HASTA,"&gt;="&amp;M178)</f>
        <v/>
      </c>
      <c r="BI178" s="3">
        <f>SUMIFS(COMB_AJUSTE,COMB_COMB,K178)</f>
        <v/>
      </c>
      <c r="BJ178" s="3">
        <f>COUNTIFS(MOT_MOTOR,G178,MOT_MARCA,E178,MOT_DESDE,"&lt;="&amp;M178,MOT_HASTA,"&gt;="&amp;M178)+COUNTIFS(MOT_MOTOR,G178,MOT_MARCA,"(todas)",MOT_DESDE,"&lt;="&amp;M178,MOT_HASTA,"&gt;="&amp;M178)</f>
        <v/>
      </c>
      <c r="BK178" s="3">
        <f>IF(AND(K178="diesel",BJ178=0),MIN(BG178,NEUTRO),BG178)</f>
        <v/>
      </c>
      <c r="BL178" s="4">
        <f>MAX(0,MIN(100,BK178+BH178+BI178))</f>
        <v/>
      </c>
      <c r="BM178" s="3">
        <f>MAX(0,MIN(100,50+BE178*PRECIO_PEND))</f>
        <v/>
      </c>
      <c r="BN178" s="3">
        <f>MAX(0,100*(1-N178/KM_MAX))</f>
        <v/>
      </c>
      <c r="BO178" s="3">
        <f>IF(AV178&lt;KMA_SOSP,IF(AA178="sí",100,KMA_PEN),IF(AV178&lt;=KMA_IDEAL_MAX,100,MAX(0,100*(KMA_CERO-AV178)/(KMA_CERO-KMA_IDEAL_MAX))))</f>
        <v/>
      </c>
      <c r="BP178" s="3">
        <f>MAX(0,MIN(100,100*(M178-ANIO_MIN)/(ANIO_ACTUAL-ANIO_MIN)))</f>
        <v/>
      </c>
      <c r="BQ178" s="3">
        <f>W_KMT*BN178+W_KMA*BO178+W_EDAD*BP178</f>
        <v/>
      </c>
      <c r="BR178" s="3">
        <f>P_ITV*(V178="sí")+P_LIBRO*(W178="sí")+P_CORREA*(X178="sí")+P_PROP*(Y178=1)+P_GAR*(Z178="sí")+P_FOTOS*MIN(1,N(U178)/FOTOS_OBJ)</f>
        <v/>
      </c>
      <c r="BS178" s="3">
        <f>IFERROR(VLOOKUP(BF178,ETQ_TBL,2,0),NEUTRO)</f>
        <v/>
      </c>
      <c r="BT178" s="3">
        <f>NEUTRO</f>
        <v/>
      </c>
      <c r="BU178" s="3">
        <f>IFERROR(VLOOKUP(L178,SEGURO_TBL,3,0),"")</f>
        <v/>
      </c>
      <c r="BV178" s="3">
        <f>IF(BU178="",NEUTRO,MAX(0,MIN(100,100*(SEG_REF_MAX-BU178)/(SEG_REF_MAX-SEG_REF_MIN))))</f>
        <v/>
      </c>
      <c r="BW178" s="3">
        <f>W_ET*BS178+W_CONS*BT178+W_SEG*BV178</f>
        <v/>
      </c>
      <c r="BX178" s="3">
        <f>IF(N(AB178)&gt;0,AB178,IF(AND(R178="profesional",SG_LEGAL_ON=1),GAR_LEGAL,0))</f>
        <v/>
      </c>
      <c r="BY178" s="3">
        <f>SG_GAR*MIN(1,BX178/SG_GAR_FULL)+SG_AMPL*(AC178="sí")+SG_KMC*(AF178="sí")+SG_REV*(N(AE178)&gt;0)+SG_DEV*MIN(1,N(AG178)/SG_DEV_FULL)+SG_HIST*(W178="sí")</f>
        <v/>
      </c>
      <c r="BZ178" s="3">
        <f>IFERROR(VLOOKUP(L178,CARR_PEN_TBL,2,0),0)</f>
        <v/>
      </c>
      <c r="CA178" s="3">
        <f>W_FIAB*BL178+W_PRECIO*BM178+W_KMEDAD*BQ178+W_ANUNCIO*BR178+W_USO*BW178+W_SEGURIDAD*BY178-BZ178</f>
        <v/>
      </c>
      <c r="CB178" s="4">
        <f>IF(N(I178)&gt;0,I178,IFERROR(ROUND(_xlfn.NUMBERVALUE(LEFT(G178,FIND(" ",G178&amp;" ")-1),".")*1000,0),99999))</f>
        <v/>
      </c>
      <c r="CC178" s="3">
        <f>IF(R178="profesional",0,IF(O178&lt;CUOTA_VALOR_MAX,IF(AU178&gt;ITP_TRAMO_ALTO,SUMIFS(CF_CUOTA,CF_MAS,ITP_TRAMO_ALTO,CF_CCMIN,"&lt;="&amp;CB178,CF_CCMAX,"&gt;="&amp;CB178),IF(AU178&gt;ITP_TRAMO_BAJO,SUMIFS(CF_CUOTA,CF_MAS,ITP_TRAMO_BAJO,CF_CCMIN,"&lt;="&amp;CB178,CF_CCMAX,"&gt;="&amp;CB178),O178*ITP_TIPO)),O178*ITP_TIPO))</f>
        <v/>
      </c>
      <c r="CD178" s="4">
        <f>IF(R178="profesional",N(AK178),0)</f>
        <v/>
      </c>
      <c r="CE178" s="3">
        <f>IF(AND(R178="profesional",ISNUMBER(AK178),AL178="sí"),0,TASA_DGT)</f>
        <v/>
      </c>
      <c r="CF178" s="3">
        <f>INFORME_DGT</f>
        <v/>
      </c>
      <c r="CG178" s="4">
        <f>O178+CD178+CC178+CE178+CF178</f>
        <v/>
      </c>
      <c r="CH178" s="4">
        <f>CG178+N(BU178)</f>
        <v/>
      </c>
      <c r="CI178" s="3">
        <f>IF(CG178&lt;=TOTAL_MAX,"sí",IF(CG178&lt;=TOTAL_MAX+MARGEN_NEG,"negociar","no"))</f>
        <v/>
      </c>
      <c r="CJ178" s="4">
        <f>IF(CI178&lt;&gt;"no",COUNTIFS($CI$2:$CI$662,"&lt;&gt;no",$CA$2:$CA$662,"&gt;"&amp;CA178)+COUNTIFS($CI$2:CI178,"&lt;&gt;no",$CA$2:CA178,CA178),"")</f>
        <v/>
      </c>
    </row>
    <row r="179">
      <c r="A179" s="2" t="inlineStr">
        <is>
          <t>cochesnet:71569576</t>
        </is>
      </c>
      <c r="B179" s="2" t="inlineStr">
        <is>
          <t>cochesnet</t>
        </is>
      </c>
      <c r="C179" s="2" t="inlineStr">
        <is>
          <t>https://www.coches.net/ford-ka-12-trend-3p-gasolina-2010-en-valencia-71569576-covo.aspx</t>
        </is>
      </c>
      <c r="D179" s="2" t="inlineStr">
        <is>
          <t>FORD Ka 1.2 Trend</t>
        </is>
      </c>
      <c r="E179" s="2" t="inlineStr">
        <is>
          <t>Ford</t>
        </is>
      </c>
      <c r="F179" s="2" t="inlineStr">
        <is>
          <t>Ford Ka</t>
        </is>
      </c>
      <c r="G179" s="2" t="inlineStr">
        <is>
          <t>1.2</t>
        </is>
      </c>
      <c r="H179" s="2" t="inlineStr">
        <is>
          <t>1.2 Trend</t>
        </is>
      </c>
      <c r="I179" s="2" t="n"/>
      <c r="J179" s="2" t="n"/>
      <c r="K179" s="2" t="inlineStr">
        <is>
          <t>gasolina</t>
        </is>
      </c>
      <c r="L179" s="2" t="inlineStr">
        <is>
          <t>utilitario</t>
        </is>
      </c>
      <c r="M179" s="2" t="n">
        <v>2010</v>
      </c>
      <c r="N179" s="2" t="n">
        <v>157000</v>
      </c>
      <c r="O179" s="2" t="n">
        <v>3500</v>
      </c>
      <c r="P179" s="2" t="inlineStr">
        <is>
          <t>manual</t>
        </is>
      </c>
      <c r="Q179" s="2" t="inlineStr">
        <is>
          <t>no</t>
        </is>
      </c>
      <c r="R179" s="2" t="inlineStr">
        <is>
          <t>profesional</t>
        </is>
      </c>
      <c r="S179" s="2" t="inlineStr">
        <is>
          <t>Beniparrell</t>
        </is>
      </c>
      <c r="T179" s="2" t="inlineStr">
        <is>
          <t>2026-09-22T12:09:29Z</t>
        </is>
      </c>
      <c r="U179" s="2" t="n">
        <v>13</v>
      </c>
      <c r="V179" s="2" t="n"/>
      <c r="W179" s="2" t="n"/>
      <c r="X179" s="2" t="n"/>
      <c r="Y179" s="2" t="n"/>
      <c r="Z179" s="2" t="inlineStr">
        <is>
          <t>sí</t>
        </is>
      </c>
      <c r="AA179" s="2" t="n"/>
      <c r="AB179" s="2" t="n">
        <v>12</v>
      </c>
      <c r="AC179" s="2" t="n"/>
      <c r="AD179" s="2" t="n"/>
      <c r="AE179" s="2" t="n"/>
      <c r="AF179" s="2" t="n"/>
      <c r="AG179" s="2" t="n"/>
      <c r="AH179" s="2" t="n">
        <v>3500</v>
      </c>
      <c r="AI179" s="2" t="n"/>
      <c r="AJ179" s="2" t="n"/>
      <c r="AK179" s="2" t="n"/>
      <c r="AL179" s="2" t="n"/>
      <c r="AM179" s="2" t="n">
        <v>10.2</v>
      </c>
      <c r="AN179" s="2" t="n">
        <v>3000</v>
      </c>
      <c r="AO179" s="2" t="n">
        <v>9</v>
      </c>
      <c r="AP179" s="2" t="inlineStr">
        <is>
          <t>modelo+año</t>
        </is>
      </c>
      <c r="AQ179" s="2" t="n"/>
      <c r="AR179" s="2" t="inlineStr">
        <is>
          <t>vendedor profesional: sin ITP (operación con IVA/REBU, confirmar en factura); gastos de gestión del vendedor no indicados: se suma la tasa DGT; preguntar el precio final; fiabilidad del modelo PENDIENTE de fuente (puntuación neutra)</t>
        </is>
      </c>
      <c r="AS179" s="2" t="inlineStr">
        <is>
          <t>Este Ford Ka Trend+ destaca por su equipamiento práctico orientado al día a día: control de crucero, ordenador de viaje con información de consumo e autonomía, y elevalunas eléctricos delanteros con función de un solo toque. Dispone de dirección asistida, cierre centralizado con mando a distancia de doble cierre, retrovisores exteriores eléctricos y desempañables, además de cristales tintados que mejoran la privacidad. El interior combina asientos ajustables en altura con compartimentos de almacenamiento bajo el asiento del acompañante. Su etiqueta medioambiental C facilita el acceso a zonas de tráfico restringido. Transmisión manual con cambio de marchas directo.</t>
        </is>
      </c>
      <c r="AT179" s="2" t="inlineStr">
        <is>
          <t>https://www.coches.net/ford-ka-12-trend-3p-gasolina-2010-en-valencia-71569576-covo.aspx (window.__INITIAL_PROPS__.ad) /home/user/Alopecia/buscador-coches/raw/cochesnet/f615001a1b31829d.json</t>
        </is>
      </c>
      <c r="AU179" s="3">
        <f>MAX(ANIO_ACTUAL-M179,0)</f>
        <v/>
      </c>
      <c r="AV179" s="4">
        <f>N179/MAX(AU179,0.5)</f>
        <v/>
      </c>
      <c r="AW179" s="4">
        <f>F179</f>
        <v/>
      </c>
      <c r="AX179" s="3">
        <f>AW179&amp;"|"&amp;INT(M179/SEG_ANIO)*SEG_ANIO</f>
        <v/>
      </c>
      <c r="AY179" s="3">
        <f>AX179&amp;"|"&amp;INT(N179/SEG_KM)*SEG_KM</f>
        <v/>
      </c>
      <c r="AZ179" s="4">
        <f>COUNTIF($AW$2:$AW$662,AW179)</f>
        <v/>
      </c>
      <c r="BA179" s="4">
        <f>COUNTIF($AX$2:$AX$662,AX179)</f>
        <v/>
      </c>
      <c r="BB179" s="4">
        <f>COUNTIF($AY$2:$AY$662,AY179)</f>
        <v/>
      </c>
      <c r="BC179" s="3">
        <f t="array" ref="BC179">IF(N(AO179)&gt;=MIN_N,AN179,IF(BB179&gt;=MIN_N,MEDIAN(IF($AY$2:$AY$662=AY179,$O$2:$O$662)),IF(BA179&gt;=MIN_N,MEDIAN(IF($AX$2:$AX$662=AX179,$O$2:$O$662)),MEDIAN(IF($AW$2:$AW$662=AW179,$O$2:$O$662)))))</f>
        <v/>
      </c>
      <c r="BD179" s="3">
        <f>IF(N(AO179)&gt;=MIN_N,"mercado "&amp;AP179,IF(BB179&gt;=MIN_N,"modelo+año+km",IF(BA179&gt;=MIN_N,"modelo+año","modelo")))</f>
        <v/>
      </c>
      <c r="BE179" s="4">
        <f>(BC179-O179)/BC179</f>
        <v/>
      </c>
      <c r="BF179" s="3">
        <f>IF(OR(K179="hibrido",K179="glp"),"ECO",IF(K179="electrico","CERO",IF(K179="gasolina",IF(M179&gt;=GAS_C,"C",IF(M179&gt;=GAS_B,"B","A")),IF(K179="diesel",IF(M179&gt;=DIE_C,"C",IF(M179&gt;=DIE_B,"B","A")),""))))</f>
        <v/>
      </c>
      <c r="BG179" s="3">
        <f>IFERROR(VLOOKUP(F179,MOD_TBL,11,0),IFERROR(VLOOKUP(E179,OCU_TBL,2,0),NEUTRO))</f>
        <v/>
      </c>
      <c r="BH179" s="3">
        <f>SUMIFS(MOT_AJUSTE,MOT_MOTOR,G179,MOT_MARCA,E179,MOT_DESDE,"&lt;="&amp;M179,MOT_HASTA,"&gt;="&amp;M179)+SUMIFS(MOT_AJUSTE,MOT_MOTOR,G179,MOT_MARCA,"(todas)",MOT_DESDE,"&lt;="&amp;M179,MOT_HASTA,"&gt;="&amp;M179)</f>
        <v/>
      </c>
      <c r="BI179" s="3">
        <f>SUMIFS(COMB_AJUSTE,COMB_COMB,K179)</f>
        <v/>
      </c>
      <c r="BJ179" s="3">
        <f>COUNTIFS(MOT_MOTOR,G179,MOT_MARCA,E179,MOT_DESDE,"&lt;="&amp;M179,MOT_HASTA,"&gt;="&amp;M179)+COUNTIFS(MOT_MOTOR,G179,MOT_MARCA,"(todas)",MOT_DESDE,"&lt;="&amp;M179,MOT_HASTA,"&gt;="&amp;M179)</f>
        <v/>
      </c>
      <c r="BK179" s="3">
        <f>IF(AND(K179="diesel",BJ179=0),MIN(BG179,NEUTRO),BG179)</f>
        <v/>
      </c>
      <c r="BL179" s="4">
        <f>MAX(0,MIN(100,BK179+BH179+BI179))</f>
        <v/>
      </c>
      <c r="BM179" s="3">
        <f>MAX(0,MIN(100,50+BE179*PRECIO_PEND))</f>
        <v/>
      </c>
      <c r="BN179" s="3">
        <f>MAX(0,100*(1-N179/KM_MAX))</f>
        <v/>
      </c>
      <c r="BO179" s="3">
        <f>IF(AV179&lt;KMA_SOSP,IF(AA179="sí",100,KMA_PEN),IF(AV179&lt;=KMA_IDEAL_MAX,100,MAX(0,100*(KMA_CERO-AV179)/(KMA_CERO-KMA_IDEAL_MAX))))</f>
        <v/>
      </c>
      <c r="BP179" s="3">
        <f>MAX(0,MIN(100,100*(M179-ANIO_MIN)/(ANIO_ACTUAL-ANIO_MIN)))</f>
        <v/>
      </c>
      <c r="BQ179" s="3">
        <f>W_KMT*BN179+W_KMA*BO179+W_EDAD*BP179</f>
        <v/>
      </c>
      <c r="BR179" s="3">
        <f>P_ITV*(V179="sí")+P_LIBRO*(W179="sí")+P_CORREA*(X179="sí")+P_PROP*(Y179=1)+P_GAR*(Z179="sí")+P_FOTOS*MIN(1,N(U179)/FOTOS_OBJ)</f>
        <v/>
      </c>
      <c r="BS179" s="3">
        <f>IFERROR(VLOOKUP(BF179,ETQ_TBL,2,0),NEUTRO)</f>
        <v/>
      </c>
      <c r="BT179" s="3">
        <f>NEUTRO</f>
        <v/>
      </c>
      <c r="BU179" s="3">
        <f>IFERROR(VLOOKUP(L179,SEGURO_TBL,3,0),"")</f>
        <v/>
      </c>
      <c r="BV179" s="3">
        <f>IF(BU179="",NEUTRO,MAX(0,MIN(100,100*(SEG_REF_MAX-BU179)/(SEG_REF_MAX-SEG_REF_MIN))))</f>
        <v/>
      </c>
      <c r="BW179" s="3">
        <f>W_ET*BS179+W_CONS*BT179+W_SEG*BV179</f>
        <v/>
      </c>
      <c r="BX179" s="3">
        <f>IF(N(AB179)&gt;0,AB179,IF(AND(R179="profesional",SG_LEGAL_ON=1),GAR_LEGAL,0))</f>
        <v/>
      </c>
      <c r="BY179" s="3">
        <f>SG_GAR*MIN(1,BX179/SG_GAR_FULL)+SG_AMPL*(AC179="sí")+SG_KMC*(AF179="sí")+SG_REV*(N(AE179)&gt;0)+SG_DEV*MIN(1,N(AG179)/SG_DEV_FULL)+SG_HIST*(W179="sí")</f>
        <v/>
      </c>
      <c r="BZ179" s="3">
        <f>IFERROR(VLOOKUP(L179,CARR_PEN_TBL,2,0),0)</f>
        <v/>
      </c>
      <c r="CA179" s="3">
        <f>W_FIAB*BL179+W_PRECIO*BM179+W_KMEDAD*BQ179+W_ANUNCIO*BR179+W_USO*BW179+W_SEGURIDAD*BY179-BZ179</f>
        <v/>
      </c>
      <c r="CB179" s="4">
        <f>IF(N(I179)&gt;0,I179,IFERROR(ROUND(_xlfn.NUMBERVALUE(LEFT(G179,FIND(" ",G179&amp;" ")-1),".")*1000,0),99999))</f>
        <v/>
      </c>
      <c r="CC179" s="3">
        <f>IF(R179="profesional",0,IF(O179&lt;CUOTA_VALOR_MAX,IF(AU179&gt;ITP_TRAMO_ALTO,SUMIFS(CF_CUOTA,CF_MAS,ITP_TRAMO_ALTO,CF_CCMIN,"&lt;="&amp;CB179,CF_CCMAX,"&gt;="&amp;CB179),IF(AU179&gt;ITP_TRAMO_BAJO,SUMIFS(CF_CUOTA,CF_MAS,ITP_TRAMO_BAJO,CF_CCMIN,"&lt;="&amp;CB179,CF_CCMAX,"&gt;="&amp;CB179),O179*ITP_TIPO)),O179*ITP_TIPO))</f>
        <v/>
      </c>
      <c r="CD179" s="4">
        <f>IF(R179="profesional",N(AK179),0)</f>
        <v/>
      </c>
      <c r="CE179" s="3">
        <f>IF(AND(R179="profesional",ISNUMBER(AK179),AL179="sí"),0,TASA_DGT)</f>
        <v/>
      </c>
      <c r="CF179" s="3">
        <f>INFORME_DGT</f>
        <v/>
      </c>
      <c r="CG179" s="4">
        <f>O179+CD179+CC179+CE179+CF179</f>
        <v/>
      </c>
      <c r="CH179" s="4">
        <f>CG179+N(BU179)</f>
        <v/>
      </c>
      <c r="CI179" s="3">
        <f>IF(CG179&lt;=TOTAL_MAX,"sí",IF(CG179&lt;=TOTAL_MAX+MARGEN_NEG,"negociar","no"))</f>
        <v/>
      </c>
      <c r="CJ179" s="4">
        <f>IF(CI179&lt;&gt;"no",COUNTIFS($CI$2:$CI$662,"&lt;&gt;no",$CA$2:$CA$662,"&gt;"&amp;CA179)+COUNTIFS($CI$2:CI179,"&lt;&gt;no",$CA$2:CA179,CA179),"")</f>
        <v/>
      </c>
    </row>
    <row r="180">
      <c r="A180" s="2" t="inlineStr">
        <is>
          <t>cochesnet:70591603</t>
        </is>
      </c>
      <c r="B180" s="2" t="inlineStr">
        <is>
          <t>cochesnet</t>
        </is>
      </c>
      <c r="C180" s="2" t="inlineStr">
        <is>
          <t>https://www.coches.net/ford-ka-black-edition-13-tdci-autostartstop-3p-diesel-2012-en-valencia-70591603-covo.aspx</t>
        </is>
      </c>
      <c r="D180" s="2" t="inlineStr">
        <is>
          <t>FORD Ka Black Edition 1.3 TDCi AutoStartStop</t>
        </is>
      </c>
      <c r="E180" s="2" t="inlineStr">
        <is>
          <t>Ford</t>
        </is>
      </c>
      <c r="F180" s="2" t="inlineStr">
        <is>
          <t>Ford Ka</t>
        </is>
      </c>
      <c r="G180" s="2" t="inlineStr">
        <is>
          <t>1.3 TDCi</t>
        </is>
      </c>
      <c r="H180" s="2" t="inlineStr">
        <is>
          <t>Black Edition 1.3 TDCi AutoStartStop</t>
        </is>
      </c>
      <c r="I180" s="2" t="n"/>
      <c r="J180" s="2" t="n"/>
      <c r="K180" s="2" t="inlineStr">
        <is>
          <t>diesel</t>
        </is>
      </c>
      <c r="L180" s="2" t="inlineStr">
        <is>
          <t>utilitario</t>
        </is>
      </c>
      <c r="M180" s="2" t="n">
        <v>2012</v>
      </c>
      <c r="N180" s="2" t="n">
        <v>208150</v>
      </c>
      <c r="O180" s="2" t="n">
        <v>4500</v>
      </c>
      <c r="P180" s="2" t="inlineStr">
        <is>
          <t>manual</t>
        </is>
      </c>
      <c r="Q180" s="2" t="inlineStr">
        <is>
          <t>no</t>
        </is>
      </c>
      <c r="R180" s="2" t="inlineStr">
        <is>
          <t>profesional</t>
        </is>
      </c>
      <c r="S180" s="2" t="inlineStr">
        <is>
          <t>Motor Valencia Alaquàs</t>
        </is>
      </c>
      <c r="T180" s="2" t="inlineStr">
        <is>
          <t>2026-08-05T19:06:09Z</t>
        </is>
      </c>
      <c r="U180" s="2" t="n">
        <v>17</v>
      </c>
      <c r="V180" s="2" t="inlineStr">
        <is>
          <t>sí</t>
        </is>
      </c>
      <c r="W180" s="2" t="n"/>
      <c r="X180" s="2" t="n"/>
      <c r="Y180" s="2" t="n"/>
      <c r="Z180" s="2" t="inlineStr">
        <is>
          <t>sí</t>
        </is>
      </c>
      <c r="AA180" s="2" t="n"/>
      <c r="AB180" s="2" t="n">
        <v>12</v>
      </c>
      <c r="AC180" s="2" t="n"/>
      <c r="AD180" s="2" t="n"/>
      <c r="AE180" s="2" t="n"/>
      <c r="AF180" s="2" t="n"/>
      <c r="AG180" s="2" t="n"/>
      <c r="AH180" s="2" t="n">
        <v>4500</v>
      </c>
      <c r="AI180" s="2" t="n">
        <v>4500</v>
      </c>
      <c r="AJ180" s="2" t="n"/>
      <c r="AK180" s="2" t="n"/>
      <c r="AL180" s="2" t="n"/>
      <c r="AM180" s="2" t="n">
        <v>7.4</v>
      </c>
      <c r="AN180" s="2" t="n">
        <v>2950</v>
      </c>
      <c r="AO180" s="2" t="n">
        <v>5</v>
      </c>
      <c r="AP180" s="2" t="inlineStr">
        <is>
          <t>modelo+año+km</t>
        </is>
      </c>
      <c r="AQ180" s="2" t="n"/>
      <c r="AR180" s="2" t="inlineStr">
        <is>
          <t>vendedor profesional: sin ITP (operación con IVA/REBU, confirmar en factura); gastos de gestión del vendedor no indicados: se suma la tasa DGT; preguntar el precio final; fiabilidad del modelo PENDIENTE de fuente (puntuación neutra)</t>
        </is>
      </c>
      <c r="AS180" s="2" t="inlineStr">
        <is>
          <t>EDICION ESPECIAL, TECHO PANORAMICO CRISTAL, SPOLIER PORTON, LLANTAS ALUMINIO 15" Y CUBIERTAS NUEVAS, RETROVISORES ELECTRICOS, ITV RECIEN PASADA, SE ENTREGA CON GARANTIA, MANTENIMIENTO COMPLETO REALLIZADO, LIMPIO Y DESINFECTADO DE TAPICERIA, SE ACEPTA PRUEBA MECANICA DONDE DESIGNE COMPRADOR</t>
        </is>
      </c>
      <c r="AT180" s="2" t="inlineStr">
        <is>
          <t>https://www.coches.net/ford-ka-black-edition-13-tdci-autostartstop-3p-diesel-2012-en-valencia-70591603-covo.aspx (window.__INITIAL_PROPS__.ad) /home/user/Alopecia/buscador-coches/raw/cochesnet/b5792f53214e364a.json</t>
        </is>
      </c>
      <c r="AU180" s="3">
        <f>MAX(ANIO_ACTUAL-M180,0)</f>
        <v/>
      </c>
      <c r="AV180" s="4">
        <f>N180/MAX(AU180,0.5)</f>
        <v/>
      </c>
      <c r="AW180" s="4">
        <f>F180</f>
        <v/>
      </c>
      <c r="AX180" s="3">
        <f>AW180&amp;"|"&amp;INT(M180/SEG_ANIO)*SEG_ANIO</f>
        <v/>
      </c>
      <c r="AY180" s="3">
        <f>AX180&amp;"|"&amp;INT(N180/SEG_KM)*SEG_KM</f>
        <v/>
      </c>
      <c r="AZ180" s="4">
        <f>COUNTIF($AW$2:$AW$662,AW180)</f>
        <v/>
      </c>
      <c r="BA180" s="4">
        <f>COUNTIF($AX$2:$AX$662,AX180)</f>
        <v/>
      </c>
      <c r="BB180" s="4">
        <f>COUNTIF($AY$2:$AY$662,AY180)</f>
        <v/>
      </c>
      <c r="BC180" s="3">
        <f t="array" ref="BC180">IF(N(AO180)&gt;=MIN_N,AN180,IF(BB180&gt;=MIN_N,MEDIAN(IF($AY$2:$AY$662=AY180,$O$2:$O$662)),IF(BA180&gt;=MIN_N,MEDIAN(IF($AX$2:$AX$662=AX180,$O$2:$O$662)),MEDIAN(IF($AW$2:$AW$662=AW180,$O$2:$O$662)))))</f>
        <v/>
      </c>
      <c r="BD180" s="3">
        <f>IF(N(AO180)&gt;=MIN_N,"mercado "&amp;AP180,IF(BB180&gt;=MIN_N,"modelo+año+km",IF(BA180&gt;=MIN_N,"modelo+año","modelo")))</f>
        <v/>
      </c>
      <c r="BE180" s="4">
        <f>(BC180-O180)/BC180</f>
        <v/>
      </c>
      <c r="BF180" s="3">
        <f>IF(OR(K180="hibrido",K180="glp"),"ECO",IF(K180="electrico","CERO",IF(K180="gasolina",IF(M180&gt;=GAS_C,"C",IF(M180&gt;=GAS_B,"B","A")),IF(K180="diesel",IF(M180&gt;=DIE_C,"C",IF(M180&gt;=DIE_B,"B","A")),""))))</f>
        <v/>
      </c>
      <c r="BG180" s="3">
        <f>IFERROR(VLOOKUP(F180,MOD_TBL,11,0),IFERROR(VLOOKUP(E180,OCU_TBL,2,0),NEUTRO))</f>
        <v/>
      </c>
      <c r="BH180" s="3">
        <f>SUMIFS(MOT_AJUSTE,MOT_MOTOR,G180,MOT_MARCA,E180,MOT_DESDE,"&lt;="&amp;M180,MOT_HASTA,"&gt;="&amp;M180)+SUMIFS(MOT_AJUSTE,MOT_MOTOR,G180,MOT_MARCA,"(todas)",MOT_DESDE,"&lt;="&amp;M180,MOT_HASTA,"&gt;="&amp;M180)</f>
        <v/>
      </c>
      <c r="BI180" s="3">
        <f>SUMIFS(COMB_AJUSTE,COMB_COMB,K180)</f>
        <v/>
      </c>
      <c r="BJ180" s="3">
        <f>COUNTIFS(MOT_MOTOR,G180,MOT_MARCA,E180,MOT_DESDE,"&lt;="&amp;M180,MOT_HASTA,"&gt;="&amp;M180)+COUNTIFS(MOT_MOTOR,G180,MOT_MARCA,"(todas)",MOT_DESDE,"&lt;="&amp;M180,MOT_HASTA,"&gt;="&amp;M180)</f>
        <v/>
      </c>
      <c r="BK180" s="3">
        <f>IF(AND(K180="diesel",BJ180=0),MIN(BG180,NEUTRO),BG180)</f>
        <v/>
      </c>
      <c r="BL180" s="4">
        <f>MAX(0,MIN(100,BK180+BH180+BI180))</f>
        <v/>
      </c>
      <c r="BM180" s="3">
        <f>MAX(0,MIN(100,50+BE180*PRECIO_PEND))</f>
        <v/>
      </c>
      <c r="BN180" s="3">
        <f>MAX(0,100*(1-N180/KM_MAX))</f>
        <v/>
      </c>
      <c r="BO180" s="3">
        <f>IF(AV180&lt;KMA_SOSP,IF(AA180="sí",100,KMA_PEN),IF(AV180&lt;=KMA_IDEAL_MAX,100,MAX(0,100*(KMA_CERO-AV180)/(KMA_CERO-KMA_IDEAL_MAX))))</f>
        <v/>
      </c>
      <c r="BP180" s="3">
        <f>MAX(0,MIN(100,100*(M180-ANIO_MIN)/(ANIO_ACTUAL-ANIO_MIN)))</f>
        <v/>
      </c>
      <c r="BQ180" s="3">
        <f>W_KMT*BN180+W_KMA*BO180+W_EDAD*BP180</f>
        <v/>
      </c>
      <c r="BR180" s="3">
        <f>P_ITV*(V180="sí")+P_LIBRO*(W180="sí")+P_CORREA*(X180="sí")+P_PROP*(Y180=1)+P_GAR*(Z180="sí")+P_FOTOS*MIN(1,N(U180)/FOTOS_OBJ)</f>
        <v/>
      </c>
      <c r="BS180" s="3">
        <f>IFERROR(VLOOKUP(BF180,ETQ_TBL,2,0),NEUTRO)</f>
        <v/>
      </c>
      <c r="BT180" s="3">
        <f>NEUTRO</f>
        <v/>
      </c>
      <c r="BU180" s="3">
        <f>IFERROR(VLOOKUP(L180,SEGURO_TBL,3,0),"")</f>
        <v/>
      </c>
      <c r="BV180" s="3">
        <f>IF(BU180="",NEUTRO,MAX(0,MIN(100,100*(SEG_REF_MAX-BU180)/(SEG_REF_MAX-SEG_REF_MIN))))</f>
        <v/>
      </c>
      <c r="BW180" s="3">
        <f>W_ET*BS180+W_CONS*BT180+W_SEG*BV180</f>
        <v/>
      </c>
      <c r="BX180" s="3">
        <f>IF(N(AB180)&gt;0,AB180,IF(AND(R180="profesional",SG_LEGAL_ON=1),GAR_LEGAL,0))</f>
        <v/>
      </c>
      <c r="BY180" s="3">
        <f>SG_GAR*MIN(1,BX180/SG_GAR_FULL)+SG_AMPL*(AC180="sí")+SG_KMC*(AF180="sí")+SG_REV*(N(AE180)&gt;0)+SG_DEV*MIN(1,N(AG180)/SG_DEV_FULL)+SG_HIST*(W180="sí")</f>
        <v/>
      </c>
      <c r="BZ180" s="3">
        <f>IFERROR(VLOOKUP(L180,CARR_PEN_TBL,2,0),0)</f>
        <v/>
      </c>
      <c r="CA180" s="3">
        <f>W_FIAB*BL180+W_PRECIO*BM180+W_KMEDAD*BQ180+W_ANUNCIO*BR180+W_USO*BW180+W_SEGURIDAD*BY180-BZ180</f>
        <v/>
      </c>
      <c r="CB180" s="4">
        <f>IF(N(I180)&gt;0,I180,IFERROR(ROUND(_xlfn.NUMBERVALUE(LEFT(G180,FIND(" ",G180&amp;" ")-1),".")*1000,0),99999))</f>
        <v/>
      </c>
      <c r="CC180" s="3">
        <f>IF(R180="profesional",0,IF(O180&lt;CUOTA_VALOR_MAX,IF(AU180&gt;ITP_TRAMO_ALTO,SUMIFS(CF_CUOTA,CF_MAS,ITP_TRAMO_ALTO,CF_CCMIN,"&lt;="&amp;CB180,CF_CCMAX,"&gt;="&amp;CB180),IF(AU180&gt;ITP_TRAMO_BAJO,SUMIFS(CF_CUOTA,CF_MAS,ITP_TRAMO_BAJO,CF_CCMIN,"&lt;="&amp;CB180,CF_CCMAX,"&gt;="&amp;CB180),O180*ITP_TIPO)),O180*ITP_TIPO))</f>
        <v/>
      </c>
      <c r="CD180" s="4">
        <f>IF(R180="profesional",N(AK180),0)</f>
        <v/>
      </c>
      <c r="CE180" s="3">
        <f>IF(AND(R180="profesional",ISNUMBER(AK180),AL180="sí"),0,TASA_DGT)</f>
        <v/>
      </c>
      <c r="CF180" s="3">
        <f>INFORME_DGT</f>
        <v/>
      </c>
      <c r="CG180" s="4">
        <f>O180+CD180+CC180+CE180+CF180</f>
        <v/>
      </c>
      <c r="CH180" s="4">
        <f>CG180+N(BU180)</f>
        <v/>
      </c>
      <c r="CI180" s="3">
        <f>IF(CG180&lt;=TOTAL_MAX,"sí",IF(CG180&lt;=TOTAL_MAX+MARGEN_NEG,"negociar","no"))</f>
        <v/>
      </c>
      <c r="CJ180" s="4">
        <f>IF(CI180&lt;&gt;"no",COUNTIFS($CI$2:$CI$662,"&lt;&gt;no",$CA$2:$CA$662,"&gt;"&amp;CA180)+COUNTIFS($CI$2:CI180,"&lt;&gt;no",$CA$2:CA180,CA180),"")</f>
        <v/>
      </c>
    </row>
    <row r="181">
      <c r="A181" s="2" t="inlineStr">
        <is>
          <t>cochesnet:71866441</t>
        </is>
      </c>
      <c r="B181" s="2" t="inlineStr">
        <is>
          <t>cochesnet</t>
        </is>
      </c>
      <c r="C181" s="2" t="inlineStr">
        <is>
          <t>https://www.coches.net/ford-fiesta-16-tdci-titanium-5p-diesel-2011-en-valencia-71866441-covo.aspx</t>
        </is>
      </c>
      <c r="D181" s="2" t="inlineStr">
        <is>
          <t>FORD Fiesta 1.6 TDCi Titanium</t>
        </is>
      </c>
      <c r="E181" s="2" t="inlineStr">
        <is>
          <t>Ford</t>
        </is>
      </c>
      <c r="F181" s="2" t="inlineStr">
        <is>
          <t>Ford Fiesta</t>
        </is>
      </c>
      <c r="G181" s="2" t="inlineStr">
        <is>
          <t>1.6 TDCi</t>
        </is>
      </c>
      <c r="H181" s="2" t="inlineStr">
        <is>
          <t>1.6 TDCi Titanium</t>
        </is>
      </c>
      <c r="I181" s="2" t="n"/>
      <c r="J181" s="2" t="n"/>
      <c r="K181" s="2" t="inlineStr">
        <is>
          <t>diesel</t>
        </is>
      </c>
      <c r="L181" s="2" t="inlineStr">
        <is>
          <t>utilitario</t>
        </is>
      </c>
      <c r="M181" s="2" t="n">
        <v>2010</v>
      </c>
      <c r="N181" s="2" t="n">
        <v>199000</v>
      </c>
      <c r="O181" s="2" t="n">
        <v>3900</v>
      </c>
      <c r="P181" s="2" t="inlineStr">
        <is>
          <t>manual</t>
        </is>
      </c>
      <c r="Q181" s="2" t="inlineStr">
        <is>
          <t>no</t>
        </is>
      </c>
      <c r="R181" s="2" t="inlineStr">
        <is>
          <t>particular</t>
        </is>
      </c>
      <c r="S181" s="2" t="inlineStr">
        <is>
          <t>Albal</t>
        </is>
      </c>
      <c r="T181" s="2" t="inlineStr">
        <is>
          <t>2026-10-29T22:24:56Z</t>
        </is>
      </c>
      <c r="U181" s="2" t="n">
        <v>12</v>
      </c>
      <c r="V181" s="2" t="inlineStr">
        <is>
          <t>sí</t>
        </is>
      </c>
      <c r="W181" s="2" t="n"/>
      <c r="X181" s="2" t="n"/>
      <c r="Y181" s="2" t="n">
        <v>1</v>
      </c>
      <c r="Z181" s="2" t="inlineStr">
        <is>
          <t>no</t>
        </is>
      </c>
      <c r="AA181" s="2" t="n"/>
      <c r="AB181" s="2" t="n"/>
      <c r="AC181" s="2" t="n"/>
      <c r="AD181" s="2" t="n"/>
      <c r="AE181" s="2" t="n"/>
      <c r="AF181" s="2" t="n"/>
      <c r="AG181" s="2" t="n"/>
      <c r="AH181" s="2" t="n">
        <v>3900</v>
      </c>
      <c r="AI181" s="2" t="n"/>
      <c r="AJ181" s="2" t="n"/>
      <c r="AK181" s="2" t="n"/>
      <c r="AL181" s="2" t="n"/>
      <c r="AM181" s="2" t="n">
        <v>8.699999999999999</v>
      </c>
      <c r="AN181" s="2" t="n">
        <v>4545</v>
      </c>
      <c r="AO181" s="2" t="n">
        <v>18</v>
      </c>
      <c r="AP181" s="2" t="inlineStr">
        <is>
          <t>modelo+año+km</t>
        </is>
      </c>
      <c r="AQ181" s="2" t="n"/>
      <c r="AR181" s="2" t="inlineStr">
        <is>
          <t>cuota fija ITP: &gt;12 años, 1.501-2.000 cc</t>
        </is>
      </c>
      <c r="AS181" s="2" t="inlineStr">
        <is>
          <t xml:space="preserve">Se vende Ford Fiesta del año 2011 motor 1.6 Tdci 110 Cv 6 velocidades ha tenido un solo propietario todas las revisiones al día itv en vigor dispone de distintivo medioambiental tipo B para circular sin restricciones por todas las ciudades dispone de climatizador bizona cierre centralizado con mando a distancia doble juego de llaves elevalunas eléctricos ordenador de abordo control de velocidad volante multifunción velocidad de crucero radio cd usb aux bluetooth manos libres etc... para mas información se encuentra en Carrer de la Séquia del primer braç 15 Massanasa 46470 (Valencia) también atendemos llamadas </t>
        </is>
      </c>
      <c r="AT181" s="2" t="inlineStr">
        <is>
          <t>https://www.coches.net/ford-fiesta-16-tdci-titanium-5p-diesel-2011-en-valencia-71866441-covo.aspx (window.__INITIAL_PROPS__.ad) /home/user/Alopecia/buscador-coches/raw/cochesnet/ca27505b2d0532cb.json</t>
        </is>
      </c>
      <c r="AU181" s="3">
        <f>MAX(ANIO_ACTUAL-M181,0)</f>
        <v/>
      </c>
      <c r="AV181" s="4">
        <f>N181/MAX(AU181,0.5)</f>
        <v/>
      </c>
      <c r="AW181" s="4">
        <f>F181</f>
        <v/>
      </c>
      <c r="AX181" s="3">
        <f>AW181&amp;"|"&amp;INT(M181/SEG_ANIO)*SEG_ANIO</f>
        <v/>
      </c>
      <c r="AY181" s="3">
        <f>AX181&amp;"|"&amp;INT(N181/SEG_KM)*SEG_KM</f>
        <v/>
      </c>
      <c r="AZ181" s="4">
        <f>COUNTIF($AW$2:$AW$662,AW181)</f>
        <v/>
      </c>
      <c r="BA181" s="4">
        <f>COUNTIF($AX$2:$AX$662,AX181)</f>
        <v/>
      </c>
      <c r="BB181" s="4">
        <f>COUNTIF($AY$2:$AY$662,AY181)</f>
        <v/>
      </c>
      <c r="BC181" s="3">
        <f t="array" ref="BC181">IF(N(AO181)&gt;=MIN_N,AN181,IF(BB181&gt;=MIN_N,MEDIAN(IF($AY$2:$AY$662=AY181,$O$2:$O$662)),IF(BA181&gt;=MIN_N,MEDIAN(IF($AX$2:$AX$662=AX181,$O$2:$O$662)),MEDIAN(IF($AW$2:$AW$662=AW181,$O$2:$O$662)))))</f>
        <v/>
      </c>
      <c r="BD181" s="3">
        <f>IF(N(AO181)&gt;=MIN_N,"mercado "&amp;AP181,IF(BB181&gt;=MIN_N,"modelo+año+km",IF(BA181&gt;=MIN_N,"modelo+año","modelo")))</f>
        <v/>
      </c>
      <c r="BE181" s="4">
        <f>(BC181-O181)/BC181</f>
        <v/>
      </c>
      <c r="BF181" s="3">
        <f>IF(OR(K181="hibrido",K181="glp"),"ECO",IF(K181="electrico","CERO",IF(K181="gasolina",IF(M181&gt;=GAS_C,"C",IF(M181&gt;=GAS_B,"B","A")),IF(K181="diesel",IF(M181&gt;=DIE_C,"C",IF(M181&gt;=DIE_B,"B","A")),""))))</f>
        <v/>
      </c>
      <c r="BG181" s="3">
        <f>IFERROR(VLOOKUP(F181,MOD_TBL,11,0),IFERROR(VLOOKUP(E181,OCU_TBL,2,0),NEUTRO))</f>
        <v/>
      </c>
      <c r="BH181" s="3">
        <f>SUMIFS(MOT_AJUSTE,MOT_MOTOR,G181,MOT_MARCA,E181,MOT_DESDE,"&lt;="&amp;M181,MOT_HASTA,"&gt;="&amp;M181)+SUMIFS(MOT_AJUSTE,MOT_MOTOR,G181,MOT_MARCA,"(todas)",MOT_DESDE,"&lt;="&amp;M181,MOT_HASTA,"&gt;="&amp;M181)</f>
        <v/>
      </c>
      <c r="BI181" s="3">
        <f>SUMIFS(COMB_AJUSTE,COMB_COMB,K181)</f>
        <v/>
      </c>
      <c r="BJ181" s="3">
        <f>COUNTIFS(MOT_MOTOR,G181,MOT_MARCA,E181,MOT_DESDE,"&lt;="&amp;M181,MOT_HASTA,"&gt;="&amp;M181)+COUNTIFS(MOT_MOTOR,G181,MOT_MARCA,"(todas)",MOT_DESDE,"&lt;="&amp;M181,MOT_HASTA,"&gt;="&amp;M181)</f>
        <v/>
      </c>
      <c r="BK181" s="3">
        <f>IF(AND(K181="diesel",BJ181=0),MIN(BG181,NEUTRO),BG181)</f>
        <v/>
      </c>
      <c r="BL181" s="4">
        <f>MAX(0,MIN(100,BK181+BH181+BI181))</f>
        <v/>
      </c>
      <c r="BM181" s="3">
        <f>MAX(0,MIN(100,50+BE181*PRECIO_PEND))</f>
        <v/>
      </c>
      <c r="BN181" s="3">
        <f>MAX(0,100*(1-N181/KM_MAX))</f>
        <v/>
      </c>
      <c r="BO181" s="3">
        <f>IF(AV181&lt;KMA_SOSP,IF(AA181="sí",100,KMA_PEN),IF(AV181&lt;=KMA_IDEAL_MAX,100,MAX(0,100*(KMA_CERO-AV181)/(KMA_CERO-KMA_IDEAL_MAX))))</f>
        <v/>
      </c>
      <c r="BP181" s="3">
        <f>MAX(0,MIN(100,100*(M181-ANIO_MIN)/(ANIO_ACTUAL-ANIO_MIN)))</f>
        <v/>
      </c>
      <c r="BQ181" s="3">
        <f>W_KMT*BN181+W_KMA*BO181+W_EDAD*BP181</f>
        <v/>
      </c>
      <c r="BR181" s="3">
        <f>P_ITV*(V181="sí")+P_LIBRO*(W181="sí")+P_CORREA*(X181="sí")+P_PROP*(Y181=1)+P_GAR*(Z181="sí")+P_FOTOS*MIN(1,N(U181)/FOTOS_OBJ)</f>
        <v/>
      </c>
      <c r="BS181" s="3">
        <f>IFERROR(VLOOKUP(BF181,ETQ_TBL,2,0),NEUTRO)</f>
        <v/>
      </c>
      <c r="BT181" s="3">
        <f>NEUTRO</f>
        <v/>
      </c>
      <c r="BU181" s="3">
        <f>IFERROR(VLOOKUP(L181,SEGURO_TBL,3,0),"")</f>
        <v/>
      </c>
      <c r="BV181" s="3">
        <f>IF(BU181="",NEUTRO,MAX(0,MIN(100,100*(SEG_REF_MAX-BU181)/(SEG_REF_MAX-SEG_REF_MIN))))</f>
        <v/>
      </c>
      <c r="BW181" s="3">
        <f>W_ET*BS181+W_CONS*BT181+W_SEG*BV181</f>
        <v/>
      </c>
      <c r="BX181" s="3">
        <f>IF(N(AB181)&gt;0,AB181,IF(AND(R181="profesional",SG_LEGAL_ON=1),GAR_LEGAL,0))</f>
        <v/>
      </c>
      <c r="BY181" s="3">
        <f>SG_GAR*MIN(1,BX181/SG_GAR_FULL)+SG_AMPL*(AC181="sí")+SG_KMC*(AF181="sí")+SG_REV*(N(AE181)&gt;0)+SG_DEV*MIN(1,N(AG181)/SG_DEV_FULL)+SG_HIST*(W181="sí")</f>
        <v/>
      </c>
      <c r="BZ181" s="3">
        <f>IFERROR(VLOOKUP(L181,CARR_PEN_TBL,2,0),0)</f>
        <v/>
      </c>
      <c r="CA181" s="3">
        <f>W_FIAB*BL181+W_PRECIO*BM181+W_KMEDAD*BQ181+W_ANUNCIO*BR181+W_USO*BW181+W_SEGURIDAD*BY181-BZ181</f>
        <v/>
      </c>
      <c r="CB181" s="4">
        <f>IF(N(I181)&gt;0,I181,IFERROR(ROUND(_xlfn.NUMBERVALUE(LEFT(G181,FIND(" ",G181&amp;" ")-1),".")*1000,0),99999))</f>
        <v/>
      </c>
      <c r="CC181" s="3">
        <f>IF(R181="profesional",0,IF(O181&lt;CUOTA_VALOR_MAX,IF(AU181&gt;ITP_TRAMO_ALTO,SUMIFS(CF_CUOTA,CF_MAS,ITP_TRAMO_ALTO,CF_CCMIN,"&lt;="&amp;CB181,CF_CCMAX,"&gt;="&amp;CB181),IF(AU181&gt;ITP_TRAMO_BAJO,SUMIFS(CF_CUOTA,CF_MAS,ITP_TRAMO_BAJO,CF_CCMIN,"&lt;="&amp;CB181,CF_CCMAX,"&gt;="&amp;CB181),O181*ITP_TIPO)),O181*ITP_TIPO))</f>
        <v/>
      </c>
      <c r="CD181" s="4">
        <f>IF(R181="profesional",N(AK181),0)</f>
        <v/>
      </c>
      <c r="CE181" s="3">
        <f>IF(AND(R181="profesional",ISNUMBER(AK181),AL181="sí"),0,TASA_DGT)</f>
        <v/>
      </c>
      <c r="CF181" s="3">
        <f>INFORME_DGT</f>
        <v/>
      </c>
      <c r="CG181" s="4">
        <f>O181+CD181+CC181+CE181+CF181</f>
        <v/>
      </c>
      <c r="CH181" s="4">
        <f>CG181+N(BU181)</f>
        <v/>
      </c>
      <c r="CI181" s="3">
        <f>IF(CG181&lt;=TOTAL_MAX,"sí",IF(CG181&lt;=TOTAL_MAX+MARGEN_NEG,"negociar","no"))</f>
        <v/>
      </c>
      <c r="CJ181" s="4">
        <f>IF(CI181&lt;&gt;"no",COUNTIFS($CI$2:$CI$662,"&lt;&gt;no",$CA$2:$CA$662,"&gt;"&amp;CA181)+COUNTIFS($CI$2:CI181,"&lt;&gt;no",$CA$2:CA181,CA181),"")</f>
        <v/>
      </c>
    </row>
    <row r="182">
      <c r="A182" s="2" t="inlineStr">
        <is>
          <t>cochesnet:70592187</t>
        </is>
      </c>
      <c r="B182" s="2" t="inlineStr">
        <is>
          <t>cochesnet</t>
        </is>
      </c>
      <c r="C182" s="2" t="inlineStr">
        <is>
          <t>https://www.coches.net/ford-fiesta-14-tdci-trend-5p-diesel-2011-en-valencia-70592187-covo.aspx</t>
        </is>
      </c>
      <c r="D182" s="2" t="inlineStr">
        <is>
          <t>FORD Fiesta 1.4 TDCi Trend</t>
        </is>
      </c>
      <c r="E182" s="2" t="inlineStr">
        <is>
          <t>Ford</t>
        </is>
      </c>
      <c r="F182" s="2" t="inlineStr">
        <is>
          <t>Ford Fiesta</t>
        </is>
      </c>
      <c r="G182" s="2" t="inlineStr">
        <is>
          <t>1.4 TDCi</t>
        </is>
      </c>
      <c r="H182" s="2" t="inlineStr">
        <is>
          <t>1.4 TDCi Trend</t>
        </is>
      </c>
      <c r="I182" s="2" t="n"/>
      <c r="J182" s="2" t="n"/>
      <c r="K182" s="2" t="inlineStr">
        <is>
          <t>diesel</t>
        </is>
      </c>
      <c r="L182" s="2" t="inlineStr">
        <is>
          <t>utilitario</t>
        </is>
      </c>
      <c r="M182" s="2" t="n">
        <v>2011</v>
      </c>
      <c r="N182" s="2" t="n">
        <v>199000</v>
      </c>
      <c r="O182" s="2" t="n">
        <v>4490</v>
      </c>
      <c r="P182" s="2" t="inlineStr">
        <is>
          <t>manual</t>
        </is>
      </c>
      <c r="Q182" s="2" t="inlineStr">
        <is>
          <t>no</t>
        </is>
      </c>
      <c r="R182" s="2" t="inlineStr">
        <is>
          <t>profesional</t>
        </is>
      </c>
      <c r="S182" s="2" t="inlineStr">
        <is>
          <t>V.O. Eliana San Antonio de Benagéber</t>
        </is>
      </c>
      <c r="T182" s="2" t="inlineStr">
        <is>
          <t>2026-08-05T20:05:58Z</t>
        </is>
      </c>
      <c r="U182" s="2" t="n">
        <v>18</v>
      </c>
      <c r="V182" s="2" t="n"/>
      <c r="W182" s="2" t="n"/>
      <c r="X182" s="2" t="n"/>
      <c r="Y182" s="2" t="n"/>
      <c r="Z182" s="2" t="inlineStr">
        <is>
          <t>sí</t>
        </is>
      </c>
      <c r="AA182" s="2" t="n"/>
      <c r="AB182" s="2" t="n">
        <v>12</v>
      </c>
      <c r="AC182" s="2" t="n"/>
      <c r="AD182" s="2" t="n"/>
      <c r="AE182" s="2" t="n"/>
      <c r="AF182" s="2" t="n"/>
      <c r="AG182" s="2" t="n"/>
      <c r="AH182" s="2" t="n">
        <v>4490</v>
      </c>
      <c r="AI182" s="2" t="n"/>
      <c r="AJ182" s="2" t="n"/>
      <c r="AK182" s="2" t="n"/>
      <c r="AL182" s="2" t="n"/>
      <c r="AM182" s="2" t="n">
        <v>19.1</v>
      </c>
      <c r="AN182" s="2" t="n">
        <v>4545</v>
      </c>
      <c r="AO182" s="2" t="n">
        <v>18</v>
      </c>
      <c r="AP182" s="2" t="inlineStr">
        <is>
          <t>modelo+año+km</t>
        </is>
      </c>
      <c r="AQ182" s="2" t="n"/>
      <c r="AR182" s="2" t="inlineStr">
        <is>
          <t>vendedor profesional: sin ITP (operación con IVA/REBU, confirmar en factura); gastos de gestión del vendedor no indicados: se suma la tasa DGT; preguntar el precio final; diésel: motor sin fuente de fiabilidad (fiabilidad limitada a neutra)</t>
        </is>
      </c>
      <c r="AS182" s="2" t="inlineStr">
        <is>
          <t>Este Ford Fiesta 1.4 TDCi Trend es un vehículo compacto y eficiente, particularmente adecuado para uso urbano y desplazamientos diarios. Su motor diésel de 70 CV proporciona un consumo contenido —en torno a 4,1 l/100 km en ciclo mixto— lo que permite una autonomía de casi 1.000 kilómetros con el depósito lleno de 40 litros.
El habitáculo ofrece espacio suficiente para cinco ocupantes con comodidad en los desplazamientos cortos y medios. Los asientos delanteros cuentan con ajuste manual en altura, mientras que la banqueta trasera dispone de respaldo abatible asimétrico, facilitando la versatilidad de carga. El maletero de 295 litros se expande hasta 979 litros con los asientos plegados, una capacidad práctica para compras y pequeños viajes.
En cuanto a equipamiento de confort, este incluye dirección asistida eléctrica con endurecimiento progresivo, elevalunas eléctricos delanteros, cierre centralizado con mando a distancia de doble cierre y apertura remota del maletero. El sistema de ventilación incorpora filtro de pólen. El volante es ajustable en altura y profundidad, y los retrovisores exteriores son eléctricos, desempañables y cuentan con intermitente integrado.
La seguridad está garantizada con airbags frontales inteligentes y laterales delanteros, cinturones de seguridad con pretensores en los asientos delanteros, ABS, control electrónico de tracción y control de estabilidad. Dispone de preparación Isofix para sistemas de retención infantil.
Este modelo cuenta con et</t>
        </is>
      </c>
      <c r="AT182" s="2" t="inlineStr">
        <is>
          <t>https://www.coches.net/ford-fiesta-14-tdci-trend-5p-diesel-2011-en-valencia-70592187-covo.aspx (window.__INITIAL_PROPS__.ad) /home/user/Alopecia/buscador-coches/raw/cochesnet/b52cc027b9556748.json</t>
        </is>
      </c>
      <c r="AU182" s="3">
        <f>MAX(ANIO_ACTUAL-M182,0)</f>
        <v/>
      </c>
      <c r="AV182" s="4">
        <f>N182/MAX(AU182,0.5)</f>
        <v/>
      </c>
      <c r="AW182" s="4">
        <f>F182</f>
        <v/>
      </c>
      <c r="AX182" s="3">
        <f>AW182&amp;"|"&amp;INT(M182/SEG_ANIO)*SEG_ANIO</f>
        <v/>
      </c>
      <c r="AY182" s="3">
        <f>AX182&amp;"|"&amp;INT(N182/SEG_KM)*SEG_KM</f>
        <v/>
      </c>
      <c r="AZ182" s="4">
        <f>COUNTIF($AW$2:$AW$662,AW182)</f>
        <v/>
      </c>
      <c r="BA182" s="4">
        <f>COUNTIF($AX$2:$AX$662,AX182)</f>
        <v/>
      </c>
      <c r="BB182" s="4">
        <f>COUNTIF($AY$2:$AY$662,AY182)</f>
        <v/>
      </c>
      <c r="BC182" s="3">
        <f t="array" ref="BC182">IF(N(AO182)&gt;=MIN_N,AN182,IF(BB182&gt;=MIN_N,MEDIAN(IF($AY$2:$AY$662=AY182,$O$2:$O$662)),IF(BA182&gt;=MIN_N,MEDIAN(IF($AX$2:$AX$662=AX182,$O$2:$O$662)),MEDIAN(IF($AW$2:$AW$662=AW182,$O$2:$O$662)))))</f>
        <v/>
      </c>
      <c r="BD182" s="3">
        <f>IF(N(AO182)&gt;=MIN_N,"mercado "&amp;AP182,IF(BB182&gt;=MIN_N,"modelo+año+km",IF(BA182&gt;=MIN_N,"modelo+año","modelo")))</f>
        <v/>
      </c>
      <c r="BE182" s="4">
        <f>(BC182-O182)/BC182</f>
        <v/>
      </c>
      <c r="BF182" s="3">
        <f>IF(OR(K182="hibrido",K182="glp"),"ECO",IF(K182="electrico","CERO",IF(K182="gasolina",IF(M182&gt;=GAS_C,"C",IF(M182&gt;=GAS_B,"B","A")),IF(K182="diesel",IF(M182&gt;=DIE_C,"C",IF(M182&gt;=DIE_B,"B","A")),""))))</f>
        <v/>
      </c>
      <c r="BG182" s="3">
        <f>IFERROR(VLOOKUP(F182,MOD_TBL,11,0),IFERROR(VLOOKUP(E182,OCU_TBL,2,0),NEUTRO))</f>
        <v/>
      </c>
      <c r="BH182" s="3">
        <f>SUMIFS(MOT_AJUSTE,MOT_MOTOR,G182,MOT_MARCA,E182,MOT_DESDE,"&lt;="&amp;M182,MOT_HASTA,"&gt;="&amp;M182)+SUMIFS(MOT_AJUSTE,MOT_MOTOR,G182,MOT_MARCA,"(todas)",MOT_DESDE,"&lt;="&amp;M182,MOT_HASTA,"&gt;="&amp;M182)</f>
        <v/>
      </c>
      <c r="BI182" s="3">
        <f>SUMIFS(COMB_AJUSTE,COMB_COMB,K182)</f>
        <v/>
      </c>
      <c r="BJ182" s="3">
        <f>COUNTIFS(MOT_MOTOR,G182,MOT_MARCA,E182,MOT_DESDE,"&lt;="&amp;M182,MOT_HASTA,"&gt;="&amp;M182)+COUNTIFS(MOT_MOTOR,G182,MOT_MARCA,"(todas)",MOT_DESDE,"&lt;="&amp;M182,MOT_HASTA,"&gt;="&amp;M182)</f>
        <v/>
      </c>
      <c r="BK182" s="3">
        <f>IF(AND(K182="diesel",BJ182=0),MIN(BG182,NEUTRO),BG182)</f>
        <v/>
      </c>
      <c r="BL182" s="4">
        <f>MAX(0,MIN(100,BK182+BH182+BI182))</f>
        <v/>
      </c>
      <c r="BM182" s="3">
        <f>MAX(0,MIN(100,50+BE182*PRECIO_PEND))</f>
        <v/>
      </c>
      <c r="BN182" s="3">
        <f>MAX(0,100*(1-N182/KM_MAX))</f>
        <v/>
      </c>
      <c r="BO182" s="3">
        <f>IF(AV182&lt;KMA_SOSP,IF(AA182="sí",100,KMA_PEN),IF(AV182&lt;=KMA_IDEAL_MAX,100,MAX(0,100*(KMA_CERO-AV182)/(KMA_CERO-KMA_IDEAL_MAX))))</f>
        <v/>
      </c>
      <c r="BP182" s="3">
        <f>MAX(0,MIN(100,100*(M182-ANIO_MIN)/(ANIO_ACTUAL-ANIO_MIN)))</f>
        <v/>
      </c>
      <c r="BQ182" s="3">
        <f>W_KMT*BN182+W_KMA*BO182+W_EDAD*BP182</f>
        <v/>
      </c>
      <c r="BR182" s="3">
        <f>P_ITV*(V182="sí")+P_LIBRO*(W182="sí")+P_CORREA*(X182="sí")+P_PROP*(Y182=1)+P_GAR*(Z182="sí")+P_FOTOS*MIN(1,N(U182)/FOTOS_OBJ)</f>
        <v/>
      </c>
      <c r="BS182" s="3">
        <f>IFERROR(VLOOKUP(BF182,ETQ_TBL,2,0),NEUTRO)</f>
        <v/>
      </c>
      <c r="BT182" s="3">
        <f>NEUTRO</f>
        <v/>
      </c>
      <c r="BU182" s="3">
        <f>IFERROR(VLOOKUP(L182,SEGURO_TBL,3,0),"")</f>
        <v/>
      </c>
      <c r="BV182" s="3">
        <f>IF(BU182="",NEUTRO,MAX(0,MIN(100,100*(SEG_REF_MAX-BU182)/(SEG_REF_MAX-SEG_REF_MIN))))</f>
        <v/>
      </c>
      <c r="BW182" s="3">
        <f>W_ET*BS182+W_CONS*BT182+W_SEG*BV182</f>
        <v/>
      </c>
      <c r="BX182" s="3">
        <f>IF(N(AB182)&gt;0,AB182,IF(AND(R182="profesional",SG_LEGAL_ON=1),GAR_LEGAL,0))</f>
        <v/>
      </c>
      <c r="BY182" s="3">
        <f>SG_GAR*MIN(1,BX182/SG_GAR_FULL)+SG_AMPL*(AC182="sí")+SG_KMC*(AF182="sí")+SG_REV*(N(AE182)&gt;0)+SG_DEV*MIN(1,N(AG182)/SG_DEV_FULL)+SG_HIST*(W182="sí")</f>
        <v/>
      </c>
      <c r="BZ182" s="3">
        <f>IFERROR(VLOOKUP(L182,CARR_PEN_TBL,2,0),0)</f>
        <v/>
      </c>
      <c r="CA182" s="3">
        <f>W_FIAB*BL182+W_PRECIO*BM182+W_KMEDAD*BQ182+W_ANUNCIO*BR182+W_USO*BW182+W_SEGURIDAD*BY182-BZ182</f>
        <v/>
      </c>
      <c r="CB182" s="4">
        <f>IF(N(I182)&gt;0,I182,IFERROR(ROUND(_xlfn.NUMBERVALUE(LEFT(G182,FIND(" ",G182&amp;" ")-1),".")*1000,0),99999))</f>
        <v/>
      </c>
      <c r="CC182" s="3">
        <f>IF(R182="profesional",0,IF(O182&lt;CUOTA_VALOR_MAX,IF(AU182&gt;ITP_TRAMO_ALTO,SUMIFS(CF_CUOTA,CF_MAS,ITP_TRAMO_ALTO,CF_CCMIN,"&lt;="&amp;CB182,CF_CCMAX,"&gt;="&amp;CB182),IF(AU182&gt;ITP_TRAMO_BAJO,SUMIFS(CF_CUOTA,CF_MAS,ITP_TRAMO_BAJO,CF_CCMIN,"&lt;="&amp;CB182,CF_CCMAX,"&gt;="&amp;CB182),O182*ITP_TIPO)),O182*ITP_TIPO))</f>
        <v/>
      </c>
      <c r="CD182" s="4">
        <f>IF(R182="profesional",N(AK182),0)</f>
        <v/>
      </c>
      <c r="CE182" s="3">
        <f>IF(AND(R182="profesional",ISNUMBER(AK182),AL182="sí"),0,TASA_DGT)</f>
        <v/>
      </c>
      <c r="CF182" s="3">
        <f>INFORME_DGT</f>
        <v/>
      </c>
      <c r="CG182" s="4">
        <f>O182+CD182+CC182+CE182+CF182</f>
        <v/>
      </c>
      <c r="CH182" s="4">
        <f>CG182+N(BU182)</f>
        <v/>
      </c>
      <c r="CI182" s="3">
        <f>IF(CG182&lt;=TOTAL_MAX,"sí",IF(CG182&lt;=TOTAL_MAX+MARGEN_NEG,"negociar","no"))</f>
        <v/>
      </c>
      <c r="CJ182" s="4">
        <f>IF(CI182&lt;&gt;"no",COUNTIFS($CI$2:$CI$662,"&lt;&gt;no",$CA$2:$CA$662,"&gt;"&amp;CA182)+COUNTIFS($CI$2:CI182,"&lt;&gt;no",$CA$2:CA182,CA182),"")</f>
        <v/>
      </c>
    </row>
    <row r="183">
      <c r="A183" s="2" t="inlineStr">
        <is>
          <t>cochesnet:71146219</t>
        </is>
      </c>
      <c r="B183" s="2" t="inlineStr">
        <is>
          <t>cochesnet</t>
        </is>
      </c>
      <c r="C183" s="2" t="inlineStr">
        <is>
          <t>https://www.coches.net/ford-fiesta-14-tdci-trend-5p-diesel-2011-en-valencia-71146219-covo.aspx</t>
        </is>
      </c>
      <c r="D183" s="2" t="inlineStr">
        <is>
          <t>FORD Fiesta 1.4 TDCi Trend</t>
        </is>
      </c>
      <c r="E183" s="2" t="inlineStr">
        <is>
          <t>Ford</t>
        </is>
      </c>
      <c r="F183" s="2" t="inlineStr">
        <is>
          <t>Ford Fiesta</t>
        </is>
      </c>
      <c r="G183" s="2" t="inlineStr">
        <is>
          <t>1.4 TDCi</t>
        </is>
      </c>
      <c r="H183" s="2" t="inlineStr">
        <is>
          <t>1.4 TDCi Trend</t>
        </is>
      </c>
      <c r="I183" s="2" t="n"/>
      <c r="J183" s="2" t="n"/>
      <c r="K183" s="2" t="inlineStr">
        <is>
          <t>diesel</t>
        </is>
      </c>
      <c r="L183" s="2" t="inlineStr">
        <is>
          <t>utilitario</t>
        </is>
      </c>
      <c r="M183" s="2" t="n">
        <v>2010</v>
      </c>
      <c r="N183" s="2" t="n">
        <v>196000</v>
      </c>
      <c r="O183" s="2" t="n">
        <v>4000</v>
      </c>
      <c r="P183" s="2" t="inlineStr">
        <is>
          <t>manual</t>
        </is>
      </c>
      <c r="Q183" s="2" t="inlineStr">
        <is>
          <t>no</t>
        </is>
      </c>
      <c r="R183" s="2" t="inlineStr">
        <is>
          <t>profesional</t>
        </is>
      </c>
      <c r="S183" s="2" t="inlineStr">
        <is>
          <t>Beniparrell</t>
        </is>
      </c>
      <c r="T183" s="2" t="inlineStr">
        <is>
          <t>2026-10-20T18:06:18Z</t>
        </is>
      </c>
      <c r="U183" s="2" t="n">
        <v>13</v>
      </c>
      <c r="V183" s="2" t="n"/>
      <c r="W183" s="2" t="n"/>
      <c r="X183" s="2" t="n"/>
      <c r="Y183" s="2" t="n"/>
      <c r="Z183" s="2" t="inlineStr">
        <is>
          <t>sí</t>
        </is>
      </c>
      <c r="AA183" s="2" t="n"/>
      <c r="AB183" s="2" t="n">
        <v>12</v>
      </c>
      <c r="AC183" s="2" t="n"/>
      <c r="AD183" s="2" t="n"/>
      <c r="AE183" s="2" t="n"/>
      <c r="AF183" s="2" t="n"/>
      <c r="AG183" s="2" t="n"/>
      <c r="AH183" s="2" t="n">
        <v>4000</v>
      </c>
      <c r="AI183" s="2" t="n"/>
      <c r="AJ183" s="2" t="n"/>
      <c r="AK183" s="2" t="n"/>
      <c r="AL183" s="2" t="n"/>
      <c r="AM183" s="2" t="n">
        <v>10.2</v>
      </c>
      <c r="AN183" s="2" t="n">
        <v>4545</v>
      </c>
      <c r="AO183" s="2" t="n">
        <v>18</v>
      </c>
      <c r="AP183" s="2" t="inlineStr">
        <is>
          <t>modelo+año+km</t>
        </is>
      </c>
      <c r="AQ183" s="2" t="n"/>
      <c r="AR183" s="2" t="inlineStr">
        <is>
          <t>vendedor profesional: sin ITP (operación con IVA/REBU, confirmar en factura); gastos de gestión del vendedor no indicados: se suma la tasa DGT; preguntar el precio final; diésel: motor sin fuente de fiabilidad (fiabilidad limitada a neutra)</t>
        </is>
      </c>
      <c r="AS183" s="2" t="inlineStr">
        <is>
          <t>Este Ford Fiesta 1.4 TDCi Trend es un compacto versátil diseñado para quienes buscan eficiencia sin renunciar a la practicidad. Su motor diésel de 70 CV ofrece un consumo contenido —4,1 l/100 km en ciclo mixto— con una autonomía cercana a los 1.000 km, características que lo hacen económico en uso y especialmente adecuado para desplazamientos regulares.
El espacio interior está bien aprovechado: 295 litros de maletero con asientos montados se amplían a 979 litros al abatirlos, lo que permite transportar carga considerable sin perder la versatilidad de cinco plazas. El habitáculo ofrece comodidad suficiente para el día a día, con asientos delanteros ajustables manualmente, dirección asistida eléctrica y volante regulable en altura y profundidad.
En seguridad, este vehículo incluye airbags frontales y laterales delanteros, ABS, control de tracción y de estabilidad, además de cinturones con pretensores en las plazas delanteras. La preparación Isofix facilita la instalación de sistemas de retención infantil.
El equipamiento de serie contempla cierre centralizado con mando a distancia, elevalunas eléctricos delanteros, retrovisores exteriores eléctricos con intermitente integrado, limpiaparabrisas y sistema de ventilación con filtro de pólen. Cuenta con ordenador de viaje que muestra consumo medio y autonomía estimada.
La transmisión manual de cinco velocidades proporciona control directo, mientras que la tracción delantera mejora la estabilidad en curvas. Con etiqueta medioam</t>
        </is>
      </c>
      <c r="AT183" s="2" t="inlineStr">
        <is>
          <t>https://www.coches.net/ford-fiesta-14-tdci-trend-5p-diesel-2011-en-valencia-71146219-covo.aspx (window.__INITIAL_PROPS__.ad) /home/user/Alopecia/buscador-coches/raw/cochesnet/c873a4c39ee94bcd.json</t>
        </is>
      </c>
      <c r="AU183" s="3">
        <f>MAX(ANIO_ACTUAL-M183,0)</f>
        <v/>
      </c>
      <c r="AV183" s="4">
        <f>N183/MAX(AU183,0.5)</f>
        <v/>
      </c>
      <c r="AW183" s="4">
        <f>F183</f>
        <v/>
      </c>
      <c r="AX183" s="3">
        <f>AW183&amp;"|"&amp;INT(M183/SEG_ANIO)*SEG_ANIO</f>
        <v/>
      </c>
      <c r="AY183" s="3">
        <f>AX183&amp;"|"&amp;INT(N183/SEG_KM)*SEG_KM</f>
        <v/>
      </c>
      <c r="AZ183" s="4">
        <f>COUNTIF($AW$2:$AW$662,AW183)</f>
        <v/>
      </c>
      <c r="BA183" s="4">
        <f>COUNTIF($AX$2:$AX$662,AX183)</f>
        <v/>
      </c>
      <c r="BB183" s="4">
        <f>COUNTIF($AY$2:$AY$662,AY183)</f>
        <v/>
      </c>
      <c r="BC183" s="3">
        <f t="array" ref="BC183">IF(N(AO183)&gt;=MIN_N,AN183,IF(BB183&gt;=MIN_N,MEDIAN(IF($AY$2:$AY$662=AY183,$O$2:$O$662)),IF(BA183&gt;=MIN_N,MEDIAN(IF($AX$2:$AX$662=AX183,$O$2:$O$662)),MEDIAN(IF($AW$2:$AW$662=AW183,$O$2:$O$662)))))</f>
        <v/>
      </c>
      <c r="BD183" s="3">
        <f>IF(N(AO183)&gt;=MIN_N,"mercado "&amp;AP183,IF(BB183&gt;=MIN_N,"modelo+año+km",IF(BA183&gt;=MIN_N,"modelo+año","modelo")))</f>
        <v/>
      </c>
      <c r="BE183" s="4">
        <f>(BC183-O183)/BC183</f>
        <v/>
      </c>
      <c r="BF183" s="3">
        <f>IF(OR(K183="hibrido",K183="glp"),"ECO",IF(K183="electrico","CERO",IF(K183="gasolina",IF(M183&gt;=GAS_C,"C",IF(M183&gt;=GAS_B,"B","A")),IF(K183="diesel",IF(M183&gt;=DIE_C,"C",IF(M183&gt;=DIE_B,"B","A")),""))))</f>
        <v/>
      </c>
      <c r="BG183" s="3">
        <f>IFERROR(VLOOKUP(F183,MOD_TBL,11,0),IFERROR(VLOOKUP(E183,OCU_TBL,2,0),NEUTRO))</f>
        <v/>
      </c>
      <c r="BH183" s="3">
        <f>SUMIFS(MOT_AJUSTE,MOT_MOTOR,G183,MOT_MARCA,E183,MOT_DESDE,"&lt;="&amp;M183,MOT_HASTA,"&gt;="&amp;M183)+SUMIFS(MOT_AJUSTE,MOT_MOTOR,G183,MOT_MARCA,"(todas)",MOT_DESDE,"&lt;="&amp;M183,MOT_HASTA,"&gt;="&amp;M183)</f>
        <v/>
      </c>
      <c r="BI183" s="3">
        <f>SUMIFS(COMB_AJUSTE,COMB_COMB,K183)</f>
        <v/>
      </c>
      <c r="BJ183" s="3">
        <f>COUNTIFS(MOT_MOTOR,G183,MOT_MARCA,E183,MOT_DESDE,"&lt;="&amp;M183,MOT_HASTA,"&gt;="&amp;M183)+COUNTIFS(MOT_MOTOR,G183,MOT_MARCA,"(todas)",MOT_DESDE,"&lt;="&amp;M183,MOT_HASTA,"&gt;="&amp;M183)</f>
        <v/>
      </c>
      <c r="BK183" s="3">
        <f>IF(AND(K183="diesel",BJ183=0),MIN(BG183,NEUTRO),BG183)</f>
        <v/>
      </c>
      <c r="BL183" s="4">
        <f>MAX(0,MIN(100,BK183+BH183+BI183))</f>
        <v/>
      </c>
      <c r="BM183" s="3">
        <f>MAX(0,MIN(100,50+BE183*PRECIO_PEND))</f>
        <v/>
      </c>
      <c r="BN183" s="3">
        <f>MAX(0,100*(1-N183/KM_MAX))</f>
        <v/>
      </c>
      <c r="BO183" s="3">
        <f>IF(AV183&lt;KMA_SOSP,IF(AA183="sí",100,KMA_PEN),IF(AV183&lt;=KMA_IDEAL_MAX,100,MAX(0,100*(KMA_CERO-AV183)/(KMA_CERO-KMA_IDEAL_MAX))))</f>
        <v/>
      </c>
      <c r="BP183" s="3">
        <f>MAX(0,MIN(100,100*(M183-ANIO_MIN)/(ANIO_ACTUAL-ANIO_MIN)))</f>
        <v/>
      </c>
      <c r="BQ183" s="3">
        <f>W_KMT*BN183+W_KMA*BO183+W_EDAD*BP183</f>
        <v/>
      </c>
      <c r="BR183" s="3">
        <f>P_ITV*(V183="sí")+P_LIBRO*(W183="sí")+P_CORREA*(X183="sí")+P_PROP*(Y183=1)+P_GAR*(Z183="sí")+P_FOTOS*MIN(1,N(U183)/FOTOS_OBJ)</f>
        <v/>
      </c>
      <c r="BS183" s="3">
        <f>IFERROR(VLOOKUP(BF183,ETQ_TBL,2,0),NEUTRO)</f>
        <v/>
      </c>
      <c r="BT183" s="3">
        <f>NEUTRO</f>
        <v/>
      </c>
      <c r="BU183" s="3">
        <f>IFERROR(VLOOKUP(L183,SEGURO_TBL,3,0),"")</f>
        <v/>
      </c>
      <c r="BV183" s="3">
        <f>IF(BU183="",NEUTRO,MAX(0,MIN(100,100*(SEG_REF_MAX-BU183)/(SEG_REF_MAX-SEG_REF_MIN))))</f>
        <v/>
      </c>
      <c r="BW183" s="3">
        <f>W_ET*BS183+W_CONS*BT183+W_SEG*BV183</f>
        <v/>
      </c>
      <c r="BX183" s="3">
        <f>IF(N(AB183)&gt;0,AB183,IF(AND(R183="profesional",SG_LEGAL_ON=1),GAR_LEGAL,0))</f>
        <v/>
      </c>
      <c r="BY183" s="3">
        <f>SG_GAR*MIN(1,BX183/SG_GAR_FULL)+SG_AMPL*(AC183="sí")+SG_KMC*(AF183="sí")+SG_REV*(N(AE183)&gt;0)+SG_DEV*MIN(1,N(AG183)/SG_DEV_FULL)+SG_HIST*(W183="sí")</f>
        <v/>
      </c>
      <c r="BZ183" s="3">
        <f>IFERROR(VLOOKUP(L183,CARR_PEN_TBL,2,0),0)</f>
        <v/>
      </c>
      <c r="CA183" s="3">
        <f>W_FIAB*BL183+W_PRECIO*BM183+W_KMEDAD*BQ183+W_ANUNCIO*BR183+W_USO*BW183+W_SEGURIDAD*BY183-BZ183</f>
        <v/>
      </c>
      <c r="CB183" s="4">
        <f>IF(N(I183)&gt;0,I183,IFERROR(ROUND(_xlfn.NUMBERVALUE(LEFT(G183,FIND(" ",G183&amp;" ")-1),".")*1000,0),99999))</f>
        <v/>
      </c>
      <c r="CC183" s="3">
        <f>IF(R183="profesional",0,IF(O183&lt;CUOTA_VALOR_MAX,IF(AU183&gt;ITP_TRAMO_ALTO,SUMIFS(CF_CUOTA,CF_MAS,ITP_TRAMO_ALTO,CF_CCMIN,"&lt;="&amp;CB183,CF_CCMAX,"&gt;="&amp;CB183),IF(AU183&gt;ITP_TRAMO_BAJO,SUMIFS(CF_CUOTA,CF_MAS,ITP_TRAMO_BAJO,CF_CCMIN,"&lt;="&amp;CB183,CF_CCMAX,"&gt;="&amp;CB183),O183*ITP_TIPO)),O183*ITP_TIPO))</f>
        <v/>
      </c>
      <c r="CD183" s="4">
        <f>IF(R183="profesional",N(AK183),0)</f>
        <v/>
      </c>
      <c r="CE183" s="3">
        <f>IF(AND(R183="profesional",ISNUMBER(AK183),AL183="sí"),0,TASA_DGT)</f>
        <v/>
      </c>
      <c r="CF183" s="3">
        <f>INFORME_DGT</f>
        <v/>
      </c>
      <c r="CG183" s="4">
        <f>O183+CD183+CC183+CE183+CF183</f>
        <v/>
      </c>
      <c r="CH183" s="4">
        <f>CG183+N(BU183)</f>
        <v/>
      </c>
      <c r="CI183" s="3">
        <f>IF(CG183&lt;=TOTAL_MAX,"sí",IF(CG183&lt;=TOTAL_MAX+MARGEN_NEG,"negociar","no"))</f>
        <v/>
      </c>
      <c r="CJ183" s="4">
        <f>IF(CI183&lt;&gt;"no",COUNTIFS($CI$2:$CI$662,"&lt;&gt;no",$CA$2:$CA$662,"&gt;"&amp;CA183)+COUNTIFS($CI$2:CI183,"&lt;&gt;no",$CA$2:CA183,CA183),"")</f>
        <v/>
      </c>
    </row>
    <row r="184">
      <c r="A184" s="2" t="inlineStr">
        <is>
          <t>cochesnet:71812833</t>
        </is>
      </c>
      <c r="B184" s="2" t="inlineStr">
        <is>
          <t>cochesnet</t>
        </is>
      </c>
      <c r="C184" s="2" t="inlineStr">
        <is>
          <t>https://www.coches.net/ford-fiesta-16-tdci-dpf-trend-3p-diesel-2010-en-valencia-71812833-covo.aspx</t>
        </is>
      </c>
      <c r="D184" s="2" t="inlineStr">
        <is>
          <t>FORD Fiesta 1.6 TDCi DPF Trend</t>
        </is>
      </c>
      <c r="E184" s="2" t="inlineStr">
        <is>
          <t>Ford</t>
        </is>
      </c>
      <c r="F184" s="2" t="inlineStr">
        <is>
          <t>Ford Fiesta</t>
        </is>
      </c>
      <c r="G184" s="2" t="inlineStr">
        <is>
          <t>1.6 TDCi</t>
        </is>
      </c>
      <c r="H184" s="2" t="inlineStr">
        <is>
          <t>1.6 TDCi DPF Trend</t>
        </is>
      </c>
      <c r="I184" s="2" t="n"/>
      <c r="J184" s="2" t="n"/>
      <c r="K184" s="2" t="inlineStr">
        <is>
          <t>diesel</t>
        </is>
      </c>
      <c r="L184" s="2" t="inlineStr">
        <is>
          <t>utilitario</t>
        </is>
      </c>
      <c r="M184" s="2" t="n">
        <v>2010</v>
      </c>
      <c r="N184" s="2" t="n">
        <v>140000</v>
      </c>
      <c r="O184" s="2" t="n">
        <v>3600</v>
      </c>
      <c r="P184" s="2" t="inlineStr">
        <is>
          <t>manual</t>
        </is>
      </c>
      <c r="Q184" s="2" t="inlineStr">
        <is>
          <t>no</t>
        </is>
      </c>
      <c r="R184" s="2" t="inlineStr">
        <is>
          <t>particular</t>
        </is>
      </c>
      <c r="S184" s="2" t="n"/>
      <c r="T184" s="2" t="inlineStr">
        <is>
          <t>2026-10-22T18:00:02Z</t>
        </is>
      </c>
      <c r="U184" s="2" t="n">
        <v>8</v>
      </c>
      <c r="V184" s="2" t="n"/>
      <c r="W184" s="2" t="n"/>
      <c r="X184" s="2" t="n"/>
      <c r="Y184" s="2" t="n"/>
      <c r="Z184" s="2" t="inlineStr">
        <is>
          <t>no</t>
        </is>
      </c>
      <c r="AA184" s="2" t="n"/>
      <c r="AB184" s="2" t="n"/>
      <c r="AC184" s="2" t="n"/>
      <c r="AD184" s="2" t="n"/>
      <c r="AE184" s="2" t="n"/>
      <c r="AF184" s="2" t="n"/>
      <c r="AG184" s="2" t="n"/>
      <c r="AH184" s="2" t="n">
        <v>3600</v>
      </c>
      <c r="AI184" s="2" t="n"/>
      <c r="AJ184" s="2" t="n"/>
      <c r="AK184" s="2" t="n"/>
      <c r="AL184" s="2" t="n"/>
      <c r="AM184" s="2" t="n"/>
      <c r="AN184" s="2" t="n">
        <v>4700</v>
      </c>
      <c r="AO184" s="2" t="n">
        <v>4</v>
      </c>
      <c r="AP184" s="2" t="inlineStr">
        <is>
          <t>modelo+año+km</t>
        </is>
      </c>
      <c r="AQ184" s="2" t="n"/>
      <c r="AR184" s="2" t="inlineStr">
        <is>
          <t>cuota fija ITP: &gt;12 años, 1.501-2.000 cc; distancia no verificable (el anuncio solo indica la provincia): confirmar que está a &lt;= 70 km</t>
        </is>
      </c>
      <c r="AS184" s="2" t="inlineStr">
        <is>
          <t xml:space="preserve">coche en muy buen estado listo para para transitar </t>
        </is>
      </c>
      <c r="AT184" s="2" t="inlineStr">
        <is>
          <t>https://www.coches.net/ford-fiesta-16-tdci-dpf-trend-3p-diesel-2010-en-valencia-71812833-covo.aspx (window.__INITIAL_PROPS__.ad) /home/user/Alopecia/buscador-coches/raw/cochesnet/61fb422cbd5cf7b0.json</t>
        </is>
      </c>
      <c r="AU184" s="3">
        <f>MAX(ANIO_ACTUAL-M184,0)</f>
        <v/>
      </c>
      <c r="AV184" s="4">
        <f>N184/MAX(AU184,0.5)</f>
        <v/>
      </c>
      <c r="AW184" s="4">
        <f>F184</f>
        <v/>
      </c>
      <c r="AX184" s="3">
        <f>AW184&amp;"|"&amp;INT(M184/SEG_ANIO)*SEG_ANIO</f>
        <v/>
      </c>
      <c r="AY184" s="3">
        <f>AX184&amp;"|"&amp;INT(N184/SEG_KM)*SEG_KM</f>
        <v/>
      </c>
      <c r="AZ184" s="4">
        <f>COUNTIF($AW$2:$AW$662,AW184)</f>
        <v/>
      </c>
      <c r="BA184" s="4">
        <f>COUNTIF($AX$2:$AX$662,AX184)</f>
        <v/>
      </c>
      <c r="BB184" s="4">
        <f>COUNTIF($AY$2:$AY$662,AY184)</f>
        <v/>
      </c>
      <c r="BC184" s="3">
        <f t="array" ref="BC184">IF(N(AO184)&gt;=MIN_N,AN184,IF(BB184&gt;=MIN_N,MEDIAN(IF($AY$2:$AY$662=AY184,$O$2:$O$662)),IF(BA184&gt;=MIN_N,MEDIAN(IF($AX$2:$AX$662=AX184,$O$2:$O$662)),MEDIAN(IF($AW$2:$AW$662=AW184,$O$2:$O$662)))))</f>
        <v/>
      </c>
      <c r="BD184" s="3">
        <f>IF(N(AO184)&gt;=MIN_N,"mercado "&amp;AP184,IF(BB184&gt;=MIN_N,"modelo+año+km",IF(BA184&gt;=MIN_N,"modelo+año","modelo")))</f>
        <v/>
      </c>
      <c r="BE184" s="4">
        <f>(BC184-O184)/BC184</f>
        <v/>
      </c>
      <c r="BF184" s="3">
        <f>IF(OR(K184="hibrido",K184="glp"),"ECO",IF(K184="electrico","CERO",IF(K184="gasolina",IF(M184&gt;=GAS_C,"C",IF(M184&gt;=GAS_B,"B","A")),IF(K184="diesel",IF(M184&gt;=DIE_C,"C",IF(M184&gt;=DIE_B,"B","A")),""))))</f>
        <v/>
      </c>
      <c r="BG184" s="3">
        <f>IFERROR(VLOOKUP(F184,MOD_TBL,11,0),IFERROR(VLOOKUP(E184,OCU_TBL,2,0),NEUTRO))</f>
        <v/>
      </c>
      <c r="BH184" s="3">
        <f>SUMIFS(MOT_AJUSTE,MOT_MOTOR,G184,MOT_MARCA,E184,MOT_DESDE,"&lt;="&amp;M184,MOT_HASTA,"&gt;="&amp;M184)+SUMIFS(MOT_AJUSTE,MOT_MOTOR,G184,MOT_MARCA,"(todas)",MOT_DESDE,"&lt;="&amp;M184,MOT_HASTA,"&gt;="&amp;M184)</f>
        <v/>
      </c>
      <c r="BI184" s="3">
        <f>SUMIFS(COMB_AJUSTE,COMB_COMB,K184)</f>
        <v/>
      </c>
      <c r="BJ184" s="3">
        <f>COUNTIFS(MOT_MOTOR,G184,MOT_MARCA,E184,MOT_DESDE,"&lt;="&amp;M184,MOT_HASTA,"&gt;="&amp;M184)+COUNTIFS(MOT_MOTOR,G184,MOT_MARCA,"(todas)",MOT_DESDE,"&lt;="&amp;M184,MOT_HASTA,"&gt;="&amp;M184)</f>
        <v/>
      </c>
      <c r="BK184" s="3">
        <f>IF(AND(K184="diesel",BJ184=0),MIN(BG184,NEUTRO),BG184)</f>
        <v/>
      </c>
      <c r="BL184" s="4">
        <f>MAX(0,MIN(100,BK184+BH184+BI184))</f>
        <v/>
      </c>
      <c r="BM184" s="3">
        <f>MAX(0,MIN(100,50+BE184*PRECIO_PEND))</f>
        <v/>
      </c>
      <c r="BN184" s="3">
        <f>MAX(0,100*(1-N184/KM_MAX))</f>
        <v/>
      </c>
      <c r="BO184" s="3">
        <f>IF(AV184&lt;KMA_SOSP,IF(AA184="sí",100,KMA_PEN),IF(AV184&lt;=KMA_IDEAL_MAX,100,MAX(0,100*(KMA_CERO-AV184)/(KMA_CERO-KMA_IDEAL_MAX))))</f>
        <v/>
      </c>
      <c r="BP184" s="3">
        <f>MAX(0,MIN(100,100*(M184-ANIO_MIN)/(ANIO_ACTUAL-ANIO_MIN)))</f>
        <v/>
      </c>
      <c r="BQ184" s="3">
        <f>W_KMT*BN184+W_KMA*BO184+W_EDAD*BP184</f>
        <v/>
      </c>
      <c r="BR184" s="3">
        <f>P_ITV*(V184="sí")+P_LIBRO*(W184="sí")+P_CORREA*(X184="sí")+P_PROP*(Y184=1)+P_GAR*(Z184="sí")+P_FOTOS*MIN(1,N(U184)/FOTOS_OBJ)</f>
        <v/>
      </c>
      <c r="BS184" s="3">
        <f>IFERROR(VLOOKUP(BF184,ETQ_TBL,2,0),NEUTRO)</f>
        <v/>
      </c>
      <c r="BT184" s="3">
        <f>NEUTRO</f>
        <v/>
      </c>
      <c r="BU184" s="3">
        <f>IFERROR(VLOOKUP(L184,SEGURO_TBL,3,0),"")</f>
        <v/>
      </c>
      <c r="BV184" s="3">
        <f>IF(BU184="",NEUTRO,MAX(0,MIN(100,100*(SEG_REF_MAX-BU184)/(SEG_REF_MAX-SEG_REF_MIN))))</f>
        <v/>
      </c>
      <c r="BW184" s="3">
        <f>W_ET*BS184+W_CONS*BT184+W_SEG*BV184</f>
        <v/>
      </c>
      <c r="BX184" s="3">
        <f>IF(N(AB184)&gt;0,AB184,IF(AND(R184="profesional",SG_LEGAL_ON=1),GAR_LEGAL,0))</f>
        <v/>
      </c>
      <c r="BY184" s="3">
        <f>SG_GAR*MIN(1,BX184/SG_GAR_FULL)+SG_AMPL*(AC184="sí")+SG_KMC*(AF184="sí")+SG_REV*(N(AE184)&gt;0)+SG_DEV*MIN(1,N(AG184)/SG_DEV_FULL)+SG_HIST*(W184="sí")</f>
        <v/>
      </c>
      <c r="BZ184" s="3">
        <f>IFERROR(VLOOKUP(L184,CARR_PEN_TBL,2,0),0)</f>
        <v/>
      </c>
      <c r="CA184" s="3">
        <f>W_FIAB*BL184+W_PRECIO*BM184+W_KMEDAD*BQ184+W_ANUNCIO*BR184+W_USO*BW184+W_SEGURIDAD*BY184-BZ184</f>
        <v/>
      </c>
      <c r="CB184" s="4">
        <f>IF(N(I184)&gt;0,I184,IFERROR(ROUND(_xlfn.NUMBERVALUE(LEFT(G184,FIND(" ",G184&amp;" ")-1),".")*1000,0),99999))</f>
        <v/>
      </c>
      <c r="CC184" s="3">
        <f>IF(R184="profesional",0,IF(O184&lt;CUOTA_VALOR_MAX,IF(AU184&gt;ITP_TRAMO_ALTO,SUMIFS(CF_CUOTA,CF_MAS,ITP_TRAMO_ALTO,CF_CCMIN,"&lt;="&amp;CB184,CF_CCMAX,"&gt;="&amp;CB184),IF(AU184&gt;ITP_TRAMO_BAJO,SUMIFS(CF_CUOTA,CF_MAS,ITP_TRAMO_BAJO,CF_CCMIN,"&lt;="&amp;CB184,CF_CCMAX,"&gt;="&amp;CB184),O184*ITP_TIPO)),O184*ITP_TIPO))</f>
        <v/>
      </c>
      <c r="CD184" s="4">
        <f>IF(R184="profesional",N(AK184),0)</f>
        <v/>
      </c>
      <c r="CE184" s="3">
        <f>IF(AND(R184="profesional",ISNUMBER(AK184),AL184="sí"),0,TASA_DGT)</f>
        <v/>
      </c>
      <c r="CF184" s="3">
        <f>INFORME_DGT</f>
        <v/>
      </c>
      <c r="CG184" s="4">
        <f>O184+CD184+CC184+CE184+CF184</f>
        <v/>
      </c>
      <c r="CH184" s="4">
        <f>CG184+N(BU184)</f>
        <v/>
      </c>
      <c r="CI184" s="3">
        <f>IF(CG184&lt;=TOTAL_MAX,"sí",IF(CG184&lt;=TOTAL_MAX+MARGEN_NEG,"negociar","no"))</f>
        <v/>
      </c>
      <c r="CJ184" s="4">
        <f>IF(CI184&lt;&gt;"no",COUNTIFS($CI$2:$CI$662,"&lt;&gt;no",$CA$2:$CA$662,"&gt;"&amp;CA184)+COUNTIFS($CI$2:CI184,"&lt;&gt;no",$CA$2:CA184,CA184),"")</f>
        <v/>
      </c>
    </row>
    <row r="185">
      <c r="A185" s="2" t="inlineStr">
        <is>
          <t>cochesnet:71622303</t>
        </is>
      </c>
      <c r="B185" s="2" t="inlineStr">
        <is>
          <t>cochesnet</t>
        </is>
      </c>
      <c r="C185" s="2" t="inlineStr">
        <is>
          <t>https://www.coches.net/ford-fiesta-16-sport-3p-gasolina-2008-en-valencia-71622303-covo.aspx</t>
        </is>
      </c>
      <c r="D185" s="2" t="inlineStr">
        <is>
          <t>FORD Fiesta 1.6 Sport</t>
        </is>
      </c>
      <c r="E185" s="2" t="inlineStr">
        <is>
          <t>Ford</t>
        </is>
      </c>
      <c r="F185" s="2" t="inlineStr">
        <is>
          <t>Ford Fiesta</t>
        </is>
      </c>
      <c r="G185" s="2" t="inlineStr">
        <is>
          <t>1.6</t>
        </is>
      </c>
      <c r="H185" s="2" t="inlineStr">
        <is>
          <t>1.6 Sport</t>
        </is>
      </c>
      <c r="I185" s="2" t="n"/>
      <c r="J185" s="2" t="n"/>
      <c r="K185" s="2" t="inlineStr">
        <is>
          <t>gasolina</t>
        </is>
      </c>
      <c r="L185" s="2" t="inlineStr">
        <is>
          <t>utilitario</t>
        </is>
      </c>
      <c r="M185" s="2" t="n">
        <v>2008</v>
      </c>
      <c r="N185" s="2" t="n">
        <v>118000</v>
      </c>
      <c r="O185" s="2" t="n">
        <v>3800</v>
      </c>
      <c r="P185" s="2" t="inlineStr">
        <is>
          <t>manual</t>
        </is>
      </c>
      <c r="Q185" s="2" t="inlineStr">
        <is>
          <t>no</t>
        </is>
      </c>
      <c r="R185" s="2" t="inlineStr">
        <is>
          <t>particular</t>
        </is>
      </c>
      <c r="S185" s="2" t="inlineStr">
        <is>
          <t>Sot de Chera</t>
        </is>
      </c>
      <c r="T185" s="2" t="inlineStr">
        <is>
          <t>2026-09-30T21:36:59Z</t>
        </is>
      </c>
      <c r="U185" s="2" t="n">
        <v>20</v>
      </c>
      <c r="V185" s="2" t="inlineStr">
        <is>
          <t>sí</t>
        </is>
      </c>
      <c r="W185" s="2" t="n"/>
      <c r="X185" s="2" t="n"/>
      <c r="Y185" s="2" t="n"/>
      <c r="Z185" s="2" t="inlineStr">
        <is>
          <t>no</t>
        </is>
      </c>
      <c r="AA185" s="2" t="n"/>
      <c r="AB185" s="2" t="n"/>
      <c r="AC185" s="2" t="n"/>
      <c r="AD185" s="2" t="n"/>
      <c r="AE185" s="2" t="n"/>
      <c r="AF185" s="2" t="n"/>
      <c r="AG185" s="2" t="n"/>
      <c r="AH185" s="2" t="n">
        <v>3800</v>
      </c>
      <c r="AI185" s="2" t="n"/>
      <c r="AJ185" s="2" t="n"/>
      <c r="AK185" s="2" t="n"/>
      <c r="AL185" s="2" t="n"/>
      <c r="AM185" s="2" t="n">
        <v>48.4</v>
      </c>
      <c r="AN185" s="2" t="n">
        <v>4990</v>
      </c>
      <c r="AO185" s="2" t="n">
        <v>9</v>
      </c>
      <c r="AP185" s="2" t="inlineStr">
        <is>
          <t>modelo+año+km</t>
        </is>
      </c>
      <c r="AQ185" s="2" t="n"/>
      <c r="AR185" s="2" t="inlineStr">
        <is>
          <t>cuota fija ITP: &gt;12 años, 1.501-2.000 cc</t>
        </is>
      </c>
      <c r="AS185" s="2" t="inlineStr">
        <is>
          <t>Ford Fiesta 1.6 S del 2008  impecable. 
Vehículo nacional con pocos kilómetros y muy bien mantenido. 
El coche tiene todas las revisiones hechas aceite, filtros, bujías pastillas etc..
Extras yo
- Pack S.
- Asientos sport SemiCuero.
- Aire acondicionado.
- Faros Bi-Xenon. 
- Luces Automáticas.
- Cierre centralizado.
- Aperturas reales en el capó. 
- Intermitentes led
- Retrovisores eléctricos
- Etiqueta medioambiental C (La tengo pero no la he pegado al parabrisas)
            Etc...
Al coche se le ha invertido bastante dinero.
4 NEUMÁTICOS NUEVOS.
4 Amortiguador.
ALTERNADOR. 
BATERÍA. 
SE LE HA RELLENADO EL GAS DEL AIRE ACONDICIONADO en el 29/07/26
ITV pasada 27/07/26 (Tiene un año de ITV).
Pastillas delanteras. 
Equilibrado. 
Bujías. Etc...
Es el paquete S original, Motor 1.6 gasolina de 120 Cv  Manual de 5 velocidades, es bastante Potente y muy ágil, aunque no lo parezca es bastante espacioso, todo funciona bien, no falla nada, el coche no tiene ni un poco de óxido, ninguna pérdida de aceite ni anticongelante, va perfecto suena muy fino, y la verdad que no gasta nada, consumos muy bajos, yo acepto cualquier tipo de prueba lo podemos llevar a donde quieras, se puede probar, el coche va como un tiro, no se le puede sacar pegas, siempre ha aparcado en garaje.
El coche está vinilado de la parte trasera, es un vinilo de color negro mate, pero ya se está empezando a quitar lo suyo sería quitarlo con una pistola de calor y el color por debajo se conserva perfectamente. 
L</t>
        </is>
      </c>
      <c r="AT185" s="2" t="inlineStr">
        <is>
          <t>https://www.coches.net/ford-fiesta-16-sport-3p-gasolina-2008-en-valencia-71622303-covo.aspx (window.__INITIAL_PROPS__.ad) /home/user/Alopecia/buscador-coches/raw/cochesnet/870d770f633b784b.json</t>
        </is>
      </c>
      <c r="AU185" s="3">
        <f>MAX(ANIO_ACTUAL-M185,0)</f>
        <v/>
      </c>
      <c r="AV185" s="4">
        <f>N185/MAX(AU185,0.5)</f>
        <v/>
      </c>
      <c r="AW185" s="4">
        <f>F185</f>
        <v/>
      </c>
      <c r="AX185" s="3">
        <f>AW185&amp;"|"&amp;INT(M185/SEG_ANIO)*SEG_ANIO</f>
        <v/>
      </c>
      <c r="AY185" s="3">
        <f>AX185&amp;"|"&amp;INT(N185/SEG_KM)*SEG_KM</f>
        <v/>
      </c>
      <c r="AZ185" s="4">
        <f>COUNTIF($AW$2:$AW$662,AW185)</f>
        <v/>
      </c>
      <c r="BA185" s="4">
        <f>COUNTIF($AX$2:$AX$662,AX185)</f>
        <v/>
      </c>
      <c r="BB185" s="4">
        <f>COUNTIF($AY$2:$AY$662,AY185)</f>
        <v/>
      </c>
      <c r="BC185" s="3">
        <f t="array" ref="BC185">IF(N(AO185)&gt;=MIN_N,AN185,IF(BB185&gt;=MIN_N,MEDIAN(IF($AY$2:$AY$662=AY185,$O$2:$O$662)),IF(BA185&gt;=MIN_N,MEDIAN(IF($AX$2:$AX$662=AX185,$O$2:$O$662)),MEDIAN(IF($AW$2:$AW$662=AW185,$O$2:$O$662)))))</f>
        <v/>
      </c>
      <c r="BD185" s="3">
        <f>IF(N(AO185)&gt;=MIN_N,"mercado "&amp;AP185,IF(BB185&gt;=MIN_N,"modelo+año+km",IF(BA185&gt;=MIN_N,"modelo+año","modelo")))</f>
        <v/>
      </c>
      <c r="BE185" s="4">
        <f>(BC185-O185)/BC185</f>
        <v/>
      </c>
      <c r="BF185" s="3">
        <f>IF(OR(K185="hibrido",K185="glp"),"ECO",IF(K185="electrico","CERO",IF(K185="gasolina",IF(M185&gt;=GAS_C,"C",IF(M185&gt;=GAS_B,"B","A")),IF(K185="diesel",IF(M185&gt;=DIE_C,"C",IF(M185&gt;=DIE_B,"B","A")),""))))</f>
        <v/>
      </c>
      <c r="BG185" s="3">
        <f>IFERROR(VLOOKUP(F185,MOD_TBL,11,0),IFERROR(VLOOKUP(E185,OCU_TBL,2,0),NEUTRO))</f>
        <v/>
      </c>
      <c r="BH185" s="3">
        <f>SUMIFS(MOT_AJUSTE,MOT_MOTOR,G185,MOT_MARCA,E185,MOT_DESDE,"&lt;="&amp;M185,MOT_HASTA,"&gt;="&amp;M185)+SUMIFS(MOT_AJUSTE,MOT_MOTOR,G185,MOT_MARCA,"(todas)",MOT_DESDE,"&lt;="&amp;M185,MOT_HASTA,"&gt;="&amp;M185)</f>
        <v/>
      </c>
      <c r="BI185" s="3">
        <f>SUMIFS(COMB_AJUSTE,COMB_COMB,K185)</f>
        <v/>
      </c>
      <c r="BJ185" s="3">
        <f>COUNTIFS(MOT_MOTOR,G185,MOT_MARCA,E185,MOT_DESDE,"&lt;="&amp;M185,MOT_HASTA,"&gt;="&amp;M185)+COUNTIFS(MOT_MOTOR,G185,MOT_MARCA,"(todas)",MOT_DESDE,"&lt;="&amp;M185,MOT_HASTA,"&gt;="&amp;M185)</f>
        <v/>
      </c>
      <c r="BK185" s="3">
        <f>IF(AND(K185="diesel",BJ185=0),MIN(BG185,NEUTRO),BG185)</f>
        <v/>
      </c>
      <c r="BL185" s="4">
        <f>MAX(0,MIN(100,BK185+BH185+BI185))</f>
        <v/>
      </c>
      <c r="BM185" s="3">
        <f>MAX(0,MIN(100,50+BE185*PRECIO_PEND))</f>
        <v/>
      </c>
      <c r="BN185" s="3">
        <f>MAX(0,100*(1-N185/KM_MAX))</f>
        <v/>
      </c>
      <c r="BO185" s="3">
        <f>IF(AV185&lt;KMA_SOSP,IF(AA185="sí",100,KMA_PEN),IF(AV185&lt;=KMA_IDEAL_MAX,100,MAX(0,100*(KMA_CERO-AV185)/(KMA_CERO-KMA_IDEAL_MAX))))</f>
        <v/>
      </c>
      <c r="BP185" s="3">
        <f>MAX(0,MIN(100,100*(M185-ANIO_MIN)/(ANIO_ACTUAL-ANIO_MIN)))</f>
        <v/>
      </c>
      <c r="BQ185" s="3">
        <f>W_KMT*BN185+W_KMA*BO185+W_EDAD*BP185</f>
        <v/>
      </c>
      <c r="BR185" s="3">
        <f>P_ITV*(V185="sí")+P_LIBRO*(W185="sí")+P_CORREA*(X185="sí")+P_PROP*(Y185=1)+P_GAR*(Z185="sí")+P_FOTOS*MIN(1,N(U185)/FOTOS_OBJ)</f>
        <v/>
      </c>
      <c r="BS185" s="3">
        <f>IFERROR(VLOOKUP(BF185,ETQ_TBL,2,0),NEUTRO)</f>
        <v/>
      </c>
      <c r="BT185" s="3">
        <f>NEUTRO</f>
        <v/>
      </c>
      <c r="BU185" s="3">
        <f>IFERROR(VLOOKUP(L185,SEGURO_TBL,3,0),"")</f>
        <v/>
      </c>
      <c r="BV185" s="3">
        <f>IF(BU185="",NEUTRO,MAX(0,MIN(100,100*(SEG_REF_MAX-BU185)/(SEG_REF_MAX-SEG_REF_MIN))))</f>
        <v/>
      </c>
      <c r="BW185" s="3">
        <f>W_ET*BS185+W_CONS*BT185+W_SEG*BV185</f>
        <v/>
      </c>
      <c r="BX185" s="3">
        <f>IF(N(AB185)&gt;0,AB185,IF(AND(R185="profesional",SG_LEGAL_ON=1),GAR_LEGAL,0))</f>
        <v/>
      </c>
      <c r="BY185" s="3">
        <f>SG_GAR*MIN(1,BX185/SG_GAR_FULL)+SG_AMPL*(AC185="sí")+SG_KMC*(AF185="sí")+SG_REV*(N(AE185)&gt;0)+SG_DEV*MIN(1,N(AG185)/SG_DEV_FULL)+SG_HIST*(W185="sí")</f>
        <v/>
      </c>
      <c r="BZ185" s="3">
        <f>IFERROR(VLOOKUP(L185,CARR_PEN_TBL,2,0),0)</f>
        <v/>
      </c>
      <c r="CA185" s="3">
        <f>W_FIAB*BL185+W_PRECIO*BM185+W_KMEDAD*BQ185+W_ANUNCIO*BR185+W_USO*BW185+W_SEGURIDAD*BY185-BZ185</f>
        <v/>
      </c>
      <c r="CB185" s="4">
        <f>IF(N(I185)&gt;0,I185,IFERROR(ROUND(_xlfn.NUMBERVALUE(LEFT(G185,FIND(" ",G185&amp;" ")-1),".")*1000,0),99999))</f>
        <v/>
      </c>
      <c r="CC185" s="3">
        <f>IF(R185="profesional",0,IF(O185&lt;CUOTA_VALOR_MAX,IF(AU185&gt;ITP_TRAMO_ALTO,SUMIFS(CF_CUOTA,CF_MAS,ITP_TRAMO_ALTO,CF_CCMIN,"&lt;="&amp;CB185,CF_CCMAX,"&gt;="&amp;CB185),IF(AU185&gt;ITP_TRAMO_BAJO,SUMIFS(CF_CUOTA,CF_MAS,ITP_TRAMO_BAJO,CF_CCMIN,"&lt;="&amp;CB185,CF_CCMAX,"&gt;="&amp;CB185),O185*ITP_TIPO)),O185*ITP_TIPO))</f>
        <v/>
      </c>
      <c r="CD185" s="4">
        <f>IF(R185="profesional",N(AK185),0)</f>
        <v/>
      </c>
      <c r="CE185" s="3">
        <f>IF(AND(R185="profesional",ISNUMBER(AK185),AL185="sí"),0,TASA_DGT)</f>
        <v/>
      </c>
      <c r="CF185" s="3">
        <f>INFORME_DGT</f>
        <v/>
      </c>
      <c r="CG185" s="4">
        <f>O185+CD185+CC185+CE185+CF185</f>
        <v/>
      </c>
      <c r="CH185" s="4">
        <f>CG185+N(BU185)</f>
        <v/>
      </c>
      <c r="CI185" s="3">
        <f>IF(CG185&lt;=TOTAL_MAX,"sí",IF(CG185&lt;=TOTAL_MAX+MARGEN_NEG,"negociar","no"))</f>
        <v/>
      </c>
      <c r="CJ185" s="4">
        <f>IF(CI185&lt;&gt;"no",COUNTIFS($CI$2:$CI$662,"&lt;&gt;no",$CA$2:$CA$662,"&gt;"&amp;CA185)+COUNTIFS($CI$2:CI185,"&lt;&gt;no",$CA$2:CA185,CA185),"")</f>
        <v/>
      </c>
    </row>
    <row r="186">
      <c r="A186" s="2" t="inlineStr">
        <is>
          <t>cochesnet:71620127</t>
        </is>
      </c>
      <c r="B186" s="2" t="inlineStr">
        <is>
          <t>cochesnet</t>
        </is>
      </c>
      <c r="C186" s="2" t="inlineStr">
        <is>
          <t>https://www.coches.net/ford-fiesta-16-tdci-titanium-3p-diesel-2009-en-valencia-71620127-covo.aspx</t>
        </is>
      </c>
      <c r="D186" s="2" t="inlineStr">
        <is>
          <t>FORD Fiesta 1.6 TDCi Titanium</t>
        </is>
      </c>
      <c r="E186" s="2" t="inlineStr">
        <is>
          <t>Ford</t>
        </is>
      </c>
      <c r="F186" s="2" t="inlineStr">
        <is>
          <t>Ford Fiesta</t>
        </is>
      </c>
      <c r="G186" s="2" t="inlineStr">
        <is>
          <t>1.6 TDCi</t>
        </is>
      </c>
      <c r="H186" s="2" t="inlineStr">
        <is>
          <t>1.6 TDCi Titanium</t>
        </is>
      </c>
      <c r="I186" s="2" t="n"/>
      <c r="J186" s="2" t="n"/>
      <c r="K186" s="2" t="inlineStr">
        <is>
          <t>diesel</t>
        </is>
      </c>
      <c r="L186" s="2" t="inlineStr">
        <is>
          <t>utilitario</t>
        </is>
      </c>
      <c r="M186" s="2" t="n">
        <v>2009</v>
      </c>
      <c r="N186" s="2" t="n">
        <v>190000</v>
      </c>
      <c r="O186" s="2" t="n">
        <v>4500</v>
      </c>
      <c r="P186" s="2" t="inlineStr">
        <is>
          <t>manual</t>
        </is>
      </c>
      <c r="Q186" s="2" t="inlineStr">
        <is>
          <t>no</t>
        </is>
      </c>
      <c r="R186" s="2" t="inlineStr">
        <is>
          <t>particular</t>
        </is>
      </c>
      <c r="S186" s="2" t="inlineStr">
        <is>
          <t>Massamagrell</t>
        </is>
      </c>
      <c r="T186" s="2" t="inlineStr">
        <is>
          <t>2026-09-29T00:00:36Z</t>
        </is>
      </c>
      <c r="U186" s="2" t="n">
        <v>8</v>
      </c>
      <c r="V186" s="2" t="inlineStr">
        <is>
          <t>sí</t>
        </is>
      </c>
      <c r="W186" s="2" t="n"/>
      <c r="X186" s="2" t="inlineStr">
        <is>
          <t>sí</t>
        </is>
      </c>
      <c r="Y186" s="2" t="n">
        <v>1</v>
      </c>
      <c r="Z186" s="2" t="inlineStr">
        <is>
          <t>no</t>
        </is>
      </c>
      <c r="AA186" s="2" t="n"/>
      <c r="AB186" s="2" t="n"/>
      <c r="AC186" s="2" t="n"/>
      <c r="AD186" s="2" t="n"/>
      <c r="AE186" s="2" t="n"/>
      <c r="AF186" s="2" t="n"/>
      <c r="AG186" s="2" t="n"/>
      <c r="AH186" s="2" t="n">
        <v>4500</v>
      </c>
      <c r="AI186" s="2" t="n"/>
      <c r="AJ186" s="2" t="n"/>
      <c r="AK186" s="2" t="n"/>
      <c r="AL186" s="2" t="n"/>
      <c r="AM186" s="2" t="n">
        <v>12</v>
      </c>
      <c r="AN186" s="2" t="n">
        <v>4500</v>
      </c>
      <c r="AO186" s="2" t="n">
        <v>18</v>
      </c>
      <c r="AP186" s="2" t="inlineStr">
        <is>
          <t>modelo+año+km</t>
        </is>
      </c>
      <c r="AQ186" s="2" t="n"/>
      <c r="AR186" s="2" t="inlineStr">
        <is>
          <t>cuota fija ITP: &gt;12 años, 1.501-2.000 cc</t>
        </is>
      </c>
      <c r="AS186" s="2" t="inlineStr">
        <is>
          <t>Único propietario 
2 llaves
Pack sport titanium ST original 
Mantenimiento recién realizado 
Correa distribución nueva
Se entrega con ITV en vigor 
FINANCIACIÓN 100%</t>
        </is>
      </c>
      <c r="AT186" s="2" t="inlineStr">
        <is>
          <t>https://www.coches.net/ford-fiesta-16-tdci-titanium-3p-diesel-2009-en-valencia-71620127-covo.aspx (window.__INITIAL_PROPS__.ad) /home/user/Alopecia/buscador-coches/raw/cochesnet/e7c66b6c89eda872.json</t>
        </is>
      </c>
      <c r="AU186" s="3">
        <f>MAX(ANIO_ACTUAL-M186,0)</f>
        <v/>
      </c>
      <c r="AV186" s="4">
        <f>N186/MAX(AU186,0.5)</f>
        <v/>
      </c>
      <c r="AW186" s="4">
        <f>F186</f>
        <v/>
      </c>
      <c r="AX186" s="3">
        <f>AW186&amp;"|"&amp;INT(M186/SEG_ANIO)*SEG_ANIO</f>
        <v/>
      </c>
      <c r="AY186" s="3">
        <f>AX186&amp;"|"&amp;INT(N186/SEG_KM)*SEG_KM</f>
        <v/>
      </c>
      <c r="AZ186" s="4">
        <f>COUNTIF($AW$2:$AW$662,AW186)</f>
        <v/>
      </c>
      <c r="BA186" s="4">
        <f>COUNTIF($AX$2:$AX$662,AX186)</f>
        <v/>
      </c>
      <c r="BB186" s="4">
        <f>COUNTIF($AY$2:$AY$662,AY186)</f>
        <v/>
      </c>
      <c r="BC186" s="3">
        <f t="array" ref="BC186">IF(N(AO186)&gt;=MIN_N,AN186,IF(BB186&gt;=MIN_N,MEDIAN(IF($AY$2:$AY$662=AY186,$O$2:$O$662)),IF(BA186&gt;=MIN_N,MEDIAN(IF($AX$2:$AX$662=AX186,$O$2:$O$662)),MEDIAN(IF($AW$2:$AW$662=AW186,$O$2:$O$662)))))</f>
        <v/>
      </c>
      <c r="BD186" s="3">
        <f>IF(N(AO186)&gt;=MIN_N,"mercado "&amp;AP186,IF(BB186&gt;=MIN_N,"modelo+año+km",IF(BA186&gt;=MIN_N,"modelo+año","modelo")))</f>
        <v/>
      </c>
      <c r="BE186" s="4">
        <f>(BC186-O186)/BC186</f>
        <v/>
      </c>
      <c r="BF186" s="3">
        <f>IF(OR(K186="hibrido",K186="glp"),"ECO",IF(K186="electrico","CERO",IF(K186="gasolina",IF(M186&gt;=GAS_C,"C",IF(M186&gt;=GAS_B,"B","A")),IF(K186="diesel",IF(M186&gt;=DIE_C,"C",IF(M186&gt;=DIE_B,"B","A")),""))))</f>
        <v/>
      </c>
      <c r="BG186" s="3">
        <f>IFERROR(VLOOKUP(F186,MOD_TBL,11,0),IFERROR(VLOOKUP(E186,OCU_TBL,2,0),NEUTRO))</f>
        <v/>
      </c>
      <c r="BH186" s="3">
        <f>SUMIFS(MOT_AJUSTE,MOT_MOTOR,G186,MOT_MARCA,E186,MOT_DESDE,"&lt;="&amp;M186,MOT_HASTA,"&gt;="&amp;M186)+SUMIFS(MOT_AJUSTE,MOT_MOTOR,G186,MOT_MARCA,"(todas)",MOT_DESDE,"&lt;="&amp;M186,MOT_HASTA,"&gt;="&amp;M186)</f>
        <v/>
      </c>
      <c r="BI186" s="3">
        <f>SUMIFS(COMB_AJUSTE,COMB_COMB,K186)</f>
        <v/>
      </c>
      <c r="BJ186" s="3">
        <f>COUNTIFS(MOT_MOTOR,G186,MOT_MARCA,E186,MOT_DESDE,"&lt;="&amp;M186,MOT_HASTA,"&gt;="&amp;M186)+COUNTIFS(MOT_MOTOR,G186,MOT_MARCA,"(todas)",MOT_DESDE,"&lt;="&amp;M186,MOT_HASTA,"&gt;="&amp;M186)</f>
        <v/>
      </c>
      <c r="BK186" s="3">
        <f>IF(AND(K186="diesel",BJ186=0),MIN(BG186,NEUTRO),BG186)</f>
        <v/>
      </c>
      <c r="BL186" s="4">
        <f>MAX(0,MIN(100,BK186+BH186+BI186))</f>
        <v/>
      </c>
      <c r="BM186" s="3">
        <f>MAX(0,MIN(100,50+BE186*PRECIO_PEND))</f>
        <v/>
      </c>
      <c r="BN186" s="3">
        <f>MAX(0,100*(1-N186/KM_MAX))</f>
        <v/>
      </c>
      <c r="BO186" s="3">
        <f>IF(AV186&lt;KMA_SOSP,IF(AA186="sí",100,KMA_PEN),IF(AV186&lt;=KMA_IDEAL_MAX,100,MAX(0,100*(KMA_CERO-AV186)/(KMA_CERO-KMA_IDEAL_MAX))))</f>
        <v/>
      </c>
      <c r="BP186" s="3">
        <f>MAX(0,MIN(100,100*(M186-ANIO_MIN)/(ANIO_ACTUAL-ANIO_MIN)))</f>
        <v/>
      </c>
      <c r="BQ186" s="3">
        <f>W_KMT*BN186+W_KMA*BO186+W_EDAD*BP186</f>
        <v/>
      </c>
      <c r="BR186" s="3">
        <f>P_ITV*(V186="sí")+P_LIBRO*(W186="sí")+P_CORREA*(X186="sí")+P_PROP*(Y186=1)+P_GAR*(Z186="sí")+P_FOTOS*MIN(1,N(U186)/FOTOS_OBJ)</f>
        <v/>
      </c>
      <c r="BS186" s="3">
        <f>IFERROR(VLOOKUP(BF186,ETQ_TBL,2,0),NEUTRO)</f>
        <v/>
      </c>
      <c r="BT186" s="3">
        <f>NEUTRO</f>
        <v/>
      </c>
      <c r="BU186" s="3">
        <f>IFERROR(VLOOKUP(L186,SEGURO_TBL,3,0),"")</f>
        <v/>
      </c>
      <c r="BV186" s="3">
        <f>IF(BU186="",NEUTRO,MAX(0,MIN(100,100*(SEG_REF_MAX-BU186)/(SEG_REF_MAX-SEG_REF_MIN))))</f>
        <v/>
      </c>
      <c r="BW186" s="3">
        <f>W_ET*BS186+W_CONS*BT186+W_SEG*BV186</f>
        <v/>
      </c>
      <c r="BX186" s="3">
        <f>IF(N(AB186)&gt;0,AB186,IF(AND(R186="profesional",SG_LEGAL_ON=1),GAR_LEGAL,0))</f>
        <v/>
      </c>
      <c r="BY186" s="3">
        <f>SG_GAR*MIN(1,BX186/SG_GAR_FULL)+SG_AMPL*(AC186="sí")+SG_KMC*(AF186="sí")+SG_REV*(N(AE186)&gt;0)+SG_DEV*MIN(1,N(AG186)/SG_DEV_FULL)+SG_HIST*(W186="sí")</f>
        <v/>
      </c>
      <c r="BZ186" s="3">
        <f>IFERROR(VLOOKUP(L186,CARR_PEN_TBL,2,0),0)</f>
        <v/>
      </c>
      <c r="CA186" s="3">
        <f>W_FIAB*BL186+W_PRECIO*BM186+W_KMEDAD*BQ186+W_ANUNCIO*BR186+W_USO*BW186+W_SEGURIDAD*BY186-BZ186</f>
        <v/>
      </c>
      <c r="CB186" s="4">
        <f>IF(N(I186)&gt;0,I186,IFERROR(ROUND(_xlfn.NUMBERVALUE(LEFT(G186,FIND(" ",G186&amp;" ")-1),".")*1000,0),99999))</f>
        <v/>
      </c>
      <c r="CC186" s="3">
        <f>IF(R186="profesional",0,IF(O186&lt;CUOTA_VALOR_MAX,IF(AU186&gt;ITP_TRAMO_ALTO,SUMIFS(CF_CUOTA,CF_MAS,ITP_TRAMO_ALTO,CF_CCMIN,"&lt;="&amp;CB186,CF_CCMAX,"&gt;="&amp;CB186),IF(AU186&gt;ITP_TRAMO_BAJO,SUMIFS(CF_CUOTA,CF_MAS,ITP_TRAMO_BAJO,CF_CCMIN,"&lt;="&amp;CB186,CF_CCMAX,"&gt;="&amp;CB186),O186*ITP_TIPO)),O186*ITP_TIPO))</f>
        <v/>
      </c>
      <c r="CD186" s="4">
        <f>IF(R186="profesional",N(AK186),0)</f>
        <v/>
      </c>
      <c r="CE186" s="3">
        <f>IF(AND(R186="profesional",ISNUMBER(AK186),AL186="sí"),0,TASA_DGT)</f>
        <v/>
      </c>
      <c r="CF186" s="3">
        <f>INFORME_DGT</f>
        <v/>
      </c>
      <c r="CG186" s="4">
        <f>O186+CD186+CC186+CE186+CF186</f>
        <v/>
      </c>
      <c r="CH186" s="4">
        <f>CG186+N(BU186)</f>
        <v/>
      </c>
      <c r="CI186" s="3">
        <f>IF(CG186&lt;=TOTAL_MAX,"sí",IF(CG186&lt;=TOTAL_MAX+MARGEN_NEG,"negociar","no"))</f>
        <v/>
      </c>
      <c r="CJ186" s="4">
        <f>IF(CI186&lt;&gt;"no",COUNTIFS($CI$2:$CI$662,"&lt;&gt;no",$CA$2:$CA$662,"&gt;"&amp;CA186)+COUNTIFS($CI$2:CI186,"&lt;&gt;no",$CA$2:CA186,CA186),"")</f>
        <v/>
      </c>
    </row>
    <row r="187">
      <c r="A187" s="2" t="inlineStr">
        <is>
          <t>cochesnet:71531586</t>
        </is>
      </c>
      <c r="B187" s="2" t="inlineStr">
        <is>
          <t>cochesnet</t>
        </is>
      </c>
      <c r="C187" s="2" t="inlineStr">
        <is>
          <t>https://www.coches.net/ford-fiesta-diesel-2010-en-valencia-71531586-covo.aspx</t>
        </is>
      </c>
      <c r="D187" s="2" t="inlineStr">
        <is>
          <t>FORD Fiesta</t>
        </is>
      </c>
      <c r="E187" s="2" t="inlineStr">
        <is>
          <t>Ford</t>
        </is>
      </c>
      <c r="F187" s="2" t="inlineStr">
        <is>
          <t>Ford Fiesta</t>
        </is>
      </c>
      <c r="G187" s="2" t="n"/>
      <c r="H187" s="2" t="n"/>
      <c r="I187" s="2" t="n"/>
      <c r="J187" s="2" t="n"/>
      <c r="K187" s="2" t="inlineStr">
        <is>
          <t>diesel</t>
        </is>
      </c>
      <c r="L187" s="2" t="inlineStr">
        <is>
          <t>utilitario</t>
        </is>
      </c>
      <c r="M187" s="2" t="n">
        <v>2010</v>
      </c>
      <c r="N187" s="2" t="n">
        <v>170000</v>
      </c>
      <c r="O187" s="2" t="n">
        <v>4300</v>
      </c>
      <c r="P187" s="2" t="inlineStr">
        <is>
          <t>manual</t>
        </is>
      </c>
      <c r="Q187" s="2" t="inlineStr">
        <is>
          <t>no</t>
        </is>
      </c>
      <c r="R187" s="2" t="inlineStr">
        <is>
          <t>particular</t>
        </is>
      </c>
      <c r="S187" s="2" t="n"/>
      <c r="T187" s="2" t="inlineStr">
        <is>
          <t>2026-09-16T17:51:16Z</t>
        </is>
      </c>
      <c r="U187" s="2" t="n">
        <v>5</v>
      </c>
      <c r="V187" s="2" t="n"/>
      <c r="W187" s="2" t="n"/>
      <c r="X187" s="2" t="n"/>
      <c r="Y187" s="2" t="n"/>
      <c r="Z187" s="2" t="inlineStr">
        <is>
          <t>no</t>
        </is>
      </c>
      <c r="AA187" s="2" t="n"/>
      <c r="AB187" s="2" t="n"/>
      <c r="AC187" s="2" t="n"/>
      <c r="AD187" s="2" t="n"/>
      <c r="AE187" s="2" t="n"/>
      <c r="AF187" s="2" t="n"/>
      <c r="AG187" s="2" t="n"/>
      <c r="AH187" s="2" t="n">
        <v>4300</v>
      </c>
      <c r="AI187" s="2" t="n"/>
      <c r="AJ187" s="2" t="n"/>
      <c r="AK187" s="2" t="n"/>
      <c r="AL187" s="2" t="n"/>
      <c r="AM187" s="2" t="n"/>
      <c r="AN187" s="2" t="n">
        <v>4545</v>
      </c>
      <c r="AO187" s="2" t="n">
        <v>18</v>
      </c>
      <c r="AP187" s="2" t="inlineStr">
        <is>
          <t>modelo+año+km</t>
        </is>
      </c>
      <c r="AQ187" s="2" t="n"/>
      <c r="AR18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87" s="2" t="inlineStr">
        <is>
          <t xml:space="preserve">Coche en perfecto estado, listo para circular y usar dia a dia. Aceite y filtro recién cambiado hace una semana. Consume poco, ideal para trabajar y usar diariamente. Interior como nuevo y carroceria muy limpia para la edad que tiene. Pocos kilometros. </t>
        </is>
      </c>
      <c r="AT187" s="2" t="inlineStr">
        <is>
          <t>https://www.coches.net/ford-fiesta-diesel-2010-en-valencia-71531586-covo.aspx (window.__INITIAL_PROPS__.ad) /home/user/Alopecia/buscador-coches/raw/cochesnet/fa9c6d9de6b87de1.json</t>
        </is>
      </c>
      <c r="AU187" s="3">
        <f>MAX(ANIO_ACTUAL-M187,0)</f>
        <v/>
      </c>
      <c r="AV187" s="4">
        <f>N187/MAX(AU187,0.5)</f>
        <v/>
      </c>
      <c r="AW187" s="4">
        <f>F187</f>
        <v/>
      </c>
      <c r="AX187" s="3">
        <f>AW187&amp;"|"&amp;INT(M187/SEG_ANIO)*SEG_ANIO</f>
        <v/>
      </c>
      <c r="AY187" s="3">
        <f>AX187&amp;"|"&amp;INT(N187/SEG_KM)*SEG_KM</f>
        <v/>
      </c>
      <c r="AZ187" s="4">
        <f>COUNTIF($AW$2:$AW$662,AW187)</f>
        <v/>
      </c>
      <c r="BA187" s="4">
        <f>COUNTIF($AX$2:$AX$662,AX187)</f>
        <v/>
      </c>
      <c r="BB187" s="4">
        <f>COUNTIF($AY$2:$AY$662,AY187)</f>
        <v/>
      </c>
      <c r="BC187" s="3">
        <f t="array" ref="BC187">IF(N(AO187)&gt;=MIN_N,AN187,IF(BB187&gt;=MIN_N,MEDIAN(IF($AY$2:$AY$662=AY187,$O$2:$O$662)),IF(BA187&gt;=MIN_N,MEDIAN(IF($AX$2:$AX$662=AX187,$O$2:$O$662)),MEDIAN(IF($AW$2:$AW$662=AW187,$O$2:$O$662)))))</f>
        <v/>
      </c>
      <c r="BD187" s="3">
        <f>IF(N(AO187)&gt;=MIN_N,"mercado "&amp;AP187,IF(BB187&gt;=MIN_N,"modelo+año+km",IF(BA187&gt;=MIN_N,"modelo+año","modelo")))</f>
        <v/>
      </c>
      <c r="BE187" s="4">
        <f>(BC187-O187)/BC187</f>
        <v/>
      </c>
      <c r="BF187" s="3">
        <f>IF(OR(K187="hibrido",K187="glp"),"ECO",IF(K187="electrico","CERO",IF(K187="gasolina",IF(M187&gt;=GAS_C,"C",IF(M187&gt;=GAS_B,"B","A")),IF(K187="diesel",IF(M187&gt;=DIE_C,"C",IF(M187&gt;=DIE_B,"B","A")),""))))</f>
        <v/>
      </c>
      <c r="BG187" s="3">
        <f>IFERROR(VLOOKUP(F187,MOD_TBL,11,0),IFERROR(VLOOKUP(E187,OCU_TBL,2,0),NEUTRO))</f>
        <v/>
      </c>
      <c r="BH187" s="3">
        <f>SUMIFS(MOT_AJUSTE,MOT_MOTOR,G187,MOT_MARCA,E187,MOT_DESDE,"&lt;="&amp;M187,MOT_HASTA,"&gt;="&amp;M187)+SUMIFS(MOT_AJUSTE,MOT_MOTOR,G187,MOT_MARCA,"(todas)",MOT_DESDE,"&lt;="&amp;M187,MOT_HASTA,"&gt;="&amp;M187)</f>
        <v/>
      </c>
      <c r="BI187" s="3">
        <f>SUMIFS(COMB_AJUSTE,COMB_COMB,K187)</f>
        <v/>
      </c>
      <c r="BJ187" s="3">
        <f>COUNTIFS(MOT_MOTOR,G187,MOT_MARCA,E187,MOT_DESDE,"&lt;="&amp;M187,MOT_HASTA,"&gt;="&amp;M187)+COUNTIFS(MOT_MOTOR,G187,MOT_MARCA,"(todas)",MOT_DESDE,"&lt;="&amp;M187,MOT_HASTA,"&gt;="&amp;M187)</f>
        <v/>
      </c>
      <c r="BK187" s="3">
        <f>IF(AND(K187="diesel",BJ187=0),MIN(BG187,NEUTRO),BG187)</f>
        <v/>
      </c>
      <c r="BL187" s="4">
        <f>MAX(0,MIN(100,BK187+BH187+BI187))</f>
        <v/>
      </c>
      <c r="BM187" s="3">
        <f>MAX(0,MIN(100,50+BE187*PRECIO_PEND))</f>
        <v/>
      </c>
      <c r="BN187" s="3">
        <f>MAX(0,100*(1-N187/KM_MAX))</f>
        <v/>
      </c>
      <c r="BO187" s="3">
        <f>IF(AV187&lt;KMA_SOSP,IF(AA187="sí",100,KMA_PEN),IF(AV187&lt;=KMA_IDEAL_MAX,100,MAX(0,100*(KMA_CERO-AV187)/(KMA_CERO-KMA_IDEAL_MAX))))</f>
        <v/>
      </c>
      <c r="BP187" s="3">
        <f>MAX(0,MIN(100,100*(M187-ANIO_MIN)/(ANIO_ACTUAL-ANIO_MIN)))</f>
        <v/>
      </c>
      <c r="BQ187" s="3">
        <f>W_KMT*BN187+W_KMA*BO187+W_EDAD*BP187</f>
        <v/>
      </c>
      <c r="BR187" s="3">
        <f>P_ITV*(V187="sí")+P_LIBRO*(W187="sí")+P_CORREA*(X187="sí")+P_PROP*(Y187=1)+P_GAR*(Z187="sí")+P_FOTOS*MIN(1,N(U187)/FOTOS_OBJ)</f>
        <v/>
      </c>
      <c r="BS187" s="3">
        <f>IFERROR(VLOOKUP(BF187,ETQ_TBL,2,0),NEUTRO)</f>
        <v/>
      </c>
      <c r="BT187" s="3">
        <f>NEUTRO</f>
        <v/>
      </c>
      <c r="BU187" s="3">
        <f>IFERROR(VLOOKUP(L187,SEGURO_TBL,3,0),"")</f>
        <v/>
      </c>
      <c r="BV187" s="3">
        <f>IF(BU187="",NEUTRO,MAX(0,MIN(100,100*(SEG_REF_MAX-BU187)/(SEG_REF_MAX-SEG_REF_MIN))))</f>
        <v/>
      </c>
      <c r="BW187" s="3">
        <f>W_ET*BS187+W_CONS*BT187+W_SEG*BV187</f>
        <v/>
      </c>
      <c r="BX187" s="3">
        <f>IF(N(AB187)&gt;0,AB187,IF(AND(R187="profesional",SG_LEGAL_ON=1),GAR_LEGAL,0))</f>
        <v/>
      </c>
      <c r="BY187" s="3">
        <f>SG_GAR*MIN(1,BX187/SG_GAR_FULL)+SG_AMPL*(AC187="sí")+SG_KMC*(AF187="sí")+SG_REV*(N(AE187)&gt;0)+SG_DEV*MIN(1,N(AG187)/SG_DEV_FULL)+SG_HIST*(W187="sí")</f>
        <v/>
      </c>
      <c r="BZ187" s="3">
        <f>IFERROR(VLOOKUP(L187,CARR_PEN_TBL,2,0),0)</f>
        <v/>
      </c>
      <c r="CA187" s="3">
        <f>W_FIAB*BL187+W_PRECIO*BM187+W_KMEDAD*BQ187+W_ANUNCIO*BR187+W_USO*BW187+W_SEGURIDAD*BY187-BZ187</f>
        <v/>
      </c>
      <c r="CB187" s="4">
        <f>IF(N(I187)&gt;0,I187,IFERROR(ROUND(_xlfn.NUMBERVALUE(LEFT(G187,FIND(" ",G187&amp;" ")-1),".")*1000,0),99999))</f>
        <v/>
      </c>
      <c r="CC187" s="3">
        <f>IF(R187="profesional",0,IF(O187&lt;CUOTA_VALOR_MAX,IF(AU187&gt;ITP_TRAMO_ALTO,SUMIFS(CF_CUOTA,CF_MAS,ITP_TRAMO_ALTO,CF_CCMIN,"&lt;="&amp;CB187,CF_CCMAX,"&gt;="&amp;CB187),IF(AU187&gt;ITP_TRAMO_BAJO,SUMIFS(CF_CUOTA,CF_MAS,ITP_TRAMO_BAJO,CF_CCMIN,"&lt;="&amp;CB187,CF_CCMAX,"&gt;="&amp;CB187),O187*ITP_TIPO)),O187*ITP_TIPO))</f>
        <v/>
      </c>
      <c r="CD187" s="4">
        <f>IF(R187="profesional",N(AK187),0)</f>
        <v/>
      </c>
      <c r="CE187" s="3">
        <f>IF(AND(R187="profesional",ISNUMBER(AK187),AL187="sí"),0,TASA_DGT)</f>
        <v/>
      </c>
      <c r="CF187" s="3">
        <f>INFORME_DGT</f>
        <v/>
      </c>
      <c r="CG187" s="4">
        <f>O187+CD187+CC187+CE187+CF187</f>
        <v/>
      </c>
      <c r="CH187" s="4">
        <f>CG187+N(BU187)</f>
        <v/>
      </c>
      <c r="CI187" s="3">
        <f>IF(CG187&lt;=TOTAL_MAX,"sí",IF(CG187&lt;=TOTAL_MAX+MARGEN_NEG,"negociar","no"))</f>
        <v/>
      </c>
      <c r="CJ187" s="4">
        <f>IF(CI187&lt;&gt;"no",COUNTIFS($CI$2:$CI$662,"&lt;&gt;no",$CA$2:$CA$662,"&gt;"&amp;CA187)+COUNTIFS($CI$2:CI187,"&lt;&gt;no",$CA$2:CA187,CA187),"")</f>
        <v/>
      </c>
    </row>
    <row r="188">
      <c r="A188" s="2" t="inlineStr">
        <is>
          <t>cochesnet:71662762</t>
        </is>
      </c>
      <c r="B188" s="2" t="inlineStr">
        <is>
          <t>cochesnet</t>
        </is>
      </c>
      <c r="C188" s="2" t="inlineStr">
        <is>
          <t>https://www.coches.net/ford-fiesta-15-tdci-75cv-trend-5p-5p-diesel-2011-en-valencia-71662762-covo.aspx</t>
        </is>
      </c>
      <c r="D188" s="2" t="inlineStr">
        <is>
          <t>FORD Fiesta 1.5 TDCi Trend</t>
        </is>
      </c>
      <c r="E188" s="2" t="inlineStr">
        <is>
          <t>Ford</t>
        </is>
      </c>
      <c r="F188" s="2" t="inlineStr">
        <is>
          <t>Ford Fiesta</t>
        </is>
      </c>
      <c r="G188" s="2" t="inlineStr">
        <is>
          <t>1.5 TDCi</t>
        </is>
      </c>
      <c r="H188" s="2" t="inlineStr">
        <is>
          <t>1.5 TDCi 75cv Trend 5p</t>
        </is>
      </c>
      <c r="I188" s="2" t="n"/>
      <c r="J188" s="2" t="n">
        <v>75</v>
      </c>
      <c r="K188" s="2" t="inlineStr">
        <is>
          <t>diesel</t>
        </is>
      </c>
      <c r="L188" s="2" t="inlineStr">
        <is>
          <t>utilitario</t>
        </is>
      </c>
      <c r="M188" s="2" t="n">
        <v>2011</v>
      </c>
      <c r="N188" s="2" t="n">
        <v>212000</v>
      </c>
      <c r="O188" s="2" t="n">
        <v>4500</v>
      </c>
      <c r="P188" s="2" t="inlineStr">
        <is>
          <t>manual</t>
        </is>
      </c>
      <c r="Q188" s="2" t="inlineStr">
        <is>
          <t>no</t>
        </is>
      </c>
      <c r="R188" s="2" t="inlineStr">
        <is>
          <t>particular</t>
        </is>
      </c>
      <c r="S188" s="2" t="inlineStr">
        <is>
          <t>Xàtiva</t>
        </is>
      </c>
      <c r="T188" s="2" t="inlineStr">
        <is>
          <t>2026-10-03T07:32:18Z</t>
        </is>
      </c>
      <c r="U188" s="2" t="n"/>
      <c r="V188" s="2" t="inlineStr">
        <is>
          <t>sí</t>
        </is>
      </c>
      <c r="W188" s="2" t="n"/>
      <c r="X188" s="2" t="n"/>
      <c r="Y188" s="2" t="n"/>
      <c r="Z188" s="2" t="inlineStr">
        <is>
          <t>no</t>
        </is>
      </c>
      <c r="AA188" s="2" t="n"/>
      <c r="AB188" s="2" t="n"/>
      <c r="AC188" s="2" t="n"/>
      <c r="AD188" s="2" t="n"/>
      <c r="AE188" s="2" t="n"/>
      <c r="AF188" s="2" t="n"/>
      <c r="AG188" s="2" t="n"/>
      <c r="AH188" s="2" t="n">
        <v>4500</v>
      </c>
      <c r="AI188" s="2" t="n"/>
      <c r="AJ188" s="2" t="n"/>
      <c r="AK188" s="2" t="n"/>
      <c r="AL188" s="2" t="n"/>
      <c r="AM188" s="2" t="n">
        <v>55.4</v>
      </c>
      <c r="AN188" s="2" t="n">
        <v>3500</v>
      </c>
      <c r="AO188" s="2" t="n">
        <v>13</v>
      </c>
      <c r="AP188" s="2" t="inlineStr">
        <is>
          <t>modelo+año+km</t>
        </is>
      </c>
      <c r="AQ188" s="2" t="n"/>
      <c r="AR188" s="2" t="inlineStr">
        <is>
          <t>cuota fija ITP: &gt;12 años, hasta 1.500 cc; diésel: motor sin fuente de fiabilidad (fiabilidad limitada a neutra)</t>
        </is>
      </c>
      <c r="AS188" s="2" t="inlineStr">
        <is>
          <t>Vendo ford fiesta del 2011. Coche muy bien cuidado, revisión recién hecha con cambio de aceite y ruedas cambiadas. Itv en vigor. Con un consumo muy bajo</t>
        </is>
      </c>
      <c r="AT188" s="2" t="inlineStr">
        <is>
          <t>https://www.coches.net/ford-fiesta-15-tdci-75cv-trend-5p-5p-diesel-2011-en-valencia-71662762-covo.aspx (window.__INITIAL_PROPS__.ad) /home/user/Alopecia/buscador-coches/raw/cochesnet/959794a6f3e68f1b.json</t>
        </is>
      </c>
      <c r="AU188" s="3">
        <f>MAX(ANIO_ACTUAL-M188,0)</f>
        <v/>
      </c>
      <c r="AV188" s="4">
        <f>N188/MAX(AU188,0.5)</f>
        <v/>
      </c>
      <c r="AW188" s="4">
        <f>F188</f>
        <v/>
      </c>
      <c r="AX188" s="3">
        <f>AW188&amp;"|"&amp;INT(M188/SEG_ANIO)*SEG_ANIO</f>
        <v/>
      </c>
      <c r="AY188" s="3">
        <f>AX188&amp;"|"&amp;INT(N188/SEG_KM)*SEG_KM</f>
        <v/>
      </c>
      <c r="AZ188" s="4">
        <f>COUNTIF($AW$2:$AW$662,AW188)</f>
        <v/>
      </c>
      <c r="BA188" s="4">
        <f>COUNTIF($AX$2:$AX$662,AX188)</f>
        <v/>
      </c>
      <c r="BB188" s="4">
        <f>COUNTIF($AY$2:$AY$662,AY188)</f>
        <v/>
      </c>
      <c r="BC188" s="3">
        <f t="array" ref="BC188">IF(N(AO188)&gt;=MIN_N,AN188,IF(BB188&gt;=MIN_N,MEDIAN(IF($AY$2:$AY$662=AY188,$O$2:$O$662)),IF(BA188&gt;=MIN_N,MEDIAN(IF($AX$2:$AX$662=AX188,$O$2:$O$662)),MEDIAN(IF($AW$2:$AW$662=AW188,$O$2:$O$662)))))</f>
        <v/>
      </c>
      <c r="BD188" s="3">
        <f>IF(N(AO188)&gt;=MIN_N,"mercado "&amp;AP188,IF(BB188&gt;=MIN_N,"modelo+año+km",IF(BA188&gt;=MIN_N,"modelo+año","modelo")))</f>
        <v/>
      </c>
      <c r="BE188" s="4">
        <f>(BC188-O188)/BC188</f>
        <v/>
      </c>
      <c r="BF188" s="3">
        <f>IF(OR(K188="hibrido",K188="glp"),"ECO",IF(K188="electrico","CERO",IF(K188="gasolina",IF(M188&gt;=GAS_C,"C",IF(M188&gt;=GAS_B,"B","A")),IF(K188="diesel",IF(M188&gt;=DIE_C,"C",IF(M188&gt;=DIE_B,"B","A")),""))))</f>
        <v/>
      </c>
      <c r="BG188" s="3">
        <f>IFERROR(VLOOKUP(F188,MOD_TBL,11,0),IFERROR(VLOOKUP(E188,OCU_TBL,2,0),NEUTRO))</f>
        <v/>
      </c>
      <c r="BH188" s="3">
        <f>SUMIFS(MOT_AJUSTE,MOT_MOTOR,G188,MOT_MARCA,E188,MOT_DESDE,"&lt;="&amp;M188,MOT_HASTA,"&gt;="&amp;M188)+SUMIFS(MOT_AJUSTE,MOT_MOTOR,G188,MOT_MARCA,"(todas)",MOT_DESDE,"&lt;="&amp;M188,MOT_HASTA,"&gt;="&amp;M188)</f>
        <v/>
      </c>
      <c r="BI188" s="3">
        <f>SUMIFS(COMB_AJUSTE,COMB_COMB,K188)</f>
        <v/>
      </c>
      <c r="BJ188" s="3">
        <f>COUNTIFS(MOT_MOTOR,G188,MOT_MARCA,E188,MOT_DESDE,"&lt;="&amp;M188,MOT_HASTA,"&gt;="&amp;M188)+COUNTIFS(MOT_MOTOR,G188,MOT_MARCA,"(todas)",MOT_DESDE,"&lt;="&amp;M188,MOT_HASTA,"&gt;="&amp;M188)</f>
        <v/>
      </c>
      <c r="BK188" s="3">
        <f>IF(AND(K188="diesel",BJ188=0),MIN(BG188,NEUTRO),BG188)</f>
        <v/>
      </c>
      <c r="BL188" s="4">
        <f>MAX(0,MIN(100,BK188+BH188+BI188))</f>
        <v/>
      </c>
      <c r="BM188" s="3">
        <f>MAX(0,MIN(100,50+BE188*PRECIO_PEND))</f>
        <v/>
      </c>
      <c r="BN188" s="3">
        <f>MAX(0,100*(1-N188/KM_MAX))</f>
        <v/>
      </c>
      <c r="BO188" s="3">
        <f>IF(AV188&lt;KMA_SOSP,IF(AA188="sí",100,KMA_PEN),IF(AV188&lt;=KMA_IDEAL_MAX,100,MAX(0,100*(KMA_CERO-AV188)/(KMA_CERO-KMA_IDEAL_MAX))))</f>
        <v/>
      </c>
      <c r="BP188" s="3">
        <f>MAX(0,MIN(100,100*(M188-ANIO_MIN)/(ANIO_ACTUAL-ANIO_MIN)))</f>
        <v/>
      </c>
      <c r="BQ188" s="3">
        <f>W_KMT*BN188+W_KMA*BO188+W_EDAD*BP188</f>
        <v/>
      </c>
      <c r="BR188" s="3">
        <f>P_ITV*(V188="sí")+P_LIBRO*(W188="sí")+P_CORREA*(X188="sí")+P_PROP*(Y188=1)+P_GAR*(Z188="sí")+P_FOTOS*MIN(1,N(U188)/FOTOS_OBJ)</f>
        <v/>
      </c>
      <c r="BS188" s="3">
        <f>IFERROR(VLOOKUP(BF188,ETQ_TBL,2,0),NEUTRO)</f>
        <v/>
      </c>
      <c r="BT188" s="3">
        <f>NEUTRO</f>
        <v/>
      </c>
      <c r="BU188" s="3">
        <f>IFERROR(VLOOKUP(L188,SEGURO_TBL,3,0),"")</f>
        <v/>
      </c>
      <c r="BV188" s="3">
        <f>IF(BU188="",NEUTRO,MAX(0,MIN(100,100*(SEG_REF_MAX-BU188)/(SEG_REF_MAX-SEG_REF_MIN))))</f>
        <v/>
      </c>
      <c r="BW188" s="3">
        <f>W_ET*BS188+W_CONS*BT188+W_SEG*BV188</f>
        <v/>
      </c>
      <c r="BX188" s="3">
        <f>IF(N(AB188)&gt;0,AB188,IF(AND(R188="profesional",SG_LEGAL_ON=1),GAR_LEGAL,0))</f>
        <v/>
      </c>
      <c r="BY188" s="3">
        <f>SG_GAR*MIN(1,BX188/SG_GAR_FULL)+SG_AMPL*(AC188="sí")+SG_KMC*(AF188="sí")+SG_REV*(N(AE188)&gt;0)+SG_DEV*MIN(1,N(AG188)/SG_DEV_FULL)+SG_HIST*(W188="sí")</f>
        <v/>
      </c>
      <c r="BZ188" s="3">
        <f>IFERROR(VLOOKUP(L188,CARR_PEN_TBL,2,0),0)</f>
        <v/>
      </c>
      <c r="CA188" s="3">
        <f>W_FIAB*BL188+W_PRECIO*BM188+W_KMEDAD*BQ188+W_ANUNCIO*BR188+W_USO*BW188+W_SEGURIDAD*BY188-BZ188</f>
        <v/>
      </c>
      <c r="CB188" s="4">
        <f>IF(N(I188)&gt;0,I188,IFERROR(ROUND(_xlfn.NUMBERVALUE(LEFT(G188,FIND(" ",G188&amp;" ")-1),".")*1000,0),99999))</f>
        <v/>
      </c>
      <c r="CC188" s="3">
        <f>IF(R188="profesional",0,IF(O188&lt;CUOTA_VALOR_MAX,IF(AU188&gt;ITP_TRAMO_ALTO,SUMIFS(CF_CUOTA,CF_MAS,ITP_TRAMO_ALTO,CF_CCMIN,"&lt;="&amp;CB188,CF_CCMAX,"&gt;="&amp;CB188),IF(AU188&gt;ITP_TRAMO_BAJO,SUMIFS(CF_CUOTA,CF_MAS,ITP_TRAMO_BAJO,CF_CCMIN,"&lt;="&amp;CB188,CF_CCMAX,"&gt;="&amp;CB188),O188*ITP_TIPO)),O188*ITP_TIPO))</f>
        <v/>
      </c>
      <c r="CD188" s="4">
        <f>IF(R188="profesional",N(AK188),0)</f>
        <v/>
      </c>
      <c r="CE188" s="3">
        <f>IF(AND(R188="profesional",ISNUMBER(AK188),AL188="sí"),0,TASA_DGT)</f>
        <v/>
      </c>
      <c r="CF188" s="3">
        <f>INFORME_DGT</f>
        <v/>
      </c>
      <c r="CG188" s="4">
        <f>O188+CD188+CC188+CE188+CF188</f>
        <v/>
      </c>
      <c r="CH188" s="4">
        <f>CG188+N(BU188)</f>
        <v/>
      </c>
      <c r="CI188" s="3">
        <f>IF(CG188&lt;=TOTAL_MAX,"sí",IF(CG188&lt;=TOTAL_MAX+MARGEN_NEG,"negociar","no"))</f>
        <v/>
      </c>
      <c r="CJ188" s="4">
        <f>IF(CI188&lt;&gt;"no",COUNTIFS($CI$2:$CI$662,"&lt;&gt;no",$CA$2:$CA$662,"&gt;"&amp;CA188)+COUNTIFS($CI$2:CI188,"&lt;&gt;no",$CA$2:CA188,CA188),"")</f>
        <v/>
      </c>
    </row>
    <row r="189">
      <c r="A189" s="2" t="inlineStr">
        <is>
          <t>cochesnet:71497287</t>
        </is>
      </c>
      <c r="B189" s="2" t="inlineStr">
        <is>
          <t>cochesnet</t>
        </is>
      </c>
      <c r="C189" s="2" t="inlineStr">
        <is>
          <t>https://www.coches.net/ford-fiesta-diesel-2010-en-valencia-71497287-covo.aspx</t>
        </is>
      </c>
      <c r="D189" s="2" t="inlineStr">
        <is>
          <t>FORD Fiesta</t>
        </is>
      </c>
      <c r="E189" s="2" t="inlineStr">
        <is>
          <t>Ford</t>
        </is>
      </c>
      <c r="F189" s="2" t="inlineStr">
        <is>
          <t>Ford Fiesta</t>
        </is>
      </c>
      <c r="G189" s="2" t="n"/>
      <c r="H189" s="2" t="n"/>
      <c r="I189" s="2" t="n"/>
      <c r="J189" s="2" t="n"/>
      <c r="K189" s="2" t="inlineStr">
        <is>
          <t>diesel</t>
        </is>
      </c>
      <c r="L189" s="2" t="inlineStr">
        <is>
          <t>utilitario</t>
        </is>
      </c>
      <c r="M189" s="2" t="n">
        <v>2010</v>
      </c>
      <c r="N189" s="2" t="n">
        <v>201000</v>
      </c>
      <c r="O189" s="2" t="n">
        <v>2900</v>
      </c>
      <c r="P189" s="2" t="inlineStr">
        <is>
          <t>manual</t>
        </is>
      </c>
      <c r="Q189" s="2" t="inlineStr">
        <is>
          <t>no</t>
        </is>
      </c>
      <c r="R189" s="2" t="inlineStr">
        <is>
          <t>particular</t>
        </is>
      </c>
      <c r="S189" s="2" t="inlineStr">
        <is>
          <t>Beniflá</t>
        </is>
      </c>
      <c r="T189" s="2" t="inlineStr">
        <is>
          <t>2026-09-12T04:53:23Z</t>
        </is>
      </c>
      <c r="U189" s="2" t="n">
        <v>8</v>
      </c>
      <c r="V189" s="2" t="inlineStr">
        <is>
          <t>sí</t>
        </is>
      </c>
      <c r="W189" s="2" t="n"/>
      <c r="X189" s="2" t="n"/>
      <c r="Y189" s="2" t="n"/>
      <c r="Z189" s="2" t="inlineStr">
        <is>
          <t>no</t>
        </is>
      </c>
      <c r="AA189" s="2" t="n"/>
      <c r="AB189" s="2" t="n"/>
      <c r="AC189" s="2" t="n"/>
      <c r="AD189" s="2" t="n"/>
      <c r="AE189" s="2" t="n"/>
      <c r="AF189" s="2" t="n"/>
      <c r="AG189" s="2" t="n"/>
      <c r="AH189" s="2" t="n">
        <v>2900</v>
      </c>
      <c r="AI189" s="2" t="n"/>
      <c r="AJ189" s="2" t="n"/>
      <c r="AK189" s="2" t="n"/>
      <c r="AL189" s="2" t="n"/>
      <c r="AM189" s="2" t="n">
        <v>62.6</v>
      </c>
      <c r="AN189" s="2" t="n">
        <v>3500</v>
      </c>
      <c r="AO189" s="2" t="n">
        <v>13</v>
      </c>
      <c r="AP189" s="2" t="inlineStr">
        <is>
          <t>modelo+año+km</t>
        </is>
      </c>
      <c r="AQ189" s="2" t="inlineStr">
        <is>
          <t>wallapop:1304021957 (https://es.wallapop.com/item/ford-fiesta-2010-1304021957)</t>
        </is>
      </c>
      <c r="AR189" s="2" t="inlineStr">
        <is>
          <t>cilindrada desconocida: se aplica el tramo de cuota fija más alto; cuota fija ITP: &gt;12 años, más de 2.000 cc; diésel: motor sin fuente de fiabilidad (fiabilidad limitada a neutra)</t>
        </is>
      </c>
      <c r="AS189" s="2" t="inlineStr">
        <is>
          <t>Tiene ITV hasta noviembre, funciona perfecto. Sus únicos problemas son de chapa y pintura como se observa en la foto y la botonera de la radio.</t>
        </is>
      </c>
      <c r="AT189" s="2" t="inlineStr">
        <is>
          <t>https://www.coches.net/ford-fiesta-diesel-2010-en-valencia-71497287-covo.aspx (window.__INITIAL_PROPS__.ad) /home/user/Alopecia/buscador-coches/raw/cochesnet/e9d73573d20c5f46.json</t>
        </is>
      </c>
      <c r="AU189" s="3">
        <f>MAX(ANIO_ACTUAL-M189,0)</f>
        <v/>
      </c>
      <c r="AV189" s="4">
        <f>N189/MAX(AU189,0.5)</f>
        <v/>
      </c>
      <c r="AW189" s="4">
        <f>F189</f>
        <v/>
      </c>
      <c r="AX189" s="3">
        <f>AW189&amp;"|"&amp;INT(M189/SEG_ANIO)*SEG_ANIO</f>
        <v/>
      </c>
      <c r="AY189" s="3">
        <f>AX189&amp;"|"&amp;INT(N189/SEG_KM)*SEG_KM</f>
        <v/>
      </c>
      <c r="AZ189" s="4">
        <f>COUNTIF($AW$2:$AW$662,AW189)</f>
        <v/>
      </c>
      <c r="BA189" s="4">
        <f>COUNTIF($AX$2:$AX$662,AX189)</f>
        <v/>
      </c>
      <c r="BB189" s="4">
        <f>COUNTIF($AY$2:$AY$662,AY189)</f>
        <v/>
      </c>
      <c r="BC189" s="3">
        <f t="array" ref="BC189">IF(N(AO189)&gt;=MIN_N,AN189,IF(BB189&gt;=MIN_N,MEDIAN(IF($AY$2:$AY$662=AY189,$O$2:$O$662)),IF(BA189&gt;=MIN_N,MEDIAN(IF($AX$2:$AX$662=AX189,$O$2:$O$662)),MEDIAN(IF($AW$2:$AW$662=AW189,$O$2:$O$662)))))</f>
        <v/>
      </c>
      <c r="BD189" s="3">
        <f>IF(N(AO189)&gt;=MIN_N,"mercado "&amp;AP189,IF(BB189&gt;=MIN_N,"modelo+año+km",IF(BA189&gt;=MIN_N,"modelo+año","modelo")))</f>
        <v/>
      </c>
      <c r="BE189" s="4">
        <f>(BC189-O189)/BC189</f>
        <v/>
      </c>
      <c r="BF189" s="3">
        <f>IF(OR(K189="hibrido",K189="glp"),"ECO",IF(K189="electrico","CERO",IF(K189="gasolina",IF(M189&gt;=GAS_C,"C",IF(M189&gt;=GAS_B,"B","A")),IF(K189="diesel",IF(M189&gt;=DIE_C,"C",IF(M189&gt;=DIE_B,"B","A")),""))))</f>
        <v/>
      </c>
      <c r="BG189" s="3">
        <f>IFERROR(VLOOKUP(F189,MOD_TBL,11,0),IFERROR(VLOOKUP(E189,OCU_TBL,2,0),NEUTRO))</f>
        <v/>
      </c>
      <c r="BH189" s="3">
        <f>SUMIFS(MOT_AJUSTE,MOT_MOTOR,G189,MOT_MARCA,E189,MOT_DESDE,"&lt;="&amp;M189,MOT_HASTA,"&gt;="&amp;M189)+SUMIFS(MOT_AJUSTE,MOT_MOTOR,G189,MOT_MARCA,"(todas)",MOT_DESDE,"&lt;="&amp;M189,MOT_HASTA,"&gt;="&amp;M189)</f>
        <v/>
      </c>
      <c r="BI189" s="3">
        <f>SUMIFS(COMB_AJUSTE,COMB_COMB,K189)</f>
        <v/>
      </c>
      <c r="BJ189" s="3">
        <f>COUNTIFS(MOT_MOTOR,G189,MOT_MARCA,E189,MOT_DESDE,"&lt;="&amp;M189,MOT_HASTA,"&gt;="&amp;M189)+COUNTIFS(MOT_MOTOR,G189,MOT_MARCA,"(todas)",MOT_DESDE,"&lt;="&amp;M189,MOT_HASTA,"&gt;="&amp;M189)</f>
        <v/>
      </c>
      <c r="BK189" s="3">
        <f>IF(AND(K189="diesel",BJ189=0),MIN(BG189,NEUTRO),BG189)</f>
        <v/>
      </c>
      <c r="BL189" s="4">
        <f>MAX(0,MIN(100,BK189+BH189+BI189))</f>
        <v/>
      </c>
      <c r="BM189" s="3">
        <f>MAX(0,MIN(100,50+BE189*PRECIO_PEND))</f>
        <v/>
      </c>
      <c r="BN189" s="3">
        <f>MAX(0,100*(1-N189/KM_MAX))</f>
        <v/>
      </c>
      <c r="BO189" s="3">
        <f>IF(AV189&lt;KMA_SOSP,IF(AA189="sí",100,KMA_PEN),IF(AV189&lt;=KMA_IDEAL_MAX,100,MAX(0,100*(KMA_CERO-AV189)/(KMA_CERO-KMA_IDEAL_MAX))))</f>
        <v/>
      </c>
      <c r="BP189" s="3">
        <f>MAX(0,MIN(100,100*(M189-ANIO_MIN)/(ANIO_ACTUAL-ANIO_MIN)))</f>
        <v/>
      </c>
      <c r="BQ189" s="3">
        <f>W_KMT*BN189+W_KMA*BO189+W_EDAD*BP189</f>
        <v/>
      </c>
      <c r="BR189" s="3">
        <f>P_ITV*(V189="sí")+P_LIBRO*(W189="sí")+P_CORREA*(X189="sí")+P_PROP*(Y189=1)+P_GAR*(Z189="sí")+P_FOTOS*MIN(1,N(U189)/FOTOS_OBJ)</f>
        <v/>
      </c>
      <c r="BS189" s="3">
        <f>IFERROR(VLOOKUP(BF189,ETQ_TBL,2,0),NEUTRO)</f>
        <v/>
      </c>
      <c r="BT189" s="3">
        <f>NEUTRO</f>
        <v/>
      </c>
      <c r="BU189" s="3">
        <f>IFERROR(VLOOKUP(L189,SEGURO_TBL,3,0),"")</f>
        <v/>
      </c>
      <c r="BV189" s="3">
        <f>IF(BU189="",NEUTRO,MAX(0,MIN(100,100*(SEG_REF_MAX-BU189)/(SEG_REF_MAX-SEG_REF_MIN))))</f>
        <v/>
      </c>
      <c r="BW189" s="3">
        <f>W_ET*BS189+W_CONS*BT189+W_SEG*BV189</f>
        <v/>
      </c>
      <c r="BX189" s="3">
        <f>IF(N(AB189)&gt;0,AB189,IF(AND(R189="profesional",SG_LEGAL_ON=1),GAR_LEGAL,0))</f>
        <v/>
      </c>
      <c r="BY189" s="3">
        <f>SG_GAR*MIN(1,BX189/SG_GAR_FULL)+SG_AMPL*(AC189="sí")+SG_KMC*(AF189="sí")+SG_REV*(N(AE189)&gt;0)+SG_DEV*MIN(1,N(AG189)/SG_DEV_FULL)+SG_HIST*(W189="sí")</f>
        <v/>
      </c>
      <c r="BZ189" s="3">
        <f>IFERROR(VLOOKUP(L189,CARR_PEN_TBL,2,0),0)</f>
        <v/>
      </c>
      <c r="CA189" s="3">
        <f>W_FIAB*BL189+W_PRECIO*BM189+W_KMEDAD*BQ189+W_ANUNCIO*BR189+W_USO*BW189+W_SEGURIDAD*BY189-BZ189</f>
        <v/>
      </c>
      <c r="CB189" s="4">
        <f>IF(N(I189)&gt;0,I189,IFERROR(ROUND(_xlfn.NUMBERVALUE(LEFT(G189,FIND(" ",G189&amp;" ")-1),".")*1000,0),99999))</f>
        <v/>
      </c>
      <c r="CC189" s="3">
        <f>IF(R189="profesional",0,IF(O189&lt;CUOTA_VALOR_MAX,IF(AU189&gt;ITP_TRAMO_ALTO,SUMIFS(CF_CUOTA,CF_MAS,ITP_TRAMO_ALTO,CF_CCMIN,"&lt;="&amp;CB189,CF_CCMAX,"&gt;="&amp;CB189),IF(AU189&gt;ITP_TRAMO_BAJO,SUMIFS(CF_CUOTA,CF_MAS,ITP_TRAMO_BAJO,CF_CCMIN,"&lt;="&amp;CB189,CF_CCMAX,"&gt;="&amp;CB189),O189*ITP_TIPO)),O189*ITP_TIPO))</f>
        <v/>
      </c>
      <c r="CD189" s="4">
        <f>IF(R189="profesional",N(AK189),0)</f>
        <v/>
      </c>
      <c r="CE189" s="3">
        <f>IF(AND(R189="profesional",ISNUMBER(AK189),AL189="sí"),0,TASA_DGT)</f>
        <v/>
      </c>
      <c r="CF189" s="3">
        <f>INFORME_DGT</f>
        <v/>
      </c>
      <c r="CG189" s="4">
        <f>O189+CD189+CC189+CE189+CF189</f>
        <v/>
      </c>
      <c r="CH189" s="4">
        <f>CG189+N(BU189)</f>
        <v/>
      </c>
      <c r="CI189" s="3">
        <f>IF(CG189&lt;=TOTAL_MAX,"sí",IF(CG189&lt;=TOTAL_MAX+MARGEN_NEG,"negociar","no"))</f>
        <v/>
      </c>
      <c r="CJ189" s="4">
        <f>IF(CI189&lt;&gt;"no",COUNTIFS($CI$2:$CI$662,"&lt;&gt;no",$CA$2:$CA$662,"&gt;"&amp;CA189)+COUNTIFS($CI$2:CI189,"&lt;&gt;no",$CA$2:CA189,CA189),"")</f>
        <v/>
      </c>
    </row>
    <row r="190">
      <c r="A190" s="2" t="inlineStr">
        <is>
          <t>cochesnet:71399583</t>
        </is>
      </c>
      <c r="B190" s="2" t="inlineStr">
        <is>
          <t>cochesnet</t>
        </is>
      </c>
      <c r="C190" s="2" t="inlineStr">
        <is>
          <t>https://www.coches.net/ford-fiesta-diesel-2011-en-valencia-71399583-covo.aspx</t>
        </is>
      </c>
      <c r="D190" s="2" t="inlineStr">
        <is>
          <t>FORD Fiesta</t>
        </is>
      </c>
      <c r="E190" s="2" t="inlineStr">
        <is>
          <t>Ford</t>
        </is>
      </c>
      <c r="F190" s="2" t="inlineStr">
        <is>
          <t>Ford Fiesta</t>
        </is>
      </c>
      <c r="G190" s="2" t="n"/>
      <c r="H190" s="2" t="n"/>
      <c r="I190" s="2" t="n"/>
      <c r="J190" s="2" t="n"/>
      <c r="K190" s="2" t="inlineStr">
        <is>
          <t>diesel</t>
        </is>
      </c>
      <c r="L190" s="2" t="inlineStr">
        <is>
          <t>utilitario</t>
        </is>
      </c>
      <c r="M190" s="2" t="n">
        <v>2011</v>
      </c>
      <c r="N190" s="2" t="n">
        <v>212000</v>
      </c>
      <c r="O190" s="2" t="n">
        <v>4200</v>
      </c>
      <c r="P190" s="2" t="inlineStr">
        <is>
          <t>manual</t>
        </is>
      </c>
      <c r="Q190" s="2" t="inlineStr">
        <is>
          <t>no</t>
        </is>
      </c>
      <c r="R190" s="2" t="inlineStr">
        <is>
          <t>particular</t>
        </is>
      </c>
      <c r="S190" s="2" t="n"/>
      <c r="T190" s="2" t="inlineStr">
        <is>
          <t>2026-08-31T09:41:42Z</t>
        </is>
      </c>
      <c r="U190" s="2" t="n">
        <v>4</v>
      </c>
      <c r="V190" s="2" t="inlineStr">
        <is>
          <t>sí</t>
        </is>
      </c>
      <c r="W190" s="2" t="inlineStr">
        <is>
          <t>sí</t>
        </is>
      </c>
      <c r="X190" s="2" t="n"/>
      <c r="Y190" s="2" t="n"/>
      <c r="Z190" s="2" t="inlineStr">
        <is>
          <t>no</t>
        </is>
      </c>
      <c r="AA190" s="2" t="n"/>
      <c r="AB190" s="2" t="n"/>
      <c r="AC190" s="2" t="n"/>
      <c r="AD190" s="2" t="n"/>
      <c r="AE190" s="2" t="n"/>
      <c r="AF190" s="2" t="n"/>
      <c r="AG190" s="2" t="n"/>
      <c r="AH190" s="2" t="n">
        <v>4200</v>
      </c>
      <c r="AI190" s="2" t="n"/>
      <c r="AJ190" s="2" t="n"/>
      <c r="AK190" s="2" t="n"/>
      <c r="AL190" s="2" t="n"/>
      <c r="AM190" s="2" t="n"/>
      <c r="AN190" s="2" t="n">
        <v>3500</v>
      </c>
      <c r="AO190" s="2" t="n">
        <v>13</v>
      </c>
      <c r="AP190" s="2" t="inlineStr">
        <is>
          <t>modelo+año+km</t>
        </is>
      </c>
      <c r="AQ190" s="2" t="n"/>
      <c r="AR19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90" s="2" t="inlineStr">
        <is>
          <t>Buscas un coche fiable, ágil y que no te arruine en la gasolinera? 
Vendo Ford Fiesta del año 2011 en un estado impecable para sus años. Mimado al detalle, durmiendo en garaje y con todo el mantenimiento al día.
Es el coche ideal tanto para el día a día en ciudad (se aparca en cualquier sitio) como para conductores noveles o personas que busquen un utilitario duro, económico de mantener y con etiqueta ambiental para circular sin problemas.
- Motor 70 CV: Muy duro, mecánicamente súper fiable y con un consumo ridículo (ronda los 4-5 L/100 km).
 - Mantenimiento al día: Aceite, filtros y revisiones al dia. Ruedas terminadas de cambiar. ITV en vigor. 
 - Equipamiento práctico: Aire acondicionado (enfría perfecto), dirección asistida, elevalunas eléctricos, cierre centralizado y radio CD/MP3 con entrada auxiliar.</t>
        </is>
      </c>
      <c r="AT190" s="2" t="inlineStr">
        <is>
          <t>https://www.coches.net/ford-fiesta-diesel-2011-en-valencia-71399583-covo.aspx (window.__INITIAL_PROPS__.ad) /home/user/Alopecia/buscador-coches/raw/cochesnet/54ac8203a591f873.json</t>
        </is>
      </c>
      <c r="AU190" s="3">
        <f>MAX(ANIO_ACTUAL-M190,0)</f>
        <v/>
      </c>
      <c r="AV190" s="4">
        <f>N190/MAX(AU190,0.5)</f>
        <v/>
      </c>
      <c r="AW190" s="4">
        <f>F190</f>
        <v/>
      </c>
      <c r="AX190" s="3">
        <f>AW190&amp;"|"&amp;INT(M190/SEG_ANIO)*SEG_ANIO</f>
        <v/>
      </c>
      <c r="AY190" s="3">
        <f>AX190&amp;"|"&amp;INT(N190/SEG_KM)*SEG_KM</f>
        <v/>
      </c>
      <c r="AZ190" s="4">
        <f>COUNTIF($AW$2:$AW$662,AW190)</f>
        <v/>
      </c>
      <c r="BA190" s="4">
        <f>COUNTIF($AX$2:$AX$662,AX190)</f>
        <v/>
      </c>
      <c r="BB190" s="4">
        <f>COUNTIF($AY$2:$AY$662,AY190)</f>
        <v/>
      </c>
      <c r="BC190" s="3">
        <f t="array" ref="BC190">IF(N(AO190)&gt;=MIN_N,AN190,IF(BB190&gt;=MIN_N,MEDIAN(IF($AY$2:$AY$662=AY190,$O$2:$O$662)),IF(BA190&gt;=MIN_N,MEDIAN(IF($AX$2:$AX$662=AX190,$O$2:$O$662)),MEDIAN(IF($AW$2:$AW$662=AW190,$O$2:$O$662)))))</f>
        <v/>
      </c>
      <c r="BD190" s="3">
        <f>IF(N(AO190)&gt;=MIN_N,"mercado "&amp;AP190,IF(BB190&gt;=MIN_N,"modelo+año+km",IF(BA190&gt;=MIN_N,"modelo+año","modelo")))</f>
        <v/>
      </c>
      <c r="BE190" s="4">
        <f>(BC190-O190)/BC190</f>
        <v/>
      </c>
      <c r="BF190" s="3">
        <f>IF(OR(K190="hibrido",K190="glp"),"ECO",IF(K190="electrico","CERO",IF(K190="gasolina",IF(M190&gt;=GAS_C,"C",IF(M190&gt;=GAS_B,"B","A")),IF(K190="diesel",IF(M190&gt;=DIE_C,"C",IF(M190&gt;=DIE_B,"B","A")),""))))</f>
        <v/>
      </c>
      <c r="BG190" s="3">
        <f>IFERROR(VLOOKUP(F190,MOD_TBL,11,0),IFERROR(VLOOKUP(E190,OCU_TBL,2,0),NEUTRO))</f>
        <v/>
      </c>
      <c r="BH190" s="3">
        <f>SUMIFS(MOT_AJUSTE,MOT_MOTOR,G190,MOT_MARCA,E190,MOT_DESDE,"&lt;="&amp;M190,MOT_HASTA,"&gt;="&amp;M190)+SUMIFS(MOT_AJUSTE,MOT_MOTOR,G190,MOT_MARCA,"(todas)",MOT_DESDE,"&lt;="&amp;M190,MOT_HASTA,"&gt;="&amp;M190)</f>
        <v/>
      </c>
      <c r="BI190" s="3">
        <f>SUMIFS(COMB_AJUSTE,COMB_COMB,K190)</f>
        <v/>
      </c>
      <c r="BJ190" s="3">
        <f>COUNTIFS(MOT_MOTOR,G190,MOT_MARCA,E190,MOT_DESDE,"&lt;="&amp;M190,MOT_HASTA,"&gt;="&amp;M190)+COUNTIFS(MOT_MOTOR,G190,MOT_MARCA,"(todas)",MOT_DESDE,"&lt;="&amp;M190,MOT_HASTA,"&gt;="&amp;M190)</f>
        <v/>
      </c>
      <c r="BK190" s="3">
        <f>IF(AND(K190="diesel",BJ190=0),MIN(BG190,NEUTRO),BG190)</f>
        <v/>
      </c>
      <c r="BL190" s="4">
        <f>MAX(0,MIN(100,BK190+BH190+BI190))</f>
        <v/>
      </c>
      <c r="BM190" s="3">
        <f>MAX(0,MIN(100,50+BE190*PRECIO_PEND))</f>
        <v/>
      </c>
      <c r="BN190" s="3">
        <f>MAX(0,100*(1-N190/KM_MAX))</f>
        <v/>
      </c>
      <c r="BO190" s="3">
        <f>IF(AV190&lt;KMA_SOSP,IF(AA190="sí",100,KMA_PEN),IF(AV190&lt;=KMA_IDEAL_MAX,100,MAX(0,100*(KMA_CERO-AV190)/(KMA_CERO-KMA_IDEAL_MAX))))</f>
        <v/>
      </c>
      <c r="BP190" s="3">
        <f>MAX(0,MIN(100,100*(M190-ANIO_MIN)/(ANIO_ACTUAL-ANIO_MIN)))</f>
        <v/>
      </c>
      <c r="BQ190" s="3">
        <f>W_KMT*BN190+W_KMA*BO190+W_EDAD*BP190</f>
        <v/>
      </c>
      <c r="BR190" s="3">
        <f>P_ITV*(V190="sí")+P_LIBRO*(W190="sí")+P_CORREA*(X190="sí")+P_PROP*(Y190=1)+P_GAR*(Z190="sí")+P_FOTOS*MIN(1,N(U190)/FOTOS_OBJ)</f>
        <v/>
      </c>
      <c r="BS190" s="3">
        <f>IFERROR(VLOOKUP(BF190,ETQ_TBL,2,0),NEUTRO)</f>
        <v/>
      </c>
      <c r="BT190" s="3">
        <f>NEUTRO</f>
        <v/>
      </c>
      <c r="BU190" s="3">
        <f>IFERROR(VLOOKUP(L190,SEGURO_TBL,3,0),"")</f>
        <v/>
      </c>
      <c r="BV190" s="3">
        <f>IF(BU190="",NEUTRO,MAX(0,MIN(100,100*(SEG_REF_MAX-BU190)/(SEG_REF_MAX-SEG_REF_MIN))))</f>
        <v/>
      </c>
      <c r="BW190" s="3">
        <f>W_ET*BS190+W_CONS*BT190+W_SEG*BV190</f>
        <v/>
      </c>
      <c r="BX190" s="3">
        <f>IF(N(AB190)&gt;0,AB190,IF(AND(R190="profesional",SG_LEGAL_ON=1),GAR_LEGAL,0))</f>
        <v/>
      </c>
      <c r="BY190" s="3">
        <f>SG_GAR*MIN(1,BX190/SG_GAR_FULL)+SG_AMPL*(AC190="sí")+SG_KMC*(AF190="sí")+SG_REV*(N(AE190)&gt;0)+SG_DEV*MIN(1,N(AG190)/SG_DEV_FULL)+SG_HIST*(W190="sí")</f>
        <v/>
      </c>
      <c r="BZ190" s="3">
        <f>IFERROR(VLOOKUP(L190,CARR_PEN_TBL,2,0),0)</f>
        <v/>
      </c>
      <c r="CA190" s="3">
        <f>W_FIAB*BL190+W_PRECIO*BM190+W_KMEDAD*BQ190+W_ANUNCIO*BR190+W_USO*BW190+W_SEGURIDAD*BY190-BZ190</f>
        <v/>
      </c>
      <c r="CB190" s="4">
        <f>IF(N(I190)&gt;0,I190,IFERROR(ROUND(_xlfn.NUMBERVALUE(LEFT(G190,FIND(" ",G190&amp;" ")-1),".")*1000,0),99999))</f>
        <v/>
      </c>
      <c r="CC190" s="3">
        <f>IF(R190="profesional",0,IF(O190&lt;CUOTA_VALOR_MAX,IF(AU190&gt;ITP_TRAMO_ALTO,SUMIFS(CF_CUOTA,CF_MAS,ITP_TRAMO_ALTO,CF_CCMIN,"&lt;="&amp;CB190,CF_CCMAX,"&gt;="&amp;CB190),IF(AU190&gt;ITP_TRAMO_BAJO,SUMIFS(CF_CUOTA,CF_MAS,ITP_TRAMO_BAJO,CF_CCMIN,"&lt;="&amp;CB190,CF_CCMAX,"&gt;="&amp;CB190),O190*ITP_TIPO)),O190*ITP_TIPO))</f>
        <v/>
      </c>
      <c r="CD190" s="4">
        <f>IF(R190="profesional",N(AK190),0)</f>
        <v/>
      </c>
      <c r="CE190" s="3">
        <f>IF(AND(R190="profesional",ISNUMBER(AK190),AL190="sí"),0,TASA_DGT)</f>
        <v/>
      </c>
      <c r="CF190" s="3">
        <f>INFORME_DGT</f>
        <v/>
      </c>
      <c r="CG190" s="4">
        <f>O190+CD190+CC190+CE190+CF190</f>
        <v/>
      </c>
      <c r="CH190" s="4">
        <f>CG190+N(BU190)</f>
        <v/>
      </c>
      <c r="CI190" s="3">
        <f>IF(CG190&lt;=TOTAL_MAX,"sí",IF(CG190&lt;=TOTAL_MAX+MARGEN_NEG,"negociar","no"))</f>
        <v/>
      </c>
      <c r="CJ190" s="4">
        <f>IF(CI190&lt;&gt;"no",COUNTIFS($CI$2:$CI$662,"&lt;&gt;no",$CA$2:$CA$662,"&gt;"&amp;CA190)+COUNTIFS($CI$2:CI190,"&lt;&gt;no",$CA$2:CA190,CA190),"")</f>
        <v/>
      </c>
    </row>
    <row r="191">
      <c r="A191" s="2" t="inlineStr">
        <is>
          <t>cochesnet:71261001</t>
        </is>
      </c>
      <c r="B191" s="2" t="inlineStr">
        <is>
          <t>cochesnet</t>
        </is>
      </c>
      <c r="C191" s="2" t="inlineStr">
        <is>
          <t>https://www.coches.net/ford-fiesta-diesel-2008-en-valencia-71261001-covo.aspx</t>
        </is>
      </c>
      <c r="D191" s="2" t="inlineStr">
        <is>
          <t>FORD Fiesta</t>
        </is>
      </c>
      <c r="E191" s="2" t="inlineStr">
        <is>
          <t>Ford</t>
        </is>
      </c>
      <c r="F191" s="2" t="inlineStr">
        <is>
          <t>Ford Fiesta</t>
        </is>
      </c>
      <c r="G191" s="2" t="n"/>
      <c r="H191" s="2" t="n"/>
      <c r="I191" s="2" t="n"/>
      <c r="J191" s="2" t="n"/>
      <c r="K191" s="2" t="inlineStr">
        <is>
          <t>diesel</t>
        </is>
      </c>
      <c r="L191" s="2" t="inlineStr">
        <is>
          <t>utilitario</t>
        </is>
      </c>
      <c r="M191" s="2" t="n">
        <v>2008</v>
      </c>
      <c r="N191" s="2" t="n">
        <v>200000</v>
      </c>
      <c r="O191" s="2" t="n">
        <v>4000</v>
      </c>
      <c r="P191" s="2" t="inlineStr">
        <is>
          <t>manual</t>
        </is>
      </c>
      <c r="Q191" s="2" t="inlineStr">
        <is>
          <t>no</t>
        </is>
      </c>
      <c r="R191" s="2" t="inlineStr">
        <is>
          <t>particular</t>
        </is>
      </c>
      <c r="S191" s="2" t="n"/>
      <c r="T191" s="2" t="inlineStr">
        <is>
          <t>2026-08-09T19:12:41Z</t>
        </is>
      </c>
      <c r="U191" s="2" t="n">
        <v>6</v>
      </c>
      <c r="V191" s="2" t="n"/>
      <c r="W191" s="2" t="n"/>
      <c r="X191" s="2" t="inlineStr">
        <is>
          <t>sí</t>
        </is>
      </c>
      <c r="Y191" s="2" t="n"/>
      <c r="Z191" s="2" t="inlineStr">
        <is>
          <t>no</t>
        </is>
      </c>
      <c r="AA191" s="2" t="n"/>
      <c r="AB191" s="2" t="n"/>
      <c r="AC191" s="2" t="n"/>
      <c r="AD191" s="2" t="n"/>
      <c r="AE191" s="2" t="n"/>
      <c r="AF191" s="2" t="n"/>
      <c r="AG191" s="2" t="n"/>
      <c r="AH191" s="2" t="n">
        <v>4000</v>
      </c>
      <c r="AI191" s="2" t="n"/>
      <c r="AJ191" s="2" t="n"/>
      <c r="AK191" s="2" t="n"/>
      <c r="AL191" s="2" t="n"/>
      <c r="AM191" s="2" t="n"/>
      <c r="AN191" s="2" t="n">
        <v>3250</v>
      </c>
      <c r="AO191" s="2" t="n">
        <v>12</v>
      </c>
      <c r="AP191" s="2" t="inlineStr">
        <is>
          <t>modelo+año+km</t>
        </is>
      </c>
      <c r="AQ191" s="2" t="n"/>
      <c r="AR191"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191" s="2" t="inlineStr">
        <is>
          <t>Se vende ford fiesta tdci 1.6 y 90 cv. Coche bien mantenido tiene las llantas nuevas espejos cambiados nuevos por uso faros nuevos cambiados por desgaste  sinnaccidentes distribucion hecha en julio limpio por dentru muy cuidado se negocia  whatapp</t>
        </is>
      </c>
      <c r="AT191" s="2" t="inlineStr">
        <is>
          <t>https://www.coches.net/ford-fiesta-diesel-2008-en-valencia-71261001-covo.aspx (window.__INITIAL_PROPS__.ad) /home/user/Alopecia/buscador-coches/raw/cochesnet/b449a538b03904d6.json</t>
        </is>
      </c>
      <c r="AU191" s="3">
        <f>MAX(ANIO_ACTUAL-M191,0)</f>
        <v/>
      </c>
      <c r="AV191" s="4">
        <f>N191/MAX(AU191,0.5)</f>
        <v/>
      </c>
      <c r="AW191" s="4">
        <f>F191</f>
        <v/>
      </c>
      <c r="AX191" s="3">
        <f>AW191&amp;"|"&amp;INT(M191/SEG_ANIO)*SEG_ANIO</f>
        <v/>
      </c>
      <c r="AY191" s="3">
        <f>AX191&amp;"|"&amp;INT(N191/SEG_KM)*SEG_KM</f>
        <v/>
      </c>
      <c r="AZ191" s="4">
        <f>COUNTIF($AW$2:$AW$662,AW191)</f>
        <v/>
      </c>
      <c r="BA191" s="4">
        <f>COUNTIF($AX$2:$AX$662,AX191)</f>
        <v/>
      </c>
      <c r="BB191" s="4">
        <f>COUNTIF($AY$2:$AY$662,AY191)</f>
        <v/>
      </c>
      <c r="BC191" s="3">
        <f t="array" ref="BC191">IF(N(AO191)&gt;=MIN_N,AN191,IF(BB191&gt;=MIN_N,MEDIAN(IF($AY$2:$AY$662=AY191,$O$2:$O$662)),IF(BA191&gt;=MIN_N,MEDIAN(IF($AX$2:$AX$662=AX191,$O$2:$O$662)),MEDIAN(IF($AW$2:$AW$662=AW191,$O$2:$O$662)))))</f>
        <v/>
      </c>
      <c r="BD191" s="3">
        <f>IF(N(AO191)&gt;=MIN_N,"mercado "&amp;AP191,IF(BB191&gt;=MIN_N,"modelo+año+km",IF(BA191&gt;=MIN_N,"modelo+año","modelo")))</f>
        <v/>
      </c>
      <c r="BE191" s="4">
        <f>(BC191-O191)/BC191</f>
        <v/>
      </c>
      <c r="BF191" s="3">
        <f>IF(OR(K191="hibrido",K191="glp"),"ECO",IF(K191="electrico","CERO",IF(K191="gasolina",IF(M191&gt;=GAS_C,"C",IF(M191&gt;=GAS_B,"B","A")),IF(K191="diesel",IF(M191&gt;=DIE_C,"C",IF(M191&gt;=DIE_B,"B","A")),""))))</f>
        <v/>
      </c>
      <c r="BG191" s="3">
        <f>IFERROR(VLOOKUP(F191,MOD_TBL,11,0),IFERROR(VLOOKUP(E191,OCU_TBL,2,0),NEUTRO))</f>
        <v/>
      </c>
      <c r="BH191" s="3">
        <f>SUMIFS(MOT_AJUSTE,MOT_MOTOR,G191,MOT_MARCA,E191,MOT_DESDE,"&lt;="&amp;M191,MOT_HASTA,"&gt;="&amp;M191)+SUMIFS(MOT_AJUSTE,MOT_MOTOR,G191,MOT_MARCA,"(todas)",MOT_DESDE,"&lt;="&amp;M191,MOT_HASTA,"&gt;="&amp;M191)</f>
        <v/>
      </c>
      <c r="BI191" s="3">
        <f>SUMIFS(COMB_AJUSTE,COMB_COMB,K191)</f>
        <v/>
      </c>
      <c r="BJ191" s="3">
        <f>COUNTIFS(MOT_MOTOR,G191,MOT_MARCA,E191,MOT_DESDE,"&lt;="&amp;M191,MOT_HASTA,"&gt;="&amp;M191)+COUNTIFS(MOT_MOTOR,G191,MOT_MARCA,"(todas)",MOT_DESDE,"&lt;="&amp;M191,MOT_HASTA,"&gt;="&amp;M191)</f>
        <v/>
      </c>
      <c r="BK191" s="3">
        <f>IF(AND(K191="diesel",BJ191=0),MIN(BG191,NEUTRO),BG191)</f>
        <v/>
      </c>
      <c r="BL191" s="4">
        <f>MAX(0,MIN(100,BK191+BH191+BI191))</f>
        <v/>
      </c>
      <c r="BM191" s="3">
        <f>MAX(0,MIN(100,50+BE191*PRECIO_PEND))</f>
        <v/>
      </c>
      <c r="BN191" s="3">
        <f>MAX(0,100*(1-N191/KM_MAX))</f>
        <v/>
      </c>
      <c r="BO191" s="3">
        <f>IF(AV191&lt;KMA_SOSP,IF(AA191="sí",100,KMA_PEN),IF(AV191&lt;=KMA_IDEAL_MAX,100,MAX(0,100*(KMA_CERO-AV191)/(KMA_CERO-KMA_IDEAL_MAX))))</f>
        <v/>
      </c>
      <c r="BP191" s="3">
        <f>MAX(0,MIN(100,100*(M191-ANIO_MIN)/(ANIO_ACTUAL-ANIO_MIN)))</f>
        <v/>
      </c>
      <c r="BQ191" s="3">
        <f>W_KMT*BN191+W_KMA*BO191+W_EDAD*BP191</f>
        <v/>
      </c>
      <c r="BR191" s="3">
        <f>P_ITV*(V191="sí")+P_LIBRO*(W191="sí")+P_CORREA*(X191="sí")+P_PROP*(Y191=1)+P_GAR*(Z191="sí")+P_FOTOS*MIN(1,N(U191)/FOTOS_OBJ)</f>
        <v/>
      </c>
      <c r="BS191" s="3">
        <f>IFERROR(VLOOKUP(BF191,ETQ_TBL,2,0),NEUTRO)</f>
        <v/>
      </c>
      <c r="BT191" s="3">
        <f>NEUTRO</f>
        <v/>
      </c>
      <c r="BU191" s="3">
        <f>IFERROR(VLOOKUP(L191,SEGURO_TBL,3,0),"")</f>
        <v/>
      </c>
      <c r="BV191" s="3">
        <f>IF(BU191="",NEUTRO,MAX(0,MIN(100,100*(SEG_REF_MAX-BU191)/(SEG_REF_MAX-SEG_REF_MIN))))</f>
        <v/>
      </c>
      <c r="BW191" s="3">
        <f>W_ET*BS191+W_CONS*BT191+W_SEG*BV191</f>
        <v/>
      </c>
      <c r="BX191" s="3">
        <f>IF(N(AB191)&gt;0,AB191,IF(AND(R191="profesional",SG_LEGAL_ON=1),GAR_LEGAL,0))</f>
        <v/>
      </c>
      <c r="BY191" s="3">
        <f>SG_GAR*MIN(1,BX191/SG_GAR_FULL)+SG_AMPL*(AC191="sí")+SG_KMC*(AF191="sí")+SG_REV*(N(AE191)&gt;0)+SG_DEV*MIN(1,N(AG191)/SG_DEV_FULL)+SG_HIST*(W191="sí")</f>
        <v/>
      </c>
      <c r="BZ191" s="3">
        <f>IFERROR(VLOOKUP(L191,CARR_PEN_TBL,2,0),0)</f>
        <v/>
      </c>
      <c r="CA191" s="3">
        <f>W_FIAB*BL191+W_PRECIO*BM191+W_KMEDAD*BQ191+W_ANUNCIO*BR191+W_USO*BW191+W_SEGURIDAD*BY191-BZ191</f>
        <v/>
      </c>
      <c r="CB191" s="4">
        <f>IF(N(I191)&gt;0,I191,IFERROR(ROUND(_xlfn.NUMBERVALUE(LEFT(G191,FIND(" ",G191&amp;" ")-1),".")*1000,0),99999))</f>
        <v/>
      </c>
      <c r="CC191" s="3">
        <f>IF(R191="profesional",0,IF(O191&lt;CUOTA_VALOR_MAX,IF(AU191&gt;ITP_TRAMO_ALTO,SUMIFS(CF_CUOTA,CF_MAS,ITP_TRAMO_ALTO,CF_CCMIN,"&lt;="&amp;CB191,CF_CCMAX,"&gt;="&amp;CB191),IF(AU191&gt;ITP_TRAMO_BAJO,SUMIFS(CF_CUOTA,CF_MAS,ITP_TRAMO_BAJO,CF_CCMIN,"&lt;="&amp;CB191,CF_CCMAX,"&gt;="&amp;CB191),O191*ITP_TIPO)),O191*ITP_TIPO))</f>
        <v/>
      </c>
      <c r="CD191" s="4">
        <f>IF(R191="profesional",N(AK191),0)</f>
        <v/>
      </c>
      <c r="CE191" s="3">
        <f>IF(AND(R191="profesional",ISNUMBER(AK191),AL191="sí"),0,TASA_DGT)</f>
        <v/>
      </c>
      <c r="CF191" s="3">
        <f>INFORME_DGT</f>
        <v/>
      </c>
      <c r="CG191" s="4">
        <f>O191+CD191+CC191+CE191+CF191</f>
        <v/>
      </c>
      <c r="CH191" s="4">
        <f>CG191+N(BU191)</f>
        <v/>
      </c>
      <c r="CI191" s="3">
        <f>IF(CG191&lt;=TOTAL_MAX,"sí",IF(CG191&lt;=TOTAL_MAX+MARGEN_NEG,"negociar","no"))</f>
        <v/>
      </c>
      <c r="CJ191" s="4">
        <f>IF(CI191&lt;&gt;"no",COUNTIFS($CI$2:$CI$662,"&lt;&gt;no",$CA$2:$CA$662,"&gt;"&amp;CA191)+COUNTIFS($CI$2:CI191,"&lt;&gt;no",$CA$2:CA191,CA191),"")</f>
        <v/>
      </c>
    </row>
    <row r="192">
      <c r="A192" s="2" t="inlineStr">
        <is>
          <t>cochesnet:71260438</t>
        </is>
      </c>
      <c r="B192" s="2" t="inlineStr">
        <is>
          <t>cochesnet</t>
        </is>
      </c>
      <c r="C192" s="2" t="inlineStr">
        <is>
          <t>https://www.coches.net/ford-fiesta-14-tdci-trend-5p-diesel-2010-en-valencia-71260438-covo.aspx</t>
        </is>
      </c>
      <c r="D192" s="2" t="inlineStr">
        <is>
          <t>FORD Fiesta 1.4 TDCi Trend</t>
        </is>
      </c>
      <c r="E192" s="2" t="inlineStr">
        <is>
          <t>Ford</t>
        </is>
      </c>
      <c r="F192" s="2" t="inlineStr">
        <is>
          <t>Ford Fiesta</t>
        </is>
      </c>
      <c r="G192" s="2" t="inlineStr">
        <is>
          <t>1.4 TDCi</t>
        </is>
      </c>
      <c r="H192" s="2" t="inlineStr">
        <is>
          <t>1.4 TDCi Trend</t>
        </is>
      </c>
      <c r="I192" s="2" t="n"/>
      <c r="J192" s="2" t="n"/>
      <c r="K192" s="2" t="inlineStr">
        <is>
          <t>diesel</t>
        </is>
      </c>
      <c r="L192" s="2" t="inlineStr">
        <is>
          <t>utilitario</t>
        </is>
      </c>
      <c r="M192" s="2" t="n">
        <v>2010</v>
      </c>
      <c r="N192" s="2" t="n">
        <v>201000</v>
      </c>
      <c r="O192" s="2" t="n">
        <v>3100</v>
      </c>
      <c r="P192" s="2" t="inlineStr">
        <is>
          <t>manual</t>
        </is>
      </c>
      <c r="Q192" s="2" t="inlineStr">
        <is>
          <t>no</t>
        </is>
      </c>
      <c r="R192" s="2" t="inlineStr">
        <is>
          <t>particular</t>
        </is>
      </c>
      <c r="S192" s="2" t="inlineStr">
        <is>
          <t>Beniflá</t>
        </is>
      </c>
      <c r="T192" s="2" t="inlineStr">
        <is>
          <t>2026-08-09T19:54:30Z</t>
        </is>
      </c>
      <c r="U192" s="2" t="n">
        <v>9</v>
      </c>
      <c r="V192" s="2" t="inlineStr">
        <is>
          <t>sí</t>
        </is>
      </c>
      <c r="W192" s="2" t="n"/>
      <c r="X192" s="2" t="n"/>
      <c r="Y192" s="2" t="n"/>
      <c r="Z192" s="2" t="inlineStr">
        <is>
          <t>no</t>
        </is>
      </c>
      <c r="AA192" s="2" t="n"/>
      <c r="AB192" s="2" t="n"/>
      <c r="AC192" s="2" t="n"/>
      <c r="AD192" s="2" t="n"/>
      <c r="AE192" s="2" t="n"/>
      <c r="AF192" s="2" t="n"/>
      <c r="AG192" s="2" t="n"/>
      <c r="AH192" s="2" t="n">
        <v>3100</v>
      </c>
      <c r="AI192" s="2" t="n"/>
      <c r="AJ192" s="2" t="n"/>
      <c r="AK192" s="2" t="n"/>
      <c r="AL192" s="2" t="n"/>
      <c r="AM192" s="2" t="n">
        <v>62.6</v>
      </c>
      <c r="AN192" s="2" t="n">
        <v>3500</v>
      </c>
      <c r="AO192" s="2" t="n">
        <v>13</v>
      </c>
      <c r="AP192" s="2" t="inlineStr">
        <is>
          <t>modelo+año+km</t>
        </is>
      </c>
      <c r="AQ192" s="2" t="n"/>
      <c r="AR192" s="2" t="inlineStr">
        <is>
          <t>cuota fija ITP: &gt;12 años, hasta 1.500 cc; diésel: motor sin fuente de fiabilidad (fiabilidad limitada a neutra)</t>
        </is>
      </c>
      <c r="AS192" s="2" t="inlineStr">
        <is>
          <t xml:space="preserve">Desperfectos de chapa, ITV en vigor a pasar nuevamente en noviembre </t>
        </is>
      </c>
      <c r="AT192" s="2" t="inlineStr">
        <is>
          <t>https://www.coches.net/ford-fiesta-14-tdci-trend-5p-diesel-2010-en-valencia-71260438-covo.aspx (window.__INITIAL_PROPS__.ad) /home/user/Alopecia/buscador-coches/raw/cochesnet/77f4e5eae20c29ca.json</t>
        </is>
      </c>
      <c r="AU192" s="3">
        <f>MAX(ANIO_ACTUAL-M192,0)</f>
        <v/>
      </c>
      <c r="AV192" s="4">
        <f>N192/MAX(AU192,0.5)</f>
        <v/>
      </c>
      <c r="AW192" s="4">
        <f>F192</f>
        <v/>
      </c>
      <c r="AX192" s="3">
        <f>AW192&amp;"|"&amp;INT(M192/SEG_ANIO)*SEG_ANIO</f>
        <v/>
      </c>
      <c r="AY192" s="3">
        <f>AX192&amp;"|"&amp;INT(N192/SEG_KM)*SEG_KM</f>
        <v/>
      </c>
      <c r="AZ192" s="4">
        <f>COUNTIF($AW$2:$AW$662,AW192)</f>
        <v/>
      </c>
      <c r="BA192" s="4">
        <f>COUNTIF($AX$2:$AX$662,AX192)</f>
        <v/>
      </c>
      <c r="BB192" s="4">
        <f>COUNTIF($AY$2:$AY$662,AY192)</f>
        <v/>
      </c>
      <c r="BC192" s="3">
        <f t="array" ref="BC192">IF(N(AO192)&gt;=MIN_N,AN192,IF(BB192&gt;=MIN_N,MEDIAN(IF($AY$2:$AY$662=AY192,$O$2:$O$662)),IF(BA192&gt;=MIN_N,MEDIAN(IF($AX$2:$AX$662=AX192,$O$2:$O$662)),MEDIAN(IF($AW$2:$AW$662=AW192,$O$2:$O$662)))))</f>
        <v/>
      </c>
      <c r="BD192" s="3">
        <f>IF(N(AO192)&gt;=MIN_N,"mercado "&amp;AP192,IF(BB192&gt;=MIN_N,"modelo+año+km",IF(BA192&gt;=MIN_N,"modelo+año","modelo")))</f>
        <v/>
      </c>
      <c r="BE192" s="4">
        <f>(BC192-O192)/BC192</f>
        <v/>
      </c>
      <c r="BF192" s="3">
        <f>IF(OR(K192="hibrido",K192="glp"),"ECO",IF(K192="electrico","CERO",IF(K192="gasolina",IF(M192&gt;=GAS_C,"C",IF(M192&gt;=GAS_B,"B","A")),IF(K192="diesel",IF(M192&gt;=DIE_C,"C",IF(M192&gt;=DIE_B,"B","A")),""))))</f>
        <v/>
      </c>
      <c r="BG192" s="3">
        <f>IFERROR(VLOOKUP(F192,MOD_TBL,11,0),IFERROR(VLOOKUP(E192,OCU_TBL,2,0),NEUTRO))</f>
        <v/>
      </c>
      <c r="BH192" s="3">
        <f>SUMIFS(MOT_AJUSTE,MOT_MOTOR,G192,MOT_MARCA,E192,MOT_DESDE,"&lt;="&amp;M192,MOT_HASTA,"&gt;="&amp;M192)+SUMIFS(MOT_AJUSTE,MOT_MOTOR,G192,MOT_MARCA,"(todas)",MOT_DESDE,"&lt;="&amp;M192,MOT_HASTA,"&gt;="&amp;M192)</f>
        <v/>
      </c>
      <c r="BI192" s="3">
        <f>SUMIFS(COMB_AJUSTE,COMB_COMB,K192)</f>
        <v/>
      </c>
      <c r="BJ192" s="3">
        <f>COUNTIFS(MOT_MOTOR,G192,MOT_MARCA,E192,MOT_DESDE,"&lt;="&amp;M192,MOT_HASTA,"&gt;="&amp;M192)+COUNTIFS(MOT_MOTOR,G192,MOT_MARCA,"(todas)",MOT_DESDE,"&lt;="&amp;M192,MOT_HASTA,"&gt;="&amp;M192)</f>
        <v/>
      </c>
      <c r="BK192" s="3">
        <f>IF(AND(K192="diesel",BJ192=0),MIN(BG192,NEUTRO),BG192)</f>
        <v/>
      </c>
      <c r="BL192" s="4">
        <f>MAX(0,MIN(100,BK192+BH192+BI192))</f>
        <v/>
      </c>
      <c r="BM192" s="3">
        <f>MAX(0,MIN(100,50+BE192*PRECIO_PEND))</f>
        <v/>
      </c>
      <c r="BN192" s="3">
        <f>MAX(0,100*(1-N192/KM_MAX))</f>
        <v/>
      </c>
      <c r="BO192" s="3">
        <f>IF(AV192&lt;KMA_SOSP,IF(AA192="sí",100,KMA_PEN),IF(AV192&lt;=KMA_IDEAL_MAX,100,MAX(0,100*(KMA_CERO-AV192)/(KMA_CERO-KMA_IDEAL_MAX))))</f>
        <v/>
      </c>
      <c r="BP192" s="3">
        <f>MAX(0,MIN(100,100*(M192-ANIO_MIN)/(ANIO_ACTUAL-ANIO_MIN)))</f>
        <v/>
      </c>
      <c r="BQ192" s="3">
        <f>W_KMT*BN192+W_KMA*BO192+W_EDAD*BP192</f>
        <v/>
      </c>
      <c r="BR192" s="3">
        <f>P_ITV*(V192="sí")+P_LIBRO*(W192="sí")+P_CORREA*(X192="sí")+P_PROP*(Y192=1)+P_GAR*(Z192="sí")+P_FOTOS*MIN(1,N(U192)/FOTOS_OBJ)</f>
        <v/>
      </c>
      <c r="BS192" s="3">
        <f>IFERROR(VLOOKUP(BF192,ETQ_TBL,2,0),NEUTRO)</f>
        <v/>
      </c>
      <c r="BT192" s="3">
        <f>NEUTRO</f>
        <v/>
      </c>
      <c r="BU192" s="3">
        <f>IFERROR(VLOOKUP(L192,SEGURO_TBL,3,0),"")</f>
        <v/>
      </c>
      <c r="BV192" s="3">
        <f>IF(BU192="",NEUTRO,MAX(0,MIN(100,100*(SEG_REF_MAX-BU192)/(SEG_REF_MAX-SEG_REF_MIN))))</f>
        <v/>
      </c>
      <c r="BW192" s="3">
        <f>W_ET*BS192+W_CONS*BT192+W_SEG*BV192</f>
        <v/>
      </c>
      <c r="BX192" s="3">
        <f>IF(N(AB192)&gt;0,AB192,IF(AND(R192="profesional",SG_LEGAL_ON=1),GAR_LEGAL,0))</f>
        <v/>
      </c>
      <c r="BY192" s="3">
        <f>SG_GAR*MIN(1,BX192/SG_GAR_FULL)+SG_AMPL*(AC192="sí")+SG_KMC*(AF192="sí")+SG_REV*(N(AE192)&gt;0)+SG_DEV*MIN(1,N(AG192)/SG_DEV_FULL)+SG_HIST*(W192="sí")</f>
        <v/>
      </c>
      <c r="BZ192" s="3">
        <f>IFERROR(VLOOKUP(L192,CARR_PEN_TBL,2,0),0)</f>
        <v/>
      </c>
      <c r="CA192" s="3">
        <f>W_FIAB*BL192+W_PRECIO*BM192+W_KMEDAD*BQ192+W_ANUNCIO*BR192+W_USO*BW192+W_SEGURIDAD*BY192-BZ192</f>
        <v/>
      </c>
      <c r="CB192" s="4">
        <f>IF(N(I192)&gt;0,I192,IFERROR(ROUND(_xlfn.NUMBERVALUE(LEFT(G192,FIND(" ",G192&amp;" ")-1),".")*1000,0),99999))</f>
        <v/>
      </c>
      <c r="CC192" s="3">
        <f>IF(R192="profesional",0,IF(O192&lt;CUOTA_VALOR_MAX,IF(AU192&gt;ITP_TRAMO_ALTO,SUMIFS(CF_CUOTA,CF_MAS,ITP_TRAMO_ALTO,CF_CCMIN,"&lt;="&amp;CB192,CF_CCMAX,"&gt;="&amp;CB192),IF(AU192&gt;ITP_TRAMO_BAJO,SUMIFS(CF_CUOTA,CF_MAS,ITP_TRAMO_BAJO,CF_CCMIN,"&lt;="&amp;CB192,CF_CCMAX,"&gt;="&amp;CB192),O192*ITP_TIPO)),O192*ITP_TIPO))</f>
        <v/>
      </c>
      <c r="CD192" s="4">
        <f>IF(R192="profesional",N(AK192),0)</f>
        <v/>
      </c>
      <c r="CE192" s="3">
        <f>IF(AND(R192="profesional",ISNUMBER(AK192),AL192="sí"),0,TASA_DGT)</f>
        <v/>
      </c>
      <c r="CF192" s="3">
        <f>INFORME_DGT</f>
        <v/>
      </c>
      <c r="CG192" s="4">
        <f>O192+CD192+CC192+CE192+CF192</f>
        <v/>
      </c>
      <c r="CH192" s="4">
        <f>CG192+N(BU192)</f>
        <v/>
      </c>
      <c r="CI192" s="3">
        <f>IF(CG192&lt;=TOTAL_MAX,"sí",IF(CG192&lt;=TOTAL_MAX+MARGEN_NEG,"negociar","no"))</f>
        <v/>
      </c>
      <c r="CJ192" s="4">
        <f>IF(CI192&lt;&gt;"no",COUNTIFS($CI$2:$CI$662,"&lt;&gt;no",$CA$2:$CA$662,"&gt;"&amp;CA192)+COUNTIFS($CI$2:CI192,"&lt;&gt;no",$CA$2:CA192,CA192),"")</f>
        <v/>
      </c>
    </row>
    <row r="193">
      <c r="A193" s="2" t="inlineStr">
        <is>
          <t>cochesnet:70580860</t>
        </is>
      </c>
      <c r="B193" s="2" t="inlineStr">
        <is>
          <t>cochesnet</t>
        </is>
      </c>
      <c r="C193" s="2" t="inlineStr">
        <is>
          <t>https://www.coches.net/ford-fiesta-16-tdci-dpf-sport-match-3p-diesel-2012-en-valencia-70580860-covo.aspx</t>
        </is>
      </c>
      <c r="D193" s="2" t="inlineStr">
        <is>
          <t>FORD Fiesta 1.6 TDCi DPF Sport Match</t>
        </is>
      </c>
      <c r="E193" s="2" t="inlineStr">
        <is>
          <t>Ford</t>
        </is>
      </c>
      <c r="F193" s="2" t="inlineStr">
        <is>
          <t>Ford Fiesta</t>
        </is>
      </c>
      <c r="G193" s="2" t="inlineStr">
        <is>
          <t>1.6 TDCi</t>
        </is>
      </c>
      <c r="H193" s="2" t="inlineStr">
        <is>
          <t>1.6 TDCi DPF Sport Match</t>
        </is>
      </c>
      <c r="I193" s="2" t="n"/>
      <c r="J193" s="2" t="n"/>
      <c r="K193" s="2" t="inlineStr">
        <is>
          <t>diesel</t>
        </is>
      </c>
      <c r="L193" s="2" t="inlineStr">
        <is>
          <t>utilitario</t>
        </is>
      </c>
      <c r="M193" s="2" t="n">
        <v>2011</v>
      </c>
      <c r="N193" s="2" t="n">
        <v>190000</v>
      </c>
      <c r="O193" s="2" t="n">
        <v>4600</v>
      </c>
      <c r="P193" s="2" t="inlineStr">
        <is>
          <t>manual</t>
        </is>
      </c>
      <c r="Q193" s="2" t="inlineStr">
        <is>
          <t>no</t>
        </is>
      </c>
      <c r="R193" s="2" t="inlineStr">
        <is>
          <t>profesional</t>
        </is>
      </c>
      <c r="S193" s="2" t="inlineStr">
        <is>
          <t>Realbert Compraventa Bétera</t>
        </is>
      </c>
      <c r="T193" s="2" t="inlineStr">
        <is>
          <t>2026-08-04T14:59:27Z</t>
        </is>
      </c>
      <c r="U193" s="2" t="n">
        <v>9</v>
      </c>
      <c r="V193" s="2" t="inlineStr">
        <is>
          <t>sí</t>
        </is>
      </c>
      <c r="W193" s="2" t="n"/>
      <c r="X193" s="2" t="n"/>
      <c r="Y193" s="2" t="n"/>
      <c r="Z193" s="2" t="inlineStr">
        <is>
          <t>sí</t>
        </is>
      </c>
      <c r="AA193" s="2" t="n"/>
      <c r="AB193" s="2" t="n">
        <v>12</v>
      </c>
      <c r="AC193" s="2" t="n"/>
      <c r="AD193" s="2" t="n"/>
      <c r="AE193" s="2" t="n"/>
      <c r="AF193" s="2" t="n"/>
      <c r="AG193" s="2" t="n"/>
      <c r="AH193" s="2" t="n">
        <v>4600</v>
      </c>
      <c r="AI193" s="2" t="n"/>
      <c r="AJ193" s="2" t="n"/>
      <c r="AK193" s="2" t="n"/>
      <c r="AL193" s="2" t="n"/>
      <c r="AM193" s="2" t="n">
        <v>14.1</v>
      </c>
      <c r="AN193" s="2" t="n">
        <v>4545</v>
      </c>
      <c r="AO193" s="2" t="n">
        <v>18</v>
      </c>
      <c r="AP193" s="2" t="inlineStr">
        <is>
          <t>modelo+año+km</t>
        </is>
      </c>
      <c r="AQ193" s="2" t="n"/>
      <c r="AR193" s="2" t="inlineStr">
        <is>
          <t>vendedor profesional: sin ITP (operación con IVA/REBU, confirmar en factura); gastos de gestión del vendedor no indicados: se suma la tasa DGT; preguntar el precio final</t>
        </is>
      </c>
      <c r="AS193" s="2" t="inlineStr">
        <is>
          <t>Ford fiesta 1.6 tdci. 95 cv
Vehículo nacional con 196.000 km, año 2011. Itv al dia.
Llantas 16", todos los elevalunas eléctricos, rueda repuesto, retrovisores exteriores termoeléctricos, sensor de aparcamiento trasero.
Control de crucero, equipo de música Sony de 6 altavoces ,climatizador,volante multi-función de aleación y  ajustable en altura y en profundidad, control remoto de audio, control de orden por voz, ordenador de a bordo, retrovisor interior con oscurecimiento antirreflejos. limpiaparabrisas con sensor de lluvia, luces antiniebla, luces diurnas homologadas.</t>
        </is>
      </c>
      <c r="AT193" s="2" t="inlineStr">
        <is>
          <t>https://www.coches.net/ford-fiesta-16-tdci-dpf-sport-match-3p-diesel-2012-en-valencia-70580860-covo.aspx (window.__INITIAL_PROPS__.ad) /home/user/Alopecia/buscador-coches/raw/cochesnet/fde235a1ea2bce00.json</t>
        </is>
      </c>
      <c r="AU193" s="3">
        <f>MAX(ANIO_ACTUAL-M193,0)</f>
        <v/>
      </c>
      <c r="AV193" s="4">
        <f>N193/MAX(AU193,0.5)</f>
        <v/>
      </c>
      <c r="AW193" s="4">
        <f>F193</f>
        <v/>
      </c>
      <c r="AX193" s="3">
        <f>AW193&amp;"|"&amp;INT(M193/SEG_ANIO)*SEG_ANIO</f>
        <v/>
      </c>
      <c r="AY193" s="3">
        <f>AX193&amp;"|"&amp;INT(N193/SEG_KM)*SEG_KM</f>
        <v/>
      </c>
      <c r="AZ193" s="4">
        <f>COUNTIF($AW$2:$AW$662,AW193)</f>
        <v/>
      </c>
      <c r="BA193" s="4">
        <f>COUNTIF($AX$2:$AX$662,AX193)</f>
        <v/>
      </c>
      <c r="BB193" s="4">
        <f>COUNTIF($AY$2:$AY$662,AY193)</f>
        <v/>
      </c>
      <c r="BC193" s="3">
        <f t="array" ref="BC193">IF(N(AO193)&gt;=MIN_N,AN193,IF(BB193&gt;=MIN_N,MEDIAN(IF($AY$2:$AY$662=AY193,$O$2:$O$662)),IF(BA193&gt;=MIN_N,MEDIAN(IF($AX$2:$AX$662=AX193,$O$2:$O$662)),MEDIAN(IF($AW$2:$AW$662=AW193,$O$2:$O$662)))))</f>
        <v/>
      </c>
      <c r="BD193" s="3">
        <f>IF(N(AO193)&gt;=MIN_N,"mercado "&amp;AP193,IF(BB193&gt;=MIN_N,"modelo+año+km",IF(BA193&gt;=MIN_N,"modelo+año","modelo")))</f>
        <v/>
      </c>
      <c r="BE193" s="4">
        <f>(BC193-O193)/BC193</f>
        <v/>
      </c>
      <c r="BF193" s="3">
        <f>IF(OR(K193="hibrido",K193="glp"),"ECO",IF(K193="electrico","CERO",IF(K193="gasolina",IF(M193&gt;=GAS_C,"C",IF(M193&gt;=GAS_B,"B","A")),IF(K193="diesel",IF(M193&gt;=DIE_C,"C",IF(M193&gt;=DIE_B,"B","A")),""))))</f>
        <v/>
      </c>
      <c r="BG193" s="3">
        <f>IFERROR(VLOOKUP(F193,MOD_TBL,11,0),IFERROR(VLOOKUP(E193,OCU_TBL,2,0),NEUTRO))</f>
        <v/>
      </c>
      <c r="BH193" s="3">
        <f>SUMIFS(MOT_AJUSTE,MOT_MOTOR,G193,MOT_MARCA,E193,MOT_DESDE,"&lt;="&amp;M193,MOT_HASTA,"&gt;="&amp;M193)+SUMIFS(MOT_AJUSTE,MOT_MOTOR,G193,MOT_MARCA,"(todas)",MOT_DESDE,"&lt;="&amp;M193,MOT_HASTA,"&gt;="&amp;M193)</f>
        <v/>
      </c>
      <c r="BI193" s="3">
        <f>SUMIFS(COMB_AJUSTE,COMB_COMB,K193)</f>
        <v/>
      </c>
      <c r="BJ193" s="3">
        <f>COUNTIFS(MOT_MOTOR,G193,MOT_MARCA,E193,MOT_DESDE,"&lt;="&amp;M193,MOT_HASTA,"&gt;="&amp;M193)+COUNTIFS(MOT_MOTOR,G193,MOT_MARCA,"(todas)",MOT_DESDE,"&lt;="&amp;M193,MOT_HASTA,"&gt;="&amp;M193)</f>
        <v/>
      </c>
      <c r="BK193" s="3">
        <f>IF(AND(K193="diesel",BJ193=0),MIN(BG193,NEUTRO),BG193)</f>
        <v/>
      </c>
      <c r="BL193" s="4">
        <f>MAX(0,MIN(100,BK193+BH193+BI193))</f>
        <v/>
      </c>
      <c r="BM193" s="3">
        <f>MAX(0,MIN(100,50+BE193*PRECIO_PEND))</f>
        <v/>
      </c>
      <c r="BN193" s="3">
        <f>MAX(0,100*(1-N193/KM_MAX))</f>
        <v/>
      </c>
      <c r="BO193" s="3">
        <f>IF(AV193&lt;KMA_SOSP,IF(AA193="sí",100,KMA_PEN),IF(AV193&lt;=KMA_IDEAL_MAX,100,MAX(0,100*(KMA_CERO-AV193)/(KMA_CERO-KMA_IDEAL_MAX))))</f>
        <v/>
      </c>
      <c r="BP193" s="3">
        <f>MAX(0,MIN(100,100*(M193-ANIO_MIN)/(ANIO_ACTUAL-ANIO_MIN)))</f>
        <v/>
      </c>
      <c r="BQ193" s="3">
        <f>W_KMT*BN193+W_KMA*BO193+W_EDAD*BP193</f>
        <v/>
      </c>
      <c r="BR193" s="3">
        <f>P_ITV*(V193="sí")+P_LIBRO*(W193="sí")+P_CORREA*(X193="sí")+P_PROP*(Y193=1)+P_GAR*(Z193="sí")+P_FOTOS*MIN(1,N(U193)/FOTOS_OBJ)</f>
        <v/>
      </c>
      <c r="BS193" s="3">
        <f>IFERROR(VLOOKUP(BF193,ETQ_TBL,2,0),NEUTRO)</f>
        <v/>
      </c>
      <c r="BT193" s="3">
        <f>NEUTRO</f>
        <v/>
      </c>
      <c r="BU193" s="3">
        <f>IFERROR(VLOOKUP(L193,SEGURO_TBL,3,0),"")</f>
        <v/>
      </c>
      <c r="BV193" s="3">
        <f>IF(BU193="",NEUTRO,MAX(0,MIN(100,100*(SEG_REF_MAX-BU193)/(SEG_REF_MAX-SEG_REF_MIN))))</f>
        <v/>
      </c>
      <c r="BW193" s="3">
        <f>W_ET*BS193+W_CONS*BT193+W_SEG*BV193</f>
        <v/>
      </c>
      <c r="BX193" s="3">
        <f>IF(N(AB193)&gt;0,AB193,IF(AND(R193="profesional",SG_LEGAL_ON=1),GAR_LEGAL,0))</f>
        <v/>
      </c>
      <c r="BY193" s="3">
        <f>SG_GAR*MIN(1,BX193/SG_GAR_FULL)+SG_AMPL*(AC193="sí")+SG_KMC*(AF193="sí")+SG_REV*(N(AE193)&gt;0)+SG_DEV*MIN(1,N(AG193)/SG_DEV_FULL)+SG_HIST*(W193="sí")</f>
        <v/>
      </c>
      <c r="BZ193" s="3">
        <f>IFERROR(VLOOKUP(L193,CARR_PEN_TBL,2,0),0)</f>
        <v/>
      </c>
      <c r="CA193" s="3">
        <f>W_FIAB*BL193+W_PRECIO*BM193+W_KMEDAD*BQ193+W_ANUNCIO*BR193+W_USO*BW193+W_SEGURIDAD*BY193-BZ193</f>
        <v/>
      </c>
      <c r="CB193" s="4">
        <f>IF(N(I193)&gt;0,I193,IFERROR(ROUND(_xlfn.NUMBERVALUE(LEFT(G193,FIND(" ",G193&amp;" ")-1),".")*1000,0),99999))</f>
        <v/>
      </c>
      <c r="CC193" s="3">
        <f>IF(R193="profesional",0,IF(O193&lt;CUOTA_VALOR_MAX,IF(AU193&gt;ITP_TRAMO_ALTO,SUMIFS(CF_CUOTA,CF_MAS,ITP_TRAMO_ALTO,CF_CCMIN,"&lt;="&amp;CB193,CF_CCMAX,"&gt;="&amp;CB193),IF(AU193&gt;ITP_TRAMO_BAJO,SUMIFS(CF_CUOTA,CF_MAS,ITP_TRAMO_BAJO,CF_CCMIN,"&lt;="&amp;CB193,CF_CCMAX,"&gt;="&amp;CB193),O193*ITP_TIPO)),O193*ITP_TIPO))</f>
        <v/>
      </c>
      <c r="CD193" s="4">
        <f>IF(R193="profesional",N(AK193),0)</f>
        <v/>
      </c>
      <c r="CE193" s="3">
        <f>IF(AND(R193="profesional",ISNUMBER(AK193),AL193="sí"),0,TASA_DGT)</f>
        <v/>
      </c>
      <c r="CF193" s="3">
        <f>INFORME_DGT</f>
        <v/>
      </c>
      <c r="CG193" s="4">
        <f>O193+CD193+CC193+CE193+CF193</f>
        <v/>
      </c>
      <c r="CH193" s="4">
        <f>CG193+N(BU193)</f>
        <v/>
      </c>
      <c r="CI193" s="3">
        <f>IF(CG193&lt;=TOTAL_MAX,"sí",IF(CG193&lt;=TOTAL_MAX+MARGEN_NEG,"negociar","no"))</f>
        <v/>
      </c>
      <c r="CJ193" s="4">
        <f>IF(CI193&lt;&gt;"no",COUNTIFS($CI$2:$CI$662,"&lt;&gt;no",$CA$2:$CA$662,"&gt;"&amp;CA193)+COUNTIFS($CI$2:CI193,"&lt;&gt;no",$CA$2:CA193,CA193),"")</f>
        <v/>
      </c>
    </row>
    <row r="194">
      <c r="A194" s="2" t="inlineStr">
        <is>
          <t>cochesnet:71651802</t>
        </is>
      </c>
      <c r="B194" s="2" t="inlineStr">
        <is>
          <t>cochesnet</t>
        </is>
      </c>
      <c r="C194" s="2" t="inlineStr">
        <is>
          <t>https://www.coches.net/ford-focus-16-tdci-90-trend-5p-diesel-2009-en-valencia-71651802-covo.aspx</t>
        </is>
      </c>
      <c r="D194" s="2" t="inlineStr">
        <is>
          <t>FORD Focus 1.6 TDCi 90 Trend</t>
        </is>
      </c>
      <c r="E194" s="2" t="inlineStr">
        <is>
          <t>Ford</t>
        </is>
      </c>
      <c r="F194" s="2" t="inlineStr">
        <is>
          <t>Ford Focus</t>
        </is>
      </c>
      <c r="G194" s="2" t="inlineStr">
        <is>
          <t>1.6 TDCi</t>
        </is>
      </c>
      <c r="H194" s="2" t="inlineStr">
        <is>
          <t>1.6 TDCi 90 Trend</t>
        </is>
      </c>
      <c r="I194" s="2" t="n"/>
      <c r="J194" s="2" t="n"/>
      <c r="K194" s="2" t="inlineStr">
        <is>
          <t>diesel</t>
        </is>
      </c>
      <c r="L194" s="2" t="inlineStr">
        <is>
          <t>compacto</t>
        </is>
      </c>
      <c r="M194" s="2" t="n">
        <v>2009</v>
      </c>
      <c r="N194" s="2" t="n">
        <v>212100</v>
      </c>
      <c r="O194" s="2" t="n">
        <v>4200</v>
      </c>
      <c r="P194" s="2" t="inlineStr">
        <is>
          <t>manual</t>
        </is>
      </c>
      <c r="Q194" s="2" t="inlineStr">
        <is>
          <t>no</t>
        </is>
      </c>
      <c r="R194" s="2" t="inlineStr">
        <is>
          <t>particular</t>
        </is>
      </c>
      <c r="S194" s="2" t="inlineStr">
        <is>
          <t>Museros</t>
        </is>
      </c>
      <c r="T194" s="2" t="inlineStr">
        <is>
          <t>2026-10-01T23:03:23Z</t>
        </is>
      </c>
      <c r="U194" s="2" t="n">
        <v>6</v>
      </c>
      <c r="V194" s="2" t="n"/>
      <c r="W194" s="2" t="n"/>
      <c r="X194" s="2" t="n"/>
      <c r="Y194" s="2" t="n"/>
      <c r="Z194" s="2" t="inlineStr">
        <is>
          <t>no</t>
        </is>
      </c>
      <c r="AA194" s="2" t="n"/>
      <c r="AB194" s="2" t="n"/>
      <c r="AC194" s="2" t="n"/>
      <c r="AD194" s="2" t="n"/>
      <c r="AE194" s="2" t="n"/>
      <c r="AF194" s="2" t="n"/>
      <c r="AG194" s="2" t="n"/>
      <c r="AH194" s="2" t="n">
        <v>4200</v>
      </c>
      <c r="AI194" s="2" t="n"/>
      <c r="AJ194" s="2" t="n"/>
      <c r="AK194" s="2" t="n"/>
      <c r="AL194" s="2" t="n"/>
      <c r="AM194" s="2" t="n">
        <v>10.8</v>
      </c>
      <c r="AN194" s="2" t="n">
        <v>3500</v>
      </c>
      <c r="AO194" s="2" t="n">
        <v>12</v>
      </c>
      <c r="AP194" s="2" t="inlineStr">
        <is>
          <t>modelo+año+km</t>
        </is>
      </c>
      <c r="AQ194" s="2" t="n"/>
      <c r="AR194" s="2" t="inlineStr">
        <is>
          <t>cuota fija ITP: &gt;12 años, 1.501-2.000 cc</t>
        </is>
      </c>
      <c r="AS194" s="2" t="inlineStr">
        <is>
          <t>Ford Focus Diésel en excelente estado. iTV aprobada en agosto. Coche muy confiable , muy bien mantenido y de bajo consumo de combustible, 5 litros/100km. Cambio de aceite y filtros recién realizados. Cubiertas en muy buen estado. Aire acondicionado, elevalunas, espejos retrovisores eléctricos, tapizados, cierre centralizado en perfecto estado y funcionamiento.</t>
        </is>
      </c>
      <c r="AT194" s="2" t="inlineStr">
        <is>
          <t>https://www.coches.net/ford-focus-16-tdci-90-trend-5p-diesel-2009-en-valencia-71651802-covo.aspx (window.__INITIAL_PROPS__.ad) /home/user/Alopecia/buscador-coches/raw/cochesnet/3f3731924c08b2a9.json</t>
        </is>
      </c>
      <c r="AU194" s="3">
        <f>MAX(ANIO_ACTUAL-M194,0)</f>
        <v/>
      </c>
      <c r="AV194" s="4">
        <f>N194/MAX(AU194,0.5)</f>
        <v/>
      </c>
      <c r="AW194" s="4">
        <f>F194</f>
        <v/>
      </c>
      <c r="AX194" s="3">
        <f>AW194&amp;"|"&amp;INT(M194/SEG_ANIO)*SEG_ANIO</f>
        <v/>
      </c>
      <c r="AY194" s="3">
        <f>AX194&amp;"|"&amp;INT(N194/SEG_KM)*SEG_KM</f>
        <v/>
      </c>
      <c r="AZ194" s="4">
        <f>COUNTIF($AW$2:$AW$662,AW194)</f>
        <v/>
      </c>
      <c r="BA194" s="4">
        <f>COUNTIF($AX$2:$AX$662,AX194)</f>
        <v/>
      </c>
      <c r="BB194" s="4">
        <f>COUNTIF($AY$2:$AY$662,AY194)</f>
        <v/>
      </c>
      <c r="BC194" s="3">
        <f t="array" ref="BC194">IF(N(AO194)&gt;=MIN_N,AN194,IF(BB194&gt;=MIN_N,MEDIAN(IF($AY$2:$AY$662=AY194,$O$2:$O$662)),IF(BA194&gt;=MIN_N,MEDIAN(IF($AX$2:$AX$662=AX194,$O$2:$O$662)),MEDIAN(IF($AW$2:$AW$662=AW194,$O$2:$O$662)))))</f>
        <v/>
      </c>
      <c r="BD194" s="3">
        <f>IF(N(AO194)&gt;=MIN_N,"mercado "&amp;AP194,IF(BB194&gt;=MIN_N,"modelo+año+km",IF(BA194&gt;=MIN_N,"modelo+año","modelo")))</f>
        <v/>
      </c>
      <c r="BE194" s="4">
        <f>(BC194-O194)/BC194</f>
        <v/>
      </c>
      <c r="BF194" s="3">
        <f>IF(OR(K194="hibrido",K194="glp"),"ECO",IF(K194="electrico","CERO",IF(K194="gasolina",IF(M194&gt;=GAS_C,"C",IF(M194&gt;=GAS_B,"B","A")),IF(K194="diesel",IF(M194&gt;=DIE_C,"C",IF(M194&gt;=DIE_B,"B","A")),""))))</f>
        <v/>
      </c>
      <c r="BG194" s="3">
        <f>IFERROR(VLOOKUP(F194,MOD_TBL,11,0),IFERROR(VLOOKUP(E194,OCU_TBL,2,0),NEUTRO))</f>
        <v/>
      </c>
      <c r="BH194" s="3">
        <f>SUMIFS(MOT_AJUSTE,MOT_MOTOR,G194,MOT_MARCA,E194,MOT_DESDE,"&lt;="&amp;M194,MOT_HASTA,"&gt;="&amp;M194)+SUMIFS(MOT_AJUSTE,MOT_MOTOR,G194,MOT_MARCA,"(todas)",MOT_DESDE,"&lt;="&amp;M194,MOT_HASTA,"&gt;="&amp;M194)</f>
        <v/>
      </c>
      <c r="BI194" s="3">
        <f>SUMIFS(COMB_AJUSTE,COMB_COMB,K194)</f>
        <v/>
      </c>
      <c r="BJ194" s="3">
        <f>COUNTIFS(MOT_MOTOR,G194,MOT_MARCA,E194,MOT_DESDE,"&lt;="&amp;M194,MOT_HASTA,"&gt;="&amp;M194)+COUNTIFS(MOT_MOTOR,G194,MOT_MARCA,"(todas)",MOT_DESDE,"&lt;="&amp;M194,MOT_HASTA,"&gt;="&amp;M194)</f>
        <v/>
      </c>
      <c r="BK194" s="3">
        <f>IF(AND(K194="diesel",BJ194=0),MIN(BG194,NEUTRO),BG194)</f>
        <v/>
      </c>
      <c r="BL194" s="4">
        <f>MAX(0,MIN(100,BK194+BH194+BI194))</f>
        <v/>
      </c>
      <c r="BM194" s="3">
        <f>MAX(0,MIN(100,50+BE194*PRECIO_PEND))</f>
        <v/>
      </c>
      <c r="BN194" s="3">
        <f>MAX(0,100*(1-N194/KM_MAX))</f>
        <v/>
      </c>
      <c r="BO194" s="3">
        <f>IF(AV194&lt;KMA_SOSP,IF(AA194="sí",100,KMA_PEN),IF(AV194&lt;=KMA_IDEAL_MAX,100,MAX(0,100*(KMA_CERO-AV194)/(KMA_CERO-KMA_IDEAL_MAX))))</f>
        <v/>
      </c>
      <c r="BP194" s="3">
        <f>MAX(0,MIN(100,100*(M194-ANIO_MIN)/(ANIO_ACTUAL-ANIO_MIN)))</f>
        <v/>
      </c>
      <c r="BQ194" s="3">
        <f>W_KMT*BN194+W_KMA*BO194+W_EDAD*BP194</f>
        <v/>
      </c>
      <c r="BR194" s="3">
        <f>P_ITV*(V194="sí")+P_LIBRO*(W194="sí")+P_CORREA*(X194="sí")+P_PROP*(Y194=1)+P_GAR*(Z194="sí")+P_FOTOS*MIN(1,N(U194)/FOTOS_OBJ)</f>
        <v/>
      </c>
      <c r="BS194" s="3">
        <f>IFERROR(VLOOKUP(BF194,ETQ_TBL,2,0),NEUTRO)</f>
        <v/>
      </c>
      <c r="BT194" s="3">
        <f>NEUTRO</f>
        <v/>
      </c>
      <c r="BU194" s="3">
        <f>IFERROR(VLOOKUP(L194,SEGURO_TBL,3,0),"")</f>
        <v/>
      </c>
      <c r="BV194" s="3">
        <f>IF(BU194="",NEUTRO,MAX(0,MIN(100,100*(SEG_REF_MAX-BU194)/(SEG_REF_MAX-SEG_REF_MIN))))</f>
        <v/>
      </c>
      <c r="BW194" s="3">
        <f>W_ET*BS194+W_CONS*BT194+W_SEG*BV194</f>
        <v/>
      </c>
      <c r="BX194" s="3">
        <f>IF(N(AB194)&gt;0,AB194,IF(AND(R194="profesional",SG_LEGAL_ON=1),GAR_LEGAL,0))</f>
        <v/>
      </c>
      <c r="BY194" s="3">
        <f>SG_GAR*MIN(1,BX194/SG_GAR_FULL)+SG_AMPL*(AC194="sí")+SG_KMC*(AF194="sí")+SG_REV*(N(AE194)&gt;0)+SG_DEV*MIN(1,N(AG194)/SG_DEV_FULL)+SG_HIST*(W194="sí")</f>
        <v/>
      </c>
      <c r="BZ194" s="3">
        <f>IFERROR(VLOOKUP(L194,CARR_PEN_TBL,2,0),0)</f>
        <v/>
      </c>
      <c r="CA194" s="3">
        <f>W_FIAB*BL194+W_PRECIO*BM194+W_KMEDAD*BQ194+W_ANUNCIO*BR194+W_USO*BW194+W_SEGURIDAD*BY194-BZ194</f>
        <v/>
      </c>
      <c r="CB194" s="4">
        <f>IF(N(I194)&gt;0,I194,IFERROR(ROUND(_xlfn.NUMBERVALUE(LEFT(G194,FIND(" ",G194&amp;" ")-1),".")*1000,0),99999))</f>
        <v/>
      </c>
      <c r="CC194" s="3">
        <f>IF(R194="profesional",0,IF(O194&lt;CUOTA_VALOR_MAX,IF(AU194&gt;ITP_TRAMO_ALTO,SUMIFS(CF_CUOTA,CF_MAS,ITP_TRAMO_ALTO,CF_CCMIN,"&lt;="&amp;CB194,CF_CCMAX,"&gt;="&amp;CB194),IF(AU194&gt;ITP_TRAMO_BAJO,SUMIFS(CF_CUOTA,CF_MAS,ITP_TRAMO_BAJO,CF_CCMIN,"&lt;="&amp;CB194,CF_CCMAX,"&gt;="&amp;CB194),O194*ITP_TIPO)),O194*ITP_TIPO))</f>
        <v/>
      </c>
      <c r="CD194" s="4">
        <f>IF(R194="profesional",N(AK194),0)</f>
        <v/>
      </c>
      <c r="CE194" s="3">
        <f>IF(AND(R194="profesional",ISNUMBER(AK194),AL194="sí"),0,TASA_DGT)</f>
        <v/>
      </c>
      <c r="CF194" s="3">
        <f>INFORME_DGT</f>
        <v/>
      </c>
      <c r="CG194" s="4">
        <f>O194+CD194+CC194+CE194+CF194</f>
        <v/>
      </c>
      <c r="CH194" s="4">
        <f>CG194+N(BU194)</f>
        <v/>
      </c>
      <c r="CI194" s="3">
        <f>IF(CG194&lt;=TOTAL_MAX,"sí",IF(CG194&lt;=TOTAL_MAX+MARGEN_NEG,"negociar","no"))</f>
        <v/>
      </c>
      <c r="CJ194" s="4">
        <f>IF(CI194&lt;&gt;"no",COUNTIFS($CI$2:$CI$662,"&lt;&gt;no",$CA$2:$CA$662,"&gt;"&amp;CA194)+COUNTIFS($CI$2:CI194,"&lt;&gt;no",$CA$2:CA194,CA194),"")</f>
        <v/>
      </c>
    </row>
    <row r="195">
      <c r="A195" s="2" t="inlineStr">
        <is>
          <t>cochesnet:71816544</t>
        </is>
      </c>
      <c r="B195" s="2" t="inlineStr">
        <is>
          <t>cochesnet</t>
        </is>
      </c>
      <c r="C195" s="2" t="inlineStr">
        <is>
          <t>https://www.coches.net/fiat-punto-12-active-e5-5p-gasolina-2009-en-valencia-71816544-covo.aspx</t>
        </is>
      </c>
      <c r="D195" s="2" t="inlineStr">
        <is>
          <t>FIAT Punto 1.2 Active E5</t>
        </is>
      </c>
      <c r="E195" s="2" t="inlineStr">
        <is>
          <t>Fiat</t>
        </is>
      </c>
      <c r="F195" s="2" t="inlineStr">
        <is>
          <t>Fiat Punto</t>
        </is>
      </c>
      <c r="G195" s="2" t="inlineStr">
        <is>
          <t>1.2</t>
        </is>
      </c>
      <c r="H195" s="2" t="inlineStr">
        <is>
          <t>1.2 Active E5</t>
        </is>
      </c>
      <c r="I195" s="2" t="n"/>
      <c r="J195" s="2" t="n"/>
      <c r="K195" s="2" t="inlineStr">
        <is>
          <t>gasolina</t>
        </is>
      </c>
      <c r="L195" s="2" t="inlineStr">
        <is>
          <t>utilitario</t>
        </is>
      </c>
      <c r="M195" s="2" t="n">
        <v>2010</v>
      </c>
      <c r="N195" s="2" t="n">
        <v>150000</v>
      </c>
      <c r="O195" s="2" t="n">
        <v>3850</v>
      </c>
      <c r="P195" s="2" t="inlineStr">
        <is>
          <t>manual</t>
        </is>
      </c>
      <c r="Q195" s="2" t="inlineStr">
        <is>
          <t>no</t>
        </is>
      </c>
      <c r="R195" s="2" t="inlineStr">
        <is>
          <t>profesional</t>
        </is>
      </c>
      <c r="S195" s="2" t="inlineStr">
        <is>
          <t>AUTOMOVILES CASTILLO PEPE Manises</t>
        </is>
      </c>
      <c r="T195" s="2" t="inlineStr">
        <is>
          <t>2026-10-23T12:44:12Z</t>
        </is>
      </c>
      <c r="U195" s="2" t="n">
        <v>15</v>
      </c>
      <c r="V195" s="2" t="inlineStr">
        <is>
          <t>sí</t>
        </is>
      </c>
      <c r="W195" s="2" t="n"/>
      <c r="X195" s="2" t="inlineStr">
        <is>
          <t>sí</t>
        </is>
      </c>
      <c r="Y195" s="2" t="n"/>
      <c r="Z195" s="2" t="inlineStr">
        <is>
          <t>sí</t>
        </is>
      </c>
      <c r="AA195" s="2" t="n"/>
      <c r="AB195" s="2" t="n">
        <v>12</v>
      </c>
      <c r="AC195" s="2" t="n"/>
      <c r="AD195" s="2" t="n"/>
      <c r="AE195" s="2" t="n"/>
      <c r="AF195" s="2" t="inlineStr">
        <is>
          <t>sí</t>
        </is>
      </c>
      <c r="AG195" s="2" t="n"/>
      <c r="AH195" s="2" t="n">
        <v>3850</v>
      </c>
      <c r="AI195" s="2" t="n">
        <v>3850</v>
      </c>
      <c r="AJ195" s="2" t="n"/>
      <c r="AK195" s="2" t="n"/>
      <c r="AL195" s="2" t="n"/>
      <c r="AM195" s="2" t="n">
        <v>8.1</v>
      </c>
      <c r="AN195" s="2" t="n">
        <v>3400</v>
      </c>
      <c r="AO195" s="2" t="n">
        <v>12</v>
      </c>
      <c r="AP195" s="2" t="inlineStr">
        <is>
          <t>modelo+año</t>
        </is>
      </c>
      <c r="AQ195" s="2" t="n"/>
      <c r="AR195" s="2" t="inlineStr">
        <is>
          <t>vendedor profesional: sin ITP (operación con IVA/REBU, confirmar en factura); gastos de gestión del vendedor no indicados: se suma la tasa DGT; preguntar el precio final; fiabilidad del modelo PENDIENTE de fuente (puntuación neutra)</t>
        </is>
      </c>
      <c r="AS195"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T195" s="2" t="inlineStr">
        <is>
          <t>https://www.coches.net/fiat-punto-12-active-e5-5p-gasolina-2009-en-valencia-71816544-covo.aspx (window.__INITIAL_PROPS__.ad) /home/user/Alopecia/buscador-coches/raw/cochesnet/b1d6094a69e8be9b.json</t>
        </is>
      </c>
      <c r="AU195" s="3">
        <f>MAX(ANIO_ACTUAL-M195,0)</f>
        <v/>
      </c>
      <c r="AV195" s="4">
        <f>N195/MAX(AU195,0.5)</f>
        <v/>
      </c>
      <c r="AW195" s="4">
        <f>F195</f>
        <v/>
      </c>
      <c r="AX195" s="3">
        <f>AW195&amp;"|"&amp;INT(M195/SEG_ANIO)*SEG_ANIO</f>
        <v/>
      </c>
      <c r="AY195" s="3">
        <f>AX195&amp;"|"&amp;INT(N195/SEG_KM)*SEG_KM</f>
        <v/>
      </c>
      <c r="AZ195" s="4">
        <f>COUNTIF($AW$2:$AW$662,AW195)</f>
        <v/>
      </c>
      <c r="BA195" s="4">
        <f>COUNTIF($AX$2:$AX$662,AX195)</f>
        <v/>
      </c>
      <c r="BB195" s="4">
        <f>COUNTIF($AY$2:$AY$662,AY195)</f>
        <v/>
      </c>
      <c r="BC195" s="3">
        <f t="array" ref="BC195">IF(N(AO195)&gt;=MIN_N,AN195,IF(BB195&gt;=MIN_N,MEDIAN(IF($AY$2:$AY$662=AY195,$O$2:$O$662)),IF(BA195&gt;=MIN_N,MEDIAN(IF($AX$2:$AX$662=AX195,$O$2:$O$662)),MEDIAN(IF($AW$2:$AW$662=AW195,$O$2:$O$662)))))</f>
        <v/>
      </c>
      <c r="BD195" s="3">
        <f>IF(N(AO195)&gt;=MIN_N,"mercado "&amp;AP195,IF(BB195&gt;=MIN_N,"modelo+año+km",IF(BA195&gt;=MIN_N,"modelo+año","modelo")))</f>
        <v/>
      </c>
      <c r="BE195" s="4">
        <f>(BC195-O195)/BC195</f>
        <v/>
      </c>
      <c r="BF195" s="3">
        <f>IF(OR(K195="hibrido",K195="glp"),"ECO",IF(K195="electrico","CERO",IF(K195="gasolina",IF(M195&gt;=GAS_C,"C",IF(M195&gt;=GAS_B,"B","A")),IF(K195="diesel",IF(M195&gt;=DIE_C,"C",IF(M195&gt;=DIE_B,"B","A")),""))))</f>
        <v/>
      </c>
      <c r="BG195" s="3">
        <f>IFERROR(VLOOKUP(F195,MOD_TBL,11,0),IFERROR(VLOOKUP(E195,OCU_TBL,2,0),NEUTRO))</f>
        <v/>
      </c>
      <c r="BH195" s="3">
        <f>SUMIFS(MOT_AJUSTE,MOT_MOTOR,G195,MOT_MARCA,E195,MOT_DESDE,"&lt;="&amp;M195,MOT_HASTA,"&gt;="&amp;M195)+SUMIFS(MOT_AJUSTE,MOT_MOTOR,G195,MOT_MARCA,"(todas)",MOT_DESDE,"&lt;="&amp;M195,MOT_HASTA,"&gt;="&amp;M195)</f>
        <v/>
      </c>
      <c r="BI195" s="3">
        <f>SUMIFS(COMB_AJUSTE,COMB_COMB,K195)</f>
        <v/>
      </c>
      <c r="BJ195" s="3">
        <f>COUNTIFS(MOT_MOTOR,G195,MOT_MARCA,E195,MOT_DESDE,"&lt;="&amp;M195,MOT_HASTA,"&gt;="&amp;M195)+COUNTIFS(MOT_MOTOR,G195,MOT_MARCA,"(todas)",MOT_DESDE,"&lt;="&amp;M195,MOT_HASTA,"&gt;="&amp;M195)</f>
        <v/>
      </c>
      <c r="BK195" s="3">
        <f>IF(AND(K195="diesel",BJ195=0),MIN(BG195,NEUTRO),BG195)</f>
        <v/>
      </c>
      <c r="BL195" s="4">
        <f>MAX(0,MIN(100,BK195+BH195+BI195))</f>
        <v/>
      </c>
      <c r="BM195" s="3">
        <f>MAX(0,MIN(100,50+BE195*PRECIO_PEND))</f>
        <v/>
      </c>
      <c r="BN195" s="3">
        <f>MAX(0,100*(1-N195/KM_MAX))</f>
        <v/>
      </c>
      <c r="BO195" s="3">
        <f>IF(AV195&lt;KMA_SOSP,IF(AA195="sí",100,KMA_PEN),IF(AV195&lt;=KMA_IDEAL_MAX,100,MAX(0,100*(KMA_CERO-AV195)/(KMA_CERO-KMA_IDEAL_MAX))))</f>
        <v/>
      </c>
      <c r="BP195" s="3">
        <f>MAX(0,MIN(100,100*(M195-ANIO_MIN)/(ANIO_ACTUAL-ANIO_MIN)))</f>
        <v/>
      </c>
      <c r="BQ195" s="3">
        <f>W_KMT*BN195+W_KMA*BO195+W_EDAD*BP195</f>
        <v/>
      </c>
      <c r="BR195" s="3">
        <f>P_ITV*(V195="sí")+P_LIBRO*(W195="sí")+P_CORREA*(X195="sí")+P_PROP*(Y195=1)+P_GAR*(Z195="sí")+P_FOTOS*MIN(1,N(U195)/FOTOS_OBJ)</f>
        <v/>
      </c>
      <c r="BS195" s="3">
        <f>IFERROR(VLOOKUP(BF195,ETQ_TBL,2,0),NEUTRO)</f>
        <v/>
      </c>
      <c r="BT195" s="3">
        <f>NEUTRO</f>
        <v/>
      </c>
      <c r="BU195" s="3">
        <f>IFERROR(VLOOKUP(L195,SEGURO_TBL,3,0),"")</f>
        <v/>
      </c>
      <c r="BV195" s="3">
        <f>IF(BU195="",NEUTRO,MAX(0,MIN(100,100*(SEG_REF_MAX-BU195)/(SEG_REF_MAX-SEG_REF_MIN))))</f>
        <v/>
      </c>
      <c r="BW195" s="3">
        <f>W_ET*BS195+W_CONS*BT195+W_SEG*BV195</f>
        <v/>
      </c>
      <c r="BX195" s="3">
        <f>IF(N(AB195)&gt;0,AB195,IF(AND(R195="profesional",SG_LEGAL_ON=1),GAR_LEGAL,0))</f>
        <v/>
      </c>
      <c r="BY195" s="3">
        <f>SG_GAR*MIN(1,BX195/SG_GAR_FULL)+SG_AMPL*(AC195="sí")+SG_KMC*(AF195="sí")+SG_REV*(N(AE195)&gt;0)+SG_DEV*MIN(1,N(AG195)/SG_DEV_FULL)+SG_HIST*(W195="sí")</f>
        <v/>
      </c>
      <c r="BZ195" s="3">
        <f>IFERROR(VLOOKUP(L195,CARR_PEN_TBL,2,0),0)</f>
        <v/>
      </c>
      <c r="CA195" s="3">
        <f>W_FIAB*BL195+W_PRECIO*BM195+W_KMEDAD*BQ195+W_ANUNCIO*BR195+W_USO*BW195+W_SEGURIDAD*BY195-BZ195</f>
        <v/>
      </c>
      <c r="CB195" s="4">
        <f>IF(N(I195)&gt;0,I195,IFERROR(ROUND(_xlfn.NUMBERVALUE(LEFT(G195,FIND(" ",G195&amp;" ")-1),".")*1000,0),99999))</f>
        <v/>
      </c>
      <c r="CC195" s="3">
        <f>IF(R195="profesional",0,IF(O195&lt;CUOTA_VALOR_MAX,IF(AU195&gt;ITP_TRAMO_ALTO,SUMIFS(CF_CUOTA,CF_MAS,ITP_TRAMO_ALTO,CF_CCMIN,"&lt;="&amp;CB195,CF_CCMAX,"&gt;="&amp;CB195),IF(AU195&gt;ITP_TRAMO_BAJO,SUMIFS(CF_CUOTA,CF_MAS,ITP_TRAMO_BAJO,CF_CCMIN,"&lt;="&amp;CB195,CF_CCMAX,"&gt;="&amp;CB195),O195*ITP_TIPO)),O195*ITP_TIPO))</f>
        <v/>
      </c>
      <c r="CD195" s="4">
        <f>IF(R195="profesional",N(AK195),0)</f>
        <v/>
      </c>
      <c r="CE195" s="3">
        <f>IF(AND(R195="profesional",ISNUMBER(AK195),AL195="sí"),0,TASA_DGT)</f>
        <v/>
      </c>
      <c r="CF195" s="3">
        <f>INFORME_DGT</f>
        <v/>
      </c>
      <c r="CG195" s="4">
        <f>O195+CD195+CC195+CE195+CF195</f>
        <v/>
      </c>
      <c r="CH195" s="4">
        <f>CG195+N(BU195)</f>
        <v/>
      </c>
      <c r="CI195" s="3">
        <f>IF(CG195&lt;=TOTAL_MAX,"sí",IF(CG195&lt;=TOTAL_MAX+MARGEN_NEG,"negociar","no"))</f>
        <v/>
      </c>
      <c r="CJ195" s="4">
        <f>IF(CI195&lt;&gt;"no",COUNTIFS($CI$2:$CI$662,"&lt;&gt;no",$CA$2:$CA$662,"&gt;"&amp;CA195)+COUNTIFS($CI$2:CI195,"&lt;&gt;no",$CA$2:CA195,CA195),"")</f>
        <v/>
      </c>
    </row>
    <row r="196">
      <c r="A196" s="2" t="inlineStr">
        <is>
          <t>cochesnet:71785002</t>
        </is>
      </c>
      <c r="B196" s="2" t="inlineStr">
        <is>
          <t>cochesnet</t>
        </is>
      </c>
      <c r="C196" s="2" t="inlineStr">
        <is>
          <t>https://www.coches.net/suzuki-swift-13-gl-3p-3p-gasolina-2009-en-valencia-71785002-covo.aspx</t>
        </is>
      </c>
      <c r="D196" s="2" t="inlineStr">
        <is>
          <t>SUZUKI Swift 1.3 GL</t>
        </is>
      </c>
      <c r="E196" s="2" t="inlineStr">
        <is>
          <t>Suzuki</t>
        </is>
      </c>
      <c r="F196" s="2" t="inlineStr">
        <is>
          <t>Suzuki Swift</t>
        </is>
      </c>
      <c r="G196" s="2" t="inlineStr">
        <is>
          <t>1.3</t>
        </is>
      </c>
      <c r="H196" s="2" t="inlineStr">
        <is>
          <t>1.3 GL 3p</t>
        </is>
      </c>
      <c r="I196" s="2" t="n"/>
      <c r="J196" s="2" t="n"/>
      <c r="K196" s="2" t="inlineStr">
        <is>
          <t>gasolina</t>
        </is>
      </c>
      <c r="L196" s="2" t="inlineStr">
        <is>
          <t>utilitario</t>
        </is>
      </c>
      <c r="M196" s="2" t="n">
        <v>2009</v>
      </c>
      <c r="N196" s="2" t="n">
        <v>84000</v>
      </c>
      <c r="O196" s="2" t="n">
        <v>4500</v>
      </c>
      <c r="P196" s="2" t="inlineStr">
        <is>
          <t>manual</t>
        </is>
      </c>
      <c r="Q196" s="2" t="inlineStr">
        <is>
          <t>no</t>
        </is>
      </c>
      <c r="R196" s="2" t="inlineStr">
        <is>
          <t>particular</t>
        </is>
      </c>
      <c r="S196" s="2" t="inlineStr">
        <is>
          <t>Paterna</t>
        </is>
      </c>
      <c r="T196" s="2" t="inlineStr">
        <is>
          <t>2026-10-19T19:52:40Z</t>
        </is>
      </c>
      <c r="U196" s="2" t="n">
        <v>22</v>
      </c>
      <c r="V196" s="2" t="n"/>
      <c r="W196" s="2" t="n"/>
      <c r="X196" s="2" t="n"/>
      <c r="Y196" s="2" t="n"/>
      <c r="Z196" s="2" t="inlineStr">
        <is>
          <t>no</t>
        </is>
      </c>
      <c r="AA196" s="2" t="n"/>
      <c r="AB196" s="2" t="n"/>
      <c r="AC196" s="2" t="n"/>
      <c r="AD196" s="2" t="n"/>
      <c r="AE196" s="2" t="n"/>
      <c r="AF196" s="2" t="n"/>
      <c r="AG196" s="2" t="n"/>
      <c r="AH196" s="2" t="n">
        <v>4500</v>
      </c>
      <c r="AI196" s="2" t="n"/>
      <c r="AJ196" s="2" t="n"/>
      <c r="AK196" s="2" t="n"/>
      <c r="AL196" s="2" t="n"/>
      <c r="AM196" s="2" t="n">
        <v>6.8</v>
      </c>
      <c r="AN196" s="2" t="n">
        <v>4000</v>
      </c>
      <c r="AO196" s="2" t="n">
        <v>4</v>
      </c>
      <c r="AP196" s="2" t="inlineStr">
        <is>
          <t>modelo+año</t>
        </is>
      </c>
      <c r="AQ196" s="2" t="n"/>
      <c r="AR196" s="2" t="inlineStr">
        <is>
          <t>cuota fija ITP: &gt;12 años, hasta 1.500 cc</t>
        </is>
      </c>
      <c r="AS196" s="2" t="inlineStr">
        <is>
          <t xml:space="preserve">- Modelo: Suzuki Swift MZ 2009
- Menos de 84.000 KM 
- Carrocería: turismo 3 puertas
- Motor: M13A
- Cilindrada: 1.328 cm³
- Combustible: gasolina
- Potencia: 67 kW, aproximadamente 91–92 CV
- Cambio: manual
- Tracción: delantera
- Plazas: 4
- Longitud: 3,76 m
- Anchura: 1,69 m
- Altura: 1,50 m
- Batalla: 2,38 m
- Vías: 1,47 / 1,48 m
- Peso máximo autorizado: 1.485 kg
- Neumáticos homologados: 185/60 R15 84H
- Motor M13A, que corresponde al 1.3 VVT gasolina de esta generación. 
- Aire acondicionado y calefacción. 
- Radio
Defectos:
* Pequeños desgastes de carrocería en la parte trasera y en las puertas (es algo estético) 
* Cambio necesario de neumáticos (300-400 euros)
* Solo 1 llave y manual 
* La ITV la vuelve a pasar en Diciembre 
EL PRECIO YA ESTA REBAJADO TENIENDO ESTO EN CUENTA.
Destacar que tan solo tiene 84.000 km. 
</t>
        </is>
      </c>
      <c r="AT196" s="2" t="inlineStr">
        <is>
          <t>https://www.coches.net/suzuki-swift-13-gl-3p-3p-gasolina-2009-en-valencia-71785002-covo.aspx (window.__INITIAL_PROPS__.ad) /home/user/Alopecia/buscador-coches/raw/cochesnet/59bedcd1b45cb8f3.json</t>
        </is>
      </c>
      <c r="AU196" s="3">
        <f>MAX(ANIO_ACTUAL-M196,0)</f>
        <v/>
      </c>
      <c r="AV196" s="4">
        <f>N196/MAX(AU196,0.5)</f>
        <v/>
      </c>
      <c r="AW196" s="4">
        <f>F196</f>
        <v/>
      </c>
      <c r="AX196" s="3">
        <f>AW196&amp;"|"&amp;INT(M196/SEG_ANIO)*SEG_ANIO</f>
        <v/>
      </c>
      <c r="AY196" s="3">
        <f>AX196&amp;"|"&amp;INT(N196/SEG_KM)*SEG_KM</f>
        <v/>
      </c>
      <c r="AZ196" s="4">
        <f>COUNTIF($AW$2:$AW$662,AW196)</f>
        <v/>
      </c>
      <c r="BA196" s="4">
        <f>COUNTIF($AX$2:$AX$662,AX196)</f>
        <v/>
      </c>
      <c r="BB196" s="4">
        <f>COUNTIF($AY$2:$AY$662,AY196)</f>
        <v/>
      </c>
      <c r="BC196" s="3">
        <f t="array" ref="BC196">IF(N(AO196)&gt;=MIN_N,AN196,IF(BB196&gt;=MIN_N,MEDIAN(IF($AY$2:$AY$662=AY196,$O$2:$O$662)),IF(BA196&gt;=MIN_N,MEDIAN(IF($AX$2:$AX$662=AX196,$O$2:$O$662)),MEDIAN(IF($AW$2:$AW$662=AW196,$O$2:$O$662)))))</f>
        <v/>
      </c>
      <c r="BD196" s="3">
        <f>IF(N(AO196)&gt;=MIN_N,"mercado "&amp;AP196,IF(BB196&gt;=MIN_N,"modelo+año+km",IF(BA196&gt;=MIN_N,"modelo+año","modelo")))</f>
        <v/>
      </c>
      <c r="BE196" s="4">
        <f>(BC196-O196)/BC196</f>
        <v/>
      </c>
      <c r="BF196" s="3">
        <f>IF(OR(K196="hibrido",K196="glp"),"ECO",IF(K196="electrico","CERO",IF(K196="gasolina",IF(M196&gt;=GAS_C,"C",IF(M196&gt;=GAS_B,"B","A")),IF(K196="diesel",IF(M196&gt;=DIE_C,"C",IF(M196&gt;=DIE_B,"B","A")),""))))</f>
        <v/>
      </c>
      <c r="BG196" s="3">
        <f>IFERROR(VLOOKUP(F196,MOD_TBL,11,0),IFERROR(VLOOKUP(E196,OCU_TBL,2,0),NEUTRO))</f>
        <v/>
      </c>
      <c r="BH196" s="3">
        <f>SUMIFS(MOT_AJUSTE,MOT_MOTOR,G196,MOT_MARCA,E196,MOT_DESDE,"&lt;="&amp;M196,MOT_HASTA,"&gt;="&amp;M196)+SUMIFS(MOT_AJUSTE,MOT_MOTOR,G196,MOT_MARCA,"(todas)",MOT_DESDE,"&lt;="&amp;M196,MOT_HASTA,"&gt;="&amp;M196)</f>
        <v/>
      </c>
      <c r="BI196" s="3">
        <f>SUMIFS(COMB_AJUSTE,COMB_COMB,K196)</f>
        <v/>
      </c>
      <c r="BJ196" s="3">
        <f>COUNTIFS(MOT_MOTOR,G196,MOT_MARCA,E196,MOT_DESDE,"&lt;="&amp;M196,MOT_HASTA,"&gt;="&amp;M196)+COUNTIFS(MOT_MOTOR,G196,MOT_MARCA,"(todas)",MOT_DESDE,"&lt;="&amp;M196,MOT_HASTA,"&gt;="&amp;M196)</f>
        <v/>
      </c>
      <c r="BK196" s="3">
        <f>IF(AND(K196="diesel",BJ196=0),MIN(BG196,NEUTRO),BG196)</f>
        <v/>
      </c>
      <c r="BL196" s="4">
        <f>MAX(0,MIN(100,BK196+BH196+BI196))</f>
        <v/>
      </c>
      <c r="BM196" s="3">
        <f>MAX(0,MIN(100,50+BE196*PRECIO_PEND))</f>
        <v/>
      </c>
      <c r="BN196" s="3">
        <f>MAX(0,100*(1-N196/KM_MAX))</f>
        <v/>
      </c>
      <c r="BO196" s="3">
        <f>IF(AV196&lt;KMA_SOSP,IF(AA196="sí",100,KMA_PEN),IF(AV196&lt;=KMA_IDEAL_MAX,100,MAX(0,100*(KMA_CERO-AV196)/(KMA_CERO-KMA_IDEAL_MAX))))</f>
        <v/>
      </c>
      <c r="BP196" s="3">
        <f>MAX(0,MIN(100,100*(M196-ANIO_MIN)/(ANIO_ACTUAL-ANIO_MIN)))</f>
        <v/>
      </c>
      <c r="BQ196" s="3">
        <f>W_KMT*BN196+W_KMA*BO196+W_EDAD*BP196</f>
        <v/>
      </c>
      <c r="BR196" s="3">
        <f>P_ITV*(V196="sí")+P_LIBRO*(W196="sí")+P_CORREA*(X196="sí")+P_PROP*(Y196=1)+P_GAR*(Z196="sí")+P_FOTOS*MIN(1,N(U196)/FOTOS_OBJ)</f>
        <v/>
      </c>
      <c r="BS196" s="3">
        <f>IFERROR(VLOOKUP(BF196,ETQ_TBL,2,0),NEUTRO)</f>
        <v/>
      </c>
      <c r="BT196" s="3">
        <f>NEUTRO</f>
        <v/>
      </c>
      <c r="BU196" s="3">
        <f>IFERROR(VLOOKUP(L196,SEGURO_TBL,3,0),"")</f>
        <v/>
      </c>
      <c r="BV196" s="3">
        <f>IF(BU196="",NEUTRO,MAX(0,MIN(100,100*(SEG_REF_MAX-BU196)/(SEG_REF_MAX-SEG_REF_MIN))))</f>
        <v/>
      </c>
      <c r="BW196" s="3">
        <f>W_ET*BS196+W_CONS*BT196+W_SEG*BV196</f>
        <v/>
      </c>
      <c r="BX196" s="3">
        <f>IF(N(AB196)&gt;0,AB196,IF(AND(R196="profesional",SG_LEGAL_ON=1),GAR_LEGAL,0))</f>
        <v/>
      </c>
      <c r="BY196" s="3">
        <f>SG_GAR*MIN(1,BX196/SG_GAR_FULL)+SG_AMPL*(AC196="sí")+SG_KMC*(AF196="sí")+SG_REV*(N(AE196)&gt;0)+SG_DEV*MIN(1,N(AG196)/SG_DEV_FULL)+SG_HIST*(W196="sí")</f>
        <v/>
      </c>
      <c r="BZ196" s="3">
        <f>IFERROR(VLOOKUP(L196,CARR_PEN_TBL,2,0),0)</f>
        <v/>
      </c>
      <c r="CA196" s="3">
        <f>W_FIAB*BL196+W_PRECIO*BM196+W_KMEDAD*BQ196+W_ANUNCIO*BR196+W_USO*BW196+W_SEGURIDAD*BY196-BZ196</f>
        <v/>
      </c>
      <c r="CB196" s="4">
        <f>IF(N(I196)&gt;0,I196,IFERROR(ROUND(_xlfn.NUMBERVALUE(LEFT(G196,FIND(" ",G196&amp;" ")-1),".")*1000,0),99999))</f>
        <v/>
      </c>
      <c r="CC196" s="3">
        <f>IF(R196="profesional",0,IF(O196&lt;CUOTA_VALOR_MAX,IF(AU196&gt;ITP_TRAMO_ALTO,SUMIFS(CF_CUOTA,CF_MAS,ITP_TRAMO_ALTO,CF_CCMIN,"&lt;="&amp;CB196,CF_CCMAX,"&gt;="&amp;CB196),IF(AU196&gt;ITP_TRAMO_BAJO,SUMIFS(CF_CUOTA,CF_MAS,ITP_TRAMO_BAJO,CF_CCMIN,"&lt;="&amp;CB196,CF_CCMAX,"&gt;="&amp;CB196),O196*ITP_TIPO)),O196*ITP_TIPO))</f>
        <v/>
      </c>
      <c r="CD196" s="4">
        <f>IF(R196="profesional",N(AK196),0)</f>
        <v/>
      </c>
      <c r="CE196" s="3">
        <f>IF(AND(R196="profesional",ISNUMBER(AK196),AL196="sí"),0,TASA_DGT)</f>
        <v/>
      </c>
      <c r="CF196" s="3">
        <f>INFORME_DGT</f>
        <v/>
      </c>
      <c r="CG196" s="4">
        <f>O196+CD196+CC196+CE196+CF196</f>
        <v/>
      </c>
      <c r="CH196" s="4">
        <f>CG196+N(BU196)</f>
        <v/>
      </c>
      <c r="CI196" s="3">
        <f>IF(CG196&lt;=TOTAL_MAX,"sí",IF(CG196&lt;=TOTAL_MAX+MARGEN_NEG,"negociar","no"))</f>
        <v/>
      </c>
      <c r="CJ196" s="4">
        <f>IF(CI196&lt;&gt;"no",COUNTIFS($CI$2:$CI$662,"&lt;&gt;no",$CA$2:$CA$662,"&gt;"&amp;CA196)+COUNTIFS($CI$2:CI196,"&lt;&gt;no",$CA$2:CA196,CA196),"")</f>
        <v/>
      </c>
    </row>
    <row r="197">
      <c r="A197" s="2" t="inlineStr">
        <is>
          <t>cochesnet:71388781</t>
        </is>
      </c>
      <c r="B197" s="2" t="inlineStr">
        <is>
          <t>cochesnet</t>
        </is>
      </c>
      <c r="C197" s="2" t="inlineStr">
        <is>
          <t>https://www.coches.net/suzuki-alto-10-gl-5p-gasolina-2009-en-valencia-71388781-covo.aspx</t>
        </is>
      </c>
      <c r="D197" s="2" t="inlineStr">
        <is>
          <t>SUZUKI Alto 1.0 GL</t>
        </is>
      </c>
      <c r="E197" s="2" t="inlineStr">
        <is>
          <t>Suzuki</t>
        </is>
      </c>
      <c r="F197" s="2" t="inlineStr">
        <is>
          <t>Suzuki Alto</t>
        </is>
      </c>
      <c r="G197" s="2" t="inlineStr">
        <is>
          <t>1.0</t>
        </is>
      </c>
      <c r="H197" s="2" t="inlineStr">
        <is>
          <t>1.0 GL</t>
        </is>
      </c>
      <c r="I197" s="2" t="n"/>
      <c r="J197" s="2" t="n"/>
      <c r="K197" s="2" t="inlineStr">
        <is>
          <t>gasolina</t>
        </is>
      </c>
      <c r="L197" s="2" t="inlineStr">
        <is>
          <t>utilitario</t>
        </is>
      </c>
      <c r="M197" s="2" t="n">
        <v>2009</v>
      </c>
      <c r="N197" s="2" t="n">
        <v>200000</v>
      </c>
      <c r="O197" s="2" t="n">
        <v>1500</v>
      </c>
      <c r="P197" s="2" t="inlineStr">
        <is>
          <t>manual</t>
        </is>
      </c>
      <c r="Q197" s="2" t="inlineStr">
        <is>
          <t>no</t>
        </is>
      </c>
      <c r="R197" s="2" t="inlineStr">
        <is>
          <t>particular</t>
        </is>
      </c>
      <c r="S197" s="2" t="inlineStr">
        <is>
          <t>Vilamarxant</t>
        </is>
      </c>
      <c r="T197" s="2" t="inlineStr">
        <is>
          <t>2026-08-29T00:18:08Z</t>
        </is>
      </c>
      <c r="U197" s="2" t="n">
        <v>6</v>
      </c>
      <c r="V197" s="2" t="n"/>
      <c r="W197" s="2" t="n"/>
      <c r="X197" s="2" t="n"/>
      <c r="Y197" s="2" t="n"/>
      <c r="Z197" s="2" t="inlineStr">
        <is>
          <t>no</t>
        </is>
      </c>
      <c r="AA197" s="2" t="n"/>
      <c r="AB197" s="2" t="n"/>
      <c r="AC197" s="2" t="n"/>
      <c r="AD197" s="2" t="n"/>
      <c r="AE197" s="2" t="n"/>
      <c r="AF197" s="2" t="n"/>
      <c r="AG197" s="2" t="n"/>
      <c r="AH197" s="2" t="n">
        <v>1500</v>
      </c>
      <c r="AI197" s="2" t="n"/>
      <c r="AJ197" s="2" t="n"/>
      <c r="AK197" s="2" t="n"/>
      <c r="AL197" s="2" t="n"/>
      <c r="AM197" s="2" t="n">
        <v>23.9</v>
      </c>
      <c r="AN197" s="2" t="n"/>
      <c r="AO197" s="2" t="n"/>
      <c r="AP197" s="2" t="n"/>
      <c r="AQ197" s="2" t="n"/>
      <c r="AR197" s="2" t="inlineStr">
        <is>
          <t>cuota fija ITP: &gt;12 años, hasta 1.500 cc; mediana con solo 2 anuncio(s)</t>
        </is>
      </c>
      <c r="AS197" s="2" t="inlineStr">
        <is>
          <t>Coche ideal para iniciarte en la conducción y romper mano. Se ha cambiado hace poco (1 año) el kit de embrague así como reparaciones en carrocería y ópticos. Recién pasada la ITV.
Si buscas un coche práctico, económico y fiable para el día a día, este Suzuki Alto es tu solución. Un vehículo compacto y versátil que ha demostrado su resistencia con los años, ideal para moverse por la ciudad sin complicaciones ni gastos excesivos.</t>
        </is>
      </c>
      <c r="AT197" s="2" t="inlineStr">
        <is>
          <t>https://www.coches.net/suzuki-alto-10-gl-5p-gasolina-2009-en-valencia-71388781-covo.aspx (window.__INITIAL_PROPS__.ad) /home/user/Alopecia/buscador-coches/raw/cochesnet/7bf7134245a9d587.json</t>
        </is>
      </c>
      <c r="AU197" s="3">
        <f>MAX(ANIO_ACTUAL-M197,0)</f>
        <v/>
      </c>
      <c r="AV197" s="4">
        <f>N197/MAX(AU197,0.5)</f>
        <v/>
      </c>
      <c r="AW197" s="4">
        <f>F197</f>
        <v/>
      </c>
      <c r="AX197" s="3">
        <f>AW197&amp;"|"&amp;INT(M197/SEG_ANIO)*SEG_ANIO</f>
        <v/>
      </c>
      <c r="AY197" s="3">
        <f>AX197&amp;"|"&amp;INT(N197/SEG_KM)*SEG_KM</f>
        <v/>
      </c>
      <c r="AZ197" s="4">
        <f>COUNTIF($AW$2:$AW$662,AW197)</f>
        <v/>
      </c>
      <c r="BA197" s="4">
        <f>COUNTIF($AX$2:$AX$662,AX197)</f>
        <v/>
      </c>
      <c r="BB197" s="4">
        <f>COUNTIF($AY$2:$AY$662,AY197)</f>
        <v/>
      </c>
      <c r="BC197" s="3">
        <f t="array" ref="BC197">IF(N(AO197)&gt;=MIN_N,AN197,IF(BB197&gt;=MIN_N,MEDIAN(IF($AY$2:$AY$662=AY197,$O$2:$O$662)),IF(BA197&gt;=MIN_N,MEDIAN(IF($AX$2:$AX$662=AX197,$O$2:$O$662)),MEDIAN(IF($AW$2:$AW$662=AW197,$O$2:$O$662)))))</f>
        <v/>
      </c>
      <c r="BD197" s="3">
        <f>IF(N(AO197)&gt;=MIN_N,"mercado "&amp;AP197,IF(BB197&gt;=MIN_N,"modelo+año+km",IF(BA197&gt;=MIN_N,"modelo+año","modelo")))</f>
        <v/>
      </c>
      <c r="BE197" s="4">
        <f>(BC197-O197)/BC197</f>
        <v/>
      </c>
      <c r="BF197" s="3">
        <f>IF(OR(K197="hibrido",K197="glp"),"ECO",IF(K197="electrico","CERO",IF(K197="gasolina",IF(M197&gt;=GAS_C,"C",IF(M197&gt;=GAS_B,"B","A")),IF(K197="diesel",IF(M197&gt;=DIE_C,"C",IF(M197&gt;=DIE_B,"B","A")),""))))</f>
        <v/>
      </c>
      <c r="BG197" s="3">
        <f>IFERROR(VLOOKUP(F197,MOD_TBL,11,0),IFERROR(VLOOKUP(E197,OCU_TBL,2,0),NEUTRO))</f>
        <v/>
      </c>
      <c r="BH197" s="3">
        <f>SUMIFS(MOT_AJUSTE,MOT_MOTOR,G197,MOT_MARCA,E197,MOT_DESDE,"&lt;="&amp;M197,MOT_HASTA,"&gt;="&amp;M197)+SUMIFS(MOT_AJUSTE,MOT_MOTOR,G197,MOT_MARCA,"(todas)",MOT_DESDE,"&lt;="&amp;M197,MOT_HASTA,"&gt;="&amp;M197)</f>
        <v/>
      </c>
      <c r="BI197" s="3">
        <f>SUMIFS(COMB_AJUSTE,COMB_COMB,K197)</f>
        <v/>
      </c>
      <c r="BJ197" s="3">
        <f>COUNTIFS(MOT_MOTOR,G197,MOT_MARCA,E197,MOT_DESDE,"&lt;="&amp;M197,MOT_HASTA,"&gt;="&amp;M197)+COUNTIFS(MOT_MOTOR,G197,MOT_MARCA,"(todas)",MOT_DESDE,"&lt;="&amp;M197,MOT_HASTA,"&gt;="&amp;M197)</f>
        <v/>
      </c>
      <c r="BK197" s="3">
        <f>IF(AND(K197="diesel",BJ197=0),MIN(BG197,NEUTRO),BG197)</f>
        <v/>
      </c>
      <c r="BL197" s="4">
        <f>MAX(0,MIN(100,BK197+BH197+BI197))</f>
        <v/>
      </c>
      <c r="BM197" s="3">
        <f>MAX(0,MIN(100,50+BE197*PRECIO_PEND))</f>
        <v/>
      </c>
      <c r="BN197" s="3">
        <f>MAX(0,100*(1-N197/KM_MAX))</f>
        <v/>
      </c>
      <c r="BO197" s="3">
        <f>IF(AV197&lt;KMA_SOSP,IF(AA197="sí",100,KMA_PEN),IF(AV197&lt;=KMA_IDEAL_MAX,100,MAX(0,100*(KMA_CERO-AV197)/(KMA_CERO-KMA_IDEAL_MAX))))</f>
        <v/>
      </c>
      <c r="BP197" s="3">
        <f>MAX(0,MIN(100,100*(M197-ANIO_MIN)/(ANIO_ACTUAL-ANIO_MIN)))</f>
        <v/>
      </c>
      <c r="BQ197" s="3">
        <f>W_KMT*BN197+W_KMA*BO197+W_EDAD*BP197</f>
        <v/>
      </c>
      <c r="BR197" s="3">
        <f>P_ITV*(V197="sí")+P_LIBRO*(W197="sí")+P_CORREA*(X197="sí")+P_PROP*(Y197=1)+P_GAR*(Z197="sí")+P_FOTOS*MIN(1,N(U197)/FOTOS_OBJ)</f>
        <v/>
      </c>
      <c r="BS197" s="3">
        <f>IFERROR(VLOOKUP(BF197,ETQ_TBL,2,0),NEUTRO)</f>
        <v/>
      </c>
      <c r="BT197" s="3">
        <f>NEUTRO</f>
        <v/>
      </c>
      <c r="BU197" s="3">
        <f>IFERROR(VLOOKUP(L197,SEGURO_TBL,3,0),"")</f>
        <v/>
      </c>
      <c r="BV197" s="3">
        <f>IF(BU197="",NEUTRO,MAX(0,MIN(100,100*(SEG_REF_MAX-BU197)/(SEG_REF_MAX-SEG_REF_MIN))))</f>
        <v/>
      </c>
      <c r="BW197" s="3">
        <f>W_ET*BS197+W_CONS*BT197+W_SEG*BV197</f>
        <v/>
      </c>
      <c r="BX197" s="3">
        <f>IF(N(AB197)&gt;0,AB197,IF(AND(R197="profesional",SG_LEGAL_ON=1),GAR_LEGAL,0))</f>
        <v/>
      </c>
      <c r="BY197" s="3">
        <f>SG_GAR*MIN(1,BX197/SG_GAR_FULL)+SG_AMPL*(AC197="sí")+SG_KMC*(AF197="sí")+SG_REV*(N(AE197)&gt;0)+SG_DEV*MIN(1,N(AG197)/SG_DEV_FULL)+SG_HIST*(W197="sí")</f>
        <v/>
      </c>
      <c r="BZ197" s="3">
        <f>IFERROR(VLOOKUP(L197,CARR_PEN_TBL,2,0),0)</f>
        <v/>
      </c>
      <c r="CA197" s="3">
        <f>W_FIAB*BL197+W_PRECIO*BM197+W_KMEDAD*BQ197+W_ANUNCIO*BR197+W_USO*BW197+W_SEGURIDAD*BY197-BZ197</f>
        <v/>
      </c>
      <c r="CB197" s="4">
        <f>IF(N(I197)&gt;0,I197,IFERROR(ROUND(_xlfn.NUMBERVALUE(LEFT(G197,FIND(" ",G197&amp;" ")-1),".")*1000,0),99999))</f>
        <v/>
      </c>
      <c r="CC197" s="3">
        <f>IF(R197="profesional",0,IF(O197&lt;CUOTA_VALOR_MAX,IF(AU197&gt;ITP_TRAMO_ALTO,SUMIFS(CF_CUOTA,CF_MAS,ITP_TRAMO_ALTO,CF_CCMIN,"&lt;="&amp;CB197,CF_CCMAX,"&gt;="&amp;CB197),IF(AU197&gt;ITP_TRAMO_BAJO,SUMIFS(CF_CUOTA,CF_MAS,ITP_TRAMO_BAJO,CF_CCMIN,"&lt;="&amp;CB197,CF_CCMAX,"&gt;="&amp;CB197),O197*ITP_TIPO)),O197*ITP_TIPO))</f>
        <v/>
      </c>
      <c r="CD197" s="4">
        <f>IF(R197="profesional",N(AK197),0)</f>
        <v/>
      </c>
      <c r="CE197" s="3">
        <f>IF(AND(R197="profesional",ISNUMBER(AK197),AL197="sí"),0,TASA_DGT)</f>
        <v/>
      </c>
      <c r="CF197" s="3">
        <f>INFORME_DGT</f>
        <v/>
      </c>
      <c r="CG197" s="4">
        <f>O197+CD197+CC197+CE197+CF197</f>
        <v/>
      </c>
      <c r="CH197" s="4">
        <f>CG197+N(BU197)</f>
        <v/>
      </c>
      <c r="CI197" s="3">
        <f>IF(CG197&lt;=TOTAL_MAX,"sí",IF(CG197&lt;=TOTAL_MAX+MARGEN_NEG,"negociar","no"))</f>
        <v/>
      </c>
      <c r="CJ197" s="4">
        <f>IF(CI197&lt;&gt;"no",COUNTIFS($CI$2:$CI$662,"&lt;&gt;no",$CA$2:$CA$662,"&gt;"&amp;CA197)+COUNTIFS($CI$2:CI197,"&lt;&gt;no",$CA$2:CA197,CA197),"")</f>
        <v/>
      </c>
    </row>
    <row r="198">
      <c r="A198" s="2" t="inlineStr">
        <is>
          <t>cochesnet:71873466</t>
        </is>
      </c>
      <c r="B198" s="2" t="inlineStr">
        <is>
          <t>cochesnet</t>
        </is>
      </c>
      <c r="C198" s="2" t="inlineStr">
        <is>
          <t>https://www.coches.net/chevrolet-aveo-13-75-cv-lt-4p-diesel-2013-en-valencia-71873466-covo.aspx</t>
        </is>
      </c>
      <c r="D198" s="2" t="inlineStr">
        <is>
          <t>CHEVROLET Aveo 1.3 75 CV LT</t>
        </is>
      </c>
      <c r="E198" s="2" t="inlineStr">
        <is>
          <t>Chevrolet</t>
        </is>
      </c>
      <c r="F198" s="2" t="inlineStr">
        <is>
          <t>Chevrolet Aveo</t>
        </is>
      </c>
      <c r="G198" s="2" t="inlineStr">
        <is>
          <t>1.3</t>
        </is>
      </c>
      <c r="H198" s="2" t="inlineStr">
        <is>
          <t>1.3 75 CV LT</t>
        </is>
      </c>
      <c r="I198" s="2" t="n"/>
      <c r="J198" s="2" t="n">
        <v>75</v>
      </c>
      <c r="K198" s="2" t="inlineStr">
        <is>
          <t>diesel</t>
        </is>
      </c>
      <c r="L198" s="2" t="inlineStr">
        <is>
          <t>utilitario</t>
        </is>
      </c>
      <c r="M198" s="2" t="n">
        <v>2013</v>
      </c>
      <c r="N198" s="2" t="n">
        <v>209471</v>
      </c>
      <c r="O198" s="2" t="n">
        <v>3500</v>
      </c>
      <c r="P198" s="2" t="inlineStr">
        <is>
          <t>manual</t>
        </is>
      </c>
      <c r="Q198" s="2" t="inlineStr">
        <is>
          <t>no</t>
        </is>
      </c>
      <c r="R198" s="2" t="inlineStr">
        <is>
          <t>particular</t>
        </is>
      </c>
      <c r="S198" s="2" t="n"/>
      <c r="T198" s="2" t="inlineStr">
        <is>
          <t>2026-10-30T14:39:38Z</t>
        </is>
      </c>
      <c r="U198" s="2" t="n">
        <v>4</v>
      </c>
      <c r="V198" s="2" t="inlineStr">
        <is>
          <t>sí</t>
        </is>
      </c>
      <c r="W198" s="2" t="n"/>
      <c r="X198" s="2" t="n"/>
      <c r="Y198" s="2" t="n"/>
      <c r="Z198" s="2" t="inlineStr">
        <is>
          <t>no</t>
        </is>
      </c>
      <c r="AA198" s="2" t="n"/>
      <c r="AB198" s="2" t="n"/>
      <c r="AC198" s="2" t="n"/>
      <c r="AD198" s="2" t="n"/>
      <c r="AE198" s="2" t="n"/>
      <c r="AF198" s="2" t="n"/>
      <c r="AG198" s="2" t="n"/>
      <c r="AH198" s="2" t="n">
        <v>3500</v>
      </c>
      <c r="AI198" s="2" t="n"/>
      <c r="AJ198" s="2" t="n"/>
      <c r="AK198" s="2" t="n"/>
      <c r="AL198" s="2" t="n"/>
      <c r="AM198" s="2" t="n"/>
      <c r="AN198" s="2" t="n"/>
      <c r="AO198" s="2" t="n"/>
      <c r="AP198" s="2" t="n"/>
      <c r="AQ198" s="2" t="n"/>
      <c r="AR198" s="2" t="inlineStr">
        <is>
          <t>antigüedad en el límite del tramo: depende de la fecha exacta de matriculación; cuota fija ITP: &gt;12 años, hasta 1.500 cc; diésel: motor sin fuente de fiabilidad (fiabilidad limitada a neutra); distancia no verificable (el anuncio solo indica la provincia): confirmar que está a &lt;= 70 km; fiabilidad del modelo PENDIENTE de fuente (puntuación neutra)</t>
        </is>
      </c>
      <c r="AS198" s="2" t="inlineStr">
        <is>
          <t>Chevrolet Aveo berlina 1.3 VCDi diésel de 75 CV, cambio manual, 4 puertas, color gris metalizado.
· 209.471 km
· Ruedas nuevas, recién cambiadas
· Distribución por cadena recién hecha
· Inyectores hechos
· ITV en vigor hasta octubre de 2027
· Bluetooth, aire acondicionado, mandos en el volante y cierre centralizado
Motor sencillo y de bajo consumo, ideal para el día a día y para quien hace muchos kilómetros.
Venta de particular: lo gestionamos en JEROM Motor por encargo de su propietario. Transferencia a cargo del comprador; te ayudamos con el papeleo.
Se puede ver y probar en Aldaia (Valencia). Escríbeme por aquí y te contesto.</t>
        </is>
      </c>
      <c r="AT198" s="2" t="inlineStr">
        <is>
          <t>https://www.coches.net/chevrolet-aveo-13-75-cv-lt-4p-diesel-2013-en-valencia-71873466-covo.aspx (window.__INITIAL_PROPS__.ad) /home/user/Alopecia/buscador-coches/raw/cochesnet/35469adc3a427bb4.json</t>
        </is>
      </c>
      <c r="AU198" s="3">
        <f>MAX(ANIO_ACTUAL-M198,0)</f>
        <v/>
      </c>
      <c r="AV198" s="4">
        <f>N198/MAX(AU198,0.5)</f>
        <v/>
      </c>
      <c r="AW198" s="4">
        <f>F198</f>
        <v/>
      </c>
      <c r="AX198" s="3">
        <f>AW198&amp;"|"&amp;INT(M198/SEG_ANIO)*SEG_ANIO</f>
        <v/>
      </c>
      <c r="AY198" s="3">
        <f>AX198&amp;"|"&amp;INT(N198/SEG_KM)*SEG_KM</f>
        <v/>
      </c>
      <c r="AZ198" s="4">
        <f>COUNTIF($AW$2:$AW$662,AW198)</f>
        <v/>
      </c>
      <c r="BA198" s="4">
        <f>COUNTIF($AX$2:$AX$662,AX198)</f>
        <v/>
      </c>
      <c r="BB198" s="4">
        <f>COUNTIF($AY$2:$AY$662,AY198)</f>
        <v/>
      </c>
      <c r="BC198" s="3">
        <f t="array" ref="BC198">IF(N(AO198)&gt;=MIN_N,AN198,IF(BB198&gt;=MIN_N,MEDIAN(IF($AY$2:$AY$662=AY198,$O$2:$O$662)),IF(BA198&gt;=MIN_N,MEDIAN(IF($AX$2:$AX$662=AX198,$O$2:$O$662)),MEDIAN(IF($AW$2:$AW$662=AW198,$O$2:$O$662)))))</f>
        <v/>
      </c>
      <c r="BD198" s="3">
        <f>IF(N(AO198)&gt;=MIN_N,"mercado "&amp;AP198,IF(BB198&gt;=MIN_N,"modelo+año+km",IF(BA198&gt;=MIN_N,"modelo+año","modelo")))</f>
        <v/>
      </c>
      <c r="BE198" s="4">
        <f>(BC198-O198)/BC198</f>
        <v/>
      </c>
      <c r="BF198" s="3">
        <f>IF(OR(K198="hibrido",K198="glp"),"ECO",IF(K198="electrico","CERO",IF(K198="gasolina",IF(M198&gt;=GAS_C,"C",IF(M198&gt;=GAS_B,"B","A")),IF(K198="diesel",IF(M198&gt;=DIE_C,"C",IF(M198&gt;=DIE_B,"B","A")),""))))</f>
        <v/>
      </c>
      <c r="BG198" s="3">
        <f>IFERROR(VLOOKUP(F198,MOD_TBL,11,0),IFERROR(VLOOKUP(E198,OCU_TBL,2,0),NEUTRO))</f>
        <v/>
      </c>
      <c r="BH198" s="3">
        <f>SUMIFS(MOT_AJUSTE,MOT_MOTOR,G198,MOT_MARCA,E198,MOT_DESDE,"&lt;="&amp;M198,MOT_HASTA,"&gt;="&amp;M198)+SUMIFS(MOT_AJUSTE,MOT_MOTOR,G198,MOT_MARCA,"(todas)",MOT_DESDE,"&lt;="&amp;M198,MOT_HASTA,"&gt;="&amp;M198)</f>
        <v/>
      </c>
      <c r="BI198" s="3">
        <f>SUMIFS(COMB_AJUSTE,COMB_COMB,K198)</f>
        <v/>
      </c>
      <c r="BJ198" s="3">
        <f>COUNTIFS(MOT_MOTOR,G198,MOT_MARCA,E198,MOT_DESDE,"&lt;="&amp;M198,MOT_HASTA,"&gt;="&amp;M198)+COUNTIFS(MOT_MOTOR,G198,MOT_MARCA,"(todas)",MOT_DESDE,"&lt;="&amp;M198,MOT_HASTA,"&gt;="&amp;M198)</f>
        <v/>
      </c>
      <c r="BK198" s="3">
        <f>IF(AND(K198="diesel",BJ198=0),MIN(BG198,NEUTRO),BG198)</f>
        <v/>
      </c>
      <c r="BL198" s="4">
        <f>MAX(0,MIN(100,BK198+BH198+BI198))</f>
        <v/>
      </c>
      <c r="BM198" s="3">
        <f>MAX(0,MIN(100,50+BE198*PRECIO_PEND))</f>
        <v/>
      </c>
      <c r="BN198" s="3">
        <f>MAX(0,100*(1-N198/KM_MAX))</f>
        <v/>
      </c>
      <c r="BO198" s="3">
        <f>IF(AV198&lt;KMA_SOSP,IF(AA198="sí",100,KMA_PEN),IF(AV198&lt;=KMA_IDEAL_MAX,100,MAX(0,100*(KMA_CERO-AV198)/(KMA_CERO-KMA_IDEAL_MAX))))</f>
        <v/>
      </c>
      <c r="BP198" s="3">
        <f>MAX(0,MIN(100,100*(M198-ANIO_MIN)/(ANIO_ACTUAL-ANIO_MIN)))</f>
        <v/>
      </c>
      <c r="BQ198" s="3">
        <f>W_KMT*BN198+W_KMA*BO198+W_EDAD*BP198</f>
        <v/>
      </c>
      <c r="BR198" s="3">
        <f>P_ITV*(V198="sí")+P_LIBRO*(W198="sí")+P_CORREA*(X198="sí")+P_PROP*(Y198=1)+P_GAR*(Z198="sí")+P_FOTOS*MIN(1,N(U198)/FOTOS_OBJ)</f>
        <v/>
      </c>
      <c r="BS198" s="3">
        <f>IFERROR(VLOOKUP(BF198,ETQ_TBL,2,0),NEUTRO)</f>
        <v/>
      </c>
      <c r="BT198" s="3">
        <f>NEUTRO</f>
        <v/>
      </c>
      <c r="BU198" s="3">
        <f>IFERROR(VLOOKUP(L198,SEGURO_TBL,3,0),"")</f>
        <v/>
      </c>
      <c r="BV198" s="3">
        <f>IF(BU198="",NEUTRO,MAX(0,MIN(100,100*(SEG_REF_MAX-BU198)/(SEG_REF_MAX-SEG_REF_MIN))))</f>
        <v/>
      </c>
      <c r="BW198" s="3">
        <f>W_ET*BS198+W_CONS*BT198+W_SEG*BV198</f>
        <v/>
      </c>
      <c r="BX198" s="3">
        <f>IF(N(AB198)&gt;0,AB198,IF(AND(R198="profesional",SG_LEGAL_ON=1),GAR_LEGAL,0))</f>
        <v/>
      </c>
      <c r="BY198" s="3">
        <f>SG_GAR*MIN(1,BX198/SG_GAR_FULL)+SG_AMPL*(AC198="sí")+SG_KMC*(AF198="sí")+SG_REV*(N(AE198)&gt;0)+SG_DEV*MIN(1,N(AG198)/SG_DEV_FULL)+SG_HIST*(W198="sí")</f>
        <v/>
      </c>
      <c r="BZ198" s="3">
        <f>IFERROR(VLOOKUP(L198,CARR_PEN_TBL,2,0),0)</f>
        <v/>
      </c>
      <c r="CA198" s="3">
        <f>W_FIAB*BL198+W_PRECIO*BM198+W_KMEDAD*BQ198+W_ANUNCIO*BR198+W_USO*BW198+W_SEGURIDAD*BY198-BZ198</f>
        <v/>
      </c>
      <c r="CB198" s="4">
        <f>IF(N(I198)&gt;0,I198,IFERROR(ROUND(_xlfn.NUMBERVALUE(LEFT(G198,FIND(" ",G198&amp;" ")-1),".")*1000,0),99999))</f>
        <v/>
      </c>
      <c r="CC198" s="3">
        <f>IF(R198="profesional",0,IF(O198&lt;CUOTA_VALOR_MAX,IF(AU198&gt;ITP_TRAMO_ALTO,SUMIFS(CF_CUOTA,CF_MAS,ITP_TRAMO_ALTO,CF_CCMIN,"&lt;="&amp;CB198,CF_CCMAX,"&gt;="&amp;CB198),IF(AU198&gt;ITP_TRAMO_BAJO,SUMIFS(CF_CUOTA,CF_MAS,ITP_TRAMO_BAJO,CF_CCMIN,"&lt;="&amp;CB198,CF_CCMAX,"&gt;="&amp;CB198),O198*ITP_TIPO)),O198*ITP_TIPO))</f>
        <v/>
      </c>
      <c r="CD198" s="4">
        <f>IF(R198="profesional",N(AK198),0)</f>
        <v/>
      </c>
      <c r="CE198" s="3">
        <f>IF(AND(R198="profesional",ISNUMBER(AK198),AL198="sí"),0,TASA_DGT)</f>
        <v/>
      </c>
      <c r="CF198" s="3">
        <f>INFORME_DGT</f>
        <v/>
      </c>
      <c r="CG198" s="4">
        <f>O198+CD198+CC198+CE198+CF198</f>
        <v/>
      </c>
      <c r="CH198" s="4">
        <f>CG198+N(BU198)</f>
        <v/>
      </c>
      <c r="CI198" s="3">
        <f>IF(CG198&lt;=TOTAL_MAX,"sí",IF(CG198&lt;=TOTAL_MAX+MARGEN_NEG,"negociar","no"))</f>
        <v/>
      </c>
      <c r="CJ198" s="4">
        <f>IF(CI198&lt;&gt;"no",COUNTIFS($CI$2:$CI$662,"&lt;&gt;no",$CA$2:$CA$662,"&gt;"&amp;CA198)+COUNTIFS($CI$2:CI198,"&lt;&gt;no",$CA$2:CA198,CA198),"")</f>
        <v/>
      </c>
    </row>
    <row r="199">
      <c r="A199" s="2" t="inlineStr">
        <is>
          <t>cochesnet:71533850</t>
        </is>
      </c>
      <c r="B199" s="2" t="inlineStr">
        <is>
          <t>cochesnet</t>
        </is>
      </c>
      <c r="C199" s="2" t="inlineStr">
        <is>
          <t>https://www.coches.net/chevrolet-aveo-14-16v-ls-5p-gasolina-2010-en-valencia-71533850-covo.aspx</t>
        </is>
      </c>
      <c r="D199" s="2" t="inlineStr">
        <is>
          <t>CHEVROLET Aveo 1.4 16v LS</t>
        </is>
      </c>
      <c r="E199" s="2" t="inlineStr">
        <is>
          <t>Chevrolet</t>
        </is>
      </c>
      <c r="F199" s="2" t="inlineStr">
        <is>
          <t>Chevrolet Aveo</t>
        </is>
      </c>
      <c r="G199" s="2" t="inlineStr">
        <is>
          <t>1.4</t>
        </is>
      </c>
      <c r="H199" s="2" t="inlineStr">
        <is>
          <t>1.4 16v LS</t>
        </is>
      </c>
      <c r="I199" s="2" t="n"/>
      <c r="J199" s="2" t="n"/>
      <c r="K199" s="2" t="inlineStr">
        <is>
          <t>gasolina</t>
        </is>
      </c>
      <c r="L199" s="2" t="inlineStr">
        <is>
          <t>utilitario</t>
        </is>
      </c>
      <c r="M199" s="2" t="n">
        <v>2009</v>
      </c>
      <c r="N199" s="2" t="n">
        <v>110000</v>
      </c>
      <c r="O199" s="2" t="n">
        <v>4290</v>
      </c>
      <c r="P199" s="2" t="inlineStr">
        <is>
          <t>manual</t>
        </is>
      </c>
      <c r="Q199" s="2" t="inlineStr">
        <is>
          <t>no</t>
        </is>
      </c>
      <c r="R199" s="2" t="inlineStr">
        <is>
          <t>profesional</t>
        </is>
      </c>
      <c r="S199" s="2" t="inlineStr">
        <is>
          <t>Only Cars Valencia Aldaia</t>
        </is>
      </c>
      <c r="T199" s="2" t="inlineStr">
        <is>
          <t>2026-09-17T10:24:43Z</t>
        </is>
      </c>
      <c r="U199" s="2" t="n">
        <v>11</v>
      </c>
      <c r="V199" s="2" t="n"/>
      <c r="W199" s="2" t="n"/>
      <c r="X199" s="2" t="n"/>
      <c r="Y199" s="2" t="n"/>
      <c r="Z199" s="2" t="inlineStr">
        <is>
          <t>sí</t>
        </is>
      </c>
      <c r="AA199" s="2" t="n"/>
      <c r="AB199" s="2" t="n">
        <v>12</v>
      </c>
      <c r="AC199" s="2" t="n"/>
      <c r="AD199" s="2" t="n"/>
      <c r="AE199" s="2" t="n"/>
      <c r="AF199" s="2" t="n"/>
      <c r="AG199" s="2" t="n"/>
      <c r="AH199" s="2" t="n">
        <v>4290</v>
      </c>
      <c r="AI199" s="2" t="n"/>
      <c r="AJ199" s="2" t="n"/>
      <c r="AK199" s="2" t="n"/>
      <c r="AL199" s="2" t="n"/>
      <c r="AM199" s="2" t="n">
        <v>7.5</v>
      </c>
      <c r="AN199" s="2" t="n">
        <v>3990</v>
      </c>
      <c r="AO199" s="2" t="n">
        <v>4</v>
      </c>
      <c r="AP199" s="2" t="inlineStr">
        <is>
          <t>modelo+año+km</t>
        </is>
      </c>
      <c r="AQ199" s="2" t="n"/>
      <c r="AR199" s="2" t="inlineStr">
        <is>
          <t>vendedor profesional: sin ITP (operación con IVA/REBU, confirmar en factura); gastos de gestión del vendedor no indicados: se suma la tasa DGT; preguntar el precio final; fiabilidad del modelo PENDIENTE de fuente (puntuación neutra)</t>
        </is>
      </c>
      <c r="AS199" s="2" t="inlineStr">
        <is>
          <t>Chevrolet Aveo 1.4 LS año 2009 con 110.000Kms 100CV. 
Equipamiento:
- elevalunas eléctricos 
- Espejos eléctricos 
- Aire acondicionado 
- Dirección asistida
- Mando a distancia 
- Ordenador de abordo
Mantenimiento:
   - cambio de filtro de aire
   - cambio de filtro de aceite
   - cambio de aceite 
   - Dos juegos de llave
   - Alfombrillas</t>
        </is>
      </c>
      <c r="AT199" s="2" t="inlineStr">
        <is>
          <t>https://www.coches.net/chevrolet-aveo-14-16v-ls-5p-gasolina-2010-en-valencia-71533850-covo.aspx (window.__INITIAL_PROPS__.ad) /home/user/Alopecia/buscador-coches/raw/cochesnet/f4665f6b14e63416.json</t>
        </is>
      </c>
      <c r="AU199" s="3">
        <f>MAX(ANIO_ACTUAL-M199,0)</f>
        <v/>
      </c>
      <c r="AV199" s="4">
        <f>N199/MAX(AU199,0.5)</f>
        <v/>
      </c>
      <c r="AW199" s="4">
        <f>F199</f>
        <v/>
      </c>
      <c r="AX199" s="3">
        <f>AW199&amp;"|"&amp;INT(M199/SEG_ANIO)*SEG_ANIO</f>
        <v/>
      </c>
      <c r="AY199" s="3">
        <f>AX199&amp;"|"&amp;INT(N199/SEG_KM)*SEG_KM</f>
        <v/>
      </c>
      <c r="AZ199" s="4">
        <f>COUNTIF($AW$2:$AW$662,AW199)</f>
        <v/>
      </c>
      <c r="BA199" s="4">
        <f>COUNTIF($AX$2:$AX$662,AX199)</f>
        <v/>
      </c>
      <c r="BB199" s="4">
        <f>COUNTIF($AY$2:$AY$662,AY199)</f>
        <v/>
      </c>
      <c r="BC199" s="3">
        <f t="array" ref="BC199">IF(N(AO199)&gt;=MIN_N,AN199,IF(BB199&gt;=MIN_N,MEDIAN(IF($AY$2:$AY$662=AY199,$O$2:$O$662)),IF(BA199&gt;=MIN_N,MEDIAN(IF($AX$2:$AX$662=AX199,$O$2:$O$662)),MEDIAN(IF($AW$2:$AW$662=AW199,$O$2:$O$662)))))</f>
        <v/>
      </c>
      <c r="BD199" s="3">
        <f>IF(N(AO199)&gt;=MIN_N,"mercado "&amp;AP199,IF(BB199&gt;=MIN_N,"modelo+año+km",IF(BA199&gt;=MIN_N,"modelo+año","modelo")))</f>
        <v/>
      </c>
      <c r="BE199" s="4">
        <f>(BC199-O199)/BC199</f>
        <v/>
      </c>
      <c r="BF199" s="3">
        <f>IF(OR(K199="hibrido",K199="glp"),"ECO",IF(K199="electrico","CERO",IF(K199="gasolina",IF(M199&gt;=GAS_C,"C",IF(M199&gt;=GAS_B,"B","A")),IF(K199="diesel",IF(M199&gt;=DIE_C,"C",IF(M199&gt;=DIE_B,"B","A")),""))))</f>
        <v/>
      </c>
      <c r="BG199" s="3">
        <f>IFERROR(VLOOKUP(F199,MOD_TBL,11,0),IFERROR(VLOOKUP(E199,OCU_TBL,2,0),NEUTRO))</f>
        <v/>
      </c>
      <c r="BH199" s="3">
        <f>SUMIFS(MOT_AJUSTE,MOT_MOTOR,G199,MOT_MARCA,E199,MOT_DESDE,"&lt;="&amp;M199,MOT_HASTA,"&gt;="&amp;M199)+SUMIFS(MOT_AJUSTE,MOT_MOTOR,G199,MOT_MARCA,"(todas)",MOT_DESDE,"&lt;="&amp;M199,MOT_HASTA,"&gt;="&amp;M199)</f>
        <v/>
      </c>
      <c r="BI199" s="3">
        <f>SUMIFS(COMB_AJUSTE,COMB_COMB,K199)</f>
        <v/>
      </c>
      <c r="BJ199" s="3">
        <f>COUNTIFS(MOT_MOTOR,G199,MOT_MARCA,E199,MOT_DESDE,"&lt;="&amp;M199,MOT_HASTA,"&gt;="&amp;M199)+COUNTIFS(MOT_MOTOR,G199,MOT_MARCA,"(todas)",MOT_DESDE,"&lt;="&amp;M199,MOT_HASTA,"&gt;="&amp;M199)</f>
        <v/>
      </c>
      <c r="BK199" s="3">
        <f>IF(AND(K199="diesel",BJ199=0),MIN(BG199,NEUTRO),BG199)</f>
        <v/>
      </c>
      <c r="BL199" s="4">
        <f>MAX(0,MIN(100,BK199+BH199+BI199))</f>
        <v/>
      </c>
      <c r="BM199" s="3">
        <f>MAX(0,MIN(100,50+BE199*PRECIO_PEND))</f>
        <v/>
      </c>
      <c r="BN199" s="3">
        <f>MAX(0,100*(1-N199/KM_MAX))</f>
        <v/>
      </c>
      <c r="BO199" s="3">
        <f>IF(AV199&lt;KMA_SOSP,IF(AA199="sí",100,KMA_PEN),IF(AV199&lt;=KMA_IDEAL_MAX,100,MAX(0,100*(KMA_CERO-AV199)/(KMA_CERO-KMA_IDEAL_MAX))))</f>
        <v/>
      </c>
      <c r="BP199" s="3">
        <f>MAX(0,MIN(100,100*(M199-ANIO_MIN)/(ANIO_ACTUAL-ANIO_MIN)))</f>
        <v/>
      </c>
      <c r="BQ199" s="3">
        <f>W_KMT*BN199+W_KMA*BO199+W_EDAD*BP199</f>
        <v/>
      </c>
      <c r="BR199" s="3">
        <f>P_ITV*(V199="sí")+P_LIBRO*(W199="sí")+P_CORREA*(X199="sí")+P_PROP*(Y199=1)+P_GAR*(Z199="sí")+P_FOTOS*MIN(1,N(U199)/FOTOS_OBJ)</f>
        <v/>
      </c>
      <c r="BS199" s="3">
        <f>IFERROR(VLOOKUP(BF199,ETQ_TBL,2,0),NEUTRO)</f>
        <v/>
      </c>
      <c r="BT199" s="3">
        <f>NEUTRO</f>
        <v/>
      </c>
      <c r="BU199" s="3">
        <f>IFERROR(VLOOKUP(L199,SEGURO_TBL,3,0),"")</f>
        <v/>
      </c>
      <c r="BV199" s="3">
        <f>IF(BU199="",NEUTRO,MAX(0,MIN(100,100*(SEG_REF_MAX-BU199)/(SEG_REF_MAX-SEG_REF_MIN))))</f>
        <v/>
      </c>
      <c r="BW199" s="3">
        <f>W_ET*BS199+W_CONS*BT199+W_SEG*BV199</f>
        <v/>
      </c>
      <c r="BX199" s="3">
        <f>IF(N(AB199)&gt;0,AB199,IF(AND(R199="profesional",SG_LEGAL_ON=1),GAR_LEGAL,0))</f>
        <v/>
      </c>
      <c r="BY199" s="3">
        <f>SG_GAR*MIN(1,BX199/SG_GAR_FULL)+SG_AMPL*(AC199="sí")+SG_KMC*(AF199="sí")+SG_REV*(N(AE199)&gt;0)+SG_DEV*MIN(1,N(AG199)/SG_DEV_FULL)+SG_HIST*(W199="sí")</f>
        <v/>
      </c>
      <c r="BZ199" s="3">
        <f>IFERROR(VLOOKUP(L199,CARR_PEN_TBL,2,0),0)</f>
        <v/>
      </c>
      <c r="CA199" s="3">
        <f>W_FIAB*BL199+W_PRECIO*BM199+W_KMEDAD*BQ199+W_ANUNCIO*BR199+W_USO*BW199+W_SEGURIDAD*BY199-BZ199</f>
        <v/>
      </c>
      <c r="CB199" s="4">
        <f>IF(N(I199)&gt;0,I199,IFERROR(ROUND(_xlfn.NUMBERVALUE(LEFT(G199,FIND(" ",G199&amp;" ")-1),".")*1000,0),99999))</f>
        <v/>
      </c>
      <c r="CC199" s="3">
        <f>IF(R199="profesional",0,IF(O199&lt;CUOTA_VALOR_MAX,IF(AU199&gt;ITP_TRAMO_ALTO,SUMIFS(CF_CUOTA,CF_MAS,ITP_TRAMO_ALTO,CF_CCMIN,"&lt;="&amp;CB199,CF_CCMAX,"&gt;="&amp;CB199),IF(AU199&gt;ITP_TRAMO_BAJO,SUMIFS(CF_CUOTA,CF_MAS,ITP_TRAMO_BAJO,CF_CCMIN,"&lt;="&amp;CB199,CF_CCMAX,"&gt;="&amp;CB199),O199*ITP_TIPO)),O199*ITP_TIPO))</f>
        <v/>
      </c>
      <c r="CD199" s="4">
        <f>IF(R199="profesional",N(AK199),0)</f>
        <v/>
      </c>
      <c r="CE199" s="3">
        <f>IF(AND(R199="profesional",ISNUMBER(AK199),AL199="sí"),0,TASA_DGT)</f>
        <v/>
      </c>
      <c r="CF199" s="3">
        <f>INFORME_DGT</f>
        <v/>
      </c>
      <c r="CG199" s="4">
        <f>O199+CD199+CC199+CE199+CF199</f>
        <v/>
      </c>
      <c r="CH199" s="4">
        <f>CG199+N(BU199)</f>
        <v/>
      </c>
      <c r="CI199" s="3">
        <f>IF(CG199&lt;=TOTAL_MAX,"sí",IF(CG199&lt;=TOTAL_MAX+MARGEN_NEG,"negociar","no"))</f>
        <v/>
      </c>
      <c r="CJ199" s="4">
        <f>IF(CI199&lt;&gt;"no",COUNTIFS($CI$2:$CI$662,"&lt;&gt;no",$CA$2:$CA$662,"&gt;"&amp;CA199)+COUNTIFS($CI$2:CI199,"&lt;&gt;no",$CA$2:CA199,CA199),"")</f>
        <v/>
      </c>
    </row>
    <row r="200">
      <c r="A200" s="2" t="inlineStr">
        <is>
          <t>cochesnet:71769865</t>
        </is>
      </c>
      <c r="B200" s="2" t="inlineStr">
        <is>
          <t>cochesnet</t>
        </is>
      </c>
      <c r="C200" s="2" t="inlineStr">
        <is>
          <t>https://www.coches.net/chevrolet-aveo-12-16v-ls-3p-gasolina-2011-en-valencia-71769865-covo.aspx</t>
        </is>
      </c>
      <c r="D200" s="2" t="inlineStr">
        <is>
          <t>CHEVROLET Aveo 1.2 16v LS</t>
        </is>
      </c>
      <c r="E200" s="2" t="inlineStr">
        <is>
          <t>Chevrolet</t>
        </is>
      </c>
      <c r="F200" s="2" t="inlineStr">
        <is>
          <t>Chevrolet Aveo</t>
        </is>
      </c>
      <c r="G200" s="2" t="inlineStr">
        <is>
          <t>1.2</t>
        </is>
      </c>
      <c r="H200" s="2" t="inlineStr">
        <is>
          <t>1.2 16v LS</t>
        </is>
      </c>
      <c r="I200" s="2" t="n"/>
      <c r="J200" s="2" t="n"/>
      <c r="K200" s="2" t="inlineStr">
        <is>
          <t>gasolina</t>
        </is>
      </c>
      <c r="L200" s="2" t="inlineStr">
        <is>
          <t>utilitario</t>
        </is>
      </c>
      <c r="M200" s="2" t="n">
        <v>2011</v>
      </c>
      <c r="N200" s="2" t="n">
        <v>135127</v>
      </c>
      <c r="O200" s="2" t="n">
        <v>3900</v>
      </c>
      <c r="P200" s="2" t="inlineStr">
        <is>
          <t>manual</t>
        </is>
      </c>
      <c r="Q200" s="2" t="inlineStr">
        <is>
          <t>no</t>
        </is>
      </c>
      <c r="R200" s="2" t="inlineStr">
        <is>
          <t>particular</t>
        </is>
      </c>
      <c r="S200" s="2" t="inlineStr">
        <is>
          <t>Torrent</t>
        </is>
      </c>
      <c r="T200" s="2" t="inlineStr">
        <is>
          <t>2026-10-17T13:39:05Z</t>
        </is>
      </c>
      <c r="U200" s="2" t="n">
        <v>1</v>
      </c>
      <c r="V200" s="2" t="n"/>
      <c r="W200" s="2" t="n"/>
      <c r="X200" s="2" t="n"/>
      <c r="Y200" s="2" t="n"/>
      <c r="Z200" s="2" t="inlineStr">
        <is>
          <t>no</t>
        </is>
      </c>
      <c r="AA200" s="2" t="n"/>
      <c r="AB200" s="2" t="n"/>
      <c r="AC200" s="2" t="n"/>
      <c r="AD200" s="2" t="n"/>
      <c r="AE200" s="2" t="n"/>
      <c r="AF200" s="2" t="n"/>
      <c r="AG200" s="2" t="n"/>
      <c r="AH200" s="2" t="n">
        <v>3900</v>
      </c>
      <c r="AI200" s="2" t="n"/>
      <c r="AJ200" s="2" t="n"/>
      <c r="AK200" s="2" t="n"/>
      <c r="AL200" s="2" t="n"/>
      <c r="AM200" s="2" t="n">
        <v>8.800000000000001</v>
      </c>
      <c r="AN200" s="2" t="n">
        <v>2500</v>
      </c>
      <c r="AO200" s="2" t="n">
        <v>4</v>
      </c>
      <c r="AP200" s="2" t="inlineStr">
        <is>
          <t>modelo+año+km</t>
        </is>
      </c>
      <c r="AQ200" s="2" t="n"/>
      <c r="AR200" s="2" t="inlineStr">
        <is>
          <t>cuota fija ITP: &gt;12 años, hasta 1.500 cc; fiabilidad del modelo PENDIENTE de fuente (puntuación neutra)</t>
        </is>
      </c>
      <c r="AS200" s="2" t="inlineStr">
        <is>
          <t>Vendo Chevrolet Aveo 1.2 gasolina del año 2011, con 135.127 km.
El coche funciona perfectamente y está en buen estado de funcionamiento. Recientemente se le han cambiado los discos y las pastillas de freno.
Acaba de pasar la ITV y la tiene en vigor hasta septiembre de 2027. Dispone de etiqueta medioambiental C.
Es un coche práctico para el día a día, ideal para ir a trabajar o moverse por ciudad.
Precio: 3.900€
Para más información, fotos o venir a verlo, contactar por mensaje.</t>
        </is>
      </c>
      <c r="AT200" s="2" t="inlineStr">
        <is>
          <t>https://www.coches.net/chevrolet-aveo-12-16v-ls-3p-gasolina-2011-en-valencia-71769865-covo.aspx (window.__INITIAL_PROPS__.ad) /home/user/Alopecia/buscador-coches/raw/cochesnet/e867ec23345926cc.json</t>
        </is>
      </c>
      <c r="AU200" s="3">
        <f>MAX(ANIO_ACTUAL-M200,0)</f>
        <v/>
      </c>
      <c r="AV200" s="4">
        <f>N200/MAX(AU200,0.5)</f>
        <v/>
      </c>
      <c r="AW200" s="4">
        <f>F200</f>
        <v/>
      </c>
      <c r="AX200" s="3">
        <f>AW200&amp;"|"&amp;INT(M200/SEG_ANIO)*SEG_ANIO</f>
        <v/>
      </c>
      <c r="AY200" s="3">
        <f>AX200&amp;"|"&amp;INT(N200/SEG_KM)*SEG_KM</f>
        <v/>
      </c>
      <c r="AZ200" s="4">
        <f>COUNTIF($AW$2:$AW$662,AW200)</f>
        <v/>
      </c>
      <c r="BA200" s="4">
        <f>COUNTIF($AX$2:$AX$662,AX200)</f>
        <v/>
      </c>
      <c r="BB200" s="4">
        <f>COUNTIF($AY$2:$AY$662,AY200)</f>
        <v/>
      </c>
      <c r="BC200" s="3">
        <f t="array" ref="BC200">IF(N(AO200)&gt;=MIN_N,AN200,IF(BB200&gt;=MIN_N,MEDIAN(IF($AY$2:$AY$662=AY200,$O$2:$O$662)),IF(BA200&gt;=MIN_N,MEDIAN(IF($AX$2:$AX$662=AX200,$O$2:$O$662)),MEDIAN(IF($AW$2:$AW$662=AW200,$O$2:$O$662)))))</f>
        <v/>
      </c>
      <c r="BD200" s="3">
        <f>IF(N(AO200)&gt;=MIN_N,"mercado "&amp;AP200,IF(BB200&gt;=MIN_N,"modelo+año+km",IF(BA200&gt;=MIN_N,"modelo+año","modelo")))</f>
        <v/>
      </c>
      <c r="BE200" s="4">
        <f>(BC200-O200)/BC200</f>
        <v/>
      </c>
      <c r="BF200" s="3">
        <f>IF(OR(K200="hibrido",K200="glp"),"ECO",IF(K200="electrico","CERO",IF(K200="gasolina",IF(M200&gt;=GAS_C,"C",IF(M200&gt;=GAS_B,"B","A")),IF(K200="diesel",IF(M200&gt;=DIE_C,"C",IF(M200&gt;=DIE_B,"B","A")),""))))</f>
        <v/>
      </c>
      <c r="BG200" s="3">
        <f>IFERROR(VLOOKUP(F200,MOD_TBL,11,0),IFERROR(VLOOKUP(E200,OCU_TBL,2,0),NEUTRO))</f>
        <v/>
      </c>
      <c r="BH200" s="3">
        <f>SUMIFS(MOT_AJUSTE,MOT_MOTOR,G200,MOT_MARCA,E200,MOT_DESDE,"&lt;="&amp;M200,MOT_HASTA,"&gt;="&amp;M200)+SUMIFS(MOT_AJUSTE,MOT_MOTOR,G200,MOT_MARCA,"(todas)",MOT_DESDE,"&lt;="&amp;M200,MOT_HASTA,"&gt;="&amp;M200)</f>
        <v/>
      </c>
      <c r="BI200" s="3">
        <f>SUMIFS(COMB_AJUSTE,COMB_COMB,K200)</f>
        <v/>
      </c>
      <c r="BJ200" s="3">
        <f>COUNTIFS(MOT_MOTOR,G200,MOT_MARCA,E200,MOT_DESDE,"&lt;="&amp;M200,MOT_HASTA,"&gt;="&amp;M200)+COUNTIFS(MOT_MOTOR,G200,MOT_MARCA,"(todas)",MOT_DESDE,"&lt;="&amp;M200,MOT_HASTA,"&gt;="&amp;M200)</f>
        <v/>
      </c>
      <c r="BK200" s="3">
        <f>IF(AND(K200="diesel",BJ200=0),MIN(BG200,NEUTRO),BG200)</f>
        <v/>
      </c>
      <c r="BL200" s="4">
        <f>MAX(0,MIN(100,BK200+BH200+BI200))</f>
        <v/>
      </c>
      <c r="BM200" s="3">
        <f>MAX(0,MIN(100,50+BE200*PRECIO_PEND))</f>
        <v/>
      </c>
      <c r="BN200" s="3">
        <f>MAX(0,100*(1-N200/KM_MAX))</f>
        <v/>
      </c>
      <c r="BO200" s="3">
        <f>IF(AV200&lt;KMA_SOSP,IF(AA200="sí",100,KMA_PEN),IF(AV200&lt;=KMA_IDEAL_MAX,100,MAX(0,100*(KMA_CERO-AV200)/(KMA_CERO-KMA_IDEAL_MAX))))</f>
        <v/>
      </c>
      <c r="BP200" s="3">
        <f>MAX(0,MIN(100,100*(M200-ANIO_MIN)/(ANIO_ACTUAL-ANIO_MIN)))</f>
        <v/>
      </c>
      <c r="BQ200" s="3">
        <f>W_KMT*BN200+W_KMA*BO200+W_EDAD*BP200</f>
        <v/>
      </c>
      <c r="BR200" s="3">
        <f>P_ITV*(V200="sí")+P_LIBRO*(W200="sí")+P_CORREA*(X200="sí")+P_PROP*(Y200=1)+P_GAR*(Z200="sí")+P_FOTOS*MIN(1,N(U200)/FOTOS_OBJ)</f>
        <v/>
      </c>
      <c r="BS200" s="3">
        <f>IFERROR(VLOOKUP(BF200,ETQ_TBL,2,0),NEUTRO)</f>
        <v/>
      </c>
      <c r="BT200" s="3">
        <f>NEUTRO</f>
        <v/>
      </c>
      <c r="BU200" s="3">
        <f>IFERROR(VLOOKUP(L200,SEGURO_TBL,3,0),"")</f>
        <v/>
      </c>
      <c r="BV200" s="3">
        <f>IF(BU200="",NEUTRO,MAX(0,MIN(100,100*(SEG_REF_MAX-BU200)/(SEG_REF_MAX-SEG_REF_MIN))))</f>
        <v/>
      </c>
      <c r="BW200" s="3">
        <f>W_ET*BS200+W_CONS*BT200+W_SEG*BV200</f>
        <v/>
      </c>
      <c r="BX200" s="3">
        <f>IF(N(AB200)&gt;0,AB200,IF(AND(R200="profesional",SG_LEGAL_ON=1),GAR_LEGAL,0))</f>
        <v/>
      </c>
      <c r="BY200" s="3">
        <f>SG_GAR*MIN(1,BX200/SG_GAR_FULL)+SG_AMPL*(AC200="sí")+SG_KMC*(AF200="sí")+SG_REV*(N(AE200)&gt;0)+SG_DEV*MIN(1,N(AG200)/SG_DEV_FULL)+SG_HIST*(W200="sí")</f>
        <v/>
      </c>
      <c r="BZ200" s="3">
        <f>IFERROR(VLOOKUP(L200,CARR_PEN_TBL,2,0),0)</f>
        <v/>
      </c>
      <c r="CA200" s="3">
        <f>W_FIAB*BL200+W_PRECIO*BM200+W_KMEDAD*BQ200+W_ANUNCIO*BR200+W_USO*BW200+W_SEGURIDAD*BY200-BZ200</f>
        <v/>
      </c>
      <c r="CB200" s="4">
        <f>IF(N(I200)&gt;0,I200,IFERROR(ROUND(_xlfn.NUMBERVALUE(LEFT(G200,FIND(" ",G200&amp;" ")-1),".")*1000,0),99999))</f>
        <v/>
      </c>
      <c r="CC200" s="3">
        <f>IF(R200="profesional",0,IF(O200&lt;CUOTA_VALOR_MAX,IF(AU200&gt;ITP_TRAMO_ALTO,SUMIFS(CF_CUOTA,CF_MAS,ITP_TRAMO_ALTO,CF_CCMIN,"&lt;="&amp;CB200,CF_CCMAX,"&gt;="&amp;CB200),IF(AU200&gt;ITP_TRAMO_BAJO,SUMIFS(CF_CUOTA,CF_MAS,ITP_TRAMO_BAJO,CF_CCMIN,"&lt;="&amp;CB200,CF_CCMAX,"&gt;="&amp;CB200),O200*ITP_TIPO)),O200*ITP_TIPO))</f>
        <v/>
      </c>
      <c r="CD200" s="4">
        <f>IF(R200="profesional",N(AK200),0)</f>
        <v/>
      </c>
      <c r="CE200" s="3">
        <f>IF(AND(R200="profesional",ISNUMBER(AK200),AL200="sí"),0,TASA_DGT)</f>
        <v/>
      </c>
      <c r="CF200" s="3">
        <f>INFORME_DGT</f>
        <v/>
      </c>
      <c r="CG200" s="4">
        <f>O200+CD200+CC200+CE200+CF200</f>
        <v/>
      </c>
      <c r="CH200" s="4">
        <f>CG200+N(BU200)</f>
        <v/>
      </c>
      <c r="CI200" s="3">
        <f>IF(CG200&lt;=TOTAL_MAX,"sí",IF(CG200&lt;=TOTAL_MAX+MARGEN_NEG,"negociar","no"))</f>
        <v/>
      </c>
      <c r="CJ200" s="4">
        <f>IF(CI200&lt;&gt;"no",COUNTIFS($CI$2:$CI$662,"&lt;&gt;no",$CA$2:$CA$662,"&gt;"&amp;CA200)+COUNTIFS($CI$2:CI200,"&lt;&gt;no",$CA$2:CA200,CA200),"")</f>
        <v/>
      </c>
    </row>
    <row r="201">
      <c r="A201" s="2" t="inlineStr">
        <is>
          <t>cochesnet:71680921</t>
        </is>
      </c>
      <c r="B201" s="2" t="inlineStr">
        <is>
          <t>cochesnet</t>
        </is>
      </c>
      <c r="C201" s="2" t="inlineStr">
        <is>
          <t>https://www.coches.net/chevrolet-aveo-14-16v-ls-5p-gasolina-2010-en-valencia-71680921-covo.aspx</t>
        </is>
      </c>
      <c r="D201" s="2" t="inlineStr">
        <is>
          <t>CHEVROLET Aveo 1.4 16v LS</t>
        </is>
      </c>
      <c r="E201" s="2" t="inlineStr">
        <is>
          <t>Chevrolet</t>
        </is>
      </c>
      <c r="F201" s="2" t="inlineStr">
        <is>
          <t>Chevrolet Aveo</t>
        </is>
      </c>
      <c r="G201" s="2" t="inlineStr">
        <is>
          <t>1.4</t>
        </is>
      </c>
      <c r="H201" s="2" t="inlineStr">
        <is>
          <t>1.4 16v LS</t>
        </is>
      </c>
      <c r="I201" s="2" t="n"/>
      <c r="J201" s="2" t="n"/>
      <c r="K201" s="2" t="inlineStr">
        <is>
          <t>gasolina</t>
        </is>
      </c>
      <c r="L201" s="2" t="inlineStr">
        <is>
          <t>utilitario</t>
        </is>
      </c>
      <c r="M201" s="2" t="n">
        <v>2010</v>
      </c>
      <c r="N201" s="2" t="n">
        <v>194331</v>
      </c>
      <c r="O201" s="2" t="n">
        <v>3500</v>
      </c>
      <c r="P201" s="2" t="inlineStr">
        <is>
          <t>manual</t>
        </is>
      </c>
      <c r="Q201" s="2" t="inlineStr">
        <is>
          <t>no</t>
        </is>
      </c>
      <c r="R201" s="2" t="inlineStr">
        <is>
          <t>particular</t>
        </is>
      </c>
      <c r="S201" s="2" t="inlineStr">
        <is>
          <t>Sueca</t>
        </is>
      </c>
      <c r="T201" s="2" t="inlineStr">
        <is>
          <t>2026-10-05T22:44:28Z</t>
        </is>
      </c>
      <c r="U201" s="2" t="n">
        <v>7</v>
      </c>
      <c r="V201" s="2" t="n"/>
      <c r="W201" s="2" t="n"/>
      <c r="X201" s="2" t="n"/>
      <c r="Y201" s="2" t="n"/>
      <c r="Z201" s="2" t="inlineStr">
        <is>
          <t>no</t>
        </is>
      </c>
      <c r="AA201" s="2" t="n"/>
      <c r="AB201" s="2" t="n"/>
      <c r="AC201" s="2" t="n"/>
      <c r="AD201" s="2" t="n"/>
      <c r="AE201" s="2" t="n"/>
      <c r="AF201" s="2" t="n"/>
      <c r="AG201" s="2" t="n"/>
      <c r="AH201" s="2" t="n">
        <v>3500</v>
      </c>
      <c r="AI201" s="2" t="n"/>
      <c r="AJ201" s="2" t="n"/>
      <c r="AK201" s="2" t="n"/>
      <c r="AL201" s="2" t="n"/>
      <c r="AM201" s="2" t="n">
        <v>30.3</v>
      </c>
      <c r="AN201" s="2" t="n">
        <v>3950</v>
      </c>
      <c r="AO201" s="2" t="n">
        <v>12</v>
      </c>
      <c r="AP201" s="2" t="inlineStr">
        <is>
          <t>modelo+año</t>
        </is>
      </c>
      <c r="AQ201" s="2" t="n"/>
      <c r="AR201" s="2" t="inlineStr">
        <is>
          <t>cuota fija ITP: &gt;12 años, hasta 1.500 cc; fiabilidad del modelo PENDIENTE de fuente (puntuación neutra)</t>
        </is>
      </c>
      <c r="AS201" s="2" t="inlineStr">
        <is>
          <t xml:space="preserve">Coche en buen estado vendo por no utilizar </t>
        </is>
      </c>
      <c r="AT201" s="2" t="inlineStr">
        <is>
          <t>https://www.coches.net/chevrolet-aveo-14-16v-ls-5p-gasolina-2010-en-valencia-71680921-covo.aspx (window.__INITIAL_PROPS__.ad) /home/user/Alopecia/buscador-coches/raw/cochesnet/0178fd7de8e47e7a.json</t>
        </is>
      </c>
      <c r="AU201" s="3">
        <f>MAX(ANIO_ACTUAL-M201,0)</f>
        <v/>
      </c>
      <c r="AV201" s="4">
        <f>N201/MAX(AU201,0.5)</f>
        <v/>
      </c>
      <c r="AW201" s="4">
        <f>F201</f>
        <v/>
      </c>
      <c r="AX201" s="3">
        <f>AW201&amp;"|"&amp;INT(M201/SEG_ANIO)*SEG_ANIO</f>
        <v/>
      </c>
      <c r="AY201" s="3">
        <f>AX201&amp;"|"&amp;INT(N201/SEG_KM)*SEG_KM</f>
        <v/>
      </c>
      <c r="AZ201" s="4">
        <f>COUNTIF($AW$2:$AW$662,AW201)</f>
        <v/>
      </c>
      <c r="BA201" s="4">
        <f>COUNTIF($AX$2:$AX$662,AX201)</f>
        <v/>
      </c>
      <c r="BB201" s="4">
        <f>COUNTIF($AY$2:$AY$662,AY201)</f>
        <v/>
      </c>
      <c r="BC201" s="3">
        <f t="array" ref="BC201">IF(N(AO201)&gt;=MIN_N,AN201,IF(BB201&gt;=MIN_N,MEDIAN(IF($AY$2:$AY$662=AY201,$O$2:$O$662)),IF(BA201&gt;=MIN_N,MEDIAN(IF($AX$2:$AX$662=AX201,$O$2:$O$662)),MEDIAN(IF($AW$2:$AW$662=AW201,$O$2:$O$662)))))</f>
        <v/>
      </c>
      <c r="BD201" s="3">
        <f>IF(N(AO201)&gt;=MIN_N,"mercado "&amp;AP201,IF(BB201&gt;=MIN_N,"modelo+año+km",IF(BA201&gt;=MIN_N,"modelo+año","modelo")))</f>
        <v/>
      </c>
      <c r="BE201" s="4">
        <f>(BC201-O201)/BC201</f>
        <v/>
      </c>
      <c r="BF201" s="3">
        <f>IF(OR(K201="hibrido",K201="glp"),"ECO",IF(K201="electrico","CERO",IF(K201="gasolina",IF(M201&gt;=GAS_C,"C",IF(M201&gt;=GAS_B,"B","A")),IF(K201="diesel",IF(M201&gt;=DIE_C,"C",IF(M201&gt;=DIE_B,"B","A")),""))))</f>
        <v/>
      </c>
      <c r="BG201" s="3">
        <f>IFERROR(VLOOKUP(F201,MOD_TBL,11,0),IFERROR(VLOOKUP(E201,OCU_TBL,2,0),NEUTRO))</f>
        <v/>
      </c>
      <c r="BH201" s="3">
        <f>SUMIFS(MOT_AJUSTE,MOT_MOTOR,G201,MOT_MARCA,E201,MOT_DESDE,"&lt;="&amp;M201,MOT_HASTA,"&gt;="&amp;M201)+SUMIFS(MOT_AJUSTE,MOT_MOTOR,G201,MOT_MARCA,"(todas)",MOT_DESDE,"&lt;="&amp;M201,MOT_HASTA,"&gt;="&amp;M201)</f>
        <v/>
      </c>
      <c r="BI201" s="3">
        <f>SUMIFS(COMB_AJUSTE,COMB_COMB,K201)</f>
        <v/>
      </c>
      <c r="BJ201" s="3">
        <f>COUNTIFS(MOT_MOTOR,G201,MOT_MARCA,E201,MOT_DESDE,"&lt;="&amp;M201,MOT_HASTA,"&gt;="&amp;M201)+COUNTIFS(MOT_MOTOR,G201,MOT_MARCA,"(todas)",MOT_DESDE,"&lt;="&amp;M201,MOT_HASTA,"&gt;="&amp;M201)</f>
        <v/>
      </c>
      <c r="BK201" s="3">
        <f>IF(AND(K201="diesel",BJ201=0),MIN(BG201,NEUTRO),BG201)</f>
        <v/>
      </c>
      <c r="BL201" s="4">
        <f>MAX(0,MIN(100,BK201+BH201+BI201))</f>
        <v/>
      </c>
      <c r="BM201" s="3">
        <f>MAX(0,MIN(100,50+BE201*PRECIO_PEND))</f>
        <v/>
      </c>
      <c r="BN201" s="3">
        <f>MAX(0,100*(1-N201/KM_MAX))</f>
        <v/>
      </c>
      <c r="BO201" s="3">
        <f>IF(AV201&lt;KMA_SOSP,IF(AA201="sí",100,KMA_PEN),IF(AV201&lt;=KMA_IDEAL_MAX,100,MAX(0,100*(KMA_CERO-AV201)/(KMA_CERO-KMA_IDEAL_MAX))))</f>
        <v/>
      </c>
      <c r="BP201" s="3">
        <f>MAX(0,MIN(100,100*(M201-ANIO_MIN)/(ANIO_ACTUAL-ANIO_MIN)))</f>
        <v/>
      </c>
      <c r="BQ201" s="3">
        <f>W_KMT*BN201+W_KMA*BO201+W_EDAD*BP201</f>
        <v/>
      </c>
      <c r="BR201" s="3">
        <f>P_ITV*(V201="sí")+P_LIBRO*(W201="sí")+P_CORREA*(X201="sí")+P_PROP*(Y201=1)+P_GAR*(Z201="sí")+P_FOTOS*MIN(1,N(U201)/FOTOS_OBJ)</f>
        <v/>
      </c>
      <c r="BS201" s="3">
        <f>IFERROR(VLOOKUP(BF201,ETQ_TBL,2,0),NEUTRO)</f>
        <v/>
      </c>
      <c r="BT201" s="3">
        <f>NEUTRO</f>
        <v/>
      </c>
      <c r="BU201" s="3">
        <f>IFERROR(VLOOKUP(L201,SEGURO_TBL,3,0),"")</f>
        <v/>
      </c>
      <c r="BV201" s="3">
        <f>IF(BU201="",NEUTRO,MAX(0,MIN(100,100*(SEG_REF_MAX-BU201)/(SEG_REF_MAX-SEG_REF_MIN))))</f>
        <v/>
      </c>
      <c r="BW201" s="3">
        <f>W_ET*BS201+W_CONS*BT201+W_SEG*BV201</f>
        <v/>
      </c>
      <c r="BX201" s="3">
        <f>IF(N(AB201)&gt;0,AB201,IF(AND(R201="profesional",SG_LEGAL_ON=1),GAR_LEGAL,0))</f>
        <v/>
      </c>
      <c r="BY201" s="3">
        <f>SG_GAR*MIN(1,BX201/SG_GAR_FULL)+SG_AMPL*(AC201="sí")+SG_KMC*(AF201="sí")+SG_REV*(N(AE201)&gt;0)+SG_DEV*MIN(1,N(AG201)/SG_DEV_FULL)+SG_HIST*(W201="sí")</f>
        <v/>
      </c>
      <c r="BZ201" s="3">
        <f>IFERROR(VLOOKUP(L201,CARR_PEN_TBL,2,0),0)</f>
        <v/>
      </c>
      <c r="CA201" s="3">
        <f>W_FIAB*BL201+W_PRECIO*BM201+W_KMEDAD*BQ201+W_ANUNCIO*BR201+W_USO*BW201+W_SEGURIDAD*BY201-BZ201</f>
        <v/>
      </c>
      <c r="CB201" s="4">
        <f>IF(N(I201)&gt;0,I201,IFERROR(ROUND(_xlfn.NUMBERVALUE(LEFT(G201,FIND(" ",G201&amp;" ")-1),".")*1000,0),99999))</f>
        <v/>
      </c>
      <c r="CC201" s="3">
        <f>IF(R201="profesional",0,IF(O201&lt;CUOTA_VALOR_MAX,IF(AU201&gt;ITP_TRAMO_ALTO,SUMIFS(CF_CUOTA,CF_MAS,ITP_TRAMO_ALTO,CF_CCMIN,"&lt;="&amp;CB201,CF_CCMAX,"&gt;="&amp;CB201),IF(AU201&gt;ITP_TRAMO_BAJO,SUMIFS(CF_CUOTA,CF_MAS,ITP_TRAMO_BAJO,CF_CCMIN,"&lt;="&amp;CB201,CF_CCMAX,"&gt;="&amp;CB201),O201*ITP_TIPO)),O201*ITP_TIPO))</f>
        <v/>
      </c>
      <c r="CD201" s="4">
        <f>IF(R201="profesional",N(AK201),0)</f>
        <v/>
      </c>
      <c r="CE201" s="3">
        <f>IF(AND(R201="profesional",ISNUMBER(AK201),AL201="sí"),0,TASA_DGT)</f>
        <v/>
      </c>
      <c r="CF201" s="3">
        <f>INFORME_DGT</f>
        <v/>
      </c>
      <c r="CG201" s="4">
        <f>O201+CD201+CC201+CE201+CF201</f>
        <v/>
      </c>
      <c r="CH201" s="4">
        <f>CG201+N(BU201)</f>
        <v/>
      </c>
      <c r="CI201" s="3">
        <f>IF(CG201&lt;=TOTAL_MAX,"sí",IF(CG201&lt;=TOTAL_MAX+MARGEN_NEG,"negociar","no"))</f>
        <v/>
      </c>
      <c r="CJ201" s="4">
        <f>IF(CI201&lt;&gt;"no",COUNTIFS($CI$2:$CI$662,"&lt;&gt;no",$CA$2:$CA$662,"&gt;"&amp;CA201)+COUNTIFS($CI$2:CI201,"&lt;&gt;no",$CA$2:CA201,CA201),"")</f>
        <v/>
      </c>
    </row>
    <row r="202">
      <c r="A202" s="2" t="inlineStr">
        <is>
          <t>cochesnet:71549713</t>
        </is>
      </c>
      <c r="B202" s="2" t="inlineStr">
        <is>
          <t>cochesnet</t>
        </is>
      </c>
      <c r="C202" s="2" t="inlineStr">
        <is>
          <t>https://www.coches.net/chevrolet-aveo-14-16v-ls-5p-gasolina-2009-en-valencia-71549713-covo.aspx</t>
        </is>
      </c>
      <c r="D202" s="2" t="inlineStr">
        <is>
          <t>CHEVROLET Aveo 1.4 16v LS</t>
        </is>
      </c>
      <c r="E202" s="2" t="inlineStr">
        <is>
          <t>Chevrolet</t>
        </is>
      </c>
      <c r="F202" s="2" t="inlineStr">
        <is>
          <t>Chevrolet Aveo</t>
        </is>
      </c>
      <c r="G202" s="2" t="inlineStr">
        <is>
          <t>1.4</t>
        </is>
      </c>
      <c r="H202" s="2" t="inlineStr">
        <is>
          <t>1.4 16v LS</t>
        </is>
      </c>
      <c r="I202" s="2" t="n"/>
      <c r="J202" s="2" t="n"/>
      <c r="K202" s="2" t="inlineStr">
        <is>
          <t>gasolina</t>
        </is>
      </c>
      <c r="L202" s="2" t="inlineStr">
        <is>
          <t>utilitario</t>
        </is>
      </c>
      <c r="M202" s="2" t="n">
        <v>2009</v>
      </c>
      <c r="N202" s="2" t="n">
        <v>150000</v>
      </c>
      <c r="O202" s="2" t="n">
        <v>2499</v>
      </c>
      <c r="P202" s="2" t="inlineStr">
        <is>
          <t>manual</t>
        </is>
      </c>
      <c r="Q202" s="2" t="inlineStr">
        <is>
          <t>no</t>
        </is>
      </c>
      <c r="R202" s="2" t="inlineStr">
        <is>
          <t>particular</t>
        </is>
      </c>
      <c r="S202" s="2" t="inlineStr">
        <is>
          <t>Gandia</t>
        </is>
      </c>
      <c r="T202" s="2" t="inlineStr">
        <is>
          <t>2026-09-19T00:05:37Z</t>
        </is>
      </c>
      <c r="U202" s="2" t="n"/>
      <c r="V202" s="2" t="inlineStr">
        <is>
          <t>sí</t>
        </is>
      </c>
      <c r="W202" s="2" t="n"/>
      <c r="X202" s="2" t="n"/>
      <c r="Y202" s="2" t="n"/>
      <c r="Z202" s="2" t="inlineStr">
        <is>
          <t>no</t>
        </is>
      </c>
      <c r="AA202" s="2" t="n"/>
      <c r="AB202" s="2" t="n"/>
      <c r="AC202" s="2" t="n"/>
      <c r="AD202" s="2" t="n"/>
      <c r="AE202" s="2" t="n"/>
      <c r="AF202" s="2" t="n"/>
      <c r="AG202" s="2" t="n"/>
      <c r="AH202" s="2" t="n">
        <v>2499</v>
      </c>
      <c r="AI202" s="2" t="n"/>
      <c r="AJ202" s="2" t="n"/>
      <c r="AK202" s="2" t="n"/>
      <c r="AL202" s="2" t="n"/>
      <c r="AM202" s="2" t="n">
        <v>58.4</v>
      </c>
      <c r="AN202" s="2" t="n">
        <v>3650</v>
      </c>
      <c r="AO202" s="2" t="n">
        <v>10</v>
      </c>
      <c r="AP202" s="2" t="inlineStr">
        <is>
          <t>modelo+año</t>
        </is>
      </c>
      <c r="AQ202" s="2" t="n"/>
      <c r="AR202" s="2" t="inlineStr">
        <is>
          <t>cuota fija ITP: &gt;12 años, hasta 1.500 cc; fiabilidad del modelo PENDIENTE de fuente (puntuación neutra)</t>
        </is>
      </c>
      <c r="AS202" s="2" t="inlineStr">
        <is>
          <t>Itv al día. Revisión aceite y filtros reciente. Nunca ningún accidente. No fumador. Vendo por haber comprado otro coche. Sólo falta recargar aire acondicionado.</t>
        </is>
      </c>
      <c r="AT202" s="2" t="inlineStr">
        <is>
          <t>https://www.coches.net/chevrolet-aveo-14-16v-ls-5p-gasolina-2009-en-valencia-71549713-covo.aspx (window.__INITIAL_PROPS__.ad) /home/user/Alopecia/buscador-coches/raw/cochesnet/d3294e7522e7d5cf.json</t>
        </is>
      </c>
      <c r="AU202" s="3">
        <f>MAX(ANIO_ACTUAL-M202,0)</f>
        <v/>
      </c>
      <c r="AV202" s="4">
        <f>N202/MAX(AU202,0.5)</f>
        <v/>
      </c>
      <c r="AW202" s="4">
        <f>F202</f>
        <v/>
      </c>
      <c r="AX202" s="3">
        <f>AW202&amp;"|"&amp;INT(M202/SEG_ANIO)*SEG_ANIO</f>
        <v/>
      </c>
      <c r="AY202" s="3">
        <f>AX202&amp;"|"&amp;INT(N202/SEG_KM)*SEG_KM</f>
        <v/>
      </c>
      <c r="AZ202" s="4">
        <f>COUNTIF($AW$2:$AW$662,AW202)</f>
        <v/>
      </c>
      <c r="BA202" s="4">
        <f>COUNTIF($AX$2:$AX$662,AX202)</f>
        <v/>
      </c>
      <c r="BB202" s="4">
        <f>COUNTIF($AY$2:$AY$662,AY202)</f>
        <v/>
      </c>
      <c r="BC202" s="3">
        <f t="array" ref="BC202">IF(N(AO202)&gt;=MIN_N,AN202,IF(BB202&gt;=MIN_N,MEDIAN(IF($AY$2:$AY$662=AY202,$O$2:$O$662)),IF(BA202&gt;=MIN_N,MEDIAN(IF($AX$2:$AX$662=AX202,$O$2:$O$662)),MEDIAN(IF($AW$2:$AW$662=AW202,$O$2:$O$662)))))</f>
        <v/>
      </c>
      <c r="BD202" s="3">
        <f>IF(N(AO202)&gt;=MIN_N,"mercado "&amp;AP202,IF(BB202&gt;=MIN_N,"modelo+año+km",IF(BA202&gt;=MIN_N,"modelo+año","modelo")))</f>
        <v/>
      </c>
      <c r="BE202" s="4">
        <f>(BC202-O202)/BC202</f>
        <v/>
      </c>
      <c r="BF202" s="3">
        <f>IF(OR(K202="hibrido",K202="glp"),"ECO",IF(K202="electrico","CERO",IF(K202="gasolina",IF(M202&gt;=GAS_C,"C",IF(M202&gt;=GAS_B,"B","A")),IF(K202="diesel",IF(M202&gt;=DIE_C,"C",IF(M202&gt;=DIE_B,"B","A")),""))))</f>
        <v/>
      </c>
      <c r="BG202" s="3">
        <f>IFERROR(VLOOKUP(F202,MOD_TBL,11,0),IFERROR(VLOOKUP(E202,OCU_TBL,2,0),NEUTRO))</f>
        <v/>
      </c>
      <c r="BH202" s="3">
        <f>SUMIFS(MOT_AJUSTE,MOT_MOTOR,G202,MOT_MARCA,E202,MOT_DESDE,"&lt;="&amp;M202,MOT_HASTA,"&gt;="&amp;M202)+SUMIFS(MOT_AJUSTE,MOT_MOTOR,G202,MOT_MARCA,"(todas)",MOT_DESDE,"&lt;="&amp;M202,MOT_HASTA,"&gt;="&amp;M202)</f>
        <v/>
      </c>
      <c r="BI202" s="3">
        <f>SUMIFS(COMB_AJUSTE,COMB_COMB,K202)</f>
        <v/>
      </c>
      <c r="BJ202" s="3">
        <f>COUNTIFS(MOT_MOTOR,G202,MOT_MARCA,E202,MOT_DESDE,"&lt;="&amp;M202,MOT_HASTA,"&gt;="&amp;M202)+COUNTIFS(MOT_MOTOR,G202,MOT_MARCA,"(todas)",MOT_DESDE,"&lt;="&amp;M202,MOT_HASTA,"&gt;="&amp;M202)</f>
        <v/>
      </c>
      <c r="BK202" s="3">
        <f>IF(AND(K202="diesel",BJ202=0),MIN(BG202,NEUTRO),BG202)</f>
        <v/>
      </c>
      <c r="BL202" s="4">
        <f>MAX(0,MIN(100,BK202+BH202+BI202))</f>
        <v/>
      </c>
      <c r="BM202" s="3">
        <f>MAX(0,MIN(100,50+BE202*PRECIO_PEND))</f>
        <v/>
      </c>
      <c r="BN202" s="3">
        <f>MAX(0,100*(1-N202/KM_MAX))</f>
        <v/>
      </c>
      <c r="BO202" s="3">
        <f>IF(AV202&lt;KMA_SOSP,IF(AA202="sí",100,KMA_PEN),IF(AV202&lt;=KMA_IDEAL_MAX,100,MAX(0,100*(KMA_CERO-AV202)/(KMA_CERO-KMA_IDEAL_MAX))))</f>
        <v/>
      </c>
      <c r="BP202" s="3">
        <f>MAX(0,MIN(100,100*(M202-ANIO_MIN)/(ANIO_ACTUAL-ANIO_MIN)))</f>
        <v/>
      </c>
      <c r="BQ202" s="3">
        <f>W_KMT*BN202+W_KMA*BO202+W_EDAD*BP202</f>
        <v/>
      </c>
      <c r="BR202" s="3">
        <f>P_ITV*(V202="sí")+P_LIBRO*(W202="sí")+P_CORREA*(X202="sí")+P_PROP*(Y202=1)+P_GAR*(Z202="sí")+P_FOTOS*MIN(1,N(U202)/FOTOS_OBJ)</f>
        <v/>
      </c>
      <c r="BS202" s="3">
        <f>IFERROR(VLOOKUP(BF202,ETQ_TBL,2,0),NEUTRO)</f>
        <v/>
      </c>
      <c r="BT202" s="3">
        <f>NEUTRO</f>
        <v/>
      </c>
      <c r="BU202" s="3">
        <f>IFERROR(VLOOKUP(L202,SEGURO_TBL,3,0),"")</f>
        <v/>
      </c>
      <c r="BV202" s="3">
        <f>IF(BU202="",NEUTRO,MAX(0,MIN(100,100*(SEG_REF_MAX-BU202)/(SEG_REF_MAX-SEG_REF_MIN))))</f>
        <v/>
      </c>
      <c r="BW202" s="3">
        <f>W_ET*BS202+W_CONS*BT202+W_SEG*BV202</f>
        <v/>
      </c>
      <c r="BX202" s="3">
        <f>IF(N(AB202)&gt;0,AB202,IF(AND(R202="profesional",SG_LEGAL_ON=1),GAR_LEGAL,0))</f>
        <v/>
      </c>
      <c r="BY202" s="3">
        <f>SG_GAR*MIN(1,BX202/SG_GAR_FULL)+SG_AMPL*(AC202="sí")+SG_KMC*(AF202="sí")+SG_REV*(N(AE202)&gt;0)+SG_DEV*MIN(1,N(AG202)/SG_DEV_FULL)+SG_HIST*(W202="sí")</f>
        <v/>
      </c>
      <c r="BZ202" s="3">
        <f>IFERROR(VLOOKUP(L202,CARR_PEN_TBL,2,0),0)</f>
        <v/>
      </c>
      <c r="CA202" s="3">
        <f>W_FIAB*BL202+W_PRECIO*BM202+W_KMEDAD*BQ202+W_ANUNCIO*BR202+W_USO*BW202+W_SEGURIDAD*BY202-BZ202</f>
        <v/>
      </c>
      <c r="CB202" s="4">
        <f>IF(N(I202)&gt;0,I202,IFERROR(ROUND(_xlfn.NUMBERVALUE(LEFT(G202,FIND(" ",G202&amp;" ")-1),".")*1000,0),99999))</f>
        <v/>
      </c>
      <c r="CC202" s="3">
        <f>IF(R202="profesional",0,IF(O202&lt;CUOTA_VALOR_MAX,IF(AU202&gt;ITP_TRAMO_ALTO,SUMIFS(CF_CUOTA,CF_MAS,ITP_TRAMO_ALTO,CF_CCMIN,"&lt;="&amp;CB202,CF_CCMAX,"&gt;="&amp;CB202),IF(AU202&gt;ITP_TRAMO_BAJO,SUMIFS(CF_CUOTA,CF_MAS,ITP_TRAMO_BAJO,CF_CCMIN,"&lt;="&amp;CB202,CF_CCMAX,"&gt;="&amp;CB202),O202*ITP_TIPO)),O202*ITP_TIPO))</f>
        <v/>
      </c>
      <c r="CD202" s="4">
        <f>IF(R202="profesional",N(AK202),0)</f>
        <v/>
      </c>
      <c r="CE202" s="3">
        <f>IF(AND(R202="profesional",ISNUMBER(AK202),AL202="sí"),0,TASA_DGT)</f>
        <v/>
      </c>
      <c r="CF202" s="3">
        <f>INFORME_DGT</f>
        <v/>
      </c>
      <c r="CG202" s="4">
        <f>O202+CD202+CC202+CE202+CF202</f>
        <v/>
      </c>
      <c r="CH202" s="4">
        <f>CG202+N(BU202)</f>
        <v/>
      </c>
      <c r="CI202" s="3">
        <f>IF(CG202&lt;=TOTAL_MAX,"sí",IF(CG202&lt;=TOTAL_MAX+MARGEN_NEG,"negociar","no"))</f>
        <v/>
      </c>
      <c r="CJ202" s="4">
        <f>IF(CI202&lt;&gt;"no",COUNTIFS($CI$2:$CI$662,"&lt;&gt;no",$CA$2:$CA$662,"&gt;"&amp;CA202)+COUNTIFS($CI$2:CI202,"&lt;&gt;no",$CA$2:CA202,CA202),"")</f>
        <v/>
      </c>
    </row>
    <row r="203">
      <c r="A203" s="2" t="inlineStr">
        <is>
          <t>cochesnet:71678496</t>
        </is>
      </c>
      <c r="B203" s="2" t="inlineStr">
        <is>
          <t>cochesnet</t>
        </is>
      </c>
      <c r="C203" s="2" t="inlineStr">
        <is>
          <t>https://www.coches.net/chevrolet-cruze-16-ls-clima-4p-gasolina-2011-en-valencia-71678496-covo.aspx</t>
        </is>
      </c>
      <c r="D203" s="2" t="inlineStr">
        <is>
          <t>CHEVROLET Cruze 1.6 LS Clima</t>
        </is>
      </c>
      <c r="E203" s="2" t="inlineStr">
        <is>
          <t>Chevrolet</t>
        </is>
      </c>
      <c r="F203" s="2" t="inlineStr">
        <is>
          <t>Chevrolet Cruze</t>
        </is>
      </c>
      <c r="G203" s="2" t="inlineStr">
        <is>
          <t>1.6</t>
        </is>
      </c>
      <c r="H203" s="2" t="inlineStr">
        <is>
          <t>1.6 LS Clima</t>
        </is>
      </c>
      <c r="I203" s="2" t="n"/>
      <c r="J203" s="2" t="n"/>
      <c r="K203" s="2" t="inlineStr">
        <is>
          <t>gasolina</t>
        </is>
      </c>
      <c r="L203" s="2" t="inlineStr">
        <is>
          <t>compacto</t>
        </is>
      </c>
      <c r="M203" s="2" t="n">
        <v>2011</v>
      </c>
      <c r="N203" s="2" t="n">
        <v>205000</v>
      </c>
      <c r="O203" s="2" t="n">
        <v>3950</v>
      </c>
      <c r="P203" s="2" t="inlineStr">
        <is>
          <t>manual</t>
        </is>
      </c>
      <c r="Q203" s="2" t="inlineStr">
        <is>
          <t>no</t>
        </is>
      </c>
      <c r="R203" s="2" t="inlineStr">
        <is>
          <t>profesional</t>
        </is>
      </c>
      <c r="S203" s="2" t="inlineStr">
        <is>
          <t>NRGCARS La Pobla de Vallbona</t>
        </is>
      </c>
      <c r="T203" s="2" t="inlineStr">
        <is>
          <t>2026-10-05T18:04:21Z</t>
        </is>
      </c>
      <c r="U203" s="2" t="n">
        <v>13</v>
      </c>
      <c r="V203" s="2" t="inlineStr">
        <is>
          <t>sí</t>
        </is>
      </c>
      <c r="W203" s="2" t="n"/>
      <c r="X203" s="2" t="n"/>
      <c r="Y203" s="2" t="n"/>
      <c r="Z203" s="2" t="inlineStr">
        <is>
          <t>sí</t>
        </is>
      </c>
      <c r="AA203" s="2" t="n"/>
      <c r="AB203" s="2" t="n">
        <v>12</v>
      </c>
      <c r="AC203" s="2" t="n"/>
      <c r="AD203" s="2" t="n"/>
      <c r="AE203" s="2" t="n"/>
      <c r="AF203" s="2" t="n"/>
      <c r="AG203" s="2" t="n"/>
      <c r="AH203" s="2" t="n">
        <v>3950</v>
      </c>
      <c r="AI203" s="2" t="n">
        <v>3950</v>
      </c>
      <c r="AJ203" s="2" t="n"/>
      <c r="AK203" s="2" t="n"/>
      <c r="AL203" s="2" t="n"/>
      <c r="AM203" s="2" t="n">
        <v>20.8</v>
      </c>
      <c r="AN203" s="2" t="n">
        <v>3100</v>
      </c>
      <c r="AO203" s="2" t="n">
        <v>6</v>
      </c>
      <c r="AP203" s="2" t="inlineStr">
        <is>
          <t>modelo+año+km</t>
        </is>
      </c>
      <c r="AQ203" s="2" t="n"/>
      <c r="AR203" s="2" t="inlineStr">
        <is>
          <t>vendedor profesional: sin ITP (operación con IVA/REBU, confirmar en factura); gastos de gestión del vendedor no indicados: se suma la tasa DGT; preguntar el precio final; fiabilidad del modelo PENDIENTE de fuente (puntuación neutra)</t>
        </is>
      </c>
      <c r="AS203" s="2" t="inlineStr">
        <is>
          <t xml:space="preserve">ITV EN VIGOR
RECIEN REVISADO
ACEPTO VEHÍCULO COMO PARTE DE PAGO 
EMBRAGUE RECIEN CAMBIADO </t>
        </is>
      </c>
      <c r="AT203" s="2" t="inlineStr">
        <is>
          <t>https://www.coches.net/chevrolet-cruze-16-ls-clima-4p-gasolina-2011-en-valencia-71678496-covo.aspx (window.__INITIAL_PROPS__.ad) /home/user/Alopecia/buscador-coches/raw/cochesnet/84c294324eca9271.json</t>
        </is>
      </c>
      <c r="AU203" s="3">
        <f>MAX(ANIO_ACTUAL-M203,0)</f>
        <v/>
      </c>
      <c r="AV203" s="4">
        <f>N203/MAX(AU203,0.5)</f>
        <v/>
      </c>
      <c r="AW203" s="4">
        <f>F203</f>
        <v/>
      </c>
      <c r="AX203" s="3">
        <f>AW203&amp;"|"&amp;INT(M203/SEG_ANIO)*SEG_ANIO</f>
        <v/>
      </c>
      <c r="AY203" s="3">
        <f>AX203&amp;"|"&amp;INT(N203/SEG_KM)*SEG_KM</f>
        <v/>
      </c>
      <c r="AZ203" s="4">
        <f>COUNTIF($AW$2:$AW$662,AW203)</f>
        <v/>
      </c>
      <c r="BA203" s="4">
        <f>COUNTIF($AX$2:$AX$662,AX203)</f>
        <v/>
      </c>
      <c r="BB203" s="4">
        <f>COUNTIF($AY$2:$AY$662,AY203)</f>
        <v/>
      </c>
      <c r="BC203" s="3">
        <f t="array" ref="BC203">IF(N(AO203)&gt;=MIN_N,AN203,IF(BB203&gt;=MIN_N,MEDIAN(IF($AY$2:$AY$662=AY203,$O$2:$O$662)),IF(BA203&gt;=MIN_N,MEDIAN(IF($AX$2:$AX$662=AX203,$O$2:$O$662)),MEDIAN(IF($AW$2:$AW$662=AW203,$O$2:$O$662)))))</f>
        <v/>
      </c>
      <c r="BD203" s="3">
        <f>IF(N(AO203)&gt;=MIN_N,"mercado "&amp;AP203,IF(BB203&gt;=MIN_N,"modelo+año+km",IF(BA203&gt;=MIN_N,"modelo+año","modelo")))</f>
        <v/>
      </c>
      <c r="BE203" s="4">
        <f>(BC203-O203)/BC203</f>
        <v/>
      </c>
      <c r="BF203" s="3">
        <f>IF(OR(K203="hibrido",K203="glp"),"ECO",IF(K203="electrico","CERO",IF(K203="gasolina",IF(M203&gt;=GAS_C,"C",IF(M203&gt;=GAS_B,"B","A")),IF(K203="diesel",IF(M203&gt;=DIE_C,"C",IF(M203&gt;=DIE_B,"B","A")),""))))</f>
        <v/>
      </c>
      <c r="BG203" s="3">
        <f>IFERROR(VLOOKUP(F203,MOD_TBL,11,0),IFERROR(VLOOKUP(E203,OCU_TBL,2,0),NEUTRO))</f>
        <v/>
      </c>
      <c r="BH203" s="3">
        <f>SUMIFS(MOT_AJUSTE,MOT_MOTOR,G203,MOT_MARCA,E203,MOT_DESDE,"&lt;="&amp;M203,MOT_HASTA,"&gt;="&amp;M203)+SUMIFS(MOT_AJUSTE,MOT_MOTOR,G203,MOT_MARCA,"(todas)",MOT_DESDE,"&lt;="&amp;M203,MOT_HASTA,"&gt;="&amp;M203)</f>
        <v/>
      </c>
      <c r="BI203" s="3">
        <f>SUMIFS(COMB_AJUSTE,COMB_COMB,K203)</f>
        <v/>
      </c>
      <c r="BJ203" s="3">
        <f>COUNTIFS(MOT_MOTOR,G203,MOT_MARCA,E203,MOT_DESDE,"&lt;="&amp;M203,MOT_HASTA,"&gt;="&amp;M203)+COUNTIFS(MOT_MOTOR,G203,MOT_MARCA,"(todas)",MOT_DESDE,"&lt;="&amp;M203,MOT_HASTA,"&gt;="&amp;M203)</f>
        <v/>
      </c>
      <c r="BK203" s="3">
        <f>IF(AND(K203="diesel",BJ203=0),MIN(BG203,NEUTRO),BG203)</f>
        <v/>
      </c>
      <c r="BL203" s="4">
        <f>MAX(0,MIN(100,BK203+BH203+BI203))</f>
        <v/>
      </c>
      <c r="BM203" s="3">
        <f>MAX(0,MIN(100,50+BE203*PRECIO_PEND))</f>
        <v/>
      </c>
      <c r="BN203" s="3">
        <f>MAX(0,100*(1-N203/KM_MAX))</f>
        <v/>
      </c>
      <c r="BO203" s="3">
        <f>IF(AV203&lt;KMA_SOSP,IF(AA203="sí",100,KMA_PEN),IF(AV203&lt;=KMA_IDEAL_MAX,100,MAX(0,100*(KMA_CERO-AV203)/(KMA_CERO-KMA_IDEAL_MAX))))</f>
        <v/>
      </c>
      <c r="BP203" s="3">
        <f>MAX(0,MIN(100,100*(M203-ANIO_MIN)/(ANIO_ACTUAL-ANIO_MIN)))</f>
        <v/>
      </c>
      <c r="BQ203" s="3">
        <f>W_KMT*BN203+W_KMA*BO203+W_EDAD*BP203</f>
        <v/>
      </c>
      <c r="BR203" s="3">
        <f>P_ITV*(V203="sí")+P_LIBRO*(W203="sí")+P_CORREA*(X203="sí")+P_PROP*(Y203=1)+P_GAR*(Z203="sí")+P_FOTOS*MIN(1,N(U203)/FOTOS_OBJ)</f>
        <v/>
      </c>
      <c r="BS203" s="3">
        <f>IFERROR(VLOOKUP(BF203,ETQ_TBL,2,0),NEUTRO)</f>
        <v/>
      </c>
      <c r="BT203" s="3">
        <f>NEUTRO</f>
        <v/>
      </c>
      <c r="BU203" s="3">
        <f>IFERROR(VLOOKUP(L203,SEGURO_TBL,3,0),"")</f>
        <v/>
      </c>
      <c r="BV203" s="3">
        <f>IF(BU203="",NEUTRO,MAX(0,MIN(100,100*(SEG_REF_MAX-BU203)/(SEG_REF_MAX-SEG_REF_MIN))))</f>
        <v/>
      </c>
      <c r="BW203" s="3">
        <f>W_ET*BS203+W_CONS*BT203+W_SEG*BV203</f>
        <v/>
      </c>
      <c r="BX203" s="3">
        <f>IF(N(AB203)&gt;0,AB203,IF(AND(R203="profesional",SG_LEGAL_ON=1),GAR_LEGAL,0))</f>
        <v/>
      </c>
      <c r="BY203" s="3">
        <f>SG_GAR*MIN(1,BX203/SG_GAR_FULL)+SG_AMPL*(AC203="sí")+SG_KMC*(AF203="sí")+SG_REV*(N(AE203)&gt;0)+SG_DEV*MIN(1,N(AG203)/SG_DEV_FULL)+SG_HIST*(W203="sí")</f>
        <v/>
      </c>
      <c r="BZ203" s="3">
        <f>IFERROR(VLOOKUP(L203,CARR_PEN_TBL,2,0),0)</f>
        <v/>
      </c>
      <c r="CA203" s="3">
        <f>W_FIAB*BL203+W_PRECIO*BM203+W_KMEDAD*BQ203+W_ANUNCIO*BR203+W_USO*BW203+W_SEGURIDAD*BY203-BZ203</f>
        <v/>
      </c>
      <c r="CB203" s="4">
        <f>IF(N(I203)&gt;0,I203,IFERROR(ROUND(_xlfn.NUMBERVALUE(LEFT(G203,FIND(" ",G203&amp;" ")-1),".")*1000,0),99999))</f>
        <v/>
      </c>
      <c r="CC203" s="3">
        <f>IF(R203="profesional",0,IF(O203&lt;CUOTA_VALOR_MAX,IF(AU203&gt;ITP_TRAMO_ALTO,SUMIFS(CF_CUOTA,CF_MAS,ITP_TRAMO_ALTO,CF_CCMIN,"&lt;="&amp;CB203,CF_CCMAX,"&gt;="&amp;CB203),IF(AU203&gt;ITP_TRAMO_BAJO,SUMIFS(CF_CUOTA,CF_MAS,ITP_TRAMO_BAJO,CF_CCMIN,"&lt;="&amp;CB203,CF_CCMAX,"&gt;="&amp;CB203),O203*ITP_TIPO)),O203*ITP_TIPO))</f>
        <v/>
      </c>
      <c r="CD203" s="4">
        <f>IF(R203="profesional",N(AK203),0)</f>
        <v/>
      </c>
      <c r="CE203" s="3">
        <f>IF(AND(R203="profesional",ISNUMBER(AK203),AL203="sí"),0,TASA_DGT)</f>
        <v/>
      </c>
      <c r="CF203" s="3">
        <f>INFORME_DGT</f>
        <v/>
      </c>
      <c r="CG203" s="4">
        <f>O203+CD203+CC203+CE203+CF203</f>
        <v/>
      </c>
      <c r="CH203" s="4">
        <f>CG203+N(BU203)</f>
        <v/>
      </c>
      <c r="CI203" s="3">
        <f>IF(CG203&lt;=TOTAL_MAX,"sí",IF(CG203&lt;=TOTAL_MAX+MARGEN_NEG,"negociar","no"))</f>
        <v/>
      </c>
      <c r="CJ203" s="4">
        <f>IF(CI203&lt;&gt;"no",COUNTIFS($CI$2:$CI$662,"&lt;&gt;no",$CA$2:$CA$662,"&gt;"&amp;CA203)+COUNTIFS($CI$2:CI203,"&lt;&gt;no",$CA$2:CA203,CA203),"")</f>
        <v/>
      </c>
    </row>
    <row r="204">
      <c r="A204" s="2" t="inlineStr">
        <is>
          <t>cochesnet:71288999</t>
        </is>
      </c>
      <c r="B204" s="2" t="inlineStr">
        <is>
          <t>cochesnet</t>
        </is>
      </c>
      <c r="C204" s="2" t="inlineStr">
        <is>
          <t>https://www.coches.net/chevrolet-cruze-diesel-2011-en-valencia-71288999-covo.aspx</t>
        </is>
      </c>
      <c r="D204" s="2" t="inlineStr">
        <is>
          <t>CHEVROLET Cruze</t>
        </is>
      </c>
      <c r="E204" s="2" t="inlineStr">
        <is>
          <t>Chevrolet</t>
        </is>
      </c>
      <c r="F204" s="2" t="inlineStr">
        <is>
          <t>Chevrolet Cruze</t>
        </is>
      </c>
      <c r="G204" s="2" t="n"/>
      <c r="H204" s="2" t="n"/>
      <c r="I204" s="2" t="n"/>
      <c r="J204" s="2" t="n"/>
      <c r="K204" s="2" t="inlineStr">
        <is>
          <t>diesel</t>
        </is>
      </c>
      <c r="L204" s="2" t="inlineStr">
        <is>
          <t>compacto</t>
        </is>
      </c>
      <c r="M204" s="2" t="n">
        <v>2011</v>
      </c>
      <c r="N204" s="2" t="n">
        <v>198000</v>
      </c>
      <c r="O204" s="2" t="n">
        <v>3900</v>
      </c>
      <c r="P204" s="2" t="inlineStr">
        <is>
          <t>manual</t>
        </is>
      </c>
      <c r="Q204" s="2" t="inlineStr">
        <is>
          <t>no</t>
        </is>
      </c>
      <c r="R204" s="2" t="inlineStr">
        <is>
          <t>particular</t>
        </is>
      </c>
      <c r="S204" s="2" t="n"/>
      <c r="T204" s="2" t="inlineStr">
        <is>
          <t>2026-08-13T18:41:14Z</t>
        </is>
      </c>
      <c r="U204" s="2" t="n">
        <v>6</v>
      </c>
      <c r="V204" s="2" t="n"/>
      <c r="W204" s="2" t="n"/>
      <c r="X204" s="2" t="n"/>
      <c r="Y204" s="2" t="n"/>
      <c r="Z204" s="2" t="inlineStr">
        <is>
          <t>no</t>
        </is>
      </c>
      <c r="AA204" s="2" t="n"/>
      <c r="AB204" s="2" t="n"/>
      <c r="AC204" s="2" t="n"/>
      <c r="AD204" s="2" t="n"/>
      <c r="AE204" s="2" t="n"/>
      <c r="AF204" s="2" t="n"/>
      <c r="AG204" s="2" t="n"/>
      <c r="AH204" s="2" t="n">
        <v>3900</v>
      </c>
      <c r="AI204" s="2" t="n"/>
      <c r="AJ204" s="2" t="n"/>
      <c r="AK204" s="2" t="n"/>
      <c r="AL204" s="2" t="n"/>
      <c r="AM204" s="2" t="n"/>
      <c r="AN204" s="2" t="n">
        <v>4990</v>
      </c>
      <c r="AO204" s="2" t="n">
        <v>4</v>
      </c>
      <c r="AP204" s="2" t="inlineStr">
        <is>
          <t>modelo+año+km</t>
        </is>
      </c>
      <c r="AQ204" s="2" t="n"/>
      <c r="AR20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204" s="2" t="inlineStr">
        <is>
          <t xml:space="preserve">Cambiado Embrague, Correa de distribución y ruedas Nuevas, Excelente estado a toda prueba </t>
        </is>
      </c>
      <c r="AT204" s="2" t="inlineStr">
        <is>
          <t>https://www.coches.net/chevrolet-cruze-diesel-2011-en-valencia-71288999-covo.aspx (window.__INITIAL_PROPS__.ad) /home/user/Alopecia/buscador-coches/raw/cochesnet/dc7582604e5657c0.json</t>
        </is>
      </c>
      <c r="AU204" s="3">
        <f>MAX(ANIO_ACTUAL-M204,0)</f>
        <v/>
      </c>
      <c r="AV204" s="4">
        <f>N204/MAX(AU204,0.5)</f>
        <v/>
      </c>
      <c r="AW204" s="4">
        <f>F204</f>
        <v/>
      </c>
      <c r="AX204" s="3">
        <f>AW204&amp;"|"&amp;INT(M204/SEG_ANIO)*SEG_ANIO</f>
        <v/>
      </c>
      <c r="AY204" s="3">
        <f>AX204&amp;"|"&amp;INT(N204/SEG_KM)*SEG_KM</f>
        <v/>
      </c>
      <c r="AZ204" s="4">
        <f>COUNTIF($AW$2:$AW$662,AW204)</f>
        <v/>
      </c>
      <c r="BA204" s="4">
        <f>COUNTIF($AX$2:$AX$662,AX204)</f>
        <v/>
      </c>
      <c r="BB204" s="4">
        <f>COUNTIF($AY$2:$AY$662,AY204)</f>
        <v/>
      </c>
      <c r="BC204" s="3">
        <f t="array" ref="BC204">IF(N(AO204)&gt;=MIN_N,AN204,IF(BB204&gt;=MIN_N,MEDIAN(IF($AY$2:$AY$662=AY204,$O$2:$O$662)),IF(BA204&gt;=MIN_N,MEDIAN(IF($AX$2:$AX$662=AX204,$O$2:$O$662)),MEDIAN(IF($AW$2:$AW$662=AW204,$O$2:$O$662)))))</f>
        <v/>
      </c>
      <c r="BD204" s="3">
        <f>IF(N(AO204)&gt;=MIN_N,"mercado "&amp;AP204,IF(BB204&gt;=MIN_N,"modelo+año+km",IF(BA204&gt;=MIN_N,"modelo+año","modelo")))</f>
        <v/>
      </c>
      <c r="BE204" s="4">
        <f>(BC204-O204)/BC204</f>
        <v/>
      </c>
      <c r="BF204" s="3">
        <f>IF(OR(K204="hibrido",K204="glp"),"ECO",IF(K204="electrico","CERO",IF(K204="gasolina",IF(M204&gt;=GAS_C,"C",IF(M204&gt;=GAS_B,"B","A")),IF(K204="diesel",IF(M204&gt;=DIE_C,"C",IF(M204&gt;=DIE_B,"B","A")),""))))</f>
        <v/>
      </c>
      <c r="BG204" s="3">
        <f>IFERROR(VLOOKUP(F204,MOD_TBL,11,0),IFERROR(VLOOKUP(E204,OCU_TBL,2,0),NEUTRO))</f>
        <v/>
      </c>
      <c r="BH204" s="3">
        <f>SUMIFS(MOT_AJUSTE,MOT_MOTOR,G204,MOT_MARCA,E204,MOT_DESDE,"&lt;="&amp;M204,MOT_HASTA,"&gt;="&amp;M204)+SUMIFS(MOT_AJUSTE,MOT_MOTOR,G204,MOT_MARCA,"(todas)",MOT_DESDE,"&lt;="&amp;M204,MOT_HASTA,"&gt;="&amp;M204)</f>
        <v/>
      </c>
      <c r="BI204" s="3">
        <f>SUMIFS(COMB_AJUSTE,COMB_COMB,K204)</f>
        <v/>
      </c>
      <c r="BJ204" s="3">
        <f>COUNTIFS(MOT_MOTOR,G204,MOT_MARCA,E204,MOT_DESDE,"&lt;="&amp;M204,MOT_HASTA,"&gt;="&amp;M204)+COUNTIFS(MOT_MOTOR,G204,MOT_MARCA,"(todas)",MOT_DESDE,"&lt;="&amp;M204,MOT_HASTA,"&gt;="&amp;M204)</f>
        <v/>
      </c>
      <c r="BK204" s="3">
        <f>IF(AND(K204="diesel",BJ204=0),MIN(BG204,NEUTRO),BG204)</f>
        <v/>
      </c>
      <c r="BL204" s="4">
        <f>MAX(0,MIN(100,BK204+BH204+BI204))</f>
        <v/>
      </c>
      <c r="BM204" s="3">
        <f>MAX(0,MIN(100,50+BE204*PRECIO_PEND))</f>
        <v/>
      </c>
      <c r="BN204" s="3">
        <f>MAX(0,100*(1-N204/KM_MAX))</f>
        <v/>
      </c>
      <c r="BO204" s="3">
        <f>IF(AV204&lt;KMA_SOSP,IF(AA204="sí",100,KMA_PEN),IF(AV204&lt;=KMA_IDEAL_MAX,100,MAX(0,100*(KMA_CERO-AV204)/(KMA_CERO-KMA_IDEAL_MAX))))</f>
        <v/>
      </c>
      <c r="BP204" s="3">
        <f>MAX(0,MIN(100,100*(M204-ANIO_MIN)/(ANIO_ACTUAL-ANIO_MIN)))</f>
        <v/>
      </c>
      <c r="BQ204" s="3">
        <f>W_KMT*BN204+W_KMA*BO204+W_EDAD*BP204</f>
        <v/>
      </c>
      <c r="BR204" s="3">
        <f>P_ITV*(V204="sí")+P_LIBRO*(W204="sí")+P_CORREA*(X204="sí")+P_PROP*(Y204=1)+P_GAR*(Z204="sí")+P_FOTOS*MIN(1,N(U204)/FOTOS_OBJ)</f>
        <v/>
      </c>
      <c r="BS204" s="3">
        <f>IFERROR(VLOOKUP(BF204,ETQ_TBL,2,0),NEUTRO)</f>
        <v/>
      </c>
      <c r="BT204" s="3">
        <f>NEUTRO</f>
        <v/>
      </c>
      <c r="BU204" s="3">
        <f>IFERROR(VLOOKUP(L204,SEGURO_TBL,3,0),"")</f>
        <v/>
      </c>
      <c r="BV204" s="3">
        <f>IF(BU204="",NEUTRO,MAX(0,MIN(100,100*(SEG_REF_MAX-BU204)/(SEG_REF_MAX-SEG_REF_MIN))))</f>
        <v/>
      </c>
      <c r="BW204" s="3">
        <f>W_ET*BS204+W_CONS*BT204+W_SEG*BV204</f>
        <v/>
      </c>
      <c r="BX204" s="3">
        <f>IF(N(AB204)&gt;0,AB204,IF(AND(R204="profesional",SG_LEGAL_ON=1),GAR_LEGAL,0))</f>
        <v/>
      </c>
      <c r="BY204" s="3">
        <f>SG_GAR*MIN(1,BX204/SG_GAR_FULL)+SG_AMPL*(AC204="sí")+SG_KMC*(AF204="sí")+SG_REV*(N(AE204)&gt;0)+SG_DEV*MIN(1,N(AG204)/SG_DEV_FULL)+SG_HIST*(W204="sí")</f>
        <v/>
      </c>
      <c r="BZ204" s="3">
        <f>IFERROR(VLOOKUP(L204,CARR_PEN_TBL,2,0),0)</f>
        <v/>
      </c>
      <c r="CA204" s="3">
        <f>W_FIAB*BL204+W_PRECIO*BM204+W_KMEDAD*BQ204+W_ANUNCIO*BR204+W_USO*BW204+W_SEGURIDAD*BY204-BZ204</f>
        <v/>
      </c>
      <c r="CB204" s="4">
        <f>IF(N(I204)&gt;0,I204,IFERROR(ROUND(_xlfn.NUMBERVALUE(LEFT(G204,FIND(" ",G204&amp;" ")-1),".")*1000,0),99999))</f>
        <v/>
      </c>
      <c r="CC204" s="3">
        <f>IF(R204="profesional",0,IF(O204&lt;CUOTA_VALOR_MAX,IF(AU204&gt;ITP_TRAMO_ALTO,SUMIFS(CF_CUOTA,CF_MAS,ITP_TRAMO_ALTO,CF_CCMIN,"&lt;="&amp;CB204,CF_CCMAX,"&gt;="&amp;CB204),IF(AU204&gt;ITP_TRAMO_BAJO,SUMIFS(CF_CUOTA,CF_MAS,ITP_TRAMO_BAJO,CF_CCMIN,"&lt;="&amp;CB204,CF_CCMAX,"&gt;="&amp;CB204),O204*ITP_TIPO)),O204*ITP_TIPO))</f>
        <v/>
      </c>
      <c r="CD204" s="4">
        <f>IF(R204="profesional",N(AK204),0)</f>
        <v/>
      </c>
      <c r="CE204" s="3">
        <f>IF(AND(R204="profesional",ISNUMBER(AK204),AL204="sí"),0,TASA_DGT)</f>
        <v/>
      </c>
      <c r="CF204" s="3">
        <f>INFORME_DGT</f>
        <v/>
      </c>
      <c r="CG204" s="4">
        <f>O204+CD204+CC204+CE204+CF204</f>
        <v/>
      </c>
      <c r="CH204" s="4">
        <f>CG204+N(BU204)</f>
        <v/>
      </c>
      <c r="CI204" s="3">
        <f>IF(CG204&lt;=TOTAL_MAX,"sí",IF(CG204&lt;=TOTAL_MAX+MARGEN_NEG,"negociar","no"))</f>
        <v/>
      </c>
      <c r="CJ204" s="4">
        <f>IF(CI204&lt;&gt;"no",COUNTIFS($CI$2:$CI$662,"&lt;&gt;no",$CA$2:$CA$662,"&gt;"&amp;CA204)+COUNTIFS($CI$2:CI204,"&lt;&gt;no",$CA$2:CA204,CA204),"")</f>
        <v/>
      </c>
    </row>
    <row r="205">
      <c r="A205" s="2" t="inlineStr">
        <is>
          <t>wallapop:1318257442</t>
        </is>
      </c>
      <c r="B205" s="2" t="inlineStr">
        <is>
          <t>wallapop</t>
        </is>
      </c>
      <c r="C205" s="2" t="inlineStr">
        <is>
          <t>https://es.wallapop.com/item/mazda-2-2011-1318257442</t>
        </is>
      </c>
      <c r="D205" s="2" t="inlineStr">
        <is>
          <t>Mazda 2 2011</t>
        </is>
      </c>
      <c r="E205" s="2" t="inlineStr">
        <is>
          <t>Mazda</t>
        </is>
      </c>
      <c r="F205" s="2" t="inlineStr">
        <is>
          <t>Mazda 2</t>
        </is>
      </c>
      <c r="G205" s="2" t="inlineStr">
        <is>
          <t>1.6</t>
        </is>
      </c>
      <c r="H205" s="2" t="inlineStr">
        <is>
          <t>1.6 CRTD 95 Style 5p</t>
        </is>
      </c>
      <c r="I205" s="2" t="n"/>
      <c r="J205" s="2" t="n">
        <v>95</v>
      </c>
      <c r="K205" s="2" t="inlineStr">
        <is>
          <t>diesel</t>
        </is>
      </c>
      <c r="L205" s="2" t="inlineStr">
        <is>
          <t>utilitario</t>
        </is>
      </c>
      <c r="M205" s="2" t="n">
        <v>2011</v>
      </c>
      <c r="N205" s="2" t="n">
        <v>210000</v>
      </c>
      <c r="O205" s="2" t="n">
        <v>3850</v>
      </c>
      <c r="P205" s="2" t="inlineStr">
        <is>
          <t>manual</t>
        </is>
      </c>
      <c r="Q205" s="2" t="inlineStr">
        <is>
          <t>no</t>
        </is>
      </c>
      <c r="R205" s="2" t="inlineStr">
        <is>
          <t>particular</t>
        </is>
      </c>
      <c r="S205" s="2" t="inlineStr">
        <is>
          <t>Valencia (46023)</t>
        </is>
      </c>
      <c r="T205" s="2" t="inlineStr">
        <is>
          <t>2026-10-28T20:15:40</t>
        </is>
      </c>
      <c r="U205" s="2" t="n">
        <v>8</v>
      </c>
      <c r="V205" s="2" t="n"/>
      <c r="W205" s="2" t="n"/>
      <c r="X205" s="2" t="inlineStr">
        <is>
          <t>sí</t>
        </is>
      </c>
      <c r="Y205" s="2" t="n"/>
      <c r="Z205" s="2" t="n"/>
      <c r="AA205" s="2" t="n"/>
      <c r="AB205" s="2" t="n"/>
      <c r="AC205" s="2" t="n"/>
      <c r="AD205" s="2" t="n"/>
      <c r="AE205" s="2" t="n"/>
      <c r="AF205" s="2" t="n"/>
      <c r="AG205" s="2" t="n"/>
      <c r="AH205" s="2" t="n"/>
      <c r="AI205" s="2" t="n"/>
      <c r="AJ205" s="2" t="n"/>
      <c r="AK205" s="2" t="n"/>
      <c r="AL205" s="2" t="n"/>
      <c r="AM205" s="2" t="n">
        <v>2</v>
      </c>
      <c r="AN205" s="2" t="n">
        <v>5000</v>
      </c>
      <c r="AO205" s="2" t="n">
        <v>6</v>
      </c>
      <c r="AP205" s="2" t="inlineStr">
        <is>
          <t>modelo+año</t>
        </is>
      </c>
      <c r="AQ205" s="2" t="n"/>
      <c r="AR205" s="2" t="inlineStr">
        <is>
          <t>cuota fija ITP: &gt;12 años, 1.501-2.000 cc; diésel: motor sin fuente de fiabilidad (fiabilidad limitada a neutra)</t>
        </is>
      </c>
      <c r="AS205" s="2" t="inlineStr">
        <is>
          <t>ITV vigente, kit de distribucion cambiado hace 50 mil kms</t>
        </is>
      </c>
      <c r="AT205" s="2" t="inlineStr">
        <is>
          <t>https://es.wallapop.com/item/mazda-2-2011-1318257442 (__NEXT_DATA__ item) /home/user/Alopecia/buscador-coches/raw/wallapop/d29972536e1bf362.json</t>
        </is>
      </c>
      <c r="AU205" s="3">
        <f>MAX(ANIO_ACTUAL-M205,0)</f>
        <v/>
      </c>
      <c r="AV205" s="4">
        <f>N205/MAX(AU205,0.5)</f>
        <v/>
      </c>
      <c r="AW205" s="4">
        <f>F205</f>
        <v/>
      </c>
      <c r="AX205" s="3">
        <f>AW205&amp;"|"&amp;INT(M205/SEG_ANIO)*SEG_ANIO</f>
        <v/>
      </c>
      <c r="AY205" s="3">
        <f>AX205&amp;"|"&amp;INT(N205/SEG_KM)*SEG_KM</f>
        <v/>
      </c>
      <c r="AZ205" s="4">
        <f>COUNTIF($AW$2:$AW$662,AW205)</f>
        <v/>
      </c>
      <c r="BA205" s="4">
        <f>COUNTIF($AX$2:$AX$662,AX205)</f>
        <v/>
      </c>
      <c r="BB205" s="4">
        <f>COUNTIF($AY$2:$AY$662,AY205)</f>
        <v/>
      </c>
      <c r="BC205" s="3">
        <f t="array" ref="BC205">IF(N(AO205)&gt;=MIN_N,AN205,IF(BB205&gt;=MIN_N,MEDIAN(IF($AY$2:$AY$662=AY205,$O$2:$O$662)),IF(BA205&gt;=MIN_N,MEDIAN(IF($AX$2:$AX$662=AX205,$O$2:$O$662)),MEDIAN(IF($AW$2:$AW$662=AW205,$O$2:$O$662)))))</f>
        <v/>
      </c>
      <c r="BD205" s="3">
        <f>IF(N(AO205)&gt;=MIN_N,"mercado "&amp;AP205,IF(BB205&gt;=MIN_N,"modelo+año+km",IF(BA205&gt;=MIN_N,"modelo+año","modelo")))</f>
        <v/>
      </c>
      <c r="BE205" s="4">
        <f>(BC205-O205)/BC205</f>
        <v/>
      </c>
      <c r="BF205" s="3">
        <f>IF(OR(K205="hibrido",K205="glp"),"ECO",IF(K205="electrico","CERO",IF(K205="gasolina",IF(M205&gt;=GAS_C,"C",IF(M205&gt;=GAS_B,"B","A")),IF(K205="diesel",IF(M205&gt;=DIE_C,"C",IF(M205&gt;=DIE_B,"B","A")),""))))</f>
        <v/>
      </c>
      <c r="BG205" s="3">
        <f>IFERROR(VLOOKUP(F205,MOD_TBL,11,0),IFERROR(VLOOKUP(E205,OCU_TBL,2,0),NEUTRO))</f>
        <v/>
      </c>
      <c r="BH205" s="3">
        <f>SUMIFS(MOT_AJUSTE,MOT_MOTOR,G205,MOT_MARCA,E205,MOT_DESDE,"&lt;="&amp;M205,MOT_HASTA,"&gt;="&amp;M205)+SUMIFS(MOT_AJUSTE,MOT_MOTOR,G205,MOT_MARCA,"(todas)",MOT_DESDE,"&lt;="&amp;M205,MOT_HASTA,"&gt;="&amp;M205)</f>
        <v/>
      </c>
      <c r="BI205" s="3">
        <f>SUMIFS(COMB_AJUSTE,COMB_COMB,K205)</f>
        <v/>
      </c>
      <c r="BJ205" s="3">
        <f>COUNTIFS(MOT_MOTOR,G205,MOT_MARCA,E205,MOT_DESDE,"&lt;="&amp;M205,MOT_HASTA,"&gt;="&amp;M205)+COUNTIFS(MOT_MOTOR,G205,MOT_MARCA,"(todas)",MOT_DESDE,"&lt;="&amp;M205,MOT_HASTA,"&gt;="&amp;M205)</f>
        <v/>
      </c>
      <c r="BK205" s="3">
        <f>IF(AND(K205="diesel",BJ205=0),MIN(BG205,NEUTRO),BG205)</f>
        <v/>
      </c>
      <c r="BL205" s="4">
        <f>MAX(0,MIN(100,BK205+BH205+BI205))</f>
        <v/>
      </c>
      <c r="BM205" s="3">
        <f>MAX(0,MIN(100,50+BE205*PRECIO_PEND))</f>
        <v/>
      </c>
      <c r="BN205" s="3">
        <f>MAX(0,100*(1-N205/KM_MAX))</f>
        <v/>
      </c>
      <c r="BO205" s="3">
        <f>IF(AV205&lt;KMA_SOSP,IF(AA205="sí",100,KMA_PEN),IF(AV205&lt;=KMA_IDEAL_MAX,100,MAX(0,100*(KMA_CERO-AV205)/(KMA_CERO-KMA_IDEAL_MAX))))</f>
        <v/>
      </c>
      <c r="BP205" s="3">
        <f>MAX(0,MIN(100,100*(M205-ANIO_MIN)/(ANIO_ACTUAL-ANIO_MIN)))</f>
        <v/>
      </c>
      <c r="BQ205" s="3">
        <f>W_KMT*BN205+W_KMA*BO205+W_EDAD*BP205</f>
        <v/>
      </c>
      <c r="BR205" s="3">
        <f>P_ITV*(V205="sí")+P_LIBRO*(W205="sí")+P_CORREA*(X205="sí")+P_PROP*(Y205=1)+P_GAR*(Z205="sí")+P_FOTOS*MIN(1,N(U205)/FOTOS_OBJ)</f>
        <v/>
      </c>
      <c r="BS205" s="3">
        <f>IFERROR(VLOOKUP(BF205,ETQ_TBL,2,0),NEUTRO)</f>
        <v/>
      </c>
      <c r="BT205" s="3">
        <f>NEUTRO</f>
        <v/>
      </c>
      <c r="BU205" s="3">
        <f>IFERROR(VLOOKUP(L205,SEGURO_TBL,3,0),"")</f>
        <v/>
      </c>
      <c r="BV205" s="3">
        <f>IF(BU205="",NEUTRO,MAX(0,MIN(100,100*(SEG_REF_MAX-BU205)/(SEG_REF_MAX-SEG_REF_MIN))))</f>
        <v/>
      </c>
      <c r="BW205" s="3">
        <f>W_ET*BS205+W_CONS*BT205+W_SEG*BV205</f>
        <v/>
      </c>
      <c r="BX205" s="3">
        <f>IF(N(AB205)&gt;0,AB205,IF(AND(R205="profesional",SG_LEGAL_ON=1),GAR_LEGAL,0))</f>
        <v/>
      </c>
      <c r="BY205" s="3">
        <f>SG_GAR*MIN(1,BX205/SG_GAR_FULL)+SG_AMPL*(AC205="sí")+SG_KMC*(AF205="sí")+SG_REV*(N(AE205)&gt;0)+SG_DEV*MIN(1,N(AG205)/SG_DEV_FULL)+SG_HIST*(W205="sí")</f>
        <v/>
      </c>
      <c r="BZ205" s="3">
        <f>IFERROR(VLOOKUP(L205,CARR_PEN_TBL,2,0),0)</f>
        <v/>
      </c>
      <c r="CA205" s="3">
        <f>W_FIAB*BL205+W_PRECIO*BM205+W_KMEDAD*BQ205+W_ANUNCIO*BR205+W_USO*BW205+W_SEGURIDAD*BY205-BZ205</f>
        <v/>
      </c>
      <c r="CB205" s="4">
        <f>IF(N(I205)&gt;0,I205,IFERROR(ROUND(_xlfn.NUMBERVALUE(LEFT(G205,FIND(" ",G205&amp;" ")-1),".")*1000,0),99999))</f>
        <v/>
      </c>
      <c r="CC205" s="3">
        <f>IF(R205="profesional",0,IF(O205&lt;CUOTA_VALOR_MAX,IF(AU205&gt;ITP_TRAMO_ALTO,SUMIFS(CF_CUOTA,CF_MAS,ITP_TRAMO_ALTO,CF_CCMIN,"&lt;="&amp;CB205,CF_CCMAX,"&gt;="&amp;CB205),IF(AU205&gt;ITP_TRAMO_BAJO,SUMIFS(CF_CUOTA,CF_MAS,ITP_TRAMO_BAJO,CF_CCMIN,"&lt;="&amp;CB205,CF_CCMAX,"&gt;="&amp;CB205),O205*ITP_TIPO)),O205*ITP_TIPO))</f>
        <v/>
      </c>
      <c r="CD205" s="4">
        <f>IF(R205="profesional",N(AK205),0)</f>
        <v/>
      </c>
      <c r="CE205" s="3">
        <f>IF(AND(R205="profesional",ISNUMBER(AK205),AL205="sí"),0,TASA_DGT)</f>
        <v/>
      </c>
      <c r="CF205" s="3">
        <f>INFORME_DGT</f>
        <v/>
      </c>
      <c r="CG205" s="4">
        <f>O205+CD205+CC205+CE205+CF205</f>
        <v/>
      </c>
      <c r="CH205" s="4">
        <f>CG205+N(BU205)</f>
        <v/>
      </c>
      <c r="CI205" s="3">
        <f>IF(CG205&lt;=TOTAL_MAX,"sí",IF(CG205&lt;=TOTAL_MAX+MARGEN_NEG,"negociar","no"))</f>
        <v/>
      </c>
      <c r="CJ205" s="4">
        <f>IF(CI205&lt;&gt;"no",COUNTIFS($CI$2:$CI$662,"&lt;&gt;no",$CA$2:$CA$662,"&gt;"&amp;CA205)+COUNTIFS($CI$2:CI205,"&lt;&gt;no",$CA$2:CA205,CA205),"")</f>
        <v/>
      </c>
    </row>
    <row r="206">
      <c r="A206" s="2" t="inlineStr">
        <is>
          <t>ocasionplus:b1himqaq</t>
        </is>
      </c>
      <c r="B206" s="2" t="inlineStr">
        <is>
          <t>ocasionplus</t>
        </is>
      </c>
      <c r="C206" s="2" t="inlineStr">
        <is>
          <t>https://www.ocasionplus.com/coches-segunda-mano/lancia-ypsilon-14-8v-platino-con-126555km-2007-b1himqaq</t>
        </is>
      </c>
      <c r="D206" s="2" t="inlineStr">
        <is>
          <t>Lancia Ypsilon 1.4 8v Platino (77 CV)</t>
        </is>
      </c>
      <c r="E206" s="2" t="inlineStr">
        <is>
          <t>Lancia</t>
        </is>
      </c>
      <c r="F206" s="2" t="inlineStr">
        <is>
          <t>Lancia Ypsilon</t>
        </is>
      </c>
      <c r="G206" s="2" t="inlineStr">
        <is>
          <t>1.4</t>
        </is>
      </c>
      <c r="H206" s="2" t="inlineStr">
        <is>
          <t>Lancia Ypsilon 1.4 8v Platino (77 CV)</t>
        </is>
      </c>
      <c r="I206" s="2" t="n">
        <v>1368</v>
      </c>
      <c r="J206" s="2" t="n">
        <v>77</v>
      </c>
      <c r="K206" s="2" t="inlineStr">
        <is>
          <t>gasolina</t>
        </is>
      </c>
      <c r="L206" s="2" t="inlineStr">
        <is>
          <t>compacto</t>
        </is>
      </c>
      <c r="M206" s="2" t="n">
        <v>2007</v>
      </c>
      <c r="N206" s="2" t="n">
        <v>126555</v>
      </c>
      <c r="O206" s="2" t="n">
        <v>4490</v>
      </c>
      <c r="P206" s="2" t="inlineStr">
        <is>
          <t>manual</t>
        </is>
      </c>
      <c r="Q206" s="2" t="inlineStr">
        <is>
          <t>no</t>
        </is>
      </c>
      <c r="R206" s="2" t="inlineStr">
        <is>
          <t>profesional</t>
        </is>
      </c>
      <c r="S206" s="2" t="inlineStr">
        <is>
          <t>Valencia - Paterna (Paterna, 46980)</t>
        </is>
      </c>
      <c r="T206" s="2" t="inlineStr">
        <is>
          <t>2026-10-26T00:00:00.000Z</t>
        </is>
      </c>
      <c r="U206" s="2" t="n">
        <v>32</v>
      </c>
      <c r="V206" s="2" t="inlineStr">
        <is>
          <t>sí</t>
        </is>
      </c>
      <c r="W206" s="2" t="inlineStr">
        <is>
          <t>sí</t>
        </is>
      </c>
      <c r="X206" s="2" t="n"/>
      <c r="Y206" s="2" t="n">
        <v>0</v>
      </c>
      <c r="Z206" s="2" t="inlineStr">
        <is>
          <t>sí</t>
        </is>
      </c>
      <c r="AA206" s="2" t="n"/>
      <c r="AB206" s="2" t="n">
        <v>12</v>
      </c>
      <c r="AC206" s="2" t="inlineStr">
        <is>
          <t>sí</t>
        </is>
      </c>
      <c r="AD206" s="2" t="n">
        <v>500</v>
      </c>
      <c r="AE206" s="2" t="n">
        <v>200</v>
      </c>
      <c r="AF206" s="2" t="inlineStr">
        <is>
          <t>sí</t>
        </is>
      </c>
      <c r="AG206" s="2" t="n"/>
      <c r="AH206" s="2" t="n">
        <v>4490</v>
      </c>
      <c r="AI206" s="2" t="n">
        <v>4490</v>
      </c>
      <c r="AJ206" s="2" t="inlineStr">
        <is>
          <t>no</t>
        </is>
      </c>
      <c r="AK206" s="2" t="n">
        <v>350</v>
      </c>
      <c r="AL206" s="2" t="inlineStr">
        <is>
          <t>sí</t>
        </is>
      </c>
      <c r="AM206" s="2" t="n">
        <v>5.9</v>
      </c>
      <c r="AN206" s="2" t="n"/>
      <c r="AO206" s="2" t="n"/>
      <c r="AP206" s="2" t="n"/>
      <c r="AQ206" s="2" t="n"/>
      <c r="AR206" s="2" t="inlineStr">
        <is>
          <t>vendedor profesional: sin ITP (operación con IVA/REBU, confirmar en factura); fiabilidad del modelo PENDIENTE de fuente (puntuación neutra); mediana con solo 1 anuncio(s)</t>
        </is>
      </c>
      <c r="AS206" s="2" t="inlineStr">
        <is>
          <t>Lancia Ypsilon 1.4 8v Platino (77 CV)</t>
        </is>
      </c>
      <c r="AT206" s="2" t="inlineStr">
        <is>
          <t>https://www.ocasionplus.com/coches-segunda-mano/lancia-ypsilon-14-8v-platino-con-126555km-2007-b1himqaq (payload RSC 'vehicle') /home/user/Alopecia/buscador-coches/raw/ocasionplus/3299778c56e8c9aa.json</t>
        </is>
      </c>
      <c r="AU206" s="3">
        <f>MAX(ANIO_ACTUAL-M206,0)</f>
        <v/>
      </c>
      <c r="AV206" s="4">
        <f>N206/MAX(AU206,0.5)</f>
        <v/>
      </c>
      <c r="AW206" s="4">
        <f>F206</f>
        <v/>
      </c>
      <c r="AX206" s="3">
        <f>AW206&amp;"|"&amp;INT(M206/SEG_ANIO)*SEG_ANIO</f>
        <v/>
      </c>
      <c r="AY206" s="3">
        <f>AX206&amp;"|"&amp;INT(N206/SEG_KM)*SEG_KM</f>
        <v/>
      </c>
      <c r="AZ206" s="4">
        <f>COUNTIF($AW$2:$AW$662,AW206)</f>
        <v/>
      </c>
      <c r="BA206" s="4">
        <f>COUNTIF($AX$2:$AX$662,AX206)</f>
        <v/>
      </c>
      <c r="BB206" s="4">
        <f>COUNTIF($AY$2:$AY$662,AY206)</f>
        <v/>
      </c>
      <c r="BC206" s="3">
        <f t="array" ref="BC206">IF(N(AO206)&gt;=MIN_N,AN206,IF(BB206&gt;=MIN_N,MEDIAN(IF($AY$2:$AY$662=AY206,$O$2:$O$662)),IF(BA206&gt;=MIN_N,MEDIAN(IF($AX$2:$AX$662=AX206,$O$2:$O$662)),MEDIAN(IF($AW$2:$AW$662=AW206,$O$2:$O$662)))))</f>
        <v/>
      </c>
      <c r="BD206" s="3">
        <f>IF(N(AO206)&gt;=MIN_N,"mercado "&amp;AP206,IF(BB206&gt;=MIN_N,"modelo+año+km",IF(BA206&gt;=MIN_N,"modelo+año","modelo")))</f>
        <v/>
      </c>
      <c r="BE206" s="4">
        <f>(BC206-O206)/BC206</f>
        <v/>
      </c>
      <c r="BF206" s="3">
        <f>IF(OR(K206="hibrido",K206="glp"),"ECO",IF(K206="electrico","CERO",IF(K206="gasolina",IF(M206&gt;=GAS_C,"C",IF(M206&gt;=GAS_B,"B","A")),IF(K206="diesel",IF(M206&gt;=DIE_C,"C",IF(M206&gt;=DIE_B,"B","A")),""))))</f>
        <v/>
      </c>
      <c r="BG206" s="3">
        <f>IFERROR(VLOOKUP(F206,MOD_TBL,11,0),IFERROR(VLOOKUP(E206,OCU_TBL,2,0),NEUTRO))</f>
        <v/>
      </c>
      <c r="BH206" s="3">
        <f>SUMIFS(MOT_AJUSTE,MOT_MOTOR,G206,MOT_MARCA,E206,MOT_DESDE,"&lt;="&amp;M206,MOT_HASTA,"&gt;="&amp;M206)+SUMIFS(MOT_AJUSTE,MOT_MOTOR,G206,MOT_MARCA,"(todas)",MOT_DESDE,"&lt;="&amp;M206,MOT_HASTA,"&gt;="&amp;M206)</f>
        <v/>
      </c>
      <c r="BI206" s="3">
        <f>SUMIFS(COMB_AJUSTE,COMB_COMB,K206)</f>
        <v/>
      </c>
      <c r="BJ206" s="3">
        <f>COUNTIFS(MOT_MOTOR,G206,MOT_MARCA,E206,MOT_DESDE,"&lt;="&amp;M206,MOT_HASTA,"&gt;="&amp;M206)+COUNTIFS(MOT_MOTOR,G206,MOT_MARCA,"(todas)",MOT_DESDE,"&lt;="&amp;M206,MOT_HASTA,"&gt;="&amp;M206)</f>
        <v/>
      </c>
      <c r="BK206" s="3">
        <f>IF(AND(K206="diesel",BJ206=0),MIN(BG206,NEUTRO),BG206)</f>
        <v/>
      </c>
      <c r="BL206" s="4">
        <f>MAX(0,MIN(100,BK206+BH206+BI206))</f>
        <v/>
      </c>
      <c r="BM206" s="3">
        <f>MAX(0,MIN(100,50+BE206*PRECIO_PEND))</f>
        <v/>
      </c>
      <c r="BN206" s="3">
        <f>MAX(0,100*(1-N206/KM_MAX))</f>
        <v/>
      </c>
      <c r="BO206" s="3">
        <f>IF(AV206&lt;KMA_SOSP,IF(AA206="sí",100,KMA_PEN),IF(AV206&lt;=KMA_IDEAL_MAX,100,MAX(0,100*(KMA_CERO-AV206)/(KMA_CERO-KMA_IDEAL_MAX))))</f>
        <v/>
      </c>
      <c r="BP206" s="3">
        <f>MAX(0,MIN(100,100*(M206-ANIO_MIN)/(ANIO_ACTUAL-ANIO_MIN)))</f>
        <v/>
      </c>
      <c r="BQ206" s="3">
        <f>W_KMT*BN206+W_KMA*BO206+W_EDAD*BP206</f>
        <v/>
      </c>
      <c r="BR206" s="3">
        <f>P_ITV*(V206="sí")+P_LIBRO*(W206="sí")+P_CORREA*(X206="sí")+P_PROP*(Y206=1)+P_GAR*(Z206="sí")+P_FOTOS*MIN(1,N(U206)/FOTOS_OBJ)</f>
        <v/>
      </c>
      <c r="BS206" s="3">
        <f>IFERROR(VLOOKUP(BF206,ETQ_TBL,2,0),NEUTRO)</f>
        <v/>
      </c>
      <c r="BT206" s="3">
        <f>NEUTRO</f>
        <v/>
      </c>
      <c r="BU206" s="3">
        <f>IFERROR(VLOOKUP(L206,SEGURO_TBL,3,0),"")</f>
        <v/>
      </c>
      <c r="BV206" s="3">
        <f>IF(BU206="",NEUTRO,MAX(0,MIN(100,100*(SEG_REF_MAX-BU206)/(SEG_REF_MAX-SEG_REF_MIN))))</f>
        <v/>
      </c>
      <c r="BW206" s="3">
        <f>W_ET*BS206+W_CONS*BT206+W_SEG*BV206</f>
        <v/>
      </c>
      <c r="BX206" s="3">
        <f>IF(N(AB206)&gt;0,AB206,IF(AND(R206="profesional",SG_LEGAL_ON=1),GAR_LEGAL,0))</f>
        <v/>
      </c>
      <c r="BY206" s="3">
        <f>SG_GAR*MIN(1,BX206/SG_GAR_FULL)+SG_AMPL*(AC206="sí")+SG_KMC*(AF206="sí")+SG_REV*(N(AE206)&gt;0)+SG_DEV*MIN(1,N(AG206)/SG_DEV_FULL)+SG_HIST*(W206="sí")</f>
        <v/>
      </c>
      <c r="BZ206" s="3">
        <f>IFERROR(VLOOKUP(L206,CARR_PEN_TBL,2,0),0)</f>
        <v/>
      </c>
      <c r="CA206" s="3">
        <f>W_FIAB*BL206+W_PRECIO*BM206+W_KMEDAD*BQ206+W_ANUNCIO*BR206+W_USO*BW206+W_SEGURIDAD*BY206-BZ206</f>
        <v/>
      </c>
      <c r="CB206" s="4">
        <f>IF(N(I206)&gt;0,I206,IFERROR(ROUND(_xlfn.NUMBERVALUE(LEFT(G206,FIND(" ",G206&amp;" ")-1),".")*1000,0),99999))</f>
        <v/>
      </c>
      <c r="CC206" s="3">
        <f>IF(R206="profesional",0,IF(O206&lt;CUOTA_VALOR_MAX,IF(AU206&gt;ITP_TRAMO_ALTO,SUMIFS(CF_CUOTA,CF_MAS,ITP_TRAMO_ALTO,CF_CCMIN,"&lt;="&amp;CB206,CF_CCMAX,"&gt;="&amp;CB206),IF(AU206&gt;ITP_TRAMO_BAJO,SUMIFS(CF_CUOTA,CF_MAS,ITP_TRAMO_BAJO,CF_CCMIN,"&lt;="&amp;CB206,CF_CCMAX,"&gt;="&amp;CB206),O206*ITP_TIPO)),O206*ITP_TIPO))</f>
        <v/>
      </c>
      <c r="CD206" s="4">
        <f>IF(R206="profesional",N(AK206),0)</f>
        <v/>
      </c>
      <c r="CE206" s="3">
        <f>IF(AND(R206="profesional",ISNUMBER(AK206),AL206="sí"),0,TASA_DGT)</f>
        <v/>
      </c>
      <c r="CF206" s="3">
        <f>INFORME_DGT</f>
        <v/>
      </c>
      <c r="CG206" s="4">
        <f>O206+CD206+CC206+CE206+CF206</f>
        <v/>
      </c>
      <c r="CH206" s="4">
        <f>CG206+N(BU206)</f>
        <v/>
      </c>
      <c r="CI206" s="3">
        <f>IF(CG206&lt;=TOTAL_MAX,"sí",IF(CG206&lt;=TOTAL_MAX+MARGEN_NEG,"negociar","no"))</f>
        <v/>
      </c>
      <c r="CJ206" s="4">
        <f>IF(CI206&lt;&gt;"no",COUNTIFS($CI$2:$CI$662,"&lt;&gt;no",$CA$2:$CA$662,"&gt;"&amp;CA206)+COUNTIFS($CI$2:CI206,"&lt;&gt;no",$CA$2:CA206,CA206),"")</f>
        <v/>
      </c>
    </row>
    <row r="207">
      <c r="A207" s="2" t="inlineStr">
        <is>
          <t>ocasionplus:aynqvqai</t>
        </is>
      </c>
      <c r="B207" s="2" t="inlineStr">
        <is>
          <t>ocasionplus</t>
        </is>
      </c>
      <c r="C207" s="2" t="inlineStr">
        <is>
          <t>https://www.ocasionplus.com/coches-segunda-mano/peugeot-107-10i-urban-con-150561km-2007-aynqvqai</t>
        </is>
      </c>
      <c r="D207" s="2" t="inlineStr">
        <is>
          <t>Peugeot 107 1.0i Urban (68 CV)</t>
        </is>
      </c>
      <c r="E207" s="2" t="inlineStr">
        <is>
          <t>Peugeot</t>
        </is>
      </c>
      <c r="F207" s="2" t="inlineStr">
        <is>
          <t>Peugeot 107</t>
        </is>
      </c>
      <c r="G207" s="2" t="inlineStr">
        <is>
          <t>1.0</t>
        </is>
      </c>
      <c r="H207" s="2" t="inlineStr">
        <is>
          <t>Peugeot 107 1.0i Urban (68 CV)</t>
        </is>
      </c>
      <c r="I207" s="2" t="n">
        <v>998</v>
      </c>
      <c r="J207" s="2" t="n">
        <v>68</v>
      </c>
      <c r="K207" s="2" t="inlineStr">
        <is>
          <t>gasolina</t>
        </is>
      </c>
      <c r="L207" s="2" t="inlineStr">
        <is>
          <t>utilitario</t>
        </is>
      </c>
      <c r="M207" s="2" t="n">
        <v>2007</v>
      </c>
      <c r="N207" s="2" t="n">
        <v>150561</v>
      </c>
      <c r="O207" s="2" t="n">
        <v>2200</v>
      </c>
      <c r="P207" s="2" t="inlineStr">
        <is>
          <t>manual</t>
        </is>
      </c>
      <c r="Q207" s="2" t="inlineStr">
        <is>
          <t>no</t>
        </is>
      </c>
      <c r="R207" s="2" t="inlineStr">
        <is>
          <t>profesional</t>
        </is>
      </c>
      <c r="S207" s="2" t="inlineStr">
        <is>
          <t>Valencia - Gandía (Gandía, 46702)</t>
        </is>
      </c>
      <c r="T207" s="2" t="inlineStr">
        <is>
          <t>2026-10-23T00:00:00.000Z</t>
        </is>
      </c>
      <c r="U207" s="2" t="n">
        <v>33</v>
      </c>
      <c r="V207" s="2" t="inlineStr">
        <is>
          <t>sí</t>
        </is>
      </c>
      <c r="W207" s="2" t="inlineStr">
        <is>
          <t>sí</t>
        </is>
      </c>
      <c r="X207" s="2" t="n"/>
      <c r="Y207" s="2" t="n">
        <v>0</v>
      </c>
      <c r="Z207" s="2" t="inlineStr">
        <is>
          <t>sí</t>
        </is>
      </c>
      <c r="AA207" s="2" t="n"/>
      <c r="AB207" s="2" t="n">
        <v>12</v>
      </c>
      <c r="AC207" s="2" t="inlineStr">
        <is>
          <t>sí</t>
        </is>
      </c>
      <c r="AD207" s="2" t="n">
        <v>500</v>
      </c>
      <c r="AE207" s="2" t="n">
        <v>200</v>
      </c>
      <c r="AF207" s="2" t="inlineStr">
        <is>
          <t>sí</t>
        </is>
      </c>
      <c r="AG207" s="2" t="n"/>
      <c r="AH207" s="2" t="n">
        <v>2200</v>
      </c>
      <c r="AI207" s="2" t="n">
        <v>2200</v>
      </c>
      <c r="AJ207" s="2" t="inlineStr">
        <is>
          <t>no</t>
        </is>
      </c>
      <c r="AK207" s="2" t="n">
        <v>350</v>
      </c>
      <c r="AL207" s="2" t="inlineStr">
        <is>
          <t>sí</t>
        </is>
      </c>
      <c r="AM207" s="2" t="n">
        <v>58.4</v>
      </c>
      <c r="AN207" s="2" t="n">
        <v>2200</v>
      </c>
      <c r="AO207" s="2" t="n">
        <v>7</v>
      </c>
      <c r="AP207" s="2" t="inlineStr">
        <is>
          <t>modelo+año</t>
        </is>
      </c>
      <c r="AQ207" s="2" t="inlineStr">
        <is>
          <t>autoscout24:3c5fcb34-830f-4d77-9f43-04e63fcc2092 (https://www.autoscout24.es/anuncios/peugeot-107-1-0i-urban-gasolina-negro-cat_ma55mo18647-3c5fcb34-830f-4d77-9f43-04e63fcc2092); cochesnet:71865442 (https://www.coches.net/peugeot-107-10i-urban-5p-gasolina-2005-en-valencia-71865442-covo.aspx)</t>
        </is>
      </c>
      <c r="AR207" s="2" t="inlineStr">
        <is>
          <t>vendedor profesional: sin ITP (operación con IVA/REBU, confirmar en factura); fiabilidad del modelo PENDIENTE de fuente (puntuación neutra)</t>
        </is>
      </c>
      <c r="AS207" s="2" t="inlineStr">
        <is>
          <t>Peugeot 107 1.0i Urban (68 CV)</t>
        </is>
      </c>
      <c r="AT207" s="2" t="inlineStr">
        <is>
          <t>https://www.ocasionplus.com/coches-segunda-mano/peugeot-107-10i-urban-con-150561km-2007-aynqvqai (payload RSC 'vehicle') /home/user/Alopecia/buscador-coches/raw/ocasionplus/8ce852420d9a2326.json</t>
        </is>
      </c>
      <c r="AU207" s="3">
        <f>MAX(ANIO_ACTUAL-M207,0)</f>
        <v/>
      </c>
      <c r="AV207" s="4">
        <f>N207/MAX(AU207,0.5)</f>
        <v/>
      </c>
      <c r="AW207" s="4">
        <f>F207</f>
        <v/>
      </c>
      <c r="AX207" s="3">
        <f>AW207&amp;"|"&amp;INT(M207/SEG_ANIO)*SEG_ANIO</f>
        <v/>
      </c>
      <c r="AY207" s="3">
        <f>AX207&amp;"|"&amp;INT(N207/SEG_KM)*SEG_KM</f>
        <v/>
      </c>
      <c r="AZ207" s="4">
        <f>COUNTIF($AW$2:$AW$662,AW207)</f>
        <v/>
      </c>
      <c r="BA207" s="4">
        <f>COUNTIF($AX$2:$AX$662,AX207)</f>
        <v/>
      </c>
      <c r="BB207" s="4">
        <f>COUNTIF($AY$2:$AY$662,AY207)</f>
        <v/>
      </c>
      <c r="BC207" s="3">
        <f t="array" ref="BC207">IF(N(AO207)&gt;=MIN_N,AN207,IF(BB207&gt;=MIN_N,MEDIAN(IF($AY$2:$AY$662=AY207,$O$2:$O$662)),IF(BA207&gt;=MIN_N,MEDIAN(IF($AX$2:$AX$662=AX207,$O$2:$O$662)),MEDIAN(IF($AW$2:$AW$662=AW207,$O$2:$O$662)))))</f>
        <v/>
      </c>
      <c r="BD207" s="3">
        <f>IF(N(AO207)&gt;=MIN_N,"mercado "&amp;AP207,IF(BB207&gt;=MIN_N,"modelo+año+km",IF(BA207&gt;=MIN_N,"modelo+año","modelo")))</f>
        <v/>
      </c>
      <c r="BE207" s="4">
        <f>(BC207-O207)/BC207</f>
        <v/>
      </c>
      <c r="BF207" s="3">
        <f>IF(OR(K207="hibrido",K207="glp"),"ECO",IF(K207="electrico","CERO",IF(K207="gasolina",IF(M207&gt;=GAS_C,"C",IF(M207&gt;=GAS_B,"B","A")),IF(K207="diesel",IF(M207&gt;=DIE_C,"C",IF(M207&gt;=DIE_B,"B","A")),""))))</f>
        <v/>
      </c>
      <c r="BG207" s="3">
        <f>IFERROR(VLOOKUP(F207,MOD_TBL,11,0),IFERROR(VLOOKUP(E207,OCU_TBL,2,0),NEUTRO))</f>
        <v/>
      </c>
      <c r="BH207" s="3">
        <f>SUMIFS(MOT_AJUSTE,MOT_MOTOR,G207,MOT_MARCA,E207,MOT_DESDE,"&lt;="&amp;M207,MOT_HASTA,"&gt;="&amp;M207)+SUMIFS(MOT_AJUSTE,MOT_MOTOR,G207,MOT_MARCA,"(todas)",MOT_DESDE,"&lt;="&amp;M207,MOT_HASTA,"&gt;="&amp;M207)</f>
        <v/>
      </c>
      <c r="BI207" s="3">
        <f>SUMIFS(COMB_AJUSTE,COMB_COMB,K207)</f>
        <v/>
      </c>
      <c r="BJ207" s="3">
        <f>COUNTIFS(MOT_MOTOR,G207,MOT_MARCA,E207,MOT_DESDE,"&lt;="&amp;M207,MOT_HASTA,"&gt;="&amp;M207)+COUNTIFS(MOT_MOTOR,G207,MOT_MARCA,"(todas)",MOT_DESDE,"&lt;="&amp;M207,MOT_HASTA,"&gt;="&amp;M207)</f>
        <v/>
      </c>
      <c r="BK207" s="3">
        <f>IF(AND(K207="diesel",BJ207=0),MIN(BG207,NEUTRO),BG207)</f>
        <v/>
      </c>
      <c r="BL207" s="4">
        <f>MAX(0,MIN(100,BK207+BH207+BI207))</f>
        <v/>
      </c>
      <c r="BM207" s="3">
        <f>MAX(0,MIN(100,50+BE207*PRECIO_PEND))</f>
        <v/>
      </c>
      <c r="BN207" s="3">
        <f>MAX(0,100*(1-N207/KM_MAX))</f>
        <v/>
      </c>
      <c r="BO207" s="3">
        <f>IF(AV207&lt;KMA_SOSP,IF(AA207="sí",100,KMA_PEN),IF(AV207&lt;=KMA_IDEAL_MAX,100,MAX(0,100*(KMA_CERO-AV207)/(KMA_CERO-KMA_IDEAL_MAX))))</f>
        <v/>
      </c>
      <c r="BP207" s="3">
        <f>MAX(0,MIN(100,100*(M207-ANIO_MIN)/(ANIO_ACTUAL-ANIO_MIN)))</f>
        <v/>
      </c>
      <c r="BQ207" s="3">
        <f>W_KMT*BN207+W_KMA*BO207+W_EDAD*BP207</f>
        <v/>
      </c>
      <c r="BR207" s="3">
        <f>P_ITV*(V207="sí")+P_LIBRO*(W207="sí")+P_CORREA*(X207="sí")+P_PROP*(Y207=1)+P_GAR*(Z207="sí")+P_FOTOS*MIN(1,N(U207)/FOTOS_OBJ)</f>
        <v/>
      </c>
      <c r="BS207" s="3">
        <f>IFERROR(VLOOKUP(BF207,ETQ_TBL,2,0),NEUTRO)</f>
        <v/>
      </c>
      <c r="BT207" s="3">
        <f>NEUTRO</f>
        <v/>
      </c>
      <c r="BU207" s="3">
        <f>IFERROR(VLOOKUP(L207,SEGURO_TBL,3,0),"")</f>
        <v/>
      </c>
      <c r="BV207" s="3">
        <f>IF(BU207="",NEUTRO,MAX(0,MIN(100,100*(SEG_REF_MAX-BU207)/(SEG_REF_MAX-SEG_REF_MIN))))</f>
        <v/>
      </c>
      <c r="BW207" s="3">
        <f>W_ET*BS207+W_CONS*BT207+W_SEG*BV207</f>
        <v/>
      </c>
      <c r="BX207" s="3">
        <f>IF(N(AB207)&gt;0,AB207,IF(AND(R207="profesional",SG_LEGAL_ON=1),GAR_LEGAL,0))</f>
        <v/>
      </c>
      <c r="BY207" s="3">
        <f>SG_GAR*MIN(1,BX207/SG_GAR_FULL)+SG_AMPL*(AC207="sí")+SG_KMC*(AF207="sí")+SG_REV*(N(AE207)&gt;0)+SG_DEV*MIN(1,N(AG207)/SG_DEV_FULL)+SG_HIST*(W207="sí")</f>
        <v/>
      </c>
      <c r="BZ207" s="3">
        <f>IFERROR(VLOOKUP(L207,CARR_PEN_TBL,2,0),0)</f>
        <v/>
      </c>
      <c r="CA207" s="3">
        <f>W_FIAB*BL207+W_PRECIO*BM207+W_KMEDAD*BQ207+W_ANUNCIO*BR207+W_USO*BW207+W_SEGURIDAD*BY207-BZ207</f>
        <v/>
      </c>
      <c r="CB207" s="4">
        <f>IF(N(I207)&gt;0,I207,IFERROR(ROUND(_xlfn.NUMBERVALUE(LEFT(G207,FIND(" ",G207&amp;" ")-1),".")*1000,0),99999))</f>
        <v/>
      </c>
      <c r="CC207" s="3">
        <f>IF(R207="profesional",0,IF(O207&lt;CUOTA_VALOR_MAX,IF(AU207&gt;ITP_TRAMO_ALTO,SUMIFS(CF_CUOTA,CF_MAS,ITP_TRAMO_ALTO,CF_CCMIN,"&lt;="&amp;CB207,CF_CCMAX,"&gt;="&amp;CB207),IF(AU207&gt;ITP_TRAMO_BAJO,SUMIFS(CF_CUOTA,CF_MAS,ITP_TRAMO_BAJO,CF_CCMIN,"&lt;="&amp;CB207,CF_CCMAX,"&gt;="&amp;CB207),O207*ITP_TIPO)),O207*ITP_TIPO))</f>
        <v/>
      </c>
      <c r="CD207" s="4">
        <f>IF(R207="profesional",N(AK207),0)</f>
        <v/>
      </c>
      <c r="CE207" s="3">
        <f>IF(AND(R207="profesional",ISNUMBER(AK207),AL207="sí"),0,TASA_DGT)</f>
        <v/>
      </c>
      <c r="CF207" s="3">
        <f>INFORME_DGT</f>
        <v/>
      </c>
      <c r="CG207" s="4">
        <f>O207+CD207+CC207+CE207+CF207</f>
        <v/>
      </c>
      <c r="CH207" s="4">
        <f>CG207+N(BU207)</f>
        <v/>
      </c>
      <c r="CI207" s="3">
        <f>IF(CG207&lt;=TOTAL_MAX,"sí",IF(CG207&lt;=TOTAL_MAX+MARGEN_NEG,"negociar","no"))</f>
        <v/>
      </c>
      <c r="CJ207" s="4">
        <f>IF(CI207&lt;&gt;"no",COUNTIFS($CI$2:$CI$662,"&lt;&gt;no",$CA$2:$CA$662,"&gt;"&amp;CA207)+COUNTIFS($CI$2:CI207,"&lt;&gt;no",$CA$2:CA207,CA207),"")</f>
        <v/>
      </c>
    </row>
    <row r="208">
      <c r="A208" s="2" t="inlineStr">
        <is>
          <t>ocasionplus:b1sibqaa</t>
        </is>
      </c>
      <c r="B208" s="2" t="inlineStr">
        <is>
          <t>ocasionplus</t>
        </is>
      </c>
      <c r="C208" s="2" t="inlineStr">
        <is>
          <t>https://www.ocasionplus.com/coches-segunda-mano/renault-clio-confort-expression-dci-con-198577km-2006-b1sibqaa</t>
        </is>
      </c>
      <c r="D208" s="2" t="inlineStr">
        <is>
          <t>Renault Clio Confort Expression dCi (85 CV)</t>
        </is>
      </c>
      <c r="E208" s="2" t="inlineStr">
        <is>
          <t>Renault</t>
        </is>
      </c>
      <c r="F208" s="2" t="inlineStr">
        <is>
          <t>Renault Clio</t>
        </is>
      </c>
      <c r="G208" s="2" t="inlineStr">
        <is>
          <t>1.5 dCi</t>
        </is>
      </c>
      <c r="H208" s="2" t="inlineStr">
        <is>
          <t>Renault Clio Confort Expression dCi (85 CV)</t>
        </is>
      </c>
      <c r="I208" s="2" t="n">
        <v>1461</v>
      </c>
      <c r="J208" s="2" t="n">
        <v>85</v>
      </c>
      <c r="K208" s="2" t="inlineStr">
        <is>
          <t>diesel</t>
        </is>
      </c>
      <c r="L208" s="2" t="inlineStr">
        <is>
          <t>utilitario</t>
        </is>
      </c>
      <c r="M208" s="2" t="n">
        <v>2006</v>
      </c>
      <c r="N208" s="2" t="n">
        <v>198577</v>
      </c>
      <c r="O208" s="2" t="n">
        <v>2700</v>
      </c>
      <c r="P208" s="2" t="inlineStr">
        <is>
          <t>manual</t>
        </is>
      </c>
      <c r="Q208" s="2" t="inlineStr">
        <is>
          <t>no</t>
        </is>
      </c>
      <c r="R208" s="2" t="inlineStr">
        <is>
          <t>profesional</t>
        </is>
      </c>
      <c r="S208" s="2" t="inlineStr">
        <is>
          <t>Valencia - Gandía (Gandía, 46702)</t>
        </is>
      </c>
      <c r="T208" s="2" t="inlineStr">
        <is>
          <t>2026-10-27T00:00:00.000Z</t>
        </is>
      </c>
      <c r="U208" s="2" t="n">
        <v>35</v>
      </c>
      <c r="V208" s="2" t="inlineStr">
        <is>
          <t>sí</t>
        </is>
      </c>
      <c r="W208" s="2" t="n"/>
      <c r="X208" s="2" t="n"/>
      <c r="Y208" s="2" t="n">
        <v>0</v>
      </c>
      <c r="Z208" s="2" t="n"/>
      <c r="AA208" s="2" t="n"/>
      <c r="AB208" s="2" t="n"/>
      <c r="AC208" s="2" t="inlineStr">
        <is>
          <t>sí</t>
        </is>
      </c>
      <c r="AD208" s="2" t="n">
        <v>500</v>
      </c>
      <c r="AE208" s="2" t="n"/>
      <c r="AF208" s="2" t="inlineStr">
        <is>
          <t>sí</t>
        </is>
      </c>
      <c r="AG208" s="2" t="n"/>
      <c r="AH208" s="2" t="n">
        <v>2700</v>
      </c>
      <c r="AI208" s="2" t="n">
        <v>2700</v>
      </c>
      <c r="AJ208" s="2" t="inlineStr">
        <is>
          <t>no</t>
        </is>
      </c>
      <c r="AK208" s="2" t="n">
        <v>350</v>
      </c>
      <c r="AL208" s="2" t="inlineStr">
        <is>
          <t>sí</t>
        </is>
      </c>
      <c r="AM208" s="2" t="n">
        <v>58.4</v>
      </c>
      <c r="AN208" s="2" t="n">
        <v>2700</v>
      </c>
      <c r="AO208" s="2" t="n">
        <v>5</v>
      </c>
      <c r="AP208" s="2" t="inlineStr">
        <is>
          <t>modelo+año+km</t>
        </is>
      </c>
      <c r="AQ208" s="2" t="n"/>
      <c r="AR208" s="2" t="inlineStr">
        <is>
          <t>vendedor profesional: sin ITP (operación con IVA/REBU, confirmar en factura)</t>
        </is>
      </c>
      <c r="AS208" s="2" t="inlineStr">
        <is>
          <t>Renault Clio Confort Expression dCi (85 CV)</t>
        </is>
      </c>
      <c r="AT208" s="2" t="inlineStr">
        <is>
          <t>https://www.ocasionplus.com/coches-segunda-mano/renault-clio-confort-expression-dci-con-198577km-2006-b1sibqaa (payload RSC 'vehicle') /home/user/Alopecia/buscador-coches/raw/ocasionplus/f7dc37f3e4082e29.json</t>
        </is>
      </c>
      <c r="AU208" s="3">
        <f>MAX(ANIO_ACTUAL-M208,0)</f>
        <v/>
      </c>
      <c r="AV208" s="4">
        <f>N208/MAX(AU208,0.5)</f>
        <v/>
      </c>
      <c r="AW208" s="4">
        <f>F208</f>
        <v/>
      </c>
      <c r="AX208" s="3">
        <f>AW208&amp;"|"&amp;INT(M208/SEG_ANIO)*SEG_ANIO</f>
        <v/>
      </c>
      <c r="AY208" s="3">
        <f>AX208&amp;"|"&amp;INT(N208/SEG_KM)*SEG_KM</f>
        <v/>
      </c>
      <c r="AZ208" s="4">
        <f>COUNTIF($AW$2:$AW$662,AW208)</f>
        <v/>
      </c>
      <c r="BA208" s="4">
        <f>COUNTIF($AX$2:$AX$662,AX208)</f>
        <v/>
      </c>
      <c r="BB208" s="4">
        <f>COUNTIF($AY$2:$AY$662,AY208)</f>
        <v/>
      </c>
      <c r="BC208" s="3">
        <f t="array" ref="BC208">IF(N(AO208)&gt;=MIN_N,AN208,IF(BB208&gt;=MIN_N,MEDIAN(IF($AY$2:$AY$662=AY208,$O$2:$O$662)),IF(BA208&gt;=MIN_N,MEDIAN(IF($AX$2:$AX$662=AX208,$O$2:$O$662)),MEDIAN(IF($AW$2:$AW$662=AW208,$O$2:$O$662)))))</f>
        <v/>
      </c>
      <c r="BD208" s="3">
        <f>IF(N(AO208)&gt;=MIN_N,"mercado "&amp;AP208,IF(BB208&gt;=MIN_N,"modelo+año+km",IF(BA208&gt;=MIN_N,"modelo+año","modelo")))</f>
        <v/>
      </c>
      <c r="BE208" s="4">
        <f>(BC208-O208)/BC208</f>
        <v/>
      </c>
      <c r="BF208" s="3">
        <f>IF(OR(K208="hibrido",K208="glp"),"ECO",IF(K208="electrico","CERO",IF(K208="gasolina",IF(M208&gt;=GAS_C,"C",IF(M208&gt;=GAS_B,"B","A")),IF(K208="diesel",IF(M208&gt;=DIE_C,"C",IF(M208&gt;=DIE_B,"B","A")),""))))</f>
        <v/>
      </c>
      <c r="BG208" s="3">
        <f>IFERROR(VLOOKUP(F208,MOD_TBL,11,0),IFERROR(VLOOKUP(E208,OCU_TBL,2,0),NEUTRO))</f>
        <v/>
      </c>
      <c r="BH208" s="3">
        <f>SUMIFS(MOT_AJUSTE,MOT_MOTOR,G208,MOT_MARCA,E208,MOT_DESDE,"&lt;="&amp;M208,MOT_HASTA,"&gt;="&amp;M208)+SUMIFS(MOT_AJUSTE,MOT_MOTOR,G208,MOT_MARCA,"(todas)",MOT_DESDE,"&lt;="&amp;M208,MOT_HASTA,"&gt;="&amp;M208)</f>
        <v/>
      </c>
      <c r="BI208" s="3">
        <f>SUMIFS(COMB_AJUSTE,COMB_COMB,K208)</f>
        <v/>
      </c>
      <c r="BJ208" s="3">
        <f>COUNTIFS(MOT_MOTOR,G208,MOT_MARCA,E208,MOT_DESDE,"&lt;="&amp;M208,MOT_HASTA,"&gt;="&amp;M208)+COUNTIFS(MOT_MOTOR,G208,MOT_MARCA,"(todas)",MOT_DESDE,"&lt;="&amp;M208,MOT_HASTA,"&gt;="&amp;M208)</f>
        <v/>
      </c>
      <c r="BK208" s="3">
        <f>IF(AND(K208="diesel",BJ208=0),MIN(BG208,NEUTRO),BG208)</f>
        <v/>
      </c>
      <c r="BL208" s="4">
        <f>MAX(0,MIN(100,BK208+BH208+BI208))</f>
        <v/>
      </c>
      <c r="BM208" s="3">
        <f>MAX(0,MIN(100,50+BE208*PRECIO_PEND))</f>
        <v/>
      </c>
      <c r="BN208" s="3">
        <f>MAX(0,100*(1-N208/KM_MAX))</f>
        <v/>
      </c>
      <c r="BO208" s="3">
        <f>IF(AV208&lt;KMA_SOSP,IF(AA208="sí",100,KMA_PEN),IF(AV208&lt;=KMA_IDEAL_MAX,100,MAX(0,100*(KMA_CERO-AV208)/(KMA_CERO-KMA_IDEAL_MAX))))</f>
        <v/>
      </c>
      <c r="BP208" s="3">
        <f>MAX(0,MIN(100,100*(M208-ANIO_MIN)/(ANIO_ACTUAL-ANIO_MIN)))</f>
        <v/>
      </c>
      <c r="BQ208" s="3">
        <f>W_KMT*BN208+W_KMA*BO208+W_EDAD*BP208</f>
        <v/>
      </c>
      <c r="BR208" s="3">
        <f>P_ITV*(V208="sí")+P_LIBRO*(W208="sí")+P_CORREA*(X208="sí")+P_PROP*(Y208=1)+P_GAR*(Z208="sí")+P_FOTOS*MIN(1,N(U208)/FOTOS_OBJ)</f>
        <v/>
      </c>
      <c r="BS208" s="3">
        <f>IFERROR(VLOOKUP(BF208,ETQ_TBL,2,0),NEUTRO)</f>
        <v/>
      </c>
      <c r="BT208" s="3">
        <f>NEUTRO</f>
        <v/>
      </c>
      <c r="BU208" s="3">
        <f>IFERROR(VLOOKUP(L208,SEGURO_TBL,3,0),"")</f>
        <v/>
      </c>
      <c r="BV208" s="3">
        <f>IF(BU208="",NEUTRO,MAX(0,MIN(100,100*(SEG_REF_MAX-BU208)/(SEG_REF_MAX-SEG_REF_MIN))))</f>
        <v/>
      </c>
      <c r="BW208" s="3">
        <f>W_ET*BS208+W_CONS*BT208+W_SEG*BV208</f>
        <v/>
      </c>
      <c r="BX208" s="3">
        <f>IF(N(AB208)&gt;0,AB208,IF(AND(R208="profesional",SG_LEGAL_ON=1),GAR_LEGAL,0))</f>
        <v/>
      </c>
      <c r="BY208" s="3">
        <f>SG_GAR*MIN(1,BX208/SG_GAR_FULL)+SG_AMPL*(AC208="sí")+SG_KMC*(AF208="sí")+SG_REV*(N(AE208)&gt;0)+SG_DEV*MIN(1,N(AG208)/SG_DEV_FULL)+SG_HIST*(W208="sí")</f>
        <v/>
      </c>
      <c r="BZ208" s="3">
        <f>IFERROR(VLOOKUP(L208,CARR_PEN_TBL,2,0),0)</f>
        <v/>
      </c>
      <c r="CA208" s="3">
        <f>W_FIAB*BL208+W_PRECIO*BM208+W_KMEDAD*BQ208+W_ANUNCIO*BR208+W_USO*BW208+W_SEGURIDAD*BY208-BZ208</f>
        <v/>
      </c>
      <c r="CB208" s="4">
        <f>IF(N(I208)&gt;0,I208,IFERROR(ROUND(_xlfn.NUMBERVALUE(LEFT(G208,FIND(" ",G208&amp;" ")-1),".")*1000,0),99999))</f>
        <v/>
      </c>
      <c r="CC208" s="3">
        <f>IF(R208="profesional",0,IF(O208&lt;CUOTA_VALOR_MAX,IF(AU208&gt;ITP_TRAMO_ALTO,SUMIFS(CF_CUOTA,CF_MAS,ITP_TRAMO_ALTO,CF_CCMIN,"&lt;="&amp;CB208,CF_CCMAX,"&gt;="&amp;CB208),IF(AU208&gt;ITP_TRAMO_BAJO,SUMIFS(CF_CUOTA,CF_MAS,ITP_TRAMO_BAJO,CF_CCMIN,"&lt;="&amp;CB208,CF_CCMAX,"&gt;="&amp;CB208),O208*ITP_TIPO)),O208*ITP_TIPO))</f>
        <v/>
      </c>
      <c r="CD208" s="4">
        <f>IF(R208="profesional",N(AK208),0)</f>
        <v/>
      </c>
      <c r="CE208" s="3">
        <f>IF(AND(R208="profesional",ISNUMBER(AK208),AL208="sí"),0,TASA_DGT)</f>
        <v/>
      </c>
      <c r="CF208" s="3">
        <f>INFORME_DGT</f>
        <v/>
      </c>
      <c r="CG208" s="4">
        <f>O208+CD208+CC208+CE208+CF208</f>
        <v/>
      </c>
      <c r="CH208" s="4">
        <f>CG208+N(BU208)</f>
        <v/>
      </c>
      <c r="CI208" s="3">
        <f>IF(CG208&lt;=TOTAL_MAX,"sí",IF(CG208&lt;=TOTAL_MAX+MARGEN_NEG,"negociar","no"))</f>
        <v/>
      </c>
      <c r="CJ208" s="4">
        <f>IF(CI208&lt;&gt;"no",COUNTIFS($CI$2:$CI$662,"&lt;&gt;no",$CA$2:$CA$662,"&gt;"&amp;CA208)+COUNTIFS($CI$2:CI208,"&lt;&gt;no",$CA$2:CA208,CA208),"")</f>
        <v/>
      </c>
    </row>
    <row r="209">
      <c r="A209" s="2" t="inlineStr">
        <is>
          <t>ocasionplus:zgabhqan</t>
        </is>
      </c>
      <c r="B209" s="2" t="inlineStr">
        <is>
          <t>ocasionplus</t>
        </is>
      </c>
      <c r="C209" s="2" t="inlineStr">
        <is>
          <t>https://www.ocasionplus.com/coches-segunda-mano/renault-clio-14-16v-dynamique-con-106165km-2006-zgabhqan</t>
        </is>
      </c>
      <c r="D209" s="2" t="inlineStr">
        <is>
          <t>Renault Clio 1.4 16v Dynamique (100 CV)</t>
        </is>
      </c>
      <c r="E209" s="2" t="inlineStr">
        <is>
          <t>Renault</t>
        </is>
      </c>
      <c r="F209" s="2" t="inlineStr">
        <is>
          <t>Renault Clio</t>
        </is>
      </c>
      <c r="G209" s="2" t="inlineStr">
        <is>
          <t>1.4</t>
        </is>
      </c>
      <c r="H209" s="2" t="inlineStr">
        <is>
          <t>Renault Clio 1.4 16v Dynamique (100 CV)</t>
        </is>
      </c>
      <c r="I209" s="2" t="n">
        <v>1390</v>
      </c>
      <c r="J209" s="2" t="n">
        <v>100</v>
      </c>
      <c r="K209" s="2" t="inlineStr">
        <is>
          <t>gasolina</t>
        </is>
      </c>
      <c r="L209" s="2" t="inlineStr">
        <is>
          <t>utilitario</t>
        </is>
      </c>
      <c r="M209" s="2" t="n">
        <v>2006</v>
      </c>
      <c r="N209" s="2" t="n">
        <v>106165</v>
      </c>
      <c r="O209" s="2" t="n">
        <v>4700</v>
      </c>
      <c r="P209" s="2" t="inlineStr">
        <is>
          <t>manual</t>
        </is>
      </c>
      <c r="Q209" s="2" t="inlineStr">
        <is>
          <t>no</t>
        </is>
      </c>
      <c r="R209" s="2" t="inlineStr">
        <is>
          <t>profesional</t>
        </is>
      </c>
      <c r="S209" s="2" t="inlineStr">
        <is>
          <t>Valencia - Pista de Silla - Macrocentro (Massanassa, 46470)</t>
        </is>
      </c>
      <c r="T209" s="2" t="inlineStr">
        <is>
          <t>2026-09-30T00:00:00.000Z</t>
        </is>
      </c>
      <c r="U209" s="2" t="n">
        <v>35</v>
      </c>
      <c r="V209" s="2" t="inlineStr">
        <is>
          <t>sí</t>
        </is>
      </c>
      <c r="W209" s="2" t="n"/>
      <c r="X209" s="2" t="n"/>
      <c r="Y209" s="2" t="n">
        <v>1</v>
      </c>
      <c r="Z209" s="2" t="inlineStr">
        <is>
          <t>sí</t>
        </is>
      </c>
      <c r="AA209" s="2" t="n"/>
      <c r="AB209" s="2" t="n">
        <v>12</v>
      </c>
      <c r="AC209" s="2" t="inlineStr">
        <is>
          <t>sí</t>
        </is>
      </c>
      <c r="AD209" s="2" t="n">
        <v>600</v>
      </c>
      <c r="AE209" s="2" t="n">
        <v>200</v>
      </c>
      <c r="AF209" s="2" t="inlineStr">
        <is>
          <t>sí</t>
        </is>
      </c>
      <c r="AG209" s="2" t="n"/>
      <c r="AH209" s="2" t="n">
        <v>4700</v>
      </c>
      <c r="AI209" s="2" t="n">
        <v>4500</v>
      </c>
      <c r="AJ209" s="2" t="inlineStr">
        <is>
          <t>sí</t>
        </is>
      </c>
      <c r="AK209" s="2" t="n">
        <v>350</v>
      </c>
      <c r="AL209" s="2" t="inlineStr">
        <is>
          <t>sí</t>
        </is>
      </c>
      <c r="AM209" s="2" t="n">
        <v>7.8</v>
      </c>
      <c r="AN209" s="2" t="n">
        <v>2750</v>
      </c>
      <c r="AO209" s="2" t="n">
        <v>18</v>
      </c>
      <c r="AP209" s="2" t="inlineStr">
        <is>
          <t>modelo+año</t>
        </is>
      </c>
      <c r="AQ209" s="2" t="n"/>
      <c r="AR209" s="2" t="inlineStr">
        <is>
          <t>por encima del presupuesto (5059 €), negociar; vendedor profesional: sin ITP (operación con IVA/REBU, confirmar en factura); el precio anunciado (4.500 €) solo vale financiando; se usa el precio al contado</t>
        </is>
      </c>
      <c r="AS209" s="2" t="inlineStr">
        <is>
          <t>Renault Clio 1.4 16v Dynamique (100 CV)</t>
        </is>
      </c>
      <c r="AT209" s="2" t="inlineStr">
        <is>
          <t>https://www.ocasionplus.com/coches-segunda-mano/renault-clio-14-16v-dynamique-con-106165km-2006-zgabhqan (payload RSC 'vehicle') /home/user/Alopecia/buscador-coches/raw/ocasionplus/f403fe1285048607.json</t>
        </is>
      </c>
      <c r="AU209" s="3">
        <f>MAX(ANIO_ACTUAL-M209,0)</f>
        <v/>
      </c>
      <c r="AV209" s="4">
        <f>N209/MAX(AU209,0.5)</f>
        <v/>
      </c>
      <c r="AW209" s="4">
        <f>F209</f>
        <v/>
      </c>
      <c r="AX209" s="3">
        <f>AW209&amp;"|"&amp;INT(M209/SEG_ANIO)*SEG_ANIO</f>
        <v/>
      </c>
      <c r="AY209" s="3">
        <f>AX209&amp;"|"&amp;INT(N209/SEG_KM)*SEG_KM</f>
        <v/>
      </c>
      <c r="AZ209" s="4">
        <f>COUNTIF($AW$2:$AW$662,AW209)</f>
        <v/>
      </c>
      <c r="BA209" s="4">
        <f>COUNTIF($AX$2:$AX$662,AX209)</f>
        <v/>
      </c>
      <c r="BB209" s="4">
        <f>COUNTIF($AY$2:$AY$662,AY209)</f>
        <v/>
      </c>
      <c r="BC209" s="3">
        <f t="array" ref="BC209">IF(N(AO209)&gt;=MIN_N,AN209,IF(BB209&gt;=MIN_N,MEDIAN(IF($AY$2:$AY$662=AY209,$O$2:$O$662)),IF(BA209&gt;=MIN_N,MEDIAN(IF($AX$2:$AX$662=AX209,$O$2:$O$662)),MEDIAN(IF($AW$2:$AW$662=AW209,$O$2:$O$662)))))</f>
        <v/>
      </c>
      <c r="BD209" s="3">
        <f>IF(N(AO209)&gt;=MIN_N,"mercado "&amp;AP209,IF(BB209&gt;=MIN_N,"modelo+año+km",IF(BA209&gt;=MIN_N,"modelo+año","modelo")))</f>
        <v/>
      </c>
      <c r="BE209" s="4">
        <f>(BC209-O209)/BC209</f>
        <v/>
      </c>
      <c r="BF209" s="3">
        <f>IF(OR(K209="hibrido",K209="glp"),"ECO",IF(K209="electrico","CERO",IF(K209="gasolina",IF(M209&gt;=GAS_C,"C",IF(M209&gt;=GAS_B,"B","A")),IF(K209="diesel",IF(M209&gt;=DIE_C,"C",IF(M209&gt;=DIE_B,"B","A")),""))))</f>
        <v/>
      </c>
      <c r="BG209" s="3">
        <f>IFERROR(VLOOKUP(F209,MOD_TBL,11,0),IFERROR(VLOOKUP(E209,OCU_TBL,2,0),NEUTRO))</f>
        <v/>
      </c>
      <c r="BH209" s="3">
        <f>SUMIFS(MOT_AJUSTE,MOT_MOTOR,G209,MOT_MARCA,E209,MOT_DESDE,"&lt;="&amp;M209,MOT_HASTA,"&gt;="&amp;M209)+SUMIFS(MOT_AJUSTE,MOT_MOTOR,G209,MOT_MARCA,"(todas)",MOT_DESDE,"&lt;="&amp;M209,MOT_HASTA,"&gt;="&amp;M209)</f>
        <v/>
      </c>
      <c r="BI209" s="3">
        <f>SUMIFS(COMB_AJUSTE,COMB_COMB,K209)</f>
        <v/>
      </c>
      <c r="BJ209" s="3">
        <f>COUNTIFS(MOT_MOTOR,G209,MOT_MARCA,E209,MOT_DESDE,"&lt;="&amp;M209,MOT_HASTA,"&gt;="&amp;M209)+COUNTIFS(MOT_MOTOR,G209,MOT_MARCA,"(todas)",MOT_DESDE,"&lt;="&amp;M209,MOT_HASTA,"&gt;="&amp;M209)</f>
        <v/>
      </c>
      <c r="BK209" s="3">
        <f>IF(AND(K209="diesel",BJ209=0),MIN(BG209,NEUTRO),BG209)</f>
        <v/>
      </c>
      <c r="BL209" s="4">
        <f>MAX(0,MIN(100,BK209+BH209+BI209))</f>
        <v/>
      </c>
      <c r="BM209" s="3">
        <f>MAX(0,MIN(100,50+BE209*PRECIO_PEND))</f>
        <v/>
      </c>
      <c r="BN209" s="3">
        <f>MAX(0,100*(1-N209/KM_MAX))</f>
        <v/>
      </c>
      <c r="BO209" s="3">
        <f>IF(AV209&lt;KMA_SOSP,IF(AA209="sí",100,KMA_PEN),IF(AV209&lt;=KMA_IDEAL_MAX,100,MAX(0,100*(KMA_CERO-AV209)/(KMA_CERO-KMA_IDEAL_MAX))))</f>
        <v/>
      </c>
      <c r="BP209" s="3">
        <f>MAX(0,MIN(100,100*(M209-ANIO_MIN)/(ANIO_ACTUAL-ANIO_MIN)))</f>
        <v/>
      </c>
      <c r="BQ209" s="3">
        <f>W_KMT*BN209+W_KMA*BO209+W_EDAD*BP209</f>
        <v/>
      </c>
      <c r="BR209" s="3">
        <f>P_ITV*(V209="sí")+P_LIBRO*(W209="sí")+P_CORREA*(X209="sí")+P_PROP*(Y209=1)+P_GAR*(Z209="sí")+P_FOTOS*MIN(1,N(U209)/FOTOS_OBJ)</f>
        <v/>
      </c>
      <c r="BS209" s="3">
        <f>IFERROR(VLOOKUP(BF209,ETQ_TBL,2,0),NEUTRO)</f>
        <v/>
      </c>
      <c r="BT209" s="3">
        <f>NEUTRO</f>
        <v/>
      </c>
      <c r="BU209" s="3">
        <f>IFERROR(VLOOKUP(L209,SEGURO_TBL,3,0),"")</f>
        <v/>
      </c>
      <c r="BV209" s="3">
        <f>IF(BU209="",NEUTRO,MAX(0,MIN(100,100*(SEG_REF_MAX-BU209)/(SEG_REF_MAX-SEG_REF_MIN))))</f>
        <v/>
      </c>
      <c r="BW209" s="3">
        <f>W_ET*BS209+W_CONS*BT209+W_SEG*BV209</f>
        <v/>
      </c>
      <c r="BX209" s="3">
        <f>IF(N(AB209)&gt;0,AB209,IF(AND(R209="profesional",SG_LEGAL_ON=1),GAR_LEGAL,0))</f>
        <v/>
      </c>
      <c r="BY209" s="3">
        <f>SG_GAR*MIN(1,BX209/SG_GAR_FULL)+SG_AMPL*(AC209="sí")+SG_KMC*(AF209="sí")+SG_REV*(N(AE209)&gt;0)+SG_DEV*MIN(1,N(AG209)/SG_DEV_FULL)+SG_HIST*(W209="sí")</f>
        <v/>
      </c>
      <c r="BZ209" s="3">
        <f>IFERROR(VLOOKUP(L209,CARR_PEN_TBL,2,0),0)</f>
        <v/>
      </c>
      <c r="CA209" s="3">
        <f>W_FIAB*BL209+W_PRECIO*BM209+W_KMEDAD*BQ209+W_ANUNCIO*BR209+W_USO*BW209+W_SEGURIDAD*BY209-BZ209</f>
        <v/>
      </c>
      <c r="CB209" s="4">
        <f>IF(N(I209)&gt;0,I209,IFERROR(ROUND(_xlfn.NUMBERVALUE(LEFT(G209,FIND(" ",G209&amp;" ")-1),".")*1000,0),99999))</f>
        <v/>
      </c>
      <c r="CC209" s="3">
        <f>IF(R209="profesional",0,IF(O209&lt;CUOTA_VALOR_MAX,IF(AU209&gt;ITP_TRAMO_ALTO,SUMIFS(CF_CUOTA,CF_MAS,ITP_TRAMO_ALTO,CF_CCMIN,"&lt;="&amp;CB209,CF_CCMAX,"&gt;="&amp;CB209),IF(AU209&gt;ITP_TRAMO_BAJO,SUMIFS(CF_CUOTA,CF_MAS,ITP_TRAMO_BAJO,CF_CCMIN,"&lt;="&amp;CB209,CF_CCMAX,"&gt;="&amp;CB209),O209*ITP_TIPO)),O209*ITP_TIPO))</f>
        <v/>
      </c>
      <c r="CD209" s="4">
        <f>IF(R209="profesional",N(AK209),0)</f>
        <v/>
      </c>
      <c r="CE209" s="3">
        <f>IF(AND(R209="profesional",ISNUMBER(AK209),AL209="sí"),0,TASA_DGT)</f>
        <v/>
      </c>
      <c r="CF209" s="3">
        <f>INFORME_DGT</f>
        <v/>
      </c>
      <c r="CG209" s="4">
        <f>O209+CD209+CC209+CE209+CF209</f>
        <v/>
      </c>
      <c r="CH209" s="4">
        <f>CG209+N(BU209)</f>
        <v/>
      </c>
      <c r="CI209" s="3">
        <f>IF(CG209&lt;=TOTAL_MAX,"sí",IF(CG209&lt;=TOTAL_MAX+MARGEN_NEG,"negociar","no"))</f>
        <v/>
      </c>
      <c r="CJ209" s="4">
        <f>IF(CI209&lt;&gt;"no",COUNTIFS($CI$2:$CI$662,"&lt;&gt;no",$CA$2:$CA$662,"&gt;"&amp;CA209)+COUNTIFS($CI$2:CI209,"&lt;&gt;no",$CA$2:CA209,CA209),"")</f>
        <v/>
      </c>
    </row>
    <row r="210">
      <c r="A210" s="2" t="inlineStr">
        <is>
          <t>ocasionplus:ychajqan</t>
        </is>
      </c>
      <c r="B210" s="2" t="inlineStr">
        <is>
          <t>ocasionplus</t>
        </is>
      </c>
      <c r="C210" s="2" t="inlineStr">
        <is>
          <t>https://www.ocasionplus.com/coches-segunda-mano/seat-ibiza-14-tdi-reference-con-140744km-2007-ychajqan</t>
        </is>
      </c>
      <c r="D210" s="2" t="inlineStr">
        <is>
          <t>Seat Ibiza 1.4 TDI Reference (80 CV)</t>
        </is>
      </c>
      <c r="E210" s="2" t="inlineStr">
        <is>
          <t>Seat</t>
        </is>
      </c>
      <c r="F210" s="2" t="inlineStr">
        <is>
          <t>Seat Ibiza</t>
        </is>
      </c>
      <c r="G210" s="2" t="inlineStr">
        <is>
          <t>1.4 TDI</t>
        </is>
      </c>
      <c r="H210" s="2" t="inlineStr">
        <is>
          <t>Seat Ibiza 1.4 TDI Reference (80 CV)</t>
        </is>
      </c>
      <c r="I210" s="2" t="n">
        <v>1422</v>
      </c>
      <c r="J210" s="2" t="n">
        <v>80</v>
      </c>
      <c r="K210" s="2" t="inlineStr">
        <is>
          <t>diesel</t>
        </is>
      </c>
      <c r="L210" s="2" t="inlineStr">
        <is>
          <t>utilitario</t>
        </is>
      </c>
      <c r="M210" s="2" t="n">
        <v>2007</v>
      </c>
      <c r="N210" s="2" t="n">
        <v>140744</v>
      </c>
      <c r="O210" s="2" t="n">
        <v>3800</v>
      </c>
      <c r="P210" s="2" t="inlineStr">
        <is>
          <t>manual</t>
        </is>
      </c>
      <c r="Q210" s="2" t="inlineStr">
        <is>
          <t>no</t>
        </is>
      </c>
      <c r="R210" s="2" t="inlineStr">
        <is>
          <t>profesional</t>
        </is>
      </c>
      <c r="S210" s="2" t="inlineStr">
        <is>
          <t>Valencia - Sagunto (Sagunto, 46500)</t>
        </is>
      </c>
      <c r="T210" s="2" t="inlineStr">
        <is>
          <t>2026-09-11T00:00:00.000Z</t>
        </is>
      </c>
      <c r="U210" s="2" t="n">
        <v>25</v>
      </c>
      <c r="V210" s="2" t="inlineStr">
        <is>
          <t>sí</t>
        </is>
      </c>
      <c r="W210" s="2" t="n"/>
      <c r="X210" s="2" t="n"/>
      <c r="Y210" s="2" t="n">
        <v>0</v>
      </c>
      <c r="Z210" s="2" t="n"/>
      <c r="AA210" s="2" t="n"/>
      <c r="AB210" s="2" t="n"/>
      <c r="AC210" s="2" t="inlineStr">
        <is>
          <t>sí</t>
        </is>
      </c>
      <c r="AD210" s="2" t="n">
        <v>500</v>
      </c>
      <c r="AE210" s="2" t="n"/>
      <c r="AF210" s="2" t="inlineStr">
        <is>
          <t>sí</t>
        </is>
      </c>
      <c r="AG210" s="2" t="n"/>
      <c r="AH210" s="2" t="n">
        <v>3800</v>
      </c>
      <c r="AI210" s="2" t="n">
        <v>3800</v>
      </c>
      <c r="AJ210" s="2" t="inlineStr">
        <is>
          <t>no</t>
        </is>
      </c>
      <c r="AK210" s="2" t="n">
        <v>350</v>
      </c>
      <c r="AL210" s="2" t="inlineStr">
        <is>
          <t>sí</t>
        </is>
      </c>
      <c r="AM210" s="2" t="n">
        <v>25.5</v>
      </c>
      <c r="AN210" s="2" t="n">
        <v>3850</v>
      </c>
      <c r="AO210" s="2" t="n">
        <v>26</v>
      </c>
      <c r="AP210" s="2" t="inlineStr">
        <is>
          <t>modelo+año</t>
        </is>
      </c>
      <c r="AQ210" s="2" t="n"/>
      <c r="AR210" s="2" t="inlineStr">
        <is>
          <t>vendedor profesional: sin ITP (operación con IVA/REBU, confirmar en factura); diésel: motor sin fuente de fiabilidad (fiabilidad limitada a neutra)</t>
        </is>
      </c>
      <c r="AS210" s="2" t="inlineStr">
        <is>
          <t>Seat Ibiza 1.4 TDI Reference (80 CV)</t>
        </is>
      </c>
      <c r="AT210" s="2" t="inlineStr">
        <is>
          <t>https://www.ocasionplus.com/coches-segunda-mano/seat-ibiza-14-tdi-reference-con-140744km-2007-ychajqan (payload RSC 'vehicle') /home/user/Alopecia/buscador-coches/raw/ocasionplus/f1d7ea20071e9f36.json</t>
        </is>
      </c>
      <c r="AU210" s="3">
        <f>MAX(ANIO_ACTUAL-M210,0)</f>
        <v/>
      </c>
      <c r="AV210" s="4">
        <f>N210/MAX(AU210,0.5)</f>
        <v/>
      </c>
      <c r="AW210" s="4">
        <f>F210</f>
        <v/>
      </c>
      <c r="AX210" s="3">
        <f>AW210&amp;"|"&amp;INT(M210/SEG_ANIO)*SEG_ANIO</f>
        <v/>
      </c>
      <c r="AY210" s="3">
        <f>AX210&amp;"|"&amp;INT(N210/SEG_KM)*SEG_KM</f>
        <v/>
      </c>
      <c r="AZ210" s="4">
        <f>COUNTIF($AW$2:$AW$662,AW210)</f>
        <v/>
      </c>
      <c r="BA210" s="4">
        <f>COUNTIF($AX$2:$AX$662,AX210)</f>
        <v/>
      </c>
      <c r="BB210" s="4">
        <f>COUNTIF($AY$2:$AY$662,AY210)</f>
        <v/>
      </c>
      <c r="BC210" s="3">
        <f t="array" ref="BC210">IF(N(AO210)&gt;=MIN_N,AN210,IF(BB210&gt;=MIN_N,MEDIAN(IF($AY$2:$AY$662=AY210,$O$2:$O$662)),IF(BA210&gt;=MIN_N,MEDIAN(IF($AX$2:$AX$662=AX210,$O$2:$O$662)),MEDIAN(IF($AW$2:$AW$662=AW210,$O$2:$O$662)))))</f>
        <v/>
      </c>
      <c r="BD210" s="3">
        <f>IF(N(AO210)&gt;=MIN_N,"mercado "&amp;AP210,IF(BB210&gt;=MIN_N,"modelo+año+km",IF(BA210&gt;=MIN_N,"modelo+año","modelo")))</f>
        <v/>
      </c>
      <c r="BE210" s="4">
        <f>(BC210-O210)/BC210</f>
        <v/>
      </c>
      <c r="BF210" s="3">
        <f>IF(OR(K210="hibrido",K210="glp"),"ECO",IF(K210="electrico","CERO",IF(K210="gasolina",IF(M210&gt;=GAS_C,"C",IF(M210&gt;=GAS_B,"B","A")),IF(K210="diesel",IF(M210&gt;=DIE_C,"C",IF(M210&gt;=DIE_B,"B","A")),""))))</f>
        <v/>
      </c>
      <c r="BG210" s="3">
        <f>IFERROR(VLOOKUP(F210,MOD_TBL,11,0),IFERROR(VLOOKUP(E210,OCU_TBL,2,0),NEUTRO))</f>
        <v/>
      </c>
      <c r="BH210" s="3">
        <f>SUMIFS(MOT_AJUSTE,MOT_MOTOR,G210,MOT_MARCA,E210,MOT_DESDE,"&lt;="&amp;M210,MOT_HASTA,"&gt;="&amp;M210)+SUMIFS(MOT_AJUSTE,MOT_MOTOR,G210,MOT_MARCA,"(todas)",MOT_DESDE,"&lt;="&amp;M210,MOT_HASTA,"&gt;="&amp;M210)</f>
        <v/>
      </c>
      <c r="BI210" s="3">
        <f>SUMIFS(COMB_AJUSTE,COMB_COMB,K210)</f>
        <v/>
      </c>
      <c r="BJ210" s="3">
        <f>COUNTIFS(MOT_MOTOR,G210,MOT_MARCA,E210,MOT_DESDE,"&lt;="&amp;M210,MOT_HASTA,"&gt;="&amp;M210)+COUNTIFS(MOT_MOTOR,G210,MOT_MARCA,"(todas)",MOT_DESDE,"&lt;="&amp;M210,MOT_HASTA,"&gt;="&amp;M210)</f>
        <v/>
      </c>
      <c r="BK210" s="3">
        <f>IF(AND(K210="diesel",BJ210=0),MIN(BG210,NEUTRO),BG210)</f>
        <v/>
      </c>
      <c r="BL210" s="4">
        <f>MAX(0,MIN(100,BK210+BH210+BI210))</f>
        <v/>
      </c>
      <c r="BM210" s="3">
        <f>MAX(0,MIN(100,50+BE210*PRECIO_PEND))</f>
        <v/>
      </c>
      <c r="BN210" s="3">
        <f>MAX(0,100*(1-N210/KM_MAX))</f>
        <v/>
      </c>
      <c r="BO210" s="3">
        <f>IF(AV210&lt;KMA_SOSP,IF(AA210="sí",100,KMA_PEN),IF(AV210&lt;=KMA_IDEAL_MAX,100,MAX(0,100*(KMA_CERO-AV210)/(KMA_CERO-KMA_IDEAL_MAX))))</f>
        <v/>
      </c>
      <c r="BP210" s="3">
        <f>MAX(0,MIN(100,100*(M210-ANIO_MIN)/(ANIO_ACTUAL-ANIO_MIN)))</f>
        <v/>
      </c>
      <c r="BQ210" s="3">
        <f>W_KMT*BN210+W_KMA*BO210+W_EDAD*BP210</f>
        <v/>
      </c>
      <c r="BR210" s="3">
        <f>P_ITV*(V210="sí")+P_LIBRO*(W210="sí")+P_CORREA*(X210="sí")+P_PROP*(Y210=1)+P_GAR*(Z210="sí")+P_FOTOS*MIN(1,N(U210)/FOTOS_OBJ)</f>
        <v/>
      </c>
      <c r="BS210" s="3">
        <f>IFERROR(VLOOKUP(BF210,ETQ_TBL,2,0),NEUTRO)</f>
        <v/>
      </c>
      <c r="BT210" s="3">
        <f>NEUTRO</f>
        <v/>
      </c>
      <c r="BU210" s="3">
        <f>IFERROR(VLOOKUP(L210,SEGURO_TBL,3,0),"")</f>
        <v/>
      </c>
      <c r="BV210" s="3">
        <f>IF(BU210="",NEUTRO,MAX(0,MIN(100,100*(SEG_REF_MAX-BU210)/(SEG_REF_MAX-SEG_REF_MIN))))</f>
        <v/>
      </c>
      <c r="BW210" s="3">
        <f>W_ET*BS210+W_CONS*BT210+W_SEG*BV210</f>
        <v/>
      </c>
      <c r="BX210" s="3">
        <f>IF(N(AB210)&gt;0,AB210,IF(AND(R210="profesional",SG_LEGAL_ON=1),GAR_LEGAL,0))</f>
        <v/>
      </c>
      <c r="BY210" s="3">
        <f>SG_GAR*MIN(1,BX210/SG_GAR_FULL)+SG_AMPL*(AC210="sí")+SG_KMC*(AF210="sí")+SG_REV*(N(AE210)&gt;0)+SG_DEV*MIN(1,N(AG210)/SG_DEV_FULL)+SG_HIST*(W210="sí")</f>
        <v/>
      </c>
      <c r="BZ210" s="3">
        <f>IFERROR(VLOOKUP(L210,CARR_PEN_TBL,2,0),0)</f>
        <v/>
      </c>
      <c r="CA210" s="3">
        <f>W_FIAB*BL210+W_PRECIO*BM210+W_KMEDAD*BQ210+W_ANUNCIO*BR210+W_USO*BW210+W_SEGURIDAD*BY210-BZ210</f>
        <v/>
      </c>
      <c r="CB210" s="4">
        <f>IF(N(I210)&gt;0,I210,IFERROR(ROUND(_xlfn.NUMBERVALUE(LEFT(G210,FIND(" ",G210&amp;" ")-1),".")*1000,0),99999))</f>
        <v/>
      </c>
      <c r="CC210" s="3">
        <f>IF(R210="profesional",0,IF(O210&lt;CUOTA_VALOR_MAX,IF(AU210&gt;ITP_TRAMO_ALTO,SUMIFS(CF_CUOTA,CF_MAS,ITP_TRAMO_ALTO,CF_CCMIN,"&lt;="&amp;CB210,CF_CCMAX,"&gt;="&amp;CB210),IF(AU210&gt;ITP_TRAMO_BAJO,SUMIFS(CF_CUOTA,CF_MAS,ITP_TRAMO_BAJO,CF_CCMIN,"&lt;="&amp;CB210,CF_CCMAX,"&gt;="&amp;CB210),O210*ITP_TIPO)),O210*ITP_TIPO))</f>
        <v/>
      </c>
      <c r="CD210" s="4">
        <f>IF(R210="profesional",N(AK210),0)</f>
        <v/>
      </c>
      <c r="CE210" s="3">
        <f>IF(AND(R210="profesional",ISNUMBER(AK210),AL210="sí"),0,TASA_DGT)</f>
        <v/>
      </c>
      <c r="CF210" s="3">
        <f>INFORME_DGT</f>
        <v/>
      </c>
      <c r="CG210" s="4">
        <f>O210+CD210+CC210+CE210+CF210</f>
        <v/>
      </c>
      <c r="CH210" s="4">
        <f>CG210+N(BU210)</f>
        <v/>
      </c>
      <c r="CI210" s="3">
        <f>IF(CG210&lt;=TOTAL_MAX,"sí",IF(CG210&lt;=TOTAL_MAX+MARGEN_NEG,"negociar","no"))</f>
        <v/>
      </c>
      <c r="CJ210" s="4">
        <f>IF(CI210&lt;&gt;"no",COUNTIFS($CI$2:$CI$662,"&lt;&gt;no",$CA$2:$CA$662,"&gt;"&amp;CA210)+COUNTIFS($CI$2:CI210,"&lt;&gt;no",$CA$2:CA210,CA210),"")</f>
        <v/>
      </c>
    </row>
    <row r="211">
      <c r="A211" s="2" t="inlineStr">
        <is>
          <t>ocasionplus:somqeqa3</t>
        </is>
      </c>
      <c r="B211" s="2" t="inlineStr">
        <is>
          <t>ocasionplus</t>
        </is>
      </c>
      <c r="C211" s="2" t="inlineStr">
        <is>
          <t>https://www.ocasionplus.com/coches-segunda-mano/ford-mondeo-20-tdci-ghia-con-142530km-2006-somqeqa3</t>
        </is>
      </c>
      <c r="D211" s="2" t="inlineStr">
        <is>
          <t>Ford Mondeo 2.0 TDCI Ghia (130 CV)</t>
        </is>
      </c>
      <c r="E211" s="2" t="inlineStr">
        <is>
          <t>Ford</t>
        </is>
      </c>
      <c r="F211" s="2" t="inlineStr">
        <is>
          <t>Ford Mondeo</t>
        </is>
      </c>
      <c r="G211" s="2" t="inlineStr">
        <is>
          <t>2.0 TDCi</t>
        </is>
      </c>
      <c r="H211" s="2" t="inlineStr">
        <is>
          <t>Ford Mondeo 2.0 TDCI Ghia (130 CV)</t>
        </is>
      </c>
      <c r="I211" s="2" t="n">
        <v>1998</v>
      </c>
      <c r="J211" s="2" t="n">
        <v>130</v>
      </c>
      <c r="K211" s="2" t="inlineStr">
        <is>
          <t>diesel</t>
        </is>
      </c>
      <c r="L211" s="2" t="inlineStr">
        <is>
          <t>berlina</t>
        </is>
      </c>
      <c r="M211" s="2" t="n">
        <v>2006</v>
      </c>
      <c r="N211" s="2" t="n">
        <v>142530</v>
      </c>
      <c r="O211" s="2" t="n">
        <v>3700</v>
      </c>
      <c r="P211" s="2" t="inlineStr">
        <is>
          <t>manual</t>
        </is>
      </c>
      <c r="Q211" s="2" t="inlineStr">
        <is>
          <t>no</t>
        </is>
      </c>
      <c r="R211" s="2" t="inlineStr">
        <is>
          <t>profesional</t>
        </is>
      </c>
      <c r="S211" s="2" t="inlineStr">
        <is>
          <t>Valencia - Paterna (Paterna, 46980)</t>
        </is>
      </c>
      <c r="T211" s="2" t="inlineStr">
        <is>
          <t>2026-05-26T00:00:00.000Z</t>
        </is>
      </c>
      <c r="U211" s="2" t="n">
        <v>33</v>
      </c>
      <c r="V211" s="2" t="inlineStr">
        <is>
          <t>sí</t>
        </is>
      </c>
      <c r="W211" s="2" t="n"/>
      <c r="X211" s="2" t="n"/>
      <c r="Y211" s="2" t="n">
        <v>1</v>
      </c>
      <c r="Z211" s="2" t="n"/>
      <c r="AA211" s="2" t="n"/>
      <c r="AB211" s="2" t="n"/>
      <c r="AC211" s="2" t="inlineStr">
        <is>
          <t>sí</t>
        </is>
      </c>
      <c r="AD211" s="2" t="n">
        <v>900</v>
      </c>
      <c r="AE211" s="2" t="n"/>
      <c r="AF211" s="2" t="inlineStr">
        <is>
          <t>sí</t>
        </is>
      </c>
      <c r="AG211" s="2" t="n"/>
      <c r="AH211" s="2" t="n">
        <v>3700</v>
      </c>
      <c r="AI211" s="2" t="n">
        <v>3700</v>
      </c>
      <c r="AJ211" s="2" t="inlineStr">
        <is>
          <t>no</t>
        </is>
      </c>
      <c r="AK211" s="2" t="n">
        <v>350</v>
      </c>
      <c r="AL211" s="2" t="inlineStr">
        <is>
          <t>sí</t>
        </is>
      </c>
      <c r="AM211" s="2" t="n">
        <v>5.9</v>
      </c>
      <c r="AN211" s="2" t="n">
        <v>3300</v>
      </c>
      <c r="AO211" s="2" t="n">
        <v>4</v>
      </c>
      <c r="AP211" s="2" t="inlineStr">
        <is>
          <t>modelo+año</t>
        </is>
      </c>
      <c r="AQ211" s="2" t="n"/>
      <c r="AR211" s="2" t="inlineStr">
        <is>
          <t>vendedor profesional: sin ITP (operación con IVA/REBU, confirmar en factura); diésel: motor sin fuente de fiabilidad (fiabilidad limitada a neutra); carrocería berlina: -4 puntos; fiabilidad del modelo PENDIENTE de fuente (puntuación neutra)</t>
        </is>
      </c>
      <c r="AS211" s="2" t="inlineStr">
        <is>
          <t>Ford Mondeo 2.0 TDCI Ghia (130 CV)</t>
        </is>
      </c>
      <c r="AT211" s="2" t="inlineStr">
        <is>
          <t>https://www.ocasionplus.com/coches-segunda-mano/ford-mondeo-20-tdci-ghia-con-142530km-2006-somqeqa3 (payload RSC 'vehicle') /home/user/Alopecia/buscador-coches/raw/ocasionplus/72f5f2ec09413c7a.json</t>
        </is>
      </c>
      <c r="AU211" s="3">
        <f>MAX(ANIO_ACTUAL-M211,0)</f>
        <v/>
      </c>
      <c r="AV211" s="4">
        <f>N211/MAX(AU211,0.5)</f>
        <v/>
      </c>
      <c r="AW211" s="4">
        <f>F211</f>
        <v/>
      </c>
      <c r="AX211" s="3">
        <f>AW211&amp;"|"&amp;INT(M211/SEG_ANIO)*SEG_ANIO</f>
        <v/>
      </c>
      <c r="AY211" s="3">
        <f>AX211&amp;"|"&amp;INT(N211/SEG_KM)*SEG_KM</f>
        <v/>
      </c>
      <c r="AZ211" s="4">
        <f>COUNTIF($AW$2:$AW$662,AW211)</f>
        <v/>
      </c>
      <c r="BA211" s="4">
        <f>COUNTIF($AX$2:$AX$662,AX211)</f>
        <v/>
      </c>
      <c r="BB211" s="4">
        <f>COUNTIF($AY$2:$AY$662,AY211)</f>
        <v/>
      </c>
      <c r="BC211" s="3">
        <f t="array" ref="BC211">IF(N(AO211)&gt;=MIN_N,AN211,IF(BB211&gt;=MIN_N,MEDIAN(IF($AY$2:$AY$662=AY211,$O$2:$O$662)),IF(BA211&gt;=MIN_N,MEDIAN(IF($AX$2:$AX$662=AX211,$O$2:$O$662)),MEDIAN(IF($AW$2:$AW$662=AW211,$O$2:$O$662)))))</f>
        <v/>
      </c>
      <c r="BD211" s="3">
        <f>IF(N(AO211)&gt;=MIN_N,"mercado "&amp;AP211,IF(BB211&gt;=MIN_N,"modelo+año+km",IF(BA211&gt;=MIN_N,"modelo+año","modelo")))</f>
        <v/>
      </c>
      <c r="BE211" s="4">
        <f>(BC211-O211)/BC211</f>
        <v/>
      </c>
      <c r="BF211" s="3">
        <f>IF(OR(K211="hibrido",K211="glp"),"ECO",IF(K211="electrico","CERO",IF(K211="gasolina",IF(M211&gt;=GAS_C,"C",IF(M211&gt;=GAS_B,"B","A")),IF(K211="diesel",IF(M211&gt;=DIE_C,"C",IF(M211&gt;=DIE_B,"B","A")),""))))</f>
        <v/>
      </c>
      <c r="BG211" s="3">
        <f>IFERROR(VLOOKUP(F211,MOD_TBL,11,0),IFERROR(VLOOKUP(E211,OCU_TBL,2,0),NEUTRO))</f>
        <v/>
      </c>
      <c r="BH211" s="3">
        <f>SUMIFS(MOT_AJUSTE,MOT_MOTOR,G211,MOT_MARCA,E211,MOT_DESDE,"&lt;="&amp;M211,MOT_HASTA,"&gt;="&amp;M211)+SUMIFS(MOT_AJUSTE,MOT_MOTOR,G211,MOT_MARCA,"(todas)",MOT_DESDE,"&lt;="&amp;M211,MOT_HASTA,"&gt;="&amp;M211)</f>
        <v/>
      </c>
      <c r="BI211" s="3">
        <f>SUMIFS(COMB_AJUSTE,COMB_COMB,K211)</f>
        <v/>
      </c>
      <c r="BJ211" s="3">
        <f>COUNTIFS(MOT_MOTOR,G211,MOT_MARCA,E211,MOT_DESDE,"&lt;="&amp;M211,MOT_HASTA,"&gt;="&amp;M211)+COUNTIFS(MOT_MOTOR,G211,MOT_MARCA,"(todas)",MOT_DESDE,"&lt;="&amp;M211,MOT_HASTA,"&gt;="&amp;M211)</f>
        <v/>
      </c>
      <c r="BK211" s="3">
        <f>IF(AND(K211="diesel",BJ211=0),MIN(BG211,NEUTRO),BG211)</f>
        <v/>
      </c>
      <c r="BL211" s="4">
        <f>MAX(0,MIN(100,BK211+BH211+BI211))</f>
        <v/>
      </c>
      <c r="BM211" s="3">
        <f>MAX(0,MIN(100,50+BE211*PRECIO_PEND))</f>
        <v/>
      </c>
      <c r="BN211" s="3">
        <f>MAX(0,100*(1-N211/KM_MAX))</f>
        <v/>
      </c>
      <c r="BO211" s="3">
        <f>IF(AV211&lt;KMA_SOSP,IF(AA211="sí",100,KMA_PEN),IF(AV211&lt;=KMA_IDEAL_MAX,100,MAX(0,100*(KMA_CERO-AV211)/(KMA_CERO-KMA_IDEAL_MAX))))</f>
        <v/>
      </c>
      <c r="BP211" s="3">
        <f>MAX(0,MIN(100,100*(M211-ANIO_MIN)/(ANIO_ACTUAL-ANIO_MIN)))</f>
        <v/>
      </c>
      <c r="BQ211" s="3">
        <f>W_KMT*BN211+W_KMA*BO211+W_EDAD*BP211</f>
        <v/>
      </c>
      <c r="BR211" s="3">
        <f>P_ITV*(V211="sí")+P_LIBRO*(W211="sí")+P_CORREA*(X211="sí")+P_PROP*(Y211=1)+P_GAR*(Z211="sí")+P_FOTOS*MIN(1,N(U211)/FOTOS_OBJ)</f>
        <v/>
      </c>
      <c r="BS211" s="3">
        <f>IFERROR(VLOOKUP(BF211,ETQ_TBL,2,0),NEUTRO)</f>
        <v/>
      </c>
      <c r="BT211" s="3">
        <f>NEUTRO</f>
        <v/>
      </c>
      <c r="BU211" s="3">
        <f>IFERROR(VLOOKUP(L211,SEGURO_TBL,3,0),"")</f>
        <v/>
      </c>
      <c r="BV211" s="3">
        <f>IF(BU211="",NEUTRO,MAX(0,MIN(100,100*(SEG_REF_MAX-BU211)/(SEG_REF_MAX-SEG_REF_MIN))))</f>
        <v/>
      </c>
      <c r="BW211" s="3">
        <f>W_ET*BS211+W_CONS*BT211+W_SEG*BV211</f>
        <v/>
      </c>
      <c r="BX211" s="3">
        <f>IF(N(AB211)&gt;0,AB211,IF(AND(R211="profesional",SG_LEGAL_ON=1),GAR_LEGAL,0))</f>
        <v/>
      </c>
      <c r="BY211" s="3">
        <f>SG_GAR*MIN(1,BX211/SG_GAR_FULL)+SG_AMPL*(AC211="sí")+SG_KMC*(AF211="sí")+SG_REV*(N(AE211)&gt;0)+SG_DEV*MIN(1,N(AG211)/SG_DEV_FULL)+SG_HIST*(W211="sí")</f>
        <v/>
      </c>
      <c r="BZ211" s="3">
        <f>IFERROR(VLOOKUP(L211,CARR_PEN_TBL,2,0),0)</f>
        <v/>
      </c>
      <c r="CA211" s="3">
        <f>W_FIAB*BL211+W_PRECIO*BM211+W_KMEDAD*BQ211+W_ANUNCIO*BR211+W_USO*BW211+W_SEGURIDAD*BY211-BZ211</f>
        <v/>
      </c>
      <c r="CB211" s="4">
        <f>IF(N(I211)&gt;0,I211,IFERROR(ROUND(_xlfn.NUMBERVALUE(LEFT(G211,FIND(" ",G211&amp;" ")-1),".")*1000,0),99999))</f>
        <v/>
      </c>
      <c r="CC211" s="3">
        <f>IF(R211="profesional",0,IF(O211&lt;CUOTA_VALOR_MAX,IF(AU211&gt;ITP_TRAMO_ALTO,SUMIFS(CF_CUOTA,CF_MAS,ITP_TRAMO_ALTO,CF_CCMIN,"&lt;="&amp;CB211,CF_CCMAX,"&gt;="&amp;CB211),IF(AU211&gt;ITP_TRAMO_BAJO,SUMIFS(CF_CUOTA,CF_MAS,ITP_TRAMO_BAJO,CF_CCMIN,"&lt;="&amp;CB211,CF_CCMAX,"&gt;="&amp;CB211),O211*ITP_TIPO)),O211*ITP_TIPO))</f>
        <v/>
      </c>
      <c r="CD211" s="4">
        <f>IF(R211="profesional",N(AK211),0)</f>
        <v/>
      </c>
      <c r="CE211" s="3">
        <f>IF(AND(R211="profesional",ISNUMBER(AK211),AL211="sí"),0,TASA_DGT)</f>
        <v/>
      </c>
      <c r="CF211" s="3">
        <f>INFORME_DGT</f>
        <v/>
      </c>
      <c r="CG211" s="4">
        <f>O211+CD211+CC211+CE211+CF211</f>
        <v/>
      </c>
      <c r="CH211" s="4">
        <f>CG211+N(BU211)</f>
        <v/>
      </c>
      <c r="CI211" s="3">
        <f>IF(CG211&lt;=TOTAL_MAX,"sí",IF(CG211&lt;=TOTAL_MAX+MARGEN_NEG,"negociar","no"))</f>
        <v/>
      </c>
      <c r="CJ211" s="4">
        <f>IF(CI211&lt;&gt;"no",COUNTIFS($CI$2:$CI$662,"&lt;&gt;no",$CA$2:$CA$662,"&gt;"&amp;CA211)+COUNTIFS($CI$2:CI211,"&lt;&gt;no",$CA$2:CA211,CA211),"")</f>
        <v/>
      </c>
    </row>
    <row r="212">
      <c r="A212" s="2" t="inlineStr">
        <is>
          <t>ocasionplus:azeojqah</t>
        </is>
      </c>
      <c r="B212" s="2" t="inlineStr">
        <is>
          <t>ocasionplus</t>
        </is>
      </c>
      <c r="C212" s="2" t="inlineStr">
        <is>
          <t>https://www.ocasionplus.com/coches-segunda-mano/seat-ibiza-14-16v-reference-con-70908km-2006-azeojqah</t>
        </is>
      </c>
      <c r="D212" s="2" t="inlineStr">
        <is>
          <t>Seat Ibiza 1.4 16v Reference (100 CV)</t>
        </is>
      </c>
      <c r="E212" s="2" t="inlineStr">
        <is>
          <t>Seat</t>
        </is>
      </c>
      <c r="F212" s="2" t="inlineStr">
        <is>
          <t>Seat Ibiza</t>
        </is>
      </c>
      <c r="G212" s="2" t="inlineStr">
        <is>
          <t>1.4</t>
        </is>
      </c>
      <c r="H212" s="2" t="inlineStr">
        <is>
          <t>Seat Ibiza 1.4 16v Reference (100 CV)</t>
        </is>
      </c>
      <c r="I212" s="2" t="n">
        <v>1390</v>
      </c>
      <c r="J212" s="2" t="n">
        <v>100</v>
      </c>
      <c r="K212" s="2" t="inlineStr">
        <is>
          <t>gasolina</t>
        </is>
      </c>
      <c r="L212" s="2" t="inlineStr">
        <is>
          <t>utilitario</t>
        </is>
      </c>
      <c r="M212" s="2" t="n">
        <v>2006</v>
      </c>
      <c r="N212" s="2" t="n">
        <v>86371</v>
      </c>
      <c r="O212" s="2" t="n">
        <v>4990</v>
      </c>
      <c r="P212" s="2" t="inlineStr">
        <is>
          <t>manual</t>
        </is>
      </c>
      <c r="Q212" s="2" t="inlineStr">
        <is>
          <t>no</t>
        </is>
      </c>
      <c r="R212" s="2" t="inlineStr">
        <is>
          <t>profesional</t>
        </is>
      </c>
      <c r="S212" s="2" t="inlineStr">
        <is>
          <t>Valencia - Pista de Silla - Macrocentro (Massanassa, 46470)</t>
        </is>
      </c>
      <c r="T212" s="2" t="inlineStr">
        <is>
          <t>2026-05-21T00:00:00.000Z</t>
        </is>
      </c>
      <c r="U212" s="2" t="n">
        <v>32</v>
      </c>
      <c r="V212" s="2" t="inlineStr">
        <is>
          <t>sí</t>
        </is>
      </c>
      <c r="W212" s="2" t="n"/>
      <c r="X212" s="2" t="n"/>
      <c r="Y212" s="2" t="n">
        <v>0</v>
      </c>
      <c r="Z212" s="2" t="n"/>
      <c r="AA212" s="2" t="n"/>
      <c r="AB212" s="2" t="n"/>
      <c r="AC212" s="2" t="inlineStr">
        <is>
          <t>sí</t>
        </is>
      </c>
      <c r="AD212" s="2" t="n">
        <v>600</v>
      </c>
      <c r="AE212" s="2" t="n"/>
      <c r="AF212" s="2" t="inlineStr">
        <is>
          <t>sí</t>
        </is>
      </c>
      <c r="AG212" s="2" t="n"/>
      <c r="AH212" s="2" t="n">
        <v>4990</v>
      </c>
      <c r="AI212" s="2" t="n">
        <v>4990</v>
      </c>
      <c r="AJ212" s="2" t="inlineStr">
        <is>
          <t>no</t>
        </is>
      </c>
      <c r="AK212" s="2" t="n">
        <v>350</v>
      </c>
      <c r="AL212" s="2" t="inlineStr">
        <is>
          <t>sí</t>
        </is>
      </c>
      <c r="AM212" s="2" t="n">
        <v>7.8</v>
      </c>
      <c r="AN212" s="2" t="n">
        <v>3100</v>
      </c>
      <c r="AO212" s="2" t="n">
        <v>28</v>
      </c>
      <c r="AP212" s="2" t="inlineStr">
        <is>
          <t>modelo+año</t>
        </is>
      </c>
      <c r="AQ212" s="2" t="n"/>
      <c r="AR212" s="2" t="inlineStr">
        <is>
          <t>vendedor profesional: sin ITP (operación con IVA/REBU, confirmar en factura)</t>
        </is>
      </c>
      <c r="AS212" s="2" t="inlineStr">
        <is>
          <t>Seat Ibiza 1.4 16v Reference (100 CV)</t>
        </is>
      </c>
      <c r="AT212" s="2" t="inlineStr">
        <is>
          <t>https://www.ocasionplus.com/coches-segunda-mano/seat-ibiza-14-16v-reference-con-70908km-2006-azeojqah (payload RSC 'vehicle') /home/user/Alopecia/buscador-coches/raw/ocasionplus/f23441d331de3a98.json</t>
        </is>
      </c>
      <c r="AU212" s="3">
        <f>MAX(ANIO_ACTUAL-M212,0)</f>
        <v/>
      </c>
      <c r="AV212" s="4">
        <f>N212/MAX(AU212,0.5)</f>
        <v/>
      </c>
      <c r="AW212" s="4">
        <f>F212</f>
        <v/>
      </c>
      <c r="AX212" s="3">
        <f>AW212&amp;"|"&amp;INT(M212/SEG_ANIO)*SEG_ANIO</f>
        <v/>
      </c>
      <c r="AY212" s="3">
        <f>AX212&amp;"|"&amp;INT(N212/SEG_KM)*SEG_KM</f>
        <v/>
      </c>
      <c r="AZ212" s="4">
        <f>COUNTIF($AW$2:$AW$662,AW212)</f>
        <v/>
      </c>
      <c r="BA212" s="4">
        <f>COUNTIF($AX$2:$AX$662,AX212)</f>
        <v/>
      </c>
      <c r="BB212" s="4">
        <f>COUNTIF($AY$2:$AY$662,AY212)</f>
        <v/>
      </c>
      <c r="BC212" s="3">
        <f t="array" ref="BC212">IF(N(AO212)&gt;=MIN_N,AN212,IF(BB212&gt;=MIN_N,MEDIAN(IF($AY$2:$AY$662=AY212,$O$2:$O$662)),IF(BA212&gt;=MIN_N,MEDIAN(IF($AX$2:$AX$662=AX212,$O$2:$O$662)),MEDIAN(IF($AW$2:$AW$662=AW212,$O$2:$O$662)))))</f>
        <v/>
      </c>
      <c r="BD212" s="3">
        <f>IF(N(AO212)&gt;=MIN_N,"mercado "&amp;AP212,IF(BB212&gt;=MIN_N,"modelo+año+km",IF(BA212&gt;=MIN_N,"modelo+año","modelo")))</f>
        <v/>
      </c>
      <c r="BE212" s="4">
        <f>(BC212-O212)/BC212</f>
        <v/>
      </c>
      <c r="BF212" s="3">
        <f>IF(OR(K212="hibrido",K212="glp"),"ECO",IF(K212="electrico","CERO",IF(K212="gasolina",IF(M212&gt;=GAS_C,"C",IF(M212&gt;=GAS_B,"B","A")),IF(K212="diesel",IF(M212&gt;=DIE_C,"C",IF(M212&gt;=DIE_B,"B","A")),""))))</f>
        <v/>
      </c>
      <c r="BG212" s="3">
        <f>IFERROR(VLOOKUP(F212,MOD_TBL,11,0),IFERROR(VLOOKUP(E212,OCU_TBL,2,0),NEUTRO))</f>
        <v/>
      </c>
      <c r="BH212" s="3">
        <f>SUMIFS(MOT_AJUSTE,MOT_MOTOR,G212,MOT_MARCA,E212,MOT_DESDE,"&lt;="&amp;M212,MOT_HASTA,"&gt;="&amp;M212)+SUMIFS(MOT_AJUSTE,MOT_MOTOR,G212,MOT_MARCA,"(todas)",MOT_DESDE,"&lt;="&amp;M212,MOT_HASTA,"&gt;="&amp;M212)</f>
        <v/>
      </c>
      <c r="BI212" s="3">
        <f>SUMIFS(COMB_AJUSTE,COMB_COMB,K212)</f>
        <v/>
      </c>
      <c r="BJ212" s="3">
        <f>COUNTIFS(MOT_MOTOR,G212,MOT_MARCA,E212,MOT_DESDE,"&lt;="&amp;M212,MOT_HASTA,"&gt;="&amp;M212)+COUNTIFS(MOT_MOTOR,G212,MOT_MARCA,"(todas)",MOT_DESDE,"&lt;="&amp;M212,MOT_HASTA,"&gt;="&amp;M212)</f>
        <v/>
      </c>
      <c r="BK212" s="3">
        <f>IF(AND(K212="diesel",BJ212=0),MIN(BG212,NEUTRO),BG212)</f>
        <v/>
      </c>
      <c r="BL212" s="4">
        <f>MAX(0,MIN(100,BK212+BH212+BI212))</f>
        <v/>
      </c>
      <c r="BM212" s="3">
        <f>MAX(0,MIN(100,50+BE212*PRECIO_PEND))</f>
        <v/>
      </c>
      <c r="BN212" s="3">
        <f>MAX(0,100*(1-N212/KM_MAX))</f>
        <v/>
      </c>
      <c r="BO212" s="3">
        <f>IF(AV212&lt;KMA_SOSP,IF(AA212="sí",100,KMA_PEN),IF(AV212&lt;=KMA_IDEAL_MAX,100,MAX(0,100*(KMA_CERO-AV212)/(KMA_CERO-KMA_IDEAL_MAX))))</f>
        <v/>
      </c>
      <c r="BP212" s="3">
        <f>MAX(0,MIN(100,100*(M212-ANIO_MIN)/(ANIO_ACTUAL-ANIO_MIN)))</f>
        <v/>
      </c>
      <c r="BQ212" s="3">
        <f>W_KMT*BN212+W_KMA*BO212+W_EDAD*BP212</f>
        <v/>
      </c>
      <c r="BR212" s="3">
        <f>P_ITV*(V212="sí")+P_LIBRO*(W212="sí")+P_CORREA*(X212="sí")+P_PROP*(Y212=1)+P_GAR*(Z212="sí")+P_FOTOS*MIN(1,N(U212)/FOTOS_OBJ)</f>
        <v/>
      </c>
      <c r="BS212" s="3">
        <f>IFERROR(VLOOKUP(BF212,ETQ_TBL,2,0),NEUTRO)</f>
        <v/>
      </c>
      <c r="BT212" s="3">
        <f>NEUTRO</f>
        <v/>
      </c>
      <c r="BU212" s="3">
        <f>IFERROR(VLOOKUP(L212,SEGURO_TBL,3,0),"")</f>
        <v/>
      </c>
      <c r="BV212" s="3">
        <f>IF(BU212="",NEUTRO,MAX(0,MIN(100,100*(SEG_REF_MAX-BU212)/(SEG_REF_MAX-SEG_REF_MIN))))</f>
        <v/>
      </c>
      <c r="BW212" s="3">
        <f>W_ET*BS212+W_CONS*BT212+W_SEG*BV212</f>
        <v/>
      </c>
      <c r="BX212" s="3">
        <f>IF(N(AB212)&gt;0,AB212,IF(AND(R212="profesional",SG_LEGAL_ON=1),GAR_LEGAL,0))</f>
        <v/>
      </c>
      <c r="BY212" s="3">
        <f>SG_GAR*MIN(1,BX212/SG_GAR_FULL)+SG_AMPL*(AC212="sí")+SG_KMC*(AF212="sí")+SG_REV*(N(AE212)&gt;0)+SG_DEV*MIN(1,N(AG212)/SG_DEV_FULL)+SG_HIST*(W212="sí")</f>
        <v/>
      </c>
      <c r="BZ212" s="3">
        <f>IFERROR(VLOOKUP(L212,CARR_PEN_TBL,2,0),0)</f>
        <v/>
      </c>
      <c r="CA212" s="3">
        <f>W_FIAB*BL212+W_PRECIO*BM212+W_KMEDAD*BQ212+W_ANUNCIO*BR212+W_USO*BW212+W_SEGURIDAD*BY212-BZ212</f>
        <v/>
      </c>
      <c r="CB212" s="4">
        <f>IF(N(I212)&gt;0,I212,IFERROR(ROUND(_xlfn.NUMBERVALUE(LEFT(G212,FIND(" ",G212&amp;" ")-1),".")*1000,0),99999))</f>
        <v/>
      </c>
      <c r="CC212" s="3">
        <f>IF(R212="profesional",0,IF(O212&lt;CUOTA_VALOR_MAX,IF(AU212&gt;ITP_TRAMO_ALTO,SUMIFS(CF_CUOTA,CF_MAS,ITP_TRAMO_ALTO,CF_CCMIN,"&lt;="&amp;CB212,CF_CCMAX,"&gt;="&amp;CB212),IF(AU212&gt;ITP_TRAMO_BAJO,SUMIFS(CF_CUOTA,CF_MAS,ITP_TRAMO_BAJO,CF_CCMIN,"&lt;="&amp;CB212,CF_CCMAX,"&gt;="&amp;CB212),O212*ITP_TIPO)),O212*ITP_TIPO))</f>
        <v/>
      </c>
      <c r="CD212" s="4">
        <f>IF(R212="profesional",N(AK212),0)</f>
        <v/>
      </c>
      <c r="CE212" s="3">
        <f>IF(AND(R212="profesional",ISNUMBER(AK212),AL212="sí"),0,TASA_DGT)</f>
        <v/>
      </c>
      <c r="CF212" s="3">
        <f>INFORME_DGT</f>
        <v/>
      </c>
      <c r="CG212" s="4">
        <f>O212+CD212+CC212+CE212+CF212</f>
        <v/>
      </c>
      <c r="CH212" s="4">
        <f>CG212+N(BU212)</f>
        <v/>
      </c>
      <c r="CI212" s="3">
        <f>IF(CG212&lt;=TOTAL_MAX,"sí",IF(CG212&lt;=TOTAL_MAX+MARGEN_NEG,"negociar","no"))</f>
        <v/>
      </c>
      <c r="CJ212" s="4">
        <f>IF(CI212&lt;&gt;"no",COUNTIFS($CI$2:$CI$662,"&lt;&gt;no",$CA$2:$CA$662,"&gt;"&amp;CA212)+COUNTIFS($CI$2:CI212,"&lt;&gt;no",$CA$2:CA212,CA212),"")</f>
        <v/>
      </c>
    </row>
    <row r="213">
      <c r="A213" s="2" t="inlineStr">
        <is>
          <t>ocasionplus:nu8qgqaj</t>
        </is>
      </c>
      <c r="B213" s="2" t="inlineStr">
        <is>
          <t>ocasionplus</t>
        </is>
      </c>
      <c r="C213" s="2" t="inlineStr">
        <is>
          <t>https://www.ocasionplus.com/coches-segunda-mano/opel-corsa-12-enjoy-mta-con-112793km-2007-nu8qgqaj</t>
        </is>
      </c>
      <c r="D213" s="2" t="inlineStr">
        <is>
          <t>Opel Corsa 1.2 Enjoy MTA (80 CV)</t>
        </is>
      </c>
      <c r="E213" s="2" t="inlineStr">
        <is>
          <t>Opel</t>
        </is>
      </c>
      <c r="F213" s="2" t="inlineStr">
        <is>
          <t>Opel Corsa</t>
        </is>
      </c>
      <c r="G213" s="2" t="inlineStr">
        <is>
          <t>1.2</t>
        </is>
      </c>
      <c r="H213" s="2" t="inlineStr">
        <is>
          <t>Opel Corsa 1.2 Enjoy MTA (80 CV)</t>
        </is>
      </c>
      <c r="I213" s="2" t="n">
        <v>1229</v>
      </c>
      <c r="J213" s="2" t="n">
        <v>80</v>
      </c>
      <c r="K213" s="2" t="inlineStr">
        <is>
          <t>gasolina</t>
        </is>
      </c>
      <c r="L213" s="2" t="inlineStr">
        <is>
          <t>utilitario</t>
        </is>
      </c>
      <c r="M213" s="2" t="n">
        <v>2007</v>
      </c>
      <c r="N213" s="2" t="n">
        <v>112793</v>
      </c>
      <c r="O213" s="2" t="n">
        <v>2900</v>
      </c>
      <c r="P213" s="2" t="n"/>
      <c r="Q213" s="2" t="n"/>
      <c r="R213" s="2" t="inlineStr">
        <is>
          <t>profesional</t>
        </is>
      </c>
      <c r="S213" s="2" t="inlineStr">
        <is>
          <t>Valencia - Pista De Silla (Massanassa, 46470)</t>
        </is>
      </c>
      <c r="T213" s="2" t="inlineStr">
        <is>
          <t>2026-02-18T00:00:00.000Z</t>
        </is>
      </c>
      <c r="U213" s="2" t="n">
        <v>33</v>
      </c>
      <c r="V213" s="2" t="inlineStr">
        <is>
          <t>sí</t>
        </is>
      </c>
      <c r="W213" s="2" t="n"/>
      <c r="X213" s="2" t="n"/>
      <c r="Y213" s="2" t="n">
        <v>0</v>
      </c>
      <c r="Z213" s="2" t="n"/>
      <c r="AA213" s="2" t="n"/>
      <c r="AB213" s="2" t="n"/>
      <c r="AC213" s="2" t="inlineStr">
        <is>
          <t>sí</t>
        </is>
      </c>
      <c r="AD213" s="2" t="n">
        <v>500</v>
      </c>
      <c r="AE213" s="2" t="n"/>
      <c r="AF213" s="2" t="inlineStr">
        <is>
          <t>sí</t>
        </is>
      </c>
      <c r="AG213" s="2" t="n"/>
      <c r="AH213" s="2" t="n">
        <v>2900</v>
      </c>
      <c r="AI213" s="2" t="n">
        <v>2300</v>
      </c>
      <c r="AJ213" s="2" t="inlineStr">
        <is>
          <t>sí</t>
        </is>
      </c>
      <c r="AK213" s="2" t="n">
        <v>350</v>
      </c>
      <c r="AL213" s="2" t="inlineStr">
        <is>
          <t>sí</t>
        </is>
      </c>
      <c r="AM213" s="2" t="n">
        <v>7.8</v>
      </c>
      <c r="AN213" s="2" t="n">
        <v>3600</v>
      </c>
      <c r="AO213" s="2" t="n">
        <v>9</v>
      </c>
      <c r="AP213" s="2" t="inlineStr">
        <is>
          <t>modelo+año+km</t>
        </is>
      </c>
      <c r="AQ213" s="2" t="n"/>
      <c r="AR213" s="2" t="inlineStr">
        <is>
          <t>vendedor profesional: sin ITP (operación con IVA/REBU, confirmar en factura); el precio anunciado (2.300 €) solo vale financiando; se usa el precio al contado</t>
        </is>
      </c>
      <c r="AS213" s="2" t="inlineStr">
        <is>
          <t>Opel Corsa 1.2 Enjoy MTA (80 CV)</t>
        </is>
      </c>
      <c r="AT213" s="2" t="inlineStr">
        <is>
          <t>https://www.ocasionplus.com/coches-segunda-mano/opel-corsa-12-enjoy-mta-con-112793km-2007-nu8qgqaj (payload RSC 'vehicle') /home/user/Alopecia/buscador-coches/raw/ocasionplus/f57149c007dd3ca5.json</t>
        </is>
      </c>
      <c r="AU213" s="3">
        <f>MAX(ANIO_ACTUAL-M213,0)</f>
        <v/>
      </c>
      <c r="AV213" s="4">
        <f>N213/MAX(AU213,0.5)</f>
        <v/>
      </c>
      <c r="AW213" s="4">
        <f>F213</f>
        <v/>
      </c>
      <c r="AX213" s="3">
        <f>AW213&amp;"|"&amp;INT(M213/SEG_ANIO)*SEG_ANIO</f>
        <v/>
      </c>
      <c r="AY213" s="3">
        <f>AX213&amp;"|"&amp;INT(N213/SEG_KM)*SEG_KM</f>
        <v/>
      </c>
      <c r="AZ213" s="4">
        <f>COUNTIF($AW$2:$AW$662,AW213)</f>
        <v/>
      </c>
      <c r="BA213" s="4">
        <f>COUNTIF($AX$2:$AX$662,AX213)</f>
        <v/>
      </c>
      <c r="BB213" s="4">
        <f>COUNTIF($AY$2:$AY$662,AY213)</f>
        <v/>
      </c>
      <c r="BC213" s="3">
        <f t="array" ref="BC213">IF(N(AO213)&gt;=MIN_N,AN213,IF(BB213&gt;=MIN_N,MEDIAN(IF($AY$2:$AY$662=AY213,$O$2:$O$662)),IF(BA213&gt;=MIN_N,MEDIAN(IF($AX$2:$AX$662=AX213,$O$2:$O$662)),MEDIAN(IF($AW$2:$AW$662=AW213,$O$2:$O$662)))))</f>
        <v/>
      </c>
      <c r="BD213" s="3">
        <f>IF(N(AO213)&gt;=MIN_N,"mercado "&amp;AP213,IF(BB213&gt;=MIN_N,"modelo+año+km",IF(BA213&gt;=MIN_N,"modelo+año","modelo")))</f>
        <v/>
      </c>
      <c r="BE213" s="4">
        <f>(BC213-O213)/BC213</f>
        <v/>
      </c>
      <c r="BF213" s="3">
        <f>IF(OR(K213="hibrido",K213="glp"),"ECO",IF(K213="electrico","CERO",IF(K213="gasolina",IF(M213&gt;=GAS_C,"C",IF(M213&gt;=GAS_B,"B","A")),IF(K213="diesel",IF(M213&gt;=DIE_C,"C",IF(M213&gt;=DIE_B,"B","A")),""))))</f>
        <v/>
      </c>
      <c r="BG213" s="3">
        <f>IFERROR(VLOOKUP(F213,MOD_TBL,11,0),IFERROR(VLOOKUP(E213,OCU_TBL,2,0),NEUTRO))</f>
        <v/>
      </c>
      <c r="BH213" s="3">
        <f>SUMIFS(MOT_AJUSTE,MOT_MOTOR,G213,MOT_MARCA,E213,MOT_DESDE,"&lt;="&amp;M213,MOT_HASTA,"&gt;="&amp;M213)+SUMIFS(MOT_AJUSTE,MOT_MOTOR,G213,MOT_MARCA,"(todas)",MOT_DESDE,"&lt;="&amp;M213,MOT_HASTA,"&gt;="&amp;M213)</f>
        <v/>
      </c>
      <c r="BI213" s="3">
        <f>SUMIFS(COMB_AJUSTE,COMB_COMB,K213)</f>
        <v/>
      </c>
      <c r="BJ213" s="3">
        <f>COUNTIFS(MOT_MOTOR,G213,MOT_MARCA,E213,MOT_DESDE,"&lt;="&amp;M213,MOT_HASTA,"&gt;="&amp;M213)+COUNTIFS(MOT_MOTOR,G213,MOT_MARCA,"(todas)",MOT_DESDE,"&lt;="&amp;M213,MOT_HASTA,"&gt;="&amp;M213)</f>
        <v/>
      </c>
      <c r="BK213" s="3">
        <f>IF(AND(K213="diesel",BJ213=0),MIN(BG213,NEUTRO),BG213)</f>
        <v/>
      </c>
      <c r="BL213" s="4">
        <f>MAX(0,MIN(100,BK213+BH213+BI213))</f>
        <v/>
      </c>
      <c r="BM213" s="3">
        <f>MAX(0,MIN(100,50+BE213*PRECIO_PEND))</f>
        <v/>
      </c>
      <c r="BN213" s="3">
        <f>MAX(0,100*(1-N213/KM_MAX))</f>
        <v/>
      </c>
      <c r="BO213" s="3">
        <f>IF(AV213&lt;KMA_SOSP,IF(AA213="sí",100,KMA_PEN),IF(AV213&lt;=KMA_IDEAL_MAX,100,MAX(0,100*(KMA_CERO-AV213)/(KMA_CERO-KMA_IDEAL_MAX))))</f>
        <v/>
      </c>
      <c r="BP213" s="3">
        <f>MAX(0,MIN(100,100*(M213-ANIO_MIN)/(ANIO_ACTUAL-ANIO_MIN)))</f>
        <v/>
      </c>
      <c r="BQ213" s="3">
        <f>W_KMT*BN213+W_KMA*BO213+W_EDAD*BP213</f>
        <v/>
      </c>
      <c r="BR213" s="3">
        <f>P_ITV*(V213="sí")+P_LIBRO*(W213="sí")+P_CORREA*(X213="sí")+P_PROP*(Y213=1)+P_GAR*(Z213="sí")+P_FOTOS*MIN(1,N(U213)/FOTOS_OBJ)</f>
        <v/>
      </c>
      <c r="BS213" s="3">
        <f>IFERROR(VLOOKUP(BF213,ETQ_TBL,2,0),NEUTRO)</f>
        <v/>
      </c>
      <c r="BT213" s="3">
        <f>NEUTRO</f>
        <v/>
      </c>
      <c r="BU213" s="3">
        <f>IFERROR(VLOOKUP(L213,SEGURO_TBL,3,0),"")</f>
        <v/>
      </c>
      <c r="BV213" s="3">
        <f>IF(BU213="",NEUTRO,MAX(0,MIN(100,100*(SEG_REF_MAX-BU213)/(SEG_REF_MAX-SEG_REF_MIN))))</f>
        <v/>
      </c>
      <c r="BW213" s="3">
        <f>W_ET*BS213+W_CONS*BT213+W_SEG*BV213</f>
        <v/>
      </c>
      <c r="BX213" s="3">
        <f>IF(N(AB213)&gt;0,AB213,IF(AND(R213="profesional",SG_LEGAL_ON=1),GAR_LEGAL,0))</f>
        <v/>
      </c>
      <c r="BY213" s="3">
        <f>SG_GAR*MIN(1,BX213/SG_GAR_FULL)+SG_AMPL*(AC213="sí")+SG_KMC*(AF213="sí")+SG_REV*(N(AE213)&gt;0)+SG_DEV*MIN(1,N(AG213)/SG_DEV_FULL)+SG_HIST*(W213="sí")</f>
        <v/>
      </c>
      <c r="BZ213" s="3">
        <f>IFERROR(VLOOKUP(L213,CARR_PEN_TBL,2,0),0)</f>
        <v/>
      </c>
      <c r="CA213" s="3">
        <f>W_FIAB*BL213+W_PRECIO*BM213+W_KMEDAD*BQ213+W_ANUNCIO*BR213+W_USO*BW213+W_SEGURIDAD*BY213-BZ213</f>
        <v/>
      </c>
      <c r="CB213" s="4">
        <f>IF(N(I213)&gt;0,I213,IFERROR(ROUND(_xlfn.NUMBERVALUE(LEFT(G213,FIND(" ",G213&amp;" ")-1),".")*1000,0),99999))</f>
        <v/>
      </c>
      <c r="CC213" s="3">
        <f>IF(R213="profesional",0,IF(O213&lt;CUOTA_VALOR_MAX,IF(AU213&gt;ITP_TRAMO_ALTO,SUMIFS(CF_CUOTA,CF_MAS,ITP_TRAMO_ALTO,CF_CCMIN,"&lt;="&amp;CB213,CF_CCMAX,"&gt;="&amp;CB213),IF(AU213&gt;ITP_TRAMO_BAJO,SUMIFS(CF_CUOTA,CF_MAS,ITP_TRAMO_BAJO,CF_CCMIN,"&lt;="&amp;CB213,CF_CCMAX,"&gt;="&amp;CB213),O213*ITP_TIPO)),O213*ITP_TIPO))</f>
        <v/>
      </c>
      <c r="CD213" s="4">
        <f>IF(R213="profesional",N(AK213),0)</f>
        <v/>
      </c>
      <c r="CE213" s="3">
        <f>IF(AND(R213="profesional",ISNUMBER(AK213),AL213="sí"),0,TASA_DGT)</f>
        <v/>
      </c>
      <c r="CF213" s="3">
        <f>INFORME_DGT</f>
        <v/>
      </c>
      <c r="CG213" s="4">
        <f>O213+CD213+CC213+CE213+CF213</f>
        <v/>
      </c>
      <c r="CH213" s="4">
        <f>CG213+N(BU213)</f>
        <v/>
      </c>
      <c r="CI213" s="3">
        <f>IF(CG213&lt;=TOTAL_MAX,"sí",IF(CG213&lt;=TOTAL_MAX+MARGEN_NEG,"negociar","no"))</f>
        <v/>
      </c>
      <c r="CJ213" s="4">
        <f>IF(CI213&lt;&gt;"no",COUNTIFS($CI$2:$CI$662,"&lt;&gt;no",$CA$2:$CA$662,"&gt;"&amp;CA213)+COUNTIFS($CI$2:CI213,"&lt;&gt;no",$CA$2:CA213,CA213),"")</f>
        <v/>
      </c>
    </row>
    <row r="214">
      <c r="A214" s="2" t="inlineStr">
        <is>
          <t>ocasionplus:2006</t>
        </is>
      </c>
      <c r="B214" s="2" t="inlineStr">
        <is>
          <t>ocasionplus</t>
        </is>
      </c>
      <c r="C214" s="2" t="inlineStr">
        <is>
          <t>https://www.ocasionplus.com/coches-segunda-mano/fiat-panda-12-dynamic-con-213136km-2006</t>
        </is>
      </c>
      <c r="D214" s="2" t="inlineStr">
        <is>
          <t>Fiat Panda 1.2 Dynamic (60 CV)</t>
        </is>
      </c>
      <c r="E214" s="2" t="inlineStr">
        <is>
          <t>Fiat</t>
        </is>
      </c>
      <c r="F214" s="2" t="inlineStr">
        <is>
          <t>Fiat Panda</t>
        </is>
      </c>
      <c r="G214" s="2" t="inlineStr">
        <is>
          <t>1.2</t>
        </is>
      </c>
      <c r="H214" s="2" t="inlineStr">
        <is>
          <t>Fiat Panda 1.2 Dynamic (60 CV)</t>
        </is>
      </c>
      <c r="I214" s="2" t="n">
        <v>1242</v>
      </c>
      <c r="J214" s="2" t="n">
        <v>60</v>
      </c>
      <c r="K214" s="2" t="inlineStr">
        <is>
          <t>gasolina</t>
        </is>
      </c>
      <c r="L214" s="2" t="inlineStr">
        <is>
          <t>utilitario</t>
        </is>
      </c>
      <c r="M214" s="2" t="n">
        <v>2006</v>
      </c>
      <c r="N214" s="2" t="n">
        <v>213136</v>
      </c>
      <c r="O214" s="2" t="n">
        <v>2200</v>
      </c>
      <c r="P214" s="2" t="inlineStr">
        <is>
          <t>manual</t>
        </is>
      </c>
      <c r="Q214" s="2" t="inlineStr">
        <is>
          <t>no</t>
        </is>
      </c>
      <c r="R214" s="2" t="inlineStr">
        <is>
          <t>profesional</t>
        </is>
      </c>
      <c r="S214" s="2" t="inlineStr">
        <is>
          <t>Valencia - Alzira (Alzira, 46600)</t>
        </is>
      </c>
      <c r="T214" s="2" t="inlineStr">
        <is>
          <t>2024-05-07T13:27:20.000Z</t>
        </is>
      </c>
      <c r="U214" s="2" t="n">
        <v>23</v>
      </c>
      <c r="V214" s="2" t="inlineStr">
        <is>
          <t>sí</t>
        </is>
      </c>
      <c r="W214" s="2" t="n"/>
      <c r="X214" s="2" t="n"/>
      <c r="Y214" s="2" t="n">
        <v>0</v>
      </c>
      <c r="Z214" s="2" t="n"/>
      <c r="AA214" s="2" t="n"/>
      <c r="AB214" s="2" t="n"/>
      <c r="AC214" s="2" t="inlineStr">
        <is>
          <t>sí</t>
        </is>
      </c>
      <c r="AD214" s="2" t="n">
        <v>500</v>
      </c>
      <c r="AE214" s="2" t="n"/>
      <c r="AF214" s="2" t="inlineStr">
        <is>
          <t>sí</t>
        </is>
      </c>
      <c r="AG214" s="2" t="n"/>
      <c r="AH214" s="2" t="n">
        <v>2200</v>
      </c>
      <c r="AI214" s="2" t="n">
        <v>2200</v>
      </c>
      <c r="AJ214" s="2" t="inlineStr">
        <is>
          <t>no</t>
        </is>
      </c>
      <c r="AK214" s="2" t="n">
        <v>350</v>
      </c>
      <c r="AL214" s="2" t="inlineStr">
        <is>
          <t>sí</t>
        </is>
      </c>
      <c r="AM214" s="2" t="n">
        <v>35.7</v>
      </c>
      <c r="AN214" s="2" t="n"/>
      <c r="AO214" s="2" t="n"/>
      <c r="AP214" s="2" t="n"/>
      <c r="AQ214" s="2" t="n"/>
      <c r="AR214" s="2" t="inlineStr">
        <is>
          <t>vendedor profesional: sin ITP (operación con IVA/REBU, confirmar en factura); mediana con solo 1 anuncio(s)</t>
        </is>
      </c>
      <c r="AS214" s="2" t="inlineStr">
        <is>
          <t>Fiat Panda 1.2 Dynamic (60 CV)</t>
        </is>
      </c>
      <c r="AT214" s="2" t="inlineStr">
        <is>
          <t>https://www.ocasionplus.com/coches-segunda-mano/fiat-panda-12-dynamic-con-213136km-2006 (payload RSC 'vehicle') /home/user/Alopecia/buscador-coches/raw/ocasionplus/36fb1d575186ed5c.json</t>
        </is>
      </c>
      <c r="AU214" s="3">
        <f>MAX(ANIO_ACTUAL-M214,0)</f>
        <v/>
      </c>
      <c r="AV214" s="4">
        <f>N214/MAX(AU214,0.5)</f>
        <v/>
      </c>
      <c r="AW214" s="4">
        <f>F214</f>
        <v/>
      </c>
      <c r="AX214" s="3">
        <f>AW214&amp;"|"&amp;INT(M214/SEG_ANIO)*SEG_ANIO</f>
        <v/>
      </c>
      <c r="AY214" s="3">
        <f>AX214&amp;"|"&amp;INT(N214/SEG_KM)*SEG_KM</f>
        <v/>
      </c>
      <c r="AZ214" s="4">
        <f>COUNTIF($AW$2:$AW$662,AW214)</f>
        <v/>
      </c>
      <c r="BA214" s="4">
        <f>COUNTIF($AX$2:$AX$662,AX214)</f>
        <v/>
      </c>
      <c r="BB214" s="4">
        <f>COUNTIF($AY$2:$AY$662,AY214)</f>
        <v/>
      </c>
      <c r="BC214" s="3">
        <f t="array" ref="BC214">IF(N(AO214)&gt;=MIN_N,AN214,IF(BB214&gt;=MIN_N,MEDIAN(IF($AY$2:$AY$662=AY214,$O$2:$O$662)),IF(BA214&gt;=MIN_N,MEDIAN(IF($AX$2:$AX$662=AX214,$O$2:$O$662)),MEDIAN(IF($AW$2:$AW$662=AW214,$O$2:$O$662)))))</f>
        <v/>
      </c>
      <c r="BD214" s="3">
        <f>IF(N(AO214)&gt;=MIN_N,"mercado "&amp;AP214,IF(BB214&gt;=MIN_N,"modelo+año+km",IF(BA214&gt;=MIN_N,"modelo+año","modelo")))</f>
        <v/>
      </c>
      <c r="BE214" s="4">
        <f>(BC214-O214)/BC214</f>
        <v/>
      </c>
      <c r="BF214" s="3">
        <f>IF(OR(K214="hibrido",K214="glp"),"ECO",IF(K214="electrico","CERO",IF(K214="gasolina",IF(M214&gt;=GAS_C,"C",IF(M214&gt;=GAS_B,"B","A")),IF(K214="diesel",IF(M214&gt;=DIE_C,"C",IF(M214&gt;=DIE_B,"B","A")),""))))</f>
        <v/>
      </c>
      <c r="BG214" s="3">
        <f>IFERROR(VLOOKUP(F214,MOD_TBL,11,0),IFERROR(VLOOKUP(E214,OCU_TBL,2,0),NEUTRO))</f>
        <v/>
      </c>
      <c r="BH214" s="3">
        <f>SUMIFS(MOT_AJUSTE,MOT_MOTOR,G214,MOT_MARCA,E214,MOT_DESDE,"&lt;="&amp;M214,MOT_HASTA,"&gt;="&amp;M214)+SUMIFS(MOT_AJUSTE,MOT_MOTOR,G214,MOT_MARCA,"(todas)",MOT_DESDE,"&lt;="&amp;M214,MOT_HASTA,"&gt;="&amp;M214)</f>
        <v/>
      </c>
      <c r="BI214" s="3">
        <f>SUMIFS(COMB_AJUSTE,COMB_COMB,K214)</f>
        <v/>
      </c>
      <c r="BJ214" s="3">
        <f>COUNTIFS(MOT_MOTOR,G214,MOT_MARCA,E214,MOT_DESDE,"&lt;="&amp;M214,MOT_HASTA,"&gt;="&amp;M214)+COUNTIFS(MOT_MOTOR,G214,MOT_MARCA,"(todas)",MOT_DESDE,"&lt;="&amp;M214,MOT_HASTA,"&gt;="&amp;M214)</f>
        <v/>
      </c>
      <c r="BK214" s="3">
        <f>IF(AND(K214="diesel",BJ214=0),MIN(BG214,NEUTRO),BG214)</f>
        <v/>
      </c>
      <c r="BL214" s="4">
        <f>MAX(0,MIN(100,BK214+BH214+BI214))</f>
        <v/>
      </c>
      <c r="BM214" s="3">
        <f>MAX(0,MIN(100,50+BE214*PRECIO_PEND))</f>
        <v/>
      </c>
      <c r="BN214" s="3">
        <f>MAX(0,100*(1-N214/KM_MAX))</f>
        <v/>
      </c>
      <c r="BO214" s="3">
        <f>IF(AV214&lt;KMA_SOSP,IF(AA214="sí",100,KMA_PEN),IF(AV214&lt;=KMA_IDEAL_MAX,100,MAX(0,100*(KMA_CERO-AV214)/(KMA_CERO-KMA_IDEAL_MAX))))</f>
        <v/>
      </c>
      <c r="BP214" s="3">
        <f>MAX(0,MIN(100,100*(M214-ANIO_MIN)/(ANIO_ACTUAL-ANIO_MIN)))</f>
        <v/>
      </c>
      <c r="BQ214" s="3">
        <f>W_KMT*BN214+W_KMA*BO214+W_EDAD*BP214</f>
        <v/>
      </c>
      <c r="BR214" s="3">
        <f>P_ITV*(V214="sí")+P_LIBRO*(W214="sí")+P_CORREA*(X214="sí")+P_PROP*(Y214=1)+P_GAR*(Z214="sí")+P_FOTOS*MIN(1,N(U214)/FOTOS_OBJ)</f>
        <v/>
      </c>
      <c r="BS214" s="3">
        <f>IFERROR(VLOOKUP(BF214,ETQ_TBL,2,0),NEUTRO)</f>
        <v/>
      </c>
      <c r="BT214" s="3">
        <f>NEUTRO</f>
        <v/>
      </c>
      <c r="BU214" s="3">
        <f>IFERROR(VLOOKUP(L214,SEGURO_TBL,3,0),"")</f>
        <v/>
      </c>
      <c r="BV214" s="3">
        <f>IF(BU214="",NEUTRO,MAX(0,MIN(100,100*(SEG_REF_MAX-BU214)/(SEG_REF_MAX-SEG_REF_MIN))))</f>
        <v/>
      </c>
      <c r="BW214" s="3">
        <f>W_ET*BS214+W_CONS*BT214+W_SEG*BV214</f>
        <v/>
      </c>
      <c r="BX214" s="3">
        <f>IF(N(AB214)&gt;0,AB214,IF(AND(R214="profesional",SG_LEGAL_ON=1),GAR_LEGAL,0))</f>
        <v/>
      </c>
      <c r="BY214" s="3">
        <f>SG_GAR*MIN(1,BX214/SG_GAR_FULL)+SG_AMPL*(AC214="sí")+SG_KMC*(AF214="sí")+SG_REV*(N(AE214)&gt;0)+SG_DEV*MIN(1,N(AG214)/SG_DEV_FULL)+SG_HIST*(W214="sí")</f>
        <v/>
      </c>
      <c r="BZ214" s="3">
        <f>IFERROR(VLOOKUP(L214,CARR_PEN_TBL,2,0),0)</f>
        <v/>
      </c>
      <c r="CA214" s="3">
        <f>W_FIAB*BL214+W_PRECIO*BM214+W_KMEDAD*BQ214+W_ANUNCIO*BR214+W_USO*BW214+W_SEGURIDAD*BY214-BZ214</f>
        <v/>
      </c>
      <c r="CB214" s="4">
        <f>IF(N(I214)&gt;0,I214,IFERROR(ROUND(_xlfn.NUMBERVALUE(LEFT(G214,FIND(" ",G214&amp;" ")-1),".")*1000,0),99999))</f>
        <v/>
      </c>
      <c r="CC214" s="3">
        <f>IF(R214="profesional",0,IF(O214&lt;CUOTA_VALOR_MAX,IF(AU214&gt;ITP_TRAMO_ALTO,SUMIFS(CF_CUOTA,CF_MAS,ITP_TRAMO_ALTO,CF_CCMIN,"&lt;="&amp;CB214,CF_CCMAX,"&gt;="&amp;CB214),IF(AU214&gt;ITP_TRAMO_BAJO,SUMIFS(CF_CUOTA,CF_MAS,ITP_TRAMO_BAJO,CF_CCMIN,"&lt;="&amp;CB214,CF_CCMAX,"&gt;="&amp;CB214),O214*ITP_TIPO)),O214*ITP_TIPO))</f>
        <v/>
      </c>
      <c r="CD214" s="4">
        <f>IF(R214="profesional",N(AK214),0)</f>
        <v/>
      </c>
      <c r="CE214" s="3">
        <f>IF(AND(R214="profesional",ISNUMBER(AK214),AL214="sí"),0,TASA_DGT)</f>
        <v/>
      </c>
      <c r="CF214" s="3">
        <f>INFORME_DGT</f>
        <v/>
      </c>
      <c r="CG214" s="4">
        <f>O214+CD214+CC214+CE214+CF214</f>
        <v/>
      </c>
      <c r="CH214" s="4">
        <f>CG214+N(BU214)</f>
        <v/>
      </c>
      <c r="CI214" s="3">
        <f>IF(CG214&lt;=TOTAL_MAX,"sí",IF(CG214&lt;=TOTAL_MAX+MARGEN_NEG,"negociar","no"))</f>
        <v/>
      </c>
      <c r="CJ214" s="4">
        <f>IF(CI214&lt;&gt;"no",COUNTIFS($CI$2:$CI$662,"&lt;&gt;no",$CA$2:$CA$662,"&gt;"&amp;CA214)+COUNTIFS($CI$2:CI214,"&lt;&gt;no",$CA$2:CA214,CA214),"")</f>
        <v/>
      </c>
    </row>
    <row r="215">
      <c r="A215" s="2" t="inlineStr">
        <is>
          <t>autoscout24:b781a865-5dae-49bf-a729-21dc60e62642</t>
        </is>
      </c>
      <c r="B215" s="2" t="inlineStr">
        <is>
          <t>autoscout24</t>
        </is>
      </c>
      <c r="C215" s="2" t="inlineStr">
        <is>
          <t>https://www.autoscout24.es/anuncios/toyota-aygo-edition-gasolina-cat_ma70mo18655-b781a865-5dae-49bf-a729-21dc60e62642</t>
        </is>
      </c>
      <c r="D215" s="2" t="inlineStr">
        <is>
          <t>Toyota Aygo Edition</t>
        </is>
      </c>
      <c r="E215" s="2" t="inlineStr">
        <is>
          <t>Toyota</t>
        </is>
      </c>
      <c r="F215" s="2" t="inlineStr">
        <is>
          <t>Toyota Aygo</t>
        </is>
      </c>
      <c r="G215" s="2" t="inlineStr">
        <is>
          <t>1.0</t>
        </is>
      </c>
      <c r="H215" s="2" t="inlineStr">
        <is>
          <t>Edition</t>
        </is>
      </c>
      <c r="I215" s="2" t="n">
        <v>998</v>
      </c>
      <c r="J215" s="2" t="n">
        <v>68</v>
      </c>
      <c r="K215" s="2" t="inlineStr">
        <is>
          <t>gasolina</t>
        </is>
      </c>
      <c r="L215" s="2" t="inlineStr">
        <is>
          <t>utilitario</t>
        </is>
      </c>
      <c r="M215" s="2" t="n">
        <v>2011</v>
      </c>
      <c r="N215" s="2" t="n">
        <v>132000</v>
      </c>
      <c r="O215" s="2" t="n">
        <v>4999</v>
      </c>
      <c r="P215" s="2" t="inlineStr">
        <is>
          <t>manual</t>
        </is>
      </c>
      <c r="Q215" s="2" t="inlineStr">
        <is>
          <t>no</t>
        </is>
      </c>
      <c r="R215" s="2" t="inlineStr">
        <is>
          <t>particular</t>
        </is>
      </c>
      <c r="S215" s="2" t="inlineStr">
        <is>
          <t>oliva (46780)</t>
        </is>
      </c>
      <c r="T215" s="2" t="n"/>
      <c r="U215" s="2" t="n">
        <v>13</v>
      </c>
      <c r="V215" s="2" t="n"/>
      <c r="W215" s="2" t="n"/>
      <c r="X215" s="2" t="n"/>
      <c r="Y215" s="2" t="n"/>
      <c r="Z215" s="2" t="n"/>
      <c r="AA215" s="2" t="n"/>
      <c r="AB215" s="2" t="n"/>
      <c r="AC215" s="2" t="n"/>
      <c r="AD215" s="2" t="n"/>
      <c r="AE215" s="2" t="n"/>
      <c r="AF215" s="2" t="n"/>
      <c r="AG215" s="2" t="n"/>
      <c r="AH215" s="2" t="n"/>
      <c r="AI215" s="2" t="n"/>
      <c r="AJ215" s="2" t="n"/>
      <c r="AK215" s="2" t="n"/>
      <c r="AL215" s="2" t="n"/>
      <c r="AM215" s="2" t="n">
        <v>65</v>
      </c>
      <c r="AN215" s="2" t="n">
        <v>5944.5</v>
      </c>
      <c r="AO215" s="2" t="n">
        <v>4</v>
      </c>
      <c r="AP215" s="2" t="inlineStr">
        <is>
          <t>modelo+año</t>
        </is>
      </c>
      <c r="AQ215" s="2" t="n"/>
      <c r="AR215" s="2" t="inlineStr">
        <is>
          <t>por encima del presupuesto (5103 €), negociar; cuota fija ITP: &gt;12 años, hasta 1.500 cc</t>
        </is>
      </c>
      <c r="AS215" s="2" t="inlineStr">
        <is>
          <t>🚙 TOYOTA AYGO 1.0 GASOLINA – 68 CV – AÑO 2011&lt;br /&gt;&lt;br /&gt;Toyota Aygo compacto, económico y muy práctico. Ideal para ciudad, trayectos diarios o como primer coche. Fácil de conducir, sencillo de aparcar y con un motor de gasolina fiable y de bajo consumo.&lt;br /&gt;&lt;br /&gt;✅ Primera matriculación: 10/2011&lt;br /&gt;✅ Motor: 1.0 gasolina – 998 cm³&lt;br /&gt;✅ Potencia: 68 CV / 50 kW&lt;br /&gt;✅ Cambio manual de 5 velocidades&lt;br /&gt;✅ 5 puertas&lt;br /&gt;✅ 4 plazas&lt;br /&gt;✅ Norma de emisiones Euro 5&lt;br /&gt;✅ Color azul metalizado&lt;br /&gt;&lt;br /&gt;Vehículo práctico, manejable y con costes de mantenimiento reducidos.&lt;br /&gt;&lt;br /&gt;📍 Oliva (Valencia)</t>
        </is>
      </c>
      <c r="AT215" s="2" t="inlineStr">
        <is>
          <t>https://www.autoscout24.es/anuncios/toyota-aygo-edition-gasolina-cat_ma70mo18655-b781a865-5dae-49bf-a729-21dc60e62642 (__NEXT_DATA__ listingDetails) /home/user/Alopecia/buscador-coches/raw/autoscout24/364269bbf63f8a2f.json</t>
        </is>
      </c>
      <c r="AU215" s="3">
        <f>MAX(ANIO_ACTUAL-M215,0)</f>
        <v/>
      </c>
      <c r="AV215" s="4">
        <f>N215/MAX(AU215,0.5)</f>
        <v/>
      </c>
      <c r="AW215" s="4">
        <f>F215</f>
        <v/>
      </c>
      <c r="AX215" s="3">
        <f>AW215&amp;"|"&amp;INT(M215/SEG_ANIO)*SEG_ANIO</f>
        <v/>
      </c>
      <c r="AY215" s="3">
        <f>AX215&amp;"|"&amp;INT(N215/SEG_KM)*SEG_KM</f>
        <v/>
      </c>
      <c r="AZ215" s="4">
        <f>COUNTIF($AW$2:$AW$662,AW215)</f>
        <v/>
      </c>
      <c r="BA215" s="4">
        <f>COUNTIF($AX$2:$AX$662,AX215)</f>
        <v/>
      </c>
      <c r="BB215" s="4">
        <f>COUNTIF($AY$2:$AY$662,AY215)</f>
        <v/>
      </c>
      <c r="BC215" s="3">
        <f t="array" ref="BC215">IF(N(AO215)&gt;=MIN_N,AN215,IF(BB215&gt;=MIN_N,MEDIAN(IF($AY$2:$AY$662=AY215,$O$2:$O$662)),IF(BA215&gt;=MIN_N,MEDIAN(IF($AX$2:$AX$662=AX215,$O$2:$O$662)),MEDIAN(IF($AW$2:$AW$662=AW215,$O$2:$O$662)))))</f>
        <v/>
      </c>
      <c r="BD215" s="3">
        <f>IF(N(AO215)&gt;=MIN_N,"mercado "&amp;AP215,IF(BB215&gt;=MIN_N,"modelo+año+km",IF(BA215&gt;=MIN_N,"modelo+año","modelo")))</f>
        <v/>
      </c>
      <c r="BE215" s="4">
        <f>(BC215-O215)/BC215</f>
        <v/>
      </c>
      <c r="BF215" s="3">
        <f>IF(OR(K215="hibrido",K215="glp"),"ECO",IF(K215="electrico","CERO",IF(K215="gasolina",IF(M215&gt;=GAS_C,"C",IF(M215&gt;=GAS_B,"B","A")),IF(K215="diesel",IF(M215&gt;=DIE_C,"C",IF(M215&gt;=DIE_B,"B","A")),""))))</f>
        <v/>
      </c>
      <c r="BG215" s="3">
        <f>IFERROR(VLOOKUP(F215,MOD_TBL,11,0),IFERROR(VLOOKUP(E215,OCU_TBL,2,0),NEUTRO))</f>
        <v/>
      </c>
      <c r="BH215" s="3">
        <f>SUMIFS(MOT_AJUSTE,MOT_MOTOR,G215,MOT_MARCA,E215,MOT_DESDE,"&lt;="&amp;M215,MOT_HASTA,"&gt;="&amp;M215)+SUMIFS(MOT_AJUSTE,MOT_MOTOR,G215,MOT_MARCA,"(todas)",MOT_DESDE,"&lt;="&amp;M215,MOT_HASTA,"&gt;="&amp;M215)</f>
        <v/>
      </c>
      <c r="BI215" s="3">
        <f>SUMIFS(COMB_AJUSTE,COMB_COMB,K215)</f>
        <v/>
      </c>
      <c r="BJ215" s="3">
        <f>COUNTIFS(MOT_MOTOR,G215,MOT_MARCA,E215,MOT_DESDE,"&lt;="&amp;M215,MOT_HASTA,"&gt;="&amp;M215)+COUNTIFS(MOT_MOTOR,G215,MOT_MARCA,"(todas)",MOT_DESDE,"&lt;="&amp;M215,MOT_HASTA,"&gt;="&amp;M215)</f>
        <v/>
      </c>
      <c r="BK215" s="3">
        <f>IF(AND(K215="diesel",BJ215=0),MIN(BG215,NEUTRO),BG215)</f>
        <v/>
      </c>
      <c r="BL215" s="4">
        <f>MAX(0,MIN(100,BK215+BH215+BI215))</f>
        <v/>
      </c>
      <c r="BM215" s="3">
        <f>MAX(0,MIN(100,50+BE215*PRECIO_PEND))</f>
        <v/>
      </c>
      <c r="BN215" s="3">
        <f>MAX(0,100*(1-N215/KM_MAX))</f>
        <v/>
      </c>
      <c r="BO215" s="3">
        <f>IF(AV215&lt;KMA_SOSP,IF(AA215="sí",100,KMA_PEN),IF(AV215&lt;=KMA_IDEAL_MAX,100,MAX(0,100*(KMA_CERO-AV215)/(KMA_CERO-KMA_IDEAL_MAX))))</f>
        <v/>
      </c>
      <c r="BP215" s="3">
        <f>MAX(0,MIN(100,100*(M215-ANIO_MIN)/(ANIO_ACTUAL-ANIO_MIN)))</f>
        <v/>
      </c>
      <c r="BQ215" s="3">
        <f>W_KMT*BN215+W_KMA*BO215+W_EDAD*BP215</f>
        <v/>
      </c>
      <c r="BR215" s="3">
        <f>P_ITV*(V215="sí")+P_LIBRO*(W215="sí")+P_CORREA*(X215="sí")+P_PROP*(Y215=1)+P_GAR*(Z215="sí")+P_FOTOS*MIN(1,N(U215)/FOTOS_OBJ)</f>
        <v/>
      </c>
      <c r="BS215" s="3">
        <f>IFERROR(VLOOKUP(BF215,ETQ_TBL,2,0),NEUTRO)</f>
        <v/>
      </c>
      <c r="BT215" s="3">
        <f>NEUTRO</f>
        <v/>
      </c>
      <c r="BU215" s="3">
        <f>IFERROR(VLOOKUP(L215,SEGURO_TBL,3,0),"")</f>
        <v/>
      </c>
      <c r="BV215" s="3">
        <f>IF(BU215="",NEUTRO,MAX(0,MIN(100,100*(SEG_REF_MAX-BU215)/(SEG_REF_MAX-SEG_REF_MIN))))</f>
        <v/>
      </c>
      <c r="BW215" s="3">
        <f>W_ET*BS215+W_CONS*BT215+W_SEG*BV215</f>
        <v/>
      </c>
      <c r="BX215" s="3">
        <f>IF(N(AB215)&gt;0,AB215,IF(AND(R215="profesional",SG_LEGAL_ON=1),GAR_LEGAL,0))</f>
        <v/>
      </c>
      <c r="BY215" s="3">
        <f>SG_GAR*MIN(1,BX215/SG_GAR_FULL)+SG_AMPL*(AC215="sí")+SG_KMC*(AF215="sí")+SG_REV*(N(AE215)&gt;0)+SG_DEV*MIN(1,N(AG215)/SG_DEV_FULL)+SG_HIST*(W215="sí")</f>
        <v/>
      </c>
      <c r="BZ215" s="3">
        <f>IFERROR(VLOOKUP(L215,CARR_PEN_TBL,2,0),0)</f>
        <v/>
      </c>
      <c r="CA215" s="3">
        <f>W_FIAB*BL215+W_PRECIO*BM215+W_KMEDAD*BQ215+W_ANUNCIO*BR215+W_USO*BW215+W_SEGURIDAD*BY215-BZ215</f>
        <v/>
      </c>
      <c r="CB215" s="4">
        <f>IF(N(I215)&gt;0,I215,IFERROR(ROUND(_xlfn.NUMBERVALUE(LEFT(G215,FIND(" ",G215&amp;" ")-1),".")*1000,0),99999))</f>
        <v/>
      </c>
      <c r="CC215" s="3">
        <f>IF(R215="profesional",0,IF(O215&lt;CUOTA_VALOR_MAX,IF(AU215&gt;ITP_TRAMO_ALTO,SUMIFS(CF_CUOTA,CF_MAS,ITP_TRAMO_ALTO,CF_CCMIN,"&lt;="&amp;CB215,CF_CCMAX,"&gt;="&amp;CB215),IF(AU215&gt;ITP_TRAMO_BAJO,SUMIFS(CF_CUOTA,CF_MAS,ITP_TRAMO_BAJO,CF_CCMIN,"&lt;="&amp;CB215,CF_CCMAX,"&gt;="&amp;CB215),O215*ITP_TIPO)),O215*ITP_TIPO))</f>
        <v/>
      </c>
      <c r="CD215" s="4">
        <f>IF(R215="profesional",N(AK215),0)</f>
        <v/>
      </c>
      <c r="CE215" s="3">
        <f>IF(AND(R215="profesional",ISNUMBER(AK215),AL215="sí"),0,TASA_DGT)</f>
        <v/>
      </c>
      <c r="CF215" s="3">
        <f>INFORME_DGT</f>
        <v/>
      </c>
      <c r="CG215" s="4">
        <f>O215+CD215+CC215+CE215+CF215</f>
        <v/>
      </c>
      <c r="CH215" s="4">
        <f>CG215+N(BU215)</f>
        <v/>
      </c>
      <c r="CI215" s="3">
        <f>IF(CG215&lt;=TOTAL_MAX,"sí",IF(CG215&lt;=TOTAL_MAX+MARGEN_NEG,"negociar","no"))</f>
        <v/>
      </c>
      <c r="CJ215" s="4">
        <f>IF(CI215&lt;&gt;"no",COUNTIFS($CI$2:$CI$662,"&lt;&gt;no",$CA$2:$CA$662,"&gt;"&amp;CA215)+COUNTIFS($CI$2:CI215,"&lt;&gt;no",$CA$2:CA215,CA215),"")</f>
        <v/>
      </c>
    </row>
    <row r="216">
      <c r="A216" s="2" t="inlineStr">
        <is>
          <t>autoscout24:1a5a1cfa-8aa2-4eb2-becc-bd32ed1bb345</t>
        </is>
      </c>
      <c r="B216" s="2" t="inlineStr">
        <is>
          <t>autoscout24</t>
        </is>
      </c>
      <c r="C216" s="2" t="inlineStr">
        <is>
          <t>https://www.autoscout24.es/anuncios/toyota-avensis-wagon-1-8-sol-gasolina-cat_ma70mo15230-1a5a1cfa-8aa2-4eb2-becc-bd32ed1bb345</t>
        </is>
      </c>
      <c r="D216" s="2" t="inlineStr">
        <is>
          <t>Toyota Avensis Wagon 1.8 Sol</t>
        </is>
      </c>
      <c r="E216" s="2" t="inlineStr">
        <is>
          <t>Toyota</t>
        </is>
      </c>
      <c r="F216" s="2" t="inlineStr">
        <is>
          <t>Toyota Avensis</t>
        </is>
      </c>
      <c r="G216" s="2" t="inlineStr">
        <is>
          <t>1.8</t>
        </is>
      </c>
      <c r="H216" s="2" t="inlineStr">
        <is>
          <t>Wagon 1.8 Sol 1.8</t>
        </is>
      </c>
      <c r="I216" s="2" t="n">
        <v>1794</v>
      </c>
      <c r="J216" s="2" t="n">
        <v>129</v>
      </c>
      <c r="K216" s="2" t="inlineStr">
        <is>
          <t>gasolina</t>
        </is>
      </c>
      <c r="L216" s="2" t="inlineStr">
        <is>
          <t>berlina</t>
        </is>
      </c>
      <c r="M216" s="2" t="n">
        <v>2007</v>
      </c>
      <c r="N216" s="2" t="n">
        <v>145000</v>
      </c>
      <c r="O216" s="2" t="n">
        <v>3000</v>
      </c>
      <c r="P216" s="2" t="inlineStr">
        <is>
          <t>manual</t>
        </is>
      </c>
      <c r="Q216" s="2" t="inlineStr">
        <is>
          <t>no</t>
        </is>
      </c>
      <c r="R216" s="2" t="inlineStr">
        <is>
          <t>particular</t>
        </is>
      </c>
      <c r="S216" s="2" t="inlineStr">
        <is>
          <t>la Pobla Llarga (46670)</t>
        </is>
      </c>
      <c r="T216" s="2" t="n"/>
      <c r="U216" s="2" t="n">
        <v>18</v>
      </c>
      <c r="V216" s="2" t="n"/>
      <c r="W216" s="2" t="n"/>
      <c r="X216" s="2" t="n"/>
      <c r="Y216" s="2" t="n"/>
      <c r="Z216" s="2" t="n"/>
      <c r="AA216" s="2" t="n"/>
      <c r="AB216" s="2" t="n"/>
      <c r="AC216" s="2" t="n"/>
      <c r="AD216" s="2" t="n"/>
      <c r="AE216" s="2" t="n"/>
      <c r="AF216" s="2" t="n"/>
      <c r="AG216" s="2" t="n"/>
      <c r="AH216" s="2" t="n"/>
      <c r="AI216" s="2" t="n"/>
      <c r="AJ216" s="2" t="n"/>
      <c r="AK216" s="2" t="n"/>
      <c r="AL216" s="2" t="n"/>
      <c r="AM216" s="2" t="n">
        <v>43.5</v>
      </c>
      <c r="AN216" s="2" t="n">
        <v>4399</v>
      </c>
      <c r="AO216" s="2" t="n">
        <v>7</v>
      </c>
      <c r="AP216" s="2" t="inlineStr">
        <is>
          <t>modelo+año</t>
        </is>
      </c>
      <c r="AQ216" s="2" t="n"/>
      <c r="AR216" s="2" t="inlineStr">
        <is>
          <t>cuota fija ITP: &gt;12 años, 1.501-2.000 cc; carrocería berlina: -4 puntos</t>
        </is>
      </c>
      <c r="AS216" s="2" t="inlineStr"/>
      <c r="AT216" s="2" t="inlineStr">
        <is>
          <t>https://www.autoscout24.es/anuncios/toyota-avensis-wagon-1-8-sol-gasolina-cat_ma70mo15230-1a5a1cfa-8aa2-4eb2-becc-bd32ed1bb345 (__NEXT_DATA__ listingDetails) /home/user/Alopecia/buscador-coches/raw/autoscout24/7f41ccd0e5138a74.json</t>
        </is>
      </c>
      <c r="AU216" s="3">
        <f>MAX(ANIO_ACTUAL-M216,0)</f>
        <v/>
      </c>
      <c r="AV216" s="4">
        <f>N216/MAX(AU216,0.5)</f>
        <v/>
      </c>
      <c r="AW216" s="4">
        <f>F216</f>
        <v/>
      </c>
      <c r="AX216" s="3">
        <f>AW216&amp;"|"&amp;INT(M216/SEG_ANIO)*SEG_ANIO</f>
        <v/>
      </c>
      <c r="AY216" s="3">
        <f>AX216&amp;"|"&amp;INT(N216/SEG_KM)*SEG_KM</f>
        <v/>
      </c>
      <c r="AZ216" s="4">
        <f>COUNTIF($AW$2:$AW$662,AW216)</f>
        <v/>
      </c>
      <c r="BA216" s="4">
        <f>COUNTIF($AX$2:$AX$662,AX216)</f>
        <v/>
      </c>
      <c r="BB216" s="4">
        <f>COUNTIF($AY$2:$AY$662,AY216)</f>
        <v/>
      </c>
      <c r="BC216" s="3">
        <f t="array" ref="BC216">IF(N(AO216)&gt;=MIN_N,AN216,IF(BB216&gt;=MIN_N,MEDIAN(IF($AY$2:$AY$662=AY216,$O$2:$O$662)),IF(BA216&gt;=MIN_N,MEDIAN(IF($AX$2:$AX$662=AX216,$O$2:$O$662)),MEDIAN(IF($AW$2:$AW$662=AW216,$O$2:$O$662)))))</f>
        <v/>
      </c>
      <c r="BD216" s="3">
        <f>IF(N(AO216)&gt;=MIN_N,"mercado "&amp;AP216,IF(BB216&gt;=MIN_N,"modelo+año+km",IF(BA216&gt;=MIN_N,"modelo+año","modelo")))</f>
        <v/>
      </c>
      <c r="BE216" s="4">
        <f>(BC216-O216)/BC216</f>
        <v/>
      </c>
      <c r="BF216" s="3">
        <f>IF(OR(K216="hibrido",K216="glp"),"ECO",IF(K216="electrico","CERO",IF(K216="gasolina",IF(M216&gt;=GAS_C,"C",IF(M216&gt;=GAS_B,"B","A")),IF(K216="diesel",IF(M216&gt;=DIE_C,"C",IF(M216&gt;=DIE_B,"B","A")),""))))</f>
        <v/>
      </c>
      <c r="BG216" s="3">
        <f>IFERROR(VLOOKUP(F216,MOD_TBL,11,0),IFERROR(VLOOKUP(E216,OCU_TBL,2,0),NEUTRO))</f>
        <v/>
      </c>
      <c r="BH216" s="3">
        <f>SUMIFS(MOT_AJUSTE,MOT_MOTOR,G216,MOT_MARCA,E216,MOT_DESDE,"&lt;="&amp;M216,MOT_HASTA,"&gt;="&amp;M216)+SUMIFS(MOT_AJUSTE,MOT_MOTOR,G216,MOT_MARCA,"(todas)",MOT_DESDE,"&lt;="&amp;M216,MOT_HASTA,"&gt;="&amp;M216)</f>
        <v/>
      </c>
      <c r="BI216" s="3">
        <f>SUMIFS(COMB_AJUSTE,COMB_COMB,K216)</f>
        <v/>
      </c>
      <c r="BJ216" s="3">
        <f>COUNTIFS(MOT_MOTOR,G216,MOT_MARCA,E216,MOT_DESDE,"&lt;="&amp;M216,MOT_HASTA,"&gt;="&amp;M216)+COUNTIFS(MOT_MOTOR,G216,MOT_MARCA,"(todas)",MOT_DESDE,"&lt;="&amp;M216,MOT_HASTA,"&gt;="&amp;M216)</f>
        <v/>
      </c>
      <c r="BK216" s="3">
        <f>IF(AND(K216="diesel",BJ216=0),MIN(BG216,NEUTRO),BG216)</f>
        <v/>
      </c>
      <c r="BL216" s="4">
        <f>MAX(0,MIN(100,BK216+BH216+BI216))</f>
        <v/>
      </c>
      <c r="BM216" s="3">
        <f>MAX(0,MIN(100,50+BE216*PRECIO_PEND))</f>
        <v/>
      </c>
      <c r="BN216" s="3">
        <f>MAX(0,100*(1-N216/KM_MAX))</f>
        <v/>
      </c>
      <c r="BO216" s="3">
        <f>IF(AV216&lt;KMA_SOSP,IF(AA216="sí",100,KMA_PEN),IF(AV216&lt;=KMA_IDEAL_MAX,100,MAX(0,100*(KMA_CERO-AV216)/(KMA_CERO-KMA_IDEAL_MAX))))</f>
        <v/>
      </c>
      <c r="BP216" s="3">
        <f>MAX(0,MIN(100,100*(M216-ANIO_MIN)/(ANIO_ACTUAL-ANIO_MIN)))</f>
        <v/>
      </c>
      <c r="BQ216" s="3">
        <f>W_KMT*BN216+W_KMA*BO216+W_EDAD*BP216</f>
        <v/>
      </c>
      <c r="BR216" s="3">
        <f>P_ITV*(V216="sí")+P_LIBRO*(W216="sí")+P_CORREA*(X216="sí")+P_PROP*(Y216=1)+P_GAR*(Z216="sí")+P_FOTOS*MIN(1,N(U216)/FOTOS_OBJ)</f>
        <v/>
      </c>
      <c r="BS216" s="3">
        <f>IFERROR(VLOOKUP(BF216,ETQ_TBL,2,0),NEUTRO)</f>
        <v/>
      </c>
      <c r="BT216" s="3">
        <f>NEUTRO</f>
        <v/>
      </c>
      <c r="BU216" s="3">
        <f>IFERROR(VLOOKUP(L216,SEGURO_TBL,3,0),"")</f>
        <v/>
      </c>
      <c r="BV216" s="3">
        <f>IF(BU216="",NEUTRO,MAX(0,MIN(100,100*(SEG_REF_MAX-BU216)/(SEG_REF_MAX-SEG_REF_MIN))))</f>
        <v/>
      </c>
      <c r="BW216" s="3">
        <f>W_ET*BS216+W_CONS*BT216+W_SEG*BV216</f>
        <v/>
      </c>
      <c r="BX216" s="3">
        <f>IF(N(AB216)&gt;0,AB216,IF(AND(R216="profesional",SG_LEGAL_ON=1),GAR_LEGAL,0))</f>
        <v/>
      </c>
      <c r="BY216" s="3">
        <f>SG_GAR*MIN(1,BX216/SG_GAR_FULL)+SG_AMPL*(AC216="sí")+SG_KMC*(AF216="sí")+SG_REV*(N(AE216)&gt;0)+SG_DEV*MIN(1,N(AG216)/SG_DEV_FULL)+SG_HIST*(W216="sí")</f>
        <v/>
      </c>
      <c r="BZ216" s="3">
        <f>IFERROR(VLOOKUP(L216,CARR_PEN_TBL,2,0),0)</f>
        <v/>
      </c>
      <c r="CA216" s="3">
        <f>W_FIAB*BL216+W_PRECIO*BM216+W_KMEDAD*BQ216+W_ANUNCIO*BR216+W_USO*BW216+W_SEGURIDAD*BY216-BZ216</f>
        <v/>
      </c>
      <c r="CB216" s="4">
        <f>IF(N(I216)&gt;0,I216,IFERROR(ROUND(_xlfn.NUMBERVALUE(LEFT(G216,FIND(" ",G216&amp;" ")-1),".")*1000,0),99999))</f>
        <v/>
      </c>
      <c r="CC216" s="3">
        <f>IF(R216="profesional",0,IF(O216&lt;CUOTA_VALOR_MAX,IF(AU216&gt;ITP_TRAMO_ALTO,SUMIFS(CF_CUOTA,CF_MAS,ITP_TRAMO_ALTO,CF_CCMIN,"&lt;="&amp;CB216,CF_CCMAX,"&gt;="&amp;CB216),IF(AU216&gt;ITP_TRAMO_BAJO,SUMIFS(CF_CUOTA,CF_MAS,ITP_TRAMO_BAJO,CF_CCMIN,"&lt;="&amp;CB216,CF_CCMAX,"&gt;="&amp;CB216),O216*ITP_TIPO)),O216*ITP_TIPO))</f>
        <v/>
      </c>
      <c r="CD216" s="4">
        <f>IF(R216="profesional",N(AK216),0)</f>
        <v/>
      </c>
      <c r="CE216" s="3">
        <f>IF(AND(R216="profesional",ISNUMBER(AK216),AL216="sí"),0,TASA_DGT)</f>
        <v/>
      </c>
      <c r="CF216" s="3">
        <f>INFORME_DGT</f>
        <v/>
      </c>
      <c r="CG216" s="4">
        <f>O216+CD216+CC216+CE216+CF216</f>
        <v/>
      </c>
      <c r="CH216" s="4">
        <f>CG216+N(BU216)</f>
        <v/>
      </c>
      <c r="CI216" s="3">
        <f>IF(CG216&lt;=TOTAL_MAX,"sí",IF(CG216&lt;=TOTAL_MAX+MARGEN_NEG,"negociar","no"))</f>
        <v/>
      </c>
      <c r="CJ216" s="4">
        <f>IF(CI216&lt;&gt;"no",COUNTIFS($CI$2:$CI$662,"&lt;&gt;no",$CA$2:$CA$662,"&gt;"&amp;CA216)+COUNTIFS($CI$2:CI216,"&lt;&gt;no",$CA$2:CA216,CA216),"")</f>
        <v/>
      </c>
    </row>
    <row r="217">
      <c r="A217" s="2" t="inlineStr">
        <is>
          <t>autoscout24:a37432b1-37f1-494e-8619-bca54f407aa3</t>
        </is>
      </c>
      <c r="B217" s="2" t="inlineStr">
        <is>
          <t>autoscout24</t>
        </is>
      </c>
      <c r="C217" s="2" t="inlineStr">
        <is>
          <t>https://www.autoscout24.es/anuncios/hyundai-i20-1-2-gasolina-100-emotion-gasolina-cat_ma33mo19188-a37432b1-37f1-494e-8619-bca54f407aa3</t>
        </is>
      </c>
      <c r="D217" s="2" t="inlineStr">
        <is>
          <t>Hyundai i20 1.2 GASOLINA 100 EMOTION</t>
        </is>
      </c>
      <c r="E217" s="2" t="inlineStr">
        <is>
          <t>Hyundai</t>
        </is>
      </c>
      <c r="F217" s="2" t="inlineStr">
        <is>
          <t>Hyundai i20</t>
        </is>
      </c>
      <c r="G217" s="2" t="inlineStr">
        <is>
          <t>1.2</t>
        </is>
      </c>
      <c r="H217" s="2" t="inlineStr">
        <is>
          <t>1.2 GASOLINA 100 EMOTION 1.2</t>
        </is>
      </c>
      <c r="I217" s="2" t="n"/>
      <c r="J217" s="2" t="n">
        <v>76</v>
      </c>
      <c r="K217" s="2" t="inlineStr">
        <is>
          <t>gasolina</t>
        </is>
      </c>
      <c r="L217" s="2" t="inlineStr">
        <is>
          <t>utilitario</t>
        </is>
      </c>
      <c r="M217" s="2" t="n">
        <v>2010</v>
      </c>
      <c r="N217" s="2" t="n">
        <v>129000</v>
      </c>
      <c r="O217" s="2" t="n">
        <v>4649</v>
      </c>
      <c r="P217" s="2" t="inlineStr">
        <is>
          <t>manual</t>
        </is>
      </c>
      <c r="Q217" s="2" t="inlineStr">
        <is>
          <t>no</t>
        </is>
      </c>
      <c r="R217" s="2" t="inlineStr">
        <is>
          <t>profesional</t>
        </is>
      </c>
      <c r="S217" s="2" t="inlineStr">
        <is>
          <t>CSV MOTOR VALENCIA — Valencia (46009)</t>
        </is>
      </c>
      <c r="T217" s="2" t="n"/>
      <c r="U217" s="2" t="n">
        <v>20</v>
      </c>
      <c r="V217" s="2" t="n"/>
      <c r="W217" s="2" t="n"/>
      <c r="X217" s="2" t="n"/>
      <c r="Y217" s="2" t="n"/>
      <c r="Z217" s="2" t="inlineStr">
        <is>
          <t>sí</t>
        </is>
      </c>
      <c r="AA217" s="2" t="n"/>
      <c r="AB217" s="2" t="n">
        <v>12</v>
      </c>
      <c r="AC217" s="2" t="inlineStr">
        <is>
          <t>sí</t>
        </is>
      </c>
      <c r="AD217" s="2" t="n"/>
      <c r="AE217" s="2" t="n">
        <v>150</v>
      </c>
      <c r="AF217" s="2" t="n"/>
      <c r="AG217" s="2" t="n"/>
      <c r="AH217" s="2" t="n">
        <v>4650</v>
      </c>
      <c r="AI217" s="2" t="n"/>
      <c r="AJ217" s="2" t="n"/>
      <c r="AK217" s="2" t="n"/>
      <c r="AL217" s="2" t="n"/>
      <c r="AM217" s="2" t="n">
        <v>1.6</v>
      </c>
      <c r="AN217" s="2" t="n">
        <v>5250</v>
      </c>
      <c r="AO217" s="2" t="n">
        <v>5</v>
      </c>
      <c r="AP217" s="2" t="inlineStr">
        <is>
          <t>modelo+año</t>
        </is>
      </c>
      <c r="AQ217" s="2" t="n"/>
      <c r="AR217" s="2" t="inlineStr">
        <is>
          <t>vendedor profesional: sin ITP (operación con IVA/REBU, confirmar en factura); gastos de gestión del vendedor no indicados: se suma la tasa DGT; preguntar el precio final</t>
        </is>
      </c>
      <c r="AS217" s="2" t="inlineStr">
        <is>
          <t>&lt;strong&gt;Precio al contado: 4650 euros&lt;/strong&gt; &lt;br /&gt;&lt;br /&gt;&lt;strong&gt;Condiciones de la financiación&lt;/strong&gt; &lt;br /&gt;&lt;br /&gt;Precio financiado sujeto a la aprobación de la entidad financiera. Consulta las condiciones. &lt;br /&gt;&lt;br /&gt;✓ GARANTÍA de 12 meses (ampliable hasta 3 años; consulta condiciones).&lt;br /&gt;✓ Revisado en 150 puntos antes de su venta.&lt;br /&gt;✓ Devolución hasta 15 días tras la entrega con motivo justificado.&lt;br /&gt;► Te lo llevamos a nuestra tienda de Burjassot (Valencia): pregúntanos plazo y coste.&lt;br /&gt;&lt;br /&gt;► Está en nuestra tienda de Arroyomolinos (Madrid).&lt;br /&gt;Resérvalo con 300 € y te lo guardamos 20 días.&lt;br /&gt;Te lo enseñamos por videollamada y valoramos tu coche como parte de pago.&lt;br /&gt;&lt;br /&gt;EXTRAS DEL VEHÍCULO:&lt;br /&gt;&lt;br /&gt;ACABADO COMFORT AA ESP, AIRE ACONDICIONADO, RADIO CD MP3 CON CONEXIÓN AUXILIAR, ORDENADOR DE A BORDO, ELEVALUNAS ELÉCTRICOS DELANTEROS, RETROVISORES ELÉCTRICOS, CIERRE CENTRALIZADO CON MANDO, CONTROL DE ESTABILIDAD ESP, TAPICERÍA DE TELA, ISOFIX, ETC.&lt;br /&gt;&lt;br /&gt;⚖ Vehículo bajo Régimen Especial de Bienes Usados (REBU). IVA NO deducible.&lt;br /&gt;&lt;br /&gt;Anuncio orientativo, no vinculante. Pueden existir errores tipográficos. Para información oficial contacta con nosotros a través de los datos de contacto del concesionario.&lt;br /&gt;&lt;br /&gt;► Red CSV Motor: Arroyomolinos (Comunidad de Madrid) · Terrassa (Barcelona) · Bormujos (Sevilla) · Burjassot (Valencia)</t>
        </is>
      </c>
      <c r="AT217" s="2" t="inlineStr">
        <is>
          <t>https://www.autoscout24.es/anuncios/hyundai-i20-1-2-gasolina-100-emotion-gasolina-cat_ma33mo19188-a37432b1-37f1-494e-8619-bca54f407aa3 (__NEXT_DATA__ listingDetails) /home/user/Alopecia/buscador-coches/raw/autoscout24/290daaf4f2da0c69.json</t>
        </is>
      </c>
      <c r="AU217" s="3">
        <f>MAX(ANIO_ACTUAL-M217,0)</f>
        <v/>
      </c>
      <c r="AV217" s="4">
        <f>N217/MAX(AU217,0.5)</f>
        <v/>
      </c>
      <c r="AW217" s="4">
        <f>F217</f>
        <v/>
      </c>
      <c r="AX217" s="3">
        <f>AW217&amp;"|"&amp;INT(M217/SEG_ANIO)*SEG_ANIO</f>
        <v/>
      </c>
      <c r="AY217" s="3">
        <f>AX217&amp;"|"&amp;INT(N217/SEG_KM)*SEG_KM</f>
        <v/>
      </c>
      <c r="AZ217" s="4">
        <f>COUNTIF($AW$2:$AW$662,AW217)</f>
        <v/>
      </c>
      <c r="BA217" s="4">
        <f>COUNTIF($AX$2:$AX$662,AX217)</f>
        <v/>
      </c>
      <c r="BB217" s="4">
        <f>COUNTIF($AY$2:$AY$662,AY217)</f>
        <v/>
      </c>
      <c r="BC217" s="3">
        <f t="array" ref="BC217">IF(N(AO217)&gt;=MIN_N,AN217,IF(BB217&gt;=MIN_N,MEDIAN(IF($AY$2:$AY$662=AY217,$O$2:$O$662)),IF(BA217&gt;=MIN_N,MEDIAN(IF($AX$2:$AX$662=AX217,$O$2:$O$662)),MEDIAN(IF($AW$2:$AW$662=AW217,$O$2:$O$662)))))</f>
        <v/>
      </c>
      <c r="BD217" s="3">
        <f>IF(N(AO217)&gt;=MIN_N,"mercado "&amp;AP217,IF(BB217&gt;=MIN_N,"modelo+año+km",IF(BA217&gt;=MIN_N,"modelo+año","modelo")))</f>
        <v/>
      </c>
      <c r="BE217" s="4">
        <f>(BC217-O217)/BC217</f>
        <v/>
      </c>
      <c r="BF217" s="3">
        <f>IF(OR(K217="hibrido",K217="glp"),"ECO",IF(K217="electrico","CERO",IF(K217="gasolina",IF(M217&gt;=GAS_C,"C",IF(M217&gt;=GAS_B,"B","A")),IF(K217="diesel",IF(M217&gt;=DIE_C,"C",IF(M217&gt;=DIE_B,"B","A")),""))))</f>
        <v/>
      </c>
      <c r="BG217" s="3">
        <f>IFERROR(VLOOKUP(F217,MOD_TBL,11,0),IFERROR(VLOOKUP(E217,OCU_TBL,2,0),NEUTRO))</f>
        <v/>
      </c>
      <c r="BH217" s="3">
        <f>SUMIFS(MOT_AJUSTE,MOT_MOTOR,G217,MOT_MARCA,E217,MOT_DESDE,"&lt;="&amp;M217,MOT_HASTA,"&gt;="&amp;M217)+SUMIFS(MOT_AJUSTE,MOT_MOTOR,G217,MOT_MARCA,"(todas)",MOT_DESDE,"&lt;="&amp;M217,MOT_HASTA,"&gt;="&amp;M217)</f>
        <v/>
      </c>
      <c r="BI217" s="3">
        <f>SUMIFS(COMB_AJUSTE,COMB_COMB,K217)</f>
        <v/>
      </c>
      <c r="BJ217" s="3">
        <f>COUNTIFS(MOT_MOTOR,G217,MOT_MARCA,E217,MOT_DESDE,"&lt;="&amp;M217,MOT_HASTA,"&gt;="&amp;M217)+COUNTIFS(MOT_MOTOR,G217,MOT_MARCA,"(todas)",MOT_DESDE,"&lt;="&amp;M217,MOT_HASTA,"&gt;="&amp;M217)</f>
        <v/>
      </c>
      <c r="BK217" s="3">
        <f>IF(AND(K217="diesel",BJ217=0),MIN(BG217,NEUTRO),BG217)</f>
        <v/>
      </c>
      <c r="BL217" s="4">
        <f>MAX(0,MIN(100,BK217+BH217+BI217))</f>
        <v/>
      </c>
      <c r="BM217" s="3">
        <f>MAX(0,MIN(100,50+BE217*PRECIO_PEND))</f>
        <v/>
      </c>
      <c r="BN217" s="3">
        <f>MAX(0,100*(1-N217/KM_MAX))</f>
        <v/>
      </c>
      <c r="BO217" s="3">
        <f>IF(AV217&lt;KMA_SOSP,IF(AA217="sí",100,KMA_PEN),IF(AV217&lt;=KMA_IDEAL_MAX,100,MAX(0,100*(KMA_CERO-AV217)/(KMA_CERO-KMA_IDEAL_MAX))))</f>
        <v/>
      </c>
      <c r="BP217" s="3">
        <f>MAX(0,MIN(100,100*(M217-ANIO_MIN)/(ANIO_ACTUAL-ANIO_MIN)))</f>
        <v/>
      </c>
      <c r="BQ217" s="3">
        <f>W_KMT*BN217+W_KMA*BO217+W_EDAD*BP217</f>
        <v/>
      </c>
      <c r="BR217" s="3">
        <f>P_ITV*(V217="sí")+P_LIBRO*(W217="sí")+P_CORREA*(X217="sí")+P_PROP*(Y217=1)+P_GAR*(Z217="sí")+P_FOTOS*MIN(1,N(U217)/FOTOS_OBJ)</f>
        <v/>
      </c>
      <c r="BS217" s="3">
        <f>IFERROR(VLOOKUP(BF217,ETQ_TBL,2,0),NEUTRO)</f>
        <v/>
      </c>
      <c r="BT217" s="3">
        <f>NEUTRO</f>
        <v/>
      </c>
      <c r="BU217" s="3">
        <f>IFERROR(VLOOKUP(L217,SEGURO_TBL,3,0),"")</f>
        <v/>
      </c>
      <c r="BV217" s="3">
        <f>IF(BU217="",NEUTRO,MAX(0,MIN(100,100*(SEG_REF_MAX-BU217)/(SEG_REF_MAX-SEG_REF_MIN))))</f>
        <v/>
      </c>
      <c r="BW217" s="3">
        <f>W_ET*BS217+W_CONS*BT217+W_SEG*BV217</f>
        <v/>
      </c>
      <c r="BX217" s="3">
        <f>IF(N(AB217)&gt;0,AB217,IF(AND(R217="profesional",SG_LEGAL_ON=1),GAR_LEGAL,0))</f>
        <v/>
      </c>
      <c r="BY217" s="3">
        <f>SG_GAR*MIN(1,BX217/SG_GAR_FULL)+SG_AMPL*(AC217="sí")+SG_KMC*(AF217="sí")+SG_REV*(N(AE217)&gt;0)+SG_DEV*MIN(1,N(AG217)/SG_DEV_FULL)+SG_HIST*(W217="sí")</f>
        <v/>
      </c>
      <c r="BZ217" s="3">
        <f>IFERROR(VLOOKUP(L217,CARR_PEN_TBL,2,0),0)</f>
        <v/>
      </c>
      <c r="CA217" s="3">
        <f>W_FIAB*BL217+W_PRECIO*BM217+W_KMEDAD*BQ217+W_ANUNCIO*BR217+W_USO*BW217+W_SEGURIDAD*BY217-BZ217</f>
        <v/>
      </c>
      <c r="CB217" s="4">
        <f>IF(N(I217)&gt;0,I217,IFERROR(ROUND(_xlfn.NUMBERVALUE(LEFT(G217,FIND(" ",G217&amp;" ")-1),".")*1000,0),99999))</f>
        <v/>
      </c>
      <c r="CC217" s="3">
        <f>IF(R217="profesional",0,IF(O217&lt;CUOTA_VALOR_MAX,IF(AU217&gt;ITP_TRAMO_ALTO,SUMIFS(CF_CUOTA,CF_MAS,ITP_TRAMO_ALTO,CF_CCMIN,"&lt;="&amp;CB217,CF_CCMAX,"&gt;="&amp;CB217),IF(AU217&gt;ITP_TRAMO_BAJO,SUMIFS(CF_CUOTA,CF_MAS,ITP_TRAMO_BAJO,CF_CCMIN,"&lt;="&amp;CB217,CF_CCMAX,"&gt;="&amp;CB217),O217*ITP_TIPO)),O217*ITP_TIPO))</f>
        <v/>
      </c>
      <c r="CD217" s="4">
        <f>IF(R217="profesional",N(AK217),0)</f>
        <v/>
      </c>
      <c r="CE217" s="3">
        <f>IF(AND(R217="profesional",ISNUMBER(AK217),AL217="sí"),0,TASA_DGT)</f>
        <v/>
      </c>
      <c r="CF217" s="3">
        <f>INFORME_DGT</f>
        <v/>
      </c>
      <c r="CG217" s="4">
        <f>O217+CD217+CC217+CE217+CF217</f>
        <v/>
      </c>
      <c r="CH217" s="4">
        <f>CG217+N(BU217)</f>
        <v/>
      </c>
      <c r="CI217" s="3">
        <f>IF(CG217&lt;=TOTAL_MAX,"sí",IF(CG217&lt;=TOTAL_MAX+MARGEN_NEG,"negociar","no"))</f>
        <v/>
      </c>
      <c r="CJ217" s="4">
        <f>IF(CI217&lt;&gt;"no",COUNTIFS($CI$2:$CI$662,"&lt;&gt;no",$CA$2:$CA$662,"&gt;"&amp;CA217)+COUNTIFS($CI$2:CI217,"&lt;&gt;no",$CA$2:CA217,CA217),"")</f>
        <v/>
      </c>
    </row>
    <row r="218">
      <c r="A218" s="2" t="inlineStr">
        <is>
          <t>cochesnet:71437236</t>
        </is>
      </c>
      <c r="B218" s="2" t="inlineStr">
        <is>
          <t>cochesnet</t>
        </is>
      </c>
      <c r="C218" s="2" t="inlineStr">
        <is>
          <t>https://www.coches.net/seat-ibiza-14-16v-75-cv-reference-5p-gasolina-2006-en-castellon-71437236-covo.aspx</t>
        </is>
      </c>
      <c r="D218" s="2" t="inlineStr">
        <is>
          <t>SEAT IBIZA 1.4 16V 75 CV REFERENCE</t>
        </is>
      </c>
      <c r="E218" s="2" t="inlineStr">
        <is>
          <t>Seat</t>
        </is>
      </c>
      <c r="F218" s="2" t="inlineStr">
        <is>
          <t>Seat Ibiza</t>
        </is>
      </c>
      <c r="G218" s="2" t="inlineStr">
        <is>
          <t>1.4</t>
        </is>
      </c>
      <c r="H218" s="2" t="inlineStr">
        <is>
          <t>1.4 16V 75 CV REFERENCE</t>
        </is>
      </c>
      <c r="I218" s="2" t="n"/>
      <c r="J218" s="2" t="n">
        <v>75</v>
      </c>
      <c r="K218" s="2" t="inlineStr">
        <is>
          <t>gasolina</t>
        </is>
      </c>
      <c r="L218" s="2" t="inlineStr">
        <is>
          <t>utilitario</t>
        </is>
      </c>
      <c r="M218" s="2" t="n">
        <v>2006</v>
      </c>
      <c r="N218" s="2" t="n">
        <v>170628</v>
      </c>
      <c r="O218" s="2" t="n">
        <v>4000</v>
      </c>
      <c r="P218" s="2" t="inlineStr">
        <is>
          <t>manual</t>
        </is>
      </c>
      <c r="Q218" s="2" t="inlineStr">
        <is>
          <t>no</t>
        </is>
      </c>
      <c r="R218" s="2" t="inlineStr">
        <is>
          <t>profesional</t>
        </is>
      </c>
      <c r="S218" s="2" t="inlineStr">
        <is>
          <t>Ocasionplus CASTELLÓN Castellón de la Plana / Castelló de la Plana</t>
        </is>
      </c>
      <c r="T218" s="2" t="inlineStr">
        <is>
          <t>2026-09-03T19:59:41Z</t>
        </is>
      </c>
      <c r="U218" s="2" t="n">
        <v>29</v>
      </c>
      <c r="V218" s="2" t="n"/>
      <c r="W218" s="2" t="n"/>
      <c r="X218" s="2" t="n"/>
      <c r="Y218" s="2" t="n"/>
      <c r="Z218" s="2" t="inlineStr">
        <is>
          <t>sí</t>
        </is>
      </c>
      <c r="AA218" s="2" t="n"/>
      <c r="AB218" s="2" t="n">
        <v>12</v>
      </c>
      <c r="AC218" s="2" t="n"/>
      <c r="AD218" s="2" t="n"/>
      <c r="AE218" s="2" t="n"/>
      <c r="AF218" s="2" t="n"/>
      <c r="AG218" s="2" t="n"/>
      <c r="AH218" s="2" t="n">
        <v>4000</v>
      </c>
      <c r="AI218" s="2" t="n">
        <v>4000</v>
      </c>
      <c r="AJ218" s="2" t="n"/>
      <c r="AK218" s="2" t="n"/>
      <c r="AL218" s="2" t="n"/>
      <c r="AM218" s="2" t="n"/>
      <c r="AN218" s="2" t="n">
        <v>3750</v>
      </c>
      <c r="AO218" s="2" t="n">
        <v>8</v>
      </c>
      <c r="AP218" s="2" t="inlineStr">
        <is>
          <t>modelo+año+km</t>
        </is>
      </c>
      <c r="AQ218" s="2" t="inlineStr">
        <is>
          <t>autoscout24:2247e51d-2d97-4865-a634-64eb5c9e335d (https://www.autoscout24.es/anuncios/seat-ibiza-1-4-16v-reference-gasolina-negro-cat_ma64mo2006-2247e51d-2d97-4865-a634-64eb5c9e335d); wallapop:1273247713 (https://es.wallapop.com/item/seat-ibiza-1-4-16v-reference-55-kw-75-cv-1273247713)</t>
        </is>
      </c>
      <c r="AR218"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218" s="2" t="inlineStr">
        <is>
          <t xml:space="preserve">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(15").
                - Coche Nacional.
                COCHE SIN GARANTÍA, Vehículo sin Garantía para uso Profesional o Empresarial (Realizando Actividades Económicas Comerciales, Transportistas, Fontaneros, Albañiles, etc).
            - Sobrevaloramos tu coche en operaciones de cambio. Tásalo ahora en ocasionplus.com
            - Entregamos cualquier coche en cualquier centro
            - Abierto Domingo y Festivos.</t>
        </is>
      </c>
      <c r="AT218" s="2" t="inlineStr">
        <is>
          <t>https://www.coches.net/seat-ibiza-14-16v-75-cv-reference-5p-gasolina-2006-en-castellon-71437236-covo.aspx (window.__INITIAL_PROPS__.ad) /home/user/Alopecia/buscador-coches/raw/cochesnet/08cb7df1b155baac.json</t>
        </is>
      </c>
      <c r="AU218" s="3">
        <f>MAX(ANIO_ACTUAL-M218,0)</f>
        <v/>
      </c>
      <c r="AV218" s="4">
        <f>N218/MAX(AU218,0.5)</f>
        <v/>
      </c>
      <c r="AW218" s="4">
        <f>F218</f>
        <v/>
      </c>
      <c r="AX218" s="3">
        <f>AW218&amp;"|"&amp;INT(M218/SEG_ANIO)*SEG_ANIO</f>
        <v/>
      </c>
      <c r="AY218" s="3">
        <f>AX218&amp;"|"&amp;INT(N218/SEG_KM)*SEG_KM</f>
        <v/>
      </c>
      <c r="AZ218" s="4">
        <f>COUNTIF($AW$2:$AW$662,AW218)</f>
        <v/>
      </c>
      <c r="BA218" s="4">
        <f>COUNTIF($AX$2:$AX$662,AX218)</f>
        <v/>
      </c>
      <c r="BB218" s="4">
        <f>COUNTIF($AY$2:$AY$662,AY218)</f>
        <v/>
      </c>
      <c r="BC218" s="3">
        <f t="array" ref="BC218">IF(N(AO218)&gt;=MIN_N,AN218,IF(BB218&gt;=MIN_N,MEDIAN(IF($AY$2:$AY$662=AY218,$O$2:$O$662)),IF(BA218&gt;=MIN_N,MEDIAN(IF($AX$2:$AX$662=AX218,$O$2:$O$662)),MEDIAN(IF($AW$2:$AW$662=AW218,$O$2:$O$662)))))</f>
        <v/>
      </c>
      <c r="BD218" s="3">
        <f>IF(N(AO218)&gt;=MIN_N,"mercado "&amp;AP218,IF(BB218&gt;=MIN_N,"modelo+año+km",IF(BA218&gt;=MIN_N,"modelo+año","modelo")))</f>
        <v/>
      </c>
      <c r="BE218" s="4">
        <f>(BC218-O218)/BC218</f>
        <v/>
      </c>
      <c r="BF218" s="3">
        <f>IF(OR(K218="hibrido",K218="glp"),"ECO",IF(K218="electrico","CERO",IF(K218="gasolina",IF(M218&gt;=GAS_C,"C",IF(M218&gt;=GAS_B,"B","A")),IF(K218="diesel",IF(M218&gt;=DIE_C,"C",IF(M218&gt;=DIE_B,"B","A")),""))))</f>
        <v/>
      </c>
      <c r="BG218" s="3">
        <f>IFERROR(VLOOKUP(F218,MOD_TBL,11,0),IFERROR(VLOOKUP(E218,OCU_TBL,2,0),NEUTRO))</f>
        <v/>
      </c>
      <c r="BH218" s="3">
        <f>SUMIFS(MOT_AJUSTE,MOT_MOTOR,G218,MOT_MARCA,E218,MOT_DESDE,"&lt;="&amp;M218,MOT_HASTA,"&gt;="&amp;M218)+SUMIFS(MOT_AJUSTE,MOT_MOTOR,G218,MOT_MARCA,"(todas)",MOT_DESDE,"&lt;="&amp;M218,MOT_HASTA,"&gt;="&amp;M218)</f>
        <v/>
      </c>
      <c r="BI218" s="3">
        <f>SUMIFS(COMB_AJUSTE,COMB_COMB,K218)</f>
        <v/>
      </c>
      <c r="BJ218" s="3">
        <f>COUNTIFS(MOT_MOTOR,G218,MOT_MARCA,E218,MOT_DESDE,"&lt;="&amp;M218,MOT_HASTA,"&gt;="&amp;M218)+COUNTIFS(MOT_MOTOR,G218,MOT_MARCA,"(todas)",MOT_DESDE,"&lt;="&amp;M218,MOT_HASTA,"&gt;="&amp;M218)</f>
        <v/>
      </c>
      <c r="BK218" s="3">
        <f>IF(AND(K218="diesel",BJ218=0),MIN(BG218,NEUTRO),BG218)</f>
        <v/>
      </c>
      <c r="BL218" s="4">
        <f>MAX(0,MIN(100,BK218+BH218+BI218))</f>
        <v/>
      </c>
      <c r="BM218" s="3">
        <f>MAX(0,MIN(100,50+BE218*PRECIO_PEND))</f>
        <v/>
      </c>
      <c r="BN218" s="3">
        <f>MAX(0,100*(1-N218/KM_MAX))</f>
        <v/>
      </c>
      <c r="BO218" s="3">
        <f>IF(AV218&lt;KMA_SOSP,IF(AA218="sí",100,KMA_PEN),IF(AV218&lt;=KMA_IDEAL_MAX,100,MAX(0,100*(KMA_CERO-AV218)/(KMA_CERO-KMA_IDEAL_MAX))))</f>
        <v/>
      </c>
      <c r="BP218" s="3">
        <f>MAX(0,MIN(100,100*(M218-ANIO_MIN)/(ANIO_ACTUAL-ANIO_MIN)))</f>
        <v/>
      </c>
      <c r="BQ218" s="3">
        <f>W_KMT*BN218+W_KMA*BO218+W_EDAD*BP218</f>
        <v/>
      </c>
      <c r="BR218" s="3">
        <f>P_ITV*(V218="sí")+P_LIBRO*(W218="sí")+P_CORREA*(X218="sí")+P_PROP*(Y218=1)+P_GAR*(Z218="sí")+P_FOTOS*MIN(1,N(U218)/FOTOS_OBJ)</f>
        <v/>
      </c>
      <c r="BS218" s="3">
        <f>IFERROR(VLOOKUP(BF218,ETQ_TBL,2,0),NEUTRO)</f>
        <v/>
      </c>
      <c r="BT218" s="3">
        <f>NEUTRO</f>
        <v/>
      </c>
      <c r="BU218" s="3">
        <f>IFERROR(VLOOKUP(L218,SEGURO_TBL,3,0),"")</f>
        <v/>
      </c>
      <c r="BV218" s="3">
        <f>IF(BU218="",NEUTRO,MAX(0,MIN(100,100*(SEG_REF_MAX-BU218)/(SEG_REF_MAX-SEG_REF_MIN))))</f>
        <v/>
      </c>
      <c r="BW218" s="3">
        <f>W_ET*BS218+W_CONS*BT218+W_SEG*BV218</f>
        <v/>
      </c>
      <c r="BX218" s="3">
        <f>IF(N(AB218)&gt;0,AB218,IF(AND(R218="profesional",SG_LEGAL_ON=1),GAR_LEGAL,0))</f>
        <v/>
      </c>
      <c r="BY218" s="3">
        <f>SG_GAR*MIN(1,BX218/SG_GAR_FULL)+SG_AMPL*(AC218="sí")+SG_KMC*(AF218="sí")+SG_REV*(N(AE218)&gt;0)+SG_DEV*MIN(1,N(AG218)/SG_DEV_FULL)+SG_HIST*(W218="sí")</f>
        <v/>
      </c>
      <c r="BZ218" s="3">
        <f>IFERROR(VLOOKUP(L218,CARR_PEN_TBL,2,0),0)</f>
        <v/>
      </c>
      <c r="CA218" s="3">
        <f>W_FIAB*BL218+W_PRECIO*BM218+W_KMEDAD*BQ218+W_ANUNCIO*BR218+W_USO*BW218+W_SEGURIDAD*BY218-BZ218</f>
        <v/>
      </c>
      <c r="CB218" s="4">
        <f>IF(N(I218)&gt;0,I218,IFERROR(ROUND(_xlfn.NUMBERVALUE(LEFT(G218,FIND(" ",G218&amp;" ")-1),".")*1000,0),99999))</f>
        <v/>
      </c>
      <c r="CC218" s="3">
        <f>IF(R218="profesional",0,IF(O218&lt;CUOTA_VALOR_MAX,IF(AU218&gt;ITP_TRAMO_ALTO,SUMIFS(CF_CUOTA,CF_MAS,ITP_TRAMO_ALTO,CF_CCMIN,"&lt;="&amp;CB218,CF_CCMAX,"&gt;="&amp;CB218),IF(AU218&gt;ITP_TRAMO_BAJO,SUMIFS(CF_CUOTA,CF_MAS,ITP_TRAMO_BAJO,CF_CCMIN,"&lt;="&amp;CB218,CF_CCMAX,"&gt;="&amp;CB218),O218*ITP_TIPO)),O218*ITP_TIPO))</f>
        <v/>
      </c>
      <c r="CD218" s="4">
        <f>IF(R218="profesional",N(AK218),0)</f>
        <v/>
      </c>
      <c r="CE218" s="3">
        <f>IF(AND(R218="profesional",ISNUMBER(AK218),AL218="sí"),0,TASA_DGT)</f>
        <v/>
      </c>
      <c r="CF218" s="3">
        <f>INFORME_DGT</f>
        <v/>
      </c>
      <c r="CG218" s="4">
        <f>O218+CD218+CC218+CE218+CF218</f>
        <v/>
      </c>
      <c r="CH218" s="4">
        <f>CG218+N(BU218)</f>
        <v/>
      </c>
      <c r="CI218" s="3">
        <f>IF(CG218&lt;=TOTAL_MAX,"sí",IF(CG218&lt;=TOTAL_MAX+MARGEN_NEG,"negociar","no"))</f>
        <v/>
      </c>
      <c r="CJ218" s="4">
        <f>IF(CI218&lt;&gt;"no",COUNTIFS($CI$2:$CI$662,"&lt;&gt;no",$CA$2:$CA$662,"&gt;"&amp;CA218)+COUNTIFS($CI$2:CI218,"&lt;&gt;no",$CA$2:CA218,CA218),"")</f>
        <v/>
      </c>
    </row>
    <row r="219">
      <c r="A219" s="2" t="inlineStr">
        <is>
          <t>autoscout24:e0bf78b3-f157-4a7c-8540-98e5e6f71788</t>
        </is>
      </c>
      <c r="B219" s="2" t="inlineStr">
        <is>
          <t>autoscout24</t>
        </is>
      </c>
      <c r="C219" s="2" t="inlineStr">
        <is>
          <t>https://www.autoscout24.es/anuncios/volkswagen-polo-1-6tdi-advance-90-diesel-cat_ma74mo2090-e0bf78b3-f157-4a7c-8540-98e5e6f71788</t>
        </is>
      </c>
      <c r="D219" s="2" t="inlineStr">
        <is>
          <t>Volkswagen Polo 1.6TDI Advance 90</t>
        </is>
      </c>
      <c r="E219" s="2" t="inlineStr">
        <is>
          <t>Volkswagen</t>
        </is>
      </c>
      <c r="F219" s="2" t="inlineStr">
        <is>
          <t>Volkswagen Polo</t>
        </is>
      </c>
      <c r="G219" s="2" t="inlineStr">
        <is>
          <t>1.6 TDI</t>
        </is>
      </c>
      <c r="H219" s="2" t="inlineStr">
        <is>
          <t>1.6TDI Advance 90 1.6 TDI</t>
        </is>
      </c>
      <c r="I219" s="2" t="n">
        <v>1598</v>
      </c>
      <c r="J219" s="2" t="n">
        <v>90</v>
      </c>
      <c r="K219" s="2" t="inlineStr">
        <is>
          <t>diesel</t>
        </is>
      </c>
      <c r="L219" s="2" t="inlineStr">
        <is>
          <t>utilitario</t>
        </is>
      </c>
      <c r="M219" s="2" t="n">
        <v>2010</v>
      </c>
      <c r="N219" s="2" t="n">
        <v>219000</v>
      </c>
      <c r="O219" s="2" t="n">
        <v>4900</v>
      </c>
      <c r="P219" s="2" t="inlineStr">
        <is>
          <t>manual</t>
        </is>
      </c>
      <c r="Q219" s="2" t="inlineStr">
        <is>
          <t>no</t>
        </is>
      </c>
      <c r="R219" s="2" t="inlineStr">
        <is>
          <t>profesional</t>
        </is>
      </c>
      <c r="S219" s="2" t="inlineStr">
        <is>
          <t>Star Car Valencia — ALDAIA (46960)</t>
        </is>
      </c>
      <c r="T219" s="2" t="n"/>
      <c r="U219" s="2" t="n">
        <v>9</v>
      </c>
      <c r="V219" s="2" t="n"/>
      <c r="W219" s="2" t="n"/>
      <c r="X219" s="2" t="n"/>
      <c r="Y219" s="2" t="n"/>
      <c r="Z219" s="2" t="inlineStr">
        <is>
          <t>sí</t>
        </is>
      </c>
      <c r="AA219" s="2" t="n"/>
      <c r="AB219" s="2" t="n">
        <v>12</v>
      </c>
      <c r="AC219" s="2" t="n"/>
      <c r="AD219" s="2" t="n"/>
      <c r="AE219" s="2" t="n"/>
      <c r="AF219" s="2" t="n"/>
      <c r="AG219" s="2" t="n"/>
      <c r="AH219" s="2" t="n">
        <v>4900</v>
      </c>
      <c r="AI219" s="2" t="n"/>
      <c r="AJ219" s="2" t="n"/>
      <c r="AK219" s="2" t="n"/>
      <c r="AL219" s="2" t="n"/>
      <c r="AM219" s="2" t="n">
        <v>6.8</v>
      </c>
      <c r="AN219" s="2" t="n">
        <v>4900</v>
      </c>
      <c r="AO219" s="2" t="n">
        <v>8</v>
      </c>
      <c r="AP219" s="2" t="inlineStr">
        <is>
          <t>modelo+año+km</t>
        </is>
      </c>
      <c r="AQ219" s="2" t="n"/>
      <c r="AR219" s="2" t="inlineStr">
        <is>
          <t>vendedor profesional: sin ITP (operación con IVA/REBU, confirmar en factura); gastos de gestión del vendedor no indicados: se suma la tasa DGT; preguntar el precio final</t>
        </is>
      </c>
      <c r="AS219" s="2" t="inlineStr">
        <is>
          <t>&lt;strong&gt;Precio al contado: 4900 euros&lt;/strong&gt; &lt;br /&gt;&lt;br /&gt;&lt;strong&gt;Condiciones de la financiación&lt;/strong&gt; &lt;br /&gt;&lt;br /&gt;REQUISITOS&lt;br /&gt;LTIMA NOMINA&lt;br /&gt;TITULARIDAD BANCARIA&lt;br /&gt;DNI&lt;br /&gt;TELEFONO&lt;br /&gt;&lt;br /&gt; &lt;br /&gt;&lt;br /&gt;Volkswagen Polo 1.6 TDI Advance&lt;br /&gt;1 AÑO DE GARANTÍA o 2 AÑOS DE GARANTIA&lt;br /&gt;POSIBILIDAD DE FINANCIACION 100%&lt;br /&gt;MANTENIMIENTO REALIZADO&lt;br /&gt;ENTREGA INMEDIATA&lt;br /&gt;Matriculación:	07/2010&lt;br /&gt;Lectura cuentakilómetros:	219.009 km&lt;br /&gt;Combustible:	Diésel&lt;br /&gt;Potencia:	66 KW / 90 CV&lt;br /&gt;Cilindrada:	1.598 cc&lt;br /&gt;Caja de cambios:	Cambio tipo manual&lt;br /&gt;Fecha de vencimiento ITV:	01/2027&lt;br /&gt;Carrocería:	Berlina&lt;br /&gt; Si necesitas cualquier coche — modelo, color, año y kilómetros — te lo traemos.&lt;br /&gt;Dinos qué necesitas y lo tendrás. &lt;br /&gt;&lt;br /&gt; El anuncio puede contener errores.&lt;br /&gt;&lt;br /&gt;</t>
        </is>
      </c>
      <c r="AT219" s="2" t="inlineStr">
        <is>
          <t>https://www.autoscout24.es/anuncios/volkswagen-polo-1-6tdi-advance-90-diesel-cat_ma74mo2090-e0bf78b3-f157-4a7c-8540-98e5e6f71788 (__NEXT_DATA__ listingDetails) /home/user/Alopecia/buscador-coches/raw/autoscout24/80a8a3b70fd0d72e.json</t>
        </is>
      </c>
      <c r="AU219" s="3">
        <f>MAX(ANIO_ACTUAL-M219,0)</f>
        <v/>
      </c>
      <c r="AV219" s="4">
        <f>N219/MAX(AU219,0.5)</f>
        <v/>
      </c>
      <c r="AW219" s="4">
        <f>F219</f>
        <v/>
      </c>
      <c r="AX219" s="3">
        <f>AW219&amp;"|"&amp;INT(M219/SEG_ANIO)*SEG_ANIO</f>
        <v/>
      </c>
      <c r="AY219" s="3">
        <f>AX219&amp;"|"&amp;INT(N219/SEG_KM)*SEG_KM</f>
        <v/>
      </c>
      <c r="AZ219" s="4">
        <f>COUNTIF($AW$2:$AW$662,AW219)</f>
        <v/>
      </c>
      <c r="BA219" s="4">
        <f>COUNTIF($AX$2:$AX$662,AX219)</f>
        <v/>
      </c>
      <c r="BB219" s="4">
        <f>COUNTIF($AY$2:$AY$662,AY219)</f>
        <v/>
      </c>
      <c r="BC219" s="3">
        <f t="array" ref="BC219">IF(N(AO219)&gt;=MIN_N,AN219,IF(BB219&gt;=MIN_N,MEDIAN(IF($AY$2:$AY$662=AY219,$O$2:$O$662)),IF(BA219&gt;=MIN_N,MEDIAN(IF($AX$2:$AX$662=AX219,$O$2:$O$662)),MEDIAN(IF($AW$2:$AW$662=AW219,$O$2:$O$662)))))</f>
        <v/>
      </c>
      <c r="BD219" s="3">
        <f>IF(N(AO219)&gt;=MIN_N,"mercado "&amp;AP219,IF(BB219&gt;=MIN_N,"modelo+año+km",IF(BA219&gt;=MIN_N,"modelo+año","modelo")))</f>
        <v/>
      </c>
      <c r="BE219" s="4">
        <f>(BC219-O219)/BC219</f>
        <v/>
      </c>
      <c r="BF219" s="3">
        <f>IF(OR(K219="hibrido",K219="glp"),"ECO",IF(K219="electrico","CERO",IF(K219="gasolina",IF(M219&gt;=GAS_C,"C",IF(M219&gt;=GAS_B,"B","A")),IF(K219="diesel",IF(M219&gt;=DIE_C,"C",IF(M219&gt;=DIE_B,"B","A")),""))))</f>
        <v/>
      </c>
      <c r="BG219" s="3">
        <f>IFERROR(VLOOKUP(F219,MOD_TBL,11,0),IFERROR(VLOOKUP(E219,OCU_TBL,2,0),NEUTRO))</f>
        <v/>
      </c>
      <c r="BH219" s="3">
        <f>SUMIFS(MOT_AJUSTE,MOT_MOTOR,G219,MOT_MARCA,E219,MOT_DESDE,"&lt;="&amp;M219,MOT_HASTA,"&gt;="&amp;M219)+SUMIFS(MOT_AJUSTE,MOT_MOTOR,G219,MOT_MARCA,"(todas)",MOT_DESDE,"&lt;="&amp;M219,MOT_HASTA,"&gt;="&amp;M219)</f>
        <v/>
      </c>
      <c r="BI219" s="3">
        <f>SUMIFS(COMB_AJUSTE,COMB_COMB,K219)</f>
        <v/>
      </c>
      <c r="BJ219" s="3">
        <f>COUNTIFS(MOT_MOTOR,G219,MOT_MARCA,E219,MOT_DESDE,"&lt;="&amp;M219,MOT_HASTA,"&gt;="&amp;M219)+COUNTIFS(MOT_MOTOR,G219,MOT_MARCA,"(todas)",MOT_DESDE,"&lt;="&amp;M219,MOT_HASTA,"&gt;="&amp;M219)</f>
        <v/>
      </c>
      <c r="BK219" s="3">
        <f>IF(AND(K219="diesel",BJ219=0),MIN(BG219,NEUTRO),BG219)</f>
        <v/>
      </c>
      <c r="BL219" s="4">
        <f>MAX(0,MIN(100,BK219+BH219+BI219))</f>
        <v/>
      </c>
      <c r="BM219" s="3">
        <f>MAX(0,MIN(100,50+BE219*PRECIO_PEND))</f>
        <v/>
      </c>
      <c r="BN219" s="3">
        <f>MAX(0,100*(1-N219/KM_MAX))</f>
        <v/>
      </c>
      <c r="BO219" s="3">
        <f>IF(AV219&lt;KMA_SOSP,IF(AA219="sí",100,KMA_PEN),IF(AV219&lt;=KMA_IDEAL_MAX,100,MAX(0,100*(KMA_CERO-AV219)/(KMA_CERO-KMA_IDEAL_MAX))))</f>
        <v/>
      </c>
      <c r="BP219" s="3">
        <f>MAX(0,MIN(100,100*(M219-ANIO_MIN)/(ANIO_ACTUAL-ANIO_MIN)))</f>
        <v/>
      </c>
      <c r="BQ219" s="3">
        <f>W_KMT*BN219+W_KMA*BO219+W_EDAD*BP219</f>
        <v/>
      </c>
      <c r="BR219" s="3">
        <f>P_ITV*(V219="sí")+P_LIBRO*(W219="sí")+P_CORREA*(X219="sí")+P_PROP*(Y219=1)+P_GAR*(Z219="sí")+P_FOTOS*MIN(1,N(U219)/FOTOS_OBJ)</f>
        <v/>
      </c>
      <c r="BS219" s="3">
        <f>IFERROR(VLOOKUP(BF219,ETQ_TBL,2,0),NEUTRO)</f>
        <v/>
      </c>
      <c r="BT219" s="3">
        <f>NEUTRO</f>
        <v/>
      </c>
      <c r="BU219" s="3">
        <f>IFERROR(VLOOKUP(L219,SEGURO_TBL,3,0),"")</f>
        <v/>
      </c>
      <c r="BV219" s="3">
        <f>IF(BU219="",NEUTRO,MAX(0,MIN(100,100*(SEG_REF_MAX-BU219)/(SEG_REF_MAX-SEG_REF_MIN))))</f>
        <v/>
      </c>
      <c r="BW219" s="3">
        <f>W_ET*BS219+W_CONS*BT219+W_SEG*BV219</f>
        <v/>
      </c>
      <c r="BX219" s="3">
        <f>IF(N(AB219)&gt;0,AB219,IF(AND(R219="profesional",SG_LEGAL_ON=1),GAR_LEGAL,0))</f>
        <v/>
      </c>
      <c r="BY219" s="3">
        <f>SG_GAR*MIN(1,BX219/SG_GAR_FULL)+SG_AMPL*(AC219="sí")+SG_KMC*(AF219="sí")+SG_REV*(N(AE219)&gt;0)+SG_DEV*MIN(1,N(AG219)/SG_DEV_FULL)+SG_HIST*(W219="sí")</f>
        <v/>
      </c>
      <c r="BZ219" s="3">
        <f>IFERROR(VLOOKUP(L219,CARR_PEN_TBL,2,0),0)</f>
        <v/>
      </c>
      <c r="CA219" s="3">
        <f>W_FIAB*BL219+W_PRECIO*BM219+W_KMEDAD*BQ219+W_ANUNCIO*BR219+W_USO*BW219+W_SEGURIDAD*BY219-BZ219</f>
        <v/>
      </c>
      <c r="CB219" s="4">
        <f>IF(N(I219)&gt;0,I219,IFERROR(ROUND(_xlfn.NUMBERVALUE(LEFT(G219,FIND(" ",G219&amp;" ")-1),".")*1000,0),99999))</f>
        <v/>
      </c>
      <c r="CC219" s="3">
        <f>IF(R219="profesional",0,IF(O219&lt;CUOTA_VALOR_MAX,IF(AU219&gt;ITP_TRAMO_ALTO,SUMIFS(CF_CUOTA,CF_MAS,ITP_TRAMO_ALTO,CF_CCMIN,"&lt;="&amp;CB219,CF_CCMAX,"&gt;="&amp;CB219),IF(AU219&gt;ITP_TRAMO_BAJO,SUMIFS(CF_CUOTA,CF_MAS,ITP_TRAMO_BAJO,CF_CCMIN,"&lt;="&amp;CB219,CF_CCMAX,"&gt;="&amp;CB219),O219*ITP_TIPO)),O219*ITP_TIPO))</f>
        <v/>
      </c>
      <c r="CD219" s="4">
        <f>IF(R219="profesional",N(AK219),0)</f>
        <v/>
      </c>
      <c r="CE219" s="3">
        <f>IF(AND(R219="profesional",ISNUMBER(AK219),AL219="sí"),0,TASA_DGT)</f>
        <v/>
      </c>
      <c r="CF219" s="3">
        <f>INFORME_DGT</f>
        <v/>
      </c>
      <c r="CG219" s="4">
        <f>O219+CD219+CC219+CE219+CF219</f>
        <v/>
      </c>
      <c r="CH219" s="4">
        <f>CG219+N(BU219)</f>
        <v/>
      </c>
      <c r="CI219" s="3">
        <f>IF(CG219&lt;=TOTAL_MAX,"sí",IF(CG219&lt;=TOTAL_MAX+MARGEN_NEG,"negociar","no"))</f>
        <v/>
      </c>
      <c r="CJ219" s="4">
        <f>IF(CI219&lt;&gt;"no",COUNTIFS($CI$2:$CI$662,"&lt;&gt;no",$CA$2:$CA$662,"&gt;"&amp;CA219)+COUNTIFS($CI$2:CI219,"&lt;&gt;no",$CA$2:CA219,CA219),"")</f>
        <v/>
      </c>
    </row>
    <row r="220">
      <c r="A220" s="2" t="inlineStr">
        <is>
          <t>autoscout24:2422eae7-5387-42bd-9d60-aa5952b4a9ba</t>
        </is>
      </c>
      <c r="B220" s="2" t="inlineStr">
        <is>
          <t>autoscout24</t>
        </is>
      </c>
      <c r="C220" s="2" t="inlineStr">
        <is>
          <t>https://www.autoscout24.es/anuncios/volkswagen-golf-golf-1-6-highline-highline-gasolina-negro-cat_ma74mo2084-2422eae7-5387-42bd-9d60-aa5952b4a9ba</t>
        </is>
      </c>
      <c r="D220" s="2" t="inlineStr">
        <is>
          <t>Volkswagen Golf Golf 1.6 Highline Highline</t>
        </is>
      </c>
      <c r="E220" s="2" t="inlineStr">
        <is>
          <t>Volkswagen</t>
        </is>
      </c>
      <c r="F220" s="2" t="inlineStr">
        <is>
          <t>Volkswagen Golf</t>
        </is>
      </c>
      <c r="G220" s="2" t="inlineStr">
        <is>
          <t>1.6</t>
        </is>
      </c>
      <c r="H220" s="2" t="inlineStr">
        <is>
          <t>Golf 1.6 Highline Highline 1.6</t>
        </is>
      </c>
      <c r="I220" s="2" t="n">
        <v>1595</v>
      </c>
      <c r="J220" s="2" t="n">
        <v>102</v>
      </c>
      <c r="K220" s="2" t="inlineStr">
        <is>
          <t>gasolina</t>
        </is>
      </c>
      <c r="L220" s="2" t="inlineStr">
        <is>
          <t>compacto</t>
        </is>
      </c>
      <c r="M220" s="2" t="n">
        <v>2006</v>
      </c>
      <c r="N220" s="2" t="n">
        <v>185000</v>
      </c>
      <c r="O220" s="2" t="n">
        <v>4000</v>
      </c>
      <c r="P220" s="2" t="inlineStr">
        <is>
          <t>manual</t>
        </is>
      </c>
      <c r="Q220" s="2" t="inlineStr">
        <is>
          <t>no</t>
        </is>
      </c>
      <c r="R220" s="2" t="inlineStr">
        <is>
          <t>particular</t>
        </is>
      </c>
      <c r="S220" s="2" t="inlineStr">
        <is>
          <t>Castelló de la Plana (12001)</t>
        </is>
      </c>
      <c r="T220" s="2" t="n"/>
      <c r="U220" s="2" t="n">
        <v>11</v>
      </c>
      <c r="V220" s="2" t="inlineStr">
        <is>
          <t>sí</t>
        </is>
      </c>
      <c r="W220" s="2" t="n"/>
      <c r="X220" s="2" t="n"/>
      <c r="Y220" s="2" t="n"/>
      <c r="Z220" s="2" t="n"/>
      <c r="AA220" s="2" t="n"/>
      <c r="AB220" s="2" t="n"/>
      <c r="AC220" s="2" t="n"/>
      <c r="AD220" s="2" t="n"/>
      <c r="AE220" s="2" t="n"/>
      <c r="AF220" s="2" t="n"/>
      <c r="AG220" s="2" t="n"/>
      <c r="AH220" s="2" t="n"/>
      <c r="AI220" s="2" t="n"/>
      <c r="AJ220" s="2" t="n"/>
      <c r="AK220" s="2" t="n"/>
      <c r="AL220" s="2" t="n"/>
      <c r="AM220" s="2" t="n">
        <v>64.3</v>
      </c>
      <c r="AN220" s="2" t="n">
        <v>4800</v>
      </c>
      <c r="AO220" s="2" t="n">
        <v>5</v>
      </c>
      <c r="AP220" s="2" t="inlineStr">
        <is>
          <t>modelo+año+km</t>
        </is>
      </c>
      <c r="AQ220" s="2" t="inlineStr">
        <is>
          <t>cochesnet:70972197 (https://www.coches.net/volkswagen-golf-16-fsi-gt-sport-5p-gasolina-2006-en-castellon-70972197-covo.aspx)</t>
        </is>
      </c>
      <c r="AR220" s="2" t="inlineStr">
        <is>
          <t>cuota fija ITP: &gt;12 años, 1.501-2.000 cc</t>
        </is>
      </c>
      <c r="AS220" s="2" t="inlineStr">
        <is>
          <t>Volkswagen Golf V 1.6 Gasolina 102 CV – 2006 – 184.952 km&lt;br /&gt;Se vende Volkswagen Golf 1.6 gasolina de 2006, 5 puertas y cambio manual. Coche muy fiable y cómodo, ideal tanto para el día a día como para conductores noveles.&lt;br /&gt;* 184.952 km&lt;br /&gt;* ITV pasada en marzo de 2026&lt;br /&gt;* Motor 1.6 gasolina (102 CV)&lt;br /&gt;* Cambio manual&lt;br /&gt;* Aire acondicionado&lt;br /&gt;* Llantas de aleación&lt;br /&gt;* Elevalunas eléctricos&lt;br /&gt;* Cierre centralizado&lt;br /&gt;* Radio&lt;br /&gt;* 5 plazas&lt;br /&gt;El coche funciona correctamente de motor y mecánica. Siempre ha recibido su mantenimiento y está listo para circular. De chapa tiene algunos pequeños arañazos y un desperfecto en la pintura de la aleta delantera izquierda, propios de la edad, que no afectan al funcionamiento.&lt;br /&gt;Se puede ver y probar sin compromiso.&lt;br /&gt;Gastos cambio de nombre por cuenta del comprador.</t>
        </is>
      </c>
      <c r="AT220" s="2" t="inlineStr">
        <is>
          <t>https://www.autoscout24.es/anuncios/volkswagen-golf-golf-1-6-highline-highline-gasolina-negro-cat_ma74mo2084-2422eae7-5387-42bd-9d60-aa5952b4a9ba (__NEXT_DATA__ listingDetails) /home/user/Alopecia/buscador-coches/raw/autoscout24/a1d2210407987f32.json</t>
        </is>
      </c>
      <c r="AU220" s="3">
        <f>MAX(ANIO_ACTUAL-M220,0)</f>
        <v/>
      </c>
      <c r="AV220" s="4">
        <f>N220/MAX(AU220,0.5)</f>
        <v/>
      </c>
      <c r="AW220" s="4">
        <f>F220</f>
        <v/>
      </c>
      <c r="AX220" s="3">
        <f>AW220&amp;"|"&amp;INT(M220/SEG_ANIO)*SEG_ANIO</f>
        <v/>
      </c>
      <c r="AY220" s="3">
        <f>AX220&amp;"|"&amp;INT(N220/SEG_KM)*SEG_KM</f>
        <v/>
      </c>
      <c r="AZ220" s="4">
        <f>COUNTIF($AW$2:$AW$662,AW220)</f>
        <v/>
      </c>
      <c r="BA220" s="4">
        <f>COUNTIF($AX$2:$AX$662,AX220)</f>
        <v/>
      </c>
      <c r="BB220" s="4">
        <f>COUNTIF($AY$2:$AY$662,AY220)</f>
        <v/>
      </c>
      <c r="BC220" s="3">
        <f t="array" ref="BC220">IF(N(AO220)&gt;=MIN_N,AN220,IF(BB220&gt;=MIN_N,MEDIAN(IF($AY$2:$AY$662=AY220,$O$2:$O$662)),IF(BA220&gt;=MIN_N,MEDIAN(IF($AX$2:$AX$662=AX220,$O$2:$O$662)),MEDIAN(IF($AW$2:$AW$662=AW220,$O$2:$O$662)))))</f>
        <v/>
      </c>
      <c r="BD220" s="3">
        <f>IF(N(AO220)&gt;=MIN_N,"mercado "&amp;AP220,IF(BB220&gt;=MIN_N,"modelo+año+km",IF(BA220&gt;=MIN_N,"modelo+año","modelo")))</f>
        <v/>
      </c>
      <c r="BE220" s="4">
        <f>(BC220-O220)/BC220</f>
        <v/>
      </c>
      <c r="BF220" s="3">
        <f>IF(OR(K220="hibrido",K220="glp"),"ECO",IF(K220="electrico","CERO",IF(K220="gasolina",IF(M220&gt;=GAS_C,"C",IF(M220&gt;=GAS_B,"B","A")),IF(K220="diesel",IF(M220&gt;=DIE_C,"C",IF(M220&gt;=DIE_B,"B","A")),""))))</f>
        <v/>
      </c>
      <c r="BG220" s="3">
        <f>IFERROR(VLOOKUP(F220,MOD_TBL,11,0),IFERROR(VLOOKUP(E220,OCU_TBL,2,0),NEUTRO))</f>
        <v/>
      </c>
      <c r="BH220" s="3">
        <f>SUMIFS(MOT_AJUSTE,MOT_MOTOR,G220,MOT_MARCA,E220,MOT_DESDE,"&lt;="&amp;M220,MOT_HASTA,"&gt;="&amp;M220)+SUMIFS(MOT_AJUSTE,MOT_MOTOR,G220,MOT_MARCA,"(todas)",MOT_DESDE,"&lt;="&amp;M220,MOT_HASTA,"&gt;="&amp;M220)</f>
        <v/>
      </c>
      <c r="BI220" s="3">
        <f>SUMIFS(COMB_AJUSTE,COMB_COMB,K220)</f>
        <v/>
      </c>
      <c r="BJ220" s="3">
        <f>COUNTIFS(MOT_MOTOR,G220,MOT_MARCA,E220,MOT_DESDE,"&lt;="&amp;M220,MOT_HASTA,"&gt;="&amp;M220)+COUNTIFS(MOT_MOTOR,G220,MOT_MARCA,"(todas)",MOT_DESDE,"&lt;="&amp;M220,MOT_HASTA,"&gt;="&amp;M220)</f>
        <v/>
      </c>
      <c r="BK220" s="3">
        <f>IF(AND(K220="diesel",BJ220=0),MIN(BG220,NEUTRO),BG220)</f>
        <v/>
      </c>
      <c r="BL220" s="4">
        <f>MAX(0,MIN(100,BK220+BH220+BI220))</f>
        <v/>
      </c>
      <c r="BM220" s="3">
        <f>MAX(0,MIN(100,50+BE220*PRECIO_PEND))</f>
        <v/>
      </c>
      <c r="BN220" s="3">
        <f>MAX(0,100*(1-N220/KM_MAX))</f>
        <v/>
      </c>
      <c r="BO220" s="3">
        <f>IF(AV220&lt;KMA_SOSP,IF(AA220="sí",100,KMA_PEN),IF(AV220&lt;=KMA_IDEAL_MAX,100,MAX(0,100*(KMA_CERO-AV220)/(KMA_CERO-KMA_IDEAL_MAX))))</f>
        <v/>
      </c>
      <c r="BP220" s="3">
        <f>MAX(0,MIN(100,100*(M220-ANIO_MIN)/(ANIO_ACTUAL-ANIO_MIN)))</f>
        <v/>
      </c>
      <c r="BQ220" s="3">
        <f>W_KMT*BN220+W_KMA*BO220+W_EDAD*BP220</f>
        <v/>
      </c>
      <c r="BR220" s="3">
        <f>P_ITV*(V220="sí")+P_LIBRO*(W220="sí")+P_CORREA*(X220="sí")+P_PROP*(Y220=1)+P_GAR*(Z220="sí")+P_FOTOS*MIN(1,N(U220)/FOTOS_OBJ)</f>
        <v/>
      </c>
      <c r="BS220" s="3">
        <f>IFERROR(VLOOKUP(BF220,ETQ_TBL,2,0),NEUTRO)</f>
        <v/>
      </c>
      <c r="BT220" s="3">
        <f>NEUTRO</f>
        <v/>
      </c>
      <c r="BU220" s="3">
        <f>IFERROR(VLOOKUP(L220,SEGURO_TBL,3,0),"")</f>
        <v/>
      </c>
      <c r="BV220" s="3">
        <f>IF(BU220="",NEUTRO,MAX(0,MIN(100,100*(SEG_REF_MAX-BU220)/(SEG_REF_MAX-SEG_REF_MIN))))</f>
        <v/>
      </c>
      <c r="BW220" s="3">
        <f>W_ET*BS220+W_CONS*BT220+W_SEG*BV220</f>
        <v/>
      </c>
      <c r="BX220" s="3">
        <f>IF(N(AB220)&gt;0,AB220,IF(AND(R220="profesional",SG_LEGAL_ON=1),GAR_LEGAL,0))</f>
        <v/>
      </c>
      <c r="BY220" s="3">
        <f>SG_GAR*MIN(1,BX220/SG_GAR_FULL)+SG_AMPL*(AC220="sí")+SG_KMC*(AF220="sí")+SG_REV*(N(AE220)&gt;0)+SG_DEV*MIN(1,N(AG220)/SG_DEV_FULL)+SG_HIST*(W220="sí")</f>
        <v/>
      </c>
      <c r="BZ220" s="3">
        <f>IFERROR(VLOOKUP(L220,CARR_PEN_TBL,2,0),0)</f>
        <v/>
      </c>
      <c r="CA220" s="3">
        <f>W_FIAB*BL220+W_PRECIO*BM220+W_KMEDAD*BQ220+W_ANUNCIO*BR220+W_USO*BW220+W_SEGURIDAD*BY220-BZ220</f>
        <v/>
      </c>
      <c r="CB220" s="4">
        <f>IF(N(I220)&gt;0,I220,IFERROR(ROUND(_xlfn.NUMBERVALUE(LEFT(G220,FIND(" ",G220&amp;" ")-1),".")*1000,0),99999))</f>
        <v/>
      </c>
      <c r="CC220" s="3">
        <f>IF(R220="profesional",0,IF(O220&lt;CUOTA_VALOR_MAX,IF(AU220&gt;ITP_TRAMO_ALTO,SUMIFS(CF_CUOTA,CF_MAS,ITP_TRAMO_ALTO,CF_CCMIN,"&lt;="&amp;CB220,CF_CCMAX,"&gt;="&amp;CB220),IF(AU220&gt;ITP_TRAMO_BAJO,SUMIFS(CF_CUOTA,CF_MAS,ITP_TRAMO_BAJO,CF_CCMIN,"&lt;="&amp;CB220,CF_CCMAX,"&gt;="&amp;CB220),O220*ITP_TIPO)),O220*ITP_TIPO))</f>
        <v/>
      </c>
      <c r="CD220" s="4">
        <f>IF(R220="profesional",N(AK220),0)</f>
        <v/>
      </c>
      <c r="CE220" s="3">
        <f>IF(AND(R220="profesional",ISNUMBER(AK220),AL220="sí"),0,TASA_DGT)</f>
        <v/>
      </c>
      <c r="CF220" s="3">
        <f>INFORME_DGT</f>
        <v/>
      </c>
      <c r="CG220" s="4">
        <f>O220+CD220+CC220+CE220+CF220</f>
        <v/>
      </c>
      <c r="CH220" s="4">
        <f>CG220+N(BU220)</f>
        <v/>
      </c>
      <c r="CI220" s="3">
        <f>IF(CG220&lt;=TOTAL_MAX,"sí",IF(CG220&lt;=TOTAL_MAX+MARGEN_NEG,"negociar","no"))</f>
        <v/>
      </c>
      <c r="CJ220" s="4">
        <f>IF(CI220&lt;&gt;"no",COUNTIFS($CI$2:$CI$662,"&lt;&gt;no",$CA$2:$CA$662,"&gt;"&amp;CA220)+COUNTIFS($CI$2:CI220,"&lt;&gt;no",$CA$2:CA220,CA220),"")</f>
        <v/>
      </c>
    </row>
    <row r="221">
      <c r="A221" s="2" t="inlineStr">
        <is>
          <t>autoscout24:9824a598-2929-4b45-beea-6d5dc70af795</t>
        </is>
      </c>
      <c r="B221" s="2" t="inlineStr">
        <is>
          <t>autoscout24</t>
        </is>
      </c>
      <c r="C221" s="2" t="inlineStr">
        <is>
          <t>https://www.autoscout24.es/anuncios/opel-meriva-meriva-1-7cdti-enjoy-enjoy-diesel-azul-cat_ma54mo18341-9824a598-2929-4b45-beea-6d5dc70af795</t>
        </is>
      </c>
      <c r="D221" s="2" t="inlineStr">
        <is>
          <t>Opel Meriva Meriva 1.7CDTI Enjoy Enjoy</t>
        </is>
      </c>
      <c r="E221" s="2" t="inlineStr">
        <is>
          <t>Opel</t>
        </is>
      </c>
      <c r="F221" s="2" t="inlineStr">
        <is>
          <t>Opel Meriva</t>
        </is>
      </c>
      <c r="G221" s="2" t="inlineStr">
        <is>
          <t>1.7 CDTi</t>
        </is>
      </c>
      <c r="H221" s="2" t="inlineStr">
        <is>
          <t>Meriva 1.7CDTI Enjoy Enjoy 1.7 CDTI</t>
        </is>
      </c>
      <c r="I221" s="2" t="n">
        <v>1686</v>
      </c>
      <c r="J221" s="2" t="n">
        <v>99</v>
      </c>
      <c r="K221" s="2" t="inlineStr">
        <is>
          <t>diesel</t>
        </is>
      </c>
      <c r="L221" s="2" t="inlineStr">
        <is>
          <t>monovolumen_pequeno</t>
        </is>
      </c>
      <c r="M221" s="2" t="n">
        <v>2006</v>
      </c>
      <c r="N221" s="2" t="n">
        <v>201000</v>
      </c>
      <c r="O221" s="2" t="n">
        <v>2500</v>
      </c>
      <c r="P221" s="2" t="inlineStr">
        <is>
          <t>manual</t>
        </is>
      </c>
      <c r="Q221" s="2" t="inlineStr">
        <is>
          <t>no</t>
        </is>
      </c>
      <c r="R221" s="2" t="inlineStr">
        <is>
          <t>particular</t>
        </is>
      </c>
      <c r="S221" s="2" t="inlineStr">
        <is>
          <t>València (46018)</t>
        </is>
      </c>
      <c r="T221" s="2" t="n"/>
      <c r="U221" s="2" t="n">
        <v>9</v>
      </c>
      <c r="V221" s="2" t="inlineStr">
        <is>
          <t>sí</t>
        </is>
      </c>
      <c r="W221" s="2" t="n"/>
      <c r="X221" s="2" t="n"/>
      <c r="Y221" s="2" t="n"/>
      <c r="Z221" s="2" t="n"/>
      <c r="AA221" s="2" t="n"/>
      <c r="AB221" s="2" t="n"/>
      <c r="AC221" s="2" t="n"/>
      <c r="AD221" s="2" t="n"/>
      <c r="AE221" s="2" t="n"/>
      <c r="AF221" s="2" t="n"/>
      <c r="AG221" s="2" t="n"/>
      <c r="AH221" s="2" t="n"/>
      <c r="AI221" s="2" t="n"/>
      <c r="AJ221" s="2" t="n"/>
      <c r="AK221" s="2" t="n"/>
      <c r="AL221" s="2" t="n"/>
      <c r="AM221" s="2" t="n">
        <v>2</v>
      </c>
      <c r="AN221" s="2" t="n">
        <v>2500</v>
      </c>
      <c r="AO221" s="2" t="n">
        <v>13</v>
      </c>
      <c r="AP221" s="2" t="inlineStr">
        <is>
          <t>modelo+año</t>
        </is>
      </c>
      <c r="AQ221" s="2" t="n"/>
      <c r="AR221" s="2" t="inlineStr">
        <is>
          <t>cuota fija ITP: &gt;12 años, 1.501-2.000 cc; diésel: motor sin fuente de fiabilidad (fiabilidad limitada a neutra); carrocería monovolumen_pequeno: -6 puntos; fiabilidad del modelo PENDIENTE de fuente (puntuación neutra)</t>
        </is>
      </c>
      <c r="AS221" s="2" t="inlineStr">
        <is>
          <t>Opel Meriva 2006. ITV en vigor. 201.000 kms</t>
        </is>
      </c>
      <c r="AT221" s="2" t="inlineStr">
        <is>
          <t>https://www.autoscout24.es/anuncios/opel-meriva-meriva-1-7cdti-enjoy-enjoy-diesel-azul-cat_ma54mo18341-9824a598-2929-4b45-beea-6d5dc70af795 (__NEXT_DATA__ listingDetails) /home/user/Alopecia/buscador-coches/raw/autoscout24/21b4e924289d389e.json</t>
        </is>
      </c>
      <c r="AU221" s="3">
        <f>MAX(ANIO_ACTUAL-M221,0)</f>
        <v/>
      </c>
      <c r="AV221" s="4">
        <f>N221/MAX(AU221,0.5)</f>
        <v/>
      </c>
      <c r="AW221" s="4">
        <f>F221</f>
        <v/>
      </c>
      <c r="AX221" s="3">
        <f>AW221&amp;"|"&amp;INT(M221/SEG_ANIO)*SEG_ANIO</f>
        <v/>
      </c>
      <c r="AY221" s="3">
        <f>AX221&amp;"|"&amp;INT(N221/SEG_KM)*SEG_KM</f>
        <v/>
      </c>
      <c r="AZ221" s="4">
        <f>COUNTIF($AW$2:$AW$662,AW221)</f>
        <v/>
      </c>
      <c r="BA221" s="4">
        <f>COUNTIF($AX$2:$AX$662,AX221)</f>
        <v/>
      </c>
      <c r="BB221" s="4">
        <f>COUNTIF($AY$2:$AY$662,AY221)</f>
        <v/>
      </c>
      <c r="BC221" s="3">
        <f t="array" ref="BC221">IF(N(AO221)&gt;=MIN_N,AN221,IF(BB221&gt;=MIN_N,MEDIAN(IF($AY$2:$AY$662=AY221,$O$2:$O$662)),IF(BA221&gt;=MIN_N,MEDIAN(IF($AX$2:$AX$662=AX221,$O$2:$O$662)),MEDIAN(IF($AW$2:$AW$662=AW221,$O$2:$O$662)))))</f>
        <v/>
      </c>
      <c r="BD221" s="3">
        <f>IF(N(AO221)&gt;=MIN_N,"mercado "&amp;AP221,IF(BB221&gt;=MIN_N,"modelo+año+km",IF(BA221&gt;=MIN_N,"modelo+año","modelo")))</f>
        <v/>
      </c>
      <c r="BE221" s="4">
        <f>(BC221-O221)/BC221</f>
        <v/>
      </c>
      <c r="BF221" s="3">
        <f>IF(OR(K221="hibrido",K221="glp"),"ECO",IF(K221="electrico","CERO",IF(K221="gasolina",IF(M221&gt;=GAS_C,"C",IF(M221&gt;=GAS_B,"B","A")),IF(K221="diesel",IF(M221&gt;=DIE_C,"C",IF(M221&gt;=DIE_B,"B","A")),""))))</f>
        <v/>
      </c>
      <c r="BG221" s="3">
        <f>IFERROR(VLOOKUP(F221,MOD_TBL,11,0),IFERROR(VLOOKUP(E221,OCU_TBL,2,0),NEUTRO))</f>
        <v/>
      </c>
      <c r="BH221" s="3">
        <f>SUMIFS(MOT_AJUSTE,MOT_MOTOR,G221,MOT_MARCA,E221,MOT_DESDE,"&lt;="&amp;M221,MOT_HASTA,"&gt;="&amp;M221)+SUMIFS(MOT_AJUSTE,MOT_MOTOR,G221,MOT_MARCA,"(todas)",MOT_DESDE,"&lt;="&amp;M221,MOT_HASTA,"&gt;="&amp;M221)</f>
        <v/>
      </c>
      <c r="BI221" s="3">
        <f>SUMIFS(COMB_AJUSTE,COMB_COMB,K221)</f>
        <v/>
      </c>
      <c r="BJ221" s="3">
        <f>COUNTIFS(MOT_MOTOR,G221,MOT_MARCA,E221,MOT_DESDE,"&lt;="&amp;M221,MOT_HASTA,"&gt;="&amp;M221)+COUNTIFS(MOT_MOTOR,G221,MOT_MARCA,"(todas)",MOT_DESDE,"&lt;="&amp;M221,MOT_HASTA,"&gt;="&amp;M221)</f>
        <v/>
      </c>
      <c r="BK221" s="3">
        <f>IF(AND(K221="diesel",BJ221=0),MIN(BG221,NEUTRO),BG221)</f>
        <v/>
      </c>
      <c r="BL221" s="4">
        <f>MAX(0,MIN(100,BK221+BH221+BI221))</f>
        <v/>
      </c>
      <c r="BM221" s="3">
        <f>MAX(0,MIN(100,50+BE221*PRECIO_PEND))</f>
        <v/>
      </c>
      <c r="BN221" s="3">
        <f>MAX(0,100*(1-N221/KM_MAX))</f>
        <v/>
      </c>
      <c r="BO221" s="3">
        <f>IF(AV221&lt;KMA_SOSP,IF(AA221="sí",100,KMA_PEN),IF(AV221&lt;=KMA_IDEAL_MAX,100,MAX(0,100*(KMA_CERO-AV221)/(KMA_CERO-KMA_IDEAL_MAX))))</f>
        <v/>
      </c>
      <c r="BP221" s="3">
        <f>MAX(0,MIN(100,100*(M221-ANIO_MIN)/(ANIO_ACTUAL-ANIO_MIN)))</f>
        <v/>
      </c>
      <c r="BQ221" s="3">
        <f>W_KMT*BN221+W_KMA*BO221+W_EDAD*BP221</f>
        <v/>
      </c>
      <c r="BR221" s="3">
        <f>P_ITV*(V221="sí")+P_LIBRO*(W221="sí")+P_CORREA*(X221="sí")+P_PROP*(Y221=1)+P_GAR*(Z221="sí")+P_FOTOS*MIN(1,N(U221)/FOTOS_OBJ)</f>
        <v/>
      </c>
      <c r="BS221" s="3">
        <f>IFERROR(VLOOKUP(BF221,ETQ_TBL,2,0),NEUTRO)</f>
        <v/>
      </c>
      <c r="BT221" s="3">
        <f>NEUTRO</f>
        <v/>
      </c>
      <c r="BU221" s="3">
        <f>IFERROR(VLOOKUP(L221,SEGURO_TBL,3,0),"")</f>
        <v/>
      </c>
      <c r="BV221" s="3">
        <f>IF(BU221="",NEUTRO,MAX(0,MIN(100,100*(SEG_REF_MAX-BU221)/(SEG_REF_MAX-SEG_REF_MIN))))</f>
        <v/>
      </c>
      <c r="BW221" s="3">
        <f>W_ET*BS221+W_CONS*BT221+W_SEG*BV221</f>
        <v/>
      </c>
      <c r="BX221" s="3">
        <f>IF(N(AB221)&gt;0,AB221,IF(AND(R221="profesional",SG_LEGAL_ON=1),GAR_LEGAL,0))</f>
        <v/>
      </c>
      <c r="BY221" s="3">
        <f>SG_GAR*MIN(1,BX221/SG_GAR_FULL)+SG_AMPL*(AC221="sí")+SG_KMC*(AF221="sí")+SG_REV*(N(AE221)&gt;0)+SG_DEV*MIN(1,N(AG221)/SG_DEV_FULL)+SG_HIST*(W221="sí")</f>
        <v/>
      </c>
      <c r="BZ221" s="3">
        <f>IFERROR(VLOOKUP(L221,CARR_PEN_TBL,2,0),0)</f>
        <v/>
      </c>
      <c r="CA221" s="3">
        <f>W_FIAB*BL221+W_PRECIO*BM221+W_KMEDAD*BQ221+W_ANUNCIO*BR221+W_USO*BW221+W_SEGURIDAD*BY221-BZ221</f>
        <v/>
      </c>
      <c r="CB221" s="4">
        <f>IF(N(I221)&gt;0,I221,IFERROR(ROUND(_xlfn.NUMBERVALUE(LEFT(G221,FIND(" ",G221&amp;" ")-1),".")*1000,0),99999))</f>
        <v/>
      </c>
      <c r="CC221" s="3">
        <f>IF(R221="profesional",0,IF(O221&lt;CUOTA_VALOR_MAX,IF(AU221&gt;ITP_TRAMO_ALTO,SUMIFS(CF_CUOTA,CF_MAS,ITP_TRAMO_ALTO,CF_CCMIN,"&lt;="&amp;CB221,CF_CCMAX,"&gt;="&amp;CB221),IF(AU221&gt;ITP_TRAMO_BAJO,SUMIFS(CF_CUOTA,CF_MAS,ITP_TRAMO_BAJO,CF_CCMIN,"&lt;="&amp;CB221,CF_CCMAX,"&gt;="&amp;CB221),O221*ITP_TIPO)),O221*ITP_TIPO))</f>
        <v/>
      </c>
      <c r="CD221" s="4">
        <f>IF(R221="profesional",N(AK221),0)</f>
        <v/>
      </c>
      <c r="CE221" s="3">
        <f>IF(AND(R221="profesional",ISNUMBER(AK221),AL221="sí"),0,TASA_DGT)</f>
        <v/>
      </c>
      <c r="CF221" s="3">
        <f>INFORME_DGT</f>
        <v/>
      </c>
      <c r="CG221" s="4">
        <f>O221+CD221+CC221+CE221+CF221</f>
        <v/>
      </c>
      <c r="CH221" s="4">
        <f>CG221+N(BU221)</f>
        <v/>
      </c>
      <c r="CI221" s="3">
        <f>IF(CG221&lt;=TOTAL_MAX,"sí",IF(CG221&lt;=TOTAL_MAX+MARGEN_NEG,"negociar","no"))</f>
        <v/>
      </c>
      <c r="CJ221" s="4">
        <f>IF(CI221&lt;&gt;"no",COUNTIFS($CI$2:$CI$662,"&lt;&gt;no",$CA$2:$CA$662,"&gt;"&amp;CA221)+COUNTIFS($CI$2:CI221,"&lt;&gt;no",$CA$2:CA221,CA221),"")</f>
        <v/>
      </c>
    </row>
    <row r="222">
      <c r="A222" s="2" t="inlineStr">
        <is>
          <t>autoscout24:5db2cfac-b438-4efe-865b-c5e5c9526f20</t>
        </is>
      </c>
      <c r="B222" s="2" t="inlineStr">
        <is>
          <t>autoscout24</t>
        </is>
      </c>
      <c r="C222" s="2" t="inlineStr">
        <is>
          <t>https://www.autoscout24.es/anuncios/opel-meriva-1-7cdti-cosmo-110-diesel-blanco-cat_ma54mo18341-5db2cfac-b438-4efe-865b-c5e5c9526f20</t>
        </is>
      </c>
      <c r="D222" s="2" t="inlineStr">
        <is>
          <t>Opel Meriva 1.7CDTi Cosmo 110</t>
        </is>
      </c>
      <c r="E222" s="2" t="inlineStr">
        <is>
          <t>Opel</t>
        </is>
      </c>
      <c r="F222" s="2" t="inlineStr">
        <is>
          <t>Opel Meriva</t>
        </is>
      </c>
      <c r="G222" s="2" t="inlineStr">
        <is>
          <t>1.7 CDTi</t>
        </is>
      </c>
      <c r="H222" s="2" t="inlineStr">
        <is>
          <t>1.7CDTi Cosmo 110 1.7 CDTI</t>
        </is>
      </c>
      <c r="I222" s="2" t="n">
        <v>1686</v>
      </c>
      <c r="J222" s="2" t="n">
        <v>110</v>
      </c>
      <c r="K222" s="2" t="inlineStr">
        <is>
          <t>diesel</t>
        </is>
      </c>
      <c r="L222" s="2" t="inlineStr">
        <is>
          <t>monovolumen_pequeno</t>
        </is>
      </c>
      <c r="M222" s="2" t="n">
        <v>2011</v>
      </c>
      <c r="N222" s="2" t="n">
        <v>173000</v>
      </c>
      <c r="O222" s="2" t="n">
        <v>4990</v>
      </c>
      <c r="P222" s="2" t="inlineStr">
        <is>
          <t>manual</t>
        </is>
      </c>
      <c r="Q222" s="2" t="inlineStr">
        <is>
          <t>no</t>
        </is>
      </c>
      <c r="R222" s="2" t="inlineStr">
        <is>
          <t>profesional</t>
        </is>
      </c>
      <c r="S222" s="2" t="inlineStr">
        <is>
          <t>SAGA VEHICULOS — MASSANASSA (46470)</t>
        </is>
      </c>
      <c r="T222" s="2" t="n"/>
      <c r="U222" s="2" t="n">
        <v>32</v>
      </c>
      <c r="V222" s="2" t="n"/>
      <c r="W222" s="2" t="n"/>
      <c r="X222" s="2" t="n"/>
      <c r="Y222" s="2" t="n"/>
      <c r="Z222" s="2" t="inlineStr">
        <is>
          <t>sí</t>
        </is>
      </c>
      <c r="AA222" s="2" t="n"/>
      <c r="AB222" s="2" t="n">
        <v>12</v>
      </c>
      <c r="AC222" s="2" t="inlineStr">
        <is>
          <t>sí</t>
        </is>
      </c>
      <c r="AD222" s="2" t="n"/>
      <c r="AE222" s="2" t="n"/>
      <c r="AF222" s="2" t="n"/>
      <c r="AG222" s="2" t="n"/>
      <c r="AH222" s="2" t="n"/>
      <c r="AI222" s="2" t="n"/>
      <c r="AJ222" s="2" t="n"/>
      <c r="AK222" s="2" t="n">
        <v>350</v>
      </c>
      <c r="AL222" s="2" t="inlineStr">
        <is>
          <t>no</t>
        </is>
      </c>
      <c r="AM222" s="2" t="n">
        <v>7.1</v>
      </c>
      <c r="AN222" s="2" t="n">
        <v>4990</v>
      </c>
      <c r="AO222" s="2" t="n">
        <v>4</v>
      </c>
      <c r="AP222" s="2" t="inlineStr">
        <is>
          <t>modelo+año</t>
        </is>
      </c>
      <c r="AQ222" s="2" t="inlineStr">
        <is>
          <t>cochesnet:71555949 (https://www.coches.net/opel-meriva-17-cdti-110-cv-cosmo-5p-diesel-2012-en-valencia-71555949-covo.aspx)</t>
        </is>
      </c>
      <c r="AR222" s="2" t="inlineStr">
        <is>
          <t>vendedor profesional: sin ITP (operación con IVA/REBU, confirmar en factura); gastos del vendedor sin indicar si incluyen la transferencia: se suma la tasa DGT; diésel: motor sin fuente de fiabilidad (fiabilidad limitada a neutra); carrocería monovolumen_pequeno: -6 puntos; fiabilidad del modelo PENDIENTE de fuente (puntuación neutra)</t>
        </is>
      </c>
      <c r="AS222" s="2" t="inlineStr">
        <is>
          <t>Opel Meriva Cosmo 1.7 CDTi turbo, 110CV, Diésel, vehículo muy bien cuidado.&lt;br /&gt;Más de 100 coches en stock, Por favor llámenos para más información, atendemos SOLO CON CITA PREVIA. Gracias!!!!&lt;br /&gt;Financiación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zone&lt;br /&gt;- Dirección asistida&lt;br /&gt;- Freno ABS/EBD&lt;br /&gt;- Control de estabilidad ESP&lt;br /&gt;- Airbags&lt;br /&gt;- Control de crucero&lt;br /&gt;- Ordenador abordo&lt;br /&gt;- Sistema multimedia Bluetooth&lt;br /&gt;- Llaves mandos a distancia y mucho mas....&lt;br /&gt;Este anuncio no es vinculante, se muestra a titulo informativo y no contractual.&lt;br /&gt;&lt;br /&gt;&lt;br /&gt; &lt;strong&gt;Extras&lt;/strong&gt; &lt;br /&gt; &lt;strong&gt;Equipamiento destacado seleccionado por el usuario&lt;/strong&gt; &lt;br /&gt; &lt;br /&gt;- Asistente de salida en cuesta&lt;br /&gt;- Radio CD 400&lt;br /&gt;- Conexión USB&lt;br /&gt;- Toma de 12V en el maletero&lt;br /&gt;- Pack Exterior&lt;br /&gt;- Pack Elegance&lt;br /&gt;- Pack Comfort&lt;br /&gt;- Tapicería cuero&lt;br /&gt;- Faros adaptativos (AFL)&lt;br /&gt;- Pack Visibilidad&lt;br /&gt;- Sistema teléfono móvil Bluetooth SIM (SIM acc&lt;br /&gt;- Sistema teléfono móvil con Bluetooth (t)&lt;br /&gt;- Pack Comunicación Plus&lt;br /&gt;- Pack Versatilidad&lt;br /&gt;- Pack Funcional&lt;br /&gt;</t>
        </is>
      </c>
      <c r="AT222" s="2" t="inlineStr">
        <is>
          <t>https://www.autoscout24.es/anuncios/opel-meriva-1-7cdti-cosmo-110-diesel-blanco-cat_ma54mo18341-5db2cfac-b438-4efe-865b-c5e5c9526f20 (__NEXT_DATA__ listingDetails) /home/user/Alopecia/buscador-coches/raw/autoscout24/539c4d2bcfcfd561.json</t>
        </is>
      </c>
      <c r="AU222" s="3">
        <f>MAX(ANIO_ACTUAL-M222,0)</f>
        <v/>
      </c>
      <c r="AV222" s="4">
        <f>N222/MAX(AU222,0.5)</f>
        <v/>
      </c>
      <c r="AW222" s="4">
        <f>F222</f>
        <v/>
      </c>
      <c r="AX222" s="3">
        <f>AW222&amp;"|"&amp;INT(M222/SEG_ANIO)*SEG_ANIO</f>
        <v/>
      </c>
      <c r="AY222" s="3">
        <f>AX222&amp;"|"&amp;INT(N222/SEG_KM)*SEG_KM</f>
        <v/>
      </c>
      <c r="AZ222" s="4">
        <f>COUNTIF($AW$2:$AW$662,AW222)</f>
        <v/>
      </c>
      <c r="BA222" s="4">
        <f>COUNTIF($AX$2:$AX$662,AX222)</f>
        <v/>
      </c>
      <c r="BB222" s="4">
        <f>COUNTIF($AY$2:$AY$662,AY222)</f>
        <v/>
      </c>
      <c r="BC222" s="3">
        <f t="array" ref="BC222">IF(N(AO222)&gt;=MIN_N,AN222,IF(BB222&gt;=MIN_N,MEDIAN(IF($AY$2:$AY$662=AY222,$O$2:$O$662)),IF(BA222&gt;=MIN_N,MEDIAN(IF($AX$2:$AX$662=AX222,$O$2:$O$662)),MEDIAN(IF($AW$2:$AW$662=AW222,$O$2:$O$662)))))</f>
        <v/>
      </c>
      <c r="BD222" s="3">
        <f>IF(N(AO222)&gt;=MIN_N,"mercado "&amp;AP222,IF(BB222&gt;=MIN_N,"modelo+año+km",IF(BA222&gt;=MIN_N,"modelo+año","modelo")))</f>
        <v/>
      </c>
      <c r="BE222" s="4">
        <f>(BC222-O222)/BC222</f>
        <v/>
      </c>
      <c r="BF222" s="3">
        <f>IF(OR(K222="hibrido",K222="glp"),"ECO",IF(K222="electrico","CERO",IF(K222="gasolina",IF(M222&gt;=GAS_C,"C",IF(M222&gt;=GAS_B,"B","A")),IF(K222="diesel",IF(M222&gt;=DIE_C,"C",IF(M222&gt;=DIE_B,"B","A")),""))))</f>
        <v/>
      </c>
      <c r="BG222" s="3">
        <f>IFERROR(VLOOKUP(F222,MOD_TBL,11,0),IFERROR(VLOOKUP(E222,OCU_TBL,2,0),NEUTRO))</f>
        <v/>
      </c>
      <c r="BH222" s="3">
        <f>SUMIFS(MOT_AJUSTE,MOT_MOTOR,G222,MOT_MARCA,E222,MOT_DESDE,"&lt;="&amp;M222,MOT_HASTA,"&gt;="&amp;M222)+SUMIFS(MOT_AJUSTE,MOT_MOTOR,G222,MOT_MARCA,"(todas)",MOT_DESDE,"&lt;="&amp;M222,MOT_HASTA,"&gt;="&amp;M222)</f>
        <v/>
      </c>
      <c r="BI222" s="3">
        <f>SUMIFS(COMB_AJUSTE,COMB_COMB,K222)</f>
        <v/>
      </c>
      <c r="BJ222" s="3">
        <f>COUNTIFS(MOT_MOTOR,G222,MOT_MARCA,E222,MOT_DESDE,"&lt;="&amp;M222,MOT_HASTA,"&gt;="&amp;M222)+COUNTIFS(MOT_MOTOR,G222,MOT_MARCA,"(todas)",MOT_DESDE,"&lt;="&amp;M222,MOT_HASTA,"&gt;="&amp;M222)</f>
        <v/>
      </c>
      <c r="BK222" s="3">
        <f>IF(AND(K222="diesel",BJ222=0),MIN(BG222,NEUTRO),BG222)</f>
        <v/>
      </c>
      <c r="BL222" s="4">
        <f>MAX(0,MIN(100,BK222+BH222+BI222))</f>
        <v/>
      </c>
      <c r="BM222" s="3">
        <f>MAX(0,MIN(100,50+BE222*PRECIO_PEND))</f>
        <v/>
      </c>
      <c r="BN222" s="3">
        <f>MAX(0,100*(1-N222/KM_MAX))</f>
        <v/>
      </c>
      <c r="BO222" s="3">
        <f>IF(AV222&lt;KMA_SOSP,IF(AA222="sí",100,KMA_PEN),IF(AV222&lt;=KMA_IDEAL_MAX,100,MAX(0,100*(KMA_CERO-AV222)/(KMA_CERO-KMA_IDEAL_MAX))))</f>
        <v/>
      </c>
      <c r="BP222" s="3">
        <f>MAX(0,MIN(100,100*(M222-ANIO_MIN)/(ANIO_ACTUAL-ANIO_MIN)))</f>
        <v/>
      </c>
      <c r="BQ222" s="3">
        <f>W_KMT*BN222+W_KMA*BO222+W_EDAD*BP222</f>
        <v/>
      </c>
      <c r="BR222" s="3">
        <f>P_ITV*(V222="sí")+P_LIBRO*(W222="sí")+P_CORREA*(X222="sí")+P_PROP*(Y222=1)+P_GAR*(Z222="sí")+P_FOTOS*MIN(1,N(U222)/FOTOS_OBJ)</f>
        <v/>
      </c>
      <c r="BS222" s="3">
        <f>IFERROR(VLOOKUP(BF222,ETQ_TBL,2,0),NEUTRO)</f>
        <v/>
      </c>
      <c r="BT222" s="3">
        <f>NEUTRO</f>
        <v/>
      </c>
      <c r="BU222" s="3">
        <f>IFERROR(VLOOKUP(L222,SEGURO_TBL,3,0),"")</f>
        <v/>
      </c>
      <c r="BV222" s="3">
        <f>IF(BU222="",NEUTRO,MAX(0,MIN(100,100*(SEG_REF_MAX-BU222)/(SEG_REF_MAX-SEG_REF_MIN))))</f>
        <v/>
      </c>
      <c r="BW222" s="3">
        <f>W_ET*BS222+W_CONS*BT222+W_SEG*BV222</f>
        <v/>
      </c>
      <c r="BX222" s="3">
        <f>IF(N(AB222)&gt;0,AB222,IF(AND(R222="profesional",SG_LEGAL_ON=1),GAR_LEGAL,0))</f>
        <v/>
      </c>
      <c r="BY222" s="3">
        <f>SG_GAR*MIN(1,BX222/SG_GAR_FULL)+SG_AMPL*(AC222="sí")+SG_KMC*(AF222="sí")+SG_REV*(N(AE222)&gt;0)+SG_DEV*MIN(1,N(AG222)/SG_DEV_FULL)+SG_HIST*(W222="sí")</f>
        <v/>
      </c>
      <c r="BZ222" s="3">
        <f>IFERROR(VLOOKUP(L222,CARR_PEN_TBL,2,0),0)</f>
        <v/>
      </c>
      <c r="CA222" s="3">
        <f>W_FIAB*BL222+W_PRECIO*BM222+W_KMEDAD*BQ222+W_ANUNCIO*BR222+W_USO*BW222+W_SEGURIDAD*BY222-BZ222</f>
        <v/>
      </c>
      <c r="CB222" s="4">
        <f>IF(N(I222)&gt;0,I222,IFERROR(ROUND(_xlfn.NUMBERVALUE(LEFT(G222,FIND(" ",G222&amp;" ")-1),".")*1000,0),99999))</f>
        <v/>
      </c>
      <c r="CC222" s="3">
        <f>IF(R222="profesional",0,IF(O222&lt;CUOTA_VALOR_MAX,IF(AU222&gt;ITP_TRAMO_ALTO,SUMIFS(CF_CUOTA,CF_MAS,ITP_TRAMO_ALTO,CF_CCMIN,"&lt;="&amp;CB222,CF_CCMAX,"&gt;="&amp;CB222),IF(AU222&gt;ITP_TRAMO_BAJO,SUMIFS(CF_CUOTA,CF_MAS,ITP_TRAMO_BAJO,CF_CCMIN,"&lt;="&amp;CB222,CF_CCMAX,"&gt;="&amp;CB222),O222*ITP_TIPO)),O222*ITP_TIPO))</f>
        <v/>
      </c>
      <c r="CD222" s="4">
        <f>IF(R222="profesional",N(AK222),0)</f>
        <v/>
      </c>
      <c r="CE222" s="3">
        <f>IF(AND(R222="profesional",ISNUMBER(AK222),AL222="sí"),0,TASA_DGT)</f>
        <v/>
      </c>
      <c r="CF222" s="3">
        <f>INFORME_DGT</f>
        <v/>
      </c>
      <c r="CG222" s="4">
        <f>O222+CD222+CC222+CE222+CF222</f>
        <v/>
      </c>
      <c r="CH222" s="4">
        <f>CG222+N(BU222)</f>
        <v/>
      </c>
      <c r="CI222" s="3">
        <f>IF(CG222&lt;=TOTAL_MAX,"sí",IF(CG222&lt;=TOTAL_MAX+MARGEN_NEG,"negociar","no"))</f>
        <v/>
      </c>
      <c r="CJ222" s="4">
        <f>IF(CI222&lt;&gt;"no",COUNTIFS($CI$2:$CI$662,"&lt;&gt;no",$CA$2:$CA$662,"&gt;"&amp;CA222)+COUNTIFS($CI$2:CI222,"&lt;&gt;no",$CA$2:CA222,CA222),"")</f>
        <v/>
      </c>
    </row>
    <row r="223">
      <c r="A223" s="2" t="inlineStr">
        <is>
          <t>autoscout24:3e636209-0702-4864-af84-d7cdcaf23036</t>
        </is>
      </c>
      <c r="B223" s="2" t="inlineStr">
        <is>
          <t>autoscout24</t>
        </is>
      </c>
      <c r="C223" s="2" t="inlineStr">
        <is>
          <t>https://www.autoscout24.es/anuncios/opel-corsa-corsa-1-3cdti-c-mon-ecof-105co2-c-mon-diesel-blanco-cat_ma54mo1918-3e636209-0702-4864-af84-d7cdcaf23036</t>
        </is>
      </c>
      <c r="D223" s="2" t="inlineStr">
        <is>
          <t>Opel Corsa Corsa 1.3CDTi C Mon ecoF. 105CO2 C Mon</t>
        </is>
      </c>
      <c r="E223" s="2" t="inlineStr">
        <is>
          <t>Opel</t>
        </is>
      </c>
      <c r="F223" s="2" t="inlineStr">
        <is>
          <t>Opel Corsa</t>
        </is>
      </c>
      <c r="G223" s="2" t="inlineStr">
        <is>
          <t>1.2 CDTi</t>
        </is>
      </c>
      <c r="H223" s="2" t="inlineStr">
        <is>
          <t>Corsa 1.3CDTi C Mon ecoF. 105CO2 C Mon 1.3 CDTI</t>
        </is>
      </c>
      <c r="I223" s="2" t="n">
        <v>1248</v>
      </c>
      <c r="J223" s="2" t="n">
        <v>75</v>
      </c>
      <c r="K223" s="2" t="inlineStr">
        <is>
          <t>diesel</t>
        </is>
      </c>
      <c r="L223" s="2" t="inlineStr">
        <is>
          <t>utilitario</t>
        </is>
      </c>
      <c r="M223" s="2" t="n">
        <v>2009</v>
      </c>
      <c r="N223" s="2" t="n">
        <v>119600</v>
      </c>
      <c r="O223" s="2" t="n">
        <v>4250</v>
      </c>
      <c r="P223" s="2" t="inlineStr">
        <is>
          <t>manual</t>
        </is>
      </c>
      <c r="Q223" s="2" t="inlineStr">
        <is>
          <t>no</t>
        </is>
      </c>
      <c r="R223" s="2" t="inlineStr">
        <is>
          <t>particular</t>
        </is>
      </c>
      <c r="S223" s="2" t="inlineStr">
        <is>
          <t>Castelló de la Plana (12100)</t>
        </is>
      </c>
      <c r="T223" s="2" t="n"/>
      <c r="U223" s="2" t="n">
        <v>19</v>
      </c>
      <c r="V223" s="2" t="inlineStr">
        <is>
          <t>sí</t>
        </is>
      </c>
      <c r="W223" s="2" t="n"/>
      <c r="X223" s="2" t="n"/>
      <c r="Y223" s="2" t="n">
        <v>1</v>
      </c>
      <c r="Z223" s="2" t="n"/>
      <c r="AA223" s="2" t="n"/>
      <c r="AB223" s="2" t="n"/>
      <c r="AC223" s="2" t="n"/>
      <c r="AD223" s="2" t="n"/>
      <c r="AE223" s="2" t="n"/>
      <c r="AF223" s="2" t="n"/>
      <c r="AG223" s="2" t="n"/>
      <c r="AH223" s="2" t="n"/>
      <c r="AI223" s="2" t="n"/>
      <c r="AJ223" s="2" t="n"/>
      <c r="AK223" s="2" t="n"/>
      <c r="AL223" s="2" t="n"/>
      <c r="AM223" s="2" t="n">
        <v>65.40000000000001</v>
      </c>
      <c r="AN223" s="2" t="n">
        <v>3600</v>
      </c>
      <c r="AO223" s="2" t="n">
        <v>9</v>
      </c>
      <c r="AP223" s="2" t="inlineStr">
        <is>
          <t>modelo+año+km</t>
        </is>
      </c>
      <c r="AQ223" s="2" t="n"/>
      <c r="AR223" s="2" t="inlineStr">
        <is>
          <t>cuota fija ITP: &gt;12 años, hasta 1.500 cc; diésel: motor sin fuente de fiabilidad (fiabilidad limitada a neutra)</t>
        </is>
      </c>
      <c r="AS223" s="2" t="inlineStr">
        <is>
          <t>Único propietario desde nuevo y solo 119.600 km reales y certificables. Motor diésel muy fiable, de bajo consumo y en perfecto funcionamiento. ITV en vigor hasta noviembre de 2026.&lt;br /&gt;&lt;br /&gt;Equipado con aire acondicionado, volante multifunción de cuero, ordenador de a bordo, faros antiniebla, llantas de aleación y equipo multimedia con pantalla táctil, Bluetooth y manos libres.&lt;br /&gt;&lt;br /&gt;Interior muy cuidado y mecánica en perfecto estado.&lt;br /&gt;&lt;br /&gt;Exterior con varios pequeños arañazos y picadas de pintura propios de la edad, sin golpes importantes.&lt;br /&gt;&lt;br /&gt;Se entrega con las dos llaves originales, manuales del vehículo y mantenimientos al día. Siempre guardado en garaje.&lt;br /&gt;&lt;br /&gt;Coche muy económico de mantener y consumir, ideal tanto para ciudad como para carretera.&lt;br /&gt;&lt;br /&gt;Se puede ver y probar sin compromiso.</t>
        </is>
      </c>
      <c r="AT223" s="2" t="inlineStr">
        <is>
          <t>https://www.autoscout24.es/anuncios/opel-corsa-corsa-1-3cdti-c-mon-ecof-105co2-c-mon-diesel-blanco-cat_ma54mo1918-3e636209-0702-4864-af84-d7cdcaf23036 (__NEXT_DATA__ listingDetails) /home/user/Alopecia/buscador-coches/raw/autoscout24/c0c3fba148d1de96.json</t>
        </is>
      </c>
      <c r="AU223" s="3">
        <f>MAX(ANIO_ACTUAL-M223,0)</f>
        <v/>
      </c>
      <c r="AV223" s="4">
        <f>N223/MAX(AU223,0.5)</f>
        <v/>
      </c>
      <c r="AW223" s="4">
        <f>F223</f>
        <v/>
      </c>
      <c r="AX223" s="3">
        <f>AW223&amp;"|"&amp;INT(M223/SEG_ANIO)*SEG_ANIO</f>
        <v/>
      </c>
      <c r="AY223" s="3">
        <f>AX223&amp;"|"&amp;INT(N223/SEG_KM)*SEG_KM</f>
        <v/>
      </c>
      <c r="AZ223" s="4">
        <f>COUNTIF($AW$2:$AW$662,AW223)</f>
        <v/>
      </c>
      <c r="BA223" s="4">
        <f>COUNTIF($AX$2:$AX$662,AX223)</f>
        <v/>
      </c>
      <c r="BB223" s="4">
        <f>COUNTIF($AY$2:$AY$662,AY223)</f>
        <v/>
      </c>
      <c r="BC223" s="3">
        <f t="array" ref="BC223">IF(N(AO223)&gt;=MIN_N,AN223,IF(BB223&gt;=MIN_N,MEDIAN(IF($AY$2:$AY$662=AY223,$O$2:$O$662)),IF(BA223&gt;=MIN_N,MEDIAN(IF($AX$2:$AX$662=AX223,$O$2:$O$662)),MEDIAN(IF($AW$2:$AW$662=AW223,$O$2:$O$662)))))</f>
        <v/>
      </c>
      <c r="BD223" s="3">
        <f>IF(N(AO223)&gt;=MIN_N,"mercado "&amp;AP223,IF(BB223&gt;=MIN_N,"modelo+año+km",IF(BA223&gt;=MIN_N,"modelo+año","modelo")))</f>
        <v/>
      </c>
      <c r="BE223" s="4">
        <f>(BC223-O223)/BC223</f>
        <v/>
      </c>
      <c r="BF223" s="3">
        <f>IF(OR(K223="hibrido",K223="glp"),"ECO",IF(K223="electrico","CERO",IF(K223="gasolina",IF(M223&gt;=GAS_C,"C",IF(M223&gt;=GAS_B,"B","A")),IF(K223="diesel",IF(M223&gt;=DIE_C,"C",IF(M223&gt;=DIE_B,"B","A")),""))))</f>
        <v/>
      </c>
      <c r="BG223" s="3">
        <f>IFERROR(VLOOKUP(F223,MOD_TBL,11,0),IFERROR(VLOOKUP(E223,OCU_TBL,2,0),NEUTRO))</f>
        <v/>
      </c>
      <c r="BH223" s="3">
        <f>SUMIFS(MOT_AJUSTE,MOT_MOTOR,G223,MOT_MARCA,E223,MOT_DESDE,"&lt;="&amp;M223,MOT_HASTA,"&gt;="&amp;M223)+SUMIFS(MOT_AJUSTE,MOT_MOTOR,G223,MOT_MARCA,"(todas)",MOT_DESDE,"&lt;="&amp;M223,MOT_HASTA,"&gt;="&amp;M223)</f>
        <v/>
      </c>
      <c r="BI223" s="3">
        <f>SUMIFS(COMB_AJUSTE,COMB_COMB,K223)</f>
        <v/>
      </c>
      <c r="BJ223" s="3">
        <f>COUNTIFS(MOT_MOTOR,G223,MOT_MARCA,E223,MOT_DESDE,"&lt;="&amp;M223,MOT_HASTA,"&gt;="&amp;M223)+COUNTIFS(MOT_MOTOR,G223,MOT_MARCA,"(todas)",MOT_DESDE,"&lt;="&amp;M223,MOT_HASTA,"&gt;="&amp;M223)</f>
        <v/>
      </c>
      <c r="BK223" s="3">
        <f>IF(AND(K223="diesel",BJ223=0),MIN(BG223,NEUTRO),BG223)</f>
        <v/>
      </c>
      <c r="BL223" s="4">
        <f>MAX(0,MIN(100,BK223+BH223+BI223))</f>
        <v/>
      </c>
      <c r="BM223" s="3">
        <f>MAX(0,MIN(100,50+BE223*PRECIO_PEND))</f>
        <v/>
      </c>
      <c r="BN223" s="3">
        <f>MAX(0,100*(1-N223/KM_MAX))</f>
        <v/>
      </c>
      <c r="BO223" s="3">
        <f>IF(AV223&lt;KMA_SOSP,IF(AA223="sí",100,KMA_PEN),IF(AV223&lt;=KMA_IDEAL_MAX,100,MAX(0,100*(KMA_CERO-AV223)/(KMA_CERO-KMA_IDEAL_MAX))))</f>
        <v/>
      </c>
      <c r="BP223" s="3">
        <f>MAX(0,MIN(100,100*(M223-ANIO_MIN)/(ANIO_ACTUAL-ANIO_MIN)))</f>
        <v/>
      </c>
      <c r="BQ223" s="3">
        <f>W_KMT*BN223+W_KMA*BO223+W_EDAD*BP223</f>
        <v/>
      </c>
      <c r="BR223" s="3">
        <f>P_ITV*(V223="sí")+P_LIBRO*(W223="sí")+P_CORREA*(X223="sí")+P_PROP*(Y223=1)+P_GAR*(Z223="sí")+P_FOTOS*MIN(1,N(U223)/FOTOS_OBJ)</f>
        <v/>
      </c>
      <c r="BS223" s="3">
        <f>IFERROR(VLOOKUP(BF223,ETQ_TBL,2,0),NEUTRO)</f>
        <v/>
      </c>
      <c r="BT223" s="3">
        <f>NEUTRO</f>
        <v/>
      </c>
      <c r="BU223" s="3">
        <f>IFERROR(VLOOKUP(L223,SEGURO_TBL,3,0),"")</f>
        <v/>
      </c>
      <c r="BV223" s="3">
        <f>IF(BU223="",NEUTRO,MAX(0,MIN(100,100*(SEG_REF_MAX-BU223)/(SEG_REF_MAX-SEG_REF_MIN))))</f>
        <v/>
      </c>
      <c r="BW223" s="3">
        <f>W_ET*BS223+W_CONS*BT223+W_SEG*BV223</f>
        <v/>
      </c>
      <c r="BX223" s="3">
        <f>IF(N(AB223)&gt;0,AB223,IF(AND(R223="profesional",SG_LEGAL_ON=1),GAR_LEGAL,0))</f>
        <v/>
      </c>
      <c r="BY223" s="3">
        <f>SG_GAR*MIN(1,BX223/SG_GAR_FULL)+SG_AMPL*(AC223="sí")+SG_KMC*(AF223="sí")+SG_REV*(N(AE223)&gt;0)+SG_DEV*MIN(1,N(AG223)/SG_DEV_FULL)+SG_HIST*(W223="sí")</f>
        <v/>
      </c>
      <c r="BZ223" s="3">
        <f>IFERROR(VLOOKUP(L223,CARR_PEN_TBL,2,0),0)</f>
        <v/>
      </c>
      <c r="CA223" s="3">
        <f>W_FIAB*BL223+W_PRECIO*BM223+W_KMEDAD*BQ223+W_ANUNCIO*BR223+W_USO*BW223+W_SEGURIDAD*BY223-BZ223</f>
        <v/>
      </c>
      <c r="CB223" s="4">
        <f>IF(N(I223)&gt;0,I223,IFERROR(ROUND(_xlfn.NUMBERVALUE(LEFT(G223,FIND(" ",G223&amp;" ")-1),".")*1000,0),99999))</f>
        <v/>
      </c>
      <c r="CC223" s="3">
        <f>IF(R223="profesional",0,IF(O223&lt;CUOTA_VALOR_MAX,IF(AU223&gt;ITP_TRAMO_ALTO,SUMIFS(CF_CUOTA,CF_MAS,ITP_TRAMO_ALTO,CF_CCMIN,"&lt;="&amp;CB223,CF_CCMAX,"&gt;="&amp;CB223),IF(AU223&gt;ITP_TRAMO_BAJO,SUMIFS(CF_CUOTA,CF_MAS,ITP_TRAMO_BAJO,CF_CCMIN,"&lt;="&amp;CB223,CF_CCMAX,"&gt;="&amp;CB223),O223*ITP_TIPO)),O223*ITP_TIPO))</f>
        <v/>
      </c>
      <c r="CD223" s="4">
        <f>IF(R223="profesional",N(AK223),0)</f>
        <v/>
      </c>
      <c r="CE223" s="3">
        <f>IF(AND(R223="profesional",ISNUMBER(AK223),AL223="sí"),0,TASA_DGT)</f>
        <v/>
      </c>
      <c r="CF223" s="3">
        <f>INFORME_DGT</f>
        <v/>
      </c>
      <c r="CG223" s="4">
        <f>O223+CD223+CC223+CE223+CF223</f>
        <v/>
      </c>
      <c r="CH223" s="4">
        <f>CG223+N(BU223)</f>
        <v/>
      </c>
      <c r="CI223" s="3">
        <f>IF(CG223&lt;=TOTAL_MAX,"sí",IF(CG223&lt;=TOTAL_MAX+MARGEN_NEG,"negociar","no"))</f>
        <v/>
      </c>
      <c r="CJ223" s="4">
        <f>IF(CI223&lt;&gt;"no",COUNTIFS($CI$2:$CI$662,"&lt;&gt;no",$CA$2:$CA$662,"&gt;"&amp;CA223)+COUNTIFS($CI$2:CI223,"&lt;&gt;no",$CA$2:CA223,CA223),"")</f>
        <v/>
      </c>
    </row>
    <row r="224">
      <c r="A224" s="2" t="inlineStr">
        <is>
          <t>autoscout24:b8d0034e-0169-4e4e-8df5-96a140c9fcf9</t>
        </is>
      </c>
      <c r="B224" s="2" t="inlineStr">
        <is>
          <t>autoscout24</t>
        </is>
      </c>
      <c r="C224" s="2" t="inlineStr">
        <is>
          <t>https://www.autoscout24.es/anuncios/opel-astra-gtc-1-6-16v-enjoy-gasolina-cat_ma54mo1916-b8d0034e-0169-4e4e-8df5-96a140c9fcf9</t>
        </is>
      </c>
      <c r="D224" s="2" t="inlineStr">
        <is>
          <t>Opel Astra GTC 1.6 16v Enjoy</t>
        </is>
      </c>
      <c r="E224" s="2" t="inlineStr">
        <is>
          <t>Opel</t>
        </is>
      </c>
      <c r="F224" s="2" t="inlineStr">
        <is>
          <t>Opel Astra</t>
        </is>
      </c>
      <c r="G224" s="2" t="inlineStr">
        <is>
          <t>1.6</t>
        </is>
      </c>
      <c r="H224" s="2" t="inlineStr">
        <is>
          <t>GTC 1.6 16v Enjoy 1.6</t>
        </is>
      </c>
      <c r="I224" s="2" t="n">
        <v>1598</v>
      </c>
      <c r="J224" s="2" t="n">
        <v>105</v>
      </c>
      <c r="K224" s="2" t="inlineStr">
        <is>
          <t>gasolina</t>
        </is>
      </c>
      <c r="L224" s="2" t="inlineStr">
        <is>
          <t>compacto</t>
        </is>
      </c>
      <c r="M224" s="2" t="n">
        <v>2006</v>
      </c>
      <c r="N224" s="2" t="n">
        <v>127500</v>
      </c>
      <c r="O224" s="2" t="n">
        <v>3700</v>
      </c>
      <c r="P224" s="2" t="inlineStr">
        <is>
          <t>manual</t>
        </is>
      </c>
      <c r="Q224" s="2" t="inlineStr">
        <is>
          <t>no</t>
        </is>
      </c>
      <c r="R224" s="2" t="inlineStr">
        <is>
          <t>particular</t>
        </is>
      </c>
      <c r="S224" s="2" t="inlineStr">
        <is>
          <t>Sueca (46410)</t>
        </is>
      </c>
      <c r="T224" s="2" t="n"/>
      <c r="U224" s="2" t="n">
        <v>11</v>
      </c>
      <c r="V224" s="2" t="n"/>
      <c r="W224" s="2" t="n"/>
      <c r="X224" s="2" t="n"/>
      <c r="Y224" s="2" t="n"/>
      <c r="Z224" s="2" t="n"/>
      <c r="AA224" s="2" t="n"/>
      <c r="AB224" s="2" t="n"/>
      <c r="AC224" s="2" t="n"/>
      <c r="AD224" s="2" t="n"/>
      <c r="AE224" s="2" t="n"/>
      <c r="AF224" s="2" t="n"/>
      <c r="AG224" s="2" t="n"/>
      <c r="AH224" s="2" t="n"/>
      <c r="AI224" s="2" t="n"/>
      <c r="AJ224" s="2" t="n"/>
      <c r="AK224" s="2" t="n"/>
      <c r="AL224" s="2" t="n"/>
      <c r="AM224" s="2" t="n">
        <v>30.3</v>
      </c>
      <c r="AN224" s="2" t="n">
        <v>3725</v>
      </c>
      <c r="AO224" s="2" t="n">
        <v>12</v>
      </c>
      <c r="AP224" s="2" t="inlineStr">
        <is>
          <t>modelo+año+km</t>
        </is>
      </c>
      <c r="AQ224" s="2" t="n"/>
      <c r="AR224" s="2" t="inlineStr">
        <is>
          <t>cuota fija ITP: &gt;12 años, 1.501-2.000 cc</t>
        </is>
      </c>
      <c r="AS224" s="2" t="inlineStr">
        <is>
          <t>muy bien estado  revisiones pasadas &lt;br /&gt;detalle pintura trasera</t>
        </is>
      </c>
      <c r="AT224" s="2" t="inlineStr">
        <is>
          <t>https://www.autoscout24.es/anuncios/opel-astra-gtc-1-6-16v-enjoy-gasolina-cat_ma54mo1916-b8d0034e-0169-4e4e-8df5-96a140c9fcf9 (__NEXT_DATA__ listingDetails) /home/user/Alopecia/buscador-coches/raw/autoscout24/0b11c3b5d0d34444.json</t>
        </is>
      </c>
      <c r="AU224" s="3">
        <f>MAX(ANIO_ACTUAL-M224,0)</f>
        <v/>
      </c>
      <c r="AV224" s="4">
        <f>N224/MAX(AU224,0.5)</f>
        <v/>
      </c>
      <c r="AW224" s="4">
        <f>F224</f>
        <v/>
      </c>
      <c r="AX224" s="3">
        <f>AW224&amp;"|"&amp;INT(M224/SEG_ANIO)*SEG_ANIO</f>
        <v/>
      </c>
      <c r="AY224" s="3">
        <f>AX224&amp;"|"&amp;INT(N224/SEG_KM)*SEG_KM</f>
        <v/>
      </c>
      <c r="AZ224" s="4">
        <f>COUNTIF($AW$2:$AW$662,AW224)</f>
        <v/>
      </c>
      <c r="BA224" s="4">
        <f>COUNTIF($AX$2:$AX$662,AX224)</f>
        <v/>
      </c>
      <c r="BB224" s="4">
        <f>COUNTIF($AY$2:$AY$662,AY224)</f>
        <v/>
      </c>
      <c r="BC224" s="3">
        <f t="array" ref="BC224">IF(N(AO224)&gt;=MIN_N,AN224,IF(BB224&gt;=MIN_N,MEDIAN(IF($AY$2:$AY$662=AY224,$O$2:$O$662)),IF(BA224&gt;=MIN_N,MEDIAN(IF($AX$2:$AX$662=AX224,$O$2:$O$662)),MEDIAN(IF($AW$2:$AW$662=AW224,$O$2:$O$662)))))</f>
        <v/>
      </c>
      <c r="BD224" s="3">
        <f>IF(N(AO224)&gt;=MIN_N,"mercado "&amp;AP224,IF(BB224&gt;=MIN_N,"modelo+año+km",IF(BA224&gt;=MIN_N,"modelo+año","modelo")))</f>
        <v/>
      </c>
      <c r="BE224" s="4">
        <f>(BC224-O224)/BC224</f>
        <v/>
      </c>
      <c r="BF224" s="3">
        <f>IF(OR(K224="hibrido",K224="glp"),"ECO",IF(K224="electrico","CERO",IF(K224="gasolina",IF(M224&gt;=GAS_C,"C",IF(M224&gt;=GAS_B,"B","A")),IF(K224="diesel",IF(M224&gt;=DIE_C,"C",IF(M224&gt;=DIE_B,"B","A")),""))))</f>
        <v/>
      </c>
      <c r="BG224" s="3">
        <f>IFERROR(VLOOKUP(F224,MOD_TBL,11,0),IFERROR(VLOOKUP(E224,OCU_TBL,2,0),NEUTRO))</f>
        <v/>
      </c>
      <c r="BH224" s="3">
        <f>SUMIFS(MOT_AJUSTE,MOT_MOTOR,G224,MOT_MARCA,E224,MOT_DESDE,"&lt;="&amp;M224,MOT_HASTA,"&gt;="&amp;M224)+SUMIFS(MOT_AJUSTE,MOT_MOTOR,G224,MOT_MARCA,"(todas)",MOT_DESDE,"&lt;="&amp;M224,MOT_HASTA,"&gt;="&amp;M224)</f>
        <v/>
      </c>
      <c r="BI224" s="3">
        <f>SUMIFS(COMB_AJUSTE,COMB_COMB,K224)</f>
        <v/>
      </c>
      <c r="BJ224" s="3">
        <f>COUNTIFS(MOT_MOTOR,G224,MOT_MARCA,E224,MOT_DESDE,"&lt;="&amp;M224,MOT_HASTA,"&gt;="&amp;M224)+COUNTIFS(MOT_MOTOR,G224,MOT_MARCA,"(todas)",MOT_DESDE,"&lt;="&amp;M224,MOT_HASTA,"&gt;="&amp;M224)</f>
        <v/>
      </c>
      <c r="BK224" s="3">
        <f>IF(AND(K224="diesel",BJ224=0),MIN(BG224,NEUTRO),BG224)</f>
        <v/>
      </c>
      <c r="BL224" s="4">
        <f>MAX(0,MIN(100,BK224+BH224+BI224))</f>
        <v/>
      </c>
      <c r="BM224" s="3">
        <f>MAX(0,MIN(100,50+BE224*PRECIO_PEND))</f>
        <v/>
      </c>
      <c r="BN224" s="3">
        <f>MAX(0,100*(1-N224/KM_MAX))</f>
        <v/>
      </c>
      <c r="BO224" s="3">
        <f>IF(AV224&lt;KMA_SOSP,IF(AA224="sí",100,KMA_PEN),IF(AV224&lt;=KMA_IDEAL_MAX,100,MAX(0,100*(KMA_CERO-AV224)/(KMA_CERO-KMA_IDEAL_MAX))))</f>
        <v/>
      </c>
      <c r="BP224" s="3">
        <f>MAX(0,MIN(100,100*(M224-ANIO_MIN)/(ANIO_ACTUAL-ANIO_MIN)))</f>
        <v/>
      </c>
      <c r="BQ224" s="3">
        <f>W_KMT*BN224+W_KMA*BO224+W_EDAD*BP224</f>
        <v/>
      </c>
      <c r="BR224" s="3">
        <f>P_ITV*(V224="sí")+P_LIBRO*(W224="sí")+P_CORREA*(X224="sí")+P_PROP*(Y224=1)+P_GAR*(Z224="sí")+P_FOTOS*MIN(1,N(U224)/FOTOS_OBJ)</f>
        <v/>
      </c>
      <c r="BS224" s="3">
        <f>IFERROR(VLOOKUP(BF224,ETQ_TBL,2,0),NEUTRO)</f>
        <v/>
      </c>
      <c r="BT224" s="3">
        <f>NEUTRO</f>
        <v/>
      </c>
      <c r="BU224" s="3">
        <f>IFERROR(VLOOKUP(L224,SEGURO_TBL,3,0),"")</f>
        <v/>
      </c>
      <c r="BV224" s="3">
        <f>IF(BU224="",NEUTRO,MAX(0,MIN(100,100*(SEG_REF_MAX-BU224)/(SEG_REF_MAX-SEG_REF_MIN))))</f>
        <v/>
      </c>
      <c r="BW224" s="3">
        <f>W_ET*BS224+W_CONS*BT224+W_SEG*BV224</f>
        <v/>
      </c>
      <c r="BX224" s="3">
        <f>IF(N(AB224)&gt;0,AB224,IF(AND(R224="profesional",SG_LEGAL_ON=1),GAR_LEGAL,0))</f>
        <v/>
      </c>
      <c r="BY224" s="3">
        <f>SG_GAR*MIN(1,BX224/SG_GAR_FULL)+SG_AMPL*(AC224="sí")+SG_KMC*(AF224="sí")+SG_REV*(N(AE224)&gt;0)+SG_DEV*MIN(1,N(AG224)/SG_DEV_FULL)+SG_HIST*(W224="sí")</f>
        <v/>
      </c>
      <c r="BZ224" s="3">
        <f>IFERROR(VLOOKUP(L224,CARR_PEN_TBL,2,0),0)</f>
        <v/>
      </c>
      <c r="CA224" s="3">
        <f>W_FIAB*BL224+W_PRECIO*BM224+W_KMEDAD*BQ224+W_ANUNCIO*BR224+W_USO*BW224+W_SEGURIDAD*BY224-BZ224</f>
        <v/>
      </c>
      <c r="CB224" s="4">
        <f>IF(N(I224)&gt;0,I224,IFERROR(ROUND(_xlfn.NUMBERVALUE(LEFT(G224,FIND(" ",G224&amp;" ")-1),".")*1000,0),99999))</f>
        <v/>
      </c>
      <c r="CC224" s="3">
        <f>IF(R224="profesional",0,IF(O224&lt;CUOTA_VALOR_MAX,IF(AU224&gt;ITP_TRAMO_ALTO,SUMIFS(CF_CUOTA,CF_MAS,ITP_TRAMO_ALTO,CF_CCMIN,"&lt;="&amp;CB224,CF_CCMAX,"&gt;="&amp;CB224),IF(AU224&gt;ITP_TRAMO_BAJO,SUMIFS(CF_CUOTA,CF_MAS,ITP_TRAMO_BAJO,CF_CCMIN,"&lt;="&amp;CB224,CF_CCMAX,"&gt;="&amp;CB224),O224*ITP_TIPO)),O224*ITP_TIPO))</f>
        <v/>
      </c>
      <c r="CD224" s="4">
        <f>IF(R224="profesional",N(AK224),0)</f>
        <v/>
      </c>
      <c r="CE224" s="3">
        <f>IF(AND(R224="profesional",ISNUMBER(AK224),AL224="sí"),0,TASA_DGT)</f>
        <v/>
      </c>
      <c r="CF224" s="3">
        <f>INFORME_DGT</f>
        <v/>
      </c>
      <c r="CG224" s="4">
        <f>O224+CD224+CC224+CE224+CF224</f>
        <v/>
      </c>
      <c r="CH224" s="4">
        <f>CG224+N(BU224)</f>
        <v/>
      </c>
      <c r="CI224" s="3">
        <f>IF(CG224&lt;=TOTAL_MAX,"sí",IF(CG224&lt;=TOTAL_MAX+MARGEN_NEG,"negociar","no"))</f>
        <v/>
      </c>
      <c r="CJ224" s="4">
        <f>IF(CI224&lt;&gt;"no",COUNTIFS($CI$2:$CI$662,"&lt;&gt;no",$CA$2:$CA$662,"&gt;"&amp;CA224)+COUNTIFS($CI$2:CI224,"&lt;&gt;no",$CA$2:CA224,CA224),"")</f>
        <v/>
      </c>
    </row>
    <row r="225">
      <c r="A225" s="2" t="inlineStr">
        <is>
          <t>autoscout24:1cca5cad-4cf0-4244-9080-00062bf7841d</t>
        </is>
      </c>
      <c r="B225" s="2" t="inlineStr">
        <is>
          <t>autoscout24</t>
        </is>
      </c>
      <c r="C225" s="2" t="inlineStr">
        <is>
          <t>https://www.autoscout24.es/anuncios/opel-meriva-1-6-cdti-ecoflex-start-stop-edition-diesel-blanco-cat_ma54mo18341-1cca5cad-4cf0-4244-9080-00062bf7841d</t>
        </is>
      </c>
      <c r="D225" s="2" t="inlineStr">
        <is>
          <t>Opel Meriva 1.6 CDTI ecoflex Start/Stop Edition</t>
        </is>
      </c>
      <c r="E225" s="2" t="inlineStr">
        <is>
          <t>Opel</t>
        </is>
      </c>
      <c r="F225" s="2" t="inlineStr">
        <is>
          <t>Opel Meriva</t>
        </is>
      </c>
      <c r="G225" s="2" t="inlineStr">
        <is>
          <t>1.6 CDTi</t>
        </is>
      </c>
      <c r="H225" s="2" t="inlineStr">
        <is>
          <t>1.6 CDTI ecoflex Start/Stop Edition 1.6 CDTI</t>
        </is>
      </c>
      <c r="I225" s="2" t="n">
        <v>1598</v>
      </c>
      <c r="J225" s="2" t="n">
        <v>110</v>
      </c>
      <c r="K225" s="2" t="inlineStr">
        <is>
          <t>diesel</t>
        </is>
      </c>
      <c r="L225" s="2" t="inlineStr">
        <is>
          <t>monovolumen_pequeno</t>
        </is>
      </c>
      <c r="M225" s="2" t="n">
        <v>2015</v>
      </c>
      <c r="N225" s="2" t="n">
        <v>196000</v>
      </c>
      <c r="O225" s="2" t="n">
        <v>4999</v>
      </c>
      <c r="P225" s="2" t="inlineStr">
        <is>
          <t>manual</t>
        </is>
      </c>
      <c r="Q225" s="2" t="inlineStr">
        <is>
          <t>no</t>
        </is>
      </c>
      <c r="R225" s="2" t="inlineStr">
        <is>
          <t>particular</t>
        </is>
      </c>
      <c r="S225" s="2" t="inlineStr">
        <is>
          <t>oliva (46780)</t>
        </is>
      </c>
      <c r="T225" s="2" t="n"/>
      <c r="U225" s="2" t="n">
        <v>11</v>
      </c>
      <c r="V225" s="2" t="n"/>
      <c r="W225" s="2" t="n"/>
      <c r="X225" s="2" t="n"/>
      <c r="Y225" s="2" t="n"/>
      <c r="Z225" s="2" t="n"/>
      <c r="AA225" s="2" t="n"/>
      <c r="AB225" s="2" t="n"/>
      <c r="AC225" s="2" t="n"/>
      <c r="AD225" s="2" t="n"/>
      <c r="AE225" s="2" t="n"/>
      <c r="AF225" s="2" t="n"/>
      <c r="AG225" s="2" t="n"/>
      <c r="AH225" s="2" t="n"/>
      <c r="AI225" s="2" t="n"/>
      <c r="AJ225" s="2" t="n"/>
      <c r="AK225" s="2" t="n"/>
      <c r="AL225" s="2" t="n"/>
      <c r="AM225" s="2" t="n">
        <v>65</v>
      </c>
      <c r="AN225" s="2" t="n">
        <v>5990</v>
      </c>
      <c r="AO225" s="2" t="n">
        <v>5</v>
      </c>
      <c r="AP225" s="2" t="inlineStr">
        <is>
          <t>modelo+año+km</t>
        </is>
      </c>
      <c r="AQ225" s="2" t="n"/>
      <c r="AR225" s="2" t="inlineStr">
        <is>
          <t>por encima del presupuesto (5243 €), negociar; cuota fija ITP: &gt;5 y &lt;=12 años, 1.501-2.000 cc; diésel: motor sin fuente de fiabilidad (fiabilidad limitada a neutra); carrocería monovolumen_pequeno: -6 puntos; fiabilidad del modelo PENDIENTE de fuente (puntuación neutra)</t>
        </is>
      </c>
      <c r="AS225" s="2" t="inlineStr">
        <is>
          <t>Se vende Opel Meriva 1.6 diésel, 110 CV.&lt;br /&gt;El coche cuenta con cadena de distribución (no correa), lo cual es una gran ventaja por su durabilidad. Además, la cadena ya ha sido sustituida, un mantenimiento importante y costoso ya realizado.&lt;br /&gt;&lt;br /&gt;El vehículo tiene 196.000 km y se encuentra en excelente estado.&lt;br /&gt;Se han realizado todos los mantenimientos al día: aceite y filtros cambiados puntualmente.&lt;br /&gt;&lt;br /&gt;Coche cuidado, fiable y listo para usar sin necesidad de inversión adicional.&lt;br /&gt;Se acepta cualquier prueba mecánica.</t>
        </is>
      </c>
      <c r="AT225" s="2" t="inlineStr">
        <is>
          <t>https://www.autoscout24.es/anuncios/opel-meriva-1-6-cdti-ecoflex-start-stop-edition-diesel-blanco-cat_ma54mo18341-1cca5cad-4cf0-4244-9080-00062bf7841d (__NEXT_DATA__ listingDetails) /home/user/Alopecia/buscador-coches/raw/autoscout24/f156729d111b7242.json</t>
        </is>
      </c>
      <c r="AU225" s="3">
        <f>MAX(ANIO_ACTUAL-M225,0)</f>
        <v/>
      </c>
      <c r="AV225" s="4">
        <f>N225/MAX(AU225,0.5)</f>
        <v/>
      </c>
      <c r="AW225" s="4">
        <f>F225</f>
        <v/>
      </c>
      <c r="AX225" s="3">
        <f>AW225&amp;"|"&amp;INT(M225/SEG_ANIO)*SEG_ANIO</f>
        <v/>
      </c>
      <c r="AY225" s="3">
        <f>AX225&amp;"|"&amp;INT(N225/SEG_KM)*SEG_KM</f>
        <v/>
      </c>
      <c r="AZ225" s="4">
        <f>COUNTIF($AW$2:$AW$662,AW225)</f>
        <v/>
      </c>
      <c r="BA225" s="4">
        <f>COUNTIF($AX$2:$AX$662,AX225)</f>
        <v/>
      </c>
      <c r="BB225" s="4">
        <f>COUNTIF($AY$2:$AY$662,AY225)</f>
        <v/>
      </c>
      <c r="BC225" s="3">
        <f t="array" ref="BC225">IF(N(AO225)&gt;=MIN_N,AN225,IF(BB225&gt;=MIN_N,MEDIAN(IF($AY$2:$AY$662=AY225,$O$2:$O$662)),IF(BA225&gt;=MIN_N,MEDIAN(IF($AX$2:$AX$662=AX225,$O$2:$O$662)),MEDIAN(IF($AW$2:$AW$662=AW225,$O$2:$O$662)))))</f>
        <v/>
      </c>
      <c r="BD225" s="3">
        <f>IF(N(AO225)&gt;=MIN_N,"mercado "&amp;AP225,IF(BB225&gt;=MIN_N,"modelo+año+km",IF(BA225&gt;=MIN_N,"modelo+año","modelo")))</f>
        <v/>
      </c>
      <c r="BE225" s="4">
        <f>(BC225-O225)/BC225</f>
        <v/>
      </c>
      <c r="BF225" s="3">
        <f>IF(OR(K225="hibrido",K225="glp"),"ECO",IF(K225="electrico","CERO",IF(K225="gasolina",IF(M225&gt;=GAS_C,"C",IF(M225&gt;=GAS_B,"B","A")),IF(K225="diesel",IF(M225&gt;=DIE_C,"C",IF(M225&gt;=DIE_B,"B","A")),""))))</f>
        <v/>
      </c>
      <c r="BG225" s="3">
        <f>IFERROR(VLOOKUP(F225,MOD_TBL,11,0),IFERROR(VLOOKUP(E225,OCU_TBL,2,0),NEUTRO))</f>
        <v/>
      </c>
      <c r="BH225" s="3">
        <f>SUMIFS(MOT_AJUSTE,MOT_MOTOR,G225,MOT_MARCA,E225,MOT_DESDE,"&lt;="&amp;M225,MOT_HASTA,"&gt;="&amp;M225)+SUMIFS(MOT_AJUSTE,MOT_MOTOR,G225,MOT_MARCA,"(todas)",MOT_DESDE,"&lt;="&amp;M225,MOT_HASTA,"&gt;="&amp;M225)</f>
        <v/>
      </c>
      <c r="BI225" s="3">
        <f>SUMIFS(COMB_AJUSTE,COMB_COMB,K225)</f>
        <v/>
      </c>
      <c r="BJ225" s="3">
        <f>COUNTIFS(MOT_MOTOR,G225,MOT_MARCA,E225,MOT_DESDE,"&lt;="&amp;M225,MOT_HASTA,"&gt;="&amp;M225)+COUNTIFS(MOT_MOTOR,G225,MOT_MARCA,"(todas)",MOT_DESDE,"&lt;="&amp;M225,MOT_HASTA,"&gt;="&amp;M225)</f>
        <v/>
      </c>
      <c r="BK225" s="3">
        <f>IF(AND(K225="diesel",BJ225=0),MIN(BG225,NEUTRO),BG225)</f>
        <v/>
      </c>
      <c r="BL225" s="4">
        <f>MAX(0,MIN(100,BK225+BH225+BI225))</f>
        <v/>
      </c>
      <c r="BM225" s="3">
        <f>MAX(0,MIN(100,50+BE225*PRECIO_PEND))</f>
        <v/>
      </c>
      <c r="BN225" s="3">
        <f>MAX(0,100*(1-N225/KM_MAX))</f>
        <v/>
      </c>
      <c r="BO225" s="3">
        <f>IF(AV225&lt;KMA_SOSP,IF(AA225="sí",100,KMA_PEN),IF(AV225&lt;=KMA_IDEAL_MAX,100,MAX(0,100*(KMA_CERO-AV225)/(KMA_CERO-KMA_IDEAL_MAX))))</f>
        <v/>
      </c>
      <c r="BP225" s="3">
        <f>MAX(0,MIN(100,100*(M225-ANIO_MIN)/(ANIO_ACTUAL-ANIO_MIN)))</f>
        <v/>
      </c>
      <c r="BQ225" s="3">
        <f>W_KMT*BN225+W_KMA*BO225+W_EDAD*BP225</f>
        <v/>
      </c>
      <c r="BR225" s="3">
        <f>P_ITV*(V225="sí")+P_LIBRO*(W225="sí")+P_CORREA*(X225="sí")+P_PROP*(Y225=1)+P_GAR*(Z225="sí")+P_FOTOS*MIN(1,N(U225)/FOTOS_OBJ)</f>
        <v/>
      </c>
      <c r="BS225" s="3">
        <f>IFERROR(VLOOKUP(BF225,ETQ_TBL,2,0),NEUTRO)</f>
        <v/>
      </c>
      <c r="BT225" s="3">
        <f>NEUTRO</f>
        <v/>
      </c>
      <c r="BU225" s="3">
        <f>IFERROR(VLOOKUP(L225,SEGURO_TBL,3,0),"")</f>
        <v/>
      </c>
      <c r="BV225" s="3">
        <f>IF(BU225="",NEUTRO,MAX(0,MIN(100,100*(SEG_REF_MAX-BU225)/(SEG_REF_MAX-SEG_REF_MIN))))</f>
        <v/>
      </c>
      <c r="BW225" s="3">
        <f>W_ET*BS225+W_CONS*BT225+W_SEG*BV225</f>
        <v/>
      </c>
      <c r="BX225" s="3">
        <f>IF(N(AB225)&gt;0,AB225,IF(AND(R225="profesional",SG_LEGAL_ON=1),GAR_LEGAL,0))</f>
        <v/>
      </c>
      <c r="BY225" s="3">
        <f>SG_GAR*MIN(1,BX225/SG_GAR_FULL)+SG_AMPL*(AC225="sí")+SG_KMC*(AF225="sí")+SG_REV*(N(AE225)&gt;0)+SG_DEV*MIN(1,N(AG225)/SG_DEV_FULL)+SG_HIST*(W225="sí")</f>
        <v/>
      </c>
      <c r="BZ225" s="3">
        <f>IFERROR(VLOOKUP(L225,CARR_PEN_TBL,2,0),0)</f>
        <v/>
      </c>
      <c r="CA225" s="3">
        <f>W_FIAB*BL225+W_PRECIO*BM225+W_KMEDAD*BQ225+W_ANUNCIO*BR225+W_USO*BW225+W_SEGURIDAD*BY225-BZ225</f>
        <v/>
      </c>
      <c r="CB225" s="4">
        <f>IF(N(I225)&gt;0,I225,IFERROR(ROUND(_xlfn.NUMBERVALUE(LEFT(G225,FIND(" ",G225&amp;" ")-1),".")*1000,0),99999))</f>
        <v/>
      </c>
      <c r="CC225" s="3">
        <f>IF(R225="profesional",0,IF(O225&lt;CUOTA_VALOR_MAX,IF(AU225&gt;ITP_TRAMO_ALTO,SUMIFS(CF_CUOTA,CF_MAS,ITP_TRAMO_ALTO,CF_CCMIN,"&lt;="&amp;CB225,CF_CCMAX,"&gt;="&amp;CB225),IF(AU225&gt;ITP_TRAMO_BAJO,SUMIFS(CF_CUOTA,CF_MAS,ITP_TRAMO_BAJO,CF_CCMIN,"&lt;="&amp;CB225,CF_CCMAX,"&gt;="&amp;CB225),O225*ITP_TIPO)),O225*ITP_TIPO))</f>
        <v/>
      </c>
      <c r="CD225" s="4">
        <f>IF(R225="profesional",N(AK225),0)</f>
        <v/>
      </c>
      <c r="CE225" s="3">
        <f>IF(AND(R225="profesional",ISNUMBER(AK225),AL225="sí"),0,TASA_DGT)</f>
        <v/>
      </c>
      <c r="CF225" s="3">
        <f>INFORME_DGT</f>
        <v/>
      </c>
      <c r="CG225" s="4">
        <f>O225+CD225+CC225+CE225+CF225</f>
        <v/>
      </c>
      <c r="CH225" s="4">
        <f>CG225+N(BU225)</f>
        <v/>
      </c>
      <c r="CI225" s="3">
        <f>IF(CG225&lt;=TOTAL_MAX,"sí",IF(CG225&lt;=TOTAL_MAX+MARGEN_NEG,"negociar","no"))</f>
        <v/>
      </c>
      <c r="CJ225" s="4">
        <f>IF(CI225&lt;&gt;"no",COUNTIFS($CI$2:$CI$662,"&lt;&gt;no",$CA$2:$CA$662,"&gt;"&amp;CA225)+COUNTIFS($CI$2:CI225,"&lt;&gt;no",$CA$2:CA225,CA225),"")</f>
        <v/>
      </c>
    </row>
    <row r="226">
      <c r="A226" s="2" t="inlineStr">
        <is>
          <t>autoscout24:16231333-d29d-407b-b721-6f4bf3ddfcdb</t>
        </is>
      </c>
      <c r="B226" s="2" t="inlineStr">
        <is>
          <t>autoscout24</t>
        </is>
      </c>
      <c r="C226" s="2" t="inlineStr">
        <is>
          <t>https://www.autoscout24.es/anuncios/opel-corsa-manual-gasolina-blanco-cat_ma54mo1918-16231333-d29d-407b-b721-6f4bf3ddfcdb</t>
        </is>
      </c>
      <c r="D226" s="2" t="inlineStr">
        <is>
          <t>Opel Corsa Manual</t>
        </is>
      </c>
      <c r="E226" s="2" t="inlineStr">
        <is>
          <t>Opel</t>
        </is>
      </c>
      <c r="F226" s="2" t="inlineStr">
        <is>
          <t>Opel Corsa</t>
        </is>
      </c>
      <c r="G226" s="2" t="inlineStr">
        <is>
          <t>1.4</t>
        </is>
      </c>
      <c r="H226" s="2" t="inlineStr">
        <is>
          <t>Manual 1.4</t>
        </is>
      </c>
      <c r="I226" s="2" t="n"/>
      <c r="J226" s="2" t="n">
        <v>82</v>
      </c>
      <c r="K226" s="2" t="inlineStr">
        <is>
          <t>gasolina</t>
        </is>
      </c>
      <c r="L226" s="2" t="inlineStr">
        <is>
          <t>utilitario</t>
        </is>
      </c>
      <c r="M226" s="2" t="n">
        <v>2014</v>
      </c>
      <c r="N226" s="2" t="n">
        <v>210000</v>
      </c>
      <c r="O226" s="2" t="n">
        <v>4900</v>
      </c>
      <c r="P226" s="2" t="inlineStr">
        <is>
          <t>manual</t>
        </is>
      </c>
      <c r="Q226" s="2" t="inlineStr">
        <is>
          <t>no</t>
        </is>
      </c>
      <c r="R226" s="2" t="inlineStr">
        <is>
          <t>particular</t>
        </is>
      </c>
      <c r="S226" s="2" t="inlineStr">
        <is>
          <t>valencia  (46015)</t>
        </is>
      </c>
      <c r="T226" s="2" t="n"/>
      <c r="U226" s="2" t="n">
        <v>10</v>
      </c>
      <c r="V226" s="2" t="inlineStr">
        <is>
          <t>sí</t>
        </is>
      </c>
      <c r="W226" s="2" t="inlineStr">
        <is>
          <t>sí</t>
        </is>
      </c>
      <c r="X226" s="2" t="n"/>
      <c r="Y226" s="2" t="n"/>
      <c r="Z226" s="2" t="n"/>
      <c r="AA226" s="2" t="n"/>
      <c r="AB226" s="2" t="n"/>
      <c r="AC226" s="2" t="n"/>
      <c r="AD226" s="2" t="n"/>
      <c r="AE226" s="2" t="n"/>
      <c r="AF226" s="2" t="n"/>
      <c r="AG226" s="2" t="n"/>
      <c r="AH226" s="2" t="n"/>
      <c r="AI226" s="2" t="n"/>
      <c r="AJ226" s="2" t="n"/>
      <c r="AK226" s="2" t="n"/>
      <c r="AL226" s="2" t="n"/>
      <c r="AM226" s="2" t="n">
        <v>3.2</v>
      </c>
      <c r="AN226" s="2" t="n">
        <v>4690</v>
      </c>
      <c r="AO226" s="2" t="n">
        <v>8</v>
      </c>
      <c r="AP226" s="2" t="inlineStr">
        <is>
          <t>modelo+año+km</t>
        </is>
      </c>
      <c r="AQ226" s="2" t="n"/>
      <c r="AR226" s="2" t="inlineStr">
        <is>
          <t>por encima del presupuesto (5084 €), negociar; cuota fija ITP: &gt;5 y &lt;=12 años, hasta 1.500 cc</t>
        </is>
      </c>
      <c r="AS226" s="2" t="inlineStr">
        <is>
          <t>🚗 ¡OPORTUNIDAD! OPEL CORSA 2014 – PERSONALIZADO Y CON MANTENIMIENTO AL DÍA 🚗&lt;br /&gt;¿Buscas un coche fiable, de consumo mínimo, pero con estética deportiva y equipamiento moderno? Vendo mi Opel Corsa del año 2014 con 210.000 km, cuidado al detalle y cargado de extras exclusivos que no vienen de fábrica. El coche está impecable y listo para rodar sin tener que invertir un solo euro en él.&lt;br /&gt;⚙️ MANTENIMIENTO COMPLETO Y RECIENTE:&lt;br /&gt;El coche se ha mantenido rigurosamente al día. Cuenta con:&lt;br /&gt;• ITV RECIÉN PASADA: Totalmente al día y válida hasta junio del año que viene.&lt;br /&gt;• Revisión mecánica reciente: Aceite y todos los filtros recién cambiados.&lt;br /&gt;• Frenos: Pastillas de freno totalmente nuevas.&lt;br /&gt;• Renovación de ópticas: Todas las luces de los faros, tanto delanteras como traseras, se acaban de cambiar por completo.&lt;br /&gt;• Estética: Matrículas recién cambiadas de las antiguas metálicas a unas nuevas de metacrilato, mucho más modernas.&lt;br /&gt;💎 EXTRAS EXCLUSIVOS AÑADIDOS:&lt;br /&gt;Este coche destaca por su personalización tanto en rendimiento como en estética:&lt;br /&gt;• ILUMINACIÓN: Faros delanteros con bombillas LED H7 HOMOLOGADAS (pasan ITV sin problemas y ofrecen una visibilidad nocturna espectacular).&lt;br /&gt;• MULTIMEDIA Y SONIDO: Pantalla con conexión Bluetooth instantánea (conecta al momento). Además, se ha cambiado y mejorado por completo el equipo de música y los altavoces para una calidad de audio limpia y potente.&lt;br /&gt;• RENDIMIENTO: Filtro de aire cilíndrico de alt</t>
        </is>
      </c>
      <c r="AT226" s="2" t="inlineStr">
        <is>
          <t>https://www.autoscout24.es/anuncios/opel-corsa-manual-gasolina-blanco-cat_ma54mo1918-16231333-d29d-407b-b721-6f4bf3ddfcdb (__NEXT_DATA__ listingDetails) /home/user/Alopecia/buscador-coches/raw/autoscout24/297451c15403d402.json</t>
        </is>
      </c>
      <c r="AU226" s="3">
        <f>MAX(ANIO_ACTUAL-M226,0)</f>
        <v/>
      </c>
      <c r="AV226" s="4">
        <f>N226/MAX(AU226,0.5)</f>
        <v/>
      </c>
      <c r="AW226" s="4">
        <f>F226</f>
        <v/>
      </c>
      <c r="AX226" s="3">
        <f>AW226&amp;"|"&amp;INT(M226/SEG_ANIO)*SEG_ANIO</f>
        <v/>
      </c>
      <c r="AY226" s="3">
        <f>AX226&amp;"|"&amp;INT(N226/SEG_KM)*SEG_KM</f>
        <v/>
      </c>
      <c r="AZ226" s="4">
        <f>COUNTIF($AW$2:$AW$662,AW226)</f>
        <v/>
      </c>
      <c r="BA226" s="4">
        <f>COUNTIF($AX$2:$AX$662,AX226)</f>
        <v/>
      </c>
      <c r="BB226" s="4">
        <f>COUNTIF($AY$2:$AY$662,AY226)</f>
        <v/>
      </c>
      <c r="BC226" s="3">
        <f t="array" ref="BC226">IF(N(AO226)&gt;=MIN_N,AN226,IF(BB226&gt;=MIN_N,MEDIAN(IF($AY$2:$AY$662=AY226,$O$2:$O$662)),IF(BA226&gt;=MIN_N,MEDIAN(IF($AX$2:$AX$662=AX226,$O$2:$O$662)),MEDIAN(IF($AW$2:$AW$662=AW226,$O$2:$O$662)))))</f>
        <v/>
      </c>
      <c r="BD226" s="3">
        <f>IF(N(AO226)&gt;=MIN_N,"mercado "&amp;AP226,IF(BB226&gt;=MIN_N,"modelo+año+km",IF(BA226&gt;=MIN_N,"modelo+año","modelo")))</f>
        <v/>
      </c>
      <c r="BE226" s="4">
        <f>(BC226-O226)/BC226</f>
        <v/>
      </c>
      <c r="BF226" s="3">
        <f>IF(OR(K226="hibrido",K226="glp"),"ECO",IF(K226="electrico","CERO",IF(K226="gasolina",IF(M226&gt;=GAS_C,"C",IF(M226&gt;=GAS_B,"B","A")),IF(K226="diesel",IF(M226&gt;=DIE_C,"C",IF(M226&gt;=DIE_B,"B","A")),""))))</f>
        <v/>
      </c>
      <c r="BG226" s="3">
        <f>IFERROR(VLOOKUP(F226,MOD_TBL,11,0),IFERROR(VLOOKUP(E226,OCU_TBL,2,0),NEUTRO))</f>
        <v/>
      </c>
      <c r="BH226" s="3">
        <f>SUMIFS(MOT_AJUSTE,MOT_MOTOR,G226,MOT_MARCA,E226,MOT_DESDE,"&lt;="&amp;M226,MOT_HASTA,"&gt;="&amp;M226)+SUMIFS(MOT_AJUSTE,MOT_MOTOR,G226,MOT_MARCA,"(todas)",MOT_DESDE,"&lt;="&amp;M226,MOT_HASTA,"&gt;="&amp;M226)</f>
        <v/>
      </c>
      <c r="BI226" s="3">
        <f>SUMIFS(COMB_AJUSTE,COMB_COMB,K226)</f>
        <v/>
      </c>
      <c r="BJ226" s="3">
        <f>COUNTIFS(MOT_MOTOR,G226,MOT_MARCA,E226,MOT_DESDE,"&lt;="&amp;M226,MOT_HASTA,"&gt;="&amp;M226)+COUNTIFS(MOT_MOTOR,G226,MOT_MARCA,"(todas)",MOT_DESDE,"&lt;="&amp;M226,MOT_HASTA,"&gt;="&amp;M226)</f>
        <v/>
      </c>
      <c r="BK226" s="3">
        <f>IF(AND(K226="diesel",BJ226=0),MIN(BG226,NEUTRO),BG226)</f>
        <v/>
      </c>
      <c r="BL226" s="4">
        <f>MAX(0,MIN(100,BK226+BH226+BI226))</f>
        <v/>
      </c>
      <c r="BM226" s="3">
        <f>MAX(0,MIN(100,50+BE226*PRECIO_PEND))</f>
        <v/>
      </c>
      <c r="BN226" s="3">
        <f>MAX(0,100*(1-N226/KM_MAX))</f>
        <v/>
      </c>
      <c r="BO226" s="3">
        <f>IF(AV226&lt;KMA_SOSP,IF(AA226="sí",100,KMA_PEN),IF(AV226&lt;=KMA_IDEAL_MAX,100,MAX(0,100*(KMA_CERO-AV226)/(KMA_CERO-KMA_IDEAL_MAX))))</f>
        <v/>
      </c>
      <c r="BP226" s="3">
        <f>MAX(0,MIN(100,100*(M226-ANIO_MIN)/(ANIO_ACTUAL-ANIO_MIN)))</f>
        <v/>
      </c>
      <c r="BQ226" s="3">
        <f>W_KMT*BN226+W_KMA*BO226+W_EDAD*BP226</f>
        <v/>
      </c>
      <c r="BR226" s="3">
        <f>P_ITV*(V226="sí")+P_LIBRO*(W226="sí")+P_CORREA*(X226="sí")+P_PROP*(Y226=1)+P_GAR*(Z226="sí")+P_FOTOS*MIN(1,N(U226)/FOTOS_OBJ)</f>
        <v/>
      </c>
      <c r="BS226" s="3">
        <f>IFERROR(VLOOKUP(BF226,ETQ_TBL,2,0),NEUTRO)</f>
        <v/>
      </c>
      <c r="BT226" s="3">
        <f>NEUTRO</f>
        <v/>
      </c>
      <c r="BU226" s="3">
        <f>IFERROR(VLOOKUP(L226,SEGURO_TBL,3,0),"")</f>
        <v/>
      </c>
      <c r="BV226" s="3">
        <f>IF(BU226="",NEUTRO,MAX(0,MIN(100,100*(SEG_REF_MAX-BU226)/(SEG_REF_MAX-SEG_REF_MIN))))</f>
        <v/>
      </c>
      <c r="BW226" s="3">
        <f>W_ET*BS226+W_CONS*BT226+W_SEG*BV226</f>
        <v/>
      </c>
      <c r="BX226" s="3">
        <f>IF(N(AB226)&gt;0,AB226,IF(AND(R226="profesional",SG_LEGAL_ON=1),GAR_LEGAL,0))</f>
        <v/>
      </c>
      <c r="BY226" s="3">
        <f>SG_GAR*MIN(1,BX226/SG_GAR_FULL)+SG_AMPL*(AC226="sí")+SG_KMC*(AF226="sí")+SG_REV*(N(AE226)&gt;0)+SG_DEV*MIN(1,N(AG226)/SG_DEV_FULL)+SG_HIST*(W226="sí")</f>
        <v/>
      </c>
      <c r="BZ226" s="3">
        <f>IFERROR(VLOOKUP(L226,CARR_PEN_TBL,2,0),0)</f>
        <v/>
      </c>
      <c r="CA226" s="3">
        <f>W_FIAB*BL226+W_PRECIO*BM226+W_KMEDAD*BQ226+W_ANUNCIO*BR226+W_USO*BW226+W_SEGURIDAD*BY226-BZ226</f>
        <v/>
      </c>
      <c r="CB226" s="4">
        <f>IF(N(I226)&gt;0,I226,IFERROR(ROUND(_xlfn.NUMBERVALUE(LEFT(G226,FIND(" ",G226&amp;" ")-1),".")*1000,0),99999))</f>
        <v/>
      </c>
      <c r="CC226" s="3">
        <f>IF(R226="profesional",0,IF(O226&lt;CUOTA_VALOR_MAX,IF(AU226&gt;ITP_TRAMO_ALTO,SUMIFS(CF_CUOTA,CF_MAS,ITP_TRAMO_ALTO,CF_CCMIN,"&lt;="&amp;CB226,CF_CCMAX,"&gt;="&amp;CB226),IF(AU226&gt;ITP_TRAMO_BAJO,SUMIFS(CF_CUOTA,CF_MAS,ITP_TRAMO_BAJO,CF_CCMIN,"&lt;="&amp;CB226,CF_CCMAX,"&gt;="&amp;CB226),O226*ITP_TIPO)),O226*ITP_TIPO))</f>
        <v/>
      </c>
      <c r="CD226" s="4">
        <f>IF(R226="profesional",N(AK226),0)</f>
        <v/>
      </c>
      <c r="CE226" s="3">
        <f>IF(AND(R226="profesional",ISNUMBER(AK226),AL226="sí"),0,TASA_DGT)</f>
        <v/>
      </c>
      <c r="CF226" s="3">
        <f>INFORME_DGT</f>
        <v/>
      </c>
      <c r="CG226" s="4">
        <f>O226+CD226+CC226+CE226+CF226</f>
        <v/>
      </c>
      <c r="CH226" s="4">
        <f>CG226+N(BU226)</f>
        <v/>
      </c>
      <c r="CI226" s="3">
        <f>IF(CG226&lt;=TOTAL_MAX,"sí",IF(CG226&lt;=TOTAL_MAX+MARGEN_NEG,"negociar","no"))</f>
        <v/>
      </c>
      <c r="CJ226" s="4">
        <f>IF(CI226&lt;&gt;"no",COUNTIFS($CI$2:$CI$662,"&lt;&gt;no",$CA$2:$CA$662,"&gt;"&amp;CA226)+COUNTIFS($CI$2:CI226,"&lt;&gt;no",$CA$2:CA226,CA226),"")</f>
        <v/>
      </c>
    </row>
    <row r="227">
      <c r="A227" s="2" t="inlineStr">
        <is>
          <t>autoscout24:260eace1-1e59-41f7-8463-28cceb82e543</t>
        </is>
      </c>
      <c r="B227" s="2" t="inlineStr">
        <is>
          <t>autoscout24</t>
        </is>
      </c>
      <c r="C227" s="2" t="inlineStr">
        <is>
          <t>https://www.autoscout24.es/anuncios/renault-clio-grand-tour-1-5dci-tom-tom-edition-85-diesel-negro-cat_ma60mo1961-260eace1-1e59-41f7-8463-28cceb82e543</t>
        </is>
      </c>
      <c r="D227" s="2" t="inlineStr">
        <is>
          <t>Renault Clio Grand Tour 1.5DCI Tom Tom Edition 85</t>
        </is>
      </c>
      <c r="E227" s="2" t="inlineStr">
        <is>
          <t>Renault</t>
        </is>
      </c>
      <c r="F227" s="2" t="inlineStr">
        <is>
          <t>Renault Clio</t>
        </is>
      </c>
      <c r="G227" s="2" t="inlineStr">
        <is>
          <t>1.5 dCi</t>
        </is>
      </c>
      <c r="H227" s="2" t="inlineStr">
        <is>
          <t>Grand Tour 1.5DCI Tom Tom Edition 85 1.5 DCI</t>
        </is>
      </c>
      <c r="I227" s="2" t="n">
        <v>1461</v>
      </c>
      <c r="J227" s="2" t="n">
        <v>86</v>
      </c>
      <c r="K227" s="2" t="inlineStr">
        <is>
          <t>diesel</t>
        </is>
      </c>
      <c r="L227" s="2" t="inlineStr">
        <is>
          <t>familiar</t>
        </is>
      </c>
      <c r="M227" s="2" t="n">
        <v>2010</v>
      </c>
      <c r="N227" s="2" t="n">
        <v>169000</v>
      </c>
      <c r="O227" s="2" t="n">
        <v>4990</v>
      </c>
      <c r="P227" s="2" t="inlineStr">
        <is>
          <t>manual</t>
        </is>
      </c>
      <c r="Q227" s="2" t="inlineStr">
        <is>
          <t>no</t>
        </is>
      </c>
      <c r="R227" s="2" t="inlineStr">
        <is>
          <t>profesional</t>
        </is>
      </c>
      <c r="S227" s="2" t="inlineStr">
        <is>
          <t>SAGA VEHICULOS — MASSANASSA (46470)</t>
        </is>
      </c>
      <c r="T227" s="2" t="n"/>
      <c r="U227" s="2" t="n">
        <v>27</v>
      </c>
      <c r="V227" s="2" t="n"/>
      <c r="W227" s="2" t="n"/>
      <c r="X227" s="2" t="n"/>
      <c r="Y227" s="2" t="n"/>
      <c r="Z227" s="2" t="inlineStr">
        <is>
          <t>sí</t>
        </is>
      </c>
      <c r="AA227" s="2" t="n"/>
      <c r="AB227" s="2" t="n">
        <v>12</v>
      </c>
      <c r="AC227" s="2" t="inlineStr">
        <is>
          <t>sí</t>
        </is>
      </c>
      <c r="AD227" s="2" t="n"/>
      <c r="AE227" s="2" t="n"/>
      <c r="AF227" s="2" t="n"/>
      <c r="AG227" s="2" t="n"/>
      <c r="AH227" s="2" t="n"/>
      <c r="AI227" s="2" t="n"/>
      <c r="AJ227" s="2" t="n"/>
      <c r="AK227" s="2" t="n">
        <v>350</v>
      </c>
      <c r="AL227" s="2" t="inlineStr">
        <is>
          <t>no</t>
        </is>
      </c>
      <c r="AM227" s="2" t="n">
        <v>7.1</v>
      </c>
      <c r="AN227" s="2" t="n">
        <v>4200</v>
      </c>
      <c r="AO227" s="2" t="n">
        <v>7</v>
      </c>
      <c r="AP227" s="2" t="inlineStr">
        <is>
          <t>modelo+año+km</t>
        </is>
      </c>
      <c r="AQ227" s="2" t="inlineStr">
        <is>
          <t>cochesnet:71813489 (https://www.coches.net/renault-clio-grand-tour-tom-tom-ed-15dci-85cv-eco2-5p-diesel-2009-en-valencia-71813489-covo.aspx)</t>
        </is>
      </c>
      <c r="AR227" s="2" t="inlineStr">
        <is>
          <t>vendedor profesional: sin ITP (operación con IVA/REBU, confirmar en factura); gastos del vendedor sin indicar si incluyen la transferencia: se suma la tasa DGT; carrocería familiar: -3 puntos</t>
        </is>
      </c>
      <c r="AS227" s="2" t="inlineStr">
        <is>
          <t>Renault Clio Grand Tour TomTom Edition 1.5 dCi, 85CV, diésel,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 dual zone &lt;br /&gt;- Dirección asistida&lt;br /&gt;- Frenos ABS/EBD&lt;br /&gt;- Control de estabilidad ESP&lt;br /&gt;- Airbags&lt;br /&gt;- Control de crucero&lt;br /&gt;- Ordenador abordo&lt;br /&gt;- GPS navegación&lt;br /&gt;- Sistema multimedia Bluetooth&lt;br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Climatizador&lt;br /&gt;- Pintura metalizada&lt;br /&gt;- Control  de estabilidad ESP&lt;br /&gt;- RadioSat Mono CD 4x20 Mp3 con bluetooth&lt;br /&gt;- Pack Confort&lt;br /&gt;</t>
        </is>
      </c>
      <c r="AT227" s="2" t="inlineStr">
        <is>
          <t>https://www.autoscout24.es/anuncios/renault-clio-grand-tour-1-5dci-tom-tom-edition-85-diesel-negro-cat_ma60mo1961-260eace1-1e59-41f7-8463-28cceb82e543 (__NEXT_DATA__ listingDetails) /home/user/Alopecia/buscador-coches/raw/autoscout24/f565615d615e592b.json</t>
        </is>
      </c>
      <c r="AU227" s="3">
        <f>MAX(ANIO_ACTUAL-M227,0)</f>
        <v/>
      </c>
      <c r="AV227" s="4">
        <f>N227/MAX(AU227,0.5)</f>
        <v/>
      </c>
      <c r="AW227" s="4">
        <f>F227</f>
        <v/>
      </c>
      <c r="AX227" s="3">
        <f>AW227&amp;"|"&amp;INT(M227/SEG_ANIO)*SEG_ANIO</f>
        <v/>
      </c>
      <c r="AY227" s="3">
        <f>AX227&amp;"|"&amp;INT(N227/SEG_KM)*SEG_KM</f>
        <v/>
      </c>
      <c r="AZ227" s="4">
        <f>COUNTIF($AW$2:$AW$662,AW227)</f>
        <v/>
      </c>
      <c r="BA227" s="4">
        <f>COUNTIF($AX$2:$AX$662,AX227)</f>
        <v/>
      </c>
      <c r="BB227" s="4">
        <f>COUNTIF($AY$2:$AY$662,AY227)</f>
        <v/>
      </c>
      <c r="BC227" s="3">
        <f t="array" ref="BC227">IF(N(AO227)&gt;=MIN_N,AN227,IF(BB227&gt;=MIN_N,MEDIAN(IF($AY$2:$AY$662=AY227,$O$2:$O$662)),IF(BA227&gt;=MIN_N,MEDIAN(IF($AX$2:$AX$662=AX227,$O$2:$O$662)),MEDIAN(IF($AW$2:$AW$662=AW227,$O$2:$O$662)))))</f>
        <v/>
      </c>
      <c r="BD227" s="3">
        <f>IF(N(AO227)&gt;=MIN_N,"mercado "&amp;AP227,IF(BB227&gt;=MIN_N,"modelo+año+km",IF(BA227&gt;=MIN_N,"modelo+año","modelo")))</f>
        <v/>
      </c>
      <c r="BE227" s="4">
        <f>(BC227-O227)/BC227</f>
        <v/>
      </c>
      <c r="BF227" s="3">
        <f>IF(OR(K227="hibrido",K227="glp"),"ECO",IF(K227="electrico","CERO",IF(K227="gasolina",IF(M227&gt;=GAS_C,"C",IF(M227&gt;=GAS_B,"B","A")),IF(K227="diesel",IF(M227&gt;=DIE_C,"C",IF(M227&gt;=DIE_B,"B","A")),""))))</f>
        <v/>
      </c>
      <c r="BG227" s="3">
        <f>IFERROR(VLOOKUP(F227,MOD_TBL,11,0),IFERROR(VLOOKUP(E227,OCU_TBL,2,0),NEUTRO))</f>
        <v/>
      </c>
      <c r="BH227" s="3">
        <f>SUMIFS(MOT_AJUSTE,MOT_MOTOR,G227,MOT_MARCA,E227,MOT_DESDE,"&lt;="&amp;M227,MOT_HASTA,"&gt;="&amp;M227)+SUMIFS(MOT_AJUSTE,MOT_MOTOR,G227,MOT_MARCA,"(todas)",MOT_DESDE,"&lt;="&amp;M227,MOT_HASTA,"&gt;="&amp;M227)</f>
        <v/>
      </c>
      <c r="BI227" s="3">
        <f>SUMIFS(COMB_AJUSTE,COMB_COMB,K227)</f>
        <v/>
      </c>
      <c r="BJ227" s="3">
        <f>COUNTIFS(MOT_MOTOR,G227,MOT_MARCA,E227,MOT_DESDE,"&lt;="&amp;M227,MOT_HASTA,"&gt;="&amp;M227)+COUNTIFS(MOT_MOTOR,G227,MOT_MARCA,"(todas)",MOT_DESDE,"&lt;="&amp;M227,MOT_HASTA,"&gt;="&amp;M227)</f>
        <v/>
      </c>
      <c r="BK227" s="3">
        <f>IF(AND(K227="diesel",BJ227=0),MIN(BG227,NEUTRO),BG227)</f>
        <v/>
      </c>
      <c r="BL227" s="4">
        <f>MAX(0,MIN(100,BK227+BH227+BI227))</f>
        <v/>
      </c>
      <c r="BM227" s="3">
        <f>MAX(0,MIN(100,50+BE227*PRECIO_PEND))</f>
        <v/>
      </c>
      <c r="BN227" s="3">
        <f>MAX(0,100*(1-N227/KM_MAX))</f>
        <v/>
      </c>
      <c r="BO227" s="3">
        <f>IF(AV227&lt;KMA_SOSP,IF(AA227="sí",100,KMA_PEN),IF(AV227&lt;=KMA_IDEAL_MAX,100,MAX(0,100*(KMA_CERO-AV227)/(KMA_CERO-KMA_IDEAL_MAX))))</f>
        <v/>
      </c>
      <c r="BP227" s="3">
        <f>MAX(0,MIN(100,100*(M227-ANIO_MIN)/(ANIO_ACTUAL-ANIO_MIN)))</f>
        <v/>
      </c>
      <c r="BQ227" s="3">
        <f>W_KMT*BN227+W_KMA*BO227+W_EDAD*BP227</f>
        <v/>
      </c>
      <c r="BR227" s="3">
        <f>P_ITV*(V227="sí")+P_LIBRO*(W227="sí")+P_CORREA*(X227="sí")+P_PROP*(Y227=1)+P_GAR*(Z227="sí")+P_FOTOS*MIN(1,N(U227)/FOTOS_OBJ)</f>
        <v/>
      </c>
      <c r="BS227" s="3">
        <f>IFERROR(VLOOKUP(BF227,ETQ_TBL,2,0),NEUTRO)</f>
        <v/>
      </c>
      <c r="BT227" s="3">
        <f>NEUTRO</f>
        <v/>
      </c>
      <c r="BU227" s="3">
        <f>IFERROR(VLOOKUP(L227,SEGURO_TBL,3,0),"")</f>
        <v/>
      </c>
      <c r="BV227" s="3">
        <f>IF(BU227="",NEUTRO,MAX(0,MIN(100,100*(SEG_REF_MAX-BU227)/(SEG_REF_MAX-SEG_REF_MIN))))</f>
        <v/>
      </c>
      <c r="BW227" s="3">
        <f>W_ET*BS227+W_CONS*BT227+W_SEG*BV227</f>
        <v/>
      </c>
      <c r="BX227" s="3">
        <f>IF(N(AB227)&gt;0,AB227,IF(AND(R227="profesional",SG_LEGAL_ON=1),GAR_LEGAL,0))</f>
        <v/>
      </c>
      <c r="BY227" s="3">
        <f>SG_GAR*MIN(1,BX227/SG_GAR_FULL)+SG_AMPL*(AC227="sí")+SG_KMC*(AF227="sí")+SG_REV*(N(AE227)&gt;0)+SG_DEV*MIN(1,N(AG227)/SG_DEV_FULL)+SG_HIST*(W227="sí")</f>
        <v/>
      </c>
      <c r="BZ227" s="3">
        <f>IFERROR(VLOOKUP(L227,CARR_PEN_TBL,2,0),0)</f>
        <v/>
      </c>
      <c r="CA227" s="3">
        <f>W_FIAB*BL227+W_PRECIO*BM227+W_KMEDAD*BQ227+W_ANUNCIO*BR227+W_USO*BW227+W_SEGURIDAD*BY227-BZ227</f>
        <v/>
      </c>
      <c r="CB227" s="4">
        <f>IF(N(I227)&gt;0,I227,IFERROR(ROUND(_xlfn.NUMBERVALUE(LEFT(G227,FIND(" ",G227&amp;" ")-1),".")*1000,0),99999))</f>
        <v/>
      </c>
      <c r="CC227" s="3">
        <f>IF(R227="profesional",0,IF(O227&lt;CUOTA_VALOR_MAX,IF(AU227&gt;ITP_TRAMO_ALTO,SUMIFS(CF_CUOTA,CF_MAS,ITP_TRAMO_ALTO,CF_CCMIN,"&lt;="&amp;CB227,CF_CCMAX,"&gt;="&amp;CB227),IF(AU227&gt;ITP_TRAMO_BAJO,SUMIFS(CF_CUOTA,CF_MAS,ITP_TRAMO_BAJO,CF_CCMIN,"&lt;="&amp;CB227,CF_CCMAX,"&gt;="&amp;CB227),O227*ITP_TIPO)),O227*ITP_TIPO))</f>
        <v/>
      </c>
      <c r="CD227" s="4">
        <f>IF(R227="profesional",N(AK227),0)</f>
        <v/>
      </c>
      <c r="CE227" s="3">
        <f>IF(AND(R227="profesional",ISNUMBER(AK227),AL227="sí"),0,TASA_DGT)</f>
        <v/>
      </c>
      <c r="CF227" s="3">
        <f>INFORME_DGT</f>
        <v/>
      </c>
      <c r="CG227" s="4">
        <f>O227+CD227+CC227+CE227+CF227</f>
        <v/>
      </c>
      <c r="CH227" s="4">
        <f>CG227+N(BU227)</f>
        <v/>
      </c>
      <c r="CI227" s="3">
        <f>IF(CG227&lt;=TOTAL_MAX,"sí",IF(CG227&lt;=TOTAL_MAX+MARGEN_NEG,"negociar","no"))</f>
        <v/>
      </c>
      <c r="CJ227" s="4">
        <f>IF(CI227&lt;&gt;"no",COUNTIFS($CI$2:$CI$662,"&lt;&gt;no",$CA$2:$CA$662,"&gt;"&amp;CA227)+COUNTIFS($CI$2:CI227,"&lt;&gt;no",$CA$2:CA227,CA227),"")</f>
        <v/>
      </c>
    </row>
    <row r="228">
      <c r="A228" s="2" t="inlineStr">
        <is>
          <t>autoscout24:77c5d0eb-673d-4670-80bf-3ccde04d43f6</t>
        </is>
      </c>
      <c r="B228" s="2" t="inlineStr">
        <is>
          <t>autoscout24</t>
        </is>
      </c>
      <c r="C228" s="2" t="inlineStr">
        <is>
          <t>https://www.autoscout24.es/anuncios/peugeot-107-1-4-hdi-urban-move-diesel-cat_ma55mo18647-77c5d0eb-673d-4670-80bf-3ccde04d43f6</t>
        </is>
      </c>
      <c r="D228" s="2" t="inlineStr">
        <is>
          <t>Peugeot 107 1.4 HDi Urban Move</t>
        </is>
      </c>
      <c r="E228" s="2" t="inlineStr">
        <is>
          <t>Peugeot</t>
        </is>
      </c>
      <c r="F228" s="2" t="inlineStr">
        <is>
          <t>Peugeot 107</t>
        </is>
      </c>
      <c r="G228" s="2" t="inlineStr">
        <is>
          <t>1.4 HDi</t>
        </is>
      </c>
      <c r="H228" s="2" t="inlineStr">
        <is>
          <t>1.4 HDi Urban Move 70</t>
        </is>
      </c>
      <c r="I228" s="2" t="n">
        <v>1398</v>
      </c>
      <c r="J228" s="2" t="n">
        <v>54</v>
      </c>
      <c r="K228" s="2" t="inlineStr">
        <is>
          <t>diesel</t>
        </is>
      </c>
      <c r="L228" s="2" t="inlineStr">
        <is>
          <t>utilitario</t>
        </is>
      </c>
      <c r="M228" s="2" t="n">
        <v>2007</v>
      </c>
      <c r="N228" s="2" t="n">
        <v>119000</v>
      </c>
      <c r="O228" s="2" t="n">
        <v>3100</v>
      </c>
      <c r="P228" s="2" t="inlineStr">
        <is>
          <t>manual</t>
        </is>
      </c>
      <c r="Q228" s="2" t="inlineStr">
        <is>
          <t>no</t>
        </is>
      </c>
      <c r="R228" s="2" t="inlineStr">
        <is>
          <t>particular</t>
        </is>
      </c>
      <c r="S228" s="2" t="inlineStr">
        <is>
          <t>València (46021)</t>
        </is>
      </c>
      <c r="T228" s="2" t="n"/>
      <c r="U228" s="2" t="n">
        <v>11</v>
      </c>
      <c r="V228" s="2" t="inlineStr">
        <is>
          <t>sí</t>
        </is>
      </c>
      <c r="W228" s="2" t="n"/>
      <c r="X228" s="2" t="n"/>
      <c r="Y228" s="2" t="n"/>
      <c r="Z228" s="2" t="n"/>
      <c r="AA228" s="2" t="n"/>
      <c r="AB228" s="2" t="n"/>
      <c r="AC228" s="2" t="n"/>
      <c r="AD228" s="2" t="n"/>
      <c r="AE228" s="2" t="n"/>
      <c r="AF228" s="2" t="n"/>
      <c r="AG228" s="2" t="n"/>
      <c r="AH228" s="2" t="n"/>
      <c r="AI228" s="2" t="n"/>
      <c r="AJ228" s="2" t="n"/>
      <c r="AK228" s="2" t="n"/>
      <c r="AL228" s="2" t="n"/>
      <c r="AM228" s="2" t="n">
        <v>2.1</v>
      </c>
      <c r="AN228" s="2" t="n">
        <v>2200</v>
      </c>
      <c r="AO228" s="2" t="n">
        <v>7</v>
      </c>
      <c r="AP228" s="2" t="inlineStr">
        <is>
          <t>modelo+año</t>
        </is>
      </c>
      <c r="AQ228" s="2" t="n"/>
      <c r="AR228" s="2" t="inlineStr">
        <is>
          <t>cuota fija ITP: &gt;12 años, hasta 1.500 cc; fiabilidad del modelo PENDIENTE de fuente (puntuación neutra)</t>
        </is>
      </c>
      <c r="AS228" s="2" t="inlineStr">
        <is>
          <t>Peugeot 107 1.4 HDi • 2007 • 119.000 km&lt;br /&gt;&lt;br /&gt;Pequeña, económica y lista para disfrutar. &lt;br /&gt;&lt;br /&gt;•Aceite + filtro cambiados&lt;br /&gt;•Neumáticos al 80 %&lt;br /&gt;•Interior limpio&lt;br /&gt;•ITV hasta marzo de 2027&lt;br /&gt;•cambio de nombre incluido &lt;br /&gt;Una pequeña que cumple de verdad.</t>
        </is>
      </c>
      <c r="AT228" s="2" t="inlineStr">
        <is>
          <t>https://www.autoscout24.es/anuncios/peugeot-107-1-4-hdi-urban-move-diesel-cat_ma55mo18647-77c5d0eb-673d-4670-80bf-3ccde04d43f6 (__NEXT_DATA__ listingDetails) /home/user/Alopecia/buscador-coches/raw/autoscout24/744b2e65adf04e07.json</t>
        </is>
      </c>
      <c r="AU228" s="3">
        <f>MAX(ANIO_ACTUAL-M228,0)</f>
        <v/>
      </c>
      <c r="AV228" s="4">
        <f>N228/MAX(AU228,0.5)</f>
        <v/>
      </c>
      <c r="AW228" s="4">
        <f>F228</f>
        <v/>
      </c>
      <c r="AX228" s="3">
        <f>AW228&amp;"|"&amp;INT(M228/SEG_ANIO)*SEG_ANIO</f>
        <v/>
      </c>
      <c r="AY228" s="3">
        <f>AX228&amp;"|"&amp;INT(N228/SEG_KM)*SEG_KM</f>
        <v/>
      </c>
      <c r="AZ228" s="4">
        <f>COUNTIF($AW$2:$AW$662,AW228)</f>
        <v/>
      </c>
      <c r="BA228" s="4">
        <f>COUNTIF($AX$2:$AX$662,AX228)</f>
        <v/>
      </c>
      <c r="BB228" s="4">
        <f>COUNTIF($AY$2:$AY$662,AY228)</f>
        <v/>
      </c>
      <c r="BC228" s="3">
        <f t="array" ref="BC228">IF(N(AO228)&gt;=MIN_N,AN228,IF(BB228&gt;=MIN_N,MEDIAN(IF($AY$2:$AY$662=AY228,$O$2:$O$662)),IF(BA228&gt;=MIN_N,MEDIAN(IF($AX$2:$AX$662=AX228,$O$2:$O$662)),MEDIAN(IF($AW$2:$AW$662=AW228,$O$2:$O$662)))))</f>
        <v/>
      </c>
      <c r="BD228" s="3">
        <f>IF(N(AO228)&gt;=MIN_N,"mercado "&amp;AP228,IF(BB228&gt;=MIN_N,"modelo+año+km",IF(BA228&gt;=MIN_N,"modelo+año","modelo")))</f>
        <v/>
      </c>
      <c r="BE228" s="4">
        <f>(BC228-O228)/BC228</f>
        <v/>
      </c>
      <c r="BF228" s="3">
        <f>IF(OR(K228="hibrido",K228="glp"),"ECO",IF(K228="electrico","CERO",IF(K228="gasolina",IF(M228&gt;=GAS_C,"C",IF(M228&gt;=GAS_B,"B","A")),IF(K228="diesel",IF(M228&gt;=DIE_C,"C",IF(M228&gt;=DIE_B,"B","A")),""))))</f>
        <v/>
      </c>
      <c r="BG228" s="3">
        <f>IFERROR(VLOOKUP(F228,MOD_TBL,11,0),IFERROR(VLOOKUP(E228,OCU_TBL,2,0),NEUTRO))</f>
        <v/>
      </c>
      <c r="BH228" s="3">
        <f>SUMIFS(MOT_AJUSTE,MOT_MOTOR,G228,MOT_MARCA,E228,MOT_DESDE,"&lt;="&amp;M228,MOT_HASTA,"&gt;="&amp;M228)+SUMIFS(MOT_AJUSTE,MOT_MOTOR,G228,MOT_MARCA,"(todas)",MOT_DESDE,"&lt;="&amp;M228,MOT_HASTA,"&gt;="&amp;M228)</f>
        <v/>
      </c>
      <c r="BI228" s="3">
        <f>SUMIFS(COMB_AJUSTE,COMB_COMB,K228)</f>
        <v/>
      </c>
      <c r="BJ228" s="3">
        <f>COUNTIFS(MOT_MOTOR,G228,MOT_MARCA,E228,MOT_DESDE,"&lt;="&amp;M228,MOT_HASTA,"&gt;="&amp;M228)+COUNTIFS(MOT_MOTOR,G228,MOT_MARCA,"(todas)",MOT_DESDE,"&lt;="&amp;M228,MOT_HASTA,"&gt;="&amp;M228)</f>
        <v/>
      </c>
      <c r="BK228" s="3">
        <f>IF(AND(K228="diesel",BJ228=0),MIN(BG228,NEUTRO),BG228)</f>
        <v/>
      </c>
      <c r="BL228" s="4">
        <f>MAX(0,MIN(100,BK228+BH228+BI228))</f>
        <v/>
      </c>
      <c r="BM228" s="3">
        <f>MAX(0,MIN(100,50+BE228*PRECIO_PEND))</f>
        <v/>
      </c>
      <c r="BN228" s="3">
        <f>MAX(0,100*(1-N228/KM_MAX))</f>
        <v/>
      </c>
      <c r="BO228" s="3">
        <f>IF(AV228&lt;KMA_SOSP,IF(AA228="sí",100,KMA_PEN),IF(AV228&lt;=KMA_IDEAL_MAX,100,MAX(0,100*(KMA_CERO-AV228)/(KMA_CERO-KMA_IDEAL_MAX))))</f>
        <v/>
      </c>
      <c r="BP228" s="3">
        <f>MAX(0,MIN(100,100*(M228-ANIO_MIN)/(ANIO_ACTUAL-ANIO_MIN)))</f>
        <v/>
      </c>
      <c r="BQ228" s="3">
        <f>W_KMT*BN228+W_KMA*BO228+W_EDAD*BP228</f>
        <v/>
      </c>
      <c r="BR228" s="3">
        <f>P_ITV*(V228="sí")+P_LIBRO*(W228="sí")+P_CORREA*(X228="sí")+P_PROP*(Y228=1)+P_GAR*(Z228="sí")+P_FOTOS*MIN(1,N(U228)/FOTOS_OBJ)</f>
        <v/>
      </c>
      <c r="BS228" s="3">
        <f>IFERROR(VLOOKUP(BF228,ETQ_TBL,2,0),NEUTRO)</f>
        <v/>
      </c>
      <c r="BT228" s="3">
        <f>NEUTRO</f>
        <v/>
      </c>
      <c r="BU228" s="3">
        <f>IFERROR(VLOOKUP(L228,SEGURO_TBL,3,0),"")</f>
        <v/>
      </c>
      <c r="BV228" s="3">
        <f>IF(BU228="",NEUTRO,MAX(0,MIN(100,100*(SEG_REF_MAX-BU228)/(SEG_REF_MAX-SEG_REF_MIN))))</f>
        <v/>
      </c>
      <c r="BW228" s="3">
        <f>W_ET*BS228+W_CONS*BT228+W_SEG*BV228</f>
        <v/>
      </c>
      <c r="BX228" s="3">
        <f>IF(N(AB228)&gt;0,AB228,IF(AND(R228="profesional",SG_LEGAL_ON=1),GAR_LEGAL,0))</f>
        <v/>
      </c>
      <c r="BY228" s="3">
        <f>SG_GAR*MIN(1,BX228/SG_GAR_FULL)+SG_AMPL*(AC228="sí")+SG_KMC*(AF228="sí")+SG_REV*(N(AE228)&gt;0)+SG_DEV*MIN(1,N(AG228)/SG_DEV_FULL)+SG_HIST*(W228="sí")</f>
        <v/>
      </c>
      <c r="BZ228" s="3">
        <f>IFERROR(VLOOKUP(L228,CARR_PEN_TBL,2,0),0)</f>
        <v/>
      </c>
      <c r="CA228" s="3">
        <f>W_FIAB*BL228+W_PRECIO*BM228+W_KMEDAD*BQ228+W_ANUNCIO*BR228+W_USO*BW228+W_SEGURIDAD*BY228-BZ228</f>
        <v/>
      </c>
      <c r="CB228" s="4">
        <f>IF(N(I228)&gt;0,I228,IFERROR(ROUND(_xlfn.NUMBERVALUE(LEFT(G228,FIND(" ",G228&amp;" ")-1),".")*1000,0),99999))</f>
        <v/>
      </c>
      <c r="CC228" s="3">
        <f>IF(R228="profesional",0,IF(O228&lt;CUOTA_VALOR_MAX,IF(AU228&gt;ITP_TRAMO_ALTO,SUMIFS(CF_CUOTA,CF_MAS,ITP_TRAMO_ALTO,CF_CCMIN,"&lt;="&amp;CB228,CF_CCMAX,"&gt;="&amp;CB228),IF(AU228&gt;ITP_TRAMO_BAJO,SUMIFS(CF_CUOTA,CF_MAS,ITP_TRAMO_BAJO,CF_CCMIN,"&lt;="&amp;CB228,CF_CCMAX,"&gt;="&amp;CB228),O228*ITP_TIPO)),O228*ITP_TIPO))</f>
        <v/>
      </c>
      <c r="CD228" s="4">
        <f>IF(R228="profesional",N(AK228),0)</f>
        <v/>
      </c>
      <c r="CE228" s="3">
        <f>IF(AND(R228="profesional",ISNUMBER(AK228),AL228="sí"),0,TASA_DGT)</f>
        <v/>
      </c>
      <c r="CF228" s="3">
        <f>INFORME_DGT</f>
        <v/>
      </c>
      <c r="CG228" s="4">
        <f>O228+CD228+CC228+CE228+CF228</f>
        <v/>
      </c>
      <c r="CH228" s="4">
        <f>CG228+N(BU228)</f>
        <v/>
      </c>
      <c r="CI228" s="3">
        <f>IF(CG228&lt;=TOTAL_MAX,"sí",IF(CG228&lt;=TOTAL_MAX+MARGEN_NEG,"negociar","no"))</f>
        <v/>
      </c>
      <c r="CJ228" s="4">
        <f>IF(CI228&lt;&gt;"no",COUNTIFS($CI$2:$CI$662,"&lt;&gt;no",$CA$2:$CA$662,"&gt;"&amp;CA228)+COUNTIFS($CI$2:CI228,"&lt;&gt;no",$CA$2:CA228,CA228),"")</f>
        <v/>
      </c>
    </row>
    <row r="229">
      <c r="A229" s="2" t="inlineStr">
        <is>
          <t>autoscout24:ebf476c8-6b0f-497f-aefa-69d270e58cfc</t>
        </is>
      </c>
      <c r="B229" s="2" t="inlineStr">
        <is>
          <t>autoscout24</t>
        </is>
      </c>
      <c r="C229" s="2" t="inlineStr">
        <is>
          <t>https://www.autoscout24.es/anuncios/peugeot-407-407-2-0-st-confort-confort-gasolina-azul-cat_ma55mo18421-ebf476c8-6b0f-497f-aefa-69d270e58cfc</t>
        </is>
      </c>
      <c r="D229" s="2" t="inlineStr">
        <is>
          <t>Peugeot 407 407 2.0 ST Confort Confort</t>
        </is>
      </c>
      <c r="E229" s="2" t="inlineStr">
        <is>
          <t>Peugeot</t>
        </is>
      </c>
      <c r="F229" s="2" t="inlineStr">
        <is>
          <t>Peugeot 407</t>
        </is>
      </c>
      <c r="G229" s="2" t="inlineStr">
        <is>
          <t>2.0 HDi</t>
        </is>
      </c>
      <c r="H229" s="2" t="inlineStr">
        <is>
          <t>407 2.0 ST Confort Confort 135 HDI</t>
        </is>
      </c>
      <c r="I229" s="2" t="n">
        <v>1997</v>
      </c>
      <c r="J229" s="2" t="n">
        <v>136</v>
      </c>
      <c r="K229" s="2" t="inlineStr">
        <is>
          <t>gasolina</t>
        </is>
      </c>
      <c r="L229" s="2" t="inlineStr">
        <is>
          <t>familiar</t>
        </is>
      </c>
      <c r="M229" s="2" t="n">
        <v>2007</v>
      </c>
      <c r="N229" s="2" t="n">
        <v>119000</v>
      </c>
      <c r="O229" s="2" t="n">
        <v>1000</v>
      </c>
      <c r="P229" s="2" t="inlineStr">
        <is>
          <t>manual</t>
        </is>
      </c>
      <c r="Q229" s="2" t="inlineStr">
        <is>
          <t>no</t>
        </is>
      </c>
      <c r="R229" s="2" t="inlineStr">
        <is>
          <t>particular</t>
        </is>
      </c>
      <c r="S229" s="2" t="inlineStr">
        <is>
          <t>València (46002)</t>
        </is>
      </c>
      <c r="T229" s="2" t="n"/>
      <c r="U229" s="2" t="n">
        <v>2</v>
      </c>
      <c r="V229" s="2" t="n"/>
      <c r="W229" s="2" t="n"/>
      <c r="X229" s="2" t="n"/>
      <c r="Y229" s="2" t="n"/>
      <c r="Z229" s="2" t="n"/>
      <c r="AA229" s="2" t="n"/>
      <c r="AB229" s="2" t="n"/>
      <c r="AC229" s="2" t="n"/>
      <c r="AD229" s="2" t="n"/>
      <c r="AE229" s="2" t="n"/>
      <c r="AF229" s="2" t="n"/>
      <c r="AG229" s="2" t="n"/>
      <c r="AH229" s="2" t="n"/>
      <c r="AI229" s="2" t="n"/>
      <c r="AJ229" s="2" t="n"/>
      <c r="AK229" s="2" t="n"/>
      <c r="AL229" s="2" t="n"/>
      <c r="AM229" s="2" t="n">
        <v>0.1</v>
      </c>
      <c r="AN229" s="2" t="n"/>
      <c r="AO229" s="2" t="n"/>
      <c r="AP229" s="2" t="n"/>
      <c r="AQ229" s="2" t="n"/>
      <c r="AR229" s="2" t="inlineStr">
        <is>
          <t>cuota fija ITP: &gt;12 años, 1.501-2.000 cc; carrocería familiar: -3 puntos; fiabilidad del modelo PENDIENTE de fuente (puntuación neutra); mediana con solo 1 anuncio(s)</t>
        </is>
      </c>
      <c r="AS229" s="2" t="inlineStr">
        <is>
          <t>Peugeot 407, motor de gasolina. Año 2.007 con 119.00 km, etiqueta C. A veces se enciende una luz y dice fallo sistema antipolucion y se cala. Tiene radiador nuevo, enfriador del aceite nuevo, varios soportes nuevos, termostato y bujías nuevas. Catalizador nuevo. Se regala un kit completo de embrague con horquilla incluida. También pierde agua por una tuberia.  Está en Valencia, hay que llevar en grúa. Precio 1.200 euros. WhatsApp 647 969 778</t>
        </is>
      </c>
      <c r="AT229" s="2" t="inlineStr">
        <is>
          <t>https://www.autoscout24.es/anuncios/peugeot-407-407-2-0-st-confort-confort-gasolina-azul-cat_ma55mo18421-ebf476c8-6b0f-497f-aefa-69d270e58cfc (__NEXT_DATA__ listingDetails) /home/user/Alopecia/buscador-coches/raw/autoscout24/8fcb9cd9130e3583.json</t>
        </is>
      </c>
      <c r="AU229" s="3">
        <f>MAX(ANIO_ACTUAL-M229,0)</f>
        <v/>
      </c>
      <c r="AV229" s="4">
        <f>N229/MAX(AU229,0.5)</f>
        <v/>
      </c>
      <c r="AW229" s="4">
        <f>F229</f>
        <v/>
      </c>
      <c r="AX229" s="3">
        <f>AW229&amp;"|"&amp;INT(M229/SEG_ANIO)*SEG_ANIO</f>
        <v/>
      </c>
      <c r="AY229" s="3">
        <f>AX229&amp;"|"&amp;INT(N229/SEG_KM)*SEG_KM</f>
        <v/>
      </c>
      <c r="AZ229" s="4">
        <f>COUNTIF($AW$2:$AW$662,AW229)</f>
        <v/>
      </c>
      <c r="BA229" s="4">
        <f>COUNTIF($AX$2:$AX$662,AX229)</f>
        <v/>
      </c>
      <c r="BB229" s="4">
        <f>COUNTIF($AY$2:$AY$662,AY229)</f>
        <v/>
      </c>
      <c r="BC229" s="3">
        <f t="array" ref="BC229">IF(N(AO229)&gt;=MIN_N,AN229,IF(BB229&gt;=MIN_N,MEDIAN(IF($AY$2:$AY$662=AY229,$O$2:$O$662)),IF(BA229&gt;=MIN_N,MEDIAN(IF($AX$2:$AX$662=AX229,$O$2:$O$662)),MEDIAN(IF($AW$2:$AW$662=AW229,$O$2:$O$662)))))</f>
        <v/>
      </c>
      <c r="BD229" s="3">
        <f>IF(N(AO229)&gt;=MIN_N,"mercado "&amp;AP229,IF(BB229&gt;=MIN_N,"modelo+año+km",IF(BA229&gt;=MIN_N,"modelo+año","modelo")))</f>
        <v/>
      </c>
      <c r="BE229" s="4">
        <f>(BC229-O229)/BC229</f>
        <v/>
      </c>
      <c r="BF229" s="3">
        <f>IF(OR(K229="hibrido",K229="glp"),"ECO",IF(K229="electrico","CERO",IF(K229="gasolina",IF(M229&gt;=GAS_C,"C",IF(M229&gt;=GAS_B,"B","A")),IF(K229="diesel",IF(M229&gt;=DIE_C,"C",IF(M229&gt;=DIE_B,"B","A")),""))))</f>
        <v/>
      </c>
      <c r="BG229" s="3">
        <f>IFERROR(VLOOKUP(F229,MOD_TBL,11,0),IFERROR(VLOOKUP(E229,OCU_TBL,2,0),NEUTRO))</f>
        <v/>
      </c>
      <c r="BH229" s="3">
        <f>SUMIFS(MOT_AJUSTE,MOT_MOTOR,G229,MOT_MARCA,E229,MOT_DESDE,"&lt;="&amp;M229,MOT_HASTA,"&gt;="&amp;M229)+SUMIFS(MOT_AJUSTE,MOT_MOTOR,G229,MOT_MARCA,"(todas)",MOT_DESDE,"&lt;="&amp;M229,MOT_HASTA,"&gt;="&amp;M229)</f>
        <v/>
      </c>
      <c r="BI229" s="3">
        <f>SUMIFS(COMB_AJUSTE,COMB_COMB,K229)</f>
        <v/>
      </c>
      <c r="BJ229" s="3">
        <f>COUNTIFS(MOT_MOTOR,G229,MOT_MARCA,E229,MOT_DESDE,"&lt;="&amp;M229,MOT_HASTA,"&gt;="&amp;M229)+COUNTIFS(MOT_MOTOR,G229,MOT_MARCA,"(todas)",MOT_DESDE,"&lt;="&amp;M229,MOT_HASTA,"&gt;="&amp;M229)</f>
        <v/>
      </c>
      <c r="BK229" s="3">
        <f>IF(AND(K229="diesel",BJ229=0),MIN(BG229,NEUTRO),BG229)</f>
        <v/>
      </c>
      <c r="BL229" s="4">
        <f>MAX(0,MIN(100,BK229+BH229+BI229))</f>
        <v/>
      </c>
      <c r="BM229" s="3">
        <f>MAX(0,MIN(100,50+BE229*PRECIO_PEND))</f>
        <v/>
      </c>
      <c r="BN229" s="3">
        <f>MAX(0,100*(1-N229/KM_MAX))</f>
        <v/>
      </c>
      <c r="BO229" s="3">
        <f>IF(AV229&lt;KMA_SOSP,IF(AA229="sí",100,KMA_PEN),IF(AV229&lt;=KMA_IDEAL_MAX,100,MAX(0,100*(KMA_CERO-AV229)/(KMA_CERO-KMA_IDEAL_MAX))))</f>
        <v/>
      </c>
      <c r="BP229" s="3">
        <f>MAX(0,MIN(100,100*(M229-ANIO_MIN)/(ANIO_ACTUAL-ANIO_MIN)))</f>
        <v/>
      </c>
      <c r="BQ229" s="3">
        <f>W_KMT*BN229+W_KMA*BO229+W_EDAD*BP229</f>
        <v/>
      </c>
      <c r="BR229" s="3">
        <f>P_ITV*(V229="sí")+P_LIBRO*(W229="sí")+P_CORREA*(X229="sí")+P_PROP*(Y229=1)+P_GAR*(Z229="sí")+P_FOTOS*MIN(1,N(U229)/FOTOS_OBJ)</f>
        <v/>
      </c>
      <c r="BS229" s="3">
        <f>IFERROR(VLOOKUP(BF229,ETQ_TBL,2,0),NEUTRO)</f>
        <v/>
      </c>
      <c r="BT229" s="3">
        <f>NEUTRO</f>
        <v/>
      </c>
      <c r="BU229" s="3">
        <f>IFERROR(VLOOKUP(L229,SEGURO_TBL,3,0),"")</f>
        <v/>
      </c>
      <c r="BV229" s="3">
        <f>IF(BU229="",NEUTRO,MAX(0,MIN(100,100*(SEG_REF_MAX-BU229)/(SEG_REF_MAX-SEG_REF_MIN))))</f>
        <v/>
      </c>
      <c r="BW229" s="3">
        <f>W_ET*BS229+W_CONS*BT229+W_SEG*BV229</f>
        <v/>
      </c>
      <c r="BX229" s="3">
        <f>IF(N(AB229)&gt;0,AB229,IF(AND(R229="profesional",SG_LEGAL_ON=1),GAR_LEGAL,0))</f>
        <v/>
      </c>
      <c r="BY229" s="3">
        <f>SG_GAR*MIN(1,BX229/SG_GAR_FULL)+SG_AMPL*(AC229="sí")+SG_KMC*(AF229="sí")+SG_REV*(N(AE229)&gt;0)+SG_DEV*MIN(1,N(AG229)/SG_DEV_FULL)+SG_HIST*(W229="sí")</f>
        <v/>
      </c>
      <c r="BZ229" s="3">
        <f>IFERROR(VLOOKUP(L229,CARR_PEN_TBL,2,0),0)</f>
        <v/>
      </c>
      <c r="CA229" s="3">
        <f>W_FIAB*BL229+W_PRECIO*BM229+W_KMEDAD*BQ229+W_ANUNCIO*BR229+W_USO*BW229+W_SEGURIDAD*BY229-BZ229</f>
        <v/>
      </c>
      <c r="CB229" s="4">
        <f>IF(N(I229)&gt;0,I229,IFERROR(ROUND(_xlfn.NUMBERVALUE(LEFT(G229,FIND(" ",G229&amp;" ")-1),".")*1000,0),99999))</f>
        <v/>
      </c>
      <c r="CC229" s="3">
        <f>IF(R229="profesional",0,IF(O229&lt;CUOTA_VALOR_MAX,IF(AU229&gt;ITP_TRAMO_ALTO,SUMIFS(CF_CUOTA,CF_MAS,ITP_TRAMO_ALTO,CF_CCMIN,"&lt;="&amp;CB229,CF_CCMAX,"&gt;="&amp;CB229),IF(AU229&gt;ITP_TRAMO_BAJO,SUMIFS(CF_CUOTA,CF_MAS,ITP_TRAMO_BAJO,CF_CCMIN,"&lt;="&amp;CB229,CF_CCMAX,"&gt;="&amp;CB229),O229*ITP_TIPO)),O229*ITP_TIPO))</f>
        <v/>
      </c>
      <c r="CD229" s="4">
        <f>IF(R229="profesional",N(AK229),0)</f>
        <v/>
      </c>
      <c r="CE229" s="3">
        <f>IF(AND(R229="profesional",ISNUMBER(AK229),AL229="sí"),0,TASA_DGT)</f>
        <v/>
      </c>
      <c r="CF229" s="3">
        <f>INFORME_DGT</f>
        <v/>
      </c>
      <c r="CG229" s="4">
        <f>O229+CD229+CC229+CE229+CF229</f>
        <v/>
      </c>
      <c r="CH229" s="4">
        <f>CG229+N(BU229)</f>
        <v/>
      </c>
      <c r="CI229" s="3">
        <f>IF(CG229&lt;=TOTAL_MAX,"sí",IF(CG229&lt;=TOTAL_MAX+MARGEN_NEG,"negociar","no"))</f>
        <v/>
      </c>
      <c r="CJ229" s="4">
        <f>IF(CI229&lt;&gt;"no",COUNTIFS($CI$2:$CI$662,"&lt;&gt;no",$CA$2:$CA$662,"&gt;"&amp;CA229)+COUNTIFS($CI$2:CI229,"&lt;&gt;no",$CA$2:CA229,CA229),"")</f>
        <v/>
      </c>
    </row>
    <row r="230">
      <c r="A230" s="2" t="inlineStr">
        <is>
          <t>wallapop:1292118678</t>
        </is>
      </c>
      <c r="B230" s="2" t="inlineStr">
        <is>
          <t>wallapop</t>
        </is>
      </c>
      <c r="C230" s="2" t="inlineStr">
        <is>
          <t>https://es.wallapop.com/item/peugeot-208-peugeot-208-5p-style-1-4-hdi-68-1292118678</t>
        </is>
      </c>
      <c r="D230" s="2" t="inlineStr">
        <is>
          <t>Peugeot 208 Peugeot 208 5P STYLE 1.4 HDi 68</t>
        </is>
      </c>
      <c r="E230" s="2" t="inlineStr">
        <is>
          <t>Peugeot</t>
        </is>
      </c>
      <c r="F230" s="2" t="inlineStr">
        <is>
          <t>Peugeot 208</t>
        </is>
      </c>
      <c r="G230" s="2" t="inlineStr">
        <is>
          <t>1.4 HDi</t>
        </is>
      </c>
      <c r="H230" s="2" t="inlineStr">
        <is>
          <t>Peugeot 208 5P STYLE 1.4 HDi 68</t>
        </is>
      </c>
      <c r="I230" s="2" t="n"/>
      <c r="J230" s="2" t="n">
        <v>68</v>
      </c>
      <c r="K230" s="2" t="inlineStr">
        <is>
          <t>diesel</t>
        </is>
      </c>
      <c r="L230" s="2" t="inlineStr">
        <is>
          <t>utilitario</t>
        </is>
      </c>
      <c r="M230" s="2" t="n">
        <v>2014</v>
      </c>
      <c r="N230" s="2" t="n">
        <v>143000</v>
      </c>
      <c r="O230" s="2" t="n">
        <v>4950</v>
      </c>
      <c r="P230" s="2" t="inlineStr">
        <is>
          <t>manual</t>
        </is>
      </c>
      <c r="Q230" s="2" t="inlineStr">
        <is>
          <t>no</t>
        </is>
      </c>
      <c r="R230" s="2" t="inlineStr">
        <is>
          <t>profesional</t>
        </is>
      </c>
      <c r="S230" s="2" t="inlineStr">
        <is>
          <t>Manises (46940)</t>
        </is>
      </c>
      <c r="T230" s="2" t="inlineStr">
        <is>
          <t>2026-10-30T18:10:05</t>
        </is>
      </c>
      <c r="U230" s="2" t="n">
        <v>11</v>
      </c>
      <c r="V230" s="2" t="n"/>
      <c r="W230" s="2" t="inlineStr">
        <is>
          <t>sí</t>
        </is>
      </c>
      <c r="X230" s="2" t="n"/>
      <c r="Y230" s="2" t="n"/>
      <c r="Z230" s="2" t="inlineStr">
        <is>
          <t>sí</t>
        </is>
      </c>
      <c r="AA230" s="2" t="n"/>
      <c r="AB230" s="2" t="n"/>
      <c r="AC230" s="2" t="n"/>
      <c r="AD230" s="2" t="n"/>
      <c r="AE230" s="2" t="n"/>
      <c r="AF230" s="2" t="n"/>
      <c r="AG230" s="2" t="n"/>
      <c r="AH230" s="2" t="n"/>
      <c r="AI230" s="2" t="n"/>
      <c r="AJ230" s="2" t="n"/>
      <c r="AK230" s="2" t="n"/>
      <c r="AL230" s="2" t="n"/>
      <c r="AM230" s="2" t="n">
        <v>7.2</v>
      </c>
      <c r="AN230" s="2" t="n">
        <v>5990</v>
      </c>
      <c r="AO230" s="2" t="n">
        <v>17</v>
      </c>
      <c r="AP230" s="2" t="inlineStr">
        <is>
          <t>modelo+año+km</t>
        </is>
      </c>
      <c r="AQ230" s="2" t="inlineStr">
        <is>
          <t>autoscout24:64e6b0a8-18eb-4eb0-be8b-355ee5efba37 (https://www.autoscout24.es/anuncios/peugeot-208-5p-style-1-4-hdi-68-diesel-blanco-cat_ma55mo20057-64e6b0a8-18eb-4eb0-be8b-355ee5efba37)</t>
        </is>
      </c>
      <c r="AR230" s="2" t="inlineStr">
        <is>
          <t>por encima del presupuesto (5014 €), negociar; vendedor profesional: sin ITP (operación con IVA/REBU, confirmar en factura); gastos de gestión del vendedor no indicados: se suma la tasa DGT; preguntar el precio final; diésel: motor sin fuente de fiabilidad (fiabilidad limitada a neutra)</t>
        </is>
      </c>
      <c r="AS230" s="2" t="inlineStr">
        <is>
          <t>✅-Con la posibilidad de financiar desde 95€/mes🤝🚗
!!!ATENCIÓN VEHICULO COMERCIAL !!
💥-PEUGEOT 208(comercial)2 plazas 
💥-12-2014
💥-142.000 KILÓMETROS 
💥-1.4 HDI 68CV
💥-MANTENIMIENTO AL DÍA 
💥-1 AÑO GARANTÍA!!✅ 
💥-4950€
-aceptamos coche inferior como parte de pago 🤝🚗
-tiktok @eurocochesmanival
- instagram @eloy_manival
(Mini,208,Clío,micra,Ibiza,kalos,picanto,i10,i20,Mazda 2,Golf,polo,a3,Leon,Ibiza,i30,Astra,Megane,adam,c2,c3,punto,fabia,mg3,colt,evo 3,panda,aveo,duster)</t>
        </is>
      </c>
      <c r="AT230" s="2" t="inlineStr">
        <is>
          <t>https://es.wallapop.com/item/peugeot-208-peugeot-208-5p-style-1-4-hdi-68-1292118678 (__NEXT_DATA__ item) /home/user/Alopecia/buscador-coches/raw/wallapop/057cbbee9d634e7b.json</t>
        </is>
      </c>
      <c r="AU230" s="3">
        <f>MAX(ANIO_ACTUAL-M230,0)</f>
        <v/>
      </c>
      <c r="AV230" s="4">
        <f>N230/MAX(AU230,0.5)</f>
        <v/>
      </c>
      <c r="AW230" s="4">
        <f>F230</f>
        <v/>
      </c>
      <c r="AX230" s="3">
        <f>AW230&amp;"|"&amp;INT(M230/SEG_ANIO)*SEG_ANIO</f>
        <v/>
      </c>
      <c r="AY230" s="3">
        <f>AX230&amp;"|"&amp;INT(N230/SEG_KM)*SEG_KM</f>
        <v/>
      </c>
      <c r="AZ230" s="4">
        <f>COUNTIF($AW$2:$AW$662,AW230)</f>
        <v/>
      </c>
      <c r="BA230" s="4">
        <f>COUNTIF($AX$2:$AX$662,AX230)</f>
        <v/>
      </c>
      <c r="BB230" s="4">
        <f>COUNTIF($AY$2:$AY$662,AY230)</f>
        <v/>
      </c>
      <c r="BC230" s="3">
        <f t="array" ref="BC230">IF(N(AO230)&gt;=MIN_N,AN230,IF(BB230&gt;=MIN_N,MEDIAN(IF($AY$2:$AY$662=AY230,$O$2:$O$662)),IF(BA230&gt;=MIN_N,MEDIAN(IF($AX$2:$AX$662=AX230,$O$2:$O$662)),MEDIAN(IF($AW$2:$AW$662=AW230,$O$2:$O$662)))))</f>
        <v/>
      </c>
      <c r="BD230" s="3">
        <f>IF(N(AO230)&gt;=MIN_N,"mercado "&amp;AP230,IF(BB230&gt;=MIN_N,"modelo+año+km",IF(BA230&gt;=MIN_N,"modelo+año","modelo")))</f>
        <v/>
      </c>
      <c r="BE230" s="4">
        <f>(BC230-O230)/BC230</f>
        <v/>
      </c>
      <c r="BF230" s="3">
        <f>IF(OR(K230="hibrido",K230="glp"),"ECO",IF(K230="electrico","CERO",IF(K230="gasolina",IF(M230&gt;=GAS_C,"C",IF(M230&gt;=GAS_B,"B","A")),IF(K230="diesel",IF(M230&gt;=DIE_C,"C",IF(M230&gt;=DIE_B,"B","A")),""))))</f>
        <v/>
      </c>
      <c r="BG230" s="3">
        <f>IFERROR(VLOOKUP(F230,MOD_TBL,11,0),IFERROR(VLOOKUP(E230,OCU_TBL,2,0),NEUTRO))</f>
        <v/>
      </c>
      <c r="BH230" s="3">
        <f>SUMIFS(MOT_AJUSTE,MOT_MOTOR,G230,MOT_MARCA,E230,MOT_DESDE,"&lt;="&amp;M230,MOT_HASTA,"&gt;="&amp;M230)+SUMIFS(MOT_AJUSTE,MOT_MOTOR,G230,MOT_MARCA,"(todas)",MOT_DESDE,"&lt;="&amp;M230,MOT_HASTA,"&gt;="&amp;M230)</f>
        <v/>
      </c>
      <c r="BI230" s="3">
        <f>SUMIFS(COMB_AJUSTE,COMB_COMB,K230)</f>
        <v/>
      </c>
      <c r="BJ230" s="3">
        <f>COUNTIFS(MOT_MOTOR,G230,MOT_MARCA,E230,MOT_DESDE,"&lt;="&amp;M230,MOT_HASTA,"&gt;="&amp;M230)+COUNTIFS(MOT_MOTOR,G230,MOT_MARCA,"(todas)",MOT_DESDE,"&lt;="&amp;M230,MOT_HASTA,"&gt;="&amp;M230)</f>
        <v/>
      </c>
      <c r="BK230" s="3">
        <f>IF(AND(K230="diesel",BJ230=0),MIN(BG230,NEUTRO),BG230)</f>
        <v/>
      </c>
      <c r="BL230" s="4">
        <f>MAX(0,MIN(100,BK230+BH230+BI230))</f>
        <v/>
      </c>
      <c r="BM230" s="3">
        <f>MAX(0,MIN(100,50+BE230*PRECIO_PEND))</f>
        <v/>
      </c>
      <c r="BN230" s="3">
        <f>MAX(0,100*(1-N230/KM_MAX))</f>
        <v/>
      </c>
      <c r="BO230" s="3">
        <f>IF(AV230&lt;KMA_SOSP,IF(AA230="sí",100,KMA_PEN),IF(AV230&lt;=KMA_IDEAL_MAX,100,MAX(0,100*(KMA_CERO-AV230)/(KMA_CERO-KMA_IDEAL_MAX))))</f>
        <v/>
      </c>
      <c r="BP230" s="3">
        <f>MAX(0,MIN(100,100*(M230-ANIO_MIN)/(ANIO_ACTUAL-ANIO_MIN)))</f>
        <v/>
      </c>
      <c r="BQ230" s="3">
        <f>W_KMT*BN230+W_KMA*BO230+W_EDAD*BP230</f>
        <v/>
      </c>
      <c r="BR230" s="3">
        <f>P_ITV*(V230="sí")+P_LIBRO*(W230="sí")+P_CORREA*(X230="sí")+P_PROP*(Y230=1)+P_GAR*(Z230="sí")+P_FOTOS*MIN(1,N(U230)/FOTOS_OBJ)</f>
        <v/>
      </c>
      <c r="BS230" s="3">
        <f>IFERROR(VLOOKUP(BF230,ETQ_TBL,2,0),NEUTRO)</f>
        <v/>
      </c>
      <c r="BT230" s="3">
        <f>NEUTRO</f>
        <v/>
      </c>
      <c r="BU230" s="3">
        <f>IFERROR(VLOOKUP(L230,SEGURO_TBL,3,0),"")</f>
        <v/>
      </c>
      <c r="BV230" s="3">
        <f>IF(BU230="",NEUTRO,MAX(0,MIN(100,100*(SEG_REF_MAX-BU230)/(SEG_REF_MAX-SEG_REF_MIN))))</f>
        <v/>
      </c>
      <c r="BW230" s="3">
        <f>W_ET*BS230+W_CONS*BT230+W_SEG*BV230</f>
        <v/>
      </c>
      <c r="BX230" s="3">
        <f>IF(N(AB230)&gt;0,AB230,IF(AND(R230="profesional",SG_LEGAL_ON=1),GAR_LEGAL,0))</f>
        <v/>
      </c>
      <c r="BY230" s="3">
        <f>SG_GAR*MIN(1,BX230/SG_GAR_FULL)+SG_AMPL*(AC230="sí")+SG_KMC*(AF230="sí")+SG_REV*(N(AE230)&gt;0)+SG_DEV*MIN(1,N(AG230)/SG_DEV_FULL)+SG_HIST*(W230="sí")</f>
        <v/>
      </c>
      <c r="BZ230" s="3">
        <f>IFERROR(VLOOKUP(L230,CARR_PEN_TBL,2,0),0)</f>
        <v/>
      </c>
      <c r="CA230" s="3">
        <f>W_FIAB*BL230+W_PRECIO*BM230+W_KMEDAD*BQ230+W_ANUNCIO*BR230+W_USO*BW230+W_SEGURIDAD*BY230-BZ230</f>
        <v/>
      </c>
      <c r="CB230" s="4">
        <f>IF(N(I230)&gt;0,I230,IFERROR(ROUND(_xlfn.NUMBERVALUE(LEFT(G230,FIND(" ",G230&amp;" ")-1),".")*1000,0),99999))</f>
        <v/>
      </c>
      <c r="CC230" s="3">
        <f>IF(R230="profesional",0,IF(O230&lt;CUOTA_VALOR_MAX,IF(AU230&gt;ITP_TRAMO_ALTO,SUMIFS(CF_CUOTA,CF_MAS,ITP_TRAMO_ALTO,CF_CCMIN,"&lt;="&amp;CB230,CF_CCMAX,"&gt;="&amp;CB230),IF(AU230&gt;ITP_TRAMO_BAJO,SUMIFS(CF_CUOTA,CF_MAS,ITP_TRAMO_BAJO,CF_CCMIN,"&lt;="&amp;CB230,CF_CCMAX,"&gt;="&amp;CB230),O230*ITP_TIPO)),O230*ITP_TIPO))</f>
        <v/>
      </c>
      <c r="CD230" s="4">
        <f>IF(R230="profesional",N(AK230),0)</f>
        <v/>
      </c>
      <c r="CE230" s="3">
        <f>IF(AND(R230="profesional",ISNUMBER(AK230),AL230="sí"),0,TASA_DGT)</f>
        <v/>
      </c>
      <c r="CF230" s="3">
        <f>INFORME_DGT</f>
        <v/>
      </c>
      <c r="CG230" s="4">
        <f>O230+CD230+CC230+CE230+CF230</f>
        <v/>
      </c>
      <c r="CH230" s="4">
        <f>CG230+N(BU230)</f>
        <v/>
      </c>
      <c r="CI230" s="3">
        <f>IF(CG230&lt;=TOTAL_MAX,"sí",IF(CG230&lt;=TOTAL_MAX+MARGEN_NEG,"negociar","no"))</f>
        <v/>
      </c>
      <c r="CJ230" s="4">
        <f>IF(CI230&lt;&gt;"no",COUNTIFS($CI$2:$CI$662,"&lt;&gt;no",$CA$2:$CA$662,"&gt;"&amp;CA230)+COUNTIFS($CI$2:CI230,"&lt;&gt;no",$CA$2:CA230,CA230),"")</f>
        <v/>
      </c>
    </row>
    <row r="231">
      <c r="A231" s="2" t="inlineStr">
        <is>
          <t>autoscout24:5841fd8c-320a-4c8a-a7c4-7b12eb8db74e</t>
        </is>
      </c>
      <c r="B231" s="2" t="inlineStr">
        <is>
          <t>autoscout24</t>
        </is>
      </c>
      <c r="C231" s="2" t="inlineStr">
        <is>
          <t>https://www.autoscout24.es/anuncios/citroen-c4-picasso-1-6-vti-seduction-gasolina-gris-cat_ma21mo18545-5841fd8c-320a-4c8a-a7c4-7b12eb8db74e</t>
        </is>
      </c>
      <c r="D231" s="2" t="inlineStr">
        <is>
          <t>Citroën C4 Picasso 1.6 VTi Seduction</t>
        </is>
      </c>
      <c r="E231" s="2" t="inlineStr">
        <is>
          <t>Citroën</t>
        </is>
      </c>
      <c r="F231" s="2" t="inlineStr">
        <is>
          <t>Citroën C4</t>
        </is>
      </c>
      <c r="G231" s="2" t="inlineStr">
        <is>
          <t>1.6 VTi</t>
        </is>
      </c>
      <c r="H231" s="2" t="inlineStr">
        <is>
          <t>Picasso 1.6 VTi Seduction 120</t>
        </is>
      </c>
      <c r="I231" s="2" t="n">
        <v>1598</v>
      </c>
      <c r="J231" s="2" t="n">
        <v>120</v>
      </c>
      <c r="K231" s="2" t="inlineStr">
        <is>
          <t>gasolina</t>
        </is>
      </c>
      <c r="L231" s="2" t="inlineStr">
        <is>
          <t>compacto</t>
        </is>
      </c>
      <c r="M231" s="2" t="n">
        <v>2012</v>
      </c>
      <c r="N231" s="2" t="n">
        <v>153339</v>
      </c>
      <c r="O231" s="2" t="n">
        <v>5200</v>
      </c>
      <c r="P231" s="2" t="inlineStr">
        <is>
          <t>manual</t>
        </is>
      </c>
      <c r="Q231" s="2" t="inlineStr">
        <is>
          <t>no</t>
        </is>
      </c>
      <c r="R231" s="2" t="inlineStr">
        <is>
          <t>profesional</t>
        </is>
      </c>
      <c r="S231" s="2" t="inlineStr">
        <is>
          <t>OCASIONPLUS VILLAREAL 2 — VILA-REAL (12540)</t>
        </is>
      </c>
      <c r="T231" s="2" t="n"/>
      <c r="U231" s="2" t="n">
        <v>10</v>
      </c>
      <c r="V231" s="2" t="n"/>
      <c r="W231" s="2" t="inlineStr">
        <is>
          <t>sí</t>
        </is>
      </c>
      <c r="X231" s="2" t="n"/>
      <c r="Y231" s="2" t="n">
        <v>1</v>
      </c>
      <c r="Z231" s="2" t="inlineStr">
        <is>
          <t>sí</t>
        </is>
      </c>
      <c r="AA231" s="2" t="n"/>
      <c r="AB231" s="2" t="n">
        <v>12</v>
      </c>
      <c r="AC231" s="2" t="n"/>
      <c r="AD231" s="2" t="n"/>
      <c r="AE231" s="2" t="n"/>
      <c r="AF231" s="2" t="inlineStr">
        <is>
          <t>sí</t>
        </is>
      </c>
      <c r="AG231" s="2" t="n"/>
      <c r="AH231" s="2" t="n">
        <v>5200</v>
      </c>
      <c r="AI231" s="2" t="n"/>
      <c r="AJ231" s="2" t="n"/>
      <c r="AK231" s="2" t="n"/>
      <c r="AL231" s="2" t="n"/>
      <c r="AM231" s="2" t="n">
        <v>58.2</v>
      </c>
      <c r="AN231" s="2" t="n">
        <v>5800</v>
      </c>
      <c r="AO231" s="2" t="n">
        <v>7</v>
      </c>
      <c r="AP231" s="2" t="inlineStr">
        <is>
          <t>modelo+año+km</t>
        </is>
      </c>
      <c r="AQ231" s="2" t="n"/>
      <c r="AR231" s="2" t="inlineStr">
        <is>
          <t>por encima del presupuesto (5264 €), negociar; vendedor profesional: sin ITP (operación con IVA/REBU, confirmar en factura); gastos de gestión del vendedor no indicados: se suma la tasa DGT; preguntar el precio final; fiabilidad del modelo PENDIENTE de fuente (puntuación neutra)</t>
        </is>
      </c>
      <c r="AS231" s="2" t="inlineStr">
        <is>
          <t xml:space="preserve">&lt;strong&gt;Precio al contado: 5200 euros&lt;/strong&gt; &lt;br /&gt;&lt;br /&gt;&lt;strong&gt;Condiciones de la financiación&lt;/strong&gt; &lt;br /&gt;&lt;br /&gt;Consultar condiciones de financiación en este anuncio o contactando con el anunciante &lt;br /&gt;&lt;br /&gt;¡VILLA TAMBIÉN FICHA POR OCASIONPLUS!&lt;br /&gt;VEN A GANAR. ¡VEN A OCASIONPLUS!&lt;br /&gt;&lt;br /&gt;OCASIONPLUS - 20.000 COCHES  - 120 CENTROS&lt;br /&gt;OCASIONPLUS Nº1 CALIDAD - PRECIO&lt;br /&gt;&lt;br /&gt;Elige el coche que te guste y te lo llevamos a tu ciudad sólo con reservarlo&lt;br /&gt;15 DÍAS / 1000 KMS DE PRUEBA&lt;br /&gt;&lt;br /&gt;Hasta 590€ de descuento en este coche&lt;br /&gt;&lt;br /&gt;ADEMÁS, HACEMOS LAS MEJORES FINANCIACIONES DEL MERCADO, PREGÚNTANOS!!&lt;br /&gt;&lt;br /&gt;            Equipamiento destacado: Encendido automático de faros, Sensor de lluvia, Control de velocidad, Volante multifunción, Aire Acondicionado (Climatizador), Bluetooth, Elevalunas eléctrico, Llantas de aleación (16&amp;quot;).&lt;br /&gt;&lt;br /&gt;                - Coche Nacional, Historial Mantenimiento, Único propietario.&lt;br /&gt;                - Garantía total 1 año, con cobertura nacional, ampliable a 24 meses.&lt;br /&gt;                - Certificado de Kilómetros y ausencia de golpes estructurales.&lt;br /&gt;            - Sobrevaloramos tu coche en operaciones de cambio. Tásalo ahora en ocasionplus.com&lt;br /&gt;            - Entregamos cualquier coche en cualquier centro&lt;br /&gt;            - Abierto Domingo y Festivos.&lt;br /&gt; &lt;strong&gt;Extras&lt;/strong&gt; &lt;br /&gt; &lt;strong&gt;Equipamiento destacado seleccionado por el usuario&lt;/strong&gt; &lt;br /&gt; &lt;br /&gt;- Encendido automático de </t>
        </is>
      </c>
      <c r="AT231" s="2" t="inlineStr">
        <is>
          <t>https://www.autoscout24.es/anuncios/citroen-c4-picasso-1-6-vti-seduction-gasolina-gris-cat_ma21mo18545-5841fd8c-320a-4c8a-a7c4-7b12eb8db74e (__NEXT_DATA__ listingDetails) /home/user/Alopecia/buscador-coches/raw/autoscout24/ad2b065bc4c44de4.json</t>
        </is>
      </c>
      <c r="AU231" s="3">
        <f>MAX(ANIO_ACTUAL-M231,0)</f>
        <v/>
      </c>
      <c r="AV231" s="4">
        <f>N231/MAX(AU231,0.5)</f>
        <v/>
      </c>
      <c r="AW231" s="4">
        <f>F231</f>
        <v/>
      </c>
      <c r="AX231" s="3">
        <f>AW231&amp;"|"&amp;INT(M231/SEG_ANIO)*SEG_ANIO</f>
        <v/>
      </c>
      <c r="AY231" s="3">
        <f>AX231&amp;"|"&amp;INT(N231/SEG_KM)*SEG_KM</f>
        <v/>
      </c>
      <c r="AZ231" s="4">
        <f>COUNTIF($AW$2:$AW$662,AW231)</f>
        <v/>
      </c>
      <c r="BA231" s="4">
        <f>COUNTIF($AX$2:$AX$662,AX231)</f>
        <v/>
      </c>
      <c r="BB231" s="4">
        <f>COUNTIF($AY$2:$AY$662,AY231)</f>
        <v/>
      </c>
      <c r="BC231" s="3">
        <f t="array" ref="BC231">IF(N(AO231)&gt;=MIN_N,AN231,IF(BB231&gt;=MIN_N,MEDIAN(IF($AY$2:$AY$662=AY231,$O$2:$O$662)),IF(BA231&gt;=MIN_N,MEDIAN(IF($AX$2:$AX$662=AX231,$O$2:$O$662)),MEDIAN(IF($AW$2:$AW$662=AW231,$O$2:$O$662)))))</f>
        <v/>
      </c>
      <c r="BD231" s="3">
        <f>IF(N(AO231)&gt;=MIN_N,"mercado "&amp;AP231,IF(BB231&gt;=MIN_N,"modelo+año+km",IF(BA231&gt;=MIN_N,"modelo+año","modelo")))</f>
        <v/>
      </c>
      <c r="BE231" s="4">
        <f>(BC231-O231)/BC231</f>
        <v/>
      </c>
      <c r="BF231" s="3">
        <f>IF(OR(K231="hibrido",K231="glp"),"ECO",IF(K231="electrico","CERO",IF(K231="gasolina",IF(M231&gt;=GAS_C,"C",IF(M231&gt;=GAS_B,"B","A")),IF(K231="diesel",IF(M231&gt;=DIE_C,"C",IF(M231&gt;=DIE_B,"B","A")),""))))</f>
        <v/>
      </c>
      <c r="BG231" s="3">
        <f>IFERROR(VLOOKUP(F231,MOD_TBL,11,0),IFERROR(VLOOKUP(E231,OCU_TBL,2,0),NEUTRO))</f>
        <v/>
      </c>
      <c r="BH231" s="3">
        <f>SUMIFS(MOT_AJUSTE,MOT_MOTOR,G231,MOT_MARCA,E231,MOT_DESDE,"&lt;="&amp;M231,MOT_HASTA,"&gt;="&amp;M231)+SUMIFS(MOT_AJUSTE,MOT_MOTOR,G231,MOT_MARCA,"(todas)",MOT_DESDE,"&lt;="&amp;M231,MOT_HASTA,"&gt;="&amp;M231)</f>
        <v/>
      </c>
      <c r="BI231" s="3">
        <f>SUMIFS(COMB_AJUSTE,COMB_COMB,K231)</f>
        <v/>
      </c>
      <c r="BJ231" s="3">
        <f>COUNTIFS(MOT_MOTOR,G231,MOT_MARCA,E231,MOT_DESDE,"&lt;="&amp;M231,MOT_HASTA,"&gt;="&amp;M231)+COUNTIFS(MOT_MOTOR,G231,MOT_MARCA,"(todas)",MOT_DESDE,"&lt;="&amp;M231,MOT_HASTA,"&gt;="&amp;M231)</f>
        <v/>
      </c>
      <c r="BK231" s="3">
        <f>IF(AND(K231="diesel",BJ231=0),MIN(BG231,NEUTRO),BG231)</f>
        <v/>
      </c>
      <c r="BL231" s="4">
        <f>MAX(0,MIN(100,BK231+BH231+BI231))</f>
        <v/>
      </c>
      <c r="BM231" s="3">
        <f>MAX(0,MIN(100,50+BE231*PRECIO_PEND))</f>
        <v/>
      </c>
      <c r="BN231" s="3">
        <f>MAX(0,100*(1-N231/KM_MAX))</f>
        <v/>
      </c>
      <c r="BO231" s="3">
        <f>IF(AV231&lt;KMA_SOSP,IF(AA231="sí",100,KMA_PEN),IF(AV231&lt;=KMA_IDEAL_MAX,100,MAX(0,100*(KMA_CERO-AV231)/(KMA_CERO-KMA_IDEAL_MAX))))</f>
        <v/>
      </c>
      <c r="BP231" s="3">
        <f>MAX(0,MIN(100,100*(M231-ANIO_MIN)/(ANIO_ACTUAL-ANIO_MIN)))</f>
        <v/>
      </c>
      <c r="BQ231" s="3">
        <f>W_KMT*BN231+W_KMA*BO231+W_EDAD*BP231</f>
        <v/>
      </c>
      <c r="BR231" s="3">
        <f>P_ITV*(V231="sí")+P_LIBRO*(W231="sí")+P_CORREA*(X231="sí")+P_PROP*(Y231=1)+P_GAR*(Z231="sí")+P_FOTOS*MIN(1,N(U231)/FOTOS_OBJ)</f>
        <v/>
      </c>
      <c r="BS231" s="3">
        <f>IFERROR(VLOOKUP(BF231,ETQ_TBL,2,0),NEUTRO)</f>
        <v/>
      </c>
      <c r="BT231" s="3">
        <f>NEUTRO</f>
        <v/>
      </c>
      <c r="BU231" s="3">
        <f>IFERROR(VLOOKUP(L231,SEGURO_TBL,3,0),"")</f>
        <v/>
      </c>
      <c r="BV231" s="3">
        <f>IF(BU231="",NEUTRO,MAX(0,MIN(100,100*(SEG_REF_MAX-BU231)/(SEG_REF_MAX-SEG_REF_MIN))))</f>
        <v/>
      </c>
      <c r="BW231" s="3">
        <f>W_ET*BS231+W_CONS*BT231+W_SEG*BV231</f>
        <v/>
      </c>
      <c r="BX231" s="3">
        <f>IF(N(AB231)&gt;0,AB231,IF(AND(R231="profesional",SG_LEGAL_ON=1),GAR_LEGAL,0))</f>
        <v/>
      </c>
      <c r="BY231" s="3">
        <f>SG_GAR*MIN(1,BX231/SG_GAR_FULL)+SG_AMPL*(AC231="sí")+SG_KMC*(AF231="sí")+SG_REV*(N(AE231)&gt;0)+SG_DEV*MIN(1,N(AG231)/SG_DEV_FULL)+SG_HIST*(W231="sí")</f>
        <v/>
      </c>
      <c r="BZ231" s="3">
        <f>IFERROR(VLOOKUP(L231,CARR_PEN_TBL,2,0),0)</f>
        <v/>
      </c>
      <c r="CA231" s="3">
        <f>W_FIAB*BL231+W_PRECIO*BM231+W_KMEDAD*BQ231+W_ANUNCIO*BR231+W_USO*BW231+W_SEGURIDAD*BY231-BZ231</f>
        <v/>
      </c>
      <c r="CB231" s="4">
        <f>IF(N(I231)&gt;0,I231,IFERROR(ROUND(_xlfn.NUMBERVALUE(LEFT(G231,FIND(" ",G231&amp;" ")-1),".")*1000,0),99999))</f>
        <v/>
      </c>
      <c r="CC231" s="3">
        <f>IF(R231="profesional",0,IF(O231&lt;CUOTA_VALOR_MAX,IF(AU231&gt;ITP_TRAMO_ALTO,SUMIFS(CF_CUOTA,CF_MAS,ITP_TRAMO_ALTO,CF_CCMIN,"&lt;="&amp;CB231,CF_CCMAX,"&gt;="&amp;CB231),IF(AU231&gt;ITP_TRAMO_BAJO,SUMIFS(CF_CUOTA,CF_MAS,ITP_TRAMO_BAJO,CF_CCMIN,"&lt;="&amp;CB231,CF_CCMAX,"&gt;="&amp;CB231),O231*ITP_TIPO)),O231*ITP_TIPO))</f>
        <v/>
      </c>
      <c r="CD231" s="4">
        <f>IF(R231="profesional",N(AK231),0)</f>
        <v/>
      </c>
      <c r="CE231" s="3">
        <f>IF(AND(R231="profesional",ISNUMBER(AK231),AL231="sí"),0,TASA_DGT)</f>
        <v/>
      </c>
      <c r="CF231" s="3">
        <f>INFORME_DGT</f>
        <v/>
      </c>
      <c r="CG231" s="4">
        <f>O231+CD231+CC231+CE231+CF231</f>
        <v/>
      </c>
      <c r="CH231" s="4">
        <f>CG231+N(BU231)</f>
        <v/>
      </c>
      <c r="CI231" s="3">
        <f>IF(CG231&lt;=TOTAL_MAX,"sí",IF(CG231&lt;=TOTAL_MAX+MARGEN_NEG,"negociar","no"))</f>
        <v/>
      </c>
      <c r="CJ231" s="4">
        <f>IF(CI231&lt;&gt;"no",COUNTIFS($CI$2:$CI$662,"&lt;&gt;no",$CA$2:$CA$662,"&gt;"&amp;CA231)+COUNTIFS($CI$2:CI231,"&lt;&gt;no",$CA$2:CA231,CA231),"")</f>
        <v/>
      </c>
    </row>
    <row r="232">
      <c r="A232" s="2" t="inlineStr">
        <is>
          <t>autoscout24:9a3e3dec-8321-4094-b277-fe9fc477dc7e</t>
        </is>
      </c>
      <c r="B232" s="2" t="inlineStr">
        <is>
          <t>autoscout24</t>
        </is>
      </c>
      <c r="C232" s="2" t="inlineStr">
        <is>
          <t>https://www.autoscout24.es/anuncios/citroen-c4-picasso-1-6hdi-exclusive-cmp-diesel-negro-cat_ma21mo18545-9a3e3dec-8321-4094-b277-fe9fc477dc7e</t>
        </is>
      </c>
      <c r="D232" s="2" t="inlineStr">
        <is>
          <t>Citroën C4 Picasso 1.6HDI Exclusive CMP</t>
        </is>
      </c>
      <c r="E232" s="2" t="inlineStr">
        <is>
          <t>Citroën</t>
        </is>
      </c>
      <c r="F232" s="2" t="inlineStr">
        <is>
          <t>Citroën C4</t>
        </is>
      </c>
      <c r="G232" s="2" t="inlineStr">
        <is>
          <t>1.6 HDi</t>
        </is>
      </c>
      <c r="H232" s="2" t="inlineStr">
        <is>
          <t>Picasso 1.6HDI Exclusive CMP 1.6 HDI</t>
        </is>
      </c>
      <c r="I232" s="2" t="n">
        <v>1560</v>
      </c>
      <c r="J232" s="2" t="n">
        <v>109</v>
      </c>
      <c r="K232" s="2" t="inlineStr">
        <is>
          <t>diesel</t>
        </is>
      </c>
      <c r="L232" s="2" t="inlineStr">
        <is>
          <t>compacto</t>
        </is>
      </c>
      <c r="M232" s="2" t="n">
        <v>2008</v>
      </c>
      <c r="N232" s="2" t="n">
        <v>220000</v>
      </c>
      <c r="O232" s="2" t="n">
        <v>4850</v>
      </c>
      <c r="P232" s="2" t="inlineStr">
        <is>
          <t>automatico</t>
        </is>
      </c>
      <c r="Q232" s="2" t="inlineStr">
        <is>
          <t>sí</t>
        </is>
      </c>
      <c r="R232" s="2" t="inlineStr">
        <is>
          <t>profesional</t>
        </is>
      </c>
      <c r="S232" s="2" t="inlineStr">
        <is>
          <t>VALENCIA AUTOS JCP 2002 S.L. — MUSEROS (46136)</t>
        </is>
      </c>
      <c r="T232" s="2" t="n"/>
      <c r="U232" s="2" t="n">
        <v>20</v>
      </c>
      <c r="V232" s="2" t="n"/>
      <c r="W232" s="2" t="n"/>
      <c r="X232" s="2" t="n"/>
      <c r="Y232" s="2" t="n"/>
      <c r="Z232" s="2" t="inlineStr">
        <is>
          <t>sí</t>
        </is>
      </c>
      <c r="AA232" s="2" t="n"/>
      <c r="AB232" s="2" t="n">
        <v>12</v>
      </c>
      <c r="AC232" s="2" t="n"/>
      <c r="AD232" s="2" t="n"/>
      <c r="AE232" s="2" t="n"/>
      <c r="AF232" s="2" t="n"/>
      <c r="AG232" s="2" t="n"/>
      <c r="AH232" s="2" t="n"/>
      <c r="AI232" s="2" t="n"/>
      <c r="AJ232" s="2" t="n"/>
      <c r="AK232" s="2" t="n"/>
      <c r="AL232" s="2" t="n"/>
      <c r="AM232" s="2" t="n">
        <v>10.2</v>
      </c>
      <c r="AN232" s="2" t="n">
        <v>3600</v>
      </c>
      <c r="AO232" s="2" t="n">
        <v>9</v>
      </c>
      <c r="AP232" s="2" t="inlineStr">
        <is>
          <t>modelo+año+km</t>
        </is>
      </c>
      <c r="AQ232" s="2" t="n"/>
      <c r="AR232" s="2" t="inlineStr">
        <is>
          <t>vendedor profesional: sin ITP (operación con IVA/REBU, confirmar en factura); gastos de gestión del vendedor no indicados: se suma la tasa DGT; preguntar el precio final; fiabilidad del modelo PENDIENTE de fuente (puntuación neutra)</t>
        </is>
      </c>
      <c r="AS232" s="2" t="inlineStr">
        <is>
          <t>CITROEN C4 PICASSO EXCLUXIVE 2.0 HDI 136 CV DEL 18/06/2008 CON 220.000KM, CON NAVEGACION GPS, TAPICERIA DE PIEL, LLANTAS DE ALUMINIO, TECHO PANORAMICO, ASIENTOS ELECTRICOS, SENSORES DE APARCAMIENTO, AVISO CAMBIO CARRIL, CLIMA BIZONA, ETC..REVISION COMPLETA RECIEN HECHA, NEUMATICOS NUEVOS A ESTRENAR, EN STOCK EN MUSEROS - VALENCIA .&lt;br /&gt;&lt;br /&gt;</t>
        </is>
      </c>
      <c r="AT232" s="2" t="inlineStr">
        <is>
          <t>https://www.autoscout24.es/anuncios/citroen-c4-picasso-1-6hdi-exclusive-cmp-diesel-negro-cat_ma21mo18545-9a3e3dec-8321-4094-b277-fe9fc477dc7e (__NEXT_DATA__ listingDetails) /home/user/Alopecia/buscador-coches/raw/autoscout24/f4312ca479ecf525.json</t>
        </is>
      </c>
      <c r="AU232" s="3">
        <f>MAX(ANIO_ACTUAL-M232,0)</f>
        <v/>
      </c>
      <c r="AV232" s="4">
        <f>N232/MAX(AU232,0.5)</f>
        <v/>
      </c>
      <c r="AW232" s="4">
        <f>F232</f>
        <v/>
      </c>
      <c r="AX232" s="3">
        <f>AW232&amp;"|"&amp;INT(M232/SEG_ANIO)*SEG_ANIO</f>
        <v/>
      </c>
      <c r="AY232" s="3">
        <f>AX232&amp;"|"&amp;INT(N232/SEG_KM)*SEG_KM</f>
        <v/>
      </c>
      <c r="AZ232" s="4">
        <f>COUNTIF($AW$2:$AW$662,AW232)</f>
        <v/>
      </c>
      <c r="BA232" s="4">
        <f>COUNTIF($AX$2:$AX$662,AX232)</f>
        <v/>
      </c>
      <c r="BB232" s="4">
        <f>COUNTIF($AY$2:$AY$662,AY232)</f>
        <v/>
      </c>
      <c r="BC232" s="3">
        <f t="array" ref="BC232">IF(N(AO232)&gt;=MIN_N,AN232,IF(BB232&gt;=MIN_N,MEDIAN(IF($AY$2:$AY$662=AY232,$O$2:$O$662)),IF(BA232&gt;=MIN_N,MEDIAN(IF($AX$2:$AX$662=AX232,$O$2:$O$662)),MEDIAN(IF($AW$2:$AW$662=AW232,$O$2:$O$662)))))</f>
        <v/>
      </c>
      <c r="BD232" s="3">
        <f>IF(N(AO232)&gt;=MIN_N,"mercado "&amp;AP232,IF(BB232&gt;=MIN_N,"modelo+año+km",IF(BA232&gt;=MIN_N,"modelo+año","modelo")))</f>
        <v/>
      </c>
      <c r="BE232" s="4">
        <f>(BC232-O232)/BC232</f>
        <v/>
      </c>
      <c r="BF232" s="3">
        <f>IF(OR(K232="hibrido",K232="glp"),"ECO",IF(K232="electrico","CERO",IF(K232="gasolina",IF(M232&gt;=GAS_C,"C",IF(M232&gt;=GAS_B,"B","A")),IF(K232="diesel",IF(M232&gt;=DIE_C,"C",IF(M232&gt;=DIE_B,"B","A")),""))))</f>
        <v/>
      </c>
      <c r="BG232" s="3">
        <f>IFERROR(VLOOKUP(F232,MOD_TBL,11,0),IFERROR(VLOOKUP(E232,OCU_TBL,2,0),NEUTRO))</f>
        <v/>
      </c>
      <c r="BH232" s="3">
        <f>SUMIFS(MOT_AJUSTE,MOT_MOTOR,G232,MOT_MARCA,E232,MOT_DESDE,"&lt;="&amp;M232,MOT_HASTA,"&gt;="&amp;M232)+SUMIFS(MOT_AJUSTE,MOT_MOTOR,G232,MOT_MARCA,"(todas)",MOT_DESDE,"&lt;="&amp;M232,MOT_HASTA,"&gt;="&amp;M232)</f>
        <v/>
      </c>
      <c r="BI232" s="3">
        <f>SUMIFS(COMB_AJUSTE,COMB_COMB,K232)</f>
        <v/>
      </c>
      <c r="BJ232" s="3">
        <f>COUNTIFS(MOT_MOTOR,G232,MOT_MARCA,E232,MOT_DESDE,"&lt;="&amp;M232,MOT_HASTA,"&gt;="&amp;M232)+COUNTIFS(MOT_MOTOR,G232,MOT_MARCA,"(todas)",MOT_DESDE,"&lt;="&amp;M232,MOT_HASTA,"&gt;="&amp;M232)</f>
        <v/>
      </c>
      <c r="BK232" s="3">
        <f>IF(AND(K232="diesel",BJ232=0),MIN(BG232,NEUTRO),BG232)</f>
        <v/>
      </c>
      <c r="BL232" s="4">
        <f>MAX(0,MIN(100,BK232+BH232+BI232))</f>
        <v/>
      </c>
      <c r="BM232" s="3">
        <f>MAX(0,MIN(100,50+BE232*PRECIO_PEND))</f>
        <v/>
      </c>
      <c r="BN232" s="3">
        <f>MAX(0,100*(1-N232/KM_MAX))</f>
        <v/>
      </c>
      <c r="BO232" s="3">
        <f>IF(AV232&lt;KMA_SOSP,IF(AA232="sí",100,KMA_PEN),IF(AV232&lt;=KMA_IDEAL_MAX,100,MAX(0,100*(KMA_CERO-AV232)/(KMA_CERO-KMA_IDEAL_MAX))))</f>
        <v/>
      </c>
      <c r="BP232" s="3">
        <f>MAX(0,MIN(100,100*(M232-ANIO_MIN)/(ANIO_ACTUAL-ANIO_MIN)))</f>
        <v/>
      </c>
      <c r="BQ232" s="3">
        <f>W_KMT*BN232+W_KMA*BO232+W_EDAD*BP232</f>
        <v/>
      </c>
      <c r="BR232" s="3">
        <f>P_ITV*(V232="sí")+P_LIBRO*(W232="sí")+P_CORREA*(X232="sí")+P_PROP*(Y232=1)+P_GAR*(Z232="sí")+P_FOTOS*MIN(1,N(U232)/FOTOS_OBJ)</f>
        <v/>
      </c>
      <c r="BS232" s="3">
        <f>IFERROR(VLOOKUP(BF232,ETQ_TBL,2,0),NEUTRO)</f>
        <v/>
      </c>
      <c r="BT232" s="3">
        <f>NEUTRO</f>
        <v/>
      </c>
      <c r="BU232" s="3">
        <f>IFERROR(VLOOKUP(L232,SEGURO_TBL,3,0),"")</f>
        <v/>
      </c>
      <c r="BV232" s="3">
        <f>IF(BU232="",NEUTRO,MAX(0,MIN(100,100*(SEG_REF_MAX-BU232)/(SEG_REF_MAX-SEG_REF_MIN))))</f>
        <v/>
      </c>
      <c r="BW232" s="3">
        <f>W_ET*BS232+W_CONS*BT232+W_SEG*BV232</f>
        <v/>
      </c>
      <c r="BX232" s="3">
        <f>IF(N(AB232)&gt;0,AB232,IF(AND(R232="profesional",SG_LEGAL_ON=1),GAR_LEGAL,0))</f>
        <v/>
      </c>
      <c r="BY232" s="3">
        <f>SG_GAR*MIN(1,BX232/SG_GAR_FULL)+SG_AMPL*(AC232="sí")+SG_KMC*(AF232="sí")+SG_REV*(N(AE232)&gt;0)+SG_DEV*MIN(1,N(AG232)/SG_DEV_FULL)+SG_HIST*(W232="sí")</f>
        <v/>
      </c>
      <c r="BZ232" s="3">
        <f>IFERROR(VLOOKUP(L232,CARR_PEN_TBL,2,0),0)</f>
        <v/>
      </c>
      <c r="CA232" s="3">
        <f>W_FIAB*BL232+W_PRECIO*BM232+W_KMEDAD*BQ232+W_ANUNCIO*BR232+W_USO*BW232+W_SEGURIDAD*BY232-BZ232</f>
        <v/>
      </c>
      <c r="CB232" s="4">
        <f>IF(N(I232)&gt;0,I232,IFERROR(ROUND(_xlfn.NUMBERVALUE(LEFT(G232,FIND(" ",G232&amp;" ")-1),".")*1000,0),99999))</f>
        <v/>
      </c>
      <c r="CC232" s="3">
        <f>IF(R232="profesional",0,IF(O232&lt;CUOTA_VALOR_MAX,IF(AU232&gt;ITP_TRAMO_ALTO,SUMIFS(CF_CUOTA,CF_MAS,ITP_TRAMO_ALTO,CF_CCMIN,"&lt;="&amp;CB232,CF_CCMAX,"&gt;="&amp;CB232),IF(AU232&gt;ITP_TRAMO_BAJO,SUMIFS(CF_CUOTA,CF_MAS,ITP_TRAMO_BAJO,CF_CCMIN,"&lt;="&amp;CB232,CF_CCMAX,"&gt;="&amp;CB232),O232*ITP_TIPO)),O232*ITP_TIPO))</f>
        <v/>
      </c>
      <c r="CD232" s="4">
        <f>IF(R232="profesional",N(AK232),0)</f>
        <v/>
      </c>
      <c r="CE232" s="3">
        <f>IF(AND(R232="profesional",ISNUMBER(AK232),AL232="sí"),0,TASA_DGT)</f>
        <v/>
      </c>
      <c r="CF232" s="3">
        <f>INFORME_DGT</f>
        <v/>
      </c>
      <c r="CG232" s="4">
        <f>O232+CD232+CC232+CE232+CF232</f>
        <v/>
      </c>
      <c r="CH232" s="4">
        <f>CG232+N(BU232)</f>
        <v/>
      </c>
      <c r="CI232" s="3">
        <f>IF(CG232&lt;=TOTAL_MAX,"sí",IF(CG232&lt;=TOTAL_MAX+MARGEN_NEG,"negociar","no"))</f>
        <v/>
      </c>
      <c r="CJ232" s="4">
        <f>IF(CI232&lt;&gt;"no",COUNTIFS($CI$2:$CI$662,"&lt;&gt;no",$CA$2:$CA$662,"&gt;"&amp;CA232)+COUNTIFS($CI$2:CI232,"&lt;&gt;no",$CA$2:CA232,CA232),"")</f>
        <v/>
      </c>
    </row>
    <row r="233">
      <c r="A233" s="2" t="inlineStr">
        <is>
          <t>autoscout24:fbeb66a7-87cc-4112-9996-60701a77054b</t>
        </is>
      </c>
      <c r="B233" s="2" t="inlineStr">
        <is>
          <t>autoscout24</t>
        </is>
      </c>
      <c r="C233" s="2" t="inlineStr">
        <is>
          <t>https://www.autoscout24.es/anuncios/citroen-c2-1-4-16v-senso-drive-stop-und-start-gasolina-cat_ma21mo18373-fbeb66a7-87cc-4112-9996-60701a77054b</t>
        </is>
      </c>
      <c r="D233" s="2" t="inlineStr">
        <is>
          <t>Citroën C2 1.4 16V Senso Drive Stop und Start</t>
        </is>
      </c>
      <c r="E233" s="2" t="inlineStr">
        <is>
          <t>Citroën</t>
        </is>
      </c>
      <c r="F233" s="2" t="inlineStr">
        <is>
          <t>Citroën C2</t>
        </is>
      </c>
      <c r="G233" s="2" t="inlineStr">
        <is>
          <t>1.4</t>
        </is>
      </c>
      <c r="H233" s="2" t="inlineStr">
        <is>
          <t>1.4 16V Senso Drive Stop und Start</t>
        </is>
      </c>
      <c r="I233" s="2" t="n">
        <v>1360</v>
      </c>
      <c r="J233" s="2" t="n">
        <v>88</v>
      </c>
      <c r="K233" s="2" t="inlineStr">
        <is>
          <t>gasolina</t>
        </is>
      </c>
      <c r="L233" s="2" t="inlineStr">
        <is>
          <t>utilitario</t>
        </is>
      </c>
      <c r="M233" s="2" t="n">
        <v>2026</v>
      </c>
      <c r="N233" s="2" t="n">
        <v>32000</v>
      </c>
      <c r="O233" s="2" t="n">
        <v>2900</v>
      </c>
      <c r="P233" s="2" t="inlineStr">
        <is>
          <t>automatico</t>
        </is>
      </c>
      <c r="Q233" s="2" t="inlineStr">
        <is>
          <t>sí</t>
        </is>
      </c>
      <c r="R233" s="2" t="inlineStr">
        <is>
          <t>particular</t>
        </is>
      </c>
      <c r="S233" s="2" t="inlineStr">
        <is>
          <t>Aielo de Malferit (46812)</t>
        </is>
      </c>
      <c r="T233" s="2" t="n"/>
      <c r="U233" s="2" t="n">
        <v>10</v>
      </c>
      <c r="V233" s="2" t="n"/>
      <c r="W233" s="2" t="n"/>
      <c r="X233" s="2" t="n"/>
      <c r="Y233" s="2" t="n"/>
      <c r="Z233" s="2" t="n"/>
      <c r="AA233" s="2" t="n"/>
      <c r="AB233" s="2" t="n"/>
      <c r="AC233" s="2" t="n"/>
      <c r="AD233" s="2" t="n"/>
      <c r="AE233" s="2" t="n"/>
      <c r="AF233" s="2" t="n"/>
      <c r="AG233" s="2" t="n"/>
      <c r="AH233" s="2" t="n"/>
      <c r="AI233" s="2" t="n"/>
      <c r="AJ233" s="2" t="n"/>
      <c r="AK233" s="2" t="n"/>
      <c r="AL233" s="2" t="n"/>
      <c r="AM233" s="2" t="n">
        <v>68.5</v>
      </c>
      <c r="AN233" s="2" t="n"/>
      <c r="AO233" s="2" t="n"/>
      <c r="AP233" s="2" t="n"/>
      <c r="AQ233" s="2" t="n"/>
      <c r="AR233" s="2" t="inlineStr">
        <is>
          <t>valor fiscal (precio medio Hacienda) PENDIENTE: base ITP = precio del anuncio; fiabilidad del modelo PENDIENTE de fuente (puntuación neutra)</t>
        </is>
      </c>
      <c r="AS233" s="2" t="inlineStr"/>
      <c r="AT233" s="2" t="inlineStr">
        <is>
          <t>https://www.autoscout24.es/anuncios/citroen-c2-1-4-16v-senso-drive-stop-und-start-gasolina-cat_ma21mo18373-fbeb66a7-87cc-4112-9996-60701a77054b (__NEXT_DATA__ listingDetails) /home/user/Alopecia/buscador-coches/raw/autoscout24/eac188e4dad4101d.json</t>
        </is>
      </c>
      <c r="AU233" s="3">
        <f>MAX(ANIO_ACTUAL-M233,0)</f>
        <v/>
      </c>
      <c r="AV233" s="4">
        <f>N233/MAX(AU233,0.5)</f>
        <v/>
      </c>
      <c r="AW233" s="4">
        <f>F233</f>
        <v/>
      </c>
      <c r="AX233" s="3">
        <f>AW233&amp;"|"&amp;INT(M233/SEG_ANIO)*SEG_ANIO</f>
        <v/>
      </c>
      <c r="AY233" s="3">
        <f>AX233&amp;"|"&amp;INT(N233/SEG_KM)*SEG_KM</f>
        <v/>
      </c>
      <c r="AZ233" s="4">
        <f>COUNTIF($AW$2:$AW$662,AW233)</f>
        <v/>
      </c>
      <c r="BA233" s="4">
        <f>COUNTIF($AX$2:$AX$662,AX233)</f>
        <v/>
      </c>
      <c r="BB233" s="4">
        <f>COUNTIF($AY$2:$AY$662,AY233)</f>
        <v/>
      </c>
      <c r="BC233" s="3">
        <f t="array" ref="BC233">IF(N(AO233)&gt;=MIN_N,AN233,IF(BB233&gt;=MIN_N,MEDIAN(IF($AY$2:$AY$662=AY233,$O$2:$O$662)),IF(BA233&gt;=MIN_N,MEDIAN(IF($AX$2:$AX$662=AX233,$O$2:$O$662)),MEDIAN(IF($AW$2:$AW$662=AW233,$O$2:$O$662)))))</f>
        <v/>
      </c>
      <c r="BD233" s="3">
        <f>IF(N(AO233)&gt;=MIN_N,"mercado "&amp;AP233,IF(BB233&gt;=MIN_N,"modelo+año+km",IF(BA233&gt;=MIN_N,"modelo+año","modelo")))</f>
        <v/>
      </c>
      <c r="BE233" s="4">
        <f>(BC233-O233)/BC233</f>
        <v/>
      </c>
      <c r="BF233" s="3">
        <f>IF(OR(K233="hibrido",K233="glp"),"ECO",IF(K233="electrico","CERO",IF(K233="gasolina",IF(M233&gt;=GAS_C,"C",IF(M233&gt;=GAS_B,"B","A")),IF(K233="diesel",IF(M233&gt;=DIE_C,"C",IF(M233&gt;=DIE_B,"B","A")),""))))</f>
        <v/>
      </c>
      <c r="BG233" s="3">
        <f>IFERROR(VLOOKUP(F233,MOD_TBL,11,0),IFERROR(VLOOKUP(E233,OCU_TBL,2,0),NEUTRO))</f>
        <v/>
      </c>
      <c r="BH233" s="3">
        <f>SUMIFS(MOT_AJUSTE,MOT_MOTOR,G233,MOT_MARCA,E233,MOT_DESDE,"&lt;="&amp;M233,MOT_HASTA,"&gt;="&amp;M233)+SUMIFS(MOT_AJUSTE,MOT_MOTOR,G233,MOT_MARCA,"(todas)",MOT_DESDE,"&lt;="&amp;M233,MOT_HASTA,"&gt;="&amp;M233)</f>
        <v/>
      </c>
      <c r="BI233" s="3">
        <f>SUMIFS(COMB_AJUSTE,COMB_COMB,K233)</f>
        <v/>
      </c>
      <c r="BJ233" s="3">
        <f>COUNTIFS(MOT_MOTOR,G233,MOT_MARCA,E233,MOT_DESDE,"&lt;="&amp;M233,MOT_HASTA,"&gt;="&amp;M233)+COUNTIFS(MOT_MOTOR,G233,MOT_MARCA,"(todas)",MOT_DESDE,"&lt;="&amp;M233,MOT_HASTA,"&gt;="&amp;M233)</f>
        <v/>
      </c>
      <c r="BK233" s="3">
        <f>IF(AND(K233="diesel",BJ233=0),MIN(BG233,NEUTRO),BG233)</f>
        <v/>
      </c>
      <c r="BL233" s="4">
        <f>MAX(0,MIN(100,BK233+BH233+BI233))</f>
        <v/>
      </c>
      <c r="BM233" s="3">
        <f>MAX(0,MIN(100,50+BE233*PRECIO_PEND))</f>
        <v/>
      </c>
      <c r="BN233" s="3">
        <f>MAX(0,100*(1-N233/KM_MAX))</f>
        <v/>
      </c>
      <c r="BO233" s="3">
        <f>IF(AV233&lt;KMA_SOSP,IF(AA233="sí",100,KMA_PEN),IF(AV233&lt;=KMA_IDEAL_MAX,100,MAX(0,100*(KMA_CERO-AV233)/(KMA_CERO-KMA_IDEAL_MAX))))</f>
        <v/>
      </c>
      <c r="BP233" s="3">
        <f>MAX(0,MIN(100,100*(M233-ANIO_MIN)/(ANIO_ACTUAL-ANIO_MIN)))</f>
        <v/>
      </c>
      <c r="BQ233" s="3">
        <f>W_KMT*BN233+W_KMA*BO233+W_EDAD*BP233</f>
        <v/>
      </c>
      <c r="BR233" s="3">
        <f>P_ITV*(V233="sí")+P_LIBRO*(W233="sí")+P_CORREA*(X233="sí")+P_PROP*(Y233=1)+P_GAR*(Z233="sí")+P_FOTOS*MIN(1,N(U233)/FOTOS_OBJ)</f>
        <v/>
      </c>
      <c r="BS233" s="3">
        <f>IFERROR(VLOOKUP(BF233,ETQ_TBL,2,0),NEUTRO)</f>
        <v/>
      </c>
      <c r="BT233" s="3">
        <f>NEUTRO</f>
        <v/>
      </c>
      <c r="BU233" s="3">
        <f>IFERROR(VLOOKUP(L233,SEGURO_TBL,3,0),"")</f>
        <v/>
      </c>
      <c r="BV233" s="3">
        <f>IF(BU233="",NEUTRO,MAX(0,MIN(100,100*(SEG_REF_MAX-BU233)/(SEG_REF_MAX-SEG_REF_MIN))))</f>
        <v/>
      </c>
      <c r="BW233" s="3">
        <f>W_ET*BS233+W_CONS*BT233+W_SEG*BV233</f>
        <v/>
      </c>
      <c r="BX233" s="3">
        <f>IF(N(AB233)&gt;0,AB233,IF(AND(R233="profesional",SG_LEGAL_ON=1),GAR_LEGAL,0))</f>
        <v/>
      </c>
      <c r="BY233" s="3">
        <f>SG_GAR*MIN(1,BX233/SG_GAR_FULL)+SG_AMPL*(AC233="sí")+SG_KMC*(AF233="sí")+SG_REV*(N(AE233)&gt;0)+SG_DEV*MIN(1,N(AG233)/SG_DEV_FULL)+SG_HIST*(W233="sí")</f>
        <v/>
      </c>
      <c r="BZ233" s="3">
        <f>IFERROR(VLOOKUP(L233,CARR_PEN_TBL,2,0),0)</f>
        <v/>
      </c>
      <c r="CA233" s="3">
        <f>W_FIAB*BL233+W_PRECIO*BM233+W_KMEDAD*BQ233+W_ANUNCIO*BR233+W_USO*BW233+W_SEGURIDAD*BY233-BZ233</f>
        <v/>
      </c>
      <c r="CB233" s="4">
        <f>IF(N(I233)&gt;0,I233,IFERROR(ROUND(_xlfn.NUMBERVALUE(LEFT(G233,FIND(" ",G233&amp;" ")-1),".")*1000,0),99999))</f>
        <v/>
      </c>
      <c r="CC233" s="3">
        <f>IF(R233="profesional",0,IF(O233&lt;CUOTA_VALOR_MAX,IF(AU233&gt;ITP_TRAMO_ALTO,SUMIFS(CF_CUOTA,CF_MAS,ITP_TRAMO_ALTO,CF_CCMIN,"&lt;="&amp;CB233,CF_CCMAX,"&gt;="&amp;CB233),IF(AU233&gt;ITP_TRAMO_BAJO,SUMIFS(CF_CUOTA,CF_MAS,ITP_TRAMO_BAJO,CF_CCMIN,"&lt;="&amp;CB233,CF_CCMAX,"&gt;="&amp;CB233),O233*ITP_TIPO)),O233*ITP_TIPO))</f>
        <v/>
      </c>
      <c r="CD233" s="4">
        <f>IF(R233="profesional",N(AK233),0)</f>
        <v/>
      </c>
      <c r="CE233" s="3">
        <f>IF(AND(R233="profesional",ISNUMBER(AK233),AL233="sí"),0,TASA_DGT)</f>
        <v/>
      </c>
      <c r="CF233" s="3">
        <f>INFORME_DGT</f>
        <v/>
      </c>
      <c r="CG233" s="4">
        <f>O233+CD233+CC233+CE233+CF233</f>
        <v/>
      </c>
      <c r="CH233" s="4">
        <f>CG233+N(BU233)</f>
        <v/>
      </c>
      <c r="CI233" s="3">
        <f>IF(CG233&lt;=TOTAL_MAX,"sí",IF(CG233&lt;=TOTAL_MAX+MARGEN_NEG,"negociar","no"))</f>
        <v/>
      </c>
      <c r="CJ233" s="4">
        <f>IF(CI233&lt;&gt;"no",COUNTIFS($CI$2:$CI$662,"&lt;&gt;no",$CA$2:$CA$662,"&gt;"&amp;CA233)+COUNTIFS($CI$2:CI233,"&lt;&gt;no",$CA$2:CA233,CA233),"")</f>
        <v/>
      </c>
    </row>
    <row r="234">
      <c r="A234" s="2" t="inlineStr">
        <is>
          <t>autoscout24:e2ed9b2f-4d2e-4a7a-9e18-b1695019c69f</t>
        </is>
      </c>
      <c r="B234" s="2" t="inlineStr">
        <is>
          <t>autoscout24</t>
        </is>
      </c>
      <c r="C234" s="2" t="inlineStr">
        <is>
          <t>https://www.autoscout24.es/anuncios/citroen-c3-1-4hdi-collection-diesel-azul-cat_ma21mo18264-e2ed9b2f-4d2e-4a7a-9e18-b1695019c69f</t>
        </is>
      </c>
      <c r="D234" s="2" t="inlineStr">
        <is>
          <t>Citroën C3 1.4HDI Collection</t>
        </is>
      </c>
      <c r="E234" s="2" t="inlineStr">
        <is>
          <t>Citroën</t>
        </is>
      </c>
      <c r="F234" s="2" t="inlineStr">
        <is>
          <t>Citroën C3</t>
        </is>
      </c>
      <c r="G234" s="2" t="inlineStr">
        <is>
          <t>1.4 HDi</t>
        </is>
      </c>
      <c r="H234" s="2" t="inlineStr">
        <is>
          <t>1.4HDI Collection 1.4 HDI</t>
        </is>
      </c>
      <c r="I234" s="2" t="n">
        <v>1398</v>
      </c>
      <c r="J234" s="2" t="n">
        <v>68</v>
      </c>
      <c r="K234" s="2" t="inlineStr">
        <is>
          <t>diesel</t>
        </is>
      </c>
      <c r="L234" s="2" t="inlineStr">
        <is>
          <t>utilitario</t>
        </is>
      </c>
      <c r="M234" s="2" t="n">
        <v>2006</v>
      </c>
      <c r="N234" s="2" t="n">
        <v>202715</v>
      </c>
      <c r="O234" s="2" t="n">
        <v>4900</v>
      </c>
      <c r="P234" s="2" t="inlineStr">
        <is>
          <t>manual</t>
        </is>
      </c>
      <c r="Q234" s="2" t="inlineStr">
        <is>
          <t>no</t>
        </is>
      </c>
      <c r="R234" s="2" t="inlineStr">
        <is>
          <t>profesional</t>
        </is>
      </c>
      <c r="S234" s="2" t="inlineStr">
        <is>
          <t>Autoblazquez — XATIVA (46800)</t>
        </is>
      </c>
      <c r="T234" s="2" t="n"/>
      <c r="U234" s="2" t="n">
        <v>12</v>
      </c>
      <c r="V234" s="2" t="n"/>
      <c r="W234" s="2" t="n"/>
      <c r="X234" s="2" t="n"/>
      <c r="Y234" s="2" t="n"/>
      <c r="Z234" s="2" t="inlineStr">
        <is>
          <t>sí</t>
        </is>
      </c>
      <c r="AA234" s="2" t="n"/>
      <c r="AB234" s="2" t="n">
        <v>12</v>
      </c>
      <c r="AC234" s="2" t="n"/>
      <c r="AD234" s="2" t="n"/>
      <c r="AE234" s="2" t="n"/>
      <c r="AF234" s="2" t="n"/>
      <c r="AG234" s="2" t="n"/>
      <c r="AH234" s="2" t="n">
        <v>4900</v>
      </c>
      <c r="AI234" s="2" t="n">
        <v>4600</v>
      </c>
      <c r="AJ234" s="2" t="inlineStr">
        <is>
          <t>sí</t>
        </is>
      </c>
      <c r="AK234" s="2" t="n"/>
      <c r="AL234" s="2" t="n"/>
      <c r="AM234" s="2" t="n">
        <v>54.5</v>
      </c>
      <c r="AN234" s="2" t="n">
        <v>1999</v>
      </c>
      <c r="AO234" s="2" t="n">
        <v>7</v>
      </c>
      <c r="AP234" s="2" t="inlineStr">
        <is>
          <t>modelo+año+km</t>
        </is>
      </c>
      <c r="AQ234" s="2" t="n"/>
      <c r="AR234" s="2" t="inlineStr">
        <is>
          <t>vendedor profesional: sin ITP (operación con IVA/REBU, confirmar en factura); gastos de gestión del vendedor no indicados: se suma la tasa DGT; preguntar el precio final; el precio anunciado (4.600 €) solo vale financiando; se usa el precio al contado</t>
        </is>
      </c>
      <c r="AS234" s="2" t="inlineStr">
        <is>
          <t>&lt;strong&gt;Precio al contado: 4900 euros&lt;/strong&gt; &lt;br /&gt;&lt;br /&gt;&lt;strong&gt;Condiciones de la financiación&lt;/strong&gt; &lt;br /&gt;&lt;br /&gt;&lt;br /&gt;NOS AJUSTAMOS A LAS NECESIDADES DEL CLIENTE ASEGURANDO EL MEJOR INTERES POSIBLE, TRABAJAMOS CON VARIAS FINANCIERAS CON LA POSIBILIDAD DE CANCELACION A PARTIR DE LOS 12 MESES, PARA MAS INFORMACION WWW.AUTOBLAZQUEZ.COM&lt;br /&gt; &lt;br /&gt;&lt;br /&gt;Www.autoblazquez.com, todos nuestros vehículos disponen de garantía de un año de mecánica y electrónica y se entregan con la revisión recién hecha, itv, cambio de nombre y vehículo de sustitución en caso de avería.&lt;br /&gt;&lt;br /&gt;</t>
        </is>
      </c>
      <c r="AT234" s="2" t="inlineStr">
        <is>
          <t>https://www.autoscout24.es/anuncios/citroen-c3-1-4hdi-collection-diesel-azul-cat_ma21mo18264-e2ed9b2f-4d2e-4a7a-9e18-b1695019c69f (__NEXT_DATA__ listingDetails) /home/user/Alopecia/buscador-coches/raw/autoscout24/150dce55cb9a3bd7.json</t>
        </is>
      </c>
      <c r="AU234" s="3">
        <f>MAX(ANIO_ACTUAL-M234,0)</f>
        <v/>
      </c>
      <c r="AV234" s="4">
        <f>N234/MAX(AU234,0.5)</f>
        <v/>
      </c>
      <c r="AW234" s="4">
        <f>F234</f>
        <v/>
      </c>
      <c r="AX234" s="3">
        <f>AW234&amp;"|"&amp;INT(M234/SEG_ANIO)*SEG_ANIO</f>
        <v/>
      </c>
      <c r="AY234" s="3">
        <f>AX234&amp;"|"&amp;INT(N234/SEG_KM)*SEG_KM</f>
        <v/>
      </c>
      <c r="AZ234" s="4">
        <f>COUNTIF($AW$2:$AW$662,AW234)</f>
        <v/>
      </c>
      <c r="BA234" s="4">
        <f>COUNTIF($AX$2:$AX$662,AX234)</f>
        <v/>
      </c>
      <c r="BB234" s="4">
        <f>COUNTIF($AY$2:$AY$662,AY234)</f>
        <v/>
      </c>
      <c r="BC234" s="3">
        <f t="array" ref="BC234">IF(N(AO234)&gt;=MIN_N,AN234,IF(BB234&gt;=MIN_N,MEDIAN(IF($AY$2:$AY$662=AY234,$O$2:$O$662)),IF(BA234&gt;=MIN_N,MEDIAN(IF($AX$2:$AX$662=AX234,$O$2:$O$662)),MEDIAN(IF($AW$2:$AW$662=AW234,$O$2:$O$662)))))</f>
        <v/>
      </c>
      <c r="BD234" s="3">
        <f>IF(N(AO234)&gt;=MIN_N,"mercado "&amp;AP234,IF(BB234&gt;=MIN_N,"modelo+año+km",IF(BA234&gt;=MIN_N,"modelo+año","modelo")))</f>
        <v/>
      </c>
      <c r="BE234" s="4">
        <f>(BC234-O234)/BC234</f>
        <v/>
      </c>
      <c r="BF234" s="3">
        <f>IF(OR(K234="hibrido",K234="glp"),"ECO",IF(K234="electrico","CERO",IF(K234="gasolina",IF(M234&gt;=GAS_C,"C",IF(M234&gt;=GAS_B,"B","A")),IF(K234="diesel",IF(M234&gt;=DIE_C,"C",IF(M234&gt;=DIE_B,"B","A")),""))))</f>
        <v/>
      </c>
      <c r="BG234" s="3">
        <f>IFERROR(VLOOKUP(F234,MOD_TBL,11,0),IFERROR(VLOOKUP(E234,OCU_TBL,2,0),NEUTRO))</f>
        <v/>
      </c>
      <c r="BH234" s="3">
        <f>SUMIFS(MOT_AJUSTE,MOT_MOTOR,G234,MOT_MARCA,E234,MOT_DESDE,"&lt;="&amp;M234,MOT_HASTA,"&gt;="&amp;M234)+SUMIFS(MOT_AJUSTE,MOT_MOTOR,G234,MOT_MARCA,"(todas)",MOT_DESDE,"&lt;="&amp;M234,MOT_HASTA,"&gt;="&amp;M234)</f>
        <v/>
      </c>
      <c r="BI234" s="3">
        <f>SUMIFS(COMB_AJUSTE,COMB_COMB,K234)</f>
        <v/>
      </c>
      <c r="BJ234" s="3">
        <f>COUNTIFS(MOT_MOTOR,G234,MOT_MARCA,E234,MOT_DESDE,"&lt;="&amp;M234,MOT_HASTA,"&gt;="&amp;M234)+COUNTIFS(MOT_MOTOR,G234,MOT_MARCA,"(todas)",MOT_DESDE,"&lt;="&amp;M234,MOT_HASTA,"&gt;="&amp;M234)</f>
        <v/>
      </c>
      <c r="BK234" s="3">
        <f>IF(AND(K234="diesel",BJ234=0),MIN(BG234,NEUTRO),BG234)</f>
        <v/>
      </c>
      <c r="BL234" s="4">
        <f>MAX(0,MIN(100,BK234+BH234+BI234))</f>
        <v/>
      </c>
      <c r="BM234" s="3">
        <f>MAX(0,MIN(100,50+BE234*PRECIO_PEND))</f>
        <v/>
      </c>
      <c r="BN234" s="3">
        <f>MAX(0,100*(1-N234/KM_MAX))</f>
        <v/>
      </c>
      <c r="BO234" s="3">
        <f>IF(AV234&lt;KMA_SOSP,IF(AA234="sí",100,KMA_PEN),IF(AV234&lt;=KMA_IDEAL_MAX,100,MAX(0,100*(KMA_CERO-AV234)/(KMA_CERO-KMA_IDEAL_MAX))))</f>
        <v/>
      </c>
      <c r="BP234" s="3">
        <f>MAX(0,MIN(100,100*(M234-ANIO_MIN)/(ANIO_ACTUAL-ANIO_MIN)))</f>
        <v/>
      </c>
      <c r="BQ234" s="3">
        <f>W_KMT*BN234+W_KMA*BO234+W_EDAD*BP234</f>
        <v/>
      </c>
      <c r="BR234" s="3">
        <f>P_ITV*(V234="sí")+P_LIBRO*(W234="sí")+P_CORREA*(X234="sí")+P_PROP*(Y234=1)+P_GAR*(Z234="sí")+P_FOTOS*MIN(1,N(U234)/FOTOS_OBJ)</f>
        <v/>
      </c>
      <c r="BS234" s="3">
        <f>IFERROR(VLOOKUP(BF234,ETQ_TBL,2,0),NEUTRO)</f>
        <v/>
      </c>
      <c r="BT234" s="3">
        <f>NEUTRO</f>
        <v/>
      </c>
      <c r="BU234" s="3">
        <f>IFERROR(VLOOKUP(L234,SEGURO_TBL,3,0),"")</f>
        <v/>
      </c>
      <c r="BV234" s="3">
        <f>IF(BU234="",NEUTRO,MAX(0,MIN(100,100*(SEG_REF_MAX-BU234)/(SEG_REF_MAX-SEG_REF_MIN))))</f>
        <v/>
      </c>
      <c r="BW234" s="3">
        <f>W_ET*BS234+W_CONS*BT234+W_SEG*BV234</f>
        <v/>
      </c>
      <c r="BX234" s="3">
        <f>IF(N(AB234)&gt;0,AB234,IF(AND(R234="profesional",SG_LEGAL_ON=1),GAR_LEGAL,0))</f>
        <v/>
      </c>
      <c r="BY234" s="3">
        <f>SG_GAR*MIN(1,BX234/SG_GAR_FULL)+SG_AMPL*(AC234="sí")+SG_KMC*(AF234="sí")+SG_REV*(N(AE234)&gt;0)+SG_DEV*MIN(1,N(AG234)/SG_DEV_FULL)+SG_HIST*(W234="sí")</f>
        <v/>
      </c>
      <c r="BZ234" s="3">
        <f>IFERROR(VLOOKUP(L234,CARR_PEN_TBL,2,0),0)</f>
        <v/>
      </c>
      <c r="CA234" s="3">
        <f>W_FIAB*BL234+W_PRECIO*BM234+W_KMEDAD*BQ234+W_ANUNCIO*BR234+W_USO*BW234+W_SEGURIDAD*BY234-BZ234</f>
        <v/>
      </c>
      <c r="CB234" s="4">
        <f>IF(N(I234)&gt;0,I234,IFERROR(ROUND(_xlfn.NUMBERVALUE(LEFT(G234,FIND(" ",G234&amp;" ")-1),".")*1000,0),99999))</f>
        <v/>
      </c>
      <c r="CC234" s="3">
        <f>IF(R234="profesional",0,IF(O234&lt;CUOTA_VALOR_MAX,IF(AU234&gt;ITP_TRAMO_ALTO,SUMIFS(CF_CUOTA,CF_MAS,ITP_TRAMO_ALTO,CF_CCMIN,"&lt;="&amp;CB234,CF_CCMAX,"&gt;="&amp;CB234),IF(AU234&gt;ITP_TRAMO_BAJO,SUMIFS(CF_CUOTA,CF_MAS,ITP_TRAMO_BAJO,CF_CCMIN,"&lt;="&amp;CB234,CF_CCMAX,"&gt;="&amp;CB234),O234*ITP_TIPO)),O234*ITP_TIPO))</f>
        <v/>
      </c>
      <c r="CD234" s="4">
        <f>IF(R234="profesional",N(AK234),0)</f>
        <v/>
      </c>
      <c r="CE234" s="3">
        <f>IF(AND(R234="profesional",ISNUMBER(AK234),AL234="sí"),0,TASA_DGT)</f>
        <v/>
      </c>
      <c r="CF234" s="3">
        <f>INFORME_DGT</f>
        <v/>
      </c>
      <c r="CG234" s="4">
        <f>O234+CD234+CC234+CE234+CF234</f>
        <v/>
      </c>
      <c r="CH234" s="4">
        <f>CG234+N(BU234)</f>
        <v/>
      </c>
      <c r="CI234" s="3">
        <f>IF(CG234&lt;=TOTAL_MAX,"sí",IF(CG234&lt;=TOTAL_MAX+MARGEN_NEG,"negociar","no"))</f>
        <v/>
      </c>
      <c r="CJ234" s="4">
        <f>IF(CI234&lt;&gt;"no",COUNTIFS($CI$2:$CI$662,"&lt;&gt;no",$CA$2:$CA$662,"&gt;"&amp;CA234)+COUNTIFS($CI$2:CI234,"&lt;&gt;no",$CA$2:CA234,CA234),"")</f>
        <v/>
      </c>
    </row>
    <row r="235">
      <c r="A235" s="2" t="inlineStr">
        <is>
          <t>autoscout24:b12d74bc-f99b-46aa-8160-c375b65746c5</t>
        </is>
      </c>
      <c r="B235" s="2" t="inlineStr">
        <is>
          <t>autoscout24</t>
        </is>
      </c>
      <c r="C235" s="2" t="inlineStr">
        <is>
          <t>https://www.autoscout24.es/anuncios/citroen-c3-1-4i-16v-exclusive-gasolina-azul-cat_ma21mo18264-b12d74bc-f99b-46aa-8160-c375b65746c5</t>
        </is>
      </c>
      <c r="D235" s="2" t="inlineStr">
        <is>
          <t>Citroën C3 1.4i 16v Exclusive</t>
        </is>
      </c>
      <c r="E235" s="2" t="inlineStr">
        <is>
          <t>Citroën</t>
        </is>
      </c>
      <c r="F235" s="2" t="inlineStr">
        <is>
          <t>Citroën C3</t>
        </is>
      </c>
      <c r="G235" s="2" t="inlineStr">
        <is>
          <t>1.4</t>
        </is>
      </c>
      <c r="H235" s="2" t="inlineStr">
        <is>
          <t>1.4i 16v Exclusive 1.4</t>
        </is>
      </c>
      <c r="I235" s="2" t="n">
        <v>1360</v>
      </c>
      <c r="J235" s="2" t="n">
        <v>90</v>
      </c>
      <c r="K235" s="2" t="inlineStr">
        <is>
          <t>gasolina</t>
        </is>
      </c>
      <c r="L235" s="2" t="inlineStr">
        <is>
          <t>utilitario</t>
        </is>
      </c>
      <c r="M235" s="2" t="n">
        <v>2006</v>
      </c>
      <c r="N235" s="2" t="n">
        <v>136000</v>
      </c>
      <c r="O235" s="2" t="n">
        <v>4500</v>
      </c>
      <c r="P235" s="2" t="inlineStr">
        <is>
          <t>manual</t>
        </is>
      </c>
      <c r="Q235" s="2" t="inlineStr">
        <is>
          <t>no</t>
        </is>
      </c>
      <c r="R235" s="2" t="inlineStr">
        <is>
          <t>profesional</t>
        </is>
      </c>
      <c r="S235" s="2" t="inlineStr">
        <is>
          <t>IMPOR WAGEN — XATIVA (46800)</t>
        </is>
      </c>
      <c r="T235" s="2" t="n"/>
      <c r="U235" s="2" t="n">
        <v>25</v>
      </c>
      <c r="V235" s="2" t="n"/>
      <c r="W235" s="2" t="n"/>
      <c r="X235" s="2" t="n"/>
      <c r="Y235" s="2" t="n"/>
      <c r="Z235" s="2" t="inlineStr">
        <is>
          <t>sí</t>
        </is>
      </c>
      <c r="AA235" s="2" t="n"/>
      <c r="AB235" s="2" t="n">
        <v>12</v>
      </c>
      <c r="AC235" s="2" t="n"/>
      <c r="AD235" s="2" t="n"/>
      <c r="AE235" s="2" t="n"/>
      <c r="AF235" s="2" t="n"/>
      <c r="AG235" s="2" t="n"/>
      <c r="AH235" s="2" t="n">
        <v>4500</v>
      </c>
      <c r="AI235" s="2" t="n"/>
      <c r="AJ235" s="2" t="n"/>
      <c r="AK235" s="2" t="n"/>
      <c r="AL235" s="2" t="n"/>
      <c r="AM235" s="2" t="n">
        <v>54</v>
      </c>
      <c r="AN235" s="2" t="n">
        <v>3500</v>
      </c>
      <c r="AO235" s="2" t="n">
        <v>5</v>
      </c>
      <c r="AP235" s="2" t="inlineStr">
        <is>
          <t>modelo+año+km</t>
        </is>
      </c>
      <c r="AQ235" s="2" t="n"/>
      <c r="AR235" s="2" t="inlineStr">
        <is>
          <t>vendedor profesional: sin ITP (operación con IVA/REBU, confirmar en factura); gastos de gestión del vendedor no indicados: se suma la tasa DGT; preguntar el precio final</t>
        </is>
      </c>
      <c r="AS235" s="2" t="inlineStr">
        <is>
          <t>&lt;strong&gt;Precio al contado: 4500 euros&lt;/strong&gt; &lt;br /&gt;&lt;br /&gt;&lt;strong&gt;Condiciones de la financiación&lt;/strong&gt; &lt;br /&gt;&lt;br /&gt;Desde 90€ mes , sujeto a condiciones financieras .&lt;br /&gt;&amp;lt;hr&amp;gt; &lt;br /&gt;&lt;br /&gt;• Tapicería PIEL BEIGE &lt;br /&gt;• Climatizador &lt;br /&gt;• llantas &lt;br /&gt;• espejos abatibles eléctricos &lt;br /&gt;• sensores aparcamiento &lt;br /&gt;• regulador de velocidad &lt;br /&gt;• sensor de luces y lluvia &lt;br /&gt;• ordenador &lt;br /&gt;• 1 AÑO DE GARANTIA INCLUIDO &lt;br /&gt;• ACEPTAMOS COCHE COMO PARTE DE PAGO &lt;br /&gt;• LLEVAMOS EL COCHE A CUALQUIER PUNTO DE ESPAÑA &lt;br /&gt;• TELEFONOS: y movil:. atendemos WHATSAPP y sábado tarde y domingo previa cita. &lt;br /&gt;Las especificaciones en esta ficha pueden contener algún error y por tanto no tienen carácter vinculante , no pudiendo constituir en ningún caso la base de un futuro contrato.    &lt;br /&gt;&lt;br /&gt;</t>
        </is>
      </c>
      <c r="AT235" s="2" t="inlineStr">
        <is>
          <t>https://www.autoscout24.es/anuncios/citroen-c3-1-4i-16v-exclusive-gasolina-azul-cat_ma21mo18264-b12d74bc-f99b-46aa-8160-c375b65746c5 (__NEXT_DATA__ listingDetails) /home/user/Alopecia/buscador-coches/raw/autoscout24/52475f84438cf96f.json</t>
        </is>
      </c>
      <c r="AU235" s="3">
        <f>MAX(ANIO_ACTUAL-M235,0)</f>
        <v/>
      </c>
      <c r="AV235" s="4">
        <f>N235/MAX(AU235,0.5)</f>
        <v/>
      </c>
      <c r="AW235" s="4">
        <f>F235</f>
        <v/>
      </c>
      <c r="AX235" s="3">
        <f>AW235&amp;"|"&amp;INT(M235/SEG_ANIO)*SEG_ANIO</f>
        <v/>
      </c>
      <c r="AY235" s="3">
        <f>AX235&amp;"|"&amp;INT(N235/SEG_KM)*SEG_KM</f>
        <v/>
      </c>
      <c r="AZ235" s="4">
        <f>COUNTIF($AW$2:$AW$662,AW235)</f>
        <v/>
      </c>
      <c r="BA235" s="4">
        <f>COUNTIF($AX$2:$AX$662,AX235)</f>
        <v/>
      </c>
      <c r="BB235" s="4">
        <f>COUNTIF($AY$2:$AY$662,AY235)</f>
        <v/>
      </c>
      <c r="BC235" s="3">
        <f t="array" ref="BC235">IF(N(AO235)&gt;=MIN_N,AN235,IF(BB235&gt;=MIN_N,MEDIAN(IF($AY$2:$AY$662=AY235,$O$2:$O$662)),IF(BA235&gt;=MIN_N,MEDIAN(IF($AX$2:$AX$662=AX235,$O$2:$O$662)),MEDIAN(IF($AW$2:$AW$662=AW235,$O$2:$O$662)))))</f>
        <v/>
      </c>
      <c r="BD235" s="3">
        <f>IF(N(AO235)&gt;=MIN_N,"mercado "&amp;AP235,IF(BB235&gt;=MIN_N,"modelo+año+km",IF(BA235&gt;=MIN_N,"modelo+año","modelo")))</f>
        <v/>
      </c>
      <c r="BE235" s="4">
        <f>(BC235-O235)/BC235</f>
        <v/>
      </c>
      <c r="BF235" s="3">
        <f>IF(OR(K235="hibrido",K235="glp"),"ECO",IF(K235="electrico","CERO",IF(K235="gasolina",IF(M235&gt;=GAS_C,"C",IF(M235&gt;=GAS_B,"B","A")),IF(K235="diesel",IF(M235&gt;=DIE_C,"C",IF(M235&gt;=DIE_B,"B","A")),""))))</f>
        <v/>
      </c>
      <c r="BG235" s="3">
        <f>IFERROR(VLOOKUP(F235,MOD_TBL,11,0),IFERROR(VLOOKUP(E235,OCU_TBL,2,0),NEUTRO))</f>
        <v/>
      </c>
      <c r="BH235" s="3">
        <f>SUMIFS(MOT_AJUSTE,MOT_MOTOR,G235,MOT_MARCA,E235,MOT_DESDE,"&lt;="&amp;M235,MOT_HASTA,"&gt;="&amp;M235)+SUMIFS(MOT_AJUSTE,MOT_MOTOR,G235,MOT_MARCA,"(todas)",MOT_DESDE,"&lt;="&amp;M235,MOT_HASTA,"&gt;="&amp;M235)</f>
        <v/>
      </c>
      <c r="BI235" s="3">
        <f>SUMIFS(COMB_AJUSTE,COMB_COMB,K235)</f>
        <v/>
      </c>
      <c r="BJ235" s="3">
        <f>COUNTIFS(MOT_MOTOR,G235,MOT_MARCA,E235,MOT_DESDE,"&lt;="&amp;M235,MOT_HASTA,"&gt;="&amp;M235)+COUNTIFS(MOT_MOTOR,G235,MOT_MARCA,"(todas)",MOT_DESDE,"&lt;="&amp;M235,MOT_HASTA,"&gt;="&amp;M235)</f>
        <v/>
      </c>
      <c r="BK235" s="3">
        <f>IF(AND(K235="diesel",BJ235=0),MIN(BG235,NEUTRO),BG235)</f>
        <v/>
      </c>
      <c r="BL235" s="4">
        <f>MAX(0,MIN(100,BK235+BH235+BI235))</f>
        <v/>
      </c>
      <c r="BM235" s="3">
        <f>MAX(0,MIN(100,50+BE235*PRECIO_PEND))</f>
        <v/>
      </c>
      <c r="BN235" s="3">
        <f>MAX(0,100*(1-N235/KM_MAX))</f>
        <v/>
      </c>
      <c r="BO235" s="3">
        <f>IF(AV235&lt;KMA_SOSP,IF(AA235="sí",100,KMA_PEN),IF(AV235&lt;=KMA_IDEAL_MAX,100,MAX(0,100*(KMA_CERO-AV235)/(KMA_CERO-KMA_IDEAL_MAX))))</f>
        <v/>
      </c>
      <c r="BP235" s="3">
        <f>MAX(0,MIN(100,100*(M235-ANIO_MIN)/(ANIO_ACTUAL-ANIO_MIN)))</f>
        <v/>
      </c>
      <c r="BQ235" s="3">
        <f>W_KMT*BN235+W_KMA*BO235+W_EDAD*BP235</f>
        <v/>
      </c>
      <c r="BR235" s="3">
        <f>P_ITV*(V235="sí")+P_LIBRO*(W235="sí")+P_CORREA*(X235="sí")+P_PROP*(Y235=1)+P_GAR*(Z235="sí")+P_FOTOS*MIN(1,N(U235)/FOTOS_OBJ)</f>
        <v/>
      </c>
      <c r="BS235" s="3">
        <f>IFERROR(VLOOKUP(BF235,ETQ_TBL,2,0),NEUTRO)</f>
        <v/>
      </c>
      <c r="BT235" s="3">
        <f>NEUTRO</f>
        <v/>
      </c>
      <c r="BU235" s="3">
        <f>IFERROR(VLOOKUP(L235,SEGURO_TBL,3,0),"")</f>
        <v/>
      </c>
      <c r="BV235" s="3">
        <f>IF(BU235="",NEUTRO,MAX(0,MIN(100,100*(SEG_REF_MAX-BU235)/(SEG_REF_MAX-SEG_REF_MIN))))</f>
        <v/>
      </c>
      <c r="BW235" s="3">
        <f>W_ET*BS235+W_CONS*BT235+W_SEG*BV235</f>
        <v/>
      </c>
      <c r="BX235" s="3">
        <f>IF(N(AB235)&gt;0,AB235,IF(AND(R235="profesional",SG_LEGAL_ON=1),GAR_LEGAL,0))</f>
        <v/>
      </c>
      <c r="BY235" s="3">
        <f>SG_GAR*MIN(1,BX235/SG_GAR_FULL)+SG_AMPL*(AC235="sí")+SG_KMC*(AF235="sí")+SG_REV*(N(AE235)&gt;0)+SG_DEV*MIN(1,N(AG235)/SG_DEV_FULL)+SG_HIST*(W235="sí")</f>
        <v/>
      </c>
      <c r="BZ235" s="3">
        <f>IFERROR(VLOOKUP(L235,CARR_PEN_TBL,2,0),0)</f>
        <v/>
      </c>
      <c r="CA235" s="3">
        <f>W_FIAB*BL235+W_PRECIO*BM235+W_KMEDAD*BQ235+W_ANUNCIO*BR235+W_USO*BW235+W_SEGURIDAD*BY235-BZ235</f>
        <v/>
      </c>
      <c r="CB235" s="4">
        <f>IF(N(I235)&gt;0,I235,IFERROR(ROUND(_xlfn.NUMBERVALUE(LEFT(G235,FIND(" ",G235&amp;" ")-1),".")*1000,0),99999))</f>
        <v/>
      </c>
      <c r="CC235" s="3">
        <f>IF(R235="profesional",0,IF(O235&lt;CUOTA_VALOR_MAX,IF(AU235&gt;ITP_TRAMO_ALTO,SUMIFS(CF_CUOTA,CF_MAS,ITP_TRAMO_ALTO,CF_CCMIN,"&lt;="&amp;CB235,CF_CCMAX,"&gt;="&amp;CB235),IF(AU235&gt;ITP_TRAMO_BAJO,SUMIFS(CF_CUOTA,CF_MAS,ITP_TRAMO_BAJO,CF_CCMIN,"&lt;="&amp;CB235,CF_CCMAX,"&gt;="&amp;CB235),O235*ITP_TIPO)),O235*ITP_TIPO))</f>
        <v/>
      </c>
      <c r="CD235" s="4">
        <f>IF(R235="profesional",N(AK235),0)</f>
        <v/>
      </c>
      <c r="CE235" s="3">
        <f>IF(AND(R235="profesional",ISNUMBER(AK235),AL235="sí"),0,TASA_DGT)</f>
        <v/>
      </c>
      <c r="CF235" s="3">
        <f>INFORME_DGT</f>
        <v/>
      </c>
      <c r="CG235" s="4">
        <f>O235+CD235+CC235+CE235+CF235</f>
        <v/>
      </c>
      <c r="CH235" s="4">
        <f>CG235+N(BU235)</f>
        <v/>
      </c>
      <c r="CI235" s="3">
        <f>IF(CG235&lt;=TOTAL_MAX,"sí",IF(CG235&lt;=TOTAL_MAX+MARGEN_NEG,"negociar","no"))</f>
        <v/>
      </c>
      <c r="CJ235" s="4">
        <f>IF(CI235&lt;&gt;"no",COUNTIFS($CI$2:$CI$662,"&lt;&gt;no",$CA$2:$CA$662,"&gt;"&amp;CA235)+COUNTIFS($CI$2:CI235,"&lt;&gt;no",$CA$2:CA235,CA235),"")</f>
        <v/>
      </c>
    </row>
    <row r="236">
      <c r="A236" s="2" t="inlineStr">
        <is>
          <t>autoscout24:5c9e0074-ea85-4d16-9b22-94efbaa4a6fd</t>
        </is>
      </c>
      <c r="B236" s="2" t="inlineStr">
        <is>
          <t>autoscout24</t>
        </is>
      </c>
      <c r="C236" s="2" t="inlineStr">
        <is>
          <t>https://www.autoscout24.es/anuncios/citroen-c4-c4-1-6hdi-lx-lx-diesel-gris-cat_ma21mo18545-5c9e0074-ea85-4d16-9b22-94efbaa4a6fd</t>
        </is>
      </c>
      <c r="D236" s="2" t="inlineStr">
        <is>
          <t>Citroën C4 C4 1.6HDI LX LX</t>
        </is>
      </c>
      <c r="E236" s="2" t="inlineStr">
        <is>
          <t>Citroën</t>
        </is>
      </c>
      <c r="F236" s="2" t="inlineStr">
        <is>
          <t>Citroën C4</t>
        </is>
      </c>
      <c r="G236" s="2" t="inlineStr">
        <is>
          <t>1.6 HDi</t>
        </is>
      </c>
      <c r="H236" s="2" t="inlineStr">
        <is>
          <t>C4 1.6HDI LX LX 1.6 HDI</t>
        </is>
      </c>
      <c r="I236" s="2" t="n">
        <v>1560</v>
      </c>
      <c r="J236" s="2" t="n">
        <v>90</v>
      </c>
      <c r="K236" s="2" t="inlineStr">
        <is>
          <t>diesel</t>
        </is>
      </c>
      <c r="L236" s="2" t="inlineStr">
        <is>
          <t>compacto</t>
        </is>
      </c>
      <c r="M236" s="2" t="n">
        <v>2010</v>
      </c>
      <c r="N236" s="2" t="n">
        <v>75000</v>
      </c>
      <c r="O236" s="2" t="n">
        <v>5000</v>
      </c>
      <c r="P236" s="2" t="inlineStr">
        <is>
          <t>manual</t>
        </is>
      </c>
      <c r="Q236" s="2" t="inlineStr">
        <is>
          <t>no</t>
        </is>
      </c>
      <c r="R236" s="2" t="inlineStr">
        <is>
          <t>particular</t>
        </is>
      </c>
      <c r="S236" s="2" t="inlineStr">
        <is>
          <t>Vila-real (12540)</t>
        </is>
      </c>
      <c r="T236" s="2" t="n"/>
      <c r="U236" s="2" t="n">
        <v>5</v>
      </c>
      <c r="V236" s="2" t="n"/>
      <c r="W236" s="2" t="n"/>
      <c r="X236" s="2" t="n"/>
      <c r="Y236" s="2" t="n"/>
      <c r="Z236" s="2" t="n"/>
      <c r="AA236" s="2" t="n"/>
      <c r="AB236" s="2" t="n"/>
      <c r="AC236" s="2" t="n"/>
      <c r="AD236" s="2" t="n"/>
      <c r="AE236" s="2" t="n"/>
      <c r="AF236" s="2" t="n"/>
      <c r="AG236" s="2" t="n"/>
      <c r="AH236" s="2" t="n"/>
      <c r="AI236" s="2" t="n"/>
      <c r="AJ236" s="2" t="n"/>
      <c r="AK236" s="2" t="n"/>
      <c r="AL236" s="2" t="n"/>
      <c r="AM236" s="2" t="n">
        <v>50.9</v>
      </c>
      <c r="AN236" s="2" t="n">
        <v>6740</v>
      </c>
      <c r="AO236" s="2" t="n">
        <v>4</v>
      </c>
      <c r="AP236" s="2" t="inlineStr">
        <is>
          <t>modelo+año+km</t>
        </is>
      </c>
      <c r="AQ236" s="2" t="n"/>
      <c r="AR236" s="2" t="inlineStr">
        <is>
          <t>por encima del presupuesto (5124 €), negociar; cuota fija ITP: &gt;12 años, 1.501-2.000 cc; fiabilidad del modelo PENDIENTE de fuente (puntuación neutra)</t>
        </is>
      </c>
      <c r="AS236" s="2" t="inlineStr"/>
      <c r="AT236" s="2" t="inlineStr">
        <is>
          <t>https://www.autoscout24.es/anuncios/citroen-c4-c4-1-6hdi-lx-lx-diesel-gris-cat_ma21mo18545-5c9e0074-ea85-4d16-9b22-94efbaa4a6fd (__NEXT_DATA__ listingDetails) /home/user/Alopecia/buscador-coches/raw/autoscout24/927182c6cc1158c3.json</t>
        </is>
      </c>
      <c r="AU236" s="3">
        <f>MAX(ANIO_ACTUAL-M236,0)</f>
        <v/>
      </c>
      <c r="AV236" s="4">
        <f>N236/MAX(AU236,0.5)</f>
        <v/>
      </c>
      <c r="AW236" s="4">
        <f>F236</f>
        <v/>
      </c>
      <c r="AX236" s="3">
        <f>AW236&amp;"|"&amp;INT(M236/SEG_ANIO)*SEG_ANIO</f>
        <v/>
      </c>
      <c r="AY236" s="3">
        <f>AX236&amp;"|"&amp;INT(N236/SEG_KM)*SEG_KM</f>
        <v/>
      </c>
      <c r="AZ236" s="4">
        <f>COUNTIF($AW$2:$AW$662,AW236)</f>
        <v/>
      </c>
      <c r="BA236" s="4">
        <f>COUNTIF($AX$2:$AX$662,AX236)</f>
        <v/>
      </c>
      <c r="BB236" s="4">
        <f>COUNTIF($AY$2:$AY$662,AY236)</f>
        <v/>
      </c>
      <c r="BC236" s="3">
        <f t="array" ref="BC236">IF(N(AO236)&gt;=MIN_N,AN236,IF(BB236&gt;=MIN_N,MEDIAN(IF($AY$2:$AY$662=AY236,$O$2:$O$662)),IF(BA236&gt;=MIN_N,MEDIAN(IF($AX$2:$AX$662=AX236,$O$2:$O$662)),MEDIAN(IF($AW$2:$AW$662=AW236,$O$2:$O$662)))))</f>
        <v/>
      </c>
      <c r="BD236" s="3">
        <f>IF(N(AO236)&gt;=MIN_N,"mercado "&amp;AP236,IF(BB236&gt;=MIN_N,"modelo+año+km",IF(BA236&gt;=MIN_N,"modelo+año","modelo")))</f>
        <v/>
      </c>
      <c r="BE236" s="4">
        <f>(BC236-O236)/BC236</f>
        <v/>
      </c>
      <c r="BF236" s="3">
        <f>IF(OR(K236="hibrido",K236="glp"),"ECO",IF(K236="electrico","CERO",IF(K236="gasolina",IF(M236&gt;=GAS_C,"C",IF(M236&gt;=GAS_B,"B","A")),IF(K236="diesel",IF(M236&gt;=DIE_C,"C",IF(M236&gt;=DIE_B,"B","A")),""))))</f>
        <v/>
      </c>
      <c r="BG236" s="3">
        <f>IFERROR(VLOOKUP(F236,MOD_TBL,11,0),IFERROR(VLOOKUP(E236,OCU_TBL,2,0),NEUTRO))</f>
        <v/>
      </c>
      <c r="BH236" s="3">
        <f>SUMIFS(MOT_AJUSTE,MOT_MOTOR,G236,MOT_MARCA,E236,MOT_DESDE,"&lt;="&amp;M236,MOT_HASTA,"&gt;="&amp;M236)+SUMIFS(MOT_AJUSTE,MOT_MOTOR,G236,MOT_MARCA,"(todas)",MOT_DESDE,"&lt;="&amp;M236,MOT_HASTA,"&gt;="&amp;M236)</f>
        <v/>
      </c>
      <c r="BI236" s="3">
        <f>SUMIFS(COMB_AJUSTE,COMB_COMB,K236)</f>
        <v/>
      </c>
      <c r="BJ236" s="3">
        <f>COUNTIFS(MOT_MOTOR,G236,MOT_MARCA,E236,MOT_DESDE,"&lt;="&amp;M236,MOT_HASTA,"&gt;="&amp;M236)+COUNTIFS(MOT_MOTOR,G236,MOT_MARCA,"(todas)",MOT_DESDE,"&lt;="&amp;M236,MOT_HASTA,"&gt;="&amp;M236)</f>
        <v/>
      </c>
      <c r="BK236" s="3">
        <f>IF(AND(K236="diesel",BJ236=0),MIN(BG236,NEUTRO),BG236)</f>
        <v/>
      </c>
      <c r="BL236" s="4">
        <f>MAX(0,MIN(100,BK236+BH236+BI236))</f>
        <v/>
      </c>
      <c r="BM236" s="3">
        <f>MAX(0,MIN(100,50+BE236*PRECIO_PEND))</f>
        <v/>
      </c>
      <c r="BN236" s="3">
        <f>MAX(0,100*(1-N236/KM_MAX))</f>
        <v/>
      </c>
      <c r="BO236" s="3">
        <f>IF(AV236&lt;KMA_SOSP,IF(AA236="sí",100,KMA_PEN),IF(AV236&lt;=KMA_IDEAL_MAX,100,MAX(0,100*(KMA_CERO-AV236)/(KMA_CERO-KMA_IDEAL_MAX))))</f>
        <v/>
      </c>
      <c r="BP236" s="3">
        <f>MAX(0,MIN(100,100*(M236-ANIO_MIN)/(ANIO_ACTUAL-ANIO_MIN)))</f>
        <v/>
      </c>
      <c r="BQ236" s="3">
        <f>W_KMT*BN236+W_KMA*BO236+W_EDAD*BP236</f>
        <v/>
      </c>
      <c r="BR236" s="3">
        <f>P_ITV*(V236="sí")+P_LIBRO*(W236="sí")+P_CORREA*(X236="sí")+P_PROP*(Y236=1)+P_GAR*(Z236="sí")+P_FOTOS*MIN(1,N(U236)/FOTOS_OBJ)</f>
        <v/>
      </c>
      <c r="BS236" s="3">
        <f>IFERROR(VLOOKUP(BF236,ETQ_TBL,2,0),NEUTRO)</f>
        <v/>
      </c>
      <c r="BT236" s="3">
        <f>NEUTRO</f>
        <v/>
      </c>
      <c r="BU236" s="3">
        <f>IFERROR(VLOOKUP(L236,SEGURO_TBL,3,0),"")</f>
        <v/>
      </c>
      <c r="BV236" s="3">
        <f>IF(BU236="",NEUTRO,MAX(0,MIN(100,100*(SEG_REF_MAX-BU236)/(SEG_REF_MAX-SEG_REF_MIN))))</f>
        <v/>
      </c>
      <c r="BW236" s="3">
        <f>W_ET*BS236+W_CONS*BT236+W_SEG*BV236</f>
        <v/>
      </c>
      <c r="BX236" s="3">
        <f>IF(N(AB236)&gt;0,AB236,IF(AND(R236="profesional",SG_LEGAL_ON=1),GAR_LEGAL,0))</f>
        <v/>
      </c>
      <c r="BY236" s="3">
        <f>SG_GAR*MIN(1,BX236/SG_GAR_FULL)+SG_AMPL*(AC236="sí")+SG_KMC*(AF236="sí")+SG_REV*(N(AE236)&gt;0)+SG_DEV*MIN(1,N(AG236)/SG_DEV_FULL)+SG_HIST*(W236="sí")</f>
        <v/>
      </c>
      <c r="BZ236" s="3">
        <f>IFERROR(VLOOKUP(L236,CARR_PEN_TBL,2,0),0)</f>
        <v/>
      </c>
      <c r="CA236" s="3">
        <f>W_FIAB*BL236+W_PRECIO*BM236+W_KMEDAD*BQ236+W_ANUNCIO*BR236+W_USO*BW236+W_SEGURIDAD*BY236-BZ236</f>
        <v/>
      </c>
      <c r="CB236" s="4">
        <f>IF(N(I236)&gt;0,I236,IFERROR(ROUND(_xlfn.NUMBERVALUE(LEFT(G236,FIND(" ",G236&amp;" ")-1),".")*1000,0),99999))</f>
        <v/>
      </c>
      <c r="CC236" s="3">
        <f>IF(R236="profesional",0,IF(O236&lt;CUOTA_VALOR_MAX,IF(AU236&gt;ITP_TRAMO_ALTO,SUMIFS(CF_CUOTA,CF_MAS,ITP_TRAMO_ALTO,CF_CCMIN,"&lt;="&amp;CB236,CF_CCMAX,"&gt;="&amp;CB236),IF(AU236&gt;ITP_TRAMO_BAJO,SUMIFS(CF_CUOTA,CF_MAS,ITP_TRAMO_BAJO,CF_CCMIN,"&lt;="&amp;CB236,CF_CCMAX,"&gt;="&amp;CB236),O236*ITP_TIPO)),O236*ITP_TIPO))</f>
        <v/>
      </c>
      <c r="CD236" s="4">
        <f>IF(R236="profesional",N(AK236),0)</f>
        <v/>
      </c>
      <c r="CE236" s="3">
        <f>IF(AND(R236="profesional",ISNUMBER(AK236),AL236="sí"),0,TASA_DGT)</f>
        <v/>
      </c>
      <c r="CF236" s="3">
        <f>INFORME_DGT</f>
        <v/>
      </c>
      <c r="CG236" s="4">
        <f>O236+CD236+CC236+CE236+CF236</f>
        <v/>
      </c>
      <c r="CH236" s="4">
        <f>CG236+N(BU236)</f>
        <v/>
      </c>
      <c r="CI236" s="3">
        <f>IF(CG236&lt;=TOTAL_MAX,"sí",IF(CG236&lt;=TOTAL_MAX+MARGEN_NEG,"negociar","no"))</f>
        <v/>
      </c>
      <c r="CJ236" s="4">
        <f>IF(CI236&lt;&gt;"no",COUNTIFS($CI$2:$CI$662,"&lt;&gt;no",$CA$2:$CA$662,"&gt;"&amp;CA236)+COUNTIFS($CI$2:CI236,"&lt;&gt;no",$CA$2:CA236,CA236),"")</f>
        <v/>
      </c>
    </row>
    <row r="237">
      <c r="A237" s="2" t="inlineStr">
        <is>
          <t>autoscout24:94a6ff88-25cc-426f-9425-4b78bc733e4e</t>
        </is>
      </c>
      <c r="B237" s="2" t="inlineStr">
        <is>
          <t>autoscout24</t>
        </is>
      </c>
      <c r="C237" s="2" t="inlineStr">
        <is>
          <t>https://www.autoscout24.es/anuncios/citroen-c4-1-6i-16v-lx-110-gasolina-cat_ma21mo18545-94a6ff88-25cc-426f-9425-4b78bc733e4e</t>
        </is>
      </c>
      <c r="D237" s="2" t="inlineStr">
        <is>
          <t>Citroën C4 1.6i 16v LX 110</t>
        </is>
      </c>
      <c r="E237" s="2" t="inlineStr">
        <is>
          <t>Citroën</t>
        </is>
      </c>
      <c r="F237" s="2" t="inlineStr">
        <is>
          <t>Citroën C4</t>
        </is>
      </c>
      <c r="G237" s="2" t="inlineStr">
        <is>
          <t>1.6</t>
        </is>
      </c>
      <c r="H237" s="2" t="inlineStr">
        <is>
          <t>1.6i 16v LX 110 1.6</t>
        </is>
      </c>
      <c r="I237" s="2" t="n">
        <v>1587</v>
      </c>
      <c r="J237" s="2" t="n">
        <v>109</v>
      </c>
      <c r="K237" s="2" t="inlineStr">
        <is>
          <t>gasolina</t>
        </is>
      </c>
      <c r="L237" s="2" t="inlineStr">
        <is>
          <t>compacto</t>
        </is>
      </c>
      <c r="M237" s="2" t="n">
        <v>2007</v>
      </c>
      <c r="N237" s="2" t="n">
        <v>176000</v>
      </c>
      <c r="O237" s="2" t="n">
        <v>2400</v>
      </c>
      <c r="P237" s="2" t="inlineStr">
        <is>
          <t>manual</t>
        </is>
      </c>
      <c r="Q237" s="2" t="inlineStr">
        <is>
          <t>no</t>
        </is>
      </c>
      <c r="R237" s="2" t="inlineStr">
        <is>
          <t>particular</t>
        </is>
      </c>
      <c r="S237" s="2" t="inlineStr">
        <is>
          <t>Algemesí (46680)</t>
        </is>
      </c>
      <c r="T237" s="2" t="n"/>
      <c r="U237" s="2" t="n">
        <v>7</v>
      </c>
      <c r="V237" s="2" t="inlineStr">
        <is>
          <t>sí</t>
        </is>
      </c>
      <c r="W237" s="2" t="n"/>
      <c r="X237" s="2" t="n"/>
      <c r="Y237" s="2" t="n"/>
      <c r="Z237" s="2" t="n"/>
      <c r="AA237" s="2" t="n"/>
      <c r="AB237" s="2" t="n"/>
      <c r="AC237" s="2" t="n"/>
      <c r="AD237" s="2" t="n"/>
      <c r="AE237" s="2" t="n"/>
      <c r="AF237" s="2" t="n"/>
      <c r="AG237" s="2" t="n"/>
      <c r="AH237" s="2" t="n"/>
      <c r="AI237" s="2" t="n"/>
      <c r="AJ237" s="2" t="n"/>
      <c r="AK237" s="2" t="n"/>
      <c r="AL237" s="2" t="n"/>
      <c r="AM237" s="2" t="n">
        <v>31.1</v>
      </c>
      <c r="AN237" s="2" t="n">
        <v>3500</v>
      </c>
      <c r="AO237" s="2" t="n">
        <v>11</v>
      </c>
      <c r="AP237" s="2" t="inlineStr">
        <is>
          <t>modelo+año+km</t>
        </is>
      </c>
      <c r="AQ237" s="2" t="n"/>
      <c r="AR237" s="2" t="inlineStr">
        <is>
          <t>cuota fija ITP: &gt;12 años, 1.501-2.000 cc; fiabilidad del modelo PENDIENTE de fuente (puntuación neutra)</t>
        </is>
      </c>
      <c r="AS237" s="2" t="inlineStr">
        <is>
          <t>Perfecto estado &lt;br /&gt;&lt;br /&gt;ITV hasta marzo 2027 &lt;br /&gt;Etiqueta C</t>
        </is>
      </c>
      <c r="AT237" s="2" t="inlineStr">
        <is>
          <t>https://www.autoscout24.es/anuncios/citroen-c4-1-6i-16v-lx-110-gasolina-cat_ma21mo18545-94a6ff88-25cc-426f-9425-4b78bc733e4e (__NEXT_DATA__ listingDetails) /home/user/Alopecia/buscador-coches/raw/autoscout24/8e8b936e9982bb4c.json</t>
        </is>
      </c>
      <c r="AU237" s="3">
        <f>MAX(ANIO_ACTUAL-M237,0)</f>
        <v/>
      </c>
      <c r="AV237" s="4">
        <f>N237/MAX(AU237,0.5)</f>
        <v/>
      </c>
      <c r="AW237" s="4">
        <f>F237</f>
        <v/>
      </c>
      <c r="AX237" s="3">
        <f>AW237&amp;"|"&amp;INT(M237/SEG_ANIO)*SEG_ANIO</f>
        <v/>
      </c>
      <c r="AY237" s="3">
        <f>AX237&amp;"|"&amp;INT(N237/SEG_KM)*SEG_KM</f>
        <v/>
      </c>
      <c r="AZ237" s="4">
        <f>COUNTIF($AW$2:$AW$662,AW237)</f>
        <v/>
      </c>
      <c r="BA237" s="4">
        <f>COUNTIF($AX$2:$AX$662,AX237)</f>
        <v/>
      </c>
      <c r="BB237" s="4">
        <f>COUNTIF($AY$2:$AY$662,AY237)</f>
        <v/>
      </c>
      <c r="BC237" s="3">
        <f t="array" ref="BC237">IF(N(AO237)&gt;=MIN_N,AN237,IF(BB237&gt;=MIN_N,MEDIAN(IF($AY$2:$AY$662=AY237,$O$2:$O$662)),IF(BA237&gt;=MIN_N,MEDIAN(IF($AX$2:$AX$662=AX237,$O$2:$O$662)),MEDIAN(IF($AW$2:$AW$662=AW237,$O$2:$O$662)))))</f>
        <v/>
      </c>
      <c r="BD237" s="3">
        <f>IF(N(AO237)&gt;=MIN_N,"mercado "&amp;AP237,IF(BB237&gt;=MIN_N,"modelo+año+km",IF(BA237&gt;=MIN_N,"modelo+año","modelo")))</f>
        <v/>
      </c>
      <c r="BE237" s="4">
        <f>(BC237-O237)/BC237</f>
        <v/>
      </c>
      <c r="BF237" s="3">
        <f>IF(OR(K237="hibrido",K237="glp"),"ECO",IF(K237="electrico","CERO",IF(K237="gasolina",IF(M237&gt;=GAS_C,"C",IF(M237&gt;=GAS_B,"B","A")),IF(K237="diesel",IF(M237&gt;=DIE_C,"C",IF(M237&gt;=DIE_B,"B","A")),""))))</f>
        <v/>
      </c>
      <c r="BG237" s="3">
        <f>IFERROR(VLOOKUP(F237,MOD_TBL,11,0),IFERROR(VLOOKUP(E237,OCU_TBL,2,0),NEUTRO))</f>
        <v/>
      </c>
      <c r="BH237" s="3">
        <f>SUMIFS(MOT_AJUSTE,MOT_MOTOR,G237,MOT_MARCA,E237,MOT_DESDE,"&lt;="&amp;M237,MOT_HASTA,"&gt;="&amp;M237)+SUMIFS(MOT_AJUSTE,MOT_MOTOR,G237,MOT_MARCA,"(todas)",MOT_DESDE,"&lt;="&amp;M237,MOT_HASTA,"&gt;="&amp;M237)</f>
        <v/>
      </c>
      <c r="BI237" s="3">
        <f>SUMIFS(COMB_AJUSTE,COMB_COMB,K237)</f>
        <v/>
      </c>
      <c r="BJ237" s="3">
        <f>COUNTIFS(MOT_MOTOR,G237,MOT_MARCA,E237,MOT_DESDE,"&lt;="&amp;M237,MOT_HASTA,"&gt;="&amp;M237)+COUNTIFS(MOT_MOTOR,G237,MOT_MARCA,"(todas)",MOT_DESDE,"&lt;="&amp;M237,MOT_HASTA,"&gt;="&amp;M237)</f>
        <v/>
      </c>
      <c r="BK237" s="3">
        <f>IF(AND(K237="diesel",BJ237=0),MIN(BG237,NEUTRO),BG237)</f>
        <v/>
      </c>
      <c r="BL237" s="4">
        <f>MAX(0,MIN(100,BK237+BH237+BI237))</f>
        <v/>
      </c>
      <c r="BM237" s="3">
        <f>MAX(0,MIN(100,50+BE237*PRECIO_PEND))</f>
        <v/>
      </c>
      <c r="BN237" s="3">
        <f>MAX(0,100*(1-N237/KM_MAX))</f>
        <v/>
      </c>
      <c r="BO237" s="3">
        <f>IF(AV237&lt;KMA_SOSP,IF(AA237="sí",100,KMA_PEN),IF(AV237&lt;=KMA_IDEAL_MAX,100,MAX(0,100*(KMA_CERO-AV237)/(KMA_CERO-KMA_IDEAL_MAX))))</f>
        <v/>
      </c>
      <c r="BP237" s="3">
        <f>MAX(0,MIN(100,100*(M237-ANIO_MIN)/(ANIO_ACTUAL-ANIO_MIN)))</f>
        <v/>
      </c>
      <c r="BQ237" s="3">
        <f>W_KMT*BN237+W_KMA*BO237+W_EDAD*BP237</f>
        <v/>
      </c>
      <c r="BR237" s="3">
        <f>P_ITV*(V237="sí")+P_LIBRO*(W237="sí")+P_CORREA*(X237="sí")+P_PROP*(Y237=1)+P_GAR*(Z237="sí")+P_FOTOS*MIN(1,N(U237)/FOTOS_OBJ)</f>
        <v/>
      </c>
      <c r="BS237" s="3">
        <f>IFERROR(VLOOKUP(BF237,ETQ_TBL,2,0),NEUTRO)</f>
        <v/>
      </c>
      <c r="BT237" s="3">
        <f>NEUTRO</f>
        <v/>
      </c>
      <c r="BU237" s="3">
        <f>IFERROR(VLOOKUP(L237,SEGURO_TBL,3,0),"")</f>
        <v/>
      </c>
      <c r="BV237" s="3">
        <f>IF(BU237="",NEUTRO,MAX(0,MIN(100,100*(SEG_REF_MAX-BU237)/(SEG_REF_MAX-SEG_REF_MIN))))</f>
        <v/>
      </c>
      <c r="BW237" s="3">
        <f>W_ET*BS237+W_CONS*BT237+W_SEG*BV237</f>
        <v/>
      </c>
      <c r="BX237" s="3">
        <f>IF(N(AB237)&gt;0,AB237,IF(AND(R237="profesional",SG_LEGAL_ON=1),GAR_LEGAL,0))</f>
        <v/>
      </c>
      <c r="BY237" s="3">
        <f>SG_GAR*MIN(1,BX237/SG_GAR_FULL)+SG_AMPL*(AC237="sí")+SG_KMC*(AF237="sí")+SG_REV*(N(AE237)&gt;0)+SG_DEV*MIN(1,N(AG237)/SG_DEV_FULL)+SG_HIST*(W237="sí")</f>
        <v/>
      </c>
      <c r="BZ237" s="3">
        <f>IFERROR(VLOOKUP(L237,CARR_PEN_TBL,2,0),0)</f>
        <v/>
      </c>
      <c r="CA237" s="3">
        <f>W_FIAB*BL237+W_PRECIO*BM237+W_KMEDAD*BQ237+W_ANUNCIO*BR237+W_USO*BW237+W_SEGURIDAD*BY237-BZ237</f>
        <v/>
      </c>
      <c r="CB237" s="4">
        <f>IF(N(I237)&gt;0,I237,IFERROR(ROUND(_xlfn.NUMBERVALUE(LEFT(G237,FIND(" ",G237&amp;" ")-1),".")*1000,0),99999))</f>
        <v/>
      </c>
      <c r="CC237" s="3">
        <f>IF(R237="profesional",0,IF(O237&lt;CUOTA_VALOR_MAX,IF(AU237&gt;ITP_TRAMO_ALTO,SUMIFS(CF_CUOTA,CF_MAS,ITP_TRAMO_ALTO,CF_CCMIN,"&lt;="&amp;CB237,CF_CCMAX,"&gt;="&amp;CB237),IF(AU237&gt;ITP_TRAMO_BAJO,SUMIFS(CF_CUOTA,CF_MAS,ITP_TRAMO_BAJO,CF_CCMIN,"&lt;="&amp;CB237,CF_CCMAX,"&gt;="&amp;CB237),O237*ITP_TIPO)),O237*ITP_TIPO))</f>
        <v/>
      </c>
      <c r="CD237" s="4">
        <f>IF(R237="profesional",N(AK237),0)</f>
        <v/>
      </c>
      <c r="CE237" s="3">
        <f>IF(AND(R237="profesional",ISNUMBER(AK237),AL237="sí"),0,TASA_DGT)</f>
        <v/>
      </c>
      <c r="CF237" s="3">
        <f>INFORME_DGT</f>
        <v/>
      </c>
      <c r="CG237" s="4">
        <f>O237+CD237+CC237+CE237+CF237</f>
        <v/>
      </c>
      <c r="CH237" s="4">
        <f>CG237+N(BU237)</f>
        <v/>
      </c>
      <c r="CI237" s="3">
        <f>IF(CG237&lt;=TOTAL_MAX,"sí",IF(CG237&lt;=TOTAL_MAX+MARGEN_NEG,"negociar","no"))</f>
        <v/>
      </c>
      <c r="CJ237" s="4">
        <f>IF(CI237&lt;&gt;"no",COUNTIFS($CI$2:$CI$662,"&lt;&gt;no",$CA$2:$CA$662,"&gt;"&amp;CA237)+COUNTIFS($CI$2:CI237,"&lt;&gt;no",$CA$2:CA237,CA237),"")</f>
        <v/>
      </c>
    </row>
    <row r="238">
      <c r="A238" s="2" t="inlineStr">
        <is>
          <t>autoscout24:04992b7a-8b3a-4ac5-b727-0409a55be446</t>
        </is>
      </c>
      <c r="B238" s="2" t="inlineStr">
        <is>
          <t>autoscout24</t>
        </is>
      </c>
      <c r="C238" s="2" t="inlineStr">
        <is>
          <t>https://www.autoscout24.es/anuncios/citroen-c3-1-4hdi-exclusive-diesel-cat_ma21mo18264-04992b7a-8b3a-4ac5-b727-0409a55be446</t>
        </is>
      </c>
      <c r="D238" s="2" t="inlineStr">
        <is>
          <t>Citroën C3 1.4HDI Exclusive</t>
        </is>
      </c>
      <c r="E238" s="2" t="inlineStr">
        <is>
          <t>Citroën</t>
        </is>
      </c>
      <c r="F238" s="2" t="inlineStr">
        <is>
          <t>Citroën C3</t>
        </is>
      </c>
      <c r="G238" s="2" t="inlineStr">
        <is>
          <t>1.4 HDi</t>
        </is>
      </c>
      <c r="H238" s="2" t="inlineStr">
        <is>
          <t>1.4HDI Exclusive 1.4 HDI</t>
        </is>
      </c>
      <c r="I238" s="2" t="n">
        <v>1398</v>
      </c>
      <c r="J238" s="2" t="n">
        <v>68</v>
      </c>
      <c r="K238" s="2" t="inlineStr">
        <is>
          <t>diesel</t>
        </is>
      </c>
      <c r="L238" s="2" t="inlineStr">
        <is>
          <t>utilitario</t>
        </is>
      </c>
      <c r="M238" s="2" t="n">
        <v>2006</v>
      </c>
      <c r="N238" s="2" t="n">
        <v>176000</v>
      </c>
      <c r="O238" s="2" t="n">
        <v>2700</v>
      </c>
      <c r="P238" s="2" t="inlineStr">
        <is>
          <t>manual</t>
        </is>
      </c>
      <c r="Q238" s="2" t="inlineStr">
        <is>
          <t>no</t>
        </is>
      </c>
      <c r="R238" s="2" t="inlineStr">
        <is>
          <t>particular</t>
        </is>
      </c>
      <c r="S238" s="2" t="inlineStr">
        <is>
          <t>Carlet (46240)</t>
        </is>
      </c>
      <c r="T238" s="2" t="n"/>
      <c r="U238" s="2" t="n">
        <v>6</v>
      </c>
      <c r="V238" s="2" t="n"/>
      <c r="W238" s="2" t="n"/>
      <c r="X238" s="2" t="n"/>
      <c r="Y238" s="2" t="n"/>
      <c r="Z238" s="2" t="n"/>
      <c r="AA238" s="2" t="n"/>
      <c r="AB238" s="2" t="n"/>
      <c r="AC238" s="2" t="n"/>
      <c r="AD238" s="2" t="n"/>
      <c r="AE238" s="2" t="n"/>
      <c r="AF238" s="2" t="n"/>
      <c r="AG238" s="2" t="n"/>
      <c r="AH238" s="2" t="n"/>
      <c r="AI238" s="2" t="n"/>
      <c r="AJ238" s="2" t="n"/>
      <c r="AK238" s="2" t="n"/>
      <c r="AL238" s="2" t="n"/>
      <c r="AM238" s="2" t="n">
        <v>29.7</v>
      </c>
      <c r="AN238" s="2" t="n">
        <v>2525</v>
      </c>
      <c r="AO238" s="2" t="n">
        <v>14</v>
      </c>
      <c r="AP238" s="2" t="inlineStr">
        <is>
          <t>modelo+año+km</t>
        </is>
      </c>
      <c r="AQ238" s="2" t="n"/>
      <c r="AR238" s="2" t="inlineStr">
        <is>
          <t>cuota fija ITP: &gt;12 años, hasta 1.500 cc</t>
        </is>
      </c>
      <c r="AS238" s="2" t="inlineStr"/>
      <c r="AT238" s="2" t="inlineStr">
        <is>
          <t>https://www.autoscout24.es/anuncios/citroen-c3-1-4hdi-exclusive-diesel-cat_ma21mo18264-04992b7a-8b3a-4ac5-b727-0409a55be446 (__NEXT_DATA__ listingDetails) /home/user/Alopecia/buscador-coches/raw/autoscout24/3b3ba9c0493f9126.json</t>
        </is>
      </c>
      <c r="AU238" s="3">
        <f>MAX(ANIO_ACTUAL-M238,0)</f>
        <v/>
      </c>
      <c r="AV238" s="4">
        <f>N238/MAX(AU238,0.5)</f>
        <v/>
      </c>
      <c r="AW238" s="4">
        <f>F238</f>
        <v/>
      </c>
      <c r="AX238" s="3">
        <f>AW238&amp;"|"&amp;INT(M238/SEG_ANIO)*SEG_ANIO</f>
        <v/>
      </c>
      <c r="AY238" s="3">
        <f>AX238&amp;"|"&amp;INT(N238/SEG_KM)*SEG_KM</f>
        <v/>
      </c>
      <c r="AZ238" s="4">
        <f>COUNTIF($AW$2:$AW$662,AW238)</f>
        <v/>
      </c>
      <c r="BA238" s="4">
        <f>COUNTIF($AX$2:$AX$662,AX238)</f>
        <v/>
      </c>
      <c r="BB238" s="4">
        <f>COUNTIF($AY$2:$AY$662,AY238)</f>
        <v/>
      </c>
      <c r="BC238" s="3">
        <f t="array" ref="BC238">IF(N(AO238)&gt;=MIN_N,AN238,IF(BB238&gt;=MIN_N,MEDIAN(IF($AY$2:$AY$662=AY238,$O$2:$O$662)),IF(BA238&gt;=MIN_N,MEDIAN(IF($AX$2:$AX$662=AX238,$O$2:$O$662)),MEDIAN(IF($AW$2:$AW$662=AW238,$O$2:$O$662)))))</f>
        <v/>
      </c>
      <c r="BD238" s="3">
        <f>IF(N(AO238)&gt;=MIN_N,"mercado "&amp;AP238,IF(BB238&gt;=MIN_N,"modelo+año+km",IF(BA238&gt;=MIN_N,"modelo+año","modelo")))</f>
        <v/>
      </c>
      <c r="BE238" s="4">
        <f>(BC238-O238)/BC238</f>
        <v/>
      </c>
      <c r="BF238" s="3">
        <f>IF(OR(K238="hibrido",K238="glp"),"ECO",IF(K238="electrico","CERO",IF(K238="gasolina",IF(M238&gt;=GAS_C,"C",IF(M238&gt;=GAS_B,"B","A")),IF(K238="diesel",IF(M238&gt;=DIE_C,"C",IF(M238&gt;=DIE_B,"B","A")),""))))</f>
        <v/>
      </c>
      <c r="BG238" s="3">
        <f>IFERROR(VLOOKUP(F238,MOD_TBL,11,0),IFERROR(VLOOKUP(E238,OCU_TBL,2,0),NEUTRO))</f>
        <v/>
      </c>
      <c r="BH238" s="3">
        <f>SUMIFS(MOT_AJUSTE,MOT_MOTOR,G238,MOT_MARCA,E238,MOT_DESDE,"&lt;="&amp;M238,MOT_HASTA,"&gt;="&amp;M238)+SUMIFS(MOT_AJUSTE,MOT_MOTOR,G238,MOT_MARCA,"(todas)",MOT_DESDE,"&lt;="&amp;M238,MOT_HASTA,"&gt;="&amp;M238)</f>
        <v/>
      </c>
      <c r="BI238" s="3">
        <f>SUMIFS(COMB_AJUSTE,COMB_COMB,K238)</f>
        <v/>
      </c>
      <c r="BJ238" s="3">
        <f>COUNTIFS(MOT_MOTOR,G238,MOT_MARCA,E238,MOT_DESDE,"&lt;="&amp;M238,MOT_HASTA,"&gt;="&amp;M238)+COUNTIFS(MOT_MOTOR,G238,MOT_MARCA,"(todas)",MOT_DESDE,"&lt;="&amp;M238,MOT_HASTA,"&gt;="&amp;M238)</f>
        <v/>
      </c>
      <c r="BK238" s="3">
        <f>IF(AND(K238="diesel",BJ238=0),MIN(BG238,NEUTRO),BG238)</f>
        <v/>
      </c>
      <c r="BL238" s="4">
        <f>MAX(0,MIN(100,BK238+BH238+BI238))</f>
        <v/>
      </c>
      <c r="BM238" s="3">
        <f>MAX(0,MIN(100,50+BE238*PRECIO_PEND))</f>
        <v/>
      </c>
      <c r="BN238" s="3">
        <f>MAX(0,100*(1-N238/KM_MAX))</f>
        <v/>
      </c>
      <c r="BO238" s="3">
        <f>IF(AV238&lt;KMA_SOSP,IF(AA238="sí",100,KMA_PEN),IF(AV238&lt;=KMA_IDEAL_MAX,100,MAX(0,100*(KMA_CERO-AV238)/(KMA_CERO-KMA_IDEAL_MAX))))</f>
        <v/>
      </c>
      <c r="BP238" s="3">
        <f>MAX(0,MIN(100,100*(M238-ANIO_MIN)/(ANIO_ACTUAL-ANIO_MIN)))</f>
        <v/>
      </c>
      <c r="BQ238" s="3">
        <f>W_KMT*BN238+W_KMA*BO238+W_EDAD*BP238</f>
        <v/>
      </c>
      <c r="BR238" s="3">
        <f>P_ITV*(V238="sí")+P_LIBRO*(W238="sí")+P_CORREA*(X238="sí")+P_PROP*(Y238=1)+P_GAR*(Z238="sí")+P_FOTOS*MIN(1,N(U238)/FOTOS_OBJ)</f>
        <v/>
      </c>
      <c r="BS238" s="3">
        <f>IFERROR(VLOOKUP(BF238,ETQ_TBL,2,0),NEUTRO)</f>
        <v/>
      </c>
      <c r="BT238" s="3">
        <f>NEUTRO</f>
        <v/>
      </c>
      <c r="BU238" s="3">
        <f>IFERROR(VLOOKUP(L238,SEGURO_TBL,3,0),"")</f>
        <v/>
      </c>
      <c r="BV238" s="3">
        <f>IF(BU238="",NEUTRO,MAX(0,MIN(100,100*(SEG_REF_MAX-BU238)/(SEG_REF_MAX-SEG_REF_MIN))))</f>
        <v/>
      </c>
      <c r="BW238" s="3">
        <f>W_ET*BS238+W_CONS*BT238+W_SEG*BV238</f>
        <v/>
      </c>
      <c r="BX238" s="3">
        <f>IF(N(AB238)&gt;0,AB238,IF(AND(R238="profesional",SG_LEGAL_ON=1),GAR_LEGAL,0))</f>
        <v/>
      </c>
      <c r="BY238" s="3">
        <f>SG_GAR*MIN(1,BX238/SG_GAR_FULL)+SG_AMPL*(AC238="sí")+SG_KMC*(AF238="sí")+SG_REV*(N(AE238)&gt;0)+SG_DEV*MIN(1,N(AG238)/SG_DEV_FULL)+SG_HIST*(W238="sí")</f>
        <v/>
      </c>
      <c r="BZ238" s="3">
        <f>IFERROR(VLOOKUP(L238,CARR_PEN_TBL,2,0),0)</f>
        <v/>
      </c>
      <c r="CA238" s="3">
        <f>W_FIAB*BL238+W_PRECIO*BM238+W_KMEDAD*BQ238+W_ANUNCIO*BR238+W_USO*BW238+W_SEGURIDAD*BY238-BZ238</f>
        <v/>
      </c>
      <c r="CB238" s="4">
        <f>IF(N(I238)&gt;0,I238,IFERROR(ROUND(_xlfn.NUMBERVALUE(LEFT(G238,FIND(" ",G238&amp;" ")-1),".")*1000,0),99999))</f>
        <v/>
      </c>
      <c r="CC238" s="3">
        <f>IF(R238="profesional",0,IF(O238&lt;CUOTA_VALOR_MAX,IF(AU238&gt;ITP_TRAMO_ALTO,SUMIFS(CF_CUOTA,CF_MAS,ITP_TRAMO_ALTO,CF_CCMIN,"&lt;="&amp;CB238,CF_CCMAX,"&gt;="&amp;CB238),IF(AU238&gt;ITP_TRAMO_BAJO,SUMIFS(CF_CUOTA,CF_MAS,ITP_TRAMO_BAJO,CF_CCMIN,"&lt;="&amp;CB238,CF_CCMAX,"&gt;="&amp;CB238),O238*ITP_TIPO)),O238*ITP_TIPO))</f>
        <v/>
      </c>
      <c r="CD238" s="4">
        <f>IF(R238="profesional",N(AK238),0)</f>
        <v/>
      </c>
      <c r="CE238" s="3">
        <f>IF(AND(R238="profesional",ISNUMBER(AK238),AL238="sí"),0,TASA_DGT)</f>
        <v/>
      </c>
      <c r="CF238" s="3">
        <f>INFORME_DGT</f>
        <v/>
      </c>
      <c r="CG238" s="4">
        <f>O238+CD238+CC238+CE238+CF238</f>
        <v/>
      </c>
      <c r="CH238" s="4">
        <f>CG238+N(BU238)</f>
        <v/>
      </c>
      <c r="CI238" s="3">
        <f>IF(CG238&lt;=TOTAL_MAX,"sí",IF(CG238&lt;=TOTAL_MAX+MARGEN_NEG,"negociar","no"))</f>
        <v/>
      </c>
      <c r="CJ238" s="4">
        <f>IF(CI238&lt;&gt;"no",COUNTIFS($CI$2:$CI$662,"&lt;&gt;no",$CA$2:$CA$662,"&gt;"&amp;CA238)+COUNTIFS($CI$2:CI238,"&lt;&gt;no",$CA$2:CA238,CA238),"")</f>
        <v/>
      </c>
    </row>
    <row r="239">
      <c r="A239" s="2" t="inlineStr">
        <is>
          <t>autoscout24:7ab236a3-1b93-42f3-bf06-cf71c62f8fab</t>
        </is>
      </c>
      <c r="B239" s="2" t="inlineStr">
        <is>
          <t>autoscout24</t>
        </is>
      </c>
      <c r="C239" s="2" t="inlineStr">
        <is>
          <t>https://www.autoscout24.es/anuncios/ford-mondeo-2-2tdci-trend-diesel-cat_ma29mo1763-7ab236a3-1b93-42f3-bf06-cf71c62f8fab</t>
        </is>
      </c>
      <c r="D239" s="2" t="inlineStr">
        <is>
          <t>Ford Mondeo 2.2TDCi Trend</t>
        </is>
      </c>
      <c r="E239" s="2" t="inlineStr">
        <is>
          <t>Ford</t>
        </is>
      </c>
      <c r="F239" s="2" t="inlineStr">
        <is>
          <t>Ford Mondeo</t>
        </is>
      </c>
      <c r="G239" s="2" t="inlineStr">
        <is>
          <t>2.2 TDCi</t>
        </is>
      </c>
      <c r="H239" s="2" t="inlineStr">
        <is>
          <t>2.2TDCi Trend 2.2 TDCi</t>
        </is>
      </c>
      <c r="I239" s="2" t="n">
        <v>2198</v>
      </c>
      <c r="J239" s="2" t="n">
        <v>155</v>
      </c>
      <c r="K239" s="2" t="inlineStr">
        <is>
          <t>diesel</t>
        </is>
      </c>
      <c r="L239" s="2" t="inlineStr">
        <is>
          <t>berlina</t>
        </is>
      </c>
      <c r="M239" s="2" t="n">
        <v>2006</v>
      </c>
      <c r="N239" s="2" t="n">
        <v>199000</v>
      </c>
      <c r="O239" s="2" t="n">
        <v>4700</v>
      </c>
      <c r="P239" s="2" t="inlineStr">
        <is>
          <t>manual</t>
        </is>
      </c>
      <c r="Q239" s="2" t="inlineStr">
        <is>
          <t>no</t>
        </is>
      </c>
      <c r="R239" s="2" t="inlineStr">
        <is>
          <t>particular</t>
        </is>
      </c>
      <c r="S239" s="2" t="inlineStr">
        <is>
          <t>València (46009)</t>
        </is>
      </c>
      <c r="T239" s="2" t="n"/>
      <c r="U239" s="2" t="n">
        <v>9</v>
      </c>
      <c r="V239" s="2" t="n"/>
      <c r="W239" s="2" t="n"/>
      <c r="X239" s="2" t="n"/>
      <c r="Y239" s="2" t="n"/>
      <c r="Z239" s="2" t="inlineStr">
        <is>
          <t>sí</t>
        </is>
      </c>
      <c r="AA239" s="2" t="n"/>
      <c r="AB239" s="2" t="n"/>
      <c r="AC239" s="2" t="n"/>
      <c r="AD239" s="2" t="n"/>
      <c r="AE239" s="2" t="n"/>
      <c r="AF239" s="2" t="n"/>
      <c r="AG239" s="2" t="n"/>
      <c r="AH239" s="2" t="n"/>
      <c r="AI239" s="2" t="n"/>
      <c r="AJ239" s="2" t="n"/>
      <c r="AK239" s="2" t="n"/>
      <c r="AL239" s="2" t="n"/>
      <c r="AM239" s="2" t="n">
        <v>1.7</v>
      </c>
      <c r="AN239" s="2" t="n">
        <v>3300</v>
      </c>
      <c r="AO239" s="2" t="n">
        <v>4</v>
      </c>
      <c r="AP239" s="2" t="inlineStr">
        <is>
          <t>modelo+año</t>
        </is>
      </c>
      <c r="AQ239" s="2" t="n"/>
      <c r="AR239" s="2" t="inlineStr">
        <is>
          <t>cuota fija ITP: &gt;12 años, más de 2.000 cc; diésel: motor sin fuente de fiabilidad (fiabilidad limitada a neutra); carrocería berlina: -4 puntos; fiabilidad del modelo PENDIENTE de fuente (puntuación neutra)</t>
        </is>
      </c>
      <c r="AS239" s="2" t="inlineStr">
        <is>
          <t>Ford Mondeo 2.2 TDCi 155CV 2006 Diésel Super Confiable&lt;br /&gt;199.000 km&lt;br /&gt;&lt;br /&gt;Mantenimiento realizado:&lt;br /&gt;Cambio de aceite y filtros&lt;br /&gt;4 inyectores nuevos&lt;br /&gt;Bomba de alta nueva &lt;br /&gt;Revisión completa.&lt;br /&gt;&lt;br /&gt;Equipamiento:&lt;br /&gt;Climatizador digital&lt;br /&gt;Pantalla multifunción con Android Auto&lt;br /&gt;Velocidad de crucero&lt;br /&gt;&lt;br /&gt;Datos destacados:&lt;br /&gt;155 CV&lt;br /&gt;Etiqueta B&lt;br /&gt;Consumo bajo aprox. 6L/100 km&lt;br /&gt;Ideal para viajantes у carretera&lt;br /&gt;Berlina espaciosa, cómoda y muy fiable para uso diario y largos trayectos.&lt;br /&gt;&lt;br /&gt;Precio: 4.700 €&lt;br /&gt;Entrega inmediata en Valencia (o zona)&lt;br /&gt;Garantía 12 meses en mecánica&lt;br /&gt;Financiación disponible&lt;br /&gt;Recibimos vehículo a cambio (menor valor)</t>
        </is>
      </c>
      <c r="AT239" s="2" t="inlineStr">
        <is>
          <t>https://www.autoscout24.es/anuncios/ford-mondeo-2-2tdci-trend-diesel-cat_ma29mo1763-7ab236a3-1b93-42f3-bf06-cf71c62f8fab (__NEXT_DATA__ listingDetails) /home/user/Alopecia/buscador-coches/raw/autoscout24/b05e8b3aba358594.json</t>
        </is>
      </c>
      <c r="AU239" s="3">
        <f>MAX(ANIO_ACTUAL-M239,0)</f>
        <v/>
      </c>
      <c r="AV239" s="4">
        <f>N239/MAX(AU239,0.5)</f>
        <v/>
      </c>
      <c r="AW239" s="4">
        <f>F239</f>
        <v/>
      </c>
      <c r="AX239" s="3">
        <f>AW239&amp;"|"&amp;INT(M239/SEG_ANIO)*SEG_ANIO</f>
        <v/>
      </c>
      <c r="AY239" s="3">
        <f>AX239&amp;"|"&amp;INT(N239/SEG_KM)*SEG_KM</f>
        <v/>
      </c>
      <c r="AZ239" s="4">
        <f>COUNTIF($AW$2:$AW$662,AW239)</f>
        <v/>
      </c>
      <c r="BA239" s="4">
        <f>COUNTIF($AX$2:$AX$662,AX239)</f>
        <v/>
      </c>
      <c r="BB239" s="4">
        <f>COUNTIF($AY$2:$AY$662,AY239)</f>
        <v/>
      </c>
      <c r="BC239" s="3">
        <f t="array" ref="BC239">IF(N(AO239)&gt;=MIN_N,AN239,IF(BB239&gt;=MIN_N,MEDIAN(IF($AY$2:$AY$662=AY239,$O$2:$O$662)),IF(BA239&gt;=MIN_N,MEDIAN(IF($AX$2:$AX$662=AX239,$O$2:$O$662)),MEDIAN(IF($AW$2:$AW$662=AW239,$O$2:$O$662)))))</f>
        <v/>
      </c>
      <c r="BD239" s="3">
        <f>IF(N(AO239)&gt;=MIN_N,"mercado "&amp;AP239,IF(BB239&gt;=MIN_N,"modelo+año+km",IF(BA239&gt;=MIN_N,"modelo+año","modelo")))</f>
        <v/>
      </c>
      <c r="BE239" s="4">
        <f>(BC239-O239)/BC239</f>
        <v/>
      </c>
      <c r="BF239" s="3">
        <f>IF(OR(K239="hibrido",K239="glp"),"ECO",IF(K239="electrico","CERO",IF(K239="gasolina",IF(M239&gt;=GAS_C,"C",IF(M239&gt;=GAS_B,"B","A")),IF(K239="diesel",IF(M239&gt;=DIE_C,"C",IF(M239&gt;=DIE_B,"B","A")),""))))</f>
        <v/>
      </c>
      <c r="BG239" s="3">
        <f>IFERROR(VLOOKUP(F239,MOD_TBL,11,0),IFERROR(VLOOKUP(E239,OCU_TBL,2,0),NEUTRO))</f>
        <v/>
      </c>
      <c r="BH239" s="3">
        <f>SUMIFS(MOT_AJUSTE,MOT_MOTOR,G239,MOT_MARCA,E239,MOT_DESDE,"&lt;="&amp;M239,MOT_HASTA,"&gt;="&amp;M239)+SUMIFS(MOT_AJUSTE,MOT_MOTOR,G239,MOT_MARCA,"(todas)",MOT_DESDE,"&lt;="&amp;M239,MOT_HASTA,"&gt;="&amp;M239)</f>
        <v/>
      </c>
      <c r="BI239" s="3">
        <f>SUMIFS(COMB_AJUSTE,COMB_COMB,K239)</f>
        <v/>
      </c>
      <c r="BJ239" s="3">
        <f>COUNTIFS(MOT_MOTOR,G239,MOT_MARCA,E239,MOT_DESDE,"&lt;="&amp;M239,MOT_HASTA,"&gt;="&amp;M239)+COUNTIFS(MOT_MOTOR,G239,MOT_MARCA,"(todas)",MOT_DESDE,"&lt;="&amp;M239,MOT_HASTA,"&gt;="&amp;M239)</f>
        <v/>
      </c>
      <c r="BK239" s="3">
        <f>IF(AND(K239="diesel",BJ239=0),MIN(BG239,NEUTRO),BG239)</f>
        <v/>
      </c>
      <c r="BL239" s="4">
        <f>MAX(0,MIN(100,BK239+BH239+BI239))</f>
        <v/>
      </c>
      <c r="BM239" s="3">
        <f>MAX(0,MIN(100,50+BE239*PRECIO_PEND))</f>
        <v/>
      </c>
      <c r="BN239" s="3">
        <f>MAX(0,100*(1-N239/KM_MAX))</f>
        <v/>
      </c>
      <c r="BO239" s="3">
        <f>IF(AV239&lt;KMA_SOSP,IF(AA239="sí",100,KMA_PEN),IF(AV239&lt;=KMA_IDEAL_MAX,100,MAX(0,100*(KMA_CERO-AV239)/(KMA_CERO-KMA_IDEAL_MAX))))</f>
        <v/>
      </c>
      <c r="BP239" s="3">
        <f>MAX(0,MIN(100,100*(M239-ANIO_MIN)/(ANIO_ACTUAL-ANIO_MIN)))</f>
        <v/>
      </c>
      <c r="BQ239" s="3">
        <f>W_KMT*BN239+W_KMA*BO239+W_EDAD*BP239</f>
        <v/>
      </c>
      <c r="BR239" s="3">
        <f>P_ITV*(V239="sí")+P_LIBRO*(W239="sí")+P_CORREA*(X239="sí")+P_PROP*(Y239=1)+P_GAR*(Z239="sí")+P_FOTOS*MIN(1,N(U239)/FOTOS_OBJ)</f>
        <v/>
      </c>
      <c r="BS239" s="3">
        <f>IFERROR(VLOOKUP(BF239,ETQ_TBL,2,0),NEUTRO)</f>
        <v/>
      </c>
      <c r="BT239" s="3">
        <f>NEUTRO</f>
        <v/>
      </c>
      <c r="BU239" s="3">
        <f>IFERROR(VLOOKUP(L239,SEGURO_TBL,3,0),"")</f>
        <v/>
      </c>
      <c r="BV239" s="3">
        <f>IF(BU239="",NEUTRO,MAX(0,MIN(100,100*(SEG_REF_MAX-BU239)/(SEG_REF_MAX-SEG_REF_MIN))))</f>
        <v/>
      </c>
      <c r="BW239" s="3">
        <f>W_ET*BS239+W_CONS*BT239+W_SEG*BV239</f>
        <v/>
      </c>
      <c r="BX239" s="3">
        <f>IF(N(AB239)&gt;0,AB239,IF(AND(R239="profesional",SG_LEGAL_ON=1),GAR_LEGAL,0))</f>
        <v/>
      </c>
      <c r="BY239" s="3">
        <f>SG_GAR*MIN(1,BX239/SG_GAR_FULL)+SG_AMPL*(AC239="sí")+SG_KMC*(AF239="sí")+SG_REV*(N(AE239)&gt;0)+SG_DEV*MIN(1,N(AG239)/SG_DEV_FULL)+SG_HIST*(W239="sí")</f>
        <v/>
      </c>
      <c r="BZ239" s="3">
        <f>IFERROR(VLOOKUP(L239,CARR_PEN_TBL,2,0),0)</f>
        <v/>
      </c>
      <c r="CA239" s="3">
        <f>W_FIAB*BL239+W_PRECIO*BM239+W_KMEDAD*BQ239+W_ANUNCIO*BR239+W_USO*BW239+W_SEGURIDAD*BY239-BZ239</f>
        <v/>
      </c>
      <c r="CB239" s="4">
        <f>IF(N(I239)&gt;0,I239,IFERROR(ROUND(_xlfn.NUMBERVALUE(LEFT(G239,FIND(" ",G239&amp;" ")-1),".")*1000,0),99999))</f>
        <v/>
      </c>
      <c r="CC239" s="3">
        <f>IF(R239="profesional",0,IF(O239&lt;CUOTA_VALOR_MAX,IF(AU239&gt;ITP_TRAMO_ALTO,SUMIFS(CF_CUOTA,CF_MAS,ITP_TRAMO_ALTO,CF_CCMIN,"&lt;="&amp;CB239,CF_CCMAX,"&gt;="&amp;CB239),IF(AU239&gt;ITP_TRAMO_BAJO,SUMIFS(CF_CUOTA,CF_MAS,ITP_TRAMO_BAJO,CF_CCMIN,"&lt;="&amp;CB239,CF_CCMAX,"&gt;="&amp;CB239),O239*ITP_TIPO)),O239*ITP_TIPO))</f>
        <v/>
      </c>
      <c r="CD239" s="4">
        <f>IF(R239="profesional",N(AK239),0)</f>
        <v/>
      </c>
      <c r="CE239" s="3">
        <f>IF(AND(R239="profesional",ISNUMBER(AK239),AL239="sí"),0,TASA_DGT)</f>
        <v/>
      </c>
      <c r="CF239" s="3">
        <f>INFORME_DGT</f>
        <v/>
      </c>
      <c r="CG239" s="4">
        <f>O239+CD239+CC239+CE239+CF239</f>
        <v/>
      </c>
      <c r="CH239" s="4">
        <f>CG239+N(BU239)</f>
        <v/>
      </c>
      <c r="CI239" s="3">
        <f>IF(CG239&lt;=TOTAL_MAX,"sí",IF(CG239&lt;=TOTAL_MAX+MARGEN_NEG,"negociar","no"))</f>
        <v/>
      </c>
      <c r="CJ239" s="4">
        <f>IF(CI239&lt;&gt;"no",COUNTIFS($CI$2:$CI$662,"&lt;&gt;no",$CA$2:$CA$662,"&gt;"&amp;CA239)+COUNTIFS($CI$2:CI239,"&lt;&gt;no",$CA$2:CA239,CA239),"")</f>
        <v/>
      </c>
    </row>
    <row r="240">
      <c r="A240" s="2" t="inlineStr">
        <is>
          <t>cochesnet:71753984</t>
        </is>
      </c>
      <c r="B240" s="2" t="inlineStr">
        <is>
          <t>cochesnet</t>
        </is>
      </c>
      <c r="C240" s="2" t="inlineStr">
        <is>
          <t>https://www.coches.net/ford-focus-18-tdci-ghia-4p-diesel-2007-en-valencia-71753984-covo.aspx</t>
        </is>
      </c>
      <c r="D240" s="2" t="inlineStr">
        <is>
          <t>FORD Focus 1.8 TDCi Ghia</t>
        </is>
      </c>
      <c r="E240" s="2" t="inlineStr">
        <is>
          <t>Ford</t>
        </is>
      </c>
      <c r="F240" s="2" t="inlineStr">
        <is>
          <t>Ford Focus</t>
        </is>
      </c>
      <c r="G240" s="2" t="inlineStr">
        <is>
          <t>1.8 TDCi</t>
        </is>
      </c>
      <c r="H240" s="2" t="inlineStr">
        <is>
          <t>1.8 TDCi Ghia</t>
        </is>
      </c>
      <c r="I240" s="2" t="n"/>
      <c r="J240" s="2" t="n"/>
      <c r="K240" s="2" t="inlineStr">
        <is>
          <t>diesel</t>
        </is>
      </c>
      <c r="L240" s="2" t="inlineStr">
        <is>
          <t>compacto</t>
        </is>
      </c>
      <c r="M240" s="2" t="n">
        <v>2007</v>
      </c>
      <c r="N240" s="2" t="n">
        <v>208000</v>
      </c>
      <c r="O240" s="2" t="n">
        <v>3500</v>
      </c>
      <c r="P240" s="2" t="inlineStr">
        <is>
          <t>manual</t>
        </is>
      </c>
      <c r="Q240" s="2" t="inlineStr">
        <is>
          <t>no</t>
        </is>
      </c>
      <c r="R240" s="2" t="inlineStr">
        <is>
          <t>profesional</t>
        </is>
      </c>
      <c r="S240" s="2" t="inlineStr">
        <is>
          <t>Los autos locos xirivella  Xirivella</t>
        </is>
      </c>
      <c r="T240" s="2" t="inlineStr">
        <is>
          <t>2026-10-15T16:38:59Z</t>
        </is>
      </c>
      <c r="U240" s="2" t="n">
        <v>8</v>
      </c>
      <c r="V240" s="2" t="inlineStr">
        <is>
          <t>sí</t>
        </is>
      </c>
      <c r="W240" s="2" t="n"/>
      <c r="X240" s="2" t="n"/>
      <c r="Y240" s="2" t="n"/>
      <c r="Z240" s="2" t="inlineStr">
        <is>
          <t>sí</t>
        </is>
      </c>
      <c r="AA240" s="2" t="n"/>
      <c r="AB240" s="2" t="n">
        <v>12</v>
      </c>
      <c r="AC240" s="2" t="n"/>
      <c r="AD240" s="2" t="n"/>
      <c r="AE240" s="2" t="n"/>
      <c r="AF240" s="2" t="n"/>
      <c r="AG240" s="2" t="n"/>
      <c r="AH240" s="2" t="n">
        <v>3500</v>
      </c>
      <c r="AI240" s="2" t="n"/>
      <c r="AJ240" s="2" t="n"/>
      <c r="AK240" s="2" t="n"/>
      <c r="AL240" s="2" t="n"/>
      <c r="AM240" s="2" t="n">
        <v>4.7</v>
      </c>
      <c r="AN240" s="2" t="n">
        <v>3500</v>
      </c>
      <c r="AO240" s="2" t="n">
        <v>12</v>
      </c>
      <c r="AP240" s="2" t="inlineStr">
        <is>
          <t>modelo+año+km</t>
        </is>
      </c>
      <c r="AQ240" s="2" t="inlineStr">
        <is>
          <t>autoscout24:4610ffd3-0fd9-4263-9810-e608873ff1be (https://www.autoscout24.es/anuncios/ford-focus-berlina-manual-de-4-puertas-diesel-azul-cat_ma29mo15537-4610ffd3-0fd9-4263-9810-e608873ff1be)</t>
        </is>
      </c>
      <c r="AR240" s="2" t="inlineStr">
        <is>
          <t>vendedor profesional: sin ITP (operación con IVA/REBU, confirmar en factura); gastos de gestión del vendedor no indicados: se suma la tasa DGT; preguntar el precio final; diésel: motor sin fuente de fiabilidad (fiabilidad limitada a neutra)</t>
        </is>
      </c>
      <c r="AS240" s="2" t="inlineStr">
        <is>
          <t>Este Focus TDCi Ghia destaca por su completo equipamiento de confort y tecnología. Dispone de aire acondicionado bizona automático, volante multifuncional de cuero ajustable, asientos delanteros con regulación lumbar, climatización con filtro de partículas, limpiaparabrisas con sensor de lluvia y retrovisores eléctricos desempañables. El sistema de audio incluye reproductor de CD con control remoto en volante, seis altavoces y ordenador de viaje con datos de consumo e autonomía. Incorpora control de crucero, cierre centralizado con mando a distancia, elevalunas eléctricos en todas las puertas y apertura de maletero eléctrica. La iluminación combina faros dobles halógenos con regulación automática de altura y sensor de luz ambiental, más luces antiniebla delanteras. Cristales tintados en toda la cabina y llantas de aleación completan este equipamiento integral pensado para viajes cómodos y seguros.
12 meses garantia
se entrega con la ITV recién pasada
se entrega con kit distribucion hecho
aceite y filtros
aire acondicionado ok
neumaticos ok
2 llaves
el iva se podra pactar entre ambos</t>
        </is>
      </c>
      <c r="AT240" s="2" t="inlineStr">
        <is>
          <t>https://www.coches.net/ford-focus-18-tdci-ghia-4p-diesel-2007-en-valencia-71753984-covo.aspx (window.__INITIAL_PROPS__.ad) /home/user/Alopecia/buscador-coches/raw/cochesnet/69aa5db4018a61a1.json</t>
        </is>
      </c>
      <c r="AU240" s="3">
        <f>MAX(ANIO_ACTUAL-M240,0)</f>
        <v/>
      </c>
      <c r="AV240" s="4">
        <f>N240/MAX(AU240,0.5)</f>
        <v/>
      </c>
      <c r="AW240" s="4">
        <f>F240</f>
        <v/>
      </c>
      <c r="AX240" s="3">
        <f>AW240&amp;"|"&amp;INT(M240/SEG_ANIO)*SEG_ANIO</f>
        <v/>
      </c>
      <c r="AY240" s="3">
        <f>AX240&amp;"|"&amp;INT(N240/SEG_KM)*SEG_KM</f>
        <v/>
      </c>
      <c r="AZ240" s="4">
        <f>COUNTIF($AW$2:$AW$662,AW240)</f>
        <v/>
      </c>
      <c r="BA240" s="4">
        <f>COUNTIF($AX$2:$AX$662,AX240)</f>
        <v/>
      </c>
      <c r="BB240" s="4">
        <f>COUNTIF($AY$2:$AY$662,AY240)</f>
        <v/>
      </c>
      <c r="BC240" s="3">
        <f t="array" ref="BC240">IF(N(AO240)&gt;=MIN_N,AN240,IF(BB240&gt;=MIN_N,MEDIAN(IF($AY$2:$AY$662=AY240,$O$2:$O$662)),IF(BA240&gt;=MIN_N,MEDIAN(IF($AX$2:$AX$662=AX240,$O$2:$O$662)),MEDIAN(IF($AW$2:$AW$662=AW240,$O$2:$O$662)))))</f>
        <v/>
      </c>
      <c r="BD240" s="3">
        <f>IF(N(AO240)&gt;=MIN_N,"mercado "&amp;AP240,IF(BB240&gt;=MIN_N,"modelo+año+km",IF(BA240&gt;=MIN_N,"modelo+año","modelo")))</f>
        <v/>
      </c>
      <c r="BE240" s="4">
        <f>(BC240-O240)/BC240</f>
        <v/>
      </c>
      <c r="BF240" s="3">
        <f>IF(OR(K240="hibrido",K240="glp"),"ECO",IF(K240="electrico","CERO",IF(K240="gasolina",IF(M240&gt;=GAS_C,"C",IF(M240&gt;=GAS_B,"B","A")),IF(K240="diesel",IF(M240&gt;=DIE_C,"C",IF(M240&gt;=DIE_B,"B","A")),""))))</f>
        <v/>
      </c>
      <c r="BG240" s="3">
        <f>IFERROR(VLOOKUP(F240,MOD_TBL,11,0),IFERROR(VLOOKUP(E240,OCU_TBL,2,0),NEUTRO))</f>
        <v/>
      </c>
      <c r="BH240" s="3">
        <f>SUMIFS(MOT_AJUSTE,MOT_MOTOR,G240,MOT_MARCA,E240,MOT_DESDE,"&lt;="&amp;M240,MOT_HASTA,"&gt;="&amp;M240)+SUMIFS(MOT_AJUSTE,MOT_MOTOR,G240,MOT_MARCA,"(todas)",MOT_DESDE,"&lt;="&amp;M240,MOT_HASTA,"&gt;="&amp;M240)</f>
        <v/>
      </c>
      <c r="BI240" s="3">
        <f>SUMIFS(COMB_AJUSTE,COMB_COMB,K240)</f>
        <v/>
      </c>
      <c r="BJ240" s="3">
        <f>COUNTIFS(MOT_MOTOR,G240,MOT_MARCA,E240,MOT_DESDE,"&lt;="&amp;M240,MOT_HASTA,"&gt;="&amp;M240)+COUNTIFS(MOT_MOTOR,G240,MOT_MARCA,"(todas)",MOT_DESDE,"&lt;="&amp;M240,MOT_HASTA,"&gt;="&amp;M240)</f>
        <v/>
      </c>
      <c r="BK240" s="3">
        <f>IF(AND(K240="diesel",BJ240=0),MIN(BG240,NEUTRO),BG240)</f>
        <v/>
      </c>
      <c r="BL240" s="4">
        <f>MAX(0,MIN(100,BK240+BH240+BI240))</f>
        <v/>
      </c>
      <c r="BM240" s="3">
        <f>MAX(0,MIN(100,50+BE240*PRECIO_PEND))</f>
        <v/>
      </c>
      <c r="BN240" s="3">
        <f>MAX(0,100*(1-N240/KM_MAX))</f>
        <v/>
      </c>
      <c r="BO240" s="3">
        <f>IF(AV240&lt;KMA_SOSP,IF(AA240="sí",100,KMA_PEN),IF(AV240&lt;=KMA_IDEAL_MAX,100,MAX(0,100*(KMA_CERO-AV240)/(KMA_CERO-KMA_IDEAL_MAX))))</f>
        <v/>
      </c>
      <c r="BP240" s="3">
        <f>MAX(0,MIN(100,100*(M240-ANIO_MIN)/(ANIO_ACTUAL-ANIO_MIN)))</f>
        <v/>
      </c>
      <c r="BQ240" s="3">
        <f>W_KMT*BN240+W_KMA*BO240+W_EDAD*BP240</f>
        <v/>
      </c>
      <c r="BR240" s="3">
        <f>P_ITV*(V240="sí")+P_LIBRO*(W240="sí")+P_CORREA*(X240="sí")+P_PROP*(Y240=1)+P_GAR*(Z240="sí")+P_FOTOS*MIN(1,N(U240)/FOTOS_OBJ)</f>
        <v/>
      </c>
      <c r="BS240" s="3">
        <f>IFERROR(VLOOKUP(BF240,ETQ_TBL,2,0),NEUTRO)</f>
        <v/>
      </c>
      <c r="BT240" s="3">
        <f>NEUTRO</f>
        <v/>
      </c>
      <c r="BU240" s="3">
        <f>IFERROR(VLOOKUP(L240,SEGURO_TBL,3,0),"")</f>
        <v/>
      </c>
      <c r="BV240" s="3">
        <f>IF(BU240="",NEUTRO,MAX(0,MIN(100,100*(SEG_REF_MAX-BU240)/(SEG_REF_MAX-SEG_REF_MIN))))</f>
        <v/>
      </c>
      <c r="BW240" s="3">
        <f>W_ET*BS240+W_CONS*BT240+W_SEG*BV240</f>
        <v/>
      </c>
      <c r="BX240" s="3">
        <f>IF(N(AB240)&gt;0,AB240,IF(AND(R240="profesional",SG_LEGAL_ON=1),GAR_LEGAL,0))</f>
        <v/>
      </c>
      <c r="BY240" s="3">
        <f>SG_GAR*MIN(1,BX240/SG_GAR_FULL)+SG_AMPL*(AC240="sí")+SG_KMC*(AF240="sí")+SG_REV*(N(AE240)&gt;0)+SG_DEV*MIN(1,N(AG240)/SG_DEV_FULL)+SG_HIST*(W240="sí")</f>
        <v/>
      </c>
      <c r="BZ240" s="3">
        <f>IFERROR(VLOOKUP(L240,CARR_PEN_TBL,2,0),0)</f>
        <v/>
      </c>
      <c r="CA240" s="3">
        <f>W_FIAB*BL240+W_PRECIO*BM240+W_KMEDAD*BQ240+W_ANUNCIO*BR240+W_USO*BW240+W_SEGURIDAD*BY240-BZ240</f>
        <v/>
      </c>
      <c r="CB240" s="4">
        <f>IF(N(I240)&gt;0,I240,IFERROR(ROUND(_xlfn.NUMBERVALUE(LEFT(G240,FIND(" ",G240&amp;" ")-1),".")*1000,0),99999))</f>
        <v/>
      </c>
      <c r="CC240" s="3">
        <f>IF(R240="profesional",0,IF(O240&lt;CUOTA_VALOR_MAX,IF(AU240&gt;ITP_TRAMO_ALTO,SUMIFS(CF_CUOTA,CF_MAS,ITP_TRAMO_ALTO,CF_CCMIN,"&lt;="&amp;CB240,CF_CCMAX,"&gt;="&amp;CB240),IF(AU240&gt;ITP_TRAMO_BAJO,SUMIFS(CF_CUOTA,CF_MAS,ITP_TRAMO_BAJO,CF_CCMIN,"&lt;="&amp;CB240,CF_CCMAX,"&gt;="&amp;CB240),O240*ITP_TIPO)),O240*ITP_TIPO))</f>
        <v/>
      </c>
      <c r="CD240" s="4">
        <f>IF(R240="profesional",N(AK240),0)</f>
        <v/>
      </c>
      <c r="CE240" s="3">
        <f>IF(AND(R240="profesional",ISNUMBER(AK240),AL240="sí"),0,TASA_DGT)</f>
        <v/>
      </c>
      <c r="CF240" s="3">
        <f>INFORME_DGT</f>
        <v/>
      </c>
      <c r="CG240" s="4">
        <f>O240+CD240+CC240+CE240+CF240</f>
        <v/>
      </c>
      <c r="CH240" s="4">
        <f>CG240+N(BU240)</f>
        <v/>
      </c>
      <c r="CI240" s="3">
        <f>IF(CG240&lt;=TOTAL_MAX,"sí",IF(CG240&lt;=TOTAL_MAX+MARGEN_NEG,"negociar","no"))</f>
        <v/>
      </c>
      <c r="CJ240" s="4">
        <f>IF(CI240&lt;&gt;"no",COUNTIFS($CI$2:$CI$662,"&lt;&gt;no",$CA$2:$CA$662,"&gt;"&amp;CA240)+COUNTIFS($CI$2:CI240,"&lt;&gt;no",$CA$2:CA240,CA240),"")</f>
        <v/>
      </c>
    </row>
    <row r="241">
      <c r="A241" s="2" t="inlineStr">
        <is>
          <t>autoscout24:58a596ea-f50f-4c4e-8238-678ce382e9fd</t>
        </is>
      </c>
      <c r="B241" s="2" t="inlineStr">
        <is>
          <t>autoscout24</t>
        </is>
      </c>
      <c r="C241" s="2" t="inlineStr">
        <is>
          <t>https://www.autoscout24.es/anuncios/ford-focus-1-6-tdci-econetic-titanium-99g-diesel-cat_ma29mo15537-58a596ea-f50f-4c4e-8238-678ce382e9fd</t>
        </is>
      </c>
      <c r="D241" s="2" t="inlineStr">
        <is>
          <t>Ford Focus 1.6 TDCi ECOnetic Titanium 99g</t>
        </is>
      </c>
      <c r="E241" s="2" t="inlineStr">
        <is>
          <t>Ford</t>
        </is>
      </c>
      <c r="F241" s="2" t="inlineStr">
        <is>
          <t>Ford Focus</t>
        </is>
      </c>
      <c r="G241" s="2" t="inlineStr">
        <is>
          <t>1.6 TDCi</t>
        </is>
      </c>
      <c r="H241" s="2" t="inlineStr">
        <is>
          <t>1.6 TDCi ECOnetic Titanium 99g 1.6 TDCi</t>
        </is>
      </c>
      <c r="I241" s="2" t="n">
        <v>1560</v>
      </c>
      <c r="J241" s="2" t="n">
        <v>105</v>
      </c>
      <c r="K241" s="2" t="inlineStr">
        <is>
          <t>diesel</t>
        </is>
      </c>
      <c r="L241" s="2" t="inlineStr">
        <is>
          <t>compacto</t>
        </is>
      </c>
      <c r="M241" s="2" t="n">
        <v>2014</v>
      </c>
      <c r="N241" s="2" t="n">
        <v>154000</v>
      </c>
      <c r="O241" s="2" t="n">
        <v>5200</v>
      </c>
      <c r="P241" s="2" t="inlineStr">
        <is>
          <t>manual</t>
        </is>
      </c>
      <c r="Q241" s="2" t="inlineStr">
        <is>
          <t>no</t>
        </is>
      </c>
      <c r="R241" s="2" t="inlineStr">
        <is>
          <t>particular</t>
        </is>
      </c>
      <c r="S241" s="2" t="inlineStr">
        <is>
          <t>Oliva (46780)</t>
        </is>
      </c>
      <c r="T241" s="2" t="n"/>
      <c r="U241" s="2" t="n">
        <v>15</v>
      </c>
      <c r="V241" s="2" t="n"/>
      <c r="W241" s="2" t="n"/>
      <c r="X241" s="2" t="n"/>
      <c r="Y241" s="2" t="n"/>
      <c r="Z241" s="2" t="n"/>
      <c r="AA241" s="2" t="n"/>
      <c r="AB241" s="2" t="n"/>
      <c r="AC241" s="2" t="n"/>
      <c r="AD241" s="2" t="n"/>
      <c r="AE241" s="2" t="n"/>
      <c r="AF241" s="2" t="n"/>
      <c r="AG241" s="2" t="n"/>
      <c r="AH241" s="2" t="n"/>
      <c r="AI241" s="2" t="n"/>
      <c r="AJ241" s="2" t="n"/>
      <c r="AK241" s="2" t="n"/>
      <c r="AL241" s="2" t="n"/>
      <c r="AM241" s="2" t="n">
        <v>65</v>
      </c>
      <c r="AN241" s="2" t="n">
        <v>6490</v>
      </c>
      <c r="AO241" s="2" t="n">
        <v>7</v>
      </c>
      <c r="AP241" s="2" t="inlineStr">
        <is>
          <t>modelo+año+km</t>
        </is>
      </c>
      <c r="AQ241" s="2" t="n"/>
      <c r="AR241" s="2" t="inlineStr">
        <is>
          <t>cuota fija ITP: &gt;5 y &lt;=12 años, 1.501-2.000 cc</t>
        </is>
      </c>
      <c r="AS241" s="2" t="inlineStr">
        <is>
          <t>nouveaux pneus&lt;br /&gt;nouvel embrayage</t>
        </is>
      </c>
      <c r="AT241" s="2" t="inlineStr">
        <is>
          <t>https://www.autoscout24.es/anuncios/ford-focus-1-6-tdci-econetic-titanium-99g-diesel-cat_ma29mo15537-58a596ea-f50f-4c4e-8238-678ce382e9fd (__NEXT_DATA__ listingDetails) /home/user/Alopecia/buscador-coches/raw/autoscout24/e8348dbf9d25ac03.json</t>
        </is>
      </c>
      <c r="AU241" s="3">
        <f>MAX(ANIO_ACTUAL-M241,0)</f>
        <v/>
      </c>
      <c r="AV241" s="4">
        <f>N241/MAX(AU241,0.5)</f>
        <v/>
      </c>
      <c r="AW241" s="4">
        <f>F241</f>
        <v/>
      </c>
      <c r="AX241" s="3">
        <f>AW241&amp;"|"&amp;INT(M241/SEG_ANIO)*SEG_ANIO</f>
        <v/>
      </c>
      <c r="AY241" s="3">
        <f>AX241&amp;"|"&amp;INT(N241/SEG_KM)*SEG_KM</f>
        <v/>
      </c>
      <c r="AZ241" s="4">
        <f>COUNTIF($AW$2:$AW$662,AW241)</f>
        <v/>
      </c>
      <c r="BA241" s="4">
        <f>COUNTIF($AX$2:$AX$662,AX241)</f>
        <v/>
      </c>
      <c r="BB241" s="4">
        <f>COUNTIF($AY$2:$AY$662,AY241)</f>
        <v/>
      </c>
      <c r="BC241" s="3">
        <f t="array" ref="BC241">IF(N(AO241)&gt;=MIN_N,AN241,IF(BB241&gt;=MIN_N,MEDIAN(IF($AY$2:$AY$662=AY241,$O$2:$O$662)),IF(BA241&gt;=MIN_N,MEDIAN(IF($AX$2:$AX$662=AX241,$O$2:$O$662)),MEDIAN(IF($AW$2:$AW$662=AW241,$O$2:$O$662)))))</f>
        <v/>
      </c>
      <c r="BD241" s="3">
        <f>IF(N(AO241)&gt;=MIN_N,"mercado "&amp;AP241,IF(BB241&gt;=MIN_N,"modelo+año+km",IF(BA241&gt;=MIN_N,"modelo+año","modelo")))</f>
        <v/>
      </c>
      <c r="BE241" s="4">
        <f>(BC241-O241)/BC241</f>
        <v/>
      </c>
      <c r="BF241" s="3">
        <f>IF(OR(K241="hibrido",K241="glp"),"ECO",IF(K241="electrico","CERO",IF(K241="gasolina",IF(M241&gt;=GAS_C,"C",IF(M241&gt;=GAS_B,"B","A")),IF(K241="diesel",IF(M241&gt;=DIE_C,"C",IF(M241&gt;=DIE_B,"B","A")),""))))</f>
        <v/>
      </c>
      <c r="BG241" s="3">
        <f>IFERROR(VLOOKUP(F241,MOD_TBL,11,0),IFERROR(VLOOKUP(E241,OCU_TBL,2,0),NEUTRO))</f>
        <v/>
      </c>
      <c r="BH241" s="3">
        <f>SUMIFS(MOT_AJUSTE,MOT_MOTOR,G241,MOT_MARCA,E241,MOT_DESDE,"&lt;="&amp;M241,MOT_HASTA,"&gt;="&amp;M241)+SUMIFS(MOT_AJUSTE,MOT_MOTOR,G241,MOT_MARCA,"(todas)",MOT_DESDE,"&lt;="&amp;M241,MOT_HASTA,"&gt;="&amp;M241)</f>
        <v/>
      </c>
      <c r="BI241" s="3">
        <f>SUMIFS(COMB_AJUSTE,COMB_COMB,K241)</f>
        <v/>
      </c>
      <c r="BJ241" s="3">
        <f>COUNTIFS(MOT_MOTOR,G241,MOT_MARCA,E241,MOT_DESDE,"&lt;="&amp;M241,MOT_HASTA,"&gt;="&amp;M241)+COUNTIFS(MOT_MOTOR,G241,MOT_MARCA,"(todas)",MOT_DESDE,"&lt;="&amp;M241,MOT_HASTA,"&gt;="&amp;M241)</f>
        <v/>
      </c>
      <c r="BK241" s="3">
        <f>IF(AND(K241="diesel",BJ241=0),MIN(BG241,NEUTRO),BG241)</f>
        <v/>
      </c>
      <c r="BL241" s="4">
        <f>MAX(0,MIN(100,BK241+BH241+BI241))</f>
        <v/>
      </c>
      <c r="BM241" s="3">
        <f>MAX(0,MIN(100,50+BE241*PRECIO_PEND))</f>
        <v/>
      </c>
      <c r="BN241" s="3">
        <f>MAX(0,100*(1-N241/KM_MAX))</f>
        <v/>
      </c>
      <c r="BO241" s="3">
        <f>IF(AV241&lt;KMA_SOSP,IF(AA241="sí",100,KMA_PEN),IF(AV241&lt;=KMA_IDEAL_MAX,100,MAX(0,100*(KMA_CERO-AV241)/(KMA_CERO-KMA_IDEAL_MAX))))</f>
        <v/>
      </c>
      <c r="BP241" s="3">
        <f>MAX(0,MIN(100,100*(M241-ANIO_MIN)/(ANIO_ACTUAL-ANIO_MIN)))</f>
        <v/>
      </c>
      <c r="BQ241" s="3">
        <f>W_KMT*BN241+W_KMA*BO241+W_EDAD*BP241</f>
        <v/>
      </c>
      <c r="BR241" s="3">
        <f>P_ITV*(V241="sí")+P_LIBRO*(W241="sí")+P_CORREA*(X241="sí")+P_PROP*(Y241=1)+P_GAR*(Z241="sí")+P_FOTOS*MIN(1,N(U241)/FOTOS_OBJ)</f>
        <v/>
      </c>
      <c r="BS241" s="3">
        <f>IFERROR(VLOOKUP(BF241,ETQ_TBL,2,0),NEUTRO)</f>
        <v/>
      </c>
      <c r="BT241" s="3">
        <f>NEUTRO</f>
        <v/>
      </c>
      <c r="BU241" s="3">
        <f>IFERROR(VLOOKUP(L241,SEGURO_TBL,3,0),"")</f>
        <v/>
      </c>
      <c r="BV241" s="3">
        <f>IF(BU241="",NEUTRO,MAX(0,MIN(100,100*(SEG_REF_MAX-BU241)/(SEG_REF_MAX-SEG_REF_MIN))))</f>
        <v/>
      </c>
      <c r="BW241" s="3">
        <f>W_ET*BS241+W_CONS*BT241+W_SEG*BV241</f>
        <v/>
      </c>
      <c r="BX241" s="3">
        <f>IF(N(AB241)&gt;0,AB241,IF(AND(R241="profesional",SG_LEGAL_ON=1),GAR_LEGAL,0))</f>
        <v/>
      </c>
      <c r="BY241" s="3">
        <f>SG_GAR*MIN(1,BX241/SG_GAR_FULL)+SG_AMPL*(AC241="sí")+SG_KMC*(AF241="sí")+SG_REV*(N(AE241)&gt;0)+SG_DEV*MIN(1,N(AG241)/SG_DEV_FULL)+SG_HIST*(W241="sí")</f>
        <v/>
      </c>
      <c r="BZ241" s="3">
        <f>IFERROR(VLOOKUP(L241,CARR_PEN_TBL,2,0),0)</f>
        <v/>
      </c>
      <c r="CA241" s="3">
        <f>W_FIAB*BL241+W_PRECIO*BM241+W_KMEDAD*BQ241+W_ANUNCIO*BR241+W_USO*BW241+W_SEGURIDAD*BY241-BZ241</f>
        <v/>
      </c>
      <c r="CB241" s="4">
        <f>IF(N(I241)&gt;0,I241,IFERROR(ROUND(_xlfn.NUMBERVALUE(LEFT(G241,FIND(" ",G241&amp;" ")-1),".")*1000,0),99999))</f>
        <v/>
      </c>
      <c r="CC241" s="3">
        <f>IF(R241="profesional",0,IF(O241&lt;CUOTA_VALOR_MAX,IF(AU241&gt;ITP_TRAMO_ALTO,SUMIFS(CF_CUOTA,CF_MAS,ITP_TRAMO_ALTO,CF_CCMIN,"&lt;="&amp;CB241,CF_CCMAX,"&gt;="&amp;CB241),IF(AU241&gt;ITP_TRAMO_BAJO,SUMIFS(CF_CUOTA,CF_MAS,ITP_TRAMO_BAJO,CF_CCMIN,"&lt;="&amp;CB241,CF_CCMAX,"&gt;="&amp;CB241),O241*ITP_TIPO)),O241*ITP_TIPO))</f>
        <v/>
      </c>
      <c r="CD241" s="4">
        <f>IF(R241="profesional",N(AK241),0)</f>
        <v/>
      </c>
      <c r="CE241" s="3">
        <f>IF(AND(R241="profesional",ISNUMBER(AK241),AL241="sí"),0,TASA_DGT)</f>
        <v/>
      </c>
      <c r="CF241" s="3">
        <f>INFORME_DGT</f>
        <v/>
      </c>
      <c r="CG241" s="4">
        <f>O241+CD241+CC241+CE241+CF241</f>
        <v/>
      </c>
      <c r="CH241" s="4">
        <f>CG241+N(BU241)</f>
        <v/>
      </c>
      <c r="CI241" s="3">
        <f>IF(CG241&lt;=TOTAL_MAX,"sí",IF(CG241&lt;=TOTAL_MAX+MARGEN_NEG,"negociar","no"))</f>
        <v/>
      </c>
      <c r="CJ241" s="4">
        <f>IF(CI241&lt;&gt;"no",COUNTIFS($CI$2:$CI$662,"&lt;&gt;no",$CA$2:$CA$662,"&gt;"&amp;CA241)+COUNTIFS($CI$2:CI241,"&lt;&gt;no",$CA$2:CA241,CA241),"")</f>
        <v/>
      </c>
    </row>
    <row r="242">
      <c r="A242" s="2" t="inlineStr">
        <is>
          <t>autoscout24:76e6b1f4-44b8-4167-8015-2029b7465250</t>
        </is>
      </c>
      <c r="B242" s="2" t="inlineStr">
        <is>
          <t>autoscout24</t>
        </is>
      </c>
      <c r="C242" s="2" t="inlineStr">
        <is>
          <t>https://www.autoscout24.es/anuncios/ford-fiesta-fiesta-1-4tdci-newport-durashift-est-newport-diesel-negro-cat_ma29mo1758-76e6b1f4-44b8-4167-8015-2029b7465250</t>
        </is>
      </c>
      <c r="D242" s="2" t="inlineStr">
        <is>
          <t>Ford Fiesta Fiesta 1.4TDCI Newport Durashift EST Newport</t>
        </is>
      </c>
      <c r="E242" s="2" t="inlineStr">
        <is>
          <t>Ford</t>
        </is>
      </c>
      <c r="F242" s="2" t="inlineStr">
        <is>
          <t>Ford Fiesta</t>
        </is>
      </c>
      <c r="G242" s="2" t="inlineStr">
        <is>
          <t>1.4 TDCi</t>
        </is>
      </c>
      <c r="H242" s="2" t="inlineStr">
        <is>
          <t>Fiesta 1.4TDCI Newport Durashift EST Newport 1.4 TDCi</t>
        </is>
      </c>
      <c r="I242" s="2" t="n">
        <v>1399</v>
      </c>
      <c r="J242" s="2" t="n">
        <v>68</v>
      </c>
      <c r="K242" s="2" t="inlineStr">
        <is>
          <t>diesel</t>
        </is>
      </c>
      <c r="L242" s="2" t="inlineStr">
        <is>
          <t>utilitario</t>
        </is>
      </c>
      <c r="M242" s="2" t="n">
        <v>2007</v>
      </c>
      <c r="N242" s="2" t="n">
        <v>150000</v>
      </c>
      <c r="O242" s="2" t="n">
        <v>5000</v>
      </c>
      <c r="P242" s="2" t="inlineStr">
        <is>
          <t>automatico</t>
        </is>
      </c>
      <c r="Q242" s="2" t="inlineStr">
        <is>
          <t>sí</t>
        </is>
      </c>
      <c r="R242" s="2" t="inlineStr">
        <is>
          <t>particular</t>
        </is>
      </c>
      <c r="S242" s="2" t="inlineStr">
        <is>
          <t>Almussafes (46440)</t>
        </is>
      </c>
      <c r="T242" s="2" t="n"/>
      <c r="U242" s="2" t="n">
        <v>11</v>
      </c>
      <c r="V242" s="2" t="n"/>
      <c r="W242" s="2" t="n"/>
      <c r="X242" s="2" t="n"/>
      <c r="Y242" s="2" t="n"/>
      <c r="Z242" s="2" t="n"/>
      <c r="AA242" s="2" t="n"/>
      <c r="AB242" s="2" t="n"/>
      <c r="AC242" s="2" t="n"/>
      <c r="AD242" s="2" t="n"/>
      <c r="AE242" s="2" t="n"/>
      <c r="AF242" s="2" t="n"/>
      <c r="AG242" s="2" t="n"/>
      <c r="AH242" s="2" t="n"/>
      <c r="AI242" s="2" t="n"/>
      <c r="AJ242" s="2" t="n"/>
      <c r="AK242" s="2" t="n"/>
      <c r="AL242" s="2" t="n"/>
      <c r="AM242" s="2" t="n">
        <v>19.9</v>
      </c>
      <c r="AN242" s="2" t="n">
        <v>4500</v>
      </c>
      <c r="AO242" s="2" t="n">
        <v>18</v>
      </c>
      <c r="AP242" s="2" t="inlineStr">
        <is>
          <t>modelo+año+km</t>
        </is>
      </c>
      <c r="AQ242" s="2" t="inlineStr">
        <is>
          <t>cochesnet:71433047 (https://www.coches.net/ford-fiesta-14-tdci-futura-durashift-est-5p-diesel-2007-en-valencia-71433047-covo.aspx); cochesnet:71434628 (https://www.coches.net/ford-fiesta-diesel-2007-en-valencia-71434628-covo.aspx)</t>
        </is>
      </c>
      <c r="AR242" s="2" t="inlineStr">
        <is>
          <t>por encima del presupuesto (5104 €), negociar; cuota fija ITP: &gt;12 años, hasta 1.500 cc</t>
        </is>
      </c>
      <c r="AS242" s="2" t="inlineStr">
        <is>
          <t>Coche en perfectas condiciones, muy cuidado y siempre guardado en garaje.&lt;br /&gt;Se ha utilizado únicamente para trayectos muy cortos para ir a trabajar, desde Almussafes al polígono de Almussafes, por lo que su uso anual ha sido mínimo. De hecho, el seguro está contratado con un límite de 2.000 km al año.&lt;br /&gt;Tiene aproximadamente 149.842 km.&lt;br /&gt;Motor 1.4 TDCi diésel de 68 CV, cambio automático, etiqueta medioambiental B.&lt;br /&gt;Interior y exterior muy bien conservados para sus años, tal y como se aprecia en las fotos.&lt;br /&gt;Duerme siempre en garaje.&lt;br /&gt;Se vende por no necesitarlo. Se puede ver y probar en Almussafes.&lt;br /&gt;Abstenerse ofertas absurdas. Para cualquier duda, preguntar sin compromiso.</t>
        </is>
      </c>
      <c r="AT242" s="2" t="inlineStr">
        <is>
          <t>https://www.autoscout24.es/anuncios/ford-fiesta-fiesta-1-4tdci-newport-durashift-est-newport-diesel-negro-cat_ma29mo1758-76e6b1f4-44b8-4167-8015-2029b7465250 (__NEXT_DATA__ listingDetails) /home/user/Alopecia/buscador-coches/raw/autoscout24/27e8776dde0ae8d9.json</t>
        </is>
      </c>
      <c r="AU242" s="3">
        <f>MAX(ANIO_ACTUAL-M242,0)</f>
        <v/>
      </c>
      <c r="AV242" s="4">
        <f>N242/MAX(AU242,0.5)</f>
        <v/>
      </c>
      <c r="AW242" s="4">
        <f>F242</f>
        <v/>
      </c>
      <c r="AX242" s="3">
        <f>AW242&amp;"|"&amp;INT(M242/SEG_ANIO)*SEG_ANIO</f>
        <v/>
      </c>
      <c r="AY242" s="3">
        <f>AX242&amp;"|"&amp;INT(N242/SEG_KM)*SEG_KM</f>
        <v/>
      </c>
      <c r="AZ242" s="4">
        <f>COUNTIF($AW$2:$AW$662,AW242)</f>
        <v/>
      </c>
      <c r="BA242" s="4">
        <f>COUNTIF($AX$2:$AX$662,AX242)</f>
        <v/>
      </c>
      <c r="BB242" s="4">
        <f>COUNTIF($AY$2:$AY$662,AY242)</f>
        <v/>
      </c>
      <c r="BC242" s="3">
        <f t="array" ref="BC242">IF(N(AO242)&gt;=MIN_N,AN242,IF(BB242&gt;=MIN_N,MEDIAN(IF($AY$2:$AY$662=AY242,$O$2:$O$662)),IF(BA242&gt;=MIN_N,MEDIAN(IF($AX$2:$AX$662=AX242,$O$2:$O$662)),MEDIAN(IF($AW$2:$AW$662=AW242,$O$2:$O$662)))))</f>
        <v/>
      </c>
      <c r="BD242" s="3">
        <f>IF(N(AO242)&gt;=MIN_N,"mercado "&amp;AP242,IF(BB242&gt;=MIN_N,"modelo+año+km",IF(BA242&gt;=MIN_N,"modelo+año","modelo")))</f>
        <v/>
      </c>
      <c r="BE242" s="4">
        <f>(BC242-O242)/BC242</f>
        <v/>
      </c>
      <c r="BF242" s="3">
        <f>IF(OR(K242="hibrido",K242="glp"),"ECO",IF(K242="electrico","CERO",IF(K242="gasolina",IF(M242&gt;=GAS_C,"C",IF(M242&gt;=GAS_B,"B","A")),IF(K242="diesel",IF(M242&gt;=DIE_C,"C",IF(M242&gt;=DIE_B,"B","A")),""))))</f>
        <v/>
      </c>
      <c r="BG242" s="3">
        <f>IFERROR(VLOOKUP(F242,MOD_TBL,11,0),IFERROR(VLOOKUP(E242,OCU_TBL,2,0),NEUTRO))</f>
        <v/>
      </c>
      <c r="BH242" s="3">
        <f>SUMIFS(MOT_AJUSTE,MOT_MOTOR,G242,MOT_MARCA,E242,MOT_DESDE,"&lt;="&amp;M242,MOT_HASTA,"&gt;="&amp;M242)+SUMIFS(MOT_AJUSTE,MOT_MOTOR,G242,MOT_MARCA,"(todas)",MOT_DESDE,"&lt;="&amp;M242,MOT_HASTA,"&gt;="&amp;M242)</f>
        <v/>
      </c>
      <c r="BI242" s="3">
        <f>SUMIFS(COMB_AJUSTE,COMB_COMB,K242)</f>
        <v/>
      </c>
      <c r="BJ242" s="3">
        <f>COUNTIFS(MOT_MOTOR,G242,MOT_MARCA,E242,MOT_DESDE,"&lt;="&amp;M242,MOT_HASTA,"&gt;="&amp;M242)+COUNTIFS(MOT_MOTOR,G242,MOT_MARCA,"(todas)",MOT_DESDE,"&lt;="&amp;M242,MOT_HASTA,"&gt;="&amp;M242)</f>
        <v/>
      </c>
      <c r="BK242" s="3">
        <f>IF(AND(K242="diesel",BJ242=0),MIN(BG242,NEUTRO),BG242)</f>
        <v/>
      </c>
      <c r="BL242" s="4">
        <f>MAX(0,MIN(100,BK242+BH242+BI242))</f>
        <v/>
      </c>
      <c r="BM242" s="3">
        <f>MAX(0,MIN(100,50+BE242*PRECIO_PEND))</f>
        <v/>
      </c>
      <c r="BN242" s="3">
        <f>MAX(0,100*(1-N242/KM_MAX))</f>
        <v/>
      </c>
      <c r="BO242" s="3">
        <f>IF(AV242&lt;KMA_SOSP,IF(AA242="sí",100,KMA_PEN),IF(AV242&lt;=KMA_IDEAL_MAX,100,MAX(0,100*(KMA_CERO-AV242)/(KMA_CERO-KMA_IDEAL_MAX))))</f>
        <v/>
      </c>
      <c r="BP242" s="3">
        <f>MAX(0,MIN(100,100*(M242-ANIO_MIN)/(ANIO_ACTUAL-ANIO_MIN)))</f>
        <v/>
      </c>
      <c r="BQ242" s="3">
        <f>W_KMT*BN242+W_KMA*BO242+W_EDAD*BP242</f>
        <v/>
      </c>
      <c r="BR242" s="3">
        <f>P_ITV*(V242="sí")+P_LIBRO*(W242="sí")+P_CORREA*(X242="sí")+P_PROP*(Y242=1)+P_GAR*(Z242="sí")+P_FOTOS*MIN(1,N(U242)/FOTOS_OBJ)</f>
        <v/>
      </c>
      <c r="BS242" s="3">
        <f>IFERROR(VLOOKUP(BF242,ETQ_TBL,2,0),NEUTRO)</f>
        <v/>
      </c>
      <c r="BT242" s="3">
        <f>NEUTRO</f>
        <v/>
      </c>
      <c r="BU242" s="3">
        <f>IFERROR(VLOOKUP(L242,SEGURO_TBL,3,0),"")</f>
        <v/>
      </c>
      <c r="BV242" s="3">
        <f>IF(BU242="",NEUTRO,MAX(0,MIN(100,100*(SEG_REF_MAX-BU242)/(SEG_REF_MAX-SEG_REF_MIN))))</f>
        <v/>
      </c>
      <c r="BW242" s="3">
        <f>W_ET*BS242+W_CONS*BT242+W_SEG*BV242</f>
        <v/>
      </c>
      <c r="BX242" s="3">
        <f>IF(N(AB242)&gt;0,AB242,IF(AND(R242="profesional",SG_LEGAL_ON=1),GAR_LEGAL,0))</f>
        <v/>
      </c>
      <c r="BY242" s="3">
        <f>SG_GAR*MIN(1,BX242/SG_GAR_FULL)+SG_AMPL*(AC242="sí")+SG_KMC*(AF242="sí")+SG_REV*(N(AE242)&gt;0)+SG_DEV*MIN(1,N(AG242)/SG_DEV_FULL)+SG_HIST*(W242="sí")</f>
        <v/>
      </c>
      <c r="BZ242" s="3">
        <f>IFERROR(VLOOKUP(L242,CARR_PEN_TBL,2,0),0)</f>
        <v/>
      </c>
      <c r="CA242" s="3">
        <f>W_FIAB*BL242+W_PRECIO*BM242+W_KMEDAD*BQ242+W_ANUNCIO*BR242+W_USO*BW242+W_SEGURIDAD*BY242-BZ242</f>
        <v/>
      </c>
      <c r="CB242" s="4">
        <f>IF(N(I242)&gt;0,I242,IFERROR(ROUND(_xlfn.NUMBERVALUE(LEFT(G242,FIND(" ",G242&amp;" ")-1),".")*1000,0),99999))</f>
        <v/>
      </c>
      <c r="CC242" s="3">
        <f>IF(R242="profesional",0,IF(O242&lt;CUOTA_VALOR_MAX,IF(AU242&gt;ITP_TRAMO_ALTO,SUMIFS(CF_CUOTA,CF_MAS,ITP_TRAMO_ALTO,CF_CCMIN,"&lt;="&amp;CB242,CF_CCMAX,"&gt;="&amp;CB242),IF(AU242&gt;ITP_TRAMO_BAJO,SUMIFS(CF_CUOTA,CF_MAS,ITP_TRAMO_BAJO,CF_CCMIN,"&lt;="&amp;CB242,CF_CCMAX,"&gt;="&amp;CB242),O242*ITP_TIPO)),O242*ITP_TIPO))</f>
        <v/>
      </c>
      <c r="CD242" s="4">
        <f>IF(R242="profesional",N(AK242),0)</f>
        <v/>
      </c>
      <c r="CE242" s="3">
        <f>IF(AND(R242="profesional",ISNUMBER(AK242),AL242="sí"),0,TASA_DGT)</f>
        <v/>
      </c>
      <c r="CF242" s="3">
        <f>INFORME_DGT</f>
        <v/>
      </c>
      <c r="CG242" s="4">
        <f>O242+CD242+CC242+CE242+CF242</f>
        <v/>
      </c>
      <c r="CH242" s="4">
        <f>CG242+N(BU242)</f>
        <v/>
      </c>
      <c r="CI242" s="3">
        <f>IF(CG242&lt;=TOTAL_MAX,"sí",IF(CG242&lt;=TOTAL_MAX+MARGEN_NEG,"negociar","no"))</f>
        <v/>
      </c>
      <c r="CJ242" s="4">
        <f>IF(CI242&lt;&gt;"no",COUNTIFS($CI$2:$CI$662,"&lt;&gt;no",$CA$2:$CA$662,"&gt;"&amp;CA242)+COUNTIFS($CI$2:CI242,"&lt;&gt;no",$CA$2:CA242,CA242),"")</f>
        <v/>
      </c>
    </row>
    <row r="243">
      <c r="A243" s="2" t="inlineStr">
        <is>
          <t>autoscout24:741792f4-6695-4e03-be4d-e3507e1dd9d4</t>
        </is>
      </c>
      <c r="B243" s="2" t="inlineStr">
        <is>
          <t>autoscout24</t>
        </is>
      </c>
      <c r="C243" s="2" t="inlineStr">
        <is>
          <t>https://www.autoscout24.es/anuncios/ford-focus-focus-2-0i-16v-trend-trend-gasolina-azul-cat_ma29mo15537-741792f4-6695-4e03-be4d-e3507e1dd9d4</t>
        </is>
      </c>
      <c r="D243" s="2" t="inlineStr">
        <is>
          <t>Ford Focus Focus 2.0i 16v Trend Trend</t>
        </is>
      </c>
      <c r="E243" s="2" t="inlineStr">
        <is>
          <t>Ford</t>
        </is>
      </c>
      <c r="F243" s="2" t="inlineStr">
        <is>
          <t>Ford Focus</t>
        </is>
      </c>
      <c r="G243" s="2" t="inlineStr">
        <is>
          <t>1.8</t>
        </is>
      </c>
      <c r="H243" s="2" t="inlineStr">
        <is>
          <t>Focus 2.0i 16v Trend Trend 2.0</t>
        </is>
      </c>
      <c r="I243" s="2" t="n">
        <v>1789</v>
      </c>
      <c r="J243" s="2" t="n">
        <v>125</v>
      </c>
      <c r="K243" s="2" t="inlineStr">
        <is>
          <t>gasolina</t>
        </is>
      </c>
      <c r="L243" s="2" t="inlineStr">
        <is>
          <t>compacto</t>
        </is>
      </c>
      <c r="M243" s="2" t="n">
        <v>2009</v>
      </c>
      <c r="N243" s="2" t="n">
        <v>209000</v>
      </c>
      <c r="O243" s="2" t="n">
        <v>4300</v>
      </c>
      <c r="P243" s="2" t="inlineStr">
        <is>
          <t>manual</t>
        </is>
      </c>
      <c r="Q243" s="2" t="inlineStr">
        <is>
          <t>no</t>
        </is>
      </c>
      <c r="R243" s="2" t="inlineStr">
        <is>
          <t>particular</t>
        </is>
      </c>
      <c r="S243" s="2" t="inlineStr">
        <is>
          <t>Betxí (12549)</t>
        </is>
      </c>
      <c r="T243" s="2" t="n"/>
      <c r="U243" s="2" t="n">
        <v>10</v>
      </c>
      <c r="V243" s="2" t="n"/>
      <c r="W243" s="2" t="n"/>
      <c r="X243" s="2" t="n"/>
      <c r="Y243" s="2" t="n"/>
      <c r="Z243" s="2" t="n"/>
      <c r="AA243" s="2" t="n"/>
      <c r="AB243" s="2" t="n"/>
      <c r="AC243" s="2" t="n"/>
      <c r="AD243" s="2" t="n"/>
      <c r="AE243" s="2" t="n"/>
      <c r="AF243" s="2" t="n"/>
      <c r="AG243" s="2" t="n"/>
      <c r="AH243" s="2" t="n"/>
      <c r="AI243" s="2" t="n"/>
      <c r="AJ243" s="2" t="n"/>
      <c r="AK243" s="2" t="n"/>
      <c r="AL243" s="2" t="n"/>
      <c r="AM243" s="2" t="n">
        <v>53</v>
      </c>
      <c r="AN243" s="2" t="n">
        <v>3500</v>
      </c>
      <c r="AO243" s="2" t="n">
        <v>12</v>
      </c>
      <c r="AP243" s="2" t="inlineStr">
        <is>
          <t>modelo+año+km</t>
        </is>
      </c>
      <c r="AQ243" s="2" t="n"/>
      <c r="AR243" s="2" t="inlineStr">
        <is>
          <t>cuota fija ITP: &gt;12 años, 1.501-2.000 cc</t>
        </is>
      </c>
      <c r="AS243" s="2" t="inlineStr">
        <is>
          <t>&lt;strong&gt;Matriculación:&lt;/strong&gt; 12/11/2009&lt;br /&gt;&lt;strong&gt;Motor:&lt;/strong&gt; 1.8 Duratec Gasolina — 125 CV&lt;br /&gt;&lt;strong&gt;Kilometraje:&lt;/strong&gt; 209.000 km&lt;br /&gt;&lt;strong&gt;Embrague:&lt;/strong&gt; Kit de embrague totalmente nuevo&lt;br /&gt;Se vende Ford Focus familiar (SW), un coche conocido por la gran fiabilidad de su motor 1.8 Duratec — un motor atmosférico sencillo, sin turbo ni complicaciones electrónicas añadidas, con un mantenimiento asequible y muy resistente al paso de los kilómetros. Ideal para quien busca un coche familiar, práctico y de bajo coste de mantenimiento.&lt;br /&gt;&lt;strong&gt;Equipamiento:&lt;/strong&gt;&lt;br /&gt;📱 Pantalla Android con GPS&lt;br /&gt;🖥️ Ordenador de a bordo&lt;br /&gt;❄️ Climatizador&lt;br /&gt;🔑 Arranque sin llave (Keyless) con botón Start/Stop&lt;br /&gt;🚗 Barras de techo de aluminio cromadas&lt;br /&gt;✅ Kit de embrague nuevo&lt;br /&gt;✅ Coche en perfecto estado mecánico&lt;br /&gt;✅ Solo algunos pequeños defectos estéticos de chapa, propios de la edad del vehículo, sin ninguna importancia&lt;br /&gt;✅ Disponible para cualquier prueba mecánica y de conducción&lt;br /&gt;Un coche familiar, económico, bien equipado y con un motor de sobra probado por su fiabilidad.&lt;br /&gt;📞 &lt;strong&gt;Contacto: 634 817 697&lt;/strong&gt;</t>
        </is>
      </c>
      <c r="AT243" s="2" t="inlineStr">
        <is>
          <t>https://www.autoscout24.es/anuncios/ford-focus-focus-2-0i-16v-trend-trend-gasolina-azul-cat_ma29mo15537-741792f4-6695-4e03-be4d-e3507e1dd9d4 (__NEXT_DATA__ listingDetails) /home/user/Alopecia/buscador-coches/raw/autoscout24/64ef11897d652857.json</t>
        </is>
      </c>
      <c r="AU243" s="3">
        <f>MAX(ANIO_ACTUAL-M243,0)</f>
        <v/>
      </c>
      <c r="AV243" s="4">
        <f>N243/MAX(AU243,0.5)</f>
        <v/>
      </c>
      <c r="AW243" s="4">
        <f>F243</f>
        <v/>
      </c>
      <c r="AX243" s="3">
        <f>AW243&amp;"|"&amp;INT(M243/SEG_ANIO)*SEG_ANIO</f>
        <v/>
      </c>
      <c r="AY243" s="3">
        <f>AX243&amp;"|"&amp;INT(N243/SEG_KM)*SEG_KM</f>
        <v/>
      </c>
      <c r="AZ243" s="4">
        <f>COUNTIF($AW$2:$AW$662,AW243)</f>
        <v/>
      </c>
      <c r="BA243" s="4">
        <f>COUNTIF($AX$2:$AX$662,AX243)</f>
        <v/>
      </c>
      <c r="BB243" s="4">
        <f>COUNTIF($AY$2:$AY$662,AY243)</f>
        <v/>
      </c>
      <c r="BC243" s="3">
        <f t="array" ref="BC243">IF(N(AO243)&gt;=MIN_N,AN243,IF(BB243&gt;=MIN_N,MEDIAN(IF($AY$2:$AY$662=AY243,$O$2:$O$662)),IF(BA243&gt;=MIN_N,MEDIAN(IF($AX$2:$AX$662=AX243,$O$2:$O$662)),MEDIAN(IF($AW$2:$AW$662=AW243,$O$2:$O$662)))))</f>
        <v/>
      </c>
      <c r="BD243" s="3">
        <f>IF(N(AO243)&gt;=MIN_N,"mercado "&amp;AP243,IF(BB243&gt;=MIN_N,"modelo+año+km",IF(BA243&gt;=MIN_N,"modelo+año","modelo")))</f>
        <v/>
      </c>
      <c r="BE243" s="4">
        <f>(BC243-O243)/BC243</f>
        <v/>
      </c>
      <c r="BF243" s="3">
        <f>IF(OR(K243="hibrido",K243="glp"),"ECO",IF(K243="electrico","CERO",IF(K243="gasolina",IF(M243&gt;=GAS_C,"C",IF(M243&gt;=GAS_B,"B","A")),IF(K243="diesel",IF(M243&gt;=DIE_C,"C",IF(M243&gt;=DIE_B,"B","A")),""))))</f>
        <v/>
      </c>
      <c r="BG243" s="3">
        <f>IFERROR(VLOOKUP(F243,MOD_TBL,11,0),IFERROR(VLOOKUP(E243,OCU_TBL,2,0),NEUTRO))</f>
        <v/>
      </c>
      <c r="BH243" s="3">
        <f>SUMIFS(MOT_AJUSTE,MOT_MOTOR,G243,MOT_MARCA,E243,MOT_DESDE,"&lt;="&amp;M243,MOT_HASTA,"&gt;="&amp;M243)+SUMIFS(MOT_AJUSTE,MOT_MOTOR,G243,MOT_MARCA,"(todas)",MOT_DESDE,"&lt;="&amp;M243,MOT_HASTA,"&gt;="&amp;M243)</f>
        <v/>
      </c>
      <c r="BI243" s="3">
        <f>SUMIFS(COMB_AJUSTE,COMB_COMB,K243)</f>
        <v/>
      </c>
      <c r="BJ243" s="3">
        <f>COUNTIFS(MOT_MOTOR,G243,MOT_MARCA,E243,MOT_DESDE,"&lt;="&amp;M243,MOT_HASTA,"&gt;="&amp;M243)+COUNTIFS(MOT_MOTOR,G243,MOT_MARCA,"(todas)",MOT_DESDE,"&lt;="&amp;M243,MOT_HASTA,"&gt;="&amp;M243)</f>
        <v/>
      </c>
      <c r="BK243" s="3">
        <f>IF(AND(K243="diesel",BJ243=0),MIN(BG243,NEUTRO),BG243)</f>
        <v/>
      </c>
      <c r="BL243" s="4">
        <f>MAX(0,MIN(100,BK243+BH243+BI243))</f>
        <v/>
      </c>
      <c r="BM243" s="3">
        <f>MAX(0,MIN(100,50+BE243*PRECIO_PEND))</f>
        <v/>
      </c>
      <c r="BN243" s="3">
        <f>MAX(0,100*(1-N243/KM_MAX))</f>
        <v/>
      </c>
      <c r="BO243" s="3">
        <f>IF(AV243&lt;KMA_SOSP,IF(AA243="sí",100,KMA_PEN),IF(AV243&lt;=KMA_IDEAL_MAX,100,MAX(0,100*(KMA_CERO-AV243)/(KMA_CERO-KMA_IDEAL_MAX))))</f>
        <v/>
      </c>
      <c r="BP243" s="3">
        <f>MAX(0,MIN(100,100*(M243-ANIO_MIN)/(ANIO_ACTUAL-ANIO_MIN)))</f>
        <v/>
      </c>
      <c r="BQ243" s="3">
        <f>W_KMT*BN243+W_KMA*BO243+W_EDAD*BP243</f>
        <v/>
      </c>
      <c r="BR243" s="3">
        <f>P_ITV*(V243="sí")+P_LIBRO*(W243="sí")+P_CORREA*(X243="sí")+P_PROP*(Y243=1)+P_GAR*(Z243="sí")+P_FOTOS*MIN(1,N(U243)/FOTOS_OBJ)</f>
        <v/>
      </c>
      <c r="BS243" s="3">
        <f>IFERROR(VLOOKUP(BF243,ETQ_TBL,2,0),NEUTRO)</f>
        <v/>
      </c>
      <c r="BT243" s="3">
        <f>NEUTRO</f>
        <v/>
      </c>
      <c r="BU243" s="3">
        <f>IFERROR(VLOOKUP(L243,SEGURO_TBL,3,0),"")</f>
        <v/>
      </c>
      <c r="BV243" s="3">
        <f>IF(BU243="",NEUTRO,MAX(0,MIN(100,100*(SEG_REF_MAX-BU243)/(SEG_REF_MAX-SEG_REF_MIN))))</f>
        <v/>
      </c>
      <c r="BW243" s="3">
        <f>W_ET*BS243+W_CONS*BT243+W_SEG*BV243</f>
        <v/>
      </c>
      <c r="BX243" s="3">
        <f>IF(N(AB243)&gt;0,AB243,IF(AND(R243="profesional",SG_LEGAL_ON=1),GAR_LEGAL,0))</f>
        <v/>
      </c>
      <c r="BY243" s="3">
        <f>SG_GAR*MIN(1,BX243/SG_GAR_FULL)+SG_AMPL*(AC243="sí")+SG_KMC*(AF243="sí")+SG_REV*(N(AE243)&gt;0)+SG_DEV*MIN(1,N(AG243)/SG_DEV_FULL)+SG_HIST*(W243="sí")</f>
        <v/>
      </c>
      <c r="BZ243" s="3">
        <f>IFERROR(VLOOKUP(L243,CARR_PEN_TBL,2,0),0)</f>
        <v/>
      </c>
      <c r="CA243" s="3">
        <f>W_FIAB*BL243+W_PRECIO*BM243+W_KMEDAD*BQ243+W_ANUNCIO*BR243+W_USO*BW243+W_SEGURIDAD*BY243-BZ243</f>
        <v/>
      </c>
      <c r="CB243" s="4">
        <f>IF(N(I243)&gt;0,I243,IFERROR(ROUND(_xlfn.NUMBERVALUE(LEFT(G243,FIND(" ",G243&amp;" ")-1),".")*1000,0),99999))</f>
        <v/>
      </c>
      <c r="CC243" s="3">
        <f>IF(R243="profesional",0,IF(O243&lt;CUOTA_VALOR_MAX,IF(AU243&gt;ITP_TRAMO_ALTO,SUMIFS(CF_CUOTA,CF_MAS,ITP_TRAMO_ALTO,CF_CCMIN,"&lt;="&amp;CB243,CF_CCMAX,"&gt;="&amp;CB243),IF(AU243&gt;ITP_TRAMO_BAJO,SUMIFS(CF_CUOTA,CF_MAS,ITP_TRAMO_BAJO,CF_CCMIN,"&lt;="&amp;CB243,CF_CCMAX,"&gt;="&amp;CB243),O243*ITP_TIPO)),O243*ITP_TIPO))</f>
        <v/>
      </c>
      <c r="CD243" s="4">
        <f>IF(R243="profesional",N(AK243),0)</f>
        <v/>
      </c>
      <c r="CE243" s="3">
        <f>IF(AND(R243="profesional",ISNUMBER(AK243),AL243="sí"),0,TASA_DGT)</f>
        <v/>
      </c>
      <c r="CF243" s="3">
        <f>INFORME_DGT</f>
        <v/>
      </c>
      <c r="CG243" s="4">
        <f>O243+CD243+CC243+CE243+CF243</f>
        <v/>
      </c>
      <c r="CH243" s="4">
        <f>CG243+N(BU243)</f>
        <v/>
      </c>
      <c r="CI243" s="3">
        <f>IF(CG243&lt;=TOTAL_MAX,"sí",IF(CG243&lt;=TOTAL_MAX+MARGEN_NEG,"negociar","no"))</f>
        <v/>
      </c>
      <c r="CJ243" s="4">
        <f>IF(CI243&lt;&gt;"no",COUNTIFS($CI$2:$CI$662,"&lt;&gt;no",$CA$2:$CA$662,"&gt;"&amp;CA243)+COUNTIFS($CI$2:CI243,"&lt;&gt;no",$CA$2:CA243,CA243),"")</f>
        <v/>
      </c>
    </row>
    <row r="244">
      <c r="A244" s="2" t="inlineStr">
        <is>
          <t>autoscout24:83c91b8f-ded0-4180-8192-3d0f5fa77558</t>
        </is>
      </c>
      <c r="B244" s="2" t="inlineStr">
        <is>
          <t>autoscout24</t>
        </is>
      </c>
      <c r="C244" s="2" t="inlineStr">
        <is>
          <t>https://www.autoscout24.es/anuncios/ford-focus-1-6-ghia-115-gasolina-negro-cat_ma29mo15537-83c91b8f-ded0-4180-8192-3d0f5fa77558</t>
        </is>
      </c>
      <c r="D244" s="2" t="inlineStr">
        <is>
          <t>Ford Focus 1.6 Ghia 115</t>
        </is>
      </c>
      <c r="E244" s="2" t="inlineStr">
        <is>
          <t>Ford</t>
        </is>
      </c>
      <c r="F244" s="2" t="inlineStr">
        <is>
          <t>Ford Focus</t>
        </is>
      </c>
      <c r="G244" s="2" t="inlineStr">
        <is>
          <t>1.6</t>
        </is>
      </c>
      <c r="H244" s="2" t="inlineStr">
        <is>
          <t>1.6 Ghia 115 1.6</t>
        </is>
      </c>
      <c r="I244" s="2" t="n">
        <v>1596</v>
      </c>
      <c r="J244" s="2" t="n">
        <v>116</v>
      </c>
      <c r="K244" s="2" t="inlineStr">
        <is>
          <t>gasolina</t>
        </is>
      </c>
      <c r="L244" s="2" t="inlineStr">
        <is>
          <t>compacto</t>
        </is>
      </c>
      <c r="M244" s="2" t="n">
        <v>2007</v>
      </c>
      <c r="N244" s="2" t="n">
        <v>156500</v>
      </c>
      <c r="O244" s="2" t="n">
        <v>4500</v>
      </c>
      <c r="P244" s="2" t="inlineStr">
        <is>
          <t>manual</t>
        </is>
      </c>
      <c r="Q244" s="2" t="inlineStr">
        <is>
          <t>no</t>
        </is>
      </c>
      <c r="R244" s="2" t="inlineStr">
        <is>
          <t>particular</t>
        </is>
      </c>
      <c r="S244" s="2" t="inlineStr">
        <is>
          <t>Castelló de la Plana (12006)</t>
        </is>
      </c>
      <c r="T244" s="2" t="n"/>
      <c r="U244" s="2" t="n">
        <v>7</v>
      </c>
      <c r="V244" s="2" t="n"/>
      <c r="W244" s="2" t="n"/>
      <c r="X244" s="2" t="n"/>
      <c r="Y244" s="2" t="n"/>
      <c r="Z244" s="2" t="n"/>
      <c r="AA244" s="2" t="n"/>
      <c r="AB244" s="2" t="n"/>
      <c r="AC244" s="2" t="n"/>
      <c r="AD244" s="2" t="n"/>
      <c r="AE244" s="2" t="n"/>
      <c r="AF244" s="2" t="n"/>
      <c r="AG244" s="2" t="n"/>
      <c r="AH244" s="2" t="n"/>
      <c r="AI244" s="2" t="n"/>
      <c r="AJ244" s="2" t="n"/>
      <c r="AK244" s="2" t="n"/>
      <c r="AL244" s="2" t="n"/>
      <c r="AM244" s="2" t="n">
        <v>63.9</v>
      </c>
      <c r="AN244" s="2" t="n">
        <v>3870</v>
      </c>
      <c r="AO244" s="2" t="n">
        <v>10</v>
      </c>
      <c r="AP244" s="2" t="inlineStr">
        <is>
          <t>modelo+año+km</t>
        </is>
      </c>
      <c r="AQ244" s="2" t="n"/>
      <c r="AR244" s="2" t="inlineStr">
        <is>
          <t>cuota fija ITP: &gt;12 años, 1.501-2.000 cc</t>
        </is>
      </c>
      <c r="AS244" s="2" t="inlineStr"/>
      <c r="AT244" s="2" t="inlineStr">
        <is>
          <t>https://www.autoscout24.es/anuncios/ford-focus-1-6-ghia-115-gasolina-negro-cat_ma29mo15537-83c91b8f-ded0-4180-8192-3d0f5fa77558 (__NEXT_DATA__ listingDetails) /home/user/Alopecia/buscador-coches/raw/autoscout24/aeeb74a652247ba2.json</t>
        </is>
      </c>
      <c r="AU244" s="3">
        <f>MAX(ANIO_ACTUAL-M244,0)</f>
        <v/>
      </c>
      <c r="AV244" s="4">
        <f>N244/MAX(AU244,0.5)</f>
        <v/>
      </c>
      <c r="AW244" s="4">
        <f>F244</f>
        <v/>
      </c>
      <c r="AX244" s="3">
        <f>AW244&amp;"|"&amp;INT(M244/SEG_ANIO)*SEG_ANIO</f>
        <v/>
      </c>
      <c r="AY244" s="3">
        <f>AX244&amp;"|"&amp;INT(N244/SEG_KM)*SEG_KM</f>
        <v/>
      </c>
      <c r="AZ244" s="4">
        <f>COUNTIF($AW$2:$AW$662,AW244)</f>
        <v/>
      </c>
      <c r="BA244" s="4">
        <f>COUNTIF($AX$2:$AX$662,AX244)</f>
        <v/>
      </c>
      <c r="BB244" s="4">
        <f>COUNTIF($AY$2:$AY$662,AY244)</f>
        <v/>
      </c>
      <c r="BC244" s="3">
        <f t="array" ref="BC244">IF(N(AO244)&gt;=MIN_N,AN244,IF(BB244&gt;=MIN_N,MEDIAN(IF($AY$2:$AY$662=AY244,$O$2:$O$662)),IF(BA244&gt;=MIN_N,MEDIAN(IF($AX$2:$AX$662=AX244,$O$2:$O$662)),MEDIAN(IF($AW$2:$AW$662=AW244,$O$2:$O$662)))))</f>
        <v/>
      </c>
      <c r="BD244" s="3">
        <f>IF(N(AO244)&gt;=MIN_N,"mercado "&amp;AP244,IF(BB244&gt;=MIN_N,"modelo+año+km",IF(BA244&gt;=MIN_N,"modelo+año","modelo")))</f>
        <v/>
      </c>
      <c r="BE244" s="4">
        <f>(BC244-O244)/BC244</f>
        <v/>
      </c>
      <c r="BF244" s="3">
        <f>IF(OR(K244="hibrido",K244="glp"),"ECO",IF(K244="electrico","CERO",IF(K244="gasolina",IF(M244&gt;=GAS_C,"C",IF(M244&gt;=GAS_B,"B","A")),IF(K244="diesel",IF(M244&gt;=DIE_C,"C",IF(M244&gt;=DIE_B,"B","A")),""))))</f>
        <v/>
      </c>
      <c r="BG244" s="3">
        <f>IFERROR(VLOOKUP(F244,MOD_TBL,11,0),IFERROR(VLOOKUP(E244,OCU_TBL,2,0),NEUTRO))</f>
        <v/>
      </c>
      <c r="BH244" s="3">
        <f>SUMIFS(MOT_AJUSTE,MOT_MOTOR,G244,MOT_MARCA,E244,MOT_DESDE,"&lt;="&amp;M244,MOT_HASTA,"&gt;="&amp;M244)+SUMIFS(MOT_AJUSTE,MOT_MOTOR,G244,MOT_MARCA,"(todas)",MOT_DESDE,"&lt;="&amp;M244,MOT_HASTA,"&gt;="&amp;M244)</f>
        <v/>
      </c>
      <c r="BI244" s="3">
        <f>SUMIFS(COMB_AJUSTE,COMB_COMB,K244)</f>
        <v/>
      </c>
      <c r="BJ244" s="3">
        <f>COUNTIFS(MOT_MOTOR,G244,MOT_MARCA,E244,MOT_DESDE,"&lt;="&amp;M244,MOT_HASTA,"&gt;="&amp;M244)+COUNTIFS(MOT_MOTOR,G244,MOT_MARCA,"(todas)",MOT_DESDE,"&lt;="&amp;M244,MOT_HASTA,"&gt;="&amp;M244)</f>
        <v/>
      </c>
      <c r="BK244" s="3">
        <f>IF(AND(K244="diesel",BJ244=0),MIN(BG244,NEUTRO),BG244)</f>
        <v/>
      </c>
      <c r="BL244" s="4">
        <f>MAX(0,MIN(100,BK244+BH244+BI244))</f>
        <v/>
      </c>
      <c r="BM244" s="3">
        <f>MAX(0,MIN(100,50+BE244*PRECIO_PEND))</f>
        <v/>
      </c>
      <c r="BN244" s="3">
        <f>MAX(0,100*(1-N244/KM_MAX))</f>
        <v/>
      </c>
      <c r="BO244" s="3">
        <f>IF(AV244&lt;KMA_SOSP,IF(AA244="sí",100,KMA_PEN),IF(AV244&lt;=KMA_IDEAL_MAX,100,MAX(0,100*(KMA_CERO-AV244)/(KMA_CERO-KMA_IDEAL_MAX))))</f>
        <v/>
      </c>
      <c r="BP244" s="3">
        <f>MAX(0,MIN(100,100*(M244-ANIO_MIN)/(ANIO_ACTUAL-ANIO_MIN)))</f>
        <v/>
      </c>
      <c r="BQ244" s="3">
        <f>W_KMT*BN244+W_KMA*BO244+W_EDAD*BP244</f>
        <v/>
      </c>
      <c r="BR244" s="3">
        <f>P_ITV*(V244="sí")+P_LIBRO*(W244="sí")+P_CORREA*(X244="sí")+P_PROP*(Y244=1)+P_GAR*(Z244="sí")+P_FOTOS*MIN(1,N(U244)/FOTOS_OBJ)</f>
        <v/>
      </c>
      <c r="BS244" s="3">
        <f>IFERROR(VLOOKUP(BF244,ETQ_TBL,2,0),NEUTRO)</f>
        <v/>
      </c>
      <c r="BT244" s="3">
        <f>NEUTRO</f>
        <v/>
      </c>
      <c r="BU244" s="3">
        <f>IFERROR(VLOOKUP(L244,SEGURO_TBL,3,0),"")</f>
        <v/>
      </c>
      <c r="BV244" s="3">
        <f>IF(BU244="",NEUTRO,MAX(0,MIN(100,100*(SEG_REF_MAX-BU244)/(SEG_REF_MAX-SEG_REF_MIN))))</f>
        <v/>
      </c>
      <c r="BW244" s="3">
        <f>W_ET*BS244+W_CONS*BT244+W_SEG*BV244</f>
        <v/>
      </c>
      <c r="BX244" s="3">
        <f>IF(N(AB244)&gt;0,AB244,IF(AND(R244="profesional",SG_LEGAL_ON=1),GAR_LEGAL,0))</f>
        <v/>
      </c>
      <c r="BY244" s="3">
        <f>SG_GAR*MIN(1,BX244/SG_GAR_FULL)+SG_AMPL*(AC244="sí")+SG_KMC*(AF244="sí")+SG_REV*(N(AE244)&gt;0)+SG_DEV*MIN(1,N(AG244)/SG_DEV_FULL)+SG_HIST*(W244="sí")</f>
        <v/>
      </c>
      <c r="BZ244" s="3">
        <f>IFERROR(VLOOKUP(L244,CARR_PEN_TBL,2,0),0)</f>
        <v/>
      </c>
      <c r="CA244" s="3">
        <f>W_FIAB*BL244+W_PRECIO*BM244+W_KMEDAD*BQ244+W_ANUNCIO*BR244+W_USO*BW244+W_SEGURIDAD*BY244-BZ244</f>
        <v/>
      </c>
      <c r="CB244" s="4">
        <f>IF(N(I244)&gt;0,I244,IFERROR(ROUND(_xlfn.NUMBERVALUE(LEFT(G244,FIND(" ",G244&amp;" ")-1),".")*1000,0),99999))</f>
        <v/>
      </c>
      <c r="CC244" s="3">
        <f>IF(R244="profesional",0,IF(O244&lt;CUOTA_VALOR_MAX,IF(AU244&gt;ITP_TRAMO_ALTO,SUMIFS(CF_CUOTA,CF_MAS,ITP_TRAMO_ALTO,CF_CCMIN,"&lt;="&amp;CB244,CF_CCMAX,"&gt;="&amp;CB244),IF(AU244&gt;ITP_TRAMO_BAJO,SUMIFS(CF_CUOTA,CF_MAS,ITP_TRAMO_BAJO,CF_CCMIN,"&lt;="&amp;CB244,CF_CCMAX,"&gt;="&amp;CB244),O244*ITP_TIPO)),O244*ITP_TIPO))</f>
        <v/>
      </c>
      <c r="CD244" s="4">
        <f>IF(R244="profesional",N(AK244),0)</f>
        <v/>
      </c>
      <c r="CE244" s="3">
        <f>IF(AND(R244="profesional",ISNUMBER(AK244),AL244="sí"),0,TASA_DGT)</f>
        <v/>
      </c>
      <c r="CF244" s="3">
        <f>INFORME_DGT</f>
        <v/>
      </c>
      <c r="CG244" s="4">
        <f>O244+CD244+CC244+CE244+CF244</f>
        <v/>
      </c>
      <c r="CH244" s="4">
        <f>CG244+N(BU244)</f>
        <v/>
      </c>
      <c r="CI244" s="3">
        <f>IF(CG244&lt;=TOTAL_MAX,"sí",IF(CG244&lt;=TOTAL_MAX+MARGEN_NEG,"negociar","no"))</f>
        <v/>
      </c>
      <c r="CJ244" s="4">
        <f>IF(CI244&lt;&gt;"no",COUNTIFS($CI$2:$CI$662,"&lt;&gt;no",$CA$2:$CA$662,"&gt;"&amp;CA244)+COUNTIFS($CI$2:CI244,"&lt;&gt;no",$CA$2:CA244,CA244),"")</f>
        <v/>
      </c>
    </row>
    <row r="245">
      <c r="A245" s="2" t="inlineStr">
        <is>
          <t>autoscout24:309efac1-c1bf-44d7-9fec-a231f0fb8dd4</t>
        </is>
      </c>
      <c r="B245" s="2" t="inlineStr">
        <is>
          <t>autoscout24</t>
        </is>
      </c>
      <c r="C245" s="2" t="inlineStr">
        <is>
          <t>https://www.autoscout24.es/anuncios/ford-focus-1-8tdci-trend-diesel-plateado-cat_ma29mo15537-309efac1-c1bf-44d7-9fec-a231f0fb8dd4</t>
        </is>
      </c>
      <c r="D245" s="2" t="inlineStr">
        <is>
          <t>Ford Focus 1.8TDCI Trend</t>
        </is>
      </c>
      <c r="E245" s="2" t="inlineStr">
        <is>
          <t>Ford</t>
        </is>
      </c>
      <c r="F245" s="2" t="inlineStr">
        <is>
          <t>Ford Focus</t>
        </is>
      </c>
      <c r="G245" s="2" t="inlineStr">
        <is>
          <t>1.8 TDCi</t>
        </is>
      </c>
      <c r="H245" s="2" t="inlineStr">
        <is>
          <t>1.8TDCI Trend 1.8 TDCi</t>
        </is>
      </c>
      <c r="I245" s="2" t="n">
        <v>1753</v>
      </c>
      <c r="J245" s="2" t="n">
        <v>116</v>
      </c>
      <c r="K245" s="2" t="inlineStr">
        <is>
          <t>diesel</t>
        </is>
      </c>
      <c r="L245" s="2" t="inlineStr">
        <is>
          <t>compacto</t>
        </is>
      </c>
      <c r="M245" s="2" t="n">
        <v>2007</v>
      </c>
      <c r="N245" s="2" t="n">
        <v>130353</v>
      </c>
      <c r="O245" s="2" t="n">
        <v>4990</v>
      </c>
      <c r="P245" s="2" t="inlineStr">
        <is>
          <t>manual</t>
        </is>
      </c>
      <c r="Q245" s="2" t="inlineStr">
        <is>
          <t>no</t>
        </is>
      </c>
      <c r="R245" s="2" t="inlineStr">
        <is>
          <t>profesional</t>
        </is>
      </c>
      <c r="S245" s="2" t="inlineStr">
        <is>
          <t>COCHESAMIL — Manises (46940)</t>
        </is>
      </c>
      <c r="T245" s="2" t="n"/>
      <c r="U245" s="2" t="n">
        <v>20</v>
      </c>
      <c r="V245" s="2" t="n"/>
      <c r="W245" s="2" t="n"/>
      <c r="X245" s="2" t="n"/>
      <c r="Y245" s="2" t="n"/>
      <c r="Z245" s="2" t="inlineStr">
        <is>
          <t>sí</t>
        </is>
      </c>
      <c r="AA245" s="2" t="n"/>
      <c r="AB245" s="2" t="n">
        <v>12</v>
      </c>
      <c r="AC245" s="2" t="n"/>
      <c r="AD245" s="2" t="n"/>
      <c r="AE245" s="2" t="n"/>
      <c r="AF245" s="2" t="n"/>
      <c r="AG245" s="2" t="n"/>
      <c r="AH245" s="2" t="n">
        <v>4990</v>
      </c>
      <c r="AI245" s="2" t="n"/>
      <c r="AJ245" s="2" t="n"/>
      <c r="AK245" s="2" t="n"/>
      <c r="AL245" s="2" t="n"/>
      <c r="AM245" s="2" t="n">
        <v>8.199999999999999</v>
      </c>
      <c r="AN245" s="2" t="n">
        <v>4970</v>
      </c>
      <c r="AO245" s="2" t="n">
        <v>8</v>
      </c>
      <c r="AP245" s="2" t="inlineStr">
        <is>
          <t>modelo+año+km</t>
        </is>
      </c>
      <c r="AQ245" s="2" t="inlineStr">
        <is>
          <t>cochesnet:71039073 (https://www.coches.net/ford-focus-18-tdci-trend-3p-diesel-2007-en-valencia-71039073-covo.aspx)</t>
        </is>
      </c>
      <c r="AR245"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245" s="2" t="inlineStr">
        <is>
          <t>&lt;strong&gt;Precio al contado: 4990 euros&lt;/strong&gt; &lt;br /&gt;&lt;br /&gt;&lt;strong&gt;Condiciones de la financiación&lt;/strong&gt; &lt;br /&gt;&lt;br /&gt;Consulta condiciones de financiación con nuestros comerciales.&lt;br /&gt;Este anuncio es meramente informativo, no es vinculante ni contractual.&lt;br /&gt; &lt;br /&gt;&lt;br /&gt;&lt;strong&gt;Precio promocional si financias con nosotros y entregando un vehículo de más de 10 años.&lt;/strong&gt;&lt;br /&gt;&lt;strong&gt;Consultar condiciones de financiación con nuestros comerciales.&lt;/strong&gt;&lt;br /&gt;&lt;strong&gt;Este anuncio es meramente informativo, no es vinculante ni contractual&lt;/strong&gt;.&lt;br /&gt; &lt;br /&gt; &lt;br /&gt;</t>
        </is>
      </c>
      <c r="AT245" s="2" t="inlineStr">
        <is>
          <t>https://www.autoscout24.es/anuncios/ford-focus-1-8tdci-trend-diesel-plateado-cat_ma29mo15537-309efac1-c1bf-44d7-9fec-a231f0fb8dd4 (__NEXT_DATA__ listingDetails) /home/user/Alopecia/buscador-coches/raw/autoscout24/0e58ca9ac21ac8ee.json</t>
        </is>
      </c>
      <c r="AU245" s="3">
        <f>MAX(ANIO_ACTUAL-M245,0)</f>
        <v/>
      </c>
      <c r="AV245" s="4">
        <f>N245/MAX(AU245,0.5)</f>
        <v/>
      </c>
      <c r="AW245" s="4">
        <f>F245</f>
        <v/>
      </c>
      <c r="AX245" s="3">
        <f>AW245&amp;"|"&amp;INT(M245/SEG_ANIO)*SEG_ANIO</f>
        <v/>
      </c>
      <c r="AY245" s="3">
        <f>AX245&amp;"|"&amp;INT(N245/SEG_KM)*SEG_KM</f>
        <v/>
      </c>
      <c r="AZ245" s="4">
        <f>COUNTIF($AW$2:$AW$662,AW245)</f>
        <v/>
      </c>
      <c r="BA245" s="4">
        <f>COUNTIF($AX$2:$AX$662,AX245)</f>
        <v/>
      </c>
      <c r="BB245" s="4">
        <f>COUNTIF($AY$2:$AY$662,AY245)</f>
        <v/>
      </c>
      <c r="BC245" s="3">
        <f t="array" ref="BC245">IF(N(AO245)&gt;=MIN_N,AN245,IF(BB245&gt;=MIN_N,MEDIAN(IF($AY$2:$AY$662=AY245,$O$2:$O$662)),IF(BA245&gt;=MIN_N,MEDIAN(IF($AX$2:$AX$662=AX245,$O$2:$O$662)),MEDIAN(IF($AW$2:$AW$662=AW245,$O$2:$O$662)))))</f>
        <v/>
      </c>
      <c r="BD245" s="3">
        <f>IF(N(AO245)&gt;=MIN_N,"mercado "&amp;AP245,IF(BB245&gt;=MIN_N,"modelo+año+km",IF(BA245&gt;=MIN_N,"modelo+año","modelo")))</f>
        <v/>
      </c>
      <c r="BE245" s="4">
        <f>(BC245-O245)/BC245</f>
        <v/>
      </c>
      <c r="BF245" s="3">
        <f>IF(OR(K245="hibrido",K245="glp"),"ECO",IF(K245="electrico","CERO",IF(K245="gasolina",IF(M245&gt;=GAS_C,"C",IF(M245&gt;=GAS_B,"B","A")),IF(K245="diesel",IF(M245&gt;=DIE_C,"C",IF(M245&gt;=DIE_B,"B","A")),""))))</f>
        <v/>
      </c>
      <c r="BG245" s="3">
        <f>IFERROR(VLOOKUP(F245,MOD_TBL,11,0),IFERROR(VLOOKUP(E245,OCU_TBL,2,0),NEUTRO))</f>
        <v/>
      </c>
      <c r="BH245" s="3">
        <f>SUMIFS(MOT_AJUSTE,MOT_MOTOR,G245,MOT_MARCA,E245,MOT_DESDE,"&lt;="&amp;M245,MOT_HASTA,"&gt;="&amp;M245)+SUMIFS(MOT_AJUSTE,MOT_MOTOR,G245,MOT_MARCA,"(todas)",MOT_DESDE,"&lt;="&amp;M245,MOT_HASTA,"&gt;="&amp;M245)</f>
        <v/>
      </c>
      <c r="BI245" s="3">
        <f>SUMIFS(COMB_AJUSTE,COMB_COMB,K245)</f>
        <v/>
      </c>
      <c r="BJ245" s="3">
        <f>COUNTIFS(MOT_MOTOR,G245,MOT_MARCA,E245,MOT_DESDE,"&lt;="&amp;M245,MOT_HASTA,"&gt;="&amp;M245)+COUNTIFS(MOT_MOTOR,G245,MOT_MARCA,"(todas)",MOT_DESDE,"&lt;="&amp;M245,MOT_HASTA,"&gt;="&amp;M245)</f>
        <v/>
      </c>
      <c r="BK245" s="3">
        <f>IF(AND(K245="diesel",BJ245=0),MIN(BG245,NEUTRO),BG245)</f>
        <v/>
      </c>
      <c r="BL245" s="4">
        <f>MAX(0,MIN(100,BK245+BH245+BI245))</f>
        <v/>
      </c>
      <c r="BM245" s="3">
        <f>MAX(0,MIN(100,50+BE245*PRECIO_PEND))</f>
        <v/>
      </c>
      <c r="BN245" s="3">
        <f>MAX(0,100*(1-N245/KM_MAX))</f>
        <v/>
      </c>
      <c r="BO245" s="3">
        <f>IF(AV245&lt;KMA_SOSP,IF(AA245="sí",100,KMA_PEN),IF(AV245&lt;=KMA_IDEAL_MAX,100,MAX(0,100*(KMA_CERO-AV245)/(KMA_CERO-KMA_IDEAL_MAX))))</f>
        <v/>
      </c>
      <c r="BP245" s="3">
        <f>MAX(0,MIN(100,100*(M245-ANIO_MIN)/(ANIO_ACTUAL-ANIO_MIN)))</f>
        <v/>
      </c>
      <c r="BQ245" s="3">
        <f>W_KMT*BN245+W_KMA*BO245+W_EDAD*BP245</f>
        <v/>
      </c>
      <c r="BR245" s="3">
        <f>P_ITV*(V245="sí")+P_LIBRO*(W245="sí")+P_CORREA*(X245="sí")+P_PROP*(Y245=1)+P_GAR*(Z245="sí")+P_FOTOS*MIN(1,N(U245)/FOTOS_OBJ)</f>
        <v/>
      </c>
      <c r="BS245" s="3">
        <f>IFERROR(VLOOKUP(BF245,ETQ_TBL,2,0),NEUTRO)</f>
        <v/>
      </c>
      <c r="BT245" s="3">
        <f>NEUTRO</f>
        <v/>
      </c>
      <c r="BU245" s="3">
        <f>IFERROR(VLOOKUP(L245,SEGURO_TBL,3,0),"")</f>
        <v/>
      </c>
      <c r="BV245" s="3">
        <f>IF(BU245="",NEUTRO,MAX(0,MIN(100,100*(SEG_REF_MAX-BU245)/(SEG_REF_MAX-SEG_REF_MIN))))</f>
        <v/>
      </c>
      <c r="BW245" s="3">
        <f>W_ET*BS245+W_CONS*BT245+W_SEG*BV245</f>
        <v/>
      </c>
      <c r="BX245" s="3">
        <f>IF(N(AB245)&gt;0,AB245,IF(AND(R245="profesional",SG_LEGAL_ON=1),GAR_LEGAL,0))</f>
        <v/>
      </c>
      <c r="BY245" s="3">
        <f>SG_GAR*MIN(1,BX245/SG_GAR_FULL)+SG_AMPL*(AC245="sí")+SG_KMC*(AF245="sí")+SG_REV*(N(AE245)&gt;0)+SG_DEV*MIN(1,N(AG245)/SG_DEV_FULL)+SG_HIST*(W245="sí")</f>
        <v/>
      </c>
      <c r="BZ245" s="3">
        <f>IFERROR(VLOOKUP(L245,CARR_PEN_TBL,2,0),0)</f>
        <v/>
      </c>
      <c r="CA245" s="3">
        <f>W_FIAB*BL245+W_PRECIO*BM245+W_KMEDAD*BQ245+W_ANUNCIO*BR245+W_USO*BW245+W_SEGURIDAD*BY245-BZ245</f>
        <v/>
      </c>
      <c r="CB245" s="4">
        <f>IF(N(I245)&gt;0,I245,IFERROR(ROUND(_xlfn.NUMBERVALUE(LEFT(G245,FIND(" ",G245&amp;" ")-1),".")*1000,0),99999))</f>
        <v/>
      </c>
      <c r="CC245" s="3">
        <f>IF(R245="profesional",0,IF(O245&lt;CUOTA_VALOR_MAX,IF(AU245&gt;ITP_TRAMO_ALTO,SUMIFS(CF_CUOTA,CF_MAS,ITP_TRAMO_ALTO,CF_CCMIN,"&lt;="&amp;CB245,CF_CCMAX,"&gt;="&amp;CB245),IF(AU245&gt;ITP_TRAMO_BAJO,SUMIFS(CF_CUOTA,CF_MAS,ITP_TRAMO_BAJO,CF_CCMIN,"&lt;="&amp;CB245,CF_CCMAX,"&gt;="&amp;CB245),O245*ITP_TIPO)),O245*ITP_TIPO))</f>
        <v/>
      </c>
      <c r="CD245" s="4">
        <f>IF(R245="profesional",N(AK245),0)</f>
        <v/>
      </c>
      <c r="CE245" s="3">
        <f>IF(AND(R245="profesional",ISNUMBER(AK245),AL245="sí"),0,TASA_DGT)</f>
        <v/>
      </c>
      <c r="CF245" s="3">
        <f>INFORME_DGT</f>
        <v/>
      </c>
      <c r="CG245" s="4">
        <f>O245+CD245+CC245+CE245+CF245</f>
        <v/>
      </c>
      <c r="CH245" s="4">
        <f>CG245+N(BU245)</f>
        <v/>
      </c>
      <c r="CI245" s="3">
        <f>IF(CG245&lt;=TOTAL_MAX,"sí",IF(CG245&lt;=TOTAL_MAX+MARGEN_NEG,"negociar","no"))</f>
        <v/>
      </c>
      <c r="CJ245" s="4">
        <f>IF(CI245&lt;&gt;"no",COUNTIFS($CI$2:$CI$662,"&lt;&gt;no",$CA$2:$CA$662,"&gt;"&amp;CA245)+COUNTIFS($CI$2:CI245,"&lt;&gt;no",$CA$2:CA245,CA245),"")</f>
        <v/>
      </c>
    </row>
    <row r="246">
      <c r="A246" s="2" t="inlineStr">
        <is>
          <t>autoscout24:7c82171e-675b-4fab-b114-97b5d9d6543d</t>
        </is>
      </c>
      <c r="B246" s="2" t="inlineStr">
        <is>
          <t>autoscout24</t>
        </is>
      </c>
      <c r="C246" s="2" t="inlineStr">
        <is>
          <t>https://www.autoscout24.es/anuncios/nissan-pixo-1-0-acenta-gasolina-rojo-cat_ma52mo19222-7c82171e-675b-4fab-b114-97b5d9d6543d</t>
        </is>
      </c>
      <c r="D246" s="2" t="inlineStr">
        <is>
          <t>Nissan Pixo 1.0 Acenta</t>
        </is>
      </c>
      <c r="E246" s="2" t="inlineStr">
        <is>
          <t>Nissan</t>
        </is>
      </c>
      <c r="F246" s="2" t="inlineStr">
        <is>
          <t>Nissan Pixo</t>
        </is>
      </c>
      <c r="G246" s="2" t="inlineStr">
        <is>
          <t>1.0</t>
        </is>
      </c>
      <c r="H246" s="2" t="inlineStr">
        <is>
          <t>1.0 Acenta 1.0</t>
        </is>
      </c>
      <c r="I246" s="2" t="n">
        <v>996</v>
      </c>
      <c r="J246" s="2" t="n">
        <v>68</v>
      </c>
      <c r="K246" s="2" t="inlineStr">
        <is>
          <t>gasolina</t>
        </is>
      </c>
      <c r="L246" s="2" t="inlineStr">
        <is>
          <t>utilitario</t>
        </is>
      </c>
      <c r="M246" s="2" t="n">
        <v>2012</v>
      </c>
      <c r="N246" s="2" t="n">
        <v>68000</v>
      </c>
      <c r="O246" s="2" t="n">
        <v>4990</v>
      </c>
      <c r="P246" s="2" t="inlineStr">
        <is>
          <t>manual</t>
        </is>
      </c>
      <c r="Q246" s="2" t="inlineStr">
        <is>
          <t>no</t>
        </is>
      </c>
      <c r="R246" s="2" t="inlineStr">
        <is>
          <t>profesional</t>
        </is>
      </c>
      <c r="S246" s="2" t="inlineStr">
        <is>
          <t>SAGA VEHICULOS — MASSANASSA (46470)</t>
        </is>
      </c>
      <c r="T246" s="2" t="n"/>
      <c r="U246" s="2" t="n">
        <v>26</v>
      </c>
      <c r="V246" s="2" t="n"/>
      <c r="W246" s="2" t="n"/>
      <c r="X246" s="2" t="n"/>
      <c r="Y246" s="2" t="n"/>
      <c r="Z246" s="2" t="inlineStr">
        <is>
          <t>sí</t>
        </is>
      </c>
      <c r="AA246" s="2" t="n"/>
      <c r="AB246" s="2" t="n">
        <v>12</v>
      </c>
      <c r="AC246" s="2" t="inlineStr">
        <is>
          <t>sí</t>
        </is>
      </c>
      <c r="AD246" s="2" t="n"/>
      <c r="AE246" s="2" t="n"/>
      <c r="AF246" s="2" t="n"/>
      <c r="AG246" s="2" t="n"/>
      <c r="AH246" s="2" t="n"/>
      <c r="AI246" s="2" t="n"/>
      <c r="AJ246" s="2" t="n"/>
      <c r="AK246" s="2" t="n">
        <v>350</v>
      </c>
      <c r="AL246" s="2" t="inlineStr">
        <is>
          <t>no</t>
        </is>
      </c>
      <c r="AM246" s="2" t="n">
        <v>7.1</v>
      </c>
      <c r="AN246" s="2" t="n"/>
      <c r="AO246" s="2" t="n"/>
      <c r="AP246" s="2" t="n"/>
      <c r="AQ246" s="2" t="inlineStr">
        <is>
          <t>cochesnet:71849245 (https://www.coches.net/nissan-pixo-5p-10g-68cv-acenta-pack-safety-5p-gasolina-2011-en-valencia-71849245-covo.aspx)</t>
        </is>
      </c>
      <c r="AR246" s="2" t="inlineStr">
        <is>
          <t>vendedor profesional: sin ITP (operación con IVA/REBU, confirmar en factura); gastos del vendedor sin indicar si incluyen la transferencia: se suma la tasa DGT; fiabilidad del modelo PENDIENTE de fuente (puntuación neutra); mediana con solo 1 anuncio(s)</t>
        </is>
      </c>
      <c r="AS246" s="2" t="inlineStr">
        <is>
          <t>Nissan Pixo 1.0 Acenta, PACK SAFETY, 68CV, Gasolina, unico proprietario,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Control de estabilidad &lt;br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Pack Safety&lt;br /&gt;</t>
        </is>
      </c>
      <c r="AT246" s="2" t="inlineStr">
        <is>
          <t>https://www.autoscout24.es/anuncios/nissan-pixo-1-0-acenta-gasolina-rojo-cat_ma52mo19222-7c82171e-675b-4fab-b114-97b5d9d6543d (__NEXT_DATA__ listingDetails) /home/user/Alopecia/buscador-coches/raw/autoscout24/c8e87a87c3975daa.json</t>
        </is>
      </c>
      <c r="AU246" s="3">
        <f>MAX(ANIO_ACTUAL-M246,0)</f>
        <v/>
      </c>
      <c r="AV246" s="4">
        <f>N246/MAX(AU246,0.5)</f>
        <v/>
      </c>
      <c r="AW246" s="4">
        <f>F246</f>
        <v/>
      </c>
      <c r="AX246" s="3">
        <f>AW246&amp;"|"&amp;INT(M246/SEG_ANIO)*SEG_ANIO</f>
        <v/>
      </c>
      <c r="AY246" s="3">
        <f>AX246&amp;"|"&amp;INT(N246/SEG_KM)*SEG_KM</f>
        <v/>
      </c>
      <c r="AZ246" s="4">
        <f>COUNTIF($AW$2:$AW$662,AW246)</f>
        <v/>
      </c>
      <c r="BA246" s="4">
        <f>COUNTIF($AX$2:$AX$662,AX246)</f>
        <v/>
      </c>
      <c r="BB246" s="4">
        <f>COUNTIF($AY$2:$AY$662,AY246)</f>
        <v/>
      </c>
      <c r="BC246" s="3">
        <f t="array" ref="BC246">IF(N(AO246)&gt;=MIN_N,AN246,IF(BB246&gt;=MIN_N,MEDIAN(IF($AY$2:$AY$662=AY246,$O$2:$O$662)),IF(BA246&gt;=MIN_N,MEDIAN(IF($AX$2:$AX$662=AX246,$O$2:$O$662)),MEDIAN(IF($AW$2:$AW$662=AW246,$O$2:$O$662)))))</f>
        <v/>
      </c>
      <c r="BD246" s="3">
        <f>IF(N(AO246)&gt;=MIN_N,"mercado "&amp;AP246,IF(BB246&gt;=MIN_N,"modelo+año+km",IF(BA246&gt;=MIN_N,"modelo+año","modelo")))</f>
        <v/>
      </c>
      <c r="BE246" s="4">
        <f>(BC246-O246)/BC246</f>
        <v/>
      </c>
      <c r="BF246" s="3">
        <f>IF(OR(K246="hibrido",K246="glp"),"ECO",IF(K246="electrico","CERO",IF(K246="gasolina",IF(M246&gt;=GAS_C,"C",IF(M246&gt;=GAS_B,"B","A")),IF(K246="diesel",IF(M246&gt;=DIE_C,"C",IF(M246&gt;=DIE_B,"B","A")),""))))</f>
        <v/>
      </c>
      <c r="BG246" s="3">
        <f>IFERROR(VLOOKUP(F246,MOD_TBL,11,0),IFERROR(VLOOKUP(E246,OCU_TBL,2,0),NEUTRO))</f>
        <v/>
      </c>
      <c r="BH246" s="3">
        <f>SUMIFS(MOT_AJUSTE,MOT_MOTOR,G246,MOT_MARCA,E246,MOT_DESDE,"&lt;="&amp;M246,MOT_HASTA,"&gt;="&amp;M246)+SUMIFS(MOT_AJUSTE,MOT_MOTOR,G246,MOT_MARCA,"(todas)",MOT_DESDE,"&lt;="&amp;M246,MOT_HASTA,"&gt;="&amp;M246)</f>
        <v/>
      </c>
      <c r="BI246" s="3">
        <f>SUMIFS(COMB_AJUSTE,COMB_COMB,K246)</f>
        <v/>
      </c>
      <c r="BJ246" s="3">
        <f>COUNTIFS(MOT_MOTOR,G246,MOT_MARCA,E246,MOT_DESDE,"&lt;="&amp;M246,MOT_HASTA,"&gt;="&amp;M246)+COUNTIFS(MOT_MOTOR,G246,MOT_MARCA,"(todas)",MOT_DESDE,"&lt;="&amp;M246,MOT_HASTA,"&gt;="&amp;M246)</f>
        <v/>
      </c>
      <c r="BK246" s="3">
        <f>IF(AND(K246="diesel",BJ246=0),MIN(BG246,NEUTRO),BG246)</f>
        <v/>
      </c>
      <c r="BL246" s="4">
        <f>MAX(0,MIN(100,BK246+BH246+BI246))</f>
        <v/>
      </c>
      <c r="BM246" s="3">
        <f>MAX(0,MIN(100,50+BE246*PRECIO_PEND))</f>
        <v/>
      </c>
      <c r="BN246" s="3">
        <f>MAX(0,100*(1-N246/KM_MAX))</f>
        <v/>
      </c>
      <c r="BO246" s="3">
        <f>IF(AV246&lt;KMA_SOSP,IF(AA246="sí",100,KMA_PEN),IF(AV246&lt;=KMA_IDEAL_MAX,100,MAX(0,100*(KMA_CERO-AV246)/(KMA_CERO-KMA_IDEAL_MAX))))</f>
        <v/>
      </c>
      <c r="BP246" s="3">
        <f>MAX(0,MIN(100,100*(M246-ANIO_MIN)/(ANIO_ACTUAL-ANIO_MIN)))</f>
        <v/>
      </c>
      <c r="BQ246" s="3">
        <f>W_KMT*BN246+W_KMA*BO246+W_EDAD*BP246</f>
        <v/>
      </c>
      <c r="BR246" s="3">
        <f>P_ITV*(V246="sí")+P_LIBRO*(W246="sí")+P_CORREA*(X246="sí")+P_PROP*(Y246=1)+P_GAR*(Z246="sí")+P_FOTOS*MIN(1,N(U246)/FOTOS_OBJ)</f>
        <v/>
      </c>
      <c r="BS246" s="3">
        <f>IFERROR(VLOOKUP(BF246,ETQ_TBL,2,0),NEUTRO)</f>
        <v/>
      </c>
      <c r="BT246" s="3">
        <f>NEUTRO</f>
        <v/>
      </c>
      <c r="BU246" s="3">
        <f>IFERROR(VLOOKUP(L246,SEGURO_TBL,3,0),"")</f>
        <v/>
      </c>
      <c r="BV246" s="3">
        <f>IF(BU246="",NEUTRO,MAX(0,MIN(100,100*(SEG_REF_MAX-BU246)/(SEG_REF_MAX-SEG_REF_MIN))))</f>
        <v/>
      </c>
      <c r="BW246" s="3">
        <f>W_ET*BS246+W_CONS*BT246+W_SEG*BV246</f>
        <v/>
      </c>
      <c r="BX246" s="3">
        <f>IF(N(AB246)&gt;0,AB246,IF(AND(R246="profesional",SG_LEGAL_ON=1),GAR_LEGAL,0))</f>
        <v/>
      </c>
      <c r="BY246" s="3">
        <f>SG_GAR*MIN(1,BX246/SG_GAR_FULL)+SG_AMPL*(AC246="sí")+SG_KMC*(AF246="sí")+SG_REV*(N(AE246)&gt;0)+SG_DEV*MIN(1,N(AG246)/SG_DEV_FULL)+SG_HIST*(W246="sí")</f>
        <v/>
      </c>
      <c r="BZ246" s="3">
        <f>IFERROR(VLOOKUP(L246,CARR_PEN_TBL,2,0),0)</f>
        <v/>
      </c>
      <c r="CA246" s="3">
        <f>W_FIAB*BL246+W_PRECIO*BM246+W_KMEDAD*BQ246+W_ANUNCIO*BR246+W_USO*BW246+W_SEGURIDAD*BY246-BZ246</f>
        <v/>
      </c>
      <c r="CB246" s="4">
        <f>IF(N(I246)&gt;0,I246,IFERROR(ROUND(_xlfn.NUMBERVALUE(LEFT(G246,FIND(" ",G246&amp;" ")-1),".")*1000,0),99999))</f>
        <v/>
      </c>
      <c r="CC246" s="3">
        <f>IF(R246="profesional",0,IF(O246&lt;CUOTA_VALOR_MAX,IF(AU246&gt;ITP_TRAMO_ALTO,SUMIFS(CF_CUOTA,CF_MAS,ITP_TRAMO_ALTO,CF_CCMIN,"&lt;="&amp;CB246,CF_CCMAX,"&gt;="&amp;CB246),IF(AU246&gt;ITP_TRAMO_BAJO,SUMIFS(CF_CUOTA,CF_MAS,ITP_TRAMO_BAJO,CF_CCMIN,"&lt;="&amp;CB246,CF_CCMAX,"&gt;="&amp;CB246),O246*ITP_TIPO)),O246*ITP_TIPO))</f>
        <v/>
      </c>
      <c r="CD246" s="4">
        <f>IF(R246="profesional",N(AK246),0)</f>
        <v/>
      </c>
      <c r="CE246" s="3">
        <f>IF(AND(R246="profesional",ISNUMBER(AK246),AL246="sí"),0,TASA_DGT)</f>
        <v/>
      </c>
      <c r="CF246" s="3">
        <f>INFORME_DGT</f>
        <v/>
      </c>
      <c r="CG246" s="4">
        <f>O246+CD246+CC246+CE246+CF246</f>
        <v/>
      </c>
      <c r="CH246" s="4">
        <f>CG246+N(BU246)</f>
        <v/>
      </c>
      <c r="CI246" s="3">
        <f>IF(CG246&lt;=TOTAL_MAX,"sí",IF(CG246&lt;=TOTAL_MAX+MARGEN_NEG,"negociar","no"))</f>
        <v/>
      </c>
      <c r="CJ246" s="4">
        <f>IF(CI246&lt;&gt;"no",COUNTIFS($CI$2:$CI$662,"&lt;&gt;no",$CA$2:$CA$662,"&gt;"&amp;CA246)+COUNTIFS($CI$2:CI246,"&lt;&gt;no",$CA$2:CA246,CA246),"")</f>
        <v/>
      </c>
    </row>
    <row r="247">
      <c r="A247" s="2" t="inlineStr">
        <is>
          <t>autoscout24:14c4abf7-f10e-4e2e-8196-6f9a04f367f5</t>
        </is>
      </c>
      <c r="B247" s="2" t="inlineStr">
        <is>
          <t>autoscout24</t>
        </is>
      </c>
      <c r="C247" s="2" t="inlineStr">
        <is>
          <t>https://www.autoscout24.es/anuncios/nissan-micra-c+c-1-4i-tekna-gasolina-plateado-cat_ma52mo1904-14c4abf7-f10e-4e2e-8196-6f9a04f367f5</t>
        </is>
      </c>
      <c r="D247" s="2" t="inlineStr">
        <is>
          <t>Nissan Micra C+C 1.4i Tekna</t>
        </is>
      </c>
      <c r="E247" s="2" t="inlineStr">
        <is>
          <t>Nissan</t>
        </is>
      </c>
      <c r="F247" s="2" t="inlineStr">
        <is>
          <t>Nissan Micra</t>
        </is>
      </c>
      <c r="G247" s="2" t="inlineStr">
        <is>
          <t>1.4</t>
        </is>
      </c>
      <c r="H247" s="2" t="inlineStr">
        <is>
          <t>C+C 1.4i Tekna 1.4</t>
        </is>
      </c>
      <c r="I247" s="2" t="n">
        <v>1386</v>
      </c>
      <c r="J247" s="2" t="n">
        <v>88</v>
      </c>
      <c r="K247" s="2" t="inlineStr">
        <is>
          <t>gasolina</t>
        </is>
      </c>
      <c r="L247" s="2" t="inlineStr">
        <is>
          <t>utilitario</t>
        </is>
      </c>
      <c r="M247" s="2" t="n">
        <v>2006</v>
      </c>
      <c r="N247" s="2" t="n">
        <v>112069</v>
      </c>
      <c r="O247" s="2" t="n">
        <v>5000</v>
      </c>
      <c r="P247" s="2" t="inlineStr">
        <is>
          <t>manual</t>
        </is>
      </c>
      <c r="Q247" s="2" t="inlineStr">
        <is>
          <t>no</t>
        </is>
      </c>
      <c r="R247" s="2" t="inlineStr">
        <is>
          <t>profesional</t>
        </is>
      </c>
      <c r="S247" s="2" t="inlineStr">
        <is>
          <t>COCHESAMIL — Manises (46940)</t>
        </is>
      </c>
      <c r="T247" s="2" t="n"/>
      <c r="U247" s="2" t="n">
        <v>25</v>
      </c>
      <c r="V247" s="2" t="n"/>
      <c r="W247" s="2" t="n"/>
      <c r="X247" s="2" t="n"/>
      <c r="Y247" s="2" t="n"/>
      <c r="Z247" s="2" t="inlineStr">
        <is>
          <t>sí</t>
        </is>
      </c>
      <c r="AA247" s="2" t="n"/>
      <c r="AB247" s="2" t="n">
        <v>12</v>
      </c>
      <c r="AC247" s="2" t="n"/>
      <c r="AD247" s="2" t="n"/>
      <c r="AE247" s="2" t="n"/>
      <c r="AF247" s="2" t="n"/>
      <c r="AG247" s="2" t="n"/>
      <c r="AH247" s="2" t="n">
        <v>5000</v>
      </c>
      <c r="AI247" s="2" t="n"/>
      <c r="AJ247" s="2" t="n"/>
      <c r="AK247" s="2" t="n"/>
      <c r="AL247" s="2" t="n"/>
      <c r="AM247" s="2" t="n">
        <v>8.199999999999999</v>
      </c>
      <c r="AN247" s="2" t="n">
        <v>2500</v>
      </c>
      <c r="AO247" s="2" t="n">
        <v>10</v>
      </c>
      <c r="AP247" s="2" t="inlineStr">
        <is>
          <t>modelo+año</t>
        </is>
      </c>
      <c r="AQ247" s="2" t="n"/>
      <c r="AR247" s="2" t="inlineStr">
        <is>
          <t>por encima del presupuesto (5064 €), negociar; vendedor profesional: sin ITP (operación con IVA/REBU, confirmar en factura); gastos de gestión del vendedor no indicados: se suma la tasa DGT; preguntar el precio final</t>
        </is>
      </c>
      <c r="AS247" s="2" t="inlineStr">
        <is>
          <t>&lt;strong&gt;Precio al contado: 5000 euros&lt;/strong&gt; &lt;br /&gt;&lt;br /&gt;&lt;strong&gt;Condiciones de la financiación&lt;/strong&gt; &lt;br /&gt;&lt;br /&gt;Consulta condiciones de financiación con nuestros comerciales.&lt;br /&gt;Este anuncio es meramente informativo, no es vinculante ni contractual.&lt;br /&gt; &lt;br /&gt;&lt;br /&gt; &lt;strong&gt;Este anuncio es meramente informativo, no es vinculante ni contractual.&lt;/strong&gt;&lt;br /&gt;&lt;br /&gt;</t>
        </is>
      </c>
      <c r="AT247" s="2" t="inlineStr">
        <is>
          <t>https://www.autoscout24.es/anuncios/nissan-micra-c+c-1-4i-tekna-gasolina-plateado-cat_ma52mo1904-14c4abf7-f10e-4e2e-8196-6f9a04f367f5 (__NEXT_DATA__ listingDetails) /home/user/Alopecia/buscador-coches/raw/autoscout24/c901b0aebb40fe1c.json</t>
        </is>
      </c>
      <c r="AU247" s="3">
        <f>MAX(ANIO_ACTUAL-M247,0)</f>
        <v/>
      </c>
      <c r="AV247" s="4">
        <f>N247/MAX(AU247,0.5)</f>
        <v/>
      </c>
      <c r="AW247" s="4">
        <f>F247</f>
        <v/>
      </c>
      <c r="AX247" s="3">
        <f>AW247&amp;"|"&amp;INT(M247/SEG_ANIO)*SEG_ANIO</f>
        <v/>
      </c>
      <c r="AY247" s="3">
        <f>AX247&amp;"|"&amp;INT(N247/SEG_KM)*SEG_KM</f>
        <v/>
      </c>
      <c r="AZ247" s="4">
        <f>COUNTIF($AW$2:$AW$662,AW247)</f>
        <v/>
      </c>
      <c r="BA247" s="4">
        <f>COUNTIF($AX$2:$AX$662,AX247)</f>
        <v/>
      </c>
      <c r="BB247" s="4">
        <f>COUNTIF($AY$2:$AY$662,AY247)</f>
        <v/>
      </c>
      <c r="BC247" s="3">
        <f t="array" ref="BC247">IF(N(AO247)&gt;=MIN_N,AN247,IF(BB247&gt;=MIN_N,MEDIAN(IF($AY$2:$AY$662=AY247,$O$2:$O$662)),IF(BA247&gt;=MIN_N,MEDIAN(IF($AX$2:$AX$662=AX247,$O$2:$O$662)),MEDIAN(IF($AW$2:$AW$662=AW247,$O$2:$O$662)))))</f>
        <v/>
      </c>
      <c r="BD247" s="3">
        <f>IF(N(AO247)&gt;=MIN_N,"mercado "&amp;AP247,IF(BB247&gt;=MIN_N,"modelo+año+km",IF(BA247&gt;=MIN_N,"modelo+año","modelo")))</f>
        <v/>
      </c>
      <c r="BE247" s="4">
        <f>(BC247-O247)/BC247</f>
        <v/>
      </c>
      <c r="BF247" s="3">
        <f>IF(OR(K247="hibrido",K247="glp"),"ECO",IF(K247="electrico","CERO",IF(K247="gasolina",IF(M247&gt;=GAS_C,"C",IF(M247&gt;=GAS_B,"B","A")),IF(K247="diesel",IF(M247&gt;=DIE_C,"C",IF(M247&gt;=DIE_B,"B","A")),""))))</f>
        <v/>
      </c>
      <c r="BG247" s="3">
        <f>IFERROR(VLOOKUP(F247,MOD_TBL,11,0),IFERROR(VLOOKUP(E247,OCU_TBL,2,0),NEUTRO))</f>
        <v/>
      </c>
      <c r="BH247" s="3">
        <f>SUMIFS(MOT_AJUSTE,MOT_MOTOR,G247,MOT_MARCA,E247,MOT_DESDE,"&lt;="&amp;M247,MOT_HASTA,"&gt;="&amp;M247)+SUMIFS(MOT_AJUSTE,MOT_MOTOR,G247,MOT_MARCA,"(todas)",MOT_DESDE,"&lt;="&amp;M247,MOT_HASTA,"&gt;="&amp;M247)</f>
        <v/>
      </c>
      <c r="BI247" s="3">
        <f>SUMIFS(COMB_AJUSTE,COMB_COMB,K247)</f>
        <v/>
      </c>
      <c r="BJ247" s="3">
        <f>COUNTIFS(MOT_MOTOR,G247,MOT_MARCA,E247,MOT_DESDE,"&lt;="&amp;M247,MOT_HASTA,"&gt;="&amp;M247)+COUNTIFS(MOT_MOTOR,G247,MOT_MARCA,"(todas)",MOT_DESDE,"&lt;="&amp;M247,MOT_HASTA,"&gt;="&amp;M247)</f>
        <v/>
      </c>
      <c r="BK247" s="3">
        <f>IF(AND(K247="diesel",BJ247=0),MIN(BG247,NEUTRO),BG247)</f>
        <v/>
      </c>
      <c r="BL247" s="4">
        <f>MAX(0,MIN(100,BK247+BH247+BI247))</f>
        <v/>
      </c>
      <c r="BM247" s="3">
        <f>MAX(0,MIN(100,50+BE247*PRECIO_PEND))</f>
        <v/>
      </c>
      <c r="BN247" s="3">
        <f>MAX(0,100*(1-N247/KM_MAX))</f>
        <v/>
      </c>
      <c r="BO247" s="3">
        <f>IF(AV247&lt;KMA_SOSP,IF(AA247="sí",100,KMA_PEN),IF(AV247&lt;=KMA_IDEAL_MAX,100,MAX(0,100*(KMA_CERO-AV247)/(KMA_CERO-KMA_IDEAL_MAX))))</f>
        <v/>
      </c>
      <c r="BP247" s="3">
        <f>MAX(0,MIN(100,100*(M247-ANIO_MIN)/(ANIO_ACTUAL-ANIO_MIN)))</f>
        <v/>
      </c>
      <c r="BQ247" s="3">
        <f>W_KMT*BN247+W_KMA*BO247+W_EDAD*BP247</f>
        <v/>
      </c>
      <c r="BR247" s="3">
        <f>P_ITV*(V247="sí")+P_LIBRO*(W247="sí")+P_CORREA*(X247="sí")+P_PROP*(Y247=1)+P_GAR*(Z247="sí")+P_FOTOS*MIN(1,N(U247)/FOTOS_OBJ)</f>
        <v/>
      </c>
      <c r="BS247" s="3">
        <f>IFERROR(VLOOKUP(BF247,ETQ_TBL,2,0),NEUTRO)</f>
        <v/>
      </c>
      <c r="BT247" s="3">
        <f>NEUTRO</f>
        <v/>
      </c>
      <c r="BU247" s="3">
        <f>IFERROR(VLOOKUP(L247,SEGURO_TBL,3,0),"")</f>
        <v/>
      </c>
      <c r="BV247" s="3">
        <f>IF(BU247="",NEUTRO,MAX(0,MIN(100,100*(SEG_REF_MAX-BU247)/(SEG_REF_MAX-SEG_REF_MIN))))</f>
        <v/>
      </c>
      <c r="BW247" s="3">
        <f>W_ET*BS247+W_CONS*BT247+W_SEG*BV247</f>
        <v/>
      </c>
      <c r="BX247" s="3">
        <f>IF(N(AB247)&gt;0,AB247,IF(AND(R247="profesional",SG_LEGAL_ON=1),GAR_LEGAL,0))</f>
        <v/>
      </c>
      <c r="BY247" s="3">
        <f>SG_GAR*MIN(1,BX247/SG_GAR_FULL)+SG_AMPL*(AC247="sí")+SG_KMC*(AF247="sí")+SG_REV*(N(AE247)&gt;0)+SG_DEV*MIN(1,N(AG247)/SG_DEV_FULL)+SG_HIST*(W247="sí")</f>
        <v/>
      </c>
      <c r="BZ247" s="3">
        <f>IFERROR(VLOOKUP(L247,CARR_PEN_TBL,2,0),0)</f>
        <v/>
      </c>
      <c r="CA247" s="3">
        <f>W_FIAB*BL247+W_PRECIO*BM247+W_KMEDAD*BQ247+W_ANUNCIO*BR247+W_USO*BW247+W_SEGURIDAD*BY247-BZ247</f>
        <v/>
      </c>
      <c r="CB247" s="4">
        <f>IF(N(I247)&gt;0,I247,IFERROR(ROUND(_xlfn.NUMBERVALUE(LEFT(G247,FIND(" ",G247&amp;" ")-1),".")*1000,0),99999))</f>
        <v/>
      </c>
      <c r="CC247" s="3">
        <f>IF(R247="profesional",0,IF(O247&lt;CUOTA_VALOR_MAX,IF(AU247&gt;ITP_TRAMO_ALTO,SUMIFS(CF_CUOTA,CF_MAS,ITP_TRAMO_ALTO,CF_CCMIN,"&lt;="&amp;CB247,CF_CCMAX,"&gt;="&amp;CB247),IF(AU247&gt;ITP_TRAMO_BAJO,SUMIFS(CF_CUOTA,CF_MAS,ITP_TRAMO_BAJO,CF_CCMIN,"&lt;="&amp;CB247,CF_CCMAX,"&gt;="&amp;CB247),O247*ITP_TIPO)),O247*ITP_TIPO))</f>
        <v/>
      </c>
      <c r="CD247" s="4">
        <f>IF(R247="profesional",N(AK247),0)</f>
        <v/>
      </c>
      <c r="CE247" s="3">
        <f>IF(AND(R247="profesional",ISNUMBER(AK247),AL247="sí"),0,TASA_DGT)</f>
        <v/>
      </c>
      <c r="CF247" s="3">
        <f>INFORME_DGT</f>
        <v/>
      </c>
      <c r="CG247" s="4">
        <f>O247+CD247+CC247+CE247+CF247</f>
        <v/>
      </c>
      <c r="CH247" s="4">
        <f>CG247+N(BU247)</f>
        <v/>
      </c>
      <c r="CI247" s="3">
        <f>IF(CG247&lt;=TOTAL_MAX,"sí",IF(CG247&lt;=TOTAL_MAX+MARGEN_NEG,"negociar","no"))</f>
        <v/>
      </c>
      <c r="CJ247" s="4">
        <f>IF(CI247&lt;&gt;"no",COUNTIFS($CI$2:$CI$662,"&lt;&gt;no",$CA$2:$CA$662,"&gt;"&amp;CA247)+COUNTIFS($CI$2:CI247,"&lt;&gt;no",$CA$2:CA247,CA247),"")</f>
        <v/>
      </c>
    </row>
    <row r="248">
      <c r="A248" s="2" t="inlineStr">
        <is>
          <t>autoscout24:92c830e4-62a3-48b4-a4f3-381b86572a9a</t>
        </is>
      </c>
      <c r="B248" s="2" t="inlineStr">
        <is>
          <t>autoscout24</t>
        </is>
      </c>
      <c r="C248" s="2" t="inlineStr">
        <is>
          <t>https://www.autoscout24.es/anuncios/chevrolet-kalos-se-kalos-1-2-se-gasolina-rojo-cat_ma19mo18571-92c830e4-62a3-48b4-a4f3-381b86572a9a</t>
        </is>
      </c>
      <c r="D248" s="2" t="inlineStr">
        <is>
          <t>Chevrolet Kalos SE Kalos 1.2 SE</t>
        </is>
      </c>
      <c r="E248" s="2" t="inlineStr">
        <is>
          <t>Chevrolet</t>
        </is>
      </c>
      <c r="F248" s="2" t="inlineStr">
        <is>
          <t>Chevrolet Kalos</t>
        </is>
      </c>
      <c r="G248" s="2" t="inlineStr">
        <is>
          <t>1.1</t>
        </is>
      </c>
      <c r="H248" s="2" t="inlineStr">
        <is>
          <t>SE Kalos 1.2 SE 1.2</t>
        </is>
      </c>
      <c r="I248" s="2" t="n">
        <v>1150</v>
      </c>
      <c r="J248" s="2" t="n">
        <v>72</v>
      </c>
      <c r="K248" s="2" t="inlineStr">
        <is>
          <t>gasolina</t>
        </is>
      </c>
      <c r="L248" s="2" t="inlineStr">
        <is>
          <t>utilitario</t>
        </is>
      </c>
      <c r="M248" s="2" t="n">
        <v>2007</v>
      </c>
      <c r="N248" s="2" t="n">
        <v>121000</v>
      </c>
      <c r="O248" s="2" t="n">
        <v>2999</v>
      </c>
      <c r="P248" s="2" t="inlineStr">
        <is>
          <t>manual</t>
        </is>
      </c>
      <c r="Q248" s="2" t="inlineStr">
        <is>
          <t>no</t>
        </is>
      </c>
      <c r="R248" s="2" t="inlineStr">
        <is>
          <t>particular</t>
        </is>
      </c>
      <c r="S248" s="2" t="inlineStr">
        <is>
          <t>Castelló de la Plana/Castellón de la Plana (12006)</t>
        </is>
      </c>
      <c r="T248" s="2" t="n"/>
      <c r="U248" s="2" t="n">
        <v>5</v>
      </c>
      <c r="V248" s="2" t="n"/>
      <c r="W248" s="2" t="n"/>
      <c r="X248" s="2" t="n"/>
      <c r="Y248" s="2" t="n"/>
      <c r="Z248" s="2" t="n"/>
      <c r="AA248" s="2" t="n"/>
      <c r="AB248" s="2" t="n"/>
      <c r="AC248" s="2" t="n"/>
      <c r="AD248" s="2" t="n"/>
      <c r="AE248" s="2" t="n"/>
      <c r="AF248" s="2" t="n"/>
      <c r="AG248" s="2" t="n"/>
      <c r="AH248" s="2" t="n"/>
      <c r="AI248" s="2" t="n"/>
      <c r="AJ248" s="2" t="n"/>
      <c r="AK248" s="2" t="n"/>
      <c r="AL248" s="2" t="n"/>
      <c r="AM248" s="2" t="n">
        <v>63.9</v>
      </c>
      <c r="AN248" s="2" t="n">
        <v>2999</v>
      </c>
      <c r="AO248" s="2" t="n">
        <v>6</v>
      </c>
      <c r="AP248" s="2" t="inlineStr">
        <is>
          <t>modelo+año</t>
        </is>
      </c>
      <c r="AQ248" s="2" t="inlineStr">
        <is>
          <t>cochesnet:71855343 (https://www.coches.net/chevrolet-kalos-12-se-5p-gasolina-2007-en-castellon-71855343-covo.aspx); cochesnet:71857104 (https://www.coches.net/chevrolet-kalos-12-se-5p-gasolina-2007-en-castellon-71857104-covo.aspx)</t>
        </is>
      </c>
      <c r="AR248" s="2" t="inlineStr">
        <is>
          <t>cuota fija ITP: &gt;12 años, hasta 1.500 cc; fiabilidad del modelo PENDIENTE de fuente (puntuación neutra)</t>
        </is>
      </c>
      <c r="AS248" s="2" t="inlineStr">
        <is>
          <t>Como nuevo atiendo wasap 24h tf 642992935</t>
        </is>
      </c>
      <c r="AT248" s="2" t="inlineStr">
        <is>
          <t>https://www.autoscout24.es/anuncios/chevrolet-kalos-se-kalos-1-2-se-gasolina-rojo-cat_ma19mo18571-92c830e4-62a3-48b4-a4f3-381b86572a9a (__NEXT_DATA__ listingDetails) /home/user/Alopecia/buscador-coches/raw/autoscout24/c4674fa0d17c2d55.json</t>
        </is>
      </c>
      <c r="AU248" s="3">
        <f>MAX(ANIO_ACTUAL-M248,0)</f>
        <v/>
      </c>
      <c r="AV248" s="4">
        <f>N248/MAX(AU248,0.5)</f>
        <v/>
      </c>
      <c r="AW248" s="4">
        <f>F248</f>
        <v/>
      </c>
      <c r="AX248" s="3">
        <f>AW248&amp;"|"&amp;INT(M248/SEG_ANIO)*SEG_ANIO</f>
        <v/>
      </c>
      <c r="AY248" s="3">
        <f>AX248&amp;"|"&amp;INT(N248/SEG_KM)*SEG_KM</f>
        <v/>
      </c>
      <c r="AZ248" s="4">
        <f>COUNTIF($AW$2:$AW$662,AW248)</f>
        <v/>
      </c>
      <c r="BA248" s="4">
        <f>COUNTIF($AX$2:$AX$662,AX248)</f>
        <v/>
      </c>
      <c r="BB248" s="4">
        <f>COUNTIF($AY$2:$AY$662,AY248)</f>
        <v/>
      </c>
      <c r="BC248" s="3">
        <f t="array" ref="BC248">IF(N(AO248)&gt;=MIN_N,AN248,IF(BB248&gt;=MIN_N,MEDIAN(IF($AY$2:$AY$662=AY248,$O$2:$O$662)),IF(BA248&gt;=MIN_N,MEDIAN(IF($AX$2:$AX$662=AX248,$O$2:$O$662)),MEDIAN(IF($AW$2:$AW$662=AW248,$O$2:$O$662)))))</f>
        <v/>
      </c>
      <c r="BD248" s="3">
        <f>IF(N(AO248)&gt;=MIN_N,"mercado "&amp;AP248,IF(BB248&gt;=MIN_N,"modelo+año+km",IF(BA248&gt;=MIN_N,"modelo+año","modelo")))</f>
        <v/>
      </c>
      <c r="BE248" s="4">
        <f>(BC248-O248)/BC248</f>
        <v/>
      </c>
      <c r="BF248" s="3">
        <f>IF(OR(K248="hibrido",K248="glp"),"ECO",IF(K248="electrico","CERO",IF(K248="gasolina",IF(M248&gt;=GAS_C,"C",IF(M248&gt;=GAS_B,"B","A")),IF(K248="diesel",IF(M248&gt;=DIE_C,"C",IF(M248&gt;=DIE_B,"B","A")),""))))</f>
        <v/>
      </c>
      <c r="BG248" s="3">
        <f>IFERROR(VLOOKUP(F248,MOD_TBL,11,0),IFERROR(VLOOKUP(E248,OCU_TBL,2,0),NEUTRO))</f>
        <v/>
      </c>
      <c r="BH248" s="3">
        <f>SUMIFS(MOT_AJUSTE,MOT_MOTOR,G248,MOT_MARCA,E248,MOT_DESDE,"&lt;="&amp;M248,MOT_HASTA,"&gt;="&amp;M248)+SUMIFS(MOT_AJUSTE,MOT_MOTOR,G248,MOT_MARCA,"(todas)",MOT_DESDE,"&lt;="&amp;M248,MOT_HASTA,"&gt;="&amp;M248)</f>
        <v/>
      </c>
      <c r="BI248" s="3">
        <f>SUMIFS(COMB_AJUSTE,COMB_COMB,K248)</f>
        <v/>
      </c>
      <c r="BJ248" s="3">
        <f>COUNTIFS(MOT_MOTOR,G248,MOT_MARCA,E248,MOT_DESDE,"&lt;="&amp;M248,MOT_HASTA,"&gt;="&amp;M248)+COUNTIFS(MOT_MOTOR,G248,MOT_MARCA,"(todas)",MOT_DESDE,"&lt;="&amp;M248,MOT_HASTA,"&gt;="&amp;M248)</f>
        <v/>
      </c>
      <c r="BK248" s="3">
        <f>IF(AND(K248="diesel",BJ248=0),MIN(BG248,NEUTRO),BG248)</f>
        <v/>
      </c>
      <c r="BL248" s="4">
        <f>MAX(0,MIN(100,BK248+BH248+BI248))</f>
        <v/>
      </c>
      <c r="BM248" s="3">
        <f>MAX(0,MIN(100,50+BE248*PRECIO_PEND))</f>
        <v/>
      </c>
      <c r="BN248" s="3">
        <f>MAX(0,100*(1-N248/KM_MAX))</f>
        <v/>
      </c>
      <c r="BO248" s="3">
        <f>IF(AV248&lt;KMA_SOSP,IF(AA248="sí",100,KMA_PEN),IF(AV248&lt;=KMA_IDEAL_MAX,100,MAX(0,100*(KMA_CERO-AV248)/(KMA_CERO-KMA_IDEAL_MAX))))</f>
        <v/>
      </c>
      <c r="BP248" s="3">
        <f>MAX(0,MIN(100,100*(M248-ANIO_MIN)/(ANIO_ACTUAL-ANIO_MIN)))</f>
        <v/>
      </c>
      <c r="BQ248" s="3">
        <f>W_KMT*BN248+W_KMA*BO248+W_EDAD*BP248</f>
        <v/>
      </c>
      <c r="BR248" s="3">
        <f>P_ITV*(V248="sí")+P_LIBRO*(W248="sí")+P_CORREA*(X248="sí")+P_PROP*(Y248=1)+P_GAR*(Z248="sí")+P_FOTOS*MIN(1,N(U248)/FOTOS_OBJ)</f>
        <v/>
      </c>
      <c r="BS248" s="3">
        <f>IFERROR(VLOOKUP(BF248,ETQ_TBL,2,0),NEUTRO)</f>
        <v/>
      </c>
      <c r="BT248" s="3">
        <f>NEUTRO</f>
        <v/>
      </c>
      <c r="BU248" s="3">
        <f>IFERROR(VLOOKUP(L248,SEGURO_TBL,3,0),"")</f>
        <v/>
      </c>
      <c r="BV248" s="3">
        <f>IF(BU248="",NEUTRO,MAX(0,MIN(100,100*(SEG_REF_MAX-BU248)/(SEG_REF_MAX-SEG_REF_MIN))))</f>
        <v/>
      </c>
      <c r="BW248" s="3">
        <f>W_ET*BS248+W_CONS*BT248+W_SEG*BV248</f>
        <v/>
      </c>
      <c r="BX248" s="3">
        <f>IF(N(AB248)&gt;0,AB248,IF(AND(R248="profesional",SG_LEGAL_ON=1),GAR_LEGAL,0))</f>
        <v/>
      </c>
      <c r="BY248" s="3">
        <f>SG_GAR*MIN(1,BX248/SG_GAR_FULL)+SG_AMPL*(AC248="sí")+SG_KMC*(AF248="sí")+SG_REV*(N(AE248)&gt;0)+SG_DEV*MIN(1,N(AG248)/SG_DEV_FULL)+SG_HIST*(W248="sí")</f>
        <v/>
      </c>
      <c r="BZ248" s="3">
        <f>IFERROR(VLOOKUP(L248,CARR_PEN_TBL,2,0),0)</f>
        <v/>
      </c>
      <c r="CA248" s="3">
        <f>W_FIAB*BL248+W_PRECIO*BM248+W_KMEDAD*BQ248+W_ANUNCIO*BR248+W_USO*BW248+W_SEGURIDAD*BY248-BZ248</f>
        <v/>
      </c>
      <c r="CB248" s="4">
        <f>IF(N(I248)&gt;0,I248,IFERROR(ROUND(_xlfn.NUMBERVALUE(LEFT(G248,FIND(" ",G248&amp;" ")-1),".")*1000,0),99999))</f>
        <v/>
      </c>
      <c r="CC248" s="3">
        <f>IF(R248="profesional",0,IF(O248&lt;CUOTA_VALOR_MAX,IF(AU248&gt;ITP_TRAMO_ALTO,SUMIFS(CF_CUOTA,CF_MAS,ITP_TRAMO_ALTO,CF_CCMIN,"&lt;="&amp;CB248,CF_CCMAX,"&gt;="&amp;CB248),IF(AU248&gt;ITP_TRAMO_BAJO,SUMIFS(CF_CUOTA,CF_MAS,ITP_TRAMO_BAJO,CF_CCMIN,"&lt;="&amp;CB248,CF_CCMAX,"&gt;="&amp;CB248),O248*ITP_TIPO)),O248*ITP_TIPO))</f>
        <v/>
      </c>
      <c r="CD248" s="4">
        <f>IF(R248="profesional",N(AK248),0)</f>
        <v/>
      </c>
      <c r="CE248" s="3">
        <f>IF(AND(R248="profesional",ISNUMBER(AK248),AL248="sí"),0,TASA_DGT)</f>
        <v/>
      </c>
      <c r="CF248" s="3">
        <f>INFORME_DGT</f>
        <v/>
      </c>
      <c r="CG248" s="4">
        <f>O248+CD248+CC248+CE248+CF248</f>
        <v/>
      </c>
      <c r="CH248" s="4">
        <f>CG248+N(BU248)</f>
        <v/>
      </c>
      <c r="CI248" s="3">
        <f>IF(CG248&lt;=TOTAL_MAX,"sí",IF(CG248&lt;=TOTAL_MAX+MARGEN_NEG,"negociar","no"))</f>
        <v/>
      </c>
      <c r="CJ248" s="4">
        <f>IF(CI248&lt;&gt;"no",COUNTIFS($CI$2:$CI$662,"&lt;&gt;no",$CA$2:$CA$662,"&gt;"&amp;CA248)+COUNTIFS($CI$2:CI248,"&lt;&gt;no",$CA$2:CA248,CA248),"")</f>
        <v/>
      </c>
    </row>
    <row r="249">
      <c r="A249" s="2" t="inlineStr">
        <is>
          <t>autoscout24:71abdbb4-80a2-4744-b90c-ca00a2a9d98c</t>
        </is>
      </c>
      <c r="B249" s="2" t="inlineStr">
        <is>
          <t>autoscout24</t>
        </is>
      </c>
      <c r="C249" s="2" t="inlineStr">
        <is>
          <t>https://www.autoscout24.es/anuncios/chevrolet-cruze-2-0vcdi-lt+-clima-diesel-blanco-cat_ma19mo19172-71abdbb4-80a2-4744-b90c-ca00a2a9d98c</t>
        </is>
      </c>
      <c r="D249" s="2" t="inlineStr">
        <is>
          <t>Chevrolet Cruze 2.0VCDi LT+ Clima</t>
        </is>
      </c>
      <c r="E249" s="2" t="inlineStr">
        <is>
          <t>Chevrolet</t>
        </is>
      </c>
      <c r="F249" s="2" t="inlineStr">
        <is>
          <t>Chevrolet Cruze</t>
        </is>
      </c>
      <c r="G249" s="2" t="inlineStr">
        <is>
          <t>2.0</t>
        </is>
      </c>
      <c r="H249" s="2" t="inlineStr">
        <is>
          <t>2.0VCDi LT+ Clima 2.0TD</t>
        </is>
      </c>
      <c r="I249" s="2" t="n">
        <v>1998</v>
      </c>
      <c r="J249" s="2" t="n">
        <v>163</v>
      </c>
      <c r="K249" s="2" t="inlineStr">
        <is>
          <t>diesel</t>
        </is>
      </c>
      <c r="L249" s="2" t="inlineStr">
        <is>
          <t>compacto</t>
        </is>
      </c>
      <c r="M249" s="2" t="n">
        <v>2012</v>
      </c>
      <c r="N249" s="2" t="n">
        <v>176000</v>
      </c>
      <c r="O249" s="2" t="n">
        <v>4990</v>
      </c>
      <c r="P249" s="2" t="inlineStr">
        <is>
          <t>manual</t>
        </is>
      </c>
      <c r="Q249" s="2" t="inlineStr">
        <is>
          <t>no</t>
        </is>
      </c>
      <c r="R249" s="2" t="inlineStr">
        <is>
          <t>profesional</t>
        </is>
      </c>
      <c r="S249" s="2" t="inlineStr">
        <is>
          <t>SAGA VEHICULOS — MASSANASSA (46470)</t>
        </is>
      </c>
      <c r="T249" s="2" t="n"/>
      <c r="U249" s="2" t="n">
        <v>26</v>
      </c>
      <c r="V249" s="2" t="n"/>
      <c r="W249" s="2" t="n"/>
      <c r="X249" s="2" t="n"/>
      <c r="Y249" s="2" t="n"/>
      <c r="Z249" s="2" t="inlineStr">
        <is>
          <t>sí</t>
        </is>
      </c>
      <c r="AA249" s="2" t="n"/>
      <c r="AB249" s="2" t="n">
        <v>12</v>
      </c>
      <c r="AC249" s="2" t="inlineStr">
        <is>
          <t>sí</t>
        </is>
      </c>
      <c r="AD249" s="2" t="n"/>
      <c r="AE249" s="2" t="n"/>
      <c r="AF249" s="2" t="n"/>
      <c r="AG249" s="2" t="n"/>
      <c r="AH249" s="2" t="n"/>
      <c r="AI249" s="2" t="n"/>
      <c r="AJ249" s="2" t="n"/>
      <c r="AK249" s="2" t="n">
        <v>350</v>
      </c>
      <c r="AL249" s="2" t="inlineStr">
        <is>
          <t>no</t>
        </is>
      </c>
      <c r="AM249" s="2" t="n">
        <v>7.1</v>
      </c>
      <c r="AN249" s="2" t="n">
        <v>4990</v>
      </c>
      <c r="AO249" s="2" t="n">
        <v>4</v>
      </c>
      <c r="AP249" s="2" t="inlineStr">
        <is>
          <t>modelo+año+km</t>
        </is>
      </c>
      <c r="AQ249" s="2" t="inlineStr">
        <is>
          <t>cochesnet:71786529 (https://www.coches.net/chevrolet-cruze-20-vcdi-lt-5p-diesel-2013-en-valencia-71786529-covo.aspx)</t>
        </is>
      </c>
      <c r="AR249" s="2" t="inlineStr">
        <is>
          <t>vendedor profesional: sin ITP (operación con IVA/REBU, confirmar en factura); gastos del vendedor sin indicar si incluyen la transferencia: se suma la tasa DGT; diésel: motor sin fuente de fiabilidad (fiabilidad limitada a neutra); fiabilidad del modelo PENDIENTE de fuente (puntuación neutra)</t>
        </is>
      </c>
      <c r="AS249" s="2" t="inlineStr">
        <is>
          <t>Chevrolet Cruze LT+ 2.0, Diésel, 163CV,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Control de estabilidad ESP&lt;br /&gt;- Airbags&lt;br /&gt;- Control de crucero&lt;br /&gt;- Ordenador abordo&lt;br /&gt;- Sistema multimedia Bluetooth&lt;br /&gt;- Sensores Park-Distance-Control (PDC)&lt;br /&gt;- Llaves con mandos a distancia y mucho mas....&lt;br /&gt;Este anuncio no es vinculante, se muestra a titulo informativo y no contractual.&lt;br /&gt;&lt;br /&gt;&lt;br /&gt;</t>
        </is>
      </c>
      <c r="AT249" s="2" t="inlineStr">
        <is>
          <t>https://www.autoscout24.es/anuncios/chevrolet-cruze-2-0vcdi-lt+-clima-diesel-blanco-cat_ma19mo19172-71abdbb4-80a2-4744-b90c-ca00a2a9d98c (__NEXT_DATA__ listingDetails) /home/user/Alopecia/buscador-coches/raw/autoscout24/dec541213f61ae4d.json</t>
        </is>
      </c>
      <c r="AU249" s="3">
        <f>MAX(ANIO_ACTUAL-M249,0)</f>
        <v/>
      </c>
      <c r="AV249" s="4">
        <f>N249/MAX(AU249,0.5)</f>
        <v/>
      </c>
      <c r="AW249" s="4">
        <f>F249</f>
        <v/>
      </c>
      <c r="AX249" s="3">
        <f>AW249&amp;"|"&amp;INT(M249/SEG_ANIO)*SEG_ANIO</f>
        <v/>
      </c>
      <c r="AY249" s="3">
        <f>AX249&amp;"|"&amp;INT(N249/SEG_KM)*SEG_KM</f>
        <v/>
      </c>
      <c r="AZ249" s="4">
        <f>COUNTIF($AW$2:$AW$662,AW249)</f>
        <v/>
      </c>
      <c r="BA249" s="4">
        <f>COUNTIF($AX$2:$AX$662,AX249)</f>
        <v/>
      </c>
      <c r="BB249" s="4">
        <f>COUNTIF($AY$2:$AY$662,AY249)</f>
        <v/>
      </c>
      <c r="BC249" s="3">
        <f t="array" ref="BC249">IF(N(AO249)&gt;=MIN_N,AN249,IF(BB249&gt;=MIN_N,MEDIAN(IF($AY$2:$AY$662=AY249,$O$2:$O$662)),IF(BA249&gt;=MIN_N,MEDIAN(IF($AX$2:$AX$662=AX249,$O$2:$O$662)),MEDIAN(IF($AW$2:$AW$662=AW249,$O$2:$O$662)))))</f>
        <v/>
      </c>
      <c r="BD249" s="3">
        <f>IF(N(AO249)&gt;=MIN_N,"mercado "&amp;AP249,IF(BB249&gt;=MIN_N,"modelo+año+km",IF(BA249&gt;=MIN_N,"modelo+año","modelo")))</f>
        <v/>
      </c>
      <c r="BE249" s="4">
        <f>(BC249-O249)/BC249</f>
        <v/>
      </c>
      <c r="BF249" s="3">
        <f>IF(OR(K249="hibrido",K249="glp"),"ECO",IF(K249="electrico","CERO",IF(K249="gasolina",IF(M249&gt;=GAS_C,"C",IF(M249&gt;=GAS_B,"B","A")),IF(K249="diesel",IF(M249&gt;=DIE_C,"C",IF(M249&gt;=DIE_B,"B","A")),""))))</f>
        <v/>
      </c>
      <c r="BG249" s="3">
        <f>IFERROR(VLOOKUP(F249,MOD_TBL,11,0),IFERROR(VLOOKUP(E249,OCU_TBL,2,0),NEUTRO))</f>
        <v/>
      </c>
      <c r="BH249" s="3">
        <f>SUMIFS(MOT_AJUSTE,MOT_MOTOR,G249,MOT_MARCA,E249,MOT_DESDE,"&lt;="&amp;M249,MOT_HASTA,"&gt;="&amp;M249)+SUMIFS(MOT_AJUSTE,MOT_MOTOR,G249,MOT_MARCA,"(todas)",MOT_DESDE,"&lt;="&amp;M249,MOT_HASTA,"&gt;="&amp;M249)</f>
        <v/>
      </c>
      <c r="BI249" s="3">
        <f>SUMIFS(COMB_AJUSTE,COMB_COMB,K249)</f>
        <v/>
      </c>
      <c r="BJ249" s="3">
        <f>COUNTIFS(MOT_MOTOR,G249,MOT_MARCA,E249,MOT_DESDE,"&lt;="&amp;M249,MOT_HASTA,"&gt;="&amp;M249)+COUNTIFS(MOT_MOTOR,G249,MOT_MARCA,"(todas)",MOT_DESDE,"&lt;="&amp;M249,MOT_HASTA,"&gt;="&amp;M249)</f>
        <v/>
      </c>
      <c r="BK249" s="3">
        <f>IF(AND(K249="diesel",BJ249=0),MIN(BG249,NEUTRO),BG249)</f>
        <v/>
      </c>
      <c r="BL249" s="4">
        <f>MAX(0,MIN(100,BK249+BH249+BI249))</f>
        <v/>
      </c>
      <c r="BM249" s="3">
        <f>MAX(0,MIN(100,50+BE249*PRECIO_PEND))</f>
        <v/>
      </c>
      <c r="BN249" s="3">
        <f>MAX(0,100*(1-N249/KM_MAX))</f>
        <v/>
      </c>
      <c r="BO249" s="3">
        <f>IF(AV249&lt;KMA_SOSP,IF(AA249="sí",100,KMA_PEN),IF(AV249&lt;=KMA_IDEAL_MAX,100,MAX(0,100*(KMA_CERO-AV249)/(KMA_CERO-KMA_IDEAL_MAX))))</f>
        <v/>
      </c>
      <c r="BP249" s="3">
        <f>MAX(0,MIN(100,100*(M249-ANIO_MIN)/(ANIO_ACTUAL-ANIO_MIN)))</f>
        <v/>
      </c>
      <c r="BQ249" s="3">
        <f>W_KMT*BN249+W_KMA*BO249+W_EDAD*BP249</f>
        <v/>
      </c>
      <c r="BR249" s="3">
        <f>P_ITV*(V249="sí")+P_LIBRO*(W249="sí")+P_CORREA*(X249="sí")+P_PROP*(Y249=1)+P_GAR*(Z249="sí")+P_FOTOS*MIN(1,N(U249)/FOTOS_OBJ)</f>
        <v/>
      </c>
      <c r="BS249" s="3">
        <f>IFERROR(VLOOKUP(BF249,ETQ_TBL,2,0),NEUTRO)</f>
        <v/>
      </c>
      <c r="BT249" s="3">
        <f>NEUTRO</f>
        <v/>
      </c>
      <c r="BU249" s="3">
        <f>IFERROR(VLOOKUP(L249,SEGURO_TBL,3,0),"")</f>
        <v/>
      </c>
      <c r="BV249" s="3">
        <f>IF(BU249="",NEUTRO,MAX(0,MIN(100,100*(SEG_REF_MAX-BU249)/(SEG_REF_MAX-SEG_REF_MIN))))</f>
        <v/>
      </c>
      <c r="BW249" s="3">
        <f>W_ET*BS249+W_CONS*BT249+W_SEG*BV249</f>
        <v/>
      </c>
      <c r="BX249" s="3">
        <f>IF(N(AB249)&gt;0,AB249,IF(AND(R249="profesional",SG_LEGAL_ON=1),GAR_LEGAL,0))</f>
        <v/>
      </c>
      <c r="BY249" s="3">
        <f>SG_GAR*MIN(1,BX249/SG_GAR_FULL)+SG_AMPL*(AC249="sí")+SG_KMC*(AF249="sí")+SG_REV*(N(AE249)&gt;0)+SG_DEV*MIN(1,N(AG249)/SG_DEV_FULL)+SG_HIST*(W249="sí")</f>
        <v/>
      </c>
      <c r="BZ249" s="3">
        <f>IFERROR(VLOOKUP(L249,CARR_PEN_TBL,2,0),0)</f>
        <v/>
      </c>
      <c r="CA249" s="3">
        <f>W_FIAB*BL249+W_PRECIO*BM249+W_KMEDAD*BQ249+W_ANUNCIO*BR249+W_USO*BW249+W_SEGURIDAD*BY249-BZ249</f>
        <v/>
      </c>
      <c r="CB249" s="4">
        <f>IF(N(I249)&gt;0,I249,IFERROR(ROUND(_xlfn.NUMBERVALUE(LEFT(G249,FIND(" ",G249&amp;" ")-1),".")*1000,0),99999))</f>
        <v/>
      </c>
      <c r="CC249" s="3">
        <f>IF(R249="profesional",0,IF(O249&lt;CUOTA_VALOR_MAX,IF(AU249&gt;ITP_TRAMO_ALTO,SUMIFS(CF_CUOTA,CF_MAS,ITP_TRAMO_ALTO,CF_CCMIN,"&lt;="&amp;CB249,CF_CCMAX,"&gt;="&amp;CB249),IF(AU249&gt;ITP_TRAMO_BAJO,SUMIFS(CF_CUOTA,CF_MAS,ITP_TRAMO_BAJO,CF_CCMIN,"&lt;="&amp;CB249,CF_CCMAX,"&gt;="&amp;CB249),O249*ITP_TIPO)),O249*ITP_TIPO))</f>
        <v/>
      </c>
      <c r="CD249" s="4">
        <f>IF(R249="profesional",N(AK249),0)</f>
        <v/>
      </c>
      <c r="CE249" s="3">
        <f>IF(AND(R249="profesional",ISNUMBER(AK249),AL249="sí"),0,TASA_DGT)</f>
        <v/>
      </c>
      <c r="CF249" s="3">
        <f>INFORME_DGT</f>
        <v/>
      </c>
      <c r="CG249" s="4">
        <f>O249+CD249+CC249+CE249+CF249</f>
        <v/>
      </c>
      <c r="CH249" s="4">
        <f>CG249+N(BU249)</f>
        <v/>
      </c>
      <c r="CI249" s="3">
        <f>IF(CG249&lt;=TOTAL_MAX,"sí",IF(CG249&lt;=TOTAL_MAX+MARGEN_NEG,"negociar","no"))</f>
        <v/>
      </c>
      <c r="CJ249" s="4">
        <f>IF(CI249&lt;&gt;"no",COUNTIFS($CI$2:$CI$662,"&lt;&gt;no",$CA$2:$CA$662,"&gt;"&amp;CA249)+COUNTIFS($CI$2:CI249,"&lt;&gt;no",$CA$2:CA249,CA249),"")</f>
        <v/>
      </c>
    </row>
    <row r="250">
      <c r="A250" s="2" t="inlineStr">
        <is>
          <t>autoscout24:3c813df0-fdf9-4779-88cc-cd1d22b47c92</t>
        </is>
      </c>
      <c r="B250" s="2" t="inlineStr">
        <is>
          <t>autoscout24</t>
        </is>
      </c>
      <c r="C250" s="2" t="inlineStr">
        <is>
          <t>https://www.autoscout24.es/anuncios/chevrolet-kalos-1-4-16v-sx-gasolina-rojo-cat_ma19mo18571-3c813df0-fdf9-4779-88cc-cd1d22b47c92</t>
        </is>
      </c>
      <c r="D250" s="2" t="inlineStr">
        <is>
          <t>Chevrolet Kalos 1.4 16v SX</t>
        </is>
      </c>
      <c r="E250" s="2" t="inlineStr">
        <is>
          <t>Chevrolet</t>
        </is>
      </c>
      <c r="F250" s="2" t="inlineStr">
        <is>
          <t>Chevrolet Kalos</t>
        </is>
      </c>
      <c r="G250" s="2" t="inlineStr">
        <is>
          <t>1.4</t>
        </is>
      </c>
      <c r="H250" s="2" t="inlineStr">
        <is>
          <t>1.4 16v SX 1.4</t>
        </is>
      </c>
      <c r="I250" s="2" t="n">
        <v>1399</v>
      </c>
      <c r="J250" s="2" t="n">
        <v>94</v>
      </c>
      <c r="K250" s="2" t="inlineStr">
        <is>
          <t>gasolina</t>
        </is>
      </c>
      <c r="L250" s="2" t="inlineStr">
        <is>
          <t>utilitario</t>
        </is>
      </c>
      <c r="M250" s="2" t="n">
        <v>2006</v>
      </c>
      <c r="N250" s="2" t="n">
        <v>100200</v>
      </c>
      <c r="O250" s="2" t="n">
        <v>3990</v>
      </c>
      <c r="P250" s="2" t="inlineStr">
        <is>
          <t>manual</t>
        </is>
      </c>
      <c r="Q250" s="2" t="inlineStr">
        <is>
          <t>no</t>
        </is>
      </c>
      <c r="R250" s="2" t="inlineStr">
        <is>
          <t>profesional</t>
        </is>
      </c>
      <c r="S250" s="2" t="inlineStr">
        <is>
          <t>SAGA VEHICULOS — MASSANASSA (46470)</t>
        </is>
      </c>
      <c r="T250" s="2" t="n"/>
      <c r="U250" s="2" t="n">
        <v>27</v>
      </c>
      <c r="V250" s="2" t="n"/>
      <c r="W250" s="2" t="n"/>
      <c r="X250" s="2" t="n"/>
      <c r="Y250" s="2" t="n"/>
      <c r="Z250" s="2" t="inlineStr">
        <is>
          <t>sí</t>
        </is>
      </c>
      <c r="AA250" s="2" t="n"/>
      <c r="AB250" s="2" t="n">
        <v>12</v>
      </c>
      <c r="AC250" s="2" t="inlineStr">
        <is>
          <t>sí</t>
        </is>
      </c>
      <c r="AD250" s="2" t="n"/>
      <c r="AE250" s="2" t="n"/>
      <c r="AF250" s="2" t="n"/>
      <c r="AG250" s="2" t="n"/>
      <c r="AH250" s="2" t="n"/>
      <c r="AI250" s="2" t="n"/>
      <c r="AJ250" s="2" t="n"/>
      <c r="AK250" s="2" t="n">
        <v>350</v>
      </c>
      <c r="AL250" s="2" t="inlineStr">
        <is>
          <t>no</t>
        </is>
      </c>
      <c r="AM250" s="2" t="n">
        <v>7.1</v>
      </c>
      <c r="AN250" s="2" t="n"/>
      <c r="AO250" s="2" t="n"/>
      <c r="AP250" s="2" t="n"/>
      <c r="AQ250" s="2" t="inlineStr">
        <is>
          <t>cochesnet:71757437 (https://www.coches.net/chevrolet-kalos-14-16v-sx-5p-gasolina-2007-en-valencia-71757437-covo.aspx)</t>
        </is>
      </c>
      <c r="AR250" s="2" t="inlineStr">
        <is>
          <t>vendedor profesional: sin ITP (operación con IVA/REBU, confirmar en factura); gastos del vendedor sin indicar si incluyen la transferencia: se suma la tasa DGT; fiabilidad del modelo PENDIENTE de fuente (puntuación neutra)</t>
        </is>
      </c>
      <c r="AS250" s="2" t="inlineStr">
        <is>
          <t>Chevrolet Kalos 1.4 SX, 95CV, Gasolina, unico proprietario, vehículo muy bien cuidado.&lt;br /&gt;&lt;br /&gt;Más de 100 coches en stock, Por favor llámenos para más información, atendemos SOLO CON CITA PREVIA. Gracias!!!!&lt;br /&gt;&lt;br /&gt;Financiacíon de hasta el 100% del vehículo!&lt;br /&gt;&lt;br /&gt;Gestión documental no incluido 350€ &lt;br /&gt;Garantía Premium 12 Meses con cobertura a nivel nacional 399€&lt;br /&gt;&lt;br /&gt;Saga Vehículos, estamos en C/ Motor Sant Agustí, 41, 46470 Massanassa, Valencia.&lt;br /&gt;Horario: De lunes a viernes de 10:00 a 14:00 y de 16:00 a 19:00.&lt;br /&gt;Sabado de 10:00 a 14:00.&lt;br /&gt;&lt;br /&gt;- Aire acondicionado&lt;br /&gt;- Dirección asistida&lt;br /&gt;- Frenos ABS/EBD&lt;br /&gt;- Airbags&lt;br /&gt;- Ordenador abordo&lt;br /&gt;- Sistema radio CD/MP3/USB&lt;br /&gt;- Llaves presencial con mandos a distancia y mucho mas....&lt;br /&gt;&lt;br /&gt;Este anuncio no es vinculante, se muestra a titulo informativo y no contractual.&lt;br /&gt;&lt;br /&gt;&lt;br /&gt;</t>
        </is>
      </c>
      <c r="AT250" s="2" t="inlineStr">
        <is>
          <t>https://www.autoscout24.es/anuncios/chevrolet-kalos-1-4-16v-sx-gasolina-rojo-cat_ma19mo18571-3c813df0-fdf9-4779-88cc-cd1d22b47c92 (__NEXT_DATA__ listingDetails) /home/user/Alopecia/buscador-coches/raw/autoscout24/dc52bdb9f92182d8.json</t>
        </is>
      </c>
      <c r="AU250" s="3">
        <f>MAX(ANIO_ACTUAL-M250,0)</f>
        <v/>
      </c>
      <c r="AV250" s="4">
        <f>N250/MAX(AU250,0.5)</f>
        <v/>
      </c>
      <c r="AW250" s="4">
        <f>F250</f>
        <v/>
      </c>
      <c r="AX250" s="3">
        <f>AW250&amp;"|"&amp;INT(M250/SEG_ANIO)*SEG_ANIO</f>
        <v/>
      </c>
      <c r="AY250" s="3">
        <f>AX250&amp;"|"&amp;INT(N250/SEG_KM)*SEG_KM</f>
        <v/>
      </c>
      <c r="AZ250" s="4">
        <f>COUNTIF($AW$2:$AW$662,AW250)</f>
        <v/>
      </c>
      <c r="BA250" s="4">
        <f>COUNTIF($AX$2:$AX$662,AX250)</f>
        <v/>
      </c>
      <c r="BB250" s="4">
        <f>COUNTIF($AY$2:$AY$662,AY250)</f>
        <v/>
      </c>
      <c r="BC250" s="3">
        <f t="array" ref="BC250">IF(N(AO250)&gt;=MIN_N,AN250,IF(BB250&gt;=MIN_N,MEDIAN(IF($AY$2:$AY$662=AY250,$O$2:$O$662)),IF(BA250&gt;=MIN_N,MEDIAN(IF($AX$2:$AX$662=AX250,$O$2:$O$662)),MEDIAN(IF($AW$2:$AW$662=AW250,$O$2:$O$662)))))</f>
        <v/>
      </c>
      <c r="BD250" s="3">
        <f>IF(N(AO250)&gt;=MIN_N,"mercado "&amp;AP250,IF(BB250&gt;=MIN_N,"modelo+año+km",IF(BA250&gt;=MIN_N,"modelo+año","modelo")))</f>
        <v/>
      </c>
      <c r="BE250" s="4">
        <f>(BC250-O250)/BC250</f>
        <v/>
      </c>
      <c r="BF250" s="3">
        <f>IF(OR(K250="hibrido",K250="glp"),"ECO",IF(K250="electrico","CERO",IF(K250="gasolina",IF(M250&gt;=GAS_C,"C",IF(M250&gt;=GAS_B,"B","A")),IF(K250="diesel",IF(M250&gt;=DIE_C,"C",IF(M250&gt;=DIE_B,"B","A")),""))))</f>
        <v/>
      </c>
      <c r="BG250" s="3">
        <f>IFERROR(VLOOKUP(F250,MOD_TBL,11,0),IFERROR(VLOOKUP(E250,OCU_TBL,2,0),NEUTRO))</f>
        <v/>
      </c>
      <c r="BH250" s="3">
        <f>SUMIFS(MOT_AJUSTE,MOT_MOTOR,G250,MOT_MARCA,E250,MOT_DESDE,"&lt;="&amp;M250,MOT_HASTA,"&gt;="&amp;M250)+SUMIFS(MOT_AJUSTE,MOT_MOTOR,G250,MOT_MARCA,"(todas)",MOT_DESDE,"&lt;="&amp;M250,MOT_HASTA,"&gt;="&amp;M250)</f>
        <v/>
      </c>
      <c r="BI250" s="3">
        <f>SUMIFS(COMB_AJUSTE,COMB_COMB,K250)</f>
        <v/>
      </c>
      <c r="BJ250" s="3">
        <f>COUNTIFS(MOT_MOTOR,G250,MOT_MARCA,E250,MOT_DESDE,"&lt;="&amp;M250,MOT_HASTA,"&gt;="&amp;M250)+COUNTIFS(MOT_MOTOR,G250,MOT_MARCA,"(todas)",MOT_DESDE,"&lt;="&amp;M250,MOT_HASTA,"&gt;="&amp;M250)</f>
        <v/>
      </c>
      <c r="BK250" s="3">
        <f>IF(AND(K250="diesel",BJ250=0),MIN(BG250,NEUTRO),BG250)</f>
        <v/>
      </c>
      <c r="BL250" s="4">
        <f>MAX(0,MIN(100,BK250+BH250+BI250))</f>
        <v/>
      </c>
      <c r="BM250" s="3">
        <f>MAX(0,MIN(100,50+BE250*PRECIO_PEND))</f>
        <v/>
      </c>
      <c r="BN250" s="3">
        <f>MAX(0,100*(1-N250/KM_MAX))</f>
        <v/>
      </c>
      <c r="BO250" s="3">
        <f>IF(AV250&lt;KMA_SOSP,IF(AA250="sí",100,KMA_PEN),IF(AV250&lt;=KMA_IDEAL_MAX,100,MAX(0,100*(KMA_CERO-AV250)/(KMA_CERO-KMA_IDEAL_MAX))))</f>
        <v/>
      </c>
      <c r="BP250" s="3">
        <f>MAX(0,MIN(100,100*(M250-ANIO_MIN)/(ANIO_ACTUAL-ANIO_MIN)))</f>
        <v/>
      </c>
      <c r="BQ250" s="3">
        <f>W_KMT*BN250+W_KMA*BO250+W_EDAD*BP250</f>
        <v/>
      </c>
      <c r="BR250" s="3">
        <f>P_ITV*(V250="sí")+P_LIBRO*(W250="sí")+P_CORREA*(X250="sí")+P_PROP*(Y250=1)+P_GAR*(Z250="sí")+P_FOTOS*MIN(1,N(U250)/FOTOS_OBJ)</f>
        <v/>
      </c>
      <c r="BS250" s="3">
        <f>IFERROR(VLOOKUP(BF250,ETQ_TBL,2,0),NEUTRO)</f>
        <v/>
      </c>
      <c r="BT250" s="3">
        <f>NEUTRO</f>
        <v/>
      </c>
      <c r="BU250" s="3">
        <f>IFERROR(VLOOKUP(L250,SEGURO_TBL,3,0),"")</f>
        <v/>
      </c>
      <c r="BV250" s="3">
        <f>IF(BU250="",NEUTRO,MAX(0,MIN(100,100*(SEG_REF_MAX-BU250)/(SEG_REF_MAX-SEG_REF_MIN))))</f>
        <v/>
      </c>
      <c r="BW250" s="3">
        <f>W_ET*BS250+W_CONS*BT250+W_SEG*BV250</f>
        <v/>
      </c>
      <c r="BX250" s="3">
        <f>IF(N(AB250)&gt;0,AB250,IF(AND(R250="profesional",SG_LEGAL_ON=1),GAR_LEGAL,0))</f>
        <v/>
      </c>
      <c r="BY250" s="3">
        <f>SG_GAR*MIN(1,BX250/SG_GAR_FULL)+SG_AMPL*(AC250="sí")+SG_KMC*(AF250="sí")+SG_REV*(N(AE250)&gt;0)+SG_DEV*MIN(1,N(AG250)/SG_DEV_FULL)+SG_HIST*(W250="sí")</f>
        <v/>
      </c>
      <c r="BZ250" s="3">
        <f>IFERROR(VLOOKUP(L250,CARR_PEN_TBL,2,0),0)</f>
        <v/>
      </c>
      <c r="CA250" s="3">
        <f>W_FIAB*BL250+W_PRECIO*BM250+W_KMEDAD*BQ250+W_ANUNCIO*BR250+W_USO*BW250+W_SEGURIDAD*BY250-BZ250</f>
        <v/>
      </c>
      <c r="CB250" s="4">
        <f>IF(N(I250)&gt;0,I250,IFERROR(ROUND(_xlfn.NUMBERVALUE(LEFT(G250,FIND(" ",G250&amp;" ")-1),".")*1000,0),99999))</f>
        <v/>
      </c>
      <c r="CC250" s="3">
        <f>IF(R250="profesional",0,IF(O250&lt;CUOTA_VALOR_MAX,IF(AU250&gt;ITP_TRAMO_ALTO,SUMIFS(CF_CUOTA,CF_MAS,ITP_TRAMO_ALTO,CF_CCMIN,"&lt;="&amp;CB250,CF_CCMAX,"&gt;="&amp;CB250),IF(AU250&gt;ITP_TRAMO_BAJO,SUMIFS(CF_CUOTA,CF_MAS,ITP_TRAMO_BAJO,CF_CCMIN,"&lt;="&amp;CB250,CF_CCMAX,"&gt;="&amp;CB250),O250*ITP_TIPO)),O250*ITP_TIPO))</f>
        <v/>
      </c>
      <c r="CD250" s="4">
        <f>IF(R250="profesional",N(AK250),0)</f>
        <v/>
      </c>
      <c r="CE250" s="3">
        <f>IF(AND(R250="profesional",ISNUMBER(AK250),AL250="sí"),0,TASA_DGT)</f>
        <v/>
      </c>
      <c r="CF250" s="3">
        <f>INFORME_DGT</f>
        <v/>
      </c>
      <c r="CG250" s="4">
        <f>O250+CD250+CC250+CE250+CF250</f>
        <v/>
      </c>
      <c r="CH250" s="4">
        <f>CG250+N(BU250)</f>
        <v/>
      </c>
      <c r="CI250" s="3">
        <f>IF(CG250&lt;=TOTAL_MAX,"sí",IF(CG250&lt;=TOTAL_MAX+MARGEN_NEG,"negociar","no"))</f>
        <v/>
      </c>
      <c r="CJ250" s="4">
        <f>IF(CI250&lt;&gt;"no",COUNTIFS($CI$2:$CI$662,"&lt;&gt;no",$CA$2:$CA$662,"&gt;"&amp;CA250)+COUNTIFS($CI$2:CI250,"&lt;&gt;no",$CA$2:CA250,CA250),"")</f>
        <v/>
      </c>
    </row>
    <row r="251">
      <c r="A251" s="2" t="inlineStr">
        <is>
          <t>autoscout24:cb92863f-e240-4427-af20-4d726bf3e8c3</t>
        </is>
      </c>
      <c r="B251" s="2" t="inlineStr">
        <is>
          <t>autoscout24</t>
        </is>
      </c>
      <c r="C251" s="2" t="inlineStr">
        <is>
          <t>https://www.autoscout24.es/anuncios/chevrolet-aveo-1-2-16v-ls-gasolina-blanco-cat_ma19mo18685-cb92863f-e240-4427-af20-4d726bf3e8c3</t>
        </is>
      </c>
      <c r="D251" s="2" t="inlineStr">
        <is>
          <t>Chevrolet Aveo 1.2 16v LS</t>
        </is>
      </c>
      <c r="E251" s="2" t="inlineStr">
        <is>
          <t>Chevrolet</t>
        </is>
      </c>
      <c r="F251" s="2" t="inlineStr">
        <is>
          <t>Chevrolet Aveo</t>
        </is>
      </c>
      <c r="G251" s="2" t="inlineStr">
        <is>
          <t>1.2</t>
        </is>
      </c>
      <c r="H251" s="2" t="inlineStr">
        <is>
          <t>1.2 16v LS 1.2</t>
        </is>
      </c>
      <c r="I251" s="2" t="n">
        <v>1229</v>
      </c>
      <c r="J251" s="2" t="n">
        <v>86</v>
      </c>
      <c r="K251" s="2" t="inlineStr">
        <is>
          <t>gasolina</t>
        </is>
      </c>
      <c r="L251" s="2" t="inlineStr">
        <is>
          <t>utilitario</t>
        </is>
      </c>
      <c r="M251" s="2" t="n">
        <v>2011</v>
      </c>
      <c r="N251" s="2" t="n">
        <v>66000</v>
      </c>
      <c r="O251" s="2" t="n">
        <v>4990</v>
      </c>
      <c r="P251" s="2" t="inlineStr">
        <is>
          <t>manual</t>
        </is>
      </c>
      <c r="Q251" s="2" t="inlineStr">
        <is>
          <t>no</t>
        </is>
      </c>
      <c r="R251" s="2" t="inlineStr">
        <is>
          <t>profesional</t>
        </is>
      </c>
      <c r="S251" s="2" t="inlineStr">
        <is>
          <t>SAGA VEHICULOS — MASSANASSA (46470)</t>
        </is>
      </c>
      <c r="T251" s="2" t="n"/>
      <c r="U251" s="2" t="n">
        <v>24</v>
      </c>
      <c r="V251" s="2" t="n"/>
      <c r="W251" s="2" t="n"/>
      <c r="X251" s="2" t="n"/>
      <c r="Y251" s="2" t="n"/>
      <c r="Z251" s="2" t="inlineStr">
        <is>
          <t>sí</t>
        </is>
      </c>
      <c r="AA251" s="2" t="n"/>
      <c r="AB251" s="2" t="n">
        <v>12</v>
      </c>
      <c r="AC251" s="2" t="inlineStr">
        <is>
          <t>sí</t>
        </is>
      </c>
      <c r="AD251" s="2" t="n"/>
      <c r="AE251" s="2" t="n"/>
      <c r="AF251" s="2" t="n"/>
      <c r="AG251" s="2" t="n"/>
      <c r="AH251" s="2" t="n"/>
      <c r="AI251" s="2" t="n"/>
      <c r="AJ251" s="2" t="n"/>
      <c r="AK251" s="2" t="n">
        <v>350</v>
      </c>
      <c r="AL251" s="2" t="inlineStr">
        <is>
          <t>no</t>
        </is>
      </c>
      <c r="AM251" s="2" t="n">
        <v>7.1</v>
      </c>
      <c r="AN251" s="2" t="n">
        <v>4990</v>
      </c>
      <c r="AO251" s="2" t="n">
        <v>5</v>
      </c>
      <c r="AP251" s="2" t="inlineStr">
        <is>
          <t>modelo+año+km</t>
        </is>
      </c>
      <c r="AQ251" s="2" t="inlineStr">
        <is>
          <t>cochesnet:71574866 (https://www.coches.net/chevrolet-aveo-12-ls-5p-gasolina-2012-en-valencia-71574866-covo.aspx)</t>
        </is>
      </c>
      <c r="AR251" s="2" t="inlineStr">
        <is>
          <t>vendedor profesional: sin ITP (operación con IVA/REBU, confirmar en factura); gastos del vendedor sin indicar si incluyen la transferencia: se suma la tasa DGT; fiabilidad del modelo PENDIENTE de fuente (puntuación neutra)</t>
        </is>
      </c>
      <c r="AS251" s="2" t="inlineStr">
        <is>
          <t>Chevrolet Aveo 1.2 LS, 85CV, Gasolina, vehículo muy bien cuidado.&lt;br /&gt;Más de 100 coches en stock, Por favor llámenos para más información, atendemos SOLO CON CITA PREVIA. Gracias!!!!&lt;br /&gt;Financiacíon de hasta el 100% del vehículo!&lt;br /&gt;Gestión documental no incluido 350€ &lt;br /&gt;Garantía Premium 12 Meses con cobertura a nivel nacional 399€&lt;br /&gt;Saga Vehículos, estamos en C/ Motor Sant Agustí, 41, 46470 Massanassa, Valencia.&lt;br /&gt;Horario: De lunes a viernes de 10:00 a 14:00 y de 16:00 a 19:00.&lt;br /&gt;Sabado de 10:00 a 14:00.&lt;br /&gt;- Aire acondicionado&lt;br /&gt;- Dirección asistida&lt;br /&gt;- Frenos ABS/EBD&lt;br /&gt;- Airbags&lt;br /&gt;- Ordenador abordo&lt;br /&gt;- Sistema radio CD/MP3/USB&lt;br /&gt;- Llaves presencial con mandos a distancia y mucho mas....&lt;br /&gt;Este anuncio no es vinculante, se muestra a titulo informativo y no contractual.&lt;br /&gt;&lt;br /&gt;&lt;br /&gt;&lt;br /&gt; &lt;strong&gt;Extras&lt;/strong&gt; &lt;br /&gt; &lt;strong&gt;Equipamiento destacado seleccionado por el usuario&lt;/strong&gt; &lt;br /&gt; &lt;br /&gt;- Aire acondicionado con filtro&lt;br /&gt;</t>
        </is>
      </c>
      <c r="AT251" s="2" t="inlineStr">
        <is>
          <t>https://www.autoscout24.es/anuncios/chevrolet-aveo-1-2-16v-ls-gasolina-blanco-cat_ma19mo18685-cb92863f-e240-4427-af20-4d726bf3e8c3 (__NEXT_DATA__ listingDetails) /home/user/Alopecia/buscador-coches/raw/autoscout24/9ef978ebd864e69b.json</t>
        </is>
      </c>
      <c r="AU251" s="3">
        <f>MAX(ANIO_ACTUAL-M251,0)</f>
        <v/>
      </c>
      <c r="AV251" s="4">
        <f>N251/MAX(AU251,0.5)</f>
        <v/>
      </c>
      <c r="AW251" s="4">
        <f>F251</f>
        <v/>
      </c>
      <c r="AX251" s="3">
        <f>AW251&amp;"|"&amp;INT(M251/SEG_ANIO)*SEG_ANIO</f>
        <v/>
      </c>
      <c r="AY251" s="3">
        <f>AX251&amp;"|"&amp;INT(N251/SEG_KM)*SEG_KM</f>
        <v/>
      </c>
      <c r="AZ251" s="4">
        <f>COUNTIF($AW$2:$AW$662,AW251)</f>
        <v/>
      </c>
      <c r="BA251" s="4">
        <f>COUNTIF($AX$2:$AX$662,AX251)</f>
        <v/>
      </c>
      <c r="BB251" s="4">
        <f>COUNTIF($AY$2:$AY$662,AY251)</f>
        <v/>
      </c>
      <c r="BC251" s="3">
        <f t="array" ref="BC251">IF(N(AO251)&gt;=MIN_N,AN251,IF(BB251&gt;=MIN_N,MEDIAN(IF($AY$2:$AY$662=AY251,$O$2:$O$662)),IF(BA251&gt;=MIN_N,MEDIAN(IF($AX$2:$AX$662=AX251,$O$2:$O$662)),MEDIAN(IF($AW$2:$AW$662=AW251,$O$2:$O$662)))))</f>
        <v/>
      </c>
      <c r="BD251" s="3">
        <f>IF(N(AO251)&gt;=MIN_N,"mercado "&amp;AP251,IF(BB251&gt;=MIN_N,"modelo+año+km",IF(BA251&gt;=MIN_N,"modelo+año","modelo")))</f>
        <v/>
      </c>
      <c r="BE251" s="4">
        <f>(BC251-O251)/BC251</f>
        <v/>
      </c>
      <c r="BF251" s="3">
        <f>IF(OR(K251="hibrido",K251="glp"),"ECO",IF(K251="electrico","CERO",IF(K251="gasolina",IF(M251&gt;=GAS_C,"C",IF(M251&gt;=GAS_B,"B","A")),IF(K251="diesel",IF(M251&gt;=DIE_C,"C",IF(M251&gt;=DIE_B,"B","A")),""))))</f>
        <v/>
      </c>
      <c r="BG251" s="3">
        <f>IFERROR(VLOOKUP(F251,MOD_TBL,11,0),IFERROR(VLOOKUP(E251,OCU_TBL,2,0),NEUTRO))</f>
        <v/>
      </c>
      <c r="BH251" s="3">
        <f>SUMIFS(MOT_AJUSTE,MOT_MOTOR,G251,MOT_MARCA,E251,MOT_DESDE,"&lt;="&amp;M251,MOT_HASTA,"&gt;="&amp;M251)+SUMIFS(MOT_AJUSTE,MOT_MOTOR,G251,MOT_MARCA,"(todas)",MOT_DESDE,"&lt;="&amp;M251,MOT_HASTA,"&gt;="&amp;M251)</f>
        <v/>
      </c>
      <c r="BI251" s="3">
        <f>SUMIFS(COMB_AJUSTE,COMB_COMB,K251)</f>
        <v/>
      </c>
      <c r="BJ251" s="3">
        <f>COUNTIFS(MOT_MOTOR,G251,MOT_MARCA,E251,MOT_DESDE,"&lt;="&amp;M251,MOT_HASTA,"&gt;="&amp;M251)+COUNTIFS(MOT_MOTOR,G251,MOT_MARCA,"(todas)",MOT_DESDE,"&lt;="&amp;M251,MOT_HASTA,"&gt;="&amp;M251)</f>
        <v/>
      </c>
      <c r="BK251" s="3">
        <f>IF(AND(K251="diesel",BJ251=0),MIN(BG251,NEUTRO),BG251)</f>
        <v/>
      </c>
      <c r="BL251" s="4">
        <f>MAX(0,MIN(100,BK251+BH251+BI251))</f>
        <v/>
      </c>
      <c r="BM251" s="3">
        <f>MAX(0,MIN(100,50+BE251*PRECIO_PEND))</f>
        <v/>
      </c>
      <c r="BN251" s="3">
        <f>MAX(0,100*(1-N251/KM_MAX))</f>
        <v/>
      </c>
      <c r="BO251" s="3">
        <f>IF(AV251&lt;KMA_SOSP,IF(AA251="sí",100,KMA_PEN),IF(AV251&lt;=KMA_IDEAL_MAX,100,MAX(0,100*(KMA_CERO-AV251)/(KMA_CERO-KMA_IDEAL_MAX))))</f>
        <v/>
      </c>
      <c r="BP251" s="3">
        <f>MAX(0,MIN(100,100*(M251-ANIO_MIN)/(ANIO_ACTUAL-ANIO_MIN)))</f>
        <v/>
      </c>
      <c r="BQ251" s="3">
        <f>W_KMT*BN251+W_KMA*BO251+W_EDAD*BP251</f>
        <v/>
      </c>
      <c r="BR251" s="3">
        <f>P_ITV*(V251="sí")+P_LIBRO*(W251="sí")+P_CORREA*(X251="sí")+P_PROP*(Y251=1)+P_GAR*(Z251="sí")+P_FOTOS*MIN(1,N(U251)/FOTOS_OBJ)</f>
        <v/>
      </c>
      <c r="BS251" s="3">
        <f>IFERROR(VLOOKUP(BF251,ETQ_TBL,2,0),NEUTRO)</f>
        <v/>
      </c>
      <c r="BT251" s="3">
        <f>NEUTRO</f>
        <v/>
      </c>
      <c r="BU251" s="3">
        <f>IFERROR(VLOOKUP(L251,SEGURO_TBL,3,0),"")</f>
        <v/>
      </c>
      <c r="BV251" s="3">
        <f>IF(BU251="",NEUTRO,MAX(0,MIN(100,100*(SEG_REF_MAX-BU251)/(SEG_REF_MAX-SEG_REF_MIN))))</f>
        <v/>
      </c>
      <c r="BW251" s="3">
        <f>W_ET*BS251+W_CONS*BT251+W_SEG*BV251</f>
        <v/>
      </c>
      <c r="BX251" s="3">
        <f>IF(N(AB251)&gt;0,AB251,IF(AND(R251="profesional",SG_LEGAL_ON=1),GAR_LEGAL,0))</f>
        <v/>
      </c>
      <c r="BY251" s="3">
        <f>SG_GAR*MIN(1,BX251/SG_GAR_FULL)+SG_AMPL*(AC251="sí")+SG_KMC*(AF251="sí")+SG_REV*(N(AE251)&gt;0)+SG_DEV*MIN(1,N(AG251)/SG_DEV_FULL)+SG_HIST*(W251="sí")</f>
        <v/>
      </c>
      <c r="BZ251" s="3">
        <f>IFERROR(VLOOKUP(L251,CARR_PEN_TBL,2,0),0)</f>
        <v/>
      </c>
      <c r="CA251" s="3">
        <f>W_FIAB*BL251+W_PRECIO*BM251+W_KMEDAD*BQ251+W_ANUNCIO*BR251+W_USO*BW251+W_SEGURIDAD*BY251-BZ251</f>
        <v/>
      </c>
      <c r="CB251" s="4">
        <f>IF(N(I251)&gt;0,I251,IFERROR(ROUND(_xlfn.NUMBERVALUE(LEFT(G251,FIND(" ",G251&amp;" ")-1),".")*1000,0),99999))</f>
        <v/>
      </c>
      <c r="CC251" s="3">
        <f>IF(R251="profesional",0,IF(O251&lt;CUOTA_VALOR_MAX,IF(AU251&gt;ITP_TRAMO_ALTO,SUMIFS(CF_CUOTA,CF_MAS,ITP_TRAMO_ALTO,CF_CCMIN,"&lt;="&amp;CB251,CF_CCMAX,"&gt;="&amp;CB251),IF(AU251&gt;ITP_TRAMO_BAJO,SUMIFS(CF_CUOTA,CF_MAS,ITP_TRAMO_BAJO,CF_CCMIN,"&lt;="&amp;CB251,CF_CCMAX,"&gt;="&amp;CB251),O251*ITP_TIPO)),O251*ITP_TIPO))</f>
        <v/>
      </c>
      <c r="CD251" s="4">
        <f>IF(R251="profesional",N(AK251),0)</f>
        <v/>
      </c>
      <c r="CE251" s="3">
        <f>IF(AND(R251="profesional",ISNUMBER(AK251),AL251="sí"),0,TASA_DGT)</f>
        <v/>
      </c>
      <c r="CF251" s="3">
        <f>INFORME_DGT</f>
        <v/>
      </c>
      <c r="CG251" s="4">
        <f>O251+CD251+CC251+CE251+CF251</f>
        <v/>
      </c>
      <c r="CH251" s="4">
        <f>CG251+N(BU251)</f>
        <v/>
      </c>
      <c r="CI251" s="3">
        <f>IF(CG251&lt;=TOTAL_MAX,"sí",IF(CG251&lt;=TOTAL_MAX+MARGEN_NEG,"negociar","no"))</f>
        <v/>
      </c>
      <c r="CJ251" s="4">
        <f>IF(CI251&lt;&gt;"no",COUNTIFS($CI$2:$CI$662,"&lt;&gt;no",$CA$2:$CA$662,"&gt;"&amp;CA251)+COUNTIFS($CI$2:CI251,"&lt;&gt;no",$CA$2:CA251,CA251),"")</f>
        <v/>
      </c>
    </row>
    <row r="252">
      <c r="A252" s="2" t="inlineStr">
        <is>
          <t>cochesnet:71855647</t>
        </is>
      </c>
      <c r="B252" s="2" t="inlineStr">
        <is>
          <t>cochesnet</t>
        </is>
      </c>
      <c r="C252" s="2" t="inlineStr">
        <is>
          <t>https://www.coches.net/toyota-yaris-13-vvti-yaris-3p-gasolina-2007-en-valencia-71855647-covo.aspx</t>
        </is>
      </c>
      <c r="D252" s="2" t="inlineStr">
        <is>
          <t>TOYOTA Yaris 1.3 VVTi Yaris</t>
        </is>
      </c>
      <c r="E252" s="2" t="inlineStr">
        <is>
          <t>Toyota</t>
        </is>
      </c>
      <c r="F252" s="2" t="inlineStr">
        <is>
          <t>Toyota Yaris</t>
        </is>
      </c>
      <c r="G252" s="2" t="inlineStr">
        <is>
          <t>1.3 VVT-i</t>
        </is>
      </c>
      <c r="H252" s="2" t="inlineStr">
        <is>
          <t>1.3 VVTi Yaris</t>
        </is>
      </c>
      <c r="I252" s="2" t="n"/>
      <c r="J252" s="2" t="n"/>
      <c r="K252" s="2" t="inlineStr">
        <is>
          <t>gasolina</t>
        </is>
      </c>
      <c r="L252" s="2" t="inlineStr">
        <is>
          <t>utilitario</t>
        </is>
      </c>
      <c r="M252" s="2" t="n">
        <v>2007</v>
      </c>
      <c r="N252" s="2" t="n">
        <v>165000</v>
      </c>
      <c r="O252" s="2" t="n">
        <v>2795</v>
      </c>
      <c r="P252" s="2" t="inlineStr">
        <is>
          <t>manual</t>
        </is>
      </c>
      <c r="Q252" s="2" t="inlineStr">
        <is>
          <t>no</t>
        </is>
      </c>
      <c r="R252" s="2" t="inlineStr">
        <is>
          <t>particular</t>
        </is>
      </c>
      <c r="S252" s="2" t="n"/>
      <c r="T252" s="2" t="inlineStr">
        <is>
          <t>2026-10-28T15:13:53Z</t>
        </is>
      </c>
      <c r="U252" s="2" t="n">
        <v>5</v>
      </c>
      <c r="V252" s="2" t="inlineStr">
        <is>
          <t>sí</t>
        </is>
      </c>
      <c r="W252" s="2" t="n"/>
      <c r="X252" s="2" t="n"/>
      <c r="Y252" s="2" t="n"/>
      <c r="Z252" s="2" t="inlineStr">
        <is>
          <t>no</t>
        </is>
      </c>
      <c r="AA252" s="2" t="n"/>
      <c r="AB252" s="2" t="n"/>
      <c r="AC252" s="2" t="n"/>
      <c r="AD252" s="2" t="n"/>
      <c r="AE252" s="2" t="n"/>
      <c r="AF252" s="2" t="n"/>
      <c r="AG252" s="2" t="n"/>
      <c r="AH252" s="2" t="n">
        <v>2795</v>
      </c>
      <c r="AI252" s="2" t="n"/>
      <c r="AJ252" s="2" t="n"/>
      <c r="AK252" s="2" t="n"/>
      <c r="AL252" s="2" t="n"/>
      <c r="AM252" s="2" t="n"/>
      <c r="AN252" s="2" t="n">
        <v>3900</v>
      </c>
      <c r="AO252" s="2" t="n">
        <v>5</v>
      </c>
      <c r="AP252" s="2" t="inlineStr">
        <is>
          <t>modelo+año</t>
        </is>
      </c>
      <c r="AQ252" s="2" t="n"/>
      <c r="AR252" s="2" t="inlineStr">
        <is>
          <t>cuota fija ITP: &gt;12 años, hasta 1.500 cc; distancia no verificable (el anuncio solo indica la provincia): confirmar que está a &lt;= 70 km</t>
        </is>
      </c>
      <c r="AS252" s="2" t="inlineStr">
        <is>
          <t xml:space="preserve">vendo Toyota yaris en perfecto estado con itv recién pasada y aceite y filtros recién cambiados a toda prueba </t>
        </is>
      </c>
      <c r="AT252" s="2" t="inlineStr">
        <is>
          <t>https://www.coches.net/toyota-yaris-13-vvti-yaris-3p-gasolina-2007-en-valencia-71855647-covo.aspx (window.__INITIAL_PROPS__.ad) /home/user/Alopecia/buscador-coches/raw/cochesnet/5f98b5add4617148.json</t>
        </is>
      </c>
      <c r="AU252" s="3">
        <f>MAX(ANIO_ACTUAL-M252,0)</f>
        <v/>
      </c>
      <c r="AV252" s="4">
        <f>N252/MAX(AU252,0.5)</f>
        <v/>
      </c>
      <c r="AW252" s="4">
        <f>F252</f>
        <v/>
      </c>
      <c r="AX252" s="3">
        <f>AW252&amp;"|"&amp;INT(M252/SEG_ANIO)*SEG_ANIO</f>
        <v/>
      </c>
      <c r="AY252" s="3">
        <f>AX252&amp;"|"&amp;INT(N252/SEG_KM)*SEG_KM</f>
        <v/>
      </c>
      <c r="AZ252" s="4">
        <f>COUNTIF($AW$2:$AW$662,AW252)</f>
        <v/>
      </c>
      <c r="BA252" s="4">
        <f>COUNTIF($AX$2:$AX$662,AX252)</f>
        <v/>
      </c>
      <c r="BB252" s="4">
        <f>COUNTIF($AY$2:$AY$662,AY252)</f>
        <v/>
      </c>
      <c r="BC252" s="3">
        <f t="array" ref="BC252">IF(N(AO252)&gt;=MIN_N,AN252,IF(BB252&gt;=MIN_N,MEDIAN(IF($AY$2:$AY$662=AY252,$O$2:$O$662)),IF(BA252&gt;=MIN_N,MEDIAN(IF($AX$2:$AX$662=AX252,$O$2:$O$662)),MEDIAN(IF($AW$2:$AW$662=AW252,$O$2:$O$662)))))</f>
        <v/>
      </c>
      <c r="BD252" s="3">
        <f>IF(N(AO252)&gt;=MIN_N,"mercado "&amp;AP252,IF(BB252&gt;=MIN_N,"modelo+año+km",IF(BA252&gt;=MIN_N,"modelo+año","modelo")))</f>
        <v/>
      </c>
      <c r="BE252" s="4">
        <f>(BC252-O252)/BC252</f>
        <v/>
      </c>
      <c r="BF252" s="3">
        <f>IF(OR(K252="hibrido",K252="glp"),"ECO",IF(K252="electrico","CERO",IF(K252="gasolina",IF(M252&gt;=GAS_C,"C",IF(M252&gt;=GAS_B,"B","A")),IF(K252="diesel",IF(M252&gt;=DIE_C,"C",IF(M252&gt;=DIE_B,"B","A")),""))))</f>
        <v/>
      </c>
      <c r="BG252" s="3">
        <f>IFERROR(VLOOKUP(F252,MOD_TBL,11,0),IFERROR(VLOOKUP(E252,OCU_TBL,2,0),NEUTRO))</f>
        <v/>
      </c>
      <c r="BH252" s="3">
        <f>SUMIFS(MOT_AJUSTE,MOT_MOTOR,G252,MOT_MARCA,E252,MOT_DESDE,"&lt;="&amp;M252,MOT_HASTA,"&gt;="&amp;M252)+SUMIFS(MOT_AJUSTE,MOT_MOTOR,G252,MOT_MARCA,"(todas)",MOT_DESDE,"&lt;="&amp;M252,MOT_HASTA,"&gt;="&amp;M252)</f>
        <v/>
      </c>
      <c r="BI252" s="3">
        <f>SUMIFS(COMB_AJUSTE,COMB_COMB,K252)</f>
        <v/>
      </c>
      <c r="BJ252" s="3">
        <f>COUNTIFS(MOT_MOTOR,G252,MOT_MARCA,E252,MOT_DESDE,"&lt;="&amp;M252,MOT_HASTA,"&gt;="&amp;M252)+COUNTIFS(MOT_MOTOR,G252,MOT_MARCA,"(todas)",MOT_DESDE,"&lt;="&amp;M252,MOT_HASTA,"&gt;="&amp;M252)</f>
        <v/>
      </c>
      <c r="BK252" s="3">
        <f>IF(AND(K252="diesel",BJ252=0),MIN(BG252,NEUTRO),BG252)</f>
        <v/>
      </c>
      <c r="BL252" s="4">
        <f>MAX(0,MIN(100,BK252+BH252+BI252))</f>
        <v/>
      </c>
      <c r="BM252" s="3">
        <f>MAX(0,MIN(100,50+BE252*PRECIO_PEND))</f>
        <v/>
      </c>
      <c r="BN252" s="3">
        <f>MAX(0,100*(1-N252/KM_MAX))</f>
        <v/>
      </c>
      <c r="BO252" s="3">
        <f>IF(AV252&lt;KMA_SOSP,IF(AA252="sí",100,KMA_PEN),IF(AV252&lt;=KMA_IDEAL_MAX,100,MAX(0,100*(KMA_CERO-AV252)/(KMA_CERO-KMA_IDEAL_MAX))))</f>
        <v/>
      </c>
      <c r="BP252" s="3">
        <f>MAX(0,MIN(100,100*(M252-ANIO_MIN)/(ANIO_ACTUAL-ANIO_MIN)))</f>
        <v/>
      </c>
      <c r="BQ252" s="3">
        <f>W_KMT*BN252+W_KMA*BO252+W_EDAD*BP252</f>
        <v/>
      </c>
      <c r="BR252" s="3">
        <f>P_ITV*(V252="sí")+P_LIBRO*(W252="sí")+P_CORREA*(X252="sí")+P_PROP*(Y252=1)+P_GAR*(Z252="sí")+P_FOTOS*MIN(1,N(U252)/FOTOS_OBJ)</f>
        <v/>
      </c>
      <c r="BS252" s="3">
        <f>IFERROR(VLOOKUP(BF252,ETQ_TBL,2,0),NEUTRO)</f>
        <v/>
      </c>
      <c r="BT252" s="3">
        <f>NEUTRO</f>
        <v/>
      </c>
      <c r="BU252" s="3">
        <f>IFERROR(VLOOKUP(L252,SEGURO_TBL,3,0),"")</f>
        <v/>
      </c>
      <c r="BV252" s="3">
        <f>IF(BU252="",NEUTRO,MAX(0,MIN(100,100*(SEG_REF_MAX-BU252)/(SEG_REF_MAX-SEG_REF_MIN))))</f>
        <v/>
      </c>
      <c r="BW252" s="3">
        <f>W_ET*BS252+W_CONS*BT252+W_SEG*BV252</f>
        <v/>
      </c>
      <c r="BX252" s="3">
        <f>IF(N(AB252)&gt;0,AB252,IF(AND(R252="profesional",SG_LEGAL_ON=1),GAR_LEGAL,0))</f>
        <v/>
      </c>
      <c r="BY252" s="3">
        <f>SG_GAR*MIN(1,BX252/SG_GAR_FULL)+SG_AMPL*(AC252="sí")+SG_KMC*(AF252="sí")+SG_REV*(N(AE252)&gt;0)+SG_DEV*MIN(1,N(AG252)/SG_DEV_FULL)+SG_HIST*(W252="sí")</f>
        <v/>
      </c>
      <c r="BZ252" s="3">
        <f>IFERROR(VLOOKUP(L252,CARR_PEN_TBL,2,0),0)</f>
        <v/>
      </c>
      <c r="CA252" s="3">
        <f>W_FIAB*BL252+W_PRECIO*BM252+W_KMEDAD*BQ252+W_ANUNCIO*BR252+W_USO*BW252+W_SEGURIDAD*BY252-BZ252</f>
        <v/>
      </c>
      <c r="CB252" s="4">
        <f>IF(N(I252)&gt;0,I252,IFERROR(ROUND(_xlfn.NUMBERVALUE(LEFT(G252,FIND(" ",G252&amp;" ")-1),".")*1000,0),99999))</f>
        <v/>
      </c>
      <c r="CC252" s="3">
        <f>IF(R252="profesional",0,IF(O252&lt;CUOTA_VALOR_MAX,IF(AU252&gt;ITP_TRAMO_ALTO,SUMIFS(CF_CUOTA,CF_MAS,ITP_TRAMO_ALTO,CF_CCMIN,"&lt;="&amp;CB252,CF_CCMAX,"&gt;="&amp;CB252),IF(AU252&gt;ITP_TRAMO_BAJO,SUMIFS(CF_CUOTA,CF_MAS,ITP_TRAMO_BAJO,CF_CCMIN,"&lt;="&amp;CB252,CF_CCMAX,"&gt;="&amp;CB252),O252*ITP_TIPO)),O252*ITP_TIPO))</f>
        <v/>
      </c>
      <c r="CD252" s="4">
        <f>IF(R252="profesional",N(AK252),0)</f>
        <v/>
      </c>
      <c r="CE252" s="3">
        <f>IF(AND(R252="profesional",ISNUMBER(AK252),AL252="sí"),0,TASA_DGT)</f>
        <v/>
      </c>
      <c r="CF252" s="3">
        <f>INFORME_DGT</f>
        <v/>
      </c>
      <c r="CG252" s="4">
        <f>O252+CD252+CC252+CE252+CF252</f>
        <v/>
      </c>
      <c r="CH252" s="4">
        <f>CG252+N(BU252)</f>
        <v/>
      </c>
      <c r="CI252" s="3">
        <f>IF(CG252&lt;=TOTAL_MAX,"sí",IF(CG252&lt;=TOTAL_MAX+MARGEN_NEG,"negociar","no"))</f>
        <v/>
      </c>
      <c r="CJ252" s="4">
        <f>IF(CI252&lt;&gt;"no",COUNTIFS($CI$2:$CI$662,"&lt;&gt;no",$CA$2:$CA$662,"&gt;"&amp;CA252)+COUNTIFS($CI$2:CI252,"&lt;&gt;no",$CA$2:CA252,CA252),"")</f>
        <v/>
      </c>
    </row>
    <row r="253">
      <c r="A253" s="2" t="inlineStr">
        <is>
          <t>cochesnet:71676237</t>
        </is>
      </c>
      <c r="B253" s="2" t="inlineStr">
        <is>
          <t>cochesnet</t>
        </is>
      </c>
      <c r="C253" s="2" t="inlineStr">
        <is>
          <t>https://www.coches.net/toyota-yaris-gasolina-2007-en-valencia-71676237-covo.aspx</t>
        </is>
      </c>
      <c r="D253" s="2" t="inlineStr">
        <is>
          <t>TOYOTA Yaris 1.3 VVTi Yaris</t>
        </is>
      </c>
      <c r="E253" s="2" t="inlineStr">
        <is>
          <t>Toyota</t>
        </is>
      </c>
      <c r="F253" s="2" t="inlineStr">
        <is>
          <t>Toyota Yaris</t>
        </is>
      </c>
      <c r="G253" s="2" t="inlineStr">
        <is>
          <t>1.3 VVT-i</t>
        </is>
      </c>
      <c r="H253" s="2" t="inlineStr">
        <is>
          <t>1.3 VVTi Yaris</t>
        </is>
      </c>
      <c r="I253" s="2" t="n"/>
      <c r="J253" s="2" t="n"/>
      <c r="K253" s="2" t="inlineStr">
        <is>
          <t>gasolina</t>
        </is>
      </c>
      <c r="L253" s="2" t="inlineStr">
        <is>
          <t>utilitario</t>
        </is>
      </c>
      <c r="M253" s="2" t="n">
        <v>2007</v>
      </c>
      <c r="N253" s="2" t="n">
        <v>218000</v>
      </c>
      <c r="O253" s="2" t="n">
        <v>3900</v>
      </c>
      <c r="P253" s="2" t="inlineStr">
        <is>
          <t>manual</t>
        </is>
      </c>
      <c r="Q253" s="2" t="inlineStr">
        <is>
          <t>no</t>
        </is>
      </c>
      <c r="R253" s="2" t="inlineStr">
        <is>
          <t>particular</t>
        </is>
      </c>
      <c r="S253" s="2" t="n"/>
      <c r="T253" s="2" t="inlineStr">
        <is>
          <t>2026-10-05T10:48:28Z</t>
        </is>
      </c>
      <c r="U253" s="2" t="n">
        <v>8</v>
      </c>
      <c r="V253" s="2" t="inlineStr">
        <is>
          <t>sí</t>
        </is>
      </c>
      <c r="W253" s="2" t="n"/>
      <c r="X253" s="2" t="n"/>
      <c r="Y253" s="2" t="n"/>
      <c r="Z253" s="2" t="inlineStr">
        <is>
          <t>no</t>
        </is>
      </c>
      <c r="AA253" s="2" t="n"/>
      <c r="AB253" s="2" t="n"/>
      <c r="AC253" s="2" t="n"/>
      <c r="AD253" s="2" t="n"/>
      <c r="AE253" s="2" t="n"/>
      <c r="AF253" s="2" t="n"/>
      <c r="AG253" s="2" t="n"/>
      <c r="AH253" s="2" t="n">
        <v>3900</v>
      </c>
      <c r="AI253" s="2" t="n"/>
      <c r="AJ253" s="2" t="n"/>
      <c r="AK253" s="2" t="n"/>
      <c r="AL253" s="2" t="n"/>
      <c r="AM253" s="2" t="n"/>
      <c r="AN253" s="2" t="n">
        <v>3900</v>
      </c>
      <c r="AO253" s="2" t="n">
        <v>5</v>
      </c>
      <c r="AP253" s="2" t="inlineStr">
        <is>
          <t>modelo+año</t>
        </is>
      </c>
      <c r="AQ253" s="2" t="n"/>
      <c r="AR253" s="2" t="inlineStr">
        <is>
          <t>cuota fija ITP: &gt;12 años, hasta 1.500 cc; distancia no verificable (el anuncio solo indica la provincia): confirmar que está a &lt;= 70 km</t>
        </is>
      </c>
      <c r="AS253" s="2" t="inlineStr">
        <is>
          <t xml:space="preserve">Toyota Yaris gasolina, 90cv Manual, año 2007 con 218000 km.
Coche muy bien cuidado, revisiones y ITV al dia, filtros y aceite nuevo, 4 ruedas nuevas good year y pastillas de frenos cambiadas hace poco.
De chapa algunos imperfeciones del uso, nada grande, pintura de casa.
Coche fiable y economico.
</t>
        </is>
      </c>
      <c r="AT253" s="2" t="inlineStr">
        <is>
          <t>https://www.coches.net/toyota-yaris-gasolina-2007-en-valencia-71676237-covo.aspx (window.__INITIAL_PROPS__.ad) /home/user/Alopecia/buscador-coches/raw/cochesnet/829a37d3be80e500.json</t>
        </is>
      </c>
      <c r="AU253" s="3">
        <f>MAX(ANIO_ACTUAL-M253,0)</f>
        <v/>
      </c>
      <c r="AV253" s="4">
        <f>N253/MAX(AU253,0.5)</f>
        <v/>
      </c>
      <c r="AW253" s="4">
        <f>F253</f>
        <v/>
      </c>
      <c r="AX253" s="3">
        <f>AW253&amp;"|"&amp;INT(M253/SEG_ANIO)*SEG_ANIO</f>
        <v/>
      </c>
      <c r="AY253" s="3">
        <f>AX253&amp;"|"&amp;INT(N253/SEG_KM)*SEG_KM</f>
        <v/>
      </c>
      <c r="AZ253" s="4">
        <f>COUNTIF($AW$2:$AW$662,AW253)</f>
        <v/>
      </c>
      <c r="BA253" s="4">
        <f>COUNTIF($AX$2:$AX$662,AX253)</f>
        <v/>
      </c>
      <c r="BB253" s="4">
        <f>COUNTIF($AY$2:$AY$662,AY253)</f>
        <v/>
      </c>
      <c r="BC253" s="3">
        <f t="array" ref="BC253">IF(N(AO253)&gt;=MIN_N,AN253,IF(BB253&gt;=MIN_N,MEDIAN(IF($AY$2:$AY$662=AY253,$O$2:$O$662)),IF(BA253&gt;=MIN_N,MEDIAN(IF($AX$2:$AX$662=AX253,$O$2:$O$662)),MEDIAN(IF($AW$2:$AW$662=AW253,$O$2:$O$662)))))</f>
        <v/>
      </c>
      <c r="BD253" s="3">
        <f>IF(N(AO253)&gt;=MIN_N,"mercado "&amp;AP253,IF(BB253&gt;=MIN_N,"modelo+año+km",IF(BA253&gt;=MIN_N,"modelo+año","modelo")))</f>
        <v/>
      </c>
      <c r="BE253" s="4">
        <f>(BC253-O253)/BC253</f>
        <v/>
      </c>
      <c r="BF253" s="3">
        <f>IF(OR(K253="hibrido",K253="glp"),"ECO",IF(K253="electrico","CERO",IF(K253="gasolina",IF(M253&gt;=GAS_C,"C",IF(M253&gt;=GAS_B,"B","A")),IF(K253="diesel",IF(M253&gt;=DIE_C,"C",IF(M253&gt;=DIE_B,"B","A")),""))))</f>
        <v/>
      </c>
      <c r="BG253" s="3">
        <f>IFERROR(VLOOKUP(F253,MOD_TBL,11,0),IFERROR(VLOOKUP(E253,OCU_TBL,2,0),NEUTRO))</f>
        <v/>
      </c>
      <c r="BH253" s="3">
        <f>SUMIFS(MOT_AJUSTE,MOT_MOTOR,G253,MOT_MARCA,E253,MOT_DESDE,"&lt;="&amp;M253,MOT_HASTA,"&gt;="&amp;M253)+SUMIFS(MOT_AJUSTE,MOT_MOTOR,G253,MOT_MARCA,"(todas)",MOT_DESDE,"&lt;="&amp;M253,MOT_HASTA,"&gt;="&amp;M253)</f>
        <v/>
      </c>
      <c r="BI253" s="3">
        <f>SUMIFS(COMB_AJUSTE,COMB_COMB,K253)</f>
        <v/>
      </c>
      <c r="BJ253" s="3">
        <f>COUNTIFS(MOT_MOTOR,G253,MOT_MARCA,E253,MOT_DESDE,"&lt;="&amp;M253,MOT_HASTA,"&gt;="&amp;M253)+COUNTIFS(MOT_MOTOR,G253,MOT_MARCA,"(todas)",MOT_DESDE,"&lt;="&amp;M253,MOT_HASTA,"&gt;="&amp;M253)</f>
        <v/>
      </c>
      <c r="BK253" s="3">
        <f>IF(AND(K253="diesel",BJ253=0),MIN(BG253,NEUTRO),BG253)</f>
        <v/>
      </c>
      <c r="BL253" s="4">
        <f>MAX(0,MIN(100,BK253+BH253+BI253))</f>
        <v/>
      </c>
      <c r="BM253" s="3">
        <f>MAX(0,MIN(100,50+BE253*PRECIO_PEND))</f>
        <v/>
      </c>
      <c r="BN253" s="3">
        <f>MAX(0,100*(1-N253/KM_MAX))</f>
        <v/>
      </c>
      <c r="BO253" s="3">
        <f>IF(AV253&lt;KMA_SOSP,IF(AA253="sí",100,KMA_PEN),IF(AV253&lt;=KMA_IDEAL_MAX,100,MAX(0,100*(KMA_CERO-AV253)/(KMA_CERO-KMA_IDEAL_MAX))))</f>
        <v/>
      </c>
      <c r="BP253" s="3">
        <f>MAX(0,MIN(100,100*(M253-ANIO_MIN)/(ANIO_ACTUAL-ANIO_MIN)))</f>
        <v/>
      </c>
      <c r="BQ253" s="3">
        <f>W_KMT*BN253+W_KMA*BO253+W_EDAD*BP253</f>
        <v/>
      </c>
      <c r="BR253" s="3">
        <f>P_ITV*(V253="sí")+P_LIBRO*(W253="sí")+P_CORREA*(X253="sí")+P_PROP*(Y253=1)+P_GAR*(Z253="sí")+P_FOTOS*MIN(1,N(U253)/FOTOS_OBJ)</f>
        <v/>
      </c>
      <c r="BS253" s="3">
        <f>IFERROR(VLOOKUP(BF253,ETQ_TBL,2,0),NEUTRO)</f>
        <v/>
      </c>
      <c r="BT253" s="3">
        <f>NEUTRO</f>
        <v/>
      </c>
      <c r="BU253" s="3">
        <f>IFERROR(VLOOKUP(L253,SEGURO_TBL,3,0),"")</f>
        <v/>
      </c>
      <c r="BV253" s="3">
        <f>IF(BU253="",NEUTRO,MAX(0,MIN(100,100*(SEG_REF_MAX-BU253)/(SEG_REF_MAX-SEG_REF_MIN))))</f>
        <v/>
      </c>
      <c r="BW253" s="3">
        <f>W_ET*BS253+W_CONS*BT253+W_SEG*BV253</f>
        <v/>
      </c>
      <c r="BX253" s="3">
        <f>IF(N(AB253)&gt;0,AB253,IF(AND(R253="profesional",SG_LEGAL_ON=1),GAR_LEGAL,0))</f>
        <v/>
      </c>
      <c r="BY253" s="3">
        <f>SG_GAR*MIN(1,BX253/SG_GAR_FULL)+SG_AMPL*(AC253="sí")+SG_KMC*(AF253="sí")+SG_REV*(N(AE253)&gt;0)+SG_DEV*MIN(1,N(AG253)/SG_DEV_FULL)+SG_HIST*(W253="sí")</f>
        <v/>
      </c>
      <c r="BZ253" s="3">
        <f>IFERROR(VLOOKUP(L253,CARR_PEN_TBL,2,0),0)</f>
        <v/>
      </c>
      <c r="CA253" s="3">
        <f>W_FIAB*BL253+W_PRECIO*BM253+W_KMEDAD*BQ253+W_ANUNCIO*BR253+W_USO*BW253+W_SEGURIDAD*BY253-BZ253</f>
        <v/>
      </c>
      <c r="CB253" s="4">
        <f>IF(N(I253)&gt;0,I253,IFERROR(ROUND(_xlfn.NUMBERVALUE(LEFT(G253,FIND(" ",G253&amp;" ")-1),".")*1000,0),99999))</f>
        <v/>
      </c>
      <c r="CC253" s="3">
        <f>IF(R253="profesional",0,IF(O253&lt;CUOTA_VALOR_MAX,IF(AU253&gt;ITP_TRAMO_ALTO,SUMIFS(CF_CUOTA,CF_MAS,ITP_TRAMO_ALTO,CF_CCMIN,"&lt;="&amp;CB253,CF_CCMAX,"&gt;="&amp;CB253),IF(AU253&gt;ITP_TRAMO_BAJO,SUMIFS(CF_CUOTA,CF_MAS,ITP_TRAMO_BAJO,CF_CCMIN,"&lt;="&amp;CB253,CF_CCMAX,"&gt;="&amp;CB253),O253*ITP_TIPO)),O253*ITP_TIPO))</f>
        <v/>
      </c>
      <c r="CD253" s="4">
        <f>IF(R253="profesional",N(AK253),0)</f>
        <v/>
      </c>
      <c r="CE253" s="3">
        <f>IF(AND(R253="profesional",ISNUMBER(AK253),AL253="sí"),0,TASA_DGT)</f>
        <v/>
      </c>
      <c r="CF253" s="3">
        <f>INFORME_DGT</f>
        <v/>
      </c>
      <c r="CG253" s="4">
        <f>O253+CD253+CC253+CE253+CF253</f>
        <v/>
      </c>
      <c r="CH253" s="4">
        <f>CG253+N(BU253)</f>
        <v/>
      </c>
      <c r="CI253" s="3">
        <f>IF(CG253&lt;=TOTAL_MAX,"sí",IF(CG253&lt;=TOTAL_MAX+MARGEN_NEG,"negociar","no"))</f>
        <v/>
      </c>
      <c r="CJ253" s="4">
        <f>IF(CI253&lt;&gt;"no",COUNTIFS($CI$2:$CI$662,"&lt;&gt;no",$CA$2:$CA$662,"&gt;"&amp;CA253)+COUNTIFS($CI$2:CI253,"&lt;&gt;no",$CA$2:CA253,CA253),"")</f>
        <v/>
      </c>
    </row>
    <row r="254">
      <c r="A254" s="2" t="inlineStr">
        <is>
          <t>cochesnet:71318056</t>
        </is>
      </c>
      <c r="B254" s="2" t="inlineStr">
        <is>
          <t>cochesnet</t>
        </is>
      </c>
      <c r="C254" s="2" t="inlineStr">
        <is>
          <t>https://www.coches.net/toyota-yaris-14-d4d-sol-5p-diesel-2006-en-valencia-71318056-covo.aspx</t>
        </is>
      </c>
      <c r="D254" s="2" t="inlineStr">
        <is>
          <t>TOYOTA Yaris 1.4 D4D Sol</t>
        </is>
      </c>
      <c r="E254" s="2" t="inlineStr">
        <is>
          <t>Toyota</t>
        </is>
      </c>
      <c r="F254" s="2" t="inlineStr">
        <is>
          <t>Toyota Yaris</t>
        </is>
      </c>
      <c r="G254" s="2" t="inlineStr">
        <is>
          <t>1.4 D-4D</t>
        </is>
      </c>
      <c r="H254" s="2" t="inlineStr">
        <is>
          <t>1.4 D4D Sol</t>
        </is>
      </c>
      <c r="I254" s="2" t="n"/>
      <c r="J254" s="2" t="n"/>
      <c r="K254" s="2" t="inlineStr">
        <is>
          <t>diesel</t>
        </is>
      </c>
      <c r="L254" s="2" t="inlineStr">
        <is>
          <t>utilitario</t>
        </is>
      </c>
      <c r="M254" s="2" t="n">
        <v>2006</v>
      </c>
      <c r="N254" s="2" t="n">
        <v>186320</v>
      </c>
      <c r="O254" s="2" t="n">
        <v>4000</v>
      </c>
      <c r="P254" s="2" t="inlineStr">
        <is>
          <t>manual</t>
        </is>
      </c>
      <c r="Q254" s="2" t="inlineStr">
        <is>
          <t>no</t>
        </is>
      </c>
      <c r="R254" s="2" t="inlineStr">
        <is>
          <t>particular</t>
        </is>
      </c>
      <c r="S254" s="2" t="inlineStr">
        <is>
          <t>Alzira</t>
        </is>
      </c>
      <c r="T254" s="2" t="inlineStr">
        <is>
          <t>2026-08-18T23:05:20Z</t>
        </is>
      </c>
      <c r="U254" s="2" t="n">
        <v>1</v>
      </c>
      <c r="V254" s="2" t="n"/>
      <c r="W254" s="2" t="n"/>
      <c r="X254" s="2" t="n"/>
      <c r="Y254" s="2" t="n"/>
      <c r="Z254" s="2" t="inlineStr">
        <is>
          <t>no</t>
        </is>
      </c>
      <c r="AA254" s="2" t="n"/>
      <c r="AB254" s="2" t="n"/>
      <c r="AC254" s="2" t="n"/>
      <c r="AD254" s="2" t="n"/>
      <c r="AE254" s="2" t="n"/>
      <c r="AF254" s="2" t="n"/>
      <c r="AG254" s="2" t="n"/>
      <c r="AH254" s="2" t="n">
        <v>4000</v>
      </c>
      <c r="AI254" s="2" t="n"/>
      <c r="AJ254" s="2" t="n"/>
      <c r="AK254" s="2" t="n"/>
      <c r="AL254" s="2" t="n"/>
      <c r="AM254" s="2" t="n">
        <v>35.7</v>
      </c>
      <c r="AN254" s="2" t="n"/>
      <c r="AO254" s="2" t="n"/>
      <c r="AP254" s="2" t="n"/>
      <c r="AQ254" s="2" t="n"/>
      <c r="AR254" s="2" t="inlineStr">
        <is>
          <t>cuota fija ITP: &gt;12 años, hasta 1.500 cc; diésel: motor sin fuente de fiabilidad (fiabilidad limitada a neutra)</t>
        </is>
      </c>
      <c r="AS254" s="2" t="inlineStr">
        <is>
          <t>El coche ha pasado la ITV, las revisiones están al día y el coche funciona perfectamente todo, lo único es por fuera que la chapa y pintura se debería de repasar y arreglar.</t>
        </is>
      </c>
      <c r="AT254" s="2" t="inlineStr">
        <is>
          <t>https://www.coches.net/toyota-yaris-14-d4d-sol-5p-diesel-2006-en-valencia-71318056-covo.aspx (window.__INITIAL_PROPS__.ad) /home/user/Alopecia/buscador-coches/raw/cochesnet/f4b19bca109110e0.json</t>
        </is>
      </c>
      <c r="AU254" s="3">
        <f>MAX(ANIO_ACTUAL-M254,0)</f>
        <v/>
      </c>
      <c r="AV254" s="4">
        <f>N254/MAX(AU254,0.5)</f>
        <v/>
      </c>
      <c r="AW254" s="4">
        <f>F254</f>
        <v/>
      </c>
      <c r="AX254" s="3">
        <f>AW254&amp;"|"&amp;INT(M254/SEG_ANIO)*SEG_ANIO</f>
        <v/>
      </c>
      <c r="AY254" s="3">
        <f>AX254&amp;"|"&amp;INT(N254/SEG_KM)*SEG_KM</f>
        <v/>
      </c>
      <c r="AZ254" s="4">
        <f>COUNTIF($AW$2:$AW$662,AW254)</f>
        <v/>
      </c>
      <c r="BA254" s="4">
        <f>COUNTIF($AX$2:$AX$662,AX254)</f>
        <v/>
      </c>
      <c r="BB254" s="4">
        <f>COUNTIF($AY$2:$AY$662,AY254)</f>
        <v/>
      </c>
      <c r="BC254" s="3">
        <f t="array" ref="BC254">IF(N(AO254)&gt;=MIN_N,AN254,IF(BB254&gt;=MIN_N,MEDIAN(IF($AY$2:$AY$662=AY254,$O$2:$O$662)),IF(BA254&gt;=MIN_N,MEDIAN(IF($AX$2:$AX$662=AX254,$O$2:$O$662)),MEDIAN(IF($AW$2:$AW$662=AW254,$O$2:$O$662)))))</f>
        <v/>
      </c>
      <c r="BD254" s="3">
        <f>IF(N(AO254)&gt;=MIN_N,"mercado "&amp;AP254,IF(BB254&gt;=MIN_N,"modelo+año+km",IF(BA254&gt;=MIN_N,"modelo+año","modelo")))</f>
        <v/>
      </c>
      <c r="BE254" s="4">
        <f>(BC254-O254)/BC254</f>
        <v/>
      </c>
      <c r="BF254" s="3">
        <f>IF(OR(K254="hibrido",K254="glp"),"ECO",IF(K254="electrico","CERO",IF(K254="gasolina",IF(M254&gt;=GAS_C,"C",IF(M254&gt;=GAS_B,"B","A")),IF(K254="diesel",IF(M254&gt;=DIE_C,"C",IF(M254&gt;=DIE_B,"B","A")),""))))</f>
        <v/>
      </c>
      <c r="BG254" s="3">
        <f>IFERROR(VLOOKUP(F254,MOD_TBL,11,0),IFERROR(VLOOKUP(E254,OCU_TBL,2,0),NEUTRO))</f>
        <v/>
      </c>
      <c r="BH254" s="3">
        <f>SUMIFS(MOT_AJUSTE,MOT_MOTOR,G254,MOT_MARCA,E254,MOT_DESDE,"&lt;="&amp;M254,MOT_HASTA,"&gt;="&amp;M254)+SUMIFS(MOT_AJUSTE,MOT_MOTOR,G254,MOT_MARCA,"(todas)",MOT_DESDE,"&lt;="&amp;M254,MOT_HASTA,"&gt;="&amp;M254)</f>
        <v/>
      </c>
      <c r="BI254" s="3">
        <f>SUMIFS(COMB_AJUSTE,COMB_COMB,K254)</f>
        <v/>
      </c>
      <c r="BJ254" s="3">
        <f>COUNTIFS(MOT_MOTOR,G254,MOT_MARCA,E254,MOT_DESDE,"&lt;="&amp;M254,MOT_HASTA,"&gt;="&amp;M254)+COUNTIFS(MOT_MOTOR,G254,MOT_MARCA,"(todas)",MOT_DESDE,"&lt;="&amp;M254,MOT_HASTA,"&gt;="&amp;M254)</f>
        <v/>
      </c>
      <c r="BK254" s="3">
        <f>IF(AND(K254="diesel",BJ254=0),MIN(BG254,NEUTRO),BG254)</f>
        <v/>
      </c>
      <c r="BL254" s="4">
        <f>MAX(0,MIN(100,BK254+BH254+BI254))</f>
        <v/>
      </c>
      <c r="BM254" s="3">
        <f>MAX(0,MIN(100,50+BE254*PRECIO_PEND))</f>
        <v/>
      </c>
      <c r="BN254" s="3">
        <f>MAX(0,100*(1-N254/KM_MAX))</f>
        <v/>
      </c>
      <c r="BO254" s="3">
        <f>IF(AV254&lt;KMA_SOSP,IF(AA254="sí",100,KMA_PEN),IF(AV254&lt;=KMA_IDEAL_MAX,100,MAX(0,100*(KMA_CERO-AV254)/(KMA_CERO-KMA_IDEAL_MAX))))</f>
        <v/>
      </c>
      <c r="BP254" s="3">
        <f>MAX(0,MIN(100,100*(M254-ANIO_MIN)/(ANIO_ACTUAL-ANIO_MIN)))</f>
        <v/>
      </c>
      <c r="BQ254" s="3">
        <f>W_KMT*BN254+W_KMA*BO254+W_EDAD*BP254</f>
        <v/>
      </c>
      <c r="BR254" s="3">
        <f>P_ITV*(V254="sí")+P_LIBRO*(W254="sí")+P_CORREA*(X254="sí")+P_PROP*(Y254=1)+P_GAR*(Z254="sí")+P_FOTOS*MIN(1,N(U254)/FOTOS_OBJ)</f>
        <v/>
      </c>
      <c r="BS254" s="3">
        <f>IFERROR(VLOOKUP(BF254,ETQ_TBL,2,0),NEUTRO)</f>
        <v/>
      </c>
      <c r="BT254" s="3">
        <f>NEUTRO</f>
        <v/>
      </c>
      <c r="BU254" s="3">
        <f>IFERROR(VLOOKUP(L254,SEGURO_TBL,3,0),"")</f>
        <v/>
      </c>
      <c r="BV254" s="3">
        <f>IF(BU254="",NEUTRO,MAX(0,MIN(100,100*(SEG_REF_MAX-BU254)/(SEG_REF_MAX-SEG_REF_MIN))))</f>
        <v/>
      </c>
      <c r="BW254" s="3">
        <f>W_ET*BS254+W_CONS*BT254+W_SEG*BV254</f>
        <v/>
      </c>
      <c r="BX254" s="3">
        <f>IF(N(AB254)&gt;0,AB254,IF(AND(R254="profesional",SG_LEGAL_ON=1),GAR_LEGAL,0))</f>
        <v/>
      </c>
      <c r="BY254" s="3">
        <f>SG_GAR*MIN(1,BX254/SG_GAR_FULL)+SG_AMPL*(AC254="sí")+SG_KMC*(AF254="sí")+SG_REV*(N(AE254)&gt;0)+SG_DEV*MIN(1,N(AG254)/SG_DEV_FULL)+SG_HIST*(W254="sí")</f>
        <v/>
      </c>
      <c r="BZ254" s="3">
        <f>IFERROR(VLOOKUP(L254,CARR_PEN_TBL,2,0),0)</f>
        <v/>
      </c>
      <c r="CA254" s="3">
        <f>W_FIAB*BL254+W_PRECIO*BM254+W_KMEDAD*BQ254+W_ANUNCIO*BR254+W_USO*BW254+W_SEGURIDAD*BY254-BZ254</f>
        <v/>
      </c>
      <c r="CB254" s="4">
        <f>IF(N(I254)&gt;0,I254,IFERROR(ROUND(_xlfn.NUMBERVALUE(LEFT(G254,FIND(" ",G254&amp;" ")-1),".")*1000,0),99999))</f>
        <v/>
      </c>
      <c r="CC254" s="3">
        <f>IF(R254="profesional",0,IF(O254&lt;CUOTA_VALOR_MAX,IF(AU254&gt;ITP_TRAMO_ALTO,SUMIFS(CF_CUOTA,CF_MAS,ITP_TRAMO_ALTO,CF_CCMIN,"&lt;="&amp;CB254,CF_CCMAX,"&gt;="&amp;CB254),IF(AU254&gt;ITP_TRAMO_BAJO,SUMIFS(CF_CUOTA,CF_MAS,ITP_TRAMO_BAJO,CF_CCMIN,"&lt;="&amp;CB254,CF_CCMAX,"&gt;="&amp;CB254),O254*ITP_TIPO)),O254*ITP_TIPO))</f>
        <v/>
      </c>
      <c r="CD254" s="4">
        <f>IF(R254="profesional",N(AK254),0)</f>
        <v/>
      </c>
      <c r="CE254" s="3">
        <f>IF(AND(R254="profesional",ISNUMBER(AK254),AL254="sí"),0,TASA_DGT)</f>
        <v/>
      </c>
      <c r="CF254" s="3">
        <f>INFORME_DGT</f>
        <v/>
      </c>
      <c r="CG254" s="4">
        <f>O254+CD254+CC254+CE254+CF254</f>
        <v/>
      </c>
      <c r="CH254" s="4">
        <f>CG254+N(BU254)</f>
        <v/>
      </c>
      <c r="CI254" s="3">
        <f>IF(CG254&lt;=TOTAL_MAX,"sí",IF(CG254&lt;=TOTAL_MAX+MARGEN_NEG,"negociar","no"))</f>
        <v/>
      </c>
      <c r="CJ254" s="4">
        <f>IF(CI254&lt;&gt;"no",COUNTIFS($CI$2:$CI$662,"&lt;&gt;no",$CA$2:$CA$662,"&gt;"&amp;CA254)+COUNTIFS($CI$2:CI254,"&lt;&gt;no",$CA$2:CA254,CA254),"")</f>
        <v/>
      </c>
    </row>
    <row r="255">
      <c r="A255" s="2" t="inlineStr">
        <is>
          <t>cochesnet:71279379</t>
        </is>
      </c>
      <c r="B255" s="2" t="inlineStr">
        <is>
          <t>cochesnet</t>
        </is>
      </c>
      <c r="C255" s="2" t="inlineStr">
        <is>
          <t>https://www.coches.net/toyota-yaris-13-vvti-yaris-5p-gasolina-2007-en-valencia-71279379-covo.aspx</t>
        </is>
      </c>
      <c r="D255" s="2" t="inlineStr">
        <is>
          <t>TOYOTA Yaris 1.3 VVTi Yaris</t>
        </is>
      </c>
      <c r="E255" s="2" t="inlineStr">
        <is>
          <t>Toyota</t>
        </is>
      </c>
      <c r="F255" s="2" t="inlineStr">
        <is>
          <t>Toyota Yaris</t>
        </is>
      </c>
      <c r="G255" s="2" t="inlineStr">
        <is>
          <t>1.3 VVT-i</t>
        </is>
      </c>
      <c r="H255" s="2" t="inlineStr">
        <is>
          <t>1.3 VVTi Yaris</t>
        </is>
      </c>
      <c r="I255" s="2" t="n"/>
      <c r="J255" s="2" t="n"/>
      <c r="K255" s="2" t="inlineStr">
        <is>
          <t>gasolina</t>
        </is>
      </c>
      <c r="L255" s="2" t="inlineStr">
        <is>
          <t>utilitario</t>
        </is>
      </c>
      <c r="M255" s="2" t="n">
        <v>2007</v>
      </c>
      <c r="N255" s="2" t="n">
        <v>168000</v>
      </c>
      <c r="O255" s="2" t="n">
        <v>4000</v>
      </c>
      <c r="P255" s="2" t="inlineStr">
        <is>
          <t>manual</t>
        </is>
      </c>
      <c r="Q255" s="2" t="inlineStr">
        <is>
          <t>no</t>
        </is>
      </c>
      <c r="R255" s="2" t="inlineStr">
        <is>
          <t>particular</t>
        </is>
      </c>
      <c r="S255" s="2" t="inlineStr">
        <is>
          <t>Valencia</t>
        </is>
      </c>
      <c r="T255" s="2" t="inlineStr">
        <is>
          <t>2026-08-12T14:05:44Z</t>
        </is>
      </c>
      <c r="U255" s="2" t="n">
        <v>7</v>
      </c>
      <c r="V255" s="2" t="inlineStr">
        <is>
          <t>sí</t>
        </is>
      </c>
      <c r="W255" s="2" t="inlineStr">
        <is>
          <t>sí</t>
        </is>
      </c>
      <c r="X255" s="2" t="n"/>
      <c r="Y255" s="2" t="n"/>
      <c r="Z255" s="2" t="inlineStr">
        <is>
          <t>no</t>
        </is>
      </c>
      <c r="AA255" s="2" t="n"/>
      <c r="AB255" s="2" t="n"/>
      <c r="AC255" s="2" t="n"/>
      <c r="AD255" s="2" t="n"/>
      <c r="AE255" s="2" t="n"/>
      <c r="AF255" s="2" t="n"/>
      <c r="AG255" s="2" t="n"/>
      <c r="AH255" s="2" t="n">
        <v>4000</v>
      </c>
      <c r="AI255" s="2" t="n"/>
      <c r="AJ255" s="2" t="n"/>
      <c r="AK255" s="2" t="n"/>
      <c r="AL255" s="2" t="n"/>
      <c r="AM255" s="2" t="n">
        <v>0.1</v>
      </c>
      <c r="AN255" s="2" t="n">
        <v>3900</v>
      </c>
      <c r="AO255" s="2" t="n">
        <v>5</v>
      </c>
      <c r="AP255" s="2" t="inlineStr">
        <is>
          <t>modelo+año</t>
        </is>
      </c>
      <c r="AQ255" s="2" t="n"/>
      <c r="AR255" s="2" t="inlineStr">
        <is>
          <t>cuota fija ITP: &gt;12 años, hasta 1.500 cc</t>
        </is>
      </c>
      <c r="AS255" s="2" t="inlineStr">
        <is>
          <t xml:space="preserve">Vendo Toyota Yaris del año 2007, motor gasolina, con 168.000 km, mantenimiento al día e ITV en vigor.
? 168.000 km
? Motor gasolina
? Aire acondicionado
? Mantenimiento al día
? ITV en vigor
? Coche práctico, económico y fiable
? Ideal para ciudad y uso diario
?? A tener en cuenta: el bombín/cerradura del maletero está dañado. El maletero abre desde el interior y funciona correctamente una vez abierto.
Y sensor de oxígeno exige uno original ya que los genéricos marcan el checking engine. </t>
        </is>
      </c>
      <c r="AT255" s="2" t="inlineStr">
        <is>
          <t>https://www.coches.net/toyota-yaris-13-vvti-yaris-5p-gasolina-2007-en-valencia-71279379-covo.aspx (window.__INITIAL_PROPS__.ad) /home/user/Alopecia/buscador-coches/raw/cochesnet/bfbaa15f69e0db17.json</t>
        </is>
      </c>
      <c r="AU255" s="3">
        <f>MAX(ANIO_ACTUAL-M255,0)</f>
        <v/>
      </c>
      <c r="AV255" s="4">
        <f>N255/MAX(AU255,0.5)</f>
        <v/>
      </c>
      <c r="AW255" s="4">
        <f>F255</f>
        <v/>
      </c>
      <c r="AX255" s="3">
        <f>AW255&amp;"|"&amp;INT(M255/SEG_ANIO)*SEG_ANIO</f>
        <v/>
      </c>
      <c r="AY255" s="3">
        <f>AX255&amp;"|"&amp;INT(N255/SEG_KM)*SEG_KM</f>
        <v/>
      </c>
      <c r="AZ255" s="4">
        <f>COUNTIF($AW$2:$AW$662,AW255)</f>
        <v/>
      </c>
      <c r="BA255" s="4">
        <f>COUNTIF($AX$2:$AX$662,AX255)</f>
        <v/>
      </c>
      <c r="BB255" s="4">
        <f>COUNTIF($AY$2:$AY$662,AY255)</f>
        <v/>
      </c>
      <c r="BC255" s="3">
        <f t="array" ref="BC255">IF(N(AO255)&gt;=MIN_N,AN255,IF(BB255&gt;=MIN_N,MEDIAN(IF($AY$2:$AY$662=AY255,$O$2:$O$662)),IF(BA255&gt;=MIN_N,MEDIAN(IF($AX$2:$AX$662=AX255,$O$2:$O$662)),MEDIAN(IF($AW$2:$AW$662=AW255,$O$2:$O$662)))))</f>
        <v/>
      </c>
      <c r="BD255" s="3">
        <f>IF(N(AO255)&gt;=MIN_N,"mercado "&amp;AP255,IF(BB255&gt;=MIN_N,"modelo+año+km",IF(BA255&gt;=MIN_N,"modelo+año","modelo")))</f>
        <v/>
      </c>
      <c r="BE255" s="4">
        <f>(BC255-O255)/BC255</f>
        <v/>
      </c>
      <c r="BF255" s="3">
        <f>IF(OR(K255="hibrido",K255="glp"),"ECO",IF(K255="electrico","CERO",IF(K255="gasolina",IF(M255&gt;=GAS_C,"C",IF(M255&gt;=GAS_B,"B","A")),IF(K255="diesel",IF(M255&gt;=DIE_C,"C",IF(M255&gt;=DIE_B,"B","A")),""))))</f>
        <v/>
      </c>
      <c r="BG255" s="3">
        <f>IFERROR(VLOOKUP(F255,MOD_TBL,11,0),IFERROR(VLOOKUP(E255,OCU_TBL,2,0),NEUTRO))</f>
        <v/>
      </c>
      <c r="BH255" s="3">
        <f>SUMIFS(MOT_AJUSTE,MOT_MOTOR,G255,MOT_MARCA,E255,MOT_DESDE,"&lt;="&amp;M255,MOT_HASTA,"&gt;="&amp;M255)+SUMIFS(MOT_AJUSTE,MOT_MOTOR,G255,MOT_MARCA,"(todas)",MOT_DESDE,"&lt;="&amp;M255,MOT_HASTA,"&gt;="&amp;M255)</f>
        <v/>
      </c>
      <c r="BI255" s="3">
        <f>SUMIFS(COMB_AJUSTE,COMB_COMB,K255)</f>
        <v/>
      </c>
      <c r="BJ255" s="3">
        <f>COUNTIFS(MOT_MOTOR,G255,MOT_MARCA,E255,MOT_DESDE,"&lt;="&amp;M255,MOT_HASTA,"&gt;="&amp;M255)+COUNTIFS(MOT_MOTOR,G255,MOT_MARCA,"(todas)",MOT_DESDE,"&lt;="&amp;M255,MOT_HASTA,"&gt;="&amp;M255)</f>
        <v/>
      </c>
      <c r="BK255" s="3">
        <f>IF(AND(K255="diesel",BJ255=0),MIN(BG255,NEUTRO),BG255)</f>
        <v/>
      </c>
      <c r="BL255" s="4">
        <f>MAX(0,MIN(100,BK255+BH255+BI255))</f>
        <v/>
      </c>
      <c r="BM255" s="3">
        <f>MAX(0,MIN(100,50+BE255*PRECIO_PEND))</f>
        <v/>
      </c>
      <c r="BN255" s="3">
        <f>MAX(0,100*(1-N255/KM_MAX))</f>
        <v/>
      </c>
      <c r="BO255" s="3">
        <f>IF(AV255&lt;KMA_SOSP,IF(AA255="sí",100,KMA_PEN),IF(AV255&lt;=KMA_IDEAL_MAX,100,MAX(0,100*(KMA_CERO-AV255)/(KMA_CERO-KMA_IDEAL_MAX))))</f>
        <v/>
      </c>
      <c r="BP255" s="3">
        <f>MAX(0,MIN(100,100*(M255-ANIO_MIN)/(ANIO_ACTUAL-ANIO_MIN)))</f>
        <v/>
      </c>
      <c r="BQ255" s="3">
        <f>W_KMT*BN255+W_KMA*BO255+W_EDAD*BP255</f>
        <v/>
      </c>
      <c r="BR255" s="3">
        <f>P_ITV*(V255="sí")+P_LIBRO*(W255="sí")+P_CORREA*(X255="sí")+P_PROP*(Y255=1)+P_GAR*(Z255="sí")+P_FOTOS*MIN(1,N(U255)/FOTOS_OBJ)</f>
        <v/>
      </c>
      <c r="BS255" s="3">
        <f>IFERROR(VLOOKUP(BF255,ETQ_TBL,2,0),NEUTRO)</f>
        <v/>
      </c>
      <c r="BT255" s="3">
        <f>NEUTRO</f>
        <v/>
      </c>
      <c r="BU255" s="3">
        <f>IFERROR(VLOOKUP(L255,SEGURO_TBL,3,0),"")</f>
        <v/>
      </c>
      <c r="BV255" s="3">
        <f>IF(BU255="",NEUTRO,MAX(0,MIN(100,100*(SEG_REF_MAX-BU255)/(SEG_REF_MAX-SEG_REF_MIN))))</f>
        <v/>
      </c>
      <c r="BW255" s="3">
        <f>W_ET*BS255+W_CONS*BT255+W_SEG*BV255</f>
        <v/>
      </c>
      <c r="BX255" s="3">
        <f>IF(N(AB255)&gt;0,AB255,IF(AND(R255="profesional",SG_LEGAL_ON=1),GAR_LEGAL,0))</f>
        <v/>
      </c>
      <c r="BY255" s="3">
        <f>SG_GAR*MIN(1,BX255/SG_GAR_FULL)+SG_AMPL*(AC255="sí")+SG_KMC*(AF255="sí")+SG_REV*(N(AE255)&gt;0)+SG_DEV*MIN(1,N(AG255)/SG_DEV_FULL)+SG_HIST*(W255="sí")</f>
        <v/>
      </c>
      <c r="BZ255" s="3">
        <f>IFERROR(VLOOKUP(L255,CARR_PEN_TBL,2,0),0)</f>
        <v/>
      </c>
      <c r="CA255" s="3">
        <f>W_FIAB*BL255+W_PRECIO*BM255+W_KMEDAD*BQ255+W_ANUNCIO*BR255+W_USO*BW255+W_SEGURIDAD*BY255-BZ255</f>
        <v/>
      </c>
      <c r="CB255" s="4">
        <f>IF(N(I255)&gt;0,I255,IFERROR(ROUND(_xlfn.NUMBERVALUE(LEFT(G255,FIND(" ",G255&amp;" ")-1),".")*1000,0),99999))</f>
        <v/>
      </c>
      <c r="CC255" s="3">
        <f>IF(R255="profesional",0,IF(O255&lt;CUOTA_VALOR_MAX,IF(AU255&gt;ITP_TRAMO_ALTO,SUMIFS(CF_CUOTA,CF_MAS,ITP_TRAMO_ALTO,CF_CCMIN,"&lt;="&amp;CB255,CF_CCMAX,"&gt;="&amp;CB255),IF(AU255&gt;ITP_TRAMO_BAJO,SUMIFS(CF_CUOTA,CF_MAS,ITP_TRAMO_BAJO,CF_CCMIN,"&lt;="&amp;CB255,CF_CCMAX,"&gt;="&amp;CB255),O255*ITP_TIPO)),O255*ITP_TIPO))</f>
        <v/>
      </c>
      <c r="CD255" s="4">
        <f>IF(R255="profesional",N(AK255),0)</f>
        <v/>
      </c>
      <c r="CE255" s="3">
        <f>IF(AND(R255="profesional",ISNUMBER(AK255),AL255="sí"),0,TASA_DGT)</f>
        <v/>
      </c>
      <c r="CF255" s="3">
        <f>INFORME_DGT</f>
        <v/>
      </c>
      <c r="CG255" s="4">
        <f>O255+CD255+CC255+CE255+CF255</f>
        <v/>
      </c>
      <c r="CH255" s="4">
        <f>CG255+N(BU255)</f>
        <v/>
      </c>
      <c r="CI255" s="3">
        <f>IF(CG255&lt;=TOTAL_MAX,"sí",IF(CG255&lt;=TOTAL_MAX+MARGEN_NEG,"negociar","no"))</f>
        <v/>
      </c>
      <c r="CJ255" s="4">
        <f>IF(CI255&lt;&gt;"no",COUNTIFS($CI$2:$CI$662,"&lt;&gt;no",$CA$2:$CA$662,"&gt;"&amp;CA255)+COUNTIFS($CI$2:CI255,"&lt;&gt;no",$CA$2:CA255,CA255),"")</f>
        <v/>
      </c>
    </row>
    <row r="256">
      <c r="A256" s="2" t="inlineStr">
        <is>
          <t>cochesnet:71774731</t>
        </is>
      </c>
      <c r="B256" s="2" t="inlineStr">
        <is>
          <t>cochesnet</t>
        </is>
      </c>
      <c r="C256" s="2" t="inlineStr">
        <is>
          <t>https://www.coches.net/toyota-corolla-16-vvti-luna-5p-gasolina-2006-en-valencia-71774731-covo.aspx</t>
        </is>
      </c>
      <c r="D256" s="2" t="inlineStr">
        <is>
          <t>TOYOTA Corolla 1.6 VVTi Luna</t>
        </is>
      </c>
      <c r="E256" s="2" t="inlineStr">
        <is>
          <t>Toyota</t>
        </is>
      </c>
      <c r="F256" s="2" t="inlineStr">
        <is>
          <t>Toyota Corolla</t>
        </is>
      </c>
      <c r="G256" s="2" t="inlineStr">
        <is>
          <t>1.6 VVT-i</t>
        </is>
      </c>
      <c r="H256" s="2" t="inlineStr">
        <is>
          <t>1.6 VVTi Luna</t>
        </is>
      </c>
      <c r="I256" s="2" t="n"/>
      <c r="J256" s="2" t="n"/>
      <c r="K256" s="2" t="inlineStr">
        <is>
          <t>gasolina</t>
        </is>
      </c>
      <c r="L256" s="2" t="inlineStr">
        <is>
          <t>compacto</t>
        </is>
      </c>
      <c r="M256" s="2" t="n">
        <v>2006</v>
      </c>
      <c r="N256" s="2" t="n">
        <v>208000</v>
      </c>
      <c r="O256" s="2" t="n">
        <v>4000</v>
      </c>
      <c r="P256" s="2" t="inlineStr">
        <is>
          <t>manual</t>
        </is>
      </c>
      <c r="Q256" s="2" t="inlineStr">
        <is>
          <t>no</t>
        </is>
      </c>
      <c r="R256" s="2" t="inlineStr">
        <is>
          <t>particular</t>
        </is>
      </c>
      <c r="S256" s="2" t="inlineStr">
        <is>
          <t>Paterna</t>
        </is>
      </c>
      <c r="T256" s="2" t="inlineStr">
        <is>
          <t>2026-10-18T16:45:29Z</t>
        </is>
      </c>
      <c r="U256" s="2" t="n">
        <v>9</v>
      </c>
      <c r="V256" s="2" t="inlineStr">
        <is>
          <t>sí</t>
        </is>
      </c>
      <c r="W256" s="2" t="n"/>
      <c r="X256" s="2" t="n"/>
      <c r="Y256" s="2" t="n">
        <v>2</v>
      </c>
      <c r="Z256" s="2" t="inlineStr">
        <is>
          <t>no</t>
        </is>
      </c>
      <c r="AA256" s="2" t="n"/>
      <c r="AB256" s="2" t="n"/>
      <c r="AC256" s="2" t="n"/>
      <c r="AD256" s="2" t="n"/>
      <c r="AE256" s="2" t="n"/>
      <c r="AF256" s="2" t="n"/>
      <c r="AG256" s="2" t="n"/>
      <c r="AH256" s="2" t="n">
        <v>4000</v>
      </c>
      <c r="AI256" s="2" t="n"/>
      <c r="AJ256" s="2" t="n"/>
      <c r="AK256" s="2" t="n"/>
      <c r="AL256" s="2" t="n"/>
      <c r="AM256" s="2" t="n">
        <v>6.8</v>
      </c>
      <c r="AN256" s="2" t="n">
        <v>3900</v>
      </c>
      <c r="AO256" s="2" t="n">
        <v>13</v>
      </c>
      <c r="AP256" s="2" t="inlineStr">
        <is>
          <t>modelo+año</t>
        </is>
      </c>
      <c r="AQ256" s="2" t="n"/>
      <c r="AR256" s="2" t="inlineStr">
        <is>
          <t>cuota fija ITP: &gt;12 años, 1.501-2.000 cc</t>
        </is>
      </c>
      <c r="AS256" s="2" t="inlineStr">
        <is>
          <t>Toyota Corolla 1.6 VVT-i Luna, 5 puertas, 110 CV, gasolina, manual. Matriculado en enero de 2006 y con solo dos propietarios: el primero lo tuvo 16 años y nosotros lo compramos en 2022. Lo vendemos porque estamos cambiando a un coche más grande.
LO BUENO
- Mecánica sencilla y fiable: motor 1.6 VVT-i de 110 CV con distribución por cadena y consumo contenido.
- ITV pasada todos los años desde que lo tenemos. La última, en enero de 2026 y sin defectos, vigente hasta el 23/01/2027.
- 208.000 km, con lecturas de ITV desde 2012: 56.460 km en 2012 y 199.149 km en enero de 2026. Os enseñamos el informe de la DGT.
- Última revisión: 2026, con neumáticos de delante cambiados.
- Etiqueta ambiental C.
- Interior limpio y cuidado. El aire acondicionado funciona perfectamente.
- Maletero de unos 290l: nos cabe un carrito de bebé plegado, además de alguna maleta pequeña o mochilas.
- Consumo medio estimado de unos 7l/100km. Depósito de unos 55l.
- Equipamiento: aire acondicionado, elevalunas eléctricos, ABS, airbags, radio (sin bluetooth) y control de crucero.
LO QUE HAY QUE SABER
Exterior:
- Rejilla del parachoques delantero rota.
- Cubrecárter (protector inferior del motor) roto.
- Arañazos superficiales en ambos laterales.
-Arañazos más profundos en las manillas de apertura de las puertas delanteras
- Un picotazo en el capó.
Interior:
- Quemadura de cigarrillo en el asiento del copiloto, de propietarios anteriores.
- Pomo de la palanca de cambios desgastado por el uso.
- Rejilla de v</t>
        </is>
      </c>
      <c r="AT256" s="2" t="inlineStr">
        <is>
          <t>https://www.coches.net/toyota-corolla-16-vvti-luna-5p-gasolina-2006-en-valencia-71774731-covo.aspx (window.__INITIAL_PROPS__.ad) /home/user/Alopecia/buscador-coches/raw/cochesnet/4351d69b91574f90.json</t>
        </is>
      </c>
      <c r="AU256" s="3">
        <f>MAX(ANIO_ACTUAL-M256,0)</f>
        <v/>
      </c>
      <c r="AV256" s="4">
        <f>N256/MAX(AU256,0.5)</f>
        <v/>
      </c>
      <c r="AW256" s="4">
        <f>F256</f>
        <v/>
      </c>
      <c r="AX256" s="3">
        <f>AW256&amp;"|"&amp;INT(M256/SEG_ANIO)*SEG_ANIO</f>
        <v/>
      </c>
      <c r="AY256" s="3">
        <f>AX256&amp;"|"&amp;INT(N256/SEG_KM)*SEG_KM</f>
        <v/>
      </c>
      <c r="AZ256" s="4">
        <f>COUNTIF($AW$2:$AW$662,AW256)</f>
        <v/>
      </c>
      <c r="BA256" s="4">
        <f>COUNTIF($AX$2:$AX$662,AX256)</f>
        <v/>
      </c>
      <c r="BB256" s="4">
        <f>COUNTIF($AY$2:$AY$662,AY256)</f>
        <v/>
      </c>
      <c r="BC256" s="3">
        <f t="array" ref="BC256">IF(N(AO256)&gt;=MIN_N,AN256,IF(BB256&gt;=MIN_N,MEDIAN(IF($AY$2:$AY$662=AY256,$O$2:$O$662)),IF(BA256&gt;=MIN_N,MEDIAN(IF($AX$2:$AX$662=AX256,$O$2:$O$662)),MEDIAN(IF($AW$2:$AW$662=AW256,$O$2:$O$662)))))</f>
        <v/>
      </c>
      <c r="BD256" s="3">
        <f>IF(N(AO256)&gt;=MIN_N,"mercado "&amp;AP256,IF(BB256&gt;=MIN_N,"modelo+año+km",IF(BA256&gt;=MIN_N,"modelo+año","modelo")))</f>
        <v/>
      </c>
      <c r="BE256" s="4">
        <f>(BC256-O256)/BC256</f>
        <v/>
      </c>
      <c r="BF256" s="3">
        <f>IF(OR(K256="hibrido",K256="glp"),"ECO",IF(K256="electrico","CERO",IF(K256="gasolina",IF(M256&gt;=GAS_C,"C",IF(M256&gt;=GAS_B,"B","A")),IF(K256="diesel",IF(M256&gt;=DIE_C,"C",IF(M256&gt;=DIE_B,"B","A")),""))))</f>
        <v/>
      </c>
      <c r="BG256" s="3">
        <f>IFERROR(VLOOKUP(F256,MOD_TBL,11,0),IFERROR(VLOOKUP(E256,OCU_TBL,2,0),NEUTRO))</f>
        <v/>
      </c>
      <c r="BH256" s="3">
        <f>SUMIFS(MOT_AJUSTE,MOT_MOTOR,G256,MOT_MARCA,E256,MOT_DESDE,"&lt;="&amp;M256,MOT_HASTA,"&gt;="&amp;M256)+SUMIFS(MOT_AJUSTE,MOT_MOTOR,G256,MOT_MARCA,"(todas)",MOT_DESDE,"&lt;="&amp;M256,MOT_HASTA,"&gt;="&amp;M256)</f>
        <v/>
      </c>
      <c r="BI256" s="3">
        <f>SUMIFS(COMB_AJUSTE,COMB_COMB,K256)</f>
        <v/>
      </c>
      <c r="BJ256" s="3">
        <f>COUNTIFS(MOT_MOTOR,G256,MOT_MARCA,E256,MOT_DESDE,"&lt;="&amp;M256,MOT_HASTA,"&gt;="&amp;M256)+COUNTIFS(MOT_MOTOR,G256,MOT_MARCA,"(todas)",MOT_DESDE,"&lt;="&amp;M256,MOT_HASTA,"&gt;="&amp;M256)</f>
        <v/>
      </c>
      <c r="BK256" s="3">
        <f>IF(AND(K256="diesel",BJ256=0),MIN(BG256,NEUTRO),BG256)</f>
        <v/>
      </c>
      <c r="BL256" s="4">
        <f>MAX(0,MIN(100,BK256+BH256+BI256))</f>
        <v/>
      </c>
      <c r="BM256" s="3">
        <f>MAX(0,MIN(100,50+BE256*PRECIO_PEND))</f>
        <v/>
      </c>
      <c r="BN256" s="3">
        <f>MAX(0,100*(1-N256/KM_MAX))</f>
        <v/>
      </c>
      <c r="BO256" s="3">
        <f>IF(AV256&lt;KMA_SOSP,IF(AA256="sí",100,KMA_PEN),IF(AV256&lt;=KMA_IDEAL_MAX,100,MAX(0,100*(KMA_CERO-AV256)/(KMA_CERO-KMA_IDEAL_MAX))))</f>
        <v/>
      </c>
      <c r="BP256" s="3">
        <f>MAX(0,MIN(100,100*(M256-ANIO_MIN)/(ANIO_ACTUAL-ANIO_MIN)))</f>
        <v/>
      </c>
      <c r="BQ256" s="3">
        <f>W_KMT*BN256+W_KMA*BO256+W_EDAD*BP256</f>
        <v/>
      </c>
      <c r="BR256" s="3">
        <f>P_ITV*(V256="sí")+P_LIBRO*(W256="sí")+P_CORREA*(X256="sí")+P_PROP*(Y256=1)+P_GAR*(Z256="sí")+P_FOTOS*MIN(1,N(U256)/FOTOS_OBJ)</f>
        <v/>
      </c>
      <c r="BS256" s="3">
        <f>IFERROR(VLOOKUP(BF256,ETQ_TBL,2,0),NEUTRO)</f>
        <v/>
      </c>
      <c r="BT256" s="3">
        <f>NEUTRO</f>
        <v/>
      </c>
      <c r="BU256" s="3">
        <f>IFERROR(VLOOKUP(L256,SEGURO_TBL,3,0),"")</f>
        <v/>
      </c>
      <c r="BV256" s="3">
        <f>IF(BU256="",NEUTRO,MAX(0,MIN(100,100*(SEG_REF_MAX-BU256)/(SEG_REF_MAX-SEG_REF_MIN))))</f>
        <v/>
      </c>
      <c r="BW256" s="3">
        <f>W_ET*BS256+W_CONS*BT256+W_SEG*BV256</f>
        <v/>
      </c>
      <c r="BX256" s="3">
        <f>IF(N(AB256)&gt;0,AB256,IF(AND(R256="profesional",SG_LEGAL_ON=1),GAR_LEGAL,0))</f>
        <v/>
      </c>
      <c r="BY256" s="3">
        <f>SG_GAR*MIN(1,BX256/SG_GAR_FULL)+SG_AMPL*(AC256="sí")+SG_KMC*(AF256="sí")+SG_REV*(N(AE256)&gt;0)+SG_DEV*MIN(1,N(AG256)/SG_DEV_FULL)+SG_HIST*(W256="sí")</f>
        <v/>
      </c>
      <c r="BZ256" s="3">
        <f>IFERROR(VLOOKUP(L256,CARR_PEN_TBL,2,0),0)</f>
        <v/>
      </c>
      <c r="CA256" s="3">
        <f>W_FIAB*BL256+W_PRECIO*BM256+W_KMEDAD*BQ256+W_ANUNCIO*BR256+W_USO*BW256+W_SEGURIDAD*BY256-BZ256</f>
        <v/>
      </c>
      <c r="CB256" s="4">
        <f>IF(N(I256)&gt;0,I256,IFERROR(ROUND(_xlfn.NUMBERVALUE(LEFT(G256,FIND(" ",G256&amp;" ")-1),".")*1000,0),99999))</f>
        <v/>
      </c>
      <c r="CC256" s="3">
        <f>IF(R256="profesional",0,IF(O256&lt;CUOTA_VALOR_MAX,IF(AU256&gt;ITP_TRAMO_ALTO,SUMIFS(CF_CUOTA,CF_MAS,ITP_TRAMO_ALTO,CF_CCMIN,"&lt;="&amp;CB256,CF_CCMAX,"&gt;="&amp;CB256),IF(AU256&gt;ITP_TRAMO_BAJO,SUMIFS(CF_CUOTA,CF_MAS,ITP_TRAMO_BAJO,CF_CCMIN,"&lt;="&amp;CB256,CF_CCMAX,"&gt;="&amp;CB256),O256*ITP_TIPO)),O256*ITP_TIPO))</f>
        <v/>
      </c>
      <c r="CD256" s="4">
        <f>IF(R256="profesional",N(AK256),0)</f>
        <v/>
      </c>
      <c r="CE256" s="3">
        <f>IF(AND(R256="profesional",ISNUMBER(AK256),AL256="sí"),0,TASA_DGT)</f>
        <v/>
      </c>
      <c r="CF256" s="3">
        <f>INFORME_DGT</f>
        <v/>
      </c>
      <c r="CG256" s="4">
        <f>O256+CD256+CC256+CE256+CF256</f>
        <v/>
      </c>
      <c r="CH256" s="4">
        <f>CG256+N(BU256)</f>
        <v/>
      </c>
      <c r="CI256" s="3">
        <f>IF(CG256&lt;=TOTAL_MAX,"sí",IF(CG256&lt;=TOTAL_MAX+MARGEN_NEG,"negociar","no"))</f>
        <v/>
      </c>
      <c r="CJ256" s="4">
        <f>IF(CI256&lt;&gt;"no",COUNTIFS($CI$2:$CI$662,"&lt;&gt;no",$CA$2:$CA$662,"&gt;"&amp;CA256)+COUNTIFS($CI$2:CI256,"&lt;&gt;no",$CA$2:CA256,CA256),"")</f>
        <v/>
      </c>
    </row>
    <row r="257">
      <c r="A257" s="2" t="inlineStr">
        <is>
          <t>cochesnet:71488801</t>
        </is>
      </c>
      <c r="B257" s="2" t="inlineStr">
        <is>
          <t>cochesnet</t>
        </is>
      </c>
      <c r="C257" s="2" t="inlineStr">
        <is>
          <t>https://www.coches.net/toyota-aygo-10-vvti-aygo-5p-gasolina-2007-en-valencia-71488801-covo.aspx</t>
        </is>
      </c>
      <c r="D257" s="2" t="inlineStr">
        <is>
          <t>TOYOTA Aygo 1.0 VVTi Aygo</t>
        </is>
      </c>
      <c r="E257" s="2" t="inlineStr">
        <is>
          <t>Toyota</t>
        </is>
      </c>
      <c r="F257" s="2" t="inlineStr">
        <is>
          <t>Toyota Aygo</t>
        </is>
      </c>
      <c r="G257" s="2" t="inlineStr">
        <is>
          <t>1.0 VVT-i</t>
        </is>
      </c>
      <c r="H257" s="2" t="inlineStr">
        <is>
          <t>1.0 VVTi Aygo</t>
        </is>
      </c>
      <c r="I257" s="2" t="n"/>
      <c r="J257" s="2" t="n"/>
      <c r="K257" s="2" t="inlineStr">
        <is>
          <t>gasolina</t>
        </is>
      </c>
      <c r="L257" s="2" t="inlineStr">
        <is>
          <t>utilitario</t>
        </is>
      </c>
      <c r="M257" s="2" t="n">
        <v>2007</v>
      </c>
      <c r="N257" s="2" t="n">
        <v>140000</v>
      </c>
      <c r="O257" s="2" t="n">
        <v>3990</v>
      </c>
      <c r="P257" s="2" t="inlineStr">
        <is>
          <t>manual</t>
        </is>
      </c>
      <c r="Q257" s="2" t="inlineStr">
        <is>
          <t>no</t>
        </is>
      </c>
      <c r="R257" s="2" t="inlineStr">
        <is>
          <t>profesional</t>
        </is>
      </c>
      <c r="S257" s="2" t="inlineStr">
        <is>
          <t>Cullera</t>
        </is>
      </c>
      <c r="T257" s="2" t="inlineStr">
        <is>
          <t>2026-09-10T20:23:32Z</t>
        </is>
      </c>
      <c r="U257" s="2" t="n">
        <v>16</v>
      </c>
      <c r="V257" s="2" t="n"/>
      <c r="W257" s="2" t="n"/>
      <c r="X257" s="2" t="n"/>
      <c r="Y257" s="2" t="n"/>
      <c r="Z257" s="2" t="inlineStr">
        <is>
          <t>sí</t>
        </is>
      </c>
      <c r="AA257" s="2" t="n"/>
      <c r="AB257" s="2" t="n">
        <v>12</v>
      </c>
      <c r="AC257" s="2" t="n"/>
      <c r="AD257" s="2" t="n"/>
      <c r="AE257" s="2" t="n"/>
      <c r="AF257" s="2" t="n"/>
      <c r="AG257" s="2" t="n"/>
      <c r="AH257" s="2" t="n">
        <v>3990</v>
      </c>
      <c r="AI257" s="2" t="n"/>
      <c r="AJ257" s="2" t="n"/>
      <c r="AK257" s="2" t="n"/>
      <c r="AL257" s="2" t="n"/>
      <c r="AM257" s="2" t="n">
        <v>35.4</v>
      </c>
      <c r="AN257" s="2" t="n">
        <v>3795</v>
      </c>
      <c r="AO257" s="2" t="n">
        <v>4</v>
      </c>
      <c r="AP257" s="2" t="inlineStr">
        <is>
          <t>modelo+año</t>
        </is>
      </c>
      <c r="AQ257" s="2" t="n"/>
      <c r="AR257" s="2" t="inlineStr">
        <is>
          <t>vendedor profesional: sin ITP (operación con IVA/REBU, confirmar en factura); gastos de gestión del vendedor no indicados: se suma la tasa DGT; preguntar el precio final</t>
        </is>
      </c>
      <c r="AS257" s="2" t="inlineStr">
        <is>
          <t>?VEHÍCULO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T257" s="2" t="inlineStr">
        <is>
          <t>https://www.coches.net/toyota-aygo-10-vvti-aygo-5p-gasolina-2007-en-valencia-71488801-covo.aspx (window.__INITIAL_PROPS__.ad) /home/user/Alopecia/buscador-coches/raw/cochesnet/1fa07c8c6013eed7.json</t>
        </is>
      </c>
      <c r="AU257" s="3">
        <f>MAX(ANIO_ACTUAL-M257,0)</f>
        <v/>
      </c>
      <c r="AV257" s="4">
        <f>N257/MAX(AU257,0.5)</f>
        <v/>
      </c>
      <c r="AW257" s="4">
        <f>F257</f>
        <v/>
      </c>
      <c r="AX257" s="3">
        <f>AW257&amp;"|"&amp;INT(M257/SEG_ANIO)*SEG_ANIO</f>
        <v/>
      </c>
      <c r="AY257" s="3">
        <f>AX257&amp;"|"&amp;INT(N257/SEG_KM)*SEG_KM</f>
        <v/>
      </c>
      <c r="AZ257" s="4">
        <f>COUNTIF($AW$2:$AW$662,AW257)</f>
        <v/>
      </c>
      <c r="BA257" s="4">
        <f>COUNTIF($AX$2:$AX$662,AX257)</f>
        <v/>
      </c>
      <c r="BB257" s="4">
        <f>COUNTIF($AY$2:$AY$662,AY257)</f>
        <v/>
      </c>
      <c r="BC257" s="3">
        <f t="array" ref="BC257">IF(N(AO257)&gt;=MIN_N,AN257,IF(BB257&gt;=MIN_N,MEDIAN(IF($AY$2:$AY$662=AY257,$O$2:$O$662)),IF(BA257&gt;=MIN_N,MEDIAN(IF($AX$2:$AX$662=AX257,$O$2:$O$662)),MEDIAN(IF($AW$2:$AW$662=AW257,$O$2:$O$662)))))</f>
        <v/>
      </c>
      <c r="BD257" s="3">
        <f>IF(N(AO257)&gt;=MIN_N,"mercado "&amp;AP257,IF(BB257&gt;=MIN_N,"modelo+año+km",IF(BA257&gt;=MIN_N,"modelo+año","modelo")))</f>
        <v/>
      </c>
      <c r="BE257" s="4">
        <f>(BC257-O257)/BC257</f>
        <v/>
      </c>
      <c r="BF257" s="3">
        <f>IF(OR(K257="hibrido",K257="glp"),"ECO",IF(K257="electrico","CERO",IF(K257="gasolina",IF(M257&gt;=GAS_C,"C",IF(M257&gt;=GAS_B,"B","A")),IF(K257="diesel",IF(M257&gt;=DIE_C,"C",IF(M257&gt;=DIE_B,"B","A")),""))))</f>
        <v/>
      </c>
      <c r="BG257" s="3">
        <f>IFERROR(VLOOKUP(F257,MOD_TBL,11,0),IFERROR(VLOOKUP(E257,OCU_TBL,2,0),NEUTRO))</f>
        <v/>
      </c>
      <c r="BH257" s="3">
        <f>SUMIFS(MOT_AJUSTE,MOT_MOTOR,G257,MOT_MARCA,E257,MOT_DESDE,"&lt;="&amp;M257,MOT_HASTA,"&gt;="&amp;M257)+SUMIFS(MOT_AJUSTE,MOT_MOTOR,G257,MOT_MARCA,"(todas)",MOT_DESDE,"&lt;="&amp;M257,MOT_HASTA,"&gt;="&amp;M257)</f>
        <v/>
      </c>
      <c r="BI257" s="3">
        <f>SUMIFS(COMB_AJUSTE,COMB_COMB,K257)</f>
        <v/>
      </c>
      <c r="BJ257" s="3">
        <f>COUNTIFS(MOT_MOTOR,G257,MOT_MARCA,E257,MOT_DESDE,"&lt;="&amp;M257,MOT_HASTA,"&gt;="&amp;M257)+COUNTIFS(MOT_MOTOR,G257,MOT_MARCA,"(todas)",MOT_DESDE,"&lt;="&amp;M257,MOT_HASTA,"&gt;="&amp;M257)</f>
        <v/>
      </c>
      <c r="BK257" s="3">
        <f>IF(AND(K257="diesel",BJ257=0),MIN(BG257,NEUTRO),BG257)</f>
        <v/>
      </c>
      <c r="BL257" s="4">
        <f>MAX(0,MIN(100,BK257+BH257+BI257))</f>
        <v/>
      </c>
      <c r="BM257" s="3">
        <f>MAX(0,MIN(100,50+BE257*PRECIO_PEND))</f>
        <v/>
      </c>
      <c r="BN257" s="3">
        <f>MAX(0,100*(1-N257/KM_MAX))</f>
        <v/>
      </c>
      <c r="BO257" s="3">
        <f>IF(AV257&lt;KMA_SOSP,IF(AA257="sí",100,KMA_PEN),IF(AV257&lt;=KMA_IDEAL_MAX,100,MAX(0,100*(KMA_CERO-AV257)/(KMA_CERO-KMA_IDEAL_MAX))))</f>
        <v/>
      </c>
      <c r="BP257" s="3">
        <f>MAX(0,MIN(100,100*(M257-ANIO_MIN)/(ANIO_ACTUAL-ANIO_MIN)))</f>
        <v/>
      </c>
      <c r="BQ257" s="3">
        <f>W_KMT*BN257+W_KMA*BO257+W_EDAD*BP257</f>
        <v/>
      </c>
      <c r="BR257" s="3">
        <f>P_ITV*(V257="sí")+P_LIBRO*(W257="sí")+P_CORREA*(X257="sí")+P_PROP*(Y257=1)+P_GAR*(Z257="sí")+P_FOTOS*MIN(1,N(U257)/FOTOS_OBJ)</f>
        <v/>
      </c>
      <c r="BS257" s="3">
        <f>IFERROR(VLOOKUP(BF257,ETQ_TBL,2,0),NEUTRO)</f>
        <v/>
      </c>
      <c r="BT257" s="3">
        <f>NEUTRO</f>
        <v/>
      </c>
      <c r="BU257" s="3">
        <f>IFERROR(VLOOKUP(L257,SEGURO_TBL,3,0),"")</f>
        <v/>
      </c>
      <c r="BV257" s="3">
        <f>IF(BU257="",NEUTRO,MAX(0,MIN(100,100*(SEG_REF_MAX-BU257)/(SEG_REF_MAX-SEG_REF_MIN))))</f>
        <v/>
      </c>
      <c r="BW257" s="3">
        <f>W_ET*BS257+W_CONS*BT257+W_SEG*BV257</f>
        <v/>
      </c>
      <c r="BX257" s="3">
        <f>IF(N(AB257)&gt;0,AB257,IF(AND(R257="profesional",SG_LEGAL_ON=1),GAR_LEGAL,0))</f>
        <v/>
      </c>
      <c r="BY257" s="3">
        <f>SG_GAR*MIN(1,BX257/SG_GAR_FULL)+SG_AMPL*(AC257="sí")+SG_KMC*(AF257="sí")+SG_REV*(N(AE257)&gt;0)+SG_DEV*MIN(1,N(AG257)/SG_DEV_FULL)+SG_HIST*(W257="sí")</f>
        <v/>
      </c>
      <c r="BZ257" s="3">
        <f>IFERROR(VLOOKUP(L257,CARR_PEN_TBL,2,0),0)</f>
        <v/>
      </c>
      <c r="CA257" s="3">
        <f>W_FIAB*BL257+W_PRECIO*BM257+W_KMEDAD*BQ257+W_ANUNCIO*BR257+W_USO*BW257+W_SEGURIDAD*BY257-BZ257</f>
        <v/>
      </c>
      <c r="CB257" s="4">
        <f>IF(N(I257)&gt;0,I257,IFERROR(ROUND(_xlfn.NUMBERVALUE(LEFT(G257,FIND(" ",G257&amp;" ")-1),".")*1000,0),99999))</f>
        <v/>
      </c>
      <c r="CC257" s="3">
        <f>IF(R257="profesional",0,IF(O257&lt;CUOTA_VALOR_MAX,IF(AU257&gt;ITP_TRAMO_ALTO,SUMIFS(CF_CUOTA,CF_MAS,ITP_TRAMO_ALTO,CF_CCMIN,"&lt;="&amp;CB257,CF_CCMAX,"&gt;="&amp;CB257),IF(AU257&gt;ITP_TRAMO_BAJO,SUMIFS(CF_CUOTA,CF_MAS,ITP_TRAMO_BAJO,CF_CCMIN,"&lt;="&amp;CB257,CF_CCMAX,"&gt;="&amp;CB257),O257*ITP_TIPO)),O257*ITP_TIPO))</f>
        <v/>
      </c>
      <c r="CD257" s="4">
        <f>IF(R257="profesional",N(AK257),0)</f>
        <v/>
      </c>
      <c r="CE257" s="3">
        <f>IF(AND(R257="profesional",ISNUMBER(AK257),AL257="sí"),0,TASA_DGT)</f>
        <v/>
      </c>
      <c r="CF257" s="3">
        <f>INFORME_DGT</f>
        <v/>
      </c>
      <c r="CG257" s="4">
        <f>O257+CD257+CC257+CE257+CF257</f>
        <v/>
      </c>
      <c r="CH257" s="4">
        <f>CG257+N(BU257)</f>
        <v/>
      </c>
      <c r="CI257" s="3">
        <f>IF(CG257&lt;=TOTAL_MAX,"sí",IF(CG257&lt;=TOTAL_MAX+MARGEN_NEG,"negociar","no"))</f>
        <v/>
      </c>
      <c r="CJ257" s="4">
        <f>IF(CI257&lt;&gt;"no",COUNTIFS($CI$2:$CI$662,"&lt;&gt;no",$CA$2:$CA$662,"&gt;"&amp;CA257)+COUNTIFS($CI$2:CI257,"&lt;&gt;no",$CA$2:CA257,CA257),"")</f>
        <v/>
      </c>
    </row>
    <row r="258">
      <c r="A258" s="2" t="inlineStr">
        <is>
          <t>cochesnet:71690212</t>
        </is>
      </c>
      <c r="B258" s="2" t="inlineStr">
        <is>
          <t>cochesnet</t>
        </is>
      </c>
      <c r="C258" s="2" t="inlineStr">
        <is>
          <t>https://www.coches.net/toyota-aygo-gasolina-2006-en-valencia-71690212-covo.aspx</t>
        </is>
      </c>
      <c r="D258" s="2" t="inlineStr">
        <is>
          <t>TOYOTA Aygo</t>
        </is>
      </c>
      <c r="E258" s="2" t="inlineStr">
        <is>
          <t>Toyota</t>
        </is>
      </c>
      <c r="F258" s="2" t="inlineStr">
        <is>
          <t>Toyota Aygo</t>
        </is>
      </c>
      <c r="G258" s="2" t="n"/>
      <c r="H258" s="2" t="n"/>
      <c r="I258" s="2" t="n"/>
      <c r="J258" s="2" t="n"/>
      <c r="K258" s="2" t="inlineStr">
        <is>
          <t>gasolina</t>
        </is>
      </c>
      <c r="L258" s="2" t="inlineStr">
        <is>
          <t>utilitario</t>
        </is>
      </c>
      <c r="M258" s="2" t="n">
        <v>2006</v>
      </c>
      <c r="N258" s="2" t="n">
        <v>10200</v>
      </c>
      <c r="O258" s="2" t="n">
        <v>4600</v>
      </c>
      <c r="P258" s="2" t="inlineStr">
        <is>
          <t>manual</t>
        </is>
      </c>
      <c r="Q258" s="2" t="inlineStr">
        <is>
          <t>no</t>
        </is>
      </c>
      <c r="R258" s="2" t="inlineStr">
        <is>
          <t>particular</t>
        </is>
      </c>
      <c r="S258" s="2" t="n"/>
      <c r="T258" s="2" t="inlineStr">
        <is>
          <t>2026-10-06T18:24:36Z</t>
        </is>
      </c>
      <c r="U258" s="2" t="n">
        <v>4</v>
      </c>
      <c r="V258" s="2" t="n"/>
      <c r="W258" s="2" t="inlineStr">
        <is>
          <t>sí</t>
        </is>
      </c>
      <c r="X258" s="2" t="n"/>
      <c r="Y258" s="2" t="n"/>
      <c r="Z258" s="2" t="inlineStr">
        <is>
          <t>no</t>
        </is>
      </c>
      <c r="AA258" s="2" t="n"/>
      <c r="AB258" s="2" t="n"/>
      <c r="AC258" s="2" t="n"/>
      <c r="AD258" s="2" t="n"/>
      <c r="AE258" s="2" t="n"/>
      <c r="AF258" s="2" t="n"/>
      <c r="AG258" s="2" t="n"/>
      <c r="AH258" s="2" t="n">
        <v>4600</v>
      </c>
      <c r="AI258" s="2" t="n"/>
      <c r="AJ258" s="2" t="n"/>
      <c r="AK258" s="2" t="n"/>
      <c r="AL258" s="2" t="n"/>
      <c r="AM258" s="2" t="n"/>
      <c r="AN258" s="2" t="n"/>
      <c r="AO258" s="2" t="n"/>
      <c r="AP258" s="2" t="n"/>
      <c r="AQ258" s="2" t="n"/>
      <c r="AR258" s="2" t="inlineStr">
        <is>
          <t>cilindrada desconocida: se aplica el tramo de cuota fija más alto; cuota fija ITP: &gt;12 años, más de 2.000 cc; distancia no verificable (el anuncio solo indica la provincia): confirmar que está a &lt;= 70 km</t>
        </is>
      </c>
      <c r="AS258" s="2" t="inlineStr">
        <is>
          <t xml:space="preserve">?coche perfecto para ciudad,cómodo y manejable 
??algún desperfecto de chapa 
?todos los mantenimiento al día 
??no se le pasa ITV porque el dueño se ha comprado otro coche ,?pero se acepta prueba mecánica 
?mejor ver y probar
?embrague nuevo se puede ver en las fotos hace un mes para venderlo </t>
        </is>
      </c>
      <c r="AT258" s="2" t="inlineStr">
        <is>
          <t>https://www.coches.net/toyota-aygo-gasolina-2006-en-valencia-71690212-covo.aspx (window.__INITIAL_PROPS__.ad) /home/user/Alopecia/buscador-coches/raw/cochesnet/502dda6fc901329b.json</t>
        </is>
      </c>
      <c r="AU258" s="3">
        <f>MAX(ANIO_ACTUAL-M258,0)</f>
        <v/>
      </c>
      <c r="AV258" s="4">
        <f>N258/MAX(AU258,0.5)</f>
        <v/>
      </c>
      <c r="AW258" s="4">
        <f>F258</f>
        <v/>
      </c>
      <c r="AX258" s="3">
        <f>AW258&amp;"|"&amp;INT(M258/SEG_ANIO)*SEG_ANIO</f>
        <v/>
      </c>
      <c r="AY258" s="3">
        <f>AX258&amp;"|"&amp;INT(N258/SEG_KM)*SEG_KM</f>
        <v/>
      </c>
      <c r="AZ258" s="4">
        <f>COUNTIF($AW$2:$AW$662,AW258)</f>
        <v/>
      </c>
      <c r="BA258" s="4">
        <f>COUNTIF($AX$2:$AX$662,AX258)</f>
        <v/>
      </c>
      <c r="BB258" s="4">
        <f>COUNTIF($AY$2:$AY$662,AY258)</f>
        <v/>
      </c>
      <c r="BC258" s="3">
        <f t="array" ref="BC258">IF(N(AO258)&gt;=MIN_N,AN258,IF(BB258&gt;=MIN_N,MEDIAN(IF($AY$2:$AY$662=AY258,$O$2:$O$662)),IF(BA258&gt;=MIN_N,MEDIAN(IF($AX$2:$AX$662=AX258,$O$2:$O$662)),MEDIAN(IF($AW$2:$AW$662=AW258,$O$2:$O$662)))))</f>
        <v/>
      </c>
      <c r="BD258" s="3">
        <f>IF(N(AO258)&gt;=MIN_N,"mercado "&amp;AP258,IF(BB258&gt;=MIN_N,"modelo+año+km",IF(BA258&gt;=MIN_N,"modelo+año","modelo")))</f>
        <v/>
      </c>
      <c r="BE258" s="4">
        <f>(BC258-O258)/BC258</f>
        <v/>
      </c>
      <c r="BF258" s="3">
        <f>IF(OR(K258="hibrido",K258="glp"),"ECO",IF(K258="electrico","CERO",IF(K258="gasolina",IF(M258&gt;=GAS_C,"C",IF(M258&gt;=GAS_B,"B","A")),IF(K258="diesel",IF(M258&gt;=DIE_C,"C",IF(M258&gt;=DIE_B,"B","A")),""))))</f>
        <v/>
      </c>
      <c r="BG258" s="3">
        <f>IFERROR(VLOOKUP(F258,MOD_TBL,11,0),IFERROR(VLOOKUP(E258,OCU_TBL,2,0),NEUTRO))</f>
        <v/>
      </c>
      <c r="BH258" s="3">
        <f>SUMIFS(MOT_AJUSTE,MOT_MOTOR,G258,MOT_MARCA,E258,MOT_DESDE,"&lt;="&amp;M258,MOT_HASTA,"&gt;="&amp;M258)+SUMIFS(MOT_AJUSTE,MOT_MOTOR,G258,MOT_MARCA,"(todas)",MOT_DESDE,"&lt;="&amp;M258,MOT_HASTA,"&gt;="&amp;M258)</f>
        <v/>
      </c>
      <c r="BI258" s="3">
        <f>SUMIFS(COMB_AJUSTE,COMB_COMB,K258)</f>
        <v/>
      </c>
      <c r="BJ258" s="3">
        <f>COUNTIFS(MOT_MOTOR,G258,MOT_MARCA,E258,MOT_DESDE,"&lt;="&amp;M258,MOT_HASTA,"&gt;="&amp;M258)+COUNTIFS(MOT_MOTOR,G258,MOT_MARCA,"(todas)",MOT_DESDE,"&lt;="&amp;M258,MOT_HASTA,"&gt;="&amp;M258)</f>
        <v/>
      </c>
      <c r="BK258" s="3">
        <f>IF(AND(K258="diesel",BJ258=0),MIN(BG258,NEUTRO),BG258)</f>
        <v/>
      </c>
      <c r="BL258" s="4">
        <f>MAX(0,MIN(100,BK258+BH258+BI258))</f>
        <v/>
      </c>
      <c r="BM258" s="3">
        <f>MAX(0,MIN(100,50+BE258*PRECIO_PEND))</f>
        <v/>
      </c>
      <c r="BN258" s="3">
        <f>MAX(0,100*(1-N258/KM_MAX))</f>
        <v/>
      </c>
      <c r="BO258" s="3">
        <f>IF(AV258&lt;KMA_SOSP,IF(AA258="sí",100,KMA_PEN),IF(AV258&lt;=KMA_IDEAL_MAX,100,MAX(0,100*(KMA_CERO-AV258)/(KMA_CERO-KMA_IDEAL_MAX))))</f>
        <v/>
      </c>
      <c r="BP258" s="3">
        <f>MAX(0,MIN(100,100*(M258-ANIO_MIN)/(ANIO_ACTUAL-ANIO_MIN)))</f>
        <v/>
      </c>
      <c r="BQ258" s="3">
        <f>W_KMT*BN258+W_KMA*BO258+W_EDAD*BP258</f>
        <v/>
      </c>
      <c r="BR258" s="3">
        <f>P_ITV*(V258="sí")+P_LIBRO*(W258="sí")+P_CORREA*(X258="sí")+P_PROP*(Y258=1)+P_GAR*(Z258="sí")+P_FOTOS*MIN(1,N(U258)/FOTOS_OBJ)</f>
        <v/>
      </c>
      <c r="BS258" s="3">
        <f>IFERROR(VLOOKUP(BF258,ETQ_TBL,2,0),NEUTRO)</f>
        <v/>
      </c>
      <c r="BT258" s="3">
        <f>NEUTRO</f>
        <v/>
      </c>
      <c r="BU258" s="3">
        <f>IFERROR(VLOOKUP(L258,SEGURO_TBL,3,0),"")</f>
        <v/>
      </c>
      <c r="BV258" s="3">
        <f>IF(BU258="",NEUTRO,MAX(0,MIN(100,100*(SEG_REF_MAX-BU258)/(SEG_REF_MAX-SEG_REF_MIN))))</f>
        <v/>
      </c>
      <c r="BW258" s="3">
        <f>W_ET*BS258+W_CONS*BT258+W_SEG*BV258</f>
        <v/>
      </c>
      <c r="BX258" s="3">
        <f>IF(N(AB258)&gt;0,AB258,IF(AND(R258="profesional",SG_LEGAL_ON=1),GAR_LEGAL,0))</f>
        <v/>
      </c>
      <c r="BY258" s="3">
        <f>SG_GAR*MIN(1,BX258/SG_GAR_FULL)+SG_AMPL*(AC258="sí")+SG_KMC*(AF258="sí")+SG_REV*(N(AE258)&gt;0)+SG_DEV*MIN(1,N(AG258)/SG_DEV_FULL)+SG_HIST*(W258="sí")</f>
        <v/>
      </c>
      <c r="BZ258" s="3">
        <f>IFERROR(VLOOKUP(L258,CARR_PEN_TBL,2,0),0)</f>
        <v/>
      </c>
      <c r="CA258" s="3">
        <f>W_FIAB*BL258+W_PRECIO*BM258+W_KMEDAD*BQ258+W_ANUNCIO*BR258+W_USO*BW258+W_SEGURIDAD*BY258-BZ258</f>
        <v/>
      </c>
      <c r="CB258" s="4">
        <f>IF(N(I258)&gt;0,I258,IFERROR(ROUND(_xlfn.NUMBERVALUE(LEFT(G258,FIND(" ",G258&amp;" ")-1),".")*1000,0),99999))</f>
        <v/>
      </c>
      <c r="CC258" s="3">
        <f>IF(R258="profesional",0,IF(O258&lt;CUOTA_VALOR_MAX,IF(AU258&gt;ITP_TRAMO_ALTO,SUMIFS(CF_CUOTA,CF_MAS,ITP_TRAMO_ALTO,CF_CCMIN,"&lt;="&amp;CB258,CF_CCMAX,"&gt;="&amp;CB258),IF(AU258&gt;ITP_TRAMO_BAJO,SUMIFS(CF_CUOTA,CF_MAS,ITP_TRAMO_BAJO,CF_CCMIN,"&lt;="&amp;CB258,CF_CCMAX,"&gt;="&amp;CB258),O258*ITP_TIPO)),O258*ITP_TIPO))</f>
        <v/>
      </c>
      <c r="CD258" s="4">
        <f>IF(R258="profesional",N(AK258),0)</f>
        <v/>
      </c>
      <c r="CE258" s="3">
        <f>IF(AND(R258="profesional",ISNUMBER(AK258),AL258="sí"),0,TASA_DGT)</f>
        <v/>
      </c>
      <c r="CF258" s="3">
        <f>INFORME_DGT</f>
        <v/>
      </c>
      <c r="CG258" s="4">
        <f>O258+CD258+CC258+CE258+CF258</f>
        <v/>
      </c>
      <c r="CH258" s="4">
        <f>CG258+N(BU258)</f>
        <v/>
      </c>
      <c r="CI258" s="3">
        <f>IF(CG258&lt;=TOTAL_MAX,"sí",IF(CG258&lt;=TOTAL_MAX+MARGEN_NEG,"negociar","no"))</f>
        <v/>
      </c>
      <c r="CJ258" s="4">
        <f>IF(CI258&lt;&gt;"no",COUNTIFS($CI$2:$CI$662,"&lt;&gt;no",$CA$2:$CA$662,"&gt;"&amp;CA258)+COUNTIFS($CI$2:CI258,"&lt;&gt;no",$CA$2:CA258,CA258),"")</f>
        <v/>
      </c>
    </row>
    <row r="259">
      <c r="A259" s="2" t="inlineStr">
        <is>
          <t>cochesnet:71838975</t>
        </is>
      </c>
      <c r="B259" s="2" t="inlineStr">
        <is>
          <t>cochesnet</t>
        </is>
      </c>
      <c r="C259" s="2" t="inlineStr">
        <is>
          <t>https://www.coches.net/toyota-avensis-20-d4d-sol-wagon-5p-diesel-2011-en-valencia-71838975-covo.aspx</t>
        </is>
      </c>
      <c r="D259" s="2" t="inlineStr">
        <is>
          <t>TOYOTA Avensis 2.0 D4D Sol Wagon</t>
        </is>
      </c>
      <c r="E259" s="2" t="inlineStr">
        <is>
          <t>Toyota</t>
        </is>
      </c>
      <c r="F259" s="2" t="inlineStr">
        <is>
          <t>Toyota Avensis</t>
        </is>
      </c>
      <c r="G259" s="2" t="inlineStr">
        <is>
          <t>2.0 D-4D</t>
        </is>
      </c>
      <c r="H259" s="2" t="inlineStr">
        <is>
          <t>2.0 D4D Sol Wagon</t>
        </is>
      </c>
      <c r="I259" s="2" t="n"/>
      <c r="J259" s="2" t="n"/>
      <c r="K259" s="2" t="inlineStr">
        <is>
          <t>diesel</t>
        </is>
      </c>
      <c r="L259" s="2" t="inlineStr">
        <is>
          <t>berlina</t>
        </is>
      </c>
      <c r="M259" s="2" t="n">
        <v>2011</v>
      </c>
      <c r="N259" s="2" t="n">
        <v>191000</v>
      </c>
      <c r="O259" s="2" t="n">
        <v>4800</v>
      </c>
      <c r="P259" s="2" t="inlineStr">
        <is>
          <t>manual</t>
        </is>
      </c>
      <c r="Q259" s="2" t="inlineStr">
        <is>
          <t>no</t>
        </is>
      </c>
      <c r="R259" s="2" t="inlineStr">
        <is>
          <t>particular</t>
        </is>
      </c>
      <c r="S259" s="2" t="n"/>
      <c r="T259" s="2" t="inlineStr">
        <is>
          <t>2026-10-26T18:13:14Z</t>
        </is>
      </c>
      <c r="U259" s="2" t="n">
        <v>7</v>
      </c>
      <c r="V259" s="2" t="inlineStr">
        <is>
          <t>sí</t>
        </is>
      </c>
      <c r="W259" s="2" t="n"/>
      <c r="X259" s="2" t="n"/>
      <c r="Y259" s="2" t="n"/>
      <c r="Z259" s="2" t="inlineStr">
        <is>
          <t>no</t>
        </is>
      </c>
      <c r="AA259" s="2" t="n"/>
      <c r="AB259" s="2" t="n"/>
      <c r="AC259" s="2" t="n"/>
      <c r="AD259" s="2" t="n"/>
      <c r="AE259" s="2" t="n"/>
      <c r="AF259" s="2" t="n"/>
      <c r="AG259" s="2" t="n"/>
      <c r="AH259" s="2" t="n">
        <v>4800</v>
      </c>
      <c r="AI259" s="2" t="n"/>
      <c r="AJ259" s="2" t="n"/>
      <c r="AK259" s="2" t="n"/>
      <c r="AL259" s="2" t="n"/>
      <c r="AM259" s="2" t="n"/>
      <c r="AN259" s="2" t="n">
        <v>5200</v>
      </c>
      <c r="AO259" s="2" t="n">
        <v>5</v>
      </c>
      <c r="AP259" s="2" t="inlineStr">
        <is>
          <t>modelo+año</t>
        </is>
      </c>
      <c r="AQ259" s="2" t="n"/>
      <c r="AR259" s="2" t="inlineStr">
        <is>
          <t>cuota fija ITP: &gt;12 años, 1.501-2.000 cc; diésel: motor sin fuente de fiabilidad (fiabilidad limitada a neutra); carrocería berlina: -4 puntos; distancia no verificable (el anuncio solo indica la provincia): confirmar que está a &lt;= 70 km</t>
        </is>
      </c>
      <c r="AS259" s="2" t="inlineStr">
        <is>
          <t>coche en perfecto estado, itv recién pasada , clima bizona,cámara trasera, navegador,  luz automática, ect.
solo venta nada de cambios.</t>
        </is>
      </c>
      <c r="AT259" s="2" t="inlineStr">
        <is>
          <t>https://www.coches.net/toyota-avensis-20-d4d-sol-wagon-5p-diesel-2011-en-valencia-71838975-covo.aspx (window.__INITIAL_PROPS__.ad) /home/user/Alopecia/buscador-coches/raw/cochesnet/890b0c6f41ca23e4.json</t>
        </is>
      </c>
      <c r="AU259" s="3">
        <f>MAX(ANIO_ACTUAL-M259,0)</f>
        <v/>
      </c>
      <c r="AV259" s="4">
        <f>N259/MAX(AU259,0.5)</f>
        <v/>
      </c>
      <c r="AW259" s="4">
        <f>F259</f>
        <v/>
      </c>
      <c r="AX259" s="3">
        <f>AW259&amp;"|"&amp;INT(M259/SEG_ANIO)*SEG_ANIO</f>
        <v/>
      </c>
      <c r="AY259" s="3">
        <f>AX259&amp;"|"&amp;INT(N259/SEG_KM)*SEG_KM</f>
        <v/>
      </c>
      <c r="AZ259" s="4">
        <f>COUNTIF($AW$2:$AW$662,AW259)</f>
        <v/>
      </c>
      <c r="BA259" s="4">
        <f>COUNTIF($AX$2:$AX$662,AX259)</f>
        <v/>
      </c>
      <c r="BB259" s="4">
        <f>COUNTIF($AY$2:$AY$662,AY259)</f>
        <v/>
      </c>
      <c r="BC259" s="3">
        <f t="array" ref="BC259">IF(N(AO259)&gt;=MIN_N,AN259,IF(BB259&gt;=MIN_N,MEDIAN(IF($AY$2:$AY$662=AY259,$O$2:$O$662)),IF(BA259&gt;=MIN_N,MEDIAN(IF($AX$2:$AX$662=AX259,$O$2:$O$662)),MEDIAN(IF($AW$2:$AW$662=AW259,$O$2:$O$662)))))</f>
        <v/>
      </c>
      <c r="BD259" s="3">
        <f>IF(N(AO259)&gt;=MIN_N,"mercado "&amp;AP259,IF(BB259&gt;=MIN_N,"modelo+año+km",IF(BA259&gt;=MIN_N,"modelo+año","modelo")))</f>
        <v/>
      </c>
      <c r="BE259" s="4">
        <f>(BC259-O259)/BC259</f>
        <v/>
      </c>
      <c r="BF259" s="3">
        <f>IF(OR(K259="hibrido",K259="glp"),"ECO",IF(K259="electrico","CERO",IF(K259="gasolina",IF(M259&gt;=GAS_C,"C",IF(M259&gt;=GAS_B,"B","A")),IF(K259="diesel",IF(M259&gt;=DIE_C,"C",IF(M259&gt;=DIE_B,"B","A")),""))))</f>
        <v/>
      </c>
      <c r="BG259" s="3">
        <f>IFERROR(VLOOKUP(F259,MOD_TBL,11,0),IFERROR(VLOOKUP(E259,OCU_TBL,2,0),NEUTRO))</f>
        <v/>
      </c>
      <c r="BH259" s="3">
        <f>SUMIFS(MOT_AJUSTE,MOT_MOTOR,G259,MOT_MARCA,E259,MOT_DESDE,"&lt;="&amp;M259,MOT_HASTA,"&gt;="&amp;M259)+SUMIFS(MOT_AJUSTE,MOT_MOTOR,G259,MOT_MARCA,"(todas)",MOT_DESDE,"&lt;="&amp;M259,MOT_HASTA,"&gt;="&amp;M259)</f>
        <v/>
      </c>
      <c r="BI259" s="3">
        <f>SUMIFS(COMB_AJUSTE,COMB_COMB,K259)</f>
        <v/>
      </c>
      <c r="BJ259" s="3">
        <f>COUNTIFS(MOT_MOTOR,G259,MOT_MARCA,E259,MOT_DESDE,"&lt;="&amp;M259,MOT_HASTA,"&gt;="&amp;M259)+COUNTIFS(MOT_MOTOR,G259,MOT_MARCA,"(todas)",MOT_DESDE,"&lt;="&amp;M259,MOT_HASTA,"&gt;="&amp;M259)</f>
        <v/>
      </c>
      <c r="BK259" s="3">
        <f>IF(AND(K259="diesel",BJ259=0),MIN(BG259,NEUTRO),BG259)</f>
        <v/>
      </c>
      <c r="BL259" s="4">
        <f>MAX(0,MIN(100,BK259+BH259+BI259))</f>
        <v/>
      </c>
      <c r="BM259" s="3">
        <f>MAX(0,MIN(100,50+BE259*PRECIO_PEND))</f>
        <v/>
      </c>
      <c r="BN259" s="3">
        <f>MAX(0,100*(1-N259/KM_MAX))</f>
        <v/>
      </c>
      <c r="BO259" s="3">
        <f>IF(AV259&lt;KMA_SOSP,IF(AA259="sí",100,KMA_PEN),IF(AV259&lt;=KMA_IDEAL_MAX,100,MAX(0,100*(KMA_CERO-AV259)/(KMA_CERO-KMA_IDEAL_MAX))))</f>
        <v/>
      </c>
      <c r="BP259" s="3">
        <f>MAX(0,MIN(100,100*(M259-ANIO_MIN)/(ANIO_ACTUAL-ANIO_MIN)))</f>
        <v/>
      </c>
      <c r="BQ259" s="3">
        <f>W_KMT*BN259+W_KMA*BO259+W_EDAD*BP259</f>
        <v/>
      </c>
      <c r="BR259" s="3">
        <f>P_ITV*(V259="sí")+P_LIBRO*(W259="sí")+P_CORREA*(X259="sí")+P_PROP*(Y259=1)+P_GAR*(Z259="sí")+P_FOTOS*MIN(1,N(U259)/FOTOS_OBJ)</f>
        <v/>
      </c>
      <c r="BS259" s="3">
        <f>IFERROR(VLOOKUP(BF259,ETQ_TBL,2,0),NEUTRO)</f>
        <v/>
      </c>
      <c r="BT259" s="3">
        <f>NEUTRO</f>
        <v/>
      </c>
      <c r="BU259" s="3">
        <f>IFERROR(VLOOKUP(L259,SEGURO_TBL,3,0),"")</f>
        <v/>
      </c>
      <c r="BV259" s="3">
        <f>IF(BU259="",NEUTRO,MAX(0,MIN(100,100*(SEG_REF_MAX-BU259)/(SEG_REF_MAX-SEG_REF_MIN))))</f>
        <v/>
      </c>
      <c r="BW259" s="3">
        <f>W_ET*BS259+W_CONS*BT259+W_SEG*BV259</f>
        <v/>
      </c>
      <c r="BX259" s="3">
        <f>IF(N(AB259)&gt;0,AB259,IF(AND(R259="profesional",SG_LEGAL_ON=1),GAR_LEGAL,0))</f>
        <v/>
      </c>
      <c r="BY259" s="3">
        <f>SG_GAR*MIN(1,BX259/SG_GAR_FULL)+SG_AMPL*(AC259="sí")+SG_KMC*(AF259="sí")+SG_REV*(N(AE259)&gt;0)+SG_DEV*MIN(1,N(AG259)/SG_DEV_FULL)+SG_HIST*(W259="sí")</f>
        <v/>
      </c>
      <c r="BZ259" s="3">
        <f>IFERROR(VLOOKUP(L259,CARR_PEN_TBL,2,0),0)</f>
        <v/>
      </c>
      <c r="CA259" s="3">
        <f>W_FIAB*BL259+W_PRECIO*BM259+W_KMEDAD*BQ259+W_ANUNCIO*BR259+W_USO*BW259+W_SEGURIDAD*BY259-BZ259</f>
        <v/>
      </c>
      <c r="CB259" s="4">
        <f>IF(N(I259)&gt;0,I259,IFERROR(ROUND(_xlfn.NUMBERVALUE(LEFT(G259,FIND(" ",G259&amp;" ")-1),".")*1000,0),99999))</f>
        <v/>
      </c>
      <c r="CC259" s="3">
        <f>IF(R259="profesional",0,IF(O259&lt;CUOTA_VALOR_MAX,IF(AU259&gt;ITP_TRAMO_ALTO,SUMIFS(CF_CUOTA,CF_MAS,ITP_TRAMO_ALTO,CF_CCMIN,"&lt;="&amp;CB259,CF_CCMAX,"&gt;="&amp;CB259),IF(AU259&gt;ITP_TRAMO_BAJO,SUMIFS(CF_CUOTA,CF_MAS,ITP_TRAMO_BAJO,CF_CCMIN,"&lt;="&amp;CB259,CF_CCMAX,"&gt;="&amp;CB259),O259*ITP_TIPO)),O259*ITP_TIPO))</f>
        <v/>
      </c>
      <c r="CD259" s="4">
        <f>IF(R259="profesional",N(AK259),0)</f>
        <v/>
      </c>
      <c r="CE259" s="3">
        <f>IF(AND(R259="profesional",ISNUMBER(AK259),AL259="sí"),0,TASA_DGT)</f>
        <v/>
      </c>
      <c r="CF259" s="3">
        <f>INFORME_DGT</f>
        <v/>
      </c>
      <c r="CG259" s="4">
        <f>O259+CD259+CC259+CE259+CF259</f>
        <v/>
      </c>
      <c r="CH259" s="4">
        <f>CG259+N(BU259)</f>
        <v/>
      </c>
      <c r="CI259" s="3">
        <f>IF(CG259&lt;=TOTAL_MAX,"sí",IF(CG259&lt;=TOTAL_MAX+MARGEN_NEG,"negociar","no"))</f>
        <v/>
      </c>
      <c r="CJ259" s="4">
        <f>IF(CI259&lt;&gt;"no",COUNTIFS($CI$2:$CI$662,"&lt;&gt;no",$CA$2:$CA$662,"&gt;"&amp;CA259)+COUNTIFS($CI$2:CI259,"&lt;&gt;no",$CA$2:CA259,CA259),"")</f>
        <v/>
      </c>
    </row>
    <row r="260">
      <c r="A260" s="2" t="inlineStr">
        <is>
          <t>cochesnet:70377758</t>
        </is>
      </c>
      <c r="B260" s="2" t="inlineStr">
        <is>
          <t>cochesnet</t>
        </is>
      </c>
      <c r="C260" s="2" t="inlineStr">
        <is>
          <t>https://www.coches.net/toyota-avensis-22-d4d-executive-5p-diesel-2008-en-valencia-70377758-covo.aspx</t>
        </is>
      </c>
      <c r="D260" s="2" t="inlineStr">
        <is>
          <t>TOYOTA Avensis 2.2 D4D Executive</t>
        </is>
      </c>
      <c r="E260" s="2" t="inlineStr">
        <is>
          <t>Toyota</t>
        </is>
      </c>
      <c r="F260" s="2" t="inlineStr">
        <is>
          <t>Toyota Avensis</t>
        </is>
      </c>
      <c r="G260" s="2" t="inlineStr">
        <is>
          <t>2.2 D-4D</t>
        </is>
      </c>
      <c r="H260" s="2" t="inlineStr">
        <is>
          <t>2.2 D4D Executive</t>
        </is>
      </c>
      <c r="I260" s="2" t="n"/>
      <c r="J260" s="2" t="n"/>
      <c r="K260" s="2" t="inlineStr">
        <is>
          <t>diesel</t>
        </is>
      </c>
      <c r="L260" s="2" t="inlineStr">
        <is>
          <t>berlina</t>
        </is>
      </c>
      <c r="M260" s="2" t="n">
        <v>2008</v>
      </c>
      <c r="N260" s="2" t="n">
        <v>193000</v>
      </c>
      <c r="O260" s="2" t="n">
        <v>4399</v>
      </c>
      <c r="P260" s="2" t="inlineStr">
        <is>
          <t>manual</t>
        </is>
      </c>
      <c r="Q260" s="2" t="inlineStr">
        <is>
          <t>no</t>
        </is>
      </c>
      <c r="R260" s="2" t="inlineStr">
        <is>
          <t>particular</t>
        </is>
      </c>
      <c r="S260" s="2" t="inlineStr">
        <is>
          <t>Valencia</t>
        </is>
      </c>
      <c r="T260" s="2" t="inlineStr">
        <is>
          <t>2026-10-04T10:48:55Z</t>
        </is>
      </c>
      <c r="U260" s="2" t="n">
        <v>16</v>
      </c>
      <c r="V260" s="2" t="n"/>
      <c r="W260" s="2" t="n"/>
      <c r="X260" s="2" t="n"/>
      <c r="Y260" s="2" t="n">
        <v>2</v>
      </c>
      <c r="Z260" s="2" t="inlineStr">
        <is>
          <t>no</t>
        </is>
      </c>
      <c r="AA260" s="2" t="n"/>
      <c r="AB260" s="2" t="n"/>
      <c r="AC260" s="2" t="n"/>
      <c r="AD260" s="2" t="n"/>
      <c r="AE260" s="2" t="n"/>
      <c r="AF260" s="2" t="n"/>
      <c r="AG260" s="2" t="n"/>
      <c r="AH260" s="2" t="n">
        <v>4399</v>
      </c>
      <c r="AI260" s="2" t="n"/>
      <c r="AJ260" s="2" t="n"/>
      <c r="AK260" s="2" t="n"/>
      <c r="AL260" s="2" t="n"/>
      <c r="AM260" s="2" t="n">
        <v>0.1</v>
      </c>
      <c r="AN260" s="2" t="n">
        <v>4399</v>
      </c>
      <c r="AO260" s="2" t="n">
        <v>7</v>
      </c>
      <c r="AP260" s="2" t="inlineStr">
        <is>
          <t>modelo+año</t>
        </is>
      </c>
      <c r="AQ260" s="2" t="n"/>
      <c r="AR260" s="2" t="inlineStr">
        <is>
          <t>cuota fija ITP: &gt;12 años, más de 2.000 cc; diésel: motor sin fuente de fiabilidad (fiabilidad limitada a neutra); carrocería berlina: -4 puntos</t>
        </is>
      </c>
      <c r="AS260" s="2" t="inlineStr">
        <is>
          <t>Buen estado, 2 propietarios siempre en la misma familia. Se vende por no usar, chequeable en km de ITVs. Buen estado, se enseña sin compromiso y se puede chequear estado.</t>
        </is>
      </c>
      <c r="AT260" s="2" t="inlineStr">
        <is>
          <t>https://www.coches.net/toyota-avensis-22-d4d-executive-5p-diesel-2008-en-valencia-70377758-covo.aspx (window.__INITIAL_PROPS__.ad) /home/user/Alopecia/buscador-coches/raw/cochesnet/b5dfbfb5efdd36b1.json</t>
        </is>
      </c>
      <c r="AU260" s="3">
        <f>MAX(ANIO_ACTUAL-M260,0)</f>
        <v/>
      </c>
      <c r="AV260" s="4">
        <f>N260/MAX(AU260,0.5)</f>
        <v/>
      </c>
      <c r="AW260" s="4">
        <f>F260</f>
        <v/>
      </c>
      <c r="AX260" s="3">
        <f>AW260&amp;"|"&amp;INT(M260/SEG_ANIO)*SEG_ANIO</f>
        <v/>
      </c>
      <c r="AY260" s="3">
        <f>AX260&amp;"|"&amp;INT(N260/SEG_KM)*SEG_KM</f>
        <v/>
      </c>
      <c r="AZ260" s="4">
        <f>COUNTIF($AW$2:$AW$662,AW260)</f>
        <v/>
      </c>
      <c r="BA260" s="4">
        <f>COUNTIF($AX$2:$AX$662,AX260)</f>
        <v/>
      </c>
      <c r="BB260" s="4">
        <f>COUNTIF($AY$2:$AY$662,AY260)</f>
        <v/>
      </c>
      <c r="BC260" s="3">
        <f t="array" ref="BC260">IF(N(AO260)&gt;=MIN_N,AN260,IF(BB260&gt;=MIN_N,MEDIAN(IF($AY$2:$AY$662=AY260,$O$2:$O$662)),IF(BA260&gt;=MIN_N,MEDIAN(IF($AX$2:$AX$662=AX260,$O$2:$O$662)),MEDIAN(IF($AW$2:$AW$662=AW260,$O$2:$O$662)))))</f>
        <v/>
      </c>
      <c r="BD260" s="3">
        <f>IF(N(AO260)&gt;=MIN_N,"mercado "&amp;AP260,IF(BB260&gt;=MIN_N,"modelo+año+km",IF(BA260&gt;=MIN_N,"modelo+año","modelo")))</f>
        <v/>
      </c>
      <c r="BE260" s="4">
        <f>(BC260-O260)/BC260</f>
        <v/>
      </c>
      <c r="BF260" s="3">
        <f>IF(OR(K260="hibrido",K260="glp"),"ECO",IF(K260="electrico","CERO",IF(K260="gasolina",IF(M260&gt;=GAS_C,"C",IF(M260&gt;=GAS_B,"B","A")),IF(K260="diesel",IF(M260&gt;=DIE_C,"C",IF(M260&gt;=DIE_B,"B","A")),""))))</f>
        <v/>
      </c>
      <c r="BG260" s="3">
        <f>IFERROR(VLOOKUP(F260,MOD_TBL,11,0),IFERROR(VLOOKUP(E260,OCU_TBL,2,0),NEUTRO))</f>
        <v/>
      </c>
      <c r="BH260" s="3">
        <f>SUMIFS(MOT_AJUSTE,MOT_MOTOR,G260,MOT_MARCA,E260,MOT_DESDE,"&lt;="&amp;M260,MOT_HASTA,"&gt;="&amp;M260)+SUMIFS(MOT_AJUSTE,MOT_MOTOR,G260,MOT_MARCA,"(todas)",MOT_DESDE,"&lt;="&amp;M260,MOT_HASTA,"&gt;="&amp;M260)</f>
        <v/>
      </c>
      <c r="BI260" s="3">
        <f>SUMIFS(COMB_AJUSTE,COMB_COMB,K260)</f>
        <v/>
      </c>
      <c r="BJ260" s="3">
        <f>COUNTIFS(MOT_MOTOR,G260,MOT_MARCA,E260,MOT_DESDE,"&lt;="&amp;M260,MOT_HASTA,"&gt;="&amp;M260)+COUNTIFS(MOT_MOTOR,G260,MOT_MARCA,"(todas)",MOT_DESDE,"&lt;="&amp;M260,MOT_HASTA,"&gt;="&amp;M260)</f>
        <v/>
      </c>
      <c r="BK260" s="3">
        <f>IF(AND(K260="diesel",BJ260=0),MIN(BG260,NEUTRO),BG260)</f>
        <v/>
      </c>
      <c r="BL260" s="4">
        <f>MAX(0,MIN(100,BK260+BH260+BI260))</f>
        <v/>
      </c>
      <c r="BM260" s="3">
        <f>MAX(0,MIN(100,50+BE260*PRECIO_PEND))</f>
        <v/>
      </c>
      <c r="BN260" s="3">
        <f>MAX(0,100*(1-N260/KM_MAX))</f>
        <v/>
      </c>
      <c r="BO260" s="3">
        <f>IF(AV260&lt;KMA_SOSP,IF(AA260="sí",100,KMA_PEN),IF(AV260&lt;=KMA_IDEAL_MAX,100,MAX(0,100*(KMA_CERO-AV260)/(KMA_CERO-KMA_IDEAL_MAX))))</f>
        <v/>
      </c>
      <c r="BP260" s="3">
        <f>MAX(0,MIN(100,100*(M260-ANIO_MIN)/(ANIO_ACTUAL-ANIO_MIN)))</f>
        <v/>
      </c>
      <c r="BQ260" s="3">
        <f>W_KMT*BN260+W_KMA*BO260+W_EDAD*BP260</f>
        <v/>
      </c>
      <c r="BR260" s="3">
        <f>P_ITV*(V260="sí")+P_LIBRO*(W260="sí")+P_CORREA*(X260="sí")+P_PROP*(Y260=1)+P_GAR*(Z260="sí")+P_FOTOS*MIN(1,N(U260)/FOTOS_OBJ)</f>
        <v/>
      </c>
      <c r="BS260" s="3">
        <f>IFERROR(VLOOKUP(BF260,ETQ_TBL,2,0),NEUTRO)</f>
        <v/>
      </c>
      <c r="BT260" s="3">
        <f>NEUTRO</f>
        <v/>
      </c>
      <c r="BU260" s="3">
        <f>IFERROR(VLOOKUP(L260,SEGURO_TBL,3,0),"")</f>
        <v/>
      </c>
      <c r="BV260" s="3">
        <f>IF(BU260="",NEUTRO,MAX(0,MIN(100,100*(SEG_REF_MAX-BU260)/(SEG_REF_MAX-SEG_REF_MIN))))</f>
        <v/>
      </c>
      <c r="BW260" s="3">
        <f>W_ET*BS260+W_CONS*BT260+W_SEG*BV260</f>
        <v/>
      </c>
      <c r="BX260" s="3">
        <f>IF(N(AB260)&gt;0,AB260,IF(AND(R260="profesional",SG_LEGAL_ON=1),GAR_LEGAL,0))</f>
        <v/>
      </c>
      <c r="BY260" s="3">
        <f>SG_GAR*MIN(1,BX260/SG_GAR_FULL)+SG_AMPL*(AC260="sí")+SG_KMC*(AF260="sí")+SG_REV*(N(AE260)&gt;0)+SG_DEV*MIN(1,N(AG260)/SG_DEV_FULL)+SG_HIST*(W260="sí")</f>
        <v/>
      </c>
      <c r="BZ260" s="3">
        <f>IFERROR(VLOOKUP(L260,CARR_PEN_TBL,2,0),0)</f>
        <v/>
      </c>
      <c r="CA260" s="3">
        <f>W_FIAB*BL260+W_PRECIO*BM260+W_KMEDAD*BQ260+W_ANUNCIO*BR260+W_USO*BW260+W_SEGURIDAD*BY260-BZ260</f>
        <v/>
      </c>
      <c r="CB260" s="4">
        <f>IF(N(I260)&gt;0,I260,IFERROR(ROUND(_xlfn.NUMBERVALUE(LEFT(G260,FIND(" ",G260&amp;" ")-1),".")*1000,0),99999))</f>
        <v/>
      </c>
      <c r="CC260" s="3">
        <f>IF(R260="profesional",0,IF(O260&lt;CUOTA_VALOR_MAX,IF(AU260&gt;ITP_TRAMO_ALTO,SUMIFS(CF_CUOTA,CF_MAS,ITP_TRAMO_ALTO,CF_CCMIN,"&lt;="&amp;CB260,CF_CCMAX,"&gt;="&amp;CB260),IF(AU260&gt;ITP_TRAMO_BAJO,SUMIFS(CF_CUOTA,CF_MAS,ITP_TRAMO_BAJO,CF_CCMIN,"&lt;="&amp;CB260,CF_CCMAX,"&gt;="&amp;CB260),O260*ITP_TIPO)),O260*ITP_TIPO))</f>
        <v/>
      </c>
      <c r="CD260" s="4">
        <f>IF(R260="profesional",N(AK260),0)</f>
        <v/>
      </c>
      <c r="CE260" s="3">
        <f>IF(AND(R260="profesional",ISNUMBER(AK260),AL260="sí"),0,TASA_DGT)</f>
        <v/>
      </c>
      <c r="CF260" s="3">
        <f>INFORME_DGT</f>
        <v/>
      </c>
      <c r="CG260" s="4">
        <f>O260+CD260+CC260+CE260+CF260</f>
        <v/>
      </c>
      <c r="CH260" s="4">
        <f>CG260+N(BU260)</f>
        <v/>
      </c>
      <c r="CI260" s="3">
        <f>IF(CG260&lt;=TOTAL_MAX,"sí",IF(CG260&lt;=TOTAL_MAX+MARGEN_NEG,"negociar","no"))</f>
        <v/>
      </c>
      <c r="CJ260" s="4">
        <f>IF(CI260&lt;&gt;"no",COUNTIFS($CI$2:$CI$662,"&lt;&gt;no",$CA$2:$CA$662,"&gt;"&amp;CA260)+COUNTIFS($CI$2:CI260,"&lt;&gt;no",$CA$2:CA260,CA260),"")</f>
        <v/>
      </c>
    </row>
    <row r="261">
      <c r="A261" s="2" t="inlineStr">
        <is>
          <t>cochesnet:71368442</t>
        </is>
      </c>
      <c r="B261" s="2" t="inlineStr">
        <is>
          <t>cochesnet</t>
        </is>
      </c>
      <c r="C261" s="2" t="inlineStr">
        <is>
          <t>https://www.coches.net/honda-jazz-gasolina-2008-en-valencia-71368442-covo.aspx</t>
        </is>
      </c>
      <c r="D261" s="2" t="inlineStr">
        <is>
          <t>HONDA Jazz</t>
        </is>
      </c>
      <c r="E261" s="2" t="inlineStr">
        <is>
          <t>Honda</t>
        </is>
      </c>
      <c r="F261" s="2" t="inlineStr">
        <is>
          <t>Honda Jazz</t>
        </is>
      </c>
      <c r="G261" s="2" t="n"/>
      <c r="H261" s="2" t="n"/>
      <c r="I261" s="2" t="n"/>
      <c r="J261" s="2" t="n"/>
      <c r="K261" s="2" t="inlineStr">
        <is>
          <t>gasolina</t>
        </is>
      </c>
      <c r="L261" s="2" t="inlineStr">
        <is>
          <t>utilitario</t>
        </is>
      </c>
      <c r="M261" s="2" t="n">
        <v>2008</v>
      </c>
      <c r="N261" s="2" t="n">
        <v>185000</v>
      </c>
      <c r="O261" s="2" t="n">
        <v>5000</v>
      </c>
      <c r="P261" s="2" t="inlineStr">
        <is>
          <t>manual</t>
        </is>
      </c>
      <c r="Q261" s="2" t="inlineStr">
        <is>
          <t>no</t>
        </is>
      </c>
      <c r="R261" s="2" t="inlineStr">
        <is>
          <t>particular</t>
        </is>
      </c>
      <c r="S261" s="2" t="n"/>
      <c r="T261" s="2" t="inlineStr">
        <is>
          <t>2026-08-26T10:29:52Z</t>
        </is>
      </c>
      <c r="U261" s="2" t="n">
        <v>9</v>
      </c>
      <c r="V261" s="2" t="n"/>
      <c r="W261" s="2" t="n"/>
      <c r="X261" s="2" t="n"/>
      <c r="Y261" s="2" t="n"/>
      <c r="Z261" s="2" t="inlineStr">
        <is>
          <t>no</t>
        </is>
      </c>
      <c r="AA261" s="2" t="n"/>
      <c r="AB261" s="2" t="n"/>
      <c r="AC261" s="2" t="n"/>
      <c r="AD261" s="2" t="n"/>
      <c r="AE261" s="2" t="n"/>
      <c r="AF261" s="2" t="n"/>
      <c r="AG261" s="2" t="n"/>
      <c r="AH261" s="2" t="n">
        <v>5000</v>
      </c>
      <c r="AI261" s="2" t="n"/>
      <c r="AJ261" s="2" t="n"/>
      <c r="AK261" s="2" t="n"/>
      <c r="AL261" s="2" t="n"/>
      <c r="AM261" s="2" t="n"/>
      <c r="AN261" s="2" t="n"/>
      <c r="AO261" s="2" t="n"/>
      <c r="AP261" s="2" t="n"/>
      <c r="AQ261" s="2" t="n"/>
      <c r="AR261" s="2" t="inlineStr">
        <is>
          <t>por encima del presupuesto (5204 €),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S261" s="2" t="inlineStr">
        <is>
          <t xml:space="preserve">Honda jazz  full equip, año 2009
</t>
        </is>
      </c>
      <c r="AT261" s="2" t="inlineStr">
        <is>
          <t>https://www.coches.net/honda-jazz-gasolina-2008-en-valencia-71368442-covo.aspx (window.__INITIAL_PROPS__.ad) /home/user/Alopecia/buscador-coches/raw/cochesnet/41bbcfa8ce468382.json</t>
        </is>
      </c>
      <c r="AU261" s="3">
        <f>MAX(ANIO_ACTUAL-M261,0)</f>
        <v/>
      </c>
      <c r="AV261" s="4">
        <f>N261/MAX(AU261,0.5)</f>
        <v/>
      </c>
      <c r="AW261" s="4">
        <f>F261</f>
        <v/>
      </c>
      <c r="AX261" s="3">
        <f>AW261&amp;"|"&amp;INT(M261/SEG_ANIO)*SEG_ANIO</f>
        <v/>
      </c>
      <c r="AY261" s="3">
        <f>AX261&amp;"|"&amp;INT(N261/SEG_KM)*SEG_KM</f>
        <v/>
      </c>
      <c r="AZ261" s="4">
        <f>COUNTIF($AW$2:$AW$662,AW261)</f>
        <v/>
      </c>
      <c r="BA261" s="4">
        <f>COUNTIF($AX$2:$AX$662,AX261)</f>
        <v/>
      </c>
      <c r="BB261" s="4">
        <f>COUNTIF($AY$2:$AY$662,AY261)</f>
        <v/>
      </c>
      <c r="BC261" s="3">
        <f t="array" ref="BC261">IF(N(AO261)&gt;=MIN_N,AN261,IF(BB261&gt;=MIN_N,MEDIAN(IF($AY$2:$AY$662=AY261,$O$2:$O$662)),IF(BA261&gt;=MIN_N,MEDIAN(IF($AX$2:$AX$662=AX261,$O$2:$O$662)),MEDIAN(IF($AW$2:$AW$662=AW261,$O$2:$O$662)))))</f>
        <v/>
      </c>
      <c r="BD261" s="3">
        <f>IF(N(AO261)&gt;=MIN_N,"mercado "&amp;AP261,IF(BB261&gt;=MIN_N,"modelo+año+km",IF(BA261&gt;=MIN_N,"modelo+año","modelo")))</f>
        <v/>
      </c>
      <c r="BE261" s="4">
        <f>(BC261-O261)/BC261</f>
        <v/>
      </c>
      <c r="BF261" s="3">
        <f>IF(OR(K261="hibrido",K261="glp"),"ECO",IF(K261="electrico","CERO",IF(K261="gasolina",IF(M261&gt;=GAS_C,"C",IF(M261&gt;=GAS_B,"B","A")),IF(K261="diesel",IF(M261&gt;=DIE_C,"C",IF(M261&gt;=DIE_B,"B","A")),""))))</f>
        <v/>
      </c>
      <c r="BG261" s="3">
        <f>IFERROR(VLOOKUP(F261,MOD_TBL,11,0),IFERROR(VLOOKUP(E261,OCU_TBL,2,0),NEUTRO))</f>
        <v/>
      </c>
      <c r="BH261" s="3">
        <f>SUMIFS(MOT_AJUSTE,MOT_MOTOR,G261,MOT_MARCA,E261,MOT_DESDE,"&lt;="&amp;M261,MOT_HASTA,"&gt;="&amp;M261)+SUMIFS(MOT_AJUSTE,MOT_MOTOR,G261,MOT_MARCA,"(todas)",MOT_DESDE,"&lt;="&amp;M261,MOT_HASTA,"&gt;="&amp;M261)</f>
        <v/>
      </c>
      <c r="BI261" s="3">
        <f>SUMIFS(COMB_AJUSTE,COMB_COMB,K261)</f>
        <v/>
      </c>
      <c r="BJ261" s="3">
        <f>COUNTIFS(MOT_MOTOR,G261,MOT_MARCA,E261,MOT_DESDE,"&lt;="&amp;M261,MOT_HASTA,"&gt;="&amp;M261)+COUNTIFS(MOT_MOTOR,G261,MOT_MARCA,"(todas)",MOT_DESDE,"&lt;="&amp;M261,MOT_HASTA,"&gt;="&amp;M261)</f>
        <v/>
      </c>
      <c r="BK261" s="3">
        <f>IF(AND(K261="diesel",BJ261=0),MIN(BG261,NEUTRO),BG261)</f>
        <v/>
      </c>
      <c r="BL261" s="4">
        <f>MAX(0,MIN(100,BK261+BH261+BI261))</f>
        <v/>
      </c>
      <c r="BM261" s="3">
        <f>MAX(0,MIN(100,50+BE261*PRECIO_PEND))</f>
        <v/>
      </c>
      <c r="BN261" s="3">
        <f>MAX(0,100*(1-N261/KM_MAX))</f>
        <v/>
      </c>
      <c r="BO261" s="3">
        <f>IF(AV261&lt;KMA_SOSP,IF(AA261="sí",100,KMA_PEN),IF(AV261&lt;=KMA_IDEAL_MAX,100,MAX(0,100*(KMA_CERO-AV261)/(KMA_CERO-KMA_IDEAL_MAX))))</f>
        <v/>
      </c>
      <c r="BP261" s="3">
        <f>MAX(0,MIN(100,100*(M261-ANIO_MIN)/(ANIO_ACTUAL-ANIO_MIN)))</f>
        <v/>
      </c>
      <c r="BQ261" s="3">
        <f>W_KMT*BN261+W_KMA*BO261+W_EDAD*BP261</f>
        <v/>
      </c>
      <c r="BR261" s="3">
        <f>P_ITV*(V261="sí")+P_LIBRO*(W261="sí")+P_CORREA*(X261="sí")+P_PROP*(Y261=1)+P_GAR*(Z261="sí")+P_FOTOS*MIN(1,N(U261)/FOTOS_OBJ)</f>
        <v/>
      </c>
      <c r="BS261" s="3">
        <f>IFERROR(VLOOKUP(BF261,ETQ_TBL,2,0),NEUTRO)</f>
        <v/>
      </c>
      <c r="BT261" s="3">
        <f>NEUTRO</f>
        <v/>
      </c>
      <c r="BU261" s="3">
        <f>IFERROR(VLOOKUP(L261,SEGURO_TBL,3,0),"")</f>
        <v/>
      </c>
      <c r="BV261" s="3">
        <f>IF(BU261="",NEUTRO,MAX(0,MIN(100,100*(SEG_REF_MAX-BU261)/(SEG_REF_MAX-SEG_REF_MIN))))</f>
        <v/>
      </c>
      <c r="BW261" s="3">
        <f>W_ET*BS261+W_CONS*BT261+W_SEG*BV261</f>
        <v/>
      </c>
      <c r="BX261" s="3">
        <f>IF(N(AB261)&gt;0,AB261,IF(AND(R261="profesional",SG_LEGAL_ON=1),GAR_LEGAL,0))</f>
        <v/>
      </c>
      <c r="BY261" s="3">
        <f>SG_GAR*MIN(1,BX261/SG_GAR_FULL)+SG_AMPL*(AC261="sí")+SG_KMC*(AF261="sí")+SG_REV*(N(AE261)&gt;0)+SG_DEV*MIN(1,N(AG261)/SG_DEV_FULL)+SG_HIST*(W261="sí")</f>
        <v/>
      </c>
      <c r="BZ261" s="3">
        <f>IFERROR(VLOOKUP(L261,CARR_PEN_TBL,2,0),0)</f>
        <v/>
      </c>
      <c r="CA261" s="3">
        <f>W_FIAB*BL261+W_PRECIO*BM261+W_KMEDAD*BQ261+W_ANUNCIO*BR261+W_USO*BW261+W_SEGURIDAD*BY261-BZ261</f>
        <v/>
      </c>
      <c r="CB261" s="4">
        <f>IF(N(I261)&gt;0,I261,IFERROR(ROUND(_xlfn.NUMBERVALUE(LEFT(G261,FIND(" ",G261&amp;" ")-1),".")*1000,0),99999))</f>
        <v/>
      </c>
      <c r="CC261" s="3">
        <f>IF(R261="profesional",0,IF(O261&lt;CUOTA_VALOR_MAX,IF(AU261&gt;ITP_TRAMO_ALTO,SUMIFS(CF_CUOTA,CF_MAS,ITP_TRAMO_ALTO,CF_CCMIN,"&lt;="&amp;CB261,CF_CCMAX,"&gt;="&amp;CB261),IF(AU261&gt;ITP_TRAMO_BAJO,SUMIFS(CF_CUOTA,CF_MAS,ITP_TRAMO_BAJO,CF_CCMIN,"&lt;="&amp;CB261,CF_CCMAX,"&gt;="&amp;CB261),O261*ITP_TIPO)),O261*ITP_TIPO))</f>
        <v/>
      </c>
      <c r="CD261" s="4">
        <f>IF(R261="profesional",N(AK261),0)</f>
        <v/>
      </c>
      <c r="CE261" s="3">
        <f>IF(AND(R261="profesional",ISNUMBER(AK261),AL261="sí"),0,TASA_DGT)</f>
        <v/>
      </c>
      <c r="CF261" s="3">
        <f>INFORME_DGT</f>
        <v/>
      </c>
      <c r="CG261" s="4">
        <f>O261+CD261+CC261+CE261+CF261</f>
        <v/>
      </c>
      <c r="CH261" s="4">
        <f>CG261+N(BU261)</f>
        <v/>
      </c>
      <c r="CI261" s="3">
        <f>IF(CG261&lt;=TOTAL_MAX,"sí",IF(CG261&lt;=TOTAL_MAX+MARGEN_NEG,"negociar","no"))</f>
        <v/>
      </c>
      <c r="CJ261" s="4">
        <f>IF(CI261&lt;&gt;"no",COUNTIFS($CI$2:$CI$662,"&lt;&gt;no",$CA$2:$CA$662,"&gt;"&amp;CA261)+COUNTIFS($CI$2:CI261,"&lt;&gt;no",$CA$2:CA261,CA261),"")</f>
        <v/>
      </c>
    </row>
    <row r="262">
      <c r="A262" s="2" t="inlineStr">
        <is>
          <t>cochesnet:71732041</t>
        </is>
      </c>
      <c r="B262" s="2" t="inlineStr">
        <is>
          <t>cochesnet</t>
        </is>
      </c>
      <c r="C262" s="2" t="inlineStr">
        <is>
          <t>https://www.coches.net/mazda-mazda2-active-14-crtd-5p-diesel-2007-en-valencia-71732041-covo.aspx</t>
        </is>
      </c>
      <c r="D262" s="2" t="inlineStr">
        <is>
          <t>MAZDA Mazda2 Active 1.4 CRTD</t>
        </is>
      </c>
      <c r="E262" s="2" t="inlineStr">
        <is>
          <t>Mazda</t>
        </is>
      </c>
      <c r="F262" s="2" t="inlineStr">
        <is>
          <t>Mazda 2</t>
        </is>
      </c>
      <c r="G262" s="2" t="inlineStr">
        <is>
          <t>1.4</t>
        </is>
      </c>
      <c r="H262" s="2" t="inlineStr">
        <is>
          <t>Active 1.4 CRTD</t>
        </is>
      </c>
      <c r="I262" s="2" t="n"/>
      <c r="J262" s="2" t="n"/>
      <c r="K262" s="2" t="inlineStr">
        <is>
          <t>diesel</t>
        </is>
      </c>
      <c r="L262" s="2" t="inlineStr">
        <is>
          <t>utilitario</t>
        </is>
      </c>
      <c r="M262" s="2" t="n">
        <v>2008</v>
      </c>
      <c r="N262" s="2" t="n">
        <v>111000</v>
      </c>
      <c r="O262" s="2" t="n">
        <v>4990</v>
      </c>
      <c r="P262" s="2" t="inlineStr">
        <is>
          <t>manual</t>
        </is>
      </c>
      <c r="Q262" s="2" t="inlineStr">
        <is>
          <t>no</t>
        </is>
      </c>
      <c r="R262" s="2" t="inlineStr">
        <is>
          <t>profesional</t>
        </is>
      </c>
      <c r="S262" s="2" t="inlineStr">
        <is>
          <t>Only Cars Valencia Aldaia</t>
        </is>
      </c>
      <c r="T262" s="2" t="inlineStr">
        <is>
          <t>2026-10-13T12:02:29Z</t>
        </is>
      </c>
      <c r="U262" s="2" t="n">
        <v>10</v>
      </c>
      <c r="V262" s="2" t="n"/>
      <c r="W262" s="2" t="n"/>
      <c r="X262" s="2" t="n"/>
      <c r="Y262" s="2" t="n">
        <v>1</v>
      </c>
      <c r="Z262" s="2" t="inlineStr">
        <is>
          <t>sí</t>
        </is>
      </c>
      <c r="AA262" s="2" t="n"/>
      <c r="AB262" s="2" t="n">
        <v>12</v>
      </c>
      <c r="AC262" s="2" t="n"/>
      <c r="AD262" s="2" t="n"/>
      <c r="AE262" s="2" t="n"/>
      <c r="AF262" s="2" t="n"/>
      <c r="AG262" s="2" t="n"/>
      <c r="AH262" s="2" t="n">
        <v>4990</v>
      </c>
      <c r="AI262" s="2" t="n"/>
      <c r="AJ262" s="2" t="n"/>
      <c r="AK262" s="2" t="n"/>
      <c r="AL262" s="2" t="n"/>
      <c r="AM262" s="2" t="n">
        <v>7.5</v>
      </c>
      <c r="AN262" s="2" t="n">
        <v>5000</v>
      </c>
      <c r="AO262" s="2" t="n">
        <v>12</v>
      </c>
      <c r="AP262" s="2" t="inlineStr">
        <is>
          <t>modelo+año</t>
        </is>
      </c>
      <c r="AQ262" s="2" t="n"/>
      <c r="AR262"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262" s="2" t="inlineStr">
        <is>
          <t>Mazda 2 1.4 Diesel CRTD Active año 2008 con 111.000Kms 70CV. UNICO PROPIETARIO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262" s="2" t="inlineStr">
        <is>
          <t>https://www.coches.net/mazda-mazda2-active-14-crtd-5p-diesel-2007-en-valencia-71732041-covo.aspx (window.__INITIAL_PROPS__.ad) /home/user/Alopecia/buscador-coches/raw/cochesnet/787c54b4e793f020.json</t>
        </is>
      </c>
      <c r="AU262" s="3">
        <f>MAX(ANIO_ACTUAL-M262,0)</f>
        <v/>
      </c>
      <c r="AV262" s="4">
        <f>N262/MAX(AU262,0.5)</f>
        <v/>
      </c>
      <c r="AW262" s="4">
        <f>F262</f>
        <v/>
      </c>
      <c r="AX262" s="3">
        <f>AW262&amp;"|"&amp;INT(M262/SEG_ANIO)*SEG_ANIO</f>
        <v/>
      </c>
      <c r="AY262" s="3">
        <f>AX262&amp;"|"&amp;INT(N262/SEG_KM)*SEG_KM</f>
        <v/>
      </c>
      <c r="AZ262" s="4">
        <f>COUNTIF($AW$2:$AW$662,AW262)</f>
        <v/>
      </c>
      <c r="BA262" s="4">
        <f>COUNTIF($AX$2:$AX$662,AX262)</f>
        <v/>
      </c>
      <c r="BB262" s="4">
        <f>COUNTIF($AY$2:$AY$662,AY262)</f>
        <v/>
      </c>
      <c r="BC262" s="3">
        <f t="array" ref="BC262">IF(N(AO262)&gt;=MIN_N,AN262,IF(BB262&gt;=MIN_N,MEDIAN(IF($AY$2:$AY$662=AY262,$O$2:$O$662)),IF(BA262&gt;=MIN_N,MEDIAN(IF($AX$2:$AX$662=AX262,$O$2:$O$662)),MEDIAN(IF($AW$2:$AW$662=AW262,$O$2:$O$662)))))</f>
        <v/>
      </c>
      <c r="BD262" s="3">
        <f>IF(N(AO262)&gt;=MIN_N,"mercado "&amp;AP262,IF(BB262&gt;=MIN_N,"modelo+año+km",IF(BA262&gt;=MIN_N,"modelo+año","modelo")))</f>
        <v/>
      </c>
      <c r="BE262" s="4">
        <f>(BC262-O262)/BC262</f>
        <v/>
      </c>
      <c r="BF262" s="3">
        <f>IF(OR(K262="hibrido",K262="glp"),"ECO",IF(K262="electrico","CERO",IF(K262="gasolina",IF(M262&gt;=GAS_C,"C",IF(M262&gt;=GAS_B,"B","A")),IF(K262="diesel",IF(M262&gt;=DIE_C,"C",IF(M262&gt;=DIE_B,"B","A")),""))))</f>
        <v/>
      </c>
      <c r="BG262" s="3">
        <f>IFERROR(VLOOKUP(F262,MOD_TBL,11,0),IFERROR(VLOOKUP(E262,OCU_TBL,2,0),NEUTRO))</f>
        <v/>
      </c>
      <c r="BH262" s="3">
        <f>SUMIFS(MOT_AJUSTE,MOT_MOTOR,G262,MOT_MARCA,E262,MOT_DESDE,"&lt;="&amp;M262,MOT_HASTA,"&gt;="&amp;M262)+SUMIFS(MOT_AJUSTE,MOT_MOTOR,G262,MOT_MARCA,"(todas)",MOT_DESDE,"&lt;="&amp;M262,MOT_HASTA,"&gt;="&amp;M262)</f>
        <v/>
      </c>
      <c r="BI262" s="3">
        <f>SUMIFS(COMB_AJUSTE,COMB_COMB,K262)</f>
        <v/>
      </c>
      <c r="BJ262" s="3">
        <f>COUNTIFS(MOT_MOTOR,G262,MOT_MARCA,E262,MOT_DESDE,"&lt;="&amp;M262,MOT_HASTA,"&gt;="&amp;M262)+COUNTIFS(MOT_MOTOR,G262,MOT_MARCA,"(todas)",MOT_DESDE,"&lt;="&amp;M262,MOT_HASTA,"&gt;="&amp;M262)</f>
        <v/>
      </c>
      <c r="BK262" s="3">
        <f>IF(AND(K262="diesel",BJ262=0),MIN(BG262,NEUTRO),BG262)</f>
        <v/>
      </c>
      <c r="BL262" s="4">
        <f>MAX(0,MIN(100,BK262+BH262+BI262))</f>
        <v/>
      </c>
      <c r="BM262" s="3">
        <f>MAX(0,MIN(100,50+BE262*PRECIO_PEND))</f>
        <v/>
      </c>
      <c r="BN262" s="3">
        <f>MAX(0,100*(1-N262/KM_MAX))</f>
        <v/>
      </c>
      <c r="BO262" s="3">
        <f>IF(AV262&lt;KMA_SOSP,IF(AA262="sí",100,KMA_PEN),IF(AV262&lt;=KMA_IDEAL_MAX,100,MAX(0,100*(KMA_CERO-AV262)/(KMA_CERO-KMA_IDEAL_MAX))))</f>
        <v/>
      </c>
      <c r="BP262" s="3">
        <f>MAX(0,MIN(100,100*(M262-ANIO_MIN)/(ANIO_ACTUAL-ANIO_MIN)))</f>
        <v/>
      </c>
      <c r="BQ262" s="3">
        <f>W_KMT*BN262+W_KMA*BO262+W_EDAD*BP262</f>
        <v/>
      </c>
      <c r="BR262" s="3">
        <f>P_ITV*(V262="sí")+P_LIBRO*(W262="sí")+P_CORREA*(X262="sí")+P_PROP*(Y262=1)+P_GAR*(Z262="sí")+P_FOTOS*MIN(1,N(U262)/FOTOS_OBJ)</f>
        <v/>
      </c>
      <c r="BS262" s="3">
        <f>IFERROR(VLOOKUP(BF262,ETQ_TBL,2,0),NEUTRO)</f>
        <v/>
      </c>
      <c r="BT262" s="3">
        <f>NEUTRO</f>
        <v/>
      </c>
      <c r="BU262" s="3">
        <f>IFERROR(VLOOKUP(L262,SEGURO_TBL,3,0),"")</f>
        <v/>
      </c>
      <c r="BV262" s="3">
        <f>IF(BU262="",NEUTRO,MAX(0,MIN(100,100*(SEG_REF_MAX-BU262)/(SEG_REF_MAX-SEG_REF_MIN))))</f>
        <v/>
      </c>
      <c r="BW262" s="3">
        <f>W_ET*BS262+W_CONS*BT262+W_SEG*BV262</f>
        <v/>
      </c>
      <c r="BX262" s="3">
        <f>IF(N(AB262)&gt;0,AB262,IF(AND(R262="profesional",SG_LEGAL_ON=1),GAR_LEGAL,0))</f>
        <v/>
      </c>
      <c r="BY262" s="3">
        <f>SG_GAR*MIN(1,BX262/SG_GAR_FULL)+SG_AMPL*(AC262="sí")+SG_KMC*(AF262="sí")+SG_REV*(N(AE262)&gt;0)+SG_DEV*MIN(1,N(AG262)/SG_DEV_FULL)+SG_HIST*(W262="sí")</f>
        <v/>
      </c>
      <c r="BZ262" s="3">
        <f>IFERROR(VLOOKUP(L262,CARR_PEN_TBL,2,0),0)</f>
        <v/>
      </c>
      <c r="CA262" s="3">
        <f>W_FIAB*BL262+W_PRECIO*BM262+W_KMEDAD*BQ262+W_ANUNCIO*BR262+W_USO*BW262+W_SEGURIDAD*BY262-BZ262</f>
        <v/>
      </c>
      <c r="CB262" s="4">
        <f>IF(N(I262)&gt;0,I262,IFERROR(ROUND(_xlfn.NUMBERVALUE(LEFT(G262,FIND(" ",G262&amp;" ")-1),".")*1000,0),99999))</f>
        <v/>
      </c>
      <c r="CC262" s="3">
        <f>IF(R262="profesional",0,IF(O262&lt;CUOTA_VALOR_MAX,IF(AU262&gt;ITP_TRAMO_ALTO,SUMIFS(CF_CUOTA,CF_MAS,ITP_TRAMO_ALTO,CF_CCMIN,"&lt;="&amp;CB262,CF_CCMAX,"&gt;="&amp;CB262),IF(AU262&gt;ITP_TRAMO_BAJO,SUMIFS(CF_CUOTA,CF_MAS,ITP_TRAMO_BAJO,CF_CCMIN,"&lt;="&amp;CB262,CF_CCMAX,"&gt;="&amp;CB262),O262*ITP_TIPO)),O262*ITP_TIPO))</f>
        <v/>
      </c>
      <c r="CD262" s="4">
        <f>IF(R262="profesional",N(AK262),0)</f>
        <v/>
      </c>
      <c r="CE262" s="3">
        <f>IF(AND(R262="profesional",ISNUMBER(AK262),AL262="sí"),0,TASA_DGT)</f>
        <v/>
      </c>
      <c r="CF262" s="3">
        <f>INFORME_DGT</f>
        <v/>
      </c>
      <c r="CG262" s="4">
        <f>O262+CD262+CC262+CE262+CF262</f>
        <v/>
      </c>
      <c r="CH262" s="4">
        <f>CG262+N(BU262)</f>
        <v/>
      </c>
      <c r="CI262" s="3">
        <f>IF(CG262&lt;=TOTAL_MAX,"sí",IF(CG262&lt;=TOTAL_MAX+MARGEN_NEG,"negociar","no"))</f>
        <v/>
      </c>
      <c r="CJ262" s="4">
        <f>IF(CI262&lt;&gt;"no",COUNTIFS($CI$2:$CI$662,"&lt;&gt;no",$CA$2:$CA$662,"&gt;"&amp;CA262)+COUNTIFS($CI$2:CI262,"&lt;&gt;no",$CA$2:CA262,CA262),"")</f>
        <v/>
      </c>
    </row>
    <row r="263">
      <c r="A263" s="2" t="inlineStr">
        <is>
          <t>cochesnet:71822936</t>
        </is>
      </c>
      <c r="B263" s="2" t="inlineStr">
        <is>
          <t>cochesnet</t>
        </is>
      </c>
      <c r="C263" s="2" t="inlineStr">
        <is>
          <t>https://www.coches.net/mazda-mazda2-active-13-5p-gasolina-2007-en-valencia-71822936-covo.aspx</t>
        </is>
      </c>
      <c r="D263" s="2" t="inlineStr">
        <is>
          <t>MAZDA Mazda2 Active 1.3</t>
        </is>
      </c>
      <c r="E263" s="2" t="inlineStr">
        <is>
          <t>Mazda</t>
        </is>
      </c>
      <c r="F263" s="2" t="inlineStr">
        <is>
          <t>Mazda 2</t>
        </is>
      </c>
      <c r="G263" s="2" t="inlineStr">
        <is>
          <t>1.3</t>
        </is>
      </c>
      <c r="H263" s="2" t="inlineStr">
        <is>
          <t>Active 1.3</t>
        </is>
      </c>
      <c r="I263" s="2" t="n"/>
      <c r="J263" s="2" t="n"/>
      <c r="K263" s="2" t="inlineStr">
        <is>
          <t>gasolina</t>
        </is>
      </c>
      <c r="L263" s="2" t="inlineStr">
        <is>
          <t>utilitario</t>
        </is>
      </c>
      <c r="M263" s="2" t="n">
        <v>2007</v>
      </c>
      <c r="N263" s="2" t="n">
        <v>70000</v>
      </c>
      <c r="O263" s="2" t="n">
        <v>5000</v>
      </c>
      <c r="P263" s="2" t="inlineStr">
        <is>
          <t>manual</t>
        </is>
      </c>
      <c r="Q263" s="2" t="inlineStr">
        <is>
          <t>no</t>
        </is>
      </c>
      <c r="R263" s="2" t="inlineStr">
        <is>
          <t>particular</t>
        </is>
      </c>
      <c r="S263" s="2" t="n"/>
      <c r="T263" s="2" t="inlineStr">
        <is>
          <t>2026-10-24T08:57:47Z</t>
        </is>
      </c>
      <c r="U263" s="2" t="n"/>
      <c r="V263" s="2" t="inlineStr">
        <is>
          <t>sí</t>
        </is>
      </c>
      <c r="W263" s="2" t="n"/>
      <c r="X263" s="2" t="n"/>
      <c r="Y263" s="2" t="n"/>
      <c r="Z263" s="2" t="inlineStr">
        <is>
          <t>no</t>
        </is>
      </c>
      <c r="AA263" s="2" t="n"/>
      <c r="AB263" s="2" t="n"/>
      <c r="AC263" s="2" t="n"/>
      <c r="AD263" s="2" t="n"/>
      <c r="AE263" s="2" t="n"/>
      <c r="AF263" s="2" t="n"/>
      <c r="AG263" s="2" t="n"/>
      <c r="AH263" s="2" t="n">
        <v>5000</v>
      </c>
      <c r="AI263" s="2" t="n"/>
      <c r="AJ263" s="2" t="n"/>
      <c r="AK263" s="2" t="n"/>
      <c r="AL263" s="2" t="n"/>
      <c r="AM263" s="2" t="n"/>
      <c r="AN263" s="2" t="n">
        <v>5000</v>
      </c>
      <c r="AO263" s="2" t="n">
        <v>4</v>
      </c>
      <c r="AP263" s="2" t="inlineStr">
        <is>
          <t>modelo+año+km</t>
        </is>
      </c>
      <c r="AQ263" s="2" t="inlineStr">
        <is>
          <t>cochesnet:71809182 (https://www.coches.net/mazda-mazda2-active-13-5p-gasolina-2007-en-valencia-71809182-covo.aspx); cochesnet:71809199 (https://www.coches.net/mazda-mazda2-active-13-5p-gasolina-2007-en-valencia-71809199-covo.aspx)</t>
        </is>
      </c>
      <c r="AR263" s="2" t="inlineStr">
        <is>
          <t>por encima del presupuesto (5104 €), negociar; cuota fija ITP: &gt;12 años, hasta 1.500 cc; distancia no verificable (el anuncio solo indica la provincia): confirmar que está a &lt;= 70 km</t>
        </is>
      </c>
      <c r="AS263" s="2" t="inlineStr">
        <is>
          <t>ITV válida hasta junio 2027</t>
        </is>
      </c>
      <c r="AT263" s="2" t="inlineStr">
        <is>
          <t>https://www.coches.net/mazda-mazda2-active-13-5p-gasolina-2007-en-valencia-71822936-covo.aspx (window.__INITIAL_PROPS__.ad) /home/user/Alopecia/buscador-coches/raw/cochesnet/95cb3748f89043f8.json</t>
        </is>
      </c>
      <c r="AU263" s="3">
        <f>MAX(ANIO_ACTUAL-M263,0)</f>
        <v/>
      </c>
      <c r="AV263" s="4">
        <f>N263/MAX(AU263,0.5)</f>
        <v/>
      </c>
      <c r="AW263" s="4">
        <f>F263</f>
        <v/>
      </c>
      <c r="AX263" s="3">
        <f>AW263&amp;"|"&amp;INT(M263/SEG_ANIO)*SEG_ANIO</f>
        <v/>
      </c>
      <c r="AY263" s="3">
        <f>AX263&amp;"|"&amp;INT(N263/SEG_KM)*SEG_KM</f>
        <v/>
      </c>
      <c r="AZ263" s="4">
        <f>COUNTIF($AW$2:$AW$662,AW263)</f>
        <v/>
      </c>
      <c r="BA263" s="4">
        <f>COUNTIF($AX$2:$AX$662,AX263)</f>
        <v/>
      </c>
      <c r="BB263" s="4">
        <f>COUNTIF($AY$2:$AY$662,AY263)</f>
        <v/>
      </c>
      <c r="BC263" s="3">
        <f t="array" ref="BC263">IF(N(AO263)&gt;=MIN_N,AN263,IF(BB263&gt;=MIN_N,MEDIAN(IF($AY$2:$AY$662=AY263,$O$2:$O$662)),IF(BA263&gt;=MIN_N,MEDIAN(IF($AX$2:$AX$662=AX263,$O$2:$O$662)),MEDIAN(IF($AW$2:$AW$662=AW263,$O$2:$O$662)))))</f>
        <v/>
      </c>
      <c r="BD263" s="3">
        <f>IF(N(AO263)&gt;=MIN_N,"mercado "&amp;AP263,IF(BB263&gt;=MIN_N,"modelo+año+km",IF(BA263&gt;=MIN_N,"modelo+año","modelo")))</f>
        <v/>
      </c>
      <c r="BE263" s="4">
        <f>(BC263-O263)/BC263</f>
        <v/>
      </c>
      <c r="BF263" s="3">
        <f>IF(OR(K263="hibrido",K263="glp"),"ECO",IF(K263="electrico","CERO",IF(K263="gasolina",IF(M263&gt;=GAS_C,"C",IF(M263&gt;=GAS_B,"B","A")),IF(K263="diesel",IF(M263&gt;=DIE_C,"C",IF(M263&gt;=DIE_B,"B","A")),""))))</f>
        <v/>
      </c>
      <c r="BG263" s="3">
        <f>IFERROR(VLOOKUP(F263,MOD_TBL,11,0),IFERROR(VLOOKUP(E263,OCU_TBL,2,0),NEUTRO))</f>
        <v/>
      </c>
      <c r="BH263" s="3">
        <f>SUMIFS(MOT_AJUSTE,MOT_MOTOR,G263,MOT_MARCA,E263,MOT_DESDE,"&lt;="&amp;M263,MOT_HASTA,"&gt;="&amp;M263)+SUMIFS(MOT_AJUSTE,MOT_MOTOR,G263,MOT_MARCA,"(todas)",MOT_DESDE,"&lt;="&amp;M263,MOT_HASTA,"&gt;="&amp;M263)</f>
        <v/>
      </c>
      <c r="BI263" s="3">
        <f>SUMIFS(COMB_AJUSTE,COMB_COMB,K263)</f>
        <v/>
      </c>
      <c r="BJ263" s="3">
        <f>COUNTIFS(MOT_MOTOR,G263,MOT_MARCA,E263,MOT_DESDE,"&lt;="&amp;M263,MOT_HASTA,"&gt;="&amp;M263)+COUNTIFS(MOT_MOTOR,G263,MOT_MARCA,"(todas)",MOT_DESDE,"&lt;="&amp;M263,MOT_HASTA,"&gt;="&amp;M263)</f>
        <v/>
      </c>
      <c r="BK263" s="3">
        <f>IF(AND(K263="diesel",BJ263=0),MIN(BG263,NEUTRO),BG263)</f>
        <v/>
      </c>
      <c r="BL263" s="4">
        <f>MAX(0,MIN(100,BK263+BH263+BI263))</f>
        <v/>
      </c>
      <c r="BM263" s="3">
        <f>MAX(0,MIN(100,50+BE263*PRECIO_PEND))</f>
        <v/>
      </c>
      <c r="BN263" s="3">
        <f>MAX(0,100*(1-N263/KM_MAX))</f>
        <v/>
      </c>
      <c r="BO263" s="3">
        <f>IF(AV263&lt;KMA_SOSP,IF(AA263="sí",100,KMA_PEN),IF(AV263&lt;=KMA_IDEAL_MAX,100,MAX(0,100*(KMA_CERO-AV263)/(KMA_CERO-KMA_IDEAL_MAX))))</f>
        <v/>
      </c>
      <c r="BP263" s="3">
        <f>MAX(0,MIN(100,100*(M263-ANIO_MIN)/(ANIO_ACTUAL-ANIO_MIN)))</f>
        <v/>
      </c>
      <c r="BQ263" s="3">
        <f>W_KMT*BN263+W_KMA*BO263+W_EDAD*BP263</f>
        <v/>
      </c>
      <c r="BR263" s="3">
        <f>P_ITV*(V263="sí")+P_LIBRO*(W263="sí")+P_CORREA*(X263="sí")+P_PROP*(Y263=1)+P_GAR*(Z263="sí")+P_FOTOS*MIN(1,N(U263)/FOTOS_OBJ)</f>
        <v/>
      </c>
      <c r="BS263" s="3">
        <f>IFERROR(VLOOKUP(BF263,ETQ_TBL,2,0),NEUTRO)</f>
        <v/>
      </c>
      <c r="BT263" s="3">
        <f>NEUTRO</f>
        <v/>
      </c>
      <c r="BU263" s="3">
        <f>IFERROR(VLOOKUP(L263,SEGURO_TBL,3,0),"")</f>
        <v/>
      </c>
      <c r="BV263" s="3">
        <f>IF(BU263="",NEUTRO,MAX(0,MIN(100,100*(SEG_REF_MAX-BU263)/(SEG_REF_MAX-SEG_REF_MIN))))</f>
        <v/>
      </c>
      <c r="BW263" s="3">
        <f>W_ET*BS263+W_CONS*BT263+W_SEG*BV263</f>
        <v/>
      </c>
      <c r="BX263" s="3">
        <f>IF(N(AB263)&gt;0,AB263,IF(AND(R263="profesional",SG_LEGAL_ON=1),GAR_LEGAL,0))</f>
        <v/>
      </c>
      <c r="BY263" s="3">
        <f>SG_GAR*MIN(1,BX263/SG_GAR_FULL)+SG_AMPL*(AC263="sí")+SG_KMC*(AF263="sí")+SG_REV*(N(AE263)&gt;0)+SG_DEV*MIN(1,N(AG263)/SG_DEV_FULL)+SG_HIST*(W263="sí")</f>
        <v/>
      </c>
      <c r="BZ263" s="3">
        <f>IFERROR(VLOOKUP(L263,CARR_PEN_TBL,2,0),0)</f>
        <v/>
      </c>
      <c r="CA263" s="3">
        <f>W_FIAB*BL263+W_PRECIO*BM263+W_KMEDAD*BQ263+W_ANUNCIO*BR263+W_USO*BW263+W_SEGURIDAD*BY263-BZ263</f>
        <v/>
      </c>
      <c r="CB263" s="4">
        <f>IF(N(I263)&gt;0,I263,IFERROR(ROUND(_xlfn.NUMBERVALUE(LEFT(G263,FIND(" ",G263&amp;" ")-1),".")*1000,0),99999))</f>
        <v/>
      </c>
      <c r="CC263" s="3">
        <f>IF(R263="profesional",0,IF(O263&lt;CUOTA_VALOR_MAX,IF(AU263&gt;ITP_TRAMO_ALTO,SUMIFS(CF_CUOTA,CF_MAS,ITP_TRAMO_ALTO,CF_CCMIN,"&lt;="&amp;CB263,CF_CCMAX,"&gt;="&amp;CB263),IF(AU263&gt;ITP_TRAMO_BAJO,SUMIFS(CF_CUOTA,CF_MAS,ITP_TRAMO_BAJO,CF_CCMIN,"&lt;="&amp;CB263,CF_CCMAX,"&gt;="&amp;CB263),O263*ITP_TIPO)),O263*ITP_TIPO))</f>
        <v/>
      </c>
      <c r="CD263" s="4">
        <f>IF(R263="profesional",N(AK263),0)</f>
        <v/>
      </c>
      <c r="CE263" s="3">
        <f>IF(AND(R263="profesional",ISNUMBER(AK263),AL263="sí"),0,TASA_DGT)</f>
        <v/>
      </c>
      <c r="CF263" s="3">
        <f>INFORME_DGT</f>
        <v/>
      </c>
      <c r="CG263" s="4">
        <f>O263+CD263+CC263+CE263+CF263</f>
        <v/>
      </c>
      <c r="CH263" s="4">
        <f>CG263+N(BU263)</f>
        <v/>
      </c>
      <c r="CI263" s="3">
        <f>IF(CG263&lt;=TOTAL_MAX,"sí",IF(CG263&lt;=TOTAL_MAX+MARGEN_NEG,"negociar","no"))</f>
        <v/>
      </c>
      <c r="CJ263" s="4">
        <f>IF(CI263&lt;&gt;"no",COUNTIFS($CI$2:$CI$662,"&lt;&gt;no",$CA$2:$CA$662,"&gt;"&amp;CA263)+COUNTIFS($CI$2:CI263,"&lt;&gt;no",$CA$2:CA263,CA263),"")</f>
        <v/>
      </c>
    </row>
    <row r="264">
      <c r="A264" s="2" t="inlineStr">
        <is>
          <t>cochesnet:71778568</t>
        </is>
      </c>
      <c r="B264" s="2" t="inlineStr">
        <is>
          <t>cochesnet</t>
        </is>
      </c>
      <c r="C264" s="2" t="inlineStr">
        <is>
          <t>https://www.coches.net/kia-picanto-11-sohc-lx-5p-gasolina-2007-en-valencia-71778568-covo.aspx</t>
        </is>
      </c>
      <c r="D264" s="2" t="inlineStr">
        <is>
          <t>KIA Picanto 1.1 SOHC LX</t>
        </is>
      </c>
      <c r="E264" s="2" t="inlineStr">
        <is>
          <t>Kia</t>
        </is>
      </c>
      <c r="F264" s="2" t="inlineStr">
        <is>
          <t>Kia Picanto</t>
        </is>
      </c>
      <c r="G264" s="2" t="inlineStr">
        <is>
          <t>1.1</t>
        </is>
      </c>
      <c r="H264" s="2" t="inlineStr">
        <is>
          <t>1.1 SOHC LX</t>
        </is>
      </c>
      <c r="I264" s="2" t="n"/>
      <c r="J264" s="2" t="n"/>
      <c r="K264" s="2" t="inlineStr">
        <is>
          <t>gasolina</t>
        </is>
      </c>
      <c r="L264" s="2" t="inlineStr">
        <is>
          <t>utilitario</t>
        </is>
      </c>
      <c r="M264" s="2" t="n">
        <v>2007</v>
      </c>
      <c r="N264" s="2" t="n">
        <v>200000</v>
      </c>
      <c r="O264" s="2" t="n">
        <v>2480</v>
      </c>
      <c r="P264" s="2" t="inlineStr">
        <is>
          <t>manual</t>
        </is>
      </c>
      <c r="Q264" s="2" t="inlineStr">
        <is>
          <t>no</t>
        </is>
      </c>
      <c r="R264" s="2" t="inlineStr">
        <is>
          <t>profesional</t>
        </is>
      </c>
      <c r="S264" s="2" t="inlineStr">
        <is>
          <t>AUTOMOVILES CASTILLO PEPE Manises</t>
        </is>
      </c>
      <c r="T264" s="2" t="inlineStr">
        <is>
          <t>2026-10-19T10:37:43Z</t>
        </is>
      </c>
      <c r="U264" s="2" t="n">
        <v>19</v>
      </c>
      <c r="V264" s="2" t="inlineStr">
        <is>
          <t>sí</t>
        </is>
      </c>
      <c r="W264" s="2" t="n"/>
      <c r="X264" s="2" t="inlineStr">
        <is>
          <t>sí</t>
        </is>
      </c>
      <c r="Y264" s="2" t="n"/>
      <c r="Z264" s="2" t="inlineStr">
        <is>
          <t>sí</t>
        </is>
      </c>
      <c r="AA264" s="2" t="n"/>
      <c r="AB264" s="2" t="n">
        <v>12</v>
      </c>
      <c r="AC264" s="2" t="n"/>
      <c r="AD264" s="2" t="n"/>
      <c r="AE264" s="2" t="n"/>
      <c r="AF264" s="2" t="inlineStr">
        <is>
          <t>sí</t>
        </is>
      </c>
      <c r="AG264" s="2" t="n"/>
      <c r="AH264" s="2" t="n">
        <v>2480</v>
      </c>
      <c r="AI264" s="2" t="n">
        <v>2480</v>
      </c>
      <c r="AJ264" s="2" t="n"/>
      <c r="AK264" s="2" t="n"/>
      <c r="AL264" s="2" t="n"/>
      <c r="AM264" s="2" t="n">
        <v>8.1</v>
      </c>
      <c r="AN264" s="2" t="n">
        <v>2590</v>
      </c>
      <c r="AO264" s="2" t="n">
        <v>4</v>
      </c>
      <c r="AP264" s="2" t="inlineStr">
        <is>
          <t>modelo+año</t>
        </is>
      </c>
      <c r="AQ264" s="2" t="n"/>
      <c r="AR264" s="2" t="inlineStr">
        <is>
          <t>vendedor profesional: sin ITP (operación con IVA/REBU, confirmar en factura); gastos de gestión del vendedor no indicados: se suma la tasa DGT; preguntar el precio final</t>
        </is>
      </c>
      <c r="AS264" s="2" t="inlineStr">
        <is>
          <t>1. KIT DE DISTRIBUCIÓN NUEVO 
DISCOS DELANTEROS NUEVOS A TRENAR CON LAS PASTILLAS DE FRENO 
2. suspensión revisada y he cambiado piezas como rotula izquierda que estaba en mal estado 
3. Correa servicio nueva 
4. Aceite nuevo 
5. Filtro de aire nuevo
6.bomba de agua nueva 
7. Kit de embrague nuevo completo 
8. Cable de embrague al pedal nuevo
9. Bieletas de suspensión nuevas 
10. Bujías nuevas y cables de bujías nuevos también 
 TODO CON FACTURA DEMOSTRABLE 
ITV HASTA JULIO 2027 RECIEN PASADA 
* KILOMETROS CERTIFICADOS. 
 * AIRE ACONDICIONADO ENFRIA MUY BIEN, CALEFECCION FUNCIONA MUY BIEN. 
* NEUMATICOS DELANTEROS Y TRASEROS 90% DE VIDA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T264" s="2" t="inlineStr">
        <is>
          <t>https://www.coches.net/kia-picanto-11-sohc-lx-5p-gasolina-2007-en-valencia-71778568-covo.aspx (window.__INITIAL_PROPS__.ad) /home/user/Alopecia/buscador-coches/raw/cochesnet/3d35ecebcd70427d.json</t>
        </is>
      </c>
      <c r="AU264" s="3">
        <f>MAX(ANIO_ACTUAL-M264,0)</f>
        <v/>
      </c>
      <c r="AV264" s="4">
        <f>N264/MAX(AU264,0.5)</f>
        <v/>
      </c>
      <c r="AW264" s="4">
        <f>F264</f>
        <v/>
      </c>
      <c r="AX264" s="3">
        <f>AW264&amp;"|"&amp;INT(M264/SEG_ANIO)*SEG_ANIO</f>
        <v/>
      </c>
      <c r="AY264" s="3">
        <f>AX264&amp;"|"&amp;INT(N264/SEG_KM)*SEG_KM</f>
        <v/>
      </c>
      <c r="AZ264" s="4">
        <f>COUNTIF($AW$2:$AW$662,AW264)</f>
        <v/>
      </c>
      <c r="BA264" s="4">
        <f>COUNTIF($AX$2:$AX$662,AX264)</f>
        <v/>
      </c>
      <c r="BB264" s="4">
        <f>COUNTIF($AY$2:$AY$662,AY264)</f>
        <v/>
      </c>
      <c r="BC264" s="3">
        <f t="array" ref="BC264">IF(N(AO264)&gt;=MIN_N,AN264,IF(BB264&gt;=MIN_N,MEDIAN(IF($AY$2:$AY$662=AY264,$O$2:$O$662)),IF(BA264&gt;=MIN_N,MEDIAN(IF($AX$2:$AX$662=AX264,$O$2:$O$662)),MEDIAN(IF($AW$2:$AW$662=AW264,$O$2:$O$662)))))</f>
        <v/>
      </c>
      <c r="BD264" s="3">
        <f>IF(N(AO264)&gt;=MIN_N,"mercado "&amp;AP264,IF(BB264&gt;=MIN_N,"modelo+año+km",IF(BA264&gt;=MIN_N,"modelo+año","modelo")))</f>
        <v/>
      </c>
      <c r="BE264" s="4">
        <f>(BC264-O264)/BC264</f>
        <v/>
      </c>
      <c r="BF264" s="3">
        <f>IF(OR(K264="hibrido",K264="glp"),"ECO",IF(K264="electrico","CERO",IF(K264="gasolina",IF(M264&gt;=GAS_C,"C",IF(M264&gt;=GAS_B,"B","A")),IF(K264="diesel",IF(M264&gt;=DIE_C,"C",IF(M264&gt;=DIE_B,"B","A")),""))))</f>
        <v/>
      </c>
      <c r="BG264" s="3">
        <f>IFERROR(VLOOKUP(F264,MOD_TBL,11,0),IFERROR(VLOOKUP(E264,OCU_TBL,2,0),NEUTRO))</f>
        <v/>
      </c>
      <c r="BH264" s="3">
        <f>SUMIFS(MOT_AJUSTE,MOT_MOTOR,G264,MOT_MARCA,E264,MOT_DESDE,"&lt;="&amp;M264,MOT_HASTA,"&gt;="&amp;M264)+SUMIFS(MOT_AJUSTE,MOT_MOTOR,G264,MOT_MARCA,"(todas)",MOT_DESDE,"&lt;="&amp;M264,MOT_HASTA,"&gt;="&amp;M264)</f>
        <v/>
      </c>
      <c r="BI264" s="3">
        <f>SUMIFS(COMB_AJUSTE,COMB_COMB,K264)</f>
        <v/>
      </c>
      <c r="BJ264" s="3">
        <f>COUNTIFS(MOT_MOTOR,G264,MOT_MARCA,E264,MOT_DESDE,"&lt;="&amp;M264,MOT_HASTA,"&gt;="&amp;M264)+COUNTIFS(MOT_MOTOR,G264,MOT_MARCA,"(todas)",MOT_DESDE,"&lt;="&amp;M264,MOT_HASTA,"&gt;="&amp;M264)</f>
        <v/>
      </c>
      <c r="BK264" s="3">
        <f>IF(AND(K264="diesel",BJ264=0),MIN(BG264,NEUTRO),BG264)</f>
        <v/>
      </c>
      <c r="BL264" s="4">
        <f>MAX(0,MIN(100,BK264+BH264+BI264))</f>
        <v/>
      </c>
      <c r="BM264" s="3">
        <f>MAX(0,MIN(100,50+BE264*PRECIO_PEND))</f>
        <v/>
      </c>
      <c r="BN264" s="3">
        <f>MAX(0,100*(1-N264/KM_MAX))</f>
        <v/>
      </c>
      <c r="BO264" s="3">
        <f>IF(AV264&lt;KMA_SOSP,IF(AA264="sí",100,KMA_PEN),IF(AV264&lt;=KMA_IDEAL_MAX,100,MAX(0,100*(KMA_CERO-AV264)/(KMA_CERO-KMA_IDEAL_MAX))))</f>
        <v/>
      </c>
      <c r="BP264" s="3">
        <f>MAX(0,MIN(100,100*(M264-ANIO_MIN)/(ANIO_ACTUAL-ANIO_MIN)))</f>
        <v/>
      </c>
      <c r="BQ264" s="3">
        <f>W_KMT*BN264+W_KMA*BO264+W_EDAD*BP264</f>
        <v/>
      </c>
      <c r="BR264" s="3">
        <f>P_ITV*(V264="sí")+P_LIBRO*(W264="sí")+P_CORREA*(X264="sí")+P_PROP*(Y264=1)+P_GAR*(Z264="sí")+P_FOTOS*MIN(1,N(U264)/FOTOS_OBJ)</f>
        <v/>
      </c>
      <c r="BS264" s="3">
        <f>IFERROR(VLOOKUP(BF264,ETQ_TBL,2,0),NEUTRO)</f>
        <v/>
      </c>
      <c r="BT264" s="3">
        <f>NEUTRO</f>
        <v/>
      </c>
      <c r="BU264" s="3">
        <f>IFERROR(VLOOKUP(L264,SEGURO_TBL,3,0),"")</f>
        <v/>
      </c>
      <c r="BV264" s="3">
        <f>IF(BU264="",NEUTRO,MAX(0,MIN(100,100*(SEG_REF_MAX-BU264)/(SEG_REF_MAX-SEG_REF_MIN))))</f>
        <v/>
      </c>
      <c r="BW264" s="3">
        <f>W_ET*BS264+W_CONS*BT264+W_SEG*BV264</f>
        <v/>
      </c>
      <c r="BX264" s="3">
        <f>IF(N(AB264)&gt;0,AB264,IF(AND(R264="profesional",SG_LEGAL_ON=1),GAR_LEGAL,0))</f>
        <v/>
      </c>
      <c r="BY264" s="3">
        <f>SG_GAR*MIN(1,BX264/SG_GAR_FULL)+SG_AMPL*(AC264="sí")+SG_KMC*(AF264="sí")+SG_REV*(N(AE264)&gt;0)+SG_DEV*MIN(1,N(AG264)/SG_DEV_FULL)+SG_HIST*(W264="sí")</f>
        <v/>
      </c>
      <c r="BZ264" s="3">
        <f>IFERROR(VLOOKUP(L264,CARR_PEN_TBL,2,0),0)</f>
        <v/>
      </c>
      <c r="CA264" s="3">
        <f>W_FIAB*BL264+W_PRECIO*BM264+W_KMEDAD*BQ264+W_ANUNCIO*BR264+W_USO*BW264+W_SEGURIDAD*BY264-BZ264</f>
        <v/>
      </c>
      <c r="CB264" s="4">
        <f>IF(N(I264)&gt;0,I264,IFERROR(ROUND(_xlfn.NUMBERVALUE(LEFT(G264,FIND(" ",G264&amp;" ")-1),".")*1000,0),99999))</f>
        <v/>
      </c>
      <c r="CC264" s="3">
        <f>IF(R264="profesional",0,IF(O264&lt;CUOTA_VALOR_MAX,IF(AU264&gt;ITP_TRAMO_ALTO,SUMIFS(CF_CUOTA,CF_MAS,ITP_TRAMO_ALTO,CF_CCMIN,"&lt;="&amp;CB264,CF_CCMAX,"&gt;="&amp;CB264),IF(AU264&gt;ITP_TRAMO_BAJO,SUMIFS(CF_CUOTA,CF_MAS,ITP_TRAMO_BAJO,CF_CCMIN,"&lt;="&amp;CB264,CF_CCMAX,"&gt;="&amp;CB264),O264*ITP_TIPO)),O264*ITP_TIPO))</f>
        <v/>
      </c>
      <c r="CD264" s="4">
        <f>IF(R264="profesional",N(AK264),0)</f>
        <v/>
      </c>
      <c r="CE264" s="3">
        <f>IF(AND(R264="profesional",ISNUMBER(AK264),AL264="sí"),0,TASA_DGT)</f>
        <v/>
      </c>
      <c r="CF264" s="3">
        <f>INFORME_DGT</f>
        <v/>
      </c>
      <c r="CG264" s="4">
        <f>O264+CD264+CC264+CE264+CF264</f>
        <v/>
      </c>
      <c r="CH264" s="4">
        <f>CG264+N(BU264)</f>
        <v/>
      </c>
      <c r="CI264" s="3">
        <f>IF(CG264&lt;=TOTAL_MAX,"sí",IF(CG264&lt;=TOTAL_MAX+MARGEN_NEG,"negociar","no"))</f>
        <v/>
      </c>
      <c r="CJ264" s="4">
        <f>IF(CI264&lt;&gt;"no",COUNTIFS($CI$2:$CI$662,"&lt;&gt;no",$CA$2:$CA$662,"&gt;"&amp;CA264)+COUNTIFS($CI$2:CI264,"&lt;&gt;no",$CA$2:CA264,CA264),"")</f>
        <v/>
      </c>
    </row>
    <row r="265">
      <c r="A265" s="2" t="inlineStr">
        <is>
          <t>cochesnet:71687938</t>
        </is>
      </c>
      <c r="B265" s="2" t="inlineStr">
        <is>
          <t>cochesnet</t>
        </is>
      </c>
      <c r="C265" s="2" t="inlineStr">
        <is>
          <t>https://www.coches.net/kia-picanto-11-sohc-ex-5p-gasolina-2006-en-valencia-71687938-covo.aspx</t>
        </is>
      </c>
      <c r="D265" s="2" t="inlineStr">
        <is>
          <t>KIA Picanto 1.1 SOHC EX</t>
        </is>
      </c>
      <c r="E265" s="2" t="inlineStr">
        <is>
          <t>Kia</t>
        </is>
      </c>
      <c r="F265" s="2" t="inlineStr">
        <is>
          <t>Kia Picanto</t>
        </is>
      </c>
      <c r="G265" s="2" t="inlineStr">
        <is>
          <t>1.1</t>
        </is>
      </c>
      <c r="H265" s="2" t="inlineStr">
        <is>
          <t>1.1 SOHC EX</t>
        </is>
      </c>
      <c r="I265" s="2" t="n"/>
      <c r="J265" s="2" t="n"/>
      <c r="K265" s="2" t="inlineStr">
        <is>
          <t>gasolina</t>
        </is>
      </c>
      <c r="L265" s="2" t="inlineStr">
        <is>
          <t>utilitario</t>
        </is>
      </c>
      <c r="M265" s="2" t="n">
        <v>2006</v>
      </c>
      <c r="N265" s="2" t="n">
        <v>117000</v>
      </c>
      <c r="O265" s="2" t="n">
        <v>3400</v>
      </c>
      <c r="P265" s="2" t="inlineStr">
        <is>
          <t>manual</t>
        </is>
      </c>
      <c r="Q265" s="2" t="inlineStr">
        <is>
          <t>no</t>
        </is>
      </c>
      <c r="R265" s="2" t="inlineStr">
        <is>
          <t>profesional</t>
        </is>
      </c>
      <c r="S265" s="2" t="inlineStr">
        <is>
          <t>FERNANDO SEBASTIAN Valencia</t>
        </is>
      </c>
      <c r="T265" s="2" t="inlineStr">
        <is>
          <t>2026-10-06T17:47:32Z</t>
        </is>
      </c>
      <c r="U265" s="2" t="n">
        <v>17</v>
      </c>
      <c r="V265" s="2" t="n"/>
      <c r="W265" s="2" t="n"/>
      <c r="X265" s="2" t="n"/>
      <c r="Y265" s="2" t="n"/>
      <c r="Z265" s="2" t="inlineStr">
        <is>
          <t>sí</t>
        </is>
      </c>
      <c r="AA265" s="2" t="n"/>
      <c r="AB265" s="2" t="n">
        <v>12</v>
      </c>
      <c r="AC265" s="2" t="n"/>
      <c r="AD265" s="2" t="n"/>
      <c r="AE265" s="2" t="n"/>
      <c r="AF265" s="2" t="n"/>
      <c r="AG265" s="2" t="n"/>
      <c r="AH265" s="2" t="n">
        <v>3400</v>
      </c>
      <c r="AI265" s="2" t="n"/>
      <c r="AJ265" s="2" t="n"/>
      <c r="AK265" s="2" t="n"/>
      <c r="AL265" s="2" t="n"/>
      <c r="AM265" s="2" t="n">
        <v>0.1</v>
      </c>
      <c r="AN265" s="2" t="n">
        <v>3100</v>
      </c>
      <c r="AO265" s="2" t="n">
        <v>6</v>
      </c>
      <c r="AP265" s="2" t="inlineStr">
        <is>
          <t>modelo+año</t>
        </is>
      </c>
      <c r="AQ265" s="2" t="n"/>
      <c r="AR265" s="2" t="inlineStr">
        <is>
          <t>vendedor profesional: sin ITP (operación con IVA/REBU, confirmar en factura); gastos de gestión del vendedor no indicados: se suma la tasa DGT; preguntar el precio final</t>
        </is>
      </c>
      <c r="AS265" s="2" t="inlineStr">
        <is>
          <t>Kia Picanto excelente estado general Etiqueta ambiente verde C, ITV vigente, aire acondicionado, elevalunas en las 4 ventanas, retrovisores electrónico. Excelente estado general.</t>
        </is>
      </c>
      <c r="AT265" s="2" t="inlineStr">
        <is>
          <t>https://www.coches.net/kia-picanto-11-sohc-ex-5p-gasolina-2006-en-valencia-71687938-covo.aspx (window.__INITIAL_PROPS__.ad) /home/user/Alopecia/buscador-coches/raw/cochesnet/f992aa3ba941a317.json</t>
        </is>
      </c>
      <c r="AU265" s="3">
        <f>MAX(ANIO_ACTUAL-M265,0)</f>
        <v/>
      </c>
      <c r="AV265" s="4">
        <f>N265/MAX(AU265,0.5)</f>
        <v/>
      </c>
      <c r="AW265" s="4">
        <f>F265</f>
        <v/>
      </c>
      <c r="AX265" s="3">
        <f>AW265&amp;"|"&amp;INT(M265/SEG_ANIO)*SEG_ANIO</f>
        <v/>
      </c>
      <c r="AY265" s="3">
        <f>AX265&amp;"|"&amp;INT(N265/SEG_KM)*SEG_KM</f>
        <v/>
      </c>
      <c r="AZ265" s="4">
        <f>COUNTIF($AW$2:$AW$662,AW265)</f>
        <v/>
      </c>
      <c r="BA265" s="4">
        <f>COUNTIF($AX$2:$AX$662,AX265)</f>
        <v/>
      </c>
      <c r="BB265" s="4">
        <f>COUNTIF($AY$2:$AY$662,AY265)</f>
        <v/>
      </c>
      <c r="BC265" s="3">
        <f t="array" ref="BC265">IF(N(AO265)&gt;=MIN_N,AN265,IF(BB265&gt;=MIN_N,MEDIAN(IF($AY$2:$AY$662=AY265,$O$2:$O$662)),IF(BA265&gt;=MIN_N,MEDIAN(IF($AX$2:$AX$662=AX265,$O$2:$O$662)),MEDIAN(IF($AW$2:$AW$662=AW265,$O$2:$O$662)))))</f>
        <v/>
      </c>
      <c r="BD265" s="3">
        <f>IF(N(AO265)&gt;=MIN_N,"mercado "&amp;AP265,IF(BB265&gt;=MIN_N,"modelo+año+km",IF(BA265&gt;=MIN_N,"modelo+año","modelo")))</f>
        <v/>
      </c>
      <c r="BE265" s="4">
        <f>(BC265-O265)/BC265</f>
        <v/>
      </c>
      <c r="BF265" s="3">
        <f>IF(OR(K265="hibrido",K265="glp"),"ECO",IF(K265="electrico","CERO",IF(K265="gasolina",IF(M265&gt;=GAS_C,"C",IF(M265&gt;=GAS_B,"B","A")),IF(K265="diesel",IF(M265&gt;=DIE_C,"C",IF(M265&gt;=DIE_B,"B","A")),""))))</f>
        <v/>
      </c>
      <c r="BG265" s="3">
        <f>IFERROR(VLOOKUP(F265,MOD_TBL,11,0),IFERROR(VLOOKUP(E265,OCU_TBL,2,0),NEUTRO))</f>
        <v/>
      </c>
      <c r="BH265" s="3">
        <f>SUMIFS(MOT_AJUSTE,MOT_MOTOR,G265,MOT_MARCA,E265,MOT_DESDE,"&lt;="&amp;M265,MOT_HASTA,"&gt;="&amp;M265)+SUMIFS(MOT_AJUSTE,MOT_MOTOR,G265,MOT_MARCA,"(todas)",MOT_DESDE,"&lt;="&amp;M265,MOT_HASTA,"&gt;="&amp;M265)</f>
        <v/>
      </c>
      <c r="BI265" s="3">
        <f>SUMIFS(COMB_AJUSTE,COMB_COMB,K265)</f>
        <v/>
      </c>
      <c r="BJ265" s="3">
        <f>COUNTIFS(MOT_MOTOR,G265,MOT_MARCA,E265,MOT_DESDE,"&lt;="&amp;M265,MOT_HASTA,"&gt;="&amp;M265)+COUNTIFS(MOT_MOTOR,G265,MOT_MARCA,"(todas)",MOT_DESDE,"&lt;="&amp;M265,MOT_HASTA,"&gt;="&amp;M265)</f>
        <v/>
      </c>
      <c r="BK265" s="3">
        <f>IF(AND(K265="diesel",BJ265=0),MIN(BG265,NEUTRO),BG265)</f>
        <v/>
      </c>
      <c r="BL265" s="4">
        <f>MAX(0,MIN(100,BK265+BH265+BI265))</f>
        <v/>
      </c>
      <c r="BM265" s="3">
        <f>MAX(0,MIN(100,50+BE265*PRECIO_PEND))</f>
        <v/>
      </c>
      <c r="BN265" s="3">
        <f>MAX(0,100*(1-N265/KM_MAX))</f>
        <v/>
      </c>
      <c r="BO265" s="3">
        <f>IF(AV265&lt;KMA_SOSP,IF(AA265="sí",100,KMA_PEN),IF(AV265&lt;=KMA_IDEAL_MAX,100,MAX(0,100*(KMA_CERO-AV265)/(KMA_CERO-KMA_IDEAL_MAX))))</f>
        <v/>
      </c>
      <c r="BP265" s="3">
        <f>MAX(0,MIN(100,100*(M265-ANIO_MIN)/(ANIO_ACTUAL-ANIO_MIN)))</f>
        <v/>
      </c>
      <c r="BQ265" s="3">
        <f>W_KMT*BN265+W_KMA*BO265+W_EDAD*BP265</f>
        <v/>
      </c>
      <c r="BR265" s="3">
        <f>P_ITV*(V265="sí")+P_LIBRO*(W265="sí")+P_CORREA*(X265="sí")+P_PROP*(Y265=1)+P_GAR*(Z265="sí")+P_FOTOS*MIN(1,N(U265)/FOTOS_OBJ)</f>
        <v/>
      </c>
      <c r="BS265" s="3">
        <f>IFERROR(VLOOKUP(BF265,ETQ_TBL,2,0),NEUTRO)</f>
        <v/>
      </c>
      <c r="BT265" s="3">
        <f>NEUTRO</f>
        <v/>
      </c>
      <c r="BU265" s="3">
        <f>IFERROR(VLOOKUP(L265,SEGURO_TBL,3,0),"")</f>
        <v/>
      </c>
      <c r="BV265" s="3">
        <f>IF(BU265="",NEUTRO,MAX(0,MIN(100,100*(SEG_REF_MAX-BU265)/(SEG_REF_MAX-SEG_REF_MIN))))</f>
        <v/>
      </c>
      <c r="BW265" s="3">
        <f>W_ET*BS265+W_CONS*BT265+W_SEG*BV265</f>
        <v/>
      </c>
      <c r="BX265" s="3">
        <f>IF(N(AB265)&gt;0,AB265,IF(AND(R265="profesional",SG_LEGAL_ON=1),GAR_LEGAL,0))</f>
        <v/>
      </c>
      <c r="BY265" s="3">
        <f>SG_GAR*MIN(1,BX265/SG_GAR_FULL)+SG_AMPL*(AC265="sí")+SG_KMC*(AF265="sí")+SG_REV*(N(AE265)&gt;0)+SG_DEV*MIN(1,N(AG265)/SG_DEV_FULL)+SG_HIST*(W265="sí")</f>
        <v/>
      </c>
      <c r="BZ265" s="3">
        <f>IFERROR(VLOOKUP(L265,CARR_PEN_TBL,2,0),0)</f>
        <v/>
      </c>
      <c r="CA265" s="3">
        <f>W_FIAB*BL265+W_PRECIO*BM265+W_KMEDAD*BQ265+W_ANUNCIO*BR265+W_USO*BW265+W_SEGURIDAD*BY265-BZ265</f>
        <v/>
      </c>
      <c r="CB265" s="4">
        <f>IF(N(I265)&gt;0,I265,IFERROR(ROUND(_xlfn.NUMBERVALUE(LEFT(G265,FIND(" ",G265&amp;" ")-1),".")*1000,0),99999))</f>
        <v/>
      </c>
      <c r="CC265" s="3">
        <f>IF(R265="profesional",0,IF(O265&lt;CUOTA_VALOR_MAX,IF(AU265&gt;ITP_TRAMO_ALTO,SUMIFS(CF_CUOTA,CF_MAS,ITP_TRAMO_ALTO,CF_CCMIN,"&lt;="&amp;CB265,CF_CCMAX,"&gt;="&amp;CB265),IF(AU265&gt;ITP_TRAMO_BAJO,SUMIFS(CF_CUOTA,CF_MAS,ITP_TRAMO_BAJO,CF_CCMIN,"&lt;="&amp;CB265,CF_CCMAX,"&gt;="&amp;CB265),O265*ITP_TIPO)),O265*ITP_TIPO))</f>
        <v/>
      </c>
      <c r="CD265" s="4">
        <f>IF(R265="profesional",N(AK265),0)</f>
        <v/>
      </c>
      <c r="CE265" s="3">
        <f>IF(AND(R265="profesional",ISNUMBER(AK265),AL265="sí"),0,TASA_DGT)</f>
        <v/>
      </c>
      <c r="CF265" s="3">
        <f>INFORME_DGT</f>
        <v/>
      </c>
      <c r="CG265" s="4">
        <f>O265+CD265+CC265+CE265+CF265</f>
        <v/>
      </c>
      <c r="CH265" s="4">
        <f>CG265+N(BU265)</f>
        <v/>
      </c>
      <c r="CI265" s="3">
        <f>IF(CG265&lt;=TOTAL_MAX,"sí",IF(CG265&lt;=TOTAL_MAX+MARGEN_NEG,"negociar","no"))</f>
        <v/>
      </c>
      <c r="CJ265" s="4">
        <f>IF(CI265&lt;&gt;"no",COUNTIFS($CI$2:$CI$662,"&lt;&gt;no",$CA$2:$CA$662,"&gt;"&amp;CA265)+COUNTIFS($CI$2:CI265,"&lt;&gt;no",$CA$2:CA265,CA265),"")</f>
        <v/>
      </c>
    </row>
    <row r="266">
      <c r="A266" s="2" t="inlineStr">
        <is>
          <t>cochesnet:71704887</t>
        </is>
      </c>
      <c r="B266" s="2" t="inlineStr">
        <is>
          <t>cochesnet</t>
        </is>
      </c>
      <c r="C266" s="2" t="inlineStr">
        <is>
          <t>https://www.coches.net/kia-ceed-16-crdi-115cv-emotion-5p-diesel-2009-en-valencia-71704887-covo.aspx</t>
        </is>
      </c>
      <c r="D266" s="2" t="inlineStr">
        <is>
          <t>KIA cee'd 1.6 CRDi Emotion</t>
        </is>
      </c>
      <c r="E266" s="2" t="inlineStr">
        <is>
          <t>Kia</t>
        </is>
      </c>
      <c r="F266" s="2" t="inlineStr">
        <is>
          <t>Kia Ceed</t>
        </is>
      </c>
      <c r="G266" s="2" t="inlineStr">
        <is>
          <t>1.6 CRDi</t>
        </is>
      </c>
      <c r="H266" s="2" t="inlineStr">
        <is>
          <t>1.6 CRDi 115cv Emotion</t>
        </is>
      </c>
      <c r="I266" s="2" t="n"/>
      <c r="J266" s="2" t="n">
        <v>115</v>
      </c>
      <c r="K266" s="2" t="inlineStr">
        <is>
          <t>diesel</t>
        </is>
      </c>
      <c r="L266" s="2" t="inlineStr">
        <is>
          <t>compacto</t>
        </is>
      </c>
      <c r="M266" s="2" t="n">
        <v>2008</v>
      </c>
      <c r="N266" s="2" t="n">
        <v>110000</v>
      </c>
      <c r="O266" s="2" t="n">
        <v>4990</v>
      </c>
      <c r="P266" s="2" t="inlineStr">
        <is>
          <t>manual</t>
        </is>
      </c>
      <c r="Q266" s="2" t="inlineStr">
        <is>
          <t>no</t>
        </is>
      </c>
      <c r="R266" s="2" t="inlineStr">
        <is>
          <t>profesional</t>
        </is>
      </c>
      <c r="S266" s="2" t="inlineStr">
        <is>
          <t>Autos Solea Alboraya</t>
        </is>
      </c>
      <c r="T266" s="2" t="inlineStr">
        <is>
          <t>2026-10-08T17:37:41Z</t>
        </is>
      </c>
      <c r="U266" s="2" t="n">
        <v>17</v>
      </c>
      <c r="V266" s="2" t="n"/>
      <c r="W266" s="2" t="n"/>
      <c r="X266" s="2" t="n"/>
      <c r="Y266" s="2" t="n"/>
      <c r="Z266" s="2" t="inlineStr">
        <is>
          <t>sí</t>
        </is>
      </c>
      <c r="AA266" s="2" t="n"/>
      <c r="AB266" s="2" t="n">
        <v>12</v>
      </c>
      <c r="AC266" s="2" t="n"/>
      <c r="AD266" s="2" t="n"/>
      <c r="AE266" s="2" t="n"/>
      <c r="AF266" s="2" t="n"/>
      <c r="AG266" s="2" t="n"/>
      <c r="AH266" s="2" t="n">
        <v>4990</v>
      </c>
      <c r="AI266" s="2" t="n">
        <v>4990</v>
      </c>
      <c r="AJ266" s="2" t="n"/>
      <c r="AK266" s="2" t="n"/>
      <c r="AL266" s="2" t="n"/>
      <c r="AM266" s="2" t="n">
        <v>4</v>
      </c>
      <c r="AN266" s="2" t="n"/>
      <c r="AO266" s="2" t="n"/>
      <c r="AP266" s="2" t="n"/>
      <c r="AQ266" s="2" t="n"/>
      <c r="AR26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mediana con solo 2 anuncio(s)</t>
        </is>
      </c>
      <c r="AS266" s="2" t="inlineStr">
        <is>
          <t>Kia Ceed Pro_Cee’d 1.6 CRDi Diésel – 2008 | 110.000 km | 3 puertas
Se vende Kia Ceed 1.6 CRDi diésel del año 2008, con únicamente 110.000 km y carrocería deportiva de 3 puertas.
Vehículo que destaca por su bajo kilometraje para su antigüedad, su diseño deportivo y su motor 1.6 CRDi diésel, conocido por ofrecer un buen equilibrio entre prestaciones, fiabilidad y consumo de combustible.
Una opción ideal para quien busca un coche económico, práctico y cómodo tanto para ciudad como para carretera.
* Motor 1.6 CRDi turbodiésel
* Año 2008
* Solo 110.000 km
* Carrocería deportiva de 3 puertas
* Cambio manual
* 5 plazas
* Bajo consumo de combustible
* Dirección asistida
* Aire acondicionado / climatizador según equipamiento
* Elevalunas eléctricos
* Cierre centralizado con mando
* Ordenador de a bordo
* Radio / sistema de sonido
* Volante regulable
* Retrovisores eléctricos según versión
* ABS
* Control de estabilidad según equipamiento
* Airbags frontales y laterales
* Anclajes ISOFIX
* Asientos traseros abatibles
* Buen espacio interior
* Maletero amplio para su segmento
Estado
Una unidad especialmente interesante por contar con tan solo 110.000 km, un kilometraje reducido para un vehículo del año 2008.
El Kia Ceed destaca por su comodidad, practicidad y economía de uso. Su carrocería de tres puertas le aporta una estética más deportiva sin renunciar a la funcionalidad de un compacto.
Una excelente oportunidad para adquirir un Kia Ceed 1.6 CRDi diésel con pocos kilómetros y</t>
        </is>
      </c>
      <c r="AT266" s="2" t="inlineStr">
        <is>
          <t>https://www.coches.net/kia-ceed-16-crdi-115cv-emotion-5p-diesel-2009-en-valencia-71704887-covo.aspx (window.__INITIAL_PROPS__.ad) /home/user/Alopecia/buscador-coches/raw/cochesnet/078396f3bbbe76a5.json</t>
        </is>
      </c>
      <c r="AU266" s="3">
        <f>MAX(ANIO_ACTUAL-M266,0)</f>
        <v/>
      </c>
      <c r="AV266" s="4">
        <f>N266/MAX(AU266,0.5)</f>
        <v/>
      </c>
      <c r="AW266" s="4">
        <f>F266</f>
        <v/>
      </c>
      <c r="AX266" s="3">
        <f>AW266&amp;"|"&amp;INT(M266/SEG_ANIO)*SEG_ANIO</f>
        <v/>
      </c>
      <c r="AY266" s="3">
        <f>AX266&amp;"|"&amp;INT(N266/SEG_KM)*SEG_KM</f>
        <v/>
      </c>
      <c r="AZ266" s="4">
        <f>COUNTIF($AW$2:$AW$662,AW266)</f>
        <v/>
      </c>
      <c r="BA266" s="4">
        <f>COUNTIF($AX$2:$AX$662,AX266)</f>
        <v/>
      </c>
      <c r="BB266" s="4">
        <f>COUNTIF($AY$2:$AY$662,AY266)</f>
        <v/>
      </c>
      <c r="BC266" s="3">
        <f t="array" ref="BC266">IF(N(AO266)&gt;=MIN_N,AN266,IF(BB266&gt;=MIN_N,MEDIAN(IF($AY$2:$AY$662=AY266,$O$2:$O$662)),IF(BA266&gt;=MIN_N,MEDIAN(IF($AX$2:$AX$662=AX266,$O$2:$O$662)),MEDIAN(IF($AW$2:$AW$662=AW266,$O$2:$O$662)))))</f>
        <v/>
      </c>
      <c r="BD266" s="3">
        <f>IF(N(AO266)&gt;=MIN_N,"mercado "&amp;AP266,IF(BB266&gt;=MIN_N,"modelo+año+km",IF(BA266&gt;=MIN_N,"modelo+año","modelo")))</f>
        <v/>
      </c>
      <c r="BE266" s="4">
        <f>(BC266-O266)/BC266</f>
        <v/>
      </c>
      <c r="BF266" s="3">
        <f>IF(OR(K266="hibrido",K266="glp"),"ECO",IF(K266="electrico","CERO",IF(K266="gasolina",IF(M266&gt;=GAS_C,"C",IF(M266&gt;=GAS_B,"B","A")),IF(K266="diesel",IF(M266&gt;=DIE_C,"C",IF(M266&gt;=DIE_B,"B","A")),""))))</f>
        <v/>
      </c>
      <c r="BG266" s="3">
        <f>IFERROR(VLOOKUP(F266,MOD_TBL,11,0),IFERROR(VLOOKUP(E266,OCU_TBL,2,0),NEUTRO))</f>
        <v/>
      </c>
      <c r="BH266" s="3">
        <f>SUMIFS(MOT_AJUSTE,MOT_MOTOR,G266,MOT_MARCA,E266,MOT_DESDE,"&lt;="&amp;M266,MOT_HASTA,"&gt;="&amp;M266)+SUMIFS(MOT_AJUSTE,MOT_MOTOR,G266,MOT_MARCA,"(todas)",MOT_DESDE,"&lt;="&amp;M266,MOT_HASTA,"&gt;="&amp;M266)</f>
        <v/>
      </c>
      <c r="BI266" s="3">
        <f>SUMIFS(COMB_AJUSTE,COMB_COMB,K266)</f>
        <v/>
      </c>
      <c r="BJ266" s="3">
        <f>COUNTIFS(MOT_MOTOR,G266,MOT_MARCA,E266,MOT_DESDE,"&lt;="&amp;M266,MOT_HASTA,"&gt;="&amp;M266)+COUNTIFS(MOT_MOTOR,G266,MOT_MARCA,"(todas)",MOT_DESDE,"&lt;="&amp;M266,MOT_HASTA,"&gt;="&amp;M266)</f>
        <v/>
      </c>
      <c r="BK266" s="3">
        <f>IF(AND(K266="diesel",BJ266=0),MIN(BG266,NEUTRO),BG266)</f>
        <v/>
      </c>
      <c r="BL266" s="4">
        <f>MAX(0,MIN(100,BK266+BH266+BI266))</f>
        <v/>
      </c>
      <c r="BM266" s="3">
        <f>MAX(0,MIN(100,50+BE266*PRECIO_PEND))</f>
        <v/>
      </c>
      <c r="BN266" s="3">
        <f>MAX(0,100*(1-N266/KM_MAX))</f>
        <v/>
      </c>
      <c r="BO266" s="3">
        <f>IF(AV266&lt;KMA_SOSP,IF(AA266="sí",100,KMA_PEN),IF(AV266&lt;=KMA_IDEAL_MAX,100,MAX(0,100*(KMA_CERO-AV266)/(KMA_CERO-KMA_IDEAL_MAX))))</f>
        <v/>
      </c>
      <c r="BP266" s="3">
        <f>MAX(0,MIN(100,100*(M266-ANIO_MIN)/(ANIO_ACTUAL-ANIO_MIN)))</f>
        <v/>
      </c>
      <c r="BQ266" s="3">
        <f>W_KMT*BN266+W_KMA*BO266+W_EDAD*BP266</f>
        <v/>
      </c>
      <c r="BR266" s="3">
        <f>P_ITV*(V266="sí")+P_LIBRO*(W266="sí")+P_CORREA*(X266="sí")+P_PROP*(Y266=1)+P_GAR*(Z266="sí")+P_FOTOS*MIN(1,N(U266)/FOTOS_OBJ)</f>
        <v/>
      </c>
      <c r="BS266" s="3">
        <f>IFERROR(VLOOKUP(BF266,ETQ_TBL,2,0),NEUTRO)</f>
        <v/>
      </c>
      <c r="BT266" s="3">
        <f>NEUTRO</f>
        <v/>
      </c>
      <c r="BU266" s="3">
        <f>IFERROR(VLOOKUP(L266,SEGURO_TBL,3,0),"")</f>
        <v/>
      </c>
      <c r="BV266" s="3">
        <f>IF(BU266="",NEUTRO,MAX(0,MIN(100,100*(SEG_REF_MAX-BU266)/(SEG_REF_MAX-SEG_REF_MIN))))</f>
        <v/>
      </c>
      <c r="BW266" s="3">
        <f>W_ET*BS266+W_CONS*BT266+W_SEG*BV266</f>
        <v/>
      </c>
      <c r="BX266" s="3">
        <f>IF(N(AB266)&gt;0,AB266,IF(AND(R266="profesional",SG_LEGAL_ON=1),GAR_LEGAL,0))</f>
        <v/>
      </c>
      <c r="BY266" s="3">
        <f>SG_GAR*MIN(1,BX266/SG_GAR_FULL)+SG_AMPL*(AC266="sí")+SG_KMC*(AF266="sí")+SG_REV*(N(AE266)&gt;0)+SG_DEV*MIN(1,N(AG266)/SG_DEV_FULL)+SG_HIST*(W266="sí")</f>
        <v/>
      </c>
      <c r="BZ266" s="3">
        <f>IFERROR(VLOOKUP(L266,CARR_PEN_TBL,2,0),0)</f>
        <v/>
      </c>
      <c r="CA266" s="3">
        <f>W_FIAB*BL266+W_PRECIO*BM266+W_KMEDAD*BQ266+W_ANUNCIO*BR266+W_USO*BW266+W_SEGURIDAD*BY266-BZ266</f>
        <v/>
      </c>
      <c r="CB266" s="4">
        <f>IF(N(I266)&gt;0,I266,IFERROR(ROUND(_xlfn.NUMBERVALUE(LEFT(G266,FIND(" ",G266&amp;" ")-1),".")*1000,0),99999))</f>
        <v/>
      </c>
      <c r="CC266" s="3">
        <f>IF(R266="profesional",0,IF(O266&lt;CUOTA_VALOR_MAX,IF(AU266&gt;ITP_TRAMO_ALTO,SUMIFS(CF_CUOTA,CF_MAS,ITP_TRAMO_ALTO,CF_CCMIN,"&lt;="&amp;CB266,CF_CCMAX,"&gt;="&amp;CB266),IF(AU266&gt;ITP_TRAMO_BAJO,SUMIFS(CF_CUOTA,CF_MAS,ITP_TRAMO_BAJO,CF_CCMIN,"&lt;="&amp;CB266,CF_CCMAX,"&gt;="&amp;CB266),O266*ITP_TIPO)),O266*ITP_TIPO))</f>
        <v/>
      </c>
      <c r="CD266" s="4">
        <f>IF(R266="profesional",N(AK266),0)</f>
        <v/>
      </c>
      <c r="CE266" s="3">
        <f>IF(AND(R266="profesional",ISNUMBER(AK266),AL266="sí"),0,TASA_DGT)</f>
        <v/>
      </c>
      <c r="CF266" s="3">
        <f>INFORME_DGT</f>
        <v/>
      </c>
      <c r="CG266" s="4">
        <f>O266+CD266+CC266+CE266+CF266</f>
        <v/>
      </c>
      <c r="CH266" s="4">
        <f>CG266+N(BU266)</f>
        <v/>
      </c>
      <c r="CI266" s="3">
        <f>IF(CG266&lt;=TOTAL_MAX,"sí",IF(CG266&lt;=TOTAL_MAX+MARGEN_NEG,"negociar","no"))</f>
        <v/>
      </c>
      <c r="CJ266" s="4">
        <f>IF(CI266&lt;&gt;"no",COUNTIFS($CI$2:$CI$662,"&lt;&gt;no",$CA$2:$CA$662,"&gt;"&amp;CA266)+COUNTIFS($CI$2:CI266,"&lt;&gt;no",$CA$2:CA266,CA266),"")</f>
        <v/>
      </c>
    </row>
    <row r="267">
      <c r="A267" s="2" t="inlineStr">
        <is>
          <t>cochesnet:71871606</t>
        </is>
      </c>
      <c r="B267" s="2" t="inlineStr">
        <is>
          <t>cochesnet</t>
        </is>
      </c>
      <c r="C267" s="2" t="inlineStr">
        <is>
          <t>https://www.coches.net/hyundai-matrix-15-16v-crdi-110cv-gls-full-5p-diesel-2005-en-valencia-71871606-covo.aspx</t>
        </is>
      </c>
      <c r="D267" s="2" t="inlineStr">
        <is>
          <t>HYUNDAI Matrix 1.5 16v CRDi GLS Full</t>
        </is>
      </c>
      <c r="E267" s="2" t="inlineStr">
        <is>
          <t>Hyundai</t>
        </is>
      </c>
      <c r="F267" s="2" t="inlineStr">
        <is>
          <t>Hyundai Matrix</t>
        </is>
      </c>
      <c r="G267" s="2" t="inlineStr">
        <is>
          <t>1.5 CRDi</t>
        </is>
      </c>
      <c r="H267" s="2" t="inlineStr">
        <is>
          <t>1.5 16v CRDi 110cv GLS Full</t>
        </is>
      </c>
      <c r="I267" s="2" t="n"/>
      <c r="J267" s="2" t="n">
        <v>110</v>
      </c>
      <c r="K267" s="2" t="inlineStr">
        <is>
          <t>diesel</t>
        </is>
      </c>
      <c r="L267" s="2" t="inlineStr">
        <is>
          <t>monovolumen_pequeno</t>
        </is>
      </c>
      <c r="M267" s="2" t="n">
        <v>2006</v>
      </c>
      <c r="N267" s="2" t="n">
        <v>170000</v>
      </c>
      <c r="O267" s="2" t="n">
        <v>2490</v>
      </c>
      <c r="P267" s="2" t="inlineStr">
        <is>
          <t>manual</t>
        </is>
      </c>
      <c r="Q267" s="2" t="inlineStr">
        <is>
          <t>no</t>
        </is>
      </c>
      <c r="R267" s="2" t="inlineStr">
        <is>
          <t>profesional</t>
        </is>
      </c>
      <c r="S267" s="2" t="inlineStr">
        <is>
          <t>AutoEco Valencia</t>
        </is>
      </c>
      <c r="T267" s="2" t="inlineStr">
        <is>
          <t>2026-10-30T14:58:17Z</t>
        </is>
      </c>
      <c r="U267" s="2" t="n">
        <v>9</v>
      </c>
      <c r="V267" s="2" t="n"/>
      <c r="W267" s="2" t="inlineStr">
        <is>
          <t>sí</t>
        </is>
      </c>
      <c r="X267" s="2" t="n"/>
      <c r="Y267" s="2" t="n"/>
      <c r="Z267" s="2" t="inlineStr">
        <is>
          <t>sí</t>
        </is>
      </c>
      <c r="AA267" s="2" t="n"/>
      <c r="AB267" s="2" t="n">
        <v>12</v>
      </c>
      <c r="AC267" s="2" t="n"/>
      <c r="AD267" s="2" t="n"/>
      <c r="AE267" s="2" t="n"/>
      <c r="AF267" s="2" t="n"/>
      <c r="AG267" s="2" t="n"/>
      <c r="AH267" s="2" t="n">
        <v>2490</v>
      </c>
      <c r="AI267" s="2" t="n">
        <v>2490</v>
      </c>
      <c r="AJ267" s="2" t="n"/>
      <c r="AK267" s="2" t="n"/>
      <c r="AL267" s="2" t="n"/>
      <c r="AM267" s="2" t="n">
        <v>0.1</v>
      </c>
      <c r="AN267" s="2" t="n"/>
      <c r="AO267" s="2" t="n"/>
      <c r="AP267" s="2" t="n"/>
      <c r="AQ267" s="2" t="n"/>
      <c r="AR267"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S267" s="2" t="inlineStr">
        <is>
          <t>-AUTOECO- 
*Concesionario Vehículos Ocasión multimarca. 
*Avenida Espioca 193 Silla Valencia 46460, Valencia*
*Lunes a Viernes 9h a 14h y 16h a 20h*
*Sábados 10h a 14h tarde y domingos atendemos con cita previa*
FINANCIACIÓN A SU MEDIDA sin necesidad de entrada, consulte sin compromiso.
DESTACADO: 
-Vehículo nacional.
-Desgaste exterior de chapa (Opcion de pintar Capo y techo + 250€)
-Interior impecable.
-Motor Hyundai CADENA de distribución, no correa.
-Aire acondicionado.
-Dirección asistida.
-Radio CD. 
- 1 año de Garantía incluida en precio con opción de ampliación. 
*Se entrega con ITV y mantenimiento al día, listo para circular.*
Este anuncio puede contener algún error tipográfico o de transcripción. 
Para más información contacten sin compromiso.</t>
        </is>
      </c>
      <c r="AT267" s="2" t="inlineStr">
        <is>
          <t>https://www.coches.net/hyundai-matrix-15-16v-crdi-110cv-gls-full-5p-diesel-2005-en-valencia-71871606-covo.aspx (window.__INITIAL_PROPS__.ad) /home/user/Alopecia/buscador-coches/raw/cochesnet/c92d11b2be67b96f.json</t>
        </is>
      </c>
      <c r="AU267" s="3">
        <f>MAX(ANIO_ACTUAL-M267,0)</f>
        <v/>
      </c>
      <c r="AV267" s="4">
        <f>N267/MAX(AU267,0.5)</f>
        <v/>
      </c>
      <c r="AW267" s="4">
        <f>F267</f>
        <v/>
      </c>
      <c r="AX267" s="3">
        <f>AW267&amp;"|"&amp;INT(M267/SEG_ANIO)*SEG_ANIO</f>
        <v/>
      </c>
      <c r="AY267" s="3">
        <f>AX267&amp;"|"&amp;INT(N267/SEG_KM)*SEG_KM</f>
        <v/>
      </c>
      <c r="AZ267" s="4">
        <f>COUNTIF($AW$2:$AW$662,AW267)</f>
        <v/>
      </c>
      <c r="BA267" s="4">
        <f>COUNTIF($AX$2:$AX$662,AX267)</f>
        <v/>
      </c>
      <c r="BB267" s="4">
        <f>COUNTIF($AY$2:$AY$662,AY267)</f>
        <v/>
      </c>
      <c r="BC267" s="3">
        <f t="array" ref="BC267">IF(N(AO267)&gt;=MIN_N,AN267,IF(BB267&gt;=MIN_N,MEDIAN(IF($AY$2:$AY$662=AY267,$O$2:$O$662)),IF(BA267&gt;=MIN_N,MEDIAN(IF($AX$2:$AX$662=AX267,$O$2:$O$662)),MEDIAN(IF($AW$2:$AW$662=AW267,$O$2:$O$662)))))</f>
        <v/>
      </c>
      <c r="BD267" s="3">
        <f>IF(N(AO267)&gt;=MIN_N,"mercado "&amp;AP267,IF(BB267&gt;=MIN_N,"modelo+año+km",IF(BA267&gt;=MIN_N,"modelo+año","modelo")))</f>
        <v/>
      </c>
      <c r="BE267" s="4">
        <f>(BC267-O267)/BC267</f>
        <v/>
      </c>
      <c r="BF267" s="3">
        <f>IF(OR(K267="hibrido",K267="glp"),"ECO",IF(K267="electrico","CERO",IF(K267="gasolina",IF(M267&gt;=GAS_C,"C",IF(M267&gt;=GAS_B,"B","A")),IF(K267="diesel",IF(M267&gt;=DIE_C,"C",IF(M267&gt;=DIE_B,"B","A")),""))))</f>
        <v/>
      </c>
      <c r="BG267" s="3">
        <f>IFERROR(VLOOKUP(F267,MOD_TBL,11,0),IFERROR(VLOOKUP(E267,OCU_TBL,2,0),NEUTRO))</f>
        <v/>
      </c>
      <c r="BH267" s="3">
        <f>SUMIFS(MOT_AJUSTE,MOT_MOTOR,G267,MOT_MARCA,E267,MOT_DESDE,"&lt;="&amp;M267,MOT_HASTA,"&gt;="&amp;M267)+SUMIFS(MOT_AJUSTE,MOT_MOTOR,G267,MOT_MARCA,"(todas)",MOT_DESDE,"&lt;="&amp;M267,MOT_HASTA,"&gt;="&amp;M267)</f>
        <v/>
      </c>
      <c r="BI267" s="3">
        <f>SUMIFS(COMB_AJUSTE,COMB_COMB,K267)</f>
        <v/>
      </c>
      <c r="BJ267" s="3">
        <f>COUNTIFS(MOT_MOTOR,G267,MOT_MARCA,E267,MOT_DESDE,"&lt;="&amp;M267,MOT_HASTA,"&gt;="&amp;M267)+COUNTIFS(MOT_MOTOR,G267,MOT_MARCA,"(todas)",MOT_DESDE,"&lt;="&amp;M267,MOT_HASTA,"&gt;="&amp;M267)</f>
        <v/>
      </c>
      <c r="BK267" s="3">
        <f>IF(AND(K267="diesel",BJ267=0),MIN(BG267,NEUTRO),BG267)</f>
        <v/>
      </c>
      <c r="BL267" s="4">
        <f>MAX(0,MIN(100,BK267+BH267+BI267))</f>
        <v/>
      </c>
      <c r="BM267" s="3">
        <f>MAX(0,MIN(100,50+BE267*PRECIO_PEND))</f>
        <v/>
      </c>
      <c r="BN267" s="3">
        <f>MAX(0,100*(1-N267/KM_MAX))</f>
        <v/>
      </c>
      <c r="BO267" s="3">
        <f>IF(AV267&lt;KMA_SOSP,IF(AA267="sí",100,KMA_PEN),IF(AV267&lt;=KMA_IDEAL_MAX,100,MAX(0,100*(KMA_CERO-AV267)/(KMA_CERO-KMA_IDEAL_MAX))))</f>
        <v/>
      </c>
      <c r="BP267" s="3">
        <f>MAX(0,MIN(100,100*(M267-ANIO_MIN)/(ANIO_ACTUAL-ANIO_MIN)))</f>
        <v/>
      </c>
      <c r="BQ267" s="3">
        <f>W_KMT*BN267+W_KMA*BO267+W_EDAD*BP267</f>
        <v/>
      </c>
      <c r="BR267" s="3">
        <f>P_ITV*(V267="sí")+P_LIBRO*(W267="sí")+P_CORREA*(X267="sí")+P_PROP*(Y267=1)+P_GAR*(Z267="sí")+P_FOTOS*MIN(1,N(U267)/FOTOS_OBJ)</f>
        <v/>
      </c>
      <c r="BS267" s="3">
        <f>IFERROR(VLOOKUP(BF267,ETQ_TBL,2,0),NEUTRO)</f>
        <v/>
      </c>
      <c r="BT267" s="3">
        <f>NEUTRO</f>
        <v/>
      </c>
      <c r="BU267" s="3">
        <f>IFERROR(VLOOKUP(L267,SEGURO_TBL,3,0),"")</f>
        <v/>
      </c>
      <c r="BV267" s="3">
        <f>IF(BU267="",NEUTRO,MAX(0,MIN(100,100*(SEG_REF_MAX-BU267)/(SEG_REF_MAX-SEG_REF_MIN))))</f>
        <v/>
      </c>
      <c r="BW267" s="3">
        <f>W_ET*BS267+W_CONS*BT267+W_SEG*BV267</f>
        <v/>
      </c>
      <c r="BX267" s="3">
        <f>IF(N(AB267)&gt;0,AB267,IF(AND(R267="profesional",SG_LEGAL_ON=1),GAR_LEGAL,0))</f>
        <v/>
      </c>
      <c r="BY267" s="3">
        <f>SG_GAR*MIN(1,BX267/SG_GAR_FULL)+SG_AMPL*(AC267="sí")+SG_KMC*(AF267="sí")+SG_REV*(N(AE267)&gt;0)+SG_DEV*MIN(1,N(AG267)/SG_DEV_FULL)+SG_HIST*(W267="sí")</f>
        <v/>
      </c>
      <c r="BZ267" s="3">
        <f>IFERROR(VLOOKUP(L267,CARR_PEN_TBL,2,0),0)</f>
        <v/>
      </c>
      <c r="CA267" s="3">
        <f>W_FIAB*BL267+W_PRECIO*BM267+W_KMEDAD*BQ267+W_ANUNCIO*BR267+W_USO*BW267+W_SEGURIDAD*BY267-BZ267</f>
        <v/>
      </c>
      <c r="CB267" s="4">
        <f>IF(N(I267)&gt;0,I267,IFERROR(ROUND(_xlfn.NUMBERVALUE(LEFT(G267,FIND(" ",G267&amp;" ")-1),".")*1000,0),99999))</f>
        <v/>
      </c>
      <c r="CC267" s="3">
        <f>IF(R267="profesional",0,IF(O267&lt;CUOTA_VALOR_MAX,IF(AU267&gt;ITP_TRAMO_ALTO,SUMIFS(CF_CUOTA,CF_MAS,ITP_TRAMO_ALTO,CF_CCMIN,"&lt;="&amp;CB267,CF_CCMAX,"&gt;="&amp;CB267),IF(AU267&gt;ITP_TRAMO_BAJO,SUMIFS(CF_CUOTA,CF_MAS,ITP_TRAMO_BAJO,CF_CCMIN,"&lt;="&amp;CB267,CF_CCMAX,"&gt;="&amp;CB267),O267*ITP_TIPO)),O267*ITP_TIPO))</f>
        <v/>
      </c>
      <c r="CD267" s="4">
        <f>IF(R267="profesional",N(AK267),0)</f>
        <v/>
      </c>
      <c r="CE267" s="3">
        <f>IF(AND(R267="profesional",ISNUMBER(AK267),AL267="sí"),0,TASA_DGT)</f>
        <v/>
      </c>
      <c r="CF267" s="3">
        <f>INFORME_DGT</f>
        <v/>
      </c>
      <c r="CG267" s="4">
        <f>O267+CD267+CC267+CE267+CF267</f>
        <v/>
      </c>
      <c r="CH267" s="4">
        <f>CG267+N(BU267)</f>
        <v/>
      </c>
      <c r="CI267" s="3">
        <f>IF(CG267&lt;=TOTAL_MAX,"sí",IF(CG267&lt;=TOTAL_MAX+MARGEN_NEG,"negociar","no"))</f>
        <v/>
      </c>
      <c r="CJ267" s="4">
        <f>IF(CI267&lt;&gt;"no",COUNTIFS($CI$2:$CI$662,"&lt;&gt;no",$CA$2:$CA$662,"&gt;"&amp;CA267)+COUNTIFS($CI$2:CI267,"&lt;&gt;no",$CA$2:CA267,CA267),"")</f>
        <v/>
      </c>
    </row>
    <row r="268">
      <c r="A268" s="2" t="inlineStr">
        <is>
          <t>cochesnet:71817936</t>
        </is>
      </c>
      <c r="B268" s="2" t="inlineStr">
        <is>
          <t>cochesnet</t>
        </is>
      </c>
      <c r="C268" s="2" t="inlineStr">
        <is>
          <t>https://www.coches.net/hyundai-matrix-15-16v-crdi-110cv-gls-full-5p-diesel-2005-en-valencia-71817936-covo.aspx</t>
        </is>
      </c>
      <c r="D268" s="2" t="inlineStr">
        <is>
          <t>HYUNDAI Matrix 1.5 16v CRDi GLS Full</t>
        </is>
      </c>
      <c r="E268" s="2" t="inlineStr">
        <is>
          <t>Hyundai</t>
        </is>
      </c>
      <c r="F268" s="2" t="inlineStr">
        <is>
          <t>Hyundai Matrix</t>
        </is>
      </c>
      <c r="G268" s="2" t="inlineStr">
        <is>
          <t>1.5 CRDi</t>
        </is>
      </c>
      <c r="H268" s="2" t="inlineStr">
        <is>
          <t>1.5 16v CRDi 110cv GLS Full</t>
        </is>
      </c>
      <c r="I268" s="2" t="n"/>
      <c r="J268" s="2" t="n">
        <v>110</v>
      </c>
      <c r="K268" s="2" t="inlineStr">
        <is>
          <t>diesel</t>
        </is>
      </c>
      <c r="L268" s="2" t="inlineStr">
        <is>
          <t>monovolumen_pequeno</t>
        </is>
      </c>
      <c r="M268" s="2" t="n">
        <v>2007</v>
      </c>
      <c r="N268" s="2" t="n">
        <v>129000</v>
      </c>
      <c r="O268" s="2" t="n">
        <v>3990</v>
      </c>
      <c r="P268" s="2" t="inlineStr">
        <is>
          <t>manual</t>
        </is>
      </c>
      <c r="Q268" s="2" t="inlineStr">
        <is>
          <t>no</t>
        </is>
      </c>
      <c r="R268" s="2" t="inlineStr">
        <is>
          <t>profesional</t>
        </is>
      </c>
      <c r="S268" s="2" t="inlineStr">
        <is>
          <t>Only Cars Valencia Aldaia</t>
        </is>
      </c>
      <c r="T268" s="2" t="inlineStr">
        <is>
          <t>2026-10-23T16:00:18Z</t>
        </is>
      </c>
      <c r="U268" s="2" t="n">
        <v>11</v>
      </c>
      <c r="V268" s="2" t="n"/>
      <c r="W268" s="2" t="n"/>
      <c r="X268" s="2" t="n"/>
      <c r="Y268" s="2" t="n"/>
      <c r="Z268" s="2" t="inlineStr">
        <is>
          <t>sí</t>
        </is>
      </c>
      <c r="AA268" s="2" t="n"/>
      <c r="AB268" s="2" t="n">
        <v>12</v>
      </c>
      <c r="AC268" s="2" t="n"/>
      <c r="AD268" s="2" t="n"/>
      <c r="AE268" s="2" t="n"/>
      <c r="AF268" s="2" t="n"/>
      <c r="AG268" s="2" t="n"/>
      <c r="AH268" s="2" t="n">
        <v>3990</v>
      </c>
      <c r="AI268" s="2" t="n"/>
      <c r="AJ268" s="2" t="n"/>
      <c r="AK268" s="2" t="n"/>
      <c r="AL268" s="2" t="n"/>
      <c r="AM268" s="2" t="n">
        <v>7.5</v>
      </c>
      <c r="AN268" s="2" t="n"/>
      <c r="AO268" s="2" t="n"/>
      <c r="AP268" s="2" t="n"/>
      <c r="AQ268" s="2" t="n"/>
      <c r="AR268"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 mediana con solo 3 anuncio(s)</t>
        </is>
      </c>
      <c r="AS268" s="2" t="inlineStr">
        <is>
          <t>Hyundai Matrix 1.5 CRDi CRDI VGT Elegance año 2007 con 129.000Kms 110CV.
Equipamiento:
- elevalunas eléctricos 
- Espejos eléctricos 
- Aire acondicionado 
- Dirección asistida
- Mando a distancia 
- Ordenador de abordo
Mantenimiento:
   - cambio de filtro de aire
   - cambio de filtro de aceite
   - cambio de aceite 
   - Dos juegos de llave
   - Alfombrillas</t>
        </is>
      </c>
      <c r="AT268" s="2" t="inlineStr">
        <is>
          <t>https://www.coches.net/hyundai-matrix-15-16v-crdi-110cv-gls-full-5p-diesel-2005-en-valencia-71817936-covo.aspx (window.__INITIAL_PROPS__.ad) /home/user/Alopecia/buscador-coches/raw/cochesnet/505192faca31b657.json</t>
        </is>
      </c>
      <c r="AU268" s="3">
        <f>MAX(ANIO_ACTUAL-M268,0)</f>
        <v/>
      </c>
      <c r="AV268" s="4">
        <f>N268/MAX(AU268,0.5)</f>
        <v/>
      </c>
      <c r="AW268" s="4">
        <f>F268</f>
        <v/>
      </c>
      <c r="AX268" s="3">
        <f>AW268&amp;"|"&amp;INT(M268/SEG_ANIO)*SEG_ANIO</f>
        <v/>
      </c>
      <c r="AY268" s="3">
        <f>AX268&amp;"|"&amp;INT(N268/SEG_KM)*SEG_KM</f>
        <v/>
      </c>
      <c r="AZ268" s="4">
        <f>COUNTIF($AW$2:$AW$662,AW268)</f>
        <v/>
      </c>
      <c r="BA268" s="4">
        <f>COUNTIF($AX$2:$AX$662,AX268)</f>
        <v/>
      </c>
      <c r="BB268" s="4">
        <f>COUNTIF($AY$2:$AY$662,AY268)</f>
        <v/>
      </c>
      <c r="BC268" s="3">
        <f t="array" ref="BC268">IF(N(AO268)&gt;=MIN_N,AN268,IF(BB268&gt;=MIN_N,MEDIAN(IF($AY$2:$AY$662=AY268,$O$2:$O$662)),IF(BA268&gt;=MIN_N,MEDIAN(IF($AX$2:$AX$662=AX268,$O$2:$O$662)),MEDIAN(IF($AW$2:$AW$662=AW268,$O$2:$O$662)))))</f>
        <v/>
      </c>
      <c r="BD268" s="3">
        <f>IF(N(AO268)&gt;=MIN_N,"mercado "&amp;AP268,IF(BB268&gt;=MIN_N,"modelo+año+km",IF(BA268&gt;=MIN_N,"modelo+año","modelo")))</f>
        <v/>
      </c>
      <c r="BE268" s="4">
        <f>(BC268-O268)/BC268</f>
        <v/>
      </c>
      <c r="BF268" s="3">
        <f>IF(OR(K268="hibrido",K268="glp"),"ECO",IF(K268="electrico","CERO",IF(K268="gasolina",IF(M268&gt;=GAS_C,"C",IF(M268&gt;=GAS_B,"B","A")),IF(K268="diesel",IF(M268&gt;=DIE_C,"C",IF(M268&gt;=DIE_B,"B","A")),""))))</f>
        <v/>
      </c>
      <c r="BG268" s="3">
        <f>IFERROR(VLOOKUP(F268,MOD_TBL,11,0),IFERROR(VLOOKUP(E268,OCU_TBL,2,0),NEUTRO))</f>
        <v/>
      </c>
      <c r="BH268" s="3">
        <f>SUMIFS(MOT_AJUSTE,MOT_MOTOR,G268,MOT_MARCA,E268,MOT_DESDE,"&lt;="&amp;M268,MOT_HASTA,"&gt;="&amp;M268)+SUMIFS(MOT_AJUSTE,MOT_MOTOR,G268,MOT_MARCA,"(todas)",MOT_DESDE,"&lt;="&amp;M268,MOT_HASTA,"&gt;="&amp;M268)</f>
        <v/>
      </c>
      <c r="BI268" s="3">
        <f>SUMIFS(COMB_AJUSTE,COMB_COMB,K268)</f>
        <v/>
      </c>
      <c r="BJ268" s="3">
        <f>COUNTIFS(MOT_MOTOR,G268,MOT_MARCA,E268,MOT_DESDE,"&lt;="&amp;M268,MOT_HASTA,"&gt;="&amp;M268)+COUNTIFS(MOT_MOTOR,G268,MOT_MARCA,"(todas)",MOT_DESDE,"&lt;="&amp;M268,MOT_HASTA,"&gt;="&amp;M268)</f>
        <v/>
      </c>
      <c r="BK268" s="3">
        <f>IF(AND(K268="diesel",BJ268=0),MIN(BG268,NEUTRO),BG268)</f>
        <v/>
      </c>
      <c r="BL268" s="4">
        <f>MAX(0,MIN(100,BK268+BH268+BI268))</f>
        <v/>
      </c>
      <c r="BM268" s="3">
        <f>MAX(0,MIN(100,50+BE268*PRECIO_PEND))</f>
        <v/>
      </c>
      <c r="BN268" s="3">
        <f>MAX(0,100*(1-N268/KM_MAX))</f>
        <v/>
      </c>
      <c r="BO268" s="3">
        <f>IF(AV268&lt;KMA_SOSP,IF(AA268="sí",100,KMA_PEN),IF(AV268&lt;=KMA_IDEAL_MAX,100,MAX(0,100*(KMA_CERO-AV268)/(KMA_CERO-KMA_IDEAL_MAX))))</f>
        <v/>
      </c>
      <c r="BP268" s="3">
        <f>MAX(0,MIN(100,100*(M268-ANIO_MIN)/(ANIO_ACTUAL-ANIO_MIN)))</f>
        <v/>
      </c>
      <c r="BQ268" s="3">
        <f>W_KMT*BN268+W_KMA*BO268+W_EDAD*BP268</f>
        <v/>
      </c>
      <c r="BR268" s="3">
        <f>P_ITV*(V268="sí")+P_LIBRO*(W268="sí")+P_CORREA*(X268="sí")+P_PROP*(Y268=1)+P_GAR*(Z268="sí")+P_FOTOS*MIN(1,N(U268)/FOTOS_OBJ)</f>
        <v/>
      </c>
      <c r="BS268" s="3">
        <f>IFERROR(VLOOKUP(BF268,ETQ_TBL,2,0),NEUTRO)</f>
        <v/>
      </c>
      <c r="BT268" s="3">
        <f>NEUTRO</f>
        <v/>
      </c>
      <c r="BU268" s="3">
        <f>IFERROR(VLOOKUP(L268,SEGURO_TBL,3,0),"")</f>
        <v/>
      </c>
      <c r="BV268" s="3">
        <f>IF(BU268="",NEUTRO,MAX(0,MIN(100,100*(SEG_REF_MAX-BU268)/(SEG_REF_MAX-SEG_REF_MIN))))</f>
        <v/>
      </c>
      <c r="BW268" s="3">
        <f>W_ET*BS268+W_CONS*BT268+W_SEG*BV268</f>
        <v/>
      </c>
      <c r="BX268" s="3">
        <f>IF(N(AB268)&gt;0,AB268,IF(AND(R268="profesional",SG_LEGAL_ON=1),GAR_LEGAL,0))</f>
        <v/>
      </c>
      <c r="BY268" s="3">
        <f>SG_GAR*MIN(1,BX268/SG_GAR_FULL)+SG_AMPL*(AC268="sí")+SG_KMC*(AF268="sí")+SG_REV*(N(AE268)&gt;0)+SG_DEV*MIN(1,N(AG268)/SG_DEV_FULL)+SG_HIST*(W268="sí")</f>
        <v/>
      </c>
      <c r="BZ268" s="3">
        <f>IFERROR(VLOOKUP(L268,CARR_PEN_TBL,2,0),0)</f>
        <v/>
      </c>
      <c r="CA268" s="3">
        <f>W_FIAB*BL268+W_PRECIO*BM268+W_KMEDAD*BQ268+W_ANUNCIO*BR268+W_USO*BW268+W_SEGURIDAD*BY268-BZ268</f>
        <v/>
      </c>
      <c r="CB268" s="4">
        <f>IF(N(I268)&gt;0,I268,IFERROR(ROUND(_xlfn.NUMBERVALUE(LEFT(G268,FIND(" ",G268&amp;" ")-1),".")*1000,0),99999))</f>
        <v/>
      </c>
      <c r="CC268" s="3">
        <f>IF(R268="profesional",0,IF(O268&lt;CUOTA_VALOR_MAX,IF(AU268&gt;ITP_TRAMO_ALTO,SUMIFS(CF_CUOTA,CF_MAS,ITP_TRAMO_ALTO,CF_CCMIN,"&lt;="&amp;CB268,CF_CCMAX,"&gt;="&amp;CB268),IF(AU268&gt;ITP_TRAMO_BAJO,SUMIFS(CF_CUOTA,CF_MAS,ITP_TRAMO_BAJO,CF_CCMIN,"&lt;="&amp;CB268,CF_CCMAX,"&gt;="&amp;CB268),O268*ITP_TIPO)),O268*ITP_TIPO))</f>
        <v/>
      </c>
      <c r="CD268" s="4">
        <f>IF(R268="profesional",N(AK268),0)</f>
        <v/>
      </c>
      <c r="CE268" s="3">
        <f>IF(AND(R268="profesional",ISNUMBER(AK268),AL268="sí"),0,TASA_DGT)</f>
        <v/>
      </c>
      <c r="CF268" s="3">
        <f>INFORME_DGT</f>
        <v/>
      </c>
      <c r="CG268" s="4">
        <f>O268+CD268+CC268+CE268+CF268</f>
        <v/>
      </c>
      <c r="CH268" s="4">
        <f>CG268+N(BU268)</f>
        <v/>
      </c>
      <c r="CI268" s="3">
        <f>IF(CG268&lt;=TOTAL_MAX,"sí",IF(CG268&lt;=TOTAL_MAX+MARGEN_NEG,"negociar","no"))</f>
        <v/>
      </c>
      <c r="CJ268" s="4">
        <f>IF(CI268&lt;&gt;"no",COUNTIFS($CI$2:$CI$662,"&lt;&gt;no",$CA$2:$CA$662,"&gt;"&amp;CA268)+COUNTIFS($CI$2:CI268,"&lt;&gt;no",$CA$2:CA268,CA268),"")</f>
        <v/>
      </c>
    </row>
    <row r="269">
      <c r="A269" s="2" t="inlineStr">
        <is>
          <t>cochesnet:71863815</t>
        </is>
      </c>
      <c r="B269" s="2" t="inlineStr">
        <is>
          <t>cochesnet</t>
        </is>
      </c>
      <c r="C269" s="2" t="inlineStr">
        <is>
          <t>https://www.coches.net/hyundai-getz-15-crdi-88cv-5p-diesel-2005-en-valencia-71863815-covo.aspx</t>
        </is>
      </c>
      <c r="D269" s="2" t="inlineStr">
        <is>
          <t>HYUNDAI Getz 1.5 CRDi</t>
        </is>
      </c>
      <c r="E269" s="2" t="inlineStr">
        <is>
          <t>Hyundai</t>
        </is>
      </c>
      <c r="F269" s="2" t="inlineStr">
        <is>
          <t>Hyundai Getz</t>
        </is>
      </c>
      <c r="G269" s="2" t="inlineStr">
        <is>
          <t>1.5 CRDi</t>
        </is>
      </c>
      <c r="H269" s="2" t="inlineStr">
        <is>
          <t>1.5 CRDi 88cv</t>
        </is>
      </c>
      <c r="I269" s="2" t="n"/>
      <c r="J269" s="2" t="n">
        <v>88</v>
      </c>
      <c r="K269" s="2" t="inlineStr">
        <is>
          <t>diesel</t>
        </is>
      </c>
      <c r="L269" s="2" t="inlineStr">
        <is>
          <t>utilitario</t>
        </is>
      </c>
      <c r="M269" s="2" t="n">
        <v>2006</v>
      </c>
      <c r="N269" s="2" t="n">
        <v>108000</v>
      </c>
      <c r="O269" s="2" t="n">
        <v>3850</v>
      </c>
      <c r="P269" s="2" t="inlineStr">
        <is>
          <t>manual</t>
        </is>
      </c>
      <c r="Q269" s="2" t="inlineStr">
        <is>
          <t>no</t>
        </is>
      </c>
      <c r="R269" s="2" t="inlineStr">
        <is>
          <t>profesional</t>
        </is>
      </c>
      <c r="S269" s="2" t="inlineStr">
        <is>
          <t>Beniparrell</t>
        </is>
      </c>
      <c r="T269" s="2" t="inlineStr">
        <is>
          <t>2026-10-29T17:16:21Z</t>
        </is>
      </c>
      <c r="U269" s="2" t="n">
        <v>13</v>
      </c>
      <c r="V269" s="2" t="n"/>
      <c r="W269" s="2" t="n"/>
      <c r="X269" s="2" t="n"/>
      <c r="Y269" s="2" t="n"/>
      <c r="Z269" s="2" t="inlineStr">
        <is>
          <t>sí</t>
        </is>
      </c>
      <c r="AA269" s="2" t="n"/>
      <c r="AB269" s="2" t="n">
        <v>12</v>
      </c>
      <c r="AC269" s="2" t="n"/>
      <c r="AD269" s="2" t="n"/>
      <c r="AE269" s="2" t="n"/>
      <c r="AF269" s="2" t="n"/>
      <c r="AG269" s="2" t="n"/>
      <c r="AH269" s="2" t="n">
        <v>3850</v>
      </c>
      <c r="AI269" s="2" t="n"/>
      <c r="AJ269" s="2" t="n"/>
      <c r="AK269" s="2" t="n"/>
      <c r="AL269" s="2" t="n"/>
      <c r="AM269" s="2" t="n">
        <v>10.2</v>
      </c>
      <c r="AN269" s="2" t="n">
        <v>2700</v>
      </c>
      <c r="AO269" s="2" t="n">
        <v>6</v>
      </c>
      <c r="AP269" s="2" t="inlineStr">
        <is>
          <t>modelo+año</t>
        </is>
      </c>
      <c r="AQ269" s="2" t="n"/>
      <c r="AR269" s="2" t="inlineStr">
        <is>
          <t>vendedor profesional: sin ITP (operación con IVA/REBU, confirmar en factura); gastos de gestión del vendedor no indicados: se suma la tasa DGT; preguntar el precio final; diésel: motor sin fuente de fiabilidad (fiabilidad limitada a neutra); fiabilidad del modelo PENDIENTE de fuente (puntuación neutra)</t>
        </is>
      </c>
      <c r="AS269" s="2" t="inlineStr">
        <is>
          <t>Este Getz destaca por su equipo de audio Alpine con reproductor de CD, radio RDS y ARI/EON, complementado con seis altavoces. Incluye cristales tintados en toda la cabina y elevalunas eléctricos delanteros y traseros. Su etiqueta medioambiental facilita el acceso a zonas ZBE. Equipa cierre centralizado con mando a distancia y protección antirrobo.GARANTÍA 12 meses (cobertura de 25 componentes del vehículo )cobertura de reparación hasta 2.000e en cualquier taller)</t>
        </is>
      </c>
      <c r="AT269" s="2" t="inlineStr">
        <is>
          <t>https://www.coches.net/hyundai-getz-15-crdi-88cv-5p-diesel-2005-en-valencia-71863815-covo.aspx (window.__INITIAL_PROPS__.ad) /home/user/Alopecia/buscador-coches/raw/cochesnet/b6e519ad6a307c38.json</t>
        </is>
      </c>
      <c r="AU269" s="3">
        <f>MAX(ANIO_ACTUAL-M269,0)</f>
        <v/>
      </c>
      <c r="AV269" s="4">
        <f>N269/MAX(AU269,0.5)</f>
        <v/>
      </c>
      <c r="AW269" s="4">
        <f>F269</f>
        <v/>
      </c>
      <c r="AX269" s="3">
        <f>AW269&amp;"|"&amp;INT(M269/SEG_ANIO)*SEG_ANIO</f>
        <v/>
      </c>
      <c r="AY269" s="3">
        <f>AX269&amp;"|"&amp;INT(N269/SEG_KM)*SEG_KM</f>
        <v/>
      </c>
      <c r="AZ269" s="4">
        <f>COUNTIF($AW$2:$AW$662,AW269)</f>
        <v/>
      </c>
      <c r="BA269" s="4">
        <f>COUNTIF($AX$2:$AX$662,AX269)</f>
        <v/>
      </c>
      <c r="BB269" s="4">
        <f>COUNTIF($AY$2:$AY$662,AY269)</f>
        <v/>
      </c>
      <c r="BC269" s="3">
        <f t="array" ref="BC269">IF(N(AO269)&gt;=MIN_N,AN269,IF(BB269&gt;=MIN_N,MEDIAN(IF($AY$2:$AY$662=AY269,$O$2:$O$662)),IF(BA269&gt;=MIN_N,MEDIAN(IF($AX$2:$AX$662=AX269,$O$2:$O$662)),MEDIAN(IF($AW$2:$AW$662=AW269,$O$2:$O$662)))))</f>
        <v/>
      </c>
      <c r="BD269" s="3">
        <f>IF(N(AO269)&gt;=MIN_N,"mercado "&amp;AP269,IF(BB269&gt;=MIN_N,"modelo+año+km",IF(BA269&gt;=MIN_N,"modelo+año","modelo")))</f>
        <v/>
      </c>
      <c r="BE269" s="4">
        <f>(BC269-O269)/BC269</f>
        <v/>
      </c>
      <c r="BF269" s="3">
        <f>IF(OR(K269="hibrido",K269="glp"),"ECO",IF(K269="electrico","CERO",IF(K269="gasolina",IF(M269&gt;=GAS_C,"C",IF(M269&gt;=GAS_B,"B","A")),IF(K269="diesel",IF(M269&gt;=DIE_C,"C",IF(M269&gt;=DIE_B,"B","A")),""))))</f>
        <v/>
      </c>
      <c r="BG269" s="3">
        <f>IFERROR(VLOOKUP(F269,MOD_TBL,11,0),IFERROR(VLOOKUP(E269,OCU_TBL,2,0),NEUTRO))</f>
        <v/>
      </c>
      <c r="BH269" s="3">
        <f>SUMIFS(MOT_AJUSTE,MOT_MOTOR,G269,MOT_MARCA,E269,MOT_DESDE,"&lt;="&amp;M269,MOT_HASTA,"&gt;="&amp;M269)+SUMIFS(MOT_AJUSTE,MOT_MOTOR,G269,MOT_MARCA,"(todas)",MOT_DESDE,"&lt;="&amp;M269,MOT_HASTA,"&gt;="&amp;M269)</f>
        <v/>
      </c>
      <c r="BI269" s="3">
        <f>SUMIFS(COMB_AJUSTE,COMB_COMB,K269)</f>
        <v/>
      </c>
      <c r="BJ269" s="3">
        <f>COUNTIFS(MOT_MOTOR,G269,MOT_MARCA,E269,MOT_DESDE,"&lt;="&amp;M269,MOT_HASTA,"&gt;="&amp;M269)+COUNTIFS(MOT_MOTOR,G269,MOT_MARCA,"(todas)",MOT_DESDE,"&lt;="&amp;M269,MOT_HASTA,"&gt;="&amp;M269)</f>
        <v/>
      </c>
      <c r="BK269" s="3">
        <f>IF(AND(K269="diesel",BJ269=0),MIN(BG269,NEUTRO),BG269)</f>
        <v/>
      </c>
      <c r="BL269" s="4">
        <f>MAX(0,MIN(100,BK269+BH269+BI269))</f>
        <v/>
      </c>
      <c r="BM269" s="3">
        <f>MAX(0,MIN(100,50+BE269*PRECIO_PEND))</f>
        <v/>
      </c>
      <c r="BN269" s="3">
        <f>MAX(0,100*(1-N269/KM_MAX))</f>
        <v/>
      </c>
      <c r="BO269" s="3">
        <f>IF(AV269&lt;KMA_SOSP,IF(AA269="sí",100,KMA_PEN),IF(AV269&lt;=KMA_IDEAL_MAX,100,MAX(0,100*(KMA_CERO-AV269)/(KMA_CERO-KMA_IDEAL_MAX))))</f>
        <v/>
      </c>
      <c r="BP269" s="3">
        <f>MAX(0,MIN(100,100*(M269-ANIO_MIN)/(ANIO_ACTUAL-ANIO_MIN)))</f>
        <v/>
      </c>
      <c r="BQ269" s="3">
        <f>W_KMT*BN269+W_KMA*BO269+W_EDAD*BP269</f>
        <v/>
      </c>
      <c r="BR269" s="3">
        <f>P_ITV*(V269="sí")+P_LIBRO*(W269="sí")+P_CORREA*(X269="sí")+P_PROP*(Y269=1)+P_GAR*(Z269="sí")+P_FOTOS*MIN(1,N(U269)/FOTOS_OBJ)</f>
        <v/>
      </c>
      <c r="BS269" s="3">
        <f>IFERROR(VLOOKUP(BF269,ETQ_TBL,2,0),NEUTRO)</f>
        <v/>
      </c>
      <c r="BT269" s="3">
        <f>NEUTRO</f>
        <v/>
      </c>
      <c r="BU269" s="3">
        <f>IFERROR(VLOOKUP(L269,SEGURO_TBL,3,0),"")</f>
        <v/>
      </c>
      <c r="BV269" s="3">
        <f>IF(BU269="",NEUTRO,MAX(0,MIN(100,100*(SEG_REF_MAX-BU269)/(SEG_REF_MAX-SEG_REF_MIN))))</f>
        <v/>
      </c>
      <c r="BW269" s="3">
        <f>W_ET*BS269+W_CONS*BT269+W_SEG*BV269</f>
        <v/>
      </c>
      <c r="BX269" s="3">
        <f>IF(N(AB269)&gt;0,AB269,IF(AND(R269="profesional",SG_LEGAL_ON=1),GAR_LEGAL,0))</f>
        <v/>
      </c>
      <c r="BY269" s="3">
        <f>SG_GAR*MIN(1,BX269/SG_GAR_FULL)+SG_AMPL*(AC269="sí")+SG_KMC*(AF269="sí")+SG_REV*(N(AE269)&gt;0)+SG_DEV*MIN(1,N(AG269)/SG_DEV_FULL)+SG_HIST*(W269="sí")</f>
        <v/>
      </c>
      <c r="BZ269" s="3">
        <f>IFERROR(VLOOKUP(L269,CARR_PEN_TBL,2,0),0)</f>
        <v/>
      </c>
      <c r="CA269" s="3">
        <f>W_FIAB*BL269+W_PRECIO*BM269+W_KMEDAD*BQ269+W_ANUNCIO*BR269+W_USO*BW269+W_SEGURIDAD*BY269-BZ269</f>
        <v/>
      </c>
      <c r="CB269" s="4">
        <f>IF(N(I269)&gt;0,I269,IFERROR(ROUND(_xlfn.NUMBERVALUE(LEFT(G269,FIND(" ",G269&amp;" ")-1),".")*1000,0),99999))</f>
        <v/>
      </c>
      <c r="CC269" s="3">
        <f>IF(R269="profesional",0,IF(O269&lt;CUOTA_VALOR_MAX,IF(AU269&gt;ITP_TRAMO_ALTO,SUMIFS(CF_CUOTA,CF_MAS,ITP_TRAMO_ALTO,CF_CCMIN,"&lt;="&amp;CB269,CF_CCMAX,"&gt;="&amp;CB269),IF(AU269&gt;ITP_TRAMO_BAJO,SUMIFS(CF_CUOTA,CF_MAS,ITP_TRAMO_BAJO,CF_CCMIN,"&lt;="&amp;CB269,CF_CCMAX,"&gt;="&amp;CB269),O269*ITP_TIPO)),O269*ITP_TIPO))</f>
        <v/>
      </c>
      <c r="CD269" s="4">
        <f>IF(R269="profesional",N(AK269),0)</f>
        <v/>
      </c>
      <c r="CE269" s="3">
        <f>IF(AND(R269="profesional",ISNUMBER(AK269),AL269="sí"),0,TASA_DGT)</f>
        <v/>
      </c>
      <c r="CF269" s="3">
        <f>INFORME_DGT</f>
        <v/>
      </c>
      <c r="CG269" s="4">
        <f>O269+CD269+CC269+CE269+CF269</f>
        <v/>
      </c>
      <c r="CH269" s="4">
        <f>CG269+N(BU269)</f>
        <v/>
      </c>
      <c r="CI269" s="3">
        <f>IF(CG269&lt;=TOTAL_MAX,"sí",IF(CG269&lt;=TOTAL_MAX+MARGEN_NEG,"negociar","no"))</f>
        <v/>
      </c>
      <c r="CJ269" s="4">
        <f>IF(CI269&lt;&gt;"no",COUNTIFS($CI$2:$CI$662,"&lt;&gt;no",$CA$2:$CA$662,"&gt;"&amp;CA269)+COUNTIFS($CI$2:CI269,"&lt;&gt;no",$CA$2:CA269,CA269),"")</f>
        <v/>
      </c>
    </row>
    <row r="270">
      <c r="A270" s="2" t="inlineStr">
        <is>
          <t>cochesnet:71864447</t>
        </is>
      </c>
      <c r="B270" s="2" t="inlineStr">
        <is>
          <t>cochesnet</t>
        </is>
      </c>
      <c r="C270" s="2" t="inlineStr">
        <is>
          <t>https://www.coches.net/hyundai-i30-14-gls-fde-comfort-5p-gasolina-2010-en-valencia-71864447-covo.aspx</t>
        </is>
      </c>
      <c r="D270" s="2" t="inlineStr">
        <is>
          <t>HYUNDAI i30 1.4 GLS FDE Comfort</t>
        </is>
      </c>
      <c r="E270" s="2" t="inlineStr">
        <is>
          <t>Hyundai</t>
        </is>
      </c>
      <c r="F270" s="2" t="inlineStr">
        <is>
          <t>Hyundai i30</t>
        </is>
      </c>
      <c r="G270" s="2" t="inlineStr">
        <is>
          <t>1.4</t>
        </is>
      </c>
      <c r="H270" s="2" t="inlineStr">
        <is>
          <t>1.4 GLS FDE Comfort</t>
        </is>
      </c>
      <c r="I270" s="2" t="n"/>
      <c r="J270" s="2" t="n"/>
      <c r="K270" s="2" t="inlineStr">
        <is>
          <t>gasolina</t>
        </is>
      </c>
      <c r="L270" s="2" t="inlineStr">
        <is>
          <t>compacto</t>
        </is>
      </c>
      <c r="M270" s="2" t="n">
        <v>2010</v>
      </c>
      <c r="N270" s="2" t="n">
        <v>162000</v>
      </c>
      <c r="O270" s="2" t="n">
        <v>4950</v>
      </c>
      <c r="P270" s="2" t="inlineStr">
        <is>
          <t>manual</t>
        </is>
      </c>
      <c r="Q270" s="2" t="inlineStr">
        <is>
          <t>no</t>
        </is>
      </c>
      <c r="R270" s="2" t="inlineStr">
        <is>
          <t>particular</t>
        </is>
      </c>
      <c r="S270" s="2" t="inlineStr">
        <is>
          <t>Valencia</t>
        </is>
      </c>
      <c r="T270" s="2" t="inlineStr">
        <is>
          <t>2026-10-29T18:16:09Z</t>
        </is>
      </c>
      <c r="U270" s="2" t="n">
        <v>2</v>
      </c>
      <c r="V270" s="2" t="inlineStr">
        <is>
          <t>sí</t>
        </is>
      </c>
      <c r="W270" s="2" t="n"/>
      <c r="X270" s="2" t="n"/>
      <c r="Y270" s="2" t="n"/>
      <c r="Z270" s="2" t="inlineStr">
        <is>
          <t>no</t>
        </is>
      </c>
      <c r="AA270" s="2" t="n"/>
      <c r="AB270" s="2" t="n"/>
      <c r="AC270" s="2" t="n"/>
      <c r="AD270" s="2" t="n"/>
      <c r="AE270" s="2" t="n"/>
      <c r="AF270" s="2" t="n"/>
      <c r="AG270" s="2" t="n"/>
      <c r="AH270" s="2" t="n">
        <v>4950</v>
      </c>
      <c r="AI270" s="2" t="n"/>
      <c r="AJ270" s="2" t="n"/>
      <c r="AK270" s="2" t="n"/>
      <c r="AL270" s="2" t="n"/>
      <c r="AM270" s="2" t="n">
        <v>0.1</v>
      </c>
      <c r="AN270" s="2" t="n">
        <v>6290</v>
      </c>
      <c r="AO270" s="2" t="n">
        <v>9</v>
      </c>
      <c r="AP270" s="2" t="inlineStr">
        <is>
          <t>modelo+año</t>
        </is>
      </c>
      <c r="AQ270" s="2" t="n"/>
      <c r="AR270" s="2" t="inlineStr">
        <is>
          <t>por encima del presupuesto (5054 €), negociar; cuota fija ITP: &gt;12 años, hasta 1.500 cc</t>
        </is>
      </c>
      <c r="AS270" s="2" t="inlineStr">
        <is>
          <t>ITV pasada hasta mayo de 2027.
No va el aire caliente. Ruedas nuevas batería revisión pasada.
Etiqueta C</t>
        </is>
      </c>
      <c r="AT270" s="2" t="inlineStr">
        <is>
          <t>https://www.coches.net/hyundai-i30-14-gls-fde-comfort-5p-gasolina-2010-en-valencia-71864447-covo.aspx (window.__INITIAL_PROPS__.ad) /home/user/Alopecia/buscador-coches/raw/cochesnet/b0d4cd8d0cd8480b.json</t>
        </is>
      </c>
      <c r="AU270" s="3">
        <f>MAX(ANIO_ACTUAL-M270,0)</f>
        <v/>
      </c>
      <c r="AV270" s="4">
        <f>N270/MAX(AU270,0.5)</f>
        <v/>
      </c>
      <c r="AW270" s="4">
        <f>F270</f>
        <v/>
      </c>
      <c r="AX270" s="3">
        <f>AW270&amp;"|"&amp;INT(M270/SEG_ANIO)*SEG_ANIO</f>
        <v/>
      </c>
      <c r="AY270" s="3">
        <f>AX270&amp;"|"&amp;INT(N270/SEG_KM)*SEG_KM</f>
        <v/>
      </c>
      <c r="AZ270" s="4">
        <f>COUNTIF($AW$2:$AW$662,AW270)</f>
        <v/>
      </c>
      <c r="BA270" s="4">
        <f>COUNTIF($AX$2:$AX$662,AX270)</f>
        <v/>
      </c>
      <c r="BB270" s="4">
        <f>COUNTIF($AY$2:$AY$662,AY270)</f>
        <v/>
      </c>
      <c r="BC270" s="3">
        <f t="array" ref="BC270">IF(N(AO270)&gt;=MIN_N,AN270,IF(BB270&gt;=MIN_N,MEDIAN(IF($AY$2:$AY$662=AY270,$O$2:$O$662)),IF(BA270&gt;=MIN_N,MEDIAN(IF($AX$2:$AX$662=AX270,$O$2:$O$662)),MEDIAN(IF($AW$2:$AW$662=AW270,$O$2:$O$662)))))</f>
        <v/>
      </c>
      <c r="BD270" s="3">
        <f>IF(N(AO270)&gt;=MIN_N,"mercado "&amp;AP270,IF(BB270&gt;=MIN_N,"modelo+año+km",IF(BA270&gt;=MIN_N,"modelo+año","modelo")))</f>
        <v/>
      </c>
      <c r="BE270" s="4">
        <f>(BC270-O270)/BC270</f>
        <v/>
      </c>
      <c r="BF270" s="3">
        <f>IF(OR(K270="hibrido",K270="glp"),"ECO",IF(K270="electrico","CERO",IF(K270="gasolina",IF(M270&gt;=GAS_C,"C",IF(M270&gt;=GAS_B,"B","A")),IF(K270="diesel",IF(M270&gt;=DIE_C,"C",IF(M270&gt;=DIE_B,"B","A")),""))))</f>
        <v/>
      </c>
      <c r="BG270" s="3">
        <f>IFERROR(VLOOKUP(F270,MOD_TBL,11,0),IFERROR(VLOOKUP(E270,OCU_TBL,2,0),NEUTRO))</f>
        <v/>
      </c>
      <c r="BH270" s="3">
        <f>SUMIFS(MOT_AJUSTE,MOT_MOTOR,G270,MOT_MARCA,E270,MOT_DESDE,"&lt;="&amp;M270,MOT_HASTA,"&gt;="&amp;M270)+SUMIFS(MOT_AJUSTE,MOT_MOTOR,G270,MOT_MARCA,"(todas)",MOT_DESDE,"&lt;="&amp;M270,MOT_HASTA,"&gt;="&amp;M270)</f>
        <v/>
      </c>
      <c r="BI270" s="3">
        <f>SUMIFS(COMB_AJUSTE,COMB_COMB,K270)</f>
        <v/>
      </c>
      <c r="BJ270" s="3">
        <f>COUNTIFS(MOT_MOTOR,G270,MOT_MARCA,E270,MOT_DESDE,"&lt;="&amp;M270,MOT_HASTA,"&gt;="&amp;M270)+COUNTIFS(MOT_MOTOR,G270,MOT_MARCA,"(todas)",MOT_DESDE,"&lt;="&amp;M270,MOT_HASTA,"&gt;="&amp;M270)</f>
        <v/>
      </c>
      <c r="BK270" s="3">
        <f>IF(AND(K270="diesel",BJ270=0),MIN(BG270,NEUTRO),BG270)</f>
        <v/>
      </c>
      <c r="BL270" s="4">
        <f>MAX(0,MIN(100,BK270+BH270+BI270))</f>
        <v/>
      </c>
      <c r="BM270" s="3">
        <f>MAX(0,MIN(100,50+BE270*PRECIO_PEND))</f>
        <v/>
      </c>
      <c r="BN270" s="3">
        <f>MAX(0,100*(1-N270/KM_MAX))</f>
        <v/>
      </c>
      <c r="BO270" s="3">
        <f>IF(AV270&lt;KMA_SOSP,IF(AA270="sí",100,KMA_PEN),IF(AV270&lt;=KMA_IDEAL_MAX,100,MAX(0,100*(KMA_CERO-AV270)/(KMA_CERO-KMA_IDEAL_MAX))))</f>
        <v/>
      </c>
      <c r="BP270" s="3">
        <f>MAX(0,MIN(100,100*(M270-ANIO_MIN)/(ANIO_ACTUAL-ANIO_MIN)))</f>
        <v/>
      </c>
      <c r="BQ270" s="3">
        <f>W_KMT*BN270+W_KMA*BO270+W_EDAD*BP270</f>
        <v/>
      </c>
      <c r="BR270" s="3">
        <f>P_ITV*(V270="sí")+P_LIBRO*(W270="sí")+P_CORREA*(X270="sí")+P_PROP*(Y270=1)+P_GAR*(Z270="sí")+P_FOTOS*MIN(1,N(U270)/FOTOS_OBJ)</f>
        <v/>
      </c>
      <c r="BS270" s="3">
        <f>IFERROR(VLOOKUP(BF270,ETQ_TBL,2,0),NEUTRO)</f>
        <v/>
      </c>
      <c r="BT270" s="3">
        <f>NEUTRO</f>
        <v/>
      </c>
      <c r="BU270" s="3">
        <f>IFERROR(VLOOKUP(L270,SEGURO_TBL,3,0),"")</f>
        <v/>
      </c>
      <c r="BV270" s="3">
        <f>IF(BU270="",NEUTRO,MAX(0,MIN(100,100*(SEG_REF_MAX-BU270)/(SEG_REF_MAX-SEG_REF_MIN))))</f>
        <v/>
      </c>
      <c r="BW270" s="3">
        <f>W_ET*BS270+W_CONS*BT270+W_SEG*BV270</f>
        <v/>
      </c>
      <c r="BX270" s="3">
        <f>IF(N(AB270)&gt;0,AB270,IF(AND(R270="profesional",SG_LEGAL_ON=1),GAR_LEGAL,0))</f>
        <v/>
      </c>
      <c r="BY270" s="3">
        <f>SG_GAR*MIN(1,BX270/SG_GAR_FULL)+SG_AMPL*(AC270="sí")+SG_KMC*(AF270="sí")+SG_REV*(N(AE270)&gt;0)+SG_DEV*MIN(1,N(AG270)/SG_DEV_FULL)+SG_HIST*(W270="sí")</f>
        <v/>
      </c>
      <c r="BZ270" s="3">
        <f>IFERROR(VLOOKUP(L270,CARR_PEN_TBL,2,0),0)</f>
        <v/>
      </c>
      <c r="CA270" s="3">
        <f>W_FIAB*BL270+W_PRECIO*BM270+W_KMEDAD*BQ270+W_ANUNCIO*BR270+W_USO*BW270+W_SEGURIDAD*BY270-BZ270</f>
        <v/>
      </c>
      <c r="CB270" s="4">
        <f>IF(N(I270)&gt;0,I270,IFERROR(ROUND(_xlfn.NUMBERVALUE(LEFT(G270,FIND(" ",G270&amp;" ")-1),".")*1000,0),99999))</f>
        <v/>
      </c>
      <c r="CC270" s="3">
        <f>IF(R270="profesional",0,IF(O270&lt;CUOTA_VALOR_MAX,IF(AU270&gt;ITP_TRAMO_ALTO,SUMIFS(CF_CUOTA,CF_MAS,ITP_TRAMO_ALTO,CF_CCMIN,"&lt;="&amp;CB270,CF_CCMAX,"&gt;="&amp;CB270),IF(AU270&gt;ITP_TRAMO_BAJO,SUMIFS(CF_CUOTA,CF_MAS,ITP_TRAMO_BAJO,CF_CCMIN,"&lt;="&amp;CB270,CF_CCMAX,"&gt;="&amp;CB270),O270*ITP_TIPO)),O270*ITP_TIPO))</f>
        <v/>
      </c>
      <c r="CD270" s="4">
        <f>IF(R270="profesional",N(AK270),0)</f>
        <v/>
      </c>
      <c r="CE270" s="3">
        <f>IF(AND(R270="profesional",ISNUMBER(AK270),AL270="sí"),0,TASA_DGT)</f>
        <v/>
      </c>
      <c r="CF270" s="3">
        <f>INFORME_DGT</f>
        <v/>
      </c>
      <c r="CG270" s="4">
        <f>O270+CD270+CC270+CE270+CF270</f>
        <v/>
      </c>
      <c r="CH270" s="4">
        <f>CG270+N(BU270)</f>
        <v/>
      </c>
      <c r="CI270" s="3">
        <f>IF(CG270&lt;=TOTAL_MAX,"sí",IF(CG270&lt;=TOTAL_MAX+MARGEN_NEG,"negociar","no"))</f>
        <v/>
      </c>
      <c r="CJ270" s="4">
        <f>IF(CI270&lt;&gt;"no",COUNTIFS($CI$2:$CI$662,"&lt;&gt;no",$CA$2:$CA$662,"&gt;"&amp;CA270)+COUNTIFS($CI$2:CI270,"&lt;&gt;no",$CA$2:CA270,CA270),"")</f>
        <v/>
      </c>
    </row>
    <row r="271">
      <c r="A271" s="2" t="inlineStr">
        <is>
          <t>cochesnet:71790682</t>
        </is>
      </c>
      <c r="B271" s="2" t="inlineStr">
        <is>
          <t>cochesnet</t>
        </is>
      </c>
      <c r="C271" s="2" t="inlineStr">
        <is>
          <t>https://www.coches.net/skoda-fabia-combi-14-tdi-80cv-comfort-5p-diesel-2006-en-valencia-71790682-covo.aspx</t>
        </is>
      </c>
      <c r="D271" s="2" t="inlineStr">
        <is>
          <t>SKODA Fabia Combi 1.4 TDi Comfort</t>
        </is>
      </c>
      <c r="E271" s="2" t="inlineStr">
        <is>
          <t>Skoda</t>
        </is>
      </c>
      <c r="F271" s="2" t="inlineStr">
        <is>
          <t>Skoda Fabia</t>
        </is>
      </c>
      <c r="G271" s="2" t="inlineStr">
        <is>
          <t>1.4 TDI</t>
        </is>
      </c>
      <c r="H271" s="2" t="inlineStr">
        <is>
          <t>Combi 1.4 TDi 80CV Comfort</t>
        </is>
      </c>
      <c r="I271" s="2" t="n"/>
      <c r="J271" s="2" t="n">
        <v>80</v>
      </c>
      <c r="K271" s="2" t="inlineStr">
        <is>
          <t>diesel</t>
        </is>
      </c>
      <c r="L271" s="2" t="inlineStr">
        <is>
          <t>familiar</t>
        </is>
      </c>
      <c r="M271" s="2" t="n">
        <v>2006</v>
      </c>
      <c r="N271" s="2" t="n">
        <v>198000</v>
      </c>
      <c r="O271" s="2" t="n">
        <v>3000</v>
      </c>
      <c r="P271" s="2" t="inlineStr">
        <is>
          <t>manual</t>
        </is>
      </c>
      <c r="Q271" s="2" t="inlineStr">
        <is>
          <t>no</t>
        </is>
      </c>
      <c r="R271" s="2" t="inlineStr">
        <is>
          <t>particular</t>
        </is>
      </c>
      <c r="S271" s="2" t="n"/>
      <c r="T271" s="2" t="inlineStr">
        <is>
          <t>2026-10-20T11:09:40Z</t>
        </is>
      </c>
      <c r="U271" s="2" t="n">
        <v>8</v>
      </c>
      <c r="V271" s="2" t="inlineStr">
        <is>
          <t>sí</t>
        </is>
      </c>
      <c r="W271" s="2" t="n"/>
      <c r="X271" s="2" t="n"/>
      <c r="Y271" s="2" t="n"/>
      <c r="Z271" s="2" t="inlineStr">
        <is>
          <t>no</t>
        </is>
      </c>
      <c r="AA271" s="2" t="n"/>
      <c r="AB271" s="2" t="n"/>
      <c r="AC271" s="2" t="n"/>
      <c r="AD271" s="2" t="n"/>
      <c r="AE271" s="2" t="n"/>
      <c r="AF271" s="2" t="n"/>
      <c r="AG271" s="2" t="n"/>
      <c r="AH271" s="2" t="n">
        <v>3000</v>
      </c>
      <c r="AI271" s="2" t="n"/>
      <c r="AJ271" s="2" t="n"/>
      <c r="AK271" s="2" t="n"/>
      <c r="AL271" s="2" t="n"/>
      <c r="AM271" s="2" t="n"/>
      <c r="AN271" s="2" t="n">
        <v>3000</v>
      </c>
      <c r="AO271" s="2" t="n">
        <v>5</v>
      </c>
      <c r="AP271" s="2" t="inlineStr">
        <is>
          <t>modelo+año</t>
        </is>
      </c>
      <c r="AQ271" s="2" t="n"/>
      <c r="AR271" s="2" t="inlineStr">
        <is>
          <t>cuota fija ITP: &gt;12 años, hasta 1.500 cc; diésel: motor sin fuente de fiabilidad (fiabilidad limitada a neutra); carrocería familiar: -3 puntos; distancia no verificable (el anuncio solo indica la provincia): confirmar que está a &lt;= 70 km</t>
        </is>
      </c>
      <c r="AS271" s="2" t="inlineStr">
        <is>
          <t>Lo vendo porque tengo ahora uno nuevo.
ITV RECIÉN PASADA. Etiqueta B DGT.
Ha dormido en garaje hasta la llegada del nuevo.
Coche muy cuidado, con el mantenimiento realizado escrupulosamente. Conservo las facturas.
Este verano he hecho con él un viaje a Francia de casi 2000km.
Aire acondicionado. Regulador de velocidad. Guantera-refrigerador. Ordenador de abordo. 5 marchas. Cristales delanteros eléctricos. Luces antiniebla. Motor bajo consumo.
En 2026 le he sustituido los 4 amortiguadores y el termostato.
En 2025 sustitución de batería.
En 2022 sustitución de los 4 neumáticos, que se encuentran con mucho dubujo debido al kilometraje contenido que se le ha hecho.
Aspecto general muy cuidado, tanto en el exterior como el interior.
La goma de la antena está un poco raída y uno de los respaldos de los asientos traseros está bloqueado y no deja doblarlo para ampliar el espacio del maletero, que por otra parte, ya es de por si muy generoso.
Coche ideal para ir a trabajar con poco consumo.
PAPELEO EN LA GESTORÍA DE ALFARA.</t>
        </is>
      </c>
      <c r="AT271" s="2" t="inlineStr">
        <is>
          <t>https://www.coches.net/skoda-fabia-combi-14-tdi-80cv-comfort-5p-diesel-2006-en-valencia-71790682-covo.aspx (window.__INITIAL_PROPS__.ad) /home/user/Alopecia/buscador-coches/raw/cochesnet/21ad06145bb00ca9.json</t>
        </is>
      </c>
      <c r="AU271" s="3">
        <f>MAX(ANIO_ACTUAL-M271,0)</f>
        <v/>
      </c>
      <c r="AV271" s="4">
        <f>N271/MAX(AU271,0.5)</f>
        <v/>
      </c>
      <c r="AW271" s="4">
        <f>F271</f>
        <v/>
      </c>
      <c r="AX271" s="3">
        <f>AW271&amp;"|"&amp;INT(M271/SEG_ANIO)*SEG_ANIO</f>
        <v/>
      </c>
      <c r="AY271" s="3">
        <f>AX271&amp;"|"&amp;INT(N271/SEG_KM)*SEG_KM</f>
        <v/>
      </c>
      <c r="AZ271" s="4">
        <f>COUNTIF($AW$2:$AW$662,AW271)</f>
        <v/>
      </c>
      <c r="BA271" s="4">
        <f>COUNTIF($AX$2:$AX$662,AX271)</f>
        <v/>
      </c>
      <c r="BB271" s="4">
        <f>COUNTIF($AY$2:$AY$662,AY271)</f>
        <v/>
      </c>
      <c r="BC271" s="3">
        <f t="array" ref="BC271">IF(N(AO271)&gt;=MIN_N,AN271,IF(BB271&gt;=MIN_N,MEDIAN(IF($AY$2:$AY$662=AY271,$O$2:$O$662)),IF(BA271&gt;=MIN_N,MEDIAN(IF($AX$2:$AX$662=AX271,$O$2:$O$662)),MEDIAN(IF($AW$2:$AW$662=AW271,$O$2:$O$662)))))</f>
        <v/>
      </c>
      <c r="BD271" s="3">
        <f>IF(N(AO271)&gt;=MIN_N,"mercado "&amp;AP271,IF(BB271&gt;=MIN_N,"modelo+año+km",IF(BA271&gt;=MIN_N,"modelo+año","modelo")))</f>
        <v/>
      </c>
      <c r="BE271" s="4">
        <f>(BC271-O271)/BC271</f>
        <v/>
      </c>
      <c r="BF271" s="3">
        <f>IF(OR(K271="hibrido",K271="glp"),"ECO",IF(K271="electrico","CERO",IF(K271="gasolina",IF(M271&gt;=GAS_C,"C",IF(M271&gt;=GAS_B,"B","A")),IF(K271="diesel",IF(M271&gt;=DIE_C,"C",IF(M271&gt;=DIE_B,"B","A")),""))))</f>
        <v/>
      </c>
      <c r="BG271" s="3">
        <f>IFERROR(VLOOKUP(F271,MOD_TBL,11,0),IFERROR(VLOOKUP(E271,OCU_TBL,2,0),NEUTRO))</f>
        <v/>
      </c>
      <c r="BH271" s="3">
        <f>SUMIFS(MOT_AJUSTE,MOT_MOTOR,G271,MOT_MARCA,E271,MOT_DESDE,"&lt;="&amp;M271,MOT_HASTA,"&gt;="&amp;M271)+SUMIFS(MOT_AJUSTE,MOT_MOTOR,G271,MOT_MARCA,"(todas)",MOT_DESDE,"&lt;="&amp;M271,MOT_HASTA,"&gt;="&amp;M271)</f>
        <v/>
      </c>
      <c r="BI271" s="3">
        <f>SUMIFS(COMB_AJUSTE,COMB_COMB,K271)</f>
        <v/>
      </c>
      <c r="BJ271" s="3">
        <f>COUNTIFS(MOT_MOTOR,G271,MOT_MARCA,E271,MOT_DESDE,"&lt;="&amp;M271,MOT_HASTA,"&gt;="&amp;M271)+COUNTIFS(MOT_MOTOR,G271,MOT_MARCA,"(todas)",MOT_DESDE,"&lt;="&amp;M271,MOT_HASTA,"&gt;="&amp;M271)</f>
        <v/>
      </c>
      <c r="BK271" s="3">
        <f>IF(AND(K271="diesel",BJ271=0),MIN(BG271,NEUTRO),BG271)</f>
        <v/>
      </c>
      <c r="BL271" s="4">
        <f>MAX(0,MIN(100,BK271+BH271+BI271))</f>
        <v/>
      </c>
      <c r="BM271" s="3">
        <f>MAX(0,MIN(100,50+BE271*PRECIO_PEND))</f>
        <v/>
      </c>
      <c r="BN271" s="3">
        <f>MAX(0,100*(1-N271/KM_MAX))</f>
        <v/>
      </c>
      <c r="BO271" s="3">
        <f>IF(AV271&lt;KMA_SOSP,IF(AA271="sí",100,KMA_PEN),IF(AV271&lt;=KMA_IDEAL_MAX,100,MAX(0,100*(KMA_CERO-AV271)/(KMA_CERO-KMA_IDEAL_MAX))))</f>
        <v/>
      </c>
      <c r="BP271" s="3">
        <f>MAX(0,MIN(100,100*(M271-ANIO_MIN)/(ANIO_ACTUAL-ANIO_MIN)))</f>
        <v/>
      </c>
      <c r="BQ271" s="3">
        <f>W_KMT*BN271+W_KMA*BO271+W_EDAD*BP271</f>
        <v/>
      </c>
      <c r="BR271" s="3">
        <f>P_ITV*(V271="sí")+P_LIBRO*(W271="sí")+P_CORREA*(X271="sí")+P_PROP*(Y271=1)+P_GAR*(Z271="sí")+P_FOTOS*MIN(1,N(U271)/FOTOS_OBJ)</f>
        <v/>
      </c>
      <c r="BS271" s="3">
        <f>IFERROR(VLOOKUP(BF271,ETQ_TBL,2,0),NEUTRO)</f>
        <v/>
      </c>
      <c r="BT271" s="3">
        <f>NEUTRO</f>
        <v/>
      </c>
      <c r="BU271" s="3">
        <f>IFERROR(VLOOKUP(L271,SEGURO_TBL,3,0),"")</f>
        <v/>
      </c>
      <c r="BV271" s="3">
        <f>IF(BU271="",NEUTRO,MAX(0,MIN(100,100*(SEG_REF_MAX-BU271)/(SEG_REF_MAX-SEG_REF_MIN))))</f>
        <v/>
      </c>
      <c r="BW271" s="3">
        <f>W_ET*BS271+W_CONS*BT271+W_SEG*BV271</f>
        <v/>
      </c>
      <c r="BX271" s="3">
        <f>IF(N(AB271)&gt;0,AB271,IF(AND(R271="profesional",SG_LEGAL_ON=1),GAR_LEGAL,0))</f>
        <v/>
      </c>
      <c r="BY271" s="3">
        <f>SG_GAR*MIN(1,BX271/SG_GAR_FULL)+SG_AMPL*(AC271="sí")+SG_KMC*(AF271="sí")+SG_REV*(N(AE271)&gt;0)+SG_DEV*MIN(1,N(AG271)/SG_DEV_FULL)+SG_HIST*(W271="sí")</f>
        <v/>
      </c>
      <c r="BZ271" s="3">
        <f>IFERROR(VLOOKUP(L271,CARR_PEN_TBL,2,0),0)</f>
        <v/>
      </c>
      <c r="CA271" s="3">
        <f>W_FIAB*BL271+W_PRECIO*BM271+W_KMEDAD*BQ271+W_ANUNCIO*BR271+W_USO*BW271+W_SEGURIDAD*BY271-BZ271</f>
        <v/>
      </c>
      <c r="CB271" s="4">
        <f>IF(N(I271)&gt;0,I271,IFERROR(ROUND(_xlfn.NUMBERVALUE(LEFT(G271,FIND(" ",G271&amp;" ")-1),".")*1000,0),99999))</f>
        <v/>
      </c>
      <c r="CC271" s="3">
        <f>IF(R271="profesional",0,IF(O271&lt;CUOTA_VALOR_MAX,IF(AU271&gt;ITP_TRAMO_ALTO,SUMIFS(CF_CUOTA,CF_MAS,ITP_TRAMO_ALTO,CF_CCMIN,"&lt;="&amp;CB271,CF_CCMAX,"&gt;="&amp;CB271),IF(AU271&gt;ITP_TRAMO_BAJO,SUMIFS(CF_CUOTA,CF_MAS,ITP_TRAMO_BAJO,CF_CCMIN,"&lt;="&amp;CB271,CF_CCMAX,"&gt;="&amp;CB271),O271*ITP_TIPO)),O271*ITP_TIPO))</f>
        <v/>
      </c>
      <c r="CD271" s="4">
        <f>IF(R271="profesional",N(AK271),0)</f>
        <v/>
      </c>
      <c r="CE271" s="3">
        <f>IF(AND(R271="profesional",ISNUMBER(AK271),AL271="sí"),0,TASA_DGT)</f>
        <v/>
      </c>
      <c r="CF271" s="3">
        <f>INFORME_DGT</f>
        <v/>
      </c>
      <c r="CG271" s="4">
        <f>O271+CD271+CC271+CE271+CF271</f>
        <v/>
      </c>
      <c r="CH271" s="4">
        <f>CG271+N(BU271)</f>
        <v/>
      </c>
      <c r="CI271" s="3">
        <f>IF(CG271&lt;=TOTAL_MAX,"sí",IF(CG271&lt;=TOTAL_MAX+MARGEN_NEG,"negociar","no"))</f>
        <v/>
      </c>
      <c r="CJ271" s="4">
        <f>IF(CI271&lt;&gt;"no",COUNTIFS($CI$2:$CI$662,"&lt;&gt;no",$CA$2:$CA$662,"&gt;"&amp;CA271)+COUNTIFS($CI$2:CI271,"&lt;&gt;no",$CA$2:CA271,CA271),"")</f>
        <v/>
      </c>
    </row>
    <row r="272">
      <c r="A272" s="2" t="inlineStr">
        <is>
          <t>cochesnet:71654076</t>
        </is>
      </c>
      <c r="B272" s="2" t="inlineStr">
        <is>
          <t>cochesnet</t>
        </is>
      </c>
      <c r="C272" s="2" t="inlineStr">
        <is>
          <t>https://www.coches.net/skoda-fabia-12-tdi-cr-75cv-greenline-5p-diesel-2011-en-valencia-71654076-covo.aspx</t>
        </is>
      </c>
      <c r="D272" s="2" t="inlineStr">
        <is>
          <t>SKODA Fabia 1.2 TDi CR Greenline</t>
        </is>
      </c>
      <c r="E272" s="2" t="inlineStr">
        <is>
          <t>Skoda</t>
        </is>
      </c>
      <c r="F272" s="2" t="inlineStr">
        <is>
          <t>Skoda Fabia</t>
        </is>
      </c>
      <c r="G272" s="2" t="inlineStr">
        <is>
          <t>1.2 TDI</t>
        </is>
      </c>
      <c r="H272" s="2" t="inlineStr">
        <is>
          <t>1.2 TDi CR 75cv Greenline</t>
        </is>
      </c>
      <c r="I272" s="2" t="n"/>
      <c r="J272" s="2" t="n">
        <v>75</v>
      </c>
      <c r="K272" s="2" t="inlineStr">
        <is>
          <t>diesel</t>
        </is>
      </c>
      <c r="L272" s="2" t="inlineStr">
        <is>
          <t>utilitario</t>
        </is>
      </c>
      <c r="M272" s="2" t="n">
        <v>2011</v>
      </c>
      <c r="N272" s="2" t="n">
        <v>177000</v>
      </c>
      <c r="O272" s="2" t="n">
        <v>4999</v>
      </c>
      <c r="P272" s="2" t="inlineStr">
        <is>
          <t>manual</t>
        </is>
      </c>
      <c r="Q272" s="2" t="inlineStr">
        <is>
          <t>no</t>
        </is>
      </c>
      <c r="R272" s="2" t="inlineStr">
        <is>
          <t>profesional</t>
        </is>
      </c>
      <c r="S272" s="2" t="inlineStr">
        <is>
          <t>Paterna</t>
        </is>
      </c>
      <c r="T272" s="2" t="inlineStr">
        <is>
          <t>2026-10-02T10:08:26Z</t>
        </is>
      </c>
      <c r="U272" s="2" t="n">
        <v>13</v>
      </c>
      <c r="V272" s="2" t="n"/>
      <c r="W272" s="2" t="n"/>
      <c r="X272" s="2" t="n"/>
      <c r="Y272" s="2" t="n"/>
      <c r="Z272" s="2" t="inlineStr">
        <is>
          <t>sí</t>
        </is>
      </c>
      <c r="AA272" s="2" t="n"/>
      <c r="AB272" s="2" t="n">
        <v>12</v>
      </c>
      <c r="AC272" s="2" t="n"/>
      <c r="AD272" s="2" t="n"/>
      <c r="AE272" s="2" t="n"/>
      <c r="AF272" s="2" t="n"/>
      <c r="AG272" s="2" t="n"/>
      <c r="AH272" s="2" t="n">
        <v>4999</v>
      </c>
      <c r="AI272" s="2" t="n"/>
      <c r="AJ272" s="2" t="n"/>
      <c r="AK272" s="2" t="n"/>
      <c r="AL272" s="2" t="n"/>
      <c r="AM272" s="2" t="n">
        <v>6.8</v>
      </c>
      <c r="AN272" s="2" t="n">
        <v>5187</v>
      </c>
      <c r="AO272" s="2" t="n">
        <v>4</v>
      </c>
      <c r="AP272" s="2" t="inlineStr">
        <is>
          <t>modelo+año+km</t>
        </is>
      </c>
      <c r="AQ272" s="2" t="n"/>
      <c r="AR272" s="2" t="inlineStr">
        <is>
          <t>por encima del presupuesto (5063 €), negociar; vendedor profesional: sin ITP (operación con IVA/REBU, confirmar en factura); gastos de gestión del vendedor no indicados: se suma la tasa DGT; preguntar el precio final</t>
        </is>
      </c>
      <c r="AS272" s="2" t="inlineStr">
        <is>
          <t xml:space="preserve">Entregamos el coche con ITV y revisión hecha.
Hablamos español, holandés, ingles, turco y alemán.
No contestamos a los mails. Solo llamadas o WhatsApp.
cualquier duda llamar al numero: 664679962
</t>
        </is>
      </c>
      <c r="AT272" s="2" t="inlineStr">
        <is>
          <t>https://www.coches.net/skoda-fabia-12-tdi-cr-75cv-greenline-5p-diesel-2011-en-valencia-71654076-covo.aspx (window.__INITIAL_PROPS__.ad) /home/user/Alopecia/buscador-coches/raw/cochesnet/146f7053549a688d.json</t>
        </is>
      </c>
      <c r="AU272" s="3">
        <f>MAX(ANIO_ACTUAL-M272,0)</f>
        <v/>
      </c>
      <c r="AV272" s="4">
        <f>N272/MAX(AU272,0.5)</f>
        <v/>
      </c>
      <c r="AW272" s="4">
        <f>F272</f>
        <v/>
      </c>
      <c r="AX272" s="3">
        <f>AW272&amp;"|"&amp;INT(M272/SEG_ANIO)*SEG_ANIO</f>
        <v/>
      </c>
      <c r="AY272" s="3">
        <f>AX272&amp;"|"&amp;INT(N272/SEG_KM)*SEG_KM</f>
        <v/>
      </c>
      <c r="AZ272" s="4">
        <f>COUNTIF($AW$2:$AW$662,AW272)</f>
        <v/>
      </c>
      <c r="BA272" s="4">
        <f>COUNTIF($AX$2:$AX$662,AX272)</f>
        <v/>
      </c>
      <c r="BB272" s="4">
        <f>COUNTIF($AY$2:$AY$662,AY272)</f>
        <v/>
      </c>
      <c r="BC272" s="3">
        <f t="array" ref="BC272">IF(N(AO272)&gt;=MIN_N,AN272,IF(BB272&gt;=MIN_N,MEDIAN(IF($AY$2:$AY$662=AY272,$O$2:$O$662)),IF(BA272&gt;=MIN_N,MEDIAN(IF($AX$2:$AX$662=AX272,$O$2:$O$662)),MEDIAN(IF($AW$2:$AW$662=AW272,$O$2:$O$662)))))</f>
        <v/>
      </c>
      <c r="BD272" s="3">
        <f>IF(N(AO272)&gt;=MIN_N,"mercado "&amp;AP272,IF(BB272&gt;=MIN_N,"modelo+año+km",IF(BA272&gt;=MIN_N,"modelo+año","modelo")))</f>
        <v/>
      </c>
      <c r="BE272" s="4">
        <f>(BC272-O272)/BC272</f>
        <v/>
      </c>
      <c r="BF272" s="3">
        <f>IF(OR(K272="hibrido",K272="glp"),"ECO",IF(K272="electrico","CERO",IF(K272="gasolina",IF(M272&gt;=GAS_C,"C",IF(M272&gt;=GAS_B,"B","A")),IF(K272="diesel",IF(M272&gt;=DIE_C,"C",IF(M272&gt;=DIE_B,"B","A")),""))))</f>
        <v/>
      </c>
      <c r="BG272" s="3">
        <f>IFERROR(VLOOKUP(F272,MOD_TBL,11,0),IFERROR(VLOOKUP(E272,OCU_TBL,2,0),NEUTRO))</f>
        <v/>
      </c>
      <c r="BH272" s="3">
        <f>SUMIFS(MOT_AJUSTE,MOT_MOTOR,G272,MOT_MARCA,E272,MOT_DESDE,"&lt;="&amp;M272,MOT_HASTA,"&gt;="&amp;M272)+SUMIFS(MOT_AJUSTE,MOT_MOTOR,G272,MOT_MARCA,"(todas)",MOT_DESDE,"&lt;="&amp;M272,MOT_HASTA,"&gt;="&amp;M272)</f>
        <v/>
      </c>
      <c r="BI272" s="3">
        <f>SUMIFS(COMB_AJUSTE,COMB_COMB,K272)</f>
        <v/>
      </c>
      <c r="BJ272" s="3">
        <f>COUNTIFS(MOT_MOTOR,G272,MOT_MARCA,E272,MOT_DESDE,"&lt;="&amp;M272,MOT_HASTA,"&gt;="&amp;M272)+COUNTIFS(MOT_MOTOR,G272,MOT_MARCA,"(todas)",MOT_DESDE,"&lt;="&amp;M272,MOT_HASTA,"&gt;="&amp;M272)</f>
        <v/>
      </c>
      <c r="BK272" s="3">
        <f>IF(AND(K272="diesel",BJ272=0),MIN(BG272,NEUTRO),BG272)</f>
        <v/>
      </c>
      <c r="BL272" s="4">
        <f>MAX(0,MIN(100,BK272+BH272+BI272))</f>
        <v/>
      </c>
      <c r="BM272" s="3">
        <f>MAX(0,MIN(100,50+BE272*PRECIO_PEND))</f>
        <v/>
      </c>
      <c r="BN272" s="3">
        <f>MAX(0,100*(1-N272/KM_MAX))</f>
        <v/>
      </c>
      <c r="BO272" s="3">
        <f>IF(AV272&lt;KMA_SOSP,IF(AA272="sí",100,KMA_PEN),IF(AV272&lt;=KMA_IDEAL_MAX,100,MAX(0,100*(KMA_CERO-AV272)/(KMA_CERO-KMA_IDEAL_MAX))))</f>
        <v/>
      </c>
      <c r="BP272" s="3">
        <f>MAX(0,MIN(100,100*(M272-ANIO_MIN)/(ANIO_ACTUAL-ANIO_MIN)))</f>
        <v/>
      </c>
      <c r="BQ272" s="3">
        <f>W_KMT*BN272+W_KMA*BO272+W_EDAD*BP272</f>
        <v/>
      </c>
      <c r="BR272" s="3">
        <f>P_ITV*(V272="sí")+P_LIBRO*(W272="sí")+P_CORREA*(X272="sí")+P_PROP*(Y272=1)+P_GAR*(Z272="sí")+P_FOTOS*MIN(1,N(U272)/FOTOS_OBJ)</f>
        <v/>
      </c>
      <c r="BS272" s="3">
        <f>IFERROR(VLOOKUP(BF272,ETQ_TBL,2,0),NEUTRO)</f>
        <v/>
      </c>
      <c r="BT272" s="3">
        <f>NEUTRO</f>
        <v/>
      </c>
      <c r="BU272" s="3">
        <f>IFERROR(VLOOKUP(L272,SEGURO_TBL,3,0),"")</f>
        <v/>
      </c>
      <c r="BV272" s="3">
        <f>IF(BU272="",NEUTRO,MAX(0,MIN(100,100*(SEG_REF_MAX-BU272)/(SEG_REF_MAX-SEG_REF_MIN))))</f>
        <v/>
      </c>
      <c r="BW272" s="3">
        <f>W_ET*BS272+W_CONS*BT272+W_SEG*BV272</f>
        <v/>
      </c>
      <c r="BX272" s="3">
        <f>IF(N(AB272)&gt;0,AB272,IF(AND(R272="profesional",SG_LEGAL_ON=1),GAR_LEGAL,0))</f>
        <v/>
      </c>
      <c r="BY272" s="3">
        <f>SG_GAR*MIN(1,BX272/SG_GAR_FULL)+SG_AMPL*(AC272="sí")+SG_KMC*(AF272="sí")+SG_REV*(N(AE272)&gt;0)+SG_DEV*MIN(1,N(AG272)/SG_DEV_FULL)+SG_HIST*(W272="sí")</f>
        <v/>
      </c>
      <c r="BZ272" s="3">
        <f>IFERROR(VLOOKUP(L272,CARR_PEN_TBL,2,0),0)</f>
        <v/>
      </c>
      <c r="CA272" s="3">
        <f>W_FIAB*BL272+W_PRECIO*BM272+W_KMEDAD*BQ272+W_ANUNCIO*BR272+W_USO*BW272+W_SEGURIDAD*BY272-BZ272</f>
        <v/>
      </c>
      <c r="CB272" s="4">
        <f>IF(N(I272)&gt;0,I272,IFERROR(ROUND(_xlfn.NUMBERVALUE(LEFT(G272,FIND(" ",G272&amp;" ")-1),".")*1000,0),99999))</f>
        <v/>
      </c>
      <c r="CC272" s="3">
        <f>IF(R272="profesional",0,IF(O272&lt;CUOTA_VALOR_MAX,IF(AU272&gt;ITP_TRAMO_ALTO,SUMIFS(CF_CUOTA,CF_MAS,ITP_TRAMO_ALTO,CF_CCMIN,"&lt;="&amp;CB272,CF_CCMAX,"&gt;="&amp;CB272),IF(AU272&gt;ITP_TRAMO_BAJO,SUMIFS(CF_CUOTA,CF_MAS,ITP_TRAMO_BAJO,CF_CCMIN,"&lt;="&amp;CB272,CF_CCMAX,"&gt;="&amp;CB272),O272*ITP_TIPO)),O272*ITP_TIPO))</f>
        <v/>
      </c>
      <c r="CD272" s="4">
        <f>IF(R272="profesional",N(AK272),0)</f>
        <v/>
      </c>
      <c r="CE272" s="3">
        <f>IF(AND(R272="profesional",ISNUMBER(AK272),AL272="sí"),0,TASA_DGT)</f>
        <v/>
      </c>
      <c r="CF272" s="3">
        <f>INFORME_DGT</f>
        <v/>
      </c>
      <c r="CG272" s="4">
        <f>O272+CD272+CC272+CE272+CF272</f>
        <v/>
      </c>
      <c r="CH272" s="4">
        <f>CG272+N(BU272)</f>
        <v/>
      </c>
      <c r="CI272" s="3">
        <f>IF(CG272&lt;=TOTAL_MAX,"sí",IF(CG272&lt;=TOTAL_MAX+MARGEN_NEG,"negociar","no"))</f>
        <v/>
      </c>
      <c r="CJ272" s="4">
        <f>IF(CI272&lt;&gt;"no",COUNTIFS($CI$2:$CI$662,"&lt;&gt;no",$CA$2:$CA$662,"&gt;"&amp;CA272)+COUNTIFS($CI$2:CI272,"&lt;&gt;no",$CA$2:CA272,CA272),"")</f>
        <v/>
      </c>
    </row>
    <row r="273">
      <c r="A273" s="2" t="inlineStr">
        <is>
          <t>cochesnet:71648429</t>
        </is>
      </c>
      <c r="B273" s="2" t="inlineStr">
        <is>
          <t>cochesnet</t>
        </is>
      </c>
      <c r="C273" s="2" t="inlineStr">
        <is>
          <t>https://www.coches.net/skoda-citigo-10-mpi-60cv-ambition-3p-gasolina-2015-en-valencia-71648429-covo.aspx</t>
        </is>
      </c>
      <c r="D273" s="2" t="inlineStr">
        <is>
          <t>SKODA Citigo 1.0 MPI Ambition</t>
        </is>
      </c>
      <c r="E273" s="2" t="inlineStr">
        <is>
          <t>Skoda</t>
        </is>
      </c>
      <c r="F273" s="2" t="inlineStr">
        <is>
          <t>Skoda Citigo</t>
        </is>
      </c>
      <c r="G273" s="2" t="inlineStr">
        <is>
          <t>1.0 MPI</t>
        </is>
      </c>
      <c r="H273" s="2" t="inlineStr">
        <is>
          <t>1.0 MPI 60cv Ambition</t>
        </is>
      </c>
      <c r="I273" s="2" t="n"/>
      <c r="J273" s="2" t="n">
        <v>60</v>
      </c>
      <c r="K273" s="2" t="inlineStr">
        <is>
          <t>gasolina</t>
        </is>
      </c>
      <c r="L273" s="2" t="inlineStr">
        <is>
          <t>utilitario</t>
        </is>
      </c>
      <c r="M273" s="2" t="n">
        <v>2014</v>
      </c>
      <c r="N273" s="2" t="n">
        <v>169000</v>
      </c>
      <c r="O273" s="2" t="n">
        <v>4990</v>
      </c>
      <c r="P273" s="2" t="inlineStr">
        <is>
          <t>manual</t>
        </is>
      </c>
      <c r="Q273" s="2" t="inlineStr">
        <is>
          <t>no</t>
        </is>
      </c>
      <c r="R273" s="2" t="inlineStr">
        <is>
          <t>profesional</t>
        </is>
      </c>
      <c r="S273" s="2" t="inlineStr">
        <is>
          <t>APEX MOTOR GALLERY Bétera</t>
        </is>
      </c>
      <c r="T273" s="2" t="inlineStr">
        <is>
          <t>2026-10-01T16:02:53Z</t>
        </is>
      </c>
      <c r="U273" s="2" t="n">
        <v>6</v>
      </c>
      <c r="V273" s="2" t="n"/>
      <c r="W273" s="2" t="n"/>
      <c r="X273" s="2" t="n"/>
      <c r="Y273" s="2" t="n"/>
      <c r="Z273" s="2" t="inlineStr">
        <is>
          <t>sí</t>
        </is>
      </c>
      <c r="AA273" s="2" t="n"/>
      <c r="AB273" s="2" t="n">
        <v>12</v>
      </c>
      <c r="AC273" s="2" t="n"/>
      <c r="AD273" s="2" t="n"/>
      <c r="AE273" s="2" t="n"/>
      <c r="AF273" s="2" t="n"/>
      <c r="AG273" s="2" t="n"/>
      <c r="AH273" s="2" t="n">
        <v>4990</v>
      </c>
      <c r="AI273" s="2" t="n"/>
      <c r="AJ273" s="2" t="n"/>
      <c r="AK273" s="2" t="n"/>
      <c r="AL273" s="2" t="n"/>
      <c r="AM273" s="2" t="n">
        <v>14.1</v>
      </c>
      <c r="AN273" s="2" t="n"/>
      <c r="AO273" s="2" t="n"/>
      <c r="AP273" s="2" t="n"/>
      <c r="AQ273" s="2" t="n"/>
      <c r="AR273"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 mediana con solo 2 anuncio(s)</t>
        </is>
      </c>
      <c r="AS273" s="2" t="inlineStr"/>
      <c r="AT273" s="2" t="inlineStr">
        <is>
          <t>https://www.coches.net/skoda-citigo-10-mpi-60cv-ambition-3p-gasolina-2015-en-valencia-71648429-covo.aspx (window.__INITIAL_PROPS__.ad) /home/user/Alopecia/buscador-coches/raw/cochesnet/9df83f74e56aa603.json</t>
        </is>
      </c>
      <c r="AU273" s="3">
        <f>MAX(ANIO_ACTUAL-M273,0)</f>
        <v/>
      </c>
      <c r="AV273" s="4">
        <f>N273/MAX(AU273,0.5)</f>
        <v/>
      </c>
      <c r="AW273" s="4">
        <f>F273</f>
        <v/>
      </c>
      <c r="AX273" s="3">
        <f>AW273&amp;"|"&amp;INT(M273/SEG_ANIO)*SEG_ANIO</f>
        <v/>
      </c>
      <c r="AY273" s="3">
        <f>AX273&amp;"|"&amp;INT(N273/SEG_KM)*SEG_KM</f>
        <v/>
      </c>
      <c r="AZ273" s="4">
        <f>COUNTIF($AW$2:$AW$662,AW273)</f>
        <v/>
      </c>
      <c r="BA273" s="4">
        <f>COUNTIF($AX$2:$AX$662,AX273)</f>
        <v/>
      </c>
      <c r="BB273" s="4">
        <f>COUNTIF($AY$2:$AY$662,AY273)</f>
        <v/>
      </c>
      <c r="BC273" s="3">
        <f t="array" ref="BC273">IF(N(AO273)&gt;=MIN_N,AN273,IF(BB273&gt;=MIN_N,MEDIAN(IF($AY$2:$AY$662=AY273,$O$2:$O$662)),IF(BA273&gt;=MIN_N,MEDIAN(IF($AX$2:$AX$662=AX273,$O$2:$O$662)),MEDIAN(IF($AW$2:$AW$662=AW273,$O$2:$O$662)))))</f>
        <v/>
      </c>
      <c r="BD273" s="3">
        <f>IF(N(AO273)&gt;=MIN_N,"mercado "&amp;AP273,IF(BB273&gt;=MIN_N,"modelo+año+km",IF(BA273&gt;=MIN_N,"modelo+año","modelo")))</f>
        <v/>
      </c>
      <c r="BE273" s="4">
        <f>(BC273-O273)/BC273</f>
        <v/>
      </c>
      <c r="BF273" s="3">
        <f>IF(OR(K273="hibrido",K273="glp"),"ECO",IF(K273="electrico","CERO",IF(K273="gasolina",IF(M273&gt;=GAS_C,"C",IF(M273&gt;=GAS_B,"B","A")),IF(K273="diesel",IF(M273&gt;=DIE_C,"C",IF(M273&gt;=DIE_B,"B","A")),""))))</f>
        <v/>
      </c>
      <c r="BG273" s="3">
        <f>IFERROR(VLOOKUP(F273,MOD_TBL,11,0),IFERROR(VLOOKUP(E273,OCU_TBL,2,0),NEUTRO))</f>
        <v/>
      </c>
      <c r="BH273" s="3">
        <f>SUMIFS(MOT_AJUSTE,MOT_MOTOR,G273,MOT_MARCA,E273,MOT_DESDE,"&lt;="&amp;M273,MOT_HASTA,"&gt;="&amp;M273)+SUMIFS(MOT_AJUSTE,MOT_MOTOR,G273,MOT_MARCA,"(todas)",MOT_DESDE,"&lt;="&amp;M273,MOT_HASTA,"&gt;="&amp;M273)</f>
        <v/>
      </c>
      <c r="BI273" s="3">
        <f>SUMIFS(COMB_AJUSTE,COMB_COMB,K273)</f>
        <v/>
      </c>
      <c r="BJ273" s="3">
        <f>COUNTIFS(MOT_MOTOR,G273,MOT_MARCA,E273,MOT_DESDE,"&lt;="&amp;M273,MOT_HASTA,"&gt;="&amp;M273)+COUNTIFS(MOT_MOTOR,G273,MOT_MARCA,"(todas)",MOT_DESDE,"&lt;="&amp;M273,MOT_HASTA,"&gt;="&amp;M273)</f>
        <v/>
      </c>
      <c r="BK273" s="3">
        <f>IF(AND(K273="diesel",BJ273=0),MIN(BG273,NEUTRO),BG273)</f>
        <v/>
      </c>
      <c r="BL273" s="4">
        <f>MAX(0,MIN(100,BK273+BH273+BI273))</f>
        <v/>
      </c>
      <c r="BM273" s="3">
        <f>MAX(0,MIN(100,50+BE273*PRECIO_PEND))</f>
        <v/>
      </c>
      <c r="BN273" s="3">
        <f>MAX(0,100*(1-N273/KM_MAX))</f>
        <v/>
      </c>
      <c r="BO273" s="3">
        <f>IF(AV273&lt;KMA_SOSP,IF(AA273="sí",100,KMA_PEN),IF(AV273&lt;=KMA_IDEAL_MAX,100,MAX(0,100*(KMA_CERO-AV273)/(KMA_CERO-KMA_IDEAL_MAX))))</f>
        <v/>
      </c>
      <c r="BP273" s="3">
        <f>MAX(0,MIN(100,100*(M273-ANIO_MIN)/(ANIO_ACTUAL-ANIO_MIN)))</f>
        <v/>
      </c>
      <c r="BQ273" s="3">
        <f>W_KMT*BN273+W_KMA*BO273+W_EDAD*BP273</f>
        <v/>
      </c>
      <c r="BR273" s="3">
        <f>P_ITV*(V273="sí")+P_LIBRO*(W273="sí")+P_CORREA*(X273="sí")+P_PROP*(Y273=1)+P_GAR*(Z273="sí")+P_FOTOS*MIN(1,N(U273)/FOTOS_OBJ)</f>
        <v/>
      </c>
      <c r="BS273" s="3">
        <f>IFERROR(VLOOKUP(BF273,ETQ_TBL,2,0),NEUTRO)</f>
        <v/>
      </c>
      <c r="BT273" s="3">
        <f>NEUTRO</f>
        <v/>
      </c>
      <c r="BU273" s="3">
        <f>IFERROR(VLOOKUP(L273,SEGURO_TBL,3,0),"")</f>
        <v/>
      </c>
      <c r="BV273" s="3">
        <f>IF(BU273="",NEUTRO,MAX(0,MIN(100,100*(SEG_REF_MAX-BU273)/(SEG_REF_MAX-SEG_REF_MIN))))</f>
        <v/>
      </c>
      <c r="BW273" s="3">
        <f>W_ET*BS273+W_CONS*BT273+W_SEG*BV273</f>
        <v/>
      </c>
      <c r="BX273" s="3">
        <f>IF(N(AB273)&gt;0,AB273,IF(AND(R273="profesional",SG_LEGAL_ON=1),GAR_LEGAL,0))</f>
        <v/>
      </c>
      <c r="BY273" s="3">
        <f>SG_GAR*MIN(1,BX273/SG_GAR_FULL)+SG_AMPL*(AC273="sí")+SG_KMC*(AF273="sí")+SG_REV*(N(AE273)&gt;0)+SG_DEV*MIN(1,N(AG273)/SG_DEV_FULL)+SG_HIST*(W273="sí")</f>
        <v/>
      </c>
      <c r="BZ273" s="3">
        <f>IFERROR(VLOOKUP(L273,CARR_PEN_TBL,2,0),0)</f>
        <v/>
      </c>
      <c r="CA273" s="3">
        <f>W_FIAB*BL273+W_PRECIO*BM273+W_KMEDAD*BQ273+W_ANUNCIO*BR273+W_USO*BW273+W_SEGURIDAD*BY273-BZ273</f>
        <v/>
      </c>
      <c r="CB273" s="4">
        <f>IF(N(I273)&gt;0,I273,IFERROR(ROUND(_xlfn.NUMBERVALUE(LEFT(G273,FIND(" ",G273&amp;" ")-1),".")*1000,0),99999))</f>
        <v/>
      </c>
      <c r="CC273" s="3">
        <f>IF(R273="profesional",0,IF(O273&lt;CUOTA_VALOR_MAX,IF(AU273&gt;ITP_TRAMO_ALTO,SUMIFS(CF_CUOTA,CF_MAS,ITP_TRAMO_ALTO,CF_CCMIN,"&lt;="&amp;CB273,CF_CCMAX,"&gt;="&amp;CB273),IF(AU273&gt;ITP_TRAMO_BAJO,SUMIFS(CF_CUOTA,CF_MAS,ITP_TRAMO_BAJO,CF_CCMIN,"&lt;="&amp;CB273,CF_CCMAX,"&gt;="&amp;CB273),O273*ITP_TIPO)),O273*ITP_TIPO))</f>
        <v/>
      </c>
      <c r="CD273" s="4">
        <f>IF(R273="profesional",N(AK273),0)</f>
        <v/>
      </c>
      <c r="CE273" s="3">
        <f>IF(AND(R273="profesional",ISNUMBER(AK273),AL273="sí"),0,TASA_DGT)</f>
        <v/>
      </c>
      <c r="CF273" s="3">
        <f>INFORME_DGT</f>
        <v/>
      </c>
      <c r="CG273" s="4">
        <f>O273+CD273+CC273+CE273+CF273</f>
        <v/>
      </c>
      <c r="CH273" s="4">
        <f>CG273+N(BU273)</f>
        <v/>
      </c>
      <c r="CI273" s="3">
        <f>IF(CG273&lt;=TOTAL_MAX,"sí",IF(CG273&lt;=TOTAL_MAX+MARGEN_NEG,"negociar","no"))</f>
        <v/>
      </c>
      <c r="CJ273" s="4">
        <f>IF(CI273&lt;&gt;"no",COUNTIFS($CI$2:$CI$662,"&lt;&gt;no",$CA$2:$CA$662,"&gt;"&amp;CA273)+COUNTIFS($CI$2:CI273,"&lt;&gt;no",$CA$2:CA273,CA273),"")</f>
        <v/>
      </c>
    </row>
    <row r="274">
      <c r="A274" s="2" t="inlineStr">
        <is>
          <t>cochesnet:71619015</t>
        </is>
      </c>
      <c r="B274" s="2" t="inlineStr">
        <is>
          <t>cochesnet</t>
        </is>
      </c>
      <c r="C274" s="2" t="inlineStr">
        <is>
          <t>https://www.coches.net/skoda-fabia-sedan-14-tdi-80cv-comfort-4p-diesel-2006-en-valencia-71619015-covo.aspx</t>
        </is>
      </c>
      <c r="D274" s="2" t="inlineStr">
        <is>
          <t>SKODA Fabia Sedan 1.4 TDi Comfort</t>
        </is>
      </c>
      <c r="E274" s="2" t="inlineStr">
        <is>
          <t>Skoda</t>
        </is>
      </c>
      <c r="F274" s="2" t="inlineStr">
        <is>
          <t>Skoda Fabia</t>
        </is>
      </c>
      <c r="G274" s="2" t="inlineStr">
        <is>
          <t>1.4 TDI</t>
        </is>
      </c>
      <c r="H274" s="2" t="inlineStr">
        <is>
          <t>Sedan 1.4 TDi 80cv Comfort</t>
        </is>
      </c>
      <c r="I274" s="2" t="n"/>
      <c r="J274" s="2" t="n">
        <v>80</v>
      </c>
      <c r="K274" s="2" t="inlineStr">
        <is>
          <t>diesel</t>
        </is>
      </c>
      <c r="L274" s="2" t="inlineStr">
        <is>
          <t>berlina</t>
        </is>
      </c>
      <c r="M274" s="2" t="n">
        <v>2006</v>
      </c>
      <c r="N274" s="2" t="n">
        <v>131000</v>
      </c>
      <c r="O274" s="2" t="n">
        <v>3990</v>
      </c>
      <c r="P274" s="2" t="inlineStr">
        <is>
          <t>manual</t>
        </is>
      </c>
      <c r="Q274" s="2" t="inlineStr">
        <is>
          <t>no</t>
        </is>
      </c>
      <c r="R274" s="2" t="inlineStr">
        <is>
          <t>profesional</t>
        </is>
      </c>
      <c r="S274" s="2" t="inlineStr">
        <is>
          <t>Garageng Foios Foios</t>
        </is>
      </c>
      <c r="T274" s="2" t="inlineStr">
        <is>
          <t>2026-09-28T20:25:59Z</t>
        </is>
      </c>
      <c r="U274" s="2" t="n">
        <v>27</v>
      </c>
      <c r="V274" s="2" t="inlineStr">
        <is>
          <t>sí</t>
        </is>
      </c>
      <c r="W274" s="2" t="n"/>
      <c r="X274" s="2" t="n"/>
      <c r="Y274" s="2" t="n">
        <v>1</v>
      </c>
      <c r="Z274" s="2" t="inlineStr">
        <is>
          <t>no</t>
        </is>
      </c>
      <c r="AA274" s="2" t="n"/>
      <c r="AB274" s="2" t="n"/>
      <c r="AC274" s="2" t="n"/>
      <c r="AD274" s="2" t="n"/>
      <c r="AE274" s="2" t="n"/>
      <c r="AF274" s="2" t="n"/>
      <c r="AG274" s="2" t="n"/>
      <c r="AH274" s="2" t="n">
        <v>3990</v>
      </c>
      <c r="AI274" s="2" t="n"/>
      <c r="AJ274" s="2" t="n"/>
      <c r="AK274" s="2" t="n"/>
      <c r="AL274" s="2" t="n"/>
      <c r="AM274" s="2" t="n">
        <v>7.7</v>
      </c>
      <c r="AN274" s="2" t="n">
        <v>3000</v>
      </c>
      <c r="AO274" s="2" t="n">
        <v>5</v>
      </c>
      <c r="AP274" s="2" t="inlineStr">
        <is>
          <t>modelo+año</t>
        </is>
      </c>
      <c r="AQ274" s="2" t="n"/>
      <c r="AR274" s="2" t="inlineStr">
        <is>
          <t>vendedor profesional: sin ITP (operación con IVA/REBU, confirmar en factura); gastos de gestión del vendedor no indicados: se suma la tasa DGT; preguntar el precio final; diésel: motor sin fuente de fiabilidad (fiabilidad limitada a neutra); carrocería berlina: -4 puntos</t>
        </is>
      </c>
      <c r="AS274" s="2" t="inlineStr">
        <is>
          <t>SKODA MODELO FABIA MOTOR  1.4 TDI CON 80CV  DE POTENCIA Y CONSUMO REDUCIDO.
VEHICULO NACIONAL PROCEDENTE DE UNICO PROPIETARIO CON KILOMETRAJE REAL Y CERTIFICADO.
DISPONE DE DISTINTIVO AMBIENTAL
SE ENTREGA CON MANTENIMIENTO RECIEN HECHO E ITV EN VIGOR 10/26.
CONSERVA LIBROS ORIGINALES.
DESTACADOS:
- CIERRE CENTRALIZADO CON MANDO Y DOS LLAVES
- CLIMATIZADOR A/C
- RADIO ORIGINAL
- ELEVALUNAS ELECTRICOS
- TAPICERIA DE TELA MIXTA MUY CONSERVADA
- POSA-VASOS 
- VEHICULO CON IVA/(REBU) INCLUIDO.
- ACEPTAMOS VEHÍCULOS COMO PARTE DE PAGO, TASACIÓN MÁXIMA Y PAGO INMEDIATO.
- ESTE ANUNCIO PUEDE CONTENER ALGÚN ERROR SE MUESTRA A TITULO INFORMATIVO Y NO CONTRACTUAL, PARA MAS INFORMACIÓN CONTACTE CON NOSOTROS.
- CARRER DE LA HORTA 14, FOIOS, POLIGONO INDUSTRIAL EL MOLI, CAMPA AMARILLA</t>
        </is>
      </c>
      <c r="AT274" s="2" t="inlineStr">
        <is>
          <t>https://www.coches.net/skoda-fabia-sedan-14-tdi-80cv-comfort-4p-diesel-2006-en-valencia-71619015-covo.aspx (window.__INITIAL_PROPS__.ad) /home/user/Alopecia/buscador-coches/raw/cochesnet/3d94a7fdd41195d7.json</t>
        </is>
      </c>
      <c r="AU274" s="3">
        <f>MAX(ANIO_ACTUAL-M274,0)</f>
        <v/>
      </c>
      <c r="AV274" s="4">
        <f>N274/MAX(AU274,0.5)</f>
        <v/>
      </c>
      <c r="AW274" s="4">
        <f>F274</f>
        <v/>
      </c>
      <c r="AX274" s="3">
        <f>AW274&amp;"|"&amp;INT(M274/SEG_ANIO)*SEG_ANIO</f>
        <v/>
      </c>
      <c r="AY274" s="3">
        <f>AX274&amp;"|"&amp;INT(N274/SEG_KM)*SEG_KM</f>
        <v/>
      </c>
      <c r="AZ274" s="4">
        <f>COUNTIF($AW$2:$AW$662,AW274)</f>
        <v/>
      </c>
      <c r="BA274" s="4">
        <f>COUNTIF($AX$2:$AX$662,AX274)</f>
        <v/>
      </c>
      <c r="BB274" s="4">
        <f>COUNTIF($AY$2:$AY$662,AY274)</f>
        <v/>
      </c>
      <c r="BC274" s="3">
        <f t="array" ref="BC274">IF(N(AO274)&gt;=MIN_N,AN274,IF(BB274&gt;=MIN_N,MEDIAN(IF($AY$2:$AY$662=AY274,$O$2:$O$662)),IF(BA274&gt;=MIN_N,MEDIAN(IF($AX$2:$AX$662=AX274,$O$2:$O$662)),MEDIAN(IF($AW$2:$AW$662=AW274,$O$2:$O$662)))))</f>
        <v/>
      </c>
      <c r="BD274" s="3">
        <f>IF(N(AO274)&gt;=MIN_N,"mercado "&amp;AP274,IF(BB274&gt;=MIN_N,"modelo+año+km",IF(BA274&gt;=MIN_N,"modelo+año","modelo")))</f>
        <v/>
      </c>
      <c r="BE274" s="4">
        <f>(BC274-O274)/BC274</f>
        <v/>
      </c>
      <c r="BF274" s="3">
        <f>IF(OR(K274="hibrido",K274="glp"),"ECO",IF(K274="electrico","CERO",IF(K274="gasolina",IF(M274&gt;=GAS_C,"C",IF(M274&gt;=GAS_B,"B","A")),IF(K274="diesel",IF(M274&gt;=DIE_C,"C",IF(M274&gt;=DIE_B,"B","A")),""))))</f>
        <v/>
      </c>
      <c r="BG274" s="3">
        <f>IFERROR(VLOOKUP(F274,MOD_TBL,11,0),IFERROR(VLOOKUP(E274,OCU_TBL,2,0),NEUTRO))</f>
        <v/>
      </c>
      <c r="BH274" s="3">
        <f>SUMIFS(MOT_AJUSTE,MOT_MOTOR,G274,MOT_MARCA,E274,MOT_DESDE,"&lt;="&amp;M274,MOT_HASTA,"&gt;="&amp;M274)+SUMIFS(MOT_AJUSTE,MOT_MOTOR,G274,MOT_MARCA,"(todas)",MOT_DESDE,"&lt;="&amp;M274,MOT_HASTA,"&gt;="&amp;M274)</f>
        <v/>
      </c>
      <c r="BI274" s="3">
        <f>SUMIFS(COMB_AJUSTE,COMB_COMB,K274)</f>
        <v/>
      </c>
      <c r="BJ274" s="3">
        <f>COUNTIFS(MOT_MOTOR,G274,MOT_MARCA,E274,MOT_DESDE,"&lt;="&amp;M274,MOT_HASTA,"&gt;="&amp;M274)+COUNTIFS(MOT_MOTOR,G274,MOT_MARCA,"(todas)",MOT_DESDE,"&lt;="&amp;M274,MOT_HASTA,"&gt;="&amp;M274)</f>
        <v/>
      </c>
      <c r="BK274" s="3">
        <f>IF(AND(K274="diesel",BJ274=0),MIN(BG274,NEUTRO),BG274)</f>
        <v/>
      </c>
      <c r="BL274" s="4">
        <f>MAX(0,MIN(100,BK274+BH274+BI274))</f>
        <v/>
      </c>
      <c r="BM274" s="3">
        <f>MAX(0,MIN(100,50+BE274*PRECIO_PEND))</f>
        <v/>
      </c>
      <c r="BN274" s="3">
        <f>MAX(0,100*(1-N274/KM_MAX))</f>
        <v/>
      </c>
      <c r="BO274" s="3">
        <f>IF(AV274&lt;KMA_SOSP,IF(AA274="sí",100,KMA_PEN),IF(AV274&lt;=KMA_IDEAL_MAX,100,MAX(0,100*(KMA_CERO-AV274)/(KMA_CERO-KMA_IDEAL_MAX))))</f>
        <v/>
      </c>
      <c r="BP274" s="3">
        <f>MAX(0,MIN(100,100*(M274-ANIO_MIN)/(ANIO_ACTUAL-ANIO_MIN)))</f>
        <v/>
      </c>
      <c r="BQ274" s="3">
        <f>W_KMT*BN274+W_KMA*BO274+W_EDAD*BP274</f>
        <v/>
      </c>
      <c r="BR274" s="3">
        <f>P_ITV*(V274="sí")+P_LIBRO*(W274="sí")+P_CORREA*(X274="sí")+P_PROP*(Y274=1)+P_GAR*(Z274="sí")+P_FOTOS*MIN(1,N(U274)/FOTOS_OBJ)</f>
        <v/>
      </c>
      <c r="BS274" s="3">
        <f>IFERROR(VLOOKUP(BF274,ETQ_TBL,2,0),NEUTRO)</f>
        <v/>
      </c>
      <c r="BT274" s="3">
        <f>NEUTRO</f>
        <v/>
      </c>
      <c r="BU274" s="3">
        <f>IFERROR(VLOOKUP(L274,SEGURO_TBL,3,0),"")</f>
        <v/>
      </c>
      <c r="BV274" s="3">
        <f>IF(BU274="",NEUTRO,MAX(0,MIN(100,100*(SEG_REF_MAX-BU274)/(SEG_REF_MAX-SEG_REF_MIN))))</f>
        <v/>
      </c>
      <c r="BW274" s="3">
        <f>W_ET*BS274+W_CONS*BT274+W_SEG*BV274</f>
        <v/>
      </c>
      <c r="BX274" s="3">
        <f>IF(N(AB274)&gt;0,AB274,IF(AND(R274="profesional",SG_LEGAL_ON=1),GAR_LEGAL,0))</f>
        <v/>
      </c>
      <c r="BY274" s="3">
        <f>SG_GAR*MIN(1,BX274/SG_GAR_FULL)+SG_AMPL*(AC274="sí")+SG_KMC*(AF274="sí")+SG_REV*(N(AE274)&gt;0)+SG_DEV*MIN(1,N(AG274)/SG_DEV_FULL)+SG_HIST*(W274="sí")</f>
        <v/>
      </c>
      <c r="BZ274" s="3">
        <f>IFERROR(VLOOKUP(L274,CARR_PEN_TBL,2,0),0)</f>
        <v/>
      </c>
      <c r="CA274" s="3">
        <f>W_FIAB*BL274+W_PRECIO*BM274+W_KMEDAD*BQ274+W_ANUNCIO*BR274+W_USO*BW274+W_SEGURIDAD*BY274-BZ274</f>
        <v/>
      </c>
      <c r="CB274" s="4">
        <f>IF(N(I274)&gt;0,I274,IFERROR(ROUND(_xlfn.NUMBERVALUE(LEFT(G274,FIND(" ",G274&amp;" ")-1),".")*1000,0),99999))</f>
        <v/>
      </c>
      <c r="CC274" s="3">
        <f>IF(R274="profesional",0,IF(O274&lt;CUOTA_VALOR_MAX,IF(AU274&gt;ITP_TRAMO_ALTO,SUMIFS(CF_CUOTA,CF_MAS,ITP_TRAMO_ALTO,CF_CCMIN,"&lt;="&amp;CB274,CF_CCMAX,"&gt;="&amp;CB274),IF(AU274&gt;ITP_TRAMO_BAJO,SUMIFS(CF_CUOTA,CF_MAS,ITP_TRAMO_BAJO,CF_CCMIN,"&lt;="&amp;CB274,CF_CCMAX,"&gt;="&amp;CB274),O274*ITP_TIPO)),O274*ITP_TIPO))</f>
        <v/>
      </c>
      <c r="CD274" s="4">
        <f>IF(R274="profesional",N(AK274),0)</f>
        <v/>
      </c>
      <c r="CE274" s="3">
        <f>IF(AND(R274="profesional",ISNUMBER(AK274),AL274="sí"),0,TASA_DGT)</f>
        <v/>
      </c>
      <c r="CF274" s="3">
        <f>INFORME_DGT</f>
        <v/>
      </c>
      <c r="CG274" s="4">
        <f>O274+CD274+CC274+CE274+CF274</f>
        <v/>
      </c>
      <c r="CH274" s="4">
        <f>CG274+N(BU274)</f>
        <v/>
      </c>
      <c r="CI274" s="3">
        <f>IF(CG274&lt;=TOTAL_MAX,"sí",IF(CG274&lt;=TOTAL_MAX+MARGEN_NEG,"negociar","no"))</f>
        <v/>
      </c>
      <c r="CJ274" s="4">
        <f>IF(CI274&lt;&gt;"no",COUNTIFS($CI$2:$CI$662,"&lt;&gt;no",$CA$2:$CA$662,"&gt;"&amp;CA274)+COUNTIFS($CI$2:CI274,"&lt;&gt;no",$CA$2:CA274,CA274),"")</f>
        <v/>
      </c>
    </row>
    <row r="275">
      <c r="A275" s="2" t="inlineStr">
        <is>
          <t>cochesnet:71668261</t>
        </is>
      </c>
      <c r="B275" s="2" t="inlineStr">
        <is>
          <t>cochesnet</t>
        </is>
      </c>
      <c r="C275" s="2" t="inlineStr">
        <is>
          <t>https://www.coches.net/skoda-fabia-gasolina-2006-en-valencia-71668261-covo.aspx</t>
        </is>
      </c>
      <c r="D275" s="2" t="inlineStr">
        <is>
          <t>SKODA Fabia</t>
        </is>
      </c>
      <c r="E275" s="2" t="inlineStr">
        <is>
          <t>Skoda</t>
        </is>
      </c>
      <c r="F275" s="2" t="inlineStr">
        <is>
          <t>Skoda Fabia</t>
        </is>
      </c>
      <c r="G275" s="2" t="n"/>
      <c r="H275" s="2" t="n"/>
      <c r="I275" s="2" t="n"/>
      <c r="J275" s="2" t="n"/>
      <c r="K275" s="2" t="inlineStr">
        <is>
          <t>gasolina</t>
        </is>
      </c>
      <c r="L275" s="2" t="inlineStr">
        <is>
          <t>utilitario</t>
        </is>
      </c>
      <c r="M275" s="2" t="n">
        <v>2006</v>
      </c>
      <c r="N275" s="2" t="n">
        <v>97716</v>
      </c>
      <c r="O275" s="2" t="n">
        <v>5000</v>
      </c>
      <c r="P275" s="2" t="inlineStr">
        <is>
          <t>manual</t>
        </is>
      </c>
      <c r="Q275" s="2" t="inlineStr">
        <is>
          <t>no</t>
        </is>
      </c>
      <c r="R275" s="2" t="inlineStr">
        <is>
          <t>particular</t>
        </is>
      </c>
      <c r="S275" s="2" t="n"/>
      <c r="T275" s="2" t="inlineStr">
        <is>
          <t>2026-10-04T08:42:23Z</t>
        </is>
      </c>
      <c r="U275" s="2" t="n">
        <v>6</v>
      </c>
      <c r="V275" s="2" t="inlineStr">
        <is>
          <t>sí</t>
        </is>
      </c>
      <c r="W275" s="2" t="n"/>
      <c r="X275" s="2" t="n"/>
      <c r="Y275" s="2" t="n"/>
      <c r="Z275" s="2" t="inlineStr">
        <is>
          <t>no</t>
        </is>
      </c>
      <c r="AA275" s="2" t="n"/>
      <c r="AB275" s="2" t="n"/>
      <c r="AC275" s="2" t="n"/>
      <c r="AD275" s="2" t="n"/>
      <c r="AE275" s="2" t="n"/>
      <c r="AF275" s="2" t="n"/>
      <c r="AG275" s="2" t="n"/>
      <c r="AH275" s="2" t="n">
        <v>5000</v>
      </c>
      <c r="AI275" s="2" t="n"/>
      <c r="AJ275" s="2" t="n"/>
      <c r="AK275" s="2" t="n"/>
      <c r="AL275" s="2" t="n"/>
      <c r="AM275" s="2" t="n"/>
      <c r="AN275" s="2" t="n">
        <v>3000</v>
      </c>
      <c r="AO275" s="2" t="n">
        <v>5</v>
      </c>
      <c r="AP275" s="2" t="inlineStr">
        <is>
          <t>modelo+año</t>
        </is>
      </c>
      <c r="AQ275" s="2" t="n"/>
      <c r="AR275" s="2" t="inlineStr">
        <is>
          <t>por encima del presupuesto (5204 €), negociar; cilindrada desconocida: se aplica el tramo de cuota fija más alto; cuota fija ITP: &gt;12 años, más de 2.000 cc; distancia no verificable (el anuncio solo indica la provincia): confirmar que está a &lt;= 70 km</t>
        </is>
      </c>
      <c r="AS275" s="2" t="inlineStr">
        <is>
          <t>coche bien cuidado, de bajo mantenimiento y muy práctico para la ciudad.
ITV pasada en agosto.
Pantalla táctil multimedia.</t>
        </is>
      </c>
      <c r="AT275" s="2" t="inlineStr">
        <is>
          <t>https://www.coches.net/skoda-fabia-gasolina-2006-en-valencia-71668261-covo.aspx (window.__INITIAL_PROPS__.ad) /home/user/Alopecia/buscador-coches/raw/cochesnet/efc62aeefe702b0e.json</t>
        </is>
      </c>
      <c r="AU275" s="3">
        <f>MAX(ANIO_ACTUAL-M275,0)</f>
        <v/>
      </c>
      <c r="AV275" s="4">
        <f>N275/MAX(AU275,0.5)</f>
        <v/>
      </c>
      <c r="AW275" s="4">
        <f>F275</f>
        <v/>
      </c>
      <c r="AX275" s="3">
        <f>AW275&amp;"|"&amp;INT(M275/SEG_ANIO)*SEG_ANIO</f>
        <v/>
      </c>
      <c r="AY275" s="3">
        <f>AX275&amp;"|"&amp;INT(N275/SEG_KM)*SEG_KM</f>
        <v/>
      </c>
      <c r="AZ275" s="4">
        <f>COUNTIF($AW$2:$AW$662,AW275)</f>
        <v/>
      </c>
      <c r="BA275" s="4">
        <f>COUNTIF($AX$2:$AX$662,AX275)</f>
        <v/>
      </c>
      <c r="BB275" s="4">
        <f>COUNTIF($AY$2:$AY$662,AY275)</f>
        <v/>
      </c>
      <c r="BC275" s="3">
        <f t="array" ref="BC275">IF(N(AO275)&gt;=MIN_N,AN275,IF(BB275&gt;=MIN_N,MEDIAN(IF($AY$2:$AY$662=AY275,$O$2:$O$662)),IF(BA275&gt;=MIN_N,MEDIAN(IF($AX$2:$AX$662=AX275,$O$2:$O$662)),MEDIAN(IF($AW$2:$AW$662=AW275,$O$2:$O$662)))))</f>
        <v/>
      </c>
      <c r="BD275" s="3">
        <f>IF(N(AO275)&gt;=MIN_N,"mercado "&amp;AP275,IF(BB275&gt;=MIN_N,"modelo+año+km",IF(BA275&gt;=MIN_N,"modelo+año","modelo")))</f>
        <v/>
      </c>
      <c r="BE275" s="4">
        <f>(BC275-O275)/BC275</f>
        <v/>
      </c>
      <c r="BF275" s="3">
        <f>IF(OR(K275="hibrido",K275="glp"),"ECO",IF(K275="electrico","CERO",IF(K275="gasolina",IF(M275&gt;=GAS_C,"C",IF(M275&gt;=GAS_B,"B","A")),IF(K275="diesel",IF(M275&gt;=DIE_C,"C",IF(M275&gt;=DIE_B,"B","A")),""))))</f>
        <v/>
      </c>
      <c r="BG275" s="3">
        <f>IFERROR(VLOOKUP(F275,MOD_TBL,11,0),IFERROR(VLOOKUP(E275,OCU_TBL,2,0),NEUTRO))</f>
        <v/>
      </c>
      <c r="BH275" s="3">
        <f>SUMIFS(MOT_AJUSTE,MOT_MOTOR,G275,MOT_MARCA,E275,MOT_DESDE,"&lt;="&amp;M275,MOT_HASTA,"&gt;="&amp;M275)+SUMIFS(MOT_AJUSTE,MOT_MOTOR,G275,MOT_MARCA,"(todas)",MOT_DESDE,"&lt;="&amp;M275,MOT_HASTA,"&gt;="&amp;M275)</f>
        <v/>
      </c>
      <c r="BI275" s="3">
        <f>SUMIFS(COMB_AJUSTE,COMB_COMB,K275)</f>
        <v/>
      </c>
      <c r="BJ275" s="3">
        <f>COUNTIFS(MOT_MOTOR,G275,MOT_MARCA,E275,MOT_DESDE,"&lt;="&amp;M275,MOT_HASTA,"&gt;="&amp;M275)+COUNTIFS(MOT_MOTOR,G275,MOT_MARCA,"(todas)",MOT_DESDE,"&lt;="&amp;M275,MOT_HASTA,"&gt;="&amp;M275)</f>
        <v/>
      </c>
      <c r="BK275" s="3">
        <f>IF(AND(K275="diesel",BJ275=0),MIN(BG275,NEUTRO),BG275)</f>
        <v/>
      </c>
      <c r="BL275" s="4">
        <f>MAX(0,MIN(100,BK275+BH275+BI275))</f>
        <v/>
      </c>
      <c r="BM275" s="3">
        <f>MAX(0,MIN(100,50+BE275*PRECIO_PEND))</f>
        <v/>
      </c>
      <c r="BN275" s="3">
        <f>MAX(0,100*(1-N275/KM_MAX))</f>
        <v/>
      </c>
      <c r="BO275" s="3">
        <f>IF(AV275&lt;KMA_SOSP,IF(AA275="sí",100,KMA_PEN),IF(AV275&lt;=KMA_IDEAL_MAX,100,MAX(0,100*(KMA_CERO-AV275)/(KMA_CERO-KMA_IDEAL_MAX))))</f>
        <v/>
      </c>
      <c r="BP275" s="3">
        <f>MAX(0,MIN(100,100*(M275-ANIO_MIN)/(ANIO_ACTUAL-ANIO_MIN)))</f>
        <v/>
      </c>
      <c r="BQ275" s="3">
        <f>W_KMT*BN275+W_KMA*BO275+W_EDAD*BP275</f>
        <v/>
      </c>
      <c r="BR275" s="3">
        <f>P_ITV*(V275="sí")+P_LIBRO*(W275="sí")+P_CORREA*(X275="sí")+P_PROP*(Y275=1)+P_GAR*(Z275="sí")+P_FOTOS*MIN(1,N(U275)/FOTOS_OBJ)</f>
        <v/>
      </c>
      <c r="BS275" s="3">
        <f>IFERROR(VLOOKUP(BF275,ETQ_TBL,2,0),NEUTRO)</f>
        <v/>
      </c>
      <c r="BT275" s="3">
        <f>NEUTRO</f>
        <v/>
      </c>
      <c r="BU275" s="3">
        <f>IFERROR(VLOOKUP(L275,SEGURO_TBL,3,0),"")</f>
        <v/>
      </c>
      <c r="BV275" s="3">
        <f>IF(BU275="",NEUTRO,MAX(0,MIN(100,100*(SEG_REF_MAX-BU275)/(SEG_REF_MAX-SEG_REF_MIN))))</f>
        <v/>
      </c>
      <c r="BW275" s="3">
        <f>W_ET*BS275+W_CONS*BT275+W_SEG*BV275</f>
        <v/>
      </c>
      <c r="BX275" s="3">
        <f>IF(N(AB275)&gt;0,AB275,IF(AND(R275="profesional",SG_LEGAL_ON=1),GAR_LEGAL,0))</f>
        <v/>
      </c>
      <c r="BY275" s="3">
        <f>SG_GAR*MIN(1,BX275/SG_GAR_FULL)+SG_AMPL*(AC275="sí")+SG_KMC*(AF275="sí")+SG_REV*(N(AE275)&gt;0)+SG_DEV*MIN(1,N(AG275)/SG_DEV_FULL)+SG_HIST*(W275="sí")</f>
        <v/>
      </c>
      <c r="BZ275" s="3">
        <f>IFERROR(VLOOKUP(L275,CARR_PEN_TBL,2,0),0)</f>
        <v/>
      </c>
      <c r="CA275" s="3">
        <f>W_FIAB*BL275+W_PRECIO*BM275+W_KMEDAD*BQ275+W_ANUNCIO*BR275+W_USO*BW275+W_SEGURIDAD*BY275-BZ275</f>
        <v/>
      </c>
      <c r="CB275" s="4">
        <f>IF(N(I275)&gt;0,I275,IFERROR(ROUND(_xlfn.NUMBERVALUE(LEFT(G275,FIND(" ",G275&amp;" ")-1),".")*1000,0),99999))</f>
        <v/>
      </c>
      <c r="CC275" s="3">
        <f>IF(R275="profesional",0,IF(O275&lt;CUOTA_VALOR_MAX,IF(AU275&gt;ITP_TRAMO_ALTO,SUMIFS(CF_CUOTA,CF_MAS,ITP_TRAMO_ALTO,CF_CCMIN,"&lt;="&amp;CB275,CF_CCMAX,"&gt;="&amp;CB275),IF(AU275&gt;ITP_TRAMO_BAJO,SUMIFS(CF_CUOTA,CF_MAS,ITP_TRAMO_BAJO,CF_CCMIN,"&lt;="&amp;CB275,CF_CCMAX,"&gt;="&amp;CB275),O275*ITP_TIPO)),O275*ITP_TIPO))</f>
        <v/>
      </c>
      <c r="CD275" s="4">
        <f>IF(R275="profesional",N(AK275),0)</f>
        <v/>
      </c>
      <c r="CE275" s="3">
        <f>IF(AND(R275="profesional",ISNUMBER(AK275),AL275="sí"),0,TASA_DGT)</f>
        <v/>
      </c>
      <c r="CF275" s="3">
        <f>INFORME_DGT</f>
        <v/>
      </c>
      <c r="CG275" s="4">
        <f>O275+CD275+CC275+CE275+CF275</f>
        <v/>
      </c>
      <c r="CH275" s="4">
        <f>CG275+N(BU275)</f>
        <v/>
      </c>
      <c r="CI275" s="3">
        <f>IF(CG275&lt;=TOTAL_MAX,"sí",IF(CG275&lt;=TOTAL_MAX+MARGEN_NEG,"negociar","no"))</f>
        <v/>
      </c>
      <c r="CJ275" s="4">
        <f>IF(CI275&lt;&gt;"no",COUNTIFS($CI$2:$CI$662,"&lt;&gt;no",$CA$2:$CA$662,"&gt;"&amp;CA275)+COUNTIFS($CI$2:CI275,"&lt;&gt;no",$CA$2:CA275,CA275),"")</f>
        <v/>
      </c>
    </row>
    <row r="276">
      <c r="A276" s="2" t="inlineStr">
        <is>
          <t>cochesnet:71594775</t>
        </is>
      </c>
      <c r="B276" s="2" t="inlineStr">
        <is>
          <t>cochesnet</t>
        </is>
      </c>
      <c r="C276" s="2" t="inlineStr">
        <is>
          <t>https://www.coches.net/skoda-superb-diesel-2010-en-valencia-71594775-covo.aspx</t>
        </is>
      </c>
      <c r="D276" s="2" t="inlineStr">
        <is>
          <t>SKODA Superb</t>
        </is>
      </c>
      <c r="E276" s="2" t="inlineStr">
        <is>
          <t>Skoda</t>
        </is>
      </c>
      <c r="F276" s="2" t="inlineStr">
        <is>
          <t>Skoda Superb</t>
        </is>
      </c>
      <c r="G276" s="2" t="n"/>
      <c r="H276" s="2" t="n"/>
      <c r="I276" s="2" t="n"/>
      <c r="J276" s="2" t="n"/>
      <c r="K276" s="2" t="inlineStr">
        <is>
          <t>diesel</t>
        </is>
      </c>
      <c r="L276" s="2" t="inlineStr">
        <is>
          <t>berlina</t>
        </is>
      </c>
      <c r="M276" s="2" t="n">
        <v>2010</v>
      </c>
      <c r="N276" s="2" t="n">
        <v>210000</v>
      </c>
      <c r="O276" s="2" t="n">
        <v>3900</v>
      </c>
      <c r="P276" s="2" t="inlineStr">
        <is>
          <t>manual</t>
        </is>
      </c>
      <c r="Q276" s="2" t="inlineStr">
        <is>
          <t>no</t>
        </is>
      </c>
      <c r="R276" s="2" t="inlineStr">
        <is>
          <t>particular</t>
        </is>
      </c>
      <c r="S276" s="2" t="n"/>
      <c r="T276" s="2" t="inlineStr">
        <is>
          <t>2026-09-25T05:00:19Z</t>
        </is>
      </c>
      <c r="U276" s="2" t="n">
        <v>9</v>
      </c>
      <c r="V276" s="2" t="n"/>
      <c r="W276" s="2" t="n"/>
      <c r="X276" s="2" t="n"/>
      <c r="Y276" s="2" t="n"/>
      <c r="Z276" s="2" t="inlineStr">
        <is>
          <t>no</t>
        </is>
      </c>
      <c r="AA276" s="2" t="n"/>
      <c r="AB276" s="2" t="n"/>
      <c r="AC276" s="2" t="n"/>
      <c r="AD276" s="2" t="n"/>
      <c r="AE276" s="2" t="n"/>
      <c r="AF276" s="2" t="n"/>
      <c r="AG276" s="2" t="n"/>
      <c r="AH276" s="2" t="n">
        <v>3900</v>
      </c>
      <c r="AI276" s="2" t="n"/>
      <c r="AJ276" s="2" t="n"/>
      <c r="AK276" s="2" t="n"/>
      <c r="AL276" s="2" t="n"/>
      <c r="AM276" s="2" t="n"/>
      <c r="AN276" s="2" t="n"/>
      <c r="AO276" s="2" t="n"/>
      <c r="AP276" s="2" t="n"/>
      <c r="AQ276" s="2" t="n"/>
      <c r="AR276"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S276" s="2" t="inlineStr">
        <is>
          <t>skoda superb 1.9 en buen estado</t>
        </is>
      </c>
      <c r="AT276" s="2" t="inlineStr">
        <is>
          <t>https://www.coches.net/skoda-superb-diesel-2010-en-valencia-71594775-covo.aspx (window.__INITIAL_PROPS__.ad) /home/user/Alopecia/buscador-coches/raw/cochesnet/0d5ba3b65f80a41e.json</t>
        </is>
      </c>
      <c r="AU276" s="3">
        <f>MAX(ANIO_ACTUAL-M276,0)</f>
        <v/>
      </c>
      <c r="AV276" s="4">
        <f>N276/MAX(AU276,0.5)</f>
        <v/>
      </c>
      <c r="AW276" s="4">
        <f>F276</f>
        <v/>
      </c>
      <c r="AX276" s="3">
        <f>AW276&amp;"|"&amp;INT(M276/SEG_ANIO)*SEG_ANIO</f>
        <v/>
      </c>
      <c r="AY276" s="3">
        <f>AX276&amp;"|"&amp;INT(N276/SEG_KM)*SEG_KM</f>
        <v/>
      </c>
      <c r="AZ276" s="4">
        <f>COUNTIF($AW$2:$AW$662,AW276)</f>
        <v/>
      </c>
      <c r="BA276" s="4">
        <f>COUNTIF($AX$2:$AX$662,AX276)</f>
        <v/>
      </c>
      <c r="BB276" s="4">
        <f>COUNTIF($AY$2:$AY$662,AY276)</f>
        <v/>
      </c>
      <c r="BC276" s="3">
        <f t="array" ref="BC276">IF(N(AO276)&gt;=MIN_N,AN276,IF(BB276&gt;=MIN_N,MEDIAN(IF($AY$2:$AY$662=AY276,$O$2:$O$662)),IF(BA276&gt;=MIN_N,MEDIAN(IF($AX$2:$AX$662=AX276,$O$2:$O$662)),MEDIAN(IF($AW$2:$AW$662=AW276,$O$2:$O$662)))))</f>
        <v/>
      </c>
      <c r="BD276" s="3">
        <f>IF(N(AO276)&gt;=MIN_N,"mercado "&amp;AP276,IF(BB276&gt;=MIN_N,"modelo+año+km",IF(BA276&gt;=MIN_N,"modelo+año","modelo")))</f>
        <v/>
      </c>
      <c r="BE276" s="4">
        <f>(BC276-O276)/BC276</f>
        <v/>
      </c>
      <c r="BF276" s="3">
        <f>IF(OR(K276="hibrido",K276="glp"),"ECO",IF(K276="electrico","CERO",IF(K276="gasolina",IF(M276&gt;=GAS_C,"C",IF(M276&gt;=GAS_B,"B","A")),IF(K276="diesel",IF(M276&gt;=DIE_C,"C",IF(M276&gt;=DIE_B,"B","A")),""))))</f>
        <v/>
      </c>
      <c r="BG276" s="3">
        <f>IFERROR(VLOOKUP(F276,MOD_TBL,11,0),IFERROR(VLOOKUP(E276,OCU_TBL,2,0),NEUTRO))</f>
        <v/>
      </c>
      <c r="BH276" s="3">
        <f>SUMIFS(MOT_AJUSTE,MOT_MOTOR,G276,MOT_MARCA,E276,MOT_DESDE,"&lt;="&amp;M276,MOT_HASTA,"&gt;="&amp;M276)+SUMIFS(MOT_AJUSTE,MOT_MOTOR,G276,MOT_MARCA,"(todas)",MOT_DESDE,"&lt;="&amp;M276,MOT_HASTA,"&gt;="&amp;M276)</f>
        <v/>
      </c>
      <c r="BI276" s="3">
        <f>SUMIFS(COMB_AJUSTE,COMB_COMB,K276)</f>
        <v/>
      </c>
      <c r="BJ276" s="3">
        <f>COUNTIFS(MOT_MOTOR,G276,MOT_MARCA,E276,MOT_DESDE,"&lt;="&amp;M276,MOT_HASTA,"&gt;="&amp;M276)+COUNTIFS(MOT_MOTOR,G276,MOT_MARCA,"(todas)",MOT_DESDE,"&lt;="&amp;M276,MOT_HASTA,"&gt;="&amp;M276)</f>
        <v/>
      </c>
      <c r="BK276" s="3">
        <f>IF(AND(K276="diesel",BJ276=0),MIN(BG276,NEUTRO),BG276)</f>
        <v/>
      </c>
      <c r="BL276" s="4">
        <f>MAX(0,MIN(100,BK276+BH276+BI276))</f>
        <v/>
      </c>
      <c r="BM276" s="3">
        <f>MAX(0,MIN(100,50+BE276*PRECIO_PEND))</f>
        <v/>
      </c>
      <c r="BN276" s="3">
        <f>MAX(0,100*(1-N276/KM_MAX))</f>
        <v/>
      </c>
      <c r="BO276" s="3">
        <f>IF(AV276&lt;KMA_SOSP,IF(AA276="sí",100,KMA_PEN),IF(AV276&lt;=KMA_IDEAL_MAX,100,MAX(0,100*(KMA_CERO-AV276)/(KMA_CERO-KMA_IDEAL_MAX))))</f>
        <v/>
      </c>
      <c r="BP276" s="3">
        <f>MAX(0,MIN(100,100*(M276-ANIO_MIN)/(ANIO_ACTUAL-ANIO_MIN)))</f>
        <v/>
      </c>
      <c r="BQ276" s="3">
        <f>W_KMT*BN276+W_KMA*BO276+W_EDAD*BP276</f>
        <v/>
      </c>
      <c r="BR276" s="3">
        <f>P_ITV*(V276="sí")+P_LIBRO*(W276="sí")+P_CORREA*(X276="sí")+P_PROP*(Y276=1)+P_GAR*(Z276="sí")+P_FOTOS*MIN(1,N(U276)/FOTOS_OBJ)</f>
        <v/>
      </c>
      <c r="BS276" s="3">
        <f>IFERROR(VLOOKUP(BF276,ETQ_TBL,2,0),NEUTRO)</f>
        <v/>
      </c>
      <c r="BT276" s="3">
        <f>NEUTRO</f>
        <v/>
      </c>
      <c r="BU276" s="3">
        <f>IFERROR(VLOOKUP(L276,SEGURO_TBL,3,0),"")</f>
        <v/>
      </c>
      <c r="BV276" s="3">
        <f>IF(BU276="",NEUTRO,MAX(0,MIN(100,100*(SEG_REF_MAX-BU276)/(SEG_REF_MAX-SEG_REF_MIN))))</f>
        <v/>
      </c>
      <c r="BW276" s="3">
        <f>W_ET*BS276+W_CONS*BT276+W_SEG*BV276</f>
        <v/>
      </c>
      <c r="BX276" s="3">
        <f>IF(N(AB276)&gt;0,AB276,IF(AND(R276="profesional",SG_LEGAL_ON=1),GAR_LEGAL,0))</f>
        <v/>
      </c>
      <c r="BY276" s="3">
        <f>SG_GAR*MIN(1,BX276/SG_GAR_FULL)+SG_AMPL*(AC276="sí")+SG_KMC*(AF276="sí")+SG_REV*(N(AE276)&gt;0)+SG_DEV*MIN(1,N(AG276)/SG_DEV_FULL)+SG_HIST*(W276="sí")</f>
        <v/>
      </c>
      <c r="BZ276" s="3">
        <f>IFERROR(VLOOKUP(L276,CARR_PEN_TBL,2,0),0)</f>
        <v/>
      </c>
      <c r="CA276" s="3">
        <f>W_FIAB*BL276+W_PRECIO*BM276+W_KMEDAD*BQ276+W_ANUNCIO*BR276+W_USO*BW276+W_SEGURIDAD*BY276-BZ276</f>
        <v/>
      </c>
      <c r="CB276" s="4">
        <f>IF(N(I276)&gt;0,I276,IFERROR(ROUND(_xlfn.NUMBERVALUE(LEFT(G276,FIND(" ",G276&amp;" ")-1),".")*1000,0),99999))</f>
        <v/>
      </c>
      <c r="CC276" s="3">
        <f>IF(R276="profesional",0,IF(O276&lt;CUOTA_VALOR_MAX,IF(AU276&gt;ITP_TRAMO_ALTO,SUMIFS(CF_CUOTA,CF_MAS,ITP_TRAMO_ALTO,CF_CCMIN,"&lt;="&amp;CB276,CF_CCMAX,"&gt;="&amp;CB276),IF(AU276&gt;ITP_TRAMO_BAJO,SUMIFS(CF_CUOTA,CF_MAS,ITP_TRAMO_BAJO,CF_CCMIN,"&lt;="&amp;CB276,CF_CCMAX,"&gt;="&amp;CB276),O276*ITP_TIPO)),O276*ITP_TIPO))</f>
        <v/>
      </c>
      <c r="CD276" s="4">
        <f>IF(R276="profesional",N(AK276),0)</f>
        <v/>
      </c>
      <c r="CE276" s="3">
        <f>IF(AND(R276="profesional",ISNUMBER(AK276),AL276="sí"),0,TASA_DGT)</f>
        <v/>
      </c>
      <c r="CF276" s="3">
        <f>INFORME_DGT</f>
        <v/>
      </c>
      <c r="CG276" s="4">
        <f>O276+CD276+CC276+CE276+CF276</f>
        <v/>
      </c>
      <c r="CH276" s="4">
        <f>CG276+N(BU276)</f>
        <v/>
      </c>
      <c r="CI276" s="3">
        <f>IF(CG276&lt;=TOTAL_MAX,"sí",IF(CG276&lt;=TOTAL_MAX+MARGEN_NEG,"negociar","no"))</f>
        <v/>
      </c>
      <c r="CJ276" s="4">
        <f>IF(CI276&lt;&gt;"no",COUNTIFS($CI$2:$CI$662,"&lt;&gt;no",$CA$2:$CA$662,"&gt;"&amp;CA276)+COUNTIFS($CI$2:CI276,"&lt;&gt;no",$CA$2:CA276,CA276),"")</f>
        <v/>
      </c>
    </row>
    <row r="277">
      <c r="A277" s="2" t="inlineStr">
        <is>
          <t>cochesnet:71322051</t>
        </is>
      </c>
      <c r="B277" s="2" t="inlineStr">
        <is>
          <t>cochesnet</t>
        </is>
      </c>
      <c r="C277" s="2" t="inlineStr">
        <is>
          <t>https://www.coches.net/skoda-citigo-10-mpi-60cv-active-5p-gasolina-2013-en-valencia-71322051-covo.aspx</t>
        </is>
      </c>
      <c r="D277" s="2" t="inlineStr">
        <is>
          <t>SKODA Citigo 1.0 MPI Active</t>
        </is>
      </c>
      <c r="E277" s="2" t="inlineStr">
        <is>
          <t>Skoda</t>
        </is>
      </c>
      <c r="F277" s="2" t="inlineStr">
        <is>
          <t>Skoda Citigo</t>
        </is>
      </c>
      <c r="G277" s="2" t="inlineStr">
        <is>
          <t>1.0 MPI</t>
        </is>
      </c>
      <c r="H277" s="2" t="inlineStr">
        <is>
          <t>1.0 MPI 60cv Active</t>
        </is>
      </c>
      <c r="I277" s="2" t="n"/>
      <c r="J277" s="2" t="n">
        <v>60</v>
      </c>
      <c r="K277" s="2" t="inlineStr">
        <is>
          <t>gasolina</t>
        </is>
      </c>
      <c r="L277" s="2" t="inlineStr">
        <is>
          <t>utilitario</t>
        </is>
      </c>
      <c r="M277" s="2" t="n">
        <v>2013</v>
      </c>
      <c r="N277" s="2" t="n">
        <v>87400</v>
      </c>
      <c r="O277" s="2" t="n">
        <v>5100</v>
      </c>
      <c r="P277" s="2" t="inlineStr">
        <is>
          <t>manual</t>
        </is>
      </c>
      <c r="Q277" s="2" t="inlineStr">
        <is>
          <t>no</t>
        </is>
      </c>
      <c r="R277" s="2" t="inlineStr">
        <is>
          <t>particular</t>
        </is>
      </c>
      <c r="S277" s="2" t="inlineStr">
        <is>
          <t>Valencia</t>
        </is>
      </c>
      <c r="T277" s="2" t="inlineStr">
        <is>
          <t>2026-08-19T13:48:11Z</t>
        </is>
      </c>
      <c r="U277" s="2" t="n">
        <v>13</v>
      </c>
      <c r="V277" s="2" t="inlineStr">
        <is>
          <t>sí</t>
        </is>
      </c>
      <c r="W277" s="2" t="n"/>
      <c r="X277" s="2" t="n"/>
      <c r="Y277" s="2" t="n"/>
      <c r="Z277" s="2" t="inlineStr">
        <is>
          <t>no</t>
        </is>
      </c>
      <c r="AA277" s="2" t="n"/>
      <c r="AB277" s="2" t="n"/>
      <c r="AC277" s="2" t="n"/>
      <c r="AD277" s="2" t="n"/>
      <c r="AE277" s="2" t="n"/>
      <c r="AF277" s="2" t="n"/>
      <c r="AG277" s="2" t="n"/>
      <c r="AH277" s="2" t="n">
        <v>5100</v>
      </c>
      <c r="AI277" s="2" t="n"/>
      <c r="AJ277" s="2" t="n"/>
      <c r="AK277" s="2" t="n"/>
      <c r="AL277" s="2" t="n"/>
      <c r="AM277" s="2" t="n">
        <v>0.1</v>
      </c>
      <c r="AN277" s="2" t="n"/>
      <c r="AO277" s="2" t="n"/>
      <c r="AP277" s="2" t="n"/>
      <c r="AQ277" s="2" t="n"/>
      <c r="AR277" s="2" t="inlineStr">
        <is>
          <t>por encima del presupuesto (5204 €), negociar; antigüedad en el límite del tramo: depende de la fecha exacta de matriculación; cuota fija ITP: &gt;12 años, hasta 1.500 cc; fiabilidad del modelo PENDIENTE de fuente (puntuación neutra); mediana con solo 2 anuncio(s)</t>
        </is>
      </c>
      <c r="AS277" s="2" t="inlineStr">
        <is>
          <t>Se vende SKODA Citigo 1.0 MPI Active en perfecto estado por motivo de aumento familiar. Coche ideal tanto para ciudad como para viajes largos, con un consumo mínimo.
Datos clave:
- Modelo: SKODA Citigo 1.0 MPI Active
- Año: 2013
- Kilometraje: 87.400 km
- Consumo: 3,5 – 4,5 L / 100 km
- Etiqueta ambiental: C (DGT)
- Impuesto de circulación: 20 euro / año
Historial y estado:
- Adquirido en Países Bajos en 2021 e importado a España en 2025.
- Guardado siempre en garaje en España.
- ITV pasada en primavera de este año, válida por (14/03/2027).
- Todo funciona perfectamente.
Mantenimiento reciente:
- Finales de 2025: cambio de aceite y neumáticos nuevos.
- 2024: batería nueva.
Equipamiento (Acabado Active con extras):
- Asistente de frenada de emergencia en ciudad (City Safe Drive)
- Control de crucero
- Aire acondicionado
- Asistente de arranque en pendiente
- Sistema Start-Stop
- Elevalunas eléctricos
- Faros antiniebla
- Volante y asiento del conductor regulables en altura
- Anclajes ISOFIX para sillas infantiles
- Asientos traseros abatibles
- Rueda de repuesto de tamaño normal
Extras añadidos:
- Reposabrazos central con compartimento de almacenaje y tomas USB (delante y detrás)
- Cámara de grabación / Dashcam (delantera y trasera)</t>
        </is>
      </c>
      <c r="AT277" s="2" t="inlineStr">
        <is>
          <t>https://www.coches.net/skoda-citigo-10-mpi-60cv-active-5p-gasolina-2013-en-valencia-71322051-covo.aspx (window.__INITIAL_PROPS__.ad) /home/user/Alopecia/buscador-coches/raw/cochesnet/2d427694a0b15eac.json</t>
        </is>
      </c>
      <c r="AU277" s="3">
        <f>MAX(ANIO_ACTUAL-M277,0)</f>
        <v/>
      </c>
      <c r="AV277" s="4">
        <f>N277/MAX(AU277,0.5)</f>
        <v/>
      </c>
      <c r="AW277" s="4">
        <f>F277</f>
        <v/>
      </c>
      <c r="AX277" s="3">
        <f>AW277&amp;"|"&amp;INT(M277/SEG_ANIO)*SEG_ANIO</f>
        <v/>
      </c>
      <c r="AY277" s="3">
        <f>AX277&amp;"|"&amp;INT(N277/SEG_KM)*SEG_KM</f>
        <v/>
      </c>
      <c r="AZ277" s="4">
        <f>COUNTIF($AW$2:$AW$662,AW277)</f>
        <v/>
      </c>
      <c r="BA277" s="4">
        <f>COUNTIF($AX$2:$AX$662,AX277)</f>
        <v/>
      </c>
      <c r="BB277" s="4">
        <f>COUNTIF($AY$2:$AY$662,AY277)</f>
        <v/>
      </c>
      <c r="BC277" s="3">
        <f t="array" ref="BC277">IF(N(AO277)&gt;=MIN_N,AN277,IF(BB277&gt;=MIN_N,MEDIAN(IF($AY$2:$AY$662=AY277,$O$2:$O$662)),IF(BA277&gt;=MIN_N,MEDIAN(IF($AX$2:$AX$662=AX277,$O$2:$O$662)),MEDIAN(IF($AW$2:$AW$662=AW277,$O$2:$O$662)))))</f>
        <v/>
      </c>
      <c r="BD277" s="3">
        <f>IF(N(AO277)&gt;=MIN_N,"mercado "&amp;AP277,IF(BB277&gt;=MIN_N,"modelo+año+km",IF(BA277&gt;=MIN_N,"modelo+año","modelo")))</f>
        <v/>
      </c>
      <c r="BE277" s="4">
        <f>(BC277-O277)/BC277</f>
        <v/>
      </c>
      <c r="BF277" s="3">
        <f>IF(OR(K277="hibrido",K277="glp"),"ECO",IF(K277="electrico","CERO",IF(K277="gasolina",IF(M277&gt;=GAS_C,"C",IF(M277&gt;=GAS_B,"B","A")),IF(K277="diesel",IF(M277&gt;=DIE_C,"C",IF(M277&gt;=DIE_B,"B","A")),""))))</f>
        <v/>
      </c>
      <c r="BG277" s="3">
        <f>IFERROR(VLOOKUP(F277,MOD_TBL,11,0),IFERROR(VLOOKUP(E277,OCU_TBL,2,0),NEUTRO))</f>
        <v/>
      </c>
      <c r="BH277" s="3">
        <f>SUMIFS(MOT_AJUSTE,MOT_MOTOR,G277,MOT_MARCA,E277,MOT_DESDE,"&lt;="&amp;M277,MOT_HASTA,"&gt;="&amp;M277)+SUMIFS(MOT_AJUSTE,MOT_MOTOR,G277,MOT_MARCA,"(todas)",MOT_DESDE,"&lt;="&amp;M277,MOT_HASTA,"&gt;="&amp;M277)</f>
        <v/>
      </c>
      <c r="BI277" s="3">
        <f>SUMIFS(COMB_AJUSTE,COMB_COMB,K277)</f>
        <v/>
      </c>
      <c r="BJ277" s="3">
        <f>COUNTIFS(MOT_MOTOR,G277,MOT_MARCA,E277,MOT_DESDE,"&lt;="&amp;M277,MOT_HASTA,"&gt;="&amp;M277)+COUNTIFS(MOT_MOTOR,G277,MOT_MARCA,"(todas)",MOT_DESDE,"&lt;="&amp;M277,MOT_HASTA,"&gt;="&amp;M277)</f>
        <v/>
      </c>
      <c r="BK277" s="3">
        <f>IF(AND(K277="diesel",BJ277=0),MIN(BG277,NEUTRO),BG277)</f>
        <v/>
      </c>
      <c r="BL277" s="4">
        <f>MAX(0,MIN(100,BK277+BH277+BI277))</f>
        <v/>
      </c>
      <c r="BM277" s="3">
        <f>MAX(0,MIN(100,50+BE277*PRECIO_PEND))</f>
        <v/>
      </c>
      <c r="BN277" s="3">
        <f>MAX(0,100*(1-N277/KM_MAX))</f>
        <v/>
      </c>
      <c r="BO277" s="3">
        <f>IF(AV277&lt;KMA_SOSP,IF(AA277="sí",100,KMA_PEN),IF(AV277&lt;=KMA_IDEAL_MAX,100,MAX(0,100*(KMA_CERO-AV277)/(KMA_CERO-KMA_IDEAL_MAX))))</f>
        <v/>
      </c>
      <c r="BP277" s="3">
        <f>MAX(0,MIN(100,100*(M277-ANIO_MIN)/(ANIO_ACTUAL-ANIO_MIN)))</f>
        <v/>
      </c>
      <c r="BQ277" s="3">
        <f>W_KMT*BN277+W_KMA*BO277+W_EDAD*BP277</f>
        <v/>
      </c>
      <c r="BR277" s="3">
        <f>P_ITV*(V277="sí")+P_LIBRO*(W277="sí")+P_CORREA*(X277="sí")+P_PROP*(Y277=1)+P_GAR*(Z277="sí")+P_FOTOS*MIN(1,N(U277)/FOTOS_OBJ)</f>
        <v/>
      </c>
      <c r="BS277" s="3">
        <f>IFERROR(VLOOKUP(BF277,ETQ_TBL,2,0),NEUTRO)</f>
        <v/>
      </c>
      <c r="BT277" s="3">
        <f>NEUTRO</f>
        <v/>
      </c>
      <c r="BU277" s="3">
        <f>IFERROR(VLOOKUP(L277,SEGURO_TBL,3,0),"")</f>
        <v/>
      </c>
      <c r="BV277" s="3">
        <f>IF(BU277="",NEUTRO,MAX(0,MIN(100,100*(SEG_REF_MAX-BU277)/(SEG_REF_MAX-SEG_REF_MIN))))</f>
        <v/>
      </c>
      <c r="BW277" s="3">
        <f>W_ET*BS277+W_CONS*BT277+W_SEG*BV277</f>
        <v/>
      </c>
      <c r="BX277" s="3">
        <f>IF(N(AB277)&gt;0,AB277,IF(AND(R277="profesional",SG_LEGAL_ON=1),GAR_LEGAL,0))</f>
        <v/>
      </c>
      <c r="BY277" s="3">
        <f>SG_GAR*MIN(1,BX277/SG_GAR_FULL)+SG_AMPL*(AC277="sí")+SG_KMC*(AF277="sí")+SG_REV*(N(AE277)&gt;0)+SG_DEV*MIN(1,N(AG277)/SG_DEV_FULL)+SG_HIST*(W277="sí")</f>
        <v/>
      </c>
      <c r="BZ277" s="3">
        <f>IFERROR(VLOOKUP(L277,CARR_PEN_TBL,2,0),0)</f>
        <v/>
      </c>
      <c r="CA277" s="3">
        <f>W_FIAB*BL277+W_PRECIO*BM277+W_KMEDAD*BQ277+W_ANUNCIO*BR277+W_USO*BW277+W_SEGURIDAD*BY277-BZ277</f>
        <v/>
      </c>
      <c r="CB277" s="4">
        <f>IF(N(I277)&gt;0,I277,IFERROR(ROUND(_xlfn.NUMBERVALUE(LEFT(G277,FIND(" ",G277&amp;" ")-1),".")*1000,0),99999))</f>
        <v/>
      </c>
      <c r="CC277" s="3">
        <f>IF(R277="profesional",0,IF(O277&lt;CUOTA_VALOR_MAX,IF(AU277&gt;ITP_TRAMO_ALTO,SUMIFS(CF_CUOTA,CF_MAS,ITP_TRAMO_ALTO,CF_CCMIN,"&lt;="&amp;CB277,CF_CCMAX,"&gt;="&amp;CB277),IF(AU277&gt;ITP_TRAMO_BAJO,SUMIFS(CF_CUOTA,CF_MAS,ITP_TRAMO_BAJO,CF_CCMIN,"&lt;="&amp;CB277,CF_CCMAX,"&gt;="&amp;CB277),O277*ITP_TIPO)),O277*ITP_TIPO))</f>
        <v/>
      </c>
      <c r="CD277" s="4">
        <f>IF(R277="profesional",N(AK277),0)</f>
        <v/>
      </c>
      <c r="CE277" s="3">
        <f>IF(AND(R277="profesional",ISNUMBER(AK277),AL277="sí"),0,TASA_DGT)</f>
        <v/>
      </c>
      <c r="CF277" s="3">
        <f>INFORME_DGT</f>
        <v/>
      </c>
      <c r="CG277" s="4">
        <f>O277+CD277+CC277+CE277+CF277</f>
        <v/>
      </c>
      <c r="CH277" s="4">
        <f>CG277+N(BU277)</f>
        <v/>
      </c>
      <c r="CI277" s="3">
        <f>IF(CG277&lt;=TOTAL_MAX,"sí",IF(CG277&lt;=TOTAL_MAX+MARGEN_NEG,"negociar","no"))</f>
        <v/>
      </c>
      <c r="CJ277" s="4">
        <f>IF(CI277&lt;&gt;"no",COUNTIFS($CI$2:$CI$662,"&lt;&gt;no",$CA$2:$CA$662,"&gt;"&amp;CA277)+COUNTIFS($CI$2:CI277,"&lt;&gt;no",$CA$2:CA277,CA277),"")</f>
        <v/>
      </c>
    </row>
    <row r="278">
      <c r="A278" s="2" t="inlineStr">
        <is>
          <t>cochesnet:71867781</t>
        </is>
      </c>
      <c r="B278" s="2" t="inlineStr">
        <is>
          <t>cochesnet</t>
        </is>
      </c>
      <c r="C278" s="2" t="inlineStr">
        <is>
          <t>https://www.coches.net/seat-ibiza-19-tdi-100cv-sport-5p-diesel-2008-en-valencia-71867781-covo.aspx</t>
        </is>
      </c>
      <c r="D278" s="2" t="inlineStr">
        <is>
          <t>SEAT Ibiza 1.9 TDI Sport</t>
        </is>
      </c>
      <c r="E278" s="2" t="inlineStr">
        <is>
          <t>Seat</t>
        </is>
      </c>
      <c r="F278" s="2" t="inlineStr">
        <is>
          <t>Seat Ibiza</t>
        </is>
      </c>
      <c r="G278" s="2" t="inlineStr">
        <is>
          <t>1.9 TDI</t>
        </is>
      </c>
      <c r="H278" s="2" t="inlineStr">
        <is>
          <t>1.9 TDI 100cv Sport</t>
        </is>
      </c>
      <c r="I278" s="2" t="n"/>
      <c r="J278" s="2" t="n">
        <v>100</v>
      </c>
      <c r="K278" s="2" t="inlineStr">
        <is>
          <t>diesel</t>
        </is>
      </c>
      <c r="L278" s="2" t="inlineStr">
        <is>
          <t>utilitario</t>
        </is>
      </c>
      <c r="M278" s="2" t="n">
        <v>2007</v>
      </c>
      <c r="N278" s="2" t="n">
        <v>117000</v>
      </c>
      <c r="O278" s="2" t="n">
        <v>4990</v>
      </c>
      <c r="P278" s="2" t="inlineStr">
        <is>
          <t>manual</t>
        </is>
      </c>
      <c r="Q278" s="2" t="inlineStr">
        <is>
          <t>no</t>
        </is>
      </c>
      <c r="R278" s="2" t="inlineStr">
        <is>
          <t>profesional</t>
        </is>
      </c>
      <c r="S278" s="2" t="inlineStr">
        <is>
          <t>MSG Car 4 Valencia</t>
        </is>
      </c>
      <c r="T278" s="2" t="inlineStr">
        <is>
          <t>2026-10-30T09:30:55Z</t>
        </is>
      </c>
      <c r="U278" s="2" t="n">
        <v>13</v>
      </c>
      <c r="V278" s="2" t="n"/>
      <c r="W278" s="2" t="n"/>
      <c r="X278" s="2" t="n"/>
      <c r="Y278" s="2" t="n"/>
      <c r="Z278" s="2" t="inlineStr">
        <is>
          <t>sí</t>
        </is>
      </c>
      <c r="AA278" s="2" t="inlineStr">
        <is>
          <t>sí</t>
        </is>
      </c>
      <c r="AB278" s="2" t="n">
        <v>12</v>
      </c>
      <c r="AC278" s="2" t="n"/>
      <c r="AD278" s="2" t="n"/>
      <c r="AE278" s="2" t="n"/>
      <c r="AF278" s="2" t="inlineStr">
        <is>
          <t>sí</t>
        </is>
      </c>
      <c r="AG278" s="2" t="n"/>
      <c r="AH278" s="2" t="n">
        <v>4990</v>
      </c>
      <c r="AI278" s="2" t="n"/>
      <c r="AJ278" s="2" t="n"/>
      <c r="AK278" s="2" t="n"/>
      <c r="AL278" s="2" t="n"/>
      <c r="AM278" s="2" t="n">
        <v>0.1</v>
      </c>
      <c r="AN278" s="2" t="n">
        <v>3850</v>
      </c>
      <c r="AO278" s="2" t="n">
        <v>26</v>
      </c>
      <c r="AP278" s="2" t="inlineStr">
        <is>
          <t>modelo+año</t>
        </is>
      </c>
      <c r="AQ278" s="2" t="n"/>
      <c r="AR27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278" s="2" t="inlineStr">
        <is>
          <t>-Nacional-Kilometraje certificado-Etiqueta medioambiental B-Recién revisado-
Extras: climatizador, cierre centralizado...
- Se acepta su vehículo como parte de pago.
- Posibilidad de envío a domicilio dentro de la península.
- Aceptamos prueba mecánica.
*Exposición en Segorbe (CS), en la avda. Mediterráneo, 138*Opción de ver el vehículo en Valencia capital*Consulte disponibilidad antes de visitarnos*
Horario de atención telefónica: Lunes a viernes de 10:00h a 14:00h - 16:00h a 19:00h.</t>
        </is>
      </c>
      <c r="AT278" s="2" t="inlineStr">
        <is>
          <t>https://www.coches.net/seat-ibiza-19-tdi-100cv-sport-5p-diesel-2008-en-valencia-71867781-covo.aspx (window.__INITIAL_PROPS__.ad) /home/user/Alopecia/buscador-coches/raw/cochesnet/04fc7723d9dff820.json</t>
        </is>
      </c>
      <c r="AU278" s="3">
        <f>MAX(ANIO_ACTUAL-M278,0)</f>
        <v/>
      </c>
      <c r="AV278" s="4">
        <f>N278/MAX(AU278,0.5)</f>
        <v/>
      </c>
      <c r="AW278" s="4">
        <f>F278</f>
        <v/>
      </c>
      <c r="AX278" s="3">
        <f>AW278&amp;"|"&amp;INT(M278/SEG_ANIO)*SEG_ANIO</f>
        <v/>
      </c>
      <c r="AY278" s="3">
        <f>AX278&amp;"|"&amp;INT(N278/SEG_KM)*SEG_KM</f>
        <v/>
      </c>
      <c r="AZ278" s="4">
        <f>COUNTIF($AW$2:$AW$662,AW278)</f>
        <v/>
      </c>
      <c r="BA278" s="4">
        <f>COUNTIF($AX$2:$AX$662,AX278)</f>
        <v/>
      </c>
      <c r="BB278" s="4">
        <f>COUNTIF($AY$2:$AY$662,AY278)</f>
        <v/>
      </c>
      <c r="BC278" s="3">
        <f t="array" ref="BC278">IF(N(AO278)&gt;=MIN_N,AN278,IF(BB278&gt;=MIN_N,MEDIAN(IF($AY$2:$AY$662=AY278,$O$2:$O$662)),IF(BA278&gt;=MIN_N,MEDIAN(IF($AX$2:$AX$662=AX278,$O$2:$O$662)),MEDIAN(IF($AW$2:$AW$662=AW278,$O$2:$O$662)))))</f>
        <v/>
      </c>
      <c r="BD278" s="3">
        <f>IF(N(AO278)&gt;=MIN_N,"mercado "&amp;AP278,IF(BB278&gt;=MIN_N,"modelo+año+km",IF(BA278&gt;=MIN_N,"modelo+año","modelo")))</f>
        <v/>
      </c>
      <c r="BE278" s="4">
        <f>(BC278-O278)/BC278</f>
        <v/>
      </c>
      <c r="BF278" s="3">
        <f>IF(OR(K278="hibrido",K278="glp"),"ECO",IF(K278="electrico","CERO",IF(K278="gasolina",IF(M278&gt;=GAS_C,"C",IF(M278&gt;=GAS_B,"B","A")),IF(K278="diesel",IF(M278&gt;=DIE_C,"C",IF(M278&gt;=DIE_B,"B","A")),""))))</f>
        <v/>
      </c>
      <c r="BG278" s="3">
        <f>IFERROR(VLOOKUP(F278,MOD_TBL,11,0),IFERROR(VLOOKUP(E278,OCU_TBL,2,0),NEUTRO))</f>
        <v/>
      </c>
      <c r="BH278" s="3">
        <f>SUMIFS(MOT_AJUSTE,MOT_MOTOR,G278,MOT_MARCA,E278,MOT_DESDE,"&lt;="&amp;M278,MOT_HASTA,"&gt;="&amp;M278)+SUMIFS(MOT_AJUSTE,MOT_MOTOR,G278,MOT_MARCA,"(todas)",MOT_DESDE,"&lt;="&amp;M278,MOT_HASTA,"&gt;="&amp;M278)</f>
        <v/>
      </c>
      <c r="BI278" s="3">
        <f>SUMIFS(COMB_AJUSTE,COMB_COMB,K278)</f>
        <v/>
      </c>
      <c r="BJ278" s="3">
        <f>COUNTIFS(MOT_MOTOR,G278,MOT_MARCA,E278,MOT_DESDE,"&lt;="&amp;M278,MOT_HASTA,"&gt;="&amp;M278)+COUNTIFS(MOT_MOTOR,G278,MOT_MARCA,"(todas)",MOT_DESDE,"&lt;="&amp;M278,MOT_HASTA,"&gt;="&amp;M278)</f>
        <v/>
      </c>
      <c r="BK278" s="3">
        <f>IF(AND(K278="diesel",BJ278=0),MIN(BG278,NEUTRO),BG278)</f>
        <v/>
      </c>
      <c r="BL278" s="4">
        <f>MAX(0,MIN(100,BK278+BH278+BI278))</f>
        <v/>
      </c>
      <c r="BM278" s="3">
        <f>MAX(0,MIN(100,50+BE278*PRECIO_PEND))</f>
        <v/>
      </c>
      <c r="BN278" s="3">
        <f>MAX(0,100*(1-N278/KM_MAX))</f>
        <v/>
      </c>
      <c r="BO278" s="3">
        <f>IF(AV278&lt;KMA_SOSP,IF(AA278="sí",100,KMA_PEN),IF(AV278&lt;=KMA_IDEAL_MAX,100,MAX(0,100*(KMA_CERO-AV278)/(KMA_CERO-KMA_IDEAL_MAX))))</f>
        <v/>
      </c>
      <c r="BP278" s="3">
        <f>MAX(0,MIN(100,100*(M278-ANIO_MIN)/(ANIO_ACTUAL-ANIO_MIN)))</f>
        <v/>
      </c>
      <c r="BQ278" s="3">
        <f>W_KMT*BN278+W_KMA*BO278+W_EDAD*BP278</f>
        <v/>
      </c>
      <c r="BR278" s="3">
        <f>P_ITV*(V278="sí")+P_LIBRO*(W278="sí")+P_CORREA*(X278="sí")+P_PROP*(Y278=1)+P_GAR*(Z278="sí")+P_FOTOS*MIN(1,N(U278)/FOTOS_OBJ)</f>
        <v/>
      </c>
      <c r="BS278" s="3">
        <f>IFERROR(VLOOKUP(BF278,ETQ_TBL,2,0),NEUTRO)</f>
        <v/>
      </c>
      <c r="BT278" s="3">
        <f>NEUTRO</f>
        <v/>
      </c>
      <c r="BU278" s="3">
        <f>IFERROR(VLOOKUP(L278,SEGURO_TBL,3,0),"")</f>
        <v/>
      </c>
      <c r="BV278" s="3">
        <f>IF(BU278="",NEUTRO,MAX(0,MIN(100,100*(SEG_REF_MAX-BU278)/(SEG_REF_MAX-SEG_REF_MIN))))</f>
        <v/>
      </c>
      <c r="BW278" s="3">
        <f>W_ET*BS278+W_CONS*BT278+W_SEG*BV278</f>
        <v/>
      </c>
      <c r="BX278" s="3">
        <f>IF(N(AB278)&gt;0,AB278,IF(AND(R278="profesional",SG_LEGAL_ON=1),GAR_LEGAL,0))</f>
        <v/>
      </c>
      <c r="BY278" s="3">
        <f>SG_GAR*MIN(1,BX278/SG_GAR_FULL)+SG_AMPL*(AC278="sí")+SG_KMC*(AF278="sí")+SG_REV*(N(AE278)&gt;0)+SG_DEV*MIN(1,N(AG278)/SG_DEV_FULL)+SG_HIST*(W278="sí")</f>
        <v/>
      </c>
      <c r="BZ278" s="3">
        <f>IFERROR(VLOOKUP(L278,CARR_PEN_TBL,2,0),0)</f>
        <v/>
      </c>
      <c r="CA278" s="3">
        <f>W_FIAB*BL278+W_PRECIO*BM278+W_KMEDAD*BQ278+W_ANUNCIO*BR278+W_USO*BW278+W_SEGURIDAD*BY278-BZ278</f>
        <v/>
      </c>
      <c r="CB278" s="4">
        <f>IF(N(I278)&gt;0,I278,IFERROR(ROUND(_xlfn.NUMBERVALUE(LEFT(G278,FIND(" ",G278&amp;" ")-1),".")*1000,0),99999))</f>
        <v/>
      </c>
      <c r="CC278" s="3">
        <f>IF(R278="profesional",0,IF(O278&lt;CUOTA_VALOR_MAX,IF(AU278&gt;ITP_TRAMO_ALTO,SUMIFS(CF_CUOTA,CF_MAS,ITP_TRAMO_ALTO,CF_CCMIN,"&lt;="&amp;CB278,CF_CCMAX,"&gt;="&amp;CB278),IF(AU278&gt;ITP_TRAMO_BAJO,SUMIFS(CF_CUOTA,CF_MAS,ITP_TRAMO_BAJO,CF_CCMIN,"&lt;="&amp;CB278,CF_CCMAX,"&gt;="&amp;CB278),O278*ITP_TIPO)),O278*ITP_TIPO))</f>
        <v/>
      </c>
      <c r="CD278" s="4">
        <f>IF(R278="profesional",N(AK278),0)</f>
        <v/>
      </c>
      <c r="CE278" s="3">
        <f>IF(AND(R278="profesional",ISNUMBER(AK278),AL278="sí"),0,TASA_DGT)</f>
        <v/>
      </c>
      <c r="CF278" s="3">
        <f>INFORME_DGT</f>
        <v/>
      </c>
      <c r="CG278" s="4">
        <f>O278+CD278+CC278+CE278+CF278</f>
        <v/>
      </c>
      <c r="CH278" s="4">
        <f>CG278+N(BU278)</f>
        <v/>
      </c>
      <c r="CI278" s="3">
        <f>IF(CG278&lt;=TOTAL_MAX,"sí",IF(CG278&lt;=TOTAL_MAX+MARGEN_NEG,"negociar","no"))</f>
        <v/>
      </c>
      <c r="CJ278" s="4">
        <f>IF(CI278&lt;&gt;"no",COUNTIFS($CI$2:$CI$662,"&lt;&gt;no",$CA$2:$CA$662,"&gt;"&amp;CA278)+COUNTIFS($CI$2:CI278,"&lt;&gt;no",$CA$2:CA278,CA278),"")</f>
        <v/>
      </c>
    </row>
    <row r="279">
      <c r="A279" s="2" t="inlineStr">
        <is>
          <t>cochesnet:71091584</t>
        </is>
      </c>
      <c r="B279" s="2" t="inlineStr">
        <is>
          <t>cochesnet</t>
        </is>
      </c>
      <c r="C279" s="2" t="inlineStr">
        <is>
          <t>https://www.coches.net/seat-altea-xl-16-tdi-105cv-eecomotive-style-5p-diesel-2012-en-valencia-71091584-covo.aspx</t>
        </is>
      </c>
      <c r="D279" s="2" t="inlineStr">
        <is>
          <t>SEAT Altea XL 1.6 TDI EEcomotive Style</t>
        </is>
      </c>
      <c r="E279" s="2" t="inlineStr">
        <is>
          <t>Seat</t>
        </is>
      </c>
      <c r="F279" s="2" t="inlineStr">
        <is>
          <t>Seat Altea</t>
        </is>
      </c>
      <c r="G279" s="2" t="inlineStr">
        <is>
          <t>1.6 TDI</t>
        </is>
      </c>
      <c r="H279" s="2" t="inlineStr">
        <is>
          <t>1.6 TDI 105cv EEcomotive Style</t>
        </is>
      </c>
      <c r="I279" s="2" t="n"/>
      <c r="J279" s="2" t="n">
        <v>105</v>
      </c>
      <c r="K279" s="2" t="inlineStr">
        <is>
          <t>diesel</t>
        </is>
      </c>
      <c r="L279" s="2" t="inlineStr">
        <is>
          <t>monovolumen_pequeno</t>
        </is>
      </c>
      <c r="M279" s="2" t="n">
        <v>2011</v>
      </c>
      <c r="N279" s="2" t="n">
        <v>113000</v>
      </c>
      <c r="O279" s="2" t="n">
        <v>4800</v>
      </c>
      <c r="P279" s="2" t="inlineStr">
        <is>
          <t>manual</t>
        </is>
      </c>
      <c r="Q279" s="2" t="inlineStr">
        <is>
          <t>no</t>
        </is>
      </c>
      <c r="R279" s="2" t="inlineStr">
        <is>
          <t>profesional</t>
        </is>
      </c>
      <c r="S279" s="2" t="inlineStr">
        <is>
          <t>Automoción Valencia Albal</t>
        </is>
      </c>
      <c r="T279" s="2" t="inlineStr">
        <is>
          <t>2026-10-12T18:52:06Z</t>
        </is>
      </c>
      <c r="U279" s="2" t="n">
        <v>9</v>
      </c>
      <c r="V279" s="2" t="n"/>
      <c r="W279" s="2" t="n"/>
      <c r="X279" s="2" t="n"/>
      <c r="Y279" s="2" t="n"/>
      <c r="Z279" s="2" t="inlineStr">
        <is>
          <t>no</t>
        </is>
      </c>
      <c r="AA279" s="2" t="n"/>
      <c r="AB279" s="2" t="n"/>
      <c r="AC279" s="2" t="n"/>
      <c r="AD279" s="2" t="n"/>
      <c r="AE279" s="2" t="n"/>
      <c r="AF279" s="2" t="n"/>
      <c r="AG279" s="2" t="n"/>
      <c r="AH279" s="2" t="n">
        <v>4800</v>
      </c>
      <c r="AI279" s="2" t="n">
        <v>4800</v>
      </c>
      <c r="AJ279" s="2" t="n"/>
      <c r="AK279" s="2" t="n"/>
      <c r="AL279" s="2" t="n"/>
      <c r="AM279" s="2" t="n">
        <v>8.699999999999999</v>
      </c>
      <c r="AN279" s="2" t="n">
        <v>4650</v>
      </c>
      <c r="AO279" s="2" t="n">
        <v>12</v>
      </c>
      <c r="AP279" s="2" t="inlineStr">
        <is>
          <t>modelo+año</t>
        </is>
      </c>
      <c r="AQ279" s="2" t="n"/>
      <c r="AR279" s="2" t="inlineStr">
        <is>
          <t>vendedor profesional: sin ITP (operación con IVA/REBU, confirmar en factura); gastos de gestión del vendedor no indicados: se suma la tasa DGT; preguntar el precio final; carrocería monovolumen_pequeno: -6 puntos; fiabilidad del modelo PENDIENTE de fuente (puntuación neutra)</t>
        </is>
      </c>
      <c r="AS279" s="2" t="inlineStr">
        <is>
          <t>Este SEAT Altea XL combina la practicidad de un monovolumen compacto con una propuesta eficiente y versátil. Diseñado para quienes necesitan espacio sin renunciar a la maniobrabilidad, ofrece un interior flexible con capacidad de carga de 532 litros que se expande a 1.604 litros con los asientos traseros abatidos, permitiendo adaptar el vehículo a diferentes necesidades de viaje.
El motor diésel de 1.6 litros proporciona un consumo moderado (4,5 l/100 km en ciclo mixto) con una autonomía cercana a los 1.200 kilómetros, características que lo hacen particularmente interesante para desplazamientos frecuentes. La transmisión manual de cinco velocidades facilita una conducción directa y controlada.
En cuanto a confort y practicidad, este vehículo integra climatizador automático bizona, volante multifunción revestido de cuero ajustable, dirección asistida eléctrica con endurecimiento progresivo, limpiaparabrisas con sensor de lluvia y elevalunas eléctricos. El sistema multimedia incluye radio AM/FM con reproductor de CD y lector MP3, completado con ocho altavoces y control remoto en el volante.
En seguridad, destaca un conjunto completo de airbags (frontales, laterales delanteros y cortina), control de estabilidad, ABS, control electrónico de tracción y sensores de aparcamiento traseros con radar. Los asientos delanteros ofrecen ajuste lumbar manual y altura regulable, mientras que los traseros son reclinables y abatibles.
Este ejemplar presenta acabado en pintura metalizada P</t>
        </is>
      </c>
      <c r="AT279" s="2" t="inlineStr">
        <is>
          <t>https://www.coches.net/seat-altea-xl-16-tdi-105cv-eecomotive-style-5p-diesel-2012-en-valencia-71091584-covo.aspx (window.__INITIAL_PROPS__.ad) /home/user/Alopecia/buscador-coches/raw/cochesnet/91b4ad4a673e22f0.json</t>
        </is>
      </c>
      <c r="AU279" s="3">
        <f>MAX(ANIO_ACTUAL-M279,0)</f>
        <v/>
      </c>
      <c r="AV279" s="4">
        <f>N279/MAX(AU279,0.5)</f>
        <v/>
      </c>
      <c r="AW279" s="4">
        <f>F279</f>
        <v/>
      </c>
      <c r="AX279" s="3">
        <f>AW279&amp;"|"&amp;INT(M279/SEG_ANIO)*SEG_ANIO</f>
        <v/>
      </c>
      <c r="AY279" s="3">
        <f>AX279&amp;"|"&amp;INT(N279/SEG_KM)*SEG_KM</f>
        <v/>
      </c>
      <c r="AZ279" s="4">
        <f>COUNTIF($AW$2:$AW$662,AW279)</f>
        <v/>
      </c>
      <c r="BA279" s="4">
        <f>COUNTIF($AX$2:$AX$662,AX279)</f>
        <v/>
      </c>
      <c r="BB279" s="4">
        <f>COUNTIF($AY$2:$AY$662,AY279)</f>
        <v/>
      </c>
      <c r="BC279" s="3">
        <f t="array" ref="BC279">IF(N(AO279)&gt;=MIN_N,AN279,IF(BB279&gt;=MIN_N,MEDIAN(IF($AY$2:$AY$662=AY279,$O$2:$O$662)),IF(BA279&gt;=MIN_N,MEDIAN(IF($AX$2:$AX$662=AX279,$O$2:$O$662)),MEDIAN(IF($AW$2:$AW$662=AW279,$O$2:$O$662)))))</f>
        <v/>
      </c>
      <c r="BD279" s="3">
        <f>IF(N(AO279)&gt;=MIN_N,"mercado "&amp;AP279,IF(BB279&gt;=MIN_N,"modelo+año+km",IF(BA279&gt;=MIN_N,"modelo+año","modelo")))</f>
        <v/>
      </c>
      <c r="BE279" s="4">
        <f>(BC279-O279)/BC279</f>
        <v/>
      </c>
      <c r="BF279" s="3">
        <f>IF(OR(K279="hibrido",K279="glp"),"ECO",IF(K279="electrico","CERO",IF(K279="gasolina",IF(M279&gt;=GAS_C,"C",IF(M279&gt;=GAS_B,"B","A")),IF(K279="diesel",IF(M279&gt;=DIE_C,"C",IF(M279&gt;=DIE_B,"B","A")),""))))</f>
        <v/>
      </c>
      <c r="BG279" s="3">
        <f>IFERROR(VLOOKUP(F279,MOD_TBL,11,0),IFERROR(VLOOKUP(E279,OCU_TBL,2,0),NEUTRO))</f>
        <v/>
      </c>
      <c r="BH279" s="3">
        <f>SUMIFS(MOT_AJUSTE,MOT_MOTOR,G279,MOT_MARCA,E279,MOT_DESDE,"&lt;="&amp;M279,MOT_HASTA,"&gt;="&amp;M279)+SUMIFS(MOT_AJUSTE,MOT_MOTOR,G279,MOT_MARCA,"(todas)",MOT_DESDE,"&lt;="&amp;M279,MOT_HASTA,"&gt;="&amp;M279)</f>
        <v/>
      </c>
      <c r="BI279" s="3">
        <f>SUMIFS(COMB_AJUSTE,COMB_COMB,K279)</f>
        <v/>
      </c>
      <c r="BJ279" s="3">
        <f>COUNTIFS(MOT_MOTOR,G279,MOT_MARCA,E279,MOT_DESDE,"&lt;="&amp;M279,MOT_HASTA,"&gt;="&amp;M279)+COUNTIFS(MOT_MOTOR,G279,MOT_MARCA,"(todas)",MOT_DESDE,"&lt;="&amp;M279,MOT_HASTA,"&gt;="&amp;M279)</f>
        <v/>
      </c>
      <c r="BK279" s="3">
        <f>IF(AND(K279="diesel",BJ279=0),MIN(BG279,NEUTRO),BG279)</f>
        <v/>
      </c>
      <c r="BL279" s="4">
        <f>MAX(0,MIN(100,BK279+BH279+BI279))</f>
        <v/>
      </c>
      <c r="BM279" s="3">
        <f>MAX(0,MIN(100,50+BE279*PRECIO_PEND))</f>
        <v/>
      </c>
      <c r="BN279" s="3">
        <f>MAX(0,100*(1-N279/KM_MAX))</f>
        <v/>
      </c>
      <c r="BO279" s="3">
        <f>IF(AV279&lt;KMA_SOSP,IF(AA279="sí",100,KMA_PEN),IF(AV279&lt;=KMA_IDEAL_MAX,100,MAX(0,100*(KMA_CERO-AV279)/(KMA_CERO-KMA_IDEAL_MAX))))</f>
        <v/>
      </c>
      <c r="BP279" s="3">
        <f>MAX(0,MIN(100,100*(M279-ANIO_MIN)/(ANIO_ACTUAL-ANIO_MIN)))</f>
        <v/>
      </c>
      <c r="BQ279" s="3">
        <f>W_KMT*BN279+W_KMA*BO279+W_EDAD*BP279</f>
        <v/>
      </c>
      <c r="BR279" s="3">
        <f>P_ITV*(V279="sí")+P_LIBRO*(W279="sí")+P_CORREA*(X279="sí")+P_PROP*(Y279=1)+P_GAR*(Z279="sí")+P_FOTOS*MIN(1,N(U279)/FOTOS_OBJ)</f>
        <v/>
      </c>
      <c r="BS279" s="3">
        <f>IFERROR(VLOOKUP(BF279,ETQ_TBL,2,0),NEUTRO)</f>
        <v/>
      </c>
      <c r="BT279" s="3">
        <f>NEUTRO</f>
        <v/>
      </c>
      <c r="BU279" s="3">
        <f>IFERROR(VLOOKUP(L279,SEGURO_TBL,3,0),"")</f>
        <v/>
      </c>
      <c r="BV279" s="3">
        <f>IF(BU279="",NEUTRO,MAX(0,MIN(100,100*(SEG_REF_MAX-BU279)/(SEG_REF_MAX-SEG_REF_MIN))))</f>
        <v/>
      </c>
      <c r="BW279" s="3">
        <f>W_ET*BS279+W_CONS*BT279+W_SEG*BV279</f>
        <v/>
      </c>
      <c r="BX279" s="3">
        <f>IF(N(AB279)&gt;0,AB279,IF(AND(R279="profesional",SG_LEGAL_ON=1),GAR_LEGAL,0))</f>
        <v/>
      </c>
      <c r="BY279" s="3">
        <f>SG_GAR*MIN(1,BX279/SG_GAR_FULL)+SG_AMPL*(AC279="sí")+SG_KMC*(AF279="sí")+SG_REV*(N(AE279)&gt;0)+SG_DEV*MIN(1,N(AG279)/SG_DEV_FULL)+SG_HIST*(W279="sí")</f>
        <v/>
      </c>
      <c r="BZ279" s="3">
        <f>IFERROR(VLOOKUP(L279,CARR_PEN_TBL,2,0),0)</f>
        <v/>
      </c>
      <c r="CA279" s="3">
        <f>W_FIAB*BL279+W_PRECIO*BM279+W_KMEDAD*BQ279+W_ANUNCIO*BR279+W_USO*BW279+W_SEGURIDAD*BY279-BZ279</f>
        <v/>
      </c>
      <c r="CB279" s="4">
        <f>IF(N(I279)&gt;0,I279,IFERROR(ROUND(_xlfn.NUMBERVALUE(LEFT(G279,FIND(" ",G279&amp;" ")-1),".")*1000,0),99999))</f>
        <v/>
      </c>
      <c r="CC279" s="3">
        <f>IF(R279="profesional",0,IF(O279&lt;CUOTA_VALOR_MAX,IF(AU279&gt;ITP_TRAMO_ALTO,SUMIFS(CF_CUOTA,CF_MAS,ITP_TRAMO_ALTO,CF_CCMIN,"&lt;="&amp;CB279,CF_CCMAX,"&gt;="&amp;CB279),IF(AU279&gt;ITP_TRAMO_BAJO,SUMIFS(CF_CUOTA,CF_MAS,ITP_TRAMO_BAJO,CF_CCMIN,"&lt;="&amp;CB279,CF_CCMAX,"&gt;="&amp;CB279),O279*ITP_TIPO)),O279*ITP_TIPO))</f>
        <v/>
      </c>
      <c r="CD279" s="4">
        <f>IF(R279="profesional",N(AK279),0)</f>
        <v/>
      </c>
      <c r="CE279" s="3">
        <f>IF(AND(R279="profesional",ISNUMBER(AK279),AL279="sí"),0,TASA_DGT)</f>
        <v/>
      </c>
      <c r="CF279" s="3">
        <f>INFORME_DGT</f>
        <v/>
      </c>
      <c r="CG279" s="4">
        <f>O279+CD279+CC279+CE279+CF279</f>
        <v/>
      </c>
      <c r="CH279" s="4">
        <f>CG279+N(BU279)</f>
        <v/>
      </c>
      <c r="CI279" s="3">
        <f>IF(CG279&lt;=TOTAL_MAX,"sí",IF(CG279&lt;=TOTAL_MAX+MARGEN_NEG,"negociar","no"))</f>
        <v/>
      </c>
      <c r="CJ279" s="4">
        <f>IF(CI279&lt;&gt;"no",COUNTIFS($CI$2:$CI$662,"&lt;&gt;no",$CA$2:$CA$662,"&gt;"&amp;CA279)+COUNTIFS($CI$2:CI279,"&lt;&gt;no",$CA$2:CA279,CA279),"")</f>
        <v/>
      </c>
    </row>
    <row r="280">
      <c r="A280" s="2" t="inlineStr">
        <is>
          <t>cochesnet:71785299</t>
        </is>
      </c>
      <c r="B280" s="2" t="inlineStr">
        <is>
          <t>cochesnet</t>
        </is>
      </c>
      <c r="C280" s="2" t="inlineStr">
        <is>
          <t>https://www.coches.net/seat-ibiza-sc-16-tdi-105cv-sport-dpf-3p-diesel-2011-en-valencia-71785299-covo.aspx</t>
        </is>
      </c>
      <c r="D280" s="2" t="inlineStr">
        <is>
          <t>SEAT Ibiza SC 1.6 TDI Sport DPF</t>
        </is>
      </c>
      <c r="E280" s="2" t="inlineStr">
        <is>
          <t>Seat</t>
        </is>
      </c>
      <c r="F280" s="2" t="inlineStr">
        <is>
          <t>Seat Ibiza</t>
        </is>
      </c>
      <c r="G280" s="2" t="inlineStr">
        <is>
          <t>1.6 TDI</t>
        </is>
      </c>
      <c r="H280" s="2" t="inlineStr">
        <is>
          <t>SC 1.6 TDI 105cv Sport DPF</t>
        </is>
      </c>
      <c r="I280" s="2" t="n"/>
      <c r="J280" s="2" t="n">
        <v>105</v>
      </c>
      <c r="K280" s="2" t="inlineStr">
        <is>
          <t>diesel</t>
        </is>
      </c>
      <c r="L280" s="2" t="inlineStr">
        <is>
          <t>utilitario</t>
        </is>
      </c>
      <c r="M280" s="2" t="n">
        <v>2011</v>
      </c>
      <c r="N280" s="2" t="n">
        <v>200000</v>
      </c>
      <c r="O280" s="2" t="n">
        <v>4990</v>
      </c>
      <c r="P280" s="2" t="inlineStr">
        <is>
          <t>manual</t>
        </is>
      </c>
      <c r="Q280" s="2" t="inlineStr">
        <is>
          <t>no</t>
        </is>
      </c>
      <c r="R280" s="2" t="inlineStr">
        <is>
          <t>profesional</t>
        </is>
      </c>
      <c r="S280" s="2" t="inlineStr">
        <is>
          <t>Garageng Foios Foios</t>
        </is>
      </c>
      <c r="T280" s="2" t="inlineStr">
        <is>
          <t>2026-10-19T20:06:30Z</t>
        </is>
      </c>
      <c r="U280" s="2" t="n">
        <v>31</v>
      </c>
      <c r="V280" s="2" t="inlineStr">
        <is>
          <t>sí</t>
        </is>
      </c>
      <c r="W280" s="2" t="n"/>
      <c r="X280" s="2" t="n"/>
      <c r="Y280" s="2" t="n"/>
      <c r="Z280" s="2" t="inlineStr">
        <is>
          <t>no</t>
        </is>
      </c>
      <c r="AA280" s="2" t="n"/>
      <c r="AB280" s="2" t="n"/>
      <c r="AC280" s="2" t="n"/>
      <c r="AD280" s="2" t="n"/>
      <c r="AE280" s="2" t="n"/>
      <c r="AF280" s="2" t="n"/>
      <c r="AG280" s="2" t="n"/>
      <c r="AH280" s="2" t="n">
        <v>4990</v>
      </c>
      <c r="AI280" s="2" t="n"/>
      <c r="AJ280" s="2" t="n"/>
      <c r="AK280" s="2" t="n"/>
      <c r="AL280" s="2" t="n"/>
      <c r="AM280" s="2" t="n">
        <v>7.7</v>
      </c>
      <c r="AN280" s="2" t="n">
        <v>5700</v>
      </c>
      <c r="AO280" s="2" t="n">
        <v>5</v>
      </c>
      <c r="AP280" s="2" t="inlineStr">
        <is>
          <t>modelo+año+km</t>
        </is>
      </c>
      <c r="AQ280" s="2" t="n"/>
      <c r="AR280" s="2" t="inlineStr">
        <is>
          <t>por encima del presupuesto (5054 €), negociar; vendedor profesional: sin ITP (operación con IVA/REBU, confirmar en factura); gastos de gestión del vendedor no indicados: se suma la tasa DGT; preguntar el precio final</t>
        </is>
      </c>
      <c r="AS280" s="2" t="inlineStr">
        <is>
          <t>SEAT MODELO IBIZA MOTOR 1.6 TDI CON 105 CV DE POTENCIA Y CONSUMO REDUCIDO.
VEHICULO NACIONAL CON KILOMETRAJE REAL Y CERTIFICADO.
DISPONE DE DISTINTIVO AMBIENTAL.
SE ENTREGA CON MANTENIMIENTO RECIEN HECHO E ITV HASTA 09/27.
CONSERVA LIBROS ORIGINALES.
DESTACADOS:
- CIERRE CENTRALIZADO CON MANDO Y DOS LLAVES
- VELOCIDAD DE CRUCERO CON LIMITADOR 
- CLIMATIZADOR A/C
- RADIO ORIGINAL SEAT CON AUX
- ELEVALUNAS ELECTRICOS
- RETROVISORES ELECTRICOS/PLEGABLES
- TAPICERIA DE TELA MIXTA MUY CONSERVADA
- LLANTAS DE ALUMINIO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T280" s="2" t="inlineStr">
        <is>
          <t>https://www.coches.net/seat-ibiza-sc-16-tdi-105cv-sport-dpf-3p-diesel-2011-en-valencia-71785299-covo.aspx (window.__INITIAL_PROPS__.ad) /home/user/Alopecia/buscador-coches/raw/cochesnet/8bb2608314786116.json</t>
        </is>
      </c>
      <c r="AU280" s="3">
        <f>MAX(ANIO_ACTUAL-M280,0)</f>
        <v/>
      </c>
      <c r="AV280" s="4">
        <f>N280/MAX(AU280,0.5)</f>
        <v/>
      </c>
      <c r="AW280" s="4">
        <f>F280</f>
        <v/>
      </c>
      <c r="AX280" s="3">
        <f>AW280&amp;"|"&amp;INT(M280/SEG_ANIO)*SEG_ANIO</f>
        <v/>
      </c>
      <c r="AY280" s="3">
        <f>AX280&amp;"|"&amp;INT(N280/SEG_KM)*SEG_KM</f>
        <v/>
      </c>
      <c r="AZ280" s="4">
        <f>COUNTIF($AW$2:$AW$662,AW280)</f>
        <v/>
      </c>
      <c r="BA280" s="4">
        <f>COUNTIF($AX$2:$AX$662,AX280)</f>
        <v/>
      </c>
      <c r="BB280" s="4">
        <f>COUNTIF($AY$2:$AY$662,AY280)</f>
        <v/>
      </c>
      <c r="BC280" s="3">
        <f t="array" ref="BC280">IF(N(AO280)&gt;=MIN_N,AN280,IF(BB280&gt;=MIN_N,MEDIAN(IF($AY$2:$AY$662=AY280,$O$2:$O$662)),IF(BA280&gt;=MIN_N,MEDIAN(IF($AX$2:$AX$662=AX280,$O$2:$O$662)),MEDIAN(IF($AW$2:$AW$662=AW280,$O$2:$O$662)))))</f>
        <v/>
      </c>
      <c r="BD280" s="3">
        <f>IF(N(AO280)&gt;=MIN_N,"mercado "&amp;AP280,IF(BB280&gt;=MIN_N,"modelo+año+km",IF(BA280&gt;=MIN_N,"modelo+año","modelo")))</f>
        <v/>
      </c>
      <c r="BE280" s="4">
        <f>(BC280-O280)/BC280</f>
        <v/>
      </c>
      <c r="BF280" s="3">
        <f>IF(OR(K280="hibrido",K280="glp"),"ECO",IF(K280="electrico","CERO",IF(K280="gasolina",IF(M280&gt;=GAS_C,"C",IF(M280&gt;=GAS_B,"B","A")),IF(K280="diesel",IF(M280&gt;=DIE_C,"C",IF(M280&gt;=DIE_B,"B","A")),""))))</f>
        <v/>
      </c>
      <c r="BG280" s="3">
        <f>IFERROR(VLOOKUP(F280,MOD_TBL,11,0),IFERROR(VLOOKUP(E280,OCU_TBL,2,0),NEUTRO))</f>
        <v/>
      </c>
      <c r="BH280" s="3">
        <f>SUMIFS(MOT_AJUSTE,MOT_MOTOR,G280,MOT_MARCA,E280,MOT_DESDE,"&lt;="&amp;M280,MOT_HASTA,"&gt;="&amp;M280)+SUMIFS(MOT_AJUSTE,MOT_MOTOR,G280,MOT_MARCA,"(todas)",MOT_DESDE,"&lt;="&amp;M280,MOT_HASTA,"&gt;="&amp;M280)</f>
        <v/>
      </c>
      <c r="BI280" s="3">
        <f>SUMIFS(COMB_AJUSTE,COMB_COMB,K280)</f>
        <v/>
      </c>
      <c r="BJ280" s="3">
        <f>COUNTIFS(MOT_MOTOR,G280,MOT_MARCA,E280,MOT_DESDE,"&lt;="&amp;M280,MOT_HASTA,"&gt;="&amp;M280)+COUNTIFS(MOT_MOTOR,G280,MOT_MARCA,"(todas)",MOT_DESDE,"&lt;="&amp;M280,MOT_HASTA,"&gt;="&amp;M280)</f>
        <v/>
      </c>
      <c r="BK280" s="3">
        <f>IF(AND(K280="diesel",BJ280=0),MIN(BG280,NEUTRO),BG280)</f>
        <v/>
      </c>
      <c r="BL280" s="4">
        <f>MAX(0,MIN(100,BK280+BH280+BI280))</f>
        <v/>
      </c>
      <c r="BM280" s="3">
        <f>MAX(0,MIN(100,50+BE280*PRECIO_PEND))</f>
        <v/>
      </c>
      <c r="BN280" s="3">
        <f>MAX(0,100*(1-N280/KM_MAX))</f>
        <v/>
      </c>
      <c r="BO280" s="3">
        <f>IF(AV280&lt;KMA_SOSP,IF(AA280="sí",100,KMA_PEN),IF(AV280&lt;=KMA_IDEAL_MAX,100,MAX(0,100*(KMA_CERO-AV280)/(KMA_CERO-KMA_IDEAL_MAX))))</f>
        <v/>
      </c>
      <c r="BP280" s="3">
        <f>MAX(0,MIN(100,100*(M280-ANIO_MIN)/(ANIO_ACTUAL-ANIO_MIN)))</f>
        <v/>
      </c>
      <c r="BQ280" s="3">
        <f>W_KMT*BN280+W_KMA*BO280+W_EDAD*BP280</f>
        <v/>
      </c>
      <c r="BR280" s="3">
        <f>P_ITV*(V280="sí")+P_LIBRO*(W280="sí")+P_CORREA*(X280="sí")+P_PROP*(Y280=1)+P_GAR*(Z280="sí")+P_FOTOS*MIN(1,N(U280)/FOTOS_OBJ)</f>
        <v/>
      </c>
      <c r="BS280" s="3">
        <f>IFERROR(VLOOKUP(BF280,ETQ_TBL,2,0),NEUTRO)</f>
        <v/>
      </c>
      <c r="BT280" s="3">
        <f>NEUTRO</f>
        <v/>
      </c>
      <c r="BU280" s="3">
        <f>IFERROR(VLOOKUP(L280,SEGURO_TBL,3,0),"")</f>
        <v/>
      </c>
      <c r="BV280" s="3">
        <f>IF(BU280="",NEUTRO,MAX(0,MIN(100,100*(SEG_REF_MAX-BU280)/(SEG_REF_MAX-SEG_REF_MIN))))</f>
        <v/>
      </c>
      <c r="BW280" s="3">
        <f>W_ET*BS280+W_CONS*BT280+W_SEG*BV280</f>
        <v/>
      </c>
      <c r="BX280" s="3">
        <f>IF(N(AB280)&gt;0,AB280,IF(AND(R280="profesional",SG_LEGAL_ON=1),GAR_LEGAL,0))</f>
        <v/>
      </c>
      <c r="BY280" s="3">
        <f>SG_GAR*MIN(1,BX280/SG_GAR_FULL)+SG_AMPL*(AC280="sí")+SG_KMC*(AF280="sí")+SG_REV*(N(AE280)&gt;0)+SG_DEV*MIN(1,N(AG280)/SG_DEV_FULL)+SG_HIST*(W280="sí")</f>
        <v/>
      </c>
      <c r="BZ280" s="3">
        <f>IFERROR(VLOOKUP(L280,CARR_PEN_TBL,2,0),0)</f>
        <v/>
      </c>
      <c r="CA280" s="3">
        <f>W_FIAB*BL280+W_PRECIO*BM280+W_KMEDAD*BQ280+W_ANUNCIO*BR280+W_USO*BW280+W_SEGURIDAD*BY280-BZ280</f>
        <v/>
      </c>
      <c r="CB280" s="4">
        <f>IF(N(I280)&gt;0,I280,IFERROR(ROUND(_xlfn.NUMBERVALUE(LEFT(G280,FIND(" ",G280&amp;" ")-1),".")*1000,0),99999))</f>
        <v/>
      </c>
      <c r="CC280" s="3">
        <f>IF(R280="profesional",0,IF(O280&lt;CUOTA_VALOR_MAX,IF(AU280&gt;ITP_TRAMO_ALTO,SUMIFS(CF_CUOTA,CF_MAS,ITP_TRAMO_ALTO,CF_CCMIN,"&lt;="&amp;CB280,CF_CCMAX,"&gt;="&amp;CB280),IF(AU280&gt;ITP_TRAMO_BAJO,SUMIFS(CF_CUOTA,CF_MAS,ITP_TRAMO_BAJO,CF_CCMIN,"&lt;="&amp;CB280,CF_CCMAX,"&gt;="&amp;CB280),O280*ITP_TIPO)),O280*ITP_TIPO))</f>
        <v/>
      </c>
      <c r="CD280" s="4">
        <f>IF(R280="profesional",N(AK280),0)</f>
        <v/>
      </c>
      <c r="CE280" s="3">
        <f>IF(AND(R280="profesional",ISNUMBER(AK280),AL280="sí"),0,TASA_DGT)</f>
        <v/>
      </c>
      <c r="CF280" s="3">
        <f>INFORME_DGT</f>
        <v/>
      </c>
      <c r="CG280" s="4">
        <f>O280+CD280+CC280+CE280+CF280</f>
        <v/>
      </c>
      <c r="CH280" s="4">
        <f>CG280+N(BU280)</f>
        <v/>
      </c>
      <c r="CI280" s="3">
        <f>IF(CG280&lt;=TOTAL_MAX,"sí",IF(CG280&lt;=TOTAL_MAX+MARGEN_NEG,"negociar","no"))</f>
        <v/>
      </c>
      <c r="CJ280" s="4">
        <f>IF(CI280&lt;&gt;"no",COUNTIFS($CI$2:$CI$662,"&lt;&gt;no",$CA$2:$CA$662,"&gt;"&amp;CA280)+COUNTIFS($CI$2:CI280,"&lt;&gt;no",$CA$2:CA280,CA280),"")</f>
        <v/>
      </c>
    </row>
    <row r="281">
      <c r="A281" s="2" t="inlineStr">
        <is>
          <t>cochesnet:71775991</t>
        </is>
      </c>
      <c r="B281" s="2" t="inlineStr">
        <is>
          <t>cochesnet</t>
        </is>
      </c>
      <c r="C281" s="2" t="inlineStr">
        <is>
          <t>https://www.coches.net/seat-ibiza-14-16v-85cv-sport-5p-gasolina-2009-en-valencia-71775991-covo.aspx</t>
        </is>
      </c>
      <c r="D281" s="2" t="inlineStr">
        <is>
          <t>SEAT Ibiza 1.4 16v Sport</t>
        </is>
      </c>
      <c r="E281" s="2" t="inlineStr">
        <is>
          <t>Seat</t>
        </is>
      </c>
      <c r="F281" s="2" t="inlineStr">
        <is>
          <t>Seat Ibiza</t>
        </is>
      </c>
      <c r="G281" s="2" t="inlineStr">
        <is>
          <t>1.4</t>
        </is>
      </c>
      <c r="H281" s="2" t="inlineStr">
        <is>
          <t>1.4 16v 85cv Sport</t>
        </is>
      </c>
      <c r="I281" s="2" t="n"/>
      <c r="J281" s="2" t="n">
        <v>85</v>
      </c>
      <c r="K281" s="2" t="inlineStr">
        <is>
          <t>gasolina</t>
        </is>
      </c>
      <c r="L281" s="2" t="inlineStr">
        <is>
          <t>utilitario</t>
        </is>
      </c>
      <c r="M281" s="2" t="n">
        <v>2009</v>
      </c>
      <c r="N281" s="2" t="n">
        <v>185000</v>
      </c>
      <c r="O281" s="2" t="n">
        <v>4700</v>
      </c>
      <c r="P281" s="2" t="inlineStr">
        <is>
          <t>manual</t>
        </is>
      </c>
      <c r="Q281" s="2" t="inlineStr">
        <is>
          <t>no</t>
        </is>
      </c>
      <c r="R281" s="2" t="inlineStr">
        <is>
          <t>particular</t>
        </is>
      </c>
      <c r="S281" s="2" t="n"/>
      <c r="T281" s="2" t="inlineStr">
        <is>
          <t>2026-10-18T17:05:48Z</t>
        </is>
      </c>
      <c r="U281" s="2" t="n">
        <v>1</v>
      </c>
      <c r="V281" s="2" t="inlineStr">
        <is>
          <t>sí</t>
        </is>
      </c>
      <c r="W281" s="2" t="n"/>
      <c r="X281" s="2" t="inlineStr">
        <is>
          <t>sí</t>
        </is>
      </c>
      <c r="Y281" s="2" t="n"/>
      <c r="Z281" s="2" t="inlineStr">
        <is>
          <t>no</t>
        </is>
      </c>
      <c r="AA281" s="2" t="n"/>
      <c r="AB281" s="2" t="n"/>
      <c r="AC281" s="2" t="n"/>
      <c r="AD281" s="2" t="n"/>
      <c r="AE281" s="2" t="n"/>
      <c r="AF281" s="2" t="n"/>
      <c r="AG281" s="2" t="n"/>
      <c r="AH281" s="2" t="n">
        <v>4700</v>
      </c>
      <c r="AI281" s="2" t="n"/>
      <c r="AJ281" s="2" t="n"/>
      <c r="AK281" s="2" t="n"/>
      <c r="AL281" s="2" t="n"/>
      <c r="AM281" s="2" t="n"/>
      <c r="AN281" s="2" t="n">
        <v>4750</v>
      </c>
      <c r="AO281" s="2" t="n">
        <v>4</v>
      </c>
      <c r="AP281" s="2" t="inlineStr">
        <is>
          <t>modelo+año+km</t>
        </is>
      </c>
      <c r="AQ281" s="2" t="n"/>
      <c r="AR281" s="2" t="inlineStr">
        <is>
          <t>cuota fija ITP: &gt;12 años, hasta 1.500 cc; distancia no verificable (el anuncio solo indica la provincia): confirmar que está a &lt;= 70 km</t>
        </is>
      </c>
      <c r="AS281" s="2" t="inlineStr">
        <is>
          <t>?? SE VENDE SEAT IBIZA 1.4 SPORT – GASOLINA
?? Año: 2009
? Motor: Gasolina 1.4
?? Versión: Sport
?? Kilómetros: 180.000 km
? ITV pasada en mayo de 2026
? Sin accidentes
? Sin reparaciones graves
? Buen estado general
? Sistema multimedia Android instalado
?? Pantalla tipo tablet con Bluetooth y navegador GPS
Coche ideal para uso diario, económico de mantener y con motor fiable.
Se vende por cambio de vehículo.
Caja de cambios y correa cambiados a los 140.000 kms por desgaste.</t>
        </is>
      </c>
      <c r="AT281" s="2" t="inlineStr">
        <is>
          <t>https://www.coches.net/seat-ibiza-14-16v-85cv-sport-5p-gasolina-2009-en-valencia-71775991-covo.aspx (window.__INITIAL_PROPS__.ad) /home/user/Alopecia/buscador-coches/raw/cochesnet/635e8fadafb8760e.json</t>
        </is>
      </c>
      <c r="AU281" s="3">
        <f>MAX(ANIO_ACTUAL-M281,0)</f>
        <v/>
      </c>
      <c r="AV281" s="4">
        <f>N281/MAX(AU281,0.5)</f>
        <v/>
      </c>
      <c r="AW281" s="4">
        <f>F281</f>
        <v/>
      </c>
      <c r="AX281" s="3">
        <f>AW281&amp;"|"&amp;INT(M281/SEG_ANIO)*SEG_ANIO</f>
        <v/>
      </c>
      <c r="AY281" s="3">
        <f>AX281&amp;"|"&amp;INT(N281/SEG_KM)*SEG_KM</f>
        <v/>
      </c>
      <c r="AZ281" s="4">
        <f>COUNTIF($AW$2:$AW$662,AW281)</f>
        <v/>
      </c>
      <c r="BA281" s="4">
        <f>COUNTIF($AX$2:$AX$662,AX281)</f>
        <v/>
      </c>
      <c r="BB281" s="4">
        <f>COUNTIF($AY$2:$AY$662,AY281)</f>
        <v/>
      </c>
      <c r="BC281" s="3">
        <f t="array" ref="BC281">IF(N(AO281)&gt;=MIN_N,AN281,IF(BB281&gt;=MIN_N,MEDIAN(IF($AY$2:$AY$662=AY281,$O$2:$O$662)),IF(BA281&gt;=MIN_N,MEDIAN(IF($AX$2:$AX$662=AX281,$O$2:$O$662)),MEDIAN(IF($AW$2:$AW$662=AW281,$O$2:$O$662)))))</f>
        <v/>
      </c>
      <c r="BD281" s="3">
        <f>IF(N(AO281)&gt;=MIN_N,"mercado "&amp;AP281,IF(BB281&gt;=MIN_N,"modelo+año+km",IF(BA281&gt;=MIN_N,"modelo+año","modelo")))</f>
        <v/>
      </c>
      <c r="BE281" s="4">
        <f>(BC281-O281)/BC281</f>
        <v/>
      </c>
      <c r="BF281" s="3">
        <f>IF(OR(K281="hibrido",K281="glp"),"ECO",IF(K281="electrico","CERO",IF(K281="gasolina",IF(M281&gt;=GAS_C,"C",IF(M281&gt;=GAS_B,"B","A")),IF(K281="diesel",IF(M281&gt;=DIE_C,"C",IF(M281&gt;=DIE_B,"B","A")),""))))</f>
        <v/>
      </c>
      <c r="BG281" s="3">
        <f>IFERROR(VLOOKUP(F281,MOD_TBL,11,0),IFERROR(VLOOKUP(E281,OCU_TBL,2,0),NEUTRO))</f>
        <v/>
      </c>
      <c r="BH281" s="3">
        <f>SUMIFS(MOT_AJUSTE,MOT_MOTOR,G281,MOT_MARCA,E281,MOT_DESDE,"&lt;="&amp;M281,MOT_HASTA,"&gt;="&amp;M281)+SUMIFS(MOT_AJUSTE,MOT_MOTOR,G281,MOT_MARCA,"(todas)",MOT_DESDE,"&lt;="&amp;M281,MOT_HASTA,"&gt;="&amp;M281)</f>
        <v/>
      </c>
      <c r="BI281" s="3">
        <f>SUMIFS(COMB_AJUSTE,COMB_COMB,K281)</f>
        <v/>
      </c>
      <c r="BJ281" s="3">
        <f>COUNTIFS(MOT_MOTOR,G281,MOT_MARCA,E281,MOT_DESDE,"&lt;="&amp;M281,MOT_HASTA,"&gt;="&amp;M281)+COUNTIFS(MOT_MOTOR,G281,MOT_MARCA,"(todas)",MOT_DESDE,"&lt;="&amp;M281,MOT_HASTA,"&gt;="&amp;M281)</f>
        <v/>
      </c>
      <c r="BK281" s="3">
        <f>IF(AND(K281="diesel",BJ281=0),MIN(BG281,NEUTRO),BG281)</f>
        <v/>
      </c>
      <c r="BL281" s="4">
        <f>MAX(0,MIN(100,BK281+BH281+BI281))</f>
        <v/>
      </c>
      <c r="BM281" s="3">
        <f>MAX(0,MIN(100,50+BE281*PRECIO_PEND))</f>
        <v/>
      </c>
      <c r="BN281" s="3">
        <f>MAX(0,100*(1-N281/KM_MAX))</f>
        <v/>
      </c>
      <c r="BO281" s="3">
        <f>IF(AV281&lt;KMA_SOSP,IF(AA281="sí",100,KMA_PEN),IF(AV281&lt;=KMA_IDEAL_MAX,100,MAX(0,100*(KMA_CERO-AV281)/(KMA_CERO-KMA_IDEAL_MAX))))</f>
        <v/>
      </c>
      <c r="BP281" s="3">
        <f>MAX(0,MIN(100,100*(M281-ANIO_MIN)/(ANIO_ACTUAL-ANIO_MIN)))</f>
        <v/>
      </c>
      <c r="BQ281" s="3">
        <f>W_KMT*BN281+W_KMA*BO281+W_EDAD*BP281</f>
        <v/>
      </c>
      <c r="BR281" s="3">
        <f>P_ITV*(V281="sí")+P_LIBRO*(W281="sí")+P_CORREA*(X281="sí")+P_PROP*(Y281=1)+P_GAR*(Z281="sí")+P_FOTOS*MIN(1,N(U281)/FOTOS_OBJ)</f>
        <v/>
      </c>
      <c r="BS281" s="3">
        <f>IFERROR(VLOOKUP(BF281,ETQ_TBL,2,0),NEUTRO)</f>
        <v/>
      </c>
      <c r="BT281" s="3">
        <f>NEUTRO</f>
        <v/>
      </c>
      <c r="BU281" s="3">
        <f>IFERROR(VLOOKUP(L281,SEGURO_TBL,3,0),"")</f>
        <v/>
      </c>
      <c r="BV281" s="3">
        <f>IF(BU281="",NEUTRO,MAX(0,MIN(100,100*(SEG_REF_MAX-BU281)/(SEG_REF_MAX-SEG_REF_MIN))))</f>
        <v/>
      </c>
      <c r="BW281" s="3">
        <f>W_ET*BS281+W_CONS*BT281+W_SEG*BV281</f>
        <v/>
      </c>
      <c r="BX281" s="3">
        <f>IF(N(AB281)&gt;0,AB281,IF(AND(R281="profesional",SG_LEGAL_ON=1),GAR_LEGAL,0))</f>
        <v/>
      </c>
      <c r="BY281" s="3">
        <f>SG_GAR*MIN(1,BX281/SG_GAR_FULL)+SG_AMPL*(AC281="sí")+SG_KMC*(AF281="sí")+SG_REV*(N(AE281)&gt;0)+SG_DEV*MIN(1,N(AG281)/SG_DEV_FULL)+SG_HIST*(W281="sí")</f>
        <v/>
      </c>
      <c r="BZ281" s="3">
        <f>IFERROR(VLOOKUP(L281,CARR_PEN_TBL,2,0),0)</f>
        <v/>
      </c>
      <c r="CA281" s="3">
        <f>W_FIAB*BL281+W_PRECIO*BM281+W_KMEDAD*BQ281+W_ANUNCIO*BR281+W_USO*BW281+W_SEGURIDAD*BY281-BZ281</f>
        <v/>
      </c>
      <c r="CB281" s="4">
        <f>IF(N(I281)&gt;0,I281,IFERROR(ROUND(_xlfn.NUMBERVALUE(LEFT(G281,FIND(" ",G281&amp;" ")-1),".")*1000,0),99999))</f>
        <v/>
      </c>
      <c r="CC281" s="3">
        <f>IF(R281="profesional",0,IF(O281&lt;CUOTA_VALOR_MAX,IF(AU281&gt;ITP_TRAMO_ALTO,SUMIFS(CF_CUOTA,CF_MAS,ITP_TRAMO_ALTO,CF_CCMIN,"&lt;="&amp;CB281,CF_CCMAX,"&gt;="&amp;CB281),IF(AU281&gt;ITP_TRAMO_BAJO,SUMIFS(CF_CUOTA,CF_MAS,ITP_TRAMO_BAJO,CF_CCMIN,"&lt;="&amp;CB281,CF_CCMAX,"&gt;="&amp;CB281),O281*ITP_TIPO)),O281*ITP_TIPO))</f>
        <v/>
      </c>
      <c r="CD281" s="4">
        <f>IF(R281="profesional",N(AK281),0)</f>
        <v/>
      </c>
      <c r="CE281" s="3">
        <f>IF(AND(R281="profesional",ISNUMBER(AK281),AL281="sí"),0,TASA_DGT)</f>
        <v/>
      </c>
      <c r="CF281" s="3">
        <f>INFORME_DGT</f>
        <v/>
      </c>
      <c r="CG281" s="4">
        <f>O281+CD281+CC281+CE281+CF281</f>
        <v/>
      </c>
      <c r="CH281" s="4">
        <f>CG281+N(BU281)</f>
        <v/>
      </c>
      <c r="CI281" s="3">
        <f>IF(CG281&lt;=TOTAL_MAX,"sí",IF(CG281&lt;=TOTAL_MAX+MARGEN_NEG,"negociar","no"))</f>
        <v/>
      </c>
      <c r="CJ281" s="4">
        <f>IF(CI281&lt;&gt;"no",COUNTIFS($CI$2:$CI$662,"&lt;&gt;no",$CA$2:$CA$662,"&gt;"&amp;CA281)+COUNTIFS($CI$2:CI281,"&lt;&gt;no",$CA$2:CA281,CA281),"")</f>
        <v/>
      </c>
    </row>
    <row r="282">
      <c r="A282" s="2" t="inlineStr">
        <is>
          <t>cochesnet:71655875</t>
        </is>
      </c>
      <c r="B282" s="2" t="inlineStr">
        <is>
          <t>cochesnet</t>
        </is>
      </c>
      <c r="C282" s="2" t="inlineStr">
        <is>
          <t>https://www.coches.net/seat-ibiza-st-12-tdi-75cv-reference-eecomotive-5p-diesel-2011-en-valencia-71655875-covo.aspx</t>
        </is>
      </c>
      <c r="D282" s="2" t="inlineStr">
        <is>
          <t>SEAT Ibiza ST 1.2 TDI Reference EEcomotive</t>
        </is>
      </c>
      <c r="E282" s="2" t="inlineStr">
        <is>
          <t>Seat</t>
        </is>
      </c>
      <c r="F282" s="2" t="inlineStr">
        <is>
          <t>Seat Ibiza</t>
        </is>
      </c>
      <c r="G282" s="2" t="inlineStr">
        <is>
          <t>1.2 TDI</t>
        </is>
      </c>
      <c r="H282" s="2" t="inlineStr">
        <is>
          <t>ST 1.2 TDI 75cv Reference EEcomotive</t>
        </is>
      </c>
      <c r="I282" s="2" t="n"/>
      <c r="J282" s="2" t="n">
        <v>75</v>
      </c>
      <c r="K282" s="2" t="inlineStr">
        <is>
          <t>diesel</t>
        </is>
      </c>
      <c r="L282" s="2" t="inlineStr">
        <is>
          <t>familiar</t>
        </is>
      </c>
      <c r="M282" s="2" t="n">
        <v>2011</v>
      </c>
      <c r="N282" s="2" t="n">
        <v>182656</v>
      </c>
      <c r="O282" s="2" t="n">
        <v>5150</v>
      </c>
      <c r="P282" s="2" t="inlineStr">
        <is>
          <t>manual</t>
        </is>
      </c>
      <c r="Q282" s="2" t="inlineStr">
        <is>
          <t>no</t>
        </is>
      </c>
      <c r="R282" s="2" t="inlineStr">
        <is>
          <t>profesional</t>
        </is>
      </c>
      <c r="S282" s="2" t="inlineStr">
        <is>
          <t>Paterna</t>
        </is>
      </c>
      <c r="T282" s="2" t="inlineStr">
        <is>
          <t>2026-10-02T12:42:20Z</t>
        </is>
      </c>
      <c r="U282" s="2" t="n">
        <v>13</v>
      </c>
      <c r="V282" s="2" t="n"/>
      <c r="W282" s="2" t="n"/>
      <c r="X282" s="2" t="n"/>
      <c r="Y282" s="2" t="n"/>
      <c r="Z282" s="2" t="inlineStr">
        <is>
          <t>sí</t>
        </is>
      </c>
      <c r="AA282" s="2" t="n"/>
      <c r="AB282" s="2" t="n">
        <v>12</v>
      </c>
      <c r="AC282" s="2" t="n"/>
      <c r="AD282" s="2" t="n"/>
      <c r="AE282" s="2" t="n"/>
      <c r="AF282" s="2" t="n"/>
      <c r="AG282" s="2" t="n"/>
      <c r="AH282" s="2" t="n">
        <v>5150</v>
      </c>
      <c r="AI282" s="2" t="n"/>
      <c r="AJ282" s="2" t="n"/>
      <c r="AK282" s="2" t="n"/>
      <c r="AL282" s="2" t="n"/>
      <c r="AM282" s="2" t="n">
        <v>6.8</v>
      </c>
      <c r="AN282" s="2" t="n">
        <v>6195</v>
      </c>
      <c r="AO282" s="2" t="n">
        <v>12</v>
      </c>
      <c r="AP282" s="2" t="inlineStr">
        <is>
          <t>modelo+año+km</t>
        </is>
      </c>
      <c r="AQ282" s="2" t="n"/>
      <c r="AR282" s="2" t="inlineStr">
        <is>
          <t>por encima del presupuesto (5214 €), negociar; vendedor profesional: sin ITP (operación con IVA/REBU, confirmar en factura); gastos de gestión del vendedor no indicados: se suma la tasa DGT; preguntar el precio final; carrocería familiar: -3 puntos</t>
        </is>
      </c>
      <c r="AS282" s="2" t="inlineStr">
        <is>
          <t xml:space="preserve">Entregamos el coche con ITV y revisión hecha.
Hablamos español, holandés, ingles, turco y alemán.
No contestamos a los mails. Solo llamadas o WhatsApp.
cualquier duda llamar al numero: 664679962 
</t>
        </is>
      </c>
      <c r="AT282" s="2" t="inlineStr">
        <is>
          <t>https://www.coches.net/seat-ibiza-st-12-tdi-75cv-reference-eecomotive-5p-diesel-2011-en-valencia-71655875-covo.aspx (window.__INITIAL_PROPS__.ad) /home/user/Alopecia/buscador-coches/raw/cochesnet/11829ae38a8b953e.json</t>
        </is>
      </c>
      <c r="AU282" s="3">
        <f>MAX(ANIO_ACTUAL-M282,0)</f>
        <v/>
      </c>
      <c r="AV282" s="4">
        <f>N282/MAX(AU282,0.5)</f>
        <v/>
      </c>
      <c r="AW282" s="4">
        <f>F282</f>
        <v/>
      </c>
      <c r="AX282" s="3">
        <f>AW282&amp;"|"&amp;INT(M282/SEG_ANIO)*SEG_ANIO</f>
        <v/>
      </c>
      <c r="AY282" s="3">
        <f>AX282&amp;"|"&amp;INT(N282/SEG_KM)*SEG_KM</f>
        <v/>
      </c>
      <c r="AZ282" s="4">
        <f>COUNTIF($AW$2:$AW$662,AW282)</f>
        <v/>
      </c>
      <c r="BA282" s="4">
        <f>COUNTIF($AX$2:$AX$662,AX282)</f>
        <v/>
      </c>
      <c r="BB282" s="4">
        <f>COUNTIF($AY$2:$AY$662,AY282)</f>
        <v/>
      </c>
      <c r="BC282" s="3">
        <f t="array" ref="BC282">IF(N(AO282)&gt;=MIN_N,AN282,IF(BB282&gt;=MIN_N,MEDIAN(IF($AY$2:$AY$662=AY282,$O$2:$O$662)),IF(BA282&gt;=MIN_N,MEDIAN(IF($AX$2:$AX$662=AX282,$O$2:$O$662)),MEDIAN(IF($AW$2:$AW$662=AW282,$O$2:$O$662)))))</f>
        <v/>
      </c>
      <c r="BD282" s="3">
        <f>IF(N(AO282)&gt;=MIN_N,"mercado "&amp;AP282,IF(BB282&gt;=MIN_N,"modelo+año+km",IF(BA282&gt;=MIN_N,"modelo+año","modelo")))</f>
        <v/>
      </c>
      <c r="BE282" s="4">
        <f>(BC282-O282)/BC282</f>
        <v/>
      </c>
      <c r="BF282" s="3">
        <f>IF(OR(K282="hibrido",K282="glp"),"ECO",IF(K282="electrico","CERO",IF(K282="gasolina",IF(M282&gt;=GAS_C,"C",IF(M282&gt;=GAS_B,"B","A")),IF(K282="diesel",IF(M282&gt;=DIE_C,"C",IF(M282&gt;=DIE_B,"B","A")),""))))</f>
        <v/>
      </c>
      <c r="BG282" s="3">
        <f>IFERROR(VLOOKUP(F282,MOD_TBL,11,0),IFERROR(VLOOKUP(E282,OCU_TBL,2,0),NEUTRO))</f>
        <v/>
      </c>
      <c r="BH282" s="3">
        <f>SUMIFS(MOT_AJUSTE,MOT_MOTOR,G282,MOT_MARCA,E282,MOT_DESDE,"&lt;="&amp;M282,MOT_HASTA,"&gt;="&amp;M282)+SUMIFS(MOT_AJUSTE,MOT_MOTOR,G282,MOT_MARCA,"(todas)",MOT_DESDE,"&lt;="&amp;M282,MOT_HASTA,"&gt;="&amp;M282)</f>
        <v/>
      </c>
      <c r="BI282" s="3">
        <f>SUMIFS(COMB_AJUSTE,COMB_COMB,K282)</f>
        <v/>
      </c>
      <c r="BJ282" s="3">
        <f>COUNTIFS(MOT_MOTOR,G282,MOT_MARCA,E282,MOT_DESDE,"&lt;="&amp;M282,MOT_HASTA,"&gt;="&amp;M282)+COUNTIFS(MOT_MOTOR,G282,MOT_MARCA,"(todas)",MOT_DESDE,"&lt;="&amp;M282,MOT_HASTA,"&gt;="&amp;M282)</f>
        <v/>
      </c>
      <c r="BK282" s="3">
        <f>IF(AND(K282="diesel",BJ282=0),MIN(BG282,NEUTRO),BG282)</f>
        <v/>
      </c>
      <c r="BL282" s="4">
        <f>MAX(0,MIN(100,BK282+BH282+BI282))</f>
        <v/>
      </c>
      <c r="BM282" s="3">
        <f>MAX(0,MIN(100,50+BE282*PRECIO_PEND))</f>
        <v/>
      </c>
      <c r="BN282" s="3">
        <f>MAX(0,100*(1-N282/KM_MAX))</f>
        <v/>
      </c>
      <c r="BO282" s="3">
        <f>IF(AV282&lt;KMA_SOSP,IF(AA282="sí",100,KMA_PEN),IF(AV282&lt;=KMA_IDEAL_MAX,100,MAX(0,100*(KMA_CERO-AV282)/(KMA_CERO-KMA_IDEAL_MAX))))</f>
        <v/>
      </c>
      <c r="BP282" s="3">
        <f>MAX(0,MIN(100,100*(M282-ANIO_MIN)/(ANIO_ACTUAL-ANIO_MIN)))</f>
        <v/>
      </c>
      <c r="BQ282" s="3">
        <f>W_KMT*BN282+W_KMA*BO282+W_EDAD*BP282</f>
        <v/>
      </c>
      <c r="BR282" s="3">
        <f>P_ITV*(V282="sí")+P_LIBRO*(W282="sí")+P_CORREA*(X282="sí")+P_PROP*(Y282=1)+P_GAR*(Z282="sí")+P_FOTOS*MIN(1,N(U282)/FOTOS_OBJ)</f>
        <v/>
      </c>
      <c r="BS282" s="3">
        <f>IFERROR(VLOOKUP(BF282,ETQ_TBL,2,0),NEUTRO)</f>
        <v/>
      </c>
      <c r="BT282" s="3">
        <f>NEUTRO</f>
        <v/>
      </c>
      <c r="BU282" s="3">
        <f>IFERROR(VLOOKUP(L282,SEGURO_TBL,3,0),"")</f>
        <v/>
      </c>
      <c r="BV282" s="3">
        <f>IF(BU282="",NEUTRO,MAX(0,MIN(100,100*(SEG_REF_MAX-BU282)/(SEG_REF_MAX-SEG_REF_MIN))))</f>
        <v/>
      </c>
      <c r="BW282" s="3">
        <f>W_ET*BS282+W_CONS*BT282+W_SEG*BV282</f>
        <v/>
      </c>
      <c r="BX282" s="3">
        <f>IF(N(AB282)&gt;0,AB282,IF(AND(R282="profesional",SG_LEGAL_ON=1),GAR_LEGAL,0))</f>
        <v/>
      </c>
      <c r="BY282" s="3">
        <f>SG_GAR*MIN(1,BX282/SG_GAR_FULL)+SG_AMPL*(AC282="sí")+SG_KMC*(AF282="sí")+SG_REV*(N(AE282)&gt;0)+SG_DEV*MIN(1,N(AG282)/SG_DEV_FULL)+SG_HIST*(W282="sí")</f>
        <v/>
      </c>
      <c r="BZ282" s="3">
        <f>IFERROR(VLOOKUP(L282,CARR_PEN_TBL,2,0),0)</f>
        <v/>
      </c>
      <c r="CA282" s="3">
        <f>W_FIAB*BL282+W_PRECIO*BM282+W_KMEDAD*BQ282+W_ANUNCIO*BR282+W_USO*BW282+W_SEGURIDAD*BY282-BZ282</f>
        <v/>
      </c>
      <c r="CB282" s="4">
        <f>IF(N(I282)&gt;0,I282,IFERROR(ROUND(_xlfn.NUMBERVALUE(LEFT(G282,FIND(" ",G282&amp;" ")-1),".")*1000,0),99999))</f>
        <v/>
      </c>
      <c r="CC282" s="3">
        <f>IF(R282="profesional",0,IF(O282&lt;CUOTA_VALOR_MAX,IF(AU282&gt;ITP_TRAMO_ALTO,SUMIFS(CF_CUOTA,CF_MAS,ITP_TRAMO_ALTO,CF_CCMIN,"&lt;="&amp;CB282,CF_CCMAX,"&gt;="&amp;CB282),IF(AU282&gt;ITP_TRAMO_BAJO,SUMIFS(CF_CUOTA,CF_MAS,ITP_TRAMO_BAJO,CF_CCMIN,"&lt;="&amp;CB282,CF_CCMAX,"&gt;="&amp;CB282),O282*ITP_TIPO)),O282*ITP_TIPO))</f>
        <v/>
      </c>
      <c r="CD282" s="4">
        <f>IF(R282="profesional",N(AK282),0)</f>
        <v/>
      </c>
      <c r="CE282" s="3">
        <f>IF(AND(R282="profesional",ISNUMBER(AK282),AL282="sí"),0,TASA_DGT)</f>
        <v/>
      </c>
      <c r="CF282" s="3">
        <f>INFORME_DGT</f>
        <v/>
      </c>
      <c r="CG282" s="4">
        <f>O282+CD282+CC282+CE282+CF282</f>
        <v/>
      </c>
      <c r="CH282" s="4">
        <f>CG282+N(BU282)</f>
        <v/>
      </c>
      <c r="CI282" s="3">
        <f>IF(CG282&lt;=TOTAL_MAX,"sí",IF(CG282&lt;=TOTAL_MAX+MARGEN_NEG,"negociar","no"))</f>
        <v/>
      </c>
      <c r="CJ282" s="4">
        <f>IF(CI282&lt;&gt;"no",COUNTIFS($CI$2:$CI$662,"&lt;&gt;no",$CA$2:$CA$662,"&gt;"&amp;CA282)+COUNTIFS($CI$2:CI282,"&lt;&gt;no",$CA$2:CA282,CA282),"")</f>
        <v/>
      </c>
    </row>
    <row r="283">
      <c r="A283" s="2" t="inlineStr">
        <is>
          <t>cochesnet:71656011</t>
        </is>
      </c>
      <c r="B283" s="2" t="inlineStr">
        <is>
          <t>cochesnet</t>
        </is>
      </c>
      <c r="C283" s="2" t="inlineStr">
        <is>
          <t>https://www.coches.net/seat-ibiza-st-12-tdi-75cv-reference-eecomotive-5p-diesel-2011-en-valencia-71656011-covo.aspx</t>
        </is>
      </c>
      <c r="D283" s="2" t="inlineStr">
        <is>
          <t>SEAT Ibiza ST 1.2 TDI Reference EEcomotive</t>
        </is>
      </c>
      <c r="E283" s="2" t="inlineStr">
        <is>
          <t>Seat</t>
        </is>
      </c>
      <c r="F283" s="2" t="inlineStr">
        <is>
          <t>Seat Ibiza</t>
        </is>
      </c>
      <c r="G283" s="2" t="inlineStr">
        <is>
          <t>1.2 TDI</t>
        </is>
      </c>
      <c r="H283" s="2" t="inlineStr">
        <is>
          <t>ST 1.2 TDI 75cv Reference EEcomotive</t>
        </is>
      </c>
      <c r="I283" s="2" t="n"/>
      <c r="J283" s="2" t="n">
        <v>75</v>
      </c>
      <c r="K283" s="2" t="inlineStr">
        <is>
          <t>diesel</t>
        </is>
      </c>
      <c r="L283" s="2" t="inlineStr">
        <is>
          <t>familiar</t>
        </is>
      </c>
      <c r="M283" s="2" t="n">
        <v>2011</v>
      </c>
      <c r="N283" s="2" t="n">
        <v>174322</v>
      </c>
      <c r="O283" s="2" t="n">
        <v>4999</v>
      </c>
      <c r="P283" s="2" t="inlineStr">
        <is>
          <t>manual</t>
        </is>
      </c>
      <c r="Q283" s="2" t="inlineStr">
        <is>
          <t>no</t>
        </is>
      </c>
      <c r="R283" s="2" t="inlineStr">
        <is>
          <t>profesional</t>
        </is>
      </c>
      <c r="S283" s="2" t="inlineStr">
        <is>
          <t>Paterna</t>
        </is>
      </c>
      <c r="T283" s="2" t="inlineStr">
        <is>
          <t>2026-10-02T12:55:32Z</t>
        </is>
      </c>
      <c r="U283" s="2" t="n">
        <v>12</v>
      </c>
      <c r="V283" s="2" t="n"/>
      <c r="W283" s="2" t="n"/>
      <c r="X283" s="2" t="n"/>
      <c r="Y283" s="2" t="n"/>
      <c r="Z283" s="2" t="inlineStr">
        <is>
          <t>sí</t>
        </is>
      </c>
      <c r="AA283" s="2" t="n"/>
      <c r="AB283" s="2" t="n">
        <v>12</v>
      </c>
      <c r="AC283" s="2" t="n"/>
      <c r="AD283" s="2" t="n"/>
      <c r="AE283" s="2" t="n"/>
      <c r="AF283" s="2" t="n"/>
      <c r="AG283" s="2" t="n"/>
      <c r="AH283" s="2" t="n">
        <v>4999</v>
      </c>
      <c r="AI283" s="2" t="n"/>
      <c r="AJ283" s="2" t="n"/>
      <c r="AK283" s="2" t="n"/>
      <c r="AL283" s="2" t="n"/>
      <c r="AM283" s="2" t="n">
        <v>6.8</v>
      </c>
      <c r="AN283" s="2" t="n">
        <v>6195</v>
      </c>
      <c r="AO283" s="2" t="n">
        <v>12</v>
      </c>
      <c r="AP283" s="2" t="inlineStr">
        <is>
          <t>modelo+año+km</t>
        </is>
      </c>
      <c r="AQ283" s="2" t="n"/>
      <c r="AR283" s="2" t="inlineStr">
        <is>
          <t>por encima del presupuesto (5063 €), negociar; vendedor profesional: sin ITP (operación con IVA/REBU, confirmar en factura); gastos de gestión del vendedor no indicados: se suma la tasa DGT; preguntar el precio final; carrocería familiar: -3 puntos</t>
        </is>
      </c>
      <c r="AS283" s="2" t="inlineStr">
        <is>
          <t xml:space="preserve">Entregamos el coche con ITV y revisión hecha.
Hablamos español, holandés, ingles, turco y alemán.
No contestamos a los mails. Solo llamadas o WhatsApp.
cualquier duda llamar al numero: 664679962 
</t>
        </is>
      </c>
      <c r="AT283" s="2" t="inlineStr">
        <is>
          <t>https://www.coches.net/seat-ibiza-st-12-tdi-75cv-reference-eecomotive-5p-diesel-2011-en-valencia-71656011-covo.aspx (window.__INITIAL_PROPS__.ad) /home/user/Alopecia/buscador-coches/raw/cochesnet/52467bc9a833579d.json</t>
        </is>
      </c>
      <c r="AU283" s="3">
        <f>MAX(ANIO_ACTUAL-M283,0)</f>
        <v/>
      </c>
      <c r="AV283" s="4">
        <f>N283/MAX(AU283,0.5)</f>
        <v/>
      </c>
      <c r="AW283" s="4">
        <f>F283</f>
        <v/>
      </c>
      <c r="AX283" s="3">
        <f>AW283&amp;"|"&amp;INT(M283/SEG_ANIO)*SEG_ANIO</f>
        <v/>
      </c>
      <c r="AY283" s="3">
        <f>AX283&amp;"|"&amp;INT(N283/SEG_KM)*SEG_KM</f>
        <v/>
      </c>
      <c r="AZ283" s="4">
        <f>COUNTIF($AW$2:$AW$662,AW283)</f>
        <v/>
      </c>
      <c r="BA283" s="4">
        <f>COUNTIF($AX$2:$AX$662,AX283)</f>
        <v/>
      </c>
      <c r="BB283" s="4">
        <f>COUNTIF($AY$2:$AY$662,AY283)</f>
        <v/>
      </c>
      <c r="BC283" s="3">
        <f t="array" ref="BC283">IF(N(AO283)&gt;=MIN_N,AN283,IF(BB283&gt;=MIN_N,MEDIAN(IF($AY$2:$AY$662=AY283,$O$2:$O$662)),IF(BA283&gt;=MIN_N,MEDIAN(IF($AX$2:$AX$662=AX283,$O$2:$O$662)),MEDIAN(IF($AW$2:$AW$662=AW283,$O$2:$O$662)))))</f>
        <v/>
      </c>
      <c r="BD283" s="3">
        <f>IF(N(AO283)&gt;=MIN_N,"mercado "&amp;AP283,IF(BB283&gt;=MIN_N,"modelo+año+km",IF(BA283&gt;=MIN_N,"modelo+año","modelo")))</f>
        <v/>
      </c>
      <c r="BE283" s="4">
        <f>(BC283-O283)/BC283</f>
        <v/>
      </c>
      <c r="BF283" s="3">
        <f>IF(OR(K283="hibrido",K283="glp"),"ECO",IF(K283="electrico","CERO",IF(K283="gasolina",IF(M283&gt;=GAS_C,"C",IF(M283&gt;=GAS_B,"B","A")),IF(K283="diesel",IF(M283&gt;=DIE_C,"C",IF(M283&gt;=DIE_B,"B","A")),""))))</f>
        <v/>
      </c>
      <c r="BG283" s="3">
        <f>IFERROR(VLOOKUP(F283,MOD_TBL,11,0),IFERROR(VLOOKUP(E283,OCU_TBL,2,0),NEUTRO))</f>
        <v/>
      </c>
      <c r="BH283" s="3">
        <f>SUMIFS(MOT_AJUSTE,MOT_MOTOR,G283,MOT_MARCA,E283,MOT_DESDE,"&lt;="&amp;M283,MOT_HASTA,"&gt;="&amp;M283)+SUMIFS(MOT_AJUSTE,MOT_MOTOR,G283,MOT_MARCA,"(todas)",MOT_DESDE,"&lt;="&amp;M283,MOT_HASTA,"&gt;="&amp;M283)</f>
        <v/>
      </c>
      <c r="BI283" s="3">
        <f>SUMIFS(COMB_AJUSTE,COMB_COMB,K283)</f>
        <v/>
      </c>
      <c r="BJ283" s="3">
        <f>COUNTIFS(MOT_MOTOR,G283,MOT_MARCA,E283,MOT_DESDE,"&lt;="&amp;M283,MOT_HASTA,"&gt;="&amp;M283)+COUNTIFS(MOT_MOTOR,G283,MOT_MARCA,"(todas)",MOT_DESDE,"&lt;="&amp;M283,MOT_HASTA,"&gt;="&amp;M283)</f>
        <v/>
      </c>
      <c r="BK283" s="3">
        <f>IF(AND(K283="diesel",BJ283=0),MIN(BG283,NEUTRO),BG283)</f>
        <v/>
      </c>
      <c r="BL283" s="4">
        <f>MAX(0,MIN(100,BK283+BH283+BI283))</f>
        <v/>
      </c>
      <c r="BM283" s="3">
        <f>MAX(0,MIN(100,50+BE283*PRECIO_PEND))</f>
        <v/>
      </c>
      <c r="BN283" s="3">
        <f>MAX(0,100*(1-N283/KM_MAX))</f>
        <v/>
      </c>
      <c r="BO283" s="3">
        <f>IF(AV283&lt;KMA_SOSP,IF(AA283="sí",100,KMA_PEN),IF(AV283&lt;=KMA_IDEAL_MAX,100,MAX(0,100*(KMA_CERO-AV283)/(KMA_CERO-KMA_IDEAL_MAX))))</f>
        <v/>
      </c>
      <c r="BP283" s="3">
        <f>MAX(0,MIN(100,100*(M283-ANIO_MIN)/(ANIO_ACTUAL-ANIO_MIN)))</f>
        <v/>
      </c>
      <c r="BQ283" s="3">
        <f>W_KMT*BN283+W_KMA*BO283+W_EDAD*BP283</f>
        <v/>
      </c>
      <c r="BR283" s="3">
        <f>P_ITV*(V283="sí")+P_LIBRO*(W283="sí")+P_CORREA*(X283="sí")+P_PROP*(Y283=1)+P_GAR*(Z283="sí")+P_FOTOS*MIN(1,N(U283)/FOTOS_OBJ)</f>
        <v/>
      </c>
      <c r="BS283" s="3">
        <f>IFERROR(VLOOKUP(BF283,ETQ_TBL,2,0),NEUTRO)</f>
        <v/>
      </c>
      <c r="BT283" s="3">
        <f>NEUTRO</f>
        <v/>
      </c>
      <c r="BU283" s="3">
        <f>IFERROR(VLOOKUP(L283,SEGURO_TBL,3,0),"")</f>
        <v/>
      </c>
      <c r="BV283" s="3">
        <f>IF(BU283="",NEUTRO,MAX(0,MIN(100,100*(SEG_REF_MAX-BU283)/(SEG_REF_MAX-SEG_REF_MIN))))</f>
        <v/>
      </c>
      <c r="BW283" s="3">
        <f>W_ET*BS283+W_CONS*BT283+W_SEG*BV283</f>
        <v/>
      </c>
      <c r="BX283" s="3">
        <f>IF(N(AB283)&gt;0,AB283,IF(AND(R283="profesional",SG_LEGAL_ON=1),GAR_LEGAL,0))</f>
        <v/>
      </c>
      <c r="BY283" s="3">
        <f>SG_GAR*MIN(1,BX283/SG_GAR_FULL)+SG_AMPL*(AC283="sí")+SG_KMC*(AF283="sí")+SG_REV*(N(AE283)&gt;0)+SG_DEV*MIN(1,N(AG283)/SG_DEV_FULL)+SG_HIST*(W283="sí")</f>
        <v/>
      </c>
      <c r="BZ283" s="3">
        <f>IFERROR(VLOOKUP(L283,CARR_PEN_TBL,2,0),0)</f>
        <v/>
      </c>
      <c r="CA283" s="3">
        <f>W_FIAB*BL283+W_PRECIO*BM283+W_KMEDAD*BQ283+W_ANUNCIO*BR283+W_USO*BW283+W_SEGURIDAD*BY283-BZ283</f>
        <v/>
      </c>
      <c r="CB283" s="4">
        <f>IF(N(I283)&gt;0,I283,IFERROR(ROUND(_xlfn.NUMBERVALUE(LEFT(G283,FIND(" ",G283&amp;" ")-1),".")*1000,0),99999))</f>
        <v/>
      </c>
      <c r="CC283" s="3">
        <f>IF(R283="profesional",0,IF(O283&lt;CUOTA_VALOR_MAX,IF(AU283&gt;ITP_TRAMO_ALTO,SUMIFS(CF_CUOTA,CF_MAS,ITP_TRAMO_ALTO,CF_CCMIN,"&lt;="&amp;CB283,CF_CCMAX,"&gt;="&amp;CB283),IF(AU283&gt;ITP_TRAMO_BAJO,SUMIFS(CF_CUOTA,CF_MAS,ITP_TRAMO_BAJO,CF_CCMIN,"&lt;="&amp;CB283,CF_CCMAX,"&gt;="&amp;CB283),O283*ITP_TIPO)),O283*ITP_TIPO))</f>
        <v/>
      </c>
      <c r="CD283" s="4">
        <f>IF(R283="profesional",N(AK283),0)</f>
        <v/>
      </c>
      <c r="CE283" s="3">
        <f>IF(AND(R283="profesional",ISNUMBER(AK283),AL283="sí"),0,TASA_DGT)</f>
        <v/>
      </c>
      <c r="CF283" s="3">
        <f>INFORME_DGT</f>
        <v/>
      </c>
      <c r="CG283" s="4">
        <f>O283+CD283+CC283+CE283+CF283</f>
        <v/>
      </c>
      <c r="CH283" s="4">
        <f>CG283+N(BU283)</f>
        <v/>
      </c>
      <c r="CI283" s="3">
        <f>IF(CG283&lt;=TOTAL_MAX,"sí",IF(CG283&lt;=TOTAL_MAX+MARGEN_NEG,"negociar","no"))</f>
        <v/>
      </c>
      <c r="CJ283" s="4">
        <f>IF(CI283&lt;&gt;"no",COUNTIFS($CI$2:$CI$662,"&lt;&gt;no",$CA$2:$CA$662,"&gt;"&amp;CA283)+COUNTIFS($CI$2:CI283,"&lt;&gt;no",$CA$2:CA283,CA283),"")</f>
        <v/>
      </c>
    </row>
    <row r="284">
      <c r="A284" s="2" t="inlineStr">
        <is>
          <t>cochesnet:71575805</t>
        </is>
      </c>
      <c r="B284" s="2" t="inlineStr">
        <is>
          <t>cochesnet</t>
        </is>
      </c>
      <c r="C284" s="2" t="inlineStr">
        <is>
          <t>https://www.coches.net/seat-ibiza-diesel-2007-en-valencia-71575805-covo.aspx</t>
        </is>
      </c>
      <c r="D284" s="2" t="inlineStr">
        <is>
          <t>SEAT Ibiza</t>
        </is>
      </c>
      <c r="E284" s="2" t="inlineStr">
        <is>
          <t>Seat</t>
        </is>
      </c>
      <c r="F284" s="2" t="inlineStr">
        <is>
          <t>Seat Ibiza</t>
        </is>
      </c>
      <c r="G284" s="2" t="n"/>
      <c r="H284" s="2" t="n"/>
      <c r="I284" s="2" t="n"/>
      <c r="J284" s="2" t="n"/>
      <c r="K284" s="2" t="inlineStr">
        <is>
          <t>diesel</t>
        </is>
      </c>
      <c r="L284" s="2" t="inlineStr">
        <is>
          <t>utilitario</t>
        </is>
      </c>
      <c r="M284" s="2" t="n">
        <v>2007</v>
      </c>
      <c r="N284" s="2" t="n">
        <v>207000</v>
      </c>
      <c r="O284" s="2" t="n">
        <v>3300</v>
      </c>
      <c r="P284" s="2" t="inlineStr">
        <is>
          <t>manual</t>
        </is>
      </c>
      <c r="Q284" s="2" t="inlineStr">
        <is>
          <t>no</t>
        </is>
      </c>
      <c r="R284" s="2" t="inlineStr">
        <is>
          <t>particular</t>
        </is>
      </c>
      <c r="S284" s="2" t="inlineStr">
        <is>
          <t>Valencia</t>
        </is>
      </c>
      <c r="T284" s="2" t="inlineStr">
        <is>
          <t>2026-09-22T17:45:04Z</t>
        </is>
      </c>
      <c r="U284" s="2" t="n">
        <v>5</v>
      </c>
      <c r="V284" s="2" t="inlineStr">
        <is>
          <t>sí</t>
        </is>
      </c>
      <c r="W284" s="2" t="n"/>
      <c r="X284" s="2" t="inlineStr">
        <is>
          <t>sí</t>
        </is>
      </c>
      <c r="Y284" s="2" t="n"/>
      <c r="Z284" s="2" t="inlineStr">
        <is>
          <t>no</t>
        </is>
      </c>
      <c r="AA284" s="2" t="n"/>
      <c r="AB284" s="2" t="n"/>
      <c r="AC284" s="2" t="n"/>
      <c r="AD284" s="2" t="n"/>
      <c r="AE284" s="2" t="n"/>
      <c r="AF284" s="2" t="n"/>
      <c r="AG284" s="2" t="n"/>
      <c r="AH284" s="2" t="n">
        <v>3300</v>
      </c>
      <c r="AI284" s="2" t="n"/>
      <c r="AJ284" s="2" t="n"/>
      <c r="AK284" s="2" t="n"/>
      <c r="AL284" s="2" t="n"/>
      <c r="AM284" s="2" t="n">
        <v>0.1</v>
      </c>
      <c r="AN284" s="2" t="n">
        <v>3100</v>
      </c>
      <c r="AO284" s="2" t="n">
        <v>10</v>
      </c>
      <c r="AP284" s="2" t="inlineStr">
        <is>
          <t>modelo+año+km</t>
        </is>
      </c>
      <c r="AQ284" s="2" t="n"/>
      <c r="AR284" s="2" t="inlineStr">
        <is>
          <t>cilindrada desconocida: se aplica el tramo de cuota fija más alto; cuota fija ITP: &gt;12 años, más de 2.000 cc; diésel: motor sin fuente de fiabilidad (fiabilidad limitada a neutra)</t>
        </is>
      </c>
      <c r="AS284" s="2" t="inlineStr">
        <is>
          <t>vende Seat Ibiza 2007
Motor 1.4 Diesel
Con 207 mil kms
??El coche cuenta con:
Correa de distribución cambiada hace 1 año
Itv hasta mayo 2027
4 neumáticos nuevos
Revisión hecha hace 5 meses
Cuenta con 2 llaves
El coche está en muy buen estado como se puede apreciar en las fotos,es un coche que no requiere inversión,no consume casi nada de combustible y tiene un andar muy bonito,es un coche digno de ver</t>
        </is>
      </c>
      <c r="AT284" s="2" t="inlineStr">
        <is>
          <t>https://www.coches.net/seat-ibiza-diesel-2007-en-valencia-71575805-covo.aspx (window.__INITIAL_PROPS__.ad) /home/user/Alopecia/buscador-coches/raw/cochesnet/eda882896fb224cc.json</t>
        </is>
      </c>
      <c r="AU284" s="3">
        <f>MAX(ANIO_ACTUAL-M284,0)</f>
        <v/>
      </c>
      <c r="AV284" s="4">
        <f>N284/MAX(AU284,0.5)</f>
        <v/>
      </c>
      <c r="AW284" s="4">
        <f>F284</f>
        <v/>
      </c>
      <c r="AX284" s="3">
        <f>AW284&amp;"|"&amp;INT(M284/SEG_ANIO)*SEG_ANIO</f>
        <v/>
      </c>
      <c r="AY284" s="3">
        <f>AX284&amp;"|"&amp;INT(N284/SEG_KM)*SEG_KM</f>
        <v/>
      </c>
      <c r="AZ284" s="4">
        <f>COUNTIF($AW$2:$AW$662,AW284)</f>
        <v/>
      </c>
      <c r="BA284" s="4">
        <f>COUNTIF($AX$2:$AX$662,AX284)</f>
        <v/>
      </c>
      <c r="BB284" s="4">
        <f>COUNTIF($AY$2:$AY$662,AY284)</f>
        <v/>
      </c>
      <c r="BC284" s="3">
        <f t="array" ref="BC284">IF(N(AO284)&gt;=MIN_N,AN284,IF(BB284&gt;=MIN_N,MEDIAN(IF($AY$2:$AY$662=AY284,$O$2:$O$662)),IF(BA284&gt;=MIN_N,MEDIAN(IF($AX$2:$AX$662=AX284,$O$2:$O$662)),MEDIAN(IF($AW$2:$AW$662=AW284,$O$2:$O$662)))))</f>
        <v/>
      </c>
      <c r="BD284" s="3">
        <f>IF(N(AO284)&gt;=MIN_N,"mercado "&amp;AP284,IF(BB284&gt;=MIN_N,"modelo+año+km",IF(BA284&gt;=MIN_N,"modelo+año","modelo")))</f>
        <v/>
      </c>
      <c r="BE284" s="4">
        <f>(BC284-O284)/BC284</f>
        <v/>
      </c>
      <c r="BF284" s="3">
        <f>IF(OR(K284="hibrido",K284="glp"),"ECO",IF(K284="electrico","CERO",IF(K284="gasolina",IF(M284&gt;=GAS_C,"C",IF(M284&gt;=GAS_B,"B","A")),IF(K284="diesel",IF(M284&gt;=DIE_C,"C",IF(M284&gt;=DIE_B,"B","A")),""))))</f>
        <v/>
      </c>
      <c r="BG284" s="3">
        <f>IFERROR(VLOOKUP(F284,MOD_TBL,11,0),IFERROR(VLOOKUP(E284,OCU_TBL,2,0),NEUTRO))</f>
        <v/>
      </c>
      <c r="BH284" s="3">
        <f>SUMIFS(MOT_AJUSTE,MOT_MOTOR,G284,MOT_MARCA,E284,MOT_DESDE,"&lt;="&amp;M284,MOT_HASTA,"&gt;="&amp;M284)+SUMIFS(MOT_AJUSTE,MOT_MOTOR,G284,MOT_MARCA,"(todas)",MOT_DESDE,"&lt;="&amp;M284,MOT_HASTA,"&gt;="&amp;M284)</f>
        <v/>
      </c>
      <c r="BI284" s="3">
        <f>SUMIFS(COMB_AJUSTE,COMB_COMB,K284)</f>
        <v/>
      </c>
      <c r="BJ284" s="3">
        <f>COUNTIFS(MOT_MOTOR,G284,MOT_MARCA,E284,MOT_DESDE,"&lt;="&amp;M284,MOT_HASTA,"&gt;="&amp;M284)+COUNTIFS(MOT_MOTOR,G284,MOT_MARCA,"(todas)",MOT_DESDE,"&lt;="&amp;M284,MOT_HASTA,"&gt;="&amp;M284)</f>
        <v/>
      </c>
      <c r="BK284" s="3">
        <f>IF(AND(K284="diesel",BJ284=0),MIN(BG284,NEUTRO),BG284)</f>
        <v/>
      </c>
      <c r="BL284" s="4">
        <f>MAX(0,MIN(100,BK284+BH284+BI284))</f>
        <v/>
      </c>
      <c r="BM284" s="3">
        <f>MAX(0,MIN(100,50+BE284*PRECIO_PEND))</f>
        <v/>
      </c>
      <c r="BN284" s="3">
        <f>MAX(0,100*(1-N284/KM_MAX))</f>
        <v/>
      </c>
      <c r="BO284" s="3">
        <f>IF(AV284&lt;KMA_SOSP,IF(AA284="sí",100,KMA_PEN),IF(AV284&lt;=KMA_IDEAL_MAX,100,MAX(0,100*(KMA_CERO-AV284)/(KMA_CERO-KMA_IDEAL_MAX))))</f>
        <v/>
      </c>
      <c r="BP284" s="3">
        <f>MAX(0,MIN(100,100*(M284-ANIO_MIN)/(ANIO_ACTUAL-ANIO_MIN)))</f>
        <v/>
      </c>
      <c r="BQ284" s="3">
        <f>W_KMT*BN284+W_KMA*BO284+W_EDAD*BP284</f>
        <v/>
      </c>
      <c r="BR284" s="3">
        <f>P_ITV*(V284="sí")+P_LIBRO*(W284="sí")+P_CORREA*(X284="sí")+P_PROP*(Y284=1)+P_GAR*(Z284="sí")+P_FOTOS*MIN(1,N(U284)/FOTOS_OBJ)</f>
        <v/>
      </c>
      <c r="BS284" s="3">
        <f>IFERROR(VLOOKUP(BF284,ETQ_TBL,2,0),NEUTRO)</f>
        <v/>
      </c>
      <c r="BT284" s="3">
        <f>NEUTRO</f>
        <v/>
      </c>
      <c r="BU284" s="3">
        <f>IFERROR(VLOOKUP(L284,SEGURO_TBL,3,0),"")</f>
        <v/>
      </c>
      <c r="BV284" s="3">
        <f>IF(BU284="",NEUTRO,MAX(0,MIN(100,100*(SEG_REF_MAX-BU284)/(SEG_REF_MAX-SEG_REF_MIN))))</f>
        <v/>
      </c>
      <c r="BW284" s="3">
        <f>W_ET*BS284+W_CONS*BT284+W_SEG*BV284</f>
        <v/>
      </c>
      <c r="BX284" s="3">
        <f>IF(N(AB284)&gt;0,AB284,IF(AND(R284="profesional",SG_LEGAL_ON=1),GAR_LEGAL,0))</f>
        <v/>
      </c>
      <c r="BY284" s="3">
        <f>SG_GAR*MIN(1,BX284/SG_GAR_FULL)+SG_AMPL*(AC284="sí")+SG_KMC*(AF284="sí")+SG_REV*(N(AE284)&gt;0)+SG_DEV*MIN(1,N(AG284)/SG_DEV_FULL)+SG_HIST*(W284="sí")</f>
        <v/>
      </c>
      <c r="BZ284" s="3">
        <f>IFERROR(VLOOKUP(L284,CARR_PEN_TBL,2,0),0)</f>
        <v/>
      </c>
      <c r="CA284" s="3">
        <f>W_FIAB*BL284+W_PRECIO*BM284+W_KMEDAD*BQ284+W_ANUNCIO*BR284+W_USO*BW284+W_SEGURIDAD*BY284-BZ284</f>
        <v/>
      </c>
      <c r="CB284" s="4">
        <f>IF(N(I284)&gt;0,I284,IFERROR(ROUND(_xlfn.NUMBERVALUE(LEFT(G284,FIND(" ",G284&amp;" ")-1),".")*1000,0),99999))</f>
        <v/>
      </c>
      <c r="CC284" s="3">
        <f>IF(R284="profesional",0,IF(O284&lt;CUOTA_VALOR_MAX,IF(AU284&gt;ITP_TRAMO_ALTO,SUMIFS(CF_CUOTA,CF_MAS,ITP_TRAMO_ALTO,CF_CCMIN,"&lt;="&amp;CB284,CF_CCMAX,"&gt;="&amp;CB284),IF(AU284&gt;ITP_TRAMO_BAJO,SUMIFS(CF_CUOTA,CF_MAS,ITP_TRAMO_BAJO,CF_CCMIN,"&lt;="&amp;CB284,CF_CCMAX,"&gt;="&amp;CB284),O284*ITP_TIPO)),O284*ITP_TIPO))</f>
        <v/>
      </c>
      <c r="CD284" s="4">
        <f>IF(R284="profesional",N(AK284),0)</f>
        <v/>
      </c>
      <c r="CE284" s="3">
        <f>IF(AND(R284="profesional",ISNUMBER(AK284),AL284="sí"),0,TASA_DGT)</f>
        <v/>
      </c>
      <c r="CF284" s="3">
        <f>INFORME_DGT</f>
        <v/>
      </c>
      <c r="CG284" s="4">
        <f>O284+CD284+CC284+CE284+CF284</f>
        <v/>
      </c>
      <c r="CH284" s="4">
        <f>CG284+N(BU284)</f>
        <v/>
      </c>
      <c r="CI284" s="3">
        <f>IF(CG284&lt;=TOTAL_MAX,"sí",IF(CG284&lt;=TOTAL_MAX+MARGEN_NEG,"negociar","no"))</f>
        <v/>
      </c>
      <c r="CJ284" s="4">
        <f>IF(CI284&lt;&gt;"no",COUNTIFS($CI$2:$CI$662,"&lt;&gt;no",$CA$2:$CA$662,"&gt;"&amp;CA284)+COUNTIFS($CI$2:CI284,"&lt;&gt;no",$CA$2:CA284,CA284),"")</f>
        <v/>
      </c>
    </row>
    <row r="285">
      <c r="A285" s="2" t="inlineStr">
        <is>
          <t>cochesnet:70849377</t>
        </is>
      </c>
      <c r="B285" s="2" t="inlineStr">
        <is>
          <t>cochesnet</t>
        </is>
      </c>
      <c r="C285" s="2" t="inlineStr">
        <is>
          <t>https://www.coches.net/seat-leon-20-fsi-150cv-tiptronic-sport-up-5p-gasolina-2009-en-valencia-70849377-covo.aspx</t>
        </is>
      </c>
      <c r="D285" s="2" t="inlineStr">
        <is>
          <t>SEAT Leon 2.0 FSI Tiptronic Sport Up</t>
        </is>
      </c>
      <c r="E285" s="2" t="inlineStr">
        <is>
          <t>Seat</t>
        </is>
      </c>
      <c r="F285" s="2" t="inlineStr">
        <is>
          <t>Seat León</t>
        </is>
      </c>
      <c r="G285" s="2" t="inlineStr">
        <is>
          <t>2.0 FSI</t>
        </is>
      </c>
      <c r="H285" s="2" t="inlineStr">
        <is>
          <t>2.0 FSI 150cv Tiptronic Sport Up</t>
        </is>
      </c>
      <c r="I285" s="2" t="n"/>
      <c r="J285" s="2" t="n">
        <v>150</v>
      </c>
      <c r="K285" s="2" t="inlineStr">
        <is>
          <t>gasolina</t>
        </is>
      </c>
      <c r="L285" s="2" t="inlineStr">
        <is>
          <t>compacto</t>
        </is>
      </c>
      <c r="M285" s="2" t="n">
        <v>2009</v>
      </c>
      <c r="N285" s="2" t="n">
        <v>157000</v>
      </c>
      <c r="O285" s="2" t="n">
        <v>5200</v>
      </c>
      <c r="P285" s="2" t="inlineStr">
        <is>
          <t>automatico</t>
        </is>
      </c>
      <c r="Q285" s="2" t="inlineStr">
        <is>
          <t>sí</t>
        </is>
      </c>
      <c r="R285" s="2" t="inlineStr">
        <is>
          <t>particular</t>
        </is>
      </c>
      <c r="S285" s="2" t="inlineStr">
        <is>
          <t>Valencia</t>
        </is>
      </c>
      <c r="T285" s="2" t="inlineStr">
        <is>
          <t>2026-09-29T21:37:05Z</t>
        </is>
      </c>
      <c r="U285" s="2" t="n">
        <v>9</v>
      </c>
      <c r="V285" s="2" t="inlineStr">
        <is>
          <t>sí</t>
        </is>
      </c>
      <c r="W285" s="2" t="n"/>
      <c r="X285" s="2" t="n"/>
      <c r="Y285" s="2" t="n">
        <v>1</v>
      </c>
      <c r="Z285" s="2" t="inlineStr">
        <is>
          <t>no</t>
        </is>
      </c>
      <c r="AA285" s="2" t="n"/>
      <c r="AB285" s="2" t="n"/>
      <c r="AC285" s="2" t="n"/>
      <c r="AD285" s="2" t="n"/>
      <c r="AE285" s="2" t="n"/>
      <c r="AF285" s="2" t="n"/>
      <c r="AG285" s="2" t="n"/>
      <c r="AH285" s="2" t="n">
        <v>5200</v>
      </c>
      <c r="AI285" s="2" t="n"/>
      <c r="AJ285" s="2" t="n"/>
      <c r="AK285" s="2" t="n"/>
      <c r="AL285" s="2" t="n"/>
      <c r="AM285" s="2" t="n">
        <v>0.1</v>
      </c>
      <c r="AN285" s="2" t="n">
        <v>5345</v>
      </c>
      <c r="AO285" s="2" t="n">
        <v>4</v>
      </c>
      <c r="AP285" s="2" t="inlineStr">
        <is>
          <t>modelo+año+km</t>
        </is>
      </c>
      <c r="AQ285" s="2" t="n"/>
      <c r="AR285" s="2" t="inlineStr">
        <is>
          <t>cuota fija ITP: &gt;12 años, 1.501-2.000 cc</t>
        </is>
      </c>
      <c r="AS285" s="2" t="inlineStr">
        <is>
          <t>Coche en perfecto estado. Único propietario. ITV pasada con éxito 02.06.2026. Recién pintado.</t>
        </is>
      </c>
      <c r="AT285" s="2" t="inlineStr">
        <is>
          <t>https://www.coches.net/seat-leon-20-fsi-150cv-tiptronic-sport-up-5p-gasolina-2009-en-valencia-70849377-covo.aspx (window.__INITIAL_PROPS__.ad) /home/user/Alopecia/buscador-coches/raw/cochesnet/5ea1c4a31f500385.json</t>
        </is>
      </c>
      <c r="AU285" s="3">
        <f>MAX(ANIO_ACTUAL-M285,0)</f>
        <v/>
      </c>
      <c r="AV285" s="4">
        <f>N285/MAX(AU285,0.5)</f>
        <v/>
      </c>
      <c r="AW285" s="4">
        <f>F285</f>
        <v/>
      </c>
      <c r="AX285" s="3">
        <f>AW285&amp;"|"&amp;INT(M285/SEG_ANIO)*SEG_ANIO</f>
        <v/>
      </c>
      <c r="AY285" s="3">
        <f>AX285&amp;"|"&amp;INT(N285/SEG_KM)*SEG_KM</f>
        <v/>
      </c>
      <c r="AZ285" s="4">
        <f>COUNTIF($AW$2:$AW$662,AW285)</f>
        <v/>
      </c>
      <c r="BA285" s="4">
        <f>COUNTIF($AX$2:$AX$662,AX285)</f>
        <v/>
      </c>
      <c r="BB285" s="4">
        <f>COUNTIF($AY$2:$AY$662,AY285)</f>
        <v/>
      </c>
      <c r="BC285" s="3">
        <f t="array" ref="BC285">IF(N(AO285)&gt;=MIN_N,AN285,IF(BB285&gt;=MIN_N,MEDIAN(IF($AY$2:$AY$662=AY285,$O$2:$O$662)),IF(BA285&gt;=MIN_N,MEDIAN(IF($AX$2:$AX$662=AX285,$O$2:$O$662)),MEDIAN(IF($AW$2:$AW$662=AW285,$O$2:$O$662)))))</f>
        <v/>
      </c>
      <c r="BD285" s="3">
        <f>IF(N(AO285)&gt;=MIN_N,"mercado "&amp;AP285,IF(BB285&gt;=MIN_N,"modelo+año+km",IF(BA285&gt;=MIN_N,"modelo+año","modelo")))</f>
        <v/>
      </c>
      <c r="BE285" s="4">
        <f>(BC285-O285)/BC285</f>
        <v/>
      </c>
      <c r="BF285" s="3">
        <f>IF(OR(K285="hibrido",K285="glp"),"ECO",IF(K285="electrico","CERO",IF(K285="gasolina",IF(M285&gt;=GAS_C,"C",IF(M285&gt;=GAS_B,"B","A")),IF(K285="diesel",IF(M285&gt;=DIE_C,"C",IF(M285&gt;=DIE_B,"B","A")),""))))</f>
        <v/>
      </c>
      <c r="BG285" s="3">
        <f>IFERROR(VLOOKUP(F285,MOD_TBL,11,0),IFERROR(VLOOKUP(E285,OCU_TBL,2,0),NEUTRO))</f>
        <v/>
      </c>
      <c r="BH285" s="3">
        <f>SUMIFS(MOT_AJUSTE,MOT_MOTOR,G285,MOT_MARCA,E285,MOT_DESDE,"&lt;="&amp;M285,MOT_HASTA,"&gt;="&amp;M285)+SUMIFS(MOT_AJUSTE,MOT_MOTOR,G285,MOT_MARCA,"(todas)",MOT_DESDE,"&lt;="&amp;M285,MOT_HASTA,"&gt;="&amp;M285)</f>
        <v/>
      </c>
      <c r="BI285" s="3">
        <f>SUMIFS(COMB_AJUSTE,COMB_COMB,K285)</f>
        <v/>
      </c>
      <c r="BJ285" s="3">
        <f>COUNTIFS(MOT_MOTOR,G285,MOT_MARCA,E285,MOT_DESDE,"&lt;="&amp;M285,MOT_HASTA,"&gt;="&amp;M285)+COUNTIFS(MOT_MOTOR,G285,MOT_MARCA,"(todas)",MOT_DESDE,"&lt;="&amp;M285,MOT_HASTA,"&gt;="&amp;M285)</f>
        <v/>
      </c>
      <c r="BK285" s="3">
        <f>IF(AND(K285="diesel",BJ285=0),MIN(BG285,NEUTRO),BG285)</f>
        <v/>
      </c>
      <c r="BL285" s="4">
        <f>MAX(0,MIN(100,BK285+BH285+BI285))</f>
        <v/>
      </c>
      <c r="BM285" s="3">
        <f>MAX(0,MIN(100,50+BE285*PRECIO_PEND))</f>
        <v/>
      </c>
      <c r="BN285" s="3">
        <f>MAX(0,100*(1-N285/KM_MAX))</f>
        <v/>
      </c>
      <c r="BO285" s="3">
        <f>IF(AV285&lt;KMA_SOSP,IF(AA285="sí",100,KMA_PEN),IF(AV285&lt;=KMA_IDEAL_MAX,100,MAX(0,100*(KMA_CERO-AV285)/(KMA_CERO-KMA_IDEAL_MAX))))</f>
        <v/>
      </c>
      <c r="BP285" s="3">
        <f>MAX(0,MIN(100,100*(M285-ANIO_MIN)/(ANIO_ACTUAL-ANIO_MIN)))</f>
        <v/>
      </c>
      <c r="BQ285" s="3">
        <f>W_KMT*BN285+W_KMA*BO285+W_EDAD*BP285</f>
        <v/>
      </c>
      <c r="BR285" s="3">
        <f>P_ITV*(V285="sí")+P_LIBRO*(W285="sí")+P_CORREA*(X285="sí")+P_PROP*(Y285=1)+P_GAR*(Z285="sí")+P_FOTOS*MIN(1,N(U285)/FOTOS_OBJ)</f>
        <v/>
      </c>
      <c r="BS285" s="3">
        <f>IFERROR(VLOOKUP(BF285,ETQ_TBL,2,0),NEUTRO)</f>
        <v/>
      </c>
      <c r="BT285" s="3">
        <f>NEUTRO</f>
        <v/>
      </c>
      <c r="BU285" s="3">
        <f>IFERROR(VLOOKUP(L285,SEGURO_TBL,3,0),"")</f>
        <v/>
      </c>
      <c r="BV285" s="3">
        <f>IF(BU285="",NEUTRO,MAX(0,MIN(100,100*(SEG_REF_MAX-BU285)/(SEG_REF_MAX-SEG_REF_MIN))))</f>
        <v/>
      </c>
      <c r="BW285" s="3">
        <f>W_ET*BS285+W_CONS*BT285+W_SEG*BV285</f>
        <v/>
      </c>
      <c r="BX285" s="3">
        <f>IF(N(AB285)&gt;0,AB285,IF(AND(R285="profesional",SG_LEGAL_ON=1),GAR_LEGAL,0))</f>
        <v/>
      </c>
      <c r="BY285" s="3">
        <f>SG_GAR*MIN(1,BX285/SG_GAR_FULL)+SG_AMPL*(AC285="sí")+SG_KMC*(AF285="sí")+SG_REV*(N(AE285)&gt;0)+SG_DEV*MIN(1,N(AG285)/SG_DEV_FULL)+SG_HIST*(W285="sí")</f>
        <v/>
      </c>
      <c r="BZ285" s="3">
        <f>IFERROR(VLOOKUP(L285,CARR_PEN_TBL,2,0),0)</f>
        <v/>
      </c>
      <c r="CA285" s="3">
        <f>W_FIAB*BL285+W_PRECIO*BM285+W_KMEDAD*BQ285+W_ANUNCIO*BR285+W_USO*BW285+W_SEGURIDAD*BY285-BZ285</f>
        <v/>
      </c>
      <c r="CB285" s="4">
        <f>IF(N(I285)&gt;0,I285,IFERROR(ROUND(_xlfn.NUMBERVALUE(LEFT(G285,FIND(" ",G285&amp;" ")-1),".")*1000,0),99999))</f>
        <v/>
      </c>
      <c r="CC285" s="3">
        <f>IF(R285="profesional",0,IF(O285&lt;CUOTA_VALOR_MAX,IF(AU285&gt;ITP_TRAMO_ALTO,SUMIFS(CF_CUOTA,CF_MAS,ITP_TRAMO_ALTO,CF_CCMIN,"&lt;="&amp;CB285,CF_CCMAX,"&gt;="&amp;CB285),IF(AU285&gt;ITP_TRAMO_BAJO,SUMIFS(CF_CUOTA,CF_MAS,ITP_TRAMO_BAJO,CF_CCMIN,"&lt;="&amp;CB285,CF_CCMAX,"&gt;="&amp;CB285),O285*ITP_TIPO)),O285*ITP_TIPO))</f>
        <v/>
      </c>
      <c r="CD285" s="4">
        <f>IF(R285="profesional",N(AK285),0)</f>
        <v/>
      </c>
      <c r="CE285" s="3">
        <f>IF(AND(R285="profesional",ISNUMBER(AK285),AL285="sí"),0,TASA_DGT)</f>
        <v/>
      </c>
      <c r="CF285" s="3">
        <f>INFORME_DGT</f>
        <v/>
      </c>
      <c r="CG285" s="4">
        <f>O285+CD285+CC285+CE285+CF285</f>
        <v/>
      </c>
      <c r="CH285" s="4">
        <f>CG285+N(BU285)</f>
        <v/>
      </c>
      <c r="CI285" s="3">
        <f>IF(CG285&lt;=TOTAL_MAX,"sí",IF(CG285&lt;=TOTAL_MAX+MARGEN_NEG,"negociar","no"))</f>
        <v/>
      </c>
      <c r="CJ285" s="4">
        <f>IF(CI285&lt;&gt;"no",COUNTIFS($CI$2:$CI$662,"&lt;&gt;no",$CA$2:$CA$662,"&gt;"&amp;CA285)+COUNTIFS($CI$2:CI285,"&lt;&gt;no",$CA$2:CA285,CA285),"")</f>
        <v/>
      </c>
    </row>
    <row r="286">
      <c r="A286" s="2" t="inlineStr">
        <is>
          <t>cochesnet:71667405</t>
        </is>
      </c>
      <c r="B286" s="2" t="inlineStr">
        <is>
          <t>cochesnet</t>
        </is>
      </c>
      <c r="C286" s="2" t="inlineStr">
        <is>
          <t>https://www.coches.net/seat-leon-diesel-2011-en-valencia-71667405-covo.aspx</t>
        </is>
      </c>
      <c r="D286" s="2" t="inlineStr">
        <is>
          <t>SEAT Leon</t>
        </is>
      </c>
      <c r="E286" s="2" t="inlineStr">
        <is>
          <t>Seat</t>
        </is>
      </c>
      <c r="F286" s="2" t="inlineStr">
        <is>
          <t>Seat León</t>
        </is>
      </c>
      <c r="G286" s="2" t="n"/>
      <c r="H286" s="2" t="n"/>
      <c r="I286" s="2" t="n"/>
      <c r="J286" s="2" t="n"/>
      <c r="K286" s="2" t="inlineStr">
        <is>
          <t>diesel</t>
        </is>
      </c>
      <c r="L286" s="2" t="inlineStr">
        <is>
          <t>compacto</t>
        </is>
      </c>
      <c r="M286" s="2" t="n">
        <v>2011</v>
      </c>
      <c r="N286" s="2" t="n">
        <v>158646</v>
      </c>
      <c r="O286" s="2" t="n">
        <v>5100</v>
      </c>
      <c r="P286" s="2" t="inlineStr">
        <is>
          <t>manual</t>
        </is>
      </c>
      <c r="Q286" s="2" t="inlineStr">
        <is>
          <t>no</t>
        </is>
      </c>
      <c r="R286" s="2" t="inlineStr">
        <is>
          <t>particular</t>
        </is>
      </c>
      <c r="S286" s="2" t="n"/>
      <c r="T286" s="2" t="inlineStr">
        <is>
          <t>2026-10-03T23:41:58Z</t>
        </is>
      </c>
      <c r="U286" s="2" t="n">
        <v>5</v>
      </c>
      <c r="V286" s="2" t="n"/>
      <c r="W286" s="2" t="inlineStr">
        <is>
          <t>sí</t>
        </is>
      </c>
      <c r="X286" s="2" t="n"/>
      <c r="Y286" s="2" t="n"/>
      <c r="Z286" s="2" t="inlineStr">
        <is>
          <t>no</t>
        </is>
      </c>
      <c r="AA286" s="2" t="n"/>
      <c r="AB286" s="2" t="n"/>
      <c r="AC286" s="2" t="n"/>
      <c r="AD286" s="2" t="n"/>
      <c r="AE286" s="2" t="n"/>
      <c r="AF286" s="2" t="n"/>
      <c r="AG286" s="2" t="n"/>
      <c r="AH286" s="2" t="n">
        <v>5100</v>
      </c>
      <c r="AI286" s="2" t="n"/>
      <c r="AJ286" s="2" t="n"/>
      <c r="AK286" s="2" t="n"/>
      <c r="AL286" s="2" t="n"/>
      <c r="AM286" s="2" t="n"/>
      <c r="AN286" s="2" t="n">
        <v>5300</v>
      </c>
      <c r="AO286" s="2" t="n">
        <v>5</v>
      </c>
      <c r="AP286" s="2" t="inlineStr">
        <is>
          <t>modelo+año+km</t>
        </is>
      </c>
      <c r="AQ286" s="2" t="n"/>
      <c r="AR28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286" s="2" t="inlineStr">
        <is>
          <t xml:space="preserve">se vebde un seat leon del 2011 1.6 tdi una bestia mantenimiento al día ITV todo el día, esta actual en ibiza mas infora por fa al wasp  
gracias </t>
        </is>
      </c>
      <c r="AT286" s="2" t="inlineStr">
        <is>
          <t>https://www.coches.net/seat-leon-diesel-2011-en-valencia-71667405-covo.aspx (window.__INITIAL_PROPS__.ad) /home/user/Alopecia/buscador-coches/raw/cochesnet/19ee857abd4a0702.json</t>
        </is>
      </c>
      <c r="AU286" s="3">
        <f>MAX(ANIO_ACTUAL-M286,0)</f>
        <v/>
      </c>
      <c r="AV286" s="4">
        <f>N286/MAX(AU286,0.5)</f>
        <v/>
      </c>
      <c r="AW286" s="4">
        <f>F286</f>
        <v/>
      </c>
      <c r="AX286" s="3">
        <f>AW286&amp;"|"&amp;INT(M286/SEG_ANIO)*SEG_ANIO</f>
        <v/>
      </c>
      <c r="AY286" s="3">
        <f>AX286&amp;"|"&amp;INT(N286/SEG_KM)*SEG_KM</f>
        <v/>
      </c>
      <c r="AZ286" s="4">
        <f>COUNTIF($AW$2:$AW$662,AW286)</f>
        <v/>
      </c>
      <c r="BA286" s="4">
        <f>COUNTIF($AX$2:$AX$662,AX286)</f>
        <v/>
      </c>
      <c r="BB286" s="4">
        <f>COUNTIF($AY$2:$AY$662,AY286)</f>
        <v/>
      </c>
      <c r="BC286" s="3">
        <f t="array" ref="BC286">IF(N(AO286)&gt;=MIN_N,AN286,IF(BB286&gt;=MIN_N,MEDIAN(IF($AY$2:$AY$662=AY286,$O$2:$O$662)),IF(BA286&gt;=MIN_N,MEDIAN(IF($AX$2:$AX$662=AX286,$O$2:$O$662)),MEDIAN(IF($AW$2:$AW$662=AW286,$O$2:$O$662)))))</f>
        <v/>
      </c>
      <c r="BD286" s="3">
        <f>IF(N(AO286)&gt;=MIN_N,"mercado "&amp;AP286,IF(BB286&gt;=MIN_N,"modelo+año+km",IF(BA286&gt;=MIN_N,"modelo+año","modelo")))</f>
        <v/>
      </c>
      <c r="BE286" s="4">
        <f>(BC286-O286)/BC286</f>
        <v/>
      </c>
      <c r="BF286" s="3">
        <f>IF(OR(K286="hibrido",K286="glp"),"ECO",IF(K286="electrico","CERO",IF(K286="gasolina",IF(M286&gt;=GAS_C,"C",IF(M286&gt;=GAS_B,"B","A")),IF(K286="diesel",IF(M286&gt;=DIE_C,"C",IF(M286&gt;=DIE_B,"B","A")),""))))</f>
        <v/>
      </c>
      <c r="BG286" s="3">
        <f>IFERROR(VLOOKUP(F286,MOD_TBL,11,0),IFERROR(VLOOKUP(E286,OCU_TBL,2,0),NEUTRO))</f>
        <v/>
      </c>
      <c r="BH286" s="3">
        <f>SUMIFS(MOT_AJUSTE,MOT_MOTOR,G286,MOT_MARCA,E286,MOT_DESDE,"&lt;="&amp;M286,MOT_HASTA,"&gt;="&amp;M286)+SUMIFS(MOT_AJUSTE,MOT_MOTOR,G286,MOT_MARCA,"(todas)",MOT_DESDE,"&lt;="&amp;M286,MOT_HASTA,"&gt;="&amp;M286)</f>
        <v/>
      </c>
      <c r="BI286" s="3">
        <f>SUMIFS(COMB_AJUSTE,COMB_COMB,K286)</f>
        <v/>
      </c>
      <c r="BJ286" s="3">
        <f>COUNTIFS(MOT_MOTOR,G286,MOT_MARCA,E286,MOT_DESDE,"&lt;="&amp;M286,MOT_HASTA,"&gt;="&amp;M286)+COUNTIFS(MOT_MOTOR,G286,MOT_MARCA,"(todas)",MOT_DESDE,"&lt;="&amp;M286,MOT_HASTA,"&gt;="&amp;M286)</f>
        <v/>
      </c>
      <c r="BK286" s="3">
        <f>IF(AND(K286="diesel",BJ286=0),MIN(BG286,NEUTRO),BG286)</f>
        <v/>
      </c>
      <c r="BL286" s="4">
        <f>MAX(0,MIN(100,BK286+BH286+BI286))</f>
        <v/>
      </c>
      <c r="BM286" s="3">
        <f>MAX(0,MIN(100,50+BE286*PRECIO_PEND))</f>
        <v/>
      </c>
      <c r="BN286" s="3">
        <f>MAX(0,100*(1-N286/KM_MAX))</f>
        <v/>
      </c>
      <c r="BO286" s="3">
        <f>IF(AV286&lt;KMA_SOSP,IF(AA286="sí",100,KMA_PEN),IF(AV286&lt;=KMA_IDEAL_MAX,100,MAX(0,100*(KMA_CERO-AV286)/(KMA_CERO-KMA_IDEAL_MAX))))</f>
        <v/>
      </c>
      <c r="BP286" s="3">
        <f>MAX(0,MIN(100,100*(M286-ANIO_MIN)/(ANIO_ACTUAL-ANIO_MIN)))</f>
        <v/>
      </c>
      <c r="BQ286" s="3">
        <f>W_KMT*BN286+W_KMA*BO286+W_EDAD*BP286</f>
        <v/>
      </c>
      <c r="BR286" s="3">
        <f>P_ITV*(V286="sí")+P_LIBRO*(W286="sí")+P_CORREA*(X286="sí")+P_PROP*(Y286=1)+P_GAR*(Z286="sí")+P_FOTOS*MIN(1,N(U286)/FOTOS_OBJ)</f>
        <v/>
      </c>
      <c r="BS286" s="3">
        <f>IFERROR(VLOOKUP(BF286,ETQ_TBL,2,0),NEUTRO)</f>
        <v/>
      </c>
      <c r="BT286" s="3">
        <f>NEUTRO</f>
        <v/>
      </c>
      <c r="BU286" s="3">
        <f>IFERROR(VLOOKUP(L286,SEGURO_TBL,3,0),"")</f>
        <v/>
      </c>
      <c r="BV286" s="3">
        <f>IF(BU286="",NEUTRO,MAX(0,MIN(100,100*(SEG_REF_MAX-BU286)/(SEG_REF_MAX-SEG_REF_MIN))))</f>
        <v/>
      </c>
      <c r="BW286" s="3">
        <f>W_ET*BS286+W_CONS*BT286+W_SEG*BV286</f>
        <v/>
      </c>
      <c r="BX286" s="3">
        <f>IF(N(AB286)&gt;0,AB286,IF(AND(R286="profesional",SG_LEGAL_ON=1),GAR_LEGAL,0))</f>
        <v/>
      </c>
      <c r="BY286" s="3">
        <f>SG_GAR*MIN(1,BX286/SG_GAR_FULL)+SG_AMPL*(AC286="sí")+SG_KMC*(AF286="sí")+SG_REV*(N(AE286)&gt;0)+SG_DEV*MIN(1,N(AG286)/SG_DEV_FULL)+SG_HIST*(W286="sí")</f>
        <v/>
      </c>
      <c r="BZ286" s="3">
        <f>IFERROR(VLOOKUP(L286,CARR_PEN_TBL,2,0),0)</f>
        <v/>
      </c>
      <c r="CA286" s="3">
        <f>W_FIAB*BL286+W_PRECIO*BM286+W_KMEDAD*BQ286+W_ANUNCIO*BR286+W_USO*BW286+W_SEGURIDAD*BY286-BZ286</f>
        <v/>
      </c>
      <c r="CB286" s="4">
        <f>IF(N(I286)&gt;0,I286,IFERROR(ROUND(_xlfn.NUMBERVALUE(LEFT(G286,FIND(" ",G286&amp;" ")-1),".")*1000,0),99999))</f>
        <v/>
      </c>
      <c r="CC286" s="3">
        <f>IF(R286="profesional",0,IF(O286&lt;CUOTA_VALOR_MAX,IF(AU286&gt;ITP_TRAMO_ALTO,SUMIFS(CF_CUOTA,CF_MAS,ITP_TRAMO_ALTO,CF_CCMIN,"&lt;="&amp;CB286,CF_CCMAX,"&gt;="&amp;CB286),IF(AU286&gt;ITP_TRAMO_BAJO,SUMIFS(CF_CUOTA,CF_MAS,ITP_TRAMO_BAJO,CF_CCMIN,"&lt;="&amp;CB286,CF_CCMAX,"&gt;="&amp;CB286),O286*ITP_TIPO)),O286*ITP_TIPO))</f>
        <v/>
      </c>
      <c r="CD286" s="4">
        <f>IF(R286="profesional",N(AK286),0)</f>
        <v/>
      </c>
      <c r="CE286" s="3">
        <f>IF(AND(R286="profesional",ISNUMBER(AK286),AL286="sí"),0,TASA_DGT)</f>
        <v/>
      </c>
      <c r="CF286" s="3">
        <f>INFORME_DGT</f>
        <v/>
      </c>
      <c r="CG286" s="4">
        <f>O286+CD286+CC286+CE286+CF286</f>
        <v/>
      </c>
      <c r="CH286" s="4">
        <f>CG286+N(BU286)</f>
        <v/>
      </c>
      <c r="CI286" s="3">
        <f>IF(CG286&lt;=TOTAL_MAX,"sí",IF(CG286&lt;=TOTAL_MAX+MARGEN_NEG,"negociar","no"))</f>
        <v/>
      </c>
      <c r="CJ286" s="4">
        <f>IF(CI286&lt;&gt;"no",COUNTIFS($CI$2:$CI$662,"&lt;&gt;no",$CA$2:$CA$662,"&gt;"&amp;CA286)+COUNTIFS($CI$2:CI286,"&lt;&gt;no",$CA$2:CA286,CA286),"")</f>
        <v/>
      </c>
    </row>
    <row r="287">
      <c r="A287" s="2" t="inlineStr">
        <is>
          <t>cochesnet:71615876</t>
        </is>
      </c>
      <c r="B287" s="2" t="inlineStr">
        <is>
          <t>cochesnet</t>
        </is>
      </c>
      <c r="C287" s="2" t="inlineStr">
        <is>
          <t>https://www.coches.net/seat-leon-diesel-2008-en-valencia-71615876-covo.aspx</t>
        </is>
      </c>
      <c r="D287" s="2" t="inlineStr">
        <is>
          <t>SEAT Leon</t>
        </is>
      </c>
      <c r="E287" s="2" t="inlineStr">
        <is>
          <t>Seat</t>
        </is>
      </c>
      <c r="F287" s="2" t="inlineStr">
        <is>
          <t>Seat León</t>
        </is>
      </c>
      <c r="G287" s="2" t="n"/>
      <c r="H287" s="2" t="n"/>
      <c r="I287" s="2" t="n"/>
      <c r="J287" s="2" t="n"/>
      <c r="K287" s="2" t="inlineStr">
        <is>
          <t>diesel</t>
        </is>
      </c>
      <c r="L287" s="2" t="inlineStr">
        <is>
          <t>compacto</t>
        </is>
      </c>
      <c r="M287" s="2" t="n">
        <v>2008</v>
      </c>
      <c r="N287" s="2" t="n">
        <v>215000</v>
      </c>
      <c r="O287" s="2" t="n">
        <v>4900</v>
      </c>
      <c r="P287" s="2" t="inlineStr">
        <is>
          <t>manual</t>
        </is>
      </c>
      <c r="Q287" s="2" t="inlineStr">
        <is>
          <t>no</t>
        </is>
      </c>
      <c r="R287" s="2" t="inlineStr">
        <is>
          <t>particular</t>
        </is>
      </c>
      <c r="S287" s="2" t="inlineStr">
        <is>
          <t>Valencia</t>
        </is>
      </c>
      <c r="T287" s="2" t="inlineStr">
        <is>
          <t>2026-09-28T13:04:02Z</t>
        </is>
      </c>
      <c r="U287" s="2" t="n">
        <v>9</v>
      </c>
      <c r="V287" s="2" t="inlineStr">
        <is>
          <t>sí</t>
        </is>
      </c>
      <c r="W287" s="2" t="n"/>
      <c r="X287" s="2" t="n"/>
      <c r="Y287" s="2" t="n"/>
      <c r="Z287" s="2" t="inlineStr">
        <is>
          <t>no</t>
        </is>
      </c>
      <c r="AA287" s="2" t="n"/>
      <c r="AB287" s="2" t="n"/>
      <c r="AC287" s="2" t="n"/>
      <c r="AD287" s="2" t="n"/>
      <c r="AE287" s="2" t="n"/>
      <c r="AF287" s="2" t="n"/>
      <c r="AG287" s="2" t="n"/>
      <c r="AH287" s="2" t="n">
        <v>4900</v>
      </c>
      <c r="AI287" s="2" t="n"/>
      <c r="AJ287" s="2" t="n"/>
      <c r="AK287" s="2" t="n"/>
      <c r="AL287" s="2" t="n"/>
      <c r="AM287" s="2" t="n">
        <v>0.1</v>
      </c>
      <c r="AN287" s="2" t="n">
        <v>4500</v>
      </c>
      <c r="AO287" s="2" t="n">
        <v>10</v>
      </c>
      <c r="AP287" s="2" t="inlineStr">
        <is>
          <t>modelo+año+km</t>
        </is>
      </c>
      <c r="AQ287" s="2" t="n"/>
      <c r="AR287" s="2" t="inlineStr">
        <is>
          <t>por encima del presupuesto (5104 €), negociar; cilindrada desconocida: se aplica el tramo de cuota fija más alto; cuota fija ITP: &gt;12 años, más de 2.000 cc; diésel: motor sin fuente de fiabilidad (fiabilidad limitada a neutra)</t>
        </is>
      </c>
      <c r="AS287" s="2" t="inlineStr">
        <is>
          <t>Vendo Seat Leon 1.9 TDI, año 2008, buen estado-
 ITV recién pasada, válida hasta el 17/09/2027
Año de fabricación: 2008
Kilometraje: 215 000 km
Cilindrada: 1.896 cm³
Potencia: 77 kW (104 CV)
Combustible: diésel
Estado: bueno
Caja de cambios: manual de 5 velocidades
Carrocería: hatchback
Color: gris metalizado
Equipamiento y sistemas de seguridad:
* 6 airbags
* ABS
* ESP
Sistemas de seguridad del vehículo:
* Inmovilizador
* Cierre centralizado
* Cierre centralizado con mando a distancia
Equipamiento interior y confort:
* Climatizador bizona
* Elevalunas eléctricos delanteros
* Retrovisores eléctricos
* Volante multifunción
* Volante regulable
* Termómetro exterior
* Retrovisores calefactables
Sistemas multimedia y de a bordo:
* Radio original
* Bluetooth
* Reproductor de CD
* USB
* Ordenador de a bordo
Asientos:
* Asiento del conductor regulable en altura
* ITV recién pasada, válida hasta el 17/09/2027.
* 2 llaves.
Por favor, contacten por WhatsApp</t>
        </is>
      </c>
      <c r="AT287" s="2" t="inlineStr">
        <is>
          <t>https://www.coches.net/seat-leon-diesel-2008-en-valencia-71615876-covo.aspx (window.__INITIAL_PROPS__.ad) /home/user/Alopecia/buscador-coches/raw/cochesnet/8d559c54762ba194.json</t>
        </is>
      </c>
      <c r="AU287" s="3">
        <f>MAX(ANIO_ACTUAL-M287,0)</f>
        <v/>
      </c>
      <c r="AV287" s="4">
        <f>N287/MAX(AU287,0.5)</f>
        <v/>
      </c>
      <c r="AW287" s="4">
        <f>F287</f>
        <v/>
      </c>
      <c r="AX287" s="3">
        <f>AW287&amp;"|"&amp;INT(M287/SEG_ANIO)*SEG_ANIO</f>
        <v/>
      </c>
      <c r="AY287" s="3">
        <f>AX287&amp;"|"&amp;INT(N287/SEG_KM)*SEG_KM</f>
        <v/>
      </c>
      <c r="AZ287" s="4">
        <f>COUNTIF($AW$2:$AW$662,AW287)</f>
        <v/>
      </c>
      <c r="BA287" s="4">
        <f>COUNTIF($AX$2:$AX$662,AX287)</f>
        <v/>
      </c>
      <c r="BB287" s="4">
        <f>COUNTIF($AY$2:$AY$662,AY287)</f>
        <v/>
      </c>
      <c r="BC287" s="3">
        <f t="array" ref="BC287">IF(N(AO287)&gt;=MIN_N,AN287,IF(BB287&gt;=MIN_N,MEDIAN(IF($AY$2:$AY$662=AY287,$O$2:$O$662)),IF(BA287&gt;=MIN_N,MEDIAN(IF($AX$2:$AX$662=AX287,$O$2:$O$662)),MEDIAN(IF($AW$2:$AW$662=AW287,$O$2:$O$662)))))</f>
        <v/>
      </c>
      <c r="BD287" s="3">
        <f>IF(N(AO287)&gt;=MIN_N,"mercado "&amp;AP287,IF(BB287&gt;=MIN_N,"modelo+año+km",IF(BA287&gt;=MIN_N,"modelo+año","modelo")))</f>
        <v/>
      </c>
      <c r="BE287" s="4">
        <f>(BC287-O287)/BC287</f>
        <v/>
      </c>
      <c r="BF287" s="3">
        <f>IF(OR(K287="hibrido",K287="glp"),"ECO",IF(K287="electrico","CERO",IF(K287="gasolina",IF(M287&gt;=GAS_C,"C",IF(M287&gt;=GAS_B,"B","A")),IF(K287="diesel",IF(M287&gt;=DIE_C,"C",IF(M287&gt;=DIE_B,"B","A")),""))))</f>
        <v/>
      </c>
      <c r="BG287" s="3">
        <f>IFERROR(VLOOKUP(F287,MOD_TBL,11,0),IFERROR(VLOOKUP(E287,OCU_TBL,2,0),NEUTRO))</f>
        <v/>
      </c>
      <c r="BH287" s="3">
        <f>SUMIFS(MOT_AJUSTE,MOT_MOTOR,G287,MOT_MARCA,E287,MOT_DESDE,"&lt;="&amp;M287,MOT_HASTA,"&gt;="&amp;M287)+SUMIFS(MOT_AJUSTE,MOT_MOTOR,G287,MOT_MARCA,"(todas)",MOT_DESDE,"&lt;="&amp;M287,MOT_HASTA,"&gt;="&amp;M287)</f>
        <v/>
      </c>
      <c r="BI287" s="3">
        <f>SUMIFS(COMB_AJUSTE,COMB_COMB,K287)</f>
        <v/>
      </c>
      <c r="BJ287" s="3">
        <f>COUNTIFS(MOT_MOTOR,G287,MOT_MARCA,E287,MOT_DESDE,"&lt;="&amp;M287,MOT_HASTA,"&gt;="&amp;M287)+COUNTIFS(MOT_MOTOR,G287,MOT_MARCA,"(todas)",MOT_DESDE,"&lt;="&amp;M287,MOT_HASTA,"&gt;="&amp;M287)</f>
        <v/>
      </c>
      <c r="BK287" s="3">
        <f>IF(AND(K287="diesel",BJ287=0),MIN(BG287,NEUTRO),BG287)</f>
        <v/>
      </c>
      <c r="BL287" s="4">
        <f>MAX(0,MIN(100,BK287+BH287+BI287))</f>
        <v/>
      </c>
      <c r="BM287" s="3">
        <f>MAX(0,MIN(100,50+BE287*PRECIO_PEND))</f>
        <v/>
      </c>
      <c r="BN287" s="3">
        <f>MAX(0,100*(1-N287/KM_MAX))</f>
        <v/>
      </c>
      <c r="BO287" s="3">
        <f>IF(AV287&lt;KMA_SOSP,IF(AA287="sí",100,KMA_PEN),IF(AV287&lt;=KMA_IDEAL_MAX,100,MAX(0,100*(KMA_CERO-AV287)/(KMA_CERO-KMA_IDEAL_MAX))))</f>
        <v/>
      </c>
      <c r="BP287" s="3">
        <f>MAX(0,MIN(100,100*(M287-ANIO_MIN)/(ANIO_ACTUAL-ANIO_MIN)))</f>
        <v/>
      </c>
      <c r="BQ287" s="3">
        <f>W_KMT*BN287+W_KMA*BO287+W_EDAD*BP287</f>
        <v/>
      </c>
      <c r="BR287" s="3">
        <f>P_ITV*(V287="sí")+P_LIBRO*(W287="sí")+P_CORREA*(X287="sí")+P_PROP*(Y287=1)+P_GAR*(Z287="sí")+P_FOTOS*MIN(1,N(U287)/FOTOS_OBJ)</f>
        <v/>
      </c>
      <c r="BS287" s="3">
        <f>IFERROR(VLOOKUP(BF287,ETQ_TBL,2,0),NEUTRO)</f>
        <v/>
      </c>
      <c r="BT287" s="3">
        <f>NEUTRO</f>
        <v/>
      </c>
      <c r="BU287" s="3">
        <f>IFERROR(VLOOKUP(L287,SEGURO_TBL,3,0),"")</f>
        <v/>
      </c>
      <c r="BV287" s="3">
        <f>IF(BU287="",NEUTRO,MAX(0,MIN(100,100*(SEG_REF_MAX-BU287)/(SEG_REF_MAX-SEG_REF_MIN))))</f>
        <v/>
      </c>
      <c r="BW287" s="3">
        <f>W_ET*BS287+W_CONS*BT287+W_SEG*BV287</f>
        <v/>
      </c>
      <c r="BX287" s="3">
        <f>IF(N(AB287)&gt;0,AB287,IF(AND(R287="profesional",SG_LEGAL_ON=1),GAR_LEGAL,0))</f>
        <v/>
      </c>
      <c r="BY287" s="3">
        <f>SG_GAR*MIN(1,BX287/SG_GAR_FULL)+SG_AMPL*(AC287="sí")+SG_KMC*(AF287="sí")+SG_REV*(N(AE287)&gt;0)+SG_DEV*MIN(1,N(AG287)/SG_DEV_FULL)+SG_HIST*(W287="sí")</f>
        <v/>
      </c>
      <c r="BZ287" s="3">
        <f>IFERROR(VLOOKUP(L287,CARR_PEN_TBL,2,0),0)</f>
        <v/>
      </c>
      <c r="CA287" s="3">
        <f>W_FIAB*BL287+W_PRECIO*BM287+W_KMEDAD*BQ287+W_ANUNCIO*BR287+W_USO*BW287+W_SEGURIDAD*BY287-BZ287</f>
        <v/>
      </c>
      <c r="CB287" s="4">
        <f>IF(N(I287)&gt;0,I287,IFERROR(ROUND(_xlfn.NUMBERVALUE(LEFT(G287,FIND(" ",G287&amp;" ")-1),".")*1000,0),99999))</f>
        <v/>
      </c>
      <c r="CC287" s="3">
        <f>IF(R287="profesional",0,IF(O287&lt;CUOTA_VALOR_MAX,IF(AU287&gt;ITP_TRAMO_ALTO,SUMIFS(CF_CUOTA,CF_MAS,ITP_TRAMO_ALTO,CF_CCMIN,"&lt;="&amp;CB287,CF_CCMAX,"&gt;="&amp;CB287),IF(AU287&gt;ITP_TRAMO_BAJO,SUMIFS(CF_CUOTA,CF_MAS,ITP_TRAMO_BAJO,CF_CCMIN,"&lt;="&amp;CB287,CF_CCMAX,"&gt;="&amp;CB287),O287*ITP_TIPO)),O287*ITP_TIPO))</f>
        <v/>
      </c>
      <c r="CD287" s="4">
        <f>IF(R287="profesional",N(AK287),0)</f>
        <v/>
      </c>
      <c r="CE287" s="3">
        <f>IF(AND(R287="profesional",ISNUMBER(AK287),AL287="sí"),0,TASA_DGT)</f>
        <v/>
      </c>
      <c r="CF287" s="3">
        <f>INFORME_DGT</f>
        <v/>
      </c>
      <c r="CG287" s="4">
        <f>O287+CD287+CC287+CE287+CF287</f>
        <v/>
      </c>
      <c r="CH287" s="4">
        <f>CG287+N(BU287)</f>
        <v/>
      </c>
      <c r="CI287" s="3">
        <f>IF(CG287&lt;=TOTAL_MAX,"sí",IF(CG287&lt;=TOTAL_MAX+MARGEN_NEG,"negociar","no"))</f>
        <v/>
      </c>
      <c r="CJ287" s="4">
        <f>IF(CI287&lt;&gt;"no",COUNTIFS($CI$2:$CI$662,"&lt;&gt;no",$CA$2:$CA$662,"&gt;"&amp;CA287)+COUNTIFS($CI$2:CI287,"&lt;&gt;no",$CA$2:CA287,CA287),"")</f>
        <v/>
      </c>
    </row>
    <row r="288">
      <c r="A288" s="2" t="inlineStr">
        <is>
          <t>cochesnet:71866787</t>
        </is>
      </c>
      <c r="B288" s="2" t="inlineStr">
        <is>
          <t>cochesnet</t>
        </is>
      </c>
      <c r="C288" s="2" t="inlineStr">
        <is>
          <t>https://www.coches.net/volkswagen-polo-12-edition-70cv-5p-gasolina-2008-en-valencia-71866787-covo.aspx</t>
        </is>
      </c>
      <c r="D288" s="2" t="inlineStr">
        <is>
          <t>VOLKSWAGEN Polo 1.2 Edition</t>
        </is>
      </c>
      <c r="E288" s="2" t="inlineStr">
        <is>
          <t>Volkswagen</t>
        </is>
      </c>
      <c r="F288" s="2" t="inlineStr">
        <is>
          <t>Volkswagen Polo</t>
        </is>
      </c>
      <c r="G288" s="2" t="inlineStr">
        <is>
          <t>1.2</t>
        </is>
      </c>
      <c r="H288" s="2" t="inlineStr">
        <is>
          <t>1.2 Edition 70cv</t>
        </is>
      </c>
      <c r="I288" s="2" t="n"/>
      <c r="J288" s="2" t="n">
        <v>70</v>
      </c>
      <c r="K288" s="2" t="inlineStr">
        <is>
          <t>gasolina</t>
        </is>
      </c>
      <c r="L288" s="2" t="inlineStr">
        <is>
          <t>utilitario</t>
        </is>
      </c>
      <c r="M288" s="2" t="n">
        <v>2008</v>
      </c>
      <c r="N288" s="2" t="n">
        <v>134000</v>
      </c>
      <c r="O288" s="2" t="n">
        <v>4990</v>
      </c>
      <c r="P288" s="2" t="inlineStr">
        <is>
          <t>manual</t>
        </is>
      </c>
      <c r="Q288" s="2" t="inlineStr">
        <is>
          <t>no</t>
        </is>
      </c>
      <c r="R288" s="2" t="inlineStr">
        <is>
          <t>profesional</t>
        </is>
      </c>
      <c r="S288" s="2" t="inlineStr">
        <is>
          <t>Alboraya</t>
        </is>
      </c>
      <c r="T288" s="2" t="inlineStr">
        <is>
          <t>2026-10-29T23:22:57Z</t>
        </is>
      </c>
      <c r="U288" s="2" t="n">
        <v>13</v>
      </c>
      <c r="V288" s="2" t="inlineStr">
        <is>
          <t>sí</t>
        </is>
      </c>
      <c r="W288" s="2" t="n"/>
      <c r="X288" s="2" t="n"/>
      <c r="Y288" s="2" t="n"/>
      <c r="Z288" s="2" t="inlineStr">
        <is>
          <t>sí</t>
        </is>
      </c>
      <c r="AA288" s="2" t="n"/>
      <c r="AB288" s="2" t="n">
        <v>12</v>
      </c>
      <c r="AC288" s="2" t="n"/>
      <c r="AD288" s="2" t="n"/>
      <c r="AE288" s="2" t="n"/>
      <c r="AF288" s="2" t="n"/>
      <c r="AG288" s="2" t="n"/>
      <c r="AH288" s="2" t="n">
        <v>4990</v>
      </c>
      <c r="AI288" s="2" t="n">
        <v>4990</v>
      </c>
      <c r="AJ288" s="2" t="n"/>
      <c r="AK288" s="2" t="n"/>
      <c r="AL288" s="2" t="n"/>
      <c r="AM288" s="2" t="n">
        <v>4</v>
      </c>
      <c r="AN288" s="2" t="n">
        <v>4990</v>
      </c>
      <c r="AO288" s="2" t="n">
        <v>7</v>
      </c>
      <c r="AP288" s="2" t="inlineStr">
        <is>
          <t>modelo+año+km</t>
        </is>
      </c>
      <c r="AQ288" s="2" t="inlineStr">
        <is>
          <t>wallapop:1315758352 (https://es.wallapop.com/item/volkswagen-polo-2008-1315758352)</t>
        </is>
      </c>
      <c r="AR288" s="2" t="inlineStr">
        <is>
          <t>por encima del presupuesto (5054 €), negociar; vendedor profesional: sin ITP (operación con IVA/REBU, confirmar en factura); gastos de gestión del vendedor no indicados: se suma la tasa DGT; preguntar el precio final</t>
        </is>
      </c>
      <c r="AS288" s="2" t="inlineStr">
        <is>
          <t>VOLKSWAGEN POLO 1.2i GASOLINA · 2008 · 134.000 KM
Un urbano práctico, económico y versátil, ideal para moverse por la ciudad y para el día a día. Este Volkswagen Polo destaca por su motor gasolina 1.2i, su tamaño compacto y su facilidad de conducción y aparcamiento.
??? Estado y mantenimiento:
?? Vehículo nacional.
?? 134.000 km.
?? Se entrega con la ITV en vigor.
?? Revisión recién realizada antes de la entrega.
?? Equipamiento destacado:
?? Confort y conducción: Dirección asistida Servotronic, aire acondicionado y manejo cómodo y sencillo.
?? Tecnología y multimedia: Ordenador de a bordo y equipo de música MP3.
?? Comodidad y funcionalidad: Elevalunas eléctricos y retrovisores eléctricos.
?? Seguridad y familia: Anclajes ISOFIX para sillas infantiles.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AT288" s="2" t="inlineStr">
        <is>
          <t>https://www.coches.net/volkswagen-polo-12-edition-70cv-5p-gasolina-2008-en-valencia-71866787-covo.aspx (window.__INITIAL_PROPS__.ad) /home/user/Alopecia/buscador-coches/raw/cochesnet/b16c9cb1905015d4.json</t>
        </is>
      </c>
      <c r="AU288" s="3">
        <f>MAX(ANIO_ACTUAL-M288,0)</f>
        <v/>
      </c>
      <c r="AV288" s="4">
        <f>N288/MAX(AU288,0.5)</f>
        <v/>
      </c>
      <c r="AW288" s="4">
        <f>F288</f>
        <v/>
      </c>
      <c r="AX288" s="3">
        <f>AW288&amp;"|"&amp;INT(M288/SEG_ANIO)*SEG_ANIO</f>
        <v/>
      </c>
      <c r="AY288" s="3">
        <f>AX288&amp;"|"&amp;INT(N288/SEG_KM)*SEG_KM</f>
        <v/>
      </c>
      <c r="AZ288" s="4">
        <f>COUNTIF($AW$2:$AW$662,AW288)</f>
        <v/>
      </c>
      <c r="BA288" s="4">
        <f>COUNTIF($AX$2:$AX$662,AX288)</f>
        <v/>
      </c>
      <c r="BB288" s="4">
        <f>COUNTIF($AY$2:$AY$662,AY288)</f>
        <v/>
      </c>
      <c r="BC288" s="3">
        <f t="array" ref="BC288">IF(N(AO288)&gt;=MIN_N,AN288,IF(BB288&gt;=MIN_N,MEDIAN(IF($AY$2:$AY$662=AY288,$O$2:$O$662)),IF(BA288&gt;=MIN_N,MEDIAN(IF($AX$2:$AX$662=AX288,$O$2:$O$662)),MEDIAN(IF($AW$2:$AW$662=AW288,$O$2:$O$662)))))</f>
        <v/>
      </c>
      <c r="BD288" s="3">
        <f>IF(N(AO288)&gt;=MIN_N,"mercado "&amp;AP288,IF(BB288&gt;=MIN_N,"modelo+año+km",IF(BA288&gt;=MIN_N,"modelo+año","modelo")))</f>
        <v/>
      </c>
      <c r="BE288" s="4">
        <f>(BC288-O288)/BC288</f>
        <v/>
      </c>
      <c r="BF288" s="3">
        <f>IF(OR(K288="hibrido",K288="glp"),"ECO",IF(K288="electrico","CERO",IF(K288="gasolina",IF(M288&gt;=GAS_C,"C",IF(M288&gt;=GAS_B,"B","A")),IF(K288="diesel",IF(M288&gt;=DIE_C,"C",IF(M288&gt;=DIE_B,"B","A")),""))))</f>
        <v/>
      </c>
      <c r="BG288" s="3">
        <f>IFERROR(VLOOKUP(F288,MOD_TBL,11,0),IFERROR(VLOOKUP(E288,OCU_TBL,2,0),NEUTRO))</f>
        <v/>
      </c>
      <c r="BH288" s="3">
        <f>SUMIFS(MOT_AJUSTE,MOT_MOTOR,G288,MOT_MARCA,E288,MOT_DESDE,"&lt;="&amp;M288,MOT_HASTA,"&gt;="&amp;M288)+SUMIFS(MOT_AJUSTE,MOT_MOTOR,G288,MOT_MARCA,"(todas)",MOT_DESDE,"&lt;="&amp;M288,MOT_HASTA,"&gt;="&amp;M288)</f>
        <v/>
      </c>
      <c r="BI288" s="3">
        <f>SUMIFS(COMB_AJUSTE,COMB_COMB,K288)</f>
        <v/>
      </c>
      <c r="BJ288" s="3">
        <f>COUNTIFS(MOT_MOTOR,G288,MOT_MARCA,E288,MOT_DESDE,"&lt;="&amp;M288,MOT_HASTA,"&gt;="&amp;M288)+COUNTIFS(MOT_MOTOR,G288,MOT_MARCA,"(todas)",MOT_DESDE,"&lt;="&amp;M288,MOT_HASTA,"&gt;="&amp;M288)</f>
        <v/>
      </c>
      <c r="BK288" s="3">
        <f>IF(AND(K288="diesel",BJ288=0),MIN(BG288,NEUTRO),BG288)</f>
        <v/>
      </c>
      <c r="BL288" s="4">
        <f>MAX(0,MIN(100,BK288+BH288+BI288))</f>
        <v/>
      </c>
      <c r="BM288" s="3">
        <f>MAX(0,MIN(100,50+BE288*PRECIO_PEND))</f>
        <v/>
      </c>
      <c r="BN288" s="3">
        <f>MAX(0,100*(1-N288/KM_MAX))</f>
        <v/>
      </c>
      <c r="BO288" s="3">
        <f>IF(AV288&lt;KMA_SOSP,IF(AA288="sí",100,KMA_PEN),IF(AV288&lt;=KMA_IDEAL_MAX,100,MAX(0,100*(KMA_CERO-AV288)/(KMA_CERO-KMA_IDEAL_MAX))))</f>
        <v/>
      </c>
      <c r="BP288" s="3">
        <f>MAX(0,MIN(100,100*(M288-ANIO_MIN)/(ANIO_ACTUAL-ANIO_MIN)))</f>
        <v/>
      </c>
      <c r="BQ288" s="3">
        <f>W_KMT*BN288+W_KMA*BO288+W_EDAD*BP288</f>
        <v/>
      </c>
      <c r="BR288" s="3">
        <f>P_ITV*(V288="sí")+P_LIBRO*(W288="sí")+P_CORREA*(X288="sí")+P_PROP*(Y288=1)+P_GAR*(Z288="sí")+P_FOTOS*MIN(1,N(U288)/FOTOS_OBJ)</f>
        <v/>
      </c>
      <c r="BS288" s="3">
        <f>IFERROR(VLOOKUP(BF288,ETQ_TBL,2,0),NEUTRO)</f>
        <v/>
      </c>
      <c r="BT288" s="3">
        <f>NEUTRO</f>
        <v/>
      </c>
      <c r="BU288" s="3">
        <f>IFERROR(VLOOKUP(L288,SEGURO_TBL,3,0),"")</f>
        <v/>
      </c>
      <c r="BV288" s="3">
        <f>IF(BU288="",NEUTRO,MAX(0,MIN(100,100*(SEG_REF_MAX-BU288)/(SEG_REF_MAX-SEG_REF_MIN))))</f>
        <v/>
      </c>
      <c r="BW288" s="3">
        <f>W_ET*BS288+W_CONS*BT288+W_SEG*BV288</f>
        <v/>
      </c>
      <c r="BX288" s="3">
        <f>IF(N(AB288)&gt;0,AB288,IF(AND(R288="profesional",SG_LEGAL_ON=1),GAR_LEGAL,0))</f>
        <v/>
      </c>
      <c r="BY288" s="3">
        <f>SG_GAR*MIN(1,BX288/SG_GAR_FULL)+SG_AMPL*(AC288="sí")+SG_KMC*(AF288="sí")+SG_REV*(N(AE288)&gt;0)+SG_DEV*MIN(1,N(AG288)/SG_DEV_FULL)+SG_HIST*(W288="sí")</f>
        <v/>
      </c>
      <c r="BZ288" s="3">
        <f>IFERROR(VLOOKUP(L288,CARR_PEN_TBL,2,0),0)</f>
        <v/>
      </c>
      <c r="CA288" s="3">
        <f>W_FIAB*BL288+W_PRECIO*BM288+W_KMEDAD*BQ288+W_ANUNCIO*BR288+W_USO*BW288+W_SEGURIDAD*BY288-BZ288</f>
        <v/>
      </c>
      <c r="CB288" s="4">
        <f>IF(N(I288)&gt;0,I288,IFERROR(ROUND(_xlfn.NUMBERVALUE(LEFT(G288,FIND(" ",G288&amp;" ")-1),".")*1000,0),99999))</f>
        <v/>
      </c>
      <c r="CC288" s="3">
        <f>IF(R288="profesional",0,IF(O288&lt;CUOTA_VALOR_MAX,IF(AU288&gt;ITP_TRAMO_ALTO,SUMIFS(CF_CUOTA,CF_MAS,ITP_TRAMO_ALTO,CF_CCMIN,"&lt;="&amp;CB288,CF_CCMAX,"&gt;="&amp;CB288),IF(AU288&gt;ITP_TRAMO_BAJO,SUMIFS(CF_CUOTA,CF_MAS,ITP_TRAMO_BAJO,CF_CCMIN,"&lt;="&amp;CB288,CF_CCMAX,"&gt;="&amp;CB288),O288*ITP_TIPO)),O288*ITP_TIPO))</f>
        <v/>
      </c>
      <c r="CD288" s="4">
        <f>IF(R288="profesional",N(AK288),0)</f>
        <v/>
      </c>
      <c r="CE288" s="3">
        <f>IF(AND(R288="profesional",ISNUMBER(AK288),AL288="sí"),0,TASA_DGT)</f>
        <v/>
      </c>
      <c r="CF288" s="3">
        <f>INFORME_DGT</f>
        <v/>
      </c>
      <c r="CG288" s="4">
        <f>O288+CD288+CC288+CE288+CF288</f>
        <v/>
      </c>
      <c r="CH288" s="4">
        <f>CG288+N(BU288)</f>
        <v/>
      </c>
      <c r="CI288" s="3">
        <f>IF(CG288&lt;=TOTAL_MAX,"sí",IF(CG288&lt;=TOTAL_MAX+MARGEN_NEG,"negociar","no"))</f>
        <v/>
      </c>
      <c r="CJ288" s="4">
        <f>IF(CI288&lt;&gt;"no",COUNTIFS($CI$2:$CI$662,"&lt;&gt;no",$CA$2:$CA$662,"&gt;"&amp;CA288)+COUNTIFS($CI$2:CI288,"&lt;&gt;no",$CA$2:CA288,CA288),"")</f>
        <v/>
      </c>
    </row>
    <row r="289">
      <c r="A289" s="2" t="inlineStr">
        <is>
          <t>cochesnet:71770392</t>
        </is>
      </c>
      <c r="B289" s="2" t="inlineStr">
        <is>
          <t>cochesnet</t>
        </is>
      </c>
      <c r="C289" s="2" t="inlineStr">
        <is>
          <t>https://www.coches.net/volkswagen-polo-14-united-80cv-5p-gasolina-2007-en-valencia-71770392-covo.aspx</t>
        </is>
      </c>
      <c r="D289" s="2" t="inlineStr">
        <is>
          <t>VOLKSWAGEN Polo 1.4 United</t>
        </is>
      </c>
      <c r="E289" s="2" t="inlineStr">
        <is>
          <t>Volkswagen</t>
        </is>
      </c>
      <c r="F289" s="2" t="inlineStr">
        <is>
          <t>Volkswagen Polo</t>
        </is>
      </c>
      <c r="G289" s="2" t="inlineStr">
        <is>
          <t>1.4</t>
        </is>
      </c>
      <c r="H289" s="2" t="inlineStr">
        <is>
          <t>1.4 United 80cv</t>
        </is>
      </c>
      <c r="I289" s="2" t="n"/>
      <c r="J289" s="2" t="n">
        <v>80</v>
      </c>
      <c r="K289" s="2" t="inlineStr">
        <is>
          <t>gasolina</t>
        </is>
      </c>
      <c r="L289" s="2" t="inlineStr">
        <is>
          <t>utilitario</t>
        </is>
      </c>
      <c r="M289" s="2" t="n">
        <v>2007</v>
      </c>
      <c r="N289" s="2" t="n">
        <v>189626</v>
      </c>
      <c r="O289" s="2" t="n">
        <v>3700</v>
      </c>
      <c r="P289" s="2" t="inlineStr">
        <is>
          <t>manual</t>
        </is>
      </c>
      <c r="Q289" s="2" t="inlineStr">
        <is>
          <t>no</t>
        </is>
      </c>
      <c r="R289" s="2" t="inlineStr">
        <is>
          <t>particular</t>
        </is>
      </c>
      <c r="S289" s="2" t="n"/>
      <c r="T289" s="2" t="inlineStr">
        <is>
          <t>2026-10-17T12:30:11Z</t>
        </is>
      </c>
      <c r="U289" s="2" t="n">
        <v>9</v>
      </c>
      <c r="V289" s="2" t="inlineStr">
        <is>
          <t>sí</t>
        </is>
      </c>
      <c r="W289" s="2" t="inlineStr">
        <is>
          <t>sí</t>
        </is>
      </c>
      <c r="X289" s="2" t="n"/>
      <c r="Y289" s="2" t="n"/>
      <c r="Z289" s="2" t="inlineStr">
        <is>
          <t>no</t>
        </is>
      </c>
      <c r="AA289" s="2" t="n"/>
      <c r="AB289" s="2" t="n"/>
      <c r="AC289" s="2" t="n"/>
      <c r="AD289" s="2" t="n"/>
      <c r="AE289" s="2" t="n"/>
      <c r="AF289" s="2" t="n"/>
      <c r="AG289" s="2" t="n"/>
      <c r="AH289" s="2" t="n">
        <v>3700</v>
      </c>
      <c r="AI289" s="2" t="n"/>
      <c r="AJ289" s="2" t="n"/>
      <c r="AK289" s="2" t="n"/>
      <c r="AL289" s="2" t="n"/>
      <c r="AM289" s="2" t="n"/>
      <c r="AN289" s="2" t="n">
        <v>4850</v>
      </c>
      <c r="AO289" s="2" t="n">
        <v>6</v>
      </c>
      <c r="AP289" s="2" t="inlineStr">
        <is>
          <t>modelo+año+km</t>
        </is>
      </c>
      <c r="AQ289" s="2" t="n"/>
      <c r="AR289" s="2" t="inlineStr">
        <is>
          <t>cuota fija ITP: &gt;12 años, hasta 1.500 cc; distancia no verificable (el anuncio solo indica la provincia): confirmar que está a &lt;= 70 km</t>
        </is>
      </c>
      <c r="AS289" s="2" t="inlineStr">
        <is>
          <t>?? VOLKSWAGEN POLO 1.4 GASOLINA | 5 PUERTAS | 2007
?? Precio: 3.700 €
Vendo Volkswagen Polo 1.4 gasolina, de 5 puertas, con primera matriculación en 2007 y 189.262 km.
? Nunca ha tenido accidentes ni golpes.
? Mantenimiento al día.
? Coche listo para seguir disfrutándolo.
? ITV en vigor hasta diciembre de 2026.
? Motor de gasolina, práctico y manejable.
? 5 puertas, ideal para el día a día.
Un coche cómodo y funcional, perfecto para desplazamientos diarios, ciudad o como primer vehículo.
?? Si estás interesado/a, escríbeme sin compromiso para más información o para concertar una visita.
¡Ven a verlo!</t>
        </is>
      </c>
      <c r="AT289" s="2" t="inlineStr">
        <is>
          <t>https://www.coches.net/volkswagen-polo-14-united-80cv-5p-gasolina-2007-en-valencia-71770392-covo.aspx (window.__INITIAL_PROPS__.ad) /home/user/Alopecia/buscador-coches/raw/cochesnet/6980836857a3b29b.json</t>
        </is>
      </c>
      <c r="AU289" s="3">
        <f>MAX(ANIO_ACTUAL-M289,0)</f>
        <v/>
      </c>
      <c r="AV289" s="4">
        <f>N289/MAX(AU289,0.5)</f>
        <v/>
      </c>
      <c r="AW289" s="4">
        <f>F289</f>
        <v/>
      </c>
      <c r="AX289" s="3">
        <f>AW289&amp;"|"&amp;INT(M289/SEG_ANIO)*SEG_ANIO</f>
        <v/>
      </c>
      <c r="AY289" s="3">
        <f>AX289&amp;"|"&amp;INT(N289/SEG_KM)*SEG_KM</f>
        <v/>
      </c>
      <c r="AZ289" s="4">
        <f>COUNTIF($AW$2:$AW$662,AW289)</f>
        <v/>
      </c>
      <c r="BA289" s="4">
        <f>COUNTIF($AX$2:$AX$662,AX289)</f>
        <v/>
      </c>
      <c r="BB289" s="4">
        <f>COUNTIF($AY$2:$AY$662,AY289)</f>
        <v/>
      </c>
      <c r="BC289" s="3">
        <f t="array" ref="BC289">IF(N(AO289)&gt;=MIN_N,AN289,IF(BB289&gt;=MIN_N,MEDIAN(IF($AY$2:$AY$662=AY289,$O$2:$O$662)),IF(BA289&gt;=MIN_N,MEDIAN(IF($AX$2:$AX$662=AX289,$O$2:$O$662)),MEDIAN(IF($AW$2:$AW$662=AW289,$O$2:$O$662)))))</f>
        <v/>
      </c>
      <c r="BD289" s="3">
        <f>IF(N(AO289)&gt;=MIN_N,"mercado "&amp;AP289,IF(BB289&gt;=MIN_N,"modelo+año+km",IF(BA289&gt;=MIN_N,"modelo+año","modelo")))</f>
        <v/>
      </c>
      <c r="BE289" s="4">
        <f>(BC289-O289)/BC289</f>
        <v/>
      </c>
      <c r="BF289" s="3">
        <f>IF(OR(K289="hibrido",K289="glp"),"ECO",IF(K289="electrico","CERO",IF(K289="gasolina",IF(M289&gt;=GAS_C,"C",IF(M289&gt;=GAS_B,"B","A")),IF(K289="diesel",IF(M289&gt;=DIE_C,"C",IF(M289&gt;=DIE_B,"B","A")),""))))</f>
        <v/>
      </c>
      <c r="BG289" s="3">
        <f>IFERROR(VLOOKUP(F289,MOD_TBL,11,0),IFERROR(VLOOKUP(E289,OCU_TBL,2,0),NEUTRO))</f>
        <v/>
      </c>
      <c r="BH289" s="3">
        <f>SUMIFS(MOT_AJUSTE,MOT_MOTOR,G289,MOT_MARCA,E289,MOT_DESDE,"&lt;="&amp;M289,MOT_HASTA,"&gt;="&amp;M289)+SUMIFS(MOT_AJUSTE,MOT_MOTOR,G289,MOT_MARCA,"(todas)",MOT_DESDE,"&lt;="&amp;M289,MOT_HASTA,"&gt;="&amp;M289)</f>
        <v/>
      </c>
      <c r="BI289" s="3">
        <f>SUMIFS(COMB_AJUSTE,COMB_COMB,K289)</f>
        <v/>
      </c>
      <c r="BJ289" s="3">
        <f>COUNTIFS(MOT_MOTOR,G289,MOT_MARCA,E289,MOT_DESDE,"&lt;="&amp;M289,MOT_HASTA,"&gt;="&amp;M289)+COUNTIFS(MOT_MOTOR,G289,MOT_MARCA,"(todas)",MOT_DESDE,"&lt;="&amp;M289,MOT_HASTA,"&gt;="&amp;M289)</f>
        <v/>
      </c>
      <c r="BK289" s="3">
        <f>IF(AND(K289="diesel",BJ289=0),MIN(BG289,NEUTRO),BG289)</f>
        <v/>
      </c>
      <c r="BL289" s="4">
        <f>MAX(0,MIN(100,BK289+BH289+BI289))</f>
        <v/>
      </c>
      <c r="BM289" s="3">
        <f>MAX(0,MIN(100,50+BE289*PRECIO_PEND))</f>
        <v/>
      </c>
      <c r="BN289" s="3">
        <f>MAX(0,100*(1-N289/KM_MAX))</f>
        <v/>
      </c>
      <c r="BO289" s="3">
        <f>IF(AV289&lt;KMA_SOSP,IF(AA289="sí",100,KMA_PEN),IF(AV289&lt;=KMA_IDEAL_MAX,100,MAX(0,100*(KMA_CERO-AV289)/(KMA_CERO-KMA_IDEAL_MAX))))</f>
        <v/>
      </c>
      <c r="BP289" s="3">
        <f>MAX(0,MIN(100,100*(M289-ANIO_MIN)/(ANIO_ACTUAL-ANIO_MIN)))</f>
        <v/>
      </c>
      <c r="BQ289" s="3">
        <f>W_KMT*BN289+W_KMA*BO289+W_EDAD*BP289</f>
        <v/>
      </c>
      <c r="BR289" s="3">
        <f>P_ITV*(V289="sí")+P_LIBRO*(W289="sí")+P_CORREA*(X289="sí")+P_PROP*(Y289=1)+P_GAR*(Z289="sí")+P_FOTOS*MIN(1,N(U289)/FOTOS_OBJ)</f>
        <v/>
      </c>
      <c r="BS289" s="3">
        <f>IFERROR(VLOOKUP(BF289,ETQ_TBL,2,0),NEUTRO)</f>
        <v/>
      </c>
      <c r="BT289" s="3">
        <f>NEUTRO</f>
        <v/>
      </c>
      <c r="BU289" s="3">
        <f>IFERROR(VLOOKUP(L289,SEGURO_TBL,3,0),"")</f>
        <v/>
      </c>
      <c r="BV289" s="3">
        <f>IF(BU289="",NEUTRO,MAX(0,MIN(100,100*(SEG_REF_MAX-BU289)/(SEG_REF_MAX-SEG_REF_MIN))))</f>
        <v/>
      </c>
      <c r="BW289" s="3">
        <f>W_ET*BS289+W_CONS*BT289+W_SEG*BV289</f>
        <v/>
      </c>
      <c r="BX289" s="3">
        <f>IF(N(AB289)&gt;0,AB289,IF(AND(R289="profesional",SG_LEGAL_ON=1),GAR_LEGAL,0))</f>
        <v/>
      </c>
      <c r="BY289" s="3">
        <f>SG_GAR*MIN(1,BX289/SG_GAR_FULL)+SG_AMPL*(AC289="sí")+SG_KMC*(AF289="sí")+SG_REV*(N(AE289)&gt;0)+SG_DEV*MIN(1,N(AG289)/SG_DEV_FULL)+SG_HIST*(W289="sí")</f>
        <v/>
      </c>
      <c r="BZ289" s="3">
        <f>IFERROR(VLOOKUP(L289,CARR_PEN_TBL,2,0),0)</f>
        <v/>
      </c>
      <c r="CA289" s="3">
        <f>W_FIAB*BL289+W_PRECIO*BM289+W_KMEDAD*BQ289+W_ANUNCIO*BR289+W_USO*BW289+W_SEGURIDAD*BY289-BZ289</f>
        <v/>
      </c>
      <c r="CB289" s="4">
        <f>IF(N(I289)&gt;0,I289,IFERROR(ROUND(_xlfn.NUMBERVALUE(LEFT(G289,FIND(" ",G289&amp;" ")-1),".")*1000,0),99999))</f>
        <v/>
      </c>
      <c r="CC289" s="3">
        <f>IF(R289="profesional",0,IF(O289&lt;CUOTA_VALOR_MAX,IF(AU289&gt;ITP_TRAMO_ALTO,SUMIFS(CF_CUOTA,CF_MAS,ITP_TRAMO_ALTO,CF_CCMIN,"&lt;="&amp;CB289,CF_CCMAX,"&gt;="&amp;CB289),IF(AU289&gt;ITP_TRAMO_BAJO,SUMIFS(CF_CUOTA,CF_MAS,ITP_TRAMO_BAJO,CF_CCMIN,"&lt;="&amp;CB289,CF_CCMAX,"&gt;="&amp;CB289),O289*ITP_TIPO)),O289*ITP_TIPO))</f>
        <v/>
      </c>
      <c r="CD289" s="4">
        <f>IF(R289="profesional",N(AK289),0)</f>
        <v/>
      </c>
      <c r="CE289" s="3">
        <f>IF(AND(R289="profesional",ISNUMBER(AK289),AL289="sí"),0,TASA_DGT)</f>
        <v/>
      </c>
      <c r="CF289" s="3">
        <f>INFORME_DGT</f>
        <v/>
      </c>
      <c r="CG289" s="4">
        <f>O289+CD289+CC289+CE289+CF289</f>
        <v/>
      </c>
      <c r="CH289" s="4">
        <f>CG289+N(BU289)</f>
        <v/>
      </c>
      <c r="CI289" s="3">
        <f>IF(CG289&lt;=TOTAL_MAX,"sí",IF(CG289&lt;=TOTAL_MAX+MARGEN_NEG,"negociar","no"))</f>
        <v/>
      </c>
      <c r="CJ289" s="4">
        <f>IF(CI289&lt;&gt;"no",COUNTIFS($CI$2:$CI$662,"&lt;&gt;no",$CA$2:$CA$662,"&gt;"&amp;CA289)+COUNTIFS($CI$2:CI289,"&lt;&gt;no",$CA$2:CA289,CA289),"")</f>
        <v/>
      </c>
    </row>
    <row r="290">
      <c r="A290" s="2" t="inlineStr">
        <is>
          <t>cochesnet:71751370</t>
        </is>
      </c>
      <c r="B290" s="2" t="inlineStr">
        <is>
          <t>cochesnet</t>
        </is>
      </c>
      <c r="C290" s="2" t="inlineStr">
        <is>
          <t>https://www.coches.net/volkswagen-polo-14-tdi-advance-80cv-5p-diesel-2007-en-valencia-71751370-covo.aspx</t>
        </is>
      </c>
      <c r="D290" s="2" t="inlineStr">
        <is>
          <t>VOLKSWAGEN Polo 1.4 TDI Advance</t>
        </is>
      </c>
      <c r="E290" s="2" t="inlineStr">
        <is>
          <t>Volkswagen</t>
        </is>
      </c>
      <c r="F290" s="2" t="inlineStr">
        <is>
          <t>Volkswagen Polo</t>
        </is>
      </c>
      <c r="G290" s="2" t="inlineStr">
        <is>
          <t>1.4 TDI</t>
        </is>
      </c>
      <c r="H290" s="2" t="inlineStr">
        <is>
          <t>1.4 TDI Advance 80CV</t>
        </is>
      </c>
      <c r="I290" s="2" t="n"/>
      <c r="J290" s="2" t="n">
        <v>80</v>
      </c>
      <c r="K290" s="2" t="inlineStr">
        <is>
          <t>diesel</t>
        </is>
      </c>
      <c r="L290" s="2" t="inlineStr">
        <is>
          <t>utilitario</t>
        </is>
      </c>
      <c r="M290" s="2" t="n">
        <v>2007</v>
      </c>
      <c r="N290" s="2" t="n">
        <v>179000</v>
      </c>
      <c r="O290" s="2" t="n">
        <v>3999</v>
      </c>
      <c r="P290" s="2" t="inlineStr">
        <is>
          <t>manual</t>
        </is>
      </c>
      <c r="Q290" s="2" t="inlineStr">
        <is>
          <t>no</t>
        </is>
      </c>
      <c r="R290" s="2" t="inlineStr">
        <is>
          <t>particular</t>
        </is>
      </c>
      <c r="S290" s="2" t="inlineStr">
        <is>
          <t>Valencia</t>
        </is>
      </c>
      <c r="T290" s="2" t="inlineStr">
        <is>
          <t>2026-10-15T15:29:27Z</t>
        </is>
      </c>
      <c r="U290" s="2" t="n">
        <v>9</v>
      </c>
      <c r="V290" s="2" t="n"/>
      <c r="W290" s="2" t="n"/>
      <c r="X290" s="2" t="n"/>
      <c r="Y290" s="2" t="n"/>
      <c r="Z290" s="2" t="inlineStr">
        <is>
          <t>no</t>
        </is>
      </c>
      <c r="AA290" s="2" t="n"/>
      <c r="AB290" s="2" t="n"/>
      <c r="AC290" s="2" t="n"/>
      <c r="AD290" s="2" t="n"/>
      <c r="AE290" s="2" t="n"/>
      <c r="AF290" s="2" t="n"/>
      <c r="AG290" s="2" t="n"/>
      <c r="AH290" s="2" t="n">
        <v>3999</v>
      </c>
      <c r="AI290" s="2" t="n"/>
      <c r="AJ290" s="2" t="n"/>
      <c r="AK290" s="2" t="n"/>
      <c r="AL290" s="2" t="n"/>
      <c r="AM290" s="2" t="n">
        <v>0.1</v>
      </c>
      <c r="AN290" s="2" t="n">
        <v>4850</v>
      </c>
      <c r="AO290" s="2" t="n">
        <v>6</v>
      </c>
      <c r="AP290" s="2" t="inlineStr">
        <is>
          <t>modelo+año+km</t>
        </is>
      </c>
      <c r="AQ290" s="2" t="n"/>
      <c r="AR290" s="2" t="inlineStr">
        <is>
          <t>cuota fija ITP: &gt;12 años, hasta 1.500 cc; diésel: motor sin fuente de fiabilidad (fiabilidad limitada a neutra)</t>
        </is>
      </c>
      <c r="AS290" s="2" t="inlineStr">
        <is>
          <t>Perfecto para quienes buscan fiabilidad, eficiencia y buen rendimiento a un precio justo.
Te presento mi Volkswagen Polo 1.4 TDI Advance, un berlina compacto que combina lo mejor de la marca alemana: solidez, economía de combustible y versatilidad. Con motor diésel de 80 CV, ofrece una conducción suave y controlada, ideal tanto para desplazamientos urbanos como para recorridos por carretera.
El estado general del vehículo es bueno, tanto en el interior como en el exterior. Se trata de un coche que ha sido cuidado y que sigue funcionando con total normalidad. El motor diésel es una garantía de durabilidad y bajo consumo, lo que se traduce en menos visitas a la gasolinera y menores costes de mantenimiento a largo plazo.
Con cinco puertas y cinco plazas, ofrece la practicidad que necesitas en tu día a día, sin renunciar a la comodidad. El cambio manual proporciona una conexión directa con la conducción, permitiéndote optimizar el consumo según tus necesidades.
Estoy vendiendo este vehículo porque ya no lo utilizo. Si tienes dudas sobre aspectos específicos del coche o deseas conocer más detalles sobre su historia o funcionamiento, no dudes en contactarme a través del chat. Estaré encantado de resolver todas tus preguntas.
Contacta hoy mismo y descubre por qué este Polo es una excelente opción para tu próximo vehículo.</t>
        </is>
      </c>
      <c r="AT290" s="2" t="inlineStr">
        <is>
          <t>https://www.coches.net/volkswagen-polo-14-tdi-advance-80cv-5p-diesel-2007-en-valencia-71751370-covo.aspx (window.__INITIAL_PROPS__.ad) /home/user/Alopecia/buscador-coches/raw/cochesnet/1bf36c2e1fc01909.json</t>
        </is>
      </c>
      <c r="AU290" s="3">
        <f>MAX(ANIO_ACTUAL-M290,0)</f>
        <v/>
      </c>
      <c r="AV290" s="4">
        <f>N290/MAX(AU290,0.5)</f>
        <v/>
      </c>
      <c r="AW290" s="4">
        <f>F290</f>
        <v/>
      </c>
      <c r="AX290" s="3">
        <f>AW290&amp;"|"&amp;INT(M290/SEG_ANIO)*SEG_ANIO</f>
        <v/>
      </c>
      <c r="AY290" s="3">
        <f>AX290&amp;"|"&amp;INT(N290/SEG_KM)*SEG_KM</f>
        <v/>
      </c>
      <c r="AZ290" s="4">
        <f>COUNTIF($AW$2:$AW$662,AW290)</f>
        <v/>
      </c>
      <c r="BA290" s="4">
        <f>COUNTIF($AX$2:$AX$662,AX290)</f>
        <v/>
      </c>
      <c r="BB290" s="4">
        <f>COUNTIF($AY$2:$AY$662,AY290)</f>
        <v/>
      </c>
      <c r="BC290" s="3">
        <f t="array" ref="BC290">IF(N(AO290)&gt;=MIN_N,AN290,IF(BB290&gt;=MIN_N,MEDIAN(IF($AY$2:$AY$662=AY290,$O$2:$O$662)),IF(BA290&gt;=MIN_N,MEDIAN(IF($AX$2:$AX$662=AX290,$O$2:$O$662)),MEDIAN(IF($AW$2:$AW$662=AW290,$O$2:$O$662)))))</f>
        <v/>
      </c>
      <c r="BD290" s="3">
        <f>IF(N(AO290)&gt;=MIN_N,"mercado "&amp;AP290,IF(BB290&gt;=MIN_N,"modelo+año+km",IF(BA290&gt;=MIN_N,"modelo+año","modelo")))</f>
        <v/>
      </c>
      <c r="BE290" s="4">
        <f>(BC290-O290)/BC290</f>
        <v/>
      </c>
      <c r="BF290" s="3">
        <f>IF(OR(K290="hibrido",K290="glp"),"ECO",IF(K290="electrico","CERO",IF(K290="gasolina",IF(M290&gt;=GAS_C,"C",IF(M290&gt;=GAS_B,"B","A")),IF(K290="diesel",IF(M290&gt;=DIE_C,"C",IF(M290&gt;=DIE_B,"B","A")),""))))</f>
        <v/>
      </c>
      <c r="BG290" s="3">
        <f>IFERROR(VLOOKUP(F290,MOD_TBL,11,0),IFERROR(VLOOKUP(E290,OCU_TBL,2,0),NEUTRO))</f>
        <v/>
      </c>
      <c r="BH290" s="3">
        <f>SUMIFS(MOT_AJUSTE,MOT_MOTOR,G290,MOT_MARCA,E290,MOT_DESDE,"&lt;="&amp;M290,MOT_HASTA,"&gt;="&amp;M290)+SUMIFS(MOT_AJUSTE,MOT_MOTOR,G290,MOT_MARCA,"(todas)",MOT_DESDE,"&lt;="&amp;M290,MOT_HASTA,"&gt;="&amp;M290)</f>
        <v/>
      </c>
      <c r="BI290" s="3">
        <f>SUMIFS(COMB_AJUSTE,COMB_COMB,K290)</f>
        <v/>
      </c>
      <c r="BJ290" s="3">
        <f>COUNTIFS(MOT_MOTOR,G290,MOT_MARCA,E290,MOT_DESDE,"&lt;="&amp;M290,MOT_HASTA,"&gt;="&amp;M290)+COUNTIFS(MOT_MOTOR,G290,MOT_MARCA,"(todas)",MOT_DESDE,"&lt;="&amp;M290,MOT_HASTA,"&gt;="&amp;M290)</f>
        <v/>
      </c>
      <c r="BK290" s="3">
        <f>IF(AND(K290="diesel",BJ290=0),MIN(BG290,NEUTRO),BG290)</f>
        <v/>
      </c>
      <c r="BL290" s="4">
        <f>MAX(0,MIN(100,BK290+BH290+BI290))</f>
        <v/>
      </c>
      <c r="BM290" s="3">
        <f>MAX(0,MIN(100,50+BE290*PRECIO_PEND))</f>
        <v/>
      </c>
      <c r="BN290" s="3">
        <f>MAX(0,100*(1-N290/KM_MAX))</f>
        <v/>
      </c>
      <c r="BO290" s="3">
        <f>IF(AV290&lt;KMA_SOSP,IF(AA290="sí",100,KMA_PEN),IF(AV290&lt;=KMA_IDEAL_MAX,100,MAX(0,100*(KMA_CERO-AV290)/(KMA_CERO-KMA_IDEAL_MAX))))</f>
        <v/>
      </c>
      <c r="BP290" s="3">
        <f>MAX(0,MIN(100,100*(M290-ANIO_MIN)/(ANIO_ACTUAL-ANIO_MIN)))</f>
        <v/>
      </c>
      <c r="BQ290" s="3">
        <f>W_KMT*BN290+W_KMA*BO290+W_EDAD*BP290</f>
        <v/>
      </c>
      <c r="BR290" s="3">
        <f>P_ITV*(V290="sí")+P_LIBRO*(W290="sí")+P_CORREA*(X290="sí")+P_PROP*(Y290=1)+P_GAR*(Z290="sí")+P_FOTOS*MIN(1,N(U290)/FOTOS_OBJ)</f>
        <v/>
      </c>
      <c r="BS290" s="3">
        <f>IFERROR(VLOOKUP(BF290,ETQ_TBL,2,0),NEUTRO)</f>
        <v/>
      </c>
      <c r="BT290" s="3">
        <f>NEUTRO</f>
        <v/>
      </c>
      <c r="BU290" s="3">
        <f>IFERROR(VLOOKUP(L290,SEGURO_TBL,3,0),"")</f>
        <v/>
      </c>
      <c r="BV290" s="3">
        <f>IF(BU290="",NEUTRO,MAX(0,MIN(100,100*(SEG_REF_MAX-BU290)/(SEG_REF_MAX-SEG_REF_MIN))))</f>
        <v/>
      </c>
      <c r="BW290" s="3">
        <f>W_ET*BS290+W_CONS*BT290+W_SEG*BV290</f>
        <v/>
      </c>
      <c r="BX290" s="3">
        <f>IF(N(AB290)&gt;0,AB290,IF(AND(R290="profesional",SG_LEGAL_ON=1),GAR_LEGAL,0))</f>
        <v/>
      </c>
      <c r="BY290" s="3">
        <f>SG_GAR*MIN(1,BX290/SG_GAR_FULL)+SG_AMPL*(AC290="sí")+SG_KMC*(AF290="sí")+SG_REV*(N(AE290)&gt;0)+SG_DEV*MIN(1,N(AG290)/SG_DEV_FULL)+SG_HIST*(W290="sí")</f>
        <v/>
      </c>
      <c r="BZ290" s="3">
        <f>IFERROR(VLOOKUP(L290,CARR_PEN_TBL,2,0),0)</f>
        <v/>
      </c>
      <c r="CA290" s="3">
        <f>W_FIAB*BL290+W_PRECIO*BM290+W_KMEDAD*BQ290+W_ANUNCIO*BR290+W_USO*BW290+W_SEGURIDAD*BY290-BZ290</f>
        <v/>
      </c>
      <c r="CB290" s="4">
        <f>IF(N(I290)&gt;0,I290,IFERROR(ROUND(_xlfn.NUMBERVALUE(LEFT(G290,FIND(" ",G290&amp;" ")-1),".")*1000,0),99999))</f>
        <v/>
      </c>
      <c r="CC290" s="3">
        <f>IF(R290="profesional",0,IF(O290&lt;CUOTA_VALOR_MAX,IF(AU290&gt;ITP_TRAMO_ALTO,SUMIFS(CF_CUOTA,CF_MAS,ITP_TRAMO_ALTO,CF_CCMIN,"&lt;="&amp;CB290,CF_CCMAX,"&gt;="&amp;CB290),IF(AU290&gt;ITP_TRAMO_BAJO,SUMIFS(CF_CUOTA,CF_MAS,ITP_TRAMO_BAJO,CF_CCMIN,"&lt;="&amp;CB290,CF_CCMAX,"&gt;="&amp;CB290),O290*ITP_TIPO)),O290*ITP_TIPO))</f>
        <v/>
      </c>
      <c r="CD290" s="4">
        <f>IF(R290="profesional",N(AK290),0)</f>
        <v/>
      </c>
      <c r="CE290" s="3">
        <f>IF(AND(R290="profesional",ISNUMBER(AK290),AL290="sí"),0,TASA_DGT)</f>
        <v/>
      </c>
      <c r="CF290" s="3">
        <f>INFORME_DGT</f>
        <v/>
      </c>
      <c r="CG290" s="4">
        <f>O290+CD290+CC290+CE290+CF290</f>
        <v/>
      </c>
      <c r="CH290" s="4">
        <f>CG290+N(BU290)</f>
        <v/>
      </c>
      <c r="CI290" s="3">
        <f>IF(CG290&lt;=TOTAL_MAX,"sí",IF(CG290&lt;=TOTAL_MAX+MARGEN_NEG,"negociar","no"))</f>
        <v/>
      </c>
      <c r="CJ290" s="4">
        <f>IF(CI290&lt;&gt;"no",COUNTIFS($CI$2:$CI$662,"&lt;&gt;no",$CA$2:$CA$662,"&gt;"&amp;CA290)+COUNTIFS($CI$2:CI290,"&lt;&gt;no",$CA$2:CA290,CA290),"")</f>
        <v/>
      </c>
    </row>
    <row r="291">
      <c r="A291" s="2" t="inlineStr">
        <is>
          <t>cochesnet:71746730</t>
        </is>
      </c>
      <c r="B291" s="2" t="inlineStr">
        <is>
          <t>cochesnet</t>
        </is>
      </c>
      <c r="C291" s="2" t="inlineStr">
        <is>
          <t>https://www.coches.net/volkswagen-polo-14-match-80cv-5p-gasolina-2006-en-valencia-71746730-covo.aspx</t>
        </is>
      </c>
      <c r="D291" s="2" t="inlineStr">
        <is>
          <t>VOLKSWAGEN Polo 1.4 Match</t>
        </is>
      </c>
      <c r="E291" s="2" t="inlineStr">
        <is>
          <t>Volkswagen</t>
        </is>
      </c>
      <c r="F291" s="2" t="inlineStr">
        <is>
          <t>Volkswagen Polo</t>
        </is>
      </c>
      <c r="G291" s="2" t="inlineStr">
        <is>
          <t>1.4</t>
        </is>
      </c>
      <c r="H291" s="2" t="inlineStr">
        <is>
          <t>1.4 Match 80cv</t>
        </is>
      </c>
      <c r="I291" s="2" t="n"/>
      <c r="J291" s="2" t="n">
        <v>80</v>
      </c>
      <c r="K291" s="2" t="inlineStr">
        <is>
          <t>gasolina</t>
        </is>
      </c>
      <c r="L291" s="2" t="inlineStr">
        <is>
          <t>utilitario</t>
        </is>
      </c>
      <c r="M291" s="2" t="n">
        <v>2006</v>
      </c>
      <c r="N291" s="2" t="n">
        <v>149520</v>
      </c>
      <c r="O291" s="2" t="n">
        <v>3400</v>
      </c>
      <c r="P291" s="2" t="inlineStr">
        <is>
          <t>manual</t>
        </is>
      </c>
      <c r="Q291" s="2" t="inlineStr">
        <is>
          <t>no</t>
        </is>
      </c>
      <c r="R291" s="2" t="inlineStr">
        <is>
          <t>particular</t>
        </is>
      </c>
      <c r="S291" s="2" t="inlineStr">
        <is>
          <t>Puig</t>
        </is>
      </c>
      <c r="T291" s="2" t="inlineStr">
        <is>
          <t>2026-10-14T19:39:40Z</t>
        </is>
      </c>
      <c r="U291" s="2" t="n">
        <v>7</v>
      </c>
      <c r="V291" s="2" t="n"/>
      <c r="W291" s="2" t="n"/>
      <c r="X291" s="2" t="n"/>
      <c r="Y291" s="2" t="n"/>
      <c r="Z291" s="2" t="inlineStr">
        <is>
          <t>no</t>
        </is>
      </c>
      <c r="AA291" s="2" t="n"/>
      <c r="AB291" s="2" t="n"/>
      <c r="AC291" s="2" t="n"/>
      <c r="AD291" s="2" t="n"/>
      <c r="AE291" s="2" t="n"/>
      <c r="AF291" s="2" t="n"/>
      <c r="AG291" s="2" t="n"/>
      <c r="AH291" s="2" t="n">
        <v>3400</v>
      </c>
      <c r="AI291" s="2" t="n"/>
      <c r="AJ291" s="2" t="n"/>
      <c r="AK291" s="2" t="n"/>
      <c r="AL291" s="2" t="n"/>
      <c r="AM291" s="2" t="n"/>
      <c r="AN291" s="2" t="n">
        <v>4195</v>
      </c>
      <c r="AO291" s="2" t="n">
        <v>8</v>
      </c>
      <c r="AP291" s="2" t="inlineStr">
        <is>
          <t>modelo+año+km</t>
        </is>
      </c>
      <c r="AQ291" s="2" t="n"/>
      <c r="AR291" s="2" t="inlineStr">
        <is>
          <t>cuota fija ITP: &gt;12 años, hasta 1.500 cc; distancia no verificable (el anuncio solo indica la provincia): confirmar que está a &lt;= 70 km</t>
        </is>
      </c>
      <c r="AS291" s="2" t="inlineStr">
        <is>
          <t>Vehículo en muy buen estado. Por los km que tiene actualmente le toca hacer la correa de distribución, de ahí su precio. No hay que hacerle nada más. Pasa las ITV sin problemas.</t>
        </is>
      </c>
      <c r="AT291" s="2" t="inlineStr">
        <is>
          <t>https://www.coches.net/volkswagen-polo-14-match-80cv-5p-gasolina-2006-en-valencia-71746730-covo.aspx (window.__INITIAL_PROPS__.ad) /home/user/Alopecia/buscador-coches/raw/cochesnet/709e5433661cf0a7.json</t>
        </is>
      </c>
      <c r="AU291" s="3">
        <f>MAX(ANIO_ACTUAL-M291,0)</f>
        <v/>
      </c>
      <c r="AV291" s="4">
        <f>N291/MAX(AU291,0.5)</f>
        <v/>
      </c>
      <c r="AW291" s="4">
        <f>F291</f>
        <v/>
      </c>
      <c r="AX291" s="3">
        <f>AW291&amp;"|"&amp;INT(M291/SEG_ANIO)*SEG_ANIO</f>
        <v/>
      </c>
      <c r="AY291" s="3">
        <f>AX291&amp;"|"&amp;INT(N291/SEG_KM)*SEG_KM</f>
        <v/>
      </c>
      <c r="AZ291" s="4">
        <f>COUNTIF($AW$2:$AW$662,AW291)</f>
        <v/>
      </c>
      <c r="BA291" s="4">
        <f>COUNTIF($AX$2:$AX$662,AX291)</f>
        <v/>
      </c>
      <c r="BB291" s="4">
        <f>COUNTIF($AY$2:$AY$662,AY291)</f>
        <v/>
      </c>
      <c r="BC291" s="3">
        <f t="array" ref="BC291">IF(N(AO291)&gt;=MIN_N,AN291,IF(BB291&gt;=MIN_N,MEDIAN(IF($AY$2:$AY$662=AY291,$O$2:$O$662)),IF(BA291&gt;=MIN_N,MEDIAN(IF($AX$2:$AX$662=AX291,$O$2:$O$662)),MEDIAN(IF($AW$2:$AW$662=AW291,$O$2:$O$662)))))</f>
        <v/>
      </c>
      <c r="BD291" s="3">
        <f>IF(N(AO291)&gt;=MIN_N,"mercado "&amp;AP291,IF(BB291&gt;=MIN_N,"modelo+año+km",IF(BA291&gt;=MIN_N,"modelo+año","modelo")))</f>
        <v/>
      </c>
      <c r="BE291" s="4">
        <f>(BC291-O291)/BC291</f>
        <v/>
      </c>
      <c r="BF291" s="3">
        <f>IF(OR(K291="hibrido",K291="glp"),"ECO",IF(K291="electrico","CERO",IF(K291="gasolina",IF(M291&gt;=GAS_C,"C",IF(M291&gt;=GAS_B,"B","A")),IF(K291="diesel",IF(M291&gt;=DIE_C,"C",IF(M291&gt;=DIE_B,"B","A")),""))))</f>
        <v/>
      </c>
      <c r="BG291" s="3">
        <f>IFERROR(VLOOKUP(F291,MOD_TBL,11,0),IFERROR(VLOOKUP(E291,OCU_TBL,2,0),NEUTRO))</f>
        <v/>
      </c>
      <c r="BH291" s="3">
        <f>SUMIFS(MOT_AJUSTE,MOT_MOTOR,G291,MOT_MARCA,E291,MOT_DESDE,"&lt;="&amp;M291,MOT_HASTA,"&gt;="&amp;M291)+SUMIFS(MOT_AJUSTE,MOT_MOTOR,G291,MOT_MARCA,"(todas)",MOT_DESDE,"&lt;="&amp;M291,MOT_HASTA,"&gt;="&amp;M291)</f>
        <v/>
      </c>
      <c r="BI291" s="3">
        <f>SUMIFS(COMB_AJUSTE,COMB_COMB,K291)</f>
        <v/>
      </c>
      <c r="BJ291" s="3">
        <f>COUNTIFS(MOT_MOTOR,G291,MOT_MARCA,E291,MOT_DESDE,"&lt;="&amp;M291,MOT_HASTA,"&gt;="&amp;M291)+COUNTIFS(MOT_MOTOR,G291,MOT_MARCA,"(todas)",MOT_DESDE,"&lt;="&amp;M291,MOT_HASTA,"&gt;="&amp;M291)</f>
        <v/>
      </c>
      <c r="BK291" s="3">
        <f>IF(AND(K291="diesel",BJ291=0),MIN(BG291,NEUTRO),BG291)</f>
        <v/>
      </c>
      <c r="BL291" s="4">
        <f>MAX(0,MIN(100,BK291+BH291+BI291))</f>
        <v/>
      </c>
      <c r="BM291" s="3">
        <f>MAX(0,MIN(100,50+BE291*PRECIO_PEND))</f>
        <v/>
      </c>
      <c r="BN291" s="3">
        <f>MAX(0,100*(1-N291/KM_MAX))</f>
        <v/>
      </c>
      <c r="BO291" s="3">
        <f>IF(AV291&lt;KMA_SOSP,IF(AA291="sí",100,KMA_PEN),IF(AV291&lt;=KMA_IDEAL_MAX,100,MAX(0,100*(KMA_CERO-AV291)/(KMA_CERO-KMA_IDEAL_MAX))))</f>
        <v/>
      </c>
      <c r="BP291" s="3">
        <f>MAX(0,MIN(100,100*(M291-ANIO_MIN)/(ANIO_ACTUAL-ANIO_MIN)))</f>
        <v/>
      </c>
      <c r="BQ291" s="3">
        <f>W_KMT*BN291+W_KMA*BO291+W_EDAD*BP291</f>
        <v/>
      </c>
      <c r="BR291" s="3">
        <f>P_ITV*(V291="sí")+P_LIBRO*(W291="sí")+P_CORREA*(X291="sí")+P_PROP*(Y291=1)+P_GAR*(Z291="sí")+P_FOTOS*MIN(1,N(U291)/FOTOS_OBJ)</f>
        <v/>
      </c>
      <c r="BS291" s="3">
        <f>IFERROR(VLOOKUP(BF291,ETQ_TBL,2,0),NEUTRO)</f>
        <v/>
      </c>
      <c r="BT291" s="3">
        <f>NEUTRO</f>
        <v/>
      </c>
      <c r="BU291" s="3">
        <f>IFERROR(VLOOKUP(L291,SEGURO_TBL,3,0),"")</f>
        <v/>
      </c>
      <c r="BV291" s="3">
        <f>IF(BU291="",NEUTRO,MAX(0,MIN(100,100*(SEG_REF_MAX-BU291)/(SEG_REF_MAX-SEG_REF_MIN))))</f>
        <v/>
      </c>
      <c r="BW291" s="3">
        <f>W_ET*BS291+W_CONS*BT291+W_SEG*BV291</f>
        <v/>
      </c>
      <c r="BX291" s="3">
        <f>IF(N(AB291)&gt;0,AB291,IF(AND(R291="profesional",SG_LEGAL_ON=1),GAR_LEGAL,0))</f>
        <v/>
      </c>
      <c r="BY291" s="3">
        <f>SG_GAR*MIN(1,BX291/SG_GAR_FULL)+SG_AMPL*(AC291="sí")+SG_KMC*(AF291="sí")+SG_REV*(N(AE291)&gt;0)+SG_DEV*MIN(1,N(AG291)/SG_DEV_FULL)+SG_HIST*(W291="sí")</f>
        <v/>
      </c>
      <c r="BZ291" s="3">
        <f>IFERROR(VLOOKUP(L291,CARR_PEN_TBL,2,0),0)</f>
        <v/>
      </c>
      <c r="CA291" s="3">
        <f>W_FIAB*BL291+W_PRECIO*BM291+W_KMEDAD*BQ291+W_ANUNCIO*BR291+W_USO*BW291+W_SEGURIDAD*BY291-BZ291</f>
        <v/>
      </c>
      <c r="CB291" s="4">
        <f>IF(N(I291)&gt;0,I291,IFERROR(ROUND(_xlfn.NUMBERVALUE(LEFT(G291,FIND(" ",G291&amp;" ")-1),".")*1000,0),99999))</f>
        <v/>
      </c>
      <c r="CC291" s="3">
        <f>IF(R291="profesional",0,IF(O291&lt;CUOTA_VALOR_MAX,IF(AU291&gt;ITP_TRAMO_ALTO,SUMIFS(CF_CUOTA,CF_MAS,ITP_TRAMO_ALTO,CF_CCMIN,"&lt;="&amp;CB291,CF_CCMAX,"&gt;="&amp;CB291),IF(AU291&gt;ITP_TRAMO_BAJO,SUMIFS(CF_CUOTA,CF_MAS,ITP_TRAMO_BAJO,CF_CCMIN,"&lt;="&amp;CB291,CF_CCMAX,"&gt;="&amp;CB291),O291*ITP_TIPO)),O291*ITP_TIPO))</f>
        <v/>
      </c>
      <c r="CD291" s="4">
        <f>IF(R291="profesional",N(AK291),0)</f>
        <v/>
      </c>
      <c r="CE291" s="3">
        <f>IF(AND(R291="profesional",ISNUMBER(AK291),AL291="sí"),0,TASA_DGT)</f>
        <v/>
      </c>
      <c r="CF291" s="3">
        <f>INFORME_DGT</f>
        <v/>
      </c>
      <c r="CG291" s="4">
        <f>O291+CD291+CC291+CE291+CF291</f>
        <v/>
      </c>
      <c r="CH291" s="4">
        <f>CG291+N(BU291)</f>
        <v/>
      </c>
      <c r="CI291" s="3">
        <f>IF(CG291&lt;=TOTAL_MAX,"sí",IF(CG291&lt;=TOTAL_MAX+MARGEN_NEG,"negociar","no"))</f>
        <v/>
      </c>
      <c r="CJ291" s="4">
        <f>IF(CI291&lt;&gt;"no",COUNTIFS($CI$2:$CI$662,"&lt;&gt;no",$CA$2:$CA$662,"&gt;"&amp;CA291)+COUNTIFS($CI$2:CI291,"&lt;&gt;no",$CA$2:CA291,CA291),"")</f>
        <v/>
      </c>
    </row>
    <row r="292">
      <c r="A292" s="2" t="inlineStr">
        <is>
          <t>cochesnet:71357112</t>
        </is>
      </c>
      <c r="B292" s="2" t="inlineStr">
        <is>
          <t>cochesnet</t>
        </is>
      </c>
      <c r="C292" s="2" t="inlineStr">
        <is>
          <t>https://www.coches.net/volkswagen-polo-gasolina-2007-en-valencia-71357112-covo.aspx</t>
        </is>
      </c>
      <c r="D292" s="2" t="inlineStr">
        <is>
          <t>VOLKSWAGEN Polo</t>
        </is>
      </c>
      <c r="E292" s="2" t="inlineStr">
        <is>
          <t>Volkswagen</t>
        </is>
      </c>
      <c r="F292" s="2" t="inlineStr">
        <is>
          <t>Volkswagen Polo</t>
        </is>
      </c>
      <c r="G292" s="2" t="n"/>
      <c r="H292" s="2" t="n"/>
      <c r="I292" s="2" t="n"/>
      <c r="J292" s="2" t="n"/>
      <c r="K292" s="2" t="inlineStr">
        <is>
          <t>gasolina</t>
        </is>
      </c>
      <c r="L292" s="2" t="inlineStr">
        <is>
          <t>utilitario</t>
        </is>
      </c>
      <c r="M292" s="2" t="n">
        <v>2007</v>
      </c>
      <c r="N292" s="2" t="n">
        <v>214664</v>
      </c>
      <c r="O292" s="2" t="n">
        <v>3800</v>
      </c>
      <c r="P292" s="2" t="inlineStr">
        <is>
          <t>manual</t>
        </is>
      </c>
      <c r="Q292" s="2" t="inlineStr">
        <is>
          <t>no</t>
        </is>
      </c>
      <c r="R292" s="2" t="inlineStr">
        <is>
          <t>particular</t>
        </is>
      </c>
      <c r="S292" s="2" t="n"/>
      <c r="T292" s="2" t="inlineStr">
        <is>
          <t>2026-08-24T20:34:11Z</t>
        </is>
      </c>
      <c r="U292" s="2" t="n">
        <v>7</v>
      </c>
      <c r="V292" s="2" t="n"/>
      <c r="W292" s="2" t="n"/>
      <c r="X292" s="2" t="n"/>
      <c r="Y292" s="2" t="n"/>
      <c r="Z292" s="2" t="inlineStr">
        <is>
          <t>no</t>
        </is>
      </c>
      <c r="AA292" s="2" t="n"/>
      <c r="AB292" s="2" t="n"/>
      <c r="AC292" s="2" t="n"/>
      <c r="AD292" s="2" t="n"/>
      <c r="AE292" s="2" t="n"/>
      <c r="AF292" s="2" t="n"/>
      <c r="AG292" s="2" t="n"/>
      <c r="AH292" s="2" t="n">
        <v>3800</v>
      </c>
      <c r="AI292" s="2" t="n"/>
      <c r="AJ292" s="2" t="n"/>
      <c r="AK292" s="2" t="n"/>
      <c r="AL292" s="2" t="n"/>
      <c r="AM292" s="2" t="n"/>
      <c r="AN292" s="2" t="n">
        <v>3800</v>
      </c>
      <c r="AO292" s="2" t="n">
        <v>8</v>
      </c>
      <c r="AP292" s="2" t="inlineStr">
        <is>
          <t>modelo+año+km</t>
        </is>
      </c>
      <c r="AQ292" s="2" t="n"/>
      <c r="AR292" s="2" t="inlineStr">
        <is>
          <t>cilindrada desconocida: se aplica el tramo de cuota fija más alto; cuota fija ITP: &gt;12 años, más de 2.000 cc; distancia no verificable (el anuncio solo indica la provincia): confirmar que está a &lt;= 70 km</t>
        </is>
      </c>
      <c r="AS292" s="2" t="inlineStr">
        <is>
          <t>Vendo Volkswagen Polo 5 puertas en excelente estado mecánico, ideal tanto para diario como para viajes por su bajo consumo y fiabilidad. Coche muy bien mantenido y con todo al día para no tener que invertirle un solo euro.</t>
        </is>
      </c>
      <c r="AT292" s="2" t="inlineStr">
        <is>
          <t>https://www.coches.net/volkswagen-polo-gasolina-2007-en-valencia-71357112-covo.aspx (window.__INITIAL_PROPS__.ad) /home/user/Alopecia/buscador-coches/raw/cochesnet/fd105407ec032410.json</t>
        </is>
      </c>
      <c r="AU292" s="3">
        <f>MAX(ANIO_ACTUAL-M292,0)</f>
        <v/>
      </c>
      <c r="AV292" s="4">
        <f>N292/MAX(AU292,0.5)</f>
        <v/>
      </c>
      <c r="AW292" s="4">
        <f>F292</f>
        <v/>
      </c>
      <c r="AX292" s="3">
        <f>AW292&amp;"|"&amp;INT(M292/SEG_ANIO)*SEG_ANIO</f>
        <v/>
      </c>
      <c r="AY292" s="3">
        <f>AX292&amp;"|"&amp;INT(N292/SEG_KM)*SEG_KM</f>
        <v/>
      </c>
      <c r="AZ292" s="4">
        <f>COUNTIF($AW$2:$AW$662,AW292)</f>
        <v/>
      </c>
      <c r="BA292" s="4">
        <f>COUNTIF($AX$2:$AX$662,AX292)</f>
        <v/>
      </c>
      <c r="BB292" s="4">
        <f>COUNTIF($AY$2:$AY$662,AY292)</f>
        <v/>
      </c>
      <c r="BC292" s="3">
        <f t="array" ref="BC292">IF(N(AO292)&gt;=MIN_N,AN292,IF(BB292&gt;=MIN_N,MEDIAN(IF($AY$2:$AY$662=AY292,$O$2:$O$662)),IF(BA292&gt;=MIN_N,MEDIAN(IF($AX$2:$AX$662=AX292,$O$2:$O$662)),MEDIAN(IF($AW$2:$AW$662=AW292,$O$2:$O$662)))))</f>
        <v/>
      </c>
      <c r="BD292" s="3">
        <f>IF(N(AO292)&gt;=MIN_N,"mercado "&amp;AP292,IF(BB292&gt;=MIN_N,"modelo+año+km",IF(BA292&gt;=MIN_N,"modelo+año","modelo")))</f>
        <v/>
      </c>
      <c r="BE292" s="4">
        <f>(BC292-O292)/BC292</f>
        <v/>
      </c>
      <c r="BF292" s="3">
        <f>IF(OR(K292="hibrido",K292="glp"),"ECO",IF(K292="electrico","CERO",IF(K292="gasolina",IF(M292&gt;=GAS_C,"C",IF(M292&gt;=GAS_B,"B","A")),IF(K292="diesel",IF(M292&gt;=DIE_C,"C",IF(M292&gt;=DIE_B,"B","A")),""))))</f>
        <v/>
      </c>
      <c r="BG292" s="3">
        <f>IFERROR(VLOOKUP(F292,MOD_TBL,11,0),IFERROR(VLOOKUP(E292,OCU_TBL,2,0),NEUTRO))</f>
        <v/>
      </c>
      <c r="BH292" s="3">
        <f>SUMIFS(MOT_AJUSTE,MOT_MOTOR,G292,MOT_MARCA,E292,MOT_DESDE,"&lt;="&amp;M292,MOT_HASTA,"&gt;="&amp;M292)+SUMIFS(MOT_AJUSTE,MOT_MOTOR,G292,MOT_MARCA,"(todas)",MOT_DESDE,"&lt;="&amp;M292,MOT_HASTA,"&gt;="&amp;M292)</f>
        <v/>
      </c>
      <c r="BI292" s="3">
        <f>SUMIFS(COMB_AJUSTE,COMB_COMB,K292)</f>
        <v/>
      </c>
      <c r="BJ292" s="3">
        <f>COUNTIFS(MOT_MOTOR,G292,MOT_MARCA,E292,MOT_DESDE,"&lt;="&amp;M292,MOT_HASTA,"&gt;="&amp;M292)+COUNTIFS(MOT_MOTOR,G292,MOT_MARCA,"(todas)",MOT_DESDE,"&lt;="&amp;M292,MOT_HASTA,"&gt;="&amp;M292)</f>
        <v/>
      </c>
      <c r="BK292" s="3">
        <f>IF(AND(K292="diesel",BJ292=0),MIN(BG292,NEUTRO),BG292)</f>
        <v/>
      </c>
      <c r="BL292" s="4">
        <f>MAX(0,MIN(100,BK292+BH292+BI292))</f>
        <v/>
      </c>
      <c r="BM292" s="3">
        <f>MAX(0,MIN(100,50+BE292*PRECIO_PEND))</f>
        <v/>
      </c>
      <c r="BN292" s="3">
        <f>MAX(0,100*(1-N292/KM_MAX))</f>
        <v/>
      </c>
      <c r="BO292" s="3">
        <f>IF(AV292&lt;KMA_SOSP,IF(AA292="sí",100,KMA_PEN),IF(AV292&lt;=KMA_IDEAL_MAX,100,MAX(0,100*(KMA_CERO-AV292)/(KMA_CERO-KMA_IDEAL_MAX))))</f>
        <v/>
      </c>
      <c r="BP292" s="3">
        <f>MAX(0,MIN(100,100*(M292-ANIO_MIN)/(ANIO_ACTUAL-ANIO_MIN)))</f>
        <v/>
      </c>
      <c r="BQ292" s="3">
        <f>W_KMT*BN292+W_KMA*BO292+W_EDAD*BP292</f>
        <v/>
      </c>
      <c r="BR292" s="3">
        <f>P_ITV*(V292="sí")+P_LIBRO*(W292="sí")+P_CORREA*(X292="sí")+P_PROP*(Y292=1)+P_GAR*(Z292="sí")+P_FOTOS*MIN(1,N(U292)/FOTOS_OBJ)</f>
        <v/>
      </c>
      <c r="BS292" s="3">
        <f>IFERROR(VLOOKUP(BF292,ETQ_TBL,2,0),NEUTRO)</f>
        <v/>
      </c>
      <c r="BT292" s="3">
        <f>NEUTRO</f>
        <v/>
      </c>
      <c r="BU292" s="3">
        <f>IFERROR(VLOOKUP(L292,SEGURO_TBL,3,0),"")</f>
        <v/>
      </c>
      <c r="BV292" s="3">
        <f>IF(BU292="",NEUTRO,MAX(0,MIN(100,100*(SEG_REF_MAX-BU292)/(SEG_REF_MAX-SEG_REF_MIN))))</f>
        <v/>
      </c>
      <c r="BW292" s="3">
        <f>W_ET*BS292+W_CONS*BT292+W_SEG*BV292</f>
        <v/>
      </c>
      <c r="BX292" s="3">
        <f>IF(N(AB292)&gt;0,AB292,IF(AND(R292="profesional",SG_LEGAL_ON=1),GAR_LEGAL,0))</f>
        <v/>
      </c>
      <c r="BY292" s="3">
        <f>SG_GAR*MIN(1,BX292/SG_GAR_FULL)+SG_AMPL*(AC292="sí")+SG_KMC*(AF292="sí")+SG_REV*(N(AE292)&gt;0)+SG_DEV*MIN(1,N(AG292)/SG_DEV_FULL)+SG_HIST*(W292="sí")</f>
        <v/>
      </c>
      <c r="BZ292" s="3">
        <f>IFERROR(VLOOKUP(L292,CARR_PEN_TBL,2,0),0)</f>
        <v/>
      </c>
      <c r="CA292" s="3">
        <f>W_FIAB*BL292+W_PRECIO*BM292+W_KMEDAD*BQ292+W_ANUNCIO*BR292+W_USO*BW292+W_SEGURIDAD*BY292-BZ292</f>
        <v/>
      </c>
      <c r="CB292" s="4">
        <f>IF(N(I292)&gt;0,I292,IFERROR(ROUND(_xlfn.NUMBERVALUE(LEFT(G292,FIND(" ",G292&amp;" ")-1),".")*1000,0),99999))</f>
        <v/>
      </c>
      <c r="CC292" s="3">
        <f>IF(R292="profesional",0,IF(O292&lt;CUOTA_VALOR_MAX,IF(AU292&gt;ITP_TRAMO_ALTO,SUMIFS(CF_CUOTA,CF_MAS,ITP_TRAMO_ALTO,CF_CCMIN,"&lt;="&amp;CB292,CF_CCMAX,"&gt;="&amp;CB292),IF(AU292&gt;ITP_TRAMO_BAJO,SUMIFS(CF_CUOTA,CF_MAS,ITP_TRAMO_BAJO,CF_CCMIN,"&lt;="&amp;CB292,CF_CCMAX,"&gt;="&amp;CB292),O292*ITP_TIPO)),O292*ITP_TIPO))</f>
        <v/>
      </c>
      <c r="CD292" s="4">
        <f>IF(R292="profesional",N(AK292),0)</f>
        <v/>
      </c>
      <c r="CE292" s="3">
        <f>IF(AND(R292="profesional",ISNUMBER(AK292),AL292="sí"),0,TASA_DGT)</f>
        <v/>
      </c>
      <c r="CF292" s="3">
        <f>INFORME_DGT</f>
        <v/>
      </c>
      <c r="CG292" s="4">
        <f>O292+CD292+CC292+CE292+CF292</f>
        <v/>
      </c>
      <c r="CH292" s="4">
        <f>CG292+N(BU292)</f>
        <v/>
      </c>
      <c r="CI292" s="3">
        <f>IF(CG292&lt;=TOTAL_MAX,"sí",IF(CG292&lt;=TOTAL_MAX+MARGEN_NEG,"negociar","no"))</f>
        <v/>
      </c>
      <c r="CJ292" s="4">
        <f>IF(CI292&lt;&gt;"no",COUNTIFS($CI$2:$CI$662,"&lt;&gt;no",$CA$2:$CA$662,"&gt;"&amp;CA292)+COUNTIFS($CI$2:CI292,"&lt;&gt;no",$CA$2:CA292,CA292),"")</f>
        <v/>
      </c>
    </row>
    <row r="293">
      <c r="A293" s="2" t="inlineStr">
        <is>
          <t>cochesnet:71302718</t>
        </is>
      </c>
      <c r="B293" s="2" t="inlineStr">
        <is>
          <t>cochesnet</t>
        </is>
      </c>
      <c r="C293" s="2" t="inlineStr">
        <is>
          <t>https://www.coches.net/volkswagen-polo-14-tdi-edition-70cv-5p-diesel-2007-en-valencia-71302718-covo.aspx</t>
        </is>
      </c>
      <c r="D293" s="2" t="inlineStr">
        <is>
          <t>VOLKSWAGEN Polo 1.4 TDI Edition</t>
        </is>
      </c>
      <c r="E293" s="2" t="inlineStr">
        <is>
          <t>Volkswagen</t>
        </is>
      </c>
      <c r="F293" s="2" t="inlineStr">
        <is>
          <t>Volkswagen Polo</t>
        </is>
      </c>
      <c r="G293" s="2" t="inlineStr">
        <is>
          <t>1.4 TDI</t>
        </is>
      </c>
      <c r="H293" s="2" t="inlineStr">
        <is>
          <t>1.4 TDI Edition 70cv</t>
        </is>
      </c>
      <c r="I293" s="2" t="n"/>
      <c r="J293" s="2" t="n">
        <v>70</v>
      </c>
      <c r="K293" s="2" t="inlineStr">
        <is>
          <t>diesel</t>
        </is>
      </c>
      <c r="L293" s="2" t="inlineStr">
        <is>
          <t>utilitario</t>
        </is>
      </c>
      <c r="M293" s="2" t="n">
        <v>2007</v>
      </c>
      <c r="N293" s="2" t="n">
        <v>163000</v>
      </c>
      <c r="O293" s="2" t="n">
        <v>5200</v>
      </c>
      <c r="P293" s="2" t="inlineStr">
        <is>
          <t>manual</t>
        </is>
      </c>
      <c r="Q293" s="2" t="inlineStr">
        <is>
          <t>no</t>
        </is>
      </c>
      <c r="R293" s="2" t="inlineStr">
        <is>
          <t>particular</t>
        </is>
      </c>
      <c r="S293" s="2" t="inlineStr">
        <is>
          <t>Torrent</t>
        </is>
      </c>
      <c r="T293" s="2" t="inlineStr">
        <is>
          <t>2026-08-16T21:13:54Z</t>
        </is>
      </c>
      <c r="U293" s="2" t="n">
        <v>16</v>
      </c>
      <c r="V293" s="2" t="n"/>
      <c r="W293" s="2" t="n"/>
      <c r="X293" s="2" t="n"/>
      <c r="Y293" s="2" t="n"/>
      <c r="Z293" s="2" t="inlineStr">
        <is>
          <t>no</t>
        </is>
      </c>
      <c r="AA293" s="2" t="n"/>
      <c r="AB293" s="2" t="n"/>
      <c r="AC293" s="2" t="n"/>
      <c r="AD293" s="2" t="n"/>
      <c r="AE293" s="2" t="n"/>
      <c r="AF293" s="2" t="n"/>
      <c r="AG293" s="2" t="n"/>
      <c r="AH293" s="2" t="n">
        <v>5200</v>
      </c>
      <c r="AI293" s="2" t="n"/>
      <c r="AJ293" s="2" t="n"/>
      <c r="AK293" s="2" t="n"/>
      <c r="AL293" s="2" t="n"/>
      <c r="AM293" s="2" t="n">
        <v>8.800000000000001</v>
      </c>
      <c r="AN293" s="2" t="n">
        <v>4850</v>
      </c>
      <c r="AO293" s="2" t="n">
        <v>6</v>
      </c>
      <c r="AP293" s="2" t="inlineStr">
        <is>
          <t>modelo+año+km</t>
        </is>
      </c>
      <c r="AQ293" s="2" t="n"/>
      <c r="AR293" s="2" t="inlineStr">
        <is>
          <t>cuota fija ITP: &gt;12 años, hasta 1.500 cc; diésel: motor sin fuente de fiabilidad (fiabilidad limitada a neutra)</t>
        </is>
      </c>
      <c r="AS293" s="2" t="inlineStr">
        <is>
          <t xml:space="preserve">La ITV está vigente hasta marzo 2027.
</t>
        </is>
      </c>
      <c r="AT293" s="2" t="inlineStr">
        <is>
          <t>https://www.coches.net/volkswagen-polo-14-tdi-edition-70cv-5p-diesel-2007-en-valencia-71302718-covo.aspx (window.__INITIAL_PROPS__.ad) /home/user/Alopecia/buscador-coches/raw/cochesnet/e1036891363be021.json</t>
        </is>
      </c>
      <c r="AU293" s="3">
        <f>MAX(ANIO_ACTUAL-M293,0)</f>
        <v/>
      </c>
      <c r="AV293" s="4">
        <f>N293/MAX(AU293,0.5)</f>
        <v/>
      </c>
      <c r="AW293" s="4">
        <f>F293</f>
        <v/>
      </c>
      <c r="AX293" s="3">
        <f>AW293&amp;"|"&amp;INT(M293/SEG_ANIO)*SEG_ANIO</f>
        <v/>
      </c>
      <c r="AY293" s="3">
        <f>AX293&amp;"|"&amp;INT(N293/SEG_KM)*SEG_KM</f>
        <v/>
      </c>
      <c r="AZ293" s="4">
        <f>COUNTIF($AW$2:$AW$662,AW293)</f>
        <v/>
      </c>
      <c r="BA293" s="4">
        <f>COUNTIF($AX$2:$AX$662,AX293)</f>
        <v/>
      </c>
      <c r="BB293" s="4">
        <f>COUNTIF($AY$2:$AY$662,AY293)</f>
        <v/>
      </c>
      <c r="BC293" s="3">
        <f t="array" ref="BC293">IF(N(AO293)&gt;=MIN_N,AN293,IF(BB293&gt;=MIN_N,MEDIAN(IF($AY$2:$AY$662=AY293,$O$2:$O$662)),IF(BA293&gt;=MIN_N,MEDIAN(IF($AX$2:$AX$662=AX293,$O$2:$O$662)),MEDIAN(IF($AW$2:$AW$662=AW293,$O$2:$O$662)))))</f>
        <v/>
      </c>
      <c r="BD293" s="3">
        <f>IF(N(AO293)&gt;=MIN_N,"mercado "&amp;AP293,IF(BB293&gt;=MIN_N,"modelo+año+km",IF(BA293&gt;=MIN_N,"modelo+año","modelo")))</f>
        <v/>
      </c>
      <c r="BE293" s="4">
        <f>(BC293-O293)/BC293</f>
        <v/>
      </c>
      <c r="BF293" s="3">
        <f>IF(OR(K293="hibrido",K293="glp"),"ECO",IF(K293="electrico","CERO",IF(K293="gasolina",IF(M293&gt;=GAS_C,"C",IF(M293&gt;=GAS_B,"B","A")),IF(K293="diesel",IF(M293&gt;=DIE_C,"C",IF(M293&gt;=DIE_B,"B","A")),""))))</f>
        <v/>
      </c>
      <c r="BG293" s="3">
        <f>IFERROR(VLOOKUP(F293,MOD_TBL,11,0),IFERROR(VLOOKUP(E293,OCU_TBL,2,0),NEUTRO))</f>
        <v/>
      </c>
      <c r="BH293" s="3">
        <f>SUMIFS(MOT_AJUSTE,MOT_MOTOR,G293,MOT_MARCA,E293,MOT_DESDE,"&lt;="&amp;M293,MOT_HASTA,"&gt;="&amp;M293)+SUMIFS(MOT_AJUSTE,MOT_MOTOR,G293,MOT_MARCA,"(todas)",MOT_DESDE,"&lt;="&amp;M293,MOT_HASTA,"&gt;="&amp;M293)</f>
        <v/>
      </c>
      <c r="BI293" s="3">
        <f>SUMIFS(COMB_AJUSTE,COMB_COMB,K293)</f>
        <v/>
      </c>
      <c r="BJ293" s="3">
        <f>COUNTIFS(MOT_MOTOR,G293,MOT_MARCA,E293,MOT_DESDE,"&lt;="&amp;M293,MOT_HASTA,"&gt;="&amp;M293)+COUNTIFS(MOT_MOTOR,G293,MOT_MARCA,"(todas)",MOT_DESDE,"&lt;="&amp;M293,MOT_HASTA,"&gt;="&amp;M293)</f>
        <v/>
      </c>
      <c r="BK293" s="3">
        <f>IF(AND(K293="diesel",BJ293=0),MIN(BG293,NEUTRO),BG293)</f>
        <v/>
      </c>
      <c r="BL293" s="4">
        <f>MAX(0,MIN(100,BK293+BH293+BI293))</f>
        <v/>
      </c>
      <c r="BM293" s="3">
        <f>MAX(0,MIN(100,50+BE293*PRECIO_PEND))</f>
        <v/>
      </c>
      <c r="BN293" s="3">
        <f>MAX(0,100*(1-N293/KM_MAX))</f>
        <v/>
      </c>
      <c r="BO293" s="3">
        <f>IF(AV293&lt;KMA_SOSP,IF(AA293="sí",100,KMA_PEN),IF(AV293&lt;=KMA_IDEAL_MAX,100,MAX(0,100*(KMA_CERO-AV293)/(KMA_CERO-KMA_IDEAL_MAX))))</f>
        <v/>
      </c>
      <c r="BP293" s="3">
        <f>MAX(0,MIN(100,100*(M293-ANIO_MIN)/(ANIO_ACTUAL-ANIO_MIN)))</f>
        <v/>
      </c>
      <c r="BQ293" s="3">
        <f>W_KMT*BN293+W_KMA*BO293+W_EDAD*BP293</f>
        <v/>
      </c>
      <c r="BR293" s="3">
        <f>P_ITV*(V293="sí")+P_LIBRO*(W293="sí")+P_CORREA*(X293="sí")+P_PROP*(Y293=1)+P_GAR*(Z293="sí")+P_FOTOS*MIN(1,N(U293)/FOTOS_OBJ)</f>
        <v/>
      </c>
      <c r="BS293" s="3">
        <f>IFERROR(VLOOKUP(BF293,ETQ_TBL,2,0),NEUTRO)</f>
        <v/>
      </c>
      <c r="BT293" s="3">
        <f>NEUTRO</f>
        <v/>
      </c>
      <c r="BU293" s="3">
        <f>IFERROR(VLOOKUP(L293,SEGURO_TBL,3,0),"")</f>
        <v/>
      </c>
      <c r="BV293" s="3">
        <f>IF(BU293="",NEUTRO,MAX(0,MIN(100,100*(SEG_REF_MAX-BU293)/(SEG_REF_MAX-SEG_REF_MIN))))</f>
        <v/>
      </c>
      <c r="BW293" s="3">
        <f>W_ET*BS293+W_CONS*BT293+W_SEG*BV293</f>
        <v/>
      </c>
      <c r="BX293" s="3">
        <f>IF(N(AB293)&gt;0,AB293,IF(AND(R293="profesional",SG_LEGAL_ON=1),GAR_LEGAL,0))</f>
        <v/>
      </c>
      <c r="BY293" s="3">
        <f>SG_GAR*MIN(1,BX293/SG_GAR_FULL)+SG_AMPL*(AC293="sí")+SG_KMC*(AF293="sí")+SG_REV*(N(AE293)&gt;0)+SG_DEV*MIN(1,N(AG293)/SG_DEV_FULL)+SG_HIST*(W293="sí")</f>
        <v/>
      </c>
      <c r="BZ293" s="3">
        <f>IFERROR(VLOOKUP(L293,CARR_PEN_TBL,2,0),0)</f>
        <v/>
      </c>
      <c r="CA293" s="3">
        <f>W_FIAB*BL293+W_PRECIO*BM293+W_KMEDAD*BQ293+W_ANUNCIO*BR293+W_USO*BW293+W_SEGURIDAD*BY293-BZ293</f>
        <v/>
      </c>
      <c r="CB293" s="4">
        <f>IF(N(I293)&gt;0,I293,IFERROR(ROUND(_xlfn.NUMBERVALUE(LEFT(G293,FIND(" ",G293&amp;" ")-1),".")*1000,0),99999))</f>
        <v/>
      </c>
      <c r="CC293" s="3">
        <f>IF(R293="profesional",0,IF(O293&lt;CUOTA_VALOR_MAX,IF(AU293&gt;ITP_TRAMO_ALTO,SUMIFS(CF_CUOTA,CF_MAS,ITP_TRAMO_ALTO,CF_CCMIN,"&lt;="&amp;CB293,CF_CCMAX,"&gt;="&amp;CB293),IF(AU293&gt;ITP_TRAMO_BAJO,SUMIFS(CF_CUOTA,CF_MAS,ITP_TRAMO_BAJO,CF_CCMIN,"&lt;="&amp;CB293,CF_CCMAX,"&gt;="&amp;CB293),O293*ITP_TIPO)),O293*ITP_TIPO))</f>
        <v/>
      </c>
      <c r="CD293" s="4">
        <f>IF(R293="profesional",N(AK293),0)</f>
        <v/>
      </c>
      <c r="CE293" s="3">
        <f>IF(AND(R293="profesional",ISNUMBER(AK293),AL293="sí"),0,TASA_DGT)</f>
        <v/>
      </c>
      <c r="CF293" s="3">
        <f>INFORME_DGT</f>
        <v/>
      </c>
      <c r="CG293" s="4">
        <f>O293+CD293+CC293+CE293+CF293</f>
        <v/>
      </c>
      <c r="CH293" s="4">
        <f>CG293+N(BU293)</f>
        <v/>
      </c>
      <c r="CI293" s="3">
        <f>IF(CG293&lt;=TOTAL_MAX,"sí",IF(CG293&lt;=TOTAL_MAX+MARGEN_NEG,"negociar","no"))</f>
        <v/>
      </c>
      <c r="CJ293" s="4">
        <f>IF(CI293&lt;&gt;"no",COUNTIFS($CI$2:$CI$662,"&lt;&gt;no",$CA$2:$CA$662,"&gt;"&amp;CA293)+COUNTIFS($CI$2:CI293,"&lt;&gt;no",$CA$2:CA293,CA293),"")</f>
        <v/>
      </c>
    </row>
    <row r="294">
      <c r="A294" s="2" t="inlineStr">
        <is>
          <t>cochesnet:71806576</t>
        </is>
      </c>
      <c r="B294" s="2" t="inlineStr">
        <is>
          <t>cochesnet</t>
        </is>
      </c>
      <c r="C294" s="2" t="inlineStr">
        <is>
          <t>https://www.coches.net/opel-corsa-enjoy-12-5p-gasolina-2008-en-valencia-71806576-covo.aspx</t>
        </is>
      </c>
      <c r="D294" s="2" t="inlineStr">
        <is>
          <t>OPEL Corsa Enjoy 1.2</t>
        </is>
      </c>
      <c r="E294" s="2" t="inlineStr">
        <is>
          <t>Opel</t>
        </is>
      </c>
      <c r="F294" s="2" t="inlineStr">
        <is>
          <t>Opel Corsa</t>
        </is>
      </c>
      <c r="G294" s="2" t="inlineStr">
        <is>
          <t>1.2</t>
        </is>
      </c>
      <c r="H294" s="2" t="inlineStr">
        <is>
          <t>Enjoy 1.2</t>
        </is>
      </c>
      <c r="I294" s="2" t="n"/>
      <c r="J294" s="2" t="n"/>
      <c r="K294" s="2" t="inlineStr">
        <is>
          <t>gasolina</t>
        </is>
      </c>
      <c r="L294" s="2" t="inlineStr">
        <is>
          <t>utilitario</t>
        </is>
      </c>
      <c r="M294" s="2" t="n">
        <v>2008</v>
      </c>
      <c r="N294" s="2" t="n">
        <v>93267</v>
      </c>
      <c r="O294" s="2" t="n">
        <v>4990</v>
      </c>
      <c r="P294" s="2" t="inlineStr">
        <is>
          <t>manual</t>
        </is>
      </c>
      <c r="Q294" s="2" t="inlineStr">
        <is>
          <t>no</t>
        </is>
      </c>
      <c r="R294" s="2" t="inlineStr">
        <is>
          <t>profesional</t>
        </is>
      </c>
      <c r="S294" s="2" t="inlineStr">
        <is>
          <t>Alzira</t>
        </is>
      </c>
      <c r="T294" s="2" t="inlineStr">
        <is>
          <t>2026-10-22T10:45:15Z</t>
        </is>
      </c>
      <c r="U294" s="2" t="n">
        <v>18</v>
      </c>
      <c r="V294" s="2" t="n"/>
      <c r="W294" s="2" t="n"/>
      <c r="X294" s="2" t="n"/>
      <c r="Y294" s="2" t="n"/>
      <c r="Z294" s="2" t="inlineStr">
        <is>
          <t>no</t>
        </is>
      </c>
      <c r="AA294" s="2" t="n"/>
      <c r="AB294" s="2" t="n"/>
      <c r="AC294" s="2" t="n"/>
      <c r="AD294" s="2" t="n"/>
      <c r="AE294" s="2" t="n"/>
      <c r="AF294" s="2" t="n"/>
      <c r="AG294" s="2" t="n"/>
      <c r="AH294" s="2" t="n">
        <v>4990</v>
      </c>
      <c r="AI294" s="2" t="n"/>
      <c r="AJ294" s="2" t="n"/>
      <c r="AK294" s="2" t="n"/>
      <c r="AL294" s="2" t="n"/>
      <c r="AM294" s="2" t="n">
        <v>35.7</v>
      </c>
      <c r="AN294" s="2" t="n">
        <v>3000</v>
      </c>
      <c r="AO294" s="2" t="n">
        <v>35</v>
      </c>
      <c r="AP294" s="2" t="inlineStr">
        <is>
          <t>modelo+año</t>
        </is>
      </c>
      <c r="AQ294" s="2" t="n"/>
      <c r="AR294" s="2" t="inlineStr">
        <is>
          <t>por encima del presupuesto (5054 €), negociar; vendedor profesional: sin ITP (operación con IVA/REBU, confirmar en factura); gastos de gestión del vendedor no indicados: se suma la tasa DGT; preguntar el precio final</t>
        </is>
      </c>
      <c r="AS294" s="2" t="inlineStr">
        <is>
          <t>Con garantía y cambio de nombre 5.500
Lo clave en 5 datos
Motor: 1.2 Gasolina (Fiable, suave y de mantenimiento muy económico)
Año: 2008
Kilómetros: 93.267 km (Certificados, kilometraje muy bajo para su año)
Acabado: Enjoy
Etiqueta DGT: C (Verde)
¿Por qué destaca esta unidad?
Poco rodaje: Menos de 95.000 km acumulados, lo que garantiza un estado mecánico con mucha vida útil por delante.
Mecánica sencilla y duradera: Motor de gasolina atmosférico de baja complejidad, ideal para evitar averías costosas.
Agilidad en ciudad: Tamaño compacto, fácil de aparcar y respuesta ágil en el tráfico urbano.
Acabado Enjoy: Incluye aire acondicionado, elevalunas eléctricos, dirección asistida con modo de maniobra y mandos en el volante.
¿Buscas un coche práctico, duradero y económico de mantener? Contáctanos ahora para consultar opciones de financiación a tu medida o agendar una prueba de conducción sin compromiso.</t>
        </is>
      </c>
      <c r="AT294" s="2" t="inlineStr">
        <is>
          <t>https://www.coches.net/opel-corsa-enjoy-12-5p-gasolina-2008-en-valencia-71806576-covo.aspx (window.__INITIAL_PROPS__.ad) /home/user/Alopecia/buscador-coches/raw/cochesnet/06d5c7ae03c437e7.json</t>
        </is>
      </c>
      <c r="AU294" s="3">
        <f>MAX(ANIO_ACTUAL-M294,0)</f>
        <v/>
      </c>
      <c r="AV294" s="4">
        <f>N294/MAX(AU294,0.5)</f>
        <v/>
      </c>
      <c r="AW294" s="4">
        <f>F294</f>
        <v/>
      </c>
      <c r="AX294" s="3">
        <f>AW294&amp;"|"&amp;INT(M294/SEG_ANIO)*SEG_ANIO</f>
        <v/>
      </c>
      <c r="AY294" s="3">
        <f>AX294&amp;"|"&amp;INT(N294/SEG_KM)*SEG_KM</f>
        <v/>
      </c>
      <c r="AZ294" s="4">
        <f>COUNTIF($AW$2:$AW$662,AW294)</f>
        <v/>
      </c>
      <c r="BA294" s="4">
        <f>COUNTIF($AX$2:$AX$662,AX294)</f>
        <v/>
      </c>
      <c r="BB294" s="4">
        <f>COUNTIF($AY$2:$AY$662,AY294)</f>
        <v/>
      </c>
      <c r="BC294" s="3">
        <f t="array" ref="BC294">IF(N(AO294)&gt;=MIN_N,AN294,IF(BB294&gt;=MIN_N,MEDIAN(IF($AY$2:$AY$662=AY294,$O$2:$O$662)),IF(BA294&gt;=MIN_N,MEDIAN(IF($AX$2:$AX$662=AX294,$O$2:$O$662)),MEDIAN(IF($AW$2:$AW$662=AW294,$O$2:$O$662)))))</f>
        <v/>
      </c>
      <c r="BD294" s="3">
        <f>IF(N(AO294)&gt;=MIN_N,"mercado "&amp;AP294,IF(BB294&gt;=MIN_N,"modelo+año+km",IF(BA294&gt;=MIN_N,"modelo+año","modelo")))</f>
        <v/>
      </c>
      <c r="BE294" s="4">
        <f>(BC294-O294)/BC294</f>
        <v/>
      </c>
      <c r="BF294" s="3">
        <f>IF(OR(K294="hibrido",K294="glp"),"ECO",IF(K294="electrico","CERO",IF(K294="gasolina",IF(M294&gt;=GAS_C,"C",IF(M294&gt;=GAS_B,"B","A")),IF(K294="diesel",IF(M294&gt;=DIE_C,"C",IF(M294&gt;=DIE_B,"B","A")),""))))</f>
        <v/>
      </c>
      <c r="BG294" s="3">
        <f>IFERROR(VLOOKUP(F294,MOD_TBL,11,0),IFERROR(VLOOKUP(E294,OCU_TBL,2,0),NEUTRO))</f>
        <v/>
      </c>
      <c r="BH294" s="3">
        <f>SUMIFS(MOT_AJUSTE,MOT_MOTOR,G294,MOT_MARCA,E294,MOT_DESDE,"&lt;="&amp;M294,MOT_HASTA,"&gt;="&amp;M294)+SUMIFS(MOT_AJUSTE,MOT_MOTOR,G294,MOT_MARCA,"(todas)",MOT_DESDE,"&lt;="&amp;M294,MOT_HASTA,"&gt;="&amp;M294)</f>
        <v/>
      </c>
      <c r="BI294" s="3">
        <f>SUMIFS(COMB_AJUSTE,COMB_COMB,K294)</f>
        <v/>
      </c>
      <c r="BJ294" s="3">
        <f>COUNTIFS(MOT_MOTOR,G294,MOT_MARCA,E294,MOT_DESDE,"&lt;="&amp;M294,MOT_HASTA,"&gt;="&amp;M294)+COUNTIFS(MOT_MOTOR,G294,MOT_MARCA,"(todas)",MOT_DESDE,"&lt;="&amp;M294,MOT_HASTA,"&gt;="&amp;M294)</f>
        <v/>
      </c>
      <c r="BK294" s="3">
        <f>IF(AND(K294="diesel",BJ294=0),MIN(BG294,NEUTRO),BG294)</f>
        <v/>
      </c>
      <c r="BL294" s="4">
        <f>MAX(0,MIN(100,BK294+BH294+BI294))</f>
        <v/>
      </c>
      <c r="BM294" s="3">
        <f>MAX(0,MIN(100,50+BE294*PRECIO_PEND))</f>
        <v/>
      </c>
      <c r="BN294" s="3">
        <f>MAX(0,100*(1-N294/KM_MAX))</f>
        <v/>
      </c>
      <c r="BO294" s="3">
        <f>IF(AV294&lt;KMA_SOSP,IF(AA294="sí",100,KMA_PEN),IF(AV294&lt;=KMA_IDEAL_MAX,100,MAX(0,100*(KMA_CERO-AV294)/(KMA_CERO-KMA_IDEAL_MAX))))</f>
        <v/>
      </c>
      <c r="BP294" s="3">
        <f>MAX(0,MIN(100,100*(M294-ANIO_MIN)/(ANIO_ACTUAL-ANIO_MIN)))</f>
        <v/>
      </c>
      <c r="BQ294" s="3">
        <f>W_KMT*BN294+W_KMA*BO294+W_EDAD*BP294</f>
        <v/>
      </c>
      <c r="BR294" s="3">
        <f>P_ITV*(V294="sí")+P_LIBRO*(W294="sí")+P_CORREA*(X294="sí")+P_PROP*(Y294=1)+P_GAR*(Z294="sí")+P_FOTOS*MIN(1,N(U294)/FOTOS_OBJ)</f>
        <v/>
      </c>
      <c r="BS294" s="3">
        <f>IFERROR(VLOOKUP(BF294,ETQ_TBL,2,0),NEUTRO)</f>
        <v/>
      </c>
      <c r="BT294" s="3">
        <f>NEUTRO</f>
        <v/>
      </c>
      <c r="BU294" s="3">
        <f>IFERROR(VLOOKUP(L294,SEGURO_TBL,3,0),"")</f>
        <v/>
      </c>
      <c r="BV294" s="3">
        <f>IF(BU294="",NEUTRO,MAX(0,MIN(100,100*(SEG_REF_MAX-BU294)/(SEG_REF_MAX-SEG_REF_MIN))))</f>
        <v/>
      </c>
      <c r="BW294" s="3">
        <f>W_ET*BS294+W_CONS*BT294+W_SEG*BV294</f>
        <v/>
      </c>
      <c r="BX294" s="3">
        <f>IF(N(AB294)&gt;0,AB294,IF(AND(R294="profesional",SG_LEGAL_ON=1),GAR_LEGAL,0))</f>
        <v/>
      </c>
      <c r="BY294" s="3">
        <f>SG_GAR*MIN(1,BX294/SG_GAR_FULL)+SG_AMPL*(AC294="sí")+SG_KMC*(AF294="sí")+SG_REV*(N(AE294)&gt;0)+SG_DEV*MIN(1,N(AG294)/SG_DEV_FULL)+SG_HIST*(W294="sí")</f>
        <v/>
      </c>
      <c r="BZ294" s="3">
        <f>IFERROR(VLOOKUP(L294,CARR_PEN_TBL,2,0),0)</f>
        <v/>
      </c>
      <c r="CA294" s="3">
        <f>W_FIAB*BL294+W_PRECIO*BM294+W_KMEDAD*BQ294+W_ANUNCIO*BR294+W_USO*BW294+W_SEGURIDAD*BY294-BZ294</f>
        <v/>
      </c>
      <c r="CB294" s="4">
        <f>IF(N(I294)&gt;0,I294,IFERROR(ROUND(_xlfn.NUMBERVALUE(LEFT(G294,FIND(" ",G294&amp;" ")-1),".")*1000,0),99999))</f>
        <v/>
      </c>
      <c r="CC294" s="3">
        <f>IF(R294="profesional",0,IF(O294&lt;CUOTA_VALOR_MAX,IF(AU294&gt;ITP_TRAMO_ALTO,SUMIFS(CF_CUOTA,CF_MAS,ITP_TRAMO_ALTO,CF_CCMIN,"&lt;="&amp;CB294,CF_CCMAX,"&gt;="&amp;CB294),IF(AU294&gt;ITP_TRAMO_BAJO,SUMIFS(CF_CUOTA,CF_MAS,ITP_TRAMO_BAJO,CF_CCMIN,"&lt;="&amp;CB294,CF_CCMAX,"&gt;="&amp;CB294),O294*ITP_TIPO)),O294*ITP_TIPO))</f>
        <v/>
      </c>
      <c r="CD294" s="4">
        <f>IF(R294="profesional",N(AK294),0)</f>
        <v/>
      </c>
      <c r="CE294" s="3">
        <f>IF(AND(R294="profesional",ISNUMBER(AK294),AL294="sí"),0,TASA_DGT)</f>
        <v/>
      </c>
      <c r="CF294" s="3">
        <f>INFORME_DGT</f>
        <v/>
      </c>
      <c r="CG294" s="4">
        <f>O294+CD294+CC294+CE294+CF294</f>
        <v/>
      </c>
      <c r="CH294" s="4">
        <f>CG294+N(BU294)</f>
        <v/>
      </c>
      <c r="CI294" s="3">
        <f>IF(CG294&lt;=TOTAL_MAX,"sí",IF(CG294&lt;=TOTAL_MAX+MARGEN_NEG,"negociar","no"))</f>
        <v/>
      </c>
      <c r="CJ294" s="4">
        <f>IF(CI294&lt;&gt;"no",COUNTIFS($CI$2:$CI$662,"&lt;&gt;no",$CA$2:$CA$662,"&gt;"&amp;CA294)+COUNTIFS($CI$2:CI294,"&lt;&gt;no",$CA$2:CA294,CA294),"")</f>
        <v/>
      </c>
    </row>
    <row r="295">
      <c r="A295" s="2" t="inlineStr">
        <is>
          <t>cochesnet:71790451</t>
        </is>
      </c>
      <c r="B295" s="2" t="inlineStr">
        <is>
          <t>cochesnet</t>
        </is>
      </c>
      <c r="C295" s="2" t="inlineStr">
        <is>
          <t>https://www.coches.net/opel-corsa-enjoy-12-3p-gasolina-2007-en-valencia-71790451-covo.aspx</t>
        </is>
      </c>
      <c r="D295" s="2" t="inlineStr">
        <is>
          <t>OPEL Corsa Enjoy 1.2</t>
        </is>
      </c>
      <c r="E295" s="2" t="inlineStr">
        <is>
          <t>Opel</t>
        </is>
      </c>
      <c r="F295" s="2" t="inlineStr">
        <is>
          <t>Opel Corsa</t>
        </is>
      </c>
      <c r="G295" s="2" t="inlineStr">
        <is>
          <t>1.2</t>
        </is>
      </c>
      <c r="H295" s="2" t="inlineStr">
        <is>
          <t>Enjoy 1.2</t>
        </is>
      </c>
      <c r="I295" s="2" t="n"/>
      <c r="J295" s="2" t="n"/>
      <c r="K295" s="2" t="inlineStr">
        <is>
          <t>gasolina</t>
        </is>
      </c>
      <c r="L295" s="2" t="inlineStr">
        <is>
          <t>utilitario</t>
        </is>
      </c>
      <c r="M295" s="2" t="n">
        <v>2007</v>
      </c>
      <c r="N295" s="2" t="n">
        <v>206000</v>
      </c>
      <c r="O295" s="2" t="n">
        <v>2990</v>
      </c>
      <c r="P295" s="2" t="inlineStr">
        <is>
          <t>manual</t>
        </is>
      </c>
      <c r="Q295" s="2" t="inlineStr">
        <is>
          <t>no</t>
        </is>
      </c>
      <c r="R295" s="2" t="inlineStr">
        <is>
          <t>profesional</t>
        </is>
      </c>
      <c r="S295" s="2" t="inlineStr">
        <is>
          <t>Blessed drive Torrent</t>
        </is>
      </c>
      <c r="T295" s="2" t="inlineStr">
        <is>
          <t>2026-10-20T13:40:40Z</t>
        </is>
      </c>
      <c r="U295" s="2" t="n">
        <v>18</v>
      </c>
      <c r="V295" s="2" t="n"/>
      <c r="W295" s="2" t="n"/>
      <c r="X295" s="2" t="n"/>
      <c r="Y295" s="2" t="n"/>
      <c r="Z295" s="2" t="inlineStr">
        <is>
          <t>sí</t>
        </is>
      </c>
      <c r="AA295" s="2" t="n"/>
      <c r="AB295" s="2" t="n">
        <v>12</v>
      </c>
      <c r="AC295" s="2" t="n"/>
      <c r="AD295" s="2" t="n"/>
      <c r="AE295" s="2" t="n"/>
      <c r="AF295" s="2" t="n"/>
      <c r="AG295" s="2" t="n"/>
      <c r="AH295" s="2" t="n">
        <v>2990</v>
      </c>
      <c r="AI295" s="2" t="n">
        <v>2999</v>
      </c>
      <c r="AJ295" s="2" t="n"/>
      <c r="AK295" s="2" t="n"/>
      <c r="AL295" s="2" t="n"/>
      <c r="AM295" s="2" t="n">
        <v>8.800000000000001</v>
      </c>
      <c r="AN295" s="2" t="n">
        <v>2990</v>
      </c>
      <c r="AO295" s="2" t="n">
        <v>11</v>
      </c>
      <c r="AP295" s="2" t="inlineStr">
        <is>
          <t>modelo+año+km</t>
        </is>
      </c>
      <c r="AQ295" s="2" t="inlineStr">
        <is>
          <t>wallapop:1313126578 (https://es.wallapop.com/item/opel-corsa-2007-1313126578)</t>
        </is>
      </c>
      <c r="AR295" s="2" t="inlineStr">
        <is>
          <t>vendedor profesional: sin ITP (operación con IVA/REBU, confirmar en factura); gastos de gestión del vendedor no indicados: se suma la tasa DGT; preguntar el precio final</t>
        </is>
      </c>
      <c r="AS295" s="2" t="inlineStr">
        <is>
          <t xml:space="preserve">SE VENDE 
CON 1AÑO DE GARANTÍA 
CON POSIBILIDAD DE TRANSPORTAR A CUALQUIER PUNTO 
SE ENTREGA CON TODOS SUS MANTENIMIENTOS HECHOS 
EXTRAS
LLANTAS 
CLIMA
ELEVALUNAS ELÉCTRICOS 
DIRECCIÓN ASISTIDA 
AIRBAG 
ORDENADOR ABORDO 
ABS
VOLANTE MULTIFUNCION 
SISTEMA DE AUDIO 
RETROVISORES ELÉCTRICOS 
ANCLAJES ISOFIX 
CIERRE CENTRALIZADO 
MUCHISIMOS EXTRAS MAS 
</t>
        </is>
      </c>
      <c r="AT295" s="2" t="inlineStr">
        <is>
          <t>https://www.coches.net/opel-corsa-enjoy-12-3p-gasolina-2007-en-valencia-71790451-covo.aspx (window.__INITIAL_PROPS__.ad) /home/user/Alopecia/buscador-coches/raw/cochesnet/e73d25cb95237e9a.json</t>
        </is>
      </c>
      <c r="AU295" s="3">
        <f>MAX(ANIO_ACTUAL-M295,0)</f>
        <v/>
      </c>
      <c r="AV295" s="4">
        <f>N295/MAX(AU295,0.5)</f>
        <v/>
      </c>
      <c r="AW295" s="4">
        <f>F295</f>
        <v/>
      </c>
      <c r="AX295" s="3">
        <f>AW295&amp;"|"&amp;INT(M295/SEG_ANIO)*SEG_ANIO</f>
        <v/>
      </c>
      <c r="AY295" s="3">
        <f>AX295&amp;"|"&amp;INT(N295/SEG_KM)*SEG_KM</f>
        <v/>
      </c>
      <c r="AZ295" s="4">
        <f>COUNTIF($AW$2:$AW$662,AW295)</f>
        <v/>
      </c>
      <c r="BA295" s="4">
        <f>COUNTIF($AX$2:$AX$662,AX295)</f>
        <v/>
      </c>
      <c r="BB295" s="4">
        <f>COUNTIF($AY$2:$AY$662,AY295)</f>
        <v/>
      </c>
      <c r="BC295" s="3">
        <f t="array" ref="BC295">IF(N(AO295)&gt;=MIN_N,AN295,IF(BB295&gt;=MIN_N,MEDIAN(IF($AY$2:$AY$662=AY295,$O$2:$O$662)),IF(BA295&gt;=MIN_N,MEDIAN(IF($AX$2:$AX$662=AX295,$O$2:$O$662)),MEDIAN(IF($AW$2:$AW$662=AW295,$O$2:$O$662)))))</f>
        <v/>
      </c>
      <c r="BD295" s="3">
        <f>IF(N(AO295)&gt;=MIN_N,"mercado "&amp;AP295,IF(BB295&gt;=MIN_N,"modelo+año+km",IF(BA295&gt;=MIN_N,"modelo+año","modelo")))</f>
        <v/>
      </c>
      <c r="BE295" s="4">
        <f>(BC295-O295)/BC295</f>
        <v/>
      </c>
      <c r="BF295" s="3">
        <f>IF(OR(K295="hibrido",K295="glp"),"ECO",IF(K295="electrico","CERO",IF(K295="gasolina",IF(M295&gt;=GAS_C,"C",IF(M295&gt;=GAS_B,"B","A")),IF(K295="diesel",IF(M295&gt;=DIE_C,"C",IF(M295&gt;=DIE_B,"B","A")),""))))</f>
        <v/>
      </c>
      <c r="BG295" s="3">
        <f>IFERROR(VLOOKUP(F295,MOD_TBL,11,0),IFERROR(VLOOKUP(E295,OCU_TBL,2,0),NEUTRO))</f>
        <v/>
      </c>
      <c r="BH295" s="3">
        <f>SUMIFS(MOT_AJUSTE,MOT_MOTOR,G295,MOT_MARCA,E295,MOT_DESDE,"&lt;="&amp;M295,MOT_HASTA,"&gt;="&amp;M295)+SUMIFS(MOT_AJUSTE,MOT_MOTOR,G295,MOT_MARCA,"(todas)",MOT_DESDE,"&lt;="&amp;M295,MOT_HASTA,"&gt;="&amp;M295)</f>
        <v/>
      </c>
      <c r="BI295" s="3">
        <f>SUMIFS(COMB_AJUSTE,COMB_COMB,K295)</f>
        <v/>
      </c>
      <c r="BJ295" s="3">
        <f>COUNTIFS(MOT_MOTOR,G295,MOT_MARCA,E295,MOT_DESDE,"&lt;="&amp;M295,MOT_HASTA,"&gt;="&amp;M295)+COUNTIFS(MOT_MOTOR,G295,MOT_MARCA,"(todas)",MOT_DESDE,"&lt;="&amp;M295,MOT_HASTA,"&gt;="&amp;M295)</f>
        <v/>
      </c>
      <c r="BK295" s="3">
        <f>IF(AND(K295="diesel",BJ295=0),MIN(BG295,NEUTRO),BG295)</f>
        <v/>
      </c>
      <c r="BL295" s="4">
        <f>MAX(0,MIN(100,BK295+BH295+BI295))</f>
        <v/>
      </c>
      <c r="BM295" s="3">
        <f>MAX(0,MIN(100,50+BE295*PRECIO_PEND))</f>
        <v/>
      </c>
      <c r="BN295" s="3">
        <f>MAX(0,100*(1-N295/KM_MAX))</f>
        <v/>
      </c>
      <c r="BO295" s="3">
        <f>IF(AV295&lt;KMA_SOSP,IF(AA295="sí",100,KMA_PEN),IF(AV295&lt;=KMA_IDEAL_MAX,100,MAX(0,100*(KMA_CERO-AV295)/(KMA_CERO-KMA_IDEAL_MAX))))</f>
        <v/>
      </c>
      <c r="BP295" s="3">
        <f>MAX(0,MIN(100,100*(M295-ANIO_MIN)/(ANIO_ACTUAL-ANIO_MIN)))</f>
        <v/>
      </c>
      <c r="BQ295" s="3">
        <f>W_KMT*BN295+W_KMA*BO295+W_EDAD*BP295</f>
        <v/>
      </c>
      <c r="BR295" s="3">
        <f>P_ITV*(V295="sí")+P_LIBRO*(W295="sí")+P_CORREA*(X295="sí")+P_PROP*(Y295=1)+P_GAR*(Z295="sí")+P_FOTOS*MIN(1,N(U295)/FOTOS_OBJ)</f>
        <v/>
      </c>
      <c r="BS295" s="3">
        <f>IFERROR(VLOOKUP(BF295,ETQ_TBL,2,0),NEUTRO)</f>
        <v/>
      </c>
      <c r="BT295" s="3">
        <f>NEUTRO</f>
        <v/>
      </c>
      <c r="BU295" s="3">
        <f>IFERROR(VLOOKUP(L295,SEGURO_TBL,3,0),"")</f>
        <v/>
      </c>
      <c r="BV295" s="3">
        <f>IF(BU295="",NEUTRO,MAX(0,MIN(100,100*(SEG_REF_MAX-BU295)/(SEG_REF_MAX-SEG_REF_MIN))))</f>
        <v/>
      </c>
      <c r="BW295" s="3">
        <f>W_ET*BS295+W_CONS*BT295+W_SEG*BV295</f>
        <v/>
      </c>
      <c r="BX295" s="3">
        <f>IF(N(AB295)&gt;0,AB295,IF(AND(R295="profesional",SG_LEGAL_ON=1),GAR_LEGAL,0))</f>
        <v/>
      </c>
      <c r="BY295" s="3">
        <f>SG_GAR*MIN(1,BX295/SG_GAR_FULL)+SG_AMPL*(AC295="sí")+SG_KMC*(AF295="sí")+SG_REV*(N(AE295)&gt;0)+SG_DEV*MIN(1,N(AG295)/SG_DEV_FULL)+SG_HIST*(W295="sí")</f>
        <v/>
      </c>
      <c r="BZ295" s="3">
        <f>IFERROR(VLOOKUP(L295,CARR_PEN_TBL,2,0),0)</f>
        <v/>
      </c>
      <c r="CA295" s="3">
        <f>W_FIAB*BL295+W_PRECIO*BM295+W_KMEDAD*BQ295+W_ANUNCIO*BR295+W_USO*BW295+W_SEGURIDAD*BY295-BZ295</f>
        <v/>
      </c>
      <c r="CB295" s="4">
        <f>IF(N(I295)&gt;0,I295,IFERROR(ROUND(_xlfn.NUMBERVALUE(LEFT(G295,FIND(" ",G295&amp;" ")-1),".")*1000,0),99999))</f>
        <v/>
      </c>
      <c r="CC295" s="3">
        <f>IF(R295="profesional",0,IF(O295&lt;CUOTA_VALOR_MAX,IF(AU295&gt;ITP_TRAMO_ALTO,SUMIFS(CF_CUOTA,CF_MAS,ITP_TRAMO_ALTO,CF_CCMIN,"&lt;="&amp;CB295,CF_CCMAX,"&gt;="&amp;CB295),IF(AU295&gt;ITP_TRAMO_BAJO,SUMIFS(CF_CUOTA,CF_MAS,ITP_TRAMO_BAJO,CF_CCMIN,"&lt;="&amp;CB295,CF_CCMAX,"&gt;="&amp;CB295),O295*ITP_TIPO)),O295*ITP_TIPO))</f>
        <v/>
      </c>
      <c r="CD295" s="4">
        <f>IF(R295="profesional",N(AK295),0)</f>
        <v/>
      </c>
      <c r="CE295" s="3">
        <f>IF(AND(R295="profesional",ISNUMBER(AK295),AL295="sí"),0,TASA_DGT)</f>
        <v/>
      </c>
      <c r="CF295" s="3">
        <f>INFORME_DGT</f>
        <v/>
      </c>
      <c r="CG295" s="4">
        <f>O295+CD295+CC295+CE295+CF295</f>
        <v/>
      </c>
      <c r="CH295" s="4">
        <f>CG295+N(BU295)</f>
        <v/>
      </c>
      <c r="CI295" s="3">
        <f>IF(CG295&lt;=TOTAL_MAX,"sí",IF(CG295&lt;=TOTAL_MAX+MARGEN_NEG,"negociar","no"))</f>
        <v/>
      </c>
      <c r="CJ295" s="4">
        <f>IF(CI295&lt;&gt;"no",COUNTIFS($CI$2:$CI$662,"&lt;&gt;no",$CA$2:$CA$662,"&gt;"&amp;CA295)+COUNTIFS($CI$2:CI295,"&lt;&gt;no",$CA$2:CA295,CA295),"")</f>
        <v/>
      </c>
    </row>
    <row r="296">
      <c r="A296" s="2" t="inlineStr">
        <is>
          <t>cochesnet:71818280</t>
        </is>
      </c>
      <c r="B296" s="2" t="inlineStr">
        <is>
          <t>cochesnet</t>
        </is>
      </c>
      <c r="C296" s="2" t="inlineStr">
        <is>
          <t>https://www.coches.net/opel-corsa-13-ecoflex-cosmo-5p-diesel-2010-en-valencia-71818280-covo.aspx</t>
        </is>
      </c>
      <c r="D296" s="2" t="inlineStr">
        <is>
          <t>OPEL Corsa 1.3 ecoFLEX Cosmo</t>
        </is>
      </c>
      <c r="E296" s="2" t="inlineStr">
        <is>
          <t>Opel</t>
        </is>
      </c>
      <c r="F296" s="2" t="inlineStr">
        <is>
          <t>Opel Corsa</t>
        </is>
      </c>
      <c r="G296" s="2" t="inlineStr">
        <is>
          <t>1.3</t>
        </is>
      </c>
      <c r="H296" s="2" t="inlineStr">
        <is>
          <t>1.3 ecoFLEX Cosmo</t>
        </is>
      </c>
      <c r="I296" s="2" t="n"/>
      <c r="J296" s="2" t="n"/>
      <c r="K296" s="2" t="inlineStr">
        <is>
          <t>diesel</t>
        </is>
      </c>
      <c r="L296" s="2" t="inlineStr">
        <is>
          <t>utilitario</t>
        </is>
      </c>
      <c r="M296" s="2" t="n">
        <v>2010</v>
      </c>
      <c r="N296" s="2" t="n">
        <v>176000</v>
      </c>
      <c r="O296" s="2" t="n">
        <v>4950</v>
      </c>
      <c r="P296" s="2" t="inlineStr">
        <is>
          <t>manual</t>
        </is>
      </c>
      <c r="Q296" s="2" t="inlineStr">
        <is>
          <t>no</t>
        </is>
      </c>
      <c r="R296" s="2" t="inlineStr">
        <is>
          <t>particular</t>
        </is>
      </c>
      <c r="S296" s="2" t="inlineStr">
        <is>
          <t>Mislata</t>
        </is>
      </c>
      <c r="T296" s="2" t="inlineStr">
        <is>
          <t>2026-10-23T16:47:31Z</t>
        </is>
      </c>
      <c r="U296" s="2" t="n">
        <v>7</v>
      </c>
      <c r="V296" s="2" t="n"/>
      <c r="W296" s="2" t="n"/>
      <c r="X296" s="2" t="n"/>
      <c r="Y296" s="2" t="n"/>
      <c r="Z296" s="2" t="inlineStr">
        <is>
          <t>no</t>
        </is>
      </c>
      <c r="AA296" s="2" t="n"/>
      <c r="AB296" s="2" t="n"/>
      <c r="AC296" s="2" t="n"/>
      <c r="AD296" s="2" t="n"/>
      <c r="AE296" s="2" t="n"/>
      <c r="AF296" s="2" t="n"/>
      <c r="AG296" s="2" t="n"/>
      <c r="AH296" s="2" t="n">
        <v>4950</v>
      </c>
      <c r="AI296" s="2" t="n"/>
      <c r="AJ296" s="2" t="n"/>
      <c r="AK296" s="2" t="n"/>
      <c r="AL296" s="2" t="n"/>
      <c r="AM296" s="2" t="n">
        <v>3</v>
      </c>
      <c r="AN296" s="2" t="n">
        <v>3500</v>
      </c>
      <c r="AO296" s="2" t="n">
        <v>7</v>
      </c>
      <c r="AP296" s="2" t="inlineStr">
        <is>
          <t>modelo+año+km</t>
        </is>
      </c>
      <c r="AQ296" s="2" t="n"/>
      <c r="AR296" s="2" t="inlineStr">
        <is>
          <t>por encima del presupuesto (5054 €), negociar; cuota fija ITP: &gt;12 años, hasta 1.500 cc; diésel: motor sin fuente de fiabilidad (fiabilidad limitada a neutra)</t>
        </is>
      </c>
      <c r="AS296" s="2" t="inlineStr">
        <is>
          <t xml:space="preserve">ITV completa.
Poco uso. Buen estado interior y exterior.
Techo recién pintado.
</t>
        </is>
      </c>
      <c r="AT296" s="2" t="inlineStr">
        <is>
          <t>https://www.coches.net/opel-corsa-13-ecoflex-cosmo-5p-diesel-2010-en-valencia-71818280-covo.aspx (window.__INITIAL_PROPS__.ad) /home/user/Alopecia/buscador-coches/raw/cochesnet/0d00317535c90425.json</t>
        </is>
      </c>
      <c r="AU296" s="3">
        <f>MAX(ANIO_ACTUAL-M296,0)</f>
        <v/>
      </c>
      <c r="AV296" s="4">
        <f>N296/MAX(AU296,0.5)</f>
        <v/>
      </c>
      <c r="AW296" s="4">
        <f>F296</f>
        <v/>
      </c>
      <c r="AX296" s="3">
        <f>AW296&amp;"|"&amp;INT(M296/SEG_ANIO)*SEG_ANIO</f>
        <v/>
      </c>
      <c r="AY296" s="3">
        <f>AX296&amp;"|"&amp;INT(N296/SEG_KM)*SEG_KM</f>
        <v/>
      </c>
      <c r="AZ296" s="4">
        <f>COUNTIF($AW$2:$AW$662,AW296)</f>
        <v/>
      </c>
      <c r="BA296" s="4">
        <f>COUNTIF($AX$2:$AX$662,AX296)</f>
        <v/>
      </c>
      <c r="BB296" s="4">
        <f>COUNTIF($AY$2:$AY$662,AY296)</f>
        <v/>
      </c>
      <c r="BC296" s="3">
        <f t="array" ref="BC296">IF(N(AO296)&gt;=MIN_N,AN296,IF(BB296&gt;=MIN_N,MEDIAN(IF($AY$2:$AY$662=AY296,$O$2:$O$662)),IF(BA296&gt;=MIN_N,MEDIAN(IF($AX$2:$AX$662=AX296,$O$2:$O$662)),MEDIAN(IF($AW$2:$AW$662=AW296,$O$2:$O$662)))))</f>
        <v/>
      </c>
      <c r="BD296" s="3">
        <f>IF(N(AO296)&gt;=MIN_N,"mercado "&amp;AP296,IF(BB296&gt;=MIN_N,"modelo+año+km",IF(BA296&gt;=MIN_N,"modelo+año","modelo")))</f>
        <v/>
      </c>
      <c r="BE296" s="4">
        <f>(BC296-O296)/BC296</f>
        <v/>
      </c>
      <c r="BF296" s="3">
        <f>IF(OR(K296="hibrido",K296="glp"),"ECO",IF(K296="electrico","CERO",IF(K296="gasolina",IF(M296&gt;=GAS_C,"C",IF(M296&gt;=GAS_B,"B","A")),IF(K296="diesel",IF(M296&gt;=DIE_C,"C",IF(M296&gt;=DIE_B,"B","A")),""))))</f>
        <v/>
      </c>
      <c r="BG296" s="3">
        <f>IFERROR(VLOOKUP(F296,MOD_TBL,11,0),IFERROR(VLOOKUP(E296,OCU_TBL,2,0),NEUTRO))</f>
        <v/>
      </c>
      <c r="BH296" s="3">
        <f>SUMIFS(MOT_AJUSTE,MOT_MOTOR,G296,MOT_MARCA,E296,MOT_DESDE,"&lt;="&amp;M296,MOT_HASTA,"&gt;="&amp;M296)+SUMIFS(MOT_AJUSTE,MOT_MOTOR,G296,MOT_MARCA,"(todas)",MOT_DESDE,"&lt;="&amp;M296,MOT_HASTA,"&gt;="&amp;M296)</f>
        <v/>
      </c>
      <c r="BI296" s="3">
        <f>SUMIFS(COMB_AJUSTE,COMB_COMB,K296)</f>
        <v/>
      </c>
      <c r="BJ296" s="3">
        <f>COUNTIFS(MOT_MOTOR,G296,MOT_MARCA,E296,MOT_DESDE,"&lt;="&amp;M296,MOT_HASTA,"&gt;="&amp;M296)+COUNTIFS(MOT_MOTOR,G296,MOT_MARCA,"(todas)",MOT_DESDE,"&lt;="&amp;M296,MOT_HASTA,"&gt;="&amp;M296)</f>
        <v/>
      </c>
      <c r="BK296" s="3">
        <f>IF(AND(K296="diesel",BJ296=0),MIN(BG296,NEUTRO),BG296)</f>
        <v/>
      </c>
      <c r="BL296" s="4">
        <f>MAX(0,MIN(100,BK296+BH296+BI296))</f>
        <v/>
      </c>
      <c r="BM296" s="3">
        <f>MAX(0,MIN(100,50+BE296*PRECIO_PEND))</f>
        <v/>
      </c>
      <c r="BN296" s="3">
        <f>MAX(0,100*(1-N296/KM_MAX))</f>
        <v/>
      </c>
      <c r="BO296" s="3">
        <f>IF(AV296&lt;KMA_SOSP,IF(AA296="sí",100,KMA_PEN),IF(AV296&lt;=KMA_IDEAL_MAX,100,MAX(0,100*(KMA_CERO-AV296)/(KMA_CERO-KMA_IDEAL_MAX))))</f>
        <v/>
      </c>
      <c r="BP296" s="3">
        <f>MAX(0,MIN(100,100*(M296-ANIO_MIN)/(ANIO_ACTUAL-ANIO_MIN)))</f>
        <v/>
      </c>
      <c r="BQ296" s="3">
        <f>W_KMT*BN296+W_KMA*BO296+W_EDAD*BP296</f>
        <v/>
      </c>
      <c r="BR296" s="3">
        <f>P_ITV*(V296="sí")+P_LIBRO*(W296="sí")+P_CORREA*(X296="sí")+P_PROP*(Y296=1)+P_GAR*(Z296="sí")+P_FOTOS*MIN(1,N(U296)/FOTOS_OBJ)</f>
        <v/>
      </c>
      <c r="BS296" s="3">
        <f>IFERROR(VLOOKUP(BF296,ETQ_TBL,2,0),NEUTRO)</f>
        <v/>
      </c>
      <c r="BT296" s="3">
        <f>NEUTRO</f>
        <v/>
      </c>
      <c r="BU296" s="3">
        <f>IFERROR(VLOOKUP(L296,SEGURO_TBL,3,0),"")</f>
        <v/>
      </c>
      <c r="BV296" s="3">
        <f>IF(BU296="",NEUTRO,MAX(0,MIN(100,100*(SEG_REF_MAX-BU296)/(SEG_REF_MAX-SEG_REF_MIN))))</f>
        <v/>
      </c>
      <c r="BW296" s="3">
        <f>W_ET*BS296+W_CONS*BT296+W_SEG*BV296</f>
        <v/>
      </c>
      <c r="BX296" s="3">
        <f>IF(N(AB296)&gt;0,AB296,IF(AND(R296="profesional",SG_LEGAL_ON=1),GAR_LEGAL,0))</f>
        <v/>
      </c>
      <c r="BY296" s="3">
        <f>SG_GAR*MIN(1,BX296/SG_GAR_FULL)+SG_AMPL*(AC296="sí")+SG_KMC*(AF296="sí")+SG_REV*(N(AE296)&gt;0)+SG_DEV*MIN(1,N(AG296)/SG_DEV_FULL)+SG_HIST*(W296="sí")</f>
        <v/>
      </c>
      <c r="BZ296" s="3">
        <f>IFERROR(VLOOKUP(L296,CARR_PEN_TBL,2,0),0)</f>
        <v/>
      </c>
      <c r="CA296" s="3">
        <f>W_FIAB*BL296+W_PRECIO*BM296+W_KMEDAD*BQ296+W_ANUNCIO*BR296+W_USO*BW296+W_SEGURIDAD*BY296-BZ296</f>
        <v/>
      </c>
      <c r="CB296" s="4">
        <f>IF(N(I296)&gt;0,I296,IFERROR(ROUND(_xlfn.NUMBERVALUE(LEFT(G296,FIND(" ",G296&amp;" ")-1),".")*1000,0),99999))</f>
        <v/>
      </c>
      <c r="CC296" s="3">
        <f>IF(R296="profesional",0,IF(O296&lt;CUOTA_VALOR_MAX,IF(AU296&gt;ITP_TRAMO_ALTO,SUMIFS(CF_CUOTA,CF_MAS,ITP_TRAMO_ALTO,CF_CCMIN,"&lt;="&amp;CB296,CF_CCMAX,"&gt;="&amp;CB296),IF(AU296&gt;ITP_TRAMO_BAJO,SUMIFS(CF_CUOTA,CF_MAS,ITP_TRAMO_BAJO,CF_CCMIN,"&lt;="&amp;CB296,CF_CCMAX,"&gt;="&amp;CB296),O296*ITP_TIPO)),O296*ITP_TIPO))</f>
        <v/>
      </c>
      <c r="CD296" s="4">
        <f>IF(R296="profesional",N(AK296),0)</f>
        <v/>
      </c>
      <c r="CE296" s="3">
        <f>IF(AND(R296="profesional",ISNUMBER(AK296),AL296="sí"),0,TASA_DGT)</f>
        <v/>
      </c>
      <c r="CF296" s="3">
        <f>INFORME_DGT</f>
        <v/>
      </c>
      <c r="CG296" s="4">
        <f>O296+CD296+CC296+CE296+CF296</f>
        <v/>
      </c>
      <c r="CH296" s="4">
        <f>CG296+N(BU296)</f>
        <v/>
      </c>
      <c r="CI296" s="3">
        <f>IF(CG296&lt;=TOTAL_MAX,"sí",IF(CG296&lt;=TOTAL_MAX+MARGEN_NEG,"negociar","no"))</f>
        <v/>
      </c>
      <c r="CJ296" s="4">
        <f>IF(CI296&lt;&gt;"no",COUNTIFS($CI$2:$CI$662,"&lt;&gt;no",$CA$2:$CA$662,"&gt;"&amp;CA296)+COUNTIFS($CI$2:CI296,"&lt;&gt;no",$CA$2:CA296,CA296),"")</f>
        <v/>
      </c>
    </row>
    <row r="297">
      <c r="A297" s="2" t="inlineStr">
        <is>
          <t>cochesnet:71305472</t>
        </is>
      </c>
      <c r="B297" s="2" t="inlineStr">
        <is>
          <t>cochesnet</t>
        </is>
      </c>
      <c r="C297" s="2" t="inlineStr">
        <is>
          <t>https://www.coches.net/opel-corsa-14-selective-start--stop-5p-gasolina-2014-en-valencia-71305472-covo.aspx</t>
        </is>
      </c>
      <c r="D297" s="2" t="inlineStr">
        <is>
          <t>OPEL Corsa 1.4 Selective Start Stop</t>
        </is>
      </c>
      <c r="E297" s="2" t="inlineStr">
        <is>
          <t>Opel</t>
        </is>
      </c>
      <c r="F297" s="2" t="inlineStr">
        <is>
          <t>Opel Corsa</t>
        </is>
      </c>
      <c r="G297" s="2" t="inlineStr">
        <is>
          <t>1.4</t>
        </is>
      </c>
      <c r="H297" s="2" t="inlineStr">
        <is>
          <t>1.4 Selective Start  Stop</t>
        </is>
      </c>
      <c r="I297" s="2" t="n"/>
      <c r="J297" s="2" t="n"/>
      <c r="K297" s="2" t="inlineStr">
        <is>
          <t>gasolina</t>
        </is>
      </c>
      <c r="L297" s="2" t="inlineStr">
        <is>
          <t>utilitario</t>
        </is>
      </c>
      <c r="M297" s="2" t="n">
        <v>2014</v>
      </c>
      <c r="N297" s="2" t="n">
        <v>217000</v>
      </c>
      <c r="O297" s="2" t="n">
        <v>4890</v>
      </c>
      <c r="P297" s="2" t="inlineStr">
        <is>
          <t>manual</t>
        </is>
      </c>
      <c r="Q297" s="2" t="inlineStr">
        <is>
          <t>no</t>
        </is>
      </c>
      <c r="R297" s="2" t="inlineStr">
        <is>
          <t>particular</t>
        </is>
      </c>
      <c r="S297" s="2" t="inlineStr">
        <is>
          <t>Sagunto (Sagunt)</t>
        </is>
      </c>
      <c r="T297" s="2" t="inlineStr">
        <is>
          <t>2026-10-24T14:12:45Z</t>
        </is>
      </c>
      <c r="U297" s="2" t="n">
        <v>22</v>
      </c>
      <c r="V297" s="2" t="n"/>
      <c r="W297" s="2" t="n"/>
      <c r="X297" s="2" t="n"/>
      <c r="Y297" s="2" t="n"/>
      <c r="Z297" s="2" t="inlineStr">
        <is>
          <t>no</t>
        </is>
      </c>
      <c r="AA297" s="2" t="n"/>
      <c r="AB297" s="2" t="n"/>
      <c r="AC297" s="2" t="n"/>
      <c r="AD297" s="2" t="n"/>
      <c r="AE297" s="2" t="n"/>
      <c r="AF297" s="2" t="n"/>
      <c r="AG297" s="2" t="n"/>
      <c r="AH297" s="2" t="n">
        <v>4890</v>
      </c>
      <c r="AI297" s="2" t="n"/>
      <c r="AJ297" s="2" t="n"/>
      <c r="AK297" s="2" t="n"/>
      <c r="AL297" s="2" t="n"/>
      <c r="AM297" s="2" t="n"/>
      <c r="AN297" s="2" t="n">
        <v>4690</v>
      </c>
      <c r="AO297" s="2" t="n">
        <v>8</v>
      </c>
      <c r="AP297" s="2" t="inlineStr">
        <is>
          <t>modelo+año+km</t>
        </is>
      </c>
      <c r="AQ297" s="2" t="n"/>
      <c r="AR297" s="2" t="inlineStr">
        <is>
          <t>por encima del presupuesto (5074 €), negociar; cuota fija ITP: &gt;5 y &lt;=12 años, hasta 1.500 cc; distancia no verificable (el anuncio solo indica la provincia): confirmar que está a &lt;= 70 km</t>
        </is>
      </c>
      <c r="AS297" s="2" t="inlineStr">
        <is>
          <t>Vehículo conducido únicamente por el propietario. Neumáticos nuevos y batería recién cambiada. Interiores en perfecto estado y pintura exterior en muy buen estado. Motor muy bien cuidado que proporciona un consumo de poco más de 5 l/100Km. Rueda de repuesto nueva. Características del vehículo: OPEL Corsa 1.4 Selective Start Stop 100 Cv - Sistema de Navegación GPS - Aire acondicionado - Volante multifunción - Elevalunas eléctricas delante - Consola navegador, radio, teléfono integrados. - USB - Ordenador de a bordo - Indicador de la temperatura exterior - Retrovisor exterior color carrocería - Retrovisores exteriores regulables eléctricamente - Espejo interior - Luces antiniebla - Limpiaparabrisas trasero - Luneta trasera calefactable - ABS - Programa electrónico de estabilidad (ESP) - Sistema de anclajes ISOFIX - Airbag conductor - Airbags laterales - Airbag acompañante desconectable - Pintura metalizada - Dirección asistida - Tracción delantera - Modo ECO - Parachoques color carrocería - Carrocería: 5 puertas - Reducción polución según norma gases escape Euro 5 Confort - Luz en el maletero - Testigo de cinturones - Regulación de los faros con ajuste de altura manual - Cierre centralizado con mando a distancia - Volante multi-función ajustable en altura - Dirección asistida eléctrica con endurecimiento progresivo s/velocidad - Sistema de ventilación con filtro de pólen - Aire acondicionado (Carga de gas en mayo 2026) - Limpiaparabrisas trasero - Elevalunas eléctricos delanter</t>
        </is>
      </c>
      <c r="AT297" s="2" t="inlineStr">
        <is>
          <t>https://www.coches.net/opel-corsa-14-selective-start--stop-5p-gasolina-2014-en-valencia-71305472-covo.aspx (window.__INITIAL_PROPS__.ad) /home/user/Alopecia/buscador-coches/raw/cochesnet/d1f3d31b04fa56c3.json</t>
        </is>
      </c>
      <c r="AU297" s="3">
        <f>MAX(ANIO_ACTUAL-M297,0)</f>
        <v/>
      </c>
      <c r="AV297" s="4">
        <f>N297/MAX(AU297,0.5)</f>
        <v/>
      </c>
      <c r="AW297" s="4">
        <f>F297</f>
        <v/>
      </c>
      <c r="AX297" s="3">
        <f>AW297&amp;"|"&amp;INT(M297/SEG_ANIO)*SEG_ANIO</f>
        <v/>
      </c>
      <c r="AY297" s="3">
        <f>AX297&amp;"|"&amp;INT(N297/SEG_KM)*SEG_KM</f>
        <v/>
      </c>
      <c r="AZ297" s="4">
        <f>COUNTIF($AW$2:$AW$662,AW297)</f>
        <v/>
      </c>
      <c r="BA297" s="4">
        <f>COUNTIF($AX$2:$AX$662,AX297)</f>
        <v/>
      </c>
      <c r="BB297" s="4">
        <f>COUNTIF($AY$2:$AY$662,AY297)</f>
        <v/>
      </c>
      <c r="BC297" s="3">
        <f t="array" ref="BC297">IF(N(AO297)&gt;=MIN_N,AN297,IF(BB297&gt;=MIN_N,MEDIAN(IF($AY$2:$AY$662=AY297,$O$2:$O$662)),IF(BA297&gt;=MIN_N,MEDIAN(IF($AX$2:$AX$662=AX297,$O$2:$O$662)),MEDIAN(IF($AW$2:$AW$662=AW297,$O$2:$O$662)))))</f>
        <v/>
      </c>
      <c r="BD297" s="3">
        <f>IF(N(AO297)&gt;=MIN_N,"mercado "&amp;AP297,IF(BB297&gt;=MIN_N,"modelo+año+km",IF(BA297&gt;=MIN_N,"modelo+año","modelo")))</f>
        <v/>
      </c>
      <c r="BE297" s="4">
        <f>(BC297-O297)/BC297</f>
        <v/>
      </c>
      <c r="BF297" s="3">
        <f>IF(OR(K297="hibrido",K297="glp"),"ECO",IF(K297="electrico","CERO",IF(K297="gasolina",IF(M297&gt;=GAS_C,"C",IF(M297&gt;=GAS_B,"B","A")),IF(K297="diesel",IF(M297&gt;=DIE_C,"C",IF(M297&gt;=DIE_B,"B","A")),""))))</f>
        <v/>
      </c>
      <c r="BG297" s="3">
        <f>IFERROR(VLOOKUP(F297,MOD_TBL,11,0),IFERROR(VLOOKUP(E297,OCU_TBL,2,0),NEUTRO))</f>
        <v/>
      </c>
      <c r="BH297" s="3">
        <f>SUMIFS(MOT_AJUSTE,MOT_MOTOR,G297,MOT_MARCA,E297,MOT_DESDE,"&lt;="&amp;M297,MOT_HASTA,"&gt;="&amp;M297)+SUMIFS(MOT_AJUSTE,MOT_MOTOR,G297,MOT_MARCA,"(todas)",MOT_DESDE,"&lt;="&amp;M297,MOT_HASTA,"&gt;="&amp;M297)</f>
        <v/>
      </c>
      <c r="BI297" s="3">
        <f>SUMIFS(COMB_AJUSTE,COMB_COMB,K297)</f>
        <v/>
      </c>
      <c r="BJ297" s="3">
        <f>COUNTIFS(MOT_MOTOR,G297,MOT_MARCA,E297,MOT_DESDE,"&lt;="&amp;M297,MOT_HASTA,"&gt;="&amp;M297)+COUNTIFS(MOT_MOTOR,G297,MOT_MARCA,"(todas)",MOT_DESDE,"&lt;="&amp;M297,MOT_HASTA,"&gt;="&amp;M297)</f>
        <v/>
      </c>
      <c r="BK297" s="3">
        <f>IF(AND(K297="diesel",BJ297=0),MIN(BG297,NEUTRO),BG297)</f>
        <v/>
      </c>
      <c r="BL297" s="4">
        <f>MAX(0,MIN(100,BK297+BH297+BI297))</f>
        <v/>
      </c>
      <c r="BM297" s="3">
        <f>MAX(0,MIN(100,50+BE297*PRECIO_PEND))</f>
        <v/>
      </c>
      <c r="BN297" s="3">
        <f>MAX(0,100*(1-N297/KM_MAX))</f>
        <v/>
      </c>
      <c r="BO297" s="3">
        <f>IF(AV297&lt;KMA_SOSP,IF(AA297="sí",100,KMA_PEN),IF(AV297&lt;=KMA_IDEAL_MAX,100,MAX(0,100*(KMA_CERO-AV297)/(KMA_CERO-KMA_IDEAL_MAX))))</f>
        <v/>
      </c>
      <c r="BP297" s="3">
        <f>MAX(0,MIN(100,100*(M297-ANIO_MIN)/(ANIO_ACTUAL-ANIO_MIN)))</f>
        <v/>
      </c>
      <c r="BQ297" s="3">
        <f>W_KMT*BN297+W_KMA*BO297+W_EDAD*BP297</f>
        <v/>
      </c>
      <c r="BR297" s="3">
        <f>P_ITV*(V297="sí")+P_LIBRO*(W297="sí")+P_CORREA*(X297="sí")+P_PROP*(Y297=1)+P_GAR*(Z297="sí")+P_FOTOS*MIN(1,N(U297)/FOTOS_OBJ)</f>
        <v/>
      </c>
      <c r="BS297" s="3">
        <f>IFERROR(VLOOKUP(BF297,ETQ_TBL,2,0),NEUTRO)</f>
        <v/>
      </c>
      <c r="BT297" s="3">
        <f>NEUTRO</f>
        <v/>
      </c>
      <c r="BU297" s="3">
        <f>IFERROR(VLOOKUP(L297,SEGURO_TBL,3,0),"")</f>
        <v/>
      </c>
      <c r="BV297" s="3">
        <f>IF(BU297="",NEUTRO,MAX(0,MIN(100,100*(SEG_REF_MAX-BU297)/(SEG_REF_MAX-SEG_REF_MIN))))</f>
        <v/>
      </c>
      <c r="BW297" s="3">
        <f>W_ET*BS297+W_CONS*BT297+W_SEG*BV297</f>
        <v/>
      </c>
      <c r="BX297" s="3">
        <f>IF(N(AB297)&gt;0,AB297,IF(AND(R297="profesional",SG_LEGAL_ON=1),GAR_LEGAL,0))</f>
        <v/>
      </c>
      <c r="BY297" s="3">
        <f>SG_GAR*MIN(1,BX297/SG_GAR_FULL)+SG_AMPL*(AC297="sí")+SG_KMC*(AF297="sí")+SG_REV*(N(AE297)&gt;0)+SG_DEV*MIN(1,N(AG297)/SG_DEV_FULL)+SG_HIST*(W297="sí")</f>
        <v/>
      </c>
      <c r="BZ297" s="3">
        <f>IFERROR(VLOOKUP(L297,CARR_PEN_TBL,2,0),0)</f>
        <v/>
      </c>
      <c r="CA297" s="3">
        <f>W_FIAB*BL297+W_PRECIO*BM297+W_KMEDAD*BQ297+W_ANUNCIO*BR297+W_USO*BW297+W_SEGURIDAD*BY297-BZ297</f>
        <v/>
      </c>
      <c r="CB297" s="4">
        <f>IF(N(I297)&gt;0,I297,IFERROR(ROUND(_xlfn.NUMBERVALUE(LEFT(G297,FIND(" ",G297&amp;" ")-1),".")*1000,0),99999))</f>
        <v/>
      </c>
      <c r="CC297" s="3">
        <f>IF(R297="profesional",0,IF(O297&lt;CUOTA_VALOR_MAX,IF(AU297&gt;ITP_TRAMO_ALTO,SUMIFS(CF_CUOTA,CF_MAS,ITP_TRAMO_ALTO,CF_CCMIN,"&lt;="&amp;CB297,CF_CCMAX,"&gt;="&amp;CB297),IF(AU297&gt;ITP_TRAMO_BAJO,SUMIFS(CF_CUOTA,CF_MAS,ITP_TRAMO_BAJO,CF_CCMIN,"&lt;="&amp;CB297,CF_CCMAX,"&gt;="&amp;CB297),O297*ITP_TIPO)),O297*ITP_TIPO))</f>
        <v/>
      </c>
      <c r="CD297" s="4">
        <f>IF(R297="profesional",N(AK297),0)</f>
        <v/>
      </c>
      <c r="CE297" s="3">
        <f>IF(AND(R297="profesional",ISNUMBER(AK297),AL297="sí"),0,TASA_DGT)</f>
        <v/>
      </c>
      <c r="CF297" s="3">
        <f>INFORME_DGT</f>
        <v/>
      </c>
      <c r="CG297" s="4">
        <f>O297+CD297+CC297+CE297+CF297</f>
        <v/>
      </c>
      <c r="CH297" s="4">
        <f>CG297+N(BU297)</f>
        <v/>
      </c>
      <c r="CI297" s="3">
        <f>IF(CG297&lt;=TOTAL_MAX,"sí",IF(CG297&lt;=TOTAL_MAX+MARGEN_NEG,"negociar","no"))</f>
        <v/>
      </c>
      <c r="CJ297" s="4">
        <f>IF(CI297&lt;&gt;"no",COUNTIFS($CI$2:$CI$662,"&lt;&gt;no",$CA$2:$CA$662,"&gt;"&amp;CA297)+COUNTIFS($CI$2:CI297,"&lt;&gt;no",$CA$2:CA297,CA297),"")</f>
        <v/>
      </c>
    </row>
    <row r="298">
      <c r="A298" s="2" t="inlineStr">
        <is>
          <t>cochesnet:71798842</t>
        </is>
      </c>
      <c r="B298" s="2" t="inlineStr">
        <is>
          <t>cochesnet</t>
        </is>
      </c>
      <c r="C298" s="2" t="inlineStr">
        <is>
          <t>https://www.coches.net/opel-corsa-enjoy-13-cdti-5p-diesel-2007-en-valencia-71798842-covo.aspx</t>
        </is>
      </c>
      <c r="D298" s="2" t="inlineStr">
        <is>
          <t>OPEL Corsa Enjoy 1.3 CDTI</t>
        </is>
      </c>
      <c r="E298" s="2" t="inlineStr">
        <is>
          <t>Opel</t>
        </is>
      </c>
      <c r="F298" s="2" t="inlineStr">
        <is>
          <t>Opel Corsa</t>
        </is>
      </c>
      <c r="G298" s="2" t="inlineStr">
        <is>
          <t>1.3 CDTi</t>
        </is>
      </c>
      <c r="H298" s="2" t="inlineStr">
        <is>
          <t>Enjoy 1.3 CDTI</t>
        </is>
      </c>
      <c r="I298" s="2" t="n"/>
      <c r="J298" s="2" t="n"/>
      <c r="K298" s="2" t="inlineStr">
        <is>
          <t>diesel</t>
        </is>
      </c>
      <c r="L298" s="2" t="inlineStr">
        <is>
          <t>utilitario</t>
        </is>
      </c>
      <c r="M298" s="2" t="n">
        <v>2007</v>
      </c>
      <c r="N298" s="2" t="n">
        <v>211000</v>
      </c>
      <c r="O298" s="2" t="n">
        <v>3000</v>
      </c>
      <c r="P298" s="2" t="inlineStr">
        <is>
          <t>manual</t>
        </is>
      </c>
      <c r="Q298" s="2" t="inlineStr">
        <is>
          <t>no</t>
        </is>
      </c>
      <c r="R298" s="2" t="inlineStr">
        <is>
          <t>particular</t>
        </is>
      </c>
      <c r="S298" s="2" t="inlineStr">
        <is>
          <t>Mislata</t>
        </is>
      </c>
      <c r="T298" s="2" t="inlineStr">
        <is>
          <t>2026-10-21T09:40:21Z</t>
        </is>
      </c>
      <c r="U298" s="2" t="n">
        <v>9</v>
      </c>
      <c r="V298" s="2" t="inlineStr">
        <is>
          <t>sí</t>
        </is>
      </c>
      <c r="W298" s="2" t="n"/>
      <c r="X298" s="2" t="n"/>
      <c r="Y298" s="2" t="n"/>
      <c r="Z298" s="2" t="inlineStr">
        <is>
          <t>no</t>
        </is>
      </c>
      <c r="AA298" s="2" t="n"/>
      <c r="AB298" s="2" t="n"/>
      <c r="AC298" s="2" t="n"/>
      <c r="AD298" s="2" t="n"/>
      <c r="AE298" s="2" t="n"/>
      <c r="AF298" s="2" t="n"/>
      <c r="AG298" s="2" t="n"/>
      <c r="AH298" s="2" t="n">
        <v>3000</v>
      </c>
      <c r="AI298" s="2" t="n"/>
      <c r="AJ298" s="2" t="n"/>
      <c r="AK298" s="2" t="n"/>
      <c r="AL298" s="2" t="n"/>
      <c r="AM298" s="2" t="n">
        <v>3</v>
      </c>
      <c r="AN298" s="2" t="n">
        <v>2990</v>
      </c>
      <c r="AO298" s="2" t="n">
        <v>11</v>
      </c>
      <c r="AP298" s="2" t="inlineStr">
        <is>
          <t>modelo+año+km</t>
        </is>
      </c>
      <c r="AQ298" s="2" t="n"/>
      <c r="AR298" s="2" t="inlineStr">
        <is>
          <t>cuota fija ITP: &gt;12 años, hasta 1.500 cc</t>
        </is>
      </c>
      <c r="AS298" s="2" t="inlineStr">
        <is>
          <t>coche en buen estado y con ITV al día hasta diciembre</t>
        </is>
      </c>
      <c r="AT298" s="2" t="inlineStr">
        <is>
          <t>https://www.coches.net/opel-corsa-enjoy-13-cdti-5p-diesel-2007-en-valencia-71798842-covo.aspx (window.__INITIAL_PROPS__.ad) /home/user/Alopecia/buscador-coches/raw/cochesnet/ed75fbc8824d2016.json</t>
        </is>
      </c>
      <c r="AU298" s="3">
        <f>MAX(ANIO_ACTUAL-M298,0)</f>
        <v/>
      </c>
      <c r="AV298" s="4">
        <f>N298/MAX(AU298,0.5)</f>
        <v/>
      </c>
      <c r="AW298" s="4">
        <f>F298</f>
        <v/>
      </c>
      <c r="AX298" s="3">
        <f>AW298&amp;"|"&amp;INT(M298/SEG_ANIO)*SEG_ANIO</f>
        <v/>
      </c>
      <c r="AY298" s="3">
        <f>AX298&amp;"|"&amp;INT(N298/SEG_KM)*SEG_KM</f>
        <v/>
      </c>
      <c r="AZ298" s="4">
        <f>COUNTIF($AW$2:$AW$662,AW298)</f>
        <v/>
      </c>
      <c r="BA298" s="4">
        <f>COUNTIF($AX$2:$AX$662,AX298)</f>
        <v/>
      </c>
      <c r="BB298" s="4">
        <f>COUNTIF($AY$2:$AY$662,AY298)</f>
        <v/>
      </c>
      <c r="BC298" s="3">
        <f t="array" ref="BC298">IF(N(AO298)&gt;=MIN_N,AN298,IF(BB298&gt;=MIN_N,MEDIAN(IF($AY$2:$AY$662=AY298,$O$2:$O$662)),IF(BA298&gt;=MIN_N,MEDIAN(IF($AX$2:$AX$662=AX298,$O$2:$O$662)),MEDIAN(IF($AW$2:$AW$662=AW298,$O$2:$O$662)))))</f>
        <v/>
      </c>
      <c r="BD298" s="3">
        <f>IF(N(AO298)&gt;=MIN_N,"mercado "&amp;AP298,IF(BB298&gt;=MIN_N,"modelo+año+km",IF(BA298&gt;=MIN_N,"modelo+año","modelo")))</f>
        <v/>
      </c>
      <c r="BE298" s="4">
        <f>(BC298-O298)/BC298</f>
        <v/>
      </c>
      <c r="BF298" s="3">
        <f>IF(OR(K298="hibrido",K298="glp"),"ECO",IF(K298="electrico","CERO",IF(K298="gasolina",IF(M298&gt;=GAS_C,"C",IF(M298&gt;=GAS_B,"B","A")),IF(K298="diesel",IF(M298&gt;=DIE_C,"C",IF(M298&gt;=DIE_B,"B","A")),""))))</f>
        <v/>
      </c>
      <c r="BG298" s="3">
        <f>IFERROR(VLOOKUP(F298,MOD_TBL,11,0),IFERROR(VLOOKUP(E298,OCU_TBL,2,0),NEUTRO))</f>
        <v/>
      </c>
      <c r="BH298" s="3">
        <f>SUMIFS(MOT_AJUSTE,MOT_MOTOR,G298,MOT_MARCA,E298,MOT_DESDE,"&lt;="&amp;M298,MOT_HASTA,"&gt;="&amp;M298)+SUMIFS(MOT_AJUSTE,MOT_MOTOR,G298,MOT_MARCA,"(todas)",MOT_DESDE,"&lt;="&amp;M298,MOT_HASTA,"&gt;="&amp;M298)</f>
        <v/>
      </c>
      <c r="BI298" s="3">
        <f>SUMIFS(COMB_AJUSTE,COMB_COMB,K298)</f>
        <v/>
      </c>
      <c r="BJ298" s="3">
        <f>COUNTIFS(MOT_MOTOR,G298,MOT_MARCA,E298,MOT_DESDE,"&lt;="&amp;M298,MOT_HASTA,"&gt;="&amp;M298)+COUNTIFS(MOT_MOTOR,G298,MOT_MARCA,"(todas)",MOT_DESDE,"&lt;="&amp;M298,MOT_HASTA,"&gt;="&amp;M298)</f>
        <v/>
      </c>
      <c r="BK298" s="3">
        <f>IF(AND(K298="diesel",BJ298=0),MIN(BG298,NEUTRO),BG298)</f>
        <v/>
      </c>
      <c r="BL298" s="4">
        <f>MAX(0,MIN(100,BK298+BH298+BI298))</f>
        <v/>
      </c>
      <c r="BM298" s="3">
        <f>MAX(0,MIN(100,50+BE298*PRECIO_PEND))</f>
        <v/>
      </c>
      <c r="BN298" s="3">
        <f>MAX(0,100*(1-N298/KM_MAX))</f>
        <v/>
      </c>
      <c r="BO298" s="3">
        <f>IF(AV298&lt;KMA_SOSP,IF(AA298="sí",100,KMA_PEN),IF(AV298&lt;=KMA_IDEAL_MAX,100,MAX(0,100*(KMA_CERO-AV298)/(KMA_CERO-KMA_IDEAL_MAX))))</f>
        <v/>
      </c>
      <c r="BP298" s="3">
        <f>MAX(0,MIN(100,100*(M298-ANIO_MIN)/(ANIO_ACTUAL-ANIO_MIN)))</f>
        <v/>
      </c>
      <c r="BQ298" s="3">
        <f>W_KMT*BN298+W_KMA*BO298+W_EDAD*BP298</f>
        <v/>
      </c>
      <c r="BR298" s="3">
        <f>P_ITV*(V298="sí")+P_LIBRO*(W298="sí")+P_CORREA*(X298="sí")+P_PROP*(Y298=1)+P_GAR*(Z298="sí")+P_FOTOS*MIN(1,N(U298)/FOTOS_OBJ)</f>
        <v/>
      </c>
      <c r="BS298" s="3">
        <f>IFERROR(VLOOKUP(BF298,ETQ_TBL,2,0),NEUTRO)</f>
        <v/>
      </c>
      <c r="BT298" s="3">
        <f>NEUTRO</f>
        <v/>
      </c>
      <c r="BU298" s="3">
        <f>IFERROR(VLOOKUP(L298,SEGURO_TBL,3,0),"")</f>
        <v/>
      </c>
      <c r="BV298" s="3">
        <f>IF(BU298="",NEUTRO,MAX(0,MIN(100,100*(SEG_REF_MAX-BU298)/(SEG_REF_MAX-SEG_REF_MIN))))</f>
        <v/>
      </c>
      <c r="BW298" s="3">
        <f>W_ET*BS298+W_CONS*BT298+W_SEG*BV298</f>
        <v/>
      </c>
      <c r="BX298" s="3">
        <f>IF(N(AB298)&gt;0,AB298,IF(AND(R298="profesional",SG_LEGAL_ON=1),GAR_LEGAL,0))</f>
        <v/>
      </c>
      <c r="BY298" s="3">
        <f>SG_GAR*MIN(1,BX298/SG_GAR_FULL)+SG_AMPL*(AC298="sí")+SG_KMC*(AF298="sí")+SG_REV*(N(AE298)&gt;0)+SG_DEV*MIN(1,N(AG298)/SG_DEV_FULL)+SG_HIST*(W298="sí")</f>
        <v/>
      </c>
      <c r="BZ298" s="3">
        <f>IFERROR(VLOOKUP(L298,CARR_PEN_TBL,2,0),0)</f>
        <v/>
      </c>
      <c r="CA298" s="3">
        <f>W_FIAB*BL298+W_PRECIO*BM298+W_KMEDAD*BQ298+W_ANUNCIO*BR298+W_USO*BW298+W_SEGURIDAD*BY298-BZ298</f>
        <v/>
      </c>
      <c r="CB298" s="4">
        <f>IF(N(I298)&gt;0,I298,IFERROR(ROUND(_xlfn.NUMBERVALUE(LEFT(G298,FIND(" ",G298&amp;" ")-1),".")*1000,0),99999))</f>
        <v/>
      </c>
      <c r="CC298" s="3">
        <f>IF(R298="profesional",0,IF(O298&lt;CUOTA_VALOR_MAX,IF(AU298&gt;ITP_TRAMO_ALTO,SUMIFS(CF_CUOTA,CF_MAS,ITP_TRAMO_ALTO,CF_CCMIN,"&lt;="&amp;CB298,CF_CCMAX,"&gt;="&amp;CB298),IF(AU298&gt;ITP_TRAMO_BAJO,SUMIFS(CF_CUOTA,CF_MAS,ITP_TRAMO_BAJO,CF_CCMIN,"&lt;="&amp;CB298,CF_CCMAX,"&gt;="&amp;CB298),O298*ITP_TIPO)),O298*ITP_TIPO))</f>
        <v/>
      </c>
      <c r="CD298" s="4">
        <f>IF(R298="profesional",N(AK298),0)</f>
        <v/>
      </c>
      <c r="CE298" s="3">
        <f>IF(AND(R298="profesional",ISNUMBER(AK298),AL298="sí"),0,TASA_DGT)</f>
        <v/>
      </c>
      <c r="CF298" s="3">
        <f>INFORME_DGT</f>
        <v/>
      </c>
      <c r="CG298" s="4">
        <f>O298+CD298+CC298+CE298+CF298</f>
        <v/>
      </c>
      <c r="CH298" s="4">
        <f>CG298+N(BU298)</f>
        <v/>
      </c>
      <c r="CI298" s="3">
        <f>IF(CG298&lt;=TOTAL_MAX,"sí",IF(CG298&lt;=TOTAL_MAX+MARGEN_NEG,"negociar","no"))</f>
        <v/>
      </c>
      <c r="CJ298" s="4">
        <f>IF(CI298&lt;&gt;"no",COUNTIFS($CI$2:$CI$662,"&lt;&gt;no",$CA$2:$CA$662,"&gt;"&amp;CA298)+COUNTIFS($CI$2:CI298,"&lt;&gt;no",$CA$2:CA298,CA298),"")</f>
        <v/>
      </c>
    </row>
    <row r="299">
      <c r="A299" s="2" t="inlineStr">
        <is>
          <t>cochesnet:71860185</t>
        </is>
      </c>
      <c r="B299" s="2" t="inlineStr">
        <is>
          <t>cochesnet</t>
        </is>
      </c>
      <c r="C299" s="2" t="inlineStr">
        <is>
          <t>https://www.coches.net/opel-corsa-enjoy-13-cdti-90-cv-5p-diesel-2007-en-valencia-71860185-covo.aspx</t>
        </is>
      </c>
      <c r="D299" s="2" t="inlineStr">
        <is>
          <t>OPEL Corsa Enjoy 1.3 CDTi 90 CV</t>
        </is>
      </c>
      <c r="E299" s="2" t="inlineStr">
        <is>
          <t>Opel</t>
        </is>
      </c>
      <c r="F299" s="2" t="inlineStr">
        <is>
          <t>Opel Corsa</t>
        </is>
      </c>
      <c r="G299" s="2" t="inlineStr">
        <is>
          <t>1.3 CDTi</t>
        </is>
      </c>
      <c r="H299" s="2" t="inlineStr">
        <is>
          <t>Enjoy 1.3 CDTi 90 CV</t>
        </is>
      </c>
      <c r="I299" s="2" t="n"/>
      <c r="J299" s="2" t="n">
        <v>90</v>
      </c>
      <c r="K299" s="2" t="inlineStr">
        <is>
          <t>diesel</t>
        </is>
      </c>
      <c r="L299" s="2" t="inlineStr">
        <is>
          <t>utilitario</t>
        </is>
      </c>
      <c r="M299" s="2" t="n">
        <v>2007</v>
      </c>
      <c r="N299" s="2" t="n">
        <v>207000</v>
      </c>
      <c r="O299" s="2" t="n">
        <v>4600</v>
      </c>
      <c r="P299" s="2" t="inlineStr">
        <is>
          <t>manual</t>
        </is>
      </c>
      <c r="Q299" s="2" t="inlineStr">
        <is>
          <t>no</t>
        </is>
      </c>
      <c r="R299" s="2" t="inlineStr">
        <is>
          <t>particular</t>
        </is>
      </c>
      <c r="S299" s="2" t="inlineStr">
        <is>
          <t>Mislata</t>
        </is>
      </c>
      <c r="T299" s="2" t="inlineStr">
        <is>
          <t>2026-10-29T11:15:32Z</t>
        </is>
      </c>
      <c r="U299" s="2" t="n"/>
      <c r="V299" s="2" t="inlineStr">
        <is>
          <t>sí</t>
        </is>
      </c>
      <c r="W299" s="2" t="inlineStr">
        <is>
          <t>sí</t>
        </is>
      </c>
      <c r="X299" s="2" t="n"/>
      <c r="Y299" s="2" t="n"/>
      <c r="Z299" s="2" t="inlineStr">
        <is>
          <t>no</t>
        </is>
      </c>
      <c r="AA299" s="2" t="n"/>
      <c r="AB299" s="2" t="n"/>
      <c r="AC299" s="2" t="n"/>
      <c r="AD299" s="2" t="n"/>
      <c r="AE299" s="2" t="n"/>
      <c r="AF299" s="2" t="n"/>
      <c r="AG299" s="2" t="n"/>
      <c r="AH299" s="2" t="n">
        <v>4600</v>
      </c>
      <c r="AI299" s="2" t="n"/>
      <c r="AJ299" s="2" t="n"/>
      <c r="AK299" s="2" t="n"/>
      <c r="AL299" s="2" t="n"/>
      <c r="AM299" s="2" t="n">
        <v>3</v>
      </c>
      <c r="AN299" s="2" t="n">
        <v>2990</v>
      </c>
      <c r="AO299" s="2" t="n">
        <v>11</v>
      </c>
      <c r="AP299" s="2" t="inlineStr">
        <is>
          <t>modelo+año+km</t>
        </is>
      </c>
      <c r="AQ299" s="2" t="n"/>
      <c r="AR299" s="2" t="inlineStr">
        <is>
          <t>cuota fija ITP: &gt;12 años, hasta 1.500 cc</t>
        </is>
      </c>
      <c r="AS299" s="2" t="inlineStr">
        <is>
          <t>Opel Corsa Diesel 1.3 CDTI 2007 - Excelente Estado Mecánico (ITV Recién Pasada), muy económico y de bajísimo consumo (6 marchas). Ideal como primer coche, para ir a trabajar o moverse por ciudad y carretera con total fiabilidad.
Mantenimiento y Puesta a Punto Reciente (Facturas / Demostrable):
- ITV recién pasada (Válida hasta 26 de Septiembre 2027)
- Amortiguadores nuevos a estrenar (Septiembre 2026)
- Carga de aire acondicionado recargada (Julio 2026, enfria perfectamente)
- Neumáticos nuevos (Julio 2025)
- Kilometraje: 206.500 km
Estado general:
- Mecánica: Funciona fino, motor 1.3 CDTI muy duradero con mantenimiento al día.
- Interior: Muy cuidado y limpio, tapicería bien conservada sin roturas.
- Exterior: Carrocería en estado aceptable, con marcas leves de uso normal por los años.
Sin gastos pendientes, listo para circular desde el primer día. Se puede ver y probar sin compromiso.</t>
        </is>
      </c>
      <c r="AT299" s="2" t="inlineStr">
        <is>
          <t>https://www.coches.net/opel-corsa-enjoy-13-cdti-90-cv-5p-diesel-2007-en-valencia-71860185-covo.aspx (window.__INITIAL_PROPS__.ad) /home/user/Alopecia/buscador-coches/raw/cochesnet/b1a4887c751884f2.json</t>
        </is>
      </c>
      <c r="AU299" s="3">
        <f>MAX(ANIO_ACTUAL-M299,0)</f>
        <v/>
      </c>
      <c r="AV299" s="4">
        <f>N299/MAX(AU299,0.5)</f>
        <v/>
      </c>
      <c r="AW299" s="4">
        <f>F299</f>
        <v/>
      </c>
      <c r="AX299" s="3">
        <f>AW299&amp;"|"&amp;INT(M299/SEG_ANIO)*SEG_ANIO</f>
        <v/>
      </c>
      <c r="AY299" s="3">
        <f>AX299&amp;"|"&amp;INT(N299/SEG_KM)*SEG_KM</f>
        <v/>
      </c>
      <c r="AZ299" s="4">
        <f>COUNTIF($AW$2:$AW$662,AW299)</f>
        <v/>
      </c>
      <c r="BA299" s="4">
        <f>COUNTIF($AX$2:$AX$662,AX299)</f>
        <v/>
      </c>
      <c r="BB299" s="4">
        <f>COUNTIF($AY$2:$AY$662,AY299)</f>
        <v/>
      </c>
      <c r="BC299" s="3">
        <f t="array" ref="BC299">IF(N(AO299)&gt;=MIN_N,AN299,IF(BB299&gt;=MIN_N,MEDIAN(IF($AY$2:$AY$662=AY299,$O$2:$O$662)),IF(BA299&gt;=MIN_N,MEDIAN(IF($AX$2:$AX$662=AX299,$O$2:$O$662)),MEDIAN(IF($AW$2:$AW$662=AW299,$O$2:$O$662)))))</f>
        <v/>
      </c>
      <c r="BD299" s="3">
        <f>IF(N(AO299)&gt;=MIN_N,"mercado "&amp;AP299,IF(BB299&gt;=MIN_N,"modelo+año+km",IF(BA299&gt;=MIN_N,"modelo+año","modelo")))</f>
        <v/>
      </c>
      <c r="BE299" s="4">
        <f>(BC299-O299)/BC299</f>
        <v/>
      </c>
      <c r="BF299" s="3">
        <f>IF(OR(K299="hibrido",K299="glp"),"ECO",IF(K299="electrico","CERO",IF(K299="gasolina",IF(M299&gt;=GAS_C,"C",IF(M299&gt;=GAS_B,"B","A")),IF(K299="diesel",IF(M299&gt;=DIE_C,"C",IF(M299&gt;=DIE_B,"B","A")),""))))</f>
        <v/>
      </c>
      <c r="BG299" s="3">
        <f>IFERROR(VLOOKUP(F299,MOD_TBL,11,0),IFERROR(VLOOKUP(E299,OCU_TBL,2,0),NEUTRO))</f>
        <v/>
      </c>
      <c r="BH299" s="3">
        <f>SUMIFS(MOT_AJUSTE,MOT_MOTOR,G299,MOT_MARCA,E299,MOT_DESDE,"&lt;="&amp;M299,MOT_HASTA,"&gt;="&amp;M299)+SUMIFS(MOT_AJUSTE,MOT_MOTOR,G299,MOT_MARCA,"(todas)",MOT_DESDE,"&lt;="&amp;M299,MOT_HASTA,"&gt;="&amp;M299)</f>
        <v/>
      </c>
      <c r="BI299" s="3">
        <f>SUMIFS(COMB_AJUSTE,COMB_COMB,K299)</f>
        <v/>
      </c>
      <c r="BJ299" s="3">
        <f>COUNTIFS(MOT_MOTOR,G299,MOT_MARCA,E299,MOT_DESDE,"&lt;="&amp;M299,MOT_HASTA,"&gt;="&amp;M299)+COUNTIFS(MOT_MOTOR,G299,MOT_MARCA,"(todas)",MOT_DESDE,"&lt;="&amp;M299,MOT_HASTA,"&gt;="&amp;M299)</f>
        <v/>
      </c>
      <c r="BK299" s="3">
        <f>IF(AND(K299="diesel",BJ299=0),MIN(BG299,NEUTRO),BG299)</f>
        <v/>
      </c>
      <c r="BL299" s="4">
        <f>MAX(0,MIN(100,BK299+BH299+BI299))</f>
        <v/>
      </c>
      <c r="BM299" s="3">
        <f>MAX(0,MIN(100,50+BE299*PRECIO_PEND))</f>
        <v/>
      </c>
      <c r="BN299" s="3">
        <f>MAX(0,100*(1-N299/KM_MAX))</f>
        <v/>
      </c>
      <c r="BO299" s="3">
        <f>IF(AV299&lt;KMA_SOSP,IF(AA299="sí",100,KMA_PEN),IF(AV299&lt;=KMA_IDEAL_MAX,100,MAX(0,100*(KMA_CERO-AV299)/(KMA_CERO-KMA_IDEAL_MAX))))</f>
        <v/>
      </c>
      <c r="BP299" s="3">
        <f>MAX(0,MIN(100,100*(M299-ANIO_MIN)/(ANIO_ACTUAL-ANIO_MIN)))</f>
        <v/>
      </c>
      <c r="BQ299" s="3">
        <f>W_KMT*BN299+W_KMA*BO299+W_EDAD*BP299</f>
        <v/>
      </c>
      <c r="BR299" s="3">
        <f>P_ITV*(V299="sí")+P_LIBRO*(W299="sí")+P_CORREA*(X299="sí")+P_PROP*(Y299=1)+P_GAR*(Z299="sí")+P_FOTOS*MIN(1,N(U299)/FOTOS_OBJ)</f>
        <v/>
      </c>
      <c r="BS299" s="3">
        <f>IFERROR(VLOOKUP(BF299,ETQ_TBL,2,0),NEUTRO)</f>
        <v/>
      </c>
      <c r="BT299" s="3">
        <f>NEUTRO</f>
        <v/>
      </c>
      <c r="BU299" s="3">
        <f>IFERROR(VLOOKUP(L299,SEGURO_TBL,3,0),"")</f>
        <v/>
      </c>
      <c r="BV299" s="3">
        <f>IF(BU299="",NEUTRO,MAX(0,MIN(100,100*(SEG_REF_MAX-BU299)/(SEG_REF_MAX-SEG_REF_MIN))))</f>
        <v/>
      </c>
      <c r="BW299" s="3">
        <f>W_ET*BS299+W_CONS*BT299+W_SEG*BV299</f>
        <v/>
      </c>
      <c r="BX299" s="3">
        <f>IF(N(AB299)&gt;0,AB299,IF(AND(R299="profesional",SG_LEGAL_ON=1),GAR_LEGAL,0))</f>
        <v/>
      </c>
      <c r="BY299" s="3">
        <f>SG_GAR*MIN(1,BX299/SG_GAR_FULL)+SG_AMPL*(AC299="sí")+SG_KMC*(AF299="sí")+SG_REV*(N(AE299)&gt;0)+SG_DEV*MIN(1,N(AG299)/SG_DEV_FULL)+SG_HIST*(W299="sí")</f>
        <v/>
      </c>
      <c r="BZ299" s="3">
        <f>IFERROR(VLOOKUP(L299,CARR_PEN_TBL,2,0),0)</f>
        <v/>
      </c>
      <c r="CA299" s="3">
        <f>W_FIAB*BL299+W_PRECIO*BM299+W_KMEDAD*BQ299+W_ANUNCIO*BR299+W_USO*BW299+W_SEGURIDAD*BY299-BZ299</f>
        <v/>
      </c>
      <c r="CB299" s="4">
        <f>IF(N(I299)&gt;0,I299,IFERROR(ROUND(_xlfn.NUMBERVALUE(LEFT(G299,FIND(" ",G299&amp;" ")-1),".")*1000,0),99999))</f>
        <v/>
      </c>
      <c r="CC299" s="3">
        <f>IF(R299="profesional",0,IF(O299&lt;CUOTA_VALOR_MAX,IF(AU299&gt;ITP_TRAMO_ALTO,SUMIFS(CF_CUOTA,CF_MAS,ITP_TRAMO_ALTO,CF_CCMIN,"&lt;="&amp;CB299,CF_CCMAX,"&gt;="&amp;CB299),IF(AU299&gt;ITP_TRAMO_BAJO,SUMIFS(CF_CUOTA,CF_MAS,ITP_TRAMO_BAJO,CF_CCMIN,"&lt;="&amp;CB299,CF_CCMAX,"&gt;="&amp;CB299),O299*ITP_TIPO)),O299*ITP_TIPO))</f>
        <v/>
      </c>
      <c r="CD299" s="4">
        <f>IF(R299="profesional",N(AK299),0)</f>
        <v/>
      </c>
      <c r="CE299" s="3">
        <f>IF(AND(R299="profesional",ISNUMBER(AK299),AL299="sí"),0,TASA_DGT)</f>
        <v/>
      </c>
      <c r="CF299" s="3">
        <f>INFORME_DGT</f>
        <v/>
      </c>
      <c r="CG299" s="4">
        <f>O299+CD299+CC299+CE299+CF299</f>
        <v/>
      </c>
      <c r="CH299" s="4">
        <f>CG299+N(BU299)</f>
        <v/>
      </c>
      <c r="CI299" s="3">
        <f>IF(CG299&lt;=TOTAL_MAX,"sí",IF(CG299&lt;=TOTAL_MAX+MARGEN_NEG,"negociar","no"))</f>
        <v/>
      </c>
      <c r="CJ299" s="4">
        <f>IF(CI299&lt;&gt;"no",COUNTIFS($CI$2:$CI$662,"&lt;&gt;no",$CA$2:$CA$662,"&gt;"&amp;CA299)+COUNTIFS($CI$2:CI299,"&lt;&gt;no",$CA$2:CA299,CA299),"")</f>
        <v/>
      </c>
    </row>
    <row r="300">
      <c r="A300" s="2" t="inlineStr">
        <is>
          <t>cochesnet:71248981</t>
        </is>
      </c>
      <c r="B300" s="2" t="inlineStr">
        <is>
          <t>cochesnet</t>
        </is>
      </c>
      <c r="C300" s="2" t="inlineStr">
        <is>
          <t>https://www.coches.net/opel-corsa-13-cdti-color-edition-3p-diesel-2012-en-valencia-71248981-covo.aspx</t>
        </is>
      </c>
      <c r="D300" s="2" t="inlineStr">
        <is>
          <t>OPEL Corsa 1.3 CDTi Color Edition</t>
        </is>
      </c>
      <c r="E300" s="2" t="inlineStr">
        <is>
          <t>Opel</t>
        </is>
      </c>
      <c r="F300" s="2" t="inlineStr">
        <is>
          <t>Opel Corsa</t>
        </is>
      </c>
      <c r="G300" s="2" t="inlineStr">
        <is>
          <t>1.3 CDTi</t>
        </is>
      </c>
      <c r="H300" s="2" t="inlineStr">
        <is>
          <t>1.3 CDTi Color Edition</t>
        </is>
      </c>
      <c r="I300" s="2" t="n"/>
      <c r="J300" s="2" t="n"/>
      <c r="K300" s="2" t="inlineStr">
        <is>
          <t>diesel</t>
        </is>
      </c>
      <c r="L300" s="2" t="inlineStr">
        <is>
          <t>utilitario</t>
        </is>
      </c>
      <c r="M300" s="2" t="n">
        <v>2012</v>
      </c>
      <c r="N300" s="2" t="n">
        <v>120000</v>
      </c>
      <c r="O300" s="2" t="n">
        <v>4999</v>
      </c>
      <c r="P300" s="2" t="inlineStr">
        <is>
          <t>manual</t>
        </is>
      </c>
      <c r="Q300" s="2" t="inlineStr">
        <is>
          <t>no</t>
        </is>
      </c>
      <c r="R300" s="2" t="inlineStr">
        <is>
          <t>profesional</t>
        </is>
      </c>
      <c r="S300" s="2" t="inlineStr">
        <is>
          <t>Cars Premium Albal Albal</t>
        </is>
      </c>
      <c r="T300" s="2" t="inlineStr">
        <is>
          <t>2026-08-07T11:56:55Z</t>
        </is>
      </c>
      <c r="U300" s="2" t="n">
        <v>14</v>
      </c>
      <c r="V300" s="2" t="n"/>
      <c r="W300" s="2" t="n"/>
      <c r="X300" s="2" t="n"/>
      <c r="Y300" s="2" t="n"/>
      <c r="Z300" s="2" t="inlineStr">
        <is>
          <t>sí</t>
        </is>
      </c>
      <c r="AA300" s="2" t="n"/>
      <c r="AB300" s="2" t="n">
        <v>12</v>
      </c>
      <c r="AC300" s="2" t="n"/>
      <c r="AD300" s="2" t="n"/>
      <c r="AE300" s="2" t="n"/>
      <c r="AF300" s="2" t="n"/>
      <c r="AG300" s="2" t="n"/>
      <c r="AH300" s="2" t="n">
        <v>4999</v>
      </c>
      <c r="AI300" s="2" t="n">
        <v>4999</v>
      </c>
      <c r="AJ300" s="2" t="n"/>
      <c r="AK300" s="2" t="n"/>
      <c r="AL300" s="2" t="n"/>
      <c r="AM300" s="2" t="n">
        <v>8.699999999999999</v>
      </c>
      <c r="AN300" s="2" t="n">
        <v>4625</v>
      </c>
      <c r="AO300" s="2" t="n">
        <v>8</v>
      </c>
      <c r="AP300" s="2" t="inlineStr">
        <is>
          <t>modelo+año+km</t>
        </is>
      </c>
      <c r="AQ300" s="2" t="n"/>
      <c r="AR300"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S300" s="2" t="inlineStr">
        <is>
          <t>MARCA: Opel
MODELO: Corsa ( version muy equipada)
AÑO: 2012
KM: 120.000
MOTOR: 1.3Cdti 95cv ( motor a cadena )
ETIQUETA MEDIOAMBIENTAL: Tipo B
ITV: Se entregaria recien pasada
GARANTIA: 12 meses
TIPS: Vehiculo deportivo con unas medidas muy practicas tanto para circular como para aparcar con todo el equipamiento necesario.
EQUIPAMIENTO: Llanta aleacion negra, volante multi-funcion, 6 velocidades, Rcd con bluetooth, Navegador, retrovisotes electricos negro, ordenador a bordo, cierre centralizado con llave, elevalunas electricas, etc etc…
DIRECCION: Av padre Carlos Ferris 87, Albal, Valencia
Para mas info contacten</t>
        </is>
      </c>
      <c r="AT300" s="2" t="inlineStr">
        <is>
          <t>https://www.coches.net/opel-corsa-13-cdti-color-edition-3p-diesel-2012-en-valencia-71248981-covo.aspx (window.__INITIAL_PROPS__.ad) /home/user/Alopecia/buscador-coches/raw/cochesnet/bb9e43134c341f33.json</t>
        </is>
      </c>
      <c r="AU300" s="3">
        <f>MAX(ANIO_ACTUAL-M300,0)</f>
        <v/>
      </c>
      <c r="AV300" s="4">
        <f>N300/MAX(AU300,0.5)</f>
        <v/>
      </c>
      <c r="AW300" s="4">
        <f>F300</f>
        <v/>
      </c>
      <c r="AX300" s="3">
        <f>AW300&amp;"|"&amp;INT(M300/SEG_ANIO)*SEG_ANIO</f>
        <v/>
      </c>
      <c r="AY300" s="3">
        <f>AX300&amp;"|"&amp;INT(N300/SEG_KM)*SEG_KM</f>
        <v/>
      </c>
      <c r="AZ300" s="4">
        <f>COUNTIF($AW$2:$AW$662,AW300)</f>
        <v/>
      </c>
      <c r="BA300" s="4">
        <f>COUNTIF($AX$2:$AX$662,AX300)</f>
        <v/>
      </c>
      <c r="BB300" s="4">
        <f>COUNTIF($AY$2:$AY$662,AY300)</f>
        <v/>
      </c>
      <c r="BC300" s="3">
        <f t="array" ref="BC300">IF(N(AO300)&gt;=MIN_N,AN300,IF(BB300&gt;=MIN_N,MEDIAN(IF($AY$2:$AY$662=AY300,$O$2:$O$662)),IF(BA300&gt;=MIN_N,MEDIAN(IF($AX$2:$AX$662=AX300,$O$2:$O$662)),MEDIAN(IF($AW$2:$AW$662=AW300,$O$2:$O$662)))))</f>
        <v/>
      </c>
      <c r="BD300" s="3">
        <f>IF(N(AO300)&gt;=MIN_N,"mercado "&amp;AP300,IF(BB300&gt;=MIN_N,"modelo+año+km",IF(BA300&gt;=MIN_N,"modelo+año","modelo")))</f>
        <v/>
      </c>
      <c r="BE300" s="4">
        <f>(BC300-O300)/BC300</f>
        <v/>
      </c>
      <c r="BF300" s="3">
        <f>IF(OR(K300="hibrido",K300="glp"),"ECO",IF(K300="electrico","CERO",IF(K300="gasolina",IF(M300&gt;=GAS_C,"C",IF(M300&gt;=GAS_B,"B","A")),IF(K300="diesel",IF(M300&gt;=DIE_C,"C",IF(M300&gt;=DIE_B,"B","A")),""))))</f>
        <v/>
      </c>
      <c r="BG300" s="3">
        <f>IFERROR(VLOOKUP(F300,MOD_TBL,11,0),IFERROR(VLOOKUP(E300,OCU_TBL,2,0),NEUTRO))</f>
        <v/>
      </c>
      <c r="BH300" s="3">
        <f>SUMIFS(MOT_AJUSTE,MOT_MOTOR,G300,MOT_MARCA,E300,MOT_DESDE,"&lt;="&amp;M300,MOT_HASTA,"&gt;="&amp;M300)+SUMIFS(MOT_AJUSTE,MOT_MOTOR,G300,MOT_MARCA,"(todas)",MOT_DESDE,"&lt;="&amp;M300,MOT_HASTA,"&gt;="&amp;M300)</f>
        <v/>
      </c>
      <c r="BI300" s="3">
        <f>SUMIFS(COMB_AJUSTE,COMB_COMB,K300)</f>
        <v/>
      </c>
      <c r="BJ300" s="3">
        <f>COUNTIFS(MOT_MOTOR,G300,MOT_MARCA,E300,MOT_DESDE,"&lt;="&amp;M300,MOT_HASTA,"&gt;="&amp;M300)+COUNTIFS(MOT_MOTOR,G300,MOT_MARCA,"(todas)",MOT_DESDE,"&lt;="&amp;M300,MOT_HASTA,"&gt;="&amp;M300)</f>
        <v/>
      </c>
      <c r="BK300" s="3">
        <f>IF(AND(K300="diesel",BJ300=0),MIN(BG300,NEUTRO),BG300)</f>
        <v/>
      </c>
      <c r="BL300" s="4">
        <f>MAX(0,MIN(100,BK300+BH300+BI300))</f>
        <v/>
      </c>
      <c r="BM300" s="3">
        <f>MAX(0,MIN(100,50+BE300*PRECIO_PEND))</f>
        <v/>
      </c>
      <c r="BN300" s="3">
        <f>MAX(0,100*(1-N300/KM_MAX))</f>
        <v/>
      </c>
      <c r="BO300" s="3">
        <f>IF(AV300&lt;KMA_SOSP,IF(AA300="sí",100,KMA_PEN),IF(AV300&lt;=KMA_IDEAL_MAX,100,MAX(0,100*(KMA_CERO-AV300)/(KMA_CERO-KMA_IDEAL_MAX))))</f>
        <v/>
      </c>
      <c r="BP300" s="3">
        <f>MAX(0,MIN(100,100*(M300-ANIO_MIN)/(ANIO_ACTUAL-ANIO_MIN)))</f>
        <v/>
      </c>
      <c r="BQ300" s="3">
        <f>W_KMT*BN300+W_KMA*BO300+W_EDAD*BP300</f>
        <v/>
      </c>
      <c r="BR300" s="3">
        <f>P_ITV*(V300="sí")+P_LIBRO*(W300="sí")+P_CORREA*(X300="sí")+P_PROP*(Y300=1)+P_GAR*(Z300="sí")+P_FOTOS*MIN(1,N(U300)/FOTOS_OBJ)</f>
        <v/>
      </c>
      <c r="BS300" s="3">
        <f>IFERROR(VLOOKUP(BF300,ETQ_TBL,2,0),NEUTRO)</f>
        <v/>
      </c>
      <c r="BT300" s="3">
        <f>NEUTRO</f>
        <v/>
      </c>
      <c r="BU300" s="3">
        <f>IFERROR(VLOOKUP(L300,SEGURO_TBL,3,0),"")</f>
        <v/>
      </c>
      <c r="BV300" s="3">
        <f>IF(BU300="",NEUTRO,MAX(0,MIN(100,100*(SEG_REF_MAX-BU300)/(SEG_REF_MAX-SEG_REF_MIN))))</f>
        <v/>
      </c>
      <c r="BW300" s="3">
        <f>W_ET*BS300+W_CONS*BT300+W_SEG*BV300</f>
        <v/>
      </c>
      <c r="BX300" s="3">
        <f>IF(N(AB300)&gt;0,AB300,IF(AND(R300="profesional",SG_LEGAL_ON=1),GAR_LEGAL,0))</f>
        <v/>
      </c>
      <c r="BY300" s="3">
        <f>SG_GAR*MIN(1,BX300/SG_GAR_FULL)+SG_AMPL*(AC300="sí")+SG_KMC*(AF300="sí")+SG_REV*(N(AE300)&gt;0)+SG_DEV*MIN(1,N(AG300)/SG_DEV_FULL)+SG_HIST*(W300="sí")</f>
        <v/>
      </c>
      <c r="BZ300" s="3">
        <f>IFERROR(VLOOKUP(L300,CARR_PEN_TBL,2,0),0)</f>
        <v/>
      </c>
      <c r="CA300" s="3">
        <f>W_FIAB*BL300+W_PRECIO*BM300+W_KMEDAD*BQ300+W_ANUNCIO*BR300+W_USO*BW300+W_SEGURIDAD*BY300-BZ300</f>
        <v/>
      </c>
      <c r="CB300" s="4">
        <f>IF(N(I300)&gt;0,I300,IFERROR(ROUND(_xlfn.NUMBERVALUE(LEFT(G300,FIND(" ",G300&amp;" ")-1),".")*1000,0),99999))</f>
        <v/>
      </c>
      <c r="CC300" s="3">
        <f>IF(R300="profesional",0,IF(O300&lt;CUOTA_VALOR_MAX,IF(AU300&gt;ITP_TRAMO_ALTO,SUMIFS(CF_CUOTA,CF_MAS,ITP_TRAMO_ALTO,CF_CCMIN,"&lt;="&amp;CB300,CF_CCMAX,"&gt;="&amp;CB300),IF(AU300&gt;ITP_TRAMO_BAJO,SUMIFS(CF_CUOTA,CF_MAS,ITP_TRAMO_BAJO,CF_CCMIN,"&lt;="&amp;CB300,CF_CCMAX,"&gt;="&amp;CB300),O300*ITP_TIPO)),O300*ITP_TIPO))</f>
        <v/>
      </c>
      <c r="CD300" s="4">
        <f>IF(R300="profesional",N(AK300),0)</f>
        <v/>
      </c>
      <c r="CE300" s="3">
        <f>IF(AND(R300="profesional",ISNUMBER(AK300),AL300="sí"),0,TASA_DGT)</f>
        <v/>
      </c>
      <c r="CF300" s="3">
        <f>INFORME_DGT</f>
        <v/>
      </c>
      <c r="CG300" s="4">
        <f>O300+CD300+CC300+CE300+CF300</f>
        <v/>
      </c>
      <c r="CH300" s="4">
        <f>CG300+N(BU300)</f>
        <v/>
      </c>
      <c r="CI300" s="3">
        <f>IF(CG300&lt;=TOTAL_MAX,"sí",IF(CG300&lt;=TOTAL_MAX+MARGEN_NEG,"negociar","no"))</f>
        <v/>
      </c>
      <c r="CJ300" s="4">
        <f>IF(CI300&lt;&gt;"no",COUNTIFS($CI$2:$CI$662,"&lt;&gt;no",$CA$2:$CA$662,"&gt;"&amp;CA300)+COUNTIFS($CI$2:CI300,"&lt;&gt;no",$CA$2:CA300,CA300),"")</f>
        <v/>
      </c>
    </row>
    <row r="301">
      <c r="A301" s="2" t="inlineStr">
        <is>
          <t>cochesnet:71580711</t>
        </is>
      </c>
      <c r="B301" s="2" t="inlineStr">
        <is>
          <t>cochesnet</t>
        </is>
      </c>
      <c r="C301" s="2" t="inlineStr">
        <is>
          <t>https://www.coches.net/opel-corsa-12-expression-start--stop-5p-gasolina-2014-en-valencia-71580711-covo.aspx</t>
        </is>
      </c>
      <c r="D301" s="2" t="inlineStr">
        <is>
          <t>OPEL Corsa 1.2 Expression Start Stop</t>
        </is>
      </c>
      <c r="E301" s="2" t="inlineStr">
        <is>
          <t>Opel</t>
        </is>
      </c>
      <c r="F301" s="2" t="inlineStr">
        <is>
          <t>Opel Corsa</t>
        </is>
      </c>
      <c r="G301" s="2" t="inlineStr">
        <is>
          <t>1.2</t>
        </is>
      </c>
      <c r="H301" s="2" t="inlineStr">
        <is>
          <t>1.2 Expression Start  Stop</t>
        </is>
      </c>
      <c r="I301" s="2" t="n"/>
      <c r="J301" s="2" t="n"/>
      <c r="K301" s="2" t="inlineStr">
        <is>
          <t>gasolina</t>
        </is>
      </c>
      <c r="L301" s="2" t="inlineStr">
        <is>
          <t>utilitario</t>
        </is>
      </c>
      <c r="M301" s="2" t="n">
        <v>2014</v>
      </c>
      <c r="N301" s="2" t="n">
        <v>122000</v>
      </c>
      <c r="O301" s="2" t="n">
        <v>5000</v>
      </c>
      <c r="P301" s="2" t="inlineStr">
        <is>
          <t>manual</t>
        </is>
      </c>
      <c r="Q301" s="2" t="inlineStr">
        <is>
          <t>no</t>
        </is>
      </c>
      <c r="R301" s="2" t="inlineStr">
        <is>
          <t>particular</t>
        </is>
      </c>
      <c r="S301" s="2" t="inlineStr">
        <is>
          <t>Almussafes</t>
        </is>
      </c>
      <c r="T301" s="2" t="inlineStr">
        <is>
          <t>2026-09-30T12:46:08Z</t>
        </is>
      </c>
      <c r="U301" s="2" t="n">
        <v>11</v>
      </c>
      <c r="V301" s="2" t="n"/>
      <c r="W301" s="2" t="n"/>
      <c r="X301" s="2" t="n"/>
      <c r="Y301" s="2" t="n"/>
      <c r="Z301" s="2" t="inlineStr">
        <is>
          <t>no</t>
        </is>
      </c>
      <c r="AA301" s="2" t="n"/>
      <c r="AB301" s="2" t="n"/>
      <c r="AC301" s="2" t="n"/>
      <c r="AD301" s="2" t="n"/>
      <c r="AE301" s="2" t="n"/>
      <c r="AF301" s="2" t="n"/>
      <c r="AG301" s="2" t="n"/>
      <c r="AH301" s="2" t="n">
        <v>5000</v>
      </c>
      <c r="AI301" s="2" t="n"/>
      <c r="AJ301" s="2" t="n"/>
      <c r="AK301" s="2" t="n"/>
      <c r="AL301" s="2" t="n"/>
      <c r="AM301" s="2" t="n">
        <v>20</v>
      </c>
      <c r="AN301" s="2" t="n">
        <v>5490</v>
      </c>
      <c r="AO301" s="2" t="n">
        <v>7</v>
      </c>
      <c r="AP301" s="2" t="inlineStr">
        <is>
          <t>modelo+año+km</t>
        </is>
      </c>
      <c r="AQ301" s="2" t="n"/>
      <c r="AR301" s="2" t="inlineStr">
        <is>
          <t>por encima del presupuesto (5184 €), negociar; cuota fija ITP: &gt;5 y &lt;=12 años, hasta 1.500 cc</t>
        </is>
      </c>
      <c r="AS301" s="2" t="inlineStr">
        <is>
          <t>Se vende Opel Corsa 1200 86cv gasolina en buen estado. 
Tiene aire acondicionado.
Llantas de aleación.
Volante multifunción...
la aplicación no me dejaba cambiar el modelo, no es el start stop.</t>
        </is>
      </c>
      <c r="AT301" s="2" t="inlineStr">
        <is>
          <t>https://www.coches.net/opel-corsa-12-expression-start--stop-5p-gasolina-2014-en-valencia-71580711-covo.aspx (window.__INITIAL_PROPS__.ad) /home/user/Alopecia/buscador-coches/raw/cochesnet/ee0776d58fdae07f.json</t>
        </is>
      </c>
      <c r="AU301" s="3">
        <f>MAX(ANIO_ACTUAL-M301,0)</f>
        <v/>
      </c>
      <c r="AV301" s="4">
        <f>N301/MAX(AU301,0.5)</f>
        <v/>
      </c>
      <c r="AW301" s="4">
        <f>F301</f>
        <v/>
      </c>
      <c r="AX301" s="3">
        <f>AW301&amp;"|"&amp;INT(M301/SEG_ANIO)*SEG_ANIO</f>
        <v/>
      </c>
      <c r="AY301" s="3">
        <f>AX301&amp;"|"&amp;INT(N301/SEG_KM)*SEG_KM</f>
        <v/>
      </c>
      <c r="AZ301" s="4">
        <f>COUNTIF($AW$2:$AW$662,AW301)</f>
        <v/>
      </c>
      <c r="BA301" s="4">
        <f>COUNTIF($AX$2:$AX$662,AX301)</f>
        <v/>
      </c>
      <c r="BB301" s="4">
        <f>COUNTIF($AY$2:$AY$662,AY301)</f>
        <v/>
      </c>
      <c r="BC301" s="3">
        <f t="array" ref="BC301">IF(N(AO301)&gt;=MIN_N,AN301,IF(BB301&gt;=MIN_N,MEDIAN(IF($AY$2:$AY$662=AY301,$O$2:$O$662)),IF(BA301&gt;=MIN_N,MEDIAN(IF($AX$2:$AX$662=AX301,$O$2:$O$662)),MEDIAN(IF($AW$2:$AW$662=AW301,$O$2:$O$662)))))</f>
        <v/>
      </c>
      <c r="BD301" s="3">
        <f>IF(N(AO301)&gt;=MIN_N,"mercado "&amp;AP301,IF(BB301&gt;=MIN_N,"modelo+año+km",IF(BA301&gt;=MIN_N,"modelo+año","modelo")))</f>
        <v/>
      </c>
      <c r="BE301" s="4">
        <f>(BC301-O301)/BC301</f>
        <v/>
      </c>
      <c r="BF301" s="3">
        <f>IF(OR(K301="hibrido",K301="glp"),"ECO",IF(K301="electrico","CERO",IF(K301="gasolina",IF(M301&gt;=GAS_C,"C",IF(M301&gt;=GAS_B,"B","A")),IF(K301="diesel",IF(M301&gt;=DIE_C,"C",IF(M301&gt;=DIE_B,"B","A")),""))))</f>
        <v/>
      </c>
      <c r="BG301" s="3">
        <f>IFERROR(VLOOKUP(F301,MOD_TBL,11,0),IFERROR(VLOOKUP(E301,OCU_TBL,2,0),NEUTRO))</f>
        <v/>
      </c>
      <c r="BH301" s="3">
        <f>SUMIFS(MOT_AJUSTE,MOT_MOTOR,G301,MOT_MARCA,E301,MOT_DESDE,"&lt;="&amp;M301,MOT_HASTA,"&gt;="&amp;M301)+SUMIFS(MOT_AJUSTE,MOT_MOTOR,G301,MOT_MARCA,"(todas)",MOT_DESDE,"&lt;="&amp;M301,MOT_HASTA,"&gt;="&amp;M301)</f>
        <v/>
      </c>
      <c r="BI301" s="3">
        <f>SUMIFS(COMB_AJUSTE,COMB_COMB,K301)</f>
        <v/>
      </c>
      <c r="BJ301" s="3">
        <f>COUNTIFS(MOT_MOTOR,G301,MOT_MARCA,E301,MOT_DESDE,"&lt;="&amp;M301,MOT_HASTA,"&gt;="&amp;M301)+COUNTIFS(MOT_MOTOR,G301,MOT_MARCA,"(todas)",MOT_DESDE,"&lt;="&amp;M301,MOT_HASTA,"&gt;="&amp;M301)</f>
        <v/>
      </c>
      <c r="BK301" s="3">
        <f>IF(AND(K301="diesel",BJ301=0),MIN(BG301,NEUTRO),BG301)</f>
        <v/>
      </c>
      <c r="BL301" s="4">
        <f>MAX(0,MIN(100,BK301+BH301+BI301))</f>
        <v/>
      </c>
      <c r="BM301" s="3">
        <f>MAX(0,MIN(100,50+BE301*PRECIO_PEND))</f>
        <v/>
      </c>
      <c r="BN301" s="3">
        <f>MAX(0,100*(1-N301/KM_MAX))</f>
        <v/>
      </c>
      <c r="BO301" s="3">
        <f>IF(AV301&lt;KMA_SOSP,IF(AA301="sí",100,KMA_PEN),IF(AV301&lt;=KMA_IDEAL_MAX,100,MAX(0,100*(KMA_CERO-AV301)/(KMA_CERO-KMA_IDEAL_MAX))))</f>
        <v/>
      </c>
      <c r="BP301" s="3">
        <f>MAX(0,MIN(100,100*(M301-ANIO_MIN)/(ANIO_ACTUAL-ANIO_MIN)))</f>
        <v/>
      </c>
      <c r="BQ301" s="3">
        <f>W_KMT*BN301+W_KMA*BO301+W_EDAD*BP301</f>
        <v/>
      </c>
      <c r="BR301" s="3">
        <f>P_ITV*(V301="sí")+P_LIBRO*(W301="sí")+P_CORREA*(X301="sí")+P_PROP*(Y301=1)+P_GAR*(Z301="sí")+P_FOTOS*MIN(1,N(U301)/FOTOS_OBJ)</f>
        <v/>
      </c>
      <c r="BS301" s="3">
        <f>IFERROR(VLOOKUP(BF301,ETQ_TBL,2,0),NEUTRO)</f>
        <v/>
      </c>
      <c r="BT301" s="3">
        <f>NEUTRO</f>
        <v/>
      </c>
      <c r="BU301" s="3">
        <f>IFERROR(VLOOKUP(L301,SEGURO_TBL,3,0),"")</f>
        <v/>
      </c>
      <c r="BV301" s="3">
        <f>IF(BU301="",NEUTRO,MAX(0,MIN(100,100*(SEG_REF_MAX-BU301)/(SEG_REF_MAX-SEG_REF_MIN))))</f>
        <v/>
      </c>
      <c r="BW301" s="3">
        <f>W_ET*BS301+W_CONS*BT301+W_SEG*BV301</f>
        <v/>
      </c>
      <c r="BX301" s="3">
        <f>IF(N(AB301)&gt;0,AB301,IF(AND(R301="profesional",SG_LEGAL_ON=1),GAR_LEGAL,0))</f>
        <v/>
      </c>
      <c r="BY301" s="3">
        <f>SG_GAR*MIN(1,BX301/SG_GAR_FULL)+SG_AMPL*(AC301="sí")+SG_KMC*(AF301="sí")+SG_REV*(N(AE301)&gt;0)+SG_DEV*MIN(1,N(AG301)/SG_DEV_FULL)+SG_HIST*(W301="sí")</f>
        <v/>
      </c>
      <c r="BZ301" s="3">
        <f>IFERROR(VLOOKUP(L301,CARR_PEN_TBL,2,0),0)</f>
        <v/>
      </c>
      <c r="CA301" s="3">
        <f>W_FIAB*BL301+W_PRECIO*BM301+W_KMEDAD*BQ301+W_ANUNCIO*BR301+W_USO*BW301+W_SEGURIDAD*BY301-BZ301</f>
        <v/>
      </c>
      <c r="CB301" s="4">
        <f>IF(N(I301)&gt;0,I301,IFERROR(ROUND(_xlfn.NUMBERVALUE(LEFT(G301,FIND(" ",G301&amp;" ")-1),".")*1000,0),99999))</f>
        <v/>
      </c>
      <c r="CC301" s="3">
        <f>IF(R301="profesional",0,IF(O301&lt;CUOTA_VALOR_MAX,IF(AU301&gt;ITP_TRAMO_ALTO,SUMIFS(CF_CUOTA,CF_MAS,ITP_TRAMO_ALTO,CF_CCMIN,"&lt;="&amp;CB301,CF_CCMAX,"&gt;="&amp;CB301),IF(AU301&gt;ITP_TRAMO_BAJO,SUMIFS(CF_CUOTA,CF_MAS,ITP_TRAMO_BAJO,CF_CCMIN,"&lt;="&amp;CB301,CF_CCMAX,"&gt;="&amp;CB301),O301*ITP_TIPO)),O301*ITP_TIPO))</f>
        <v/>
      </c>
      <c r="CD301" s="4">
        <f>IF(R301="profesional",N(AK301),0)</f>
        <v/>
      </c>
      <c r="CE301" s="3">
        <f>IF(AND(R301="profesional",ISNUMBER(AK301),AL301="sí"),0,TASA_DGT)</f>
        <v/>
      </c>
      <c r="CF301" s="3">
        <f>INFORME_DGT</f>
        <v/>
      </c>
      <c r="CG301" s="4">
        <f>O301+CD301+CC301+CE301+CF301</f>
        <v/>
      </c>
      <c r="CH301" s="4">
        <f>CG301+N(BU301)</f>
        <v/>
      </c>
      <c r="CI301" s="3">
        <f>IF(CG301&lt;=TOTAL_MAX,"sí",IF(CG301&lt;=TOTAL_MAX+MARGEN_NEG,"negociar","no"))</f>
        <v/>
      </c>
      <c r="CJ301" s="4">
        <f>IF(CI301&lt;&gt;"no",COUNTIFS($CI$2:$CI$662,"&lt;&gt;no",$CA$2:$CA$662,"&gt;"&amp;CA301)+COUNTIFS($CI$2:CI301,"&lt;&gt;no",$CA$2:CA301,CA301),"")</f>
        <v/>
      </c>
    </row>
    <row r="302">
      <c r="A302" s="2" t="inlineStr">
        <is>
          <t>cochesnet:71509899</t>
        </is>
      </c>
      <c r="B302" s="2" t="inlineStr">
        <is>
          <t>cochesnet</t>
        </is>
      </c>
      <c r="C302" s="2" t="inlineStr">
        <is>
          <t>https://www.coches.net/opel-corsa-diesel-2006-en-valencia-71509899-covo.aspx</t>
        </is>
      </c>
      <c r="D302" s="2" t="inlineStr">
        <is>
          <t>OPEL Corsa</t>
        </is>
      </c>
      <c r="E302" s="2" t="inlineStr">
        <is>
          <t>Opel</t>
        </is>
      </c>
      <c r="F302" s="2" t="inlineStr">
        <is>
          <t>Opel Corsa</t>
        </is>
      </c>
      <c r="G302" s="2" t="n"/>
      <c r="H302" s="2" t="n"/>
      <c r="I302" s="2" t="n"/>
      <c r="J302" s="2" t="n"/>
      <c r="K302" s="2" t="inlineStr">
        <is>
          <t>diesel</t>
        </is>
      </c>
      <c r="L302" s="2" t="inlineStr">
        <is>
          <t>utilitario</t>
        </is>
      </c>
      <c r="M302" s="2" t="n">
        <v>2006</v>
      </c>
      <c r="N302" s="2" t="n">
        <v>170000</v>
      </c>
      <c r="O302" s="2" t="n">
        <v>2100</v>
      </c>
      <c r="P302" s="2" t="inlineStr">
        <is>
          <t>manual</t>
        </is>
      </c>
      <c r="Q302" s="2" t="inlineStr">
        <is>
          <t>no</t>
        </is>
      </c>
      <c r="R302" s="2" t="inlineStr">
        <is>
          <t>particular</t>
        </is>
      </c>
      <c r="S302" s="2" t="n"/>
      <c r="T302" s="2" t="inlineStr">
        <is>
          <t>2026-09-14T12:21:10Z</t>
        </is>
      </c>
      <c r="U302" s="2" t="n">
        <v>2</v>
      </c>
      <c r="V302" s="2" t="n"/>
      <c r="W302" s="2" t="n"/>
      <c r="X302" s="2" t="n"/>
      <c r="Y302" s="2" t="n"/>
      <c r="Z302" s="2" t="inlineStr">
        <is>
          <t>no</t>
        </is>
      </c>
      <c r="AA302" s="2" t="n"/>
      <c r="AB302" s="2" t="n"/>
      <c r="AC302" s="2" t="n"/>
      <c r="AD302" s="2" t="n"/>
      <c r="AE302" s="2" t="n"/>
      <c r="AF302" s="2" t="n"/>
      <c r="AG302" s="2" t="n"/>
      <c r="AH302" s="2" t="n">
        <v>2100</v>
      </c>
      <c r="AI302" s="2" t="n"/>
      <c r="AJ302" s="2" t="n"/>
      <c r="AK302" s="2" t="n"/>
      <c r="AL302" s="2" t="n"/>
      <c r="AM302" s="2" t="n"/>
      <c r="AN302" s="2" t="n">
        <v>3100</v>
      </c>
      <c r="AO302" s="2" t="n">
        <v>8</v>
      </c>
      <c r="AP302" s="2" t="inlineStr">
        <is>
          <t>modelo+año+km</t>
        </is>
      </c>
      <c r="AQ302" s="2" t="n"/>
      <c r="AR30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302" s="2" t="inlineStr">
        <is>
          <t xml:space="preserve">Se vende coche, opel corsa buen estado. </t>
        </is>
      </c>
      <c r="AT302" s="2" t="inlineStr">
        <is>
          <t>https://www.coches.net/opel-corsa-diesel-2006-en-valencia-71509899-covo.aspx (window.__INITIAL_PROPS__.ad) /home/user/Alopecia/buscador-coches/raw/cochesnet/f3e8039a5bdad936.json</t>
        </is>
      </c>
      <c r="AU302" s="3">
        <f>MAX(ANIO_ACTUAL-M302,0)</f>
        <v/>
      </c>
      <c r="AV302" s="4">
        <f>N302/MAX(AU302,0.5)</f>
        <v/>
      </c>
      <c r="AW302" s="4">
        <f>F302</f>
        <v/>
      </c>
      <c r="AX302" s="3">
        <f>AW302&amp;"|"&amp;INT(M302/SEG_ANIO)*SEG_ANIO</f>
        <v/>
      </c>
      <c r="AY302" s="3">
        <f>AX302&amp;"|"&amp;INT(N302/SEG_KM)*SEG_KM</f>
        <v/>
      </c>
      <c r="AZ302" s="4">
        <f>COUNTIF($AW$2:$AW$662,AW302)</f>
        <v/>
      </c>
      <c r="BA302" s="4">
        <f>COUNTIF($AX$2:$AX$662,AX302)</f>
        <v/>
      </c>
      <c r="BB302" s="4">
        <f>COUNTIF($AY$2:$AY$662,AY302)</f>
        <v/>
      </c>
      <c r="BC302" s="3">
        <f t="array" ref="BC302">IF(N(AO302)&gt;=MIN_N,AN302,IF(BB302&gt;=MIN_N,MEDIAN(IF($AY$2:$AY$662=AY302,$O$2:$O$662)),IF(BA302&gt;=MIN_N,MEDIAN(IF($AX$2:$AX$662=AX302,$O$2:$O$662)),MEDIAN(IF($AW$2:$AW$662=AW302,$O$2:$O$662)))))</f>
        <v/>
      </c>
      <c r="BD302" s="3">
        <f>IF(N(AO302)&gt;=MIN_N,"mercado "&amp;AP302,IF(BB302&gt;=MIN_N,"modelo+año+km",IF(BA302&gt;=MIN_N,"modelo+año","modelo")))</f>
        <v/>
      </c>
      <c r="BE302" s="4">
        <f>(BC302-O302)/BC302</f>
        <v/>
      </c>
      <c r="BF302" s="3">
        <f>IF(OR(K302="hibrido",K302="glp"),"ECO",IF(K302="electrico","CERO",IF(K302="gasolina",IF(M302&gt;=GAS_C,"C",IF(M302&gt;=GAS_B,"B","A")),IF(K302="diesel",IF(M302&gt;=DIE_C,"C",IF(M302&gt;=DIE_B,"B","A")),""))))</f>
        <v/>
      </c>
      <c r="BG302" s="3">
        <f>IFERROR(VLOOKUP(F302,MOD_TBL,11,0),IFERROR(VLOOKUP(E302,OCU_TBL,2,0),NEUTRO))</f>
        <v/>
      </c>
      <c r="BH302" s="3">
        <f>SUMIFS(MOT_AJUSTE,MOT_MOTOR,G302,MOT_MARCA,E302,MOT_DESDE,"&lt;="&amp;M302,MOT_HASTA,"&gt;="&amp;M302)+SUMIFS(MOT_AJUSTE,MOT_MOTOR,G302,MOT_MARCA,"(todas)",MOT_DESDE,"&lt;="&amp;M302,MOT_HASTA,"&gt;="&amp;M302)</f>
        <v/>
      </c>
      <c r="BI302" s="3">
        <f>SUMIFS(COMB_AJUSTE,COMB_COMB,K302)</f>
        <v/>
      </c>
      <c r="BJ302" s="3">
        <f>COUNTIFS(MOT_MOTOR,G302,MOT_MARCA,E302,MOT_DESDE,"&lt;="&amp;M302,MOT_HASTA,"&gt;="&amp;M302)+COUNTIFS(MOT_MOTOR,G302,MOT_MARCA,"(todas)",MOT_DESDE,"&lt;="&amp;M302,MOT_HASTA,"&gt;="&amp;M302)</f>
        <v/>
      </c>
      <c r="BK302" s="3">
        <f>IF(AND(K302="diesel",BJ302=0),MIN(BG302,NEUTRO),BG302)</f>
        <v/>
      </c>
      <c r="BL302" s="4">
        <f>MAX(0,MIN(100,BK302+BH302+BI302))</f>
        <v/>
      </c>
      <c r="BM302" s="3">
        <f>MAX(0,MIN(100,50+BE302*PRECIO_PEND))</f>
        <v/>
      </c>
      <c r="BN302" s="3">
        <f>MAX(0,100*(1-N302/KM_MAX))</f>
        <v/>
      </c>
      <c r="BO302" s="3">
        <f>IF(AV302&lt;KMA_SOSP,IF(AA302="sí",100,KMA_PEN),IF(AV302&lt;=KMA_IDEAL_MAX,100,MAX(0,100*(KMA_CERO-AV302)/(KMA_CERO-KMA_IDEAL_MAX))))</f>
        <v/>
      </c>
      <c r="BP302" s="3">
        <f>MAX(0,MIN(100,100*(M302-ANIO_MIN)/(ANIO_ACTUAL-ANIO_MIN)))</f>
        <v/>
      </c>
      <c r="BQ302" s="3">
        <f>W_KMT*BN302+W_KMA*BO302+W_EDAD*BP302</f>
        <v/>
      </c>
      <c r="BR302" s="3">
        <f>P_ITV*(V302="sí")+P_LIBRO*(W302="sí")+P_CORREA*(X302="sí")+P_PROP*(Y302=1)+P_GAR*(Z302="sí")+P_FOTOS*MIN(1,N(U302)/FOTOS_OBJ)</f>
        <v/>
      </c>
      <c r="BS302" s="3">
        <f>IFERROR(VLOOKUP(BF302,ETQ_TBL,2,0),NEUTRO)</f>
        <v/>
      </c>
      <c r="BT302" s="3">
        <f>NEUTRO</f>
        <v/>
      </c>
      <c r="BU302" s="3">
        <f>IFERROR(VLOOKUP(L302,SEGURO_TBL,3,0),"")</f>
        <v/>
      </c>
      <c r="BV302" s="3">
        <f>IF(BU302="",NEUTRO,MAX(0,MIN(100,100*(SEG_REF_MAX-BU302)/(SEG_REF_MAX-SEG_REF_MIN))))</f>
        <v/>
      </c>
      <c r="BW302" s="3">
        <f>W_ET*BS302+W_CONS*BT302+W_SEG*BV302</f>
        <v/>
      </c>
      <c r="BX302" s="3">
        <f>IF(N(AB302)&gt;0,AB302,IF(AND(R302="profesional",SG_LEGAL_ON=1),GAR_LEGAL,0))</f>
        <v/>
      </c>
      <c r="BY302" s="3">
        <f>SG_GAR*MIN(1,BX302/SG_GAR_FULL)+SG_AMPL*(AC302="sí")+SG_KMC*(AF302="sí")+SG_REV*(N(AE302)&gt;0)+SG_DEV*MIN(1,N(AG302)/SG_DEV_FULL)+SG_HIST*(W302="sí")</f>
        <v/>
      </c>
      <c r="BZ302" s="3">
        <f>IFERROR(VLOOKUP(L302,CARR_PEN_TBL,2,0),0)</f>
        <v/>
      </c>
      <c r="CA302" s="3">
        <f>W_FIAB*BL302+W_PRECIO*BM302+W_KMEDAD*BQ302+W_ANUNCIO*BR302+W_USO*BW302+W_SEGURIDAD*BY302-BZ302</f>
        <v/>
      </c>
      <c r="CB302" s="4">
        <f>IF(N(I302)&gt;0,I302,IFERROR(ROUND(_xlfn.NUMBERVALUE(LEFT(G302,FIND(" ",G302&amp;" ")-1),".")*1000,0),99999))</f>
        <v/>
      </c>
      <c r="CC302" s="3">
        <f>IF(R302="profesional",0,IF(O302&lt;CUOTA_VALOR_MAX,IF(AU302&gt;ITP_TRAMO_ALTO,SUMIFS(CF_CUOTA,CF_MAS,ITP_TRAMO_ALTO,CF_CCMIN,"&lt;="&amp;CB302,CF_CCMAX,"&gt;="&amp;CB302),IF(AU302&gt;ITP_TRAMO_BAJO,SUMIFS(CF_CUOTA,CF_MAS,ITP_TRAMO_BAJO,CF_CCMIN,"&lt;="&amp;CB302,CF_CCMAX,"&gt;="&amp;CB302),O302*ITP_TIPO)),O302*ITP_TIPO))</f>
        <v/>
      </c>
      <c r="CD302" s="4">
        <f>IF(R302="profesional",N(AK302),0)</f>
        <v/>
      </c>
      <c r="CE302" s="3">
        <f>IF(AND(R302="profesional",ISNUMBER(AK302),AL302="sí"),0,TASA_DGT)</f>
        <v/>
      </c>
      <c r="CF302" s="3">
        <f>INFORME_DGT</f>
        <v/>
      </c>
      <c r="CG302" s="4">
        <f>O302+CD302+CC302+CE302+CF302</f>
        <v/>
      </c>
      <c r="CH302" s="4">
        <f>CG302+N(BU302)</f>
        <v/>
      </c>
      <c r="CI302" s="3">
        <f>IF(CG302&lt;=TOTAL_MAX,"sí",IF(CG302&lt;=TOTAL_MAX+MARGEN_NEG,"negociar","no"))</f>
        <v/>
      </c>
      <c r="CJ302" s="4">
        <f>IF(CI302&lt;&gt;"no",COUNTIFS($CI$2:$CI$662,"&lt;&gt;no",$CA$2:$CA$662,"&gt;"&amp;CA302)+COUNTIFS($CI$2:CI302,"&lt;&gt;no",$CA$2:CA302,CA302),"")</f>
        <v/>
      </c>
    </row>
    <row r="303">
      <c r="A303" s="2" t="inlineStr">
        <is>
          <t>cochesnet:71502646</t>
        </is>
      </c>
      <c r="B303" s="2" t="inlineStr">
        <is>
          <t>cochesnet</t>
        </is>
      </c>
      <c r="C303" s="2" t="inlineStr">
        <is>
          <t>https://www.coches.net/opel-corsa-diesel-2012-en-valencia-71502646-covo.aspx</t>
        </is>
      </c>
      <c r="D303" s="2" t="inlineStr">
        <is>
          <t>OPEL Corsa</t>
        </is>
      </c>
      <c r="E303" s="2" t="inlineStr">
        <is>
          <t>Opel</t>
        </is>
      </c>
      <c r="F303" s="2" t="inlineStr">
        <is>
          <t>Opel Corsa</t>
        </is>
      </c>
      <c r="G303" s="2" t="n"/>
      <c r="H303" s="2" t="n"/>
      <c r="I303" s="2" t="n"/>
      <c r="J303" s="2" t="n"/>
      <c r="K303" s="2" t="inlineStr">
        <is>
          <t>diesel</t>
        </is>
      </c>
      <c r="L303" s="2" t="inlineStr">
        <is>
          <t>utilitario</t>
        </is>
      </c>
      <c r="M303" s="2" t="n">
        <v>2012</v>
      </c>
      <c r="N303" s="2" t="n">
        <v>144000</v>
      </c>
      <c r="O303" s="2" t="n">
        <v>4900</v>
      </c>
      <c r="P303" s="2" t="inlineStr">
        <is>
          <t>manual</t>
        </is>
      </c>
      <c r="Q303" s="2" t="inlineStr">
        <is>
          <t>no</t>
        </is>
      </c>
      <c r="R303" s="2" t="inlineStr">
        <is>
          <t>particular</t>
        </is>
      </c>
      <c r="S303" s="2" t="n"/>
      <c r="T303" s="2" t="inlineStr">
        <is>
          <t>2026-09-13T09:21:36Z</t>
        </is>
      </c>
      <c r="U303" s="2" t="n">
        <v>9</v>
      </c>
      <c r="V303" s="2" t="n"/>
      <c r="W303" s="2" t="n"/>
      <c r="X303" s="2" t="n"/>
      <c r="Y303" s="2" t="n"/>
      <c r="Z303" s="2" t="inlineStr">
        <is>
          <t>no</t>
        </is>
      </c>
      <c r="AA303" s="2" t="n"/>
      <c r="AB303" s="2" t="n"/>
      <c r="AC303" s="2" t="n"/>
      <c r="AD303" s="2" t="n"/>
      <c r="AE303" s="2" t="n"/>
      <c r="AF303" s="2" t="n"/>
      <c r="AG303" s="2" t="n"/>
      <c r="AH303" s="2" t="n">
        <v>4900</v>
      </c>
      <c r="AI303" s="2" t="n"/>
      <c r="AJ303" s="2" t="n"/>
      <c r="AK303" s="2" t="n"/>
      <c r="AL303" s="2" t="n"/>
      <c r="AM303" s="2" t="n"/>
      <c r="AN303" s="2" t="n">
        <v>4625</v>
      </c>
      <c r="AO303" s="2" t="n">
        <v>8</v>
      </c>
      <c r="AP303" s="2" t="inlineStr">
        <is>
          <t>modelo+año+km</t>
        </is>
      </c>
      <c r="AQ303" s="2" t="n"/>
      <c r="AR303"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S303" s="2" t="inlineStr">
        <is>
          <t xml:space="preserve">1.3 CDTi 95 Color Edition 5p
</t>
        </is>
      </c>
      <c r="AT303" s="2" t="inlineStr">
        <is>
          <t>https://www.coches.net/opel-corsa-diesel-2012-en-valencia-71502646-covo.aspx (window.__INITIAL_PROPS__.ad) /home/user/Alopecia/buscador-coches/raw/cochesnet/83f190a332360c53.json</t>
        </is>
      </c>
      <c r="AU303" s="3">
        <f>MAX(ANIO_ACTUAL-M303,0)</f>
        <v/>
      </c>
      <c r="AV303" s="4">
        <f>N303/MAX(AU303,0.5)</f>
        <v/>
      </c>
      <c r="AW303" s="4">
        <f>F303</f>
        <v/>
      </c>
      <c r="AX303" s="3">
        <f>AW303&amp;"|"&amp;INT(M303/SEG_ANIO)*SEG_ANIO</f>
        <v/>
      </c>
      <c r="AY303" s="3">
        <f>AX303&amp;"|"&amp;INT(N303/SEG_KM)*SEG_KM</f>
        <v/>
      </c>
      <c r="AZ303" s="4">
        <f>COUNTIF($AW$2:$AW$662,AW303)</f>
        <v/>
      </c>
      <c r="BA303" s="4">
        <f>COUNTIF($AX$2:$AX$662,AX303)</f>
        <v/>
      </c>
      <c r="BB303" s="4">
        <f>COUNTIF($AY$2:$AY$662,AY303)</f>
        <v/>
      </c>
      <c r="BC303" s="3">
        <f t="array" ref="BC303">IF(N(AO303)&gt;=MIN_N,AN303,IF(BB303&gt;=MIN_N,MEDIAN(IF($AY$2:$AY$662=AY303,$O$2:$O$662)),IF(BA303&gt;=MIN_N,MEDIAN(IF($AX$2:$AX$662=AX303,$O$2:$O$662)),MEDIAN(IF($AW$2:$AW$662=AW303,$O$2:$O$662)))))</f>
        <v/>
      </c>
      <c r="BD303" s="3">
        <f>IF(N(AO303)&gt;=MIN_N,"mercado "&amp;AP303,IF(BB303&gt;=MIN_N,"modelo+año+km",IF(BA303&gt;=MIN_N,"modelo+año","modelo")))</f>
        <v/>
      </c>
      <c r="BE303" s="4">
        <f>(BC303-O303)/BC303</f>
        <v/>
      </c>
      <c r="BF303" s="3">
        <f>IF(OR(K303="hibrido",K303="glp"),"ECO",IF(K303="electrico","CERO",IF(K303="gasolina",IF(M303&gt;=GAS_C,"C",IF(M303&gt;=GAS_B,"B","A")),IF(K303="diesel",IF(M303&gt;=DIE_C,"C",IF(M303&gt;=DIE_B,"B","A")),""))))</f>
        <v/>
      </c>
      <c r="BG303" s="3">
        <f>IFERROR(VLOOKUP(F303,MOD_TBL,11,0),IFERROR(VLOOKUP(E303,OCU_TBL,2,0),NEUTRO))</f>
        <v/>
      </c>
      <c r="BH303" s="3">
        <f>SUMIFS(MOT_AJUSTE,MOT_MOTOR,G303,MOT_MARCA,E303,MOT_DESDE,"&lt;="&amp;M303,MOT_HASTA,"&gt;="&amp;M303)+SUMIFS(MOT_AJUSTE,MOT_MOTOR,G303,MOT_MARCA,"(todas)",MOT_DESDE,"&lt;="&amp;M303,MOT_HASTA,"&gt;="&amp;M303)</f>
        <v/>
      </c>
      <c r="BI303" s="3">
        <f>SUMIFS(COMB_AJUSTE,COMB_COMB,K303)</f>
        <v/>
      </c>
      <c r="BJ303" s="3">
        <f>COUNTIFS(MOT_MOTOR,G303,MOT_MARCA,E303,MOT_DESDE,"&lt;="&amp;M303,MOT_HASTA,"&gt;="&amp;M303)+COUNTIFS(MOT_MOTOR,G303,MOT_MARCA,"(todas)",MOT_DESDE,"&lt;="&amp;M303,MOT_HASTA,"&gt;="&amp;M303)</f>
        <v/>
      </c>
      <c r="BK303" s="3">
        <f>IF(AND(K303="diesel",BJ303=0),MIN(BG303,NEUTRO),BG303)</f>
        <v/>
      </c>
      <c r="BL303" s="4">
        <f>MAX(0,MIN(100,BK303+BH303+BI303))</f>
        <v/>
      </c>
      <c r="BM303" s="3">
        <f>MAX(0,MIN(100,50+BE303*PRECIO_PEND))</f>
        <v/>
      </c>
      <c r="BN303" s="3">
        <f>MAX(0,100*(1-N303/KM_MAX))</f>
        <v/>
      </c>
      <c r="BO303" s="3">
        <f>IF(AV303&lt;KMA_SOSP,IF(AA303="sí",100,KMA_PEN),IF(AV303&lt;=KMA_IDEAL_MAX,100,MAX(0,100*(KMA_CERO-AV303)/(KMA_CERO-KMA_IDEAL_MAX))))</f>
        <v/>
      </c>
      <c r="BP303" s="3">
        <f>MAX(0,MIN(100,100*(M303-ANIO_MIN)/(ANIO_ACTUAL-ANIO_MIN)))</f>
        <v/>
      </c>
      <c r="BQ303" s="3">
        <f>W_KMT*BN303+W_KMA*BO303+W_EDAD*BP303</f>
        <v/>
      </c>
      <c r="BR303" s="3">
        <f>P_ITV*(V303="sí")+P_LIBRO*(W303="sí")+P_CORREA*(X303="sí")+P_PROP*(Y303=1)+P_GAR*(Z303="sí")+P_FOTOS*MIN(1,N(U303)/FOTOS_OBJ)</f>
        <v/>
      </c>
      <c r="BS303" s="3">
        <f>IFERROR(VLOOKUP(BF303,ETQ_TBL,2,0),NEUTRO)</f>
        <v/>
      </c>
      <c r="BT303" s="3">
        <f>NEUTRO</f>
        <v/>
      </c>
      <c r="BU303" s="3">
        <f>IFERROR(VLOOKUP(L303,SEGURO_TBL,3,0),"")</f>
        <v/>
      </c>
      <c r="BV303" s="3">
        <f>IF(BU303="",NEUTRO,MAX(0,MIN(100,100*(SEG_REF_MAX-BU303)/(SEG_REF_MAX-SEG_REF_MIN))))</f>
        <v/>
      </c>
      <c r="BW303" s="3">
        <f>W_ET*BS303+W_CONS*BT303+W_SEG*BV303</f>
        <v/>
      </c>
      <c r="BX303" s="3">
        <f>IF(N(AB303)&gt;0,AB303,IF(AND(R303="profesional",SG_LEGAL_ON=1),GAR_LEGAL,0))</f>
        <v/>
      </c>
      <c r="BY303" s="3">
        <f>SG_GAR*MIN(1,BX303/SG_GAR_FULL)+SG_AMPL*(AC303="sí")+SG_KMC*(AF303="sí")+SG_REV*(N(AE303)&gt;0)+SG_DEV*MIN(1,N(AG303)/SG_DEV_FULL)+SG_HIST*(W303="sí")</f>
        <v/>
      </c>
      <c r="BZ303" s="3">
        <f>IFERROR(VLOOKUP(L303,CARR_PEN_TBL,2,0),0)</f>
        <v/>
      </c>
      <c r="CA303" s="3">
        <f>W_FIAB*BL303+W_PRECIO*BM303+W_KMEDAD*BQ303+W_ANUNCIO*BR303+W_USO*BW303+W_SEGURIDAD*BY303-BZ303</f>
        <v/>
      </c>
      <c r="CB303" s="4">
        <f>IF(N(I303)&gt;0,I303,IFERROR(ROUND(_xlfn.NUMBERVALUE(LEFT(G303,FIND(" ",G303&amp;" ")-1),".")*1000,0),99999))</f>
        <v/>
      </c>
      <c r="CC303" s="3">
        <f>IF(R303="profesional",0,IF(O303&lt;CUOTA_VALOR_MAX,IF(AU303&gt;ITP_TRAMO_ALTO,SUMIFS(CF_CUOTA,CF_MAS,ITP_TRAMO_ALTO,CF_CCMIN,"&lt;="&amp;CB303,CF_CCMAX,"&gt;="&amp;CB303),IF(AU303&gt;ITP_TRAMO_BAJO,SUMIFS(CF_CUOTA,CF_MAS,ITP_TRAMO_BAJO,CF_CCMIN,"&lt;="&amp;CB303,CF_CCMAX,"&gt;="&amp;CB303),O303*ITP_TIPO)),O303*ITP_TIPO))</f>
        <v/>
      </c>
      <c r="CD303" s="4">
        <f>IF(R303="profesional",N(AK303),0)</f>
        <v/>
      </c>
      <c r="CE303" s="3">
        <f>IF(AND(R303="profesional",ISNUMBER(AK303),AL303="sí"),0,TASA_DGT)</f>
        <v/>
      </c>
      <c r="CF303" s="3">
        <f>INFORME_DGT</f>
        <v/>
      </c>
      <c r="CG303" s="4">
        <f>O303+CD303+CC303+CE303+CF303</f>
        <v/>
      </c>
      <c r="CH303" s="4">
        <f>CG303+N(BU303)</f>
        <v/>
      </c>
      <c r="CI303" s="3">
        <f>IF(CG303&lt;=TOTAL_MAX,"sí",IF(CG303&lt;=TOTAL_MAX+MARGEN_NEG,"negociar","no"))</f>
        <v/>
      </c>
      <c r="CJ303" s="4">
        <f>IF(CI303&lt;&gt;"no",COUNTIFS($CI$2:$CI$662,"&lt;&gt;no",$CA$2:$CA$662,"&gt;"&amp;CA303)+COUNTIFS($CI$2:CI303,"&lt;&gt;no",$CA$2:CA303,CA303),"")</f>
        <v/>
      </c>
    </row>
    <row r="304">
      <c r="A304" s="2" t="inlineStr">
        <is>
          <t>cochesnet:71474135</t>
        </is>
      </c>
      <c r="B304" s="2" t="inlineStr">
        <is>
          <t>cochesnet</t>
        </is>
      </c>
      <c r="C304" s="2" t="inlineStr">
        <is>
          <t>https://www.coches.net/opel-corsa-gasolina-2007-en-valencia-71474135-covo.aspx</t>
        </is>
      </c>
      <c r="D304" s="2" t="inlineStr">
        <is>
          <t>OPEL Corsa</t>
        </is>
      </c>
      <c r="E304" s="2" t="inlineStr">
        <is>
          <t>Opel</t>
        </is>
      </c>
      <c r="F304" s="2" t="inlineStr">
        <is>
          <t>Opel Corsa</t>
        </is>
      </c>
      <c r="G304" s="2" t="n"/>
      <c r="H304" s="2" t="n"/>
      <c r="I304" s="2" t="n"/>
      <c r="J304" s="2" t="n"/>
      <c r="K304" s="2" t="inlineStr">
        <is>
          <t>gasolina</t>
        </is>
      </c>
      <c r="L304" s="2" t="inlineStr">
        <is>
          <t>utilitario</t>
        </is>
      </c>
      <c r="M304" s="2" t="n">
        <v>2007</v>
      </c>
      <c r="N304" s="2" t="n">
        <v>215000</v>
      </c>
      <c r="O304" s="2" t="n">
        <v>2200</v>
      </c>
      <c r="P304" s="2" t="inlineStr">
        <is>
          <t>manual</t>
        </is>
      </c>
      <c r="Q304" s="2" t="inlineStr">
        <is>
          <t>no</t>
        </is>
      </c>
      <c r="R304" s="2" t="inlineStr">
        <is>
          <t>particular</t>
        </is>
      </c>
      <c r="S304" s="2" t="n"/>
      <c r="T304" s="2" t="inlineStr">
        <is>
          <t>2026-09-09T08:27:50Z</t>
        </is>
      </c>
      <c r="U304" s="2" t="n">
        <v>6</v>
      </c>
      <c r="V304" s="2" t="inlineStr">
        <is>
          <t>sí</t>
        </is>
      </c>
      <c r="W304" s="2" t="n"/>
      <c r="X304" s="2" t="n"/>
      <c r="Y304" s="2" t="n"/>
      <c r="Z304" s="2" t="inlineStr">
        <is>
          <t>no</t>
        </is>
      </c>
      <c r="AA304" s="2" t="n"/>
      <c r="AB304" s="2" t="n"/>
      <c r="AC304" s="2" t="n"/>
      <c r="AD304" s="2" t="n"/>
      <c r="AE304" s="2" t="n"/>
      <c r="AF304" s="2" t="n"/>
      <c r="AG304" s="2" t="n"/>
      <c r="AH304" s="2" t="n">
        <v>2200</v>
      </c>
      <c r="AI304" s="2" t="n"/>
      <c r="AJ304" s="2" t="n"/>
      <c r="AK304" s="2" t="n"/>
      <c r="AL304" s="2" t="n"/>
      <c r="AM304" s="2" t="n"/>
      <c r="AN304" s="2" t="n">
        <v>2990</v>
      </c>
      <c r="AO304" s="2" t="n">
        <v>11</v>
      </c>
      <c r="AP304" s="2" t="inlineStr">
        <is>
          <t>modelo+año+km</t>
        </is>
      </c>
      <c r="AQ304" s="2" t="n"/>
      <c r="AR304" s="2" t="inlineStr">
        <is>
          <t>cilindrada desconocida: se aplica el tramo de cuota fija más alto; cuota fija ITP: &gt;12 años, más de 2.000 cc; distancia no verificable (el anuncio solo indica la provincia): confirmar que está a &lt;= 70 km</t>
        </is>
      </c>
      <c r="AS304" s="2" t="inlineStr">
        <is>
          <t>?? VEHÍCULO 100% LIBRE DE DANA: El coche se encuentra en Bétera y no ha sido afectado por las inundaciones. Mecánica y electrónica impecables, sin humedades de ningún tipo.Vendo Opel Corsa 5 puertas, motor gasolina de muy bajo consumo. Año de fabricación original 2002 (rematriculado en España en 2008 por importación desde Portugal). Tiene 215.000 km de chasis, pero el motor está muy rejuvenecido.Mecánica al día y muy saneada con facturas demostrables del taller:Motor cambiado hace 2 años: Se instaló un motor sustituto certificado con bastantes menos kilómetros que el chasis (tengo la factura).Puesta a punto actual: Bomba de agua y junta de culata recién cambiadas a estrenar tras una revisión completa. No consume aceite ni refrigerante, suena finísimo y no tiene fugas.Detalles del vehículo:ITV al día y documentación lista para transferir.Interiores cuidados y maletero limpio.Exterior bien conservado con los roces lógicos de su edad (ver fotos).Se encuentra en Bétera (Valencia). Se puede ver, probar y revisar por tu mecánico de confianza sin compromiso.</t>
        </is>
      </c>
      <c r="AT304" s="2" t="inlineStr">
        <is>
          <t>https://www.coches.net/opel-corsa-gasolina-2007-en-valencia-71474135-covo.aspx (window.__INITIAL_PROPS__.ad) /home/user/Alopecia/buscador-coches/raw/cochesnet/57f2f95e2e0b2873.json</t>
        </is>
      </c>
      <c r="AU304" s="3">
        <f>MAX(ANIO_ACTUAL-M304,0)</f>
        <v/>
      </c>
      <c r="AV304" s="4">
        <f>N304/MAX(AU304,0.5)</f>
        <v/>
      </c>
      <c r="AW304" s="4">
        <f>F304</f>
        <v/>
      </c>
      <c r="AX304" s="3">
        <f>AW304&amp;"|"&amp;INT(M304/SEG_ANIO)*SEG_ANIO</f>
        <v/>
      </c>
      <c r="AY304" s="3">
        <f>AX304&amp;"|"&amp;INT(N304/SEG_KM)*SEG_KM</f>
        <v/>
      </c>
      <c r="AZ304" s="4">
        <f>COUNTIF($AW$2:$AW$662,AW304)</f>
        <v/>
      </c>
      <c r="BA304" s="4">
        <f>COUNTIF($AX$2:$AX$662,AX304)</f>
        <v/>
      </c>
      <c r="BB304" s="4">
        <f>COUNTIF($AY$2:$AY$662,AY304)</f>
        <v/>
      </c>
      <c r="BC304" s="3">
        <f t="array" ref="BC304">IF(N(AO304)&gt;=MIN_N,AN304,IF(BB304&gt;=MIN_N,MEDIAN(IF($AY$2:$AY$662=AY304,$O$2:$O$662)),IF(BA304&gt;=MIN_N,MEDIAN(IF($AX$2:$AX$662=AX304,$O$2:$O$662)),MEDIAN(IF($AW$2:$AW$662=AW304,$O$2:$O$662)))))</f>
        <v/>
      </c>
      <c r="BD304" s="3">
        <f>IF(N(AO304)&gt;=MIN_N,"mercado "&amp;AP304,IF(BB304&gt;=MIN_N,"modelo+año+km",IF(BA304&gt;=MIN_N,"modelo+año","modelo")))</f>
        <v/>
      </c>
      <c r="BE304" s="4">
        <f>(BC304-O304)/BC304</f>
        <v/>
      </c>
      <c r="BF304" s="3">
        <f>IF(OR(K304="hibrido",K304="glp"),"ECO",IF(K304="electrico","CERO",IF(K304="gasolina",IF(M304&gt;=GAS_C,"C",IF(M304&gt;=GAS_B,"B","A")),IF(K304="diesel",IF(M304&gt;=DIE_C,"C",IF(M304&gt;=DIE_B,"B","A")),""))))</f>
        <v/>
      </c>
      <c r="BG304" s="3">
        <f>IFERROR(VLOOKUP(F304,MOD_TBL,11,0),IFERROR(VLOOKUP(E304,OCU_TBL,2,0),NEUTRO))</f>
        <v/>
      </c>
      <c r="BH304" s="3">
        <f>SUMIFS(MOT_AJUSTE,MOT_MOTOR,G304,MOT_MARCA,E304,MOT_DESDE,"&lt;="&amp;M304,MOT_HASTA,"&gt;="&amp;M304)+SUMIFS(MOT_AJUSTE,MOT_MOTOR,G304,MOT_MARCA,"(todas)",MOT_DESDE,"&lt;="&amp;M304,MOT_HASTA,"&gt;="&amp;M304)</f>
        <v/>
      </c>
      <c r="BI304" s="3">
        <f>SUMIFS(COMB_AJUSTE,COMB_COMB,K304)</f>
        <v/>
      </c>
      <c r="BJ304" s="3">
        <f>COUNTIFS(MOT_MOTOR,G304,MOT_MARCA,E304,MOT_DESDE,"&lt;="&amp;M304,MOT_HASTA,"&gt;="&amp;M304)+COUNTIFS(MOT_MOTOR,G304,MOT_MARCA,"(todas)",MOT_DESDE,"&lt;="&amp;M304,MOT_HASTA,"&gt;="&amp;M304)</f>
        <v/>
      </c>
      <c r="BK304" s="3">
        <f>IF(AND(K304="diesel",BJ304=0),MIN(BG304,NEUTRO),BG304)</f>
        <v/>
      </c>
      <c r="BL304" s="4">
        <f>MAX(0,MIN(100,BK304+BH304+BI304))</f>
        <v/>
      </c>
      <c r="BM304" s="3">
        <f>MAX(0,MIN(100,50+BE304*PRECIO_PEND))</f>
        <v/>
      </c>
      <c r="BN304" s="3">
        <f>MAX(0,100*(1-N304/KM_MAX))</f>
        <v/>
      </c>
      <c r="BO304" s="3">
        <f>IF(AV304&lt;KMA_SOSP,IF(AA304="sí",100,KMA_PEN),IF(AV304&lt;=KMA_IDEAL_MAX,100,MAX(0,100*(KMA_CERO-AV304)/(KMA_CERO-KMA_IDEAL_MAX))))</f>
        <v/>
      </c>
      <c r="BP304" s="3">
        <f>MAX(0,MIN(100,100*(M304-ANIO_MIN)/(ANIO_ACTUAL-ANIO_MIN)))</f>
        <v/>
      </c>
      <c r="BQ304" s="3">
        <f>W_KMT*BN304+W_KMA*BO304+W_EDAD*BP304</f>
        <v/>
      </c>
      <c r="BR304" s="3">
        <f>P_ITV*(V304="sí")+P_LIBRO*(W304="sí")+P_CORREA*(X304="sí")+P_PROP*(Y304=1)+P_GAR*(Z304="sí")+P_FOTOS*MIN(1,N(U304)/FOTOS_OBJ)</f>
        <v/>
      </c>
      <c r="BS304" s="3">
        <f>IFERROR(VLOOKUP(BF304,ETQ_TBL,2,0),NEUTRO)</f>
        <v/>
      </c>
      <c r="BT304" s="3">
        <f>NEUTRO</f>
        <v/>
      </c>
      <c r="BU304" s="3">
        <f>IFERROR(VLOOKUP(L304,SEGURO_TBL,3,0),"")</f>
        <v/>
      </c>
      <c r="BV304" s="3">
        <f>IF(BU304="",NEUTRO,MAX(0,MIN(100,100*(SEG_REF_MAX-BU304)/(SEG_REF_MAX-SEG_REF_MIN))))</f>
        <v/>
      </c>
      <c r="BW304" s="3">
        <f>W_ET*BS304+W_CONS*BT304+W_SEG*BV304</f>
        <v/>
      </c>
      <c r="BX304" s="3">
        <f>IF(N(AB304)&gt;0,AB304,IF(AND(R304="profesional",SG_LEGAL_ON=1),GAR_LEGAL,0))</f>
        <v/>
      </c>
      <c r="BY304" s="3">
        <f>SG_GAR*MIN(1,BX304/SG_GAR_FULL)+SG_AMPL*(AC304="sí")+SG_KMC*(AF304="sí")+SG_REV*(N(AE304)&gt;0)+SG_DEV*MIN(1,N(AG304)/SG_DEV_FULL)+SG_HIST*(W304="sí")</f>
        <v/>
      </c>
      <c r="BZ304" s="3">
        <f>IFERROR(VLOOKUP(L304,CARR_PEN_TBL,2,0),0)</f>
        <v/>
      </c>
      <c r="CA304" s="3">
        <f>W_FIAB*BL304+W_PRECIO*BM304+W_KMEDAD*BQ304+W_ANUNCIO*BR304+W_USO*BW304+W_SEGURIDAD*BY304-BZ304</f>
        <v/>
      </c>
      <c r="CB304" s="4">
        <f>IF(N(I304)&gt;0,I304,IFERROR(ROUND(_xlfn.NUMBERVALUE(LEFT(G304,FIND(" ",G304&amp;" ")-1),".")*1000,0),99999))</f>
        <v/>
      </c>
      <c r="CC304" s="3">
        <f>IF(R304="profesional",0,IF(O304&lt;CUOTA_VALOR_MAX,IF(AU304&gt;ITP_TRAMO_ALTO,SUMIFS(CF_CUOTA,CF_MAS,ITP_TRAMO_ALTO,CF_CCMIN,"&lt;="&amp;CB304,CF_CCMAX,"&gt;="&amp;CB304),IF(AU304&gt;ITP_TRAMO_BAJO,SUMIFS(CF_CUOTA,CF_MAS,ITP_TRAMO_BAJO,CF_CCMIN,"&lt;="&amp;CB304,CF_CCMAX,"&gt;="&amp;CB304),O304*ITP_TIPO)),O304*ITP_TIPO))</f>
        <v/>
      </c>
      <c r="CD304" s="4">
        <f>IF(R304="profesional",N(AK304),0)</f>
        <v/>
      </c>
      <c r="CE304" s="3">
        <f>IF(AND(R304="profesional",ISNUMBER(AK304),AL304="sí"),0,TASA_DGT)</f>
        <v/>
      </c>
      <c r="CF304" s="3">
        <f>INFORME_DGT</f>
        <v/>
      </c>
      <c r="CG304" s="4">
        <f>O304+CD304+CC304+CE304+CF304</f>
        <v/>
      </c>
      <c r="CH304" s="4">
        <f>CG304+N(BU304)</f>
        <v/>
      </c>
      <c r="CI304" s="3">
        <f>IF(CG304&lt;=TOTAL_MAX,"sí",IF(CG304&lt;=TOTAL_MAX+MARGEN_NEG,"negociar","no"))</f>
        <v/>
      </c>
      <c r="CJ304" s="4">
        <f>IF(CI304&lt;&gt;"no",COUNTIFS($CI$2:$CI$662,"&lt;&gt;no",$CA$2:$CA$662,"&gt;"&amp;CA304)+COUNTIFS($CI$2:CI304,"&lt;&gt;no",$CA$2:CA304,CA304),"")</f>
        <v/>
      </c>
    </row>
    <row r="305">
      <c r="A305" s="2" t="inlineStr">
        <is>
          <t>cochesnet:71439003</t>
        </is>
      </c>
      <c r="B305" s="2" t="inlineStr">
        <is>
          <t>cochesnet</t>
        </is>
      </c>
      <c r="C305" s="2" t="inlineStr">
        <is>
          <t>https://www.coches.net/opel-corsa-enjoy-12-mta-3p-gasolina-2006-en-valencia-71439003-covo.aspx</t>
        </is>
      </c>
      <c r="D305" s="2" t="inlineStr">
        <is>
          <t>OPEL Corsa Enjoy 1.2 MTA</t>
        </is>
      </c>
      <c r="E305" s="2" t="inlineStr">
        <is>
          <t>Opel</t>
        </is>
      </c>
      <c r="F305" s="2" t="inlineStr">
        <is>
          <t>Opel Corsa</t>
        </is>
      </c>
      <c r="G305" s="2" t="inlineStr">
        <is>
          <t>1.2</t>
        </is>
      </c>
      <c r="H305" s="2" t="inlineStr">
        <is>
          <t>Enjoy 1.2 MTA</t>
        </is>
      </c>
      <c r="I305" s="2" t="n"/>
      <c r="J305" s="2" t="n"/>
      <c r="K305" s="2" t="inlineStr">
        <is>
          <t>gasolina</t>
        </is>
      </c>
      <c r="L305" s="2" t="inlineStr">
        <is>
          <t>utilitario</t>
        </is>
      </c>
      <c r="M305" s="2" t="n">
        <v>2006</v>
      </c>
      <c r="N305" s="2" t="n">
        <v>152000</v>
      </c>
      <c r="O305" s="2" t="n">
        <v>3200</v>
      </c>
      <c r="P305" s="2" t="inlineStr">
        <is>
          <t>manual</t>
        </is>
      </c>
      <c r="Q305" s="2" t="inlineStr">
        <is>
          <t>no</t>
        </is>
      </c>
      <c r="R305" s="2" t="inlineStr">
        <is>
          <t>particular</t>
        </is>
      </c>
      <c r="S305" s="2" t="inlineStr">
        <is>
          <t>Paterna</t>
        </is>
      </c>
      <c r="T305" s="2" t="inlineStr">
        <is>
          <t>2026-09-04T09:02:37Z</t>
        </is>
      </c>
      <c r="U305" s="2" t="n">
        <v>9</v>
      </c>
      <c r="V305" s="2" t="n"/>
      <c r="W305" s="2" t="n"/>
      <c r="X305" s="2" t="n"/>
      <c r="Y305" s="2" t="n"/>
      <c r="Z305" s="2" t="inlineStr">
        <is>
          <t>no</t>
        </is>
      </c>
      <c r="AA305" s="2" t="n"/>
      <c r="AB305" s="2" t="n"/>
      <c r="AC305" s="2" t="n"/>
      <c r="AD305" s="2" t="n"/>
      <c r="AE305" s="2" t="n"/>
      <c r="AF305" s="2" t="n"/>
      <c r="AG305" s="2" t="n"/>
      <c r="AH305" s="2" t="n">
        <v>3200</v>
      </c>
      <c r="AI305" s="2" t="n"/>
      <c r="AJ305" s="2" t="n"/>
      <c r="AK305" s="2" t="n"/>
      <c r="AL305" s="2" t="n"/>
      <c r="AM305" s="2" t="n">
        <v>6.8</v>
      </c>
      <c r="AN305" s="2" t="n">
        <v>3100</v>
      </c>
      <c r="AO305" s="2" t="n">
        <v>8</v>
      </c>
      <c r="AP305" s="2" t="inlineStr">
        <is>
          <t>modelo+año+km</t>
        </is>
      </c>
      <c r="AQ305" s="2" t="inlineStr">
        <is>
          <t>cochesnet:71439035 (https://www.coches.net/opel-corsa-gasolina-2006-en-valencia-71439035-covo.aspx)</t>
        </is>
      </c>
      <c r="AR305" s="2" t="inlineStr">
        <is>
          <t>cuota fija ITP: &gt;12 años, hasta 1.500 cc</t>
        </is>
      </c>
      <c r="AS305" s="2" t="inlineStr">
        <is>
          <t>Te presento este Opel Corsa Enjoy 1.2 MTA, un berlina práctico y funcional que busca un nuevo propietario. Se trata de un vehículo con años de servicio a sus espaldas y que mantiene lo esencial: un motor de 80 CV eficiente, cambio automático para una conducción cómoda, y capacidad para cinco ocupantes. Su carrocería de cinco puertas lo hace versátil tanto para desplazamientos urbanos como para viajes más largos.
Este Corsa ofrece una buena relación entre funcionalidad y precio. El motor de 1229 cc sin plomo proporciona un consumo ajustado, ideal si buscas economía en cada trayecto. La transmisión automática facilita la conducción en cualquier situación, eliminando la fatiga del cambio manual en ciudad.
Como particular, te ofrezco este coche tal como es, sin pretensiones de más. Tiene un uso habitual reflejado en su estado general, pero sigue siendo operativo y listo para seguir rodando. Si tienes dudas específicas sobre su funcionamiento, mantenimiento o cualquier aspecto técnico que no esté detallado aquí, no dudes en contactarme directamente. Estoy disponible por chat y teléfono para resolver cualquier pregunta que tengas.
Este es un vehículo asequible para quien necesite movilidad sin complicaciones. Si te interesa conocerlo mejor o tienes preguntas, contacta conmigo hoy mismo. ¡Aprovecha esta oportunidad!</t>
        </is>
      </c>
      <c r="AT305" s="2" t="inlineStr">
        <is>
          <t>https://www.coches.net/opel-corsa-enjoy-12-mta-3p-gasolina-2006-en-valencia-71439003-covo.aspx (window.__INITIAL_PROPS__.ad) /home/user/Alopecia/buscador-coches/raw/cochesnet/4f033a23cc0489d4.json</t>
        </is>
      </c>
      <c r="AU305" s="3">
        <f>MAX(ANIO_ACTUAL-M305,0)</f>
        <v/>
      </c>
      <c r="AV305" s="4">
        <f>N305/MAX(AU305,0.5)</f>
        <v/>
      </c>
      <c r="AW305" s="4">
        <f>F305</f>
        <v/>
      </c>
      <c r="AX305" s="3">
        <f>AW305&amp;"|"&amp;INT(M305/SEG_ANIO)*SEG_ANIO</f>
        <v/>
      </c>
      <c r="AY305" s="3">
        <f>AX305&amp;"|"&amp;INT(N305/SEG_KM)*SEG_KM</f>
        <v/>
      </c>
      <c r="AZ305" s="4">
        <f>COUNTIF($AW$2:$AW$662,AW305)</f>
        <v/>
      </c>
      <c r="BA305" s="4">
        <f>COUNTIF($AX$2:$AX$662,AX305)</f>
        <v/>
      </c>
      <c r="BB305" s="4">
        <f>COUNTIF($AY$2:$AY$662,AY305)</f>
        <v/>
      </c>
      <c r="BC305" s="3">
        <f t="array" ref="BC305">IF(N(AO305)&gt;=MIN_N,AN305,IF(BB305&gt;=MIN_N,MEDIAN(IF($AY$2:$AY$662=AY305,$O$2:$O$662)),IF(BA305&gt;=MIN_N,MEDIAN(IF($AX$2:$AX$662=AX305,$O$2:$O$662)),MEDIAN(IF($AW$2:$AW$662=AW305,$O$2:$O$662)))))</f>
        <v/>
      </c>
      <c r="BD305" s="3">
        <f>IF(N(AO305)&gt;=MIN_N,"mercado "&amp;AP305,IF(BB305&gt;=MIN_N,"modelo+año+km",IF(BA305&gt;=MIN_N,"modelo+año","modelo")))</f>
        <v/>
      </c>
      <c r="BE305" s="4">
        <f>(BC305-O305)/BC305</f>
        <v/>
      </c>
      <c r="BF305" s="3">
        <f>IF(OR(K305="hibrido",K305="glp"),"ECO",IF(K305="electrico","CERO",IF(K305="gasolina",IF(M305&gt;=GAS_C,"C",IF(M305&gt;=GAS_B,"B","A")),IF(K305="diesel",IF(M305&gt;=DIE_C,"C",IF(M305&gt;=DIE_B,"B","A")),""))))</f>
        <v/>
      </c>
      <c r="BG305" s="3">
        <f>IFERROR(VLOOKUP(F305,MOD_TBL,11,0),IFERROR(VLOOKUP(E305,OCU_TBL,2,0),NEUTRO))</f>
        <v/>
      </c>
      <c r="BH305" s="3">
        <f>SUMIFS(MOT_AJUSTE,MOT_MOTOR,G305,MOT_MARCA,E305,MOT_DESDE,"&lt;="&amp;M305,MOT_HASTA,"&gt;="&amp;M305)+SUMIFS(MOT_AJUSTE,MOT_MOTOR,G305,MOT_MARCA,"(todas)",MOT_DESDE,"&lt;="&amp;M305,MOT_HASTA,"&gt;="&amp;M305)</f>
        <v/>
      </c>
      <c r="BI305" s="3">
        <f>SUMIFS(COMB_AJUSTE,COMB_COMB,K305)</f>
        <v/>
      </c>
      <c r="BJ305" s="3">
        <f>COUNTIFS(MOT_MOTOR,G305,MOT_MARCA,E305,MOT_DESDE,"&lt;="&amp;M305,MOT_HASTA,"&gt;="&amp;M305)+COUNTIFS(MOT_MOTOR,G305,MOT_MARCA,"(todas)",MOT_DESDE,"&lt;="&amp;M305,MOT_HASTA,"&gt;="&amp;M305)</f>
        <v/>
      </c>
      <c r="BK305" s="3">
        <f>IF(AND(K305="diesel",BJ305=0),MIN(BG305,NEUTRO),BG305)</f>
        <v/>
      </c>
      <c r="BL305" s="4">
        <f>MAX(0,MIN(100,BK305+BH305+BI305))</f>
        <v/>
      </c>
      <c r="BM305" s="3">
        <f>MAX(0,MIN(100,50+BE305*PRECIO_PEND))</f>
        <v/>
      </c>
      <c r="BN305" s="3">
        <f>MAX(0,100*(1-N305/KM_MAX))</f>
        <v/>
      </c>
      <c r="BO305" s="3">
        <f>IF(AV305&lt;KMA_SOSP,IF(AA305="sí",100,KMA_PEN),IF(AV305&lt;=KMA_IDEAL_MAX,100,MAX(0,100*(KMA_CERO-AV305)/(KMA_CERO-KMA_IDEAL_MAX))))</f>
        <v/>
      </c>
      <c r="BP305" s="3">
        <f>MAX(0,MIN(100,100*(M305-ANIO_MIN)/(ANIO_ACTUAL-ANIO_MIN)))</f>
        <v/>
      </c>
      <c r="BQ305" s="3">
        <f>W_KMT*BN305+W_KMA*BO305+W_EDAD*BP305</f>
        <v/>
      </c>
      <c r="BR305" s="3">
        <f>P_ITV*(V305="sí")+P_LIBRO*(W305="sí")+P_CORREA*(X305="sí")+P_PROP*(Y305=1)+P_GAR*(Z305="sí")+P_FOTOS*MIN(1,N(U305)/FOTOS_OBJ)</f>
        <v/>
      </c>
      <c r="BS305" s="3">
        <f>IFERROR(VLOOKUP(BF305,ETQ_TBL,2,0),NEUTRO)</f>
        <v/>
      </c>
      <c r="BT305" s="3">
        <f>NEUTRO</f>
        <v/>
      </c>
      <c r="BU305" s="3">
        <f>IFERROR(VLOOKUP(L305,SEGURO_TBL,3,0),"")</f>
        <v/>
      </c>
      <c r="BV305" s="3">
        <f>IF(BU305="",NEUTRO,MAX(0,MIN(100,100*(SEG_REF_MAX-BU305)/(SEG_REF_MAX-SEG_REF_MIN))))</f>
        <v/>
      </c>
      <c r="BW305" s="3">
        <f>W_ET*BS305+W_CONS*BT305+W_SEG*BV305</f>
        <v/>
      </c>
      <c r="BX305" s="3">
        <f>IF(N(AB305)&gt;0,AB305,IF(AND(R305="profesional",SG_LEGAL_ON=1),GAR_LEGAL,0))</f>
        <v/>
      </c>
      <c r="BY305" s="3">
        <f>SG_GAR*MIN(1,BX305/SG_GAR_FULL)+SG_AMPL*(AC305="sí")+SG_KMC*(AF305="sí")+SG_REV*(N(AE305)&gt;0)+SG_DEV*MIN(1,N(AG305)/SG_DEV_FULL)+SG_HIST*(W305="sí")</f>
        <v/>
      </c>
      <c r="BZ305" s="3">
        <f>IFERROR(VLOOKUP(L305,CARR_PEN_TBL,2,0),0)</f>
        <v/>
      </c>
      <c r="CA305" s="3">
        <f>W_FIAB*BL305+W_PRECIO*BM305+W_KMEDAD*BQ305+W_ANUNCIO*BR305+W_USO*BW305+W_SEGURIDAD*BY305-BZ305</f>
        <v/>
      </c>
      <c r="CB305" s="4">
        <f>IF(N(I305)&gt;0,I305,IFERROR(ROUND(_xlfn.NUMBERVALUE(LEFT(G305,FIND(" ",G305&amp;" ")-1),".")*1000,0),99999))</f>
        <v/>
      </c>
      <c r="CC305" s="3">
        <f>IF(R305="profesional",0,IF(O305&lt;CUOTA_VALOR_MAX,IF(AU305&gt;ITP_TRAMO_ALTO,SUMIFS(CF_CUOTA,CF_MAS,ITP_TRAMO_ALTO,CF_CCMIN,"&lt;="&amp;CB305,CF_CCMAX,"&gt;="&amp;CB305),IF(AU305&gt;ITP_TRAMO_BAJO,SUMIFS(CF_CUOTA,CF_MAS,ITP_TRAMO_BAJO,CF_CCMIN,"&lt;="&amp;CB305,CF_CCMAX,"&gt;="&amp;CB305),O305*ITP_TIPO)),O305*ITP_TIPO))</f>
        <v/>
      </c>
      <c r="CD305" s="4">
        <f>IF(R305="profesional",N(AK305),0)</f>
        <v/>
      </c>
      <c r="CE305" s="3">
        <f>IF(AND(R305="profesional",ISNUMBER(AK305),AL305="sí"),0,TASA_DGT)</f>
        <v/>
      </c>
      <c r="CF305" s="3">
        <f>INFORME_DGT</f>
        <v/>
      </c>
      <c r="CG305" s="4">
        <f>O305+CD305+CC305+CE305+CF305</f>
        <v/>
      </c>
      <c r="CH305" s="4">
        <f>CG305+N(BU305)</f>
        <v/>
      </c>
      <c r="CI305" s="3">
        <f>IF(CG305&lt;=TOTAL_MAX,"sí",IF(CG305&lt;=TOTAL_MAX+MARGEN_NEG,"negociar","no"))</f>
        <v/>
      </c>
      <c r="CJ305" s="4">
        <f>IF(CI305&lt;&gt;"no",COUNTIFS($CI$2:$CI$662,"&lt;&gt;no",$CA$2:$CA$662,"&gt;"&amp;CA305)+COUNTIFS($CI$2:CI305,"&lt;&gt;no",$CA$2:CA305,CA305),"")</f>
        <v/>
      </c>
    </row>
    <row r="306">
      <c r="A306" s="2" t="inlineStr">
        <is>
          <t>cochesnet:71385917</t>
        </is>
      </c>
      <c r="B306" s="2" t="inlineStr">
        <is>
          <t>cochesnet</t>
        </is>
      </c>
      <c r="C306" s="2" t="inlineStr">
        <is>
          <t>https://www.coches.net/opel-corsa-12-essentia-5p-gasolina-2011-en-valencia-71385917-covo.aspx</t>
        </is>
      </c>
      <c r="D306" s="2" t="inlineStr">
        <is>
          <t>OPEL Corsa 1.2 Essentia</t>
        </is>
      </c>
      <c r="E306" s="2" t="inlineStr">
        <is>
          <t>Opel</t>
        </is>
      </c>
      <c r="F306" s="2" t="inlineStr">
        <is>
          <t>Opel Corsa</t>
        </is>
      </c>
      <c r="G306" s="2" t="inlineStr">
        <is>
          <t>1.2</t>
        </is>
      </c>
      <c r="H306" s="2" t="inlineStr">
        <is>
          <t>1.2 Essentia</t>
        </is>
      </c>
      <c r="I306" s="2" t="n"/>
      <c r="J306" s="2" t="n"/>
      <c r="K306" s="2" t="inlineStr">
        <is>
          <t>gasolina</t>
        </is>
      </c>
      <c r="L306" s="2" t="inlineStr">
        <is>
          <t>utilitario</t>
        </is>
      </c>
      <c r="M306" s="2" t="n">
        <v>2011</v>
      </c>
      <c r="N306" s="2" t="n">
        <v>147530</v>
      </c>
      <c r="O306" s="2" t="n">
        <v>4800</v>
      </c>
      <c r="P306" s="2" t="inlineStr">
        <is>
          <t>manual</t>
        </is>
      </c>
      <c r="Q306" s="2" t="inlineStr">
        <is>
          <t>no</t>
        </is>
      </c>
      <c r="R306" s="2" t="inlineStr">
        <is>
          <t>particular</t>
        </is>
      </c>
      <c r="S306" s="2" t="inlineStr">
        <is>
          <t>Alzira</t>
        </is>
      </c>
      <c r="T306" s="2" t="inlineStr">
        <is>
          <t>2026-08-28T16:47:10Z</t>
        </is>
      </c>
      <c r="U306" s="2" t="n">
        <v>5</v>
      </c>
      <c r="V306" s="2" t="n"/>
      <c r="W306" s="2" t="n"/>
      <c r="X306" s="2" t="n"/>
      <c r="Y306" s="2" t="n"/>
      <c r="Z306" s="2" t="inlineStr">
        <is>
          <t>no</t>
        </is>
      </c>
      <c r="AA306" s="2" t="n"/>
      <c r="AB306" s="2" t="n"/>
      <c r="AC306" s="2" t="n"/>
      <c r="AD306" s="2" t="n"/>
      <c r="AE306" s="2" t="n"/>
      <c r="AF306" s="2" t="n"/>
      <c r="AG306" s="2" t="n"/>
      <c r="AH306" s="2" t="n">
        <v>4800</v>
      </c>
      <c r="AI306" s="2" t="n"/>
      <c r="AJ306" s="2" t="n"/>
      <c r="AK306" s="2" t="n"/>
      <c r="AL306" s="2" t="n"/>
      <c r="AM306" s="2" t="n">
        <v>35.7</v>
      </c>
      <c r="AN306" s="2" t="n">
        <v>4625</v>
      </c>
      <c r="AO306" s="2" t="n">
        <v>8</v>
      </c>
      <c r="AP306" s="2" t="inlineStr">
        <is>
          <t>modelo+año+km</t>
        </is>
      </c>
      <c r="AQ306" s="2" t="n"/>
      <c r="AR306" s="2" t="inlineStr">
        <is>
          <t>cuota fija ITP: &gt;12 años, hasta 1.500 cc</t>
        </is>
      </c>
      <c r="AS306" s="2" t="inlineStr">
        <is>
          <t xml:space="preserve">Ha pasado la ITV sin ninguna anotación. Aire acondicionado perfecto.
El coche va perfecto, se vende por la compra de otro. 
Desgaste habitual de pintura por los años. 
Pueden escribir para solicitar algún video. </t>
        </is>
      </c>
      <c r="AT306" s="2" t="inlineStr">
        <is>
          <t>https://www.coches.net/opel-corsa-12-essentia-5p-gasolina-2011-en-valencia-71385917-covo.aspx (window.__INITIAL_PROPS__.ad) /home/user/Alopecia/buscador-coches/raw/cochesnet/32ccebf349376fb8.json</t>
        </is>
      </c>
      <c r="AU306" s="3">
        <f>MAX(ANIO_ACTUAL-M306,0)</f>
        <v/>
      </c>
      <c r="AV306" s="4">
        <f>N306/MAX(AU306,0.5)</f>
        <v/>
      </c>
      <c r="AW306" s="4">
        <f>F306</f>
        <v/>
      </c>
      <c r="AX306" s="3">
        <f>AW306&amp;"|"&amp;INT(M306/SEG_ANIO)*SEG_ANIO</f>
        <v/>
      </c>
      <c r="AY306" s="3">
        <f>AX306&amp;"|"&amp;INT(N306/SEG_KM)*SEG_KM</f>
        <v/>
      </c>
      <c r="AZ306" s="4">
        <f>COUNTIF($AW$2:$AW$662,AW306)</f>
        <v/>
      </c>
      <c r="BA306" s="4">
        <f>COUNTIF($AX$2:$AX$662,AX306)</f>
        <v/>
      </c>
      <c r="BB306" s="4">
        <f>COUNTIF($AY$2:$AY$662,AY306)</f>
        <v/>
      </c>
      <c r="BC306" s="3">
        <f t="array" ref="BC306">IF(N(AO306)&gt;=MIN_N,AN306,IF(BB306&gt;=MIN_N,MEDIAN(IF($AY$2:$AY$662=AY306,$O$2:$O$662)),IF(BA306&gt;=MIN_N,MEDIAN(IF($AX$2:$AX$662=AX306,$O$2:$O$662)),MEDIAN(IF($AW$2:$AW$662=AW306,$O$2:$O$662)))))</f>
        <v/>
      </c>
      <c r="BD306" s="3">
        <f>IF(N(AO306)&gt;=MIN_N,"mercado "&amp;AP306,IF(BB306&gt;=MIN_N,"modelo+año+km",IF(BA306&gt;=MIN_N,"modelo+año","modelo")))</f>
        <v/>
      </c>
      <c r="BE306" s="4">
        <f>(BC306-O306)/BC306</f>
        <v/>
      </c>
      <c r="BF306" s="3">
        <f>IF(OR(K306="hibrido",K306="glp"),"ECO",IF(K306="electrico","CERO",IF(K306="gasolina",IF(M306&gt;=GAS_C,"C",IF(M306&gt;=GAS_B,"B","A")),IF(K306="diesel",IF(M306&gt;=DIE_C,"C",IF(M306&gt;=DIE_B,"B","A")),""))))</f>
        <v/>
      </c>
      <c r="BG306" s="3">
        <f>IFERROR(VLOOKUP(F306,MOD_TBL,11,0),IFERROR(VLOOKUP(E306,OCU_TBL,2,0),NEUTRO))</f>
        <v/>
      </c>
      <c r="BH306" s="3">
        <f>SUMIFS(MOT_AJUSTE,MOT_MOTOR,G306,MOT_MARCA,E306,MOT_DESDE,"&lt;="&amp;M306,MOT_HASTA,"&gt;="&amp;M306)+SUMIFS(MOT_AJUSTE,MOT_MOTOR,G306,MOT_MARCA,"(todas)",MOT_DESDE,"&lt;="&amp;M306,MOT_HASTA,"&gt;="&amp;M306)</f>
        <v/>
      </c>
      <c r="BI306" s="3">
        <f>SUMIFS(COMB_AJUSTE,COMB_COMB,K306)</f>
        <v/>
      </c>
      <c r="BJ306" s="3">
        <f>COUNTIFS(MOT_MOTOR,G306,MOT_MARCA,E306,MOT_DESDE,"&lt;="&amp;M306,MOT_HASTA,"&gt;="&amp;M306)+COUNTIFS(MOT_MOTOR,G306,MOT_MARCA,"(todas)",MOT_DESDE,"&lt;="&amp;M306,MOT_HASTA,"&gt;="&amp;M306)</f>
        <v/>
      </c>
      <c r="BK306" s="3">
        <f>IF(AND(K306="diesel",BJ306=0),MIN(BG306,NEUTRO),BG306)</f>
        <v/>
      </c>
      <c r="BL306" s="4">
        <f>MAX(0,MIN(100,BK306+BH306+BI306))</f>
        <v/>
      </c>
      <c r="BM306" s="3">
        <f>MAX(0,MIN(100,50+BE306*PRECIO_PEND))</f>
        <v/>
      </c>
      <c r="BN306" s="3">
        <f>MAX(0,100*(1-N306/KM_MAX))</f>
        <v/>
      </c>
      <c r="BO306" s="3">
        <f>IF(AV306&lt;KMA_SOSP,IF(AA306="sí",100,KMA_PEN),IF(AV306&lt;=KMA_IDEAL_MAX,100,MAX(0,100*(KMA_CERO-AV306)/(KMA_CERO-KMA_IDEAL_MAX))))</f>
        <v/>
      </c>
      <c r="BP306" s="3">
        <f>MAX(0,MIN(100,100*(M306-ANIO_MIN)/(ANIO_ACTUAL-ANIO_MIN)))</f>
        <v/>
      </c>
      <c r="BQ306" s="3">
        <f>W_KMT*BN306+W_KMA*BO306+W_EDAD*BP306</f>
        <v/>
      </c>
      <c r="BR306" s="3">
        <f>P_ITV*(V306="sí")+P_LIBRO*(W306="sí")+P_CORREA*(X306="sí")+P_PROP*(Y306=1)+P_GAR*(Z306="sí")+P_FOTOS*MIN(1,N(U306)/FOTOS_OBJ)</f>
        <v/>
      </c>
      <c r="BS306" s="3">
        <f>IFERROR(VLOOKUP(BF306,ETQ_TBL,2,0),NEUTRO)</f>
        <v/>
      </c>
      <c r="BT306" s="3">
        <f>NEUTRO</f>
        <v/>
      </c>
      <c r="BU306" s="3">
        <f>IFERROR(VLOOKUP(L306,SEGURO_TBL,3,0),"")</f>
        <v/>
      </c>
      <c r="BV306" s="3">
        <f>IF(BU306="",NEUTRO,MAX(0,MIN(100,100*(SEG_REF_MAX-BU306)/(SEG_REF_MAX-SEG_REF_MIN))))</f>
        <v/>
      </c>
      <c r="BW306" s="3">
        <f>W_ET*BS306+W_CONS*BT306+W_SEG*BV306</f>
        <v/>
      </c>
      <c r="BX306" s="3">
        <f>IF(N(AB306)&gt;0,AB306,IF(AND(R306="profesional",SG_LEGAL_ON=1),GAR_LEGAL,0))</f>
        <v/>
      </c>
      <c r="BY306" s="3">
        <f>SG_GAR*MIN(1,BX306/SG_GAR_FULL)+SG_AMPL*(AC306="sí")+SG_KMC*(AF306="sí")+SG_REV*(N(AE306)&gt;0)+SG_DEV*MIN(1,N(AG306)/SG_DEV_FULL)+SG_HIST*(W306="sí")</f>
        <v/>
      </c>
      <c r="BZ306" s="3">
        <f>IFERROR(VLOOKUP(L306,CARR_PEN_TBL,2,0),0)</f>
        <v/>
      </c>
      <c r="CA306" s="3">
        <f>W_FIAB*BL306+W_PRECIO*BM306+W_KMEDAD*BQ306+W_ANUNCIO*BR306+W_USO*BW306+W_SEGURIDAD*BY306-BZ306</f>
        <v/>
      </c>
      <c r="CB306" s="4">
        <f>IF(N(I306)&gt;0,I306,IFERROR(ROUND(_xlfn.NUMBERVALUE(LEFT(G306,FIND(" ",G306&amp;" ")-1),".")*1000,0),99999))</f>
        <v/>
      </c>
      <c r="CC306" s="3">
        <f>IF(R306="profesional",0,IF(O306&lt;CUOTA_VALOR_MAX,IF(AU306&gt;ITP_TRAMO_ALTO,SUMIFS(CF_CUOTA,CF_MAS,ITP_TRAMO_ALTO,CF_CCMIN,"&lt;="&amp;CB306,CF_CCMAX,"&gt;="&amp;CB306),IF(AU306&gt;ITP_TRAMO_BAJO,SUMIFS(CF_CUOTA,CF_MAS,ITP_TRAMO_BAJO,CF_CCMIN,"&lt;="&amp;CB306,CF_CCMAX,"&gt;="&amp;CB306),O306*ITP_TIPO)),O306*ITP_TIPO))</f>
        <v/>
      </c>
      <c r="CD306" s="4">
        <f>IF(R306="profesional",N(AK306),0)</f>
        <v/>
      </c>
      <c r="CE306" s="3">
        <f>IF(AND(R306="profesional",ISNUMBER(AK306),AL306="sí"),0,TASA_DGT)</f>
        <v/>
      </c>
      <c r="CF306" s="3">
        <f>INFORME_DGT</f>
        <v/>
      </c>
      <c r="CG306" s="4">
        <f>O306+CD306+CC306+CE306+CF306</f>
        <v/>
      </c>
      <c r="CH306" s="4">
        <f>CG306+N(BU306)</f>
        <v/>
      </c>
      <c r="CI306" s="3">
        <f>IF(CG306&lt;=TOTAL_MAX,"sí",IF(CG306&lt;=TOTAL_MAX+MARGEN_NEG,"negociar","no"))</f>
        <v/>
      </c>
      <c r="CJ306" s="4">
        <f>IF(CI306&lt;&gt;"no",COUNTIFS($CI$2:$CI$662,"&lt;&gt;no",$CA$2:$CA$662,"&gt;"&amp;CA306)+COUNTIFS($CI$2:CI306,"&lt;&gt;no",$CA$2:CA306,CA306),"")</f>
        <v/>
      </c>
    </row>
    <row r="307">
      <c r="A307" s="2" t="inlineStr">
        <is>
          <t>wallapop:1242429631</t>
        </is>
      </c>
      <c r="B307" s="2" t="inlineStr">
        <is>
          <t>wallapop</t>
        </is>
      </c>
      <c r="C307" s="2" t="inlineStr">
        <is>
          <t>https://es.wallapop.com/item/kia-picanto-2006-1242429631</t>
        </is>
      </c>
      <c r="D307" s="2" t="inlineStr">
        <is>
          <t>KIA Picanto 2006</t>
        </is>
      </c>
      <c r="E307" s="2" t="inlineStr">
        <is>
          <t>Kia</t>
        </is>
      </c>
      <c r="F307" s="2" t="inlineStr">
        <is>
          <t>Kia Picanto</t>
        </is>
      </c>
      <c r="G307" s="2" t="inlineStr">
        <is>
          <t>1.1</t>
        </is>
      </c>
      <c r="H307" s="2" t="inlineStr">
        <is>
          <t>1.1 65 EX 5p</t>
        </is>
      </c>
      <c r="I307" s="2" t="n"/>
      <c r="J307" s="2" t="n">
        <v>65</v>
      </c>
      <c r="K307" s="2" t="inlineStr">
        <is>
          <t>gasolina</t>
        </is>
      </c>
      <c r="L307" s="2" t="inlineStr">
        <is>
          <t>utilitario</t>
        </is>
      </c>
      <c r="M307" s="2" t="n">
        <v>2006</v>
      </c>
      <c r="N307" s="2" t="n">
        <v>87000</v>
      </c>
      <c r="O307" s="2" t="n">
        <v>3700</v>
      </c>
      <c r="P307" s="2" t="inlineStr">
        <is>
          <t>manual</t>
        </is>
      </c>
      <c r="Q307" s="2" t="inlineStr">
        <is>
          <t>no</t>
        </is>
      </c>
      <c r="R307" s="2" t="inlineStr">
        <is>
          <t>particular</t>
        </is>
      </c>
      <c r="S307" s="2" t="inlineStr">
        <is>
          <t>Valencia (46002)</t>
        </is>
      </c>
      <c r="T307" s="2" t="inlineStr">
        <is>
          <t>2026-10-22T08:47:15</t>
        </is>
      </c>
      <c r="U307" s="2" t="n">
        <v>7</v>
      </c>
      <c r="V307" s="2" t="inlineStr">
        <is>
          <t>sí</t>
        </is>
      </c>
      <c r="W307" s="2" t="n"/>
      <c r="X307" s="2" t="n"/>
      <c r="Y307" s="2" t="n"/>
      <c r="Z307" s="2" t="n"/>
      <c r="AA307" s="2" t="n"/>
      <c r="AB307" s="2" t="n"/>
      <c r="AC307" s="2" t="n"/>
      <c r="AD307" s="2" t="n"/>
      <c r="AE307" s="2" t="n"/>
      <c r="AF307" s="2" t="n"/>
      <c r="AG307" s="2" t="n"/>
      <c r="AH307" s="2" t="n"/>
      <c r="AI307" s="2" t="n"/>
      <c r="AJ307" s="2" t="n"/>
      <c r="AK307" s="2" t="n"/>
      <c r="AL307" s="2" t="n"/>
      <c r="AM307" s="2" t="n">
        <v>0.3</v>
      </c>
      <c r="AN307" s="2" t="n">
        <v>3100</v>
      </c>
      <c r="AO307" s="2" t="n">
        <v>6</v>
      </c>
      <c r="AP307" s="2" t="inlineStr">
        <is>
          <t>modelo+año</t>
        </is>
      </c>
      <c r="AQ307" s="2" t="n"/>
      <c r="AR307" s="2" t="inlineStr">
        <is>
          <t>cuota fija ITP: &gt;12 años, hasta 1.500 cc</t>
        </is>
      </c>
      <c r="AS307" s="2" t="inlineStr">
        <is>
          <t>Coche en buen estado, tiene muchas extras, itv en vigor</t>
        </is>
      </c>
      <c r="AT307" s="2" t="inlineStr">
        <is>
          <t>https://es.wallapop.com/item/kia-picanto-2006-1242429631 (__NEXT_DATA__ item) /home/user/Alopecia/buscador-coches/raw/wallapop/43552fb2cde7a072.json</t>
        </is>
      </c>
      <c r="AU307" s="3">
        <f>MAX(ANIO_ACTUAL-M307,0)</f>
        <v/>
      </c>
      <c r="AV307" s="4">
        <f>N307/MAX(AU307,0.5)</f>
        <v/>
      </c>
      <c r="AW307" s="4">
        <f>F307</f>
        <v/>
      </c>
      <c r="AX307" s="3">
        <f>AW307&amp;"|"&amp;INT(M307/SEG_ANIO)*SEG_ANIO</f>
        <v/>
      </c>
      <c r="AY307" s="3">
        <f>AX307&amp;"|"&amp;INT(N307/SEG_KM)*SEG_KM</f>
        <v/>
      </c>
      <c r="AZ307" s="4">
        <f>COUNTIF($AW$2:$AW$662,AW307)</f>
        <v/>
      </c>
      <c r="BA307" s="4">
        <f>COUNTIF($AX$2:$AX$662,AX307)</f>
        <v/>
      </c>
      <c r="BB307" s="4">
        <f>COUNTIF($AY$2:$AY$662,AY307)</f>
        <v/>
      </c>
      <c r="BC307" s="3">
        <f t="array" ref="BC307">IF(N(AO307)&gt;=MIN_N,AN307,IF(BB307&gt;=MIN_N,MEDIAN(IF($AY$2:$AY$662=AY307,$O$2:$O$662)),IF(BA307&gt;=MIN_N,MEDIAN(IF($AX$2:$AX$662=AX307,$O$2:$O$662)),MEDIAN(IF($AW$2:$AW$662=AW307,$O$2:$O$662)))))</f>
        <v/>
      </c>
      <c r="BD307" s="3">
        <f>IF(N(AO307)&gt;=MIN_N,"mercado "&amp;AP307,IF(BB307&gt;=MIN_N,"modelo+año+km",IF(BA307&gt;=MIN_N,"modelo+año","modelo")))</f>
        <v/>
      </c>
      <c r="BE307" s="4">
        <f>(BC307-O307)/BC307</f>
        <v/>
      </c>
      <c r="BF307" s="3">
        <f>IF(OR(K307="hibrido",K307="glp"),"ECO",IF(K307="electrico","CERO",IF(K307="gasolina",IF(M307&gt;=GAS_C,"C",IF(M307&gt;=GAS_B,"B","A")),IF(K307="diesel",IF(M307&gt;=DIE_C,"C",IF(M307&gt;=DIE_B,"B","A")),""))))</f>
        <v/>
      </c>
      <c r="BG307" s="3">
        <f>IFERROR(VLOOKUP(F307,MOD_TBL,11,0),IFERROR(VLOOKUP(E307,OCU_TBL,2,0),NEUTRO))</f>
        <v/>
      </c>
      <c r="BH307" s="3">
        <f>SUMIFS(MOT_AJUSTE,MOT_MOTOR,G307,MOT_MARCA,E307,MOT_DESDE,"&lt;="&amp;M307,MOT_HASTA,"&gt;="&amp;M307)+SUMIFS(MOT_AJUSTE,MOT_MOTOR,G307,MOT_MARCA,"(todas)",MOT_DESDE,"&lt;="&amp;M307,MOT_HASTA,"&gt;="&amp;M307)</f>
        <v/>
      </c>
      <c r="BI307" s="3">
        <f>SUMIFS(COMB_AJUSTE,COMB_COMB,K307)</f>
        <v/>
      </c>
      <c r="BJ307" s="3">
        <f>COUNTIFS(MOT_MOTOR,G307,MOT_MARCA,E307,MOT_DESDE,"&lt;="&amp;M307,MOT_HASTA,"&gt;="&amp;M307)+COUNTIFS(MOT_MOTOR,G307,MOT_MARCA,"(todas)",MOT_DESDE,"&lt;="&amp;M307,MOT_HASTA,"&gt;="&amp;M307)</f>
        <v/>
      </c>
      <c r="BK307" s="3">
        <f>IF(AND(K307="diesel",BJ307=0),MIN(BG307,NEUTRO),BG307)</f>
        <v/>
      </c>
      <c r="BL307" s="4">
        <f>MAX(0,MIN(100,BK307+BH307+BI307))</f>
        <v/>
      </c>
      <c r="BM307" s="3">
        <f>MAX(0,MIN(100,50+BE307*PRECIO_PEND))</f>
        <v/>
      </c>
      <c r="BN307" s="3">
        <f>MAX(0,100*(1-N307/KM_MAX))</f>
        <v/>
      </c>
      <c r="BO307" s="3">
        <f>IF(AV307&lt;KMA_SOSP,IF(AA307="sí",100,KMA_PEN),IF(AV307&lt;=KMA_IDEAL_MAX,100,MAX(0,100*(KMA_CERO-AV307)/(KMA_CERO-KMA_IDEAL_MAX))))</f>
        <v/>
      </c>
      <c r="BP307" s="3">
        <f>MAX(0,MIN(100,100*(M307-ANIO_MIN)/(ANIO_ACTUAL-ANIO_MIN)))</f>
        <v/>
      </c>
      <c r="BQ307" s="3">
        <f>W_KMT*BN307+W_KMA*BO307+W_EDAD*BP307</f>
        <v/>
      </c>
      <c r="BR307" s="3">
        <f>P_ITV*(V307="sí")+P_LIBRO*(W307="sí")+P_CORREA*(X307="sí")+P_PROP*(Y307=1)+P_GAR*(Z307="sí")+P_FOTOS*MIN(1,N(U307)/FOTOS_OBJ)</f>
        <v/>
      </c>
      <c r="BS307" s="3">
        <f>IFERROR(VLOOKUP(BF307,ETQ_TBL,2,0),NEUTRO)</f>
        <v/>
      </c>
      <c r="BT307" s="3">
        <f>NEUTRO</f>
        <v/>
      </c>
      <c r="BU307" s="3">
        <f>IFERROR(VLOOKUP(L307,SEGURO_TBL,3,0),"")</f>
        <v/>
      </c>
      <c r="BV307" s="3">
        <f>IF(BU307="",NEUTRO,MAX(0,MIN(100,100*(SEG_REF_MAX-BU307)/(SEG_REF_MAX-SEG_REF_MIN))))</f>
        <v/>
      </c>
      <c r="BW307" s="3">
        <f>W_ET*BS307+W_CONS*BT307+W_SEG*BV307</f>
        <v/>
      </c>
      <c r="BX307" s="3">
        <f>IF(N(AB307)&gt;0,AB307,IF(AND(R307="profesional",SG_LEGAL_ON=1),GAR_LEGAL,0))</f>
        <v/>
      </c>
      <c r="BY307" s="3">
        <f>SG_GAR*MIN(1,BX307/SG_GAR_FULL)+SG_AMPL*(AC307="sí")+SG_KMC*(AF307="sí")+SG_REV*(N(AE307)&gt;0)+SG_DEV*MIN(1,N(AG307)/SG_DEV_FULL)+SG_HIST*(W307="sí")</f>
        <v/>
      </c>
      <c r="BZ307" s="3">
        <f>IFERROR(VLOOKUP(L307,CARR_PEN_TBL,2,0),0)</f>
        <v/>
      </c>
      <c r="CA307" s="3">
        <f>W_FIAB*BL307+W_PRECIO*BM307+W_KMEDAD*BQ307+W_ANUNCIO*BR307+W_USO*BW307+W_SEGURIDAD*BY307-BZ307</f>
        <v/>
      </c>
      <c r="CB307" s="4">
        <f>IF(N(I307)&gt;0,I307,IFERROR(ROUND(_xlfn.NUMBERVALUE(LEFT(G307,FIND(" ",G307&amp;" ")-1),".")*1000,0),99999))</f>
        <v/>
      </c>
      <c r="CC307" s="3">
        <f>IF(R307="profesional",0,IF(O307&lt;CUOTA_VALOR_MAX,IF(AU307&gt;ITP_TRAMO_ALTO,SUMIFS(CF_CUOTA,CF_MAS,ITP_TRAMO_ALTO,CF_CCMIN,"&lt;="&amp;CB307,CF_CCMAX,"&gt;="&amp;CB307),IF(AU307&gt;ITP_TRAMO_BAJO,SUMIFS(CF_CUOTA,CF_MAS,ITP_TRAMO_BAJO,CF_CCMIN,"&lt;="&amp;CB307,CF_CCMAX,"&gt;="&amp;CB307),O307*ITP_TIPO)),O307*ITP_TIPO))</f>
        <v/>
      </c>
      <c r="CD307" s="4">
        <f>IF(R307="profesional",N(AK307),0)</f>
        <v/>
      </c>
      <c r="CE307" s="3">
        <f>IF(AND(R307="profesional",ISNUMBER(AK307),AL307="sí"),0,TASA_DGT)</f>
        <v/>
      </c>
      <c r="CF307" s="3">
        <f>INFORME_DGT</f>
        <v/>
      </c>
      <c r="CG307" s="4">
        <f>O307+CD307+CC307+CE307+CF307</f>
        <v/>
      </c>
      <c r="CH307" s="4">
        <f>CG307+N(BU307)</f>
        <v/>
      </c>
      <c r="CI307" s="3">
        <f>IF(CG307&lt;=TOTAL_MAX,"sí",IF(CG307&lt;=TOTAL_MAX+MARGEN_NEG,"negociar","no"))</f>
        <v/>
      </c>
      <c r="CJ307" s="4">
        <f>IF(CI307&lt;&gt;"no",COUNTIFS($CI$2:$CI$662,"&lt;&gt;no",$CA$2:$CA$662,"&gt;"&amp;CA307)+COUNTIFS($CI$2:CI307,"&lt;&gt;no",$CA$2:CA307,CA307),"")</f>
        <v/>
      </c>
    </row>
    <row r="308">
      <c r="A308" s="2" t="inlineStr">
        <is>
          <t>wallapop:1286345810</t>
        </is>
      </c>
      <c r="B308" s="2" t="inlineStr">
        <is>
          <t>wallapop</t>
        </is>
      </c>
      <c r="C308" s="2" t="inlineStr">
        <is>
          <t>https://es.wallapop.com/item/kia-picanto-1-1-active-48-kw-65-cv-1286345810</t>
        </is>
      </c>
      <c r="D308" s="2" t="inlineStr">
        <is>
          <t>Kia Picanto 1.1 Active 48 kW (65 CV)</t>
        </is>
      </c>
      <c r="E308" s="2" t="inlineStr">
        <is>
          <t>Kia</t>
        </is>
      </c>
      <c r="F308" s="2" t="inlineStr">
        <is>
          <t>Kia Picanto</t>
        </is>
      </c>
      <c r="G308" s="2" t="inlineStr">
        <is>
          <t>1.1</t>
        </is>
      </c>
      <c r="H308" s="2" t="inlineStr">
        <is>
          <t>1.1 Active 48 kW (65 CV)</t>
        </is>
      </c>
      <c r="I308" s="2" t="n"/>
      <c r="J308" s="2" t="n">
        <v>65</v>
      </c>
      <c r="K308" s="2" t="inlineStr">
        <is>
          <t>gasolina</t>
        </is>
      </c>
      <c r="L308" s="2" t="inlineStr">
        <is>
          <t>utilitario</t>
        </is>
      </c>
      <c r="M308" s="2" t="n">
        <v>2008</v>
      </c>
      <c r="N308" s="2" t="n">
        <v>61608</v>
      </c>
      <c r="O308" s="2" t="n">
        <v>5190</v>
      </c>
      <c r="P308" s="2" t="inlineStr">
        <is>
          <t>manual</t>
        </is>
      </c>
      <c r="Q308" s="2" t="inlineStr">
        <is>
          <t>no</t>
        </is>
      </c>
      <c r="R308" s="2" t="inlineStr">
        <is>
          <t>profesional</t>
        </is>
      </c>
      <c r="S308" s="2" t="inlineStr">
        <is>
          <t>Paterna (46980)</t>
        </is>
      </c>
      <c r="T308" s="2" t="inlineStr">
        <is>
          <t>2026-10-26T15:14:44</t>
        </is>
      </c>
      <c r="U308" s="2" t="n">
        <v>11</v>
      </c>
      <c r="V308" s="2" t="n"/>
      <c r="W308" s="2" t="inlineStr">
        <is>
          <t>sí</t>
        </is>
      </c>
      <c r="X308" s="2" t="n"/>
      <c r="Y308" s="2" t="n"/>
      <c r="Z308" s="2" t="inlineStr">
        <is>
          <t>sí</t>
        </is>
      </c>
      <c r="AA308" s="2" t="n"/>
      <c r="AB308" s="2" t="n"/>
      <c r="AC308" s="2" t="n"/>
      <c r="AD308" s="2" t="n"/>
      <c r="AE308" s="2" t="n"/>
      <c r="AF308" s="2" t="inlineStr">
        <is>
          <t>sí</t>
        </is>
      </c>
      <c r="AG308" s="2" t="n"/>
      <c r="AH308" s="2" t="n"/>
      <c r="AI308" s="2" t="n"/>
      <c r="AJ308" s="2" t="n"/>
      <c r="AK308" s="2" t="n"/>
      <c r="AL308" s="2" t="n"/>
      <c r="AM308" s="2" t="n">
        <v>6.4</v>
      </c>
      <c r="AN308" s="2" t="n">
        <v>2590</v>
      </c>
      <c r="AO308" s="2" t="n">
        <v>4</v>
      </c>
      <c r="AP308" s="2" t="inlineStr">
        <is>
          <t>modelo+año</t>
        </is>
      </c>
      <c r="AQ308" s="2" t="n"/>
      <c r="AR308" s="2" t="inlineStr">
        <is>
          <t>por encima del presupuesto (5254 €), negociar; vendedor profesional: sin ITP (operación con IVA/REBU, confirmar en factura); gastos de gestión del vendedor no indicados: se suma la tasa DGT; preguntar el precio final</t>
        </is>
      </c>
      <c r="AS308" s="2" t="inlineStr">
        <is>
          <t>Ref.174158524
¡VILLA TAMBIÉN FICHA POR OCASIONPLUS!
VEN A GANAR. ¡VEN A OCASIONPLUS!
OCASIONPLUS - 20.000 COCHES  - 120 CENTROS
OCASIONPLUS Nº1 CALIDAD - PRECIO
Elige el coche que te guste y te lo llevamos a tu ciudad sólo con reservarlo
15 DÍAS / 1000 KMS DE PRUEBA
Hasta 700€ de descuento en este coche
ADEMÁS, HACEMOS LAS MEJORES FINANCIACIONES DEL MERCADO, PREGÚNTANOS!!
            Equipamiento destacado: Aire Acondicionado.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08" s="2" t="inlineStr">
        <is>
          <t>https://es.wallapop.com/item/kia-picanto-1-1-active-48-kw-65-cv-1286345810 (__NEXT_DATA__ item) /home/user/Alopecia/buscador-coches/raw/wallapop/7fffdc11438be09e.json</t>
        </is>
      </c>
      <c r="AU308" s="3">
        <f>MAX(ANIO_ACTUAL-M308,0)</f>
        <v/>
      </c>
      <c r="AV308" s="4">
        <f>N308/MAX(AU308,0.5)</f>
        <v/>
      </c>
      <c r="AW308" s="4">
        <f>F308</f>
        <v/>
      </c>
      <c r="AX308" s="3">
        <f>AW308&amp;"|"&amp;INT(M308/SEG_ANIO)*SEG_ANIO</f>
        <v/>
      </c>
      <c r="AY308" s="3">
        <f>AX308&amp;"|"&amp;INT(N308/SEG_KM)*SEG_KM</f>
        <v/>
      </c>
      <c r="AZ308" s="4">
        <f>COUNTIF($AW$2:$AW$662,AW308)</f>
        <v/>
      </c>
      <c r="BA308" s="4">
        <f>COUNTIF($AX$2:$AX$662,AX308)</f>
        <v/>
      </c>
      <c r="BB308" s="4">
        <f>COUNTIF($AY$2:$AY$662,AY308)</f>
        <v/>
      </c>
      <c r="BC308" s="3">
        <f t="array" ref="BC308">IF(N(AO308)&gt;=MIN_N,AN308,IF(BB308&gt;=MIN_N,MEDIAN(IF($AY$2:$AY$662=AY308,$O$2:$O$662)),IF(BA308&gt;=MIN_N,MEDIAN(IF($AX$2:$AX$662=AX308,$O$2:$O$662)),MEDIAN(IF($AW$2:$AW$662=AW308,$O$2:$O$662)))))</f>
        <v/>
      </c>
      <c r="BD308" s="3">
        <f>IF(N(AO308)&gt;=MIN_N,"mercado "&amp;AP308,IF(BB308&gt;=MIN_N,"modelo+año+km",IF(BA308&gt;=MIN_N,"modelo+año","modelo")))</f>
        <v/>
      </c>
      <c r="BE308" s="4">
        <f>(BC308-O308)/BC308</f>
        <v/>
      </c>
      <c r="BF308" s="3">
        <f>IF(OR(K308="hibrido",K308="glp"),"ECO",IF(K308="electrico","CERO",IF(K308="gasolina",IF(M308&gt;=GAS_C,"C",IF(M308&gt;=GAS_B,"B","A")),IF(K308="diesel",IF(M308&gt;=DIE_C,"C",IF(M308&gt;=DIE_B,"B","A")),""))))</f>
        <v/>
      </c>
      <c r="BG308" s="3">
        <f>IFERROR(VLOOKUP(F308,MOD_TBL,11,0),IFERROR(VLOOKUP(E308,OCU_TBL,2,0),NEUTRO))</f>
        <v/>
      </c>
      <c r="BH308" s="3">
        <f>SUMIFS(MOT_AJUSTE,MOT_MOTOR,G308,MOT_MARCA,E308,MOT_DESDE,"&lt;="&amp;M308,MOT_HASTA,"&gt;="&amp;M308)+SUMIFS(MOT_AJUSTE,MOT_MOTOR,G308,MOT_MARCA,"(todas)",MOT_DESDE,"&lt;="&amp;M308,MOT_HASTA,"&gt;="&amp;M308)</f>
        <v/>
      </c>
      <c r="BI308" s="3">
        <f>SUMIFS(COMB_AJUSTE,COMB_COMB,K308)</f>
        <v/>
      </c>
      <c r="BJ308" s="3">
        <f>COUNTIFS(MOT_MOTOR,G308,MOT_MARCA,E308,MOT_DESDE,"&lt;="&amp;M308,MOT_HASTA,"&gt;="&amp;M308)+COUNTIFS(MOT_MOTOR,G308,MOT_MARCA,"(todas)",MOT_DESDE,"&lt;="&amp;M308,MOT_HASTA,"&gt;="&amp;M308)</f>
        <v/>
      </c>
      <c r="BK308" s="3">
        <f>IF(AND(K308="diesel",BJ308=0),MIN(BG308,NEUTRO),BG308)</f>
        <v/>
      </c>
      <c r="BL308" s="4">
        <f>MAX(0,MIN(100,BK308+BH308+BI308))</f>
        <v/>
      </c>
      <c r="BM308" s="3">
        <f>MAX(0,MIN(100,50+BE308*PRECIO_PEND))</f>
        <v/>
      </c>
      <c r="BN308" s="3">
        <f>MAX(0,100*(1-N308/KM_MAX))</f>
        <v/>
      </c>
      <c r="BO308" s="3">
        <f>IF(AV308&lt;KMA_SOSP,IF(AA308="sí",100,KMA_PEN),IF(AV308&lt;=KMA_IDEAL_MAX,100,MAX(0,100*(KMA_CERO-AV308)/(KMA_CERO-KMA_IDEAL_MAX))))</f>
        <v/>
      </c>
      <c r="BP308" s="3">
        <f>MAX(0,MIN(100,100*(M308-ANIO_MIN)/(ANIO_ACTUAL-ANIO_MIN)))</f>
        <v/>
      </c>
      <c r="BQ308" s="3">
        <f>W_KMT*BN308+W_KMA*BO308+W_EDAD*BP308</f>
        <v/>
      </c>
      <c r="BR308" s="3">
        <f>P_ITV*(V308="sí")+P_LIBRO*(W308="sí")+P_CORREA*(X308="sí")+P_PROP*(Y308=1)+P_GAR*(Z308="sí")+P_FOTOS*MIN(1,N(U308)/FOTOS_OBJ)</f>
        <v/>
      </c>
      <c r="BS308" s="3">
        <f>IFERROR(VLOOKUP(BF308,ETQ_TBL,2,0),NEUTRO)</f>
        <v/>
      </c>
      <c r="BT308" s="3">
        <f>NEUTRO</f>
        <v/>
      </c>
      <c r="BU308" s="3">
        <f>IFERROR(VLOOKUP(L308,SEGURO_TBL,3,0),"")</f>
        <v/>
      </c>
      <c r="BV308" s="3">
        <f>IF(BU308="",NEUTRO,MAX(0,MIN(100,100*(SEG_REF_MAX-BU308)/(SEG_REF_MAX-SEG_REF_MIN))))</f>
        <v/>
      </c>
      <c r="BW308" s="3">
        <f>W_ET*BS308+W_CONS*BT308+W_SEG*BV308</f>
        <v/>
      </c>
      <c r="BX308" s="3">
        <f>IF(N(AB308)&gt;0,AB308,IF(AND(R308="profesional",SG_LEGAL_ON=1),GAR_LEGAL,0))</f>
        <v/>
      </c>
      <c r="BY308" s="3">
        <f>SG_GAR*MIN(1,BX308/SG_GAR_FULL)+SG_AMPL*(AC308="sí")+SG_KMC*(AF308="sí")+SG_REV*(N(AE308)&gt;0)+SG_DEV*MIN(1,N(AG308)/SG_DEV_FULL)+SG_HIST*(W308="sí")</f>
        <v/>
      </c>
      <c r="BZ308" s="3">
        <f>IFERROR(VLOOKUP(L308,CARR_PEN_TBL,2,0),0)</f>
        <v/>
      </c>
      <c r="CA308" s="3">
        <f>W_FIAB*BL308+W_PRECIO*BM308+W_KMEDAD*BQ308+W_ANUNCIO*BR308+W_USO*BW308+W_SEGURIDAD*BY308-BZ308</f>
        <v/>
      </c>
      <c r="CB308" s="4">
        <f>IF(N(I308)&gt;0,I308,IFERROR(ROUND(_xlfn.NUMBERVALUE(LEFT(G308,FIND(" ",G308&amp;" ")-1),".")*1000,0),99999))</f>
        <v/>
      </c>
      <c r="CC308" s="3">
        <f>IF(R308="profesional",0,IF(O308&lt;CUOTA_VALOR_MAX,IF(AU308&gt;ITP_TRAMO_ALTO,SUMIFS(CF_CUOTA,CF_MAS,ITP_TRAMO_ALTO,CF_CCMIN,"&lt;="&amp;CB308,CF_CCMAX,"&gt;="&amp;CB308),IF(AU308&gt;ITP_TRAMO_BAJO,SUMIFS(CF_CUOTA,CF_MAS,ITP_TRAMO_BAJO,CF_CCMIN,"&lt;="&amp;CB308,CF_CCMAX,"&gt;="&amp;CB308),O308*ITP_TIPO)),O308*ITP_TIPO))</f>
        <v/>
      </c>
      <c r="CD308" s="4">
        <f>IF(R308="profesional",N(AK308),0)</f>
        <v/>
      </c>
      <c r="CE308" s="3">
        <f>IF(AND(R308="profesional",ISNUMBER(AK308),AL308="sí"),0,TASA_DGT)</f>
        <v/>
      </c>
      <c r="CF308" s="3">
        <f>INFORME_DGT</f>
        <v/>
      </c>
      <c r="CG308" s="4">
        <f>O308+CD308+CC308+CE308+CF308</f>
        <v/>
      </c>
      <c r="CH308" s="4">
        <f>CG308+N(BU308)</f>
        <v/>
      </c>
      <c r="CI308" s="3">
        <f>IF(CG308&lt;=TOTAL_MAX,"sí",IF(CG308&lt;=TOTAL_MAX+MARGEN_NEG,"negociar","no"))</f>
        <v/>
      </c>
      <c r="CJ308" s="4">
        <f>IF(CI308&lt;&gt;"no",COUNTIFS($CI$2:$CI$662,"&lt;&gt;no",$CA$2:$CA$662,"&gt;"&amp;CA308)+COUNTIFS($CI$2:CI308,"&lt;&gt;no",$CA$2:CA308,CA308),"")</f>
        <v/>
      </c>
    </row>
    <row r="309">
      <c r="A309" s="2" t="inlineStr">
        <is>
          <t>wallapop:1313372043</t>
        </is>
      </c>
      <c r="B309" s="2" t="inlineStr">
        <is>
          <t>wallapop</t>
        </is>
      </c>
      <c r="C309" s="2" t="inlineStr">
        <is>
          <t>https://es.wallapop.com/item/hyundai-i20-2009-1313372043</t>
        </is>
      </c>
      <c r="D309" s="2" t="inlineStr">
        <is>
          <t>Hyundai i20 2009</t>
        </is>
      </c>
      <c r="E309" s="2" t="inlineStr">
        <is>
          <t>Hyundai</t>
        </is>
      </c>
      <c r="F309" s="2" t="inlineStr">
        <is>
          <t>Hyundai i20</t>
        </is>
      </c>
      <c r="G309" s="2" t="inlineStr">
        <is>
          <t>1.4 CRDi</t>
        </is>
      </c>
      <c r="H309" s="2" t="inlineStr">
        <is>
          <t>1.4 CRDi 90 Comfort 3p AA ESP</t>
        </is>
      </c>
      <c r="I309" s="2" t="n"/>
      <c r="J309" s="2" t="n">
        <v>90</v>
      </c>
      <c r="K309" s="2" t="inlineStr">
        <is>
          <t>diesel</t>
        </is>
      </c>
      <c r="L309" s="2" t="inlineStr">
        <is>
          <t>utilitario</t>
        </is>
      </c>
      <c r="M309" s="2" t="n">
        <v>2009</v>
      </c>
      <c r="N309" s="2" t="n">
        <v>84744</v>
      </c>
      <c r="O309" s="2" t="n">
        <v>4900</v>
      </c>
      <c r="P309" s="2" t="inlineStr">
        <is>
          <t>manual</t>
        </is>
      </c>
      <c r="Q309" s="2" t="inlineStr">
        <is>
          <t>no</t>
        </is>
      </c>
      <c r="R309" s="2" t="inlineStr">
        <is>
          <t>particular</t>
        </is>
      </c>
      <c r="S309" s="2" t="inlineStr">
        <is>
          <t>Torrent (46900)</t>
        </is>
      </c>
      <c r="T309" s="2" t="inlineStr">
        <is>
          <t>2026-10-15T12:29:53</t>
        </is>
      </c>
      <c r="U309" s="2" t="n">
        <v>10</v>
      </c>
      <c r="V309" s="2" t="inlineStr">
        <is>
          <t>sí</t>
        </is>
      </c>
      <c r="W309" s="2" t="n"/>
      <c r="X309" s="2" t="n"/>
      <c r="Y309" s="2" t="n"/>
      <c r="Z309" s="2" t="n"/>
      <c r="AA309" s="2" t="n"/>
      <c r="AB309" s="2" t="n"/>
      <c r="AC309" s="2" t="n"/>
      <c r="AD309" s="2" t="n"/>
      <c r="AE309" s="2" t="n"/>
      <c r="AF309" s="2" t="n"/>
      <c r="AG309" s="2" t="n"/>
      <c r="AH309" s="2" t="n"/>
      <c r="AI309" s="2" t="n"/>
      <c r="AJ309" s="2" t="n"/>
      <c r="AK309" s="2" t="n"/>
      <c r="AL309" s="2" t="n"/>
      <c r="AM309" s="2" t="n">
        <v>8.9</v>
      </c>
      <c r="AN309" s="2" t="n"/>
      <c r="AO309" s="2" t="n"/>
      <c r="AP309" s="2" t="n"/>
      <c r="AQ309" s="2" t="inlineStr">
        <is>
          <t>wallapop:1313351579 (https://es.wallapop.com/item/hyundai-i20-2009-1-4-gasolina-1313351579)</t>
        </is>
      </c>
      <c r="AR309" s="2" t="inlineStr">
        <is>
          <t>por encima del presupuesto (5004 €), negociar; cuota fija ITP: &gt;12 años, hasta 1.500 cc; diésel: motor sin fuente de fiabilidad (fiabilidad limitada a neutra); mediana con solo 3 anuncio(s)</t>
        </is>
      </c>
      <c r="AS309" s="2" t="inlineStr">
        <is>
          <t>Vendo Hyundai i20 1.4 gasolina de 2009, 3 puertas, con solo 85.000 km e ITV recién pasada.
Coche muy práctico, fiable y económico de mantener. Ideal para ciudad. Motor gasolina 1.4.
El coche funciona correctamente y se ha mantenido al día. Tiene algunos pequeños detalles estéticos, principalmente un roce lateral y un pequeño toque en una puerta.
Actualmente hace un “toc” al mover el volante en parado, proveniente del acoplador flexible de la dirección asistida eléctrica. La dirección funciona correctamente y se puede sustituir el acoplador.
Interior cuidado para su edad y kilometraje muy bajo teniendo en cuenta que es de 2009. Segundo propietario y se entrega con dos llaves.
Se puede ver y probar sin compromiso.
Precio: 4.900 € negociables.
Cambio por Fiat 500 o Smart.</t>
        </is>
      </c>
      <c r="AT309" s="2" t="inlineStr">
        <is>
          <t>https://es.wallapop.com/item/hyundai-i20-2009-1313372043 (__NEXT_DATA__ item) /home/user/Alopecia/buscador-coches/raw/wallapop/0e394f4b276c38f7.json</t>
        </is>
      </c>
      <c r="AU309" s="3">
        <f>MAX(ANIO_ACTUAL-M309,0)</f>
        <v/>
      </c>
      <c r="AV309" s="4">
        <f>N309/MAX(AU309,0.5)</f>
        <v/>
      </c>
      <c r="AW309" s="4">
        <f>F309</f>
        <v/>
      </c>
      <c r="AX309" s="3">
        <f>AW309&amp;"|"&amp;INT(M309/SEG_ANIO)*SEG_ANIO</f>
        <v/>
      </c>
      <c r="AY309" s="3">
        <f>AX309&amp;"|"&amp;INT(N309/SEG_KM)*SEG_KM</f>
        <v/>
      </c>
      <c r="AZ309" s="4">
        <f>COUNTIF($AW$2:$AW$662,AW309)</f>
        <v/>
      </c>
      <c r="BA309" s="4">
        <f>COUNTIF($AX$2:$AX$662,AX309)</f>
        <v/>
      </c>
      <c r="BB309" s="4">
        <f>COUNTIF($AY$2:$AY$662,AY309)</f>
        <v/>
      </c>
      <c r="BC309" s="3">
        <f t="array" ref="BC309">IF(N(AO309)&gt;=MIN_N,AN309,IF(BB309&gt;=MIN_N,MEDIAN(IF($AY$2:$AY$662=AY309,$O$2:$O$662)),IF(BA309&gt;=MIN_N,MEDIAN(IF($AX$2:$AX$662=AX309,$O$2:$O$662)),MEDIAN(IF($AW$2:$AW$662=AW309,$O$2:$O$662)))))</f>
        <v/>
      </c>
      <c r="BD309" s="3">
        <f>IF(N(AO309)&gt;=MIN_N,"mercado "&amp;AP309,IF(BB309&gt;=MIN_N,"modelo+año+km",IF(BA309&gt;=MIN_N,"modelo+año","modelo")))</f>
        <v/>
      </c>
      <c r="BE309" s="4">
        <f>(BC309-O309)/BC309</f>
        <v/>
      </c>
      <c r="BF309" s="3">
        <f>IF(OR(K309="hibrido",K309="glp"),"ECO",IF(K309="electrico","CERO",IF(K309="gasolina",IF(M309&gt;=GAS_C,"C",IF(M309&gt;=GAS_B,"B","A")),IF(K309="diesel",IF(M309&gt;=DIE_C,"C",IF(M309&gt;=DIE_B,"B","A")),""))))</f>
        <v/>
      </c>
      <c r="BG309" s="3">
        <f>IFERROR(VLOOKUP(F309,MOD_TBL,11,0),IFERROR(VLOOKUP(E309,OCU_TBL,2,0),NEUTRO))</f>
        <v/>
      </c>
      <c r="BH309" s="3">
        <f>SUMIFS(MOT_AJUSTE,MOT_MOTOR,G309,MOT_MARCA,E309,MOT_DESDE,"&lt;="&amp;M309,MOT_HASTA,"&gt;="&amp;M309)+SUMIFS(MOT_AJUSTE,MOT_MOTOR,G309,MOT_MARCA,"(todas)",MOT_DESDE,"&lt;="&amp;M309,MOT_HASTA,"&gt;="&amp;M309)</f>
        <v/>
      </c>
      <c r="BI309" s="3">
        <f>SUMIFS(COMB_AJUSTE,COMB_COMB,K309)</f>
        <v/>
      </c>
      <c r="BJ309" s="3">
        <f>COUNTIFS(MOT_MOTOR,G309,MOT_MARCA,E309,MOT_DESDE,"&lt;="&amp;M309,MOT_HASTA,"&gt;="&amp;M309)+COUNTIFS(MOT_MOTOR,G309,MOT_MARCA,"(todas)",MOT_DESDE,"&lt;="&amp;M309,MOT_HASTA,"&gt;="&amp;M309)</f>
        <v/>
      </c>
      <c r="BK309" s="3">
        <f>IF(AND(K309="diesel",BJ309=0),MIN(BG309,NEUTRO),BG309)</f>
        <v/>
      </c>
      <c r="BL309" s="4">
        <f>MAX(0,MIN(100,BK309+BH309+BI309))</f>
        <v/>
      </c>
      <c r="BM309" s="3">
        <f>MAX(0,MIN(100,50+BE309*PRECIO_PEND))</f>
        <v/>
      </c>
      <c r="BN309" s="3">
        <f>MAX(0,100*(1-N309/KM_MAX))</f>
        <v/>
      </c>
      <c r="BO309" s="3">
        <f>IF(AV309&lt;KMA_SOSP,IF(AA309="sí",100,KMA_PEN),IF(AV309&lt;=KMA_IDEAL_MAX,100,MAX(0,100*(KMA_CERO-AV309)/(KMA_CERO-KMA_IDEAL_MAX))))</f>
        <v/>
      </c>
      <c r="BP309" s="3">
        <f>MAX(0,MIN(100,100*(M309-ANIO_MIN)/(ANIO_ACTUAL-ANIO_MIN)))</f>
        <v/>
      </c>
      <c r="BQ309" s="3">
        <f>W_KMT*BN309+W_KMA*BO309+W_EDAD*BP309</f>
        <v/>
      </c>
      <c r="BR309" s="3">
        <f>P_ITV*(V309="sí")+P_LIBRO*(W309="sí")+P_CORREA*(X309="sí")+P_PROP*(Y309=1)+P_GAR*(Z309="sí")+P_FOTOS*MIN(1,N(U309)/FOTOS_OBJ)</f>
        <v/>
      </c>
      <c r="BS309" s="3">
        <f>IFERROR(VLOOKUP(BF309,ETQ_TBL,2,0),NEUTRO)</f>
        <v/>
      </c>
      <c r="BT309" s="3">
        <f>NEUTRO</f>
        <v/>
      </c>
      <c r="BU309" s="3">
        <f>IFERROR(VLOOKUP(L309,SEGURO_TBL,3,0),"")</f>
        <v/>
      </c>
      <c r="BV309" s="3">
        <f>IF(BU309="",NEUTRO,MAX(0,MIN(100,100*(SEG_REF_MAX-BU309)/(SEG_REF_MAX-SEG_REF_MIN))))</f>
        <v/>
      </c>
      <c r="BW309" s="3">
        <f>W_ET*BS309+W_CONS*BT309+W_SEG*BV309</f>
        <v/>
      </c>
      <c r="BX309" s="3">
        <f>IF(N(AB309)&gt;0,AB309,IF(AND(R309="profesional",SG_LEGAL_ON=1),GAR_LEGAL,0))</f>
        <v/>
      </c>
      <c r="BY309" s="3">
        <f>SG_GAR*MIN(1,BX309/SG_GAR_FULL)+SG_AMPL*(AC309="sí")+SG_KMC*(AF309="sí")+SG_REV*(N(AE309)&gt;0)+SG_DEV*MIN(1,N(AG309)/SG_DEV_FULL)+SG_HIST*(W309="sí")</f>
        <v/>
      </c>
      <c r="BZ309" s="3">
        <f>IFERROR(VLOOKUP(L309,CARR_PEN_TBL,2,0),0)</f>
        <v/>
      </c>
      <c r="CA309" s="3">
        <f>W_FIAB*BL309+W_PRECIO*BM309+W_KMEDAD*BQ309+W_ANUNCIO*BR309+W_USO*BW309+W_SEGURIDAD*BY309-BZ309</f>
        <v/>
      </c>
      <c r="CB309" s="4">
        <f>IF(N(I309)&gt;0,I309,IFERROR(ROUND(_xlfn.NUMBERVALUE(LEFT(G309,FIND(" ",G309&amp;" ")-1),".")*1000,0),99999))</f>
        <v/>
      </c>
      <c r="CC309" s="3">
        <f>IF(R309="profesional",0,IF(O309&lt;CUOTA_VALOR_MAX,IF(AU309&gt;ITP_TRAMO_ALTO,SUMIFS(CF_CUOTA,CF_MAS,ITP_TRAMO_ALTO,CF_CCMIN,"&lt;="&amp;CB309,CF_CCMAX,"&gt;="&amp;CB309),IF(AU309&gt;ITP_TRAMO_BAJO,SUMIFS(CF_CUOTA,CF_MAS,ITP_TRAMO_BAJO,CF_CCMIN,"&lt;="&amp;CB309,CF_CCMAX,"&gt;="&amp;CB309),O309*ITP_TIPO)),O309*ITP_TIPO))</f>
        <v/>
      </c>
      <c r="CD309" s="4">
        <f>IF(R309="profesional",N(AK309),0)</f>
        <v/>
      </c>
      <c r="CE309" s="3">
        <f>IF(AND(R309="profesional",ISNUMBER(AK309),AL309="sí"),0,TASA_DGT)</f>
        <v/>
      </c>
      <c r="CF309" s="3">
        <f>INFORME_DGT</f>
        <v/>
      </c>
      <c r="CG309" s="4">
        <f>O309+CD309+CC309+CE309+CF309</f>
        <v/>
      </c>
      <c r="CH309" s="4">
        <f>CG309+N(BU309)</f>
        <v/>
      </c>
      <c r="CI309" s="3">
        <f>IF(CG309&lt;=TOTAL_MAX,"sí",IF(CG309&lt;=TOTAL_MAX+MARGEN_NEG,"negociar","no"))</f>
        <v/>
      </c>
      <c r="CJ309" s="4">
        <f>IF(CI309&lt;&gt;"no",COUNTIFS($CI$2:$CI$662,"&lt;&gt;no",$CA$2:$CA$662,"&gt;"&amp;CA309)+COUNTIFS($CI$2:CI309,"&lt;&gt;no",$CA$2:CA309,CA309),"")</f>
        <v/>
      </c>
    </row>
    <row r="310">
      <c r="A310" s="2" t="inlineStr">
        <is>
          <t>wallapop:1316295468</t>
        </is>
      </c>
      <c r="B310" s="2" t="inlineStr">
        <is>
          <t>wallapop</t>
        </is>
      </c>
      <c r="C310" s="2" t="inlineStr">
        <is>
          <t>https://es.wallapop.com/item/seat-ibiza-2006-1316295468</t>
        </is>
      </c>
      <c r="D310" s="2" t="inlineStr">
        <is>
          <t>SEAT Ibiza 2006</t>
        </is>
      </c>
      <c r="E310" s="2" t="inlineStr">
        <is>
          <t>Seat</t>
        </is>
      </c>
      <c r="F310" s="2" t="inlineStr">
        <is>
          <t>Seat Ibiza</t>
        </is>
      </c>
      <c r="G310" s="2" t="inlineStr">
        <is>
          <t>1.4</t>
        </is>
      </c>
      <c r="H310" s="2" t="inlineStr">
        <is>
          <t>1.4 16v 75 Cool 3p</t>
        </is>
      </c>
      <c r="I310" s="2" t="n"/>
      <c r="J310" s="2" t="n">
        <v>75</v>
      </c>
      <c r="K310" s="2" t="inlineStr">
        <is>
          <t>gasolina</t>
        </is>
      </c>
      <c r="L310" s="2" t="inlineStr">
        <is>
          <t>utilitario</t>
        </is>
      </c>
      <c r="M310" s="2" t="n">
        <v>2006</v>
      </c>
      <c r="N310" s="2" t="n">
        <v>135000</v>
      </c>
      <c r="O310" s="2" t="n">
        <v>2200</v>
      </c>
      <c r="P310" s="2" t="inlineStr">
        <is>
          <t>manual</t>
        </is>
      </c>
      <c r="Q310" s="2" t="inlineStr">
        <is>
          <t>no</t>
        </is>
      </c>
      <c r="R310" s="2" t="inlineStr">
        <is>
          <t>particular</t>
        </is>
      </c>
      <c r="S310" s="2" t="inlineStr">
        <is>
          <t>Valencia (46009)</t>
        </is>
      </c>
      <c r="T310" s="2" t="inlineStr">
        <is>
          <t>2026-10-23T10:41:28</t>
        </is>
      </c>
      <c r="U310" s="2" t="n">
        <v>7</v>
      </c>
      <c r="V310" s="2" t="inlineStr">
        <is>
          <t>sí</t>
        </is>
      </c>
      <c r="W310" s="2" t="n"/>
      <c r="X310" s="2" t="n"/>
      <c r="Y310" s="2" t="n"/>
      <c r="Z310" s="2" t="n"/>
      <c r="AA310" s="2" t="n"/>
      <c r="AB310" s="2" t="n"/>
      <c r="AC310" s="2" t="n"/>
      <c r="AD310" s="2" t="n"/>
      <c r="AE310" s="2" t="n"/>
      <c r="AF310" s="2" t="n"/>
      <c r="AG310" s="2" t="n"/>
      <c r="AH310" s="2" t="n"/>
      <c r="AI310" s="2" t="n"/>
      <c r="AJ310" s="2" t="n"/>
      <c r="AK310" s="2" t="n"/>
      <c r="AL310" s="2" t="n"/>
      <c r="AM310" s="2" t="n">
        <v>2.4</v>
      </c>
      <c r="AN310" s="2" t="n">
        <v>3100</v>
      </c>
      <c r="AO310" s="2" t="n">
        <v>28</v>
      </c>
      <c r="AP310" s="2" t="inlineStr">
        <is>
          <t>modelo+año</t>
        </is>
      </c>
      <c r="AQ310" s="2" t="n"/>
      <c r="AR310" s="2" t="inlineStr">
        <is>
          <t>cuota fija ITP: &gt;12 años, hasta 1.500 cc</t>
        </is>
      </c>
      <c r="AS310" s="2" t="inlineStr">
        <is>
          <t xml:space="preserve">Seat Ibiza 1.4 75 cv gasolina
ITV hasta febrero 2027
Funciona perfecto
Sin aire acondicionado 
</t>
        </is>
      </c>
      <c r="AT310" s="2" t="inlineStr">
        <is>
          <t>https://es.wallapop.com/item/seat-ibiza-2006-1316295468 (__NEXT_DATA__ item) /home/user/Alopecia/buscador-coches/raw/wallapop/585246fec61f4ea8.json</t>
        </is>
      </c>
      <c r="AU310" s="3">
        <f>MAX(ANIO_ACTUAL-M310,0)</f>
        <v/>
      </c>
      <c r="AV310" s="4">
        <f>N310/MAX(AU310,0.5)</f>
        <v/>
      </c>
      <c r="AW310" s="4">
        <f>F310</f>
        <v/>
      </c>
      <c r="AX310" s="3">
        <f>AW310&amp;"|"&amp;INT(M310/SEG_ANIO)*SEG_ANIO</f>
        <v/>
      </c>
      <c r="AY310" s="3">
        <f>AX310&amp;"|"&amp;INT(N310/SEG_KM)*SEG_KM</f>
        <v/>
      </c>
      <c r="AZ310" s="4">
        <f>COUNTIF($AW$2:$AW$662,AW310)</f>
        <v/>
      </c>
      <c r="BA310" s="4">
        <f>COUNTIF($AX$2:$AX$662,AX310)</f>
        <v/>
      </c>
      <c r="BB310" s="4">
        <f>COUNTIF($AY$2:$AY$662,AY310)</f>
        <v/>
      </c>
      <c r="BC310" s="3">
        <f t="array" ref="BC310">IF(N(AO310)&gt;=MIN_N,AN310,IF(BB310&gt;=MIN_N,MEDIAN(IF($AY$2:$AY$662=AY310,$O$2:$O$662)),IF(BA310&gt;=MIN_N,MEDIAN(IF($AX$2:$AX$662=AX310,$O$2:$O$662)),MEDIAN(IF($AW$2:$AW$662=AW310,$O$2:$O$662)))))</f>
        <v/>
      </c>
      <c r="BD310" s="3">
        <f>IF(N(AO310)&gt;=MIN_N,"mercado "&amp;AP310,IF(BB310&gt;=MIN_N,"modelo+año+km",IF(BA310&gt;=MIN_N,"modelo+año","modelo")))</f>
        <v/>
      </c>
      <c r="BE310" s="4">
        <f>(BC310-O310)/BC310</f>
        <v/>
      </c>
      <c r="BF310" s="3">
        <f>IF(OR(K310="hibrido",K310="glp"),"ECO",IF(K310="electrico","CERO",IF(K310="gasolina",IF(M310&gt;=GAS_C,"C",IF(M310&gt;=GAS_B,"B","A")),IF(K310="diesel",IF(M310&gt;=DIE_C,"C",IF(M310&gt;=DIE_B,"B","A")),""))))</f>
        <v/>
      </c>
      <c r="BG310" s="3">
        <f>IFERROR(VLOOKUP(F310,MOD_TBL,11,0),IFERROR(VLOOKUP(E310,OCU_TBL,2,0),NEUTRO))</f>
        <v/>
      </c>
      <c r="BH310" s="3">
        <f>SUMIFS(MOT_AJUSTE,MOT_MOTOR,G310,MOT_MARCA,E310,MOT_DESDE,"&lt;="&amp;M310,MOT_HASTA,"&gt;="&amp;M310)+SUMIFS(MOT_AJUSTE,MOT_MOTOR,G310,MOT_MARCA,"(todas)",MOT_DESDE,"&lt;="&amp;M310,MOT_HASTA,"&gt;="&amp;M310)</f>
        <v/>
      </c>
      <c r="BI310" s="3">
        <f>SUMIFS(COMB_AJUSTE,COMB_COMB,K310)</f>
        <v/>
      </c>
      <c r="BJ310" s="3">
        <f>COUNTIFS(MOT_MOTOR,G310,MOT_MARCA,E310,MOT_DESDE,"&lt;="&amp;M310,MOT_HASTA,"&gt;="&amp;M310)+COUNTIFS(MOT_MOTOR,G310,MOT_MARCA,"(todas)",MOT_DESDE,"&lt;="&amp;M310,MOT_HASTA,"&gt;="&amp;M310)</f>
        <v/>
      </c>
      <c r="BK310" s="3">
        <f>IF(AND(K310="diesel",BJ310=0),MIN(BG310,NEUTRO),BG310)</f>
        <v/>
      </c>
      <c r="BL310" s="4">
        <f>MAX(0,MIN(100,BK310+BH310+BI310))</f>
        <v/>
      </c>
      <c r="BM310" s="3">
        <f>MAX(0,MIN(100,50+BE310*PRECIO_PEND))</f>
        <v/>
      </c>
      <c r="BN310" s="3">
        <f>MAX(0,100*(1-N310/KM_MAX))</f>
        <v/>
      </c>
      <c r="BO310" s="3">
        <f>IF(AV310&lt;KMA_SOSP,IF(AA310="sí",100,KMA_PEN),IF(AV310&lt;=KMA_IDEAL_MAX,100,MAX(0,100*(KMA_CERO-AV310)/(KMA_CERO-KMA_IDEAL_MAX))))</f>
        <v/>
      </c>
      <c r="BP310" s="3">
        <f>MAX(0,MIN(100,100*(M310-ANIO_MIN)/(ANIO_ACTUAL-ANIO_MIN)))</f>
        <v/>
      </c>
      <c r="BQ310" s="3">
        <f>W_KMT*BN310+W_KMA*BO310+W_EDAD*BP310</f>
        <v/>
      </c>
      <c r="BR310" s="3">
        <f>P_ITV*(V310="sí")+P_LIBRO*(W310="sí")+P_CORREA*(X310="sí")+P_PROP*(Y310=1)+P_GAR*(Z310="sí")+P_FOTOS*MIN(1,N(U310)/FOTOS_OBJ)</f>
        <v/>
      </c>
      <c r="BS310" s="3">
        <f>IFERROR(VLOOKUP(BF310,ETQ_TBL,2,0),NEUTRO)</f>
        <v/>
      </c>
      <c r="BT310" s="3">
        <f>NEUTRO</f>
        <v/>
      </c>
      <c r="BU310" s="3">
        <f>IFERROR(VLOOKUP(L310,SEGURO_TBL,3,0),"")</f>
        <v/>
      </c>
      <c r="BV310" s="3">
        <f>IF(BU310="",NEUTRO,MAX(0,MIN(100,100*(SEG_REF_MAX-BU310)/(SEG_REF_MAX-SEG_REF_MIN))))</f>
        <v/>
      </c>
      <c r="BW310" s="3">
        <f>W_ET*BS310+W_CONS*BT310+W_SEG*BV310</f>
        <v/>
      </c>
      <c r="BX310" s="3">
        <f>IF(N(AB310)&gt;0,AB310,IF(AND(R310="profesional",SG_LEGAL_ON=1),GAR_LEGAL,0))</f>
        <v/>
      </c>
      <c r="BY310" s="3">
        <f>SG_GAR*MIN(1,BX310/SG_GAR_FULL)+SG_AMPL*(AC310="sí")+SG_KMC*(AF310="sí")+SG_REV*(N(AE310)&gt;0)+SG_DEV*MIN(1,N(AG310)/SG_DEV_FULL)+SG_HIST*(W310="sí")</f>
        <v/>
      </c>
      <c r="BZ310" s="3">
        <f>IFERROR(VLOOKUP(L310,CARR_PEN_TBL,2,0),0)</f>
        <v/>
      </c>
      <c r="CA310" s="3">
        <f>W_FIAB*BL310+W_PRECIO*BM310+W_KMEDAD*BQ310+W_ANUNCIO*BR310+W_USO*BW310+W_SEGURIDAD*BY310-BZ310</f>
        <v/>
      </c>
      <c r="CB310" s="4">
        <f>IF(N(I310)&gt;0,I310,IFERROR(ROUND(_xlfn.NUMBERVALUE(LEFT(G310,FIND(" ",G310&amp;" ")-1),".")*1000,0),99999))</f>
        <v/>
      </c>
      <c r="CC310" s="3">
        <f>IF(R310="profesional",0,IF(O310&lt;CUOTA_VALOR_MAX,IF(AU310&gt;ITP_TRAMO_ALTO,SUMIFS(CF_CUOTA,CF_MAS,ITP_TRAMO_ALTO,CF_CCMIN,"&lt;="&amp;CB310,CF_CCMAX,"&gt;="&amp;CB310),IF(AU310&gt;ITP_TRAMO_BAJO,SUMIFS(CF_CUOTA,CF_MAS,ITP_TRAMO_BAJO,CF_CCMIN,"&lt;="&amp;CB310,CF_CCMAX,"&gt;="&amp;CB310),O310*ITP_TIPO)),O310*ITP_TIPO))</f>
        <v/>
      </c>
      <c r="CD310" s="4">
        <f>IF(R310="profesional",N(AK310),0)</f>
        <v/>
      </c>
      <c r="CE310" s="3">
        <f>IF(AND(R310="profesional",ISNUMBER(AK310),AL310="sí"),0,TASA_DGT)</f>
        <v/>
      </c>
      <c r="CF310" s="3">
        <f>INFORME_DGT</f>
        <v/>
      </c>
      <c r="CG310" s="4">
        <f>O310+CD310+CC310+CE310+CF310</f>
        <v/>
      </c>
      <c r="CH310" s="4">
        <f>CG310+N(BU310)</f>
        <v/>
      </c>
      <c r="CI310" s="3">
        <f>IF(CG310&lt;=TOTAL_MAX,"sí",IF(CG310&lt;=TOTAL_MAX+MARGEN_NEG,"negociar","no"))</f>
        <v/>
      </c>
      <c r="CJ310" s="4">
        <f>IF(CI310&lt;&gt;"no",COUNTIFS($CI$2:$CI$662,"&lt;&gt;no",$CA$2:$CA$662,"&gt;"&amp;CA310)+COUNTIFS($CI$2:CI310,"&lt;&gt;no",$CA$2:CA310,CA310),"")</f>
        <v/>
      </c>
    </row>
    <row r="311">
      <c r="A311" s="2" t="inlineStr">
        <is>
          <t>wallapop:1316076190</t>
        </is>
      </c>
      <c r="B311" s="2" t="inlineStr">
        <is>
          <t>wallapop</t>
        </is>
      </c>
      <c r="C311" s="2" t="inlineStr">
        <is>
          <t>https://es.wallapop.com/item/seat-ibiza-2006-1316076190</t>
        </is>
      </c>
      <c r="D311" s="2" t="inlineStr">
        <is>
          <t>SEAT Ibiza 2006</t>
        </is>
      </c>
      <c r="E311" s="2" t="inlineStr">
        <is>
          <t>Seat</t>
        </is>
      </c>
      <c r="F311" s="2" t="inlineStr">
        <is>
          <t>Seat Ibiza</t>
        </is>
      </c>
      <c r="G311" s="2" t="n"/>
      <c r="H311" s="2" t="n"/>
      <c r="I311" s="2" t="n"/>
      <c r="J311" s="2" t="n"/>
      <c r="K311" s="2" t="inlineStr">
        <is>
          <t>gasolina</t>
        </is>
      </c>
      <c r="L311" s="2" t="inlineStr">
        <is>
          <t>utilitario</t>
        </is>
      </c>
      <c r="M311" s="2" t="n">
        <v>2006</v>
      </c>
      <c r="N311" s="2" t="n">
        <v>180000</v>
      </c>
      <c r="O311" s="2" t="n">
        <v>3500</v>
      </c>
      <c r="P311" s="2" t="inlineStr">
        <is>
          <t>manual</t>
        </is>
      </c>
      <c r="Q311" s="2" t="inlineStr">
        <is>
          <t>no</t>
        </is>
      </c>
      <c r="R311" s="2" t="inlineStr">
        <is>
          <t>particular</t>
        </is>
      </c>
      <c r="S311" s="2" t="inlineStr">
        <is>
          <t>Valencia (46022)</t>
        </is>
      </c>
      <c r="T311" s="2" t="inlineStr">
        <is>
          <t>2026-10-22T16:30:55</t>
        </is>
      </c>
      <c r="U311" s="2" t="n">
        <v>4</v>
      </c>
      <c r="V311" s="2" t="n"/>
      <c r="W311" s="2" t="n"/>
      <c r="X311" s="2" t="n"/>
      <c r="Y311" s="2" t="n"/>
      <c r="Z311" s="2" t="n"/>
      <c r="AA311" s="2" t="n"/>
      <c r="AB311" s="2" t="n"/>
      <c r="AC311" s="2" t="n"/>
      <c r="AD311" s="2" t="n"/>
      <c r="AE311" s="2" t="n"/>
      <c r="AF311" s="2" t="n"/>
      <c r="AG311" s="2" t="n"/>
      <c r="AH311" s="2" t="n"/>
      <c r="AI311" s="2" t="n"/>
      <c r="AJ311" s="2" t="n"/>
      <c r="AK311" s="2" t="n"/>
      <c r="AL311" s="2" t="n"/>
      <c r="AM311" s="2" t="n">
        <v>3.4</v>
      </c>
      <c r="AN311" s="2" t="n">
        <v>3750</v>
      </c>
      <c r="AO311" s="2" t="n">
        <v>8</v>
      </c>
      <c r="AP311" s="2" t="inlineStr">
        <is>
          <t>modelo+año+km</t>
        </is>
      </c>
      <c r="AQ311" s="2" t="n"/>
      <c r="AR311" s="2" t="inlineStr">
        <is>
          <t>cilindrada desconocida: se aplica el tramo de cuota fija más alto; cuota fija ITP: &gt;12 años, más de 2.000 cc</t>
        </is>
      </c>
      <c r="AS311" s="2" t="inlineStr">
        <is>
          <t xml:space="preserve">
SEAT Ibiza en Valencia</t>
        </is>
      </c>
      <c r="AT311" s="2" t="inlineStr">
        <is>
          <t>https://es.wallapop.com/item/seat-ibiza-2006-1316076190 (__NEXT_DATA__ item) /home/user/Alopecia/buscador-coches/raw/wallapop/e7cb15bdf3df9294.json</t>
        </is>
      </c>
      <c r="AU311" s="3">
        <f>MAX(ANIO_ACTUAL-M311,0)</f>
        <v/>
      </c>
      <c r="AV311" s="4">
        <f>N311/MAX(AU311,0.5)</f>
        <v/>
      </c>
      <c r="AW311" s="4">
        <f>F311</f>
        <v/>
      </c>
      <c r="AX311" s="3">
        <f>AW311&amp;"|"&amp;INT(M311/SEG_ANIO)*SEG_ANIO</f>
        <v/>
      </c>
      <c r="AY311" s="3">
        <f>AX311&amp;"|"&amp;INT(N311/SEG_KM)*SEG_KM</f>
        <v/>
      </c>
      <c r="AZ311" s="4">
        <f>COUNTIF($AW$2:$AW$662,AW311)</f>
        <v/>
      </c>
      <c r="BA311" s="4">
        <f>COUNTIF($AX$2:$AX$662,AX311)</f>
        <v/>
      </c>
      <c r="BB311" s="4">
        <f>COUNTIF($AY$2:$AY$662,AY311)</f>
        <v/>
      </c>
      <c r="BC311" s="3">
        <f t="array" ref="BC311">IF(N(AO311)&gt;=MIN_N,AN311,IF(BB311&gt;=MIN_N,MEDIAN(IF($AY$2:$AY$662=AY311,$O$2:$O$662)),IF(BA311&gt;=MIN_N,MEDIAN(IF($AX$2:$AX$662=AX311,$O$2:$O$662)),MEDIAN(IF($AW$2:$AW$662=AW311,$O$2:$O$662)))))</f>
        <v/>
      </c>
      <c r="BD311" s="3">
        <f>IF(N(AO311)&gt;=MIN_N,"mercado "&amp;AP311,IF(BB311&gt;=MIN_N,"modelo+año+km",IF(BA311&gt;=MIN_N,"modelo+año","modelo")))</f>
        <v/>
      </c>
      <c r="BE311" s="4">
        <f>(BC311-O311)/BC311</f>
        <v/>
      </c>
      <c r="BF311" s="3">
        <f>IF(OR(K311="hibrido",K311="glp"),"ECO",IF(K311="electrico","CERO",IF(K311="gasolina",IF(M311&gt;=GAS_C,"C",IF(M311&gt;=GAS_B,"B","A")),IF(K311="diesel",IF(M311&gt;=DIE_C,"C",IF(M311&gt;=DIE_B,"B","A")),""))))</f>
        <v/>
      </c>
      <c r="BG311" s="3">
        <f>IFERROR(VLOOKUP(F311,MOD_TBL,11,0),IFERROR(VLOOKUP(E311,OCU_TBL,2,0),NEUTRO))</f>
        <v/>
      </c>
      <c r="BH311" s="3">
        <f>SUMIFS(MOT_AJUSTE,MOT_MOTOR,G311,MOT_MARCA,E311,MOT_DESDE,"&lt;="&amp;M311,MOT_HASTA,"&gt;="&amp;M311)+SUMIFS(MOT_AJUSTE,MOT_MOTOR,G311,MOT_MARCA,"(todas)",MOT_DESDE,"&lt;="&amp;M311,MOT_HASTA,"&gt;="&amp;M311)</f>
        <v/>
      </c>
      <c r="BI311" s="3">
        <f>SUMIFS(COMB_AJUSTE,COMB_COMB,K311)</f>
        <v/>
      </c>
      <c r="BJ311" s="3">
        <f>COUNTIFS(MOT_MOTOR,G311,MOT_MARCA,E311,MOT_DESDE,"&lt;="&amp;M311,MOT_HASTA,"&gt;="&amp;M311)+COUNTIFS(MOT_MOTOR,G311,MOT_MARCA,"(todas)",MOT_DESDE,"&lt;="&amp;M311,MOT_HASTA,"&gt;="&amp;M311)</f>
        <v/>
      </c>
      <c r="BK311" s="3">
        <f>IF(AND(K311="diesel",BJ311=0),MIN(BG311,NEUTRO),BG311)</f>
        <v/>
      </c>
      <c r="BL311" s="4">
        <f>MAX(0,MIN(100,BK311+BH311+BI311))</f>
        <v/>
      </c>
      <c r="BM311" s="3">
        <f>MAX(0,MIN(100,50+BE311*PRECIO_PEND))</f>
        <v/>
      </c>
      <c r="BN311" s="3">
        <f>MAX(0,100*(1-N311/KM_MAX))</f>
        <v/>
      </c>
      <c r="BO311" s="3">
        <f>IF(AV311&lt;KMA_SOSP,IF(AA311="sí",100,KMA_PEN),IF(AV311&lt;=KMA_IDEAL_MAX,100,MAX(0,100*(KMA_CERO-AV311)/(KMA_CERO-KMA_IDEAL_MAX))))</f>
        <v/>
      </c>
      <c r="BP311" s="3">
        <f>MAX(0,MIN(100,100*(M311-ANIO_MIN)/(ANIO_ACTUAL-ANIO_MIN)))</f>
        <v/>
      </c>
      <c r="BQ311" s="3">
        <f>W_KMT*BN311+W_KMA*BO311+W_EDAD*BP311</f>
        <v/>
      </c>
      <c r="BR311" s="3">
        <f>P_ITV*(V311="sí")+P_LIBRO*(W311="sí")+P_CORREA*(X311="sí")+P_PROP*(Y311=1)+P_GAR*(Z311="sí")+P_FOTOS*MIN(1,N(U311)/FOTOS_OBJ)</f>
        <v/>
      </c>
      <c r="BS311" s="3">
        <f>IFERROR(VLOOKUP(BF311,ETQ_TBL,2,0),NEUTRO)</f>
        <v/>
      </c>
      <c r="BT311" s="3">
        <f>NEUTRO</f>
        <v/>
      </c>
      <c r="BU311" s="3">
        <f>IFERROR(VLOOKUP(L311,SEGURO_TBL,3,0),"")</f>
        <v/>
      </c>
      <c r="BV311" s="3">
        <f>IF(BU311="",NEUTRO,MAX(0,MIN(100,100*(SEG_REF_MAX-BU311)/(SEG_REF_MAX-SEG_REF_MIN))))</f>
        <v/>
      </c>
      <c r="BW311" s="3">
        <f>W_ET*BS311+W_CONS*BT311+W_SEG*BV311</f>
        <v/>
      </c>
      <c r="BX311" s="3">
        <f>IF(N(AB311)&gt;0,AB311,IF(AND(R311="profesional",SG_LEGAL_ON=1),GAR_LEGAL,0))</f>
        <v/>
      </c>
      <c r="BY311" s="3">
        <f>SG_GAR*MIN(1,BX311/SG_GAR_FULL)+SG_AMPL*(AC311="sí")+SG_KMC*(AF311="sí")+SG_REV*(N(AE311)&gt;0)+SG_DEV*MIN(1,N(AG311)/SG_DEV_FULL)+SG_HIST*(W311="sí")</f>
        <v/>
      </c>
      <c r="BZ311" s="3">
        <f>IFERROR(VLOOKUP(L311,CARR_PEN_TBL,2,0),0)</f>
        <v/>
      </c>
      <c r="CA311" s="3">
        <f>W_FIAB*BL311+W_PRECIO*BM311+W_KMEDAD*BQ311+W_ANUNCIO*BR311+W_USO*BW311+W_SEGURIDAD*BY311-BZ311</f>
        <v/>
      </c>
      <c r="CB311" s="4">
        <f>IF(N(I311)&gt;0,I311,IFERROR(ROUND(_xlfn.NUMBERVALUE(LEFT(G311,FIND(" ",G311&amp;" ")-1),".")*1000,0),99999))</f>
        <v/>
      </c>
      <c r="CC311" s="3">
        <f>IF(R311="profesional",0,IF(O311&lt;CUOTA_VALOR_MAX,IF(AU311&gt;ITP_TRAMO_ALTO,SUMIFS(CF_CUOTA,CF_MAS,ITP_TRAMO_ALTO,CF_CCMIN,"&lt;="&amp;CB311,CF_CCMAX,"&gt;="&amp;CB311),IF(AU311&gt;ITP_TRAMO_BAJO,SUMIFS(CF_CUOTA,CF_MAS,ITP_TRAMO_BAJO,CF_CCMIN,"&lt;="&amp;CB311,CF_CCMAX,"&gt;="&amp;CB311),O311*ITP_TIPO)),O311*ITP_TIPO))</f>
        <v/>
      </c>
      <c r="CD311" s="4">
        <f>IF(R311="profesional",N(AK311),0)</f>
        <v/>
      </c>
      <c r="CE311" s="3">
        <f>IF(AND(R311="profesional",ISNUMBER(AK311),AL311="sí"),0,TASA_DGT)</f>
        <v/>
      </c>
      <c r="CF311" s="3">
        <f>INFORME_DGT</f>
        <v/>
      </c>
      <c r="CG311" s="4">
        <f>O311+CD311+CC311+CE311+CF311</f>
        <v/>
      </c>
      <c r="CH311" s="4">
        <f>CG311+N(BU311)</f>
        <v/>
      </c>
      <c r="CI311" s="3">
        <f>IF(CG311&lt;=TOTAL_MAX,"sí",IF(CG311&lt;=TOTAL_MAX+MARGEN_NEG,"negociar","no"))</f>
        <v/>
      </c>
      <c r="CJ311" s="4">
        <f>IF(CI311&lt;&gt;"no",COUNTIFS($CI$2:$CI$662,"&lt;&gt;no",$CA$2:$CA$662,"&gt;"&amp;CA311)+COUNTIFS($CI$2:CI311,"&lt;&gt;no",$CA$2:CA311,CA311),"")</f>
        <v/>
      </c>
    </row>
    <row r="312">
      <c r="A312" s="2" t="inlineStr">
        <is>
          <t>wallapop:1306122565</t>
        </is>
      </c>
      <c r="B312" s="2" t="inlineStr">
        <is>
          <t>wallapop</t>
        </is>
      </c>
      <c r="C312" s="2" t="inlineStr">
        <is>
          <t>https://es.wallapop.com/item/seat-ibiza-2008-1306122565</t>
        </is>
      </c>
      <c r="D312" s="2" t="inlineStr">
        <is>
          <t>SEAT Ibiza 2008</t>
        </is>
      </c>
      <c r="E312" s="2" t="inlineStr">
        <is>
          <t>Seat</t>
        </is>
      </c>
      <c r="F312" s="2" t="inlineStr">
        <is>
          <t>Seat Ibiza</t>
        </is>
      </c>
      <c r="G312" s="2" t="inlineStr">
        <is>
          <t>1.9 TDI</t>
        </is>
      </c>
      <c r="H312" s="2" t="inlineStr">
        <is>
          <t>1.9 TDI 105 REFERENCE 5p DPF MY09</t>
        </is>
      </c>
      <c r="I312" s="2" t="n"/>
      <c r="J312" s="2" t="n">
        <v>105</v>
      </c>
      <c r="K312" s="2" t="inlineStr">
        <is>
          <t>diesel</t>
        </is>
      </c>
      <c r="L312" s="2" t="inlineStr">
        <is>
          <t>utilitario</t>
        </is>
      </c>
      <c r="M312" s="2" t="n">
        <v>2008</v>
      </c>
      <c r="N312" s="2" t="n">
        <v>207000</v>
      </c>
      <c r="O312" s="2" t="n">
        <v>4000</v>
      </c>
      <c r="P312" s="2" t="inlineStr">
        <is>
          <t>manual</t>
        </is>
      </c>
      <c r="Q312" s="2" t="inlineStr">
        <is>
          <t>no</t>
        </is>
      </c>
      <c r="R312" s="2" t="inlineStr">
        <is>
          <t>particular</t>
        </is>
      </c>
      <c r="S312" s="2" t="inlineStr">
        <is>
          <t>Paterna (46980)</t>
        </is>
      </c>
      <c r="T312" s="2" t="inlineStr">
        <is>
          <t>2026-10-28T12:25:54</t>
        </is>
      </c>
      <c r="U312" s="2" t="n">
        <v>9</v>
      </c>
      <c r="V312" s="2" t="inlineStr">
        <is>
          <t>sí</t>
        </is>
      </c>
      <c r="W312" s="2" t="n"/>
      <c r="X312" s="2" t="n"/>
      <c r="Y312" s="2" t="n"/>
      <c r="Z312" s="2" t="n"/>
      <c r="AA312" s="2" t="n"/>
      <c r="AB312" s="2" t="n"/>
      <c r="AC312" s="2" t="n"/>
      <c r="AD312" s="2" t="n"/>
      <c r="AE312" s="2" t="n"/>
      <c r="AF312" s="2" t="n"/>
      <c r="AG312" s="2" t="n"/>
      <c r="AH312" s="2" t="n"/>
      <c r="AI312" s="2" t="n"/>
      <c r="AJ312" s="2" t="n"/>
      <c r="AK312" s="2" t="n"/>
      <c r="AL312" s="2" t="n"/>
      <c r="AM312" s="2" t="n">
        <v>6.8</v>
      </c>
      <c r="AN312" s="2" t="n">
        <v>3100</v>
      </c>
      <c r="AO312" s="2" t="n">
        <v>10</v>
      </c>
      <c r="AP312" s="2" t="inlineStr">
        <is>
          <t>modelo+año+km</t>
        </is>
      </c>
      <c r="AQ312" s="2" t="n"/>
      <c r="AR312" s="2" t="inlineStr">
        <is>
          <t>cuota fija ITP: &gt;12 años, 1.501-2.000 cc; diésel: motor sin fuente de fiabilidad (fiabilidad limitada a neutra)</t>
        </is>
      </c>
      <c r="AS312" s="2" t="inlineStr">
        <is>
          <t xml:space="preserve">LEER BIEN 
Itv recien pasada sin fallos.
Algo negociable, abstenerse a ofertas absurdas y mareantes.
Lo utilizo diariamente.
Tiene hecho el embrague entero reciente.
Aceite y filtros le quedan 3 mil kilómetros.
Y los 4 neumáticos entre 80/90%
Le suena un poco el turbo, pero el coche funciona perfectamente
De pintura hay que mimarlo un poco, duerme en la calle. 
Ver y probar 
</t>
        </is>
      </c>
      <c r="AT312" s="2" t="inlineStr">
        <is>
          <t>https://es.wallapop.com/item/seat-ibiza-2008-1306122565 (__NEXT_DATA__ item) /home/user/Alopecia/buscador-coches/raw/wallapop/d5cefc2b4c98b1fa.json</t>
        </is>
      </c>
      <c r="AU312" s="3">
        <f>MAX(ANIO_ACTUAL-M312,0)</f>
        <v/>
      </c>
      <c r="AV312" s="4">
        <f>N312/MAX(AU312,0.5)</f>
        <v/>
      </c>
      <c r="AW312" s="4">
        <f>F312</f>
        <v/>
      </c>
      <c r="AX312" s="3">
        <f>AW312&amp;"|"&amp;INT(M312/SEG_ANIO)*SEG_ANIO</f>
        <v/>
      </c>
      <c r="AY312" s="3">
        <f>AX312&amp;"|"&amp;INT(N312/SEG_KM)*SEG_KM</f>
        <v/>
      </c>
      <c r="AZ312" s="4">
        <f>COUNTIF($AW$2:$AW$662,AW312)</f>
        <v/>
      </c>
      <c r="BA312" s="4">
        <f>COUNTIF($AX$2:$AX$662,AX312)</f>
        <v/>
      </c>
      <c r="BB312" s="4">
        <f>COUNTIF($AY$2:$AY$662,AY312)</f>
        <v/>
      </c>
      <c r="BC312" s="3">
        <f t="array" ref="BC312">IF(N(AO312)&gt;=MIN_N,AN312,IF(BB312&gt;=MIN_N,MEDIAN(IF($AY$2:$AY$662=AY312,$O$2:$O$662)),IF(BA312&gt;=MIN_N,MEDIAN(IF($AX$2:$AX$662=AX312,$O$2:$O$662)),MEDIAN(IF($AW$2:$AW$662=AW312,$O$2:$O$662)))))</f>
        <v/>
      </c>
      <c r="BD312" s="3">
        <f>IF(N(AO312)&gt;=MIN_N,"mercado "&amp;AP312,IF(BB312&gt;=MIN_N,"modelo+año+km",IF(BA312&gt;=MIN_N,"modelo+año","modelo")))</f>
        <v/>
      </c>
      <c r="BE312" s="4">
        <f>(BC312-O312)/BC312</f>
        <v/>
      </c>
      <c r="BF312" s="3">
        <f>IF(OR(K312="hibrido",K312="glp"),"ECO",IF(K312="electrico","CERO",IF(K312="gasolina",IF(M312&gt;=GAS_C,"C",IF(M312&gt;=GAS_B,"B","A")),IF(K312="diesel",IF(M312&gt;=DIE_C,"C",IF(M312&gt;=DIE_B,"B","A")),""))))</f>
        <v/>
      </c>
      <c r="BG312" s="3">
        <f>IFERROR(VLOOKUP(F312,MOD_TBL,11,0),IFERROR(VLOOKUP(E312,OCU_TBL,2,0),NEUTRO))</f>
        <v/>
      </c>
      <c r="BH312" s="3">
        <f>SUMIFS(MOT_AJUSTE,MOT_MOTOR,G312,MOT_MARCA,E312,MOT_DESDE,"&lt;="&amp;M312,MOT_HASTA,"&gt;="&amp;M312)+SUMIFS(MOT_AJUSTE,MOT_MOTOR,G312,MOT_MARCA,"(todas)",MOT_DESDE,"&lt;="&amp;M312,MOT_HASTA,"&gt;="&amp;M312)</f>
        <v/>
      </c>
      <c r="BI312" s="3">
        <f>SUMIFS(COMB_AJUSTE,COMB_COMB,K312)</f>
        <v/>
      </c>
      <c r="BJ312" s="3">
        <f>COUNTIFS(MOT_MOTOR,G312,MOT_MARCA,E312,MOT_DESDE,"&lt;="&amp;M312,MOT_HASTA,"&gt;="&amp;M312)+COUNTIFS(MOT_MOTOR,G312,MOT_MARCA,"(todas)",MOT_DESDE,"&lt;="&amp;M312,MOT_HASTA,"&gt;="&amp;M312)</f>
        <v/>
      </c>
      <c r="BK312" s="3">
        <f>IF(AND(K312="diesel",BJ312=0),MIN(BG312,NEUTRO),BG312)</f>
        <v/>
      </c>
      <c r="BL312" s="4">
        <f>MAX(0,MIN(100,BK312+BH312+BI312))</f>
        <v/>
      </c>
      <c r="BM312" s="3">
        <f>MAX(0,MIN(100,50+BE312*PRECIO_PEND))</f>
        <v/>
      </c>
      <c r="BN312" s="3">
        <f>MAX(0,100*(1-N312/KM_MAX))</f>
        <v/>
      </c>
      <c r="BO312" s="3">
        <f>IF(AV312&lt;KMA_SOSP,IF(AA312="sí",100,KMA_PEN),IF(AV312&lt;=KMA_IDEAL_MAX,100,MAX(0,100*(KMA_CERO-AV312)/(KMA_CERO-KMA_IDEAL_MAX))))</f>
        <v/>
      </c>
      <c r="BP312" s="3">
        <f>MAX(0,MIN(100,100*(M312-ANIO_MIN)/(ANIO_ACTUAL-ANIO_MIN)))</f>
        <v/>
      </c>
      <c r="BQ312" s="3">
        <f>W_KMT*BN312+W_KMA*BO312+W_EDAD*BP312</f>
        <v/>
      </c>
      <c r="BR312" s="3">
        <f>P_ITV*(V312="sí")+P_LIBRO*(W312="sí")+P_CORREA*(X312="sí")+P_PROP*(Y312=1)+P_GAR*(Z312="sí")+P_FOTOS*MIN(1,N(U312)/FOTOS_OBJ)</f>
        <v/>
      </c>
      <c r="BS312" s="3">
        <f>IFERROR(VLOOKUP(BF312,ETQ_TBL,2,0),NEUTRO)</f>
        <v/>
      </c>
      <c r="BT312" s="3">
        <f>NEUTRO</f>
        <v/>
      </c>
      <c r="BU312" s="3">
        <f>IFERROR(VLOOKUP(L312,SEGURO_TBL,3,0),"")</f>
        <v/>
      </c>
      <c r="BV312" s="3">
        <f>IF(BU312="",NEUTRO,MAX(0,MIN(100,100*(SEG_REF_MAX-BU312)/(SEG_REF_MAX-SEG_REF_MIN))))</f>
        <v/>
      </c>
      <c r="BW312" s="3">
        <f>W_ET*BS312+W_CONS*BT312+W_SEG*BV312</f>
        <v/>
      </c>
      <c r="BX312" s="3">
        <f>IF(N(AB312)&gt;0,AB312,IF(AND(R312="profesional",SG_LEGAL_ON=1),GAR_LEGAL,0))</f>
        <v/>
      </c>
      <c r="BY312" s="3">
        <f>SG_GAR*MIN(1,BX312/SG_GAR_FULL)+SG_AMPL*(AC312="sí")+SG_KMC*(AF312="sí")+SG_REV*(N(AE312)&gt;0)+SG_DEV*MIN(1,N(AG312)/SG_DEV_FULL)+SG_HIST*(W312="sí")</f>
        <v/>
      </c>
      <c r="BZ312" s="3">
        <f>IFERROR(VLOOKUP(L312,CARR_PEN_TBL,2,0),0)</f>
        <v/>
      </c>
      <c r="CA312" s="3">
        <f>W_FIAB*BL312+W_PRECIO*BM312+W_KMEDAD*BQ312+W_ANUNCIO*BR312+W_USO*BW312+W_SEGURIDAD*BY312-BZ312</f>
        <v/>
      </c>
      <c r="CB312" s="4">
        <f>IF(N(I312)&gt;0,I312,IFERROR(ROUND(_xlfn.NUMBERVALUE(LEFT(G312,FIND(" ",G312&amp;" ")-1),".")*1000,0),99999))</f>
        <v/>
      </c>
      <c r="CC312" s="3">
        <f>IF(R312="profesional",0,IF(O312&lt;CUOTA_VALOR_MAX,IF(AU312&gt;ITP_TRAMO_ALTO,SUMIFS(CF_CUOTA,CF_MAS,ITP_TRAMO_ALTO,CF_CCMIN,"&lt;="&amp;CB312,CF_CCMAX,"&gt;="&amp;CB312),IF(AU312&gt;ITP_TRAMO_BAJO,SUMIFS(CF_CUOTA,CF_MAS,ITP_TRAMO_BAJO,CF_CCMIN,"&lt;="&amp;CB312,CF_CCMAX,"&gt;="&amp;CB312),O312*ITP_TIPO)),O312*ITP_TIPO))</f>
        <v/>
      </c>
      <c r="CD312" s="4">
        <f>IF(R312="profesional",N(AK312),0)</f>
        <v/>
      </c>
      <c r="CE312" s="3">
        <f>IF(AND(R312="profesional",ISNUMBER(AK312),AL312="sí"),0,TASA_DGT)</f>
        <v/>
      </c>
      <c r="CF312" s="3">
        <f>INFORME_DGT</f>
        <v/>
      </c>
      <c r="CG312" s="4">
        <f>O312+CD312+CC312+CE312+CF312</f>
        <v/>
      </c>
      <c r="CH312" s="4">
        <f>CG312+N(BU312)</f>
        <v/>
      </c>
      <c r="CI312" s="3">
        <f>IF(CG312&lt;=TOTAL_MAX,"sí",IF(CG312&lt;=TOTAL_MAX+MARGEN_NEG,"negociar","no"))</f>
        <v/>
      </c>
      <c r="CJ312" s="4">
        <f>IF(CI312&lt;&gt;"no",COUNTIFS($CI$2:$CI$662,"&lt;&gt;no",$CA$2:$CA$662,"&gt;"&amp;CA312)+COUNTIFS($CI$2:CI312,"&lt;&gt;no",$CA$2:CA312,CA312),"")</f>
        <v/>
      </c>
    </row>
    <row r="313">
      <c r="A313" s="2" t="inlineStr">
        <is>
          <t>wallapop:1318819738</t>
        </is>
      </c>
      <c r="B313" s="2" t="inlineStr">
        <is>
          <t>wallapop</t>
        </is>
      </c>
      <c r="C313" s="2" t="inlineStr">
        <is>
          <t>https://es.wallapop.com/item/seat-leon-2010-1318819738</t>
        </is>
      </c>
      <c r="D313" s="2" t="inlineStr">
        <is>
          <t>SEAT Leon 2010</t>
        </is>
      </c>
      <c r="E313" s="2" t="inlineStr">
        <is>
          <t>Seat</t>
        </is>
      </c>
      <c r="F313" s="2" t="inlineStr">
        <is>
          <t>Seat León</t>
        </is>
      </c>
      <c r="G313" s="2" t="inlineStr">
        <is>
          <t>1.6 TDI</t>
        </is>
      </c>
      <c r="H313" s="2" t="inlineStr">
        <is>
          <t>1.6 TDI 105 Reference 5p</t>
        </is>
      </c>
      <c r="I313" s="2" t="n"/>
      <c r="J313" s="2" t="n">
        <v>105</v>
      </c>
      <c r="K313" s="2" t="inlineStr">
        <is>
          <t>diesel</t>
        </is>
      </c>
      <c r="L313" s="2" t="inlineStr">
        <is>
          <t>compacto</t>
        </is>
      </c>
      <c r="M313" s="2" t="n">
        <v>2010</v>
      </c>
      <c r="N313" s="2" t="n">
        <v>190000</v>
      </c>
      <c r="O313" s="2" t="n">
        <v>4900</v>
      </c>
      <c r="P313" s="2" t="inlineStr">
        <is>
          <t>manual</t>
        </is>
      </c>
      <c r="Q313" s="2" t="inlineStr">
        <is>
          <t>no</t>
        </is>
      </c>
      <c r="R313" s="2" t="inlineStr">
        <is>
          <t>particular</t>
        </is>
      </c>
      <c r="S313" s="2" t="inlineStr">
        <is>
          <t>Valencia (46006)</t>
        </is>
      </c>
      <c r="T313" s="2" t="inlineStr">
        <is>
          <t>2026-10-30T16:00:00</t>
        </is>
      </c>
      <c r="U313" s="2" t="n">
        <v>10</v>
      </c>
      <c r="V313" s="2" t="n"/>
      <c r="W313" s="2" t="inlineStr">
        <is>
          <t>sí</t>
        </is>
      </c>
      <c r="X313" s="2" t="n"/>
      <c r="Y313" s="2" t="n"/>
      <c r="Z313" s="2" t="n"/>
      <c r="AA313" s="2" t="n"/>
      <c r="AB313" s="2" t="n"/>
      <c r="AC313" s="2" t="n"/>
      <c r="AD313" s="2" t="n"/>
      <c r="AE313" s="2" t="n"/>
      <c r="AF313" s="2" t="n"/>
      <c r="AG313" s="2" t="n"/>
      <c r="AH313" s="2" t="n"/>
      <c r="AI313" s="2" t="n"/>
      <c r="AJ313" s="2" t="n"/>
      <c r="AK313" s="2" t="n"/>
      <c r="AL313" s="2" t="n"/>
      <c r="AM313" s="2" t="n">
        <v>2</v>
      </c>
      <c r="AN313" s="2" t="n">
        <v>5300</v>
      </c>
      <c r="AO313" s="2" t="n">
        <v>5</v>
      </c>
      <c r="AP313" s="2" t="inlineStr">
        <is>
          <t>modelo+año+km</t>
        </is>
      </c>
      <c r="AQ313" s="2" t="n"/>
      <c r="AR313" s="2" t="inlineStr">
        <is>
          <t>por encima del presupuesto (5024 €), negociar; cuota fija ITP: &gt;12 años, 1.501-2.000 cc</t>
        </is>
      </c>
      <c r="AS313" s="2" t="inlineStr">
        <is>
          <t>📞TLF 677293187 Contactar Por Tlf 📞
Seat León 1.6TDI 105cv Bajo Consumo, En Buen Estado Se Compró Nuevo, Libro de Mantenimiento En Casa Oficial. Todos Los Extras Techo Paronamico Luces de Xenon, Sensor de aparcamiento.</t>
        </is>
      </c>
      <c r="AT313" s="2" t="inlineStr">
        <is>
          <t>https://es.wallapop.com/item/seat-leon-2010-1318819738 (__NEXT_DATA__ item) /home/user/Alopecia/buscador-coches/raw/wallapop/d07c3bee3231c609.json</t>
        </is>
      </c>
      <c r="AU313" s="3">
        <f>MAX(ANIO_ACTUAL-M313,0)</f>
        <v/>
      </c>
      <c r="AV313" s="4">
        <f>N313/MAX(AU313,0.5)</f>
        <v/>
      </c>
      <c r="AW313" s="4">
        <f>F313</f>
        <v/>
      </c>
      <c r="AX313" s="3">
        <f>AW313&amp;"|"&amp;INT(M313/SEG_ANIO)*SEG_ANIO</f>
        <v/>
      </c>
      <c r="AY313" s="3">
        <f>AX313&amp;"|"&amp;INT(N313/SEG_KM)*SEG_KM</f>
        <v/>
      </c>
      <c r="AZ313" s="4">
        <f>COUNTIF($AW$2:$AW$662,AW313)</f>
        <v/>
      </c>
      <c r="BA313" s="4">
        <f>COUNTIF($AX$2:$AX$662,AX313)</f>
        <v/>
      </c>
      <c r="BB313" s="4">
        <f>COUNTIF($AY$2:$AY$662,AY313)</f>
        <v/>
      </c>
      <c r="BC313" s="3">
        <f t="array" ref="BC313">IF(N(AO313)&gt;=MIN_N,AN313,IF(BB313&gt;=MIN_N,MEDIAN(IF($AY$2:$AY$662=AY313,$O$2:$O$662)),IF(BA313&gt;=MIN_N,MEDIAN(IF($AX$2:$AX$662=AX313,$O$2:$O$662)),MEDIAN(IF($AW$2:$AW$662=AW313,$O$2:$O$662)))))</f>
        <v/>
      </c>
      <c r="BD313" s="3">
        <f>IF(N(AO313)&gt;=MIN_N,"mercado "&amp;AP313,IF(BB313&gt;=MIN_N,"modelo+año+km",IF(BA313&gt;=MIN_N,"modelo+año","modelo")))</f>
        <v/>
      </c>
      <c r="BE313" s="4">
        <f>(BC313-O313)/BC313</f>
        <v/>
      </c>
      <c r="BF313" s="3">
        <f>IF(OR(K313="hibrido",K313="glp"),"ECO",IF(K313="electrico","CERO",IF(K313="gasolina",IF(M313&gt;=GAS_C,"C",IF(M313&gt;=GAS_B,"B","A")),IF(K313="diesel",IF(M313&gt;=DIE_C,"C",IF(M313&gt;=DIE_B,"B","A")),""))))</f>
        <v/>
      </c>
      <c r="BG313" s="3">
        <f>IFERROR(VLOOKUP(F313,MOD_TBL,11,0),IFERROR(VLOOKUP(E313,OCU_TBL,2,0),NEUTRO))</f>
        <v/>
      </c>
      <c r="BH313" s="3">
        <f>SUMIFS(MOT_AJUSTE,MOT_MOTOR,G313,MOT_MARCA,E313,MOT_DESDE,"&lt;="&amp;M313,MOT_HASTA,"&gt;="&amp;M313)+SUMIFS(MOT_AJUSTE,MOT_MOTOR,G313,MOT_MARCA,"(todas)",MOT_DESDE,"&lt;="&amp;M313,MOT_HASTA,"&gt;="&amp;M313)</f>
        <v/>
      </c>
      <c r="BI313" s="3">
        <f>SUMIFS(COMB_AJUSTE,COMB_COMB,K313)</f>
        <v/>
      </c>
      <c r="BJ313" s="3">
        <f>COUNTIFS(MOT_MOTOR,G313,MOT_MARCA,E313,MOT_DESDE,"&lt;="&amp;M313,MOT_HASTA,"&gt;="&amp;M313)+COUNTIFS(MOT_MOTOR,G313,MOT_MARCA,"(todas)",MOT_DESDE,"&lt;="&amp;M313,MOT_HASTA,"&gt;="&amp;M313)</f>
        <v/>
      </c>
      <c r="BK313" s="3">
        <f>IF(AND(K313="diesel",BJ313=0),MIN(BG313,NEUTRO),BG313)</f>
        <v/>
      </c>
      <c r="BL313" s="4">
        <f>MAX(0,MIN(100,BK313+BH313+BI313))</f>
        <v/>
      </c>
      <c r="BM313" s="3">
        <f>MAX(0,MIN(100,50+BE313*PRECIO_PEND))</f>
        <v/>
      </c>
      <c r="BN313" s="3">
        <f>MAX(0,100*(1-N313/KM_MAX))</f>
        <v/>
      </c>
      <c r="BO313" s="3">
        <f>IF(AV313&lt;KMA_SOSP,IF(AA313="sí",100,KMA_PEN),IF(AV313&lt;=KMA_IDEAL_MAX,100,MAX(0,100*(KMA_CERO-AV313)/(KMA_CERO-KMA_IDEAL_MAX))))</f>
        <v/>
      </c>
      <c r="BP313" s="3">
        <f>MAX(0,MIN(100,100*(M313-ANIO_MIN)/(ANIO_ACTUAL-ANIO_MIN)))</f>
        <v/>
      </c>
      <c r="BQ313" s="3">
        <f>W_KMT*BN313+W_KMA*BO313+W_EDAD*BP313</f>
        <v/>
      </c>
      <c r="BR313" s="3">
        <f>P_ITV*(V313="sí")+P_LIBRO*(W313="sí")+P_CORREA*(X313="sí")+P_PROP*(Y313=1)+P_GAR*(Z313="sí")+P_FOTOS*MIN(1,N(U313)/FOTOS_OBJ)</f>
        <v/>
      </c>
      <c r="BS313" s="3">
        <f>IFERROR(VLOOKUP(BF313,ETQ_TBL,2,0),NEUTRO)</f>
        <v/>
      </c>
      <c r="BT313" s="3">
        <f>NEUTRO</f>
        <v/>
      </c>
      <c r="BU313" s="3">
        <f>IFERROR(VLOOKUP(L313,SEGURO_TBL,3,0),"")</f>
        <v/>
      </c>
      <c r="BV313" s="3">
        <f>IF(BU313="",NEUTRO,MAX(0,MIN(100,100*(SEG_REF_MAX-BU313)/(SEG_REF_MAX-SEG_REF_MIN))))</f>
        <v/>
      </c>
      <c r="BW313" s="3">
        <f>W_ET*BS313+W_CONS*BT313+W_SEG*BV313</f>
        <v/>
      </c>
      <c r="BX313" s="3">
        <f>IF(N(AB313)&gt;0,AB313,IF(AND(R313="profesional",SG_LEGAL_ON=1),GAR_LEGAL,0))</f>
        <v/>
      </c>
      <c r="BY313" s="3">
        <f>SG_GAR*MIN(1,BX313/SG_GAR_FULL)+SG_AMPL*(AC313="sí")+SG_KMC*(AF313="sí")+SG_REV*(N(AE313)&gt;0)+SG_DEV*MIN(1,N(AG313)/SG_DEV_FULL)+SG_HIST*(W313="sí")</f>
        <v/>
      </c>
      <c r="BZ313" s="3">
        <f>IFERROR(VLOOKUP(L313,CARR_PEN_TBL,2,0),0)</f>
        <v/>
      </c>
      <c r="CA313" s="3">
        <f>W_FIAB*BL313+W_PRECIO*BM313+W_KMEDAD*BQ313+W_ANUNCIO*BR313+W_USO*BW313+W_SEGURIDAD*BY313-BZ313</f>
        <v/>
      </c>
      <c r="CB313" s="4">
        <f>IF(N(I313)&gt;0,I313,IFERROR(ROUND(_xlfn.NUMBERVALUE(LEFT(G313,FIND(" ",G313&amp;" ")-1),".")*1000,0),99999))</f>
        <v/>
      </c>
      <c r="CC313" s="3">
        <f>IF(R313="profesional",0,IF(O313&lt;CUOTA_VALOR_MAX,IF(AU313&gt;ITP_TRAMO_ALTO,SUMIFS(CF_CUOTA,CF_MAS,ITP_TRAMO_ALTO,CF_CCMIN,"&lt;="&amp;CB313,CF_CCMAX,"&gt;="&amp;CB313),IF(AU313&gt;ITP_TRAMO_BAJO,SUMIFS(CF_CUOTA,CF_MAS,ITP_TRAMO_BAJO,CF_CCMIN,"&lt;="&amp;CB313,CF_CCMAX,"&gt;="&amp;CB313),O313*ITP_TIPO)),O313*ITP_TIPO))</f>
        <v/>
      </c>
      <c r="CD313" s="4">
        <f>IF(R313="profesional",N(AK313),0)</f>
        <v/>
      </c>
      <c r="CE313" s="3">
        <f>IF(AND(R313="profesional",ISNUMBER(AK313),AL313="sí"),0,TASA_DGT)</f>
        <v/>
      </c>
      <c r="CF313" s="3">
        <f>INFORME_DGT</f>
        <v/>
      </c>
      <c r="CG313" s="4">
        <f>O313+CD313+CC313+CE313+CF313</f>
        <v/>
      </c>
      <c r="CH313" s="4">
        <f>CG313+N(BU313)</f>
        <v/>
      </c>
      <c r="CI313" s="3">
        <f>IF(CG313&lt;=TOTAL_MAX,"sí",IF(CG313&lt;=TOTAL_MAX+MARGEN_NEG,"negociar","no"))</f>
        <v/>
      </c>
      <c r="CJ313" s="4">
        <f>IF(CI313&lt;&gt;"no",COUNTIFS($CI$2:$CI$662,"&lt;&gt;no",$CA$2:$CA$662,"&gt;"&amp;CA313)+COUNTIFS($CI$2:CI313,"&lt;&gt;no",$CA$2:CA313,CA313),"")</f>
        <v/>
      </c>
    </row>
    <row r="314">
      <c r="A314" s="2" t="inlineStr">
        <is>
          <t>wallapop:1316858354</t>
        </is>
      </c>
      <c r="B314" s="2" t="inlineStr">
        <is>
          <t>wallapop</t>
        </is>
      </c>
      <c r="C314" s="2" t="inlineStr">
        <is>
          <t>https://es.wallapop.com/item/seat-leon-2006-1316858354</t>
        </is>
      </c>
      <c r="D314" s="2" t="inlineStr">
        <is>
          <t>SEAT Leon 2006</t>
        </is>
      </c>
      <c r="E314" s="2" t="inlineStr">
        <is>
          <t>Seat</t>
        </is>
      </c>
      <c r="F314" s="2" t="inlineStr">
        <is>
          <t>Seat León</t>
        </is>
      </c>
      <c r="G314" s="2" t="inlineStr">
        <is>
          <t>1.9 TDI</t>
        </is>
      </c>
      <c r="H314" s="2" t="inlineStr">
        <is>
          <t>1.9 TDI 105 Reference 5p</t>
        </is>
      </c>
      <c r="I314" s="2" t="n"/>
      <c r="J314" s="2" t="n">
        <v>105</v>
      </c>
      <c r="K314" s="2" t="inlineStr">
        <is>
          <t>diesel</t>
        </is>
      </c>
      <c r="L314" s="2" t="inlineStr">
        <is>
          <t>compacto</t>
        </is>
      </c>
      <c r="M314" s="2" t="n">
        <v>2006</v>
      </c>
      <c r="N314" s="2" t="n">
        <v>33000</v>
      </c>
      <c r="O314" s="2" t="n">
        <v>3700</v>
      </c>
      <c r="P314" s="2" t="inlineStr">
        <is>
          <t>manual</t>
        </is>
      </c>
      <c r="Q314" s="2" t="inlineStr">
        <is>
          <t>no</t>
        </is>
      </c>
      <c r="R314" s="2" t="inlineStr">
        <is>
          <t>particular</t>
        </is>
      </c>
      <c r="S314" s="2" t="inlineStr">
        <is>
          <t>Valencia (46003)</t>
        </is>
      </c>
      <c r="T314" s="2" t="inlineStr">
        <is>
          <t>2026-10-24T23:25:06</t>
        </is>
      </c>
      <c r="U314" s="2" t="n">
        <v>8</v>
      </c>
      <c r="V314" s="2" t="n"/>
      <c r="W314" s="2" t="n"/>
      <c r="X314" s="2" t="n"/>
      <c r="Y314" s="2" t="n"/>
      <c r="Z314" s="2" t="n"/>
      <c r="AA314" s="2" t="n"/>
      <c r="AB314" s="2" t="n"/>
      <c r="AC314" s="2" t="n"/>
      <c r="AD314" s="2" t="n"/>
      <c r="AE314" s="2" t="n"/>
      <c r="AF314" s="2" t="n"/>
      <c r="AG314" s="2" t="n"/>
      <c r="AH314" s="2" t="n"/>
      <c r="AI314" s="2" t="n"/>
      <c r="AJ314" s="2" t="n"/>
      <c r="AK314" s="2" t="n"/>
      <c r="AL314" s="2" t="n"/>
      <c r="AM314" s="2" t="n">
        <v>0.8</v>
      </c>
      <c r="AN314" s="2" t="n">
        <v>3200</v>
      </c>
      <c r="AO314" s="2" t="n">
        <v>28</v>
      </c>
      <c r="AP314" s="2" t="inlineStr">
        <is>
          <t>modelo+año</t>
        </is>
      </c>
      <c r="AQ314" s="2" t="n"/>
      <c r="AR314" s="2" t="inlineStr">
        <is>
          <t>cuota fija ITP: &gt;12 años, 1.501-2.000 cc; diésel: motor sin fuente de fiabilidad (fiabilidad limitada a neutra)</t>
        </is>
      </c>
      <c r="AS314" s="2" t="inlineStr">
        <is>
          <t xml:space="preserve">En buen estado </t>
        </is>
      </c>
      <c r="AT314" s="2" t="inlineStr">
        <is>
          <t>https://es.wallapop.com/item/seat-leon-2006-1316858354 (__NEXT_DATA__ item) /home/user/Alopecia/buscador-coches/raw/wallapop/fc17b5e282d802ce.json</t>
        </is>
      </c>
      <c r="AU314" s="3">
        <f>MAX(ANIO_ACTUAL-M314,0)</f>
        <v/>
      </c>
      <c r="AV314" s="4">
        <f>N314/MAX(AU314,0.5)</f>
        <v/>
      </c>
      <c r="AW314" s="4">
        <f>F314</f>
        <v/>
      </c>
      <c r="AX314" s="3">
        <f>AW314&amp;"|"&amp;INT(M314/SEG_ANIO)*SEG_ANIO</f>
        <v/>
      </c>
      <c r="AY314" s="3">
        <f>AX314&amp;"|"&amp;INT(N314/SEG_KM)*SEG_KM</f>
        <v/>
      </c>
      <c r="AZ314" s="4">
        <f>COUNTIF($AW$2:$AW$662,AW314)</f>
        <v/>
      </c>
      <c r="BA314" s="4">
        <f>COUNTIF($AX$2:$AX$662,AX314)</f>
        <v/>
      </c>
      <c r="BB314" s="4">
        <f>COUNTIF($AY$2:$AY$662,AY314)</f>
        <v/>
      </c>
      <c r="BC314" s="3">
        <f t="array" ref="BC314">IF(N(AO314)&gt;=MIN_N,AN314,IF(BB314&gt;=MIN_N,MEDIAN(IF($AY$2:$AY$662=AY314,$O$2:$O$662)),IF(BA314&gt;=MIN_N,MEDIAN(IF($AX$2:$AX$662=AX314,$O$2:$O$662)),MEDIAN(IF($AW$2:$AW$662=AW314,$O$2:$O$662)))))</f>
        <v/>
      </c>
      <c r="BD314" s="3">
        <f>IF(N(AO314)&gt;=MIN_N,"mercado "&amp;AP314,IF(BB314&gt;=MIN_N,"modelo+año+km",IF(BA314&gt;=MIN_N,"modelo+año","modelo")))</f>
        <v/>
      </c>
      <c r="BE314" s="4">
        <f>(BC314-O314)/BC314</f>
        <v/>
      </c>
      <c r="BF314" s="3">
        <f>IF(OR(K314="hibrido",K314="glp"),"ECO",IF(K314="electrico","CERO",IF(K314="gasolina",IF(M314&gt;=GAS_C,"C",IF(M314&gt;=GAS_B,"B","A")),IF(K314="diesel",IF(M314&gt;=DIE_C,"C",IF(M314&gt;=DIE_B,"B","A")),""))))</f>
        <v/>
      </c>
      <c r="BG314" s="3">
        <f>IFERROR(VLOOKUP(F314,MOD_TBL,11,0),IFERROR(VLOOKUP(E314,OCU_TBL,2,0),NEUTRO))</f>
        <v/>
      </c>
      <c r="BH314" s="3">
        <f>SUMIFS(MOT_AJUSTE,MOT_MOTOR,G314,MOT_MARCA,E314,MOT_DESDE,"&lt;="&amp;M314,MOT_HASTA,"&gt;="&amp;M314)+SUMIFS(MOT_AJUSTE,MOT_MOTOR,G314,MOT_MARCA,"(todas)",MOT_DESDE,"&lt;="&amp;M314,MOT_HASTA,"&gt;="&amp;M314)</f>
        <v/>
      </c>
      <c r="BI314" s="3">
        <f>SUMIFS(COMB_AJUSTE,COMB_COMB,K314)</f>
        <v/>
      </c>
      <c r="BJ314" s="3">
        <f>COUNTIFS(MOT_MOTOR,G314,MOT_MARCA,E314,MOT_DESDE,"&lt;="&amp;M314,MOT_HASTA,"&gt;="&amp;M314)+COUNTIFS(MOT_MOTOR,G314,MOT_MARCA,"(todas)",MOT_DESDE,"&lt;="&amp;M314,MOT_HASTA,"&gt;="&amp;M314)</f>
        <v/>
      </c>
      <c r="BK314" s="3">
        <f>IF(AND(K314="diesel",BJ314=0),MIN(BG314,NEUTRO),BG314)</f>
        <v/>
      </c>
      <c r="BL314" s="4">
        <f>MAX(0,MIN(100,BK314+BH314+BI314))</f>
        <v/>
      </c>
      <c r="BM314" s="3">
        <f>MAX(0,MIN(100,50+BE314*PRECIO_PEND))</f>
        <v/>
      </c>
      <c r="BN314" s="3">
        <f>MAX(0,100*(1-N314/KM_MAX))</f>
        <v/>
      </c>
      <c r="BO314" s="3">
        <f>IF(AV314&lt;KMA_SOSP,IF(AA314="sí",100,KMA_PEN),IF(AV314&lt;=KMA_IDEAL_MAX,100,MAX(0,100*(KMA_CERO-AV314)/(KMA_CERO-KMA_IDEAL_MAX))))</f>
        <v/>
      </c>
      <c r="BP314" s="3">
        <f>MAX(0,MIN(100,100*(M314-ANIO_MIN)/(ANIO_ACTUAL-ANIO_MIN)))</f>
        <v/>
      </c>
      <c r="BQ314" s="3">
        <f>W_KMT*BN314+W_KMA*BO314+W_EDAD*BP314</f>
        <v/>
      </c>
      <c r="BR314" s="3">
        <f>P_ITV*(V314="sí")+P_LIBRO*(W314="sí")+P_CORREA*(X314="sí")+P_PROP*(Y314=1)+P_GAR*(Z314="sí")+P_FOTOS*MIN(1,N(U314)/FOTOS_OBJ)</f>
        <v/>
      </c>
      <c r="BS314" s="3">
        <f>IFERROR(VLOOKUP(BF314,ETQ_TBL,2,0),NEUTRO)</f>
        <v/>
      </c>
      <c r="BT314" s="3">
        <f>NEUTRO</f>
        <v/>
      </c>
      <c r="BU314" s="3">
        <f>IFERROR(VLOOKUP(L314,SEGURO_TBL,3,0),"")</f>
        <v/>
      </c>
      <c r="BV314" s="3">
        <f>IF(BU314="",NEUTRO,MAX(0,MIN(100,100*(SEG_REF_MAX-BU314)/(SEG_REF_MAX-SEG_REF_MIN))))</f>
        <v/>
      </c>
      <c r="BW314" s="3">
        <f>W_ET*BS314+W_CONS*BT314+W_SEG*BV314</f>
        <v/>
      </c>
      <c r="BX314" s="3">
        <f>IF(N(AB314)&gt;0,AB314,IF(AND(R314="profesional",SG_LEGAL_ON=1),GAR_LEGAL,0))</f>
        <v/>
      </c>
      <c r="BY314" s="3">
        <f>SG_GAR*MIN(1,BX314/SG_GAR_FULL)+SG_AMPL*(AC314="sí")+SG_KMC*(AF314="sí")+SG_REV*(N(AE314)&gt;0)+SG_DEV*MIN(1,N(AG314)/SG_DEV_FULL)+SG_HIST*(W314="sí")</f>
        <v/>
      </c>
      <c r="BZ314" s="3">
        <f>IFERROR(VLOOKUP(L314,CARR_PEN_TBL,2,0),0)</f>
        <v/>
      </c>
      <c r="CA314" s="3">
        <f>W_FIAB*BL314+W_PRECIO*BM314+W_KMEDAD*BQ314+W_ANUNCIO*BR314+W_USO*BW314+W_SEGURIDAD*BY314-BZ314</f>
        <v/>
      </c>
      <c r="CB314" s="4">
        <f>IF(N(I314)&gt;0,I314,IFERROR(ROUND(_xlfn.NUMBERVALUE(LEFT(G314,FIND(" ",G314&amp;" ")-1),".")*1000,0),99999))</f>
        <v/>
      </c>
      <c r="CC314" s="3">
        <f>IF(R314="profesional",0,IF(O314&lt;CUOTA_VALOR_MAX,IF(AU314&gt;ITP_TRAMO_ALTO,SUMIFS(CF_CUOTA,CF_MAS,ITP_TRAMO_ALTO,CF_CCMIN,"&lt;="&amp;CB314,CF_CCMAX,"&gt;="&amp;CB314),IF(AU314&gt;ITP_TRAMO_BAJO,SUMIFS(CF_CUOTA,CF_MAS,ITP_TRAMO_BAJO,CF_CCMIN,"&lt;="&amp;CB314,CF_CCMAX,"&gt;="&amp;CB314),O314*ITP_TIPO)),O314*ITP_TIPO))</f>
        <v/>
      </c>
      <c r="CD314" s="4">
        <f>IF(R314="profesional",N(AK314),0)</f>
        <v/>
      </c>
      <c r="CE314" s="3">
        <f>IF(AND(R314="profesional",ISNUMBER(AK314),AL314="sí"),0,TASA_DGT)</f>
        <v/>
      </c>
      <c r="CF314" s="3">
        <f>INFORME_DGT</f>
        <v/>
      </c>
      <c r="CG314" s="4">
        <f>O314+CD314+CC314+CE314+CF314</f>
        <v/>
      </c>
      <c r="CH314" s="4">
        <f>CG314+N(BU314)</f>
        <v/>
      </c>
      <c r="CI314" s="3">
        <f>IF(CG314&lt;=TOTAL_MAX,"sí",IF(CG314&lt;=TOTAL_MAX+MARGEN_NEG,"negociar","no"))</f>
        <v/>
      </c>
      <c r="CJ314" s="4">
        <f>IF(CI314&lt;&gt;"no",COUNTIFS($CI$2:$CI$662,"&lt;&gt;no",$CA$2:$CA$662,"&gt;"&amp;CA314)+COUNTIFS($CI$2:CI314,"&lt;&gt;no",$CA$2:CA314,CA314),"")</f>
        <v/>
      </c>
    </row>
    <row r="315">
      <c r="A315" s="2" t="inlineStr">
        <is>
          <t>wallapop:1287440903</t>
        </is>
      </c>
      <c r="B315" s="2" t="inlineStr">
        <is>
          <t>wallapop</t>
        </is>
      </c>
      <c r="C315" s="2" t="inlineStr">
        <is>
          <t>https://es.wallapop.com/item/seat-leon-2007-1287440903</t>
        </is>
      </c>
      <c r="D315" s="2" t="inlineStr">
        <is>
          <t>SEAT Leon 2007</t>
        </is>
      </c>
      <c r="E315" s="2" t="inlineStr">
        <is>
          <t>Seat</t>
        </is>
      </c>
      <c r="F315" s="2" t="inlineStr">
        <is>
          <t>Seat León</t>
        </is>
      </c>
      <c r="G315" s="2" t="inlineStr">
        <is>
          <t>2.0 TDI</t>
        </is>
      </c>
      <c r="H315" s="2" t="inlineStr">
        <is>
          <t>2.0 TDI 170 FR 5p DPF</t>
        </is>
      </c>
      <c r="I315" s="2" t="n"/>
      <c r="J315" s="2" t="n">
        <v>170</v>
      </c>
      <c r="K315" s="2" t="inlineStr">
        <is>
          <t>diesel</t>
        </is>
      </c>
      <c r="L315" s="2" t="inlineStr">
        <is>
          <t>compacto</t>
        </is>
      </c>
      <c r="M315" s="2" t="n">
        <v>2007</v>
      </c>
      <c r="N315" s="2" t="n">
        <v>220000</v>
      </c>
      <c r="O315" s="2" t="n">
        <v>4500</v>
      </c>
      <c r="P315" s="2" t="inlineStr">
        <is>
          <t>manual</t>
        </is>
      </c>
      <c r="Q315" s="2" t="inlineStr">
        <is>
          <t>no</t>
        </is>
      </c>
      <c r="R315" s="2" t="inlineStr">
        <is>
          <t>particular</t>
        </is>
      </c>
      <c r="S315" s="2" t="inlineStr">
        <is>
          <t>Paterna (46980)</t>
        </is>
      </c>
      <c r="T315" s="2" t="inlineStr">
        <is>
          <t>2026-10-17T21:34:26</t>
        </is>
      </c>
      <c r="U315" s="2" t="n">
        <v>10</v>
      </c>
      <c r="V315" s="2" t="inlineStr">
        <is>
          <t>sí</t>
        </is>
      </c>
      <c r="W315" s="2" t="inlineStr">
        <is>
          <t>sí</t>
        </is>
      </c>
      <c r="X315" s="2" t="n"/>
      <c r="Y315" s="2" t="n">
        <v>2</v>
      </c>
      <c r="Z315" s="2" t="n"/>
      <c r="AA315" s="2" t="n"/>
      <c r="AB315" s="2" t="n"/>
      <c r="AC315" s="2" t="n"/>
      <c r="AD315" s="2" t="n"/>
      <c r="AE315" s="2" t="n"/>
      <c r="AF315" s="2" t="n"/>
      <c r="AG315" s="2" t="n"/>
      <c r="AH315" s="2" t="n"/>
      <c r="AI315" s="2" t="n"/>
      <c r="AJ315" s="2" t="n"/>
      <c r="AK315" s="2" t="n"/>
      <c r="AL315" s="2" t="n"/>
      <c r="AM315" s="2" t="n">
        <v>7.1</v>
      </c>
      <c r="AN315" s="2" t="n">
        <v>4500</v>
      </c>
      <c r="AO315" s="2" t="n">
        <v>10</v>
      </c>
      <c r="AP315" s="2" t="inlineStr">
        <is>
          <t>modelo+año+km</t>
        </is>
      </c>
      <c r="AQ315" s="2" t="n"/>
      <c r="AR315" s="2" t="inlineStr">
        <is>
          <t>cuota fija ITP: &gt;12 años, 1.501-2.000 cc; diésel: motor sin fuente de fiabilidad (fiabilidad limitada a neutra)</t>
        </is>
      </c>
      <c r="AS315" s="2" t="inlineStr">
        <is>
          <t>Se vende magnifico seat leon 2.0 170cv diesel con mantenimiento al dia.
Filtros y aceite, discos y pastillas delanteros y liquido de frenos, techo recien tapizado, bateria varta nueva, neumaticos michelin  pilot sport 5 , las 2 cerraduras de las puertas del copiloto nuevas,  correa de distribucion y bomba de agua realizada en concesionario seat, los 2 brazos de suspension delanteros, el aire enfria de categoria, itv al dia, consumo 5L/100 un mechero, kilometros por carretera,pantalla, paragolpes de cupra, control crucero, volante multifuncion, escape original de seat, Solo 2 propietarios, 2 llaves,tengo facturas de todo, se vende por aumento de familia y compra de vehiculo nuevo, tiene desperfectos de chapa del paso de los años (nada grave).
Precio algo negociable.</t>
        </is>
      </c>
      <c r="AT315" s="2" t="inlineStr">
        <is>
          <t>https://es.wallapop.com/item/seat-leon-2007-1287440903 (__NEXT_DATA__ item) /home/user/Alopecia/buscador-coches/raw/wallapop/c0ea394dc7f34b2c.json</t>
        </is>
      </c>
      <c r="AU315" s="3">
        <f>MAX(ANIO_ACTUAL-M315,0)</f>
        <v/>
      </c>
      <c r="AV315" s="4">
        <f>N315/MAX(AU315,0.5)</f>
        <v/>
      </c>
      <c r="AW315" s="4">
        <f>F315</f>
        <v/>
      </c>
      <c r="AX315" s="3">
        <f>AW315&amp;"|"&amp;INT(M315/SEG_ANIO)*SEG_ANIO</f>
        <v/>
      </c>
      <c r="AY315" s="3">
        <f>AX315&amp;"|"&amp;INT(N315/SEG_KM)*SEG_KM</f>
        <v/>
      </c>
      <c r="AZ315" s="4">
        <f>COUNTIF($AW$2:$AW$662,AW315)</f>
        <v/>
      </c>
      <c r="BA315" s="4">
        <f>COUNTIF($AX$2:$AX$662,AX315)</f>
        <v/>
      </c>
      <c r="BB315" s="4">
        <f>COUNTIF($AY$2:$AY$662,AY315)</f>
        <v/>
      </c>
      <c r="BC315" s="3">
        <f t="array" ref="BC315">IF(N(AO315)&gt;=MIN_N,AN315,IF(BB315&gt;=MIN_N,MEDIAN(IF($AY$2:$AY$662=AY315,$O$2:$O$662)),IF(BA315&gt;=MIN_N,MEDIAN(IF($AX$2:$AX$662=AX315,$O$2:$O$662)),MEDIAN(IF($AW$2:$AW$662=AW315,$O$2:$O$662)))))</f>
        <v/>
      </c>
      <c r="BD315" s="3">
        <f>IF(N(AO315)&gt;=MIN_N,"mercado "&amp;AP315,IF(BB315&gt;=MIN_N,"modelo+año+km",IF(BA315&gt;=MIN_N,"modelo+año","modelo")))</f>
        <v/>
      </c>
      <c r="BE315" s="4">
        <f>(BC315-O315)/BC315</f>
        <v/>
      </c>
      <c r="BF315" s="3">
        <f>IF(OR(K315="hibrido",K315="glp"),"ECO",IF(K315="electrico","CERO",IF(K315="gasolina",IF(M315&gt;=GAS_C,"C",IF(M315&gt;=GAS_B,"B","A")),IF(K315="diesel",IF(M315&gt;=DIE_C,"C",IF(M315&gt;=DIE_B,"B","A")),""))))</f>
        <v/>
      </c>
      <c r="BG315" s="3">
        <f>IFERROR(VLOOKUP(F315,MOD_TBL,11,0),IFERROR(VLOOKUP(E315,OCU_TBL,2,0),NEUTRO))</f>
        <v/>
      </c>
      <c r="BH315" s="3">
        <f>SUMIFS(MOT_AJUSTE,MOT_MOTOR,G315,MOT_MARCA,E315,MOT_DESDE,"&lt;="&amp;M315,MOT_HASTA,"&gt;="&amp;M315)+SUMIFS(MOT_AJUSTE,MOT_MOTOR,G315,MOT_MARCA,"(todas)",MOT_DESDE,"&lt;="&amp;M315,MOT_HASTA,"&gt;="&amp;M315)</f>
        <v/>
      </c>
      <c r="BI315" s="3">
        <f>SUMIFS(COMB_AJUSTE,COMB_COMB,K315)</f>
        <v/>
      </c>
      <c r="BJ315" s="3">
        <f>COUNTIFS(MOT_MOTOR,G315,MOT_MARCA,E315,MOT_DESDE,"&lt;="&amp;M315,MOT_HASTA,"&gt;="&amp;M315)+COUNTIFS(MOT_MOTOR,G315,MOT_MARCA,"(todas)",MOT_DESDE,"&lt;="&amp;M315,MOT_HASTA,"&gt;="&amp;M315)</f>
        <v/>
      </c>
      <c r="BK315" s="3">
        <f>IF(AND(K315="diesel",BJ315=0),MIN(BG315,NEUTRO),BG315)</f>
        <v/>
      </c>
      <c r="BL315" s="4">
        <f>MAX(0,MIN(100,BK315+BH315+BI315))</f>
        <v/>
      </c>
      <c r="BM315" s="3">
        <f>MAX(0,MIN(100,50+BE315*PRECIO_PEND))</f>
        <v/>
      </c>
      <c r="BN315" s="3">
        <f>MAX(0,100*(1-N315/KM_MAX))</f>
        <v/>
      </c>
      <c r="BO315" s="3">
        <f>IF(AV315&lt;KMA_SOSP,IF(AA315="sí",100,KMA_PEN),IF(AV315&lt;=KMA_IDEAL_MAX,100,MAX(0,100*(KMA_CERO-AV315)/(KMA_CERO-KMA_IDEAL_MAX))))</f>
        <v/>
      </c>
      <c r="BP315" s="3">
        <f>MAX(0,MIN(100,100*(M315-ANIO_MIN)/(ANIO_ACTUAL-ANIO_MIN)))</f>
        <v/>
      </c>
      <c r="BQ315" s="3">
        <f>W_KMT*BN315+W_KMA*BO315+W_EDAD*BP315</f>
        <v/>
      </c>
      <c r="BR315" s="3">
        <f>P_ITV*(V315="sí")+P_LIBRO*(W315="sí")+P_CORREA*(X315="sí")+P_PROP*(Y315=1)+P_GAR*(Z315="sí")+P_FOTOS*MIN(1,N(U315)/FOTOS_OBJ)</f>
        <v/>
      </c>
      <c r="BS315" s="3">
        <f>IFERROR(VLOOKUP(BF315,ETQ_TBL,2,0),NEUTRO)</f>
        <v/>
      </c>
      <c r="BT315" s="3">
        <f>NEUTRO</f>
        <v/>
      </c>
      <c r="BU315" s="3">
        <f>IFERROR(VLOOKUP(L315,SEGURO_TBL,3,0),"")</f>
        <v/>
      </c>
      <c r="BV315" s="3">
        <f>IF(BU315="",NEUTRO,MAX(0,MIN(100,100*(SEG_REF_MAX-BU315)/(SEG_REF_MAX-SEG_REF_MIN))))</f>
        <v/>
      </c>
      <c r="BW315" s="3">
        <f>W_ET*BS315+W_CONS*BT315+W_SEG*BV315</f>
        <v/>
      </c>
      <c r="BX315" s="3">
        <f>IF(N(AB315)&gt;0,AB315,IF(AND(R315="profesional",SG_LEGAL_ON=1),GAR_LEGAL,0))</f>
        <v/>
      </c>
      <c r="BY315" s="3">
        <f>SG_GAR*MIN(1,BX315/SG_GAR_FULL)+SG_AMPL*(AC315="sí")+SG_KMC*(AF315="sí")+SG_REV*(N(AE315)&gt;0)+SG_DEV*MIN(1,N(AG315)/SG_DEV_FULL)+SG_HIST*(W315="sí")</f>
        <v/>
      </c>
      <c r="BZ315" s="3">
        <f>IFERROR(VLOOKUP(L315,CARR_PEN_TBL,2,0),0)</f>
        <v/>
      </c>
      <c r="CA315" s="3">
        <f>W_FIAB*BL315+W_PRECIO*BM315+W_KMEDAD*BQ315+W_ANUNCIO*BR315+W_USO*BW315+W_SEGURIDAD*BY315-BZ315</f>
        <v/>
      </c>
      <c r="CB315" s="4">
        <f>IF(N(I315)&gt;0,I315,IFERROR(ROUND(_xlfn.NUMBERVALUE(LEFT(G315,FIND(" ",G315&amp;" ")-1),".")*1000,0),99999))</f>
        <v/>
      </c>
      <c r="CC315" s="3">
        <f>IF(R315="profesional",0,IF(O315&lt;CUOTA_VALOR_MAX,IF(AU315&gt;ITP_TRAMO_ALTO,SUMIFS(CF_CUOTA,CF_MAS,ITP_TRAMO_ALTO,CF_CCMIN,"&lt;="&amp;CB315,CF_CCMAX,"&gt;="&amp;CB315),IF(AU315&gt;ITP_TRAMO_BAJO,SUMIFS(CF_CUOTA,CF_MAS,ITP_TRAMO_BAJO,CF_CCMIN,"&lt;="&amp;CB315,CF_CCMAX,"&gt;="&amp;CB315),O315*ITP_TIPO)),O315*ITP_TIPO))</f>
        <v/>
      </c>
      <c r="CD315" s="4">
        <f>IF(R315="profesional",N(AK315),0)</f>
        <v/>
      </c>
      <c r="CE315" s="3">
        <f>IF(AND(R315="profesional",ISNUMBER(AK315),AL315="sí"),0,TASA_DGT)</f>
        <v/>
      </c>
      <c r="CF315" s="3">
        <f>INFORME_DGT</f>
        <v/>
      </c>
      <c r="CG315" s="4">
        <f>O315+CD315+CC315+CE315+CF315</f>
        <v/>
      </c>
      <c r="CH315" s="4">
        <f>CG315+N(BU315)</f>
        <v/>
      </c>
      <c r="CI315" s="3">
        <f>IF(CG315&lt;=TOTAL_MAX,"sí",IF(CG315&lt;=TOTAL_MAX+MARGEN_NEG,"negociar","no"))</f>
        <v/>
      </c>
      <c r="CJ315" s="4">
        <f>IF(CI315&lt;&gt;"no",COUNTIFS($CI$2:$CI$662,"&lt;&gt;no",$CA$2:$CA$662,"&gt;"&amp;CA315)+COUNTIFS($CI$2:CI315,"&lt;&gt;no",$CA$2:CA315,CA315),"")</f>
        <v/>
      </c>
    </row>
    <row r="316">
      <c r="A316" s="2" t="inlineStr">
        <is>
          <t>wallapop:1318871284</t>
        </is>
      </c>
      <c r="B316" s="2" t="inlineStr">
        <is>
          <t>wallapop</t>
        </is>
      </c>
      <c r="C316" s="2" t="inlineStr">
        <is>
          <t>https://es.wallapop.com/item/seat-leon-2009-1318871284</t>
        </is>
      </c>
      <c r="D316" s="2" t="inlineStr">
        <is>
          <t>SEAT Leon 2009</t>
        </is>
      </c>
      <c r="E316" s="2" t="inlineStr">
        <is>
          <t>Seat</t>
        </is>
      </c>
      <c r="F316" s="2" t="inlineStr">
        <is>
          <t>Seat León</t>
        </is>
      </c>
      <c r="G316" s="2" t="inlineStr">
        <is>
          <t>2.0 TDI</t>
        </is>
      </c>
      <c r="H316" s="2" t="inlineStr">
        <is>
          <t>2.0 TDI 170 FR 5p DPF</t>
        </is>
      </c>
      <c r="I316" s="2" t="n"/>
      <c r="J316" s="2" t="n">
        <v>170</v>
      </c>
      <c r="K316" s="2" t="inlineStr">
        <is>
          <t>diesel</t>
        </is>
      </c>
      <c r="L316" s="2" t="inlineStr">
        <is>
          <t>compacto</t>
        </is>
      </c>
      <c r="M316" s="2" t="n">
        <v>2009</v>
      </c>
      <c r="N316" s="2" t="n">
        <v>217085</v>
      </c>
      <c r="O316" s="2" t="n">
        <v>3999</v>
      </c>
      <c r="P316" s="2" t="inlineStr">
        <is>
          <t>manual</t>
        </is>
      </c>
      <c r="Q316" s="2" t="inlineStr">
        <is>
          <t>no</t>
        </is>
      </c>
      <c r="R316" s="2" t="inlineStr">
        <is>
          <t>particular</t>
        </is>
      </c>
      <c r="S316" s="2" t="inlineStr">
        <is>
          <t>Sagunt/Sagunto (46500)</t>
        </is>
      </c>
      <c r="T316" s="2" t="inlineStr">
        <is>
          <t>2026-10-30T18:54:39</t>
        </is>
      </c>
      <c r="U316" s="2" t="n">
        <v>3</v>
      </c>
      <c r="V316" s="2" t="inlineStr">
        <is>
          <t>sí</t>
        </is>
      </c>
      <c r="W316" s="2" t="n"/>
      <c r="X316" s="2" t="n"/>
      <c r="Y316" s="2" t="n"/>
      <c r="Z316" s="2" t="n"/>
      <c r="AA316" s="2" t="n"/>
      <c r="AB316" s="2" t="n"/>
      <c r="AC316" s="2" t="n"/>
      <c r="AD316" s="2" t="n"/>
      <c r="AE316" s="2" t="n"/>
      <c r="AF316" s="2" t="n"/>
      <c r="AG316" s="2" t="n"/>
      <c r="AH316" s="2" t="n"/>
      <c r="AI316" s="2" t="n"/>
      <c r="AJ316" s="2" t="n"/>
      <c r="AK316" s="2" t="n"/>
      <c r="AL316" s="2" t="n"/>
      <c r="AM316" s="2" t="n">
        <v>23.6</v>
      </c>
      <c r="AN316" s="2" t="n">
        <v>4500</v>
      </c>
      <c r="AO316" s="2" t="n">
        <v>10</v>
      </c>
      <c r="AP316" s="2" t="inlineStr">
        <is>
          <t>modelo+año+km</t>
        </is>
      </c>
      <c r="AQ316" s="2" t="n"/>
      <c r="AR316" s="2" t="inlineStr">
        <is>
          <t>cuota fija ITP: &gt;12 años, 1.501-2.000 cc; diésel: motor sin fuente de fiabilidad (fiabilidad limitada a neutra)</t>
        </is>
      </c>
      <c r="AS316" s="2" t="inlineStr">
        <is>
          <t xml:space="preserve">Se venden magníficos Seat León FR de 170 caballos se vende a todo prueba el coche está revisado por un mecánico se acepta cualquier prueba mecánica ya que ha sido revisado por un taller oficial el coche tiene todos los extras ITV en vigor se vende o se cambia por furgoneta de las mismas características ......etc </t>
        </is>
      </c>
      <c r="AT316" s="2" t="inlineStr">
        <is>
          <t>https://es.wallapop.com/item/seat-leon-2009-1318871284 (__NEXT_DATA__ item) /home/user/Alopecia/buscador-coches/raw/wallapop/b5c8ba8faadadbd1.json</t>
        </is>
      </c>
      <c r="AU316" s="3">
        <f>MAX(ANIO_ACTUAL-M316,0)</f>
        <v/>
      </c>
      <c r="AV316" s="4">
        <f>N316/MAX(AU316,0.5)</f>
        <v/>
      </c>
      <c r="AW316" s="4">
        <f>F316</f>
        <v/>
      </c>
      <c r="AX316" s="3">
        <f>AW316&amp;"|"&amp;INT(M316/SEG_ANIO)*SEG_ANIO</f>
        <v/>
      </c>
      <c r="AY316" s="3">
        <f>AX316&amp;"|"&amp;INT(N316/SEG_KM)*SEG_KM</f>
        <v/>
      </c>
      <c r="AZ316" s="4">
        <f>COUNTIF($AW$2:$AW$662,AW316)</f>
        <v/>
      </c>
      <c r="BA316" s="4">
        <f>COUNTIF($AX$2:$AX$662,AX316)</f>
        <v/>
      </c>
      <c r="BB316" s="4">
        <f>COUNTIF($AY$2:$AY$662,AY316)</f>
        <v/>
      </c>
      <c r="BC316" s="3">
        <f t="array" ref="BC316">IF(N(AO316)&gt;=MIN_N,AN316,IF(BB316&gt;=MIN_N,MEDIAN(IF($AY$2:$AY$662=AY316,$O$2:$O$662)),IF(BA316&gt;=MIN_N,MEDIAN(IF($AX$2:$AX$662=AX316,$O$2:$O$662)),MEDIAN(IF($AW$2:$AW$662=AW316,$O$2:$O$662)))))</f>
        <v/>
      </c>
      <c r="BD316" s="3">
        <f>IF(N(AO316)&gt;=MIN_N,"mercado "&amp;AP316,IF(BB316&gt;=MIN_N,"modelo+año+km",IF(BA316&gt;=MIN_N,"modelo+año","modelo")))</f>
        <v/>
      </c>
      <c r="BE316" s="4">
        <f>(BC316-O316)/BC316</f>
        <v/>
      </c>
      <c r="BF316" s="3">
        <f>IF(OR(K316="hibrido",K316="glp"),"ECO",IF(K316="electrico","CERO",IF(K316="gasolina",IF(M316&gt;=GAS_C,"C",IF(M316&gt;=GAS_B,"B","A")),IF(K316="diesel",IF(M316&gt;=DIE_C,"C",IF(M316&gt;=DIE_B,"B","A")),""))))</f>
        <v/>
      </c>
      <c r="BG316" s="3">
        <f>IFERROR(VLOOKUP(F316,MOD_TBL,11,0),IFERROR(VLOOKUP(E316,OCU_TBL,2,0),NEUTRO))</f>
        <v/>
      </c>
      <c r="BH316" s="3">
        <f>SUMIFS(MOT_AJUSTE,MOT_MOTOR,G316,MOT_MARCA,E316,MOT_DESDE,"&lt;="&amp;M316,MOT_HASTA,"&gt;="&amp;M316)+SUMIFS(MOT_AJUSTE,MOT_MOTOR,G316,MOT_MARCA,"(todas)",MOT_DESDE,"&lt;="&amp;M316,MOT_HASTA,"&gt;="&amp;M316)</f>
        <v/>
      </c>
      <c r="BI316" s="3">
        <f>SUMIFS(COMB_AJUSTE,COMB_COMB,K316)</f>
        <v/>
      </c>
      <c r="BJ316" s="3">
        <f>COUNTIFS(MOT_MOTOR,G316,MOT_MARCA,E316,MOT_DESDE,"&lt;="&amp;M316,MOT_HASTA,"&gt;="&amp;M316)+COUNTIFS(MOT_MOTOR,G316,MOT_MARCA,"(todas)",MOT_DESDE,"&lt;="&amp;M316,MOT_HASTA,"&gt;="&amp;M316)</f>
        <v/>
      </c>
      <c r="BK316" s="3">
        <f>IF(AND(K316="diesel",BJ316=0),MIN(BG316,NEUTRO),BG316)</f>
        <v/>
      </c>
      <c r="BL316" s="4">
        <f>MAX(0,MIN(100,BK316+BH316+BI316))</f>
        <v/>
      </c>
      <c r="BM316" s="3">
        <f>MAX(0,MIN(100,50+BE316*PRECIO_PEND))</f>
        <v/>
      </c>
      <c r="BN316" s="3">
        <f>MAX(0,100*(1-N316/KM_MAX))</f>
        <v/>
      </c>
      <c r="BO316" s="3">
        <f>IF(AV316&lt;KMA_SOSP,IF(AA316="sí",100,KMA_PEN),IF(AV316&lt;=KMA_IDEAL_MAX,100,MAX(0,100*(KMA_CERO-AV316)/(KMA_CERO-KMA_IDEAL_MAX))))</f>
        <v/>
      </c>
      <c r="BP316" s="3">
        <f>MAX(0,MIN(100,100*(M316-ANIO_MIN)/(ANIO_ACTUAL-ANIO_MIN)))</f>
        <v/>
      </c>
      <c r="BQ316" s="3">
        <f>W_KMT*BN316+W_KMA*BO316+W_EDAD*BP316</f>
        <v/>
      </c>
      <c r="BR316" s="3">
        <f>P_ITV*(V316="sí")+P_LIBRO*(W316="sí")+P_CORREA*(X316="sí")+P_PROP*(Y316=1)+P_GAR*(Z316="sí")+P_FOTOS*MIN(1,N(U316)/FOTOS_OBJ)</f>
        <v/>
      </c>
      <c r="BS316" s="3">
        <f>IFERROR(VLOOKUP(BF316,ETQ_TBL,2,0),NEUTRO)</f>
        <v/>
      </c>
      <c r="BT316" s="3">
        <f>NEUTRO</f>
        <v/>
      </c>
      <c r="BU316" s="3">
        <f>IFERROR(VLOOKUP(L316,SEGURO_TBL,3,0),"")</f>
        <v/>
      </c>
      <c r="BV316" s="3">
        <f>IF(BU316="",NEUTRO,MAX(0,MIN(100,100*(SEG_REF_MAX-BU316)/(SEG_REF_MAX-SEG_REF_MIN))))</f>
        <v/>
      </c>
      <c r="BW316" s="3">
        <f>W_ET*BS316+W_CONS*BT316+W_SEG*BV316</f>
        <v/>
      </c>
      <c r="BX316" s="3">
        <f>IF(N(AB316)&gt;0,AB316,IF(AND(R316="profesional",SG_LEGAL_ON=1),GAR_LEGAL,0))</f>
        <v/>
      </c>
      <c r="BY316" s="3">
        <f>SG_GAR*MIN(1,BX316/SG_GAR_FULL)+SG_AMPL*(AC316="sí")+SG_KMC*(AF316="sí")+SG_REV*(N(AE316)&gt;0)+SG_DEV*MIN(1,N(AG316)/SG_DEV_FULL)+SG_HIST*(W316="sí")</f>
        <v/>
      </c>
      <c r="BZ316" s="3">
        <f>IFERROR(VLOOKUP(L316,CARR_PEN_TBL,2,0),0)</f>
        <v/>
      </c>
      <c r="CA316" s="3">
        <f>W_FIAB*BL316+W_PRECIO*BM316+W_KMEDAD*BQ316+W_ANUNCIO*BR316+W_USO*BW316+W_SEGURIDAD*BY316-BZ316</f>
        <v/>
      </c>
      <c r="CB316" s="4">
        <f>IF(N(I316)&gt;0,I316,IFERROR(ROUND(_xlfn.NUMBERVALUE(LEFT(G316,FIND(" ",G316&amp;" ")-1),".")*1000,0),99999))</f>
        <v/>
      </c>
      <c r="CC316" s="3">
        <f>IF(R316="profesional",0,IF(O316&lt;CUOTA_VALOR_MAX,IF(AU316&gt;ITP_TRAMO_ALTO,SUMIFS(CF_CUOTA,CF_MAS,ITP_TRAMO_ALTO,CF_CCMIN,"&lt;="&amp;CB316,CF_CCMAX,"&gt;="&amp;CB316),IF(AU316&gt;ITP_TRAMO_BAJO,SUMIFS(CF_CUOTA,CF_MAS,ITP_TRAMO_BAJO,CF_CCMIN,"&lt;="&amp;CB316,CF_CCMAX,"&gt;="&amp;CB316),O316*ITP_TIPO)),O316*ITP_TIPO))</f>
        <v/>
      </c>
      <c r="CD316" s="4">
        <f>IF(R316="profesional",N(AK316),0)</f>
        <v/>
      </c>
      <c r="CE316" s="3">
        <f>IF(AND(R316="profesional",ISNUMBER(AK316),AL316="sí"),0,TASA_DGT)</f>
        <v/>
      </c>
      <c r="CF316" s="3">
        <f>INFORME_DGT</f>
        <v/>
      </c>
      <c r="CG316" s="4">
        <f>O316+CD316+CC316+CE316+CF316</f>
        <v/>
      </c>
      <c r="CH316" s="4">
        <f>CG316+N(BU316)</f>
        <v/>
      </c>
      <c r="CI316" s="3">
        <f>IF(CG316&lt;=TOTAL_MAX,"sí",IF(CG316&lt;=TOTAL_MAX+MARGEN_NEG,"negociar","no"))</f>
        <v/>
      </c>
      <c r="CJ316" s="4">
        <f>IF(CI316&lt;&gt;"no",COUNTIFS($CI$2:$CI$662,"&lt;&gt;no",$CA$2:$CA$662,"&gt;"&amp;CA316)+COUNTIFS($CI$2:CI316,"&lt;&gt;no",$CA$2:CA316,CA316),"")</f>
        <v/>
      </c>
    </row>
    <row r="317">
      <c r="A317" s="2" t="inlineStr">
        <is>
          <t>wallapop:1304310944</t>
        </is>
      </c>
      <c r="B317" s="2" t="inlineStr">
        <is>
          <t>wallapop</t>
        </is>
      </c>
      <c r="C317" s="2" t="inlineStr">
        <is>
          <t>https://es.wallapop.com/item/seat-altea-2006-1304310944</t>
        </is>
      </c>
      <c r="D317" s="2" t="inlineStr">
        <is>
          <t>SEAT Altea 2006</t>
        </is>
      </c>
      <c r="E317" s="2" t="inlineStr">
        <is>
          <t>Seat</t>
        </is>
      </c>
      <c r="F317" s="2" t="inlineStr">
        <is>
          <t>Seat Altea</t>
        </is>
      </c>
      <c r="G317" s="2" t="inlineStr">
        <is>
          <t>1.6</t>
        </is>
      </c>
      <c r="H317" s="2" t="inlineStr">
        <is>
          <t>1.6 102 Select 5p</t>
        </is>
      </c>
      <c r="I317" s="2" t="n"/>
      <c r="J317" s="2" t="n">
        <v>102</v>
      </c>
      <c r="K317" s="2" t="inlineStr">
        <is>
          <t>gasolina</t>
        </is>
      </c>
      <c r="L317" s="2" t="inlineStr">
        <is>
          <t>monovolumen_pequeno</t>
        </is>
      </c>
      <c r="M317" s="2" t="n">
        <v>2006</v>
      </c>
      <c r="N317" s="2" t="n">
        <v>160000</v>
      </c>
      <c r="O317" s="2" t="n">
        <v>3690</v>
      </c>
      <c r="P317" s="2" t="inlineStr">
        <is>
          <t>manual</t>
        </is>
      </c>
      <c r="Q317" s="2" t="inlineStr">
        <is>
          <t>no</t>
        </is>
      </c>
      <c r="R317" s="2" t="inlineStr">
        <is>
          <t>particular</t>
        </is>
      </c>
      <c r="S317" s="2" t="inlineStr">
        <is>
          <t>Valencia (46011)</t>
        </is>
      </c>
      <c r="T317" s="2" t="inlineStr">
        <is>
          <t>2026-10-26T22:23:22</t>
        </is>
      </c>
      <c r="U317" s="2" t="n">
        <v>7</v>
      </c>
      <c r="V317" s="2" t="n"/>
      <c r="W317" s="2" t="n"/>
      <c r="X317" s="2" t="n"/>
      <c r="Y317" s="2" t="n"/>
      <c r="Z317" s="2" t="n"/>
      <c r="AA317" s="2" t="inlineStr">
        <is>
          <t>sí</t>
        </is>
      </c>
      <c r="AB317" s="2" t="n"/>
      <c r="AC317" s="2" t="n"/>
      <c r="AD317" s="2" t="n"/>
      <c r="AE317" s="2" t="n"/>
      <c r="AF317" s="2" t="n"/>
      <c r="AG317" s="2" t="n"/>
      <c r="AH317" s="2" t="n"/>
      <c r="AI317" s="2" t="n"/>
      <c r="AJ317" s="2" t="n"/>
      <c r="AK317" s="2" t="n"/>
      <c r="AL317" s="2" t="n"/>
      <c r="AM317" s="2" t="n">
        <v>4.4</v>
      </c>
      <c r="AN317" s="2" t="n">
        <v>3690</v>
      </c>
      <c r="AO317" s="2" t="n">
        <v>15</v>
      </c>
      <c r="AP317" s="2" t="inlineStr">
        <is>
          <t>modelo+año</t>
        </is>
      </c>
      <c r="AQ317" s="2" t="n"/>
      <c r="AR317" s="2" t="inlineStr">
        <is>
          <t>cuota fija ITP: &gt;12 años, 1.501-2.000 cc; carrocería monovolumen_pequeno: -6 puntos; fiabilidad del modelo PENDIENTE de fuente (puntuación neutra)</t>
        </is>
      </c>
      <c r="AS317" s="2" t="inlineStr">
        <is>
          <t>Se vende coche de persona mayor por jubilacion y no poder conducir. 
1 llave. ITV EN REGLA Y MANTENIMIENTOS AL DIA</t>
        </is>
      </c>
      <c r="AT317" s="2" t="inlineStr">
        <is>
          <t>https://es.wallapop.com/item/seat-altea-2006-1304310944 (__NEXT_DATA__ item) /home/user/Alopecia/buscador-coches/raw/wallapop/70b06b10d2462066.json</t>
        </is>
      </c>
      <c r="AU317" s="3">
        <f>MAX(ANIO_ACTUAL-M317,0)</f>
        <v/>
      </c>
      <c r="AV317" s="4">
        <f>N317/MAX(AU317,0.5)</f>
        <v/>
      </c>
      <c r="AW317" s="4">
        <f>F317</f>
        <v/>
      </c>
      <c r="AX317" s="3">
        <f>AW317&amp;"|"&amp;INT(M317/SEG_ANIO)*SEG_ANIO</f>
        <v/>
      </c>
      <c r="AY317" s="3">
        <f>AX317&amp;"|"&amp;INT(N317/SEG_KM)*SEG_KM</f>
        <v/>
      </c>
      <c r="AZ317" s="4">
        <f>COUNTIF($AW$2:$AW$662,AW317)</f>
        <v/>
      </c>
      <c r="BA317" s="4">
        <f>COUNTIF($AX$2:$AX$662,AX317)</f>
        <v/>
      </c>
      <c r="BB317" s="4">
        <f>COUNTIF($AY$2:$AY$662,AY317)</f>
        <v/>
      </c>
      <c r="BC317" s="3">
        <f t="array" ref="BC317">IF(N(AO317)&gt;=MIN_N,AN317,IF(BB317&gt;=MIN_N,MEDIAN(IF($AY$2:$AY$662=AY317,$O$2:$O$662)),IF(BA317&gt;=MIN_N,MEDIAN(IF($AX$2:$AX$662=AX317,$O$2:$O$662)),MEDIAN(IF($AW$2:$AW$662=AW317,$O$2:$O$662)))))</f>
        <v/>
      </c>
      <c r="BD317" s="3">
        <f>IF(N(AO317)&gt;=MIN_N,"mercado "&amp;AP317,IF(BB317&gt;=MIN_N,"modelo+año+km",IF(BA317&gt;=MIN_N,"modelo+año","modelo")))</f>
        <v/>
      </c>
      <c r="BE317" s="4">
        <f>(BC317-O317)/BC317</f>
        <v/>
      </c>
      <c r="BF317" s="3">
        <f>IF(OR(K317="hibrido",K317="glp"),"ECO",IF(K317="electrico","CERO",IF(K317="gasolina",IF(M317&gt;=GAS_C,"C",IF(M317&gt;=GAS_B,"B","A")),IF(K317="diesel",IF(M317&gt;=DIE_C,"C",IF(M317&gt;=DIE_B,"B","A")),""))))</f>
        <v/>
      </c>
      <c r="BG317" s="3">
        <f>IFERROR(VLOOKUP(F317,MOD_TBL,11,0),IFERROR(VLOOKUP(E317,OCU_TBL,2,0),NEUTRO))</f>
        <v/>
      </c>
      <c r="BH317" s="3">
        <f>SUMIFS(MOT_AJUSTE,MOT_MOTOR,G317,MOT_MARCA,E317,MOT_DESDE,"&lt;="&amp;M317,MOT_HASTA,"&gt;="&amp;M317)+SUMIFS(MOT_AJUSTE,MOT_MOTOR,G317,MOT_MARCA,"(todas)",MOT_DESDE,"&lt;="&amp;M317,MOT_HASTA,"&gt;="&amp;M317)</f>
        <v/>
      </c>
      <c r="BI317" s="3">
        <f>SUMIFS(COMB_AJUSTE,COMB_COMB,K317)</f>
        <v/>
      </c>
      <c r="BJ317" s="3">
        <f>COUNTIFS(MOT_MOTOR,G317,MOT_MARCA,E317,MOT_DESDE,"&lt;="&amp;M317,MOT_HASTA,"&gt;="&amp;M317)+COUNTIFS(MOT_MOTOR,G317,MOT_MARCA,"(todas)",MOT_DESDE,"&lt;="&amp;M317,MOT_HASTA,"&gt;="&amp;M317)</f>
        <v/>
      </c>
      <c r="BK317" s="3">
        <f>IF(AND(K317="diesel",BJ317=0),MIN(BG317,NEUTRO),BG317)</f>
        <v/>
      </c>
      <c r="BL317" s="4">
        <f>MAX(0,MIN(100,BK317+BH317+BI317))</f>
        <v/>
      </c>
      <c r="BM317" s="3">
        <f>MAX(0,MIN(100,50+BE317*PRECIO_PEND))</f>
        <v/>
      </c>
      <c r="BN317" s="3">
        <f>MAX(0,100*(1-N317/KM_MAX))</f>
        <v/>
      </c>
      <c r="BO317" s="3">
        <f>IF(AV317&lt;KMA_SOSP,IF(AA317="sí",100,KMA_PEN),IF(AV317&lt;=KMA_IDEAL_MAX,100,MAX(0,100*(KMA_CERO-AV317)/(KMA_CERO-KMA_IDEAL_MAX))))</f>
        <v/>
      </c>
      <c r="BP317" s="3">
        <f>MAX(0,MIN(100,100*(M317-ANIO_MIN)/(ANIO_ACTUAL-ANIO_MIN)))</f>
        <v/>
      </c>
      <c r="BQ317" s="3">
        <f>W_KMT*BN317+W_KMA*BO317+W_EDAD*BP317</f>
        <v/>
      </c>
      <c r="BR317" s="3">
        <f>P_ITV*(V317="sí")+P_LIBRO*(W317="sí")+P_CORREA*(X317="sí")+P_PROP*(Y317=1)+P_GAR*(Z317="sí")+P_FOTOS*MIN(1,N(U317)/FOTOS_OBJ)</f>
        <v/>
      </c>
      <c r="BS317" s="3">
        <f>IFERROR(VLOOKUP(BF317,ETQ_TBL,2,0),NEUTRO)</f>
        <v/>
      </c>
      <c r="BT317" s="3">
        <f>NEUTRO</f>
        <v/>
      </c>
      <c r="BU317" s="3">
        <f>IFERROR(VLOOKUP(L317,SEGURO_TBL,3,0),"")</f>
        <v/>
      </c>
      <c r="BV317" s="3">
        <f>IF(BU317="",NEUTRO,MAX(0,MIN(100,100*(SEG_REF_MAX-BU317)/(SEG_REF_MAX-SEG_REF_MIN))))</f>
        <v/>
      </c>
      <c r="BW317" s="3">
        <f>W_ET*BS317+W_CONS*BT317+W_SEG*BV317</f>
        <v/>
      </c>
      <c r="BX317" s="3">
        <f>IF(N(AB317)&gt;0,AB317,IF(AND(R317="profesional",SG_LEGAL_ON=1),GAR_LEGAL,0))</f>
        <v/>
      </c>
      <c r="BY317" s="3">
        <f>SG_GAR*MIN(1,BX317/SG_GAR_FULL)+SG_AMPL*(AC317="sí")+SG_KMC*(AF317="sí")+SG_REV*(N(AE317)&gt;0)+SG_DEV*MIN(1,N(AG317)/SG_DEV_FULL)+SG_HIST*(W317="sí")</f>
        <v/>
      </c>
      <c r="BZ317" s="3">
        <f>IFERROR(VLOOKUP(L317,CARR_PEN_TBL,2,0),0)</f>
        <v/>
      </c>
      <c r="CA317" s="3">
        <f>W_FIAB*BL317+W_PRECIO*BM317+W_KMEDAD*BQ317+W_ANUNCIO*BR317+W_USO*BW317+W_SEGURIDAD*BY317-BZ317</f>
        <v/>
      </c>
      <c r="CB317" s="4">
        <f>IF(N(I317)&gt;0,I317,IFERROR(ROUND(_xlfn.NUMBERVALUE(LEFT(G317,FIND(" ",G317&amp;" ")-1),".")*1000,0),99999))</f>
        <v/>
      </c>
      <c r="CC317" s="3">
        <f>IF(R317="profesional",0,IF(O317&lt;CUOTA_VALOR_MAX,IF(AU317&gt;ITP_TRAMO_ALTO,SUMIFS(CF_CUOTA,CF_MAS,ITP_TRAMO_ALTO,CF_CCMIN,"&lt;="&amp;CB317,CF_CCMAX,"&gt;="&amp;CB317),IF(AU317&gt;ITP_TRAMO_BAJO,SUMIFS(CF_CUOTA,CF_MAS,ITP_TRAMO_BAJO,CF_CCMIN,"&lt;="&amp;CB317,CF_CCMAX,"&gt;="&amp;CB317),O317*ITP_TIPO)),O317*ITP_TIPO))</f>
        <v/>
      </c>
      <c r="CD317" s="4">
        <f>IF(R317="profesional",N(AK317),0)</f>
        <v/>
      </c>
      <c r="CE317" s="3">
        <f>IF(AND(R317="profesional",ISNUMBER(AK317),AL317="sí"),0,TASA_DGT)</f>
        <v/>
      </c>
      <c r="CF317" s="3">
        <f>INFORME_DGT</f>
        <v/>
      </c>
      <c r="CG317" s="4">
        <f>O317+CD317+CC317+CE317+CF317</f>
        <v/>
      </c>
      <c r="CH317" s="4">
        <f>CG317+N(BU317)</f>
        <v/>
      </c>
      <c r="CI317" s="3">
        <f>IF(CG317&lt;=TOTAL_MAX,"sí",IF(CG317&lt;=TOTAL_MAX+MARGEN_NEG,"negociar","no"))</f>
        <v/>
      </c>
      <c r="CJ317" s="4">
        <f>IF(CI317&lt;&gt;"no",COUNTIFS($CI$2:$CI$662,"&lt;&gt;no",$CA$2:$CA$662,"&gt;"&amp;CA317)+COUNTIFS($CI$2:CI317,"&lt;&gt;no",$CA$2:CA317,CA317),"")</f>
        <v/>
      </c>
    </row>
    <row r="318">
      <c r="A318" s="2" t="inlineStr">
        <is>
          <t>wallapop:1302295708</t>
        </is>
      </c>
      <c r="B318" s="2" t="inlineStr">
        <is>
          <t>wallapop</t>
        </is>
      </c>
      <c r="C318" s="2" t="inlineStr">
        <is>
          <t>https://es.wallapop.com/item/seat-altea-xl-1-9-tdi-105cv-unico-dueno-1302295708</t>
        </is>
      </c>
      <c r="D318" s="2" t="inlineStr">
        <is>
          <t>SEAT Altea XL 1.9 TDI 105cv</t>
        </is>
      </c>
      <c r="E318" s="2" t="inlineStr">
        <is>
          <t>Seat</t>
        </is>
      </c>
      <c r="F318" s="2" t="inlineStr">
        <is>
          <t>Seat Altea</t>
        </is>
      </c>
      <c r="G318" s="2" t="inlineStr">
        <is>
          <t>1.9 TDI</t>
        </is>
      </c>
      <c r="H318" s="2" t="inlineStr">
        <is>
          <t>1.9 TDI 105 Reference 5p</t>
        </is>
      </c>
      <c r="I318" s="2" t="n"/>
      <c r="J318" s="2" t="n">
        <v>105</v>
      </c>
      <c r="K318" s="2" t="inlineStr">
        <is>
          <t>diesel</t>
        </is>
      </c>
      <c r="L318" s="2" t="inlineStr">
        <is>
          <t>monovolumen_pequeno</t>
        </is>
      </c>
      <c r="M318" s="2" t="n">
        <v>2006</v>
      </c>
      <c r="N318" s="2" t="n">
        <v>212500</v>
      </c>
      <c r="O318" s="2" t="n">
        <v>3700</v>
      </c>
      <c r="P318" s="2" t="inlineStr">
        <is>
          <t>manual</t>
        </is>
      </c>
      <c r="Q318" s="2" t="inlineStr">
        <is>
          <t>no</t>
        </is>
      </c>
      <c r="R318" s="2" t="inlineStr">
        <is>
          <t>particular</t>
        </is>
      </c>
      <c r="S318" s="2" t="inlineStr">
        <is>
          <t>Valencia (46021)</t>
        </is>
      </c>
      <c r="T318" s="2" t="inlineStr">
        <is>
          <t>2026-10-27T16:05:50</t>
        </is>
      </c>
      <c r="U318" s="2" t="n">
        <v>8</v>
      </c>
      <c r="V318" s="2" t="inlineStr">
        <is>
          <t>sí</t>
        </is>
      </c>
      <c r="W318" s="2" t="n"/>
      <c r="X318" s="2" t="n"/>
      <c r="Y318" s="2" t="n"/>
      <c r="Z318" s="2" t="n"/>
      <c r="AA318" s="2" t="n"/>
      <c r="AB318" s="2" t="n"/>
      <c r="AC318" s="2" t="n"/>
      <c r="AD318" s="2" t="n"/>
      <c r="AE318" s="2" t="n"/>
      <c r="AF318" s="2" t="n"/>
      <c r="AG318" s="2" t="n"/>
      <c r="AH318" s="2" t="n"/>
      <c r="AI318" s="2" t="n"/>
      <c r="AJ318" s="2" t="n"/>
      <c r="AK318" s="2" t="n"/>
      <c r="AL318" s="2" t="n"/>
      <c r="AM318" s="2" t="n">
        <v>2</v>
      </c>
      <c r="AN318" s="2" t="n">
        <v>3849.5</v>
      </c>
      <c r="AO318" s="2" t="n">
        <v>6</v>
      </c>
      <c r="AP318" s="2" t="inlineStr">
        <is>
          <t>modelo+año+km</t>
        </is>
      </c>
      <c r="AQ318" s="2" t="n"/>
      <c r="AR318" s="2" t="inlineStr">
        <is>
          <t>cuota fija ITP: &gt;12 años, 1.501-2.000 cc; diésel: motor sin fuente de fiabilidad (fiabilidad limitada a neutra); carrocería monovolumen_pequeno: -6 puntos; fiabilidad del modelo PENDIENTE de fuente (puntuación neutra)</t>
        </is>
      </c>
      <c r="AS318" s="2" t="inlineStr">
        <is>
          <t xml:space="preserve">En venta SEAT Altea XL en excelente estado general. El monovolumen ideal si buscas espacio, fiabilidad y consumo mínimo.
✅ Muy cuidado y mimado
✅ Motor 1.9 TDI 105cv (el motor diésel más duro y fiable del grupo VAG)
✅ Diésel 
✅ Maletero enorme y muy espacioso
✅ 2006
✅ 212.000 km reales
✅ ITV hasta octubre 2027
Monovolumen muy versátil, perfecto para familias o viajes largos. Listo para rodar sin sorpresas.
Se acepta cualquier tipo de prueba mecánica. 
¿Tienes dudas o quieres venir a verlo? Escríbeme directamente por el chat y estaré encantado de ayudarte. ¡Contacta hoy mismo y aprovecha la oportunidad! </t>
        </is>
      </c>
      <c r="AT318" s="2" t="inlineStr">
        <is>
          <t>https://es.wallapop.com/item/seat-altea-xl-1-9-tdi-105cv-unico-dueno-1302295708 (__NEXT_DATA__ item) /home/user/Alopecia/buscador-coches/raw/wallapop/a16cc732b4837622.json</t>
        </is>
      </c>
      <c r="AU318" s="3">
        <f>MAX(ANIO_ACTUAL-M318,0)</f>
        <v/>
      </c>
      <c r="AV318" s="4">
        <f>N318/MAX(AU318,0.5)</f>
        <v/>
      </c>
      <c r="AW318" s="4">
        <f>F318</f>
        <v/>
      </c>
      <c r="AX318" s="3">
        <f>AW318&amp;"|"&amp;INT(M318/SEG_ANIO)*SEG_ANIO</f>
        <v/>
      </c>
      <c r="AY318" s="3">
        <f>AX318&amp;"|"&amp;INT(N318/SEG_KM)*SEG_KM</f>
        <v/>
      </c>
      <c r="AZ318" s="4">
        <f>COUNTIF($AW$2:$AW$662,AW318)</f>
        <v/>
      </c>
      <c r="BA318" s="4">
        <f>COUNTIF($AX$2:$AX$662,AX318)</f>
        <v/>
      </c>
      <c r="BB318" s="4">
        <f>COUNTIF($AY$2:$AY$662,AY318)</f>
        <v/>
      </c>
      <c r="BC318" s="3">
        <f t="array" ref="BC318">IF(N(AO318)&gt;=MIN_N,AN318,IF(BB318&gt;=MIN_N,MEDIAN(IF($AY$2:$AY$662=AY318,$O$2:$O$662)),IF(BA318&gt;=MIN_N,MEDIAN(IF($AX$2:$AX$662=AX318,$O$2:$O$662)),MEDIAN(IF($AW$2:$AW$662=AW318,$O$2:$O$662)))))</f>
        <v/>
      </c>
      <c r="BD318" s="3">
        <f>IF(N(AO318)&gt;=MIN_N,"mercado "&amp;AP318,IF(BB318&gt;=MIN_N,"modelo+año+km",IF(BA318&gt;=MIN_N,"modelo+año","modelo")))</f>
        <v/>
      </c>
      <c r="BE318" s="4">
        <f>(BC318-O318)/BC318</f>
        <v/>
      </c>
      <c r="BF318" s="3">
        <f>IF(OR(K318="hibrido",K318="glp"),"ECO",IF(K318="electrico","CERO",IF(K318="gasolina",IF(M318&gt;=GAS_C,"C",IF(M318&gt;=GAS_B,"B","A")),IF(K318="diesel",IF(M318&gt;=DIE_C,"C",IF(M318&gt;=DIE_B,"B","A")),""))))</f>
        <v/>
      </c>
      <c r="BG318" s="3">
        <f>IFERROR(VLOOKUP(F318,MOD_TBL,11,0),IFERROR(VLOOKUP(E318,OCU_TBL,2,0),NEUTRO))</f>
        <v/>
      </c>
      <c r="BH318" s="3">
        <f>SUMIFS(MOT_AJUSTE,MOT_MOTOR,G318,MOT_MARCA,E318,MOT_DESDE,"&lt;="&amp;M318,MOT_HASTA,"&gt;="&amp;M318)+SUMIFS(MOT_AJUSTE,MOT_MOTOR,G318,MOT_MARCA,"(todas)",MOT_DESDE,"&lt;="&amp;M318,MOT_HASTA,"&gt;="&amp;M318)</f>
        <v/>
      </c>
      <c r="BI318" s="3">
        <f>SUMIFS(COMB_AJUSTE,COMB_COMB,K318)</f>
        <v/>
      </c>
      <c r="BJ318" s="3">
        <f>COUNTIFS(MOT_MOTOR,G318,MOT_MARCA,E318,MOT_DESDE,"&lt;="&amp;M318,MOT_HASTA,"&gt;="&amp;M318)+COUNTIFS(MOT_MOTOR,G318,MOT_MARCA,"(todas)",MOT_DESDE,"&lt;="&amp;M318,MOT_HASTA,"&gt;="&amp;M318)</f>
        <v/>
      </c>
      <c r="BK318" s="3">
        <f>IF(AND(K318="diesel",BJ318=0),MIN(BG318,NEUTRO),BG318)</f>
        <v/>
      </c>
      <c r="BL318" s="4">
        <f>MAX(0,MIN(100,BK318+BH318+BI318))</f>
        <v/>
      </c>
      <c r="BM318" s="3">
        <f>MAX(0,MIN(100,50+BE318*PRECIO_PEND))</f>
        <v/>
      </c>
      <c r="BN318" s="3">
        <f>MAX(0,100*(1-N318/KM_MAX))</f>
        <v/>
      </c>
      <c r="BO318" s="3">
        <f>IF(AV318&lt;KMA_SOSP,IF(AA318="sí",100,KMA_PEN),IF(AV318&lt;=KMA_IDEAL_MAX,100,MAX(0,100*(KMA_CERO-AV318)/(KMA_CERO-KMA_IDEAL_MAX))))</f>
        <v/>
      </c>
      <c r="BP318" s="3">
        <f>MAX(0,MIN(100,100*(M318-ANIO_MIN)/(ANIO_ACTUAL-ANIO_MIN)))</f>
        <v/>
      </c>
      <c r="BQ318" s="3">
        <f>W_KMT*BN318+W_KMA*BO318+W_EDAD*BP318</f>
        <v/>
      </c>
      <c r="BR318" s="3">
        <f>P_ITV*(V318="sí")+P_LIBRO*(W318="sí")+P_CORREA*(X318="sí")+P_PROP*(Y318=1)+P_GAR*(Z318="sí")+P_FOTOS*MIN(1,N(U318)/FOTOS_OBJ)</f>
        <v/>
      </c>
      <c r="BS318" s="3">
        <f>IFERROR(VLOOKUP(BF318,ETQ_TBL,2,0),NEUTRO)</f>
        <v/>
      </c>
      <c r="BT318" s="3">
        <f>NEUTRO</f>
        <v/>
      </c>
      <c r="BU318" s="3">
        <f>IFERROR(VLOOKUP(L318,SEGURO_TBL,3,0),"")</f>
        <v/>
      </c>
      <c r="BV318" s="3">
        <f>IF(BU318="",NEUTRO,MAX(0,MIN(100,100*(SEG_REF_MAX-BU318)/(SEG_REF_MAX-SEG_REF_MIN))))</f>
        <v/>
      </c>
      <c r="BW318" s="3">
        <f>W_ET*BS318+W_CONS*BT318+W_SEG*BV318</f>
        <v/>
      </c>
      <c r="BX318" s="3">
        <f>IF(N(AB318)&gt;0,AB318,IF(AND(R318="profesional",SG_LEGAL_ON=1),GAR_LEGAL,0))</f>
        <v/>
      </c>
      <c r="BY318" s="3">
        <f>SG_GAR*MIN(1,BX318/SG_GAR_FULL)+SG_AMPL*(AC318="sí")+SG_KMC*(AF318="sí")+SG_REV*(N(AE318)&gt;0)+SG_DEV*MIN(1,N(AG318)/SG_DEV_FULL)+SG_HIST*(W318="sí")</f>
        <v/>
      </c>
      <c r="BZ318" s="3">
        <f>IFERROR(VLOOKUP(L318,CARR_PEN_TBL,2,0),0)</f>
        <v/>
      </c>
      <c r="CA318" s="3">
        <f>W_FIAB*BL318+W_PRECIO*BM318+W_KMEDAD*BQ318+W_ANUNCIO*BR318+W_USO*BW318+W_SEGURIDAD*BY318-BZ318</f>
        <v/>
      </c>
      <c r="CB318" s="4">
        <f>IF(N(I318)&gt;0,I318,IFERROR(ROUND(_xlfn.NUMBERVALUE(LEFT(G318,FIND(" ",G318&amp;" ")-1),".")*1000,0),99999))</f>
        <v/>
      </c>
      <c r="CC318" s="3">
        <f>IF(R318="profesional",0,IF(O318&lt;CUOTA_VALOR_MAX,IF(AU318&gt;ITP_TRAMO_ALTO,SUMIFS(CF_CUOTA,CF_MAS,ITP_TRAMO_ALTO,CF_CCMIN,"&lt;="&amp;CB318,CF_CCMAX,"&gt;="&amp;CB318),IF(AU318&gt;ITP_TRAMO_BAJO,SUMIFS(CF_CUOTA,CF_MAS,ITP_TRAMO_BAJO,CF_CCMIN,"&lt;="&amp;CB318,CF_CCMAX,"&gt;="&amp;CB318),O318*ITP_TIPO)),O318*ITP_TIPO))</f>
        <v/>
      </c>
      <c r="CD318" s="4">
        <f>IF(R318="profesional",N(AK318),0)</f>
        <v/>
      </c>
      <c r="CE318" s="3">
        <f>IF(AND(R318="profesional",ISNUMBER(AK318),AL318="sí"),0,TASA_DGT)</f>
        <v/>
      </c>
      <c r="CF318" s="3">
        <f>INFORME_DGT</f>
        <v/>
      </c>
      <c r="CG318" s="4">
        <f>O318+CD318+CC318+CE318+CF318</f>
        <v/>
      </c>
      <c r="CH318" s="4">
        <f>CG318+N(BU318)</f>
        <v/>
      </c>
      <c r="CI318" s="3">
        <f>IF(CG318&lt;=TOTAL_MAX,"sí",IF(CG318&lt;=TOTAL_MAX+MARGEN_NEG,"negociar","no"))</f>
        <v/>
      </c>
      <c r="CJ318" s="4">
        <f>IF(CI318&lt;&gt;"no",COUNTIFS($CI$2:$CI$662,"&lt;&gt;no",$CA$2:$CA$662,"&gt;"&amp;CA318)+COUNTIFS($CI$2:CI318,"&lt;&gt;no",$CA$2:CA318,CA318),"")</f>
        <v/>
      </c>
    </row>
    <row r="319">
      <c r="A319" s="2" t="inlineStr">
        <is>
          <t>wallapop:1279575310</t>
        </is>
      </c>
      <c r="B319" s="2" t="inlineStr">
        <is>
          <t>wallapop</t>
        </is>
      </c>
      <c r="C319" s="2" t="inlineStr">
        <is>
          <t>https://es.wallapop.com/item/seat-toledo-2007-1279575310</t>
        </is>
      </c>
      <c r="D319" s="2" t="inlineStr">
        <is>
          <t>SEAT Toledo 2007</t>
        </is>
      </c>
      <c r="E319" s="2" t="inlineStr">
        <is>
          <t>Seat</t>
        </is>
      </c>
      <c r="F319" s="2" t="inlineStr">
        <is>
          <t>Seat Toledo</t>
        </is>
      </c>
      <c r="G319" s="2" t="inlineStr">
        <is>
          <t>1.9 TDI</t>
        </is>
      </c>
      <c r="H319" s="2" t="inlineStr">
        <is>
          <t>1.9 TDI 105 Reference 5p</t>
        </is>
      </c>
      <c r="I319" s="2" t="n"/>
      <c r="J319" s="2" t="n">
        <v>105</v>
      </c>
      <c r="K319" s="2" t="inlineStr">
        <is>
          <t>diesel</t>
        </is>
      </c>
      <c r="L319" s="2" t="inlineStr">
        <is>
          <t>berlina</t>
        </is>
      </c>
      <c r="M319" s="2" t="n">
        <v>2007</v>
      </c>
      <c r="N319" s="2" t="n">
        <v>173444</v>
      </c>
      <c r="O319" s="2" t="n">
        <v>4500</v>
      </c>
      <c r="P319" s="2" t="inlineStr">
        <is>
          <t>manual</t>
        </is>
      </c>
      <c r="Q319" s="2" t="inlineStr">
        <is>
          <t>no</t>
        </is>
      </c>
      <c r="R319" s="2" t="inlineStr">
        <is>
          <t>particular</t>
        </is>
      </c>
      <c r="S319" s="2" t="inlineStr">
        <is>
          <t>Torrent (46900)</t>
        </is>
      </c>
      <c r="T319" s="2" t="inlineStr">
        <is>
          <t>2026-10-25T21:02:30</t>
        </is>
      </c>
      <c r="U319" s="2" t="n">
        <v>10</v>
      </c>
      <c r="V319" s="2" t="inlineStr">
        <is>
          <t>sí</t>
        </is>
      </c>
      <c r="W319" s="2" t="inlineStr">
        <is>
          <t>sí</t>
        </is>
      </c>
      <c r="X319" s="2" t="n"/>
      <c r="Y319" s="2" t="n"/>
      <c r="Z319" s="2" t="n"/>
      <c r="AA319" s="2" t="n"/>
      <c r="AB319" s="2" t="n"/>
      <c r="AC319" s="2" t="n"/>
      <c r="AD319" s="2" t="n"/>
      <c r="AE319" s="2" t="n"/>
      <c r="AF319" s="2" t="n"/>
      <c r="AG319" s="2" t="n"/>
      <c r="AH319" s="2" t="n"/>
      <c r="AI319" s="2" t="n"/>
      <c r="AJ319" s="2" t="n"/>
      <c r="AK319" s="2" t="n"/>
      <c r="AL319" s="2" t="n"/>
      <c r="AM319" s="2" t="n">
        <v>8.699999999999999</v>
      </c>
      <c r="AN319" s="2" t="n">
        <v>3150</v>
      </c>
      <c r="AO319" s="2" t="n">
        <v>4</v>
      </c>
      <c r="AP319" s="2" t="inlineStr">
        <is>
          <t>modelo+año</t>
        </is>
      </c>
      <c r="AQ319" s="2" t="n"/>
      <c r="AR319" s="2" t="inlineStr">
        <is>
          <t>cuota fija ITP: &gt;12 años, 1.501-2.000 cc; diésel: motor sin fuente de fiabilidad (fiabilidad limitada a neutra); carrocería berlina: -4 puntos; fiabilidad del modelo PENDIENTE de fuente (puntuación neutra)</t>
        </is>
      </c>
      <c r="AS319" s="2" t="inlineStr">
        <is>
          <t xml:space="preserve">Motor 1.9 tdi diesel  
muy resistente pocos km para los años que tiene .
Cierre centralizado 
Tapicería impecable 
Exterior perfecto 
Esta listo para rodar sin ningún problema
Elevalunas eléctricos
Itv al día 
Mantenimiento al día 
Distribución sustituida 
Neumaticos nuevos
Aire acondicionado funcionando perfectamente 
</t>
        </is>
      </c>
      <c r="AT319" s="2" t="inlineStr">
        <is>
          <t>https://es.wallapop.com/item/seat-toledo-2007-1279575310 (__NEXT_DATA__ item) /home/user/Alopecia/buscador-coches/raw/wallapop/4127a80fc3353667.json</t>
        </is>
      </c>
      <c r="AU319" s="3">
        <f>MAX(ANIO_ACTUAL-M319,0)</f>
        <v/>
      </c>
      <c r="AV319" s="4">
        <f>N319/MAX(AU319,0.5)</f>
        <v/>
      </c>
      <c r="AW319" s="4">
        <f>F319</f>
        <v/>
      </c>
      <c r="AX319" s="3">
        <f>AW319&amp;"|"&amp;INT(M319/SEG_ANIO)*SEG_ANIO</f>
        <v/>
      </c>
      <c r="AY319" s="3">
        <f>AX319&amp;"|"&amp;INT(N319/SEG_KM)*SEG_KM</f>
        <v/>
      </c>
      <c r="AZ319" s="4">
        <f>COUNTIF($AW$2:$AW$662,AW319)</f>
        <v/>
      </c>
      <c r="BA319" s="4">
        <f>COUNTIF($AX$2:$AX$662,AX319)</f>
        <v/>
      </c>
      <c r="BB319" s="4">
        <f>COUNTIF($AY$2:$AY$662,AY319)</f>
        <v/>
      </c>
      <c r="BC319" s="3">
        <f t="array" ref="BC319">IF(N(AO319)&gt;=MIN_N,AN319,IF(BB319&gt;=MIN_N,MEDIAN(IF($AY$2:$AY$662=AY319,$O$2:$O$662)),IF(BA319&gt;=MIN_N,MEDIAN(IF($AX$2:$AX$662=AX319,$O$2:$O$662)),MEDIAN(IF($AW$2:$AW$662=AW319,$O$2:$O$662)))))</f>
        <v/>
      </c>
      <c r="BD319" s="3">
        <f>IF(N(AO319)&gt;=MIN_N,"mercado "&amp;AP319,IF(BB319&gt;=MIN_N,"modelo+año+km",IF(BA319&gt;=MIN_N,"modelo+año","modelo")))</f>
        <v/>
      </c>
      <c r="BE319" s="4">
        <f>(BC319-O319)/BC319</f>
        <v/>
      </c>
      <c r="BF319" s="3">
        <f>IF(OR(K319="hibrido",K319="glp"),"ECO",IF(K319="electrico","CERO",IF(K319="gasolina",IF(M319&gt;=GAS_C,"C",IF(M319&gt;=GAS_B,"B","A")),IF(K319="diesel",IF(M319&gt;=DIE_C,"C",IF(M319&gt;=DIE_B,"B","A")),""))))</f>
        <v/>
      </c>
      <c r="BG319" s="3">
        <f>IFERROR(VLOOKUP(F319,MOD_TBL,11,0),IFERROR(VLOOKUP(E319,OCU_TBL,2,0),NEUTRO))</f>
        <v/>
      </c>
      <c r="BH319" s="3">
        <f>SUMIFS(MOT_AJUSTE,MOT_MOTOR,G319,MOT_MARCA,E319,MOT_DESDE,"&lt;="&amp;M319,MOT_HASTA,"&gt;="&amp;M319)+SUMIFS(MOT_AJUSTE,MOT_MOTOR,G319,MOT_MARCA,"(todas)",MOT_DESDE,"&lt;="&amp;M319,MOT_HASTA,"&gt;="&amp;M319)</f>
        <v/>
      </c>
      <c r="BI319" s="3">
        <f>SUMIFS(COMB_AJUSTE,COMB_COMB,K319)</f>
        <v/>
      </c>
      <c r="BJ319" s="3">
        <f>COUNTIFS(MOT_MOTOR,G319,MOT_MARCA,E319,MOT_DESDE,"&lt;="&amp;M319,MOT_HASTA,"&gt;="&amp;M319)+COUNTIFS(MOT_MOTOR,G319,MOT_MARCA,"(todas)",MOT_DESDE,"&lt;="&amp;M319,MOT_HASTA,"&gt;="&amp;M319)</f>
        <v/>
      </c>
      <c r="BK319" s="3">
        <f>IF(AND(K319="diesel",BJ319=0),MIN(BG319,NEUTRO),BG319)</f>
        <v/>
      </c>
      <c r="BL319" s="4">
        <f>MAX(0,MIN(100,BK319+BH319+BI319))</f>
        <v/>
      </c>
      <c r="BM319" s="3">
        <f>MAX(0,MIN(100,50+BE319*PRECIO_PEND))</f>
        <v/>
      </c>
      <c r="BN319" s="3">
        <f>MAX(0,100*(1-N319/KM_MAX))</f>
        <v/>
      </c>
      <c r="BO319" s="3">
        <f>IF(AV319&lt;KMA_SOSP,IF(AA319="sí",100,KMA_PEN),IF(AV319&lt;=KMA_IDEAL_MAX,100,MAX(0,100*(KMA_CERO-AV319)/(KMA_CERO-KMA_IDEAL_MAX))))</f>
        <v/>
      </c>
      <c r="BP319" s="3">
        <f>MAX(0,MIN(100,100*(M319-ANIO_MIN)/(ANIO_ACTUAL-ANIO_MIN)))</f>
        <v/>
      </c>
      <c r="BQ319" s="3">
        <f>W_KMT*BN319+W_KMA*BO319+W_EDAD*BP319</f>
        <v/>
      </c>
      <c r="BR319" s="3">
        <f>P_ITV*(V319="sí")+P_LIBRO*(W319="sí")+P_CORREA*(X319="sí")+P_PROP*(Y319=1)+P_GAR*(Z319="sí")+P_FOTOS*MIN(1,N(U319)/FOTOS_OBJ)</f>
        <v/>
      </c>
      <c r="BS319" s="3">
        <f>IFERROR(VLOOKUP(BF319,ETQ_TBL,2,0),NEUTRO)</f>
        <v/>
      </c>
      <c r="BT319" s="3">
        <f>NEUTRO</f>
        <v/>
      </c>
      <c r="BU319" s="3">
        <f>IFERROR(VLOOKUP(L319,SEGURO_TBL,3,0),"")</f>
        <v/>
      </c>
      <c r="BV319" s="3">
        <f>IF(BU319="",NEUTRO,MAX(0,MIN(100,100*(SEG_REF_MAX-BU319)/(SEG_REF_MAX-SEG_REF_MIN))))</f>
        <v/>
      </c>
      <c r="BW319" s="3">
        <f>W_ET*BS319+W_CONS*BT319+W_SEG*BV319</f>
        <v/>
      </c>
      <c r="BX319" s="3">
        <f>IF(N(AB319)&gt;0,AB319,IF(AND(R319="profesional",SG_LEGAL_ON=1),GAR_LEGAL,0))</f>
        <v/>
      </c>
      <c r="BY319" s="3">
        <f>SG_GAR*MIN(1,BX319/SG_GAR_FULL)+SG_AMPL*(AC319="sí")+SG_KMC*(AF319="sí")+SG_REV*(N(AE319)&gt;0)+SG_DEV*MIN(1,N(AG319)/SG_DEV_FULL)+SG_HIST*(W319="sí")</f>
        <v/>
      </c>
      <c r="BZ319" s="3">
        <f>IFERROR(VLOOKUP(L319,CARR_PEN_TBL,2,0),0)</f>
        <v/>
      </c>
      <c r="CA319" s="3">
        <f>W_FIAB*BL319+W_PRECIO*BM319+W_KMEDAD*BQ319+W_ANUNCIO*BR319+W_USO*BW319+W_SEGURIDAD*BY319-BZ319</f>
        <v/>
      </c>
      <c r="CB319" s="4">
        <f>IF(N(I319)&gt;0,I319,IFERROR(ROUND(_xlfn.NUMBERVALUE(LEFT(G319,FIND(" ",G319&amp;" ")-1),".")*1000,0),99999))</f>
        <v/>
      </c>
      <c r="CC319" s="3">
        <f>IF(R319="profesional",0,IF(O319&lt;CUOTA_VALOR_MAX,IF(AU319&gt;ITP_TRAMO_ALTO,SUMIFS(CF_CUOTA,CF_MAS,ITP_TRAMO_ALTO,CF_CCMIN,"&lt;="&amp;CB319,CF_CCMAX,"&gt;="&amp;CB319),IF(AU319&gt;ITP_TRAMO_BAJO,SUMIFS(CF_CUOTA,CF_MAS,ITP_TRAMO_BAJO,CF_CCMIN,"&lt;="&amp;CB319,CF_CCMAX,"&gt;="&amp;CB319),O319*ITP_TIPO)),O319*ITP_TIPO))</f>
        <v/>
      </c>
      <c r="CD319" s="4">
        <f>IF(R319="profesional",N(AK319),0)</f>
        <v/>
      </c>
      <c r="CE319" s="3">
        <f>IF(AND(R319="profesional",ISNUMBER(AK319),AL319="sí"),0,TASA_DGT)</f>
        <v/>
      </c>
      <c r="CF319" s="3">
        <f>INFORME_DGT</f>
        <v/>
      </c>
      <c r="CG319" s="4">
        <f>O319+CD319+CC319+CE319+CF319</f>
        <v/>
      </c>
      <c r="CH319" s="4">
        <f>CG319+N(BU319)</f>
        <v/>
      </c>
      <c r="CI319" s="3">
        <f>IF(CG319&lt;=TOTAL_MAX,"sí",IF(CG319&lt;=TOTAL_MAX+MARGEN_NEG,"negociar","no"))</f>
        <v/>
      </c>
      <c r="CJ319" s="4">
        <f>IF(CI319&lt;&gt;"no",COUNTIFS($CI$2:$CI$662,"&lt;&gt;no",$CA$2:$CA$662,"&gt;"&amp;CA319)+COUNTIFS($CI$2:CI319,"&lt;&gt;no",$CA$2:CA319,CA319),"")</f>
        <v/>
      </c>
    </row>
    <row r="320">
      <c r="A320" s="2" t="inlineStr">
        <is>
          <t>wallapop:1253040643</t>
        </is>
      </c>
      <c r="B320" s="2" t="inlineStr">
        <is>
          <t>wallapop</t>
        </is>
      </c>
      <c r="C320" s="2" t="inlineStr">
        <is>
          <t>https://es.wallapop.com/item/seat-toledo-2015-1253040643</t>
        </is>
      </c>
      <c r="D320" s="2" t="inlineStr">
        <is>
          <t>SEAT Toledo 2015</t>
        </is>
      </c>
      <c r="E320" s="2" t="inlineStr">
        <is>
          <t>Seat</t>
        </is>
      </c>
      <c r="F320" s="2" t="inlineStr">
        <is>
          <t>Seat Toledo</t>
        </is>
      </c>
      <c r="G320" s="2" t="inlineStr">
        <is>
          <t>1.6 TDI</t>
        </is>
      </c>
      <c r="H320" s="2" t="inlineStr">
        <is>
          <t>1.6 TDI CR 105 Reference 5p</t>
        </is>
      </c>
      <c r="I320" s="2" t="n"/>
      <c r="J320" s="2" t="n">
        <v>105</v>
      </c>
      <c r="K320" s="2" t="inlineStr">
        <is>
          <t>diesel</t>
        </is>
      </c>
      <c r="L320" s="2" t="inlineStr">
        <is>
          <t>berlina</t>
        </is>
      </c>
      <c r="M320" s="2" t="n">
        <v>2015</v>
      </c>
      <c r="N320" s="2" t="n">
        <v>194000</v>
      </c>
      <c r="O320" s="2" t="n">
        <v>4950</v>
      </c>
      <c r="P320" s="2" t="inlineStr">
        <is>
          <t>manual</t>
        </is>
      </c>
      <c r="Q320" s="2" t="inlineStr">
        <is>
          <t>no</t>
        </is>
      </c>
      <c r="R320" s="2" t="inlineStr">
        <is>
          <t>particular</t>
        </is>
      </c>
      <c r="S320" s="2" t="inlineStr">
        <is>
          <t>Gandía (46700)</t>
        </is>
      </c>
      <c r="T320" s="2" t="inlineStr">
        <is>
          <t>2026-10-16T06:44:22</t>
        </is>
      </c>
      <c r="U320" s="2" t="n">
        <v>8</v>
      </c>
      <c r="V320" s="2" t="inlineStr">
        <is>
          <t>sí</t>
        </is>
      </c>
      <c r="W320" s="2" t="n"/>
      <c r="X320" s="2" t="n"/>
      <c r="Y320" s="2" t="n"/>
      <c r="Z320" s="2" t="n"/>
      <c r="AA320" s="2" t="n"/>
      <c r="AB320" s="2" t="n"/>
      <c r="AC320" s="2" t="n"/>
      <c r="AD320" s="2" t="n"/>
      <c r="AE320" s="2" t="n"/>
      <c r="AF320" s="2" t="n"/>
      <c r="AG320" s="2" t="n"/>
      <c r="AH320" s="2" t="n"/>
      <c r="AI320" s="2" t="n"/>
      <c r="AJ320" s="2" t="n"/>
      <c r="AK320" s="2" t="n"/>
      <c r="AL320" s="2" t="n"/>
      <c r="AM320" s="2" t="n">
        <v>58.2</v>
      </c>
      <c r="AN320" s="2" t="n">
        <v>5350</v>
      </c>
      <c r="AO320" s="2" t="n">
        <v>8</v>
      </c>
      <c r="AP320" s="2" t="inlineStr">
        <is>
          <t>modelo+año</t>
        </is>
      </c>
      <c r="AQ320" s="2" t="n"/>
      <c r="AR320" s="2" t="inlineStr">
        <is>
          <t>por encima del presupuesto (5194 €), negociar; cuota fija ITP: &gt;5 y &lt;=12 años, 1.501-2.000 cc; carrocería berlina: -4 puntos; fiabilidad del modelo PENDIENTE de fuente (puntuación neutra)</t>
        </is>
      </c>
      <c r="AS320" s="2" t="inlineStr">
        <is>
          <t xml:space="preserve">Seat toledo 1.6tdi En buen estado general. ITV hasta octubre 2027 ! Algo negociable ,delante del coche ! </t>
        </is>
      </c>
      <c r="AT320" s="2" t="inlineStr">
        <is>
          <t>https://es.wallapop.com/item/seat-toledo-2015-1253040643 (__NEXT_DATA__ item) /home/user/Alopecia/buscador-coches/raw/wallapop/92440e09c7960e43.json</t>
        </is>
      </c>
      <c r="AU320" s="3">
        <f>MAX(ANIO_ACTUAL-M320,0)</f>
        <v/>
      </c>
      <c r="AV320" s="4">
        <f>N320/MAX(AU320,0.5)</f>
        <v/>
      </c>
      <c r="AW320" s="4">
        <f>F320</f>
        <v/>
      </c>
      <c r="AX320" s="3">
        <f>AW320&amp;"|"&amp;INT(M320/SEG_ANIO)*SEG_ANIO</f>
        <v/>
      </c>
      <c r="AY320" s="3">
        <f>AX320&amp;"|"&amp;INT(N320/SEG_KM)*SEG_KM</f>
        <v/>
      </c>
      <c r="AZ320" s="4">
        <f>COUNTIF($AW$2:$AW$662,AW320)</f>
        <v/>
      </c>
      <c r="BA320" s="4">
        <f>COUNTIF($AX$2:$AX$662,AX320)</f>
        <v/>
      </c>
      <c r="BB320" s="4">
        <f>COUNTIF($AY$2:$AY$662,AY320)</f>
        <v/>
      </c>
      <c r="BC320" s="3">
        <f t="array" ref="BC320">IF(N(AO320)&gt;=MIN_N,AN320,IF(BB320&gt;=MIN_N,MEDIAN(IF($AY$2:$AY$662=AY320,$O$2:$O$662)),IF(BA320&gt;=MIN_N,MEDIAN(IF($AX$2:$AX$662=AX320,$O$2:$O$662)),MEDIAN(IF($AW$2:$AW$662=AW320,$O$2:$O$662)))))</f>
        <v/>
      </c>
      <c r="BD320" s="3">
        <f>IF(N(AO320)&gt;=MIN_N,"mercado "&amp;AP320,IF(BB320&gt;=MIN_N,"modelo+año+km",IF(BA320&gt;=MIN_N,"modelo+año","modelo")))</f>
        <v/>
      </c>
      <c r="BE320" s="4">
        <f>(BC320-O320)/BC320</f>
        <v/>
      </c>
      <c r="BF320" s="3">
        <f>IF(OR(K320="hibrido",K320="glp"),"ECO",IF(K320="electrico","CERO",IF(K320="gasolina",IF(M320&gt;=GAS_C,"C",IF(M320&gt;=GAS_B,"B","A")),IF(K320="diesel",IF(M320&gt;=DIE_C,"C",IF(M320&gt;=DIE_B,"B","A")),""))))</f>
        <v/>
      </c>
      <c r="BG320" s="3">
        <f>IFERROR(VLOOKUP(F320,MOD_TBL,11,0),IFERROR(VLOOKUP(E320,OCU_TBL,2,0),NEUTRO))</f>
        <v/>
      </c>
      <c r="BH320" s="3">
        <f>SUMIFS(MOT_AJUSTE,MOT_MOTOR,G320,MOT_MARCA,E320,MOT_DESDE,"&lt;="&amp;M320,MOT_HASTA,"&gt;="&amp;M320)+SUMIFS(MOT_AJUSTE,MOT_MOTOR,G320,MOT_MARCA,"(todas)",MOT_DESDE,"&lt;="&amp;M320,MOT_HASTA,"&gt;="&amp;M320)</f>
        <v/>
      </c>
      <c r="BI320" s="3">
        <f>SUMIFS(COMB_AJUSTE,COMB_COMB,K320)</f>
        <v/>
      </c>
      <c r="BJ320" s="3">
        <f>COUNTIFS(MOT_MOTOR,G320,MOT_MARCA,E320,MOT_DESDE,"&lt;="&amp;M320,MOT_HASTA,"&gt;="&amp;M320)+COUNTIFS(MOT_MOTOR,G320,MOT_MARCA,"(todas)",MOT_DESDE,"&lt;="&amp;M320,MOT_HASTA,"&gt;="&amp;M320)</f>
        <v/>
      </c>
      <c r="BK320" s="3">
        <f>IF(AND(K320="diesel",BJ320=0),MIN(BG320,NEUTRO),BG320)</f>
        <v/>
      </c>
      <c r="BL320" s="4">
        <f>MAX(0,MIN(100,BK320+BH320+BI320))</f>
        <v/>
      </c>
      <c r="BM320" s="3">
        <f>MAX(0,MIN(100,50+BE320*PRECIO_PEND))</f>
        <v/>
      </c>
      <c r="BN320" s="3">
        <f>MAX(0,100*(1-N320/KM_MAX))</f>
        <v/>
      </c>
      <c r="BO320" s="3">
        <f>IF(AV320&lt;KMA_SOSP,IF(AA320="sí",100,KMA_PEN),IF(AV320&lt;=KMA_IDEAL_MAX,100,MAX(0,100*(KMA_CERO-AV320)/(KMA_CERO-KMA_IDEAL_MAX))))</f>
        <v/>
      </c>
      <c r="BP320" s="3">
        <f>MAX(0,MIN(100,100*(M320-ANIO_MIN)/(ANIO_ACTUAL-ANIO_MIN)))</f>
        <v/>
      </c>
      <c r="BQ320" s="3">
        <f>W_KMT*BN320+W_KMA*BO320+W_EDAD*BP320</f>
        <v/>
      </c>
      <c r="BR320" s="3">
        <f>P_ITV*(V320="sí")+P_LIBRO*(W320="sí")+P_CORREA*(X320="sí")+P_PROP*(Y320=1)+P_GAR*(Z320="sí")+P_FOTOS*MIN(1,N(U320)/FOTOS_OBJ)</f>
        <v/>
      </c>
      <c r="BS320" s="3">
        <f>IFERROR(VLOOKUP(BF320,ETQ_TBL,2,0),NEUTRO)</f>
        <v/>
      </c>
      <c r="BT320" s="3">
        <f>NEUTRO</f>
        <v/>
      </c>
      <c r="BU320" s="3">
        <f>IFERROR(VLOOKUP(L320,SEGURO_TBL,3,0),"")</f>
        <v/>
      </c>
      <c r="BV320" s="3">
        <f>IF(BU320="",NEUTRO,MAX(0,MIN(100,100*(SEG_REF_MAX-BU320)/(SEG_REF_MAX-SEG_REF_MIN))))</f>
        <v/>
      </c>
      <c r="BW320" s="3">
        <f>W_ET*BS320+W_CONS*BT320+W_SEG*BV320</f>
        <v/>
      </c>
      <c r="BX320" s="3">
        <f>IF(N(AB320)&gt;0,AB320,IF(AND(R320="profesional",SG_LEGAL_ON=1),GAR_LEGAL,0))</f>
        <v/>
      </c>
      <c r="BY320" s="3">
        <f>SG_GAR*MIN(1,BX320/SG_GAR_FULL)+SG_AMPL*(AC320="sí")+SG_KMC*(AF320="sí")+SG_REV*(N(AE320)&gt;0)+SG_DEV*MIN(1,N(AG320)/SG_DEV_FULL)+SG_HIST*(W320="sí")</f>
        <v/>
      </c>
      <c r="BZ320" s="3">
        <f>IFERROR(VLOOKUP(L320,CARR_PEN_TBL,2,0),0)</f>
        <v/>
      </c>
      <c r="CA320" s="3">
        <f>W_FIAB*BL320+W_PRECIO*BM320+W_KMEDAD*BQ320+W_ANUNCIO*BR320+W_USO*BW320+W_SEGURIDAD*BY320-BZ320</f>
        <v/>
      </c>
      <c r="CB320" s="4">
        <f>IF(N(I320)&gt;0,I320,IFERROR(ROUND(_xlfn.NUMBERVALUE(LEFT(G320,FIND(" ",G320&amp;" ")-1),".")*1000,0),99999))</f>
        <v/>
      </c>
      <c r="CC320" s="3">
        <f>IF(R320="profesional",0,IF(O320&lt;CUOTA_VALOR_MAX,IF(AU320&gt;ITP_TRAMO_ALTO,SUMIFS(CF_CUOTA,CF_MAS,ITP_TRAMO_ALTO,CF_CCMIN,"&lt;="&amp;CB320,CF_CCMAX,"&gt;="&amp;CB320),IF(AU320&gt;ITP_TRAMO_BAJO,SUMIFS(CF_CUOTA,CF_MAS,ITP_TRAMO_BAJO,CF_CCMIN,"&lt;="&amp;CB320,CF_CCMAX,"&gt;="&amp;CB320),O320*ITP_TIPO)),O320*ITP_TIPO))</f>
        <v/>
      </c>
      <c r="CD320" s="4">
        <f>IF(R320="profesional",N(AK320),0)</f>
        <v/>
      </c>
      <c r="CE320" s="3">
        <f>IF(AND(R320="profesional",ISNUMBER(AK320),AL320="sí"),0,TASA_DGT)</f>
        <v/>
      </c>
      <c r="CF320" s="3">
        <f>INFORME_DGT</f>
        <v/>
      </c>
      <c r="CG320" s="4">
        <f>O320+CD320+CC320+CE320+CF320</f>
        <v/>
      </c>
      <c r="CH320" s="4">
        <f>CG320+N(BU320)</f>
        <v/>
      </c>
      <c r="CI320" s="3">
        <f>IF(CG320&lt;=TOTAL_MAX,"sí",IF(CG320&lt;=TOTAL_MAX+MARGEN_NEG,"negociar","no"))</f>
        <v/>
      </c>
      <c r="CJ320" s="4">
        <f>IF(CI320&lt;&gt;"no",COUNTIFS($CI$2:$CI$662,"&lt;&gt;no",$CA$2:$CA$662,"&gt;"&amp;CA320)+COUNTIFS($CI$2:CI320,"&lt;&gt;no",$CA$2:CA320,CA320),"")</f>
        <v/>
      </c>
    </row>
    <row r="321">
      <c r="A321" s="2" t="inlineStr">
        <is>
          <t>wallapop:1315532131</t>
        </is>
      </c>
      <c r="B321" s="2" t="inlineStr">
        <is>
          <t>wallapop</t>
        </is>
      </c>
      <c r="C321" s="2" t="inlineStr">
        <is>
          <t>https://es.wallapop.com/item/volkswagen-polo-2006-1315532131</t>
        </is>
      </c>
      <c r="D321" s="2" t="inlineStr">
        <is>
          <t>Volkswagen Polo 2006</t>
        </is>
      </c>
      <c r="E321" s="2" t="inlineStr">
        <is>
          <t>Volkswagen</t>
        </is>
      </c>
      <c r="F321" s="2" t="inlineStr">
        <is>
          <t>Volkswagen Polo</t>
        </is>
      </c>
      <c r="G321" s="2" t="n"/>
      <c r="H321" s="2" t="n"/>
      <c r="I321" s="2" t="n"/>
      <c r="J321" s="2" t="n"/>
      <c r="K321" s="2" t="inlineStr">
        <is>
          <t>diesel</t>
        </is>
      </c>
      <c r="L321" s="2" t="inlineStr">
        <is>
          <t>utilitario</t>
        </is>
      </c>
      <c r="M321" s="2" t="n">
        <v>2006</v>
      </c>
      <c r="N321" s="2" t="n">
        <v>107280</v>
      </c>
      <c r="O321" s="2" t="n">
        <v>5000</v>
      </c>
      <c r="P321" s="2" t="inlineStr">
        <is>
          <t>manual</t>
        </is>
      </c>
      <c r="Q321" s="2" t="inlineStr">
        <is>
          <t>no</t>
        </is>
      </c>
      <c r="R321" s="2" t="inlineStr">
        <is>
          <t>particular</t>
        </is>
      </c>
      <c r="S321" s="2" t="inlineStr">
        <is>
          <t>Valencia (46001)</t>
        </is>
      </c>
      <c r="T321" s="2" t="inlineStr">
        <is>
          <t>2026-10-21T08:19:58</t>
        </is>
      </c>
      <c r="U321" s="2" t="n">
        <v>10</v>
      </c>
      <c r="V321" s="2" t="inlineStr">
        <is>
          <t>sí</t>
        </is>
      </c>
      <c r="W321" s="2" t="n"/>
      <c r="X321" s="2" t="n"/>
      <c r="Y321" s="2" t="n"/>
      <c r="Z321" s="2" t="n"/>
      <c r="AA321" s="2" t="n"/>
      <c r="AB321" s="2" t="n"/>
      <c r="AC321" s="2" t="n"/>
      <c r="AD321" s="2" t="n"/>
      <c r="AE321" s="2" t="n"/>
      <c r="AF321" s="2" t="n"/>
      <c r="AG321" s="2" t="n"/>
      <c r="AH321" s="2" t="n"/>
      <c r="AI321" s="2" t="n"/>
      <c r="AJ321" s="2" t="n"/>
      <c r="AK321" s="2" t="n"/>
      <c r="AL321" s="2" t="n"/>
      <c r="AM321" s="2" t="n">
        <v>0.3</v>
      </c>
      <c r="AN321" s="2" t="n">
        <v>4195</v>
      </c>
      <c r="AO321" s="2" t="n">
        <v>8</v>
      </c>
      <c r="AP321" s="2" t="inlineStr">
        <is>
          <t>modelo+año+km</t>
        </is>
      </c>
      <c r="AQ321" s="2" t="n"/>
      <c r="AR321" s="2" t="inlineStr">
        <is>
          <t>por encima del presupuesto (5204 €), negociar; cilindrada desconocida: se aplica el tramo de cuota fija más alto; cuota fija ITP: &gt;12 años, más de 2.000 cc; diésel: motor sin fuente de fiabilidad (fiabilidad limitada a neutra)</t>
        </is>
      </c>
      <c r="AS321" s="2" t="inlineStr">
        <is>
          <t>Volkswagen polo 1.4 diesel con pocos kilómetros: 107280 y muy bajo consumo.
-Elevalunas electrónicos en las 4 puertas
-Espejos regulables eléctricamente.
-Aire acondicionado funciona muy bien.
-Itv pasada éste Verano.
-Neumaticos nuevos
 -Aceite y filtros cambiados hace 1 mes.
-Tiene etiqueta MEDIOAMBIENTAL.
- Matriculado 20/07/2006
Interesados  llamar al 676585109</t>
        </is>
      </c>
      <c r="AT321" s="2" t="inlineStr">
        <is>
          <t>https://es.wallapop.com/item/volkswagen-polo-2006-1315532131 (__NEXT_DATA__ item) /home/user/Alopecia/buscador-coches/raw/wallapop/e8f6d4974e6cba78.json</t>
        </is>
      </c>
      <c r="AU321" s="3">
        <f>MAX(ANIO_ACTUAL-M321,0)</f>
        <v/>
      </c>
      <c r="AV321" s="4">
        <f>N321/MAX(AU321,0.5)</f>
        <v/>
      </c>
      <c r="AW321" s="4">
        <f>F321</f>
        <v/>
      </c>
      <c r="AX321" s="3">
        <f>AW321&amp;"|"&amp;INT(M321/SEG_ANIO)*SEG_ANIO</f>
        <v/>
      </c>
      <c r="AY321" s="3">
        <f>AX321&amp;"|"&amp;INT(N321/SEG_KM)*SEG_KM</f>
        <v/>
      </c>
      <c r="AZ321" s="4">
        <f>COUNTIF($AW$2:$AW$662,AW321)</f>
        <v/>
      </c>
      <c r="BA321" s="4">
        <f>COUNTIF($AX$2:$AX$662,AX321)</f>
        <v/>
      </c>
      <c r="BB321" s="4">
        <f>COUNTIF($AY$2:$AY$662,AY321)</f>
        <v/>
      </c>
      <c r="BC321" s="3">
        <f t="array" ref="BC321">IF(N(AO321)&gt;=MIN_N,AN321,IF(BB321&gt;=MIN_N,MEDIAN(IF($AY$2:$AY$662=AY321,$O$2:$O$662)),IF(BA321&gt;=MIN_N,MEDIAN(IF($AX$2:$AX$662=AX321,$O$2:$O$662)),MEDIAN(IF($AW$2:$AW$662=AW321,$O$2:$O$662)))))</f>
        <v/>
      </c>
      <c r="BD321" s="3">
        <f>IF(N(AO321)&gt;=MIN_N,"mercado "&amp;AP321,IF(BB321&gt;=MIN_N,"modelo+año+km",IF(BA321&gt;=MIN_N,"modelo+año","modelo")))</f>
        <v/>
      </c>
      <c r="BE321" s="4">
        <f>(BC321-O321)/BC321</f>
        <v/>
      </c>
      <c r="BF321" s="3">
        <f>IF(OR(K321="hibrido",K321="glp"),"ECO",IF(K321="electrico","CERO",IF(K321="gasolina",IF(M321&gt;=GAS_C,"C",IF(M321&gt;=GAS_B,"B","A")),IF(K321="diesel",IF(M321&gt;=DIE_C,"C",IF(M321&gt;=DIE_B,"B","A")),""))))</f>
        <v/>
      </c>
      <c r="BG321" s="3">
        <f>IFERROR(VLOOKUP(F321,MOD_TBL,11,0),IFERROR(VLOOKUP(E321,OCU_TBL,2,0),NEUTRO))</f>
        <v/>
      </c>
      <c r="BH321" s="3">
        <f>SUMIFS(MOT_AJUSTE,MOT_MOTOR,G321,MOT_MARCA,E321,MOT_DESDE,"&lt;="&amp;M321,MOT_HASTA,"&gt;="&amp;M321)+SUMIFS(MOT_AJUSTE,MOT_MOTOR,G321,MOT_MARCA,"(todas)",MOT_DESDE,"&lt;="&amp;M321,MOT_HASTA,"&gt;="&amp;M321)</f>
        <v/>
      </c>
      <c r="BI321" s="3">
        <f>SUMIFS(COMB_AJUSTE,COMB_COMB,K321)</f>
        <v/>
      </c>
      <c r="BJ321" s="3">
        <f>COUNTIFS(MOT_MOTOR,G321,MOT_MARCA,E321,MOT_DESDE,"&lt;="&amp;M321,MOT_HASTA,"&gt;="&amp;M321)+COUNTIFS(MOT_MOTOR,G321,MOT_MARCA,"(todas)",MOT_DESDE,"&lt;="&amp;M321,MOT_HASTA,"&gt;="&amp;M321)</f>
        <v/>
      </c>
      <c r="BK321" s="3">
        <f>IF(AND(K321="diesel",BJ321=0),MIN(BG321,NEUTRO),BG321)</f>
        <v/>
      </c>
      <c r="BL321" s="4">
        <f>MAX(0,MIN(100,BK321+BH321+BI321))</f>
        <v/>
      </c>
      <c r="BM321" s="3">
        <f>MAX(0,MIN(100,50+BE321*PRECIO_PEND))</f>
        <v/>
      </c>
      <c r="BN321" s="3">
        <f>MAX(0,100*(1-N321/KM_MAX))</f>
        <v/>
      </c>
      <c r="BO321" s="3">
        <f>IF(AV321&lt;KMA_SOSP,IF(AA321="sí",100,KMA_PEN),IF(AV321&lt;=KMA_IDEAL_MAX,100,MAX(0,100*(KMA_CERO-AV321)/(KMA_CERO-KMA_IDEAL_MAX))))</f>
        <v/>
      </c>
      <c r="BP321" s="3">
        <f>MAX(0,MIN(100,100*(M321-ANIO_MIN)/(ANIO_ACTUAL-ANIO_MIN)))</f>
        <v/>
      </c>
      <c r="BQ321" s="3">
        <f>W_KMT*BN321+W_KMA*BO321+W_EDAD*BP321</f>
        <v/>
      </c>
      <c r="BR321" s="3">
        <f>P_ITV*(V321="sí")+P_LIBRO*(W321="sí")+P_CORREA*(X321="sí")+P_PROP*(Y321=1)+P_GAR*(Z321="sí")+P_FOTOS*MIN(1,N(U321)/FOTOS_OBJ)</f>
        <v/>
      </c>
      <c r="BS321" s="3">
        <f>IFERROR(VLOOKUP(BF321,ETQ_TBL,2,0),NEUTRO)</f>
        <v/>
      </c>
      <c r="BT321" s="3">
        <f>NEUTRO</f>
        <v/>
      </c>
      <c r="BU321" s="3">
        <f>IFERROR(VLOOKUP(L321,SEGURO_TBL,3,0),"")</f>
        <v/>
      </c>
      <c r="BV321" s="3">
        <f>IF(BU321="",NEUTRO,MAX(0,MIN(100,100*(SEG_REF_MAX-BU321)/(SEG_REF_MAX-SEG_REF_MIN))))</f>
        <v/>
      </c>
      <c r="BW321" s="3">
        <f>W_ET*BS321+W_CONS*BT321+W_SEG*BV321</f>
        <v/>
      </c>
      <c r="BX321" s="3">
        <f>IF(N(AB321)&gt;0,AB321,IF(AND(R321="profesional",SG_LEGAL_ON=1),GAR_LEGAL,0))</f>
        <v/>
      </c>
      <c r="BY321" s="3">
        <f>SG_GAR*MIN(1,BX321/SG_GAR_FULL)+SG_AMPL*(AC321="sí")+SG_KMC*(AF321="sí")+SG_REV*(N(AE321)&gt;0)+SG_DEV*MIN(1,N(AG321)/SG_DEV_FULL)+SG_HIST*(W321="sí")</f>
        <v/>
      </c>
      <c r="BZ321" s="3">
        <f>IFERROR(VLOOKUP(L321,CARR_PEN_TBL,2,0),0)</f>
        <v/>
      </c>
      <c r="CA321" s="3">
        <f>W_FIAB*BL321+W_PRECIO*BM321+W_KMEDAD*BQ321+W_ANUNCIO*BR321+W_USO*BW321+W_SEGURIDAD*BY321-BZ321</f>
        <v/>
      </c>
      <c r="CB321" s="4">
        <f>IF(N(I321)&gt;0,I321,IFERROR(ROUND(_xlfn.NUMBERVALUE(LEFT(G321,FIND(" ",G321&amp;" ")-1),".")*1000,0),99999))</f>
        <v/>
      </c>
      <c r="CC321" s="3">
        <f>IF(R321="profesional",0,IF(O321&lt;CUOTA_VALOR_MAX,IF(AU321&gt;ITP_TRAMO_ALTO,SUMIFS(CF_CUOTA,CF_MAS,ITP_TRAMO_ALTO,CF_CCMIN,"&lt;="&amp;CB321,CF_CCMAX,"&gt;="&amp;CB321),IF(AU321&gt;ITP_TRAMO_BAJO,SUMIFS(CF_CUOTA,CF_MAS,ITP_TRAMO_BAJO,CF_CCMIN,"&lt;="&amp;CB321,CF_CCMAX,"&gt;="&amp;CB321),O321*ITP_TIPO)),O321*ITP_TIPO))</f>
        <v/>
      </c>
      <c r="CD321" s="4">
        <f>IF(R321="profesional",N(AK321),0)</f>
        <v/>
      </c>
      <c r="CE321" s="3">
        <f>IF(AND(R321="profesional",ISNUMBER(AK321),AL321="sí"),0,TASA_DGT)</f>
        <v/>
      </c>
      <c r="CF321" s="3">
        <f>INFORME_DGT</f>
        <v/>
      </c>
      <c r="CG321" s="4">
        <f>O321+CD321+CC321+CE321+CF321</f>
        <v/>
      </c>
      <c r="CH321" s="4">
        <f>CG321+N(BU321)</f>
        <v/>
      </c>
      <c r="CI321" s="3">
        <f>IF(CG321&lt;=TOTAL_MAX,"sí",IF(CG321&lt;=TOTAL_MAX+MARGEN_NEG,"negociar","no"))</f>
        <v/>
      </c>
      <c r="CJ321" s="4">
        <f>IF(CI321&lt;&gt;"no",COUNTIFS($CI$2:$CI$662,"&lt;&gt;no",$CA$2:$CA$662,"&gt;"&amp;CA321)+COUNTIFS($CI$2:CI321,"&lt;&gt;no",$CA$2:CA321,CA321),"")</f>
        <v/>
      </c>
    </row>
    <row r="322">
      <c r="A322" s="2" t="inlineStr">
        <is>
          <t>wallapop:1314487131</t>
        </is>
      </c>
      <c r="B322" s="2" t="inlineStr">
        <is>
          <t>wallapop</t>
        </is>
      </c>
      <c r="C322" s="2" t="inlineStr">
        <is>
          <t>https://es.wallapop.com/item/volkswagen-polo-2011-1314487131</t>
        </is>
      </c>
      <c r="D322" s="2" t="inlineStr">
        <is>
          <t>Volkswagen Polo 2011</t>
        </is>
      </c>
      <c r="E322" s="2" t="inlineStr">
        <is>
          <t>Volkswagen</t>
        </is>
      </c>
      <c r="F322" s="2" t="inlineStr">
        <is>
          <t>Volkswagen Polo</t>
        </is>
      </c>
      <c r="G322" s="2" t="inlineStr">
        <is>
          <t>1.2 TDI</t>
        </is>
      </c>
      <c r="H322" s="2" t="inlineStr">
        <is>
          <t>1.2 TDI 75 Advance 5p</t>
        </is>
      </c>
      <c r="I322" s="2" t="n"/>
      <c r="J322" s="2" t="n">
        <v>75</v>
      </c>
      <c r="K322" s="2" t="inlineStr">
        <is>
          <t>diesel</t>
        </is>
      </c>
      <c r="L322" s="2" t="inlineStr">
        <is>
          <t>utilitario</t>
        </is>
      </c>
      <c r="M322" s="2" t="n">
        <v>2011</v>
      </c>
      <c r="N322" s="2" t="n">
        <v>190620</v>
      </c>
      <c r="O322" s="2" t="n">
        <v>4950</v>
      </c>
      <c r="P322" s="2" t="inlineStr">
        <is>
          <t>manual</t>
        </is>
      </c>
      <c r="Q322" s="2" t="inlineStr">
        <is>
          <t>no</t>
        </is>
      </c>
      <c r="R322" s="2" t="inlineStr">
        <is>
          <t>particular</t>
        </is>
      </c>
      <c r="S322" s="2" t="inlineStr">
        <is>
          <t>Valencia (46019)</t>
        </is>
      </c>
      <c r="T322" s="2" t="inlineStr">
        <is>
          <t>2026-10-19T04:37:38</t>
        </is>
      </c>
      <c r="U322" s="2" t="n">
        <v>9</v>
      </c>
      <c r="V322" s="2" t="inlineStr">
        <is>
          <t>sí</t>
        </is>
      </c>
      <c r="W322" s="2" t="n"/>
      <c r="X322" s="2" t="n"/>
      <c r="Y322" s="2" t="n"/>
      <c r="Z322" s="2" t="n"/>
      <c r="AA322" s="2" t="n"/>
      <c r="AB322" s="2" t="n"/>
      <c r="AC322" s="2" t="n"/>
      <c r="AD322" s="2" t="n"/>
      <c r="AE322" s="2" t="n"/>
      <c r="AF322" s="2" t="n"/>
      <c r="AG322" s="2" t="n"/>
      <c r="AH322" s="2" t="n"/>
      <c r="AI322" s="2" t="n"/>
      <c r="AJ322" s="2" t="n"/>
      <c r="AK322" s="2" t="n"/>
      <c r="AL322" s="2" t="n"/>
      <c r="AM322" s="2" t="n">
        <v>2.1</v>
      </c>
      <c r="AN322" s="2" t="n">
        <v>5825</v>
      </c>
      <c r="AO322" s="2" t="n">
        <v>12</v>
      </c>
      <c r="AP322" s="2" t="inlineStr">
        <is>
          <t>modelo+año+km</t>
        </is>
      </c>
      <c r="AQ322" s="2" t="n"/>
      <c r="AR322" s="2" t="inlineStr">
        <is>
          <t>por encima del presupuesto (5054 €), negociar; cuota fija ITP: &gt;12 años, hasta 1.500 cc</t>
        </is>
      </c>
      <c r="AS322" s="2" t="inlineStr">
        <is>
          <t>Se vende Volkswagen Polo 1.2 TDI de 75 CV, año 2011, con 190.600 km. Coche económico de consumo, ideal para ciudad y carretera. Funciona a diario sin problemas mecánicos y está listo para circular. Cuenta con 5 puertas, aire acondicionado y elevalunas eléctricos. ITV en vigor hasta julio de 2027. Tiene un golpe estético en la parte delantera izquierda, visible en las fotos, que no afecta al funcionamiento. Precio negociable. Se puede ver y probar sin compromiso. Interesados, contactar por privado.</t>
        </is>
      </c>
      <c r="AT322" s="2" t="inlineStr">
        <is>
          <t>https://es.wallapop.com/item/volkswagen-polo-2011-1314487131 (__NEXT_DATA__ item) /home/user/Alopecia/buscador-coches/raw/wallapop/448b2a420b5d8670.json</t>
        </is>
      </c>
      <c r="AU322" s="3">
        <f>MAX(ANIO_ACTUAL-M322,0)</f>
        <v/>
      </c>
      <c r="AV322" s="4">
        <f>N322/MAX(AU322,0.5)</f>
        <v/>
      </c>
      <c r="AW322" s="4">
        <f>F322</f>
        <v/>
      </c>
      <c r="AX322" s="3">
        <f>AW322&amp;"|"&amp;INT(M322/SEG_ANIO)*SEG_ANIO</f>
        <v/>
      </c>
      <c r="AY322" s="3">
        <f>AX322&amp;"|"&amp;INT(N322/SEG_KM)*SEG_KM</f>
        <v/>
      </c>
      <c r="AZ322" s="4">
        <f>COUNTIF($AW$2:$AW$662,AW322)</f>
        <v/>
      </c>
      <c r="BA322" s="4">
        <f>COUNTIF($AX$2:$AX$662,AX322)</f>
        <v/>
      </c>
      <c r="BB322" s="4">
        <f>COUNTIF($AY$2:$AY$662,AY322)</f>
        <v/>
      </c>
      <c r="BC322" s="3">
        <f t="array" ref="BC322">IF(N(AO322)&gt;=MIN_N,AN322,IF(BB322&gt;=MIN_N,MEDIAN(IF($AY$2:$AY$662=AY322,$O$2:$O$662)),IF(BA322&gt;=MIN_N,MEDIAN(IF($AX$2:$AX$662=AX322,$O$2:$O$662)),MEDIAN(IF($AW$2:$AW$662=AW322,$O$2:$O$662)))))</f>
        <v/>
      </c>
      <c r="BD322" s="3">
        <f>IF(N(AO322)&gt;=MIN_N,"mercado "&amp;AP322,IF(BB322&gt;=MIN_N,"modelo+año+km",IF(BA322&gt;=MIN_N,"modelo+año","modelo")))</f>
        <v/>
      </c>
      <c r="BE322" s="4">
        <f>(BC322-O322)/BC322</f>
        <v/>
      </c>
      <c r="BF322" s="3">
        <f>IF(OR(K322="hibrido",K322="glp"),"ECO",IF(K322="electrico","CERO",IF(K322="gasolina",IF(M322&gt;=GAS_C,"C",IF(M322&gt;=GAS_B,"B","A")),IF(K322="diesel",IF(M322&gt;=DIE_C,"C",IF(M322&gt;=DIE_B,"B","A")),""))))</f>
        <v/>
      </c>
      <c r="BG322" s="3">
        <f>IFERROR(VLOOKUP(F322,MOD_TBL,11,0),IFERROR(VLOOKUP(E322,OCU_TBL,2,0),NEUTRO))</f>
        <v/>
      </c>
      <c r="BH322" s="3">
        <f>SUMIFS(MOT_AJUSTE,MOT_MOTOR,G322,MOT_MARCA,E322,MOT_DESDE,"&lt;="&amp;M322,MOT_HASTA,"&gt;="&amp;M322)+SUMIFS(MOT_AJUSTE,MOT_MOTOR,G322,MOT_MARCA,"(todas)",MOT_DESDE,"&lt;="&amp;M322,MOT_HASTA,"&gt;="&amp;M322)</f>
        <v/>
      </c>
      <c r="BI322" s="3">
        <f>SUMIFS(COMB_AJUSTE,COMB_COMB,K322)</f>
        <v/>
      </c>
      <c r="BJ322" s="3">
        <f>COUNTIFS(MOT_MOTOR,G322,MOT_MARCA,E322,MOT_DESDE,"&lt;="&amp;M322,MOT_HASTA,"&gt;="&amp;M322)+COUNTIFS(MOT_MOTOR,G322,MOT_MARCA,"(todas)",MOT_DESDE,"&lt;="&amp;M322,MOT_HASTA,"&gt;="&amp;M322)</f>
        <v/>
      </c>
      <c r="BK322" s="3">
        <f>IF(AND(K322="diesel",BJ322=0),MIN(BG322,NEUTRO),BG322)</f>
        <v/>
      </c>
      <c r="BL322" s="4">
        <f>MAX(0,MIN(100,BK322+BH322+BI322))</f>
        <v/>
      </c>
      <c r="BM322" s="3">
        <f>MAX(0,MIN(100,50+BE322*PRECIO_PEND))</f>
        <v/>
      </c>
      <c r="BN322" s="3">
        <f>MAX(0,100*(1-N322/KM_MAX))</f>
        <v/>
      </c>
      <c r="BO322" s="3">
        <f>IF(AV322&lt;KMA_SOSP,IF(AA322="sí",100,KMA_PEN),IF(AV322&lt;=KMA_IDEAL_MAX,100,MAX(0,100*(KMA_CERO-AV322)/(KMA_CERO-KMA_IDEAL_MAX))))</f>
        <v/>
      </c>
      <c r="BP322" s="3">
        <f>MAX(0,MIN(100,100*(M322-ANIO_MIN)/(ANIO_ACTUAL-ANIO_MIN)))</f>
        <v/>
      </c>
      <c r="BQ322" s="3">
        <f>W_KMT*BN322+W_KMA*BO322+W_EDAD*BP322</f>
        <v/>
      </c>
      <c r="BR322" s="3">
        <f>P_ITV*(V322="sí")+P_LIBRO*(W322="sí")+P_CORREA*(X322="sí")+P_PROP*(Y322=1)+P_GAR*(Z322="sí")+P_FOTOS*MIN(1,N(U322)/FOTOS_OBJ)</f>
        <v/>
      </c>
      <c r="BS322" s="3">
        <f>IFERROR(VLOOKUP(BF322,ETQ_TBL,2,0),NEUTRO)</f>
        <v/>
      </c>
      <c r="BT322" s="3">
        <f>NEUTRO</f>
        <v/>
      </c>
      <c r="BU322" s="3">
        <f>IFERROR(VLOOKUP(L322,SEGURO_TBL,3,0),"")</f>
        <v/>
      </c>
      <c r="BV322" s="3">
        <f>IF(BU322="",NEUTRO,MAX(0,MIN(100,100*(SEG_REF_MAX-BU322)/(SEG_REF_MAX-SEG_REF_MIN))))</f>
        <v/>
      </c>
      <c r="BW322" s="3">
        <f>W_ET*BS322+W_CONS*BT322+W_SEG*BV322</f>
        <v/>
      </c>
      <c r="BX322" s="3">
        <f>IF(N(AB322)&gt;0,AB322,IF(AND(R322="profesional",SG_LEGAL_ON=1),GAR_LEGAL,0))</f>
        <v/>
      </c>
      <c r="BY322" s="3">
        <f>SG_GAR*MIN(1,BX322/SG_GAR_FULL)+SG_AMPL*(AC322="sí")+SG_KMC*(AF322="sí")+SG_REV*(N(AE322)&gt;0)+SG_DEV*MIN(1,N(AG322)/SG_DEV_FULL)+SG_HIST*(W322="sí")</f>
        <v/>
      </c>
      <c r="BZ322" s="3">
        <f>IFERROR(VLOOKUP(L322,CARR_PEN_TBL,2,0),0)</f>
        <v/>
      </c>
      <c r="CA322" s="3">
        <f>W_FIAB*BL322+W_PRECIO*BM322+W_KMEDAD*BQ322+W_ANUNCIO*BR322+W_USO*BW322+W_SEGURIDAD*BY322-BZ322</f>
        <v/>
      </c>
      <c r="CB322" s="4">
        <f>IF(N(I322)&gt;0,I322,IFERROR(ROUND(_xlfn.NUMBERVALUE(LEFT(G322,FIND(" ",G322&amp;" ")-1),".")*1000,0),99999))</f>
        <v/>
      </c>
      <c r="CC322" s="3">
        <f>IF(R322="profesional",0,IF(O322&lt;CUOTA_VALOR_MAX,IF(AU322&gt;ITP_TRAMO_ALTO,SUMIFS(CF_CUOTA,CF_MAS,ITP_TRAMO_ALTO,CF_CCMIN,"&lt;="&amp;CB322,CF_CCMAX,"&gt;="&amp;CB322),IF(AU322&gt;ITP_TRAMO_BAJO,SUMIFS(CF_CUOTA,CF_MAS,ITP_TRAMO_BAJO,CF_CCMIN,"&lt;="&amp;CB322,CF_CCMAX,"&gt;="&amp;CB322),O322*ITP_TIPO)),O322*ITP_TIPO))</f>
        <v/>
      </c>
      <c r="CD322" s="4">
        <f>IF(R322="profesional",N(AK322),0)</f>
        <v/>
      </c>
      <c r="CE322" s="3">
        <f>IF(AND(R322="profesional",ISNUMBER(AK322),AL322="sí"),0,TASA_DGT)</f>
        <v/>
      </c>
      <c r="CF322" s="3">
        <f>INFORME_DGT</f>
        <v/>
      </c>
      <c r="CG322" s="4">
        <f>O322+CD322+CC322+CE322+CF322</f>
        <v/>
      </c>
      <c r="CH322" s="4">
        <f>CG322+N(BU322)</f>
        <v/>
      </c>
      <c r="CI322" s="3">
        <f>IF(CG322&lt;=TOTAL_MAX,"sí",IF(CG322&lt;=TOTAL_MAX+MARGEN_NEG,"negociar","no"))</f>
        <v/>
      </c>
      <c r="CJ322" s="4">
        <f>IF(CI322&lt;&gt;"no",COUNTIFS($CI$2:$CI$662,"&lt;&gt;no",$CA$2:$CA$662,"&gt;"&amp;CA322)+COUNTIFS($CI$2:CI322,"&lt;&gt;no",$CA$2:CA322,CA322),"")</f>
        <v/>
      </c>
    </row>
    <row r="323">
      <c r="A323" s="2" t="inlineStr">
        <is>
          <t>wallapop:1309392405</t>
        </is>
      </c>
      <c r="B323" s="2" t="inlineStr">
        <is>
          <t>wallapop</t>
        </is>
      </c>
      <c r="C323" s="2" t="inlineStr">
        <is>
          <t>https://es.wallapop.com/item/opel-corsa-2014-1309392405</t>
        </is>
      </c>
      <c r="D323" s="2" t="inlineStr">
        <is>
          <t>Opel Corsa 2014</t>
        </is>
      </c>
      <c r="E323" s="2" t="inlineStr">
        <is>
          <t>Opel</t>
        </is>
      </c>
      <c r="F323" s="2" t="inlineStr">
        <is>
          <t>Opel Corsa</t>
        </is>
      </c>
      <c r="G323" s="2" t="inlineStr">
        <is>
          <t>1.2</t>
        </is>
      </c>
      <c r="H323" s="2" t="inlineStr">
        <is>
          <t>1.2 85 Selective 5p MTA</t>
        </is>
      </c>
      <c r="I323" s="2" t="n"/>
      <c r="J323" s="2" t="n">
        <v>85</v>
      </c>
      <c r="K323" s="2" t="inlineStr">
        <is>
          <t>gasolina</t>
        </is>
      </c>
      <c r="L323" s="2" t="inlineStr">
        <is>
          <t>utilitario</t>
        </is>
      </c>
      <c r="M323" s="2" t="n">
        <v>2014</v>
      </c>
      <c r="N323" s="2" t="n">
        <v>180000</v>
      </c>
      <c r="O323" s="2" t="n">
        <v>5000</v>
      </c>
      <c r="P323" s="2" t="inlineStr">
        <is>
          <t>manual</t>
        </is>
      </c>
      <c r="Q323" s="2" t="inlineStr">
        <is>
          <t>no</t>
        </is>
      </c>
      <c r="R323" s="2" t="inlineStr">
        <is>
          <t>particular</t>
        </is>
      </c>
      <c r="S323" s="2" t="inlineStr">
        <is>
          <t>Valencia (46002)</t>
        </is>
      </c>
      <c r="T323" s="2" t="inlineStr">
        <is>
          <t>2026-10-04T21:10:52</t>
        </is>
      </c>
      <c r="U323" s="2" t="n">
        <v>10</v>
      </c>
      <c r="V323" s="2" t="n"/>
      <c r="W323" s="2" t="n"/>
      <c r="X323" s="2" t="n"/>
      <c r="Y323" s="2" t="n"/>
      <c r="Z323" s="2" t="n"/>
      <c r="AA323" s="2" t="n"/>
      <c r="AB323" s="2" t="n"/>
      <c r="AC323" s="2" t="n"/>
      <c r="AD323" s="2" t="n"/>
      <c r="AE323" s="2" t="n"/>
      <c r="AF323" s="2" t="n"/>
      <c r="AG323" s="2" t="n"/>
      <c r="AH323" s="2" t="n"/>
      <c r="AI323" s="2" t="n"/>
      <c r="AJ323" s="2" t="n"/>
      <c r="AK323" s="2" t="n"/>
      <c r="AL323" s="2" t="n"/>
      <c r="AM323" s="2" t="n">
        <v>0.5</v>
      </c>
      <c r="AN323" s="2" t="n">
        <v>4550</v>
      </c>
      <c r="AO323" s="2" t="n">
        <v>8</v>
      </c>
      <c r="AP323" s="2" t="inlineStr">
        <is>
          <t>modelo+año+km</t>
        </is>
      </c>
      <c r="AQ323" s="2" t="n"/>
      <c r="AR323" s="2" t="inlineStr">
        <is>
          <t>por encima del presupuesto (5184 €), negociar; cuota fija ITP: &gt;5 y &lt;=12 años, hasta 1.500 cc</t>
        </is>
      </c>
      <c r="AS323" s="2" t="inlineStr">
        <is>
          <t>Vendo Opel Corsa.
Es de junio de 2014. Ideal tanto para el día a día como para conductores noveles por el bajo consumo y fácil manejo.
2 únicos propietarios
5 puertas
Gas del aire recién cambiado
Control de velocidad
Entrada auxiliar de audio
180000km
Solo usado para ir a trabajar
Cierre centralizado y elevalunas eléctrico
Con apenas marcas del uso
En la parte de arriba hay unas marcas de una granizada que cayó
Coche cuidado con mucho mimo
Mando de radio en el volante</t>
        </is>
      </c>
      <c r="AT323" s="2" t="inlineStr">
        <is>
          <t>https://es.wallapop.com/item/opel-corsa-2014-1309392405 (__NEXT_DATA__ item) /home/user/Alopecia/buscador-coches/raw/wallapop/ca68ebc9452b4463.json</t>
        </is>
      </c>
      <c r="AU323" s="3">
        <f>MAX(ANIO_ACTUAL-M323,0)</f>
        <v/>
      </c>
      <c r="AV323" s="4">
        <f>N323/MAX(AU323,0.5)</f>
        <v/>
      </c>
      <c r="AW323" s="4">
        <f>F323</f>
        <v/>
      </c>
      <c r="AX323" s="3">
        <f>AW323&amp;"|"&amp;INT(M323/SEG_ANIO)*SEG_ANIO</f>
        <v/>
      </c>
      <c r="AY323" s="3">
        <f>AX323&amp;"|"&amp;INT(N323/SEG_KM)*SEG_KM</f>
        <v/>
      </c>
      <c r="AZ323" s="4">
        <f>COUNTIF($AW$2:$AW$662,AW323)</f>
        <v/>
      </c>
      <c r="BA323" s="4">
        <f>COUNTIF($AX$2:$AX$662,AX323)</f>
        <v/>
      </c>
      <c r="BB323" s="4">
        <f>COUNTIF($AY$2:$AY$662,AY323)</f>
        <v/>
      </c>
      <c r="BC323" s="3">
        <f t="array" ref="BC323">IF(N(AO323)&gt;=MIN_N,AN323,IF(BB323&gt;=MIN_N,MEDIAN(IF($AY$2:$AY$662=AY323,$O$2:$O$662)),IF(BA323&gt;=MIN_N,MEDIAN(IF($AX$2:$AX$662=AX323,$O$2:$O$662)),MEDIAN(IF($AW$2:$AW$662=AW323,$O$2:$O$662)))))</f>
        <v/>
      </c>
      <c r="BD323" s="3">
        <f>IF(N(AO323)&gt;=MIN_N,"mercado "&amp;AP323,IF(BB323&gt;=MIN_N,"modelo+año+km",IF(BA323&gt;=MIN_N,"modelo+año","modelo")))</f>
        <v/>
      </c>
      <c r="BE323" s="4">
        <f>(BC323-O323)/BC323</f>
        <v/>
      </c>
      <c r="BF323" s="3">
        <f>IF(OR(K323="hibrido",K323="glp"),"ECO",IF(K323="electrico","CERO",IF(K323="gasolina",IF(M323&gt;=GAS_C,"C",IF(M323&gt;=GAS_B,"B","A")),IF(K323="diesel",IF(M323&gt;=DIE_C,"C",IF(M323&gt;=DIE_B,"B","A")),""))))</f>
        <v/>
      </c>
      <c r="BG323" s="3">
        <f>IFERROR(VLOOKUP(F323,MOD_TBL,11,0),IFERROR(VLOOKUP(E323,OCU_TBL,2,0),NEUTRO))</f>
        <v/>
      </c>
      <c r="BH323" s="3">
        <f>SUMIFS(MOT_AJUSTE,MOT_MOTOR,G323,MOT_MARCA,E323,MOT_DESDE,"&lt;="&amp;M323,MOT_HASTA,"&gt;="&amp;M323)+SUMIFS(MOT_AJUSTE,MOT_MOTOR,G323,MOT_MARCA,"(todas)",MOT_DESDE,"&lt;="&amp;M323,MOT_HASTA,"&gt;="&amp;M323)</f>
        <v/>
      </c>
      <c r="BI323" s="3">
        <f>SUMIFS(COMB_AJUSTE,COMB_COMB,K323)</f>
        <v/>
      </c>
      <c r="BJ323" s="3">
        <f>COUNTIFS(MOT_MOTOR,G323,MOT_MARCA,E323,MOT_DESDE,"&lt;="&amp;M323,MOT_HASTA,"&gt;="&amp;M323)+COUNTIFS(MOT_MOTOR,G323,MOT_MARCA,"(todas)",MOT_DESDE,"&lt;="&amp;M323,MOT_HASTA,"&gt;="&amp;M323)</f>
        <v/>
      </c>
      <c r="BK323" s="3">
        <f>IF(AND(K323="diesel",BJ323=0),MIN(BG323,NEUTRO),BG323)</f>
        <v/>
      </c>
      <c r="BL323" s="4">
        <f>MAX(0,MIN(100,BK323+BH323+BI323))</f>
        <v/>
      </c>
      <c r="BM323" s="3">
        <f>MAX(0,MIN(100,50+BE323*PRECIO_PEND))</f>
        <v/>
      </c>
      <c r="BN323" s="3">
        <f>MAX(0,100*(1-N323/KM_MAX))</f>
        <v/>
      </c>
      <c r="BO323" s="3">
        <f>IF(AV323&lt;KMA_SOSP,IF(AA323="sí",100,KMA_PEN),IF(AV323&lt;=KMA_IDEAL_MAX,100,MAX(0,100*(KMA_CERO-AV323)/(KMA_CERO-KMA_IDEAL_MAX))))</f>
        <v/>
      </c>
      <c r="BP323" s="3">
        <f>MAX(0,MIN(100,100*(M323-ANIO_MIN)/(ANIO_ACTUAL-ANIO_MIN)))</f>
        <v/>
      </c>
      <c r="BQ323" s="3">
        <f>W_KMT*BN323+W_KMA*BO323+W_EDAD*BP323</f>
        <v/>
      </c>
      <c r="BR323" s="3">
        <f>P_ITV*(V323="sí")+P_LIBRO*(W323="sí")+P_CORREA*(X323="sí")+P_PROP*(Y323=1)+P_GAR*(Z323="sí")+P_FOTOS*MIN(1,N(U323)/FOTOS_OBJ)</f>
        <v/>
      </c>
      <c r="BS323" s="3">
        <f>IFERROR(VLOOKUP(BF323,ETQ_TBL,2,0),NEUTRO)</f>
        <v/>
      </c>
      <c r="BT323" s="3">
        <f>NEUTRO</f>
        <v/>
      </c>
      <c r="BU323" s="3">
        <f>IFERROR(VLOOKUP(L323,SEGURO_TBL,3,0),"")</f>
        <v/>
      </c>
      <c r="BV323" s="3">
        <f>IF(BU323="",NEUTRO,MAX(0,MIN(100,100*(SEG_REF_MAX-BU323)/(SEG_REF_MAX-SEG_REF_MIN))))</f>
        <v/>
      </c>
      <c r="BW323" s="3">
        <f>W_ET*BS323+W_CONS*BT323+W_SEG*BV323</f>
        <v/>
      </c>
      <c r="BX323" s="3">
        <f>IF(N(AB323)&gt;0,AB323,IF(AND(R323="profesional",SG_LEGAL_ON=1),GAR_LEGAL,0))</f>
        <v/>
      </c>
      <c r="BY323" s="3">
        <f>SG_GAR*MIN(1,BX323/SG_GAR_FULL)+SG_AMPL*(AC323="sí")+SG_KMC*(AF323="sí")+SG_REV*(N(AE323)&gt;0)+SG_DEV*MIN(1,N(AG323)/SG_DEV_FULL)+SG_HIST*(W323="sí")</f>
        <v/>
      </c>
      <c r="BZ323" s="3">
        <f>IFERROR(VLOOKUP(L323,CARR_PEN_TBL,2,0),0)</f>
        <v/>
      </c>
      <c r="CA323" s="3">
        <f>W_FIAB*BL323+W_PRECIO*BM323+W_KMEDAD*BQ323+W_ANUNCIO*BR323+W_USO*BW323+W_SEGURIDAD*BY323-BZ323</f>
        <v/>
      </c>
      <c r="CB323" s="4">
        <f>IF(N(I323)&gt;0,I323,IFERROR(ROUND(_xlfn.NUMBERVALUE(LEFT(G323,FIND(" ",G323&amp;" ")-1),".")*1000,0),99999))</f>
        <v/>
      </c>
      <c r="CC323" s="3">
        <f>IF(R323="profesional",0,IF(O323&lt;CUOTA_VALOR_MAX,IF(AU323&gt;ITP_TRAMO_ALTO,SUMIFS(CF_CUOTA,CF_MAS,ITP_TRAMO_ALTO,CF_CCMIN,"&lt;="&amp;CB323,CF_CCMAX,"&gt;="&amp;CB323),IF(AU323&gt;ITP_TRAMO_BAJO,SUMIFS(CF_CUOTA,CF_MAS,ITP_TRAMO_BAJO,CF_CCMIN,"&lt;="&amp;CB323,CF_CCMAX,"&gt;="&amp;CB323),O323*ITP_TIPO)),O323*ITP_TIPO))</f>
        <v/>
      </c>
      <c r="CD323" s="4">
        <f>IF(R323="profesional",N(AK323),0)</f>
        <v/>
      </c>
      <c r="CE323" s="3">
        <f>IF(AND(R323="profesional",ISNUMBER(AK323),AL323="sí"),0,TASA_DGT)</f>
        <v/>
      </c>
      <c r="CF323" s="3">
        <f>INFORME_DGT</f>
        <v/>
      </c>
      <c r="CG323" s="4">
        <f>O323+CD323+CC323+CE323+CF323</f>
        <v/>
      </c>
      <c r="CH323" s="4">
        <f>CG323+N(BU323)</f>
        <v/>
      </c>
      <c r="CI323" s="3">
        <f>IF(CG323&lt;=TOTAL_MAX,"sí",IF(CG323&lt;=TOTAL_MAX+MARGEN_NEG,"negociar","no"))</f>
        <v/>
      </c>
      <c r="CJ323" s="4">
        <f>IF(CI323&lt;&gt;"no",COUNTIFS($CI$2:$CI$662,"&lt;&gt;no",$CA$2:$CA$662,"&gt;"&amp;CA323)+COUNTIFS($CI$2:CI323,"&lt;&gt;no",$CA$2:CA323,CA323),"")</f>
        <v/>
      </c>
    </row>
    <row r="324">
      <c r="A324" s="2" t="inlineStr">
        <is>
          <t>wallapop:1318256126</t>
        </is>
      </c>
      <c r="B324" s="2" t="inlineStr">
        <is>
          <t>wallapop</t>
        </is>
      </c>
      <c r="C324" s="2" t="inlineStr">
        <is>
          <t>https://es.wallapop.com/item/opel-corsa-2011-1318256126</t>
        </is>
      </c>
      <c r="D324" s="2" t="inlineStr">
        <is>
          <t>Opel Corsa 2011</t>
        </is>
      </c>
      <c r="E324" s="2" t="inlineStr">
        <is>
          <t>Opel</t>
        </is>
      </c>
      <c r="F324" s="2" t="inlineStr">
        <is>
          <t>Opel Corsa</t>
        </is>
      </c>
      <c r="G324" s="2" t="inlineStr">
        <is>
          <t>1.2</t>
        </is>
      </c>
      <c r="H324" s="2" t="inlineStr">
        <is>
          <t>1.2 85 Essentia 3p</t>
        </is>
      </c>
      <c r="I324" s="2" t="n"/>
      <c r="J324" s="2" t="n">
        <v>85</v>
      </c>
      <c r="K324" s="2" t="inlineStr">
        <is>
          <t>gasolina</t>
        </is>
      </c>
      <c r="L324" s="2" t="inlineStr">
        <is>
          <t>utilitario</t>
        </is>
      </c>
      <c r="M324" s="2" t="n">
        <v>2011</v>
      </c>
      <c r="N324" s="2" t="n">
        <v>99000</v>
      </c>
      <c r="O324" s="2" t="n">
        <v>3900</v>
      </c>
      <c r="P324" s="2" t="inlineStr">
        <is>
          <t>manual</t>
        </is>
      </c>
      <c r="Q324" s="2" t="inlineStr">
        <is>
          <t>no</t>
        </is>
      </c>
      <c r="R324" s="2" t="inlineStr">
        <is>
          <t>particular</t>
        </is>
      </c>
      <c r="S324" s="2" t="inlineStr">
        <is>
          <t>Torrent (46900)</t>
        </is>
      </c>
      <c r="T324" s="2" t="inlineStr">
        <is>
          <t>2026-10-30T14:50:54</t>
        </is>
      </c>
      <c r="U324" s="2" t="n">
        <v>6</v>
      </c>
      <c r="V324" s="2" t="inlineStr">
        <is>
          <t>sí</t>
        </is>
      </c>
      <c r="W324" s="2" t="n"/>
      <c r="X324" s="2" t="n"/>
      <c r="Y324" s="2" t="n">
        <v>1</v>
      </c>
      <c r="Z324" s="2" t="n"/>
      <c r="AA324" s="2" t="n"/>
      <c r="AB324" s="2" t="n"/>
      <c r="AC324" s="2" t="n"/>
      <c r="AD324" s="2" t="n"/>
      <c r="AE324" s="2" t="n"/>
      <c r="AF324" s="2" t="n"/>
      <c r="AG324" s="2" t="n"/>
      <c r="AH324" s="2" t="n"/>
      <c r="AI324" s="2" t="n"/>
      <c r="AJ324" s="2" t="n"/>
      <c r="AK324" s="2" t="n"/>
      <c r="AL324" s="2" t="n"/>
      <c r="AM324" s="2" t="n">
        <v>8.800000000000001</v>
      </c>
      <c r="AN324" s="2" t="n">
        <v>3725</v>
      </c>
      <c r="AO324" s="2" t="n">
        <v>24</v>
      </c>
      <c r="AP324" s="2" t="inlineStr">
        <is>
          <t>modelo+año</t>
        </is>
      </c>
      <c r="AQ324" s="2" t="n"/>
      <c r="AR324" s="2" t="inlineStr">
        <is>
          <t>cuota fija ITP: &gt;12 años, hasta 1.500 cc</t>
        </is>
      </c>
      <c r="AS324" s="2" t="inlineStr">
        <is>
          <t>Opel corsa 2011 con muy poco kilometros , itv hasta Octubre 2027, todo al dia , Unico Dueño</t>
        </is>
      </c>
      <c r="AT324" s="2" t="inlineStr">
        <is>
          <t>https://es.wallapop.com/item/opel-corsa-2011-1318256126 (__NEXT_DATA__ item) /home/user/Alopecia/buscador-coches/raw/wallapop/9a40cbd0d438e405.json</t>
        </is>
      </c>
      <c r="AU324" s="3">
        <f>MAX(ANIO_ACTUAL-M324,0)</f>
        <v/>
      </c>
      <c r="AV324" s="4">
        <f>N324/MAX(AU324,0.5)</f>
        <v/>
      </c>
      <c r="AW324" s="4">
        <f>F324</f>
        <v/>
      </c>
      <c r="AX324" s="3">
        <f>AW324&amp;"|"&amp;INT(M324/SEG_ANIO)*SEG_ANIO</f>
        <v/>
      </c>
      <c r="AY324" s="3">
        <f>AX324&amp;"|"&amp;INT(N324/SEG_KM)*SEG_KM</f>
        <v/>
      </c>
      <c r="AZ324" s="4">
        <f>COUNTIF($AW$2:$AW$662,AW324)</f>
        <v/>
      </c>
      <c r="BA324" s="4">
        <f>COUNTIF($AX$2:$AX$662,AX324)</f>
        <v/>
      </c>
      <c r="BB324" s="4">
        <f>COUNTIF($AY$2:$AY$662,AY324)</f>
        <v/>
      </c>
      <c r="BC324" s="3">
        <f t="array" ref="BC324">IF(N(AO324)&gt;=MIN_N,AN324,IF(BB324&gt;=MIN_N,MEDIAN(IF($AY$2:$AY$662=AY324,$O$2:$O$662)),IF(BA324&gt;=MIN_N,MEDIAN(IF($AX$2:$AX$662=AX324,$O$2:$O$662)),MEDIAN(IF($AW$2:$AW$662=AW324,$O$2:$O$662)))))</f>
        <v/>
      </c>
      <c r="BD324" s="3">
        <f>IF(N(AO324)&gt;=MIN_N,"mercado "&amp;AP324,IF(BB324&gt;=MIN_N,"modelo+año+km",IF(BA324&gt;=MIN_N,"modelo+año","modelo")))</f>
        <v/>
      </c>
      <c r="BE324" s="4">
        <f>(BC324-O324)/BC324</f>
        <v/>
      </c>
      <c r="BF324" s="3">
        <f>IF(OR(K324="hibrido",K324="glp"),"ECO",IF(K324="electrico","CERO",IF(K324="gasolina",IF(M324&gt;=GAS_C,"C",IF(M324&gt;=GAS_B,"B","A")),IF(K324="diesel",IF(M324&gt;=DIE_C,"C",IF(M324&gt;=DIE_B,"B","A")),""))))</f>
        <v/>
      </c>
      <c r="BG324" s="3">
        <f>IFERROR(VLOOKUP(F324,MOD_TBL,11,0),IFERROR(VLOOKUP(E324,OCU_TBL,2,0),NEUTRO))</f>
        <v/>
      </c>
      <c r="BH324" s="3">
        <f>SUMIFS(MOT_AJUSTE,MOT_MOTOR,G324,MOT_MARCA,E324,MOT_DESDE,"&lt;="&amp;M324,MOT_HASTA,"&gt;="&amp;M324)+SUMIFS(MOT_AJUSTE,MOT_MOTOR,G324,MOT_MARCA,"(todas)",MOT_DESDE,"&lt;="&amp;M324,MOT_HASTA,"&gt;="&amp;M324)</f>
        <v/>
      </c>
      <c r="BI324" s="3">
        <f>SUMIFS(COMB_AJUSTE,COMB_COMB,K324)</f>
        <v/>
      </c>
      <c r="BJ324" s="3">
        <f>COUNTIFS(MOT_MOTOR,G324,MOT_MARCA,E324,MOT_DESDE,"&lt;="&amp;M324,MOT_HASTA,"&gt;="&amp;M324)+COUNTIFS(MOT_MOTOR,G324,MOT_MARCA,"(todas)",MOT_DESDE,"&lt;="&amp;M324,MOT_HASTA,"&gt;="&amp;M324)</f>
        <v/>
      </c>
      <c r="BK324" s="3">
        <f>IF(AND(K324="diesel",BJ324=0),MIN(BG324,NEUTRO),BG324)</f>
        <v/>
      </c>
      <c r="BL324" s="4">
        <f>MAX(0,MIN(100,BK324+BH324+BI324))</f>
        <v/>
      </c>
      <c r="BM324" s="3">
        <f>MAX(0,MIN(100,50+BE324*PRECIO_PEND))</f>
        <v/>
      </c>
      <c r="BN324" s="3">
        <f>MAX(0,100*(1-N324/KM_MAX))</f>
        <v/>
      </c>
      <c r="BO324" s="3">
        <f>IF(AV324&lt;KMA_SOSP,IF(AA324="sí",100,KMA_PEN),IF(AV324&lt;=KMA_IDEAL_MAX,100,MAX(0,100*(KMA_CERO-AV324)/(KMA_CERO-KMA_IDEAL_MAX))))</f>
        <v/>
      </c>
      <c r="BP324" s="3">
        <f>MAX(0,MIN(100,100*(M324-ANIO_MIN)/(ANIO_ACTUAL-ANIO_MIN)))</f>
        <v/>
      </c>
      <c r="BQ324" s="3">
        <f>W_KMT*BN324+W_KMA*BO324+W_EDAD*BP324</f>
        <v/>
      </c>
      <c r="BR324" s="3">
        <f>P_ITV*(V324="sí")+P_LIBRO*(W324="sí")+P_CORREA*(X324="sí")+P_PROP*(Y324=1)+P_GAR*(Z324="sí")+P_FOTOS*MIN(1,N(U324)/FOTOS_OBJ)</f>
        <v/>
      </c>
      <c r="BS324" s="3">
        <f>IFERROR(VLOOKUP(BF324,ETQ_TBL,2,0),NEUTRO)</f>
        <v/>
      </c>
      <c r="BT324" s="3">
        <f>NEUTRO</f>
        <v/>
      </c>
      <c r="BU324" s="3">
        <f>IFERROR(VLOOKUP(L324,SEGURO_TBL,3,0),"")</f>
        <v/>
      </c>
      <c r="BV324" s="3">
        <f>IF(BU324="",NEUTRO,MAX(0,MIN(100,100*(SEG_REF_MAX-BU324)/(SEG_REF_MAX-SEG_REF_MIN))))</f>
        <v/>
      </c>
      <c r="BW324" s="3">
        <f>W_ET*BS324+W_CONS*BT324+W_SEG*BV324</f>
        <v/>
      </c>
      <c r="BX324" s="3">
        <f>IF(N(AB324)&gt;0,AB324,IF(AND(R324="profesional",SG_LEGAL_ON=1),GAR_LEGAL,0))</f>
        <v/>
      </c>
      <c r="BY324" s="3">
        <f>SG_GAR*MIN(1,BX324/SG_GAR_FULL)+SG_AMPL*(AC324="sí")+SG_KMC*(AF324="sí")+SG_REV*(N(AE324)&gt;0)+SG_DEV*MIN(1,N(AG324)/SG_DEV_FULL)+SG_HIST*(W324="sí")</f>
        <v/>
      </c>
      <c r="BZ324" s="3">
        <f>IFERROR(VLOOKUP(L324,CARR_PEN_TBL,2,0),0)</f>
        <v/>
      </c>
      <c r="CA324" s="3">
        <f>W_FIAB*BL324+W_PRECIO*BM324+W_KMEDAD*BQ324+W_ANUNCIO*BR324+W_USO*BW324+W_SEGURIDAD*BY324-BZ324</f>
        <v/>
      </c>
      <c r="CB324" s="4">
        <f>IF(N(I324)&gt;0,I324,IFERROR(ROUND(_xlfn.NUMBERVALUE(LEFT(G324,FIND(" ",G324&amp;" ")-1),".")*1000,0),99999))</f>
        <v/>
      </c>
      <c r="CC324" s="3">
        <f>IF(R324="profesional",0,IF(O324&lt;CUOTA_VALOR_MAX,IF(AU324&gt;ITP_TRAMO_ALTO,SUMIFS(CF_CUOTA,CF_MAS,ITP_TRAMO_ALTO,CF_CCMIN,"&lt;="&amp;CB324,CF_CCMAX,"&gt;="&amp;CB324),IF(AU324&gt;ITP_TRAMO_BAJO,SUMIFS(CF_CUOTA,CF_MAS,ITP_TRAMO_BAJO,CF_CCMIN,"&lt;="&amp;CB324,CF_CCMAX,"&gt;="&amp;CB324),O324*ITP_TIPO)),O324*ITP_TIPO))</f>
        <v/>
      </c>
      <c r="CD324" s="4">
        <f>IF(R324="profesional",N(AK324),0)</f>
        <v/>
      </c>
      <c r="CE324" s="3">
        <f>IF(AND(R324="profesional",ISNUMBER(AK324),AL324="sí"),0,TASA_DGT)</f>
        <v/>
      </c>
      <c r="CF324" s="3">
        <f>INFORME_DGT</f>
        <v/>
      </c>
      <c r="CG324" s="4">
        <f>O324+CD324+CC324+CE324+CF324</f>
        <v/>
      </c>
      <c r="CH324" s="4">
        <f>CG324+N(BU324)</f>
        <v/>
      </c>
      <c r="CI324" s="3">
        <f>IF(CG324&lt;=TOTAL_MAX,"sí",IF(CG324&lt;=TOTAL_MAX+MARGEN_NEG,"negociar","no"))</f>
        <v/>
      </c>
      <c r="CJ324" s="4">
        <f>IF(CI324&lt;&gt;"no",COUNTIFS($CI$2:$CI$662,"&lt;&gt;no",$CA$2:$CA$662,"&gt;"&amp;CA324)+COUNTIFS($CI$2:CI324,"&lt;&gt;no",$CA$2:CA324,CA324),"")</f>
        <v/>
      </c>
    </row>
    <row r="325">
      <c r="A325" s="2" t="inlineStr">
        <is>
          <t>wallapop:1316246339</t>
        </is>
      </c>
      <c r="B325" s="2" t="inlineStr">
        <is>
          <t>wallapop</t>
        </is>
      </c>
      <c r="C325" s="2" t="inlineStr">
        <is>
          <t>https://es.wallapop.com/item/opel-corsa-1-2-111-years-63-kw-85-cv-1316246339</t>
        </is>
      </c>
      <c r="D325" s="2" t="inlineStr">
        <is>
          <t>Opel Corsa 1.2 111 Years 63 kW (85 CV)</t>
        </is>
      </c>
      <c r="E325" s="2" t="inlineStr">
        <is>
          <t>Opel</t>
        </is>
      </c>
      <c r="F325" s="2" t="inlineStr">
        <is>
          <t>Opel Corsa</t>
        </is>
      </c>
      <c r="G325" s="2" t="inlineStr">
        <is>
          <t>1.2</t>
        </is>
      </c>
      <c r="H325" s="2" t="inlineStr">
        <is>
          <t>1.2 111 Years 63 kW (85 CV)</t>
        </is>
      </c>
      <c r="I325" s="2" t="n"/>
      <c r="J325" s="2" t="n">
        <v>85</v>
      </c>
      <c r="K325" s="2" t="inlineStr">
        <is>
          <t>gasolina</t>
        </is>
      </c>
      <c r="L325" s="2" t="inlineStr">
        <is>
          <t>utilitario</t>
        </is>
      </c>
      <c r="M325" s="2" t="n">
        <v>2011</v>
      </c>
      <c r="N325" s="2" t="n">
        <v>142307</v>
      </c>
      <c r="O325" s="2" t="n">
        <v>4750</v>
      </c>
      <c r="P325" s="2" t="inlineStr">
        <is>
          <t>manual</t>
        </is>
      </c>
      <c r="Q325" s="2" t="inlineStr">
        <is>
          <t>no</t>
        </is>
      </c>
      <c r="R325" s="2" t="inlineStr">
        <is>
          <t>profesional</t>
        </is>
      </c>
      <c r="S325" s="2" t="inlineStr">
        <is>
          <t>Paterna (46980)</t>
        </is>
      </c>
      <c r="T325" s="2" t="inlineStr">
        <is>
          <t>2026-10-26T19:54:36</t>
        </is>
      </c>
      <c r="U325" s="2" t="n">
        <v>11</v>
      </c>
      <c r="V325" s="2" t="n"/>
      <c r="W325" s="2" t="inlineStr">
        <is>
          <t>sí</t>
        </is>
      </c>
      <c r="X325" s="2" t="n"/>
      <c r="Y325" s="2" t="n"/>
      <c r="Z325" s="2" t="inlineStr">
        <is>
          <t>sí</t>
        </is>
      </c>
      <c r="AA325" s="2" t="n"/>
      <c r="AB325" s="2" t="n"/>
      <c r="AC325" s="2" t="n"/>
      <c r="AD325" s="2" t="n"/>
      <c r="AE325" s="2" t="n"/>
      <c r="AF325" s="2" t="inlineStr">
        <is>
          <t>sí</t>
        </is>
      </c>
      <c r="AG325" s="2" t="n"/>
      <c r="AH325" s="2" t="n"/>
      <c r="AI325" s="2" t="n"/>
      <c r="AJ325" s="2" t="n"/>
      <c r="AK325" s="2" t="n"/>
      <c r="AL325" s="2" t="n"/>
      <c r="AM325" s="2" t="n">
        <v>6.4</v>
      </c>
      <c r="AN325" s="2" t="n">
        <v>4625</v>
      </c>
      <c r="AO325" s="2" t="n">
        <v>8</v>
      </c>
      <c r="AP325" s="2" t="inlineStr">
        <is>
          <t>modelo+año+km</t>
        </is>
      </c>
      <c r="AQ325" s="2" t="n"/>
      <c r="AR325" s="2" t="inlineStr">
        <is>
          <t>vendedor profesional: sin ITP (operación con IVA/REBU, confirmar en factura); gastos de gestión del vendedor no indicados: se suma la tasa DGT; preguntar el precio final</t>
        </is>
      </c>
      <c r="AS325" s="2" t="inlineStr">
        <is>
          <t>Ref.126319718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Encendido automático de faros, Control de velocidad, Volante multifunción, Aire Acondicionado, Isofix, Llantas de aleación (16").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25" s="2" t="inlineStr">
        <is>
          <t>https://es.wallapop.com/item/opel-corsa-1-2-111-years-63-kw-85-cv-1316246339 (__NEXT_DATA__ item) /home/user/Alopecia/buscador-coches/raw/wallapop/7bf69f17a3c2bded.json</t>
        </is>
      </c>
      <c r="AU325" s="3">
        <f>MAX(ANIO_ACTUAL-M325,0)</f>
        <v/>
      </c>
      <c r="AV325" s="4">
        <f>N325/MAX(AU325,0.5)</f>
        <v/>
      </c>
      <c r="AW325" s="4">
        <f>F325</f>
        <v/>
      </c>
      <c r="AX325" s="3">
        <f>AW325&amp;"|"&amp;INT(M325/SEG_ANIO)*SEG_ANIO</f>
        <v/>
      </c>
      <c r="AY325" s="3">
        <f>AX325&amp;"|"&amp;INT(N325/SEG_KM)*SEG_KM</f>
        <v/>
      </c>
      <c r="AZ325" s="4">
        <f>COUNTIF($AW$2:$AW$662,AW325)</f>
        <v/>
      </c>
      <c r="BA325" s="4">
        <f>COUNTIF($AX$2:$AX$662,AX325)</f>
        <v/>
      </c>
      <c r="BB325" s="4">
        <f>COUNTIF($AY$2:$AY$662,AY325)</f>
        <v/>
      </c>
      <c r="BC325" s="3">
        <f t="array" ref="BC325">IF(N(AO325)&gt;=MIN_N,AN325,IF(BB325&gt;=MIN_N,MEDIAN(IF($AY$2:$AY$662=AY325,$O$2:$O$662)),IF(BA325&gt;=MIN_N,MEDIAN(IF($AX$2:$AX$662=AX325,$O$2:$O$662)),MEDIAN(IF($AW$2:$AW$662=AW325,$O$2:$O$662)))))</f>
        <v/>
      </c>
      <c r="BD325" s="3">
        <f>IF(N(AO325)&gt;=MIN_N,"mercado "&amp;AP325,IF(BB325&gt;=MIN_N,"modelo+año+km",IF(BA325&gt;=MIN_N,"modelo+año","modelo")))</f>
        <v/>
      </c>
      <c r="BE325" s="4">
        <f>(BC325-O325)/BC325</f>
        <v/>
      </c>
      <c r="BF325" s="3">
        <f>IF(OR(K325="hibrido",K325="glp"),"ECO",IF(K325="electrico","CERO",IF(K325="gasolina",IF(M325&gt;=GAS_C,"C",IF(M325&gt;=GAS_B,"B","A")),IF(K325="diesel",IF(M325&gt;=DIE_C,"C",IF(M325&gt;=DIE_B,"B","A")),""))))</f>
        <v/>
      </c>
      <c r="BG325" s="3">
        <f>IFERROR(VLOOKUP(F325,MOD_TBL,11,0),IFERROR(VLOOKUP(E325,OCU_TBL,2,0),NEUTRO))</f>
        <v/>
      </c>
      <c r="BH325" s="3">
        <f>SUMIFS(MOT_AJUSTE,MOT_MOTOR,G325,MOT_MARCA,E325,MOT_DESDE,"&lt;="&amp;M325,MOT_HASTA,"&gt;="&amp;M325)+SUMIFS(MOT_AJUSTE,MOT_MOTOR,G325,MOT_MARCA,"(todas)",MOT_DESDE,"&lt;="&amp;M325,MOT_HASTA,"&gt;="&amp;M325)</f>
        <v/>
      </c>
      <c r="BI325" s="3">
        <f>SUMIFS(COMB_AJUSTE,COMB_COMB,K325)</f>
        <v/>
      </c>
      <c r="BJ325" s="3">
        <f>COUNTIFS(MOT_MOTOR,G325,MOT_MARCA,E325,MOT_DESDE,"&lt;="&amp;M325,MOT_HASTA,"&gt;="&amp;M325)+COUNTIFS(MOT_MOTOR,G325,MOT_MARCA,"(todas)",MOT_DESDE,"&lt;="&amp;M325,MOT_HASTA,"&gt;="&amp;M325)</f>
        <v/>
      </c>
      <c r="BK325" s="3">
        <f>IF(AND(K325="diesel",BJ325=0),MIN(BG325,NEUTRO),BG325)</f>
        <v/>
      </c>
      <c r="BL325" s="4">
        <f>MAX(0,MIN(100,BK325+BH325+BI325))</f>
        <v/>
      </c>
      <c r="BM325" s="3">
        <f>MAX(0,MIN(100,50+BE325*PRECIO_PEND))</f>
        <v/>
      </c>
      <c r="BN325" s="3">
        <f>MAX(0,100*(1-N325/KM_MAX))</f>
        <v/>
      </c>
      <c r="BO325" s="3">
        <f>IF(AV325&lt;KMA_SOSP,IF(AA325="sí",100,KMA_PEN),IF(AV325&lt;=KMA_IDEAL_MAX,100,MAX(0,100*(KMA_CERO-AV325)/(KMA_CERO-KMA_IDEAL_MAX))))</f>
        <v/>
      </c>
      <c r="BP325" s="3">
        <f>MAX(0,MIN(100,100*(M325-ANIO_MIN)/(ANIO_ACTUAL-ANIO_MIN)))</f>
        <v/>
      </c>
      <c r="BQ325" s="3">
        <f>W_KMT*BN325+W_KMA*BO325+W_EDAD*BP325</f>
        <v/>
      </c>
      <c r="BR325" s="3">
        <f>P_ITV*(V325="sí")+P_LIBRO*(W325="sí")+P_CORREA*(X325="sí")+P_PROP*(Y325=1)+P_GAR*(Z325="sí")+P_FOTOS*MIN(1,N(U325)/FOTOS_OBJ)</f>
        <v/>
      </c>
      <c r="BS325" s="3">
        <f>IFERROR(VLOOKUP(BF325,ETQ_TBL,2,0),NEUTRO)</f>
        <v/>
      </c>
      <c r="BT325" s="3">
        <f>NEUTRO</f>
        <v/>
      </c>
      <c r="BU325" s="3">
        <f>IFERROR(VLOOKUP(L325,SEGURO_TBL,3,0),"")</f>
        <v/>
      </c>
      <c r="BV325" s="3">
        <f>IF(BU325="",NEUTRO,MAX(0,MIN(100,100*(SEG_REF_MAX-BU325)/(SEG_REF_MAX-SEG_REF_MIN))))</f>
        <v/>
      </c>
      <c r="BW325" s="3">
        <f>W_ET*BS325+W_CONS*BT325+W_SEG*BV325</f>
        <v/>
      </c>
      <c r="BX325" s="3">
        <f>IF(N(AB325)&gt;0,AB325,IF(AND(R325="profesional",SG_LEGAL_ON=1),GAR_LEGAL,0))</f>
        <v/>
      </c>
      <c r="BY325" s="3">
        <f>SG_GAR*MIN(1,BX325/SG_GAR_FULL)+SG_AMPL*(AC325="sí")+SG_KMC*(AF325="sí")+SG_REV*(N(AE325)&gt;0)+SG_DEV*MIN(1,N(AG325)/SG_DEV_FULL)+SG_HIST*(W325="sí")</f>
        <v/>
      </c>
      <c r="BZ325" s="3">
        <f>IFERROR(VLOOKUP(L325,CARR_PEN_TBL,2,0),0)</f>
        <v/>
      </c>
      <c r="CA325" s="3">
        <f>W_FIAB*BL325+W_PRECIO*BM325+W_KMEDAD*BQ325+W_ANUNCIO*BR325+W_USO*BW325+W_SEGURIDAD*BY325-BZ325</f>
        <v/>
      </c>
      <c r="CB325" s="4">
        <f>IF(N(I325)&gt;0,I325,IFERROR(ROUND(_xlfn.NUMBERVALUE(LEFT(G325,FIND(" ",G325&amp;" ")-1),".")*1000,0),99999))</f>
        <v/>
      </c>
      <c r="CC325" s="3">
        <f>IF(R325="profesional",0,IF(O325&lt;CUOTA_VALOR_MAX,IF(AU325&gt;ITP_TRAMO_ALTO,SUMIFS(CF_CUOTA,CF_MAS,ITP_TRAMO_ALTO,CF_CCMIN,"&lt;="&amp;CB325,CF_CCMAX,"&gt;="&amp;CB325),IF(AU325&gt;ITP_TRAMO_BAJO,SUMIFS(CF_CUOTA,CF_MAS,ITP_TRAMO_BAJO,CF_CCMIN,"&lt;="&amp;CB325,CF_CCMAX,"&gt;="&amp;CB325),O325*ITP_TIPO)),O325*ITP_TIPO))</f>
        <v/>
      </c>
      <c r="CD325" s="4">
        <f>IF(R325="profesional",N(AK325),0)</f>
        <v/>
      </c>
      <c r="CE325" s="3">
        <f>IF(AND(R325="profesional",ISNUMBER(AK325),AL325="sí"),0,TASA_DGT)</f>
        <v/>
      </c>
      <c r="CF325" s="3">
        <f>INFORME_DGT</f>
        <v/>
      </c>
      <c r="CG325" s="4">
        <f>O325+CD325+CC325+CE325+CF325</f>
        <v/>
      </c>
      <c r="CH325" s="4">
        <f>CG325+N(BU325)</f>
        <v/>
      </c>
      <c r="CI325" s="3">
        <f>IF(CG325&lt;=TOTAL_MAX,"sí",IF(CG325&lt;=TOTAL_MAX+MARGEN_NEG,"negociar","no"))</f>
        <v/>
      </c>
      <c r="CJ325" s="4">
        <f>IF(CI325&lt;&gt;"no",COUNTIFS($CI$2:$CI$662,"&lt;&gt;no",$CA$2:$CA$662,"&gt;"&amp;CA325)+COUNTIFS($CI$2:CI325,"&lt;&gt;no",$CA$2:CA325,CA325),"")</f>
        <v/>
      </c>
    </row>
    <row r="326">
      <c r="A326" s="2" t="inlineStr">
        <is>
          <t>wallapop:1211831015</t>
        </is>
      </c>
      <c r="B326" s="2" t="inlineStr">
        <is>
          <t>wallapop</t>
        </is>
      </c>
      <c r="C326" s="2" t="inlineStr">
        <is>
          <t>https://es.wallapop.com/item/opel-corsa-2006-1211831015</t>
        </is>
      </c>
      <c r="D326" s="2" t="inlineStr">
        <is>
          <t>Opel Corsa 2006</t>
        </is>
      </c>
      <c r="E326" s="2" t="inlineStr">
        <is>
          <t>Opel</t>
        </is>
      </c>
      <c r="F326" s="2" t="inlineStr">
        <is>
          <t>Opel Corsa</t>
        </is>
      </c>
      <c r="G326" s="2" t="inlineStr">
        <is>
          <t>1.3 CDTi</t>
        </is>
      </c>
      <c r="H326" s="2" t="inlineStr">
        <is>
          <t>1.3 CDTi 90 Cosmo 5p</t>
        </is>
      </c>
      <c r="I326" s="2" t="n"/>
      <c r="J326" s="2" t="n">
        <v>90</v>
      </c>
      <c r="K326" s="2" t="inlineStr">
        <is>
          <t>diesel</t>
        </is>
      </c>
      <c r="L326" s="2" t="inlineStr">
        <is>
          <t>utilitario</t>
        </is>
      </c>
      <c r="M326" s="2" t="n">
        <v>2006</v>
      </c>
      <c r="N326" s="2" t="n">
        <v>189000</v>
      </c>
      <c r="O326" s="2" t="n">
        <v>4000</v>
      </c>
      <c r="P326" s="2" t="inlineStr">
        <is>
          <t>manual</t>
        </is>
      </c>
      <c r="Q326" s="2" t="inlineStr">
        <is>
          <t>no</t>
        </is>
      </c>
      <c r="R326" s="2" t="inlineStr">
        <is>
          <t>profesional</t>
        </is>
      </c>
      <c r="S326" s="2" t="inlineStr">
        <is>
          <t>Sagunt/Sagunto (46500)</t>
        </is>
      </c>
      <c r="T326" s="2" t="inlineStr">
        <is>
          <t>2026-07-16T08:00:02</t>
        </is>
      </c>
      <c r="U326" s="2" t="n">
        <v>7</v>
      </c>
      <c r="V326" s="2" t="n"/>
      <c r="W326" s="2" t="n"/>
      <c r="X326" s="2" t="n"/>
      <c r="Y326" s="2" t="n"/>
      <c r="Z326" s="2" t="inlineStr">
        <is>
          <t>sí</t>
        </is>
      </c>
      <c r="AA326" s="2" t="n"/>
      <c r="AB326" s="2" t="n"/>
      <c r="AC326" s="2" t="n"/>
      <c r="AD326" s="2" t="n"/>
      <c r="AE326" s="2" t="n"/>
      <c r="AF326" s="2" t="n"/>
      <c r="AG326" s="2" t="n"/>
      <c r="AH326" s="2" t="n"/>
      <c r="AI326" s="2" t="n"/>
      <c r="AJ326" s="2" t="n"/>
      <c r="AK326" s="2" t="n">
        <v>0</v>
      </c>
      <c r="AL326" s="2" t="inlineStr">
        <is>
          <t>sí</t>
        </is>
      </c>
      <c r="AM326" s="2" t="n">
        <v>24.2</v>
      </c>
      <c r="AN326" s="2" t="n">
        <v>3100</v>
      </c>
      <c r="AO326" s="2" t="n">
        <v>8</v>
      </c>
      <c r="AP326" s="2" t="inlineStr">
        <is>
          <t>modelo+año+km</t>
        </is>
      </c>
      <c r="AQ326" s="2" t="n"/>
      <c r="AR326" s="2" t="inlineStr">
        <is>
          <t>vendedor profesional: sin ITP (operación con IVA/REBU, confirmar en factura)</t>
        </is>
      </c>
      <c r="AS326" s="2" t="inlineStr">
        <is>
          <t>Opel corsa con un año de garantía oficial. 
Estamos en Fiat Sagunto Ctra. Valencia-Barcelona, 67 Sagunto. Ven a vernos y te atenderemos encantados, pide tu cita en el 962664388 o 654907400, también atendemos WhatsApp. Gastos de transferencia incluidos.</t>
        </is>
      </c>
      <c r="AT326" s="2" t="inlineStr">
        <is>
          <t>https://es.wallapop.com/item/opel-corsa-2006-1211831015 (__NEXT_DATA__ item) /home/user/Alopecia/buscador-coches/raw/wallapop/c864aeca1ed3fbf2.json</t>
        </is>
      </c>
      <c r="AU326" s="3">
        <f>MAX(ANIO_ACTUAL-M326,0)</f>
        <v/>
      </c>
      <c r="AV326" s="4">
        <f>N326/MAX(AU326,0.5)</f>
        <v/>
      </c>
      <c r="AW326" s="4">
        <f>F326</f>
        <v/>
      </c>
      <c r="AX326" s="3">
        <f>AW326&amp;"|"&amp;INT(M326/SEG_ANIO)*SEG_ANIO</f>
        <v/>
      </c>
      <c r="AY326" s="3">
        <f>AX326&amp;"|"&amp;INT(N326/SEG_KM)*SEG_KM</f>
        <v/>
      </c>
      <c r="AZ326" s="4">
        <f>COUNTIF($AW$2:$AW$662,AW326)</f>
        <v/>
      </c>
      <c r="BA326" s="4">
        <f>COUNTIF($AX$2:$AX$662,AX326)</f>
        <v/>
      </c>
      <c r="BB326" s="4">
        <f>COUNTIF($AY$2:$AY$662,AY326)</f>
        <v/>
      </c>
      <c r="BC326" s="3">
        <f t="array" ref="BC326">IF(N(AO326)&gt;=MIN_N,AN326,IF(BB326&gt;=MIN_N,MEDIAN(IF($AY$2:$AY$662=AY326,$O$2:$O$662)),IF(BA326&gt;=MIN_N,MEDIAN(IF($AX$2:$AX$662=AX326,$O$2:$O$662)),MEDIAN(IF($AW$2:$AW$662=AW326,$O$2:$O$662)))))</f>
        <v/>
      </c>
      <c r="BD326" s="3">
        <f>IF(N(AO326)&gt;=MIN_N,"mercado "&amp;AP326,IF(BB326&gt;=MIN_N,"modelo+año+km",IF(BA326&gt;=MIN_N,"modelo+año","modelo")))</f>
        <v/>
      </c>
      <c r="BE326" s="4">
        <f>(BC326-O326)/BC326</f>
        <v/>
      </c>
      <c r="BF326" s="3">
        <f>IF(OR(K326="hibrido",K326="glp"),"ECO",IF(K326="electrico","CERO",IF(K326="gasolina",IF(M326&gt;=GAS_C,"C",IF(M326&gt;=GAS_B,"B","A")),IF(K326="diesel",IF(M326&gt;=DIE_C,"C",IF(M326&gt;=DIE_B,"B","A")),""))))</f>
        <v/>
      </c>
      <c r="BG326" s="3">
        <f>IFERROR(VLOOKUP(F326,MOD_TBL,11,0),IFERROR(VLOOKUP(E326,OCU_TBL,2,0),NEUTRO))</f>
        <v/>
      </c>
      <c r="BH326" s="3">
        <f>SUMIFS(MOT_AJUSTE,MOT_MOTOR,G326,MOT_MARCA,E326,MOT_DESDE,"&lt;="&amp;M326,MOT_HASTA,"&gt;="&amp;M326)+SUMIFS(MOT_AJUSTE,MOT_MOTOR,G326,MOT_MARCA,"(todas)",MOT_DESDE,"&lt;="&amp;M326,MOT_HASTA,"&gt;="&amp;M326)</f>
        <v/>
      </c>
      <c r="BI326" s="3">
        <f>SUMIFS(COMB_AJUSTE,COMB_COMB,K326)</f>
        <v/>
      </c>
      <c r="BJ326" s="3">
        <f>COUNTIFS(MOT_MOTOR,G326,MOT_MARCA,E326,MOT_DESDE,"&lt;="&amp;M326,MOT_HASTA,"&gt;="&amp;M326)+COUNTIFS(MOT_MOTOR,G326,MOT_MARCA,"(todas)",MOT_DESDE,"&lt;="&amp;M326,MOT_HASTA,"&gt;="&amp;M326)</f>
        <v/>
      </c>
      <c r="BK326" s="3">
        <f>IF(AND(K326="diesel",BJ326=0),MIN(BG326,NEUTRO),BG326)</f>
        <v/>
      </c>
      <c r="BL326" s="4">
        <f>MAX(0,MIN(100,BK326+BH326+BI326))</f>
        <v/>
      </c>
      <c r="BM326" s="3">
        <f>MAX(0,MIN(100,50+BE326*PRECIO_PEND))</f>
        <v/>
      </c>
      <c r="BN326" s="3">
        <f>MAX(0,100*(1-N326/KM_MAX))</f>
        <v/>
      </c>
      <c r="BO326" s="3">
        <f>IF(AV326&lt;KMA_SOSP,IF(AA326="sí",100,KMA_PEN),IF(AV326&lt;=KMA_IDEAL_MAX,100,MAX(0,100*(KMA_CERO-AV326)/(KMA_CERO-KMA_IDEAL_MAX))))</f>
        <v/>
      </c>
      <c r="BP326" s="3">
        <f>MAX(0,MIN(100,100*(M326-ANIO_MIN)/(ANIO_ACTUAL-ANIO_MIN)))</f>
        <v/>
      </c>
      <c r="BQ326" s="3">
        <f>W_KMT*BN326+W_KMA*BO326+W_EDAD*BP326</f>
        <v/>
      </c>
      <c r="BR326" s="3">
        <f>P_ITV*(V326="sí")+P_LIBRO*(W326="sí")+P_CORREA*(X326="sí")+P_PROP*(Y326=1)+P_GAR*(Z326="sí")+P_FOTOS*MIN(1,N(U326)/FOTOS_OBJ)</f>
        <v/>
      </c>
      <c r="BS326" s="3">
        <f>IFERROR(VLOOKUP(BF326,ETQ_TBL,2,0),NEUTRO)</f>
        <v/>
      </c>
      <c r="BT326" s="3">
        <f>NEUTRO</f>
        <v/>
      </c>
      <c r="BU326" s="3">
        <f>IFERROR(VLOOKUP(L326,SEGURO_TBL,3,0),"")</f>
        <v/>
      </c>
      <c r="BV326" s="3">
        <f>IF(BU326="",NEUTRO,MAX(0,MIN(100,100*(SEG_REF_MAX-BU326)/(SEG_REF_MAX-SEG_REF_MIN))))</f>
        <v/>
      </c>
      <c r="BW326" s="3">
        <f>W_ET*BS326+W_CONS*BT326+W_SEG*BV326</f>
        <v/>
      </c>
      <c r="BX326" s="3">
        <f>IF(N(AB326)&gt;0,AB326,IF(AND(R326="profesional",SG_LEGAL_ON=1),GAR_LEGAL,0))</f>
        <v/>
      </c>
      <c r="BY326" s="3">
        <f>SG_GAR*MIN(1,BX326/SG_GAR_FULL)+SG_AMPL*(AC326="sí")+SG_KMC*(AF326="sí")+SG_REV*(N(AE326)&gt;0)+SG_DEV*MIN(1,N(AG326)/SG_DEV_FULL)+SG_HIST*(W326="sí")</f>
        <v/>
      </c>
      <c r="BZ326" s="3">
        <f>IFERROR(VLOOKUP(L326,CARR_PEN_TBL,2,0),0)</f>
        <v/>
      </c>
      <c r="CA326" s="3">
        <f>W_FIAB*BL326+W_PRECIO*BM326+W_KMEDAD*BQ326+W_ANUNCIO*BR326+W_USO*BW326+W_SEGURIDAD*BY326-BZ326</f>
        <v/>
      </c>
      <c r="CB326" s="4">
        <f>IF(N(I326)&gt;0,I326,IFERROR(ROUND(_xlfn.NUMBERVALUE(LEFT(G326,FIND(" ",G326&amp;" ")-1),".")*1000,0),99999))</f>
        <v/>
      </c>
      <c r="CC326" s="3">
        <f>IF(R326="profesional",0,IF(O326&lt;CUOTA_VALOR_MAX,IF(AU326&gt;ITP_TRAMO_ALTO,SUMIFS(CF_CUOTA,CF_MAS,ITP_TRAMO_ALTO,CF_CCMIN,"&lt;="&amp;CB326,CF_CCMAX,"&gt;="&amp;CB326),IF(AU326&gt;ITP_TRAMO_BAJO,SUMIFS(CF_CUOTA,CF_MAS,ITP_TRAMO_BAJO,CF_CCMIN,"&lt;="&amp;CB326,CF_CCMAX,"&gt;="&amp;CB326),O326*ITP_TIPO)),O326*ITP_TIPO))</f>
        <v/>
      </c>
      <c r="CD326" s="4">
        <f>IF(R326="profesional",N(AK326),0)</f>
        <v/>
      </c>
      <c r="CE326" s="3">
        <f>IF(AND(R326="profesional",ISNUMBER(AK326),AL326="sí"),0,TASA_DGT)</f>
        <v/>
      </c>
      <c r="CF326" s="3">
        <f>INFORME_DGT</f>
        <v/>
      </c>
      <c r="CG326" s="4">
        <f>O326+CD326+CC326+CE326+CF326</f>
        <v/>
      </c>
      <c r="CH326" s="4">
        <f>CG326+N(BU326)</f>
        <v/>
      </c>
      <c r="CI326" s="3">
        <f>IF(CG326&lt;=TOTAL_MAX,"sí",IF(CG326&lt;=TOTAL_MAX+MARGEN_NEG,"negociar","no"))</f>
        <v/>
      </c>
      <c r="CJ326" s="4">
        <f>IF(CI326&lt;&gt;"no",COUNTIFS($CI$2:$CI$662,"&lt;&gt;no",$CA$2:$CA$662,"&gt;"&amp;CA326)+COUNTIFS($CI$2:CI326,"&lt;&gt;no",$CA$2:CA326,CA326),"")</f>
        <v/>
      </c>
    </row>
    <row r="327">
      <c r="A327" s="2" t="inlineStr">
        <is>
          <t>wallapop:1317003992</t>
        </is>
      </c>
      <c r="B327" s="2" t="inlineStr">
        <is>
          <t>wallapop</t>
        </is>
      </c>
      <c r="C327" s="2" t="inlineStr">
        <is>
          <t>https://es.wallapop.com/item/opel-astra-2006-twinport-1-6-1317003992</t>
        </is>
      </c>
      <c r="D327" s="2" t="inlineStr">
        <is>
          <t>Opel Astra 2006 Twinport 1.6</t>
        </is>
      </c>
      <c r="E327" s="2" t="inlineStr">
        <is>
          <t>Opel</t>
        </is>
      </c>
      <c r="F327" s="2" t="inlineStr">
        <is>
          <t>Opel Astra</t>
        </is>
      </c>
      <c r="G327" s="2" t="inlineStr">
        <is>
          <t>1.6</t>
        </is>
      </c>
      <c r="H327" s="2" t="inlineStr">
        <is>
          <t>1.6 Twinport</t>
        </is>
      </c>
      <c r="I327" s="2" t="n"/>
      <c r="J327" s="2" t="n">
        <v>105</v>
      </c>
      <c r="K327" s="2" t="inlineStr">
        <is>
          <t>gasolina</t>
        </is>
      </c>
      <c r="L327" s="2" t="inlineStr">
        <is>
          <t>compacto</t>
        </is>
      </c>
      <c r="M327" s="2" t="n">
        <v>2006</v>
      </c>
      <c r="N327" s="2" t="n">
        <v>120000</v>
      </c>
      <c r="O327" s="2" t="n">
        <v>3750</v>
      </c>
      <c r="P327" s="2" t="inlineStr">
        <is>
          <t>manual</t>
        </is>
      </c>
      <c r="Q327" s="2" t="inlineStr">
        <is>
          <t>no</t>
        </is>
      </c>
      <c r="R327" s="2" t="inlineStr">
        <is>
          <t>particular</t>
        </is>
      </c>
      <c r="S327" s="2" t="inlineStr">
        <is>
          <t>Valencia (46002)</t>
        </is>
      </c>
      <c r="T327" s="2" t="inlineStr">
        <is>
          <t>2026-10-25T11:59:14</t>
        </is>
      </c>
      <c r="U327" s="2" t="n">
        <v>7</v>
      </c>
      <c r="V327" s="2" t="inlineStr">
        <is>
          <t>sí</t>
        </is>
      </c>
      <c r="W327" s="2" t="n"/>
      <c r="X327" s="2" t="n"/>
      <c r="Y327" s="2" t="n"/>
      <c r="Z327" s="2" t="n"/>
      <c r="AA327" s="2" t="n"/>
      <c r="AB327" s="2" t="n"/>
      <c r="AC327" s="2" t="n"/>
      <c r="AD327" s="2" t="n"/>
      <c r="AE327" s="2" t="n"/>
      <c r="AF327" s="2" t="n"/>
      <c r="AG327" s="2" t="n"/>
      <c r="AH327" s="2" t="n"/>
      <c r="AI327" s="2" t="n"/>
      <c r="AJ327" s="2" t="n"/>
      <c r="AK327" s="2" t="n"/>
      <c r="AL327" s="2" t="n"/>
      <c r="AM327" s="2" t="n">
        <v>0.3</v>
      </c>
      <c r="AN327" s="2" t="n">
        <v>3725</v>
      </c>
      <c r="AO327" s="2" t="n">
        <v>12</v>
      </c>
      <c r="AP327" s="2" t="inlineStr">
        <is>
          <t>modelo+año+km</t>
        </is>
      </c>
      <c r="AQ327" s="2" t="n"/>
      <c r="AR327" s="2" t="inlineStr">
        <is>
          <t>cuota fija ITP: &gt;12 años, 1.501-2.000 cc</t>
        </is>
      </c>
      <c r="AS327" s="2" t="inlineStr">
        <is>
          <t xml:space="preserve">Vendo Opel Astra 1.6 Twinport de gasolina del año 2006, con **solo 120.000 km**. Coche en buen estado general, funciona perfectamente y tiene la ITV en vigor.
✅ Motor de gasolina, ideal para el día a día.
✅ Kilometraje bajo para su año.
✅ ITV en vigor.
✅ Incluye extras como fundas para los asientos, alfombrillas y funda de volante.
✅ Ideal para moverse por ciudad o como primer coche para ganar experiencia al volante.
Como es normal por su antigüedad, tiene algunos rasguños estéticos. El aire acondicionado está descargado y necesita recarga.
Un coche práctico, económico y funcional, perfecto para alguien que busque su primer vehículo o un coche para el uso diario.
</t>
        </is>
      </c>
      <c r="AT327" s="2" t="inlineStr">
        <is>
          <t>https://es.wallapop.com/item/opel-astra-2006-twinport-1-6-1317003992 (__NEXT_DATA__ item) /home/user/Alopecia/buscador-coches/raw/wallapop/d69638997c12c4d7.json</t>
        </is>
      </c>
      <c r="AU327" s="3">
        <f>MAX(ANIO_ACTUAL-M327,0)</f>
        <v/>
      </c>
      <c r="AV327" s="4">
        <f>N327/MAX(AU327,0.5)</f>
        <v/>
      </c>
      <c r="AW327" s="4">
        <f>F327</f>
        <v/>
      </c>
      <c r="AX327" s="3">
        <f>AW327&amp;"|"&amp;INT(M327/SEG_ANIO)*SEG_ANIO</f>
        <v/>
      </c>
      <c r="AY327" s="3">
        <f>AX327&amp;"|"&amp;INT(N327/SEG_KM)*SEG_KM</f>
        <v/>
      </c>
      <c r="AZ327" s="4">
        <f>COUNTIF($AW$2:$AW$662,AW327)</f>
        <v/>
      </c>
      <c r="BA327" s="4">
        <f>COUNTIF($AX$2:$AX$662,AX327)</f>
        <v/>
      </c>
      <c r="BB327" s="4">
        <f>COUNTIF($AY$2:$AY$662,AY327)</f>
        <v/>
      </c>
      <c r="BC327" s="3">
        <f t="array" ref="BC327">IF(N(AO327)&gt;=MIN_N,AN327,IF(BB327&gt;=MIN_N,MEDIAN(IF($AY$2:$AY$662=AY327,$O$2:$O$662)),IF(BA327&gt;=MIN_N,MEDIAN(IF($AX$2:$AX$662=AX327,$O$2:$O$662)),MEDIAN(IF($AW$2:$AW$662=AW327,$O$2:$O$662)))))</f>
        <v/>
      </c>
      <c r="BD327" s="3">
        <f>IF(N(AO327)&gt;=MIN_N,"mercado "&amp;AP327,IF(BB327&gt;=MIN_N,"modelo+año+km",IF(BA327&gt;=MIN_N,"modelo+año","modelo")))</f>
        <v/>
      </c>
      <c r="BE327" s="4">
        <f>(BC327-O327)/BC327</f>
        <v/>
      </c>
      <c r="BF327" s="3">
        <f>IF(OR(K327="hibrido",K327="glp"),"ECO",IF(K327="electrico","CERO",IF(K327="gasolina",IF(M327&gt;=GAS_C,"C",IF(M327&gt;=GAS_B,"B","A")),IF(K327="diesel",IF(M327&gt;=DIE_C,"C",IF(M327&gt;=DIE_B,"B","A")),""))))</f>
        <v/>
      </c>
      <c r="BG327" s="3">
        <f>IFERROR(VLOOKUP(F327,MOD_TBL,11,0),IFERROR(VLOOKUP(E327,OCU_TBL,2,0),NEUTRO))</f>
        <v/>
      </c>
      <c r="BH327" s="3">
        <f>SUMIFS(MOT_AJUSTE,MOT_MOTOR,G327,MOT_MARCA,E327,MOT_DESDE,"&lt;="&amp;M327,MOT_HASTA,"&gt;="&amp;M327)+SUMIFS(MOT_AJUSTE,MOT_MOTOR,G327,MOT_MARCA,"(todas)",MOT_DESDE,"&lt;="&amp;M327,MOT_HASTA,"&gt;="&amp;M327)</f>
        <v/>
      </c>
      <c r="BI327" s="3">
        <f>SUMIFS(COMB_AJUSTE,COMB_COMB,K327)</f>
        <v/>
      </c>
      <c r="BJ327" s="3">
        <f>COUNTIFS(MOT_MOTOR,G327,MOT_MARCA,E327,MOT_DESDE,"&lt;="&amp;M327,MOT_HASTA,"&gt;="&amp;M327)+COUNTIFS(MOT_MOTOR,G327,MOT_MARCA,"(todas)",MOT_DESDE,"&lt;="&amp;M327,MOT_HASTA,"&gt;="&amp;M327)</f>
        <v/>
      </c>
      <c r="BK327" s="3">
        <f>IF(AND(K327="diesel",BJ327=0),MIN(BG327,NEUTRO),BG327)</f>
        <v/>
      </c>
      <c r="BL327" s="4">
        <f>MAX(0,MIN(100,BK327+BH327+BI327))</f>
        <v/>
      </c>
      <c r="BM327" s="3">
        <f>MAX(0,MIN(100,50+BE327*PRECIO_PEND))</f>
        <v/>
      </c>
      <c r="BN327" s="3">
        <f>MAX(0,100*(1-N327/KM_MAX))</f>
        <v/>
      </c>
      <c r="BO327" s="3">
        <f>IF(AV327&lt;KMA_SOSP,IF(AA327="sí",100,KMA_PEN),IF(AV327&lt;=KMA_IDEAL_MAX,100,MAX(0,100*(KMA_CERO-AV327)/(KMA_CERO-KMA_IDEAL_MAX))))</f>
        <v/>
      </c>
      <c r="BP327" s="3">
        <f>MAX(0,MIN(100,100*(M327-ANIO_MIN)/(ANIO_ACTUAL-ANIO_MIN)))</f>
        <v/>
      </c>
      <c r="BQ327" s="3">
        <f>W_KMT*BN327+W_KMA*BO327+W_EDAD*BP327</f>
        <v/>
      </c>
      <c r="BR327" s="3">
        <f>P_ITV*(V327="sí")+P_LIBRO*(W327="sí")+P_CORREA*(X327="sí")+P_PROP*(Y327=1)+P_GAR*(Z327="sí")+P_FOTOS*MIN(1,N(U327)/FOTOS_OBJ)</f>
        <v/>
      </c>
      <c r="BS327" s="3">
        <f>IFERROR(VLOOKUP(BF327,ETQ_TBL,2,0),NEUTRO)</f>
        <v/>
      </c>
      <c r="BT327" s="3">
        <f>NEUTRO</f>
        <v/>
      </c>
      <c r="BU327" s="3">
        <f>IFERROR(VLOOKUP(L327,SEGURO_TBL,3,0),"")</f>
        <v/>
      </c>
      <c r="BV327" s="3">
        <f>IF(BU327="",NEUTRO,MAX(0,MIN(100,100*(SEG_REF_MAX-BU327)/(SEG_REF_MAX-SEG_REF_MIN))))</f>
        <v/>
      </c>
      <c r="BW327" s="3">
        <f>W_ET*BS327+W_CONS*BT327+W_SEG*BV327</f>
        <v/>
      </c>
      <c r="BX327" s="3">
        <f>IF(N(AB327)&gt;0,AB327,IF(AND(R327="profesional",SG_LEGAL_ON=1),GAR_LEGAL,0))</f>
        <v/>
      </c>
      <c r="BY327" s="3">
        <f>SG_GAR*MIN(1,BX327/SG_GAR_FULL)+SG_AMPL*(AC327="sí")+SG_KMC*(AF327="sí")+SG_REV*(N(AE327)&gt;0)+SG_DEV*MIN(1,N(AG327)/SG_DEV_FULL)+SG_HIST*(W327="sí")</f>
        <v/>
      </c>
      <c r="BZ327" s="3">
        <f>IFERROR(VLOOKUP(L327,CARR_PEN_TBL,2,0),0)</f>
        <v/>
      </c>
      <c r="CA327" s="3">
        <f>W_FIAB*BL327+W_PRECIO*BM327+W_KMEDAD*BQ327+W_ANUNCIO*BR327+W_USO*BW327+W_SEGURIDAD*BY327-BZ327</f>
        <v/>
      </c>
      <c r="CB327" s="4">
        <f>IF(N(I327)&gt;0,I327,IFERROR(ROUND(_xlfn.NUMBERVALUE(LEFT(G327,FIND(" ",G327&amp;" ")-1),".")*1000,0),99999))</f>
        <v/>
      </c>
      <c r="CC327" s="3">
        <f>IF(R327="profesional",0,IF(O327&lt;CUOTA_VALOR_MAX,IF(AU327&gt;ITP_TRAMO_ALTO,SUMIFS(CF_CUOTA,CF_MAS,ITP_TRAMO_ALTO,CF_CCMIN,"&lt;="&amp;CB327,CF_CCMAX,"&gt;="&amp;CB327),IF(AU327&gt;ITP_TRAMO_BAJO,SUMIFS(CF_CUOTA,CF_MAS,ITP_TRAMO_BAJO,CF_CCMIN,"&lt;="&amp;CB327,CF_CCMAX,"&gt;="&amp;CB327),O327*ITP_TIPO)),O327*ITP_TIPO))</f>
        <v/>
      </c>
      <c r="CD327" s="4">
        <f>IF(R327="profesional",N(AK327),0)</f>
        <v/>
      </c>
      <c r="CE327" s="3">
        <f>IF(AND(R327="profesional",ISNUMBER(AK327),AL327="sí"),0,TASA_DGT)</f>
        <v/>
      </c>
      <c r="CF327" s="3">
        <f>INFORME_DGT</f>
        <v/>
      </c>
      <c r="CG327" s="4">
        <f>O327+CD327+CC327+CE327+CF327</f>
        <v/>
      </c>
      <c r="CH327" s="4">
        <f>CG327+N(BU327)</f>
        <v/>
      </c>
      <c r="CI327" s="3">
        <f>IF(CG327&lt;=TOTAL_MAX,"sí",IF(CG327&lt;=TOTAL_MAX+MARGEN_NEG,"negociar","no"))</f>
        <v/>
      </c>
      <c r="CJ327" s="4">
        <f>IF(CI327&lt;&gt;"no",COUNTIFS($CI$2:$CI$662,"&lt;&gt;no",$CA$2:$CA$662,"&gt;"&amp;CA327)+COUNTIFS($CI$2:CI327,"&lt;&gt;no",$CA$2:CA327,CA327),"")</f>
        <v/>
      </c>
    </row>
    <row r="328">
      <c r="A328" s="2" t="inlineStr">
        <is>
          <t>wallapop:1314718258</t>
        </is>
      </c>
      <c r="B328" s="2" t="inlineStr">
        <is>
          <t>wallapop</t>
        </is>
      </c>
      <c r="C328" s="2" t="inlineStr">
        <is>
          <t>https://es.wallapop.com/item/opel-astra-2008-1314718258</t>
        </is>
      </c>
      <c r="D328" s="2" t="inlineStr">
        <is>
          <t>Opel Astra 2008</t>
        </is>
      </c>
      <c r="E328" s="2" t="inlineStr">
        <is>
          <t>Opel</t>
        </is>
      </c>
      <c r="F328" s="2" t="inlineStr">
        <is>
          <t>Opel Astra</t>
        </is>
      </c>
      <c r="G328" s="2" t="inlineStr">
        <is>
          <t>1.9 CDTi</t>
        </is>
      </c>
      <c r="H328" s="2" t="inlineStr">
        <is>
          <t>1.9 CDTi 150 Cosmo 5p 6v</t>
        </is>
      </c>
      <c r="I328" s="2" t="n"/>
      <c r="J328" s="2" t="n">
        <v>150</v>
      </c>
      <c r="K328" s="2" t="inlineStr">
        <is>
          <t>diesel</t>
        </is>
      </c>
      <c r="L328" s="2" t="inlineStr">
        <is>
          <t>compacto</t>
        </is>
      </c>
      <c r="M328" s="2" t="n">
        <v>2008</v>
      </c>
      <c r="N328" s="2" t="n">
        <v>180000</v>
      </c>
      <c r="O328" s="2" t="n">
        <v>4999</v>
      </c>
      <c r="P328" s="2" t="inlineStr">
        <is>
          <t>manual</t>
        </is>
      </c>
      <c r="Q328" s="2" t="inlineStr">
        <is>
          <t>no</t>
        </is>
      </c>
      <c r="R328" s="2" t="inlineStr">
        <is>
          <t>particular</t>
        </is>
      </c>
      <c r="S328" s="2" t="inlineStr">
        <is>
          <t>Valencia (46002)</t>
        </is>
      </c>
      <c r="T328" s="2" t="inlineStr">
        <is>
          <t>2026-10-19T00:56:50</t>
        </is>
      </c>
      <c r="U328" s="2" t="n">
        <v>5</v>
      </c>
      <c r="V328" s="2" t="n"/>
      <c r="W328" s="2" t="n"/>
      <c r="X328" s="2" t="n"/>
      <c r="Y328" s="2" t="n"/>
      <c r="Z328" s="2" t="n"/>
      <c r="AA328" s="2" t="n"/>
      <c r="AB328" s="2" t="n"/>
      <c r="AC328" s="2" t="n"/>
      <c r="AD328" s="2" t="n"/>
      <c r="AE328" s="2" t="n"/>
      <c r="AF328" s="2" t="n"/>
      <c r="AG328" s="2" t="n"/>
      <c r="AH328" s="2" t="n"/>
      <c r="AI328" s="2" t="n"/>
      <c r="AJ328" s="2" t="n"/>
      <c r="AK328" s="2" t="n"/>
      <c r="AL328" s="2" t="n"/>
      <c r="AM328" s="2" t="n">
        <v>0.9</v>
      </c>
      <c r="AN328" s="2" t="n">
        <v>4300</v>
      </c>
      <c r="AO328" s="2" t="n">
        <v>17</v>
      </c>
      <c r="AP328" s="2" t="inlineStr">
        <is>
          <t>modelo+año+km</t>
        </is>
      </c>
      <c r="AQ328" s="2" t="n"/>
      <c r="AR328" s="2" t="inlineStr">
        <is>
          <t>por encima del presupuesto (5123 €), negociar; cuota fija ITP: &gt;12 años, 1.501-2.000 cc; diésel: motor sin fuente de fiabilidad (fiabilidad limitada a neutra)</t>
        </is>
      </c>
      <c r="AS328" s="2" t="inlineStr">
        <is>
          <t>En perfecto de todo ,repito perfecto de todo y todo al día mecánica he impuestos .</t>
        </is>
      </c>
      <c r="AT328" s="2" t="inlineStr">
        <is>
          <t>https://es.wallapop.com/item/opel-astra-2008-1314718258 (__NEXT_DATA__ item) /home/user/Alopecia/buscador-coches/raw/wallapop/a05ca11fea5e8995.json</t>
        </is>
      </c>
      <c r="AU328" s="3">
        <f>MAX(ANIO_ACTUAL-M328,0)</f>
        <v/>
      </c>
      <c r="AV328" s="4">
        <f>N328/MAX(AU328,0.5)</f>
        <v/>
      </c>
      <c r="AW328" s="4">
        <f>F328</f>
        <v/>
      </c>
      <c r="AX328" s="3">
        <f>AW328&amp;"|"&amp;INT(M328/SEG_ANIO)*SEG_ANIO</f>
        <v/>
      </c>
      <c r="AY328" s="3">
        <f>AX328&amp;"|"&amp;INT(N328/SEG_KM)*SEG_KM</f>
        <v/>
      </c>
      <c r="AZ328" s="4">
        <f>COUNTIF($AW$2:$AW$662,AW328)</f>
        <v/>
      </c>
      <c r="BA328" s="4">
        <f>COUNTIF($AX$2:$AX$662,AX328)</f>
        <v/>
      </c>
      <c r="BB328" s="4">
        <f>COUNTIF($AY$2:$AY$662,AY328)</f>
        <v/>
      </c>
      <c r="BC328" s="3">
        <f t="array" ref="BC328">IF(N(AO328)&gt;=MIN_N,AN328,IF(BB328&gt;=MIN_N,MEDIAN(IF($AY$2:$AY$662=AY328,$O$2:$O$662)),IF(BA328&gt;=MIN_N,MEDIAN(IF($AX$2:$AX$662=AX328,$O$2:$O$662)),MEDIAN(IF($AW$2:$AW$662=AW328,$O$2:$O$662)))))</f>
        <v/>
      </c>
      <c r="BD328" s="3">
        <f>IF(N(AO328)&gt;=MIN_N,"mercado "&amp;AP328,IF(BB328&gt;=MIN_N,"modelo+año+km",IF(BA328&gt;=MIN_N,"modelo+año","modelo")))</f>
        <v/>
      </c>
      <c r="BE328" s="4">
        <f>(BC328-O328)/BC328</f>
        <v/>
      </c>
      <c r="BF328" s="3">
        <f>IF(OR(K328="hibrido",K328="glp"),"ECO",IF(K328="electrico","CERO",IF(K328="gasolina",IF(M328&gt;=GAS_C,"C",IF(M328&gt;=GAS_B,"B","A")),IF(K328="diesel",IF(M328&gt;=DIE_C,"C",IF(M328&gt;=DIE_B,"B","A")),""))))</f>
        <v/>
      </c>
      <c r="BG328" s="3">
        <f>IFERROR(VLOOKUP(F328,MOD_TBL,11,0),IFERROR(VLOOKUP(E328,OCU_TBL,2,0),NEUTRO))</f>
        <v/>
      </c>
      <c r="BH328" s="3">
        <f>SUMIFS(MOT_AJUSTE,MOT_MOTOR,G328,MOT_MARCA,E328,MOT_DESDE,"&lt;="&amp;M328,MOT_HASTA,"&gt;="&amp;M328)+SUMIFS(MOT_AJUSTE,MOT_MOTOR,G328,MOT_MARCA,"(todas)",MOT_DESDE,"&lt;="&amp;M328,MOT_HASTA,"&gt;="&amp;M328)</f>
        <v/>
      </c>
      <c r="BI328" s="3">
        <f>SUMIFS(COMB_AJUSTE,COMB_COMB,K328)</f>
        <v/>
      </c>
      <c r="BJ328" s="3">
        <f>COUNTIFS(MOT_MOTOR,G328,MOT_MARCA,E328,MOT_DESDE,"&lt;="&amp;M328,MOT_HASTA,"&gt;="&amp;M328)+COUNTIFS(MOT_MOTOR,G328,MOT_MARCA,"(todas)",MOT_DESDE,"&lt;="&amp;M328,MOT_HASTA,"&gt;="&amp;M328)</f>
        <v/>
      </c>
      <c r="BK328" s="3">
        <f>IF(AND(K328="diesel",BJ328=0),MIN(BG328,NEUTRO),BG328)</f>
        <v/>
      </c>
      <c r="BL328" s="4">
        <f>MAX(0,MIN(100,BK328+BH328+BI328))</f>
        <v/>
      </c>
      <c r="BM328" s="3">
        <f>MAX(0,MIN(100,50+BE328*PRECIO_PEND))</f>
        <v/>
      </c>
      <c r="BN328" s="3">
        <f>MAX(0,100*(1-N328/KM_MAX))</f>
        <v/>
      </c>
      <c r="BO328" s="3">
        <f>IF(AV328&lt;KMA_SOSP,IF(AA328="sí",100,KMA_PEN),IF(AV328&lt;=KMA_IDEAL_MAX,100,MAX(0,100*(KMA_CERO-AV328)/(KMA_CERO-KMA_IDEAL_MAX))))</f>
        <v/>
      </c>
      <c r="BP328" s="3">
        <f>MAX(0,MIN(100,100*(M328-ANIO_MIN)/(ANIO_ACTUAL-ANIO_MIN)))</f>
        <v/>
      </c>
      <c r="BQ328" s="3">
        <f>W_KMT*BN328+W_KMA*BO328+W_EDAD*BP328</f>
        <v/>
      </c>
      <c r="BR328" s="3">
        <f>P_ITV*(V328="sí")+P_LIBRO*(W328="sí")+P_CORREA*(X328="sí")+P_PROP*(Y328=1)+P_GAR*(Z328="sí")+P_FOTOS*MIN(1,N(U328)/FOTOS_OBJ)</f>
        <v/>
      </c>
      <c r="BS328" s="3">
        <f>IFERROR(VLOOKUP(BF328,ETQ_TBL,2,0),NEUTRO)</f>
        <v/>
      </c>
      <c r="BT328" s="3">
        <f>NEUTRO</f>
        <v/>
      </c>
      <c r="BU328" s="3">
        <f>IFERROR(VLOOKUP(L328,SEGURO_TBL,3,0),"")</f>
        <v/>
      </c>
      <c r="BV328" s="3">
        <f>IF(BU328="",NEUTRO,MAX(0,MIN(100,100*(SEG_REF_MAX-BU328)/(SEG_REF_MAX-SEG_REF_MIN))))</f>
        <v/>
      </c>
      <c r="BW328" s="3">
        <f>W_ET*BS328+W_CONS*BT328+W_SEG*BV328</f>
        <v/>
      </c>
      <c r="BX328" s="3">
        <f>IF(N(AB328)&gt;0,AB328,IF(AND(R328="profesional",SG_LEGAL_ON=1),GAR_LEGAL,0))</f>
        <v/>
      </c>
      <c r="BY328" s="3">
        <f>SG_GAR*MIN(1,BX328/SG_GAR_FULL)+SG_AMPL*(AC328="sí")+SG_KMC*(AF328="sí")+SG_REV*(N(AE328)&gt;0)+SG_DEV*MIN(1,N(AG328)/SG_DEV_FULL)+SG_HIST*(W328="sí")</f>
        <v/>
      </c>
      <c r="BZ328" s="3">
        <f>IFERROR(VLOOKUP(L328,CARR_PEN_TBL,2,0),0)</f>
        <v/>
      </c>
      <c r="CA328" s="3">
        <f>W_FIAB*BL328+W_PRECIO*BM328+W_KMEDAD*BQ328+W_ANUNCIO*BR328+W_USO*BW328+W_SEGURIDAD*BY328-BZ328</f>
        <v/>
      </c>
      <c r="CB328" s="4">
        <f>IF(N(I328)&gt;0,I328,IFERROR(ROUND(_xlfn.NUMBERVALUE(LEFT(G328,FIND(" ",G328&amp;" ")-1),".")*1000,0),99999))</f>
        <v/>
      </c>
      <c r="CC328" s="3">
        <f>IF(R328="profesional",0,IF(O328&lt;CUOTA_VALOR_MAX,IF(AU328&gt;ITP_TRAMO_ALTO,SUMIFS(CF_CUOTA,CF_MAS,ITP_TRAMO_ALTO,CF_CCMIN,"&lt;="&amp;CB328,CF_CCMAX,"&gt;="&amp;CB328),IF(AU328&gt;ITP_TRAMO_BAJO,SUMIFS(CF_CUOTA,CF_MAS,ITP_TRAMO_BAJO,CF_CCMIN,"&lt;="&amp;CB328,CF_CCMAX,"&gt;="&amp;CB328),O328*ITP_TIPO)),O328*ITP_TIPO))</f>
        <v/>
      </c>
      <c r="CD328" s="4">
        <f>IF(R328="profesional",N(AK328),0)</f>
        <v/>
      </c>
      <c r="CE328" s="3">
        <f>IF(AND(R328="profesional",ISNUMBER(AK328),AL328="sí"),0,TASA_DGT)</f>
        <v/>
      </c>
      <c r="CF328" s="3">
        <f>INFORME_DGT</f>
        <v/>
      </c>
      <c r="CG328" s="4">
        <f>O328+CD328+CC328+CE328+CF328</f>
        <v/>
      </c>
      <c r="CH328" s="4">
        <f>CG328+N(BU328)</f>
        <v/>
      </c>
      <c r="CI328" s="3">
        <f>IF(CG328&lt;=TOTAL_MAX,"sí",IF(CG328&lt;=TOTAL_MAX+MARGEN_NEG,"negociar","no"))</f>
        <v/>
      </c>
      <c r="CJ328" s="4">
        <f>IF(CI328&lt;&gt;"no",COUNTIFS($CI$2:$CI$662,"&lt;&gt;no",$CA$2:$CA$662,"&gt;"&amp;CA328)+COUNTIFS($CI$2:CI328,"&lt;&gt;no",$CA$2:CA328,CA328),"")</f>
        <v/>
      </c>
    </row>
    <row r="329">
      <c r="A329" s="2" t="inlineStr">
        <is>
          <t>wallapop:1259878820</t>
        </is>
      </c>
      <c r="B329" s="2" t="inlineStr">
        <is>
          <t>wallapop</t>
        </is>
      </c>
      <c r="C329" s="2" t="inlineStr">
        <is>
          <t>https://es.wallapop.com/item/opel-astra-2010-diesel-cdti-1259878820</t>
        </is>
      </c>
      <c r="D329" s="2" t="inlineStr">
        <is>
          <t>Opel Astra 2010 Diesel CDTI</t>
        </is>
      </c>
      <c r="E329" s="2" t="inlineStr">
        <is>
          <t>Opel</t>
        </is>
      </c>
      <c r="F329" s="2" t="inlineStr">
        <is>
          <t>Opel Astra</t>
        </is>
      </c>
      <c r="G329" s="2" t="inlineStr">
        <is>
          <t>1.7 CDTi</t>
        </is>
      </c>
      <c r="H329" s="2" t="inlineStr">
        <is>
          <t>1.7 CDTi 110 Enjoy 5p</t>
        </is>
      </c>
      <c r="I329" s="2" t="n"/>
      <c r="J329" s="2" t="n">
        <v>110</v>
      </c>
      <c r="K329" s="2" t="inlineStr">
        <is>
          <t>diesel</t>
        </is>
      </c>
      <c r="L329" s="2" t="inlineStr">
        <is>
          <t>compacto</t>
        </is>
      </c>
      <c r="M329" s="2" t="n">
        <v>2010</v>
      </c>
      <c r="N329" s="2" t="n">
        <v>150000</v>
      </c>
      <c r="O329" s="2" t="n">
        <v>4990</v>
      </c>
      <c r="P329" s="2" t="inlineStr">
        <is>
          <t>manual</t>
        </is>
      </c>
      <c r="Q329" s="2" t="inlineStr">
        <is>
          <t>no</t>
        </is>
      </c>
      <c r="R329" s="2" t="inlineStr">
        <is>
          <t>particular</t>
        </is>
      </c>
      <c r="S329" s="2" t="inlineStr">
        <is>
          <t>Torrent (46900)</t>
        </is>
      </c>
      <c r="T329" s="2" t="inlineStr">
        <is>
          <t>2026-10-05T14:06:08</t>
        </is>
      </c>
      <c r="U329" s="2" t="n">
        <v>10</v>
      </c>
      <c r="V329" s="2" t="n"/>
      <c r="W329" s="2" t="n"/>
      <c r="X329" s="2" t="inlineStr">
        <is>
          <t>sí</t>
        </is>
      </c>
      <c r="Y329" s="2" t="n"/>
      <c r="Z329" s="2" t="n"/>
      <c r="AA329" s="2" t="n"/>
      <c r="AB329" s="2" t="n"/>
      <c r="AC329" s="2" t="n"/>
      <c r="AD329" s="2" t="n"/>
      <c r="AE329" s="2" t="n"/>
      <c r="AF329" s="2" t="n"/>
      <c r="AG329" s="2" t="n"/>
      <c r="AH329" s="2" t="n"/>
      <c r="AI329" s="2" t="n"/>
      <c r="AJ329" s="2" t="n"/>
      <c r="AK329" s="2" t="n"/>
      <c r="AL329" s="2" t="n"/>
      <c r="AM329" s="2" t="n">
        <v>7.9</v>
      </c>
      <c r="AN329" s="2" t="n">
        <v>4745</v>
      </c>
      <c r="AO329" s="2" t="n">
        <v>10</v>
      </c>
      <c r="AP329" s="2" t="inlineStr">
        <is>
          <t>modelo+año+km</t>
        </is>
      </c>
      <c r="AQ329" s="2" t="n"/>
      <c r="AR329" s="2" t="inlineStr">
        <is>
          <t>por encima del presupuesto (5114 €), negociar; cuota fija ITP: &gt;12 años, 1.501-2.000 cc; diésel: motor sin fuente de fiabilidad (fiabilidad limitada a neutra)</t>
        </is>
      </c>
      <c r="AS329" s="2" t="inlineStr">
        <is>
          <t xml:space="preserve">Muy buen estamos.
Itv vigente
Impuesto anual abonado
Aire acondicionado 10 puntos
2 Cubiertas nuevas recién cambiadas
Cambio de correa realizado a los 122.000km 
</t>
        </is>
      </c>
      <c r="AT329" s="2" t="inlineStr">
        <is>
          <t>https://es.wallapop.com/item/opel-astra-2010-diesel-cdti-1259878820 (__NEXT_DATA__ item) /home/user/Alopecia/buscador-coches/raw/wallapop/aa782ab52e924f28.json</t>
        </is>
      </c>
      <c r="AU329" s="3">
        <f>MAX(ANIO_ACTUAL-M329,0)</f>
        <v/>
      </c>
      <c r="AV329" s="4">
        <f>N329/MAX(AU329,0.5)</f>
        <v/>
      </c>
      <c r="AW329" s="4">
        <f>F329</f>
        <v/>
      </c>
      <c r="AX329" s="3">
        <f>AW329&amp;"|"&amp;INT(M329/SEG_ANIO)*SEG_ANIO</f>
        <v/>
      </c>
      <c r="AY329" s="3">
        <f>AX329&amp;"|"&amp;INT(N329/SEG_KM)*SEG_KM</f>
        <v/>
      </c>
      <c r="AZ329" s="4">
        <f>COUNTIF($AW$2:$AW$662,AW329)</f>
        <v/>
      </c>
      <c r="BA329" s="4">
        <f>COUNTIF($AX$2:$AX$662,AX329)</f>
        <v/>
      </c>
      <c r="BB329" s="4">
        <f>COUNTIF($AY$2:$AY$662,AY329)</f>
        <v/>
      </c>
      <c r="BC329" s="3">
        <f t="array" ref="BC329">IF(N(AO329)&gt;=MIN_N,AN329,IF(BB329&gt;=MIN_N,MEDIAN(IF($AY$2:$AY$662=AY329,$O$2:$O$662)),IF(BA329&gt;=MIN_N,MEDIAN(IF($AX$2:$AX$662=AX329,$O$2:$O$662)),MEDIAN(IF($AW$2:$AW$662=AW329,$O$2:$O$662)))))</f>
        <v/>
      </c>
      <c r="BD329" s="3">
        <f>IF(N(AO329)&gt;=MIN_N,"mercado "&amp;AP329,IF(BB329&gt;=MIN_N,"modelo+año+km",IF(BA329&gt;=MIN_N,"modelo+año","modelo")))</f>
        <v/>
      </c>
      <c r="BE329" s="4">
        <f>(BC329-O329)/BC329</f>
        <v/>
      </c>
      <c r="BF329" s="3">
        <f>IF(OR(K329="hibrido",K329="glp"),"ECO",IF(K329="electrico","CERO",IF(K329="gasolina",IF(M329&gt;=GAS_C,"C",IF(M329&gt;=GAS_B,"B","A")),IF(K329="diesel",IF(M329&gt;=DIE_C,"C",IF(M329&gt;=DIE_B,"B","A")),""))))</f>
        <v/>
      </c>
      <c r="BG329" s="3">
        <f>IFERROR(VLOOKUP(F329,MOD_TBL,11,0),IFERROR(VLOOKUP(E329,OCU_TBL,2,0),NEUTRO))</f>
        <v/>
      </c>
      <c r="BH329" s="3">
        <f>SUMIFS(MOT_AJUSTE,MOT_MOTOR,G329,MOT_MARCA,E329,MOT_DESDE,"&lt;="&amp;M329,MOT_HASTA,"&gt;="&amp;M329)+SUMIFS(MOT_AJUSTE,MOT_MOTOR,G329,MOT_MARCA,"(todas)",MOT_DESDE,"&lt;="&amp;M329,MOT_HASTA,"&gt;="&amp;M329)</f>
        <v/>
      </c>
      <c r="BI329" s="3">
        <f>SUMIFS(COMB_AJUSTE,COMB_COMB,K329)</f>
        <v/>
      </c>
      <c r="BJ329" s="3">
        <f>COUNTIFS(MOT_MOTOR,G329,MOT_MARCA,E329,MOT_DESDE,"&lt;="&amp;M329,MOT_HASTA,"&gt;="&amp;M329)+COUNTIFS(MOT_MOTOR,G329,MOT_MARCA,"(todas)",MOT_DESDE,"&lt;="&amp;M329,MOT_HASTA,"&gt;="&amp;M329)</f>
        <v/>
      </c>
      <c r="BK329" s="3">
        <f>IF(AND(K329="diesel",BJ329=0),MIN(BG329,NEUTRO),BG329)</f>
        <v/>
      </c>
      <c r="BL329" s="4">
        <f>MAX(0,MIN(100,BK329+BH329+BI329))</f>
        <v/>
      </c>
      <c r="BM329" s="3">
        <f>MAX(0,MIN(100,50+BE329*PRECIO_PEND))</f>
        <v/>
      </c>
      <c r="BN329" s="3">
        <f>MAX(0,100*(1-N329/KM_MAX))</f>
        <v/>
      </c>
      <c r="BO329" s="3">
        <f>IF(AV329&lt;KMA_SOSP,IF(AA329="sí",100,KMA_PEN),IF(AV329&lt;=KMA_IDEAL_MAX,100,MAX(0,100*(KMA_CERO-AV329)/(KMA_CERO-KMA_IDEAL_MAX))))</f>
        <v/>
      </c>
      <c r="BP329" s="3">
        <f>MAX(0,MIN(100,100*(M329-ANIO_MIN)/(ANIO_ACTUAL-ANIO_MIN)))</f>
        <v/>
      </c>
      <c r="BQ329" s="3">
        <f>W_KMT*BN329+W_KMA*BO329+W_EDAD*BP329</f>
        <v/>
      </c>
      <c r="BR329" s="3">
        <f>P_ITV*(V329="sí")+P_LIBRO*(W329="sí")+P_CORREA*(X329="sí")+P_PROP*(Y329=1)+P_GAR*(Z329="sí")+P_FOTOS*MIN(1,N(U329)/FOTOS_OBJ)</f>
        <v/>
      </c>
      <c r="BS329" s="3">
        <f>IFERROR(VLOOKUP(BF329,ETQ_TBL,2,0),NEUTRO)</f>
        <v/>
      </c>
      <c r="BT329" s="3">
        <f>NEUTRO</f>
        <v/>
      </c>
      <c r="BU329" s="3">
        <f>IFERROR(VLOOKUP(L329,SEGURO_TBL,3,0),"")</f>
        <v/>
      </c>
      <c r="BV329" s="3">
        <f>IF(BU329="",NEUTRO,MAX(0,MIN(100,100*(SEG_REF_MAX-BU329)/(SEG_REF_MAX-SEG_REF_MIN))))</f>
        <v/>
      </c>
      <c r="BW329" s="3">
        <f>W_ET*BS329+W_CONS*BT329+W_SEG*BV329</f>
        <v/>
      </c>
      <c r="BX329" s="3">
        <f>IF(N(AB329)&gt;0,AB329,IF(AND(R329="profesional",SG_LEGAL_ON=1),GAR_LEGAL,0))</f>
        <v/>
      </c>
      <c r="BY329" s="3">
        <f>SG_GAR*MIN(1,BX329/SG_GAR_FULL)+SG_AMPL*(AC329="sí")+SG_KMC*(AF329="sí")+SG_REV*(N(AE329)&gt;0)+SG_DEV*MIN(1,N(AG329)/SG_DEV_FULL)+SG_HIST*(W329="sí")</f>
        <v/>
      </c>
      <c r="BZ329" s="3">
        <f>IFERROR(VLOOKUP(L329,CARR_PEN_TBL,2,0),0)</f>
        <v/>
      </c>
      <c r="CA329" s="3">
        <f>W_FIAB*BL329+W_PRECIO*BM329+W_KMEDAD*BQ329+W_ANUNCIO*BR329+W_USO*BW329+W_SEGURIDAD*BY329-BZ329</f>
        <v/>
      </c>
      <c r="CB329" s="4">
        <f>IF(N(I329)&gt;0,I329,IFERROR(ROUND(_xlfn.NUMBERVALUE(LEFT(G329,FIND(" ",G329&amp;" ")-1),".")*1000,0),99999))</f>
        <v/>
      </c>
      <c r="CC329" s="3">
        <f>IF(R329="profesional",0,IF(O329&lt;CUOTA_VALOR_MAX,IF(AU329&gt;ITP_TRAMO_ALTO,SUMIFS(CF_CUOTA,CF_MAS,ITP_TRAMO_ALTO,CF_CCMIN,"&lt;="&amp;CB329,CF_CCMAX,"&gt;="&amp;CB329),IF(AU329&gt;ITP_TRAMO_BAJO,SUMIFS(CF_CUOTA,CF_MAS,ITP_TRAMO_BAJO,CF_CCMIN,"&lt;="&amp;CB329,CF_CCMAX,"&gt;="&amp;CB329),O329*ITP_TIPO)),O329*ITP_TIPO))</f>
        <v/>
      </c>
      <c r="CD329" s="4">
        <f>IF(R329="profesional",N(AK329),0)</f>
        <v/>
      </c>
      <c r="CE329" s="3">
        <f>IF(AND(R329="profesional",ISNUMBER(AK329),AL329="sí"),0,TASA_DGT)</f>
        <v/>
      </c>
      <c r="CF329" s="3">
        <f>INFORME_DGT</f>
        <v/>
      </c>
      <c r="CG329" s="4">
        <f>O329+CD329+CC329+CE329+CF329</f>
        <v/>
      </c>
      <c r="CH329" s="4">
        <f>CG329+N(BU329)</f>
        <v/>
      </c>
      <c r="CI329" s="3">
        <f>IF(CG329&lt;=TOTAL_MAX,"sí",IF(CG329&lt;=TOTAL_MAX+MARGEN_NEG,"negociar","no"))</f>
        <v/>
      </c>
      <c r="CJ329" s="4">
        <f>IF(CI329&lt;&gt;"no",COUNTIFS($CI$2:$CI$662,"&lt;&gt;no",$CA$2:$CA$662,"&gt;"&amp;CA329)+COUNTIFS($CI$2:CI329,"&lt;&gt;no",$CA$2:CA329,CA329),"")</f>
        <v/>
      </c>
    </row>
    <row r="330">
      <c r="A330" s="2" t="inlineStr">
        <is>
          <t>cochesnet:71795199</t>
        </is>
      </c>
      <c r="B330" s="2" t="inlineStr">
        <is>
          <t>cochesnet</t>
        </is>
      </c>
      <c r="C330" s="2" t="inlineStr">
        <is>
          <t>https://www.coches.net/opel-astra-17-cdti-enjoy-5p-diesel-2007-en-valencia-71795199-covo.aspx</t>
        </is>
      </c>
      <c r="D330" s="2" t="inlineStr">
        <is>
          <t>OPEL Astra 1.7 CDTi Enjoy</t>
        </is>
      </c>
      <c r="E330" s="2" t="inlineStr">
        <is>
          <t>Opel</t>
        </is>
      </c>
      <c r="F330" s="2" t="inlineStr">
        <is>
          <t>Opel Astra</t>
        </is>
      </c>
      <c r="G330" s="2" t="inlineStr">
        <is>
          <t>1.7 CDTi</t>
        </is>
      </c>
      <c r="H330" s="2" t="inlineStr">
        <is>
          <t>1.7 CDTi Enjoy</t>
        </is>
      </c>
      <c r="I330" s="2" t="n"/>
      <c r="J330" s="2" t="n"/>
      <c r="K330" s="2" t="inlineStr">
        <is>
          <t>diesel</t>
        </is>
      </c>
      <c r="L330" s="2" t="inlineStr">
        <is>
          <t>compacto</t>
        </is>
      </c>
      <c r="M330" s="2" t="n">
        <v>2007</v>
      </c>
      <c r="N330" s="2" t="n">
        <v>110525</v>
      </c>
      <c r="O330" s="2" t="n">
        <v>4900</v>
      </c>
      <c r="P330" s="2" t="inlineStr">
        <is>
          <t>manual</t>
        </is>
      </c>
      <c r="Q330" s="2" t="inlineStr">
        <is>
          <t>no</t>
        </is>
      </c>
      <c r="R330" s="2" t="inlineStr">
        <is>
          <t>particular</t>
        </is>
      </c>
      <c r="S330" s="2" t="inlineStr">
        <is>
          <t>Torrent</t>
        </is>
      </c>
      <c r="T330" s="2" t="inlineStr">
        <is>
          <t>2026-10-20T21:48:47Z</t>
        </is>
      </c>
      <c r="U330" s="2" t="n">
        <v>17</v>
      </c>
      <c r="V330" s="2" t="inlineStr">
        <is>
          <t>sí</t>
        </is>
      </c>
      <c r="W330" s="2" t="n"/>
      <c r="X330" s="2" t="n"/>
      <c r="Y330" s="2" t="n">
        <v>1</v>
      </c>
      <c r="Z330" s="2" t="inlineStr">
        <is>
          <t>no</t>
        </is>
      </c>
      <c r="AA330" s="2" t="n"/>
      <c r="AB330" s="2" t="n"/>
      <c r="AC330" s="2" t="n"/>
      <c r="AD330" s="2" t="n"/>
      <c r="AE330" s="2" t="n"/>
      <c r="AF330" s="2" t="n"/>
      <c r="AG330" s="2" t="n"/>
      <c r="AH330" s="2" t="n">
        <v>4900</v>
      </c>
      <c r="AI330" s="2" t="n"/>
      <c r="AJ330" s="2" t="n"/>
      <c r="AK330" s="2" t="n"/>
      <c r="AL330" s="2" t="n"/>
      <c r="AM330" s="2" t="n">
        <v>8.800000000000001</v>
      </c>
      <c r="AN330" s="2" t="n">
        <v>4445</v>
      </c>
      <c r="AO330" s="2" t="n">
        <v>10</v>
      </c>
      <c r="AP330" s="2" t="inlineStr">
        <is>
          <t>modelo+año+km</t>
        </is>
      </c>
      <c r="AQ330" s="2" t="inlineStr">
        <is>
          <t>wallapop:1315439179 (https://es.wallapop.com/item/opel-astra-2007-1315439179)</t>
        </is>
      </c>
      <c r="AR330" s="2" t="inlineStr">
        <is>
          <t>por encima del presupuesto (5024 €), negociar; cuota fija ITP: &gt;12 años, 1.501-2.000 cc; diésel: motor sin fuente de fiabilidad (fiabilidad limitada a neutra)</t>
        </is>
      </c>
      <c r="AS330" s="2" t="inlineStr">
        <is>
          <t>Único propietario,ITV recién pasada 30/09/2026.Válida hasta 2027.Neumaticos nuevos en 2025.Pintura en 2022.Todas las revisiones hechas.Ningún siniestro.Información complementaria,contactar por correo.Juan,de particular a particular.Valencia.</t>
        </is>
      </c>
      <c r="AT330" s="2" t="inlineStr">
        <is>
          <t>https://www.coches.net/opel-astra-17-cdti-enjoy-5p-diesel-2007-en-valencia-71795199-covo.aspx (window.__INITIAL_PROPS__.ad) /home/user/Alopecia/buscador-coches/raw/cochesnet/d7ee8d0cd3de8e6d.json</t>
        </is>
      </c>
      <c r="AU330" s="3">
        <f>MAX(ANIO_ACTUAL-M330,0)</f>
        <v/>
      </c>
      <c r="AV330" s="4">
        <f>N330/MAX(AU330,0.5)</f>
        <v/>
      </c>
      <c r="AW330" s="4">
        <f>F330</f>
        <v/>
      </c>
      <c r="AX330" s="3">
        <f>AW330&amp;"|"&amp;INT(M330/SEG_ANIO)*SEG_ANIO</f>
        <v/>
      </c>
      <c r="AY330" s="3">
        <f>AX330&amp;"|"&amp;INT(N330/SEG_KM)*SEG_KM</f>
        <v/>
      </c>
      <c r="AZ330" s="4">
        <f>COUNTIF($AW$2:$AW$662,AW330)</f>
        <v/>
      </c>
      <c r="BA330" s="4">
        <f>COUNTIF($AX$2:$AX$662,AX330)</f>
        <v/>
      </c>
      <c r="BB330" s="4">
        <f>COUNTIF($AY$2:$AY$662,AY330)</f>
        <v/>
      </c>
      <c r="BC330" s="3">
        <f t="array" ref="BC330">IF(N(AO330)&gt;=MIN_N,AN330,IF(BB330&gt;=MIN_N,MEDIAN(IF($AY$2:$AY$662=AY330,$O$2:$O$662)),IF(BA330&gt;=MIN_N,MEDIAN(IF($AX$2:$AX$662=AX330,$O$2:$O$662)),MEDIAN(IF($AW$2:$AW$662=AW330,$O$2:$O$662)))))</f>
        <v/>
      </c>
      <c r="BD330" s="3">
        <f>IF(N(AO330)&gt;=MIN_N,"mercado "&amp;AP330,IF(BB330&gt;=MIN_N,"modelo+año+km",IF(BA330&gt;=MIN_N,"modelo+año","modelo")))</f>
        <v/>
      </c>
      <c r="BE330" s="4">
        <f>(BC330-O330)/BC330</f>
        <v/>
      </c>
      <c r="BF330" s="3">
        <f>IF(OR(K330="hibrido",K330="glp"),"ECO",IF(K330="electrico","CERO",IF(K330="gasolina",IF(M330&gt;=GAS_C,"C",IF(M330&gt;=GAS_B,"B","A")),IF(K330="diesel",IF(M330&gt;=DIE_C,"C",IF(M330&gt;=DIE_B,"B","A")),""))))</f>
        <v/>
      </c>
      <c r="BG330" s="3">
        <f>IFERROR(VLOOKUP(F330,MOD_TBL,11,0),IFERROR(VLOOKUP(E330,OCU_TBL,2,0),NEUTRO))</f>
        <v/>
      </c>
      <c r="BH330" s="3">
        <f>SUMIFS(MOT_AJUSTE,MOT_MOTOR,G330,MOT_MARCA,E330,MOT_DESDE,"&lt;="&amp;M330,MOT_HASTA,"&gt;="&amp;M330)+SUMIFS(MOT_AJUSTE,MOT_MOTOR,G330,MOT_MARCA,"(todas)",MOT_DESDE,"&lt;="&amp;M330,MOT_HASTA,"&gt;="&amp;M330)</f>
        <v/>
      </c>
      <c r="BI330" s="3">
        <f>SUMIFS(COMB_AJUSTE,COMB_COMB,K330)</f>
        <v/>
      </c>
      <c r="BJ330" s="3">
        <f>COUNTIFS(MOT_MOTOR,G330,MOT_MARCA,E330,MOT_DESDE,"&lt;="&amp;M330,MOT_HASTA,"&gt;="&amp;M330)+COUNTIFS(MOT_MOTOR,G330,MOT_MARCA,"(todas)",MOT_DESDE,"&lt;="&amp;M330,MOT_HASTA,"&gt;="&amp;M330)</f>
        <v/>
      </c>
      <c r="BK330" s="3">
        <f>IF(AND(K330="diesel",BJ330=0),MIN(BG330,NEUTRO),BG330)</f>
        <v/>
      </c>
      <c r="BL330" s="4">
        <f>MAX(0,MIN(100,BK330+BH330+BI330))</f>
        <v/>
      </c>
      <c r="BM330" s="3">
        <f>MAX(0,MIN(100,50+BE330*PRECIO_PEND))</f>
        <v/>
      </c>
      <c r="BN330" s="3">
        <f>MAX(0,100*(1-N330/KM_MAX))</f>
        <v/>
      </c>
      <c r="BO330" s="3">
        <f>IF(AV330&lt;KMA_SOSP,IF(AA330="sí",100,KMA_PEN),IF(AV330&lt;=KMA_IDEAL_MAX,100,MAX(0,100*(KMA_CERO-AV330)/(KMA_CERO-KMA_IDEAL_MAX))))</f>
        <v/>
      </c>
      <c r="BP330" s="3">
        <f>MAX(0,MIN(100,100*(M330-ANIO_MIN)/(ANIO_ACTUAL-ANIO_MIN)))</f>
        <v/>
      </c>
      <c r="BQ330" s="3">
        <f>W_KMT*BN330+W_KMA*BO330+W_EDAD*BP330</f>
        <v/>
      </c>
      <c r="BR330" s="3">
        <f>P_ITV*(V330="sí")+P_LIBRO*(W330="sí")+P_CORREA*(X330="sí")+P_PROP*(Y330=1)+P_GAR*(Z330="sí")+P_FOTOS*MIN(1,N(U330)/FOTOS_OBJ)</f>
        <v/>
      </c>
      <c r="BS330" s="3">
        <f>IFERROR(VLOOKUP(BF330,ETQ_TBL,2,0),NEUTRO)</f>
        <v/>
      </c>
      <c r="BT330" s="3">
        <f>NEUTRO</f>
        <v/>
      </c>
      <c r="BU330" s="3">
        <f>IFERROR(VLOOKUP(L330,SEGURO_TBL,3,0),"")</f>
        <v/>
      </c>
      <c r="BV330" s="3">
        <f>IF(BU330="",NEUTRO,MAX(0,MIN(100,100*(SEG_REF_MAX-BU330)/(SEG_REF_MAX-SEG_REF_MIN))))</f>
        <v/>
      </c>
      <c r="BW330" s="3">
        <f>W_ET*BS330+W_CONS*BT330+W_SEG*BV330</f>
        <v/>
      </c>
      <c r="BX330" s="3">
        <f>IF(N(AB330)&gt;0,AB330,IF(AND(R330="profesional",SG_LEGAL_ON=1),GAR_LEGAL,0))</f>
        <v/>
      </c>
      <c r="BY330" s="3">
        <f>SG_GAR*MIN(1,BX330/SG_GAR_FULL)+SG_AMPL*(AC330="sí")+SG_KMC*(AF330="sí")+SG_REV*(N(AE330)&gt;0)+SG_DEV*MIN(1,N(AG330)/SG_DEV_FULL)+SG_HIST*(W330="sí")</f>
        <v/>
      </c>
      <c r="BZ330" s="3">
        <f>IFERROR(VLOOKUP(L330,CARR_PEN_TBL,2,0),0)</f>
        <v/>
      </c>
      <c r="CA330" s="3">
        <f>W_FIAB*BL330+W_PRECIO*BM330+W_KMEDAD*BQ330+W_ANUNCIO*BR330+W_USO*BW330+W_SEGURIDAD*BY330-BZ330</f>
        <v/>
      </c>
      <c r="CB330" s="4">
        <f>IF(N(I330)&gt;0,I330,IFERROR(ROUND(_xlfn.NUMBERVALUE(LEFT(G330,FIND(" ",G330&amp;" ")-1),".")*1000,0),99999))</f>
        <v/>
      </c>
      <c r="CC330" s="3">
        <f>IF(R330="profesional",0,IF(O330&lt;CUOTA_VALOR_MAX,IF(AU330&gt;ITP_TRAMO_ALTO,SUMIFS(CF_CUOTA,CF_MAS,ITP_TRAMO_ALTO,CF_CCMIN,"&lt;="&amp;CB330,CF_CCMAX,"&gt;="&amp;CB330),IF(AU330&gt;ITP_TRAMO_BAJO,SUMIFS(CF_CUOTA,CF_MAS,ITP_TRAMO_BAJO,CF_CCMIN,"&lt;="&amp;CB330,CF_CCMAX,"&gt;="&amp;CB330),O330*ITP_TIPO)),O330*ITP_TIPO))</f>
        <v/>
      </c>
      <c r="CD330" s="4">
        <f>IF(R330="profesional",N(AK330),0)</f>
        <v/>
      </c>
      <c r="CE330" s="3">
        <f>IF(AND(R330="profesional",ISNUMBER(AK330),AL330="sí"),0,TASA_DGT)</f>
        <v/>
      </c>
      <c r="CF330" s="3">
        <f>INFORME_DGT</f>
        <v/>
      </c>
      <c r="CG330" s="4">
        <f>O330+CD330+CC330+CE330+CF330</f>
        <v/>
      </c>
      <c r="CH330" s="4">
        <f>CG330+N(BU330)</f>
        <v/>
      </c>
      <c r="CI330" s="3">
        <f>IF(CG330&lt;=TOTAL_MAX,"sí",IF(CG330&lt;=TOTAL_MAX+MARGEN_NEG,"negociar","no"))</f>
        <v/>
      </c>
      <c r="CJ330" s="4">
        <f>IF(CI330&lt;&gt;"no",COUNTIFS($CI$2:$CI$662,"&lt;&gt;no",$CA$2:$CA$662,"&gt;"&amp;CA330)+COUNTIFS($CI$2:CI330,"&lt;&gt;no",$CA$2:CA330,CA330),"")</f>
        <v/>
      </c>
    </row>
    <row r="331">
      <c r="A331" s="2" t="inlineStr">
        <is>
          <t>wallapop:1307336090</t>
        </is>
      </c>
      <c r="B331" s="2" t="inlineStr">
        <is>
          <t>wallapop</t>
        </is>
      </c>
      <c r="C331" s="2" t="inlineStr">
        <is>
          <t>https://es.wallapop.com/item/opel-astra-2007-1307336090</t>
        </is>
      </c>
      <c r="D331" s="2" t="inlineStr">
        <is>
          <t>Opel Astra 2007</t>
        </is>
      </c>
      <c r="E331" s="2" t="inlineStr">
        <is>
          <t>Opel</t>
        </is>
      </c>
      <c r="F331" s="2" t="inlineStr">
        <is>
          <t>Opel Astra</t>
        </is>
      </c>
      <c r="G331" s="2" t="inlineStr">
        <is>
          <t>1.9 CDTi</t>
        </is>
      </c>
      <c r="H331" s="2" t="inlineStr">
        <is>
          <t>SW 1.9 CDTi 120 Enjoy 5p 6v</t>
        </is>
      </c>
      <c r="I331" s="2" t="n"/>
      <c r="J331" s="2" t="n">
        <v>120</v>
      </c>
      <c r="K331" s="2" t="inlineStr">
        <is>
          <t>diesel</t>
        </is>
      </c>
      <c r="L331" s="2" t="inlineStr">
        <is>
          <t>familiar</t>
        </is>
      </c>
      <c r="M331" s="2" t="n">
        <v>2007</v>
      </c>
      <c r="N331" s="2" t="n">
        <v>129000</v>
      </c>
      <c r="O331" s="2" t="n">
        <v>3500</v>
      </c>
      <c r="P331" s="2" t="inlineStr">
        <is>
          <t>manual</t>
        </is>
      </c>
      <c r="Q331" s="2" t="inlineStr">
        <is>
          <t>no</t>
        </is>
      </c>
      <c r="R331" s="2" t="inlineStr">
        <is>
          <t>particular</t>
        </is>
      </c>
      <c r="S331" s="2" t="inlineStr">
        <is>
          <t>Paterna (46980)</t>
        </is>
      </c>
      <c r="T331" s="2" t="inlineStr">
        <is>
          <t>2026-10-05T11:31:49</t>
        </is>
      </c>
      <c r="U331" s="2" t="n">
        <v>7</v>
      </c>
      <c r="V331" s="2" t="inlineStr">
        <is>
          <t>sí</t>
        </is>
      </c>
      <c r="W331" s="2" t="n"/>
      <c r="X331" s="2" t="n"/>
      <c r="Y331" s="2" t="n"/>
      <c r="Z331" s="2" t="n"/>
      <c r="AA331" s="2" t="n"/>
      <c r="AB331" s="2" t="n"/>
      <c r="AC331" s="2" t="n"/>
      <c r="AD331" s="2" t="n"/>
      <c r="AE331" s="2" t="n"/>
      <c r="AF331" s="2" t="n"/>
      <c r="AG331" s="2" t="n"/>
      <c r="AH331" s="2" t="n"/>
      <c r="AI331" s="2" t="n"/>
      <c r="AJ331" s="2" t="n"/>
      <c r="AK331" s="2" t="n"/>
      <c r="AL331" s="2" t="n"/>
      <c r="AM331" s="2" t="n">
        <v>7.2</v>
      </c>
      <c r="AN331" s="2" t="n">
        <v>4445</v>
      </c>
      <c r="AO331" s="2" t="n">
        <v>10</v>
      </c>
      <c r="AP331" s="2" t="inlineStr">
        <is>
          <t>modelo+año+km</t>
        </is>
      </c>
      <c r="AQ331" s="2" t="n"/>
      <c r="AR331" s="2" t="inlineStr">
        <is>
          <t>cuota fija ITP: &gt;12 años, 1.501-2.000 cc; diésel: motor sin fuente de fiabilidad (fiabilidad limitada a neutra); carrocería familiar: -3 puntos</t>
        </is>
      </c>
      <c r="AS331" s="2" t="inlineStr">
        <is>
          <t xml:space="preserve">ITV recién pasada. Se vende opel Astra 2007, era de mi tío y no lo usaba de ay esos kilómetros, lo acabo de dejar nuevo, le he cambiado aceite y filtros, correa de distribución y un Rodillo que le sonaba, los neumáticos de alante. Lo único que habría que cambiar el pomo de marchas por lo demás el coche va perfecto. La pintura se ha ido en varias zonas ya que dormía en la calle y es del sol. Cualquier duda preguntar. Precio negociable </t>
        </is>
      </c>
      <c r="AT331" s="2" t="inlineStr">
        <is>
          <t>https://es.wallapop.com/item/opel-astra-2007-1307336090 (__NEXT_DATA__ item) /home/user/Alopecia/buscador-coches/raw/wallapop/b97a360a5ddc0f09.json</t>
        </is>
      </c>
      <c r="AU331" s="3">
        <f>MAX(ANIO_ACTUAL-M331,0)</f>
        <v/>
      </c>
      <c r="AV331" s="4">
        <f>N331/MAX(AU331,0.5)</f>
        <v/>
      </c>
      <c r="AW331" s="4">
        <f>F331</f>
        <v/>
      </c>
      <c r="AX331" s="3">
        <f>AW331&amp;"|"&amp;INT(M331/SEG_ANIO)*SEG_ANIO</f>
        <v/>
      </c>
      <c r="AY331" s="3">
        <f>AX331&amp;"|"&amp;INT(N331/SEG_KM)*SEG_KM</f>
        <v/>
      </c>
      <c r="AZ331" s="4">
        <f>COUNTIF($AW$2:$AW$662,AW331)</f>
        <v/>
      </c>
      <c r="BA331" s="4">
        <f>COUNTIF($AX$2:$AX$662,AX331)</f>
        <v/>
      </c>
      <c r="BB331" s="4">
        <f>COUNTIF($AY$2:$AY$662,AY331)</f>
        <v/>
      </c>
      <c r="BC331" s="3">
        <f t="array" ref="BC331">IF(N(AO331)&gt;=MIN_N,AN331,IF(BB331&gt;=MIN_N,MEDIAN(IF($AY$2:$AY$662=AY331,$O$2:$O$662)),IF(BA331&gt;=MIN_N,MEDIAN(IF($AX$2:$AX$662=AX331,$O$2:$O$662)),MEDIAN(IF($AW$2:$AW$662=AW331,$O$2:$O$662)))))</f>
        <v/>
      </c>
      <c r="BD331" s="3">
        <f>IF(N(AO331)&gt;=MIN_N,"mercado "&amp;AP331,IF(BB331&gt;=MIN_N,"modelo+año+km",IF(BA331&gt;=MIN_N,"modelo+año","modelo")))</f>
        <v/>
      </c>
      <c r="BE331" s="4">
        <f>(BC331-O331)/BC331</f>
        <v/>
      </c>
      <c r="BF331" s="3">
        <f>IF(OR(K331="hibrido",K331="glp"),"ECO",IF(K331="electrico","CERO",IF(K331="gasolina",IF(M331&gt;=GAS_C,"C",IF(M331&gt;=GAS_B,"B","A")),IF(K331="diesel",IF(M331&gt;=DIE_C,"C",IF(M331&gt;=DIE_B,"B","A")),""))))</f>
        <v/>
      </c>
      <c r="BG331" s="3">
        <f>IFERROR(VLOOKUP(F331,MOD_TBL,11,0),IFERROR(VLOOKUP(E331,OCU_TBL,2,0),NEUTRO))</f>
        <v/>
      </c>
      <c r="BH331" s="3">
        <f>SUMIFS(MOT_AJUSTE,MOT_MOTOR,G331,MOT_MARCA,E331,MOT_DESDE,"&lt;="&amp;M331,MOT_HASTA,"&gt;="&amp;M331)+SUMIFS(MOT_AJUSTE,MOT_MOTOR,G331,MOT_MARCA,"(todas)",MOT_DESDE,"&lt;="&amp;M331,MOT_HASTA,"&gt;="&amp;M331)</f>
        <v/>
      </c>
      <c r="BI331" s="3">
        <f>SUMIFS(COMB_AJUSTE,COMB_COMB,K331)</f>
        <v/>
      </c>
      <c r="BJ331" s="3">
        <f>COUNTIFS(MOT_MOTOR,G331,MOT_MARCA,E331,MOT_DESDE,"&lt;="&amp;M331,MOT_HASTA,"&gt;="&amp;M331)+COUNTIFS(MOT_MOTOR,G331,MOT_MARCA,"(todas)",MOT_DESDE,"&lt;="&amp;M331,MOT_HASTA,"&gt;="&amp;M331)</f>
        <v/>
      </c>
      <c r="BK331" s="3">
        <f>IF(AND(K331="diesel",BJ331=0),MIN(BG331,NEUTRO),BG331)</f>
        <v/>
      </c>
      <c r="BL331" s="4">
        <f>MAX(0,MIN(100,BK331+BH331+BI331))</f>
        <v/>
      </c>
      <c r="BM331" s="3">
        <f>MAX(0,MIN(100,50+BE331*PRECIO_PEND))</f>
        <v/>
      </c>
      <c r="BN331" s="3">
        <f>MAX(0,100*(1-N331/KM_MAX))</f>
        <v/>
      </c>
      <c r="BO331" s="3">
        <f>IF(AV331&lt;KMA_SOSP,IF(AA331="sí",100,KMA_PEN),IF(AV331&lt;=KMA_IDEAL_MAX,100,MAX(0,100*(KMA_CERO-AV331)/(KMA_CERO-KMA_IDEAL_MAX))))</f>
        <v/>
      </c>
      <c r="BP331" s="3">
        <f>MAX(0,MIN(100,100*(M331-ANIO_MIN)/(ANIO_ACTUAL-ANIO_MIN)))</f>
        <v/>
      </c>
      <c r="BQ331" s="3">
        <f>W_KMT*BN331+W_KMA*BO331+W_EDAD*BP331</f>
        <v/>
      </c>
      <c r="BR331" s="3">
        <f>P_ITV*(V331="sí")+P_LIBRO*(W331="sí")+P_CORREA*(X331="sí")+P_PROP*(Y331=1)+P_GAR*(Z331="sí")+P_FOTOS*MIN(1,N(U331)/FOTOS_OBJ)</f>
        <v/>
      </c>
      <c r="BS331" s="3">
        <f>IFERROR(VLOOKUP(BF331,ETQ_TBL,2,0),NEUTRO)</f>
        <v/>
      </c>
      <c r="BT331" s="3">
        <f>NEUTRO</f>
        <v/>
      </c>
      <c r="BU331" s="3">
        <f>IFERROR(VLOOKUP(L331,SEGURO_TBL,3,0),"")</f>
        <v/>
      </c>
      <c r="BV331" s="3">
        <f>IF(BU331="",NEUTRO,MAX(0,MIN(100,100*(SEG_REF_MAX-BU331)/(SEG_REF_MAX-SEG_REF_MIN))))</f>
        <v/>
      </c>
      <c r="BW331" s="3">
        <f>W_ET*BS331+W_CONS*BT331+W_SEG*BV331</f>
        <v/>
      </c>
      <c r="BX331" s="3">
        <f>IF(N(AB331)&gt;0,AB331,IF(AND(R331="profesional",SG_LEGAL_ON=1),GAR_LEGAL,0))</f>
        <v/>
      </c>
      <c r="BY331" s="3">
        <f>SG_GAR*MIN(1,BX331/SG_GAR_FULL)+SG_AMPL*(AC331="sí")+SG_KMC*(AF331="sí")+SG_REV*(N(AE331)&gt;0)+SG_DEV*MIN(1,N(AG331)/SG_DEV_FULL)+SG_HIST*(W331="sí")</f>
        <v/>
      </c>
      <c r="BZ331" s="3">
        <f>IFERROR(VLOOKUP(L331,CARR_PEN_TBL,2,0),0)</f>
        <v/>
      </c>
      <c r="CA331" s="3">
        <f>W_FIAB*BL331+W_PRECIO*BM331+W_KMEDAD*BQ331+W_ANUNCIO*BR331+W_USO*BW331+W_SEGURIDAD*BY331-BZ331</f>
        <v/>
      </c>
      <c r="CB331" s="4">
        <f>IF(N(I331)&gt;0,I331,IFERROR(ROUND(_xlfn.NUMBERVALUE(LEFT(G331,FIND(" ",G331&amp;" ")-1),".")*1000,0),99999))</f>
        <v/>
      </c>
      <c r="CC331" s="3">
        <f>IF(R331="profesional",0,IF(O331&lt;CUOTA_VALOR_MAX,IF(AU331&gt;ITP_TRAMO_ALTO,SUMIFS(CF_CUOTA,CF_MAS,ITP_TRAMO_ALTO,CF_CCMIN,"&lt;="&amp;CB331,CF_CCMAX,"&gt;="&amp;CB331),IF(AU331&gt;ITP_TRAMO_BAJO,SUMIFS(CF_CUOTA,CF_MAS,ITP_TRAMO_BAJO,CF_CCMIN,"&lt;="&amp;CB331,CF_CCMAX,"&gt;="&amp;CB331),O331*ITP_TIPO)),O331*ITP_TIPO))</f>
        <v/>
      </c>
      <c r="CD331" s="4">
        <f>IF(R331="profesional",N(AK331),0)</f>
        <v/>
      </c>
      <c r="CE331" s="3">
        <f>IF(AND(R331="profesional",ISNUMBER(AK331),AL331="sí"),0,TASA_DGT)</f>
        <v/>
      </c>
      <c r="CF331" s="3">
        <f>INFORME_DGT</f>
        <v/>
      </c>
      <c r="CG331" s="4">
        <f>O331+CD331+CC331+CE331+CF331</f>
        <v/>
      </c>
      <c r="CH331" s="4">
        <f>CG331+N(BU331)</f>
        <v/>
      </c>
      <c r="CI331" s="3">
        <f>IF(CG331&lt;=TOTAL_MAX,"sí",IF(CG331&lt;=TOTAL_MAX+MARGEN_NEG,"negociar","no"))</f>
        <v/>
      </c>
      <c r="CJ331" s="4">
        <f>IF(CI331&lt;&gt;"no",COUNTIFS($CI$2:$CI$662,"&lt;&gt;no",$CA$2:$CA$662,"&gt;"&amp;CA331)+COUNTIFS($CI$2:CI331,"&lt;&gt;no",$CA$2:CA331,CA331),"")</f>
        <v/>
      </c>
    </row>
    <row r="332">
      <c r="A332" s="2" t="inlineStr">
        <is>
          <t>wallapop:1302134212</t>
        </is>
      </c>
      <c r="B332" s="2" t="inlineStr">
        <is>
          <t>wallapop</t>
        </is>
      </c>
      <c r="C332" s="2" t="inlineStr">
        <is>
          <t>https://es.wallapop.com/item/opel-astra-1-7-cdti-enjoy-74-kw-100-cv-1302134212</t>
        </is>
      </c>
      <c r="D332" s="2" t="inlineStr">
        <is>
          <t>Opel Astra 1.7 CDTI Enjoy 74 kW (100 CV)</t>
        </is>
      </c>
      <c r="E332" s="2" t="inlineStr">
        <is>
          <t>Opel</t>
        </is>
      </c>
      <c r="F332" s="2" t="inlineStr">
        <is>
          <t>Opel Astra</t>
        </is>
      </c>
      <c r="G332" s="2" t="inlineStr">
        <is>
          <t>1.7 CDTi</t>
        </is>
      </c>
      <c r="H332" s="2" t="inlineStr">
        <is>
          <t>1.7 CDTI Enjoy 74 kW (100 CV)</t>
        </is>
      </c>
      <c r="I332" s="2" t="n"/>
      <c r="J332" s="2" t="n">
        <v>100</v>
      </c>
      <c r="K332" s="2" t="inlineStr">
        <is>
          <t>diesel</t>
        </is>
      </c>
      <c r="L332" s="2" t="inlineStr">
        <is>
          <t>compacto</t>
        </is>
      </c>
      <c r="M332" s="2" t="n">
        <v>2007</v>
      </c>
      <c r="N332" s="2" t="n">
        <v>111852</v>
      </c>
      <c r="O332" s="2" t="n">
        <v>5200</v>
      </c>
      <c r="P332" s="2" t="inlineStr">
        <is>
          <t>manual</t>
        </is>
      </c>
      <c r="Q332" s="2" t="inlineStr">
        <is>
          <t>no</t>
        </is>
      </c>
      <c r="R332" s="2" t="inlineStr">
        <is>
          <t>profesional</t>
        </is>
      </c>
      <c r="S332" s="2" t="inlineStr">
        <is>
          <t>Paterna (46980)</t>
        </is>
      </c>
      <c r="T332" s="2" t="inlineStr">
        <is>
          <t>2026-10-26T14:08:26</t>
        </is>
      </c>
      <c r="U332" s="2" t="n">
        <v>11</v>
      </c>
      <c r="V332" s="2" t="n"/>
      <c r="W332" s="2" t="inlineStr">
        <is>
          <t>sí</t>
        </is>
      </c>
      <c r="X332" s="2" t="n"/>
      <c r="Y332" s="2" t="n">
        <v>1</v>
      </c>
      <c r="Z332" s="2" t="inlineStr">
        <is>
          <t>sí</t>
        </is>
      </c>
      <c r="AA332" s="2" t="n"/>
      <c r="AB332" s="2" t="n"/>
      <c r="AC332" s="2" t="n"/>
      <c r="AD332" s="2" t="n"/>
      <c r="AE332" s="2" t="n"/>
      <c r="AF332" s="2" t="inlineStr">
        <is>
          <t>sí</t>
        </is>
      </c>
      <c r="AG332" s="2" t="n"/>
      <c r="AH332" s="2" t="n"/>
      <c r="AI332" s="2" t="n"/>
      <c r="AJ332" s="2" t="n"/>
      <c r="AK332" s="2" t="n"/>
      <c r="AL332" s="2" t="n"/>
      <c r="AM332" s="2" t="n">
        <v>6.4</v>
      </c>
      <c r="AN332" s="2" t="n">
        <v>4445</v>
      </c>
      <c r="AO332" s="2" t="n">
        <v>10</v>
      </c>
      <c r="AP332" s="2" t="inlineStr">
        <is>
          <t>modelo+año+km</t>
        </is>
      </c>
      <c r="AQ332" s="2" t="inlineStr">
        <is>
          <t>wallapop:1302137427 (https://es.wallapop.com/item/opel-astra-1-7-cdti-enjoy-74-kw-100-cv-1302137427)</t>
        </is>
      </c>
      <c r="AR332" s="2" t="inlineStr">
        <is>
          <t>por encima del presupuesto (5264 €), negociar; vendedor profesional: sin ITP (operación con IVA/REBU, confirmar en factura); gastos de gestión del vendedor no indicados: se suma la tasa DGT; preguntar el precio final; diésel: motor sin fuente de fiabilidad (fiabilidad limitada a neutra)</t>
        </is>
      </c>
      <c r="AS332" s="2" t="inlineStr">
        <is>
          <t>Ref.180623812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Control de velocidad, Volante multifunción, Aire Acondicionado, Isofix, Llantas de aleación (16").
                - Coche Nacional, Historial Mantenimiento, Único propietario.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32" s="2" t="inlineStr">
        <is>
          <t>https://es.wallapop.com/item/opel-astra-1-7-cdti-enjoy-74-kw-100-cv-1302134212 (__NEXT_DATA__ item) /home/user/Alopecia/buscador-coches/raw/wallapop/76ab7fe3853ffe54.json</t>
        </is>
      </c>
      <c r="AU332" s="3">
        <f>MAX(ANIO_ACTUAL-M332,0)</f>
        <v/>
      </c>
      <c r="AV332" s="4">
        <f>N332/MAX(AU332,0.5)</f>
        <v/>
      </c>
      <c r="AW332" s="4">
        <f>F332</f>
        <v/>
      </c>
      <c r="AX332" s="3">
        <f>AW332&amp;"|"&amp;INT(M332/SEG_ANIO)*SEG_ANIO</f>
        <v/>
      </c>
      <c r="AY332" s="3">
        <f>AX332&amp;"|"&amp;INT(N332/SEG_KM)*SEG_KM</f>
        <v/>
      </c>
      <c r="AZ332" s="4">
        <f>COUNTIF($AW$2:$AW$662,AW332)</f>
        <v/>
      </c>
      <c r="BA332" s="4">
        <f>COUNTIF($AX$2:$AX$662,AX332)</f>
        <v/>
      </c>
      <c r="BB332" s="4">
        <f>COUNTIF($AY$2:$AY$662,AY332)</f>
        <v/>
      </c>
      <c r="BC332" s="3">
        <f t="array" ref="BC332">IF(N(AO332)&gt;=MIN_N,AN332,IF(BB332&gt;=MIN_N,MEDIAN(IF($AY$2:$AY$662=AY332,$O$2:$O$662)),IF(BA332&gt;=MIN_N,MEDIAN(IF($AX$2:$AX$662=AX332,$O$2:$O$662)),MEDIAN(IF($AW$2:$AW$662=AW332,$O$2:$O$662)))))</f>
        <v/>
      </c>
      <c r="BD332" s="3">
        <f>IF(N(AO332)&gt;=MIN_N,"mercado "&amp;AP332,IF(BB332&gt;=MIN_N,"modelo+año+km",IF(BA332&gt;=MIN_N,"modelo+año","modelo")))</f>
        <v/>
      </c>
      <c r="BE332" s="4">
        <f>(BC332-O332)/BC332</f>
        <v/>
      </c>
      <c r="BF332" s="3">
        <f>IF(OR(K332="hibrido",K332="glp"),"ECO",IF(K332="electrico","CERO",IF(K332="gasolina",IF(M332&gt;=GAS_C,"C",IF(M332&gt;=GAS_B,"B","A")),IF(K332="diesel",IF(M332&gt;=DIE_C,"C",IF(M332&gt;=DIE_B,"B","A")),""))))</f>
        <v/>
      </c>
      <c r="BG332" s="3">
        <f>IFERROR(VLOOKUP(F332,MOD_TBL,11,0),IFERROR(VLOOKUP(E332,OCU_TBL,2,0),NEUTRO))</f>
        <v/>
      </c>
      <c r="BH332" s="3">
        <f>SUMIFS(MOT_AJUSTE,MOT_MOTOR,G332,MOT_MARCA,E332,MOT_DESDE,"&lt;="&amp;M332,MOT_HASTA,"&gt;="&amp;M332)+SUMIFS(MOT_AJUSTE,MOT_MOTOR,G332,MOT_MARCA,"(todas)",MOT_DESDE,"&lt;="&amp;M332,MOT_HASTA,"&gt;="&amp;M332)</f>
        <v/>
      </c>
      <c r="BI332" s="3">
        <f>SUMIFS(COMB_AJUSTE,COMB_COMB,K332)</f>
        <v/>
      </c>
      <c r="BJ332" s="3">
        <f>COUNTIFS(MOT_MOTOR,G332,MOT_MARCA,E332,MOT_DESDE,"&lt;="&amp;M332,MOT_HASTA,"&gt;="&amp;M332)+COUNTIFS(MOT_MOTOR,G332,MOT_MARCA,"(todas)",MOT_DESDE,"&lt;="&amp;M332,MOT_HASTA,"&gt;="&amp;M332)</f>
        <v/>
      </c>
      <c r="BK332" s="3">
        <f>IF(AND(K332="diesel",BJ332=0),MIN(BG332,NEUTRO),BG332)</f>
        <v/>
      </c>
      <c r="BL332" s="4">
        <f>MAX(0,MIN(100,BK332+BH332+BI332))</f>
        <v/>
      </c>
      <c r="BM332" s="3">
        <f>MAX(0,MIN(100,50+BE332*PRECIO_PEND))</f>
        <v/>
      </c>
      <c r="BN332" s="3">
        <f>MAX(0,100*(1-N332/KM_MAX))</f>
        <v/>
      </c>
      <c r="BO332" s="3">
        <f>IF(AV332&lt;KMA_SOSP,IF(AA332="sí",100,KMA_PEN),IF(AV332&lt;=KMA_IDEAL_MAX,100,MAX(0,100*(KMA_CERO-AV332)/(KMA_CERO-KMA_IDEAL_MAX))))</f>
        <v/>
      </c>
      <c r="BP332" s="3">
        <f>MAX(0,MIN(100,100*(M332-ANIO_MIN)/(ANIO_ACTUAL-ANIO_MIN)))</f>
        <v/>
      </c>
      <c r="BQ332" s="3">
        <f>W_KMT*BN332+W_KMA*BO332+W_EDAD*BP332</f>
        <v/>
      </c>
      <c r="BR332" s="3">
        <f>P_ITV*(V332="sí")+P_LIBRO*(W332="sí")+P_CORREA*(X332="sí")+P_PROP*(Y332=1)+P_GAR*(Z332="sí")+P_FOTOS*MIN(1,N(U332)/FOTOS_OBJ)</f>
        <v/>
      </c>
      <c r="BS332" s="3">
        <f>IFERROR(VLOOKUP(BF332,ETQ_TBL,2,0),NEUTRO)</f>
        <v/>
      </c>
      <c r="BT332" s="3">
        <f>NEUTRO</f>
        <v/>
      </c>
      <c r="BU332" s="3">
        <f>IFERROR(VLOOKUP(L332,SEGURO_TBL,3,0),"")</f>
        <v/>
      </c>
      <c r="BV332" s="3">
        <f>IF(BU332="",NEUTRO,MAX(0,MIN(100,100*(SEG_REF_MAX-BU332)/(SEG_REF_MAX-SEG_REF_MIN))))</f>
        <v/>
      </c>
      <c r="BW332" s="3">
        <f>W_ET*BS332+W_CONS*BT332+W_SEG*BV332</f>
        <v/>
      </c>
      <c r="BX332" s="3">
        <f>IF(N(AB332)&gt;0,AB332,IF(AND(R332="profesional",SG_LEGAL_ON=1),GAR_LEGAL,0))</f>
        <v/>
      </c>
      <c r="BY332" s="3">
        <f>SG_GAR*MIN(1,BX332/SG_GAR_FULL)+SG_AMPL*(AC332="sí")+SG_KMC*(AF332="sí")+SG_REV*(N(AE332)&gt;0)+SG_DEV*MIN(1,N(AG332)/SG_DEV_FULL)+SG_HIST*(W332="sí")</f>
        <v/>
      </c>
      <c r="BZ332" s="3">
        <f>IFERROR(VLOOKUP(L332,CARR_PEN_TBL,2,0),0)</f>
        <v/>
      </c>
      <c r="CA332" s="3">
        <f>W_FIAB*BL332+W_PRECIO*BM332+W_KMEDAD*BQ332+W_ANUNCIO*BR332+W_USO*BW332+W_SEGURIDAD*BY332-BZ332</f>
        <v/>
      </c>
      <c r="CB332" s="4">
        <f>IF(N(I332)&gt;0,I332,IFERROR(ROUND(_xlfn.NUMBERVALUE(LEFT(G332,FIND(" ",G332&amp;" ")-1),".")*1000,0),99999))</f>
        <v/>
      </c>
      <c r="CC332" s="3">
        <f>IF(R332="profesional",0,IF(O332&lt;CUOTA_VALOR_MAX,IF(AU332&gt;ITP_TRAMO_ALTO,SUMIFS(CF_CUOTA,CF_MAS,ITP_TRAMO_ALTO,CF_CCMIN,"&lt;="&amp;CB332,CF_CCMAX,"&gt;="&amp;CB332),IF(AU332&gt;ITP_TRAMO_BAJO,SUMIFS(CF_CUOTA,CF_MAS,ITP_TRAMO_BAJO,CF_CCMIN,"&lt;="&amp;CB332,CF_CCMAX,"&gt;="&amp;CB332),O332*ITP_TIPO)),O332*ITP_TIPO))</f>
        <v/>
      </c>
      <c r="CD332" s="4">
        <f>IF(R332="profesional",N(AK332),0)</f>
        <v/>
      </c>
      <c r="CE332" s="3">
        <f>IF(AND(R332="profesional",ISNUMBER(AK332),AL332="sí"),0,TASA_DGT)</f>
        <v/>
      </c>
      <c r="CF332" s="3">
        <f>INFORME_DGT</f>
        <v/>
      </c>
      <c r="CG332" s="4">
        <f>O332+CD332+CC332+CE332+CF332</f>
        <v/>
      </c>
      <c r="CH332" s="4">
        <f>CG332+N(BU332)</f>
        <v/>
      </c>
      <c r="CI332" s="3">
        <f>IF(CG332&lt;=TOTAL_MAX,"sí",IF(CG332&lt;=TOTAL_MAX+MARGEN_NEG,"negociar","no"))</f>
        <v/>
      </c>
      <c r="CJ332" s="4">
        <f>IF(CI332&lt;&gt;"no",COUNTIFS($CI$2:$CI$662,"&lt;&gt;no",$CA$2:$CA$662,"&gt;"&amp;CA332)+COUNTIFS($CI$2:CI332,"&lt;&gt;no",$CA$2:CA332,CA332),"")</f>
        <v/>
      </c>
    </row>
    <row r="333">
      <c r="A333" s="2" t="inlineStr">
        <is>
          <t>wallapop:1315853152</t>
        </is>
      </c>
      <c r="B333" s="2" t="inlineStr">
        <is>
          <t>wallapop</t>
        </is>
      </c>
      <c r="C333" s="2" t="inlineStr">
        <is>
          <t>https://es.wallapop.com/item/opel-astra-2006-1315853152</t>
        </is>
      </c>
      <c r="D333" s="2" t="inlineStr">
        <is>
          <t>Opel Astra 2006</t>
        </is>
      </c>
      <c r="E333" s="2" t="inlineStr">
        <is>
          <t>Opel</t>
        </is>
      </c>
      <c r="F333" s="2" t="inlineStr">
        <is>
          <t>Opel Astra</t>
        </is>
      </c>
      <c r="G333" s="2" t="inlineStr">
        <is>
          <t>1.9 CDTi</t>
        </is>
      </c>
      <c r="H333" s="2" t="inlineStr">
        <is>
          <t>1.9 CDTi 120 Cosmo 5p 6v</t>
        </is>
      </c>
      <c r="I333" s="2" t="n"/>
      <c r="J333" s="2" t="n">
        <v>120</v>
      </c>
      <c r="K333" s="2" t="inlineStr">
        <is>
          <t>diesel</t>
        </is>
      </c>
      <c r="L333" s="2" t="inlineStr">
        <is>
          <t>compacto</t>
        </is>
      </c>
      <c r="M333" s="2" t="n">
        <v>2006</v>
      </c>
      <c r="N333" s="2" t="n">
        <v>139600</v>
      </c>
      <c r="O333" s="2" t="n">
        <v>3800</v>
      </c>
      <c r="P333" s="2" t="inlineStr">
        <is>
          <t>manual</t>
        </is>
      </c>
      <c r="Q333" s="2" t="inlineStr">
        <is>
          <t>no</t>
        </is>
      </c>
      <c r="R333" s="2" t="inlineStr">
        <is>
          <t>particular</t>
        </is>
      </c>
      <c r="S333" s="2" t="inlineStr">
        <is>
          <t>Sagunt/Sagunto (46500)</t>
        </is>
      </c>
      <c r="T333" s="2" t="inlineStr">
        <is>
          <t>2026-10-22T03:48:03</t>
        </is>
      </c>
      <c r="U333" s="2" t="n">
        <v>10</v>
      </c>
      <c r="V333" s="2" t="n"/>
      <c r="W333" s="2" t="n"/>
      <c r="X333" s="2" t="n"/>
      <c r="Y333" s="2" t="n"/>
      <c r="Z333" s="2" t="n"/>
      <c r="AA333" s="2" t="n"/>
      <c r="AB333" s="2" t="n"/>
      <c r="AC333" s="2" t="n"/>
      <c r="AD333" s="2" t="n"/>
      <c r="AE333" s="2" t="n"/>
      <c r="AF333" s="2" t="n"/>
      <c r="AG333" s="2" t="n"/>
      <c r="AH333" s="2" t="n"/>
      <c r="AI333" s="2" t="n"/>
      <c r="AJ333" s="2" t="n"/>
      <c r="AK333" s="2" t="n"/>
      <c r="AL333" s="2" t="n"/>
      <c r="AM333" s="2" t="n">
        <v>24.5</v>
      </c>
      <c r="AN333" s="2" t="n">
        <v>3725</v>
      </c>
      <c r="AO333" s="2" t="n">
        <v>12</v>
      </c>
      <c r="AP333" s="2" t="inlineStr">
        <is>
          <t>modelo+año+km</t>
        </is>
      </c>
      <c r="AQ333" s="2" t="n"/>
      <c r="AR333" s="2" t="inlineStr">
        <is>
          <t>cuota fija ITP: &gt;12 años, 1.501-2.000 cc; diésel: motor sin fuente de fiabilidad (fiabilidad limitada a neutra)</t>
        </is>
      </c>
      <c r="AS333" s="2" t="inlineStr">
        <is>
          <t>Se vende Opel Astra H (acabado Cosmo) en muy buen estado general.  
​Motor: Diésel 1.9 CDTi de 120 CV con cambio manual de 6 velocidades. Potente, económico y muy fiable.  
​Kilómetros: 139.600 km.
​ITV: Pasada recientemente (hace unos 4 meses).
​Mantenimiento: Aceite y filtros cambiados recientemente. Coche listo para circular sin invertir nada en él.
​Equipamiento (Cosmo): Llantas de aleación, detalles cromados exteriores, volante multifunción, control de velocidad, aire acondicionado/climatizador, elevalunas eléctricos, etc.  
​Vehículo muy cuidado, ideal tanto para el día a día como para viajes largos.
​📞 Para más información, contacta conmigo en el 613667384 (también WhatsApp).</t>
        </is>
      </c>
      <c r="AT333" s="2" t="inlineStr">
        <is>
          <t>https://es.wallapop.com/item/opel-astra-2006-1315853152 (__NEXT_DATA__ item) /home/user/Alopecia/buscador-coches/raw/wallapop/cfbca1b3e22a8d53.json</t>
        </is>
      </c>
      <c r="AU333" s="3">
        <f>MAX(ANIO_ACTUAL-M333,0)</f>
        <v/>
      </c>
      <c r="AV333" s="4">
        <f>N333/MAX(AU333,0.5)</f>
        <v/>
      </c>
      <c r="AW333" s="4">
        <f>F333</f>
        <v/>
      </c>
      <c r="AX333" s="3">
        <f>AW333&amp;"|"&amp;INT(M333/SEG_ANIO)*SEG_ANIO</f>
        <v/>
      </c>
      <c r="AY333" s="3">
        <f>AX333&amp;"|"&amp;INT(N333/SEG_KM)*SEG_KM</f>
        <v/>
      </c>
      <c r="AZ333" s="4">
        <f>COUNTIF($AW$2:$AW$662,AW333)</f>
        <v/>
      </c>
      <c r="BA333" s="4">
        <f>COUNTIF($AX$2:$AX$662,AX333)</f>
        <v/>
      </c>
      <c r="BB333" s="4">
        <f>COUNTIF($AY$2:$AY$662,AY333)</f>
        <v/>
      </c>
      <c r="BC333" s="3">
        <f t="array" ref="BC333">IF(N(AO333)&gt;=MIN_N,AN333,IF(BB333&gt;=MIN_N,MEDIAN(IF($AY$2:$AY$662=AY333,$O$2:$O$662)),IF(BA333&gt;=MIN_N,MEDIAN(IF($AX$2:$AX$662=AX333,$O$2:$O$662)),MEDIAN(IF($AW$2:$AW$662=AW333,$O$2:$O$662)))))</f>
        <v/>
      </c>
      <c r="BD333" s="3">
        <f>IF(N(AO333)&gt;=MIN_N,"mercado "&amp;AP333,IF(BB333&gt;=MIN_N,"modelo+año+km",IF(BA333&gt;=MIN_N,"modelo+año","modelo")))</f>
        <v/>
      </c>
      <c r="BE333" s="4">
        <f>(BC333-O333)/BC333</f>
        <v/>
      </c>
      <c r="BF333" s="3">
        <f>IF(OR(K333="hibrido",K333="glp"),"ECO",IF(K333="electrico","CERO",IF(K333="gasolina",IF(M333&gt;=GAS_C,"C",IF(M333&gt;=GAS_B,"B","A")),IF(K333="diesel",IF(M333&gt;=DIE_C,"C",IF(M333&gt;=DIE_B,"B","A")),""))))</f>
        <v/>
      </c>
      <c r="BG333" s="3">
        <f>IFERROR(VLOOKUP(F333,MOD_TBL,11,0),IFERROR(VLOOKUP(E333,OCU_TBL,2,0),NEUTRO))</f>
        <v/>
      </c>
      <c r="BH333" s="3">
        <f>SUMIFS(MOT_AJUSTE,MOT_MOTOR,G333,MOT_MARCA,E333,MOT_DESDE,"&lt;="&amp;M333,MOT_HASTA,"&gt;="&amp;M333)+SUMIFS(MOT_AJUSTE,MOT_MOTOR,G333,MOT_MARCA,"(todas)",MOT_DESDE,"&lt;="&amp;M333,MOT_HASTA,"&gt;="&amp;M333)</f>
        <v/>
      </c>
      <c r="BI333" s="3">
        <f>SUMIFS(COMB_AJUSTE,COMB_COMB,K333)</f>
        <v/>
      </c>
      <c r="BJ333" s="3">
        <f>COUNTIFS(MOT_MOTOR,G333,MOT_MARCA,E333,MOT_DESDE,"&lt;="&amp;M333,MOT_HASTA,"&gt;="&amp;M333)+COUNTIFS(MOT_MOTOR,G333,MOT_MARCA,"(todas)",MOT_DESDE,"&lt;="&amp;M333,MOT_HASTA,"&gt;="&amp;M333)</f>
        <v/>
      </c>
      <c r="BK333" s="3">
        <f>IF(AND(K333="diesel",BJ333=0),MIN(BG333,NEUTRO),BG333)</f>
        <v/>
      </c>
      <c r="BL333" s="4">
        <f>MAX(0,MIN(100,BK333+BH333+BI333))</f>
        <v/>
      </c>
      <c r="BM333" s="3">
        <f>MAX(0,MIN(100,50+BE333*PRECIO_PEND))</f>
        <v/>
      </c>
      <c r="BN333" s="3">
        <f>MAX(0,100*(1-N333/KM_MAX))</f>
        <v/>
      </c>
      <c r="BO333" s="3">
        <f>IF(AV333&lt;KMA_SOSP,IF(AA333="sí",100,KMA_PEN),IF(AV333&lt;=KMA_IDEAL_MAX,100,MAX(0,100*(KMA_CERO-AV333)/(KMA_CERO-KMA_IDEAL_MAX))))</f>
        <v/>
      </c>
      <c r="BP333" s="3">
        <f>MAX(0,MIN(100,100*(M333-ANIO_MIN)/(ANIO_ACTUAL-ANIO_MIN)))</f>
        <v/>
      </c>
      <c r="BQ333" s="3">
        <f>W_KMT*BN333+W_KMA*BO333+W_EDAD*BP333</f>
        <v/>
      </c>
      <c r="BR333" s="3">
        <f>P_ITV*(V333="sí")+P_LIBRO*(W333="sí")+P_CORREA*(X333="sí")+P_PROP*(Y333=1)+P_GAR*(Z333="sí")+P_FOTOS*MIN(1,N(U333)/FOTOS_OBJ)</f>
        <v/>
      </c>
      <c r="BS333" s="3">
        <f>IFERROR(VLOOKUP(BF333,ETQ_TBL,2,0),NEUTRO)</f>
        <v/>
      </c>
      <c r="BT333" s="3">
        <f>NEUTRO</f>
        <v/>
      </c>
      <c r="BU333" s="3">
        <f>IFERROR(VLOOKUP(L333,SEGURO_TBL,3,0),"")</f>
        <v/>
      </c>
      <c r="BV333" s="3">
        <f>IF(BU333="",NEUTRO,MAX(0,MIN(100,100*(SEG_REF_MAX-BU333)/(SEG_REF_MAX-SEG_REF_MIN))))</f>
        <v/>
      </c>
      <c r="BW333" s="3">
        <f>W_ET*BS333+W_CONS*BT333+W_SEG*BV333</f>
        <v/>
      </c>
      <c r="BX333" s="3">
        <f>IF(N(AB333)&gt;0,AB333,IF(AND(R333="profesional",SG_LEGAL_ON=1),GAR_LEGAL,0))</f>
        <v/>
      </c>
      <c r="BY333" s="3">
        <f>SG_GAR*MIN(1,BX333/SG_GAR_FULL)+SG_AMPL*(AC333="sí")+SG_KMC*(AF333="sí")+SG_REV*(N(AE333)&gt;0)+SG_DEV*MIN(1,N(AG333)/SG_DEV_FULL)+SG_HIST*(W333="sí")</f>
        <v/>
      </c>
      <c r="BZ333" s="3">
        <f>IFERROR(VLOOKUP(L333,CARR_PEN_TBL,2,0),0)</f>
        <v/>
      </c>
      <c r="CA333" s="3">
        <f>W_FIAB*BL333+W_PRECIO*BM333+W_KMEDAD*BQ333+W_ANUNCIO*BR333+W_USO*BW333+W_SEGURIDAD*BY333-BZ333</f>
        <v/>
      </c>
      <c r="CB333" s="4">
        <f>IF(N(I333)&gt;0,I333,IFERROR(ROUND(_xlfn.NUMBERVALUE(LEFT(G333,FIND(" ",G333&amp;" ")-1),".")*1000,0),99999))</f>
        <v/>
      </c>
      <c r="CC333" s="3">
        <f>IF(R333="profesional",0,IF(O333&lt;CUOTA_VALOR_MAX,IF(AU333&gt;ITP_TRAMO_ALTO,SUMIFS(CF_CUOTA,CF_MAS,ITP_TRAMO_ALTO,CF_CCMIN,"&lt;="&amp;CB333,CF_CCMAX,"&gt;="&amp;CB333),IF(AU333&gt;ITP_TRAMO_BAJO,SUMIFS(CF_CUOTA,CF_MAS,ITP_TRAMO_BAJO,CF_CCMIN,"&lt;="&amp;CB333,CF_CCMAX,"&gt;="&amp;CB333),O333*ITP_TIPO)),O333*ITP_TIPO))</f>
        <v/>
      </c>
      <c r="CD333" s="4">
        <f>IF(R333="profesional",N(AK333),0)</f>
        <v/>
      </c>
      <c r="CE333" s="3">
        <f>IF(AND(R333="profesional",ISNUMBER(AK333),AL333="sí"),0,TASA_DGT)</f>
        <v/>
      </c>
      <c r="CF333" s="3">
        <f>INFORME_DGT</f>
        <v/>
      </c>
      <c r="CG333" s="4">
        <f>O333+CD333+CC333+CE333+CF333</f>
        <v/>
      </c>
      <c r="CH333" s="4">
        <f>CG333+N(BU333)</f>
        <v/>
      </c>
      <c r="CI333" s="3">
        <f>IF(CG333&lt;=TOTAL_MAX,"sí",IF(CG333&lt;=TOTAL_MAX+MARGEN_NEG,"negociar","no"))</f>
        <v/>
      </c>
      <c r="CJ333" s="4">
        <f>IF(CI333&lt;&gt;"no",COUNTIFS($CI$2:$CI$662,"&lt;&gt;no",$CA$2:$CA$662,"&gt;"&amp;CA333)+COUNTIFS($CI$2:CI333,"&lt;&gt;no",$CA$2:CA333,CA333),"")</f>
        <v/>
      </c>
    </row>
    <row r="334">
      <c r="A334" s="2" t="inlineStr">
        <is>
          <t>wallapop:1232504060</t>
        </is>
      </c>
      <c r="B334" s="2" t="inlineStr">
        <is>
          <t>wallapop</t>
        </is>
      </c>
      <c r="C334" s="2" t="inlineStr">
        <is>
          <t>https://es.wallapop.com/item/toyota-chr-1232504060</t>
        </is>
      </c>
      <c r="D334" s="2" t="inlineStr">
        <is>
          <t>Opel Astra 2006</t>
        </is>
      </c>
      <c r="E334" s="2" t="inlineStr">
        <is>
          <t>Opel</t>
        </is>
      </c>
      <c r="F334" s="2" t="inlineStr">
        <is>
          <t>Opel Astra</t>
        </is>
      </c>
      <c r="G334" s="2" t="inlineStr">
        <is>
          <t>1.3 CDTi</t>
        </is>
      </c>
      <c r="H334" s="2" t="inlineStr">
        <is>
          <t>1.3 CDTi 90 Enjoy 5p</t>
        </is>
      </c>
      <c r="I334" s="2" t="n"/>
      <c r="J334" s="2" t="n">
        <v>90</v>
      </c>
      <c r="K334" s="2" t="inlineStr">
        <is>
          <t>diesel</t>
        </is>
      </c>
      <c r="L334" s="2" t="inlineStr">
        <is>
          <t>compacto</t>
        </is>
      </c>
      <c r="M334" s="2" t="n">
        <v>2006</v>
      </c>
      <c r="N334" s="2" t="n">
        <v>136300</v>
      </c>
      <c r="O334" s="2" t="n">
        <v>3299</v>
      </c>
      <c r="P334" s="2" t="inlineStr">
        <is>
          <t>manual</t>
        </is>
      </c>
      <c r="Q334" s="2" t="inlineStr">
        <is>
          <t>no</t>
        </is>
      </c>
      <c r="R334" s="2" t="inlineStr">
        <is>
          <t>particular</t>
        </is>
      </c>
      <c r="S334" s="2" t="inlineStr">
        <is>
          <t>Gandía (46700)</t>
        </is>
      </c>
      <c r="T334" s="2" t="inlineStr">
        <is>
          <t>2026-09-26T21:26:29</t>
        </is>
      </c>
      <c r="U334" s="2" t="n">
        <v>6</v>
      </c>
      <c r="V334" s="2" t="n"/>
      <c r="W334" s="2" t="n"/>
      <c r="X334" s="2" t="n"/>
      <c r="Y334" s="2" t="n"/>
      <c r="Z334" s="2" t="n"/>
      <c r="AA334" s="2" t="n"/>
      <c r="AB334" s="2" t="n"/>
      <c r="AC334" s="2" t="n"/>
      <c r="AD334" s="2" t="n"/>
      <c r="AE334" s="2" t="n"/>
      <c r="AF334" s="2" t="n"/>
      <c r="AG334" s="2" t="n"/>
      <c r="AH334" s="2" t="n"/>
      <c r="AI334" s="2" t="n"/>
      <c r="AJ334" s="2" t="n"/>
      <c r="AK334" s="2" t="n"/>
      <c r="AL334" s="2" t="n"/>
      <c r="AM334" s="2" t="n">
        <v>57.7</v>
      </c>
      <c r="AN334" s="2" t="n">
        <v>3725</v>
      </c>
      <c r="AO334" s="2" t="n">
        <v>12</v>
      </c>
      <c r="AP334" s="2" t="inlineStr">
        <is>
          <t>modelo+año+km</t>
        </is>
      </c>
      <c r="AQ334" s="2" t="n"/>
      <c r="AR334" s="2" t="inlineStr">
        <is>
          <t>cuota fija ITP: &gt;12 años, hasta 1.500 cc</t>
        </is>
      </c>
      <c r="AS334" s="2" t="inlineStr">
        <is>
          <t>Itv y seguro en vigor. 
Puesta a punto mecánica para su venta: (cambiadas las siguientes piezas: caudalimetro, Válvula EGR, 4 inyectores, trapecios)
Se puede probar sin compromiso. 
Se vende por haber crecido la familia.
Chapa y pintura con algunos desperfectos estéticos.</t>
        </is>
      </c>
      <c r="AT334" s="2" t="inlineStr">
        <is>
          <t>https://es.wallapop.com/item/toyota-chr-1232504060 (__NEXT_DATA__ item) /home/user/Alopecia/buscador-coches/raw/wallapop/385210e649843214.json</t>
        </is>
      </c>
      <c r="AU334" s="3">
        <f>MAX(ANIO_ACTUAL-M334,0)</f>
        <v/>
      </c>
      <c r="AV334" s="4">
        <f>N334/MAX(AU334,0.5)</f>
        <v/>
      </c>
      <c r="AW334" s="4">
        <f>F334</f>
        <v/>
      </c>
      <c r="AX334" s="3">
        <f>AW334&amp;"|"&amp;INT(M334/SEG_ANIO)*SEG_ANIO</f>
        <v/>
      </c>
      <c r="AY334" s="3">
        <f>AX334&amp;"|"&amp;INT(N334/SEG_KM)*SEG_KM</f>
        <v/>
      </c>
      <c r="AZ334" s="4">
        <f>COUNTIF($AW$2:$AW$662,AW334)</f>
        <v/>
      </c>
      <c r="BA334" s="4">
        <f>COUNTIF($AX$2:$AX$662,AX334)</f>
        <v/>
      </c>
      <c r="BB334" s="4">
        <f>COUNTIF($AY$2:$AY$662,AY334)</f>
        <v/>
      </c>
      <c r="BC334" s="3">
        <f t="array" ref="BC334">IF(N(AO334)&gt;=MIN_N,AN334,IF(BB334&gt;=MIN_N,MEDIAN(IF($AY$2:$AY$662=AY334,$O$2:$O$662)),IF(BA334&gt;=MIN_N,MEDIAN(IF($AX$2:$AX$662=AX334,$O$2:$O$662)),MEDIAN(IF($AW$2:$AW$662=AW334,$O$2:$O$662)))))</f>
        <v/>
      </c>
      <c r="BD334" s="3">
        <f>IF(N(AO334)&gt;=MIN_N,"mercado "&amp;AP334,IF(BB334&gt;=MIN_N,"modelo+año+km",IF(BA334&gt;=MIN_N,"modelo+año","modelo")))</f>
        <v/>
      </c>
      <c r="BE334" s="4">
        <f>(BC334-O334)/BC334</f>
        <v/>
      </c>
      <c r="BF334" s="3">
        <f>IF(OR(K334="hibrido",K334="glp"),"ECO",IF(K334="electrico","CERO",IF(K334="gasolina",IF(M334&gt;=GAS_C,"C",IF(M334&gt;=GAS_B,"B","A")),IF(K334="diesel",IF(M334&gt;=DIE_C,"C",IF(M334&gt;=DIE_B,"B","A")),""))))</f>
        <v/>
      </c>
      <c r="BG334" s="3">
        <f>IFERROR(VLOOKUP(F334,MOD_TBL,11,0),IFERROR(VLOOKUP(E334,OCU_TBL,2,0),NEUTRO))</f>
        <v/>
      </c>
      <c r="BH334" s="3">
        <f>SUMIFS(MOT_AJUSTE,MOT_MOTOR,G334,MOT_MARCA,E334,MOT_DESDE,"&lt;="&amp;M334,MOT_HASTA,"&gt;="&amp;M334)+SUMIFS(MOT_AJUSTE,MOT_MOTOR,G334,MOT_MARCA,"(todas)",MOT_DESDE,"&lt;="&amp;M334,MOT_HASTA,"&gt;="&amp;M334)</f>
        <v/>
      </c>
      <c r="BI334" s="3">
        <f>SUMIFS(COMB_AJUSTE,COMB_COMB,K334)</f>
        <v/>
      </c>
      <c r="BJ334" s="3">
        <f>COUNTIFS(MOT_MOTOR,G334,MOT_MARCA,E334,MOT_DESDE,"&lt;="&amp;M334,MOT_HASTA,"&gt;="&amp;M334)+COUNTIFS(MOT_MOTOR,G334,MOT_MARCA,"(todas)",MOT_DESDE,"&lt;="&amp;M334,MOT_HASTA,"&gt;="&amp;M334)</f>
        <v/>
      </c>
      <c r="BK334" s="3">
        <f>IF(AND(K334="diesel",BJ334=0),MIN(BG334,NEUTRO),BG334)</f>
        <v/>
      </c>
      <c r="BL334" s="4">
        <f>MAX(0,MIN(100,BK334+BH334+BI334))</f>
        <v/>
      </c>
      <c r="BM334" s="3">
        <f>MAX(0,MIN(100,50+BE334*PRECIO_PEND))</f>
        <v/>
      </c>
      <c r="BN334" s="3">
        <f>MAX(0,100*(1-N334/KM_MAX))</f>
        <v/>
      </c>
      <c r="BO334" s="3">
        <f>IF(AV334&lt;KMA_SOSP,IF(AA334="sí",100,KMA_PEN),IF(AV334&lt;=KMA_IDEAL_MAX,100,MAX(0,100*(KMA_CERO-AV334)/(KMA_CERO-KMA_IDEAL_MAX))))</f>
        <v/>
      </c>
      <c r="BP334" s="3">
        <f>MAX(0,MIN(100,100*(M334-ANIO_MIN)/(ANIO_ACTUAL-ANIO_MIN)))</f>
        <v/>
      </c>
      <c r="BQ334" s="3">
        <f>W_KMT*BN334+W_KMA*BO334+W_EDAD*BP334</f>
        <v/>
      </c>
      <c r="BR334" s="3">
        <f>P_ITV*(V334="sí")+P_LIBRO*(W334="sí")+P_CORREA*(X334="sí")+P_PROP*(Y334=1)+P_GAR*(Z334="sí")+P_FOTOS*MIN(1,N(U334)/FOTOS_OBJ)</f>
        <v/>
      </c>
      <c r="BS334" s="3">
        <f>IFERROR(VLOOKUP(BF334,ETQ_TBL,2,0),NEUTRO)</f>
        <v/>
      </c>
      <c r="BT334" s="3">
        <f>NEUTRO</f>
        <v/>
      </c>
      <c r="BU334" s="3">
        <f>IFERROR(VLOOKUP(L334,SEGURO_TBL,3,0),"")</f>
        <v/>
      </c>
      <c r="BV334" s="3">
        <f>IF(BU334="",NEUTRO,MAX(0,MIN(100,100*(SEG_REF_MAX-BU334)/(SEG_REF_MAX-SEG_REF_MIN))))</f>
        <v/>
      </c>
      <c r="BW334" s="3">
        <f>W_ET*BS334+W_CONS*BT334+W_SEG*BV334</f>
        <v/>
      </c>
      <c r="BX334" s="3">
        <f>IF(N(AB334)&gt;0,AB334,IF(AND(R334="profesional",SG_LEGAL_ON=1),GAR_LEGAL,0))</f>
        <v/>
      </c>
      <c r="BY334" s="3">
        <f>SG_GAR*MIN(1,BX334/SG_GAR_FULL)+SG_AMPL*(AC334="sí")+SG_KMC*(AF334="sí")+SG_REV*(N(AE334)&gt;0)+SG_DEV*MIN(1,N(AG334)/SG_DEV_FULL)+SG_HIST*(W334="sí")</f>
        <v/>
      </c>
      <c r="BZ334" s="3">
        <f>IFERROR(VLOOKUP(L334,CARR_PEN_TBL,2,0),0)</f>
        <v/>
      </c>
      <c r="CA334" s="3">
        <f>W_FIAB*BL334+W_PRECIO*BM334+W_KMEDAD*BQ334+W_ANUNCIO*BR334+W_USO*BW334+W_SEGURIDAD*BY334-BZ334</f>
        <v/>
      </c>
      <c r="CB334" s="4">
        <f>IF(N(I334)&gt;0,I334,IFERROR(ROUND(_xlfn.NUMBERVALUE(LEFT(G334,FIND(" ",G334&amp;" ")-1),".")*1000,0),99999))</f>
        <v/>
      </c>
      <c r="CC334" s="3">
        <f>IF(R334="profesional",0,IF(O334&lt;CUOTA_VALOR_MAX,IF(AU334&gt;ITP_TRAMO_ALTO,SUMIFS(CF_CUOTA,CF_MAS,ITP_TRAMO_ALTO,CF_CCMIN,"&lt;="&amp;CB334,CF_CCMAX,"&gt;="&amp;CB334),IF(AU334&gt;ITP_TRAMO_BAJO,SUMIFS(CF_CUOTA,CF_MAS,ITP_TRAMO_BAJO,CF_CCMIN,"&lt;="&amp;CB334,CF_CCMAX,"&gt;="&amp;CB334),O334*ITP_TIPO)),O334*ITP_TIPO))</f>
        <v/>
      </c>
      <c r="CD334" s="4">
        <f>IF(R334="profesional",N(AK334),0)</f>
        <v/>
      </c>
      <c r="CE334" s="3">
        <f>IF(AND(R334="profesional",ISNUMBER(AK334),AL334="sí"),0,TASA_DGT)</f>
        <v/>
      </c>
      <c r="CF334" s="3">
        <f>INFORME_DGT</f>
        <v/>
      </c>
      <c r="CG334" s="4">
        <f>O334+CD334+CC334+CE334+CF334</f>
        <v/>
      </c>
      <c r="CH334" s="4">
        <f>CG334+N(BU334)</f>
        <v/>
      </c>
      <c r="CI334" s="3">
        <f>IF(CG334&lt;=TOTAL_MAX,"sí",IF(CG334&lt;=TOTAL_MAX+MARGEN_NEG,"negociar","no"))</f>
        <v/>
      </c>
      <c r="CJ334" s="4">
        <f>IF(CI334&lt;&gt;"no",COUNTIFS($CI$2:$CI$662,"&lt;&gt;no",$CA$2:$CA$662,"&gt;"&amp;CA334)+COUNTIFS($CI$2:CI334,"&lt;&gt;no",$CA$2:CA334,CA334),"")</f>
        <v/>
      </c>
    </row>
    <row r="335">
      <c r="A335" s="2" t="inlineStr">
        <is>
          <t>wallapop:1300568626</t>
        </is>
      </c>
      <c r="B335" s="2" t="inlineStr">
        <is>
          <t>wallapop</t>
        </is>
      </c>
      <c r="C335" s="2" t="inlineStr">
        <is>
          <t>https://es.wallapop.com/item/opel-astra-h-1300568626</t>
        </is>
      </c>
      <c r="D335" s="2" t="inlineStr">
        <is>
          <t>Opel Astra H</t>
        </is>
      </c>
      <c r="E335" s="2" t="inlineStr">
        <is>
          <t>Opel</t>
        </is>
      </c>
      <c r="F335" s="2" t="inlineStr">
        <is>
          <t>Opel Astra</t>
        </is>
      </c>
      <c r="G335" s="2" t="inlineStr">
        <is>
          <t>1.6</t>
        </is>
      </c>
      <c r="H335" s="2" t="inlineStr">
        <is>
          <t>1.6 105 Enjoy 5p</t>
        </is>
      </c>
      <c r="I335" s="2" t="n"/>
      <c r="J335" s="2" t="n">
        <v>105</v>
      </c>
      <c r="K335" s="2" t="inlineStr">
        <is>
          <t>gasolina</t>
        </is>
      </c>
      <c r="L335" s="2" t="inlineStr">
        <is>
          <t>compacto</t>
        </is>
      </c>
      <c r="M335" s="2" t="n">
        <v>2007</v>
      </c>
      <c r="N335" s="2" t="n">
        <v>189000</v>
      </c>
      <c r="O335" s="2" t="n">
        <v>3300</v>
      </c>
      <c r="P335" s="2" t="inlineStr">
        <is>
          <t>manual</t>
        </is>
      </c>
      <c r="Q335" s="2" t="inlineStr">
        <is>
          <t>no</t>
        </is>
      </c>
      <c r="R335" s="2" t="inlineStr">
        <is>
          <t>particular</t>
        </is>
      </c>
      <c r="S335" s="2" t="inlineStr">
        <is>
          <t>Gandía (46700)</t>
        </is>
      </c>
      <c r="T335" s="2" t="inlineStr">
        <is>
          <t>2026-10-02T09:02:08</t>
        </is>
      </c>
      <c r="U335" s="2" t="n">
        <v>4</v>
      </c>
      <c r="V335" s="2" t="n"/>
      <c r="W335" s="2" t="n"/>
      <c r="X335" s="2" t="n"/>
      <c r="Y335" s="2" t="n"/>
      <c r="Z335" s="2" t="n"/>
      <c r="AA335" s="2" t="n"/>
      <c r="AB335" s="2" t="n"/>
      <c r="AC335" s="2" t="n"/>
      <c r="AD335" s="2" t="n"/>
      <c r="AE335" s="2" t="n"/>
      <c r="AF335" s="2" t="n"/>
      <c r="AG335" s="2" t="n"/>
      <c r="AH335" s="2" t="n"/>
      <c r="AI335" s="2" t="n"/>
      <c r="AJ335" s="2" t="n"/>
      <c r="AK335" s="2" t="n"/>
      <c r="AL335" s="2" t="n"/>
      <c r="AM335" s="2" t="n">
        <v>58.7</v>
      </c>
      <c r="AN335" s="2" t="n">
        <v>4300</v>
      </c>
      <c r="AO335" s="2" t="n">
        <v>17</v>
      </c>
      <c r="AP335" s="2" t="inlineStr">
        <is>
          <t>modelo+año+km</t>
        </is>
      </c>
      <c r="AQ335" s="2" t="n"/>
      <c r="AR335" s="2" t="inlineStr">
        <is>
          <t>cuota fija ITP: &gt;12 años, 1.501-2.000 cc</t>
        </is>
      </c>
      <c r="AS335" s="2" t="inlineStr">
        <is>
          <t xml:space="preserve">Opel Astra H 
- Año 2007
- km 188k
- Aire acondicionado 
- Dos llaves 
- Itv 
Perfecto para primer coche
Se encuentra en buen estado 
Cual quier duda pueden preguntar. </t>
        </is>
      </c>
      <c r="AT335" s="2" t="inlineStr">
        <is>
          <t>https://es.wallapop.com/item/opel-astra-h-1300568626 (__NEXT_DATA__ item) /home/user/Alopecia/buscador-coches/raw/wallapop/902a8158b95787db.json</t>
        </is>
      </c>
      <c r="AU335" s="3">
        <f>MAX(ANIO_ACTUAL-M335,0)</f>
        <v/>
      </c>
      <c r="AV335" s="4">
        <f>N335/MAX(AU335,0.5)</f>
        <v/>
      </c>
      <c r="AW335" s="4">
        <f>F335</f>
        <v/>
      </c>
      <c r="AX335" s="3">
        <f>AW335&amp;"|"&amp;INT(M335/SEG_ANIO)*SEG_ANIO</f>
        <v/>
      </c>
      <c r="AY335" s="3">
        <f>AX335&amp;"|"&amp;INT(N335/SEG_KM)*SEG_KM</f>
        <v/>
      </c>
      <c r="AZ335" s="4">
        <f>COUNTIF($AW$2:$AW$662,AW335)</f>
        <v/>
      </c>
      <c r="BA335" s="4">
        <f>COUNTIF($AX$2:$AX$662,AX335)</f>
        <v/>
      </c>
      <c r="BB335" s="4">
        <f>COUNTIF($AY$2:$AY$662,AY335)</f>
        <v/>
      </c>
      <c r="BC335" s="3">
        <f t="array" ref="BC335">IF(N(AO335)&gt;=MIN_N,AN335,IF(BB335&gt;=MIN_N,MEDIAN(IF($AY$2:$AY$662=AY335,$O$2:$O$662)),IF(BA335&gt;=MIN_N,MEDIAN(IF($AX$2:$AX$662=AX335,$O$2:$O$662)),MEDIAN(IF($AW$2:$AW$662=AW335,$O$2:$O$662)))))</f>
        <v/>
      </c>
      <c r="BD335" s="3">
        <f>IF(N(AO335)&gt;=MIN_N,"mercado "&amp;AP335,IF(BB335&gt;=MIN_N,"modelo+año+km",IF(BA335&gt;=MIN_N,"modelo+año","modelo")))</f>
        <v/>
      </c>
      <c r="BE335" s="4">
        <f>(BC335-O335)/BC335</f>
        <v/>
      </c>
      <c r="BF335" s="3">
        <f>IF(OR(K335="hibrido",K335="glp"),"ECO",IF(K335="electrico","CERO",IF(K335="gasolina",IF(M335&gt;=GAS_C,"C",IF(M335&gt;=GAS_B,"B","A")),IF(K335="diesel",IF(M335&gt;=DIE_C,"C",IF(M335&gt;=DIE_B,"B","A")),""))))</f>
        <v/>
      </c>
      <c r="BG335" s="3">
        <f>IFERROR(VLOOKUP(F335,MOD_TBL,11,0),IFERROR(VLOOKUP(E335,OCU_TBL,2,0),NEUTRO))</f>
        <v/>
      </c>
      <c r="BH335" s="3">
        <f>SUMIFS(MOT_AJUSTE,MOT_MOTOR,G335,MOT_MARCA,E335,MOT_DESDE,"&lt;="&amp;M335,MOT_HASTA,"&gt;="&amp;M335)+SUMIFS(MOT_AJUSTE,MOT_MOTOR,G335,MOT_MARCA,"(todas)",MOT_DESDE,"&lt;="&amp;M335,MOT_HASTA,"&gt;="&amp;M335)</f>
        <v/>
      </c>
      <c r="BI335" s="3">
        <f>SUMIFS(COMB_AJUSTE,COMB_COMB,K335)</f>
        <v/>
      </c>
      <c r="BJ335" s="3">
        <f>COUNTIFS(MOT_MOTOR,G335,MOT_MARCA,E335,MOT_DESDE,"&lt;="&amp;M335,MOT_HASTA,"&gt;="&amp;M335)+COUNTIFS(MOT_MOTOR,G335,MOT_MARCA,"(todas)",MOT_DESDE,"&lt;="&amp;M335,MOT_HASTA,"&gt;="&amp;M335)</f>
        <v/>
      </c>
      <c r="BK335" s="3">
        <f>IF(AND(K335="diesel",BJ335=0),MIN(BG335,NEUTRO),BG335)</f>
        <v/>
      </c>
      <c r="BL335" s="4">
        <f>MAX(0,MIN(100,BK335+BH335+BI335))</f>
        <v/>
      </c>
      <c r="BM335" s="3">
        <f>MAX(0,MIN(100,50+BE335*PRECIO_PEND))</f>
        <v/>
      </c>
      <c r="BN335" s="3">
        <f>MAX(0,100*(1-N335/KM_MAX))</f>
        <v/>
      </c>
      <c r="BO335" s="3">
        <f>IF(AV335&lt;KMA_SOSP,IF(AA335="sí",100,KMA_PEN),IF(AV335&lt;=KMA_IDEAL_MAX,100,MAX(0,100*(KMA_CERO-AV335)/(KMA_CERO-KMA_IDEAL_MAX))))</f>
        <v/>
      </c>
      <c r="BP335" s="3">
        <f>MAX(0,MIN(100,100*(M335-ANIO_MIN)/(ANIO_ACTUAL-ANIO_MIN)))</f>
        <v/>
      </c>
      <c r="BQ335" s="3">
        <f>W_KMT*BN335+W_KMA*BO335+W_EDAD*BP335</f>
        <v/>
      </c>
      <c r="BR335" s="3">
        <f>P_ITV*(V335="sí")+P_LIBRO*(W335="sí")+P_CORREA*(X335="sí")+P_PROP*(Y335=1)+P_GAR*(Z335="sí")+P_FOTOS*MIN(1,N(U335)/FOTOS_OBJ)</f>
        <v/>
      </c>
      <c r="BS335" s="3">
        <f>IFERROR(VLOOKUP(BF335,ETQ_TBL,2,0),NEUTRO)</f>
        <v/>
      </c>
      <c r="BT335" s="3">
        <f>NEUTRO</f>
        <v/>
      </c>
      <c r="BU335" s="3">
        <f>IFERROR(VLOOKUP(L335,SEGURO_TBL,3,0),"")</f>
        <v/>
      </c>
      <c r="BV335" s="3">
        <f>IF(BU335="",NEUTRO,MAX(0,MIN(100,100*(SEG_REF_MAX-BU335)/(SEG_REF_MAX-SEG_REF_MIN))))</f>
        <v/>
      </c>
      <c r="BW335" s="3">
        <f>W_ET*BS335+W_CONS*BT335+W_SEG*BV335</f>
        <v/>
      </c>
      <c r="BX335" s="3">
        <f>IF(N(AB335)&gt;0,AB335,IF(AND(R335="profesional",SG_LEGAL_ON=1),GAR_LEGAL,0))</f>
        <v/>
      </c>
      <c r="BY335" s="3">
        <f>SG_GAR*MIN(1,BX335/SG_GAR_FULL)+SG_AMPL*(AC335="sí")+SG_KMC*(AF335="sí")+SG_REV*(N(AE335)&gt;0)+SG_DEV*MIN(1,N(AG335)/SG_DEV_FULL)+SG_HIST*(W335="sí")</f>
        <v/>
      </c>
      <c r="BZ335" s="3">
        <f>IFERROR(VLOOKUP(L335,CARR_PEN_TBL,2,0),0)</f>
        <v/>
      </c>
      <c r="CA335" s="3">
        <f>W_FIAB*BL335+W_PRECIO*BM335+W_KMEDAD*BQ335+W_ANUNCIO*BR335+W_USO*BW335+W_SEGURIDAD*BY335-BZ335</f>
        <v/>
      </c>
      <c r="CB335" s="4">
        <f>IF(N(I335)&gt;0,I335,IFERROR(ROUND(_xlfn.NUMBERVALUE(LEFT(G335,FIND(" ",G335&amp;" ")-1),".")*1000,0),99999))</f>
        <v/>
      </c>
      <c r="CC335" s="3">
        <f>IF(R335="profesional",0,IF(O335&lt;CUOTA_VALOR_MAX,IF(AU335&gt;ITP_TRAMO_ALTO,SUMIFS(CF_CUOTA,CF_MAS,ITP_TRAMO_ALTO,CF_CCMIN,"&lt;="&amp;CB335,CF_CCMAX,"&gt;="&amp;CB335),IF(AU335&gt;ITP_TRAMO_BAJO,SUMIFS(CF_CUOTA,CF_MAS,ITP_TRAMO_BAJO,CF_CCMIN,"&lt;="&amp;CB335,CF_CCMAX,"&gt;="&amp;CB335),O335*ITP_TIPO)),O335*ITP_TIPO))</f>
        <v/>
      </c>
      <c r="CD335" s="4">
        <f>IF(R335="profesional",N(AK335),0)</f>
        <v/>
      </c>
      <c r="CE335" s="3">
        <f>IF(AND(R335="profesional",ISNUMBER(AK335),AL335="sí"),0,TASA_DGT)</f>
        <v/>
      </c>
      <c r="CF335" s="3">
        <f>INFORME_DGT</f>
        <v/>
      </c>
      <c r="CG335" s="4">
        <f>O335+CD335+CC335+CE335+CF335</f>
        <v/>
      </c>
      <c r="CH335" s="4">
        <f>CG335+N(BU335)</f>
        <v/>
      </c>
      <c r="CI335" s="3">
        <f>IF(CG335&lt;=TOTAL_MAX,"sí",IF(CG335&lt;=TOTAL_MAX+MARGEN_NEG,"negociar","no"))</f>
        <v/>
      </c>
      <c r="CJ335" s="4">
        <f>IF(CI335&lt;&gt;"no",COUNTIFS($CI$2:$CI$662,"&lt;&gt;no",$CA$2:$CA$662,"&gt;"&amp;CA335)+COUNTIFS($CI$2:CI335,"&lt;&gt;no",$CA$2:CA335,CA335),"")</f>
        <v/>
      </c>
    </row>
    <row r="336">
      <c r="A336" s="2" t="inlineStr">
        <is>
          <t>wallapop:1265374448</t>
        </is>
      </c>
      <c r="B336" s="2" t="inlineStr">
        <is>
          <t>wallapop</t>
        </is>
      </c>
      <c r="C336" s="2" t="inlineStr">
        <is>
          <t>https://es.wallapop.com/item/opel-astra-2006-1265374448</t>
        </is>
      </c>
      <c r="D336" s="2" t="inlineStr">
        <is>
          <t>Opel Astra 2006</t>
        </is>
      </c>
      <c r="E336" s="2" t="inlineStr">
        <is>
          <t>Opel</t>
        </is>
      </c>
      <c r="F336" s="2" t="inlineStr">
        <is>
          <t>Opel Astra</t>
        </is>
      </c>
      <c r="G336" s="2" t="inlineStr">
        <is>
          <t>1.6</t>
        </is>
      </c>
      <c r="H336" s="2" t="inlineStr">
        <is>
          <t>TwinTop 1.6 16v 105 Enjoy 2p</t>
        </is>
      </c>
      <c r="I336" s="2" t="n"/>
      <c r="J336" s="2" t="n">
        <v>105</v>
      </c>
      <c r="K336" s="2" t="inlineStr">
        <is>
          <t>gasolina</t>
        </is>
      </c>
      <c r="L336" s="2" t="inlineStr">
        <is>
          <t>compacto</t>
        </is>
      </c>
      <c r="M336" s="2" t="n">
        <v>2006</v>
      </c>
      <c r="N336" s="2" t="n">
        <v>138000</v>
      </c>
      <c r="O336" s="2" t="n">
        <v>3000</v>
      </c>
      <c r="P336" s="2" t="inlineStr">
        <is>
          <t>manual</t>
        </is>
      </c>
      <c r="Q336" s="2" t="inlineStr">
        <is>
          <t>no</t>
        </is>
      </c>
      <c r="R336" s="2" t="inlineStr">
        <is>
          <t>particular</t>
        </is>
      </c>
      <c r="S336" s="2" t="inlineStr">
        <is>
          <t>Gandía (46700)</t>
        </is>
      </c>
      <c r="T336" s="2" t="inlineStr">
        <is>
          <t>2026-09-24T05:44:14</t>
        </is>
      </c>
      <c r="U336" s="2" t="n">
        <v>7</v>
      </c>
      <c r="V336" s="2" t="inlineStr">
        <is>
          <t>sí</t>
        </is>
      </c>
      <c r="W336" s="2" t="n"/>
      <c r="X336" s="2" t="n"/>
      <c r="Y336" s="2" t="n"/>
      <c r="Z336" s="2" t="n"/>
      <c r="AA336" s="2" t="n"/>
      <c r="AB336" s="2" t="n"/>
      <c r="AC336" s="2" t="n"/>
      <c r="AD336" s="2" t="n"/>
      <c r="AE336" s="2" t="n"/>
      <c r="AF336" s="2" t="n"/>
      <c r="AG336" s="2" t="n"/>
      <c r="AH336" s="2" t="n"/>
      <c r="AI336" s="2" t="n"/>
      <c r="AJ336" s="2" t="n"/>
      <c r="AK336" s="2" t="n"/>
      <c r="AL336" s="2" t="n"/>
      <c r="AM336" s="2" t="n">
        <v>58.3</v>
      </c>
      <c r="AN336" s="2" t="n">
        <v>3725</v>
      </c>
      <c r="AO336" s="2" t="n">
        <v>12</v>
      </c>
      <c r="AP336" s="2" t="inlineStr">
        <is>
          <t>modelo+año+km</t>
        </is>
      </c>
      <c r="AQ336" s="2" t="n"/>
      <c r="AR336" s="2" t="inlineStr">
        <is>
          <t>cuota fija ITP: &gt;12 años, 1.501-2.000 cc</t>
        </is>
      </c>
      <c r="AS336" s="2" t="inlineStr">
        <is>
          <t>Vendo Opel Astra en muy buenas condiciones, lo entregaría con ITV pasada y cambio de nombre.
Distribución y mantenimiento recién hecho.</t>
        </is>
      </c>
      <c r="AT336" s="2" t="inlineStr">
        <is>
          <t>https://es.wallapop.com/item/opel-astra-2006-1265374448 (__NEXT_DATA__ item) /home/user/Alopecia/buscador-coches/raw/wallapop/b63a73bede49df1e.json</t>
        </is>
      </c>
      <c r="AU336" s="3">
        <f>MAX(ANIO_ACTUAL-M336,0)</f>
        <v/>
      </c>
      <c r="AV336" s="4">
        <f>N336/MAX(AU336,0.5)</f>
        <v/>
      </c>
      <c r="AW336" s="4">
        <f>F336</f>
        <v/>
      </c>
      <c r="AX336" s="3">
        <f>AW336&amp;"|"&amp;INT(M336/SEG_ANIO)*SEG_ANIO</f>
        <v/>
      </c>
      <c r="AY336" s="3">
        <f>AX336&amp;"|"&amp;INT(N336/SEG_KM)*SEG_KM</f>
        <v/>
      </c>
      <c r="AZ336" s="4">
        <f>COUNTIF($AW$2:$AW$662,AW336)</f>
        <v/>
      </c>
      <c r="BA336" s="4">
        <f>COUNTIF($AX$2:$AX$662,AX336)</f>
        <v/>
      </c>
      <c r="BB336" s="4">
        <f>COUNTIF($AY$2:$AY$662,AY336)</f>
        <v/>
      </c>
      <c r="BC336" s="3">
        <f t="array" ref="BC336">IF(N(AO336)&gt;=MIN_N,AN336,IF(BB336&gt;=MIN_N,MEDIAN(IF($AY$2:$AY$662=AY336,$O$2:$O$662)),IF(BA336&gt;=MIN_N,MEDIAN(IF($AX$2:$AX$662=AX336,$O$2:$O$662)),MEDIAN(IF($AW$2:$AW$662=AW336,$O$2:$O$662)))))</f>
        <v/>
      </c>
      <c r="BD336" s="3">
        <f>IF(N(AO336)&gt;=MIN_N,"mercado "&amp;AP336,IF(BB336&gt;=MIN_N,"modelo+año+km",IF(BA336&gt;=MIN_N,"modelo+año","modelo")))</f>
        <v/>
      </c>
      <c r="BE336" s="4">
        <f>(BC336-O336)/BC336</f>
        <v/>
      </c>
      <c r="BF336" s="3">
        <f>IF(OR(K336="hibrido",K336="glp"),"ECO",IF(K336="electrico","CERO",IF(K336="gasolina",IF(M336&gt;=GAS_C,"C",IF(M336&gt;=GAS_B,"B","A")),IF(K336="diesel",IF(M336&gt;=DIE_C,"C",IF(M336&gt;=DIE_B,"B","A")),""))))</f>
        <v/>
      </c>
      <c r="BG336" s="3">
        <f>IFERROR(VLOOKUP(F336,MOD_TBL,11,0),IFERROR(VLOOKUP(E336,OCU_TBL,2,0),NEUTRO))</f>
        <v/>
      </c>
      <c r="BH336" s="3">
        <f>SUMIFS(MOT_AJUSTE,MOT_MOTOR,G336,MOT_MARCA,E336,MOT_DESDE,"&lt;="&amp;M336,MOT_HASTA,"&gt;="&amp;M336)+SUMIFS(MOT_AJUSTE,MOT_MOTOR,G336,MOT_MARCA,"(todas)",MOT_DESDE,"&lt;="&amp;M336,MOT_HASTA,"&gt;="&amp;M336)</f>
        <v/>
      </c>
      <c r="BI336" s="3">
        <f>SUMIFS(COMB_AJUSTE,COMB_COMB,K336)</f>
        <v/>
      </c>
      <c r="BJ336" s="3">
        <f>COUNTIFS(MOT_MOTOR,G336,MOT_MARCA,E336,MOT_DESDE,"&lt;="&amp;M336,MOT_HASTA,"&gt;="&amp;M336)+COUNTIFS(MOT_MOTOR,G336,MOT_MARCA,"(todas)",MOT_DESDE,"&lt;="&amp;M336,MOT_HASTA,"&gt;="&amp;M336)</f>
        <v/>
      </c>
      <c r="BK336" s="3">
        <f>IF(AND(K336="diesel",BJ336=0),MIN(BG336,NEUTRO),BG336)</f>
        <v/>
      </c>
      <c r="BL336" s="4">
        <f>MAX(0,MIN(100,BK336+BH336+BI336))</f>
        <v/>
      </c>
      <c r="BM336" s="3">
        <f>MAX(0,MIN(100,50+BE336*PRECIO_PEND))</f>
        <v/>
      </c>
      <c r="BN336" s="3">
        <f>MAX(0,100*(1-N336/KM_MAX))</f>
        <v/>
      </c>
      <c r="BO336" s="3">
        <f>IF(AV336&lt;KMA_SOSP,IF(AA336="sí",100,KMA_PEN),IF(AV336&lt;=KMA_IDEAL_MAX,100,MAX(0,100*(KMA_CERO-AV336)/(KMA_CERO-KMA_IDEAL_MAX))))</f>
        <v/>
      </c>
      <c r="BP336" s="3">
        <f>MAX(0,MIN(100,100*(M336-ANIO_MIN)/(ANIO_ACTUAL-ANIO_MIN)))</f>
        <v/>
      </c>
      <c r="BQ336" s="3">
        <f>W_KMT*BN336+W_KMA*BO336+W_EDAD*BP336</f>
        <v/>
      </c>
      <c r="BR336" s="3">
        <f>P_ITV*(V336="sí")+P_LIBRO*(W336="sí")+P_CORREA*(X336="sí")+P_PROP*(Y336=1)+P_GAR*(Z336="sí")+P_FOTOS*MIN(1,N(U336)/FOTOS_OBJ)</f>
        <v/>
      </c>
      <c r="BS336" s="3">
        <f>IFERROR(VLOOKUP(BF336,ETQ_TBL,2,0),NEUTRO)</f>
        <v/>
      </c>
      <c r="BT336" s="3">
        <f>NEUTRO</f>
        <v/>
      </c>
      <c r="BU336" s="3">
        <f>IFERROR(VLOOKUP(L336,SEGURO_TBL,3,0),"")</f>
        <v/>
      </c>
      <c r="BV336" s="3">
        <f>IF(BU336="",NEUTRO,MAX(0,MIN(100,100*(SEG_REF_MAX-BU336)/(SEG_REF_MAX-SEG_REF_MIN))))</f>
        <v/>
      </c>
      <c r="BW336" s="3">
        <f>W_ET*BS336+W_CONS*BT336+W_SEG*BV336</f>
        <v/>
      </c>
      <c r="BX336" s="3">
        <f>IF(N(AB336)&gt;0,AB336,IF(AND(R336="profesional",SG_LEGAL_ON=1),GAR_LEGAL,0))</f>
        <v/>
      </c>
      <c r="BY336" s="3">
        <f>SG_GAR*MIN(1,BX336/SG_GAR_FULL)+SG_AMPL*(AC336="sí")+SG_KMC*(AF336="sí")+SG_REV*(N(AE336)&gt;0)+SG_DEV*MIN(1,N(AG336)/SG_DEV_FULL)+SG_HIST*(W336="sí")</f>
        <v/>
      </c>
      <c r="BZ336" s="3">
        <f>IFERROR(VLOOKUP(L336,CARR_PEN_TBL,2,0),0)</f>
        <v/>
      </c>
      <c r="CA336" s="3">
        <f>W_FIAB*BL336+W_PRECIO*BM336+W_KMEDAD*BQ336+W_ANUNCIO*BR336+W_USO*BW336+W_SEGURIDAD*BY336-BZ336</f>
        <v/>
      </c>
      <c r="CB336" s="4">
        <f>IF(N(I336)&gt;0,I336,IFERROR(ROUND(_xlfn.NUMBERVALUE(LEFT(G336,FIND(" ",G336&amp;" ")-1),".")*1000,0),99999))</f>
        <v/>
      </c>
      <c r="CC336" s="3">
        <f>IF(R336="profesional",0,IF(O336&lt;CUOTA_VALOR_MAX,IF(AU336&gt;ITP_TRAMO_ALTO,SUMIFS(CF_CUOTA,CF_MAS,ITP_TRAMO_ALTO,CF_CCMIN,"&lt;="&amp;CB336,CF_CCMAX,"&gt;="&amp;CB336),IF(AU336&gt;ITP_TRAMO_BAJO,SUMIFS(CF_CUOTA,CF_MAS,ITP_TRAMO_BAJO,CF_CCMIN,"&lt;="&amp;CB336,CF_CCMAX,"&gt;="&amp;CB336),O336*ITP_TIPO)),O336*ITP_TIPO))</f>
        <v/>
      </c>
      <c r="CD336" s="4">
        <f>IF(R336="profesional",N(AK336),0)</f>
        <v/>
      </c>
      <c r="CE336" s="3">
        <f>IF(AND(R336="profesional",ISNUMBER(AK336),AL336="sí"),0,TASA_DGT)</f>
        <v/>
      </c>
      <c r="CF336" s="3">
        <f>INFORME_DGT</f>
        <v/>
      </c>
      <c r="CG336" s="4">
        <f>O336+CD336+CC336+CE336+CF336</f>
        <v/>
      </c>
      <c r="CH336" s="4">
        <f>CG336+N(BU336)</f>
        <v/>
      </c>
      <c r="CI336" s="3">
        <f>IF(CG336&lt;=TOTAL_MAX,"sí",IF(CG336&lt;=TOTAL_MAX+MARGEN_NEG,"negociar","no"))</f>
        <v/>
      </c>
      <c r="CJ336" s="4">
        <f>IF(CI336&lt;&gt;"no",COUNTIFS($CI$2:$CI$662,"&lt;&gt;no",$CA$2:$CA$662,"&gt;"&amp;CA336)+COUNTIFS($CI$2:CI336,"&lt;&gt;no",$CA$2:CA336,CA336),"")</f>
        <v/>
      </c>
    </row>
    <row r="337">
      <c r="A337" s="2" t="inlineStr">
        <is>
          <t>wallapop:1315298326</t>
        </is>
      </c>
      <c r="B337" s="2" t="inlineStr">
        <is>
          <t>wallapop</t>
        </is>
      </c>
      <c r="C337" s="2" t="inlineStr">
        <is>
          <t>https://es.wallapop.com/item/opel-astra-2009-1315298326</t>
        </is>
      </c>
      <c r="D337" s="2" t="inlineStr">
        <is>
          <t>Opel Astra 2009</t>
        </is>
      </c>
      <c r="E337" s="2" t="inlineStr">
        <is>
          <t>Opel</t>
        </is>
      </c>
      <c r="F337" s="2" t="inlineStr">
        <is>
          <t>Opel Astra</t>
        </is>
      </c>
      <c r="G337" s="2" t="inlineStr">
        <is>
          <t>1.6</t>
        </is>
      </c>
      <c r="H337" s="2" t="inlineStr">
        <is>
          <t>1.6 115 Enjoy 5p NM</t>
        </is>
      </c>
      <c r="I337" s="2" t="n"/>
      <c r="J337" s="2" t="n">
        <v>115</v>
      </c>
      <c r="K337" s="2" t="inlineStr">
        <is>
          <t>gasolina</t>
        </is>
      </c>
      <c r="L337" s="2" t="inlineStr">
        <is>
          <t>compacto</t>
        </is>
      </c>
      <c r="M337" s="2" t="n">
        <v>2009</v>
      </c>
      <c r="N337" s="2" t="n">
        <v>70000</v>
      </c>
      <c r="O337" s="2" t="n">
        <v>4200</v>
      </c>
      <c r="P337" s="2" t="inlineStr">
        <is>
          <t>manual</t>
        </is>
      </c>
      <c r="Q337" s="2" t="inlineStr">
        <is>
          <t>no</t>
        </is>
      </c>
      <c r="R337" s="2" t="inlineStr">
        <is>
          <t>particular</t>
        </is>
      </c>
      <c r="S337" s="2" t="inlineStr">
        <is>
          <t>Manises (46940)</t>
        </is>
      </c>
      <c r="T337" s="2" t="inlineStr">
        <is>
          <t>2026-10-20T14:36:44</t>
        </is>
      </c>
      <c r="U337" s="2" t="n">
        <v>10</v>
      </c>
      <c r="V337" s="2" t="inlineStr">
        <is>
          <t>sí</t>
        </is>
      </c>
      <c r="W337" s="2" t="n"/>
      <c r="X337" s="2" t="n"/>
      <c r="Y337" s="2" t="n">
        <v>1</v>
      </c>
      <c r="Z337" s="2" t="n"/>
      <c r="AA337" s="2" t="n"/>
      <c r="AB337" s="2" t="n"/>
      <c r="AC337" s="2" t="n"/>
      <c r="AD337" s="2" t="n"/>
      <c r="AE337" s="2" t="n"/>
      <c r="AF337" s="2" t="n"/>
      <c r="AG337" s="2" t="n"/>
      <c r="AH337" s="2" t="n"/>
      <c r="AI337" s="2" t="n"/>
      <c r="AJ337" s="2" t="n"/>
      <c r="AK337" s="2" t="n"/>
      <c r="AL337" s="2" t="n"/>
      <c r="AM337" s="2" t="n">
        <v>7.8</v>
      </c>
      <c r="AN337" s="2" t="n">
        <v>6045</v>
      </c>
      <c r="AO337" s="2" t="n">
        <v>4</v>
      </c>
      <c r="AP337" s="2" t="inlineStr">
        <is>
          <t>modelo+año+km</t>
        </is>
      </c>
      <c r="AQ337" s="2" t="n"/>
      <c r="AR337" s="2" t="inlineStr">
        <is>
          <t>cuota fija ITP: &gt;12 años, 1.501-2.000 cc</t>
        </is>
      </c>
      <c r="AS337" s="2" t="inlineStr">
        <is>
          <t>Se vende opel con embrague distribución ruedas nuevas motor se monto hace menos de un año con 70milkm itv recien pasada un único propietario tiene bola de remolque desmontable</t>
        </is>
      </c>
      <c r="AT337" s="2" t="inlineStr">
        <is>
          <t>https://es.wallapop.com/item/opel-astra-2009-1315298326 (__NEXT_DATA__ item) /home/user/Alopecia/buscador-coches/raw/wallapop/ff82d1688e641178.json</t>
        </is>
      </c>
      <c r="AU337" s="3">
        <f>MAX(ANIO_ACTUAL-M337,0)</f>
        <v/>
      </c>
      <c r="AV337" s="4">
        <f>N337/MAX(AU337,0.5)</f>
        <v/>
      </c>
      <c r="AW337" s="4">
        <f>F337</f>
        <v/>
      </c>
      <c r="AX337" s="3">
        <f>AW337&amp;"|"&amp;INT(M337/SEG_ANIO)*SEG_ANIO</f>
        <v/>
      </c>
      <c r="AY337" s="3">
        <f>AX337&amp;"|"&amp;INT(N337/SEG_KM)*SEG_KM</f>
        <v/>
      </c>
      <c r="AZ337" s="4">
        <f>COUNTIF($AW$2:$AW$662,AW337)</f>
        <v/>
      </c>
      <c r="BA337" s="4">
        <f>COUNTIF($AX$2:$AX$662,AX337)</f>
        <v/>
      </c>
      <c r="BB337" s="4">
        <f>COUNTIF($AY$2:$AY$662,AY337)</f>
        <v/>
      </c>
      <c r="BC337" s="3">
        <f t="array" ref="BC337">IF(N(AO337)&gt;=MIN_N,AN337,IF(BB337&gt;=MIN_N,MEDIAN(IF($AY$2:$AY$662=AY337,$O$2:$O$662)),IF(BA337&gt;=MIN_N,MEDIAN(IF($AX$2:$AX$662=AX337,$O$2:$O$662)),MEDIAN(IF($AW$2:$AW$662=AW337,$O$2:$O$662)))))</f>
        <v/>
      </c>
      <c r="BD337" s="3">
        <f>IF(N(AO337)&gt;=MIN_N,"mercado "&amp;AP337,IF(BB337&gt;=MIN_N,"modelo+año+km",IF(BA337&gt;=MIN_N,"modelo+año","modelo")))</f>
        <v/>
      </c>
      <c r="BE337" s="4">
        <f>(BC337-O337)/BC337</f>
        <v/>
      </c>
      <c r="BF337" s="3">
        <f>IF(OR(K337="hibrido",K337="glp"),"ECO",IF(K337="electrico","CERO",IF(K337="gasolina",IF(M337&gt;=GAS_C,"C",IF(M337&gt;=GAS_B,"B","A")),IF(K337="diesel",IF(M337&gt;=DIE_C,"C",IF(M337&gt;=DIE_B,"B","A")),""))))</f>
        <v/>
      </c>
      <c r="BG337" s="3">
        <f>IFERROR(VLOOKUP(F337,MOD_TBL,11,0),IFERROR(VLOOKUP(E337,OCU_TBL,2,0),NEUTRO))</f>
        <v/>
      </c>
      <c r="BH337" s="3">
        <f>SUMIFS(MOT_AJUSTE,MOT_MOTOR,G337,MOT_MARCA,E337,MOT_DESDE,"&lt;="&amp;M337,MOT_HASTA,"&gt;="&amp;M337)+SUMIFS(MOT_AJUSTE,MOT_MOTOR,G337,MOT_MARCA,"(todas)",MOT_DESDE,"&lt;="&amp;M337,MOT_HASTA,"&gt;="&amp;M337)</f>
        <v/>
      </c>
      <c r="BI337" s="3">
        <f>SUMIFS(COMB_AJUSTE,COMB_COMB,K337)</f>
        <v/>
      </c>
      <c r="BJ337" s="3">
        <f>COUNTIFS(MOT_MOTOR,G337,MOT_MARCA,E337,MOT_DESDE,"&lt;="&amp;M337,MOT_HASTA,"&gt;="&amp;M337)+COUNTIFS(MOT_MOTOR,G337,MOT_MARCA,"(todas)",MOT_DESDE,"&lt;="&amp;M337,MOT_HASTA,"&gt;="&amp;M337)</f>
        <v/>
      </c>
      <c r="BK337" s="3">
        <f>IF(AND(K337="diesel",BJ337=0),MIN(BG337,NEUTRO),BG337)</f>
        <v/>
      </c>
      <c r="BL337" s="4">
        <f>MAX(0,MIN(100,BK337+BH337+BI337))</f>
        <v/>
      </c>
      <c r="BM337" s="3">
        <f>MAX(0,MIN(100,50+BE337*PRECIO_PEND))</f>
        <v/>
      </c>
      <c r="BN337" s="3">
        <f>MAX(0,100*(1-N337/KM_MAX))</f>
        <v/>
      </c>
      <c r="BO337" s="3">
        <f>IF(AV337&lt;KMA_SOSP,IF(AA337="sí",100,KMA_PEN),IF(AV337&lt;=KMA_IDEAL_MAX,100,MAX(0,100*(KMA_CERO-AV337)/(KMA_CERO-KMA_IDEAL_MAX))))</f>
        <v/>
      </c>
      <c r="BP337" s="3">
        <f>MAX(0,MIN(100,100*(M337-ANIO_MIN)/(ANIO_ACTUAL-ANIO_MIN)))</f>
        <v/>
      </c>
      <c r="BQ337" s="3">
        <f>W_KMT*BN337+W_KMA*BO337+W_EDAD*BP337</f>
        <v/>
      </c>
      <c r="BR337" s="3">
        <f>P_ITV*(V337="sí")+P_LIBRO*(W337="sí")+P_CORREA*(X337="sí")+P_PROP*(Y337=1)+P_GAR*(Z337="sí")+P_FOTOS*MIN(1,N(U337)/FOTOS_OBJ)</f>
        <v/>
      </c>
      <c r="BS337" s="3">
        <f>IFERROR(VLOOKUP(BF337,ETQ_TBL,2,0),NEUTRO)</f>
        <v/>
      </c>
      <c r="BT337" s="3">
        <f>NEUTRO</f>
        <v/>
      </c>
      <c r="BU337" s="3">
        <f>IFERROR(VLOOKUP(L337,SEGURO_TBL,3,0),"")</f>
        <v/>
      </c>
      <c r="BV337" s="3">
        <f>IF(BU337="",NEUTRO,MAX(0,MIN(100,100*(SEG_REF_MAX-BU337)/(SEG_REF_MAX-SEG_REF_MIN))))</f>
        <v/>
      </c>
      <c r="BW337" s="3">
        <f>W_ET*BS337+W_CONS*BT337+W_SEG*BV337</f>
        <v/>
      </c>
      <c r="BX337" s="3">
        <f>IF(N(AB337)&gt;0,AB337,IF(AND(R337="profesional",SG_LEGAL_ON=1),GAR_LEGAL,0))</f>
        <v/>
      </c>
      <c r="BY337" s="3">
        <f>SG_GAR*MIN(1,BX337/SG_GAR_FULL)+SG_AMPL*(AC337="sí")+SG_KMC*(AF337="sí")+SG_REV*(N(AE337)&gt;0)+SG_DEV*MIN(1,N(AG337)/SG_DEV_FULL)+SG_HIST*(W337="sí")</f>
        <v/>
      </c>
      <c r="BZ337" s="3">
        <f>IFERROR(VLOOKUP(L337,CARR_PEN_TBL,2,0),0)</f>
        <v/>
      </c>
      <c r="CA337" s="3">
        <f>W_FIAB*BL337+W_PRECIO*BM337+W_KMEDAD*BQ337+W_ANUNCIO*BR337+W_USO*BW337+W_SEGURIDAD*BY337-BZ337</f>
        <v/>
      </c>
      <c r="CB337" s="4">
        <f>IF(N(I337)&gt;0,I337,IFERROR(ROUND(_xlfn.NUMBERVALUE(LEFT(G337,FIND(" ",G337&amp;" ")-1),".")*1000,0),99999))</f>
        <v/>
      </c>
      <c r="CC337" s="3">
        <f>IF(R337="profesional",0,IF(O337&lt;CUOTA_VALOR_MAX,IF(AU337&gt;ITP_TRAMO_ALTO,SUMIFS(CF_CUOTA,CF_MAS,ITP_TRAMO_ALTO,CF_CCMIN,"&lt;="&amp;CB337,CF_CCMAX,"&gt;="&amp;CB337),IF(AU337&gt;ITP_TRAMO_BAJO,SUMIFS(CF_CUOTA,CF_MAS,ITP_TRAMO_BAJO,CF_CCMIN,"&lt;="&amp;CB337,CF_CCMAX,"&gt;="&amp;CB337),O337*ITP_TIPO)),O337*ITP_TIPO))</f>
        <v/>
      </c>
      <c r="CD337" s="4">
        <f>IF(R337="profesional",N(AK337),0)</f>
        <v/>
      </c>
      <c r="CE337" s="3">
        <f>IF(AND(R337="profesional",ISNUMBER(AK337),AL337="sí"),0,TASA_DGT)</f>
        <v/>
      </c>
      <c r="CF337" s="3">
        <f>INFORME_DGT</f>
        <v/>
      </c>
      <c r="CG337" s="4">
        <f>O337+CD337+CC337+CE337+CF337</f>
        <v/>
      </c>
      <c r="CH337" s="4">
        <f>CG337+N(BU337)</f>
        <v/>
      </c>
      <c r="CI337" s="3">
        <f>IF(CG337&lt;=TOTAL_MAX,"sí",IF(CG337&lt;=TOTAL_MAX+MARGEN_NEG,"negociar","no"))</f>
        <v/>
      </c>
      <c r="CJ337" s="4">
        <f>IF(CI337&lt;&gt;"no",COUNTIFS($CI$2:$CI$662,"&lt;&gt;no",$CA$2:$CA$662,"&gt;"&amp;CA337)+COUNTIFS($CI$2:CI337,"&lt;&gt;no",$CA$2:CA337,CA337),"")</f>
        <v/>
      </c>
    </row>
    <row r="338">
      <c r="A338" s="2" t="inlineStr">
        <is>
          <t>wallapop:1316981731</t>
        </is>
      </c>
      <c r="B338" s="2" t="inlineStr">
        <is>
          <t>wallapop</t>
        </is>
      </c>
      <c r="C338" s="2" t="inlineStr">
        <is>
          <t>https://es.wallapop.com/item/renault-clio-2007-1316981731</t>
        </is>
      </c>
      <c r="D338" s="2" t="inlineStr">
        <is>
          <t>Renault Clio 2007</t>
        </is>
      </c>
      <c r="E338" s="2" t="inlineStr">
        <is>
          <t>Renault</t>
        </is>
      </c>
      <c r="F338" s="2" t="inlineStr">
        <is>
          <t>Renault Clio</t>
        </is>
      </c>
      <c r="G338" s="2" t="inlineStr">
        <is>
          <t>1.5 dCi</t>
        </is>
      </c>
      <c r="H338" s="2" t="inlineStr">
        <is>
          <t>1.5 dCi 70 eco2 Rip Curl 5p</t>
        </is>
      </c>
      <c r="I338" s="2" t="n"/>
      <c r="J338" s="2" t="n">
        <v>70</v>
      </c>
      <c r="K338" s="2" t="inlineStr">
        <is>
          <t>diesel</t>
        </is>
      </c>
      <c r="L338" s="2" t="inlineStr">
        <is>
          <t>utilitario</t>
        </is>
      </c>
      <c r="M338" s="2" t="n">
        <v>2007</v>
      </c>
      <c r="N338" s="2" t="n">
        <v>117800</v>
      </c>
      <c r="O338" s="2" t="n">
        <v>3500</v>
      </c>
      <c r="P338" s="2" t="inlineStr">
        <is>
          <t>manual</t>
        </is>
      </c>
      <c r="Q338" s="2" t="inlineStr">
        <is>
          <t>no</t>
        </is>
      </c>
      <c r="R338" s="2" t="inlineStr">
        <is>
          <t>particular</t>
        </is>
      </c>
      <c r="S338" s="2" t="inlineStr">
        <is>
          <t>Valencia (46008)</t>
        </is>
      </c>
      <c r="T338" s="2" t="inlineStr">
        <is>
          <t>2026-10-26T13:08:37</t>
        </is>
      </c>
      <c r="U338" s="2" t="n">
        <v>7</v>
      </c>
      <c r="V338" s="2" t="n"/>
      <c r="W338" s="2" t="n"/>
      <c r="X338" s="2" t="n"/>
      <c r="Y338" s="2" t="n">
        <v>1</v>
      </c>
      <c r="Z338" s="2" t="n"/>
      <c r="AA338" s="2" t="n"/>
      <c r="AB338" s="2" t="n"/>
      <c r="AC338" s="2" t="n"/>
      <c r="AD338" s="2" t="n"/>
      <c r="AE338" s="2" t="n"/>
      <c r="AF338" s="2" t="n"/>
      <c r="AG338" s="2" t="n"/>
      <c r="AH338" s="2" t="n"/>
      <c r="AI338" s="2" t="n"/>
      <c r="AJ338" s="2" t="n"/>
      <c r="AK338" s="2" t="n"/>
      <c r="AL338" s="2" t="n"/>
      <c r="AM338" s="2" t="n">
        <v>1.2</v>
      </c>
      <c r="AN338" s="2" t="n">
        <v>3500</v>
      </c>
      <c r="AO338" s="2" t="n">
        <v>7</v>
      </c>
      <c r="AP338" s="2" t="inlineStr">
        <is>
          <t>modelo+año+km</t>
        </is>
      </c>
      <c r="AQ338" s="2" t="n"/>
      <c r="AR338" s="2" t="inlineStr">
        <is>
          <t>cuota fija ITP: &gt;12 años, hasta 1.500 cc</t>
        </is>
      </c>
      <c r="AS338" s="2" t="inlineStr">
        <is>
          <t>Poco consumo, 5 puertas, llantas, un solo propietario, conductora mujer de 79 años, itv y revisión recién pasada.</t>
        </is>
      </c>
      <c r="AT338" s="2" t="inlineStr">
        <is>
          <t>https://es.wallapop.com/item/renault-clio-2007-1316981731 (__NEXT_DATA__ item) /home/user/Alopecia/buscador-coches/raw/wallapop/3be962ee9eba468c.json</t>
        </is>
      </c>
      <c r="AU338" s="3">
        <f>MAX(ANIO_ACTUAL-M338,0)</f>
        <v/>
      </c>
      <c r="AV338" s="4">
        <f>N338/MAX(AU338,0.5)</f>
        <v/>
      </c>
      <c r="AW338" s="4">
        <f>F338</f>
        <v/>
      </c>
      <c r="AX338" s="3">
        <f>AW338&amp;"|"&amp;INT(M338/SEG_ANIO)*SEG_ANIO</f>
        <v/>
      </c>
      <c r="AY338" s="3">
        <f>AX338&amp;"|"&amp;INT(N338/SEG_KM)*SEG_KM</f>
        <v/>
      </c>
      <c r="AZ338" s="4">
        <f>COUNTIF($AW$2:$AW$662,AW338)</f>
        <v/>
      </c>
      <c r="BA338" s="4">
        <f>COUNTIF($AX$2:$AX$662,AX338)</f>
        <v/>
      </c>
      <c r="BB338" s="4">
        <f>COUNTIF($AY$2:$AY$662,AY338)</f>
        <v/>
      </c>
      <c r="BC338" s="3">
        <f t="array" ref="BC338">IF(N(AO338)&gt;=MIN_N,AN338,IF(BB338&gt;=MIN_N,MEDIAN(IF($AY$2:$AY$662=AY338,$O$2:$O$662)),IF(BA338&gt;=MIN_N,MEDIAN(IF($AX$2:$AX$662=AX338,$O$2:$O$662)),MEDIAN(IF($AW$2:$AW$662=AW338,$O$2:$O$662)))))</f>
        <v/>
      </c>
      <c r="BD338" s="3">
        <f>IF(N(AO338)&gt;=MIN_N,"mercado "&amp;AP338,IF(BB338&gt;=MIN_N,"modelo+año+km",IF(BA338&gt;=MIN_N,"modelo+año","modelo")))</f>
        <v/>
      </c>
      <c r="BE338" s="4">
        <f>(BC338-O338)/BC338</f>
        <v/>
      </c>
      <c r="BF338" s="3">
        <f>IF(OR(K338="hibrido",K338="glp"),"ECO",IF(K338="electrico","CERO",IF(K338="gasolina",IF(M338&gt;=GAS_C,"C",IF(M338&gt;=GAS_B,"B","A")),IF(K338="diesel",IF(M338&gt;=DIE_C,"C",IF(M338&gt;=DIE_B,"B","A")),""))))</f>
        <v/>
      </c>
      <c r="BG338" s="3">
        <f>IFERROR(VLOOKUP(F338,MOD_TBL,11,0),IFERROR(VLOOKUP(E338,OCU_TBL,2,0),NEUTRO))</f>
        <v/>
      </c>
      <c r="BH338" s="3">
        <f>SUMIFS(MOT_AJUSTE,MOT_MOTOR,G338,MOT_MARCA,E338,MOT_DESDE,"&lt;="&amp;M338,MOT_HASTA,"&gt;="&amp;M338)+SUMIFS(MOT_AJUSTE,MOT_MOTOR,G338,MOT_MARCA,"(todas)",MOT_DESDE,"&lt;="&amp;M338,MOT_HASTA,"&gt;="&amp;M338)</f>
        <v/>
      </c>
      <c r="BI338" s="3">
        <f>SUMIFS(COMB_AJUSTE,COMB_COMB,K338)</f>
        <v/>
      </c>
      <c r="BJ338" s="3">
        <f>COUNTIFS(MOT_MOTOR,G338,MOT_MARCA,E338,MOT_DESDE,"&lt;="&amp;M338,MOT_HASTA,"&gt;="&amp;M338)+COUNTIFS(MOT_MOTOR,G338,MOT_MARCA,"(todas)",MOT_DESDE,"&lt;="&amp;M338,MOT_HASTA,"&gt;="&amp;M338)</f>
        <v/>
      </c>
      <c r="BK338" s="3">
        <f>IF(AND(K338="diesel",BJ338=0),MIN(BG338,NEUTRO),BG338)</f>
        <v/>
      </c>
      <c r="BL338" s="4">
        <f>MAX(0,MIN(100,BK338+BH338+BI338))</f>
        <v/>
      </c>
      <c r="BM338" s="3">
        <f>MAX(0,MIN(100,50+BE338*PRECIO_PEND))</f>
        <v/>
      </c>
      <c r="BN338" s="3">
        <f>MAX(0,100*(1-N338/KM_MAX))</f>
        <v/>
      </c>
      <c r="BO338" s="3">
        <f>IF(AV338&lt;KMA_SOSP,IF(AA338="sí",100,KMA_PEN),IF(AV338&lt;=KMA_IDEAL_MAX,100,MAX(0,100*(KMA_CERO-AV338)/(KMA_CERO-KMA_IDEAL_MAX))))</f>
        <v/>
      </c>
      <c r="BP338" s="3">
        <f>MAX(0,MIN(100,100*(M338-ANIO_MIN)/(ANIO_ACTUAL-ANIO_MIN)))</f>
        <v/>
      </c>
      <c r="BQ338" s="3">
        <f>W_KMT*BN338+W_KMA*BO338+W_EDAD*BP338</f>
        <v/>
      </c>
      <c r="BR338" s="3">
        <f>P_ITV*(V338="sí")+P_LIBRO*(W338="sí")+P_CORREA*(X338="sí")+P_PROP*(Y338=1)+P_GAR*(Z338="sí")+P_FOTOS*MIN(1,N(U338)/FOTOS_OBJ)</f>
        <v/>
      </c>
      <c r="BS338" s="3">
        <f>IFERROR(VLOOKUP(BF338,ETQ_TBL,2,0),NEUTRO)</f>
        <v/>
      </c>
      <c r="BT338" s="3">
        <f>NEUTRO</f>
        <v/>
      </c>
      <c r="BU338" s="3">
        <f>IFERROR(VLOOKUP(L338,SEGURO_TBL,3,0),"")</f>
        <v/>
      </c>
      <c r="BV338" s="3">
        <f>IF(BU338="",NEUTRO,MAX(0,MIN(100,100*(SEG_REF_MAX-BU338)/(SEG_REF_MAX-SEG_REF_MIN))))</f>
        <v/>
      </c>
      <c r="BW338" s="3">
        <f>W_ET*BS338+W_CONS*BT338+W_SEG*BV338</f>
        <v/>
      </c>
      <c r="BX338" s="3">
        <f>IF(N(AB338)&gt;0,AB338,IF(AND(R338="profesional",SG_LEGAL_ON=1),GAR_LEGAL,0))</f>
        <v/>
      </c>
      <c r="BY338" s="3">
        <f>SG_GAR*MIN(1,BX338/SG_GAR_FULL)+SG_AMPL*(AC338="sí")+SG_KMC*(AF338="sí")+SG_REV*(N(AE338)&gt;0)+SG_DEV*MIN(1,N(AG338)/SG_DEV_FULL)+SG_HIST*(W338="sí")</f>
        <v/>
      </c>
      <c r="BZ338" s="3">
        <f>IFERROR(VLOOKUP(L338,CARR_PEN_TBL,2,0),0)</f>
        <v/>
      </c>
      <c r="CA338" s="3">
        <f>W_FIAB*BL338+W_PRECIO*BM338+W_KMEDAD*BQ338+W_ANUNCIO*BR338+W_USO*BW338+W_SEGURIDAD*BY338-BZ338</f>
        <v/>
      </c>
      <c r="CB338" s="4">
        <f>IF(N(I338)&gt;0,I338,IFERROR(ROUND(_xlfn.NUMBERVALUE(LEFT(G338,FIND(" ",G338&amp;" ")-1),".")*1000,0),99999))</f>
        <v/>
      </c>
      <c r="CC338" s="3">
        <f>IF(R338="profesional",0,IF(O338&lt;CUOTA_VALOR_MAX,IF(AU338&gt;ITP_TRAMO_ALTO,SUMIFS(CF_CUOTA,CF_MAS,ITP_TRAMO_ALTO,CF_CCMIN,"&lt;="&amp;CB338,CF_CCMAX,"&gt;="&amp;CB338),IF(AU338&gt;ITP_TRAMO_BAJO,SUMIFS(CF_CUOTA,CF_MAS,ITP_TRAMO_BAJO,CF_CCMIN,"&lt;="&amp;CB338,CF_CCMAX,"&gt;="&amp;CB338),O338*ITP_TIPO)),O338*ITP_TIPO))</f>
        <v/>
      </c>
      <c r="CD338" s="4">
        <f>IF(R338="profesional",N(AK338),0)</f>
        <v/>
      </c>
      <c r="CE338" s="3">
        <f>IF(AND(R338="profesional",ISNUMBER(AK338),AL338="sí"),0,TASA_DGT)</f>
        <v/>
      </c>
      <c r="CF338" s="3">
        <f>INFORME_DGT</f>
        <v/>
      </c>
      <c r="CG338" s="4">
        <f>O338+CD338+CC338+CE338+CF338</f>
        <v/>
      </c>
      <c r="CH338" s="4">
        <f>CG338+N(BU338)</f>
        <v/>
      </c>
      <c r="CI338" s="3">
        <f>IF(CG338&lt;=TOTAL_MAX,"sí",IF(CG338&lt;=TOTAL_MAX+MARGEN_NEG,"negociar","no"))</f>
        <v/>
      </c>
      <c r="CJ338" s="4">
        <f>IF(CI338&lt;&gt;"no",COUNTIFS($CI$2:$CI$662,"&lt;&gt;no",$CA$2:$CA$662,"&gt;"&amp;CA338)+COUNTIFS($CI$2:CI338,"&lt;&gt;no",$CA$2:CA338,CA338),"")</f>
        <v/>
      </c>
    </row>
    <row r="339">
      <c r="A339" s="2" t="inlineStr">
        <is>
          <t>wallapop:1314881088</t>
        </is>
      </c>
      <c r="B339" s="2" t="inlineStr">
        <is>
          <t>wallapop</t>
        </is>
      </c>
      <c r="C339" s="2" t="inlineStr">
        <is>
          <t>https://es.wallapop.com/item/renault-clio-1-6-16v-exception2-auto-82-kw-110-cv-1314881088</t>
        </is>
      </c>
      <c r="D339" s="2" t="inlineStr">
        <is>
          <t>Renault Clio 1.6 16v Exception2 Auto 82 kW (110 CV)</t>
        </is>
      </c>
      <c r="E339" s="2" t="inlineStr">
        <is>
          <t>Renault</t>
        </is>
      </c>
      <c r="F339" s="2" t="inlineStr">
        <is>
          <t>Renault Clio</t>
        </is>
      </c>
      <c r="G339" s="2" t="inlineStr">
        <is>
          <t>1.6</t>
        </is>
      </c>
      <c r="H339" s="2" t="inlineStr">
        <is>
          <t>1.6 16v Exception2 Auto 82 kW (110 CV)</t>
        </is>
      </c>
      <c r="I339" s="2" t="n"/>
      <c r="J339" s="2" t="n">
        <v>110</v>
      </c>
      <c r="K339" s="2" t="inlineStr">
        <is>
          <t>gasolina</t>
        </is>
      </c>
      <c r="L339" s="2" t="inlineStr">
        <is>
          <t>utilitario</t>
        </is>
      </c>
      <c r="M339" s="2" t="n">
        <v>2008</v>
      </c>
      <c r="N339" s="2" t="n">
        <v>131878</v>
      </c>
      <c r="O339" s="2" t="n">
        <v>4200</v>
      </c>
      <c r="P339" s="2" t="inlineStr">
        <is>
          <t>automatico</t>
        </is>
      </c>
      <c r="Q339" s="2" t="inlineStr">
        <is>
          <t>sí</t>
        </is>
      </c>
      <c r="R339" s="2" t="inlineStr">
        <is>
          <t>profesional</t>
        </is>
      </c>
      <c r="S339" s="2" t="inlineStr">
        <is>
          <t>Paterna (46980)</t>
        </is>
      </c>
      <c r="T339" s="2" t="inlineStr">
        <is>
          <t>2026-10-26T11:25:51</t>
        </is>
      </c>
      <c r="U339" s="2" t="n">
        <v>11</v>
      </c>
      <c r="V339" s="2" t="n"/>
      <c r="W339" s="2" t="n"/>
      <c r="X339" s="2" t="n"/>
      <c r="Y339" s="2" t="n"/>
      <c r="Z339" s="2" t="inlineStr">
        <is>
          <t>sí</t>
        </is>
      </c>
      <c r="AA339" s="2" t="n"/>
      <c r="AB339" s="2" t="n"/>
      <c r="AC339" s="2" t="n"/>
      <c r="AD339" s="2" t="n"/>
      <c r="AE339" s="2" t="n"/>
      <c r="AF339" s="2" t="inlineStr">
        <is>
          <t>sí</t>
        </is>
      </c>
      <c r="AG339" s="2" t="n"/>
      <c r="AH339" s="2" t="n"/>
      <c r="AI339" s="2" t="n"/>
      <c r="AJ339" s="2" t="n"/>
      <c r="AK339" s="2" t="n"/>
      <c r="AL339" s="2" t="n"/>
      <c r="AM339" s="2" t="n">
        <v>6.4</v>
      </c>
      <c r="AN339" s="2" t="n">
        <v>3500</v>
      </c>
      <c r="AO339" s="2" t="n">
        <v>7</v>
      </c>
      <c r="AP339" s="2" t="inlineStr">
        <is>
          <t>modelo+año+km</t>
        </is>
      </c>
      <c r="AQ339" s="2" t="inlineStr">
        <is>
          <t>wallapop:1314880814 (https://es.wallapop.com/item/renault-clio-1-6-16v-exception2-auto-82-kw-110-cv-1314880814)</t>
        </is>
      </c>
      <c r="AR339" s="2" t="inlineStr">
        <is>
          <t>vendedor profesional: sin ITP (operación con IVA/REBU, confirmar en factura); gastos de gestión del vendedor no indicados: se suma la tasa DGT; preguntar el precio final</t>
        </is>
      </c>
      <c r="AS339" s="2" t="inlineStr">
        <is>
          <t>Ref.199411564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Ayuda aparcamiento, Control de velocidad, Limitador de velocidad, Aire Acondicionado (Climatizador), Arranque por botón,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39" s="2" t="inlineStr">
        <is>
          <t>https://es.wallapop.com/item/renault-clio-1-6-16v-exception2-auto-82-kw-110-cv-1314881088 (__NEXT_DATA__ item) /home/user/Alopecia/buscador-coches/raw/wallapop/1112c3ecfdaf507a.json</t>
        </is>
      </c>
      <c r="AU339" s="3">
        <f>MAX(ANIO_ACTUAL-M339,0)</f>
        <v/>
      </c>
      <c r="AV339" s="4">
        <f>N339/MAX(AU339,0.5)</f>
        <v/>
      </c>
      <c r="AW339" s="4">
        <f>F339</f>
        <v/>
      </c>
      <c r="AX339" s="3">
        <f>AW339&amp;"|"&amp;INT(M339/SEG_ANIO)*SEG_ANIO</f>
        <v/>
      </c>
      <c r="AY339" s="3">
        <f>AX339&amp;"|"&amp;INT(N339/SEG_KM)*SEG_KM</f>
        <v/>
      </c>
      <c r="AZ339" s="4">
        <f>COUNTIF($AW$2:$AW$662,AW339)</f>
        <v/>
      </c>
      <c r="BA339" s="4">
        <f>COUNTIF($AX$2:$AX$662,AX339)</f>
        <v/>
      </c>
      <c r="BB339" s="4">
        <f>COUNTIF($AY$2:$AY$662,AY339)</f>
        <v/>
      </c>
      <c r="BC339" s="3">
        <f t="array" ref="BC339">IF(N(AO339)&gt;=MIN_N,AN339,IF(BB339&gt;=MIN_N,MEDIAN(IF($AY$2:$AY$662=AY339,$O$2:$O$662)),IF(BA339&gt;=MIN_N,MEDIAN(IF($AX$2:$AX$662=AX339,$O$2:$O$662)),MEDIAN(IF($AW$2:$AW$662=AW339,$O$2:$O$662)))))</f>
        <v/>
      </c>
      <c r="BD339" s="3">
        <f>IF(N(AO339)&gt;=MIN_N,"mercado "&amp;AP339,IF(BB339&gt;=MIN_N,"modelo+año+km",IF(BA339&gt;=MIN_N,"modelo+año","modelo")))</f>
        <v/>
      </c>
      <c r="BE339" s="4">
        <f>(BC339-O339)/BC339</f>
        <v/>
      </c>
      <c r="BF339" s="3">
        <f>IF(OR(K339="hibrido",K339="glp"),"ECO",IF(K339="electrico","CERO",IF(K339="gasolina",IF(M339&gt;=GAS_C,"C",IF(M339&gt;=GAS_B,"B","A")),IF(K339="diesel",IF(M339&gt;=DIE_C,"C",IF(M339&gt;=DIE_B,"B","A")),""))))</f>
        <v/>
      </c>
      <c r="BG339" s="3">
        <f>IFERROR(VLOOKUP(F339,MOD_TBL,11,0),IFERROR(VLOOKUP(E339,OCU_TBL,2,0),NEUTRO))</f>
        <v/>
      </c>
      <c r="BH339" s="3">
        <f>SUMIFS(MOT_AJUSTE,MOT_MOTOR,G339,MOT_MARCA,E339,MOT_DESDE,"&lt;="&amp;M339,MOT_HASTA,"&gt;="&amp;M339)+SUMIFS(MOT_AJUSTE,MOT_MOTOR,G339,MOT_MARCA,"(todas)",MOT_DESDE,"&lt;="&amp;M339,MOT_HASTA,"&gt;="&amp;M339)</f>
        <v/>
      </c>
      <c r="BI339" s="3">
        <f>SUMIFS(COMB_AJUSTE,COMB_COMB,K339)</f>
        <v/>
      </c>
      <c r="BJ339" s="3">
        <f>COUNTIFS(MOT_MOTOR,G339,MOT_MARCA,E339,MOT_DESDE,"&lt;="&amp;M339,MOT_HASTA,"&gt;="&amp;M339)+COUNTIFS(MOT_MOTOR,G339,MOT_MARCA,"(todas)",MOT_DESDE,"&lt;="&amp;M339,MOT_HASTA,"&gt;="&amp;M339)</f>
        <v/>
      </c>
      <c r="BK339" s="3">
        <f>IF(AND(K339="diesel",BJ339=0),MIN(BG339,NEUTRO),BG339)</f>
        <v/>
      </c>
      <c r="BL339" s="4">
        <f>MAX(0,MIN(100,BK339+BH339+BI339))</f>
        <v/>
      </c>
      <c r="BM339" s="3">
        <f>MAX(0,MIN(100,50+BE339*PRECIO_PEND))</f>
        <v/>
      </c>
      <c r="BN339" s="3">
        <f>MAX(0,100*(1-N339/KM_MAX))</f>
        <v/>
      </c>
      <c r="BO339" s="3">
        <f>IF(AV339&lt;KMA_SOSP,IF(AA339="sí",100,KMA_PEN),IF(AV339&lt;=KMA_IDEAL_MAX,100,MAX(0,100*(KMA_CERO-AV339)/(KMA_CERO-KMA_IDEAL_MAX))))</f>
        <v/>
      </c>
      <c r="BP339" s="3">
        <f>MAX(0,MIN(100,100*(M339-ANIO_MIN)/(ANIO_ACTUAL-ANIO_MIN)))</f>
        <v/>
      </c>
      <c r="BQ339" s="3">
        <f>W_KMT*BN339+W_KMA*BO339+W_EDAD*BP339</f>
        <v/>
      </c>
      <c r="BR339" s="3">
        <f>P_ITV*(V339="sí")+P_LIBRO*(W339="sí")+P_CORREA*(X339="sí")+P_PROP*(Y339=1)+P_GAR*(Z339="sí")+P_FOTOS*MIN(1,N(U339)/FOTOS_OBJ)</f>
        <v/>
      </c>
      <c r="BS339" s="3">
        <f>IFERROR(VLOOKUP(BF339,ETQ_TBL,2,0),NEUTRO)</f>
        <v/>
      </c>
      <c r="BT339" s="3">
        <f>NEUTRO</f>
        <v/>
      </c>
      <c r="BU339" s="3">
        <f>IFERROR(VLOOKUP(L339,SEGURO_TBL,3,0),"")</f>
        <v/>
      </c>
      <c r="BV339" s="3">
        <f>IF(BU339="",NEUTRO,MAX(0,MIN(100,100*(SEG_REF_MAX-BU339)/(SEG_REF_MAX-SEG_REF_MIN))))</f>
        <v/>
      </c>
      <c r="BW339" s="3">
        <f>W_ET*BS339+W_CONS*BT339+W_SEG*BV339</f>
        <v/>
      </c>
      <c r="BX339" s="3">
        <f>IF(N(AB339)&gt;0,AB339,IF(AND(R339="profesional",SG_LEGAL_ON=1),GAR_LEGAL,0))</f>
        <v/>
      </c>
      <c r="BY339" s="3">
        <f>SG_GAR*MIN(1,BX339/SG_GAR_FULL)+SG_AMPL*(AC339="sí")+SG_KMC*(AF339="sí")+SG_REV*(N(AE339)&gt;0)+SG_DEV*MIN(1,N(AG339)/SG_DEV_FULL)+SG_HIST*(W339="sí")</f>
        <v/>
      </c>
      <c r="BZ339" s="3">
        <f>IFERROR(VLOOKUP(L339,CARR_PEN_TBL,2,0),0)</f>
        <v/>
      </c>
      <c r="CA339" s="3">
        <f>W_FIAB*BL339+W_PRECIO*BM339+W_KMEDAD*BQ339+W_ANUNCIO*BR339+W_USO*BW339+W_SEGURIDAD*BY339-BZ339</f>
        <v/>
      </c>
      <c r="CB339" s="4">
        <f>IF(N(I339)&gt;0,I339,IFERROR(ROUND(_xlfn.NUMBERVALUE(LEFT(G339,FIND(" ",G339&amp;" ")-1),".")*1000,0),99999))</f>
        <v/>
      </c>
      <c r="CC339" s="3">
        <f>IF(R339="profesional",0,IF(O339&lt;CUOTA_VALOR_MAX,IF(AU339&gt;ITP_TRAMO_ALTO,SUMIFS(CF_CUOTA,CF_MAS,ITP_TRAMO_ALTO,CF_CCMIN,"&lt;="&amp;CB339,CF_CCMAX,"&gt;="&amp;CB339),IF(AU339&gt;ITP_TRAMO_BAJO,SUMIFS(CF_CUOTA,CF_MAS,ITP_TRAMO_BAJO,CF_CCMIN,"&lt;="&amp;CB339,CF_CCMAX,"&gt;="&amp;CB339),O339*ITP_TIPO)),O339*ITP_TIPO))</f>
        <v/>
      </c>
      <c r="CD339" s="4">
        <f>IF(R339="profesional",N(AK339),0)</f>
        <v/>
      </c>
      <c r="CE339" s="3">
        <f>IF(AND(R339="profesional",ISNUMBER(AK339),AL339="sí"),0,TASA_DGT)</f>
        <v/>
      </c>
      <c r="CF339" s="3">
        <f>INFORME_DGT</f>
        <v/>
      </c>
      <c r="CG339" s="4">
        <f>O339+CD339+CC339+CE339+CF339</f>
        <v/>
      </c>
      <c r="CH339" s="4">
        <f>CG339+N(BU339)</f>
        <v/>
      </c>
      <c r="CI339" s="3">
        <f>IF(CG339&lt;=TOTAL_MAX,"sí",IF(CG339&lt;=TOTAL_MAX+MARGEN_NEG,"negociar","no"))</f>
        <v/>
      </c>
      <c r="CJ339" s="4">
        <f>IF(CI339&lt;&gt;"no",COUNTIFS($CI$2:$CI$662,"&lt;&gt;no",$CA$2:$CA$662,"&gt;"&amp;CA339)+COUNTIFS($CI$2:CI339,"&lt;&gt;no",$CA$2:CA339,CA339),"")</f>
        <v/>
      </c>
    </row>
    <row r="340">
      <c r="A340" s="2" t="inlineStr">
        <is>
          <t>wallapop:1284104067</t>
        </is>
      </c>
      <c r="B340" s="2" t="inlineStr">
        <is>
          <t>wallapop</t>
        </is>
      </c>
      <c r="C340" s="2" t="inlineStr">
        <is>
          <t>https://es.wallapop.com/item/renault-clio-2008-1284104067</t>
        </is>
      </c>
      <c r="D340" s="2" t="inlineStr">
        <is>
          <t>Renault Clio 2008</t>
        </is>
      </c>
      <c r="E340" s="2" t="inlineStr">
        <is>
          <t>Renault</t>
        </is>
      </c>
      <c r="F340" s="2" t="inlineStr">
        <is>
          <t>Renault Clio</t>
        </is>
      </c>
      <c r="G340" s="2" t="inlineStr">
        <is>
          <t>1.2</t>
        </is>
      </c>
      <c r="H340" s="2" t="inlineStr">
        <is>
          <t>1.2 16v 75 eco2 Style 5p</t>
        </is>
      </c>
      <c r="I340" s="2" t="n"/>
      <c r="J340" s="2" t="n">
        <v>75</v>
      </c>
      <c r="K340" s="2" t="inlineStr">
        <is>
          <t>gasolina</t>
        </is>
      </c>
      <c r="L340" s="2" t="inlineStr">
        <is>
          <t>utilitario</t>
        </is>
      </c>
      <c r="M340" s="2" t="n">
        <v>2008</v>
      </c>
      <c r="N340" s="2" t="n">
        <v>199257</v>
      </c>
      <c r="O340" s="2" t="n">
        <v>2950</v>
      </c>
      <c r="P340" s="2" t="inlineStr">
        <is>
          <t>manual</t>
        </is>
      </c>
      <c r="Q340" s="2" t="inlineStr">
        <is>
          <t>no</t>
        </is>
      </c>
      <c r="R340" s="2" t="inlineStr">
        <is>
          <t>particular</t>
        </is>
      </c>
      <c r="S340" s="2" t="inlineStr">
        <is>
          <t>Sagunt/Sagunto (46500)</t>
        </is>
      </c>
      <c r="T340" s="2" t="inlineStr">
        <is>
          <t>2026-10-29T07:10:04</t>
        </is>
      </c>
      <c r="U340" s="2" t="n">
        <v>9</v>
      </c>
      <c r="V340" s="2" t="n"/>
      <c r="W340" s="2" t="inlineStr">
        <is>
          <t>sí</t>
        </is>
      </c>
      <c r="X340" s="2" t="n"/>
      <c r="Y340" s="2" t="n"/>
      <c r="Z340" s="2" t="n"/>
      <c r="AA340" s="2" t="n"/>
      <c r="AB340" s="2" t="n"/>
      <c r="AC340" s="2" t="n"/>
      <c r="AD340" s="2" t="n"/>
      <c r="AE340" s="2" t="n"/>
      <c r="AF340" s="2" t="n"/>
      <c r="AG340" s="2" t="n"/>
      <c r="AH340" s="2" t="n"/>
      <c r="AI340" s="2" t="n"/>
      <c r="AJ340" s="2" t="n"/>
      <c r="AK340" s="2" t="n"/>
      <c r="AL340" s="2" t="n"/>
      <c r="AM340" s="2" t="n">
        <v>25.2</v>
      </c>
      <c r="AN340" s="2" t="n">
        <v>3470</v>
      </c>
      <c r="AO340" s="2" t="n">
        <v>4</v>
      </c>
      <c r="AP340" s="2" t="inlineStr">
        <is>
          <t>modelo+año+km</t>
        </is>
      </c>
      <c r="AQ340" s="2" t="n"/>
      <c r="AR340" s="2" t="inlineStr">
        <is>
          <t>cuota fija ITP: &gt;12 años, hasta 1.500 cc</t>
        </is>
      </c>
      <c r="AS340" s="2" t="inlineStr">
        <is>
          <t>Excelente Renault Clio con libro de mantenimiento detallado. Solo tienes que subirte y conducir. 
Aire acondicionado 
- Todo revisado Julio de 2026
- Historial de mantenimiento 
- El coche está en perfectas condiciones. 
- Ya viene incluido con el nuevo ITV. Actualmente se está matriculando en España. Todavía podemos solicitar la matrícula verde para poder conducirlo.</t>
        </is>
      </c>
      <c r="AT340" s="2" t="inlineStr">
        <is>
          <t>https://es.wallapop.com/item/renault-clio-2008-1284104067 (__NEXT_DATA__ item) /home/user/Alopecia/buscador-coches/raw/wallapop/bba810b602902e25.json</t>
        </is>
      </c>
      <c r="AU340" s="3">
        <f>MAX(ANIO_ACTUAL-M340,0)</f>
        <v/>
      </c>
      <c r="AV340" s="4">
        <f>N340/MAX(AU340,0.5)</f>
        <v/>
      </c>
      <c r="AW340" s="4">
        <f>F340</f>
        <v/>
      </c>
      <c r="AX340" s="3">
        <f>AW340&amp;"|"&amp;INT(M340/SEG_ANIO)*SEG_ANIO</f>
        <v/>
      </c>
      <c r="AY340" s="3">
        <f>AX340&amp;"|"&amp;INT(N340/SEG_KM)*SEG_KM</f>
        <v/>
      </c>
      <c r="AZ340" s="4">
        <f>COUNTIF($AW$2:$AW$662,AW340)</f>
        <v/>
      </c>
      <c r="BA340" s="4">
        <f>COUNTIF($AX$2:$AX$662,AX340)</f>
        <v/>
      </c>
      <c r="BB340" s="4">
        <f>COUNTIF($AY$2:$AY$662,AY340)</f>
        <v/>
      </c>
      <c r="BC340" s="3">
        <f t="array" ref="BC340">IF(N(AO340)&gt;=MIN_N,AN340,IF(BB340&gt;=MIN_N,MEDIAN(IF($AY$2:$AY$662=AY340,$O$2:$O$662)),IF(BA340&gt;=MIN_N,MEDIAN(IF($AX$2:$AX$662=AX340,$O$2:$O$662)),MEDIAN(IF($AW$2:$AW$662=AW340,$O$2:$O$662)))))</f>
        <v/>
      </c>
      <c r="BD340" s="3">
        <f>IF(N(AO340)&gt;=MIN_N,"mercado "&amp;AP340,IF(BB340&gt;=MIN_N,"modelo+año+km",IF(BA340&gt;=MIN_N,"modelo+año","modelo")))</f>
        <v/>
      </c>
      <c r="BE340" s="4">
        <f>(BC340-O340)/BC340</f>
        <v/>
      </c>
      <c r="BF340" s="3">
        <f>IF(OR(K340="hibrido",K340="glp"),"ECO",IF(K340="electrico","CERO",IF(K340="gasolina",IF(M340&gt;=GAS_C,"C",IF(M340&gt;=GAS_B,"B","A")),IF(K340="diesel",IF(M340&gt;=DIE_C,"C",IF(M340&gt;=DIE_B,"B","A")),""))))</f>
        <v/>
      </c>
      <c r="BG340" s="3">
        <f>IFERROR(VLOOKUP(F340,MOD_TBL,11,0),IFERROR(VLOOKUP(E340,OCU_TBL,2,0),NEUTRO))</f>
        <v/>
      </c>
      <c r="BH340" s="3">
        <f>SUMIFS(MOT_AJUSTE,MOT_MOTOR,G340,MOT_MARCA,E340,MOT_DESDE,"&lt;="&amp;M340,MOT_HASTA,"&gt;="&amp;M340)+SUMIFS(MOT_AJUSTE,MOT_MOTOR,G340,MOT_MARCA,"(todas)",MOT_DESDE,"&lt;="&amp;M340,MOT_HASTA,"&gt;="&amp;M340)</f>
        <v/>
      </c>
      <c r="BI340" s="3">
        <f>SUMIFS(COMB_AJUSTE,COMB_COMB,K340)</f>
        <v/>
      </c>
      <c r="BJ340" s="3">
        <f>COUNTIFS(MOT_MOTOR,G340,MOT_MARCA,E340,MOT_DESDE,"&lt;="&amp;M340,MOT_HASTA,"&gt;="&amp;M340)+COUNTIFS(MOT_MOTOR,G340,MOT_MARCA,"(todas)",MOT_DESDE,"&lt;="&amp;M340,MOT_HASTA,"&gt;="&amp;M340)</f>
        <v/>
      </c>
      <c r="BK340" s="3">
        <f>IF(AND(K340="diesel",BJ340=0),MIN(BG340,NEUTRO),BG340)</f>
        <v/>
      </c>
      <c r="BL340" s="4">
        <f>MAX(0,MIN(100,BK340+BH340+BI340))</f>
        <v/>
      </c>
      <c r="BM340" s="3">
        <f>MAX(0,MIN(100,50+BE340*PRECIO_PEND))</f>
        <v/>
      </c>
      <c r="BN340" s="3">
        <f>MAX(0,100*(1-N340/KM_MAX))</f>
        <v/>
      </c>
      <c r="BO340" s="3">
        <f>IF(AV340&lt;KMA_SOSP,IF(AA340="sí",100,KMA_PEN),IF(AV340&lt;=KMA_IDEAL_MAX,100,MAX(0,100*(KMA_CERO-AV340)/(KMA_CERO-KMA_IDEAL_MAX))))</f>
        <v/>
      </c>
      <c r="BP340" s="3">
        <f>MAX(0,MIN(100,100*(M340-ANIO_MIN)/(ANIO_ACTUAL-ANIO_MIN)))</f>
        <v/>
      </c>
      <c r="BQ340" s="3">
        <f>W_KMT*BN340+W_KMA*BO340+W_EDAD*BP340</f>
        <v/>
      </c>
      <c r="BR340" s="3">
        <f>P_ITV*(V340="sí")+P_LIBRO*(W340="sí")+P_CORREA*(X340="sí")+P_PROP*(Y340=1)+P_GAR*(Z340="sí")+P_FOTOS*MIN(1,N(U340)/FOTOS_OBJ)</f>
        <v/>
      </c>
      <c r="BS340" s="3">
        <f>IFERROR(VLOOKUP(BF340,ETQ_TBL,2,0),NEUTRO)</f>
        <v/>
      </c>
      <c r="BT340" s="3">
        <f>NEUTRO</f>
        <v/>
      </c>
      <c r="BU340" s="3">
        <f>IFERROR(VLOOKUP(L340,SEGURO_TBL,3,0),"")</f>
        <v/>
      </c>
      <c r="BV340" s="3">
        <f>IF(BU340="",NEUTRO,MAX(0,MIN(100,100*(SEG_REF_MAX-BU340)/(SEG_REF_MAX-SEG_REF_MIN))))</f>
        <v/>
      </c>
      <c r="BW340" s="3">
        <f>W_ET*BS340+W_CONS*BT340+W_SEG*BV340</f>
        <v/>
      </c>
      <c r="BX340" s="3">
        <f>IF(N(AB340)&gt;0,AB340,IF(AND(R340="profesional",SG_LEGAL_ON=1),GAR_LEGAL,0))</f>
        <v/>
      </c>
      <c r="BY340" s="3">
        <f>SG_GAR*MIN(1,BX340/SG_GAR_FULL)+SG_AMPL*(AC340="sí")+SG_KMC*(AF340="sí")+SG_REV*(N(AE340)&gt;0)+SG_DEV*MIN(1,N(AG340)/SG_DEV_FULL)+SG_HIST*(W340="sí")</f>
        <v/>
      </c>
      <c r="BZ340" s="3">
        <f>IFERROR(VLOOKUP(L340,CARR_PEN_TBL,2,0),0)</f>
        <v/>
      </c>
      <c r="CA340" s="3">
        <f>W_FIAB*BL340+W_PRECIO*BM340+W_KMEDAD*BQ340+W_ANUNCIO*BR340+W_USO*BW340+W_SEGURIDAD*BY340-BZ340</f>
        <v/>
      </c>
      <c r="CB340" s="4">
        <f>IF(N(I340)&gt;0,I340,IFERROR(ROUND(_xlfn.NUMBERVALUE(LEFT(G340,FIND(" ",G340&amp;" ")-1),".")*1000,0),99999))</f>
        <v/>
      </c>
      <c r="CC340" s="3">
        <f>IF(R340="profesional",0,IF(O340&lt;CUOTA_VALOR_MAX,IF(AU340&gt;ITP_TRAMO_ALTO,SUMIFS(CF_CUOTA,CF_MAS,ITP_TRAMO_ALTO,CF_CCMIN,"&lt;="&amp;CB340,CF_CCMAX,"&gt;="&amp;CB340),IF(AU340&gt;ITP_TRAMO_BAJO,SUMIFS(CF_CUOTA,CF_MAS,ITP_TRAMO_BAJO,CF_CCMIN,"&lt;="&amp;CB340,CF_CCMAX,"&gt;="&amp;CB340),O340*ITP_TIPO)),O340*ITP_TIPO))</f>
        <v/>
      </c>
      <c r="CD340" s="4">
        <f>IF(R340="profesional",N(AK340),0)</f>
        <v/>
      </c>
      <c r="CE340" s="3">
        <f>IF(AND(R340="profesional",ISNUMBER(AK340),AL340="sí"),0,TASA_DGT)</f>
        <v/>
      </c>
      <c r="CF340" s="3">
        <f>INFORME_DGT</f>
        <v/>
      </c>
      <c r="CG340" s="4">
        <f>O340+CD340+CC340+CE340+CF340</f>
        <v/>
      </c>
      <c r="CH340" s="4">
        <f>CG340+N(BU340)</f>
        <v/>
      </c>
      <c r="CI340" s="3">
        <f>IF(CG340&lt;=TOTAL_MAX,"sí",IF(CG340&lt;=TOTAL_MAX+MARGEN_NEG,"negociar","no"))</f>
        <v/>
      </c>
      <c r="CJ340" s="4">
        <f>IF(CI340&lt;&gt;"no",COUNTIFS($CI$2:$CI$662,"&lt;&gt;no",$CA$2:$CA$662,"&gt;"&amp;CA340)+COUNTIFS($CI$2:CI340,"&lt;&gt;no",$CA$2:CA340,CA340),"")</f>
        <v/>
      </c>
    </row>
    <row r="341">
      <c r="A341" s="2" t="inlineStr">
        <is>
          <t>wallapop:1250621648</t>
        </is>
      </c>
      <c r="B341" s="2" t="inlineStr">
        <is>
          <t>wallapop</t>
        </is>
      </c>
      <c r="C341" s="2" t="inlineStr">
        <is>
          <t>https://es.wallapop.com/item/renault-clio-2006-1250621648</t>
        </is>
      </c>
      <c r="D341" s="2" t="inlineStr">
        <is>
          <t>Renault Clio 2006</t>
        </is>
      </c>
      <c r="E341" s="2" t="inlineStr">
        <is>
          <t>Renault</t>
        </is>
      </c>
      <c r="F341" s="2" t="inlineStr">
        <is>
          <t>Renault Clio</t>
        </is>
      </c>
      <c r="G341" s="2" t="inlineStr">
        <is>
          <t>1.5 dCi</t>
        </is>
      </c>
      <c r="H341" s="2" t="inlineStr">
        <is>
          <t>1.5 dCi 65 Community 3p SL</t>
        </is>
      </c>
      <c r="I341" s="2" t="n"/>
      <c r="J341" s="2" t="n">
        <v>65</v>
      </c>
      <c r="K341" s="2" t="inlineStr">
        <is>
          <t>diesel</t>
        </is>
      </c>
      <c r="L341" s="2" t="inlineStr">
        <is>
          <t>utilitario</t>
        </is>
      </c>
      <c r="M341" s="2" t="n">
        <v>2006</v>
      </c>
      <c r="N341" s="2" t="n">
        <v>79000</v>
      </c>
      <c r="O341" s="2" t="n">
        <v>3200</v>
      </c>
      <c r="P341" s="2" t="inlineStr">
        <is>
          <t>manual</t>
        </is>
      </c>
      <c r="Q341" s="2" t="inlineStr">
        <is>
          <t>no</t>
        </is>
      </c>
      <c r="R341" s="2" t="inlineStr">
        <is>
          <t>particular</t>
        </is>
      </c>
      <c r="S341" s="2" t="inlineStr">
        <is>
          <t>Burjassot (46100)</t>
        </is>
      </c>
      <c r="T341" s="2" t="inlineStr">
        <is>
          <t>2026-09-07T14:08:44</t>
        </is>
      </c>
      <c r="U341" s="2" t="n">
        <v>7</v>
      </c>
      <c r="V341" s="2" t="n"/>
      <c r="W341" s="2" t="n"/>
      <c r="X341" s="2" t="n"/>
      <c r="Y341" s="2" t="n"/>
      <c r="Z341" s="2" t="n"/>
      <c r="AA341" s="2" t="n"/>
      <c r="AB341" s="2" t="n"/>
      <c r="AC341" s="2" t="n"/>
      <c r="AD341" s="2" t="n"/>
      <c r="AE341" s="2" t="n"/>
      <c r="AF341" s="2" t="n"/>
      <c r="AG341" s="2" t="n"/>
      <c r="AH341" s="2" t="n"/>
      <c r="AI341" s="2" t="n"/>
      <c r="AJ341" s="2" t="n"/>
      <c r="AK341" s="2" t="n"/>
      <c r="AL341" s="2" t="n"/>
      <c r="AM341" s="2" t="n">
        <v>4.9</v>
      </c>
      <c r="AN341" s="2" t="n">
        <v>2750</v>
      </c>
      <c r="AO341" s="2" t="n">
        <v>18</v>
      </c>
      <c r="AP341" s="2" t="inlineStr">
        <is>
          <t>modelo+año</t>
        </is>
      </c>
      <c r="AQ341" s="2" t="n"/>
      <c r="AR341" s="2" t="inlineStr">
        <is>
          <t>cuota fija ITP: &gt;12 años, hasta 1.500 cc</t>
        </is>
      </c>
      <c r="AS341" s="2" t="inlineStr">
        <is>
          <t>Renaut  clio  impecable  79000</t>
        </is>
      </c>
      <c r="AT341" s="2" t="inlineStr">
        <is>
          <t>https://es.wallapop.com/item/renault-clio-2006-1250621648 (__NEXT_DATA__ item) /home/user/Alopecia/buscador-coches/raw/wallapop/38ea8a114afff3bd.json</t>
        </is>
      </c>
      <c r="AU341" s="3">
        <f>MAX(ANIO_ACTUAL-M341,0)</f>
        <v/>
      </c>
      <c r="AV341" s="4">
        <f>N341/MAX(AU341,0.5)</f>
        <v/>
      </c>
      <c r="AW341" s="4">
        <f>F341</f>
        <v/>
      </c>
      <c r="AX341" s="3">
        <f>AW341&amp;"|"&amp;INT(M341/SEG_ANIO)*SEG_ANIO</f>
        <v/>
      </c>
      <c r="AY341" s="3">
        <f>AX341&amp;"|"&amp;INT(N341/SEG_KM)*SEG_KM</f>
        <v/>
      </c>
      <c r="AZ341" s="4">
        <f>COUNTIF($AW$2:$AW$662,AW341)</f>
        <v/>
      </c>
      <c r="BA341" s="4">
        <f>COUNTIF($AX$2:$AX$662,AX341)</f>
        <v/>
      </c>
      <c r="BB341" s="4">
        <f>COUNTIF($AY$2:$AY$662,AY341)</f>
        <v/>
      </c>
      <c r="BC341" s="3">
        <f t="array" ref="BC341">IF(N(AO341)&gt;=MIN_N,AN341,IF(BB341&gt;=MIN_N,MEDIAN(IF($AY$2:$AY$662=AY341,$O$2:$O$662)),IF(BA341&gt;=MIN_N,MEDIAN(IF($AX$2:$AX$662=AX341,$O$2:$O$662)),MEDIAN(IF($AW$2:$AW$662=AW341,$O$2:$O$662)))))</f>
        <v/>
      </c>
      <c r="BD341" s="3">
        <f>IF(N(AO341)&gt;=MIN_N,"mercado "&amp;AP341,IF(BB341&gt;=MIN_N,"modelo+año+km",IF(BA341&gt;=MIN_N,"modelo+año","modelo")))</f>
        <v/>
      </c>
      <c r="BE341" s="4">
        <f>(BC341-O341)/BC341</f>
        <v/>
      </c>
      <c r="BF341" s="3">
        <f>IF(OR(K341="hibrido",K341="glp"),"ECO",IF(K341="electrico","CERO",IF(K341="gasolina",IF(M341&gt;=GAS_C,"C",IF(M341&gt;=GAS_B,"B","A")),IF(K341="diesel",IF(M341&gt;=DIE_C,"C",IF(M341&gt;=DIE_B,"B","A")),""))))</f>
        <v/>
      </c>
      <c r="BG341" s="3">
        <f>IFERROR(VLOOKUP(F341,MOD_TBL,11,0),IFERROR(VLOOKUP(E341,OCU_TBL,2,0),NEUTRO))</f>
        <v/>
      </c>
      <c r="BH341" s="3">
        <f>SUMIFS(MOT_AJUSTE,MOT_MOTOR,G341,MOT_MARCA,E341,MOT_DESDE,"&lt;="&amp;M341,MOT_HASTA,"&gt;="&amp;M341)+SUMIFS(MOT_AJUSTE,MOT_MOTOR,G341,MOT_MARCA,"(todas)",MOT_DESDE,"&lt;="&amp;M341,MOT_HASTA,"&gt;="&amp;M341)</f>
        <v/>
      </c>
      <c r="BI341" s="3">
        <f>SUMIFS(COMB_AJUSTE,COMB_COMB,K341)</f>
        <v/>
      </c>
      <c r="BJ341" s="3">
        <f>COUNTIFS(MOT_MOTOR,G341,MOT_MARCA,E341,MOT_DESDE,"&lt;="&amp;M341,MOT_HASTA,"&gt;="&amp;M341)+COUNTIFS(MOT_MOTOR,G341,MOT_MARCA,"(todas)",MOT_DESDE,"&lt;="&amp;M341,MOT_HASTA,"&gt;="&amp;M341)</f>
        <v/>
      </c>
      <c r="BK341" s="3">
        <f>IF(AND(K341="diesel",BJ341=0),MIN(BG341,NEUTRO),BG341)</f>
        <v/>
      </c>
      <c r="BL341" s="4">
        <f>MAX(0,MIN(100,BK341+BH341+BI341))</f>
        <v/>
      </c>
      <c r="BM341" s="3">
        <f>MAX(0,MIN(100,50+BE341*PRECIO_PEND))</f>
        <v/>
      </c>
      <c r="BN341" s="3">
        <f>MAX(0,100*(1-N341/KM_MAX))</f>
        <v/>
      </c>
      <c r="BO341" s="3">
        <f>IF(AV341&lt;KMA_SOSP,IF(AA341="sí",100,KMA_PEN),IF(AV341&lt;=KMA_IDEAL_MAX,100,MAX(0,100*(KMA_CERO-AV341)/(KMA_CERO-KMA_IDEAL_MAX))))</f>
        <v/>
      </c>
      <c r="BP341" s="3">
        <f>MAX(0,MIN(100,100*(M341-ANIO_MIN)/(ANIO_ACTUAL-ANIO_MIN)))</f>
        <v/>
      </c>
      <c r="BQ341" s="3">
        <f>W_KMT*BN341+W_KMA*BO341+W_EDAD*BP341</f>
        <v/>
      </c>
      <c r="BR341" s="3">
        <f>P_ITV*(V341="sí")+P_LIBRO*(W341="sí")+P_CORREA*(X341="sí")+P_PROP*(Y341=1)+P_GAR*(Z341="sí")+P_FOTOS*MIN(1,N(U341)/FOTOS_OBJ)</f>
        <v/>
      </c>
      <c r="BS341" s="3">
        <f>IFERROR(VLOOKUP(BF341,ETQ_TBL,2,0),NEUTRO)</f>
        <v/>
      </c>
      <c r="BT341" s="3">
        <f>NEUTRO</f>
        <v/>
      </c>
      <c r="BU341" s="3">
        <f>IFERROR(VLOOKUP(L341,SEGURO_TBL,3,0),"")</f>
        <v/>
      </c>
      <c r="BV341" s="3">
        <f>IF(BU341="",NEUTRO,MAX(0,MIN(100,100*(SEG_REF_MAX-BU341)/(SEG_REF_MAX-SEG_REF_MIN))))</f>
        <v/>
      </c>
      <c r="BW341" s="3">
        <f>W_ET*BS341+W_CONS*BT341+W_SEG*BV341</f>
        <v/>
      </c>
      <c r="BX341" s="3">
        <f>IF(N(AB341)&gt;0,AB341,IF(AND(R341="profesional",SG_LEGAL_ON=1),GAR_LEGAL,0))</f>
        <v/>
      </c>
      <c r="BY341" s="3">
        <f>SG_GAR*MIN(1,BX341/SG_GAR_FULL)+SG_AMPL*(AC341="sí")+SG_KMC*(AF341="sí")+SG_REV*(N(AE341)&gt;0)+SG_DEV*MIN(1,N(AG341)/SG_DEV_FULL)+SG_HIST*(W341="sí")</f>
        <v/>
      </c>
      <c r="BZ341" s="3">
        <f>IFERROR(VLOOKUP(L341,CARR_PEN_TBL,2,0),0)</f>
        <v/>
      </c>
      <c r="CA341" s="3">
        <f>W_FIAB*BL341+W_PRECIO*BM341+W_KMEDAD*BQ341+W_ANUNCIO*BR341+W_USO*BW341+W_SEGURIDAD*BY341-BZ341</f>
        <v/>
      </c>
      <c r="CB341" s="4">
        <f>IF(N(I341)&gt;0,I341,IFERROR(ROUND(_xlfn.NUMBERVALUE(LEFT(G341,FIND(" ",G341&amp;" ")-1),".")*1000,0),99999))</f>
        <v/>
      </c>
      <c r="CC341" s="3">
        <f>IF(R341="profesional",0,IF(O341&lt;CUOTA_VALOR_MAX,IF(AU341&gt;ITP_TRAMO_ALTO,SUMIFS(CF_CUOTA,CF_MAS,ITP_TRAMO_ALTO,CF_CCMIN,"&lt;="&amp;CB341,CF_CCMAX,"&gt;="&amp;CB341),IF(AU341&gt;ITP_TRAMO_BAJO,SUMIFS(CF_CUOTA,CF_MAS,ITP_TRAMO_BAJO,CF_CCMIN,"&lt;="&amp;CB341,CF_CCMAX,"&gt;="&amp;CB341),O341*ITP_TIPO)),O341*ITP_TIPO))</f>
        <v/>
      </c>
      <c r="CD341" s="4">
        <f>IF(R341="profesional",N(AK341),0)</f>
        <v/>
      </c>
      <c r="CE341" s="3">
        <f>IF(AND(R341="profesional",ISNUMBER(AK341),AL341="sí"),0,TASA_DGT)</f>
        <v/>
      </c>
      <c r="CF341" s="3">
        <f>INFORME_DGT</f>
        <v/>
      </c>
      <c r="CG341" s="4">
        <f>O341+CD341+CC341+CE341+CF341</f>
        <v/>
      </c>
      <c r="CH341" s="4">
        <f>CG341+N(BU341)</f>
        <v/>
      </c>
      <c r="CI341" s="3">
        <f>IF(CG341&lt;=TOTAL_MAX,"sí",IF(CG341&lt;=TOTAL_MAX+MARGEN_NEG,"negociar","no"))</f>
        <v/>
      </c>
      <c r="CJ341" s="4">
        <f>IF(CI341&lt;&gt;"no",COUNTIFS($CI$2:$CI$662,"&lt;&gt;no",$CA$2:$CA$662,"&gt;"&amp;CA341)+COUNTIFS($CI$2:CI341,"&lt;&gt;no",$CA$2:CA341,CA341),"")</f>
        <v/>
      </c>
    </row>
    <row r="342">
      <c r="A342" s="2" t="inlineStr">
        <is>
          <t>wallapop:1317117001</t>
        </is>
      </c>
      <c r="B342" s="2" t="inlineStr">
        <is>
          <t>wallapop</t>
        </is>
      </c>
      <c r="C342" s="2" t="inlineStr">
        <is>
          <t>https://es.wallapop.com/item/renault-clio-2007-1317117001</t>
        </is>
      </c>
      <c r="D342" s="2" t="inlineStr">
        <is>
          <t>Renault Clio 2007</t>
        </is>
      </c>
      <c r="E342" s="2" t="inlineStr">
        <is>
          <t>Renault</t>
        </is>
      </c>
      <c r="F342" s="2" t="inlineStr">
        <is>
          <t>Renault Clio</t>
        </is>
      </c>
      <c r="G342" s="2" t="inlineStr">
        <is>
          <t>1.2</t>
        </is>
      </c>
      <c r="H342" s="2" t="inlineStr">
        <is>
          <t>1.2 16v 75 eco2 Authentique 5p</t>
        </is>
      </c>
      <c r="I342" s="2" t="n"/>
      <c r="J342" s="2" t="n">
        <v>75</v>
      </c>
      <c r="K342" s="2" t="inlineStr">
        <is>
          <t>gasolina</t>
        </is>
      </c>
      <c r="L342" s="2" t="inlineStr">
        <is>
          <t>utilitario</t>
        </is>
      </c>
      <c r="M342" s="2" t="n">
        <v>2007</v>
      </c>
      <c r="N342" s="2" t="n">
        <v>149000</v>
      </c>
      <c r="O342" s="2" t="n">
        <v>3500</v>
      </c>
      <c r="P342" s="2" t="inlineStr">
        <is>
          <t>manual</t>
        </is>
      </c>
      <c r="Q342" s="2" t="inlineStr">
        <is>
          <t>no</t>
        </is>
      </c>
      <c r="R342" s="2" t="inlineStr">
        <is>
          <t>particular</t>
        </is>
      </c>
      <c r="S342" s="2" t="inlineStr">
        <is>
          <t>Manises (46940)</t>
        </is>
      </c>
      <c r="T342" s="2" t="inlineStr">
        <is>
          <t>2026-10-25T16:28:35</t>
        </is>
      </c>
      <c r="U342" s="2" t="n">
        <v>5</v>
      </c>
      <c r="V342" s="2" t="inlineStr">
        <is>
          <t>sí</t>
        </is>
      </c>
      <c r="W342" s="2" t="n"/>
      <c r="X342" s="2" t="n"/>
      <c r="Y342" s="2" t="n"/>
      <c r="Z342" s="2" t="n"/>
      <c r="AA342" s="2" t="n"/>
      <c r="AB342" s="2" t="n"/>
      <c r="AC342" s="2" t="n"/>
      <c r="AD342" s="2" t="n"/>
      <c r="AE342" s="2" t="n"/>
      <c r="AF342" s="2" t="n"/>
      <c r="AG342" s="2" t="n"/>
      <c r="AH342" s="2" t="n"/>
      <c r="AI342" s="2" t="n"/>
      <c r="AJ342" s="2" t="n"/>
      <c r="AK342" s="2" t="n"/>
      <c r="AL342" s="2" t="n"/>
      <c r="AM342" s="2" t="n">
        <v>7.2</v>
      </c>
      <c r="AN342" s="2" t="n">
        <v>3500</v>
      </c>
      <c r="AO342" s="2" t="n">
        <v>7</v>
      </c>
      <c r="AP342" s="2" t="inlineStr">
        <is>
          <t>modelo+año+km</t>
        </is>
      </c>
      <c r="AQ342" s="2" t="n"/>
      <c r="AR342" s="2" t="inlineStr">
        <is>
          <t>cuota fija ITP: &gt;12 años, hasta 1.500 cc</t>
        </is>
      </c>
      <c r="AS342" s="2" t="inlineStr">
        <is>
          <t xml:space="preserve">Mantenimientos e ITV al dia </t>
        </is>
      </c>
      <c r="AT342" s="2" t="inlineStr">
        <is>
          <t>https://es.wallapop.com/item/renault-clio-2007-1317117001 (__NEXT_DATA__ item) /home/user/Alopecia/buscador-coches/raw/wallapop/4df7009466ea8079.json</t>
        </is>
      </c>
      <c r="AU342" s="3">
        <f>MAX(ANIO_ACTUAL-M342,0)</f>
        <v/>
      </c>
      <c r="AV342" s="4">
        <f>N342/MAX(AU342,0.5)</f>
        <v/>
      </c>
      <c r="AW342" s="4">
        <f>F342</f>
        <v/>
      </c>
      <c r="AX342" s="3">
        <f>AW342&amp;"|"&amp;INT(M342/SEG_ANIO)*SEG_ANIO</f>
        <v/>
      </c>
      <c r="AY342" s="3">
        <f>AX342&amp;"|"&amp;INT(N342/SEG_KM)*SEG_KM</f>
        <v/>
      </c>
      <c r="AZ342" s="4">
        <f>COUNTIF($AW$2:$AW$662,AW342)</f>
        <v/>
      </c>
      <c r="BA342" s="4">
        <f>COUNTIF($AX$2:$AX$662,AX342)</f>
        <v/>
      </c>
      <c r="BB342" s="4">
        <f>COUNTIF($AY$2:$AY$662,AY342)</f>
        <v/>
      </c>
      <c r="BC342" s="3">
        <f t="array" ref="BC342">IF(N(AO342)&gt;=MIN_N,AN342,IF(BB342&gt;=MIN_N,MEDIAN(IF($AY$2:$AY$662=AY342,$O$2:$O$662)),IF(BA342&gt;=MIN_N,MEDIAN(IF($AX$2:$AX$662=AX342,$O$2:$O$662)),MEDIAN(IF($AW$2:$AW$662=AW342,$O$2:$O$662)))))</f>
        <v/>
      </c>
      <c r="BD342" s="3">
        <f>IF(N(AO342)&gt;=MIN_N,"mercado "&amp;AP342,IF(BB342&gt;=MIN_N,"modelo+año+km",IF(BA342&gt;=MIN_N,"modelo+año","modelo")))</f>
        <v/>
      </c>
      <c r="BE342" s="4">
        <f>(BC342-O342)/BC342</f>
        <v/>
      </c>
      <c r="BF342" s="3">
        <f>IF(OR(K342="hibrido",K342="glp"),"ECO",IF(K342="electrico","CERO",IF(K342="gasolina",IF(M342&gt;=GAS_C,"C",IF(M342&gt;=GAS_B,"B","A")),IF(K342="diesel",IF(M342&gt;=DIE_C,"C",IF(M342&gt;=DIE_B,"B","A")),""))))</f>
        <v/>
      </c>
      <c r="BG342" s="3">
        <f>IFERROR(VLOOKUP(F342,MOD_TBL,11,0),IFERROR(VLOOKUP(E342,OCU_TBL,2,0),NEUTRO))</f>
        <v/>
      </c>
      <c r="BH342" s="3">
        <f>SUMIFS(MOT_AJUSTE,MOT_MOTOR,G342,MOT_MARCA,E342,MOT_DESDE,"&lt;="&amp;M342,MOT_HASTA,"&gt;="&amp;M342)+SUMIFS(MOT_AJUSTE,MOT_MOTOR,G342,MOT_MARCA,"(todas)",MOT_DESDE,"&lt;="&amp;M342,MOT_HASTA,"&gt;="&amp;M342)</f>
        <v/>
      </c>
      <c r="BI342" s="3">
        <f>SUMIFS(COMB_AJUSTE,COMB_COMB,K342)</f>
        <v/>
      </c>
      <c r="BJ342" s="3">
        <f>COUNTIFS(MOT_MOTOR,G342,MOT_MARCA,E342,MOT_DESDE,"&lt;="&amp;M342,MOT_HASTA,"&gt;="&amp;M342)+COUNTIFS(MOT_MOTOR,G342,MOT_MARCA,"(todas)",MOT_DESDE,"&lt;="&amp;M342,MOT_HASTA,"&gt;="&amp;M342)</f>
        <v/>
      </c>
      <c r="BK342" s="3">
        <f>IF(AND(K342="diesel",BJ342=0),MIN(BG342,NEUTRO),BG342)</f>
        <v/>
      </c>
      <c r="BL342" s="4">
        <f>MAX(0,MIN(100,BK342+BH342+BI342))</f>
        <v/>
      </c>
      <c r="BM342" s="3">
        <f>MAX(0,MIN(100,50+BE342*PRECIO_PEND))</f>
        <v/>
      </c>
      <c r="BN342" s="3">
        <f>MAX(0,100*(1-N342/KM_MAX))</f>
        <v/>
      </c>
      <c r="BO342" s="3">
        <f>IF(AV342&lt;KMA_SOSP,IF(AA342="sí",100,KMA_PEN),IF(AV342&lt;=KMA_IDEAL_MAX,100,MAX(0,100*(KMA_CERO-AV342)/(KMA_CERO-KMA_IDEAL_MAX))))</f>
        <v/>
      </c>
      <c r="BP342" s="3">
        <f>MAX(0,MIN(100,100*(M342-ANIO_MIN)/(ANIO_ACTUAL-ANIO_MIN)))</f>
        <v/>
      </c>
      <c r="BQ342" s="3">
        <f>W_KMT*BN342+W_KMA*BO342+W_EDAD*BP342</f>
        <v/>
      </c>
      <c r="BR342" s="3">
        <f>P_ITV*(V342="sí")+P_LIBRO*(W342="sí")+P_CORREA*(X342="sí")+P_PROP*(Y342=1)+P_GAR*(Z342="sí")+P_FOTOS*MIN(1,N(U342)/FOTOS_OBJ)</f>
        <v/>
      </c>
      <c r="BS342" s="3">
        <f>IFERROR(VLOOKUP(BF342,ETQ_TBL,2,0),NEUTRO)</f>
        <v/>
      </c>
      <c r="BT342" s="3">
        <f>NEUTRO</f>
        <v/>
      </c>
      <c r="BU342" s="3">
        <f>IFERROR(VLOOKUP(L342,SEGURO_TBL,3,0),"")</f>
        <v/>
      </c>
      <c r="BV342" s="3">
        <f>IF(BU342="",NEUTRO,MAX(0,MIN(100,100*(SEG_REF_MAX-BU342)/(SEG_REF_MAX-SEG_REF_MIN))))</f>
        <v/>
      </c>
      <c r="BW342" s="3">
        <f>W_ET*BS342+W_CONS*BT342+W_SEG*BV342</f>
        <v/>
      </c>
      <c r="BX342" s="3">
        <f>IF(N(AB342)&gt;0,AB342,IF(AND(R342="profesional",SG_LEGAL_ON=1),GAR_LEGAL,0))</f>
        <v/>
      </c>
      <c r="BY342" s="3">
        <f>SG_GAR*MIN(1,BX342/SG_GAR_FULL)+SG_AMPL*(AC342="sí")+SG_KMC*(AF342="sí")+SG_REV*(N(AE342)&gt;0)+SG_DEV*MIN(1,N(AG342)/SG_DEV_FULL)+SG_HIST*(W342="sí")</f>
        <v/>
      </c>
      <c r="BZ342" s="3">
        <f>IFERROR(VLOOKUP(L342,CARR_PEN_TBL,2,0),0)</f>
        <v/>
      </c>
      <c r="CA342" s="3">
        <f>W_FIAB*BL342+W_PRECIO*BM342+W_KMEDAD*BQ342+W_ANUNCIO*BR342+W_USO*BW342+W_SEGURIDAD*BY342-BZ342</f>
        <v/>
      </c>
      <c r="CB342" s="4">
        <f>IF(N(I342)&gt;0,I342,IFERROR(ROUND(_xlfn.NUMBERVALUE(LEFT(G342,FIND(" ",G342&amp;" ")-1),".")*1000,0),99999))</f>
        <v/>
      </c>
      <c r="CC342" s="3">
        <f>IF(R342="profesional",0,IF(O342&lt;CUOTA_VALOR_MAX,IF(AU342&gt;ITP_TRAMO_ALTO,SUMIFS(CF_CUOTA,CF_MAS,ITP_TRAMO_ALTO,CF_CCMIN,"&lt;="&amp;CB342,CF_CCMAX,"&gt;="&amp;CB342),IF(AU342&gt;ITP_TRAMO_BAJO,SUMIFS(CF_CUOTA,CF_MAS,ITP_TRAMO_BAJO,CF_CCMIN,"&lt;="&amp;CB342,CF_CCMAX,"&gt;="&amp;CB342),O342*ITP_TIPO)),O342*ITP_TIPO))</f>
        <v/>
      </c>
      <c r="CD342" s="4">
        <f>IF(R342="profesional",N(AK342),0)</f>
        <v/>
      </c>
      <c r="CE342" s="3">
        <f>IF(AND(R342="profesional",ISNUMBER(AK342),AL342="sí"),0,TASA_DGT)</f>
        <v/>
      </c>
      <c r="CF342" s="3">
        <f>INFORME_DGT</f>
        <v/>
      </c>
      <c r="CG342" s="4">
        <f>O342+CD342+CC342+CE342+CF342</f>
        <v/>
      </c>
      <c r="CH342" s="4">
        <f>CG342+N(BU342)</f>
        <v/>
      </c>
      <c r="CI342" s="3">
        <f>IF(CG342&lt;=TOTAL_MAX,"sí",IF(CG342&lt;=TOTAL_MAX+MARGEN_NEG,"negociar","no"))</f>
        <v/>
      </c>
      <c r="CJ342" s="4">
        <f>IF(CI342&lt;&gt;"no",COUNTIFS($CI$2:$CI$662,"&lt;&gt;no",$CA$2:$CA$662,"&gt;"&amp;CA342)+COUNTIFS($CI$2:CI342,"&lt;&gt;no",$CA$2:CA342,CA342),"")</f>
        <v/>
      </c>
    </row>
    <row r="343">
      <c r="A343" s="2" t="inlineStr">
        <is>
          <t>wallapop:1316972840</t>
        </is>
      </c>
      <c r="B343" s="2" t="inlineStr">
        <is>
          <t>wallapop</t>
        </is>
      </c>
      <c r="C343" s="2" t="inlineStr">
        <is>
          <t>https://es.wallapop.com/item/renault-megane-2007-1316972840</t>
        </is>
      </c>
      <c r="D343" s="2" t="inlineStr">
        <is>
          <t>Renault Megane 2007</t>
        </is>
      </c>
      <c r="E343" s="2" t="inlineStr">
        <is>
          <t>Renault</t>
        </is>
      </c>
      <c r="F343" s="2" t="inlineStr">
        <is>
          <t>Renault Mégane</t>
        </is>
      </c>
      <c r="G343" s="2" t="inlineStr">
        <is>
          <t>1.6</t>
        </is>
      </c>
      <c r="H343" s="2" t="inlineStr">
        <is>
          <t>1.6 16v 110 Dynamique 5p</t>
        </is>
      </c>
      <c r="I343" s="2" t="n"/>
      <c r="J343" s="2" t="n">
        <v>110</v>
      </c>
      <c r="K343" s="2" t="inlineStr">
        <is>
          <t>gasolina</t>
        </is>
      </c>
      <c r="L343" s="2" t="inlineStr">
        <is>
          <t>compacto</t>
        </is>
      </c>
      <c r="M343" s="2" t="n">
        <v>2007</v>
      </c>
      <c r="N343" s="2" t="n">
        <v>203000</v>
      </c>
      <c r="O343" s="2" t="n">
        <v>2150</v>
      </c>
      <c r="P343" s="2" t="inlineStr">
        <is>
          <t>manual</t>
        </is>
      </c>
      <c r="Q343" s="2" t="inlineStr">
        <is>
          <t>no</t>
        </is>
      </c>
      <c r="R343" s="2" t="inlineStr">
        <is>
          <t>particular</t>
        </is>
      </c>
      <c r="S343" s="2" t="inlineStr">
        <is>
          <t>Valencia (46005)</t>
        </is>
      </c>
      <c r="T343" s="2" t="inlineStr">
        <is>
          <t>2026-10-25T10:55:31</t>
        </is>
      </c>
      <c r="U343" s="2" t="n">
        <v>6</v>
      </c>
      <c r="V343" s="2" t="n"/>
      <c r="W343" s="2" t="n"/>
      <c r="X343" s="2" t="n"/>
      <c r="Y343" s="2" t="n"/>
      <c r="Z343" s="2" t="n"/>
      <c r="AA343" s="2" t="n"/>
      <c r="AB343" s="2" t="n"/>
      <c r="AC343" s="2" t="n"/>
      <c r="AD343" s="2" t="n"/>
      <c r="AE343" s="2" t="n"/>
      <c r="AF343" s="2" t="n"/>
      <c r="AG343" s="2" t="n"/>
      <c r="AH343" s="2" t="n"/>
      <c r="AI343" s="2" t="n"/>
      <c r="AJ343" s="2" t="n"/>
      <c r="AK343" s="2" t="n"/>
      <c r="AL343" s="2" t="n"/>
      <c r="AM343" s="2" t="n">
        <v>1.4</v>
      </c>
      <c r="AN343" s="2" t="n">
        <v>2350</v>
      </c>
      <c r="AO343" s="2" t="n">
        <v>11</v>
      </c>
      <c r="AP343" s="2" t="inlineStr">
        <is>
          <t>modelo+año+km</t>
        </is>
      </c>
      <c r="AQ343" s="2" t="n"/>
      <c r="AR343" s="2" t="inlineStr">
        <is>
          <t>cuota fija ITP: &gt;12 años, 1.501-2.000 cc</t>
        </is>
      </c>
      <c r="AS343" s="2" t="inlineStr">
        <is>
          <t>Coche en muy buen estado tanto por dentro como por fuera.Itv caduca en Septiembre 2027.Pegatina medioambiental C 
203000 kms,apenas se oye el motor y va muy fino.</t>
        </is>
      </c>
      <c r="AT343" s="2" t="inlineStr">
        <is>
          <t>https://es.wallapop.com/item/renault-megane-2007-1316972840 (__NEXT_DATA__ item) /home/user/Alopecia/buscador-coches/raw/wallapop/ce523f5b357ffa2d.json</t>
        </is>
      </c>
      <c r="AU343" s="3">
        <f>MAX(ANIO_ACTUAL-M343,0)</f>
        <v/>
      </c>
      <c r="AV343" s="4">
        <f>N343/MAX(AU343,0.5)</f>
        <v/>
      </c>
      <c r="AW343" s="4">
        <f>F343</f>
        <v/>
      </c>
      <c r="AX343" s="3">
        <f>AW343&amp;"|"&amp;INT(M343/SEG_ANIO)*SEG_ANIO</f>
        <v/>
      </c>
      <c r="AY343" s="3">
        <f>AX343&amp;"|"&amp;INT(N343/SEG_KM)*SEG_KM</f>
        <v/>
      </c>
      <c r="AZ343" s="4">
        <f>COUNTIF($AW$2:$AW$662,AW343)</f>
        <v/>
      </c>
      <c r="BA343" s="4">
        <f>COUNTIF($AX$2:$AX$662,AX343)</f>
        <v/>
      </c>
      <c r="BB343" s="4">
        <f>COUNTIF($AY$2:$AY$662,AY343)</f>
        <v/>
      </c>
      <c r="BC343" s="3">
        <f t="array" ref="BC343">IF(N(AO343)&gt;=MIN_N,AN343,IF(BB343&gt;=MIN_N,MEDIAN(IF($AY$2:$AY$662=AY343,$O$2:$O$662)),IF(BA343&gt;=MIN_N,MEDIAN(IF($AX$2:$AX$662=AX343,$O$2:$O$662)),MEDIAN(IF($AW$2:$AW$662=AW343,$O$2:$O$662)))))</f>
        <v/>
      </c>
      <c r="BD343" s="3">
        <f>IF(N(AO343)&gt;=MIN_N,"mercado "&amp;AP343,IF(BB343&gt;=MIN_N,"modelo+año+km",IF(BA343&gt;=MIN_N,"modelo+año","modelo")))</f>
        <v/>
      </c>
      <c r="BE343" s="4">
        <f>(BC343-O343)/BC343</f>
        <v/>
      </c>
      <c r="BF343" s="3">
        <f>IF(OR(K343="hibrido",K343="glp"),"ECO",IF(K343="electrico","CERO",IF(K343="gasolina",IF(M343&gt;=GAS_C,"C",IF(M343&gt;=GAS_B,"B","A")),IF(K343="diesel",IF(M343&gt;=DIE_C,"C",IF(M343&gt;=DIE_B,"B","A")),""))))</f>
        <v/>
      </c>
      <c r="BG343" s="3">
        <f>IFERROR(VLOOKUP(F343,MOD_TBL,11,0),IFERROR(VLOOKUP(E343,OCU_TBL,2,0),NEUTRO))</f>
        <v/>
      </c>
      <c r="BH343" s="3">
        <f>SUMIFS(MOT_AJUSTE,MOT_MOTOR,G343,MOT_MARCA,E343,MOT_DESDE,"&lt;="&amp;M343,MOT_HASTA,"&gt;="&amp;M343)+SUMIFS(MOT_AJUSTE,MOT_MOTOR,G343,MOT_MARCA,"(todas)",MOT_DESDE,"&lt;="&amp;M343,MOT_HASTA,"&gt;="&amp;M343)</f>
        <v/>
      </c>
      <c r="BI343" s="3">
        <f>SUMIFS(COMB_AJUSTE,COMB_COMB,K343)</f>
        <v/>
      </c>
      <c r="BJ343" s="3">
        <f>COUNTIFS(MOT_MOTOR,G343,MOT_MARCA,E343,MOT_DESDE,"&lt;="&amp;M343,MOT_HASTA,"&gt;="&amp;M343)+COUNTIFS(MOT_MOTOR,G343,MOT_MARCA,"(todas)",MOT_DESDE,"&lt;="&amp;M343,MOT_HASTA,"&gt;="&amp;M343)</f>
        <v/>
      </c>
      <c r="BK343" s="3">
        <f>IF(AND(K343="diesel",BJ343=0),MIN(BG343,NEUTRO),BG343)</f>
        <v/>
      </c>
      <c r="BL343" s="4">
        <f>MAX(0,MIN(100,BK343+BH343+BI343))</f>
        <v/>
      </c>
      <c r="BM343" s="3">
        <f>MAX(0,MIN(100,50+BE343*PRECIO_PEND))</f>
        <v/>
      </c>
      <c r="BN343" s="3">
        <f>MAX(0,100*(1-N343/KM_MAX))</f>
        <v/>
      </c>
      <c r="BO343" s="3">
        <f>IF(AV343&lt;KMA_SOSP,IF(AA343="sí",100,KMA_PEN),IF(AV343&lt;=KMA_IDEAL_MAX,100,MAX(0,100*(KMA_CERO-AV343)/(KMA_CERO-KMA_IDEAL_MAX))))</f>
        <v/>
      </c>
      <c r="BP343" s="3">
        <f>MAX(0,MIN(100,100*(M343-ANIO_MIN)/(ANIO_ACTUAL-ANIO_MIN)))</f>
        <v/>
      </c>
      <c r="BQ343" s="3">
        <f>W_KMT*BN343+W_KMA*BO343+W_EDAD*BP343</f>
        <v/>
      </c>
      <c r="BR343" s="3">
        <f>P_ITV*(V343="sí")+P_LIBRO*(W343="sí")+P_CORREA*(X343="sí")+P_PROP*(Y343=1)+P_GAR*(Z343="sí")+P_FOTOS*MIN(1,N(U343)/FOTOS_OBJ)</f>
        <v/>
      </c>
      <c r="BS343" s="3">
        <f>IFERROR(VLOOKUP(BF343,ETQ_TBL,2,0),NEUTRO)</f>
        <v/>
      </c>
      <c r="BT343" s="3">
        <f>NEUTRO</f>
        <v/>
      </c>
      <c r="BU343" s="3">
        <f>IFERROR(VLOOKUP(L343,SEGURO_TBL,3,0),"")</f>
        <v/>
      </c>
      <c r="BV343" s="3">
        <f>IF(BU343="",NEUTRO,MAX(0,MIN(100,100*(SEG_REF_MAX-BU343)/(SEG_REF_MAX-SEG_REF_MIN))))</f>
        <v/>
      </c>
      <c r="BW343" s="3">
        <f>W_ET*BS343+W_CONS*BT343+W_SEG*BV343</f>
        <v/>
      </c>
      <c r="BX343" s="3">
        <f>IF(N(AB343)&gt;0,AB343,IF(AND(R343="profesional",SG_LEGAL_ON=1),GAR_LEGAL,0))</f>
        <v/>
      </c>
      <c r="BY343" s="3">
        <f>SG_GAR*MIN(1,BX343/SG_GAR_FULL)+SG_AMPL*(AC343="sí")+SG_KMC*(AF343="sí")+SG_REV*(N(AE343)&gt;0)+SG_DEV*MIN(1,N(AG343)/SG_DEV_FULL)+SG_HIST*(W343="sí")</f>
        <v/>
      </c>
      <c r="BZ343" s="3">
        <f>IFERROR(VLOOKUP(L343,CARR_PEN_TBL,2,0),0)</f>
        <v/>
      </c>
      <c r="CA343" s="3">
        <f>W_FIAB*BL343+W_PRECIO*BM343+W_KMEDAD*BQ343+W_ANUNCIO*BR343+W_USO*BW343+W_SEGURIDAD*BY343-BZ343</f>
        <v/>
      </c>
      <c r="CB343" s="4">
        <f>IF(N(I343)&gt;0,I343,IFERROR(ROUND(_xlfn.NUMBERVALUE(LEFT(G343,FIND(" ",G343&amp;" ")-1),".")*1000,0),99999))</f>
        <v/>
      </c>
      <c r="CC343" s="3">
        <f>IF(R343="profesional",0,IF(O343&lt;CUOTA_VALOR_MAX,IF(AU343&gt;ITP_TRAMO_ALTO,SUMIFS(CF_CUOTA,CF_MAS,ITP_TRAMO_ALTO,CF_CCMIN,"&lt;="&amp;CB343,CF_CCMAX,"&gt;="&amp;CB343),IF(AU343&gt;ITP_TRAMO_BAJO,SUMIFS(CF_CUOTA,CF_MAS,ITP_TRAMO_BAJO,CF_CCMIN,"&lt;="&amp;CB343,CF_CCMAX,"&gt;="&amp;CB343),O343*ITP_TIPO)),O343*ITP_TIPO))</f>
        <v/>
      </c>
      <c r="CD343" s="4">
        <f>IF(R343="profesional",N(AK343),0)</f>
        <v/>
      </c>
      <c r="CE343" s="3">
        <f>IF(AND(R343="profesional",ISNUMBER(AK343),AL343="sí"),0,TASA_DGT)</f>
        <v/>
      </c>
      <c r="CF343" s="3">
        <f>INFORME_DGT</f>
        <v/>
      </c>
      <c r="CG343" s="4">
        <f>O343+CD343+CC343+CE343+CF343</f>
        <v/>
      </c>
      <c r="CH343" s="4">
        <f>CG343+N(BU343)</f>
        <v/>
      </c>
      <c r="CI343" s="3">
        <f>IF(CG343&lt;=TOTAL_MAX,"sí",IF(CG343&lt;=TOTAL_MAX+MARGEN_NEG,"negociar","no"))</f>
        <v/>
      </c>
      <c r="CJ343" s="4">
        <f>IF(CI343&lt;&gt;"no",COUNTIFS($CI$2:$CI$662,"&lt;&gt;no",$CA$2:$CA$662,"&gt;"&amp;CA343)+COUNTIFS($CI$2:CI343,"&lt;&gt;no",$CA$2:CA343,CA343),"")</f>
        <v/>
      </c>
    </row>
    <row r="344">
      <c r="A344" s="2" t="inlineStr">
        <is>
          <t>wallapop:1316457370</t>
        </is>
      </c>
      <c r="B344" s="2" t="inlineStr">
        <is>
          <t>wallapop</t>
        </is>
      </c>
      <c r="C344" s="2" t="inlineStr">
        <is>
          <t>https://es.wallapop.com/item/renault-megane-1-6-16v-1316457370</t>
        </is>
      </c>
      <c r="D344" s="2" t="inlineStr">
        <is>
          <t>Renault Megane 1.6 16v</t>
        </is>
      </c>
      <c r="E344" s="2" t="inlineStr">
        <is>
          <t>Renault</t>
        </is>
      </c>
      <c r="F344" s="2" t="inlineStr">
        <is>
          <t>Renault Mégane</t>
        </is>
      </c>
      <c r="G344" s="2" t="inlineStr">
        <is>
          <t>1.6</t>
        </is>
      </c>
      <c r="H344" s="2" t="inlineStr">
        <is>
          <t>Sedan 1.6 16v 110 Dynamique 4p</t>
        </is>
      </c>
      <c r="I344" s="2" t="n"/>
      <c r="J344" s="2" t="n">
        <v>110</v>
      </c>
      <c r="K344" s="2" t="inlineStr">
        <is>
          <t>gasolina</t>
        </is>
      </c>
      <c r="L344" s="2" t="inlineStr">
        <is>
          <t>berlina</t>
        </is>
      </c>
      <c r="M344" s="2" t="n">
        <v>2006</v>
      </c>
      <c r="N344" s="2" t="n">
        <v>160000</v>
      </c>
      <c r="O344" s="2" t="n">
        <v>2000</v>
      </c>
      <c r="P344" s="2" t="inlineStr">
        <is>
          <t>manual</t>
        </is>
      </c>
      <c r="Q344" s="2" t="inlineStr">
        <is>
          <t>no</t>
        </is>
      </c>
      <c r="R344" s="2" t="inlineStr">
        <is>
          <t>particular</t>
        </is>
      </c>
      <c r="S344" s="2" t="inlineStr">
        <is>
          <t>Paterna (46980)</t>
        </is>
      </c>
      <c r="T344" s="2" t="inlineStr">
        <is>
          <t>2026-10-30T17:08:11</t>
        </is>
      </c>
      <c r="U344" s="2" t="n">
        <v>8</v>
      </c>
      <c r="V344" s="2" t="inlineStr">
        <is>
          <t>sí</t>
        </is>
      </c>
      <c r="W344" s="2" t="n"/>
      <c r="X344" s="2" t="n"/>
      <c r="Y344" s="2" t="n">
        <v>1</v>
      </c>
      <c r="Z344" s="2" t="n"/>
      <c r="AA344" s="2" t="n"/>
      <c r="AB344" s="2" t="n"/>
      <c r="AC344" s="2" t="n"/>
      <c r="AD344" s="2" t="n"/>
      <c r="AE344" s="2" t="n"/>
      <c r="AF344" s="2" t="n"/>
      <c r="AG344" s="2" t="n"/>
      <c r="AH344" s="2" t="n"/>
      <c r="AI344" s="2" t="n"/>
      <c r="AJ344" s="2" t="n"/>
      <c r="AK344" s="2" t="n"/>
      <c r="AL344" s="2" t="n"/>
      <c r="AM344" s="2" t="n">
        <v>7.6</v>
      </c>
      <c r="AN344" s="2" t="n">
        <v>2375</v>
      </c>
      <c r="AO344" s="2" t="n">
        <v>6</v>
      </c>
      <c r="AP344" s="2" t="inlineStr">
        <is>
          <t>modelo+año+km</t>
        </is>
      </c>
      <c r="AQ344" s="2" t="n"/>
      <c r="AR344" s="2" t="inlineStr">
        <is>
          <t>cuota fija ITP: &gt;12 años, 1.501-2.000 cc; carrocería berlina: -4 puntos</t>
        </is>
      </c>
      <c r="AS344" s="2" t="inlineStr">
        <is>
          <t>Vendo Renault Megane 1.6 gasolina.
Disitrbucion cambiada a los 100.000km
ITV hasta enero de 2027. AC funciona. 
Ruedas nuevas del año pasado.
Revisiones al dia, Único dueño.
Contactar solo por teléfono 687189839 (Ivan). No cambios.</t>
        </is>
      </c>
      <c r="AT344" s="2" t="inlineStr">
        <is>
          <t>https://es.wallapop.com/item/renault-megane-1-6-16v-1316457370 (__NEXT_DATA__ item) /home/user/Alopecia/buscador-coches/raw/wallapop/cd6417a9b99dd306.json</t>
        </is>
      </c>
      <c r="AU344" s="3">
        <f>MAX(ANIO_ACTUAL-M344,0)</f>
        <v/>
      </c>
      <c r="AV344" s="4">
        <f>N344/MAX(AU344,0.5)</f>
        <v/>
      </c>
      <c r="AW344" s="4">
        <f>F344</f>
        <v/>
      </c>
      <c r="AX344" s="3">
        <f>AW344&amp;"|"&amp;INT(M344/SEG_ANIO)*SEG_ANIO</f>
        <v/>
      </c>
      <c r="AY344" s="3">
        <f>AX344&amp;"|"&amp;INT(N344/SEG_KM)*SEG_KM</f>
        <v/>
      </c>
      <c r="AZ344" s="4">
        <f>COUNTIF($AW$2:$AW$662,AW344)</f>
        <v/>
      </c>
      <c r="BA344" s="4">
        <f>COUNTIF($AX$2:$AX$662,AX344)</f>
        <v/>
      </c>
      <c r="BB344" s="4">
        <f>COUNTIF($AY$2:$AY$662,AY344)</f>
        <v/>
      </c>
      <c r="BC344" s="3">
        <f t="array" ref="BC344">IF(N(AO344)&gt;=MIN_N,AN344,IF(BB344&gt;=MIN_N,MEDIAN(IF($AY$2:$AY$662=AY344,$O$2:$O$662)),IF(BA344&gt;=MIN_N,MEDIAN(IF($AX$2:$AX$662=AX344,$O$2:$O$662)),MEDIAN(IF($AW$2:$AW$662=AW344,$O$2:$O$662)))))</f>
        <v/>
      </c>
      <c r="BD344" s="3">
        <f>IF(N(AO344)&gt;=MIN_N,"mercado "&amp;AP344,IF(BB344&gt;=MIN_N,"modelo+año+km",IF(BA344&gt;=MIN_N,"modelo+año","modelo")))</f>
        <v/>
      </c>
      <c r="BE344" s="4">
        <f>(BC344-O344)/BC344</f>
        <v/>
      </c>
      <c r="BF344" s="3">
        <f>IF(OR(K344="hibrido",K344="glp"),"ECO",IF(K344="electrico","CERO",IF(K344="gasolina",IF(M344&gt;=GAS_C,"C",IF(M344&gt;=GAS_B,"B","A")),IF(K344="diesel",IF(M344&gt;=DIE_C,"C",IF(M344&gt;=DIE_B,"B","A")),""))))</f>
        <v/>
      </c>
      <c r="BG344" s="3">
        <f>IFERROR(VLOOKUP(F344,MOD_TBL,11,0),IFERROR(VLOOKUP(E344,OCU_TBL,2,0),NEUTRO))</f>
        <v/>
      </c>
      <c r="BH344" s="3">
        <f>SUMIFS(MOT_AJUSTE,MOT_MOTOR,G344,MOT_MARCA,E344,MOT_DESDE,"&lt;="&amp;M344,MOT_HASTA,"&gt;="&amp;M344)+SUMIFS(MOT_AJUSTE,MOT_MOTOR,G344,MOT_MARCA,"(todas)",MOT_DESDE,"&lt;="&amp;M344,MOT_HASTA,"&gt;="&amp;M344)</f>
        <v/>
      </c>
      <c r="BI344" s="3">
        <f>SUMIFS(COMB_AJUSTE,COMB_COMB,K344)</f>
        <v/>
      </c>
      <c r="BJ344" s="3">
        <f>COUNTIFS(MOT_MOTOR,G344,MOT_MARCA,E344,MOT_DESDE,"&lt;="&amp;M344,MOT_HASTA,"&gt;="&amp;M344)+COUNTIFS(MOT_MOTOR,G344,MOT_MARCA,"(todas)",MOT_DESDE,"&lt;="&amp;M344,MOT_HASTA,"&gt;="&amp;M344)</f>
        <v/>
      </c>
      <c r="BK344" s="3">
        <f>IF(AND(K344="diesel",BJ344=0),MIN(BG344,NEUTRO),BG344)</f>
        <v/>
      </c>
      <c r="BL344" s="4">
        <f>MAX(0,MIN(100,BK344+BH344+BI344))</f>
        <v/>
      </c>
      <c r="BM344" s="3">
        <f>MAX(0,MIN(100,50+BE344*PRECIO_PEND))</f>
        <v/>
      </c>
      <c r="BN344" s="3">
        <f>MAX(0,100*(1-N344/KM_MAX))</f>
        <v/>
      </c>
      <c r="BO344" s="3">
        <f>IF(AV344&lt;KMA_SOSP,IF(AA344="sí",100,KMA_PEN),IF(AV344&lt;=KMA_IDEAL_MAX,100,MAX(0,100*(KMA_CERO-AV344)/(KMA_CERO-KMA_IDEAL_MAX))))</f>
        <v/>
      </c>
      <c r="BP344" s="3">
        <f>MAX(0,MIN(100,100*(M344-ANIO_MIN)/(ANIO_ACTUAL-ANIO_MIN)))</f>
        <v/>
      </c>
      <c r="BQ344" s="3">
        <f>W_KMT*BN344+W_KMA*BO344+W_EDAD*BP344</f>
        <v/>
      </c>
      <c r="BR344" s="3">
        <f>P_ITV*(V344="sí")+P_LIBRO*(W344="sí")+P_CORREA*(X344="sí")+P_PROP*(Y344=1)+P_GAR*(Z344="sí")+P_FOTOS*MIN(1,N(U344)/FOTOS_OBJ)</f>
        <v/>
      </c>
      <c r="BS344" s="3">
        <f>IFERROR(VLOOKUP(BF344,ETQ_TBL,2,0),NEUTRO)</f>
        <v/>
      </c>
      <c r="BT344" s="3">
        <f>NEUTRO</f>
        <v/>
      </c>
      <c r="BU344" s="3">
        <f>IFERROR(VLOOKUP(L344,SEGURO_TBL,3,0),"")</f>
        <v/>
      </c>
      <c r="BV344" s="3">
        <f>IF(BU344="",NEUTRO,MAX(0,MIN(100,100*(SEG_REF_MAX-BU344)/(SEG_REF_MAX-SEG_REF_MIN))))</f>
        <v/>
      </c>
      <c r="BW344" s="3">
        <f>W_ET*BS344+W_CONS*BT344+W_SEG*BV344</f>
        <v/>
      </c>
      <c r="BX344" s="3">
        <f>IF(N(AB344)&gt;0,AB344,IF(AND(R344="profesional",SG_LEGAL_ON=1),GAR_LEGAL,0))</f>
        <v/>
      </c>
      <c r="BY344" s="3">
        <f>SG_GAR*MIN(1,BX344/SG_GAR_FULL)+SG_AMPL*(AC344="sí")+SG_KMC*(AF344="sí")+SG_REV*(N(AE344)&gt;0)+SG_DEV*MIN(1,N(AG344)/SG_DEV_FULL)+SG_HIST*(W344="sí")</f>
        <v/>
      </c>
      <c r="BZ344" s="3">
        <f>IFERROR(VLOOKUP(L344,CARR_PEN_TBL,2,0),0)</f>
        <v/>
      </c>
      <c r="CA344" s="3">
        <f>W_FIAB*BL344+W_PRECIO*BM344+W_KMEDAD*BQ344+W_ANUNCIO*BR344+W_USO*BW344+W_SEGURIDAD*BY344-BZ344</f>
        <v/>
      </c>
      <c r="CB344" s="4">
        <f>IF(N(I344)&gt;0,I344,IFERROR(ROUND(_xlfn.NUMBERVALUE(LEFT(G344,FIND(" ",G344&amp;" ")-1),".")*1000,0),99999))</f>
        <v/>
      </c>
      <c r="CC344" s="3">
        <f>IF(R344="profesional",0,IF(O344&lt;CUOTA_VALOR_MAX,IF(AU344&gt;ITP_TRAMO_ALTO,SUMIFS(CF_CUOTA,CF_MAS,ITP_TRAMO_ALTO,CF_CCMIN,"&lt;="&amp;CB344,CF_CCMAX,"&gt;="&amp;CB344),IF(AU344&gt;ITP_TRAMO_BAJO,SUMIFS(CF_CUOTA,CF_MAS,ITP_TRAMO_BAJO,CF_CCMIN,"&lt;="&amp;CB344,CF_CCMAX,"&gt;="&amp;CB344),O344*ITP_TIPO)),O344*ITP_TIPO))</f>
        <v/>
      </c>
      <c r="CD344" s="4">
        <f>IF(R344="profesional",N(AK344),0)</f>
        <v/>
      </c>
      <c r="CE344" s="3">
        <f>IF(AND(R344="profesional",ISNUMBER(AK344),AL344="sí"),0,TASA_DGT)</f>
        <v/>
      </c>
      <c r="CF344" s="3">
        <f>INFORME_DGT</f>
        <v/>
      </c>
      <c r="CG344" s="4">
        <f>O344+CD344+CC344+CE344+CF344</f>
        <v/>
      </c>
      <c r="CH344" s="4">
        <f>CG344+N(BU344)</f>
        <v/>
      </c>
      <c r="CI344" s="3">
        <f>IF(CG344&lt;=TOTAL_MAX,"sí",IF(CG344&lt;=TOTAL_MAX+MARGEN_NEG,"negociar","no"))</f>
        <v/>
      </c>
      <c r="CJ344" s="4">
        <f>IF(CI344&lt;&gt;"no",COUNTIFS($CI$2:$CI$662,"&lt;&gt;no",$CA$2:$CA$662,"&gt;"&amp;CA344)+COUNTIFS($CI$2:CI344,"&lt;&gt;no",$CA$2:CA344,CA344),"")</f>
        <v/>
      </c>
    </row>
    <row r="345">
      <c r="A345" s="2" t="inlineStr">
        <is>
          <t>wallapop:1283471685</t>
        </is>
      </c>
      <c r="B345" s="2" t="inlineStr">
        <is>
          <t>wallapop</t>
        </is>
      </c>
      <c r="C345" s="2" t="inlineStr">
        <is>
          <t>https://es.wallapop.com/item/renault-megane-sport-tourer-dynamique-dci-81-kw-110-cv-1283471685</t>
        </is>
      </c>
      <c r="D345" s="2" t="inlineStr">
        <is>
          <t>Renault Megane Sport Tourer Dynamique dCi 81 kW (110 CV)</t>
        </is>
      </c>
      <c r="E345" s="2" t="inlineStr">
        <is>
          <t>Renault</t>
        </is>
      </c>
      <c r="F345" s="2" t="inlineStr">
        <is>
          <t>Renault Mégane</t>
        </is>
      </c>
      <c r="G345" s="2" t="inlineStr">
        <is>
          <t>? dCi</t>
        </is>
      </c>
      <c r="H345" s="2" t="inlineStr">
        <is>
          <t>Sport Tourer Dynamique dCi 81 kW (110 CV)</t>
        </is>
      </c>
      <c r="I345" s="2" t="n"/>
      <c r="J345" s="2" t="n">
        <v>110</v>
      </c>
      <c r="K345" s="2" t="inlineStr">
        <is>
          <t>diesel</t>
        </is>
      </c>
      <c r="L345" s="2" t="inlineStr">
        <is>
          <t>familiar</t>
        </is>
      </c>
      <c r="M345" s="2" t="n">
        <v>2011</v>
      </c>
      <c r="N345" s="2" t="n">
        <v>116570</v>
      </c>
      <c r="O345" s="2" t="n">
        <v>4600</v>
      </c>
      <c r="P345" s="2" t="inlineStr">
        <is>
          <t>manual</t>
        </is>
      </c>
      <c r="Q345" s="2" t="inlineStr">
        <is>
          <t>no</t>
        </is>
      </c>
      <c r="R345" s="2" t="inlineStr">
        <is>
          <t>profesional</t>
        </is>
      </c>
      <c r="S345" s="2" t="inlineStr">
        <is>
          <t>Paterna (46980)</t>
        </is>
      </c>
      <c r="T345" s="2" t="inlineStr">
        <is>
          <t>2026-10-31T09:13:38</t>
        </is>
      </c>
      <c r="U345" s="2" t="n">
        <v>11</v>
      </c>
      <c r="V345" s="2" t="n"/>
      <c r="W345" s="2" t="n"/>
      <c r="X345" s="2" t="n"/>
      <c r="Y345" s="2" t="n"/>
      <c r="Z345" s="2" t="inlineStr">
        <is>
          <t>sí</t>
        </is>
      </c>
      <c r="AA345" s="2" t="n"/>
      <c r="AB345" s="2" t="n"/>
      <c r="AC345" s="2" t="n"/>
      <c r="AD345" s="2" t="n"/>
      <c r="AE345" s="2" t="n"/>
      <c r="AF345" s="2" t="inlineStr">
        <is>
          <t>sí</t>
        </is>
      </c>
      <c r="AG345" s="2" t="n"/>
      <c r="AH345" s="2" t="n"/>
      <c r="AI345" s="2" t="n"/>
      <c r="AJ345" s="2" t="n"/>
      <c r="AK345" s="2" t="n"/>
      <c r="AL345" s="2" t="n"/>
      <c r="AM345" s="2" t="n">
        <v>6.4</v>
      </c>
      <c r="AN345" s="2" t="n">
        <v>5900</v>
      </c>
      <c r="AO345" s="2" t="n">
        <v>5</v>
      </c>
      <c r="AP345" s="2" t="inlineStr">
        <is>
          <t>modelo+año+km</t>
        </is>
      </c>
      <c r="AQ345" s="2" t="n"/>
      <c r="AR345"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S345" s="2" t="inlineStr">
        <is>
          <t>Ref.85015406
¡VILLA TAMBIÉN FICHA POR OCASIONPLUS!
VEN A GANAR. ¡VEN A OCASIONPLUS!
OCASIONPLUS - 20.000 COCHES  - 120 CENTROS
OCASIONPLUS Nº1 CALIDAD - PRECIO
Elige el coche que te guste y te lo llevamos a tu ciudad sólo con reservarlo
15 DÍAS / 1000 KMS DE PRUEBA
Hasta 3300€ de descuento en este coche
ADEMÁS, HACEMOS LAS MEJORES FINANCIACIONES DEL MERCADO, PREGÚNTANOS!!
            Equipamiento destacado: Sensor de lluvia, Control de velocidad, Limitador de velocidad, Volante multifunción, Aire Acondicionado (Climatizador), Bluetooth, Isofix, Llantas de aleación (16").
                - Coche Nacional.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45" s="2" t="inlineStr">
        <is>
          <t>https://es.wallapop.com/item/renault-megane-sport-tourer-dynamique-dci-81-kw-110-cv-1283471685 (__NEXT_DATA__ item) /home/user/Alopecia/buscador-coches/raw/wallapop/e533e34ac38d4fc7.json</t>
        </is>
      </c>
      <c r="AU345" s="3">
        <f>MAX(ANIO_ACTUAL-M345,0)</f>
        <v/>
      </c>
      <c r="AV345" s="4">
        <f>N345/MAX(AU345,0.5)</f>
        <v/>
      </c>
      <c r="AW345" s="4">
        <f>F345</f>
        <v/>
      </c>
      <c r="AX345" s="3">
        <f>AW345&amp;"|"&amp;INT(M345/SEG_ANIO)*SEG_ANIO</f>
        <v/>
      </c>
      <c r="AY345" s="3">
        <f>AX345&amp;"|"&amp;INT(N345/SEG_KM)*SEG_KM</f>
        <v/>
      </c>
      <c r="AZ345" s="4">
        <f>COUNTIF($AW$2:$AW$662,AW345)</f>
        <v/>
      </c>
      <c r="BA345" s="4">
        <f>COUNTIF($AX$2:$AX$662,AX345)</f>
        <v/>
      </c>
      <c r="BB345" s="4">
        <f>COUNTIF($AY$2:$AY$662,AY345)</f>
        <v/>
      </c>
      <c r="BC345" s="3">
        <f t="array" ref="BC345">IF(N(AO345)&gt;=MIN_N,AN345,IF(BB345&gt;=MIN_N,MEDIAN(IF($AY$2:$AY$662=AY345,$O$2:$O$662)),IF(BA345&gt;=MIN_N,MEDIAN(IF($AX$2:$AX$662=AX345,$O$2:$O$662)),MEDIAN(IF($AW$2:$AW$662=AW345,$O$2:$O$662)))))</f>
        <v/>
      </c>
      <c r="BD345" s="3">
        <f>IF(N(AO345)&gt;=MIN_N,"mercado "&amp;AP345,IF(BB345&gt;=MIN_N,"modelo+año+km",IF(BA345&gt;=MIN_N,"modelo+año","modelo")))</f>
        <v/>
      </c>
      <c r="BE345" s="4">
        <f>(BC345-O345)/BC345</f>
        <v/>
      </c>
      <c r="BF345" s="3">
        <f>IF(OR(K345="hibrido",K345="glp"),"ECO",IF(K345="electrico","CERO",IF(K345="gasolina",IF(M345&gt;=GAS_C,"C",IF(M345&gt;=GAS_B,"B","A")),IF(K345="diesel",IF(M345&gt;=DIE_C,"C",IF(M345&gt;=DIE_B,"B","A")),""))))</f>
        <v/>
      </c>
      <c r="BG345" s="3">
        <f>IFERROR(VLOOKUP(F345,MOD_TBL,11,0),IFERROR(VLOOKUP(E345,OCU_TBL,2,0),NEUTRO))</f>
        <v/>
      </c>
      <c r="BH345" s="3">
        <f>SUMIFS(MOT_AJUSTE,MOT_MOTOR,G345,MOT_MARCA,E345,MOT_DESDE,"&lt;="&amp;M345,MOT_HASTA,"&gt;="&amp;M345)+SUMIFS(MOT_AJUSTE,MOT_MOTOR,G345,MOT_MARCA,"(todas)",MOT_DESDE,"&lt;="&amp;M345,MOT_HASTA,"&gt;="&amp;M345)</f>
        <v/>
      </c>
      <c r="BI345" s="3">
        <f>SUMIFS(COMB_AJUSTE,COMB_COMB,K345)</f>
        <v/>
      </c>
      <c r="BJ345" s="3">
        <f>COUNTIFS(MOT_MOTOR,G345,MOT_MARCA,E345,MOT_DESDE,"&lt;="&amp;M345,MOT_HASTA,"&gt;="&amp;M345)+COUNTIFS(MOT_MOTOR,G345,MOT_MARCA,"(todas)",MOT_DESDE,"&lt;="&amp;M345,MOT_HASTA,"&gt;="&amp;M345)</f>
        <v/>
      </c>
      <c r="BK345" s="3">
        <f>IF(AND(K345="diesel",BJ345=0),MIN(BG345,NEUTRO),BG345)</f>
        <v/>
      </c>
      <c r="BL345" s="4">
        <f>MAX(0,MIN(100,BK345+BH345+BI345))</f>
        <v/>
      </c>
      <c r="BM345" s="3">
        <f>MAX(0,MIN(100,50+BE345*PRECIO_PEND))</f>
        <v/>
      </c>
      <c r="BN345" s="3">
        <f>MAX(0,100*(1-N345/KM_MAX))</f>
        <v/>
      </c>
      <c r="BO345" s="3">
        <f>IF(AV345&lt;KMA_SOSP,IF(AA345="sí",100,KMA_PEN),IF(AV345&lt;=KMA_IDEAL_MAX,100,MAX(0,100*(KMA_CERO-AV345)/(KMA_CERO-KMA_IDEAL_MAX))))</f>
        <v/>
      </c>
      <c r="BP345" s="3">
        <f>MAX(0,MIN(100,100*(M345-ANIO_MIN)/(ANIO_ACTUAL-ANIO_MIN)))</f>
        <v/>
      </c>
      <c r="BQ345" s="3">
        <f>W_KMT*BN345+W_KMA*BO345+W_EDAD*BP345</f>
        <v/>
      </c>
      <c r="BR345" s="3">
        <f>P_ITV*(V345="sí")+P_LIBRO*(W345="sí")+P_CORREA*(X345="sí")+P_PROP*(Y345=1)+P_GAR*(Z345="sí")+P_FOTOS*MIN(1,N(U345)/FOTOS_OBJ)</f>
        <v/>
      </c>
      <c r="BS345" s="3">
        <f>IFERROR(VLOOKUP(BF345,ETQ_TBL,2,0),NEUTRO)</f>
        <v/>
      </c>
      <c r="BT345" s="3">
        <f>NEUTRO</f>
        <v/>
      </c>
      <c r="BU345" s="3">
        <f>IFERROR(VLOOKUP(L345,SEGURO_TBL,3,0),"")</f>
        <v/>
      </c>
      <c r="BV345" s="3">
        <f>IF(BU345="",NEUTRO,MAX(0,MIN(100,100*(SEG_REF_MAX-BU345)/(SEG_REF_MAX-SEG_REF_MIN))))</f>
        <v/>
      </c>
      <c r="BW345" s="3">
        <f>W_ET*BS345+W_CONS*BT345+W_SEG*BV345</f>
        <v/>
      </c>
      <c r="BX345" s="3">
        <f>IF(N(AB345)&gt;0,AB345,IF(AND(R345="profesional",SG_LEGAL_ON=1),GAR_LEGAL,0))</f>
        <v/>
      </c>
      <c r="BY345" s="3">
        <f>SG_GAR*MIN(1,BX345/SG_GAR_FULL)+SG_AMPL*(AC345="sí")+SG_KMC*(AF345="sí")+SG_REV*(N(AE345)&gt;0)+SG_DEV*MIN(1,N(AG345)/SG_DEV_FULL)+SG_HIST*(W345="sí")</f>
        <v/>
      </c>
      <c r="BZ345" s="3">
        <f>IFERROR(VLOOKUP(L345,CARR_PEN_TBL,2,0),0)</f>
        <v/>
      </c>
      <c r="CA345" s="3">
        <f>W_FIAB*BL345+W_PRECIO*BM345+W_KMEDAD*BQ345+W_ANUNCIO*BR345+W_USO*BW345+W_SEGURIDAD*BY345-BZ345</f>
        <v/>
      </c>
      <c r="CB345" s="4">
        <f>IF(N(I345)&gt;0,I345,IFERROR(ROUND(_xlfn.NUMBERVALUE(LEFT(G345,FIND(" ",G345&amp;" ")-1),".")*1000,0),99999))</f>
        <v/>
      </c>
      <c r="CC345" s="3">
        <f>IF(R345="profesional",0,IF(O345&lt;CUOTA_VALOR_MAX,IF(AU345&gt;ITP_TRAMO_ALTO,SUMIFS(CF_CUOTA,CF_MAS,ITP_TRAMO_ALTO,CF_CCMIN,"&lt;="&amp;CB345,CF_CCMAX,"&gt;="&amp;CB345),IF(AU345&gt;ITP_TRAMO_BAJO,SUMIFS(CF_CUOTA,CF_MAS,ITP_TRAMO_BAJO,CF_CCMIN,"&lt;="&amp;CB345,CF_CCMAX,"&gt;="&amp;CB345),O345*ITP_TIPO)),O345*ITP_TIPO))</f>
        <v/>
      </c>
      <c r="CD345" s="4">
        <f>IF(R345="profesional",N(AK345),0)</f>
        <v/>
      </c>
      <c r="CE345" s="3">
        <f>IF(AND(R345="profesional",ISNUMBER(AK345),AL345="sí"),0,TASA_DGT)</f>
        <v/>
      </c>
      <c r="CF345" s="3">
        <f>INFORME_DGT</f>
        <v/>
      </c>
      <c r="CG345" s="4">
        <f>O345+CD345+CC345+CE345+CF345</f>
        <v/>
      </c>
      <c r="CH345" s="4">
        <f>CG345+N(BU345)</f>
        <v/>
      </c>
      <c r="CI345" s="3">
        <f>IF(CG345&lt;=TOTAL_MAX,"sí",IF(CG345&lt;=TOTAL_MAX+MARGEN_NEG,"negociar","no"))</f>
        <v/>
      </c>
      <c r="CJ345" s="4">
        <f>IF(CI345&lt;&gt;"no",COUNTIFS($CI$2:$CI$662,"&lt;&gt;no",$CA$2:$CA$662,"&gt;"&amp;CA345)+COUNTIFS($CI$2:CI345,"&lt;&gt;no",$CA$2:CA345,CA345),"")</f>
        <v/>
      </c>
    </row>
    <row r="346">
      <c r="A346" s="2" t="inlineStr">
        <is>
          <t>wallapop:1304241784</t>
        </is>
      </c>
      <c r="B346" s="2" t="inlineStr">
        <is>
          <t>wallapop</t>
        </is>
      </c>
      <c r="C346" s="2" t="inlineStr">
        <is>
          <t>https://es.wallapop.com/item/renault-megane-2007-1304241784</t>
        </is>
      </c>
      <c r="D346" s="2" t="inlineStr">
        <is>
          <t>Renault Megane 2007</t>
        </is>
      </c>
      <c r="E346" s="2" t="inlineStr">
        <is>
          <t>Renault</t>
        </is>
      </c>
      <c r="F346" s="2" t="inlineStr">
        <is>
          <t>Renault Mégane</t>
        </is>
      </c>
      <c r="G346" s="2" t="inlineStr">
        <is>
          <t>1.5 dCi</t>
        </is>
      </c>
      <c r="H346" s="2" t="inlineStr">
        <is>
          <t>1.5 dCi 105 Expression 5p</t>
        </is>
      </c>
      <c r="I346" s="2" t="n"/>
      <c r="J346" s="2" t="n">
        <v>105</v>
      </c>
      <c r="K346" s="2" t="inlineStr">
        <is>
          <t>diesel</t>
        </is>
      </c>
      <c r="L346" s="2" t="inlineStr">
        <is>
          <t>compacto</t>
        </is>
      </c>
      <c r="M346" s="2" t="n">
        <v>2007</v>
      </c>
      <c r="N346" s="2" t="n">
        <v>143000</v>
      </c>
      <c r="O346" s="2" t="n">
        <v>3000</v>
      </c>
      <c r="P346" s="2" t="inlineStr">
        <is>
          <t>manual</t>
        </is>
      </c>
      <c r="Q346" s="2" t="inlineStr">
        <is>
          <t>no</t>
        </is>
      </c>
      <c r="R346" s="2" t="inlineStr">
        <is>
          <t>particular</t>
        </is>
      </c>
      <c r="S346" s="2" t="inlineStr">
        <is>
          <t>Gandía (46700)</t>
        </is>
      </c>
      <c r="T346" s="2" t="inlineStr">
        <is>
          <t>2026-09-21T12:59:04</t>
        </is>
      </c>
      <c r="U346" s="2" t="n">
        <v>6</v>
      </c>
      <c r="V346" s="2" t="n"/>
      <c r="W346" s="2" t="n"/>
      <c r="X346" s="2" t="n"/>
      <c r="Y346" s="2" t="n"/>
      <c r="Z346" s="2" t="n"/>
      <c r="AA346" s="2" t="n"/>
      <c r="AB346" s="2" t="n"/>
      <c r="AC346" s="2" t="n"/>
      <c r="AD346" s="2" t="n"/>
      <c r="AE346" s="2" t="n"/>
      <c r="AF346" s="2" t="n"/>
      <c r="AG346" s="2" t="n"/>
      <c r="AH346" s="2" t="n"/>
      <c r="AI346" s="2" t="n"/>
      <c r="AJ346" s="2" t="n"/>
      <c r="AK346" s="2" t="n"/>
      <c r="AL346" s="2" t="n"/>
      <c r="AM346" s="2" t="n">
        <v>57.1</v>
      </c>
      <c r="AN346" s="2" t="n">
        <v>4500</v>
      </c>
      <c r="AO346" s="2" t="n">
        <v>5</v>
      </c>
      <c r="AP346" s="2" t="inlineStr">
        <is>
          <t>modelo+año+km</t>
        </is>
      </c>
      <c r="AQ346" s="2" t="n"/>
      <c r="AR346" s="2" t="inlineStr">
        <is>
          <t>cuota fija ITP: &gt;12 años, hasta 1.500 cc</t>
        </is>
      </c>
      <c r="AS346" s="2" t="inlineStr">
        <is>
          <t xml:space="preserve">Con ITV. Perfecto estado . Ideal para trabajar y moverte en la ciudad </t>
        </is>
      </c>
      <c r="AT346" s="2" t="inlineStr">
        <is>
          <t>https://es.wallapop.com/item/renault-megane-2007-1304241784 (__NEXT_DATA__ item) /home/user/Alopecia/buscador-coches/raw/wallapop/ceeb0e8a6e7f571d.json</t>
        </is>
      </c>
      <c r="AU346" s="3">
        <f>MAX(ANIO_ACTUAL-M346,0)</f>
        <v/>
      </c>
      <c r="AV346" s="4">
        <f>N346/MAX(AU346,0.5)</f>
        <v/>
      </c>
      <c r="AW346" s="4">
        <f>F346</f>
        <v/>
      </c>
      <c r="AX346" s="3">
        <f>AW346&amp;"|"&amp;INT(M346/SEG_ANIO)*SEG_ANIO</f>
        <v/>
      </c>
      <c r="AY346" s="3">
        <f>AX346&amp;"|"&amp;INT(N346/SEG_KM)*SEG_KM</f>
        <v/>
      </c>
      <c r="AZ346" s="4">
        <f>COUNTIF($AW$2:$AW$662,AW346)</f>
        <v/>
      </c>
      <c r="BA346" s="4">
        <f>COUNTIF($AX$2:$AX$662,AX346)</f>
        <v/>
      </c>
      <c r="BB346" s="4">
        <f>COUNTIF($AY$2:$AY$662,AY346)</f>
        <v/>
      </c>
      <c r="BC346" s="3">
        <f t="array" ref="BC346">IF(N(AO346)&gt;=MIN_N,AN346,IF(BB346&gt;=MIN_N,MEDIAN(IF($AY$2:$AY$662=AY346,$O$2:$O$662)),IF(BA346&gt;=MIN_N,MEDIAN(IF($AX$2:$AX$662=AX346,$O$2:$O$662)),MEDIAN(IF($AW$2:$AW$662=AW346,$O$2:$O$662)))))</f>
        <v/>
      </c>
      <c r="BD346" s="3">
        <f>IF(N(AO346)&gt;=MIN_N,"mercado "&amp;AP346,IF(BB346&gt;=MIN_N,"modelo+año+km",IF(BA346&gt;=MIN_N,"modelo+año","modelo")))</f>
        <v/>
      </c>
      <c r="BE346" s="4">
        <f>(BC346-O346)/BC346</f>
        <v/>
      </c>
      <c r="BF346" s="3">
        <f>IF(OR(K346="hibrido",K346="glp"),"ECO",IF(K346="electrico","CERO",IF(K346="gasolina",IF(M346&gt;=GAS_C,"C",IF(M346&gt;=GAS_B,"B","A")),IF(K346="diesel",IF(M346&gt;=DIE_C,"C",IF(M346&gt;=DIE_B,"B","A")),""))))</f>
        <v/>
      </c>
      <c r="BG346" s="3">
        <f>IFERROR(VLOOKUP(F346,MOD_TBL,11,0),IFERROR(VLOOKUP(E346,OCU_TBL,2,0),NEUTRO))</f>
        <v/>
      </c>
      <c r="BH346" s="3">
        <f>SUMIFS(MOT_AJUSTE,MOT_MOTOR,G346,MOT_MARCA,E346,MOT_DESDE,"&lt;="&amp;M346,MOT_HASTA,"&gt;="&amp;M346)+SUMIFS(MOT_AJUSTE,MOT_MOTOR,G346,MOT_MARCA,"(todas)",MOT_DESDE,"&lt;="&amp;M346,MOT_HASTA,"&gt;="&amp;M346)</f>
        <v/>
      </c>
      <c r="BI346" s="3">
        <f>SUMIFS(COMB_AJUSTE,COMB_COMB,K346)</f>
        <v/>
      </c>
      <c r="BJ346" s="3">
        <f>COUNTIFS(MOT_MOTOR,G346,MOT_MARCA,E346,MOT_DESDE,"&lt;="&amp;M346,MOT_HASTA,"&gt;="&amp;M346)+COUNTIFS(MOT_MOTOR,G346,MOT_MARCA,"(todas)",MOT_DESDE,"&lt;="&amp;M346,MOT_HASTA,"&gt;="&amp;M346)</f>
        <v/>
      </c>
      <c r="BK346" s="3">
        <f>IF(AND(K346="diesel",BJ346=0),MIN(BG346,NEUTRO),BG346)</f>
        <v/>
      </c>
      <c r="BL346" s="4">
        <f>MAX(0,MIN(100,BK346+BH346+BI346))</f>
        <v/>
      </c>
      <c r="BM346" s="3">
        <f>MAX(0,MIN(100,50+BE346*PRECIO_PEND))</f>
        <v/>
      </c>
      <c r="BN346" s="3">
        <f>MAX(0,100*(1-N346/KM_MAX))</f>
        <v/>
      </c>
      <c r="BO346" s="3">
        <f>IF(AV346&lt;KMA_SOSP,IF(AA346="sí",100,KMA_PEN),IF(AV346&lt;=KMA_IDEAL_MAX,100,MAX(0,100*(KMA_CERO-AV346)/(KMA_CERO-KMA_IDEAL_MAX))))</f>
        <v/>
      </c>
      <c r="BP346" s="3">
        <f>MAX(0,MIN(100,100*(M346-ANIO_MIN)/(ANIO_ACTUAL-ANIO_MIN)))</f>
        <v/>
      </c>
      <c r="BQ346" s="3">
        <f>W_KMT*BN346+W_KMA*BO346+W_EDAD*BP346</f>
        <v/>
      </c>
      <c r="BR346" s="3">
        <f>P_ITV*(V346="sí")+P_LIBRO*(W346="sí")+P_CORREA*(X346="sí")+P_PROP*(Y346=1)+P_GAR*(Z346="sí")+P_FOTOS*MIN(1,N(U346)/FOTOS_OBJ)</f>
        <v/>
      </c>
      <c r="BS346" s="3">
        <f>IFERROR(VLOOKUP(BF346,ETQ_TBL,2,0),NEUTRO)</f>
        <v/>
      </c>
      <c r="BT346" s="3">
        <f>NEUTRO</f>
        <v/>
      </c>
      <c r="BU346" s="3">
        <f>IFERROR(VLOOKUP(L346,SEGURO_TBL,3,0),"")</f>
        <v/>
      </c>
      <c r="BV346" s="3">
        <f>IF(BU346="",NEUTRO,MAX(0,MIN(100,100*(SEG_REF_MAX-BU346)/(SEG_REF_MAX-SEG_REF_MIN))))</f>
        <v/>
      </c>
      <c r="BW346" s="3">
        <f>W_ET*BS346+W_CONS*BT346+W_SEG*BV346</f>
        <v/>
      </c>
      <c r="BX346" s="3">
        <f>IF(N(AB346)&gt;0,AB346,IF(AND(R346="profesional",SG_LEGAL_ON=1),GAR_LEGAL,0))</f>
        <v/>
      </c>
      <c r="BY346" s="3">
        <f>SG_GAR*MIN(1,BX346/SG_GAR_FULL)+SG_AMPL*(AC346="sí")+SG_KMC*(AF346="sí")+SG_REV*(N(AE346)&gt;0)+SG_DEV*MIN(1,N(AG346)/SG_DEV_FULL)+SG_HIST*(W346="sí")</f>
        <v/>
      </c>
      <c r="BZ346" s="3">
        <f>IFERROR(VLOOKUP(L346,CARR_PEN_TBL,2,0),0)</f>
        <v/>
      </c>
      <c r="CA346" s="3">
        <f>W_FIAB*BL346+W_PRECIO*BM346+W_KMEDAD*BQ346+W_ANUNCIO*BR346+W_USO*BW346+W_SEGURIDAD*BY346-BZ346</f>
        <v/>
      </c>
      <c r="CB346" s="4">
        <f>IF(N(I346)&gt;0,I346,IFERROR(ROUND(_xlfn.NUMBERVALUE(LEFT(G346,FIND(" ",G346&amp;" ")-1),".")*1000,0),99999))</f>
        <v/>
      </c>
      <c r="CC346" s="3">
        <f>IF(R346="profesional",0,IF(O346&lt;CUOTA_VALOR_MAX,IF(AU346&gt;ITP_TRAMO_ALTO,SUMIFS(CF_CUOTA,CF_MAS,ITP_TRAMO_ALTO,CF_CCMIN,"&lt;="&amp;CB346,CF_CCMAX,"&gt;="&amp;CB346),IF(AU346&gt;ITP_TRAMO_BAJO,SUMIFS(CF_CUOTA,CF_MAS,ITP_TRAMO_BAJO,CF_CCMIN,"&lt;="&amp;CB346,CF_CCMAX,"&gt;="&amp;CB346),O346*ITP_TIPO)),O346*ITP_TIPO))</f>
        <v/>
      </c>
      <c r="CD346" s="4">
        <f>IF(R346="profesional",N(AK346),0)</f>
        <v/>
      </c>
      <c r="CE346" s="3">
        <f>IF(AND(R346="profesional",ISNUMBER(AK346),AL346="sí"),0,TASA_DGT)</f>
        <v/>
      </c>
      <c r="CF346" s="3">
        <f>INFORME_DGT</f>
        <v/>
      </c>
      <c r="CG346" s="4">
        <f>O346+CD346+CC346+CE346+CF346</f>
        <v/>
      </c>
      <c r="CH346" s="4">
        <f>CG346+N(BU346)</f>
        <v/>
      </c>
      <c r="CI346" s="3">
        <f>IF(CG346&lt;=TOTAL_MAX,"sí",IF(CG346&lt;=TOTAL_MAX+MARGEN_NEG,"negociar","no"))</f>
        <v/>
      </c>
      <c r="CJ346" s="4">
        <f>IF(CI346&lt;&gt;"no",COUNTIFS($CI$2:$CI$662,"&lt;&gt;no",$CA$2:$CA$662,"&gt;"&amp;CA346)+COUNTIFS($CI$2:CI346,"&lt;&gt;no",$CA$2:CA346,CA346),"")</f>
        <v/>
      </c>
    </row>
    <row r="347">
      <c r="A347" s="2" t="inlineStr">
        <is>
          <t>wallapop:1316184209</t>
        </is>
      </c>
      <c r="B347" s="2" t="inlineStr">
        <is>
          <t>wallapop</t>
        </is>
      </c>
      <c r="C347" s="2" t="inlineStr">
        <is>
          <t>https://es.wallapop.com/item/peugeot-207-2007-1316184209</t>
        </is>
      </c>
      <c r="D347" s="2" t="inlineStr">
        <is>
          <t>Peugeot 207. (2007)</t>
        </is>
      </c>
      <c r="E347" s="2" t="inlineStr">
        <is>
          <t>Peugeot</t>
        </is>
      </c>
      <c r="F347" s="2" t="inlineStr">
        <is>
          <t>Peugeot 207</t>
        </is>
      </c>
      <c r="G347" s="2" t="n"/>
      <c r="H347" s="2" t="n"/>
      <c r="I347" s="2" t="n"/>
      <c r="J347" s="2" t="n"/>
      <c r="K347" s="2" t="inlineStr">
        <is>
          <t>gasolina</t>
        </is>
      </c>
      <c r="L347" s="2" t="inlineStr">
        <is>
          <t>utilitario</t>
        </is>
      </c>
      <c r="M347" s="2" t="n">
        <v>2007</v>
      </c>
      <c r="N347" s="2" t="n">
        <v>180000</v>
      </c>
      <c r="O347" s="2" t="n">
        <v>2900</v>
      </c>
      <c r="P347" s="2" t="inlineStr">
        <is>
          <t>manual</t>
        </is>
      </c>
      <c r="Q347" s="2" t="inlineStr">
        <is>
          <t>no</t>
        </is>
      </c>
      <c r="R347" s="2" t="inlineStr">
        <is>
          <t>particular</t>
        </is>
      </c>
      <c r="S347" s="2" t="inlineStr">
        <is>
          <t>Valencia (46025)</t>
        </is>
      </c>
      <c r="T347" s="2" t="inlineStr">
        <is>
          <t>2026-10-23T09:51:10</t>
        </is>
      </c>
      <c r="U347" s="2" t="n">
        <v>10</v>
      </c>
      <c r="V347" s="2" t="inlineStr">
        <is>
          <t>sí</t>
        </is>
      </c>
      <c r="W347" s="2" t="n"/>
      <c r="X347" s="2" t="n"/>
      <c r="Y347" s="2" t="n"/>
      <c r="Z347" s="2" t="n"/>
      <c r="AA347" s="2" t="n"/>
      <c r="AB347" s="2" t="n"/>
      <c r="AC347" s="2" t="n"/>
      <c r="AD347" s="2" t="n"/>
      <c r="AE347" s="2" t="n"/>
      <c r="AF347" s="2" t="n"/>
      <c r="AG347" s="2" t="n"/>
      <c r="AH347" s="2" t="n"/>
      <c r="AI347" s="2" t="n"/>
      <c r="AJ347" s="2" t="n"/>
      <c r="AK347" s="2" t="n"/>
      <c r="AL347" s="2" t="n"/>
      <c r="AM347" s="2" t="n">
        <v>2.4</v>
      </c>
      <c r="AN347" s="2" t="n">
        <v>3600</v>
      </c>
      <c r="AO347" s="2" t="n">
        <v>21</v>
      </c>
      <c r="AP347" s="2" t="inlineStr">
        <is>
          <t>modelo+año+km</t>
        </is>
      </c>
      <c r="AQ347" s="2" t="n"/>
      <c r="AR347" s="2" t="inlineStr">
        <is>
          <t>cilindrada desconocida: se aplica el tramo de cuota fija más alto; cuota fija ITP: &gt;12 años, más de 2.000 cc; fiabilidad del modelo PENDIENTE de fuente (puntuación neutra)</t>
        </is>
      </c>
      <c r="AS347" s="2" t="inlineStr">
        <is>
          <t xml:space="preserve">🚗 Se vende Peugeot 207 del año 2007, motor gasolina, con 180.000 km.
Coche compacto, cómodo y práctico, ideal para ciudad, desplazamientos diarios y también para carretera. 3 puertas, con un diseño deportivo y un color verde muy llamativo.
El coche presenta un buen aspecto general, tanto exterior como interior, y se entrega tal y como se puede apreciar en las fotografías.
🔧 Equipamiento y características
✅ Motor gasolina
✅ 180.000 km
✅ 3 puertas
✅ itv al dia 2027 
✅ Cambio manual
✅ Llantas de aleación
✅ Aire acondicionado
✅ Elevalunas eléctricos
✅ Cierre centralizado
✅ Faros antiniebla
✅ Volante multifunción
✅ Luneta trasera tintada
✅ Enganche de remolque
Coche ágil, fácil de conducir y de tamaño muy cómodo para aparcar, perfecto como coche de uso diario o como primer vehículo.
📸 Fotos reales del vehículo, tomadas recientemente.
📍 Se puede ver y probar sin compromiso.
📩 Para más información, interesados pueden contactar por mensaje ⬇️
-  (687226271). 📲
</t>
        </is>
      </c>
      <c r="AT347" s="2" t="inlineStr">
        <is>
          <t>https://es.wallapop.com/item/peugeot-207-2007-1316184209 (__NEXT_DATA__ item) /home/user/Alopecia/buscador-coches/raw/wallapop/df3503c3eb4bf341.json</t>
        </is>
      </c>
      <c r="AU347" s="3">
        <f>MAX(ANIO_ACTUAL-M347,0)</f>
        <v/>
      </c>
      <c r="AV347" s="4">
        <f>N347/MAX(AU347,0.5)</f>
        <v/>
      </c>
      <c r="AW347" s="4">
        <f>F347</f>
        <v/>
      </c>
      <c r="AX347" s="3">
        <f>AW347&amp;"|"&amp;INT(M347/SEG_ANIO)*SEG_ANIO</f>
        <v/>
      </c>
      <c r="AY347" s="3">
        <f>AX347&amp;"|"&amp;INT(N347/SEG_KM)*SEG_KM</f>
        <v/>
      </c>
      <c r="AZ347" s="4">
        <f>COUNTIF($AW$2:$AW$662,AW347)</f>
        <v/>
      </c>
      <c r="BA347" s="4">
        <f>COUNTIF($AX$2:$AX$662,AX347)</f>
        <v/>
      </c>
      <c r="BB347" s="4">
        <f>COUNTIF($AY$2:$AY$662,AY347)</f>
        <v/>
      </c>
      <c r="BC347" s="3">
        <f t="array" ref="BC347">IF(N(AO347)&gt;=MIN_N,AN347,IF(BB347&gt;=MIN_N,MEDIAN(IF($AY$2:$AY$662=AY347,$O$2:$O$662)),IF(BA347&gt;=MIN_N,MEDIAN(IF($AX$2:$AX$662=AX347,$O$2:$O$662)),MEDIAN(IF($AW$2:$AW$662=AW347,$O$2:$O$662)))))</f>
        <v/>
      </c>
      <c r="BD347" s="3">
        <f>IF(N(AO347)&gt;=MIN_N,"mercado "&amp;AP347,IF(BB347&gt;=MIN_N,"modelo+año+km",IF(BA347&gt;=MIN_N,"modelo+año","modelo")))</f>
        <v/>
      </c>
      <c r="BE347" s="4">
        <f>(BC347-O347)/BC347</f>
        <v/>
      </c>
      <c r="BF347" s="3">
        <f>IF(OR(K347="hibrido",K347="glp"),"ECO",IF(K347="electrico","CERO",IF(K347="gasolina",IF(M347&gt;=GAS_C,"C",IF(M347&gt;=GAS_B,"B","A")),IF(K347="diesel",IF(M347&gt;=DIE_C,"C",IF(M347&gt;=DIE_B,"B","A")),""))))</f>
        <v/>
      </c>
      <c r="BG347" s="3">
        <f>IFERROR(VLOOKUP(F347,MOD_TBL,11,0),IFERROR(VLOOKUP(E347,OCU_TBL,2,0),NEUTRO))</f>
        <v/>
      </c>
      <c r="BH347" s="3">
        <f>SUMIFS(MOT_AJUSTE,MOT_MOTOR,G347,MOT_MARCA,E347,MOT_DESDE,"&lt;="&amp;M347,MOT_HASTA,"&gt;="&amp;M347)+SUMIFS(MOT_AJUSTE,MOT_MOTOR,G347,MOT_MARCA,"(todas)",MOT_DESDE,"&lt;="&amp;M347,MOT_HASTA,"&gt;="&amp;M347)</f>
        <v/>
      </c>
      <c r="BI347" s="3">
        <f>SUMIFS(COMB_AJUSTE,COMB_COMB,K347)</f>
        <v/>
      </c>
      <c r="BJ347" s="3">
        <f>COUNTIFS(MOT_MOTOR,G347,MOT_MARCA,E347,MOT_DESDE,"&lt;="&amp;M347,MOT_HASTA,"&gt;="&amp;M347)+COUNTIFS(MOT_MOTOR,G347,MOT_MARCA,"(todas)",MOT_DESDE,"&lt;="&amp;M347,MOT_HASTA,"&gt;="&amp;M347)</f>
        <v/>
      </c>
      <c r="BK347" s="3">
        <f>IF(AND(K347="diesel",BJ347=0),MIN(BG347,NEUTRO),BG347)</f>
        <v/>
      </c>
      <c r="BL347" s="4">
        <f>MAX(0,MIN(100,BK347+BH347+BI347))</f>
        <v/>
      </c>
      <c r="BM347" s="3">
        <f>MAX(0,MIN(100,50+BE347*PRECIO_PEND))</f>
        <v/>
      </c>
      <c r="BN347" s="3">
        <f>MAX(0,100*(1-N347/KM_MAX))</f>
        <v/>
      </c>
      <c r="BO347" s="3">
        <f>IF(AV347&lt;KMA_SOSP,IF(AA347="sí",100,KMA_PEN),IF(AV347&lt;=KMA_IDEAL_MAX,100,MAX(0,100*(KMA_CERO-AV347)/(KMA_CERO-KMA_IDEAL_MAX))))</f>
        <v/>
      </c>
      <c r="BP347" s="3">
        <f>MAX(0,MIN(100,100*(M347-ANIO_MIN)/(ANIO_ACTUAL-ANIO_MIN)))</f>
        <v/>
      </c>
      <c r="BQ347" s="3">
        <f>W_KMT*BN347+W_KMA*BO347+W_EDAD*BP347</f>
        <v/>
      </c>
      <c r="BR347" s="3">
        <f>P_ITV*(V347="sí")+P_LIBRO*(W347="sí")+P_CORREA*(X347="sí")+P_PROP*(Y347=1)+P_GAR*(Z347="sí")+P_FOTOS*MIN(1,N(U347)/FOTOS_OBJ)</f>
        <v/>
      </c>
      <c r="BS347" s="3">
        <f>IFERROR(VLOOKUP(BF347,ETQ_TBL,2,0),NEUTRO)</f>
        <v/>
      </c>
      <c r="BT347" s="3">
        <f>NEUTRO</f>
        <v/>
      </c>
      <c r="BU347" s="3">
        <f>IFERROR(VLOOKUP(L347,SEGURO_TBL,3,0),"")</f>
        <v/>
      </c>
      <c r="BV347" s="3">
        <f>IF(BU347="",NEUTRO,MAX(0,MIN(100,100*(SEG_REF_MAX-BU347)/(SEG_REF_MAX-SEG_REF_MIN))))</f>
        <v/>
      </c>
      <c r="BW347" s="3">
        <f>W_ET*BS347+W_CONS*BT347+W_SEG*BV347</f>
        <v/>
      </c>
      <c r="BX347" s="3">
        <f>IF(N(AB347)&gt;0,AB347,IF(AND(R347="profesional",SG_LEGAL_ON=1),GAR_LEGAL,0))</f>
        <v/>
      </c>
      <c r="BY347" s="3">
        <f>SG_GAR*MIN(1,BX347/SG_GAR_FULL)+SG_AMPL*(AC347="sí")+SG_KMC*(AF347="sí")+SG_REV*(N(AE347)&gt;0)+SG_DEV*MIN(1,N(AG347)/SG_DEV_FULL)+SG_HIST*(W347="sí")</f>
        <v/>
      </c>
      <c r="BZ347" s="3">
        <f>IFERROR(VLOOKUP(L347,CARR_PEN_TBL,2,0),0)</f>
        <v/>
      </c>
      <c r="CA347" s="3">
        <f>W_FIAB*BL347+W_PRECIO*BM347+W_KMEDAD*BQ347+W_ANUNCIO*BR347+W_USO*BW347+W_SEGURIDAD*BY347-BZ347</f>
        <v/>
      </c>
      <c r="CB347" s="4">
        <f>IF(N(I347)&gt;0,I347,IFERROR(ROUND(_xlfn.NUMBERVALUE(LEFT(G347,FIND(" ",G347&amp;" ")-1),".")*1000,0),99999))</f>
        <v/>
      </c>
      <c r="CC347" s="3">
        <f>IF(R347="profesional",0,IF(O347&lt;CUOTA_VALOR_MAX,IF(AU347&gt;ITP_TRAMO_ALTO,SUMIFS(CF_CUOTA,CF_MAS,ITP_TRAMO_ALTO,CF_CCMIN,"&lt;="&amp;CB347,CF_CCMAX,"&gt;="&amp;CB347),IF(AU347&gt;ITP_TRAMO_BAJO,SUMIFS(CF_CUOTA,CF_MAS,ITP_TRAMO_BAJO,CF_CCMIN,"&lt;="&amp;CB347,CF_CCMAX,"&gt;="&amp;CB347),O347*ITP_TIPO)),O347*ITP_TIPO))</f>
        <v/>
      </c>
      <c r="CD347" s="4">
        <f>IF(R347="profesional",N(AK347),0)</f>
        <v/>
      </c>
      <c r="CE347" s="3">
        <f>IF(AND(R347="profesional",ISNUMBER(AK347),AL347="sí"),0,TASA_DGT)</f>
        <v/>
      </c>
      <c r="CF347" s="3">
        <f>INFORME_DGT</f>
        <v/>
      </c>
      <c r="CG347" s="4">
        <f>O347+CD347+CC347+CE347+CF347</f>
        <v/>
      </c>
      <c r="CH347" s="4">
        <f>CG347+N(BU347)</f>
        <v/>
      </c>
      <c r="CI347" s="3">
        <f>IF(CG347&lt;=TOTAL_MAX,"sí",IF(CG347&lt;=TOTAL_MAX+MARGEN_NEG,"negociar","no"))</f>
        <v/>
      </c>
      <c r="CJ347" s="4">
        <f>IF(CI347&lt;&gt;"no",COUNTIFS($CI$2:$CI$662,"&lt;&gt;no",$CA$2:$CA$662,"&gt;"&amp;CA347)+COUNTIFS($CI$2:CI347,"&lt;&gt;no",$CA$2:CA347,CA347),"")</f>
        <v/>
      </c>
    </row>
    <row r="348">
      <c r="A348" s="2" t="inlineStr">
        <is>
          <t>wallapop:1312982018</t>
        </is>
      </c>
      <c r="B348" s="2" t="inlineStr">
        <is>
          <t>wallapop</t>
        </is>
      </c>
      <c r="C348" s="2" t="inlineStr">
        <is>
          <t>https://es.wallapop.com/item/peugeot-207-2007-1312982018</t>
        </is>
      </c>
      <c r="D348" s="2" t="inlineStr">
        <is>
          <t>Peugeot 207 2007</t>
        </is>
      </c>
      <c r="E348" s="2" t="inlineStr">
        <is>
          <t>Peugeot</t>
        </is>
      </c>
      <c r="F348" s="2" t="inlineStr">
        <is>
          <t>Peugeot 207</t>
        </is>
      </c>
      <c r="G348" s="2" t="inlineStr">
        <is>
          <t>1.4 HDi</t>
        </is>
      </c>
      <c r="H348" s="2" t="inlineStr">
        <is>
          <t>1.4 HDi 70 X-Line 5p</t>
        </is>
      </c>
      <c r="I348" s="2" t="n"/>
      <c r="J348" s="2" t="n">
        <v>70</v>
      </c>
      <c r="K348" s="2" t="inlineStr">
        <is>
          <t>diesel</t>
        </is>
      </c>
      <c r="L348" s="2" t="inlineStr">
        <is>
          <t>utilitario</t>
        </is>
      </c>
      <c r="M348" s="2" t="n">
        <v>2007</v>
      </c>
      <c r="N348" s="2" t="n">
        <v>89000</v>
      </c>
      <c r="O348" s="2" t="n">
        <v>4750</v>
      </c>
      <c r="P348" s="2" t="inlineStr">
        <is>
          <t>manual</t>
        </is>
      </c>
      <c r="Q348" s="2" t="inlineStr">
        <is>
          <t>no</t>
        </is>
      </c>
      <c r="R348" s="2" t="inlineStr">
        <is>
          <t>particular</t>
        </is>
      </c>
      <c r="S348" s="2" t="inlineStr">
        <is>
          <t>Valencia (46005)</t>
        </is>
      </c>
      <c r="T348" s="2" t="inlineStr">
        <is>
          <t>2026-10-26T10:34:07</t>
        </is>
      </c>
      <c r="U348" s="2" t="n">
        <v>10</v>
      </c>
      <c r="V348" s="2" t="inlineStr">
        <is>
          <t>sí</t>
        </is>
      </c>
      <c r="W348" s="2" t="n"/>
      <c r="X348" s="2" t="n"/>
      <c r="Y348" s="2" t="n">
        <v>1</v>
      </c>
      <c r="Z348" s="2" t="n"/>
      <c r="AA348" s="2" t="n"/>
      <c r="AB348" s="2" t="n"/>
      <c r="AC348" s="2" t="n"/>
      <c r="AD348" s="2" t="n"/>
      <c r="AE348" s="2" t="n"/>
      <c r="AF348" s="2" t="n"/>
      <c r="AG348" s="2" t="n"/>
      <c r="AH348" s="2" t="n"/>
      <c r="AI348" s="2" t="n"/>
      <c r="AJ348" s="2" t="n"/>
      <c r="AK348" s="2" t="n"/>
      <c r="AL348" s="2" t="n"/>
      <c r="AM348" s="2" t="n">
        <v>0.8</v>
      </c>
      <c r="AN348" s="2" t="n">
        <v>4750</v>
      </c>
      <c r="AO348" s="2" t="n">
        <v>13</v>
      </c>
      <c r="AP348" s="2" t="inlineStr">
        <is>
          <t>modelo+año+km</t>
        </is>
      </c>
      <c r="AQ348" s="2" t="inlineStr">
        <is>
          <t>cochesnet:71742936 (https://www.coches.net/peugeot-207-14-hdi-xline-5p-diesel-2007-en-valencia-71742936-covo.aspx)</t>
        </is>
      </c>
      <c r="AR348" s="2" t="inlineStr">
        <is>
          <t>cuota fija ITP: &gt;12 años, hasta 1.500 cc; fiabilidad del modelo PENDIENTE de fuente (puntuación neutra)</t>
        </is>
      </c>
      <c r="AS348" s="2" t="inlineStr">
        <is>
          <t>**Peugeot 207 X-Line 1.4 HDi Diésel – 89.000 km**
Peugeot 207 con solo 89.000 km y un solo propietario. Está muy cuidado y se le acaba de hacer mantenimiento.
Tiene cambio de aceite y filtro reciente, 4 neumáticos, ITV hasta 10/2027 y se ha hecho limpieza interior a vapor y pulido exterior.
Motor 1.4 HDi diésel, de bajo consumo. Acabado X-Line y Bluetooth.
Es un coche cómodo y económico para el día a día, especialmente interesante por el kilometraje que tiene.
Se puede ver y probar en Valencia / Catarroja.
Si estás interesado, escribime y dejame tu número para que podamos llamarte y darte más detalles.</t>
        </is>
      </c>
      <c r="AT348" s="2" t="inlineStr">
        <is>
          <t>https://es.wallapop.com/item/peugeot-207-2007-1312982018 (__NEXT_DATA__ item) /home/user/Alopecia/buscador-coches/raw/wallapop/b719469cbecc22e7.json</t>
        </is>
      </c>
      <c r="AU348" s="3">
        <f>MAX(ANIO_ACTUAL-M348,0)</f>
        <v/>
      </c>
      <c r="AV348" s="4">
        <f>N348/MAX(AU348,0.5)</f>
        <v/>
      </c>
      <c r="AW348" s="4">
        <f>F348</f>
        <v/>
      </c>
      <c r="AX348" s="3">
        <f>AW348&amp;"|"&amp;INT(M348/SEG_ANIO)*SEG_ANIO</f>
        <v/>
      </c>
      <c r="AY348" s="3">
        <f>AX348&amp;"|"&amp;INT(N348/SEG_KM)*SEG_KM</f>
        <v/>
      </c>
      <c r="AZ348" s="4">
        <f>COUNTIF($AW$2:$AW$662,AW348)</f>
        <v/>
      </c>
      <c r="BA348" s="4">
        <f>COUNTIF($AX$2:$AX$662,AX348)</f>
        <v/>
      </c>
      <c r="BB348" s="4">
        <f>COUNTIF($AY$2:$AY$662,AY348)</f>
        <v/>
      </c>
      <c r="BC348" s="3">
        <f t="array" ref="BC348">IF(N(AO348)&gt;=MIN_N,AN348,IF(BB348&gt;=MIN_N,MEDIAN(IF($AY$2:$AY$662=AY348,$O$2:$O$662)),IF(BA348&gt;=MIN_N,MEDIAN(IF($AX$2:$AX$662=AX348,$O$2:$O$662)),MEDIAN(IF($AW$2:$AW$662=AW348,$O$2:$O$662)))))</f>
        <v/>
      </c>
      <c r="BD348" s="3">
        <f>IF(N(AO348)&gt;=MIN_N,"mercado "&amp;AP348,IF(BB348&gt;=MIN_N,"modelo+año+km",IF(BA348&gt;=MIN_N,"modelo+año","modelo")))</f>
        <v/>
      </c>
      <c r="BE348" s="4">
        <f>(BC348-O348)/BC348</f>
        <v/>
      </c>
      <c r="BF348" s="3">
        <f>IF(OR(K348="hibrido",K348="glp"),"ECO",IF(K348="electrico","CERO",IF(K348="gasolina",IF(M348&gt;=GAS_C,"C",IF(M348&gt;=GAS_B,"B","A")),IF(K348="diesel",IF(M348&gt;=DIE_C,"C",IF(M348&gt;=DIE_B,"B","A")),""))))</f>
        <v/>
      </c>
      <c r="BG348" s="3">
        <f>IFERROR(VLOOKUP(F348,MOD_TBL,11,0),IFERROR(VLOOKUP(E348,OCU_TBL,2,0),NEUTRO))</f>
        <v/>
      </c>
      <c r="BH348" s="3">
        <f>SUMIFS(MOT_AJUSTE,MOT_MOTOR,G348,MOT_MARCA,E348,MOT_DESDE,"&lt;="&amp;M348,MOT_HASTA,"&gt;="&amp;M348)+SUMIFS(MOT_AJUSTE,MOT_MOTOR,G348,MOT_MARCA,"(todas)",MOT_DESDE,"&lt;="&amp;M348,MOT_HASTA,"&gt;="&amp;M348)</f>
        <v/>
      </c>
      <c r="BI348" s="3">
        <f>SUMIFS(COMB_AJUSTE,COMB_COMB,K348)</f>
        <v/>
      </c>
      <c r="BJ348" s="3">
        <f>COUNTIFS(MOT_MOTOR,G348,MOT_MARCA,E348,MOT_DESDE,"&lt;="&amp;M348,MOT_HASTA,"&gt;="&amp;M348)+COUNTIFS(MOT_MOTOR,G348,MOT_MARCA,"(todas)",MOT_DESDE,"&lt;="&amp;M348,MOT_HASTA,"&gt;="&amp;M348)</f>
        <v/>
      </c>
      <c r="BK348" s="3">
        <f>IF(AND(K348="diesel",BJ348=0),MIN(BG348,NEUTRO),BG348)</f>
        <v/>
      </c>
      <c r="BL348" s="4">
        <f>MAX(0,MIN(100,BK348+BH348+BI348))</f>
        <v/>
      </c>
      <c r="BM348" s="3">
        <f>MAX(0,MIN(100,50+BE348*PRECIO_PEND))</f>
        <v/>
      </c>
      <c r="BN348" s="3">
        <f>MAX(0,100*(1-N348/KM_MAX))</f>
        <v/>
      </c>
      <c r="BO348" s="3">
        <f>IF(AV348&lt;KMA_SOSP,IF(AA348="sí",100,KMA_PEN),IF(AV348&lt;=KMA_IDEAL_MAX,100,MAX(0,100*(KMA_CERO-AV348)/(KMA_CERO-KMA_IDEAL_MAX))))</f>
        <v/>
      </c>
      <c r="BP348" s="3">
        <f>MAX(0,MIN(100,100*(M348-ANIO_MIN)/(ANIO_ACTUAL-ANIO_MIN)))</f>
        <v/>
      </c>
      <c r="BQ348" s="3">
        <f>W_KMT*BN348+W_KMA*BO348+W_EDAD*BP348</f>
        <v/>
      </c>
      <c r="BR348" s="3">
        <f>P_ITV*(V348="sí")+P_LIBRO*(W348="sí")+P_CORREA*(X348="sí")+P_PROP*(Y348=1)+P_GAR*(Z348="sí")+P_FOTOS*MIN(1,N(U348)/FOTOS_OBJ)</f>
        <v/>
      </c>
      <c r="BS348" s="3">
        <f>IFERROR(VLOOKUP(BF348,ETQ_TBL,2,0),NEUTRO)</f>
        <v/>
      </c>
      <c r="BT348" s="3">
        <f>NEUTRO</f>
        <v/>
      </c>
      <c r="BU348" s="3">
        <f>IFERROR(VLOOKUP(L348,SEGURO_TBL,3,0),"")</f>
        <v/>
      </c>
      <c r="BV348" s="3">
        <f>IF(BU348="",NEUTRO,MAX(0,MIN(100,100*(SEG_REF_MAX-BU348)/(SEG_REF_MAX-SEG_REF_MIN))))</f>
        <v/>
      </c>
      <c r="BW348" s="3">
        <f>W_ET*BS348+W_CONS*BT348+W_SEG*BV348</f>
        <v/>
      </c>
      <c r="BX348" s="3">
        <f>IF(N(AB348)&gt;0,AB348,IF(AND(R348="profesional",SG_LEGAL_ON=1),GAR_LEGAL,0))</f>
        <v/>
      </c>
      <c r="BY348" s="3">
        <f>SG_GAR*MIN(1,BX348/SG_GAR_FULL)+SG_AMPL*(AC348="sí")+SG_KMC*(AF348="sí")+SG_REV*(N(AE348)&gt;0)+SG_DEV*MIN(1,N(AG348)/SG_DEV_FULL)+SG_HIST*(W348="sí")</f>
        <v/>
      </c>
      <c r="BZ348" s="3">
        <f>IFERROR(VLOOKUP(L348,CARR_PEN_TBL,2,0),0)</f>
        <v/>
      </c>
      <c r="CA348" s="3">
        <f>W_FIAB*BL348+W_PRECIO*BM348+W_KMEDAD*BQ348+W_ANUNCIO*BR348+W_USO*BW348+W_SEGURIDAD*BY348-BZ348</f>
        <v/>
      </c>
      <c r="CB348" s="4">
        <f>IF(N(I348)&gt;0,I348,IFERROR(ROUND(_xlfn.NUMBERVALUE(LEFT(G348,FIND(" ",G348&amp;" ")-1),".")*1000,0),99999))</f>
        <v/>
      </c>
      <c r="CC348" s="3">
        <f>IF(R348="profesional",0,IF(O348&lt;CUOTA_VALOR_MAX,IF(AU348&gt;ITP_TRAMO_ALTO,SUMIFS(CF_CUOTA,CF_MAS,ITP_TRAMO_ALTO,CF_CCMIN,"&lt;="&amp;CB348,CF_CCMAX,"&gt;="&amp;CB348),IF(AU348&gt;ITP_TRAMO_BAJO,SUMIFS(CF_CUOTA,CF_MAS,ITP_TRAMO_BAJO,CF_CCMIN,"&lt;="&amp;CB348,CF_CCMAX,"&gt;="&amp;CB348),O348*ITP_TIPO)),O348*ITP_TIPO))</f>
        <v/>
      </c>
      <c r="CD348" s="4">
        <f>IF(R348="profesional",N(AK348),0)</f>
        <v/>
      </c>
      <c r="CE348" s="3">
        <f>IF(AND(R348="profesional",ISNUMBER(AK348),AL348="sí"),0,TASA_DGT)</f>
        <v/>
      </c>
      <c r="CF348" s="3">
        <f>INFORME_DGT</f>
        <v/>
      </c>
      <c r="CG348" s="4">
        <f>O348+CD348+CC348+CE348+CF348</f>
        <v/>
      </c>
      <c r="CH348" s="4">
        <f>CG348+N(BU348)</f>
        <v/>
      </c>
      <c r="CI348" s="3">
        <f>IF(CG348&lt;=TOTAL_MAX,"sí",IF(CG348&lt;=TOTAL_MAX+MARGEN_NEG,"negociar","no"))</f>
        <v/>
      </c>
      <c r="CJ348" s="4">
        <f>IF(CI348&lt;&gt;"no",COUNTIFS($CI$2:$CI$662,"&lt;&gt;no",$CA$2:$CA$662,"&gt;"&amp;CA348)+COUNTIFS($CI$2:CI348,"&lt;&gt;no",$CA$2:CA348,CA348),"")</f>
        <v/>
      </c>
    </row>
    <row r="349">
      <c r="A349" s="2" t="inlineStr">
        <is>
          <t>wallapop:1301586201</t>
        </is>
      </c>
      <c r="B349" s="2" t="inlineStr">
        <is>
          <t>wallapop</t>
        </is>
      </c>
      <c r="C349" s="2" t="inlineStr">
        <is>
          <t>https://es.wallapop.com/item/peugeot-207-2007-1301586201</t>
        </is>
      </c>
      <c r="D349" s="2" t="inlineStr">
        <is>
          <t>Peugeot 207 1.4i Urban - Gasolina - 5 puertas</t>
        </is>
      </c>
      <c r="E349" s="2" t="inlineStr">
        <is>
          <t>Peugeot</t>
        </is>
      </c>
      <c r="F349" s="2" t="inlineStr">
        <is>
          <t>Peugeot 207</t>
        </is>
      </c>
      <c r="G349" s="2" t="inlineStr">
        <is>
          <t>1.4</t>
        </is>
      </c>
      <c r="H349" s="2" t="inlineStr">
        <is>
          <t>1.4i 75 Urban 5p</t>
        </is>
      </c>
      <c r="I349" s="2" t="n"/>
      <c r="J349" s="2" t="n">
        <v>75</v>
      </c>
      <c r="K349" s="2" t="inlineStr">
        <is>
          <t>gasolina</t>
        </is>
      </c>
      <c r="L349" s="2" t="inlineStr">
        <is>
          <t>utilitario</t>
        </is>
      </c>
      <c r="M349" s="2" t="n">
        <v>2007</v>
      </c>
      <c r="N349" s="2" t="n">
        <v>118000</v>
      </c>
      <c r="O349" s="2" t="n">
        <v>3500</v>
      </c>
      <c r="P349" s="2" t="inlineStr">
        <is>
          <t>manual</t>
        </is>
      </c>
      <c r="Q349" s="2" t="inlineStr">
        <is>
          <t>no</t>
        </is>
      </c>
      <c r="R349" s="2" t="inlineStr">
        <is>
          <t>particular</t>
        </is>
      </c>
      <c r="S349" s="2" t="inlineStr">
        <is>
          <t>Valencia (46009)</t>
        </is>
      </c>
      <c r="T349" s="2" t="inlineStr">
        <is>
          <t>2026-09-14T08:29:37</t>
        </is>
      </c>
      <c r="U349" s="2" t="n">
        <v>7</v>
      </c>
      <c r="V349" s="2" t="n"/>
      <c r="W349" s="2" t="n"/>
      <c r="X349" s="2" t="n"/>
      <c r="Y349" s="2" t="n"/>
      <c r="Z349" s="2" t="n"/>
      <c r="AA349" s="2" t="n"/>
      <c r="AB349" s="2" t="n"/>
      <c r="AC349" s="2" t="n"/>
      <c r="AD349" s="2" t="n"/>
      <c r="AE349" s="2" t="n"/>
      <c r="AF349" s="2" t="n"/>
      <c r="AG349" s="2" t="n"/>
      <c r="AH349" s="2" t="n"/>
      <c r="AI349" s="2" t="n"/>
      <c r="AJ349" s="2" t="n"/>
      <c r="AK349" s="2" t="n"/>
      <c r="AL349" s="2" t="n"/>
      <c r="AM349" s="2" t="n">
        <v>1.7</v>
      </c>
      <c r="AN349" s="2" t="n">
        <v>3550</v>
      </c>
      <c r="AO349" s="2" t="n">
        <v>30</v>
      </c>
      <c r="AP349" s="2" t="inlineStr">
        <is>
          <t>modelo+año+km</t>
        </is>
      </c>
      <c r="AQ349" s="2" t="inlineStr">
        <is>
          <t>cochesnet:71507218 (https://www.coches.net/peugeot-207-gasolina-2007-en-valencia-71507218-covo.aspx)</t>
        </is>
      </c>
      <c r="AR349" s="2" t="inlineStr">
        <is>
          <t>cuota fija ITP: &gt;12 años, hasta 1.500 cc; fiabilidad del modelo PENDIENTE de fuente (puntuación neutra)</t>
        </is>
      </c>
      <c r="AS349" s="2" t="inlineStr">
        <is>
          <t>Se vende Peugeot 207 de 5 puertas en color rojo (modelo 1.4i Urban). El coche se encuentra en muy buen estado general y está cuidado al detalle. Es un vehículo práctico, manejable y perfecto tanto para moverse en el día a día como para trayectos más largos.
Datos técnicos y estado:
• Motor: 1.360 cc / 75 CV (55 kW)
• Combustible: Gasolina
• Año de matriculación: Diciembre de 2007
• Kilómetros: 118.000
• ITV: Pasada a principios de año (en vigor y sin problemas)
• Estado general: Muy buen estado de conservación, tanto de mecánica como de exterior e interior.
Ubicación: Valencia</t>
        </is>
      </c>
      <c r="AT349" s="2" t="inlineStr">
        <is>
          <t>https://es.wallapop.com/item/peugeot-207-2007-1301586201 (__NEXT_DATA__ item) /home/user/Alopecia/buscador-coches/raw/wallapop/cc329e19286ac690.json</t>
        </is>
      </c>
      <c r="AU349" s="3">
        <f>MAX(ANIO_ACTUAL-M349,0)</f>
        <v/>
      </c>
      <c r="AV349" s="4">
        <f>N349/MAX(AU349,0.5)</f>
        <v/>
      </c>
      <c r="AW349" s="4">
        <f>F349</f>
        <v/>
      </c>
      <c r="AX349" s="3">
        <f>AW349&amp;"|"&amp;INT(M349/SEG_ANIO)*SEG_ANIO</f>
        <v/>
      </c>
      <c r="AY349" s="3">
        <f>AX349&amp;"|"&amp;INT(N349/SEG_KM)*SEG_KM</f>
        <v/>
      </c>
      <c r="AZ349" s="4">
        <f>COUNTIF($AW$2:$AW$662,AW349)</f>
        <v/>
      </c>
      <c r="BA349" s="4">
        <f>COUNTIF($AX$2:$AX$662,AX349)</f>
        <v/>
      </c>
      <c r="BB349" s="4">
        <f>COUNTIF($AY$2:$AY$662,AY349)</f>
        <v/>
      </c>
      <c r="BC349" s="3">
        <f t="array" ref="BC349">IF(N(AO349)&gt;=MIN_N,AN349,IF(BB349&gt;=MIN_N,MEDIAN(IF($AY$2:$AY$662=AY349,$O$2:$O$662)),IF(BA349&gt;=MIN_N,MEDIAN(IF($AX$2:$AX$662=AX349,$O$2:$O$662)),MEDIAN(IF($AW$2:$AW$662=AW349,$O$2:$O$662)))))</f>
        <v/>
      </c>
      <c r="BD349" s="3">
        <f>IF(N(AO349)&gt;=MIN_N,"mercado "&amp;AP349,IF(BB349&gt;=MIN_N,"modelo+año+km",IF(BA349&gt;=MIN_N,"modelo+año","modelo")))</f>
        <v/>
      </c>
      <c r="BE349" s="4">
        <f>(BC349-O349)/BC349</f>
        <v/>
      </c>
      <c r="BF349" s="3">
        <f>IF(OR(K349="hibrido",K349="glp"),"ECO",IF(K349="electrico","CERO",IF(K349="gasolina",IF(M349&gt;=GAS_C,"C",IF(M349&gt;=GAS_B,"B","A")),IF(K349="diesel",IF(M349&gt;=DIE_C,"C",IF(M349&gt;=DIE_B,"B","A")),""))))</f>
        <v/>
      </c>
      <c r="BG349" s="3">
        <f>IFERROR(VLOOKUP(F349,MOD_TBL,11,0),IFERROR(VLOOKUP(E349,OCU_TBL,2,0),NEUTRO))</f>
        <v/>
      </c>
      <c r="BH349" s="3">
        <f>SUMIFS(MOT_AJUSTE,MOT_MOTOR,G349,MOT_MARCA,E349,MOT_DESDE,"&lt;="&amp;M349,MOT_HASTA,"&gt;="&amp;M349)+SUMIFS(MOT_AJUSTE,MOT_MOTOR,G349,MOT_MARCA,"(todas)",MOT_DESDE,"&lt;="&amp;M349,MOT_HASTA,"&gt;="&amp;M349)</f>
        <v/>
      </c>
      <c r="BI349" s="3">
        <f>SUMIFS(COMB_AJUSTE,COMB_COMB,K349)</f>
        <v/>
      </c>
      <c r="BJ349" s="3">
        <f>COUNTIFS(MOT_MOTOR,G349,MOT_MARCA,E349,MOT_DESDE,"&lt;="&amp;M349,MOT_HASTA,"&gt;="&amp;M349)+COUNTIFS(MOT_MOTOR,G349,MOT_MARCA,"(todas)",MOT_DESDE,"&lt;="&amp;M349,MOT_HASTA,"&gt;="&amp;M349)</f>
        <v/>
      </c>
      <c r="BK349" s="3">
        <f>IF(AND(K349="diesel",BJ349=0),MIN(BG349,NEUTRO),BG349)</f>
        <v/>
      </c>
      <c r="BL349" s="4">
        <f>MAX(0,MIN(100,BK349+BH349+BI349))</f>
        <v/>
      </c>
      <c r="BM349" s="3">
        <f>MAX(0,MIN(100,50+BE349*PRECIO_PEND))</f>
        <v/>
      </c>
      <c r="BN349" s="3">
        <f>MAX(0,100*(1-N349/KM_MAX))</f>
        <v/>
      </c>
      <c r="BO349" s="3">
        <f>IF(AV349&lt;KMA_SOSP,IF(AA349="sí",100,KMA_PEN),IF(AV349&lt;=KMA_IDEAL_MAX,100,MAX(0,100*(KMA_CERO-AV349)/(KMA_CERO-KMA_IDEAL_MAX))))</f>
        <v/>
      </c>
      <c r="BP349" s="3">
        <f>MAX(0,MIN(100,100*(M349-ANIO_MIN)/(ANIO_ACTUAL-ANIO_MIN)))</f>
        <v/>
      </c>
      <c r="BQ349" s="3">
        <f>W_KMT*BN349+W_KMA*BO349+W_EDAD*BP349</f>
        <v/>
      </c>
      <c r="BR349" s="3">
        <f>P_ITV*(V349="sí")+P_LIBRO*(W349="sí")+P_CORREA*(X349="sí")+P_PROP*(Y349=1)+P_GAR*(Z349="sí")+P_FOTOS*MIN(1,N(U349)/FOTOS_OBJ)</f>
        <v/>
      </c>
      <c r="BS349" s="3">
        <f>IFERROR(VLOOKUP(BF349,ETQ_TBL,2,0),NEUTRO)</f>
        <v/>
      </c>
      <c r="BT349" s="3">
        <f>NEUTRO</f>
        <v/>
      </c>
      <c r="BU349" s="3">
        <f>IFERROR(VLOOKUP(L349,SEGURO_TBL,3,0),"")</f>
        <v/>
      </c>
      <c r="BV349" s="3">
        <f>IF(BU349="",NEUTRO,MAX(0,MIN(100,100*(SEG_REF_MAX-BU349)/(SEG_REF_MAX-SEG_REF_MIN))))</f>
        <v/>
      </c>
      <c r="BW349" s="3">
        <f>W_ET*BS349+W_CONS*BT349+W_SEG*BV349</f>
        <v/>
      </c>
      <c r="BX349" s="3">
        <f>IF(N(AB349)&gt;0,AB349,IF(AND(R349="profesional",SG_LEGAL_ON=1),GAR_LEGAL,0))</f>
        <v/>
      </c>
      <c r="BY349" s="3">
        <f>SG_GAR*MIN(1,BX349/SG_GAR_FULL)+SG_AMPL*(AC349="sí")+SG_KMC*(AF349="sí")+SG_REV*(N(AE349)&gt;0)+SG_DEV*MIN(1,N(AG349)/SG_DEV_FULL)+SG_HIST*(W349="sí")</f>
        <v/>
      </c>
      <c r="BZ349" s="3">
        <f>IFERROR(VLOOKUP(L349,CARR_PEN_TBL,2,0),0)</f>
        <v/>
      </c>
      <c r="CA349" s="3">
        <f>W_FIAB*BL349+W_PRECIO*BM349+W_KMEDAD*BQ349+W_ANUNCIO*BR349+W_USO*BW349+W_SEGURIDAD*BY349-BZ349</f>
        <v/>
      </c>
      <c r="CB349" s="4">
        <f>IF(N(I349)&gt;0,I349,IFERROR(ROUND(_xlfn.NUMBERVALUE(LEFT(G349,FIND(" ",G349&amp;" ")-1),".")*1000,0),99999))</f>
        <v/>
      </c>
      <c r="CC349" s="3">
        <f>IF(R349="profesional",0,IF(O349&lt;CUOTA_VALOR_MAX,IF(AU349&gt;ITP_TRAMO_ALTO,SUMIFS(CF_CUOTA,CF_MAS,ITP_TRAMO_ALTO,CF_CCMIN,"&lt;="&amp;CB349,CF_CCMAX,"&gt;="&amp;CB349),IF(AU349&gt;ITP_TRAMO_BAJO,SUMIFS(CF_CUOTA,CF_MAS,ITP_TRAMO_BAJO,CF_CCMIN,"&lt;="&amp;CB349,CF_CCMAX,"&gt;="&amp;CB349),O349*ITP_TIPO)),O349*ITP_TIPO))</f>
        <v/>
      </c>
      <c r="CD349" s="4">
        <f>IF(R349="profesional",N(AK349),0)</f>
        <v/>
      </c>
      <c r="CE349" s="3">
        <f>IF(AND(R349="profesional",ISNUMBER(AK349),AL349="sí"),0,TASA_DGT)</f>
        <v/>
      </c>
      <c r="CF349" s="3">
        <f>INFORME_DGT</f>
        <v/>
      </c>
      <c r="CG349" s="4">
        <f>O349+CD349+CC349+CE349+CF349</f>
        <v/>
      </c>
      <c r="CH349" s="4">
        <f>CG349+N(BU349)</f>
        <v/>
      </c>
      <c r="CI349" s="3">
        <f>IF(CG349&lt;=TOTAL_MAX,"sí",IF(CG349&lt;=TOTAL_MAX+MARGEN_NEG,"negociar","no"))</f>
        <v/>
      </c>
      <c r="CJ349" s="4">
        <f>IF(CI349&lt;&gt;"no",COUNTIFS($CI$2:$CI$662,"&lt;&gt;no",$CA$2:$CA$662,"&gt;"&amp;CA349)+COUNTIFS($CI$2:CI349,"&lt;&gt;no",$CA$2:CA349,CA349),"")</f>
        <v/>
      </c>
    </row>
    <row r="350">
      <c r="A350" s="2" t="inlineStr">
        <is>
          <t>wallapop:1265581185</t>
        </is>
      </c>
      <c r="B350" s="2" t="inlineStr">
        <is>
          <t>wallapop</t>
        </is>
      </c>
      <c r="C350" s="2" t="inlineStr">
        <is>
          <t>https://es.wallapop.com/item/peugeot-207-2007-1265581185</t>
        </is>
      </c>
      <c r="D350" s="2" t="inlineStr">
        <is>
          <t>Peugeot 207 Estropeado a/c de ahí su precio</t>
        </is>
      </c>
      <c r="E350" s="2" t="inlineStr">
        <is>
          <t>Peugeot</t>
        </is>
      </c>
      <c r="F350" s="2" t="inlineStr">
        <is>
          <t>Peugeot 207</t>
        </is>
      </c>
      <c r="G350" s="2" t="inlineStr">
        <is>
          <t>1.4</t>
        </is>
      </c>
      <c r="H350" s="2" t="inlineStr">
        <is>
          <t>1.4i 75 Urban 3p</t>
        </is>
      </c>
      <c r="I350" s="2" t="n"/>
      <c r="J350" s="2" t="n">
        <v>75</v>
      </c>
      <c r="K350" s="2" t="inlineStr">
        <is>
          <t>gasolina</t>
        </is>
      </c>
      <c r="L350" s="2" t="inlineStr">
        <is>
          <t>utilitario</t>
        </is>
      </c>
      <c r="M350" s="2" t="n">
        <v>2007</v>
      </c>
      <c r="N350" s="2" t="n">
        <v>13100</v>
      </c>
      <c r="O350" s="2" t="n">
        <v>1800</v>
      </c>
      <c r="P350" s="2" t="inlineStr">
        <is>
          <t>manual</t>
        </is>
      </c>
      <c r="Q350" s="2" t="inlineStr">
        <is>
          <t>no</t>
        </is>
      </c>
      <c r="R350" s="2" t="inlineStr">
        <is>
          <t>particular</t>
        </is>
      </c>
      <c r="S350" s="2" t="inlineStr">
        <is>
          <t>Valencia (46020)</t>
        </is>
      </c>
      <c r="T350" s="2" t="inlineStr">
        <is>
          <t>2026-10-12T19:19:05</t>
        </is>
      </c>
      <c r="U350" s="2" t="n">
        <v>4</v>
      </c>
      <c r="V350" s="2" t="inlineStr">
        <is>
          <t>sí</t>
        </is>
      </c>
      <c r="W350" s="2" t="n"/>
      <c r="X350" s="2" t="n"/>
      <c r="Y350" s="2" t="n"/>
      <c r="Z350" s="2" t="n"/>
      <c r="AA350" s="2" t="n"/>
      <c r="AB350" s="2" t="n"/>
      <c r="AC350" s="2" t="n"/>
      <c r="AD350" s="2" t="n"/>
      <c r="AE350" s="2" t="n"/>
      <c r="AF350" s="2" t="n"/>
      <c r="AG350" s="2" t="n"/>
      <c r="AH350" s="2" t="n"/>
      <c r="AI350" s="2" t="n"/>
      <c r="AJ350" s="2" t="n"/>
      <c r="AK350" s="2" t="n"/>
      <c r="AL350" s="2" t="n"/>
      <c r="AM350" s="2" t="n">
        <v>2.9</v>
      </c>
      <c r="AN350" s="2" t="n">
        <v>2275</v>
      </c>
      <c r="AO350" s="2" t="n">
        <v>8</v>
      </c>
      <c r="AP350" s="2" t="inlineStr">
        <is>
          <t>modelo+año+km</t>
        </is>
      </c>
      <c r="AQ350" s="2" t="n"/>
      <c r="AR350" s="2" t="inlineStr">
        <is>
          <t>cuota fija ITP: &gt;12 años, hasta 1.500 cc; fiabilidad del modelo PENDIENTE de fuente (puntuación neutra)</t>
        </is>
      </c>
      <c r="AS350" s="2" t="inlineStr">
        <is>
          <t>Estupendo Peugeot 207 coupé con lunas traseras tintadas, solo una propietaria, ITV recién pasada, con etiqueta C, se vende por cambio de vehículo familiar a 7 plazas, el coche solo tiene 131000 km, se puede ver y probar sin compromiso, excelente para personas que se han sacado el carnet recientemente y romper mano con un coche juvenil, para más información no dudes en contactarme, aceptación de prueba mecánica.</t>
        </is>
      </c>
      <c r="AT350" s="2" t="inlineStr">
        <is>
          <t>https://es.wallapop.com/item/peugeot-207-2007-1265581185 (__NEXT_DATA__ item) /home/user/Alopecia/buscador-coches/raw/wallapop/dfaf5f13a2171bbc.json</t>
        </is>
      </c>
      <c r="AU350" s="3">
        <f>MAX(ANIO_ACTUAL-M350,0)</f>
        <v/>
      </c>
      <c r="AV350" s="4">
        <f>N350/MAX(AU350,0.5)</f>
        <v/>
      </c>
      <c r="AW350" s="4">
        <f>F350</f>
        <v/>
      </c>
      <c r="AX350" s="3">
        <f>AW350&amp;"|"&amp;INT(M350/SEG_ANIO)*SEG_ANIO</f>
        <v/>
      </c>
      <c r="AY350" s="3">
        <f>AX350&amp;"|"&amp;INT(N350/SEG_KM)*SEG_KM</f>
        <v/>
      </c>
      <c r="AZ350" s="4">
        <f>COUNTIF($AW$2:$AW$662,AW350)</f>
        <v/>
      </c>
      <c r="BA350" s="4">
        <f>COUNTIF($AX$2:$AX$662,AX350)</f>
        <v/>
      </c>
      <c r="BB350" s="4">
        <f>COUNTIF($AY$2:$AY$662,AY350)</f>
        <v/>
      </c>
      <c r="BC350" s="3">
        <f t="array" ref="BC350">IF(N(AO350)&gt;=MIN_N,AN350,IF(BB350&gt;=MIN_N,MEDIAN(IF($AY$2:$AY$662=AY350,$O$2:$O$662)),IF(BA350&gt;=MIN_N,MEDIAN(IF($AX$2:$AX$662=AX350,$O$2:$O$662)),MEDIAN(IF($AW$2:$AW$662=AW350,$O$2:$O$662)))))</f>
        <v/>
      </c>
      <c r="BD350" s="3">
        <f>IF(N(AO350)&gt;=MIN_N,"mercado "&amp;AP350,IF(BB350&gt;=MIN_N,"modelo+año+km",IF(BA350&gt;=MIN_N,"modelo+año","modelo")))</f>
        <v/>
      </c>
      <c r="BE350" s="4">
        <f>(BC350-O350)/BC350</f>
        <v/>
      </c>
      <c r="BF350" s="3">
        <f>IF(OR(K350="hibrido",K350="glp"),"ECO",IF(K350="electrico","CERO",IF(K350="gasolina",IF(M350&gt;=GAS_C,"C",IF(M350&gt;=GAS_B,"B","A")),IF(K350="diesel",IF(M350&gt;=DIE_C,"C",IF(M350&gt;=DIE_B,"B","A")),""))))</f>
        <v/>
      </c>
      <c r="BG350" s="3">
        <f>IFERROR(VLOOKUP(F350,MOD_TBL,11,0),IFERROR(VLOOKUP(E350,OCU_TBL,2,0),NEUTRO))</f>
        <v/>
      </c>
      <c r="BH350" s="3">
        <f>SUMIFS(MOT_AJUSTE,MOT_MOTOR,G350,MOT_MARCA,E350,MOT_DESDE,"&lt;="&amp;M350,MOT_HASTA,"&gt;="&amp;M350)+SUMIFS(MOT_AJUSTE,MOT_MOTOR,G350,MOT_MARCA,"(todas)",MOT_DESDE,"&lt;="&amp;M350,MOT_HASTA,"&gt;="&amp;M350)</f>
        <v/>
      </c>
      <c r="BI350" s="3">
        <f>SUMIFS(COMB_AJUSTE,COMB_COMB,K350)</f>
        <v/>
      </c>
      <c r="BJ350" s="3">
        <f>COUNTIFS(MOT_MOTOR,G350,MOT_MARCA,E350,MOT_DESDE,"&lt;="&amp;M350,MOT_HASTA,"&gt;="&amp;M350)+COUNTIFS(MOT_MOTOR,G350,MOT_MARCA,"(todas)",MOT_DESDE,"&lt;="&amp;M350,MOT_HASTA,"&gt;="&amp;M350)</f>
        <v/>
      </c>
      <c r="BK350" s="3">
        <f>IF(AND(K350="diesel",BJ350=0),MIN(BG350,NEUTRO),BG350)</f>
        <v/>
      </c>
      <c r="BL350" s="4">
        <f>MAX(0,MIN(100,BK350+BH350+BI350))</f>
        <v/>
      </c>
      <c r="BM350" s="3">
        <f>MAX(0,MIN(100,50+BE350*PRECIO_PEND))</f>
        <v/>
      </c>
      <c r="BN350" s="3">
        <f>MAX(0,100*(1-N350/KM_MAX))</f>
        <v/>
      </c>
      <c r="BO350" s="3">
        <f>IF(AV350&lt;KMA_SOSP,IF(AA350="sí",100,KMA_PEN),IF(AV350&lt;=KMA_IDEAL_MAX,100,MAX(0,100*(KMA_CERO-AV350)/(KMA_CERO-KMA_IDEAL_MAX))))</f>
        <v/>
      </c>
      <c r="BP350" s="3">
        <f>MAX(0,MIN(100,100*(M350-ANIO_MIN)/(ANIO_ACTUAL-ANIO_MIN)))</f>
        <v/>
      </c>
      <c r="BQ350" s="3">
        <f>W_KMT*BN350+W_KMA*BO350+W_EDAD*BP350</f>
        <v/>
      </c>
      <c r="BR350" s="3">
        <f>P_ITV*(V350="sí")+P_LIBRO*(W350="sí")+P_CORREA*(X350="sí")+P_PROP*(Y350=1)+P_GAR*(Z350="sí")+P_FOTOS*MIN(1,N(U350)/FOTOS_OBJ)</f>
        <v/>
      </c>
      <c r="BS350" s="3">
        <f>IFERROR(VLOOKUP(BF350,ETQ_TBL,2,0),NEUTRO)</f>
        <v/>
      </c>
      <c r="BT350" s="3">
        <f>NEUTRO</f>
        <v/>
      </c>
      <c r="BU350" s="3">
        <f>IFERROR(VLOOKUP(L350,SEGURO_TBL,3,0),"")</f>
        <v/>
      </c>
      <c r="BV350" s="3">
        <f>IF(BU350="",NEUTRO,MAX(0,MIN(100,100*(SEG_REF_MAX-BU350)/(SEG_REF_MAX-SEG_REF_MIN))))</f>
        <v/>
      </c>
      <c r="BW350" s="3">
        <f>W_ET*BS350+W_CONS*BT350+W_SEG*BV350</f>
        <v/>
      </c>
      <c r="BX350" s="3">
        <f>IF(N(AB350)&gt;0,AB350,IF(AND(R350="profesional",SG_LEGAL_ON=1),GAR_LEGAL,0))</f>
        <v/>
      </c>
      <c r="BY350" s="3">
        <f>SG_GAR*MIN(1,BX350/SG_GAR_FULL)+SG_AMPL*(AC350="sí")+SG_KMC*(AF350="sí")+SG_REV*(N(AE350)&gt;0)+SG_DEV*MIN(1,N(AG350)/SG_DEV_FULL)+SG_HIST*(W350="sí")</f>
        <v/>
      </c>
      <c r="BZ350" s="3">
        <f>IFERROR(VLOOKUP(L350,CARR_PEN_TBL,2,0),0)</f>
        <v/>
      </c>
      <c r="CA350" s="3">
        <f>W_FIAB*BL350+W_PRECIO*BM350+W_KMEDAD*BQ350+W_ANUNCIO*BR350+W_USO*BW350+W_SEGURIDAD*BY350-BZ350</f>
        <v/>
      </c>
      <c r="CB350" s="4">
        <f>IF(N(I350)&gt;0,I350,IFERROR(ROUND(_xlfn.NUMBERVALUE(LEFT(G350,FIND(" ",G350&amp;" ")-1),".")*1000,0),99999))</f>
        <v/>
      </c>
      <c r="CC350" s="3">
        <f>IF(R350="profesional",0,IF(O350&lt;CUOTA_VALOR_MAX,IF(AU350&gt;ITP_TRAMO_ALTO,SUMIFS(CF_CUOTA,CF_MAS,ITP_TRAMO_ALTO,CF_CCMIN,"&lt;="&amp;CB350,CF_CCMAX,"&gt;="&amp;CB350),IF(AU350&gt;ITP_TRAMO_BAJO,SUMIFS(CF_CUOTA,CF_MAS,ITP_TRAMO_BAJO,CF_CCMIN,"&lt;="&amp;CB350,CF_CCMAX,"&gt;="&amp;CB350),O350*ITP_TIPO)),O350*ITP_TIPO))</f>
        <v/>
      </c>
      <c r="CD350" s="4">
        <f>IF(R350="profesional",N(AK350),0)</f>
        <v/>
      </c>
      <c r="CE350" s="3">
        <f>IF(AND(R350="profesional",ISNUMBER(AK350),AL350="sí"),0,TASA_DGT)</f>
        <v/>
      </c>
      <c r="CF350" s="3">
        <f>INFORME_DGT</f>
        <v/>
      </c>
      <c r="CG350" s="4">
        <f>O350+CD350+CC350+CE350+CF350</f>
        <v/>
      </c>
      <c r="CH350" s="4">
        <f>CG350+N(BU350)</f>
        <v/>
      </c>
      <c r="CI350" s="3">
        <f>IF(CG350&lt;=TOTAL_MAX,"sí",IF(CG350&lt;=TOTAL_MAX+MARGEN_NEG,"negociar","no"))</f>
        <v/>
      </c>
      <c r="CJ350" s="4">
        <f>IF(CI350&lt;&gt;"no",COUNTIFS($CI$2:$CI$662,"&lt;&gt;no",$CA$2:$CA$662,"&gt;"&amp;CA350)+COUNTIFS($CI$2:CI350,"&lt;&gt;no",$CA$2:CA350,CA350),"")</f>
        <v/>
      </c>
    </row>
    <row r="351">
      <c r="A351" s="2" t="inlineStr">
        <is>
          <t>wallapop:1237274117</t>
        </is>
      </c>
      <c r="B351" s="2" t="inlineStr">
        <is>
          <t>wallapop</t>
        </is>
      </c>
      <c r="C351" s="2" t="inlineStr">
        <is>
          <t>https://es.wallapop.com/item/peugeot-207-2007-1237274117</t>
        </is>
      </c>
      <c r="D351" s="2" t="inlineStr">
        <is>
          <t>Peugeot 207 2007</t>
        </is>
      </c>
      <c r="E351" s="2" t="inlineStr">
        <is>
          <t>Peugeot</t>
        </is>
      </c>
      <c r="F351" s="2" t="inlineStr">
        <is>
          <t>Peugeot 207</t>
        </is>
      </c>
      <c r="G351" s="2" t="inlineStr">
        <is>
          <t>1.4 HDi</t>
        </is>
      </c>
      <c r="H351" s="2" t="inlineStr">
        <is>
          <t>1.4 HDi 70 X-Line 5p</t>
        </is>
      </c>
      <c r="I351" s="2" t="n"/>
      <c r="J351" s="2" t="n">
        <v>70</v>
      </c>
      <c r="K351" s="2" t="inlineStr">
        <is>
          <t>gasolina</t>
        </is>
      </c>
      <c r="L351" s="2" t="inlineStr">
        <is>
          <t>utilitario</t>
        </is>
      </c>
      <c r="M351" s="2" t="n">
        <v>2007</v>
      </c>
      <c r="N351" s="2" t="n">
        <v>122000</v>
      </c>
      <c r="O351" s="2" t="n">
        <v>3000</v>
      </c>
      <c r="P351" s="2" t="inlineStr">
        <is>
          <t>manual</t>
        </is>
      </c>
      <c r="Q351" s="2" t="inlineStr">
        <is>
          <t>no</t>
        </is>
      </c>
      <c r="R351" s="2" t="inlineStr">
        <is>
          <t>particular</t>
        </is>
      </c>
      <c r="S351" s="2" t="inlineStr">
        <is>
          <t>Valencia (46018)</t>
        </is>
      </c>
      <c r="T351" s="2" t="inlineStr">
        <is>
          <t>2026-10-22T14:57:06</t>
        </is>
      </c>
      <c r="U351" s="2" t="n">
        <v>4</v>
      </c>
      <c r="V351" s="2" t="n"/>
      <c r="W351" s="2" t="n"/>
      <c r="X351" s="2" t="n"/>
      <c r="Y351" s="2" t="n"/>
      <c r="Z351" s="2" t="n"/>
      <c r="AA351" s="2" t="n"/>
      <c r="AB351" s="2" t="n"/>
      <c r="AC351" s="2" t="n"/>
      <c r="AD351" s="2" t="n"/>
      <c r="AE351" s="2" t="n"/>
      <c r="AF351" s="2" t="n"/>
      <c r="AG351" s="2" t="n"/>
      <c r="AH351" s="2" t="n"/>
      <c r="AI351" s="2" t="n"/>
      <c r="AJ351" s="2" t="n"/>
      <c r="AK351" s="2" t="n"/>
      <c r="AL351" s="2" t="n"/>
      <c r="AM351" s="2" t="n">
        <v>1.8</v>
      </c>
      <c r="AN351" s="2" t="n">
        <v>3550</v>
      </c>
      <c r="AO351" s="2" t="n">
        <v>30</v>
      </c>
      <c r="AP351" s="2" t="inlineStr">
        <is>
          <t>modelo+año+km</t>
        </is>
      </c>
      <c r="AQ351" s="2" t="n"/>
      <c r="AR351" s="2" t="inlineStr">
        <is>
          <t>cuota fija ITP: &gt;12 años, hasta 1.500 cc; fiabilidad del modelo PENDIENTE de fuente (puntuación neutra)</t>
        </is>
      </c>
      <c r="AS351" s="2" t="inlineStr">
        <is>
          <t xml:space="preserve">Coche que vendo por compra de vehículo familiar. Perfecto para un primer coche de alguien novel o para la ciudad. Tiene muy poco consumo. </t>
        </is>
      </c>
      <c r="AT351" s="2" t="inlineStr">
        <is>
          <t>https://es.wallapop.com/item/peugeot-207-2007-1237274117 (__NEXT_DATA__ item) /home/user/Alopecia/buscador-coches/raw/wallapop/c81d164e8f0e496f.json</t>
        </is>
      </c>
      <c r="AU351" s="3">
        <f>MAX(ANIO_ACTUAL-M351,0)</f>
        <v/>
      </c>
      <c r="AV351" s="4">
        <f>N351/MAX(AU351,0.5)</f>
        <v/>
      </c>
      <c r="AW351" s="4">
        <f>F351</f>
        <v/>
      </c>
      <c r="AX351" s="3">
        <f>AW351&amp;"|"&amp;INT(M351/SEG_ANIO)*SEG_ANIO</f>
        <v/>
      </c>
      <c r="AY351" s="3">
        <f>AX351&amp;"|"&amp;INT(N351/SEG_KM)*SEG_KM</f>
        <v/>
      </c>
      <c r="AZ351" s="4">
        <f>COUNTIF($AW$2:$AW$662,AW351)</f>
        <v/>
      </c>
      <c r="BA351" s="4">
        <f>COUNTIF($AX$2:$AX$662,AX351)</f>
        <v/>
      </c>
      <c r="BB351" s="4">
        <f>COUNTIF($AY$2:$AY$662,AY351)</f>
        <v/>
      </c>
      <c r="BC351" s="3">
        <f t="array" ref="BC351">IF(N(AO351)&gt;=MIN_N,AN351,IF(BB351&gt;=MIN_N,MEDIAN(IF($AY$2:$AY$662=AY351,$O$2:$O$662)),IF(BA351&gt;=MIN_N,MEDIAN(IF($AX$2:$AX$662=AX351,$O$2:$O$662)),MEDIAN(IF($AW$2:$AW$662=AW351,$O$2:$O$662)))))</f>
        <v/>
      </c>
      <c r="BD351" s="3">
        <f>IF(N(AO351)&gt;=MIN_N,"mercado "&amp;AP351,IF(BB351&gt;=MIN_N,"modelo+año+km",IF(BA351&gt;=MIN_N,"modelo+año","modelo")))</f>
        <v/>
      </c>
      <c r="BE351" s="4">
        <f>(BC351-O351)/BC351</f>
        <v/>
      </c>
      <c r="BF351" s="3">
        <f>IF(OR(K351="hibrido",K351="glp"),"ECO",IF(K351="electrico","CERO",IF(K351="gasolina",IF(M351&gt;=GAS_C,"C",IF(M351&gt;=GAS_B,"B","A")),IF(K351="diesel",IF(M351&gt;=DIE_C,"C",IF(M351&gt;=DIE_B,"B","A")),""))))</f>
        <v/>
      </c>
      <c r="BG351" s="3">
        <f>IFERROR(VLOOKUP(F351,MOD_TBL,11,0),IFERROR(VLOOKUP(E351,OCU_TBL,2,0),NEUTRO))</f>
        <v/>
      </c>
      <c r="BH351" s="3">
        <f>SUMIFS(MOT_AJUSTE,MOT_MOTOR,G351,MOT_MARCA,E351,MOT_DESDE,"&lt;="&amp;M351,MOT_HASTA,"&gt;="&amp;M351)+SUMIFS(MOT_AJUSTE,MOT_MOTOR,G351,MOT_MARCA,"(todas)",MOT_DESDE,"&lt;="&amp;M351,MOT_HASTA,"&gt;="&amp;M351)</f>
        <v/>
      </c>
      <c r="BI351" s="3">
        <f>SUMIFS(COMB_AJUSTE,COMB_COMB,K351)</f>
        <v/>
      </c>
      <c r="BJ351" s="3">
        <f>COUNTIFS(MOT_MOTOR,G351,MOT_MARCA,E351,MOT_DESDE,"&lt;="&amp;M351,MOT_HASTA,"&gt;="&amp;M351)+COUNTIFS(MOT_MOTOR,G351,MOT_MARCA,"(todas)",MOT_DESDE,"&lt;="&amp;M351,MOT_HASTA,"&gt;="&amp;M351)</f>
        <v/>
      </c>
      <c r="BK351" s="3">
        <f>IF(AND(K351="diesel",BJ351=0),MIN(BG351,NEUTRO),BG351)</f>
        <v/>
      </c>
      <c r="BL351" s="4">
        <f>MAX(0,MIN(100,BK351+BH351+BI351))</f>
        <v/>
      </c>
      <c r="BM351" s="3">
        <f>MAX(0,MIN(100,50+BE351*PRECIO_PEND))</f>
        <v/>
      </c>
      <c r="BN351" s="3">
        <f>MAX(0,100*(1-N351/KM_MAX))</f>
        <v/>
      </c>
      <c r="BO351" s="3">
        <f>IF(AV351&lt;KMA_SOSP,IF(AA351="sí",100,KMA_PEN),IF(AV351&lt;=KMA_IDEAL_MAX,100,MAX(0,100*(KMA_CERO-AV351)/(KMA_CERO-KMA_IDEAL_MAX))))</f>
        <v/>
      </c>
      <c r="BP351" s="3">
        <f>MAX(0,MIN(100,100*(M351-ANIO_MIN)/(ANIO_ACTUAL-ANIO_MIN)))</f>
        <v/>
      </c>
      <c r="BQ351" s="3">
        <f>W_KMT*BN351+W_KMA*BO351+W_EDAD*BP351</f>
        <v/>
      </c>
      <c r="BR351" s="3">
        <f>P_ITV*(V351="sí")+P_LIBRO*(W351="sí")+P_CORREA*(X351="sí")+P_PROP*(Y351=1)+P_GAR*(Z351="sí")+P_FOTOS*MIN(1,N(U351)/FOTOS_OBJ)</f>
        <v/>
      </c>
      <c r="BS351" s="3">
        <f>IFERROR(VLOOKUP(BF351,ETQ_TBL,2,0),NEUTRO)</f>
        <v/>
      </c>
      <c r="BT351" s="3">
        <f>NEUTRO</f>
        <v/>
      </c>
      <c r="BU351" s="3">
        <f>IFERROR(VLOOKUP(L351,SEGURO_TBL,3,0),"")</f>
        <v/>
      </c>
      <c r="BV351" s="3">
        <f>IF(BU351="",NEUTRO,MAX(0,MIN(100,100*(SEG_REF_MAX-BU351)/(SEG_REF_MAX-SEG_REF_MIN))))</f>
        <v/>
      </c>
      <c r="BW351" s="3">
        <f>W_ET*BS351+W_CONS*BT351+W_SEG*BV351</f>
        <v/>
      </c>
      <c r="BX351" s="3">
        <f>IF(N(AB351)&gt;0,AB351,IF(AND(R351="profesional",SG_LEGAL_ON=1),GAR_LEGAL,0))</f>
        <v/>
      </c>
      <c r="BY351" s="3">
        <f>SG_GAR*MIN(1,BX351/SG_GAR_FULL)+SG_AMPL*(AC351="sí")+SG_KMC*(AF351="sí")+SG_REV*(N(AE351)&gt;0)+SG_DEV*MIN(1,N(AG351)/SG_DEV_FULL)+SG_HIST*(W351="sí")</f>
        <v/>
      </c>
      <c r="BZ351" s="3">
        <f>IFERROR(VLOOKUP(L351,CARR_PEN_TBL,2,0),0)</f>
        <v/>
      </c>
      <c r="CA351" s="3">
        <f>W_FIAB*BL351+W_PRECIO*BM351+W_KMEDAD*BQ351+W_ANUNCIO*BR351+W_USO*BW351+W_SEGURIDAD*BY351-BZ351</f>
        <v/>
      </c>
      <c r="CB351" s="4">
        <f>IF(N(I351)&gt;0,I351,IFERROR(ROUND(_xlfn.NUMBERVALUE(LEFT(G351,FIND(" ",G351&amp;" ")-1),".")*1000,0),99999))</f>
        <v/>
      </c>
      <c r="CC351" s="3">
        <f>IF(R351="profesional",0,IF(O351&lt;CUOTA_VALOR_MAX,IF(AU351&gt;ITP_TRAMO_ALTO,SUMIFS(CF_CUOTA,CF_MAS,ITP_TRAMO_ALTO,CF_CCMIN,"&lt;="&amp;CB351,CF_CCMAX,"&gt;="&amp;CB351),IF(AU351&gt;ITP_TRAMO_BAJO,SUMIFS(CF_CUOTA,CF_MAS,ITP_TRAMO_BAJO,CF_CCMIN,"&lt;="&amp;CB351,CF_CCMAX,"&gt;="&amp;CB351),O351*ITP_TIPO)),O351*ITP_TIPO))</f>
        <v/>
      </c>
      <c r="CD351" s="4">
        <f>IF(R351="profesional",N(AK351),0)</f>
        <v/>
      </c>
      <c r="CE351" s="3">
        <f>IF(AND(R351="profesional",ISNUMBER(AK351),AL351="sí"),0,TASA_DGT)</f>
        <v/>
      </c>
      <c r="CF351" s="3">
        <f>INFORME_DGT</f>
        <v/>
      </c>
      <c r="CG351" s="4">
        <f>O351+CD351+CC351+CE351+CF351</f>
        <v/>
      </c>
      <c r="CH351" s="4">
        <f>CG351+N(BU351)</f>
        <v/>
      </c>
      <c r="CI351" s="3">
        <f>IF(CG351&lt;=TOTAL_MAX,"sí",IF(CG351&lt;=TOTAL_MAX+MARGEN_NEG,"negociar","no"))</f>
        <v/>
      </c>
      <c r="CJ351" s="4">
        <f>IF(CI351&lt;&gt;"no",COUNTIFS($CI$2:$CI$662,"&lt;&gt;no",$CA$2:$CA$662,"&gt;"&amp;CA351)+COUNTIFS($CI$2:CI351,"&lt;&gt;no",$CA$2:CA351,CA351),"")</f>
        <v/>
      </c>
    </row>
    <row r="352">
      <c r="A352" s="2" t="inlineStr">
        <is>
          <t>wallapop:1302895961</t>
        </is>
      </c>
      <c r="B352" s="2" t="inlineStr">
        <is>
          <t>wallapop</t>
        </is>
      </c>
      <c r="C352" s="2" t="inlineStr">
        <is>
          <t>https://es.wallapop.com/item/peugeot-207-xs-pack-1-4-2006-1302895961</t>
        </is>
      </c>
      <c r="D352" s="2" t="inlineStr">
        <is>
          <t>Peugeot 207 XS PACK 1.4 2006</t>
        </is>
      </c>
      <c r="E352" s="2" t="inlineStr">
        <is>
          <t>Peugeot</t>
        </is>
      </c>
      <c r="F352" s="2" t="inlineStr">
        <is>
          <t>Peugeot 207</t>
        </is>
      </c>
      <c r="G352" s="2" t="inlineStr">
        <is>
          <t>1.4</t>
        </is>
      </c>
      <c r="H352" s="2" t="inlineStr">
        <is>
          <t>1.4i 16v 90 XS Pack 3p</t>
        </is>
      </c>
      <c r="I352" s="2" t="n"/>
      <c r="J352" s="2" t="n">
        <v>90</v>
      </c>
      <c r="K352" s="2" t="inlineStr">
        <is>
          <t>gasolina</t>
        </is>
      </c>
      <c r="L352" s="2" t="inlineStr">
        <is>
          <t>utilitario</t>
        </is>
      </c>
      <c r="M352" s="2" t="n">
        <v>2006</v>
      </c>
      <c r="N352" s="2" t="n">
        <v>199000</v>
      </c>
      <c r="O352" s="2" t="n">
        <v>3000</v>
      </c>
      <c r="P352" s="2" t="inlineStr">
        <is>
          <t>manual</t>
        </is>
      </c>
      <c r="Q352" s="2" t="inlineStr">
        <is>
          <t>no</t>
        </is>
      </c>
      <c r="R352" s="2" t="inlineStr">
        <is>
          <t>particular</t>
        </is>
      </c>
      <c r="S352" s="2" t="inlineStr">
        <is>
          <t>Valencia (46018)</t>
        </is>
      </c>
      <c r="T352" s="2" t="inlineStr">
        <is>
          <t>2026-09-17T15:13:30</t>
        </is>
      </c>
      <c r="U352" s="2" t="n">
        <v>7</v>
      </c>
      <c r="V352" s="2" t="inlineStr">
        <is>
          <t>sí</t>
        </is>
      </c>
      <c r="W352" s="2" t="n"/>
      <c r="X352" s="2" t="n"/>
      <c r="Y352" s="2" t="n"/>
      <c r="Z352" s="2" t="n"/>
      <c r="AA352" s="2" t="n"/>
      <c r="AB352" s="2" t="n"/>
      <c r="AC352" s="2" t="n"/>
      <c r="AD352" s="2" t="n"/>
      <c r="AE352" s="2" t="n"/>
      <c r="AF352" s="2" t="n"/>
      <c r="AG352" s="2" t="n"/>
      <c r="AH352" s="2" t="n"/>
      <c r="AI352" s="2" t="n"/>
      <c r="AJ352" s="2" t="n"/>
      <c r="AK352" s="2" t="n"/>
      <c r="AL352" s="2" t="n"/>
      <c r="AM352" s="2" t="n">
        <v>2.3</v>
      </c>
      <c r="AN352" s="2" t="n">
        <v>2950</v>
      </c>
      <c r="AO352" s="2" t="n">
        <v>4</v>
      </c>
      <c r="AP352" s="2" t="inlineStr">
        <is>
          <t>modelo+año+km</t>
        </is>
      </c>
      <c r="AQ352" s="2" t="inlineStr">
        <is>
          <t>cochesnet:71537823 (https://www.coches.net/peugeot-207-14-16v-xs-pack-3p-gasolina-2006-en-valencia-71537823-covo.aspx)</t>
        </is>
      </c>
      <c r="AR352" s="2" t="inlineStr">
        <is>
          <t>cuota fija ITP: &gt;12 años, hasta 1.500 cc; fiabilidad del modelo PENDIENTE de fuente (puntuación neutra)</t>
        </is>
      </c>
      <c r="AS352" s="2" t="inlineStr">
        <is>
          <t xml:space="preserve">Se vende Peugeot 207 XS pACK 1.4 199.000 KM. Revisiones al día, ITV al día hasta mayo 2027, funciona todo. Se puede probar sin problema. Se vende porque ya tengo otros coches y no lo necesito
Escribir por whatsapp o por este medio. </t>
        </is>
      </c>
      <c r="AT352" s="2" t="inlineStr">
        <is>
          <t>https://es.wallapop.com/item/peugeot-207-xs-pack-1-4-2006-1302895961 (__NEXT_DATA__ item) /home/user/Alopecia/buscador-coches/raw/wallapop/6a049445edd3c48f.json</t>
        </is>
      </c>
      <c r="AU352" s="3">
        <f>MAX(ANIO_ACTUAL-M352,0)</f>
        <v/>
      </c>
      <c r="AV352" s="4">
        <f>N352/MAX(AU352,0.5)</f>
        <v/>
      </c>
      <c r="AW352" s="4">
        <f>F352</f>
        <v/>
      </c>
      <c r="AX352" s="3">
        <f>AW352&amp;"|"&amp;INT(M352/SEG_ANIO)*SEG_ANIO</f>
        <v/>
      </c>
      <c r="AY352" s="3">
        <f>AX352&amp;"|"&amp;INT(N352/SEG_KM)*SEG_KM</f>
        <v/>
      </c>
      <c r="AZ352" s="4">
        <f>COUNTIF($AW$2:$AW$662,AW352)</f>
        <v/>
      </c>
      <c r="BA352" s="4">
        <f>COUNTIF($AX$2:$AX$662,AX352)</f>
        <v/>
      </c>
      <c r="BB352" s="4">
        <f>COUNTIF($AY$2:$AY$662,AY352)</f>
        <v/>
      </c>
      <c r="BC352" s="3">
        <f t="array" ref="BC352">IF(N(AO352)&gt;=MIN_N,AN352,IF(BB352&gt;=MIN_N,MEDIAN(IF($AY$2:$AY$662=AY352,$O$2:$O$662)),IF(BA352&gt;=MIN_N,MEDIAN(IF($AX$2:$AX$662=AX352,$O$2:$O$662)),MEDIAN(IF($AW$2:$AW$662=AW352,$O$2:$O$662)))))</f>
        <v/>
      </c>
      <c r="BD352" s="3">
        <f>IF(N(AO352)&gt;=MIN_N,"mercado "&amp;AP352,IF(BB352&gt;=MIN_N,"modelo+año+km",IF(BA352&gt;=MIN_N,"modelo+año","modelo")))</f>
        <v/>
      </c>
      <c r="BE352" s="4">
        <f>(BC352-O352)/BC352</f>
        <v/>
      </c>
      <c r="BF352" s="3">
        <f>IF(OR(K352="hibrido",K352="glp"),"ECO",IF(K352="electrico","CERO",IF(K352="gasolina",IF(M352&gt;=GAS_C,"C",IF(M352&gt;=GAS_B,"B","A")),IF(K352="diesel",IF(M352&gt;=DIE_C,"C",IF(M352&gt;=DIE_B,"B","A")),""))))</f>
        <v/>
      </c>
      <c r="BG352" s="3">
        <f>IFERROR(VLOOKUP(F352,MOD_TBL,11,0),IFERROR(VLOOKUP(E352,OCU_TBL,2,0),NEUTRO))</f>
        <v/>
      </c>
      <c r="BH352" s="3">
        <f>SUMIFS(MOT_AJUSTE,MOT_MOTOR,G352,MOT_MARCA,E352,MOT_DESDE,"&lt;="&amp;M352,MOT_HASTA,"&gt;="&amp;M352)+SUMIFS(MOT_AJUSTE,MOT_MOTOR,G352,MOT_MARCA,"(todas)",MOT_DESDE,"&lt;="&amp;M352,MOT_HASTA,"&gt;="&amp;M352)</f>
        <v/>
      </c>
      <c r="BI352" s="3">
        <f>SUMIFS(COMB_AJUSTE,COMB_COMB,K352)</f>
        <v/>
      </c>
      <c r="BJ352" s="3">
        <f>COUNTIFS(MOT_MOTOR,G352,MOT_MARCA,E352,MOT_DESDE,"&lt;="&amp;M352,MOT_HASTA,"&gt;="&amp;M352)+COUNTIFS(MOT_MOTOR,G352,MOT_MARCA,"(todas)",MOT_DESDE,"&lt;="&amp;M352,MOT_HASTA,"&gt;="&amp;M352)</f>
        <v/>
      </c>
      <c r="BK352" s="3">
        <f>IF(AND(K352="diesel",BJ352=0),MIN(BG352,NEUTRO),BG352)</f>
        <v/>
      </c>
      <c r="BL352" s="4">
        <f>MAX(0,MIN(100,BK352+BH352+BI352))</f>
        <v/>
      </c>
      <c r="BM352" s="3">
        <f>MAX(0,MIN(100,50+BE352*PRECIO_PEND))</f>
        <v/>
      </c>
      <c r="BN352" s="3">
        <f>MAX(0,100*(1-N352/KM_MAX))</f>
        <v/>
      </c>
      <c r="BO352" s="3">
        <f>IF(AV352&lt;KMA_SOSP,IF(AA352="sí",100,KMA_PEN),IF(AV352&lt;=KMA_IDEAL_MAX,100,MAX(0,100*(KMA_CERO-AV352)/(KMA_CERO-KMA_IDEAL_MAX))))</f>
        <v/>
      </c>
      <c r="BP352" s="3">
        <f>MAX(0,MIN(100,100*(M352-ANIO_MIN)/(ANIO_ACTUAL-ANIO_MIN)))</f>
        <v/>
      </c>
      <c r="BQ352" s="3">
        <f>W_KMT*BN352+W_KMA*BO352+W_EDAD*BP352</f>
        <v/>
      </c>
      <c r="BR352" s="3">
        <f>P_ITV*(V352="sí")+P_LIBRO*(W352="sí")+P_CORREA*(X352="sí")+P_PROP*(Y352=1)+P_GAR*(Z352="sí")+P_FOTOS*MIN(1,N(U352)/FOTOS_OBJ)</f>
        <v/>
      </c>
      <c r="BS352" s="3">
        <f>IFERROR(VLOOKUP(BF352,ETQ_TBL,2,0),NEUTRO)</f>
        <v/>
      </c>
      <c r="BT352" s="3">
        <f>NEUTRO</f>
        <v/>
      </c>
      <c r="BU352" s="3">
        <f>IFERROR(VLOOKUP(L352,SEGURO_TBL,3,0),"")</f>
        <v/>
      </c>
      <c r="BV352" s="3">
        <f>IF(BU352="",NEUTRO,MAX(0,MIN(100,100*(SEG_REF_MAX-BU352)/(SEG_REF_MAX-SEG_REF_MIN))))</f>
        <v/>
      </c>
      <c r="BW352" s="3">
        <f>W_ET*BS352+W_CONS*BT352+W_SEG*BV352</f>
        <v/>
      </c>
      <c r="BX352" s="3">
        <f>IF(N(AB352)&gt;0,AB352,IF(AND(R352="profesional",SG_LEGAL_ON=1),GAR_LEGAL,0))</f>
        <v/>
      </c>
      <c r="BY352" s="3">
        <f>SG_GAR*MIN(1,BX352/SG_GAR_FULL)+SG_AMPL*(AC352="sí")+SG_KMC*(AF352="sí")+SG_REV*(N(AE352)&gt;0)+SG_DEV*MIN(1,N(AG352)/SG_DEV_FULL)+SG_HIST*(W352="sí")</f>
        <v/>
      </c>
      <c r="BZ352" s="3">
        <f>IFERROR(VLOOKUP(L352,CARR_PEN_TBL,2,0),0)</f>
        <v/>
      </c>
      <c r="CA352" s="3">
        <f>W_FIAB*BL352+W_PRECIO*BM352+W_KMEDAD*BQ352+W_ANUNCIO*BR352+W_USO*BW352+W_SEGURIDAD*BY352-BZ352</f>
        <v/>
      </c>
      <c r="CB352" s="4">
        <f>IF(N(I352)&gt;0,I352,IFERROR(ROUND(_xlfn.NUMBERVALUE(LEFT(G352,FIND(" ",G352&amp;" ")-1),".")*1000,0),99999))</f>
        <v/>
      </c>
      <c r="CC352" s="3">
        <f>IF(R352="profesional",0,IF(O352&lt;CUOTA_VALOR_MAX,IF(AU352&gt;ITP_TRAMO_ALTO,SUMIFS(CF_CUOTA,CF_MAS,ITP_TRAMO_ALTO,CF_CCMIN,"&lt;="&amp;CB352,CF_CCMAX,"&gt;="&amp;CB352),IF(AU352&gt;ITP_TRAMO_BAJO,SUMIFS(CF_CUOTA,CF_MAS,ITP_TRAMO_BAJO,CF_CCMIN,"&lt;="&amp;CB352,CF_CCMAX,"&gt;="&amp;CB352),O352*ITP_TIPO)),O352*ITP_TIPO))</f>
        <v/>
      </c>
      <c r="CD352" s="4">
        <f>IF(R352="profesional",N(AK352),0)</f>
        <v/>
      </c>
      <c r="CE352" s="3">
        <f>IF(AND(R352="profesional",ISNUMBER(AK352),AL352="sí"),0,TASA_DGT)</f>
        <v/>
      </c>
      <c r="CF352" s="3">
        <f>INFORME_DGT</f>
        <v/>
      </c>
      <c r="CG352" s="4">
        <f>O352+CD352+CC352+CE352+CF352</f>
        <v/>
      </c>
      <c r="CH352" s="4">
        <f>CG352+N(BU352)</f>
        <v/>
      </c>
      <c r="CI352" s="3">
        <f>IF(CG352&lt;=TOTAL_MAX,"sí",IF(CG352&lt;=TOTAL_MAX+MARGEN_NEG,"negociar","no"))</f>
        <v/>
      </c>
      <c r="CJ352" s="4">
        <f>IF(CI352&lt;&gt;"no",COUNTIFS($CI$2:$CI$662,"&lt;&gt;no",$CA$2:$CA$662,"&gt;"&amp;CA352)+COUNTIFS($CI$2:CI352,"&lt;&gt;no",$CA$2:CA352,CA352),"")</f>
        <v/>
      </c>
    </row>
    <row r="353">
      <c r="A353" s="2" t="inlineStr">
        <is>
          <t>wallapop:1283042925</t>
        </is>
      </c>
      <c r="B353" s="2" t="inlineStr">
        <is>
          <t>wallapop</t>
        </is>
      </c>
      <c r="C353" s="2" t="inlineStr">
        <is>
          <t>https://es.wallapop.com/item/peugeot-207-2011-1283042925</t>
        </is>
      </c>
      <c r="D353" s="2" t="inlineStr">
        <is>
          <t>Peugeot 207 1.6 HDi 90 CV | ÚNICO DUEÑO</t>
        </is>
      </c>
      <c r="E353" s="2" t="inlineStr">
        <is>
          <t>Peugeot</t>
        </is>
      </c>
      <c r="F353" s="2" t="inlineStr">
        <is>
          <t>Peugeot 207</t>
        </is>
      </c>
      <c r="G353" s="2" t="inlineStr">
        <is>
          <t>1.6 HDi</t>
        </is>
      </c>
      <c r="H353" s="2" t="inlineStr">
        <is>
          <t>1.6 HDi 90 Confort 5p AM70</t>
        </is>
      </c>
      <c r="I353" s="2" t="n"/>
      <c r="J353" s="2" t="n">
        <v>90</v>
      </c>
      <c r="K353" s="2" t="inlineStr">
        <is>
          <t>diesel</t>
        </is>
      </c>
      <c r="L353" s="2" t="inlineStr">
        <is>
          <t>utilitario</t>
        </is>
      </c>
      <c r="M353" s="2" t="n">
        <v>2010</v>
      </c>
      <c r="N353" s="2" t="n">
        <v>148000</v>
      </c>
      <c r="O353" s="2" t="n">
        <v>4950</v>
      </c>
      <c r="P353" s="2" t="inlineStr">
        <is>
          <t>manual</t>
        </is>
      </c>
      <c r="Q353" s="2" t="inlineStr">
        <is>
          <t>no</t>
        </is>
      </c>
      <c r="R353" s="2" t="inlineStr">
        <is>
          <t>particular</t>
        </is>
      </c>
      <c r="S353" s="2" t="inlineStr">
        <is>
          <t>Valencia (46070)</t>
        </is>
      </c>
      <c r="T353" s="2" t="inlineStr">
        <is>
          <t>2026-10-29T08:16:28</t>
        </is>
      </c>
      <c r="U353" s="2" t="n">
        <v>7</v>
      </c>
      <c r="V353" s="2" t="inlineStr">
        <is>
          <t>sí</t>
        </is>
      </c>
      <c r="W353" s="2" t="n"/>
      <c r="X353" s="2" t="n"/>
      <c r="Y353" s="2" t="n">
        <v>1</v>
      </c>
      <c r="Z353" s="2" t="n"/>
      <c r="AA353" s="2" t="n"/>
      <c r="AB353" s="2" t="n"/>
      <c r="AC353" s="2" t="n"/>
      <c r="AD353" s="2" t="n"/>
      <c r="AE353" s="2" t="n"/>
      <c r="AF353" s="2" t="n"/>
      <c r="AG353" s="2" t="n"/>
      <c r="AH353" s="2" t="n"/>
      <c r="AI353" s="2" t="n"/>
      <c r="AJ353" s="2" t="n"/>
      <c r="AK353" s="2" t="n"/>
      <c r="AL353" s="2" t="n"/>
      <c r="AM353" s="2" t="n">
        <v>1.2</v>
      </c>
      <c r="AN353" s="2" t="n">
        <v>4490</v>
      </c>
      <c r="AO353" s="2" t="n">
        <v>15</v>
      </c>
      <c r="AP353" s="2" t="inlineStr">
        <is>
          <t>modelo+año+km</t>
        </is>
      </c>
      <c r="AQ353" s="2" t="inlineStr">
        <is>
          <t>cochesnet:71377422 (https://www.coches.net/peugeot-207-diesel-2010-en-valencia-71377422-covo.aspx); cochesnet:71385638 (https://www.coches.net/peugeot-207-confort-16-hdi-90-5p-diesel-2010-en-valencia-71385638-covo.aspx)</t>
        </is>
      </c>
      <c r="AR353" s="2" t="inlineStr">
        <is>
          <t>por encima del presupuesto (5074 €), negociar; cuota fija ITP: &gt;12 años, 1.501-2.000 cc; fiabilidad del modelo PENDIENTE de fuente (puntuación neutra)</t>
        </is>
      </c>
      <c r="AS353" s="2" t="inlineStr">
        <is>
          <t>Peugeot 207 1.6 HDi 90 CV en muy buen estado. Siempre guardado en garaje y utilizado con tranquilidad.
🔧 Mantenimiento recién realizado:
Distribución + bomba de agua
Soportes de motor
Tirantes de dirección
Aceite y filtros
Batería
Neumáticos
🚗 Equipamiento:
Llantas originales Peugeot
Climatizador bizona
Radio CD + AUX
Alarma
Enganche de remolque, usado ocasionalmente para transportar perros
2 llaves, 1 con mando y otra apertura puerta
ITV en vigor durante 1 año
Etiqueta medioambiental
Listo para circular, sin necesidad de hacerle nada.
SE HA REALIZADO UNA IMPORTANTE PUESTA A PUNTO RECIENTEMENTE.
Se puede ver y probar sin compromiso.
No acepto cambios.</t>
        </is>
      </c>
      <c r="AT353" s="2" t="inlineStr">
        <is>
          <t>https://es.wallapop.com/item/peugeot-207-2011-1283042925 (__NEXT_DATA__ item) /home/user/Alopecia/buscador-coches/raw/wallapop/a8ab80de7af22465.json</t>
        </is>
      </c>
      <c r="AU353" s="3">
        <f>MAX(ANIO_ACTUAL-M353,0)</f>
        <v/>
      </c>
      <c r="AV353" s="4">
        <f>N353/MAX(AU353,0.5)</f>
        <v/>
      </c>
      <c r="AW353" s="4">
        <f>F353</f>
        <v/>
      </c>
      <c r="AX353" s="3">
        <f>AW353&amp;"|"&amp;INT(M353/SEG_ANIO)*SEG_ANIO</f>
        <v/>
      </c>
      <c r="AY353" s="3">
        <f>AX353&amp;"|"&amp;INT(N353/SEG_KM)*SEG_KM</f>
        <v/>
      </c>
      <c r="AZ353" s="4">
        <f>COUNTIF($AW$2:$AW$662,AW353)</f>
        <v/>
      </c>
      <c r="BA353" s="4">
        <f>COUNTIF($AX$2:$AX$662,AX353)</f>
        <v/>
      </c>
      <c r="BB353" s="4">
        <f>COUNTIF($AY$2:$AY$662,AY353)</f>
        <v/>
      </c>
      <c r="BC353" s="3">
        <f t="array" ref="BC353">IF(N(AO353)&gt;=MIN_N,AN353,IF(BB353&gt;=MIN_N,MEDIAN(IF($AY$2:$AY$662=AY353,$O$2:$O$662)),IF(BA353&gt;=MIN_N,MEDIAN(IF($AX$2:$AX$662=AX353,$O$2:$O$662)),MEDIAN(IF($AW$2:$AW$662=AW353,$O$2:$O$662)))))</f>
        <v/>
      </c>
      <c r="BD353" s="3">
        <f>IF(N(AO353)&gt;=MIN_N,"mercado "&amp;AP353,IF(BB353&gt;=MIN_N,"modelo+año+km",IF(BA353&gt;=MIN_N,"modelo+año","modelo")))</f>
        <v/>
      </c>
      <c r="BE353" s="4">
        <f>(BC353-O353)/BC353</f>
        <v/>
      </c>
      <c r="BF353" s="3">
        <f>IF(OR(K353="hibrido",K353="glp"),"ECO",IF(K353="electrico","CERO",IF(K353="gasolina",IF(M353&gt;=GAS_C,"C",IF(M353&gt;=GAS_B,"B","A")),IF(K353="diesel",IF(M353&gt;=DIE_C,"C",IF(M353&gt;=DIE_B,"B","A")),""))))</f>
        <v/>
      </c>
      <c r="BG353" s="3">
        <f>IFERROR(VLOOKUP(F353,MOD_TBL,11,0),IFERROR(VLOOKUP(E353,OCU_TBL,2,0),NEUTRO))</f>
        <v/>
      </c>
      <c r="BH353" s="3">
        <f>SUMIFS(MOT_AJUSTE,MOT_MOTOR,G353,MOT_MARCA,E353,MOT_DESDE,"&lt;="&amp;M353,MOT_HASTA,"&gt;="&amp;M353)+SUMIFS(MOT_AJUSTE,MOT_MOTOR,G353,MOT_MARCA,"(todas)",MOT_DESDE,"&lt;="&amp;M353,MOT_HASTA,"&gt;="&amp;M353)</f>
        <v/>
      </c>
      <c r="BI353" s="3">
        <f>SUMIFS(COMB_AJUSTE,COMB_COMB,K353)</f>
        <v/>
      </c>
      <c r="BJ353" s="3">
        <f>COUNTIFS(MOT_MOTOR,G353,MOT_MARCA,E353,MOT_DESDE,"&lt;="&amp;M353,MOT_HASTA,"&gt;="&amp;M353)+COUNTIFS(MOT_MOTOR,G353,MOT_MARCA,"(todas)",MOT_DESDE,"&lt;="&amp;M353,MOT_HASTA,"&gt;="&amp;M353)</f>
        <v/>
      </c>
      <c r="BK353" s="3">
        <f>IF(AND(K353="diesel",BJ353=0),MIN(BG353,NEUTRO),BG353)</f>
        <v/>
      </c>
      <c r="BL353" s="4">
        <f>MAX(0,MIN(100,BK353+BH353+BI353))</f>
        <v/>
      </c>
      <c r="BM353" s="3">
        <f>MAX(0,MIN(100,50+BE353*PRECIO_PEND))</f>
        <v/>
      </c>
      <c r="BN353" s="3">
        <f>MAX(0,100*(1-N353/KM_MAX))</f>
        <v/>
      </c>
      <c r="BO353" s="3">
        <f>IF(AV353&lt;KMA_SOSP,IF(AA353="sí",100,KMA_PEN),IF(AV353&lt;=KMA_IDEAL_MAX,100,MAX(0,100*(KMA_CERO-AV353)/(KMA_CERO-KMA_IDEAL_MAX))))</f>
        <v/>
      </c>
      <c r="BP353" s="3">
        <f>MAX(0,MIN(100,100*(M353-ANIO_MIN)/(ANIO_ACTUAL-ANIO_MIN)))</f>
        <v/>
      </c>
      <c r="BQ353" s="3">
        <f>W_KMT*BN353+W_KMA*BO353+W_EDAD*BP353</f>
        <v/>
      </c>
      <c r="BR353" s="3">
        <f>P_ITV*(V353="sí")+P_LIBRO*(W353="sí")+P_CORREA*(X353="sí")+P_PROP*(Y353=1)+P_GAR*(Z353="sí")+P_FOTOS*MIN(1,N(U353)/FOTOS_OBJ)</f>
        <v/>
      </c>
      <c r="BS353" s="3">
        <f>IFERROR(VLOOKUP(BF353,ETQ_TBL,2,0),NEUTRO)</f>
        <v/>
      </c>
      <c r="BT353" s="3">
        <f>NEUTRO</f>
        <v/>
      </c>
      <c r="BU353" s="3">
        <f>IFERROR(VLOOKUP(L353,SEGURO_TBL,3,0),"")</f>
        <v/>
      </c>
      <c r="BV353" s="3">
        <f>IF(BU353="",NEUTRO,MAX(0,MIN(100,100*(SEG_REF_MAX-BU353)/(SEG_REF_MAX-SEG_REF_MIN))))</f>
        <v/>
      </c>
      <c r="BW353" s="3">
        <f>W_ET*BS353+W_CONS*BT353+W_SEG*BV353</f>
        <v/>
      </c>
      <c r="BX353" s="3">
        <f>IF(N(AB353)&gt;0,AB353,IF(AND(R353="profesional",SG_LEGAL_ON=1),GAR_LEGAL,0))</f>
        <v/>
      </c>
      <c r="BY353" s="3">
        <f>SG_GAR*MIN(1,BX353/SG_GAR_FULL)+SG_AMPL*(AC353="sí")+SG_KMC*(AF353="sí")+SG_REV*(N(AE353)&gt;0)+SG_DEV*MIN(1,N(AG353)/SG_DEV_FULL)+SG_HIST*(W353="sí")</f>
        <v/>
      </c>
      <c r="BZ353" s="3">
        <f>IFERROR(VLOOKUP(L353,CARR_PEN_TBL,2,0),0)</f>
        <v/>
      </c>
      <c r="CA353" s="3">
        <f>W_FIAB*BL353+W_PRECIO*BM353+W_KMEDAD*BQ353+W_ANUNCIO*BR353+W_USO*BW353+W_SEGURIDAD*BY353-BZ353</f>
        <v/>
      </c>
      <c r="CB353" s="4">
        <f>IF(N(I353)&gt;0,I353,IFERROR(ROUND(_xlfn.NUMBERVALUE(LEFT(G353,FIND(" ",G353&amp;" ")-1),".")*1000,0),99999))</f>
        <v/>
      </c>
      <c r="CC353" s="3">
        <f>IF(R353="profesional",0,IF(O353&lt;CUOTA_VALOR_MAX,IF(AU353&gt;ITP_TRAMO_ALTO,SUMIFS(CF_CUOTA,CF_MAS,ITP_TRAMO_ALTO,CF_CCMIN,"&lt;="&amp;CB353,CF_CCMAX,"&gt;="&amp;CB353),IF(AU353&gt;ITP_TRAMO_BAJO,SUMIFS(CF_CUOTA,CF_MAS,ITP_TRAMO_BAJO,CF_CCMIN,"&lt;="&amp;CB353,CF_CCMAX,"&gt;="&amp;CB353),O353*ITP_TIPO)),O353*ITP_TIPO))</f>
        <v/>
      </c>
      <c r="CD353" s="4">
        <f>IF(R353="profesional",N(AK353),0)</f>
        <v/>
      </c>
      <c r="CE353" s="3">
        <f>IF(AND(R353="profesional",ISNUMBER(AK353),AL353="sí"),0,TASA_DGT)</f>
        <v/>
      </c>
      <c r="CF353" s="3">
        <f>INFORME_DGT</f>
        <v/>
      </c>
      <c r="CG353" s="4">
        <f>O353+CD353+CC353+CE353+CF353</f>
        <v/>
      </c>
      <c r="CH353" s="4">
        <f>CG353+N(BU353)</f>
        <v/>
      </c>
      <c r="CI353" s="3">
        <f>IF(CG353&lt;=TOTAL_MAX,"sí",IF(CG353&lt;=TOTAL_MAX+MARGEN_NEG,"negociar","no"))</f>
        <v/>
      </c>
      <c r="CJ353" s="4">
        <f>IF(CI353&lt;&gt;"no",COUNTIFS($CI$2:$CI$662,"&lt;&gt;no",$CA$2:$CA$662,"&gt;"&amp;CA353)+COUNTIFS($CI$2:CI353,"&lt;&gt;no",$CA$2:CA353,CA353),"")</f>
        <v/>
      </c>
    </row>
    <row r="354">
      <c r="A354" s="2" t="inlineStr">
        <is>
          <t>wallapop:1318039860</t>
        </is>
      </c>
      <c r="B354" s="2" t="inlineStr">
        <is>
          <t>wallapop</t>
        </is>
      </c>
      <c r="C354" s="2" t="inlineStr">
        <is>
          <t>https://es.wallapop.com/item/peugeot-208-2015-1318039860</t>
        </is>
      </c>
      <c r="D354" s="2" t="inlineStr">
        <is>
          <t>Peugeot 208 2015</t>
        </is>
      </c>
      <c r="E354" s="2" t="inlineStr">
        <is>
          <t>Peugeot</t>
        </is>
      </c>
      <c r="F354" s="2" t="inlineStr">
        <is>
          <t>Peugeot 208</t>
        </is>
      </c>
      <c r="G354" s="2" t="inlineStr">
        <is>
          <t>1.2 PureTech</t>
        </is>
      </c>
      <c r="H354" s="2" t="inlineStr">
        <is>
          <t>1.2L PureTech 82 Access 5p</t>
        </is>
      </c>
      <c r="I354" s="2" t="n"/>
      <c r="J354" s="2" t="n">
        <v>82</v>
      </c>
      <c r="K354" s="2" t="inlineStr">
        <is>
          <t>gasolina</t>
        </is>
      </c>
      <c r="L354" s="2" t="inlineStr">
        <is>
          <t>utilitario</t>
        </is>
      </c>
      <c r="M354" s="2" t="n">
        <v>2015</v>
      </c>
      <c r="N354" s="2" t="n">
        <v>170000</v>
      </c>
      <c r="O354" s="2" t="n">
        <v>4700</v>
      </c>
      <c r="P354" s="2" t="inlineStr">
        <is>
          <t>manual</t>
        </is>
      </c>
      <c r="Q354" s="2" t="inlineStr">
        <is>
          <t>no</t>
        </is>
      </c>
      <c r="R354" s="2" t="inlineStr">
        <is>
          <t>particular</t>
        </is>
      </c>
      <c r="S354" s="2" t="inlineStr">
        <is>
          <t>Valencia (46001)</t>
        </is>
      </c>
      <c r="T354" s="2" t="inlineStr">
        <is>
          <t>2026-10-31T06:52:17</t>
        </is>
      </c>
      <c r="U354" s="2" t="n">
        <v>1</v>
      </c>
      <c r="V354" s="2" t="n"/>
      <c r="W354" s="2" t="n"/>
      <c r="X354" s="2" t="inlineStr">
        <is>
          <t>sí</t>
        </is>
      </c>
      <c r="Y354" s="2" t="n"/>
      <c r="Z354" s="2" t="n"/>
      <c r="AA354" s="2" t="n"/>
      <c r="AB354" s="2" t="n"/>
      <c r="AC354" s="2" t="n"/>
      <c r="AD354" s="2" t="n"/>
      <c r="AE354" s="2" t="n"/>
      <c r="AF354" s="2" t="n"/>
      <c r="AG354" s="2" t="n"/>
      <c r="AH354" s="2" t="n"/>
      <c r="AI354" s="2" t="n"/>
      <c r="AJ354" s="2" t="n"/>
      <c r="AK354" s="2" t="n"/>
      <c r="AL354" s="2" t="n"/>
      <c r="AM354" s="2" t="n">
        <v>0.8</v>
      </c>
      <c r="AN354" s="2" t="n">
        <v>4700</v>
      </c>
      <c r="AO354" s="2" t="n">
        <v>6</v>
      </c>
      <c r="AP354" s="2" t="inlineStr">
        <is>
          <t>modelo+año+km</t>
        </is>
      </c>
      <c r="AQ354" s="2" t="inlineStr">
        <is>
          <t>cochesnet:71851274 (https://www.coches.net/peugeot-208-5p-style-12l-puretech-82-5p-gasolina-2015-en-valencia-71851274-covo.aspx); cochesnet:71851161 (https://www.coches.net/peugeot-208-5p-access-12l-puretech-82-5p-gasolina-2015-en-valencia-71851161-covo.aspx)</t>
        </is>
      </c>
      <c r="AR354" s="2" t="inlineStr">
        <is>
          <t>cuota fija ITP: &gt;5 y &lt;=12 años, hasta 1.500 cc</t>
        </is>
      </c>
      <c r="AS354" s="2" t="inlineStr">
        <is>
          <t xml:space="preserve">PEUGEOT 208 1.2 GASOLINA 82 CV – 2015
🔹 Año: 2015
🔹 Kilómetros: 170.000 km
🔹 Motor gasolina de 82 CV
🔹 5 puertas
✅ MUY BUEN ESTADO DE CONSERVACIÓN
Vehículo muy cuidado, con un importante mantenimiento realizado para su tranquilidad:
✔️ Distribución cambiada
✔️ Embrague cambiado
✔️ Bujías y bobinas cambiadas
✔️ Mantenimientos al día
Coche práctico, económico y cómodo para el día a día, ideal tanto para ciudad como para carretera. Destaca por su buen estado de conservación y por tener al día importantes trabajos de mantenimiento.
</t>
        </is>
      </c>
      <c r="AT354" s="2" t="inlineStr">
        <is>
          <t>https://es.wallapop.com/item/peugeot-208-2015-1318039860 (__NEXT_DATA__ item) /home/user/Alopecia/buscador-coches/raw/wallapop/21f2cf36ead6c2d7.json</t>
        </is>
      </c>
      <c r="AU354" s="3">
        <f>MAX(ANIO_ACTUAL-M354,0)</f>
        <v/>
      </c>
      <c r="AV354" s="4">
        <f>N354/MAX(AU354,0.5)</f>
        <v/>
      </c>
      <c r="AW354" s="4">
        <f>F354</f>
        <v/>
      </c>
      <c r="AX354" s="3">
        <f>AW354&amp;"|"&amp;INT(M354/SEG_ANIO)*SEG_ANIO</f>
        <v/>
      </c>
      <c r="AY354" s="3">
        <f>AX354&amp;"|"&amp;INT(N354/SEG_KM)*SEG_KM</f>
        <v/>
      </c>
      <c r="AZ354" s="4">
        <f>COUNTIF($AW$2:$AW$662,AW354)</f>
        <v/>
      </c>
      <c r="BA354" s="4">
        <f>COUNTIF($AX$2:$AX$662,AX354)</f>
        <v/>
      </c>
      <c r="BB354" s="4">
        <f>COUNTIF($AY$2:$AY$662,AY354)</f>
        <v/>
      </c>
      <c r="BC354" s="3">
        <f t="array" ref="BC354">IF(N(AO354)&gt;=MIN_N,AN354,IF(BB354&gt;=MIN_N,MEDIAN(IF($AY$2:$AY$662=AY354,$O$2:$O$662)),IF(BA354&gt;=MIN_N,MEDIAN(IF($AX$2:$AX$662=AX354,$O$2:$O$662)),MEDIAN(IF($AW$2:$AW$662=AW354,$O$2:$O$662)))))</f>
        <v/>
      </c>
      <c r="BD354" s="3">
        <f>IF(N(AO354)&gt;=MIN_N,"mercado "&amp;AP354,IF(BB354&gt;=MIN_N,"modelo+año+km",IF(BA354&gt;=MIN_N,"modelo+año","modelo")))</f>
        <v/>
      </c>
      <c r="BE354" s="4">
        <f>(BC354-O354)/BC354</f>
        <v/>
      </c>
      <c r="BF354" s="3">
        <f>IF(OR(K354="hibrido",K354="glp"),"ECO",IF(K354="electrico","CERO",IF(K354="gasolina",IF(M354&gt;=GAS_C,"C",IF(M354&gt;=GAS_B,"B","A")),IF(K354="diesel",IF(M354&gt;=DIE_C,"C",IF(M354&gt;=DIE_B,"B","A")),""))))</f>
        <v/>
      </c>
      <c r="BG354" s="3">
        <f>IFERROR(VLOOKUP(F354,MOD_TBL,11,0),IFERROR(VLOOKUP(E354,OCU_TBL,2,0),NEUTRO))</f>
        <v/>
      </c>
      <c r="BH354" s="3">
        <f>SUMIFS(MOT_AJUSTE,MOT_MOTOR,G354,MOT_MARCA,E354,MOT_DESDE,"&lt;="&amp;M354,MOT_HASTA,"&gt;="&amp;M354)+SUMIFS(MOT_AJUSTE,MOT_MOTOR,G354,MOT_MARCA,"(todas)",MOT_DESDE,"&lt;="&amp;M354,MOT_HASTA,"&gt;="&amp;M354)</f>
        <v/>
      </c>
      <c r="BI354" s="3">
        <f>SUMIFS(COMB_AJUSTE,COMB_COMB,K354)</f>
        <v/>
      </c>
      <c r="BJ354" s="3">
        <f>COUNTIFS(MOT_MOTOR,G354,MOT_MARCA,E354,MOT_DESDE,"&lt;="&amp;M354,MOT_HASTA,"&gt;="&amp;M354)+COUNTIFS(MOT_MOTOR,G354,MOT_MARCA,"(todas)",MOT_DESDE,"&lt;="&amp;M354,MOT_HASTA,"&gt;="&amp;M354)</f>
        <v/>
      </c>
      <c r="BK354" s="3">
        <f>IF(AND(K354="diesel",BJ354=0),MIN(BG354,NEUTRO),BG354)</f>
        <v/>
      </c>
      <c r="BL354" s="4">
        <f>MAX(0,MIN(100,BK354+BH354+BI354))</f>
        <v/>
      </c>
      <c r="BM354" s="3">
        <f>MAX(0,MIN(100,50+BE354*PRECIO_PEND))</f>
        <v/>
      </c>
      <c r="BN354" s="3">
        <f>MAX(0,100*(1-N354/KM_MAX))</f>
        <v/>
      </c>
      <c r="BO354" s="3">
        <f>IF(AV354&lt;KMA_SOSP,IF(AA354="sí",100,KMA_PEN),IF(AV354&lt;=KMA_IDEAL_MAX,100,MAX(0,100*(KMA_CERO-AV354)/(KMA_CERO-KMA_IDEAL_MAX))))</f>
        <v/>
      </c>
      <c r="BP354" s="3">
        <f>MAX(0,MIN(100,100*(M354-ANIO_MIN)/(ANIO_ACTUAL-ANIO_MIN)))</f>
        <v/>
      </c>
      <c r="BQ354" s="3">
        <f>W_KMT*BN354+W_KMA*BO354+W_EDAD*BP354</f>
        <v/>
      </c>
      <c r="BR354" s="3">
        <f>P_ITV*(V354="sí")+P_LIBRO*(W354="sí")+P_CORREA*(X354="sí")+P_PROP*(Y354=1)+P_GAR*(Z354="sí")+P_FOTOS*MIN(1,N(U354)/FOTOS_OBJ)</f>
        <v/>
      </c>
      <c r="BS354" s="3">
        <f>IFERROR(VLOOKUP(BF354,ETQ_TBL,2,0),NEUTRO)</f>
        <v/>
      </c>
      <c r="BT354" s="3">
        <f>NEUTRO</f>
        <v/>
      </c>
      <c r="BU354" s="3">
        <f>IFERROR(VLOOKUP(L354,SEGURO_TBL,3,0),"")</f>
        <v/>
      </c>
      <c r="BV354" s="3">
        <f>IF(BU354="",NEUTRO,MAX(0,MIN(100,100*(SEG_REF_MAX-BU354)/(SEG_REF_MAX-SEG_REF_MIN))))</f>
        <v/>
      </c>
      <c r="BW354" s="3">
        <f>W_ET*BS354+W_CONS*BT354+W_SEG*BV354</f>
        <v/>
      </c>
      <c r="BX354" s="3">
        <f>IF(N(AB354)&gt;0,AB354,IF(AND(R354="profesional",SG_LEGAL_ON=1),GAR_LEGAL,0))</f>
        <v/>
      </c>
      <c r="BY354" s="3">
        <f>SG_GAR*MIN(1,BX354/SG_GAR_FULL)+SG_AMPL*(AC354="sí")+SG_KMC*(AF354="sí")+SG_REV*(N(AE354)&gt;0)+SG_DEV*MIN(1,N(AG354)/SG_DEV_FULL)+SG_HIST*(W354="sí")</f>
        <v/>
      </c>
      <c r="BZ354" s="3">
        <f>IFERROR(VLOOKUP(L354,CARR_PEN_TBL,2,0),0)</f>
        <v/>
      </c>
      <c r="CA354" s="3">
        <f>W_FIAB*BL354+W_PRECIO*BM354+W_KMEDAD*BQ354+W_ANUNCIO*BR354+W_USO*BW354+W_SEGURIDAD*BY354-BZ354</f>
        <v/>
      </c>
      <c r="CB354" s="4">
        <f>IF(N(I354)&gt;0,I354,IFERROR(ROUND(_xlfn.NUMBERVALUE(LEFT(G354,FIND(" ",G354&amp;" ")-1),".")*1000,0),99999))</f>
        <v/>
      </c>
      <c r="CC354" s="3">
        <f>IF(R354="profesional",0,IF(O354&lt;CUOTA_VALOR_MAX,IF(AU354&gt;ITP_TRAMO_ALTO,SUMIFS(CF_CUOTA,CF_MAS,ITP_TRAMO_ALTO,CF_CCMIN,"&lt;="&amp;CB354,CF_CCMAX,"&gt;="&amp;CB354),IF(AU354&gt;ITP_TRAMO_BAJO,SUMIFS(CF_CUOTA,CF_MAS,ITP_TRAMO_BAJO,CF_CCMIN,"&lt;="&amp;CB354,CF_CCMAX,"&gt;="&amp;CB354),O354*ITP_TIPO)),O354*ITP_TIPO))</f>
        <v/>
      </c>
      <c r="CD354" s="4">
        <f>IF(R354="profesional",N(AK354),0)</f>
        <v/>
      </c>
      <c r="CE354" s="3">
        <f>IF(AND(R354="profesional",ISNUMBER(AK354),AL354="sí"),0,TASA_DGT)</f>
        <v/>
      </c>
      <c r="CF354" s="3">
        <f>INFORME_DGT</f>
        <v/>
      </c>
      <c r="CG354" s="4">
        <f>O354+CD354+CC354+CE354+CF354</f>
        <v/>
      </c>
      <c r="CH354" s="4">
        <f>CG354+N(BU354)</f>
        <v/>
      </c>
      <c r="CI354" s="3">
        <f>IF(CG354&lt;=TOTAL_MAX,"sí",IF(CG354&lt;=TOTAL_MAX+MARGEN_NEG,"negociar","no"))</f>
        <v/>
      </c>
      <c r="CJ354" s="4">
        <f>IF(CI354&lt;&gt;"no",COUNTIFS($CI$2:$CI$662,"&lt;&gt;no",$CA$2:$CA$662,"&gt;"&amp;CA354)+COUNTIFS($CI$2:CI354,"&lt;&gt;no",$CA$2:CA354,CA354),"")</f>
        <v/>
      </c>
    </row>
    <row r="355">
      <c r="A355" s="2" t="inlineStr">
        <is>
          <t>wallapop:1317356046</t>
        </is>
      </c>
      <c r="B355" s="2" t="inlineStr">
        <is>
          <t>wallapop</t>
        </is>
      </c>
      <c r="C355" s="2" t="inlineStr">
        <is>
          <t>https://es.wallapop.com/item/peugeot-208-2013-1317356046</t>
        </is>
      </c>
      <c r="D355" s="2" t="inlineStr">
        <is>
          <t>Peugeot 208 2013</t>
        </is>
      </c>
      <c r="E355" s="2" t="inlineStr">
        <is>
          <t>Peugeot</t>
        </is>
      </c>
      <c r="F355" s="2" t="inlineStr">
        <is>
          <t>Peugeot 208</t>
        </is>
      </c>
      <c r="G355" s="2" t="inlineStr">
        <is>
          <t>1.4 HDi</t>
        </is>
      </c>
      <c r="H355" s="2" t="inlineStr">
        <is>
          <t>1.4 HDi 68 Allure 5p</t>
        </is>
      </c>
      <c r="I355" s="2" t="n"/>
      <c r="J355" s="2" t="n">
        <v>68</v>
      </c>
      <c r="K355" s="2" t="inlineStr">
        <is>
          <t>gasolina</t>
        </is>
      </c>
      <c r="L355" s="2" t="inlineStr">
        <is>
          <t>utilitario</t>
        </is>
      </c>
      <c r="M355" s="2" t="n">
        <v>2013</v>
      </c>
      <c r="N355" s="2" t="n">
        <v>135000</v>
      </c>
      <c r="O355" s="2" t="n">
        <v>4800</v>
      </c>
      <c r="P355" s="2" t="inlineStr">
        <is>
          <t>manual</t>
        </is>
      </c>
      <c r="Q355" s="2" t="inlineStr">
        <is>
          <t>no</t>
        </is>
      </c>
      <c r="R355" s="2" t="inlineStr">
        <is>
          <t>particular</t>
        </is>
      </c>
      <c r="S355" s="2" t="inlineStr">
        <is>
          <t>Valencia (46002)</t>
        </is>
      </c>
      <c r="T355" s="2" t="inlineStr">
        <is>
          <t>2026-10-26T11:15:36</t>
        </is>
      </c>
      <c r="U355" s="2" t="n">
        <v>7</v>
      </c>
      <c r="V355" s="2" t="n"/>
      <c r="W355" s="2" t="n"/>
      <c r="X355" s="2" t="n"/>
      <c r="Y355" s="2" t="n"/>
      <c r="Z355" s="2" t="n"/>
      <c r="AA355" s="2" t="n"/>
      <c r="AB355" s="2" t="n"/>
      <c r="AC355" s="2" t="n"/>
      <c r="AD355" s="2" t="n"/>
      <c r="AE355" s="2" t="n"/>
      <c r="AF355" s="2" t="n"/>
      <c r="AG355" s="2" t="n"/>
      <c r="AH355" s="2" t="n"/>
      <c r="AI355" s="2" t="n"/>
      <c r="AJ355" s="2" t="n"/>
      <c r="AK355" s="2" t="n"/>
      <c r="AL355" s="2" t="n"/>
      <c r="AM355" s="2" t="n">
        <v>0.9</v>
      </c>
      <c r="AN355" s="2" t="n">
        <v>5990</v>
      </c>
      <c r="AO355" s="2" t="n">
        <v>17</v>
      </c>
      <c r="AP355" s="2" t="inlineStr">
        <is>
          <t>modelo+año+km</t>
        </is>
      </c>
      <c r="AQ355" s="2" t="n"/>
      <c r="AR355" s="2" t="inlineStr">
        <is>
          <t>antigüedad en el límite del tramo: depende de la fecha exacta de matriculación; cuota fija ITP: &gt;12 años, hasta 1.500 cc</t>
        </is>
      </c>
      <c r="AS355" s="2" t="inlineStr">
        <is>
          <t xml:space="preserve">Todos sus servicios recien echos 2013 itv vigente 135mil klm gasolina etiqueta C le funciona todo esta a toda pruba listo para viajar </t>
        </is>
      </c>
      <c r="AT355" s="2" t="inlineStr">
        <is>
          <t>https://es.wallapop.com/item/peugeot-208-2013-1317356046 (__NEXT_DATA__ item) /home/user/Alopecia/buscador-coches/raw/wallapop/cd39bbd936322221.json</t>
        </is>
      </c>
      <c r="AU355" s="3">
        <f>MAX(ANIO_ACTUAL-M355,0)</f>
        <v/>
      </c>
      <c r="AV355" s="4">
        <f>N355/MAX(AU355,0.5)</f>
        <v/>
      </c>
      <c r="AW355" s="4">
        <f>F355</f>
        <v/>
      </c>
      <c r="AX355" s="3">
        <f>AW355&amp;"|"&amp;INT(M355/SEG_ANIO)*SEG_ANIO</f>
        <v/>
      </c>
      <c r="AY355" s="3">
        <f>AX355&amp;"|"&amp;INT(N355/SEG_KM)*SEG_KM</f>
        <v/>
      </c>
      <c r="AZ355" s="4">
        <f>COUNTIF($AW$2:$AW$662,AW355)</f>
        <v/>
      </c>
      <c r="BA355" s="4">
        <f>COUNTIF($AX$2:$AX$662,AX355)</f>
        <v/>
      </c>
      <c r="BB355" s="4">
        <f>COUNTIF($AY$2:$AY$662,AY355)</f>
        <v/>
      </c>
      <c r="BC355" s="3">
        <f t="array" ref="BC355">IF(N(AO355)&gt;=MIN_N,AN355,IF(BB355&gt;=MIN_N,MEDIAN(IF($AY$2:$AY$662=AY355,$O$2:$O$662)),IF(BA355&gt;=MIN_N,MEDIAN(IF($AX$2:$AX$662=AX355,$O$2:$O$662)),MEDIAN(IF($AW$2:$AW$662=AW355,$O$2:$O$662)))))</f>
        <v/>
      </c>
      <c r="BD355" s="3">
        <f>IF(N(AO355)&gt;=MIN_N,"mercado "&amp;AP355,IF(BB355&gt;=MIN_N,"modelo+año+km",IF(BA355&gt;=MIN_N,"modelo+año","modelo")))</f>
        <v/>
      </c>
      <c r="BE355" s="4">
        <f>(BC355-O355)/BC355</f>
        <v/>
      </c>
      <c r="BF355" s="3">
        <f>IF(OR(K355="hibrido",K355="glp"),"ECO",IF(K355="electrico","CERO",IF(K355="gasolina",IF(M355&gt;=GAS_C,"C",IF(M355&gt;=GAS_B,"B","A")),IF(K355="diesel",IF(M355&gt;=DIE_C,"C",IF(M355&gt;=DIE_B,"B","A")),""))))</f>
        <v/>
      </c>
      <c r="BG355" s="3">
        <f>IFERROR(VLOOKUP(F355,MOD_TBL,11,0),IFERROR(VLOOKUP(E355,OCU_TBL,2,0),NEUTRO))</f>
        <v/>
      </c>
      <c r="BH355" s="3">
        <f>SUMIFS(MOT_AJUSTE,MOT_MOTOR,G355,MOT_MARCA,E355,MOT_DESDE,"&lt;="&amp;M355,MOT_HASTA,"&gt;="&amp;M355)+SUMIFS(MOT_AJUSTE,MOT_MOTOR,G355,MOT_MARCA,"(todas)",MOT_DESDE,"&lt;="&amp;M355,MOT_HASTA,"&gt;="&amp;M355)</f>
        <v/>
      </c>
      <c r="BI355" s="3">
        <f>SUMIFS(COMB_AJUSTE,COMB_COMB,K355)</f>
        <v/>
      </c>
      <c r="BJ355" s="3">
        <f>COUNTIFS(MOT_MOTOR,G355,MOT_MARCA,E355,MOT_DESDE,"&lt;="&amp;M355,MOT_HASTA,"&gt;="&amp;M355)+COUNTIFS(MOT_MOTOR,G355,MOT_MARCA,"(todas)",MOT_DESDE,"&lt;="&amp;M355,MOT_HASTA,"&gt;="&amp;M355)</f>
        <v/>
      </c>
      <c r="BK355" s="3">
        <f>IF(AND(K355="diesel",BJ355=0),MIN(BG355,NEUTRO),BG355)</f>
        <v/>
      </c>
      <c r="BL355" s="4">
        <f>MAX(0,MIN(100,BK355+BH355+BI355))</f>
        <v/>
      </c>
      <c r="BM355" s="3">
        <f>MAX(0,MIN(100,50+BE355*PRECIO_PEND))</f>
        <v/>
      </c>
      <c r="BN355" s="3">
        <f>MAX(0,100*(1-N355/KM_MAX))</f>
        <v/>
      </c>
      <c r="BO355" s="3">
        <f>IF(AV355&lt;KMA_SOSP,IF(AA355="sí",100,KMA_PEN),IF(AV355&lt;=KMA_IDEAL_MAX,100,MAX(0,100*(KMA_CERO-AV355)/(KMA_CERO-KMA_IDEAL_MAX))))</f>
        <v/>
      </c>
      <c r="BP355" s="3">
        <f>MAX(0,MIN(100,100*(M355-ANIO_MIN)/(ANIO_ACTUAL-ANIO_MIN)))</f>
        <v/>
      </c>
      <c r="BQ355" s="3">
        <f>W_KMT*BN355+W_KMA*BO355+W_EDAD*BP355</f>
        <v/>
      </c>
      <c r="BR355" s="3">
        <f>P_ITV*(V355="sí")+P_LIBRO*(W355="sí")+P_CORREA*(X355="sí")+P_PROP*(Y355=1)+P_GAR*(Z355="sí")+P_FOTOS*MIN(1,N(U355)/FOTOS_OBJ)</f>
        <v/>
      </c>
      <c r="BS355" s="3">
        <f>IFERROR(VLOOKUP(BF355,ETQ_TBL,2,0),NEUTRO)</f>
        <v/>
      </c>
      <c r="BT355" s="3">
        <f>NEUTRO</f>
        <v/>
      </c>
      <c r="BU355" s="3">
        <f>IFERROR(VLOOKUP(L355,SEGURO_TBL,3,0),"")</f>
        <v/>
      </c>
      <c r="BV355" s="3">
        <f>IF(BU355="",NEUTRO,MAX(0,MIN(100,100*(SEG_REF_MAX-BU355)/(SEG_REF_MAX-SEG_REF_MIN))))</f>
        <v/>
      </c>
      <c r="BW355" s="3">
        <f>W_ET*BS355+W_CONS*BT355+W_SEG*BV355</f>
        <v/>
      </c>
      <c r="BX355" s="3">
        <f>IF(N(AB355)&gt;0,AB355,IF(AND(R355="profesional",SG_LEGAL_ON=1),GAR_LEGAL,0))</f>
        <v/>
      </c>
      <c r="BY355" s="3">
        <f>SG_GAR*MIN(1,BX355/SG_GAR_FULL)+SG_AMPL*(AC355="sí")+SG_KMC*(AF355="sí")+SG_REV*(N(AE355)&gt;0)+SG_DEV*MIN(1,N(AG355)/SG_DEV_FULL)+SG_HIST*(W355="sí")</f>
        <v/>
      </c>
      <c r="BZ355" s="3">
        <f>IFERROR(VLOOKUP(L355,CARR_PEN_TBL,2,0),0)</f>
        <v/>
      </c>
      <c r="CA355" s="3">
        <f>W_FIAB*BL355+W_PRECIO*BM355+W_KMEDAD*BQ355+W_ANUNCIO*BR355+W_USO*BW355+W_SEGURIDAD*BY355-BZ355</f>
        <v/>
      </c>
      <c r="CB355" s="4">
        <f>IF(N(I355)&gt;0,I355,IFERROR(ROUND(_xlfn.NUMBERVALUE(LEFT(G355,FIND(" ",G355&amp;" ")-1),".")*1000,0),99999))</f>
        <v/>
      </c>
      <c r="CC355" s="3">
        <f>IF(R355="profesional",0,IF(O355&lt;CUOTA_VALOR_MAX,IF(AU355&gt;ITP_TRAMO_ALTO,SUMIFS(CF_CUOTA,CF_MAS,ITP_TRAMO_ALTO,CF_CCMIN,"&lt;="&amp;CB355,CF_CCMAX,"&gt;="&amp;CB355),IF(AU355&gt;ITP_TRAMO_BAJO,SUMIFS(CF_CUOTA,CF_MAS,ITP_TRAMO_BAJO,CF_CCMIN,"&lt;="&amp;CB355,CF_CCMAX,"&gt;="&amp;CB355),O355*ITP_TIPO)),O355*ITP_TIPO))</f>
        <v/>
      </c>
      <c r="CD355" s="4">
        <f>IF(R355="profesional",N(AK355),0)</f>
        <v/>
      </c>
      <c r="CE355" s="3">
        <f>IF(AND(R355="profesional",ISNUMBER(AK355),AL355="sí"),0,TASA_DGT)</f>
        <v/>
      </c>
      <c r="CF355" s="3">
        <f>INFORME_DGT</f>
        <v/>
      </c>
      <c r="CG355" s="4">
        <f>O355+CD355+CC355+CE355+CF355</f>
        <v/>
      </c>
      <c r="CH355" s="4">
        <f>CG355+N(BU355)</f>
        <v/>
      </c>
      <c r="CI355" s="3">
        <f>IF(CG355&lt;=TOTAL_MAX,"sí",IF(CG355&lt;=TOTAL_MAX+MARGEN_NEG,"negociar","no"))</f>
        <v/>
      </c>
      <c r="CJ355" s="4">
        <f>IF(CI355&lt;&gt;"no",COUNTIFS($CI$2:$CI$662,"&lt;&gt;no",$CA$2:$CA$662,"&gt;"&amp;CA355)+COUNTIFS($CI$2:CI355,"&lt;&gt;no",$CA$2:CA355,CA355),"")</f>
        <v/>
      </c>
    </row>
    <row r="356">
      <c r="A356" s="2" t="inlineStr">
        <is>
          <t>wallapop:1316399749</t>
        </is>
      </c>
      <c r="B356" s="2" t="inlineStr">
        <is>
          <t>wallapop</t>
        </is>
      </c>
      <c r="C356" s="2" t="inlineStr">
        <is>
          <t>https://es.wallapop.com/item/citroen-c3-2006-1316399749</t>
        </is>
      </c>
      <c r="D356" s="2" t="inlineStr">
        <is>
          <t>Citroen C3 2006</t>
        </is>
      </c>
      <c r="E356" s="2" t="inlineStr">
        <is>
          <t>Citroën</t>
        </is>
      </c>
      <c r="F356" s="2" t="inlineStr">
        <is>
          <t>Citroën C3</t>
        </is>
      </c>
      <c r="G356" s="2" t="inlineStr">
        <is>
          <t>1.4 HDi</t>
        </is>
      </c>
      <c r="H356" s="2" t="inlineStr">
        <is>
          <t>1.4 HDi 70 Furio 5p</t>
        </is>
      </c>
      <c r="I356" s="2" t="n"/>
      <c r="J356" s="2" t="n">
        <v>70</v>
      </c>
      <c r="K356" s="2" t="inlineStr">
        <is>
          <t>diesel</t>
        </is>
      </c>
      <c r="L356" s="2" t="inlineStr">
        <is>
          <t>utilitario</t>
        </is>
      </c>
      <c r="M356" s="2" t="n">
        <v>2006</v>
      </c>
      <c r="N356" s="2" t="n">
        <v>132000</v>
      </c>
      <c r="O356" s="2" t="n">
        <v>3990</v>
      </c>
      <c r="P356" s="2" t="inlineStr">
        <is>
          <t>manual</t>
        </is>
      </c>
      <c r="Q356" s="2" t="inlineStr">
        <is>
          <t>no</t>
        </is>
      </c>
      <c r="R356" s="2" t="inlineStr">
        <is>
          <t>profesional</t>
        </is>
      </c>
      <c r="S356" s="2" t="inlineStr">
        <is>
          <t>Valencia (46006)</t>
        </is>
      </c>
      <c r="T356" s="2" t="inlineStr">
        <is>
          <t>2026-10-27T16:30:05</t>
        </is>
      </c>
      <c r="U356" s="2" t="n">
        <v>17</v>
      </c>
      <c r="V356" s="2" t="n"/>
      <c r="W356" s="2" t="n"/>
      <c r="X356" s="2" t="n"/>
      <c r="Y356" s="2" t="n">
        <v>1</v>
      </c>
      <c r="Z356" s="2" t="n"/>
      <c r="AA356" s="2" t="n"/>
      <c r="AB356" s="2" t="n"/>
      <c r="AC356" s="2" t="inlineStr">
        <is>
          <t>sí</t>
        </is>
      </c>
      <c r="AD356" s="2" t="n"/>
      <c r="AE356" s="2" t="n"/>
      <c r="AF356" s="2" t="n"/>
      <c r="AG356" s="2" t="n"/>
      <c r="AH356" s="2" t="n"/>
      <c r="AI356" s="2" t="n"/>
      <c r="AJ356" s="2" t="n"/>
      <c r="AK356" s="2" t="n">
        <v>350</v>
      </c>
      <c r="AL356" s="2" t="inlineStr">
        <is>
          <t>no</t>
        </is>
      </c>
      <c r="AM356" s="2" t="n">
        <v>2.1</v>
      </c>
      <c r="AN356" s="2" t="n">
        <v>3500</v>
      </c>
      <c r="AO356" s="2" t="n">
        <v>5</v>
      </c>
      <c r="AP356" s="2" t="inlineStr">
        <is>
          <t>modelo+año+km</t>
        </is>
      </c>
      <c r="AQ356" s="2" t="n"/>
      <c r="AR356" s="2" t="inlineStr">
        <is>
          <t>vendedor profesional: sin ITP (operación con IVA/REBU, confirmar en factura); gastos del vendedor sin indicar si incluyen la transferencia: se suma la tasa DGT</t>
        </is>
      </c>
      <c r="AS356" s="2" t="inlineStr">
        <is>
          <t>Vehículo nacional y de un solo propietario, con un motor diesel de muy bajo consumo y muy económico de mantenimiento. Aire acondicionado, cierra centralizado, dirección asistida.
Gastos de gestión, cambio de nombre y extensión de garantía 
350 €.</t>
        </is>
      </c>
      <c r="AT356" s="2" t="inlineStr">
        <is>
          <t>https://es.wallapop.com/item/citroen-c3-2006-1316399749 (__NEXT_DATA__ item) /home/user/Alopecia/buscador-coches/raw/wallapop/10fe7ae481fea461.json</t>
        </is>
      </c>
      <c r="AU356" s="3">
        <f>MAX(ANIO_ACTUAL-M356,0)</f>
        <v/>
      </c>
      <c r="AV356" s="4">
        <f>N356/MAX(AU356,0.5)</f>
        <v/>
      </c>
      <c r="AW356" s="4">
        <f>F356</f>
        <v/>
      </c>
      <c r="AX356" s="3">
        <f>AW356&amp;"|"&amp;INT(M356/SEG_ANIO)*SEG_ANIO</f>
        <v/>
      </c>
      <c r="AY356" s="3">
        <f>AX356&amp;"|"&amp;INT(N356/SEG_KM)*SEG_KM</f>
        <v/>
      </c>
      <c r="AZ356" s="4">
        <f>COUNTIF($AW$2:$AW$662,AW356)</f>
        <v/>
      </c>
      <c r="BA356" s="4">
        <f>COUNTIF($AX$2:$AX$662,AX356)</f>
        <v/>
      </c>
      <c r="BB356" s="4">
        <f>COUNTIF($AY$2:$AY$662,AY356)</f>
        <v/>
      </c>
      <c r="BC356" s="3">
        <f t="array" ref="BC356">IF(N(AO356)&gt;=MIN_N,AN356,IF(BB356&gt;=MIN_N,MEDIAN(IF($AY$2:$AY$662=AY356,$O$2:$O$662)),IF(BA356&gt;=MIN_N,MEDIAN(IF($AX$2:$AX$662=AX356,$O$2:$O$662)),MEDIAN(IF($AW$2:$AW$662=AW356,$O$2:$O$662)))))</f>
        <v/>
      </c>
      <c r="BD356" s="3">
        <f>IF(N(AO356)&gt;=MIN_N,"mercado "&amp;AP356,IF(BB356&gt;=MIN_N,"modelo+año+km",IF(BA356&gt;=MIN_N,"modelo+año","modelo")))</f>
        <v/>
      </c>
      <c r="BE356" s="4">
        <f>(BC356-O356)/BC356</f>
        <v/>
      </c>
      <c r="BF356" s="3">
        <f>IF(OR(K356="hibrido",K356="glp"),"ECO",IF(K356="electrico","CERO",IF(K356="gasolina",IF(M356&gt;=GAS_C,"C",IF(M356&gt;=GAS_B,"B","A")),IF(K356="diesel",IF(M356&gt;=DIE_C,"C",IF(M356&gt;=DIE_B,"B","A")),""))))</f>
        <v/>
      </c>
      <c r="BG356" s="3">
        <f>IFERROR(VLOOKUP(F356,MOD_TBL,11,0),IFERROR(VLOOKUP(E356,OCU_TBL,2,0),NEUTRO))</f>
        <v/>
      </c>
      <c r="BH356" s="3">
        <f>SUMIFS(MOT_AJUSTE,MOT_MOTOR,G356,MOT_MARCA,E356,MOT_DESDE,"&lt;="&amp;M356,MOT_HASTA,"&gt;="&amp;M356)+SUMIFS(MOT_AJUSTE,MOT_MOTOR,G356,MOT_MARCA,"(todas)",MOT_DESDE,"&lt;="&amp;M356,MOT_HASTA,"&gt;="&amp;M356)</f>
        <v/>
      </c>
      <c r="BI356" s="3">
        <f>SUMIFS(COMB_AJUSTE,COMB_COMB,K356)</f>
        <v/>
      </c>
      <c r="BJ356" s="3">
        <f>COUNTIFS(MOT_MOTOR,G356,MOT_MARCA,E356,MOT_DESDE,"&lt;="&amp;M356,MOT_HASTA,"&gt;="&amp;M356)+COUNTIFS(MOT_MOTOR,G356,MOT_MARCA,"(todas)",MOT_DESDE,"&lt;="&amp;M356,MOT_HASTA,"&gt;="&amp;M356)</f>
        <v/>
      </c>
      <c r="BK356" s="3">
        <f>IF(AND(K356="diesel",BJ356=0),MIN(BG356,NEUTRO),BG356)</f>
        <v/>
      </c>
      <c r="BL356" s="4">
        <f>MAX(0,MIN(100,BK356+BH356+BI356))</f>
        <v/>
      </c>
      <c r="BM356" s="3">
        <f>MAX(0,MIN(100,50+BE356*PRECIO_PEND))</f>
        <v/>
      </c>
      <c r="BN356" s="3">
        <f>MAX(0,100*(1-N356/KM_MAX))</f>
        <v/>
      </c>
      <c r="BO356" s="3">
        <f>IF(AV356&lt;KMA_SOSP,IF(AA356="sí",100,KMA_PEN),IF(AV356&lt;=KMA_IDEAL_MAX,100,MAX(0,100*(KMA_CERO-AV356)/(KMA_CERO-KMA_IDEAL_MAX))))</f>
        <v/>
      </c>
      <c r="BP356" s="3">
        <f>MAX(0,MIN(100,100*(M356-ANIO_MIN)/(ANIO_ACTUAL-ANIO_MIN)))</f>
        <v/>
      </c>
      <c r="BQ356" s="3">
        <f>W_KMT*BN356+W_KMA*BO356+W_EDAD*BP356</f>
        <v/>
      </c>
      <c r="BR356" s="3">
        <f>P_ITV*(V356="sí")+P_LIBRO*(W356="sí")+P_CORREA*(X356="sí")+P_PROP*(Y356=1)+P_GAR*(Z356="sí")+P_FOTOS*MIN(1,N(U356)/FOTOS_OBJ)</f>
        <v/>
      </c>
      <c r="BS356" s="3">
        <f>IFERROR(VLOOKUP(BF356,ETQ_TBL,2,0),NEUTRO)</f>
        <v/>
      </c>
      <c r="BT356" s="3">
        <f>NEUTRO</f>
        <v/>
      </c>
      <c r="BU356" s="3">
        <f>IFERROR(VLOOKUP(L356,SEGURO_TBL,3,0),"")</f>
        <v/>
      </c>
      <c r="BV356" s="3">
        <f>IF(BU356="",NEUTRO,MAX(0,MIN(100,100*(SEG_REF_MAX-BU356)/(SEG_REF_MAX-SEG_REF_MIN))))</f>
        <v/>
      </c>
      <c r="BW356" s="3">
        <f>W_ET*BS356+W_CONS*BT356+W_SEG*BV356</f>
        <v/>
      </c>
      <c r="BX356" s="3">
        <f>IF(N(AB356)&gt;0,AB356,IF(AND(R356="profesional",SG_LEGAL_ON=1),GAR_LEGAL,0))</f>
        <v/>
      </c>
      <c r="BY356" s="3">
        <f>SG_GAR*MIN(1,BX356/SG_GAR_FULL)+SG_AMPL*(AC356="sí")+SG_KMC*(AF356="sí")+SG_REV*(N(AE356)&gt;0)+SG_DEV*MIN(1,N(AG356)/SG_DEV_FULL)+SG_HIST*(W356="sí")</f>
        <v/>
      </c>
      <c r="BZ356" s="3">
        <f>IFERROR(VLOOKUP(L356,CARR_PEN_TBL,2,0),0)</f>
        <v/>
      </c>
      <c r="CA356" s="3">
        <f>W_FIAB*BL356+W_PRECIO*BM356+W_KMEDAD*BQ356+W_ANUNCIO*BR356+W_USO*BW356+W_SEGURIDAD*BY356-BZ356</f>
        <v/>
      </c>
      <c r="CB356" s="4">
        <f>IF(N(I356)&gt;0,I356,IFERROR(ROUND(_xlfn.NUMBERVALUE(LEFT(G356,FIND(" ",G356&amp;" ")-1),".")*1000,0),99999))</f>
        <v/>
      </c>
      <c r="CC356" s="3">
        <f>IF(R356="profesional",0,IF(O356&lt;CUOTA_VALOR_MAX,IF(AU356&gt;ITP_TRAMO_ALTO,SUMIFS(CF_CUOTA,CF_MAS,ITP_TRAMO_ALTO,CF_CCMIN,"&lt;="&amp;CB356,CF_CCMAX,"&gt;="&amp;CB356),IF(AU356&gt;ITP_TRAMO_BAJO,SUMIFS(CF_CUOTA,CF_MAS,ITP_TRAMO_BAJO,CF_CCMIN,"&lt;="&amp;CB356,CF_CCMAX,"&gt;="&amp;CB356),O356*ITP_TIPO)),O356*ITP_TIPO))</f>
        <v/>
      </c>
      <c r="CD356" s="4">
        <f>IF(R356="profesional",N(AK356),0)</f>
        <v/>
      </c>
      <c r="CE356" s="3">
        <f>IF(AND(R356="profesional",ISNUMBER(AK356),AL356="sí"),0,TASA_DGT)</f>
        <v/>
      </c>
      <c r="CF356" s="3">
        <f>INFORME_DGT</f>
        <v/>
      </c>
      <c r="CG356" s="4">
        <f>O356+CD356+CC356+CE356+CF356</f>
        <v/>
      </c>
      <c r="CH356" s="4">
        <f>CG356+N(BU356)</f>
        <v/>
      </c>
      <c r="CI356" s="3">
        <f>IF(CG356&lt;=TOTAL_MAX,"sí",IF(CG356&lt;=TOTAL_MAX+MARGEN_NEG,"negociar","no"))</f>
        <v/>
      </c>
      <c r="CJ356" s="4">
        <f>IF(CI356&lt;&gt;"no",COUNTIFS($CI$2:$CI$662,"&lt;&gt;no",$CA$2:$CA$662,"&gt;"&amp;CA356)+COUNTIFS($CI$2:CI356,"&lt;&gt;no",$CA$2:CA356,CA356),"")</f>
        <v/>
      </c>
    </row>
    <row r="357">
      <c r="A357" s="2" t="inlineStr">
        <is>
          <t>wallapop:1318714261</t>
        </is>
      </c>
      <c r="B357" s="2" t="inlineStr">
        <is>
          <t>wallapop</t>
        </is>
      </c>
      <c r="C357" s="2" t="inlineStr">
        <is>
          <t>https://es.wallapop.com/item/citroen-c4-2007-1318714261</t>
        </is>
      </c>
      <c r="D357" s="2" t="inlineStr">
        <is>
          <t>Citroen C4 2007</t>
        </is>
      </c>
      <c r="E357" s="2" t="inlineStr">
        <is>
          <t>Citroën</t>
        </is>
      </c>
      <c r="F357" s="2" t="inlineStr">
        <is>
          <t>Citroën C4</t>
        </is>
      </c>
      <c r="G357" s="2" t="inlineStr">
        <is>
          <t>1.4</t>
        </is>
      </c>
      <c r="H357" s="2" t="inlineStr">
        <is>
          <t>1.4i 16v 90 LX 5p</t>
        </is>
      </c>
      <c r="I357" s="2" t="n"/>
      <c r="J357" s="2" t="n">
        <v>90</v>
      </c>
      <c r="K357" s="2" t="inlineStr">
        <is>
          <t>gasolina</t>
        </is>
      </c>
      <c r="L357" s="2" t="inlineStr">
        <is>
          <t>compacto</t>
        </is>
      </c>
      <c r="M357" s="2" t="n">
        <v>2007</v>
      </c>
      <c r="N357" s="2" t="n">
        <v>175000</v>
      </c>
      <c r="O357" s="2" t="n">
        <v>3200</v>
      </c>
      <c r="P357" s="2" t="inlineStr">
        <is>
          <t>manual</t>
        </is>
      </c>
      <c r="Q357" s="2" t="inlineStr">
        <is>
          <t>no</t>
        </is>
      </c>
      <c r="R357" s="2" t="inlineStr">
        <is>
          <t>particular</t>
        </is>
      </c>
      <c r="S357" s="2" t="inlineStr">
        <is>
          <t>Valencia (46009)</t>
        </is>
      </c>
      <c r="T357" s="2" t="inlineStr">
        <is>
          <t>2026-10-30T10:20:37</t>
        </is>
      </c>
      <c r="U357" s="2" t="n">
        <v>5</v>
      </c>
      <c r="V357" s="2" t="n"/>
      <c r="W357" s="2" t="n"/>
      <c r="X357" s="2" t="n"/>
      <c r="Y357" s="2" t="n"/>
      <c r="Z357" s="2" t="n"/>
      <c r="AA357" s="2" t="n"/>
      <c r="AB357" s="2" t="n"/>
      <c r="AC357" s="2" t="n"/>
      <c r="AD357" s="2" t="n"/>
      <c r="AE357" s="2" t="n"/>
      <c r="AF357" s="2" t="n"/>
      <c r="AG357" s="2" t="n"/>
      <c r="AH357" s="2" t="n"/>
      <c r="AI357" s="2" t="n"/>
      <c r="AJ357" s="2" t="n"/>
      <c r="AK357" s="2" t="n"/>
      <c r="AL357" s="2" t="n"/>
      <c r="AM357" s="2" t="n">
        <v>0.9</v>
      </c>
      <c r="AN357" s="2" t="n">
        <v>3500</v>
      </c>
      <c r="AO357" s="2" t="n">
        <v>11</v>
      </c>
      <c r="AP357" s="2" t="inlineStr">
        <is>
          <t>modelo+año+km</t>
        </is>
      </c>
      <c r="AQ357" s="2" t="n"/>
      <c r="AR357" s="2" t="inlineStr">
        <is>
          <t>cuota fija ITP: &gt;12 años, hasta 1.500 cc; fiabilidad del modelo PENDIENTE de fuente (puntuación neutra)</t>
        </is>
      </c>
      <c r="AS357" s="2" t="inlineStr">
        <is>
          <t xml:space="preserve">
Citroen C4 en Valencia</t>
        </is>
      </c>
      <c r="AT357" s="2" t="inlineStr">
        <is>
          <t>https://es.wallapop.com/item/citroen-c4-2007-1318714261 (__NEXT_DATA__ item) /home/user/Alopecia/buscador-coches/raw/wallapop/21a57727d02512b5.json</t>
        </is>
      </c>
      <c r="AU357" s="3">
        <f>MAX(ANIO_ACTUAL-M357,0)</f>
        <v/>
      </c>
      <c r="AV357" s="4">
        <f>N357/MAX(AU357,0.5)</f>
        <v/>
      </c>
      <c r="AW357" s="4">
        <f>F357</f>
        <v/>
      </c>
      <c r="AX357" s="3">
        <f>AW357&amp;"|"&amp;INT(M357/SEG_ANIO)*SEG_ANIO</f>
        <v/>
      </c>
      <c r="AY357" s="3">
        <f>AX357&amp;"|"&amp;INT(N357/SEG_KM)*SEG_KM</f>
        <v/>
      </c>
      <c r="AZ357" s="4">
        <f>COUNTIF($AW$2:$AW$662,AW357)</f>
        <v/>
      </c>
      <c r="BA357" s="4">
        <f>COUNTIF($AX$2:$AX$662,AX357)</f>
        <v/>
      </c>
      <c r="BB357" s="4">
        <f>COUNTIF($AY$2:$AY$662,AY357)</f>
        <v/>
      </c>
      <c r="BC357" s="3">
        <f t="array" ref="BC357">IF(N(AO357)&gt;=MIN_N,AN357,IF(BB357&gt;=MIN_N,MEDIAN(IF($AY$2:$AY$662=AY357,$O$2:$O$662)),IF(BA357&gt;=MIN_N,MEDIAN(IF($AX$2:$AX$662=AX357,$O$2:$O$662)),MEDIAN(IF($AW$2:$AW$662=AW357,$O$2:$O$662)))))</f>
        <v/>
      </c>
      <c r="BD357" s="3">
        <f>IF(N(AO357)&gt;=MIN_N,"mercado "&amp;AP357,IF(BB357&gt;=MIN_N,"modelo+año+km",IF(BA357&gt;=MIN_N,"modelo+año","modelo")))</f>
        <v/>
      </c>
      <c r="BE357" s="4">
        <f>(BC357-O357)/BC357</f>
        <v/>
      </c>
      <c r="BF357" s="3">
        <f>IF(OR(K357="hibrido",K357="glp"),"ECO",IF(K357="electrico","CERO",IF(K357="gasolina",IF(M357&gt;=GAS_C,"C",IF(M357&gt;=GAS_B,"B","A")),IF(K357="diesel",IF(M357&gt;=DIE_C,"C",IF(M357&gt;=DIE_B,"B","A")),""))))</f>
        <v/>
      </c>
      <c r="BG357" s="3">
        <f>IFERROR(VLOOKUP(F357,MOD_TBL,11,0),IFERROR(VLOOKUP(E357,OCU_TBL,2,0),NEUTRO))</f>
        <v/>
      </c>
      <c r="BH357" s="3">
        <f>SUMIFS(MOT_AJUSTE,MOT_MOTOR,G357,MOT_MARCA,E357,MOT_DESDE,"&lt;="&amp;M357,MOT_HASTA,"&gt;="&amp;M357)+SUMIFS(MOT_AJUSTE,MOT_MOTOR,G357,MOT_MARCA,"(todas)",MOT_DESDE,"&lt;="&amp;M357,MOT_HASTA,"&gt;="&amp;M357)</f>
        <v/>
      </c>
      <c r="BI357" s="3">
        <f>SUMIFS(COMB_AJUSTE,COMB_COMB,K357)</f>
        <v/>
      </c>
      <c r="BJ357" s="3">
        <f>COUNTIFS(MOT_MOTOR,G357,MOT_MARCA,E357,MOT_DESDE,"&lt;="&amp;M357,MOT_HASTA,"&gt;="&amp;M357)+COUNTIFS(MOT_MOTOR,G357,MOT_MARCA,"(todas)",MOT_DESDE,"&lt;="&amp;M357,MOT_HASTA,"&gt;="&amp;M357)</f>
        <v/>
      </c>
      <c r="BK357" s="3">
        <f>IF(AND(K357="diesel",BJ357=0),MIN(BG357,NEUTRO),BG357)</f>
        <v/>
      </c>
      <c r="BL357" s="4">
        <f>MAX(0,MIN(100,BK357+BH357+BI357))</f>
        <v/>
      </c>
      <c r="BM357" s="3">
        <f>MAX(0,MIN(100,50+BE357*PRECIO_PEND))</f>
        <v/>
      </c>
      <c r="BN357" s="3">
        <f>MAX(0,100*(1-N357/KM_MAX))</f>
        <v/>
      </c>
      <c r="BO357" s="3">
        <f>IF(AV357&lt;KMA_SOSP,IF(AA357="sí",100,KMA_PEN),IF(AV357&lt;=KMA_IDEAL_MAX,100,MAX(0,100*(KMA_CERO-AV357)/(KMA_CERO-KMA_IDEAL_MAX))))</f>
        <v/>
      </c>
      <c r="BP357" s="3">
        <f>MAX(0,MIN(100,100*(M357-ANIO_MIN)/(ANIO_ACTUAL-ANIO_MIN)))</f>
        <v/>
      </c>
      <c r="BQ357" s="3">
        <f>W_KMT*BN357+W_KMA*BO357+W_EDAD*BP357</f>
        <v/>
      </c>
      <c r="BR357" s="3">
        <f>P_ITV*(V357="sí")+P_LIBRO*(W357="sí")+P_CORREA*(X357="sí")+P_PROP*(Y357=1)+P_GAR*(Z357="sí")+P_FOTOS*MIN(1,N(U357)/FOTOS_OBJ)</f>
        <v/>
      </c>
      <c r="BS357" s="3">
        <f>IFERROR(VLOOKUP(BF357,ETQ_TBL,2,0),NEUTRO)</f>
        <v/>
      </c>
      <c r="BT357" s="3">
        <f>NEUTRO</f>
        <v/>
      </c>
      <c r="BU357" s="3">
        <f>IFERROR(VLOOKUP(L357,SEGURO_TBL,3,0),"")</f>
        <v/>
      </c>
      <c r="BV357" s="3">
        <f>IF(BU357="",NEUTRO,MAX(0,MIN(100,100*(SEG_REF_MAX-BU357)/(SEG_REF_MAX-SEG_REF_MIN))))</f>
        <v/>
      </c>
      <c r="BW357" s="3">
        <f>W_ET*BS357+W_CONS*BT357+W_SEG*BV357</f>
        <v/>
      </c>
      <c r="BX357" s="3">
        <f>IF(N(AB357)&gt;0,AB357,IF(AND(R357="profesional",SG_LEGAL_ON=1),GAR_LEGAL,0))</f>
        <v/>
      </c>
      <c r="BY357" s="3">
        <f>SG_GAR*MIN(1,BX357/SG_GAR_FULL)+SG_AMPL*(AC357="sí")+SG_KMC*(AF357="sí")+SG_REV*(N(AE357)&gt;0)+SG_DEV*MIN(1,N(AG357)/SG_DEV_FULL)+SG_HIST*(W357="sí")</f>
        <v/>
      </c>
      <c r="BZ357" s="3">
        <f>IFERROR(VLOOKUP(L357,CARR_PEN_TBL,2,0),0)</f>
        <v/>
      </c>
      <c r="CA357" s="3">
        <f>W_FIAB*BL357+W_PRECIO*BM357+W_KMEDAD*BQ357+W_ANUNCIO*BR357+W_USO*BW357+W_SEGURIDAD*BY357-BZ357</f>
        <v/>
      </c>
      <c r="CB357" s="4">
        <f>IF(N(I357)&gt;0,I357,IFERROR(ROUND(_xlfn.NUMBERVALUE(LEFT(G357,FIND(" ",G357&amp;" ")-1),".")*1000,0),99999))</f>
        <v/>
      </c>
      <c r="CC357" s="3">
        <f>IF(R357="profesional",0,IF(O357&lt;CUOTA_VALOR_MAX,IF(AU357&gt;ITP_TRAMO_ALTO,SUMIFS(CF_CUOTA,CF_MAS,ITP_TRAMO_ALTO,CF_CCMIN,"&lt;="&amp;CB357,CF_CCMAX,"&gt;="&amp;CB357),IF(AU357&gt;ITP_TRAMO_BAJO,SUMIFS(CF_CUOTA,CF_MAS,ITP_TRAMO_BAJO,CF_CCMIN,"&lt;="&amp;CB357,CF_CCMAX,"&gt;="&amp;CB357),O357*ITP_TIPO)),O357*ITP_TIPO))</f>
        <v/>
      </c>
      <c r="CD357" s="4">
        <f>IF(R357="profesional",N(AK357),0)</f>
        <v/>
      </c>
      <c r="CE357" s="3">
        <f>IF(AND(R357="profesional",ISNUMBER(AK357),AL357="sí"),0,TASA_DGT)</f>
        <v/>
      </c>
      <c r="CF357" s="3">
        <f>INFORME_DGT</f>
        <v/>
      </c>
      <c r="CG357" s="4">
        <f>O357+CD357+CC357+CE357+CF357</f>
        <v/>
      </c>
      <c r="CH357" s="4">
        <f>CG357+N(BU357)</f>
        <v/>
      </c>
      <c r="CI357" s="3">
        <f>IF(CG357&lt;=TOTAL_MAX,"sí",IF(CG357&lt;=TOTAL_MAX+MARGEN_NEG,"negociar","no"))</f>
        <v/>
      </c>
      <c r="CJ357" s="4">
        <f>IF(CI357&lt;&gt;"no",COUNTIFS($CI$2:$CI$662,"&lt;&gt;no",$CA$2:$CA$662,"&gt;"&amp;CA357)+COUNTIFS($CI$2:CI357,"&lt;&gt;no",$CA$2:CA357,CA357),"")</f>
        <v/>
      </c>
    </row>
    <row r="358">
      <c r="A358" s="2" t="inlineStr">
        <is>
          <t>wallapop:1318079600</t>
        </is>
      </c>
      <c r="B358" s="2" t="inlineStr">
        <is>
          <t>wallapop</t>
        </is>
      </c>
      <c r="C358" s="2" t="inlineStr">
        <is>
          <t>https://es.wallapop.com/item/citroen-c4-2007-1318079600</t>
        </is>
      </c>
      <c r="D358" s="2" t="inlineStr">
        <is>
          <t>Citroen C4 2007</t>
        </is>
      </c>
      <c r="E358" s="2" t="inlineStr">
        <is>
          <t>Citroën</t>
        </is>
      </c>
      <c r="F358" s="2" t="inlineStr">
        <is>
          <t>Citroën C4</t>
        </is>
      </c>
      <c r="G358" s="2" t="inlineStr">
        <is>
          <t>1.4</t>
        </is>
      </c>
      <c r="H358" s="2" t="inlineStr">
        <is>
          <t>1.4i 16v 90 Collection 5p</t>
        </is>
      </c>
      <c r="I358" s="2" t="n"/>
      <c r="J358" s="2" t="n">
        <v>90</v>
      </c>
      <c r="K358" s="2" t="inlineStr">
        <is>
          <t>gasolina</t>
        </is>
      </c>
      <c r="L358" s="2" t="inlineStr">
        <is>
          <t>compacto</t>
        </is>
      </c>
      <c r="M358" s="2" t="n">
        <v>2007</v>
      </c>
      <c r="N358" s="2" t="n">
        <v>140300</v>
      </c>
      <c r="O358" s="2" t="n">
        <v>3797</v>
      </c>
      <c r="P358" s="2" t="inlineStr">
        <is>
          <t>manual</t>
        </is>
      </c>
      <c r="Q358" s="2" t="inlineStr">
        <is>
          <t>no</t>
        </is>
      </c>
      <c r="R358" s="2" t="inlineStr">
        <is>
          <t>particular</t>
        </is>
      </c>
      <c r="S358" s="2" t="inlineStr">
        <is>
          <t>Gandía (46700)</t>
        </is>
      </c>
      <c r="T358" s="2" t="inlineStr">
        <is>
          <t>2026-10-28T11:43:40</t>
        </is>
      </c>
      <c r="U358" s="2" t="n">
        <v>8</v>
      </c>
      <c r="V358" s="2" t="inlineStr">
        <is>
          <t>sí</t>
        </is>
      </c>
      <c r="W358" s="2" t="n"/>
      <c r="X358" s="2" t="n"/>
      <c r="Y358" s="2" t="n">
        <v>2</v>
      </c>
      <c r="Z358" s="2" t="n"/>
      <c r="AA358" s="2" t="n"/>
      <c r="AB358" s="2" t="n"/>
      <c r="AC358" s="2" t="n"/>
      <c r="AD358" s="2" t="n"/>
      <c r="AE358" s="2" t="n"/>
      <c r="AF358" s="2" t="n"/>
      <c r="AG358" s="2" t="n"/>
      <c r="AH358" s="2" t="n"/>
      <c r="AI358" s="2" t="n"/>
      <c r="AJ358" s="2" t="n"/>
      <c r="AK358" s="2" t="n"/>
      <c r="AL358" s="2" t="n"/>
      <c r="AM358" s="2" t="n">
        <v>57.6</v>
      </c>
      <c r="AN358" s="2" t="n">
        <v>3797</v>
      </c>
      <c r="AO358" s="2" t="n">
        <v>9</v>
      </c>
      <c r="AP358" s="2" t="inlineStr">
        <is>
          <t>modelo+año+km</t>
        </is>
      </c>
      <c r="AQ358" s="2" t="n"/>
      <c r="AR358" s="2" t="inlineStr">
        <is>
          <t>cuota fija ITP: &gt;12 años, hasta 1.500 cc; fiabilidad del modelo PENDIENTE de fuente (puntuación neutra)</t>
        </is>
      </c>
      <c r="AS358" s="2" t="inlineStr">
        <is>
          <t xml:space="preserve">Citroen C4 con 140.300 km solo dos propietarios 
✅ Mantenimiento recién hecho 
✅ Neumáticos 2 delanteros nuevos 2 traseros 80%
✅Itv hasta 10/27
✅Dos llaves 
✅ Manual del propietario 
✅ Distribución completa cambiada 01/10/2026
✅ Alternador nuevo
✅ Compressor del aire acondicionado nuevo
✅ Discos y pastillas cambiadas pinças 
✅Todo con factura 
Puedes venir y probar 
✅No cambio, solo venta 
Tener en cuenta roces de aparcamiento y en las fotos se ve el capó que tiene unos arañazos y en la lateral izquierda 
✅Todo más claro posible 
✅ Dudas preguntar </t>
        </is>
      </c>
      <c r="AT358" s="2" t="inlineStr">
        <is>
          <t>https://es.wallapop.com/item/citroen-c4-2007-1318079600 (__NEXT_DATA__ item) /home/user/Alopecia/buscador-coches/raw/wallapop/aa90d2f516839a5b.json</t>
        </is>
      </c>
      <c r="AU358" s="3">
        <f>MAX(ANIO_ACTUAL-M358,0)</f>
        <v/>
      </c>
      <c r="AV358" s="4">
        <f>N358/MAX(AU358,0.5)</f>
        <v/>
      </c>
      <c r="AW358" s="4">
        <f>F358</f>
        <v/>
      </c>
      <c r="AX358" s="3">
        <f>AW358&amp;"|"&amp;INT(M358/SEG_ANIO)*SEG_ANIO</f>
        <v/>
      </c>
      <c r="AY358" s="3">
        <f>AX358&amp;"|"&amp;INT(N358/SEG_KM)*SEG_KM</f>
        <v/>
      </c>
      <c r="AZ358" s="4">
        <f>COUNTIF($AW$2:$AW$662,AW358)</f>
        <v/>
      </c>
      <c r="BA358" s="4">
        <f>COUNTIF($AX$2:$AX$662,AX358)</f>
        <v/>
      </c>
      <c r="BB358" s="4">
        <f>COUNTIF($AY$2:$AY$662,AY358)</f>
        <v/>
      </c>
      <c r="BC358" s="3">
        <f t="array" ref="BC358">IF(N(AO358)&gt;=MIN_N,AN358,IF(BB358&gt;=MIN_N,MEDIAN(IF($AY$2:$AY$662=AY358,$O$2:$O$662)),IF(BA358&gt;=MIN_N,MEDIAN(IF($AX$2:$AX$662=AX358,$O$2:$O$662)),MEDIAN(IF($AW$2:$AW$662=AW358,$O$2:$O$662)))))</f>
        <v/>
      </c>
      <c r="BD358" s="3">
        <f>IF(N(AO358)&gt;=MIN_N,"mercado "&amp;AP358,IF(BB358&gt;=MIN_N,"modelo+año+km",IF(BA358&gt;=MIN_N,"modelo+año","modelo")))</f>
        <v/>
      </c>
      <c r="BE358" s="4">
        <f>(BC358-O358)/BC358</f>
        <v/>
      </c>
      <c r="BF358" s="3">
        <f>IF(OR(K358="hibrido",K358="glp"),"ECO",IF(K358="electrico","CERO",IF(K358="gasolina",IF(M358&gt;=GAS_C,"C",IF(M358&gt;=GAS_B,"B","A")),IF(K358="diesel",IF(M358&gt;=DIE_C,"C",IF(M358&gt;=DIE_B,"B","A")),""))))</f>
        <v/>
      </c>
      <c r="BG358" s="3">
        <f>IFERROR(VLOOKUP(F358,MOD_TBL,11,0),IFERROR(VLOOKUP(E358,OCU_TBL,2,0),NEUTRO))</f>
        <v/>
      </c>
      <c r="BH358" s="3">
        <f>SUMIFS(MOT_AJUSTE,MOT_MOTOR,G358,MOT_MARCA,E358,MOT_DESDE,"&lt;="&amp;M358,MOT_HASTA,"&gt;="&amp;M358)+SUMIFS(MOT_AJUSTE,MOT_MOTOR,G358,MOT_MARCA,"(todas)",MOT_DESDE,"&lt;="&amp;M358,MOT_HASTA,"&gt;="&amp;M358)</f>
        <v/>
      </c>
      <c r="BI358" s="3">
        <f>SUMIFS(COMB_AJUSTE,COMB_COMB,K358)</f>
        <v/>
      </c>
      <c r="BJ358" s="3">
        <f>COUNTIFS(MOT_MOTOR,G358,MOT_MARCA,E358,MOT_DESDE,"&lt;="&amp;M358,MOT_HASTA,"&gt;="&amp;M358)+COUNTIFS(MOT_MOTOR,G358,MOT_MARCA,"(todas)",MOT_DESDE,"&lt;="&amp;M358,MOT_HASTA,"&gt;="&amp;M358)</f>
        <v/>
      </c>
      <c r="BK358" s="3">
        <f>IF(AND(K358="diesel",BJ358=0),MIN(BG358,NEUTRO),BG358)</f>
        <v/>
      </c>
      <c r="BL358" s="4">
        <f>MAX(0,MIN(100,BK358+BH358+BI358))</f>
        <v/>
      </c>
      <c r="BM358" s="3">
        <f>MAX(0,MIN(100,50+BE358*PRECIO_PEND))</f>
        <v/>
      </c>
      <c r="BN358" s="3">
        <f>MAX(0,100*(1-N358/KM_MAX))</f>
        <v/>
      </c>
      <c r="BO358" s="3">
        <f>IF(AV358&lt;KMA_SOSP,IF(AA358="sí",100,KMA_PEN),IF(AV358&lt;=KMA_IDEAL_MAX,100,MAX(0,100*(KMA_CERO-AV358)/(KMA_CERO-KMA_IDEAL_MAX))))</f>
        <v/>
      </c>
      <c r="BP358" s="3">
        <f>MAX(0,MIN(100,100*(M358-ANIO_MIN)/(ANIO_ACTUAL-ANIO_MIN)))</f>
        <v/>
      </c>
      <c r="BQ358" s="3">
        <f>W_KMT*BN358+W_KMA*BO358+W_EDAD*BP358</f>
        <v/>
      </c>
      <c r="BR358" s="3">
        <f>P_ITV*(V358="sí")+P_LIBRO*(W358="sí")+P_CORREA*(X358="sí")+P_PROP*(Y358=1)+P_GAR*(Z358="sí")+P_FOTOS*MIN(1,N(U358)/FOTOS_OBJ)</f>
        <v/>
      </c>
      <c r="BS358" s="3">
        <f>IFERROR(VLOOKUP(BF358,ETQ_TBL,2,0),NEUTRO)</f>
        <v/>
      </c>
      <c r="BT358" s="3">
        <f>NEUTRO</f>
        <v/>
      </c>
      <c r="BU358" s="3">
        <f>IFERROR(VLOOKUP(L358,SEGURO_TBL,3,0),"")</f>
        <v/>
      </c>
      <c r="BV358" s="3">
        <f>IF(BU358="",NEUTRO,MAX(0,MIN(100,100*(SEG_REF_MAX-BU358)/(SEG_REF_MAX-SEG_REF_MIN))))</f>
        <v/>
      </c>
      <c r="BW358" s="3">
        <f>W_ET*BS358+W_CONS*BT358+W_SEG*BV358</f>
        <v/>
      </c>
      <c r="BX358" s="3">
        <f>IF(N(AB358)&gt;0,AB358,IF(AND(R358="profesional",SG_LEGAL_ON=1),GAR_LEGAL,0))</f>
        <v/>
      </c>
      <c r="BY358" s="3">
        <f>SG_GAR*MIN(1,BX358/SG_GAR_FULL)+SG_AMPL*(AC358="sí")+SG_KMC*(AF358="sí")+SG_REV*(N(AE358)&gt;0)+SG_DEV*MIN(1,N(AG358)/SG_DEV_FULL)+SG_HIST*(W358="sí")</f>
        <v/>
      </c>
      <c r="BZ358" s="3">
        <f>IFERROR(VLOOKUP(L358,CARR_PEN_TBL,2,0),0)</f>
        <v/>
      </c>
      <c r="CA358" s="3">
        <f>W_FIAB*BL358+W_PRECIO*BM358+W_KMEDAD*BQ358+W_ANUNCIO*BR358+W_USO*BW358+W_SEGURIDAD*BY358-BZ358</f>
        <v/>
      </c>
      <c r="CB358" s="4">
        <f>IF(N(I358)&gt;0,I358,IFERROR(ROUND(_xlfn.NUMBERVALUE(LEFT(G358,FIND(" ",G358&amp;" ")-1),".")*1000,0),99999))</f>
        <v/>
      </c>
      <c r="CC358" s="3">
        <f>IF(R358="profesional",0,IF(O358&lt;CUOTA_VALOR_MAX,IF(AU358&gt;ITP_TRAMO_ALTO,SUMIFS(CF_CUOTA,CF_MAS,ITP_TRAMO_ALTO,CF_CCMIN,"&lt;="&amp;CB358,CF_CCMAX,"&gt;="&amp;CB358),IF(AU358&gt;ITP_TRAMO_BAJO,SUMIFS(CF_CUOTA,CF_MAS,ITP_TRAMO_BAJO,CF_CCMIN,"&lt;="&amp;CB358,CF_CCMAX,"&gt;="&amp;CB358),O358*ITP_TIPO)),O358*ITP_TIPO))</f>
        <v/>
      </c>
      <c r="CD358" s="4">
        <f>IF(R358="profesional",N(AK358),0)</f>
        <v/>
      </c>
      <c r="CE358" s="3">
        <f>IF(AND(R358="profesional",ISNUMBER(AK358),AL358="sí"),0,TASA_DGT)</f>
        <v/>
      </c>
      <c r="CF358" s="3">
        <f>INFORME_DGT</f>
        <v/>
      </c>
      <c r="CG358" s="4">
        <f>O358+CD358+CC358+CE358+CF358</f>
        <v/>
      </c>
      <c r="CH358" s="4">
        <f>CG358+N(BU358)</f>
        <v/>
      </c>
      <c r="CI358" s="3">
        <f>IF(CG358&lt;=TOTAL_MAX,"sí",IF(CG358&lt;=TOTAL_MAX+MARGEN_NEG,"negociar","no"))</f>
        <v/>
      </c>
      <c r="CJ358" s="4">
        <f>IF(CI358&lt;&gt;"no",COUNTIFS($CI$2:$CI$662,"&lt;&gt;no",$CA$2:$CA$662,"&gt;"&amp;CA358)+COUNTIFS($CI$2:CI358,"&lt;&gt;no",$CA$2:CA358,CA358),"")</f>
        <v/>
      </c>
    </row>
    <row r="359">
      <c r="A359" s="2" t="inlineStr">
        <is>
          <t>wallapop:1315406284</t>
        </is>
      </c>
      <c r="B359" s="2" t="inlineStr">
        <is>
          <t>wallapop</t>
        </is>
      </c>
      <c r="C359" s="2" t="inlineStr">
        <is>
          <t>https://es.wallapop.com/item/citroen-c4-2006-1315406284</t>
        </is>
      </c>
      <c r="D359" s="2" t="inlineStr">
        <is>
          <t>Citroen C4 2006</t>
        </is>
      </c>
      <c r="E359" s="2" t="inlineStr">
        <is>
          <t>Citroën</t>
        </is>
      </c>
      <c r="F359" s="2" t="inlineStr">
        <is>
          <t>Citroën C4</t>
        </is>
      </c>
      <c r="G359" s="2" t="n"/>
      <c r="H359" s="2" t="n"/>
      <c r="I359" s="2" t="n"/>
      <c r="J359" s="2" t="n">
        <v>110</v>
      </c>
      <c r="K359" s="2" t="inlineStr">
        <is>
          <t>gasolina</t>
        </is>
      </c>
      <c r="L359" s="2" t="inlineStr">
        <is>
          <t>compacto</t>
        </is>
      </c>
      <c r="M359" s="2" t="n">
        <v>2006</v>
      </c>
      <c r="N359" s="2" t="n">
        <v>162000</v>
      </c>
      <c r="O359" s="2" t="n">
        <v>2400</v>
      </c>
      <c r="P359" s="2" t="inlineStr">
        <is>
          <t>manual</t>
        </is>
      </c>
      <c r="Q359" s="2" t="inlineStr">
        <is>
          <t>no</t>
        </is>
      </c>
      <c r="R359" s="2" t="inlineStr">
        <is>
          <t>particular</t>
        </is>
      </c>
      <c r="S359" s="2" t="inlineStr">
        <is>
          <t>Gandía (46700)</t>
        </is>
      </c>
      <c r="T359" s="2" t="inlineStr">
        <is>
          <t>2026-10-30T09:23:26</t>
        </is>
      </c>
      <c r="U359" s="2" t="n">
        <v>10</v>
      </c>
      <c r="V359" s="2" t="inlineStr">
        <is>
          <t>sí</t>
        </is>
      </c>
      <c r="W359" s="2" t="inlineStr">
        <is>
          <t>sí</t>
        </is>
      </c>
      <c r="X359" s="2" t="n"/>
      <c r="Y359" s="2" t="n"/>
      <c r="Z359" s="2" t="n"/>
      <c r="AA359" s="2" t="n"/>
      <c r="AB359" s="2" t="n"/>
      <c r="AC359" s="2" t="n"/>
      <c r="AD359" s="2" t="n"/>
      <c r="AE359" s="2" t="n"/>
      <c r="AF359" s="2" t="n"/>
      <c r="AG359" s="2" t="n"/>
      <c r="AH359" s="2" t="n"/>
      <c r="AI359" s="2" t="n"/>
      <c r="AJ359" s="2" t="n"/>
      <c r="AK359" s="2" t="n"/>
      <c r="AL359" s="2" t="n"/>
      <c r="AM359" s="2" t="n">
        <v>58.1</v>
      </c>
      <c r="AN359" s="2" t="n">
        <v>2600</v>
      </c>
      <c r="AO359" s="2" t="n">
        <v>9</v>
      </c>
      <c r="AP359" s="2" t="inlineStr">
        <is>
          <t>modelo+año+km</t>
        </is>
      </c>
      <c r="AQ359" s="2" t="n"/>
      <c r="AR359" s="2" t="inlineStr">
        <is>
          <t>cilindrada desconocida: se aplica el tramo de cuota fija más alto; cuota fija ITP: &gt;12 años, más de 2.000 cc; fiabilidad del modelo PENDIENTE de fuente (puntuación neutra)</t>
        </is>
      </c>
      <c r="AS359" s="2" t="inlineStr">
        <is>
          <t>Citroën C4 Coupé 3p — Gris Plata | 161.994 km
Citroën C4 Coupé gris plata metalizado. Ideal como primer coche o para el día a día: fiable, cómodo y económico.
✅ 161.994 km reales
✅ Cambio manual 5 velocidades
✅ Aire acondicionado
✅ Elevalunas eléctricos
✅ Radio CD con mandos al volante
✅ Ordenador de a bordo
✅ Dirección asistida y cierre centralizado
✅ Doble airbag + airbags laterales
✅ Fundas de asiento incluidas
🔧 Facturas de mantenimiento disponibles
📋 ITV en vigor hasta agosto de 2027
🚗 En buen estado, listo para circular
📍 Gandía (Valencia). Se puede ver y probar sin compromiso.</t>
        </is>
      </c>
      <c r="AT359" s="2" t="inlineStr">
        <is>
          <t>https://es.wallapop.com/item/citroen-c4-2006-1315406284 (__NEXT_DATA__ item) /home/user/Alopecia/buscador-coches/raw/wallapop/eadd05e794671b60.json</t>
        </is>
      </c>
      <c r="AU359" s="3">
        <f>MAX(ANIO_ACTUAL-M359,0)</f>
        <v/>
      </c>
      <c r="AV359" s="4">
        <f>N359/MAX(AU359,0.5)</f>
        <v/>
      </c>
      <c r="AW359" s="4">
        <f>F359</f>
        <v/>
      </c>
      <c r="AX359" s="3">
        <f>AW359&amp;"|"&amp;INT(M359/SEG_ANIO)*SEG_ANIO</f>
        <v/>
      </c>
      <c r="AY359" s="3">
        <f>AX359&amp;"|"&amp;INT(N359/SEG_KM)*SEG_KM</f>
        <v/>
      </c>
      <c r="AZ359" s="4">
        <f>COUNTIF($AW$2:$AW$662,AW359)</f>
        <v/>
      </c>
      <c r="BA359" s="4">
        <f>COUNTIF($AX$2:$AX$662,AX359)</f>
        <v/>
      </c>
      <c r="BB359" s="4">
        <f>COUNTIF($AY$2:$AY$662,AY359)</f>
        <v/>
      </c>
      <c r="BC359" s="3">
        <f t="array" ref="BC359">IF(N(AO359)&gt;=MIN_N,AN359,IF(BB359&gt;=MIN_N,MEDIAN(IF($AY$2:$AY$662=AY359,$O$2:$O$662)),IF(BA359&gt;=MIN_N,MEDIAN(IF($AX$2:$AX$662=AX359,$O$2:$O$662)),MEDIAN(IF($AW$2:$AW$662=AW359,$O$2:$O$662)))))</f>
        <v/>
      </c>
      <c r="BD359" s="3">
        <f>IF(N(AO359)&gt;=MIN_N,"mercado "&amp;AP359,IF(BB359&gt;=MIN_N,"modelo+año+km",IF(BA359&gt;=MIN_N,"modelo+año","modelo")))</f>
        <v/>
      </c>
      <c r="BE359" s="4">
        <f>(BC359-O359)/BC359</f>
        <v/>
      </c>
      <c r="BF359" s="3">
        <f>IF(OR(K359="hibrido",K359="glp"),"ECO",IF(K359="electrico","CERO",IF(K359="gasolina",IF(M359&gt;=GAS_C,"C",IF(M359&gt;=GAS_B,"B","A")),IF(K359="diesel",IF(M359&gt;=DIE_C,"C",IF(M359&gt;=DIE_B,"B","A")),""))))</f>
        <v/>
      </c>
      <c r="BG359" s="3">
        <f>IFERROR(VLOOKUP(F359,MOD_TBL,11,0),IFERROR(VLOOKUP(E359,OCU_TBL,2,0),NEUTRO))</f>
        <v/>
      </c>
      <c r="BH359" s="3">
        <f>SUMIFS(MOT_AJUSTE,MOT_MOTOR,G359,MOT_MARCA,E359,MOT_DESDE,"&lt;="&amp;M359,MOT_HASTA,"&gt;="&amp;M359)+SUMIFS(MOT_AJUSTE,MOT_MOTOR,G359,MOT_MARCA,"(todas)",MOT_DESDE,"&lt;="&amp;M359,MOT_HASTA,"&gt;="&amp;M359)</f>
        <v/>
      </c>
      <c r="BI359" s="3">
        <f>SUMIFS(COMB_AJUSTE,COMB_COMB,K359)</f>
        <v/>
      </c>
      <c r="BJ359" s="3">
        <f>COUNTIFS(MOT_MOTOR,G359,MOT_MARCA,E359,MOT_DESDE,"&lt;="&amp;M359,MOT_HASTA,"&gt;="&amp;M359)+COUNTIFS(MOT_MOTOR,G359,MOT_MARCA,"(todas)",MOT_DESDE,"&lt;="&amp;M359,MOT_HASTA,"&gt;="&amp;M359)</f>
        <v/>
      </c>
      <c r="BK359" s="3">
        <f>IF(AND(K359="diesel",BJ359=0),MIN(BG359,NEUTRO),BG359)</f>
        <v/>
      </c>
      <c r="BL359" s="4">
        <f>MAX(0,MIN(100,BK359+BH359+BI359))</f>
        <v/>
      </c>
      <c r="BM359" s="3">
        <f>MAX(0,MIN(100,50+BE359*PRECIO_PEND))</f>
        <v/>
      </c>
      <c r="BN359" s="3">
        <f>MAX(0,100*(1-N359/KM_MAX))</f>
        <v/>
      </c>
      <c r="BO359" s="3">
        <f>IF(AV359&lt;KMA_SOSP,IF(AA359="sí",100,KMA_PEN),IF(AV359&lt;=KMA_IDEAL_MAX,100,MAX(0,100*(KMA_CERO-AV359)/(KMA_CERO-KMA_IDEAL_MAX))))</f>
        <v/>
      </c>
      <c r="BP359" s="3">
        <f>MAX(0,MIN(100,100*(M359-ANIO_MIN)/(ANIO_ACTUAL-ANIO_MIN)))</f>
        <v/>
      </c>
      <c r="BQ359" s="3">
        <f>W_KMT*BN359+W_KMA*BO359+W_EDAD*BP359</f>
        <v/>
      </c>
      <c r="BR359" s="3">
        <f>P_ITV*(V359="sí")+P_LIBRO*(W359="sí")+P_CORREA*(X359="sí")+P_PROP*(Y359=1)+P_GAR*(Z359="sí")+P_FOTOS*MIN(1,N(U359)/FOTOS_OBJ)</f>
        <v/>
      </c>
      <c r="BS359" s="3">
        <f>IFERROR(VLOOKUP(BF359,ETQ_TBL,2,0),NEUTRO)</f>
        <v/>
      </c>
      <c r="BT359" s="3">
        <f>NEUTRO</f>
        <v/>
      </c>
      <c r="BU359" s="3">
        <f>IFERROR(VLOOKUP(L359,SEGURO_TBL,3,0),"")</f>
        <v/>
      </c>
      <c r="BV359" s="3">
        <f>IF(BU359="",NEUTRO,MAX(0,MIN(100,100*(SEG_REF_MAX-BU359)/(SEG_REF_MAX-SEG_REF_MIN))))</f>
        <v/>
      </c>
      <c r="BW359" s="3">
        <f>W_ET*BS359+W_CONS*BT359+W_SEG*BV359</f>
        <v/>
      </c>
      <c r="BX359" s="3">
        <f>IF(N(AB359)&gt;0,AB359,IF(AND(R359="profesional",SG_LEGAL_ON=1),GAR_LEGAL,0))</f>
        <v/>
      </c>
      <c r="BY359" s="3">
        <f>SG_GAR*MIN(1,BX359/SG_GAR_FULL)+SG_AMPL*(AC359="sí")+SG_KMC*(AF359="sí")+SG_REV*(N(AE359)&gt;0)+SG_DEV*MIN(1,N(AG359)/SG_DEV_FULL)+SG_HIST*(W359="sí")</f>
        <v/>
      </c>
      <c r="BZ359" s="3">
        <f>IFERROR(VLOOKUP(L359,CARR_PEN_TBL,2,0),0)</f>
        <v/>
      </c>
      <c r="CA359" s="3">
        <f>W_FIAB*BL359+W_PRECIO*BM359+W_KMEDAD*BQ359+W_ANUNCIO*BR359+W_USO*BW359+W_SEGURIDAD*BY359-BZ359</f>
        <v/>
      </c>
      <c r="CB359" s="4">
        <f>IF(N(I359)&gt;0,I359,IFERROR(ROUND(_xlfn.NUMBERVALUE(LEFT(G359,FIND(" ",G359&amp;" ")-1),".")*1000,0),99999))</f>
        <v/>
      </c>
      <c r="CC359" s="3">
        <f>IF(R359="profesional",0,IF(O359&lt;CUOTA_VALOR_MAX,IF(AU359&gt;ITP_TRAMO_ALTO,SUMIFS(CF_CUOTA,CF_MAS,ITP_TRAMO_ALTO,CF_CCMIN,"&lt;="&amp;CB359,CF_CCMAX,"&gt;="&amp;CB359),IF(AU359&gt;ITP_TRAMO_BAJO,SUMIFS(CF_CUOTA,CF_MAS,ITP_TRAMO_BAJO,CF_CCMIN,"&lt;="&amp;CB359,CF_CCMAX,"&gt;="&amp;CB359),O359*ITP_TIPO)),O359*ITP_TIPO))</f>
        <v/>
      </c>
      <c r="CD359" s="4">
        <f>IF(R359="profesional",N(AK359),0)</f>
        <v/>
      </c>
      <c r="CE359" s="3">
        <f>IF(AND(R359="profesional",ISNUMBER(AK359),AL359="sí"),0,TASA_DGT)</f>
        <v/>
      </c>
      <c r="CF359" s="3">
        <f>INFORME_DGT</f>
        <v/>
      </c>
      <c r="CG359" s="4">
        <f>O359+CD359+CC359+CE359+CF359</f>
        <v/>
      </c>
      <c r="CH359" s="4">
        <f>CG359+N(BU359)</f>
        <v/>
      </c>
      <c r="CI359" s="3">
        <f>IF(CG359&lt;=TOTAL_MAX,"sí",IF(CG359&lt;=TOTAL_MAX+MARGEN_NEG,"negociar","no"))</f>
        <v/>
      </c>
      <c r="CJ359" s="4">
        <f>IF(CI359&lt;&gt;"no",COUNTIFS($CI$2:$CI$662,"&lt;&gt;no",$CA$2:$CA$662,"&gt;"&amp;CA359)+COUNTIFS($CI$2:CI359,"&lt;&gt;no",$CA$2:CA359,CA359),"")</f>
        <v/>
      </c>
    </row>
    <row r="360">
      <c r="A360" s="2" t="inlineStr">
        <is>
          <t>wallapop:1248952142</t>
        </is>
      </c>
      <c r="B360" s="2" t="inlineStr">
        <is>
          <t>wallapop</t>
        </is>
      </c>
      <c r="C360" s="2" t="inlineStr">
        <is>
          <t>https://es.wallapop.com/item/citroen-c4-2007-1248952142</t>
        </is>
      </c>
      <c r="D360" s="2" t="inlineStr">
        <is>
          <t>Citroen C4 2007</t>
        </is>
      </c>
      <c r="E360" s="2" t="inlineStr">
        <is>
          <t>Citroën</t>
        </is>
      </c>
      <c r="F360" s="2" t="inlineStr">
        <is>
          <t>Citroën C4</t>
        </is>
      </c>
      <c r="G360" s="2" t="inlineStr">
        <is>
          <t>1.4</t>
        </is>
      </c>
      <c r="H360" s="2" t="inlineStr">
        <is>
          <t>1.4i 16v 90 Collection 5p</t>
        </is>
      </c>
      <c r="I360" s="2" t="n"/>
      <c r="J360" s="2" t="n">
        <v>90</v>
      </c>
      <c r="K360" s="2" t="inlineStr">
        <is>
          <t>gasolina</t>
        </is>
      </c>
      <c r="L360" s="2" t="inlineStr">
        <is>
          <t>compacto</t>
        </is>
      </c>
      <c r="M360" s="2" t="n">
        <v>2007</v>
      </c>
      <c r="N360" s="2" t="n">
        <v>151000</v>
      </c>
      <c r="O360" s="2" t="n">
        <v>3900</v>
      </c>
      <c r="P360" s="2" t="inlineStr">
        <is>
          <t>manual</t>
        </is>
      </c>
      <c r="Q360" s="2" t="inlineStr">
        <is>
          <t>no</t>
        </is>
      </c>
      <c r="R360" s="2" t="inlineStr">
        <is>
          <t>particular</t>
        </is>
      </c>
      <c r="S360" s="2" t="inlineStr">
        <is>
          <t>Gandía (46700)</t>
        </is>
      </c>
      <c r="T360" s="2" t="inlineStr">
        <is>
          <t>2026-09-21T13:43:32</t>
        </is>
      </c>
      <c r="U360" s="2" t="n">
        <v>5</v>
      </c>
      <c r="V360" s="2" t="n"/>
      <c r="W360" s="2" t="n"/>
      <c r="X360" s="2" t="n"/>
      <c r="Y360" s="2" t="n"/>
      <c r="Z360" s="2" t="n"/>
      <c r="AA360" s="2" t="n"/>
      <c r="AB360" s="2" t="n"/>
      <c r="AC360" s="2" t="n"/>
      <c r="AD360" s="2" t="n"/>
      <c r="AE360" s="2" t="n"/>
      <c r="AF360" s="2" t="n"/>
      <c r="AG360" s="2" t="n"/>
      <c r="AH360" s="2" t="n"/>
      <c r="AI360" s="2" t="n"/>
      <c r="AJ360" s="2" t="n"/>
      <c r="AK360" s="2" t="n"/>
      <c r="AL360" s="2" t="n"/>
      <c r="AM360" s="2" t="n">
        <v>58.4</v>
      </c>
      <c r="AN360" s="2" t="n">
        <v>3500</v>
      </c>
      <c r="AO360" s="2" t="n">
        <v>11</v>
      </c>
      <c r="AP360" s="2" t="inlineStr">
        <is>
          <t>modelo+año+km</t>
        </is>
      </c>
      <c r="AQ360" s="2" t="n"/>
      <c r="AR360" s="2" t="inlineStr">
        <is>
          <t>cuota fija ITP: &gt;12 años, hasta 1.500 cc; fiabilidad del modelo PENDIENTE de fuente (puntuación neutra)</t>
        </is>
      </c>
      <c r="AS360" s="2" t="inlineStr">
        <is>
          <t xml:space="preserve">Etiqueta C para poder entrar al centro de cualquier ciudad 
ITV completa hasta Julio 2026
Buen estado general de carrocería, interior, motor, neumáticos, discos de freno y pastillas. 
</t>
        </is>
      </c>
      <c r="AT360" s="2" t="inlineStr">
        <is>
          <t>https://es.wallapop.com/item/citroen-c4-2007-1248952142 (__NEXT_DATA__ item) /home/user/Alopecia/buscador-coches/raw/wallapop/3ed7c416a9a52e8e.json</t>
        </is>
      </c>
      <c r="AU360" s="3">
        <f>MAX(ANIO_ACTUAL-M360,0)</f>
        <v/>
      </c>
      <c r="AV360" s="4">
        <f>N360/MAX(AU360,0.5)</f>
        <v/>
      </c>
      <c r="AW360" s="4">
        <f>F360</f>
        <v/>
      </c>
      <c r="AX360" s="3">
        <f>AW360&amp;"|"&amp;INT(M360/SEG_ANIO)*SEG_ANIO</f>
        <v/>
      </c>
      <c r="AY360" s="3">
        <f>AX360&amp;"|"&amp;INT(N360/SEG_KM)*SEG_KM</f>
        <v/>
      </c>
      <c r="AZ360" s="4">
        <f>COUNTIF($AW$2:$AW$662,AW360)</f>
        <v/>
      </c>
      <c r="BA360" s="4">
        <f>COUNTIF($AX$2:$AX$662,AX360)</f>
        <v/>
      </c>
      <c r="BB360" s="4">
        <f>COUNTIF($AY$2:$AY$662,AY360)</f>
        <v/>
      </c>
      <c r="BC360" s="3">
        <f t="array" ref="BC360">IF(N(AO360)&gt;=MIN_N,AN360,IF(BB360&gt;=MIN_N,MEDIAN(IF($AY$2:$AY$662=AY360,$O$2:$O$662)),IF(BA360&gt;=MIN_N,MEDIAN(IF($AX$2:$AX$662=AX360,$O$2:$O$662)),MEDIAN(IF($AW$2:$AW$662=AW360,$O$2:$O$662)))))</f>
        <v/>
      </c>
      <c r="BD360" s="3">
        <f>IF(N(AO360)&gt;=MIN_N,"mercado "&amp;AP360,IF(BB360&gt;=MIN_N,"modelo+año+km",IF(BA360&gt;=MIN_N,"modelo+año","modelo")))</f>
        <v/>
      </c>
      <c r="BE360" s="4">
        <f>(BC360-O360)/BC360</f>
        <v/>
      </c>
      <c r="BF360" s="3">
        <f>IF(OR(K360="hibrido",K360="glp"),"ECO",IF(K360="electrico","CERO",IF(K360="gasolina",IF(M360&gt;=GAS_C,"C",IF(M360&gt;=GAS_B,"B","A")),IF(K360="diesel",IF(M360&gt;=DIE_C,"C",IF(M360&gt;=DIE_B,"B","A")),""))))</f>
        <v/>
      </c>
      <c r="BG360" s="3">
        <f>IFERROR(VLOOKUP(F360,MOD_TBL,11,0),IFERROR(VLOOKUP(E360,OCU_TBL,2,0),NEUTRO))</f>
        <v/>
      </c>
      <c r="BH360" s="3">
        <f>SUMIFS(MOT_AJUSTE,MOT_MOTOR,G360,MOT_MARCA,E360,MOT_DESDE,"&lt;="&amp;M360,MOT_HASTA,"&gt;="&amp;M360)+SUMIFS(MOT_AJUSTE,MOT_MOTOR,G360,MOT_MARCA,"(todas)",MOT_DESDE,"&lt;="&amp;M360,MOT_HASTA,"&gt;="&amp;M360)</f>
        <v/>
      </c>
      <c r="BI360" s="3">
        <f>SUMIFS(COMB_AJUSTE,COMB_COMB,K360)</f>
        <v/>
      </c>
      <c r="BJ360" s="3">
        <f>COUNTIFS(MOT_MOTOR,G360,MOT_MARCA,E360,MOT_DESDE,"&lt;="&amp;M360,MOT_HASTA,"&gt;="&amp;M360)+COUNTIFS(MOT_MOTOR,G360,MOT_MARCA,"(todas)",MOT_DESDE,"&lt;="&amp;M360,MOT_HASTA,"&gt;="&amp;M360)</f>
        <v/>
      </c>
      <c r="BK360" s="3">
        <f>IF(AND(K360="diesel",BJ360=0),MIN(BG360,NEUTRO),BG360)</f>
        <v/>
      </c>
      <c r="BL360" s="4">
        <f>MAX(0,MIN(100,BK360+BH360+BI360))</f>
        <v/>
      </c>
      <c r="BM360" s="3">
        <f>MAX(0,MIN(100,50+BE360*PRECIO_PEND))</f>
        <v/>
      </c>
      <c r="BN360" s="3">
        <f>MAX(0,100*(1-N360/KM_MAX))</f>
        <v/>
      </c>
      <c r="BO360" s="3">
        <f>IF(AV360&lt;KMA_SOSP,IF(AA360="sí",100,KMA_PEN),IF(AV360&lt;=KMA_IDEAL_MAX,100,MAX(0,100*(KMA_CERO-AV360)/(KMA_CERO-KMA_IDEAL_MAX))))</f>
        <v/>
      </c>
      <c r="BP360" s="3">
        <f>MAX(0,MIN(100,100*(M360-ANIO_MIN)/(ANIO_ACTUAL-ANIO_MIN)))</f>
        <v/>
      </c>
      <c r="BQ360" s="3">
        <f>W_KMT*BN360+W_KMA*BO360+W_EDAD*BP360</f>
        <v/>
      </c>
      <c r="BR360" s="3">
        <f>P_ITV*(V360="sí")+P_LIBRO*(W360="sí")+P_CORREA*(X360="sí")+P_PROP*(Y360=1)+P_GAR*(Z360="sí")+P_FOTOS*MIN(1,N(U360)/FOTOS_OBJ)</f>
        <v/>
      </c>
      <c r="BS360" s="3">
        <f>IFERROR(VLOOKUP(BF360,ETQ_TBL,2,0),NEUTRO)</f>
        <v/>
      </c>
      <c r="BT360" s="3">
        <f>NEUTRO</f>
        <v/>
      </c>
      <c r="BU360" s="3">
        <f>IFERROR(VLOOKUP(L360,SEGURO_TBL,3,0),"")</f>
        <v/>
      </c>
      <c r="BV360" s="3">
        <f>IF(BU360="",NEUTRO,MAX(0,MIN(100,100*(SEG_REF_MAX-BU360)/(SEG_REF_MAX-SEG_REF_MIN))))</f>
        <v/>
      </c>
      <c r="BW360" s="3">
        <f>W_ET*BS360+W_CONS*BT360+W_SEG*BV360</f>
        <v/>
      </c>
      <c r="BX360" s="3">
        <f>IF(N(AB360)&gt;0,AB360,IF(AND(R360="profesional",SG_LEGAL_ON=1),GAR_LEGAL,0))</f>
        <v/>
      </c>
      <c r="BY360" s="3">
        <f>SG_GAR*MIN(1,BX360/SG_GAR_FULL)+SG_AMPL*(AC360="sí")+SG_KMC*(AF360="sí")+SG_REV*(N(AE360)&gt;0)+SG_DEV*MIN(1,N(AG360)/SG_DEV_FULL)+SG_HIST*(W360="sí")</f>
        <v/>
      </c>
      <c r="BZ360" s="3">
        <f>IFERROR(VLOOKUP(L360,CARR_PEN_TBL,2,0),0)</f>
        <v/>
      </c>
      <c r="CA360" s="3">
        <f>W_FIAB*BL360+W_PRECIO*BM360+W_KMEDAD*BQ360+W_ANUNCIO*BR360+W_USO*BW360+W_SEGURIDAD*BY360-BZ360</f>
        <v/>
      </c>
      <c r="CB360" s="4">
        <f>IF(N(I360)&gt;0,I360,IFERROR(ROUND(_xlfn.NUMBERVALUE(LEFT(G360,FIND(" ",G360&amp;" ")-1),".")*1000,0),99999))</f>
        <v/>
      </c>
      <c r="CC360" s="3">
        <f>IF(R360="profesional",0,IF(O360&lt;CUOTA_VALOR_MAX,IF(AU360&gt;ITP_TRAMO_ALTO,SUMIFS(CF_CUOTA,CF_MAS,ITP_TRAMO_ALTO,CF_CCMIN,"&lt;="&amp;CB360,CF_CCMAX,"&gt;="&amp;CB360),IF(AU360&gt;ITP_TRAMO_BAJO,SUMIFS(CF_CUOTA,CF_MAS,ITP_TRAMO_BAJO,CF_CCMIN,"&lt;="&amp;CB360,CF_CCMAX,"&gt;="&amp;CB360),O360*ITP_TIPO)),O360*ITP_TIPO))</f>
        <v/>
      </c>
      <c r="CD360" s="4">
        <f>IF(R360="profesional",N(AK360),0)</f>
        <v/>
      </c>
      <c r="CE360" s="3">
        <f>IF(AND(R360="profesional",ISNUMBER(AK360),AL360="sí"),0,TASA_DGT)</f>
        <v/>
      </c>
      <c r="CF360" s="3">
        <f>INFORME_DGT</f>
        <v/>
      </c>
      <c r="CG360" s="4">
        <f>O360+CD360+CC360+CE360+CF360</f>
        <v/>
      </c>
      <c r="CH360" s="4">
        <f>CG360+N(BU360)</f>
        <v/>
      </c>
      <c r="CI360" s="3">
        <f>IF(CG360&lt;=TOTAL_MAX,"sí",IF(CG360&lt;=TOTAL_MAX+MARGEN_NEG,"negociar","no"))</f>
        <v/>
      </c>
      <c r="CJ360" s="4">
        <f>IF(CI360&lt;&gt;"no",COUNTIFS($CI$2:$CI$662,"&lt;&gt;no",$CA$2:$CA$662,"&gt;"&amp;CA360)+COUNTIFS($CI$2:CI360,"&lt;&gt;no",$CA$2:CA360,CA360),"")</f>
        <v/>
      </c>
    </row>
    <row r="361">
      <c r="A361" s="2" t="inlineStr">
        <is>
          <t>wallapop:1315065813</t>
        </is>
      </c>
      <c r="B361" s="2" t="inlineStr">
        <is>
          <t>wallapop</t>
        </is>
      </c>
      <c r="C361" s="2" t="inlineStr">
        <is>
          <t>https://es.wallapop.com/item/citroen-c3-picasso-2009-1315065813</t>
        </is>
      </c>
      <c r="D361" s="2" t="inlineStr">
        <is>
          <t>Citroen C3 Picasso 2009</t>
        </is>
      </c>
      <c r="E361" s="2" t="inlineStr">
        <is>
          <t>Citroën</t>
        </is>
      </c>
      <c r="F361" s="2" t="inlineStr">
        <is>
          <t>Citroën C3 Picasso</t>
        </is>
      </c>
      <c r="G361" s="2" t="inlineStr">
        <is>
          <t>1.6 HDi</t>
        </is>
      </c>
      <c r="H361" s="2" t="inlineStr">
        <is>
          <t>1.6 HDi 110 Exclusive 5p FAP</t>
        </is>
      </c>
      <c r="I361" s="2" t="n"/>
      <c r="J361" s="2" t="n">
        <v>109</v>
      </c>
      <c r="K361" s="2" t="inlineStr">
        <is>
          <t>diesel</t>
        </is>
      </c>
      <c r="L361" s="2" t="inlineStr">
        <is>
          <t>monovolumen_pequeno</t>
        </is>
      </c>
      <c r="M361" s="2" t="n">
        <v>2009</v>
      </c>
      <c r="N361" s="2" t="n">
        <v>160000</v>
      </c>
      <c r="O361" s="2" t="n">
        <v>4990</v>
      </c>
      <c r="P361" s="2" t="inlineStr">
        <is>
          <t>manual</t>
        </is>
      </c>
      <c r="Q361" s="2" t="inlineStr">
        <is>
          <t>no</t>
        </is>
      </c>
      <c r="R361" s="2" t="inlineStr">
        <is>
          <t>profesional</t>
        </is>
      </c>
      <c r="S361" s="2" t="inlineStr">
        <is>
          <t>Valencia (46009)</t>
        </is>
      </c>
      <c r="T361" s="2" t="inlineStr">
        <is>
          <t>2026-10-30T22:18:23</t>
        </is>
      </c>
      <c r="U361" s="2" t="n">
        <v>13</v>
      </c>
      <c r="V361" s="2" t="inlineStr">
        <is>
          <t>sí</t>
        </is>
      </c>
      <c r="W361" s="2" t="inlineStr">
        <is>
          <t>sí</t>
        </is>
      </c>
      <c r="X361" s="2" t="n"/>
      <c r="Y361" s="2" t="n"/>
      <c r="Z361" s="2" t="inlineStr">
        <is>
          <t>sí</t>
        </is>
      </c>
      <c r="AA361" s="2" t="n"/>
      <c r="AB361" s="2" t="n">
        <v>12</v>
      </c>
      <c r="AC361" s="2" t="n"/>
      <c r="AD361" s="2" t="n"/>
      <c r="AE361" s="2" t="n"/>
      <c r="AF361" s="2" t="n"/>
      <c r="AG361" s="2" t="n"/>
      <c r="AH361" s="2" t="n"/>
      <c r="AI361" s="2" t="n"/>
      <c r="AJ361" s="2" t="n"/>
      <c r="AK361" s="2" t="n"/>
      <c r="AL361" s="2" t="n"/>
      <c r="AM361" s="2" t="n">
        <v>3.3</v>
      </c>
      <c r="AN361" s="2" t="n"/>
      <c r="AO361" s="2" t="n"/>
      <c r="AP361" s="2" t="n"/>
      <c r="AQ361" s="2" t="inlineStr">
        <is>
          <t>cochesnet:71733143 (https://www.coches.net/citroen-c3-picasso-hdi-110cv-fap-airdream-exclusive-5p-diesel-2009-en-valencia-71733143-covo.aspx)</t>
        </is>
      </c>
      <c r="AR361" s="2" t="inlineStr">
        <is>
          <t>por encima del presupuesto (5054 €), negociar; 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2 anuncio(s)</t>
        </is>
      </c>
      <c r="AS361" s="2" t="inlineStr">
        <is>
          <t>CITROEN C3 PICASSO 1.6 HDi 110 CV DIÉSEL · 2009 · 160.000 KM
¡Espacio, comodidad y versatilidad en un monovolumen compacto! Este Citroen C3 Picasso destaca por su motor diésel 1.6 HDi de 110 CV, su consumo contenido y su amplio habitáculo. Un vehículo práctico y funcional, con techo solar y un completo equipamiento, ideal para familias y para quienes buscan comodidad tanto en ciudad como en carretera.
🛠️ Estado y mantenimiento:
▫️ Vehículo nacional.
▫️ 160.000 km.
▫️ ITV en vigor.
▫️ Revisiones y mantenimiento al día.
🚗 Equipamiento destacado:
▫️ Confort y conducción: Motor 1.6 HDi de 110 CV, dirección asistida Servotronic, control de crucero y volante multifunción revestido en piel.
▫️ Diseño y comodidad: Techo solar, asientos confort, aire acondicionado, elevalunas eléctricos y retrovisores eléctricos.
▫️ Tecnología y multimedia: Ordenador de a bordo y equipo de música MP3 con 6 altavoces.
▫️ Seguridad y aparcamiento: Sensores de aparcamiento Parktronic, anclajes ISOFIX para sillas infantiles y cierre centralizado.
▫️ Espacio y funcionalidad: Carrocería monovolumen de 5 puertas, posición de conducción elevada y habitáculo espacioso con gran aprovechamiento interior, ideal para el uso familiar y los viajes.
✅ Ventajas exclusivas Lunusa Cars
▫️ Financiación de hasta el 100% con tu nómina.
▫️ Garantía de 1 año en motor incluida.
▫️ Compra 100% online, fácil y segura.
▫️ Envíos y entrega a domicilio en toda España.
💬 ¿Hablamos? Te enviamos más vídeos, fotograf</t>
        </is>
      </c>
      <c r="AT361" s="2" t="inlineStr">
        <is>
          <t>https://es.wallapop.com/item/citroen-c3-picasso-2009-1315065813 (__NEXT_DATA__ item) /home/user/Alopecia/buscador-coches/raw/wallapop/a3fe12c81d461671.json</t>
        </is>
      </c>
      <c r="AU361" s="3">
        <f>MAX(ANIO_ACTUAL-M361,0)</f>
        <v/>
      </c>
      <c r="AV361" s="4">
        <f>N361/MAX(AU361,0.5)</f>
        <v/>
      </c>
      <c r="AW361" s="4">
        <f>F361</f>
        <v/>
      </c>
      <c r="AX361" s="3">
        <f>AW361&amp;"|"&amp;INT(M361/SEG_ANIO)*SEG_ANIO</f>
        <v/>
      </c>
      <c r="AY361" s="3">
        <f>AX361&amp;"|"&amp;INT(N361/SEG_KM)*SEG_KM</f>
        <v/>
      </c>
      <c r="AZ361" s="4">
        <f>COUNTIF($AW$2:$AW$662,AW361)</f>
        <v/>
      </c>
      <c r="BA361" s="4">
        <f>COUNTIF($AX$2:$AX$662,AX361)</f>
        <v/>
      </c>
      <c r="BB361" s="4">
        <f>COUNTIF($AY$2:$AY$662,AY361)</f>
        <v/>
      </c>
      <c r="BC361" s="3">
        <f t="array" ref="BC361">IF(N(AO361)&gt;=MIN_N,AN361,IF(BB361&gt;=MIN_N,MEDIAN(IF($AY$2:$AY$662=AY361,$O$2:$O$662)),IF(BA361&gt;=MIN_N,MEDIAN(IF($AX$2:$AX$662=AX361,$O$2:$O$662)),MEDIAN(IF($AW$2:$AW$662=AW361,$O$2:$O$662)))))</f>
        <v/>
      </c>
      <c r="BD361" s="3">
        <f>IF(N(AO361)&gt;=MIN_N,"mercado "&amp;AP361,IF(BB361&gt;=MIN_N,"modelo+año+km",IF(BA361&gt;=MIN_N,"modelo+año","modelo")))</f>
        <v/>
      </c>
      <c r="BE361" s="4">
        <f>(BC361-O361)/BC361</f>
        <v/>
      </c>
      <c r="BF361" s="3">
        <f>IF(OR(K361="hibrido",K361="glp"),"ECO",IF(K361="electrico","CERO",IF(K361="gasolina",IF(M361&gt;=GAS_C,"C",IF(M361&gt;=GAS_B,"B","A")),IF(K361="diesel",IF(M361&gt;=DIE_C,"C",IF(M361&gt;=DIE_B,"B","A")),""))))</f>
        <v/>
      </c>
      <c r="BG361" s="3">
        <f>IFERROR(VLOOKUP(F361,MOD_TBL,11,0),IFERROR(VLOOKUP(E361,OCU_TBL,2,0),NEUTRO))</f>
        <v/>
      </c>
      <c r="BH361" s="3">
        <f>SUMIFS(MOT_AJUSTE,MOT_MOTOR,G361,MOT_MARCA,E361,MOT_DESDE,"&lt;="&amp;M361,MOT_HASTA,"&gt;="&amp;M361)+SUMIFS(MOT_AJUSTE,MOT_MOTOR,G361,MOT_MARCA,"(todas)",MOT_DESDE,"&lt;="&amp;M361,MOT_HASTA,"&gt;="&amp;M361)</f>
        <v/>
      </c>
      <c r="BI361" s="3">
        <f>SUMIFS(COMB_AJUSTE,COMB_COMB,K361)</f>
        <v/>
      </c>
      <c r="BJ361" s="3">
        <f>COUNTIFS(MOT_MOTOR,G361,MOT_MARCA,E361,MOT_DESDE,"&lt;="&amp;M361,MOT_HASTA,"&gt;="&amp;M361)+COUNTIFS(MOT_MOTOR,G361,MOT_MARCA,"(todas)",MOT_DESDE,"&lt;="&amp;M361,MOT_HASTA,"&gt;="&amp;M361)</f>
        <v/>
      </c>
      <c r="BK361" s="3">
        <f>IF(AND(K361="diesel",BJ361=0),MIN(BG361,NEUTRO),BG361)</f>
        <v/>
      </c>
      <c r="BL361" s="4">
        <f>MAX(0,MIN(100,BK361+BH361+BI361))</f>
        <v/>
      </c>
      <c r="BM361" s="3">
        <f>MAX(0,MIN(100,50+BE361*PRECIO_PEND))</f>
        <v/>
      </c>
      <c r="BN361" s="3">
        <f>MAX(0,100*(1-N361/KM_MAX))</f>
        <v/>
      </c>
      <c r="BO361" s="3">
        <f>IF(AV361&lt;KMA_SOSP,IF(AA361="sí",100,KMA_PEN),IF(AV361&lt;=KMA_IDEAL_MAX,100,MAX(0,100*(KMA_CERO-AV361)/(KMA_CERO-KMA_IDEAL_MAX))))</f>
        <v/>
      </c>
      <c r="BP361" s="3">
        <f>MAX(0,MIN(100,100*(M361-ANIO_MIN)/(ANIO_ACTUAL-ANIO_MIN)))</f>
        <v/>
      </c>
      <c r="BQ361" s="3">
        <f>W_KMT*BN361+W_KMA*BO361+W_EDAD*BP361</f>
        <v/>
      </c>
      <c r="BR361" s="3">
        <f>P_ITV*(V361="sí")+P_LIBRO*(W361="sí")+P_CORREA*(X361="sí")+P_PROP*(Y361=1)+P_GAR*(Z361="sí")+P_FOTOS*MIN(1,N(U361)/FOTOS_OBJ)</f>
        <v/>
      </c>
      <c r="BS361" s="3">
        <f>IFERROR(VLOOKUP(BF361,ETQ_TBL,2,0),NEUTRO)</f>
        <v/>
      </c>
      <c r="BT361" s="3">
        <f>NEUTRO</f>
        <v/>
      </c>
      <c r="BU361" s="3">
        <f>IFERROR(VLOOKUP(L361,SEGURO_TBL,3,0),"")</f>
        <v/>
      </c>
      <c r="BV361" s="3">
        <f>IF(BU361="",NEUTRO,MAX(0,MIN(100,100*(SEG_REF_MAX-BU361)/(SEG_REF_MAX-SEG_REF_MIN))))</f>
        <v/>
      </c>
      <c r="BW361" s="3">
        <f>W_ET*BS361+W_CONS*BT361+W_SEG*BV361</f>
        <v/>
      </c>
      <c r="BX361" s="3">
        <f>IF(N(AB361)&gt;0,AB361,IF(AND(R361="profesional",SG_LEGAL_ON=1),GAR_LEGAL,0))</f>
        <v/>
      </c>
      <c r="BY361" s="3">
        <f>SG_GAR*MIN(1,BX361/SG_GAR_FULL)+SG_AMPL*(AC361="sí")+SG_KMC*(AF361="sí")+SG_REV*(N(AE361)&gt;0)+SG_DEV*MIN(1,N(AG361)/SG_DEV_FULL)+SG_HIST*(W361="sí")</f>
        <v/>
      </c>
      <c r="BZ361" s="3">
        <f>IFERROR(VLOOKUP(L361,CARR_PEN_TBL,2,0),0)</f>
        <v/>
      </c>
      <c r="CA361" s="3">
        <f>W_FIAB*BL361+W_PRECIO*BM361+W_KMEDAD*BQ361+W_ANUNCIO*BR361+W_USO*BW361+W_SEGURIDAD*BY361-BZ361</f>
        <v/>
      </c>
      <c r="CB361" s="4">
        <f>IF(N(I361)&gt;0,I361,IFERROR(ROUND(_xlfn.NUMBERVALUE(LEFT(G361,FIND(" ",G361&amp;" ")-1),".")*1000,0),99999))</f>
        <v/>
      </c>
      <c r="CC361" s="3">
        <f>IF(R361="profesional",0,IF(O361&lt;CUOTA_VALOR_MAX,IF(AU361&gt;ITP_TRAMO_ALTO,SUMIFS(CF_CUOTA,CF_MAS,ITP_TRAMO_ALTO,CF_CCMIN,"&lt;="&amp;CB361,CF_CCMAX,"&gt;="&amp;CB361),IF(AU361&gt;ITP_TRAMO_BAJO,SUMIFS(CF_CUOTA,CF_MAS,ITP_TRAMO_BAJO,CF_CCMIN,"&lt;="&amp;CB361,CF_CCMAX,"&gt;="&amp;CB361),O361*ITP_TIPO)),O361*ITP_TIPO))</f>
        <v/>
      </c>
      <c r="CD361" s="4">
        <f>IF(R361="profesional",N(AK361),0)</f>
        <v/>
      </c>
      <c r="CE361" s="3">
        <f>IF(AND(R361="profesional",ISNUMBER(AK361),AL361="sí"),0,TASA_DGT)</f>
        <v/>
      </c>
      <c r="CF361" s="3">
        <f>INFORME_DGT</f>
        <v/>
      </c>
      <c r="CG361" s="4">
        <f>O361+CD361+CC361+CE361+CF361</f>
        <v/>
      </c>
      <c r="CH361" s="4">
        <f>CG361+N(BU361)</f>
        <v/>
      </c>
      <c r="CI361" s="3">
        <f>IF(CG361&lt;=TOTAL_MAX,"sí",IF(CG361&lt;=TOTAL_MAX+MARGEN_NEG,"negociar","no"))</f>
        <v/>
      </c>
      <c r="CJ361" s="4">
        <f>IF(CI361&lt;&gt;"no",COUNTIFS($CI$2:$CI$662,"&lt;&gt;no",$CA$2:$CA$662,"&gt;"&amp;CA361)+COUNTIFS($CI$2:CI361,"&lt;&gt;no",$CA$2:CA361,CA361),"")</f>
        <v/>
      </c>
    </row>
    <row r="362">
      <c r="A362" s="2" t="inlineStr">
        <is>
          <t>wallapop:1314003827</t>
        </is>
      </c>
      <c r="B362" s="2" t="inlineStr">
        <is>
          <t>wallapop</t>
        </is>
      </c>
      <c r="C362" s="2" t="inlineStr">
        <is>
          <t>https://es.wallapop.com/item/citroen-c3-picasso-2015-1-6-hdi-1314003827</t>
        </is>
      </c>
      <c r="D362" s="2" t="inlineStr">
        <is>
          <t>Citroen C3 Picasso 2015 1.6 hdi</t>
        </is>
      </c>
      <c r="E362" s="2" t="inlineStr">
        <is>
          <t>Citroën</t>
        </is>
      </c>
      <c r="F362" s="2" t="inlineStr">
        <is>
          <t>Citroën C3 Picasso</t>
        </is>
      </c>
      <c r="G362" s="2" t="inlineStr">
        <is>
          <t>1.6 HDi</t>
        </is>
      </c>
      <c r="H362" s="2" t="inlineStr">
        <is>
          <t>1.6 HDi 115 Exclusive 5p</t>
        </is>
      </c>
      <c r="I362" s="2" t="n"/>
      <c r="J362" s="2" t="n">
        <v>114</v>
      </c>
      <c r="K362" s="2" t="inlineStr">
        <is>
          <t>diesel</t>
        </is>
      </c>
      <c r="L362" s="2" t="inlineStr">
        <is>
          <t>monovolumen_pequeno</t>
        </is>
      </c>
      <c r="M362" s="2" t="n">
        <v>2015</v>
      </c>
      <c r="N362" s="2" t="n">
        <v>184000</v>
      </c>
      <c r="O362" s="2" t="n">
        <v>5000</v>
      </c>
      <c r="P362" s="2" t="inlineStr">
        <is>
          <t>manual</t>
        </is>
      </c>
      <c r="Q362" s="2" t="inlineStr">
        <is>
          <t>no</t>
        </is>
      </c>
      <c r="R362" s="2" t="inlineStr">
        <is>
          <t>profesional</t>
        </is>
      </c>
      <c r="S362" s="2" t="inlineStr">
        <is>
          <t>Valencia (46022)</t>
        </is>
      </c>
      <c r="T362" s="2" t="inlineStr">
        <is>
          <t>2026-10-30T15:10:04</t>
        </is>
      </c>
      <c r="U362" s="2" t="n">
        <v>15</v>
      </c>
      <c r="V362" s="2" t="inlineStr">
        <is>
          <t>sí</t>
        </is>
      </c>
      <c r="W362" s="2" t="inlineStr">
        <is>
          <t>sí</t>
        </is>
      </c>
      <c r="X362" s="2" t="n"/>
      <c r="Y362" s="2" t="n">
        <v>1</v>
      </c>
      <c r="Z362" s="2" t="n"/>
      <c r="AA362" s="2" t="n"/>
      <c r="AB362" s="2" t="n"/>
      <c r="AC362" s="2" t="n"/>
      <c r="AD362" s="2" t="n"/>
      <c r="AE362" s="2" t="n"/>
      <c r="AF362" s="2" t="n"/>
      <c r="AG362" s="2" t="n"/>
      <c r="AH362" s="2" t="n"/>
      <c r="AI362" s="2" t="n"/>
      <c r="AJ362" s="2" t="n"/>
      <c r="AK362" s="2" t="n"/>
      <c r="AL362" s="2" t="n"/>
      <c r="AM362" s="2" t="n">
        <v>3.6</v>
      </c>
      <c r="AN362" s="2" t="n"/>
      <c r="AO362" s="2" t="n"/>
      <c r="AP362" s="2" t="n"/>
      <c r="AQ362" s="2" t="n"/>
      <c r="AR362" s="2" t="inlineStr">
        <is>
          <t>por encima del presupuesto (5064 €), negociar; 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2 anuncio(s)</t>
        </is>
      </c>
      <c r="AS362" s="2" t="inlineStr">
        <is>
          <t xml:space="preserve">Vendo mi Citroën C3 Picasso diésel con 184.000km reales!
Coche familiar por excelencia, súper amplio por dentro, maletero enorme y muy bajo consumo (4,5L/100km). 
Unico dueño.
Motor 1.6 HDi indestructible, el más fiable de Citroën.
✅ 184.000 km - Diesel
✅ Etiqueta B (puede entrar en casi todas partes)
✅ Consumo muy bajo - ideal para diario y viajes
✅ Interior impecable, no fumador
✅ Mecánica perfecta, sin ruidos ni testigos
✅ Aire acondicionado frío, elevalunas, Bluetooth, sensores...
✅ siempre aparcado en garaje
Velocidad crucero, luces automaticas 
ITV al día, mantenimiento al día, listo para hacerle kilómetros sin gastar nada.
</t>
        </is>
      </c>
      <c r="AT362" s="2" t="inlineStr">
        <is>
          <t>https://es.wallapop.com/item/citroen-c3-picasso-2015-1-6-hdi-1314003827 (__NEXT_DATA__ item) /home/user/Alopecia/buscador-coches/raw/wallapop/612d3dd0a1b6590b.json</t>
        </is>
      </c>
      <c r="AU362" s="3">
        <f>MAX(ANIO_ACTUAL-M362,0)</f>
        <v/>
      </c>
      <c r="AV362" s="4">
        <f>N362/MAX(AU362,0.5)</f>
        <v/>
      </c>
      <c r="AW362" s="4">
        <f>F362</f>
        <v/>
      </c>
      <c r="AX362" s="3">
        <f>AW362&amp;"|"&amp;INT(M362/SEG_ANIO)*SEG_ANIO</f>
        <v/>
      </c>
      <c r="AY362" s="3">
        <f>AX362&amp;"|"&amp;INT(N362/SEG_KM)*SEG_KM</f>
        <v/>
      </c>
      <c r="AZ362" s="4">
        <f>COUNTIF($AW$2:$AW$662,AW362)</f>
        <v/>
      </c>
      <c r="BA362" s="4">
        <f>COUNTIF($AX$2:$AX$662,AX362)</f>
        <v/>
      </c>
      <c r="BB362" s="4">
        <f>COUNTIF($AY$2:$AY$662,AY362)</f>
        <v/>
      </c>
      <c r="BC362" s="3">
        <f t="array" ref="BC362">IF(N(AO362)&gt;=MIN_N,AN362,IF(BB362&gt;=MIN_N,MEDIAN(IF($AY$2:$AY$662=AY362,$O$2:$O$662)),IF(BA362&gt;=MIN_N,MEDIAN(IF($AX$2:$AX$662=AX362,$O$2:$O$662)),MEDIAN(IF($AW$2:$AW$662=AW362,$O$2:$O$662)))))</f>
        <v/>
      </c>
      <c r="BD362" s="3">
        <f>IF(N(AO362)&gt;=MIN_N,"mercado "&amp;AP362,IF(BB362&gt;=MIN_N,"modelo+año+km",IF(BA362&gt;=MIN_N,"modelo+año","modelo")))</f>
        <v/>
      </c>
      <c r="BE362" s="4">
        <f>(BC362-O362)/BC362</f>
        <v/>
      </c>
      <c r="BF362" s="3">
        <f>IF(OR(K362="hibrido",K362="glp"),"ECO",IF(K362="electrico","CERO",IF(K362="gasolina",IF(M362&gt;=GAS_C,"C",IF(M362&gt;=GAS_B,"B","A")),IF(K362="diesel",IF(M362&gt;=DIE_C,"C",IF(M362&gt;=DIE_B,"B","A")),""))))</f>
        <v/>
      </c>
      <c r="BG362" s="3">
        <f>IFERROR(VLOOKUP(F362,MOD_TBL,11,0),IFERROR(VLOOKUP(E362,OCU_TBL,2,0),NEUTRO))</f>
        <v/>
      </c>
      <c r="BH362" s="3">
        <f>SUMIFS(MOT_AJUSTE,MOT_MOTOR,G362,MOT_MARCA,E362,MOT_DESDE,"&lt;="&amp;M362,MOT_HASTA,"&gt;="&amp;M362)+SUMIFS(MOT_AJUSTE,MOT_MOTOR,G362,MOT_MARCA,"(todas)",MOT_DESDE,"&lt;="&amp;M362,MOT_HASTA,"&gt;="&amp;M362)</f>
        <v/>
      </c>
      <c r="BI362" s="3">
        <f>SUMIFS(COMB_AJUSTE,COMB_COMB,K362)</f>
        <v/>
      </c>
      <c r="BJ362" s="3">
        <f>COUNTIFS(MOT_MOTOR,G362,MOT_MARCA,E362,MOT_DESDE,"&lt;="&amp;M362,MOT_HASTA,"&gt;="&amp;M362)+COUNTIFS(MOT_MOTOR,G362,MOT_MARCA,"(todas)",MOT_DESDE,"&lt;="&amp;M362,MOT_HASTA,"&gt;="&amp;M362)</f>
        <v/>
      </c>
      <c r="BK362" s="3">
        <f>IF(AND(K362="diesel",BJ362=0),MIN(BG362,NEUTRO),BG362)</f>
        <v/>
      </c>
      <c r="BL362" s="4">
        <f>MAX(0,MIN(100,BK362+BH362+BI362))</f>
        <v/>
      </c>
      <c r="BM362" s="3">
        <f>MAX(0,MIN(100,50+BE362*PRECIO_PEND))</f>
        <v/>
      </c>
      <c r="BN362" s="3">
        <f>MAX(0,100*(1-N362/KM_MAX))</f>
        <v/>
      </c>
      <c r="BO362" s="3">
        <f>IF(AV362&lt;KMA_SOSP,IF(AA362="sí",100,KMA_PEN),IF(AV362&lt;=KMA_IDEAL_MAX,100,MAX(0,100*(KMA_CERO-AV362)/(KMA_CERO-KMA_IDEAL_MAX))))</f>
        <v/>
      </c>
      <c r="BP362" s="3">
        <f>MAX(0,MIN(100,100*(M362-ANIO_MIN)/(ANIO_ACTUAL-ANIO_MIN)))</f>
        <v/>
      </c>
      <c r="BQ362" s="3">
        <f>W_KMT*BN362+W_KMA*BO362+W_EDAD*BP362</f>
        <v/>
      </c>
      <c r="BR362" s="3">
        <f>P_ITV*(V362="sí")+P_LIBRO*(W362="sí")+P_CORREA*(X362="sí")+P_PROP*(Y362=1)+P_GAR*(Z362="sí")+P_FOTOS*MIN(1,N(U362)/FOTOS_OBJ)</f>
        <v/>
      </c>
      <c r="BS362" s="3">
        <f>IFERROR(VLOOKUP(BF362,ETQ_TBL,2,0),NEUTRO)</f>
        <v/>
      </c>
      <c r="BT362" s="3">
        <f>NEUTRO</f>
        <v/>
      </c>
      <c r="BU362" s="3">
        <f>IFERROR(VLOOKUP(L362,SEGURO_TBL,3,0),"")</f>
        <v/>
      </c>
      <c r="BV362" s="3">
        <f>IF(BU362="",NEUTRO,MAX(0,MIN(100,100*(SEG_REF_MAX-BU362)/(SEG_REF_MAX-SEG_REF_MIN))))</f>
        <v/>
      </c>
      <c r="BW362" s="3">
        <f>W_ET*BS362+W_CONS*BT362+W_SEG*BV362</f>
        <v/>
      </c>
      <c r="BX362" s="3">
        <f>IF(N(AB362)&gt;0,AB362,IF(AND(R362="profesional",SG_LEGAL_ON=1),GAR_LEGAL,0))</f>
        <v/>
      </c>
      <c r="BY362" s="3">
        <f>SG_GAR*MIN(1,BX362/SG_GAR_FULL)+SG_AMPL*(AC362="sí")+SG_KMC*(AF362="sí")+SG_REV*(N(AE362)&gt;0)+SG_DEV*MIN(1,N(AG362)/SG_DEV_FULL)+SG_HIST*(W362="sí")</f>
        <v/>
      </c>
      <c r="BZ362" s="3">
        <f>IFERROR(VLOOKUP(L362,CARR_PEN_TBL,2,0),0)</f>
        <v/>
      </c>
      <c r="CA362" s="3">
        <f>W_FIAB*BL362+W_PRECIO*BM362+W_KMEDAD*BQ362+W_ANUNCIO*BR362+W_USO*BW362+W_SEGURIDAD*BY362-BZ362</f>
        <v/>
      </c>
      <c r="CB362" s="4">
        <f>IF(N(I362)&gt;0,I362,IFERROR(ROUND(_xlfn.NUMBERVALUE(LEFT(G362,FIND(" ",G362&amp;" ")-1),".")*1000,0),99999))</f>
        <v/>
      </c>
      <c r="CC362" s="3">
        <f>IF(R362="profesional",0,IF(O362&lt;CUOTA_VALOR_MAX,IF(AU362&gt;ITP_TRAMO_ALTO,SUMIFS(CF_CUOTA,CF_MAS,ITP_TRAMO_ALTO,CF_CCMIN,"&lt;="&amp;CB362,CF_CCMAX,"&gt;="&amp;CB362),IF(AU362&gt;ITP_TRAMO_BAJO,SUMIFS(CF_CUOTA,CF_MAS,ITP_TRAMO_BAJO,CF_CCMIN,"&lt;="&amp;CB362,CF_CCMAX,"&gt;="&amp;CB362),O362*ITP_TIPO)),O362*ITP_TIPO))</f>
        <v/>
      </c>
      <c r="CD362" s="4">
        <f>IF(R362="profesional",N(AK362),0)</f>
        <v/>
      </c>
      <c r="CE362" s="3">
        <f>IF(AND(R362="profesional",ISNUMBER(AK362),AL362="sí"),0,TASA_DGT)</f>
        <v/>
      </c>
      <c r="CF362" s="3">
        <f>INFORME_DGT</f>
        <v/>
      </c>
      <c r="CG362" s="4">
        <f>O362+CD362+CC362+CE362+CF362</f>
        <v/>
      </c>
      <c r="CH362" s="4">
        <f>CG362+N(BU362)</f>
        <v/>
      </c>
      <c r="CI362" s="3">
        <f>IF(CG362&lt;=TOTAL_MAX,"sí",IF(CG362&lt;=TOTAL_MAX+MARGEN_NEG,"negociar","no"))</f>
        <v/>
      </c>
      <c r="CJ362" s="4">
        <f>IF(CI362&lt;&gt;"no",COUNTIFS($CI$2:$CI$662,"&lt;&gt;no",$CA$2:$CA$662,"&gt;"&amp;CA362)+COUNTIFS($CI$2:CI362,"&lt;&gt;no",$CA$2:CA362,CA362),"")</f>
        <v/>
      </c>
    </row>
    <row r="363">
      <c r="A363" s="2" t="inlineStr">
        <is>
          <t>wallapop:1317858980</t>
        </is>
      </c>
      <c r="B363" s="2" t="inlineStr">
        <is>
          <t>wallapop</t>
        </is>
      </c>
      <c r="C363" s="2" t="inlineStr">
        <is>
          <t>https://es.wallapop.com/item/ford-ka-2015-1317858980</t>
        </is>
      </c>
      <c r="D363" s="2" t="inlineStr">
        <is>
          <t>Ford Ka 2015 solo 99000km</t>
        </is>
      </c>
      <c r="E363" s="2" t="inlineStr">
        <is>
          <t>Ford</t>
        </is>
      </c>
      <c r="F363" s="2" t="inlineStr">
        <is>
          <t>Ford Ka</t>
        </is>
      </c>
      <c r="G363" s="2" t="inlineStr">
        <is>
          <t>1.2</t>
        </is>
      </c>
      <c r="H363" s="2" t="inlineStr">
        <is>
          <t>1.2 69 Trend+ 3p S/S</t>
        </is>
      </c>
      <c r="I363" s="2" t="n"/>
      <c r="J363" s="2" t="n">
        <v>69</v>
      </c>
      <c r="K363" s="2" t="inlineStr">
        <is>
          <t>gasolina</t>
        </is>
      </c>
      <c r="L363" s="2" t="inlineStr">
        <is>
          <t>utilitario</t>
        </is>
      </c>
      <c r="M363" s="2" t="n">
        <v>2015</v>
      </c>
      <c r="N363" s="2" t="n">
        <v>99000</v>
      </c>
      <c r="O363" s="2" t="n">
        <v>4990</v>
      </c>
      <c r="P363" s="2" t="inlineStr">
        <is>
          <t>manual</t>
        </is>
      </c>
      <c r="Q363" s="2" t="inlineStr">
        <is>
          <t>no</t>
        </is>
      </c>
      <c r="R363" s="2" t="inlineStr">
        <is>
          <t>profesional</t>
        </is>
      </c>
      <c r="S363" s="2" t="inlineStr">
        <is>
          <t>Valencia (46026)</t>
        </is>
      </c>
      <c r="T363" s="2" t="inlineStr">
        <is>
          <t>2026-10-30T12:02:47</t>
        </is>
      </c>
      <c r="U363" s="2" t="n">
        <v>20</v>
      </c>
      <c r="V363" s="2" t="inlineStr">
        <is>
          <t>sí</t>
        </is>
      </c>
      <c r="W363" s="2" t="n"/>
      <c r="X363" s="2" t="n"/>
      <c r="Y363" s="2" t="n"/>
      <c r="Z363" s="2" t="n"/>
      <c r="AA363" s="2" t="n"/>
      <c r="AB363" s="2" t="n"/>
      <c r="AC363" s="2" t="n"/>
      <c r="AD363" s="2" t="n"/>
      <c r="AE363" s="2" t="n"/>
      <c r="AF363" s="2" t="n"/>
      <c r="AG363" s="2" t="n"/>
      <c r="AH363" s="2" t="n"/>
      <c r="AI363" s="2" t="n"/>
      <c r="AJ363" s="2" t="n"/>
      <c r="AK363" s="2" t="n"/>
      <c r="AL363" s="2" t="n"/>
      <c r="AM363" s="2" t="n">
        <v>2.4</v>
      </c>
      <c r="AN363" s="2" t="n">
        <v>5095</v>
      </c>
      <c r="AO363" s="2" t="n">
        <v>4</v>
      </c>
      <c r="AP363" s="2" t="inlineStr">
        <is>
          <t>modelo+año+km</t>
        </is>
      </c>
      <c r="AQ363" s="2" t="inlineStr">
        <is>
          <t>cochesnet:71847203 (https://www.coches.net/ford-ka-trend-12-duratec-autostartstop-3p-gasolina-2015-en-valencia-71847203-covo.aspx)</t>
        </is>
      </c>
      <c r="AR363"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363" s="2" t="inlineStr">
        <is>
          <t xml:space="preserve">Excelente Ford ka 2015 con solo 99.000km ITV 07/27,  Etiqueta ambiental verde “C”, aire acondicionado, dirección, start Stop,  elevalunas electrónicos, rueda de repuesto 
</t>
        </is>
      </c>
      <c r="AT363" s="2" t="inlineStr">
        <is>
          <t>https://es.wallapop.com/item/ford-ka-2015-1317858980 (__NEXT_DATA__ item) /home/user/Alopecia/buscador-coches/raw/wallapop/bd33a58f731c5f77.json</t>
        </is>
      </c>
      <c r="AU363" s="3">
        <f>MAX(ANIO_ACTUAL-M363,0)</f>
        <v/>
      </c>
      <c r="AV363" s="4">
        <f>N363/MAX(AU363,0.5)</f>
        <v/>
      </c>
      <c r="AW363" s="4">
        <f>F363</f>
        <v/>
      </c>
      <c r="AX363" s="3">
        <f>AW363&amp;"|"&amp;INT(M363/SEG_ANIO)*SEG_ANIO</f>
        <v/>
      </c>
      <c r="AY363" s="3">
        <f>AX363&amp;"|"&amp;INT(N363/SEG_KM)*SEG_KM</f>
        <v/>
      </c>
      <c r="AZ363" s="4">
        <f>COUNTIF($AW$2:$AW$662,AW363)</f>
        <v/>
      </c>
      <c r="BA363" s="4">
        <f>COUNTIF($AX$2:$AX$662,AX363)</f>
        <v/>
      </c>
      <c r="BB363" s="4">
        <f>COUNTIF($AY$2:$AY$662,AY363)</f>
        <v/>
      </c>
      <c r="BC363" s="3">
        <f t="array" ref="BC363">IF(N(AO363)&gt;=MIN_N,AN363,IF(BB363&gt;=MIN_N,MEDIAN(IF($AY$2:$AY$662=AY363,$O$2:$O$662)),IF(BA363&gt;=MIN_N,MEDIAN(IF($AX$2:$AX$662=AX363,$O$2:$O$662)),MEDIAN(IF($AW$2:$AW$662=AW363,$O$2:$O$662)))))</f>
        <v/>
      </c>
      <c r="BD363" s="3">
        <f>IF(N(AO363)&gt;=MIN_N,"mercado "&amp;AP363,IF(BB363&gt;=MIN_N,"modelo+año+km",IF(BA363&gt;=MIN_N,"modelo+año","modelo")))</f>
        <v/>
      </c>
      <c r="BE363" s="4">
        <f>(BC363-O363)/BC363</f>
        <v/>
      </c>
      <c r="BF363" s="3">
        <f>IF(OR(K363="hibrido",K363="glp"),"ECO",IF(K363="electrico","CERO",IF(K363="gasolina",IF(M363&gt;=GAS_C,"C",IF(M363&gt;=GAS_B,"B","A")),IF(K363="diesel",IF(M363&gt;=DIE_C,"C",IF(M363&gt;=DIE_B,"B","A")),""))))</f>
        <v/>
      </c>
      <c r="BG363" s="3">
        <f>IFERROR(VLOOKUP(F363,MOD_TBL,11,0),IFERROR(VLOOKUP(E363,OCU_TBL,2,0),NEUTRO))</f>
        <v/>
      </c>
      <c r="BH363" s="3">
        <f>SUMIFS(MOT_AJUSTE,MOT_MOTOR,G363,MOT_MARCA,E363,MOT_DESDE,"&lt;="&amp;M363,MOT_HASTA,"&gt;="&amp;M363)+SUMIFS(MOT_AJUSTE,MOT_MOTOR,G363,MOT_MARCA,"(todas)",MOT_DESDE,"&lt;="&amp;M363,MOT_HASTA,"&gt;="&amp;M363)</f>
        <v/>
      </c>
      <c r="BI363" s="3">
        <f>SUMIFS(COMB_AJUSTE,COMB_COMB,K363)</f>
        <v/>
      </c>
      <c r="BJ363" s="3">
        <f>COUNTIFS(MOT_MOTOR,G363,MOT_MARCA,E363,MOT_DESDE,"&lt;="&amp;M363,MOT_HASTA,"&gt;="&amp;M363)+COUNTIFS(MOT_MOTOR,G363,MOT_MARCA,"(todas)",MOT_DESDE,"&lt;="&amp;M363,MOT_HASTA,"&gt;="&amp;M363)</f>
        <v/>
      </c>
      <c r="BK363" s="3">
        <f>IF(AND(K363="diesel",BJ363=0),MIN(BG363,NEUTRO),BG363)</f>
        <v/>
      </c>
      <c r="BL363" s="4">
        <f>MAX(0,MIN(100,BK363+BH363+BI363))</f>
        <v/>
      </c>
      <c r="BM363" s="3">
        <f>MAX(0,MIN(100,50+BE363*PRECIO_PEND))</f>
        <v/>
      </c>
      <c r="BN363" s="3">
        <f>MAX(0,100*(1-N363/KM_MAX))</f>
        <v/>
      </c>
      <c r="BO363" s="3">
        <f>IF(AV363&lt;KMA_SOSP,IF(AA363="sí",100,KMA_PEN),IF(AV363&lt;=KMA_IDEAL_MAX,100,MAX(0,100*(KMA_CERO-AV363)/(KMA_CERO-KMA_IDEAL_MAX))))</f>
        <v/>
      </c>
      <c r="BP363" s="3">
        <f>MAX(0,MIN(100,100*(M363-ANIO_MIN)/(ANIO_ACTUAL-ANIO_MIN)))</f>
        <v/>
      </c>
      <c r="BQ363" s="3">
        <f>W_KMT*BN363+W_KMA*BO363+W_EDAD*BP363</f>
        <v/>
      </c>
      <c r="BR363" s="3">
        <f>P_ITV*(V363="sí")+P_LIBRO*(W363="sí")+P_CORREA*(X363="sí")+P_PROP*(Y363=1)+P_GAR*(Z363="sí")+P_FOTOS*MIN(1,N(U363)/FOTOS_OBJ)</f>
        <v/>
      </c>
      <c r="BS363" s="3">
        <f>IFERROR(VLOOKUP(BF363,ETQ_TBL,2,0),NEUTRO)</f>
        <v/>
      </c>
      <c r="BT363" s="3">
        <f>NEUTRO</f>
        <v/>
      </c>
      <c r="BU363" s="3">
        <f>IFERROR(VLOOKUP(L363,SEGURO_TBL,3,0),"")</f>
        <v/>
      </c>
      <c r="BV363" s="3">
        <f>IF(BU363="",NEUTRO,MAX(0,MIN(100,100*(SEG_REF_MAX-BU363)/(SEG_REF_MAX-SEG_REF_MIN))))</f>
        <v/>
      </c>
      <c r="BW363" s="3">
        <f>W_ET*BS363+W_CONS*BT363+W_SEG*BV363</f>
        <v/>
      </c>
      <c r="BX363" s="3">
        <f>IF(N(AB363)&gt;0,AB363,IF(AND(R363="profesional",SG_LEGAL_ON=1),GAR_LEGAL,0))</f>
        <v/>
      </c>
      <c r="BY363" s="3">
        <f>SG_GAR*MIN(1,BX363/SG_GAR_FULL)+SG_AMPL*(AC363="sí")+SG_KMC*(AF363="sí")+SG_REV*(N(AE363)&gt;0)+SG_DEV*MIN(1,N(AG363)/SG_DEV_FULL)+SG_HIST*(W363="sí")</f>
        <v/>
      </c>
      <c r="BZ363" s="3">
        <f>IFERROR(VLOOKUP(L363,CARR_PEN_TBL,2,0),0)</f>
        <v/>
      </c>
      <c r="CA363" s="3">
        <f>W_FIAB*BL363+W_PRECIO*BM363+W_KMEDAD*BQ363+W_ANUNCIO*BR363+W_USO*BW363+W_SEGURIDAD*BY363-BZ363</f>
        <v/>
      </c>
      <c r="CB363" s="4">
        <f>IF(N(I363)&gt;0,I363,IFERROR(ROUND(_xlfn.NUMBERVALUE(LEFT(G363,FIND(" ",G363&amp;" ")-1),".")*1000,0),99999))</f>
        <v/>
      </c>
      <c r="CC363" s="3">
        <f>IF(R363="profesional",0,IF(O363&lt;CUOTA_VALOR_MAX,IF(AU363&gt;ITP_TRAMO_ALTO,SUMIFS(CF_CUOTA,CF_MAS,ITP_TRAMO_ALTO,CF_CCMIN,"&lt;="&amp;CB363,CF_CCMAX,"&gt;="&amp;CB363),IF(AU363&gt;ITP_TRAMO_BAJO,SUMIFS(CF_CUOTA,CF_MAS,ITP_TRAMO_BAJO,CF_CCMIN,"&lt;="&amp;CB363,CF_CCMAX,"&gt;="&amp;CB363),O363*ITP_TIPO)),O363*ITP_TIPO))</f>
        <v/>
      </c>
      <c r="CD363" s="4">
        <f>IF(R363="profesional",N(AK363),0)</f>
        <v/>
      </c>
      <c r="CE363" s="3">
        <f>IF(AND(R363="profesional",ISNUMBER(AK363),AL363="sí"),0,TASA_DGT)</f>
        <v/>
      </c>
      <c r="CF363" s="3">
        <f>INFORME_DGT</f>
        <v/>
      </c>
      <c r="CG363" s="4">
        <f>O363+CD363+CC363+CE363+CF363</f>
        <v/>
      </c>
      <c r="CH363" s="4">
        <f>CG363+N(BU363)</f>
        <v/>
      </c>
      <c r="CI363" s="3">
        <f>IF(CG363&lt;=TOTAL_MAX,"sí",IF(CG363&lt;=TOTAL_MAX+MARGEN_NEG,"negociar","no"))</f>
        <v/>
      </c>
      <c r="CJ363" s="4">
        <f>IF(CI363&lt;&gt;"no",COUNTIFS($CI$2:$CI$662,"&lt;&gt;no",$CA$2:$CA$662,"&gt;"&amp;CA363)+COUNTIFS($CI$2:CI363,"&lt;&gt;no",$CA$2:CA363,CA363),"")</f>
        <v/>
      </c>
    </row>
    <row r="364">
      <c r="A364" s="2" t="inlineStr">
        <is>
          <t>wallapop:1279395818</t>
        </is>
      </c>
      <c r="B364" s="2" t="inlineStr">
        <is>
          <t>wallapop</t>
        </is>
      </c>
      <c r="C364" s="2" t="inlineStr">
        <is>
          <t>https://es.wallapop.com/item/ford-ka-2015-1279395818</t>
        </is>
      </c>
      <c r="D364" s="2" t="inlineStr">
        <is>
          <t>Ford Ka 2015</t>
        </is>
      </c>
      <c r="E364" s="2" t="inlineStr">
        <is>
          <t>Ford</t>
        </is>
      </c>
      <c r="F364" s="2" t="inlineStr">
        <is>
          <t>Ford Ka</t>
        </is>
      </c>
      <c r="G364" s="2" t="inlineStr">
        <is>
          <t>1.2</t>
        </is>
      </c>
      <c r="H364" s="2" t="inlineStr">
        <is>
          <t>1.2 69 Black &amp; White Edition 3p S/S</t>
        </is>
      </c>
      <c r="I364" s="2" t="n"/>
      <c r="J364" s="2" t="n">
        <v>69</v>
      </c>
      <c r="K364" s="2" t="inlineStr">
        <is>
          <t>gasolina</t>
        </is>
      </c>
      <c r="L364" s="2" t="inlineStr">
        <is>
          <t>utilitario</t>
        </is>
      </c>
      <c r="M364" s="2" t="n">
        <v>2015</v>
      </c>
      <c r="N364" s="2" t="n">
        <v>89000</v>
      </c>
      <c r="O364" s="2" t="n">
        <v>5200</v>
      </c>
      <c r="P364" s="2" t="inlineStr">
        <is>
          <t>manual</t>
        </is>
      </c>
      <c r="Q364" s="2" t="inlineStr">
        <is>
          <t>no</t>
        </is>
      </c>
      <c r="R364" s="2" t="inlineStr">
        <is>
          <t>particular</t>
        </is>
      </c>
      <c r="S364" s="2" t="inlineStr">
        <is>
          <t>Valencia (46008)</t>
        </is>
      </c>
      <c r="T364" s="2" t="inlineStr">
        <is>
          <t>2026-10-16T11:10:12</t>
        </is>
      </c>
      <c r="U364" s="2" t="n">
        <v>10</v>
      </c>
      <c r="V364" s="2" t="inlineStr">
        <is>
          <t>sí</t>
        </is>
      </c>
      <c r="W364" s="2" t="n"/>
      <c r="X364" s="2" t="n"/>
      <c r="Y364" s="2" t="n"/>
      <c r="Z364" s="2" t="n"/>
      <c r="AA364" s="2" t="n"/>
      <c r="AB364" s="2" t="n"/>
      <c r="AC364" s="2" t="n"/>
      <c r="AD364" s="2" t="n"/>
      <c r="AE364" s="2" t="n"/>
      <c r="AF364" s="2" t="n"/>
      <c r="AG364" s="2" t="n"/>
      <c r="AH364" s="2" t="n"/>
      <c r="AI364" s="2" t="n"/>
      <c r="AJ364" s="2" t="n"/>
      <c r="AK364" s="2" t="n"/>
      <c r="AL364" s="2" t="n"/>
      <c r="AM364" s="2" t="n">
        <v>1.3</v>
      </c>
      <c r="AN364" s="2" t="n">
        <v>5095</v>
      </c>
      <c r="AO364" s="2" t="n">
        <v>4</v>
      </c>
      <c r="AP364" s="2" t="inlineStr">
        <is>
          <t>modelo+año+km</t>
        </is>
      </c>
      <c r="AQ364" s="2" t="n"/>
      <c r="AR364" s="2" t="inlineStr">
        <is>
          <t>cuota fija ITP: &gt;5 y &lt;=12 años, hasta 1.500 cc; fiabilidad del modelo PENDIENTE de fuente (puntuación neutra)</t>
        </is>
      </c>
      <c r="AS364" s="2" t="inlineStr">
        <is>
          <t>Ford ka, de diciembre de 2015, ITV en vigor, ruedas nuevas, auto STAR STOP, ayuda en cuestas, perfecto estado.</t>
        </is>
      </c>
      <c r="AT364" s="2" t="inlineStr">
        <is>
          <t>https://es.wallapop.com/item/ford-ka-2015-1279395818 (__NEXT_DATA__ item) /home/user/Alopecia/buscador-coches/raw/wallapop/69375b97484bdf57.json</t>
        </is>
      </c>
      <c r="AU364" s="3">
        <f>MAX(ANIO_ACTUAL-M364,0)</f>
        <v/>
      </c>
      <c r="AV364" s="4">
        <f>N364/MAX(AU364,0.5)</f>
        <v/>
      </c>
      <c r="AW364" s="4">
        <f>F364</f>
        <v/>
      </c>
      <c r="AX364" s="3">
        <f>AW364&amp;"|"&amp;INT(M364/SEG_ANIO)*SEG_ANIO</f>
        <v/>
      </c>
      <c r="AY364" s="3">
        <f>AX364&amp;"|"&amp;INT(N364/SEG_KM)*SEG_KM</f>
        <v/>
      </c>
      <c r="AZ364" s="4">
        <f>COUNTIF($AW$2:$AW$662,AW364)</f>
        <v/>
      </c>
      <c r="BA364" s="4">
        <f>COUNTIF($AX$2:$AX$662,AX364)</f>
        <v/>
      </c>
      <c r="BB364" s="4">
        <f>COUNTIF($AY$2:$AY$662,AY364)</f>
        <v/>
      </c>
      <c r="BC364" s="3">
        <f t="array" ref="BC364">IF(N(AO364)&gt;=MIN_N,AN364,IF(BB364&gt;=MIN_N,MEDIAN(IF($AY$2:$AY$662=AY364,$O$2:$O$662)),IF(BA364&gt;=MIN_N,MEDIAN(IF($AX$2:$AX$662=AX364,$O$2:$O$662)),MEDIAN(IF($AW$2:$AW$662=AW364,$O$2:$O$662)))))</f>
        <v/>
      </c>
      <c r="BD364" s="3">
        <f>IF(N(AO364)&gt;=MIN_N,"mercado "&amp;AP364,IF(BB364&gt;=MIN_N,"modelo+año+km",IF(BA364&gt;=MIN_N,"modelo+año","modelo")))</f>
        <v/>
      </c>
      <c r="BE364" s="4">
        <f>(BC364-O364)/BC364</f>
        <v/>
      </c>
      <c r="BF364" s="3">
        <f>IF(OR(K364="hibrido",K364="glp"),"ECO",IF(K364="electrico","CERO",IF(K364="gasolina",IF(M364&gt;=GAS_C,"C",IF(M364&gt;=GAS_B,"B","A")),IF(K364="diesel",IF(M364&gt;=DIE_C,"C",IF(M364&gt;=DIE_B,"B","A")),""))))</f>
        <v/>
      </c>
      <c r="BG364" s="3">
        <f>IFERROR(VLOOKUP(F364,MOD_TBL,11,0),IFERROR(VLOOKUP(E364,OCU_TBL,2,0),NEUTRO))</f>
        <v/>
      </c>
      <c r="BH364" s="3">
        <f>SUMIFS(MOT_AJUSTE,MOT_MOTOR,G364,MOT_MARCA,E364,MOT_DESDE,"&lt;="&amp;M364,MOT_HASTA,"&gt;="&amp;M364)+SUMIFS(MOT_AJUSTE,MOT_MOTOR,G364,MOT_MARCA,"(todas)",MOT_DESDE,"&lt;="&amp;M364,MOT_HASTA,"&gt;="&amp;M364)</f>
        <v/>
      </c>
      <c r="BI364" s="3">
        <f>SUMIFS(COMB_AJUSTE,COMB_COMB,K364)</f>
        <v/>
      </c>
      <c r="BJ364" s="3">
        <f>COUNTIFS(MOT_MOTOR,G364,MOT_MARCA,E364,MOT_DESDE,"&lt;="&amp;M364,MOT_HASTA,"&gt;="&amp;M364)+COUNTIFS(MOT_MOTOR,G364,MOT_MARCA,"(todas)",MOT_DESDE,"&lt;="&amp;M364,MOT_HASTA,"&gt;="&amp;M364)</f>
        <v/>
      </c>
      <c r="BK364" s="3">
        <f>IF(AND(K364="diesel",BJ364=0),MIN(BG364,NEUTRO),BG364)</f>
        <v/>
      </c>
      <c r="BL364" s="4">
        <f>MAX(0,MIN(100,BK364+BH364+BI364))</f>
        <v/>
      </c>
      <c r="BM364" s="3">
        <f>MAX(0,MIN(100,50+BE364*PRECIO_PEND))</f>
        <v/>
      </c>
      <c r="BN364" s="3">
        <f>MAX(0,100*(1-N364/KM_MAX))</f>
        <v/>
      </c>
      <c r="BO364" s="3">
        <f>IF(AV364&lt;KMA_SOSP,IF(AA364="sí",100,KMA_PEN),IF(AV364&lt;=KMA_IDEAL_MAX,100,MAX(0,100*(KMA_CERO-AV364)/(KMA_CERO-KMA_IDEAL_MAX))))</f>
        <v/>
      </c>
      <c r="BP364" s="3">
        <f>MAX(0,MIN(100,100*(M364-ANIO_MIN)/(ANIO_ACTUAL-ANIO_MIN)))</f>
        <v/>
      </c>
      <c r="BQ364" s="3">
        <f>W_KMT*BN364+W_KMA*BO364+W_EDAD*BP364</f>
        <v/>
      </c>
      <c r="BR364" s="3">
        <f>P_ITV*(V364="sí")+P_LIBRO*(W364="sí")+P_CORREA*(X364="sí")+P_PROP*(Y364=1)+P_GAR*(Z364="sí")+P_FOTOS*MIN(1,N(U364)/FOTOS_OBJ)</f>
        <v/>
      </c>
      <c r="BS364" s="3">
        <f>IFERROR(VLOOKUP(BF364,ETQ_TBL,2,0),NEUTRO)</f>
        <v/>
      </c>
      <c r="BT364" s="3">
        <f>NEUTRO</f>
        <v/>
      </c>
      <c r="BU364" s="3">
        <f>IFERROR(VLOOKUP(L364,SEGURO_TBL,3,0),"")</f>
        <v/>
      </c>
      <c r="BV364" s="3">
        <f>IF(BU364="",NEUTRO,MAX(0,MIN(100,100*(SEG_REF_MAX-BU364)/(SEG_REF_MAX-SEG_REF_MIN))))</f>
        <v/>
      </c>
      <c r="BW364" s="3">
        <f>W_ET*BS364+W_CONS*BT364+W_SEG*BV364</f>
        <v/>
      </c>
      <c r="BX364" s="3">
        <f>IF(N(AB364)&gt;0,AB364,IF(AND(R364="profesional",SG_LEGAL_ON=1),GAR_LEGAL,0))</f>
        <v/>
      </c>
      <c r="BY364" s="3">
        <f>SG_GAR*MIN(1,BX364/SG_GAR_FULL)+SG_AMPL*(AC364="sí")+SG_KMC*(AF364="sí")+SG_REV*(N(AE364)&gt;0)+SG_DEV*MIN(1,N(AG364)/SG_DEV_FULL)+SG_HIST*(W364="sí")</f>
        <v/>
      </c>
      <c r="BZ364" s="3">
        <f>IFERROR(VLOOKUP(L364,CARR_PEN_TBL,2,0),0)</f>
        <v/>
      </c>
      <c r="CA364" s="3">
        <f>W_FIAB*BL364+W_PRECIO*BM364+W_KMEDAD*BQ364+W_ANUNCIO*BR364+W_USO*BW364+W_SEGURIDAD*BY364-BZ364</f>
        <v/>
      </c>
      <c r="CB364" s="4">
        <f>IF(N(I364)&gt;0,I364,IFERROR(ROUND(_xlfn.NUMBERVALUE(LEFT(G364,FIND(" ",G364&amp;" ")-1),".")*1000,0),99999))</f>
        <v/>
      </c>
      <c r="CC364" s="3">
        <f>IF(R364="profesional",0,IF(O364&lt;CUOTA_VALOR_MAX,IF(AU364&gt;ITP_TRAMO_ALTO,SUMIFS(CF_CUOTA,CF_MAS,ITP_TRAMO_ALTO,CF_CCMIN,"&lt;="&amp;CB364,CF_CCMAX,"&gt;="&amp;CB364),IF(AU364&gt;ITP_TRAMO_BAJO,SUMIFS(CF_CUOTA,CF_MAS,ITP_TRAMO_BAJO,CF_CCMIN,"&lt;="&amp;CB364,CF_CCMAX,"&gt;="&amp;CB364),O364*ITP_TIPO)),O364*ITP_TIPO))</f>
        <v/>
      </c>
      <c r="CD364" s="4">
        <f>IF(R364="profesional",N(AK364),0)</f>
        <v/>
      </c>
      <c r="CE364" s="3">
        <f>IF(AND(R364="profesional",ISNUMBER(AK364),AL364="sí"),0,TASA_DGT)</f>
        <v/>
      </c>
      <c r="CF364" s="3">
        <f>INFORME_DGT</f>
        <v/>
      </c>
      <c r="CG364" s="4">
        <f>O364+CD364+CC364+CE364+CF364</f>
        <v/>
      </c>
      <c r="CH364" s="4">
        <f>CG364+N(BU364)</f>
        <v/>
      </c>
      <c r="CI364" s="3">
        <f>IF(CG364&lt;=TOTAL_MAX,"sí",IF(CG364&lt;=TOTAL_MAX+MARGEN_NEG,"negociar","no"))</f>
        <v/>
      </c>
      <c r="CJ364" s="4">
        <f>IF(CI364&lt;&gt;"no",COUNTIFS($CI$2:$CI$662,"&lt;&gt;no",$CA$2:$CA$662,"&gt;"&amp;CA364)+COUNTIFS($CI$2:CI364,"&lt;&gt;no",$CA$2:CA364,CA364),"")</f>
        <v/>
      </c>
    </row>
    <row r="365">
      <c r="A365" s="2" t="inlineStr">
        <is>
          <t>wallapop:1318538733</t>
        </is>
      </c>
      <c r="B365" s="2" t="inlineStr">
        <is>
          <t>wallapop</t>
        </is>
      </c>
      <c r="C365" s="2" t="inlineStr">
        <is>
          <t>https://es.wallapop.com/item/ford-fiesta-2013-1318538733</t>
        </is>
      </c>
      <c r="D365" s="2" t="inlineStr">
        <is>
          <t>Ford Fiesta 2013</t>
        </is>
      </c>
      <c r="E365" s="2" t="inlineStr">
        <is>
          <t>Ford</t>
        </is>
      </c>
      <c r="F365" s="2" t="inlineStr">
        <is>
          <t>Ford Fiesta</t>
        </is>
      </c>
      <c r="G365" s="2" t="inlineStr">
        <is>
          <t>1.6 TDCi</t>
        </is>
      </c>
      <c r="H365" s="2" t="inlineStr">
        <is>
          <t>1.6 TDCi 95 Trend 5p</t>
        </is>
      </c>
      <c r="I365" s="2" t="n"/>
      <c r="J365" s="2" t="n">
        <v>95</v>
      </c>
      <c r="K365" s="2" t="inlineStr">
        <is>
          <t>diesel</t>
        </is>
      </c>
      <c r="L365" s="2" t="inlineStr">
        <is>
          <t>utilitario</t>
        </is>
      </c>
      <c r="M365" s="2" t="n">
        <v>2013</v>
      </c>
      <c r="N365" s="2" t="n">
        <v>189000</v>
      </c>
      <c r="O365" s="2" t="n">
        <v>4990</v>
      </c>
      <c r="P365" s="2" t="inlineStr">
        <is>
          <t>manual</t>
        </is>
      </c>
      <c r="Q365" s="2" t="inlineStr">
        <is>
          <t>no</t>
        </is>
      </c>
      <c r="R365" s="2" t="inlineStr">
        <is>
          <t>profesional</t>
        </is>
      </c>
      <c r="S365" s="2" t="inlineStr">
        <is>
          <t>Valencia (46026)</t>
        </is>
      </c>
      <c r="T365" s="2" t="inlineStr">
        <is>
          <t>2026-10-30T22:07:39</t>
        </is>
      </c>
      <c r="U365" s="2" t="n">
        <v>17</v>
      </c>
      <c r="V365" s="2" t="n"/>
      <c r="W365" s="2" t="n"/>
      <c r="X365" s="2" t="n"/>
      <c r="Y365" s="2" t="n"/>
      <c r="Z365" s="2" t="n"/>
      <c r="AA365" s="2" t="n"/>
      <c r="AB365" s="2" t="n"/>
      <c r="AC365" s="2" t="n"/>
      <c r="AD365" s="2" t="n"/>
      <c r="AE365" s="2" t="n"/>
      <c r="AF365" s="2" t="n"/>
      <c r="AG365" s="2" t="n"/>
      <c r="AH365" s="2" t="n"/>
      <c r="AI365" s="2" t="n"/>
      <c r="AJ365" s="2" t="n"/>
      <c r="AK365" s="2" t="n"/>
      <c r="AL365" s="2" t="n"/>
      <c r="AM365" s="2" t="n">
        <v>2.4</v>
      </c>
      <c r="AN365" s="2" t="n">
        <v>6490</v>
      </c>
      <c r="AO365" s="2" t="n">
        <v>13</v>
      </c>
      <c r="AP365" s="2" t="inlineStr">
        <is>
          <t>modelo+año+km</t>
        </is>
      </c>
      <c r="AQ365" s="2" t="inlineStr">
        <is>
          <t>cochesnet:71869890 (https://www.coches.net/ford-fiesta-16-tdci-95cv-trend-5p-5p-diesel-2013-en-valencia-71869890-covo.aspx)</t>
        </is>
      </c>
      <c r="AR365" s="2" t="inlineStr">
        <is>
          <t>por encima del presupuesto (5054 €), negociar; vendedor profesional: sin ITP (operación con IVA/REBU, confirmar en factura); gastos de gestión del vendedor no indicados: se suma la tasa DGT; preguntar el precio final</t>
        </is>
      </c>
      <c r="AS365" s="2" t="inlineStr">
        <is>
          <t xml:space="preserve">Excelente Ford Fiesta 2013 1.6 Diesel , ITV vigente, etiqueta ambiental B, aire acondicionado, elevalunas electrónicos,     Espejos electrónicos, Ordenador a bordo, volante y asientos regulables, rueda de repuesto sin uso.. EXCELENTE ESTADO GENERAL </t>
        </is>
      </c>
      <c r="AT365" s="2" t="inlineStr">
        <is>
          <t>https://es.wallapop.com/item/ford-fiesta-2013-1318538733 (__NEXT_DATA__ item) /home/user/Alopecia/buscador-coches/raw/wallapop/d36a1647ef5d250c.json</t>
        </is>
      </c>
      <c r="AU365" s="3">
        <f>MAX(ANIO_ACTUAL-M365,0)</f>
        <v/>
      </c>
      <c r="AV365" s="4">
        <f>N365/MAX(AU365,0.5)</f>
        <v/>
      </c>
      <c r="AW365" s="4">
        <f>F365</f>
        <v/>
      </c>
      <c r="AX365" s="3">
        <f>AW365&amp;"|"&amp;INT(M365/SEG_ANIO)*SEG_ANIO</f>
        <v/>
      </c>
      <c r="AY365" s="3">
        <f>AX365&amp;"|"&amp;INT(N365/SEG_KM)*SEG_KM</f>
        <v/>
      </c>
      <c r="AZ365" s="4">
        <f>COUNTIF($AW$2:$AW$662,AW365)</f>
        <v/>
      </c>
      <c r="BA365" s="4">
        <f>COUNTIF($AX$2:$AX$662,AX365)</f>
        <v/>
      </c>
      <c r="BB365" s="4">
        <f>COUNTIF($AY$2:$AY$662,AY365)</f>
        <v/>
      </c>
      <c r="BC365" s="3">
        <f t="array" ref="BC365">IF(N(AO365)&gt;=MIN_N,AN365,IF(BB365&gt;=MIN_N,MEDIAN(IF($AY$2:$AY$662=AY365,$O$2:$O$662)),IF(BA365&gt;=MIN_N,MEDIAN(IF($AX$2:$AX$662=AX365,$O$2:$O$662)),MEDIAN(IF($AW$2:$AW$662=AW365,$O$2:$O$662)))))</f>
        <v/>
      </c>
      <c r="BD365" s="3">
        <f>IF(N(AO365)&gt;=MIN_N,"mercado "&amp;AP365,IF(BB365&gt;=MIN_N,"modelo+año+km",IF(BA365&gt;=MIN_N,"modelo+año","modelo")))</f>
        <v/>
      </c>
      <c r="BE365" s="4">
        <f>(BC365-O365)/BC365</f>
        <v/>
      </c>
      <c r="BF365" s="3">
        <f>IF(OR(K365="hibrido",K365="glp"),"ECO",IF(K365="electrico","CERO",IF(K365="gasolina",IF(M365&gt;=GAS_C,"C",IF(M365&gt;=GAS_B,"B","A")),IF(K365="diesel",IF(M365&gt;=DIE_C,"C",IF(M365&gt;=DIE_B,"B","A")),""))))</f>
        <v/>
      </c>
      <c r="BG365" s="3">
        <f>IFERROR(VLOOKUP(F365,MOD_TBL,11,0),IFERROR(VLOOKUP(E365,OCU_TBL,2,0),NEUTRO))</f>
        <v/>
      </c>
      <c r="BH365" s="3">
        <f>SUMIFS(MOT_AJUSTE,MOT_MOTOR,G365,MOT_MARCA,E365,MOT_DESDE,"&lt;="&amp;M365,MOT_HASTA,"&gt;="&amp;M365)+SUMIFS(MOT_AJUSTE,MOT_MOTOR,G365,MOT_MARCA,"(todas)",MOT_DESDE,"&lt;="&amp;M365,MOT_HASTA,"&gt;="&amp;M365)</f>
        <v/>
      </c>
      <c r="BI365" s="3">
        <f>SUMIFS(COMB_AJUSTE,COMB_COMB,K365)</f>
        <v/>
      </c>
      <c r="BJ365" s="3">
        <f>COUNTIFS(MOT_MOTOR,G365,MOT_MARCA,E365,MOT_DESDE,"&lt;="&amp;M365,MOT_HASTA,"&gt;="&amp;M365)+COUNTIFS(MOT_MOTOR,G365,MOT_MARCA,"(todas)",MOT_DESDE,"&lt;="&amp;M365,MOT_HASTA,"&gt;="&amp;M365)</f>
        <v/>
      </c>
      <c r="BK365" s="3">
        <f>IF(AND(K365="diesel",BJ365=0),MIN(BG365,NEUTRO),BG365)</f>
        <v/>
      </c>
      <c r="BL365" s="4">
        <f>MAX(0,MIN(100,BK365+BH365+BI365))</f>
        <v/>
      </c>
      <c r="BM365" s="3">
        <f>MAX(0,MIN(100,50+BE365*PRECIO_PEND))</f>
        <v/>
      </c>
      <c r="BN365" s="3">
        <f>MAX(0,100*(1-N365/KM_MAX))</f>
        <v/>
      </c>
      <c r="BO365" s="3">
        <f>IF(AV365&lt;KMA_SOSP,IF(AA365="sí",100,KMA_PEN),IF(AV365&lt;=KMA_IDEAL_MAX,100,MAX(0,100*(KMA_CERO-AV365)/(KMA_CERO-KMA_IDEAL_MAX))))</f>
        <v/>
      </c>
      <c r="BP365" s="3">
        <f>MAX(0,MIN(100,100*(M365-ANIO_MIN)/(ANIO_ACTUAL-ANIO_MIN)))</f>
        <v/>
      </c>
      <c r="BQ365" s="3">
        <f>W_KMT*BN365+W_KMA*BO365+W_EDAD*BP365</f>
        <v/>
      </c>
      <c r="BR365" s="3">
        <f>P_ITV*(V365="sí")+P_LIBRO*(W365="sí")+P_CORREA*(X365="sí")+P_PROP*(Y365=1)+P_GAR*(Z365="sí")+P_FOTOS*MIN(1,N(U365)/FOTOS_OBJ)</f>
        <v/>
      </c>
      <c r="BS365" s="3">
        <f>IFERROR(VLOOKUP(BF365,ETQ_TBL,2,0),NEUTRO)</f>
        <v/>
      </c>
      <c r="BT365" s="3">
        <f>NEUTRO</f>
        <v/>
      </c>
      <c r="BU365" s="3">
        <f>IFERROR(VLOOKUP(L365,SEGURO_TBL,3,0),"")</f>
        <v/>
      </c>
      <c r="BV365" s="3">
        <f>IF(BU365="",NEUTRO,MAX(0,MIN(100,100*(SEG_REF_MAX-BU365)/(SEG_REF_MAX-SEG_REF_MIN))))</f>
        <v/>
      </c>
      <c r="BW365" s="3">
        <f>W_ET*BS365+W_CONS*BT365+W_SEG*BV365</f>
        <v/>
      </c>
      <c r="BX365" s="3">
        <f>IF(N(AB365)&gt;0,AB365,IF(AND(R365="profesional",SG_LEGAL_ON=1),GAR_LEGAL,0))</f>
        <v/>
      </c>
      <c r="BY365" s="3">
        <f>SG_GAR*MIN(1,BX365/SG_GAR_FULL)+SG_AMPL*(AC365="sí")+SG_KMC*(AF365="sí")+SG_REV*(N(AE365)&gt;0)+SG_DEV*MIN(1,N(AG365)/SG_DEV_FULL)+SG_HIST*(W365="sí")</f>
        <v/>
      </c>
      <c r="BZ365" s="3">
        <f>IFERROR(VLOOKUP(L365,CARR_PEN_TBL,2,0),0)</f>
        <v/>
      </c>
      <c r="CA365" s="3">
        <f>W_FIAB*BL365+W_PRECIO*BM365+W_KMEDAD*BQ365+W_ANUNCIO*BR365+W_USO*BW365+W_SEGURIDAD*BY365-BZ365</f>
        <v/>
      </c>
      <c r="CB365" s="4">
        <f>IF(N(I365)&gt;0,I365,IFERROR(ROUND(_xlfn.NUMBERVALUE(LEFT(G365,FIND(" ",G365&amp;" ")-1),".")*1000,0),99999))</f>
        <v/>
      </c>
      <c r="CC365" s="3">
        <f>IF(R365="profesional",0,IF(O365&lt;CUOTA_VALOR_MAX,IF(AU365&gt;ITP_TRAMO_ALTO,SUMIFS(CF_CUOTA,CF_MAS,ITP_TRAMO_ALTO,CF_CCMIN,"&lt;="&amp;CB365,CF_CCMAX,"&gt;="&amp;CB365),IF(AU365&gt;ITP_TRAMO_BAJO,SUMIFS(CF_CUOTA,CF_MAS,ITP_TRAMO_BAJO,CF_CCMIN,"&lt;="&amp;CB365,CF_CCMAX,"&gt;="&amp;CB365),O365*ITP_TIPO)),O365*ITP_TIPO))</f>
        <v/>
      </c>
      <c r="CD365" s="4">
        <f>IF(R365="profesional",N(AK365),0)</f>
        <v/>
      </c>
      <c r="CE365" s="3">
        <f>IF(AND(R365="profesional",ISNUMBER(AK365),AL365="sí"),0,TASA_DGT)</f>
        <v/>
      </c>
      <c r="CF365" s="3">
        <f>INFORME_DGT</f>
        <v/>
      </c>
      <c r="CG365" s="4">
        <f>O365+CD365+CC365+CE365+CF365</f>
        <v/>
      </c>
      <c r="CH365" s="4">
        <f>CG365+N(BU365)</f>
        <v/>
      </c>
      <c r="CI365" s="3">
        <f>IF(CG365&lt;=TOTAL_MAX,"sí",IF(CG365&lt;=TOTAL_MAX+MARGEN_NEG,"negociar","no"))</f>
        <v/>
      </c>
      <c r="CJ365" s="4">
        <f>IF(CI365&lt;&gt;"no",COUNTIFS($CI$2:$CI$662,"&lt;&gt;no",$CA$2:$CA$662,"&gt;"&amp;CA365)+COUNTIFS($CI$2:CI365,"&lt;&gt;no",$CA$2:CA365,CA365),"")</f>
        <v/>
      </c>
    </row>
    <row r="366">
      <c r="A366" s="2" t="inlineStr">
        <is>
          <t>wallapop:1313786761</t>
        </is>
      </c>
      <c r="B366" s="2" t="inlineStr">
        <is>
          <t>wallapop</t>
        </is>
      </c>
      <c r="C366" s="2" t="inlineStr">
        <is>
          <t>https://es.wallapop.com/item/ford-fiesta-1-4-96-cv-manual-gasolina-1313786761</t>
        </is>
      </c>
      <c r="D366" s="2" t="inlineStr">
        <is>
          <t>Ford Fiesta 1.4 96 Cv Manual Gasolina</t>
        </is>
      </c>
      <c r="E366" s="2" t="inlineStr">
        <is>
          <t>Ford</t>
        </is>
      </c>
      <c r="F366" s="2" t="inlineStr">
        <is>
          <t>Ford Fiesta</t>
        </is>
      </c>
      <c r="G366" s="2" t="inlineStr">
        <is>
          <t>1.4</t>
        </is>
      </c>
      <c r="H366" s="2" t="inlineStr">
        <is>
          <t>1.4 Duratec 96 Trend 5p MY11</t>
        </is>
      </c>
      <c r="I366" s="2" t="n"/>
      <c r="J366" s="2" t="n">
        <v>96</v>
      </c>
      <c r="K366" s="2" t="inlineStr">
        <is>
          <t>gasolina</t>
        </is>
      </c>
      <c r="L366" s="2" t="inlineStr">
        <is>
          <t>utilitario</t>
        </is>
      </c>
      <c r="M366" s="2" t="n">
        <v>2011</v>
      </c>
      <c r="N366" s="2" t="n">
        <v>149326</v>
      </c>
      <c r="O366" s="2" t="n">
        <v>4700</v>
      </c>
      <c r="P366" s="2" t="inlineStr">
        <is>
          <t>manual</t>
        </is>
      </c>
      <c r="Q366" s="2" t="inlineStr">
        <is>
          <t>no</t>
        </is>
      </c>
      <c r="R366" s="2" t="inlineStr">
        <is>
          <t>particular</t>
        </is>
      </c>
      <c r="S366" s="2" t="inlineStr">
        <is>
          <t>Valencia (46002)</t>
        </is>
      </c>
      <c r="T366" s="2" t="inlineStr">
        <is>
          <t>2026-10-18T12:45:59</t>
        </is>
      </c>
      <c r="U366" s="2" t="n">
        <v>10</v>
      </c>
      <c r="V366" s="2" t="inlineStr">
        <is>
          <t>sí</t>
        </is>
      </c>
      <c r="W366" s="2" t="n"/>
      <c r="X366" s="2" t="n"/>
      <c r="Y366" s="2" t="n"/>
      <c r="Z366" s="2" t="n"/>
      <c r="AA366" s="2" t="n"/>
      <c r="AB366" s="2" t="n"/>
      <c r="AC366" s="2" t="n"/>
      <c r="AD366" s="2" t="n"/>
      <c r="AE366" s="2" t="n"/>
      <c r="AF366" s="2" t="n"/>
      <c r="AG366" s="2" t="n"/>
      <c r="AH366" s="2" t="n"/>
      <c r="AI366" s="2" t="n"/>
      <c r="AJ366" s="2" t="n"/>
      <c r="AK366" s="2" t="n"/>
      <c r="AL366" s="2" t="n"/>
      <c r="AM366" s="2" t="n">
        <v>0.8</v>
      </c>
      <c r="AN366" s="2" t="n">
        <v>4700</v>
      </c>
      <c r="AO366" s="2" t="n">
        <v>4</v>
      </c>
      <c r="AP366" s="2" t="inlineStr">
        <is>
          <t>modelo+año+km</t>
        </is>
      </c>
      <c r="AQ366" s="2" t="inlineStr">
        <is>
          <t>cochesnet:71790318 (https://www.coches.net/ford-fiesta-14-trend-5p-gasolina-2011-en-valencia-71790318-covo.aspx)</t>
        </is>
      </c>
      <c r="AR366" s="2" t="inlineStr">
        <is>
          <t>cuota fija ITP: &gt;12 años, hasta 1.500 cc</t>
        </is>
      </c>
      <c r="AS366" s="2" t="inlineStr">
        <is>
          <t xml:space="preserve">Ford Fiesta 1.4 96 Cv Manual Gasolina
Buen estado en general, interior como exterior, a falta del desperfecto en la puerta derecha trasera causado por una columna, aunque no afecta para nada su funcionamiento.
- Puertas con paneles de insonorización
- Altavoces cambiados
- Aire acondicionado recargado
- Muelles del maletero cambiados
- Motor de arranque cambiado en 2022
- Fuelles cambiados en 2023
- Batería en buen estado, cambiada en 2024
- Ruedas en buen estado
- Embrague cambiado en 2024
- Pastillas cambiadas en 2024
- Bujías cambiadas en 2025
- Genevo avisador radar incluido
- Rueda de repuesto
- Pinzas de arranque
- Baliza
Únicamente necesita:
- Revisión de aceite + filtro a los 154.000km.
- Cambio de discos + pastillas delanteros más adelante.
- Más fotos o videos por privado
- Se puede ver o probar sin compromiso
- Revisión en taller sin problema
- Además, aporto facturas de cosas que se han hecho
- Impuesto de circulación pagado
- Itv hasta Abril 2027
</t>
        </is>
      </c>
      <c r="AT366" s="2" t="inlineStr">
        <is>
          <t>https://es.wallapop.com/item/ford-fiesta-1-4-96-cv-manual-gasolina-1313786761 (__NEXT_DATA__ item) /home/user/Alopecia/buscador-coches/raw/wallapop/7a1443a1356713cc.json</t>
        </is>
      </c>
      <c r="AU366" s="3">
        <f>MAX(ANIO_ACTUAL-M366,0)</f>
        <v/>
      </c>
      <c r="AV366" s="4">
        <f>N366/MAX(AU366,0.5)</f>
        <v/>
      </c>
      <c r="AW366" s="4">
        <f>F366</f>
        <v/>
      </c>
      <c r="AX366" s="3">
        <f>AW366&amp;"|"&amp;INT(M366/SEG_ANIO)*SEG_ANIO</f>
        <v/>
      </c>
      <c r="AY366" s="3">
        <f>AX366&amp;"|"&amp;INT(N366/SEG_KM)*SEG_KM</f>
        <v/>
      </c>
      <c r="AZ366" s="4">
        <f>COUNTIF($AW$2:$AW$662,AW366)</f>
        <v/>
      </c>
      <c r="BA366" s="4">
        <f>COUNTIF($AX$2:$AX$662,AX366)</f>
        <v/>
      </c>
      <c r="BB366" s="4">
        <f>COUNTIF($AY$2:$AY$662,AY366)</f>
        <v/>
      </c>
      <c r="BC366" s="3">
        <f t="array" ref="BC366">IF(N(AO366)&gt;=MIN_N,AN366,IF(BB366&gt;=MIN_N,MEDIAN(IF($AY$2:$AY$662=AY366,$O$2:$O$662)),IF(BA366&gt;=MIN_N,MEDIAN(IF($AX$2:$AX$662=AX366,$O$2:$O$662)),MEDIAN(IF($AW$2:$AW$662=AW366,$O$2:$O$662)))))</f>
        <v/>
      </c>
      <c r="BD366" s="3">
        <f>IF(N(AO366)&gt;=MIN_N,"mercado "&amp;AP366,IF(BB366&gt;=MIN_N,"modelo+año+km",IF(BA366&gt;=MIN_N,"modelo+año","modelo")))</f>
        <v/>
      </c>
      <c r="BE366" s="4">
        <f>(BC366-O366)/BC366</f>
        <v/>
      </c>
      <c r="BF366" s="3">
        <f>IF(OR(K366="hibrido",K366="glp"),"ECO",IF(K366="electrico","CERO",IF(K366="gasolina",IF(M366&gt;=GAS_C,"C",IF(M366&gt;=GAS_B,"B","A")),IF(K366="diesel",IF(M366&gt;=DIE_C,"C",IF(M366&gt;=DIE_B,"B","A")),""))))</f>
        <v/>
      </c>
      <c r="BG366" s="3">
        <f>IFERROR(VLOOKUP(F366,MOD_TBL,11,0),IFERROR(VLOOKUP(E366,OCU_TBL,2,0),NEUTRO))</f>
        <v/>
      </c>
      <c r="BH366" s="3">
        <f>SUMIFS(MOT_AJUSTE,MOT_MOTOR,G366,MOT_MARCA,E366,MOT_DESDE,"&lt;="&amp;M366,MOT_HASTA,"&gt;="&amp;M366)+SUMIFS(MOT_AJUSTE,MOT_MOTOR,G366,MOT_MARCA,"(todas)",MOT_DESDE,"&lt;="&amp;M366,MOT_HASTA,"&gt;="&amp;M366)</f>
        <v/>
      </c>
      <c r="BI366" s="3">
        <f>SUMIFS(COMB_AJUSTE,COMB_COMB,K366)</f>
        <v/>
      </c>
      <c r="BJ366" s="3">
        <f>COUNTIFS(MOT_MOTOR,G366,MOT_MARCA,E366,MOT_DESDE,"&lt;="&amp;M366,MOT_HASTA,"&gt;="&amp;M366)+COUNTIFS(MOT_MOTOR,G366,MOT_MARCA,"(todas)",MOT_DESDE,"&lt;="&amp;M366,MOT_HASTA,"&gt;="&amp;M366)</f>
        <v/>
      </c>
      <c r="BK366" s="3">
        <f>IF(AND(K366="diesel",BJ366=0),MIN(BG366,NEUTRO),BG366)</f>
        <v/>
      </c>
      <c r="BL366" s="4">
        <f>MAX(0,MIN(100,BK366+BH366+BI366))</f>
        <v/>
      </c>
      <c r="BM366" s="3">
        <f>MAX(0,MIN(100,50+BE366*PRECIO_PEND))</f>
        <v/>
      </c>
      <c r="BN366" s="3">
        <f>MAX(0,100*(1-N366/KM_MAX))</f>
        <v/>
      </c>
      <c r="BO366" s="3">
        <f>IF(AV366&lt;KMA_SOSP,IF(AA366="sí",100,KMA_PEN),IF(AV366&lt;=KMA_IDEAL_MAX,100,MAX(0,100*(KMA_CERO-AV366)/(KMA_CERO-KMA_IDEAL_MAX))))</f>
        <v/>
      </c>
      <c r="BP366" s="3">
        <f>MAX(0,MIN(100,100*(M366-ANIO_MIN)/(ANIO_ACTUAL-ANIO_MIN)))</f>
        <v/>
      </c>
      <c r="BQ366" s="3">
        <f>W_KMT*BN366+W_KMA*BO366+W_EDAD*BP366</f>
        <v/>
      </c>
      <c r="BR366" s="3">
        <f>P_ITV*(V366="sí")+P_LIBRO*(W366="sí")+P_CORREA*(X366="sí")+P_PROP*(Y366=1)+P_GAR*(Z366="sí")+P_FOTOS*MIN(1,N(U366)/FOTOS_OBJ)</f>
        <v/>
      </c>
      <c r="BS366" s="3">
        <f>IFERROR(VLOOKUP(BF366,ETQ_TBL,2,0),NEUTRO)</f>
        <v/>
      </c>
      <c r="BT366" s="3">
        <f>NEUTRO</f>
        <v/>
      </c>
      <c r="BU366" s="3">
        <f>IFERROR(VLOOKUP(L366,SEGURO_TBL,3,0),"")</f>
        <v/>
      </c>
      <c r="BV366" s="3">
        <f>IF(BU366="",NEUTRO,MAX(0,MIN(100,100*(SEG_REF_MAX-BU366)/(SEG_REF_MAX-SEG_REF_MIN))))</f>
        <v/>
      </c>
      <c r="BW366" s="3">
        <f>W_ET*BS366+W_CONS*BT366+W_SEG*BV366</f>
        <v/>
      </c>
      <c r="BX366" s="3">
        <f>IF(N(AB366)&gt;0,AB366,IF(AND(R366="profesional",SG_LEGAL_ON=1),GAR_LEGAL,0))</f>
        <v/>
      </c>
      <c r="BY366" s="3">
        <f>SG_GAR*MIN(1,BX366/SG_GAR_FULL)+SG_AMPL*(AC366="sí")+SG_KMC*(AF366="sí")+SG_REV*(N(AE366)&gt;0)+SG_DEV*MIN(1,N(AG366)/SG_DEV_FULL)+SG_HIST*(W366="sí")</f>
        <v/>
      </c>
      <c r="BZ366" s="3">
        <f>IFERROR(VLOOKUP(L366,CARR_PEN_TBL,2,0),0)</f>
        <v/>
      </c>
      <c r="CA366" s="3">
        <f>W_FIAB*BL366+W_PRECIO*BM366+W_KMEDAD*BQ366+W_ANUNCIO*BR366+W_USO*BW366+W_SEGURIDAD*BY366-BZ366</f>
        <v/>
      </c>
      <c r="CB366" s="4">
        <f>IF(N(I366)&gt;0,I366,IFERROR(ROUND(_xlfn.NUMBERVALUE(LEFT(G366,FIND(" ",G366&amp;" ")-1),".")*1000,0),99999))</f>
        <v/>
      </c>
      <c r="CC366" s="3">
        <f>IF(R366="profesional",0,IF(O366&lt;CUOTA_VALOR_MAX,IF(AU366&gt;ITP_TRAMO_ALTO,SUMIFS(CF_CUOTA,CF_MAS,ITP_TRAMO_ALTO,CF_CCMIN,"&lt;="&amp;CB366,CF_CCMAX,"&gt;="&amp;CB366),IF(AU366&gt;ITP_TRAMO_BAJO,SUMIFS(CF_CUOTA,CF_MAS,ITP_TRAMO_BAJO,CF_CCMIN,"&lt;="&amp;CB366,CF_CCMAX,"&gt;="&amp;CB366),O366*ITP_TIPO)),O366*ITP_TIPO))</f>
        <v/>
      </c>
      <c r="CD366" s="4">
        <f>IF(R366="profesional",N(AK366),0)</f>
        <v/>
      </c>
      <c r="CE366" s="3">
        <f>IF(AND(R366="profesional",ISNUMBER(AK366),AL366="sí"),0,TASA_DGT)</f>
        <v/>
      </c>
      <c r="CF366" s="3">
        <f>INFORME_DGT</f>
        <v/>
      </c>
      <c r="CG366" s="4">
        <f>O366+CD366+CC366+CE366+CF366</f>
        <v/>
      </c>
      <c r="CH366" s="4">
        <f>CG366+N(BU366)</f>
        <v/>
      </c>
      <c r="CI366" s="3">
        <f>IF(CG366&lt;=TOTAL_MAX,"sí",IF(CG366&lt;=TOTAL_MAX+MARGEN_NEG,"negociar","no"))</f>
        <v/>
      </c>
      <c r="CJ366" s="4">
        <f>IF(CI366&lt;&gt;"no",COUNTIFS($CI$2:$CI$662,"&lt;&gt;no",$CA$2:$CA$662,"&gt;"&amp;CA366)+COUNTIFS($CI$2:CI366,"&lt;&gt;no",$CA$2:CA366,CA366),"")</f>
        <v/>
      </c>
    </row>
    <row r="367">
      <c r="A367" s="2" t="inlineStr">
        <is>
          <t>wallapop:1294181479</t>
        </is>
      </c>
      <c r="B367" s="2" t="inlineStr">
        <is>
          <t>wallapop</t>
        </is>
      </c>
      <c r="C367" s="2" t="inlineStr">
        <is>
          <t>https://es.wallapop.com/item/ford-fiesta-2007-153-000-km-1294181479</t>
        </is>
      </c>
      <c r="D367" s="2" t="inlineStr">
        <is>
          <t>Ford Fiesta 2007 - 153.000 km</t>
        </is>
      </c>
      <c r="E367" s="2" t="inlineStr">
        <is>
          <t>Ford</t>
        </is>
      </c>
      <c r="F367" s="2" t="inlineStr">
        <is>
          <t>Ford Fiesta</t>
        </is>
      </c>
      <c r="G367" s="2" t="inlineStr">
        <is>
          <t>1.4 TDCi</t>
        </is>
      </c>
      <c r="H367" s="2" t="inlineStr">
        <is>
          <t>Van 1.4 TDCi 68 3p</t>
        </is>
      </c>
      <c r="I367" s="2" t="n"/>
      <c r="J367" s="2" t="n">
        <v>68</v>
      </c>
      <c r="K367" s="2" t="inlineStr">
        <is>
          <t>diesel</t>
        </is>
      </c>
      <c r="L367" s="2" t="inlineStr">
        <is>
          <t>utilitario</t>
        </is>
      </c>
      <c r="M367" s="2" t="n">
        <v>2007</v>
      </c>
      <c r="N367" s="2" t="n">
        <v>153000</v>
      </c>
      <c r="O367" s="2" t="n">
        <v>3000</v>
      </c>
      <c r="P367" s="2" t="inlineStr">
        <is>
          <t>manual</t>
        </is>
      </c>
      <c r="Q367" s="2" t="inlineStr">
        <is>
          <t>no</t>
        </is>
      </c>
      <c r="R367" s="2" t="inlineStr">
        <is>
          <t>particular</t>
        </is>
      </c>
      <c r="S367" s="2" t="inlineStr">
        <is>
          <t>Valencia (46002)</t>
        </is>
      </c>
      <c r="T367" s="2" t="inlineStr">
        <is>
          <t>2026-09-27T21:20:54</t>
        </is>
      </c>
      <c r="U367" s="2" t="n">
        <v>6</v>
      </c>
      <c r="V367" s="2" t="n"/>
      <c r="W367" s="2" t="n"/>
      <c r="X367" s="2" t="n"/>
      <c r="Y367" s="2" t="n"/>
      <c r="Z367" s="2" t="n"/>
      <c r="AA367" s="2" t="n"/>
      <c r="AB367" s="2" t="n"/>
      <c r="AC367" s="2" t="n"/>
      <c r="AD367" s="2" t="n"/>
      <c r="AE367" s="2" t="n"/>
      <c r="AF367" s="2" t="n"/>
      <c r="AG367" s="2" t="n"/>
      <c r="AH367" s="2" t="n"/>
      <c r="AI367" s="2" t="n"/>
      <c r="AJ367" s="2" t="n"/>
      <c r="AK367" s="2" t="n"/>
      <c r="AL367" s="2" t="n"/>
      <c r="AM367" s="2" t="n">
        <v>0.8</v>
      </c>
      <c r="AN367" s="2" t="n">
        <v>4500</v>
      </c>
      <c r="AO367" s="2" t="n">
        <v>18</v>
      </c>
      <c r="AP367" s="2" t="inlineStr">
        <is>
          <t>modelo+año+km</t>
        </is>
      </c>
      <c r="AQ367" s="2" t="n"/>
      <c r="AR367" s="2" t="inlineStr">
        <is>
          <t>cuota fija ITP: &gt;12 años, hasta 1.500 cc</t>
        </is>
      </c>
      <c r="AS367" s="2" t="inlineStr">
        <is>
          <t xml:space="preserve">Ford Fiesta diésel blanco con 3 puertas del año 2007 con 153.000 km. Coche práctico y de bajo consumo. ITV y documentación al día. Batería nueva de septiembre de 2026 y ruedas delanteras nuevas. </t>
        </is>
      </c>
      <c r="AT367" s="2" t="inlineStr">
        <is>
          <t>https://es.wallapop.com/item/ford-fiesta-2007-153-000-km-1294181479 (__NEXT_DATA__ item) /home/user/Alopecia/buscador-coches/raw/wallapop/195a77c9b6e4b440.json</t>
        </is>
      </c>
      <c r="AU367" s="3">
        <f>MAX(ANIO_ACTUAL-M367,0)</f>
        <v/>
      </c>
      <c r="AV367" s="4">
        <f>N367/MAX(AU367,0.5)</f>
        <v/>
      </c>
      <c r="AW367" s="4">
        <f>F367</f>
        <v/>
      </c>
      <c r="AX367" s="3">
        <f>AW367&amp;"|"&amp;INT(M367/SEG_ANIO)*SEG_ANIO</f>
        <v/>
      </c>
      <c r="AY367" s="3">
        <f>AX367&amp;"|"&amp;INT(N367/SEG_KM)*SEG_KM</f>
        <v/>
      </c>
      <c r="AZ367" s="4">
        <f>COUNTIF($AW$2:$AW$662,AW367)</f>
        <v/>
      </c>
      <c r="BA367" s="4">
        <f>COUNTIF($AX$2:$AX$662,AX367)</f>
        <v/>
      </c>
      <c r="BB367" s="4">
        <f>COUNTIF($AY$2:$AY$662,AY367)</f>
        <v/>
      </c>
      <c r="BC367" s="3">
        <f t="array" ref="BC367">IF(N(AO367)&gt;=MIN_N,AN367,IF(BB367&gt;=MIN_N,MEDIAN(IF($AY$2:$AY$662=AY367,$O$2:$O$662)),IF(BA367&gt;=MIN_N,MEDIAN(IF($AX$2:$AX$662=AX367,$O$2:$O$662)),MEDIAN(IF($AW$2:$AW$662=AW367,$O$2:$O$662)))))</f>
        <v/>
      </c>
      <c r="BD367" s="3">
        <f>IF(N(AO367)&gt;=MIN_N,"mercado "&amp;AP367,IF(BB367&gt;=MIN_N,"modelo+año+km",IF(BA367&gt;=MIN_N,"modelo+año","modelo")))</f>
        <v/>
      </c>
      <c r="BE367" s="4">
        <f>(BC367-O367)/BC367</f>
        <v/>
      </c>
      <c r="BF367" s="3">
        <f>IF(OR(K367="hibrido",K367="glp"),"ECO",IF(K367="electrico","CERO",IF(K367="gasolina",IF(M367&gt;=GAS_C,"C",IF(M367&gt;=GAS_B,"B","A")),IF(K367="diesel",IF(M367&gt;=DIE_C,"C",IF(M367&gt;=DIE_B,"B","A")),""))))</f>
        <v/>
      </c>
      <c r="BG367" s="3">
        <f>IFERROR(VLOOKUP(F367,MOD_TBL,11,0),IFERROR(VLOOKUP(E367,OCU_TBL,2,0),NEUTRO))</f>
        <v/>
      </c>
      <c r="BH367" s="3">
        <f>SUMIFS(MOT_AJUSTE,MOT_MOTOR,G367,MOT_MARCA,E367,MOT_DESDE,"&lt;="&amp;M367,MOT_HASTA,"&gt;="&amp;M367)+SUMIFS(MOT_AJUSTE,MOT_MOTOR,G367,MOT_MARCA,"(todas)",MOT_DESDE,"&lt;="&amp;M367,MOT_HASTA,"&gt;="&amp;M367)</f>
        <v/>
      </c>
      <c r="BI367" s="3">
        <f>SUMIFS(COMB_AJUSTE,COMB_COMB,K367)</f>
        <v/>
      </c>
      <c r="BJ367" s="3">
        <f>COUNTIFS(MOT_MOTOR,G367,MOT_MARCA,E367,MOT_DESDE,"&lt;="&amp;M367,MOT_HASTA,"&gt;="&amp;M367)+COUNTIFS(MOT_MOTOR,G367,MOT_MARCA,"(todas)",MOT_DESDE,"&lt;="&amp;M367,MOT_HASTA,"&gt;="&amp;M367)</f>
        <v/>
      </c>
      <c r="BK367" s="3">
        <f>IF(AND(K367="diesel",BJ367=0),MIN(BG367,NEUTRO),BG367)</f>
        <v/>
      </c>
      <c r="BL367" s="4">
        <f>MAX(0,MIN(100,BK367+BH367+BI367))</f>
        <v/>
      </c>
      <c r="BM367" s="3">
        <f>MAX(0,MIN(100,50+BE367*PRECIO_PEND))</f>
        <v/>
      </c>
      <c r="BN367" s="3">
        <f>MAX(0,100*(1-N367/KM_MAX))</f>
        <v/>
      </c>
      <c r="BO367" s="3">
        <f>IF(AV367&lt;KMA_SOSP,IF(AA367="sí",100,KMA_PEN),IF(AV367&lt;=KMA_IDEAL_MAX,100,MAX(0,100*(KMA_CERO-AV367)/(KMA_CERO-KMA_IDEAL_MAX))))</f>
        <v/>
      </c>
      <c r="BP367" s="3">
        <f>MAX(0,MIN(100,100*(M367-ANIO_MIN)/(ANIO_ACTUAL-ANIO_MIN)))</f>
        <v/>
      </c>
      <c r="BQ367" s="3">
        <f>W_KMT*BN367+W_KMA*BO367+W_EDAD*BP367</f>
        <v/>
      </c>
      <c r="BR367" s="3">
        <f>P_ITV*(V367="sí")+P_LIBRO*(W367="sí")+P_CORREA*(X367="sí")+P_PROP*(Y367=1)+P_GAR*(Z367="sí")+P_FOTOS*MIN(1,N(U367)/FOTOS_OBJ)</f>
        <v/>
      </c>
      <c r="BS367" s="3">
        <f>IFERROR(VLOOKUP(BF367,ETQ_TBL,2,0),NEUTRO)</f>
        <v/>
      </c>
      <c r="BT367" s="3">
        <f>NEUTRO</f>
        <v/>
      </c>
      <c r="BU367" s="3">
        <f>IFERROR(VLOOKUP(L367,SEGURO_TBL,3,0),"")</f>
        <v/>
      </c>
      <c r="BV367" s="3">
        <f>IF(BU367="",NEUTRO,MAX(0,MIN(100,100*(SEG_REF_MAX-BU367)/(SEG_REF_MAX-SEG_REF_MIN))))</f>
        <v/>
      </c>
      <c r="BW367" s="3">
        <f>W_ET*BS367+W_CONS*BT367+W_SEG*BV367</f>
        <v/>
      </c>
      <c r="BX367" s="3">
        <f>IF(N(AB367)&gt;0,AB367,IF(AND(R367="profesional",SG_LEGAL_ON=1),GAR_LEGAL,0))</f>
        <v/>
      </c>
      <c r="BY367" s="3">
        <f>SG_GAR*MIN(1,BX367/SG_GAR_FULL)+SG_AMPL*(AC367="sí")+SG_KMC*(AF367="sí")+SG_REV*(N(AE367)&gt;0)+SG_DEV*MIN(1,N(AG367)/SG_DEV_FULL)+SG_HIST*(W367="sí")</f>
        <v/>
      </c>
      <c r="BZ367" s="3">
        <f>IFERROR(VLOOKUP(L367,CARR_PEN_TBL,2,0),0)</f>
        <v/>
      </c>
      <c r="CA367" s="3">
        <f>W_FIAB*BL367+W_PRECIO*BM367+W_KMEDAD*BQ367+W_ANUNCIO*BR367+W_USO*BW367+W_SEGURIDAD*BY367-BZ367</f>
        <v/>
      </c>
      <c r="CB367" s="4">
        <f>IF(N(I367)&gt;0,I367,IFERROR(ROUND(_xlfn.NUMBERVALUE(LEFT(G367,FIND(" ",G367&amp;" ")-1),".")*1000,0),99999))</f>
        <v/>
      </c>
      <c r="CC367" s="3">
        <f>IF(R367="profesional",0,IF(O367&lt;CUOTA_VALOR_MAX,IF(AU367&gt;ITP_TRAMO_ALTO,SUMIFS(CF_CUOTA,CF_MAS,ITP_TRAMO_ALTO,CF_CCMIN,"&lt;="&amp;CB367,CF_CCMAX,"&gt;="&amp;CB367),IF(AU367&gt;ITP_TRAMO_BAJO,SUMIFS(CF_CUOTA,CF_MAS,ITP_TRAMO_BAJO,CF_CCMIN,"&lt;="&amp;CB367,CF_CCMAX,"&gt;="&amp;CB367),O367*ITP_TIPO)),O367*ITP_TIPO))</f>
        <v/>
      </c>
      <c r="CD367" s="4">
        <f>IF(R367="profesional",N(AK367),0)</f>
        <v/>
      </c>
      <c r="CE367" s="3">
        <f>IF(AND(R367="profesional",ISNUMBER(AK367),AL367="sí"),0,TASA_DGT)</f>
        <v/>
      </c>
      <c r="CF367" s="3">
        <f>INFORME_DGT</f>
        <v/>
      </c>
      <c r="CG367" s="4">
        <f>O367+CD367+CC367+CE367+CF367</f>
        <v/>
      </c>
      <c r="CH367" s="4">
        <f>CG367+N(BU367)</f>
        <v/>
      </c>
      <c r="CI367" s="3">
        <f>IF(CG367&lt;=TOTAL_MAX,"sí",IF(CG367&lt;=TOTAL_MAX+MARGEN_NEG,"negociar","no"))</f>
        <v/>
      </c>
      <c r="CJ367" s="4">
        <f>IF(CI367&lt;&gt;"no",COUNTIFS($CI$2:$CI$662,"&lt;&gt;no",$CA$2:$CA$662,"&gt;"&amp;CA367)+COUNTIFS($CI$2:CI367,"&lt;&gt;no",$CA$2:CA367,CA367),"")</f>
        <v/>
      </c>
    </row>
    <row r="368">
      <c r="A368" s="2" t="inlineStr">
        <is>
          <t>wallapop:1306658423</t>
        </is>
      </c>
      <c r="B368" s="2" t="inlineStr">
        <is>
          <t>wallapop</t>
        </is>
      </c>
      <c r="C368" s="2" t="inlineStr">
        <is>
          <t>https://es.wallapop.com/item/ford-fiesta-1-4-tdci-68cv-2009-perfecto-estado-1306658423</t>
        </is>
      </c>
      <c r="D368" s="2" t="inlineStr">
        <is>
          <t>Ford Fiesta 1.4 TDCi 68cv (2009) - Perfecto estado</t>
        </is>
      </c>
      <c r="E368" s="2" t="inlineStr">
        <is>
          <t>Ford</t>
        </is>
      </c>
      <c r="F368" s="2" t="inlineStr">
        <is>
          <t>Ford Fiesta</t>
        </is>
      </c>
      <c r="G368" s="2" t="inlineStr">
        <is>
          <t>1.4 TDCi</t>
        </is>
      </c>
      <c r="H368" s="2" t="inlineStr">
        <is>
          <t>1.4 TDCi 68 Trend 5p</t>
        </is>
      </c>
      <c r="I368" s="2" t="n"/>
      <c r="J368" s="2" t="n">
        <v>68</v>
      </c>
      <c r="K368" s="2" t="inlineStr">
        <is>
          <t>diesel</t>
        </is>
      </c>
      <c r="L368" s="2" t="inlineStr">
        <is>
          <t>utilitario</t>
        </is>
      </c>
      <c r="M368" s="2" t="n">
        <v>2009</v>
      </c>
      <c r="N368" s="2" t="n">
        <v>215000</v>
      </c>
      <c r="O368" s="2" t="n">
        <v>3800</v>
      </c>
      <c r="P368" s="2" t="inlineStr">
        <is>
          <t>manual</t>
        </is>
      </c>
      <c r="Q368" s="2" t="inlineStr">
        <is>
          <t>no</t>
        </is>
      </c>
      <c r="R368" s="2" t="inlineStr">
        <is>
          <t>particular</t>
        </is>
      </c>
      <c r="S368" s="2" t="inlineStr">
        <is>
          <t>Torrent (46900)</t>
        </is>
      </c>
      <c r="T368" s="2" t="inlineStr">
        <is>
          <t>2026-10-16T19:28:44</t>
        </is>
      </c>
      <c r="U368" s="2" t="n">
        <v>5</v>
      </c>
      <c r="V368" s="2" t="inlineStr">
        <is>
          <t>sí</t>
        </is>
      </c>
      <c r="W368" s="2" t="n"/>
      <c r="X368" s="2" t="n"/>
      <c r="Y368" s="2" t="n"/>
      <c r="Z368" s="2" t="n"/>
      <c r="AA368" s="2" t="n"/>
      <c r="AB368" s="2" t="n"/>
      <c r="AC368" s="2" t="n"/>
      <c r="AD368" s="2" t="n"/>
      <c r="AE368" s="2" t="n"/>
      <c r="AF368" s="2" t="n"/>
      <c r="AG368" s="2" t="n"/>
      <c r="AH368" s="2" t="n"/>
      <c r="AI368" s="2" t="n"/>
      <c r="AJ368" s="2" t="n"/>
      <c r="AK368" s="2" t="n"/>
      <c r="AL368" s="2" t="n"/>
      <c r="AM368" s="2" t="n">
        <v>8.5</v>
      </c>
      <c r="AN368" s="2" t="n">
        <v>3250</v>
      </c>
      <c r="AO368" s="2" t="n">
        <v>12</v>
      </c>
      <c r="AP368" s="2" t="inlineStr">
        <is>
          <t>modelo+año+km</t>
        </is>
      </c>
      <c r="AQ368" s="2" t="n"/>
      <c r="AR368" s="2" t="inlineStr">
        <is>
          <t>cuota fija ITP: &gt;12 años, hasta 1.500 cc; diésel: motor sin fuente de fiabilidad (fiabilidad limitada a neutra)</t>
        </is>
      </c>
      <c r="AS368" s="2" t="inlineStr">
        <is>
          <t>Vendo Ford Fiesta 1.4 TDCi de 68 CV diésel del año 2009 en perfecto estado, tanto de mecánica como de chapa e interiores. Es un coche muy fiable, ágil y con un consumo ridículo, perfecto para el día a día (4,5l/100km).
Segundo dueño, el vehículo cuenta con un mantenimiento riguroso. Tiene la revisión completa recién pasada, neumáticos traseros a estrenar y la ITV hasta 09/2027.
Se puede ver y probar sin compromiso, y se acepta cualquier tipo de prueba mecánica en el taller de tu confianza.
Seriedad e interesados de verdad. Precio no negociable.</t>
        </is>
      </c>
      <c r="AT368" s="2" t="inlineStr">
        <is>
          <t>https://es.wallapop.com/item/ford-fiesta-1-4-tdci-68cv-2009-perfecto-estado-1306658423 (__NEXT_DATA__ item) /home/user/Alopecia/buscador-coches/raw/wallapop/fb48b50797612622.json</t>
        </is>
      </c>
      <c r="AU368" s="3">
        <f>MAX(ANIO_ACTUAL-M368,0)</f>
        <v/>
      </c>
      <c r="AV368" s="4">
        <f>N368/MAX(AU368,0.5)</f>
        <v/>
      </c>
      <c r="AW368" s="4">
        <f>F368</f>
        <v/>
      </c>
      <c r="AX368" s="3">
        <f>AW368&amp;"|"&amp;INT(M368/SEG_ANIO)*SEG_ANIO</f>
        <v/>
      </c>
      <c r="AY368" s="3">
        <f>AX368&amp;"|"&amp;INT(N368/SEG_KM)*SEG_KM</f>
        <v/>
      </c>
      <c r="AZ368" s="4">
        <f>COUNTIF($AW$2:$AW$662,AW368)</f>
        <v/>
      </c>
      <c r="BA368" s="4">
        <f>COUNTIF($AX$2:$AX$662,AX368)</f>
        <v/>
      </c>
      <c r="BB368" s="4">
        <f>COUNTIF($AY$2:$AY$662,AY368)</f>
        <v/>
      </c>
      <c r="BC368" s="3">
        <f t="array" ref="BC368">IF(N(AO368)&gt;=MIN_N,AN368,IF(BB368&gt;=MIN_N,MEDIAN(IF($AY$2:$AY$662=AY368,$O$2:$O$662)),IF(BA368&gt;=MIN_N,MEDIAN(IF($AX$2:$AX$662=AX368,$O$2:$O$662)),MEDIAN(IF($AW$2:$AW$662=AW368,$O$2:$O$662)))))</f>
        <v/>
      </c>
      <c r="BD368" s="3">
        <f>IF(N(AO368)&gt;=MIN_N,"mercado "&amp;AP368,IF(BB368&gt;=MIN_N,"modelo+año+km",IF(BA368&gt;=MIN_N,"modelo+año","modelo")))</f>
        <v/>
      </c>
      <c r="BE368" s="4">
        <f>(BC368-O368)/BC368</f>
        <v/>
      </c>
      <c r="BF368" s="3">
        <f>IF(OR(K368="hibrido",K368="glp"),"ECO",IF(K368="electrico","CERO",IF(K368="gasolina",IF(M368&gt;=GAS_C,"C",IF(M368&gt;=GAS_B,"B","A")),IF(K368="diesel",IF(M368&gt;=DIE_C,"C",IF(M368&gt;=DIE_B,"B","A")),""))))</f>
        <v/>
      </c>
      <c r="BG368" s="3">
        <f>IFERROR(VLOOKUP(F368,MOD_TBL,11,0),IFERROR(VLOOKUP(E368,OCU_TBL,2,0),NEUTRO))</f>
        <v/>
      </c>
      <c r="BH368" s="3">
        <f>SUMIFS(MOT_AJUSTE,MOT_MOTOR,G368,MOT_MARCA,E368,MOT_DESDE,"&lt;="&amp;M368,MOT_HASTA,"&gt;="&amp;M368)+SUMIFS(MOT_AJUSTE,MOT_MOTOR,G368,MOT_MARCA,"(todas)",MOT_DESDE,"&lt;="&amp;M368,MOT_HASTA,"&gt;="&amp;M368)</f>
        <v/>
      </c>
      <c r="BI368" s="3">
        <f>SUMIFS(COMB_AJUSTE,COMB_COMB,K368)</f>
        <v/>
      </c>
      <c r="BJ368" s="3">
        <f>COUNTIFS(MOT_MOTOR,G368,MOT_MARCA,E368,MOT_DESDE,"&lt;="&amp;M368,MOT_HASTA,"&gt;="&amp;M368)+COUNTIFS(MOT_MOTOR,G368,MOT_MARCA,"(todas)",MOT_DESDE,"&lt;="&amp;M368,MOT_HASTA,"&gt;="&amp;M368)</f>
        <v/>
      </c>
      <c r="BK368" s="3">
        <f>IF(AND(K368="diesel",BJ368=0),MIN(BG368,NEUTRO),BG368)</f>
        <v/>
      </c>
      <c r="BL368" s="4">
        <f>MAX(0,MIN(100,BK368+BH368+BI368))</f>
        <v/>
      </c>
      <c r="BM368" s="3">
        <f>MAX(0,MIN(100,50+BE368*PRECIO_PEND))</f>
        <v/>
      </c>
      <c r="BN368" s="3">
        <f>MAX(0,100*(1-N368/KM_MAX))</f>
        <v/>
      </c>
      <c r="BO368" s="3">
        <f>IF(AV368&lt;KMA_SOSP,IF(AA368="sí",100,KMA_PEN),IF(AV368&lt;=KMA_IDEAL_MAX,100,MAX(0,100*(KMA_CERO-AV368)/(KMA_CERO-KMA_IDEAL_MAX))))</f>
        <v/>
      </c>
      <c r="BP368" s="3">
        <f>MAX(0,MIN(100,100*(M368-ANIO_MIN)/(ANIO_ACTUAL-ANIO_MIN)))</f>
        <v/>
      </c>
      <c r="BQ368" s="3">
        <f>W_KMT*BN368+W_KMA*BO368+W_EDAD*BP368</f>
        <v/>
      </c>
      <c r="BR368" s="3">
        <f>P_ITV*(V368="sí")+P_LIBRO*(W368="sí")+P_CORREA*(X368="sí")+P_PROP*(Y368=1)+P_GAR*(Z368="sí")+P_FOTOS*MIN(1,N(U368)/FOTOS_OBJ)</f>
        <v/>
      </c>
      <c r="BS368" s="3">
        <f>IFERROR(VLOOKUP(BF368,ETQ_TBL,2,0),NEUTRO)</f>
        <v/>
      </c>
      <c r="BT368" s="3">
        <f>NEUTRO</f>
        <v/>
      </c>
      <c r="BU368" s="3">
        <f>IFERROR(VLOOKUP(L368,SEGURO_TBL,3,0),"")</f>
        <v/>
      </c>
      <c r="BV368" s="3">
        <f>IF(BU368="",NEUTRO,MAX(0,MIN(100,100*(SEG_REF_MAX-BU368)/(SEG_REF_MAX-SEG_REF_MIN))))</f>
        <v/>
      </c>
      <c r="BW368" s="3">
        <f>W_ET*BS368+W_CONS*BT368+W_SEG*BV368</f>
        <v/>
      </c>
      <c r="BX368" s="3">
        <f>IF(N(AB368)&gt;0,AB368,IF(AND(R368="profesional",SG_LEGAL_ON=1),GAR_LEGAL,0))</f>
        <v/>
      </c>
      <c r="BY368" s="3">
        <f>SG_GAR*MIN(1,BX368/SG_GAR_FULL)+SG_AMPL*(AC368="sí")+SG_KMC*(AF368="sí")+SG_REV*(N(AE368)&gt;0)+SG_DEV*MIN(1,N(AG368)/SG_DEV_FULL)+SG_HIST*(W368="sí")</f>
        <v/>
      </c>
      <c r="BZ368" s="3">
        <f>IFERROR(VLOOKUP(L368,CARR_PEN_TBL,2,0),0)</f>
        <v/>
      </c>
      <c r="CA368" s="3">
        <f>W_FIAB*BL368+W_PRECIO*BM368+W_KMEDAD*BQ368+W_ANUNCIO*BR368+W_USO*BW368+W_SEGURIDAD*BY368-BZ368</f>
        <v/>
      </c>
      <c r="CB368" s="4">
        <f>IF(N(I368)&gt;0,I368,IFERROR(ROUND(_xlfn.NUMBERVALUE(LEFT(G368,FIND(" ",G368&amp;" ")-1),".")*1000,0),99999))</f>
        <v/>
      </c>
      <c r="CC368" s="3">
        <f>IF(R368="profesional",0,IF(O368&lt;CUOTA_VALOR_MAX,IF(AU368&gt;ITP_TRAMO_ALTO,SUMIFS(CF_CUOTA,CF_MAS,ITP_TRAMO_ALTO,CF_CCMIN,"&lt;="&amp;CB368,CF_CCMAX,"&gt;="&amp;CB368),IF(AU368&gt;ITP_TRAMO_BAJO,SUMIFS(CF_CUOTA,CF_MAS,ITP_TRAMO_BAJO,CF_CCMIN,"&lt;="&amp;CB368,CF_CCMAX,"&gt;="&amp;CB368),O368*ITP_TIPO)),O368*ITP_TIPO))</f>
        <v/>
      </c>
      <c r="CD368" s="4">
        <f>IF(R368="profesional",N(AK368),0)</f>
        <v/>
      </c>
      <c r="CE368" s="3">
        <f>IF(AND(R368="profesional",ISNUMBER(AK368),AL368="sí"),0,TASA_DGT)</f>
        <v/>
      </c>
      <c r="CF368" s="3">
        <f>INFORME_DGT</f>
        <v/>
      </c>
      <c r="CG368" s="4">
        <f>O368+CD368+CC368+CE368+CF368</f>
        <v/>
      </c>
      <c r="CH368" s="4">
        <f>CG368+N(BU368)</f>
        <v/>
      </c>
      <c r="CI368" s="3">
        <f>IF(CG368&lt;=TOTAL_MAX,"sí",IF(CG368&lt;=TOTAL_MAX+MARGEN_NEG,"negociar","no"))</f>
        <v/>
      </c>
      <c r="CJ368" s="4">
        <f>IF(CI368&lt;&gt;"no",COUNTIFS($CI$2:$CI$662,"&lt;&gt;no",$CA$2:$CA$662,"&gt;"&amp;CA368)+COUNTIFS($CI$2:CI368,"&lt;&gt;no",$CA$2:CA368,CA368),"")</f>
        <v/>
      </c>
    </row>
    <row r="369">
      <c r="A369" s="2" t="inlineStr">
        <is>
          <t>wallapop:1299696661</t>
        </is>
      </c>
      <c r="B369" s="2" t="inlineStr">
        <is>
          <t>wallapop</t>
        </is>
      </c>
      <c r="C369" s="2" t="inlineStr">
        <is>
          <t>https://es.wallapop.com/item/ford-fiesta-2010-1299696661</t>
        </is>
      </c>
      <c r="D369" s="2" t="inlineStr">
        <is>
          <t>Ford Fiesta 2010</t>
        </is>
      </c>
      <c r="E369" s="2" t="inlineStr">
        <is>
          <t>Ford</t>
        </is>
      </c>
      <c r="F369" s="2" t="inlineStr">
        <is>
          <t>Ford Fiesta</t>
        </is>
      </c>
      <c r="G369" s="2" t="inlineStr">
        <is>
          <t>1.4</t>
        </is>
      </c>
      <c r="H369" s="2" t="inlineStr">
        <is>
          <t>1.4 96 Titanium 5p</t>
        </is>
      </c>
      <c r="I369" s="2" t="n"/>
      <c r="J369" s="2" t="n">
        <v>96</v>
      </c>
      <c r="K369" s="2" t="inlineStr">
        <is>
          <t>diesel</t>
        </is>
      </c>
      <c r="L369" s="2" t="inlineStr">
        <is>
          <t>utilitario</t>
        </is>
      </c>
      <c r="M369" s="2" t="n">
        <v>2010</v>
      </c>
      <c r="N369" s="2" t="n">
        <v>188707</v>
      </c>
      <c r="O369" s="2" t="n">
        <v>4000</v>
      </c>
      <c r="P369" s="2" t="inlineStr">
        <is>
          <t>manual</t>
        </is>
      </c>
      <c r="Q369" s="2" t="inlineStr">
        <is>
          <t>no</t>
        </is>
      </c>
      <c r="R369" s="2" t="inlineStr">
        <is>
          <t>particular</t>
        </is>
      </c>
      <c r="S369" s="2" t="inlineStr">
        <is>
          <t>Torrent (46900)</t>
        </is>
      </c>
      <c r="T369" s="2" t="inlineStr">
        <is>
          <t>2026-09-08T17:38:02</t>
        </is>
      </c>
      <c r="U369" s="2" t="n">
        <v>6</v>
      </c>
      <c r="V369" s="2" t="inlineStr">
        <is>
          <t>sí</t>
        </is>
      </c>
      <c r="W369" s="2" t="n"/>
      <c r="X369" s="2" t="n"/>
      <c r="Y369" s="2" t="n"/>
      <c r="Z369" s="2" t="n"/>
      <c r="AA369" s="2" t="n"/>
      <c r="AB369" s="2" t="n"/>
      <c r="AC369" s="2" t="n"/>
      <c r="AD369" s="2" t="n"/>
      <c r="AE369" s="2" t="n"/>
      <c r="AF369" s="2" t="n"/>
      <c r="AG369" s="2" t="n"/>
      <c r="AH369" s="2" t="n"/>
      <c r="AI369" s="2" t="n"/>
      <c r="AJ369" s="2" t="n"/>
      <c r="AK369" s="2" t="n"/>
      <c r="AL369" s="2" t="n"/>
      <c r="AM369" s="2" t="n">
        <v>8.9</v>
      </c>
      <c r="AN369" s="2" t="n">
        <v>4545</v>
      </c>
      <c r="AO369" s="2" t="n">
        <v>18</v>
      </c>
      <c r="AP369" s="2" t="inlineStr">
        <is>
          <t>modelo+año+km</t>
        </is>
      </c>
      <c r="AQ369" s="2" t="n"/>
      <c r="AR369" s="2" t="inlineStr">
        <is>
          <t>cuota fija ITP: &gt;12 años, hasta 1.500 cc; diésel: motor sin fuente de fiabilidad (fiabilidad limitada a neutra)</t>
        </is>
      </c>
      <c r="AS369" s="2" t="inlineStr">
        <is>
          <t>Vendo Ford Fiesta Titanium diésel del año 2010, con 188707 km (al momento de la foto).
El coche funciona MUY bien y ha tenido mantenimiento reciente:
✅ ITV pasada en julio de 2026
✅ Cambio de aceite y filtros realizado recientemente
✅ Amortiguadores nuevos
✅ Neumáticos delanteros nuevos
✅ Arranca y funciona correctamente
✅ Puertas abren y cierran perfectamente
Tiene un golpe importante en el lateral derecho, entre la puerta del copiloto y la puerta trasera. El golpe es visible y si quieres te paso fotos detalladas, pero ambas puertas funcionan correctamente.
El aire acondicionado también funciona, aunque para que enfríe hay que poner la temperatura al mínimo. Desconozco la causa y lo indico expresamente para que el comprador conozca el estado del vehículo.
Se puede ver y probar sin problema.
Dispongo de facturas/justificantes del mantenimiento reciente.
Venta entre particulares. Se entregará contrato de compraventa y se realizará el cambio de titularidad correspondiente.</t>
        </is>
      </c>
      <c r="AT369" s="2" t="inlineStr">
        <is>
          <t>https://es.wallapop.com/item/ford-fiesta-2010-1299696661 (__NEXT_DATA__ item) /home/user/Alopecia/buscador-coches/raw/wallapop/a0d352893155a90e.json</t>
        </is>
      </c>
      <c r="AU369" s="3">
        <f>MAX(ANIO_ACTUAL-M369,0)</f>
        <v/>
      </c>
      <c r="AV369" s="4">
        <f>N369/MAX(AU369,0.5)</f>
        <v/>
      </c>
      <c r="AW369" s="4">
        <f>F369</f>
        <v/>
      </c>
      <c r="AX369" s="3">
        <f>AW369&amp;"|"&amp;INT(M369/SEG_ANIO)*SEG_ANIO</f>
        <v/>
      </c>
      <c r="AY369" s="3">
        <f>AX369&amp;"|"&amp;INT(N369/SEG_KM)*SEG_KM</f>
        <v/>
      </c>
      <c r="AZ369" s="4">
        <f>COUNTIF($AW$2:$AW$662,AW369)</f>
        <v/>
      </c>
      <c r="BA369" s="4">
        <f>COUNTIF($AX$2:$AX$662,AX369)</f>
        <v/>
      </c>
      <c r="BB369" s="4">
        <f>COUNTIF($AY$2:$AY$662,AY369)</f>
        <v/>
      </c>
      <c r="BC369" s="3">
        <f t="array" ref="BC369">IF(N(AO369)&gt;=MIN_N,AN369,IF(BB369&gt;=MIN_N,MEDIAN(IF($AY$2:$AY$662=AY369,$O$2:$O$662)),IF(BA369&gt;=MIN_N,MEDIAN(IF($AX$2:$AX$662=AX369,$O$2:$O$662)),MEDIAN(IF($AW$2:$AW$662=AW369,$O$2:$O$662)))))</f>
        <v/>
      </c>
      <c r="BD369" s="3">
        <f>IF(N(AO369)&gt;=MIN_N,"mercado "&amp;AP369,IF(BB369&gt;=MIN_N,"modelo+año+km",IF(BA369&gt;=MIN_N,"modelo+año","modelo")))</f>
        <v/>
      </c>
      <c r="BE369" s="4">
        <f>(BC369-O369)/BC369</f>
        <v/>
      </c>
      <c r="BF369" s="3">
        <f>IF(OR(K369="hibrido",K369="glp"),"ECO",IF(K369="electrico","CERO",IF(K369="gasolina",IF(M369&gt;=GAS_C,"C",IF(M369&gt;=GAS_B,"B","A")),IF(K369="diesel",IF(M369&gt;=DIE_C,"C",IF(M369&gt;=DIE_B,"B","A")),""))))</f>
        <v/>
      </c>
      <c r="BG369" s="3">
        <f>IFERROR(VLOOKUP(F369,MOD_TBL,11,0),IFERROR(VLOOKUP(E369,OCU_TBL,2,0),NEUTRO))</f>
        <v/>
      </c>
      <c r="BH369" s="3">
        <f>SUMIFS(MOT_AJUSTE,MOT_MOTOR,G369,MOT_MARCA,E369,MOT_DESDE,"&lt;="&amp;M369,MOT_HASTA,"&gt;="&amp;M369)+SUMIFS(MOT_AJUSTE,MOT_MOTOR,G369,MOT_MARCA,"(todas)",MOT_DESDE,"&lt;="&amp;M369,MOT_HASTA,"&gt;="&amp;M369)</f>
        <v/>
      </c>
      <c r="BI369" s="3">
        <f>SUMIFS(COMB_AJUSTE,COMB_COMB,K369)</f>
        <v/>
      </c>
      <c r="BJ369" s="3">
        <f>COUNTIFS(MOT_MOTOR,G369,MOT_MARCA,E369,MOT_DESDE,"&lt;="&amp;M369,MOT_HASTA,"&gt;="&amp;M369)+COUNTIFS(MOT_MOTOR,G369,MOT_MARCA,"(todas)",MOT_DESDE,"&lt;="&amp;M369,MOT_HASTA,"&gt;="&amp;M369)</f>
        <v/>
      </c>
      <c r="BK369" s="3">
        <f>IF(AND(K369="diesel",BJ369=0),MIN(BG369,NEUTRO),BG369)</f>
        <v/>
      </c>
      <c r="BL369" s="4">
        <f>MAX(0,MIN(100,BK369+BH369+BI369))</f>
        <v/>
      </c>
      <c r="BM369" s="3">
        <f>MAX(0,MIN(100,50+BE369*PRECIO_PEND))</f>
        <v/>
      </c>
      <c r="BN369" s="3">
        <f>MAX(0,100*(1-N369/KM_MAX))</f>
        <v/>
      </c>
      <c r="BO369" s="3">
        <f>IF(AV369&lt;KMA_SOSP,IF(AA369="sí",100,KMA_PEN),IF(AV369&lt;=KMA_IDEAL_MAX,100,MAX(0,100*(KMA_CERO-AV369)/(KMA_CERO-KMA_IDEAL_MAX))))</f>
        <v/>
      </c>
      <c r="BP369" s="3">
        <f>MAX(0,MIN(100,100*(M369-ANIO_MIN)/(ANIO_ACTUAL-ANIO_MIN)))</f>
        <v/>
      </c>
      <c r="BQ369" s="3">
        <f>W_KMT*BN369+W_KMA*BO369+W_EDAD*BP369</f>
        <v/>
      </c>
      <c r="BR369" s="3">
        <f>P_ITV*(V369="sí")+P_LIBRO*(W369="sí")+P_CORREA*(X369="sí")+P_PROP*(Y369=1)+P_GAR*(Z369="sí")+P_FOTOS*MIN(1,N(U369)/FOTOS_OBJ)</f>
        <v/>
      </c>
      <c r="BS369" s="3">
        <f>IFERROR(VLOOKUP(BF369,ETQ_TBL,2,0),NEUTRO)</f>
        <v/>
      </c>
      <c r="BT369" s="3">
        <f>NEUTRO</f>
        <v/>
      </c>
      <c r="BU369" s="3">
        <f>IFERROR(VLOOKUP(L369,SEGURO_TBL,3,0),"")</f>
        <v/>
      </c>
      <c r="BV369" s="3">
        <f>IF(BU369="",NEUTRO,MAX(0,MIN(100,100*(SEG_REF_MAX-BU369)/(SEG_REF_MAX-SEG_REF_MIN))))</f>
        <v/>
      </c>
      <c r="BW369" s="3">
        <f>W_ET*BS369+W_CONS*BT369+W_SEG*BV369</f>
        <v/>
      </c>
      <c r="BX369" s="3">
        <f>IF(N(AB369)&gt;0,AB369,IF(AND(R369="profesional",SG_LEGAL_ON=1),GAR_LEGAL,0))</f>
        <v/>
      </c>
      <c r="BY369" s="3">
        <f>SG_GAR*MIN(1,BX369/SG_GAR_FULL)+SG_AMPL*(AC369="sí")+SG_KMC*(AF369="sí")+SG_REV*(N(AE369)&gt;0)+SG_DEV*MIN(1,N(AG369)/SG_DEV_FULL)+SG_HIST*(W369="sí")</f>
        <v/>
      </c>
      <c r="BZ369" s="3">
        <f>IFERROR(VLOOKUP(L369,CARR_PEN_TBL,2,0),0)</f>
        <v/>
      </c>
      <c r="CA369" s="3">
        <f>W_FIAB*BL369+W_PRECIO*BM369+W_KMEDAD*BQ369+W_ANUNCIO*BR369+W_USO*BW369+W_SEGURIDAD*BY369-BZ369</f>
        <v/>
      </c>
      <c r="CB369" s="4">
        <f>IF(N(I369)&gt;0,I369,IFERROR(ROUND(_xlfn.NUMBERVALUE(LEFT(G369,FIND(" ",G369&amp;" ")-1),".")*1000,0),99999))</f>
        <v/>
      </c>
      <c r="CC369" s="3">
        <f>IF(R369="profesional",0,IF(O369&lt;CUOTA_VALOR_MAX,IF(AU369&gt;ITP_TRAMO_ALTO,SUMIFS(CF_CUOTA,CF_MAS,ITP_TRAMO_ALTO,CF_CCMIN,"&lt;="&amp;CB369,CF_CCMAX,"&gt;="&amp;CB369),IF(AU369&gt;ITP_TRAMO_BAJO,SUMIFS(CF_CUOTA,CF_MAS,ITP_TRAMO_BAJO,CF_CCMIN,"&lt;="&amp;CB369,CF_CCMAX,"&gt;="&amp;CB369),O369*ITP_TIPO)),O369*ITP_TIPO))</f>
        <v/>
      </c>
      <c r="CD369" s="4">
        <f>IF(R369="profesional",N(AK369),0)</f>
        <v/>
      </c>
      <c r="CE369" s="3">
        <f>IF(AND(R369="profesional",ISNUMBER(AK369),AL369="sí"),0,TASA_DGT)</f>
        <v/>
      </c>
      <c r="CF369" s="3">
        <f>INFORME_DGT</f>
        <v/>
      </c>
      <c r="CG369" s="4">
        <f>O369+CD369+CC369+CE369+CF369</f>
        <v/>
      </c>
      <c r="CH369" s="4">
        <f>CG369+N(BU369)</f>
        <v/>
      </c>
      <c r="CI369" s="3">
        <f>IF(CG369&lt;=TOTAL_MAX,"sí",IF(CG369&lt;=TOTAL_MAX+MARGEN_NEG,"negociar","no"))</f>
        <v/>
      </c>
      <c r="CJ369" s="4">
        <f>IF(CI369&lt;&gt;"no",COUNTIFS($CI$2:$CI$662,"&lt;&gt;no",$CA$2:$CA$662,"&gt;"&amp;CA369)+COUNTIFS($CI$2:CI369,"&lt;&gt;no",$CA$2:CA369,CA369),"")</f>
        <v/>
      </c>
    </row>
    <row r="370">
      <c r="A370" s="2" t="inlineStr">
        <is>
          <t>wallapop:1317820501</t>
        </is>
      </c>
      <c r="B370" s="2" t="inlineStr">
        <is>
          <t>wallapop</t>
        </is>
      </c>
      <c r="C370" s="2" t="inlineStr">
        <is>
          <t>https://es.wallapop.com/item/ford-fiesta-2007-1317820501</t>
        </is>
      </c>
      <c r="D370" s="2" t="inlineStr">
        <is>
          <t>Ford Fiesta 2007</t>
        </is>
      </c>
      <c r="E370" s="2" t="inlineStr">
        <is>
          <t>Ford</t>
        </is>
      </c>
      <c r="F370" s="2" t="inlineStr">
        <is>
          <t>Ford Fiesta</t>
        </is>
      </c>
      <c r="G370" s="2" t="inlineStr">
        <is>
          <t>1.4 TDCi</t>
        </is>
      </c>
      <c r="H370" s="2" t="inlineStr">
        <is>
          <t>1.4 TDCi 68 Ambiente 5p</t>
        </is>
      </c>
      <c r="I370" s="2" t="n"/>
      <c r="J370" s="2" t="n">
        <v>68</v>
      </c>
      <c r="K370" s="2" t="inlineStr">
        <is>
          <t>diesel</t>
        </is>
      </c>
      <c r="L370" s="2" t="inlineStr">
        <is>
          <t>utilitario</t>
        </is>
      </c>
      <c r="M370" s="2" t="n">
        <v>2007</v>
      </c>
      <c r="N370" s="2" t="n">
        <v>217000</v>
      </c>
      <c r="O370" s="2" t="n">
        <v>2850</v>
      </c>
      <c r="P370" s="2" t="inlineStr">
        <is>
          <t>manual</t>
        </is>
      </c>
      <c r="Q370" s="2" t="inlineStr">
        <is>
          <t>no</t>
        </is>
      </c>
      <c r="R370" s="2" t="inlineStr">
        <is>
          <t>particular</t>
        </is>
      </c>
      <c r="S370" s="2" t="inlineStr">
        <is>
          <t>Gandía (46700)</t>
        </is>
      </c>
      <c r="T370" s="2" t="inlineStr">
        <is>
          <t>2026-10-27T16:11:01</t>
        </is>
      </c>
      <c r="U370" s="2" t="n">
        <v>10</v>
      </c>
      <c r="V370" s="2" t="inlineStr">
        <is>
          <t>sí</t>
        </is>
      </c>
      <c r="W370" s="2" t="n"/>
      <c r="X370" s="2" t="n"/>
      <c r="Y370" s="2" t="n"/>
      <c r="Z370" s="2" t="n"/>
      <c r="AA370" s="2" t="n"/>
      <c r="AB370" s="2" t="n"/>
      <c r="AC370" s="2" t="n"/>
      <c r="AD370" s="2" t="n"/>
      <c r="AE370" s="2" t="n"/>
      <c r="AF370" s="2" t="n"/>
      <c r="AG370" s="2" t="n"/>
      <c r="AH370" s="2" t="n"/>
      <c r="AI370" s="2" t="n"/>
      <c r="AJ370" s="2" t="n"/>
      <c r="AK370" s="2" t="n"/>
      <c r="AL370" s="2" t="n"/>
      <c r="AM370" s="2" t="n">
        <v>58.3</v>
      </c>
      <c r="AN370" s="2" t="n">
        <v>3250</v>
      </c>
      <c r="AO370" s="2" t="n">
        <v>12</v>
      </c>
      <c r="AP370" s="2" t="inlineStr">
        <is>
          <t>modelo+año+km</t>
        </is>
      </c>
      <c r="AQ370" s="2" t="n"/>
      <c r="AR370" s="2" t="inlineStr">
        <is>
          <t>cuota fija ITP: &gt;12 años, hasta 1.500 cc</t>
        </is>
      </c>
      <c r="AS370" s="2" t="inlineStr">
        <is>
          <t xml:space="preserve">NECESITAS COCHE ECONOMICO QUE GASTE POCO Y QUE ESTE EN MUY BUENAS CONDICIONES?
Este es tu coche
Distribución recién hecha con factura
Compresor del aire acondicionado cambiado y funcionado completamente con su carga.
Todo revisado
El 1.4 el motor más resistente q hay.
Se entrega con un año de garantía e ITV RECIEN PASADA.
No lo dejes de lado ven a por el!!!
</t>
        </is>
      </c>
      <c r="AT370" s="2" t="inlineStr">
        <is>
          <t>https://es.wallapop.com/item/ford-fiesta-2007-1317820501 (__NEXT_DATA__ item) /home/user/Alopecia/buscador-coches/raw/wallapop/26b0194ff07f03ce.json</t>
        </is>
      </c>
      <c r="AU370" s="3">
        <f>MAX(ANIO_ACTUAL-M370,0)</f>
        <v/>
      </c>
      <c r="AV370" s="4">
        <f>N370/MAX(AU370,0.5)</f>
        <v/>
      </c>
      <c r="AW370" s="4">
        <f>F370</f>
        <v/>
      </c>
      <c r="AX370" s="3">
        <f>AW370&amp;"|"&amp;INT(M370/SEG_ANIO)*SEG_ANIO</f>
        <v/>
      </c>
      <c r="AY370" s="3">
        <f>AX370&amp;"|"&amp;INT(N370/SEG_KM)*SEG_KM</f>
        <v/>
      </c>
      <c r="AZ370" s="4">
        <f>COUNTIF($AW$2:$AW$662,AW370)</f>
        <v/>
      </c>
      <c r="BA370" s="4">
        <f>COUNTIF($AX$2:$AX$662,AX370)</f>
        <v/>
      </c>
      <c r="BB370" s="4">
        <f>COUNTIF($AY$2:$AY$662,AY370)</f>
        <v/>
      </c>
      <c r="BC370" s="3">
        <f t="array" ref="BC370">IF(N(AO370)&gt;=MIN_N,AN370,IF(BB370&gt;=MIN_N,MEDIAN(IF($AY$2:$AY$662=AY370,$O$2:$O$662)),IF(BA370&gt;=MIN_N,MEDIAN(IF($AX$2:$AX$662=AX370,$O$2:$O$662)),MEDIAN(IF($AW$2:$AW$662=AW370,$O$2:$O$662)))))</f>
        <v/>
      </c>
      <c r="BD370" s="3">
        <f>IF(N(AO370)&gt;=MIN_N,"mercado "&amp;AP370,IF(BB370&gt;=MIN_N,"modelo+año+km",IF(BA370&gt;=MIN_N,"modelo+año","modelo")))</f>
        <v/>
      </c>
      <c r="BE370" s="4">
        <f>(BC370-O370)/BC370</f>
        <v/>
      </c>
      <c r="BF370" s="3">
        <f>IF(OR(K370="hibrido",K370="glp"),"ECO",IF(K370="electrico","CERO",IF(K370="gasolina",IF(M370&gt;=GAS_C,"C",IF(M370&gt;=GAS_B,"B","A")),IF(K370="diesel",IF(M370&gt;=DIE_C,"C",IF(M370&gt;=DIE_B,"B","A")),""))))</f>
        <v/>
      </c>
      <c r="BG370" s="3">
        <f>IFERROR(VLOOKUP(F370,MOD_TBL,11,0),IFERROR(VLOOKUP(E370,OCU_TBL,2,0),NEUTRO))</f>
        <v/>
      </c>
      <c r="BH370" s="3">
        <f>SUMIFS(MOT_AJUSTE,MOT_MOTOR,G370,MOT_MARCA,E370,MOT_DESDE,"&lt;="&amp;M370,MOT_HASTA,"&gt;="&amp;M370)+SUMIFS(MOT_AJUSTE,MOT_MOTOR,G370,MOT_MARCA,"(todas)",MOT_DESDE,"&lt;="&amp;M370,MOT_HASTA,"&gt;="&amp;M370)</f>
        <v/>
      </c>
      <c r="BI370" s="3">
        <f>SUMIFS(COMB_AJUSTE,COMB_COMB,K370)</f>
        <v/>
      </c>
      <c r="BJ370" s="3">
        <f>COUNTIFS(MOT_MOTOR,G370,MOT_MARCA,E370,MOT_DESDE,"&lt;="&amp;M370,MOT_HASTA,"&gt;="&amp;M370)+COUNTIFS(MOT_MOTOR,G370,MOT_MARCA,"(todas)",MOT_DESDE,"&lt;="&amp;M370,MOT_HASTA,"&gt;="&amp;M370)</f>
        <v/>
      </c>
      <c r="BK370" s="3">
        <f>IF(AND(K370="diesel",BJ370=0),MIN(BG370,NEUTRO),BG370)</f>
        <v/>
      </c>
      <c r="BL370" s="4">
        <f>MAX(0,MIN(100,BK370+BH370+BI370))</f>
        <v/>
      </c>
      <c r="BM370" s="3">
        <f>MAX(0,MIN(100,50+BE370*PRECIO_PEND))</f>
        <v/>
      </c>
      <c r="BN370" s="3">
        <f>MAX(0,100*(1-N370/KM_MAX))</f>
        <v/>
      </c>
      <c r="BO370" s="3">
        <f>IF(AV370&lt;KMA_SOSP,IF(AA370="sí",100,KMA_PEN),IF(AV370&lt;=KMA_IDEAL_MAX,100,MAX(0,100*(KMA_CERO-AV370)/(KMA_CERO-KMA_IDEAL_MAX))))</f>
        <v/>
      </c>
      <c r="BP370" s="3">
        <f>MAX(0,MIN(100,100*(M370-ANIO_MIN)/(ANIO_ACTUAL-ANIO_MIN)))</f>
        <v/>
      </c>
      <c r="BQ370" s="3">
        <f>W_KMT*BN370+W_KMA*BO370+W_EDAD*BP370</f>
        <v/>
      </c>
      <c r="BR370" s="3">
        <f>P_ITV*(V370="sí")+P_LIBRO*(W370="sí")+P_CORREA*(X370="sí")+P_PROP*(Y370=1)+P_GAR*(Z370="sí")+P_FOTOS*MIN(1,N(U370)/FOTOS_OBJ)</f>
        <v/>
      </c>
      <c r="BS370" s="3">
        <f>IFERROR(VLOOKUP(BF370,ETQ_TBL,2,0),NEUTRO)</f>
        <v/>
      </c>
      <c r="BT370" s="3">
        <f>NEUTRO</f>
        <v/>
      </c>
      <c r="BU370" s="3">
        <f>IFERROR(VLOOKUP(L370,SEGURO_TBL,3,0),"")</f>
        <v/>
      </c>
      <c r="BV370" s="3">
        <f>IF(BU370="",NEUTRO,MAX(0,MIN(100,100*(SEG_REF_MAX-BU370)/(SEG_REF_MAX-SEG_REF_MIN))))</f>
        <v/>
      </c>
      <c r="BW370" s="3">
        <f>W_ET*BS370+W_CONS*BT370+W_SEG*BV370</f>
        <v/>
      </c>
      <c r="BX370" s="3">
        <f>IF(N(AB370)&gt;0,AB370,IF(AND(R370="profesional",SG_LEGAL_ON=1),GAR_LEGAL,0))</f>
        <v/>
      </c>
      <c r="BY370" s="3">
        <f>SG_GAR*MIN(1,BX370/SG_GAR_FULL)+SG_AMPL*(AC370="sí")+SG_KMC*(AF370="sí")+SG_REV*(N(AE370)&gt;0)+SG_DEV*MIN(1,N(AG370)/SG_DEV_FULL)+SG_HIST*(W370="sí")</f>
        <v/>
      </c>
      <c r="BZ370" s="3">
        <f>IFERROR(VLOOKUP(L370,CARR_PEN_TBL,2,0),0)</f>
        <v/>
      </c>
      <c r="CA370" s="3">
        <f>W_FIAB*BL370+W_PRECIO*BM370+W_KMEDAD*BQ370+W_ANUNCIO*BR370+W_USO*BW370+W_SEGURIDAD*BY370-BZ370</f>
        <v/>
      </c>
      <c r="CB370" s="4">
        <f>IF(N(I370)&gt;0,I370,IFERROR(ROUND(_xlfn.NUMBERVALUE(LEFT(G370,FIND(" ",G370&amp;" ")-1),".")*1000,0),99999))</f>
        <v/>
      </c>
      <c r="CC370" s="3">
        <f>IF(R370="profesional",0,IF(O370&lt;CUOTA_VALOR_MAX,IF(AU370&gt;ITP_TRAMO_ALTO,SUMIFS(CF_CUOTA,CF_MAS,ITP_TRAMO_ALTO,CF_CCMIN,"&lt;="&amp;CB370,CF_CCMAX,"&gt;="&amp;CB370),IF(AU370&gt;ITP_TRAMO_BAJO,SUMIFS(CF_CUOTA,CF_MAS,ITP_TRAMO_BAJO,CF_CCMIN,"&lt;="&amp;CB370,CF_CCMAX,"&gt;="&amp;CB370),O370*ITP_TIPO)),O370*ITP_TIPO))</f>
        <v/>
      </c>
      <c r="CD370" s="4">
        <f>IF(R370="profesional",N(AK370),0)</f>
        <v/>
      </c>
      <c r="CE370" s="3">
        <f>IF(AND(R370="profesional",ISNUMBER(AK370),AL370="sí"),0,TASA_DGT)</f>
        <v/>
      </c>
      <c r="CF370" s="3">
        <f>INFORME_DGT</f>
        <v/>
      </c>
      <c r="CG370" s="4">
        <f>O370+CD370+CC370+CE370+CF370</f>
        <v/>
      </c>
      <c r="CH370" s="4">
        <f>CG370+N(BU370)</f>
        <v/>
      </c>
      <c r="CI370" s="3">
        <f>IF(CG370&lt;=TOTAL_MAX,"sí",IF(CG370&lt;=TOTAL_MAX+MARGEN_NEG,"negociar","no"))</f>
        <v/>
      </c>
      <c r="CJ370" s="4">
        <f>IF(CI370&lt;&gt;"no",COUNTIFS($CI$2:$CI$662,"&lt;&gt;no",$CA$2:$CA$662,"&gt;"&amp;CA370)+COUNTIFS($CI$2:CI370,"&lt;&gt;no",$CA$2:CA370,CA370),"")</f>
        <v/>
      </c>
    </row>
    <row r="371">
      <c r="A371" s="2" t="inlineStr">
        <is>
          <t>wallapop:1285701129</t>
        </is>
      </c>
      <c r="B371" s="2" t="inlineStr">
        <is>
          <t>wallapop</t>
        </is>
      </c>
      <c r="C371" s="2" t="inlineStr">
        <is>
          <t>https://es.wallapop.com/item/ford-fiesta-2010-1285701129</t>
        </is>
      </c>
      <c r="D371" s="2" t="inlineStr">
        <is>
          <t>Ford Fiesta 2010</t>
        </is>
      </c>
      <c r="E371" s="2" t="inlineStr">
        <is>
          <t>Ford</t>
        </is>
      </c>
      <c r="F371" s="2" t="inlineStr">
        <is>
          <t>Ford Fiesta</t>
        </is>
      </c>
      <c r="G371" s="2" t="inlineStr">
        <is>
          <t>1.4 TDCi</t>
        </is>
      </c>
      <c r="H371" s="2" t="inlineStr">
        <is>
          <t>1.4 TDCi 68 Trend 5p</t>
        </is>
      </c>
      <c r="I371" s="2" t="n"/>
      <c r="J371" s="2" t="n">
        <v>68</v>
      </c>
      <c r="K371" s="2" t="inlineStr">
        <is>
          <t>diesel</t>
        </is>
      </c>
      <c r="L371" s="2" t="inlineStr">
        <is>
          <t>utilitario</t>
        </is>
      </c>
      <c r="M371" s="2" t="n">
        <v>2010</v>
      </c>
      <c r="N371" s="2" t="n">
        <v>200000</v>
      </c>
      <c r="O371" s="2" t="n">
        <v>2400</v>
      </c>
      <c r="P371" s="2" t="inlineStr">
        <is>
          <t>manual</t>
        </is>
      </c>
      <c r="Q371" s="2" t="inlineStr">
        <is>
          <t>no</t>
        </is>
      </c>
      <c r="R371" s="2" t="inlineStr">
        <is>
          <t>particular</t>
        </is>
      </c>
      <c r="S371" s="2" t="inlineStr">
        <is>
          <t>Gandía (46700)</t>
        </is>
      </c>
      <c r="T371" s="2" t="inlineStr">
        <is>
          <t>2026-10-22T11:05:39</t>
        </is>
      </c>
      <c r="U371" s="2" t="n">
        <v>7</v>
      </c>
      <c r="V371" s="2" t="n"/>
      <c r="W371" s="2" t="n"/>
      <c r="X371" s="2" t="n"/>
      <c r="Y371" s="2" t="n"/>
      <c r="Z371" s="2" t="n"/>
      <c r="AA371" s="2" t="n"/>
      <c r="AB371" s="2" t="n"/>
      <c r="AC371" s="2" t="n"/>
      <c r="AD371" s="2" t="n"/>
      <c r="AE371" s="2" t="n"/>
      <c r="AF371" s="2" t="n"/>
      <c r="AG371" s="2" t="n"/>
      <c r="AH371" s="2" t="n"/>
      <c r="AI371" s="2" t="n"/>
      <c r="AJ371" s="2" t="n"/>
      <c r="AK371" s="2" t="n"/>
      <c r="AL371" s="2" t="n"/>
      <c r="AM371" s="2" t="n">
        <v>58.1</v>
      </c>
      <c r="AN371" s="2" t="n">
        <v>3500</v>
      </c>
      <c r="AO371" s="2" t="n">
        <v>13</v>
      </c>
      <c r="AP371" s="2" t="inlineStr">
        <is>
          <t>modelo+año+km</t>
        </is>
      </c>
      <c r="AQ371" s="2" t="n"/>
      <c r="AR371" s="2" t="inlineStr">
        <is>
          <t>cuota fija ITP: &gt;12 años, hasta 1.500 cc; diésel: motor sin fuente de fiabilidad (fiabilidad limitada a neutra)</t>
        </is>
      </c>
      <c r="AS371" s="2" t="inlineStr">
        <is>
          <t xml:space="preserve">Ford Fiesta 2010 color azul, estado de chapa desgastada la pintura </t>
        </is>
      </c>
      <c r="AT371" s="2" t="inlineStr">
        <is>
          <t>https://es.wallapop.com/item/ford-fiesta-2010-1285701129 (__NEXT_DATA__ item) /home/user/Alopecia/buscador-coches/raw/wallapop/379bf48f5bf42abf.json</t>
        </is>
      </c>
      <c r="AU371" s="3">
        <f>MAX(ANIO_ACTUAL-M371,0)</f>
        <v/>
      </c>
      <c r="AV371" s="4">
        <f>N371/MAX(AU371,0.5)</f>
        <v/>
      </c>
      <c r="AW371" s="4">
        <f>F371</f>
        <v/>
      </c>
      <c r="AX371" s="3">
        <f>AW371&amp;"|"&amp;INT(M371/SEG_ANIO)*SEG_ANIO</f>
        <v/>
      </c>
      <c r="AY371" s="3">
        <f>AX371&amp;"|"&amp;INT(N371/SEG_KM)*SEG_KM</f>
        <v/>
      </c>
      <c r="AZ371" s="4">
        <f>COUNTIF($AW$2:$AW$662,AW371)</f>
        <v/>
      </c>
      <c r="BA371" s="4">
        <f>COUNTIF($AX$2:$AX$662,AX371)</f>
        <v/>
      </c>
      <c r="BB371" s="4">
        <f>COUNTIF($AY$2:$AY$662,AY371)</f>
        <v/>
      </c>
      <c r="BC371" s="3">
        <f t="array" ref="BC371">IF(N(AO371)&gt;=MIN_N,AN371,IF(BB371&gt;=MIN_N,MEDIAN(IF($AY$2:$AY$662=AY371,$O$2:$O$662)),IF(BA371&gt;=MIN_N,MEDIAN(IF($AX$2:$AX$662=AX371,$O$2:$O$662)),MEDIAN(IF($AW$2:$AW$662=AW371,$O$2:$O$662)))))</f>
        <v/>
      </c>
      <c r="BD371" s="3">
        <f>IF(N(AO371)&gt;=MIN_N,"mercado "&amp;AP371,IF(BB371&gt;=MIN_N,"modelo+año+km",IF(BA371&gt;=MIN_N,"modelo+año","modelo")))</f>
        <v/>
      </c>
      <c r="BE371" s="4">
        <f>(BC371-O371)/BC371</f>
        <v/>
      </c>
      <c r="BF371" s="3">
        <f>IF(OR(K371="hibrido",K371="glp"),"ECO",IF(K371="electrico","CERO",IF(K371="gasolina",IF(M371&gt;=GAS_C,"C",IF(M371&gt;=GAS_B,"B","A")),IF(K371="diesel",IF(M371&gt;=DIE_C,"C",IF(M371&gt;=DIE_B,"B","A")),""))))</f>
        <v/>
      </c>
      <c r="BG371" s="3">
        <f>IFERROR(VLOOKUP(F371,MOD_TBL,11,0),IFERROR(VLOOKUP(E371,OCU_TBL,2,0),NEUTRO))</f>
        <v/>
      </c>
      <c r="BH371" s="3">
        <f>SUMIFS(MOT_AJUSTE,MOT_MOTOR,G371,MOT_MARCA,E371,MOT_DESDE,"&lt;="&amp;M371,MOT_HASTA,"&gt;="&amp;M371)+SUMIFS(MOT_AJUSTE,MOT_MOTOR,G371,MOT_MARCA,"(todas)",MOT_DESDE,"&lt;="&amp;M371,MOT_HASTA,"&gt;="&amp;M371)</f>
        <v/>
      </c>
      <c r="BI371" s="3">
        <f>SUMIFS(COMB_AJUSTE,COMB_COMB,K371)</f>
        <v/>
      </c>
      <c r="BJ371" s="3">
        <f>COUNTIFS(MOT_MOTOR,G371,MOT_MARCA,E371,MOT_DESDE,"&lt;="&amp;M371,MOT_HASTA,"&gt;="&amp;M371)+COUNTIFS(MOT_MOTOR,G371,MOT_MARCA,"(todas)",MOT_DESDE,"&lt;="&amp;M371,MOT_HASTA,"&gt;="&amp;M371)</f>
        <v/>
      </c>
      <c r="BK371" s="3">
        <f>IF(AND(K371="diesel",BJ371=0),MIN(BG371,NEUTRO),BG371)</f>
        <v/>
      </c>
      <c r="BL371" s="4">
        <f>MAX(0,MIN(100,BK371+BH371+BI371))</f>
        <v/>
      </c>
      <c r="BM371" s="3">
        <f>MAX(0,MIN(100,50+BE371*PRECIO_PEND))</f>
        <v/>
      </c>
      <c r="BN371" s="3">
        <f>MAX(0,100*(1-N371/KM_MAX))</f>
        <v/>
      </c>
      <c r="BO371" s="3">
        <f>IF(AV371&lt;KMA_SOSP,IF(AA371="sí",100,KMA_PEN),IF(AV371&lt;=KMA_IDEAL_MAX,100,MAX(0,100*(KMA_CERO-AV371)/(KMA_CERO-KMA_IDEAL_MAX))))</f>
        <v/>
      </c>
      <c r="BP371" s="3">
        <f>MAX(0,MIN(100,100*(M371-ANIO_MIN)/(ANIO_ACTUAL-ANIO_MIN)))</f>
        <v/>
      </c>
      <c r="BQ371" s="3">
        <f>W_KMT*BN371+W_KMA*BO371+W_EDAD*BP371</f>
        <v/>
      </c>
      <c r="BR371" s="3">
        <f>P_ITV*(V371="sí")+P_LIBRO*(W371="sí")+P_CORREA*(X371="sí")+P_PROP*(Y371=1)+P_GAR*(Z371="sí")+P_FOTOS*MIN(1,N(U371)/FOTOS_OBJ)</f>
        <v/>
      </c>
      <c r="BS371" s="3">
        <f>IFERROR(VLOOKUP(BF371,ETQ_TBL,2,0),NEUTRO)</f>
        <v/>
      </c>
      <c r="BT371" s="3">
        <f>NEUTRO</f>
        <v/>
      </c>
      <c r="BU371" s="3">
        <f>IFERROR(VLOOKUP(L371,SEGURO_TBL,3,0),"")</f>
        <v/>
      </c>
      <c r="BV371" s="3">
        <f>IF(BU371="",NEUTRO,MAX(0,MIN(100,100*(SEG_REF_MAX-BU371)/(SEG_REF_MAX-SEG_REF_MIN))))</f>
        <v/>
      </c>
      <c r="BW371" s="3">
        <f>W_ET*BS371+W_CONS*BT371+W_SEG*BV371</f>
        <v/>
      </c>
      <c r="BX371" s="3">
        <f>IF(N(AB371)&gt;0,AB371,IF(AND(R371="profesional",SG_LEGAL_ON=1),GAR_LEGAL,0))</f>
        <v/>
      </c>
      <c r="BY371" s="3">
        <f>SG_GAR*MIN(1,BX371/SG_GAR_FULL)+SG_AMPL*(AC371="sí")+SG_KMC*(AF371="sí")+SG_REV*(N(AE371)&gt;0)+SG_DEV*MIN(1,N(AG371)/SG_DEV_FULL)+SG_HIST*(W371="sí")</f>
        <v/>
      </c>
      <c r="BZ371" s="3">
        <f>IFERROR(VLOOKUP(L371,CARR_PEN_TBL,2,0),0)</f>
        <v/>
      </c>
      <c r="CA371" s="3">
        <f>W_FIAB*BL371+W_PRECIO*BM371+W_KMEDAD*BQ371+W_ANUNCIO*BR371+W_USO*BW371+W_SEGURIDAD*BY371-BZ371</f>
        <v/>
      </c>
      <c r="CB371" s="4">
        <f>IF(N(I371)&gt;0,I371,IFERROR(ROUND(_xlfn.NUMBERVALUE(LEFT(G371,FIND(" ",G371&amp;" ")-1),".")*1000,0),99999))</f>
        <v/>
      </c>
      <c r="CC371" s="3">
        <f>IF(R371="profesional",0,IF(O371&lt;CUOTA_VALOR_MAX,IF(AU371&gt;ITP_TRAMO_ALTO,SUMIFS(CF_CUOTA,CF_MAS,ITP_TRAMO_ALTO,CF_CCMIN,"&lt;="&amp;CB371,CF_CCMAX,"&gt;="&amp;CB371),IF(AU371&gt;ITP_TRAMO_BAJO,SUMIFS(CF_CUOTA,CF_MAS,ITP_TRAMO_BAJO,CF_CCMIN,"&lt;="&amp;CB371,CF_CCMAX,"&gt;="&amp;CB371),O371*ITP_TIPO)),O371*ITP_TIPO))</f>
        <v/>
      </c>
      <c r="CD371" s="4">
        <f>IF(R371="profesional",N(AK371),0)</f>
        <v/>
      </c>
      <c r="CE371" s="3">
        <f>IF(AND(R371="profesional",ISNUMBER(AK371),AL371="sí"),0,TASA_DGT)</f>
        <v/>
      </c>
      <c r="CF371" s="3">
        <f>INFORME_DGT</f>
        <v/>
      </c>
      <c r="CG371" s="4">
        <f>O371+CD371+CC371+CE371+CF371</f>
        <v/>
      </c>
      <c r="CH371" s="4">
        <f>CG371+N(BU371)</f>
        <v/>
      </c>
      <c r="CI371" s="3">
        <f>IF(CG371&lt;=TOTAL_MAX,"sí",IF(CG371&lt;=TOTAL_MAX+MARGEN_NEG,"negociar","no"))</f>
        <v/>
      </c>
      <c r="CJ371" s="4">
        <f>IF(CI371&lt;&gt;"no",COUNTIFS($CI$2:$CI$662,"&lt;&gt;no",$CA$2:$CA$662,"&gt;"&amp;CA371)+COUNTIFS($CI$2:CI371,"&lt;&gt;no",$CA$2:CA371,CA371),"")</f>
        <v/>
      </c>
    </row>
    <row r="372">
      <c r="A372" s="2" t="inlineStr">
        <is>
          <t>wallapop:1281484675</t>
        </is>
      </c>
      <c r="B372" s="2" t="inlineStr">
        <is>
          <t>wallapop</t>
        </is>
      </c>
      <c r="C372" s="2" t="inlineStr">
        <is>
          <t>https://es.wallapop.com/item/ford-fiesta-2010-1281484675</t>
        </is>
      </c>
      <c r="D372" s="2" t="inlineStr">
        <is>
          <t>Ford Fiesta 2010</t>
        </is>
      </c>
      <c r="E372" s="2" t="inlineStr">
        <is>
          <t>Ford</t>
        </is>
      </c>
      <c r="F372" s="2" t="inlineStr">
        <is>
          <t>Ford Fiesta</t>
        </is>
      </c>
      <c r="G372" s="2" t="inlineStr">
        <is>
          <t>1.4 TDCi</t>
        </is>
      </c>
      <c r="H372" s="2" t="inlineStr">
        <is>
          <t>1.4 TDCi 68 Ambiente 5p</t>
        </is>
      </c>
      <c r="I372" s="2" t="n"/>
      <c r="J372" s="2" t="n">
        <v>68</v>
      </c>
      <c r="K372" s="2" t="inlineStr">
        <is>
          <t>diesel</t>
        </is>
      </c>
      <c r="L372" s="2" t="inlineStr">
        <is>
          <t>utilitario</t>
        </is>
      </c>
      <c r="M372" s="2" t="n">
        <v>2010</v>
      </c>
      <c r="N372" s="2" t="n">
        <v>170000</v>
      </c>
      <c r="O372" s="2" t="n">
        <v>5000</v>
      </c>
      <c r="P372" s="2" t="inlineStr">
        <is>
          <t>manual</t>
        </is>
      </c>
      <c r="Q372" s="2" t="inlineStr">
        <is>
          <t>no</t>
        </is>
      </c>
      <c r="R372" s="2" t="inlineStr">
        <is>
          <t>particular</t>
        </is>
      </c>
      <c r="S372" s="2" t="inlineStr">
        <is>
          <t>Gandía (46700)</t>
        </is>
      </c>
      <c r="T372" s="2" t="inlineStr">
        <is>
          <t>2026-10-30T18:30:51</t>
        </is>
      </c>
      <c r="U372" s="2" t="n">
        <v>7</v>
      </c>
      <c r="V372" s="2" t="inlineStr">
        <is>
          <t>sí</t>
        </is>
      </c>
      <c r="W372" s="2" t="n"/>
      <c r="X372" s="2" t="n"/>
      <c r="Y372" s="2" t="n"/>
      <c r="Z372" s="2" t="n"/>
      <c r="AA372" s="2" t="n"/>
      <c r="AB372" s="2" t="n"/>
      <c r="AC372" s="2" t="n"/>
      <c r="AD372" s="2" t="n"/>
      <c r="AE372" s="2" t="n"/>
      <c r="AF372" s="2" t="n"/>
      <c r="AG372" s="2" t="n"/>
      <c r="AH372" s="2" t="n"/>
      <c r="AI372" s="2" t="n"/>
      <c r="AJ372" s="2" t="n"/>
      <c r="AK372" s="2" t="n"/>
      <c r="AL372" s="2" t="n"/>
      <c r="AM372" s="2" t="n">
        <v>58.2</v>
      </c>
      <c r="AN372" s="2" t="n">
        <v>4545</v>
      </c>
      <c r="AO372" s="2" t="n">
        <v>18</v>
      </c>
      <c r="AP372" s="2" t="inlineStr">
        <is>
          <t>modelo+año+km</t>
        </is>
      </c>
      <c r="AQ372" s="2" t="n"/>
      <c r="AR372" s="2" t="inlineStr">
        <is>
          <t>por encima del presupuesto (5104 €), negociar; cuota fija ITP: &gt;12 años, hasta 1.500 cc; diésel: motor sin fuente de fiabilidad (fiabilidad limitada a neutra)</t>
        </is>
      </c>
      <c r="AS372" s="2" t="inlineStr">
        <is>
          <t>Ford Fiesta con muy bajo consumo, esta todo al dia, no hay que hacerle nada.
-Cubiertas en buen estado
-ITV recien pasada
SE LE ACABA DE CAMBIAR:
-Aceite de motor
-Filtro de aceite 
-Filtro de aire
-Liquido refrigerante
-Liquido de frenos
Tiene pantalla android con reproductor de Bluetooth y GPS.
Se acaba de repasar de pintura, esta bastante bien cuidado.
Esta al dia de seguro, itv e impuestos, se puede probar y se acepta prueba mecanica.</t>
        </is>
      </c>
      <c r="AT372" s="2" t="inlineStr">
        <is>
          <t>https://es.wallapop.com/item/ford-fiesta-2010-1281484675 (__NEXT_DATA__ item) /home/user/Alopecia/buscador-coches/raw/wallapop/049b263dbd8441ac.json</t>
        </is>
      </c>
      <c r="AU372" s="3">
        <f>MAX(ANIO_ACTUAL-M372,0)</f>
        <v/>
      </c>
      <c r="AV372" s="4">
        <f>N372/MAX(AU372,0.5)</f>
        <v/>
      </c>
      <c r="AW372" s="4">
        <f>F372</f>
        <v/>
      </c>
      <c r="AX372" s="3">
        <f>AW372&amp;"|"&amp;INT(M372/SEG_ANIO)*SEG_ANIO</f>
        <v/>
      </c>
      <c r="AY372" s="3">
        <f>AX372&amp;"|"&amp;INT(N372/SEG_KM)*SEG_KM</f>
        <v/>
      </c>
      <c r="AZ372" s="4">
        <f>COUNTIF($AW$2:$AW$662,AW372)</f>
        <v/>
      </c>
      <c r="BA372" s="4">
        <f>COUNTIF($AX$2:$AX$662,AX372)</f>
        <v/>
      </c>
      <c r="BB372" s="4">
        <f>COUNTIF($AY$2:$AY$662,AY372)</f>
        <v/>
      </c>
      <c r="BC372" s="3">
        <f t="array" ref="BC372">IF(N(AO372)&gt;=MIN_N,AN372,IF(BB372&gt;=MIN_N,MEDIAN(IF($AY$2:$AY$662=AY372,$O$2:$O$662)),IF(BA372&gt;=MIN_N,MEDIAN(IF($AX$2:$AX$662=AX372,$O$2:$O$662)),MEDIAN(IF($AW$2:$AW$662=AW372,$O$2:$O$662)))))</f>
        <v/>
      </c>
      <c r="BD372" s="3">
        <f>IF(N(AO372)&gt;=MIN_N,"mercado "&amp;AP372,IF(BB372&gt;=MIN_N,"modelo+año+km",IF(BA372&gt;=MIN_N,"modelo+año","modelo")))</f>
        <v/>
      </c>
      <c r="BE372" s="4">
        <f>(BC372-O372)/BC372</f>
        <v/>
      </c>
      <c r="BF372" s="3">
        <f>IF(OR(K372="hibrido",K372="glp"),"ECO",IF(K372="electrico","CERO",IF(K372="gasolina",IF(M372&gt;=GAS_C,"C",IF(M372&gt;=GAS_B,"B","A")),IF(K372="diesel",IF(M372&gt;=DIE_C,"C",IF(M372&gt;=DIE_B,"B","A")),""))))</f>
        <v/>
      </c>
      <c r="BG372" s="3">
        <f>IFERROR(VLOOKUP(F372,MOD_TBL,11,0),IFERROR(VLOOKUP(E372,OCU_TBL,2,0),NEUTRO))</f>
        <v/>
      </c>
      <c r="BH372" s="3">
        <f>SUMIFS(MOT_AJUSTE,MOT_MOTOR,G372,MOT_MARCA,E372,MOT_DESDE,"&lt;="&amp;M372,MOT_HASTA,"&gt;="&amp;M372)+SUMIFS(MOT_AJUSTE,MOT_MOTOR,G372,MOT_MARCA,"(todas)",MOT_DESDE,"&lt;="&amp;M372,MOT_HASTA,"&gt;="&amp;M372)</f>
        <v/>
      </c>
      <c r="BI372" s="3">
        <f>SUMIFS(COMB_AJUSTE,COMB_COMB,K372)</f>
        <v/>
      </c>
      <c r="BJ372" s="3">
        <f>COUNTIFS(MOT_MOTOR,G372,MOT_MARCA,E372,MOT_DESDE,"&lt;="&amp;M372,MOT_HASTA,"&gt;="&amp;M372)+COUNTIFS(MOT_MOTOR,G372,MOT_MARCA,"(todas)",MOT_DESDE,"&lt;="&amp;M372,MOT_HASTA,"&gt;="&amp;M372)</f>
        <v/>
      </c>
      <c r="BK372" s="3">
        <f>IF(AND(K372="diesel",BJ372=0),MIN(BG372,NEUTRO),BG372)</f>
        <v/>
      </c>
      <c r="BL372" s="4">
        <f>MAX(0,MIN(100,BK372+BH372+BI372))</f>
        <v/>
      </c>
      <c r="BM372" s="3">
        <f>MAX(0,MIN(100,50+BE372*PRECIO_PEND))</f>
        <v/>
      </c>
      <c r="BN372" s="3">
        <f>MAX(0,100*(1-N372/KM_MAX))</f>
        <v/>
      </c>
      <c r="BO372" s="3">
        <f>IF(AV372&lt;KMA_SOSP,IF(AA372="sí",100,KMA_PEN),IF(AV372&lt;=KMA_IDEAL_MAX,100,MAX(0,100*(KMA_CERO-AV372)/(KMA_CERO-KMA_IDEAL_MAX))))</f>
        <v/>
      </c>
      <c r="BP372" s="3">
        <f>MAX(0,MIN(100,100*(M372-ANIO_MIN)/(ANIO_ACTUAL-ANIO_MIN)))</f>
        <v/>
      </c>
      <c r="BQ372" s="3">
        <f>W_KMT*BN372+W_KMA*BO372+W_EDAD*BP372</f>
        <v/>
      </c>
      <c r="BR372" s="3">
        <f>P_ITV*(V372="sí")+P_LIBRO*(W372="sí")+P_CORREA*(X372="sí")+P_PROP*(Y372=1)+P_GAR*(Z372="sí")+P_FOTOS*MIN(1,N(U372)/FOTOS_OBJ)</f>
        <v/>
      </c>
      <c r="BS372" s="3">
        <f>IFERROR(VLOOKUP(BF372,ETQ_TBL,2,0),NEUTRO)</f>
        <v/>
      </c>
      <c r="BT372" s="3">
        <f>NEUTRO</f>
        <v/>
      </c>
      <c r="BU372" s="3">
        <f>IFERROR(VLOOKUP(L372,SEGURO_TBL,3,0),"")</f>
        <v/>
      </c>
      <c r="BV372" s="3">
        <f>IF(BU372="",NEUTRO,MAX(0,MIN(100,100*(SEG_REF_MAX-BU372)/(SEG_REF_MAX-SEG_REF_MIN))))</f>
        <v/>
      </c>
      <c r="BW372" s="3">
        <f>W_ET*BS372+W_CONS*BT372+W_SEG*BV372</f>
        <v/>
      </c>
      <c r="BX372" s="3">
        <f>IF(N(AB372)&gt;0,AB372,IF(AND(R372="profesional",SG_LEGAL_ON=1),GAR_LEGAL,0))</f>
        <v/>
      </c>
      <c r="BY372" s="3">
        <f>SG_GAR*MIN(1,BX372/SG_GAR_FULL)+SG_AMPL*(AC372="sí")+SG_KMC*(AF372="sí")+SG_REV*(N(AE372)&gt;0)+SG_DEV*MIN(1,N(AG372)/SG_DEV_FULL)+SG_HIST*(W372="sí")</f>
        <v/>
      </c>
      <c r="BZ372" s="3">
        <f>IFERROR(VLOOKUP(L372,CARR_PEN_TBL,2,0),0)</f>
        <v/>
      </c>
      <c r="CA372" s="3">
        <f>W_FIAB*BL372+W_PRECIO*BM372+W_KMEDAD*BQ372+W_ANUNCIO*BR372+W_USO*BW372+W_SEGURIDAD*BY372-BZ372</f>
        <v/>
      </c>
      <c r="CB372" s="4">
        <f>IF(N(I372)&gt;0,I372,IFERROR(ROUND(_xlfn.NUMBERVALUE(LEFT(G372,FIND(" ",G372&amp;" ")-1),".")*1000,0),99999))</f>
        <v/>
      </c>
      <c r="CC372" s="3">
        <f>IF(R372="profesional",0,IF(O372&lt;CUOTA_VALOR_MAX,IF(AU372&gt;ITP_TRAMO_ALTO,SUMIFS(CF_CUOTA,CF_MAS,ITP_TRAMO_ALTO,CF_CCMIN,"&lt;="&amp;CB372,CF_CCMAX,"&gt;="&amp;CB372),IF(AU372&gt;ITP_TRAMO_BAJO,SUMIFS(CF_CUOTA,CF_MAS,ITP_TRAMO_BAJO,CF_CCMIN,"&lt;="&amp;CB372,CF_CCMAX,"&gt;="&amp;CB372),O372*ITP_TIPO)),O372*ITP_TIPO))</f>
        <v/>
      </c>
      <c r="CD372" s="4">
        <f>IF(R372="profesional",N(AK372),0)</f>
        <v/>
      </c>
      <c r="CE372" s="3">
        <f>IF(AND(R372="profesional",ISNUMBER(AK372),AL372="sí"),0,TASA_DGT)</f>
        <v/>
      </c>
      <c r="CF372" s="3">
        <f>INFORME_DGT</f>
        <v/>
      </c>
      <c r="CG372" s="4">
        <f>O372+CD372+CC372+CE372+CF372</f>
        <v/>
      </c>
      <c r="CH372" s="4">
        <f>CG372+N(BU372)</f>
        <v/>
      </c>
      <c r="CI372" s="3">
        <f>IF(CG372&lt;=TOTAL_MAX,"sí",IF(CG372&lt;=TOTAL_MAX+MARGEN_NEG,"negociar","no"))</f>
        <v/>
      </c>
      <c r="CJ372" s="4">
        <f>IF(CI372&lt;&gt;"no",COUNTIFS($CI$2:$CI$662,"&lt;&gt;no",$CA$2:$CA$662,"&gt;"&amp;CA372)+COUNTIFS($CI$2:CI372,"&lt;&gt;no",$CA$2:CA372,CA372),"")</f>
        <v/>
      </c>
    </row>
    <row r="373">
      <c r="A373" s="2" t="inlineStr">
        <is>
          <t>wallapop:1247015131</t>
        </is>
      </c>
      <c r="B373" s="2" t="inlineStr">
        <is>
          <t>wallapop</t>
        </is>
      </c>
      <c r="C373" s="2" t="inlineStr">
        <is>
          <t>https://es.wallapop.com/item/ford-fiesta-2008-1247015131</t>
        </is>
      </c>
      <c r="D373" s="2" t="inlineStr">
        <is>
          <t>Ford Fiesta Sport ja8 2008</t>
        </is>
      </c>
      <c r="E373" s="2" t="inlineStr">
        <is>
          <t>Ford</t>
        </is>
      </c>
      <c r="F373" s="2" t="inlineStr">
        <is>
          <t>Ford Fiesta</t>
        </is>
      </c>
      <c r="G373" s="2" t="inlineStr">
        <is>
          <t>1.6</t>
        </is>
      </c>
      <c r="H373" s="2" t="inlineStr">
        <is>
          <t>1.6 120 Sport 3p</t>
        </is>
      </c>
      <c r="I373" s="2" t="n"/>
      <c r="J373" s="2" t="n">
        <v>120</v>
      </c>
      <c r="K373" s="2" t="inlineStr">
        <is>
          <t>gasolina</t>
        </is>
      </c>
      <c r="L373" s="2" t="inlineStr">
        <is>
          <t>utilitario</t>
        </is>
      </c>
      <c r="M373" s="2" t="n">
        <v>2008</v>
      </c>
      <c r="N373" s="2" t="n">
        <v>164500</v>
      </c>
      <c r="O373" s="2" t="n">
        <v>4500</v>
      </c>
      <c r="P373" s="2" t="inlineStr">
        <is>
          <t>manual</t>
        </is>
      </c>
      <c r="Q373" s="2" t="inlineStr">
        <is>
          <t>no</t>
        </is>
      </c>
      <c r="R373" s="2" t="inlineStr">
        <is>
          <t>particular</t>
        </is>
      </c>
      <c r="S373" s="2" t="inlineStr">
        <is>
          <t>Gandía (46700)</t>
        </is>
      </c>
      <c r="T373" s="2" t="inlineStr">
        <is>
          <t>2026-10-06T11:48:46</t>
        </is>
      </c>
      <c r="U373" s="2" t="n">
        <v>10</v>
      </c>
      <c r="V373" s="2" t="n"/>
      <c r="W373" s="2" t="n"/>
      <c r="X373" s="2" t="n"/>
      <c r="Y373" s="2" t="n"/>
      <c r="Z373" s="2" t="n"/>
      <c r="AA373" s="2" t="n"/>
      <c r="AB373" s="2" t="n"/>
      <c r="AC373" s="2" t="n"/>
      <c r="AD373" s="2" t="n"/>
      <c r="AE373" s="2" t="n"/>
      <c r="AF373" s="2" t="n"/>
      <c r="AG373" s="2" t="n"/>
      <c r="AH373" s="2" t="n"/>
      <c r="AI373" s="2" t="n"/>
      <c r="AJ373" s="2" t="n"/>
      <c r="AK373" s="2" t="n"/>
      <c r="AL373" s="2" t="n"/>
      <c r="AM373" s="2" t="n">
        <v>59</v>
      </c>
      <c r="AN373" s="2" t="n">
        <v>4500</v>
      </c>
      <c r="AO373" s="2" t="n">
        <v>18</v>
      </c>
      <c r="AP373" s="2" t="inlineStr">
        <is>
          <t>modelo+año+km</t>
        </is>
      </c>
      <c r="AQ373" s="2" t="n"/>
      <c r="AR373" s="2" t="inlineStr">
        <is>
          <t>cuota fija ITP: &gt;12 años, 1.501-2.000 cc</t>
        </is>
      </c>
      <c r="AS373" s="2" t="inlineStr">
        <is>
          <t xml:space="preserve">Modelo 2009 matriculado en diciembre de 2008. Motor atmosférico muy bien mantenido.
Correa de distribución y alternador cambiadas a los 95mil km
Bujías nuevas 
Bobina de encendido
Soporte de motor
Aceites y filtros
Bateria cambiada.
Se entrega con ITV
Interesados mas info por privado.
Extras:
Llantas originales ford multiradio negras 16”
Asientos sport de cuero .
*El coche nunca ha dado ningún problema.
Va perfecto y fino, se nota la aceleración, me duele venderlo pero me cambio a un coche más grande familiar.
</t>
        </is>
      </c>
      <c r="AT373" s="2" t="inlineStr">
        <is>
          <t>https://es.wallapop.com/item/ford-fiesta-2008-1247015131 (__NEXT_DATA__ item) /home/user/Alopecia/buscador-coches/raw/wallapop/bad37e65adfa9aef.json</t>
        </is>
      </c>
      <c r="AU373" s="3">
        <f>MAX(ANIO_ACTUAL-M373,0)</f>
        <v/>
      </c>
      <c r="AV373" s="4">
        <f>N373/MAX(AU373,0.5)</f>
        <v/>
      </c>
      <c r="AW373" s="4">
        <f>F373</f>
        <v/>
      </c>
      <c r="AX373" s="3">
        <f>AW373&amp;"|"&amp;INT(M373/SEG_ANIO)*SEG_ANIO</f>
        <v/>
      </c>
      <c r="AY373" s="3">
        <f>AX373&amp;"|"&amp;INT(N373/SEG_KM)*SEG_KM</f>
        <v/>
      </c>
      <c r="AZ373" s="4">
        <f>COUNTIF($AW$2:$AW$662,AW373)</f>
        <v/>
      </c>
      <c r="BA373" s="4">
        <f>COUNTIF($AX$2:$AX$662,AX373)</f>
        <v/>
      </c>
      <c r="BB373" s="4">
        <f>COUNTIF($AY$2:$AY$662,AY373)</f>
        <v/>
      </c>
      <c r="BC373" s="3">
        <f t="array" ref="BC373">IF(N(AO373)&gt;=MIN_N,AN373,IF(BB373&gt;=MIN_N,MEDIAN(IF($AY$2:$AY$662=AY373,$O$2:$O$662)),IF(BA373&gt;=MIN_N,MEDIAN(IF($AX$2:$AX$662=AX373,$O$2:$O$662)),MEDIAN(IF($AW$2:$AW$662=AW373,$O$2:$O$662)))))</f>
        <v/>
      </c>
      <c r="BD373" s="3">
        <f>IF(N(AO373)&gt;=MIN_N,"mercado "&amp;AP373,IF(BB373&gt;=MIN_N,"modelo+año+km",IF(BA373&gt;=MIN_N,"modelo+año","modelo")))</f>
        <v/>
      </c>
      <c r="BE373" s="4">
        <f>(BC373-O373)/BC373</f>
        <v/>
      </c>
      <c r="BF373" s="3">
        <f>IF(OR(K373="hibrido",K373="glp"),"ECO",IF(K373="electrico","CERO",IF(K373="gasolina",IF(M373&gt;=GAS_C,"C",IF(M373&gt;=GAS_B,"B","A")),IF(K373="diesel",IF(M373&gt;=DIE_C,"C",IF(M373&gt;=DIE_B,"B","A")),""))))</f>
        <v/>
      </c>
      <c r="BG373" s="3">
        <f>IFERROR(VLOOKUP(F373,MOD_TBL,11,0),IFERROR(VLOOKUP(E373,OCU_TBL,2,0),NEUTRO))</f>
        <v/>
      </c>
      <c r="BH373" s="3">
        <f>SUMIFS(MOT_AJUSTE,MOT_MOTOR,G373,MOT_MARCA,E373,MOT_DESDE,"&lt;="&amp;M373,MOT_HASTA,"&gt;="&amp;M373)+SUMIFS(MOT_AJUSTE,MOT_MOTOR,G373,MOT_MARCA,"(todas)",MOT_DESDE,"&lt;="&amp;M373,MOT_HASTA,"&gt;="&amp;M373)</f>
        <v/>
      </c>
      <c r="BI373" s="3">
        <f>SUMIFS(COMB_AJUSTE,COMB_COMB,K373)</f>
        <v/>
      </c>
      <c r="BJ373" s="3">
        <f>COUNTIFS(MOT_MOTOR,G373,MOT_MARCA,E373,MOT_DESDE,"&lt;="&amp;M373,MOT_HASTA,"&gt;="&amp;M373)+COUNTIFS(MOT_MOTOR,G373,MOT_MARCA,"(todas)",MOT_DESDE,"&lt;="&amp;M373,MOT_HASTA,"&gt;="&amp;M373)</f>
        <v/>
      </c>
      <c r="BK373" s="3">
        <f>IF(AND(K373="diesel",BJ373=0),MIN(BG373,NEUTRO),BG373)</f>
        <v/>
      </c>
      <c r="BL373" s="4">
        <f>MAX(0,MIN(100,BK373+BH373+BI373))</f>
        <v/>
      </c>
      <c r="BM373" s="3">
        <f>MAX(0,MIN(100,50+BE373*PRECIO_PEND))</f>
        <v/>
      </c>
      <c r="BN373" s="3">
        <f>MAX(0,100*(1-N373/KM_MAX))</f>
        <v/>
      </c>
      <c r="BO373" s="3">
        <f>IF(AV373&lt;KMA_SOSP,IF(AA373="sí",100,KMA_PEN),IF(AV373&lt;=KMA_IDEAL_MAX,100,MAX(0,100*(KMA_CERO-AV373)/(KMA_CERO-KMA_IDEAL_MAX))))</f>
        <v/>
      </c>
      <c r="BP373" s="3">
        <f>MAX(0,MIN(100,100*(M373-ANIO_MIN)/(ANIO_ACTUAL-ANIO_MIN)))</f>
        <v/>
      </c>
      <c r="BQ373" s="3">
        <f>W_KMT*BN373+W_KMA*BO373+W_EDAD*BP373</f>
        <v/>
      </c>
      <c r="BR373" s="3">
        <f>P_ITV*(V373="sí")+P_LIBRO*(W373="sí")+P_CORREA*(X373="sí")+P_PROP*(Y373=1)+P_GAR*(Z373="sí")+P_FOTOS*MIN(1,N(U373)/FOTOS_OBJ)</f>
        <v/>
      </c>
      <c r="BS373" s="3">
        <f>IFERROR(VLOOKUP(BF373,ETQ_TBL,2,0),NEUTRO)</f>
        <v/>
      </c>
      <c r="BT373" s="3">
        <f>NEUTRO</f>
        <v/>
      </c>
      <c r="BU373" s="3">
        <f>IFERROR(VLOOKUP(L373,SEGURO_TBL,3,0),"")</f>
        <v/>
      </c>
      <c r="BV373" s="3">
        <f>IF(BU373="",NEUTRO,MAX(0,MIN(100,100*(SEG_REF_MAX-BU373)/(SEG_REF_MAX-SEG_REF_MIN))))</f>
        <v/>
      </c>
      <c r="BW373" s="3">
        <f>W_ET*BS373+W_CONS*BT373+W_SEG*BV373</f>
        <v/>
      </c>
      <c r="BX373" s="3">
        <f>IF(N(AB373)&gt;0,AB373,IF(AND(R373="profesional",SG_LEGAL_ON=1),GAR_LEGAL,0))</f>
        <v/>
      </c>
      <c r="BY373" s="3">
        <f>SG_GAR*MIN(1,BX373/SG_GAR_FULL)+SG_AMPL*(AC373="sí")+SG_KMC*(AF373="sí")+SG_REV*(N(AE373)&gt;0)+SG_DEV*MIN(1,N(AG373)/SG_DEV_FULL)+SG_HIST*(W373="sí")</f>
        <v/>
      </c>
      <c r="BZ373" s="3">
        <f>IFERROR(VLOOKUP(L373,CARR_PEN_TBL,2,0),0)</f>
        <v/>
      </c>
      <c r="CA373" s="3">
        <f>W_FIAB*BL373+W_PRECIO*BM373+W_KMEDAD*BQ373+W_ANUNCIO*BR373+W_USO*BW373+W_SEGURIDAD*BY373-BZ373</f>
        <v/>
      </c>
      <c r="CB373" s="4">
        <f>IF(N(I373)&gt;0,I373,IFERROR(ROUND(_xlfn.NUMBERVALUE(LEFT(G373,FIND(" ",G373&amp;" ")-1),".")*1000,0),99999))</f>
        <v/>
      </c>
      <c r="CC373" s="3">
        <f>IF(R373="profesional",0,IF(O373&lt;CUOTA_VALOR_MAX,IF(AU373&gt;ITP_TRAMO_ALTO,SUMIFS(CF_CUOTA,CF_MAS,ITP_TRAMO_ALTO,CF_CCMIN,"&lt;="&amp;CB373,CF_CCMAX,"&gt;="&amp;CB373),IF(AU373&gt;ITP_TRAMO_BAJO,SUMIFS(CF_CUOTA,CF_MAS,ITP_TRAMO_BAJO,CF_CCMIN,"&lt;="&amp;CB373,CF_CCMAX,"&gt;="&amp;CB373),O373*ITP_TIPO)),O373*ITP_TIPO))</f>
        <v/>
      </c>
      <c r="CD373" s="4">
        <f>IF(R373="profesional",N(AK373),0)</f>
        <v/>
      </c>
      <c r="CE373" s="3">
        <f>IF(AND(R373="profesional",ISNUMBER(AK373),AL373="sí"),0,TASA_DGT)</f>
        <v/>
      </c>
      <c r="CF373" s="3">
        <f>INFORME_DGT</f>
        <v/>
      </c>
      <c r="CG373" s="4">
        <f>O373+CD373+CC373+CE373+CF373</f>
        <v/>
      </c>
      <c r="CH373" s="4">
        <f>CG373+N(BU373)</f>
        <v/>
      </c>
      <c r="CI373" s="3">
        <f>IF(CG373&lt;=TOTAL_MAX,"sí",IF(CG373&lt;=TOTAL_MAX+MARGEN_NEG,"negociar","no"))</f>
        <v/>
      </c>
      <c r="CJ373" s="4">
        <f>IF(CI373&lt;&gt;"no",COUNTIFS($CI$2:$CI$662,"&lt;&gt;no",$CA$2:$CA$662,"&gt;"&amp;CA373)+COUNTIFS($CI$2:CI373,"&lt;&gt;no",$CA$2:CA373,CA373),"")</f>
        <v/>
      </c>
    </row>
    <row r="374">
      <c r="A374" s="2" t="inlineStr">
        <is>
          <t>wallapop:1316074282</t>
        </is>
      </c>
      <c r="B374" s="2" t="inlineStr">
        <is>
          <t>wallapop</t>
        </is>
      </c>
      <c r="C374" s="2" t="inlineStr">
        <is>
          <t>https://es.wallapop.com/item/ford-fiesta-2012-1316074282</t>
        </is>
      </c>
      <c r="D374" s="2" t="inlineStr">
        <is>
          <t>Ford Fiesta 2012</t>
        </is>
      </c>
      <c r="E374" s="2" t="inlineStr">
        <is>
          <t>Ford</t>
        </is>
      </c>
      <c r="F374" s="2" t="inlineStr">
        <is>
          <t>Ford Fiesta</t>
        </is>
      </c>
      <c r="G374" s="2" t="n"/>
      <c r="H374" s="2" t="n"/>
      <c r="I374" s="2" t="n"/>
      <c r="J374" s="2" t="n">
        <v>80</v>
      </c>
      <c r="K374" s="2" t="inlineStr">
        <is>
          <t>diesel</t>
        </is>
      </c>
      <c r="L374" s="2" t="inlineStr">
        <is>
          <t>utilitario</t>
        </is>
      </c>
      <c r="M374" s="2" t="n">
        <v>2012</v>
      </c>
      <c r="N374" s="2" t="n">
        <v>180000</v>
      </c>
      <c r="O374" s="2" t="n">
        <v>4200</v>
      </c>
      <c r="P374" s="2" t="inlineStr">
        <is>
          <t>manual</t>
        </is>
      </c>
      <c r="Q374" s="2" t="inlineStr">
        <is>
          <t>no</t>
        </is>
      </c>
      <c r="R374" s="2" t="inlineStr">
        <is>
          <t>particular</t>
        </is>
      </c>
      <c r="S374" s="2" t="inlineStr">
        <is>
          <t>Gandía (46700)</t>
        </is>
      </c>
      <c r="T374" s="2" t="inlineStr">
        <is>
          <t>2026-10-22T16:25:43</t>
        </is>
      </c>
      <c r="U374" s="2" t="n">
        <v>7</v>
      </c>
      <c r="V374" s="2" t="n"/>
      <c r="W374" s="2" t="n"/>
      <c r="X374" s="2" t="n"/>
      <c r="Y374" s="2" t="n"/>
      <c r="Z374" s="2" t="n"/>
      <c r="AA374" s="2" t="n"/>
      <c r="AB374" s="2" t="n"/>
      <c r="AC374" s="2" t="n"/>
      <c r="AD374" s="2" t="n"/>
      <c r="AE374" s="2" t="n"/>
      <c r="AF374" s="2" t="n"/>
      <c r="AG374" s="2" t="n"/>
      <c r="AH374" s="2" t="n"/>
      <c r="AI374" s="2" t="n"/>
      <c r="AJ374" s="2" t="n"/>
      <c r="AK374" s="2" t="n"/>
      <c r="AL374" s="2" t="n"/>
      <c r="AM374" s="2" t="n">
        <v>58.5</v>
      </c>
      <c r="AN374" s="2" t="n">
        <v>4545</v>
      </c>
      <c r="AO374" s="2" t="n">
        <v>18</v>
      </c>
      <c r="AP374" s="2" t="inlineStr">
        <is>
          <t>modelo+año+km</t>
        </is>
      </c>
      <c r="AQ374" s="2" t="n"/>
      <c r="AR374" s="2" t="inlineStr">
        <is>
          <t>cilindrada desconocida: se aplica el tramo de cuota fija más alto; cuota fija ITP: &gt;12 años, más de 2.000 cc; diésel: motor sin fuente de fiabilidad (fiabilidad limitada a neutra)</t>
        </is>
      </c>
      <c r="AS374" s="2" t="inlineStr">
        <is>
          <t xml:space="preserve">Ford fiesta diesel 2012 se vende por no usar hace falta pasar itv solo aceite i filtros recien cambiados estado de motor perfecto </t>
        </is>
      </c>
      <c r="AT374" s="2" t="inlineStr">
        <is>
          <t>https://es.wallapop.com/item/ford-fiesta-2012-1316074282 (__NEXT_DATA__ item) /home/user/Alopecia/buscador-coches/raw/wallapop/f909e07d485ddbce.json</t>
        </is>
      </c>
      <c r="AU374" s="3">
        <f>MAX(ANIO_ACTUAL-M374,0)</f>
        <v/>
      </c>
      <c r="AV374" s="4">
        <f>N374/MAX(AU374,0.5)</f>
        <v/>
      </c>
      <c r="AW374" s="4">
        <f>F374</f>
        <v/>
      </c>
      <c r="AX374" s="3">
        <f>AW374&amp;"|"&amp;INT(M374/SEG_ANIO)*SEG_ANIO</f>
        <v/>
      </c>
      <c r="AY374" s="3">
        <f>AX374&amp;"|"&amp;INT(N374/SEG_KM)*SEG_KM</f>
        <v/>
      </c>
      <c r="AZ374" s="4">
        <f>COUNTIF($AW$2:$AW$662,AW374)</f>
        <v/>
      </c>
      <c r="BA374" s="4">
        <f>COUNTIF($AX$2:$AX$662,AX374)</f>
        <v/>
      </c>
      <c r="BB374" s="4">
        <f>COUNTIF($AY$2:$AY$662,AY374)</f>
        <v/>
      </c>
      <c r="BC374" s="3">
        <f t="array" ref="BC374">IF(N(AO374)&gt;=MIN_N,AN374,IF(BB374&gt;=MIN_N,MEDIAN(IF($AY$2:$AY$662=AY374,$O$2:$O$662)),IF(BA374&gt;=MIN_N,MEDIAN(IF($AX$2:$AX$662=AX374,$O$2:$O$662)),MEDIAN(IF($AW$2:$AW$662=AW374,$O$2:$O$662)))))</f>
        <v/>
      </c>
      <c r="BD374" s="3">
        <f>IF(N(AO374)&gt;=MIN_N,"mercado "&amp;AP374,IF(BB374&gt;=MIN_N,"modelo+año+km",IF(BA374&gt;=MIN_N,"modelo+año","modelo")))</f>
        <v/>
      </c>
      <c r="BE374" s="4">
        <f>(BC374-O374)/BC374</f>
        <v/>
      </c>
      <c r="BF374" s="3">
        <f>IF(OR(K374="hibrido",K374="glp"),"ECO",IF(K374="electrico","CERO",IF(K374="gasolina",IF(M374&gt;=GAS_C,"C",IF(M374&gt;=GAS_B,"B","A")),IF(K374="diesel",IF(M374&gt;=DIE_C,"C",IF(M374&gt;=DIE_B,"B","A")),""))))</f>
        <v/>
      </c>
      <c r="BG374" s="3">
        <f>IFERROR(VLOOKUP(F374,MOD_TBL,11,0),IFERROR(VLOOKUP(E374,OCU_TBL,2,0),NEUTRO))</f>
        <v/>
      </c>
      <c r="BH374" s="3">
        <f>SUMIFS(MOT_AJUSTE,MOT_MOTOR,G374,MOT_MARCA,E374,MOT_DESDE,"&lt;="&amp;M374,MOT_HASTA,"&gt;="&amp;M374)+SUMIFS(MOT_AJUSTE,MOT_MOTOR,G374,MOT_MARCA,"(todas)",MOT_DESDE,"&lt;="&amp;M374,MOT_HASTA,"&gt;="&amp;M374)</f>
        <v/>
      </c>
      <c r="BI374" s="3">
        <f>SUMIFS(COMB_AJUSTE,COMB_COMB,K374)</f>
        <v/>
      </c>
      <c r="BJ374" s="3">
        <f>COUNTIFS(MOT_MOTOR,G374,MOT_MARCA,E374,MOT_DESDE,"&lt;="&amp;M374,MOT_HASTA,"&gt;="&amp;M374)+COUNTIFS(MOT_MOTOR,G374,MOT_MARCA,"(todas)",MOT_DESDE,"&lt;="&amp;M374,MOT_HASTA,"&gt;="&amp;M374)</f>
        <v/>
      </c>
      <c r="BK374" s="3">
        <f>IF(AND(K374="diesel",BJ374=0),MIN(BG374,NEUTRO),BG374)</f>
        <v/>
      </c>
      <c r="BL374" s="4">
        <f>MAX(0,MIN(100,BK374+BH374+BI374))</f>
        <v/>
      </c>
      <c r="BM374" s="3">
        <f>MAX(0,MIN(100,50+BE374*PRECIO_PEND))</f>
        <v/>
      </c>
      <c r="BN374" s="3">
        <f>MAX(0,100*(1-N374/KM_MAX))</f>
        <v/>
      </c>
      <c r="BO374" s="3">
        <f>IF(AV374&lt;KMA_SOSP,IF(AA374="sí",100,KMA_PEN),IF(AV374&lt;=KMA_IDEAL_MAX,100,MAX(0,100*(KMA_CERO-AV374)/(KMA_CERO-KMA_IDEAL_MAX))))</f>
        <v/>
      </c>
      <c r="BP374" s="3">
        <f>MAX(0,MIN(100,100*(M374-ANIO_MIN)/(ANIO_ACTUAL-ANIO_MIN)))</f>
        <v/>
      </c>
      <c r="BQ374" s="3">
        <f>W_KMT*BN374+W_KMA*BO374+W_EDAD*BP374</f>
        <v/>
      </c>
      <c r="BR374" s="3">
        <f>P_ITV*(V374="sí")+P_LIBRO*(W374="sí")+P_CORREA*(X374="sí")+P_PROP*(Y374=1)+P_GAR*(Z374="sí")+P_FOTOS*MIN(1,N(U374)/FOTOS_OBJ)</f>
        <v/>
      </c>
      <c r="BS374" s="3">
        <f>IFERROR(VLOOKUP(BF374,ETQ_TBL,2,0),NEUTRO)</f>
        <v/>
      </c>
      <c r="BT374" s="3">
        <f>NEUTRO</f>
        <v/>
      </c>
      <c r="BU374" s="3">
        <f>IFERROR(VLOOKUP(L374,SEGURO_TBL,3,0),"")</f>
        <v/>
      </c>
      <c r="BV374" s="3">
        <f>IF(BU374="",NEUTRO,MAX(0,MIN(100,100*(SEG_REF_MAX-BU374)/(SEG_REF_MAX-SEG_REF_MIN))))</f>
        <v/>
      </c>
      <c r="BW374" s="3">
        <f>W_ET*BS374+W_CONS*BT374+W_SEG*BV374</f>
        <v/>
      </c>
      <c r="BX374" s="3">
        <f>IF(N(AB374)&gt;0,AB374,IF(AND(R374="profesional",SG_LEGAL_ON=1),GAR_LEGAL,0))</f>
        <v/>
      </c>
      <c r="BY374" s="3">
        <f>SG_GAR*MIN(1,BX374/SG_GAR_FULL)+SG_AMPL*(AC374="sí")+SG_KMC*(AF374="sí")+SG_REV*(N(AE374)&gt;0)+SG_DEV*MIN(1,N(AG374)/SG_DEV_FULL)+SG_HIST*(W374="sí")</f>
        <v/>
      </c>
      <c r="BZ374" s="3">
        <f>IFERROR(VLOOKUP(L374,CARR_PEN_TBL,2,0),0)</f>
        <v/>
      </c>
      <c r="CA374" s="3">
        <f>W_FIAB*BL374+W_PRECIO*BM374+W_KMEDAD*BQ374+W_ANUNCIO*BR374+W_USO*BW374+W_SEGURIDAD*BY374-BZ374</f>
        <v/>
      </c>
      <c r="CB374" s="4">
        <f>IF(N(I374)&gt;0,I374,IFERROR(ROUND(_xlfn.NUMBERVALUE(LEFT(G374,FIND(" ",G374&amp;" ")-1),".")*1000,0),99999))</f>
        <v/>
      </c>
      <c r="CC374" s="3">
        <f>IF(R374="profesional",0,IF(O374&lt;CUOTA_VALOR_MAX,IF(AU374&gt;ITP_TRAMO_ALTO,SUMIFS(CF_CUOTA,CF_MAS,ITP_TRAMO_ALTO,CF_CCMIN,"&lt;="&amp;CB374,CF_CCMAX,"&gt;="&amp;CB374),IF(AU374&gt;ITP_TRAMO_BAJO,SUMIFS(CF_CUOTA,CF_MAS,ITP_TRAMO_BAJO,CF_CCMIN,"&lt;="&amp;CB374,CF_CCMAX,"&gt;="&amp;CB374),O374*ITP_TIPO)),O374*ITP_TIPO))</f>
        <v/>
      </c>
      <c r="CD374" s="4">
        <f>IF(R374="profesional",N(AK374),0)</f>
        <v/>
      </c>
      <c r="CE374" s="3">
        <f>IF(AND(R374="profesional",ISNUMBER(AK374),AL374="sí"),0,TASA_DGT)</f>
        <v/>
      </c>
      <c r="CF374" s="3">
        <f>INFORME_DGT</f>
        <v/>
      </c>
      <c r="CG374" s="4">
        <f>O374+CD374+CC374+CE374+CF374</f>
        <v/>
      </c>
      <c r="CH374" s="4">
        <f>CG374+N(BU374)</f>
        <v/>
      </c>
      <c r="CI374" s="3">
        <f>IF(CG374&lt;=TOTAL_MAX,"sí",IF(CG374&lt;=TOTAL_MAX+MARGEN_NEG,"negociar","no"))</f>
        <v/>
      </c>
      <c r="CJ374" s="4">
        <f>IF(CI374&lt;&gt;"no",COUNTIFS($CI$2:$CI$662,"&lt;&gt;no",$CA$2:$CA$662,"&gt;"&amp;CA374)+COUNTIFS($CI$2:CI374,"&lt;&gt;no",$CA$2:CA374,CA374),"")</f>
        <v/>
      </c>
    </row>
    <row r="375">
      <c r="A375" s="2" t="inlineStr">
        <is>
          <t>wallapop:1315660957</t>
        </is>
      </c>
      <c r="B375" s="2" t="inlineStr">
        <is>
          <t>wallapop</t>
        </is>
      </c>
      <c r="C375" s="2" t="inlineStr">
        <is>
          <t>https://es.wallapop.com/item/ford-ford-fiesta-2011-1315660957</t>
        </is>
      </c>
      <c r="D375" s="2" t="inlineStr">
        <is>
          <t>Ford Ford fiesta 2011</t>
        </is>
      </c>
      <c r="E375" s="2" t="inlineStr">
        <is>
          <t>Ford</t>
        </is>
      </c>
      <c r="F375" s="2" t="inlineStr">
        <is>
          <t>Ford Fiesta</t>
        </is>
      </c>
      <c r="G375" s="2" t="n"/>
      <c r="H375" s="2" t="inlineStr">
        <is>
          <t>16</t>
        </is>
      </c>
      <c r="I375" s="2" t="n"/>
      <c r="J375" s="2" t="n"/>
      <c r="K375" s="2" t="inlineStr">
        <is>
          <t>diesel</t>
        </is>
      </c>
      <c r="L375" s="2" t="inlineStr">
        <is>
          <t>utilitario</t>
        </is>
      </c>
      <c r="M375" s="2" t="n">
        <v>2011</v>
      </c>
      <c r="N375" s="2" t="n">
        <v>178000</v>
      </c>
      <c r="O375" s="2" t="n">
        <v>4000</v>
      </c>
      <c r="P375" s="2" t="inlineStr">
        <is>
          <t>manual</t>
        </is>
      </c>
      <c r="Q375" s="2" t="inlineStr">
        <is>
          <t>no</t>
        </is>
      </c>
      <c r="R375" s="2" t="inlineStr">
        <is>
          <t>particular</t>
        </is>
      </c>
      <c r="S375" s="2" t="inlineStr">
        <is>
          <t>Burjassot (46100)</t>
        </is>
      </c>
      <c r="T375" s="2" t="inlineStr">
        <is>
          <t>2026-10-21T14:10:07</t>
        </is>
      </c>
      <c r="U375" s="2" t="n">
        <v>6</v>
      </c>
      <c r="V375" s="2" t="inlineStr">
        <is>
          <t>sí</t>
        </is>
      </c>
      <c r="W375" s="2" t="n"/>
      <c r="X375" s="2" t="n"/>
      <c r="Y375" s="2" t="n"/>
      <c r="Z375" s="2" t="n"/>
      <c r="AA375" s="2" t="n"/>
      <c r="AB375" s="2" t="n"/>
      <c r="AC375" s="2" t="n"/>
      <c r="AD375" s="2" t="n"/>
      <c r="AE375" s="2" t="n"/>
      <c r="AF375" s="2" t="n"/>
      <c r="AG375" s="2" t="n"/>
      <c r="AH375" s="2" t="n"/>
      <c r="AI375" s="2" t="n"/>
      <c r="AJ375" s="2" t="n"/>
      <c r="AK375" s="2" t="n"/>
      <c r="AL375" s="2" t="n"/>
      <c r="AM375" s="2" t="n">
        <v>5.7</v>
      </c>
      <c r="AN375" s="2" t="n">
        <v>4545</v>
      </c>
      <c r="AO375" s="2" t="n">
        <v>18</v>
      </c>
      <c r="AP375" s="2" t="inlineStr">
        <is>
          <t>modelo+año+km</t>
        </is>
      </c>
      <c r="AQ375" s="2" t="n"/>
      <c r="AR375" s="2" t="inlineStr">
        <is>
          <t>cilindrada desconocida: se aplica el tramo de cuota fija más alto; cuota fija ITP: &gt;12 años, más de 2.000 cc; diésel: motor sin fuente de fiabilidad (fiabilidad limitada a neutra)</t>
        </is>
      </c>
      <c r="AS375" s="2" t="inlineStr">
        <is>
          <t>🚗 Ford Fiesta 2011 – 4.000 € – ITV pasada
Vendo Ford Fiesta del año 2011, de color negro, ideal como coche para el día a día o como primer vehículo.
✅ Revisiones al día.
✅ ITV pasada y en vigor.
✅ Motor en buen funcionamiento.
✅ Coche en marcha.
✅ Diseño deportivo con llantas negras.
🔧 Estado del vehículo:
Tiene algunos desperfectos estéticos en la chapa propios del paso del tiempo, como se aprecia en las fotografías. El motor funciona bien.
📍 Se puede ver y probar sin compromiso.
📩 Interesados, contactar por privado para más información.</t>
        </is>
      </c>
      <c r="AT375" s="2" t="inlineStr">
        <is>
          <t>https://es.wallapop.com/item/ford-ford-fiesta-2011-1315660957 (__NEXT_DATA__ item) /home/user/Alopecia/buscador-coches/raw/wallapop/6682722fed557e1e.json</t>
        </is>
      </c>
      <c r="AU375" s="3">
        <f>MAX(ANIO_ACTUAL-M375,0)</f>
        <v/>
      </c>
      <c r="AV375" s="4">
        <f>N375/MAX(AU375,0.5)</f>
        <v/>
      </c>
      <c r="AW375" s="4">
        <f>F375</f>
        <v/>
      </c>
      <c r="AX375" s="3">
        <f>AW375&amp;"|"&amp;INT(M375/SEG_ANIO)*SEG_ANIO</f>
        <v/>
      </c>
      <c r="AY375" s="3">
        <f>AX375&amp;"|"&amp;INT(N375/SEG_KM)*SEG_KM</f>
        <v/>
      </c>
      <c r="AZ375" s="4">
        <f>COUNTIF($AW$2:$AW$662,AW375)</f>
        <v/>
      </c>
      <c r="BA375" s="4">
        <f>COUNTIF($AX$2:$AX$662,AX375)</f>
        <v/>
      </c>
      <c r="BB375" s="4">
        <f>COUNTIF($AY$2:$AY$662,AY375)</f>
        <v/>
      </c>
      <c r="BC375" s="3">
        <f t="array" ref="BC375">IF(N(AO375)&gt;=MIN_N,AN375,IF(BB375&gt;=MIN_N,MEDIAN(IF($AY$2:$AY$662=AY375,$O$2:$O$662)),IF(BA375&gt;=MIN_N,MEDIAN(IF($AX$2:$AX$662=AX375,$O$2:$O$662)),MEDIAN(IF($AW$2:$AW$662=AW375,$O$2:$O$662)))))</f>
        <v/>
      </c>
      <c r="BD375" s="3">
        <f>IF(N(AO375)&gt;=MIN_N,"mercado "&amp;AP375,IF(BB375&gt;=MIN_N,"modelo+año+km",IF(BA375&gt;=MIN_N,"modelo+año","modelo")))</f>
        <v/>
      </c>
      <c r="BE375" s="4">
        <f>(BC375-O375)/BC375</f>
        <v/>
      </c>
      <c r="BF375" s="3">
        <f>IF(OR(K375="hibrido",K375="glp"),"ECO",IF(K375="electrico","CERO",IF(K375="gasolina",IF(M375&gt;=GAS_C,"C",IF(M375&gt;=GAS_B,"B","A")),IF(K375="diesel",IF(M375&gt;=DIE_C,"C",IF(M375&gt;=DIE_B,"B","A")),""))))</f>
        <v/>
      </c>
      <c r="BG375" s="3">
        <f>IFERROR(VLOOKUP(F375,MOD_TBL,11,0),IFERROR(VLOOKUP(E375,OCU_TBL,2,0),NEUTRO))</f>
        <v/>
      </c>
      <c r="BH375" s="3">
        <f>SUMIFS(MOT_AJUSTE,MOT_MOTOR,G375,MOT_MARCA,E375,MOT_DESDE,"&lt;="&amp;M375,MOT_HASTA,"&gt;="&amp;M375)+SUMIFS(MOT_AJUSTE,MOT_MOTOR,G375,MOT_MARCA,"(todas)",MOT_DESDE,"&lt;="&amp;M375,MOT_HASTA,"&gt;="&amp;M375)</f>
        <v/>
      </c>
      <c r="BI375" s="3">
        <f>SUMIFS(COMB_AJUSTE,COMB_COMB,K375)</f>
        <v/>
      </c>
      <c r="BJ375" s="3">
        <f>COUNTIFS(MOT_MOTOR,G375,MOT_MARCA,E375,MOT_DESDE,"&lt;="&amp;M375,MOT_HASTA,"&gt;="&amp;M375)+COUNTIFS(MOT_MOTOR,G375,MOT_MARCA,"(todas)",MOT_DESDE,"&lt;="&amp;M375,MOT_HASTA,"&gt;="&amp;M375)</f>
        <v/>
      </c>
      <c r="BK375" s="3">
        <f>IF(AND(K375="diesel",BJ375=0),MIN(BG375,NEUTRO),BG375)</f>
        <v/>
      </c>
      <c r="BL375" s="4">
        <f>MAX(0,MIN(100,BK375+BH375+BI375))</f>
        <v/>
      </c>
      <c r="BM375" s="3">
        <f>MAX(0,MIN(100,50+BE375*PRECIO_PEND))</f>
        <v/>
      </c>
      <c r="BN375" s="3">
        <f>MAX(0,100*(1-N375/KM_MAX))</f>
        <v/>
      </c>
      <c r="BO375" s="3">
        <f>IF(AV375&lt;KMA_SOSP,IF(AA375="sí",100,KMA_PEN),IF(AV375&lt;=KMA_IDEAL_MAX,100,MAX(0,100*(KMA_CERO-AV375)/(KMA_CERO-KMA_IDEAL_MAX))))</f>
        <v/>
      </c>
      <c r="BP375" s="3">
        <f>MAX(0,MIN(100,100*(M375-ANIO_MIN)/(ANIO_ACTUAL-ANIO_MIN)))</f>
        <v/>
      </c>
      <c r="BQ375" s="3">
        <f>W_KMT*BN375+W_KMA*BO375+W_EDAD*BP375</f>
        <v/>
      </c>
      <c r="BR375" s="3">
        <f>P_ITV*(V375="sí")+P_LIBRO*(W375="sí")+P_CORREA*(X375="sí")+P_PROP*(Y375=1)+P_GAR*(Z375="sí")+P_FOTOS*MIN(1,N(U375)/FOTOS_OBJ)</f>
        <v/>
      </c>
      <c r="BS375" s="3">
        <f>IFERROR(VLOOKUP(BF375,ETQ_TBL,2,0),NEUTRO)</f>
        <v/>
      </c>
      <c r="BT375" s="3">
        <f>NEUTRO</f>
        <v/>
      </c>
      <c r="BU375" s="3">
        <f>IFERROR(VLOOKUP(L375,SEGURO_TBL,3,0),"")</f>
        <v/>
      </c>
      <c r="BV375" s="3">
        <f>IF(BU375="",NEUTRO,MAX(0,MIN(100,100*(SEG_REF_MAX-BU375)/(SEG_REF_MAX-SEG_REF_MIN))))</f>
        <v/>
      </c>
      <c r="BW375" s="3">
        <f>W_ET*BS375+W_CONS*BT375+W_SEG*BV375</f>
        <v/>
      </c>
      <c r="BX375" s="3">
        <f>IF(N(AB375)&gt;0,AB375,IF(AND(R375="profesional",SG_LEGAL_ON=1),GAR_LEGAL,0))</f>
        <v/>
      </c>
      <c r="BY375" s="3">
        <f>SG_GAR*MIN(1,BX375/SG_GAR_FULL)+SG_AMPL*(AC375="sí")+SG_KMC*(AF375="sí")+SG_REV*(N(AE375)&gt;0)+SG_DEV*MIN(1,N(AG375)/SG_DEV_FULL)+SG_HIST*(W375="sí")</f>
        <v/>
      </c>
      <c r="BZ375" s="3">
        <f>IFERROR(VLOOKUP(L375,CARR_PEN_TBL,2,0),0)</f>
        <v/>
      </c>
      <c r="CA375" s="3">
        <f>W_FIAB*BL375+W_PRECIO*BM375+W_KMEDAD*BQ375+W_ANUNCIO*BR375+W_USO*BW375+W_SEGURIDAD*BY375-BZ375</f>
        <v/>
      </c>
      <c r="CB375" s="4">
        <f>IF(N(I375)&gt;0,I375,IFERROR(ROUND(_xlfn.NUMBERVALUE(LEFT(G375,FIND(" ",G375&amp;" ")-1),".")*1000,0),99999))</f>
        <v/>
      </c>
      <c r="CC375" s="3">
        <f>IF(R375="profesional",0,IF(O375&lt;CUOTA_VALOR_MAX,IF(AU375&gt;ITP_TRAMO_ALTO,SUMIFS(CF_CUOTA,CF_MAS,ITP_TRAMO_ALTO,CF_CCMIN,"&lt;="&amp;CB375,CF_CCMAX,"&gt;="&amp;CB375),IF(AU375&gt;ITP_TRAMO_BAJO,SUMIFS(CF_CUOTA,CF_MAS,ITP_TRAMO_BAJO,CF_CCMIN,"&lt;="&amp;CB375,CF_CCMAX,"&gt;="&amp;CB375),O375*ITP_TIPO)),O375*ITP_TIPO))</f>
        <v/>
      </c>
      <c r="CD375" s="4">
        <f>IF(R375="profesional",N(AK375),0)</f>
        <v/>
      </c>
      <c r="CE375" s="3">
        <f>IF(AND(R375="profesional",ISNUMBER(AK375),AL375="sí"),0,TASA_DGT)</f>
        <v/>
      </c>
      <c r="CF375" s="3">
        <f>INFORME_DGT</f>
        <v/>
      </c>
      <c r="CG375" s="4">
        <f>O375+CD375+CC375+CE375+CF375</f>
        <v/>
      </c>
      <c r="CH375" s="4">
        <f>CG375+N(BU375)</f>
        <v/>
      </c>
      <c r="CI375" s="3">
        <f>IF(CG375&lt;=TOTAL_MAX,"sí",IF(CG375&lt;=TOTAL_MAX+MARGEN_NEG,"negociar","no"))</f>
        <v/>
      </c>
      <c r="CJ375" s="4">
        <f>IF(CI375&lt;&gt;"no",COUNTIFS($CI$2:$CI$662,"&lt;&gt;no",$CA$2:$CA$662,"&gt;"&amp;CA375)+COUNTIFS($CI$2:CI375,"&lt;&gt;no",$CA$2:CA375,CA375),"")</f>
        <v/>
      </c>
    </row>
    <row r="376">
      <c r="A376" s="2" t="inlineStr">
        <is>
          <t>wallapop:1317984979</t>
        </is>
      </c>
      <c r="B376" s="2" t="inlineStr">
        <is>
          <t>wallapop</t>
        </is>
      </c>
      <c r="C376" s="2" t="inlineStr">
        <is>
          <t>https://es.wallapop.com/item/ford-focus-2009-1317984979</t>
        </is>
      </c>
      <c r="D376" s="2" t="inlineStr">
        <is>
          <t>Ford Focus 2009</t>
        </is>
      </c>
      <c r="E376" s="2" t="inlineStr">
        <is>
          <t>Ford</t>
        </is>
      </c>
      <c r="F376" s="2" t="inlineStr">
        <is>
          <t>Ford Focus</t>
        </is>
      </c>
      <c r="G376" s="2" t="inlineStr">
        <is>
          <t>1.8 TDCi</t>
        </is>
      </c>
      <c r="H376" s="2" t="inlineStr">
        <is>
          <t>1.8 TDCi 115 Trend 3p</t>
        </is>
      </c>
      <c r="I376" s="2" t="n"/>
      <c r="J376" s="2" t="n">
        <v>115</v>
      </c>
      <c r="K376" s="2" t="inlineStr">
        <is>
          <t>diesel</t>
        </is>
      </c>
      <c r="L376" s="2" t="inlineStr">
        <is>
          <t>compacto</t>
        </is>
      </c>
      <c r="M376" s="2" t="n">
        <v>2009</v>
      </c>
      <c r="N376" s="2" t="n">
        <v>188000</v>
      </c>
      <c r="O376" s="2" t="n">
        <v>5000</v>
      </c>
      <c r="P376" s="2" t="inlineStr">
        <is>
          <t>manual</t>
        </is>
      </c>
      <c r="Q376" s="2" t="inlineStr">
        <is>
          <t>no</t>
        </is>
      </c>
      <c r="R376" s="2" t="inlineStr">
        <is>
          <t>particular</t>
        </is>
      </c>
      <c r="S376" s="2" t="inlineStr">
        <is>
          <t>Valencia (46003)</t>
        </is>
      </c>
      <c r="T376" s="2" t="inlineStr">
        <is>
          <t>2026-10-28T06:43:03</t>
        </is>
      </c>
      <c r="U376" s="2" t="n">
        <v>7</v>
      </c>
      <c r="V376" s="2" t="n"/>
      <c r="W376" s="2" t="n"/>
      <c r="X376" s="2" t="n"/>
      <c r="Y376" s="2" t="n"/>
      <c r="Z376" s="2" t="n"/>
      <c r="AA376" s="2" t="n"/>
      <c r="AB376" s="2" t="n"/>
      <c r="AC376" s="2" t="n"/>
      <c r="AD376" s="2" t="n"/>
      <c r="AE376" s="2" t="n"/>
      <c r="AF376" s="2" t="n"/>
      <c r="AG376" s="2" t="n"/>
      <c r="AH376" s="2" t="n"/>
      <c r="AI376" s="2" t="n"/>
      <c r="AJ376" s="2" t="n"/>
      <c r="AK376" s="2" t="n"/>
      <c r="AL376" s="2" t="n"/>
      <c r="AM376" s="2" t="n">
        <v>0.6</v>
      </c>
      <c r="AN376" s="2" t="n">
        <v>3870</v>
      </c>
      <c r="AO376" s="2" t="n">
        <v>10</v>
      </c>
      <c r="AP376" s="2" t="inlineStr">
        <is>
          <t>modelo+año+km</t>
        </is>
      </c>
      <c r="AQ376" s="2" t="n"/>
      <c r="AR376" s="2" t="inlineStr">
        <is>
          <t>por encima del presupuesto (5124 €), negociar; cuota fija ITP: &gt;12 años, 1.501-2.000 cc; diésel: motor sin fuente de fiabilidad (fiabilidad limitada a neutra)</t>
        </is>
      </c>
      <c r="AS376" s="2" t="inlineStr">
        <is>
          <t>Ford Focus mk2 año 2009 2010 el coche está bien, no tiene nada para hacer de momento hasta los 190mil que le tocará aceite y filtros, se puede ver sin problema, también tengo facturas de las cosas que le eh estado haciendo.</t>
        </is>
      </c>
      <c r="AT376" s="2" t="inlineStr">
        <is>
          <t>https://es.wallapop.com/item/ford-focus-2009-1317984979 (__NEXT_DATA__ item) /home/user/Alopecia/buscador-coches/raw/wallapop/840afd8eb3008dad.json</t>
        </is>
      </c>
      <c r="AU376" s="3">
        <f>MAX(ANIO_ACTUAL-M376,0)</f>
        <v/>
      </c>
      <c r="AV376" s="4">
        <f>N376/MAX(AU376,0.5)</f>
        <v/>
      </c>
      <c r="AW376" s="4">
        <f>F376</f>
        <v/>
      </c>
      <c r="AX376" s="3">
        <f>AW376&amp;"|"&amp;INT(M376/SEG_ANIO)*SEG_ANIO</f>
        <v/>
      </c>
      <c r="AY376" s="3">
        <f>AX376&amp;"|"&amp;INT(N376/SEG_KM)*SEG_KM</f>
        <v/>
      </c>
      <c r="AZ376" s="4">
        <f>COUNTIF($AW$2:$AW$662,AW376)</f>
        <v/>
      </c>
      <c r="BA376" s="4">
        <f>COUNTIF($AX$2:$AX$662,AX376)</f>
        <v/>
      </c>
      <c r="BB376" s="4">
        <f>COUNTIF($AY$2:$AY$662,AY376)</f>
        <v/>
      </c>
      <c r="BC376" s="3">
        <f t="array" ref="BC376">IF(N(AO376)&gt;=MIN_N,AN376,IF(BB376&gt;=MIN_N,MEDIAN(IF($AY$2:$AY$662=AY376,$O$2:$O$662)),IF(BA376&gt;=MIN_N,MEDIAN(IF($AX$2:$AX$662=AX376,$O$2:$O$662)),MEDIAN(IF($AW$2:$AW$662=AW376,$O$2:$O$662)))))</f>
        <v/>
      </c>
      <c r="BD376" s="3">
        <f>IF(N(AO376)&gt;=MIN_N,"mercado "&amp;AP376,IF(BB376&gt;=MIN_N,"modelo+año+km",IF(BA376&gt;=MIN_N,"modelo+año","modelo")))</f>
        <v/>
      </c>
      <c r="BE376" s="4">
        <f>(BC376-O376)/BC376</f>
        <v/>
      </c>
      <c r="BF376" s="3">
        <f>IF(OR(K376="hibrido",K376="glp"),"ECO",IF(K376="electrico","CERO",IF(K376="gasolina",IF(M376&gt;=GAS_C,"C",IF(M376&gt;=GAS_B,"B","A")),IF(K376="diesel",IF(M376&gt;=DIE_C,"C",IF(M376&gt;=DIE_B,"B","A")),""))))</f>
        <v/>
      </c>
      <c r="BG376" s="3">
        <f>IFERROR(VLOOKUP(F376,MOD_TBL,11,0),IFERROR(VLOOKUP(E376,OCU_TBL,2,0),NEUTRO))</f>
        <v/>
      </c>
      <c r="BH376" s="3">
        <f>SUMIFS(MOT_AJUSTE,MOT_MOTOR,G376,MOT_MARCA,E376,MOT_DESDE,"&lt;="&amp;M376,MOT_HASTA,"&gt;="&amp;M376)+SUMIFS(MOT_AJUSTE,MOT_MOTOR,G376,MOT_MARCA,"(todas)",MOT_DESDE,"&lt;="&amp;M376,MOT_HASTA,"&gt;="&amp;M376)</f>
        <v/>
      </c>
      <c r="BI376" s="3">
        <f>SUMIFS(COMB_AJUSTE,COMB_COMB,K376)</f>
        <v/>
      </c>
      <c r="BJ376" s="3">
        <f>COUNTIFS(MOT_MOTOR,G376,MOT_MARCA,E376,MOT_DESDE,"&lt;="&amp;M376,MOT_HASTA,"&gt;="&amp;M376)+COUNTIFS(MOT_MOTOR,G376,MOT_MARCA,"(todas)",MOT_DESDE,"&lt;="&amp;M376,MOT_HASTA,"&gt;="&amp;M376)</f>
        <v/>
      </c>
      <c r="BK376" s="3">
        <f>IF(AND(K376="diesel",BJ376=0),MIN(BG376,NEUTRO),BG376)</f>
        <v/>
      </c>
      <c r="BL376" s="4">
        <f>MAX(0,MIN(100,BK376+BH376+BI376))</f>
        <v/>
      </c>
      <c r="BM376" s="3">
        <f>MAX(0,MIN(100,50+BE376*PRECIO_PEND))</f>
        <v/>
      </c>
      <c r="BN376" s="3">
        <f>MAX(0,100*(1-N376/KM_MAX))</f>
        <v/>
      </c>
      <c r="BO376" s="3">
        <f>IF(AV376&lt;KMA_SOSP,IF(AA376="sí",100,KMA_PEN),IF(AV376&lt;=KMA_IDEAL_MAX,100,MAX(0,100*(KMA_CERO-AV376)/(KMA_CERO-KMA_IDEAL_MAX))))</f>
        <v/>
      </c>
      <c r="BP376" s="3">
        <f>MAX(0,MIN(100,100*(M376-ANIO_MIN)/(ANIO_ACTUAL-ANIO_MIN)))</f>
        <v/>
      </c>
      <c r="BQ376" s="3">
        <f>W_KMT*BN376+W_KMA*BO376+W_EDAD*BP376</f>
        <v/>
      </c>
      <c r="BR376" s="3">
        <f>P_ITV*(V376="sí")+P_LIBRO*(W376="sí")+P_CORREA*(X376="sí")+P_PROP*(Y376=1)+P_GAR*(Z376="sí")+P_FOTOS*MIN(1,N(U376)/FOTOS_OBJ)</f>
        <v/>
      </c>
      <c r="BS376" s="3">
        <f>IFERROR(VLOOKUP(BF376,ETQ_TBL,2,0),NEUTRO)</f>
        <v/>
      </c>
      <c r="BT376" s="3">
        <f>NEUTRO</f>
        <v/>
      </c>
      <c r="BU376" s="3">
        <f>IFERROR(VLOOKUP(L376,SEGURO_TBL,3,0),"")</f>
        <v/>
      </c>
      <c r="BV376" s="3">
        <f>IF(BU376="",NEUTRO,MAX(0,MIN(100,100*(SEG_REF_MAX-BU376)/(SEG_REF_MAX-SEG_REF_MIN))))</f>
        <v/>
      </c>
      <c r="BW376" s="3">
        <f>W_ET*BS376+W_CONS*BT376+W_SEG*BV376</f>
        <v/>
      </c>
      <c r="BX376" s="3">
        <f>IF(N(AB376)&gt;0,AB376,IF(AND(R376="profesional",SG_LEGAL_ON=1),GAR_LEGAL,0))</f>
        <v/>
      </c>
      <c r="BY376" s="3">
        <f>SG_GAR*MIN(1,BX376/SG_GAR_FULL)+SG_AMPL*(AC376="sí")+SG_KMC*(AF376="sí")+SG_REV*(N(AE376)&gt;0)+SG_DEV*MIN(1,N(AG376)/SG_DEV_FULL)+SG_HIST*(W376="sí")</f>
        <v/>
      </c>
      <c r="BZ376" s="3">
        <f>IFERROR(VLOOKUP(L376,CARR_PEN_TBL,2,0),0)</f>
        <v/>
      </c>
      <c r="CA376" s="3">
        <f>W_FIAB*BL376+W_PRECIO*BM376+W_KMEDAD*BQ376+W_ANUNCIO*BR376+W_USO*BW376+W_SEGURIDAD*BY376-BZ376</f>
        <v/>
      </c>
      <c r="CB376" s="4">
        <f>IF(N(I376)&gt;0,I376,IFERROR(ROUND(_xlfn.NUMBERVALUE(LEFT(G376,FIND(" ",G376&amp;" ")-1),".")*1000,0),99999))</f>
        <v/>
      </c>
      <c r="CC376" s="3">
        <f>IF(R376="profesional",0,IF(O376&lt;CUOTA_VALOR_MAX,IF(AU376&gt;ITP_TRAMO_ALTO,SUMIFS(CF_CUOTA,CF_MAS,ITP_TRAMO_ALTO,CF_CCMIN,"&lt;="&amp;CB376,CF_CCMAX,"&gt;="&amp;CB376),IF(AU376&gt;ITP_TRAMO_BAJO,SUMIFS(CF_CUOTA,CF_MAS,ITP_TRAMO_BAJO,CF_CCMIN,"&lt;="&amp;CB376,CF_CCMAX,"&gt;="&amp;CB376),O376*ITP_TIPO)),O376*ITP_TIPO))</f>
        <v/>
      </c>
      <c r="CD376" s="4">
        <f>IF(R376="profesional",N(AK376),0)</f>
        <v/>
      </c>
      <c r="CE376" s="3">
        <f>IF(AND(R376="profesional",ISNUMBER(AK376),AL376="sí"),0,TASA_DGT)</f>
        <v/>
      </c>
      <c r="CF376" s="3">
        <f>INFORME_DGT</f>
        <v/>
      </c>
      <c r="CG376" s="4">
        <f>O376+CD376+CC376+CE376+CF376</f>
        <v/>
      </c>
      <c r="CH376" s="4">
        <f>CG376+N(BU376)</f>
        <v/>
      </c>
      <c r="CI376" s="3">
        <f>IF(CG376&lt;=TOTAL_MAX,"sí",IF(CG376&lt;=TOTAL_MAX+MARGEN_NEG,"negociar","no"))</f>
        <v/>
      </c>
      <c r="CJ376" s="4">
        <f>IF(CI376&lt;&gt;"no",COUNTIFS($CI$2:$CI$662,"&lt;&gt;no",$CA$2:$CA$662,"&gt;"&amp;CA376)+COUNTIFS($CI$2:CI376,"&lt;&gt;no",$CA$2:CA376,CA376),"")</f>
        <v/>
      </c>
    </row>
    <row r="377">
      <c r="A377" s="2" t="inlineStr">
        <is>
          <t>wallapop:1317172692</t>
        </is>
      </c>
      <c r="B377" s="2" t="inlineStr">
        <is>
          <t>wallapop</t>
        </is>
      </c>
      <c r="C377" s="2" t="inlineStr">
        <is>
          <t>https://es.wallapop.com/item/ford-focus-2006-1317172692</t>
        </is>
      </c>
      <c r="D377" s="2" t="inlineStr">
        <is>
          <t>Ford Focus 2006</t>
        </is>
      </c>
      <c r="E377" s="2" t="inlineStr">
        <is>
          <t>Ford</t>
        </is>
      </c>
      <c r="F377" s="2" t="inlineStr">
        <is>
          <t>Ford Focus</t>
        </is>
      </c>
      <c r="G377" s="2" t="inlineStr">
        <is>
          <t>1.6 TDCi</t>
        </is>
      </c>
      <c r="H377" s="2" t="inlineStr">
        <is>
          <t>1.6 TDCI 109 Trend 5 P</t>
        </is>
      </c>
      <c r="I377" s="2" t="n"/>
      <c r="J377" s="2" t="n">
        <v>109</v>
      </c>
      <c r="K377" s="2" t="inlineStr">
        <is>
          <t>diesel</t>
        </is>
      </c>
      <c r="L377" s="2" t="inlineStr">
        <is>
          <t>compacto</t>
        </is>
      </c>
      <c r="M377" s="2" t="n">
        <v>2006</v>
      </c>
      <c r="N377" s="2" t="n">
        <v>192700</v>
      </c>
      <c r="O377" s="2" t="n">
        <v>3000</v>
      </c>
      <c r="P377" s="2" t="n"/>
      <c r="Q377" s="2" t="n"/>
      <c r="R377" s="2" t="inlineStr">
        <is>
          <t>particular</t>
        </is>
      </c>
      <c r="S377" s="2" t="inlineStr">
        <is>
          <t>Valencia (46014)</t>
        </is>
      </c>
      <c r="T377" s="2" t="inlineStr">
        <is>
          <t>2026-10-25T18:31:44</t>
        </is>
      </c>
      <c r="U377" s="2" t="n">
        <v>2</v>
      </c>
      <c r="V377" s="2" t="inlineStr">
        <is>
          <t>sí</t>
        </is>
      </c>
      <c r="W377" s="2" t="n"/>
      <c r="X377" s="2" t="n"/>
      <c r="Y377" s="2" t="n"/>
      <c r="Z377" s="2" t="n"/>
      <c r="AA377" s="2" t="n"/>
      <c r="AB377" s="2" t="n"/>
      <c r="AC377" s="2" t="n"/>
      <c r="AD377" s="2" t="n"/>
      <c r="AE377" s="2" t="n"/>
      <c r="AF377" s="2" t="n"/>
      <c r="AG377" s="2" t="n"/>
      <c r="AH377" s="2" t="n"/>
      <c r="AI377" s="2" t="n"/>
      <c r="AJ377" s="2" t="n"/>
      <c r="AK377" s="2" t="n"/>
      <c r="AL377" s="2" t="n"/>
      <c r="AM377" s="2" t="n">
        <v>2.7</v>
      </c>
      <c r="AN377" s="2" t="n">
        <v>3000</v>
      </c>
      <c r="AO377" s="2" t="n">
        <v>10</v>
      </c>
      <c r="AP377" s="2" t="inlineStr">
        <is>
          <t>modelo+año+km</t>
        </is>
      </c>
      <c r="AQ377" s="2" t="n"/>
      <c r="AR377" s="2" t="inlineStr">
        <is>
          <t>cuota fija ITP: &gt;12 años, 1.501-2.000 cc</t>
        </is>
      </c>
      <c r="AS377" s="2" t="inlineStr">
        <is>
          <t>Funcionando sin problemas,  ITV hasta 3/27, turbo y bomba de aceite cambiado hace 20000km.</t>
        </is>
      </c>
      <c r="AT377" s="2" t="inlineStr">
        <is>
          <t>https://es.wallapop.com/item/ford-focus-2006-1317172692 (__NEXT_DATA__ item) /home/user/Alopecia/buscador-coches/raw/wallapop/adfa225cd7e12a9e.json</t>
        </is>
      </c>
      <c r="AU377" s="3">
        <f>MAX(ANIO_ACTUAL-M377,0)</f>
        <v/>
      </c>
      <c r="AV377" s="4">
        <f>N377/MAX(AU377,0.5)</f>
        <v/>
      </c>
      <c r="AW377" s="4">
        <f>F377</f>
        <v/>
      </c>
      <c r="AX377" s="3">
        <f>AW377&amp;"|"&amp;INT(M377/SEG_ANIO)*SEG_ANIO</f>
        <v/>
      </c>
      <c r="AY377" s="3">
        <f>AX377&amp;"|"&amp;INT(N377/SEG_KM)*SEG_KM</f>
        <v/>
      </c>
      <c r="AZ377" s="4">
        <f>COUNTIF($AW$2:$AW$662,AW377)</f>
        <v/>
      </c>
      <c r="BA377" s="4">
        <f>COUNTIF($AX$2:$AX$662,AX377)</f>
        <v/>
      </c>
      <c r="BB377" s="4">
        <f>COUNTIF($AY$2:$AY$662,AY377)</f>
        <v/>
      </c>
      <c r="BC377" s="3">
        <f t="array" ref="BC377">IF(N(AO377)&gt;=MIN_N,AN377,IF(BB377&gt;=MIN_N,MEDIAN(IF($AY$2:$AY$662=AY377,$O$2:$O$662)),IF(BA377&gt;=MIN_N,MEDIAN(IF($AX$2:$AX$662=AX377,$O$2:$O$662)),MEDIAN(IF($AW$2:$AW$662=AW377,$O$2:$O$662)))))</f>
        <v/>
      </c>
      <c r="BD377" s="3">
        <f>IF(N(AO377)&gt;=MIN_N,"mercado "&amp;AP377,IF(BB377&gt;=MIN_N,"modelo+año+km",IF(BA377&gt;=MIN_N,"modelo+año","modelo")))</f>
        <v/>
      </c>
      <c r="BE377" s="4">
        <f>(BC377-O377)/BC377</f>
        <v/>
      </c>
      <c r="BF377" s="3">
        <f>IF(OR(K377="hibrido",K377="glp"),"ECO",IF(K377="electrico","CERO",IF(K377="gasolina",IF(M377&gt;=GAS_C,"C",IF(M377&gt;=GAS_B,"B","A")),IF(K377="diesel",IF(M377&gt;=DIE_C,"C",IF(M377&gt;=DIE_B,"B","A")),""))))</f>
        <v/>
      </c>
      <c r="BG377" s="3">
        <f>IFERROR(VLOOKUP(F377,MOD_TBL,11,0),IFERROR(VLOOKUP(E377,OCU_TBL,2,0),NEUTRO))</f>
        <v/>
      </c>
      <c r="BH377" s="3">
        <f>SUMIFS(MOT_AJUSTE,MOT_MOTOR,G377,MOT_MARCA,E377,MOT_DESDE,"&lt;="&amp;M377,MOT_HASTA,"&gt;="&amp;M377)+SUMIFS(MOT_AJUSTE,MOT_MOTOR,G377,MOT_MARCA,"(todas)",MOT_DESDE,"&lt;="&amp;M377,MOT_HASTA,"&gt;="&amp;M377)</f>
        <v/>
      </c>
      <c r="BI377" s="3">
        <f>SUMIFS(COMB_AJUSTE,COMB_COMB,K377)</f>
        <v/>
      </c>
      <c r="BJ377" s="3">
        <f>COUNTIFS(MOT_MOTOR,G377,MOT_MARCA,E377,MOT_DESDE,"&lt;="&amp;M377,MOT_HASTA,"&gt;="&amp;M377)+COUNTIFS(MOT_MOTOR,G377,MOT_MARCA,"(todas)",MOT_DESDE,"&lt;="&amp;M377,MOT_HASTA,"&gt;="&amp;M377)</f>
        <v/>
      </c>
      <c r="BK377" s="3">
        <f>IF(AND(K377="diesel",BJ377=0),MIN(BG377,NEUTRO),BG377)</f>
        <v/>
      </c>
      <c r="BL377" s="4">
        <f>MAX(0,MIN(100,BK377+BH377+BI377))</f>
        <v/>
      </c>
      <c r="BM377" s="3">
        <f>MAX(0,MIN(100,50+BE377*PRECIO_PEND))</f>
        <v/>
      </c>
      <c r="BN377" s="3">
        <f>MAX(0,100*(1-N377/KM_MAX))</f>
        <v/>
      </c>
      <c r="BO377" s="3">
        <f>IF(AV377&lt;KMA_SOSP,IF(AA377="sí",100,KMA_PEN),IF(AV377&lt;=KMA_IDEAL_MAX,100,MAX(0,100*(KMA_CERO-AV377)/(KMA_CERO-KMA_IDEAL_MAX))))</f>
        <v/>
      </c>
      <c r="BP377" s="3">
        <f>MAX(0,MIN(100,100*(M377-ANIO_MIN)/(ANIO_ACTUAL-ANIO_MIN)))</f>
        <v/>
      </c>
      <c r="BQ377" s="3">
        <f>W_KMT*BN377+W_KMA*BO377+W_EDAD*BP377</f>
        <v/>
      </c>
      <c r="BR377" s="3">
        <f>P_ITV*(V377="sí")+P_LIBRO*(W377="sí")+P_CORREA*(X377="sí")+P_PROP*(Y377=1)+P_GAR*(Z377="sí")+P_FOTOS*MIN(1,N(U377)/FOTOS_OBJ)</f>
        <v/>
      </c>
      <c r="BS377" s="3">
        <f>IFERROR(VLOOKUP(BF377,ETQ_TBL,2,0),NEUTRO)</f>
        <v/>
      </c>
      <c r="BT377" s="3">
        <f>NEUTRO</f>
        <v/>
      </c>
      <c r="BU377" s="3">
        <f>IFERROR(VLOOKUP(L377,SEGURO_TBL,3,0),"")</f>
        <v/>
      </c>
      <c r="BV377" s="3">
        <f>IF(BU377="",NEUTRO,MAX(0,MIN(100,100*(SEG_REF_MAX-BU377)/(SEG_REF_MAX-SEG_REF_MIN))))</f>
        <v/>
      </c>
      <c r="BW377" s="3">
        <f>W_ET*BS377+W_CONS*BT377+W_SEG*BV377</f>
        <v/>
      </c>
      <c r="BX377" s="3">
        <f>IF(N(AB377)&gt;0,AB377,IF(AND(R377="profesional",SG_LEGAL_ON=1),GAR_LEGAL,0))</f>
        <v/>
      </c>
      <c r="BY377" s="3">
        <f>SG_GAR*MIN(1,BX377/SG_GAR_FULL)+SG_AMPL*(AC377="sí")+SG_KMC*(AF377="sí")+SG_REV*(N(AE377)&gt;0)+SG_DEV*MIN(1,N(AG377)/SG_DEV_FULL)+SG_HIST*(W377="sí")</f>
        <v/>
      </c>
      <c r="BZ377" s="3">
        <f>IFERROR(VLOOKUP(L377,CARR_PEN_TBL,2,0),0)</f>
        <v/>
      </c>
      <c r="CA377" s="3">
        <f>W_FIAB*BL377+W_PRECIO*BM377+W_KMEDAD*BQ377+W_ANUNCIO*BR377+W_USO*BW377+W_SEGURIDAD*BY377-BZ377</f>
        <v/>
      </c>
      <c r="CB377" s="4">
        <f>IF(N(I377)&gt;0,I377,IFERROR(ROUND(_xlfn.NUMBERVALUE(LEFT(G377,FIND(" ",G377&amp;" ")-1),".")*1000,0),99999))</f>
        <v/>
      </c>
      <c r="CC377" s="3">
        <f>IF(R377="profesional",0,IF(O377&lt;CUOTA_VALOR_MAX,IF(AU377&gt;ITP_TRAMO_ALTO,SUMIFS(CF_CUOTA,CF_MAS,ITP_TRAMO_ALTO,CF_CCMIN,"&lt;="&amp;CB377,CF_CCMAX,"&gt;="&amp;CB377),IF(AU377&gt;ITP_TRAMO_BAJO,SUMIFS(CF_CUOTA,CF_MAS,ITP_TRAMO_BAJO,CF_CCMIN,"&lt;="&amp;CB377,CF_CCMAX,"&gt;="&amp;CB377),O377*ITP_TIPO)),O377*ITP_TIPO))</f>
        <v/>
      </c>
      <c r="CD377" s="4">
        <f>IF(R377="profesional",N(AK377),0)</f>
        <v/>
      </c>
      <c r="CE377" s="3">
        <f>IF(AND(R377="profesional",ISNUMBER(AK377),AL377="sí"),0,TASA_DGT)</f>
        <v/>
      </c>
      <c r="CF377" s="3">
        <f>INFORME_DGT</f>
        <v/>
      </c>
      <c r="CG377" s="4">
        <f>O377+CD377+CC377+CE377+CF377</f>
        <v/>
      </c>
      <c r="CH377" s="4">
        <f>CG377+N(BU377)</f>
        <v/>
      </c>
      <c r="CI377" s="3">
        <f>IF(CG377&lt;=TOTAL_MAX,"sí",IF(CG377&lt;=TOTAL_MAX+MARGEN_NEG,"negociar","no"))</f>
        <v/>
      </c>
      <c r="CJ377" s="4">
        <f>IF(CI377&lt;&gt;"no",COUNTIFS($CI$2:$CI$662,"&lt;&gt;no",$CA$2:$CA$662,"&gt;"&amp;CA377)+COUNTIFS($CI$2:CI377,"&lt;&gt;no",$CA$2:CA377,CA377),"")</f>
        <v/>
      </c>
    </row>
    <row r="378">
      <c r="A378" s="2" t="inlineStr">
        <is>
          <t>wallapop:1317058741</t>
        </is>
      </c>
      <c r="B378" s="2" t="inlineStr">
        <is>
          <t>wallapop</t>
        </is>
      </c>
      <c r="C378" s="2" t="inlineStr">
        <is>
          <t>https://es.wallapop.com/item/ford-focus-2013-1317058741</t>
        </is>
      </c>
      <c r="D378" s="2" t="inlineStr">
        <is>
          <t>Ford Focus 2013</t>
        </is>
      </c>
      <c r="E378" s="2" t="inlineStr">
        <is>
          <t>Ford</t>
        </is>
      </c>
      <c r="F378" s="2" t="inlineStr">
        <is>
          <t>Ford Focus</t>
        </is>
      </c>
      <c r="G378" s="2" t="inlineStr">
        <is>
          <t>1.6 TDCi</t>
        </is>
      </c>
      <c r="H378" s="2" t="inlineStr">
        <is>
          <t>1.6 TDCi 115 Titanium 4p</t>
        </is>
      </c>
      <c r="I378" s="2" t="n"/>
      <c r="J378" s="2" t="n">
        <v>115</v>
      </c>
      <c r="K378" s="2" t="inlineStr">
        <is>
          <t>diesel</t>
        </is>
      </c>
      <c r="L378" s="2" t="inlineStr">
        <is>
          <t>berlina</t>
        </is>
      </c>
      <c r="M378" s="2" t="n">
        <v>2013</v>
      </c>
      <c r="N378" s="2" t="n">
        <v>215000</v>
      </c>
      <c r="O378" s="2" t="n">
        <v>4900</v>
      </c>
      <c r="P378" s="2" t="inlineStr">
        <is>
          <t>manual</t>
        </is>
      </c>
      <c r="Q378" s="2" t="inlineStr">
        <is>
          <t>no</t>
        </is>
      </c>
      <c r="R378" s="2" t="inlineStr">
        <is>
          <t>particular</t>
        </is>
      </c>
      <c r="S378" s="2" t="inlineStr">
        <is>
          <t>Valencia (46004)</t>
        </is>
      </c>
      <c r="T378" s="2" t="inlineStr">
        <is>
          <t>2026-10-25T13:59:09</t>
        </is>
      </c>
      <c r="U378" s="2" t="n">
        <v>10</v>
      </c>
      <c r="V378" s="2" t="n"/>
      <c r="W378" s="2" t="n"/>
      <c r="X378" s="2" t="n"/>
      <c r="Y378" s="2" t="n"/>
      <c r="Z378" s="2" t="n"/>
      <c r="AA378" s="2" t="n"/>
      <c r="AB378" s="2" t="n"/>
      <c r="AC378" s="2" t="n"/>
      <c r="AD378" s="2" t="n"/>
      <c r="AE378" s="2" t="n"/>
      <c r="AF378" s="2" t="n"/>
      <c r="AG378" s="2" t="n"/>
      <c r="AH378" s="2" t="n"/>
      <c r="AI378" s="2" t="n"/>
      <c r="AJ378" s="2" t="n"/>
      <c r="AK378" s="2" t="n"/>
      <c r="AL378" s="2" t="n"/>
      <c r="AM378" s="2" t="n">
        <v>0.9</v>
      </c>
      <c r="AN378" s="2" t="n">
        <v>5250</v>
      </c>
      <c r="AO378" s="2" t="n">
        <v>6</v>
      </c>
      <c r="AP378" s="2" t="inlineStr">
        <is>
          <t>modelo+año+km</t>
        </is>
      </c>
      <c r="AQ378" s="2" t="inlineStr">
        <is>
          <t>cochesnet:71739478 (https://www.coches.net/ford-focus-16-tdci-115cv-titanium-5p-diesel-2013-en-valencia-71739478-covo.aspx)</t>
        </is>
      </c>
      <c r="AR378" s="2" t="inlineStr">
        <is>
          <t>por encima del presupuesto (5024 €), negociar; antigüedad en el límite del tramo: depende de la fecha exacta de matriculación; cuota fija ITP: &gt;12 años, 1.501-2.000 cc; carrocería berlina: -4 puntos</t>
        </is>
      </c>
      <c r="AS378" s="2" t="inlineStr">
        <is>
          <t>Unica dueña finales 2013,revisiones pasadas en la Ford,distribucion echa a los 180 mil km (factura),2 llaves muchos extras, aparca solo,sensores de aparcamiento delanteros y traseros,cristales tintados homologados,llantas 17 con buenos neumaticos,luces automaticas,sensor de lluvia,espejos electricos,control de velocidad,bluetooth,usb,aux,climatizador bizona,poco consumo</t>
        </is>
      </c>
      <c r="AT378" s="2" t="inlineStr">
        <is>
          <t>https://es.wallapop.com/item/ford-focus-2013-1317058741 (__NEXT_DATA__ item) /home/user/Alopecia/buscador-coches/raw/wallapop/5622969b756d975e.json</t>
        </is>
      </c>
      <c r="AU378" s="3">
        <f>MAX(ANIO_ACTUAL-M378,0)</f>
        <v/>
      </c>
      <c r="AV378" s="4">
        <f>N378/MAX(AU378,0.5)</f>
        <v/>
      </c>
      <c r="AW378" s="4">
        <f>F378</f>
        <v/>
      </c>
      <c r="AX378" s="3">
        <f>AW378&amp;"|"&amp;INT(M378/SEG_ANIO)*SEG_ANIO</f>
        <v/>
      </c>
      <c r="AY378" s="3">
        <f>AX378&amp;"|"&amp;INT(N378/SEG_KM)*SEG_KM</f>
        <v/>
      </c>
      <c r="AZ378" s="4">
        <f>COUNTIF($AW$2:$AW$662,AW378)</f>
        <v/>
      </c>
      <c r="BA378" s="4">
        <f>COUNTIF($AX$2:$AX$662,AX378)</f>
        <v/>
      </c>
      <c r="BB378" s="4">
        <f>COUNTIF($AY$2:$AY$662,AY378)</f>
        <v/>
      </c>
      <c r="BC378" s="3">
        <f t="array" ref="BC378">IF(N(AO378)&gt;=MIN_N,AN378,IF(BB378&gt;=MIN_N,MEDIAN(IF($AY$2:$AY$662=AY378,$O$2:$O$662)),IF(BA378&gt;=MIN_N,MEDIAN(IF($AX$2:$AX$662=AX378,$O$2:$O$662)),MEDIAN(IF($AW$2:$AW$662=AW378,$O$2:$O$662)))))</f>
        <v/>
      </c>
      <c r="BD378" s="3">
        <f>IF(N(AO378)&gt;=MIN_N,"mercado "&amp;AP378,IF(BB378&gt;=MIN_N,"modelo+año+km",IF(BA378&gt;=MIN_N,"modelo+año","modelo")))</f>
        <v/>
      </c>
      <c r="BE378" s="4">
        <f>(BC378-O378)/BC378</f>
        <v/>
      </c>
      <c r="BF378" s="3">
        <f>IF(OR(K378="hibrido",K378="glp"),"ECO",IF(K378="electrico","CERO",IF(K378="gasolina",IF(M378&gt;=GAS_C,"C",IF(M378&gt;=GAS_B,"B","A")),IF(K378="diesel",IF(M378&gt;=DIE_C,"C",IF(M378&gt;=DIE_B,"B","A")),""))))</f>
        <v/>
      </c>
      <c r="BG378" s="3">
        <f>IFERROR(VLOOKUP(F378,MOD_TBL,11,0),IFERROR(VLOOKUP(E378,OCU_TBL,2,0),NEUTRO))</f>
        <v/>
      </c>
      <c r="BH378" s="3">
        <f>SUMIFS(MOT_AJUSTE,MOT_MOTOR,G378,MOT_MARCA,E378,MOT_DESDE,"&lt;="&amp;M378,MOT_HASTA,"&gt;="&amp;M378)+SUMIFS(MOT_AJUSTE,MOT_MOTOR,G378,MOT_MARCA,"(todas)",MOT_DESDE,"&lt;="&amp;M378,MOT_HASTA,"&gt;="&amp;M378)</f>
        <v/>
      </c>
      <c r="BI378" s="3">
        <f>SUMIFS(COMB_AJUSTE,COMB_COMB,K378)</f>
        <v/>
      </c>
      <c r="BJ378" s="3">
        <f>COUNTIFS(MOT_MOTOR,G378,MOT_MARCA,E378,MOT_DESDE,"&lt;="&amp;M378,MOT_HASTA,"&gt;="&amp;M378)+COUNTIFS(MOT_MOTOR,G378,MOT_MARCA,"(todas)",MOT_DESDE,"&lt;="&amp;M378,MOT_HASTA,"&gt;="&amp;M378)</f>
        <v/>
      </c>
      <c r="BK378" s="3">
        <f>IF(AND(K378="diesel",BJ378=0),MIN(BG378,NEUTRO),BG378)</f>
        <v/>
      </c>
      <c r="BL378" s="4">
        <f>MAX(0,MIN(100,BK378+BH378+BI378))</f>
        <v/>
      </c>
      <c r="BM378" s="3">
        <f>MAX(0,MIN(100,50+BE378*PRECIO_PEND))</f>
        <v/>
      </c>
      <c r="BN378" s="3">
        <f>MAX(0,100*(1-N378/KM_MAX))</f>
        <v/>
      </c>
      <c r="BO378" s="3">
        <f>IF(AV378&lt;KMA_SOSP,IF(AA378="sí",100,KMA_PEN),IF(AV378&lt;=KMA_IDEAL_MAX,100,MAX(0,100*(KMA_CERO-AV378)/(KMA_CERO-KMA_IDEAL_MAX))))</f>
        <v/>
      </c>
      <c r="BP378" s="3">
        <f>MAX(0,MIN(100,100*(M378-ANIO_MIN)/(ANIO_ACTUAL-ANIO_MIN)))</f>
        <v/>
      </c>
      <c r="BQ378" s="3">
        <f>W_KMT*BN378+W_KMA*BO378+W_EDAD*BP378</f>
        <v/>
      </c>
      <c r="BR378" s="3">
        <f>P_ITV*(V378="sí")+P_LIBRO*(W378="sí")+P_CORREA*(X378="sí")+P_PROP*(Y378=1)+P_GAR*(Z378="sí")+P_FOTOS*MIN(1,N(U378)/FOTOS_OBJ)</f>
        <v/>
      </c>
      <c r="BS378" s="3">
        <f>IFERROR(VLOOKUP(BF378,ETQ_TBL,2,0),NEUTRO)</f>
        <v/>
      </c>
      <c r="BT378" s="3">
        <f>NEUTRO</f>
        <v/>
      </c>
      <c r="BU378" s="3">
        <f>IFERROR(VLOOKUP(L378,SEGURO_TBL,3,0),"")</f>
        <v/>
      </c>
      <c r="BV378" s="3">
        <f>IF(BU378="",NEUTRO,MAX(0,MIN(100,100*(SEG_REF_MAX-BU378)/(SEG_REF_MAX-SEG_REF_MIN))))</f>
        <v/>
      </c>
      <c r="BW378" s="3">
        <f>W_ET*BS378+W_CONS*BT378+W_SEG*BV378</f>
        <v/>
      </c>
      <c r="BX378" s="3">
        <f>IF(N(AB378)&gt;0,AB378,IF(AND(R378="profesional",SG_LEGAL_ON=1),GAR_LEGAL,0))</f>
        <v/>
      </c>
      <c r="BY378" s="3">
        <f>SG_GAR*MIN(1,BX378/SG_GAR_FULL)+SG_AMPL*(AC378="sí")+SG_KMC*(AF378="sí")+SG_REV*(N(AE378)&gt;0)+SG_DEV*MIN(1,N(AG378)/SG_DEV_FULL)+SG_HIST*(W378="sí")</f>
        <v/>
      </c>
      <c r="BZ378" s="3">
        <f>IFERROR(VLOOKUP(L378,CARR_PEN_TBL,2,0),0)</f>
        <v/>
      </c>
      <c r="CA378" s="3">
        <f>W_FIAB*BL378+W_PRECIO*BM378+W_KMEDAD*BQ378+W_ANUNCIO*BR378+W_USO*BW378+W_SEGURIDAD*BY378-BZ378</f>
        <v/>
      </c>
      <c r="CB378" s="4">
        <f>IF(N(I378)&gt;0,I378,IFERROR(ROUND(_xlfn.NUMBERVALUE(LEFT(G378,FIND(" ",G378&amp;" ")-1),".")*1000,0),99999))</f>
        <v/>
      </c>
      <c r="CC378" s="3">
        <f>IF(R378="profesional",0,IF(O378&lt;CUOTA_VALOR_MAX,IF(AU378&gt;ITP_TRAMO_ALTO,SUMIFS(CF_CUOTA,CF_MAS,ITP_TRAMO_ALTO,CF_CCMIN,"&lt;="&amp;CB378,CF_CCMAX,"&gt;="&amp;CB378),IF(AU378&gt;ITP_TRAMO_BAJO,SUMIFS(CF_CUOTA,CF_MAS,ITP_TRAMO_BAJO,CF_CCMIN,"&lt;="&amp;CB378,CF_CCMAX,"&gt;="&amp;CB378),O378*ITP_TIPO)),O378*ITP_TIPO))</f>
        <v/>
      </c>
      <c r="CD378" s="4">
        <f>IF(R378="profesional",N(AK378),0)</f>
        <v/>
      </c>
      <c r="CE378" s="3">
        <f>IF(AND(R378="profesional",ISNUMBER(AK378),AL378="sí"),0,TASA_DGT)</f>
        <v/>
      </c>
      <c r="CF378" s="3">
        <f>INFORME_DGT</f>
        <v/>
      </c>
      <c r="CG378" s="4">
        <f>O378+CD378+CC378+CE378+CF378</f>
        <v/>
      </c>
      <c r="CH378" s="4">
        <f>CG378+N(BU378)</f>
        <v/>
      </c>
      <c r="CI378" s="3">
        <f>IF(CG378&lt;=TOTAL_MAX,"sí",IF(CG378&lt;=TOTAL_MAX+MARGEN_NEG,"negociar","no"))</f>
        <v/>
      </c>
      <c r="CJ378" s="4">
        <f>IF(CI378&lt;&gt;"no",COUNTIFS($CI$2:$CI$662,"&lt;&gt;no",$CA$2:$CA$662,"&gt;"&amp;CA378)+COUNTIFS($CI$2:CI378,"&lt;&gt;no",$CA$2:CA378,CA378),"")</f>
        <v/>
      </c>
    </row>
    <row r="379">
      <c r="A379" s="2" t="inlineStr">
        <is>
          <t>wallapop:1315801957</t>
        </is>
      </c>
      <c r="B379" s="2" t="inlineStr">
        <is>
          <t>wallapop</t>
        </is>
      </c>
      <c r="C379" s="2" t="inlineStr">
        <is>
          <t>https://es.wallapop.com/item/ford-focus-2008-1315801957</t>
        </is>
      </c>
      <c r="D379" s="2" t="inlineStr">
        <is>
          <t>Ford Focus 2008</t>
        </is>
      </c>
      <c r="E379" s="2" t="inlineStr">
        <is>
          <t>Ford</t>
        </is>
      </c>
      <c r="F379" s="2" t="inlineStr">
        <is>
          <t>Ford Focus</t>
        </is>
      </c>
      <c r="G379" s="2" t="n"/>
      <c r="H379" s="2" t="n"/>
      <c r="I379" s="2" t="n"/>
      <c r="J379" s="2" t="n"/>
      <c r="K379" s="2" t="inlineStr">
        <is>
          <t>gasolina</t>
        </is>
      </c>
      <c r="L379" s="2" t="inlineStr">
        <is>
          <t>compacto</t>
        </is>
      </c>
      <c r="M379" s="2" t="n">
        <v>2008</v>
      </c>
      <c r="N379" s="2" t="n">
        <v>112000</v>
      </c>
      <c r="O379" s="2" t="n">
        <v>4950</v>
      </c>
      <c r="P379" s="2" t="inlineStr">
        <is>
          <t>manual</t>
        </is>
      </c>
      <c r="Q379" s="2" t="inlineStr">
        <is>
          <t>no</t>
        </is>
      </c>
      <c r="R379" s="2" t="inlineStr">
        <is>
          <t>particular</t>
        </is>
      </c>
      <c r="S379" s="2" t="inlineStr">
        <is>
          <t>Valencia (46007)</t>
        </is>
      </c>
      <c r="T379" s="2" t="inlineStr">
        <is>
          <t>2026-10-21T20:55:13</t>
        </is>
      </c>
      <c r="U379" s="2" t="n">
        <v>7</v>
      </c>
      <c r="V379" s="2" t="inlineStr">
        <is>
          <t>sí</t>
        </is>
      </c>
      <c r="W379" s="2" t="n"/>
      <c r="X379" s="2" t="n"/>
      <c r="Y379" s="2" t="n"/>
      <c r="Z379" s="2" t="n"/>
      <c r="AA379" s="2" t="n"/>
      <c r="AB379" s="2" t="n"/>
      <c r="AC379" s="2" t="n"/>
      <c r="AD379" s="2" t="n"/>
      <c r="AE379" s="2" t="n"/>
      <c r="AF379" s="2" t="n"/>
      <c r="AG379" s="2" t="n"/>
      <c r="AH379" s="2" t="n"/>
      <c r="AI379" s="2" t="n"/>
      <c r="AJ379" s="2" t="n"/>
      <c r="AK379" s="2" t="n"/>
      <c r="AL379" s="2" t="n"/>
      <c r="AM379" s="2" t="n">
        <v>2.8</v>
      </c>
      <c r="AN379" s="2" t="n">
        <v>4970</v>
      </c>
      <c r="AO379" s="2" t="n">
        <v>8</v>
      </c>
      <c r="AP379" s="2" t="inlineStr">
        <is>
          <t>modelo+año+km</t>
        </is>
      </c>
      <c r="AQ379" s="2" t="n"/>
      <c r="AR379" s="2" t="inlineStr">
        <is>
          <t>por encima del presupuesto (5154 €), negociar; cilindrada desconocida: se aplica el tramo de cuota fija más alto; cuota fija ITP: &gt;12 años, más de 2.000 cc</t>
        </is>
      </c>
      <c r="AS379" s="2" t="inlineStr">
        <is>
          <t>Vendo en perfecto estado de funcionamiento, revisiones al dia e ITV recien pasada</t>
        </is>
      </c>
      <c r="AT379" s="2" t="inlineStr">
        <is>
          <t>https://es.wallapop.com/item/ford-focus-2008-1315801957 (__NEXT_DATA__ item) /home/user/Alopecia/buscador-coches/raw/wallapop/97277dee6ec37239.json</t>
        </is>
      </c>
      <c r="AU379" s="3">
        <f>MAX(ANIO_ACTUAL-M379,0)</f>
        <v/>
      </c>
      <c r="AV379" s="4">
        <f>N379/MAX(AU379,0.5)</f>
        <v/>
      </c>
      <c r="AW379" s="4">
        <f>F379</f>
        <v/>
      </c>
      <c r="AX379" s="3">
        <f>AW379&amp;"|"&amp;INT(M379/SEG_ANIO)*SEG_ANIO</f>
        <v/>
      </c>
      <c r="AY379" s="3">
        <f>AX379&amp;"|"&amp;INT(N379/SEG_KM)*SEG_KM</f>
        <v/>
      </c>
      <c r="AZ379" s="4">
        <f>COUNTIF($AW$2:$AW$662,AW379)</f>
        <v/>
      </c>
      <c r="BA379" s="4">
        <f>COUNTIF($AX$2:$AX$662,AX379)</f>
        <v/>
      </c>
      <c r="BB379" s="4">
        <f>COUNTIF($AY$2:$AY$662,AY379)</f>
        <v/>
      </c>
      <c r="BC379" s="3">
        <f t="array" ref="BC379">IF(N(AO379)&gt;=MIN_N,AN379,IF(BB379&gt;=MIN_N,MEDIAN(IF($AY$2:$AY$662=AY379,$O$2:$O$662)),IF(BA379&gt;=MIN_N,MEDIAN(IF($AX$2:$AX$662=AX379,$O$2:$O$662)),MEDIAN(IF($AW$2:$AW$662=AW379,$O$2:$O$662)))))</f>
        <v/>
      </c>
      <c r="BD379" s="3">
        <f>IF(N(AO379)&gt;=MIN_N,"mercado "&amp;AP379,IF(BB379&gt;=MIN_N,"modelo+año+km",IF(BA379&gt;=MIN_N,"modelo+año","modelo")))</f>
        <v/>
      </c>
      <c r="BE379" s="4">
        <f>(BC379-O379)/BC379</f>
        <v/>
      </c>
      <c r="BF379" s="3">
        <f>IF(OR(K379="hibrido",K379="glp"),"ECO",IF(K379="electrico","CERO",IF(K379="gasolina",IF(M379&gt;=GAS_C,"C",IF(M379&gt;=GAS_B,"B","A")),IF(K379="diesel",IF(M379&gt;=DIE_C,"C",IF(M379&gt;=DIE_B,"B","A")),""))))</f>
        <v/>
      </c>
      <c r="BG379" s="3">
        <f>IFERROR(VLOOKUP(F379,MOD_TBL,11,0),IFERROR(VLOOKUP(E379,OCU_TBL,2,0),NEUTRO))</f>
        <v/>
      </c>
      <c r="BH379" s="3">
        <f>SUMIFS(MOT_AJUSTE,MOT_MOTOR,G379,MOT_MARCA,E379,MOT_DESDE,"&lt;="&amp;M379,MOT_HASTA,"&gt;="&amp;M379)+SUMIFS(MOT_AJUSTE,MOT_MOTOR,G379,MOT_MARCA,"(todas)",MOT_DESDE,"&lt;="&amp;M379,MOT_HASTA,"&gt;="&amp;M379)</f>
        <v/>
      </c>
      <c r="BI379" s="3">
        <f>SUMIFS(COMB_AJUSTE,COMB_COMB,K379)</f>
        <v/>
      </c>
      <c r="BJ379" s="3">
        <f>COUNTIFS(MOT_MOTOR,G379,MOT_MARCA,E379,MOT_DESDE,"&lt;="&amp;M379,MOT_HASTA,"&gt;="&amp;M379)+COUNTIFS(MOT_MOTOR,G379,MOT_MARCA,"(todas)",MOT_DESDE,"&lt;="&amp;M379,MOT_HASTA,"&gt;="&amp;M379)</f>
        <v/>
      </c>
      <c r="BK379" s="3">
        <f>IF(AND(K379="diesel",BJ379=0),MIN(BG379,NEUTRO),BG379)</f>
        <v/>
      </c>
      <c r="BL379" s="4">
        <f>MAX(0,MIN(100,BK379+BH379+BI379))</f>
        <v/>
      </c>
      <c r="BM379" s="3">
        <f>MAX(0,MIN(100,50+BE379*PRECIO_PEND))</f>
        <v/>
      </c>
      <c r="BN379" s="3">
        <f>MAX(0,100*(1-N379/KM_MAX))</f>
        <v/>
      </c>
      <c r="BO379" s="3">
        <f>IF(AV379&lt;KMA_SOSP,IF(AA379="sí",100,KMA_PEN),IF(AV379&lt;=KMA_IDEAL_MAX,100,MAX(0,100*(KMA_CERO-AV379)/(KMA_CERO-KMA_IDEAL_MAX))))</f>
        <v/>
      </c>
      <c r="BP379" s="3">
        <f>MAX(0,MIN(100,100*(M379-ANIO_MIN)/(ANIO_ACTUAL-ANIO_MIN)))</f>
        <v/>
      </c>
      <c r="BQ379" s="3">
        <f>W_KMT*BN379+W_KMA*BO379+W_EDAD*BP379</f>
        <v/>
      </c>
      <c r="BR379" s="3">
        <f>P_ITV*(V379="sí")+P_LIBRO*(W379="sí")+P_CORREA*(X379="sí")+P_PROP*(Y379=1)+P_GAR*(Z379="sí")+P_FOTOS*MIN(1,N(U379)/FOTOS_OBJ)</f>
        <v/>
      </c>
      <c r="BS379" s="3">
        <f>IFERROR(VLOOKUP(BF379,ETQ_TBL,2,0),NEUTRO)</f>
        <v/>
      </c>
      <c r="BT379" s="3">
        <f>NEUTRO</f>
        <v/>
      </c>
      <c r="BU379" s="3">
        <f>IFERROR(VLOOKUP(L379,SEGURO_TBL,3,0),"")</f>
        <v/>
      </c>
      <c r="BV379" s="3">
        <f>IF(BU379="",NEUTRO,MAX(0,MIN(100,100*(SEG_REF_MAX-BU379)/(SEG_REF_MAX-SEG_REF_MIN))))</f>
        <v/>
      </c>
      <c r="BW379" s="3">
        <f>W_ET*BS379+W_CONS*BT379+W_SEG*BV379</f>
        <v/>
      </c>
      <c r="BX379" s="3">
        <f>IF(N(AB379)&gt;0,AB379,IF(AND(R379="profesional",SG_LEGAL_ON=1),GAR_LEGAL,0))</f>
        <v/>
      </c>
      <c r="BY379" s="3">
        <f>SG_GAR*MIN(1,BX379/SG_GAR_FULL)+SG_AMPL*(AC379="sí")+SG_KMC*(AF379="sí")+SG_REV*(N(AE379)&gt;0)+SG_DEV*MIN(1,N(AG379)/SG_DEV_FULL)+SG_HIST*(W379="sí")</f>
        <v/>
      </c>
      <c r="BZ379" s="3">
        <f>IFERROR(VLOOKUP(L379,CARR_PEN_TBL,2,0),0)</f>
        <v/>
      </c>
      <c r="CA379" s="3">
        <f>W_FIAB*BL379+W_PRECIO*BM379+W_KMEDAD*BQ379+W_ANUNCIO*BR379+W_USO*BW379+W_SEGURIDAD*BY379-BZ379</f>
        <v/>
      </c>
      <c r="CB379" s="4">
        <f>IF(N(I379)&gt;0,I379,IFERROR(ROUND(_xlfn.NUMBERVALUE(LEFT(G379,FIND(" ",G379&amp;" ")-1),".")*1000,0),99999))</f>
        <v/>
      </c>
      <c r="CC379" s="3">
        <f>IF(R379="profesional",0,IF(O379&lt;CUOTA_VALOR_MAX,IF(AU379&gt;ITP_TRAMO_ALTO,SUMIFS(CF_CUOTA,CF_MAS,ITP_TRAMO_ALTO,CF_CCMIN,"&lt;="&amp;CB379,CF_CCMAX,"&gt;="&amp;CB379),IF(AU379&gt;ITP_TRAMO_BAJO,SUMIFS(CF_CUOTA,CF_MAS,ITP_TRAMO_BAJO,CF_CCMIN,"&lt;="&amp;CB379,CF_CCMAX,"&gt;="&amp;CB379),O379*ITP_TIPO)),O379*ITP_TIPO))</f>
        <v/>
      </c>
      <c r="CD379" s="4">
        <f>IF(R379="profesional",N(AK379),0)</f>
        <v/>
      </c>
      <c r="CE379" s="3">
        <f>IF(AND(R379="profesional",ISNUMBER(AK379),AL379="sí"),0,TASA_DGT)</f>
        <v/>
      </c>
      <c r="CF379" s="3">
        <f>INFORME_DGT</f>
        <v/>
      </c>
      <c r="CG379" s="4">
        <f>O379+CD379+CC379+CE379+CF379</f>
        <v/>
      </c>
      <c r="CH379" s="4">
        <f>CG379+N(BU379)</f>
        <v/>
      </c>
      <c r="CI379" s="3">
        <f>IF(CG379&lt;=TOTAL_MAX,"sí",IF(CG379&lt;=TOTAL_MAX+MARGEN_NEG,"negociar","no"))</f>
        <v/>
      </c>
      <c r="CJ379" s="4">
        <f>IF(CI379&lt;&gt;"no",COUNTIFS($CI$2:$CI$662,"&lt;&gt;no",$CA$2:$CA$662,"&gt;"&amp;CA379)+COUNTIFS($CI$2:CI379,"&lt;&gt;no",$CA$2:CA379,CA379),"")</f>
        <v/>
      </c>
    </row>
    <row r="380">
      <c r="A380" s="2" t="inlineStr">
        <is>
          <t>wallapop:1312349242</t>
        </is>
      </c>
      <c r="B380" s="2" t="inlineStr">
        <is>
          <t>wallapop</t>
        </is>
      </c>
      <c r="C380" s="2" t="inlineStr">
        <is>
          <t>https://es.wallapop.com/item/ford-focus-2006-1312349242</t>
        </is>
      </c>
      <c r="D380" s="2" t="inlineStr">
        <is>
          <t>Ford Focus 2006</t>
        </is>
      </c>
      <c r="E380" s="2" t="inlineStr">
        <is>
          <t>Ford</t>
        </is>
      </c>
      <c r="F380" s="2" t="inlineStr">
        <is>
          <t>Ford Focus</t>
        </is>
      </c>
      <c r="G380" s="2" t="inlineStr">
        <is>
          <t>1.8 TDCi</t>
        </is>
      </c>
      <c r="H380" s="2" t="inlineStr">
        <is>
          <t>1.8 TDCi 115 Trend 5p</t>
        </is>
      </c>
      <c r="I380" s="2" t="n"/>
      <c r="J380" s="2" t="n">
        <v>115</v>
      </c>
      <c r="K380" s="2" t="inlineStr">
        <is>
          <t>diesel</t>
        </is>
      </c>
      <c r="L380" s="2" t="inlineStr">
        <is>
          <t>compacto</t>
        </is>
      </c>
      <c r="M380" s="2" t="n">
        <v>2006</v>
      </c>
      <c r="N380" s="2" t="n">
        <v>214500</v>
      </c>
      <c r="O380" s="2" t="n">
        <v>3200</v>
      </c>
      <c r="P380" s="2" t="inlineStr">
        <is>
          <t>manual</t>
        </is>
      </c>
      <c r="Q380" s="2" t="inlineStr">
        <is>
          <t>no</t>
        </is>
      </c>
      <c r="R380" s="2" t="inlineStr">
        <is>
          <t>particular</t>
        </is>
      </c>
      <c r="S380" s="2" t="inlineStr">
        <is>
          <t>Valencia (46009)</t>
        </is>
      </c>
      <c r="T380" s="2" t="inlineStr">
        <is>
          <t>2026-10-12T18:38:28</t>
        </is>
      </c>
      <c r="U380" s="2" t="n">
        <v>10</v>
      </c>
      <c r="V380" s="2" t="inlineStr">
        <is>
          <t>sí</t>
        </is>
      </c>
      <c r="W380" s="2" t="n"/>
      <c r="X380" s="2" t="n"/>
      <c r="Y380" s="2" t="n"/>
      <c r="Z380" s="2" t="n"/>
      <c r="AA380" s="2" t="n"/>
      <c r="AB380" s="2" t="n"/>
      <c r="AC380" s="2" t="n"/>
      <c r="AD380" s="2" t="n"/>
      <c r="AE380" s="2" t="n"/>
      <c r="AF380" s="2" t="n"/>
      <c r="AG380" s="2" t="n"/>
      <c r="AH380" s="2" t="n"/>
      <c r="AI380" s="2" t="n"/>
      <c r="AJ380" s="2" t="n"/>
      <c r="AK380" s="2" t="n"/>
      <c r="AL380" s="2" t="n"/>
      <c r="AM380" s="2" t="n">
        <v>2.7</v>
      </c>
      <c r="AN380" s="2" t="n">
        <v>2995</v>
      </c>
      <c r="AO380" s="2" t="n">
        <v>16</v>
      </c>
      <c r="AP380" s="2" t="inlineStr">
        <is>
          <t>modelo+año+km</t>
        </is>
      </c>
      <c r="AQ380" s="2" t="inlineStr">
        <is>
          <t>cochesnet:71727987 (https://www.coches.net/ford-focus-18-tdci-trend-5p-diesel-2006-en-valencia-71727987-covo.aspx); cochesnet:71727562 (https://www.coches.net/ford-focus-diesel-2006-en-valencia-71727562-covo.aspx)</t>
        </is>
      </c>
      <c r="AR380" s="2" t="inlineStr">
        <is>
          <t>cuota fija ITP: &gt;12 años, 1.501-2.000 cc; diésel: motor sin fuente de fiabilidad (fiabilidad limitada a neutra)</t>
        </is>
      </c>
      <c r="AS380" s="2" t="inlineStr">
        <is>
          <t>Vendo Ford Focus 2006 1.8 tdci 115cv
El coche esta perfecto de mecánica y el coche funciona perfectamente lo único es marcas típicas de los años que tiene y pintura algo dregadada.
*Control de crucero
*Aire y calefacción funcionando a la perfección
*ITV recién pasada hasta octubre de 2027
sin problema
*Ruedas en muy buen estado
*Faros recién pulidos
*214.500 km</t>
        </is>
      </c>
      <c r="AT380" s="2" t="inlineStr">
        <is>
          <t>https://es.wallapop.com/item/ford-focus-2006-1312349242 (__NEXT_DATA__ item) /home/user/Alopecia/buscador-coches/raw/wallapop/c89e43264ee9cf60.json</t>
        </is>
      </c>
      <c r="AU380" s="3">
        <f>MAX(ANIO_ACTUAL-M380,0)</f>
        <v/>
      </c>
      <c r="AV380" s="4">
        <f>N380/MAX(AU380,0.5)</f>
        <v/>
      </c>
      <c r="AW380" s="4">
        <f>F380</f>
        <v/>
      </c>
      <c r="AX380" s="3">
        <f>AW380&amp;"|"&amp;INT(M380/SEG_ANIO)*SEG_ANIO</f>
        <v/>
      </c>
      <c r="AY380" s="3">
        <f>AX380&amp;"|"&amp;INT(N380/SEG_KM)*SEG_KM</f>
        <v/>
      </c>
      <c r="AZ380" s="4">
        <f>COUNTIF($AW$2:$AW$662,AW380)</f>
        <v/>
      </c>
      <c r="BA380" s="4">
        <f>COUNTIF($AX$2:$AX$662,AX380)</f>
        <v/>
      </c>
      <c r="BB380" s="4">
        <f>COUNTIF($AY$2:$AY$662,AY380)</f>
        <v/>
      </c>
      <c r="BC380" s="3">
        <f t="array" ref="BC380">IF(N(AO380)&gt;=MIN_N,AN380,IF(BB380&gt;=MIN_N,MEDIAN(IF($AY$2:$AY$662=AY380,$O$2:$O$662)),IF(BA380&gt;=MIN_N,MEDIAN(IF($AX$2:$AX$662=AX380,$O$2:$O$662)),MEDIAN(IF($AW$2:$AW$662=AW380,$O$2:$O$662)))))</f>
        <v/>
      </c>
      <c r="BD380" s="3">
        <f>IF(N(AO380)&gt;=MIN_N,"mercado "&amp;AP380,IF(BB380&gt;=MIN_N,"modelo+año+km",IF(BA380&gt;=MIN_N,"modelo+año","modelo")))</f>
        <v/>
      </c>
      <c r="BE380" s="4">
        <f>(BC380-O380)/BC380</f>
        <v/>
      </c>
      <c r="BF380" s="3">
        <f>IF(OR(K380="hibrido",K380="glp"),"ECO",IF(K380="electrico","CERO",IF(K380="gasolina",IF(M380&gt;=GAS_C,"C",IF(M380&gt;=GAS_B,"B","A")),IF(K380="diesel",IF(M380&gt;=DIE_C,"C",IF(M380&gt;=DIE_B,"B","A")),""))))</f>
        <v/>
      </c>
      <c r="BG380" s="3">
        <f>IFERROR(VLOOKUP(F380,MOD_TBL,11,0),IFERROR(VLOOKUP(E380,OCU_TBL,2,0),NEUTRO))</f>
        <v/>
      </c>
      <c r="BH380" s="3">
        <f>SUMIFS(MOT_AJUSTE,MOT_MOTOR,G380,MOT_MARCA,E380,MOT_DESDE,"&lt;="&amp;M380,MOT_HASTA,"&gt;="&amp;M380)+SUMIFS(MOT_AJUSTE,MOT_MOTOR,G380,MOT_MARCA,"(todas)",MOT_DESDE,"&lt;="&amp;M380,MOT_HASTA,"&gt;="&amp;M380)</f>
        <v/>
      </c>
      <c r="BI380" s="3">
        <f>SUMIFS(COMB_AJUSTE,COMB_COMB,K380)</f>
        <v/>
      </c>
      <c r="BJ380" s="3">
        <f>COUNTIFS(MOT_MOTOR,G380,MOT_MARCA,E380,MOT_DESDE,"&lt;="&amp;M380,MOT_HASTA,"&gt;="&amp;M380)+COUNTIFS(MOT_MOTOR,G380,MOT_MARCA,"(todas)",MOT_DESDE,"&lt;="&amp;M380,MOT_HASTA,"&gt;="&amp;M380)</f>
        <v/>
      </c>
      <c r="BK380" s="3">
        <f>IF(AND(K380="diesel",BJ380=0),MIN(BG380,NEUTRO),BG380)</f>
        <v/>
      </c>
      <c r="BL380" s="4">
        <f>MAX(0,MIN(100,BK380+BH380+BI380))</f>
        <v/>
      </c>
      <c r="BM380" s="3">
        <f>MAX(0,MIN(100,50+BE380*PRECIO_PEND))</f>
        <v/>
      </c>
      <c r="BN380" s="3">
        <f>MAX(0,100*(1-N380/KM_MAX))</f>
        <v/>
      </c>
      <c r="BO380" s="3">
        <f>IF(AV380&lt;KMA_SOSP,IF(AA380="sí",100,KMA_PEN),IF(AV380&lt;=KMA_IDEAL_MAX,100,MAX(0,100*(KMA_CERO-AV380)/(KMA_CERO-KMA_IDEAL_MAX))))</f>
        <v/>
      </c>
      <c r="BP380" s="3">
        <f>MAX(0,MIN(100,100*(M380-ANIO_MIN)/(ANIO_ACTUAL-ANIO_MIN)))</f>
        <v/>
      </c>
      <c r="BQ380" s="3">
        <f>W_KMT*BN380+W_KMA*BO380+W_EDAD*BP380</f>
        <v/>
      </c>
      <c r="BR380" s="3">
        <f>P_ITV*(V380="sí")+P_LIBRO*(W380="sí")+P_CORREA*(X380="sí")+P_PROP*(Y380=1)+P_GAR*(Z380="sí")+P_FOTOS*MIN(1,N(U380)/FOTOS_OBJ)</f>
        <v/>
      </c>
      <c r="BS380" s="3">
        <f>IFERROR(VLOOKUP(BF380,ETQ_TBL,2,0),NEUTRO)</f>
        <v/>
      </c>
      <c r="BT380" s="3">
        <f>NEUTRO</f>
        <v/>
      </c>
      <c r="BU380" s="3">
        <f>IFERROR(VLOOKUP(L380,SEGURO_TBL,3,0),"")</f>
        <v/>
      </c>
      <c r="BV380" s="3">
        <f>IF(BU380="",NEUTRO,MAX(0,MIN(100,100*(SEG_REF_MAX-BU380)/(SEG_REF_MAX-SEG_REF_MIN))))</f>
        <v/>
      </c>
      <c r="BW380" s="3">
        <f>W_ET*BS380+W_CONS*BT380+W_SEG*BV380</f>
        <v/>
      </c>
      <c r="BX380" s="3">
        <f>IF(N(AB380)&gt;0,AB380,IF(AND(R380="profesional",SG_LEGAL_ON=1),GAR_LEGAL,0))</f>
        <v/>
      </c>
      <c r="BY380" s="3">
        <f>SG_GAR*MIN(1,BX380/SG_GAR_FULL)+SG_AMPL*(AC380="sí")+SG_KMC*(AF380="sí")+SG_REV*(N(AE380)&gt;0)+SG_DEV*MIN(1,N(AG380)/SG_DEV_FULL)+SG_HIST*(W380="sí")</f>
        <v/>
      </c>
      <c r="BZ380" s="3">
        <f>IFERROR(VLOOKUP(L380,CARR_PEN_TBL,2,0),0)</f>
        <v/>
      </c>
      <c r="CA380" s="3">
        <f>W_FIAB*BL380+W_PRECIO*BM380+W_KMEDAD*BQ380+W_ANUNCIO*BR380+W_USO*BW380+W_SEGURIDAD*BY380-BZ380</f>
        <v/>
      </c>
      <c r="CB380" s="4">
        <f>IF(N(I380)&gt;0,I380,IFERROR(ROUND(_xlfn.NUMBERVALUE(LEFT(G380,FIND(" ",G380&amp;" ")-1),".")*1000,0),99999))</f>
        <v/>
      </c>
      <c r="CC380" s="3">
        <f>IF(R380="profesional",0,IF(O380&lt;CUOTA_VALOR_MAX,IF(AU380&gt;ITP_TRAMO_ALTO,SUMIFS(CF_CUOTA,CF_MAS,ITP_TRAMO_ALTO,CF_CCMIN,"&lt;="&amp;CB380,CF_CCMAX,"&gt;="&amp;CB380),IF(AU380&gt;ITP_TRAMO_BAJO,SUMIFS(CF_CUOTA,CF_MAS,ITP_TRAMO_BAJO,CF_CCMIN,"&lt;="&amp;CB380,CF_CCMAX,"&gt;="&amp;CB380),O380*ITP_TIPO)),O380*ITP_TIPO))</f>
        <v/>
      </c>
      <c r="CD380" s="4">
        <f>IF(R380="profesional",N(AK380),0)</f>
        <v/>
      </c>
      <c r="CE380" s="3">
        <f>IF(AND(R380="profesional",ISNUMBER(AK380),AL380="sí"),0,TASA_DGT)</f>
        <v/>
      </c>
      <c r="CF380" s="3">
        <f>INFORME_DGT</f>
        <v/>
      </c>
      <c r="CG380" s="4">
        <f>O380+CD380+CC380+CE380+CF380</f>
        <v/>
      </c>
      <c r="CH380" s="4">
        <f>CG380+N(BU380)</f>
        <v/>
      </c>
      <c r="CI380" s="3">
        <f>IF(CG380&lt;=TOTAL_MAX,"sí",IF(CG380&lt;=TOTAL_MAX+MARGEN_NEG,"negociar","no"))</f>
        <v/>
      </c>
      <c r="CJ380" s="4">
        <f>IF(CI380&lt;&gt;"no",COUNTIFS($CI$2:$CI$662,"&lt;&gt;no",$CA$2:$CA$662,"&gt;"&amp;CA380)+COUNTIFS($CI$2:CI380,"&lt;&gt;no",$CA$2:CA380,CA380),"")</f>
        <v/>
      </c>
    </row>
    <row r="381">
      <c r="A381" s="2" t="inlineStr">
        <is>
          <t>wallapop:1311633052</t>
        </is>
      </c>
      <c r="B381" s="2" t="inlineStr">
        <is>
          <t>wallapop</t>
        </is>
      </c>
      <c r="C381" s="2" t="inlineStr">
        <is>
          <t>https://es.wallapop.com/item/ford-focus-2009-1311633052</t>
        </is>
      </c>
      <c r="D381" s="2" t="inlineStr">
        <is>
          <t>Ford Focus 2009</t>
        </is>
      </c>
      <c r="E381" s="2" t="inlineStr">
        <is>
          <t>Ford</t>
        </is>
      </c>
      <c r="F381" s="2" t="inlineStr">
        <is>
          <t>Ford Focus</t>
        </is>
      </c>
      <c r="G381" s="2" t="inlineStr">
        <is>
          <t>1.6 TDCi</t>
        </is>
      </c>
      <c r="H381" s="2" t="inlineStr">
        <is>
          <t>1.6 TDCi 109 Trend 5p</t>
        </is>
      </c>
      <c r="I381" s="2" t="n"/>
      <c r="J381" s="2" t="n">
        <v>109</v>
      </c>
      <c r="K381" s="2" t="inlineStr">
        <is>
          <t>diesel</t>
        </is>
      </c>
      <c r="L381" s="2" t="inlineStr">
        <is>
          <t>compacto</t>
        </is>
      </c>
      <c r="M381" s="2" t="n">
        <v>2009</v>
      </c>
      <c r="N381" s="2" t="n">
        <v>107000</v>
      </c>
      <c r="O381" s="2" t="n">
        <v>4900</v>
      </c>
      <c r="P381" s="2" t="inlineStr">
        <is>
          <t>manual</t>
        </is>
      </c>
      <c r="Q381" s="2" t="inlineStr">
        <is>
          <t>no</t>
        </is>
      </c>
      <c r="R381" s="2" t="inlineStr">
        <is>
          <t>particular</t>
        </is>
      </c>
      <c r="S381" s="2" t="inlineStr">
        <is>
          <t>Valencia (46022)</t>
        </is>
      </c>
      <c r="T381" s="2" t="inlineStr">
        <is>
          <t>2026-10-10T17:44:38</t>
        </is>
      </c>
      <c r="U381" s="2" t="n">
        <v>7</v>
      </c>
      <c r="V381" s="2" t="inlineStr">
        <is>
          <t>sí</t>
        </is>
      </c>
      <c r="W381" s="2" t="n"/>
      <c r="X381" s="2" t="n"/>
      <c r="Y381" s="2" t="n"/>
      <c r="Z381" s="2" t="n"/>
      <c r="AA381" s="2" t="n"/>
      <c r="AB381" s="2" t="n"/>
      <c r="AC381" s="2" t="n"/>
      <c r="AD381" s="2" t="n"/>
      <c r="AE381" s="2" t="n"/>
      <c r="AF381" s="2" t="n"/>
      <c r="AG381" s="2" t="n"/>
      <c r="AH381" s="2" t="n"/>
      <c r="AI381" s="2" t="n"/>
      <c r="AJ381" s="2" t="n"/>
      <c r="AK381" s="2" t="n"/>
      <c r="AL381" s="2" t="n"/>
      <c r="AM381" s="2" t="n">
        <v>2.6</v>
      </c>
      <c r="AN381" s="2" t="n">
        <v>4970</v>
      </c>
      <c r="AO381" s="2" t="n">
        <v>8</v>
      </c>
      <c r="AP381" s="2" t="inlineStr">
        <is>
          <t>modelo+año+km</t>
        </is>
      </c>
      <c r="AQ381" s="2" t="n"/>
      <c r="AR381" s="2" t="inlineStr">
        <is>
          <t>por encima del presupuesto (5024 €), negociar; cuota fija ITP: &gt;12 años, 1.501-2.000 cc</t>
        </is>
      </c>
      <c r="AS381" s="2" t="inlineStr">
        <is>
          <t xml:space="preserve">Correa distribución,
Embrague, filtros , sensores Cambiado.
Motor limpiado de carboncillo. neumaticos de 1 año catalizador limpio y filtro de partículas cambiado
Itv hasta octubre 2027
</t>
        </is>
      </c>
      <c r="AT381" s="2" t="inlineStr">
        <is>
          <t>https://es.wallapop.com/item/ford-focus-2009-1311633052 (__NEXT_DATA__ item) /home/user/Alopecia/buscador-coches/raw/wallapop/97a5b886ded7a08c.json</t>
        </is>
      </c>
      <c r="AU381" s="3">
        <f>MAX(ANIO_ACTUAL-M381,0)</f>
        <v/>
      </c>
      <c r="AV381" s="4">
        <f>N381/MAX(AU381,0.5)</f>
        <v/>
      </c>
      <c r="AW381" s="4">
        <f>F381</f>
        <v/>
      </c>
      <c r="AX381" s="3">
        <f>AW381&amp;"|"&amp;INT(M381/SEG_ANIO)*SEG_ANIO</f>
        <v/>
      </c>
      <c r="AY381" s="3">
        <f>AX381&amp;"|"&amp;INT(N381/SEG_KM)*SEG_KM</f>
        <v/>
      </c>
      <c r="AZ381" s="4">
        <f>COUNTIF($AW$2:$AW$662,AW381)</f>
        <v/>
      </c>
      <c r="BA381" s="4">
        <f>COUNTIF($AX$2:$AX$662,AX381)</f>
        <v/>
      </c>
      <c r="BB381" s="4">
        <f>COUNTIF($AY$2:$AY$662,AY381)</f>
        <v/>
      </c>
      <c r="BC381" s="3">
        <f t="array" ref="BC381">IF(N(AO381)&gt;=MIN_N,AN381,IF(BB381&gt;=MIN_N,MEDIAN(IF($AY$2:$AY$662=AY381,$O$2:$O$662)),IF(BA381&gt;=MIN_N,MEDIAN(IF($AX$2:$AX$662=AX381,$O$2:$O$662)),MEDIAN(IF($AW$2:$AW$662=AW381,$O$2:$O$662)))))</f>
        <v/>
      </c>
      <c r="BD381" s="3">
        <f>IF(N(AO381)&gt;=MIN_N,"mercado "&amp;AP381,IF(BB381&gt;=MIN_N,"modelo+año+km",IF(BA381&gt;=MIN_N,"modelo+año","modelo")))</f>
        <v/>
      </c>
      <c r="BE381" s="4">
        <f>(BC381-O381)/BC381</f>
        <v/>
      </c>
      <c r="BF381" s="3">
        <f>IF(OR(K381="hibrido",K381="glp"),"ECO",IF(K381="electrico","CERO",IF(K381="gasolina",IF(M381&gt;=GAS_C,"C",IF(M381&gt;=GAS_B,"B","A")),IF(K381="diesel",IF(M381&gt;=DIE_C,"C",IF(M381&gt;=DIE_B,"B","A")),""))))</f>
        <v/>
      </c>
      <c r="BG381" s="3">
        <f>IFERROR(VLOOKUP(F381,MOD_TBL,11,0),IFERROR(VLOOKUP(E381,OCU_TBL,2,0),NEUTRO))</f>
        <v/>
      </c>
      <c r="BH381" s="3">
        <f>SUMIFS(MOT_AJUSTE,MOT_MOTOR,G381,MOT_MARCA,E381,MOT_DESDE,"&lt;="&amp;M381,MOT_HASTA,"&gt;="&amp;M381)+SUMIFS(MOT_AJUSTE,MOT_MOTOR,G381,MOT_MARCA,"(todas)",MOT_DESDE,"&lt;="&amp;M381,MOT_HASTA,"&gt;="&amp;M381)</f>
        <v/>
      </c>
      <c r="BI381" s="3">
        <f>SUMIFS(COMB_AJUSTE,COMB_COMB,K381)</f>
        <v/>
      </c>
      <c r="BJ381" s="3">
        <f>COUNTIFS(MOT_MOTOR,G381,MOT_MARCA,E381,MOT_DESDE,"&lt;="&amp;M381,MOT_HASTA,"&gt;="&amp;M381)+COUNTIFS(MOT_MOTOR,G381,MOT_MARCA,"(todas)",MOT_DESDE,"&lt;="&amp;M381,MOT_HASTA,"&gt;="&amp;M381)</f>
        <v/>
      </c>
      <c r="BK381" s="3">
        <f>IF(AND(K381="diesel",BJ381=0),MIN(BG381,NEUTRO),BG381)</f>
        <v/>
      </c>
      <c r="BL381" s="4">
        <f>MAX(0,MIN(100,BK381+BH381+BI381))</f>
        <v/>
      </c>
      <c r="BM381" s="3">
        <f>MAX(0,MIN(100,50+BE381*PRECIO_PEND))</f>
        <v/>
      </c>
      <c r="BN381" s="3">
        <f>MAX(0,100*(1-N381/KM_MAX))</f>
        <v/>
      </c>
      <c r="BO381" s="3">
        <f>IF(AV381&lt;KMA_SOSP,IF(AA381="sí",100,KMA_PEN),IF(AV381&lt;=KMA_IDEAL_MAX,100,MAX(0,100*(KMA_CERO-AV381)/(KMA_CERO-KMA_IDEAL_MAX))))</f>
        <v/>
      </c>
      <c r="BP381" s="3">
        <f>MAX(0,MIN(100,100*(M381-ANIO_MIN)/(ANIO_ACTUAL-ANIO_MIN)))</f>
        <v/>
      </c>
      <c r="BQ381" s="3">
        <f>W_KMT*BN381+W_KMA*BO381+W_EDAD*BP381</f>
        <v/>
      </c>
      <c r="BR381" s="3">
        <f>P_ITV*(V381="sí")+P_LIBRO*(W381="sí")+P_CORREA*(X381="sí")+P_PROP*(Y381=1)+P_GAR*(Z381="sí")+P_FOTOS*MIN(1,N(U381)/FOTOS_OBJ)</f>
        <v/>
      </c>
      <c r="BS381" s="3">
        <f>IFERROR(VLOOKUP(BF381,ETQ_TBL,2,0),NEUTRO)</f>
        <v/>
      </c>
      <c r="BT381" s="3">
        <f>NEUTRO</f>
        <v/>
      </c>
      <c r="BU381" s="3">
        <f>IFERROR(VLOOKUP(L381,SEGURO_TBL,3,0),"")</f>
        <v/>
      </c>
      <c r="BV381" s="3">
        <f>IF(BU381="",NEUTRO,MAX(0,MIN(100,100*(SEG_REF_MAX-BU381)/(SEG_REF_MAX-SEG_REF_MIN))))</f>
        <v/>
      </c>
      <c r="BW381" s="3">
        <f>W_ET*BS381+W_CONS*BT381+W_SEG*BV381</f>
        <v/>
      </c>
      <c r="BX381" s="3">
        <f>IF(N(AB381)&gt;0,AB381,IF(AND(R381="profesional",SG_LEGAL_ON=1),GAR_LEGAL,0))</f>
        <v/>
      </c>
      <c r="BY381" s="3">
        <f>SG_GAR*MIN(1,BX381/SG_GAR_FULL)+SG_AMPL*(AC381="sí")+SG_KMC*(AF381="sí")+SG_REV*(N(AE381)&gt;0)+SG_DEV*MIN(1,N(AG381)/SG_DEV_FULL)+SG_HIST*(W381="sí")</f>
        <v/>
      </c>
      <c r="BZ381" s="3">
        <f>IFERROR(VLOOKUP(L381,CARR_PEN_TBL,2,0),0)</f>
        <v/>
      </c>
      <c r="CA381" s="3">
        <f>W_FIAB*BL381+W_PRECIO*BM381+W_KMEDAD*BQ381+W_ANUNCIO*BR381+W_USO*BW381+W_SEGURIDAD*BY381-BZ381</f>
        <v/>
      </c>
      <c r="CB381" s="4">
        <f>IF(N(I381)&gt;0,I381,IFERROR(ROUND(_xlfn.NUMBERVALUE(LEFT(G381,FIND(" ",G381&amp;" ")-1),".")*1000,0),99999))</f>
        <v/>
      </c>
      <c r="CC381" s="3">
        <f>IF(R381="profesional",0,IF(O381&lt;CUOTA_VALOR_MAX,IF(AU381&gt;ITP_TRAMO_ALTO,SUMIFS(CF_CUOTA,CF_MAS,ITP_TRAMO_ALTO,CF_CCMIN,"&lt;="&amp;CB381,CF_CCMAX,"&gt;="&amp;CB381),IF(AU381&gt;ITP_TRAMO_BAJO,SUMIFS(CF_CUOTA,CF_MAS,ITP_TRAMO_BAJO,CF_CCMIN,"&lt;="&amp;CB381,CF_CCMAX,"&gt;="&amp;CB381),O381*ITP_TIPO)),O381*ITP_TIPO))</f>
        <v/>
      </c>
      <c r="CD381" s="4">
        <f>IF(R381="profesional",N(AK381),0)</f>
        <v/>
      </c>
      <c r="CE381" s="3">
        <f>IF(AND(R381="profesional",ISNUMBER(AK381),AL381="sí"),0,TASA_DGT)</f>
        <v/>
      </c>
      <c r="CF381" s="3">
        <f>INFORME_DGT</f>
        <v/>
      </c>
      <c r="CG381" s="4">
        <f>O381+CD381+CC381+CE381+CF381</f>
        <v/>
      </c>
      <c r="CH381" s="4">
        <f>CG381+N(BU381)</f>
        <v/>
      </c>
      <c r="CI381" s="3">
        <f>IF(CG381&lt;=TOTAL_MAX,"sí",IF(CG381&lt;=TOTAL_MAX+MARGEN_NEG,"negociar","no"))</f>
        <v/>
      </c>
      <c r="CJ381" s="4">
        <f>IF(CI381&lt;&gt;"no",COUNTIFS($CI$2:$CI$662,"&lt;&gt;no",$CA$2:$CA$662,"&gt;"&amp;CA381)+COUNTIFS($CI$2:CI381,"&lt;&gt;no",$CA$2:CA381,CA381),"")</f>
        <v/>
      </c>
    </row>
    <row r="382">
      <c r="A382" s="2" t="inlineStr">
        <is>
          <t>wallapop:1318134950</t>
        </is>
      </c>
      <c r="B382" s="2" t="inlineStr">
        <is>
          <t>wallapop</t>
        </is>
      </c>
      <c r="C382" s="2" t="inlineStr">
        <is>
          <t>https://es.wallapop.com/item/ford-focus-2006-1318134950</t>
        </is>
      </c>
      <c r="D382" s="2" t="inlineStr">
        <is>
          <t>Ford Focus 2006</t>
        </is>
      </c>
      <c r="E382" s="2" t="inlineStr">
        <is>
          <t>Ford</t>
        </is>
      </c>
      <c r="F382" s="2" t="inlineStr">
        <is>
          <t>Ford Focus</t>
        </is>
      </c>
      <c r="G382" s="2" t="n"/>
      <c r="H382" s="2" t="n"/>
      <c r="I382" s="2" t="n"/>
      <c r="J382" s="2" t="n"/>
      <c r="K382" s="2" t="inlineStr">
        <is>
          <t>gasolina</t>
        </is>
      </c>
      <c r="L382" s="2" t="inlineStr">
        <is>
          <t>compacto</t>
        </is>
      </c>
      <c r="M382" s="2" t="n">
        <v>2006</v>
      </c>
      <c r="N382" s="2" t="n">
        <v>213000</v>
      </c>
      <c r="O382" s="2" t="n">
        <v>2240</v>
      </c>
      <c r="P382" s="2" t="inlineStr">
        <is>
          <t>manual</t>
        </is>
      </c>
      <c r="Q382" s="2" t="inlineStr">
        <is>
          <t>no</t>
        </is>
      </c>
      <c r="R382" s="2" t="inlineStr">
        <is>
          <t>particular</t>
        </is>
      </c>
      <c r="S382" s="2" t="inlineStr">
        <is>
          <t>Torrent (46900)</t>
        </is>
      </c>
      <c r="T382" s="2" t="inlineStr">
        <is>
          <t>2026-10-28T16:40:27</t>
        </is>
      </c>
      <c r="U382" s="2" t="n">
        <v>10</v>
      </c>
      <c r="V382" s="2" t="n"/>
      <c r="W382" s="2" t="n"/>
      <c r="X382" s="2" t="n"/>
      <c r="Y382" s="2" t="n"/>
      <c r="Z382" s="2" t="n"/>
      <c r="AA382" s="2" t="n"/>
      <c r="AB382" s="2" t="n"/>
      <c r="AC382" s="2" t="n"/>
      <c r="AD382" s="2" t="n"/>
      <c r="AE382" s="2" t="n"/>
      <c r="AF382" s="2" t="n"/>
      <c r="AG382" s="2" t="n"/>
      <c r="AH382" s="2" t="n"/>
      <c r="AI382" s="2" t="n"/>
      <c r="AJ382" s="2" t="n"/>
      <c r="AK382" s="2" t="n"/>
      <c r="AL382" s="2" t="n"/>
      <c r="AM382" s="2" t="n">
        <v>8.9</v>
      </c>
      <c r="AN382" s="2" t="n">
        <v>2995</v>
      </c>
      <c r="AO382" s="2" t="n">
        <v>16</v>
      </c>
      <c r="AP382" s="2" t="inlineStr">
        <is>
          <t>modelo+año+km</t>
        </is>
      </c>
      <c r="AQ382" s="2" t="n"/>
      <c r="AR382" s="2" t="inlineStr">
        <is>
          <t>cilindrada desconocida: se aplica el tramo de cuota fija más alto; cuota fija ITP: &gt;12 años, más de 2.000 cc</t>
        </is>
      </c>
      <c r="AS382" s="2" t="inlineStr">
        <is>
          <t>Ford Focus 2006
105cv
1600 Gasolina
Cambio Manual
Bien cuidado
Itv
Cambio de nombre incluido.
213000</t>
        </is>
      </c>
      <c r="AT382" s="2" t="inlineStr">
        <is>
          <t>https://es.wallapop.com/item/ford-focus-2006-1318134950 (__NEXT_DATA__ item) /home/user/Alopecia/buscador-coches/raw/wallapop/7b068a8c43ec61b8.json</t>
        </is>
      </c>
      <c r="AU382" s="3">
        <f>MAX(ANIO_ACTUAL-M382,0)</f>
        <v/>
      </c>
      <c r="AV382" s="4">
        <f>N382/MAX(AU382,0.5)</f>
        <v/>
      </c>
      <c r="AW382" s="4">
        <f>F382</f>
        <v/>
      </c>
      <c r="AX382" s="3">
        <f>AW382&amp;"|"&amp;INT(M382/SEG_ANIO)*SEG_ANIO</f>
        <v/>
      </c>
      <c r="AY382" s="3">
        <f>AX382&amp;"|"&amp;INT(N382/SEG_KM)*SEG_KM</f>
        <v/>
      </c>
      <c r="AZ382" s="4">
        <f>COUNTIF($AW$2:$AW$662,AW382)</f>
        <v/>
      </c>
      <c r="BA382" s="4">
        <f>COUNTIF($AX$2:$AX$662,AX382)</f>
        <v/>
      </c>
      <c r="BB382" s="4">
        <f>COUNTIF($AY$2:$AY$662,AY382)</f>
        <v/>
      </c>
      <c r="BC382" s="3">
        <f t="array" ref="BC382">IF(N(AO382)&gt;=MIN_N,AN382,IF(BB382&gt;=MIN_N,MEDIAN(IF($AY$2:$AY$662=AY382,$O$2:$O$662)),IF(BA382&gt;=MIN_N,MEDIAN(IF($AX$2:$AX$662=AX382,$O$2:$O$662)),MEDIAN(IF($AW$2:$AW$662=AW382,$O$2:$O$662)))))</f>
        <v/>
      </c>
      <c r="BD382" s="3">
        <f>IF(N(AO382)&gt;=MIN_N,"mercado "&amp;AP382,IF(BB382&gt;=MIN_N,"modelo+año+km",IF(BA382&gt;=MIN_N,"modelo+año","modelo")))</f>
        <v/>
      </c>
      <c r="BE382" s="4">
        <f>(BC382-O382)/BC382</f>
        <v/>
      </c>
      <c r="BF382" s="3">
        <f>IF(OR(K382="hibrido",K382="glp"),"ECO",IF(K382="electrico","CERO",IF(K382="gasolina",IF(M382&gt;=GAS_C,"C",IF(M382&gt;=GAS_B,"B","A")),IF(K382="diesel",IF(M382&gt;=DIE_C,"C",IF(M382&gt;=DIE_B,"B","A")),""))))</f>
        <v/>
      </c>
      <c r="BG382" s="3">
        <f>IFERROR(VLOOKUP(F382,MOD_TBL,11,0),IFERROR(VLOOKUP(E382,OCU_TBL,2,0),NEUTRO))</f>
        <v/>
      </c>
      <c r="BH382" s="3">
        <f>SUMIFS(MOT_AJUSTE,MOT_MOTOR,G382,MOT_MARCA,E382,MOT_DESDE,"&lt;="&amp;M382,MOT_HASTA,"&gt;="&amp;M382)+SUMIFS(MOT_AJUSTE,MOT_MOTOR,G382,MOT_MARCA,"(todas)",MOT_DESDE,"&lt;="&amp;M382,MOT_HASTA,"&gt;="&amp;M382)</f>
        <v/>
      </c>
      <c r="BI382" s="3">
        <f>SUMIFS(COMB_AJUSTE,COMB_COMB,K382)</f>
        <v/>
      </c>
      <c r="BJ382" s="3">
        <f>COUNTIFS(MOT_MOTOR,G382,MOT_MARCA,E382,MOT_DESDE,"&lt;="&amp;M382,MOT_HASTA,"&gt;="&amp;M382)+COUNTIFS(MOT_MOTOR,G382,MOT_MARCA,"(todas)",MOT_DESDE,"&lt;="&amp;M382,MOT_HASTA,"&gt;="&amp;M382)</f>
        <v/>
      </c>
      <c r="BK382" s="3">
        <f>IF(AND(K382="diesel",BJ382=0),MIN(BG382,NEUTRO),BG382)</f>
        <v/>
      </c>
      <c r="BL382" s="4">
        <f>MAX(0,MIN(100,BK382+BH382+BI382))</f>
        <v/>
      </c>
      <c r="BM382" s="3">
        <f>MAX(0,MIN(100,50+BE382*PRECIO_PEND))</f>
        <v/>
      </c>
      <c r="BN382" s="3">
        <f>MAX(0,100*(1-N382/KM_MAX))</f>
        <v/>
      </c>
      <c r="BO382" s="3">
        <f>IF(AV382&lt;KMA_SOSP,IF(AA382="sí",100,KMA_PEN),IF(AV382&lt;=KMA_IDEAL_MAX,100,MAX(0,100*(KMA_CERO-AV382)/(KMA_CERO-KMA_IDEAL_MAX))))</f>
        <v/>
      </c>
      <c r="BP382" s="3">
        <f>MAX(0,MIN(100,100*(M382-ANIO_MIN)/(ANIO_ACTUAL-ANIO_MIN)))</f>
        <v/>
      </c>
      <c r="BQ382" s="3">
        <f>W_KMT*BN382+W_KMA*BO382+W_EDAD*BP382</f>
        <v/>
      </c>
      <c r="BR382" s="3">
        <f>P_ITV*(V382="sí")+P_LIBRO*(W382="sí")+P_CORREA*(X382="sí")+P_PROP*(Y382=1)+P_GAR*(Z382="sí")+P_FOTOS*MIN(1,N(U382)/FOTOS_OBJ)</f>
        <v/>
      </c>
      <c r="BS382" s="3">
        <f>IFERROR(VLOOKUP(BF382,ETQ_TBL,2,0),NEUTRO)</f>
        <v/>
      </c>
      <c r="BT382" s="3">
        <f>NEUTRO</f>
        <v/>
      </c>
      <c r="BU382" s="3">
        <f>IFERROR(VLOOKUP(L382,SEGURO_TBL,3,0),"")</f>
        <v/>
      </c>
      <c r="BV382" s="3">
        <f>IF(BU382="",NEUTRO,MAX(0,MIN(100,100*(SEG_REF_MAX-BU382)/(SEG_REF_MAX-SEG_REF_MIN))))</f>
        <v/>
      </c>
      <c r="BW382" s="3">
        <f>W_ET*BS382+W_CONS*BT382+W_SEG*BV382</f>
        <v/>
      </c>
      <c r="BX382" s="3">
        <f>IF(N(AB382)&gt;0,AB382,IF(AND(R382="profesional",SG_LEGAL_ON=1),GAR_LEGAL,0))</f>
        <v/>
      </c>
      <c r="BY382" s="3">
        <f>SG_GAR*MIN(1,BX382/SG_GAR_FULL)+SG_AMPL*(AC382="sí")+SG_KMC*(AF382="sí")+SG_REV*(N(AE382)&gt;0)+SG_DEV*MIN(1,N(AG382)/SG_DEV_FULL)+SG_HIST*(W382="sí")</f>
        <v/>
      </c>
      <c r="BZ382" s="3">
        <f>IFERROR(VLOOKUP(L382,CARR_PEN_TBL,2,0),0)</f>
        <v/>
      </c>
      <c r="CA382" s="3">
        <f>W_FIAB*BL382+W_PRECIO*BM382+W_KMEDAD*BQ382+W_ANUNCIO*BR382+W_USO*BW382+W_SEGURIDAD*BY382-BZ382</f>
        <v/>
      </c>
      <c r="CB382" s="4">
        <f>IF(N(I382)&gt;0,I382,IFERROR(ROUND(_xlfn.NUMBERVALUE(LEFT(G382,FIND(" ",G382&amp;" ")-1),".")*1000,0),99999))</f>
        <v/>
      </c>
      <c r="CC382" s="3">
        <f>IF(R382="profesional",0,IF(O382&lt;CUOTA_VALOR_MAX,IF(AU382&gt;ITP_TRAMO_ALTO,SUMIFS(CF_CUOTA,CF_MAS,ITP_TRAMO_ALTO,CF_CCMIN,"&lt;="&amp;CB382,CF_CCMAX,"&gt;="&amp;CB382),IF(AU382&gt;ITP_TRAMO_BAJO,SUMIFS(CF_CUOTA,CF_MAS,ITP_TRAMO_BAJO,CF_CCMIN,"&lt;="&amp;CB382,CF_CCMAX,"&gt;="&amp;CB382),O382*ITP_TIPO)),O382*ITP_TIPO))</f>
        <v/>
      </c>
      <c r="CD382" s="4">
        <f>IF(R382="profesional",N(AK382),0)</f>
        <v/>
      </c>
      <c r="CE382" s="3">
        <f>IF(AND(R382="profesional",ISNUMBER(AK382),AL382="sí"),0,TASA_DGT)</f>
        <v/>
      </c>
      <c r="CF382" s="3">
        <f>INFORME_DGT</f>
        <v/>
      </c>
      <c r="CG382" s="4">
        <f>O382+CD382+CC382+CE382+CF382</f>
        <v/>
      </c>
      <c r="CH382" s="4">
        <f>CG382+N(BU382)</f>
        <v/>
      </c>
      <c r="CI382" s="3">
        <f>IF(CG382&lt;=TOTAL_MAX,"sí",IF(CG382&lt;=TOTAL_MAX+MARGEN_NEG,"negociar","no"))</f>
        <v/>
      </c>
      <c r="CJ382" s="4">
        <f>IF(CI382&lt;&gt;"no",COUNTIFS($CI$2:$CI$662,"&lt;&gt;no",$CA$2:$CA$662,"&gt;"&amp;CA382)+COUNTIFS($CI$2:CI382,"&lt;&gt;no",$CA$2:CA382,CA382),"")</f>
        <v/>
      </c>
    </row>
    <row r="383">
      <c r="A383" s="2" t="inlineStr">
        <is>
          <t>wallapop:1236536274</t>
        </is>
      </c>
      <c r="B383" s="2" t="inlineStr">
        <is>
          <t>wallapop</t>
        </is>
      </c>
      <c r="C383" s="2" t="inlineStr">
        <is>
          <t>https://es.wallapop.com/item/ford-focus-2008-1236536274</t>
        </is>
      </c>
      <c r="D383" s="2" t="inlineStr">
        <is>
          <t>Ford Focus 2008</t>
        </is>
      </c>
      <c r="E383" s="2" t="inlineStr">
        <is>
          <t>Ford</t>
        </is>
      </c>
      <c r="F383" s="2" t="inlineStr">
        <is>
          <t>Ford Focus</t>
        </is>
      </c>
      <c r="G383" s="2" t="inlineStr">
        <is>
          <t>1.6 TDCi</t>
        </is>
      </c>
      <c r="H383" s="2" t="inlineStr">
        <is>
          <t>1.6 TDCi 109 Trend 5p</t>
        </is>
      </c>
      <c r="I383" s="2" t="n"/>
      <c r="J383" s="2" t="n">
        <v>109</v>
      </c>
      <c r="K383" s="2" t="inlineStr">
        <is>
          <t>diesel</t>
        </is>
      </c>
      <c r="L383" s="2" t="inlineStr">
        <is>
          <t>compacto</t>
        </is>
      </c>
      <c r="M383" s="2" t="n">
        <v>2008</v>
      </c>
      <c r="N383" s="2" t="n">
        <v>190000</v>
      </c>
      <c r="O383" s="2" t="n">
        <v>3700</v>
      </c>
      <c r="P383" s="2" t="inlineStr">
        <is>
          <t>manual</t>
        </is>
      </c>
      <c r="Q383" s="2" t="inlineStr">
        <is>
          <t>no</t>
        </is>
      </c>
      <c r="R383" s="2" t="inlineStr">
        <is>
          <t>particular</t>
        </is>
      </c>
      <c r="S383" s="2" t="inlineStr">
        <is>
          <t>Torrent (46900)</t>
        </is>
      </c>
      <c r="T383" s="2" t="inlineStr">
        <is>
          <t>2026-10-14T20:23:49</t>
        </is>
      </c>
      <c r="U383" s="2" t="n">
        <v>10</v>
      </c>
      <c r="V383" s="2" t="inlineStr">
        <is>
          <t>sí</t>
        </is>
      </c>
      <c r="W383" s="2" t="n"/>
      <c r="X383" s="2" t="n"/>
      <c r="Y383" s="2" t="n"/>
      <c r="Z383" s="2" t="n"/>
      <c r="AA383" s="2" t="n"/>
      <c r="AB383" s="2" t="n"/>
      <c r="AC383" s="2" t="n"/>
      <c r="AD383" s="2" t="n"/>
      <c r="AE383" s="2" t="n"/>
      <c r="AF383" s="2" t="n"/>
      <c r="AG383" s="2" t="n"/>
      <c r="AH383" s="2" t="n"/>
      <c r="AI383" s="2" t="n"/>
      <c r="AJ383" s="2" t="n"/>
      <c r="AK383" s="2" t="n"/>
      <c r="AL383" s="2" t="n"/>
      <c r="AM383" s="2" t="n">
        <v>9.699999999999999</v>
      </c>
      <c r="AN383" s="2" t="n">
        <v>3870</v>
      </c>
      <c r="AO383" s="2" t="n">
        <v>10</v>
      </c>
      <c r="AP383" s="2" t="inlineStr">
        <is>
          <t>modelo+año+km</t>
        </is>
      </c>
      <c r="AQ383" s="2" t="n"/>
      <c r="AR383" s="2" t="inlineStr">
        <is>
          <t>cuota fija ITP: &gt;12 años, 1.501-2.000 cc</t>
        </is>
      </c>
      <c r="AS383" s="2" t="inlineStr">
        <is>
          <t>Ford focus mk2 año 2008
Motor 1.6tdci diésel 5 marchas manual
Mantenimiento recién  hecho
Itv al dia
El coche funciona todo correctamente va muy fino y consume muy poco
2 llaves
Control crucero</t>
        </is>
      </c>
      <c r="AT383" s="2" t="inlineStr">
        <is>
          <t>https://es.wallapop.com/item/ford-focus-2008-1236536274 (__NEXT_DATA__ item) /home/user/Alopecia/buscador-coches/raw/wallapop/0dd7692e1ae5ea79.json</t>
        </is>
      </c>
      <c r="AU383" s="3">
        <f>MAX(ANIO_ACTUAL-M383,0)</f>
        <v/>
      </c>
      <c r="AV383" s="4">
        <f>N383/MAX(AU383,0.5)</f>
        <v/>
      </c>
      <c r="AW383" s="4">
        <f>F383</f>
        <v/>
      </c>
      <c r="AX383" s="3">
        <f>AW383&amp;"|"&amp;INT(M383/SEG_ANIO)*SEG_ANIO</f>
        <v/>
      </c>
      <c r="AY383" s="3">
        <f>AX383&amp;"|"&amp;INT(N383/SEG_KM)*SEG_KM</f>
        <v/>
      </c>
      <c r="AZ383" s="4">
        <f>COUNTIF($AW$2:$AW$662,AW383)</f>
        <v/>
      </c>
      <c r="BA383" s="4">
        <f>COUNTIF($AX$2:$AX$662,AX383)</f>
        <v/>
      </c>
      <c r="BB383" s="4">
        <f>COUNTIF($AY$2:$AY$662,AY383)</f>
        <v/>
      </c>
      <c r="BC383" s="3">
        <f t="array" ref="BC383">IF(N(AO383)&gt;=MIN_N,AN383,IF(BB383&gt;=MIN_N,MEDIAN(IF($AY$2:$AY$662=AY383,$O$2:$O$662)),IF(BA383&gt;=MIN_N,MEDIAN(IF($AX$2:$AX$662=AX383,$O$2:$O$662)),MEDIAN(IF($AW$2:$AW$662=AW383,$O$2:$O$662)))))</f>
        <v/>
      </c>
      <c r="BD383" s="3">
        <f>IF(N(AO383)&gt;=MIN_N,"mercado "&amp;AP383,IF(BB383&gt;=MIN_N,"modelo+año+km",IF(BA383&gt;=MIN_N,"modelo+año","modelo")))</f>
        <v/>
      </c>
      <c r="BE383" s="4">
        <f>(BC383-O383)/BC383</f>
        <v/>
      </c>
      <c r="BF383" s="3">
        <f>IF(OR(K383="hibrido",K383="glp"),"ECO",IF(K383="electrico","CERO",IF(K383="gasolina",IF(M383&gt;=GAS_C,"C",IF(M383&gt;=GAS_B,"B","A")),IF(K383="diesel",IF(M383&gt;=DIE_C,"C",IF(M383&gt;=DIE_B,"B","A")),""))))</f>
        <v/>
      </c>
      <c r="BG383" s="3">
        <f>IFERROR(VLOOKUP(F383,MOD_TBL,11,0),IFERROR(VLOOKUP(E383,OCU_TBL,2,0),NEUTRO))</f>
        <v/>
      </c>
      <c r="BH383" s="3">
        <f>SUMIFS(MOT_AJUSTE,MOT_MOTOR,G383,MOT_MARCA,E383,MOT_DESDE,"&lt;="&amp;M383,MOT_HASTA,"&gt;="&amp;M383)+SUMIFS(MOT_AJUSTE,MOT_MOTOR,G383,MOT_MARCA,"(todas)",MOT_DESDE,"&lt;="&amp;M383,MOT_HASTA,"&gt;="&amp;M383)</f>
        <v/>
      </c>
      <c r="BI383" s="3">
        <f>SUMIFS(COMB_AJUSTE,COMB_COMB,K383)</f>
        <v/>
      </c>
      <c r="BJ383" s="3">
        <f>COUNTIFS(MOT_MOTOR,G383,MOT_MARCA,E383,MOT_DESDE,"&lt;="&amp;M383,MOT_HASTA,"&gt;="&amp;M383)+COUNTIFS(MOT_MOTOR,G383,MOT_MARCA,"(todas)",MOT_DESDE,"&lt;="&amp;M383,MOT_HASTA,"&gt;="&amp;M383)</f>
        <v/>
      </c>
      <c r="BK383" s="3">
        <f>IF(AND(K383="diesel",BJ383=0),MIN(BG383,NEUTRO),BG383)</f>
        <v/>
      </c>
      <c r="BL383" s="4">
        <f>MAX(0,MIN(100,BK383+BH383+BI383))</f>
        <v/>
      </c>
      <c r="BM383" s="3">
        <f>MAX(0,MIN(100,50+BE383*PRECIO_PEND))</f>
        <v/>
      </c>
      <c r="BN383" s="3">
        <f>MAX(0,100*(1-N383/KM_MAX))</f>
        <v/>
      </c>
      <c r="BO383" s="3">
        <f>IF(AV383&lt;KMA_SOSP,IF(AA383="sí",100,KMA_PEN),IF(AV383&lt;=KMA_IDEAL_MAX,100,MAX(0,100*(KMA_CERO-AV383)/(KMA_CERO-KMA_IDEAL_MAX))))</f>
        <v/>
      </c>
      <c r="BP383" s="3">
        <f>MAX(0,MIN(100,100*(M383-ANIO_MIN)/(ANIO_ACTUAL-ANIO_MIN)))</f>
        <v/>
      </c>
      <c r="BQ383" s="3">
        <f>W_KMT*BN383+W_KMA*BO383+W_EDAD*BP383</f>
        <v/>
      </c>
      <c r="BR383" s="3">
        <f>P_ITV*(V383="sí")+P_LIBRO*(W383="sí")+P_CORREA*(X383="sí")+P_PROP*(Y383=1)+P_GAR*(Z383="sí")+P_FOTOS*MIN(1,N(U383)/FOTOS_OBJ)</f>
        <v/>
      </c>
      <c r="BS383" s="3">
        <f>IFERROR(VLOOKUP(BF383,ETQ_TBL,2,0),NEUTRO)</f>
        <v/>
      </c>
      <c r="BT383" s="3">
        <f>NEUTRO</f>
        <v/>
      </c>
      <c r="BU383" s="3">
        <f>IFERROR(VLOOKUP(L383,SEGURO_TBL,3,0),"")</f>
        <v/>
      </c>
      <c r="BV383" s="3">
        <f>IF(BU383="",NEUTRO,MAX(0,MIN(100,100*(SEG_REF_MAX-BU383)/(SEG_REF_MAX-SEG_REF_MIN))))</f>
        <v/>
      </c>
      <c r="BW383" s="3">
        <f>W_ET*BS383+W_CONS*BT383+W_SEG*BV383</f>
        <v/>
      </c>
      <c r="BX383" s="3">
        <f>IF(N(AB383)&gt;0,AB383,IF(AND(R383="profesional",SG_LEGAL_ON=1),GAR_LEGAL,0))</f>
        <v/>
      </c>
      <c r="BY383" s="3">
        <f>SG_GAR*MIN(1,BX383/SG_GAR_FULL)+SG_AMPL*(AC383="sí")+SG_KMC*(AF383="sí")+SG_REV*(N(AE383)&gt;0)+SG_DEV*MIN(1,N(AG383)/SG_DEV_FULL)+SG_HIST*(W383="sí")</f>
        <v/>
      </c>
      <c r="BZ383" s="3">
        <f>IFERROR(VLOOKUP(L383,CARR_PEN_TBL,2,0),0)</f>
        <v/>
      </c>
      <c r="CA383" s="3">
        <f>W_FIAB*BL383+W_PRECIO*BM383+W_KMEDAD*BQ383+W_ANUNCIO*BR383+W_USO*BW383+W_SEGURIDAD*BY383-BZ383</f>
        <v/>
      </c>
      <c r="CB383" s="4">
        <f>IF(N(I383)&gt;0,I383,IFERROR(ROUND(_xlfn.NUMBERVALUE(LEFT(G383,FIND(" ",G383&amp;" ")-1),".")*1000,0),99999))</f>
        <v/>
      </c>
      <c r="CC383" s="3">
        <f>IF(R383="profesional",0,IF(O383&lt;CUOTA_VALOR_MAX,IF(AU383&gt;ITP_TRAMO_ALTO,SUMIFS(CF_CUOTA,CF_MAS,ITP_TRAMO_ALTO,CF_CCMIN,"&lt;="&amp;CB383,CF_CCMAX,"&gt;="&amp;CB383),IF(AU383&gt;ITP_TRAMO_BAJO,SUMIFS(CF_CUOTA,CF_MAS,ITP_TRAMO_BAJO,CF_CCMIN,"&lt;="&amp;CB383,CF_CCMAX,"&gt;="&amp;CB383),O383*ITP_TIPO)),O383*ITP_TIPO))</f>
        <v/>
      </c>
      <c r="CD383" s="4">
        <f>IF(R383="profesional",N(AK383),0)</f>
        <v/>
      </c>
      <c r="CE383" s="3">
        <f>IF(AND(R383="profesional",ISNUMBER(AK383),AL383="sí"),0,TASA_DGT)</f>
        <v/>
      </c>
      <c r="CF383" s="3">
        <f>INFORME_DGT</f>
        <v/>
      </c>
      <c r="CG383" s="4">
        <f>O383+CD383+CC383+CE383+CF383</f>
        <v/>
      </c>
      <c r="CH383" s="4">
        <f>CG383+N(BU383)</f>
        <v/>
      </c>
      <c r="CI383" s="3">
        <f>IF(CG383&lt;=TOTAL_MAX,"sí",IF(CG383&lt;=TOTAL_MAX+MARGEN_NEG,"negociar","no"))</f>
        <v/>
      </c>
      <c r="CJ383" s="4">
        <f>IF(CI383&lt;&gt;"no",COUNTIFS($CI$2:$CI$662,"&lt;&gt;no",$CA$2:$CA$662,"&gt;"&amp;CA383)+COUNTIFS($CI$2:CI383,"&lt;&gt;no",$CA$2:CA383,CA383),"")</f>
        <v/>
      </c>
    </row>
    <row r="384">
      <c r="A384" s="2" t="inlineStr">
        <is>
          <t>wallapop:1302217553</t>
        </is>
      </c>
      <c r="B384" s="2" t="inlineStr">
        <is>
          <t>wallapop</t>
        </is>
      </c>
      <c r="C384" s="2" t="inlineStr">
        <is>
          <t>https://es.wallapop.com/item/ford-focus-2007-1302217553</t>
        </is>
      </c>
      <c r="D384" s="2" t="inlineStr">
        <is>
          <t>Ford Focus 2007</t>
        </is>
      </c>
      <c r="E384" s="2" t="inlineStr">
        <is>
          <t>Ford</t>
        </is>
      </c>
      <c r="F384" s="2" t="inlineStr">
        <is>
          <t>Ford Focus</t>
        </is>
      </c>
      <c r="G384" s="2" t="inlineStr">
        <is>
          <t>1.6</t>
        </is>
      </c>
      <c r="H384" s="2" t="inlineStr">
        <is>
          <t>1.6 TI-VCT 115 Trend 3p</t>
        </is>
      </c>
      <c r="I384" s="2" t="n"/>
      <c r="J384" s="2" t="n">
        <v>115</v>
      </c>
      <c r="K384" s="2" t="inlineStr">
        <is>
          <t>gasolina</t>
        </is>
      </c>
      <c r="L384" s="2" t="inlineStr">
        <is>
          <t>compacto</t>
        </is>
      </c>
      <c r="M384" s="2" t="n">
        <v>2007</v>
      </c>
      <c r="N384" s="2" t="n">
        <v>190000</v>
      </c>
      <c r="O384" s="2" t="n">
        <v>3500</v>
      </c>
      <c r="P384" s="2" t="inlineStr">
        <is>
          <t>manual</t>
        </is>
      </c>
      <c r="Q384" s="2" t="inlineStr">
        <is>
          <t>no</t>
        </is>
      </c>
      <c r="R384" s="2" t="inlineStr">
        <is>
          <t>particular</t>
        </is>
      </c>
      <c r="S384" s="2" t="inlineStr">
        <is>
          <t>Manises (46940)</t>
        </is>
      </c>
      <c r="T384" s="2" t="inlineStr">
        <is>
          <t>2026-10-09T00:00:14</t>
        </is>
      </c>
      <c r="U384" s="2" t="n">
        <v>6</v>
      </c>
      <c r="V384" s="2" t="n"/>
      <c r="W384" s="2" t="inlineStr">
        <is>
          <t>sí</t>
        </is>
      </c>
      <c r="X384" s="2" t="inlineStr">
        <is>
          <t>sí</t>
        </is>
      </c>
      <c r="Y384" s="2" t="n"/>
      <c r="Z384" s="2" t="n"/>
      <c r="AA384" s="2" t="n"/>
      <c r="AB384" s="2" t="n"/>
      <c r="AC384" s="2" t="n"/>
      <c r="AD384" s="2" t="n"/>
      <c r="AE384" s="2" t="n"/>
      <c r="AF384" s="2" t="n"/>
      <c r="AG384" s="2" t="n"/>
      <c r="AH384" s="2" t="n"/>
      <c r="AI384" s="2" t="n"/>
      <c r="AJ384" s="2" t="n"/>
      <c r="AK384" s="2" t="n"/>
      <c r="AL384" s="2" t="n"/>
      <c r="AM384" s="2" t="n">
        <v>7.4</v>
      </c>
      <c r="AN384" s="2" t="n">
        <v>3870</v>
      </c>
      <c r="AO384" s="2" t="n">
        <v>10</v>
      </c>
      <c r="AP384" s="2" t="inlineStr">
        <is>
          <t>modelo+año+km</t>
        </is>
      </c>
      <c r="AQ384" s="2" t="n"/>
      <c r="AR384" s="2" t="inlineStr">
        <is>
          <t>cuota fija ITP: &gt;12 años, 1.501-2.000 cc</t>
        </is>
      </c>
      <c r="AS384" s="2" t="inlineStr">
        <is>
          <t>Techo solar, pantalla táctil, distribución cambiada,ruedas, mantenimiento al día, gasta muy poco</t>
        </is>
      </c>
      <c r="AT384" s="2" t="inlineStr">
        <is>
          <t>https://es.wallapop.com/item/ford-focus-2007-1302217553 (__NEXT_DATA__ item) /home/user/Alopecia/buscador-coches/raw/wallapop/d9835e6b776463c9.json</t>
        </is>
      </c>
      <c r="AU384" s="3">
        <f>MAX(ANIO_ACTUAL-M384,0)</f>
        <v/>
      </c>
      <c r="AV384" s="4">
        <f>N384/MAX(AU384,0.5)</f>
        <v/>
      </c>
      <c r="AW384" s="4">
        <f>F384</f>
        <v/>
      </c>
      <c r="AX384" s="3">
        <f>AW384&amp;"|"&amp;INT(M384/SEG_ANIO)*SEG_ANIO</f>
        <v/>
      </c>
      <c r="AY384" s="3">
        <f>AX384&amp;"|"&amp;INT(N384/SEG_KM)*SEG_KM</f>
        <v/>
      </c>
      <c r="AZ384" s="4">
        <f>COUNTIF($AW$2:$AW$662,AW384)</f>
        <v/>
      </c>
      <c r="BA384" s="4">
        <f>COUNTIF($AX$2:$AX$662,AX384)</f>
        <v/>
      </c>
      <c r="BB384" s="4">
        <f>COUNTIF($AY$2:$AY$662,AY384)</f>
        <v/>
      </c>
      <c r="BC384" s="3">
        <f t="array" ref="BC384">IF(N(AO384)&gt;=MIN_N,AN384,IF(BB384&gt;=MIN_N,MEDIAN(IF($AY$2:$AY$662=AY384,$O$2:$O$662)),IF(BA384&gt;=MIN_N,MEDIAN(IF($AX$2:$AX$662=AX384,$O$2:$O$662)),MEDIAN(IF($AW$2:$AW$662=AW384,$O$2:$O$662)))))</f>
        <v/>
      </c>
      <c r="BD384" s="3">
        <f>IF(N(AO384)&gt;=MIN_N,"mercado "&amp;AP384,IF(BB384&gt;=MIN_N,"modelo+año+km",IF(BA384&gt;=MIN_N,"modelo+año","modelo")))</f>
        <v/>
      </c>
      <c r="BE384" s="4">
        <f>(BC384-O384)/BC384</f>
        <v/>
      </c>
      <c r="BF384" s="3">
        <f>IF(OR(K384="hibrido",K384="glp"),"ECO",IF(K384="electrico","CERO",IF(K384="gasolina",IF(M384&gt;=GAS_C,"C",IF(M384&gt;=GAS_B,"B","A")),IF(K384="diesel",IF(M384&gt;=DIE_C,"C",IF(M384&gt;=DIE_B,"B","A")),""))))</f>
        <v/>
      </c>
      <c r="BG384" s="3">
        <f>IFERROR(VLOOKUP(F384,MOD_TBL,11,0),IFERROR(VLOOKUP(E384,OCU_TBL,2,0),NEUTRO))</f>
        <v/>
      </c>
      <c r="BH384" s="3">
        <f>SUMIFS(MOT_AJUSTE,MOT_MOTOR,G384,MOT_MARCA,E384,MOT_DESDE,"&lt;="&amp;M384,MOT_HASTA,"&gt;="&amp;M384)+SUMIFS(MOT_AJUSTE,MOT_MOTOR,G384,MOT_MARCA,"(todas)",MOT_DESDE,"&lt;="&amp;M384,MOT_HASTA,"&gt;="&amp;M384)</f>
        <v/>
      </c>
      <c r="BI384" s="3">
        <f>SUMIFS(COMB_AJUSTE,COMB_COMB,K384)</f>
        <v/>
      </c>
      <c r="BJ384" s="3">
        <f>COUNTIFS(MOT_MOTOR,G384,MOT_MARCA,E384,MOT_DESDE,"&lt;="&amp;M384,MOT_HASTA,"&gt;="&amp;M384)+COUNTIFS(MOT_MOTOR,G384,MOT_MARCA,"(todas)",MOT_DESDE,"&lt;="&amp;M384,MOT_HASTA,"&gt;="&amp;M384)</f>
        <v/>
      </c>
      <c r="BK384" s="3">
        <f>IF(AND(K384="diesel",BJ384=0),MIN(BG384,NEUTRO),BG384)</f>
        <v/>
      </c>
      <c r="BL384" s="4">
        <f>MAX(0,MIN(100,BK384+BH384+BI384))</f>
        <v/>
      </c>
      <c r="BM384" s="3">
        <f>MAX(0,MIN(100,50+BE384*PRECIO_PEND))</f>
        <v/>
      </c>
      <c r="BN384" s="3">
        <f>MAX(0,100*(1-N384/KM_MAX))</f>
        <v/>
      </c>
      <c r="BO384" s="3">
        <f>IF(AV384&lt;KMA_SOSP,IF(AA384="sí",100,KMA_PEN),IF(AV384&lt;=KMA_IDEAL_MAX,100,MAX(0,100*(KMA_CERO-AV384)/(KMA_CERO-KMA_IDEAL_MAX))))</f>
        <v/>
      </c>
      <c r="BP384" s="3">
        <f>MAX(0,MIN(100,100*(M384-ANIO_MIN)/(ANIO_ACTUAL-ANIO_MIN)))</f>
        <v/>
      </c>
      <c r="BQ384" s="3">
        <f>W_KMT*BN384+W_KMA*BO384+W_EDAD*BP384</f>
        <v/>
      </c>
      <c r="BR384" s="3">
        <f>P_ITV*(V384="sí")+P_LIBRO*(W384="sí")+P_CORREA*(X384="sí")+P_PROP*(Y384=1)+P_GAR*(Z384="sí")+P_FOTOS*MIN(1,N(U384)/FOTOS_OBJ)</f>
        <v/>
      </c>
      <c r="BS384" s="3">
        <f>IFERROR(VLOOKUP(BF384,ETQ_TBL,2,0),NEUTRO)</f>
        <v/>
      </c>
      <c r="BT384" s="3">
        <f>NEUTRO</f>
        <v/>
      </c>
      <c r="BU384" s="3">
        <f>IFERROR(VLOOKUP(L384,SEGURO_TBL,3,0),"")</f>
        <v/>
      </c>
      <c r="BV384" s="3">
        <f>IF(BU384="",NEUTRO,MAX(0,MIN(100,100*(SEG_REF_MAX-BU384)/(SEG_REF_MAX-SEG_REF_MIN))))</f>
        <v/>
      </c>
      <c r="BW384" s="3">
        <f>W_ET*BS384+W_CONS*BT384+W_SEG*BV384</f>
        <v/>
      </c>
      <c r="BX384" s="3">
        <f>IF(N(AB384)&gt;0,AB384,IF(AND(R384="profesional",SG_LEGAL_ON=1),GAR_LEGAL,0))</f>
        <v/>
      </c>
      <c r="BY384" s="3">
        <f>SG_GAR*MIN(1,BX384/SG_GAR_FULL)+SG_AMPL*(AC384="sí")+SG_KMC*(AF384="sí")+SG_REV*(N(AE384)&gt;0)+SG_DEV*MIN(1,N(AG384)/SG_DEV_FULL)+SG_HIST*(W384="sí")</f>
        <v/>
      </c>
      <c r="BZ384" s="3">
        <f>IFERROR(VLOOKUP(L384,CARR_PEN_TBL,2,0),0)</f>
        <v/>
      </c>
      <c r="CA384" s="3">
        <f>W_FIAB*BL384+W_PRECIO*BM384+W_KMEDAD*BQ384+W_ANUNCIO*BR384+W_USO*BW384+W_SEGURIDAD*BY384-BZ384</f>
        <v/>
      </c>
      <c r="CB384" s="4">
        <f>IF(N(I384)&gt;0,I384,IFERROR(ROUND(_xlfn.NUMBERVALUE(LEFT(G384,FIND(" ",G384&amp;" ")-1),".")*1000,0),99999))</f>
        <v/>
      </c>
      <c r="CC384" s="3">
        <f>IF(R384="profesional",0,IF(O384&lt;CUOTA_VALOR_MAX,IF(AU384&gt;ITP_TRAMO_ALTO,SUMIFS(CF_CUOTA,CF_MAS,ITP_TRAMO_ALTO,CF_CCMIN,"&lt;="&amp;CB384,CF_CCMAX,"&gt;="&amp;CB384),IF(AU384&gt;ITP_TRAMO_BAJO,SUMIFS(CF_CUOTA,CF_MAS,ITP_TRAMO_BAJO,CF_CCMIN,"&lt;="&amp;CB384,CF_CCMAX,"&gt;="&amp;CB384),O384*ITP_TIPO)),O384*ITP_TIPO))</f>
        <v/>
      </c>
      <c r="CD384" s="4">
        <f>IF(R384="profesional",N(AK384),0)</f>
        <v/>
      </c>
      <c r="CE384" s="3">
        <f>IF(AND(R384="profesional",ISNUMBER(AK384),AL384="sí"),0,TASA_DGT)</f>
        <v/>
      </c>
      <c r="CF384" s="3">
        <f>INFORME_DGT</f>
        <v/>
      </c>
      <c r="CG384" s="4">
        <f>O384+CD384+CC384+CE384+CF384</f>
        <v/>
      </c>
      <c r="CH384" s="4">
        <f>CG384+N(BU384)</f>
        <v/>
      </c>
      <c r="CI384" s="3">
        <f>IF(CG384&lt;=TOTAL_MAX,"sí",IF(CG384&lt;=TOTAL_MAX+MARGEN_NEG,"negociar","no"))</f>
        <v/>
      </c>
      <c r="CJ384" s="4">
        <f>IF(CI384&lt;&gt;"no",COUNTIFS($CI$2:$CI$662,"&lt;&gt;no",$CA$2:$CA$662,"&gt;"&amp;CA384)+COUNTIFS($CI$2:CI384,"&lt;&gt;no",$CA$2:CA384,CA384),"")</f>
        <v/>
      </c>
    </row>
    <row r="385">
      <c r="A385" s="2" t="inlineStr">
        <is>
          <t>cochesnet:71370685</t>
        </is>
      </c>
      <c r="B385" s="2" t="inlineStr">
        <is>
          <t>cochesnet</t>
        </is>
      </c>
      <c r="C385" s="2" t="inlineStr">
        <is>
          <t>https://www.coches.net/ford-fusion-16-tdci-fusion--5p-diesel-2006-en-valencia-71370685-covo.aspx</t>
        </is>
      </c>
      <c r="D385" s="2" t="inlineStr">
        <is>
          <t>FORD Fusion 1.6 TDCI Fusion</t>
        </is>
      </c>
      <c r="E385" s="2" t="inlineStr">
        <is>
          <t>Ford</t>
        </is>
      </c>
      <c r="F385" s="2" t="inlineStr">
        <is>
          <t>Ford Fusion</t>
        </is>
      </c>
      <c r="G385" s="2" t="inlineStr">
        <is>
          <t>1.6 TDCi</t>
        </is>
      </c>
      <c r="H385" s="2" t="inlineStr">
        <is>
          <t xml:space="preserve">1.6 TDCI Fusion </t>
        </is>
      </c>
      <c r="I385" s="2" t="n"/>
      <c r="J385" s="2" t="n"/>
      <c r="K385" s="2" t="inlineStr">
        <is>
          <t>diesel</t>
        </is>
      </c>
      <c r="L385" s="2" t="inlineStr">
        <is>
          <t>monovolumen_pequeno</t>
        </is>
      </c>
      <c r="M385" s="2" t="n">
        <v>2006</v>
      </c>
      <c r="N385" s="2" t="n">
        <v>170000</v>
      </c>
      <c r="O385" s="2" t="n">
        <v>2350</v>
      </c>
      <c r="P385" s="2" t="inlineStr">
        <is>
          <t>manual</t>
        </is>
      </c>
      <c r="Q385" s="2" t="inlineStr">
        <is>
          <t>no</t>
        </is>
      </c>
      <c r="R385" s="2" t="inlineStr">
        <is>
          <t>particular</t>
        </is>
      </c>
      <c r="S385" s="2" t="inlineStr">
        <is>
          <t>Valencia</t>
        </is>
      </c>
      <c r="T385" s="2" t="inlineStr">
        <is>
          <t>2026-08-26T18:26:47Z</t>
        </is>
      </c>
      <c r="U385" s="2" t="n">
        <v>15</v>
      </c>
      <c r="V385" s="2" t="inlineStr">
        <is>
          <t>sí</t>
        </is>
      </c>
      <c r="W385" s="2" t="n"/>
      <c r="X385" s="2" t="inlineStr">
        <is>
          <t>sí</t>
        </is>
      </c>
      <c r="Y385" s="2" t="n"/>
      <c r="Z385" s="2" t="inlineStr">
        <is>
          <t>no</t>
        </is>
      </c>
      <c r="AA385" s="2" t="n"/>
      <c r="AB385" s="2" t="n"/>
      <c r="AC385" s="2" t="n"/>
      <c r="AD385" s="2" t="n"/>
      <c r="AE385" s="2" t="n"/>
      <c r="AF385" s="2" t="n"/>
      <c r="AG385" s="2" t="n"/>
      <c r="AH385" s="2" t="n">
        <v>2350</v>
      </c>
      <c r="AI385" s="2" t="n"/>
      <c r="AJ385" s="2" t="n"/>
      <c r="AK385" s="2" t="n"/>
      <c r="AL385" s="2" t="n"/>
      <c r="AM385" s="2" t="n">
        <v>0.1</v>
      </c>
      <c r="AN385" s="2" t="n">
        <v>2350</v>
      </c>
      <c r="AO385" s="2" t="n">
        <v>5</v>
      </c>
      <c r="AP385" s="2" t="inlineStr">
        <is>
          <t>modelo+año</t>
        </is>
      </c>
      <c r="AQ385" s="2" t="inlineStr">
        <is>
          <t>wallapop:935699443 (https://es.wallapop.com/item/ford-fusion-2006-935699443)</t>
        </is>
      </c>
      <c r="AR385" s="2" t="inlineStr">
        <is>
          <t>cuota fija ITP: &gt;12 años, 1.501-2.000 cc; carrocería monovolumen_pequeno: -6 puntos; fiabilidad del modelo PENDIENTE de fuente (puntuación neutra)</t>
        </is>
      </c>
      <c r="AS385" s="2" t="inlineStr">
        <is>
          <t>Ford Fusion diésel amplio, cómodo, práctico y de consumo contenido. Ideal para uso diario, como segundo coche o para quien busque un vehículo económico y sencillo de mantener.
? ITV recién pasada y favorable, válida hasta octubre de 2027.
? Pastillas de freno recién sustituidas.
? Soporte/base de motor sustituido recientemente.
? Correa de distribución sustituida.
? Vehículo arrancando y funcionando correctamente.
? Documentación en regla.
El coche tiene algunos detalles estéticos de chapa propios de sus años y del uso, principalmente en el paragolpes trasero y en la zona delantera derecha.
El aire acondicionado actualmente no enfría debido a una fuga localizada en una manguera del circuito.
Se puede ver, arrancar y revisar sin problema.
Después de realizar las reparaciones necesarias y pasar favorablemente la ITV, el coche está listo para seguir utilizándose.
Precio razonablemente negociable una vez visto el vehículo. No ofertas absurdas.</t>
        </is>
      </c>
      <c r="AT385" s="2" t="inlineStr">
        <is>
          <t>https://www.coches.net/ford-fusion-16-tdci-fusion--5p-diesel-2006-en-valencia-71370685-covo.aspx (window.__INITIAL_PROPS__.ad) /home/user/Alopecia/buscador-coches/raw/cochesnet/616e3d7dd0a84a4b.json</t>
        </is>
      </c>
      <c r="AU385" s="3">
        <f>MAX(ANIO_ACTUAL-M385,0)</f>
        <v/>
      </c>
      <c r="AV385" s="4">
        <f>N385/MAX(AU385,0.5)</f>
        <v/>
      </c>
      <c r="AW385" s="4">
        <f>F385</f>
        <v/>
      </c>
      <c r="AX385" s="3">
        <f>AW385&amp;"|"&amp;INT(M385/SEG_ANIO)*SEG_ANIO</f>
        <v/>
      </c>
      <c r="AY385" s="3">
        <f>AX385&amp;"|"&amp;INT(N385/SEG_KM)*SEG_KM</f>
        <v/>
      </c>
      <c r="AZ385" s="4">
        <f>COUNTIF($AW$2:$AW$662,AW385)</f>
        <v/>
      </c>
      <c r="BA385" s="4">
        <f>COUNTIF($AX$2:$AX$662,AX385)</f>
        <v/>
      </c>
      <c r="BB385" s="4">
        <f>COUNTIF($AY$2:$AY$662,AY385)</f>
        <v/>
      </c>
      <c r="BC385" s="3">
        <f t="array" ref="BC385">IF(N(AO385)&gt;=MIN_N,AN385,IF(BB385&gt;=MIN_N,MEDIAN(IF($AY$2:$AY$662=AY385,$O$2:$O$662)),IF(BA385&gt;=MIN_N,MEDIAN(IF($AX$2:$AX$662=AX385,$O$2:$O$662)),MEDIAN(IF($AW$2:$AW$662=AW385,$O$2:$O$662)))))</f>
        <v/>
      </c>
      <c r="BD385" s="3">
        <f>IF(N(AO385)&gt;=MIN_N,"mercado "&amp;AP385,IF(BB385&gt;=MIN_N,"modelo+año+km",IF(BA385&gt;=MIN_N,"modelo+año","modelo")))</f>
        <v/>
      </c>
      <c r="BE385" s="4">
        <f>(BC385-O385)/BC385</f>
        <v/>
      </c>
      <c r="BF385" s="3">
        <f>IF(OR(K385="hibrido",K385="glp"),"ECO",IF(K385="electrico","CERO",IF(K385="gasolina",IF(M385&gt;=GAS_C,"C",IF(M385&gt;=GAS_B,"B","A")),IF(K385="diesel",IF(M385&gt;=DIE_C,"C",IF(M385&gt;=DIE_B,"B","A")),""))))</f>
        <v/>
      </c>
      <c r="BG385" s="3">
        <f>IFERROR(VLOOKUP(F385,MOD_TBL,11,0),IFERROR(VLOOKUP(E385,OCU_TBL,2,0),NEUTRO))</f>
        <v/>
      </c>
      <c r="BH385" s="3">
        <f>SUMIFS(MOT_AJUSTE,MOT_MOTOR,G385,MOT_MARCA,E385,MOT_DESDE,"&lt;="&amp;M385,MOT_HASTA,"&gt;="&amp;M385)+SUMIFS(MOT_AJUSTE,MOT_MOTOR,G385,MOT_MARCA,"(todas)",MOT_DESDE,"&lt;="&amp;M385,MOT_HASTA,"&gt;="&amp;M385)</f>
        <v/>
      </c>
      <c r="BI385" s="3">
        <f>SUMIFS(COMB_AJUSTE,COMB_COMB,K385)</f>
        <v/>
      </c>
      <c r="BJ385" s="3">
        <f>COUNTIFS(MOT_MOTOR,G385,MOT_MARCA,E385,MOT_DESDE,"&lt;="&amp;M385,MOT_HASTA,"&gt;="&amp;M385)+COUNTIFS(MOT_MOTOR,G385,MOT_MARCA,"(todas)",MOT_DESDE,"&lt;="&amp;M385,MOT_HASTA,"&gt;="&amp;M385)</f>
        <v/>
      </c>
      <c r="BK385" s="3">
        <f>IF(AND(K385="diesel",BJ385=0),MIN(BG385,NEUTRO),BG385)</f>
        <v/>
      </c>
      <c r="BL385" s="4">
        <f>MAX(0,MIN(100,BK385+BH385+BI385))</f>
        <v/>
      </c>
      <c r="BM385" s="3">
        <f>MAX(0,MIN(100,50+BE385*PRECIO_PEND))</f>
        <v/>
      </c>
      <c r="BN385" s="3">
        <f>MAX(0,100*(1-N385/KM_MAX))</f>
        <v/>
      </c>
      <c r="BO385" s="3">
        <f>IF(AV385&lt;KMA_SOSP,IF(AA385="sí",100,KMA_PEN),IF(AV385&lt;=KMA_IDEAL_MAX,100,MAX(0,100*(KMA_CERO-AV385)/(KMA_CERO-KMA_IDEAL_MAX))))</f>
        <v/>
      </c>
      <c r="BP385" s="3">
        <f>MAX(0,MIN(100,100*(M385-ANIO_MIN)/(ANIO_ACTUAL-ANIO_MIN)))</f>
        <v/>
      </c>
      <c r="BQ385" s="3">
        <f>W_KMT*BN385+W_KMA*BO385+W_EDAD*BP385</f>
        <v/>
      </c>
      <c r="BR385" s="3">
        <f>P_ITV*(V385="sí")+P_LIBRO*(W385="sí")+P_CORREA*(X385="sí")+P_PROP*(Y385=1)+P_GAR*(Z385="sí")+P_FOTOS*MIN(1,N(U385)/FOTOS_OBJ)</f>
        <v/>
      </c>
      <c r="BS385" s="3">
        <f>IFERROR(VLOOKUP(BF385,ETQ_TBL,2,0),NEUTRO)</f>
        <v/>
      </c>
      <c r="BT385" s="3">
        <f>NEUTRO</f>
        <v/>
      </c>
      <c r="BU385" s="3">
        <f>IFERROR(VLOOKUP(L385,SEGURO_TBL,3,0),"")</f>
        <v/>
      </c>
      <c r="BV385" s="3">
        <f>IF(BU385="",NEUTRO,MAX(0,MIN(100,100*(SEG_REF_MAX-BU385)/(SEG_REF_MAX-SEG_REF_MIN))))</f>
        <v/>
      </c>
      <c r="BW385" s="3">
        <f>W_ET*BS385+W_CONS*BT385+W_SEG*BV385</f>
        <v/>
      </c>
      <c r="BX385" s="3">
        <f>IF(N(AB385)&gt;0,AB385,IF(AND(R385="profesional",SG_LEGAL_ON=1),GAR_LEGAL,0))</f>
        <v/>
      </c>
      <c r="BY385" s="3">
        <f>SG_GAR*MIN(1,BX385/SG_GAR_FULL)+SG_AMPL*(AC385="sí")+SG_KMC*(AF385="sí")+SG_REV*(N(AE385)&gt;0)+SG_DEV*MIN(1,N(AG385)/SG_DEV_FULL)+SG_HIST*(W385="sí")</f>
        <v/>
      </c>
      <c r="BZ385" s="3">
        <f>IFERROR(VLOOKUP(L385,CARR_PEN_TBL,2,0),0)</f>
        <v/>
      </c>
      <c r="CA385" s="3">
        <f>W_FIAB*BL385+W_PRECIO*BM385+W_KMEDAD*BQ385+W_ANUNCIO*BR385+W_USO*BW385+W_SEGURIDAD*BY385-BZ385</f>
        <v/>
      </c>
      <c r="CB385" s="4">
        <f>IF(N(I385)&gt;0,I385,IFERROR(ROUND(_xlfn.NUMBERVALUE(LEFT(G385,FIND(" ",G385&amp;" ")-1),".")*1000,0),99999))</f>
        <v/>
      </c>
      <c r="CC385" s="3">
        <f>IF(R385="profesional",0,IF(O385&lt;CUOTA_VALOR_MAX,IF(AU385&gt;ITP_TRAMO_ALTO,SUMIFS(CF_CUOTA,CF_MAS,ITP_TRAMO_ALTO,CF_CCMIN,"&lt;="&amp;CB385,CF_CCMAX,"&gt;="&amp;CB385),IF(AU385&gt;ITP_TRAMO_BAJO,SUMIFS(CF_CUOTA,CF_MAS,ITP_TRAMO_BAJO,CF_CCMIN,"&lt;="&amp;CB385,CF_CCMAX,"&gt;="&amp;CB385),O385*ITP_TIPO)),O385*ITP_TIPO))</f>
        <v/>
      </c>
      <c r="CD385" s="4">
        <f>IF(R385="profesional",N(AK385),0)</f>
        <v/>
      </c>
      <c r="CE385" s="3">
        <f>IF(AND(R385="profesional",ISNUMBER(AK385),AL385="sí"),0,TASA_DGT)</f>
        <v/>
      </c>
      <c r="CF385" s="3">
        <f>INFORME_DGT</f>
        <v/>
      </c>
      <c r="CG385" s="4">
        <f>O385+CD385+CC385+CE385+CF385</f>
        <v/>
      </c>
      <c r="CH385" s="4">
        <f>CG385+N(BU385)</f>
        <v/>
      </c>
      <c r="CI385" s="3">
        <f>IF(CG385&lt;=TOTAL_MAX,"sí",IF(CG385&lt;=TOTAL_MAX+MARGEN_NEG,"negociar","no"))</f>
        <v/>
      </c>
      <c r="CJ385" s="4">
        <f>IF(CI385&lt;&gt;"no",COUNTIFS($CI$2:$CI$662,"&lt;&gt;no",$CA$2:$CA$662,"&gt;"&amp;CA385)+COUNTIFS($CI$2:CI385,"&lt;&gt;no",$CA$2:CA385,CA385),"")</f>
        <v/>
      </c>
    </row>
    <row r="386">
      <c r="A386" s="2" t="inlineStr">
        <is>
          <t>wallapop:1313114494</t>
        </is>
      </c>
      <c r="B386" s="2" t="inlineStr">
        <is>
          <t>wallapop</t>
        </is>
      </c>
      <c r="C386" s="2" t="inlineStr">
        <is>
          <t>https://es.wallapop.com/item/fiat-punto-2007-1313114494</t>
        </is>
      </c>
      <c r="D386" s="2" t="inlineStr">
        <is>
          <t>FIAT Punto 2007</t>
        </is>
      </c>
      <c r="E386" s="2" t="inlineStr">
        <is>
          <t>Fiat</t>
        </is>
      </c>
      <c r="F386" s="2" t="inlineStr">
        <is>
          <t>Fiat Punto</t>
        </is>
      </c>
      <c r="G386" s="2" t="inlineStr">
        <is>
          <t>1.2</t>
        </is>
      </c>
      <c r="H386" s="2" t="inlineStr">
        <is>
          <t>1.2 60 Classic 3p</t>
        </is>
      </c>
      <c r="I386" s="2" t="n"/>
      <c r="J386" s="2" t="n">
        <v>60</v>
      </c>
      <c r="K386" s="2" t="inlineStr">
        <is>
          <t>gasolina</t>
        </is>
      </c>
      <c r="L386" s="2" t="inlineStr">
        <is>
          <t>utilitario</t>
        </is>
      </c>
      <c r="M386" s="2" t="n">
        <v>2007</v>
      </c>
      <c r="N386" s="2" t="n">
        <v>72000</v>
      </c>
      <c r="O386" s="2" t="n">
        <v>2900</v>
      </c>
      <c r="P386" s="2" t="inlineStr">
        <is>
          <t>manual</t>
        </is>
      </c>
      <c r="Q386" s="2" t="inlineStr">
        <is>
          <t>no</t>
        </is>
      </c>
      <c r="R386" s="2" t="inlineStr">
        <is>
          <t>particular</t>
        </is>
      </c>
      <c r="S386" s="2" t="inlineStr">
        <is>
          <t>Valencia (46018)</t>
        </is>
      </c>
      <c r="T386" s="2" t="inlineStr">
        <is>
          <t>2026-10-30T13:38:45</t>
        </is>
      </c>
      <c r="U386" s="2" t="n">
        <v>7</v>
      </c>
      <c r="V386" s="2" t="n"/>
      <c r="W386" s="2" t="n"/>
      <c r="X386" s="2" t="n"/>
      <c r="Y386" s="2" t="n"/>
      <c r="Z386" s="2" t="n"/>
      <c r="AA386" s="2" t="n"/>
      <c r="AB386" s="2" t="n"/>
      <c r="AC386" s="2" t="n"/>
      <c r="AD386" s="2" t="n"/>
      <c r="AE386" s="2" t="n"/>
      <c r="AF386" s="2" t="n"/>
      <c r="AG386" s="2" t="n"/>
      <c r="AH386" s="2" t="n"/>
      <c r="AI386" s="2" t="n"/>
      <c r="AJ386" s="2" t="n"/>
      <c r="AK386" s="2" t="n"/>
      <c r="AL386" s="2" t="n"/>
      <c r="AM386" s="2" t="n">
        <v>1.9</v>
      </c>
      <c r="AN386" s="2" t="n">
        <v>2500</v>
      </c>
      <c r="AO386" s="2" t="n">
        <v>13</v>
      </c>
      <c r="AP386" s="2" t="inlineStr">
        <is>
          <t>modelo+año</t>
        </is>
      </c>
      <c r="AQ386" s="2" t="n"/>
      <c r="AR386" s="2" t="inlineStr">
        <is>
          <t>cuota fija ITP: &gt;12 años, hasta 1.500 cc; fiabilidad del modelo PENDIENTE de fuente (puntuación neutra)</t>
        </is>
      </c>
      <c r="AS386" s="2" t="inlineStr">
        <is>
          <t>Vendo Fiat punto con muy pocos kilómetros, ITV para un año, detalles de pintura, interior impecable ,funcionamiento del motor muy fino, acepto prueba mecánica. Un saludo.</t>
        </is>
      </c>
      <c r="AT386" s="2" t="inlineStr">
        <is>
          <t>https://es.wallapop.com/item/fiat-punto-2007-1313114494 (__NEXT_DATA__ item) /home/user/Alopecia/buscador-coches/raw/wallapop/59ff10c6d9a86297.json</t>
        </is>
      </c>
      <c r="AU386" s="3">
        <f>MAX(ANIO_ACTUAL-M386,0)</f>
        <v/>
      </c>
      <c r="AV386" s="4">
        <f>N386/MAX(AU386,0.5)</f>
        <v/>
      </c>
      <c r="AW386" s="4">
        <f>F386</f>
        <v/>
      </c>
      <c r="AX386" s="3">
        <f>AW386&amp;"|"&amp;INT(M386/SEG_ANIO)*SEG_ANIO</f>
        <v/>
      </c>
      <c r="AY386" s="3">
        <f>AX386&amp;"|"&amp;INT(N386/SEG_KM)*SEG_KM</f>
        <v/>
      </c>
      <c r="AZ386" s="4">
        <f>COUNTIF($AW$2:$AW$662,AW386)</f>
        <v/>
      </c>
      <c r="BA386" s="4">
        <f>COUNTIF($AX$2:$AX$662,AX386)</f>
        <v/>
      </c>
      <c r="BB386" s="4">
        <f>COUNTIF($AY$2:$AY$662,AY386)</f>
        <v/>
      </c>
      <c r="BC386" s="3">
        <f t="array" ref="BC386">IF(N(AO386)&gt;=MIN_N,AN386,IF(BB386&gt;=MIN_N,MEDIAN(IF($AY$2:$AY$662=AY386,$O$2:$O$662)),IF(BA386&gt;=MIN_N,MEDIAN(IF($AX$2:$AX$662=AX386,$O$2:$O$662)),MEDIAN(IF($AW$2:$AW$662=AW386,$O$2:$O$662)))))</f>
        <v/>
      </c>
      <c r="BD386" s="3">
        <f>IF(N(AO386)&gt;=MIN_N,"mercado "&amp;AP386,IF(BB386&gt;=MIN_N,"modelo+año+km",IF(BA386&gt;=MIN_N,"modelo+año","modelo")))</f>
        <v/>
      </c>
      <c r="BE386" s="4">
        <f>(BC386-O386)/BC386</f>
        <v/>
      </c>
      <c r="BF386" s="3">
        <f>IF(OR(K386="hibrido",K386="glp"),"ECO",IF(K386="electrico","CERO",IF(K386="gasolina",IF(M386&gt;=GAS_C,"C",IF(M386&gt;=GAS_B,"B","A")),IF(K386="diesel",IF(M386&gt;=DIE_C,"C",IF(M386&gt;=DIE_B,"B","A")),""))))</f>
        <v/>
      </c>
      <c r="BG386" s="3">
        <f>IFERROR(VLOOKUP(F386,MOD_TBL,11,0),IFERROR(VLOOKUP(E386,OCU_TBL,2,0),NEUTRO))</f>
        <v/>
      </c>
      <c r="BH386" s="3">
        <f>SUMIFS(MOT_AJUSTE,MOT_MOTOR,G386,MOT_MARCA,E386,MOT_DESDE,"&lt;="&amp;M386,MOT_HASTA,"&gt;="&amp;M386)+SUMIFS(MOT_AJUSTE,MOT_MOTOR,G386,MOT_MARCA,"(todas)",MOT_DESDE,"&lt;="&amp;M386,MOT_HASTA,"&gt;="&amp;M386)</f>
        <v/>
      </c>
      <c r="BI386" s="3">
        <f>SUMIFS(COMB_AJUSTE,COMB_COMB,K386)</f>
        <v/>
      </c>
      <c r="BJ386" s="3">
        <f>COUNTIFS(MOT_MOTOR,G386,MOT_MARCA,E386,MOT_DESDE,"&lt;="&amp;M386,MOT_HASTA,"&gt;="&amp;M386)+COUNTIFS(MOT_MOTOR,G386,MOT_MARCA,"(todas)",MOT_DESDE,"&lt;="&amp;M386,MOT_HASTA,"&gt;="&amp;M386)</f>
        <v/>
      </c>
      <c r="BK386" s="3">
        <f>IF(AND(K386="diesel",BJ386=0),MIN(BG386,NEUTRO),BG386)</f>
        <v/>
      </c>
      <c r="BL386" s="4">
        <f>MAX(0,MIN(100,BK386+BH386+BI386))</f>
        <v/>
      </c>
      <c r="BM386" s="3">
        <f>MAX(0,MIN(100,50+BE386*PRECIO_PEND))</f>
        <v/>
      </c>
      <c r="BN386" s="3">
        <f>MAX(0,100*(1-N386/KM_MAX))</f>
        <v/>
      </c>
      <c r="BO386" s="3">
        <f>IF(AV386&lt;KMA_SOSP,IF(AA386="sí",100,KMA_PEN),IF(AV386&lt;=KMA_IDEAL_MAX,100,MAX(0,100*(KMA_CERO-AV386)/(KMA_CERO-KMA_IDEAL_MAX))))</f>
        <v/>
      </c>
      <c r="BP386" s="3">
        <f>MAX(0,MIN(100,100*(M386-ANIO_MIN)/(ANIO_ACTUAL-ANIO_MIN)))</f>
        <v/>
      </c>
      <c r="BQ386" s="3">
        <f>W_KMT*BN386+W_KMA*BO386+W_EDAD*BP386</f>
        <v/>
      </c>
      <c r="BR386" s="3">
        <f>P_ITV*(V386="sí")+P_LIBRO*(W386="sí")+P_CORREA*(X386="sí")+P_PROP*(Y386=1)+P_GAR*(Z386="sí")+P_FOTOS*MIN(1,N(U386)/FOTOS_OBJ)</f>
        <v/>
      </c>
      <c r="BS386" s="3">
        <f>IFERROR(VLOOKUP(BF386,ETQ_TBL,2,0),NEUTRO)</f>
        <v/>
      </c>
      <c r="BT386" s="3">
        <f>NEUTRO</f>
        <v/>
      </c>
      <c r="BU386" s="3">
        <f>IFERROR(VLOOKUP(L386,SEGURO_TBL,3,0),"")</f>
        <v/>
      </c>
      <c r="BV386" s="3">
        <f>IF(BU386="",NEUTRO,MAX(0,MIN(100,100*(SEG_REF_MAX-BU386)/(SEG_REF_MAX-SEG_REF_MIN))))</f>
        <v/>
      </c>
      <c r="BW386" s="3">
        <f>W_ET*BS386+W_CONS*BT386+W_SEG*BV386</f>
        <v/>
      </c>
      <c r="BX386" s="3">
        <f>IF(N(AB386)&gt;0,AB386,IF(AND(R386="profesional",SG_LEGAL_ON=1),GAR_LEGAL,0))</f>
        <v/>
      </c>
      <c r="BY386" s="3">
        <f>SG_GAR*MIN(1,BX386/SG_GAR_FULL)+SG_AMPL*(AC386="sí")+SG_KMC*(AF386="sí")+SG_REV*(N(AE386)&gt;0)+SG_DEV*MIN(1,N(AG386)/SG_DEV_FULL)+SG_HIST*(W386="sí")</f>
        <v/>
      </c>
      <c r="BZ386" s="3">
        <f>IFERROR(VLOOKUP(L386,CARR_PEN_TBL,2,0),0)</f>
        <v/>
      </c>
      <c r="CA386" s="3">
        <f>W_FIAB*BL386+W_PRECIO*BM386+W_KMEDAD*BQ386+W_ANUNCIO*BR386+W_USO*BW386+W_SEGURIDAD*BY386-BZ386</f>
        <v/>
      </c>
      <c r="CB386" s="4">
        <f>IF(N(I386)&gt;0,I386,IFERROR(ROUND(_xlfn.NUMBERVALUE(LEFT(G386,FIND(" ",G386&amp;" ")-1),".")*1000,0),99999))</f>
        <v/>
      </c>
      <c r="CC386" s="3">
        <f>IF(R386="profesional",0,IF(O386&lt;CUOTA_VALOR_MAX,IF(AU386&gt;ITP_TRAMO_ALTO,SUMIFS(CF_CUOTA,CF_MAS,ITP_TRAMO_ALTO,CF_CCMIN,"&lt;="&amp;CB386,CF_CCMAX,"&gt;="&amp;CB386),IF(AU386&gt;ITP_TRAMO_BAJO,SUMIFS(CF_CUOTA,CF_MAS,ITP_TRAMO_BAJO,CF_CCMIN,"&lt;="&amp;CB386,CF_CCMAX,"&gt;="&amp;CB386),O386*ITP_TIPO)),O386*ITP_TIPO))</f>
        <v/>
      </c>
      <c r="CD386" s="4">
        <f>IF(R386="profesional",N(AK386),0)</f>
        <v/>
      </c>
      <c r="CE386" s="3">
        <f>IF(AND(R386="profesional",ISNUMBER(AK386),AL386="sí"),0,TASA_DGT)</f>
        <v/>
      </c>
      <c r="CF386" s="3">
        <f>INFORME_DGT</f>
        <v/>
      </c>
      <c r="CG386" s="4">
        <f>O386+CD386+CC386+CE386+CF386</f>
        <v/>
      </c>
      <c r="CH386" s="4">
        <f>CG386+N(BU386)</f>
        <v/>
      </c>
      <c r="CI386" s="3">
        <f>IF(CG386&lt;=TOTAL_MAX,"sí",IF(CG386&lt;=TOTAL_MAX+MARGEN_NEG,"negociar","no"))</f>
        <v/>
      </c>
      <c r="CJ386" s="4">
        <f>IF(CI386&lt;&gt;"no",COUNTIFS($CI$2:$CI$662,"&lt;&gt;no",$CA$2:$CA$662,"&gt;"&amp;CA386)+COUNTIFS($CI$2:CI386,"&lt;&gt;no",$CA$2:CA386,CA386),"")</f>
        <v/>
      </c>
    </row>
    <row r="387">
      <c r="A387" s="2" t="inlineStr">
        <is>
          <t>wallapop:1312856146</t>
        </is>
      </c>
      <c r="B387" s="2" t="inlineStr">
        <is>
          <t>wallapop</t>
        </is>
      </c>
      <c r="C387" s="2" t="inlineStr">
        <is>
          <t>https://es.wallapop.com/item/fiat-punto-2007-1312856146</t>
        </is>
      </c>
      <c r="D387" s="2" t="inlineStr">
        <is>
          <t>FIAT Punto 2007</t>
        </is>
      </c>
      <c r="E387" s="2" t="inlineStr">
        <is>
          <t>Fiat</t>
        </is>
      </c>
      <c r="F387" s="2" t="inlineStr">
        <is>
          <t>Fiat Punto</t>
        </is>
      </c>
      <c r="G387" s="2" t="inlineStr">
        <is>
          <t>1.3 Multijet</t>
        </is>
      </c>
      <c r="H387" s="2" t="inlineStr">
        <is>
          <t>Grande 1.3 16v Multijet 75 Active 3p</t>
        </is>
      </c>
      <c r="I387" s="2" t="n"/>
      <c r="J387" s="2" t="n">
        <v>75</v>
      </c>
      <c r="K387" s="2" t="inlineStr">
        <is>
          <t>diesel</t>
        </is>
      </c>
      <c r="L387" s="2" t="inlineStr">
        <is>
          <t>utilitario</t>
        </is>
      </c>
      <c r="M387" s="2" t="n">
        <v>2007</v>
      </c>
      <c r="N387" s="2" t="n">
        <v>220000</v>
      </c>
      <c r="O387" s="2" t="n">
        <v>2300</v>
      </c>
      <c r="P387" s="2" t="inlineStr">
        <is>
          <t>manual</t>
        </is>
      </c>
      <c r="Q387" s="2" t="inlineStr">
        <is>
          <t>no</t>
        </is>
      </c>
      <c r="R387" s="2" t="inlineStr">
        <is>
          <t>particular</t>
        </is>
      </c>
      <c r="S387" s="2" t="inlineStr">
        <is>
          <t>Valencia (46020)</t>
        </is>
      </c>
      <c r="T387" s="2" t="inlineStr">
        <is>
          <t>2026-10-30T21:26:01</t>
        </is>
      </c>
      <c r="U387" s="2" t="n">
        <v>5</v>
      </c>
      <c r="V387" s="2" t="inlineStr">
        <is>
          <t>sí</t>
        </is>
      </c>
      <c r="W387" s="2" t="n"/>
      <c r="X387" s="2" t="n"/>
      <c r="Y387" s="2" t="n"/>
      <c r="Z387" s="2" t="n"/>
      <c r="AA387" s="2" t="n"/>
      <c r="AB387" s="2" t="n"/>
      <c r="AC387" s="2" t="n"/>
      <c r="AD387" s="2" t="n"/>
      <c r="AE387" s="2" t="n"/>
      <c r="AF387" s="2" t="n"/>
      <c r="AG387" s="2" t="n"/>
      <c r="AH387" s="2" t="n"/>
      <c r="AI387" s="2" t="n"/>
      <c r="AJ387" s="2" t="n"/>
      <c r="AK387" s="2" t="n"/>
      <c r="AL387" s="2" t="n"/>
      <c r="AM387" s="2" t="n">
        <v>1.8</v>
      </c>
      <c r="AN387" s="2" t="n">
        <v>2500</v>
      </c>
      <c r="AO387" s="2" t="n">
        <v>5</v>
      </c>
      <c r="AP387" s="2" t="inlineStr">
        <is>
          <t>modelo+año+km</t>
        </is>
      </c>
      <c r="AQ387" s="2" t="n"/>
      <c r="AR387" s="2" t="inlineStr">
        <is>
          <t>cuota fija ITP: &gt;12 años, hasta 1.500 cc; fiabilidad del modelo PENDIENTE de fuente (puntuación neutra)</t>
        </is>
      </c>
      <c r="AS387" s="2" t="inlineStr">
        <is>
          <t>Vendo Fiat Punto de 2007 con 220.000 km. Mecánicamente perfecto  es diesel y turrbo, ITV pasada vigente hasta octubre de 2027. Interior muy cuidado con aire acondicionado y todo funciona . Tiene algunos rayones exteriores poco visibles. Papeles en regla y cambio de titularidad en el momento. Valencia. Solo interesados, gracias.</t>
        </is>
      </c>
      <c r="AT387" s="2" t="inlineStr">
        <is>
          <t>https://es.wallapop.com/item/fiat-punto-2007-1312856146 (__NEXT_DATA__ item) /home/user/Alopecia/buscador-coches/raw/wallapop/d38dceb409d643fc.json</t>
        </is>
      </c>
      <c r="AU387" s="3">
        <f>MAX(ANIO_ACTUAL-M387,0)</f>
        <v/>
      </c>
      <c r="AV387" s="4">
        <f>N387/MAX(AU387,0.5)</f>
        <v/>
      </c>
      <c r="AW387" s="4">
        <f>F387</f>
        <v/>
      </c>
      <c r="AX387" s="3">
        <f>AW387&amp;"|"&amp;INT(M387/SEG_ANIO)*SEG_ANIO</f>
        <v/>
      </c>
      <c r="AY387" s="3">
        <f>AX387&amp;"|"&amp;INT(N387/SEG_KM)*SEG_KM</f>
        <v/>
      </c>
      <c r="AZ387" s="4">
        <f>COUNTIF($AW$2:$AW$662,AW387)</f>
        <v/>
      </c>
      <c r="BA387" s="4">
        <f>COUNTIF($AX$2:$AX$662,AX387)</f>
        <v/>
      </c>
      <c r="BB387" s="4">
        <f>COUNTIF($AY$2:$AY$662,AY387)</f>
        <v/>
      </c>
      <c r="BC387" s="3">
        <f t="array" ref="BC387">IF(N(AO387)&gt;=MIN_N,AN387,IF(BB387&gt;=MIN_N,MEDIAN(IF($AY$2:$AY$662=AY387,$O$2:$O$662)),IF(BA387&gt;=MIN_N,MEDIAN(IF($AX$2:$AX$662=AX387,$O$2:$O$662)),MEDIAN(IF($AW$2:$AW$662=AW387,$O$2:$O$662)))))</f>
        <v/>
      </c>
      <c r="BD387" s="3">
        <f>IF(N(AO387)&gt;=MIN_N,"mercado "&amp;AP387,IF(BB387&gt;=MIN_N,"modelo+año+km",IF(BA387&gt;=MIN_N,"modelo+año","modelo")))</f>
        <v/>
      </c>
      <c r="BE387" s="4">
        <f>(BC387-O387)/BC387</f>
        <v/>
      </c>
      <c r="BF387" s="3">
        <f>IF(OR(K387="hibrido",K387="glp"),"ECO",IF(K387="electrico","CERO",IF(K387="gasolina",IF(M387&gt;=GAS_C,"C",IF(M387&gt;=GAS_B,"B","A")),IF(K387="diesel",IF(M387&gt;=DIE_C,"C",IF(M387&gt;=DIE_B,"B","A")),""))))</f>
        <v/>
      </c>
      <c r="BG387" s="3">
        <f>IFERROR(VLOOKUP(F387,MOD_TBL,11,0),IFERROR(VLOOKUP(E387,OCU_TBL,2,0),NEUTRO))</f>
        <v/>
      </c>
      <c r="BH387" s="3">
        <f>SUMIFS(MOT_AJUSTE,MOT_MOTOR,G387,MOT_MARCA,E387,MOT_DESDE,"&lt;="&amp;M387,MOT_HASTA,"&gt;="&amp;M387)+SUMIFS(MOT_AJUSTE,MOT_MOTOR,G387,MOT_MARCA,"(todas)",MOT_DESDE,"&lt;="&amp;M387,MOT_HASTA,"&gt;="&amp;M387)</f>
        <v/>
      </c>
      <c r="BI387" s="3">
        <f>SUMIFS(COMB_AJUSTE,COMB_COMB,K387)</f>
        <v/>
      </c>
      <c r="BJ387" s="3">
        <f>COUNTIFS(MOT_MOTOR,G387,MOT_MARCA,E387,MOT_DESDE,"&lt;="&amp;M387,MOT_HASTA,"&gt;="&amp;M387)+COUNTIFS(MOT_MOTOR,G387,MOT_MARCA,"(todas)",MOT_DESDE,"&lt;="&amp;M387,MOT_HASTA,"&gt;="&amp;M387)</f>
        <v/>
      </c>
      <c r="BK387" s="3">
        <f>IF(AND(K387="diesel",BJ387=0),MIN(BG387,NEUTRO),BG387)</f>
        <v/>
      </c>
      <c r="BL387" s="4">
        <f>MAX(0,MIN(100,BK387+BH387+BI387))</f>
        <v/>
      </c>
      <c r="BM387" s="3">
        <f>MAX(0,MIN(100,50+BE387*PRECIO_PEND))</f>
        <v/>
      </c>
      <c r="BN387" s="3">
        <f>MAX(0,100*(1-N387/KM_MAX))</f>
        <v/>
      </c>
      <c r="BO387" s="3">
        <f>IF(AV387&lt;KMA_SOSP,IF(AA387="sí",100,KMA_PEN),IF(AV387&lt;=KMA_IDEAL_MAX,100,MAX(0,100*(KMA_CERO-AV387)/(KMA_CERO-KMA_IDEAL_MAX))))</f>
        <v/>
      </c>
      <c r="BP387" s="3">
        <f>MAX(0,MIN(100,100*(M387-ANIO_MIN)/(ANIO_ACTUAL-ANIO_MIN)))</f>
        <v/>
      </c>
      <c r="BQ387" s="3">
        <f>W_KMT*BN387+W_KMA*BO387+W_EDAD*BP387</f>
        <v/>
      </c>
      <c r="BR387" s="3">
        <f>P_ITV*(V387="sí")+P_LIBRO*(W387="sí")+P_CORREA*(X387="sí")+P_PROP*(Y387=1)+P_GAR*(Z387="sí")+P_FOTOS*MIN(1,N(U387)/FOTOS_OBJ)</f>
        <v/>
      </c>
      <c r="BS387" s="3">
        <f>IFERROR(VLOOKUP(BF387,ETQ_TBL,2,0),NEUTRO)</f>
        <v/>
      </c>
      <c r="BT387" s="3">
        <f>NEUTRO</f>
        <v/>
      </c>
      <c r="BU387" s="3">
        <f>IFERROR(VLOOKUP(L387,SEGURO_TBL,3,0),"")</f>
        <v/>
      </c>
      <c r="BV387" s="3">
        <f>IF(BU387="",NEUTRO,MAX(0,MIN(100,100*(SEG_REF_MAX-BU387)/(SEG_REF_MAX-SEG_REF_MIN))))</f>
        <v/>
      </c>
      <c r="BW387" s="3">
        <f>W_ET*BS387+W_CONS*BT387+W_SEG*BV387</f>
        <v/>
      </c>
      <c r="BX387" s="3">
        <f>IF(N(AB387)&gt;0,AB387,IF(AND(R387="profesional",SG_LEGAL_ON=1),GAR_LEGAL,0))</f>
        <v/>
      </c>
      <c r="BY387" s="3">
        <f>SG_GAR*MIN(1,BX387/SG_GAR_FULL)+SG_AMPL*(AC387="sí")+SG_KMC*(AF387="sí")+SG_REV*(N(AE387)&gt;0)+SG_DEV*MIN(1,N(AG387)/SG_DEV_FULL)+SG_HIST*(W387="sí")</f>
        <v/>
      </c>
      <c r="BZ387" s="3">
        <f>IFERROR(VLOOKUP(L387,CARR_PEN_TBL,2,0),0)</f>
        <v/>
      </c>
      <c r="CA387" s="3">
        <f>W_FIAB*BL387+W_PRECIO*BM387+W_KMEDAD*BQ387+W_ANUNCIO*BR387+W_USO*BW387+W_SEGURIDAD*BY387-BZ387</f>
        <v/>
      </c>
      <c r="CB387" s="4">
        <f>IF(N(I387)&gt;0,I387,IFERROR(ROUND(_xlfn.NUMBERVALUE(LEFT(G387,FIND(" ",G387&amp;" ")-1),".")*1000,0),99999))</f>
        <v/>
      </c>
      <c r="CC387" s="3">
        <f>IF(R387="profesional",0,IF(O387&lt;CUOTA_VALOR_MAX,IF(AU387&gt;ITP_TRAMO_ALTO,SUMIFS(CF_CUOTA,CF_MAS,ITP_TRAMO_ALTO,CF_CCMIN,"&lt;="&amp;CB387,CF_CCMAX,"&gt;="&amp;CB387),IF(AU387&gt;ITP_TRAMO_BAJO,SUMIFS(CF_CUOTA,CF_MAS,ITP_TRAMO_BAJO,CF_CCMIN,"&lt;="&amp;CB387,CF_CCMAX,"&gt;="&amp;CB387),O387*ITP_TIPO)),O387*ITP_TIPO))</f>
        <v/>
      </c>
      <c r="CD387" s="4">
        <f>IF(R387="profesional",N(AK387),0)</f>
        <v/>
      </c>
      <c r="CE387" s="3">
        <f>IF(AND(R387="profesional",ISNUMBER(AK387),AL387="sí"),0,TASA_DGT)</f>
        <v/>
      </c>
      <c r="CF387" s="3">
        <f>INFORME_DGT</f>
        <v/>
      </c>
      <c r="CG387" s="4">
        <f>O387+CD387+CC387+CE387+CF387</f>
        <v/>
      </c>
      <c r="CH387" s="4">
        <f>CG387+N(BU387)</f>
        <v/>
      </c>
      <c r="CI387" s="3">
        <f>IF(CG387&lt;=TOTAL_MAX,"sí",IF(CG387&lt;=TOTAL_MAX+MARGEN_NEG,"negociar","no"))</f>
        <v/>
      </c>
      <c r="CJ387" s="4">
        <f>IF(CI387&lt;&gt;"no",COUNTIFS($CI$2:$CI$662,"&lt;&gt;no",$CA$2:$CA$662,"&gt;"&amp;CA387)+COUNTIFS($CI$2:CI387,"&lt;&gt;no",$CA$2:CA387,CA387),"")</f>
        <v/>
      </c>
    </row>
    <row r="388">
      <c r="A388" s="2" t="inlineStr">
        <is>
          <t>wallapop:1309755985</t>
        </is>
      </c>
      <c r="B388" s="2" t="inlineStr">
        <is>
          <t>wallapop</t>
        </is>
      </c>
      <c r="C388" s="2" t="inlineStr">
        <is>
          <t>https://es.wallapop.com/item/fiat-punto-evo-2011-1309755985</t>
        </is>
      </c>
      <c r="D388" s="2" t="inlineStr">
        <is>
          <t>FIAT Punto Evo 2011</t>
        </is>
      </c>
      <c r="E388" s="2" t="inlineStr">
        <is>
          <t>Fiat</t>
        </is>
      </c>
      <c r="F388" s="2" t="inlineStr">
        <is>
          <t>Fiat Punto</t>
        </is>
      </c>
      <c r="G388" s="2" t="inlineStr">
        <is>
          <t>1.4</t>
        </is>
      </c>
      <c r="H388" s="2" t="inlineStr">
        <is>
          <t xml:space="preserve">1.4 8v 77 My Life 5p S/S </t>
        </is>
      </c>
      <c r="I388" s="2" t="n"/>
      <c r="J388" s="2" t="n">
        <v>77</v>
      </c>
      <c r="K388" s="2" t="inlineStr">
        <is>
          <t>gasolina</t>
        </is>
      </c>
      <c r="L388" s="2" t="inlineStr">
        <is>
          <t>utilitario</t>
        </is>
      </c>
      <c r="M388" s="2" t="n">
        <v>2011</v>
      </c>
      <c r="N388" s="2" t="n">
        <v>112000</v>
      </c>
      <c r="O388" s="2" t="n">
        <v>4990</v>
      </c>
      <c r="P388" s="2" t="inlineStr">
        <is>
          <t>manual</t>
        </is>
      </c>
      <c r="Q388" s="2" t="inlineStr">
        <is>
          <t>no</t>
        </is>
      </c>
      <c r="R388" s="2" t="inlineStr">
        <is>
          <t>particular</t>
        </is>
      </c>
      <c r="S388" s="2" t="inlineStr">
        <is>
          <t>Valencia (46009)</t>
        </is>
      </c>
      <c r="T388" s="2" t="inlineStr">
        <is>
          <t>2026-10-21T16:43:37</t>
        </is>
      </c>
      <c r="U388" s="2" t="n">
        <v>10</v>
      </c>
      <c r="V388" s="2" t="n"/>
      <c r="W388" s="2" t="n"/>
      <c r="X388" s="2" t="n"/>
      <c r="Y388" s="2" t="n"/>
      <c r="Z388" s="2" t="n"/>
      <c r="AA388" s="2" t="n"/>
      <c r="AB388" s="2" t="n"/>
      <c r="AC388" s="2" t="n"/>
      <c r="AD388" s="2" t="n"/>
      <c r="AE388" s="2" t="n"/>
      <c r="AF388" s="2" t="n"/>
      <c r="AG388" s="2" t="n"/>
      <c r="AH388" s="2" t="n"/>
      <c r="AI388" s="2" t="n"/>
      <c r="AJ388" s="2" t="n"/>
      <c r="AK388" s="2" t="n"/>
      <c r="AL388" s="2" t="n"/>
      <c r="AM388" s="2" t="n">
        <v>1.5</v>
      </c>
      <c r="AN388" s="2" t="n">
        <v>4990</v>
      </c>
      <c r="AO388" s="2" t="n">
        <v>4</v>
      </c>
      <c r="AP388" s="2" t="inlineStr">
        <is>
          <t>modelo+año+km</t>
        </is>
      </c>
      <c r="AQ388" s="2" t="n"/>
      <c r="AR388" s="2" t="inlineStr">
        <is>
          <t>por encima del presupuesto (5094 €), negociar; cuota fija ITP: &gt;12 años, hasta 1.500 cc; fiabilidad del modelo PENDIENTE de fuente (puntuación neutra)</t>
        </is>
      </c>
      <c r="AS388" s="2" t="inlineStr">
        <is>
          <t xml:space="preserve">Fiat Punto 1.4 año 2011 con 112.000Kms 77CV. 
Equipamiento:
- elevalunas eléctricos 
- Espejos eléctricos 
- Aire acondicionado 
- Dirección asistida
- Mando a distancia 
- Ordenador de abordo
Mantenimiento:
- KIT completo distribución 
- Cambio de aceite
- Filtro de aire
- Filtro de aceite
- ITV VIGENTE 05/27
</t>
        </is>
      </c>
      <c r="AT388" s="2" t="inlineStr">
        <is>
          <t>https://es.wallapop.com/item/fiat-punto-evo-2011-1309755985 (__NEXT_DATA__ item) /home/user/Alopecia/buscador-coches/raw/wallapop/2bb006ced84288ad.json</t>
        </is>
      </c>
      <c r="AU388" s="3">
        <f>MAX(ANIO_ACTUAL-M388,0)</f>
        <v/>
      </c>
      <c r="AV388" s="4">
        <f>N388/MAX(AU388,0.5)</f>
        <v/>
      </c>
      <c r="AW388" s="4">
        <f>F388</f>
        <v/>
      </c>
      <c r="AX388" s="3">
        <f>AW388&amp;"|"&amp;INT(M388/SEG_ANIO)*SEG_ANIO</f>
        <v/>
      </c>
      <c r="AY388" s="3">
        <f>AX388&amp;"|"&amp;INT(N388/SEG_KM)*SEG_KM</f>
        <v/>
      </c>
      <c r="AZ388" s="4">
        <f>COUNTIF($AW$2:$AW$662,AW388)</f>
        <v/>
      </c>
      <c r="BA388" s="4">
        <f>COUNTIF($AX$2:$AX$662,AX388)</f>
        <v/>
      </c>
      <c r="BB388" s="4">
        <f>COUNTIF($AY$2:$AY$662,AY388)</f>
        <v/>
      </c>
      <c r="BC388" s="3">
        <f t="array" ref="BC388">IF(N(AO388)&gt;=MIN_N,AN388,IF(BB388&gt;=MIN_N,MEDIAN(IF($AY$2:$AY$662=AY388,$O$2:$O$662)),IF(BA388&gt;=MIN_N,MEDIAN(IF($AX$2:$AX$662=AX388,$O$2:$O$662)),MEDIAN(IF($AW$2:$AW$662=AW388,$O$2:$O$662)))))</f>
        <v/>
      </c>
      <c r="BD388" s="3">
        <f>IF(N(AO388)&gt;=MIN_N,"mercado "&amp;AP388,IF(BB388&gt;=MIN_N,"modelo+año+km",IF(BA388&gt;=MIN_N,"modelo+año","modelo")))</f>
        <v/>
      </c>
      <c r="BE388" s="4">
        <f>(BC388-O388)/BC388</f>
        <v/>
      </c>
      <c r="BF388" s="3">
        <f>IF(OR(K388="hibrido",K388="glp"),"ECO",IF(K388="electrico","CERO",IF(K388="gasolina",IF(M388&gt;=GAS_C,"C",IF(M388&gt;=GAS_B,"B","A")),IF(K388="diesel",IF(M388&gt;=DIE_C,"C",IF(M388&gt;=DIE_B,"B","A")),""))))</f>
        <v/>
      </c>
      <c r="BG388" s="3">
        <f>IFERROR(VLOOKUP(F388,MOD_TBL,11,0),IFERROR(VLOOKUP(E388,OCU_TBL,2,0),NEUTRO))</f>
        <v/>
      </c>
      <c r="BH388" s="3">
        <f>SUMIFS(MOT_AJUSTE,MOT_MOTOR,G388,MOT_MARCA,E388,MOT_DESDE,"&lt;="&amp;M388,MOT_HASTA,"&gt;="&amp;M388)+SUMIFS(MOT_AJUSTE,MOT_MOTOR,G388,MOT_MARCA,"(todas)",MOT_DESDE,"&lt;="&amp;M388,MOT_HASTA,"&gt;="&amp;M388)</f>
        <v/>
      </c>
      <c r="BI388" s="3">
        <f>SUMIFS(COMB_AJUSTE,COMB_COMB,K388)</f>
        <v/>
      </c>
      <c r="BJ388" s="3">
        <f>COUNTIFS(MOT_MOTOR,G388,MOT_MARCA,E388,MOT_DESDE,"&lt;="&amp;M388,MOT_HASTA,"&gt;="&amp;M388)+COUNTIFS(MOT_MOTOR,G388,MOT_MARCA,"(todas)",MOT_DESDE,"&lt;="&amp;M388,MOT_HASTA,"&gt;="&amp;M388)</f>
        <v/>
      </c>
      <c r="BK388" s="3">
        <f>IF(AND(K388="diesel",BJ388=0),MIN(BG388,NEUTRO),BG388)</f>
        <v/>
      </c>
      <c r="BL388" s="4">
        <f>MAX(0,MIN(100,BK388+BH388+BI388))</f>
        <v/>
      </c>
      <c r="BM388" s="3">
        <f>MAX(0,MIN(100,50+BE388*PRECIO_PEND))</f>
        <v/>
      </c>
      <c r="BN388" s="3">
        <f>MAX(0,100*(1-N388/KM_MAX))</f>
        <v/>
      </c>
      <c r="BO388" s="3">
        <f>IF(AV388&lt;KMA_SOSP,IF(AA388="sí",100,KMA_PEN),IF(AV388&lt;=KMA_IDEAL_MAX,100,MAX(0,100*(KMA_CERO-AV388)/(KMA_CERO-KMA_IDEAL_MAX))))</f>
        <v/>
      </c>
      <c r="BP388" s="3">
        <f>MAX(0,MIN(100,100*(M388-ANIO_MIN)/(ANIO_ACTUAL-ANIO_MIN)))</f>
        <v/>
      </c>
      <c r="BQ388" s="3">
        <f>W_KMT*BN388+W_KMA*BO388+W_EDAD*BP388</f>
        <v/>
      </c>
      <c r="BR388" s="3">
        <f>P_ITV*(V388="sí")+P_LIBRO*(W388="sí")+P_CORREA*(X388="sí")+P_PROP*(Y388=1)+P_GAR*(Z388="sí")+P_FOTOS*MIN(1,N(U388)/FOTOS_OBJ)</f>
        <v/>
      </c>
      <c r="BS388" s="3">
        <f>IFERROR(VLOOKUP(BF388,ETQ_TBL,2,0),NEUTRO)</f>
        <v/>
      </c>
      <c r="BT388" s="3">
        <f>NEUTRO</f>
        <v/>
      </c>
      <c r="BU388" s="3">
        <f>IFERROR(VLOOKUP(L388,SEGURO_TBL,3,0),"")</f>
        <v/>
      </c>
      <c r="BV388" s="3">
        <f>IF(BU388="",NEUTRO,MAX(0,MIN(100,100*(SEG_REF_MAX-BU388)/(SEG_REF_MAX-SEG_REF_MIN))))</f>
        <v/>
      </c>
      <c r="BW388" s="3">
        <f>W_ET*BS388+W_CONS*BT388+W_SEG*BV388</f>
        <v/>
      </c>
      <c r="BX388" s="3">
        <f>IF(N(AB388)&gt;0,AB388,IF(AND(R388="profesional",SG_LEGAL_ON=1),GAR_LEGAL,0))</f>
        <v/>
      </c>
      <c r="BY388" s="3">
        <f>SG_GAR*MIN(1,BX388/SG_GAR_FULL)+SG_AMPL*(AC388="sí")+SG_KMC*(AF388="sí")+SG_REV*(N(AE388)&gt;0)+SG_DEV*MIN(1,N(AG388)/SG_DEV_FULL)+SG_HIST*(W388="sí")</f>
        <v/>
      </c>
      <c r="BZ388" s="3">
        <f>IFERROR(VLOOKUP(L388,CARR_PEN_TBL,2,0),0)</f>
        <v/>
      </c>
      <c r="CA388" s="3">
        <f>W_FIAB*BL388+W_PRECIO*BM388+W_KMEDAD*BQ388+W_ANUNCIO*BR388+W_USO*BW388+W_SEGURIDAD*BY388-BZ388</f>
        <v/>
      </c>
      <c r="CB388" s="4">
        <f>IF(N(I388)&gt;0,I388,IFERROR(ROUND(_xlfn.NUMBERVALUE(LEFT(G388,FIND(" ",G388&amp;" ")-1),".")*1000,0),99999))</f>
        <v/>
      </c>
      <c r="CC388" s="3">
        <f>IF(R388="profesional",0,IF(O388&lt;CUOTA_VALOR_MAX,IF(AU388&gt;ITP_TRAMO_ALTO,SUMIFS(CF_CUOTA,CF_MAS,ITP_TRAMO_ALTO,CF_CCMIN,"&lt;="&amp;CB388,CF_CCMAX,"&gt;="&amp;CB388),IF(AU388&gt;ITP_TRAMO_BAJO,SUMIFS(CF_CUOTA,CF_MAS,ITP_TRAMO_BAJO,CF_CCMIN,"&lt;="&amp;CB388,CF_CCMAX,"&gt;="&amp;CB388),O388*ITP_TIPO)),O388*ITP_TIPO))</f>
        <v/>
      </c>
      <c r="CD388" s="4">
        <f>IF(R388="profesional",N(AK388),0)</f>
        <v/>
      </c>
      <c r="CE388" s="3">
        <f>IF(AND(R388="profesional",ISNUMBER(AK388),AL388="sí"),0,TASA_DGT)</f>
        <v/>
      </c>
      <c r="CF388" s="3">
        <f>INFORME_DGT</f>
        <v/>
      </c>
      <c r="CG388" s="4">
        <f>O388+CD388+CC388+CE388+CF388</f>
        <v/>
      </c>
      <c r="CH388" s="4">
        <f>CG388+N(BU388)</f>
        <v/>
      </c>
      <c r="CI388" s="3">
        <f>IF(CG388&lt;=TOTAL_MAX,"sí",IF(CG388&lt;=TOTAL_MAX+MARGEN_NEG,"negociar","no"))</f>
        <v/>
      </c>
      <c r="CJ388" s="4">
        <f>IF(CI388&lt;&gt;"no",COUNTIFS($CI$2:$CI$662,"&lt;&gt;no",$CA$2:$CA$662,"&gt;"&amp;CA388)+COUNTIFS($CI$2:CI388,"&lt;&gt;no",$CA$2:CA388,CA388),"")</f>
        <v/>
      </c>
    </row>
    <row r="389">
      <c r="A389" s="2" t="inlineStr">
        <is>
          <t>wallapop:1313124669</t>
        </is>
      </c>
      <c r="B389" s="2" t="inlineStr">
        <is>
          <t>wallapop</t>
        </is>
      </c>
      <c r="C389" s="2" t="inlineStr">
        <is>
          <t>https://es.wallapop.com/item/fiat-punto-2006-1313124669</t>
        </is>
      </c>
      <c r="D389" s="2" t="inlineStr">
        <is>
          <t>FIAT Punto 2006</t>
        </is>
      </c>
      <c r="E389" s="2" t="inlineStr">
        <is>
          <t>Fiat</t>
        </is>
      </c>
      <c r="F389" s="2" t="inlineStr">
        <is>
          <t>Fiat Punto</t>
        </is>
      </c>
      <c r="G389" s="2" t="inlineStr">
        <is>
          <t>1.4</t>
        </is>
      </c>
      <c r="H389" s="2" t="inlineStr">
        <is>
          <t>Grande 1.4 16v 95 Sport 3p</t>
        </is>
      </c>
      <c r="I389" s="2" t="n"/>
      <c r="J389" s="2" t="n">
        <v>95</v>
      </c>
      <c r="K389" s="2" t="inlineStr">
        <is>
          <t>gasolina</t>
        </is>
      </c>
      <c r="L389" s="2" t="inlineStr">
        <is>
          <t>utilitario</t>
        </is>
      </c>
      <c r="M389" s="2" t="n">
        <v>2006</v>
      </c>
      <c r="N389" s="2" t="n">
        <v>201000</v>
      </c>
      <c r="O389" s="2" t="n">
        <v>2999</v>
      </c>
      <c r="P389" s="2" t="inlineStr">
        <is>
          <t>manual</t>
        </is>
      </c>
      <c r="Q389" s="2" t="inlineStr">
        <is>
          <t>no</t>
        </is>
      </c>
      <c r="R389" s="2" t="inlineStr">
        <is>
          <t>profesional</t>
        </is>
      </c>
      <c r="S389" s="2" t="inlineStr">
        <is>
          <t>Torrent (46900)</t>
        </is>
      </c>
      <c r="T389" s="2" t="inlineStr">
        <is>
          <t>2026-10-15T09:42:12</t>
        </is>
      </c>
      <c r="U389" s="2" t="n">
        <v>19</v>
      </c>
      <c r="V389" s="2" t="n"/>
      <c r="W389" s="2" t="n"/>
      <c r="X389" s="2" t="n"/>
      <c r="Y389" s="2" t="n"/>
      <c r="Z389" s="2" t="n"/>
      <c r="AA389" s="2" t="n"/>
      <c r="AB389" s="2" t="n"/>
      <c r="AC389" s="2" t="n"/>
      <c r="AD389" s="2" t="n"/>
      <c r="AE389" s="2" t="n"/>
      <c r="AF389" s="2" t="n"/>
      <c r="AG389" s="2" t="n"/>
      <c r="AH389" s="2" t="n"/>
      <c r="AI389" s="2" t="n"/>
      <c r="AJ389" s="2" t="n"/>
      <c r="AK389" s="2" t="n"/>
      <c r="AL389" s="2" t="n"/>
      <c r="AM389" s="2" t="n">
        <v>9.300000000000001</v>
      </c>
      <c r="AN389" s="2" t="n"/>
      <c r="AO389" s="2" t="n"/>
      <c r="AP389" s="2" t="n"/>
      <c r="AQ389" s="2" t="n"/>
      <c r="AR389" s="2" t="inlineStr">
        <is>
          <t>vendedor profesional: sin ITP (operación con IVA/REBU, confirmar en factura); gastos de gestión del vendedor no indicados: se suma la tasa DGT; preguntar el precio final; fiabilidad del modelo PENDIENTE de fuente (puntuación neutra)</t>
        </is>
      </c>
      <c r="AS389" s="2" t="inlineStr">
        <is>
          <t>SE VENDE 
CON 1AÑO DE GARANTÍA 
CON POSIBILIDAD DE TRANSPORTAR A CUALQUIER PUNTO 
SE ENTREGA CON SUS MANTENIMIENTO ECHOS 
EXTRAS 
CLIMA 
LLANTAS 
DIRECCIÓN ASISTIDA 
ELEVALUNAS ELÉCTRICOS 
RETROVISORES ELÉCTRICOS 
AIBAG 
ABS
ESP
SISTEMA DE AUDIO 
ASIENTOS DEPORTIVOS 
ORDENADOR A BORDO 
VOLANTE MULTIFUNCION 
ECT,,</t>
        </is>
      </c>
      <c r="AT389" s="2" t="inlineStr">
        <is>
          <t>https://es.wallapop.com/item/fiat-punto-2006-1313124669 (__NEXT_DATA__ item) /home/user/Alopecia/buscador-coches/raw/wallapop/1a5864ca0bb0dab6.json</t>
        </is>
      </c>
      <c r="AU389" s="3">
        <f>MAX(ANIO_ACTUAL-M389,0)</f>
        <v/>
      </c>
      <c r="AV389" s="4">
        <f>N389/MAX(AU389,0.5)</f>
        <v/>
      </c>
      <c r="AW389" s="4">
        <f>F389</f>
        <v/>
      </c>
      <c r="AX389" s="3">
        <f>AW389&amp;"|"&amp;INT(M389/SEG_ANIO)*SEG_ANIO</f>
        <v/>
      </c>
      <c r="AY389" s="3">
        <f>AX389&amp;"|"&amp;INT(N389/SEG_KM)*SEG_KM</f>
        <v/>
      </c>
      <c r="AZ389" s="4">
        <f>COUNTIF($AW$2:$AW$662,AW389)</f>
        <v/>
      </c>
      <c r="BA389" s="4">
        <f>COUNTIF($AX$2:$AX$662,AX389)</f>
        <v/>
      </c>
      <c r="BB389" s="4">
        <f>COUNTIF($AY$2:$AY$662,AY389)</f>
        <v/>
      </c>
      <c r="BC389" s="3">
        <f t="array" ref="BC389">IF(N(AO389)&gt;=MIN_N,AN389,IF(BB389&gt;=MIN_N,MEDIAN(IF($AY$2:$AY$662=AY389,$O$2:$O$662)),IF(BA389&gt;=MIN_N,MEDIAN(IF($AX$2:$AX$662=AX389,$O$2:$O$662)),MEDIAN(IF($AW$2:$AW$662=AW389,$O$2:$O$662)))))</f>
        <v/>
      </c>
      <c r="BD389" s="3">
        <f>IF(N(AO389)&gt;=MIN_N,"mercado "&amp;AP389,IF(BB389&gt;=MIN_N,"modelo+año+km",IF(BA389&gt;=MIN_N,"modelo+año","modelo")))</f>
        <v/>
      </c>
      <c r="BE389" s="4">
        <f>(BC389-O389)/BC389</f>
        <v/>
      </c>
      <c r="BF389" s="3">
        <f>IF(OR(K389="hibrido",K389="glp"),"ECO",IF(K389="electrico","CERO",IF(K389="gasolina",IF(M389&gt;=GAS_C,"C",IF(M389&gt;=GAS_B,"B","A")),IF(K389="diesel",IF(M389&gt;=DIE_C,"C",IF(M389&gt;=DIE_B,"B","A")),""))))</f>
        <v/>
      </c>
      <c r="BG389" s="3">
        <f>IFERROR(VLOOKUP(F389,MOD_TBL,11,0),IFERROR(VLOOKUP(E389,OCU_TBL,2,0),NEUTRO))</f>
        <v/>
      </c>
      <c r="BH389" s="3">
        <f>SUMIFS(MOT_AJUSTE,MOT_MOTOR,G389,MOT_MARCA,E389,MOT_DESDE,"&lt;="&amp;M389,MOT_HASTA,"&gt;="&amp;M389)+SUMIFS(MOT_AJUSTE,MOT_MOTOR,G389,MOT_MARCA,"(todas)",MOT_DESDE,"&lt;="&amp;M389,MOT_HASTA,"&gt;="&amp;M389)</f>
        <v/>
      </c>
      <c r="BI389" s="3">
        <f>SUMIFS(COMB_AJUSTE,COMB_COMB,K389)</f>
        <v/>
      </c>
      <c r="BJ389" s="3">
        <f>COUNTIFS(MOT_MOTOR,G389,MOT_MARCA,E389,MOT_DESDE,"&lt;="&amp;M389,MOT_HASTA,"&gt;="&amp;M389)+COUNTIFS(MOT_MOTOR,G389,MOT_MARCA,"(todas)",MOT_DESDE,"&lt;="&amp;M389,MOT_HASTA,"&gt;="&amp;M389)</f>
        <v/>
      </c>
      <c r="BK389" s="3">
        <f>IF(AND(K389="diesel",BJ389=0),MIN(BG389,NEUTRO),BG389)</f>
        <v/>
      </c>
      <c r="BL389" s="4">
        <f>MAX(0,MIN(100,BK389+BH389+BI389))</f>
        <v/>
      </c>
      <c r="BM389" s="3">
        <f>MAX(0,MIN(100,50+BE389*PRECIO_PEND))</f>
        <v/>
      </c>
      <c r="BN389" s="3">
        <f>MAX(0,100*(1-N389/KM_MAX))</f>
        <v/>
      </c>
      <c r="BO389" s="3">
        <f>IF(AV389&lt;KMA_SOSP,IF(AA389="sí",100,KMA_PEN),IF(AV389&lt;=KMA_IDEAL_MAX,100,MAX(0,100*(KMA_CERO-AV389)/(KMA_CERO-KMA_IDEAL_MAX))))</f>
        <v/>
      </c>
      <c r="BP389" s="3">
        <f>MAX(0,MIN(100,100*(M389-ANIO_MIN)/(ANIO_ACTUAL-ANIO_MIN)))</f>
        <v/>
      </c>
      <c r="BQ389" s="3">
        <f>W_KMT*BN389+W_KMA*BO389+W_EDAD*BP389</f>
        <v/>
      </c>
      <c r="BR389" s="3">
        <f>P_ITV*(V389="sí")+P_LIBRO*(W389="sí")+P_CORREA*(X389="sí")+P_PROP*(Y389=1)+P_GAR*(Z389="sí")+P_FOTOS*MIN(1,N(U389)/FOTOS_OBJ)</f>
        <v/>
      </c>
      <c r="BS389" s="3">
        <f>IFERROR(VLOOKUP(BF389,ETQ_TBL,2,0),NEUTRO)</f>
        <v/>
      </c>
      <c r="BT389" s="3">
        <f>NEUTRO</f>
        <v/>
      </c>
      <c r="BU389" s="3">
        <f>IFERROR(VLOOKUP(L389,SEGURO_TBL,3,0),"")</f>
        <v/>
      </c>
      <c r="BV389" s="3">
        <f>IF(BU389="",NEUTRO,MAX(0,MIN(100,100*(SEG_REF_MAX-BU389)/(SEG_REF_MAX-SEG_REF_MIN))))</f>
        <v/>
      </c>
      <c r="BW389" s="3">
        <f>W_ET*BS389+W_CONS*BT389+W_SEG*BV389</f>
        <v/>
      </c>
      <c r="BX389" s="3">
        <f>IF(N(AB389)&gt;0,AB389,IF(AND(R389="profesional",SG_LEGAL_ON=1),GAR_LEGAL,0))</f>
        <v/>
      </c>
      <c r="BY389" s="3">
        <f>SG_GAR*MIN(1,BX389/SG_GAR_FULL)+SG_AMPL*(AC389="sí")+SG_KMC*(AF389="sí")+SG_REV*(N(AE389)&gt;0)+SG_DEV*MIN(1,N(AG389)/SG_DEV_FULL)+SG_HIST*(W389="sí")</f>
        <v/>
      </c>
      <c r="BZ389" s="3">
        <f>IFERROR(VLOOKUP(L389,CARR_PEN_TBL,2,0),0)</f>
        <v/>
      </c>
      <c r="CA389" s="3">
        <f>W_FIAB*BL389+W_PRECIO*BM389+W_KMEDAD*BQ389+W_ANUNCIO*BR389+W_USO*BW389+W_SEGURIDAD*BY389-BZ389</f>
        <v/>
      </c>
      <c r="CB389" s="4">
        <f>IF(N(I389)&gt;0,I389,IFERROR(ROUND(_xlfn.NUMBERVALUE(LEFT(G389,FIND(" ",G389&amp;" ")-1),".")*1000,0),99999))</f>
        <v/>
      </c>
      <c r="CC389" s="3">
        <f>IF(R389="profesional",0,IF(O389&lt;CUOTA_VALOR_MAX,IF(AU389&gt;ITP_TRAMO_ALTO,SUMIFS(CF_CUOTA,CF_MAS,ITP_TRAMO_ALTO,CF_CCMIN,"&lt;="&amp;CB389,CF_CCMAX,"&gt;="&amp;CB389),IF(AU389&gt;ITP_TRAMO_BAJO,SUMIFS(CF_CUOTA,CF_MAS,ITP_TRAMO_BAJO,CF_CCMIN,"&lt;="&amp;CB389,CF_CCMAX,"&gt;="&amp;CB389),O389*ITP_TIPO)),O389*ITP_TIPO))</f>
        <v/>
      </c>
      <c r="CD389" s="4">
        <f>IF(R389="profesional",N(AK389),0)</f>
        <v/>
      </c>
      <c r="CE389" s="3">
        <f>IF(AND(R389="profesional",ISNUMBER(AK389),AL389="sí"),0,TASA_DGT)</f>
        <v/>
      </c>
      <c r="CF389" s="3">
        <f>INFORME_DGT</f>
        <v/>
      </c>
      <c r="CG389" s="4">
        <f>O389+CD389+CC389+CE389+CF389</f>
        <v/>
      </c>
      <c r="CH389" s="4">
        <f>CG389+N(BU389)</f>
        <v/>
      </c>
      <c r="CI389" s="3">
        <f>IF(CG389&lt;=TOTAL_MAX,"sí",IF(CG389&lt;=TOTAL_MAX+MARGEN_NEG,"negociar","no"))</f>
        <v/>
      </c>
      <c r="CJ389" s="4">
        <f>IF(CI389&lt;&gt;"no",COUNTIFS($CI$2:$CI$662,"&lt;&gt;no",$CA$2:$CA$662,"&gt;"&amp;CA389)+COUNTIFS($CI$2:CI389,"&lt;&gt;no",$CA$2:CA389,CA389),"")</f>
        <v/>
      </c>
    </row>
    <row r="390">
      <c r="A390" s="2" t="inlineStr">
        <is>
          <t>wallapop:1308782246</t>
        </is>
      </c>
      <c r="B390" s="2" t="inlineStr">
        <is>
          <t>wallapop</t>
        </is>
      </c>
      <c r="C390" s="2" t="inlineStr">
        <is>
          <t>https://es.wallapop.com/item/fiat-punto-2007-1308782246</t>
        </is>
      </c>
      <c r="D390" s="2" t="inlineStr">
        <is>
          <t>FIAT Punto 2007</t>
        </is>
      </c>
      <c r="E390" s="2" t="inlineStr">
        <is>
          <t>Fiat</t>
        </is>
      </c>
      <c r="F390" s="2" t="inlineStr">
        <is>
          <t>Fiat Punto</t>
        </is>
      </c>
      <c r="G390" s="2" t="inlineStr">
        <is>
          <t>1.4</t>
        </is>
      </c>
      <c r="H390" s="2" t="inlineStr">
        <is>
          <t>Grande 1.4 16v 95 Dynamic 3p</t>
        </is>
      </c>
      <c r="I390" s="2" t="n"/>
      <c r="J390" s="2" t="n">
        <v>95</v>
      </c>
      <c r="K390" s="2" t="inlineStr">
        <is>
          <t>gasolina</t>
        </is>
      </c>
      <c r="L390" s="2" t="inlineStr">
        <is>
          <t>utilitario</t>
        </is>
      </c>
      <c r="M390" s="2" t="n">
        <v>2007</v>
      </c>
      <c r="N390" s="2" t="n">
        <v>179000</v>
      </c>
      <c r="O390" s="2" t="n">
        <v>3499</v>
      </c>
      <c r="P390" s="2" t="inlineStr">
        <is>
          <t>manual</t>
        </is>
      </c>
      <c r="Q390" s="2" t="inlineStr">
        <is>
          <t>no</t>
        </is>
      </c>
      <c r="R390" s="2" t="inlineStr">
        <is>
          <t>profesional</t>
        </is>
      </c>
      <c r="S390" s="2" t="inlineStr">
        <is>
          <t>Torrent (46900)</t>
        </is>
      </c>
      <c r="T390" s="2" t="inlineStr">
        <is>
          <t>2026-10-14T16:15:36</t>
        </is>
      </c>
      <c r="U390" s="2" t="n">
        <v>10</v>
      </c>
      <c r="V390" s="2" t="n"/>
      <c r="W390" s="2" t="n"/>
      <c r="X390" s="2" t="n"/>
      <c r="Y390" s="2" t="n"/>
      <c r="Z390" s="2" t="n"/>
      <c r="AA390" s="2" t="n"/>
      <c r="AB390" s="2" t="n"/>
      <c r="AC390" s="2" t="n"/>
      <c r="AD390" s="2" t="n"/>
      <c r="AE390" s="2" t="n"/>
      <c r="AF390" s="2" t="n"/>
      <c r="AG390" s="2" t="n"/>
      <c r="AH390" s="2" t="n"/>
      <c r="AI390" s="2" t="n"/>
      <c r="AJ390" s="2" t="n"/>
      <c r="AK390" s="2" t="n"/>
      <c r="AL390" s="2" t="n"/>
      <c r="AM390" s="2" t="n">
        <v>9.300000000000001</v>
      </c>
      <c r="AN390" s="2" t="n">
        <v>2500</v>
      </c>
      <c r="AO390" s="2" t="n">
        <v>13</v>
      </c>
      <c r="AP390" s="2" t="inlineStr">
        <is>
          <t>modelo+año</t>
        </is>
      </c>
      <c r="AQ390" s="2" t="n"/>
      <c r="AR390" s="2" t="inlineStr">
        <is>
          <t>vendedor profesional: sin ITP (operación con IVA/REBU, confirmar en factura); gastos de gestión del vendedor no indicados: se suma la tasa DGT; preguntar el precio final; fiabilidad del modelo PENDIENTE de fuente (puntuación neutra)</t>
        </is>
      </c>
      <c r="AS390" s="2" t="inlineStr">
        <is>
          <t xml:space="preserve">SE VENDE 
CON 1AÑO DE GARANTÍA 
CON POSIBILIDAD DE TRANSPORTAR A CUALQUIER PUNTO 
SE ENTREGA CON SUS MANTENIMIENTO ECHOS 
EXTRAS 
DIRECCIÓN ASISTIDA 
CLIMA 
SISTEMA DE AUDIO 
ABS
ESP
ANCLAJES ISOFIX 
CIERRE CENTRALIZADO 
ELEVALUNAS ELÉCTRICOS 
RETROVISORES ELÉCTRICOS 
ASIENTOS DEPORTIVOS 
MUCHISIMOS EXTRAS MAS 
</t>
        </is>
      </c>
      <c r="AT390" s="2" t="inlineStr">
        <is>
          <t>https://es.wallapop.com/item/fiat-punto-2007-1308782246 (__NEXT_DATA__ item) /home/user/Alopecia/buscador-coches/raw/wallapop/dd2ba05449fe4e02.json</t>
        </is>
      </c>
      <c r="AU390" s="3">
        <f>MAX(ANIO_ACTUAL-M390,0)</f>
        <v/>
      </c>
      <c r="AV390" s="4">
        <f>N390/MAX(AU390,0.5)</f>
        <v/>
      </c>
      <c r="AW390" s="4">
        <f>F390</f>
        <v/>
      </c>
      <c r="AX390" s="3">
        <f>AW390&amp;"|"&amp;INT(M390/SEG_ANIO)*SEG_ANIO</f>
        <v/>
      </c>
      <c r="AY390" s="3">
        <f>AX390&amp;"|"&amp;INT(N390/SEG_KM)*SEG_KM</f>
        <v/>
      </c>
      <c r="AZ390" s="4">
        <f>COUNTIF($AW$2:$AW$662,AW390)</f>
        <v/>
      </c>
      <c r="BA390" s="4">
        <f>COUNTIF($AX$2:$AX$662,AX390)</f>
        <v/>
      </c>
      <c r="BB390" s="4">
        <f>COUNTIF($AY$2:$AY$662,AY390)</f>
        <v/>
      </c>
      <c r="BC390" s="3">
        <f t="array" ref="BC390">IF(N(AO390)&gt;=MIN_N,AN390,IF(BB390&gt;=MIN_N,MEDIAN(IF($AY$2:$AY$662=AY390,$O$2:$O$662)),IF(BA390&gt;=MIN_N,MEDIAN(IF($AX$2:$AX$662=AX390,$O$2:$O$662)),MEDIAN(IF($AW$2:$AW$662=AW390,$O$2:$O$662)))))</f>
        <v/>
      </c>
      <c r="BD390" s="3">
        <f>IF(N(AO390)&gt;=MIN_N,"mercado "&amp;AP390,IF(BB390&gt;=MIN_N,"modelo+año+km",IF(BA390&gt;=MIN_N,"modelo+año","modelo")))</f>
        <v/>
      </c>
      <c r="BE390" s="4">
        <f>(BC390-O390)/BC390</f>
        <v/>
      </c>
      <c r="BF390" s="3">
        <f>IF(OR(K390="hibrido",K390="glp"),"ECO",IF(K390="electrico","CERO",IF(K390="gasolina",IF(M390&gt;=GAS_C,"C",IF(M390&gt;=GAS_B,"B","A")),IF(K390="diesel",IF(M390&gt;=DIE_C,"C",IF(M390&gt;=DIE_B,"B","A")),""))))</f>
        <v/>
      </c>
      <c r="BG390" s="3">
        <f>IFERROR(VLOOKUP(F390,MOD_TBL,11,0),IFERROR(VLOOKUP(E390,OCU_TBL,2,0),NEUTRO))</f>
        <v/>
      </c>
      <c r="BH390" s="3">
        <f>SUMIFS(MOT_AJUSTE,MOT_MOTOR,G390,MOT_MARCA,E390,MOT_DESDE,"&lt;="&amp;M390,MOT_HASTA,"&gt;="&amp;M390)+SUMIFS(MOT_AJUSTE,MOT_MOTOR,G390,MOT_MARCA,"(todas)",MOT_DESDE,"&lt;="&amp;M390,MOT_HASTA,"&gt;="&amp;M390)</f>
        <v/>
      </c>
      <c r="BI390" s="3">
        <f>SUMIFS(COMB_AJUSTE,COMB_COMB,K390)</f>
        <v/>
      </c>
      <c r="BJ390" s="3">
        <f>COUNTIFS(MOT_MOTOR,G390,MOT_MARCA,E390,MOT_DESDE,"&lt;="&amp;M390,MOT_HASTA,"&gt;="&amp;M390)+COUNTIFS(MOT_MOTOR,G390,MOT_MARCA,"(todas)",MOT_DESDE,"&lt;="&amp;M390,MOT_HASTA,"&gt;="&amp;M390)</f>
        <v/>
      </c>
      <c r="BK390" s="3">
        <f>IF(AND(K390="diesel",BJ390=0),MIN(BG390,NEUTRO),BG390)</f>
        <v/>
      </c>
      <c r="BL390" s="4">
        <f>MAX(0,MIN(100,BK390+BH390+BI390))</f>
        <v/>
      </c>
      <c r="BM390" s="3">
        <f>MAX(0,MIN(100,50+BE390*PRECIO_PEND))</f>
        <v/>
      </c>
      <c r="BN390" s="3">
        <f>MAX(0,100*(1-N390/KM_MAX))</f>
        <v/>
      </c>
      <c r="BO390" s="3">
        <f>IF(AV390&lt;KMA_SOSP,IF(AA390="sí",100,KMA_PEN),IF(AV390&lt;=KMA_IDEAL_MAX,100,MAX(0,100*(KMA_CERO-AV390)/(KMA_CERO-KMA_IDEAL_MAX))))</f>
        <v/>
      </c>
      <c r="BP390" s="3">
        <f>MAX(0,MIN(100,100*(M390-ANIO_MIN)/(ANIO_ACTUAL-ANIO_MIN)))</f>
        <v/>
      </c>
      <c r="BQ390" s="3">
        <f>W_KMT*BN390+W_KMA*BO390+W_EDAD*BP390</f>
        <v/>
      </c>
      <c r="BR390" s="3">
        <f>P_ITV*(V390="sí")+P_LIBRO*(W390="sí")+P_CORREA*(X390="sí")+P_PROP*(Y390=1)+P_GAR*(Z390="sí")+P_FOTOS*MIN(1,N(U390)/FOTOS_OBJ)</f>
        <v/>
      </c>
      <c r="BS390" s="3">
        <f>IFERROR(VLOOKUP(BF390,ETQ_TBL,2,0),NEUTRO)</f>
        <v/>
      </c>
      <c r="BT390" s="3">
        <f>NEUTRO</f>
        <v/>
      </c>
      <c r="BU390" s="3">
        <f>IFERROR(VLOOKUP(L390,SEGURO_TBL,3,0),"")</f>
        <v/>
      </c>
      <c r="BV390" s="3">
        <f>IF(BU390="",NEUTRO,MAX(0,MIN(100,100*(SEG_REF_MAX-BU390)/(SEG_REF_MAX-SEG_REF_MIN))))</f>
        <v/>
      </c>
      <c r="BW390" s="3">
        <f>W_ET*BS390+W_CONS*BT390+W_SEG*BV390</f>
        <v/>
      </c>
      <c r="BX390" s="3">
        <f>IF(N(AB390)&gt;0,AB390,IF(AND(R390="profesional",SG_LEGAL_ON=1),GAR_LEGAL,0))</f>
        <v/>
      </c>
      <c r="BY390" s="3">
        <f>SG_GAR*MIN(1,BX390/SG_GAR_FULL)+SG_AMPL*(AC390="sí")+SG_KMC*(AF390="sí")+SG_REV*(N(AE390)&gt;0)+SG_DEV*MIN(1,N(AG390)/SG_DEV_FULL)+SG_HIST*(W390="sí")</f>
        <v/>
      </c>
      <c r="BZ390" s="3">
        <f>IFERROR(VLOOKUP(L390,CARR_PEN_TBL,2,0),0)</f>
        <v/>
      </c>
      <c r="CA390" s="3">
        <f>W_FIAB*BL390+W_PRECIO*BM390+W_KMEDAD*BQ390+W_ANUNCIO*BR390+W_USO*BW390+W_SEGURIDAD*BY390-BZ390</f>
        <v/>
      </c>
      <c r="CB390" s="4">
        <f>IF(N(I390)&gt;0,I390,IFERROR(ROUND(_xlfn.NUMBERVALUE(LEFT(G390,FIND(" ",G390&amp;" ")-1),".")*1000,0),99999))</f>
        <v/>
      </c>
      <c r="CC390" s="3">
        <f>IF(R390="profesional",0,IF(O390&lt;CUOTA_VALOR_MAX,IF(AU390&gt;ITP_TRAMO_ALTO,SUMIFS(CF_CUOTA,CF_MAS,ITP_TRAMO_ALTO,CF_CCMIN,"&lt;="&amp;CB390,CF_CCMAX,"&gt;="&amp;CB390),IF(AU390&gt;ITP_TRAMO_BAJO,SUMIFS(CF_CUOTA,CF_MAS,ITP_TRAMO_BAJO,CF_CCMIN,"&lt;="&amp;CB390,CF_CCMAX,"&gt;="&amp;CB390),O390*ITP_TIPO)),O390*ITP_TIPO))</f>
        <v/>
      </c>
      <c r="CD390" s="4">
        <f>IF(R390="profesional",N(AK390),0)</f>
        <v/>
      </c>
      <c r="CE390" s="3">
        <f>IF(AND(R390="profesional",ISNUMBER(AK390),AL390="sí"),0,TASA_DGT)</f>
        <v/>
      </c>
      <c r="CF390" s="3">
        <f>INFORME_DGT</f>
        <v/>
      </c>
      <c r="CG390" s="4">
        <f>O390+CD390+CC390+CE390+CF390</f>
        <v/>
      </c>
      <c r="CH390" s="4">
        <f>CG390+N(BU390)</f>
        <v/>
      </c>
      <c r="CI390" s="3">
        <f>IF(CG390&lt;=TOTAL_MAX,"sí",IF(CG390&lt;=TOTAL_MAX+MARGEN_NEG,"negociar","no"))</f>
        <v/>
      </c>
      <c r="CJ390" s="4">
        <f>IF(CI390&lt;&gt;"no",COUNTIFS($CI$2:$CI$662,"&lt;&gt;no",$CA$2:$CA$662,"&gt;"&amp;CA390)+COUNTIFS($CI$2:CI390,"&lt;&gt;no",$CA$2:CA390,CA390),"")</f>
        <v/>
      </c>
    </row>
    <row r="391">
      <c r="A391" s="2" t="inlineStr">
        <is>
          <t>wallapop:1305071192</t>
        </is>
      </c>
      <c r="B391" s="2" t="inlineStr">
        <is>
          <t>wallapop</t>
        </is>
      </c>
      <c r="C391" s="2" t="inlineStr">
        <is>
          <t>https://es.wallapop.com/item/fiat-punto-1-4-t-jet-sport-88-kw-120-cv-1305071192</t>
        </is>
      </c>
      <c r="D391" s="2" t="inlineStr">
        <is>
          <t>Fiat Punto 1.4 T-Jet Sport 88 kW (120 CV)</t>
        </is>
      </c>
      <c r="E391" s="2" t="inlineStr">
        <is>
          <t>Fiat</t>
        </is>
      </c>
      <c r="F391" s="2" t="inlineStr">
        <is>
          <t>Fiat Punto</t>
        </is>
      </c>
      <c r="G391" s="2" t="inlineStr">
        <is>
          <t>1.4 T-Jet</t>
        </is>
      </c>
      <c r="H391" s="2" t="inlineStr">
        <is>
          <t>1.4 T-Jet Sport 88 kW (120 CV)</t>
        </is>
      </c>
      <c r="I391" s="2" t="n"/>
      <c r="J391" s="2" t="n">
        <v>120</v>
      </c>
      <c r="K391" s="2" t="inlineStr">
        <is>
          <t>gasolina</t>
        </is>
      </c>
      <c r="L391" s="2" t="inlineStr">
        <is>
          <t>utilitario</t>
        </is>
      </c>
      <c r="M391" s="2" t="n">
        <v>2010</v>
      </c>
      <c r="N391" s="2" t="n">
        <v>135827</v>
      </c>
      <c r="O391" s="2" t="n">
        <v>4990</v>
      </c>
      <c r="P391" s="2" t="inlineStr">
        <is>
          <t>manual</t>
        </is>
      </c>
      <c r="Q391" s="2" t="inlineStr">
        <is>
          <t>no</t>
        </is>
      </c>
      <c r="R391" s="2" t="inlineStr">
        <is>
          <t>profesional</t>
        </is>
      </c>
      <c r="S391" s="2" t="inlineStr">
        <is>
          <t>Paterna (46980)</t>
        </is>
      </c>
      <c r="T391" s="2" t="inlineStr">
        <is>
          <t>2026-10-26T14:33:00</t>
        </is>
      </c>
      <c r="U391" s="2" t="n">
        <v>11</v>
      </c>
      <c r="V391" s="2" t="n"/>
      <c r="W391" s="2" t="inlineStr">
        <is>
          <t>sí</t>
        </is>
      </c>
      <c r="X391" s="2" t="n"/>
      <c r="Y391" s="2" t="n"/>
      <c r="Z391" s="2" t="inlineStr">
        <is>
          <t>sí</t>
        </is>
      </c>
      <c r="AA391" s="2" t="n"/>
      <c r="AB391" s="2" t="n"/>
      <c r="AC391" s="2" t="n"/>
      <c r="AD391" s="2" t="n"/>
      <c r="AE391" s="2" t="n"/>
      <c r="AF391" s="2" t="inlineStr">
        <is>
          <t>sí</t>
        </is>
      </c>
      <c r="AG391" s="2" t="n"/>
      <c r="AH391" s="2" t="n"/>
      <c r="AI391" s="2" t="n"/>
      <c r="AJ391" s="2" t="n"/>
      <c r="AK391" s="2" t="n"/>
      <c r="AL391" s="2" t="n"/>
      <c r="AM391" s="2" t="n">
        <v>6.4</v>
      </c>
      <c r="AN391" s="2" t="n">
        <v>4990</v>
      </c>
      <c r="AO391" s="2" t="n">
        <v>4</v>
      </c>
      <c r="AP391" s="2" t="inlineStr">
        <is>
          <t>modelo+año+km</t>
        </is>
      </c>
      <c r="AQ391" s="2" t="n"/>
      <c r="AR391"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391" s="2" t="inlineStr">
        <is>
          <t>Ref.195599950
¡VILLA TAMBIÉN FICHA POR OCASIONPLUS!
VEN A GANAR. ¡VEN A OCASIONPLUS!
OCASIONPLUS - 20.000 COCHES  - 120 CENTROS
OCASIONPLUS Nº1 CALIDAD - PRECIO
Elige el coche que te guste y te lo llevamos a tu ciudad sólo con reservarlo
15 DÍAS / 1000 KMS DE PRUEBA
ADEMÁS, HACEMOS LAS MEJORES FINANCIACIONES DEL MERCADO, PREGÚNTANOS!!
            Equipamiento destacado: Volante multifunción, Aire Acondicionado (Climatizador), Isofix, Llantas de aleación (17").
                - Coche Nacional, Historial Mantenimiento.
                - Garantía total 1 año, con cobertura nacional, ampliable a 24 meses.
                - Certificado de Kilómetros y ausencia de golpes estructurales.
            - Sobrevaloramos tu coche en operaciones de cambio. Tásalo ahora en ocasionplus.com
            - Entregamos cualquier coche en cualquier centro
            - Abierto Domingo y Festivos.</t>
        </is>
      </c>
      <c r="AT391" s="2" t="inlineStr">
        <is>
          <t>https://es.wallapop.com/item/fiat-punto-1-4-t-jet-sport-88-kw-120-cv-1305071192 (__NEXT_DATA__ item) /home/user/Alopecia/buscador-coches/raw/wallapop/dc1b925771b4a0c9.json</t>
        </is>
      </c>
      <c r="AU391" s="3">
        <f>MAX(ANIO_ACTUAL-M391,0)</f>
        <v/>
      </c>
      <c r="AV391" s="4">
        <f>N391/MAX(AU391,0.5)</f>
        <v/>
      </c>
      <c r="AW391" s="4">
        <f>F391</f>
        <v/>
      </c>
      <c r="AX391" s="3">
        <f>AW391&amp;"|"&amp;INT(M391/SEG_ANIO)*SEG_ANIO</f>
        <v/>
      </c>
      <c r="AY391" s="3">
        <f>AX391&amp;"|"&amp;INT(N391/SEG_KM)*SEG_KM</f>
        <v/>
      </c>
      <c r="AZ391" s="4">
        <f>COUNTIF($AW$2:$AW$662,AW391)</f>
        <v/>
      </c>
      <c r="BA391" s="4">
        <f>COUNTIF($AX$2:$AX$662,AX391)</f>
        <v/>
      </c>
      <c r="BB391" s="4">
        <f>COUNTIF($AY$2:$AY$662,AY391)</f>
        <v/>
      </c>
      <c r="BC391" s="3">
        <f t="array" ref="BC391">IF(N(AO391)&gt;=MIN_N,AN391,IF(BB391&gt;=MIN_N,MEDIAN(IF($AY$2:$AY$662=AY391,$O$2:$O$662)),IF(BA391&gt;=MIN_N,MEDIAN(IF($AX$2:$AX$662=AX391,$O$2:$O$662)),MEDIAN(IF($AW$2:$AW$662=AW391,$O$2:$O$662)))))</f>
        <v/>
      </c>
      <c r="BD391" s="3">
        <f>IF(N(AO391)&gt;=MIN_N,"mercado "&amp;AP391,IF(BB391&gt;=MIN_N,"modelo+año+km",IF(BA391&gt;=MIN_N,"modelo+año","modelo")))</f>
        <v/>
      </c>
      <c r="BE391" s="4">
        <f>(BC391-O391)/BC391</f>
        <v/>
      </c>
      <c r="BF391" s="3">
        <f>IF(OR(K391="hibrido",K391="glp"),"ECO",IF(K391="electrico","CERO",IF(K391="gasolina",IF(M391&gt;=GAS_C,"C",IF(M391&gt;=GAS_B,"B","A")),IF(K391="diesel",IF(M391&gt;=DIE_C,"C",IF(M391&gt;=DIE_B,"B","A")),""))))</f>
        <v/>
      </c>
      <c r="BG391" s="3">
        <f>IFERROR(VLOOKUP(F391,MOD_TBL,11,0),IFERROR(VLOOKUP(E391,OCU_TBL,2,0),NEUTRO))</f>
        <v/>
      </c>
      <c r="BH391" s="3">
        <f>SUMIFS(MOT_AJUSTE,MOT_MOTOR,G391,MOT_MARCA,E391,MOT_DESDE,"&lt;="&amp;M391,MOT_HASTA,"&gt;="&amp;M391)+SUMIFS(MOT_AJUSTE,MOT_MOTOR,G391,MOT_MARCA,"(todas)",MOT_DESDE,"&lt;="&amp;M391,MOT_HASTA,"&gt;="&amp;M391)</f>
        <v/>
      </c>
      <c r="BI391" s="3">
        <f>SUMIFS(COMB_AJUSTE,COMB_COMB,K391)</f>
        <v/>
      </c>
      <c r="BJ391" s="3">
        <f>COUNTIFS(MOT_MOTOR,G391,MOT_MARCA,E391,MOT_DESDE,"&lt;="&amp;M391,MOT_HASTA,"&gt;="&amp;M391)+COUNTIFS(MOT_MOTOR,G391,MOT_MARCA,"(todas)",MOT_DESDE,"&lt;="&amp;M391,MOT_HASTA,"&gt;="&amp;M391)</f>
        <v/>
      </c>
      <c r="BK391" s="3">
        <f>IF(AND(K391="diesel",BJ391=0),MIN(BG391,NEUTRO),BG391)</f>
        <v/>
      </c>
      <c r="BL391" s="4">
        <f>MAX(0,MIN(100,BK391+BH391+BI391))</f>
        <v/>
      </c>
      <c r="BM391" s="3">
        <f>MAX(0,MIN(100,50+BE391*PRECIO_PEND))</f>
        <v/>
      </c>
      <c r="BN391" s="3">
        <f>MAX(0,100*(1-N391/KM_MAX))</f>
        <v/>
      </c>
      <c r="BO391" s="3">
        <f>IF(AV391&lt;KMA_SOSP,IF(AA391="sí",100,KMA_PEN),IF(AV391&lt;=KMA_IDEAL_MAX,100,MAX(0,100*(KMA_CERO-AV391)/(KMA_CERO-KMA_IDEAL_MAX))))</f>
        <v/>
      </c>
      <c r="BP391" s="3">
        <f>MAX(0,MIN(100,100*(M391-ANIO_MIN)/(ANIO_ACTUAL-ANIO_MIN)))</f>
        <v/>
      </c>
      <c r="BQ391" s="3">
        <f>W_KMT*BN391+W_KMA*BO391+W_EDAD*BP391</f>
        <v/>
      </c>
      <c r="BR391" s="3">
        <f>P_ITV*(V391="sí")+P_LIBRO*(W391="sí")+P_CORREA*(X391="sí")+P_PROP*(Y391=1)+P_GAR*(Z391="sí")+P_FOTOS*MIN(1,N(U391)/FOTOS_OBJ)</f>
        <v/>
      </c>
      <c r="BS391" s="3">
        <f>IFERROR(VLOOKUP(BF391,ETQ_TBL,2,0),NEUTRO)</f>
        <v/>
      </c>
      <c r="BT391" s="3">
        <f>NEUTRO</f>
        <v/>
      </c>
      <c r="BU391" s="3">
        <f>IFERROR(VLOOKUP(L391,SEGURO_TBL,3,0),"")</f>
        <v/>
      </c>
      <c r="BV391" s="3">
        <f>IF(BU391="",NEUTRO,MAX(0,MIN(100,100*(SEG_REF_MAX-BU391)/(SEG_REF_MAX-SEG_REF_MIN))))</f>
        <v/>
      </c>
      <c r="BW391" s="3">
        <f>W_ET*BS391+W_CONS*BT391+W_SEG*BV391</f>
        <v/>
      </c>
      <c r="BX391" s="3">
        <f>IF(N(AB391)&gt;0,AB391,IF(AND(R391="profesional",SG_LEGAL_ON=1),GAR_LEGAL,0))</f>
        <v/>
      </c>
      <c r="BY391" s="3">
        <f>SG_GAR*MIN(1,BX391/SG_GAR_FULL)+SG_AMPL*(AC391="sí")+SG_KMC*(AF391="sí")+SG_REV*(N(AE391)&gt;0)+SG_DEV*MIN(1,N(AG391)/SG_DEV_FULL)+SG_HIST*(W391="sí")</f>
        <v/>
      </c>
      <c r="BZ391" s="3">
        <f>IFERROR(VLOOKUP(L391,CARR_PEN_TBL,2,0),0)</f>
        <v/>
      </c>
      <c r="CA391" s="3">
        <f>W_FIAB*BL391+W_PRECIO*BM391+W_KMEDAD*BQ391+W_ANUNCIO*BR391+W_USO*BW391+W_SEGURIDAD*BY391-BZ391</f>
        <v/>
      </c>
      <c r="CB391" s="4">
        <f>IF(N(I391)&gt;0,I391,IFERROR(ROUND(_xlfn.NUMBERVALUE(LEFT(G391,FIND(" ",G391&amp;" ")-1),".")*1000,0),99999))</f>
        <v/>
      </c>
      <c r="CC391" s="3">
        <f>IF(R391="profesional",0,IF(O391&lt;CUOTA_VALOR_MAX,IF(AU391&gt;ITP_TRAMO_ALTO,SUMIFS(CF_CUOTA,CF_MAS,ITP_TRAMO_ALTO,CF_CCMIN,"&lt;="&amp;CB391,CF_CCMAX,"&gt;="&amp;CB391),IF(AU391&gt;ITP_TRAMO_BAJO,SUMIFS(CF_CUOTA,CF_MAS,ITP_TRAMO_BAJO,CF_CCMIN,"&lt;="&amp;CB391,CF_CCMAX,"&gt;="&amp;CB391),O391*ITP_TIPO)),O391*ITP_TIPO))</f>
        <v/>
      </c>
      <c r="CD391" s="4">
        <f>IF(R391="profesional",N(AK391),0)</f>
        <v/>
      </c>
      <c r="CE391" s="3">
        <f>IF(AND(R391="profesional",ISNUMBER(AK391),AL391="sí"),0,TASA_DGT)</f>
        <v/>
      </c>
      <c r="CF391" s="3">
        <f>INFORME_DGT</f>
        <v/>
      </c>
      <c r="CG391" s="4">
        <f>O391+CD391+CC391+CE391+CF391</f>
        <v/>
      </c>
      <c r="CH391" s="4">
        <f>CG391+N(BU391)</f>
        <v/>
      </c>
      <c r="CI391" s="3">
        <f>IF(CG391&lt;=TOTAL_MAX,"sí",IF(CG391&lt;=TOTAL_MAX+MARGEN_NEG,"negociar","no"))</f>
        <v/>
      </c>
      <c r="CJ391" s="4">
        <f>IF(CI391&lt;&gt;"no",COUNTIFS($CI$2:$CI$662,"&lt;&gt;no",$CA$2:$CA$662,"&gt;"&amp;CA391)+COUNTIFS($CI$2:CI391,"&lt;&gt;no",$CA$2:CA391,CA391),"")</f>
        <v/>
      </c>
    </row>
    <row r="392">
      <c r="A392" s="2" t="inlineStr">
        <is>
          <t>wallapop:1316397731</t>
        </is>
      </c>
      <c r="B392" s="2" t="inlineStr">
        <is>
          <t>wallapop</t>
        </is>
      </c>
      <c r="C392" s="2" t="inlineStr">
        <is>
          <t>https://es.wallapop.com/item/nissan-micra-2013-1316397731</t>
        </is>
      </c>
      <c r="D392" s="2" t="inlineStr">
        <is>
          <t>Nissan Micra 2013</t>
        </is>
      </c>
      <c r="E392" s="2" t="inlineStr">
        <is>
          <t>Nissan</t>
        </is>
      </c>
      <c r="F392" s="2" t="inlineStr">
        <is>
          <t>Nissan Micra</t>
        </is>
      </c>
      <c r="G392" s="2" t="inlineStr">
        <is>
          <t>1.2</t>
        </is>
      </c>
      <c r="H392" s="2" t="inlineStr">
        <is>
          <t>1.2G DIG-S 98 Tekna Premium 5p S/S</t>
        </is>
      </c>
      <c r="I392" s="2" t="n"/>
      <c r="J392" s="2" t="n">
        <v>98</v>
      </c>
      <c r="K392" s="2" t="inlineStr">
        <is>
          <t>gasolina</t>
        </is>
      </c>
      <c r="L392" s="2" t="inlineStr">
        <is>
          <t>utilitario</t>
        </is>
      </c>
      <c r="M392" s="2" t="n">
        <v>2013</v>
      </c>
      <c r="N392" s="2" t="n">
        <v>131000</v>
      </c>
      <c r="O392" s="2" t="n">
        <v>4800</v>
      </c>
      <c r="P392" s="2" t="inlineStr">
        <is>
          <t>manual</t>
        </is>
      </c>
      <c r="Q392" s="2" t="inlineStr">
        <is>
          <t>no</t>
        </is>
      </c>
      <c r="R392" s="2" t="inlineStr">
        <is>
          <t>particular</t>
        </is>
      </c>
      <c r="S392" s="2" t="inlineStr">
        <is>
          <t>Valencia (46021)</t>
        </is>
      </c>
      <c r="T392" s="2" t="inlineStr">
        <is>
          <t>2026-10-26T08:51:48</t>
        </is>
      </c>
      <c r="U392" s="2" t="n">
        <v>9</v>
      </c>
      <c r="V392" s="2" t="n"/>
      <c r="W392" s="2" t="n"/>
      <c r="X392" s="2" t="n"/>
      <c r="Y392" s="2" t="n"/>
      <c r="Z392" s="2" t="n"/>
      <c r="AA392" s="2" t="inlineStr">
        <is>
          <t>sí</t>
        </is>
      </c>
      <c r="AB392" s="2" t="n"/>
      <c r="AC392" s="2" t="n"/>
      <c r="AD392" s="2" t="n"/>
      <c r="AE392" s="2" t="n"/>
      <c r="AF392" s="2" t="n"/>
      <c r="AG392" s="2" t="n"/>
      <c r="AH392" s="2" t="n"/>
      <c r="AI392" s="2" t="n"/>
      <c r="AJ392" s="2" t="n"/>
      <c r="AK392" s="2" t="n"/>
      <c r="AL392" s="2" t="n"/>
      <c r="AM392" s="2" t="n">
        <v>1.7</v>
      </c>
      <c r="AN392" s="2" t="n"/>
      <c r="AO392" s="2" t="n"/>
      <c r="AP392" s="2" t="n"/>
      <c r="AQ392" s="2" t="n"/>
      <c r="AR392" s="2" t="inlineStr">
        <is>
          <t>antigüedad en el límite del tramo: depende de la fecha exacta de matriculación; cuota fija ITP: &gt;12 años, hasta 1.500 cc; mediana con solo 3 anuncio(s)</t>
        </is>
      </c>
      <c r="AS392" s="2" t="inlineStr">
        <is>
          <t xml:space="preserve">Nissan Micra 1.2 DIG-S Tekna Premium · 98 CV · 2013 · 131.000 km
Lo vendo porque apenas lo utilizo, ya que tengo moto. Hasta la fecha ha tenido un uso ocasional.
Acabado Tekna Premium, con etiqueta medioambiental C. Muy equipado: navegador, Bluetooth, puerto USB, ordenador de viaje, control de crucero y limitador de velocidad, sensor de lluvia, luces automáticas, climatizador electrónico, techo panorámico, llantas de 17”, retrovisores abatibles, apertura y arranque sin llave y elevalunas eléctricos. Lleva neumáticos nuevos.
Tiene arañazos propios del uso. Los sensores de aparcamiento delanteros presentan un fallo. También tiene fallos esporádicos del sistema Start/Stop y, en ocasiones, aparece un aviso relacionado con el árbol de levas. Se informa de estas incidencias para que se tengan en cuenta. </t>
        </is>
      </c>
      <c r="AT392" s="2" t="inlineStr">
        <is>
          <t>https://es.wallapop.com/item/nissan-micra-2013-1316397731 (__NEXT_DATA__ item) /home/user/Alopecia/buscador-coches/raw/wallapop/30ee9f6b045b7b17.json</t>
        </is>
      </c>
      <c r="AU392" s="3">
        <f>MAX(ANIO_ACTUAL-M392,0)</f>
        <v/>
      </c>
      <c r="AV392" s="4">
        <f>N392/MAX(AU392,0.5)</f>
        <v/>
      </c>
      <c r="AW392" s="4">
        <f>F392</f>
        <v/>
      </c>
      <c r="AX392" s="3">
        <f>AW392&amp;"|"&amp;INT(M392/SEG_ANIO)*SEG_ANIO</f>
        <v/>
      </c>
      <c r="AY392" s="3">
        <f>AX392&amp;"|"&amp;INT(N392/SEG_KM)*SEG_KM</f>
        <v/>
      </c>
      <c r="AZ392" s="4">
        <f>COUNTIF($AW$2:$AW$662,AW392)</f>
        <v/>
      </c>
      <c r="BA392" s="4">
        <f>COUNTIF($AX$2:$AX$662,AX392)</f>
        <v/>
      </c>
      <c r="BB392" s="4">
        <f>COUNTIF($AY$2:$AY$662,AY392)</f>
        <v/>
      </c>
      <c r="BC392" s="3">
        <f t="array" ref="BC392">IF(N(AO392)&gt;=MIN_N,AN392,IF(BB392&gt;=MIN_N,MEDIAN(IF($AY$2:$AY$662=AY392,$O$2:$O$662)),IF(BA392&gt;=MIN_N,MEDIAN(IF($AX$2:$AX$662=AX392,$O$2:$O$662)),MEDIAN(IF($AW$2:$AW$662=AW392,$O$2:$O$662)))))</f>
        <v/>
      </c>
      <c r="BD392" s="3">
        <f>IF(N(AO392)&gt;=MIN_N,"mercado "&amp;AP392,IF(BB392&gt;=MIN_N,"modelo+año+km",IF(BA392&gt;=MIN_N,"modelo+año","modelo")))</f>
        <v/>
      </c>
      <c r="BE392" s="4">
        <f>(BC392-O392)/BC392</f>
        <v/>
      </c>
      <c r="BF392" s="3">
        <f>IF(OR(K392="hibrido",K392="glp"),"ECO",IF(K392="electrico","CERO",IF(K392="gasolina",IF(M392&gt;=GAS_C,"C",IF(M392&gt;=GAS_B,"B","A")),IF(K392="diesel",IF(M392&gt;=DIE_C,"C",IF(M392&gt;=DIE_B,"B","A")),""))))</f>
        <v/>
      </c>
      <c r="BG392" s="3">
        <f>IFERROR(VLOOKUP(F392,MOD_TBL,11,0),IFERROR(VLOOKUP(E392,OCU_TBL,2,0),NEUTRO))</f>
        <v/>
      </c>
      <c r="BH392" s="3">
        <f>SUMIFS(MOT_AJUSTE,MOT_MOTOR,G392,MOT_MARCA,E392,MOT_DESDE,"&lt;="&amp;M392,MOT_HASTA,"&gt;="&amp;M392)+SUMIFS(MOT_AJUSTE,MOT_MOTOR,G392,MOT_MARCA,"(todas)",MOT_DESDE,"&lt;="&amp;M392,MOT_HASTA,"&gt;="&amp;M392)</f>
        <v/>
      </c>
      <c r="BI392" s="3">
        <f>SUMIFS(COMB_AJUSTE,COMB_COMB,K392)</f>
        <v/>
      </c>
      <c r="BJ392" s="3">
        <f>COUNTIFS(MOT_MOTOR,G392,MOT_MARCA,E392,MOT_DESDE,"&lt;="&amp;M392,MOT_HASTA,"&gt;="&amp;M392)+COUNTIFS(MOT_MOTOR,G392,MOT_MARCA,"(todas)",MOT_DESDE,"&lt;="&amp;M392,MOT_HASTA,"&gt;="&amp;M392)</f>
        <v/>
      </c>
      <c r="BK392" s="3">
        <f>IF(AND(K392="diesel",BJ392=0),MIN(BG392,NEUTRO),BG392)</f>
        <v/>
      </c>
      <c r="BL392" s="4">
        <f>MAX(0,MIN(100,BK392+BH392+BI392))</f>
        <v/>
      </c>
      <c r="BM392" s="3">
        <f>MAX(0,MIN(100,50+BE392*PRECIO_PEND))</f>
        <v/>
      </c>
      <c r="BN392" s="3">
        <f>MAX(0,100*(1-N392/KM_MAX))</f>
        <v/>
      </c>
      <c r="BO392" s="3">
        <f>IF(AV392&lt;KMA_SOSP,IF(AA392="sí",100,KMA_PEN),IF(AV392&lt;=KMA_IDEAL_MAX,100,MAX(0,100*(KMA_CERO-AV392)/(KMA_CERO-KMA_IDEAL_MAX))))</f>
        <v/>
      </c>
      <c r="BP392" s="3">
        <f>MAX(0,MIN(100,100*(M392-ANIO_MIN)/(ANIO_ACTUAL-ANIO_MIN)))</f>
        <v/>
      </c>
      <c r="BQ392" s="3">
        <f>W_KMT*BN392+W_KMA*BO392+W_EDAD*BP392</f>
        <v/>
      </c>
      <c r="BR392" s="3">
        <f>P_ITV*(V392="sí")+P_LIBRO*(W392="sí")+P_CORREA*(X392="sí")+P_PROP*(Y392=1)+P_GAR*(Z392="sí")+P_FOTOS*MIN(1,N(U392)/FOTOS_OBJ)</f>
        <v/>
      </c>
      <c r="BS392" s="3">
        <f>IFERROR(VLOOKUP(BF392,ETQ_TBL,2,0),NEUTRO)</f>
        <v/>
      </c>
      <c r="BT392" s="3">
        <f>NEUTRO</f>
        <v/>
      </c>
      <c r="BU392" s="3">
        <f>IFERROR(VLOOKUP(L392,SEGURO_TBL,3,0),"")</f>
        <v/>
      </c>
      <c r="BV392" s="3">
        <f>IF(BU392="",NEUTRO,MAX(0,MIN(100,100*(SEG_REF_MAX-BU392)/(SEG_REF_MAX-SEG_REF_MIN))))</f>
        <v/>
      </c>
      <c r="BW392" s="3">
        <f>W_ET*BS392+W_CONS*BT392+W_SEG*BV392</f>
        <v/>
      </c>
      <c r="BX392" s="3">
        <f>IF(N(AB392)&gt;0,AB392,IF(AND(R392="profesional",SG_LEGAL_ON=1),GAR_LEGAL,0))</f>
        <v/>
      </c>
      <c r="BY392" s="3">
        <f>SG_GAR*MIN(1,BX392/SG_GAR_FULL)+SG_AMPL*(AC392="sí")+SG_KMC*(AF392="sí")+SG_REV*(N(AE392)&gt;0)+SG_DEV*MIN(1,N(AG392)/SG_DEV_FULL)+SG_HIST*(W392="sí")</f>
        <v/>
      </c>
      <c r="BZ392" s="3">
        <f>IFERROR(VLOOKUP(L392,CARR_PEN_TBL,2,0),0)</f>
        <v/>
      </c>
      <c r="CA392" s="3">
        <f>W_FIAB*BL392+W_PRECIO*BM392+W_KMEDAD*BQ392+W_ANUNCIO*BR392+W_USO*BW392+W_SEGURIDAD*BY392-BZ392</f>
        <v/>
      </c>
      <c r="CB392" s="4">
        <f>IF(N(I392)&gt;0,I392,IFERROR(ROUND(_xlfn.NUMBERVALUE(LEFT(G392,FIND(" ",G392&amp;" ")-1),".")*1000,0),99999))</f>
        <v/>
      </c>
      <c r="CC392" s="3">
        <f>IF(R392="profesional",0,IF(O392&lt;CUOTA_VALOR_MAX,IF(AU392&gt;ITP_TRAMO_ALTO,SUMIFS(CF_CUOTA,CF_MAS,ITP_TRAMO_ALTO,CF_CCMIN,"&lt;="&amp;CB392,CF_CCMAX,"&gt;="&amp;CB392),IF(AU392&gt;ITP_TRAMO_BAJO,SUMIFS(CF_CUOTA,CF_MAS,ITP_TRAMO_BAJO,CF_CCMIN,"&lt;="&amp;CB392,CF_CCMAX,"&gt;="&amp;CB392),O392*ITP_TIPO)),O392*ITP_TIPO))</f>
        <v/>
      </c>
      <c r="CD392" s="4">
        <f>IF(R392="profesional",N(AK392),0)</f>
        <v/>
      </c>
      <c r="CE392" s="3">
        <f>IF(AND(R392="profesional",ISNUMBER(AK392),AL392="sí"),0,TASA_DGT)</f>
        <v/>
      </c>
      <c r="CF392" s="3">
        <f>INFORME_DGT</f>
        <v/>
      </c>
      <c r="CG392" s="4">
        <f>O392+CD392+CC392+CE392+CF392</f>
        <v/>
      </c>
      <c r="CH392" s="4">
        <f>CG392+N(BU392)</f>
        <v/>
      </c>
      <c r="CI392" s="3">
        <f>IF(CG392&lt;=TOTAL_MAX,"sí",IF(CG392&lt;=TOTAL_MAX+MARGEN_NEG,"negociar","no"))</f>
        <v/>
      </c>
      <c r="CJ392" s="4">
        <f>IF(CI392&lt;&gt;"no",COUNTIFS($CI$2:$CI$662,"&lt;&gt;no",$CA$2:$CA$662,"&gt;"&amp;CA392)+COUNTIFS($CI$2:CI392,"&lt;&gt;no",$CA$2:CA392,CA392),"")</f>
        <v/>
      </c>
    </row>
    <row r="393">
      <c r="A393" s="2" t="inlineStr">
        <is>
          <t>wallapop:1215062849</t>
        </is>
      </c>
      <c r="B393" s="2" t="inlineStr">
        <is>
          <t>wallapop</t>
        </is>
      </c>
      <c r="C393" s="2" t="inlineStr">
        <is>
          <t>https://es.wallapop.com/item/nissan-micra-2006-1215062849</t>
        </is>
      </c>
      <c r="D393" s="2" t="inlineStr">
        <is>
          <t>Nissan Micra 2006</t>
        </is>
      </c>
      <c r="E393" s="2" t="inlineStr">
        <is>
          <t>Nissan</t>
        </is>
      </c>
      <c r="F393" s="2" t="inlineStr">
        <is>
          <t>Nissan Micra</t>
        </is>
      </c>
      <c r="G393" s="2" t="inlineStr">
        <is>
          <t>1.2</t>
        </is>
      </c>
      <c r="H393" s="2" t="inlineStr">
        <is>
          <t>1.2i 80 Visia Plus 5p</t>
        </is>
      </c>
      <c r="I393" s="2" t="n"/>
      <c r="J393" s="2" t="n">
        <v>80</v>
      </c>
      <c r="K393" s="2" t="inlineStr">
        <is>
          <t>gasolina</t>
        </is>
      </c>
      <c r="L393" s="2" t="inlineStr">
        <is>
          <t>utilitario</t>
        </is>
      </c>
      <c r="M393" s="2" t="n">
        <v>2006</v>
      </c>
      <c r="N393" s="2" t="n">
        <v>160000</v>
      </c>
      <c r="O393" s="2" t="n">
        <v>3000</v>
      </c>
      <c r="P393" s="2" t="inlineStr">
        <is>
          <t>manual</t>
        </is>
      </c>
      <c r="Q393" s="2" t="inlineStr">
        <is>
          <t>no</t>
        </is>
      </c>
      <c r="R393" s="2" t="inlineStr">
        <is>
          <t>particular</t>
        </is>
      </c>
      <c r="S393" s="2" t="inlineStr">
        <is>
          <t>Valencia (46002)</t>
        </is>
      </c>
      <c r="T393" s="2" t="inlineStr">
        <is>
          <t>2026-10-08T16:14:04</t>
        </is>
      </c>
      <c r="U393" s="2" t="n">
        <v>4</v>
      </c>
      <c r="V393" s="2" t="n"/>
      <c r="W393" s="2" t="n"/>
      <c r="X393" s="2" t="n"/>
      <c r="Y393" s="2" t="n"/>
      <c r="Z393" s="2" t="n"/>
      <c r="AA393" s="2" t="n"/>
      <c r="AB393" s="2" t="n"/>
      <c r="AC393" s="2" t="n"/>
      <c r="AD393" s="2" t="n"/>
      <c r="AE393" s="2" t="n"/>
      <c r="AF393" s="2" t="n"/>
      <c r="AG393" s="2" t="n"/>
      <c r="AH393" s="2" t="n"/>
      <c r="AI393" s="2" t="n"/>
      <c r="AJ393" s="2" t="n"/>
      <c r="AK393" s="2" t="n"/>
      <c r="AL393" s="2" t="n"/>
      <c r="AM393" s="2" t="n">
        <v>1</v>
      </c>
      <c r="AN393" s="2" t="n">
        <v>2500</v>
      </c>
      <c r="AO393" s="2" t="n">
        <v>5</v>
      </c>
      <c r="AP393" s="2" t="inlineStr">
        <is>
          <t>modelo+año+km</t>
        </is>
      </c>
      <c r="AQ393" s="2" t="n"/>
      <c r="AR393" s="2" t="inlineStr">
        <is>
          <t>cuota fija ITP: &gt;12 años, hasta 1.500 cc</t>
        </is>
      </c>
      <c r="AS393" s="2" t="inlineStr">
        <is>
          <t xml:space="preserve">Verde lima </t>
        </is>
      </c>
      <c r="AT393" s="2" t="inlineStr">
        <is>
          <t>https://es.wallapop.com/item/nissan-micra-2006-1215062849 (__NEXT_DATA__ item) /home/user/Alopecia/buscador-coches/raw/wallapop/a64993cbac8b377a.json</t>
        </is>
      </c>
      <c r="AU393" s="3">
        <f>MAX(ANIO_ACTUAL-M393,0)</f>
        <v/>
      </c>
      <c r="AV393" s="4">
        <f>N393/MAX(AU393,0.5)</f>
        <v/>
      </c>
      <c r="AW393" s="4">
        <f>F393</f>
        <v/>
      </c>
      <c r="AX393" s="3">
        <f>AW393&amp;"|"&amp;INT(M393/SEG_ANIO)*SEG_ANIO</f>
        <v/>
      </c>
      <c r="AY393" s="3">
        <f>AX393&amp;"|"&amp;INT(N393/SEG_KM)*SEG_KM</f>
        <v/>
      </c>
      <c r="AZ393" s="4">
        <f>COUNTIF($AW$2:$AW$662,AW393)</f>
        <v/>
      </c>
      <c r="BA393" s="4">
        <f>COUNTIF($AX$2:$AX$662,AX393)</f>
        <v/>
      </c>
      <c r="BB393" s="4">
        <f>COUNTIF($AY$2:$AY$662,AY393)</f>
        <v/>
      </c>
      <c r="BC393" s="3">
        <f t="array" ref="BC393">IF(N(AO393)&gt;=MIN_N,AN393,IF(BB393&gt;=MIN_N,MEDIAN(IF($AY$2:$AY$662=AY393,$O$2:$O$662)),IF(BA393&gt;=MIN_N,MEDIAN(IF($AX$2:$AX$662=AX393,$O$2:$O$662)),MEDIAN(IF($AW$2:$AW$662=AW393,$O$2:$O$662)))))</f>
        <v/>
      </c>
      <c r="BD393" s="3">
        <f>IF(N(AO393)&gt;=MIN_N,"mercado "&amp;AP393,IF(BB393&gt;=MIN_N,"modelo+año+km",IF(BA393&gt;=MIN_N,"modelo+año","modelo")))</f>
        <v/>
      </c>
      <c r="BE393" s="4">
        <f>(BC393-O393)/BC393</f>
        <v/>
      </c>
      <c r="BF393" s="3">
        <f>IF(OR(K393="hibrido",K393="glp"),"ECO",IF(K393="electrico","CERO",IF(K393="gasolina",IF(M393&gt;=GAS_C,"C",IF(M393&gt;=GAS_B,"B","A")),IF(K393="diesel",IF(M393&gt;=DIE_C,"C",IF(M393&gt;=DIE_B,"B","A")),""))))</f>
        <v/>
      </c>
      <c r="BG393" s="3">
        <f>IFERROR(VLOOKUP(F393,MOD_TBL,11,0),IFERROR(VLOOKUP(E393,OCU_TBL,2,0),NEUTRO))</f>
        <v/>
      </c>
      <c r="BH393" s="3">
        <f>SUMIFS(MOT_AJUSTE,MOT_MOTOR,G393,MOT_MARCA,E393,MOT_DESDE,"&lt;="&amp;M393,MOT_HASTA,"&gt;="&amp;M393)+SUMIFS(MOT_AJUSTE,MOT_MOTOR,G393,MOT_MARCA,"(todas)",MOT_DESDE,"&lt;="&amp;M393,MOT_HASTA,"&gt;="&amp;M393)</f>
        <v/>
      </c>
      <c r="BI393" s="3">
        <f>SUMIFS(COMB_AJUSTE,COMB_COMB,K393)</f>
        <v/>
      </c>
      <c r="BJ393" s="3">
        <f>COUNTIFS(MOT_MOTOR,G393,MOT_MARCA,E393,MOT_DESDE,"&lt;="&amp;M393,MOT_HASTA,"&gt;="&amp;M393)+COUNTIFS(MOT_MOTOR,G393,MOT_MARCA,"(todas)",MOT_DESDE,"&lt;="&amp;M393,MOT_HASTA,"&gt;="&amp;M393)</f>
        <v/>
      </c>
      <c r="BK393" s="3">
        <f>IF(AND(K393="diesel",BJ393=0),MIN(BG393,NEUTRO),BG393)</f>
        <v/>
      </c>
      <c r="BL393" s="4">
        <f>MAX(0,MIN(100,BK393+BH393+BI393))</f>
        <v/>
      </c>
      <c r="BM393" s="3">
        <f>MAX(0,MIN(100,50+BE393*PRECIO_PEND))</f>
        <v/>
      </c>
      <c r="BN393" s="3">
        <f>MAX(0,100*(1-N393/KM_MAX))</f>
        <v/>
      </c>
      <c r="BO393" s="3">
        <f>IF(AV393&lt;KMA_SOSP,IF(AA393="sí",100,KMA_PEN),IF(AV393&lt;=KMA_IDEAL_MAX,100,MAX(0,100*(KMA_CERO-AV393)/(KMA_CERO-KMA_IDEAL_MAX))))</f>
        <v/>
      </c>
      <c r="BP393" s="3">
        <f>MAX(0,MIN(100,100*(M393-ANIO_MIN)/(ANIO_ACTUAL-ANIO_MIN)))</f>
        <v/>
      </c>
      <c r="BQ393" s="3">
        <f>W_KMT*BN393+W_KMA*BO393+W_EDAD*BP393</f>
        <v/>
      </c>
      <c r="BR393" s="3">
        <f>P_ITV*(V393="sí")+P_LIBRO*(W393="sí")+P_CORREA*(X393="sí")+P_PROP*(Y393=1)+P_GAR*(Z393="sí")+P_FOTOS*MIN(1,N(U393)/FOTOS_OBJ)</f>
        <v/>
      </c>
      <c r="BS393" s="3">
        <f>IFERROR(VLOOKUP(BF393,ETQ_TBL,2,0),NEUTRO)</f>
        <v/>
      </c>
      <c r="BT393" s="3">
        <f>NEUTRO</f>
        <v/>
      </c>
      <c r="BU393" s="3">
        <f>IFERROR(VLOOKUP(L393,SEGURO_TBL,3,0),"")</f>
        <v/>
      </c>
      <c r="BV393" s="3">
        <f>IF(BU393="",NEUTRO,MAX(0,MIN(100,100*(SEG_REF_MAX-BU393)/(SEG_REF_MAX-SEG_REF_MIN))))</f>
        <v/>
      </c>
      <c r="BW393" s="3">
        <f>W_ET*BS393+W_CONS*BT393+W_SEG*BV393</f>
        <v/>
      </c>
      <c r="BX393" s="3">
        <f>IF(N(AB393)&gt;0,AB393,IF(AND(R393="profesional",SG_LEGAL_ON=1),GAR_LEGAL,0))</f>
        <v/>
      </c>
      <c r="BY393" s="3">
        <f>SG_GAR*MIN(1,BX393/SG_GAR_FULL)+SG_AMPL*(AC393="sí")+SG_KMC*(AF393="sí")+SG_REV*(N(AE393)&gt;0)+SG_DEV*MIN(1,N(AG393)/SG_DEV_FULL)+SG_HIST*(W393="sí")</f>
        <v/>
      </c>
      <c r="BZ393" s="3">
        <f>IFERROR(VLOOKUP(L393,CARR_PEN_TBL,2,0),0)</f>
        <v/>
      </c>
      <c r="CA393" s="3">
        <f>W_FIAB*BL393+W_PRECIO*BM393+W_KMEDAD*BQ393+W_ANUNCIO*BR393+W_USO*BW393+W_SEGURIDAD*BY393-BZ393</f>
        <v/>
      </c>
      <c r="CB393" s="4">
        <f>IF(N(I393)&gt;0,I393,IFERROR(ROUND(_xlfn.NUMBERVALUE(LEFT(G393,FIND(" ",G393&amp;" ")-1),".")*1000,0),99999))</f>
        <v/>
      </c>
      <c r="CC393" s="3">
        <f>IF(R393="profesional",0,IF(O393&lt;CUOTA_VALOR_MAX,IF(AU393&gt;ITP_TRAMO_ALTO,SUMIFS(CF_CUOTA,CF_MAS,ITP_TRAMO_ALTO,CF_CCMIN,"&lt;="&amp;CB393,CF_CCMAX,"&gt;="&amp;CB393),IF(AU393&gt;ITP_TRAMO_BAJO,SUMIFS(CF_CUOTA,CF_MAS,ITP_TRAMO_BAJO,CF_CCMIN,"&lt;="&amp;CB393,CF_CCMAX,"&gt;="&amp;CB393),O393*ITP_TIPO)),O393*ITP_TIPO))</f>
        <v/>
      </c>
      <c r="CD393" s="4">
        <f>IF(R393="profesional",N(AK393),0)</f>
        <v/>
      </c>
      <c r="CE393" s="3">
        <f>IF(AND(R393="profesional",ISNUMBER(AK393),AL393="sí"),0,TASA_DGT)</f>
        <v/>
      </c>
      <c r="CF393" s="3">
        <f>INFORME_DGT</f>
        <v/>
      </c>
      <c r="CG393" s="4">
        <f>O393+CD393+CC393+CE393+CF393</f>
        <v/>
      </c>
      <c r="CH393" s="4">
        <f>CG393+N(BU393)</f>
        <v/>
      </c>
      <c r="CI393" s="3">
        <f>IF(CG393&lt;=TOTAL_MAX,"sí",IF(CG393&lt;=TOTAL_MAX+MARGEN_NEG,"negociar","no"))</f>
        <v/>
      </c>
      <c r="CJ393" s="4">
        <f>IF(CI393&lt;&gt;"no",COUNTIFS($CI$2:$CI$662,"&lt;&gt;no",$CA$2:$CA$662,"&gt;"&amp;CA393)+COUNTIFS($CI$2:CI393,"&lt;&gt;no",$CA$2:CA393,CA393),"")</f>
        <v/>
      </c>
    </row>
    <row r="394">
      <c r="A394" s="2" t="inlineStr">
        <is>
          <t>wallapop:1308792677</t>
        </is>
      </c>
      <c r="B394" s="2" t="inlineStr">
        <is>
          <t>wallapop</t>
        </is>
      </c>
      <c r="C394" s="2" t="inlineStr">
        <is>
          <t>https://es.wallapop.com/item/suzuki-swift-2006-1308792677</t>
        </is>
      </c>
      <c r="D394" s="2" t="inlineStr">
        <is>
          <t>Suzuki Swift 2006</t>
        </is>
      </c>
      <c r="E394" s="2" t="inlineStr">
        <is>
          <t>Suzuki</t>
        </is>
      </c>
      <c r="F394" s="2" t="inlineStr">
        <is>
          <t>Suzuki Swift</t>
        </is>
      </c>
      <c r="G394" s="2" t="inlineStr">
        <is>
          <t>1.3</t>
        </is>
      </c>
      <c r="H394" s="2" t="inlineStr">
        <is>
          <t>1.3 ddis 69 glx 5p</t>
        </is>
      </c>
      <c r="I394" s="2" t="n"/>
      <c r="J394" s="2" t="n">
        <v>70</v>
      </c>
      <c r="K394" s="2" t="inlineStr">
        <is>
          <t>diesel</t>
        </is>
      </c>
      <c r="L394" s="2" t="inlineStr">
        <is>
          <t>utilitario</t>
        </is>
      </c>
      <c r="M394" s="2" t="n">
        <v>2006</v>
      </c>
      <c r="N394" s="2" t="n">
        <v>122000</v>
      </c>
      <c r="O394" s="2" t="n">
        <v>3475</v>
      </c>
      <c r="P394" s="2" t="inlineStr">
        <is>
          <t>manual</t>
        </is>
      </c>
      <c r="Q394" s="2" t="inlineStr">
        <is>
          <t>no</t>
        </is>
      </c>
      <c r="R394" s="2" t="inlineStr">
        <is>
          <t>particular</t>
        </is>
      </c>
      <c r="S394" s="2" t="inlineStr">
        <is>
          <t>Valencia (46003)</t>
        </is>
      </c>
      <c r="T394" s="2" t="inlineStr">
        <is>
          <t>2026-10-31T11:16:15</t>
        </is>
      </c>
      <c r="U394" s="2" t="n">
        <v>10</v>
      </c>
      <c r="V394" s="2" t="inlineStr">
        <is>
          <t>sí</t>
        </is>
      </c>
      <c r="W394" s="2" t="n"/>
      <c r="X394" s="2" t="n"/>
      <c r="Y394" s="2" t="n"/>
      <c r="Z394" s="2" t="n"/>
      <c r="AA394" s="2" t="n"/>
      <c r="AB394" s="2" t="n"/>
      <c r="AC394" s="2" t="n"/>
      <c r="AD394" s="2" t="n"/>
      <c r="AE394" s="2" t="n"/>
      <c r="AF394" s="2" t="n"/>
      <c r="AG394" s="2" t="n"/>
      <c r="AH394" s="2" t="n"/>
      <c r="AI394" s="2" t="n"/>
      <c r="AJ394" s="2" t="n"/>
      <c r="AK394" s="2" t="n"/>
      <c r="AL394" s="2" t="n"/>
      <c r="AM394" s="2" t="n">
        <v>0.4</v>
      </c>
      <c r="AN394" s="2" t="n">
        <v>3475</v>
      </c>
      <c r="AO394" s="2" t="n">
        <v>5</v>
      </c>
      <c r="AP394" s="2" t="inlineStr">
        <is>
          <t>modelo+año</t>
        </is>
      </c>
      <c r="AQ394" s="2" t="n"/>
      <c r="AR394" s="2" t="inlineStr">
        <is>
          <t>cuota fija ITP: &gt;12 años, hasta 1.500 cc; diésel: motor sin fuente de fiabilidad (fiabilidad limitada a neutra)</t>
        </is>
      </c>
      <c r="AS394" s="2" t="inlineStr">
        <is>
          <t>-Vendo Suzuki Swift 1.3 Ddis diesel del 2006 de 70cv con 122000km, precio algo negociable 
-Vendo el coche porque tengo otro y no voy a usar este, tiene pastillas, discos de freno, aceite y filtros cambiado hace menos de 3000km, la batería tiene 2 años se le cambió el alternador hace tiempo y los faros están pulidos, ITV pasada hace menos de un mes.
-Distribucion por cadena
-Tengo informe carfax de cuando lo compré, lo paso por privado si me escribes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de ahí su precio 
-Ideal como primer coche o coche para ir al trabajo, no consume nada.
-Cualquier duda o consulta no dudes en escribir, el coche se puede ver en Valencia</t>
        </is>
      </c>
      <c r="AT394" s="2" t="inlineStr">
        <is>
          <t>https://es.wallapop.com/item/suzuki-swift-2006-1308792677 (__NEXT_DATA__ item) /home/user/Alopecia/buscador-coches/raw/wallapop/3e07ac0f485f0795.json</t>
        </is>
      </c>
      <c r="AU394" s="3">
        <f>MAX(ANIO_ACTUAL-M394,0)</f>
        <v/>
      </c>
      <c r="AV394" s="4">
        <f>N394/MAX(AU394,0.5)</f>
        <v/>
      </c>
      <c r="AW394" s="4">
        <f>F394</f>
        <v/>
      </c>
      <c r="AX394" s="3">
        <f>AW394&amp;"|"&amp;INT(M394/SEG_ANIO)*SEG_ANIO</f>
        <v/>
      </c>
      <c r="AY394" s="3">
        <f>AX394&amp;"|"&amp;INT(N394/SEG_KM)*SEG_KM</f>
        <v/>
      </c>
      <c r="AZ394" s="4">
        <f>COUNTIF($AW$2:$AW$662,AW394)</f>
        <v/>
      </c>
      <c r="BA394" s="4">
        <f>COUNTIF($AX$2:$AX$662,AX394)</f>
        <v/>
      </c>
      <c r="BB394" s="4">
        <f>COUNTIF($AY$2:$AY$662,AY394)</f>
        <v/>
      </c>
      <c r="BC394" s="3">
        <f t="array" ref="BC394">IF(N(AO394)&gt;=MIN_N,AN394,IF(BB394&gt;=MIN_N,MEDIAN(IF($AY$2:$AY$662=AY394,$O$2:$O$662)),IF(BA394&gt;=MIN_N,MEDIAN(IF($AX$2:$AX$662=AX394,$O$2:$O$662)),MEDIAN(IF($AW$2:$AW$662=AW394,$O$2:$O$662)))))</f>
        <v/>
      </c>
      <c r="BD394" s="3">
        <f>IF(N(AO394)&gt;=MIN_N,"mercado "&amp;AP394,IF(BB394&gt;=MIN_N,"modelo+año+km",IF(BA394&gt;=MIN_N,"modelo+año","modelo")))</f>
        <v/>
      </c>
      <c r="BE394" s="4">
        <f>(BC394-O394)/BC394</f>
        <v/>
      </c>
      <c r="BF394" s="3">
        <f>IF(OR(K394="hibrido",K394="glp"),"ECO",IF(K394="electrico","CERO",IF(K394="gasolina",IF(M394&gt;=GAS_C,"C",IF(M394&gt;=GAS_B,"B","A")),IF(K394="diesel",IF(M394&gt;=DIE_C,"C",IF(M394&gt;=DIE_B,"B","A")),""))))</f>
        <v/>
      </c>
      <c r="BG394" s="3">
        <f>IFERROR(VLOOKUP(F394,MOD_TBL,11,0),IFERROR(VLOOKUP(E394,OCU_TBL,2,0),NEUTRO))</f>
        <v/>
      </c>
      <c r="BH394" s="3">
        <f>SUMIFS(MOT_AJUSTE,MOT_MOTOR,G394,MOT_MARCA,E394,MOT_DESDE,"&lt;="&amp;M394,MOT_HASTA,"&gt;="&amp;M394)+SUMIFS(MOT_AJUSTE,MOT_MOTOR,G394,MOT_MARCA,"(todas)",MOT_DESDE,"&lt;="&amp;M394,MOT_HASTA,"&gt;="&amp;M394)</f>
        <v/>
      </c>
      <c r="BI394" s="3">
        <f>SUMIFS(COMB_AJUSTE,COMB_COMB,K394)</f>
        <v/>
      </c>
      <c r="BJ394" s="3">
        <f>COUNTIFS(MOT_MOTOR,G394,MOT_MARCA,E394,MOT_DESDE,"&lt;="&amp;M394,MOT_HASTA,"&gt;="&amp;M394)+COUNTIFS(MOT_MOTOR,G394,MOT_MARCA,"(todas)",MOT_DESDE,"&lt;="&amp;M394,MOT_HASTA,"&gt;="&amp;M394)</f>
        <v/>
      </c>
      <c r="BK394" s="3">
        <f>IF(AND(K394="diesel",BJ394=0),MIN(BG394,NEUTRO),BG394)</f>
        <v/>
      </c>
      <c r="BL394" s="4">
        <f>MAX(0,MIN(100,BK394+BH394+BI394))</f>
        <v/>
      </c>
      <c r="BM394" s="3">
        <f>MAX(0,MIN(100,50+BE394*PRECIO_PEND))</f>
        <v/>
      </c>
      <c r="BN394" s="3">
        <f>MAX(0,100*(1-N394/KM_MAX))</f>
        <v/>
      </c>
      <c r="BO394" s="3">
        <f>IF(AV394&lt;KMA_SOSP,IF(AA394="sí",100,KMA_PEN),IF(AV394&lt;=KMA_IDEAL_MAX,100,MAX(0,100*(KMA_CERO-AV394)/(KMA_CERO-KMA_IDEAL_MAX))))</f>
        <v/>
      </c>
      <c r="BP394" s="3">
        <f>MAX(0,MIN(100,100*(M394-ANIO_MIN)/(ANIO_ACTUAL-ANIO_MIN)))</f>
        <v/>
      </c>
      <c r="BQ394" s="3">
        <f>W_KMT*BN394+W_KMA*BO394+W_EDAD*BP394</f>
        <v/>
      </c>
      <c r="BR394" s="3">
        <f>P_ITV*(V394="sí")+P_LIBRO*(W394="sí")+P_CORREA*(X394="sí")+P_PROP*(Y394=1)+P_GAR*(Z394="sí")+P_FOTOS*MIN(1,N(U394)/FOTOS_OBJ)</f>
        <v/>
      </c>
      <c r="BS394" s="3">
        <f>IFERROR(VLOOKUP(BF394,ETQ_TBL,2,0),NEUTRO)</f>
        <v/>
      </c>
      <c r="BT394" s="3">
        <f>NEUTRO</f>
        <v/>
      </c>
      <c r="BU394" s="3">
        <f>IFERROR(VLOOKUP(L394,SEGURO_TBL,3,0),"")</f>
        <v/>
      </c>
      <c r="BV394" s="3">
        <f>IF(BU394="",NEUTRO,MAX(0,MIN(100,100*(SEG_REF_MAX-BU394)/(SEG_REF_MAX-SEG_REF_MIN))))</f>
        <v/>
      </c>
      <c r="BW394" s="3">
        <f>W_ET*BS394+W_CONS*BT394+W_SEG*BV394</f>
        <v/>
      </c>
      <c r="BX394" s="3">
        <f>IF(N(AB394)&gt;0,AB394,IF(AND(R394="profesional",SG_LEGAL_ON=1),GAR_LEGAL,0))</f>
        <v/>
      </c>
      <c r="BY394" s="3">
        <f>SG_GAR*MIN(1,BX394/SG_GAR_FULL)+SG_AMPL*(AC394="sí")+SG_KMC*(AF394="sí")+SG_REV*(N(AE394)&gt;0)+SG_DEV*MIN(1,N(AG394)/SG_DEV_FULL)+SG_HIST*(W394="sí")</f>
        <v/>
      </c>
      <c r="BZ394" s="3">
        <f>IFERROR(VLOOKUP(L394,CARR_PEN_TBL,2,0),0)</f>
        <v/>
      </c>
      <c r="CA394" s="3">
        <f>W_FIAB*BL394+W_PRECIO*BM394+W_KMEDAD*BQ394+W_ANUNCIO*BR394+W_USO*BW394+W_SEGURIDAD*BY394-BZ394</f>
        <v/>
      </c>
      <c r="CB394" s="4">
        <f>IF(N(I394)&gt;0,I394,IFERROR(ROUND(_xlfn.NUMBERVALUE(LEFT(G394,FIND(" ",G394&amp;" ")-1),".")*1000,0),99999))</f>
        <v/>
      </c>
      <c r="CC394" s="3">
        <f>IF(R394="profesional",0,IF(O394&lt;CUOTA_VALOR_MAX,IF(AU394&gt;ITP_TRAMO_ALTO,SUMIFS(CF_CUOTA,CF_MAS,ITP_TRAMO_ALTO,CF_CCMIN,"&lt;="&amp;CB394,CF_CCMAX,"&gt;="&amp;CB394),IF(AU394&gt;ITP_TRAMO_BAJO,SUMIFS(CF_CUOTA,CF_MAS,ITP_TRAMO_BAJO,CF_CCMIN,"&lt;="&amp;CB394,CF_CCMAX,"&gt;="&amp;CB394),O394*ITP_TIPO)),O394*ITP_TIPO))</f>
        <v/>
      </c>
      <c r="CD394" s="4">
        <f>IF(R394="profesional",N(AK394),0)</f>
        <v/>
      </c>
      <c r="CE394" s="3">
        <f>IF(AND(R394="profesional",ISNUMBER(AK394),AL394="sí"),0,TASA_DGT)</f>
        <v/>
      </c>
      <c r="CF394" s="3">
        <f>INFORME_DGT</f>
        <v/>
      </c>
      <c r="CG394" s="4">
        <f>O394+CD394+CC394+CE394+CF394</f>
        <v/>
      </c>
      <c r="CH394" s="4">
        <f>CG394+N(BU394)</f>
        <v/>
      </c>
      <c r="CI394" s="3">
        <f>IF(CG394&lt;=TOTAL_MAX,"sí",IF(CG394&lt;=TOTAL_MAX+MARGEN_NEG,"negociar","no"))</f>
        <v/>
      </c>
      <c r="CJ394" s="4">
        <f>IF(CI394&lt;&gt;"no",COUNTIFS($CI$2:$CI$662,"&lt;&gt;no",$CA$2:$CA$662,"&gt;"&amp;CA394)+COUNTIFS($CI$2:CI394,"&lt;&gt;no",$CA$2:CA394,CA394),"")</f>
        <v/>
      </c>
    </row>
    <row r="395">
      <c r="A395" s="2" t="inlineStr">
        <is>
          <t>wallapop:1317562817</t>
        </is>
      </c>
      <c r="B395" s="2" t="inlineStr">
        <is>
          <t>wallapop</t>
        </is>
      </c>
      <c r="C395" s="2" t="inlineStr">
        <is>
          <t>https://es.wallapop.com/item/mitsubishi-colt-2006-1317562817</t>
        </is>
      </c>
      <c r="D395" s="2" t="inlineStr">
        <is>
          <t>Mitsubishi Colt 2006</t>
        </is>
      </c>
      <c r="E395" s="2" t="inlineStr">
        <is>
          <t>Mitsubishi</t>
        </is>
      </c>
      <c r="F395" s="2" t="inlineStr">
        <is>
          <t>Mitsubishi Colt</t>
        </is>
      </c>
      <c r="G395" s="2" t="inlineStr">
        <is>
          <t>1.3</t>
        </is>
      </c>
      <c r="H395" s="2" t="inlineStr">
        <is>
          <t>1.3 16v 95 Inform 5p</t>
        </is>
      </c>
      <c r="I395" s="2" t="n"/>
      <c r="J395" s="2" t="n">
        <v>95</v>
      </c>
      <c r="K395" s="2" t="inlineStr">
        <is>
          <t>gasolina</t>
        </is>
      </c>
      <c r="L395" s="2" t="inlineStr">
        <is>
          <t>utilitario</t>
        </is>
      </c>
      <c r="M395" s="2" t="n">
        <v>2006</v>
      </c>
      <c r="N395" s="2" t="n">
        <v>156000</v>
      </c>
      <c r="O395" s="2" t="n">
        <v>2600</v>
      </c>
      <c r="P395" s="2" t="inlineStr">
        <is>
          <t>manual</t>
        </is>
      </c>
      <c r="Q395" s="2" t="inlineStr">
        <is>
          <t>no</t>
        </is>
      </c>
      <c r="R395" s="2" t="inlineStr">
        <is>
          <t>particular</t>
        </is>
      </c>
      <c r="S395" s="2" t="inlineStr">
        <is>
          <t>Valencia (46015)</t>
        </is>
      </c>
      <c r="T395" s="2" t="inlineStr">
        <is>
          <t>2026-10-26T23:15:37</t>
        </is>
      </c>
      <c r="U395" s="2" t="n">
        <v>9</v>
      </c>
      <c r="V395" s="2" t="n"/>
      <c r="W395" s="2" t="n"/>
      <c r="X395" s="2" t="n"/>
      <c r="Y395" s="2" t="n"/>
      <c r="Z395" s="2" t="n"/>
      <c r="AA395" s="2" t="n"/>
      <c r="AB395" s="2" t="n"/>
      <c r="AC395" s="2" t="n"/>
      <c r="AD395" s="2" t="n"/>
      <c r="AE395" s="2" t="n"/>
      <c r="AF395" s="2" t="n"/>
      <c r="AG395" s="2" t="n"/>
      <c r="AH395" s="2" t="n"/>
      <c r="AI395" s="2" t="n"/>
      <c r="AJ395" s="2" t="n"/>
      <c r="AK395" s="2" t="n"/>
      <c r="AL395" s="2" t="n"/>
      <c r="AM395" s="2" t="n">
        <v>3.2</v>
      </c>
      <c r="AN395" s="2" t="n">
        <v>2600</v>
      </c>
      <c r="AO395" s="2" t="n">
        <v>5</v>
      </c>
      <c r="AP395" s="2" t="inlineStr">
        <is>
          <t>modelo+año</t>
        </is>
      </c>
      <c r="AQ395" s="2" t="n"/>
      <c r="AR395" s="2" t="inlineStr">
        <is>
          <t>cuota fija ITP: &gt;12 años, hasta 1.500 cc; fiabilidad del modelo PENDIENTE de fuente (puntuación neutra)</t>
        </is>
      </c>
      <c r="AS395" s="2" t="inlineStr">
        <is>
          <t xml:space="preserve">
Mitsubishi Colt en Valencia</t>
        </is>
      </c>
      <c r="AT395" s="2" t="inlineStr">
        <is>
          <t>https://es.wallapop.com/item/mitsubishi-colt-2006-1317562817 (__NEXT_DATA__ item) /home/user/Alopecia/buscador-coches/raw/wallapop/37ed15adb777233f.json</t>
        </is>
      </c>
      <c r="AU395" s="3">
        <f>MAX(ANIO_ACTUAL-M395,0)</f>
        <v/>
      </c>
      <c r="AV395" s="4">
        <f>N395/MAX(AU395,0.5)</f>
        <v/>
      </c>
      <c r="AW395" s="4">
        <f>F395</f>
        <v/>
      </c>
      <c r="AX395" s="3">
        <f>AW395&amp;"|"&amp;INT(M395/SEG_ANIO)*SEG_ANIO</f>
        <v/>
      </c>
      <c r="AY395" s="3">
        <f>AX395&amp;"|"&amp;INT(N395/SEG_KM)*SEG_KM</f>
        <v/>
      </c>
      <c r="AZ395" s="4">
        <f>COUNTIF($AW$2:$AW$662,AW395)</f>
        <v/>
      </c>
      <c r="BA395" s="4">
        <f>COUNTIF($AX$2:$AX$662,AX395)</f>
        <v/>
      </c>
      <c r="BB395" s="4">
        <f>COUNTIF($AY$2:$AY$662,AY395)</f>
        <v/>
      </c>
      <c r="BC395" s="3">
        <f t="array" ref="BC395">IF(N(AO395)&gt;=MIN_N,AN395,IF(BB395&gt;=MIN_N,MEDIAN(IF($AY$2:$AY$662=AY395,$O$2:$O$662)),IF(BA395&gt;=MIN_N,MEDIAN(IF($AX$2:$AX$662=AX395,$O$2:$O$662)),MEDIAN(IF($AW$2:$AW$662=AW395,$O$2:$O$662)))))</f>
        <v/>
      </c>
      <c r="BD395" s="3">
        <f>IF(N(AO395)&gt;=MIN_N,"mercado "&amp;AP395,IF(BB395&gt;=MIN_N,"modelo+año+km",IF(BA395&gt;=MIN_N,"modelo+año","modelo")))</f>
        <v/>
      </c>
      <c r="BE395" s="4">
        <f>(BC395-O395)/BC395</f>
        <v/>
      </c>
      <c r="BF395" s="3">
        <f>IF(OR(K395="hibrido",K395="glp"),"ECO",IF(K395="electrico","CERO",IF(K395="gasolina",IF(M395&gt;=GAS_C,"C",IF(M395&gt;=GAS_B,"B","A")),IF(K395="diesel",IF(M395&gt;=DIE_C,"C",IF(M395&gt;=DIE_B,"B","A")),""))))</f>
        <v/>
      </c>
      <c r="BG395" s="3">
        <f>IFERROR(VLOOKUP(F395,MOD_TBL,11,0),IFERROR(VLOOKUP(E395,OCU_TBL,2,0),NEUTRO))</f>
        <v/>
      </c>
      <c r="BH395" s="3">
        <f>SUMIFS(MOT_AJUSTE,MOT_MOTOR,G395,MOT_MARCA,E395,MOT_DESDE,"&lt;="&amp;M395,MOT_HASTA,"&gt;="&amp;M395)+SUMIFS(MOT_AJUSTE,MOT_MOTOR,G395,MOT_MARCA,"(todas)",MOT_DESDE,"&lt;="&amp;M395,MOT_HASTA,"&gt;="&amp;M395)</f>
        <v/>
      </c>
      <c r="BI395" s="3">
        <f>SUMIFS(COMB_AJUSTE,COMB_COMB,K395)</f>
        <v/>
      </c>
      <c r="BJ395" s="3">
        <f>COUNTIFS(MOT_MOTOR,G395,MOT_MARCA,E395,MOT_DESDE,"&lt;="&amp;M395,MOT_HASTA,"&gt;="&amp;M395)+COUNTIFS(MOT_MOTOR,G395,MOT_MARCA,"(todas)",MOT_DESDE,"&lt;="&amp;M395,MOT_HASTA,"&gt;="&amp;M395)</f>
        <v/>
      </c>
      <c r="BK395" s="3">
        <f>IF(AND(K395="diesel",BJ395=0),MIN(BG395,NEUTRO),BG395)</f>
        <v/>
      </c>
      <c r="BL395" s="4">
        <f>MAX(0,MIN(100,BK395+BH395+BI395))</f>
        <v/>
      </c>
      <c r="BM395" s="3">
        <f>MAX(0,MIN(100,50+BE395*PRECIO_PEND))</f>
        <v/>
      </c>
      <c r="BN395" s="3">
        <f>MAX(0,100*(1-N395/KM_MAX))</f>
        <v/>
      </c>
      <c r="BO395" s="3">
        <f>IF(AV395&lt;KMA_SOSP,IF(AA395="sí",100,KMA_PEN),IF(AV395&lt;=KMA_IDEAL_MAX,100,MAX(0,100*(KMA_CERO-AV395)/(KMA_CERO-KMA_IDEAL_MAX))))</f>
        <v/>
      </c>
      <c r="BP395" s="3">
        <f>MAX(0,MIN(100,100*(M395-ANIO_MIN)/(ANIO_ACTUAL-ANIO_MIN)))</f>
        <v/>
      </c>
      <c r="BQ395" s="3">
        <f>W_KMT*BN395+W_KMA*BO395+W_EDAD*BP395</f>
        <v/>
      </c>
      <c r="BR395" s="3">
        <f>P_ITV*(V395="sí")+P_LIBRO*(W395="sí")+P_CORREA*(X395="sí")+P_PROP*(Y395=1)+P_GAR*(Z395="sí")+P_FOTOS*MIN(1,N(U395)/FOTOS_OBJ)</f>
        <v/>
      </c>
      <c r="BS395" s="3">
        <f>IFERROR(VLOOKUP(BF395,ETQ_TBL,2,0),NEUTRO)</f>
        <v/>
      </c>
      <c r="BT395" s="3">
        <f>NEUTRO</f>
        <v/>
      </c>
      <c r="BU395" s="3">
        <f>IFERROR(VLOOKUP(L395,SEGURO_TBL,3,0),"")</f>
        <v/>
      </c>
      <c r="BV395" s="3">
        <f>IF(BU395="",NEUTRO,MAX(0,MIN(100,100*(SEG_REF_MAX-BU395)/(SEG_REF_MAX-SEG_REF_MIN))))</f>
        <v/>
      </c>
      <c r="BW395" s="3">
        <f>W_ET*BS395+W_CONS*BT395+W_SEG*BV395</f>
        <v/>
      </c>
      <c r="BX395" s="3">
        <f>IF(N(AB395)&gt;0,AB395,IF(AND(R395="profesional",SG_LEGAL_ON=1),GAR_LEGAL,0))</f>
        <v/>
      </c>
      <c r="BY395" s="3">
        <f>SG_GAR*MIN(1,BX395/SG_GAR_FULL)+SG_AMPL*(AC395="sí")+SG_KMC*(AF395="sí")+SG_REV*(N(AE395)&gt;0)+SG_DEV*MIN(1,N(AG395)/SG_DEV_FULL)+SG_HIST*(W395="sí")</f>
        <v/>
      </c>
      <c r="BZ395" s="3">
        <f>IFERROR(VLOOKUP(L395,CARR_PEN_TBL,2,0),0)</f>
        <v/>
      </c>
      <c r="CA395" s="3">
        <f>W_FIAB*BL395+W_PRECIO*BM395+W_KMEDAD*BQ395+W_ANUNCIO*BR395+W_USO*BW395+W_SEGURIDAD*BY395-BZ395</f>
        <v/>
      </c>
      <c r="CB395" s="4">
        <f>IF(N(I395)&gt;0,I395,IFERROR(ROUND(_xlfn.NUMBERVALUE(LEFT(G395,FIND(" ",G395&amp;" ")-1),".")*1000,0),99999))</f>
        <v/>
      </c>
      <c r="CC395" s="3">
        <f>IF(R395="profesional",0,IF(O395&lt;CUOTA_VALOR_MAX,IF(AU395&gt;ITP_TRAMO_ALTO,SUMIFS(CF_CUOTA,CF_MAS,ITP_TRAMO_ALTO,CF_CCMIN,"&lt;="&amp;CB395,CF_CCMAX,"&gt;="&amp;CB395),IF(AU395&gt;ITP_TRAMO_BAJO,SUMIFS(CF_CUOTA,CF_MAS,ITP_TRAMO_BAJO,CF_CCMIN,"&lt;="&amp;CB395,CF_CCMAX,"&gt;="&amp;CB395),O395*ITP_TIPO)),O395*ITP_TIPO))</f>
        <v/>
      </c>
      <c r="CD395" s="4">
        <f>IF(R395="profesional",N(AK395),0)</f>
        <v/>
      </c>
      <c r="CE395" s="3">
        <f>IF(AND(R395="profesional",ISNUMBER(AK395),AL395="sí"),0,TASA_DGT)</f>
        <v/>
      </c>
      <c r="CF395" s="3">
        <f>INFORME_DGT</f>
        <v/>
      </c>
      <c r="CG395" s="4">
        <f>O395+CD395+CC395+CE395+CF395</f>
        <v/>
      </c>
      <c r="CH395" s="4">
        <f>CG395+N(BU395)</f>
        <v/>
      </c>
      <c r="CI395" s="3">
        <f>IF(CG395&lt;=TOTAL_MAX,"sí",IF(CG395&lt;=TOTAL_MAX+MARGEN_NEG,"negociar","no"))</f>
        <v/>
      </c>
      <c r="CJ395" s="4">
        <f>IF(CI395&lt;&gt;"no",COUNTIFS($CI$2:$CI$662,"&lt;&gt;no",$CA$2:$CA$662,"&gt;"&amp;CA395)+COUNTIFS($CI$2:CI395,"&lt;&gt;no",$CA$2:CA395,CA395),"")</f>
        <v/>
      </c>
    </row>
    <row r="396">
      <c r="A396" s="2" t="inlineStr">
        <is>
          <t>wallapop:1305417932</t>
        </is>
      </c>
      <c r="B396" s="2" t="inlineStr">
        <is>
          <t>wallapop</t>
        </is>
      </c>
      <c r="C396" s="2" t="inlineStr">
        <is>
          <t>https://es.wallapop.com/item/mitsubishi-colt-1-3-16v-invite-70-kw-95-cv-1305417932</t>
        </is>
      </c>
      <c r="D396" s="2" t="inlineStr">
        <is>
          <t>Mitsubishi Colt 1.3 16v Invite 70 kW (95 CV)</t>
        </is>
      </c>
      <c r="E396" s="2" t="inlineStr">
        <is>
          <t>Mitsubishi</t>
        </is>
      </c>
      <c r="F396" s="2" t="inlineStr">
        <is>
          <t>Mitsubishi Colt</t>
        </is>
      </c>
      <c r="G396" s="2" t="inlineStr">
        <is>
          <t>1.3</t>
        </is>
      </c>
      <c r="H396" s="2" t="inlineStr">
        <is>
          <t>1.3 16v Invite 70 kW (95 CV)</t>
        </is>
      </c>
      <c r="I396" s="2" t="n"/>
      <c r="J396" s="2" t="n">
        <v>95</v>
      </c>
      <c r="K396" s="2" t="inlineStr">
        <is>
          <t>gasolina</t>
        </is>
      </c>
      <c r="L396" s="2" t="inlineStr">
        <is>
          <t>utilitario</t>
        </is>
      </c>
      <c r="M396" s="2" t="n">
        <v>2006</v>
      </c>
      <c r="N396" s="2" t="n">
        <v>149575</v>
      </c>
      <c r="O396" s="2" t="n">
        <v>3890</v>
      </c>
      <c r="P396" s="2" t="inlineStr">
        <is>
          <t>manual</t>
        </is>
      </c>
      <c r="Q396" s="2" t="inlineStr">
        <is>
          <t>no</t>
        </is>
      </c>
      <c r="R396" s="2" t="inlineStr">
        <is>
          <t>profesional</t>
        </is>
      </c>
      <c r="S396" s="2" t="inlineStr">
        <is>
          <t>Valencia (46002)</t>
        </is>
      </c>
      <c r="T396" s="2" t="inlineStr">
        <is>
          <t>2026-10-28T09:18:11</t>
        </is>
      </c>
      <c r="U396" s="2" t="n">
        <v>14</v>
      </c>
      <c r="V396" s="2" t="n"/>
      <c r="W396" s="2" t="n"/>
      <c r="X396" s="2" t="n"/>
      <c r="Y396" s="2" t="n"/>
      <c r="Z396" s="2" t="inlineStr">
        <is>
          <t>sí</t>
        </is>
      </c>
      <c r="AA396" s="2" t="n"/>
      <c r="AB396" s="2" t="n"/>
      <c r="AC396" s="2" t="n"/>
      <c r="AD396" s="2" t="n"/>
      <c r="AE396" s="2" t="n"/>
      <c r="AF396" s="2" t="n"/>
      <c r="AG396" s="2" t="n"/>
      <c r="AH396" s="2" t="n">
        <v>3890</v>
      </c>
      <c r="AI396" s="2" t="n">
        <v>3890</v>
      </c>
      <c r="AJ396" s="2" t="n"/>
      <c r="AK396" s="2" t="n"/>
      <c r="AL396" s="2" t="n"/>
      <c r="AM396" s="2" t="n">
        <v>0.1</v>
      </c>
      <c r="AN396" s="2" t="n">
        <v>2600</v>
      </c>
      <c r="AO396" s="2" t="n">
        <v>5</v>
      </c>
      <c r="AP396" s="2" t="inlineStr">
        <is>
          <t>modelo+año</t>
        </is>
      </c>
      <c r="AQ396" s="2" t="n"/>
      <c r="AR396" s="2" t="inlineStr">
        <is>
          <t>vendedor profesional: sin ITP (operación con IVA/REBU, confirmar en factura); gastos de gestión del vendedor no indicados: se suma la tasa DGT; preguntar el precio final; fiabilidad del modelo PENDIENTE de fuente (puntuación neutra)</t>
        </is>
      </c>
      <c r="AS396" s="2" t="inlineStr">
        <is>
          <t>Ref.145769565
Este Mitsubishi Colt 1.3 16v Invite 70 kW (95 CV) se encuentra en nuestra delegación de HR Motor Lleida.
En HRmotor tenemos tu coche de segunda mano sin garantía para uso profesional o empresarial. Si eres particular, consulta nuestras condiciones a ventas a particulares.
Contamos con un stock de +3.000 coches de segunda mano para que puedas comprar un coche de ocasión que se adapte a todas tus necesidades y preferencias en nuestros más de 30 concesionarios repartidos en toda España. De esta manera nos encontramos en Madrid con 4 centros (Rivas-Vaciamadrid, Torrejón de Ardoz, Alcobendas, Collado Villalba); en Barcelona con 4 centros (Sant Boi de Llobregat, Lliça de Vall, Badalona, Manresa); en Valencia con 3 centros (Quart de Poblet, Paterna, Sedaví); en Sevilla con 2 centros (Sevilla, Alcalá de Guadaíra); en Málaga con 2 centros (Churriana, Cruz de Humilladero). Además, nos podrás encontrar también en Lleida, Girona, Castellón, Alicante, Alcoy, Elche, Vila-Real, Bilbao, Gijón, Mallorca, Murcia, Pamplona, San Sebastián, Tudela, A Coruña, Valladolid y Zaragoza.
Precio al contado de 3.890 €.
Precio financiado de 3.890 € (sujeto a oferta especial de financiación consulte condiciones).
***EQUIPAMIENTO EXTRA:***
Consulte equipamiento extra con su comercial
***EQUIPAMIENTO SERIE:***
Llantas de aleación, 15", Ordenador, Aire Acondicionado, Climatizador, Airbag, Airbag acompañante, Airbag conductor, Airbags laterales, ABS, Dirección asistida, Elevalunas eléctrico, I</t>
        </is>
      </c>
      <c r="AT396" s="2" t="inlineStr">
        <is>
          <t>https://es.wallapop.com/item/mitsubishi-colt-1-3-16v-invite-70-kw-95-cv-1305417932 (__NEXT_DATA__ item) /home/user/Alopecia/buscador-coches/raw/wallapop/f3b435677b754898.json</t>
        </is>
      </c>
      <c r="AU396" s="3">
        <f>MAX(ANIO_ACTUAL-M396,0)</f>
        <v/>
      </c>
      <c r="AV396" s="4">
        <f>N396/MAX(AU396,0.5)</f>
        <v/>
      </c>
      <c r="AW396" s="4">
        <f>F396</f>
        <v/>
      </c>
      <c r="AX396" s="3">
        <f>AW396&amp;"|"&amp;INT(M396/SEG_ANIO)*SEG_ANIO</f>
        <v/>
      </c>
      <c r="AY396" s="3">
        <f>AX396&amp;"|"&amp;INT(N396/SEG_KM)*SEG_KM</f>
        <v/>
      </c>
      <c r="AZ396" s="4">
        <f>COUNTIF($AW$2:$AW$662,AW396)</f>
        <v/>
      </c>
      <c r="BA396" s="4">
        <f>COUNTIF($AX$2:$AX$662,AX396)</f>
        <v/>
      </c>
      <c r="BB396" s="4">
        <f>COUNTIF($AY$2:$AY$662,AY396)</f>
        <v/>
      </c>
      <c r="BC396" s="3">
        <f t="array" ref="BC396">IF(N(AO396)&gt;=MIN_N,AN396,IF(BB396&gt;=MIN_N,MEDIAN(IF($AY$2:$AY$662=AY396,$O$2:$O$662)),IF(BA396&gt;=MIN_N,MEDIAN(IF($AX$2:$AX$662=AX396,$O$2:$O$662)),MEDIAN(IF($AW$2:$AW$662=AW396,$O$2:$O$662)))))</f>
        <v/>
      </c>
      <c r="BD396" s="3">
        <f>IF(N(AO396)&gt;=MIN_N,"mercado "&amp;AP396,IF(BB396&gt;=MIN_N,"modelo+año+km",IF(BA396&gt;=MIN_N,"modelo+año","modelo")))</f>
        <v/>
      </c>
      <c r="BE396" s="4">
        <f>(BC396-O396)/BC396</f>
        <v/>
      </c>
      <c r="BF396" s="3">
        <f>IF(OR(K396="hibrido",K396="glp"),"ECO",IF(K396="electrico","CERO",IF(K396="gasolina",IF(M396&gt;=GAS_C,"C",IF(M396&gt;=GAS_B,"B","A")),IF(K396="diesel",IF(M396&gt;=DIE_C,"C",IF(M396&gt;=DIE_B,"B","A")),""))))</f>
        <v/>
      </c>
      <c r="BG396" s="3">
        <f>IFERROR(VLOOKUP(F396,MOD_TBL,11,0),IFERROR(VLOOKUP(E396,OCU_TBL,2,0),NEUTRO))</f>
        <v/>
      </c>
      <c r="BH396" s="3">
        <f>SUMIFS(MOT_AJUSTE,MOT_MOTOR,G396,MOT_MARCA,E396,MOT_DESDE,"&lt;="&amp;M396,MOT_HASTA,"&gt;="&amp;M396)+SUMIFS(MOT_AJUSTE,MOT_MOTOR,G396,MOT_MARCA,"(todas)",MOT_DESDE,"&lt;="&amp;M396,MOT_HASTA,"&gt;="&amp;M396)</f>
        <v/>
      </c>
      <c r="BI396" s="3">
        <f>SUMIFS(COMB_AJUSTE,COMB_COMB,K396)</f>
        <v/>
      </c>
      <c r="BJ396" s="3">
        <f>COUNTIFS(MOT_MOTOR,G396,MOT_MARCA,E396,MOT_DESDE,"&lt;="&amp;M396,MOT_HASTA,"&gt;="&amp;M396)+COUNTIFS(MOT_MOTOR,G396,MOT_MARCA,"(todas)",MOT_DESDE,"&lt;="&amp;M396,MOT_HASTA,"&gt;="&amp;M396)</f>
        <v/>
      </c>
      <c r="BK396" s="3">
        <f>IF(AND(K396="diesel",BJ396=0),MIN(BG396,NEUTRO),BG396)</f>
        <v/>
      </c>
      <c r="BL396" s="4">
        <f>MAX(0,MIN(100,BK396+BH396+BI396))</f>
        <v/>
      </c>
      <c r="BM396" s="3">
        <f>MAX(0,MIN(100,50+BE396*PRECIO_PEND))</f>
        <v/>
      </c>
      <c r="BN396" s="3">
        <f>MAX(0,100*(1-N396/KM_MAX))</f>
        <v/>
      </c>
      <c r="BO396" s="3">
        <f>IF(AV396&lt;KMA_SOSP,IF(AA396="sí",100,KMA_PEN),IF(AV396&lt;=KMA_IDEAL_MAX,100,MAX(0,100*(KMA_CERO-AV396)/(KMA_CERO-KMA_IDEAL_MAX))))</f>
        <v/>
      </c>
      <c r="BP396" s="3">
        <f>MAX(0,MIN(100,100*(M396-ANIO_MIN)/(ANIO_ACTUAL-ANIO_MIN)))</f>
        <v/>
      </c>
      <c r="BQ396" s="3">
        <f>W_KMT*BN396+W_KMA*BO396+W_EDAD*BP396</f>
        <v/>
      </c>
      <c r="BR396" s="3">
        <f>P_ITV*(V396="sí")+P_LIBRO*(W396="sí")+P_CORREA*(X396="sí")+P_PROP*(Y396=1)+P_GAR*(Z396="sí")+P_FOTOS*MIN(1,N(U396)/FOTOS_OBJ)</f>
        <v/>
      </c>
      <c r="BS396" s="3">
        <f>IFERROR(VLOOKUP(BF396,ETQ_TBL,2,0),NEUTRO)</f>
        <v/>
      </c>
      <c r="BT396" s="3">
        <f>NEUTRO</f>
        <v/>
      </c>
      <c r="BU396" s="3">
        <f>IFERROR(VLOOKUP(L396,SEGURO_TBL,3,0),"")</f>
        <v/>
      </c>
      <c r="BV396" s="3">
        <f>IF(BU396="",NEUTRO,MAX(0,MIN(100,100*(SEG_REF_MAX-BU396)/(SEG_REF_MAX-SEG_REF_MIN))))</f>
        <v/>
      </c>
      <c r="BW396" s="3">
        <f>W_ET*BS396+W_CONS*BT396+W_SEG*BV396</f>
        <v/>
      </c>
      <c r="BX396" s="3">
        <f>IF(N(AB396)&gt;0,AB396,IF(AND(R396="profesional",SG_LEGAL_ON=1),GAR_LEGAL,0))</f>
        <v/>
      </c>
      <c r="BY396" s="3">
        <f>SG_GAR*MIN(1,BX396/SG_GAR_FULL)+SG_AMPL*(AC396="sí")+SG_KMC*(AF396="sí")+SG_REV*(N(AE396)&gt;0)+SG_DEV*MIN(1,N(AG396)/SG_DEV_FULL)+SG_HIST*(W396="sí")</f>
        <v/>
      </c>
      <c r="BZ396" s="3">
        <f>IFERROR(VLOOKUP(L396,CARR_PEN_TBL,2,0),0)</f>
        <v/>
      </c>
      <c r="CA396" s="3">
        <f>W_FIAB*BL396+W_PRECIO*BM396+W_KMEDAD*BQ396+W_ANUNCIO*BR396+W_USO*BW396+W_SEGURIDAD*BY396-BZ396</f>
        <v/>
      </c>
      <c r="CB396" s="4">
        <f>IF(N(I396)&gt;0,I396,IFERROR(ROUND(_xlfn.NUMBERVALUE(LEFT(G396,FIND(" ",G396&amp;" ")-1),".")*1000,0),99999))</f>
        <v/>
      </c>
      <c r="CC396" s="3">
        <f>IF(R396="profesional",0,IF(O396&lt;CUOTA_VALOR_MAX,IF(AU396&gt;ITP_TRAMO_ALTO,SUMIFS(CF_CUOTA,CF_MAS,ITP_TRAMO_ALTO,CF_CCMIN,"&lt;="&amp;CB396,CF_CCMAX,"&gt;="&amp;CB396),IF(AU396&gt;ITP_TRAMO_BAJO,SUMIFS(CF_CUOTA,CF_MAS,ITP_TRAMO_BAJO,CF_CCMIN,"&lt;="&amp;CB396,CF_CCMAX,"&gt;="&amp;CB396),O396*ITP_TIPO)),O396*ITP_TIPO))</f>
        <v/>
      </c>
      <c r="CD396" s="4">
        <f>IF(R396="profesional",N(AK396),0)</f>
        <v/>
      </c>
      <c r="CE396" s="3">
        <f>IF(AND(R396="profesional",ISNUMBER(AK396),AL396="sí"),0,TASA_DGT)</f>
        <v/>
      </c>
      <c r="CF396" s="3">
        <f>INFORME_DGT</f>
        <v/>
      </c>
      <c r="CG396" s="4">
        <f>O396+CD396+CC396+CE396+CF396</f>
        <v/>
      </c>
      <c r="CH396" s="4">
        <f>CG396+N(BU396)</f>
        <v/>
      </c>
      <c r="CI396" s="3">
        <f>IF(CG396&lt;=TOTAL_MAX,"sí",IF(CG396&lt;=TOTAL_MAX+MARGEN_NEG,"negociar","no"))</f>
        <v/>
      </c>
      <c r="CJ396" s="4">
        <f>IF(CI396&lt;&gt;"no",COUNTIFS($CI$2:$CI$662,"&lt;&gt;no",$CA$2:$CA$662,"&gt;"&amp;CA396)+COUNTIFS($CI$2:CI396,"&lt;&gt;no",$CA$2:CA396,CA396),"")</f>
        <v/>
      </c>
    </row>
    <row r="397">
      <c r="A397" s="2" t="inlineStr">
        <is>
          <t>wallapop:1310393842</t>
        </is>
      </c>
      <c r="B397" s="2" t="inlineStr">
        <is>
          <t>wallapop</t>
        </is>
      </c>
      <c r="C397" s="2" t="inlineStr">
        <is>
          <t>https://es.wallapop.com/item/audi-a3-2008-1310393842</t>
        </is>
      </c>
      <c r="D397" s="2" t="inlineStr">
        <is>
          <t>Audi A3 2008</t>
        </is>
      </c>
      <c r="E397" s="2" t="inlineStr">
        <is>
          <t>Audi</t>
        </is>
      </c>
      <c r="F397" s="2" t="inlineStr">
        <is>
          <t>Audi A3</t>
        </is>
      </c>
      <c r="G397" s="2" t="inlineStr">
        <is>
          <t>1.9 TDI</t>
        </is>
      </c>
      <c r="H397" s="2" t="inlineStr">
        <is>
          <t>1.9 TDI 105 Ambiente 3p</t>
        </is>
      </c>
      <c r="I397" s="2" t="n"/>
      <c r="J397" s="2" t="n">
        <v>105</v>
      </c>
      <c r="K397" s="2" t="inlineStr">
        <is>
          <t>diesel</t>
        </is>
      </c>
      <c r="L397" s="2" t="inlineStr">
        <is>
          <t>compacto</t>
        </is>
      </c>
      <c r="M397" s="2" t="n">
        <v>2008</v>
      </c>
      <c r="N397" s="2" t="n">
        <v>107000</v>
      </c>
      <c r="O397" s="2" t="n">
        <v>4500</v>
      </c>
      <c r="P397" s="2" t="inlineStr">
        <is>
          <t>manual</t>
        </is>
      </c>
      <c r="Q397" s="2" t="inlineStr">
        <is>
          <t>no</t>
        </is>
      </c>
      <c r="R397" s="2" t="inlineStr">
        <is>
          <t>particular</t>
        </is>
      </c>
      <c r="S397" s="2" t="inlineStr">
        <is>
          <t>Sagunt/Sagunto (46500)</t>
        </is>
      </c>
      <c r="T397" s="2" t="inlineStr">
        <is>
          <t>2026-10-21T20:15:46</t>
        </is>
      </c>
      <c r="U397" s="2" t="n">
        <v>7</v>
      </c>
      <c r="V397" s="2" t="inlineStr">
        <is>
          <t>sí</t>
        </is>
      </c>
      <c r="W397" s="2" t="n"/>
      <c r="X397" s="2" t="n"/>
      <c r="Y397" s="2" t="n"/>
      <c r="Z397" s="2" t="n"/>
      <c r="AA397" s="2" t="n"/>
      <c r="AB397" s="2" t="n"/>
      <c r="AC397" s="2" t="n"/>
      <c r="AD397" s="2" t="n"/>
      <c r="AE397" s="2" t="n"/>
      <c r="AF397" s="2" t="n"/>
      <c r="AG397" s="2" t="n"/>
      <c r="AH397" s="2" t="n"/>
      <c r="AI397" s="2" t="n"/>
      <c r="AJ397" s="2" t="n"/>
      <c r="AK397" s="2" t="n"/>
      <c r="AL397" s="2" t="n"/>
      <c r="AM397" s="2" t="n">
        <v>25</v>
      </c>
      <c r="AN397" s="2" t="n">
        <v>6000</v>
      </c>
      <c r="AO397" s="2" t="n">
        <v>43</v>
      </c>
      <c r="AP397" s="2" t="inlineStr">
        <is>
          <t>modelo+año</t>
        </is>
      </c>
      <c r="AQ397" s="2" t="n"/>
      <c r="AR397" s="2" t="inlineStr">
        <is>
          <t>cuota fija ITP: &gt;12 años, 1.501-2.000 cc; diésel: motor sin fuente de fiabilidad (fiabilidad limitada a neutra); fiabilidad del modelo PENDIENTE de fuente (puntuación neutra)</t>
        </is>
      </c>
      <c r="AS397" s="2" t="inlineStr">
        <is>
          <t>Se vende Audi A3 Coupé (3 puertas) con el motor más fiable del mercado (1.9 TDI 105 CV). El coche está impecable y listo para rodar.
• 107.000 kilómetros reales y certificados.
• segundo duelo ).
• ITV recién pasada.
• Consumo mínimo y mecánica al día.</t>
        </is>
      </c>
      <c r="AT397" s="2" t="inlineStr">
        <is>
          <t>https://es.wallapop.com/item/audi-a3-2008-1310393842 (__NEXT_DATA__ item) /home/user/Alopecia/buscador-coches/raw/wallapop/c348ab302d852fcd.json</t>
        </is>
      </c>
      <c r="AU397" s="3">
        <f>MAX(ANIO_ACTUAL-M397,0)</f>
        <v/>
      </c>
      <c r="AV397" s="4">
        <f>N397/MAX(AU397,0.5)</f>
        <v/>
      </c>
      <c r="AW397" s="4">
        <f>F397</f>
        <v/>
      </c>
      <c r="AX397" s="3">
        <f>AW397&amp;"|"&amp;INT(M397/SEG_ANIO)*SEG_ANIO</f>
        <v/>
      </c>
      <c r="AY397" s="3">
        <f>AX397&amp;"|"&amp;INT(N397/SEG_KM)*SEG_KM</f>
        <v/>
      </c>
      <c r="AZ397" s="4">
        <f>COUNTIF($AW$2:$AW$662,AW397)</f>
        <v/>
      </c>
      <c r="BA397" s="4">
        <f>COUNTIF($AX$2:$AX$662,AX397)</f>
        <v/>
      </c>
      <c r="BB397" s="4">
        <f>COUNTIF($AY$2:$AY$662,AY397)</f>
        <v/>
      </c>
      <c r="BC397" s="3">
        <f t="array" ref="BC397">IF(N(AO397)&gt;=MIN_N,AN397,IF(BB397&gt;=MIN_N,MEDIAN(IF($AY$2:$AY$662=AY397,$O$2:$O$662)),IF(BA397&gt;=MIN_N,MEDIAN(IF($AX$2:$AX$662=AX397,$O$2:$O$662)),MEDIAN(IF($AW$2:$AW$662=AW397,$O$2:$O$662)))))</f>
        <v/>
      </c>
      <c r="BD397" s="3">
        <f>IF(N(AO397)&gt;=MIN_N,"mercado "&amp;AP397,IF(BB397&gt;=MIN_N,"modelo+año+km",IF(BA397&gt;=MIN_N,"modelo+año","modelo")))</f>
        <v/>
      </c>
      <c r="BE397" s="4">
        <f>(BC397-O397)/BC397</f>
        <v/>
      </c>
      <c r="BF397" s="3">
        <f>IF(OR(K397="hibrido",K397="glp"),"ECO",IF(K397="electrico","CERO",IF(K397="gasolina",IF(M397&gt;=GAS_C,"C",IF(M397&gt;=GAS_B,"B","A")),IF(K397="diesel",IF(M397&gt;=DIE_C,"C",IF(M397&gt;=DIE_B,"B","A")),""))))</f>
        <v/>
      </c>
      <c r="BG397" s="3">
        <f>IFERROR(VLOOKUP(F397,MOD_TBL,11,0),IFERROR(VLOOKUP(E397,OCU_TBL,2,0),NEUTRO))</f>
        <v/>
      </c>
      <c r="BH397" s="3">
        <f>SUMIFS(MOT_AJUSTE,MOT_MOTOR,G397,MOT_MARCA,E397,MOT_DESDE,"&lt;="&amp;M397,MOT_HASTA,"&gt;="&amp;M397)+SUMIFS(MOT_AJUSTE,MOT_MOTOR,G397,MOT_MARCA,"(todas)",MOT_DESDE,"&lt;="&amp;M397,MOT_HASTA,"&gt;="&amp;M397)</f>
        <v/>
      </c>
      <c r="BI397" s="3">
        <f>SUMIFS(COMB_AJUSTE,COMB_COMB,K397)</f>
        <v/>
      </c>
      <c r="BJ397" s="3">
        <f>COUNTIFS(MOT_MOTOR,G397,MOT_MARCA,E397,MOT_DESDE,"&lt;="&amp;M397,MOT_HASTA,"&gt;="&amp;M397)+COUNTIFS(MOT_MOTOR,G397,MOT_MARCA,"(todas)",MOT_DESDE,"&lt;="&amp;M397,MOT_HASTA,"&gt;="&amp;M397)</f>
        <v/>
      </c>
      <c r="BK397" s="3">
        <f>IF(AND(K397="diesel",BJ397=0),MIN(BG397,NEUTRO),BG397)</f>
        <v/>
      </c>
      <c r="BL397" s="4">
        <f>MAX(0,MIN(100,BK397+BH397+BI397))</f>
        <v/>
      </c>
      <c r="BM397" s="3">
        <f>MAX(0,MIN(100,50+BE397*PRECIO_PEND))</f>
        <v/>
      </c>
      <c r="BN397" s="3">
        <f>MAX(0,100*(1-N397/KM_MAX))</f>
        <v/>
      </c>
      <c r="BO397" s="3">
        <f>IF(AV397&lt;KMA_SOSP,IF(AA397="sí",100,KMA_PEN),IF(AV397&lt;=KMA_IDEAL_MAX,100,MAX(0,100*(KMA_CERO-AV397)/(KMA_CERO-KMA_IDEAL_MAX))))</f>
        <v/>
      </c>
      <c r="BP397" s="3">
        <f>MAX(0,MIN(100,100*(M397-ANIO_MIN)/(ANIO_ACTUAL-ANIO_MIN)))</f>
        <v/>
      </c>
      <c r="BQ397" s="3">
        <f>W_KMT*BN397+W_KMA*BO397+W_EDAD*BP397</f>
        <v/>
      </c>
      <c r="BR397" s="3">
        <f>P_ITV*(V397="sí")+P_LIBRO*(W397="sí")+P_CORREA*(X397="sí")+P_PROP*(Y397=1)+P_GAR*(Z397="sí")+P_FOTOS*MIN(1,N(U397)/FOTOS_OBJ)</f>
        <v/>
      </c>
      <c r="BS397" s="3">
        <f>IFERROR(VLOOKUP(BF397,ETQ_TBL,2,0),NEUTRO)</f>
        <v/>
      </c>
      <c r="BT397" s="3">
        <f>NEUTRO</f>
        <v/>
      </c>
      <c r="BU397" s="3">
        <f>IFERROR(VLOOKUP(L397,SEGURO_TBL,3,0),"")</f>
        <v/>
      </c>
      <c r="BV397" s="3">
        <f>IF(BU397="",NEUTRO,MAX(0,MIN(100,100*(SEG_REF_MAX-BU397)/(SEG_REF_MAX-SEG_REF_MIN))))</f>
        <v/>
      </c>
      <c r="BW397" s="3">
        <f>W_ET*BS397+W_CONS*BT397+W_SEG*BV397</f>
        <v/>
      </c>
      <c r="BX397" s="3">
        <f>IF(N(AB397)&gt;0,AB397,IF(AND(R397="profesional",SG_LEGAL_ON=1),GAR_LEGAL,0))</f>
        <v/>
      </c>
      <c r="BY397" s="3">
        <f>SG_GAR*MIN(1,BX397/SG_GAR_FULL)+SG_AMPL*(AC397="sí")+SG_KMC*(AF397="sí")+SG_REV*(N(AE397)&gt;0)+SG_DEV*MIN(1,N(AG397)/SG_DEV_FULL)+SG_HIST*(W397="sí")</f>
        <v/>
      </c>
      <c r="BZ397" s="3">
        <f>IFERROR(VLOOKUP(L397,CARR_PEN_TBL,2,0),0)</f>
        <v/>
      </c>
      <c r="CA397" s="3">
        <f>W_FIAB*BL397+W_PRECIO*BM397+W_KMEDAD*BQ397+W_ANUNCIO*BR397+W_USO*BW397+W_SEGURIDAD*BY397-BZ397</f>
        <v/>
      </c>
      <c r="CB397" s="4">
        <f>IF(N(I397)&gt;0,I397,IFERROR(ROUND(_xlfn.NUMBERVALUE(LEFT(G397,FIND(" ",G397&amp;" ")-1),".")*1000,0),99999))</f>
        <v/>
      </c>
      <c r="CC397" s="3">
        <f>IF(R397="profesional",0,IF(O397&lt;CUOTA_VALOR_MAX,IF(AU397&gt;ITP_TRAMO_ALTO,SUMIFS(CF_CUOTA,CF_MAS,ITP_TRAMO_ALTO,CF_CCMIN,"&lt;="&amp;CB397,CF_CCMAX,"&gt;="&amp;CB397),IF(AU397&gt;ITP_TRAMO_BAJO,SUMIFS(CF_CUOTA,CF_MAS,ITP_TRAMO_BAJO,CF_CCMIN,"&lt;="&amp;CB397,CF_CCMAX,"&gt;="&amp;CB397),O397*ITP_TIPO)),O397*ITP_TIPO))</f>
        <v/>
      </c>
      <c r="CD397" s="4">
        <f>IF(R397="profesional",N(AK397),0)</f>
        <v/>
      </c>
      <c r="CE397" s="3">
        <f>IF(AND(R397="profesional",ISNUMBER(AK397),AL397="sí"),0,TASA_DGT)</f>
        <v/>
      </c>
      <c r="CF397" s="3">
        <f>INFORME_DGT</f>
        <v/>
      </c>
      <c r="CG397" s="4">
        <f>O397+CD397+CC397+CE397+CF397</f>
        <v/>
      </c>
      <c r="CH397" s="4">
        <f>CG397+N(BU397)</f>
        <v/>
      </c>
      <c r="CI397" s="3">
        <f>IF(CG397&lt;=TOTAL_MAX,"sí",IF(CG397&lt;=TOTAL_MAX+MARGEN_NEG,"negociar","no"))</f>
        <v/>
      </c>
      <c r="CJ397" s="4">
        <f>IF(CI397&lt;&gt;"no",COUNTIFS($CI$2:$CI$662,"&lt;&gt;no",$CA$2:$CA$662,"&gt;"&amp;CA397)+COUNTIFS($CI$2:CI397,"&lt;&gt;no",$CA$2:CA397,CA397),"")</f>
        <v/>
      </c>
    </row>
    <row r="398">
      <c r="A398" s="2" t="inlineStr">
        <is>
          <t>wallapop:1283507982</t>
        </is>
      </c>
      <c r="B398" s="2" t="inlineStr">
        <is>
          <t>wallapop</t>
        </is>
      </c>
      <c r="C398" s="2" t="inlineStr">
        <is>
          <t>https://es.wallapop.com/item/chevrolet-aveo-2014-1283507982</t>
        </is>
      </c>
      <c r="D398" s="2" t="inlineStr">
        <is>
          <t>Chevrolet Aveo 2014</t>
        </is>
      </c>
      <c r="E398" s="2" t="inlineStr">
        <is>
          <t>Chevrolet</t>
        </is>
      </c>
      <c r="F398" s="2" t="inlineStr">
        <is>
          <t>Chevrolet Aveo</t>
        </is>
      </c>
      <c r="G398" s="2" t="inlineStr">
        <is>
          <t>1.3</t>
        </is>
      </c>
      <c r="H398" s="2" t="inlineStr">
        <is>
          <t>1.3 95 LT+ 5p MY14</t>
        </is>
      </c>
      <c r="I398" s="2" t="n"/>
      <c r="J398" s="2" t="n">
        <v>95</v>
      </c>
      <c r="K398" s="2" t="inlineStr">
        <is>
          <t>diesel</t>
        </is>
      </c>
      <c r="L398" s="2" t="inlineStr">
        <is>
          <t>utilitario</t>
        </is>
      </c>
      <c r="M398" s="2" t="n">
        <v>2014</v>
      </c>
      <c r="N398" s="2" t="n">
        <v>137000</v>
      </c>
      <c r="O398" s="2" t="n">
        <v>5000</v>
      </c>
      <c r="P398" s="2" t="inlineStr">
        <is>
          <t>manual</t>
        </is>
      </c>
      <c r="Q398" s="2" t="inlineStr">
        <is>
          <t>no</t>
        </is>
      </c>
      <c r="R398" s="2" t="inlineStr">
        <is>
          <t>particular</t>
        </is>
      </c>
      <c r="S398" s="2" t="inlineStr">
        <is>
          <t>Valencia (46004)</t>
        </is>
      </c>
      <c r="T398" s="2" t="inlineStr">
        <is>
          <t>2026-10-27T19:42:02</t>
        </is>
      </c>
      <c r="U398" s="2" t="n">
        <v>6</v>
      </c>
      <c r="V398" s="2" t="inlineStr">
        <is>
          <t>sí</t>
        </is>
      </c>
      <c r="W398" s="2" t="n"/>
      <c r="X398" s="2" t="n"/>
      <c r="Y398" s="2" t="n"/>
      <c r="Z398" s="2" t="n"/>
      <c r="AA398" s="2" t="n"/>
      <c r="AB398" s="2" t="n"/>
      <c r="AC398" s="2" t="n"/>
      <c r="AD398" s="2" t="n"/>
      <c r="AE398" s="2" t="n"/>
      <c r="AF398" s="2" t="n"/>
      <c r="AG398" s="2" t="n"/>
      <c r="AH398" s="2" t="n"/>
      <c r="AI398" s="2" t="n"/>
      <c r="AJ398" s="2" t="n"/>
      <c r="AK398" s="2" t="n"/>
      <c r="AL398" s="2" t="n"/>
      <c r="AM398" s="2" t="n">
        <v>1.5</v>
      </c>
      <c r="AN398" s="2" t="n"/>
      <c r="AO398" s="2" t="n"/>
      <c r="AP398" s="2" t="n"/>
      <c r="AQ398" s="2" t="n"/>
      <c r="AR398" s="2" t="inlineStr">
        <is>
          <t>por encima del presupuesto (5184 €), negociar; cuota fija ITP: &gt;5 y &lt;=12 años, hasta 1.500 cc; diésel: motor sin fuente de fiabilidad (fiabilidad limitada a neutra); fiabilidad del modelo PENDIENTE de fuente (puntuación neutra)</t>
        </is>
      </c>
      <c r="AS398" s="2" t="inlineStr">
        <is>
          <t xml:space="preserve">Vendo chevrolet aveo 2014
Diesel
137000km
Itv en vigor 
Mantenimientos al dia 
Muy conservado tanto por fuera como su interior 
Negociable </t>
        </is>
      </c>
      <c r="AT398" s="2" t="inlineStr">
        <is>
          <t>https://es.wallapop.com/item/chevrolet-aveo-2014-1283507982 (__NEXT_DATA__ item) /home/user/Alopecia/buscador-coches/raw/wallapop/4c279e14cf49bbab.json</t>
        </is>
      </c>
      <c r="AU398" s="3">
        <f>MAX(ANIO_ACTUAL-M398,0)</f>
        <v/>
      </c>
      <c r="AV398" s="4">
        <f>N398/MAX(AU398,0.5)</f>
        <v/>
      </c>
      <c r="AW398" s="4">
        <f>F398</f>
        <v/>
      </c>
      <c r="AX398" s="3">
        <f>AW398&amp;"|"&amp;INT(M398/SEG_ANIO)*SEG_ANIO</f>
        <v/>
      </c>
      <c r="AY398" s="3">
        <f>AX398&amp;"|"&amp;INT(N398/SEG_KM)*SEG_KM</f>
        <v/>
      </c>
      <c r="AZ398" s="4">
        <f>COUNTIF($AW$2:$AW$662,AW398)</f>
        <v/>
      </c>
      <c r="BA398" s="4">
        <f>COUNTIF($AX$2:$AX$662,AX398)</f>
        <v/>
      </c>
      <c r="BB398" s="4">
        <f>COUNTIF($AY$2:$AY$662,AY398)</f>
        <v/>
      </c>
      <c r="BC398" s="3">
        <f t="array" ref="BC398">IF(N(AO398)&gt;=MIN_N,AN398,IF(BB398&gt;=MIN_N,MEDIAN(IF($AY$2:$AY$662=AY398,$O$2:$O$662)),IF(BA398&gt;=MIN_N,MEDIAN(IF($AX$2:$AX$662=AX398,$O$2:$O$662)),MEDIAN(IF($AW$2:$AW$662=AW398,$O$2:$O$662)))))</f>
        <v/>
      </c>
      <c r="BD398" s="3">
        <f>IF(N(AO398)&gt;=MIN_N,"mercado "&amp;AP398,IF(BB398&gt;=MIN_N,"modelo+año+km",IF(BA398&gt;=MIN_N,"modelo+año","modelo")))</f>
        <v/>
      </c>
      <c r="BE398" s="4">
        <f>(BC398-O398)/BC398</f>
        <v/>
      </c>
      <c r="BF398" s="3">
        <f>IF(OR(K398="hibrido",K398="glp"),"ECO",IF(K398="electrico","CERO",IF(K398="gasolina",IF(M398&gt;=GAS_C,"C",IF(M398&gt;=GAS_B,"B","A")),IF(K398="diesel",IF(M398&gt;=DIE_C,"C",IF(M398&gt;=DIE_B,"B","A")),""))))</f>
        <v/>
      </c>
      <c r="BG398" s="3">
        <f>IFERROR(VLOOKUP(F398,MOD_TBL,11,0),IFERROR(VLOOKUP(E398,OCU_TBL,2,0),NEUTRO))</f>
        <v/>
      </c>
      <c r="BH398" s="3">
        <f>SUMIFS(MOT_AJUSTE,MOT_MOTOR,G398,MOT_MARCA,E398,MOT_DESDE,"&lt;="&amp;M398,MOT_HASTA,"&gt;="&amp;M398)+SUMIFS(MOT_AJUSTE,MOT_MOTOR,G398,MOT_MARCA,"(todas)",MOT_DESDE,"&lt;="&amp;M398,MOT_HASTA,"&gt;="&amp;M398)</f>
        <v/>
      </c>
      <c r="BI398" s="3">
        <f>SUMIFS(COMB_AJUSTE,COMB_COMB,K398)</f>
        <v/>
      </c>
      <c r="BJ398" s="3">
        <f>COUNTIFS(MOT_MOTOR,G398,MOT_MARCA,E398,MOT_DESDE,"&lt;="&amp;M398,MOT_HASTA,"&gt;="&amp;M398)+COUNTIFS(MOT_MOTOR,G398,MOT_MARCA,"(todas)",MOT_DESDE,"&lt;="&amp;M398,MOT_HASTA,"&gt;="&amp;M398)</f>
        <v/>
      </c>
      <c r="BK398" s="3">
        <f>IF(AND(K398="diesel",BJ398=0),MIN(BG398,NEUTRO),BG398)</f>
        <v/>
      </c>
      <c r="BL398" s="4">
        <f>MAX(0,MIN(100,BK398+BH398+BI398))</f>
        <v/>
      </c>
      <c r="BM398" s="3">
        <f>MAX(0,MIN(100,50+BE398*PRECIO_PEND))</f>
        <v/>
      </c>
      <c r="BN398" s="3">
        <f>MAX(0,100*(1-N398/KM_MAX))</f>
        <v/>
      </c>
      <c r="BO398" s="3">
        <f>IF(AV398&lt;KMA_SOSP,IF(AA398="sí",100,KMA_PEN),IF(AV398&lt;=KMA_IDEAL_MAX,100,MAX(0,100*(KMA_CERO-AV398)/(KMA_CERO-KMA_IDEAL_MAX))))</f>
        <v/>
      </c>
      <c r="BP398" s="3">
        <f>MAX(0,MIN(100,100*(M398-ANIO_MIN)/(ANIO_ACTUAL-ANIO_MIN)))</f>
        <v/>
      </c>
      <c r="BQ398" s="3">
        <f>W_KMT*BN398+W_KMA*BO398+W_EDAD*BP398</f>
        <v/>
      </c>
      <c r="BR398" s="3">
        <f>P_ITV*(V398="sí")+P_LIBRO*(W398="sí")+P_CORREA*(X398="sí")+P_PROP*(Y398=1)+P_GAR*(Z398="sí")+P_FOTOS*MIN(1,N(U398)/FOTOS_OBJ)</f>
        <v/>
      </c>
      <c r="BS398" s="3">
        <f>IFERROR(VLOOKUP(BF398,ETQ_TBL,2,0),NEUTRO)</f>
        <v/>
      </c>
      <c r="BT398" s="3">
        <f>NEUTRO</f>
        <v/>
      </c>
      <c r="BU398" s="3">
        <f>IFERROR(VLOOKUP(L398,SEGURO_TBL,3,0),"")</f>
        <v/>
      </c>
      <c r="BV398" s="3">
        <f>IF(BU398="",NEUTRO,MAX(0,MIN(100,100*(SEG_REF_MAX-BU398)/(SEG_REF_MAX-SEG_REF_MIN))))</f>
        <v/>
      </c>
      <c r="BW398" s="3">
        <f>W_ET*BS398+W_CONS*BT398+W_SEG*BV398</f>
        <v/>
      </c>
      <c r="BX398" s="3">
        <f>IF(N(AB398)&gt;0,AB398,IF(AND(R398="profesional",SG_LEGAL_ON=1),GAR_LEGAL,0))</f>
        <v/>
      </c>
      <c r="BY398" s="3">
        <f>SG_GAR*MIN(1,BX398/SG_GAR_FULL)+SG_AMPL*(AC398="sí")+SG_KMC*(AF398="sí")+SG_REV*(N(AE398)&gt;0)+SG_DEV*MIN(1,N(AG398)/SG_DEV_FULL)+SG_HIST*(W398="sí")</f>
        <v/>
      </c>
      <c r="BZ398" s="3">
        <f>IFERROR(VLOOKUP(L398,CARR_PEN_TBL,2,0),0)</f>
        <v/>
      </c>
      <c r="CA398" s="3">
        <f>W_FIAB*BL398+W_PRECIO*BM398+W_KMEDAD*BQ398+W_ANUNCIO*BR398+W_USO*BW398+W_SEGURIDAD*BY398-BZ398</f>
        <v/>
      </c>
      <c r="CB398" s="4">
        <f>IF(N(I398)&gt;0,I398,IFERROR(ROUND(_xlfn.NUMBERVALUE(LEFT(G398,FIND(" ",G398&amp;" ")-1),".")*1000,0),99999))</f>
        <v/>
      </c>
      <c r="CC398" s="3">
        <f>IF(R398="profesional",0,IF(O398&lt;CUOTA_VALOR_MAX,IF(AU398&gt;ITP_TRAMO_ALTO,SUMIFS(CF_CUOTA,CF_MAS,ITP_TRAMO_ALTO,CF_CCMIN,"&lt;="&amp;CB398,CF_CCMAX,"&gt;="&amp;CB398),IF(AU398&gt;ITP_TRAMO_BAJO,SUMIFS(CF_CUOTA,CF_MAS,ITP_TRAMO_BAJO,CF_CCMIN,"&lt;="&amp;CB398,CF_CCMAX,"&gt;="&amp;CB398),O398*ITP_TIPO)),O398*ITP_TIPO))</f>
        <v/>
      </c>
      <c r="CD398" s="4">
        <f>IF(R398="profesional",N(AK398),0)</f>
        <v/>
      </c>
      <c r="CE398" s="3">
        <f>IF(AND(R398="profesional",ISNUMBER(AK398),AL398="sí"),0,TASA_DGT)</f>
        <v/>
      </c>
      <c r="CF398" s="3">
        <f>INFORME_DGT</f>
        <v/>
      </c>
      <c r="CG398" s="4">
        <f>O398+CD398+CC398+CE398+CF398</f>
        <v/>
      </c>
      <c r="CH398" s="4">
        <f>CG398+N(BU398)</f>
        <v/>
      </c>
      <c r="CI398" s="3">
        <f>IF(CG398&lt;=TOTAL_MAX,"sí",IF(CG398&lt;=TOTAL_MAX+MARGEN_NEG,"negociar","no"))</f>
        <v/>
      </c>
      <c r="CJ398" s="4">
        <f>IF(CI398&lt;&gt;"no",COUNTIFS($CI$2:$CI$662,"&lt;&gt;no",$CA$2:$CA$662,"&gt;"&amp;CA398)+COUNTIFS($CI$2:CI398,"&lt;&gt;no",$CA$2:CA398,CA398),"")</f>
        <v/>
      </c>
    </row>
    <row r="399">
      <c r="A399" s="2" t="inlineStr">
        <is>
          <t>wallapop:1221552223</t>
        </is>
      </c>
      <c r="B399" s="2" t="inlineStr">
        <is>
          <t>wallapop</t>
        </is>
      </c>
      <c r="C399" s="2" t="inlineStr">
        <is>
          <t>https://es.wallapop.com/item/chevrolet-cruze-2012-1221552223</t>
        </is>
      </c>
      <c r="D399" s="2" t="inlineStr">
        <is>
          <t>Chevrolet Cruze 2012</t>
        </is>
      </c>
      <c r="E399" s="2" t="inlineStr">
        <is>
          <t>Chevrolet</t>
        </is>
      </c>
      <c r="F399" s="2" t="inlineStr">
        <is>
          <t>Chevrolet Cruze</t>
        </is>
      </c>
      <c r="G399" s="2" t="inlineStr">
        <is>
          <t>1.7</t>
        </is>
      </c>
      <c r="H399" s="2" t="inlineStr">
        <is>
          <t>1.7 130 LT 4p MY12</t>
        </is>
      </c>
      <c r="I399" s="2" t="n"/>
      <c r="J399" s="2" t="n">
        <v>130</v>
      </c>
      <c r="K399" s="2" t="inlineStr">
        <is>
          <t>diesel</t>
        </is>
      </c>
      <c r="L399" s="2" t="inlineStr">
        <is>
          <t>berlina</t>
        </is>
      </c>
      <c r="M399" s="2" t="n">
        <v>2012</v>
      </c>
      <c r="N399" s="2" t="n">
        <v>212000</v>
      </c>
      <c r="O399" s="2" t="n">
        <v>4800</v>
      </c>
      <c r="P399" s="2" t="inlineStr">
        <is>
          <t>manual</t>
        </is>
      </c>
      <c r="Q399" s="2" t="inlineStr">
        <is>
          <t>no</t>
        </is>
      </c>
      <c r="R399" s="2" t="inlineStr">
        <is>
          <t>particular</t>
        </is>
      </c>
      <c r="S399" s="2" t="inlineStr">
        <is>
          <t>Valencia (46002)</t>
        </is>
      </c>
      <c r="T399" s="2" t="inlineStr">
        <is>
          <t>2026-10-20T08:38:10</t>
        </is>
      </c>
      <c r="U399" s="2" t="n">
        <v>7</v>
      </c>
      <c r="V399" s="2" t="n"/>
      <c r="W399" s="2" t="n"/>
      <c r="X399" s="2" t="n"/>
      <c r="Y399" s="2" t="n"/>
      <c r="Z399" s="2" t="n"/>
      <c r="AA399" s="2" t="n"/>
      <c r="AB399" s="2" t="n"/>
      <c r="AC399" s="2" t="n"/>
      <c r="AD399" s="2" t="n"/>
      <c r="AE399" s="2" t="n"/>
      <c r="AF399" s="2" t="n"/>
      <c r="AG399" s="2" t="n"/>
      <c r="AH399" s="2" t="n"/>
      <c r="AI399" s="2" t="n"/>
      <c r="AJ399" s="2" t="n"/>
      <c r="AK399" s="2" t="n"/>
      <c r="AL399" s="2" t="n"/>
      <c r="AM399" s="2" t="n">
        <v>0.8</v>
      </c>
      <c r="AN399" s="2" t="n">
        <v>3100</v>
      </c>
      <c r="AO399" s="2" t="n">
        <v>6</v>
      </c>
      <c r="AP399" s="2" t="inlineStr">
        <is>
          <t>modelo+año+km</t>
        </is>
      </c>
      <c r="AQ399" s="2" t="n"/>
      <c r="AR399" s="2" t="inlineStr">
        <is>
          <t>cuota fija ITP: &gt;12 años, 1.501-2.000 cc; diésel: motor sin fuente de fiabilidad (fiabilidad limitada a neutra); carrocería berlina: -4 puntos; fiabilidad del modelo PENDIENTE de fuente (puntuación neutra)</t>
        </is>
      </c>
      <c r="AS399" s="2" t="inlineStr">
        <is>
          <t xml:space="preserve">El coche esta como nuevo, acepta revisión mecánica.
 Tiene sensor de aparcamiento y camara trasera, CarPlay.
Caja de sexta. Todo funciona  perfectamente, el interior esta como nuevo.
Dos ruedas nuevas.
Algo Negociable </t>
        </is>
      </c>
      <c r="AT399" s="2" t="inlineStr">
        <is>
          <t>https://es.wallapop.com/item/chevrolet-cruze-2012-1221552223 (__NEXT_DATA__ item) /home/user/Alopecia/buscador-coches/raw/wallapop/8535eb953389ae55.json</t>
        </is>
      </c>
      <c r="AU399" s="3">
        <f>MAX(ANIO_ACTUAL-M399,0)</f>
        <v/>
      </c>
      <c r="AV399" s="4">
        <f>N399/MAX(AU399,0.5)</f>
        <v/>
      </c>
      <c r="AW399" s="4">
        <f>F399</f>
        <v/>
      </c>
      <c r="AX399" s="3">
        <f>AW399&amp;"|"&amp;INT(M399/SEG_ANIO)*SEG_ANIO</f>
        <v/>
      </c>
      <c r="AY399" s="3">
        <f>AX399&amp;"|"&amp;INT(N399/SEG_KM)*SEG_KM</f>
        <v/>
      </c>
      <c r="AZ399" s="4">
        <f>COUNTIF($AW$2:$AW$662,AW399)</f>
        <v/>
      </c>
      <c r="BA399" s="4">
        <f>COUNTIF($AX$2:$AX$662,AX399)</f>
        <v/>
      </c>
      <c r="BB399" s="4">
        <f>COUNTIF($AY$2:$AY$662,AY399)</f>
        <v/>
      </c>
      <c r="BC399" s="3">
        <f t="array" ref="BC399">IF(N(AO399)&gt;=MIN_N,AN399,IF(BB399&gt;=MIN_N,MEDIAN(IF($AY$2:$AY$662=AY399,$O$2:$O$662)),IF(BA399&gt;=MIN_N,MEDIAN(IF($AX$2:$AX$662=AX399,$O$2:$O$662)),MEDIAN(IF($AW$2:$AW$662=AW399,$O$2:$O$662)))))</f>
        <v/>
      </c>
      <c r="BD399" s="3">
        <f>IF(N(AO399)&gt;=MIN_N,"mercado "&amp;AP399,IF(BB399&gt;=MIN_N,"modelo+año+km",IF(BA399&gt;=MIN_N,"modelo+año","modelo")))</f>
        <v/>
      </c>
      <c r="BE399" s="4">
        <f>(BC399-O399)/BC399</f>
        <v/>
      </c>
      <c r="BF399" s="3">
        <f>IF(OR(K399="hibrido",K399="glp"),"ECO",IF(K399="electrico","CERO",IF(K399="gasolina",IF(M399&gt;=GAS_C,"C",IF(M399&gt;=GAS_B,"B","A")),IF(K399="diesel",IF(M399&gt;=DIE_C,"C",IF(M399&gt;=DIE_B,"B","A")),""))))</f>
        <v/>
      </c>
      <c r="BG399" s="3">
        <f>IFERROR(VLOOKUP(F399,MOD_TBL,11,0),IFERROR(VLOOKUP(E399,OCU_TBL,2,0),NEUTRO))</f>
        <v/>
      </c>
      <c r="BH399" s="3">
        <f>SUMIFS(MOT_AJUSTE,MOT_MOTOR,G399,MOT_MARCA,E399,MOT_DESDE,"&lt;="&amp;M399,MOT_HASTA,"&gt;="&amp;M399)+SUMIFS(MOT_AJUSTE,MOT_MOTOR,G399,MOT_MARCA,"(todas)",MOT_DESDE,"&lt;="&amp;M399,MOT_HASTA,"&gt;="&amp;M399)</f>
        <v/>
      </c>
      <c r="BI399" s="3">
        <f>SUMIFS(COMB_AJUSTE,COMB_COMB,K399)</f>
        <v/>
      </c>
      <c r="BJ399" s="3">
        <f>COUNTIFS(MOT_MOTOR,G399,MOT_MARCA,E399,MOT_DESDE,"&lt;="&amp;M399,MOT_HASTA,"&gt;="&amp;M399)+COUNTIFS(MOT_MOTOR,G399,MOT_MARCA,"(todas)",MOT_DESDE,"&lt;="&amp;M399,MOT_HASTA,"&gt;="&amp;M399)</f>
        <v/>
      </c>
      <c r="BK399" s="3">
        <f>IF(AND(K399="diesel",BJ399=0),MIN(BG399,NEUTRO),BG399)</f>
        <v/>
      </c>
      <c r="BL399" s="4">
        <f>MAX(0,MIN(100,BK399+BH399+BI399))</f>
        <v/>
      </c>
      <c r="BM399" s="3">
        <f>MAX(0,MIN(100,50+BE399*PRECIO_PEND))</f>
        <v/>
      </c>
      <c r="BN399" s="3">
        <f>MAX(0,100*(1-N399/KM_MAX))</f>
        <v/>
      </c>
      <c r="BO399" s="3">
        <f>IF(AV399&lt;KMA_SOSP,IF(AA399="sí",100,KMA_PEN),IF(AV399&lt;=KMA_IDEAL_MAX,100,MAX(0,100*(KMA_CERO-AV399)/(KMA_CERO-KMA_IDEAL_MAX))))</f>
        <v/>
      </c>
      <c r="BP399" s="3">
        <f>MAX(0,MIN(100,100*(M399-ANIO_MIN)/(ANIO_ACTUAL-ANIO_MIN)))</f>
        <v/>
      </c>
      <c r="BQ399" s="3">
        <f>W_KMT*BN399+W_KMA*BO399+W_EDAD*BP399</f>
        <v/>
      </c>
      <c r="BR399" s="3">
        <f>P_ITV*(V399="sí")+P_LIBRO*(W399="sí")+P_CORREA*(X399="sí")+P_PROP*(Y399=1)+P_GAR*(Z399="sí")+P_FOTOS*MIN(1,N(U399)/FOTOS_OBJ)</f>
        <v/>
      </c>
      <c r="BS399" s="3">
        <f>IFERROR(VLOOKUP(BF399,ETQ_TBL,2,0),NEUTRO)</f>
        <v/>
      </c>
      <c r="BT399" s="3">
        <f>NEUTRO</f>
        <v/>
      </c>
      <c r="BU399" s="3">
        <f>IFERROR(VLOOKUP(L399,SEGURO_TBL,3,0),"")</f>
        <v/>
      </c>
      <c r="BV399" s="3">
        <f>IF(BU399="",NEUTRO,MAX(0,MIN(100,100*(SEG_REF_MAX-BU399)/(SEG_REF_MAX-SEG_REF_MIN))))</f>
        <v/>
      </c>
      <c r="BW399" s="3">
        <f>W_ET*BS399+W_CONS*BT399+W_SEG*BV399</f>
        <v/>
      </c>
      <c r="BX399" s="3">
        <f>IF(N(AB399)&gt;0,AB399,IF(AND(R399="profesional",SG_LEGAL_ON=1),GAR_LEGAL,0))</f>
        <v/>
      </c>
      <c r="BY399" s="3">
        <f>SG_GAR*MIN(1,BX399/SG_GAR_FULL)+SG_AMPL*(AC399="sí")+SG_KMC*(AF399="sí")+SG_REV*(N(AE399)&gt;0)+SG_DEV*MIN(1,N(AG399)/SG_DEV_FULL)+SG_HIST*(W399="sí")</f>
        <v/>
      </c>
      <c r="BZ399" s="3">
        <f>IFERROR(VLOOKUP(L399,CARR_PEN_TBL,2,0),0)</f>
        <v/>
      </c>
      <c r="CA399" s="3">
        <f>W_FIAB*BL399+W_PRECIO*BM399+W_KMEDAD*BQ399+W_ANUNCIO*BR399+W_USO*BW399+W_SEGURIDAD*BY399-BZ399</f>
        <v/>
      </c>
      <c r="CB399" s="4">
        <f>IF(N(I399)&gt;0,I399,IFERROR(ROUND(_xlfn.NUMBERVALUE(LEFT(G399,FIND(" ",G399&amp;" ")-1),".")*1000,0),99999))</f>
        <v/>
      </c>
      <c r="CC399" s="3">
        <f>IF(R399="profesional",0,IF(O399&lt;CUOTA_VALOR_MAX,IF(AU399&gt;ITP_TRAMO_ALTO,SUMIFS(CF_CUOTA,CF_MAS,ITP_TRAMO_ALTO,CF_CCMIN,"&lt;="&amp;CB399,CF_CCMAX,"&gt;="&amp;CB399),IF(AU399&gt;ITP_TRAMO_BAJO,SUMIFS(CF_CUOTA,CF_MAS,ITP_TRAMO_BAJO,CF_CCMIN,"&lt;="&amp;CB399,CF_CCMAX,"&gt;="&amp;CB399),O399*ITP_TIPO)),O399*ITP_TIPO))</f>
        <v/>
      </c>
      <c r="CD399" s="4">
        <f>IF(R399="profesional",N(AK399),0)</f>
        <v/>
      </c>
      <c r="CE399" s="3">
        <f>IF(AND(R399="profesional",ISNUMBER(AK399),AL399="sí"),0,TASA_DGT)</f>
        <v/>
      </c>
      <c r="CF399" s="3">
        <f>INFORME_DGT</f>
        <v/>
      </c>
      <c r="CG399" s="4">
        <f>O399+CD399+CC399+CE399+CF399</f>
        <v/>
      </c>
      <c r="CH399" s="4">
        <f>CG399+N(BU399)</f>
        <v/>
      </c>
      <c r="CI399" s="3">
        <f>IF(CG399&lt;=TOTAL_MAX,"sí",IF(CG399&lt;=TOTAL_MAX+MARGEN_NEG,"negociar","no"))</f>
        <v/>
      </c>
      <c r="CJ399" s="4">
        <f>IF(CI399&lt;&gt;"no",COUNTIFS($CI$2:$CI$662,"&lt;&gt;no",$CA$2:$CA$662,"&gt;"&amp;CA399)+COUNTIFS($CI$2:CI399,"&lt;&gt;no",$CA$2:CA399,CA399),"")</f>
        <v/>
      </c>
    </row>
    <row r="400">
      <c r="A400" s="2" t="inlineStr">
        <is>
          <t>cochesnet:71859633</t>
        </is>
      </c>
      <c r="B400" s="2" t="inlineStr">
        <is>
          <t>cochesnet</t>
        </is>
      </c>
      <c r="C400" s="2" t="inlineStr">
        <is>
          <t>https://www.coches.net/seat-altea-16-tdi-105cv-style-dsg-5p-diesel-2011-en-valencia-71859633-covo.aspx</t>
        </is>
      </c>
      <c r="D400" s="2" t="inlineStr">
        <is>
          <t>SEAT ALTEA 1.6 TDI Style DSG</t>
        </is>
      </c>
      <c r="E400" s="2" t="inlineStr">
        <is>
          <t>Seat</t>
        </is>
      </c>
      <c r="F400" s="2" t="inlineStr">
        <is>
          <t>Seat Altea</t>
        </is>
      </c>
      <c r="G400" s="2" t="inlineStr">
        <is>
          <t>1.6 TDI</t>
        </is>
      </c>
      <c r="H400" s="2" t="inlineStr">
        <is>
          <t>1.6 TDI 105cv Style DSG</t>
        </is>
      </c>
      <c r="I400" s="2" t="n"/>
      <c r="J400" s="2" t="n">
        <v>105</v>
      </c>
      <c r="K400" s="2" t="inlineStr">
        <is>
          <t>diesel</t>
        </is>
      </c>
      <c r="L400" s="2" t="inlineStr">
        <is>
          <t>monovolumen_pequeno</t>
        </is>
      </c>
      <c r="M400" s="2" t="n">
        <v>2011</v>
      </c>
      <c r="N400" s="2" t="n">
        <v>220000</v>
      </c>
      <c r="O400" s="2" t="n">
        <v>4900</v>
      </c>
      <c r="P400" s="2" t="inlineStr">
        <is>
          <t>automatico</t>
        </is>
      </c>
      <c r="Q400" s="2" t="inlineStr">
        <is>
          <t>sí</t>
        </is>
      </c>
      <c r="R400" s="2" t="inlineStr">
        <is>
          <t>particular</t>
        </is>
      </c>
      <c r="S400" s="2" t="inlineStr">
        <is>
          <t>Albal</t>
        </is>
      </c>
      <c r="T400" s="2" t="inlineStr">
        <is>
          <t>2026-10-29T10:40:28Z</t>
        </is>
      </c>
      <c r="U400" s="2" t="n">
        <v>15</v>
      </c>
      <c r="V400" s="2" t="inlineStr">
        <is>
          <t>sí</t>
        </is>
      </c>
      <c r="W400" s="2" t="n"/>
      <c r="X400" s="2" t="n"/>
      <c r="Y400" s="2" t="n"/>
      <c r="Z400" s="2" t="inlineStr">
        <is>
          <t>no</t>
        </is>
      </c>
      <c r="AA400" s="2" t="n"/>
      <c r="AB400" s="2" t="n"/>
      <c r="AC400" s="2" t="n"/>
      <c r="AD400" s="2" t="n"/>
      <c r="AE400" s="2" t="n"/>
      <c r="AF400" s="2" t="n"/>
      <c r="AG400" s="2" t="n"/>
      <c r="AH400" s="2" t="n">
        <v>4900</v>
      </c>
      <c r="AI400" s="2" t="n"/>
      <c r="AJ400" s="2" t="n"/>
      <c r="AK400" s="2" t="n"/>
      <c r="AL400" s="2" t="n"/>
      <c r="AM400" s="2" t="n">
        <v>8.699999999999999</v>
      </c>
      <c r="AN400" s="2" t="n">
        <v>4650</v>
      </c>
      <c r="AO400" s="2" t="n">
        <v>12</v>
      </c>
      <c r="AP400" s="2" t="inlineStr">
        <is>
          <t>modelo+año</t>
        </is>
      </c>
      <c r="AQ400" s="2" t="n"/>
      <c r="AR400" s="2" t="inlineStr">
        <is>
          <t>por encima del presupuesto (5024 €), negociar; cuota fija ITP: &gt;12 años, 1.501-2.000 cc; carrocería monovolumen_pequeno: -6 puntos; fiabilidad del modelo PENDIENTE de fuente (puntuación neutra)</t>
        </is>
      </c>
      <c r="AS400" s="2" t="inlineStr">
        <is>
          <t>Vehículo importado de Alemania en 2019. Está en perfecto estado mecánico y tiene la ITV en vigor hasta agosto de 2027. Dispone de sensores de aparcamiento traseros, bola de remolque, asientos delanteros calefactables, ABS, airbags, elevalunas eléctricos y aire acondicionado. Se entrega con las dos llaves originales. Neumáticos HANKOOK nuevos. Hace seis meses se cambiaron la correa de distribución, la bomba de agua y todos los rodillos tensores. La pintura presenta algunos desconchones y arañazos propios del uso. El vehículo no ha sufrido ningún accidente. Nunca se ha fumado en el coche. El coche lo ha utilizado mi mujer. Motivo de la venta: compra de un coche nuevo.</t>
        </is>
      </c>
      <c r="AT400" s="2" t="inlineStr">
        <is>
          <t>https://www.coches.net/seat-altea-16-tdi-105cv-style-dsg-5p-diesel-2011-en-valencia-71859633-covo.aspx (window.__INITIAL_PROPS__.ad) /home/user/Alopecia/buscador-coches/raw/cochesnet/2287791fda2913db.json</t>
        </is>
      </c>
      <c r="AU400" s="3">
        <f>MAX(ANIO_ACTUAL-M400,0)</f>
        <v/>
      </c>
      <c r="AV400" s="4">
        <f>N400/MAX(AU400,0.5)</f>
        <v/>
      </c>
      <c r="AW400" s="4">
        <f>F400</f>
        <v/>
      </c>
      <c r="AX400" s="3">
        <f>AW400&amp;"|"&amp;INT(M400/SEG_ANIO)*SEG_ANIO</f>
        <v/>
      </c>
      <c r="AY400" s="3">
        <f>AX400&amp;"|"&amp;INT(N400/SEG_KM)*SEG_KM</f>
        <v/>
      </c>
      <c r="AZ400" s="4">
        <f>COUNTIF($AW$2:$AW$662,AW400)</f>
        <v/>
      </c>
      <c r="BA400" s="4">
        <f>COUNTIF($AX$2:$AX$662,AX400)</f>
        <v/>
      </c>
      <c r="BB400" s="4">
        <f>COUNTIF($AY$2:$AY$662,AY400)</f>
        <v/>
      </c>
      <c r="BC400" s="3">
        <f t="array" ref="BC400">IF(N(AO400)&gt;=MIN_N,AN400,IF(BB400&gt;=MIN_N,MEDIAN(IF($AY$2:$AY$662=AY400,$O$2:$O$662)),IF(BA400&gt;=MIN_N,MEDIAN(IF($AX$2:$AX$662=AX400,$O$2:$O$662)),MEDIAN(IF($AW$2:$AW$662=AW400,$O$2:$O$662)))))</f>
        <v/>
      </c>
      <c r="BD400" s="3">
        <f>IF(N(AO400)&gt;=MIN_N,"mercado "&amp;AP400,IF(BB400&gt;=MIN_N,"modelo+año+km",IF(BA400&gt;=MIN_N,"modelo+año","modelo")))</f>
        <v/>
      </c>
      <c r="BE400" s="4">
        <f>(BC400-O400)/BC400</f>
        <v/>
      </c>
      <c r="BF400" s="3">
        <f>IF(OR(K400="hibrido",K400="glp"),"ECO",IF(K400="electrico","CERO",IF(K400="gasolina",IF(M400&gt;=GAS_C,"C",IF(M400&gt;=GAS_B,"B","A")),IF(K400="diesel",IF(M400&gt;=DIE_C,"C",IF(M400&gt;=DIE_B,"B","A")),""))))</f>
        <v/>
      </c>
      <c r="BG400" s="3">
        <f>IFERROR(VLOOKUP(F400,MOD_TBL,11,0),IFERROR(VLOOKUP(E400,OCU_TBL,2,0),NEUTRO))</f>
        <v/>
      </c>
      <c r="BH400" s="3">
        <f>SUMIFS(MOT_AJUSTE,MOT_MOTOR,G400,MOT_MARCA,E400,MOT_DESDE,"&lt;="&amp;M400,MOT_HASTA,"&gt;="&amp;M400)+SUMIFS(MOT_AJUSTE,MOT_MOTOR,G400,MOT_MARCA,"(todas)",MOT_DESDE,"&lt;="&amp;M400,MOT_HASTA,"&gt;="&amp;M400)</f>
        <v/>
      </c>
      <c r="BI400" s="3">
        <f>SUMIFS(COMB_AJUSTE,COMB_COMB,K400)</f>
        <v/>
      </c>
      <c r="BJ400" s="3">
        <f>COUNTIFS(MOT_MOTOR,G400,MOT_MARCA,E400,MOT_DESDE,"&lt;="&amp;M400,MOT_HASTA,"&gt;="&amp;M400)+COUNTIFS(MOT_MOTOR,G400,MOT_MARCA,"(todas)",MOT_DESDE,"&lt;="&amp;M400,MOT_HASTA,"&gt;="&amp;M400)</f>
        <v/>
      </c>
      <c r="BK400" s="3">
        <f>IF(AND(K400="diesel",BJ400=0),MIN(BG400,NEUTRO),BG400)</f>
        <v/>
      </c>
      <c r="BL400" s="4">
        <f>MAX(0,MIN(100,BK400+BH400+BI400))</f>
        <v/>
      </c>
      <c r="BM400" s="3">
        <f>MAX(0,MIN(100,50+BE400*PRECIO_PEND))</f>
        <v/>
      </c>
      <c r="BN400" s="3">
        <f>MAX(0,100*(1-N400/KM_MAX))</f>
        <v/>
      </c>
      <c r="BO400" s="3">
        <f>IF(AV400&lt;KMA_SOSP,IF(AA400="sí",100,KMA_PEN),IF(AV400&lt;=KMA_IDEAL_MAX,100,MAX(0,100*(KMA_CERO-AV400)/(KMA_CERO-KMA_IDEAL_MAX))))</f>
        <v/>
      </c>
      <c r="BP400" s="3">
        <f>MAX(0,MIN(100,100*(M400-ANIO_MIN)/(ANIO_ACTUAL-ANIO_MIN)))</f>
        <v/>
      </c>
      <c r="BQ400" s="3">
        <f>W_KMT*BN400+W_KMA*BO400+W_EDAD*BP400</f>
        <v/>
      </c>
      <c r="BR400" s="3">
        <f>P_ITV*(V400="sí")+P_LIBRO*(W400="sí")+P_CORREA*(X400="sí")+P_PROP*(Y400=1)+P_GAR*(Z400="sí")+P_FOTOS*MIN(1,N(U400)/FOTOS_OBJ)</f>
        <v/>
      </c>
      <c r="BS400" s="3">
        <f>IFERROR(VLOOKUP(BF400,ETQ_TBL,2,0),NEUTRO)</f>
        <v/>
      </c>
      <c r="BT400" s="3">
        <f>NEUTRO</f>
        <v/>
      </c>
      <c r="BU400" s="3">
        <f>IFERROR(VLOOKUP(L400,SEGURO_TBL,3,0),"")</f>
        <v/>
      </c>
      <c r="BV400" s="3">
        <f>IF(BU400="",NEUTRO,MAX(0,MIN(100,100*(SEG_REF_MAX-BU400)/(SEG_REF_MAX-SEG_REF_MIN))))</f>
        <v/>
      </c>
      <c r="BW400" s="3">
        <f>W_ET*BS400+W_CONS*BT400+W_SEG*BV400</f>
        <v/>
      </c>
      <c r="BX400" s="3">
        <f>IF(N(AB400)&gt;0,AB400,IF(AND(R400="profesional",SG_LEGAL_ON=1),GAR_LEGAL,0))</f>
        <v/>
      </c>
      <c r="BY400" s="3">
        <f>SG_GAR*MIN(1,BX400/SG_GAR_FULL)+SG_AMPL*(AC400="sí")+SG_KMC*(AF400="sí")+SG_REV*(N(AE400)&gt;0)+SG_DEV*MIN(1,N(AG400)/SG_DEV_FULL)+SG_HIST*(W400="sí")</f>
        <v/>
      </c>
      <c r="BZ400" s="3">
        <f>IFERROR(VLOOKUP(L400,CARR_PEN_TBL,2,0),0)</f>
        <v/>
      </c>
      <c r="CA400" s="3">
        <f>W_FIAB*BL400+W_PRECIO*BM400+W_KMEDAD*BQ400+W_ANUNCIO*BR400+W_USO*BW400+W_SEGURIDAD*BY400-BZ400</f>
        <v/>
      </c>
      <c r="CB400" s="4">
        <f>IF(N(I400)&gt;0,I400,IFERROR(ROUND(_xlfn.NUMBERVALUE(LEFT(G400,FIND(" ",G400&amp;" ")-1),".")*1000,0),99999))</f>
        <v/>
      </c>
      <c r="CC400" s="3">
        <f>IF(R400="profesional",0,IF(O400&lt;CUOTA_VALOR_MAX,IF(AU400&gt;ITP_TRAMO_ALTO,SUMIFS(CF_CUOTA,CF_MAS,ITP_TRAMO_ALTO,CF_CCMIN,"&lt;="&amp;CB400,CF_CCMAX,"&gt;="&amp;CB400),IF(AU400&gt;ITP_TRAMO_BAJO,SUMIFS(CF_CUOTA,CF_MAS,ITP_TRAMO_BAJO,CF_CCMIN,"&lt;="&amp;CB400,CF_CCMAX,"&gt;="&amp;CB400),O400*ITP_TIPO)),O400*ITP_TIPO))</f>
        <v/>
      </c>
      <c r="CD400" s="4">
        <f>IF(R400="profesional",N(AK400),0)</f>
        <v/>
      </c>
      <c r="CE400" s="3">
        <f>IF(AND(R400="profesional",ISNUMBER(AK400),AL400="sí"),0,TASA_DGT)</f>
        <v/>
      </c>
      <c r="CF400" s="3">
        <f>INFORME_DGT</f>
        <v/>
      </c>
      <c r="CG400" s="4">
        <f>O400+CD400+CC400+CE400+CF400</f>
        <v/>
      </c>
      <c r="CH400" s="4">
        <f>CG400+N(BU400)</f>
        <v/>
      </c>
      <c r="CI400" s="3">
        <f>IF(CG400&lt;=TOTAL_MAX,"sí",IF(CG400&lt;=TOTAL_MAX+MARGEN_NEG,"negociar","no"))</f>
        <v/>
      </c>
      <c r="CJ400" s="4">
        <f>IF(CI400&lt;&gt;"no",COUNTIFS($CI$2:$CI$662,"&lt;&gt;no",$CA$2:$CA$662,"&gt;"&amp;CA400)+COUNTIFS($CI$2:CI400,"&lt;&gt;no",$CA$2:CA400,CA400),"")</f>
        <v/>
      </c>
    </row>
    <row r="401">
      <c r="A401" s="2" t="inlineStr">
        <is>
          <t>cochesnet:71876607</t>
        </is>
      </c>
      <c r="B401" s="2" t="inlineStr">
        <is>
          <t>cochesnet</t>
        </is>
      </c>
      <c r="C401" s="2" t="inlineStr">
        <is>
          <t>https://www.coches.net/seat-toledo-20-tdi-stylance-5p-diesel-2006-en-valencia-71876607-covo.aspx</t>
        </is>
      </c>
      <c r="D401" s="2" t="inlineStr">
        <is>
          <t>SEAT Toledo 2.0 TDI STYLANCE</t>
        </is>
      </c>
      <c r="E401" s="2" t="inlineStr">
        <is>
          <t>Seat</t>
        </is>
      </c>
      <c r="F401" s="2" t="inlineStr">
        <is>
          <t>Seat Toledo</t>
        </is>
      </c>
      <c r="G401" s="2" t="inlineStr">
        <is>
          <t>2.0 TDI</t>
        </is>
      </c>
      <c r="H401" s="2" t="inlineStr">
        <is>
          <t>2.0 TDI STYLANCE</t>
        </is>
      </c>
      <c r="I401" s="2" t="n"/>
      <c r="J401" s="2" t="n"/>
      <c r="K401" s="2" t="inlineStr">
        <is>
          <t>diesel</t>
        </is>
      </c>
      <c r="L401" s="2" t="inlineStr">
        <is>
          <t>berlina</t>
        </is>
      </c>
      <c r="M401" s="2" t="n">
        <v>2006</v>
      </c>
      <c r="N401" s="2" t="n">
        <v>175500</v>
      </c>
      <c r="O401" s="2" t="n">
        <v>3700</v>
      </c>
      <c r="P401" s="2" t="inlineStr">
        <is>
          <t>manual</t>
        </is>
      </c>
      <c r="Q401" s="2" t="inlineStr">
        <is>
          <t>no</t>
        </is>
      </c>
      <c r="R401" s="2" t="inlineStr">
        <is>
          <t>particular</t>
        </is>
      </c>
      <c r="S401" s="2" t="inlineStr">
        <is>
          <t>Paterna</t>
        </is>
      </c>
      <c r="T401" s="2" t="inlineStr">
        <is>
          <t>2026-10-31T08:56:52Z</t>
        </is>
      </c>
      <c r="U401" s="2" t="n"/>
      <c r="V401" s="2" t="inlineStr">
        <is>
          <t>sí</t>
        </is>
      </c>
      <c r="W401" s="2" t="n"/>
      <c r="X401" s="2" t="n"/>
      <c r="Y401" s="2" t="n"/>
      <c r="Z401" s="2" t="inlineStr">
        <is>
          <t>no</t>
        </is>
      </c>
      <c r="AA401" s="2" t="n"/>
      <c r="AB401" s="2" t="n"/>
      <c r="AC401" s="2" t="n"/>
      <c r="AD401" s="2" t="n"/>
      <c r="AE401" s="2" t="n"/>
      <c r="AF401" s="2" t="n"/>
      <c r="AG401" s="2" t="n"/>
      <c r="AH401" s="2" t="n">
        <v>3700</v>
      </c>
      <c r="AI401" s="2" t="n"/>
      <c r="AJ401" s="2" t="n"/>
      <c r="AK401" s="2" t="n"/>
      <c r="AL401" s="2" t="n"/>
      <c r="AM401" s="2" t="n">
        <v>6.8</v>
      </c>
      <c r="AN401" s="2" t="n">
        <v>4049.5</v>
      </c>
      <c r="AO401" s="2" t="n">
        <v>6</v>
      </c>
      <c r="AP401" s="2" t="inlineStr">
        <is>
          <t>modelo+año+km</t>
        </is>
      </c>
      <c r="AQ401" s="2" t="n"/>
      <c r="AR401" s="2" t="inlineStr">
        <is>
          <t>cuota fija ITP: &gt;12 años, 1.501-2.000 cc; diésel: motor sin fuente de fiabilidad (fiabilidad limitada a neutra); carrocería berlina: -4 puntos; fiabilidad del modelo PENDIENTE de fuente (puntuación neutra)</t>
        </is>
      </c>
      <c r="AS401" s="2" t="inlineStr">
        <is>
          <t xml:space="preserve">?? SEAT TOLEDO 2.0 TDI STYLANCE / STYLE – 2006
?? Precio: 3700 €
Se vende SEAT Toledo 2.0 TDI Stylance/Style, año 2006, diésel, con 175.500 km.
? Motor 2.0 TDI
? Diésel
? Cambio manual
? 175.500 km
? ITV hasta 12/2026
? 5 plazas
? Amplio y cómodo
? Ideal para uso diario y viajes
? Buen maletero y gran espacio interior
Coche práctico, espacioso y con un motor diésel de buen rendimiento.
?? Se puede ver y probar.
?? Interesados, contactar por mensaje para más información o concertar una visita.
</t>
        </is>
      </c>
      <c r="AT401" s="2" t="inlineStr">
        <is>
          <t>https://www.coches.net/seat-toledo-20-tdi-stylance-5p-diesel-2006-en-valencia-71876607-covo.aspx (window.__INITIAL_PROPS__.ad) /home/user/Alopecia/buscador-coches/raw/cochesnet/03de17b638a80877.json</t>
        </is>
      </c>
      <c r="AU401" s="3">
        <f>MAX(ANIO_ACTUAL-M401,0)</f>
        <v/>
      </c>
      <c r="AV401" s="4">
        <f>N401/MAX(AU401,0.5)</f>
        <v/>
      </c>
      <c r="AW401" s="4">
        <f>F401</f>
        <v/>
      </c>
      <c r="AX401" s="3">
        <f>AW401&amp;"|"&amp;INT(M401/SEG_ANIO)*SEG_ANIO</f>
        <v/>
      </c>
      <c r="AY401" s="3">
        <f>AX401&amp;"|"&amp;INT(N401/SEG_KM)*SEG_KM</f>
        <v/>
      </c>
      <c r="AZ401" s="4">
        <f>COUNTIF($AW$2:$AW$662,AW401)</f>
        <v/>
      </c>
      <c r="BA401" s="4">
        <f>COUNTIF($AX$2:$AX$662,AX401)</f>
        <v/>
      </c>
      <c r="BB401" s="4">
        <f>COUNTIF($AY$2:$AY$662,AY401)</f>
        <v/>
      </c>
      <c r="BC401" s="3">
        <f t="array" ref="BC401">IF(N(AO401)&gt;=MIN_N,AN401,IF(BB401&gt;=MIN_N,MEDIAN(IF($AY$2:$AY$662=AY401,$O$2:$O$662)),IF(BA401&gt;=MIN_N,MEDIAN(IF($AX$2:$AX$662=AX401,$O$2:$O$662)),MEDIAN(IF($AW$2:$AW$662=AW401,$O$2:$O$662)))))</f>
        <v/>
      </c>
      <c r="BD401" s="3">
        <f>IF(N(AO401)&gt;=MIN_N,"mercado "&amp;AP401,IF(BB401&gt;=MIN_N,"modelo+año+km",IF(BA401&gt;=MIN_N,"modelo+año","modelo")))</f>
        <v/>
      </c>
      <c r="BE401" s="4">
        <f>(BC401-O401)/BC401</f>
        <v/>
      </c>
      <c r="BF401" s="3">
        <f>IF(OR(K401="hibrido",K401="glp"),"ECO",IF(K401="electrico","CERO",IF(K401="gasolina",IF(M401&gt;=GAS_C,"C",IF(M401&gt;=GAS_B,"B","A")),IF(K401="diesel",IF(M401&gt;=DIE_C,"C",IF(M401&gt;=DIE_B,"B","A")),""))))</f>
        <v/>
      </c>
      <c r="BG401" s="3">
        <f>IFERROR(VLOOKUP(F401,MOD_TBL,11,0),IFERROR(VLOOKUP(E401,OCU_TBL,2,0),NEUTRO))</f>
        <v/>
      </c>
      <c r="BH401" s="3">
        <f>SUMIFS(MOT_AJUSTE,MOT_MOTOR,G401,MOT_MARCA,E401,MOT_DESDE,"&lt;="&amp;M401,MOT_HASTA,"&gt;="&amp;M401)+SUMIFS(MOT_AJUSTE,MOT_MOTOR,G401,MOT_MARCA,"(todas)",MOT_DESDE,"&lt;="&amp;M401,MOT_HASTA,"&gt;="&amp;M401)</f>
        <v/>
      </c>
      <c r="BI401" s="3">
        <f>SUMIFS(COMB_AJUSTE,COMB_COMB,K401)</f>
        <v/>
      </c>
      <c r="BJ401" s="3">
        <f>COUNTIFS(MOT_MOTOR,G401,MOT_MARCA,E401,MOT_DESDE,"&lt;="&amp;M401,MOT_HASTA,"&gt;="&amp;M401)+COUNTIFS(MOT_MOTOR,G401,MOT_MARCA,"(todas)",MOT_DESDE,"&lt;="&amp;M401,MOT_HASTA,"&gt;="&amp;M401)</f>
        <v/>
      </c>
      <c r="BK401" s="3">
        <f>IF(AND(K401="diesel",BJ401=0),MIN(BG401,NEUTRO),BG401)</f>
        <v/>
      </c>
      <c r="BL401" s="4">
        <f>MAX(0,MIN(100,BK401+BH401+BI401))</f>
        <v/>
      </c>
      <c r="BM401" s="3">
        <f>MAX(0,MIN(100,50+BE401*PRECIO_PEND))</f>
        <v/>
      </c>
      <c r="BN401" s="3">
        <f>MAX(0,100*(1-N401/KM_MAX))</f>
        <v/>
      </c>
      <c r="BO401" s="3">
        <f>IF(AV401&lt;KMA_SOSP,IF(AA401="sí",100,KMA_PEN),IF(AV401&lt;=KMA_IDEAL_MAX,100,MAX(0,100*(KMA_CERO-AV401)/(KMA_CERO-KMA_IDEAL_MAX))))</f>
        <v/>
      </c>
      <c r="BP401" s="3">
        <f>MAX(0,MIN(100,100*(M401-ANIO_MIN)/(ANIO_ACTUAL-ANIO_MIN)))</f>
        <v/>
      </c>
      <c r="BQ401" s="3">
        <f>W_KMT*BN401+W_KMA*BO401+W_EDAD*BP401</f>
        <v/>
      </c>
      <c r="BR401" s="3">
        <f>P_ITV*(V401="sí")+P_LIBRO*(W401="sí")+P_CORREA*(X401="sí")+P_PROP*(Y401=1)+P_GAR*(Z401="sí")+P_FOTOS*MIN(1,N(U401)/FOTOS_OBJ)</f>
        <v/>
      </c>
      <c r="BS401" s="3">
        <f>IFERROR(VLOOKUP(BF401,ETQ_TBL,2,0),NEUTRO)</f>
        <v/>
      </c>
      <c r="BT401" s="3">
        <f>NEUTRO</f>
        <v/>
      </c>
      <c r="BU401" s="3">
        <f>IFERROR(VLOOKUP(L401,SEGURO_TBL,3,0),"")</f>
        <v/>
      </c>
      <c r="BV401" s="3">
        <f>IF(BU401="",NEUTRO,MAX(0,MIN(100,100*(SEG_REF_MAX-BU401)/(SEG_REF_MAX-SEG_REF_MIN))))</f>
        <v/>
      </c>
      <c r="BW401" s="3">
        <f>W_ET*BS401+W_CONS*BT401+W_SEG*BV401</f>
        <v/>
      </c>
      <c r="BX401" s="3">
        <f>IF(N(AB401)&gt;0,AB401,IF(AND(R401="profesional",SG_LEGAL_ON=1),GAR_LEGAL,0))</f>
        <v/>
      </c>
      <c r="BY401" s="3">
        <f>SG_GAR*MIN(1,BX401/SG_GAR_FULL)+SG_AMPL*(AC401="sí")+SG_KMC*(AF401="sí")+SG_REV*(N(AE401)&gt;0)+SG_DEV*MIN(1,N(AG401)/SG_DEV_FULL)+SG_HIST*(W401="sí")</f>
        <v/>
      </c>
      <c r="BZ401" s="3">
        <f>IFERROR(VLOOKUP(L401,CARR_PEN_TBL,2,0),0)</f>
        <v/>
      </c>
      <c r="CA401" s="3">
        <f>W_FIAB*BL401+W_PRECIO*BM401+W_KMEDAD*BQ401+W_ANUNCIO*BR401+W_USO*BW401+W_SEGURIDAD*BY401-BZ401</f>
        <v/>
      </c>
      <c r="CB401" s="4">
        <f>IF(N(I401)&gt;0,I401,IFERROR(ROUND(_xlfn.NUMBERVALUE(LEFT(G401,FIND(" ",G401&amp;" ")-1),".")*1000,0),99999))</f>
        <v/>
      </c>
      <c r="CC401" s="3">
        <f>IF(R401="profesional",0,IF(O401&lt;CUOTA_VALOR_MAX,IF(AU401&gt;ITP_TRAMO_ALTO,SUMIFS(CF_CUOTA,CF_MAS,ITP_TRAMO_ALTO,CF_CCMIN,"&lt;="&amp;CB401,CF_CCMAX,"&gt;="&amp;CB401),IF(AU401&gt;ITP_TRAMO_BAJO,SUMIFS(CF_CUOTA,CF_MAS,ITP_TRAMO_BAJO,CF_CCMIN,"&lt;="&amp;CB401,CF_CCMAX,"&gt;="&amp;CB401),O401*ITP_TIPO)),O401*ITP_TIPO))</f>
        <v/>
      </c>
      <c r="CD401" s="4">
        <f>IF(R401="profesional",N(AK401),0)</f>
        <v/>
      </c>
      <c r="CE401" s="3">
        <f>IF(AND(R401="profesional",ISNUMBER(AK401),AL401="sí"),0,TASA_DGT)</f>
        <v/>
      </c>
      <c r="CF401" s="3">
        <f>INFORME_DGT</f>
        <v/>
      </c>
      <c r="CG401" s="4">
        <f>O401+CD401+CC401+CE401+CF401</f>
        <v/>
      </c>
      <c r="CH401" s="4">
        <f>CG401+N(BU401)</f>
        <v/>
      </c>
      <c r="CI401" s="3">
        <f>IF(CG401&lt;=TOTAL_MAX,"sí",IF(CG401&lt;=TOTAL_MAX+MARGEN_NEG,"negociar","no"))</f>
        <v/>
      </c>
      <c r="CJ401" s="4">
        <f>IF(CI401&lt;&gt;"no",COUNTIFS($CI$2:$CI$662,"&lt;&gt;no",$CA$2:$CA$662,"&gt;"&amp;CA401)+COUNTIFS($CI$2:CI401,"&lt;&gt;no",$CA$2:CA401,CA401),"")</f>
        <v/>
      </c>
    </row>
    <row r="402">
      <c r="A402" s="2" t="inlineStr">
        <is>
          <t>cochesnet:71799024</t>
        </is>
      </c>
      <c r="B402" s="2" t="inlineStr">
        <is>
          <t>cochesnet</t>
        </is>
      </c>
      <c r="C402" s="2" t="inlineStr">
        <is>
          <t>https://www.coches.net/opel-astra-13-cdti-111-years-gtc-3p-diesel-2011-en-valencia-71799024-covo.aspx</t>
        </is>
      </c>
      <c r="D402" s="2" t="inlineStr">
        <is>
          <t>OPEL Astra 1.3 CDTi 111 Years GTC</t>
        </is>
      </c>
      <c r="E402" s="2" t="inlineStr">
        <is>
          <t>Opel</t>
        </is>
      </c>
      <c r="F402" s="2" t="inlineStr">
        <is>
          <t>Opel Astra</t>
        </is>
      </c>
      <c r="G402" s="2" t="inlineStr">
        <is>
          <t>1.3 CDTi</t>
        </is>
      </c>
      <c r="H402" s="2" t="inlineStr">
        <is>
          <t>1.3 CDTi 111 Years GTC</t>
        </is>
      </c>
      <c r="I402" s="2" t="n"/>
      <c r="J402" s="2" t="n"/>
      <c r="K402" s="2" t="inlineStr">
        <is>
          <t>diesel</t>
        </is>
      </c>
      <c r="L402" s="2" t="inlineStr">
        <is>
          <t>compacto</t>
        </is>
      </c>
      <c r="M402" s="2" t="n">
        <v>2010</v>
      </c>
      <c r="N402" s="2" t="n">
        <v>114000</v>
      </c>
      <c r="O402" s="2" t="n">
        <v>4990</v>
      </c>
      <c r="P402" s="2" t="inlineStr">
        <is>
          <t>manual</t>
        </is>
      </c>
      <c r="Q402" s="2" t="inlineStr">
        <is>
          <t>no</t>
        </is>
      </c>
      <c r="R402" s="2" t="inlineStr">
        <is>
          <t>profesional</t>
        </is>
      </c>
      <c r="S402" s="2" t="inlineStr">
        <is>
          <t>JM Automóviles Alboraya</t>
        </is>
      </c>
      <c r="T402" s="2" t="inlineStr">
        <is>
          <t>2026-10-21T12:55:24Z</t>
        </is>
      </c>
      <c r="U402" s="2" t="n">
        <v>14</v>
      </c>
      <c r="V402" s="2" t="n"/>
      <c r="W402" s="2" t="n"/>
      <c r="X402" s="2" t="n"/>
      <c r="Y402" s="2" t="n"/>
      <c r="Z402" s="2" t="inlineStr">
        <is>
          <t>sí</t>
        </is>
      </c>
      <c r="AA402" s="2" t="n"/>
      <c r="AB402" s="2" t="n">
        <v>12</v>
      </c>
      <c r="AC402" s="2" t="n"/>
      <c r="AD402" s="2" t="n"/>
      <c r="AE402" s="2" t="n"/>
      <c r="AF402" s="2" t="n"/>
      <c r="AG402" s="2" t="n"/>
      <c r="AH402" s="2" t="n">
        <v>4990</v>
      </c>
      <c r="AI402" s="2" t="n">
        <v>4990</v>
      </c>
      <c r="AJ402" s="2" t="n"/>
      <c r="AK402" s="2" t="n"/>
      <c r="AL402" s="2" t="n"/>
      <c r="AM402" s="2" t="n">
        <v>4</v>
      </c>
      <c r="AN402" s="2" t="n">
        <v>5695</v>
      </c>
      <c r="AO402" s="2" t="n">
        <v>8</v>
      </c>
      <c r="AP402" s="2" t="inlineStr">
        <is>
          <t>modelo+año+km</t>
        </is>
      </c>
      <c r="AQ402" s="2" t="n"/>
      <c r="AR402"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402" s="2" t="inlineStr">
        <is>
          <t>OPEL ASTRA GTC 1.3 CDTI 90 CV ESSENTIA – 2010
Opel Astra GTC del año 2010, equipado con motor 1.3 CDTI diésel de 90 CV y acabado Essentia. Un compacto de diseño deportivo, práctico y económico, ideal para el día a día y los desplazamientos por carretera.
DATOS PRINCIPALES
Año: 2010
Motor: 1.3 CDTI diésel
Potencia: 90 CV
Cambio: Manual
Acabado: Essentia
Carrocería: GTC
EQUIPAMIENTO DESTACADO
Aire acondicionado
Radio/CD
Volante multifunción
Elevalunas eléctricos
Cierre centralizado
Luces antiniebla
ABS + ESP
Ordenador de a bordo
LO MEJOR
Motor 1.3 CDTI de 90 CV
Acabado Essentia
Diseño deportivo GTC
Motor diésel de consumo contenido
Compacto y práctico
Ideal para uso diario y carretera
Vehículo en buen estado, cuidado y preparado para su entrega.</t>
        </is>
      </c>
      <c r="AT402" s="2" t="inlineStr">
        <is>
          <t>https://www.coches.net/opel-astra-13-cdti-111-years-gtc-3p-diesel-2011-en-valencia-71799024-covo.aspx (window.__INITIAL_PROPS__.ad) /home/user/Alopecia/buscador-coches/raw/cochesnet/9933ecb8a0c80054.json</t>
        </is>
      </c>
      <c r="AU402" s="3">
        <f>MAX(ANIO_ACTUAL-M402,0)</f>
        <v/>
      </c>
      <c r="AV402" s="4">
        <f>N402/MAX(AU402,0.5)</f>
        <v/>
      </c>
      <c r="AW402" s="4">
        <f>F402</f>
        <v/>
      </c>
      <c r="AX402" s="3">
        <f>AW402&amp;"|"&amp;INT(M402/SEG_ANIO)*SEG_ANIO</f>
        <v/>
      </c>
      <c r="AY402" s="3">
        <f>AX402&amp;"|"&amp;INT(N402/SEG_KM)*SEG_KM</f>
        <v/>
      </c>
      <c r="AZ402" s="4">
        <f>COUNTIF($AW$2:$AW$662,AW402)</f>
        <v/>
      </c>
      <c r="BA402" s="4">
        <f>COUNTIF($AX$2:$AX$662,AX402)</f>
        <v/>
      </c>
      <c r="BB402" s="4">
        <f>COUNTIF($AY$2:$AY$662,AY402)</f>
        <v/>
      </c>
      <c r="BC402" s="3">
        <f t="array" ref="BC402">IF(N(AO402)&gt;=MIN_N,AN402,IF(BB402&gt;=MIN_N,MEDIAN(IF($AY$2:$AY$662=AY402,$O$2:$O$662)),IF(BA402&gt;=MIN_N,MEDIAN(IF($AX$2:$AX$662=AX402,$O$2:$O$662)),MEDIAN(IF($AW$2:$AW$662=AW402,$O$2:$O$662)))))</f>
        <v/>
      </c>
      <c r="BD402" s="3">
        <f>IF(N(AO402)&gt;=MIN_N,"mercado "&amp;AP402,IF(BB402&gt;=MIN_N,"modelo+año+km",IF(BA402&gt;=MIN_N,"modelo+año","modelo")))</f>
        <v/>
      </c>
      <c r="BE402" s="4">
        <f>(BC402-O402)/BC402</f>
        <v/>
      </c>
      <c r="BF402" s="3">
        <f>IF(OR(K402="hibrido",K402="glp"),"ECO",IF(K402="electrico","CERO",IF(K402="gasolina",IF(M402&gt;=GAS_C,"C",IF(M402&gt;=GAS_B,"B","A")),IF(K402="diesel",IF(M402&gt;=DIE_C,"C",IF(M402&gt;=DIE_B,"B","A")),""))))</f>
        <v/>
      </c>
      <c r="BG402" s="3">
        <f>IFERROR(VLOOKUP(F402,MOD_TBL,11,0),IFERROR(VLOOKUP(E402,OCU_TBL,2,0),NEUTRO))</f>
        <v/>
      </c>
      <c r="BH402" s="3">
        <f>SUMIFS(MOT_AJUSTE,MOT_MOTOR,G402,MOT_MARCA,E402,MOT_DESDE,"&lt;="&amp;M402,MOT_HASTA,"&gt;="&amp;M402)+SUMIFS(MOT_AJUSTE,MOT_MOTOR,G402,MOT_MARCA,"(todas)",MOT_DESDE,"&lt;="&amp;M402,MOT_HASTA,"&gt;="&amp;M402)</f>
        <v/>
      </c>
      <c r="BI402" s="3">
        <f>SUMIFS(COMB_AJUSTE,COMB_COMB,K402)</f>
        <v/>
      </c>
      <c r="BJ402" s="3">
        <f>COUNTIFS(MOT_MOTOR,G402,MOT_MARCA,E402,MOT_DESDE,"&lt;="&amp;M402,MOT_HASTA,"&gt;="&amp;M402)+COUNTIFS(MOT_MOTOR,G402,MOT_MARCA,"(todas)",MOT_DESDE,"&lt;="&amp;M402,MOT_HASTA,"&gt;="&amp;M402)</f>
        <v/>
      </c>
      <c r="BK402" s="3">
        <f>IF(AND(K402="diesel",BJ402=0),MIN(BG402,NEUTRO),BG402)</f>
        <v/>
      </c>
      <c r="BL402" s="4">
        <f>MAX(0,MIN(100,BK402+BH402+BI402))</f>
        <v/>
      </c>
      <c r="BM402" s="3">
        <f>MAX(0,MIN(100,50+BE402*PRECIO_PEND))</f>
        <v/>
      </c>
      <c r="BN402" s="3">
        <f>MAX(0,100*(1-N402/KM_MAX))</f>
        <v/>
      </c>
      <c r="BO402" s="3">
        <f>IF(AV402&lt;KMA_SOSP,IF(AA402="sí",100,KMA_PEN),IF(AV402&lt;=KMA_IDEAL_MAX,100,MAX(0,100*(KMA_CERO-AV402)/(KMA_CERO-KMA_IDEAL_MAX))))</f>
        <v/>
      </c>
      <c r="BP402" s="3">
        <f>MAX(0,MIN(100,100*(M402-ANIO_MIN)/(ANIO_ACTUAL-ANIO_MIN)))</f>
        <v/>
      </c>
      <c r="BQ402" s="3">
        <f>W_KMT*BN402+W_KMA*BO402+W_EDAD*BP402</f>
        <v/>
      </c>
      <c r="BR402" s="3">
        <f>P_ITV*(V402="sí")+P_LIBRO*(W402="sí")+P_CORREA*(X402="sí")+P_PROP*(Y402=1)+P_GAR*(Z402="sí")+P_FOTOS*MIN(1,N(U402)/FOTOS_OBJ)</f>
        <v/>
      </c>
      <c r="BS402" s="3">
        <f>IFERROR(VLOOKUP(BF402,ETQ_TBL,2,0),NEUTRO)</f>
        <v/>
      </c>
      <c r="BT402" s="3">
        <f>NEUTRO</f>
        <v/>
      </c>
      <c r="BU402" s="3">
        <f>IFERROR(VLOOKUP(L402,SEGURO_TBL,3,0),"")</f>
        <v/>
      </c>
      <c r="BV402" s="3">
        <f>IF(BU402="",NEUTRO,MAX(0,MIN(100,100*(SEG_REF_MAX-BU402)/(SEG_REF_MAX-SEG_REF_MIN))))</f>
        <v/>
      </c>
      <c r="BW402" s="3">
        <f>W_ET*BS402+W_CONS*BT402+W_SEG*BV402</f>
        <v/>
      </c>
      <c r="BX402" s="3">
        <f>IF(N(AB402)&gt;0,AB402,IF(AND(R402="profesional",SG_LEGAL_ON=1),GAR_LEGAL,0))</f>
        <v/>
      </c>
      <c r="BY402" s="3">
        <f>SG_GAR*MIN(1,BX402/SG_GAR_FULL)+SG_AMPL*(AC402="sí")+SG_KMC*(AF402="sí")+SG_REV*(N(AE402)&gt;0)+SG_DEV*MIN(1,N(AG402)/SG_DEV_FULL)+SG_HIST*(W402="sí")</f>
        <v/>
      </c>
      <c r="BZ402" s="3">
        <f>IFERROR(VLOOKUP(L402,CARR_PEN_TBL,2,0),0)</f>
        <v/>
      </c>
      <c r="CA402" s="3">
        <f>W_FIAB*BL402+W_PRECIO*BM402+W_KMEDAD*BQ402+W_ANUNCIO*BR402+W_USO*BW402+W_SEGURIDAD*BY402-BZ402</f>
        <v/>
      </c>
      <c r="CB402" s="4">
        <f>IF(N(I402)&gt;0,I402,IFERROR(ROUND(_xlfn.NUMBERVALUE(LEFT(G402,FIND(" ",G402&amp;" ")-1),".")*1000,0),99999))</f>
        <v/>
      </c>
      <c r="CC402" s="3">
        <f>IF(R402="profesional",0,IF(O402&lt;CUOTA_VALOR_MAX,IF(AU402&gt;ITP_TRAMO_ALTO,SUMIFS(CF_CUOTA,CF_MAS,ITP_TRAMO_ALTO,CF_CCMIN,"&lt;="&amp;CB402,CF_CCMAX,"&gt;="&amp;CB402),IF(AU402&gt;ITP_TRAMO_BAJO,SUMIFS(CF_CUOTA,CF_MAS,ITP_TRAMO_BAJO,CF_CCMIN,"&lt;="&amp;CB402,CF_CCMAX,"&gt;="&amp;CB402),O402*ITP_TIPO)),O402*ITP_TIPO))</f>
        <v/>
      </c>
      <c r="CD402" s="4">
        <f>IF(R402="profesional",N(AK402),0)</f>
        <v/>
      </c>
      <c r="CE402" s="3">
        <f>IF(AND(R402="profesional",ISNUMBER(AK402),AL402="sí"),0,TASA_DGT)</f>
        <v/>
      </c>
      <c r="CF402" s="3">
        <f>INFORME_DGT</f>
        <v/>
      </c>
      <c r="CG402" s="4">
        <f>O402+CD402+CC402+CE402+CF402</f>
        <v/>
      </c>
      <c r="CH402" s="4">
        <f>CG402+N(BU402)</f>
        <v/>
      </c>
      <c r="CI402" s="3">
        <f>IF(CG402&lt;=TOTAL_MAX,"sí",IF(CG402&lt;=TOTAL_MAX+MARGEN_NEG,"negociar","no"))</f>
        <v/>
      </c>
      <c r="CJ402" s="4">
        <f>IF(CI402&lt;&gt;"no",COUNTIFS($CI$2:$CI$662,"&lt;&gt;no",$CA$2:$CA$662,"&gt;"&amp;CA402)+COUNTIFS($CI$2:CI402,"&lt;&gt;no",$CA$2:CA402,CA402),"")</f>
        <v/>
      </c>
    </row>
    <row r="403">
      <c r="A403" s="2" t="inlineStr">
        <is>
          <t>cochesnet:71599225</t>
        </is>
      </c>
      <c r="B403" s="2" t="inlineStr">
        <is>
          <t>cochesnet</t>
        </is>
      </c>
      <c r="C403" s="2" t="inlineStr">
        <is>
          <t>https://www.coches.net/opel-astra-19-cdti-enjoy-120-cv-5p-diesel-2007-en-valencia-71599225-covo.aspx</t>
        </is>
      </c>
      <c r="D403" s="2" t="inlineStr">
        <is>
          <t>OPEL Astra 1.9 CDTi Enjoy 120 CV</t>
        </is>
      </c>
      <c r="E403" s="2" t="inlineStr">
        <is>
          <t>Opel</t>
        </is>
      </c>
      <c r="F403" s="2" t="inlineStr">
        <is>
          <t>Opel Astra</t>
        </is>
      </c>
      <c r="G403" s="2" t="inlineStr">
        <is>
          <t>1.9 CDTi</t>
        </is>
      </c>
      <c r="H403" s="2" t="inlineStr">
        <is>
          <t>1.9 CDTi Enjoy 120 CV</t>
        </is>
      </c>
      <c r="I403" s="2" t="n"/>
      <c r="J403" s="2" t="n">
        <v>120</v>
      </c>
      <c r="K403" s="2" t="inlineStr">
        <is>
          <t>diesel</t>
        </is>
      </c>
      <c r="L403" s="2" t="inlineStr">
        <is>
          <t>compacto</t>
        </is>
      </c>
      <c r="M403" s="2" t="n">
        <v>2006</v>
      </c>
      <c r="N403" s="2" t="n">
        <v>129000</v>
      </c>
      <c r="O403" s="2" t="n">
        <v>4190</v>
      </c>
      <c r="P403" s="2" t="inlineStr">
        <is>
          <t>manual</t>
        </is>
      </c>
      <c r="Q403" s="2" t="inlineStr">
        <is>
          <t>no</t>
        </is>
      </c>
      <c r="R403" s="2" t="inlineStr">
        <is>
          <t>profesional</t>
        </is>
      </c>
      <c r="S403" s="2" t="inlineStr">
        <is>
          <t>Only Cars Valencia Aldaia</t>
        </is>
      </c>
      <c r="T403" s="2" t="inlineStr">
        <is>
          <t>2026-09-25T16:51:25Z</t>
        </is>
      </c>
      <c r="U403" s="2" t="n">
        <v>11</v>
      </c>
      <c r="V403" s="2" t="n"/>
      <c r="W403" s="2" t="n"/>
      <c r="X403" s="2" t="n"/>
      <c r="Y403" s="2" t="n"/>
      <c r="Z403" s="2" t="inlineStr">
        <is>
          <t>sí</t>
        </is>
      </c>
      <c r="AA403" s="2" t="n"/>
      <c r="AB403" s="2" t="n">
        <v>12</v>
      </c>
      <c r="AC403" s="2" t="n"/>
      <c r="AD403" s="2" t="n"/>
      <c r="AE403" s="2" t="n"/>
      <c r="AF403" s="2" t="n"/>
      <c r="AG403" s="2" t="n"/>
      <c r="AH403" s="2" t="n">
        <v>4190</v>
      </c>
      <c r="AI403" s="2" t="n"/>
      <c r="AJ403" s="2" t="n"/>
      <c r="AK403" s="2" t="n"/>
      <c r="AL403" s="2" t="n"/>
      <c r="AM403" s="2" t="n">
        <v>7.5</v>
      </c>
      <c r="AN403" s="2" t="n">
        <v>3725</v>
      </c>
      <c r="AO403" s="2" t="n">
        <v>12</v>
      </c>
      <c r="AP403" s="2" t="inlineStr">
        <is>
          <t>modelo+año+km</t>
        </is>
      </c>
      <c r="AQ403" s="2" t="n"/>
      <c r="AR403" s="2" t="inlineStr">
        <is>
          <t>vendedor profesional: sin ITP (operación con IVA/REBU, confirmar en factura); gastos de gestión del vendedor no indicados: se suma la tasa DGT; preguntar el precio final; diésel: motor sin fuente de fiabilidad (fiabilidad limitada a neutra)</t>
        </is>
      </c>
      <c r="AS403" s="2" t="inlineStr">
        <is>
          <t>Opel Astra 1.9 CDTI Enjoy año 2006 con 129.000Kms 120CV.
Equipamiento:
- elevalunas eléctricos 
- Espejos eléctricos 
- Aire acondicionado 
- Dirección asistida
- Mando a distancia 
Mantenimiento:
   - cambio de filtro de aire
   - cambio de filtro de aceite
   - cambio de aceite 
   - Dos juegos de llave
   - Alfombrillas</t>
        </is>
      </c>
      <c r="AT403" s="2" t="inlineStr">
        <is>
          <t>https://www.coches.net/opel-astra-19-cdti-enjoy-120-cv-5p-diesel-2007-en-valencia-71599225-covo.aspx (window.__INITIAL_PROPS__.ad) /home/user/Alopecia/buscador-coches/raw/cochesnet/f421bcba4a0c6277.json</t>
        </is>
      </c>
      <c r="AU403" s="3">
        <f>MAX(ANIO_ACTUAL-M403,0)</f>
        <v/>
      </c>
      <c r="AV403" s="4">
        <f>N403/MAX(AU403,0.5)</f>
        <v/>
      </c>
      <c r="AW403" s="4">
        <f>F403</f>
        <v/>
      </c>
      <c r="AX403" s="3">
        <f>AW403&amp;"|"&amp;INT(M403/SEG_ANIO)*SEG_ANIO</f>
        <v/>
      </c>
      <c r="AY403" s="3">
        <f>AX403&amp;"|"&amp;INT(N403/SEG_KM)*SEG_KM</f>
        <v/>
      </c>
      <c r="AZ403" s="4">
        <f>COUNTIF($AW$2:$AW$662,AW403)</f>
        <v/>
      </c>
      <c r="BA403" s="4">
        <f>COUNTIF($AX$2:$AX$662,AX403)</f>
        <v/>
      </c>
      <c r="BB403" s="4">
        <f>COUNTIF($AY$2:$AY$662,AY403)</f>
        <v/>
      </c>
      <c r="BC403" s="3">
        <f t="array" ref="BC403">IF(N(AO403)&gt;=MIN_N,AN403,IF(BB403&gt;=MIN_N,MEDIAN(IF($AY$2:$AY$662=AY403,$O$2:$O$662)),IF(BA403&gt;=MIN_N,MEDIAN(IF($AX$2:$AX$662=AX403,$O$2:$O$662)),MEDIAN(IF($AW$2:$AW$662=AW403,$O$2:$O$662)))))</f>
        <v/>
      </c>
      <c r="BD403" s="3">
        <f>IF(N(AO403)&gt;=MIN_N,"mercado "&amp;AP403,IF(BB403&gt;=MIN_N,"modelo+año+km",IF(BA403&gt;=MIN_N,"modelo+año","modelo")))</f>
        <v/>
      </c>
      <c r="BE403" s="4">
        <f>(BC403-O403)/BC403</f>
        <v/>
      </c>
      <c r="BF403" s="3">
        <f>IF(OR(K403="hibrido",K403="glp"),"ECO",IF(K403="electrico","CERO",IF(K403="gasolina",IF(M403&gt;=GAS_C,"C",IF(M403&gt;=GAS_B,"B","A")),IF(K403="diesel",IF(M403&gt;=DIE_C,"C",IF(M403&gt;=DIE_B,"B","A")),""))))</f>
        <v/>
      </c>
      <c r="BG403" s="3">
        <f>IFERROR(VLOOKUP(F403,MOD_TBL,11,0),IFERROR(VLOOKUP(E403,OCU_TBL,2,0),NEUTRO))</f>
        <v/>
      </c>
      <c r="BH403" s="3">
        <f>SUMIFS(MOT_AJUSTE,MOT_MOTOR,G403,MOT_MARCA,E403,MOT_DESDE,"&lt;="&amp;M403,MOT_HASTA,"&gt;="&amp;M403)+SUMIFS(MOT_AJUSTE,MOT_MOTOR,G403,MOT_MARCA,"(todas)",MOT_DESDE,"&lt;="&amp;M403,MOT_HASTA,"&gt;="&amp;M403)</f>
        <v/>
      </c>
      <c r="BI403" s="3">
        <f>SUMIFS(COMB_AJUSTE,COMB_COMB,K403)</f>
        <v/>
      </c>
      <c r="BJ403" s="3">
        <f>COUNTIFS(MOT_MOTOR,G403,MOT_MARCA,E403,MOT_DESDE,"&lt;="&amp;M403,MOT_HASTA,"&gt;="&amp;M403)+COUNTIFS(MOT_MOTOR,G403,MOT_MARCA,"(todas)",MOT_DESDE,"&lt;="&amp;M403,MOT_HASTA,"&gt;="&amp;M403)</f>
        <v/>
      </c>
      <c r="BK403" s="3">
        <f>IF(AND(K403="diesel",BJ403=0),MIN(BG403,NEUTRO),BG403)</f>
        <v/>
      </c>
      <c r="BL403" s="4">
        <f>MAX(0,MIN(100,BK403+BH403+BI403))</f>
        <v/>
      </c>
      <c r="BM403" s="3">
        <f>MAX(0,MIN(100,50+BE403*PRECIO_PEND))</f>
        <v/>
      </c>
      <c r="BN403" s="3">
        <f>MAX(0,100*(1-N403/KM_MAX))</f>
        <v/>
      </c>
      <c r="BO403" s="3">
        <f>IF(AV403&lt;KMA_SOSP,IF(AA403="sí",100,KMA_PEN),IF(AV403&lt;=KMA_IDEAL_MAX,100,MAX(0,100*(KMA_CERO-AV403)/(KMA_CERO-KMA_IDEAL_MAX))))</f>
        <v/>
      </c>
      <c r="BP403" s="3">
        <f>MAX(0,MIN(100,100*(M403-ANIO_MIN)/(ANIO_ACTUAL-ANIO_MIN)))</f>
        <v/>
      </c>
      <c r="BQ403" s="3">
        <f>W_KMT*BN403+W_KMA*BO403+W_EDAD*BP403</f>
        <v/>
      </c>
      <c r="BR403" s="3">
        <f>P_ITV*(V403="sí")+P_LIBRO*(W403="sí")+P_CORREA*(X403="sí")+P_PROP*(Y403=1)+P_GAR*(Z403="sí")+P_FOTOS*MIN(1,N(U403)/FOTOS_OBJ)</f>
        <v/>
      </c>
      <c r="BS403" s="3">
        <f>IFERROR(VLOOKUP(BF403,ETQ_TBL,2,0),NEUTRO)</f>
        <v/>
      </c>
      <c r="BT403" s="3">
        <f>NEUTRO</f>
        <v/>
      </c>
      <c r="BU403" s="3">
        <f>IFERROR(VLOOKUP(L403,SEGURO_TBL,3,0),"")</f>
        <v/>
      </c>
      <c r="BV403" s="3">
        <f>IF(BU403="",NEUTRO,MAX(0,MIN(100,100*(SEG_REF_MAX-BU403)/(SEG_REF_MAX-SEG_REF_MIN))))</f>
        <v/>
      </c>
      <c r="BW403" s="3">
        <f>W_ET*BS403+W_CONS*BT403+W_SEG*BV403</f>
        <v/>
      </c>
      <c r="BX403" s="3">
        <f>IF(N(AB403)&gt;0,AB403,IF(AND(R403="profesional",SG_LEGAL_ON=1),GAR_LEGAL,0))</f>
        <v/>
      </c>
      <c r="BY403" s="3">
        <f>SG_GAR*MIN(1,BX403/SG_GAR_FULL)+SG_AMPL*(AC403="sí")+SG_KMC*(AF403="sí")+SG_REV*(N(AE403)&gt;0)+SG_DEV*MIN(1,N(AG403)/SG_DEV_FULL)+SG_HIST*(W403="sí")</f>
        <v/>
      </c>
      <c r="BZ403" s="3">
        <f>IFERROR(VLOOKUP(L403,CARR_PEN_TBL,2,0),0)</f>
        <v/>
      </c>
      <c r="CA403" s="3">
        <f>W_FIAB*BL403+W_PRECIO*BM403+W_KMEDAD*BQ403+W_ANUNCIO*BR403+W_USO*BW403+W_SEGURIDAD*BY403-BZ403</f>
        <v/>
      </c>
      <c r="CB403" s="4">
        <f>IF(N(I403)&gt;0,I403,IFERROR(ROUND(_xlfn.NUMBERVALUE(LEFT(G403,FIND(" ",G403&amp;" ")-1),".")*1000,0),99999))</f>
        <v/>
      </c>
      <c r="CC403" s="3">
        <f>IF(R403="profesional",0,IF(O403&lt;CUOTA_VALOR_MAX,IF(AU403&gt;ITP_TRAMO_ALTO,SUMIFS(CF_CUOTA,CF_MAS,ITP_TRAMO_ALTO,CF_CCMIN,"&lt;="&amp;CB403,CF_CCMAX,"&gt;="&amp;CB403),IF(AU403&gt;ITP_TRAMO_BAJO,SUMIFS(CF_CUOTA,CF_MAS,ITP_TRAMO_BAJO,CF_CCMIN,"&lt;="&amp;CB403,CF_CCMAX,"&gt;="&amp;CB403),O403*ITP_TIPO)),O403*ITP_TIPO))</f>
        <v/>
      </c>
      <c r="CD403" s="4">
        <f>IF(R403="profesional",N(AK403),0)</f>
        <v/>
      </c>
      <c r="CE403" s="3">
        <f>IF(AND(R403="profesional",ISNUMBER(AK403),AL403="sí"),0,TASA_DGT)</f>
        <v/>
      </c>
      <c r="CF403" s="3">
        <f>INFORME_DGT</f>
        <v/>
      </c>
      <c r="CG403" s="4">
        <f>O403+CD403+CC403+CE403+CF403</f>
        <v/>
      </c>
      <c r="CH403" s="4">
        <f>CG403+N(BU403)</f>
        <v/>
      </c>
      <c r="CI403" s="3">
        <f>IF(CG403&lt;=TOTAL_MAX,"sí",IF(CG403&lt;=TOTAL_MAX+MARGEN_NEG,"negociar","no"))</f>
        <v/>
      </c>
      <c r="CJ403" s="4">
        <f>IF(CI403&lt;&gt;"no",COUNTIFS($CI$2:$CI$662,"&lt;&gt;no",$CA$2:$CA$662,"&gt;"&amp;CA403)+COUNTIFS($CI$2:CI403,"&lt;&gt;no",$CA$2:CA403,CA403),"")</f>
        <v/>
      </c>
    </row>
    <row r="404">
      <c r="A404" s="2" t="inlineStr">
        <is>
          <t>cochesnet:71859065</t>
        </is>
      </c>
      <c r="B404" s="2" t="inlineStr">
        <is>
          <t>cochesnet</t>
        </is>
      </c>
      <c r="C404" s="2" t="inlineStr">
        <is>
          <t>https://www.coches.net/opel-astra-20-cdti-165-cv-excellence-auto-st-5p-diesel-2015-en-valencia-71859065-covo.aspx</t>
        </is>
      </c>
      <c r="D404" s="2" t="inlineStr">
        <is>
          <t>OPEL Astra 2.0 CDTi 165 CV Excellence Auto ST</t>
        </is>
      </c>
      <c r="E404" s="2" t="inlineStr">
        <is>
          <t>Opel</t>
        </is>
      </c>
      <c r="F404" s="2" t="inlineStr">
        <is>
          <t>Opel Astra</t>
        </is>
      </c>
      <c r="G404" s="2" t="inlineStr">
        <is>
          <t>2.0 CDTi</t>
        </is>
      </c>
      <c r="H404" s="2" t="inlineStr">
        <is>
          <t>2.0 CDTi 165 CV Excellence Auto ST</t>
        </is>
      </c>
      <c r="I404" s="2" t="n"/>
      <c r="J404" s="2" t="n">
        <v>165</v>
      </c>
      <c r="K404" s="2" t="inlineStr">
        <is>
          <t>diesel</t>
        </is>
      </c>
      <c r="L404" s="2" t="inlineStr">
        <is>
          <t>familiar</t>
        </is>
      </c>
      <c r="M404" s="2" t="n">
        <v>2015</v>
      </c>
      <c r="N404" s="2" t="n">
        <v>200000</v>
      </c>
      <c r="O404" s="2" t="n">
        <v>4850</v>
      </c>
      <c r="P404" s="2" t="inlineStr">
        <is>
          <t>automatico</t>
        </is>
      </c>
      <c r="Q404" s="2" t="inlineStr">
        <is>
          <t>sí</t>
        </is>
      </c>
      <c r="R404" s="2" t="inlineStr">
        <is>
          <t>particular</t>
        </is>
      </c>
      <c r="S404" s="2" t="n"/>
      <c r="T404" s="2" t="inlineStr">
        <is>
          <t>2026-10-29T06:46:11Z</t>
        </is>
      </c>
      <c r="U404" s="2" t="n">
        <v>1</v>
      </c>
      <c r="V404" s="2" t="n"/>
      <c r="W404" s="2" t="n"/>
      <c r="X404" s="2" t="n"/>
      <c r="Y404" s="2" t="n">
        <v>1</v>
      </c>
      <c r="Z404" s="2" t="inlineStr">
        <is>
          <t>no</t>
        </is>
      </c>
      <c r="AA404" s="2" t="n"/>
      <c r="AB404" s="2" t="n"/>
      <c r="AC404" s="2" t="n"/>
      <c r="AD404" s="2" t="n"/>
      <c r="AE404" s="2" t="n"/>
      <c r="AF404" s="2" t="n"/>
      <c r="AG404" s="2" t="n"/>
      <c r="AH404" s="2" t="n">
        <v>4850</v>
      </c>
      <c r="AI404" s="2" t="n"/>
      <c r="AJ404" s="2" t="n"/>
      <c r="AK404" s="2" t="n"/>
      <c r="AL404" s="2" t="n"/>
      <c r="AM404" s="2" t="n"/>
      <c r="AN404" s="2" t="n">
        <v>5300</v>
      </c>
      <c r="AO404" s="2" t="n">
        <v>30</v>
      </c>
      <c r="AP404" s="2" t="inlineStr">
        <is>
          <t>modelo+año</t>
        </is>
      </c>
      <c r="AQ404" s="2" t="n"/>
      <c r="AR404" s="2" t="inlineStr">
        <is>
          <t>por encima del presupuesto (5094 €), negociar; cuota fija ITP: &gt;5 y &lt;=12 años, 1.501-2.000 cc; diésel: motor sin fuente de fiabilidad (fiabilidad limitada a neutra); carrocería familiar: -3 puntos; distancia no verificable (el anuncio solo indica la provincia): confirmar que está a &lt;= 70 km</t>
        </is>
      </c>
      <c r="AS404" s="2" t="inlineStr">
        <is>
          <t>Vendo Opel Astra 2.0cdti  165 caballos automático tiene todos los extras coche de único dueño más información por privado. Gracias</t>
        </is>
      </c>
      <c r="AT404" s="2" t="inlineStr">
        <is>
          <t>https://www.coches.net/opel-astra-20-cdti-165-cv-excellence-auto-st-5p-diesel-2015-en-valencia-71859065-covo.aspx (window.__INITIAL_PROPS__.ad) /home/user/Alopecia/buscador-coches/raw/cochesnet/96e5c359755bc3a5.json</t>
        </is>
      </c>
      <c r="AU404" s="3">
        <f>MAX(ANIO_ACTUAL-M404,0)</f>
        <v/>
      </c>
      <c r="AV404" s="4">
        <f>N404/MAX(AU404,0.5)</f>
        <v/>
      </c>
      <c r="AW404" s="4">
        <f>F404</f>
        <v/>
      </c>
      <c r="AX404" s="3">
        <f>AW404&amp;"|"&amp;INT(M404/SEG_ANIO)*SEG_ANIO</f>
        <v/>
      </c>
      <c r="AY404" s="3">
        <f>AX404&amp;"|"&amp;INT(N404/SEG_KM)*SEG_KM</f>
        <v/>
      </c>
      <c r="AZ404" s="4">
        <f>COUNTIF($AW$2:$AW$662,AW404)</f>
        <v/>
      </c>
      <c r="BA404" s="4">
        <f>COUNTIF($AX$2:$AX$662,AX404)</f>
        <v/>
      </c>
      <c r="BB404" s="4">
        <f>COUNTIF($AY$2:$AY$662,AY404)</f>
        <v/>
      </c>
      <c r="BC404" s="3">
        <f t="array" ref="BC404">IF(N(AO404)&gt;=MIN_N,AN404,IF(BB404&gt;=MIN_N,MEDIAN(IF($AY$2:$AY$662=AY404,$O$2:$O$662)),IF(BA404&gt;=MIN_N,MEDIAN(IF($AX$2:$AX$662=AX404,$O$2:$O$662)),MEDIAN(IF($AW$2:$AW$662=AW404,$O$2:$O$662)))))</f>
        <v/>
      </c>
      <c r="BD404" s="3">
        <f>IF(N(AO404)&gt;=MIN_N,"mercado "&amp;AP404,IF(BB404&gt;=MIN_N,"modelo+año+km",IF(BA404&gt;=MIN_N,"modelo+año","modelo")))</f>
        <v/>
      </c>
      <c r="BE404" s="4">
        <f>(BC404-O404)/BC404</f>
        <v/>
      </c>
      <c r="BF404" s="3">
        <f>IF(OR(K404="hibrido",K404="glp"),"ECO",IF(K404="electrico","CERO",IF(K404="gasolina",IF(M404&gt;=GAS_C,"C",IF(M404&gt;=GAS_B,"B","A")),IF(K404="diesel",IF(M404&gt;=DIE_C,"C",IF(M404&gt;=DIE_B,"B","A")),""))))</f>
        <v/>
      </c>
      <c r="BG404" s="3">
        <f>IFERROR(VLOOKUP(F404,MOD_TBL,11,0),IFERROR(VLOOKUP(E404,OCU_TBL,2,0),NEUTRO))</f>
        <v/>
      </c>
      <c r="BH404" s="3">
        <f>SUMIFS(MOT_AJUSTE,MOT_MOTOR,G404,MOT_MARCA,E404,MOT_DESDE,"&lt;="&amp;M404,MOT_HASTA,"&gt;="&amp;M404)+SUMIFS(MOT_AJUSTE,MOT_MOTOR,G404,MOT_MARCA,"(todas)",MOT_DESDE,"&lt;="&amp;M404,MOT_HASTA,"&gt;="&amp;M404)</f>
        <v/>
      </c>
      <c r="BI404" s="3">
        <f>SUMIFS(COMB_AJUSTE,COMB_COMB,K404)</f>
        <v/>
      </c>
      <c r="BJ404" s="3">
        <f>COUNTIFS(MOT_MOTOR,G404,MOT_MARCA,E404,MOT_DESDE,"&lt;="&amp;M404,MOT_HASTA,"&gt;="&amp;M404)+COUNTIFS(MOT_MOTOR,G404,MOT_MARCA,"(todas)",MOT_DESDE,"&lt;="&amp;M404,MOT_HASTA,"&gt;="&amp;M404)</f>
        <v/>
      </c>
      <c r="BK404" s="3">
        <f>IF(AND(K404="diesel",BJ404=0),MIN(BG404,NEUTRO),BG404)</f>
        <v/>
      </c>
      <c r="BL404" s="4">
        <f>MAX(0,MIN(100,BK404+BH404+BI404))</f>
        <v/>
      </c>
      <c r="BM404" s="3">
        <f>MAX(0,MIN(100,50+BE404*PRECIO_PEND))</f>
        <v/>
      </c>
      <c r="BN404" s="3">
        <f>MAX(0,100*(1-N404/KM_MAX))</f>
        <v/>
      </c>
      <c r="BO404" s="3">
        <f>IF(AV404&lt;KMA_SOSP,IF(AA404="sí",100,KMA_PEN),IF(AV404&lt;=KMA_IDEAL_MAX,100,MAX(0,100*(KMA_CERO-AV404)/(KMA_CERO-KMA_IDEAL_MAX))))</f>
        <v/>
      </c>
      <c r="BP404" s="3">
        <f>MAX(0,MIN(100,100*(M404-ANIO_MIN)/(ANIO_ACTUAL-ANIO_MIN)))</f>
        <v/>
      </c>
      <c r="BQ404" s="3">
        <f>W_KMT*BN404+W_KMA*BO404+W_EDAD*BP404</f>
        <v/>
      </c>
      <c r="BR404" s="3">
        <f>P_ITV*(V404="sí")+P_LIBRO*(W404="sí")+P_CORREA*(X404="sí")+P_PROP*(Y404=1)+P_GAR*(Z404="sí")+P_FOTOS*MIN(1,N(U404)/FOTOS_OBJ)</f>
        <v/>
      </c>
      <c r="BS404" s="3">
        <f>IFERROR(VLOOKUP(BF404,ETQ_TBL,2,0),NEUTRO)</f>
        <v/>
      </c>
      <c r="BT404" s="3">
        <f>NEUTRO</f>
        <v/>
      </c>
      <c r="BU404" s="3">
        <f>IFERROR(VLOOKUP(L404,SEGURO_TBL,3,0),"")</f>
        <v/>
      </c>
      <c r="BV404" s="3">
        <f>IF(BU404="",NEUTRO,MAX(0,MIN(100,100*(SEG_REF_MAX-BU404)/(SEG_REF_MAX-SEG_REF_MIN))))</f>
        <v/>
      </c>
      <c r="BW404" s="3">
        <f>W_ET*BS404+W_CONS*BT404+W_SEG*BV404</f>
        <v/>
      </c>
      <c r="BX404" s="3">
        <f>IF(N(AB404)&gt;0,AB404,IF(AND(R404="profesional",SG_LEGAL_ON=1),GAR_LEGAL,0))</f>
        <v/>
      </c>
      <c r="BY404" s="3">
        <f>SG_GAR*MIN(1,BX404/SG_GAR_FULL)+SG_AMPL*(AC404="sí")+SG_KMC*(AF404="sí")+SG_REV*(N(AE404)&gt;0)+SG_DEV*MIN(1,N(AG404)/SG_DEV_FULL)+SG_HIST*(W404="sí")</f>
        <v/>
      </c>
      <c r="BZ404" s="3">
        <f>IFERROR(VLOOKUP(L404,CARR_PEN_TBL,2,0),0)</f>
        <v/>
      </c>
      <c r="CA404" s="3">
        <f>W_FIAB*BL404+W_PRECIO*BM404+W_KMEDAD*BQ404+W_ANUNCIO*BR404+W_USO*BW404+W_SEGURIDAD*BY404-BZ404</f>
        <v/>
      </c>
      <c r="CB404" s="4">
        <f>IF(N(I404)&gt;0,I404,IFERROR(ROUND(_xlfn.NUMBERVALUE(LEFT(G404,FIND(" ",G404&amp;" ")-1),".")*1000,0),99999))</f>
        <v/>
      </c>
      <c r="CC404" s="3">
        <f>IF(R404="profesional",0,IF(O404&lt;CUOTA_VALOR_MAX,IF(AU404&gt;ITP_TRAMO_ALTO,SUMIFS(CF_CUOTA,CF_MAS,ITP_TRAMO_ALTO,CF_CCMIN,"&lt;="&amp;CB404,CF_CCMAX,"&gt;="&amp;CB404),IF(AU404&gt;ITP_TRAMO_BAJO,SUMIFS(CF_CUOTA,CF_MAS,ITP_TRAMO_BAJO,CF_CCMIN,"&lt;="&amp;CB404,CF_CCMAX,"&gt;="&amp;CB404),O404*ITP_TIPO)),O404*ITP_TIPO))</f>
        <v/>
      </c>
      <c r="CD404" s="4">
        <f>IF(R404="profesional",N(AK404),0)</f>
        <v/>
      </c>
      <c r="CE404" s="3">
        <f>IF(AND(R404="profesional",ISNUMBER(AK404),AL404="sí"),0,TASA_DGT)</f>
        <v/>
      </c>
      <c r="CF404" s="3">
        <f>INFORME_DGT</f>
        <v/>
      </c>
      <c r="CG404" s="4">
        <f>O404+CD404+CC404+CE404+CF404</f>
        <v/>
      </c>
      <c r="CH404" s="4">
        <f>CG404+N(BU404)</f>
        <v/>
      </c>
      <c r="CI404" s="3">
        <f>IF(CG404&lt;=TOTAL_MAX,"sí",IF(CG404&lt;=TOTAL_MAX+MARGEN_NEG,"negociar","no"))</f>
        <v/>
      </c>
      <c r="CJ404" s="4">
        <f>IF(CI404&lt;&gt;"no",COUNTIFS($CI$2:$CI$662,"&lt;&gt;no",$CA$2:$CA$662,"&gt;"&amp;CA404)+COUNTIFS($CI$2:CI404,"&lt;&gt;no",$CA$2:CA404,CA404),"")</f>
        <v/>
      </c>
    </row>
    <row r="405">
      <c r="A405" s="2" t="inlineStr">
        <is>
          <t>cochesnet:71722524</t>
        </is>
      </c>
      <c r="B405" s="2" t="inlineStr">
        <is>
          <t>cochesnet</t>
        </is>
      </c>
      <c r="C405" s="2" t="inlineStr">
        <is>
          <t>https://www.coches.net/opel-astra-14-enjoy-5p-gasolina-2006-en-valencia-71722524-covo.aspx</t>
        </is>
      </c>
      <c r="D405" s="2" t="inlineStr">
        <is>
          <t>OPEL Astra 1.4 Enjoy</t>
        </is>
      </c>
      <c r="E405" s="2" t="inlineStr">
        <is>
          <t>Opel</t>
        </is>
      </c>
      <c r="F405" s="2" t="inlineStr">
        <is>
          <t>Opel Astra</t>
        </is>
      </c>
      <c r="G405" s="2" t="inlineStr">
        <is>
          <t>1.4</t>
        </is>
      </c>
      <c r="H405" s="2" t="inlineStr">
        <is>
          <t>1.4 Enjoy</t>
        </is>
      </c>
      <c r="I405" s="2" t="n"/>
      <c r="J405" s="2" t="n"/>
      <c r="K405" s="2" t="inlineStr">
        <is>
          <t>gasolina</t>
        </is>
      </c>
      <c r="L405" s="2" t="inlineStr">
        <is>
          <t>compacto</t>
        </is>
      </c>
      <c r="M405" s="2" t="n">
        <v>2006</v>
      </c>
      <c r="N405" s="2" t="n">
        <v>78450</v>
      </c>
      <c r="O405" s="2" t="n">
        <v>4490</v>
      </c>
      <c r="P405" s="2" t="inlineStr">
        <is>
          <t>manual</t>
        </is>
      </c>
      <c r="Q405" s="2" t="inlineStr">
        <is>
          <t>no</t>
        </is>
      </c>
      <c r="R405" s="2" t="inlineStr">
        <is>
          <t>profesional</t>
        </is>
      </c>
      <c r="S405" s="2" t="inlineStr">
        <is>
          <t>Automóviles OCASIÓN.  Valencia</t>
        </is>
      </c>
      <c r="T405" s="2" t="inlineStr">
        <is>
          <t>2026-10-11T14:37:16Z</t>
        </is>
      </c>
      <c r="U405" s="2" t="n">
        <v>81</v>
      </c>
      <c r="V405" s="2" t="inlineStr">
        <is>
          <t>sí</t>
        </is>
      </c>
      <c r="W405" s="2" t="inlineStr">
        <is>
          <t>sí</t>
        </is>
      </c>
      <c r="X405" s="2" t="n"/>
      <c r="Y405" s="2" t="n">
        <v>1</v>
      </c>
      <c r="Z405" s="2" t="inlineStr">
        <is>
          <t>sí</t>
        </is>
      </c>
      <c r="AA405" s="2" t="n"/>
      <c r="AB405" s="2" t="n">
        <v>12</v>
      </c>
      <c r="AC405" s="2" t="n"/>
      <c r="AD405" s="2" t="n"/>
      <c r="AE405" s="2" t="n"/>
      <c r="AF405" s="2" t="inlineStr">
        <is>
          <t>sí</t>
        </is>
      </c>
      <c r="AG405" s="2" t="n"/>
      <c r="AH405" s="2" t="n">
        <v>4490</v>
      </c>
      <c r="AI405" s="2" t="n"/>
      <c r="AJ405" s="2" t="n"/>
      <c r="AK405" s="2" t="n"/>
      <c r="AL405" s="2" t="n"/>
      <c r="AM405" s="2" t="n">
        <v>0.1</v>
      </c>
      <c r="AN405" s="2" t="n">
        <v>2500</v>
      </c>
      <c r="AO405" s="2" t="n">
        <v>64</v>
      </c>
      <c r="AP405" s="2" t="inlineStr">
        <is>
          <t>modelo+año</t>
        </is>
      </c>
      <c r="AQ405" s="2" t="n"/>
      <c r="AR405" s="2" t="inlineStr">
        <is>
          <t>vendedor profesional: sin ITP (operación con IVA/REBU, confirmar en factura); gastos de gestión del vendedor no indicados: se suma la tasa DGT; preguntar el precio final</t>
        </is>
      </c>
      <c r="AS405" s="2" t="inlineStr">
        <is>
          <t>****PARA MAS INFORMACIÓN, SOLO SE ATENDERÁ MEDIANTE LAMADA TELEFÓNICA. NO SE CONTESTARAN MENSAJES POR CHAT. SOLO LLAMADAS****
Vehículo DISPONIBLE - Entrega INMEDIATA (IMPECABLE).
*****Para + información, contactar SOLO por vía telefónica.
Para ver y probar el Vehículo siempre con CITA PREVIA*****.
Vehículo nacional. Único propietario. Historial de Mantenimiento del Vehículo. Kilómetros CERTIFICADOS. ITV en vigor hasta 2027 (Favorable). Revisión de mantenimiento + Kit de Distribución al día. Neumáticos Bridgestone. Dispone de pegatina medio ambiental.
EXTRAS: Acabado ENJOY/SPORT. Con Climatizador digital. Faros deportivos Xenón con óptica negra. Ordenador abordo. Sistema de Audio OPEL. Cierre centralizado. Elevalunas eléctricos. Retrovisores eléctricos. Abs/Esp/Airbargs/Isofix en asientos traseros. Antinieblas delanter/trasero. Gran capacidad de maletero. Pintura metalizada. Dispone de 2 llaves con mando. LLantas de aleación en 16 pulgadas. ETC.
Vehículo económico, amplio, versátil y de bajo consumo.
***Cambio de nombre. Más Seguro Mecánico PLUS de 1 año:  500.-€***.
Para + INFO, contactar solo por vía telefónica...</t>
        </is>
      </c>
      <c r="AT405" s="2" t="inlineStr">
        <is>
          <t>https://www.coches.net/opel-astra-14-enjoy-5p-gasolina-2006-en-valencia-71722524-covo.aspx (window.__INITIAL_PROPS__.ad) /home/user/Alopecia/buscador-coches/raw/cochesnet/30ba241b7773e8c7.json</t>
        </is>
      </c>
      <c r="AU405" s="3">
        <f>MAX(ANIO_ACTUAL-M405,0)</f>
        <v/>
      </c>
      <c r="AV405" s="4">
        <f>N405/MAX(AU405,0.5)</f>
        <v/>
      </c>
      <c r="AW405" s="4">
        <f>F405</f>
        <v/>
      </c>
      <c r="AX405" s="3">
        <f>AW405&amp;"|"&amp;INT(M405/SEG_ANIO)*SEG_ANIO</f>
        <v/>
      </c>
      <c r="AY405" s="3">
        <f>AX405&amp;"|"&amp;INT(N405/SEG_KM)*SEG_KM</f>
        <v/>
      </c>
      <c r="AZ405" s="4">
        <f>COUNTIF($AW$2:$AW$662,AW405)</f>
        <v/>
      </c>
      <c r="BA405" s="4">
        <f>COUNTIF($AX$2:$AX$662,AX405)</f>
        <v/>
      </c>
      <c r="BB405" s="4">
        <f>COUNTIF($AY$2:$AY$662,AY405)</f>
        <v/>
      </c>
      <c r="BC405" s="3">
        <f t="array" ref="BC405">IF(N(AO405)&gt;=MIN_N,AN405,IF(BB405&gt;=MIN_N,MEDIAN(IF($AY$2:$AY$662=AY405,$O$2:$O$662)),IF(BA405&gt;=MIN_N,MEDIAN(IF($AX$2:$AX$662=AX405,$O$2:$O$662)),MEDIAN(IF($AW$2:$AW$662=AW405,$O$2:$O$662)))))</f>
        <v/>
      </c>
      <c r="BD405" s="3">
        <f>IF(N(AO405)&gt;=MIN_N,"mercado "&amp;AP405,IF(BB405&gt;=MIN_N,"modelo+año+km",IF(BA405&gt;=MIN_N,"modelo+año","modelo")))</f>
        <v/>
      </c>
      <c r="BE405" s="4">
        <f>(BC405-O405)/BC405</f>
        <v/>
      </c>
      <c r="BF405" s="3">
        <f>IF(OR(K405="hibrido",K405="glp"),"ECO",IF(K405="electrico","CERO",IF(K405="gasolina",IF(M405&gt;=GAS_C,"C",IF(M405&gt;=GAS_B,"B","A")),IF(K405="diesel",IF(M405&gt;=DIE_C,"C",IF(M405&gt;=DIE_B,"B","A")),""))))</f>
        <v/>
      </c>
      <c r="BG405" s="3">
        <f>IFERROR(VLOOKUP(F405,MOD_TBL,11,0),IFERROR(VLOOKUP(E405,OCU_TBL,2,0),NEUTRO))</f>
        <v/>
      </c>
      <c r="BH405" s="3">
        <f>SUMIFS(MOT_AJUSTE,MOT_MOTOR,G405,MOT_MARCA,E405,MOT_DESDE,"&lt;="&amp;M405,MOT_HASTA,"&gt;="&amp;M405)+SUMIFS(MOT_AJUSTE,MOT_MOTOR,G405,MOT_MARCA,"(todas)",MOT_DESDE,"&lt;="&amp;M405,MOT_HASTA,"&gt;="&amp;M405)</f>
        <v/>
      </c>
      <c r="BI405" s="3">
        <f>SUMIFS(COMB_AJUSTE,COMB_COMB,K405)</f>
        <v/>
      </c>
      <c r="BJ405" s="3">
        <f>COUNTIFS(MOT_MOTOR,G405,MOT_MARCA,E405,MOT_DESDE,"&lt;="&amp;M405,MOT_HASTA,"&gt;="&amp;M405)+COUNTIFS(MOT_MOTOR,G405,MOT_MARCA,"(todas)",MOT_DESDE,"&lt;="&amp;M405,MOT_HASTA,"&gt;="&amp;M405)</f>
        <v/>
      </c>
      <c r="BK405" s="3">
        <f>IF(AND(K405="diesel",BJ405=0),MIN(BG405,NEUTRO),BG405)</f>
        <v/>
      </c>
      <c r="BL405" s="4">
        <f>MAX(0,MIN(100,BK405+BH405+BI405))</f>
        <v/>
      </c>
      <c r="BM405" s="3">
        <f>MAX(0,MIN(100,50+BE405*PRECIO_PEND))</f>
        <v/>
      </c>
      <c r="BN405" s="3">
        <f>MAX(0,100*(1-N405/KM_MAX))</f>
        <v/>
      </c>
      <c r="BO405" s="3">
        <f>IF(AV405&lt;KMA_SOSP,IF(AA405="sí",100,KMA_PEN),IF(AV405&lt;=KMA_IDEAL_MAX,100,MAX(0,100*(KMA_CERO-AV405)/(KMA_CERO-KMA_IDEAL_MAX))))</f>
        <v/>
      </c>
      <c r="BP405" s="3">
        <f>MAX(0,MIN(100,100*(M405-ANIO_MIN)/(ANIO_ACTUAL-ANIO_MIN)))</f>
        <v/>
      </c>
      <c r="BQ405" s="3">
        <f>W_KMT*BN405+W_KMA*BO405+W_EDAD*BP405</f>
        <v/>
      </c>
      <c r="BR405" s="3">
        <f>P_ITV*(V405="sí")+P_LIBRO*(W405="sí")+P_CORREA*(X405="sí")+P_PROP*(Y405=1)+P_GAR*(Z405="sí")+P_FOTOS*MIN(1,N(U405)/FOTOS_OBJ)</f>
        <v/>
      </c>
      <c r="BS405" s="3">
        <f>IFERROR(VLOOKUP(BF405,ETQ_TBL,2,0),NEUTRO)</f>
        <v/>
      </c>
      <c r="BT405" s="3">
        <f>NEUTRO</f>
        <v/>
      </c>
      <c r="BU405" s="3">
        <f>IFERROR(VLOOKUP(L405,SEGURO_TBL,3,0),"")</f>
        <v/>
      </c>
      <c r="BV405" s="3">
        <f>IF(BU405="",NEUTRO,MAX(0,MIN(100,100*(SEG_REF_MAX-BU405)/(SEG_REF_MAX-SEG_REF_MIN))))</f>
        <v/>
      </c>
      <c r="BW405" s="3">
        <f>W_ET*BS405+W_CONS*BT405+W_SEG*BV405</f>
        <v/>
      </c>
      <c r="BX405" s="3">
        <f>IF(N(AB405)&gt;0,AB405,IF(AND(R405="profesional",SG_LEGAL_ON=1),GAR_LEGAL,0))</f>
        <v/>
      </c>
      <c r="BY405" s="3">
        <f>SG_GAR*MIN(1,BX405/SG_GAR_FULL)+SG_AMPL*(AC405="sí")+SG_KMC*(AF405="sí")+SG_REV*(N(AE405)&gt;0)+SG_DEV*MIN(1,N(AG405)/SG_DEV_FULL)+SG_HIST*(W405="sí")</f>
        <v/>
      </c>
      <c r="BZ405" s="3">
        <f>IFERROR(VLOOKUP(L405,CARR_PEN_TBL,2,0),0)</f>
        <v/>
      </c>
      <c r="CA405" s="3">
        <f>W_FIAB*BL405+W_PRECIO*BM405+W_KMEDAD*BQ405+W_ANUNCIO*BR405+W_USO*BW405+W_SEGURIDAD*BY405-BZ405</f>
        <v/>
      </c>
      <c r="CB405" s="4">
        <f>IF(N(I405)&gt;0,I405,IFERROR(ROUND(_xlfn.NUMBERVALUE(LEFT(G405,FIND(" ",G405&amp;" ")-1),".")*1000,0),99999))</f>
        <v/>
      </c>
      <c r="CC405" s="3">
        <f>IF(R405="profesional",0,IF(O405&lt;CUOTA_VALOR_MAX,IF(AU405&gt;ITP_TRAMO_ALTO,SUMIFS(CF_CUOTA,CF_MAS,ITP_TRAMO_ALTO,CF_CCMIN,"&lt;="&amp;CB405,CF_CCMAX,"&gt;="&amp;CB405),IF(AU405&gt;ITP_TRAMO_BAJO,SUMIFS(CF_CUOTA,CF_MAS,ITP_TRAMO_BAJO,CF_CCMIN,"&lt;="&amp;CB405,CF_CCMAX,"&gt;="&amp;CB405),O405*ITP_TIPO)),O405*ITP_TIPO))</f>
        <v/>
      </c>
      <c r="CD405" s="4">
        <f>IF(R405="profesional",N(AK405),0)</f>
        <v/>
      </c>
      <c r="CE405" s="3">
        <f>IF(AND(R405="profesional",ISNUMBER(AK405),AL405="sí"),0,TASA_DGT)</f>
        <v/>
      </c>
      <c r="CF405" s="3">
        <f>INFORME_DGT</f>
        <v/>
      </c>
      <c r="CG405" s="4">
        <f>O405+CD405+CC405+CE405+CF405</f>
        <v/>
      </c>
      <c r="CH405" s="4">
        <f>CG405+N(BU405)</f>
        <v/>
      </c>
      <c r="CI405" s="3">
        <f>IF(CG405&lt;=TOTAL_MAX,"sí",IF(CG405&lt;=TOTAL_MAX+MARGEN_NEG,"negociar","no"))</f>
        <v/>
      </c>
      <c r="CJ405" s="4">
        <f>IF(CI405&lt;&gt;"no",COUNTIFS($CI$2:$CI$662,"&lt;&gt;no",$CA$2:$CA$662,"&gt;"&amp;CA405)+COUNTIFS($CI$2:CI405,"&lt;&gt;no",$CA$2:CA405,CA405),"")</f>
        <v/>
      </c>
    </row>
    <row r="406">
      <c r="A406" s="2" t="inlineStr">
        <is>
          <t>cochesnet:71829456</t>
        </is>
      </c>
      <c r="B406" s="2" t="inlineStr">
        <is>
          <t>cochesnet</t>
        </is>
      </c>
      <c r="C406" s="2" t="inlineStr">
        <is>
          <t>https://www.coches.net/opel-astra-19-cdti-sport-120-cv-5p-diesel-2007-en-valencia-71829456-covo.aspx</t>
        </is>
      </c>
      <c r="D406" s="2" t="inlineStr">
        <is>
          <t>OPEL Astra 1.9 CDTi Sport 120 CV</t>
        </is>
      </c>
      <c r="E406" s="2" t="inlineStr">
        <is>
          <t>Opel</t>
        </is>
      </c>
      <c r="F406" s="2" t="inlineStr">
        <is>
          <t>Opel Astra</t>
        </is>
      </c>
      <c r="G406" s="2" t="inlineStr">
        <is>
          <t>1.9 CDTi</t>
        </is>
      </c>
      <c r="H406" s="2" t="inlineStr">
        <is>
          <t>1.9 CDTi Sport 120 CV</t>
        </is>
      </c>
      <c r="I406" s="2" t="n"/>
      <c r="J406" s="2" t="n">
        <v>120</v>
      </c>
      <c r="K406" s="2" t="inlineStr">
        <is>
          <t>diesel</t>
        </is>
      </c>
      <c r="L406" s="2" t="inlineStr">
        <is>
          <t>compacto</t>
        </is>
      </c>
      <c r="M406" s="2" t="n">
        <v>2007</v>
      </c>
      <c r="N406" s="2" t="n">
        <v>139618</v>
      </c>
      <c r="O406" s="2" t="n">
        <v>3850</v>
      </c>
      <c r="P406" s="2" t="inlineStr">
        <is>
          <t>manual</t>
        </is>
      </c>
      <c r="Q406" s="2" t="inlineStr">
        <is>
          <t>no</t>
        </is>
      </c>
      <c r="R406" s="2" t="inlineStr">
        <is>
          <t>particular</t>
        </is>
      </c>
      <c r="S406" s="2" t="inlineStr">
        <is>
          <t>Sagunto (Sagunt)</t>
        </is>
      </c>
      <c r="T406" s="2" t="inlineStr">
        <is>
          <t>2026-10-25T19:21:08Z</t>
        </is>
      </c>
      <c r="U406" s="2" t="n"/>
      <c r="V406" s="2" t="n"/>
      <c r="W406" s="2" t="n"/>
      <c r="X406" s="2" t="n"/>
      <c r="Y406" s="2" t="n"/>
      <c r="Z406" s="2" t="inlineStr">
        <is>
          <t>no</t>
        </is>
      </c>
      <c r="AA406" s="2" t="n"/>
      <c r="AB406" s="2" t="n"/>
      <c r="AC406" s="2" t="n"/>
      <c r="AD406" s="2" t="n"/>
      <c r="AE406" s="2" t="n"/>
      <c r="AF406" s="2" t="n"/>
      <c r="AG406" s="2" t="n"/>
      <c r="AH406" s="2" t="n">
        <v>3850</v>
      </c>
      <c r="AI406" s="2" t="n"/>
      <c r="AJ406" s="2" t="n"/>
      <c r="AK406" s="2" t="n"/>
      <c r="AL406" s="2" t="n"/>
      <c r="AM406" s="2" t="n"/>
      <c r="AN406" s="2" t="n">
        <v>4445</v>
      </c>
      <c r="AO406" s="2" t="n">
        <v>10</v>
      </c>
      <c r="AP406" s="2" t="inlineStr">
        <is>
          <t>modelo+año+km</t>
        </is>
      </c>
      <c r="AQ406" s="2" t="n"/>
      <c r="AR406" s="2" t="inlineStr">
        <is>
          <t>cuota fija ITP: &gt;12 años, 1.501-2.000 cc; diésel: motor sin fuente de fiabilidad (fiabilidad limitada a neutra); distancia no verificable (el anuncio solo indica la provincia): confirmar que está a &lt;= 70 km</t>
        </is>
      </c>
      <c r="AS406" s="2" t="inlineStr">
        <is>
          <t>Vendo mi Opel Astra 1.9 CDTi Sport 120 CV, un berlina diésel que combina fiabilidad y eficiencia energética. Este modelo es conocido por su robustez y bajo consumo, ideal si buscas un vehículo práctico para el día a día sin gastar demasiado en combustible.
El motor diésel de 120 CV ofrece una buena relación potencia-consumo, perfecta tanto para trayectos urbanos como para carretera. La transmisión manual te da control total sobre la conducción, y con cinco puertas y plazas dispone de espacio suficiente para familia o amigos.
Se trata de un vehículo que ha cumplido su ciclo de vida con normalidad. Si buscas un coche funcional, económico y que siga siendo fiable, este Astra es una buena opción a considerar. Puedes verlo en la zona de Valencia y comprobar su estado directamente.
Estoy disponible para resolver cualquier duda específica que tengas sobre el vehículo. Puedes contactarme por teléfono o chat para concertar una cita y realizar una inspección en persona. No dudes en preguntar sobre cualquier aspecto que no esté claro en la ficha del anuncio.
Contacta hoy mismo para conocer más detalles y dar una segunda vida a este Astra.</t>
        </is>
      </c>
      <c r="AT406" s="2" t="inlineStr">
        <is>
          <t>https://www.coches.net/opel-astra-19-cdti-sport-120-cv-5p-diesel-2007-en-valencia-71829456-covo.aspx (window.__INITIAL_PROPS__.ad) /home/user/Alopecia/buscador-coches/raw/cochesnet/635c2b386befc46c.json</t>
        </is>
      </c>
      <c r="AU406" s="3">
        <f>MAX(ANIO_ACTUAL-M406,0)</f>
        <v/>
      </c>
      <c r="AV406" s="4">
        <f>N406/MAX(AU406,0.5)</f>
        <v/>
      </c>
      <c r="AW406" s="4">
        <f>F406</f>
        <v/>
      </c>
      <c r="AX406" s="3">
        <f>AW406&amp;"|"&amp;INT(M406/SEG_ANIO)*SEG_ANIO</f>
        <v/>
      </c>
      <c r="AY406" s="3">
        <f>AX406&amp;"|"&amp;INT(N406/SEG_KM)*SEG_KM</f>
        <v/>
      </c>
      <c r="AZ406" s="4">
        <f>COUNTIF($AW$2:$AW$662,AW406)</f>
        <v/>
      </c>
      <c r="BA406" s="4">
        <f>COUNTIF($AX$2:$AX$662,AX406)</f>
        <v/>
      </c>
      <c r="BB406" s="4">
        <f>COUNTIF($AY$2:$AY$662,AY406)</f>
        <v/>
      </c>
      <c r="BC406" s="3">
        <f t="array" ref="BC406">IF(N(AO406)&gt;=MIN_N,AN406,IF(BB406&gt;=MIN_N,MEDIAN(IF($AY$2:$AY$662=AY406,$O$2:$O$662)),IF(BA406&gt;=MIN_N,MEDIAN(IF($AX$2:$AX$662=AX406,$O$2:$O$662)),MEDIAN(IF($AW$2:$AW$662=AW406,$O$2:$O$662)))))</f>
        <v/>
      </c>
      <c r="BD406" s="3">
        <f>IF(N(AO406)&gt;=MIN_N,"mercado "&amp;AP406,IF(BB406&gt;=MIN_N,"modelo+año+km",IF(BA406&gt;=MIN_N,"modelo+año","modelo")))</f>
        <v/>
      </c>
      <c r="BE406" s="4">
        <f>(BC406-O406)/BC406</f>
        <v/>
      </c>
      <c r="BF406" s="3">
        <f>IF(OR(K406="hibrido",K406="glp"),"ECO",IF(K406="electrico","CERO",IF(K406="gasolina",IF(M406&gt;=GAS_C,"C",IF(M406&gt;=GAS_B,"B","A")),IF(K406="diesel",IF(M406&gt;=DIE_C,"C",IF(M406&gt;=DIE_B,"B","A")),""))))</f>
        <v/>
      </c>
      <c r="BG406" s="3">
        <f>IFERROR(VLOOKUP(F406,MOD_TBL,11,0),IFERROR(VLOOKUP(E406,OCU_TBL,2,0),NEUTRO))</f>
        <v/>
      </c>
      <c r="BH406" s="3">
        <f>SUMIFS(MOT_AJUSTE,MOT_MOTOR,G406,MOT_MARCA,E406,MOT_DESDE,"&lt;="&amp;M406,MOT_HASTA,"&gt;="&amp;M406)+SUMIFS(MOT_AJUSTE,MOT_MOTOR,G406,MOT_MARCA,"(todas)",MOT_DESDE,"&lt;="&amp;M406,MOT_HASTA,"&gt;="&amp;M406)</f>
        <v/>
      </c>
      <c r="BI406" s="3">
        <f>SUMIFS(COMB_AJUSTE,COMB_COMB,K406)</f>
        <v/>
      </c>
      <c r="BJ406" s="3">
        <f>COUNTIFS(MOT_MOTOR,G406,MOT_MARCA,E406,MOT_DESDE,"&lt;="&amp;M406,MOT_HASTA,"&gt;="&amp;M406)+COUNTIFS(MOT_MOTOR,G406,MOT_MARCA,"(todas)",MOT_DESDE,"&lt;="&amp;M406,MOT_HASTA,"&gt;="&amp;M406)</f>
        <v/>
      </c>
      <c r="BK406" s="3">
        <f>IF(AND(K406="diesel",BJ406=0),MIN(BG406,NEUTRO),BG406)</f>
        <v/>
      </c>
      <c r="BL406" s="4">
        <f>MAX(0,MIN(100,BK406+BH406+BI406))</f>
        <v/>
      </c>
      <c r="BM406" s="3">
        <f>MAX(0,MIN(100,50+BE406*PRECIO_PEND))</f>
        <v/>
      </c>
      <c r="BN406" s="3">
        <f>MAX(0,100*(1-N406/KM_MAX))</f>
        <v/>
      </c>
      <c r="BO406" s="3">
        <f>IF(AV406&lt;KMA_SOSP,IF(AA406="sí",100,KMA_PEN),IF(AV406&lt;=KMA_IDEAL_MAX,100,MAX(0,100*(KMA_CERO-AV406)/(KMA_CERO-KMA_IDEAL_MAX))))</f>
        <v/>
      </c>
      <c r="BP406" s="3">
        <f>MAX(0,MIN(100,100*(M406-ANIO_MIN)/(ANIO_ACTUAL-ANIO_MIN)))</f>
        <v/>
      </c>
      <c r="BQ406" s="3">
        <f>W_KMT*BN406+W_KMA*BO406+W_EDAD*BP406</f>
        <v/>
      </c>
      <c r="BR406" s="3">
        <f>P_ITV*(V406="sí")+P_LIBRO*(W406="sí")+P_CORREA*(X406="sí")+P_PROP*(Y406=1)+P_GAR*(Z406="sí")+P_FOTOS*MIN(1,N(U406)/FOTOS_OBJ)</f>
        <v/>
      </c>
      <c r="BS406" s="3">
        <f>IFERROR(VLOOKUP(BF406,ETQ_TBL,2,0),NEUTRO)</f>
        <v/>
      </c>
      <c r="BT406" s="3">
        <f>NEUTRO</f>
        <v/>
      </c>
      <c r="BU406" s="3">
        <f>IFERROR(VLOOKUP(L406,SEGURO_TBL,3,0),"")</f>
        <v/>
      </c>
      <c r="BV406" s="3">
        <f>IF(BU406="",NEUTRO,MAX(0,MIN(100,100*(SEG_REF_MAX-BU406)/(SEG_REF_MAX-SEG_REF_MIN))))</f>
        <v/>
      </c>
      <c r="BW406" s="3">
        <f>W_ET*BS406+W_CONS*BT406+W_SEG*BV406</f>
        <v/>
      </c>
      <c r="BX406" s="3">
        <f>IF(N(AB406)&gt;0,AB406,IF(AND(R406="profesional",SG_LEGAL_ON=1),GAR_LEGAL,0))</f>
        <v/>
      </c>
      <c r="BY406" s="3">
        <f>SG_GAR*MIN(1,BX406/SG_GAR_FULL)+SG_AMPL*(AC406="sí")+SG_KMC*(AF406="sí")+SG_REV*(N(AE406)&gt;0)+SG_DEV*MIN(1,N(AG406)/SG_DEV_FULL)+SG_HIST*(W406="sí")</f>
        <v/>
      </c>
      <c r="BZ406" s="3">
        <f>IFERROR(VLOOKUP(L406,CARR_PEN_TBL,2,0),0)</f>
        <v/>
      </c>
      <c r="CA406" s="3">
        <f>W_FIAB*BL406+W_PRECIO*BM406+W_KMEDAD*BQ406+W_ANUNCIO*BR406+W_USO*BW406+W_SEGURIDAD*BY406-BZ406</f>
        <v/>
      </c>
      <c r="CB406" s="4">
        <f>IF(N(I406)&gt;0,I406,IFERROR(ROUND(_xlfn.NUMBERVALUE(LEFT(G406,FIND(" ",G406&amp;" ")-1),".")*1000,0),99999))</f>
        <v/>
      </c>
      <c r="CC406" s="3">
        <f>IF(R406="profesional",0,IF(O406&lt;CUOTA_VALOR_MAX,IF(AU406&gt;ITP_TRAMO_ALTO,SUMIFS(CF_CUOTA,CF_MAS,ITP_TRAMO_ALTO,CF_CCMIN,"&lt;="&amp;CB406,CF_CCMAX,"&gt;="&amp;CB406),IF(AU406&gt;ITP_TRAMO_BAJO,SUMIFS(CF_CUOTA,CF_MAS,ITP_TRAMO_BAJO,CF_CCMIN,"&lt;="&amp;CB406,CF_CCMAX,"&gt;="&amp;CB406),O406*ITP_TIPO)),O406*ITP_TIPO))</f>
        <v/>
      </c>
      <c r="CD406" s="4">
        <f>IF(R406="profesional",N(AK406),0)</f>
        <v/>
      </c>
      <c r="CE406" s="3">
        <f>IF(AND(R406="profesional",ISNUMBER(AK406),AL406="sí"),0,TASA_DGT)</f>
        <v/>
      </c>
      <c r="CF406" s="3">
        <f>INFORME_DGT</f>
        <v/>
      </c>
      <c r="CG406" s="4">
        <f>O406+CD406+CC406+CE406+CF406</f>
        <v/>
      </c>
      <c r="CH406" s="4">
        <f>CG406+N(BU406)</f>
        <v/>
      </c>
      <c r="CI406" s="3">
        <f>IF(CG406&lt;=TOTAL_MAX,"sí",IF(CG406&lt;=TOTAL_MAX+MARGEN_NEG,"negociar","no"))</f>
        <v/>
      </c>
      <c r="CJ406" s="4">
        <f>IF(CI406&lt;&gt;"no",COUNTIFS($CI$2:$CI$662,"&lt;&gt;no",$CA$2:$CA$662,"&gt;"&amp;CA406)+COUNTIFS($CI$2:CI406,"&lt;&gt;no",$CA$2:CA406,CA406),"")</f>
        <v/>
      </c>
    </row>
    <row r="407">
      <c r="A407" s="2" t="inlineStr">
        <is>
          <t>cochesnet:71573870</t>
        </is>
      </c>
      <c r="B407" s="2" t="inlineStr">
        <is>
          <t>cochesnet</t>
        </is>
      </c>
      <c r="C407" s="2" t="inlineStr">
        <is>
          <t>https://www.coches.net/opel-astra-diesel-2006-en-valencia-71573870-covo.aspx</t>
        </is>
      </c>
      <c r="D407" s="2" t="inlineStr">
        <is>
          <t>OPEL Astra</t>
        </is>
      </c>
      <c r="E407" s="2" t="inlineStr">
        <is>
          <t>Opel</t>
        </is>
      </c>
      <c r="F407" s="2" t="inlineStr">
        <is>
          <t>Opel Astra</t>
        </is>
      </c>
      <c r="G407" s="2" t="n"/>
      <c r="H407" s="2" t="n"/>
      <c r="I407" s="2" t="n"/>
      <c r="J407" s="2" t="n"/>
      <c r="K407" s="2" t="inlineStr">
        <is>
          <t>diesel</t>
        </is>
      </c>
      <c r="L407" s="2" t="inlineStr">
        <is>
          <t>compacto</t>
        </is>
      </c>
      <c r="M407" s="2" t="n">
        <v>2006</v>
      </c>
      <c r="N407" s="2" t="n">
        <v>199000</v>
      </c>
      <c r="O407" s="2" t="n">
        <v>2500</v>
      </c>
      <c r="P407" s="2" t="inlineStr">
        <is>
          <t>manual</t>
        </is>
      </c>
      <c r="Q407" s="2" t="inlineStr">
        <is>
          <t>no</t>
        </is>
      </c>
      <c r="R407" s="2" t="inlineStr">
        <is>
          <t>particular</t>
        </is>
      </c>
      <c r="S407" s="2" t="n"/>
      <c r="T407" s="2" t="inlineStr">
        <is>
          <t>2026-09-22T15:09:56Z</t>
        </is>
      </c>
      <c r="U407" s="2" t="n">
        <v>8</v>
      </c>
      <c r="V407" s="2" t="inlineStr">
        <is>
          <t>sí</t>
        </is>
      </c>
      <c r="W407" s="2" t="n"/>
      <c r="X407" s="2" t="inlineStr">
        <is>
          <t>sí</t>
        </is>
      </c>
      <c r="Y407" s="2" t="n">
        <v>1</v>
      </c>
      <c r="Z407" s="2" t="inlineStr">
        <is>
          <t>no</t>
        </is>
      </c>
      <c r="AA407" s="2" t="n"/>
      <c r="AB407" s="2" t="n"/>
      <c r="AC407" s="2" t="n"/>
      <c r="AD407" s="2" t="n"/>
      <c r="AE407" s="2" t="n"/>
      <c r="AF407" s="2" t="n"/>
      <c r="AG407" s="2" t="n"/>
      <c r="AH407" s="2" t="n">
        <v>2500</v>
      </c>
      <c r="AI407" s="2" t="n"/>
      <c r="AJ407" s="2" t="n"/>
      <c r="AK407" s="2" t="n"/>
      <c r="AL407" s="2" t="n"/>
      <c r="AM407" s="2" t="n"/>
      <c r="AN407" s="2" t="n">
        <v>2850</v>
      </c>
      <c r="AO407" s="2" t="n">
        <v>16</v>
      </c>
      <c r="AP407" s="2" t="inlineStr">
        <is>
          <t>modelo+año+km</t>
        </is>
      </c>
      <c r="AQ407" s="2" t="n"/>
      <c r="AR407"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07" s="2" t="inlineStr">
        <is>
          <t>?? Opel Astra 1.9 CDTI 120 CV – 
6 velocidades coche en perfecto stado de funcionamiento solo 1 dueño anterior muy bien mantenido no tiene ningún problèma 
? 199.000 km
? Motor 1.9 CDTI 120 CV
? Cambio manual de 6 velocidades
? ITV recién pasada 2027
? Neumáticos nuevos + discos pastillas 
? Aceite y filtros  cambiados
? Muy buen estado general
? Listo para usar
 distribución hecha hace 50mil km motor muy fiable poco consumo 
Muchos extras asientos de piel
Velocidad de crucero 
Ordenador a bordo 
Volante multifunción 
Faros automáticos
2 llaves 
Rueda de repuesto 
Equipo de sonido 
Botón Sport 
Ventanas eléctricas 
Espejos eléctricos 
Etc...</t>
        </is>
      </c>
      <c r="AT407" s="2" t="inlineStr">
        <is>
          <t>https://www.coches.net/opel-astra-diesel-2006-en-valencia-71573870-covo.aspx (window.__INITIAL_PROPS__.ad) /home/user/Alopecia/buscador-coches/raw/cochesnet/4c4e7532ec4fd38d.json</t>
        </is>
      </c>
      <c r="AU407" s="3">
        <f>MAX(ANIO_ACTUAL-M407,0)</f>
        <v/>
      </c>
      <c r="AV407" s="4">
        <f>N407/MAX(AU407,0.5)</f>
        <v/>
      </c>
      <c r="AW407" s="4">
        <f>F407</f>
        <v/>
      </c>
      <c r="AX407" s="3">
        <f>AW407&amp;"|"&amp;INT(M407/SEG_ANIO)*SEG_ANIO</f>
        <v/>
      </c>
      <c r="AY407" s="3">
        <f>AX407&amp;"|"&amp;INT(N407/SEG_KM)*SEG_KM</f>
        <v/>
      </c>
      <c r="AZ407" s="4">
        <f>COUNTIF($AW$2:$AW$662,AW407)</f>
        <v/>
      </c>
      <c r="BA407" s="4">
        <f>COUNTIF($AX$2:$AX$662,AX407)</f>
        <v/>
      </c>
      <c r="BB407" s="4">
        <f>COUNTIF($AY$2:$AY$662,AY407)</f>
        <v/>
      </c>
      <c r="BC407" s="3">
        <f t="array" ref="BC407">IF(N(AO407)&gt;=MIN_N,AN407,IF(BB407&gt;=MIN_N,MEDIAN(IF($AY$2:$AY$662=AY407,$O$2:$O$662)),IF(BA407&gt;=MIN_N,MEDIAN(IF($AX$2:$AX$662=AX407,$O$2:$O$662)),MEDIAN(IF($AW$2:$AW$662=AW407,$O$2:$O$662)))))</f>
        <v/>
      </c>
      <c r="BD407" s="3">
        <f>IF(N(AO407)&gt;=MIN_N,"mercado "&amp;AP407,IF(BB407&gt;=MIN_N,"modelo+año+km",IF(BA407&gt;=MIN_N,"modelo+año","modelo")))</f>
        <v/>
      </c>
      <c r="BE407" s="4">
        <f>(BC407-O407)/BC407</f>
        <v/>
      </c>
      <c r="BF407" s="3">
        <f>IF(OR(K407="hibrido",K407="glp"),"ECO",IF(K407="electrico","CERO",IF(K407="gasolina",IF(M407&gt;=GAS_C,"C",IF(M407&gt;=GAS_B,"B","A")),IF(K407="diesel",IF(M407&gt;=DIE_C,"C",IF(M407&gt;=DIE_B,"B","A")),""))))</f>
        <v/>
      </c>
      <c r="BG407" s="3">
        <f>IFERROR(VLOOKUP(F407,MOD_TBL,11,0),IFERROR(VLOOKUP(E407,OCU_TBL,2,0),NEUTRO))</f>
        <v/>
      </c>
      <c r="BH407" s="3">
        <f>SUMIFS(MOT_AJUSTE,MOT_MOTOR,G407,MOT_MARCA,E407,MOT_DESDE,"&lt;="&amp;M407,MOT_HASTA,"&gt;="&amp;M407)+SUMIFS(MOT_AJUSTE,MOT_MOTOR,G407,MOT_MARCA,"(todas)",MOT_DESDE,"&lt;="&amp;M407,MOT_HASTA,"&gt;="&amp;M407)</f>
        <v/>
      </c>
      <c r="BI407" s="3">
        <f>SUMIFS(COMB_AJUSTE,COMB_COMB,K407)</f>
        <v/>
      </c>
      <c r="BJ407" s="3">
        <f>COUNTIFS(MOT_MOTOR,G407,MOT_MARCA,E407,MOT_DESDE,"&lt;="&amp;M407,MOT_HASTA,"&gt;="&amp;M407)+COUNTIFS(MOT_MOTOR,G407,MOT_MARCA,"(todas)",MOT_DESDE,"&lt;="&amp;M407,MOT_HASTA,"&gt;="&amp;M407)</f>
        <v/>
      </c>
      <c r="BK407" s="3">
        <f>IF(AND(K407="diesel",BJ407=0),MIN(BG407,NEUTRO),BG407)</f>
        <v/>
      </c>
      <c r="BL407" s="4">
        <f>MAX(0,MIN(100,BK407+BH407+BI407))</f>
        <v/>
      </c>
      <c r="BM407" s="3">
        <f>MAX(0,MIN(100,50+BE407*PRECIO_PEND))</f>
        <v/>
      </c>
      <c r="BN407" s="3">
        <f>MAX(0,100*(1-N407/KM_MAX))</f>
        <v/>
      </c>
      <c r="BO407" s="3">
        <f>IF(AV407&lt;KMA_SOSP,IF(AA407="sí",100,KMA_PEN),IF(AV407&lt;=KMA_IDEAL_MAX,100,MAX(0,100*(KMA_CERO-AV407)/(KMA_CERO-KMA_IDEAL_MAX))))</f>
        <v/>
      </c>
      <c r="BP407" s="3">
        <f>MAX(0,MIN(100,100*(M407-ANIO_MIN)/(ANIO_ACTUAL-ANIO_MIN)))</f>
        <v/>
      </c>
      <c r="BQ407" s="3">
        <f>W_KMT*BN407+W_KMA*BO407+W_EDAD*BP407</f>
        <v/>
      </c>
      <c r="BR407" s="3">
        <f>P_ITV*(V407="sí")+P_LIBRO*(W407="sí")+P_CORREA*(X407="sí")+P_PROP*(Y407=1)+P_GAR*(Z407="sí")+P_FOTOS*MIN(1,N(U407)/FOTOS_OBJ)</f>
        <v/>
      </c>
      <c r="BS407" s="3">
        <f>IFERROR(VLOOKUP(BF407,ETQ_TBL,2,0),NEUTRO)</f>
        <v/>
      </c>
      <c r="BT407" s="3">
        <f>NEUTRO</f>
        <v/>
      </c>
      <c r="BU407" s="3">
        <f>IFERROR(VLOOKUP(L407,SEGURO_TBL,3,0),"")</f>
        <v/>
      </c>
      <c r="BV407" s="3">
        <f>IF(BU407="",NEUTRO,MAX(0,MIN(100,100*(SEG_REF_MAX-BU407)/(SEG_REF_MAX-SEG_REF_MIN))))</f>
        <v/>
      </c>
      <c r="BW407" s="3">
        <f>W_ET*BS407+W_CONS*BT407+W_SEG*BV407</f>
        <v/>
      </c>
      <c r="BX407" s="3">
        <f>IF(N(AB407)&gt;0,AB407,IF(AND(R407="profesional",SG_LEGAL_ON=1),GAR_LEGAL,0))</f>
        <v/>
      </c>
      <c r="BY407" s="3">
        <f>SG_GAR*MIN(1,BX407/SG_GAR_FULL)+SG_AMPL*(AC407="sí")+SG_KMC*(AF407="sí")+SG_REV*(N(AE407)&gt;0)+SG_DEV*MIN(1,N(AG407)/SG_DEV_FULL)+SG_HIST*(W407="sí")</f>
        <v/>
      </c>
      <c r="BZ407" s="3">
        <f>IFERROR(VLOOKUP(L407,CARR_PEN_TBL,2,0),0)</f>
        <v/>
      </c>
      <c r="CA407" s="3">
        <f>W_FIAB*BL407+W_PRECIO*BM407+W_KMEDAD*BQ407+W_ANUNCIO*BR407+W_USO*BW407+W_SEGURIDAD*BY407-BZ407</f>
        <v/>
      </c>
      <c r="CB407" s="4">
        <f>IF(N(I407)&gt;0,I407,IFERROR(ROUND(_xlfn.NUMBERVALUE(LEFT(G407,FIND(" ",G407&amp;" ")-1),".")*1000,0),99999))</f>
        <v/>
      </c>
      <c r="CC407" s="3">
        <f>IF(R407="profesional",0,IF(O407&lt;CUOTA_VALOR_MAX,IF(AU407&gt;ITP_TRAMO_ALTO,SUMIFS(CF_CUOTA,CF_MAS,ITP_TRAMO_ALTO,CF_CCMIN,"&lt;="&amp;CB407,CF_CCMAX,"&gt;="&amp;CB407),IF(AU407&gt;ITP_TRAMO_BAJO,SUMIFS(CF_CUOTA,CF_MAS,ITP_TRAMO_BAJO,CF_CCMIN,"&lt;="&amp;CB407,CF_CCMAX,"&gt;="&amp;CB407),O407*ITP_TIPO)),O407*ITP_TIPO))</f>
        <v/>
      </c>
      <c r="CD407" s="4">
        <f>IF(R407="profesional",N(AK407),0)</f>
        <v/>
      </c>
      <c r="CE407" s="3">
        <f>IF(AND(R407="profesional",ISNUMBER(AK407),AL407="sí"),0,TASA_DGT)</f>
        <v/>
      </c>
      <c r="CF407" s="3">
        <f>INFORME_DGT</f>
        <v/>
      </c>
      <c r="CG407" s="4">
        <f>O407+CD407+CC407+CE407+CF407</f>
        <v/>
      </c>
      <c r="CH407" s="4">
        <f>CG407+N(BU407)</f>
        <v/>
      </c>
      <c r="CI407" s="3">
        <f>IF(CG407&lt;=TOTAL_MAX,"sí",IF(CG407&lt;=TOTAL_MAX+MARGEN_NEG,"negociar","no"))</f>
        <v/>
      </c>
      <c r="CJ407" s="4">
        <f>IF(CI407&lt;&gt;"no",COUNTIFS($CI$2:$CI$662,"&lt;&gt;no",$CA$2:$CA$662,"&gt;"&amp;CA407)+COUNTIFS($CI$2:CI407,"&lt;&gt;no",$CA$2:CA407,CA407),"")</f>
        <v/>
      </c>
    </row>
    <row r="408">
      <c r="A408" s="2" t="inlineStr">
        <is>
          <t>cochesnet:71528758</t>
        </is>
      </c>
      <c r="B408" s="2" t="inlineStr">
        <is>
          <t>cochesnet</t>
        </is>
      </c>
      <c r="C408" s="2" t="inlineStr">
        <is>
          <t>https://www.coches.net/opel-astra-diesel-2007-en-valencia-71528758-covo.aspx</t>
        </is>
      </c>
      <c r="D408" s="2" t="inlineStr">
        <is>
          <t>OPEL Astra</t>
        </is>
      </c>
      <c r="E408" s="2" t="inlineStr">
        <is>
          <t>Opel</t>
        </is>
      </c>
      <c r="F408" s="2" t="inlineStr">
        <is>
          <t>Opel Astra</t>
        </is>
      </c>
      <c r="G408" s="2" t="n"/>
      <c r="H408" s="2" t="n"/>
      <c r="I408" s="2" t="n"/>
      <c r="J408" s="2" t="n"/>
      <c r="K408" s="2" t="inlineStr">
        <is>
          <t>diesel</t>
        </is>
      </c>
      <c r="L408" s="2" t="inlineStr">
        <is>
          <t>compacto</t>
        </is>
      </c>
      <c r="M408" s="2" t="n">
        <v>2007</v>
      </c>
      <c r="N408" s="2" t="n">
        <v>177500</v>
      </c>
      <c r="O408" s="2" t="n">
        <v>4300</v>
      </c>
      <c r="P408" s="2" t="inlineStr">
        <is>
          <t>manual</t>
        </is>
      </c>
      <c r="Q408" s="2" t="inlineStr">
        <is>
          <t>no</t>
        </is>
      </c>
      <c r="R408" s="2" t="inlineStr">
        <is>
          <t>particular</t>
        </is>
      </c>
      <c r="S408" s="2" t="n"/>
      <c r="T408" s="2" t="inlineStr">
        <is>
          <t>2026-09-16T13:56:59Z</t>
        </is>
      </c>
      <c r="U408" s="2" t="n">
        <v>9</v>
      </c>
      <c r="V408" s="2" t="inlineStr">
        <is>
          <t>sí</t>
        </is>
      </c>
      <c r="W408" s="2" t="n"/>
      <c r="X408" s="2" t="n"/>
      <c r="Y408" s="2" t="n"/>
      <c r="Z408" s="2" t="inlineStr">
        <is>
          <t>no</t>
        </is>
      </c>
      <c r="AA408" s="2" t="n"/>
      <c r="AB408" s="2" t="n"/>
      <c r="AC408" s="2" t="n"/>
      <c r="AD408" s="2" t="n"/>
      <c r="AE408" s="2" t="n"/>
      <c r="AF408" s="2" t="n"/>
      <c r="AG408" s="2" t="n"/>
      <c r="AH408" s="2" t="n">
        <v>4300</v>
      </c>
      <c r="AI408" s="2" t="n"/>
      <c r="AJ408" s="2" t="n"/>
      <c r="AK408" s="2" t="n"/>
      <c r="AL408" s="2" t="n"/>
      <c r="AM408" s="2" t="n"/>
      <c r="AN408" s="2" t="n">
        <v>4300</v>
      </c>
      <c r="AO408" s="2" t="n">
        <v>17</v>
      </c>
      <c r="AP408" s="2" t="inlineStr">
        <is>
          <t>modelo+año+km</t>
        </is>
      </c>
      <c r="AQ408" s="2" t="n"/>
      <c r="AR40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08" s="2" t="inlineStr">
        <is>
          <t>Se vende Opel Astra TwinTop 1.9 CDTI 150CV.
Versión alta de gama con caja manual de 6 velocidades y techo rígido eléctrico retráctil.
Vehículo muy cuidado, con 170.000 km y funcionamiento perfecto.
? Techo eléctrico funcionando al 100%
? Motor 1.9 CDTI 150CV
? 6 velocidades
? Climatizador
? Llantas de aleación
? Muy económico para su potencia
? Excelente comportamiento en carretera
? ITV al día
Un coche que combina la comodidad de un coupé en invierno y la diversión de un descapotable en verano.
Se puede ver y probar sin compromiso.
?? Valencia</t>
        </is>
      </c>
      <c r="AT408" s="2" t="inlineStr">
        <is>
          <t>https://www.coches.net/opel-astra-diesel-2007-en-valencia-71528758-covo.aspx (window.__INITIAL_PROPS__.ad) /home/user/Alopecia/buscador-coches/raw/cochesnet/7c452f9bad637184.json</t>
        </is>
      </c>
      <c r="AU408" s="3">
        <f>MAX(ANIO_ACTUAL-M408,0)</f>
        <v/>
      </c>
      <c r="AV408" s="4">
        <f>N408/MAX(AU408,0.5)</f>
        <v/>
      </c>
      <c r="AW408" s="4">
        <f>F408</f>
        <v/>
      </c>
      <c r="AX408" s="3">
        <f>AW408&amp;"|"&amp;INT(M408/SEG_ANIO)*SEG_ANIO</f>
        <v/>
      </c>
      <c r="AY408" s="3">
        <f>AX408&amp;"|"&amp;INT(N408/SEG_KM)*SEG_KM</f>
        <v/>
      </c>
      <c r="AZ408" s="4">
        <f>COUNTIF($AW$2:$AW$662,AW408)</f>
        <v/>
      </c>
      <c r="BA408" s="4">
        <f>COUNTIF($AX$2:$AX$662,AX408)</f>
        <v/>
      </c>
      <c r="BB408" s="4">
        <f>COUNTIF($AY$2:$AY$662,AY408)</f>
        <v/>
      </c>
      <c r="BC408" s="3">
        <f t="array" ref="BC408">IF(N(AO408)&gt;=MIN_N,AN408,IF(BB408&gt;=MIN_N,MEDIAN(IF($AY$2:$AY$662=AY408,$O$2:$O$662)),IF(BA408&gt;=MIN_N,MEDIAN(IF($AX$2:$AX$662=AX408,$O$2:$O$662)),MEDIAN(IF($AW$2:$AW$662=AW408,$O$2:$O$662)))))</f>
        <v/>
      </c>
      <c r="BD408" s="3">
        <f>IF(N(AO408)&gt;=MIN_N,"mercado "&amp;AP408,IF(BB408&gt;=MIN_N,"modelo+año+km",IF(BA408&gt;=MIN_N,"modelo+año","modelo")))</f>
        <v/>
      </c>
      <c r="BE408" s="4">
        <f>(BC408-O408)/BC408</f>
        <v/>
      </c>
      <c r="BF408" s="3">
        <f>IF(OR(K408="hibrido",K408="glp"),"ECO",IF(K408="electrico","CERO",IF(K408="gasolina",IF(M408&gt;=GAS_C,"C",IF(M408&gt;=GAS_B,"B","A")),IF(K408="diesel",IF(M408&gt;=DIE_C,"C",IF(M408&gt;=DIE_B,"B","A")),""))))</f>
        <v/>
      </c>
      <c r="BG408" s="3">
        <f>IFERROR(VLOOKUP(F408,MOD_TBL,11,0),IFERROR(VLOOKUP(E408,OCU_TBL,2,0),NEUTRO))</f>
        <v/>
      </c>
      <c r="BH408" s="3">
        <f>SUMIFS(MOT_AJUSTE,MOT_MOTOR,G408,MOT_MARCA,E408,MOT_DESDE,"&lt;="&amp;M408,MOT_HASTA,"&gt;="&amp;M408)+SUMIFS(MOT_AJUSTE,MOT_MOTOR,G408,MOT_MARCA,"(todas)",MOT_DESDE,"&lt;="&amp;M408,MOT_HASTA,"&gt;="&amp;M408)</f>
        <v/>
      </c>
      <c r="BI408" s="3">
        <f>SUMIFS(COMB_AJUSTE,COMB_COMB,K408)</f>
        <v/>
      </c>
      <c r="BJ408" s="3">
        <f>COUNTIFS(MOT_MOTOR,G408,MOT_MARCA,E408,MOT_DESDE,"&lt;="&amp;M408,MOT_HASTA,"&gt;="&amp;M408)+COUNTIFS(MOT_MOTOR,G408,MOT_MARCA,"(todas)",MOT_DESDE,"&lt;="&amp;M408,MOT_HASTA,"&gt;="&amp;M408)</f>
        <v/>
      </c>
      <c r="BK408" s="3">
        <f>IF(AND(K408="diesel",BJ408=0),MIN(BG408,NEUTRO),BG408)</f>
        <v/>
      </c>
      <c r="BL408" s="4">
        <f>MAX(0,MIN(100,BK408+BH408+BI408))</f>
        <v/>
      </c>
      <c r="BM408" s="3">
        <f>MAX(0,MIN(100,50+BE408*PRECIO_PEND))</f>
        <v/>
      </c>
      <c r="BN408" s="3">
        <f>MAX(0,100*(1-N408/KM_MAX))</f>
        <v/>
      </c>
      <c r="BO408" s="3">
        <f>IF(AV408&lt;KMA_SOSP,IF(AA408="sí",100,KMA_PEN),IF(AV408&lt;=KMA_IDEAL_MAX,100,MAX(0,100*(KMA_CERO-AV408)/(KMA_CERO-KMA_IDEAL_MAX))))</f>
        <v/>
      </c>
      <c r="BP408" s="3">
        <f>MAX(0,MIN(100,100*(M408-ANIO_MIN)/(ANIO_ACTUAL-ANIO_MIN)))</f>
        <v/>
      </c>
      <c r="BQ408" s="3">
        <f>W_KMT*BN408+W_KMA*BO408+W_EDAD*BP408</f>
        <v/>
      </c>
      <c r="BR408" s="3">
        <f>P_ITV*(V408="sí")+P_LIBRO*(W408="sí")+P_CORREA*(X408="sí")+P_PROP*(Y408=1)+P_GAR*(Z408="sí")+P_FOTOS*MIN(1,N(U408)/FOTOS_OBJ)</f>
        <v/>
      </c>
      <c r="BS408" s="3">
        <f>IFERROR(VLOOKUP(BF408,ETQ_TBL,2,0),NEUTRO)</f>
        <v/>
      </c>
      <c r="BT408" s="3">
        <f>NEUTRO</f>
        <v/>
      </c>
      <c r="BU408" s="3">
        <f>IFERROR(VLOOKUP(L408,SEGURO_TBL,3,0),"")</f>
        <v/>
      </c>
      <c r="BV408" s="3">
        <f>IF(BU408="",NEUTRO,MAX(0,MIN(100,100*(SEG_REF_MAX-BU408)/(SEG_REF_MAX-SEG_REF_MIN))))</f>
        <v/>
      </c>
      <c r="BW408" s="3">
        <f>W_ET*BS408+W_CONS*BT408+W_SEG*BV408</f>
        <v/>
      </c>
      <c r="BX408" s="3">
        <f>IF(N(AB408)&gt;0,AB408,IF(AND(R408="profesional",SG_LEGAL_ON=1),GAR_LEGAL,0))</f>
        <v/>
      </c>
      <c r="BY408" s="3">
        <f>SG_GAR*MIN(1,BX408/SG_GAR_FULL)+SG_AMPL*(AC408="sí")+SG_KMC*(AF408="sí")+SG_REV*(N(AE408)&gt;0)+SG_DEV*MIN(1,N(AG408)/SG_DEV_FULL)+SG_HIST*(W408="sí")</f>
        <v/>
      </c>
      <c r="BZ408" s="3">
        <f>IFERROR(VLOOKUP(L408,CARR_PEN_TBL,2,0),0)</f>
        <v/>
      </c>
      <c r="CA408" s="3">
        <f>W_FIAB*BL408+W_PRECIO*BM408+W_KMEDAD*BQ408+W_ANUNCIO*BR408+W_USO*BW408+W_SEGURIDAD*BY408-BZ408</f>
        <v/>
      </c>
      <c r="CB408" s="4">
        <f>IF(N(I408)&gt;0,I408,IFERROR(ROUND(_xlfn.NUMBERVALUE(LEFT(G408,FIND(" ",G408&amp;" ")-1),".")*1000,0),99999))</f>
        <v/>
      </c>
      <c r="CC408" s="3">
        <f>IF(R408="profesional",0,IF(O408&lt;CUOTA_VALOR_MAX,IF(AU408&gt;ITP_TRAMO_ALTO,SUMIFS(CF_CUOTA,CF_MAS,ITP_TRAMO_ALTO,CF_CCMIN,"&lt;="&amp;CB408,CF_CCMAX,"&gt;="&amp;CB408),IF(AU408&gt;ITP_TRAMO_BAJO,SUMIFS(CF_CUOTA,CF_MAS,ITP_TRAMO_BAJO,CF_CCMIN,"&lt;="&amp;CB408,CF_CCMAX,"&gt;="&amp;CB408),O408*ITP_TIPO)),O408*ITP_TIPO))</f>
        <v/>
      </c>
      <c r="CD408" s="4">
        <f>IF(R408="profesional",N(AK408),0)</f>
        <v/>
      </c>
      <c r="CE408" s="3">
        <f>IF(AND(R408="profesional",ISNUMBER(AK408),AL408="sí"),0,TASA_DGT)</f>
        <v/>
      </c>
      <c r="CF408" s="3">
        <f>INFORME_DGT</f>
        <v/>
      </c>
      <c r="CG408" s="4">
        <f>O408+CD408+CC408+CE408+CF408</f>
        <v/>
      </c>
      <c r="CH408" s="4">
        <f>CG408+N(BU408)</f>
        <v/>
      </c>
      <c r="CI408" s="3">
        <f>IF(CG408&lt;=TOTAL_MAX,"sí",IF(CG408&lt;=TOTAL_MAX+MARGEN_NEG,"negociar","no"))</f>
        <v/>
      </c>
      <c r="CJ408" s="4">
        <f>IF(CI408&lt;&gt;"no",COUNTIFS($CI$2:$CI$662,"&lt;&gt;no",$CA$2:$CA$662,"&gt;"&amp;CA408)+COUNTIFS($CI$2:CI408,"&lt;&gt;no",$CA$2:CA408,CA408),"")</f>
        <v/>
      </c>
    </row>
    <row r="409">
      <c r="A409" s="2" t="inlineStr">
        <is>
          <t>cochesnet:71478387</t>
        </is>
      </c>
      <c r="B409" s="2" t="inlineStr">
        <is>
          <t>cochesnet</t>
        </is>
      </c>
      <c r="C409" s="2" t="inlineStr">
        <is>
          <t>https://www.coches.net/opel-astra-17-cdti-110-cv-sportive-5p-diesel-2012-en-valencia-71478387-covo.aspx</t>
        </is>
      </c>
      <c r="D409" s="2" t="inlineStr">
        <is>
          <t>OPEL Astra 1.7 CDTi 110 CV Sportive</t>
        </is>
      </c>
      <c r="E409" s="2" t="inlineStr">
        <is>
          <t>Opel</t>
        </is>
      </c>
      <c r="F409" s="2" t="inlineStr">
        <is>
          <t>Opel Astra</t>
        </is>
      </c>
      <c r="G409" s="2" t="inlineStr">
        <is>
          <t>1.7 CDTi</t>
        </is>
      </c>
      <c r="H409" s="2" t="n"/>
      <c r="I409" s="2" t="n"/>
      <c r="J409" s="2" t="n">
        <v>110</v>
      </c>
      <c r="K409" s="2" t="inlineStr">
        <is>
          <t>diesel</t>
        </is>
      </c>
      <c r="L409" s="2" t="inlineStr">
        <is>
          <t>compacto</t>
        </is>
      </c>
      <c r="M409" s="2" t="n">
        <v>2012</v>
      </c>
      <c r="N409" s="2" t="n">
        <v>207000</v>
      </c>
      <c r="O409" s="2" t="n">
        <v>4800</v>
      </c>
      <c r="P409" s="2" t="n"/>
      <c r="Q409" s="2" t="n"/>
      <c r="R409" s="2" t="inlineStr">
        <is>
          <t>particular</t>
        </is>
      </c>
      <c r="S409" s="2" t="inlineStr">
        <is>
          <t>Sueca</t>
        </is>
      </c>
      <c r="T409" s="2" t="inlineStr">
        <is>
          <t>2026-09-09T18:22:01Z</t>
        </is>
      </c>
      <c r="U409" s="2" t="n">
        <v>12</v>
      </c>
      <c r="V409" s="2" t="n"/>
      <c r="W409" s="2" t="n"/>
      <c r="X409" s="2" t="n"/>
      <c r="Y409" s="2" t="n"/>
      <c r="Z409" s="2" t="inlineStr">
        <is>
          <t>no</t>
        </is>
      </c>
      <c r="AA409" s="2" t="n"/>
      <c r="AB409" s="2" t="n"/>
      <c r="AC409" s="2" t="n"/>
      <c r="AD409" s="2" t="n"/>
      <c r="AE409" s="2" t="n"/>
      <c r="AF409" s="2" t="n"/>
      <c r="AG409" s="2" t="n"/>
      <c r="AH409" s="2" t="n">
        <v>4800</v>
      </c>
      <c r="AI409" s="2" t="n"/>
      <c r="AJ409" s="2" t="n"/>
      <c r="AK409" s="2" t="n"/>
      <c r="AL409" s="2" t="n"/>
      <c r="AM409" s="2" t="n"/>
      <c r="AN409" s="2" t="n">
        <v>4490</v>
      </c>
      <c r="AO409" s="2" t="n">
        <v>7</v>
      </c>
      <c r="AP409" s="2" t="inlineStr">
        <is>
          <t>modelo+año+km</t>
        </is>
      </c>
      <c r="AQ409" s="2" t="n"/>
      <c r="AR409" s="2" t="inlineStr">
        <is>
          <t>cuota fija ITP: &gt;12 años, 1.501-2.000 cc; diésel: motor sin fuente de fiabilidad (fiabilidad limitada a neutra); distancia no verificable (el anuncio solo indica la provincia): confirmar que está a &lt;= 70 km</t>
        </is>
      </c>
      <c r="AS409" s="2" t="inlineStr"/>
      <c r="AT409" s="2" t="inlineStr">
        <is>
          <t>https://www.coches.net/opel/astra/segunda-mano/valencia/?pg=5 /home/user/Alopecia/buscador-coches/raw/cochesnet/967b780079be0c97.json</t>
        </is>
      </c>
      <c r="AU409" s="3">
        <f>MAX(ANIO_ACTUAL-M409,0)</f>
        <v/>
      </c>
      <c r="AV409" s="4">
        <f>N409/MAX(AU409,0.5)</f>
        <v/>
      </c>
      <c r="AW409" s="4">
        <f>F409</f>
        <v/>
      </c>
      <c r="AX409" s="3">
        <f>AW409&amp;"|"&amp;INT(M409/SEG_ANIO)*SEG_ANIO</f>
        <v/>
      </c>
      <c r="AY409" s="3">
        <f>AX409&amp;"|"&amp;INT(N409/SEG_KM)*SEG_KM</f>
        <v/>
      </c>
      <c r="AZ409" s="4">
        <f>COUNTIF($AW$2:$AW$662,AW409)</f>
        <v/>
      </c>
      <c r="BA409" s="4">
        <f>COUNTIF($AX$2:$AX$662,AX409)</f>
        <v/>
      </c>
      <c r="BB409" s="4">
        <f>COUNTIF($AY$2:$AY$662,AY409)</f>
        <v/>
      </c>
      <c r="BC409" s="3">
        <f t="array" ref="BC409">IF(N(AO409)&gt;=MIN_N,AN409,IF(BB409&gt;=MIN_N,MEDIAN(IF($AY$2:$AY$662=AY409,$O$2:$O$662)),IF(BA409&gt;=MIN_N,MEDIAN(IF($AX$2:$AX$662=AX409,$O$2:$O$662)),MEDIAN(IF($AW$2:$AW$662=AW409,$O$2:$O$662)))))</f>
        <v/>
      </c>
      <c r="BD409" s="3">
        <f>IF(N(AO409)&gt;=MIN_N,"mercado "&amp;AP409,IF(BB409&gt;=MIN_N,"modelo+año+km",IF(BA409&gt;=MIN_N,"modelo+año","modelo")))</f>
        <v/>
      </c>
      <c r="BE409" s="4">
        <f>(BC409-O409)/BC409</f>
        <v/>
      </c>
      <c r="BF409" s="3">
        <f>IF(OR(K409="hibrido",K409="glp"),"ECO",IF(K409="electrico","CERO",IF(K409="gasolina",IF(M409&gt;=GAS_C,"C",IF(M409&gt;=GAS_B,"B","A")),IF(K409="diesel",IF(M409&gt;=DIE_C,"C",IF(M409&gt;=DIE_B,"B","A")),""))))</f>
        <v/>
      </c>
      <c r="BG409" s="3">
        <f>IFERROR(VLOOKUP(F409,MOD_TBL,11,0),IFERROR(VLOOKUP(E409,OCU_TBL,2,0),NEUTRO))</f>
        <v/>
      </c>
      <c r="BH409" s="3">
        <f>SUMIFS(MOT_AJUSTE,MOT_MOTOR,G409,MOT_MARCA,E409,MOT_DESDE,"&lt;="&amp;M409,MOT_HASTA,"&gt;="&amp;M409)+SUMIFS(MOT_AJUSTE,MOT_MOTOR,G409,MOT_MARCA,"(todas)",MOT_DESDE,"&lt;="&amp;M409,MOT_HASTA,"&gt;="&amp;M409)</f>
        <v/>
      </c>
      <c r="BI409" s="3">
        <f>SUMIFS(COMB_AJUSTE,COMB_COMB,K409)</f>
        <v/>
      </c>
      <c r="BJ409" s="3">
        <f>COUNTIFS(MOT_MOTOR,G409,MOT_MARCA,E409,MOT_DESDE,"&lt;="&amp;M409,MOT_HASTA,"&gt;="&amp;M409)+COUNTIFS(MOT_MOTOR,G409,MOT_MARCA,"(todas)",MOT_DESDE,"&lt;="&amp;M409,MOT_HASTA,"&gt;="&amp;M409)</f>
        <v/>
      </c>
      <c r="BK409" s="3">
        <f>IF(AND(K409="diesel",BJ409=0),MIN(BG409,NEUTRO),BG409)</f>
        <v/>
      </c>
      <c r="BL409" s="4">
        <f>MAX(0,MIN(100,BK409+BH409+BI409))</f>
        <v/>
      </c>
      <c r="BM409" s="3">
        <f>MAX(0,MIN(100,50+BE409*PRECIO_PEND))</f>
        <v/>
      </c>
      <c r="BN409" s="3">
        <f>MAX(0,100*(1-N409/KM_MAX))</f>
        <v/>
      </c>
      <c r="BO409" s="3">
        <f>IF(AV409&lt;KMA_SOSP,IF(AA409="sí",100,KMA_PEN),IF(AV409&lt;=KMA_IDEAL_MAX,100,MAX(0,100*(KMA_CERO-AV409)/(KMA_CERO-KMA_IDEAL_MAX))))</f>
        <v/>
      </c>
      <c r="BP409" s="3">
        <f>MAX(0,MIN(100,100*(M409-ANIO_MIN)/(ANIO_ACTUAL-ANIO_MIN)))</f>
        <v/>
      </c>
      <c r="BQ409" s="3">
        <f>W_KMT*BN409+W_KMA*BO409+W_EDAD*BP409</f>
        <v/>
      </c>
      <c r="BR409" s="3">
        <f>P_ITV*(V409="sí")+P_LIBRO*(W409="sí")+P_CORREA*(X409="sí")+P_PROP*(Y409=1)+P_GAR*(Z409="sí")+P_FOTOS*MIN(1,N(U409)/FOTOS_OBJ)</f>
        <v/>
      </c>
      <c r="BS409" s="3">
        <f>IFERROR(VLOOKUP(BF409,ETQ_TBL,2,0),NEUTRO)</f>
        <v/>
      </c>
      <c r="BT409" s="3">
        <f>NEUTRO</f>
        <v/>
      </c>
      <c r="BU409" s="3">
        <f>IFERROR(VLOOKUP(L409,SEGURO_TBL,3,0),"")</f>
        <v/>
      </c>
      <c r="BV409" s="3">
        <f>IF(BU409="",NEUTRO,MAX(0,MIN(100,100*(SEG_REF_MAX-BU409)/(SEG_REF_MAX-SEG_REF_MIN))))</f>
        <v/>
      </c>
      <c r="BW409" s="3">
        <f>W_ET*BS409+W_CONS*BT409+W_SEG*BV409</f>
        <v/>
      </c>
      <c r="BX409" s="3">
        <f>IF(N(AB409)&gt;0,AB409,IF(AND(R409="profesional",SG_LEGAL_ON=1),GAR_LEGAL,0))</f>
        <v/>
      </c>
      <c r="BY409" s="3">
        <f>SG_GAR*MIN(1,BX409/SG_GAR_FULL)+SG_AMPL*(AC409="sí")+SG_KMC*(AF409="sí")+SG_REV*(N(AE409)&gt;0)+SG_DEV*MIN(1,N(AG409)/SG_DEV_FULL)+SG_HIST*(W409="sí")</f>
        <v/>
      </c>
      <c r="BZ409" s="3">
        <f>IFERROR(VLOOKUP(L409,CARR_PEN_TBL,2,0),0)</f>
        <v/>
      </c>
      <c r="CA409" s="3">
        <f>W_FIAB*BL409+W_PRECIO*BM409+W_KMEDAD*BQ409+W_ANUNCIO*BR409+W_USO*BW409+W_SEGURIDAD*BY409-BZ409</f>
        <v/>
      </c>
      <c r="CB409" s="4">
        <f>IF(N(I409)&gt;0,I409,IFERROR(ROUND(_xlfn.NUMBERVALUE(LEFT(G409,FIND(" ",G409&amp;" ")-1),".")*1000,0),99999))</f>
        <v/>
      </c>
      <c r="CC409" s="3">
        <f>IF(R409="profesional",0,IF(O409&lt;CUOTA_VALOR_MAX,IF(AU409&gt;ITP_TRAMO_ALTO,SUMIFS(CF_CUOTA,CF_MAS,ITP_TRAMO_ALTO,CF_CCMIN,"&lt;="&amp;CB409,CF_CCMAX,"&gt;="&amp;CB409),IF(AU409&gt;ITP_TRAMO_BAJO,SUMIFS(CF_CUOTA,CF_MAS,ITP_TRAMO_BAJO,CF_CCMIN,"&lt;="&amp;CB409,CF_CCMAX,"&gt;="&amp;CB409),O409*ITP_TIPO)),O409*ITP_TIPO))</f>
        <v/>
      </c>
      <c r="CD409" s="4">
        <f>IF(R409="profesional",N(AK409),0)</f>
        <v/>
      </c>
      <c r="CE409" s="3">
        <f>IF(AND(R409="profesional",ISNUMBER(AK409),AL409="sí"),0,TASA_DGT)</f>
        <v/>
      </c>
      <c r="CF409" s="3">
        <f>INFORME_DGT</f>
        <v/>
      </c>
      <c r="CG409" s="4">
        <f>O409+CD409+CC409+CE409+CF409</f>
        <v/>
      </c>
      <c r="CH409" s="4">
        <f>CG409+N(BU409)</f>
        <v/>
      </c>
      <c r="CI409" s="3">
        <f>IF(CG409&lt;=TOTAL_MAX,"sí",IF(CG409&lt;=TOTAL_MAX+MARGEN_NEG,"negociar","no"))</f>
        <v/>
      </c>
      <c r="CJ409" s="4">
        <f>IF(CI409&lt;&gt;"no",COUNTIFS($CI$2:$CI$662,"&lt;&gt;no",$CA$2:$CA$662,"&gt;"&amp;CA409)+COUNTIFS($CI$2:CI409,"&lt;&gt;no",$CA$2:CA409,CA409),"")</f>
        <v/>
      </c>
    </row>
    <row r="410">
      <c r="A410" s="2" t="inlineStr">
        <is>
          <t>cochesnet:71450364</t>
        </is>
      </c>
      <c r="B410" s="2" t="inlineStr">
        <is>
          <t>cochesnet</t>
        </is>
      </c>
      <c r="C410" s="2" t="inlineStr">
        <is>
          <t>https://www.coches.net/opel-astra-gasolina-2006-en-valencia-71450364-covo.aspx</t>
        </is>
      </c>
      <c r="D410" s="2" t="inlineStr">
        <is>
          <t>OPEL Astra 1.4 Essentia</t>
        </is>
      </c>
      <c r="E410" s="2" t="inlineStr">
        <is>
          <t>Opel</t>
        </is>
      </c>
      <c r="F410" s="2" t="inlineStr">
        <is>
          <t>Opel Astra</t>
        </is>
      </c>
      <c r="G410" s="2" t="inlineStr">
        <is>
          <t>1.4</t>
        </is>
      </c>
      <c r="H410" s="2" t="inlineStr">
        <is>
          <t>1.4 Essentia</t>
        </is>
      </c>
      <c r="I410" s="2" t="n"/>
      <c r="J410" s="2" t="n"/>
      <c r="K410" s="2" t="inlineStr">
        <is>
          <t>gasolina</t>
        </is>
      </c>
      <c r="L410" s="2" t="inlineStr">
        <is>
          <t>compacto</t>
        </is>
      </c>
      <c r="M410" s="2" t="n">
        <v>2006</v>
      </c>
      <c r="N410" s="2" t="n">
        <v>187000</v>
      </c>
      <c r="O410" s="2" t="n">
        <v>2700</v>
      </c>
      <c r="P410" s="2" t="inlineStr">
        <is>
          <t>manual</t>
        </is>
      </c>
      <c r="Q410" s="2" t="inlineStr">
        <is>
          <t>no</t>
        </is>
      </c>
      <c r="R410" s="2" t="inlineStr">
        <is>
          <t>particular</t>
        </is>
      </c>
      <c r="S410" s="2" t="inlineStr">
        <is>
          <t>San Antonio de Benagéber</t>
        </is>
      </c>
      <c r="T410" s="2" t="inlineStr">
        <is>
          <t>2026-09-05T20:28:44Z</t>
        </is>
      </c>
      <c r="U410" s="2" t="n">
        <v>7</v>
      </c>
      <c r="V410" s="2" t="inlineStr">
        <is>
          <t>sí</t>
        </is>
      </c>
      <c r="W410" s="2" t="n"/>
      <c r="X410" s="2" t="n"/>
      <c r="Y410" s="2" t="n"/>
      <c r="Z410" s="2" t="inlineStr">
        <is>
          <t>no</t>
        </is>
      </c>
      <c r="AA410" s="2" t="n"/>
      <c r="AB410" s="2" t="n"/>
      <c r="AC410" s="2" t="n"/>
      <c r="AD410" s="2" t="n"/>
      <c r="AE410" s="2" t="n"/>
      <c r="AF410" s="2" t="n"/>
      <c r="AG410" s="2" t="n"/>
      <c r="AH410" s="2" t="n">
        <v>2700</v>
      </c>
      <c r="AI410" s="2" t="n"/>
      <c r="AJ410" s="2" t="n"/>
      <c r="AK410" s="2" t="n"/>
      <c r="AL410" s="2" t="n"/>
      <c r="AM410" s="2" t="n">
        <v>19.1</v>
      </c>
      <c r="AN410" s="2" t="n">
        <v>2850</v>
      </c>
      <c r="AO410" s="2" t="n">
        <v>16</v>
      </c>
      <c r="AP410" s="2" t="inlineStr">
        <is>
          <t>modelo+año+km</t>
        </is>
      </c>
      <c r="AQ410" s="2" t="n"/>
      <c r="AR410" s="2" t="inlineStr">
        <is>
          <t>cuota fija ITP: &gt;12 años, hasta 1.500 cc</t>
        </is>
      </c>
      <c r="AS410" s="2" t="inlineStr">
        <is>
          <t xml:space="preserve">Opel Astra 2006 Manual. ITV recién pasada SIN FALTAS.Lo vendo por tener otro coche y no usarlo. Tiene años pero funciona muy bien y está listo para circular.Mantenimientos recientes:Bomba de agua nueva.Aire acondicionado a la perfección (compresor nuevo).Faros recién pulidos.Extras:Bola de enganche homologada.Manos libres Parrot.Se puede ver y probar sin compromiso. ¡Escríbeme!  algo negociable </t>
        </is>
      </c>
      <c r="AT410" s="2" t="inlineStr">
        <is>
          <t>https://www.coches.net/opel-astra-gasolina-2006-en-valencia-71450364-covo.aspx (window.__INITIAL_PROPS__.ad) /home/user/Alopecia/buscador-coches/raw/cochesnet/e2418849cab83a5b.json</t>
        </is>
      </c>
      <c r="AU410" s="3">
        <f>MAX(ANIO_ACTUAL-M410,0)</f>
        <v/>
      </c>
      <c r="AV410" s="4">
        <f>N410/MAX(AU410,0.5)</f>
        <v/>
      </c>
      <c r="AW410" s="4">
        <f>F410</f>
        <v/>
      </c>
      <c r="AX410" s="3">
        <f>AW410&amp;"|"&amp;INT(M410/SEG_ANIO)*SEG_ANIO</f>
        <v/>
      </c>
      <c r="AY410" s="3">
        <f>AX410&amp;"|"&amp;INT(N410/SEG_KM)*SEG_KM</f>
        <v/>
      </c>
      <c r="AZ410" s="4">
        <f>COUNTIF($AW$2:$AW$662,AW410)</f>
        <v/>
      </c>
      <c r="BA410" s="4">
        <f>COUNTIF($AX$2:$AX$662,AX410)</f>
        <v/>
      </c>
      <c r="BB410" s="4">
        <f>COUNTIF($AY$2:$AY$662,AY410)</f>
        <v/>
      </c>
      <c r="BC410" s="3">
        <f t="array" ref="BC410">IF(N(AO410)&gt;=MIN_N,AN410,IF(BB410&gt;=MIN_N,MEDIAN(IF($AY$2:$AY$662=AY410,$O$2:$O$662)),IF(BA410&gt;=MIN_N,MEDIAN(IF($AX$2:$AX$662=AX410,$O$2:$O$662)),MEDIAN(IF($AW$2:$AW$662=AW410,$O$2:$O$662)))))</f>
        <v/>
      </c>
      <c r="BD410" s="3">
        <f>IF(N(AO410)&gt;=MIN_N,"mercado "&amp;AP410,IF(BB410&gt;=MIN_N,"modelo+año+km",IF(BA410&gt;=MIN_N,"modelo+año","modelo")))</f>
        <v/>
      </c>
      <c r="BE410" s="4">
        <f>(BC410-O410)/BC410</f>
        <v/>
      </c>
      <c r="BF410" s="3">
        <f>IF(OR(K410="hibrido",K410="glp"),"ECO",IF(K410="electrico","CERO",IF(K410="gasolina",IF(M410&gt;=GAS_C,"C",IF(M410&gt;=GAS_B,"B","A")),IF(K410="diesel",IF(M410&gt;=DIE_C,"C",IF(M410&gt;=DIE_B,"B","A")),""))))</f>
        <v/>
      </c>
      <c r="BG410" s="3">
        <f>IFERROR(VLOOKUP(F410,MOD_TBL,11,0),IFERROR(VLOOKUP(E410,OCU_TBL,2,0),NEUTRO))</f>
        <v/>
      </c>
      <c r="BH410" s="3">
        <f>SUMIFS(MOT_AJUSTE,MOT_MOTOR,G410,MOT_MARCA,E410,MOT_DESDE,"&lt;="&amp;M410,MOT_HASTA,"&gt;="&amp;M410)+SUMIFS(MOT_AJUSTE,MOT_MOTOR,G410,MOT_MARCA,"(todas)",MOT_DESDE,"&lt;="&amp;M410,MOT_HASTA,"&gt;="&amp;M410)</f>
        <v/>
      </c>
      <c r="BI410" s="3">
        <f>SUMIFS(COMB_AJUSTE,COMB_COMB,K410)</f>
        <v/>
      </c>
      <c r="BJ410" s="3">
        <f>COUNTIFS(MOT_MOTOR,G410,MOT_MARCA,E410,MOT_DESDE,"&lt;="&amp;M410,MOT_HASTA,"&gt;="&amp;M410)+COUNTIFS(MOT_MOTOR,G410,MOT_MARCA,"(todas)",MOT_DESDE,"&lt;="&amp;M410,MOT_HASTA,"&gt;="&amp;M410)</f>
        <v/>
      </c>
      <c r="BK410" s="3">
        <f>IF(AND(K410="diesel",BJ410=0),MIN(BG410,NEUTRO),BG410)</f>
        <v/>
      </c>
      <c r="BL410" s="4">
        <f>MAX(0,MIN(100,BK410+BH410+BI410))</f>
        <v/>
      </c>
      <c r="BM410" s="3">
        <f>MAX(0,MIN(100,50+BE410*PRECIO_PEND))</f>
        <v/>
      </c>
      <c r="BN410" s="3">
        <f>MAX(0,100*(1-N410/KM_MAX))</f>
        <v/>
      </c>
      <c r="BO410" s="3">
        <f>IF(AV410&lt;KMA_SOSP,IF(AA410="sí",100,KMA_PEN),IF(AV410&lt;=KMA_IDEAL_MAX,100,MAX(0,100*(KMA_CERO-AV410)/(KMA_CERO-KMA_IDEAL_MAX))))</f>
        <v/>
      </c>
      <c r="BP410" s="3">
        <f>MAX(0,MIN(100,100*(M410-ANIO_MIN)/(ANIO_ACTUAL-ANIO_MIN)))</f>
        <v/>
      </c>
      <c r="BQ410" s="3">
        <f>W_KMT*BN410+W_KMA*BO410+W_EDAD*BP410</f>
        <v/>
      </c>
      <c r="BR410" s="3">
        <f>P_ITV*(V410="sí")+P_LIBRO*(W410="sí")+P_CORREA*(X410="sí")+P_PROP*(Y410=1)+P_GAR*(Z410="sí")+P_FOTOS*MIN(1,N(U410)/FOTOS_OBJ)</f>
        <v/>
      </c>
      <c r="BS410" s="3">
        <f>IFERROR(VLOOKUP(BF410,ETQ_TBL,2,0),NEUTRO)</f>
        <v/>
      </c>
      <c r="BT410" s="3">
        <f>NEUTRO</f>
        <v/>
      </c>
      <c r="BU410" s="3">
        <f>IFERROR(VLOOKUP(L410,SEGURO_TBL,3,0),"")</f>
        <v/>
      </c>
      <c r="BV410" s="3">
        <f>IF(BU410="",NEUTRO,MAX(0,MIN(100,100*(SEG_REF_MAX-BU410)/(SEG_REF_MAX-SEG_REF_MIN))))</f>
        <v/>
      </c>
      <c r="BW410" s="3">
        <f>W_ET*BS410+W_CONS*BT410+W_SEG*BV410</f>
        <v/>
      </c>
      <c r="BX410" s="3">
        <f>IF(N(AB410)&gt;0,AB410,IF(AND(R410="profesional",SG_LEGAL_ON=1),GAR_LEGAL,0))</f>
        <v/>
      </c>
      <c r="BY410" s="3">
        <f>SG_GAR*MIN(1,BX410/SG_GAR_FULL)+SG_AMPL*(AC410="sí")+SG_KMC*(AF410="sí")+SG_REV*(N(AE410)&gt;0)+SG_DEV*MIN(1,N(AG410)/SG_DEV_FULL)+SG_HIST*(W410="sí")</f>
        <v/>
      </c>
      <c r="BZ410" s="3">
        <f>IFERROR(VLOOKUP(L410,CARR_PEN_TBL,2,0),0)</f>
        <v/>
      </c>
      <c r="CA410" s="3">
        <f>W_FIAB*BL410+W_PRECIO*BM410+W_KMEDAD*BQ410+W_ANUNCIO*BR410+W_USO*BW410+W_SEGURIDAD*BY410-BZ410</f>
        <v/>
      </c>
      <c r="CB410" s="4">
        <f>IF(N(I410)&gt;0,I410,IFERROR(ROUND(_xlfn.NUMBERVALUE(LEFT(G410,FIND(" ",G410&amp;" ")-1),".")*1000,0),99999))</f>
        <v/>
      </c>
      <c r="CC410" s="3">
        <f>IF(R410="profesional",0,IF(O410&lt;CUOTA_VALOR_MAX,IF(AU410&gt;ITP_TRAMO_ALTO,SUMIFS(CF_CUOTA,CF_MAS,ITP_TRAMO_ALTO,CF_CCMIN,"&lt;="&amp;CB410,CF_CCMAX,"&gt;="&amp;CB410),IF(AU410&gt;ITP_TRAMO_BAJO,SUMIFS(CF_CUOTA,CF_MAS,ITP_TRAMO_BAJO,CF_CCMIN,"&lt;="&amp;CB410,CF_CCMAX,"&gt;="&amp;CB410),O410*ITP_TIPO)),O410*ITP_TIPO))</f>
        <v/>
      </c>
      <c r="CD410" s="4">
        <f>IF(R410="profesional",N(AK410),0)</f>
        <v/>
      </c>
      <c r="CE410" s="3">
        <f>IF(AND(R410="profesional",ISNUMBER(AK410),AL410="sí"),0,TASA_DGT)</f>
        <v/>
      </c>
      <c r="CF410" s="3">
        <f>INFORME_DGT</f>
        <v/>
      </c>
      <c r="CG410" s="4">
        <f>O410+CD410+CC410+CE410+CF410</f>
        <v/>
      </c>
      <c r="CH410" s="4">
        <f>CG410+N(BU410)</f>
        <v/>
      </c>
      <c r="CI410" s="3">
        <f>IF(CG410&lt;=TOTAL_MAX,"sí",IF(CG410&lt;=TOTAL_MAX+MARGEN_NEG,"negociar","no"))</f>
        <v/>
      </c>
      <c r="CJ410" s="4">
        <f>IF(CI410&lt;&gt;"no",COUNTIFS($CI$2:$CI$662,"&lt;&gt;no",$CA$2:$CA$662,"&gt;"&amp;CA410)+COUNTIFS($CI$2:CI410,"&lt;&gt;no",$CA$2:CA410,CA410),"")</f>
        <v/>
      </c>
    </row>
    <row r="411">
      <c r="A411" s="2" t="inlineStr">
        <is>
          <t>cochesnet:71241892</t>
        </is>
      </c>
      <c r="B411" s="2" t="inlineStr">
        <is>
          <t>cochesnet</t>
        </is>
      </c>
      <c r="C411" s="2" t="inlineStr">
        <is>
          <t>https://www.coches.net/opel-astra-17-cdti-enjoy-sw-5p-diesel-2007-en-valencia-71241892-covo.aspx</t>
        </is>
      </c>
      <c r="D411" s="2" t="inlineStr">
        <is>
          <t>OPEL Astra 1.7 CDTi Enjoy SW</t>
        </is>
      </c>
      <c r="E411" s="2" t="inlineStr">
        <is>
          <t>Opel</t>
        </is>
      </c>
      <c r="F411" s="2" t="inlineStr">
        <is>
          <t>Opel Astra</t>
        </is>
      </c>
      <c r="G411" s="2" t="inlineStr">
        <is>
          <t>1.7 CDTi</t>
        </is>
      </c>
      <c r="H411" s="2" t="inlineStr">
        <is>
          <t>1.7 CDTi Enjoy SW</t>
        </is>
      </c>
      <c r="I411" s="2" t="n"/>
      <c r="J411" s="2" t="n"/>
      <c r="K411" s="2" t="inlineStr">
        <is>
          <t>diesel</t>
        </is>
      </c>
      <c r="L411" s="2" t="inlineStr">
        <is>
          <t>familiar</t>
        </is>
      </c>
      <c r="M411" s="2" t="n">
        <v>2006</v>
      </c>
      <c r="N411" s="2" t="n">
        <v>168488</v>
      </c>
      <c r="O411" s="2" t="n">
        <v>3490</v>
      </c>
      <c r="P411" s="2" t="inlineStr">
        <is>
          <t>manual</t>
        </is>
      </c>
      <c r="Q411" s="2" t="inlineStr">
        <is>
          <t>no</t>
        </is>
      </c>
      <c r="R411" s="2" t="inlineStr">
        <is>
          <t>profesional</t>
        </is>
      </c>
      <c r="S411" s="2" t="inlineStr">
        <is>
          <t>Automóviles Nord Bonrepòs i Mirambell</t>
        </is>
      </c>
      <c r="T411" s="2" t="inlineStr">
        <is>
          <t>2026-08-06T13:08:47Z</t>
        </is>
      </c>
      <c r="U411" s="2" t="n">
        <v>15</v>
      </c>
      <c r="V411" s="2" t="n"/>
      <c r="W411" s="2" t="inlineStr">
        <is>
          <t>sí</t>
        </is>
      </c>
      <c r="X411" s="2" t="n"/>
      <c r="Y411" s="2" t="n">
        <v>1</v>
      </c>
      <c r="Z411" s="2" t="inlineStr">
        <is>
          <t>sí</t>
        </is>
      </c>
      <c r="AA411" s="2" t="n"/>
      <c r="AB411" s="2" t="n">
        <v>12</v>
      </c>
      <c r="AC411" s="2" t="n"/>
      <c r="AD411" s="2" t="n"/>
      <c r="AE411" s="2" t="n"/>
      <c r="AF411" s="2" t="n"/>
      <c r="AG411" s="2" t="n"/>
      <c r="AH411" s="2" t="n">
        <v>3490</v>
      </c>
      <c r="AI411" s="2" t="n"/>
      <c r="AJ411" s="2" t="n"/>
      <c r="AK411" s="2" t="n"/>
      <c r="AL411" s="2" t="n"/>
      <c r="AM411" s="2" t="n">
        <v>5.3</v>
      </c>
      <c r="AN411" s="2" t="n">
        <v>2850</v>
      </c>
      <c r="AO411" s="2" t="n">
        <v>16</v>
      </c>
      <c r="AP411" s="2" t="inlineStr">
        <is>
          <t>modelo+año+km</t>
        </is>
      </c>
      <c r="AQ411" s="2" t="n"/>
      <c r="AR411" s="2" t="inlineStr">
        <is>
          <t>vendedor profesional: sin ITP (operación con IVA/REBU, confirmar en factura); gastos de gestión del vendedor no indicados: se suma la tasa DGT; preguntar el precio final; diésel: motor sin fuente de fiabilidad (fiabilidad limitada a neutra); carrocería familiar: -3 puntos</t>
        </is>
      </c>
      <c r="AS411" s="2" t="inlineStr">
        <is>
          <t>-Automóviles Nord-
Opel Astra SW 1.7CDTi motor diésel de bajo consumo de procedencia nacional y único propietario.
El vehículo dispone de los siguientes extras: 
-Cierre centralizado
-Ordenador de abordo
-Elevalunas delanteros eléctricos
-Asientos confort 
-Radio cd mp3 
-Sistema ABS y control de estabilidad ESP
-Aire acondicionado
-El vehículo se entrega con la ITV y el mantenimiento al día
-Dirección asistida
-Dos llaves
-Ordenador abordo
El anuncio puede contener errores tipográficos y esta sujeto a cambios o variaciones por el vendedor en cualquier momento
Para mas información llamar al teléfono de contacto.
OPEL ASTRA EN SILLA</t>
        </is>
      </c>
      <c r="AT411" s="2" t="inlineStr">
        <is>
          <t>https://www.coches.net/opel-astra-17-cdti-enjoy-sw-5p-diesel-2007-en-valencia-71241892-covo.aspx (window.__INITIAL_PROPS__.ad) /home/user/Alopecia/buscador-coches/raw/cochesnet/dce79a1705535ace.json</t>
        </is>
      </c>
      <c r="AU411" s="3">
        <f>MAX(ANIO_ACTUAL-M411,0)</f>
        <v/>
      </c>
      <c r="AV411" s="4">
        <f>N411/MAX(AU411,0.5)</f>
        <v/>
      </c>
      <c r="AW411" s="4">
        <f>F411</f>
        <v/>
      </c>
      <c r="AX411" s="3">
        <f>AW411&amp;"|"&amp;INT(M411/SEG_ANIO)*SEG_ANIO</f>
        <v/>
      </c>
      <c r="AY411" s="3">
        <f>AX411&amp;"|"&amp;INT(N411/SEG_KM)*SEG_KM</f>
        <v/>
      </c>
      <c r="AZ411" s="4">
        <f>COUNTIF($AW$2:$AW$662,AW411)</f>
        <v/>
      </c>
      <c r="BA411" s="4">
        <f>COUNTIF($AX$2:$AX$662,AX411)</f>
        <v/>
      </c>
      <c r="BB411" s="4">
        <f>COUNTIF($AY$2:$AY$662,AY411)</f>
        <v/>
      </c>
      <c r="BC411" s="3">
        <f t="array" ref="BC411">IF(N(AO411)&gt;=MIN_N,AN411,IF(BB411&gt;=MIN_N,MEDIAN(IF($AY$2:$AY$662=AY411,$O$2:$O$662)),IF(BA411&gt;=MIN_N,MEDIAN(IF($AX$2:$AX$662=AX411,$O$2:$O$662)),MEDIAN(IF($AW$2:$AW$662=AW411,$O$2:$O$662)))))</f>
        <v/>
      </c>
      <c r="BD411" s="3">
        <f>IF(N(AO411)&gt;=MIN_N,"mercado "&amp;AP411,IF(BB411&gt;=MIN_N,"modelo+año+km",IF(BA411&gt;=MIN_N,"modelo+año","modelo")))</f>
        <v/>
      </c>
      <c r="BE411" s="4">
        <f>(BC411-O411)/BC411</f>
        <v/>
      </c>
      <c r="BF411" s="3">
        <f>IF(OR(K411="hibrido",K411="glp"),"ECO",IF(K411="electrico","CERO",IF(K411="gasolina",IF(M411&gt;=GAS_C,"C",IF(M411&gt;=GAS_B,"B","A")),IF(K411="diesel",IF(M411&gt;=DIE_C,"C",IF(M411&gt;=DIE_B,"B","A")),""))))</f>
        <v/>
      </c>
      <c r="BG411" s="3">
        <f>IFERROR(VLOOKUP(F411,MOD_TBL,11,0),IFERROR(VLOOKUP(E411,OCU_TBL,2,0),NEUTRO))</f>
        <v/>
      </c>
      <c r="BH411" s="3">
        <f>SUMIFS(MOT_AJUSTE,MOT_MOTOR,G411,MOT_MARCA,E411,MOT_DESDE,"&lt;="&amp;M411,MOT_HASTA,"&gt;="&amp;M411)+SUMIFS(MOT_AJUSTE,MOT_MOTOR,G411,MOT_MARCA,"(todas)",MOT_DESDE,"&lt;="&amp;M411,MOT_HASTA,"&gt;="&amp;M411)</f>
        <v/>
      </c>
      <c r="BI411" s="3">
        <f>SUMIFS(COMB_AJUSTE,COMB_COMB,K411)</f>
        <v/>
      </c>
      <c r="BJ411" s="3">
        <f>COUNTIFS(MOT_MOTOR,G411,MOT_MARCA,E411,MOT_DESDE,"&lt;="&amp;M411,MOT_HASTA,"&gt;="&amp;M411)+COUNTIFS(MOT_MOTOR,G411,MOT_MARCA,"(todas)",MOT_DESDE,"&lt;="&amp;M411,MOT_HASTA,"&gt;="&amp;M411)</f>
        <v/>
      </c>
      <c r="BK411" s="3">
        <f>IF(AND(K411="diesel",BJ411=0),MIN(BG411,NEUTRO),BG411)</f>
        <v/>
      </c>
      <c r="BL411" s="4">
        <f>MAX(0,MIN(100,BK411+BH411+BI411))</f>
        <v/>
      </c>
      <c r="BM411" s="3">
        <f>MAX(0,MIN(100,50+BE411*PRECIO_PEND))</f>
        <v/>
      </c>
      <c r="BN411" s="3">
        <f>MAX(0,100*(1-N411/KM_MAX))</f>
        <v/>
      </c>
      <c r="BO411" s="3">
        <f>IF(AV411&lt;KMA_SOSP,IF(AA411="sí",100,KMA_PEN),IF(AV411&lt;=KMA_IDEAL_MAX,100,MAX(0,100*(KMA_CERO-AV411)/(KMA_CERO-KMA_IDEAL_MAX))))</f>
        <v/>
      </c>
      <c r="BP411" s="3">
        <f>MAX(0,MIN(100,100*(M411-ANIO_MIN)/(ANIO_ACTUAL-ANIO_MIN)))</f>
        <v/>
      </c>
      <c r="BQ411" s="3">
        <f>W_KMT*BN411+W_KMA*BO411+W_EDAD*BP411</f>
        <v/>
      </c>
      <c r="BR411" s="3">
        <f>P_ITV*(V411="sí")+P_LIBRO*(W411="sí")+P_CORREA*(X411="sí")+P_PROP*(Y411=1)+P_GAR*(Z411="sí")+P_FOTOS*MIN(1,N(U411)/FOTOS_OBJ)</f>
        <v/>
      </c>
      <c r="BS411" s="3">
        <f>IFERROR(VLOOKUP(BF411,ETQ_TBL,2,0),NEUTRO)</f>
        <v/>
      </c>
      <c r="BT411" s="3">
        <f>NEUTRO</f>
        <v/>
      </c>
      <c r="BU411" s="3">
        <f>IFERROR(VLOOKUP(L411,SEGURO_TBL,3,0),"")</f>
        <v/>
      </c>
      <c r="BV411" s="3">
        <f>IF(BU411="",NEUTRO,MAX(0,MIN(100,100*(SEG_REF_MAX-BU411)/(SEG_REF_MAX-SEG_REF_MIN))))</f>
        <v/>
      </c>
      <c r="BW411" s="3">
        <f>W_ET*BS411+W_CONS*BT411+W_SEG*BV411</f>
        <v/>
      </c>
      <c r="BX411" s="3">
        <f>IF(N(AB411)&gt;0,AB411,IF(AND(R411="profesional",SG_LEGAL_ON=1),GAR_LEGAL,0))</f>
        <v/>
      </c>
      <c r="BY411" s="3">
        <f>SG_GAR*MIN(1,BX411/SG_GAR_FULL)+SG_AMPL*(AC411="sí")+SG_KMC*(AF411="sí")+SG_REV*(N(AE411)&gt;0)+SG_DEV*MIN(1,N(AG411)/SG_DEV_FULL)+SG_HIST*(W411="sí")</f>
        <v/>
      </c>
      <c r="BZ411" s="3">
        <f>IFERROR(VLOOKUP(L411,CARR_PEN_TBL,2,0),0)</f>
        <v/>
      </c>
      <c r="CA411" s="3">
        <f>W_FIAB*BL411+W_PRECIO*BM411+W_KMEDAD*BQ411+W_ANUNCIO*BR411+W_USO*BW411+W_SEGURIDAD*BY411-BZ411</f>
        <v/>
      </c>
      <c r="CB411" s="4">
        <f>IF(N(I411)&gt;0,I411,IFERROR(ROUND(_xlfn.NUMBERVALUE(LEFT(G411,FIND(" ",G411&amp;" ")-1),".")*1000,0),99999))</f>
        <v/>
      </c>
      <c r="CC411" s="3">
        <f>IF(R411="profesional",0,IF(O411&lt;CUOTA_VALOR_MAX,IF(AU411&gt;ITP_TRAMO_ALTO,SUMIFS(CF_CUOTA,CF_MAS,ITP_TRAMO_ALTO,CF_CCMIN,"&lt;="&amp;CB411,CF_CCMAX,"&gt;="&amp;CB411),IF(AU411&gt;ITP_TRAMO_BAJO,SUMIFS(CF_CUOTA,CF_MAS,ITP_TRAMO_BAJO,CF_CCMIN,"&lt;="&amp;CB411,CF_CCMAX,"&gt;="&amp;CB411),O411*ITP_TIPO)),O411*ITP_TIPO))</f>
        <v/>
      </c>
      <c r="CD411" s="4">
        <f>IF(R411="profesional",N(AK411),0)</f>
        <v/>
      </c>
      <c r="CE411" s="3">
        <f>IF(AND(R411="profesional",ISNUMBER(AK411),AL411="sí"),0,TASA_DGT)</f>
        <v/>
      </c>
      <c r="CF411" s="3">
        <f>INFORME_DGT</f>
        <v/>
      </c>
      <c r="CG411" s="4">
        <f>O411+CD411+CC411+CE411+CF411</f>
        <v/>
      </c>
      <c r="CH411" s="4">
        <f>CG411+N(BU411)</f>
        <v/>
      </c>
      <c r="CI411" s="3">
        <f>IF(CG411&lt;=TOTAL_MAX,"sí",IF(CG411&lt;=TOTAL_MAX+MARGEN_NEG,"negociar","no"))</f>
        <v/>
      </c>
      <c r="CJ411" s="4">
        <f>IF(CI411&lt;&gt;"no",COUNTIFS($CI$2:$CI$662,"&lt;&gt;no",$CA$2:$CA$662,"&gt;"&amp;CA411)+COUNTIFS($CI$2:CI411,"&lt;&gt;no",$CA$2:CA411,CA411),"")</f>
        <v/>
      </c>
    </row>
    <row r="412">
      <c r="A412" s="2" t="inlineStr">
        <is>
          <t>cochesnet:71218282</t>
        </is>
      </c>
      <c r="B412" s="2" t="inlineStr">
        <is>
          <t>cochesnet</t>
        </is>
      </c>
      <c r="C412" s="2" t="inlineStr">
        <is>
          <t>https://www.coches.net/opel-astra-gtc-16-16v-enjoy-3p-gasolina-2007-en-valencia-71218282-covo.aspx</t>
        </is>
      </c>
      <c r="D412" s="2" t="inlineStr">
        <is>
          <t>OPEL Astra GTC 1.6 16v Enjoy</t>
        </is>
      </c>
      <c r="E412" s="2" t="inlineStr">
        <is>
          <t>Opel</t>
        </is>
      </c>
      <c r="F412" s="2" t="inlineStr">
        <is>
          <t>Opel Astra</t>
        </is>
      </c>
      <c r="G412" s="2" t="inlineStr">
        <is>
          <t>1.6</t>
        </is>
      </c>
      <c r="H412" s="2" t="inlineStr">
        <is>
          <t>GTC 1.6 16v Enjoy</t>
        </is>
      </c>
      <c r="I412" s="2" t="n"/>
      <c r="J412" s="2" t="n"/>
      <c r="K412" s="2" t="inlineStr">
        <is>
          <t>gasolina</t>
        </is>
      </c>
      <c r="L412" s="2" t="inlineStr">
        <is>
          <t>compacto</t>
        </is>
      </c>
      <c r="M412" s="2" t="n">
        <v>2007</v>
      </c>
      <c r="N412" s="2" t="n">
        <v>215000</v>
      </c>
      <c r="O412" s="2" t="n">
        <v>2750</v>
      </c>
      <c r="P412" s="2" t="inlineStr">
        <is>
          <t>manual</t>
        </is>
      </c>
      <c r="Q412" s="2" t="inlineStr">
        <is>
          <t>no</t>
        </is>
      </c>
      <c r="R412" s="2" t="inlineStr">
        <is>
          <t>particular</t>
        </is>
      </c>
      <c r="S412" s="2" t="inlineStr">
        <is>
          <t>Gandia</t>
        </is>
      </c>
      <c r="T412" s="2" t="inlineStr">
        <is>
          <t>2026-10-12T16:24:49Z</t>
        </is>
      </c>
      <c r="U412" s="2" t="n">
        <v>11</v>
      </c>
      <c r="V412" s="2" t="inlineStr">
        <is>
          <t>sí</t>
        </is>
      </c>
      <c r="W412" s="2" t="n"/>
      <c r="X412" s="2" t="n"/>
      <c r="Y412" s="2" t="n"/>
      <c r="Z412" s="2" t="inlineStr">
        <is>
          <t>no</t>
        </is>
      </c>
      <c r="AA412" s="2" t="n"/>
      <c r="AB412" s="2" t="n"/>
      <c r="AC412" s="2" t="n"/>
      <c r="AD412" s="2" t="n"/>
      <c r="AE412" s="2" t="n"/>
      <c r="AF412" s="2" t="n"/>
      <c r="AG412" s="2" t="n"/>
      <c r="AH412" s="2" t="n">
        <v>2750</v>
      </c>
      <c r="AI412" s="2" t="n"/>
      <c r="AJ412" s="2" t="n"/>
      <c r="AK412" s="2" t="n"/>
      <c r="AL412" s="2" t="n"/>
      <c r="AM412" s="2" t="n">
        <v>58.4</v>
      </c>
      <c r="AN412" s="2" t="n">
        <v>2725</v>
      </c>
      <c r="AO412" s="2" t="n">
        <v>8</v>
      </c>
      <c r="AP412" s="2" t="inlineStr">
        <is>
          <t>modelo+año+km</t>
        </is>
      </c>
      <c r="AQ412" s="2" t="n"/>
      <c r="AR412" s="2" t="inlineStr">
        <is>
          <t>cuota fija ITP: &gt;12 años, 1.501-2.000 cc</t>
        </is>
      </c>
      <c r="AS412" s="2" t="inlineStr">
        <is>
          <t>Opel Astra GTC 1.6 16V Enjoy Gasolina 215.000km
– ITV recién pasada – Batería nueva
Se vende Opel Astra GTC 1.6 16V Enjoy gasolina, matriculado en 2007. Coche fiable y cómodo, ideal tanto para ciudad como para carretera. Se encuentra en buen estado de funcionamiento y listo para usar.
Extras y mantenimiento:
* ITV recién pasada.
* Batería nueva recién cambiada.
* Pantalla táctil con Bluetooth instalada (ideal para música y llamadas manos libres).
* Faros de xenón.
* Motor 1.6 gasolina de bajo mantenimiento y buena fiabilidad.
* Buen estado general.
* Aire acondicionado en perfecto estado
El coche funciona correctamente y está al día para poder utilizarlo desde el primer día, sin necesidad de hacer ninguna inversión inmediata.
Se puede ver y probar sin compromiso.
Precio negociable dentro de lo razonable. Abstenerse ofertas absurdas</t>
        </is>
      </c>
      <c r="AT412" s="2" t="inlineStr">
        <is>
          <t>https://www.coches.net/opel-astra-gtc-16-16v-enjoy-3p-gasolina-2007-en-valencia-71218282-covo.aspx (window.__INITIAL_PROPS__.ad) /home/user/Alopecia/buscador-coches/raw/cochesnet/e2ae7d02dbd56ff2.json</t>
        </is>
      </c>
      <c r="AU412" s="3">
        <f>MAX(ANIO_ACTUAL-M412,0)</f>
        <v/>
      </c>
      <c r="AV412" s="4">
        <f>N412/MAX(AU412,0.5)</f>
        <v/>
      </c>
      <c r="AW412" s="4">
        <f>F412</f>
        <v/>
      </c>
      <c r="AX412" s="3">
        <f>AW412&amp;"|"&amp;INT(M412/SEG_ANIO)*SEG_ANIO</f>
        <v/>
      </c>
      <c r="AY412" s="3">
        <f>AX412&amp;"|"&amp;INT(N412/SEG_KM)*SEG_KM</f>
        <v/>
      </c>
      <c r="AZ412" s="4">
        <f>COUNTIF($AW$2:$AW$662,AW412)</f>
        <v/>
      </c>
      <c r="BA412" s="4">
        <f>COUNTIF($AX$2:$AX$662,AX412)</f>
        <v/>
      </c>
      <c r="BB412" s="4">
        <f>COUNTIF($AY$2:$AY$662,AY412)</f>
        <v/>
      </c>
      <c r="BC412" s="3">
        <f t="array" ref="BC412">IF(N(AO412)&gt;=MIN_N,AN412,IF(BB412&gt;=MIN_N,MEDIAN(IF($AY$2:$AY$662=AY412,$O$2:$O$662)),IF(BA412&gt;=MIN_N,MEDIAN(IF($AX$2:$AX$662=AX412,$O$2:$O$662)),MEDIAN(IF($AW$2:$AW$662=AW412,$O$2:$O$662)))))</f>
        <v/>
      </c>
      <c r="BD412" s="3">
        <f>IF(N(AO412)&gt;=MIN_N,"mercado "&amp;AP412,IF(BB412&gt;=MIN_N,"modelo+año+km",IF(BA412&gt;=MIN_N,"modelo+año","modelo")))</f>
        <v/>
      </c>
      <c r="BE412" s="4">
        <f>(BC412-O412)/BC412</f>
        <v/>
      </c>
      <c r="BF412" s="3">
        <f>IF(OR(K412="hibrido",K412="glp"),"ECO",IF(K412="electrico","CERO",IF(K412="gasolina",IF(M412&gt;=GAS_C,"C",IF(M412&gt;=GAS_B,"B","A")),IF(K412="diesel",IF(M412&gt;=DIE_C,"C",IF(M412&gt;=DIE_B,"B","A")),""))))</f>
        <v/>
      </c>
      <c r="BG412" s="3">
        <f>IFERROR(VLOOKUP(F412,MOD_TBL,11,0),IFERROR(VLOOKUP(E412,OCU_TBL,2,0),NEUTRO))</f>
        <v/>
      </c>
      <c r="BH412" s="3">
        <f>SUMIFS(MOT_AJUSTE,MOT_MOTOR,G412,MOT_MARCA,E412,MOT_DESDE,"&lt;="&amp;M412,MOT_HASTA,"&gt;="&amp;M412)+SUMIFS(MOT_AJUSTE,MOT_MOTOR,G412,MOT_MARCA,"(todas)",MOT_DESDE,"&lt;="&amp;M412,MOT_HASTA,"&gt;="&amp;M412)</f>
        <v/>
      </c>
      <c r="BI412" s="3">
        <f>SUMIFS(COMB_AJUSTE,COMB_COMB,K412)</f>
        <v/>
      </c>
      <c r="BJ412" s="3">
        <f>COUNTIFS(MOT_MOTOR,G412,MOT_MARCA,E412,MOT_DESDE,"&lt;="&amp;M412,MOT_HASTA,"&gt;="&amp;M412)+COUNTIFS(MOT_MOTOR,G412,MOT_MARCA,"(todas)",MOT_DESDE,"&lt;="&amp;M412,MOT_HASTA,"&gt;="&amp;M412)</f>
        <v/>
      </c>
      <c r="BK412" s="3">
        <f>IF(AND(K412="diesel",BJ412=0),MIN(BG412,NEUTRO),BG412)</f>
        <v/>
      </c>
      <c r="BL412" s="4">
        <f>MAX(0,MIN(100,BK412+BH412+BI412))</f>
        <v/>
      </c>
      <c r="BM412" s="3">
        <f>MAX(0,MIN(100,50+BE412*PRECIO_PEND))</f>
        <v/>
      </c>
      <c r="BN412" s="3">
        <f>MAX(0,100*(1-N412/KM_MAX))</f>
        <v/>
      </c>
      <c r="BO412" s="3">
        <f>IF(AV412&lt;KMA_SOSP,IF(AA412="sí",100,KMA_PEN),IF(AV412&lt;=KMA_IDEAL_MAX,100,MAX(0,100*(KMA_CERO-AV412)/(KMA_CERO-KMA_IDEAL_MAX))))</f>
        <v/>
      </c>
      <c r="BP412" s="3">
        <f>MAX(0,MIN(100,100*(M412-ANIO_MIN)/(ANIO_ACTUAL-ANIO_MIN)))</f>
        <v/>
      </c>
      <c r="BQ412" s="3">
        <f>W_KMT*BN412+W_KMA*BO412+W_EDAD*BP412</f>
        <v/>
      </c>
      <c r="BR412" s="3">
        <f>P_ITV*(V412="sí")+P_LIBRO*(W412="sí")+P_CORREA*(X412="sí")+P_PROP*(Y412=1)+P_GAR*(Z412="sí")+P_FOTOS*MIN(1,N(U412)/FOTOS_OBJ)</f>
        <v/>
      </c>
      <c r="BS412" s="3">
        <f>IFERROR(VLOOKUP(BF412,ETQ_TBL,2,0),NEUTRO)</f>
        <v/>
      </c>
      <c r="BT412" s="3">
        <f>NEUTRO</f>
        <v/>
      </c>
      <c r="BU412" s="3">
        <f>IFERROR(VLOOKUP(L412,SEGURO_TBL,3,0),"")</f>
        <v/>
      </c>
      <c r="BV412" s="3">
        <f>IF(BU412="",NEUTRO,MAX(0,MIN(100,100*(SEG_REF_MAX-BU412)/(SEG_REF_MAX-SEG_REF_MIN))))</f>
        <v/>
      </c>
      <c r="BW412" s="3">
        <f>W_ET*BS412+W_CONS*BT412+W_SEG*BV412</f>
        <v/>
      </c>
      <c r="BX412" s="3">
        <f>IF(N(AB412)&gt;0,AB412,IF(AND(R412="profesional",SG_LEGAL_ON=1),GAR_LEGAL,0))</f>
        <v/>
      </c>
      <c r="BY412" s="3">
        <f>SG_GAR*MIN(1,BX412/SG_GAR_FULL)+SG_AMPL*(AC412="sí")+SG_KMC*(AF412="sí")+SG_REV*(N(AE412)&gt;0)+SG_DEV*MIN(1,N(AG412)/SG_DEV_FULL)+SG_HIST*(W412="sí")</f>
        <v/>
      </c>
      <c r="BZ412" s="3">
        <f>IFERROR(VLOOKUP(L412,CARR_PEN_TBL,2,0),0)</f>
        <v/>
      </c>
      <c r="CA412" s="3">
        <f>W_FIAB*BL412+W_PRECIO*BM412+W_KMEDAD*BQ412+W_ANUNCIO*BR412+W_USO*BW412+W_SEGURIDAD*BY412-BZ412</f>
        <v/>
      </c>
      <c r="CB412" s="4">
        <f>IF(N(I412)&gt;0,I412,IFERROR(ROUND(_xlfn.NUMBERVALUE(LEFT(G412,FIND(" ",G412&amp;" ")-1),".")*1000,0),99999))</f>
        <v/>
      </c>
      <c r="CC412" s="3">
        <f>IF(R412="profesional",0,IF(O412&lt;CUOTA_VALOR_MAX,IF(AU412&gt;ITP_TRAMO_ALTO,SUMIFS(CF_CUOTA,CF_MAS,ITP_TRAMO_ALTO,CF_CCMIN,"&lt;="&amp;CB412,CF_CCMAX,"&gt;="&amp;CB412),IF(AU412&gt;ITP_TRAMO_BAJO,SUMIFS(CF_CUOTA,CF_MAS,ITP_TRAMO_BAJO,CF_CCMIN,"&lt;="&amp;CB412,CF_CCMAX,"&gt;="&amp;CB412),O412*ITP_TIPO)),O412*ITP_TIPO))</f>
        <v/>
      </c>
      <c r="CD412" s="4">
        <f>IF(R412="profesional",N(AK412),0)</f>
        <v/>
      </c>
      <c r="CE412" s="3">
        <f>IF(AND(R412="profesional",ISNUMBER(AK412),AL412="sí"),0,TASA_DGT)</f>
        <v/>
      </c>
      <c r="CF412" s="3">
        <f>INFORME_DGT</f>
        <v/>
      </c>
      <c r="CG412" s="4">
        <f>O412+CD412+CC412+CE412+CF412</f>
        <v/>
      </c>
      <c r="CH412" s="4">
        <f>CG412+N(BU412)</f>
        <v/>
      </c>
      <c r="CI412" s="3">
        <f>IF(CG412&lt;=TOTAL_MAX,"sí",IF(CG412&lt;=TOTAL_MAX+MARGEN_NEG,"negociar","no"))</f>
        <v/>
      </c>
      <c r="CJ412" s="4">
        <f>IF(CI412&lt;&gt;"no",COUNTIFS($CI$2:$CI$662,"&lt;&gt;no",$CA$2:$CA$662,"&gt;"&amp;CA412)+COUNTIFS($CI$2:CI412,"&lt;&gt;no",$CA$2:CA412,CA412),"")</f>
        <v/>
      </c>
    </row>
    <row r="413">
      <c r="A413" s="2" t="inlineStr">
        <is>
          <t>cochesnet:71233866</t>
        </is>
      </c>
      <c r="B413" s="2" t="inlineStr">
        <is>
          <t>cochesnet</t>
        </is>
      </c>
      <c r="C413" s="2" t="inlineStr">
        <is>
          <t>https://www.coches.net/opel-astra-gtc-17-cdti-sport-3p-diesel-2006-en-valencia-71233866-covo.aspx</t>
        </is>
      </c>
      <c r="D413" s="2" t="inlineStr">
        <is>
          <t>OPEL Astra GTC 1.7 CDTi Sport</t>
        </is>
      </c>
      <c r="E413" s="2" t="inlineStr">
        <is>
          <t>Opel</t>
        </is>
      </c>
      <c r="F413" s="2" t="inlineStr">
        <is>
          <t>Opel Astra</t>
        </is>
      </c>
      <c r="G413" s="2" t="inlineStr">
        <is>
          <t>1.7 CDTi</t>
        </is>
      </c>
      <c r="H413" s="2" t="inlineStr">
        <is>
          <t>GTC 1.7 CDTi Sport</t>
        </is>
      </c>
      <c r="I413" s="2" t="n"/>
      <c r="J413" s="2" t="n"/>
      <c r="K413" s="2" t="inlineStr">
        <is>
          <t>diesel</t>
        </is>
      </c>
      <c r="L413" s="2" t="inlineStr">
        <is>
          <t>compacto</t>
        </is>
      </c>
      <c r="M413" s="2" t="n">
        <v>2006</v>
      </c>
      <c r="N413" s="2" t="n">
        <v>205000</v>
      </c>
      <c r="O413" s="2" t="n">
        <v>1600</v>
      </c>
      <c r="P413" s="2" t="inlineStr">
        <is>
          <t>manual</t>
        </is>
      </c>
      <c r="Q413" s="2" t="inlineStr">
        <is>
          <t>no</t>
        </is>
      </c>
      <c r="R413" s="2" t="inlineStr">
        <is>
          <t>particular</t>
        </is>
      </c>
      <c r="S413" s="2" t="inlineStr">
        <is>
          <t>Carlet</t>
        </is>
      </c>
      <c r="T413" s="2" t="inlineStr">
        <is>
          <t>2026-08-05T12:47:24Z</t>
        </is>
      </c>
      <c r="U413" s="2" t="n"/>
      <c r="V413" s="2" t="n"/>
      <c r="W413" s="2" t="n"/>
      <c r="X413" s="2" t="n"/>
      <c r="Y413" s="2" t="n"/>
      <c r="Z413" s="2" t="inlineStr">
        <is>
          <t>no</t>
        </is>
      </c>
      <c r="AA413" s="2" t="n"/>
      <c r="AB413" s="2" t="n"/>
      <c r="AC413" s="2" t="n"/>
      <c r="AD413" s="2" t="n"/>
      <c r="AE413" s="2" t="n"/>
      <c r="AF413" s="2" t="n"/>
      <c r="AG413" s="2" t="n"/>
      <c r="AH413" s="2" t="n">
        <v>1600</v>
      </c>
      <c r="AI413" s="2" t="n"/>
      <c r="AJ413" s="2" t="n"/>
      <c r="AK413" s="2" t="n"/>
      <c r="AL413" s="2" t="n"/>
      <c r="AM413" s="2" t="n">
        <v>29.8</v>
      </c>
      <c r="AN413" s="2" t="n">
        <v>2450</v>
      </c>
      <c r="AO413" s="2" t="n">
        <v>14</v>
      </c>
      <c r="AP413" s="2" t="inlineStr">
        <is>
          <t>modelo+año+km</t>
        </is>
      </c>
      <c r="AQ413" s="2" t="n"/>
      <c r="AR413" s="2" t="inlineStr">
        <is>
          <t>cuota fija ITP: &gt;12 años, 1.501-2.000 cc; diésel: motor sin fuente de fiabilidad (fiabilidad limitada a neutra)</t>
        </is>
      </c>
      <c r="AS413" s="2" t="inlineStr">
        <is>
          <t>Vendo mi Opel Astra GTC 1.7 CDTi Sport, un berlina compacto y versátil que ha demostrado ser una apuesta segura en fiabilidad y eficiencia. Con motor diesel de 110 CV, ofrece una excelente relación entre potencia y consumo, ideal para quien busca rendimiento sin sacrificar economía en carburante.
El vehículo se encuentra en estado de uso habitual, tanto en interior como en exterior, reflejando un uso cotidiano normal. La carrocería blanca mantiene su aspecto limpio, y la mecánica diesel sigue funcionando con solidez, característica de estos motores Opel.
Este modelo destaca por su practicidad: tres puertas, cinco plazas y cambio manual que facilita una conducción directa y controlada. Perfecto tanto para desplazamientos urbanos como para trayectos más largos, combina agilidad en ciudad con estabilidad en carretera.
El motor de 1686 cc ha sido probado y testado a lo largo del tiempo, demostrando la durabilidad característica de la marca. Si buscas un vehículo funcional, económico de mantener y con capacidad de carga versátil, esta es una opción a considerar.
Estoy disponible para responder cualquier duda específica sobre el estado mecánico, histórico de mantenimiento o cualquier otro aspecto que quieras conocer antes de tomar tu decisión. Puedo contactarte por teléfono o chat para resolver todas tus preguntas.
Contacta hoy mismo y ven a comprobarlo por ti mismo. ¡No lo dejes escapar!
EL COCHE LE HACE FALTA CANVIARLE RL TURBO</t>
        </is>
      </c>
      <c r="AT413" s="2" t="inlineStr">
        <is>
          <t>https://www.coches.net/opel-astra-gtc-17-cdti-sport-3p-diesel-2006-en-valencia-71233866-covo.aspx (window.__INITIAL_PROPS__.ad) /home/user/Alopecia/buscador-coches/raw/cochesnet/f6643daaaac92d13.json</t>
        </is>
      </c>
      <c r="AU413" s="3">
        <f>MAX(ANIO_ACTUAL-M413,0)</f>
        <v/>
      </c>
      <c r="AV413" s="4">
        <f>N413/MAX(AU413,0.5)</f>
        <v/>
      </c>
      <c r="AW413" s="4">
        <f>F413</f>
        <v/>
      </c>
      <c r="AX413" s="3">
        <f>AW413&amp;"|"&amp;INT(M413/SEG_ANIO)*SEG_ANIO</f>
        <v/>
      </c>
      <c r="AY413" s="3">
        <f>AX413&amp;"|"&amp;INT(N413/SEG_KM)*SEG_KM</f>
        <v/>
      </c>
      <c r="AZ413" s="4">
        <f>COUNTIF($AW$2:$AW$662,AW413)</f>
        <v/>
      </c>
      <c r="BA413" s="4">
        <f>COUNTIF($AX$2:$AX$662,AX413)</f>
        <v/>
      </c>
      <c r="BB413" s="4">
        <f>COUNTIF($AY$2:$AY$662,AY413)</f>
        <v/>
      </c>
      <c r="BC413" s="3">
        <f t="array" ref="BC413">IF(N(AO413)&gt;=MIN_N,AN413,IF(BB413&gt;=MIN_N,MEDIAN(IF($AY$2:$AY$662=AY413,$O$2:$O$662)),IF(BA413&gt;=MIN_N,MEDIAN(IF($AX$2:$AX$662=AX413,$O$2:$O$662)),MEDIAN(IF($AW$2:$AW$662=AW413,$O$2:$O$662)))))</f>
        <v/>
      </c>
      <c r="BD413" s="3">
        <f>IF(N(AO413)&gt;=MIN_N,"mercado "&amp;AP413,IF(BB413&gt;=MIN_N,"modelo+año+km",IF(BA413&gt;=MIN_N,"modelo+año","modelo")))</f>
        <v/>
      </c>
      <c r="BE413" s="4">
        <f>(BC413-O413)/BC413</f>
        <v/>
      </c>
      <c r="BF413" s="3">
        <f>IF(OR(K413="hibrido",K413="glp"),"ECO",IF(K413="electrico","CERO",IF(K413="gasolina",IF(M413&gt;=GAS_C,"C",IF(M413&gt;=GAS_B,"B","A")),IF(K413="diesel",IF(M413&gt;=DIE_C,"C",IF(M413&gt;=DIE_B,"B","A")),""))))</f>
        <v/>
      </c>
      <c r="BG413" s="3">
        <f>IFERROR(VLOOKUP(F413,MOD_TBL,11,0),IFERROR(VLOOKUP(E413,OCU_TBL,2,0),NEUTRO))</f>
        <v/>
      </c>
      <c r="BH413" s="3">
        <f>SUMIFS(MOT_AJUSTE,MOT_MOTOR,G413,MOT_MARCA,E413,MOT_DESDE,"&lt;="&amp;M413,MOT_HASTA,"&gt;="&amp;M413)+SUMIFS(MOT_AJUSTE,MOT_MOTOR,G413,MOT_MARCA,"(todas)",MOT_DESDE,"&lt;="&amp;M413,MOT_HASTA,"&gt;="&amp;M413)</f>
        <v/>
      </c>
      <c r="BI413" s="3">
        <f>SUMIFS(COMB_AJUSTE,COMB_COMB,K413)</f>
        <v/>
      </c>
      <c r="BJ413" s="3">
        <f>COUNTIFS(MOT_MOTOR,G413,MOT_MARCA,E413,MOT_DESDE,"&lt;="&amp;M413,MOT_HASTA,"&gt;="&amp;M413)+COUNTIFS(MOT_MOTOR,G413,MOT_MARCA,"(todas)",MOT_DESDE,"&lt;="&amp;M413,MOT_HASTA,"&gt;="&amp;M413)</f>
        <v/>
      </c>
      <c r="BK413" s="3">
        <f>IF(AND(K413="diesel",BJ413=0),MIN(BG413,NEUTRO),BG413)</f>
        <v/>
      </c>
      <c r="BL413" s="4">
        <f>MAX(0,MIN(100,BK413+BH413+BI413))</f>
        <v/>
      </c>
      <c r="BM413" s="3">
        <f>MAX(0,MIN(100,50+BE413*PRECIO_PEND))</f>
        <v/>
      </c>
      <c r="BN413" s="3">
        <f>MAX(0,100*(1-N413/KM_MAX))</f>
        <v/>
      </c>
      <c r="BO413" s="3">
        <f>IF(AV413&lt;KMA_SOSP,IF(AA413="sí",100,KMA_PEN),IF(AV413&lt;=KMA_IDEAL_MAX,100,MAX(0,100*(KMA_CERO-AV413)/(KMA_CERO-KMA_IDEAL_MAX))))</f>
        <v/>
      </c>
      <c r="BP413" s="3">
        <f>MAX(0,MIN(100,100*(M413-ANIO_MIN)/(ANIO_ACTUAL-ANIO_MIN)))</f>
        <v/>
      </c>
      <c r="BQ413" s="3">
        <f>W_KMT*BN413+W_KMA*BO413+W_EDAD*BP413</f>
        <v/>
      </c>
      <c r="BR413" s="3">
        <f>P_ITV*(V413="sí")+P_LIBRO*(W413="sí")+P_CORREA*(X413="sí")+P_PROP*(Y413=1)+P_GAR*(Z413="sí")+P_FOTOS*MIN(1,N(U413)/FOTOS_OBJ)</f>
        <v/>
      </c>
      <c r="BS413" s="3">
        <f>IFERROR(VLOOKUP(BF413,ETQ_TBL,2,0),NEUTRO)</f>
        <v/>
      </c>
      <c r="BT413" s="3">
        <f>NEUTRO</f>
        <v/>
      </c>
      <c r="BU413" s="3">
        <f>IFERROR(VLOOKUP(L413,SEGURO_TBL,3,0),"")</f>
        <v/>
      </c>
      <c r="BV413" s="3">
        <f>IF(BU413="",NEUTRO,MAX(0,MIN(100,100*(SEG_REF_MAX-BU413)/(SEG_REF_MAX-SEG_REF_MIN))))</f>
        <v/>
      </c>
      <c r="BW413" s="3">
        <f>W_ET*BS413+W_CONS*BT413+W_SEG*BV413</f>
        <v/>
      </c>
      <c r="BX413" s="3">
        <f>IF(N(AB413)&gt;0,AB413,IF(AND(R413="profesional",SG_LEGAL_ON=1),GAR_LEGAL,0))</f>
        <v/>
      </c>
      <c r="BY413" s="3">
        <f>SG_GAR*MIN(1,BX413/SG_GAR_FULL)+SG_AMPL*(AC413="sí")+SG_KMC*(AF413="sí")+SG_REV*(N(AE413)&gt;0)+SG_DEV*MIN(1,N(AG413)/SG_DEV_FULL)+SG_HIST*(W413="sí")</f>
        <v/>
      </c>
      <c r="BZ413" s="3">
        <f>IFERROR(VLOOKUP(L413,CARR_PEN_TBL,2,0),0)</f>
        <v/>
      </c>
      <c r="CA413" s="3">
        <f>W_FIAB*BL413+W_PRECIO*BM413+W_KMEDAD*BQ413+W_ANUNCIO*BR413+W_USO*BW413+W_SEGURIDAD*BY413-BZ413</f>
        <v/>
      </c>
      <c r="CB413" s="4">
        <f>IF(N(I413)&gt;0,I413,IFERROR(ROUND(_xlfn.NUMBERVALUE(LEFT(G413,FIND(" ",G413&amp;" ")-1),".")*1000,0),99999))</f>
        <v/>
      </c>
      <c r="CC413" s="3">
        <f>IF(R413="profesional",0,IF(O413&lt;CUOTA_VALOR_MAX,IF(AU413&gt;ITP_TRAMO_ALTO,SUMIFS(CF_CUOTA,CF_MAS,ITP_TRAMO_ALTO,CF_CCMIN,"&lt;="&amp;CB413,CF_CCMAX,"&gt;="&amp;CB413),IF(AU413&gt;ITP_TRAMO_BAJO,SUMIFS(CF_CUOTA,CF_MAS,ITP_TRAMO_BAJO,CF_CCMIN,"&lt;="&amp;CB413,CF_CCMAX,"&gt;="&amp;CB413),O413*ITP_TIPO)),O413*ITP_TIPO))</f>
        <v/>
      </c>
      <c r="CD413" s="4">
        <f>IF(R413="profesional",N(AK413),0)</f>
        <v/>
      </c>
      <c r="CE413" s="3">
        <f>IF(AND(R413="profesional",ISNUMBER(AK413),AL413="sí"),0,TASA_DGT)</f>
        <v/>
      </c>
      <c r="CF413" s="3">
        <f>INFORME_DGT</f>
        <v/>
      </c>
      <c r="CG413" s="4">
        <f>O413+CD413+CC413+CE413+CF413</f>
        <v/>
      </c>
      <c r="CH413" s="4">
        <f>CG413+N(BU413)</f>
        <v/>
      </c>
      <c r="CI413" s="3">
        <f>IF(CG413&lt;=TOTAL_MAX,"sí",IF(CG413&lt;=TOTAL_MAX+MARGEN_NEG,"negociar","no"))</f>
        <v/>
      </c>
      <c r="CJ413" s="4">
        <f>IF(CI413&lt;&gt;"no",COUNTIFS($CI$2:$CI$662,"&lt;&gt;no",$CA$2:$CA$662,"&gt;"&amp;CA413)+COUNTIFS($CI$2:CI413,"&lt;&gt;no",$CA$2:CA413,CA413),"")</f>
        <v/>
      </c>
    </row>
    <row r="414">
      <c r="A414" s="2" t="inlineStr">
        <is>
          <t>cochesnet:70786163</t>
        </is>
      </c>
      <c r="B414" s="2" t="inlineStr">
        <is>
          <t>cochesnet</t>
        </is>
      </c>
      <c r="C414" s="2" t="inlineStr">
        <is>
          <t>https://www.coches.net/opel-astra-gasolina-2006-en-valencia-70786163-covo.aspx</t>
        </is>
      </c>
      <c r="D414" s="2" t="inlineStr">
        <is>
          <t>OPEL Astra</t>
        </is>
      </c>
      <c r="E414" s="2" t="inlineStr">
        <is>
          <t>Opel</t>
        </is>
      </c>
      <c r="F414" s="2" t="inlineStr">
        <is>
          <t>Opel Astra</t>
        </is>
      </c>
      <c r="G414" s="2" t="n"/>
      <c r="H414" s="2" t="n"/>
      <c r="I414" s="2" t="n"/>
      <c r="J414" s="2" t="n"/>
      <c r="K414" s="2" t="inlineStr">
        <is>
          <t>gasolina</t>
        </is>
      </c>
      <c r="L414" s="2" t="inlineStr">
        <is>
          <t>compacto</t>
        </is>
      </c>
      <c r="M414" s="2" t="n">
        <v>2006</v>
      </c>
      <c r="N414" s="2" t="n">
        <v>100000</v>
      </c>
      <c r="O414" s="2" t="n">
        <v>5000</v>
      </c>
      <c r="P414" s="2" t="inlineStr">
        <is>
          <t>manual</t>
        </is>
      </c>
      <c r="Q414" s="2" t="inlineStr">
        <is>
          <t>no</t>
        </is>
      </c>
      <c r="R414" s="2" t="inlineStr">
        <is>
          <t>particular</t>
        </is>
      </c>
      <c r="S414" s="2" t="n"/>
      <c r="T414" s="2" t="inlineStr">
        <is>
          <t>2026-06-03T20:13:30Z</t>
        </is>
      </c>
      <c r="U414" s="2" t="n">
        <v>9</v>
      </c>
      <c r="V414" s="2" t="n"/>
      <c r="W414" s="2" t="n"/>
      <c r="X414" s="2" t="n"/>
      <c r="Y414" s="2" t="n"/>
      <c r="Z414" s="2" t="inlineStr">
        <is>
          <t>no</t>
        </is>
      </c>
      <c r="AA414" s="2" t="n"/>
      <c r="AB414" s="2" t="n"/>
      <c r="AC414" s="2" t="n"/>
      <c r="AD414" s="2" t="n"/>
      <c r="AE414" s="2" t="n"/>
      <c r="AF414" s="2" t="n"/>
      <c r="AG414" s="2" t="n"/>
      <c r="AH414" s="2" t="n">
        <v>5000</v>
      </c>
      <c r="AI414" s="2" t="n"/>
      <c r="AJ414" s="2" t="n"/>
      <c r="AK414" s="2" t="n"/>
      <c r="AL414" s="2" t="n"/>
      <c r="AM414" s="2" t="n"/>
      <c r="AN414" s="2" t="n">
        <v>3725</v>
      </c>
      <c r="AO414" s="2" t="n">
        <v>12</v>
      </c>
      <c r="AP414" s="2" t="inlineStr">
        <is>
          <t>modelo+año+km</t>
        </is>
      </c>
      <c r="AQ414" s="2" t="n"/>
      <c r="AR414" s="2" t="inlineStr">
        <is>
          <t>por encima del presupuesto (5204 €), negociar; cilindrada desconocida: se aplica el tramo de cuota fija más alto; cuota fija ITP: &gt;12 años, más de 2.000 cc; distancia no verificable (el anuncio solo indica la provincia): confirmar que está a &lt;= 70 km</t>
        </is>
      </c>
      <c r="AS414" s="2" t="inlineStr">
        <is>
          <t>Se vende Opel Astra GTC del año 2006 en color beige champagne, con motor 1.6 gasolina y cambio manual. Vehículo de 3 puertas, deportivo, elegante y cuidado, con solo 97.000 km
? Equipamiento destacado:
* Asientos de piel
* Asientos calefactables
* Cambio manual
* Motor 1.6 gasolina
* Carrocería GTC de 3 puertas
* Color beige champagne
* Aforador cambiado
* Bomba de agua cambiada
* Bujías cambiadas</t>
        </is>
      </c>
      <c r="AT414" s="2" t="inlineStr">
        <is>
          <t>https://www.coches.net/opel-astra-gasolina-2006-en-valencia-70786163-covo.aspx (window.__INITIAL_PROPS__.ad) /home/user/Alopecia/buscador-coches/raw/cochesnet/eb938e90c95230a8.json</t>
        </is>
      </c>
      <c r="AU414" s="3">
        <f>MAX(ANIO_ACTUAL-M414,0)</f>
        <v/>
      </c>
      <c r="AV414" s="4">
        <f>N414/MAX(AU414,0.5)</f>
        <v/>
      </c>
      <c r="AW414" s="4">
        <f>F414</f>
        <v/>
      </c>
      <c r="AX414" s="3">
        <f>AW414&amp;"|"&amp;INT(M414/SEG_ANIO)*SEG_ANIO</f>
        <v/>
      </c>
      <c r="AY414" s="3">
        <f>AX414&amp;"|"&amp;INT(N414/SEG_KM)*SEG_KM</f>
        <v/>
      </c>
      <c r="AZ414" s="4">
        <f>COUNTIF($AW$2:$AW$662,AW414)</f>
        <v/>
      </c>
      <c r="BA414" s="4">
        <f>COUNTIF($AX$2:$AX$662,AX414)</f>
        <v/>
      </c>
      <c r="BB414" s="4">
        <f>COUNTIF($AY$2:$AY$662,AY414)</f>
        <v/>
      </c>
      <c r="BC414" s="3">
        <f t="array" ref="BC414">IF(N(AO414)&gt;=MIN_N,AN414,IF(BB414&gt;=MIN_N,MEDIAN(IF($AY$2:$AY$662=AY414,$O$2:$O$662)),IF(BA414&gt;=MIN_N,MEDIAN(IF($AX$2:$AX$662=AX414,$O$2:$O$662)),MEDIAN(IF($AW$2:$AW$662=AW414,$O$2:$O$662)))))</f>
        <v/>
      </c>
      <c r="BD414" s="3">
        <f>IF(N(AO414)&gt;=MIN_N,"mercado "&amp;AP414,IF(BB414&gt;=MIN_N,"modelo+año+km",IF(BA414&gt;=MIN_N,"modelo+año","modelo")))</f>
        <v/>
      </c>
      <c r="BE414" s="4">
        <f>(BC414-O414)/BC414</f>
        <v/>
      </c>
      <c r="BF414" s="3">
        <f>IF(OR(K414="hibrido",K414="glp"),"ECO",IF(K414="electrico","CERO",IF(K414="gasolina",IF(M414&gt;=GAS_C,"C",IF(M414&gt;=GAS_B,"B","A")),IF(K414="diesel",IF(M414&gt;=DIE_C,"C",IF(M414&gt;=DIE_B,"B","A")),""))))</f>
        <v/>
      </c>
      <c r="BG414" s="3">
        <f>IFERROR(VLOOKUP(F414,MOD_TBL,11,0),IFERROR(VLOOKUP(E414,OCU_TBL,2,0),NEUTRO))</f>
        <v/>
      </c>
      <c r="BH414" s="3">
        <f>SUMIFS(MOT_AJUSTE,MOT_MOTOR,G414,MOT_MARCA,E414,MOT_DESDE,"&lt;="&amp;M414,MOT_HASTA,"&gt;="&amp;M414)+SUMIFS(MOT_AJUSTE,MOT_MOTOR,G414,MOT_MARCA,"(todas)",MOT_DESDE,"&lt;="&amp;M414,MOT_HASTA,"&gt;="&amp;M414)</f>
        <v/>
      </c>
      <c r="BI414" s="3">
        <f>SUMIFS(COMB_AJUSTE,COMB_COMB,K414)</f>
        <v/>
      </c>
      <c r="BJ414" s="3">
        <f>COUNTIFS(MOT_MOTOR,G414,MOT_MARCA,E414,MOT_DESDE,"&lt;="&amp;M414,MOT_HASTA,"&gt;="&amp;M414)+COUNTIFS(MOT_MOTOR,G414,MOT_MARCA,"(todas)",MOT_DESDE,"&lt;="&amp;M414,MOT_HASTA,"&gt;="&amp;M414)</f>
        <v/>
      </c>
      <c r="BK414" s="3">
        <f>IF(AND(K414="diesel",BJ414=0),MIN(BG414,NEUTRO),BG414)</f>
        <v/>
      </c>
      <c r="BL414" s="4">
        <f>MAX(0,MIN(100,BK414+BH414+BI414))</f>
        <v/>
      </c>
      <c r="BM414" s="3">
        <f>MAX(0,MIN(100,50+BE414*PRECIO_PEND))</f>
        <v/>
      </c>
      <c r="BN414" s="3">
        <f>MAX(0,100*(1-N414/KM_MAX))</f>
        <v/>
      </c>
      <c r="BO414" s="3">
        <f>IF(AV414&lt;KMA_SOSP,IF(AA414="sí",100,KMA_PEN),IF(AV414&lt;=KMA_IDEAL_MAX,100,MAX(0,100*(KMA_CERO-AV414)/(KMA_CERO-KMA_IDEAL_MAX))))</f>
        <v/>
      </c>
      <c r="BP414" s="3">
        <f>MAX(0,MIN(100,100*(M414-ANIO_MIN)/(ANIO_ACTUAL-ANIO_MIN)))</f>
        <v/>
      </c>
      <c r="BQ414" s="3">
        <f>W_KMT*BN414+W_KMA*BO414+W_EDAD*BP414</f>
        <v/>
      </c>
      <c r="BR414" s="3">
        <f>P_ITV*(V414="sí")+P_LIBRO*(W414="sí")+P_CORREA*(X414="sí")+P_PROP*(Y414=1)+P_GAR*(Z414="sí")+P_FOTOS*MIN(1,N(U414)/FOTOS_OBJ)</f>
        <v/>
      </c>
      <c r="BS414" s="3">
        <f>IFERROR(VLOOKUP(BF414,ETQ_TBL,2,0),NEUTRO)</f>
        <v/>
      </c>
      <c r="BT414" s="3">
        <f>NEUTRO</f>
        <v/>
      </c>
      <c r="BU414" s="3">
        <f>IFERROR(VLOOKUP(L414,SEGURO_TBL,3,0),"")</f>
        <v/>
      </c>
      <c r="BV414" s="3">
        <f>IF(BU414="",NEUTRO,MAX(0,MIN(100,100*(SEG_REF_MAX-BU414)/(SEG_REF_MAX-SEG_REF_MIN))))</f>
        <v/>
      </c>
      <c r="BW414" s="3">
        <f>W_ET*BS414+W_CONS*BT414+W_SEG*BV414</f>
        <v/>
      </c>
      <c r="BX414" s="3">
        <f>IF(N(AB414)&gt;0,AB414,IF(AND(R414="profesional",SG_LEGAL_ON=1),GAR_LEGAL,0))</f>
        <v/>
      </c>
      <c r="BY414" s="3">
        <f>SG_GAR*MIN(1,BX414/SG_GAR_FULL)+SG_AMPL*(AC414="sí")+SG_KMC*(AF414="sí")+SG_REV*(N(AE414)&gt;0)+SG_DEV*MIN(1,N(AG414)/SG_DEV_FULL)+SG_HIST*(W414="sí")</f>
        <v/>
      </c>
      <c r="BZ414" s="3">
        <f>IFERROR(VLOOKUP(L414,CARR_PEN_TBL,2,0),0)</f>
        <v/>
      </c>
      <c r="CA414" s="3">
        <f>W_FIAB*BL414+W_PRECIO*BM414+W_KMEDAD*BQ414+W_ANUNCIO*BR414+W_USO*BW414+W_SEGURIDAD*BY414-BZ414</f>
        <v/>
      </c>
      <c r="CB414" s="4">
        <f>IF(N(I414)&gt;0,I414,IFERROR(ROUND(_xlfn.NUMBERVALUE(LEFT(G414,FIND(" ",G414&amp;" ")-1),".")*1000,0),99999))</f>
        <v/>
      </c>
      <c r="CC414" s="3">
        <f>IF(R414="profesional",0,IF(O414&lt;CUOTA_VALOR_MAX,IF(AU414&gt;ITP_TRAMO_ALTO,SUMIFS(CF_CUOTA,CF_MAS,ITP_TRAMO_ALTO,CF_CCMIN,"&lt;="&amp;CB414,CF_CCMAX,"&gt;="&amp;CB414),IF(AU414&gt;ITP_TRAMO_BAJO,SUMIFS(CF_CUOTA,CF_MAS,ITP_TRAMO_BAJO,CF_CCMIN,"&lt;="&amp;CB414,CF_CCMAX,"&gt;="&amp;CB414),O414*ITP_TIPO)),O414*ITP_TIPO))</f>
        <v/>
      </c>
      <c r="CD414" s="4">
        <f>IF(R414="profesional",N(AK414),0)</f>
        <v/>
      </c>
      <c r="CE414" s="3">
        <f>IF(AND(R414="profesional",ISNUMBER(AK414),AL414="sí"),0,TASA_DGT)</f>
        <v/>
      </c>
      <c r="CF414" s="3">
        <f>INFORME_DGT</f>
        <v/>
      </c>
      <c r="CG414" s="4">
        <f>O414+CD414+CC414+CE414+CF414</f>
        <v/>
      </c>
      <c r="CH414" s="4">
        <f>CG414+N(BU414)</f>
        <v/>
      </c>
      <c r="CI414" s="3">
        <f>IF(CG414&lt;=TOTAL_MAX,"sí",IF(CG414&lt;=TOTAL_MAX+MARGEN_NEG,"negociar","no"))</f>
        <v/>
      </c>
      <c r="CJ414" s="4">
        <f>IF(CI414&lt;&gt;"no",COUNTIFS($CI$2:$CI$662,"&lt;&gt;no",$CA$2:$CA$662,"&gt;"&amp;CA414)+COUNTIFS($CI$2:CI414,"&lt;&gt;no",$CA$2:CA414,CA414),"")</f>
        <v/>
      </c>
    </row>
    <row r="415">
      <c r="A415" s="2" t="inlineStr">
        <is>
          <t>cochesnet:70647110</t>
        </is>
      </c>
      <c r="B415" s="2" t="inlineStr">
        <is>
          <t>cochesnet</t>
        </is>
      </c>
      <c r="C415" s="2" t="inlineStr">
        <is>
          <t>https://www.coches.net/opel-astra-diesel-2011-en-valencia-70647110-covo.aspx</t>
        </is>
      </c>
      <c r="D415" s="2" t="inlineStr">
        <is>
          <t>OPEL Astra</t>
        </is>
      </c>
      <c r="E415" s="2" t="inlineStr">
        <is>
          <t>Opel</t>
        </is>
      </c>
      <c r="F415" s="2" t="inlineStr">
        <is>
          <t>Opel Astra</t>
        </is>
      </c>
      <c r="G415" s="2" t="n"/>
      <c r="H415" s="2" t="n"/>
      <c r="I415" s="2" t="n"/>
      <c r="J415" s="2" t="n"/>
      <c r="K415" s="2" t="inlineStr">
        <is>
          <t>diesel</t>
        </is>
      </c>
      <c r="L415" s="2" t="inlineStr">
        <is>
          <t>compacto</t>
        </is>
      </c>
      <c r="M415" s="2" t="n">
        <v>2011</v>
      </c>
      <c r="N415" s="2" t="n">
        <v>160000</v>
      </c>
      <c r="O415" s="2" t="n">
        <v>5000</v>
      </c>
      <c r="P415" s="2" t="inlineStr">
        <is>
          <t>manual</t>
        </is>
      </c>
      <c r="Q415" s="2" t="inlineStr">
        <is>
          <t>no</t>
        </is>
      </c>
      <c r="R415" s="2" t="inlineStr">
        <is>
          <t>particular</t>
        </is>
      </c>
      <c r="S415" s="2" t="n"/>
      <c r="T415" s="2" t="inlineStr">
        <is>
          <t>2026-05-16T08:34:38Z</t>
        </is>
      </c>
      <c r="U415" s="2" t="n">
        <v>2</v>
      </c>
      <c r="V415" s="2" t="inlineStr">
        <is>
          <t>sí</t>
        </is>
      </c>
      <c r="W415" s="2" t="n"/>
      <c r="X415" s="2" t="n"/>
      <c r="Y415" s="2" t="n"/>
      <c r="Z415" s="2" t="inlineStr">
        <is>
          <t>no</t>
        </is>
      </c>
      <c r="AA415" s="2" t="n"/>
      <c r="AB415" s="2" t="n"/>
      <c r="AC415" s="2" t="n"/>
      <c r="AD415" s="2" t="n"/>
      <c r="AE415" s="2" t="n"/>
      <c r="AF415" s="2" t="n"/>
      <c r="AG415" s="2" t="n"/>
      <c r="AH415" s="2" t="n">
        <v>5000</v>
      </c>
      <c r="AI415" s="2" t="n"/>
      <c r="AJ415" s="2" t="n"/>
      <c r="AK415" s="2" t="n"/>
      <c r="AL415" s="2" t="n"/>
      <c r="AM415" s="2" t="n"/>
      <c r="AN415" s="2" t="n">
        <v>4745</v>
      </c>
      <c r="AO415" s="2" t="n">
        <v>10</v>
      </c>
      <c r="AP415" s="2" t="inlineStr">
        <is>
          <t>modelo+año+km</t>
        </is>
      </c>
      <c r="AQ415" s="2" t="n"/>
      <c r="AR415"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15" s="2" t="inlineStr">
        <is>
          <t>ITV pasada y todo al dia</t>
        </is>
      </c>
      <c r="AT415" s="2" t="inlineStr">
        <is>
          <t>https://www.coches.net/opel-astra-diesel-2011-en-valencia-70647110-covo.aspx (window.__INITIAL_PROPS__.ad) /home/user/Alopecia/buscador-coches/raw/cochesnet/258b8d7de8e46929.json</t>
        </is>
      </c>
      <c r="AU415" s="3">
        <f>MAX(ANIO_ACTUAL-M415,0)</f>
        <v/>
      </c>
      <c r="AV415" s="4">
        <f>N415/MAX(AU415,0.5)</f>
        <v/>
      </c>
      <c r="AW415" s="4">
        <f>F415</f>
        <v/>
      </c>
      <c r="AX415" s="3">
        <f>AW415&amp;"|"&amp;INT(M415/SEG_ANIO)*SEG_ANIO</f>
        <v/>
      </c>
      <c r="AY415" s="3">
        <f>AX415&amp;"|"&amp;INT(N415/SEG_KM)*SEG_KM</f>
        <v/>
      </c>
      <c r="AZ415" s="4">
        <f>COUNTIF($AW$2:$AW$662,AW415)</f>
        <v/>
      </c>
      <c r="BA415" s="4">
        <f>COUNTIF($AX$2:$AX$662,AX415)</f>
        <v/>
      </c>
      <c r="BB415" s="4">
        <f>COUNTIF($AY$2:$AY$662,AY415)</f>
        <v/>
      </c>
      <c r="BC415" s="3">
        <f t="array" ref="BC415">IF(N(AO415)&gt;=MIN_N,AN415,IF(BB415&gt;=MIN_N,MEDIAN(IF($AY$2:$AY$662=AY415,$O$2:$O$662)),IF(BA415&gt;=MIN_N,MEDIAN(IF($AX$2:$AX$662=AX415,$O$2:$O$662)),MEDIAN(IF($AW$2:$AW$662=AW415,$O$2:$O$662)))))</f>
        <v/>
      </c>
      <c r="BD415" s="3">
        <f>IF(N(AO415)&gt;=MIN_N,"mercado "&amp;AP415,IF(BB415&gt;=MIN_N,"modelo+año+km",IF(BA415&gt;=MIN_N,"modelo+año","modelo")))</f>
        <v/>
      </c>
      <c r="BE415" s="4">
        <f>(BC415-O415)/BC415</f>
        <v/>
      </c>
      <c r="BF415" s="3">
        <f>IF(OR(K415="hibrido",K415="glp"),"ECO",IF(K415="electrico","CERO",IF(K415="gasolina",IF(M415&gt;=GAS_C,"C",IF(M415&gt;=GAS_B,"B","A")),IF(K415="diesel",IF(M415&gt;=DIE_C,"C",IF(M415&gt;=DIE_B,"B","A")),""))))</f>
        <v/>
      </c>
      <c r="BG415" s="3">
        <f>IFERROR(VLOOKUP(F415,MOD_TBL,11,0),IFERROR(VLOOKUP(E415,OCU_TBL,2,0),NEUTRO))</f>
        <v/>
      </c>
      <c r="BH415" s="3">
        <f>SUMIFS(MOT_AJUSTE,MOT_MOTOR,G415,MOT_MARCA,E415,MOT_DESDE,"&lt;="&amp;M415,MOT_HASTA,"&gt;="&amp;M415)+SUMIFS(MOT_AJUSTE,MOT_MOTOR,G415,MOT_MARCA,"(todas)",MOT_DESDE,"&lt;="&amp;M415,MOT_HASTA,"&gt;="&amp;M415)</f>
        <v/>
      </c>
      <c r="BI415" s="3">
        <f>SUMIFS(COMB_AJUSTE,COMB_COMB,K415)</f>
        <v/>
      </c>
      <c r="BJ415" s="3">
        <f>COUNTIFS(MOT_MOTOR,G415,MOT_MARCA,E415,MOT_DESDE,"&lt;="&amp;M415,MOT_HASTA,"&gt;="&amp;M415)+COUNTIFS(MOT_MOTOR,G415,MOT_MARCA,"(todas)",MOT_DESDE,"&lt;="&amp;M415,MOT_HASTA,"&gt;="&amp;M415)</f>
        <v/>
      </c>
      <c r="BK415" s="3">
        <f>IF(AND(K415="diesel",BJ415=0),MIN(BG415,NEUTRO),BG415)</f>
        <v/>
      </c>
      <c r="BL415" s="4">
        <f>MAX(0,MIN(100,BK415+BH415+BI415))</f>
        <v/>
      </c>
      <c r="BM415" s="3">
        <f>MAX(0,MIN(100,50+BE415*PRECIO_PEND))</f>
        <v/>
      </c>
      <c r="BN415" s="3">
        <f>MAX(0,100*(1-N415/KM_MAX))</f>
        <v/>
      </c>
      <c r="BO415" s="3">
        <f>IF(AV415&lt;KMA_SOSP,IF(AA415="sí",100,KMA_PEN),IF(AV415&lt;=KMA_IDEAL_MAX,100,MAX(0,100*(KMA_CERO-AV415)/(KMA_CERO-KMA_IDEAL_MAX))))</f>
        <v/>
      </c>
      <c r="BP415" s="3">
        <f>MAX(0,MIN(100,100*(M415-ANIO_MIN)/(ANIO_ACTUAL-ANIO_MIN)))</f>
        <v/>
      </c>
      <c r="BQ415" s="3">
        <f>W_KMT*BN415+W_KMA*BO415+W_EDAD*BP415</f>
        <v/>
      </c>
      <c r="BR415" s="3">
        <f>P_ITV*(V415="sí")+P_LIBRO*(W415="sí")+P_CORREA*(X415="sí")+P_PROP*(Y415=1)+P_GAR*(Z415="sí")+P_FOTOS*MIN(1,N(U415)/FOTOS_OBJ)</f>
        <v/>
      </c>
      <c r="BS415" s="3">
        <f>IFERROR(VLOOKUP(BF415,ETQ_TBL,2,0),NEUTRO)</f>
        <v/>
      </c>
      <c r="BT415" s="3">
        <f>NEUTRO</f>
        <v/>
      </c>
      <c r="BU415" s="3">
        <f>IFERROR(VLOOKUP(L415,SEGURO_TBL,3,0),"")</f>
        <v/>
      </c>
      <c r="BV415" s="3">
        <f>IF(BU415="",NEUTRO,MAX(0,MIN(100,100*(SEG_REF_MAX-BU415)/(SEG_REF_MAX-SEG_REF_MIN))))</f>
        <v/>
      </c>
      <c r="BW415" s="3">
        <f>W_ET*BS415+W_CONS*BT415+W_SEG*BV415</f>
        <v/>
      </c>
      <c r="BX415" s="3">
        <f>IF(N(AB415)&gt;0,AB415,IF(AND(R415="profesional",SG_LEGAL_ON=1),GAR_LEGAL,0))</f>
        <v/>
      </c>
      <c r="BY415" s="3">
        <f>SG_GAR*MIN(1,BX415/SG_GAR_FULL)+SG_AMPL*(AC415="sí")+SG_KMC*(AF415="sí")+SG_REV*(N(AE415)&gt;0)+SG_DEV*MIN(1,N(AG415)/SG_DEV_FULL)+SG_HIST*(W415="sí")</f>
        <v/>
      </c>
      <c r="BZ415" s="3">
        <f>IFERROR(VLOOKUP(L415,CARR_PEN_TBL,2,0),0)</f>
        <v/>
      </c>
      <c r="CA415" s="3">
        <f>W_FIAB*BL415+W_PRECIO*BM415+W_KMEDAD*BQ415+W_ANUNCIO*BR415+W_USO*BW415+W_SEGURIDAD*BY415-BZ415</f>
        <v/>
      </c>
      <c r="CB415" s="4">
        <f>IF(N(I415)&gt;0,I415,IFERROR(ROUND(_xlfn.NUMBERVALUE(LEFT(G415,FIND(" ",G415&amp;" ")-1),".")*1000,0),99999))</f>
        <v/>
      </c>
      <c r="CC415" s="3">
        <f>IF(R415="profesional",0,IF(O415&lt;CUOTA_VALOR_MAX,IF(AU415&gt;ITP_TRAMO_ALTO,SUMIFS(CF_CUOTA,CF_MAS,ITP_TRAMO_ALTO,CF_CCMIN,"&lt;="&amp;CB415,CF_CCMAX,"&gt;="&amp;CB415),IF(AU415&gt;ITP_TRAMO_BAJO,SUMIFS(CF_CUOTA,CF_MAS,ITP_TRAMO_BAJO,CF_CCMIN,"&lt;="&amp;CB415,CF_CCMAX,"&gt;="&amp;CB415),O415*ITP_TIPO)),O415*ITP_TIPO))</f>
        <v/>
      </c>
      <c r="CD415" s="4">
        <f>IF(R415="profesional",N(AK415),0)</f>
        <v/>
      </c>
      <c r="CE415" s="3">
        <f>IF(AND(R415="profesional",ISNUMBER(AK415),AL415="sí"),0,TASA_DGT)</f>
        <v/>
      </c>
      <c r="CF415" s="3">
        <f>INFORME_DGT</f>
        <v/>
      </c>
      <c r="CG415" s="4">
        <f>O415+CD415+CC415+CE415+CF415</f>
        <v/>
      </c>
      <c r="CH415" s="4">
        <f>CG415+N(BU415)</f>
        <v/>
      </c>
      <c r="CI415" s="3">
        <f>IF(CG415&lt;=TOTAL_MAX,"sí",IF(CG415&lt;=TOTAL_MAX+MARGEN_NEG,"negociar","no"))</f>
        <v/>
      </c>
      <c r="CJ415" s="4">
        <f>IF(CI415&lt;&gt;"no",COUNTIFS($CI$2:$CI$662,"&lt;&gt;no",$CA$2:$CA$662,"&gt;"&amp;CA415)+COUNTIFS($CI$2:CI415,"&lt;&gt;no",$CA$2:CA415,CA415),"")</f>
        <v/>
      </c>
    </row>
    <row r="416">
      <c r="A416" s="2" t="inlineStr">
        <is>
          <t>cochesnet:70491252</t>
        </is>
      </c>
      <c r="B416" s="2" t="inlineStr">
        <is>
          <t>cochesnet</t>
        </is>
      </c>
      <c r="C416" s="2" t="inlineStr">
        <is>
          <t>https://www.coches.net/opel-astra-13-cdti-enjoy-5p-diesel-2006-en-valencia-70491252-covo.aspx</t>
        </is>
      </c>
      <c r="D416" s="2" t="inlineStr">
        <is>
          <t>OPEL Astra 1.3 CDTi Enjoy</t>
        </is>
      </c>
      <c r="E416" s="2" t="inlineStr">
        <is>
          <t>Opel</t>
        </is>
      </c>
      <c r="F416" s="2" t="inlineStr">
        <is>
          <t>Opel Astra</t>
        </is>
      </c>
      <c r="G416" s="2" t="inlineStr">
        <is>
          <t>1.3 CDTi</t>
        </is>
      </c>
      <c r="H416" s="2" t="inlineStr">
        <is>
          <t>1.3 CDTi Enjoy</t>
        </is>
      </c>
      <c r="I416" s="2" t="n"/>
      <c r="J416" s="2" t="n"/>
      <c r="K416" s="2" t="inlineStr">
        <is>
          <t>diesel</t>
        </is>
      </c>
      <c r="L416" s="2" t="inlineStr">
        <is>
          <t>compacto</t>
        </is>
      </c>
      <c r="M416" s="2" t="n">
        <v>2006</v>
      </c>
      <c r="N416" s="2" t="n">
        <v>136000</v>
      </c>
      <c r="O416" s="2" t="n">
        <v>3100</v>
      </c>
      <c r="P416" s="2" t="inlineStr">
        <is>
          <t>manual</t>
        </is>
      </c>
      <c r="Q416" s="2" t="inlineStr">
        <is>
          <t>no</t>
        </is>
      </c>
      <c r="R416" s="2" t="inlineStr">
        <is>
          <t>particular</t>
        </is>
      </c>
      <c r="S416" s="2" t="inlineStr">
        <is>
          <t>Miramar</t>
        </is>
      </c>
      <c r="T416" s="2" t="inlineStr">
        <is>
          <t>2026-08-01T16:42:19Z</t>
        </is>
      </c>
      <c r="U416" s="2" t="n">
        <v>6</v>
      </c>
      <c r="V416" s="2" t="n"/>
      <c r="W416" s="2" t="n"/>
      <c r="X416" s="2" t="n"/>
      <c r="Y416" s="2" t="n"/>
      <c r="Z416" s="2" t="inlineStr">
        <is>
          <t>no</t>
        </is>
      </c>
      <c r="AA416" s="2" t="n"/>
      <c r="AB416" s="2" t="n"/>
      <c r="AC416" s="2" t="n"/>
      <c r="AD416" s="2" t="n"/>
      <c r="AE416" s="2" t="n"/>
      <c r="AF416" s="2" t="n"/>
      <c r="AG416" s="2" t="n"/>
      <c r="AH416" s="2" t="n">
        <v>3100</v>
      </c>
      <c r="AI416" s="2" t="n"/>
      <c r="AJ416" s="2" t="n"/>
      <c r="AK416" s="2" t="n"/>
      <c r="AL416" s="2" t="n"/>
      <c r="AM416" s="2" t="n">
        <v>61.2</v>
      </c>
      <c r="AN416" s="2" t="n">
        <v>3725</v>
      </c>
      <c r="AO416" s="2" t="n">
        <v>12</v>
      </c>
      <c r="AP416" s="2" t="inlineStr">
        <is>
          <t>modelo+año+km</t>
        </is>
      </c>
      <c r="AQ416" s="2" t="n"/>
      <c r="AR416" s="2" t="inlineStr">
        <is>
          <t>cuota fija ITP: &gt;12 años, hasta 1.500 cc</t>
        </is>
      </c>
      <c r="AS416" s="2" t="inlineStr">
        <is>
          <t xml:space="preserve">Itv y seguro en vigor. 
Puesta a punto mecánica para su venta: (cambiadas las siguientes piezas: caudalimetro, Válvula EGR, 4 inyectores)
Se puede probar sin compromiso. 
Se vende por haber crecido la familia.
Chapa y pintura con algunos desperfectos estéticos.
</t>
        </is>
      </c>
      <c r="AT416" s="2" t="inlineStr">
        <is>
          <t>https://www.coches.net/opel-astra-13-cdti-enjoy-5p-diesel-2006-en-valencia-70491252-covo.aspx (window.__INITIAL_PROPS__.ad) /home/user/Alopecia/buscador-coches/raw/cochesnet/52ccc9c6cb00b45a.json</t>
        </is>
      </c>
      <c r="AU416" s="3">
        <f>MAX(ANIO_ACTUAL-M416,0)</f>
        <v/>
      </c>
      <c r="AV416" s="4">
        <f>N416/MAX(AU416,0.5)</f>
        <v/>
      </c>
      <c r="AW416" s="4">
        <f>F416</f>
        <v/>
      </c>
      <c r="AX416" s="3">
        <f>AW416&amp;"|"&amp;INT(M416/SEG_ANIO)*SEG_ANIO</f>
        <v/>
      </c>
      <c r="AY416" s="3">
        <f>AX416&amp;"|"&amp;INT(N416/SEG_KM)*SEG_KM</f>
        <v/>
      </c>
      <c r="AZ416" s="4">
        <f>COUNTIF($AW$2:$AW$662,AW416)</f>
        <v/>
      </c>
      <c r="BA416" s="4">
        <f>COUNTIF($AX$2:$AX$662,AX416)</f>
        <v/>
      </c>
      <c r="BB416" s="4">
        <f>COUNTIF($AY$2:$AY$662,AY416)</f>
        <v/>
      </c>
      <c r="BC416" s="3">
        <f t="array" ref="BC416">IF(N(AO416)&gt;=MIN_N,AN416,IF(BB416&gt;=MIN_N,MEDIAN(IF($AY$2:$AY$662=AY416,$O$2:$O$662)),IF(BA416&gt;=MIN_N,MEDIAN(IF($AX$2:$AX$662=AX416,$O$2:$O$662)),MEDIAN(IF($AW$2:$AW$662=AW416,$O$2:$O$662)))))</f>
        <v/>
      </c>
      <c r="BD416" s="3">
        <f>IF(N(AO416)&gt;=MIN_N,"mercado "&amp;AP416,IF(BB416&gt;=MIN_N,"modelo+año+km",IF(BA416&gt;=MIN_N,"modelo+año","modelo")))</f>
        <v/>
      </c>
      <c r="BE416" s="4">
        <f>(BC416-O416)/BC416</f>
        <v/>
      </c>
      <c r="BF416" s="3">
        <f>IF(OR(K416="hibrido",K416="glp"),"ECO",IF(K416="electrico","CERO",IF(K416="gasolina",IF(M416&gt;=GAS_C,"C",IF(M416&gt;=GAS_B,"B","A")),IF(K416="diesel",IF(M416&gt;=DIE_C,"C",IF(M416&gt;=DIE_B,"B","A")),""))))</f>
        <v/>
      </c>
      <c r="BG416" s="3">
        <f>IFERROR(VLOOKUP(F416,MOD_TBL,11,0),IFERROR(VLOOKUP(E416,OCU_TBL,2,0),NEUTRO))</f>
        <v/>
      </c>
      <c r="BH416" s="3">
        <f>SUMIFS(MOT_AJUSTE,MOT_MOTOR,G416,MOT_MARCA,E416,MOT_DESDE,"&lt;="&amp;M416,MOT_HASTA,"&gt;="&amp;M416)+SUMIFS(MOT_AJUSTE,MOT_MOTOR,G416,MOT_MARCA,"(todas)",MOT_DESDE,"&lt;="&amp;M416,MOT_HASTA,"&gt;="&amp;M416)</f>
        <v/>
      </c>
      <c r="BI416" s="3">
        <f>SUMIFS(COMB_AJUSTE,COMB_COMB,K416)</f>
        <v/>
      </c>
      <c r="BJ416" s="3">
        <f>COUNTIFS(MOT_MOTOR,G416,MOT_MARCA,E416,MOT_DESDE,"&lt;="&amp;M416,MOT_HASTA,"&gt;="&amp;M416)+COUNTIFS(MOT_MOTOR,G416,MOT_MARCA,"(todas)",MOT_DESDE,"&lt;="&amp;M416,MOT_HASTA,"&gt;="&amp;M416)</f>
        <v/>
      </c>
      <c r="BK416" s="3">
        <f>IF(AND(K416="diesel",BJ416=0),MIN(BG416,NEUTRO),BG416)</f>
        <v/>
      </c>
      <c r="BL416" s="4">
        <f>MAX(0,MIN(100,BK416+BH416+BI416))</f>
        <v/>
      </c>
      <c r="BM416" s="3">
        <f>MAX(0,MIN(100,50+BE416*PRECIO_PEND))</f>
        <v/>
      </c>
      <c r="BN416" s="3">
        <f>MAX(0,100*(1-N416/KM_MAX))</f>
        <v/>
      </c>
      <c r="BO416" s="3">
        <f>IF(AV416&lt;KMA_SOSP,IF(AA416="sí",100,KMA_PEN),IF(AV416&lt;=KMA_IDEAL_MAX,100,MAX(0,100*(KMA_CERO-AV416)/(KMA_CERO-KMA_IDEAL_MAX))))</f>
        <v/>
      </c>
      <c r="BP416" s="3">
        <f>MAX(0,MIN(100,100*(M416-ANIO_MIN)/(ANIO_ACTUAL-ANIO_MIN)))</f>
        <v/>
      </c>
      <c r="BQ416" s="3">
        <f>W_KMT*BN416+W_KMA*BO416+W_EDAD*BP416</f>
        <v/>
      </c>
      <c r="BR416" s="3">
        <f>P_ITV*(V416="sí")+P_LIBRO*(W416="sí")+P_CORREA*(X416="sí")+P_PROP*(Y416=1)+P_GAR*(Z416="sí")+P_FOTOS*MIN(1,N(U416)/FOTOS_OBJ)</f>
        <v/>
      </c>
      <c r="BS416" s="3">
        <f>IFERROR(VLOOKUP(BF416,ETQ_TBL,2,0),NEUTRO)</f>
        <v/>
      </c>
      <c r="BT416" s="3">
        <f>NEUTRO</f>
        <v/>
      </c>
      <c r="BU416" s="3">
        <f>IFERROR(VLOOKUP(L416,SEGURO_TBL,3,0),"")</f>
        <v/>
      </c>
      <c r="BV416" s="3">
        <f>IF(BU416="",NEUTRO,MAX(0,MIN(100,100*(SEG_REF_MAX-BU416)/(SEG_REF_MAX-SEG_REF_MIN))))</f>
        <v/>
      </c>
      <c r="BW416" s="3">
        <f>W_ET*BS416+W_CONS*BT416+W_SEG*BV416</f>
        <v/>
      </c>
      <c r="BX416" s="3">
        <f>IF(N(AB416)&gt;0,AB416,IF(AND(R416="profesional",SG_LEGAL_ON=1),GAR_LEGAL,0))</f>
        <v/>
      </c>
      <c r="BY416" s="3">
        <f>SG_GAR*MIN(1,BX416/SG_GAR_FULL)+SG_AMPL*(AC416="sí")+SG_KMC*(AF416="sí")+SG_REV*(N(AE416)&gt;0)+SG_DEV*MIN(1,N(AG416)/SG_DEV_FULL)+SG_HIST*(W416="sí")</f>
        <v/>
      </c>
      <c r="BZ416" s="3">
        <f>IFERROR(VLOOKUP(L416,CARR_PEN_TBL,2,0),0)</f>
        <v/>
      </c>
      <c r="CA416" s="3">
        <f>W_FIAB*BL416+W_PRECIO*BM416+W_KMEDAD*BQ416+W_ANUNCIO*BR416+W_USO*BW416+W_SEGURIDAD*BY416-BZ416</f>
        <v/>
      </c>
      <c r="CB416" s="4">
        <f>IF(N(I416)&gt;0,I416,IFERROR(ROUND(_xlfn.NUMBERVALUE(LEFT(G416,FIND(" ",G416&amp;" ")-1),".")*1000,0),99999))</f>
        <v/>
      </c>
      <c r="CC416" s="3">
        <f>IF(R416="profesional",0,IF(O416&lt;CUOTA_VALOR_MAX,IF(AU416&gt;ITP_TRAMO_ALTO,SUMIFS(CF_CUOTA,CF_MAS,ITP_TRAMO_ALTO,CF_CCMIN,"&lt;="&amp;CB416,CF_CCMAX,"&gt;="&amp;CB416),IF(AU416&gt;ITP_TRAMO_BAJO,SUMIFS(CF_CUOTA,CF_MAS,ITP_TRAMO_BAJO,CF_CCMIN,"&lt;="&amp;CB416,CF_CCMAX,"&gt;="&amp;CB416),O416*ITP_TIPO)),O416*ITP_TIPO))</f>
        <v/>
      </c>
      <c r="CD416" s="4">
        <f>IF(R416="profesional",N(AK416),0)</f>
        <v/>
      </c>
      <c r="CE416" s="3">
        <f>IF(AND(R416="profesional",ISNUMBER(AK416),AL416="sí"),0,TASA_DGT)</f>
        <v/>
      </c>
      <c r="CF416" s="3">
        <f>INFORME_DGT</f>
        <v/>
      </c>
      <c r="CG416" s="4">
        <f>O416+CD416+CC416+CE416+CF416</f>
        <v/>
      </c>
      <c r="CH416" s="4">
        <f>CG416+N(BU416)</f>
        <v/>
      </c>
      <c r="CI416" s="3">
        <f>IF(CG416&lt;=TOTAL_MAX,"sí",IF(CG416&lt;=TOTAL_MAX+MARGEN_NEG,"negociar","no"))</f>
        <v/>
      </c>
      <c r="CJ416" s="4">
        <f>IF(CI416&lt;&gt;"no",COUNTIFS($CI$2:$CI$662,"&lt;&gt;no",$CA$2:$CA$662,"&gt;"&amp;CA416)+COUNTIFS($CI$2:CI416,"&lt;&gt;no",$CA$2:CA416,CA416),"")</f>
        <v/>
      </c>
    </row>
    <row r="417">
      <c r="A417" s="2" t="inlineStr">
        <is>
          <t>cochesnet:55368252</t>
        </is>
      </c>
      <c r="B417" s="2" t="inlineStr">
        <is>
          <t>cochesnet</t>
        </is>
      </c>
      <c r="C417" s="2" t="inlineStr">
        <is>
          <t>https://www.coches.net/opel-astra-gtc-19-cdti-120-cv-cosmo-3p-diesel-2007-en-valencia-55368252-covo.aspx</t>
        </is>
      </c>
      <c r="D417" s="2" t="inlineStr">
        <is>
          <t>OPEL Astra GTC 1.9 CDTi 120 CV Cosmo 3p.</t>
        </is>
      </c>
      <c r="E417" s="2" t="inlineStr">
        <is>
          <t>Opel</t>
        </is>
      </c>
      <c r="F417" s="2" t="inlineStr">
        <is>
          <t>Opel Astra</t>
        </is>
      </c>
      <c r="G417" s="2" t="inlineStr">
        <is>
          <t>1.9 CDTi</t>
        </is>
      </c>
      <c r="H417" s="2" t="inlineStr">
        <is>
          <t>GTC 1.9 CDTi 120 CV Cosmo</t>
        </is>
      </c>
      <c r="I417" s="2" t="n"/>
      <c r="J417" s="2" t="n">
        <v>120</v>
      </c>
      <c r="K417" s="2" t="inlineStr">
        <is>
          <t>diesel</t>
        </is>
      </c>
      <c r="L417" s="2" t="inlineStr">
        <is>
          <t>compacto</t>
        </is>
      </c>
      <c r="M417" s="2" t="n">
        <v>2007</v>
      </c>
      <c r="N417" s="2" t="n">
        <v>150000</v>
      </c>
      <c r="O417" s="2" t="n">
        <v>4450</v>
      </c>
      <c r="P417" s="2" t="inlineStr">
        <is>
          <t>manual</t>
        </is>
      </c>
      <c r="Q417" s="2" t="inlineStr">
        <is>
          <t>no</t>
        </is>
      </c>
      <c r="R417" s="2" t="inlineStr">
        <is>
          <t>particular</t>
        </is>
      </c>
      <c r="S417" s="2" t="n"/>
      <c r="T417" s="2" t="inlineStr">
        <is>
          <t>2023-06-15T12:40:11Z</t>
        </is>
      </c>
      <c r="U417" s="2" t="n">
        <v>16</v>
      </c>
      <c r="V417" s="2" t="inlineStr">
        <is>
          <t>sí</t>
        </is>
      </c>
      <c r="W417" s="2" t="n"/>
      <c r="X417" s="2" t="inlineStr">
        <is>
          <t>sí</t>
        </is>
      </c>
      <c r="Y417" s="2" t="n">
        <v>1</v>
      </c>
      <c r="Z417" s="2" t="inlineStr">
        <is>
          <t>no</t>
        </is>
      </c>
      <c r="AA417" s="2" t="n"/>
      <c r="AB417" s="2" t="n"/>
      <c r="AC417" s="2" t="n"/>
      <c r="AD417" s="2" t="n"/>
      <c r="AE417" s="2" t="n"/>
      <c r="AF417" s="2" t="n"/>
      <c r="AG417" s="2" t="n"/>
      <c r="AH417" s="2" t="n">
        <v>4450</v>
      </c>
      <c r="AI417" s="2" t="n"/>
      <c r="AJ417" s="2" t="n"/>
      <c r="AK417" s="2" t="n"/>
      <c r="AL417" s="2" t="n"/>
      <c r="AM417" s="2" t="n"/>
      <c r="AN417" s="2" t="n">
        <v>4300</v>
      </c>
      <c r="AO417" s="2" t="n">
        <v>17</v>
      </c>
      <c r="AP417" s="2" t="inlineStr">
        <is>
          <t>modelo+año+km</t>
        </is>
      </c>
      <c r="AQ417" s="2" t="n"/>
      <c r="AR417" s="2" t="inlineStr">
        <is>
          <t>cuota fija ITP: &gt;12 años, 1.501-2.000 cc; diésel: motor sin fuente de fiabilidad (fiabilidad limitada a neutra); distancia no verificable (el anuncio solo indica la provincia): confirmar que está a &lt;= 70 km</t>
        </is>
      </c>
      <c r="AS417" s="2" t="inlineStr">
        <is>
          <t>Perfecto estado. Único propietario. Tapicería impoluta, cuero y tela. Radio CD MP3. Sensor de luces. control de crucero. batería nueva. Ruedas delanteras prácticamente nuevas Goodyear Assymetric. Cambiada la distribución hace apenas 20000 kms. Revisiones anuales. IVTM e ITV al día. Julio 2007. No ha dado problemas como los motores de 150cv. Muy fiable y poco consumo (5.5l/100km). Siempre en garaje. 2 llaves. Seguro vigente.</t>
        </is>
      </c>
      <c r="AT417" s="2" t="inlineStr">
        <is>
          <t>https://www.coches.net/opel-astra-gtc-19-cdti-120-cv-cosmo-3p-diesel-2007-en-valencia-55368252-covo.aspx (window.__INITIAL_PROPS__.ad) /home/user/Alopecia/buscador-coches/raw/cochesnet/4bcd797495e51d4d.json</t>
        </is>
      </c>
      <c r="AU417" s="3">
        <f>MAX(ANIO_ACTUAL-M417,0)</f>
        <v/>
      </c>
      <c r="AV417" s="4">
        <f>N417/MAX(AU417,0.5)</f>
        <v/>
      </c>
      <c r="AW417" s="4">
        <f>F417</f>
        <v/>
      </c>
      <c r="AX417" s="3">
        <f>AW417&amp;"|"&amp;INT(M417/SEG_ANIO)*SEG_ANIO</f>
        <v/>
      </c>
      <c r="AY417" s="3">
        <f>AX417&amp;"|"&amp;INT(N417/SEG_KM)*SEG_KM</f>
        <v/>
      </c>
      <c r="AZ417" s="4">
        <f>COUNTIF($AW$2:$AW$662,AW417)</f>
        <v/>
      </c>
      <c r="BA417" s="4">
        <f>COUNTIF($AX$2:$AX$662,AX417)</f>
        <v/>
      </c>
      <c r="BB417" s="4">
        <f>COUNTIF($AY$2:$AY$662,AY417)</f>
        <v/>
      </c>
      <c r="BC417" s="3">
        <f t="array" ref="BC417">IF(N(AO417)&gt;=MIN_N,AN417,IF(BB417&gt;=MIN_N,MEDIAN(IF($AY$2:$AY$662=AY417,$O$2:$O$662)),IF(BA417&gt;=MIN_N,MEDIAN(IF($AX$2:$AX$662=AX417,$O$2:$O$662)),MEDIAN(IF($AW$2:$AW$662=AW417,$O$2:$O$662)))))</f>
        <v/>
      </c>
      <c r="BD417" s="3">
        <f>IF(N(AO417)&gt;=MIN_N,"mercado "&amp;AP417,IF(BB417&gt;=MIN_N,"modelo+año+km",IF(BA417&gt;=MIN_N,"modelo+año","modelo")))</f>
        <v/>
      </c>
      <c r="BE417" s="4">
        <f>(BC417-O417)/BC417</f>
        <v/>
      </c>
      <c r="BF417" s="3">
        <f>IF(OR(K417="hibrido",K417="glp"),"ECO",IF(K417="electrico","CERO",IF(K417="gasolina",IF(M417&gt;=GAS_C,"C",IF(M417&gt;=GAS_B,"B","A")),IF(K417="diesel",IF(M417&gt;=DIE_C,"C",IF(M417&gt;=DIE_B,"B","A")),""))))</f>
        <v/>
      </c>
      <c r="BG417" s="3">
        <f>IFERROR(VLOOKUP(F417,MOD_TBL,11,0),IFERROR(VLOOKUP(E417,OCU_TBL,2,0),NEUTRO))</f>
        <v/>
      </c>
      <c r="BH417" s="3">
        <f>SUMIFS(MOT_AJUSTE,MOT_MOTOR,G417,MOT_MARCA,E417,MOT_DESDE,"&lt;="&amp;M417,MOT_HASTA,"&gt;="&amp;M417)+SUMIFS(MOT_AJUSTE,MOT_MOTOR,G417,MOT_MARCA,"(todas)",MOT_DESDE,"&lt;="&amp;M417,MOT_HASTA,"&gt;="&amp;M417)</f>
        <v/>
      </c>
      <c r="BI417" s="3">
        <f>SUMIFS(COMB_AJUSTE,COMB_COMB,K417)</f>
        <v/>
      </c>
      <c r="BJ417" s="3">
        <f>COUNTIFS(MOT_MOTOR,G417,MOT_MARCA,E417,MOT_DESDE,"&lt;="&amp;M417,MOT_HASTA,"&gt;="&amp;M417)+COUNTIFS(MOT_MOTOR,G417,MOT_MARCA,"(todas)",MOT_DESDE,"&lt;="&amp;M417,MOT_HASTA,"&gt;="&amp;M417)</f>
        <v/>
      </c>
      <c r="BK417" s="3">
        <f>IF(AND(K417="diesel",BJ417=0),MIN(BG417,NEUTRO),BG417)</f>
        <v/>
      </c>
      <c r="BL417" s="4">
        <f>MAX(0,MIN(100,BK417+BH417+BI417))</f>
        <v/>
      </c>
      <c r="BM417" s="3">
        <f>MAX(0,MIN(100,50+BE417*PRECIO_PEND))</f>
        <v/>
      </c>
      <c r="BN417" s="3">
        <f>MAX(0,100*(1-N417/KM_MAX))</f>
        <v/>
      </c>
      <c r="BO417" s="3">
        <f>IF(AV417&lt;KMA_SOSP,IF(AA417="sí",100,KMA_PEN),IF(AV417&lt;=KMA_IDEAL_MAX,100,MAX(0,100*(KMA_CERO-AV417)/(KMA_CERO-KMA_IDEAL_MAX))))</f>
        <v/>
      </c>
      <c r="BP417" s="3">
        <f>MAX(0,MIN(100,100*(M417-ANIO_MIN)/(ANIO_ACTUAL-ANIO_MIN)))</f>
        <v/>
      </c>
      <c r="BQ417" s="3">
        <f>W_KMT*BN417+W_KMA*BO417+W_EDAD*BP417</f>
        <v/>
      </c>
      <c r="BR417" s="3">
        <f>P_ITV*(V417="sí")+P_LIBRO*(W417="sí")+P_CORREA*(X417="sí")+P_PROP*(Y417=1)+P_GAR*(Z417="sí")+P_FOTOS*MIN(1,N(U417)/FOTOS_OBJ)</f>
        <v/>
      </c>
      <c r="BS417" s="3">
        <f>IFERROR(VLOOKUP(BF417,ETQ_TBL,2,0),NEUTRO)</f>
        <v/>
      </c>
      <c r="BT417" s="3">
        <f>NEUTRO</f>
        <v/>
      </c>
      <c r="BU417" s="3">
        <f>IFERROR(VLOOKUP(L417,SEGURO_TBL,3,0),"")</f>
        <v/>
      </c>
      <c r="BV417" s="3">
        <f>IF(BU417="",NEUTRO,MAX(0,MIN(100,100*(SEG_REF_MAX-BU417)/(SEG_REF_MAX-SEG_REF_MIN))))</f>
        <v/>
      </c>
      <c r="BW417" s="3">
        <f>W_ET*BS417+W_CONS*BT417+W_SEG*BV417</f>
        <v/>
      </c>
      <c r="BX417" s="3">
        <f>IF(N(AB417)&gt;0,AB417,IF(AND(R417="profesional",SG_LEGAL_ON=1),GAR_LEGAL,0))</f>
        <v/>
      </c>
      <c r="BY417" s="3">
        <f>SG_GAR*MIN(1,BX417/SG_GAR_FULL)+SG_AMPL*(AC417="sí")+SG_KMC*(AF417="sí")+SG_REV*(N(AE417)&gt;0)+SG_DEV*MIN(1,N(AG417)/SG_DEV_FULL)+SG_HIST*(W417="sí")</f>
        <v/>
      </c>
      <c r="BZ417" s="3">
        <f>IFERROR(VLOOKUP(L417,CARR_PEN_TBL,2,0),0)</f>
        <v/>
      </c>
      <c r="CA417" s="3">
        <f>W_FIAB*BL417+W_PRECIO*BM417+W_KMEDAD*BQ417+W_ANUNCIO*BR417+W_USO*BW417+W_SEGURIDAD*BY417-BZ417</f>
        <v/>
      </c>
      <c r="CB417" s="4">
        <f>IF(N(I417)&gt;0,I417,IFERROR(ROUND(_xlfn.NUMBERVALUE(LEFT(G417,FIND(" ",G417&amp;" ")-1),".")*1000,0),99999))</f>
        <v/>
      </c>
      <c r="CC417" s="3">
        <f>IF(R417="profesional",0,IF(O417&lt;CUOTA_VALOR_MAX,IF(AU417&gt;ITP_TRAMO_ALTO,SUMIFS(CF_CUOTA,CF_MAS,ITP_TRAMO_ALTO,CF_CCMIN,"&lt;="&amp;CB417,CF_CCMAX,"&gt;="&amp;CB417),IF(AU417&gt;ITP_TRAMO_BAJO,SUMIFS(CF_CUOTA,CF_MAS,ITP_TRAMO_BAJO,CF_CCMIN,"&lt;="&amp;CB417,CF_CCMAX,"&gt;="&amp;CB417),O417*ITP_TIPO)),O417*ITP_TIPO))</f>
        <v/>
      </c>
      <c r="CD417" s="4">
        <f>IF(R417="profesional",N(AK417),0)</f>
        <v/>
      </c>
      <c r="CE417" s="3">
        <f>IF(AND(R417="profesional",ISNUMBER(AK417),AL417="sí"),0,TASA_DGT)</f>
        <v/>
      </c>
      <c r="CF417" s="3">
        <f>INFORME_DGT</f>
        <v/>
      </c>
      <c r="CG417" s="4">
        <f>O417+CD417+CC417+CE417+CF417</f>
        <v/>
      </c>
      <c r="CH417" s="4">
        <f>CG417+N(BU417)</f>
        <v/>
      </c>
      <c r="CI417" s="3">
        <f>IF(CG417&lt;=TOTAL_MAX,"sí",IF(CG417&lt;=TOTAL_MAX+MARGEN_NEG,"negociar","no"))</f>
        <v/>
      </c>
      <c r="CJ417" s="4">
        <f>IF(CI417&lt;&gt;"no",COUNTIFS($CI$2:$CI$662,"&lt;&gt;no",$CA$2:$CA$662,"&gt;"&amp;CA417)+COUNTIFS($CI$2:CI417,"&lt;&gt;no",$CA$2:CA417,CA417),"")</f>
        <v/>
      </c>
    </row>
    <row r="418">
      <c r="A418" s="2" t="inlineStr">
        <is>
          <t>cochesnet:55367607</t>
        </is>
      </c>
      <c r="B418" s="2" t="inlineStr">
        <is>
          <t>cochesnet</t>
        </is>
      </c>
      <c r="C418" s="2" t="inlineStr">
        <is>
          <t>https://www.coches.net/opel-astra-gtc-16-16v-enjoy-3p-gasolina-2006-en-valencia-55367607-covo.aspx</t>
        </is>
      </c>
      <c r="D418" s="2" t="inlineStr">
        <is>
          <t>OPEL Astra GTC 1.6 16v Enjoy 3p.</t>
        </is>
      </c>
      <c r="E418" s="2" t="inlineStr">
        <is>
          <t>Opel</t>
        </is>
      </c>
      <c r="F418" s="2" t="inlineStr">
        <is>
          <t>Opel Astra</t>
        </is>
      </c>
      <c r="G418" s="2" t="inlineStr">
        <is>
          <t>1.6</t>
        </is>
      </c>
      <c r="H418" s="2" t="inlineStr">
        <is>
          <t>GTC 1.6 16v Enjoy</t>
        </is>
      </c>
      <c r="I418" s="2" t="n"/>
      <c r="J418" s="2" t="n"/>
      <c r="K418" s="2" t="inlineStr">
        <is>
          <t>gasolina</t>
        </is>
      </c>
      <c r="L418" s="2" t="inlineStr">
        <is>
          <t>compacto</t>
        </is>
      </c>
      <c r="M418" s="2" t="n">
        <v>2006</v>
      </c>
      <c r="N418" s="2" t="n">
        <v>188000</v>
      </c>
      <c r="O418" s="2" t="n">
        <v>2300</v>
      </c>
      <c r="P418" s="2" t="inlineStr">
        <is>
          <t>manual</t>
        </is>
      </c>
      <c r="Q418" s="2" t="inlineStr">
        <is>
          <t>no</t>
        </is>
      </c>
      <c r="R418" s="2" t="inlineStr">
        <is>
          <t>particular</t>
        </is>
      </c>
      <c r="S418" s="2" t="n"/>
      <c r="T418" s="2" t="inlineStr">
        <is>
          <t>2023-06-15T11:40:02Z</t>
        </is>
      </c>
      <c r="U418" s="2" t="n"/>
      <c r="V418" s="2" t="inlineStr">
        <is>
          <t>sí</t>
        </is>
      </c>
      <c r="W418" s="2" t="n"/>
      <c r="X418" s="2" t="n"/>
      <c r="Y418" s="2" t="n"/>
      <c r="Z418" s="2" t="inlineStr">
        <is>
          <t>no</t>
        </is>
      </c>
      <c r="AA418" s="2" t="n"/>
      <c r="AB418" s="2" t="n"/>
      <c r="AC418" s="2" t="n"/>
      <c r="AD418" s="2" t="n"/>
      <c r="AE418" s="2" t="n"/>
      <c r="AF418" s="2" t="n"/>
      <c r="AG418" s="2" t="n"/>
      <c r="AH418" s="2" t="n">
        <v>2300</v>
      </c>
      <c r="AI418" s="2" t="n"/>
      <c r="AJ418" s="2" t="n"/>
      <c r="AK418" s="2" t="n"/>
      <c r="AL418" s="2" t="n"/>
      <c r="AM418" s="2" t="n"/>
      <c r="AN418" s="2" t="n">
        <v>2850</v>
      </c>
      <c r="AO418" s="2" t="n">
        <v>16</v>
      </c>
      <c r="AP418" s="2" t="inlineStr">
        <is>
          <t>modelo+año+km</t>
        </is>
      </c>
      <c r="AQ418" s="2" t="n"/>
      <c r="AR418" s="2" t="inlineStr">
        <is>
          <t>cuota fija ITP: &gt;12 años, 1.501-2.000 cc; distancia no verificable (el anuncio solo indica la provincia): confirmar que está a &lt;= 70 km</t>
        </is>
      </c>
      <c r="AS418" s="2" t="inlineStr">
        <is>
          <t>Coche en perfecto estado,ITV pasada en Diciembre</t>
        </is>
      </c>
      <c r="AT418" s="2" t="inlineStr">
        <is>
          <t>https://www.coches.net/opel-astra-gtc-16-16v-enjoy-3p-gasolina-2006-en-valencia-55367607-covo.aspx (window.__INITIAL_PROPS__.ad) /home/user/Alopecia/buscador-coches/raw/cochesnet/d07284cbb65382fa.json</t>
        </is>
      </c>
      <c r="AU418" s="3">
        <f>MAX(ANIO_ACTUAL-M418,0)</f>
        <v/>
      </c>
      <c r="AV418" s="4">
        <f>N418/MAX(AU418,0.5)</f>
        <v/>
      </c>
      <c r="AW418" s="4">
        <f>F418</f>
        <v/>
      </c>
      <c r="AX418" s="3">
        <f>AW418&amp;"|"&amp;INT(M418/SEG_ANIO)*SEG_ANIO</f>
        <v/>
      </c>
      <c r="AY418" s="3">
        <f>AX418&amp;"|"&amp;INT(N418/SEG_KM)*SEG_KM</f>
        <v/>
      </c>
      <c r="AZ418" s="4">
        <f>COUNTIF($AW$2:$AW$662,AW418)</f>
        <v/>
      </c>
      <c r="BA418" s="4">
        <f>COUNTIF($AX$2:$AX$662,AX418)</f>
        <v/>
      </c>
      <c r="BB418" s="4">
        <f>COUNTIF($AY$2:$AY$662,AY418)</f>
        <v/>
      </c>
      <c r="BC418" s="3">
        <f t="array" ref="BC418">IF(N(AO418)&gt;=MIN_N,AN418,IF(BB418&gt;=MIN_N,MEDIAN(IF($AY$2:$AY$662=AY418,$O$2:$O$662)),IF(BA418&gt;=MIN_N,MEDIAN(IF($AX$2:$AX$662=AX418,$O$2:$O$662)),MEDIAN(IF($AW$2:$AW$662=AW418,$O$2:$O$662)))))</f>
        <v/>
      </c>
      <c r="BD418" s="3">
        <f>IF(N(AO418)&gt;=MIN_N,"mercado "&amp;AP418,IF(BB418&gt;=MIN_N,"modelo+año+km",IF(BA418&gt;=MIN_N,"modelo+año","modelo")))</f>
        <v/>
      </c>
      <c r="BE418" s="4">
        <f>(BC418-O418)/BC418</f>
        <v/>
      </c>
      <c r="BF418" s="3">
        <f>IF(OR(K418="hibrido",K418="glp"),"ECO",IF(K418="electrico","CERO",IF(K418="gasolina",IF(M418&gt;=GAS_C,"C",IF(M418&gt;=GAS_B,"B","A")),IF(K418="diesel",IF(M418&gt;=DIE_C,"C",IF(M418&gt;=DIE_B,"B","A")),""))))</f>
        <v/>
      </c>
      <c r="BG418" s="3">
        <f>IFERROR(VLOOKUP(F418,MOD_TBL,11,0),IFERROR(VLOOKUP(E418,OCU_TBL,2,0),NEUTRO))</f>
        <v/>
      </c>
      <c r="BH418" s="3">
        <f>SUMIFS(MOT_AJUSTE,MOT_MOTOR,G418,MOT_MARCA,E418,MOT_DESDE,"&lt;="&amp;M418,MOT_HASTA,"&gt;="&amp;M418)+SUMIFS(MOT_AJUSTE,MOT_MOTOR,G418,MOT_MARCA,"(todas)",MOT_DESDE,"&lt;="&amp;M418,MOT_HASTA,"&gt;="&amp;M418)</f>
        <v/>
      </c>
      <c r="BI418" s="3">
        <f>SUMIFS(COMB_AJUSTE,COMB_COMB,K418)</f>
        <v/>
      </c>
      <c r="BJ418" s="3">
        <f>COUNTIFS(MOT_MOTOR,G418,MOT_MARCA,E418,MOT_DESDE,"&lt;="&amp;M418,MOT_HASTA,"&gt;="&amp;M418)+COUNTIFS(MOT_MOTOR,G418,MOT_MARCA,"(todas)",MOT_DESDE,"&lt;="&amp;M418,MOT_HASTA,"&gt;="&amp;M418)</f>
        <v/>
      </c>
      <c r="BK418" s="3">
        <f>IF(AND(K418="diesel",BJ418=0),MIN(BG418,NEUTRO),BG418)</f>
        <v/>
      </c>
      <c r="BL418" s="4">
        <f>MAX(0,MIN(100,BK418+BH418+BI418))</f>
        <v/>
      </c>
      <c r="BM418" s="3">
        <f>MAX(0,MIN(100,50+BE418*PRECIO_PEND))</f>
        <v/>
      </c>
      <c r="BN418" s="3">
        <f>MAX(0,100*(1-N418/KM_MAX))</f>
        <v/>
      </c>
      <c r="BO418" s="3">
        <f>IF(AV418&lt;KMA_SOSP,IF(AA418="sí",100,KMA_PEN),IF(AV418&lt;=KMA_IDEAL_MAX,100,MAX(0,100*(KMA_CERO-AV418)/(KMA_CERO-KMA_IDEAL_MAX))))</f>
        <v/>
      </c>
      <c r="BP418" s="3">
        <f>MAX(0,MIN(100,100*(M418-ANIO_MIN)/(ANIO_ACTUAL-ANIO_MIN)))</f>
        <v/>
      </c>
      <c r="BQ418" s="3">
        <f>W_KMT*BN418+W_KMA*BO418+W_EDAD*BP418</f>
        <v/>
      </c>
      <c r="BR418" s="3">
        <f>P_ITV*(V418="sí")+P_LIBRO*(W418="sí")+P_CORREA*(X418="sí")+P_PROP*(Y418=1)+P_GAR*(Z418="sí")+P_FOTOS*MIN(1,N(U418)/FOTOS_OBJ)</f>
        <v/>
      </c>
      <c r="BS418" s="3">
        <f>IFERROR(VLOOKUP(BF418,ETQ_TBL,2,0),NEUTRO)</f>
        <v/>
      </c>
      <c r="BT418" s="3">
        <f>NEUTRO</f>
        <v/>
      </c>
      <c r="BU418" s="3">
        <f>IFERROR(VLOOKUP(L418,SEGURO_TBL,3,0),"")</f>
        <v/>
      </c>
      <c r="BV418" s="3">
        <f>IF(BU418="",NEUTRO,MAX(0,MIN(100,100*(SEG_REF_MAX-BU418)/(SEG_REF_MAX-SEG_REF_MIN))))</f>
        <v/>
      </c>
      <c r="BW418" s="3">
        <f>W_ET*BS418+W_CONS*BT418+W_SEG*BV418</f>
        <v/>
      </c>
      <c r="BX418" s="3">
        <f>IF(N(AB418)&gt;0,AB418,IF(AND(R418="profesional",SG_LEGAL_ON=1),GAR_LEGAL,0))</f>
        <v/>
      </c>
      <c r="BY418" s="3">
        <f>SG_GAR*MIN(1,BX418/SG_GAR_FULL)+SG_AMPL*(AC418="sí")+SG_KMC*(AF418="sí")+SG_REV*(N(AE418)&gt;0)+SG_DEV*MIN(1,N(AG418)/SG_DEV_FULL)+SG_HIST*(W418="sí")</f>
        <v/>
      </c>
      <c r="BZ418" s="3">
        <f>IFERROR(VLOOKUP(L418,CARR_PEN_TBL,2,0),0)</f>
        <v/>
      </c>
      <c r="CA418" s="3">
        <f>W_FIAB*BL418+W_PRECIO*BM418+W_KMEDAD*BQ418+W_ANUNCIO*BR418+W_USO*BW418+W_SEGURIDAD*BY418-BZ418</f>
        <v/>
      </c>
      <c r="CB418" s="4">
        <f>IF(N(I418)&gt;0,I418,IFERROR(ROUND(_xlfn.NUMBERVALUE(LEFT(G418,FIND(" ",G418&amp;" ")-1),".")*1000,0),99999))</f>
        <v/>
      </c>
      <c r="CC418" s="3">
        <f>IF(R418="profesional",0,IF(O418&lt;CUOTA_VALOR_MAX,IF(AU418&gt;ITP_TRAMO_ALTO,SUMIFS(CF_CUOTA,CF_MAS,ITP_TRAMO_ALTO,CF_CCMIN,"&lt;="&amp;CB418,CF_CCMAX,"&gt;="&amp;CB418),IF(AU418&gt;ITP_TRAMO_BAJO,SUMIFS(CF_CUOTA,CF_MAS,ITP_TRAMO_BAJO,CF_CCMIN,"&lt;="&amp;CB418,CF_CCMAX,"&gt;="&amp;CB418),O418*ITP_TIPO)),O418*ITP_TIPO))</f>
        <v/>
      </c>
      <c r="CD418" s="4">
        <f>IF(R418="profesional",N(AK418),0)</f>
        <v/>
      </c>
      <c r="CE418" s="3">
        <f>IF(AND(R418="profesional",ISNUMBER(AK418),AL418="sí"),0,TASA_DGT)</f>
        <v/>
      </c>
      <c r="CF418" s="3">
        <f>INFORME_DGT</f>
        <v/>
      </c>
      <c r="CG418" s="4">
        <f>O418+CD418+CC418+CE418+CF418</f>
        <v/>
      </c>
      <c r="CH418" s="4">
        <f>CG418+N(BU418)</f>
        <v/>
      </c>
      <c r="CI418" s="3">
        <f>IF(CG418&lt;=TOTAL_MAX,"sí",IF(CG418&lt;=TOTAL_MAX+MARGEN_NEG,"negociar","no"))</f>
        <v/>
      </c>
      <c r="CJ418" s="4">
        <f>IF(CI418&lt;&gt;"no",COUNTIFS($CI$2:$CI$662,"&lt;&gt;no",$CA$2:$CA$662,"&gt;"&amp;CA418)+COUNTIFS($CI$2:CI418,"&lt;&gt;no",$CA$2:CA418,CA418),"")</f>
        <v/>
      </c>
    </row>
    <row r="419">
      <c r="A419" s="2" t="inlineStr">
        <is>
          <t>cochesnet:71780709</t>
        </is>
      </c>
      <c r="B419" s="2" t="inlineStr">
        <is>
          <t>cochesnet</t>
        </is>
      </c>
      <c r="C419" s="2" t="inlineStr">
        <is>
          <t>https://www.coches.net/opel-meriva-14-net-excellence-5p-gasolina-2015-en-valencia-71780709-covo.aspx</t>
        </is>
      </c>
      <c r="D419" s="2" t="inlineStr">
        <is>
          <t>OPEL Meriva 1.4 NET Excellence</t>
        </is>
      </c>
      <c r="E419" s="2" t="inlineStr">
        <is>
          <t>Opel</t>
        </is>
      </c>
      <c r="F419" s="2" t="inlineStr">
        <is>
          <t>Opel Meriva</t>
        </is>
      </c>
      <c r="G419" s="2" t="inlineStr">
        <is>
          <t>1.4</t>
        </is>
      </c>
      <c r="H419" s="2" t="inlineStr">
        <is>
          <t>1.4 NET Excellence</t>
        </is>
      </c>
      <c r="I419" s="2" t="n"/>
      <c r="J419" s="2" t="n"/>
      <c r="K419" s="2" t="inlineStr">
        <is>
          <t>gasolina</t>
        </is>
      </c>
      <c r="L419" s="2" t="inlineStr">
        <is>
          <t>monovolumen_pequeno</t>
        </is>
      </c>
      <c r="M419" s="2" t="n">
        <v>2015</v>
      </c>
      <c r="N419" s="2" t="n">
        <v>163570</v>
      </c>
      <c r="O419" s="2" t="n">
        <v>4300</v>
      </c>
      <c r="P419" s="2" t="inlineStr">
        <is>
          <t>manual</t>
        </is>
      </c>
      <c r="Q419" s="2" t="inlineStr">
        <is>
          <t>no</t>
        </is>
      </c>
      <c r="R419" s="2" t="inlineStr">
        <is>
          <t>particular</t>
        </is>
      </c>
      <c r="S419" s="2" t="inlineStr">
        <is>
          <t>Tavernes de la Valldigna</t>
        </is>
      </c>
      <c r="T419" s="2" t="inlineStr">
        <is>
          <t>2026-10-19T13:59:24Z</t>
        </is>
      </c>
      <c r="U419" s="2" t="n">
        <v>6</v>
      </c>
      <c r="V419" s="2" t="inlineStr">
        <is>
          <t>sí</t>
        </is>
      </c>
      <c r="W419" s="2" t="n"/>
      <c r="X419" s="2" t="n"/>
      <c r="Y419" s="2" t="n"/>
      <c r="Z419" s="2" t="inlineStr">
        <is>
          <t>no</t>
        </is>
      </c>
      <c r="AA419" s="2" t="n"/>
      <c r="AB419" s="2" t="n"/>
      <c r="AC419" s="2" t="n"/>
      <c r="AD419" s="2" t="n"/>
      <c r="AE419" s="2" t="n"/>
      <c r="AF419" s="2" t="n"/>
      <c r="AG419" s="2" t="n"/>
      <c r="AH419" s="2" t="n">
        <v>4300</v>
      </c>
      <c r="AI419" s="2" t="n"/>
      <c r="AJ419" s="2" t="n"/>
      <c r="AK419" s="2" t="n"/>
      <c r="AL419" s="2" t="n"/>
      <c r="AM419" s="2" t="n">
        <v>45.8</v>
      </c>
      <c r="AN419" s="2" t="n">
        <v>5990</v>
      </c>
      <c r="AO419" s="2" t="n">
        <v>5</v>
      </c>
      <c r="AP419" s="2" t="inlineStr">
        <is>
          <t>modelo+año+km</t>
        </is>
      </c>
      <c r="AQ419" s="2" t="n"/>
      <c r="AR419" s="2" t="inlineStr">
        <is>
          <t>cuota fija ITP: &gt;5 y &lt;=12 años, hasta 1.500 cc; carrocería monovolumen_pequeno: -6 puntos; fiabilidad del modelo PENDIENTE de fuente (puntuación neutra)</t>
        </is>
      </c>
      <c r="AS419" s="2" t="inlineStr">
        <is>
          <t>?? SE VENDE OPEL MERIVA 1.4 GASOLINA 140 CV – AÑO 2015
?? Precio: 4.500 €
Vendo Opel Meriva del año 2015, motor 1.4 gasolina de 140 CV, con 163.570 km.
? ITV recién pasada.
? Cambios de aceite realizados.
? Motor gasolina de 140 CV.
? Se acepta prueba mecánica.
?? Importante: El coche se vende tal como está, ya que necesita algunos pequeños arreglos de mecánica. También tiene un arañazo en una de las puertas.
El precio tiene en cuenta estos detalles. Se puede revisar y probar para comprobar su estado antes de la compra.
?? Interesados, contactar por privado para más información o concertar una visita.
?? Precio: 4.500 €</t>
        </is>
      </c>
      <c r="AT419" s="2" t="inlineStr">
        <is>
          <t>https://www.coches.net/opel-meriva-14-net-excellence-5p-gasolina-2015-en-valencia-71780709-covo.aspx (window.__INITIAL_PROPS__.ad) /home/user/Alopecia/buscador-coches/raw/cochesnet/47465970cd6ff1cf.json</t>
        </is>
      </c>
      <c r="AU419" s="3">
        <f>MAX(ANIO_ACTUAL-M419,0)</f>
        <v/>
      </c>
      <c r="AV419" s="4">
        <f>N419/MAX(AU419,0.5)</f>
        <v/>
      </c>
      <c r="AW419" s="4">
        <f>F419</f>
        <v/>
      </c>
      <c r="AX419" s="3">
        <f>AW419&amp;"|"&amp;INT(M419/SEG_ANIO)*SEG_ANIO</f>
        <v/>
      </c>
      <c r="AY419" s="3">
        <f>AX419&amp;"|"&amp;INT(N419/SEG_KM)*SEG_KM</f>
        <v/>
      </c>
      <c r="AZ419" s="4">
        <f>COUNTIF($AW$2:$AW$662,AW419)</f>
        <v/>
      </c>
      <c r="BA419" s="4">
        <f>COUNTIF($AX$2:$AX$662,AX419)</f>
        <v/>
      </c>
      <c r="BB419" s="4">
        <f>COUNTIF($AY$2:$AY$662,AY419)</f>
        <v/>
      </c>
      <c r="BC419" s="3">
        <f t="array" ref="BC419">IF(N(AO419)&gt;=MIN_N,AN419,IF(BB419&gt;=MIN_N,MEDIAN(IF($AY$2:$AY$662=AY419,$O$2:$O$662)),IF(BA419&gt;=MIN_N,MEDIAN(IF($AX$2:$AX$662=AX419,$O$2:$O$662)),MEDIAN(IF($AW$2:$AW$662=AW419,$O$2:$O$662)))))</f>
        <v/>
      </c>
      <c r="BD419" s="3">
        <f>IF(N(AO419)&gt;=MIN_N,"mercado "&amp;AP419,IF(BB419&gt;=MIN_N,"modelo+año+km",IF(BA419&gt;=MIN_N,"modelo+año","modelo")))</f>
        <v/>
      </c>
      <c r="BE419" s="4">
        <f>(BC419-O419)/BC419</f>
        <v/>
      </c>
      <c r="BF419" s="3">
        <f>IF(OR(K419="hibrido",K419="glp"),"ECO",IF(K419="electrico","CERO",IF(K419="gasolina",IF(M419&gt;=GAS_C,"C",IF(M419&gt;=GAS_B,"B","A")),IF(K419="diesel",IF(M419&gt;=DIE_C,"C",IF(M419&gt;=DIE_B,"B","A")),""))))</f>
        <v/>
      </c>
      <c r="BG419" s="3">
        <f>IFERROR(VLOOKUP(F419,MOD_TBL,11,0),IFERROR(VLOOKUP(E419,OCU_TBL,2,0),NEUTRO))</f>
        <v/>
      </c>
      <c r="BH419" s="3">
        <f>SUMIFS(MOT_AJUSTE,MOT_MOTOR,G419,MOT_MARCA,E419,MOT_DESDE,"&lt;="&amp;M419,MOT_HASTA,"&gt;="&amp;M419)+SUMIFS(MOT_AJUSTE,MOT_MOTOR,G419,MOT_MARCA,"(todas)",MOT_DESDE,"&lt;="&amp;M419,MOT_HASTA,"&gt;="&amp;M419)</f>
        <v/>
      </c>
      <c r="BI419" s="3">
        <f>SUMIFS(COMB_AJUSTE,COMB_COMB,K419)</f>
        <v/>
      </c>
      <c r="BJ419" s="3">
        <f>COUNTIFS(MOT_MOTOR,G419,MOT_MARCA,E419,MOT_DESDE,"&lt;="&amp;M419,MOT_HASTA,"&gt;="&amp;M419)+COUNTIFS(MOT_MOTOR,G419,MOT_MARCA,"(todas)",MOT_DESDE,"&lt;="&amp;M419,MOT_HASTA,"&gt;="&amp;M419)</f>
        <v/>
      </c>
      <c r="BK419" s="3">
        <f>IF(AND(K419="diesel",BJ419=0),MIN(BG419,NEUTRO),BG419)</f>
        <v/>
      </c>
      <c r="BL419" s="4">
        <f>MAX(0,MIN(100,BK419+BH419+BI419))</f>
        <v/>
      </c>
      <c r="BM419" s="3">
        <f>MAX(0,MIN(100,50+BE419*PRECIO_PEND))</f>
        <v/>
      </c>
      <c r="BN419" s="3">
        <f>MAX(0,100*(1-N419/KM_MAX))</f>
        <v/>
      </c>
      <c r="BO419" s="3">
        <f>IF(AV419&lt;KMA_SOSP,IF(AA419="sí",100,KMA_PEN),IF(AV419&lt;=KMA_IDEAL_MAX,100,MAX(0,100*(KMA_CERO-AV419)/(KMA_CERO-KMA_IDEAL_MAX))))</f>
        <v/>
      </c>
      <c r="BP419" s="3">
        <f>MAX(0,MIN(100,100*(M419-ANIO_MIN)/(ANIO_ACTUAL-ANIO_MIN)))</f>
        <v/>
      </c>
      <c r="BQ419" s="3">
        <f>W_KMT*BN419+W_KMA*BO419+W_EDAD*BP419</f>
        <v/>
      </c>
      <c r="BR419" s="3">
        <f>P_ITV*(V419="sí")+P_LIBRO*(W419="sí")+P_CORREA*(X419="sí")+P_PROP*(Y419=1)+P_GAR*(Z419="sí")+P_FOTOS*MIN(1,N(U419)/FOTOS_OBJ)</f>
        <v/>
      </c>
      <c r="BS419" s="3">
        <f>IFERROR(VLOOKUP(BF419,ETQ_TBL,2,0),NEUTRO)</f>
        <v/>
      </c>
      <c r="BT419" s="3">
        <f>NEUTRO</f>
        <v/>
      </c>
      <c r="BU419" s="3">
        <f>IFERROR(VLOOKUP(L419,SEGURO_TBL,3,0),"")</f>
        <v/>
      </c>
      <c r="BV419" s="3">
        <f>IF(BU419="",NEUTRO,MAX(0,MIN(100,100*(SEG_REF_MAX-BU419)/(SEG_REF_MAX-SEG_REF_MIN))))</f>
        <v/>
      </c>
      <c r="BW419" s="3">
        <f>W_ET*BS419+W_CONS*BT419+W_SEG*BV419</f>
        <v/>
      </c>
      <c r="BX419" s="3">
        <f>IF(N(AB419)&gt;0,AB419,IF(AND(R419="profesional",SG_LEGAL_ON=1),GAR_LEGAL,0))</f>
        <v/>
      </c>
      <c r="BY419" s="3">
        <f>SG_GAR*MIN(1,BX419/SG_GAR_FULL)+SG_AMPL*(AC419="sí")+SG_KMC*(AF419="sí")+SG_REV*(N(AE419)&gt;0)+SG_DEV*MIN(1,N(AG419)/SG_DEV_FULL)+SG_HIST*(W419="sí")</f>
        <v/>
      </c>
      <c r="BZ419" s="3">
        <f>IFERROR(VLOOKUP(L419,CARR_PEN_TBL,2,0),0)</f>
        <v/>
      </c>
      <c r="CA419" s="3">
        <f>W_FIAB*BL419+W_PRECIO*BM419+W_KMEDAD*BQ419+W_ANUNCIO*BR419+W_USO*BW419+W_SEGURIDAD*BY419-BZ419</f>
        <v/>
      </c>
      <c r="CB419" s="4">
        <f>IF(N(I419)&gt;0,I419,IFERROR(ROUND(_xlfn.NUMBERVALUE(LEFT(G419,FIND(" ",G419&amp;" ")-1),".")*1000,0),99999))</f>
        <v/>
      </c>
      <c r="CC419" s="3">
        <f>IF(R419="profesional",0,IF(O419&lt;CUOTA_VALOR_MAX,IF(AU419&gt;ITP_TRAMO_ALTO,SUMIFS(CF_CUOTA,CF_MAS,ITP_TRAMO_ALTO,CF_CCMIN,"&lt;="&amp;CB419,CF_CCMAX,"&gt;="&amp;CB419),IF(AU419&gt;ITP_TRAMO_BAJO,SUMIFS(CF_CUOTA,CF_MAS,ITP_TRAMO_BAJO,CF_CCMIN,"&lt;="&amp;CB419,CF_CCMAX,"&gt;="&amp;CB419),O419*ITP_TIPO)),O419*ITP_TIPO))</f>
        <v/>
      </c>
      <c r="CD419" s="4">
        <f>IF(R419="profesional",N(AK419),0)</f>
        <v/>
      </c>
      <c r="CE419" s="3">
        <f>IF(AND(R419="profesional",ISNUMBER(AK419),AL419="sí"),0,TASA_DGT)</f>
        <v/>
      </c>
      <c r="CF419" s="3">
        <f>INFORME_DGT</f>
        <v/>
      </c>
      <c r="CG419" s="4">
        <f>O419+CD419+CC419+CE419+CF419</f>
        <v/>
      </c>
      <c r="CH419" s="4">
        <f>CG419+N(BU419)</f>
        <v/>
      </c>
      <c r="CI419" s="3">
        <f>IF(CG419&lt;=TOTAL_MAX,"sí",IF(CG419&lt;=TOTAL_MAX+MARGEN_NEG,"negociar","no"))</f>
        <v/>
      </c>
      <c r="CJ419" s="4">
        <f>IF(CI419&lt;&gt;"no",COUNTIFS($CI$2:$CI$662,"&lt;&gt;no",$CA$2:$CA$662,"&gt;"&amp;CA419)+COUNTIFS($CI$2:CI419,"&lt;&gt;no",$CA$2:CA419,CA419),"")</f>
        <v/>
      </c>
    </row>
    <row r="420">
      <c r="A420" s="2" t="inlineStr">
        <is>
          <t>cochesnet:71508169</t>
        </is>
      </c>
      <c r="B420" s="2" t="inlineStr">
        <is>
          <t>cochesnet</t>
        </is>
      </c>
      <c r="C420" s="2" t="inlineStr">
        <is>
          <t>https://www.coches.net/renault-megane-coupecabrio-dynamique-16-16v-2p-gasolina-2007-en-valencia-71508169-covo.aspx</t>
        </is>
      </c>
      <c r="D420" s="2" t="inlineStr">
        <is>
          <t>RENAULT Mégane Coupecabrio Dynamique 1.6 16v</t>
        </is>
      </c>
      <c r="E420" s="2" t="inlineStr">
        <is>
          <t>Renault</t>
        </is>
      </c>
      <c r="F420" s="2" t="inlineStr">
        <is>
          <t>Renault Mégane</t>
        </is>
      </c>
      <c r="G420" s="2" t="inlineStr">
        <is>
          <t>1.6</t>
        </is>
      </c>
      <c r="H420" s="2" t="inlineStr">
        <is>
          <t>Coupecabrio Dynamique 1.6 16v</t>
        </is>
      </c>
      <c r="I420" s="2" t="n"/>
      <c r="J420" s="2" t="n"/>
      <c r="K420" s="2" t="inlineStr">
        <is>
          <t>gasolina</t>
        </is>
      </c>
      <c r="L420" s="2" t="inlineStr">
        <is>
          <t>compacto</t>
        </is>
      </c>
      <c r="M420" s="2" t="n">
        <v>2007</v>
      </c>
      <c r="N420" s="2" t="n">
        <v>115000</v>
      </c>
      <c r="O420" s="2" t="n">
        <v>4500</v>
      </c>
      <c r="P420" s="2" t="inlineStr">
        <is>
          <t>manual</t>
        </is>
      </c>
      <c r="Q420" s="2" t="inlineStr">
        <is>
          <t>no</t>
        </is>
      </c>
      <c r="R420" s="2" t="inlineStr">
        <is>
          <t>profesional</t>
        </is>
      </c>
      <c r="S420" s="2" t="inlineStr">
        <is>
          <t>JM Automóviles Alboraya</t>
        </is>
      </c>
      <c r="T420" s="2" t="inlineStr">
        <is>
          <t>2026-09-14T12:11:39Z</t>
        </is>
      </c>
      <c r="U420" s="2" t="n">
        <v>11</v>
      </c>
      <c r="V420" s="2" t="n"/>
      <c r="W420" s="2" t="n"/>
      <c r="X420" s="2" t="n"/>
      <c r="Y420" s="2" t="n"/>
      <c r="Z420" s="2" t="inlineStr">
        <is>
          <t>sí</t>
        </is>
      </c>
      <c r="AA420" s="2" t="n"/>
      <c r="AB420" s="2" t="n">
        <v>12</v>
      </c>
      <c r="AC420" s="2" t="n"/>
      <c r="AD420" s="2" t="n"/>
      <c r="AE420" s="2" t="n"/>
      <c r="AF420" s="2" t="n"/>
      <c r="AG420" s="2" t="n"/>
      <c r="AH420" s="2" t="n">
        <v>4500</v>
      </c>
      <c r="AI420" s="2" t="n">
        <v>4500</v>
      </c>
      <c r="AJ420" s="2" t="n"/>
      <c r="AK420" s="2" t="n"/>
      <c r="AL420" s="2" t="n"/>
      <c r="AM420" s="2" t="n">
        <v>4</v>
      </c>
      <c r="AN420" s="2" t="n">
        <v>4500</v>
      </c>
      <c r="AO420" s="2" t="n">
        <v>5</v>
      </c>
      <c r="AP420" s="2" t="inlineStr">
        <is>
          <t>modelo+año+km</t>
        </is>
      </c>
      <c r="AQ420" s="2" t="n"/>
      <c r="AR420" s="2" t="inlineStr">
        <is>
          <t>vendedor profesional: sin ITP (operación con IVA/REBU, confirmar en factura); gastos de gestión del vendedor no indicados: se suma la tasa DGT; preguntar el precio final</t>
        </is>
      </c>
      <c r="AS420" s="2" t="inlineStr">
        <is>
          <t>RENAULT MÉGANE CABRIO 1.6 16V 110 CV DYNAMIQUE – 2007 – 114.000 KM
Renault Mégane Cabrio del 2007, con motor 1.6 gasolina de 110 CV, acabado Dynamique y solo 114.000 km. Un descapotable cómodo y atractivo, ideal para disfrutar de la conducción tanto en ciudad como en carretera.
DATOS PRINCIPALES
* Año: 2007
* Combustible: Gasolina
* Motor: 1.6 16V
* Potencia: 110 CV
* Cambio: Manual
* Kilómetros: 114.000 km
* Acabado: Dynamique
* Listo para entregar
EQUIPAMIENTO DESTACADO
* Techo descapotable
* Climatizador
* Radio CD
* Volante multifunción
* Control de velocidad
* Llantas de aleación
* Elevalunas eléctricos
* Cierre centralizado
* Faros antiniebla
* ABS y control de estabilidad
* ISOFIX
LO MEJOR
* Motor 1.6 gasolina de 110 CV
* Acabado Dynamique
* Solo 114.000 km
* Descapotable
* Diseño atractivo
* Ideal para disfrutar de la conducción
* Cómodo y práctico para el día a día
Vehículo en buen estado general, cuidado y listo para su entrega.</t>
        </is>
      </c>
      <c r="AT420" s="2" t="inlineStr">
        <is>
          <t>https://www.coches.net/renault-megane-coupecabrio-dynamique-16-16v-2p-gasolina-2007-en-valencia-71508169-covo.aspx (window.__INITIAL_PROPS__.ad) /home/user/Alopecia/buscador-coches/raw/cochesnet/ae12582aa857913e.json</t>
        </is>
      </c>
      <c r="AU420" s="3">
        <f>MAX(ANIO_ACTUAL-M420,0)</f>
        <v/>
      </c>
      <c r="AV420" s="4">
        <f>N420/MAX(AU420,0.5)</f>
        <v/>
      </c>
      <c r="AW420" s="4">
        <f>F420</f>
        <v/>
      </c>
      <c r="AX420" s="3">
        <f>AW420&amp;"|"&amp;INT(M420/SEG_ANIO)*SEG_ANIO</f>
        <v/>
      </c>
      <c r="AY420" s="3">
        <f>AX420&amp;"|"&amp;INT(N420/SEG_KM)*SEG_KM</f>
        <v/>
      </c>
      <c r="AZ420" s="4">
        <f>COUNTIF($AW$2:$AW$662,AW420)</f>
        <v/>
      </c>
      <c r="BA420" s="4">
        <f>COUNTIF($AX$2:$AX$662,AX420)</f>
        <v/>
      </c>
      <c r="BB420" s="4">
        <f>COUNTIF($AY$2:$AY$662,AY420)</f>
        <v/>
      </c>
      <c r="BC420" s="3">
        <f t="array" ref="BC420">IF(N(AO420)&gt;=MIN_N,AN420,IF(BB420&gt;=MIN_N,MEDIAN(IF($AY$2:$AY$662=AY420,$O$2:$O$662)),IF(BA420&gt;=MIN_N,MEDIAN(IF($AX$2:$AX$662=AX420,$O$2:$O$662)),MEDIAN(IF($AW$2:$AW$662=AW420,$O$2:$O$662)))))</f>
        <v/>
      </c>
      <c r="BD420" s="3">
        <f>IF(N(AO420)&gt;=MIN_N,"mercado "&amp;AP420,IF(BB420&gt;=MIN_N,"modelo+año+km",IF(BA420&gt;=MIN_N,"modelo+año","modelo")))</f>
        <v/>
      </c>
      <c r="BE420" s="4">
        <f>(BC420-O420)/BC420</f>
        <v/>
      </c>
      <c r="BF420" s="3">
        <f>IF(OR(K420="hibrido",K420="glp"),"ECO",IF(K420="electrico","CERO",IF(K420="gasolina",IF(M420&gt;=GAS_C,"C",IF(M420&gt;=GAS_B,"B","A")),IF(K420="diesel",IF(M420&gt;=DIE_C,"C",IF(M420&gt;=DIE_B,"B","A")),""))))</f>
        <v/>
      </c>
      <c r="BG420" s="3">
        <f>IFERROR(VLOOKUP(F420,MOD_TBL,11,0),IFERROR(VLOOKUP(E420,OCU_TBL,2,0),NEUTRO))</f>
        <v/>
      </c>
      <c r="BH420" s="3">
        <f>SUMIFS(MOT_AJUSTE,MOT_MOTOR,G420,MOT_MARCA,E420,MOT_DESDE,"&lt;="&amp;M420,MOT_HASTA,"&gt;="&amp;M420)+SUMIFS(MOT_AJUSTE,MOT_MOTOR,G420,MOT_MARCA,"(todas)",MOT_DESDE,"&lt;="&amp;M420,MOT_HASTA,"&gt;="&amp;M420)</f>
        <v/>
      </c>
      <c r="BI420" s="3">
        <f>SUMIFS(COMB_AJUSTE,COMB_COMB,K420)</f>
        <v/>
      </c>
      <c r="BJ420" s="3">
        <f>COUNTIFS(MOT_MOTOR,G420,MOT_MARCA,E420,MOT_DESDE,"&lt;="&amp;M420,MOT_HASTA,"&gt;="&amp;M420)+COUNTIFS(MOT_MOTOR,G420,MOT_MARCA,"(todas)",MOT_DESDE,"&lt;="&amp;M420,MOT_HASTA,"&gt;="&amp;M420)</f>
        <v/>
      </c>
      <c r="BK420" s="3">
        <f>IF(AND(K420="diesel",BJ420=0),MIN(BG420,NEUTRO),BG420)</f>
        <v/>
      </c>
      <c r="BL420" s="4">
        <f>MAX(0,MIN(100,BK420+BH420+BI420))</f>
        <v/>
      </c>
      <c r="BM420" s="3">
        <f>MAX(0,MIN(100,50+BE420*PRECIO_PEND))</f>
        <v/>
      </c>
      <c r="BN420" s="3">
        <f>MAX(0,100*(1-N420/KM_MAX))</f>
        <v/>
      </c>
      <c r="BO420" s="3">
        <f>IF(AV420&lt;KMA_SOSP,IF(AA420="sí",100,KMA_PEN),IF(AV420&lt;=KMA_IDEAL_MAX,100,MAX(0,100*(KMA_CERO-AV420)/(KMA_CERO-KMA_IDEAL_MAX))))</f>
        <v/>
      </c>
      <c r="BP420" s="3">
        <f>MAX(0,MIN(100,100*(M420-ANIO_MIN)/(ANIO_ACTUAL-ANIO_MIN)))</f>
        <v/>
      </c>
      <c r="BQ420" s="3">
        <f>W_KMT*BN420+W_KMA*BO420+W_EDAD*BP420</f>
        <v/>
      </c>
      <c r="BR420" s="3">
        <f>P_ITV*(V420="sí")+P_LIBRO*(W420="sí")+P_CORREA*(X420="sí")+P_PROP*(Y420=1)+P_GAR*(Z420="sí")+P_FOTOS*MIN(1,N(U420)/FOTOS_OBJ)</f>
        <v/>
      </c>
      <c r="BS420" s="3">
        <f>IFERROR(VLOOKUP(BF420,ETQ_TBL,2,0),NEUTRO)</f>
        <v/>
      </c>
      <c r="BT420" s="3">
        <f>NEUTRO</f>
        <v/>
      </c>
      <c r="BU420" s="3">
        <f>IFERROR(VLOOKUP(L420,SEGURO_TBL,3,0),"")</f>
        <v/>
      </c>
      <c r="BV420" s="3">
        <f>IF(BU420="",NEUTRO,MAX(0,MIN(100,100*(SEG_REF_MAX-BU420)/(SEG_REF_MAX-SEG_REF_MIN))))</f>
        <v/>
      </c>
      <c r="BW420" s="3">
        <f>W_ET*BS420+W_CONS*BT420+W_SEG*BV420</f>
        <v/>
      </c>
      <c r="BX420" s="3">
        <f>IF(N(AB420)&gt;0,AB420,IF(AND(R420="profesional",SG_LEGAL_ON=1),GAR_LEGAL,0))</f>
        <v/>
      </c>
      <c r="BY420" s="3">
        <f>SG_GAR*MIN(1,BX420/SG_GAR_FULL)+SG_AMPL*(AC420="sí")+SG_KMC*(AF420="sí")+SG_REV*(N(AE420)&gt;0)+SG_DEV*MIN(1,N(AG420)/SG_DEV_FULL)+SG_HIST*(W420="sí")</f>
        <v/>
      </c>
      <c r="BZ420" s="3">
        <f>IFERROR(VLOOKUP(L420,CARR_PEN_TBL,2,0),0)</f>
        <v/>
      </c>
      <c r="CA420" s="3">
        <f>W_FIAB*BL420+W_PRECIO*BM420+W_KMEDAD*BQ420+W_ANUNCIO*BR420+W_USO*BW420+W_SEGURIDAD*BY420-BZ420</f>
        <v/>
      </c>
      <c r="CB420" s="4">
        <f>IF(N(I420)&gt;0,I420,IFERROR(ROUND(_xlfn.NUMBERVALUE(LEFT(G420,FIND(" ",G420&amp;" ")-1),".")*1000,0),99999))</f>
        <v/>
      </c>
      <c r="CC420" s="3">
        <f>IF(R420="profesional",0,IF(O420&lt;CUOTA_VALOR_MAX,IF(AU420&gt;ITP_TRAMO_ALTO,SUMIFS(CF_CUOTA,CF_MAS,ITP_TRAMO_ALTO,CF_CCMIN,"&lt;="&amp;CB420,CF_CCMAX,"&gt;="&amp;CB420),IF(AU420&gt;ITP_TRAMO_BAJO,SUMIFS(CF_CUOTA,CF_MAS,ITP_TRAMO_BAJO,CF_CCMIN,"&lt;="&amp;CB420,CF_CCMAX,"&gt;="&amp;CB420),O420*ITP_TIPO)),O420*ITP_TIPO))</f>
        <v/>
      </c>
      <c r="CD420" s="4">
        <f>IF(R420="profesional",N(AK420),0)</f>
        <v/>
      </c>
      <c r="CE420" s="3">
        <f>IF(AND(R420="profesional",ISNUMBER(AK420),AL420="sí"),0,TASA_DGT)</f>
        <v/>
      </c>
      <c r="CF420" s="3">
        <f>INFORME_DGT</f>
        <v/>
      </c>
      <c r="CG420" s="4">
        <f>O420+CD420+CC420+CE420+CF420</f>
        <v/>
      </c>
      <c r="CH420" s="4">
        <f>CG420+N(BU420)</f>
        <v/>
      </c>
      <c r="CI420" s="3">
        <f>IF(CG420&lt;=TOTAL_MAX,"sí",IF(CG420&lt;=TOTAL_MAX+MARGEN_NEG,"negociar","no"))</f>
        <v/>
      </c>
      <c r="CJ420" s="4">
        <f>IF(CI420&lt;&gt;"no",COUNTIFS($CI$2:$CI$662,"&lt;&gt;no",$CA$2:$CA$662,"&gt;"&amp;CA420)+COUNTIFS($CI$2:CI420,"&lt;&gt;no",$CA$2:CA420,CA420),"")</f>
        <v/>
      </c>
    </row>
    <row r="421">
      <c r="A421" s="2" t="inlineStr">
        <is>
          <t>cochesnet:71662456</t>
        </is>
      </c>
      <c r="B421" s="2" t="inlineStr">
        <is>
          <t>cochesnet</t>
        </is>
      </c>
      <c r="C421" s="2" t="inlineStr">
        <is>
          <t>https://www.coches.net/renault-megane-coupecabrio-dynamique-16-16v-2p-gasolina-2007-en-valencia-71662456-covo.aspx</t>
        </is>
      </c>
      <c r="D421" s="2" t="inlineStr">
        <is>
          <t>RENAULT Mégane Coupecabrio Dynamique 1.6 16v</t>
        </is>
      </c>
      <c r="E421" s="2" t="inlineStr">
        <is>
          <t>Renault</t>
        </is>
      </c>
      <c r="F421" s="2" t="inlineStr">
        <is>
          <t>Renault Mégane</t>
        </is>
      </c>
      <c r="G421" s="2" t="inlineStr">
        <is>
          <t>1.6</t>
        </is>
      </c>
      <c r="H421" s="2" t="inlineStr">
        <is>
          <t>Coupecabrio Dynamique 1.6 16v</t>
        </is>
      </c>
      <c r="I421" s="2" t="n"/>
      <c r="J421" s="2" t="n"/>
      <c r="K421" s="2" t="inlineStr">
        <is>
          <t>gasolina</t>
        </is>
      </c>
      <c r="L421" s="2" t="inlineStr">
        <is>
          <t>compacto</t>
        </is>
      </c>
      <c r="M421" s="2" t="n">
        <v>2007</v>
      </c>
      <c r="N421" s="2" t="n">
        <v>183000</v>
      </c>
      <c r="O421" s="2" t="n">
        <v>4750</v>
      </c>
      <c r="P421" s="2" t="inlineStr">
        <is>
          <t>manual</t>
        </is>
      </c>
      <c r="Q421" s="2" t="inlineStr">
        <is>
          <t>no</t>
        </is>
      </c>
      <c r="R421" s="2" t="inlineStr">
        <is>
          <t>profesional</t>
        </is>
      </c>
      <c r="S421" s="2" t="inlineStr">
        <is>
          <t>JM Automóviles Alboraya</t>
        </is>
      </c>
      <c r="T421" s="2" t="inlineStr">
        <is>
          <t>2026-10-02T23:57:31Z</t>
        </is>
      </c>
      <c r="U421" s="2" t="n">
        <v>10</v>
      </c>
      <c r="V421" s="2" t="n"/>
      <c r="W421" s="2" t="inlineStr">
        <is>
          <t>sí</t>
        </is>
      </c>
      <c r="X421" s="2" t="n"/>
      <c r="Y421" s="2" t="n"/>
      <c r="Z421" s="2" t="inlineStr">
        <is>
          <t>sí</t>
        </is>
      </c>
      <c r="AA421" s="2" t="n"/>
      <c r="AB421" s="2" t="n">
        <v>12</v>
      </c>
      <c r="AC421" s="2" t="n"/>
      <c r="AD421" s="2" t="n"/>
      <c r="AE421" s="2" t="n"/>
      <c r="AF421" s="2" t="n"/>
      <c r="AG421" s="2" t="n"/>
      <c r="AH421" s="2" t="n">
        <v>4750</v>
      </c>
      <c r="AI421" s="2" t="n">
        <v>4750</v>
      </c>
      <c r="AJ421" s="2" t="n"/>
      <c r="AK421" s="2" t="n"/>
      <c r="AL421" s="2" t="n"/>
      <c r="AM421" s="2" t="n">
        <v>4</v>
      </c>
      <c r="AN421" s="2" t="n">
        <v>3850</v>
      </c>
      <c r="AO421" s="2" t="n">
        <v>6</v>
      </c>
      <c r="AP421" s="2" t="inlineStr">
        <is>
          <t>modelo+año+km</t>
        </is>
      </c>
      <c r="AQ421" s="2" t="n"/>
      <c r="AR421" s="2" t="inlineStr">
        <is>
          <t>vendedor profesional: sin ITP (operación con IVA/REBU, confirmar en factura); gastos de gestión del vendedor no indicados: se suma la tasa DGT; preguntar el precio final</t>
        </is>
      </c>
      <c r="AS421" s="2" t="inlineStr">
        <is>
          <t>RENAULT MÉGANE CABRIO 1.6 16V GASOLINA – 2007 – 182.000 KM
Descapotable elegante, cómodo y perfecto para disfrutar de la conducción a cielo abierto. Un coche ideal para quienes buscan estilo y diversión con un mantenimiento contenido.
DATOS PRINCIPALES
Año: 2007
Kilómetros: 182.000 km
Motor: 1.6 Gasolina
Potencia: 110 CV
Cambio manual
Mantenimiento al día
Listo para circular
EQUIPAMIENTO
Techo rígido retráctil eléctrico
Climatizador automático
Radio CD
Volante multifunción
Ordenador de a bordo
Elevalunas eléctricos
Cierre centralizado
Llantas de aleación
ABS + Control de estabilidad
Dirección asistida
LO MEJOR
Descapotable de techo rígido eléctrico
Motor gasolina fiable y de bajo mantenimiento
Cómodo para el día a día y escapadas
Excelente relación calidad-precio
Vehículo en buen estado general, cuidado y listo para su entrega.</t>
        </is>
      </c>
      <c r="AT421" s="2" t="inlineStr">
        <is>
          <t>https://www.coches.net/renault-megane-coupecabrio-dynamique-16-16v-2p-gasolina-2007-en-valencia-71662456-covo.aspx (window.__INITIAL_PROPS__.ad) /home/user/Alopecia/buscador-coches/raw/cochesnet/2e16acfbd04d922b.json</t>
        </is>
      </c>
      <c r="AU421" s="3">
        <f>MAX(ANIO_ACTUAL-M421,0)</f>
        <v/>
      </c>
      <c r="AV421" s="4">
        <f>N421/MAX(AU421,0.5)</f>
        <v/>
      </c>
      <c r="AW421" s="4">
        <f>F421</f>
        <v/>
      </c>
      <c r="AX421" s="3">
        <f>AW421&amp;"|"&amp;INT(M421/SEG_ANIO)*SEG_ANIO</f>
        <v/>
      </c>
      <c r="AY421" s="3">
        <f>AX421&amp;"|"&amp;INT(N421/SEG_KM)*SEG_KM</f>
        <v/>
      </c>
      <c r="AZ421" s="4">
        <f>COUNTIF($AW$2:$AW$662,AW421)</f>
        <v/>
      </c>
      <c r="BA421" s="4">
        <f>COUNTIF($AX$2:$AX$662,AX421)</f>
        <v/>
      </c>
      <c r="BB421" s="4">
        <f>COUNTIF($AY$2:$AY$662,AY421)</f>
        <v/>
      </c>
      <c r="BC421" s="3">
        <f t="array" ref="BC421">IF(N(AO421)&gt;=MIN_N,AN421,IF(BB421&gt;=MIN_N,MEDIAN(IF($AY$2:$AY$662=AY421,$O$2:$O$662)),IF(BA421&gt;=MIN_N,MEDIAN(IF($AX$2:$AX$662=AX421,$O$2:$O$662)),MEDIAN(IF($AW$2:$AW$662=AW421,$O$2:$O$662)))))</f>
        <v/>
      </c>
      <c r="BD421" s="3">
        <f>IF(N(AO421)&gt;=MIN_N,"mercado "&amp;AP421,IF(BB421&gt;=MIN_N,"modelo+año+km",IF(BA421&gt;=MIN_N,"modelo+año","modelo")))</f>
        <v/>
      </c>
      <c r="BE421" s="4">
        <f>(BC421-O421)/BC421</f>
        <v/>
      </c>
      <c r="BF421" s="3">
        <f>IF(OR(K421="hibrido",K421="glp"),"ECO",IF(K421="electrico","CERO",IF(K421="gasolina",IF(M421&gt;=GAS_C,"C",IF(M421&gt;=GAS_B,"B","A")),IF(K421="diesel",IF(M421&gt;=DIE_C,"C",IF(M421&gt;=DIE_B,"B","A")),""))))</f>
        <v/>
      </c>
      <c r="BG421" s="3">
        <f>IFERROR(VLOOKUP(F421,MOD_TBL,11,0),IFERROR(VLOOKUP(E421,OCU_TBL,2,0),NEUTRO))</f>
        <v/>
      </c>
      <c r="BH421" s="3">
        <f>SUMIFS(MOT_AJUSTE,MOT_MOTOR,G421,MOT_MARCA,E421,MOT_DESDE,"&lt;="&amp;M421,MOT_HASTA,"&gt;="&amp;M421)+SUMIFS(MOT_AJUSTE,MOT_MOTOR,G421,MOT_MARCA,"(todas)",MOT_DESDE,"&lt;="&amp;M421,MOT_HASTA,"&gt;="&amp;M421)</f>
        <v/>
      </c>
      <c r="BI421" s="3">
        <f>SUMIFS(COMB_AJUSTE,COMB_COMB,K421)</f>
        <v/>
      </c>
      <c r="BJ421" s="3">
        <f>COUNTIFS(MOT_MOTOR,G421,MOT_MARCA,E421,MOT_DESDE,"&lt;="&amp;M421,MOT_HASTA,"&gt;="&amp;M421)+COUNTIFS(MOT_MOTOR,G421,MOT_MARCA,"(todas)",MOT_DESDE,"&lt;="&amp;M421,MOT_HASTA,"&gt;="&amp;M421)</f>
        <v/>
      </c>
      <c r="BK421" s="3">
        <f>IF(AND(K421="diesel",BJ421=0),MIN(BG421,NEUTRO),BG421)</f>
        <v/>
      </c>
      <c r="BL421" s="4">
        <f>MAX(0,MIN(100,BK421+BH421+BI421))</f>
        <v/>
      </c>
      <c r="BM421" s="3">
        <f>MAX(0,MIN(100,50+BE421*PRECIO_PEND))</f>
        <v/>
      </c>
      <c r="BN421" s="3">
        <f>MAX(0,100*(1-N421/KM_MAX))</f>
        <v/>
      </c>
      <c r="BO421" s="3">
        <f>IF(AV421&lt;KMA_SOSP,IF(AA421="sí",100,KMA_PEN),IF(AV421&lt;=KMA_IDEAL_MAX,100,MAX(0,100*(KMA_CERO-AV421)/(KMA_CERO-KMA_IDEAL_MAX))))</f>
        <v/>
      </c>
      <c r="BP421" s="3">
        <f>MAX(0,MIN(100,100*(M421-ANIO_MIN)/(ANIO_ACTUAL-ANIO_MIN)))</f>
        <v/>
      </c>
      <c r="BQ421" s="3">
        <f>W_KMT*BN421+W_KMA*BO421+W_EDAD*BP421</f>
        <v/>
      </c>
      <c r="BR421" s="3">
        <f>P_ITV*(V421="sí")+P_LIBRO*(W421="sí")+P_CORREA*(X421="sí")+P_PROP*(Y421=1)+P_GAR*(Z421="sí")+P_FOTOS*MIN(1,N(U421)/FOTOS_OBJ)</f>
        <v/>
      </c>
      <c r="BS421" s="3">
        <f>IFERROR(VLOOKUP(BF421,ETQ_TBL,2,0),NEUTRO)</f>
        <v/>
      </c>
      <c r="BT421" s="3">
        <f>NEUTRO</f>
        <v/>
      </c>
      <c r="BU421" s="3">
        <f>IFERROR(VLOOKUP(L421,SEGURO_TBL,3,0),"")</f>
        <v/>
      </c>
      <c r="BV421" s="3">
        <f>IF(BU421="",NEUTRO,MAX(0,MIN(100,100*(SEG_REF_MAX-BU421)/(SEG_REF_MAX-SEG_REF_MIN))))</f>
        <v/>
      </c>
      <c r="BW421" s="3">
        <f>W_ET*BS421+W_CONS*BT421+W_SEG*BV421</f>
        <v/>
      </c>
      <c r="BX421" s="3">
        <f>IF(N(AB421)&gt;0,AB421,IF(AND(R421="profesional",SG_LEGAL_ON=1),GAR_LEGAL,0))</f>
        <v/>
      </c>
      <c r="BY421" s="3">
        <f>SG_GAR*MIN(1,BX421/SG_GAR_FULL)+SG_AMPL*(AC421="sí")+SG_KMC*(AF421="sí")+SG_REV*(N(AE421)&gt;0)+SG_DEV*MIN(1,N(AG421)/SG_DEV_FULL)+SG_HIST*(W421="sí")</f>
        <v/>
      </c>
      <c r="BZ421" s="3">
        <f>IFERROR(VLOOKUP(L421,CARR_PEN_TBL,2,0),0)</f>
        <v/>
      </c>
      <c r="CA421" s="3">
        <f>W_FIAB*BL421+W_PRECIO*BM421+W_KMEDAD*BQ421+W_ANUNCIO*BR421+W_USO*BW421+W_SEGURIDAD*BY421-BZ421</f>
        <v/>
      </c>
      <c r="CB421" s="4">
        <f>IF(N(I421)&gt;0,I421,IFERROR(ROUND(_xlfn.NUMBERVALUE(LEFT(G421,FIND(" ",G421&amp;" ")-1),".")*1000,0),99999))</f>
        <v/>
      </c>
      <c r="CC421" s="3">
        <f>IF(R421="profesional",0,IF(O421&lt;CUOTA_VALOR_MAX,IF(AU421&gt;ITP_TRAMO_ALTO,SUMIFS(CF_CUOTA,CF_MAS,ITP_TRAMO_ALTO,CF_CCMIN,"&lt;="&amp;CB421,CF_CCMAX,"&gt;="&amp;CB421),IF(AU421&gt;ITP_TRAMO_BAJO,SUMIFS(CF_CUOTA,CF_MAS,ITP_TRAMO_BAJO,CF_CCMIN,"&lt;="&amp;CB421,CF_CCMAX,"&gt;="&amp;CB421),O421*ITP_TIPO)),O421*ITP_TIPO))</f>
        <v/>
      </c>
      <c r="CD421" s="4">
        <f>IF(R421="profesional",N(AK421),0)</f>
        <v/>
      </c>
      <c r="CE421" s="3">
        <f>IF(AND(R421="profesional",ISNUMBER(AK421),AL421="sí"),0,TASA_DGT)</f>
        <v/>
      </c>
      <c r="CF421" s="3">
        <f>INFORME_DGT</f>
        <v/>
      </c>
      <c r="CG421" s="4">
        <f>O421+CD421+CC421+CE421+CF421</f>
        <v/>
      </c>
      <c r="CH421" s="4">
        <f>CG421+N(BU421)</f>
        <v/>
      </c>
      <c r="CI421" s="3">
        <f>IF(CG421&lt;=TOTAL_MAX,"sí",IF(CG421&lt;=TOTAL_MAX+MARGEN_NEG,"negociar","no"))</f>
        <v/>
      </c>
      <c r="CJ421" s="4">
        <f>IF(CI421&lt;&gt;"no",COUNTIFS($CI$2:$CI$662,"&lt;&gt;no",$CA$2:$CA$662,"&gt;"&amp;CA421)+COUNTIFS($CI$2:CI421,"&lt;&gt;no",$CA$2:CA421,CA421),"")</f>
        <v/>
      </c>
    </row>
    <row r="422">
      <c r="A422" s="2" t="inlineStr">
        <is>
          <t>cochesnet:71827626</t>
        </is>
      </c>
      <c r="B422" s="2" t="inlineStr">
        <is>
          <t>cochesnet</t>
        </is>
      </c>
      <c r="C422" s="2" t="inlineStr">
        <is>
          <t>https://www.coches.net/renault-clio-rip-curl-15dci70-eco2-5p-diesel-2007-en-valencia-71827626-covo.aspx</t>
        </is>
      </c>
      <c r="D422" s="2" t="inlineStr">
        <is>
          <t>RENAULT Clio Rip Curl 1.5DCI70 eco2</t>
        </is>
      </c>
      <c r="E422" s="2" t="inlineStr">
        <is>
          <t>Renault</t>
        </is>
      </c>
      <c r="F422" s="2" t="inlineStr">
        <is>
          <t>Renault Clio</t>
        </is>
      </c>
      <c r="G422" s="2" t="inlineStr">
        <is>
          <t>1.5</t>
        </is>
      </c>
      <c r="H422" s="2" t="inlineStr">
        <is>
          <t>Rip Curl 1.5DCI70 eco2</t>
        </is>
      </c>
      <c r="I422" s="2" t="n"/>
      <c r="J422" s="2" t="n"/>
      <c r="K422" s="2" t="inlineStr">
        <is>
          <t>diesel</t>
        </is>
      </c>
      <c r="L422" s="2" t="inlineStr">
        <is>
          <t>utilitario</t>
        </is>
      </c>
      <c r="M422" s="2" t="n">
        <v>2007</v>
      </c>
      <c r="N422" s="2" t="n">
        <v>111800</v>
      </c>
      <c r="O422" s="2" t="n">
        <v>3500</v>
      </c>
      <c r="P422" s="2" t="inlineStr">
        <is>
          <t>manual</t>
        </is>
      </c>
      <c r="Q422" s="2" t="inlineStr">
        <is>
          <t>no</t>
        </is>
      </c>
      <c r="R422" s="2" t="inlineStr">
        <is>
          <t>particular</t>
        </is>
      </c>
      <c r="S422" s="2" t="inlineStr">
        <is>
          <t>Valencia</t>
        </is>
      </c>
      <c r="T422" s="2" t="inlineStr">
        <is>
          <t>2026-10-25T12:24:51Z</t>
        </is>
      </c>
      <c r="U422" s="2" t="n">
        <v>7</v>
      </c>
      <c r="V422" s="2" t="n"/>
      <c r="W422" s="2" t="n"/>
      <c r="X422" s="2" t="n"/>
      <c r="Y422" s="2" t="n">
        <v>1</v>
      </c>
      <c r="Z422" s="2" t="inlineStr">
        <is>
          <t>no</t>
        </is>
      </c>
      <c r="AA422" s="2" t="n"/>
      <c r="AB422" s="2" t="n"/>
      <c r="AC422" s="2" t="n"/>
      <c r="AD422" s="2" t="n"/>
      <c r="AE422" s="2" t="n"/>
      <c r="AF422" s="2" t="n"/>
      <c r="AG422" s="2" t="n"/>
      <c r="AH422" s="2" t="n">
        <v>3500</v>
      </c>
      <c r="AI422" s="2" t="n"/>
      <c r="AJ422" s="2" t="n"/>
      <c r="AK422" s="2" t="n"/>
      <c r="AL422" s="2" t="n"/>
      <c r="AM422" s="2" t="n">
        <v>0.1</v>
      </c>
      <c r="AN422" s="2" t="n">
        <v>3500</v>
      </c>
      <c r="AO422" s="2" t="n">
        <v>7</v>
      </c>
      <c r="AP422" s="2" t="inlineStr">
        <is>
          <t>modelo+año+km</t>
        </is>
      </c>
      <c r="AQ422" s="2" t="n"/>
      <c r="AR422" s="2" t="inlineStr">
        <is>
          <t>cuota fija ITP: &gt;12 años, hasta 1.500 cc; diésel: motor sin fuente de fiabilidad (fiabilidad limitada a neutra)</t>
        </is>
      </c>
      <c r="AS422" s="2" t="inlineStr">
        <is>
          <t>Itv y revision recien pasada. Consumo minimo. Un solo propietario señora de 79 años. Por fuera tiene golpecitos propios de la edad del conductor pero sin golpes grandes. La tapiceria y salpicadero perfecto excepto un lado asiento del conductor que por el uso. llantas, elevalunas eléctrico, cierre centralizado, aire acondicionado.</t>
        </is>
      </c>
      <c r="AT422" s="2" t="inlineStr">
        <is>
          <t>https://www.coches.net/renault-clio-rip-curl-15dci70-eco2-5p-diesel-2007-en-valencia-71827626-covo.aspx (window.__INITIAL_PROPS__.ad) /home/user/Alopecia/buscador-coches/raw/cochesnet/10e209fd0084eeaa.json</t>
        </is>
      </c>
      <c r="AU422" s="3">
        <f>MAX(ANIO_ACTUAL-M422,0)</f>
        <v/>
      </c>
      <c r="AV422" s="4">
        <f>N422/MAX(AU422,0.5)</f>
        <v/>
      </c>
      <c r="AW422" s="4">
        <f>F422</f>
        <v/>
      </c>
      <c r="AX422" s="3">
        <f>AW422&amp;"|"&amp;INT(M422/SEG_ANIO)*SEG_ANIO</f>
        <v/>
      </c>
      <c r="AY422" s="3">
        <f>AX422&amp;"|"&amp;INT(N422/SEG_KM)*SEG_KM</f>
        <v/>
      </c>
      <c r="AZ422" s="4">
        <f>COUNTIF($AW$2:$AW$662,AW422)</f>
        <v/>
      </c>
      <c r="BA422" s="4">
        <f>COUNTIF($AX$2:$AX$662,AX422)</f>
        <v/>
      </c>
      <c r="BB422" s="4">
        <f>COUNTIF($AY$2:$AY$662,AY422)</f>
        <v/>
      </c>
      <c r="BC422" s="3">
        <f t="array" ref="BC422">IF(N(AO422)&gt;=MIN_N,AN422,IF(BB422&gt;=MIN_N,MEDIAN(IF($AY$2:$AY$662=AY422,$O$2:$O$662)),IF(BA422&gt;=MIN_N,MEDIAN(IF($AX$2:$AX$662=AX422,$O$2:$O$662)),MEDIAN(IF($AW$2:$AW$662=AW422,$O$2:$O$662)))))</f>
        <v/>
      </c>
      <c r="BD422" s="3">
        <f>IF(N(AO422)&gt;=MIN_N,"mercado "&amp;AP422,IF(BB422&gt;=MIN_N,"modelo+año+km",IF(BA422&gt;=MIN_N,"modelo+año","modelo")))</f>
        <v/>
      </c>
      <c r="BE422" s="4">
        <f>(BC422-O422)/BC422</f>
        <v/>
      </c>
      <c r="BF422" s="3">
        <f>IF(OR(K422="hibrido",K422="glp"),"ECO",IF(K422="electrico","CERO",IF(K422="gasolina",IF(M422&gt;=GAS_C,"C",IF(M422&gt;=GAS_B,"B","A")),IF(K422="diesel",IF(M422&gt;=DIE_C,"C",IF(M422&gt;=DIE_B,"B","A")),""))))</f>
        <v/>
      </c>
      <c r="BG422" s="3">
        <f>IFERROR(VLOOKUP(F422,MOD_TBL,11,0),IFERROR(VLOOKUP(E422,OCU_TBL,2,0),NEUTRO))</f>
        <v/>
      </c>
      <c r="BH422" s="3">
        <f>SUMIFS(MOT_AJUSTE,MOT_MOTOR,G422,MOT_MARCA,E422,MOT_DESDE,"&lt;="&amp;M422,MOT_HASTA,"&gt;="&amp;M422)+SUMIFS(MOT_AJUSTE,MOT_MOTOR,G422,MOT_MARCA,"(todas)",MOT_DESDE,"&lt;="&amp;M422,MOT_HASTA,"&gt;="&amp;M422)</f>
        <v/>
      </c>
      <c r="BI422" s="3">
        <f>SUMIFS(COMB_AJUSTE,COMB_COMB,K422)</f>
        <v/>
      </c>
      <c r="BJ422" s="3">
        <f>COUNTIFS(MOT_MOTOR,G422,MOT_MARCA,E422,MOT_DESDE,"&lt;="&amp;M422,MOT_HASTA,"&gt;="&amp;M422)+COUNTIFS(MOT_MOTOR,G422,MOT_MARCA,"(todas)",MOT_DESDE,"&lt;="&amp;M422,MOT_HASTA,"&gt;="&amp;M422)</f>
        <v/>
      </c>
      <c r="BK422" s="3">
        <f>IF(AND(K422="diesel",BJ422=0),MIN(BG422,NEUTRO),BG422)</f>
        <v/>
      </c>
      <c r="BL422" s="4">
        <f>MAX(0,MIN(100,BK422+BH422+BI422))</f>
        <v/>
      </c>
      <c r="BM422" s="3">
        <f>MAX(0,MIN(100,50+BE422*PRECIO_PEND))</f>
        <v/>
      </c>
      <c r="BN422" s="3">
        <f>MAX(0,100*(1-N422/KM_MAX))</f>
        <v/>
      </c>
      <c r="BO422" s="3">
        <f>IF(AV422&lt;KMA_SOSP,IF(AA422="sí",100,KMA_PEN),IF(AV422&lt;=KMA_IDEAL_MAX,100,MAX(0,100*(KMA_CERO-AV422)/(KMA_CERO-KMA_IDEAL_MAX))))</f>
        <v/>
      </c>
      <c r="BP422" s="3">
        <f>MAX(0,MIN(100,100*(M422-ANIO_MIN)/(ANIO_ACTUAL-ANIO_MIN)))</f>
        <v/>
      </c>
      <c r="BQ422" s="3">
        <f>W_KMT*BN422+W_KMA*BO422+W_EDAD*BP422</f>
        <v/>
      </c>
      <c r="BR422" s="3">
        <f>P_ITV*(V422="sí")+P_LIBRO*(W422="sí")+P_CORREA*(X422="sí")+P_PROP*(Y422=1)+P_GAR*(Z422="sí")+P_FOTOS*MIN(1,N(U422)/FOTOS_OBJ)</f>
        <v/>
      </c>
      <c r="BS422" s="3">
        <f>IFERROR(VLOOKUP(BF422,ETQ_TBL,2,0),NEUTRO)</f>
        <v/>
      </c>
      <c r="BT422" s="3">
        <f>NEUTRO</f>
        <v/>
      </c>
      <c r="BU422" s="3">
        <f>IFERROR(VLOOKUP(L422,SEGURO_TBL,3,0),"")</f>
        <v/>
      </c>
      <c r="BV422" s="3">
        <f>IF(BU422="",NEUTRO,MAX(0,MIN(100,100*(SEG_REF_MAX-BU422)/(SEG_REF_MAX-SEG_REF_MIN))))</f>
        <v/>
      </c>
      <c r="BW422" s="3">
        <f>W_ET*BS422+W_CONS*BT422+W_SEG*BV422</f>
        <v/>
      </c>
      <c r="BX422" s="3">
        <f>IF(N(AB422)&gt;0,AB422,IF(AND(R422="profesional",SG_LEGAL_ON=1),GAR_LEGAL,0))</f>
        <v/>
      </c>
      <c r="BY422" s="3">
        <f>SG_GAR*MIN(1,BX422/SG_GAR_FULL)+SG_AMPL*(AC422="sí")+SG_KMC*(AF422="sí")+SG_REV*(N(AE422)&gt;0)+SG_DEV*MIN(1,N(AG422)/SG_DEV_FULL)+SG_HIST*(W422="sí")</f>
        <v/>
      </c>
      <c r="BZ422" s="3">
        <f>IFERROR(VLOOKUP(L422,CARR_PEN_TBL,2,0),0)</f>
        <v/>
      </c>
      <c r="CA422" s="3">
        <f>W_FIAB*BL422+W_PRECIO*BM422+W_KMEDAD*BQ422+W_ANUNCIO*BR422+W_USO*BW422+W_SEGURIDAD*BY422-BZ422</f>
        <v/>
      </c>
      <c r="CB422" s="4">
        <f>IF(N(I422)&gt;0,I422,IFERROR(ROUND(_xlfn.NUMBERVALUE(LEFT(G422,FIND(" ",G422&amp;" ")-1),".")*1000,0),99999))</f>
        <v/>
      </c>
      <c r="CC422" s="3">
        <f>IF(R422="profesional",0,IF(O422&lt;CUOTA_VALOR_MAX,IF(AU422&gt;ITP_TRAMO_ALTO,SUMIFS(CF_CUOTA,CF_MAS,ITP_TRAMO_ALTO,CF_CCMIN,"&lt;="&amp;CB422,CF_CCMAX,"&gt;="&amp;CB422),IF(AU422&gt;ITP_TRAMO_BAJO,SUMIFS(CF_CUOTA,CF_MAS,ITP_TRAMO_BAJO,CF_CCMIN,"&lt;="&amp;CB422,CF_CCMAX,"&gt;="&amp;CB422),O422*ITP_TIPO)),O422*ITP_TIPO))</f>
        <v/>
      </c>
      <c r="CD422" s="4">
        <f>IF(R422="profesional",N(AK422),0)</f>
        <v/>
      </c>
      <c r="CE422" s="3">
        <f>IF(AND(R422="profesional",ISNUMBER(AK422),AL422="sí"),0,TASA_DGT)</f>
        <v/>
      </c>
      <c r="CF422" s="3">
        <f>INFORME_DGT</f>
        <v/>
      </c>
      <c r="CG422" s="4">
        <f>O422+CD422+CC422+CE422+CF422</f>
        <v/>
      </c>
      <c r="CH422" s="4">
        <f>CG422+N(BU422)</f>
        <v/>
      </c>
      <c r="CI422" s="3">
        <f>IF(CG422&lt;=TOTAL_MAX,"sí",IF(CG422&lt;=TOTAL_MAX+MARGEN_NEG,"negociar","no"))</f>
        <v/>
      </c>
      <c r="CJ422" s="4">
        <f>IF(CI422&lt;&gt;"no",COUNTIFS($CI$2:$CI$662,"&lt;&gt;no",$CA$2:$CA$662,"&gt;"&amp;CA422)+COUNTIFS($CI$2:CI422,"&lt;&gt;no",$CA$2:CA422,CA422),"")</f>
        <v/>
      </c>
    </row>
    <row r="423">
      <c r="A423" s="2" t="inlineStr">
        <is>
          <t>cochesnet:71693535</t>
        </is>
      </c>
      <c r="B423" s="2" t="inlineStr">
        <is>
          <t>cochesnet</t>
        </is>
      </c>
      <c r="C423" s="2" t="inlineStr">
        <is>
          <t>https://www.coches.net/renault-clio-expression-12-16v-5p-gasolina-2007-en-valencia-71693535-covo.aspx</t>
        </is>
      </c>
      <c r="D423" s="2" t="inlineStr">
        <is>
          <t>RENAULT Clio Expression 1.2 16v</t>
        </is>
      </c>
      <c r="E423" s="2" t="inlineStr">
        <is>
          <t>Renault</t>
        </is>
      </c>
      <c r="F423" s="2" t="inlineStr">
        <is>
          <t>Renault Clio</t>
        </is>
      </c>
      <c r="G423" s="2" t="inlineStr">
        <is>
          <t>1.2</t>
        </is>
      </c>
      <c r="H423" s="2" t="inlineStr">
        <is>
          <t>Expression 1.2 16v</t>
        </is>
      </c>
      <c r="I423" s="2" t="n"/>
      <c r="J423" s="2" t="n"/>
      <c r="K423" s="2" t="inlineStr">
        <is>
          <t>gasolina</t>
        </is>
      </c>
      <c r="L423" s="2" t="inlineStr">
        <is>
          <t>utilitario</t>
        </is>
      </c>
      <c r="M423" s="2" t="n">
        <v>2007</v>
      </c>
      <c r="N423" s="2" t="n">
        <v>97000</v>
      </c>
      <c r="O423" s="2" t="n">
        <v>4000</v>
      </c>
      <c r="P423" s="2" t="inlineStr">
        <is>
          <t>manual</t>
        </is>
      </c>
      <c r="Q423" s="2" t="inlineStr">
        <is>
          <t>no</t>
        </is>
      </c>
      <c r="R423" s="2" t="inlineStr">
        <is>
          <t>profesional</t>
        </is>
      </c>
      <c r="S423" s="2" t="inlineStr">
        <is>
          <t>Beniparrell</t>
        </is>
      </c>
      <c r="T423" s="2" t="inlineStr">
        <is>
          <t>2026-10-07T12:15:49Z</t>
        </is>
      </c>
      <c r="U423" s="2" t="n">
        <v>14</v>
      </c>
      <c r="V423" s="2" t="n"/>
      <c r="W423" s="2" t="n"/>
      <c r="X423" s="2" t="n"/>
      <c r="Y423" s="2" t="n"/>
      <c r="Z423" s="2" t="inlineStr">
        <is>
          <t>sí</t>
        </is>
      </c>
      <c r="AA423" s="2" t="n"/>
      <c r="AB423" s="2" t="n">
        <v>12</v>
      </c>
      <c r="AC423" s="2" t="n"/>
      <c r="AD423" s="2" t="n"/>
      <c r="AE423" s="2" t="n"/>
      <c r="AF423" s="2" t="n"/>
      <c r="AG423" s="2" t="n"/>
      <c r="AH423" s="2" t="n">
        <v>4000</v>
      </c>
      <c r="AI423" s="2" t="n"/>
      <c r="AJ423" s="2" t="n"/>
      <c r="AK423" s="2" t="n"/>
      <c r="AL423" s="2" t="n"/>
      <c r="AM423" s="2" t="n">
        <v>10.2</v>
      </c>
      <c r="AN423" s="2" t="n">
        <v>3500</v>
      </c>
      <c r="AO423" s="2" t="n">
        <v>22</v>
      </c>
      <c r="AP423" s="2" t="inlineStr">
        <is>
          <t>modelo+año</t>
        </is>
      </c>
      <c r="AQ423" s="2" t="n"/>
      <c r="AR423" s="2" t="inlineStr">
        <is>
          <t>vendedor profesional: sin ITP (operación con IVA/REBU, confirmar en factura); gastos de gestión del vendedor no indicados: se suma la tasa DGT; preguntar el precio final</t>
        </is>
      </c>
      <c r="AS423" s="2" t="inlineStr">
        <is>
          <t>Este Renault Clio Expression cuenta con dirección asistida eléctrica progresiva, climatización con filtro de partículas y sistema de audio completo con control remoto en volante para máxima comodidad. Equipado con control de crucero, ordenador de viaje multifunción, elevalunas eléctricos delanteros y retrovisores exteriores eléctricos desempañables. Dispone de asientos ajustables en altura con reposacabezas regulables, cristales tintados y limpiaparabrisas con intermitencia variable. Etiqueta medioambiental C que facilita acceso a zonas de circulación restringida en núcleos urbanos.GARANTÍA 12 meses (cobertura de 25 componentes del vehículo )cobertura de reparación hasta 2.000e en cualquier taller)</t>
        </is>
      </c>
      <c r="AT423" s="2" t="inlineStr">
        <is>
          <t>https://www.coches.net/renault-clio-expression-12-16v-5p-gasolina-2007-en-valencia-71693535-covo.aspx (window.__INITIAL_PROPS__.ad) /home/user/Alopecia/buscador-coches/raw/cochesnet/d9d8e1e1790f9a56.json</t>
        </is>
      </c>
      <c r="AU423" s="3">
        <f>MAX(ANIO_ACTUAL-M423,0)</f>
        <v/>
      </c>
      <c r="AV423" s="4">
        <f>N423/MAX(AU423,0.5)</f>
        <v/>
      </c>
      <c r="AW423" s="4">
        <f>F423</f>
        <v/>
      </c>
      <c r="AX423" s="3">
        <f>AW423&amp;"|"&amp;INT(M423/SEG_ANIO)*SEG_ANIO</f>
        <v/>
      </c>
      <c r="AY423" s="3">
        <f>AX423&amp;"|"&amp;INT(N423/SEG_KM)*SEG_KM</f>
        <v/>
      </c>
      <c r="AZ423" s="4">
        <f>COUNTIF($AW$2:$AW$662,AW423)</f>
        <v/>
      </c>
      <c r="BA423" s="4">
        <f>COUNTIF($AX$2:$AX$662,AX423)</f>
        <v/>
      </c>
      <c r="BB423" s="4">
        <f>COUNTIF($AY$2:$AY$662,AY423)</f>
        <v/>
      </c>
      <c r="BC423" s="3">
        <f t="array" ref="BC423">IF(N(AO423)&gt;=MIN_N,AN423,IF(BB423&gt;=MIN_N,MEDIAN(IF($AY$2:$AY$662=AY423,$O$2:$O$662)),IF(BA423&gt;=MIN_N,MEDIAN(IF($AX$2:$AX$662=AX423,$O$2:$O$662)),MEDIAN(IF($AW$2:$AW$662=AW423,$O$2:$O$662)))))</f>
        <v/>
      </c>
      <c r="BD423" s="3">
        <f>IF(N(AO423)&gt;=MIN_N,"mercado "&amp;AP423,IF(BB423&gt;=MIN_N,"modelo+año+km",IF(BA423&gt;=MIN_N,"modelo+año","modelo")))</f>
        <v/>
      </c>
      <c r="BE423" s="4">
        <f>(BC423-O423)/BC423</f>
        <v/>
      </c>
      <c r="BF423" s="3">
        <f>IF(OR(K423="hibrido",K423="glp"),"ECO",IF(K423="electrico","CERO",IF(K423="gasolina",IF(M423&gt;=GAS_C,"C",IF(M423&gt;=GAS_B,"B","A")),IF(K423="diesel",IF(M423&gt;=DIE_C,"C",IF(M423&gt;=DIE_B,"B","A")),""))))</f>
        <v/>
      </c>
      <c r="BG423" s="3">
        <f>IFERROR(VLOOKUP(F423,MOD_TBL,11,0),IFERROR(VLOOKUP(E423,OCU_TBL,2,0),NEUTRO))</f>
        <v/>
      </c>
      <c r="BH423" s="3">
        <f>SUMIFS(MOT_AJUSTE,MOT_MOTOR,G423,MOT_MARCA,E423,MOT_DESDE,"&lt;="&amp;M423,MOT_HASTA,"&gt;="&amp;M423)+SUMIFS(MOT_AJUSTE,MOT_MOTOR,G423,MOT_MARCA,"(todas)",MOT_DESDE,"&lt;="&amp;M423,MOT_HASTA,"&gt;="&amp;M423)</f>
        <v/>
      </c>
      <c r="BI423" s="3">
        <f>SUMIFS(COMB_AJUSTE,COMB_COMB,K423)</f>
        <v/>
      </c>
      <c r="BJ423" s="3">
        <f>COUNTIFS(MOT_MOTOR,G423,MOT_MARCA,E423,MOT_DESDE,"&lt;="&amp;M423,MOT_HASTA,"&gt;="&amp;M423)+COUNTIFS(MOT_MOTOR,G423,MOT_MARCA,"(todas)",MOT_DESDE,"&lt;="&amp;M423,MOT_HASTA,"&gt;="&amp;M423)</f>
        <v/>
      </c>
      <c r="BK423" s="3">
        <f>IF(AND(K423="diesel",BJ423=0),MIN(BG423,NEUTRO),BG423)</f>
        <v/>
      </c>
      <c r="BL423" s="4">
        <f>MAX(0,MIN(100,BK423+BH423+BI423))</f>
        <v/>
      </c>
      <c r="BM423" s="3">
        <f>MAX(0,MIN(100,50+BE423*PRECIO_PEND))</f>
        <v/>
      </c>
      <c r="BN423" s="3">
        <f>MAX(0,100*(1-N423/KM_MAX))</f>
        <v/>
      </c>
      <c r="BO423" s="3">
        <f>IF(AV423&lt;KMA_SOSP,IF(AA423="sí",100,KMA_PEN),IF(AV423&lt;=KMA_IDEAL_MAX,100,MAX(0,100*(KMA_CERO-AV423)/(KMA_CERO-KMA_IDEAL_MAX))))</f>
        <v/>
      </c>
      <c r="BP423" s="3">
        <f>MAX(0,MIN(100,100*(M423-ANIO_MIN)/(ANIO_ACTUAL-ANIO_MIN)))</f>
        <v/>
      </c>
      <c r="BQ423" s="3">
        <f>W_KMT*BN423+W_KMA*BO423+W_EDAD*BP423</f>
        <v/>
      </c>
      <c r="BR423" s="3">
        <f>P_ITV*(V423="sí")+P_LIBRO*(W423="sí")+P_CORREA*(X423="sí")+P_PROP*(Y423=1)+P_GAR*(Z423="sí")+P_FOTOS*MIN(1,N(U423)/FOTOS_OBJ)</f>
        <v/>
      </c>
      <c r="BS423" s="3">
        <f>IFERROR(VLOOKUP(BF423,ETQ_TBL,2,0),NEUTRO)</f>
        <v/>
      </c>
      <c r="BT423" s="3">
        <f>NEUTRO</f>
        <v/>
      </c>
      <c r="BU423" s="3">
        <f>IFERROR(VLOOKUP(L423,SEGURO_TBL,3,0),"")</f>
        <v/>
      </c>
      <c r="BV423" s="3">
        <f>IF(BU423="",NEUTRO,MAX(0,MIN(100,100*(SEG_REF_MAX-BU423)/(SEG_REF_MAX-SEG_REF_MIN))))</f>
        <v/>
      </c>
      <c r="BW423" s="3">
        <f>W_ET*BS423+W_CONS*BT423+W_SEG*BV423</f>
        <v/>
      </c>
      <c r="BX423" s="3">
        <f>IF(N(AB423)&gt;0,AB423,IF(AND(R423="profesional",SG_LEGAL_ON=1),GAR_LEGAL,0))</f>
        <v/>
      </c>
      <c r="BY423" s="3">
        <f>SG_GAR*MIN(1,BX423/SG_GAR_FULL)+SG_AMPL*(AC423="sí")+SG_KMC*(AF423="sí")+SG_REV*(N(AE423)&gt;0)+SG_DEV*MIN(1,N(AG423)/SG_DEV_FULL)+SG_HIST*(W423="sí")</f>
        <v/>
      </c>
      <c r="BZ423" s="3">
        <f>IFERROR(VLOOKUP(L423,CARR_PEN_TBL,2,0),0)</f>
        <v/>
      </c>
      <c r="CA423" s="3">
        <f>W_FIAB*BL423+W_PRECIO*BM423+W_KMEDAD*BQ423+W_ANUNCIO*BR423+W_USO*BW423+W_SEGURIDAD*BY423-BZ423</f>
        <v/>
      </c>
      <c r="CB423" s="4">
        <f>IF(N(I423)&gt;0,I423,IFERROR(ROUND(_xlfn.NUMBERVALUE(LEFT(G423,FIND(" ",G423&amp;" ")-1),".")*1000,0),99999))</f>
        <v/>
      </c>
      <c r="CC423" s="3">
        <f>IF(R423="profesional",0,IF(O423&lt;CUOTA_VALOR_MAX,IF(AU423&gt;ITP_TRAMO_ALTO,SUMIFS(CF_CUOTA,CF_MAS,ITP_TRAMO_ALTO,CF_CCMIN,"&lt;="&amp;CB423,CF_CCMAX,"&gt;="&amp;CB423),IF(AU423&gt;ITP_TRAMO_BAJO,SUMIFS(CF_CUOTA,CF_MAS,ITP_TRAMO_BAJO,CF_CCMIN,"&lt;="&amp;CB423,CF_CCMAX,"&gt;="&amp;CB423),O423*ITP_TIPO)),O423*ITP_TIPO))</f>
        <v/>
      </c>
      <c r="CD423" s="4">
        <f>IF(R423="profesional",N(AK423),0)</f>
        <v/>
      </c>
      <c r="CE423" s="3">
        <f>IF(AND(R423="profesional",ISNUMBER(AK423),AL423="sí"),0,TASA_DGT)</f>
        <v/>
      </c>
      <c r="CF423" s="3">
        <f>INFORME_DGT</f>
        <v/>
      </c>
      <c r="CG423" s="4">
        <f>O423+CD423+CC423+CE423+CF423</f>
        <v/>
      </c>
      <c r="CH423" s="4">
        <f>CG423+N(BU423)</f>
        <v/>
      </c>
      <c r="CI423" s="3">
        <f>IF(CG423&lt;=TOTAL_MAX,"sí",IF(CG423&lt;=TOTAL_MAX+MARGEN_NEG,"negociar","no"))</f>
        <v/>
      </c>
      <c r="CJ423" s="4">
        <f>IF(CI423&lt;&gt;"no",COUNTIFS($CI$2:$CI$662,"&lt;&gt;no",$CA$2:$CA$662,"&gt;"&amp;CA423)+COUNTIFS($CI$2:CI423,"&lt;&gt;no",$CA$2:CA423,CA423),"")</f>
        <v/>
      </c>
    </row>
    <row r="424">
      <c r="A424" s="2" t="inlineStr">
        <is>
          <t>cochesnet:71728280</t>
        </is>
      </c>
      <c r="B424" s="2" t="inlineStr">
        <is>
          <t>cochesnet</t>
        </is>
      </c>
      <c r="C424" s="2" t="inlineStr">
        <is>
          <t>https://www.coches.net/renault-clio-luxe-privilege-15-dci105-5p-diesel-2006-en-valencia-71728280-covo.aspx</t>
        </is>
      </c>
      <c r="D424" s="2" t="inlineStr">
        <is>
          <t>RENAULT Clio Luxe Privilege 1.5 DCI105</t>
        </is>
      </c>
      <c r="E424" s="2" t="inlineStr">
        <is>
          <t>Renault</t>
        </is>
      </c>
      <c r="F424" s="2" t="inlineStr">
        <is>
          <t>Renault Clio</t>
        </is>
      </c>
      <c r="G424" s="2" t="inlineStr">
        <is>
          <t>1.5</t>
        </is>
      </c>
      <c r="H424" s="2" t="inlineStr">
        <is>
          <t>Luxe Privilege 1.5 DCI105</t>
        </is>
      </c>
      <c r="I424" s="2" t="n"/>
      <c r="J424" s="2" t="n"/>
      <c r="K424" s="2" t="inlineStr">
        <is>
          <t>diesel</t>
        </is>
      </c>
      <c r="L424" s="2" t="inlineStr">
        <is>
          <t>utilitario</t>
        </is>
      </c>
      <c r="M424" s="2" t="n">
        <v>2006</v>
      </c>
      <c r="N424" s="2" t="n">
        <v>205300</v>
      </c>
      <c r="O424" s="2" t="n">
        <v>2900</v>
      </c>
      <c r="P424" s="2" t="inlineStr">
        <is>
          <t>manual</t>
        </is>
      </c>
      <c r="Q424" s="2" t="inlineStr">
        <is>
          <t>no</t>
        </is>
      </c>
      <c r="R424" s="2" t="inlineStr">
        <is>
          <t>particular</t>
        </is>
      </c>
      <c r="S424" s="2" t="inlineStr">
        <is>
          <t>Valencia</t>
        </is>
      </c>
      <c r="T424" s="2" t="inlineStr">
        <is>
          <t>2026-10-12T19:35:02Z</t>
        </is>
      </c>
      <c r="U424" s="2" t="n">
        <v>13</v>
      </c>
      <c r="V424" s="2" t="n"/>
      <c r="W424" s="2" t="n"/>
      <c r="X424" s="2" t="n"/>
      <c r="Y424" s="2" t="n"/>
      <c r="Z424" s="2" t="inlineStr">
        <is>
          <t>no</t>
        </is>
      </c>
      <c r="AA424" s="2" t="n"/>
      <c r="AB424" s="2" t="n"/>
      <c r="AC424" s="2" t="n"/>
      <c r="AD424" s="2" t="n"/>
      <c r="AE424" s="2" t="n"/>
      <c r="AF424" s="2" t="n"/>
      <c r="AG424" s="2" t="n"/>
      <c r="AH424" s="2" t="n">
        <v>2900</v>
      </c>
      <c r="AI424" s="2" t="n"/>
      <c r="AJ424" s="2" t="n"/>
      <c r="AK424" s="2" t="n"/>
      <c r="AL424" s="2" t="n"/>
      <c r="AM424" s="2" t="n">
        <v>0.1</v>
      </c>
      <c r="AN424" s="2" t="n">
        <v>2300</v>
      </c>
      <c r="AO424" s="2" t="n">
        <v>5</v>
      </c>
      <c r="AP424" s="2" t="inlineStr">
        <is>
          <t>modelo+año+km</t>
        </is>
      </c>
      <c r="AQ424" s="2" t="n"/>
      <c r="AR424" s="2" t="inlineStr">
        <is>
          <t>cuota fija ITP: &gt;12 años, hasta 1.500 cc; diésel: motor sin fuente de fiabilidad (fiabilidad limitada a neutra)</t>
        </is>
      </c>
      <c r="AS424" s="2" t="inlineStr">
        <is>
          <t>Vendo Renault Clio III de 2006, 5 puertas, motor 1.5 dCi turbodiésel de 105 CV y 205.300 km.
Versión con muy buen equipamiento, destacando:
* Control de crucero.
* Caja de 6ta
* Climatizador automático.
* Encendido automático de luces mediante sensor crepuscular.
* Regulación de intensidad de la iluminación interior.
* Volante revestido en cuero
* Faros de xenón con ópticas de lupa y lavafaros.
* Antinieblas delanteros y traseros.
* Función de iluminación en curva: se encienden los antinieblas delanteros según el giro del volante.
* Llantas de aleación de 16 pulgadas.
* Arranque mediante tarjeta Renault.
Mantenimiento reciente:
* Motor del limpiaparabrisas cambiado hace 3 meses.
* Neumáticos delanteros nuevos, cambiados hace 2 meses.
* Neumáticos traseros con aproximadamente un 60 % de vida útil.
* Cambio de aceite y filtro realizado hace 2.000 km (hace 3 meses).
ITV vigente hasta el 13/08/2027.
Coche con buen equipamiento y mantenimiento reciente. Se puede ver y probar. Transferencia a cargo del comprador.
Escucho ofertas coherentes.</t>
        </is>
      </c>
      <c r="AT424" s="2" t="inlineStr">
        <is>
          <t>https://www.coches.net/renault-clio-luxe-privilege-15-dci105-5p-diesel-2006-en-valencia-71728280-covo.aspx (window.__INITIAL_PROPS__.ad) /home/user/Alopecia/buscador-coches/raw/cochesnet/3f171f1574d9313d.json</t>
        </is>
      </c>
      <c r="AU424" s="3">
        <f>MAX(ANIO_ACTUAL-M424,0)</f>
        <v/>
      </c>
      <c r="AV424" s="4">
        <f>N424/MAX(AU424,0.5)</f>
        <v/>
      </c>
      <c r="AW424" s="4">
        <f>F424</f>
        <v/>
      </c>
      <c r="AX424" s="3">
        <f>AW424&amp;"|"&amp;INT(M424/SEG_ANIO)*SEG_ANIO</f>
        <v/>
      </c>
      <c r="AY424" s="3">
        <f>AX424&amp;"|"&amp;INT(N424/SEG_KM)*SEG_KM</f>
        <v/>
      </c>
      <c r="AZ424" s="4">
        <f>COUNTIF($AW$2:$AW$662,AW424)</f>
        <v/>
      </c>
      <c r="BA424" s="4">
        <f>COUNTIF($AX$2:$AX$662,AX424)</f>
        <v/>
      </c>
      <c r="BB424" s="4">
        <f>COUNTIF($AY$2:$AY$662,AY424)</f>
        <v/>
      </c>
      <c r="BC424" s="3">
        <f t="array" ref="BC424">IF(N(AO424)&gt;=MIN_N,AN424,IF(BB424&gt;=MIN_N,MEDIAN(IF($AY$2:$AY$662=AY424,$O$2:$O$662)),IF(BA424&gt;=MIN_N,MEDIAN(IF($AX$2:$AX$662=AX424,$O$2:$O$662)),MEDIAN(IF($AW$2:$AW$662=AW424,$O$2:$O$662)))))</f>
        <v/>
      </c>
      <c r="BD424" s="3">
        <f>IF(N(AO424)&gt;=MIN_N,"mercado "&amp;AP424,IF(BB424&gt;=MIN_N,"modelo+año+km",IF(BA424&gt;=MIN_N,"modelo+año","modelo")))</f>
        <v/>
      </c>
      <c r="BE424" s="4">
        <f>(BC424-O424)/BC424</f>
        <v/>
      </c>
      <c r="BF424" s="3">
        <f>IF(OR(K424="hibrido",K424="glp"),"ECO",IF(K424="electrico","CERO",IF(K424="gasolina",IF(M424&gt;=GAS_C,"C",IF(M424&gt;=GAS_B,"B","A")),IF(K424="diesel",IF(M424&gt;=DIE_C,"C",IF(M424&gt;=DIE_B,"B","A")),""))))</f>
        <v/>
      </c>
      <c r="BG424" s="3">
        <f>IFERROR(VLOOKUP(F424,MOD_TBL,11,0),IFERROR(VLOOKUP(E424,OCU_TBL,2,0),NEUTRO))</f>
        <v/>
      </c>
      <c r="BH424" s="3">
        <f>SUMIFS(MOT_AJUSTE,MOT_MOTOR,G424,MOT_MARCA,E424,MOT_DESDE,"&lt;="&amp;M424,MOT_HASTA,"&gt;="&amp;M424)+SUMIFS(MOT_AJUSTE,MOT_MOTOR,G424,MOT_MARCA,"(todas)",MOT_DESDE,"&lt;="&amp;M424,MOT_HASTA,"&gt;="&amp;M424)</f>
        <v/>
      </c>
      <c r="BI424" s="3">
        <f>SUMIFS(COMB_AJUSTE,COMB_COMB,K424)</f>
        <v/>
      </c>
      <c r="BJ424" s="3">
        <f>COUNTIFS(MOT_MOTOR,G424,MOT_MARCA,E424,MOT_DESDE,"&lt;="&amp;M424,MOT_HASTA,"&gt;="&amp;M424)+COUNTIFS(MOT_MOTOR,G424,MOT_MARCA,"(todas)",MOT_DESDE,"&lt;="&amp;M424,MOT_HASTA,"&gt;="&amp;M424)</f>
        <v/>
      </c>
      <c r="BK424" s="3">
        <f>IF(AND(K424="diesel",BJ424=0),MIN(BG424,NEUTRO),BG424)</f>
        <v/>
      </c>
      <c r="BL424" s="4">
        <f>MAX(0,MIN(100,BK424+BH424+BI424))</f>
        <v/>
      </c>
      <c r="BM424" s="3">
        <f>MAX(0,MIN(100,50+BE424*PRECIO_PEND))</f>
        <v/>
      </c>
      <c r="BN424" s="3">
        <f>MAX(0,100*(1-N424/KM_MAX))</f>
        <v/>
      </c>
      <c r="BO424" s="3">
        <f>IF(AV424&lt;KMA_SOSP,IF(AA424="sí",100,KMA_PEN),IF(AV424&lt;=KMA_IDEAL_MAX,100,MAX(0,100*(KMA_CERO-AV424)/(KMA_CERO-KMA_IDEAL_MAX))))</f>
        <v/>
      </c>
      <c r="BP424" s="3">
        <f>MAX(0,MIN(100,100*(M424-ANIO_MIN)/(ANIO_ACTUAL-ANIO_MIN)))</f>
        <v/>
      </c>
      <c r="BQ424" s="3">
        <f>W_KMT*BN424+W_KMA*BO424+W_EDAD*BP424</f>
        <v/>
      </c>
      <c r="BR424" s="3">
        <f>P_ITV*(V424="sí")+P_LIBRO*(W424="sí")+P_CORREA*(X424="sí")+P_PROP*(Y424=1)+P_GAR*(Z424="sí")+P_FOTOS*MIN(1,N(U424)/FOTOS_OBJ)</f>
        <v/>
      </c>
      <c r="BS424" s="3">
        <f>IFERROR(VLOOKUP(BF424,ETQ_TBL,2,0),NEUTRO)</f>
        <v/>
      </c>
      <c r="BT424" s="3">
        <f>NEUTRO</f>
        <v/>
      </c>
      <c r="BU424" s="3">
        <f>IFERROR(VLOOKUP(L424,SEGURO_TBL,3,0),"")</f>
        <v/>
      </c>
      <c r="BV424" s="3">
        <f>IF(BU424="",NEUTRO,MAX(0,MIN(100,100*(SEG_REF_MAX-BU424)/(SEG_REF_MAX-SEG_REF_MIN))))</f>
        <v/>
      </c>
      <c r="BW424" s="3">
        <f>W_ET*BS424+W_CONS*BT424+W_SEG*BV424</f>
        <v/>
      </c>
      <c r="BX424" s="3">
        <f>IF(N(AB424)&gt;0,AB424,IF(AND(R424="profesional",SG_LEGAL_ON=1),GAR_LEGAL,0))</f>
        <v/>
      </c>
      <c r="BY424" s="3">
        <f>SG_GAR*MIN(1,BX424/SG_GAR_FULL)+SG_AMPL*(AC424="sí")+SG_KMC*(AF424="sí")+SG_REV*(N(AE424)&gt;0)+SG_DEV*MIN(1,N(AG424)/SG_DEV_FULL)+SG_HIST*(W424="sí")</f>
        <v/>
      </c>
      <c r="BZ424" s="3">
        <f>IFERROR(VLOOKUP(L424,CARR_PEN_TBL,2,0),0)</f>
        <v/>
      </c>
      <c r="CA424" s="3">
        <f>W_FIAB*BL424+W_PRECIO*BM424+W_KMEDAD*BQ424+W_ANUNCIO*BR424+W_USO*BW424+W_SEGURIDAD*BY424-BZ424</f>
        <v/>
      </c>
      <c r="CB424" s="4">
        <f>IF(N(I424)&gt;0,I424,IFERROR(ROUND(_xlfn.NUMBERVALUE(LEFT(G424,FIND(" ",G424&amp;" ")-1),".")*1000,0),99999))</f>
        <v/>
      </c>
      <c r="CC424" s="3">
        <f>IF(R424="profesional",0,IF(O424&lt;CUOTA_VALOR_MAX,IF(AU424&gt;ITP_TRAMO_ALTO,SUMIFS(CF_CUOTA,CF_MAS,ITP_TRAMO_ALTO,CF_CCMIN,"&lt;="&amp;CB424,CF_CCMAX,"&gt;="&amp;CB424),IF(AU424&gt;ITP_TRAMO_BAJO,SUMIFS(CF_CUOTA,CF_MAS,ITP_TRAMO_BAJO,CF_CCMIN,"&lt;="&amp;CB424,CF_CCMAX,"&gt;="&amp;CB424),O424*ITP_TIPO)),O424*ITP_TIPO))</f>
        <v/>
      </c>
      <c r="CD424" s="4">
        <f>IF(R424="profesional",N(AK424),0)</f>
        <v/>
      </c>
      <c r="CE424" s="3">
        <f>IF(AND(R424="profesional",ISNUMBER(AK424),AL424="sí"),0,TASA_DGT)</f>
        <v/>
      </c>
      <c r="CF424" s="3">
        <f>INFORME_DGT</f>
        <v/>
      </c>
      <c r="CG424" s="4">
        <f>O424+CD424+CC424+CE424+CF424</f>
        <v/>
      </c>
      <c r="CH424" s="4">
        <f>CG424+N(BU424)</f>
        <v/>
      </c>
      <c r="CI424" s="3">
        <f>IF(CG424&lt;=TOTAL_MAX,"sí",IF(CG424&lt;=TOTAL_MAX+MARGEN_NEG,"negociar","no"))</f>
        <v/>
      </c>
      <c r="CJ424" s="4">
        <f>IF(CI424&lt;&gt;"no",COUNTIFS($CI$2:$CI$662,"&lt;&gt;no",$CA$2:$CA$662,"&gt;"&amp;CA424)+COUNTIFS($CI$2:CI424,"&lt;&gt;no",$CA$2:CA424,CA424),"")</f>
        <v/>
      </c>
    </row>
    <row r="425">
      <c r="A425" s="2" t="inlineStr">
        <is>
          <t>cochesnet:71720117</t>
        </is>
      </c>
      <c r="B425" s="2" t="inlineStr">
        <is>
          <t>cochesnet</t>
        </is>
      </c>
      <c r="C425" s="2" t="inlineStr">
        <is>
          <t>https://www.coches.net/renault-clio-expression-12-16v-5p-gasolina-2006-en-valencia-71720117-covo.aspx</t>
        </is>
      </c>
      <c r="D425" s="2" t="inlineStr">
        <is>
          <t>RENAULT Clio Expression 1.2 16v</t>
        </is>
      </c>
      <c r="E425" s="2" t="inlineStr">
        <is>
          <t>Renault</t>
        </is>
      </c>
      <c r="F425" s="2" t="inlineStr">
        <is>
          <t>Renault Clio</t>
        </is>
      </c>
      <c r="G425" s="2" t="inlineStr">
        <is>
          <t>1.2</t>
        </is>
      </c>
      <c r="H425" s="2" t="inlineStr">
        <is>
          <t>Expression 1.2 16v</t>
        </is>
      </c>
      <c r="I425" s="2" t="n"/>
      <c r="J425" s="2" t="n"/>
      <c r="K425" s="2" t="inlineStr">
        <is>
          <t>gasolina</t>
        </is>
      </c>
      <c r="L425" s="2" t="inlineStr">
        <is>
          <t>utilitario</t>
        </is>
      </c>
      <c r="M425" s="2" t="n">
        <v>2006</v>
      </c>
      <c r="N425" s="2" t="n">
        <v>167000</v>
      </c>
      <c r="O425" s="2" t="n">
        <v>2700</v>
      </c>
      <c r="P425" s="2" t="inlineStr">
        <is>
          <t>manual</t>
        </is>
      </c>
      <c r="Q425" s="2" t="inlineStr">
        <is>
          <t>no</t>
        </is>
      </c>
      <c r="R425" s="2" t="inlineStr">
        <is>
          <t>particular</t>
        </is>
      </c>
      <c r="S425" s="2" t="inlineStr">
        <is>
          <t>Paiporta</t>
        </is>
      </c>
      <c r="T425" s="2" t="inlineStr">
        <is>
          <t>2026-10-10T19:47:45Z</t>
        </is>
      </c>
      <c r="U425" s="2" t="n">
        <v>8</v>
      </c>
      <c r="V425" s="2" t="n"/>
      <c r="W425" s="2" t="n"/>
      <c r="X425" s="2" t="n"/>
      <c r="Y425" s="2" t="n"/>
      <c r="Z425" s="2" t="inlineStr">
        <is>
          <t>no</t>
        </is>
      </c>
      <c r="AA425" s="2" t="n"/>
      <c r="AB425" s="2" t="n"/>
      <c r="AC425" s="2" t="n"/>
      <c r="AD425" s="2" t="n"/>
      <c r="AE425" s="2" t="n"/>
      <c r="AF425" s="2" t="n"/>
      <c r="AG425" s="2" t="n"/>
      <c r="AH425" s="2" t="n">
        <v>2700</v>
      </c>
      <c r="AI425" s="2" t="n"/>
      <c r="AJ425" s="2" t="n"/>
      <c r="AK425" s="2" t="n"/>
      <c r="AL425" s="2" t="n"/>
      <c r="AM425" s="2" t="n">
        <v>5.9</v>
      </c>
      <c r="AN425" s="2" t="n">
        <v>2700</v>
      </c>
      <c r="AO425" s="2" t="n">
        <v>5</v>
      </c>
      <c r="AP425" s="2" t="inlineStr">
        <is>
          <t>modelo+año+km</t>
        </is>
      </c>
      <c r="AQ425" s="2" t="n"/>
      <c r="AR425" s="2" t="inlineStr">
        <is>
          <t>cuota fija ITP: &gt;12 años, hasta 1.500 cc</t>
        </is>
      </c>
      <c r="AS425" s="2" t="inlineStr">
        <is>
          <t>Vendo mi Renault Clio Expression 1.2 16v, un berlina práctico y fiable que ha sido mi compañero de viajes durante estos años. Se trata de un vehículo funcional, ideal para quienes buscan movilidad urbana sin complicaciones ni gastos excesivos.
Este Clio ofrece exactamente lo que necesitas en un coche de estas características: un motor eficiente de 75 CV que combina consumo moderado con la potencia suficiente para el día a día, tanto en ciudad como en carretera. La transmisión manual garantiza un control directo y sencillo, mientras que su carrocería de cinco puertas y cinco plazas lo hace versátil para cualquier situación.
El precio de 2700 euros representa una oportunidad real para quien busque un vehículo económico sin renunciar a la funcionalidad. Estoy vendiendo por debajo del valor de mercado porque quiero que encuentre un nuevo propietario que lo aproveche.
Este Renault es el tipo de coche que funciona: sin pretensiones, sin sorpresas desagradables. Si buscas algo fiable, manejable y asequible, este es tu vehículo. Perfecto como primer coche, para desplazamientos diarios o como segundo vehículo para la familia.
Si tienes dudas sobre el estado específico del coche, sobre su mantenimiento o cualquier aspecto que no aparezca en la ficha, no dudes en contactarme. Estoy disponible para responder tus preguntas y facilitar una prueba si lo deseas.
Contacta conmigo hoy mismo a través del chat. No lo dejes escapar.
Precio negociable</t>
        </is>
      </c>
      <c r="AT425" s="2" t="inlineStr">
        <is>
          <t>https://www.coches.net/renault-clio-expression-12-16v-5p-gasolina-2006-en-valencia-71720117-covo.aspx (window.__INITIAL_PROPS__.ad) /home/user/Alopecia/buscador-coches/raw/cochesnet/3979d80b77cc3912.json</t>
        </is>
      </c>
      <c r="AU425" s="3">
        <f>MAX(ANIO_ACTUAL-M425,0)</f>
        <v/>
      </c>
      <c r="AV425" s="4">
        <f>N425/MAX(AU425,0.5)</f>
        <v/>
      </c>
      <c r="AW425" s="4">
        <f>F425</f>
        <v/>
      </c>
      <c r="AX425" s="3">
        <f>AW425&amp;"|"&amp;INT(M425/SEG_ANIO)*SEG_ANIO</f>
        <v/>
      </c>
      <c r="AY425" s="3">
        <f>AX425&amp;"|"&amp;INT(N425/SEG_KM)*SEG_KM</f>
        <v/>
      </c>
      <c r="AZ425" s="4">
        <f>COUNTIF($AW$2:$AW$662,AW425)</f>
        <v/>
      </c>
      <c r="BA425" s="4">
        <f>COUNTIF($AX$2:$AX$662,AX425)</f>
        <v/>
      </c>
      <c r="BB425" s="4">
        <f>COUNTIF($AY$2:$AY$662,AY425)</f>
        <v/>
      </c>
      <c r="BC425" s="3">
        <f t="array" ref="BC425">IF(N(AO425)&gt;=MIN_N,AN425,IF(BB425&gt;=MIN_N,MEDIAN(IF($AY$2:$AY$662=AY425,$O$2:$O$662)),IF(BA425&gt;=MIN_N,MEDIAN(IF($AX$2:$AX$662=AX425,$O$2:$O$662)),MEDIAN(IF($AW$2:$AW$662=AW425,$O$2:$O$662)))))</f>
        <v/>
      </c>
      <c r="BD425" s="3">
        <f>IF(N(AO425)&gt;=MIN_N,"mercado "&amp;AP425,IF(BB425&gt;=MIN_N,"modelo+año+km",IF(BA425&gt;=MIN_N,"modelo+año","modelo")))</f>
        <v/>
      </c>
      <c r="BE425" s="4">
        <f>(BC425-O425)/BC425</f>
        <v/>
      </c>
      <c r="BF425" s="3">
        <f>IF(OR(K425="hibrido",K425="glp"),"ECO",IF(K425="electrico","CERO",IF(K425="gasolina",IF(M425&gt;=GAS_C,"C",IF(M425&gt;=GAS_B,"B","A")),IF(K425="diesel",IF(M425&gt;=DIE_C,"C",IF(M425&gt;=DIE_B,"B","A")),""))))</f>
        <v/>
      </c>
      <c r="BG425" s="3">
        <f>IFERROR(VLOOKUP(F425,MOD_TBL,11,0),IFERROR(VLOOKUP(E425,OCU_TBL,2,0),NEUTRO))</f>
        <v/>
      </c>
      <c r="BH425" s="3">
        <f>SUMIFS(MOT_AJUSTE,MOT_MOTOR,G425,MOT_MARCA,E425,MOT_DESDE,"&lt;="&amp;M425,MOT_HASTA,"&gt;="&amp;M425)+SUMIFS(MOT_AJUSTE,MOT_MOTOR,G425,MOT_MARCA,"(todas)",MOT_DESDE,"&lt;="&amp;M425,MOT_HASTA,"&gt;="&amp;M425)</f>
        <v/>
      </c>
      <c r="BI425" s="3">
        <f>SUMIFS(COMB_AJUSTE,COMB_COMB,K425)</f>
        <v/>
      </c>
      <c r="BJ425" s="3">
        <f>COUNTIFS(MOT_MOTOR,G425,MOT_MARCA,E425,MOT_DESDE,"&lt;="&amp;M425,MOT_HASTA,"&gt;="&amp;M425)+COUNTIFS(MOT_MOTOR,G425,MOT_MARCA,"(todas)",MOT_DESDE,"&lt;="&amp;M425,MOT_HASTA,"&gt;="&amp;M425)</f>
        <v/>
      </c>
      <c r="BK425" s="3">
        <f>IF(AND(K425="diesel",BJ425=0),MIN(BG425,NEUTRO),BG425)</f>
        <v/>
      </c>
      <c r="BL425" s="4">
        <f>MAX(0,MIN(100,BK425+BH425+BI425))</f>
        <v/>
      </c>
      <c r="BM425" s="3">
        <f>MAX(0,MIN(100,50+BE425*PRECIO_PEND))</f>
        <v/>
      </c>
      <c r="BN425" s="3">
        <f>MAX(0,100*(1-N425/KM_MAX))</f>
        <v/>
      </c>
      <c r="BO425" s="3">
        <f>IF(AV425&lt;KMA_SOSP,IF(AA425="sí",100,KMA_PEN),IF(AV425&lt;=KMA_IDEAL_MAX,100,MAX(0,100*(KMA_CERO-AV425)/(KMA_CERO-KMA_IDEAL_MAX))))</f>
        <v/>
      </c>
      <c r="BP425" s="3">
        <f>MAX(0,MIN(100,100*(M425-ANIO_MIN)/(ANIO_ACTUAL-ANIO_MIN)))</f>
        <v/>
      </c>
      <c r="BQ425" s="3">
        <f>W_KMT*BN425+W_KMA*BO425+W_EDAD*BP425</f>
        <v/>
      </c>
      <c r="BR425" s="3">
        <f>P_ITV*(V425="sí")+P_LIBRO*(W425="sí")+P_CORREA*(X425="sí")+P_PROP*(Y425=1)+P_GAR*(Z425="sí")+P_FOTOS*MIN(1,N(U425)/FOTOS_OBJ)</f>
        <v/>
      </c>
      <c r="BS425" s="3">
        <f>IFERROR(VLOOKUP(BF425,ETQ_TBL,2,0),NEUTRO)</f>
        <v/>
      </c>
      <c r="BT425" s="3">
        <f>NEUTRO</f>
        <v/>
      </c>
      <c r="BU425" s="3">
        <f>IFERROR(VLOOKUP(L425,SEGURO_TBL,3,0),"")</f>
        <v/>
      </c>
      <c r="BV425" s="3">
        <f>IF(BU425="",NEUTRO,MAX(0,MIN(100,100*(SEG_REF_MAX-BU425)/(SEG_REF_MAX-SEG_REF_MIN))))</f>
        <v/>
      </c>
      <c r="BW425" s="3">
        <f>W_ET*BS425+W_CONS*BT425+W_SEG*BV425</f>
        <v/>
      </c>
      <c r="BX425" s="3">
        <f>IF(N(AB425)&gt;0,AB425,IF(AND(R425="profesional",SG_LEGAL_ON=1),GAR_LEGAL,0))</f>
        <v/>
      </c>
      <c r="BY425" s="3">
        <f>SG_GAR*MIN(1,BX425/SG_GAR_FULL)+SG_AMPL*(AC425="sí")+SG_KMC*(AF425="sí")+SG_REV*(N(AE425)&gt;0)+SG_DEV*MIN(1,N(AG425)/SG_DEV_FULL)+SG_HIST*(W425="sí")</f>
        <v/>
      </c>
      <c r="BZ425" s="3">
        <f>IFERROR(VLOOKUP(L425,CARR_PEN_TBL,2,0),0)</f>
        <v/>
      </c>
      <c r="CA425" s="3">
        <f>W_FIAB*BL425+W_PRECIO*BM425+W_KMEDAD*BQ425+W_ANUNCIO*BR425+W_USO*BW425+W_SEGURIDAD*BY425-BZ425</f>
        <v/>
      </c>
      <c r="CB425" s="4">
        <f>IF(N(I425)&gt;0,I425,IFERROR(ROUND(_xlfn.NUMBERVALUE(LEFT(G425,FIND(" ",G425&amp;" ")-1),".")*1000,0),99999))</f>
        <v/>
      </c>
      <c r="CC425" s="3">
        <f>IF(R425="profesional",0,IF(O425&lt;CUOTA_VALOR_MAX,IF(AU425&gt;ITP_TRAMO_ALTO,SUMIFS(CF_CUOTA,CF_MAS,ITP_TRAMO_ALTO,CF_CCMIN,"&lt;="&amp;CB425,CF_CCMAX,"&gt;="&amp;CB425),IF(AU425&gt;ITP_TRAMO_BAJO,SUMIFS(CF_CUOTA,CF_MAS,ITP_TRAMO_BAJO,CF_CCMIN,"&lt;="&amp;CB425,CF_CCMAX,"&gt;="&amp;CB425),O425*ITP_TIPO)),O425*ITP_TIPO))</f>
        <v/>
      </c>
      <c r="CD425" s="4">
        <f>IF(R425="profesional",N(AK425),0)</f>
        <v/>
      </c>
      <c r="CE425" s="3">
        <f>IF(AND(R425="profesional",ISNUMBER(AK425),AL425="sí"),0,TASA_DGT)</f>
        <v/>
      </c>
      <c r="CF425" s="3">
        <f>INFORME_DGT</f>
        <v/>
      </c>
      <c r="CG425" s="4">
        <f>O425+CD425+CC425+CE425+CF425</f>
        <v/>
      </c>
      <c r="CH425" s="4">
        <f>CG425+N(BU425)</f>
        <v/>
      </c>
      <c r="CI425" s="3">
        <f>IF(CG425&lt;=TOTAL_MAX,"sí",IF(CG425&lt;=TOTAL_MAX+MARGEN_NEG,"negociar","no"))</f>
        <v/>
      </c>
      <c r="CJ425" s="4">
        <f>IF(CI425&lt;&gt;"no",COUNTIFS($CI$2:$CI$662,"&lt;&gt;no",$CA$2:$CA$662,"&gt;"&amp;CA425)+COUNTIFS($CI$2:CI425,"&lt;&gt;no",$CA$2:CA425,CA425),"")</f>
        <v/>
      </c>
    </row>
    <row r="426">
      <c r="A426" s="2" t="inlineStr">
        <is>
          <t>cochesnet:71579391</t>
        </is>
      </c>
      <c r="B426" s="2" t="inlineStr">
        <is>
          <t>cochesnet</t>
        </is>
      </c>
      <c r="C426" s="2" t="inlineStr">
        <is>
          <t>https://www.coches.net/renault-clio-rip-curl-12-16v-3p-gasolina-2006-en-valencia-71579391-covo.aspx</t>
        </is>
      </c>
      <c r="D426" s="2" t="inlineStr">
        <is>
          <t>RENAULT Clio Rip Curl 1.2 16v</t>
        </is>
      </c>
      <c r="E426" s="2" t="inlineStr">
        <is>
          <t>Renault</t>
        </is>
      </c>
      <c r="F426" s="2" t="inlineStr">
        <is>
          <t>Renault Clio</t>
        </is>
      </c>
      <c r="G426" s="2" t="inlineStr">
        <is>
          <t>1.2</t>
        </is>
      </c>
      <c r="H426" s="2" t="inlineStr">
        <is>
          <t>Rip Curl 1.2 16v</t>
        </is>
      </c>
      <c r="I426" s="2" t="n"/>
      <c r="J426" s="2" t="n"/>
      <c r="K426" s="2" t="inlineStr">
        <is>
          <t>gasolina</t>
        </is>
      </c>
      <c r="L426" s="2" t="inlineStr">
        <is>
          <t>utilitario</t>
        </is>
      </c>
      <c r="M426" s="2" t="n">
        <v>2006</v>
      </c>
      <c r="N426" s="2" t="n">
        <v>194500</v>
      </c>
      <c r="O426" s="2" t="n">
        <v>3000</v>
      </c>
      <c r="P426" s="2" t="inlineStr">
        <is>
          <t>manual</t>
        </is>
      </c>
      <c r="Q426" s="2" t="inlineStr">
        <is>
          <t>no</t>
        </is>
      </c>
      <c r="R426" s="2" t="inlineStr">
        <is>
          <t>particular</t>
        </is>
      </c>
      <c r="S426" s="2" t="inlineStr">
        <is>
          <t>Paterna</t>
        </is>
      </c>
      <c r="T426" s="2" t="inlineStr">
        <is>
          <t>2026-09-23T11:52:13Z</t>
        </is>
      </c>
      <c r="U426" s="2" t="n"/>
      <c r="V426" s="2" t="n"/>
      <c r="W426" s="2" t="n"/>
      <c r="X426" s="2" t="n"/>
      <c r="Y426" s="2" t="n"/>
      <c r="Z426" s="2" t="inlineStr">
        <is>
          <t>no</t>
        </is>
      </c>
      <c r="AA426" s="2" t="n"/>
      <c r="AB426" s="2" t="n"/>
      <c r="AC426" s="2" t="n"/>
      <c r="AD426" s="2" t="n"/>
      <c r="AE426" s="2" t="n"/>
      <c r="AF426" s="2" t="n"/>
      <c r="AG426" s="2" t="n"/>
      <c r="AH426" s="2" t="n">
        <v>3000</v>
      </c>
      <c r="AI426" s="2" t="n"/>
      <c r="AJ426" s="2" t="n"/>
      <c r="AK426" s="2" t="n"/>
      <c r="AL426" s="2" t="n"/>
      <c r="AM426" s="2" t="n">
        <v>6.8</v>
      </c>
      <c r="AN426" s="2" t="n">
        <v>2700</v>
      </c>
      <c r="AO426" s="2" t="n">
        <v>5</v>
      </c>
      <c r="AP426" s="2" t="inlineStr">
        <is>
          <t>modelo+año+km</t>
        </is>
      </c>
      <c r="AQ426" s="2" t="n"/>
      <c r="AR426" s="2" t="inlineStr">
        <is>
          <t>cuota fija ITP: &gt;12 años, hasta 1.500 cc</t>
        </is>
      </c>
      <c r="AS426" s="2" t="inlineStr"/>
      <c r="AT426" s="2" t="inlineStr">
        <is>
          <t>https://www.coches.net/renault-clio-rip-curl-12-16v-3p-gasolina-2006-en-valencia-71579391-covo.aspx (window.__INITIAL_PROPS__.ad) /home/user/Alopecia/buscador-coches/raw/cochesnet/555967df191ed3b8.json</t>
        </is>
      </c>
      <c r="AU426" s="3">
        <f>MAX(ANIO_ACTUAL-M426,0)</f>
        <v/>
      </c>
      <c r="AV426" s="4">
        <f>N426/MAX(AU426,0.5)</f>
        <v/>
      </c>
      <c r="AW426" s="4">
        <f>F426</f>
        <v/>
      </c>
      <c r="AX426" s="3">
        <f>AW426&amp;"|"&amp;INT(M426/SEG_ANIO)*SEG_ANIO</f>
        <v/>
      </c>
      <c r="AY426" s="3">
        <f>AX426&amp;"|"&amp;INT(N426/SEG_KM)*SEG_KM</f>
        <v/>
      </c>
      <c r="AZ426" s="4">
        <f>COUNTIF($AW$2:$AW$662,AW426)</f>
        <v/>
      </c>
      <c r="BA426" s="4">
        <f>COUNTIF($AX$2:$AX$662,AX426)</f>
        <v/>
      </c>
      <c r="BB426" s="4">
        <f>COUNTIF($AY$2:$AY$662,AY426)</f>
        <v/>
      </c>
      <c r="BC426" s="3">
        <f t="array" ref="BC426">IF(N(AO426)&gt;=MIN_N,AN426,IF(BB426&gt;=MIN_N,MEDIAN(IF($AY$2:$AY$662=AY426,$O$2:$O$662)),IF(BA426&gt;=MIN_N,MEDIAN(IF($AX$2:$AX$662=AX426,$O$2:$O$662)),MEDIAN(IF($AW$2:$AW$662=AW426,$O$2:$O$662)))))</f>
        <v/>
      </c>
      <c r="BD426" s="3">
        <f>IF(N(AO426)&gt;=MIN_N,"mercado "&amp;AP426,IF(BB426&gt;=MIN_N,"modelo+año+km",IF(BA426&gt;=MIN_N,"modelo+año","modelo")))</f>
        <v/>
      </c>
      <c r="BE426" s="4">
        <f>(BC426-O426)/BC426</f>
        <v/>
      </c>
      <c r="BF426" s="3">
        <f>IF(OR(K426="hibrido",K426="glp"),"ECO",IF(K426="electrico","CERO",IF(K426="gasolina",IF(M426&gt;=GAS_C,"C",IF(M426&gt;=GAS_B,"B","A")),IF(K426="diesel",IF(M426&gt;=DIE_C,"C",IF(M426&gt;=DIE_B,"B","A")),""))))</f>
        <v/>
      </c>
      <c r="BG426" s="3">
        <f>IFERROR(VLOOKUP(F426,MOD_TBL,11,0),IFERROR(VLOOKUP(E426,OCU_TBL,2,0),NEUTRO))</f>
        <v/>
      </c>
      <c r="BH426" s="3">
        <f>SUMIFS(MOT_AJUSTE,MOT_MOTOR,G426,MOT_MARCA,E426,MOT_DESDE,"&lt;="&amp;M426,MOT_HASTA,"&gt;="&amp;M426)+SUMIFS(MOT_AJUSTE,MOT_MOTOR,G426,MOT_MARCA,"(todas)",MOT_DESDE,"&lt;="&amp;M426,MOT_HASTA,"&gt;="&amp;M426)</f>
        <v/>
      </c>
      <c r="BI426" s="3">
        <f>SUMIFS(COMB_AJUSTE,COMB_COMB,K426)</f>
        <v/>
      </c>
      <c r="BJ426" s="3">
        <f>COUNTIFS(MOT_MOTOR,G426,MOT_MARCA,E426,MOT_DESDE,"&lt;="&amp;M426,MOT_HASTA,"&gt;="&amp;M426)+COUNTIFS(MOT_MOTOR,G426,MOT_MARCA,"(todas)",MOT_DESDE,"&lt;="&amp;M426,MOT_HASTA,"&gt;="&amp;M426)</f>
        <v/>
      </c>
      <c r="BK426" s="3">
        <f>IF(AND(K426="diesel",BJ426=0),MIN(BG426,NEUTRO),BG426)</f>
        <v/>
      </c>
      <c r="BL426" s="4">
        <f>MAX(0,MIN(100,BK426+BH426+BI426))</f>
        <v/>
      </c>
      <c r="BM426" s="3">
        <f>MAX(0,MIN(100,50+BE426*PRECIO_PEND))</f>
        <v/>
      </c>
      <c r="BN426" s="3">
        <f>MAX(0,100*(1-N426/KM_MAX))</f>
        <v/>
      </c>
      <c r="BO426" s="3">
        <f>IF(AV426&lt;KMA_SOSP,IF(AA426="sí",100,KMA_PEN),IF(AV426&lt;=KMA_IDEAL_MAX,100,MAX(0,100*(KMA_CERO-AV426)/(KMA_CERO-KMA_IDEAL_MAX))))</f>
        <v/>
      </c>
      <c r="BP426" s="3">
        <f>MAX(0,MIN(100,100*(M426-ANIO_MIN)/(ANIO_ACTUAL-ANIO_MIN)))</f>
        <v/>
      </c>
      <c r="BQ426" s="3">
        <f>W_KMT*BN426+W_KMA*BO426+W_EDAD*BP426</f>
        <v/>
      </c>
      <c r="BR426" s="3">
        <f>P_ITV*(V426="sí")+P_LIBRO*(W426="sí")+P_CORREA*(X426="sí")+P_PROP*(Y426=1)+P_GAR*(Z426="sí")+P_FOTOS*MIN(1,N(U426)/FOTOS_OBJ)</f>
        <v/>
      </c>
      <c r="BS426" s="3">
        <f>IFERROR(VLOOKUP(BF426,ETQ_TBL,2,0),NEUTRO)</f>
        <v/>
      </c>
      <c r="BT426" s="3">
        <f>NEUTRO</f>
        <v/>
      </c>
      <c r="BU426" s="3">
        <f>IFERROR(VLOOKUP(L426,SEGURO_TBL,3,0),"")</f>
        <v/>
      </c>
      <c r="BV426" s="3">
        <f>IF(BU426="",NEUTRO,MAX(0,MIN(100,100*(SEG_REF_MAX-BU426)/(SEG_REF_MAX-SEG_REF_MIN))))</f>
        <v/>
      </c>
      <c r="BW426" s="3">
        <f>W_ET*BS426+W_CONS*BT426+W_SEG*BV426</f>
        <v/>
      </c>
      <c r="BX426" s="3">
        <f>IF(N(AB426)&gt;0,AB426,IF(AND(R426="profesional",SG_LEGAL_ON=1),GAR_LEGAL,0))</f>
        <v/>
      </c>
      <c r="BY426" s="3">
        <f>SG_GAR*MIN(1,BX426/SG_GAR_FULL)+SG_AMPL*(AC426="sí")+SG_KMC*(AF426="sí")+SG_REV*(N(AE426)&gt;0)+SG_DEV*MIN(1,N(AG426)/SG_DEV_FULL)+SG_HIST*(W426="sí")</f>
        <v/>
      </c>
      <c r="BZ426" s="3">
        <f>IFERROR(VLOOKUP(L426,CARR_PEN_TBL,2,0),0)</f>
        <v/>
      </c>
      <c r="CA426" s="3">
        <f>W_FIAB*BL426+W_PRECIO*BM426+W_KMEDAD*BQ426+W_ANUNCIO*BR426+W_USO*BW426+W_SEGURIDAD*BY426-BZ426</f>
        <v/>
      </c>
      <c r="CB426" s="4">
        <f>IF(N(I426)&gt;0,I426,IFERROR(ROUND(_xlfn.NUMBERVALUE(LEFT(G426,FIND(" ",G426&amp;" ")-1),".")*1000,0),99999))</f>
        <v/>
      </c>
      <c r="CC426" s="3">
        <f>IF(R426="profesional",0,IF(O426&lt;CUOTA_VALOR_MAX,IF(AU426&gt;ITP_TRAMO_ALTO,SUMIFS(CF_CUOTA,CF_MAS,ITP_TRAMO_ALTO,CF_CCMIN,"&lt;="&amp;CB426,CF_CCMAX,"&gt;="&amp;CB426),IF(AU426&gt;ITP_TRAMO_BAJO,SUMIFS(CF_CUOTA,CF_MAS,ITP_TRAMO_BAJO,CF_CCMIN,"&lt;="&amp;CB426,CF_CCMAX,"&gt;="&amp;CB426),O426*ITP_TIPO)),O426*ITP_TIPO))</f>
        <v/>
      </c>
      <c r="CD426" s="4">
        <f>IF(R426="profesional",N(AK426),0)</f>
        <v/>
      </c>
      <c r="CE426" s="3">
        <f>IF(AND(R426="profesional",ISNUMBER(AK426),AL426="sí"),0,TASA_DGT)</f>
        <v/>
      </c>
      <c r="CF426" s="3">
        <f>INFORME_DGT</f>
        <v/>
      </c>
      <c r="CG426" s="4">
        <f>O426+CD426+CC426+CE426+CF426</f>
        <v/>
      </c>
      <c r="CH426" s="4">
        <f>CG426+N(BU426)</f>
        <v/>
      </c>
      <c r="CI426" s="3">
        <f>IF(CG426&lt;=TOTAL_MAX,"sí",IF(CG426&lt;=TOTAL_MAX+MARGEN_NEG,"negociar","no"))</f>
        <v/>
      </c>
      <c r="CJ426" s="4">
        <f>IF(CI426&lt;&gt;"no",COUNTIFS($CI$2:$CI$662,"&lt;&gt;no",$CA$2:$CA$662,"&gt;"&amp;CA426)+COUNTIFS($CI$2:CI426,"&lt;&gt;no",$CA$2:CA426,CA426),"")</f>
        <v/>
      </c>
    </row>
    <row r="427">
      <c r="A427" s="2" t="inlineStr">
        <is>
          <t>cochesnet:61211557</t>
        </is>
      </c>
      <c r="B427" s="2" t="inlineStr">
        <is>
          <t>cochesnet</t>
        </is>
      </c>
      <c r="C427" s="2" t="inlineStr">
        <is>
          <t>https://www.coches.net/renault-clio-authentique-12-16v-5p-gasolina-2006-en-valencia-61211557-covo.aspx</t>
        </is>
      </c>
      <c r="D427" s="2" t="inlineStr">
        <is>
          <t>RENAULT Clio Authentique 1.2 16v</t>
        </is>
      </c>
      <c r="E427" s="2" t="inlineStr">
        <is>
          <t>Renault</t>
        </is>
      </c>
      <c r="F427" s="2" t="inlineStr">
        <is>
          <t>Renault Clio</t>
        </is>
      </c>
      <c r="G427" s="2" t="inlineStr">
        <is>
          <t>1.2</t>
        </is>
      </c>
      <c r="H427" s="2" t="inlineStr">
        <is>
          <t>Authentique 1.2 16v</t>
        </is>
      </c>
      <c r="I427" s="2" t="n"/>
      <c r="J427" s="2" t="n"/>
      <c r="K427" s="2" t="inlineStr">
        <is>
          <t>gasolina</t>
        </is>
      </c>
      <c r="L427" s="2" t="inlineStr">
        <is>
          <t>utilitario</t>
        </is>
      </c>
      <c r="M427" s="2" t="n">
        <v>2006</v>
      </c>
      <c r="N427" s="2" t="n">
        <v>168250</v>
      </c>
      <c r="O427" s="2" t="n">
        <v>3000</v>
      </c>
      <c r="P427" s="2" t="inlineStr">
        <is>
          <t>manual</t>
        </is>
      </c>
      <c r="Q427" s="2" t="inlineStr">
        <is>
          <t>no</t>
        </is>
      </c>
      <c r="R427" s="2" t="inlineStr">
        <is>
          <t>particular</t>
        </is>
      </c>
      <c r="S427" s="2" t="inlineStr">
        <is>
          <t>Rafelbuñol / Rafelbunyol</t>
        </is>
      </c>
      <c r="T427" s="2" t="inlineStr">
        <is>
          <t>2026-08-17T20:19:04Z</t>
        </is>
      </c>
      <c r="U427" s="2" t="n">
        <v>6</v>
      </c>
      <c r="V427" s="2" t="n"/>
      <c r="W427" s="2" t="n"/>
      <c r="X427" s="2" t="n"/>
      <c r="Y427" s="2" t="n"/>
      <c r="Z427" s="2" t="inlineStr">
        <is>
          <t>no</t>
        </is>
      </c>
      <c r="AA427" s="2" t="n"/>
      <c r="AB427" s="2" t="n"/>
      <c r="AC427" s="2" t="n"/>
      <c r="AD427" s="2" t="n"/>
      <c r="AE427" s="2" t="n"/>
      <c r="AF427" s="2" t="n"/>
      <c r="AG427" s="2" t="n"/>
      <c r="AH427" s="2" t="n">
        <v>3000</v>
      </c>
      <c r="AI427" s="2" t="n"/>
      <c r="AJ427" s="2" t="n"/>
      <c r="AK427" s="2" t="n"/>
      <c r="AL427" s="2" t="n"/>
      <c r="AM427" s="2" t="n"/>
      <c r="AN427" s="2" t="n">
        <v>2700</v>
      </c>
      <c r="AO427" s="2" t="n">
        <v>5</v>
      </c>
      <c r="AP427" s="2" t="inlineStr">
        <is>
          <t>modelo+año+km</t>
        </is>
      </c>
      <c r="AQ427" s="2" t="n"/>
      <c r="AR427" s="2" t="inlineStr">
        <is>
          <t>cuota fija ITP: &gt;12 años, hasta 1.500 cc; distancia no verificable (el anuncio solo indica la provincia): confirmar que está a &lt;= 70 km</t>
        </is>
      </c>
      <c r="AS427" s="2" t="inlineStr">
        <is>
          <t xml:space="preserve">Clio en espectaculares condiciones. Tiene algunos rayones en la chapa producto del uso pero el motor va de locos. No hace un solo ruido, funciona a la perfección el aire acondicionado. Gasta muy poco combustible. Todos los mantenimientos al día. Lo vendo porque busco un coche más grande.
ITV hecha 30/01/2026
Distribución completa  16/08/2025
</t>
        </is>
      </c>
      <c r="AT427" s="2" t="inlineStr">
        <is>
          <t>https://www.coches.net/renault-clio-authentique-12-16v-5p-gasolina-2006-en-valencia-61211557-covo.aspx (window.__INITIAL_PROPS__.ad) /home/user/Alopecia/buscador-coches/raw/cochesnet/41af1197a7b6372b.json</t>
        </is>
      </c>
      <c r="AU427" s="3">
        <f>MAX(ANIO_ACTUAL-M427,0)</f>
        <v/>
      </c>
      <c r="AV427" s="4">
        <f>N427/MAX(AU427,0.5)</f>
        <v/>
      </c>
      <c r="AW427" s="4">
        <f>F427</f>
        <v/>
      </c>
      <c r="AX427" s="3">
        <f>AW427&amp;"|"&amp;INT(M427/SEG_ANIO)*SEG_ANIO</f>
        <v/>
      </c>
      <c r="AY427" s="3">
        <f>AX427&amp;"|"&amp;INT(N427/SEG_KM)*SEG_KM</f>
        <v/>
      </c>
      <c r="AZ427" s="4">
        <f>COUNTIF($AW$2:$AW$662,AW427)</f>
        <v/>
      </c>
      <c r="BA427" s="4">
        <f>COUNTIF($AX$2:$AX$662,AX427)</f>
        <v/>
      </c>
      <c r="BB427" s="4">
        <f>COUNTIF($AY$2:$AY$662,AY427)</f>
        <v/>
      </c>
      <c r="BC427" s="3">
        <f t="array" ref="BC427">IF(N(AO427)&gt;=MIN_N,AN427,IF(BB427&gt;=MIN_N,MEDIAN(IF($AY$2:$AY$662=AY427,$O$2:$O$662)),IF(BA427&gt;=MIN_N,MEDIAN(IF($AX$2:$AX$662=AX427,$O$2:$O$662)),MEDIAN(IF($AW$2:$AW$662=AW427,$O$2:$O$662)))))</f>
        <v/>
      </c>
      <c r="BD427" s="3">
        <f>IF(N(AO427)&gt;=MIN_N,"mercado "&amp;AP427,IF(BB427&gt;=MIN_N,"modelo+año+km",IF(BA427&gt;=MIN_N,"modelo+año","modelo")))</f>
        <v/>
      </c>
      <c r="BE427" s="4">
        <f>(BC427-O427)/BC427</f>
        <v/>
      </c>
      <c r="BF427" s="3">
        <f>IF(OR(K427="hibrido",K427="glp"),"ECO",IF(K427="electrico","CERO",IF(K427="gasolina",IF(M427&gt;=GAS_C,"C",IF(M427&gt;=GAS_B,"B","A")),IF(K427="diesel",IF(M427&gt;=DIE_C,"C",IF(M427&gt;=DIE_B,"B","A")),""))))</f>
        <v/>
      </c>
      <c r="BG427" s="3">
        <f>IFERROR(VLOOKUP(F427,MOD_TBL,11,0),IFERROR(VLOOKUP(E427,OCU_TBL,2,0),NEUTRO))</f>
        <v/>
      </c>
      <c r="BH427" s="3">
        <f>SUMIFS(MOT_AJUSTE,MOT_MOTOR,G427,MOT_MARCA,E427,MOT_DESDE,"&lt;="&amp;M427,MOT_HASTA,"&gt;="&amp;M427)+SUMIFS(MOT_AJUSTE,MOT_MOTOR,G427,MOT_MARCA,"(todas)",MOT_DESDE,"&lt;="&amp;M427,MOT_HASTA,"&gt;="&amp;M427)</f>
        <v/>
      </c>
      <c r="BI427" s="3">
        <f>SUMIFS(COMB_AJUSTE,COMB_COMB,K427)</f>
        <v/>
      </c>
      <c r="BJ427" s="3">
        <f>COUNTIFS(MOT_MOTOR,G427,MOT_MARCA,E427,MOT_DESDE,"&lt;="&amp;M427,MOT_HASTA,"&gt;="&amp;M427)+COUNTIFS(MOT_MOTOR,G427,MOT_MARCA,"(todas)",MOT_DESDE,"&lt;="&amp;M427,MOT_HASTA,"&gt;="&amp;M427)</f>
        <v/>
      </c>
      <c r="BK427" s="3">
        <f>IF(AND(K427="diesel",BJ427=0),MIN(BG427,NEUTRO),BG427)</f>
        <v/>
      </c>
      <c r="BL427" s="4">
        <f>MAX(0,MIN(100,BK427+BH427+BI427))</f>
        <v/>
      </c>
      <c r="BM427" s="3">
        <f>MAX(0,MIN(100,50+BE427*PRECIO_PEND))</f>
        <v/>
      </c>
      <c r="BN427" s="3">
        <f>MAX(0,100*(1-N427/KM_MAX))</f>
        <v/>
      </c>
      <c r="BO427" s="3">
        <f>IF(AV427&lt;KMA_SOSP,IF(AA427="sí",100,KMA_PEN),IF(AV427&lt;=KMA_IDEAL_MAX,100,MAX(0,100*(KMA_CERO-AV427)/(KMA_CERO-KMA_IDEAL_MAX))))</f>
        <v/>
      </c>
      <c r="BP427" s="3">
        <f>MAX(0,MIN(100,100*(M427-ANIO_MIN)/(ANIO_ACTUAL-ANIO_MIN)))</f>
        <v/>
      </c>
      <c r="BQ427" s="3">
        <f>W_KMT*BN427+W_KMA*BO427+W_EDAD*BP427</f>
        <v/>
      </c>
      <c r="BR427" s="3">
        <f>P_ITV*(V427="sí")+P_LIBRO*(W427="sí")+P_CORREA*(X427="sí")+P_PROP*(Y427=1)+P_GAR*(Z427="sí")+P_FOTOS*MIN(1,N(U427)/FOTOS_OBJ)</f>
        <v/>
      </c>
      <c r="BS427" s="3">
        <f>IFERROR(VLOOKUP(BF427,ETQ_TBL,2,0),NEUTRO)</f>
        <v/>
      </c>
      <c r="BT427" s="3">
        <f>NEUTRO</f>
        <v/>
      </c>
      <c r="BU427" s="3">
        <f>IFERROR(VLOOKUP(L427,SEGURO_TBL,3,0),"")</f>
        <v/>
      </c>
      <c r="BV427" s="3">
        <f>IF(BU427="",NEUTRO,MAX(0,MIN(100,100*(SEG_REF_MAX-BU427)/(SEG_REF_MAX-SEG_REF_MIN))))</f>
        <v/>
      </c>
      <c r="BW427" s="3">
        <f>W_ET*BS427+W_CONS*BT427+W_SEG*BV427</f>
        <v/>
      </c>
      <c r="BX427" s="3">
        <f>IF(N(AB427)&gt;0,AB427,IF(AND(R427="profesional",SG_LEGAL_ON=1),GAR_LEGAL,0))</f>
        <v/>
      </c>
      <c r="BY427" s="3">
        <f>SG_GAR*MIN(1,BX427/SG_GAR_FULL)+SG_AMPL*(AC427="sí")+SG_KMC*(AF427="sí")+SG_REV*(N(AE427)&gt;0)+SG_DEV*MIN(1,N(AG427)/SG_DEV_FULL)+SG_HIST*(W427="sí")</f>
        <v/>
      </c>
      <c r="BZ427" s="3">
        <f>IFERROR(VLOOKUP(L427,CARR_PEN_TBL,2,0),0)</f>
        <v/>
      </c>
      <c r="CA427" s="3">
        <f>W_FIAB*BL427+W_PRECIO*BM427+W_KMEDAD*BQ427+W_ANUNCIO*BR427+W_USO*BW427+W_SEGURIDAD*BY427-BZ427</f>
        <v/>
      </c>
      <c r="CB427" s="4">
        <f>IF(N(I427)&gt;0,I427,IFERROR(ROUND(_xlfn.NUMBERVALUE(LEFT(G427,FIND(" ",G427&amp;" ")-1),".")*1000,0),99999))</f>
        <v/>
      </c>
      <c r="CC427" s="3">
        <f>IF(R427="profesional",0,IF(O427&lt;CUOTA_VALOR_MAX,IF(AU427&gt;ITP_TRAMO_ALTO,SUMIFS(CF_CUOTA,CF_MAS,ITP_TRAMO_ALTO,CF_CCMIN,"&lt;="&amp;CB427,CF_CCMAX,"&gt;="&amp;CB427),IF(AU427&gt;ITP_TRAMO_BAJO,SUMIFS(CF_CUOTA,CF_MAS,ITP_TRAMO_BAJO,CF_CCMIN,"&lt;="&amp;CB427,CF_CCMAX,"&gt;="&amp;CB427),O427*ITP_TIPO)),O427*ITP_TIPO))</f>
        <v/>
      </c>
      <c r="CD427" s="4">
        <f>IF(R427="profesional",N(AK427),0)</f>
        <v/>
      </c>
      <c r="CE427" s="3">
        <f>IF(AND(R427="profesional",ISNUMBER(AK427),AL427="sí"),0,TASA_DGT)</f>
        <v/>
      </c>
      <c r="CF427" s="3">
        <f>INFORME_DGT</f>
        <v/>
      </c>
      <c r="CG427" s="4">
        <f>O427+CD427+CC427+CE427+CF427</f>
        <v/>
      </c>
      <c r="CH427" s="4">
        <f>CG427+N(BU427)</f>
        <v/>
      </c>
      <c r="CI427" s="3">
        <f>IF(CG427&lt;=TOTAL_MAX,"sí",IF(CG427&lt;=TOTAL_MAX+MARGEN_NEG,"negociar","no"))</f>
        <v/>
      </c>
      <c r="CJ427" s="4">
        <f>IF(CI427&lt;&gt;"no",COUNTIFS($CI$2:$CI$662,"&lt;&gt;no",$CA$2:$CA$662,"&gt;"&amp;CA427)+COUNTIFS($CI$2:CI427,"&lt;&gt;no",$CA$2:CA427,CA427),"")</f>
        <v/>
      </c>
    </row>
    <row r="428">
      <c r="A428" s="2" t="inlineStr">
        <is>
          <t>cochesnet:54869719</t>
        </is>
      </c>
      <c r="B428" s="2" t="inlineStr">
        <is>
          <t>cochesnet</t>
        </is>
      </c>
      <c r="C428" s="2" t="inlineStr">
        <is>
          <t>https://www.coches.net/renault-clio-confort-dynamique-16-16v-3p-gasolina-2006-en-valencia-54869719-covo.aspx</t>
        </is>
      </c>
      <c r="D428" s="2" t="inlineStr">
        <is>
          <t>RENAULT Clio Confort Dynamique 1.6 16v 3p.</t>
        </is>
      </c>
      <c r="E428" s="2" t="inlineStr">
        <is>
          <t>Renault</t>
        </is>
      </c>
      <c r="F428" s="2" t="inlineStr">
        <is>
          <t>Renault Clio</t>
        </is>
      </c>
      <c r="G428" s="2" t="inlineStr">
        <is>
          <t>1.6</t>
        </is>
      </c>
      <c r="H428" s="2" t="inlineStr">
        <is>
          <t>Confort Dynamique 1.6 16v</t>
        </is>
      </c>
      <c r="I428" s="2" t="n"/>
      <c r="J428" s="2" t="n"/>
      <c r="K428" s="2" t="inlineStr">
        <is>
          <t>gasolina</t>
        </is>
      </c>
      <c r="L428" s="2" t="inlineStr">
        <is>
          <t>utilitario</t>
        </is>
      </c>
      <c r="M428" s="2" t="n">
        <v>2006</v>
      </c>
      <c r="N428" s="2" t="n">
        <v>102000</v>
      </c>
      <c r="O428" s="2" t="n">
        <v>3400</v>
      </c>
      <c r="P428" s="2" t="inlineStr">
        <is>
          <t>manual</t>
        </is>
      </c>
      <c r="Q428" s="2" t="inlineStr">
        <is>
          <t>no</t>
        </is>
      </c>
      <c r="R428" s="2" t="inlineStr">
        <is>
          <t>particular</t>
        </is>
      </c>
      <c r="S428" s="2" t="n"/>
      <c r="T428" s="2" t="inlineStr">
        <is>
          <t>2023-04-14T20:45:50Z</t>
        </is>
      </c>
      <c r="U428" s="2" t="n">
        <v>7</v>
      </c>
      <c r="V428" s="2" t="inlineStr">
        <is>
          <t>sí</t>
        </is>
      </c>
      <c r="W428" s="2" t="n"/>
      <c r="X428" s="2" t="n"/>
      <c r="Y428" s="2" t="n"/>
      <c r="Z428" s="2" t="inlineStr">
        <is>
          <t>no</t>
        </is>
      </c>
      <c r="AA428" s="2" t="n"/>
      <c r="AB428" s="2" t="n"/>
      <c r="AC428" s="2" t="n"/>
      <c r="AD428" s="2" t="n"/>
      <c r="AE428" s="2" t="n"/>
      <c r="AF428" s="2" t="n"/>
      <c r="AG428" s="2" t="n"/>
      <c r="AH428" s="2" t="n">
        <v>3400</v>
      </c>
      <c r="AI428" s="2" t="n"/>
      <c r="AJ428" s="2" t="n"/>
      <c r="AK428" s="2" t="n"/>
      <c r="AL428" s="2" t="n"/>
      <c r="AM428" s="2" t="n"/>
      <c r="AN428" s="2" t="n">
        <v>2750</v>
      </c>
      <c r="AO428" s="2" t="n">
        <v>18</v>
      </c>
      <c r="AP428" s="2" t="inlineStr">
        <is>
          <t>modelo+año</t>
        </is>
      </c>
      <c r="AQ428" s="2" t="n"/>
      <c r="AR428" s="2" t="inlineStr">
        <is>
          <t>cuota fija ITP: &gt;12 años, 1.501-2.000 cc; distancia no verificable (el anuncio solo indica la provincia): confirmar que está a &lt;= 70 km</t>
        </is>
      </c>
      <c r="AS428" s="2" t="inlineStr">
        <is>
          <t>Choce en perfecto estado,ITV recién pasada y con etiqueta medioambiental.</t>
        </is>
      </c>
      <c r="AT428" s="2" t="inlineStr">
        <is>
          <t>https://www.coches.net/renault-clio-confort-dynamique-16-16v-3p-gasolina-2006-en-valencia-54869719-covo.aspx (window.__INITIAL_PROPS__.ad) /home/user/Alopecia/buscador-coches/raw/cochesnet/d2f293c4bd05ca8e.json</t>
        </is>
      </c>
      <c r="AU428" s="3">
        <f>MAX(ANIO_ACTUAL-M428,0)</f>
        <v/>
      </c>
      <c r="AV428" s="4">
        <f>N428/MAX(AU428,0.5)</f>
        <v/>
      </c>
      <c r="AW428" s="4">
        <f>F428</f>
        <v/>
      </c>
      <c r="AX428" s="3">
        <f>AW428&amp;"|"&amp;INT(M428/SEG_ANIO)*SEG_ANIO</f>
        <v/>
      </c>
      <c r="AY428" s="3">
        <f>AX428&amp;"|"&amp;INT(N428/SEG_KM)*SEG_KM</f>
        <v/>
      </c>
      <c r="AZ428" s="4">
        <f>COUNTIF($AW$2:$AW$662,AW428)</f>
        <v/>
      </c>
      <c r="BA428" s="4">
        <f>COUNTIF($AX$2:$AX$662,AX428)</f>
        <v/>
      </c>
      <c r="BB428" s="4">
        <f>COUNTIF($AY$2:$AY$662,AY428)</f>
        <v/>
      </c>
      <c r="BC428" s="3">
        <f t="array" ref="BC428">IF(N(AO428)&gt;=MIN_N,AN428,IF(BB428&gt;=MIN_N,MEDIAN(IF($AY$2:$AY$662=AY428,$O$2:$O$662)),IF(BA428&gt;=MIN_N,MEDIAN(IF($AX$2:$AX$662=AX428,$O$2:$O$662)),MEDIAN(IF($AW$2:$AW$662=AW428,$O$2:$O$662)))))</f>
        <v/>
      </c>
      <c r="BD428" s="3">
        <f>IF(N(AO428)&gt;=MIN_N,"mercado "&amp;AP428,IF(BB428&gt;=MIN_N,"modelo+año+km",IF(BA428&gt;=MIN_N,"modelo+año","modelo")))</f>
        <v/>
      </c>
      <c r="BE428" s="4">
        <f>(BC428-O428)/BC428</f>
        <v/>
      </c>
      <c r="BF428" s="3">
        <f>IF(OR(K428="hibrido",K428="glp"),"ECO",IF(K428="electrico","CERO",IF(K428="gasolina",IF(M428&gt;=GAS_C,"C",IF(M428&gt;=GAS_B,"B","A")),IF(K428="diesel",IF(M428&gt;=DIE_C,"C",IF(M428&gt;=DIE_B,"B","A")),""))))</f>
        <v/>
      </c>
      <c r="BG428" s="3">
        <f>IFERROR(VLOOKUP(F428,MOD_TBL,11,0),IFERROR(VLOOKUP(E428,OCU_TBL,2,0),NEUTRO))</f>
        <v/>
      </c>
      <c r="BH428" s="3">
        <f>SUMIFS(MOT_AJUSTE,MOT_MOTOR,G428,MOT_MARCA,E428,MOT_DESDE,"&lt;="&amp;M428,MOT_HASTA,"&gt;="&amp;M428)+SUMIFS(MOT_AJUSTE,MOT_MOTOR,G428,MOT_MARCA,"(todas)",MOT_DESDE,"&lt;="&amp;M428,MOT_HASTA,"&gt;="&amp;M428)</f>
        <v/>
      </c>
      <c r="BI428" s="3">
        <f>SUMIFS(COMB_AJUSTE,COMB_COMB,K428)</f>
        <v/>
      </c>
      <c r="BJ428" s="3">
        <f>COUNTIFS(MOT_MOTOR,G428,MOT_MARCA,E428,MOT_DESDE,"&lt;="&amp;M428,MOT_HASTA,"&gt;="&amp;M428)+COUNTIFS(MOT_MOTOR,G428,MOT_MARCA,"(todas)",MOT_DESDE,"&lt;="&amp;M428,MOT_HASTA,"&gt;="&amp;M428)</f>
        <v/>
      </c>
      <c r="BK428" s="3">
        <f>IF(AND(K428="diesel",BJ428=0),MIN(BG428,NEUTRO),BG428)</f>
        <v/>
      </c>
      <c r="BL428" s="4">
        <f>MAX(0,MIN(100,BK428+BH428+BI428))</f>
        <v/>
      </c>
      <c r="BM428" s="3">
        <f>MAX(0,MIN(100,50+BE428*PRECIO_PEND))</f>
        <v/>
      </c>
      <c r="BN428" s="3">
        <f>MAX(0,100*(1-N428/KM_MAX))</f>
        <v/>
      </c>
      <c r="BO428" s="3">
        <f>IF(AV428&lt;KMA_SOSP,IF(AA428="sí",100,KMA_PEN),IF(AV428&lt;=KMA_IDEAL_MAX,100,MAX(0,100*(KMA_CERO-AV428)/(KMA_CERO-KMA_IDEAL_MAX))))</f>
        <v/>
      </c>
      <c r="BP428" s="3">
        <f>MAX(0,MIN(100,100*(M428-ANIO_MIN)/(ANIO_ACTUAL-ANIO_MIN)))</f>
        <v/>
      </c>
      <c r="BQ428" s="3">
        <f>W_KMT*BN428+W_KMA*BO428+W_EDAD*BP428</f>
        <v/>
      </c>
      <c r="BR428" s="3">
        <f>P_ITV*(V428="sí")+P_LIBRO*(W428="sí")+P_CORREA*(X428="sí")+P_PROP*(Y428=1)+P_GAR*(Z428="sí")+P_FOTOS*MIN(1,N(U428)/FOTOS_OBJ)</f>
        <v/>
      </c>
      <c r="BS428" s="3">
        <f>IFERROR(VLOOKUP(BF428,ETQ_TBL,2,0),NEUTRO)</f>
        <v/>
      </c>
      <c r="BT428" s="3">
        <f>NEUTRO</f>
        <v/>
      </c>
      <c r="BU428" s="3">
        <f>IFERROR(VLOOKUP(L428,SEGURO_TBL,3,0),"")</f>
        <v/>
      </c>
      <c r="BV428" s="3">
        <f>IF(BU428="",NEUTRO,MAX(0,MIN(100,100*(SEG_REF_MAX-BU428)/(SEG_REF_MAX-SEG_REF_MIN))))</f>
        <v/>
      </c>
      <c r="BW428" s="3">
        <f>W_ET*BS428+W_CONS*BT428+W_SEG*BV428</f>
        <v/>
      </c>
      <c r="BX428" s="3">
        <f>IF(N(AB428)&gt;0,AB428,IF(AND(R428="profesional",SG_LEGAL_ON=1),GAR_LEGAL,0))</f>
        <v/>
      </c>
      <c r="BY428" s="3">
        <f>SG_GAR*MIN(1,BX428/SG_GAR_FULL)+SG_AMPL*(AC428="sí")+SG_KMC*(AF428="sí")+SG_REV*(N(AE428)&gt;0)+SG_DEV*MIN(1,N(AG428)/SG_DEV_FULL)+SG_HIST*(W428="sí")</f>
        <v/>
      </c>
      <c r="BZ428" s="3">
        <f>IFERROR(VLOOKUP(L428,CARR_PEN_TBL,2,0),0)</f>
        <v/>
      </c>
      <c r="CA428" s="3">
        <f>W_FIAB*BL428+W_PRECIO*BM428+W_KMEDAD*BQ428+W_ANUNCIO*BR428+W_USO*BW428+W_SEGURIDAD*BY428-BZ428</f>
        <v/>
      </c>
      <c r="CB428" s="4">
        <f>IF(N(I428)&gt;0,I428,IFERROR(ROUND(_xlfn.NUMBERVALUE(LEFT(G428,FIND(" ",G428&amp;" ")-1),".")*1000,0),99999))</f>
        <v/>
      </c>
      <c r="CC428" s="3">
        <f>IF(R428="profesional",0,IF(O428&lt;CUOTA_VALOR_MAX,IF(AU428&gt;ITP_TRAMO_ALTO,SUMIFS(CF_CUOTA,CF_MAS,ITP_TRAMO_ALTO,CF_CCMIN,"&lt;="&amp;CB428,CF_CCMAX,"&gt;="&amp;CB428),IF(AU428&gt;ITP_TRAMO_BAJO,SUMIFS(CF_CUOTA,CF_MAS,ITP_TRAMO_BAJO,CF_CCMIN,"&lt;="&amp;CB428,CF_CCMAX,"&gt;="&amp;CB428),O428*ITP_TIPO)),O428*ITP_TIPO))</f>
        <v/>
      </c>
      <c r="CD428" s="4">
        <f>IF(R428="profesional",N(AK428),0)</f>
        <v/>
      </c>
      <c r="CE428" s="3">
        <f>IF(AND(R428="profesional",ISNUMBER(AK428),AL428="sí"),0,TASA_DGT)</f>
        <v/>
      </c>
      <c r="CF428" s="3">
        <f>INFORME_DGT</f>
        <v/>
      </c>
      <c r="CG428" s="4">
        <f>O428+CD428+CC428+CE428+CF428</f>
        <v/>
      </c>
      <c r="CH428" s="4">
        <f>CG428+N(BU428)</f>
        <v/>
      </c>
      <c r="CI428" s="3">
        <f>IF(CG428&lt;=TOTAL_MAX,"sí",IF(CG428&lt;=TOTAL_MAX+MARGEN_NEG,"negociar","no"))</f>
        <v/>
      </c>
      <c r="CJ428" s="4">
        <f>IF(CI428&lt;&gt;"no",COUNTIFS($CI$2:$CI$662,"&lt;&gt;no",$CA$2:$CA$662,"&gt;"&amp;CA428)+COUNTIFS($CI$2:CI428,"&lt;&gt;no",$CA$2:CA428,CA428),"")</f>
        <v/>
      </c>
    </row>
    <row r="429">
      <c r="A429" s="2" t="inlineStr">
        <is>
          <t>cochesnet:71867959</t>
        </is>
      </c>
      <c r="B429" s="2" t="inlineStr">
        <is>
          <t>cochesnet</t>
        </is>
      </c>
      <c r="C429" s="2" t="inlineStr">
        <is>
          <t>https://www.coches.net/renault-megane-emotion-16-16v-5p-gasolina-2006-en-valencia-71867959-covo.aspx</t>
        </is>
      </c>
      <c r="D429" s="2" t="inlineStr">
        <is>
          <t>RENAULT Megane EMOTION 1.6 16v</t>
        </is>
      </c>
      <c r="E429" s="2" t="inlineStr">
        <is>
          <t>Renault</t>
        </is>
      </c>
      <c r="F429" s="2" t="inlineStr">
        <is>
          <t>Renault Mégane</t>
        </is>
      </c>
      <c r="G429" s="2" t="inlineStr">
        <is>
          <t>1.6</t>
        </is>
      </c>
      <c r="H429" s="2" t="inlineStr">
        <is>
          <t>EMOTION 1.6 16v</t>
        </is>
      </c>
      <c r="I429" s="2" t="n"/>
      <c r="J429" s="2" t="n"/>
      <c r="K429" s="2" t="inlineStr">
        <is>
          <t>gasolina</t>
        </is>
      </c>
      <c r="L429" s="2" t="inlineStr">
        <is>
          <t>compacto</t>
        </is>
      </c>
      <c r="M429" s="2" t="n">
        <v>2006</v>
      </c>
      <c r="N429" s="2" t="n">
        <v>61686</v>
      </c>
      <c r="O429" s="2" t="n">
        <v>4000</v>
      </c>
      <c r="P429" s="2" t="inlineStr">
        <is>
          <t>manual</t>
        </is>
      </c>
      <c r="Q429" s="2" t="inlineStr">
        <is>
          <t>no</t>
        </is>
      </c>
      <c r="R429" s="2" t="inlineStr">
        <is>
          <t>particular</t>
        </is>
      </c>
      <c r="S429" s="2" t="inlineStr">
        <is>
          <t>Moncada</t>
        </is>
      </c>
      <c r="T429" s="2" t="inlineStr">
        <is>
          <t>2026-10-30T09:54:13Z</t>
        </is>
      </c>
      <c r="U429" s="2" t="n">
        <v>7</v>
      </c>
      <c r="V429" s="2" t="n"/>
      <c r="W429" s="2" t="n"/>
      <c r="X429" s="2" t="n"/>
      <c r="Y429" s="2" t="n"/>
      <c r="Z429" s="2" t="inlineStr">
        <is>
          <t>no</t>
        </is>
      </c>
      <c r="AA429" s="2" t="n"/>
      <c r="AB429" s="2" t="n"/>
      <c r="AC429" s="2" t="n"/>
      <c r="AD429" s="2" t="n"/>
      <c r="AE429" s="2" t="n"/>
      <c r="AF429" s="2" t="n"/>
      <c r="AG429" s="2" t="n"/>
      <c r="AH429" s="2" t="n">
        <v>4000</v>
      </c>
      <c r="AI429" s="2" t="n"/>
      <c r="AJ429" s="2" t="n"/>
      <c r="AK429" s="2" t="n"/>
      <c r="AL429" s="2" t="n"/>
      <c r="AM429" s="2" t="n">
        <v>8.699999999999999</v>
      </c>
      <c r="AN429" s="2" t="n">
        <v>4400</v>
      </c>
      <c r="AO429" s="2" t="n">
        <v>4</v>
      </c>
      <c r="AP429" s="2" t="inlineStr">
        <is>
          <t>modelo+año+km</t>
        </is>
      </c>
      <c r="AQ429" s="2" t="n"/>
      <c r="AR429" s="2" t="inlineStr">
        <is>
          <t>cuota fija ITP: &gt;12 años, 1.501-2.000 cc</t>
        </is>
      </c>
      <c r="AS429" s="2" t="inlineStr">
        <is>
          <t>Si buscas un coche que combine fiabilidad, eficiencia y buen rendimiento a un precio justo, este Renault Mégane es para ti.
Se trata de un berlina versátil y práctico con motor de 1.6 litros y 110 caballos de potencia, perfectamente equilibrado para ofrecerte una conducción suave tanto en ciudad como en carretera. Con pocos kilómetros recorridos, el vehículo se encuentra en buen estado general, tanto en su exterior como en el interior, listo para continuar ofreciendo años de servicio sin problemas.
La etiqueta medioambiental C refleja su eficiencia energética, permitiéndote acceder a zonas de tráfico limitado en muchas ciudades. El cambio manual te proporciona un control total de la conducción, mientras que las cinco puertas y cinco plazas lo hacen ideal para familias o quienes necesitan versatilidad en sus desplazamientos.
A este precio, estás adquiriendo un vehículo con un excelente valor de mercado que no requiere inversión inmediata. Es la opción perfecta si buscas movilidad segura y económica sin comprometer la calidad.
Si tienes dudas sobre aspectos específicos del vehículo que no aparezcan en la ficha técnica, no dudes en contactarme a través del chat. Estoy aquí para resolver cualquier pregunta que tengas.
Contacta hoy mismo y no dejes escapar esta oportunidad.</t>
        </is>
      </c>
      <c r="AT429" s="2" t="inlineStr">
        <is>
          <t>https://www.coches.net/renault-megane-emotion-16-16v-5p-gasolina-2006-en-valencia-71867959-covo.aspx (window.__INITIAL_PROPS__.ad) /home/user/Alopecia/buscador-coches/raw/cochesnet/337821967acbca32.json</t>
        </is>
      </c>
      <c r="AU429" s="3">
        <f>MAX(ANIO_ACTUAL-M429,0)</f>
        <v/>
      </c>
      <c r="AV429" s="4">
        <f>N429/MAX(AU429,0.5)</f>
        <v/>
      </c>
      <c r="AW429" s="4">
        <f>F429</f>
        <v/>
      </c>
      <c r="AX429" s="3">
        <f>AW429&amp;"|"&amp;INT(M429/SEG_ANIO)*SEG_ANIO</f>
        <v/>
      </c>
      <c r="AY429" s="3">
        <f>AX429&amp;"|"&amp;INT(N429/SEG_KM)*SEG_KM</f>
        <v/>
      </c>
      <c r="AZ429" s="4">
        <f>COUNTIF($AW$2:$AW$662,AW429)</f>
        <v/>
      </c>
      <c r="BA429" s="4">
        <f>COUNTIF($AX$2:$AX$662,AX429)</f>
        <v/>
      </c>
      <c r="BB429" s="4">
        <f>COUNTIF($AY$2:$AY$662,AY429)</f>
        <v/>
      </c>
      <c r="BC429" s="3">
        <f t="array" ref="BC429">IF(N(AO429)&gt;=MIN_N,AN429,IF(BB429&gt;=MIN_N,MEDIAN(IF($AY$2:$AY$662=AY429,$O$2:$O$662)),IF(BA429&gt;=MIN_N,MEDIAN(IF($AX$2:$AX$662=AX429,$O$2:$O$662)),MEDIAN(IF($AW$2:$AW$662=AW429,$O$2:$O$662)))))</f>
        <v/>
      </c>
      <c r="BD429" s="3">
        <f>IF(N(AO429)&gt;=MIN_N,"mercado "&amp;AP429,IF(BB429&gt;=MIN_N,"modelo+año+km",IF(BA429&gt;=MIN_N,"modelo+año","modelo")))</f>
        <v/>
      </c>
      <c r="BE429" s="4">
        <f>(BC429-O429)/BC429</f>
        <v/>
      </c>
      <c r="BF429" s="3">
        <f>IF(OR(K429="hibrido",K429="glp"),"ECO",IF(K429="electrico","CERO",IF(K429="gasolina",IF(M429&gt;=GAS_C,"C",IF(M429&gt;=GAS_B,"B","A")),IF(K429="diesel",IF(M429&gt;=DIE_C,"C",IF(M429&gt;=DIE_B,"B","A")),""))))</f>
        <v/>
      </c>
      <c r="BG429" s="3">
        <f>IFERROR(VLOOKUP(F429,MOD_TBL,11,0),IFERROR(VLOOKUP(E429,OCU_TBL,2,0),NEUTRO))</f>
        <v/>
      </c>
      <c r="BH429" s="3">
        <f>SUMIFS(MOT_AJUSTE,MOT_MOTOR,G429,MOT_MARCA,E429,MOT_DESDE,"&lt;="&amp;M429,MOT_HASTA,"&gt;="&amp;M429)+SUMIFS(MOT_AJUSTE,MOT_MOTOR,G429,MOT_MARCA,"(todas)",MOT_DESDE,"&lt;="&amp;M429,MOT_HASTA,"&gt;="&amp;M429)</f>
        <v/>
      </c>
      <c r="BI429" s="3">
        <f>SUMIFS(COMB_AJUSTE,COMB_COMB,K429)</f>
        <v/>
      </c>
      <c r="BJ429" s="3">
        <f>COUNTIFS(MOT_MOTOR,G429,MOT_MARCA,E429,MOT_DESDE,"&lt;="&amp;M429,MOT_HASTA,"&gt;="&amp;M429)+COUNTIFS(MOT_MOTOR,G429,MOT_MARCA,"(todas)",MOT_DESDE,"&lt;="&amp;M429,MOT_HASTA,"&gt;="&amp;M429)</f>
        <v/>
      </c>
      <c r="BK429" s="3">
        <f>IF(AND(K429="diesel",BJ429=0),MIN(BG429,NEUTRO),BG429)</f>
        <v/>
      </c>
      <c r="BL429" s="4">
        <f>MAX(0,MIN(100,BK429+BH429+BI429))</f>
        <v/>
      </c>
      <c r="BM429" s="3">
        <f>MAX(0,MIN(100,50+BE429*PRECIO_PEND))</f>
        <v/>
      </c>
      <c r="BN429" s="3">
        <f>MAX(0,100*(1-N429/KM_MAX))</f>
        <v/>
      </c>
      <c r="BO429" s="3">
        <f>IF(AV429&lt;KMA_SOSP,IF(AA429="sí",100,KMA_PEN),IF(AV429&lt;=KMA_IDEAL_MAX,100,MAX(0,100*(KMA_CERO-AV429)/(KMA_CERO-KMA_IDEAL_MAX))))</f>
        <v/>
      </c>
      <c r="BP429" s="3">
        <f>MAX(0,MIN(100,100*(M429-ANIO_MIN)/(ANIO_ACTUAL-ANIO_MIN)))</f>
        <v/>
      </c>
      <c r="BQ429" s="3">
        <f>W_KMT*BN429+W_KMA*BO429+W_EDAD*BP429</f>
        <v/>
      </c>
      <c r="BR429" s="3">
        <f>P_ITV*(V429="sí")+P_LIBRO*(W429="sí")+P_CORREA*(X429="sí")+P_PROP*(Y429=1)+P_GAR*(Z429="sí")+P_FOTOS*MIN(1,N(U429)/FOTOS_OBJ)</f>
        <v/>
      </c>
      <c r="BS429" s="3">
        <f>IFERROR(VLOOKUP(BF429,ETQ_TBL,2,0),NEUTRO)</f>
        <v/>
      </c>
      <c r="BT429" s="3">
        <f>NEUTRO</f>
        <v/>
      </c>
      <c r="BU429" s="3">
        <f>IFERROR(VLOOKUP(L429,SEGURO_TBL,3,0),"")</f>
        <v/>
      </c>
      <c r="BV429" s="3">
        <f>IF(BU429="",NEUTRO,MAX(0,MIN(100,100*(SEG_REF_MAX-BU429)/(SEG_REF_MAX-SEG_REF_MIN))))</f>
        <v/>
      </c>
      <c r="BW429" s="3">
        <f>W_ET*BS429+W_CONS*BT429+W_SEG*BV429</f>
        <v/>
      </c>
      <c r="BX429" s="3">
        <f>IF(N(AB429)&gt;0,AB429,IF(AND(R429="profesional",SG_LEGAL_ON=1),GAR_LEGAL,0))</f>
        <v/>
      </c>
      <c r="BY429" s="3">
        <f>SG_GAR*MIN(1,BX429/SG_GAR_FULL)+SG_AMPL*(AC429="sí")+SG_KMC*(AF429="sí")+SG_REV*(N(AE429)&gt;0)+SG_DEV*MIN(1,N(AG429)/SG_DEV_FULL)+SG_HIST*(W429="sí")</f>
        <v/>
      </c>
      <c r="BZ429" s="3">
        <f>IFERROR(VLOOKUP(L429,CARR_PEN_TBL,2,0),0)</f>
        <v/>
      </c>
      <c r="CA429" s="3">
        <f>W_FIAB*BL429+W_PRECIO*BM429+W_KMEDAD*BQ429+W_ANUNCIO*BR429+W_USO*BW429+W_SEGURIDAD*BY429-BZ429</f>
        <v/>
      </c>
      <c r="CB429" s="4">
        <f>IF(N(I429)&gt;0,I429,IFERROR(ROUND(_xlfn.NUMBERVALUE(LEFT(G429,FIND(" ",G429&amp;" ")-1),".")*1000,0),99999))</f>
        <v/>
      </c>
      <c r="CC429" s="3">
        <f>IF(R429="profesional",0,IF(O429&lt;CUOTA_VALOR_MAX,IF(AU429&gt;ITP_TRAMO_ALTO,SUMIFS(CF_CUOTA,CF_MAS,ITP_TRAMO_ALTO,CF_CCMIN,"&lt;="&amp;CB429,CF_CCMAX,"&gt;="&amp;CB429),IF(AU429&gt;ITP_TRAMO_BAJO,SUMIFS(CF_CUOTA,CF_MAS,ITP_TRAMO_BAJO,CF_CCMIN,"&lt;="&amp;CB429,CF_CCMAX,"&gt;="&amp;CB429),O429*ITP_TIPO)),O429*ITP_TIPO))</f>
        <v/>
      </c>
      <c r="CD429" s="4">
        <f>IF(R429="profesional",N(AK429),0)</f>
        <v/>
      </c>
      <c r="CE429" s="3">
        <f>IF(AND(R429="profesional",ISNUMBER(AK429),AL429="sí"),0,TASA_DGT)</f>
        <v/>
      </c>
      <c r="CF429" s="3">
        <f>INFORME_DGT</f>
        <v/>
      </c>
      <c r="CG429" s="4">
        <f>O429+CD429+CC429+CE429+CF429</f>
        <v/>
      </c>
      <c r="CH429" s="4">
        <f>CG429+N(BU429)</f>
        <v/>
      </c>
      <c r="CI429" s="3">
        <f>IF(CG429&lt;=TOTAL_MAX,"sí",IF(CG429&lt;=TOTAL_MAX+MARGEN_NEG,"negociar","no"))</f>
        <v/>
      </c>
      <c r="CJ429" s="4">
        <f>IF(CI429&lt;&gt;"no",COUNTIFS($CI$2:$CI$662,"&lt;&gt;no",$CA$2:$CA$662,"&gt;"&amp;CA429)+COUNTIFS($CI$2:CI429,"&lt;&gt;no",$CA$2:CA429,CA429),"")</f>
        <v/>
      </c>
    </row>
    <row r="430">
      <c r="A430" s="2" t="inlineStr">
        <is>
          <t>cochesnet:71684364</t>
        </is>
      </c>
      <c r="B430" s="2" t="inlineStr">
        <is>
          <t>cochesnet</t>
        </is>
      </c>
      <c r="C430" s="2" t="inlineStr">
        <is>
          <t>https://www.coches.net/renault-megane-business-dci-110-5p-diesel-2012-en-valencia-71684364-covo.aspx</t>
        </is>
      </c>
      <c r="D430" s="2" t="inlineStr">
        <is>
          <t>RENAULT Mégane Business dCi 110</t>
        </is>
      </c>
      <c r="E430" s="2" t="inlineStr">
        <is>
          <t>Renault</t>
        </is>
      </c>
      <c r="F430" s="2" t="inlineStr">
        <is>
          <t>Renault Mégane</t>
        </is>
      </c>
      <c r="G430" s="2" t="inlineStr">
        <is>
          <t>? dCi</t>
        </is>
      </c>
      <c r="H430" s="2" t="inlineStr">
        <is>
          <t>Business dCi 110</t>
        </is>
      </c>
      <c r="I430" s="2" t="n"/>
      <c r="J430" s="2" t="n"/>
      <c r="K430" s="2" t="inlineStr">
        <is>
          <t>diesel</t>
        </is>
      </c>
      <c r="L430" s="2" t="inlineStr">
        <is>
          <t>compacto</t>
        </is>
      </c>
      <c r="M430" s="2" t="n">
        <v>2012</v>
      </c>
      <c r="N430" s="2" t="n">
        <v>199000</v>
      </c>
      <c r="O430" s="2" t="n">
        <v>4990</v>
      </c>
      <c r="P430" s="2" t="inlineStr">
        <is>
          <t>manual</t>
        </is>
      </c>
      <c r="Q430" s="2" t="inlineStr">
        <is>
          <t>no</t>
        </is>
      </c>
      <c r="R430" s="2" t="inlineStr">
        <is>
          <t>profesional</t>
        </is>
      </c>
      <c r="S430" s="2" t="inlineStr">
        <is>
          <t>V.O. Eliana San Antonio de Benagéber</t>
        </is>
      </c>
      <c r="T430" s="2" t="inlineStr">
        <is>
          <t>2026-10-06T12:23:00Z</t>
        </is>
      </c>
      <c r="U430" s="2" t="n">
        <v>17</v>
      </c>
      <c r="V430" s="2" t="n"/>
      <c r="W430" s="2" t="n"/>
      <c r="X430" s="2" t="n"/>
      <c r="Y430" s="2" t="n"/>
      <c r="Z430" s="2" t="inlineStr">
        <is>
          <t>sí</t>
        </is>
      </c>
      <c r="AA430" s="2" t="n"/>
      <c r="AB430" s="2" t="n">
        <v>12</v>
      </c>
      <c r="AC430" s="2" t="n"/>
      <c r="AD430" s="2" t="n"/>
      <c r="AE430" s="2" t="n"/>
      <c r="AF430" s="2" t="n"/>
      <c r="AG430" s="2" t="n"/>
      <c r="AH430" s="2" t="n">
        <v>4990</v>
      </c>
      <c r="AI430" s="2" t="n"/>
      <c r="AJ430" s="2" t="n"/>
      <c r="AK430" s="2" t="n"/>
      <c r="AL430" s="2" t="n"/>
      <c r="AM430" s="2" t="n">
        <v>19.1</v>
      </c>
      <c r="AN430" s="2" t="n">
        <v>5045</v>
      </c>
      <c r="AO430" s="2" t="n">
        <v>12</v>
      </c>
      <c r="AP430" s="2" t="inlineStr">
        <is>
          <t>modelo+año+km</t>
        </is>
      </c>
      <c r="AQ430" s="2" t="n"/>
      <c r="AR430"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430" s="2" t="inlineStr">
        <is>
          <t>Este Mégane Business dCi combina confort y tecnología con aire acondicionado bizona automático, volante multifunción de cuero ajustable y ordenador de viaje con datos de consumo en tiempo real. Equipado con control de crucero, limpiaparabrisas con sensor de lluvia, faros con regulación automática y sistema de audio con seis altavoces y control remoto en el volante. Dirección asistida eléctrica progresiva, cristales tintados y retrovisores eléctricos desempañables completan una propuesta práctica y versátil para uso diario.</t>
        </is>
      </c>
      <c r="AT430" s="2" t="inlineStr">
        <is>
          <t>https://www.coches.net/renault-megane-business-dci-110-5p-diesel-2012-en-valencia-71684364-covo.aspx (window.__INITIAL_PROPS__.ad) /home/user/Alopecia/buscador-coches/raw/cochesnet/0b83cc2dfa699629.json</t>
        </is>
      </c>
      <c r="AU430" s="3">
        <f>MAX(ANIO_ACTUAL-M430,0)</f>
        <v/>
      </c>
      <c r="AV430" s="4">
        <f>N430/MAX(AU430,0.5)</f>
        <v/>
      </c>
      <c r="AW430" s="4">
        <f>F430</f>
        <v/>
      </c>
      <c r="AX430" s="3">
        <f>AW430&amp;"|"&amp;INT(M430/SEG_ANIO)*SEG_ANIO</f>
        <v/>
      </c>
      <c r="AY430" s="3">
        <f>AX430&amp;"|"&amp;INT(N430/SEG_KM)*SEG_KM</f>
        <v/>
      </c>
      <c r="AZ430" s="4">
        <f>COUNTIF($AW$2:$AW$662,AW430)</f>
        <v/>
      </c>
      <c r="BA430" s="4">
        <f>COUNTIF($AX$2:$AX$662,AX430)</f>
        <v/>
      </c>
      <c r="BB430" s="4">
        <f>COUNTIF($AY$2:$AY$662,AY430)</f>
        <v/>
      </c>
      <c r="BC430" s="3">
        <f t="array" ref="BC430">IF(N(AO430)&gt;=MIN_N,AN430,IF(BB430&gt;=MIN_N,MEDIAN(IF($AY$2:$AY$662=AY430,$O$2:$O$662)),IF(BA430&gt;=MIN_N,MEDIAN(IF($AX$2:$AX$662=AX430,$O$2:$O$662)),MEDIAN(IF($AW$2:$AW$662=AW430,$O$2:$O$662)))))</f>
        <v/>
      </c>
      <c r="BD430" s="3">
        <f>IF(N(AO430)&gt;=MIN_N,"mercado "&amp;AP430,IF(BB430&gt;=MIN_N,"modelo+año+km",IF(BA430&gt;=MIN_N,"modelo+año","modelo")))</f>
        <v/>
      </c>
      <c r="BE430" s="4">
        <f>(BC430-O430)/BC430</f>
        <v/>
      </c>
      <c r="BF430" s="3">
        <f>IF(OR(K430="hibrido",K430="glp"),"ECO",IF(K430="electrico","CERO",IF(K430="gasolina",IF(M430&gt;=GAS_C,"C",IF(M430&gt;=GAS_B,"B","A")),IF(K430="diesel",IF(M430&gt;=DIE_C,"C",IF(M430&gt;=DIE_B,"B","A")),""))))</f>
        <v/>
      </c>
      <c r="BG430" s="3">
        <f>IFERROR(VLOOKUP(F430,MOD_TBL,11,0),IFERROR(VLOOKUP(E430,OCU_TBL,2,0),NEUTRO))</f>
        <v/>
      </c>
      <c r="BH430" s="3">
        <f>SUMIFS(MOT_AJUSTE,MOT_MOTOR,G430,MOT_MARCA,E430,MOT_DESDE,"&lt;="&amp;M430,MOT_HASTA,"&gt;="&amp;M430)+SUMIFS(MOT_AJUSTE,MOT_MOTOR,G430,MOT_MARCA,"(todas)",MOT_DESDE,"&lt;="&amp;M430,MOT_HASTA,"&gt;="&amp;M430)</f>
        <v/>
      </c>
      <c r="BI430" s="3">
        <f>SUMIFS(COMB_AJUSTE,COMB_COMB,K430)</f>
        <v/>
      </c>
      <c r="BJ430" s="3">
        <f>COUNTIFS(MOT_MOTOR,G430,MOT_MARCA,E430,MOT_DESDE,"&lt;="&amp;M430,MOT_HASTA,"&gt;="&amp;M430)+COUNTIFS(MOT_MOTOR,G430,MOT_MARCA,"(todas)",MOT_DESDE,"&lt;="&amp;M430,MOT_HASTA,"&gt;="&amp;M430)</f>
        <v/>
      </c>
      <c r="BK430" s="3">
        <f>IF(AND(K430="diesel",BJ430=0),MIN(BG430,NEUTRO),BG430)</f>
        <v/>
      </c>
      <c r="BL430" s="4">
        <f>MAX(0,MIN(100,BK430+BH430+BI430))</f>
        <v/>
      </c>
      <c r="BM430" s="3">
        <f>MAX(0,MIN(100,50+BE430*PRECIO_PEND))</f>
        <v/>
      </c>
      <c r="BN430" s="3">
        <f>MAX(0,100*(1-N430/KM_MAX))</f>
        <v/>
      </c>
      <c r="BO430" s="3">
        <f>IF(AV430&lt;KMA_SOSP,IF(AA430="sí",100,KMA_PEN),IF(AV430&lt;=KMA_IDEAL_MAX,100,MAX(0,100*(KMA_CERO-AV430)/(KMA_CERO-KMA_IDEAL_MAX))))</f>
        <v/>
      </c>
      <c r="BP430" s="3">
        <f>MAX(0,MIN(100,100*(M430-ANIO_MIN)/(ANIO_ACTUAL-ANIO_MIN)))</f>
        <v/>
      </c>
      <c r="BQ430" s="3">
        <f>W_KMT*BN430+W_KMA*BO430+W_EDAD*BP430</f>
        <v/>
      </c>
      <c r="BR430" s="3">
        <f>P_ITV*(V430="sí")+P_LIBRO*(W430="sí")+P_CORREA*(X430="sí")+P_PROP*(Y430=1)+P_GAR*(Z430="sí")+P_FOTOS*MIN(1,N(U430)/FOTOS_OBJ)</f>
        <v/>
      </c>
      <c r="BS430" s="3">
        <f>IFERROR(VLOOKUP(BF430,ETQ_TBL,2,0),NEUTRO)</f>
        <v/>
      </c>
      <c r="BT430" s="3">
        <f>NEUTRO</f>
        <v/>
      </c>
      <c r="BU430" s="3">
        <f>IFERROR(VLOOKUP(L430,SEGURO_TBL,3,0),"")</f>
        <v/>
      </c>
      <c r="BV430" s="3">
        <f>IF(BU430="",NEUTRO,MAX(0,MIN(100,100*(SEG_REF_MAX-BU430)/(SEG_REF_MAX-SEG_REF_MIN))))</f>
        <v/>
      </c>
      <c r="BW430" s="3">
        <f>W_ET*BS430+W_CONS*BT430+W_SEG*BV430</f>
        <v/>
      </c>
      <c r="BX430" s="3">
        <f>IF(N(AB430)&gt;0,AB430,IF(AND(R430="profesional",SG_LEGAL_ON=1),GAR_LEGAL,0))</f>
        <v/>
      </c>
      <c r="BY430" s="3">
        <f>SG_GAR*MIN(1,BX430/SG_GAR_FULL)+SG_AMPL*(AC430="sí")+SG_KMC*(AF430="sí")+SG_REV*(N(AE430)&gt;0)+SG_DEV*MIN(1,N(AG430)/SG_DEV_FULL)+SG_HIST*(W430="sí")</f>
        <v/>
      </c>
      <c r="BZ430" s="3">
        <f>IFERROR(VLOOKUP(L430,CARR_PEN_TBL,2,0),0)</f>
        <v/>
      </c>
      <c r="CA430" s="3">
        <f>W_FIAB*BL430+W_PRECIO*BM430+W_KMEDAD*BQ430+W_ANUNCIO*BR430+W_USO*BW430+W_SEGURIDAD*BY430-BZ430</f>
        <v/>
      </c>
      <c r="CB430" s="4">
        <f>IF(N(I430)&gt;0,I430,IFERROR(ROUND(_xlfn.NUMBERVALUE(LEFT(G430,FIND(" ",G430&amp;" ")-1),".")*1000,0),99999))</f>
        <v/>
      </c>
      <c r="CC430" s="3">
        <f>IF(R430="profesional",0,IF(O430&lt;CUOTA_VALOR_MAX,IF(AU430&gt;ITP_TRAMO_ALTO,SUMIFS(CF_CUOTA,CF_MAS,ITP_TRAMO_ALTO,CF_CCMIN,"&lt;="&amp;CB430,CF_CCMAX,"&gt;="&amp;CB430),IF(AU430&gt;ITP_TRAMO_BAJO,SUMIFS(CF_CUOTA,CF_MAS,ITP_TRAMO_BAJO,CF_CCMIN,"&lt;="&amp;CB430,CF_CCMAX,"&gt;="&amp;CB430),O430*ITP_TIPO)),O430*ITP_TIPO))</f>
        <v/>
      </c>
      <c r="CD430" s="4">
        <f>IF(R430="profesional",N(AK430),0)</f>
        <v/>
      </c>
      <c r="CE430" s="3">
        <f>IF(AND(R430="profesional",ISNUMBER(AK430),AL430="sí"),0,TASA_DGT)</f>
        <v/>
      </c>
      <c r="CF430" s="3">
        <f>INFORME_DGT</f>
        <v/>
      </c>
      <c r="CG430" s="4">
        <f>O430+CD430+CC430+CE430+CF430</f>
        <v/>
      </c>
      <c r="CH430" s="4">
        <f>CG430+N(BU430)</f>
        <v/>
      </c>
      <c r="CI430" s="3">
        <f>IF(CG430&lt;=TOTAL_MAX,"sí",IF(CG430&lt;=TOTAL_MAX+MARGEN_NEG,"negociar","no"))</f>
        <v/>
      </c>
      <c r="CJ430" s="4">
        <f>IF(CI430&lt;&gt;"no",COUNTIFS($CI$2:$CI$662,"&lt;&gt;no",$CA$2:$CA$662,"&gt;"&amp;CA430)+COUNTIFS($CI$2:CI430,"&lt;&gt;no",$CA$2:CA430,CA430),"")</f>
        <v/>
      </c>
    </row>
    <row r="431">
      <c r="A431" s="2" t="inlineStr">
        <is>
          <t>cochesnet:71386380</t>
        </is>
      </c>
      <c r="B431" s="2" t="inlineStr">
        <is>
          <t>cochesnet</t>
        </is>
      </c>
      <c r="C431" s="2" t="inlineStr">
        <is>
          <t>https://www.coches.net/renault-megane-coupecabrio-privilege-19dci-2p-diesel-2007-en-valencia-71386380-covo.aspx</t>
        </is>
      </c>
      <c r="D431" s="2" t="inlineStr">
        <is>
          <t>RENAULT Mégane Coupecabrio Privilege 1.9dCi</t>
        </is>
      </c>
      <c r="E431" s="2" t="inlineStr">
        <is>
          <t>Renault</t>
        </is>
      </c>
      <c r="F431" s="2" t="inlineStr">
        <is>
          <t>Renault Mégane</t>
        </is>
      </c>
      <c r="G431" s="2" t="inlineStr">
        <is>
          <t>1.9</t>
        </is>
      </c>
      <c r="H431" s="2" t="inlineStr">
        <is>
          <t>Coupecabrio Privilege 1.9dCi</t>
        </is>
      </c>
      <c r="I431" s="2" t="n"/>
      <c r="J431" s="2" t="n"/>
      <c r="K431" s="2" t="inlineStr">
        <is>
          <t>diesel</t>
        </is>
      </c>
      <c r="L431" s="2" t="inlineStr">
        <is>
          <t>compacto</t>
        </is>
      </c>
      <c r="M431" s="2" t="n">
        <v>2006</v>
      </c>
      <c r="N431" s="2" t="n">
        <v>145000</v>
      </c>
      <c r="O431" s="2" t="n">
        <v>4500</v>
      </c>
      <c r="P431" s="2" t="inlineStr">
        <is>
          <t>manual</t>
        </is>
      </c>
      <c r="Q431" s="2" t="inlineStr">
        <is>
          <t>no</t>
        </is>
      </c>
      <c r="R431" s="2" t="inlineStr">
        <is>
          <t>profesional</t>
        </is>
      </c>
      <c r="S431" s="2" t="inlineStr">
        <is>
          <t>Albal</t>
        </is>
      </c>
      <c r="T431" s="2" t="inlineStr">
        <is>
          <t>2026-08-28T17:45:41Z</t>
        </is>
      </c>
      <c r="U431" s="2" t="n">
        <v>18</v>
      </c>
      <c r="V431" s="2" t="n"/>
      <c r="W431" s="2" t="n"/>
      <c r="X431" s="2" t="n"/>
      <c r="Y431" s="2" t="n">
        <v>2</v>
      </c>
      <c r="Z431" s="2" t="inlineStr">
        <is>
          <t>sí</t>
        </is>
      </c>
      <c r="AA431" s="2" t="n"/>
      <c r="AB431" s="2" t="n">
        <v>12</v>
      </c>
      <c r="AC431" s="2" t="inlineStr">
        <is>
          <t>sí</t>
        </is>
      </c>
      <c r="AD431" s="2" t="n"/>
      <c r="AE431" s="2" t="n"/>
      <c r="AF431" s="2" t="n"/>
      <c r="AG431" s="2" t="n">
        <v>15</v>
      </c>
      <c r="AH431" s="2" t="n">
        <v>4500</v>
      </c>
      <c r="AI431" s="2" t="n">
        <v>4500</v>
      </c>
      <c r="AJ431" s="2" t="n"/>
      <c r="AK431" s="2" t="n">
        <v>0</v>
      </c>
      <c r="AL431" s="2" t="inlineStr">
        <is>
          <t>sí</t>
        </is>
      </c>
      <c r="AM431" s="2" t="n">
        <v>8.699999999999999</v>
      </c>
      <c r="AN431" s="2" t="n">
        <v>3700</v>
      </c>
      <c r="AO431" s="2" t="n">
        <v>10</v>
      </c>
      <c r="AP431" s="2" t="inlineStr">
        <is>
          <t>modelo+año+km</t>
        </is>
      </c>
      <c r="AQ431" s="2" t="n"/>
      <c r="AR431" s="2" t="inlineStr">
        <is>
          <t>vendedor profesional: sin ITP (operación con IVA/REBU, confirmar en factura); diésel: motor sin fuente de fiabilidad (fiabilidad limitada a neutra)</t>
        </is>
      </c>
      <c r="AS431" s="2" t="inlineStr">
        <is>
          <t xml:space="preserve">Megane Cabrio diesel 130 cv con muy pocos km
- Solo 2 propietarios.
- Neumáticos nuevos.
- Distribución realizada con trazabilidad.
- Discos y pastillas sustituídos.
- Embrague sustituído.
- Detallado interior en la piel y tela beige.
- Control de crucero.
- Apertura sin llave.
- Dos mandos originales.
- Manual del vehículo.
Para mas extras o ficha de equipamiento solicitarla al concesionario sin compromiso.
?? **COMPRA TU COCHE DESDE CASA — TE LO LLEVAMOS GRATIS**
En **AYD MOTORS VALENCIA** queremos que comprar tu próximo coche sea fácil, cómodo y seguro.
**Reserva el vehículo por solo 390 € y te lo enviamos GRATIS a cualquier punto de la Península.**
Antes del envío te facilitamos **fotos y vídeos detallados del vehículo** para que puedas comprobar su estado con total transparencia.
Una vez realizada la compra, recibirás el coche **directamente en tu domicilio mediante transporte individual**.
? **15 DÍAS O 1.000 KM DE PRUEBA**  
? **DEVOLUCIÓN GARANTIZADA según condiciones**  
? **12 MESES DE GARANTÍA INCLUIDOS**  
? Posibilidad de ampliar la garantía **hasta 24 meses**  
? **CAMBIO DE NOMBRE Y TRANSFERENCIA INCLUIDOS**  
? **IMPUESTOS INCLUIDOS**  
? **IVA INCLUIDO**  
? **DETAILING Y PREPARACIÓN PRE-ENTREGA**  
? **ENTREGA INMEDIATA** en vehículos disponibles  
? **ENVÍO GRATUITO A TODA LA PENÍNSULA** con la reserva de 390 €
?? **¿QUIERES CONOCER TODO EL EQUIPAMIENTO?**  
Solicítanos por WhatsApp la ficha completa del vehículo.
?? **WHATSAPP: +34**  
Atendemos </t>
        </is>
      </c>
      <c r="AT431" s="2" t="inlineStr">
        <is>
          <t>https://www.coches.net/renault-megane-coupecabrio-privilege-19dci-2p-diesel-2007-en-valencia-71386380-covo.aspx (window.__INITIAL_PROPS__.ad) /home/user/Alopecia/buscador-coches/raw/cochesnet/9577b6ebc0ab5e60.json</t>
        </is>
      </c>
      <c r="AU431" s="3">
        <f>MAX(ANIO_ACTUAL-M431,0)</f>
        <v/>
      </c>
      <c r="AV431" s="4">
        <f>N431/MAX(AU431,0.5)</f>
        <v/>
      </c>
      <c r="AW431" s="4">
        <f>F431</f>
        <v/>
      </c>
      <c r="AX431" s="3">
        <f>AW431&amp;"|"&amp;INT(M431/SEG_ANIO)*SEG_ANIO</f>
        <v/>
      </c>
      <c r="AY431" s="3">
        <f>AX431&amp;"|"&amp;INT(N431/SEG_KM)*SEG_KM</f>
        <v/>
      </c>
      <c r="AZ431" s="4">
        <f>COUNTIF($AW$2:$AW$662,AW431)</f>
        <v/>
      </c>
      <c r="BA431" s="4">
        <f>COUNTIF($AX$2:$AX$662,AX431)</f>
        <v/>
      </c>
      <c r="BB431" s="4">
        <f>COUNTIF($AY$2:$AY$662,AY431)</f>
        <v/>
      </c>
      <c r="BC431" s="3">
        <f t="array" ref="BC431">IF(N(AO431)&gt;=MIN_N,AN431,IF(BB431&gt;=MIN_N,MEDIAN(IF($AY$2:$AY$662=AY431,$O$2:$O$662)),IF(BA431&gt;=MIN_N,MEDIAN(IF($AX$2:$AX$662=AX431,$O$2:$O$662)),MEDIAN(IF($AW$2:$AW$662=AW431,$O$2:$O$662)))))</f>
        <v/>
      </c>
      <c r="BD431" s="3">
        <f>IF(N(AO431)&gt;=MIN_N,"mercado "&amp;AP431,IF(BB431&gt;=MIN_N,"modelo+año+km",IF(BA431&gt;=MIN_N,"modelo+año","modelo")))</f>
        <v/>
      </c>
      <c r="BE431" s="4">
        <f>(BC431-O431)/BC431</f>
        <v/>
      </c>
      <c r="BF431" s="3">
        <f>IF(OR(K431="hibrido",K431="glp"),"ECO",IF(K431="electrico","CERO",IF(K431="gasolina",IF(M431&gt;=GAS_C,"C",IF(M431&gt;=GAS_B,"B","A")),IF(K431="diesel",IF(M431&gt;=DIE_C,"C",IF(M431&gt;=DIE_B,"B","A")),""))))</f>
        <v/>
      </c>
      <c r="BG431" s="3">
        <f>IFERROR(VLOOKUP(F431,MOD_TBL,11,0),IFERROR(VLOOKUP(E431,OCU_TBL,2,0),NEUTRO))</f>
        <v/>
      </c>
      <c r="BH431" s="3">
        <f>SUMIFS(MOT_AJUSTE,MOT_MOTOR,G431,MOT_MARCA,E431,MOT_DESDE,"&lt;="&amp;M431,MOT_HASTA,"&gt;="&amp;M431)+SUMIFS(MOT_AJUSTE,MOT_MOTOR,G431,MOT_MARCA,"(todas)",MOT_DESDE,"&lt;="&amp;M431,MOT_HASTA,"&gt;="&amp;M431)</f>
        <v/>
      </c>
      <c r="BI431" s="3">
        <f>SUMIFS(COMB_AJUSTE,COMB_COMB,K431)</f>
        <v/>
      </c>
      <c r="BJ431" s="3">
        <f>COUNTIFS(MOT_MOTOR,G431,MOT_MARCA,E431,MOT_DESDE,"&lt;="&amp;M431,MOT_HASTA,"&gt;="&amp;M431)+COUNTIFS(MOT_MOTOR,G431,MOT_MARCA,"(todas)",MOT_DESDE,"&lt;="&amp;M431,MOT_HASTA,"&gt;="&amp;M431)</f>
        <v/>
      </c>
      <c r="BK431" s="3">
        <f>IF(AND(K431="diesel",BJ431=0),MIN(BG431,NEUTRO),BG431)</f>
        <v/>
      </c>
      <c r="BL431" s="4">
        <f>MAX(0,MIN(100,BK431+BH431+BI431))</f>
        <v/>
      </c>
      <c r="BM431" s="3">
        <f>MAX(0,MIN(100,50+BE431*PRECIO_PEND))</f>
        <v/>
      </c>
      <c r="BN431" s="3">
        <f>MAX(0,100*(1-N431/KM_MAX))</f>
        <v/>
      </c>
      <c r="BO431" s="3">
        <f>IF(AV431&lt;KMA_SOSP,IF(AA431="sí",100,KMA_PEN),IF(AV431&lt;=KMA_IDEAL_MAX,100,MAX(0,100*(KMA_CERO-AV431)/(KMA_CERO-KMA_IDEAL_MAX))))</f>
        <v/>
      </c>
      <c r="BP431" s="3">
        <f>MAX(0,MIN(100,100*(M431-ANIO_MIN)/(ANIO_ACTUAL-ANIO_MIN)))</f>
        <v/>
      </c>
      <c r="BQ431" s="3">
        <f>W_KMT*BN431+W_KMA*BO431+W_EDAD*BP431</f>
        <v/>
      </c>
      <c r="BR431" s="3">
        <f>P_ITV*(V431="sí")+P_LIBRO*(W431="sí")+P_CORREA*(X431="sí")+P_PROP*(Y431=1)+P_GAR*(Z431="sí")+P_FOTOS*MIN(1,N(U431)/FOTOS_OBJ)</f>
        <v/>
      </c>
      <c r="BS431" s="3">
        <f>IFERROR(VLOOKUP(BF431,ETQ_TBL,2,0),NEUTRO)</f>
        <v/>
      </c>
      <c r="BT431" s="3">
        <f>NEUTRO</f>
        <v/>
      </c>
      <c r="BU431" s="3">
        <f>IFERROR(VLOOKUP(L431,SEGURO_TBL,3,0),"")</f>
        <v/>
      </c>
      <c r="BV431" s="3">
        <f>IF(BU431="",NEUTRO,MAX(0,MIN(100,100*(SEG_REF_MAX-BU431)/(SEG_REF_MAX-SEG_REF_MIN))))</f>
        <v/>
      </c>
      <c r="BW431" s="3">
        <f>W_ET*BS431+W_CONS*BT431+W_SEG*BV431</f>
        <v/>
      </c>
      <c r="BX431" s="3">
        <f>IF(N(AB431)&gt;0,AB431,IF(AND(R431="profesional",SG_LEGAL_ON=1),GAR_LEGAL,0))</f>
        <v/>
      </c>
      <c r="BY431" s="3">
        <f>SG_GAR*MIN(1,BX431/SG_GAR_FULL)+SG_AMPL*(AC431="sí")+SG_KMC*(AF431="sí")+SG_REV*(N(AE431)&gt;0)+SG_DEV*MIN(1,N(AG431)/SG_DEV_FULL)+SG_HIST*(W431="sí")</f>
        <v/>
      </c>
      <c r="BZ431" s="3">
        <f>IFERROR(VLOOKUP(L431,CARR_PEN_TBL,2,0),0)</f>
        <v/>
      </c>
      <c r="CA431" s="3">
        <f>W_FIAB*BL431+W_PRECIO*BM431+W_KMEDAD*BQ431+W_ANUNCIO*BR431+W_USO*BW431+W_SEGURIDAD*BY431-BZ431</f>
        <v/>
      </c>
      <c r="CB431" s="4">
        <f>IF(N(I431)&gt;0,I431,IFERROR(ROUND(_xlfn.NUMBERVALUE(LEFT(G431,FIND(" ",G431&amp;" ")-1),".")*1000,0),99999))</f>
        <v/>
      </c>
      <c r="CC431" s="3">
        <f>IF(R431="profesional",0,IF(O431&lt;CUOTA_VALOR_MAX,IF(AU431&gt;ITP_TRAMO_ALTO,SUMIFS(CF_CUOTA,CF_MAS,ITP_TRAMO_ALTO,CF_CCMIN,"&lt;="&amp;CB431,CF_CCMAX,"&gt;="&amp;CB431),IF(AU431&gt;ITP_TRAMO_BAJO,SUMIFS(CF_CUOTA,CF_MAS,ITP_TRAMO_BAJO,CF_CCMIN,"&lt;="&amp;CB431,CF_CCMAX,"&gt;="&amp;CB431),O431*ITP_TIPO)),O431*ITP_TIPO))</f>
        <v/>
      </c>
      <c r="CD431" s="4">
        <f>IF(R431="profesional",N(AK431),0)</f>
        <v/>
      </c>
      <c r="CE431" s="3">
        <f>IF(AND(R431="profesional",ISNUMBER(AK431),AL431="sí"),0,TASA_DGT)</f>
        <v/>
      </c>
      <c r="CF431" s="3">
        <f>INFORME_DGT</f>
        <v/>
      </c>
      <c r="CG431" s="4">
        <f>O431+CD431+CC431+CE431+CF431</f>
        <v/>
      </c>
      <c r="CH431" s="4">
        <f>CG431+N(BU431)</f>
        <v/>
      </c>
      <c r="CI431" s="3">
        <f>IF(CG431&lt;=TOTAL_MAX,"sí",IF(CG431&lt;=TOTAL_MAX+MARGEN_NEG,"negociar","no"))</f>
        <v/>
      </c>
      <c r="CJ431" s="4">
        <f>IF(CI431&lt;&gt;"no",COUNTIFS($CI$2:$CI$662,"&lt;&gt;no",$CA$2:$CA$662,"&gt;"&amp;CA431)+COUNTIFS($CI$2:CI431,"&lt;&gt;no",$CA$2:CA431,CA431),"")</f>
        <v/>
      </c>
    </row>
    <row r="432">
      <c r="A432" s="2" t="inlineStr">
        <is>
          <t>cochesnet:71537820</t>
        </is>
      </c>
      <c r="B432" s="2" t="inlineStr">
        <is>
          <t>cochesnet</t>
        </is>
      </c>
      <c r="C432" s="2" t="inlineStr">
        <is>
          <t>https://www.coches.net/renault-megane-dynamique-energy-dci-110-ss-eco2-3p-diesel-2012-en-valencia-71537820-covo.aspx</t>
        </is>
      </c>
      <c r="D432" s="2" t="inlineStr">
        <is>
          <t>RENAULT Mégane Dynamique Energy dCi 110 SS eco2</t>
        </is>
      </c>
      <c r="E432" s="2" t="inlineStr">
        <is>
          <t>Renault</t>
        </is>
      </c>
      <c r="F432" s="2" t="inlineStr">
        <is>
          <t>Renault Mégane</t>
        </is>
      </c>
      <c r="G432" s="2" t="inlineStr">
        <is>
          <t>? dCi</t>
        </is>
      </c>
      <c r="H432" s="2" t="inlineStr">
        <is>
          <t>Dynamique Energy dCi 110 SS eco2</t>
        </is>
      </c>
      <c r="I432" s="2" t="n"/>
      <c r="J432" s="2" t="n"/>
      <c r="K432" s="2" t="inlineStr">
        <is>
          <t>diesel</t>
        </is>
      </c>
      <c r="L432" s="2" t="inlineStr">
        <is>
          <t>compacto</t>
        </is>
      </c>
      <c r="M432" s="2" t="n">
        <v>2012</v>
      </c>
      <c r="N432" s="2" t="n">
        <v>120000</v>
      </c>
      <c r="O432" s="2" t="n">
        <v>4999</v>
      </c>
      <c r="P432" s="2" t="inlineStr">
        <is>
          <t>manual</t>
        </is>
      </c>
      <c r="Q432" s="2" t="inlineStr">
        <is>
          <t>no</t>
        </is>
      </c>
      <c r="R432" s="2" t="inlineStr">
        <is>
          <t>profesional</t>
        </is>
      </c>
      <c r="S432" s="2" t="inlineStr">
        <is>
          <t>Automoción Valencia Albal</t>
        </is>
      </c>
      <c r="T432" s="2" t="inlineStr">
        <is>
          <t>2026-09-17T17:16:15Z</t>
        </is>
      </c>
      <c r="U432" s="2" t="n">
        <v>14</v>
      </c>
      <c r="V432" s="2" t="inlineStr">
        <is>
          <t>sí</t>
        </is>
      </c>
      <c r="W432" s="2" t="n"/>
      <c r="X432" s="2" t="n"/>
      <c r="Y432" s="2" t="n"/>
      <c r="Z432" s="2" t="inlineStr">
        <is>
          <t>no</t>
        </is>
      </c>
      <c r="AA432" s="2" t="inlineStr">
        <is>
          <t>sí</t>
        </is>
      </c>
      <c r="AB432" s="2" t="n"/>
      <c r="AC432" s="2" t="n"/>
      <c r="AD432" s="2" t="n"/>
      <c r="AE432" s="2" t="n"/>
      <c r="AF432" s="2" t="inlineStr">
        <is>
          <t>sí</t>
        </is>
      </c>
      <c r="AG432" s="2" t="n"/>
      <c r="AH432" s="2" t="n">
        <v>4999</v>
      </c>
      <c r="AI432" s="2" t="n">
        <v>4999</v>
      </c>
      <c r="AJ432" s="2" t="n"/>
      <c r="AK432" s="2" t="n"/>
      <c r="AL432" s="2" t="n"/>
      <c r="AM432" s="2" t="n">
        <v>8.699999999999999</v>
      </c>
      <c r="AN432" s="2" t="n">
        <v>5900</v>
      </c>
      <c r="AO432" s="2" t="n">
        <v>5</v>
      </c>
      <c r="AP432" s="2" t="inlineStr">
        <is>
          <t>modelo+año+km</t>
        </is>
      </c>
      <c r="AQ432" s="2" t="n"/>
      <c r="AR432" s="2" t="inlineStr">
        <is>
          <t>por encima del presupuesto (5063 €), negociar; vendedor profesional: sin ITP (operación con IVA/REBU, confirmar en factura); gastos de gestión del vendedor no indicados: se suma la tasa DGT; preguntar el precio final; diésel: motor sin fuente de fiabilidad (fiabilidad limitada a neutra)</t>
        </is>
      </c>
      <c r="AS432" s="2" t="inlineStr">
        <is>
          <t xml:space="preserve">•RENAUL  MEGANE III 1.5DCI 110CV GT-LINE
•AÑO 2012 123072 KM DISTINTIVO B
•TEL 664506303
 km certificados | ITV en vigor |
Equipamiento destacado:
Climatizador bizona
Control de velocidad (cruise control)
Limitador de velocidad
Sensor de luces y lluvia
Faros antiniebla
Elevalunas eléctricos delanteros y traseros
Retrovisores eléctricos
Llantas de aleación
Cierre centralizado con mando
Ordenador de a bordo
Radio CD/MP3 con mandos en el volante
ISOFIX
ABS, ESP, múltiples airbags
Información adicional:
120.000 km reales (123.072 km certificados)
ITV en vigor
Distintivo ambiental B
Contacto:
Teléfono: 664 506 303
</t>
        </is>
      </c>
      <c r="AT432" s="2" t="inlineStr">
        <is>
          <t>https://www.coches.net/renault-megane-dynamique-energy-dci-110-ss-eco2-3p-diesel-2012-en-valencia-71537820-covo.aspx (window.__INITIAL_PROPS__.ad) /home/user/Alopecia/buscador-coches/raw/cochesnet/1c66f9e703cb9d52.json</t>
        </is>
      </c>
      <c r="AU432" s="3">
        <f>MAX(ANIO_ACTUAL-M432,0)</f>
        <v/>
      </c>
      <c r="AV432" s="4">
        <f>N432/MAX(AU432,0.5)</f>
        <v/>
      </c>
      <c r="AW432" s="4">
        <f>F432</f>
        <v/>
      </c>
      <c r="AX432" s="3">
        <f>AW432&amp;"|"&amp;INT(M432/SEG_ANIO)*SEG_ANIO</f>
        <v/>
      </c>
      <c r="AY432" s="3">
        <f>AX432&amp;"|"&amp;INT(N432/SEG_KM)*SEG_KM</f>
        <v/>
      </c>
      <c r="AZ432" s="4">
        <f>COUNTIF($AW$2:$AW$662,AW432)</f>
        <v/>
      </c>
      <c r="BA432" s="4">
        <f>COUNTIF($AX$2:$AX$662,AX432)</f>
        <v/>
      </c>
      <c r="BB432" s="4">
        <f>COUNTIF($AY$2:$AY$662,AY432)</f>
        <v/>
      </c>
      <c r="BC432" s="3">
        <f t="array" ref="BC432">IF(N(AO432)&gt;=MIN_N,AN432,IF(BB432&gt;=MIN_N,MEDIAN(IF($AY$2:$AY$662=AY432,$O$2:$O$662)),IF(BA432&gt;=MIN_N,MEDIAN(IF($AX$2:$AX$662=AX432,$O$2:$O$662)),MEDIAN(IF($AW$2:$AW$662=AW432,$O$2:$O$662)))))</f>
        <v/>
      </c>
      <c r="BD432" s="3">
        <f>IF(N(AO432)&gt;=MIN_N,"mercado "&amp;AP432,IF(BB432&gt;=MIN_N,"modelo+año+km",IF(BA432&gt;=MIN_N,"modelo+año","modelo")))</f>
        <v/>
      </c>
      <c r="BE432" s="4">
        <f>(BC432-O432)/BC432</f>
        <v/>
      </c>
      <c r="BF432" s="3">
        <f>IF(OR(K432="hibrido",K432="glp"),"ECO",IF(K432="electrico","CERO",IF(K432="gasolina",IF(M432&gt;=GAS_C,"C",IF(M432&gt;=GAS_B,"B","A")),IF(K432="diesel",IF(M432&gt;=DIE_C,"C",IF(M432&gt;=DIE_B,"B","A")),""))))</f>
        <v/>
      </c>
      <c r="BG432" s="3">
        <f>IFERROR(VLOOKUP(F432,MOD_TBL,11,0),IFERROR(VLOOKUP(E432,OCU_TBL,2,0),NEUTRO))</f>
        <v/>
      </c>
      <c r="BH432" s="3">
        <f>SUMIFS(MOT_AJUSTE,MOT_MOTOR,G432,MOT_MARCA,E432,MOT_DESDE,"&lt;="&amp;M432,MOT_HASTA,"&gt;="&amp;M432)+SUMIFS(MOT_AJUSTE,MOT_MOTOR,G432,MOT_MARCA,"(todas)",MOT_DESDE,"&lt;="&amp;M432,MOT_HASTA,"&gt;="&amp;M432)</f>
        <v/>
      </c>
      <c r="BI432" s="3">
        <f>SUMIFS(COMB_AJUSTE,COMB_COMB,K432)</f>
        <v/>
      </c>
      <c r="BJ432" s="3">
        <f>COUNTIFS(MOT_MOTOR,G432,MOT_MARCA,E432,MOT_DESDE,"&lt;="&amp;M432,MOT_HASTA,"&gt;="&amp;M432)+COUNTIFS(MOT_MOTOR,G432,MOT_MARCA,"(todas)",MOT_DESDE,"&lt;="&amp;M432,MOT_HASTA,"&gt;="&amp;M432)</f>
        <v/>
      </c>
      <c r="BK432" s="3">
        <f>IF(AND(K432="diesel",BJ432=0),MIN(BG432,NEUTRO),BG432)</f>
        <v/>
      </c>
      <c r="BL432" s="4">
        <f>MAX(0,MIN(100,BK432+BH432+BI432))</f>
        <v/>
      </c>
      <c r="BM432" s="3">
        <f>MAX(0,MIN(100,50+BE432*PRECIO_PEND))</f>
        <v/>
      </c>
      <c r="BN432" s="3">
        <f>MAX(0,100*(1-N432/KM_MAX))</f>
        <v/>
      </c>
      <c r="BO432" s="3">
        <f>IF(AV432&lt;KMA_SOSP,IF(AA432="sí",100,KMA_PEN),IF(AV432&lt;=KMA_IDEAL_MAX,100,MAX(0,100*(KMA_CERO-AV432)/(KMA_CERO-KMA_IDEAL_MAX))))</f>
        <v/>
      </c>
      <c r="BP432" s="3">
        <f>MAX(0,MIN(100,100*(M432-ANIO_MIN)/(ANIO_ACTUAL-ANIO_MIN)))</f>
        <v/>
      </c>
      <c r="BQ432" s="3">
        <f>W_KMT*BN432+W_KMA*BO432+W_EDAD*BP432</f>
        <v/>
      </c>
      <c r="BR432" s="3">
        <f>P_ITV*(V432="sí")+P_LIBRO*(W432="sí")+P_CORREA*(X432="sí")+P_PROP*(Y432=1)+P_GAR*(Z432="sí")+P_FOTOS*MIN(1,N(U432)/FOTOS_OBJ)</f>
        <v/>
      </c>
      <c r="BS432" s="3">
        <f>IFERROR(VLOOKUP(BF432,ETQ_TBL,2,0),NEUTRO)</f>
        <v/>
      </c>
      <c r="BT432" s="3">
        <f>NEUTRO</f>
        <v/>
      </c>
      <c r="BU432" s="3">
        <f>IFERROR(VLOOKUP(L432,SEGURO_TBL,3,0),"")</f>
        <v/>
      </c>
      <c r="BV432" s="3">
        <f>IF(BU432="",NEUTRO,MAX(0,MIN(100,100*(SEG_REF_MAX-BU432)/(SEG_REF_MAX-SEG_REF_MIN))))</f>
        <v/>
      </c>
      <c r="BW432" s="3">
        <f>W_ET*BS432+W_CONS*BT432+W_SEG*BV432</f>
        <v/>
      </c>
      <c r="BX432" s="3">
        <f>IF(N(AB432)&gt;0,AB432,IF(AND(R432="profesional",SG_LEGAL_ON=1),GAR_LEGAL,0))</f>
        <v/>
      </c>
      <c r="BY432" s="3">
        <f>SG_GAR*MIN(1,BX432/SG_GAR_FULL)+SG_AMPL*(AC432="sí")+SG_KMC*(AF432="sí")+SG_REV*(N(AE432)&gt;0)+SG_DEV*MIN(1,N(AG432)/SG_DEV_FULL)+SG_HIST*(W432="sí")</f>
        <v/>
      </c>
      <c r="BZ432" s="3">
        <f>IFERROR(VLOOKUP(L432,CARR_PEN_TBL,2,0),0)</f>
        <v/>
      </c>
      <c r="CA432" s="3">
        <f>W_FIAB*BL432+W_PRECIO*BM432+W_KMEDAD*BQ432+W_ANUNCIO*BR432+W_USO*BW432+W_SEGURIDAD*BY432-BZ432</f>
        <v/>
      </c>
      <c r="CB432" s="4">
        <f>IF(N(I432)&gt;0,I432,IFERROR(ROUND(_xlfn.NUMBERVALUE(LEFT(G432,FIND(" ",G432&amp;" ")-1),".")*1000,0),99999))</f>
        <v/>
      </c>
      <c r="CC432" s="3">
        <f>IF(R432="profesional",0,IF(O432&lt;CUOTA_VALOR_MAX,IF(AU432&gt;ITP_TRAMO_ALTO,SUMIFS(CF_CUOTA,CF_MAS,ITP_TRAMO_ALTO,CF_CCMIN,"&lt;="&amp;CB432,CF_CCMAX,"&gt;="&amp;CB432),IF(AU432&gt;ITP_TRAMO_BAJO,SUMIFS(CF_CUOTA,CF_MAS,ITP_TRAMO_BAJO,CF_CCMIN,"&lt;="&amp;CB432,CF_CCMAX,"&gt;="&amp;CB432),O432*ITP_TIPO)),O432*ITP_TIPO))</f>
        <v/>
      </c>
      <c r="CD432" s="4">
        <f>IF(R432="profesional",N(AK432),0)</f>
        <v/>
      </c>
      <c r="CE432" s="3">
        <f>IF(AND(R432="profesional",ISNUMBER(AK432),AL432="sí"),0,TASA_DGT)</f>
        <v/>
      </c>
      <c r="CF432" s="3">
        <f>INFORME_DGT</f>
        <v/>
      </c>
      <c r="CG432" s="4">
        <f>O432+CD432+CC432+CE432+CF432</f>
        <v/>
      </c>
      <c r="CH432" s="4">
        <f>CG432+N(BU432)</f>
        <v/>
      </c>
      <c r="CI432" s="3">
        <f>IF(CG432&lt;=TOTAL_MAX,"sí",IF(CG432&lt;=TOTAL_MAX+MARGEN_NEG,"negociar","no"))</f>
        <v/>
      </c>
      <c r="CJ432" s="4">
        <f>IF(CI432&lt;&gt;"no",COUNTIFS($CI$2:$CI$662,"&lt;&gt;no",$CA$2:$CA$662,"&gt;"&amp;CA432)+COUNTIFS($CI$2:CI432,"&lt;&gt;no",$CA$2:CA432,CA432),"")</f>
        <v/>
      </c>
    </row>
    <row r="433">
      <c r="A433" s="2" t="inlineStr">
        <is>
          <t>cochesnet:71852185</t>
        </is>
      </c>
      <c r="B433" s="2" t="inlineStr">
        <is>
          <t>cochesnet</t>
        </is>
      </c>
      <c r="C433" s="2" t="inlineStr">
        <is>
          <t>https://www.coches.net/renault-megane-confort-authentique-16-16v-5p-gasolina-2006-en-valencia-71852185-covo.aspx</t>
        </is>
      </c>
      <c r="D433" s="2" t="inlineStr">
        <is>
          <t>RENAULT Megane CONFORT AUTHENTIQUE 1.6 16v</t>
        </is>
      </c>
      <c r="E433" s="2" t="inlineStr">
        <is>
          <t>Renault</t>
        </is>
      </c>
      <c r="F433" s="2" t="inlineStr">
        <is>
          <t>Renault Mégane</t>
        </is>
      </c>
      <c r="G433" s="2" t="inlineStr">
        <is>
          <t>1.6</t>
        </is>
      </c>
      <c r="H433" s="2" t="inlineStr">
        <is>
          <t>CONFORT AUTHENTIQUE 1.6 16v</t>
        </is>
      </c>
      <c r="I433" s="2" t="n"/>
      <c r="J433" s="2" t="n"/>
      <c r="K433" s="2" t="inlineStr">
        <is>
          <t>gasolina</t>
        </is>
      </c>
      <c r="L433" s="2" t="inlineStr">
        <is>
          <t>compacto</t>
        </is>
      </c>
      <c r="M433" s="2" t="n">
        <v>2006</v>
      </c>
      <c r="N433" s="2" t="n">
        <v>195000</v>
      </c>
      <c r="O433" s="2" t="n">
        <v>3000</v>
      </c>
      <c r="P433" s="2" t="inlineStr">
        <is>
          <t>manual</t>
        </is>
      </c>
      <c r="Q433" s="2" t="inlineStr">
        <is>
          <t>no</t>
        </is>
      </c>
      <c r="R433" s="2" t="inlineStr">
        <is>
          <t>particular</t>
        </is>
      </c>
      <c r="S433" s="2" t="n"/>
      <c r="T433" s="2" t="inlineStr">
        <is>
          <t>2026-10-28T09:26:23Z</t>
        </is>
      </c>
      <c r="U433" s="2" t="n">
        <v>3</v>
      </c>
      <c r="V433" s="2" t="n"/>
      <c r="W433" s="2" t="n"/>
      <c r="X433" s="2" t="n"/>
      <c r="Y433" s="2" t="n"/>
      <c r="Z433" s="2" t="inlineStr">
        <is>
          <t>no</t>
        </is>
      </c>
      <c r="AA433" s="2" t="n"/>
      <c r="AB433" s="2" t="n"/>
      <c r="AC433" s="2" t="n"/>
      <c r="AD433" s="2" t="n"/>
      <c r="AE433" s="2" t="n"/>
      <c r="AF433" s="2" t="n"/>
      <c r="AG433" s="2" t="n"/>
      <c r="AH433" s="2" t="n">
        <v>3000</v>
      </c>
      <c r="AI433" s="2" t="n"/>
      <c r="AJ433" s="2" t="n"/>
      <c r="AK433" s="2" t="n"/>
      <c r="AL433" s="2" t="n"/>
      <c r="AM433" s="2" t="n"/>
      <c r="AN433" s="2" t="n">
        <v>2375</v>
      </c>
      <c r="AO433" s="2" t="n">
        <v>6</v>
      </c>
      <c r="AP433" s="2" t="inlineStr">
        <is>
          <t>modelo+año+km</t>
        </is>
      </c>
      <c r="AQ433" s="2" t="n"/>
      <c r="AR433" s="2" t="inlineStr">
        <is>
          <t>cuota fija ITP: &gt;12 años, 1.501-2.000 cc; distancia no verificable (el anuncio solo indica la provincia): confirmar que está a &lt;= 70 km</t>
        </is>
      </c>
      <c r="AS433" s="2" t="inlineStr">
        <is>
          <t xml:space="preserve">Renault megan en buen estado 
1.6 16vs </t>
        </is>
      </c>
      <c r="AT433" s="2" t="inlineStr">
        <is>
          <t>https://www.coches.net/renault-megane-confort-authentique-16-16v-5p-gasolina-2006-en-valencia-71852185-covo.aspx (window.__INITIAL_PROPS__.ad) /home/user/Alopecia/buscador-coches/raw/cochesnet/407c510c92646f74.json</t>
        </is>
      </c>
      <c r="AU433" s="3">
        <f>MAX(ANIO_ACTUAL-M433,0)</f>
        <v/>
      </c>
      <c r="AV433" s="4">
        <f>N433/MAX(AU433,0.5)</f>
        <v/>
      </c>
      <c r="AW433" s="4">
        <f>F433</f>
        <v/>
      </c>
      <c r="AX433" s="3">
        <f>AW433&amp;"|"&amp;INT(M433/SEG_ANIO)*SEG_ANIO</f>
        <v/>
      </c>
      <c r="AY433" s="3">
        <f>AX433&amp;"|"&amp;INT(N433/SEG_KM)*SEG_KM</f>
        <v/>
      </c>
      <c r="AZ433" s="4">
        <f>COUNTIF($AW$2:$AW$662,AW433)</f>
        <v/>
      </c>
      <c r="BA433" s="4">
        <f>COUNTIF($AX$2:$AX$662,AX433)</f>
        <v/>
      </c>
      <c r="BB433" s="4">
        <f>COUNTIF($AY$2:$AY$662,AY433)</f>
        <v/>
      </c>
      <c r="BC433" s="3">
        <f t="array" ref="BC433">IF(N(AO433)&gt;=MIN_N,AN433,IF(BB433&gt;=MIN_N,MEDIAN(IF($AY$2:$AY$662=AY433,$O$2:$O$662)),IF(BA433&gt;=MIN_N,MEDIAN(IF($AX$2:$AX$662=AX433,$O$2:$O$662)),MEDIAN(IF($AW$2:$AW$662=AW433,$O$2:$O$662)))))</f>
        <v/>
      </c>
      <c r="BD433" s="3">
        <f>IF(N(AO433)&gt;=MIN_N,"mercado "&amp;AP433,IF(BB433&gt;=MIN_N,"modelo+año+km",IF(BA433&gt;=MIN_N,"modelo+año","modelo")))</f>
        <v/>
      </c>
      <c r="BE433" s="4">
        <f>(BC433-O433)/BC433</f>
        <v/>
      </c>
      <c r="BF433" s="3">
        <f>IF(OR(K433="hibrido",K433="glp"),"ECO",IF(K433="electrico","CERO",IF(K433="gasolina",IF(M433&gt;=GAS_C,"C",IF(M433&gt;=GAS_B,"B","A")),IF(K433="diesel",IF(M433&gt;=DIE_C,"C",IF(M433&gt;=DIE_B,"B","A")),""))))</f>
        <v/>
      </c>
      <c r="BG433" s="3">
        <f>IFERROR(VLOOKUP(F433,MOD_TBL,11,0),IFERROR(VLOOKUP(E433,OCU_TBL,2,0),NEUTRO))</f>
        <v/>
      </c>
      <c r="BH433" s="3">
        <f>SUMIFS(MOT_AJUSTE,MOT_MOTOR,G433,MOT_MARCA,E433,MOT_DESDE,"&lt;="&amp;M433,MOT_HASTA,"&gt;="&amp;M433)+SUMIFS(MOT_AJUSTE,MOT_MOTOR,G433,MOT_MARCA,"(todas)",MOT_DESDE,"&lt;="&amp;M433,MOT_HASTA,"&gt;="&amp;M433)</f>
        <v/>
      </c>
      <c r="BI433" s="3">
        <f>SUMIFS(COMB_AJUSTE,COMB_COMB,K433)</f>
        <v/>
      </c>
      <c r="BJ433" s="3">
        <f>COUNTIFS(MOT_MOTOR,G433,MOT_MARCA,E433,MOT_DESDE,"&lt;="&amp;M433,MOT_HASTA,"&gt;="&amp;M433)+COUNTIFS(MOT_MOTOR,G433,MOT_MARCA,"(todas)",MOT_DESDE,"&lt;="&amp;M433,MOT_HASTA,"&gt;="&amp;M433)</f>
        <v/>
      </c>
      <c r="BK433" s="3">
        <f>IF(AND(K433="diesel",BJ433=0),MIN(BG433,NEUTRO),BG433)</f>
        <v/>
      </c>
      <c r="BL433" s="4">
        <f>MAX(0,MIN(100,BK433+BH433+BI433))</f>
        <v/>
      </c>
      <c r="BM433" s="3">
        <f>MAX(0,MIN(100,50+BE433*PRECIO_PEND))</f>
        <v/>
      </c>
      <c r="BN433" s="3">
        <f>MAX(0,100*(1-N433/KM_MAX))</f>
        <v/>
      </c>
      <c r="BO433" s="3">
        <f>IF(AV433&lt;KMA_SOSP,IF(AA433="sí",100,KMA_PEN),IF(AV433&lt;=KMA_IDEAL_MAX,100,MAX(0,100*(KMA_CERO-AV433)/(KMA_CERO-KMA_IDEAL_MAX))))</f>
        <v/>
      </c>
      <c r="BP433" s="3">
        <f>MAX(0,MIN(100,100*(M433-ANIO_MIN)/(ANIO_ACTUAL-ANIO_MIN)))</f>
        <v/>
      </c>
      <c r="BQ433" s="3">
        <f>W_KMT*BN433+W_KMA*BO433+W_EDAD*BP433</f>
        <v/>
      </c>
      <c r="BR433" s="3">
        <f>P_ITV*(V433="sí")+P_LIBRO*(W433="sí")+P_CORREA*(X433="sí")+P_PROP*(Y433=1)+P_GAR*(Z433="sí")+P_FOTOS*MIN(1,N(U433)/FOTOS_OBJ)</f>
        <v/>
      </c>
      <c r="BS433" s="3">
        <f>IFERROR(VLOOKUP(BF433,ETQ_TBL,2,0),NEUTRO)</f>
        <v/>
      </c>
      <c r="BT433" s="3">
        <f>NEUTRO</f>
        <v/>
      </c>
      <c r="BU433" s="3">
        <f>IFERROR(VLOOKUP(L433,SEGURO_TBL,3,0),"")</f>
        <v/>
      </c>
      <c r="BV433" s="3">
        <f>IF(BU433="",NEUTRO,MAX(0,MIN(100,100*(SEG_REF_MAX-BU433)/(SEG_REF_MAX-SEG_REF_MIN))))</f>
        <v/>
      </c>
      <c r="BW433" s="3">
        <f>W_ET*BS433+W_CONS*BT433+W_SEG*BV433</f>
        <v/>
      </c>
      <c r="BX433" s="3">
        <f>IF(N(AB433)&gt;0,AB433,IF(AND(R433="profesional",SG_LEGAL_ON=1),GAR_LEGAL,0))</f>
        <v/>
      </c>
      <c r="BY433" s="3">
        <f>SG_GAR*MIN(1,BX433/SG_GAR_FULL)+SG_AMPL*(AC433="sí")+SG_KMC*(AF433="sí")+SG_REV*(N(AE433)&gt;0)+SG_DEV*MIN(1,N(AG433)/SG_DEV_FULL)+SG_HIST*(W433="sí")</f>
        <v/>
      </c>
      <c r="BZ433" s="3">
        <f>IFERROR(VLOOKUP(L433,CARR_PEN_TBL,2,0),0)</f>
        <v/>
      </c>
      <c r="CA433" s="3">
        <f>W_FIAB*BL433+W_PRECIO*BM433+W_KMEDAD*BQ433+W_ANUNCIO*BR433+W_USO*BW433+W_SEGURIDAD*BY433-BZ433</f>
        <v/>
      </c>
      <c r="CB433" s="4">
        <f>IF(N(I433)&gt;0,I433,IFERROR(ROUND(_xlfn.NUMBERVALUE(LEFT(G433,FIND(" ",G433&amp;" ")-1),".")*1000,0),99999))</f>
        <v/>
      </c>
      <c r="CC433" s="3">
        <f>IF(R433="profesional",0,IF(O433&lt;CUOTA_VALOR_MAX,IF(AU433&gt;ITP_TRAMO_ALTO,SUMIFS(CF_CUOTA,CF_MAS,ITP_TRAMO_ALTO,CF_CCMIN,"&lt;="&amp;CB433,CF_CCMAX,"&gt;="&amp;CB433),IF(AU433&gt;ITP_TRAMO_BAJO,SUMIFS(CF_CUOTA,CF_MAS,ITP_TRAMO_BAJO,CF_CCMIN,"&lt;="&amp;CB433,CF_CCMAX,"&gt;="&amp;CB433),O433*ITP_TIPO)),O433*ITP_TIPO))</f>
        <v/>
      </c>
      <c r="CD433" s="4">
        <f>IF(R433="profesional",N(AK433),0)</f>
        <v/>
      </c>
      <c r="CE433" s="3">
        <f>IF(AND(R433="profesional",ISNUMBER(AK433),AL433="sí"),0,TASA_DGT)</f>
        <v/>
      </c>
      <c r="CF433" s="3">
        <f>INFORME_DGT</f>
        <v/>
      </c>
      <c r="CG433" s="4">
        <f>O433+CD433+CC433+CE433+CF433</f>
        <v/>
      </c>
      <c r="CH433" s="4">
        <f>CG433+N(BU433)</f>
        <v/>
      </c>
      <c r="CI433" s="3">
        <f>IF(CG433&lt;=TOTAL_MAX,"sí",IF(CG433&lt;=TOTAL_MAX+MARGEN_NEG,"negociar","no"))</f>
        <v/>
      </c>
      <c r="CJ433" s="4">
        <f>IF(CI433&lt;&gt;"no",COUNTIFS($CI$2:$CI$662,"&lt;&gt;no",$CA$2:$CA$662,"&gt;"&amp;CA433)+COUNTIFS($CI$2:CI433,"&lt;&gt;no",$CA$2:CA433,CA433),"")</f>
        <v/>
      </c>
    </row>
    <row r="434">
      <c r="A434" s="2" t="inlineStr">
        <is>
          <t>cochesnet:71829418</t>
        </is>
      </c>
      <c r="B434" s="2" t="inlineStr">
        <is>
          <t>cochesnet</t>
        </is>
      </c>
      <c r="C434" s="2" t="inlineStr">
        <is>
          <t>https://www.coches.net/renault-megane-dynamique-15dci105-3p-diesel-2007-en-valencia-71829418-covo.aspx</t>
        </is>
      </c>
      <c r="D434" s="2" t="inlineStr">
        <is>
          <t>RENAULT Megane Dynamique 1.5dCi105</t>
        </is>
      </c>
      <c r="E434" s="2" t="inlineStr">
        <is>
          <t>Renault</t>
        </is>
      </c>
      <c r="F434" s="2" t="inlineStr">
        <is>
          <t>Renault Mégane</t>
        </is>
      </c>
      <c r="G434" s="2" t="inlineStr">
        <is>
          <t>1.5</t>
        </is>
      </c>
      <c r="H434" s="2" t="inlineStr">
        <is>
          <t>Dynamique 1.5dCi105</t>
        </is>
      </c>
      <c r="I434" s="2" t="n"/>
      <c r="J434" s="2" t="n"/>
      <c r="K434" s="2" t="inlineStr">
        <is>
          <t>diesel</t>
        </is>
      </c>
      <c r="L434" s="2" t="inlineStr">
        <is>
          <t>compacto</t>
        </is>
      </c>
      <c r="M434" s="2" t="n">
        <v>2007</v>
      </c>
      <c r="N434" s="2" t="n">
        <v>180000</v>
      </c>
      <c r="O434" s="2" t="n">
        <v>3400</v>
      </c>
      <c r="P434" s="2" t="inlineStr">
        <is>
          <t>manual</t>
        </is>
      </c>
      <c r="Q434" s="2" t="inlineStr">
        <is>
          <t>no</t>
        </is>
      </c>
      <c r="R434" s="2" t="inlineStr">
        <is>
          <t>particular</t>
        </is>
      </c>
      <c r="S434" s="2" t="n"/>
      <c r="T434" s="2" t="inlineStr">
        <is>
          <t>2026-10-25T16:05:11Z</t>
        </is>
      </c>
      <c r="U434" s="2" t="n">
        <v>9</v>
      </c>
      <c r="V434" s="2" t="inlineStr">
        <is>
          <t>sí</t>
        </is>
      </c>
      <c r="W434" s="2" t="n"/>
      <c r="X434" s="2" t="n"/>
      <c r="Y434" s="2" t="n"/>
      <c r="Z434" s="2" t="inlineStr">
        <is>
          <t>no</t>
        </is>
      </c>
      <c r="AA434" s="2" t="n"/>
      <c r="AB434" s="2" t="n"/>
      <c r="AC434" s="2" t="n"/>
      <c r="AD434" s="2" t="n"/>
      <c r="AE434" s="2" t="n"/>
      <c r="AF434" s="2" t="n"/>
      <c r="AG434" s="2" t="n"/>
      <c r="AH434" s="2" t="n">
        <v>3400</v>
      </c>
      <c r="AI434" s="2" t="n"/>
      <c r="AJ434" s="2" t="n"/>
      <c r="AK434" s="2" t="n"/>
      <c r="AL434" s="2" t="n"/>
      <c r="AM434" s="2" t="n"/>
      <c r="AN434" s="2" t="n">
        <v>3850</v>
      </c>
      <c r="AO434" s="2" t="n">
        <v>6</v>
      </c>
      <c r="AP434" s="2" t="inlineStr">
        <is>
          <t>modelo+año+km</t>
        </is>
      </c>
      <c r="AQ434" s="2" t="n"/>
      <c r="AR434" s="2" t="inlineStr">
        <is>
          <t>cuota fija ITP: &gt;12 años, hasta 1.500 cc; diésel: motor sin fuente de fiabilidad (fiabilidad limitada a neutra); distancia no verificable (el anuncio solo indica la provincia): confirmar que está a &lt;= 70 km</t>
        </is>
      </c>
      <c r="AS434" s="2" t="inlineStr">
        <is>
          <t>Vendo Renault Megane en muy buen estado y funcionando perfectamente. Funciona todo y no tiene ningún fallo. Tiene mucho equipamiento extra. Es el modelo de 6 velocidades. Mantenimiento realizado demostrable con facturas
Mantenimiento realizado:
? Cambio kit embrague + bimasa
? Cambio kit distribución + bomba agua
? Cambio aceite + 4 filtros (aceite, aire, gasoil y habitáculo)
? Cambio correa de accesorios
? Cambio líquido refrigerante
? Cambio aceite caja de cambios
? Cambio pastillas de freno delanteras
? ITV recien pasada hasta 10/27
Equipamiento:
? Limitador y regulador de velocidad
? Luces xenon
? Techo panorámico aperturable
? Sensor de aparcamiento trasero
? Retrovisores eléctricos abatibles
? Sensor de luces y lluvia automático
Defectos:
? Laca saltada en capó y maletero no apreciable desde lejos
Interesados solicitadme video.</t>
        </is>
      </c>
      <c r="AT434" s="2" t="inlineStr">
        <is>
          <t>https://www.coches.net/renault-megane-dynamique-15dci105-3p-diesel-2007-en-valencia-71829418-covo.aspx (window.__INITIAL_PROPS__.ad) /home/user/Alopecia/buscador-coches/raw/cochesnet/6772ef0ea1e45cea.json</t>
        </is>
      </c>
      <c r="AU434" s="3">
        <f>MAX(ANIO_ACTUAL-M434,0)</f>
        <v/>
      </c>
      <c r="AV434" s="4">
        <f>N434/MAX(AU434,0.5)</f>
        <v/>
      </c>
      <c r="AW434" s="4">
        <f>F434</f>
        <v/>
      </c>
      <c r="AX434" s="3">
        <f>AW434&amp;"|"&amp;INT(M434/SEG_ANIO)*SEG_ANIO</f>
        <v/>
      </c>
      <c r="AY434" s="3">
        <f>AX434&amp;"|"&amp;INT(N434/SEG_KM)*SEG_KM</f>
        <v/>
      </c>
      <c r="AZ434" s="4">
        <f>COUNTIF($AW$2:$AW$662,AW434)</f>
        <v/>
      </c>
      <c r="BA434" s="4">
        <f>COUNTIF($AX$2:$AX$662,AX434)</f>
        <v/>
      </c>
      <c r="BB434" s="4">
        <f>COUNTIF($AY$2:$AY$662,AY434)</f>
        <v/>
      </c>
      <c r="BC434" s="3">
        <f t="array" ref="BC434">IF(N(AO434)&gt;=MIN_N,AN434,IF(BB434&gt;=MIN_N,MEDIAN(IF($AY$2:$AY$662=AY434,$O$2:$O$662)),IF(BA434&gt;=MIN_N,MEDIAN(IF($AX$2:$AX$662=AX434,$O$2:$O$662)),MEDIAN(IF($AW$2:$AW$662=AW434,$O$2:$O$662)))))</f>
        <v/>
      </c>
      <c r="BD434" s="3">
        <f>IF(N(AO434)&gt;=MIN_N,"mercado "&amp;AP434,IF(BB434&gt;=MIN_N,"modelo+año+km",IF(BA434&gt;=MIN_N,"modelo+año","modelo")))</f>
        <v/>
      </c>
      <c r="BE434" s="4">
        <f>(BC434-O434)/BC434</f>
        <v/>
      </c>
      <c r="BF434" s="3">
        <f>IF(OR(K434="hibrido",K434="glp"),"ECO",IF(K434="electrico","CERO",IF(K434="gasolina",IF(M434&gt;=GAS_C,"C",IF(M434&gt;=GAS_B,"B","A")),IF(K434="diesel",IF(M434&gt;=DIE_C,"C",IF(M434&gt;=DIE_B,"B","A")),""))))</f>
        <v/>
      </c>
      <c r="BG434" s="3">
        <f>IFERROR(VLOOKUP(F434,MOD_TBL,11,0),IFERROR(VLOOKUP(E434,OCU_TBL,2,0),NEUTRO))</f>
        <v/>
      </c>
      <c r="BH434" s="3">
        <f>SUMIFS(MOT_AJUSTE,MOT_MOTOR,G434,MOT_MARCA,E434,MOT_DESDE,"&lt;="&amp;M434,MOT_HASTA,"&gt;="&amp;M434)+SUMIFS(MOT_AJUSTE,MOT_MOTOR,G434,MOT_MARCA,"(todas)",MOT_DESDE,"&lt;="&amp;M434,MOT_HASTA,"&gt;="&amp;M434)</f>
        <v/>
      </c>
      <c r="BI434" s="3">
        <f>SUMIFS(COMB_AJUSTE,COMB_COMB,K434)</f>
        <v/>
      </c>
      <c r="BJ434" s="3">
        <f>COUNTIFS(MOT_MOTOR,G434,MOT_MARCA,E434,MOT_DESDE,"&lt;="&amp;M434,MOT_HASTA,"&gt;="&amp;M434)+COUNTIFS(MOT_MOTOR,G434,MOT_MARCA,"(todas)",MOT_DESDE,"&lt;="&amp;M434,MOT_HASTA,"&gt;="&amp;M434)</f>
        <v/>
      </c>
      <c r="BK434" s="3">
        <f>IF(AND(K434="diesel",BJ434=0),MIN(BG434,NEUTRO),BG434)</f>
        <v/>
      </c>
      <c r="BL434" s="4">
        <f>MAX(0,MIN(100,BK434+BH434+BI434))</f>
        <v/>
      </c>
      <c r="BM434" s="3">
        <f>MAX(0,MIN(100,50+BE434*PRECIO_PEND))</f>
        <v/>
      </c>
      <c r="BN434" s="3">
        <f>MAX(0,100*(1-N434/KM_MAX))</f>
        <v/>
      </c>
      <c r="BO434" s="3">
        <f>IF(AV434&lt;KMA_SOSP,IF(AA434="sí",100,KMA_PEN),IF(AV434&lt;=KMA_IDEAL_MAX,100,MAX(0,100*(KMA_CERO-AV434)/(KMA_CERO-KMA_IDEAL_MAX))))</f>
        <v/>
      </c>
      <c r="BP434" s="3">
        <f>MAX(0,MIN(100,100*(M434-ANIO_MIN)/(ANIO_ACTUAL-ANIO_MIN)))</f>
        <v/>
      </c>
      <c r="BQ434" s="3">
        <f>W_KMT*BN434+W_KMA*BO434+W_EDAD*BP434</f>
        <v/>
      </c>
      <c r="BR434" s="3">
        <f>P_ITV*(V434="sí")+P_LIBRO*(W434="sí")+P_CORREA*(X434="sí")+P_PROP*(Y434=1)+P_GAR*(Z434="sí")+P_FOTOS*MIN(1,N(U434)/FOTOS_OBJ)</f>
        <v/>
      </c>
      <c r="BS434" s="3">
        <f>IFERROR(VLOOKUP(BF434,ETQ_TBL,2,0),NEUTRO)</f>
        <v/>
      </c>
      <c r="BT434" s="3">
        <f>NEUTRO</f>
        <v/>
      </c>
      <c r="BU434" s="3">
        <f>IFERROR(VLOOKUP(L434,SEGURO_TBL,3,0),"")</f>
        <v/>
      </c>
      <c r="BV434" s="3">
        <f>IF(BU434="",NEUTRO,MAX(0,MIN(100,100*(SEG_REF_MAX-BU434)/(SEG_REF_MAX-SEG_REF_MIN))))</f>
        <v/>
      </c>
      <c r="BW434" s="3">
        <f>W_ET*BS434+W_CONS*BT434+W_SEG*BV434</f>
        <v/>
      </c>
      <c r="BX434" s="3">
        <f>IF(N(AB434)&gt;0,AB434,IF(AND(R434="profesional",SG_LEGAL_ON=1),GAR_LEGAL,0))</f>
        <v/>
      </c>
      <c r="BY434" s="3">
        <f>SG_GAR*MIN(1,BX434/SG_GAR_FULL)+SG_AMPL*(AC434="sí")+SG_KMC*(AF434="sí")+SG_REV*(N(AE434)&gt;0)+SG_DEV*MIN(1,N(AG434)/SG_DEV_FULL)+SG_HIST*(W434="sí")</f>
        <v/>
      </c>
      <c r="BZ434" s="3">
        <f>IFERROR(VLOOKUP(L434,CARR_PEN_TBL,2,0),0)</f>
        <v/>
      </c>
      <c r="CA434" s="3">
        <f>W_FIAB*BL434+W_PRECIO*BM434+W_KMEDAD*BQ434+W_ANUNCIO*BR434+W_USO*BW434+W_SEGURIDAD*BY434-BZ434</f>
        <v/>
      </c>
      <c r="CB434" s="4">
        <f>IF(N(I434)&gt;0,I434,IFERROR(ROUND(_xlfn.NUMBERVALUE(LEFT(G434,FIND(" ",G434&amp;" ")-1),".")*1000,0),99999))</f>
        <v/>
      </c>
      <c r="CC434" s="3">
        <f>IF(R434="profesional",0,IF(O434&lt;CUOTA_VALOR_MAX,IF(AU434&gt;ITP_TRAMO_ALTO,SUMIFS(CF_CUOTA,CF_MAS,ITP_TRAMO_ALTO,CF_CCMIN,"&lt;="&amp;CB434,CF_CCMAX,"&gt;="&amp;CB434),IF(AU434&gt;ITP_TRAMO_BAJO,SUMIFS(CF_CUOTA,CF_MAS,ITP_TRAMO_BAJO,CF_CCMIN,"&lt;="&amp;CB434,CF_CCMAX,"&gt;="&amp;CB434),O434*ITP_TIPO)),O434*ITP_TIPO))</f>
        <v/>
      </c>
      <c r="CD434" s="4">
        <f>IF(R434="profesional",N(AK434),0)</f>
        <v/>
      </c>
      <c r="CE434" s="3">
        <f>IF(AND(R434="profesional",ISNUMBER(AK434),AL434="sí"),0,TASA_DGT)</f>
        <v/>
      </c>
      <c r="CF434" s="3">
        <f>INFORME_DGT</f>
        <v/>
      </c>
      <c r="CG434" s="4">
        <f>O434+CD434+CC434+CE434+CF434</f>
        <v/>
      </c>
      <c r="CH434" s="4">
        <f>CG434+N(BU434)</f>
        <v/>
      </c>
      <c r="CI434" s="3">
        <f>IF(CG434&lt;=TOTAL_MAX,"sí",IF(CG434&lt;=TOTAL_MAX+MARGEN_NEG,"negociar","no"))</f>
        <v/>
      </c>
      <c r="CJ434" s="4">
        <f>IF(CI434&lt;&gt;"no",COUNTIFS($CI$2:$CI$662,"&lt;&gt;no",$CA$2:$CA$662,"&gt;"&amp;CA434)+COUNTIFS($CI$2:CI434,"&lt;&gt;no",$CA$2:CA434,CA434),"")</f>
        <v/>
      </c>
    </row>
    <row r="435">
      <c r="A435" s="2" t="inlineStr">
        <is>
          <t>cochesnet:71821979</t>
        </is>
      </c>
      <c r="B435" s="2" t="inlineStr">
        <is>
          <t>cochesnet</t>
        </is>
      </c>
      <c r="C435" s="2" t="inlineStr">
        <is>
          <t>https://www.coches.net/renault-megane-dynamique-energy-dci-110-ss-5p-diesel-2012-en-valencia-71821979-covo.aspx</t>
        </is>
      </c>
      <c r="D435" s="2" t="inlineStr">
        <is>
          <t>RENAULT Megane Dynamique Energy dCi 110 SS</t>
        </is>
      </c>
      <c r="E435" s="2" t="inlineStr">
        <is>
          <t>Renault</t>
        </is>
      </c>
      <c r="F435" s="2" t="inlineStr">
        <is>
          <t>Renault Mégane</t>
        </is>
      </c>
      <c r="G435" s="2" t="inlineStr">
        <is>
          <t>? dCi</t>
        </is>
      </c>
      <c r="H435" s="2" t="inlineStr">
        <is>
          <t>Dynamique Energy dCi 110 SS</t>
        </is>
      </c>
      <c r="I435" s="2" t="n"/>
      <c r="J435" s="2" t="n"/>
      <c r="K435" s="2" t="inlineStr">
        <is>
          <t>diesel</t>
        </is>
      </c>
      <c r="L435" s="2" t="inlineStr">
        <is>
          <t>compacto</t>
        </is>
      </c>
      <c r="M435" s="2" t="n">
        <v>2012</v>
      </c>
      <c r="N435" s="2" t="n">
        <v>204000</v>
      </c>
      <c r="O435" s="2" t="n">
        <v>4990</v>
      </c>
      <c r="P435" s="2" t="inlineStr">
        <is>
          <t>manual</t>
        </is>
      </c>
      <c r="Q435" s="2" t="inlineStr">
        <is>
          <t>no</t>
        </is>
      </c>
      <c r="R435" s="2" t="inlineStr">
        <is>
          <t>particular</t>
        </is>
      </c>
      <c r="S435" s="2" t="inlineStr">
        <is>
          <t>Massamagrell</t>
        </is>
      </c>
      <c r="T435" s="2" t="inlineStr">
        <is>
          <t>2026-10-26T16:08:19Z</t>
        </is>
      </c>
      <c r="U435" s="2" t="n">
        <v>3</v>
      </c>
      <c r="V435" s="2" t="n"/>
      <c r="W435" s="2" t="n"/>
      <c r="X435" s="2" t="n"/>
      <c r="Y435" s="2" t="n"/>
      <c r="Z435" s="2" t="inlineStr">
        <is>
          <t>no</t>
        </is>
      </c>
      <c r="AA435" s="2" t="n"/>
      <c r="AB435" s="2" t="n"/>
      <c r="AC435" s="2" t="n"/>
      <c r="AD435" s="2" t="n"/>
      <c r="AE435" s="2" t="n"/>
      <c r="AF435" s="2" t="n"/>
      <c r="AG435" s="2" t="n"/>
      <c r="AH435" s="2" t="n">
        <v>4990</v>
      </c>
      <c r="AI435" s="2" t="n"/>
      <c r="AJ435" s="2" t="n"/>
      <c r="AK435" s="2" t="n"/>
      <c r="AL435" s="2" t="n"/>
      <c r="AM435" s="2" t="n">
        <v>12</v>
      </c>
      <c r="AN435" s="2" t="n">
        <v>4500</v>
      </c>
      <c r="AO435" s="2" t="n">
        <v>7</v>
      </c>
      <c r="AP435" s="2" t="inlineStr">
        <is>
          <t>modelo+año+km</t>
        </is>
      </c>
      <c r="AQ435" s="2" t="n"/>
      <c r="AR435" s="2" t="inlineStr">
        <is>
          <t>por encima del presupuesto (5194 €), negociar; cilindrada desconocida: se aplica el tramo de cuota fija más alto; cuota fija ITP: &gt;12 años, más de 2.000 cc; diésel: motor sin fuente de fiabilidad (fiabilidad limitada a neutra)</t>
        </is>
      </c>
      <c r="AS435" s="2" t="inlineStr">
        <is>
          <t>Si buscas un coche que combine eficiencia, fiabilidad y un motor diesel potente a un precio accesible, este Renault Mégane es una excelente opción para ti.
Se trata de un berlina versátil y práctica, equipada con un motor de 110 CV que ofrece un rendimiento equilibrado tanto en ciudad como en carretera. El sistema diésel garantiza un consumo controlado, ideal si realizas desplazamientos frecuentes o recorres muchos kilómetros. La caja de cambios manual te proporciona una conducción directa y segura.
El vehículo se encuentra en estado de uso habitual, con una mecánica que funciona correctamente y apto para la circulación regular. Aunque presenta el desgaste natural que corresponde a su antigüedad, no tiene daños mayores evidentes. El exterior muestra un aspecto cuidado, y el interior mantiene las condiciones esperadas para un coche de estas características.
Con capacidad para cinco pasajeros y carrocería de tres puertas, es perfecto para quienes necesitan un transporte fiable sin complicaciones. La etiqueta medioambiental que posee refleja su cumplimiento con las normativas actuales.
Este Mégane es una buena alternativa si buscas un vehículo funcional, económico en combustible y con la solidez que caracteriza a Renault. Ideal para uso diario sin pretensiones, pero con la garantía de que funciona.
Si tienes dudas sobre aspectos específicos del vehículo o deseas conocer más detalles, puedo atenderte sin problema. Contacta conmigo por chat o teléfono y resolvemos todas tus p</t>
        </is>
      </c>
      <c r="AT435" s="2" t="inlineStr">
        <is>
          <t>https://www.coches.net/renault-megane-dynamique-energy-dci-110-ss-5p-diesel-2012-en-valencia-71821979-covo.aspx (window.__INITIAL_PROPS__.ad) /home/user/Alopecia/buscador-coches/raw/cochesnet/78a286ee902643b8.json</t>
        </is>
      </c>
      <c r="AU435" s="3">
        <f>MAX(ANIO_ACTUAL-M435,0)</f>
        <v/>
      </c>
      <c r="AV435" s="4">
        <f>N435/MAX(AU435,0.5)</f>
        <v/>
      </c>
      <c r="AW435" s="4">
        <f>F435</f>
        <v/>
      </c>
      <c r="AX435" s="3">
        <f>AW435&amp;"|"&amp;INT(M435/SEG_ANIO)*SEG_ANIO</f>
        <v/>
      </c>
      <c r="AY435" s="3">
        <f>AX435&amp;"|"&amp;INT(N435/SEG_KM)*SEG_KM</f>
        <v/>
      </c>
      <c r="AZ435" s="4">
        <f>COUNTIF($AW$2:$AW$662,AW435)</f>
        <v/>
      </c>
      <c r="BA435" s="4">
        <f>COUNTIF($AX$2:$AX$662,AX435)</f>
        <v/>
      </c>
      <c r="BB435" s="4">
        <f>COUNTIF($AY$2:$AY$662,AY435)</f>
        <v/>
      </c>
      <c r="BC435" s="3">
        <f t="array" ref="BC435">IF(N(AO435)&gt;=MIN_N,AN435,IF(BB435&gt;=MIN_N,MEDIAN(IF($AY$2:$AY$662=AY435,$O$2:$O$662)),IF(BA435&gt;=MIN_N,MEDIAN(IF($AX$2:$AX$662=AX435,$O$2:$O$662)),MEDIAN(IF($AW$2:$AW$662=AW435,$O$2:$O$662)))))</f>
        <v/>
      </c>
      <c r="BD435" s="3">
        <f>IF(N(AO435)&gt;=MIN_N,"mercado "&amp;AP435,IF(BB435&gt;=MIN_N,"modelo+año+km",IF(BA435&gt;=MIN_N,"modelo+año","modelo")))</f>
        <v/>
      </c>
      <c r="BE435" s="4">
        <f>(BC435-O435)/BC435</f>
        <v/>
      </c>
      <c r="BF435" s="3">
        <f>IF(OR(K435="hibrido",K435="glp"),"ECO",IF(K435="electrico","CERO",IF(K435="gasolina",IF(M435&gt;=GAS_C,"C",IF(M435&gt;=GAS_B,"B","A")),IF(K435="diesel",IF(M435&gt;=DIE_C,"C",IF(M435&gt;=DIE_B,"B","A")),""))))</f>
        <v/>
      </c>
      <c r="BG435" s="3">
        <f>IFERROR(VLOOKUP(F435,MOD_TBL,11,0),IFERROR(VLOOKUP(E435,OCU_TBL,2,0),NEUTRO))</f>
        <v/>
      </c>
      <c r="BH435" s="3">
        <f>SUMIFS(MOT_AJUSTE,MOT_MOTOR,G435,MOT_MARCA,E435,MOT_DESDE,"&lt;="&amp;M435,MOT_HASTA,"&gt;="&amp;M435)+SUMIFS(MOT_AJUSTE,MOT_MOTOR,G435,MOT_MARCA,"(todas)",MOT_DESDE,"&lt;="&amp;M435,MOT_HASTA,"&gt;="&amp;M435)</f>
        <v/>
      </c>
      <c r="BI435" s="3">
        <f>SUMIFS(COMB_AJUSTE,COMB_COMB,K435)</f>
        <v/>
      </c>
      <c r="BJ435" s="3">
        <f>COUNTIFS(MOT_MOTOR,G435,MOT_MARCA,E435,MOT_DESDE,"&lt;="&amp;M435,MOT_HASTA,"&gt;="&amp;M435)+COUNTIFS(MOT_MOTOR,G435,MOT_MARCA,"(todas)",MOT_DESDE,"&lt;="&amp;M435,MOT_HASTA,"&gt;="&amp;M435)</f>
        <v/>
      </c>
      <c r="BK435" s="3">
        <f>IF(AND(K435="diesel",BJ435=0),MIN(BG435,NEUTRO),BG435)</f>
        <v/>
      </c>
      <c r="BL435" s="4">
        <f>MAX(0,MIN(100,BK435+BH435+BI435))</f>
        <v/>
      </c>
      <c r="BM435" s="3">
        <f>MAX(0,MIN(100,50+BE435*PRECIO_PEND))</f>
        <v/>
      </c>
      <c r="BN435" s="3">
        <f>MAX(0,100*(1-N435/KM_MAX))</f>
        <v/>
      </c>
      <c r="BO435" s="3">
        <f>IF(AV435&lt;KMA_SOSP,IF(AA435="sí",100,KMA_PEN),IF(AV435&lt;=KMA_IDEAL_MAX,100,MAX(0,100*(KMA_CERO-AV435)/(KMA_CERO-KMA_IDEAL_MAX))))</f>
        <v/>
      </c>
      <c r="BP435" s="3">
        <f>MAX(0,MIN(100,100*(M435-ANIO_MIN)/(ANIO_ACTUAL-ANIO_MIN)))</f>
        <v/>
      </c>
      <c r="BQ435" s="3">
        <f>W_KMT*BN435+W_KMA*BO435+W_EDAD*BP435</f>
        <v/>
      </c>
      <c r="BR435" s="3">
        <f>P_ITV*(V435="sí")+P_LIBRO*(W435="sí")+P_CORREA*(X435="sí")+P_PROP*(Y435=1)+P_GAR*(Z435="sí")+P_FOTOS*MIN(1,N(U435)/FOTOS_OBJ)</f>
        <v/>
      </c>
      <c r="BS435" s="3">
        <f>IFERROR(VLOOKUP(BF435,ETQ_TBL,2,0),NEUTRO)</f>
        <v/>
      </c>
      <c r="BT435" s="3">
        <f>NEUTRO</f>
        <v/>
      </c>
      <c r="BU435" s="3">
        <f>IFERROR(VLOOKUP(L435,SEGURO_TBL,3,0),"")</f>
        <v/>
      </c>
      <c r="BV435" s="3">
        <f>IF(BU435="",NEUTRO,MAX(0,MIN(100,100*(SEG_REF_MAX-BU435)/(SEG_REF_MAX-SEG_REF_MIN))))</f>
        <v/>
      </c>
      <c r="BW435" s="3">
        <f>W_ET*BS435+W_CONS*BT435+W_SEG*BV435</f>
        <v/>
      </c>
      <c r="BX435" s="3">
        <f>IF(N(AB435)&gt;0,AB435,IF(AND(R435="profesional",SG_LEGAL_ON=1),GAR_LEGAL,0))</f>
        <v/>
      </c>
      <c r="BY435" s="3">
        <f>SG_GAR*MIN(1,BX435/SG_GAR_FULL)+SG_AMPL*(AC435="sí")+SG_KMC*(AF435="sí")+SG_REV*(N(AE435)&gt;0)+SG_DEV*MIN(1,N(AG435)/SG_DEV_FULL)+SG_HIST*(W435="sí")</f>
        <v/>
      </c>
      <c r="BZ435" s="3">
        <f>IFERROR(VLOOKUP(L435,CARR_PEN_TBL,2,0),0)</f>
        <v/>
      </c>
      <c r="CA435" s="3">
        <f>W_FIAB*BL435+W_PRECIO*BM435+W_KMEDAD*BQ435+W_ANUNCIO*BR435+W_USO*BW435+W_SEGURIDAD*BY435-BZ435</f>
        <v/>
      </c>
      <c r="CB435" s="4">
        <f>IF(N(I435)&gt;0,I435,IFERROR(ROUND(_xlfn.NUMBERVALUE(LEFT(G435,FIND(" ",G435&amp;" ")-1),".")*1000,0),99999))</f>
        <v/>
      </c>
      <c r="CC435" s="3">
        <f>IF(R435="profesional",0,IF(O435&lt;CUOTA_VALOR_MAX,IF(AU435&gt;ITP_TRAMO_ALTO,SUMIFS(CF_CUOTA,CF_MAS,ITP_TRAMO_ALTO,CF_CCMIN,"&lt;="&amp;CB435,CF_CCMAX,"&gt;="&amp;CB435),IF(AU435&gt;ITP_TRAMO_BAJO,SUMIFS(CF_CUOTA,CF_MAS,ITP_TRAMO_BAJO,CF_CCMIN,"&lt;="&amp;CB435,CF_CCMAX,"&gt;="&amp;CB435),O435*ITP_TIPO)),O435*ITP_TIPO))</f>
        <v/>
      </c>
      <c r="CD435" s="4">
        <f>IF(R435="profesional",N(AK435),0)</f>
        <v/>
      </c>
      <c r="CE435" s="3">
        <f>IF(AND(R435="profesional",ISNUMBER(AK435),AL435="sí"),0,TASA_DGT)</f>
        <v/>
      </c>
      <c r="CF435" s="3">
        <f>INFORME_DGT</f>
        <v/>
      </c>
      <c r="CG435" s="4">
        <f>O435+CD435+CC435+CE435+CF435</f>
        <v/>
      </c>
      <c r="CH435" s="4">
        <f>CG435+N(BU435)</f>
        <v/>
      </c>
      <c r="CI435" s="3">
        <f>IF(CG435&lt;=TOTAL_MAX,"sí",IF(CG435&lt;=TOTAL_MAX+MARGEN_NEG,"negociar","no"))</f>
        <v/>
      </c>
      <c r="CJ435" s="4">
        <f>IF(CI435&lt;&gt;"no",COUNTIFS($CI$2:$CI$662,"&lt;&gt;no",$CA$2:$CA$662,"&gt;"&amp;CA435)+COUNTIFS($CI$2:CI435,"&lt;&gt;no",$CA$2:CA435,CA435),"")</f>
        <v/>
      </c>
    </row>
    <row r="436">
      <c r="A436" s="2" t="inlineStr">
        <is>
          <t>cochesnet:71783816</t>
        </is>
      </c>
      <c r="B436" s="2" t="inlineStr">
        <is>
          <t>cochesnet</t>
        </is>
      </c>
      <c r="C436" s="2" t="inlineStr">
        <is>
          <t>https://www.coches.net/renault-megane-sport-tourer-dynamique-15dci-105cv-eco2-5p-diesel-2009-en-valencia-71783816-covo.aspx</t>
        </is>
      </c>
      <c r="D436" s="2" t="inlineStr">
        <is>
          <t>RENAULT Mégane Sport Tourer Dynamique 1.5dCi eco2</t>
        </is>
      </c>
      <c r="E436" s="2" t="inlineStr">
        <is>
          <t>Renault</t>
        </is>
      </c>
      <c r="F436" s="2" t="inlineStr">
        <is>
          <t>Renault Mégane</t>
        </is>
      </c>
      <c r="G436" s="2" t="inlineStr">
        <is>
          <t>1.5</t>
        </is>
      </c>
      <c r="H436" s="2" t="inlineStr">
        <is>
          <t>Sport Tourer Dynamique 1.5dCi 105cv eco2</t>
        </is>
      </c>
      <c r="I436" s="2" t="n"/>
      <c r="J436" s="2" t="n">
        <v>105</v>
      </c>
      <c r="K436" s="2" t="inlineStr">
        <is>
          <t>diesel</t>
        </is>
      </c>
      <c r="L436" s="2" t="inlineStr">
        <is>
          <t>familiar</t>
        </is>
      </c>
      <c r="M436" s="2" t="n">
        <v>2010</v>
      </c>
      <c r="N436" s="2" t="n">
        <v>186000</v>
      </c>
      <c r="O436" s="2" t="n">
        <v>4990</v>
      </c>
      <c r="P436" s="2" t="inlineStr">
        <is>
          <t>manual</t>
        </is>
      </c>
      <c r="Q436" s="2" t="inlineStr">
        <is>
          <t>no</t>
        </is>
      </c>
      <c r="R436" s="2" t="inlineStr">
        <is>
          <t>profesional</t>
        </is>
      </c>
      <c r="S436" s="2" t="inlineStr">
        <is>
          <t>PRIM CARS Alboraya</t>
        </is>
      </c>
      <c r="T436" s="2" t="inlineStr">
        <is>
          <t>2026-10-19T18:24:38Z</t>
        </is>
      </c>
      <c r="U436" s="2" t="n">
        <v>23</v>
      </c>
      <c r="V436" s="2" t="inlineStr">
        <is>
          <t>sí</t>
        </is>
      </c>
      <c r="W436" s="2" t="n"/>
      <c r="X436" s="2" t="n"/>
      <c r="Y436" s="2" t="n">
        <v>1</v>
      </c>
      <c r="Z436" s="2" t="inlineStr">
        <is>
          <t>sí</t>
        </is>
      </c>
      <c r="AA436" s="2" t="n"/>
      <c r="AB436" s="2" t="n">
        <v>12</v>
      </c>
      <c r="AC436" s="2" t="n"/>
      <c r="AD436" s="2" t="n"/>
      <c r="AE436" s="2" t="n"/>
      <c r="AF436" s="2" t="n"/>
      <c r="AG436" s="2" t="n"/>
      <c r="AH436" s="2" t="n">
        <v>4990</v>
      </c>
      <c r="AI436" s="2" t="n">
        <v>4990</v>
      </c>
      <c r="AJ436" s="2" t="n"/>
      <c r="AK436" s="2" t="n"/>
      <c r="AL436" s="2" t="n"/>
      <c r="AM436" s="2" t="n">
        <v>4</v>
      </c>
      <c r="AN436" s="2" t="n">
        <v>5045</v>
      </c>
      <c r="AO436" s="2" t="n">
        <v>12</v>
      </c>
      <c r="AP436" s="2" t="inlineStr">
        <is>
          <t>modelo+año+km</t>
        </is>
      </c>
      <c r="AQ436" s="2" t="n"/>
      <c r="AR43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 carrocería familiar: -3 puntos</t>
        </is>
      </c>
      <c r="AS436" s="2" t="inlineStr">
        <is>
          <t>RENAULT MÉGANE III ESTATE 1.5 dCi 106 CV – AÑO 2010
Vehículo nacional, procedente de único propietario, en buen estado de conservación, cuidado y listo para circular.
Se entrega con mantenimiento recién realizado e ITV recién pasada.
Dispone de distintivo ambiental B.
Equipamiento destacado:
* Barras de techo
* Aire acondicionado 
* Control de crucero y limitador de velocidad
* Ordenador de a bordo
* Elevalunas eléctricos
* Retrovisores eléctricos
* Cierre centralizado con mando y dos llaves 
* Dirección asistida
* Volante regulable en altura y profundidad
* Asientos traseros abatibles
* Amplio maletero con gran capacidad de carga
* Sistema de audio con radio y CD
* Airbags frontales y laterales
* Sistema antibloqueo de frenos ABS
* Control electrónico de estabilidad ESP
* 
Para más información o concertar una visita, contactar sin compromiso.
Este anuncio tiene carácter informativo y no contractual, pudiendo contener errores tipográficos. El equipamiento concreto puede variar según la versión y debe verificarse en el vehículo.</t>
        </is>
      </c>
      <c r="AT436" s="2" t="inlineStr">
        <is>
          <t>https://www.coches.net/renault-megane-sport-tourer-dynamique-15dci-105cv-eco2-5p-diesel-2009-en-valencia-71783816-covo.aspx (window.__INITIAL_PROPS__.ad) /home/user/Alopecia/buscador-coches/raw/cochesnet/41e7d798cdcad364.json</t>
        </is>
      </c>
      <c r="AU436" s="3">
        <f>MAX(ANIO_ACTUAL-M436,0)</f>
        <v/>
      </c>
      <c r="AV436" s="4">
        <f>N436/MAX(AU436,0.5)</f>
        <v/>
      </c>
      <c r="AW436" s="4">
        <f>F436</f>
        <v/>
      </c>
      <c r="AX436" s="3">
        <f>AW436&amp;"|"&amp;INT(M436/SEG_ANIO)*SEG_ANIO</f>
        <v/>
      </c>
      <c r="AY436" s="3">
        <f>AX436&amp;"|"&amp;INT(N436/SEG_KM)*SEG_KM</f>
        <v/>
      </c>
      <c r="AZ436" s="4">
        <f>COUNTIF($AW$2:$AW$662,AW436)</f>
        <v/>
      </c>
      <c r="BA436" s="4">
        <f>COUNTIF($AX$2:$AX$662,AX436)</f>
        <v/>
      </c>
      <c r="BB436" s="4">
        <f>COUNTIF($AY$2:$AY$662,AY436)</f>
        <v/>
      </c>
      <c r="BC436" s="3">
        <f t="array" ref="BC436">IF(N(AO436)&gt;=MIN_N,AN436,IF(BB436&gt;=MIN_N,MEDIAN(IF($AY$2:$AY$662=AY436,$O$2:$O$662)),IF(BA436&gt;=MIN_N,MEDIAN(IF($AX$2:$AX$662=AX436,$O$2:$O$662)),MEDIAN(IF($AW$2:$AW$662=AW436,$O$2:$O$662)))))</f>
        <v/>
      </c>
      <c r="BD436" s="3">
        <f>IF(N(AO436)&gt;=MIN_N,"mercado "&amp;AP436,IF(BB436&gt;=MIN_N,"modelo+año+km",IF(BA436&gt;=MIN_N,"modelo+año","modelo")))</f>
        <v/>
      </c>
      <c r="BE436" s="4">
        <f>(BC436-O436)/BC436</f>
        <v/>
      </c>
      <c r="BF436" s="3">
        <f>IF(OR(K436="hibrido",K436="glp"),"ECO",IF(K436="electrico","CERO",IF(K436="gasolina",IF(M436&gt;=GAS_C,"C",IF(M436&gt;=GAS_B,"B","A")),IF(K436="diesel",IF(M436&gt;=DIE_C,"C",IF(M436&gt;=DIE_B,"B","A")),""))))</f>
        <v/>
      </c>
      <c r="BG436" s="3">
        <f>IFERROR(VLOOKUP(F436,MOD_TBL,11,0),IFERROR(VLOOKUP(E436,OCU_TBL,2,0),NEUTRO))</f>
        <v/>
      </c>
      <c r="BH436" s="3">
        <f>SUMIFS(MOT_AJUSTE,MOT_MOTOR,G436,MOT_MARCA,E436,MOT_DESDE,"&lt;="&amp;M436,MOT_HASTA,"&gt;="&amp;M436)+SUMIFS(MOT_AJUSTE,MOT_MOTOR,G436,MOT_MARCA,"(todas)",MOT_DESDE,"&lt;="&amp;M436,MOT_HASTA,"&gt;="&amp;M436)</f>
        <v/>
      </c>
      <c r="BI436" s="3">
        <f>SUMIFS(COMB_AJUSTE,COMB_COMB,K436)</f>
        <v/>
      </c>
      <c r="BJ436" s="3">
        <f>COUNTIFS(MOT_MOTOR,G436,MOT_MARCA,E436,MOT_DESDE,"&lt;="&amp;M436,MOT_HASTA,"&gt;="&amp;M436)+COUNTIFS(MOT_MOTOR,G436,MOT_MARCA,"(todas)",MOT_DESDE,"&lt;="&amp;M436,MOT_HASTA,"&gt;="&amp;M436)</f>
        <v/>
      </c>
      <c r="BK436" s="3">
        <f>IF(AND(K436="diesel",BJ436=0),MIN(BG436,NEUTRO),BG436)</f>
        <v/>
      </c>
      <c r="BL436" s="4">
        <f>MAX(0,MIN(100,BK436+BH436+BI436))</f>
        <v/>
      </c>
      <c r="BM436" s="3">
        <f>MAX(0,MIN(100,50+BE436*PRECIO_PEND))</f>
        <v/>
      </c>
      <c r="BN436" s="3">
        <f>MAX(0,100*(1-N436/KM_MAX))</f>
        <v/>
      </c>
      <c r="BO436" s="3">
        <f>IF(AV436&lt;KMA_SOSP,IF(AA436="sí",100,KMA_PEN),IF(AV436&lt;=KMA_IDEAL_MAX,100,MAX(0,100*(KMA_CERO-AV436)/(KMA_CERO-KMA_IDEAL_MAX))))</f>
        <v/>
      </c>
      <c r="BP436" s="3">
        <f>MAX(0,MIN(100,100*(M436-ANIO_MIN)/(ANIO_ACTUAL-ANIO_MIN)))</f>
        <v/>
      </c>
      <c r="BQ436" s="3">
        <f>W_KMT*BN436+W_KMA*BO436+W_EDAD*BP436</f>
        <v/>
      </c>
      <c r="BR436" s="3">
        <f>P_ITV*(V436="sí")+P_LIBRO*(W436="sí")+P_CORREA*(X436="sí")+P_PROP*(Y436=1)+P_GAR*(Z436="sí")+P_FOTOS*MIN(1,N(U436)/FOTOS_OBJ)</f>
        <v/>
      </c>
      <c r="BS436" s="3">
        <f>IFERROR(VLOOKUP(BF436,ETQ_TBL,2,0),NEUTRO)</f>
        <v/>
      </c>
      <c r="BT436" s="3">
        <f>NEUTRO</f>
        <v/>
      </c>
      <c r="BU436" s="3">
        <f>IFERROR(VLOOKUP(L436,SEGURO_TBL,3,0),"")</f>
        <v/>
      </c>
      <c r="BV436" s="3">
        <f>IF(BU436="",NEUTRO,MAX(0,MIN(100,100*(SEG_REF_MAX-BU436)/(SEG_REF_MAX-SEG_REF_MIN))))</f>
        <v/>
      </c>
      <c r="BW436" s="3">
        <f>W_ET*BS436+W_CONS*BT436+W_SEG*BV436</f>
        <v/>
      </c>
      <c r="BX436" s="3">
        <f>IF(N(AB436)&gt;0,AB436,IF(AND(R436="profesional",SG_LEGAL_ON=1),GAR_LEGAL,0))</f>
        <v/>
      </c>
      <c r="BY436" s="3">
        <f>SG_GAR*MIN(1,BX436/SG_GAR_FULL)+SG_AMPL*(AC436="sí")+SG_KMC*(AF436="sí")+SG_REV*(N(AE436)&gt;0)+SG_DEV*MIN(1,N(AG436)/SG_DEV_FULL)+SG_HIST*(W436="sí")</f>
        <v/>
      </c>
      <c r="BZ436" s="3">
        <f>IFERROR(VLOOKUP(L436,CARR_PEN_TBL,2,0),0)</f>
        <v/>
      </c>
      <c r="CA436" s="3">
        <f>W_FIAB*BL436+W_PRECIO*BM436+W_KMEDAD*BQ436+W_ANUNCIO*BR436+W_USO*BW436+W_SEGURIDAD*BY436-BZ436</f>
        <v/>
      </c>
      <c r="CB436" s="4">
        <f>IF(N(I436)&gt;0,I436,IFERROR(ROUND(_xlfn.NUMBERVALUE(LEFT(G436,FIND(" ",G436&amp;" ")-1),".")*1000,0),99999))</f>
        <v/>
      </c>
      <c r="CC436" s="3">
        <f>IF(R436="profesional",0,IF(O436&lt;CUOTA_VALOR_MAX,IF(AU436&gt;ITP_TRAMO_ALTO,SUMIFS(CF_CUOTA,CF_MAS,ITP_TRAMO_ALTO,CF_CCMIN,"&lt;="&amp;CB436,CF_CCMAX,"&gt;="&amp;CB436),IF(AU436&gt;ITP_TRAMO_BAJO,SUMIFS(CF_CUOTA,CF_MAS,ITP_TRAMO_BAJO,CF_CCMIN,"&lt;="&amp;CB436,CF_CCMAX,"&gt;="&amp;CB436),O436*ITP_TIPO)),O436*ITP_TIPO))</f>
        <v/>
      </c>
      <c r="CD436" s="4">
        <f>IF(R436="profesional",N(AK436),0)</f>
        <v/>
      </c>
      <c r="CE436" s="3">
        <f>IF(AND(R436="profesional",ISNUMBER(AK436),AL436="sí"),0,TASA_DGT)</f>
        <v/>
      </c>
      <c r="CF436" s="3">
        <f>INFORME_DGT</f>
        <v/>
      </c>
      <c r="CG436" s="4">
        <f>O436+CD436+CC436+CE436+CF436</f>
        <v/>
      </c>
      <c r="CH436" s="4">
        <f>CG436+N(BU436)</f>
        <v/>
      </c>
      <c r="CI436" s="3">
        <f>IF(CG436&lt;=TOTAL_MAX,"sí",IF(CG436&lt;=TOTAL_MAX+MARGEN_NEG,"negociar","no"))</f>
        <v/>
      </c>
      <c r="CJ436" s="4">
        <f>IF(CI436&lt;&gt;"no",COUNTIFS($CI$2:$CI$662,"&lt;&gt;no",$CA$2:$CA$662,"&gt;"&amp;CA436)+COUNTIFS($CI$2:CI436,"&lt;&gt;no",$CA$2:CA436,CA436),"")</f>
        <v/>
      </c>
    </row>
    <row r="437">
      <c r="A437" s="2" t="inlineStr">
        <is>
          <t>cochesnet:71789007</t>
        </is>
      </c>
      <c r="B437" s="2" t="inlineStr">
        <is>
          <t>cochesnet</t>
        </is>
      </c>
      <c r="C437" s="2" t="inlineStr">
        <is>
          <t>https://www.coches.net/renault-megane-sedan-confort-authentique-16-16v-4p-gasolina-2006-en-valencia-71789007-covo.aspx</t>
        </is>
      </c>
      <c r="D437" s="2" t="inlineStr">
        <is>
          <t>RENAULT Megane SEDAN CONFORT AUTHENTIQUE 1.6 16v</t>
        </is>
      </c>
      <c r="E437" s="2" t="inlineStr">
        <is>
          <t>Renault</t>
        </is>
      </c>
      <c r="F437" s="2" t="inlineStr">
        <is>
          <t>Renault Mégane</t>
        </is>
      </c>
      <c r="G437" s="2" t="inlineStr">
        <is>
          <t>1.6</t>
        </is>
      </c>
      <c r="H437" s="2" t="inlineStr">
        <is>
          <t>SEDAN CONFORT AUTHENTIQUE 1.6 16v</t>
        </is>
      </c>
      <c r="I437" s="2" t="n"/>
      <c r="J437" s="2" t="n"/>
      <c r="K437" s="2" t="inlineStr">
        <is>
          <t>gasolina</t>
        </is>
      </c>
      <c r="L437" s="2" t="inlineStr">
        <is>
          <t>berlina</t>
        </is>
      </c>
      <c r="M437" s="2" t="n">
        <v>2006</v>
      </c>
      <c r="N437" s="2" t="n">
        <v>215766</v>
      </c>
      <c r="O437" s="2" t="n">
        <v>1500</v>
      </c>
      <c r="P437" s="2" t="inlineStr">
        <is>
          <t>manual</t>
        </is>
      </c>
      <c r="Q437" s="2" t="inlineStr">
        <is>
          <t>no</t>
        </is>
      </c>
      <c r="R437" s="2" t="inlineStr">
        <is>
          <t>particular</t>
        </is>
      </c>
      <c r="S437" s="2" t="n"/>
      <c r="T437" s="2" t="inlineStr">
        <is>
          <t>2026-10-20T08:41:04Z</t>
        </is>
      </c>
      <c r="U437" s="2" t="n">
        <v>4</v>
      </c>
      <c r="V437" s="2" t="inlineStr">
        <is>
          <t>sí</t>
        </is>
      </c>
      <c r="W437" s="2" t="n"/>
      <c r="X437" s="2" t="n"/>
      <c r="Y437" s="2" t="n"/>
      <c r="Z437" s="2" t="inlineStr">
        <is>
          <t>no</t>
        </is>
      </c>
      <c r="AA437" s="2" t="n"/>
      <c r="AB437" s="2" t="n"/>
      <c r="AC437" s="2" t="n"/>
      <c r="AD437" s="2" t="n"/>
      <c r="AE437" s="2" t="n"/>
      <c r="AF437" s="2" t="n"/>
      <c r="AG437" s="2" t="n"/>
      <c r="AH437" s="2" t="n">
        <v>1500</v>
      </c>
      <c r="AI437" s="2" t="n"/>
      <c r="AJ437" s="2" t="n"/>
      <c r="AK437" s="2" t="n"/>
      <c r="AL437" s="2" t="n"/>
      <c r="AM437" s="2" t="n"/>
      <c r="AN437" s="2" t="n">
        <v>2300</v>
      </c>
      <c r="AO437" s="2" t="n">
        <v>12</v>
      </c>
      <c r="AP437" s="2" t="inlineStr">
        <is>
          <t>modelo+año+km</t>
        </is>
      </c>
      <c r="AQ437" s="2" t="n"/>
      <c r="AR437" s="2" t="inlineStr">
        <is>
          <t>cuota fija ITP: &gt;12 años, 1.501-2.000 cc; carrocería berlina: -4 puntos; distancia no verificable (el anuncio solo indica la provincia): confirmar que está a &lt;= 70 km</t>
        </is>
      </c>
      <c r="AS437" s="2" t="inlineStr">
        <is>
          <t>ITV pasada ...funciona correctamente alguna tapa y algunos razguñosde nada ...
se vende para pagar un arreglo de otro coche...</t>
        </is>
      </c>
      <c r="AT437" s="2" t="inlineStr">
        <is>
          <t>https://www.coches.net/renault-megane-sedan-confort-authentique-16-16v-4p-gasolina-2006-en-valencia-71789007-covo.aspx (window.__INITIAL_PROPS__.ad) /home/user/Alopecia/buscador-coches/raw/cochesnet/a78fe4b5457f1d41.json</t>
        </is>
      </c>
      <c r="AU437" s="3">
        <f>MAX(ANIO_ACTUAL-M437,0)</f>
        <v/>
      </c>
      <c r="AV437" s="4">
        <f>N437/MAX(AU437,0.5)</f>
        <v/>
      </c>
      <c r="AW437" s="4">
        <f>F437</f>
        <v/>
      </c>
      <c r="AX437" s="3">
        <f>AW437&amp;"|"&amp;INT(M437/SEG_ANIO)*SEG_ANIO</f>
        <v/>
      </c>
      <c r="AY437" s="3">
        <f>AX437&amp;"|"&amp;INT(N437/SEG_KM)*SEG_KM</f>
        <v/>
      </c>
      <c r="AZ437" s="4">
        <f>COUNTIF($AW$2:$AW$662,AW437)</f>
        <v/>
      </c>
      <c r="BA437" s="4">
        <f>COUNTIF($AX$2:$AX$662,AX437)</f>
        <v/>
      </c>
      <c r="BB437" s="4">
        <f>COUNTIF($AY$2:$AY$662,AY437)</f>
        <v/>
      </c>
      <c r="BC437" s="3">
        <f t="array" ref="BC437">IF(N(AO437)&gt;=MIN_N,AN437,IF(BB437&gt;=MIN_N,MEDIAN(IF($AY$2:$AY$662=AY437,$O$2:$O$662)),IF(BA437&gt;=MIN_N,MEDIAN(IF($AX$2:$AX$662=AX437,$O$2:$O$662)),MEDIAN(IF($AW$2:$AW$662=AW437,$O$2:$O$662)))))</f>
        <v/>
      </c>
      <c r="BD437" s="3">
        <f>IF(N(AO437)&gt;=MIN_N,"mercado "&amp;AP437,IF(BB437&gt;=MIN_N,"modelo+año+km",IF(BA437&gt;=MIN_N,"modelo+año","modelo")))</f>
        <v/>
      </c>
      <c r="BE437" s="4">
        <f>(BC437-O437)/BC437</f>
        <v/>
      </c>
      <c r="BF437" s="3">
        <f>IF(OR(K437="hibrido",K437="glp"),"ECO",IF(K437="electrico","CERO",IF(K437="gasolina",IF(M437&gt;=GAS_C,"C",IF(M437&gt;=GAS_B,"B","A")),IF(K437="diesel",IF(M437&gt;=DIE_C,"C",IF(M437&gt;=DIE_B,"B","A")),""))))</f>
        <v/>
      </c>
      <c r="BG437" s="3">
        <f>IFERROR(VLOOKUP(F437,MOD_TBL,11,0),IFERROR(VLOOKUP(E437,OCU_TBL,2,0),NEUTRO))</f>
        <v/>
      </c>
      <c r="BH437" s="3">
        <f>SUMIFS(MOT_AJUSTE,MOT_MOTOR,G437,MOT_MARCA,E437,MOT_DESDE,"&lt;="&amp;M437,MOT_HASTA,"&gt;="&amp;M437)+SUMIFS(MOT_AJUSTE,MOT_MOTOR,G437,MOT_MARCA,"(todas)",MOT_DESDE,"&lt;="&amp;M437,MOT_HASTA,"&gt;="&amp;M437)</f>
        <v/>
      </c>
      <c r="BI437" s="3">
        <f>SUMIFS(COMB_AJUSTE,COMB_COMB,K437)</f>
        <v/>
      </c>
      <c r="BJ437" s="3">
        <f>COUNTIFS(MOT_MOTOR,G437,MOT_MARCA,E437,MOT_DESDE,"&lt;="&amp;M437,MOT_HASTA,"&gt;="&amp;M437)+COUNTIFS(MOT_MOTOR,G437,MOT_MARCA,"(todas)",MOT_DESDE,"&lt;="&amp;M437,MOT_HASTA,"&gt;="&amp;M437)</f>
        <v/>
      </c>
      <c r="BK437" s="3">
        <f>IF(AND(K437="diesel",BJ437=0),MIN(BG437,NEUTRO),BG437)</f>
        <v/>
      </c>
      <c r="BL437" s="4">
        <f>MAX(0,MIN(100,BK437+BH437+BI437))</f>
        <v/>
      </c>
      <c r="BM437" s="3">
        <f>MAX(0,MIN(100,50+BE437*PRECIO_PEND))</f>
        <v/>
      </c>
      <c r="BN437" s="3">
        <f>MAX(0,100*(1-N437/KM_MAX))</f>
        <v/>
      </c>
      <c r="BO437" s="3">
        <f>IF(AV437&lt;KMA_SOSP,IF(AA437="sí",100,KMA_PEN),IF(AV437&lt;=KMA_IDEAL_MAX,100,MAX(0,100*(KMA_CERO-AV437)/(KMA_CERO-KMA_IDEAL_MAX))))</f>
        <v/>
      </c>
      <c r="BP437" s="3">
        <f>MAX(0,MIN(100,100*(M437-ANIO_MIN)/(ANIO_ACTUAL-ANIO_MIN)))</f>
        <v/>
      </c>
      <c r="BQ437" s="3">
        <f>W_KMT*BN437+W_KMA*BO437+W_EDAD*BP437</f>
        <v/>
      </c>
      <c r="BR437" s="3">
        <f>P_ITV*(V437="sí")+P_LIBRO*(W437="sí")+P_CORREA*(X437="sí")+P_PROP*(Y437=1)+P_GAR*(Z437="sí")+P_FOTOS*MIN(1,N(U437)/FOTOS_OBJ)</f>
        <v/>
      </c>
      <c r="BS437" s="3">
        <f>IFERROR(VLOOKUP(BF437,ETQ_TBL,2,0),NEUTRO)</f>
        <v/>
      </c>
      <c r="BT437" s="3">
        <f>NEUTRO</f>
        <v/>
      </c>
      <c r="BU437" s="3">
        <f>IFERROR(VLOOKUP(L437,SEGURO_TBL,3,0),"")</f>
        <v/>
      </c>
      <c r="BV437" s="3">
        <f>IF(BU437="",NEUTRO,MAX(0,MIN(100,100*(SEG_REF_MAX-BU437)/(SEG_REF_MAX-SEG_REF_MIN))))</f>
        <v/>
      </c>
      <c r="BW437" s="3">
        <f>W_ET*BS437+W_CONS*BT437+W_SEG*BV437</f>
        <v/>
      </c>
      <c r="BX437" s="3">
        <f>IF(N(AB437)&gt;0,AB437,IF(AND(R437="profesional",SG_LEGAL_ON=1),GAR_LEGAL,0))</f>
        <v/>
      </c>
      <c r="BY437" s="3">
        <f>SG_GAR*MIN(1,BX437/SG_GAR_FULL)+SG_AMPL*(AC437="sí")+SG_KMC*(AF437="sí")+SG_REV*(N(AE437)&gt;0)+SG_DEV*MIN(1,N(AG437)/SG_DEV_FULL)+SG_HIST*(W437="sí")</f>
        <v/>
      </c>
      <c r="BZ437" s="3">
        <f>IFERROR(VLOOKUP(L437,CARR_PEN_TBL,2,0),0)</f>
        <v/>
      </c>
      <c r="CA437" s="3">
        <f>W_FIAB*BL437+W_PRECIO*BM437+W_KMEDAD*BQ437+W_ANUNCIO*BR437+W_USO*BW437+W_SEGURIDAD*BY437-BZ437</f>
        <v/>
      </c>
      <c r="CB437" s="4">
        <f>IF(N(I437)&gt;0,I437,IFERROR(ROUND(_xlfn.NUMBERVALUE(LEFT(G437,FIND(" ",G437&amp;" ")-1),".")*1000,0),99999))</f>
        <v/>
      </c>
      <c r="CC437" s="3">
        <f>IF(R437="profesional",0,IF(O437&lt;CUOTA_VALOR_MAX,IF(AU437&gt;ITP_TRAMO_ALTO,SUMIFS(CF_CUOTA,CF_MAS,ITP_TRAMO_ALTO,CF_CCMIN,"&lt;="&amp;CB437,CF_CCMAX,"&gt;="&amp;CB437),IF(AU437&gt;ITP_TRAMO_BAJO,SUMIFS(CF_CUOTA,CF_MAS,ITP_TRAMO_BAJO,CF_CCMIN,"&lt;="&amp;CB437,CF_CCMAX,"&gt;="&amp;CB437),O437*ITP_TIPO)),O437*ITP_TIPO))</f>
        <v/>
      </c>
      <c r="CD437" s="4">
        <f>IF(R437="profesional",N(AK437),0)</f>
        <v/>
      </c>
      <c r="CE437" s="3">
        <f>IF(AND(R437="profesional",ISNUMBER(AK437),AL437="sí"),0,TASA_DGT)</f>
        <v/>
      </c>
      <c r="CF437" s="3">
        <f>INFORME_DGT</f>
        <v/>
      </c>
      <c r="CG437" s="4">
        <f>O437+CD437+CC437+CE437+CF437</f>
        <v/>
      </c>
      <c r="CH437" s="4">
        <f>CG437+N(BU437)</f>
        <v/>
      </c>
      <c r="CI437" s="3">
        <f>IF(CG437&lt;=TOTAL_MAX,"sí",IF(CG437&lt;=TOTAL_MAX+MARGEN_NEG,"negociar","no"))</f>
        <v/>
      </c>
      <c r="CJ437" s="4">
        <f>IF(CI437&lt;&gt;"no",COUNTIFS($CI$2:$CI$662,"&lt;&gt;no",$CA$2:$CA$662,"&gt;"&amp;CA437)+COUNTIFS($CI$2:CI437,"&lt;&gt;no",$CA$2:CA437,CA437),"")</f>
        <v/>
      </c>
    </row>
    <row r="438">
      <c r="A438" s="2" t="inlineStr">
        <is>
          <t>cochesnet:71755437</t>
        </is>
      </c>
      <c r="B438" s="2" t="inlineStr">
        <is>
          <t>cochesnet</t>
        </is>
      </c>
      <c r="C438" s="2" t="inlineStr">
        <is>
          <t>https://www.coches.net/renault-megane-business-dci-110-eco2-5p-diesel-2012-en-valencia-71755437-covo.aspx</t>
        </is>
      </c>
      <c r="D438" s="2" t="inlineStr">
        <is>
          <t>RENAULT Mégane Business dCi 110 eco2</t>
        </is>
      </c>
      <c r="E438" s="2" t="inlineStr">
        <is>
          <t>Renault</t>
        </is>
      </c>
      <c r="F438" s="2" t="inlineStr">
        <is>
          <t>Renault Mégane</t>
        </is>
      </c>
      <c r="G438" s="2" t="inlineStr">
        <is>
          <t>? dCi</t>
        </is>
      </c>
      <c r="H438" s="2" t="inlineStr">
        <is>
          <t>Business dCi 110 eco2</t>
        </is>
      </c>
      <c r="I438" s="2" t="n"/>
      <c r="J438" s="2" t="n"/>
      <c r="K438" s="2" t="inlineStr">
        <is>
          <t>diesel</t>
        </is>
      </c>
      <c r="L438" s="2" t="inlineStr">
        <is>
          <t>compacto</t>
        </is>
      </c>
      <c r="M438" s="2" t="n">
        <v>2013</v>
      </c>
      <c r="N438" s="2" t="n">
        <v>200000</v>
      </c>
      <c r="O438" s="2" t="n">
        <v>4800</v>
      </c>
      <c r="P438" s="2" t="inlineStr">
        <is>
          <t>manual</t>
        </is>
      </c>
      <c r="Q438" s="2" t="inlineStr">
        <is>
          <t>no</t>
        </is>
      </c>
      <c r="R438" s="2" t="inlineStr">
        <is>
          <t>profesional</t>
        </is>
      </c>
      <c r="S438" s="2" t="inlineStr">
        <is>
          <t>Coches Valencia Alaquàs</t>
        </is>
      </c>
      <c r="T438" s="2" t="inlineStr">
        <is>
          <t>2026-10-15T18:27:46Z</t>
        </is>
      </c>
      <c r="U438" s="2" t="n">
        <v>10</v>
      </c>
      <c r="V438" s="2" t="n"/>
      <c r="W438" s="2" t="n"/>
      <c r="X438" s="2" t="n"/>
      <c r="Y438" s="2" t="n"/>
      <c r="Z438" s="2" t="inlineStr">
        <is>
          <t>sí</t>
        </is>
      </c>
      <c r="AA438" s="2" t="n"/>
      <c r="AB438" s="2" t="n">
        <v>12</v>
      </c>
      <c r="AC438" s="2" t="n"/>
      <c r="AD438" s="2" t="n"/>
      <c r="AE438" s="2" t="n"/>
      <c r="AF438" s="2" t="n"/>
      <c r="AG438" s="2" t="n"/>
      <c r="AH438" s="2" t="n">
        <v>4800</v>
      </c>
      <c r="AI438" s="2" t="n"/>
      <c r="AJ438" s="2" t="n"/>
      <c r="AK438" s="2" t="n"/>
      <c r="AL438" s="2" t="n"/>
      <c r="AM438" s="2" t="n">
        <v>7.4</v>
      </c>
      <c r="AN438" s="2" t="n">
        <v>4930</v>
      </c>
      <c r="AO438" s="2" t="n">
        <v>4</v>
      </c>
      <c r="AP438" s="2" t="inlineStr">
        <is>
          <t>modelo+año+km</t>
        </is>
      </c>
      <c r="AQ438" s="2" t="n"/>
      <c r="AR438" s="2" t="inlineStr">
        <is>
          <t>vendedor profesional: sin ITP (operación con IVA/REBU, confirmar en factura); gastos de gestión del vendedor no indicados: se suma la tasa DGT; preguntar el precio final; diésel: motor sin fuente de fiabilidad (fiabilidad limitada a neutra)</t>
        </is>
      </c>
      <c r="AS438" s="2" t="inlineStr">
        <is>
          <t>Vehículo en buenas condiciones ITV, rudas ok, mantenimiento reciente realizado, enganche de remolque, vehículo se entrega con un año de garantía</t>
        </is>
      </c>
      <c r="AT438" s="2" t="inlineStr">
        <is>
          <t>https://www.coches.net/renault-megane-business-dci-110-eco2-5p-diesel-2012-en-valencia-71755437-covo.aspx (window.__INITIAL_PROPS__.ad) /home/user/Alopecia/buscador-coches/raw/cochesnet/32f6851316c575f0.json</t>
        </is>
      </c>
      <c r="AU438" s="3">
        <f>MAX(ANIO_ACTUAL-M438,0)</f>
        <v/>
      </c>
      <c r="AV438" s="4">
        <f>N438/MAX(AU438,0.5)</f>
        <v/>
      </c>
      <c r="AW438" s="4">
        <f>F438</f>
        <v/>
      </c>
      <c r="AX438" s="3">
        <f>AW438&amp;"|"&amp;INT(M438/SEG_ANIO)*SEG_ANIO</f>
        <v/>
      </c>
      <c r="AY438" s="3">
        <f>AX438&amp;"|"&amp;INT(N438/SEG_KM)*SEG_KM</f>
        <v/>
      </c>
      <c r="AZ438" s="4">
        <f>COUNTIF($AW$2:$AW$662,AW438)</f>
        <v/>
      </c>
      <c r="BA438" s="4">
        <f>COUNTIF($AX$2:$AX$662,AX438)</f>
        <v/>
      </c>
      <c r="BB438" s="4">
        <f>COUNTIF($AY$2:$AY$662,AY438)</f>
        <v/>
      </c>
      <c r="BC438" s="3">
        <f t="array" ref="BC438">IF(N(AO438)&gt;=MIN_N,AN438,IF(BB438&gt;=MIN_N,MEDIAN(IF($AY$2:$AY$662=AY438,$O$2:$O$662)),IF(BA438&gt;=MIN_N,MEDIAN(IF($AX$2:$AX$662=AX438,$O$2:$O$662)),MEDIAN(IF($AW$2:$AW$662=AW438,$O$2:$O$662)))))</f>
        <v/>
      </c>
      <c r="BD438" s="3">
        <f>IF(N(AO438)&gt;=MIN_N,"mercado "&amp;AP438,IF(BB438&gt;=MIN_N,"modelo+año+km",IF(BA438&gt;=MIN_N,"modelo+año","modelo")))</f>
        <v/>
      </c>
      <c r="BE438" s="4">
        <f>(BC438-O438)/BC438</f>
        <v/>
      </c>
      <c r="BF438" s="3">
        <f>IF(OR(K438="hibrido",K438="glp"),"ECO",IF(K438="electrico","CERO",IF(K438="gasolina",IF(M438&gt;=GAS_C,"C",IF(M438&gt;=GAS_B,"B","A")),IF(K438="diesel",IF(M438&gt;=DIE_C,"C",IF(M438&gt;=DIE_B,"B","A")),""))))</f>
        <v/>
      </c>
      <c r="BG438" s="3">
        <f>IFERROR(VLOOKUP(F438,MOD_TBL,11,0),IFERROR(VLOOKUP(E438,OCU_TBL,2,0),NEUTRO))</f>
        <v/>
      </c>
      <c r="BH438" s="3">
        <f>SUMIFS(MOT_AJUSTE,MOT_MOTOR,G438,MOT_MARCA,E438,MOT_DESDE,"&lt;="&amp;M438,MOT_HASTA,"&gt;="&amp;M438)+SUMIFS(MOT_AJUSTE,MOT_MOTOR,G438,MOT_MARCA,"(todas)",MOT_DESDE,"&lt;="&amp;M438,MOT_HASTA,"&gt;="&amp;M438)</f>
        <v/>
      </c>
      <c r="BI438" s="3">
        <f>SUMIFS(COMB_AJUSTE,COMB_COMB,K438)</f>
        <v/>
      </c>
      <c r="BJ438" s="3">
        <f>COUNTIFS(MOT_MOTOR,G438,MOT_MARCA,E438,MOT_DESDE,"&lt;="&amp;M438,MOT_HASTA,"&gt;="&amp;M438)+COUNTIFS(MOT_MOTOR,G438,MOT_MARCA,"(todas)",MOT_DESDE,"&lt;="&amp;M438,MOT_HASTA,"&gt;="&amp;M438)</f>
        <v/>
      </c>
      <c r="BK438" s="3">
        <f>IF(AND(K438="diesel",BJ438=0),MIN(BG438,NEUTRO),BG438)</f>
        <v/>
      </c>
      <c r="BL438" s="4">
        <f>MAX(0,MIN(100,BK438+BH438+BI438))</f>
        <v/>
      </c>
      <c r="BM438" s="3">
        <f>MAX(0,MIN(100,50+BE438*PRECIO_PEND))</f>
        <v/>
      </c>
      <c r="BN438" s="3">
        <f>MAX(0,100*(1-N438/KM_MAX))</f>
        <v/>
      </c>
      <c r="BO438" s="3">
        <f>IF(AV438&lt;KMA_SOSP,IF(AA438="sí",100,KMA_PEN),IF(AV438&lt;=KMA_IDEAL_MAX,100,MAX(0,100*(KMA_CERO-AV438)/(KMA_CERO-KMA_IDEAL_MAX))))</f>
        <v/>
      </c>
      <c r="BP438" s="3">
        <f>MAX(0,MIN(100,100*(M438-ANIO_MIN)/(ANIO_ACTUAL-ANIO_MIN)))</f>
        <v/>
      </c>
      <c r="BQ438" s="3">
        <f>W_KMT*BN438+W_KMA*BO438+W_EDAD*BP438</f>
        <v/>
      </c>
      <c r="BR438" s="3">
        <f>P_ITV*(V438="sí")+P_LIBRO*(W438="sí")+P_CORREA*(X438="sí")+P_PROP*(Y438=1)+P_GAR*(Z438="sí")+P_FOTOS*MIN(1,N(U438)/FOTOS_OBJ)</f>
        <v/>
      </c>
      <c r="BS438" s="3">
        <f>IFERROR(VLOOKUP(BF438,ETQ_TBL,2,0),NEUTRO)</f>
        <v/>
      </c>
      <c r="BT438" s="3">
        <f>NEUTRO</f>
        <v/>
      </c>
      <c r="BU438" s="3">
        <f>IFERROR(VLOOKUP(L438,SEGURO_TBL,3,0),"")</f>
        <v/>
      </c>
      <c r="BV438" s="3">
        <f>IF(BU438="",NEUTRO,MAX(0,MIN(100,100*(SEG_REF_MAX-BU438)/(SEG_REF_MAX-SEG_REF_MIN))))</f>
        <v/>
      </c>
      <c r="BW438" s="3">
        <f>W_ET*BS438+W_CONS*BT438+W_SEG*BV438</f>
        <v/>
      </c>
      <c r="BX438" s="3">
        <f>IF(N(AB438)&gt;0,AB438,IF(AND(R438="profesional",SG_LEGAL_ON=1),GAR_LEGAL,0))</f>
        <v/>
      </c>
      <c r="BY438" s="3">
        <f>SG_GAR*MIN(1,BX438/SG_GAR_FULL)+SG_AMPL*(AC438="sí")+SG_KMC*(AF438="sí")+SG_REV*(N(AE438)&gt;0)+SG_DEV*MIN(1,N(AG438)/SG_DEV_FULL)+SG_HIST*(W438="sí")</f>
        <v/>
      </c>
      <c r="BZ438" s="3">
        <f>IFERROR(VLOOKUP(L438,CARR_PEN_TBL,2,0),0)</f>
        <v/>
      </c>
      <c r="CA438" s="3">
        <f>W_FIAB*BL438+W_PRECIO*BM438+W_KMEDAD*BQ438+W_ANUNCIO*BR438+W_USO*BW438+W_SEGURIDAD*BY438-BZ438</f>
        <v/>
      </c>
      <c r="CB438" s="4">
        <f>IF(N(I438)&gt;0,I438,IFERROR(ROUND(_xlfn.NUMBERVALUE(LEFT(G438,FIND(" ",G438&amp;" ")-1),".")*1000,0),99999))</f>
        <v/>
      </c>
      <c r="CC438" s="3">
        <f>IF(R438="profesional",0,IF(O438&lt;CUOTA_VALOR_MAX,IF(AU438&gt;ITP_TRAMO_ALTO,SUMIFS(CF_CUOTA,CF_MAS,ITP_TRAMO_ALTO,CF_CCMIN,"&lt;="&amp;CB438,CF_CCMAX,"&gt;="&amp;CB438),IF(AU438&gt;ITP_TRAMO_BAJO,SUMIFS(CF_CUOTA,CF_MAS,ITP_TRAMO_BAJO,CF_CCMIN,"&lt;="&amp;CB438,CF_CCMAX,"&gt;="&amp;CB438),O438*ITP_TIPO)),O438*ITP_TIPO))</f>
        <v/>
      </c>
      <c r="CD438" s="4">
        <f>IF(R438="profesional",N(AK438),0)</f>
        <v/>
      </c>
      <c r="CE438" s="3">
        <f>IF(AND(R438="profesional",ISNUMBER(AK438),AL438="sí"),0,TASA_DGT)</f>
        <v/>
      </c>
      <c r="CF438" s="3">
        <f>INFORME_DGT</f>
        <v/>
      </c>
      <c r="CG438" s="4">
        <f>O438+CD438+CC438+CE438+CF438</f>
        <v/>
      </c>
      <c r="CH438" s="4">
        <f>CG438+N(BU438)</f>
        <v/>
      </c>
      <c r="CI438" s="3">
        <f>IF(CG438&lt;=TOTAL_MAX,"sí",IF(CG438&lt;=TOTAL_MAX+MARGEN_NEG,"negociar","no"))</f>
        <v/>
      </c>
      <c r="CJ438" s="4">
        <f>IF(CI438&lt;&gt;"no",COUNTIFS($CI$2:$CI$662,"&lt;&gt;no",$CA$2:$CA$662,"&gt;"&amp;CA438)+COUNTIFS($CI$2:CI438,"&lt;&gt;no",$CA$2:CA438,CA438),"")</f>
        <v/>
      </c>
    </row>
    <row r="439">
      <c r="A439" s="2" t="inlineStr">
        <is>
          <t>cochesnet:71440250</t>
        </is>
      </c>
      <c r="B439" s="2" t="inlineStr">
        <is>
          <t>cochesnet</t>
        </is>
      </c>
      <c r="C439" s="2" t="inlineStr">
        <is>
          <t>https://www.coches.net/renault-megane-gasolina-2006-en-valencia-71440250-covo.aspx</t>
        </is>
      </c>
      <c r="D439" s="2" t="inlineStr">
        <is>
          <t>RENAULT Megane</t>
        </is>
      </c>
      <c r="E439" s="2" t="inlineStr">
        <is>
          <t>Renault</t>
        </is>
      </c>
      <c r="F439" s="2" t="inlineStr">
        <is>
          <t>Renault Mégane</t>
        </is>
      </c>
      <c r="G439" s="2" t="n"/>
      <c r="H439" s="2" t="n"/>
      <c r="I439" s="2" t="n"/>
      <c r="J439" s="2" t="n"/>
      <c r="K439" s="2" t="inlineStr">
        <is>
          <t>gasolina</t>
        </is>
      </c>
      <c r="L439" s="2" t="inlineStr">
        <is>
          <t>compacto</t>
        </is>
      </c>
      <c r="M439" s="2" t="n">
        <v>2006</v>
      </c>
      <c r="N439" s="2" t="n">
        <v>98000</v>
      </c>
      <c r="O439" s="2" t="n">
        <v>3950</v>
      </c>
      <c r="P439" s="2" t="inlineStr">
        <is>
          <t>manual</t>
        </is>
      </c>
      <c r="Q439" s="2" t="inlineStr">
        <is>
          <t>no</t>
        </is>
      </c>
      <c r="R439" s="2" t="inlineStr">
        <is>
          <t>particular</t>
        </is>
      </c>
      <c r="S439" s="2" t="n"/>
      <c r="T439" s="2" t="inlineStr">
        <is>
          <t>2026-09-04T07:56:26Z</t>
        </is>
      </c>
      <c r="U439" s="2" t="n">
        <v>9</v>
      </c>
      <c r="V439" s="2" t="inlineStr">
        <is>
          <t>sí</t>
        </is>
      </c>
      <c r="W439" s="2" t="n"/>
      <c r="X439" s="2" t="n"/>
      <c r="Y439" s="2" t="n"/>
      <c r="Z439" s="2" t="inlineStr">
        <is>
          <t>no</t>
        </is>
      </c>
      <c r="AA439" s="2" t="n"/>
      <c r="AB439" s="2" t="n"/>
      <c r="AC439" s="2" t="n"/>
      <c r="AD439" s="2" t="n"/>
      <c r="AE439" s="2" t="n"/>
      <c r="AF439" s="2" t="n"/>
      <c r="AG439" s="2" t="n"/>
      <c r="AH439" s="2" t="n">
        <v>3950</v>
      </c>
      <c r="AI439" s="2" t="n"/>
      <c r="AJ439" s="2" t="n"/>
      <c r="AK439" s="2" t="n"/>
      <c r="AL439" s="2" t="n"/>
      <c r="AM439" s="2" t="n"/>
      <c r="AN439" s="2" t="n">
        <v>4400</v>
      </c>
      <c r="AO439" s="2" t="n">
        <v>4</v>
      </c>
      <c r="AP439" s="2" t="inlineStr">
        <is>
          <t>modelo+año+km</t>
        </is>
      </c>
      <c r="AQ439" s="2" t="n"/>
      <c r="AR439" s="2" t="inlineStr">
        <is>
          <t>cilindrada desconocida: se aplica el tramo de cuota fija más alto; cuota fija ITP: &gt;12 años, más de 2.000 cc; distancia no verificable (el anuncio solo indica la provincia): confirmar que está a &lt;= 70 km</t>
        </is>
      </c>
      <c r="AS439" s="2" t="inlineStr">
        <is>
          <t xml:space="preserve">Megane cabrio en muy buen estado duerme siempre en garage,itv recien pasada,lo vendo porque quiero comprarme una moto porque ya tengo otro coche </t>
        </is>
      </c>
      <c r="AT439" s="2" t="inlineStr">
        <is>
          <t>https://www.coches.net/renault-megane-gasolina-2006-en-valencia-71440250-covo.aspx (window.__INITIAL_PROPS__.ad) /home/user/Alopecia/buscador-coches/raw/cochesnet/c3b11070ece7013e.json</t>
        </is>
      </c>
      <c r="AU439" s="3">
        <f>MAX(ANIO_ACTUAL-M439,0)</f>
        <v/>
      </c>
      <c r="AV439" s="4">
        <f>N439/MAX(AU439,0.5)</f>
        <v/>
      </c>
      <c r="AW439" s="4">
        <f>F439</f>
        <v/>
      </c>
      <c r="AX439" s="3">
        <f>AW439&amp;"|"&amp;INT(M439/SEG_ANIO)*SEG_ANIO</f>
        <v/>
      </c>
      <c r="AY439" s="3">
        <f>AX439&amp;"|"&amp;INT(N439/SEG_KM)*SEG_KM</f>
        <v/>
      </c>
      <c r="AZ439" s="4">
        <f>COUNTIF($AW$2:$AW$662,AW439)</f>
        <v/>
      </c>
      <c r="BA439" s="4">
        <f>COUNTIF($AX$2:$AX$662,AX439)</f>
        <v/>
      </c>
      <c r="BB439" s="4">
        <f>COUNTIF($AY$2:$AY$662,AY439)</f>
        <v/>
      </c>
      <c r="BC439" s="3">
        <f t="array" ref="BC439">IF(N(AO439)&gt;=MIN_N,AN439,IF(BB439&gt;=MIN_N,MEDIAN(IF($AY$2:$AY$662=AY439,$O$2:$O$662)),IF(BA439&gt;=MIN_N,MEDIAN(IF($AX$2:$AX$662=AX439,$O$2:$O$662)),MEDIAN(IF($AW$2:$AW$662=AW439,$O$2:$O$662)))))</f>
        <v/>
      </c>
      <c r="BD439" s="3">
        <f>IF(N(AO439)&gt;=MIN_N,"mercado "&amp;AP439,IF(BB439&gt;=MIN_N,"modelo+año+km",IF(BA439&gt;=MIN_N,"modelo+año","modelo")))</f>
        <v/>
      </c>
      <c r="BE439" s="4">
        <f>(BC439-O439)/BC439</f>
        <v/>
      </c>
      <c r="BF439" s="3">
        <f>IF(OR(K439="hibrido",K439="glp"),"ECO",IF(K439="electrico","CERO",IF(K439="gasolina",IF(M439&gt;=GAS_C,"C",IF(M439&gt;=GAS_B,"B","A")),IF(K439="diesel",IF(M439&gt;=DIE_C,"C",IF(M439&gt;=DIE_B,"B","A")),""))))</f>
        <v/>
      </c>
      <c r="BG439" s="3">
        <f>IFERROR(VLOOKUP(F439,MOD_TBL,11,0),IFERROR(VLOOKUP(E439,OCU_TBL,2,0),NEUTRO))</f>
        <v/>
      </c>
      <c r="BH439" s="3">
        <f>SUMIFS(MOT_AJUSTE,MOT_MOTOR,G439,MOT_MARCA,E439,MOT_DESDE,"&lt;="&amp;M439,MOT_HASTA,"&gt;="&amp;M439)+SUMIFS(MOT_AJUSTE,MOT_MOTOR,G439,MOT_MARCA,"(todas)",MOT_DESDE,"&lt;="&amp;M439,MOT_HASTA,"&gt;="&amp;M439)</f>
        <v/>
      </c>
      <c r="BI439" s="3">
        <f>SUMIFS(COMB_AJUSTE,COMB_COMB,K439)</f>
        <v/>
      </c>
      <c r="BJ439" s="3">
        <f>COUNTIFS(MOT_MOTOR,G439,MOT_MARCA,E439,MOT_DESDE,"&lt;="&amp;M439,MOT_HASTA,"&gt;="&amp;M439)+COUNTIFS(MOT_MOTOR,G439,MOT_MARCA,"(todas)",MOT_DESDE,"&lt;="&amp;M439,MOT_HASTA,"&gt;="&amp;M439)</f>
        <v/>
      </c>
      <c r="BK439" s="3">
        <f>IF(AND(K439="diesel",BJ439=0),MIN(BG439,NEUTRO),BG439)</f>
        <v/>
      </c>
      <c r="BL439" s="4">
        <f>MAX(0,MIN(100,BK439+BH439+BI439))</f>
        <v/>
      </c>
      <c r="BM439" s="3">
        <f>MAX(0,MIN(100,50+BE439*PRECIO_PEND))</f>
        <v/>
      </c>
      <c r="BN439" s="3">
        <f>MAX(0,100*(1-N439/KM_MAX))</f>
        <v/>
      </c>
      <c r="BO439" s="3">
        <f>IF(AV439&lt;KMA_SOSP,IF(AA439="sí",100,KMA_PEN),IF(AV439&lt;=KMA_IDEAL_MAX,100,MAX(0,100*(KMA_CERO-AV439)/(KMA_CERO-KMA_IDEAL_MAX))))</f>
        <v/>
      </c>
      <c r="BP439" s="3">
        <f>MAX(0,MIN(100,100*(M439-ANIO_MIN)/(ANIO_ACTUAL-ANIO_MIN)))</f>
        <v/>
      </c>
      <c r="BQ439" s="3">
        <f>W_KMT*BN439+W_KMA*BO439+W_EDAD*BP439</f>
        <v/>
      </c>
      <c r="BR439" s="3">
        <f>P_ITV*(V439="sí")+P_LIBRO*(W439="sí")+P_CORREA*(X439="sí")+P_PROP*(Y439=1)+P_GAR*(Z439="sí")+P_FOTOS*MIN(1,N(U439)/FOTOS_OBJ)</f>
        <v/>
      </c>
      <c r="BS439" s="3">
        <f>IFERROR(VLOOKUP(BF439,ETQ_TBL,2,0),NEUTRO)</f>
        <v/>
      </c>
      <c r="BT439" s="3">
        <f>NEUTRO</f>
        <v/>
      </c>
      <c r="BU439" s="3">
        <f>IFERROR(VLOOKUP(L439,SEGURO_TBL,3,0),"")</f>
        <v/>
      </c>
      <c r="BV439" s="3">
        <f>IF(BU439="",NEUTRO,MAX(0,MIN(100,100*(SEG_REF_MAX-BU439)/(SEG_REF_MAX-SEG_REF_MIN))))</f>
        <v/>
      </c>
      <c r="BW439" s="3">
        <f>W_ET*BS439+W_CONS*BT439+W_SEG*BV439</f>
        <v/>
      </c>
      <c r="BX439" s="3">
        <f>IF(N(AB439)&gt;0,AB439,IF(AND(R439="profesional",SG_LEGAL_ON=1),GAR_LEGAL,0))</f>
        <v/>
      </c>
      <c r="BY439" s="3">
        <f>SG_GAR*MIN(1,BX439/SG_GAR_FULL)+SG_AMPL*(AC439="sí")+SG_KMC*(AF439="sí")+SG_REV*(N(AE439)&gt;0)+SG_DEV*MIN(1,N(AG439)/SG_DEV_FULL)+SG_HIST*(W439="sí")</f>
        <v/>
      </c>
      <c r="BZ439" s="3">
        <f>IFERROR(VLOOKUP(L439,CARR_PEN_TBL,2,0),0)</f>
        <v/>
      </c>
      <c r="CA439" s="3">
        <f>W_FIAB*BL439+W_PRECIO*BM439+W_KMEDAD*BQ439+W_ANUNCIO*BR439+W_USO*BW439+W_SEGURIDAD*BY439-BZ439</f>
        <v/>
      </c>
      <c r="CB439" s="4">
        <f>IF(N(I439)&gt;0,I439,IFERROR(ROUND(_xlfn.NUMBERVALUE(LEFT(G439,FIND(" ",G439&amp;" ")-1),".")*1000,0),99999))</f>
        <v/>
      </c>
      <c r="CC439" s="3">
        <f>IF(R439="profesional",0,IF(O439&lt;CUOTA_VALOR_MAX,IF(AU439&gt;ITP_TRAMO_ALTO,SUMIFS(CF_CUOTA,CF_MAS,ITP_TRAMO_ALTO,CF_CCMIN,"&lt;="&amp;CB439,CF_CCMAX,"&gt;="&amp;CB439),IF(AU439&gt;ITP_TRAMO_BAJO,SUMIFS(CF_CUOTA,CF_MAS,ITP_TRAMO_BAJO,CF_CCMIN,"&lt;="&amp;CB439,CF_CCMAX,"&gt;="&amp;CB439),O439*ITP_TIPO)),O439*ITP_TIPO))</f>
        <v/>
      </c>
      <c r="CD439" s="4">
        <f>IF(R439="profesional",N(AK439),0)</f>
        <v/>
      </c>
      <c r="CE439" s="3">
        <f>IF(AND(R439="profesional",ISNUMBER(AK439),AL439="sí"),0,TASA_DGT)</f>
        <v/>
      </c>
      <c r="CF439" s="3">
        <f>INFORME_DGT</f>
        <v/>
      </c>
      <c r="CG439" s="4">
        <f>O439+CD439+CC439+CE439+CF439</f>
        <v/>
      </c>
      <c r="CH439" s="4">
        <f>CG439+N(BU439)</f>
        <v/>
      </c>
      <c r="CI439" s="3">
        <f>IF(CG439&lt;=TOTAL_MAX,"sí",IF(CG439&lt;=TOTAL_MAX+MARGEN_NEG,"negociar","no"))</f>
        <v/>
      </c>
      <c r="CJ439" s="4">
        <f>IF(CI439&lt;&gt;"no",COUNTIFS($CI$2:$CI$662,"&lt;&gt;no",$CA$2:$CA$662,"&gt;"&amp;CA439)+COUNTIFS($CI$2:CI439,"&lt;&gt;no",$CA$2:CA439,CA439),"")</f>
        <v/>
      </c>
    </row>
    <row r="440">
      <c r="A440" s="2" t="inlineStr">
        <is>
          <t>cochesnet:70788485</t>
        </is>
      </c>
      <c r="B440" s="2" t="inlineStr">
        <is>
          <t>cochesnet</t>
        </is>
      </c>
      <c r="C440" s="2" t="inlineStr">
        <is>
          <t>https://www.coches.net/renault-megane-confort-dynamique-19dci-5p-diesel-2006-en-valencia-70788485-covo.aspx</t>
        </is>
      </c>
      <c r="D440" s="2" t="inlineStr">
        <is>
          <t>RENAULT Mégane Confort Dynamique 1.9dCi</t>
        </is>
      </c>
      <c r="E440" s="2" t="inlineStr">
        <is>
          <t>Renault</t>
        </is>
      </c>
      <c r="F440" s="2" t="inlineStr">
        <is>
          <t>Renault Mégane</t>
        </is>
      </c>
      <c r="G440" s="2" t="inlineStr">
        <is>
          <t>1.9</t>
        </is>
      </c>
      <c r="H440" s="2" t="inlineStr">
        <is>
          <t>Confort Dynamique 1.9dCi</t>
        </is>
      </c>
      <c r="I440" s="2" t="n"/>
      <c r="J440" s="2" t="n"/>
      <c r="K440" s="2" t="inlineStr">
        <is>
          <t>diesel</t>
        </is>
      </c>
      <c r="L440" s="2" t="inlineStr">
        <is>
          <t>compacto</t>
        </is>
      </c>
      <c r="M440" s="2" t="n">
        <v>2006</v>
      </c>
      <c r="N440" s="2" t="n">
        <v>140000</v>
      </c>
      <c r="O440" s="2" t="n">
        <v>3990</v>
      </c>
      <c r="P440" s="2" t="inlineStr">
        <is>
          <t>manual</t>
        </is>
      </c>
      <c r="Q440" s="2" t="inlineStr">
        <is>
          <t>no</t>
        </is>
      </c>
      <c r="R440" s="2" t="inlineStr">
        <is>
          <t>profesional</t>
        </is>
      </c>
      <c r="S440" s="2" t="inlineStr">
        <is>
          <t>UNIVERSAL CARS. Valencia</t>
        </is>
      </c>
      <c r="T440" s="2" t="inlineStr">
        <is>
          <t>2026-09-01T11:38:53Z</t>
        </is>
      </c>
      <c r="U440" s="2" t="n">
        <v>26</v>
      </c>
      <c r="V440" s="2" t="inlineStr">
        <is>
          <t>sí</t>
        </is>
      </c>
      <c r="W440" s="2" t="n"/>
      <c r="X440" s="2" t="n"/>
      <c r="Y440" s="2" t="n">
        <v>1</v>
      </c>
      <c r="Z440" s="2" t="inlineStr">
        <is>
          <t>sí</t>
        </is>
      </c>
      <c r="AA440" s="2" t="n"/>
      <c r="AB440" s="2" t="n">
        <v>12</v>
      </c>
      <c r="AC440" s="2" t="n"/>
      <c r="AD440" s="2" t="n"/>
      <c r="AE440" s="2" t="n"/>
      <c r="AF440" s="2" t="n"/>
      <c r="AG440" s="2" t="n"/>
      <c r="AH440" s="2" t="n">
        <v>3990</v>
      </c>
      <c r="AI440" s="2" t="n"/>
      <c r="AJ440" s="2" t="n"/>
      <c r="AK440" s="2" t="n"/>
      <c r="AL440" s="2" t="n"/>
      <c r="AM440" s="2" t="n">
        <v>0.1</v>
      </c>
      <c r="AN440" s="2" t="n">
        <v>3700</v>
      </c>
      <c r="AO440" s="2" t="n">
        <v>10</v>
      </c>
      <c r="AP440" s="2" t="inlineStr">
        <is>
          <t>modelo+año+km</t>
        </is>
      </c>
      <c r="AQ440" s="2" t="n"/>
      <c r="AR440" s="2" t="inlineStr">
        <is>
          <t>vendedor profesional: sin ITP (operación con IVA/REBU, confirmar en factura); gastos de gestión del vendedor no indicados: se suma la tasa DGT; preguntar el precio final; diésel: motor sin fuente de fiabilidad (fiabilidad limitada a neutra)</t>
        </is>
      </c>
      <c r="AS440" s="2" t="inlineStr">
        <is>
          <t>RENAULT MODELO MEGANE MOTOR 1.9 DCI CON 120 CV DE POTENCIA Y CONSUMO REDUCIDO.
VEHICULO NACIONAL PROCEDENTE DE UNICO PROPIETARIO CON KILOMETRAJE REAL Y CERTIFICADO.
SE ENTREGA CON MANTENIMIENTO RECIÉN HECHO E ITV EN VIGOR.
DESTACADOS:
- VELOCIDAD DE CRUCERO CON LIMITADOR 
- CLIMATIZADOR A/C
- RADIO ORIGINAL RENAULT
- LUCES AUTOMATICAS
- ELEVALUNAS ELECTRICOS
- RETROVISORES ELECTRICOS
- TAPICERIA DE TELA MIXTA MUY CONSERVADA
- ISOFIX
- LLANTAS DE ALUMINIO 
- DOBLE TECHO PANORAMICO
- POSA-VASOS
- VEHICULO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T440" s="2" t="inlineStr">
        <is>
          <t>https://www.coches.net/renault-megane-confort-dynamique-19dci-5p-diesel-2006-en-valencia-70788485-covo.aspx (window.__INITIAL_PROPS__.ad) /home/user/Alopecia/buscador-coches/raw/cochesnet/981aabb1aa7c0d99.json</t>
        </is>
      </c>
      <c r="AU440" s="3">
        <f>MAX(ANIO_ACTUAL-M440,0)</f>
        <v/>
      </c>
      <c r="AV440" s="4">
        <f>N440/MAX(AU440,0.5)</f>
        <v/>
      </c>
      <c r="AW440" s="4">
        <f>F440</f>
        <v/>
      </c>
      <c r="AX440" s="3">
        <f>AW440&amp;"|"&amp;INT(M440/SEG_ANIO)*SEG_ANIO</f>
        <v/>
      </c>
      <c r="AY440" s="3">
        <f>AX440&amp;"|"&amp;INT(N440/SEG_KM)*SEG_KM</f>
        <v/>
      </c>
      <c r="AZ440" s="4">
        <f>COUNTIF($AW$2:$AW$662,AW440)</f>
        <v/>
      </c>
      <c r="BA440" s="4">
        <f>COUNTIF($AX$2:$AX$662,AX440)</f>
        <v/>
      </c>
      <c r="BB440" s="4">
        <f>COUNTIF($AY$2:$AY$662,AY440)</f>
        <v/>
      </c>
      <c r="BC440" s="3">
        <f t="array" ref="BC440">IF(N(AO440)&gt;=MIN_N,AN440,IF(BB440&gt;=MIN_N,MEDIAN(IF($AY$2:$AY$662=AY440,$O$2:$O$662)),IF(BA440&gt;=MIN_N,MEDIAN(IF($AX$2:$AX$662=AX440,$O$2:$O$662)),MEDIAN(IF($AW$2:$AW$662=AW440,$O$2:$O$662)))))</f>
        <v/>
      </c>
      <c r="BD440" s="3">
        <f>IF(N(AO440)&gt;=MIN_N,"mercado "&amp;AP440,IF(BB440&gt;=MIN_N,"modelo+año+km",IF(BA440&gt;=MIN_N,"modelo+año","modelo")))</f>
        <v/>
      </c>
      <c r="BE440" s="4">
        <f>(BC440-O440)/BC440</f>
        <v/>
      </c>
      <c r="BF440" s="3">
        <f>IF(OR(K440="hibrido",K440="glp"),"ECO",IF(K440="electrico","CERO",IF(K440="gasolina",IF(M440&gt;=GAS_C,"C",IF(M440&gt;=GAS_B,"B","A")),IF(K440="diesel",IF(M440&gt;=DIE_C,"C",IF(M440&gt;=DIE_B,"B","A")),""))))</f>
        <v/>
      </c>
      <c r="BG440" s="3">
        <f>IFERROR(VLOOKUP(F440,MOD_TBL,11,0),IFERROR(VLOOKUP(E440,OCU_TBL,2,0),NEUTRO))</f>
        <v/>
      </c>
      <c r="BH440" s="3">
        <f>SUMIFS(MOT_AJUSTE,MOT_MOTOR,G440,MOT_MARCA,E440,MOT_DESDE,"&lt;="&amp;M440,MOT_HASTA,"&gt;="&amp;M440)+SUMIFS(MOT_AJUSTE,MOT_MOTOR,G440,MOT_MARCA,"(todas)",MOT_DESDE,"&lt;="&amp;M440,MOT_HASTA,"&gt;="&amp;M440)</f>
        <v/>
      </c>
      <c r="BI440" s="3">
        <f>SUMIFS(COMB_AJUSTE,COMB_COMB,K440)</f>
        <v/>
      </c>
      <c r="BJ440" s="3">
        <f>COUNTIFS(MOT_MOTOR,G440,MOT_MARCA,E440,MOT_DESDE,"&lt;="&amp;M440,MOT_HASTA,"&gt;="&amp;M440)+COUNTIFS(MOT_MOTOR,G440,MOT_MARCA,"(todas)",MOT_DESDE,"&lt;="&amp;M440,MOT_HASTA,"&gt;="&amp;M440)</f>
        <v/>
      </c>
      <c r="BK440" s="3">
        <f>IF(AND(K440="diesel",BJ440=0),MIN(BG440,NEUTRO),BG440)</f>
        <v/>
      </c>
      <c r="BL440" s="4">
        <f>MAX(0,MIN(100,BK440+BH440+BI440))</f>
        <v/>
      </c>
      <c r="BM440" s="3">
        <f>MAX(0,MIN(100,50+BE440*PRECIO_PEND))</f>
        <v/>
      </c>
      <c r="BN440" s="3">
        <f>MAX(0,100*(1-N440/KM_MAX))</f>
        <v/>
      </c>
      <c r="BO440" s="3">
        <f>IF(AV440&lt;KMA_SOSP,IF(AA440="sí",100,KMA_PEN),IF(AV440&lt;=KMA_IDEAL_MAX,100,MAX(0,100*(KMA_CERO-AV440)/(KMA_CERO-KMA_IDEAL_MAX))))</f>
        <v/>
      </c>
      <c r="BP440" s="3">
        <f>MAX(0,MIN(100,100*(M440-ANIO_MIN)/(ANIO_ACTUAL-ANIO_MIN)))</f>
        <v/>
      </c>
      <c r="BQ440" s="3">
        <f>W_KMT*BN440+W_KMA*BO440+W_EDAD*BP440</f>
        <v/>
      </c>
      <c r="BR440" s="3">
        <f>P_ITV*(V440="sí")+P_LIBRO*(W440="sí")+P_CORREA*(X440="sí")+P_PROP*(Y440=1)+P_GAR*(Z440="sí")+P_FOTOS*MIN(1,N(U440)/FOTOS_OBJ)</f>
        <v/>
      </c>
      <c r="BS440" s="3">
        <f>IFERROR(VLOOKUP(BF440,ETQ_TBL,2,0),NEUTRO)</f>
        <v/>
      </c>
      <c r="BT440" s="3">
        <f>NEUTRO</f>
        <v/>
      </c>
      <c r="BU440" s="3">
        <f>IFERROR(VLOOKUP(L440,SEGURO_TBL,3,0),"")</f>
        <v/>
      </c>
      <c r="BV440" s="3">
        <f>IF(BU440="",NEUTRO,MAX(0,MIN(100,100*(SEG_REF_MAX-BU440)/(SEG_REF_MAX-SEG_REF_MIN))))</f>
        <v/>
      </c>
      <c r="BW440" s="3">
        <f>W_ET*BS440+W_CONS*BT440+W_SEG*BV440</f>
        <v/>
      </c>
      <c r="BX440" s="3">
        <f>IF(N(AB440)&gt;0,AB440,IF(AND(R440="profesional",SG_LEGAL_ON=1),GAR_LEGAL,0))</f>
        <v/>
      </c>
      <c r="BY440" s="3">
        <f>SG_GAR*MIN(1,BX440/SG_GAR_FULL)+SG_AMPL*(AC440="sí")+SG_KMC*(AF440="sí")+SG_REV*(N(AE440)&gt;0)+SG_DEV*MIN(1,N(AG440)/SG_DEV_FULL)+SG_HIST*(W440="sí")</f>
        <v/>
      </c>
      <c r="BZ440" s="3">
        <f>IFERROR(VLOOKUP(L440,CARR_PEN_TBL,2,0),0)</f>
        <v/>
      </c>
      <c r="CA440" s="3">
        <f>W_FIAB*BL440+W_PRECIO*BM440+W_KMEDAD*BQ440+W_ANUNCIO*BR440+W_USO*BW440+W_SEGURIDAD*BY440-BZ440</f>
        <v/>
      </c>
      <c r="CB440" s="4">
        <f>IF(N(I440)&gt;0,I440,IFERROR(ROUND(_xlfn.NUMBERVALUE(LEFT(G440,FIND(" ",G440&amp;" ")-1),".")*1000,0),99999))</f>
        <v/>
      </c>
      <c r="CC440" s="3">
        <f>IF(R440="profesional",0,IF(O440&lt;CUOTA_VALOR_MAX,IF(AU440&gt;ITP_TRAMO_ALTO,SUMIFS(CF_CUOTA,CF_MAS,ITP_TRAMO_ALTO,CF_CCMIN,"&lt;="&amp;CB440,CF_CCMAX,"&gt;="&amp;CB440),IF(AU440&gt;ITP_TRAMO_BAJO,SUMIFS(CF_CUOTA,CF_MAS,ITP_TRAMO_BAJO,CF_CCMIN,"&lt;="&amp;CB440,CF_CCMAX,"&gt;="&amp;CB440),O440*ITP_TIPO)),O440*ITP_TIPO))</f>
        <v/>
      </c>
      <c r="CD440" s="4">
        <f>IF(R440="profesional",N(AK440),0)</f>
        <v/>
      </c>
      <c r="CE440" s="3">
        <f>IF(AND(R440="profesional",ISNUMBER(AK440),AL440="sí"),0,TASA_DGT)</f>
        <v/>
      </c>
      <c r="CF440" s="3">
        <f>INFORME_DGT</f>
        <v/>
      </c>
      <c r="CG440" s="4">
        <f>O440+CD440+CC440+CE440+CF440</f>
        <v/>
      </c>
      <c r="CH440" s="4">
        <f>CG440+N(BU440)</f>
        <v/>
      </c>
      <c r="CI440" s="3">
        <f>IF(CG440&lt;=TOTAL_MAX,"sí",IF(CG440&lt;=TOTAL_MAX+MARGEN_NEG,"negociar","no"))</f>
        <v/>
      </c>
      <c r="CJ440" s="4">
        <f>IF(CI440&lt;&gt;"no",COUNTIFS($CI$2:$CI$662,"&lt;&gt;no",$CA$2:$CA$662,"&gt;"&amp;CA440)+COUNTIFS($CI$2:CI440,"&lt;&gt;no",$CA$2:CA440,CA440),"")</f>
        <v/>
      </c>
    </row>
    <row r="441">
      <c r="A441" s="2" t="inlineStr">
        <is>
          <t>cochesnet:70660202</t>
        </is>
      </c>
      <c r="B441" s="2" t="inlineStr">
        <is>
          <t>cochesnet</t>
        </is>
      </c>
      <c r="C441" s="2" t="inlineStr">
        <is>
          <t>https://www.coches.net/renault-megane-intens-dci-95-eco2-5p-diesel-2015-en-valencia-70660202-covo.aspx</t>
        </is>
      </c>
      <c r="D441" s="2" t="inlineStr">
        <is>
          <t>RENAULT Megane Intens dCi 95 eco2</t>
        </is>
      </c>
      <c r="E441" s="2" t="inlineStr">
        <is>
          <t>Renault</t>
        </is>
      </c>
      <c r="F441" s="2" t="inlineStr">
        <is>
          <t>Renault Mégane</t>
        </is>
      </c>
      <c r="G441" s="2" t="inlineStr">
        <is>
          <t>? dCi</t>
        </is>
      </c>
      <c r="H441" s="2" t="inlineStr">
        <is>
          <t>Intens dCi 95 eco2</t>
        </is>
      </c>
      <c r="I441" s="2" t="n"/>
      <c r="J441" s="2" t="n"/>
      <c r="K441" s="2" t="inlineStr">
        <is>
          <t>diesel</t>
        </is>
      </c>
      <c r="L441" s="2" t="inlineStr">
        <is>
          <t>compacto</t>
        </is>
      </c>
      <c r="M441" s="2" t="n">
        <v>2015</v>
      </c>
      <c r="N441" s="2" t="n">
        <v>198000</v>
      </c>
      <c r="O441" s="2" t="n">
        <v>4950</v>
      </c>
      <c r="P441" s="2" t="inlineStr">
        <is>
          <t>manual</t>
        </is>
      </c>
      <c r="Q441" s="2" t="inlineStr">
        <is>
          <t>no</t>
        </is>
      </c>
      <c r="R441" s="2" t="inlineStr">
        <is>
          <t>particular</t>
        </is>
      </c>
      <c r="S441" s="2" t="inlineStr">
        <is>
          <t>Alboraya</t>
        </is>
      </c>
      <c r="T441" s="2" t="inlineStr">
        <is>
          <t>2026-08-20T13:04:13Z</t>
        </is>
      </c>
      <c r="U441" s="2" t="n">
        <v>8</v>
      </c>
      <c r="V441" s="2" t="n"/>
      <c r="W441" s="2" t="n"/>
      <c r="X441" s="2" t="n"/>
      <c r="Y441" s="2" t="n"/>
      <c r="Z441" s="2" t="inlineStr">
        <is>
          <t>no</t>
        </is>
      </c>
      <c r="AA441" s="2" t="n"/>
      <c r="AB441" s="2" t="n"/>
      <c r="AC441" s="2" t="n"/>
      <c r="AD441" s="2" t="n"/>
      <c r="AE441" s="2" t="n"/>
      <c r="AF441" s="2" t="n"/>
      <c r="AG441" s="2" t="n"/>
      <c r="AH441" s="2" t="n">
        <v>4950</v>
      </c>
      <c r="AI441" s="2" t="n"/>
      <c r="AJ441" s="2" t="n"/>
      <c r="AK441" s="2" t="n"/>
      <c r="AL441" s="2" t="n"/>
      <c r="AM441" s="2" t="n">
        <v>4</v>
      </c>
      <c r="AN441" s="2" t="n">
        <v>7000</v>
      </c>
      <c r="AO441" s="2" t="n">
        <v>10</v>
      </c>
      <c r="AP441" s="2" t="inlineStr">
        <is>
          <t>modelo+año+km</t>
        </is>
      </c>
      <c r="AQ441" s="2" t="n"/>
      <c r="AR441" s="2" t="inlineStr">
        <is>
          <t>por encima del presupuesto (5294 €), negociar; cilindrada desconocida: se aplica el tramo de cuota fija más alto; cuota fija ITP: &gt;5 y &lt;=12 años, más de 2.000 cc; diésel: motor sin fuente de fiabilidad (fiabilidad limitada a neutra)</t>
        </is>
      </c>
      <c r="AS441" s="2" t="inlineStr">
        <is>
          <t>Renault Menage 2015 1.5 DCi 95cv
198.000km
Motor diesel 1.5 95cv con 6 marchas, Motor Irrompible, lo mejor de Renault
Servicio hecho y al dia
ITV 2026
Faros Xenon led
Control multimedia al volante
Limitador y control crucero
De respetar el precio se incluye transferencia.
Se Muestra en Valencia</t>
        </is>
      </c>
      <c r="AT441" s="2" t="inlineStr">
        <is>
          <t>https://www.coches.net/renault-megane-intens-dci-95-eco2-5p-diesel-2015-en-valencia-70660202-covo.aspx (window.__INITIAL_PROPS__.ad) /home/user/Alopecia/buscador-coches/raw/cochesnet/941c6084598fa028.json</t>
        </is>
      </c>
      <c r="AU441" s="3">
        <f>MAX(ANIO_ACTUAL-M441,0)</f>
        <v/>
      </c>
      <c r="AV441" s="4">
        <f>N441/MAX(AU441,0.5)</f>
        <v/>
      </c>
      <c r="AW441" s="4">
        <f>F441</f>
        <v/>
      </c>
      <c r="AX441" s="3">
        <f>AW441&amp;"|"&amp;INT(M441/SEG_ANIO)*SEG_ANIO</f>
        <v/>
      </c>
      <c r="AY441" s="3">
        <f>AX441&amp;"|"&amp;INT(N441/SEG_KM)*SEG_KM</f>
        <v/>
      </c>
      <c r="AZ441" s="4">
        <f>COUNTIF($AW$2:$AW$662,AW441)</f>
        <v/>
      </c>
      <c r="BA441" s="4">
        <f>COUNTIF($AX$2:$AX$662,AX441)</f>
        <v/>
      </c>
      <c r="BB441" s="4">
        <f>COUNTIF($AY$2:$AY$662,AY441)</f>
        <v/>
      </c>
      <c r="BC441" s="3">
        <f t="array" ref="BC441">IF(N(AO441)&gt;=MIN_N,AN441,IF(BB441&gt;=MIN_N,MEDIAN(IF($AY$2:$AY$662=AY441,$O$2:$O$662)),IF(BA441&gt;=MIN_N,MEDIAN(IF($AX$2:$AX$662=AX441,$O$2:$O$662)),MEDIAN(IF($AW$2:$AW$662=AW441,$O$2:$O$662)))))</f>
        <v/>
      </c>
      <c r="BD441" s="3">
        <f>IF(N(AO441)&gt;=MIN_N,"mercado "&amp;AP441,IF(BB441&gt;=MIN_N,"modelo+año+km",IF(BA441&gt;=MIN_N,"modelo+año","modelo")))</f>
        <v/>
      </c>
      <c r="BE441" s="4">
        <f>(BC441-O441)/BC441</f>
        <v/>
      </c>
      <c r="BF441" s="3">
        <f>IF(OR(K441="hibrido",K441="glp"),"ECO",IF(K441="electrico","CERO",IF(K441="gasolina",IF(M441&gt;=GAS_C,"C",IF(M441&gt;=GAS_B,"B","A")),IF(K441="diesel",IF(M441&gt;=DIE_C,"C",IF(M441&gt;=DIE_B,"B","A")),""))))</f>
        <v/>
      </c>
      <c r="BG441" s="3">
        <f>IFERROR(VLOOKUP(F441,MOD_TBL,11,0),IFERROR(VLOOKUP(E441,OCU_TBL,2,0),NEUTRO))</f>
        <v/>
      </c>
      <c r="BH441" s="3">
        <f>SUMIFS(MOT_AJUSTE,MOT_MOTOR,G441,MOT_MARCA,E441,MOT_DESDE,"&lt;="&amp;M441,MOT_HASTA,"&gt;="&amp;M441)+SUMIFS(MOT_AJUSTE,MOT_MOTOR,G441,MOT_MARCA,"(todas)",MOT_DESDE,"&lt;="&amp;M441,MOT_HASTA,"&gt;="&amp;M441)</f>
        <v/>
      </c>
      <c r="BI441" s="3">
        <f>SUMIFS(COMB_AJUSTE,COMB_COMB,K441)</f>
        <v/>
      </c>
      <c r="BJ441" s="3">
        <f>COUNTIFS(MOT_MOTOR,G441,MOT_MARCA,E441,MOT_DESDE,"&lt;="&amp;M441,MOT_HASTA,"&gt;="&amp;M441)+COUNTIFS(MOT_MOTOR,G441,MOT_MARCA,"(todas)",MOT_DESDE,"&lt;="&amp;M441,MOT_HASTA,"&gt;="&amp;M441)</f>
        <v/>
      </c>
      <c r="BK441" s="3">
        <f>IF(AND(K441="diesel",BJ441=0),MIN(BG441,NEUTRO),BG441)</f>
        <v/>
      </c>
      <c r="BL441" s="4">
        <f>MAX(0,MIN(100,BK441+BH441+BI441))</f>
        <v/>
      </c>
      <c r="BM441" s="3">
        <f>MAX(0,MIN(100,50+BE441*PRECIO_PEND))</f>
        <v/>
      </c>
      <c r="BN441" s="3">
        <f>MAX(0,100*(1-N441/KM_MAX))</f>
        <v/>
      </c>
      <c r="BO441" s="3">
        <f>IF(AV441&lt;KMA_SOSP,IF(AA441="sí",100,KMA_PEN),IF(AV441&lt;=KMA_IDEAL_MAX,100,MAX(0,100*(KMA_CERO-AV441)/(KMA_CERO-KMA_IDEAL_MAX))))</f>
        <v/>
      </c>
      <c r="BP441" s="3">
        <f>MAX(0,MIN(100,100*(M441-ANIO_MIN)/(ANIO_ACTUAL-ANIO_MIN)))</f>
        <v/>
      </c>
      <c r="BQ441" s="3">
        <f>W_KMT*BN441+W_KMA*BO441+W_EDAD*BP441</f>
        <v/>
      </c>
      <c r="BR441" s="3">
        <f>P_ITV*(V441="sí")+P_LIBRO*(W441="sí")+P_CORREA*(X441="sí")+P_PROP*(Y441=1)+P_GAR*(Z441="sí")+P_FOTOS*MIN(1,N(U441)/FOTOS_OBJ)</f>
        <v/>
      </c>
      <c r="BS441" s="3">
        <f>IFERROR(VLOOKUP(BF441,ETQ_TBL,2,0),NEUTRO)</f>
        <v/>
      </c>
      <c r="BT441" s="3">
        <f>NEUTRO</f>
        <v/>
      </c>
      <c r="BU441" s="3">
        <f>IFERROR(VLOOKUP(L441,SEGURO_TBL,3,0),"")</f>
        <v/>
      </c>
      <c r="BV441" s="3">
        <f>IF(BU441="",NEUTRO,MAX(0,MIN(100,100*(SEG_REF_MAX-BU441)/(SEG_REF_MAX-SEG_REF_MIN))))</f>
        <v/>
      </c>
      <c r="BW441" s="3">
        <f>W_ET*BS441+W_CONS*BT441+W_SEG*BV441</f>
        <v/>
      </c>
      <c r="BX441" s="3">
        <f>IF(N(AB441)&gt;0,AB441,IF(AND(R441="profesional",SG_LEGAL_ON=1),GAR_LEGAL,0))</f>
        <v/>
      </c>
      <c r="BY441" s="3">
        <f>SG_GAR*MIN(1,BX441/SG_GAR_FULL)+SG_AMPL*(AC441="sí")+SG_KMC*(AF441="sí")+SG_REV*(N(AE441)&gt;0)+SG_DEV*MIN(1,N(AG441)/SG_DEV_FULL)+SG_HIST*(W441="sí")</f>
        <v/>
      </c>
      <c r="BZ441" s="3">
        <f>IFERROR(VLOOKUP(L441,CARR_PEN_TBL,2,0),0)</f>
        <v/>
      </c>
      <c r="CA441" s="3">
        <f>W_FIAB*BL441+W_PRECIO*BM441+W_KMEDAD*BQ441+W_ANUNCIO*BR441+W_USO*BW441+W_SEGURIDAD*BY441-BZ441</f>
        <v/>
      </c>
      <c r="CB441" s="4">
        <f>IF(N(I441)&gt;0,I441,IFERROR(ROUND(_xlfn.NUMBERVALUE(LEFT(G441,FIND(" ",G441&amp;" ")-1),".")*1000,0),99999))</f>
        <v/>
      </c>
      <c r="CC441" s="3">
        <f>IF(R441="profesional",0,IF(O441&lt;CUOTA_VALOR_MAX,IF(AU441&gt;ITP_TRAMO_ALTO,SUMIFS(CF_CUOTA,CF_MAS,ITP_TRAMO_ALTO,CF_CCMIN,"&lt;="&amp;CB441,CF_CCMAX,"&gt;="&amp;CB441),IF(AU441&gt;ITP_TRAMO_BAJO,SUMIFS(CF_CUOTA,CF_MAS,ITP_TRAMO_BAJO,CF_CCMIN,"&lt;="&amp;CB441,CF_CCMAX,"&gt;="&amp;CB441),O441*ITP_TIPO)),O441*ITP_TIPO))</f>
        <v/>
      </c>
      <c r="CD441" s="4">
        <f>IF(R441="profesional",N(AK441),0)</f>
        <v/>
      </c>
      <c r="CE441" s="3">
        <f>IF(AND(R441="profesional",ISNUMBER(AK441),AL441="sí"),0,TASA_DGT)</f>
        <v/>
      </c>
      <c r="CF441" s="3">
        <f>INFORME_DGT</f>
        <v/>
      </c>
      <c r="CG441" s="4">
        <f>O441+CD441+CC441+CE441+CF441</f>
        <v/>
      </c>
      <c r="CH441" s="4">
        <f>CG441+N(BU441)</f>
        <v/>
      </c>
      <c r="CI441" s="3">
        <f>IF(CG441&lt;=TOTAL_MAX,"sí",IF(CG441&lt;=TOTAL_MAX+MARGEN_NEG,"negociar","no"))</f>
        <v/>
      </c>
      <c r="CJ441" s="4">
        <f>IF(CI441&lt;&gt;"no",COUNTIFS($CI$2:$CI$662,"&lt;&gt;no",$CA$2:$CA$662,"&gt;"&amp;CA441)+COUNTIFS($CI$2:CI441,"&lt;&gt;no",$CA$2:CA441,CA441),"")</f>
        <v/>
      </c>
    </row>
    <row r="442">
      <c r="A442" s="2" t="inlineStr">
        <is>
          <t>cochesnet:70833355</t>
        </is>
      </c>
      <c r="B442" s="2" t="inlineStr">
        <is>
          <t>cochesnet</t>
        </is>
      </c>
      <c r="C442" s="2" t="inlineStr">
        <is>
          <t>https://www.coches.net/renault-modus-confort-dynamique-14-16v-5p-gasolina-2006-en-valencia-70833355-covo.aspx</t>
        </is>
      </c>
      <c r="D442" s="2" t="inlineStr">
        <is>
          <t>RENAULT Modus Confort Dynamique 1.4 16v</t>
        </is>
      </c>
      <c r="E442" s="2" t="inlineStr">
        <is>
          <t>Renault</t>
        </is>
      </c>
      <c r="F442" s="2" t="inlineStr">
        <is>
          <t>Renault Modus</t>
        </is>
      </c>
      <c r="G442" s="2" t="inlineStr">
        <is>
          <t>1.4</t>
        </is>
      </c>
      <c r="H442" s="2" t="inlineStr">
        <is>
          <t>Confort Dynamique 1.4 16v</t>
        </is>
      </c>
      <c r="I442" s="2" t="n"/>
      <c r="J442" s="2" t="n"/>
      <c r="K442" s="2" t="inlineStr">
        <is>
          <t>gasolina</t>
        </is>
      </c>
      <c r="L442" s="2" t="inlineStr">
        <is>
          <t>monovolumen_pequeno</t>
        </is>
      </c>
      <c r="M442" s="2" t="n">
        <v>2006</v>
      </c>
      <c r="N442" s="2" t="n">
        <v>190000</v>
      </c>
      <c r="O442" s="2" t="n">
        <v>2490</v>
      </c>
      <c r="P442" s="2" t="inlineStr">
        <is>
          <t>manual</t>
        </is>
      </c>
      <c r="Q442" s="2" t="inlineStr">
        <is>
          <t>no</t>
        </is>
      </c>
      <c r="R442" s="2" t="inlineStr">
        <is>
          <t>profesional</t>
        </is>
      </c>
      <c r="S442" s="2" t="inlineStr">
        <is>
          <t>Foios</t>
        </is>
      </c>
      <c r="T442" s="2" t="inlineStr">
        <is>
          <t>2026-09-07T18:54:24Z</t>
        </is>
      </c>
      <c r="U442" s="2" t="n">
        <v>13</v>
      </c>
      <c r="V442" s="2" t="n"/>
      <c r="W442" s="2" t="n"/>
      <c r="X442" s="2" t="n"/>
      <c r="Y442" s="2" t="n"/>
      <c r="Z442" s="2" t="inlineStr">
        <is>
          <t>sí</t>
        </is>
      </c>
      <c r="AA442" s="2" t="n"/>
      <c r="AB442" s="2" t="n">
        <v>12</v>
      </c>
      <c r="AC442" s="2" t="n"/>
      <c r="AD442" s="2" t="n"/>
      <c r="AE442" s="2" t="n"/>
      <c r="AF442" s="2" t="n"/>
      <c r="AG442" s="2" t="n"/>
      <c r="AH442" s="2" t="n">
        <v>2490</v>
      </c>
      <c r="AI442" s="2" t="n">
        <v>2490</v>
      </c>
      <c r="AJ442" s="2" t="n"/>
      <c r="AK442" s="2" t="n"/>
      <c r="AL442" s="2" t="n"/>
      <c r="AM442" s="2" t="n">
        <v>7.7</v>
      </c>
      <c r="AN442" s="2" t="n"/>
      <c r="AO442" s="2" t="n"/>
      <c r="AP442" s="2" t="n"/>
      <c r="AQ442" s="2" t="n"/>
      <c r="AR442" s="2" t="inlineStr">
        <is>
          <t>vendedor profesional: sin ITP (operación con IVA/REBU, confirmar en factura); gastos de gestión del vendedor no indicados: se suma la tasa DGT; preguntar el precio final; carrocería monovolumen_pequeno: -6 puntos; fiabilidad del modelo PENDIENTE de fuente (puntuación neutra); mediana con solo 1 anuncio(s)</t>
        </is>
      </c>
      <c r="AS442" s="2" t="inlineStr">
        <is>
          <t>Este Renault Modus combina practicidad y versatilidad en un formato compacto pensado para la vida urbana y los desplazamientos diarios. Su estructura de monovolumen de cinco puertas ofrece una accesibilidad notable, con un maletero de 274 litros que se expande hasta 1.283 litros al plegar los asientos traseros, proporcionando flexibilidad para adaptar el espacio según las necesidades del momento.
El motor de 1.4 litros de gasolina, con 100 CV, entrega un comportamiento equilibrado en ciudad gracias a su par disponible desde las bajas revoluciones. La transmisión manual de cinco velocidades facilita un manejo directo y eficiente, especialmente apropiado para conductores que valoran el control activo del vehículo. El consumo mixto de 6,7 l/100 km lo posiciona como una opción razonable en términos de eficiencia.
En cuanto a seguridad, este vehículo incorpora airbags frontales y laterales, sistemas de pretensión de cinturones en todas las plazas, ABS en las cuatro ruedas y control de estabilidad, elementos que reflejan los estándares de protección de su época. La dirección asistida con endurecimiento progresivo y la suspensión independiente delantera garantizan una conducción cómoda tanto en carreteras como en entornos urbanos.
El equipamiento de confort incluye climatización, volante regulable en altura revestido de cuero, control de crucero con limitador de velocidad, elevalunas eléctricos delanteros y cierre centralizado con mando a distancia. El sistema de audio cuenta con</t>
        </is>
      </c>
      <c r="AT442" s="2" t="inlineStr">
        <is>
          <t>https://www.coches.net/renault-modus-confort-dynamique-14-16v-5p-gasolina-2006-en-valencia-70833355-covo.aspx (window.__INITIAL_PROPS__.ad) /home/user/Alopecia/buscador-coches/raw/cochesnet/291453f12eb96d2d.json</t>
        </is>
      </c>
      <c r="AU442" s="3">
        <f>MAX(ANIO_ACTUAL-M442,0)</f>
        <v/>
      </c>
      <c r="AV442" s="4">
        <f>N442/MAX(AU442,0.5)</f>
        <v/>
      </c>
      <c r="AW442" s="4">
        <f>F442</f>
        <v/>
      </c>
      <c r="AX442" s="3">
        <f>AW442&amp;"|"&amp;INT(M442/SEG_ANIO)*SEG_ANIO</f>
        <v/>
      </c>
      <c r="AY442" s="3">
        <f>AX442&amp;"|"&amp;INT(N442/SEG_KM)*SEG_KM</f>
        <v/>
      </c>
      <c r="AZ442" s="4">
        <f>COUNTIF($AW$2:$AW$662,AW442)</f>
        <v/>
      </c>
      <c r="BA442" s="4">
        <f>COUNTIF($AX$2:$AX$662,AX442)</f>
        <v/>
      </c>
      <c r="BB442" s="4">
        <f>COUNTIF($AY$2:$AY$662,AY442)</f>
        <v/>
      </c>
      <c r="BC442" s="3">
        <f t="array" ref="BC442">IF(N(AO442)&gt;=MIN_N,AN442,IF(BB442&gt;=MIN_N,MEDIAN(IF($AY$2:$AY$662=AY442,$O$2:$O$662)),IF(BA442&gt;=MIN_N,MEDIAN(IF($AX$2:$AX$662=AX442,$O$2:$O$662)),MEDIAN(IF($AW$2:$AW$662=AW442,$O$2:$O$662)))))</f>
        <v/>
      </c>
      <c r="BD442" s="3">
        <f>IF(N(AO442)&gt;=MIN_N,"mercado "&amp;AP442,IF(BB442&gt;=MIN_N,"modelo+año+km",IF(BA442&gt;=MIN_N,"modelo+año","modelo")))</f>
        <v/>
      </c>
      <c r="BE442" s="4">
        <f>(BC442-O442)/BC442</f>
        <v/>
      </c>
      <c r="BF442" s="3">
        <f>IF(OR(K442="hibrido",K442="glp"),"ECO",IF(K442="electrico","CERO",IF(K442="gasolina",IF(M442&gt;=GAS_C,"C",IF(M442&gt;=GAS_B,"B","A")),IF(K442="diesel",IF(M442&gt;=DIE_C,"C",IF(M442&gt;=DIE_B,"B","A")),""))))</f>
        <v/>
      </c>
      <c r="BG442" s="3">
        <f>IFERROR(VLOOKUP(F442,MOD_TBL,11,0),IFERROR(VLOOKUP(E442,OCU_TBL,2,0),NEUTRO))</f>
        <v/>
      </c>
      <c r="BH442" s="3">
        <f>SUMIFS(MOT_AJUSTE,MOT_MOTOR,G442,MOT_MARCA,E442,MOT_DESDE,"&lt;="&amp;M442,MOT_HASTA,"&gt;="&amp;M442)+SUMIFS(MOT_AJUSTE,MOT_MOTOR,G442,MOT_MARCA,"(todas)",MOT_DESDE,"&lt;="&amp;M442,MOT_HASTA,"&gt;="&amp;M442)</f>
        <v/>
      </c>
      <c r="BI442" s="3">
        <f>SUMIFS(COMB_AJUSTE,COMB_COMB,K442)</f>
        <v/>
      </c>
      <c r="BJ442" s="3">
        <f>COUNTIFS(MOT_MOTOR,G442,MOT_MARCA,E442,MOT_DESDE,"&lt;="&amp;M442,MOT_HASTA,"&gt;="&amp;M442)+COUNTIFS(MOT_MOTOR,G442,MOT_MARCA,"(todas)",MOT_DESDE,"&lt;="&amp;M442,MOT_HASTA,"&gt;="&amp;M442)</f>
        <v/>
      </c>
      <c r="BK442" s="3">
        <f>IF(AND(K442="diesel",BJ442=0),MIN(BG442,NEUTRO),BG442)</f>
        <v/>
      </c>
      <c r="BL442" s="4">
        <f>MAX(0,MIN(100,BK442+BH442+BI442))</f>
        <v/>
      </c>
      <c r="BM442" s="3">
        <f>MAX(0,MIN(100,50+BE442*PRECIO_PEND))</f>
        <v/>
      </c>
      <c r="BN442" s="3">
        <f>MAX(0,100*(1-N442/KM_MAX))</f>
        <v/>
      </c>
      <c r="BO442" s="3">
        <f>IF(AV442&lt;KMA_SOSP,IF(AA442="sí",100,KMA_PEN),IF(AV442&lt;=KMA_IDEAL_MAX,100,MAX(0,100*(KMA_CERO-AV442)/(KMA_CERO-KMA_IDEAL_MAX))))</f>
        <v/>
      </c>
      <c r="BP442" s="3">
        <f>MAX(0,MIN(100,100*(M442-ANIO_MIN)/(ANIO_ACTUAL-ANIO_MIN)))</f>
        <v/>
      </c>
      <c r="BQ442" s="3">
        <f>W_KMT*BN442+W_KMA*BO442+W_EDAD*BP442</f>
        <v/>
      </c>
      <c r="BR442" s="3">
        <f>P_ITV*(V442="sí")+P_LIBRO*(W442="sí")+P_CORREA*(X442="sí")+P_PROP*(Y442=1)+P_GAR*(Z442="sí")+P_FOTOS*MIN(1,N(U442)/FOTOS_OBJ)</f>
        <v/>
      </c>
      <c r="BS442" s="3">
        <f>IFERROR(VLOOKUP(BF442,ETQ_TBL,2,0),NEUTRO)</f>
        <v/>
      </c>
      <c r="BT442" s="3">
        <f>NEUTRO</f>
        <v/>
      </c>
      <c r="BU442" s="3">
        <f>IFERROR(VLOOKUP(L442,SEGURO_TBL,3,0),"")</f>
        <v/>
      </c>
      <c r="BV442" s="3">
        <f>IF(BU442="",NEUTRO,MAX(0,MIN(100,100*(SEG_REF_MAX-BU442)/(SEG_REF_MAX-SEG_REF_MIN))))</f>
        <v/>
      </c>
      <c r="BW442" s="3">
        <f>W_ET*BS442+W_CONS*BT442+W_SEG*BV442</f>
        <v/>
      </c>
      <c r="BX442" s="3">
        <f>IF(N(AB442)&gt;0,AB442,IF(AND(R442="profesional",SG_LEGAL_ON=1),GAR_LEGAL,0))</f>
        <v/>
      </c>
      <c r="BY442" s="3">
        <f>SG_GAR*MIN(1,BX442/SG_GAR_FULL)+SG_AMPL*(AC442="sí")+SG_KMC*(AF442="sí")+SG_REV*(N(AE442)&gt;0)+SG_DEV*MIN(1,N(AG442)/SG_DEV_FULL)+SG_HIST*(W442="sí")</f>
        <v/>
      </c>
      <c r="BZ442" s="3">
        <f>IFERROR(VLOOKUP(L442,CARR_PEN_TBL,2,0),0)</f>
        <v/>
      </c>
      <c r="CA442" s="3">
        <f>W_FIAB*BL442+W_PRECIO*BM442+W_KMEDAD*BQ442+W_ANUNCIO*BR442+W_USO*BW442+W_SEGURIDAD*BY442-BZ442</f>
        <v/>
      </c>
      <c r="CB442" s="4">
        <f>IF(N(I442)&gt;0,I442,IFERROR(ROUND(_xlfn.NUMBERVALUE(LEFT(G442,FIND(" ",G442&amp;" ")-1),".")*1000,0),99999))</f>
        <v/>
      </c>
      <c r="CC442" s="3">
        <f>IF(R442="profesional",0,IF(O442&lt;CUOTA_VALOR_MAX,IF(AU442&gt;ITP_TRAMO_ALTO,SUMIFS(CF_CUOTA,CF_MAS,ITP_TRAMO_ALTO,CF_CCMIN,"&lt;="&amp;CB442,CF_CCMAX,"&gt;="&amp;CB442),IF(AU442&gt;ITP_TRAMO_BAJO,SUMIFS(CF_CUOTA,CF_MAS,ITP_TRAMO_BAJO,CF_CCMIN,"&lt;="&amp;CB442,CF_CCMAX,"&gt;="&amp;CB442),O442*ITP_TIPO)),O442*ITP_TIPO))</f>
        <v/>
      </c>
      <c r="CD442" s="4">
        <f>IF(R442="profesional",N(AK442),0)</f>
        <v/>
      </c>
      <c r="CE442" s="3">
        <f>IF(AND(R442="profesional",ISNUMBER(AK442),AL442="sí"),0,TASA_DGT)</f>
        <v/>
      </c>
      <c r="CF442" s="3">
        <f>INFORME_DGT</f>
        <v/>
      </c>
      <c r="CG442" s="4">
        <f>O442+CD442+CC442+CE442+CF442</f>
        <v/>
      </c>
      <c r="CH442" s="4">
        <f>CG442+N(BU442)</f>
        <v/>
      </c>
      <c r="CI442" s="3">
        <f>IF(CG442&lt;=TOTAL_MAX,"sí",IF(CG442&lt;=TOTAL_MAX+MARGEN_NEG,"negociar","no"))</f>
        <v/>
      </c>
      <c r="CJ442" s="4">
        <f>IF(CI442&lt;&gt;"no",COUNTIFS($CI$2:$CI$662,"&lt;&gt;no",$CA$2:$CA$662,"&gt;"&amp;CA442)+COUNTIFS($CI$2:CI442,"&lt;&gt;no",$CA$2:CA442,CA442),"")</f>
        <v/>
      </c>
    </row>
    <row r="443">
      <c r="A443" s="2" t="inlineStr">
        <is>
          <t>cochesnet:71604371</t>
        </is>
      </c>
      <c r="B443" s="2" t="inlineStr">
        <is>
          <t>cochesnet</t>
        </is>
      </c>
      <c r="C443" s="2" t="inlineStr">
        <is>
          <t>https://www.coches.net/renault-fluence-dynamique-dci-110cv-4p-diesel-2010-en-valencia-71604371-covo.aspx</t>
        </is>
      </c>
      <c r="D443" s="2" t="inlineStr">
        <is>
          <t>RENAULT Fluence Dynamique dCi</t>
        </is>
      </c>
      <c r="E443" s="2" t="inlineStr">
        <is>
          <t>Renault</t>
        </is>
      </c>
      <c r="F443" s="2" t="inlineStr">
        <is>
          <t>Renault Fluence</t>
        </is>
      </c>
      <c r="G443" s="2" t="inlineStr">
        <is>
          <t>? dCi</t>
        </is>
      </c>
      <c r="H443" s="2" t="inlineStr">
        <is>
          <t>Dynamique dCi 110cv</t>
        </is>
      </c>
      <c r="I443" s="2" t="n"/>
      <c r="J443" s="2" t="n">
        <v>110</v>
      </c>
      <c r="K443" s="2" t="inlineStr">
        <is>
          <t>diesel</t>
        </is>
      </c>
      <c r="L443" s="2" t="inlineStr">
        <is>
          <t>berlina</t>
        </is>
      </c>
      <c r="M443" s="2" t="n">
        <v>2011</v>
      </c>
      <c r="N443" s="2" t="n">
        <v>212000</v>
      </c>
      <c r="O443" s="2" t="n">
        <v>4490</v>
      </c>
      <c r="P443" s="2" t="inlineStr">
        <is>
          <t>manual</t>
        </is>
      </c>
      <c r="Q443" s="2" t="inlineStr">
        <is>
          <t>no</t>
        </is>
      </c>
      <c r="R443" s="2" t="inlineStr">
        <is>
          <t>profesional</t>
        </is>
      </c>
      <c r="S443" s="2" t="inlineStr">
        <is>
          <t>Bonrepòs i Mirambell</t>
        </is>
      </c>
      <c r="T443" s="2" t="inlineStr">
        <is>
          <t>2026-09-26T14:10:43Z</t>
        </is>
      </c>
      <c r="U443" s="2" t="n">
        <v>23</v>
      </c>
      <c r="V443" s="2" t="n"/>
      <c r="W443" s="2" t="n"/>
      <c r="X443" s="2" t="n"/>
      <c r="Y443" s="2" t="n"/>
      <c r="Z443" s="2" t="inlineStr">
        <is>
          <t>sí</t>
        </is>
      </c>
      <c r="AA443" s="2" t="n"/>
      <c r="AB443" s="2" t="n">
        <v>12</v>
      </c>
      <c r="AC443" s="2" t="n"/>
      <c r="AD443" s="2" t="n"/>
      <c r="AE443" s="2" t="n"/>
      <c r="AF443" s="2" t="inlineStr">
        <is>
          <t>sí</t>
        </is>
      </c>
      <c r="AG443" s="2" t="n"/>
      <c r="AH443" s="2" t="n">
        <v>4490</v>
      </c>
      <c r="AI443" s="2" t="n"/>
      <c r="AJ443" s="2" t="n"/>
      <c r="AK443" s="2" t="n"/>
      <c r="AL443" s="2" t="n"/>
      <c r="AM443" s="2" t="n">
        <v>5.3</v>
      </c>
      <c r="AN443" s="2" t="n">
        <v>4895</v>
      </c>
      <c r="AO443" s="2" t="n">
        <v>4</v>
      </c>
      <c r="AP443" s="2" t="inlineStr">
        <is>
          <t>modelo+año</t>
        </is>
      </c>
      <c r="AQ443" s="2" t="n"/>
      <c r="AR443"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S443" s="2" t="inlineStr">
        <is>
          <t>ELEGANZA AUTOMÓVILES
Vehículo nacional, en excelente estado, con ITV favorable, kilómetros certificados. Se encuentra en perfecto estado de conservación.
Equipamiento:
- Climatizador digital bizona
- Volante de cuero multifuncional
- Control de crucero y limitador de velocidad
- Conexión a teléfono móvil
- Radio CD con AUX, USB y Bluetooth
- Ordenador de a bordo con pantalla integrada
- Retrovisores con ajuste eléctrico
- Sistema de audio profesional
- Tapicería mixta cuero/textil en perfecto estado
- Posavasos
- Sistema antirrobo
- Anclajes ISOFIX
- Sensores de aparcamiento
Incluye 1 año de garantía.
Solicita más información sin compromiso.
Abrimos los 365 días del año.</t>
        </is>
      </c>
      <c r="AT443" s="2" t="inlineStr">
        <is>
          <t>https://www.coches.net/renault-fluence-dynamique-dci-110cv-4p-diesel-2010-en-valencia-71604371-covo.aspx (window.__INITIAL_PROPS__.ad) /home/user/Alopecia/buscador-coches/raw/cochesnet/0d94285184c4a61e.json</t>
        </is>
      </c>
      <c r="AU443" s="3">
        <f>MAX(ANIO_ACTUAL-M443,0)</f>
        <v/>
      </c>
      <c r="AV443" s="4">
        <f>N443/MAX(AU443,0.5)</f>
        <v/>
      </c>
      <c r="AW443" s="4">
        <f>F443</f>
        <v/>
      </c>
      <c r="AX443" s="3">
        <f>AW443&amp;"|"&amp;INT(M443/SEG_ANIO)*SEG_ANIO</f>
        <v/>
      </c>
      <c r="AY443" s="3">
        <f>AX443&amp;"|"&amp;INT(N443/SEG_KM)*SEG_KM</f>
        <v/>
      </c>
      <c r="AZ443" s="4">
        <f>COUNTIF($AW$2:$AW$662,AW443)</f>
        <v/>
      </c>
      <c r="BA443" s="4">
        <f>COUNTIF($AX$2:$AX$662,AX443)</f>
        <v/>
      </c>
      <c r="BB443" s="4">
        <f>COUNTIF($AY$2:$AY$662,AY443)</f>
        <v/>
      </c>
      <c r="BC443" s="3">
        <f t="array" ref="BC443">IF(N(AO443)&gt;=MIN_N,AN443,IF(BB443&gt;=MIN_N,MEDIAN(IF($AY$2:$AY$662=AY443,$O$2:$O$662)),IF(BA443&gt;=MIN_N,MEDIAN(IF($AX$2:$AX$662=AX443,$O$2:$O$662)),MEDIAN(IF($AW$2:$AW$662=AW443,$O$2:$O$662)))))</f>
        <v/>
      </c>
      <c r="BD443" s="3">
        <f>IF(N(AO443)&gt;=MIN_N,"mercado "&amp;AP443,IF(BB443&gt;=MIN_N,"modelo+año+km",IF(BA443&gt;=MIN_N,"modelo+año","modelo")))</f>
        <v/>
      </c>
      <c r="BE443" s="4">
        <f>(BC443-O443)/BC443</f>
        <v/>
      </c>
      <c r="BF443" s="3">
        <f>IF(OR(K443="hibrido",K443="glp"),"ECO",IF(K443="electrico","CERO",IF(K443="gasolina",IF(M443&gt;=GAS_C,"C",IF(M443&gt;=GAS_B,"B","A")),IF(K443="diesel",IF(M443&gt;=DIE_C,"C",IF(M443&gt;=DIE_B,"B","A")),""))))</f>
        <v/>
      </c>
      <c r="BG443" s="3">
        <f>IFERROR(VLOOKUP(F443,MOD_TBL,11,0),IFERROR(VLOOKUP(E443,OCU_TBL,2,0),NEUTRO))</f>
        <v/>
      </c>
      <c r="BH443" s="3">
        <f>SUMIFS(MOT_AJUSTE,MOT_MOTOR,G443,MOT_MARCA,E443,MOT_DESDE,"&lt;="&amp;M443,MOT_HASTA,"&gt;="&amp;M443)+SUMIFS(MOT_AJUSTE,MOT_MOTOR,G443,MOT_MARCA,"(todas)",MOT_DESDE,"&lt;="&amp;M443,MOT_HASTA,"&gt;="&amp;M443)</f>
        <v/>
      </c>
      <c r="BI443" s="3">
        <f>SUMIFS(COMB_AJUSTE,COMB_COMB,K443)</f>
        <v/>
      </c>
      <c r="BJ443" s="3">
        <f>COUNTIFS(MOT_MOTOR,G443,MOT_MARCA,E443,MOT_DESDE,"&lt;="&amp;M443,MOT_HASTA,"&gt;="&amp;M443)+COUNTIFS(MOT_MOTOR,G443,MOT_MARCA,"(todas)",MOT_DESDE,"&lt;="&amp;M443,MOT_HASTA,"&gt;="&amp;M443)</f>
        <v/>
      </c>
      <c r="BK443" s="3">
        <f>IF(AND(K443="diesel",BJ443=0),MIN(BG443,NEUTRO),BG443)</f>
        <v/>
      </c>
      <c r="BL443" s="4">
        <f>MAX(0,MIN(100,BK443+BH443+BI443))</f>
        <v/>
      </c>
      <c r="BM443" s="3">
        <f>MAX(0,MIN(100,50+BE443*PRECIO_PEND))</f>
        <v/>
      </c>
      <c r="BN443" s="3">
        <f>MAX(0,100*(1-N443/KM_MAX))</f>
        <v/>
      </c>
      <c r="BO443" s="3">
        <f>IF(AV443&lt;KMA_SOSP,IF(AA443="sí",100,KMA_PEN),IF(AV443&lt;=KMA_IDEAL_MAX,100,MAX(0,100*(KMA_CERO-AV443)/(KMA_CERO-KMA_IDEAL_MAX))))</f>
        <v/>
      </c>
      <c r="BP443" s="3">
        <f>MAX(0,MIN(100,100*(M443-ANIO_MIN)/(ANIO_ACTUAL-ANIO_MIN)))</f>
        <v/>
      </c>
      <c r="BQ443" s="3">
        <f>W_KMT*BN443+W_KMA*BO443+W_EDAD*BP443</f>
        <v/>
      </c>
      <c r="BR443" s="3">
        <f>P_ITV*(V443="sí")+P_LIBRO*(W443="sí")+P_CORREA*(X443="sí")+P_PROP*(Y443=1)+P_GAR*(Z443="sí")+P_FOTOS*MIN(1,N(U443)/FOTOS_OBJ)</f>
        <v/>
      </c>
      <c r="BS443" s="3">
        <f>IFERROR(VLOOKUP(BF443,ETQ_TBL,2,0),NEUTRO)</f>
        <v/>
      </c>
      <c r="BT443" s="3">
        <f>NEUTRO</f>
        <v/>
      </c>
      <c r="BU443" s="3">
        <f>IFERROR(VLOOKUP(L443,SEGURO_TBL,3,0),"")</f>
        <v/>
      </c>
      <c r="BV443" s="3">
        <f>IF(BU443="",NEUTRO,MAX(0,MIN(100,100*(SEG_REF_MAX-BU443)/(SEG_REF_MAX-SEG_REF_MIN))))</f>
        <v/>
      </c>
      <c r="BW443" s="3">
        <f>W_ET*BS443+W_CONS*BT443+W_SEG*BV443</f>
        <v/>
      </c>
      <c r="BX443" s="3">
        <f>IF(N(AB443)&gt;0,AB443,IF(AND(R443="profesional",SG_LEGAL_ON=1),GAR_LEGAL,0))</f>
        <v/>
      </c>
      <c r="BY443" s="3">
        <f>SG_GAR*MIN(1,BX443/SG_GAR_FULL)+SG_AMPL*(AC443="sí")+SG_KMC*(AF443="sí")+SG_REV*(N(AE443)&gt;0)+SG_DEV*MIN(1,N(AG443)/SG_DEV_FULL)+SG_HIST*(W443="sí")</f>
        <v/>
      </c>
      <c r="BZ443" s="3">
        <f>IFERROR(VLOOKUP(L443,CARR_PEN_TBL,2,0),0)</f>
        <v/>
      </c>
      <c r="CA443" s="3">
        <f>W_FIAB*BL443+W_PRECIO*BM443+W_KMEDAD*BQ443+W_ANUNCIO*BR443+W_USO*BW443+W_SEGURIDAD*BY443-BZ443</f>
        <v/>
      </c>
      <c r="CB443" s="4">
        <f>IF(N(I443)&gt;0,I443,IFERROR(ROUND(_xlfn.NUMBERVALUE(LEFT(G443,FIND(" ",G443&amp;" ")-1),".")*1000,0),99999))</f>
        <v/>
      </c>
      <c r="CC443" s="3">
        <f>IF(R443="profesional",0,IF(O443&lt;CUOTA_VALOR_MAX,IF(AU443&gt;ITP_TRAMO_ALTO,SUMIFS(CF_CUOTA,CF_MAS,ITP_TRAMO_ALTO,CF_CCMIN,"&lt;="&amp;CB443,CF_CCMAX,"&gt;="&amp;CB443),IF(AU443&gt;ITP_TRAMO_BAJO,SUMIFS(CF_CUOTA,CF_MAS,ITP_TRAMO_BAJO,CF_CCMIN,"&lt;="&amp;CB443,CF_CCMAX,"&gt;="&amp;CB443),O443*ITP_TIPO)),O443*ITP_TIPO))</f>
        <v/>
      </c>
      <c r="CD443" s="4">
        <f>IF(R443="profesional",N(AK443),0)</f>
        <v/>
      </c>
      <c r="CE443" s="3">
        <f>IF(AND(R443="profesional",ISNUMBER(AK443),AL443="sí"),0,TASA_DGT)</f>
        <v/>
      </c>
      <c r="CF443" s="3">
        <f>INFORME_DGT</f>
        <v/>
      </c>
      <c r="CG443" s="4">
        <f>O443+CD443+CC443+CE443+CF443</f>
        <v/>
      </c>
      <c r="CH443" s="4">
        <f>CG443+N(BU443)</f>
        <v/>
      </c>
      <c r="CI443" s="3">
        <f>IF(CG443&lt;=TOTAL_MAX,"sí",IF(CG443&lt;=TOTAL_MAX+MARGEN_NEG,"negociar","no"))</f>
        <v/>
      </c>
      <c r="CJ443" s="4">
        <f>IF(CI443&lt;&gt;"no",COUNTIFS($CI$2:$CI$662,"&lt;&gt;no",$CA$2:$CA$662,"&gt;"&amp;CA443)+COUNTIFS($CI$2:CI443,"&lt;&gt;no",$CA$2:CA443,CA443),"")</f>
        <v/>
      </c>
    </row>
    <row r="444">
      <c r="A444" s="2" t="inlineStr">
        <is>
          <t>cochesnet:71334952</t>
        </is>
      </c>
      <c r="B444" s="2" t="inlineStr">
        <is>
          <t>cochesnet</t>
        </is>
      </c>
      <c r="C444" s="2" t="inlineStr">
        <is>
          <t>https://www.coches.net/renault-fluence-dynamique-16-16v-110-4p-gasolina-2012-en-valencia-71334952-covo.aspx</t>
        </is>
      </c>
      <c r="D444" s="2" t="inlineStr">
        <is>
          <t>RENAULT Fluence Dynamique 1.6 16v 110</t>
        </is>
      </c>
      <c r="E444" s="2" t="inlineStr">
        <is>
          <t>Renault</t>
        </is>
      </c>
      <c r="F444" s="2" t="inlineStr">
        <is>
          <t>Renault Fluence</t>
        </is>
      </c>
      <c r="G444" s="2" t="inlineStr">
        <is>
          <t>1.6</t>
        </is>
      </c>
      <c r="H444" s="2" t="inlineStr">
        <is>
          <t>Dynamique 1.6 16v 110</t>
        </is>
      </c>
      <c r="I444" s="2" t="n"/>
      <c r="J444" s="2" t="n"/>
      <c r="K444" s="2" t="inlineStr">
        <is>
          <t>gasolina</t>
        </is>
      </c>
      <c r="L444" s="2" t="inlineStr">
        <is>
          <t>berlina</t>
        </is>
      </c>
      <c r="M444" s="2" t="n">
        <v>2012</v>
      </c>
      <c r="N444" s="2" t="n">
        <v>219000</v>
      </c>
      <c r="O444" s="2" t="n">
        <v>4200</v>
      </c>
      <c r="P444" s="2" t="inlineStr">
        <is>
          <t>manual</t>
        </is>
      </c>
      <c r="Q444" s="2" t="inlineStr">
        <is>
          <t>no</t>
        </is>
      </c>
      <c r="R444" s="2" t="inlineStr">
        <is>
          <t>particular</t>
        </is>
      </c>
      <c r="S444" s="2" t="inlineStr">
        <is>
          <t>Torrent</t>
        </is>
      </c>
      <c r="T444" s="2" t="inlineStr">
        <is>
          <t>2026-08-21T22:13:06Z</t>
        </is>
      </c>
      <c r="U444" s="2" t="n">
        <v>8</v>
      </c>
      <c r="V444" s="2" t="inlineStr">
        <is>
          <t>sí</t>
        </is>
      </c>
      <c r="W444" s="2" t="inlineStr">
        <is>
          <t>sí</t>
        </is>
      </c>
      <c r="X444" s="2" t="n"/>
      <c r="Y444" s="2" t="n"/>
      <c r="Z444" s="2" t="inlineStr">
        <is>
          <t>no</t>
        </is>
      </c>
      <c r="AA444" s="2" t="n"/>
      <c r="AB444" s="2" t="n"/>
      <c r="AC444" s="2" t="n"/>
      <c r="AD444" s="2" t="n"/>
      <c r="AE444" s="2" t="n"/>
      <c r="AF444" s="2" t="n"/>
      <c r="AG444" s="2" t="n"/>
      <c r="AH444" s="2" t="n">
        <v>4200</v>
      </c>
      <c r="AI444" s="2" t="n"/>
      <c r="AJ444" s="2" t="n"/>
      <c r="AK444" s="2" t="n"/>
      <c r="AL444" s="2" t="n"/>
      <c r="AM444" s="2" t="n">
        <v>8.800000000000001</v>
      </c>
      <c r="AN444" s="2" t="n">
        <v>4895</v>
      </c>
      <c r="AO444" s="2" t="n">
        <v>4</v>
      </c>
      <c r="AP444" s="2" t="inlineStr">
        <is>
          <t>modelo+año</t>
        </is>
      </c>
      <c r="AQ444" s="2" t="n"/>
      <c r="AR444" s="2" t="inlineStr">
        <is>
          <t>cuota fija ITP: &gt;12 años, 1.501-2.000 cc; carrocería berlina: -4 puntos; fiabilidad del modelo PENDIENTE de fuente (puntuación neutra)</t>
        </is>
      </c>
      <c r="AS444" s="2" t="inlineStr">
        <is>
          <t>Excelente berlina para la ciudad y la familia:
-Motor 1.6 económico y fiable.
-219 kilometraje - poco kilometraje
-Aire acondicionado funcional
-Bluetooth funcional
-Maletero más amplio en su sección 536 Litros
-Documentación en regla.
-Mantenimiento al día, motor en excelente estado
-Interiores de silla en cuero con tela.
-Manual 5 marchas
-ITV Recién pasada
Escribeme hoy y coordinamos la prueba.</t>
        </is>
      </c>
      <c r="AT444" s="2" t="inlineStr">
        <is>
          <t>https://www.coches.net/renault-fluence-dynamique-16-16v-110-4p-gasolina-2012-en-valencia-71334952-covo.aspx (window.__INITIAL_PROPS__.ad) /home/user/Alopecia/buscador-coches/raw/cochesnet/60153e3760411c4c.json</t>
        </is>
      </c>
      <c r="AU444" s="3">
        <f>MAX(ANIO_ACTUAL-M444,0)</f>
        <v/>
      </c>
      <c r="AV444" s="4">
        <f>N444/MAX(AU444,0.5)</f>
        <v/>
      </c>
      <c r="AW444" s="4">
        <f>F444</f>
        <v/>
      </c>
      <c r="AX444" s="3">
        <f>AW444&amp;"|"&amp;INT(M444/SEG_ANIO)*SEG_ANIO</f>
        <v/>
      </c>
      <c r="AY444" s="3">
        <f>AX444&amp;"|"&amp;INT(N444/SEG_KM)*SEG_KM</f>
        <v/>
      </c>
      <c r="AZ444" s="4">
        <f>COUNTIF($AW$2:$AW$662,AW444)</f>
        <v/>
      </c>
      <c r="BA444" s="4">
        <f>COUNTIF($AX$2:$AX$662,AX444)</f>
        <v/>
      </c>
      <c r="BB444" s="4">
        <f>COUNTIF($AY$2:$AY$662,AY444)</f>
        <v/>
      </c>
      <c r="BC444" s="3">
        <f t="array" ref="BC444">IF(N(AO444)&gt;=MIN_N,AN444,IF(BB444&gt;=MIN_N,MEDIAN(IF($AY$2:$AY$662=AY444,$O$2:$O$662)),IF(BA444&gt;=MIN_N,MEDIAN(IF($AX$2:$AX$662=AX444,$O$2:$O$662)),MEDIAN(IF($AW$2:$AW$662=AW444,$O$2:$O$662)))))</f>
        <v/>
      </c>
      <c r="BD444" s="3">
        <f>IF(N(AO444)&gt;=MIN_N,"mercado "&amp;AP444,IF(BB444&gt;=MIN_N,"modelo+año+km",IF(BA444&gt;=MIN_N,"modelo+año","modelo")))</f>
        <v/>
      </c>
      <c r="BE444" s="4">
        <f>(BC444-O444)/BC444</f>
        <v/>
      </c>
      <c r="BF444" s="3">
        <f>IF(OR(K444="hibrido",K444="glp"),"ECO",IF(K444="electrico","CERO",IF(K444="gasolina",IF(M444&gt;=GAS_C,"C",IF(M444&gt;=GAS_B,"B","A")),IF(K444="diesel",IF(M444&gt;=DIE_C,"C",IF(M444&gt;=DIE_B,"B","A")),""))))</f>
        <v/>
      </c>
      <c r="BG444" s="3">
        <f>IFERROR(VLOOKUP(F444,MOD_TBL,11,0),IFERROR(VLOOKUP(E444,OCU_TBL,2,0),NEUTRO))</f>
        <v/>
      </c>
      <c r="BH444" s="3">
        <f>SUMIFS(MOT_AJUSTE,MOT_MOTOR,G444,MOT_MARCA,E444,MOT_DESDE,"&lt;="&amp;M444,MOT_HASTA,"&gt;="&amp;M444)+SUMIFS(MOT_AJUSTE,MOT_MOTOR,G444,MOT_MARCA,"(todas)",MOT_DESDE,"&lt;="&amp;M444,MOT_HASTA,"&gt;="&amp;M444)</f>
        <v/>
      </c>
      <c r="BI444" s="3">
        <f>SUMIFS(COMB_AJUSTE,COMB_COMB,K444)</f>
        <v/>
      </c>
      <c r="BJ444" s="3">
        <f>COUNTIFS(MOT_MOTOR,G444,MOT_MARCA,E444,MOT_DESDE,"&lt;="&amp;M444,MOT_HASTA,"&gt;="&amp;M444)+COUNTIFS(MOT_MOTOR,G444,MOT_MARCA,"(todas)",MOT_DESDE,"&lt;="&amp;M444,MOT_HASTA,"&gt;="&amp;M444)</f>
        <v/>
      </c>
      <c r="BK444" s="3">
        <f>IF(AND(K444="diesel",BJ444=0),MIN(BG444,NEUTRO),BG444)</f>
        <v/>
      </c>
      <c r="BL444" s="4">
        <f>MAX(0,MIN(100,BK444+BH444+BI444))</f>
        <v/>
      </c>
      <c r="BM444" s="3">
        <f>MAX(0,MIN(100,50+BE444*PRECIO_PEND))</f>
        <v/>
      </c>
      <c r="BN444" s="3">
        <f>MAX(0,100*(1-N444/KM_MAX))</f>
        <v/>
      </c>
      <c r="BO444" s="3">
        <f>IF(AV444&lt;KMA_SOSP,IF(AA444="sí",100,KMA_PEN),IF(AV444&lt;=KMA_IDEAL_MAX,100,MAX(0,100*(KMA_CERO-AV444)/(KMA_CERO-KMA_IDEAL_MAX))))</f>
        <v/>
      </c>
      <c r="BP444" s="3">
        <f>MAX(0,MIN(100,100*(M444-ANIO_MIN)/(ANIO_ACTUAL-ANIO_MIN)))</f>
        <v/>
      </c>
      <c r="BQ444" s="3">
        <f>W_KMT*BN444+W_KMA*BO444+W_EDAD*BP444</f>
        <v/>
      </c>
      <c r="BR444" s="3">
        <f>P_ITV*(V444="sí")+P_LIBRO*(W444="sí")+P_CORREA*(X444="sí")+P_PROP*(Y444=1)+P_GAR*(Z444="sí")+P_FOTOS*MIN(1,N(U444)/FOTOS_OBJ)</f>
        <v/>
      </c>
      <c r="BS444" s="3">
        <f>IFERROR(VLOOKUP(BF444,ETQ_TBL,2,0),NEUTRO)</f>
        <v/>
      </c>
      <c r="BT444" s="3">
        <f>NEUTRO</f>
        <v/>
      </c>
      <c r="BU444" s="3">
        <f>IFERROR(VLOOKUP(L444,SEGURO_TBL,3,0),"")</f>
        <v/>
      </c>
      <c r="BV444" s="3">
        <f>IF(BU444="",NEUTRO,MAX(0,MIN(100,100*(SEG_REF_MAX-BU444)/(SEG_REF_MAX-SEG_REF_MIN))))</f>
        <v/>
      </c>
      <c r="BW444" s="3">
        <f>W_ET*BS444+W_CONS*BT444+W_SEG*BV444</f>
        <v/>
      </c>
      <c r="BX444" s="3">
        <f>IF(N(AB444)&gt;0,AB444,IF(AND(R444="profesional",SG_LEGAL_ON=1),GAR_LEGAL,0))</f>
        <v/>
      </c>
      <c r="BY444" s="3">
        <f>SG_GAR*MIN(1,BX444/SG_GAR_FULL)+SG_AMPL*(AC444="sí")+SG_KMC*(AF444="sí")+SG_REV*(N(AE444)&gt;0)+SG_DEV*MIN(1,N(AG444)/SG_DEV_FULL)+SG_HIST*(W444="sí")</f>
        <v/>
      </c>
      <c r="BZ444" s="3">
        <f>IFERROR(VLOOKUP(L444,CARR_PEN_TBL,2,0),0)</f>
        <v/>
      </c>
      <c r="CA444" s="3">
        <f>W_FIAB*BL444+W_PRECIO*BM444+W_KMEDAD*BQ444+W_ANUNCIO*BR444+W_USO*BW444+W_SEGURIDAD*BY444-BZ444</f>
        <v/>
      </c>
      <c r="CB444" s="4">
        <f>IF(N(I444)&gt;0,I444,IFERROR(ROUND(_xlfn.NUMBERVALUE(LEFT(G444,FIND(" ",G444&amp;" ")-1),".")*1000,0),99999))</f>
        <v/>
      </c>
      <c r="CC444" s="3">
        <f>IF(R444="profesional",0,IF(O444&lt;CUOTA_VALOR_MAX,IF(AU444&gt;ITP_TRAMO_ALTO,SUMIFS(CF_CUOTA,CF_MAS,ITP_TRAMO_ALTO,CF_CCMIN,"&lt;="&amp;CB444,CF_CCMAX,"&gt;="&amp;CB444),IF(AU444&gt;ITP_TRAMO_BAJO,SUMIFS(CF_CUOTA,CF_MAS,ITP_TRAMO_BAJO,CF_CCMIN,"&lt;="&amp;CB444,CF_CCMAX,"&gt;="&amp;CB444),O444*ITP_TIPO)),O444*ITP_TIPO))</f>
        <v/>
      </c>
      <c r="CD444" s="4">
        <f>IF(R444="profesional",N(AK444),0)</f>
        <v/>
      </c>
      <c r="CE444" s="3">
        <f>IF(AND(R444="profesional",ISNUMBER(AK444),AL444="sí"),0,TASA_DGT)</f>
        <v/>
      </c>
      <c r="CF444" s="3">
        <f>INFORME_DGT</f>
        <v/>
      </c>
      <c r="CG444" s="4">
        <f>O444+CD444+CC444+CE444+CF444</f>
        <v/>
      </c>
      <c r="CH444" s="4">
        <f>CG444+N(BU444)</f>
        <v/>
      </c>
      <c r="CI444" s="3">
        <f>IF(CG444&lt;=TOTAL_MAX,"sí",IF(CG444&lt;=TOTAL_MAX+MARGEN_NEG,"negociar","no"))</f>
        <v/>
      </c>
      <c r="CJ444" s="4">
        <f>IF(CI444&lt;&gt;"no",COUNTIFS($CI$2:$CI$662,"&lt;&gt;no",$CA$2:$CA$662,"&gt;"&amp;CA444)+COUNTIFS($CI$2:CI444,"&lt;&gt;no",$CA$2:CA444,CA444),"")</f>
        <v/>
      </c>
    </row>
    <row r="445">
      <c r="A445" s="2" t="inlineStr">
        <is>
          <t>cochesnet:71537794</t>
        </is>
      </c>
      <c r="B445" s="2" t="inlineStr">
        <is>
          <t>cochesnet</t>
        </is>
      </c>
      <c r="C445" s="2" t="inlineStr">
        <is>
          <t>https://www.coches.net/dacia-logan-ambiance-15-dci-4p-diesel-2006-en-valencia-71537794-covo.aspx</t>
        </is>
      </c>
      <c r="D445" s="2" t="inlineStr">
        <is>
          <t>DACIA Logan Ambiance 1.5 dCi</t>
        </is>
      </c>
      <c r="E445" s="2" t="inlineStr">
        <is>
          <t>Dacia</t>
        </is>
      </c>
      <c r="F445" s="2" t="inlineStr">
        <is>
          <t>Dacia Logan</t>
        </is>
      </c>
      <c r="G445" s="2" t="inlineStr">
        <is>
          <t>1.5 dCi</t>
        </is>
      </c>
      <c r="H445" s="2" t="inlineStr">
        <is>
          <t>Ambiance 1.5 dCi</t>
        </is>
      </c>
      <c r="I445" s="2" t="n"/>
      <c r="J445" s="2" t="n"/>
      <c r="K445" s="2" t="inlineStr">
        <is>
          <t>diesel</t>
        </is>
      </c>
      <c r="L445" s="2" t="inlineStr">
        <is>
          <t>berlina</t>
        </is>
      </c>
      <c r="M445" s="2" t="n">
        <v>2006</v>
      </c>
      <c r="N445" s="2" t="n">
        <v>80000</v>
      </c>
      <c r="O445" s="2" t="n">
        <v>1300</v>
      </c>
      <c r="P445" s="2" t="inlineStr">
        <is>
          <t>manual</t>
        </is>
      </c>
      <c r="Q445" s="2" t="inlineStr">
        <is>
          <t>no</t>
        </is>
      </c>
      <c r="R445" s="2" t="inlineStr">
        <is>
          <t>profesional</t>
        </is>
      </c>
      <c r="S445" s="2" t="inlineStr">
        <is>
          <t>Automoción Valencia Albal</t>
        </is>
      </c>
      <c r="T445" s="2" t="inlineStr">
        <is>
          <t>2026-09-17T17:12:22Z</t>
        </is>
      </c>
      <c r="U445" s="2" t="n">
        <v>11</v>
      </c>
      <c r="V445" s="2" t="n"/>
      <c r="W445" s="2" t="n"/>
      <c r="X445" s="2" t="n"/>
      <c r="Y445" s="2" t="n"/>
      <c r="Z445" s="2" t="inlineStr">
        <is>
          <t>no</t>
        </is>
      </c>
      <c r="AA445" s="2" t="n"/>
      <c r="AB445" s="2" t="n"/>
      <c r="AC445" s="2" t="n"/>
      <c r="AD445" s="2" t="n"/>
      <c r="AE445" s="2" t="n"/>
      <c r="AF445" s="2" t="n"/>
      <c r="AG445" s="2" t="n"/>
      <c r="AH445" s="2" t="n">
        <v>1300</v>
      </c>
      <c r="AI445" s="2" t="n">
        <v>1300</v>
      </c>
      <c r="AJ445" s="2" t="n"/>
      <c r="AK445" s="2" t="n"/>
      <c r="AL445" s="2" t="n"/>
      <c r="AM445" s="2" t="n">
        <v>8.699999999999999</v>
      </c>
      <c r="AN445" s="2" t="n"/>
      <c r="AO445" s="2" t="n"/>
      <c r="AP445" s="2" t="n"/>
      <c r="AQ445" s="2" t="n"/>
      <c r="AR445" s="2" t="inlineStr">
        <is>
          <t>vendedor profesional: sin ITP (operación con IVA/REBU, confirmar en factura); gastos de gestión del vendedor no indicados: se suma la tasa DGT; preguntar el precio final; carrocería berlina: -4 puntos</t>
        </is>
      </c>
      <c r="AS445" s="2" t="inlineStr">
        <is>
          <t>¨¨LE CUESTA ARRANCAR EN FRIO¨¨ Dacia Logan diésel de 2006 se presenta como un vehículo funcional y económico, especialmente indicado para quien busca movilidad sin complicaciones y con bajos costes de operación. El motor de 1.5 litros ofrece una potencia moderada de 70 CV que, combinada con el consumo mixto de 4,7 l/100km, proporciona una autonomía interesante con el depósito de 50 litros.
El espacio interior es uno de los puntos fuertes de este modelo. Con casi 4,25 metros de largo y una altura de cabina generosa, ofrece comodidad para cinco ocupantes sin sensación de estrechez. El maletero de 510 litros facilita la carga de equipaje o compras sin necesidad de plegar asientos. La suspensión independiente delantera y el eje de torsión trasero proporcionan un comportamiento estable en carretera, mientras que la dirección asistida reduce el esfuerzo en maniobras urbanas.
En cuanto a seguridad, este ejemplar incorpora airbags frontales, ABS en las cuatro ruedas y cinturones de tres puntos en todas las plazas, elementos que garantizan una protección básica pero efectiva.
El equipamiento opcional incluido añade practicidad: el aire acondicionado mejora significativamente el confort en climas cálidos, el pack eléctrico proporciona elevalunas y cierre centralizado, y la radio CD permite entretenimiento durante los desplazamientos. La transmisión manual de cinco velocidades es robusta y económica de mantener.
Posee etiqueta medioambiental B, lo que facilita el acceso a zonas de t</t>
        </is>
      </c>
      <c r="AT445" s="2" t="inlineStr">
        <is>
          <t>https://www.coches.net/dacia-logan-ambiance-15-dci-4p-diesel-2006-en-valencia-71537794-covo.aspx (window.__INITIAL_PROPS__.ad) /home/user/Alopecia/buscador-coches/raw/cochesnet/6d8ff9be14faebcc.json</t>
        </is>
      </c>
      <c r="AU445" s="3">
        <f>MAX(ANIO_ACTUAL-M445,0)</f>
        <v/>
      </c>
      <c r="AV445" s="4">
        <f>N445/MAX(AU445,0.5)</f>
        <v/>
      </c>
      <c r="AW445" s="4">
        <f>F445</f>
        <v/>
      </c>
      <c r="AX445" s="3">
        <f>AW445&amp;"|"&amp;INT(M445/SEG_ANIO)*SEG_ANIO</f>
        <v/>
      </c>
      <c r="AY445" s="3">
        <f>AX445&amp;"|"&amp;INT(N445/SEG_KM)*SEG_KM</f>
        <v/>
      </c>
      <c r="AZ445" s="4">
        <f>COUNTIF($AW$2:$AW$662,AW445)</f>
        <v/>
      </c>
      <c r="BA445" s="4">
        <f>COUNTIF($AX$2:$AX$662,AX445)</f>
        <v/>
      </c>
      <c r="BB445" s="4">
        <f>COUNTIF($AY$2:$AY$662,AY445)</f>
        <v/>
      </c>
      <c r="BC445" s="3">
        <f t="array" ref="BC445">IF(N(AO445)&gt;=MIN_N,AN445,IF(BB445&gt;=MIN_N,MEDIAN(IF($AY$2:$AY$662=AY445,$O$2:$O$662)),IF(BA445&gt;=MIN_N,MEDIAN(IF($AX$2:$AX$662=AX445,$O$2:$O$662)),MEDIAN(IF($AW$2:$AW$662=AW445,$O$2:$O$662)))))</f>
        <v/>
      </c>
      <c r="BD445" s="3">
        <f>IF(N(AO445)&gt;=MIN_N,"mercado "&amp;AP445,IF(BB445&gt;=MIN_N,"modelo+año+km",IF(BA445&gt;=MIN_N,"modelo+año","modelo")))</f>
        <v/>
      </c>
      <c r="BE445" s="4">
        <f>(BC445-O445)/BC445</f>
        <v/>
      </c>
      <c r="BF445" s="3">
        <f>IF(OR(K445="hibrido",K445="glp"),"ECO",IF(K445="electrico","CERO",IF(K445="gasolina",IF(M445&gt;=GAS_C,"C",IF(M445&gt;=GAS_B,"B","A")),IF(K445="diesel",IF(M445&gt;=DIE_C,"C",IF(M445&gt;=DIE_B,"B","A")),""))))</f>
        <v/>
      </c>
      <c r="BG445" s="3">
        <f>IFERROR(VLOOKUP(F445,MOD_TBL,11,0),IFERROR(VLOOKUP(E445,OCU_TBL,2,0),NEUTRO))</f>
        <v/>
      </c>
      <c r="BH445" s="3">
        <f>SUMIFS(MOT_AJUSTE,MOT_MOTOR,G445,MOT_MARCA,E445,MOT_DESDE,"&lt;="&amp;M445,MOT_HASTA,"&gt;="&amp;M445)+SUMIFS(MOT_AJUSTE,MOT_MOTOR,G445,MOT_MARCA,"(todas)",MOT_DESDE,"&lt;="&amp;M445,MOT_HASTA,"&gt;="&amp;M445)</f>
        <v/>
      </c>
      <c r="BI445" s="3">
        <f>SUMIFS(COMB_AJUSTE,COMB_COMB,K445)</f>
        <v/>
      </c>
      <c r="BJ445" s="3">
        <f>COUNTIFS(MOT_MOTOR,G445,MOT_MARCA,E445,MOT_DESDE,"&lt;="&amp;M445,MOT_HASTA,"&gt;="&amp;M445)+COUNTIFS(MOT_MOTOR,G445,MOT_MARCA,"(todas)",MOT_DESDE,"&lt;="&amp;M445,MOT_HASTA,"&gt;="&amp;M445)</f>
        <v/>
      </c>
      <c r="BK445" s="3">
        <f>IF(AND(K445="diesel",BJ445=0),MIN(BG445,NEUTRO),BG445)</f>
        <v/>
      </c>
      <c r="BL445" s="4">
        <f>MAX(0,MIN(100,BK445+BH445+BI445))</f>
        <v/>
      </c>
      <c r="BM445" s="3">
        <f>MAX(0,MIN(100,50+BE445*PRECIO_PEND))</f>
        <v/>
      </c>
      <c r="BN445" s="3">
        <f>MAX(0,100*(1-N445/KM_MAX))</f>
        <v/>
      </c>
      <c r="BO445" s="3">
        <f>IF(AV445&lt;KMA_SOSP,IF(AA445="sí",100,KMA_PEN),IF(AV445&lt;=KMA_IDEAL_MAX,100,MAX(0,100*(KMA_CERO-AV445)/(KMA_CERO-KMA_IDEAL_MAX))))</f>
        <v/>
      </c>
      <c r="BP445" s="3">
        <f>MAX(0,MIN(100,100*(M445-ANIO_MIN)/(ANIO_ACTUAL-ANIO_MIN)))</f>
        <v/>
      </c>
      <c r="BQ445" s="3">
        <f>W_KMT*BN445+W_KMA*BO445+W_EDAD*BP445</f>
        <v/>
      </c>
      <c r="BR445" s="3">
        <f>P_ITV*(V445="sí")+P_LIBRO*(W445="sí")+P_CORREA*(X445="sí")+P_PROP*(Y445=1)+P_GAR*(Z445="sí")+P_FOTOS*MIN(1,N(U445)/FOTOS_OBJ)</f>
        <v/>
      </c>
      <c r="BS445" s="3">
        <f>IFERROR(VLOOKUP(BF445,ETQ_TBL,2,0),NEUTRO)</f>
        <v/>
      </c>
      <c r="BT445" s="3">
        <f>NEUTRO</f>
        <v/>
      </c>
      <c r="BU445" s="3">
        <f>IFERROR(VLOOKUP(L445,SEGURO_TBL,3,0),"")</f>
        <v/>
      </c>
      <c r="BV445" s="3">
        <f>IF(BU445="",NEUTRO,MAX(0,MIN(100,100*(SEG_REF_MAX-BU445)/(SEG_REF_MAX-SEG_REF_MIN))))</f>
        <v/>
      </c>
      <c r="BW445" s="3">
        <f>W_ET*BS445+W_CONS*BT445+W_SEG*BV445</f>
        <v/>
      </c>
      <c r="BX445" s="3">
        <f>IF(N(AB445)&gt;0,AB445,IF(AND(R445="profesional",SG_LEGAL_ON=1),GAR_LEGAL,0))</f>
        <v/>
      </c>
      <c r="BY445" s="3">
        <f>SG_GAR*MIN(1,BX445/SG_GAR_FULL)+SG_AMPL*(AC445="sí")+SG_KMC*(AF445="sí")+SG_REV*(N(AE445)&gt;0)+SG_DEV*MIN(1,N(AG445)/SG_DEV_FULL)+SG_HIST*(W445="sí")</f>
        <v/>
      </c>
      <c r="BZ445" s="3">
        <f>IFERROR(VLOOKUP(L445,CARR_PEN_TBL,2,0),0)</f>
        <v/>
      </c>
      <c r="CA445" s="3">
        <f>W_FIAB*BL445+W_PRECIO*BM445+W_KMEDAD*BQ445+W_ANUNCIO*BR445+W_USO*BW445+W_SEGURIDAD*BY445-BZ445</f>
        <v/>
      </c>
      <c r="CB445" s="4">
        <f>IF(N(I445)&gt;0,I445,IFERROR(ROUND(_xlfn.NUMBERVALUE(LEFT(G445,FIND(" ",G445&amp;" ")-1),".")*1000,0),99999))</f>
        <v/>
      </c>
      <c r="CC445" s="3">
        <f>IF(R445="profesional",0,IF(O445&lt;CUOTA_VALOR_MAX,IF(AU445&gt;ITP_TRAMO_ALTO,SUMIFS(CF_CUOTA,CF_MAS,ITP_TRAMO_ALTO,CF_CCMIN,"&lt;="&amp;CB445,CF_CCMAX,"&gt;="&amp;CB445),IF(AU445&gt;ITP_TRAMO_BAJO,SUMIFS(CF_CUOTA,CF_MAS,ITP_TRAMO_BAJO,CF_CCMIN,"&lt;="&amp;CB445,CF_CCMAX,"&gt;="&amp;CB445),O445*ITP_TIPO)),O445*ITP_TIPO))</f>
        <v/>
      </c>
      <c r="CD445" s="4">
        <f>IF(R445="profesional",N(AK445),0)</f>
        <v/>
      </c>
      <c r="CE445" s="3">
        <f>IF(AND(R445="profesional",ISNUMBER(AK445),AL445="sí"),0,TASA_DGT)</f>
        <v/>
      </c>
      <c r="CF445" s="3">
        <f>INFORME_DGT</f>
        <v/>
      </c>
      <c r="CG445" s="4">
        <f>O445+CD445+CC445+CE445+CF445</f>
        <v/>
      </c>
      <c r="CH445" s="4">
        <f>CG445+N(BU445)</f>
        <v/>
      </c>
      <c r="CI445" s="3">
        <f>IF(CG445&lt;=TOTAL_MAX,"sí",IF(CG445&lt;=TOTAL_MAX+MARGEN_NEG,"negociar","no"))</f>
        <v/>
      </c>
      <c r="CJ445" s="4">
        <f>IF(CI445&lt;&gt;"no",COUNTIFS($CI$2:$CI$662,"&lt;&gt;no",$CA$2:$CA$662,"&gt;"&amp;CA445)+COUNTIFS($CI$2:CI445,"&lt;&gt;no",$CA$2:CA445,CA445),"")</f>
        <v/>
      </c>
    </row>
    <row r="446">
      <c r="A446" s="2" t="inlineStr">
        <is>
          <t>cochesnet:71749298</t>
        </is>
      </c>
      <c r="B446" s="2" t="inlineStr">
        <is>
          <t>cochesnet</t>
        </is>
      </c>
      <c r="C446" s="2" t="inlineStr">
        <is>
          <t>https://www.coches.net/dacia-sandero-laureate-12-16v-75cv-5p-gasolina-2009-en-valencia-71749298-covo.aspx</t>
        </is>
      </c>
      <c r="D446" s="2" t="inlineStr">
        <is>
          <t>DACIA Sandero Laureate 1.2 16v</t>
        </is>
      </c>
      <c r="E446" s="2" t="inlineStr">
        <is>
          <t>Dacia</t>
        </is>
      </c>
      <c r="F446" s="2" t="inlineStr">
        <is>
          <t>Dacia Sandero</t>
        </is>
      </c>
      <c r="G446" s="2" t="inlineStr">
        <is>
          <t>1.2</t>
        </is>
      </c>
      <c r="H446" s="2" t="inlineStr">
        <is>
          <t>Laureate 1.2 16v 75cv</t>
        </is>
      </c>
      <c r="I446" s="2" t="n"/>
      <c r="J446" s="2" t="n">
        <v>75</v>
      </c>
      <c r="K446" s="2" t="inlineStr">
        <is>
          <t>gasolina</t>
        </is>
      </c>
      <c r="L446" s="2" t="inlineStr">
        <is>
          <t>utilitario</t>
        </is>
      </c>
      <c r="M446" s="2" t="n">
        <v>2010</v>
      </c>
      <c r="N446" s="2" t="n">
        <v>115000</v>
      </c>
      <c r="O446" s="2" t="n">
        <v>4690</v>
      </c>
      <c r="P446" s="2" t="inlineStr">
        <is>
          <t>manual</t>
        </is>
      </c>
      <c r="Q446" s="2" t="inlineStr">
        <is>
          <t>no</t>
        </is>
      </c>
      <c r="R446" s="2" t="inlineStr">
        <is>
          <t>profesional</t>
        </is>
      </c>
      <c r="S446" s="2" t="inlineStr">
        <is>
          <t>MM Autos Marín Moreno Godella</t>
        </is>
      </c>
      <c r="T446" s="2" t="inlineStr">
        <is>
          <t>2026-10-15T08:59:44Z</t>
        </is>
      </c>
      <c r="U446" s="2" t="n">
        <v>14</v>
      </c>
      <c r="V446" s="2" t="n"/>
      <c r="W446" s="2" t="n"/>
      <c r="X446" s="2" t="n"/>
      <c r="Y446" s="2" t="n"/>
      <c r="Z446" s="2" t="inlineStr">
        <is>
          <t>sí</t>
        </is>
      </c>
      <c r="AA446" s="2" t="n"/>
      <c r="AB446" s="2" t="n">
        <v>12</v>
      </c>
      <c r="AC446" s="2" t="inlineStr">
        <is>
          <t>sí</t>
        </is>
      </c>
      <c r="AD446" s="2" t="n"/>
      <c r="AE446" s="2" t="n"/>
      <c r="AF446" s="2" t="n"/>
      <c r="AG446" s="2" t="n"/>
      <c r="AH446" s="2" t="n">
        <v>4690</v>
      </c>
      <c r="AI446" s="2" t="n"/>
      <c r="AJ446" s="2" t="n"/>
      <c r="AK446" s="2" t="n"/>
      <c r="AL446" s="2" t="n"/>
      <c r="AM446" s="2" t="n">
        <v>6.7</v>
      </c>
      <c r="AN446" s="2" t="n">
        <v>3800</v>
      </c>
      <c r="AO446" s="2" t="n">
        <v>8</v>
      </c>
      <c r="AP446" s="2" t="inlineStr">
        <is>
          <t>modelo+año</t>
        </is>
      </c>
      <c r="AQ446" s="2" t="n"/>
      <c r="AR446" s="2" t="inlineStr">
        <is>
          <t>vendedor profesional: sin ITP (operación con IVA/REBU, confirmar en factura); gastos de gestión del vendedor no indicados: se suma la tasa DGT; preguntar el precio final</t>
        </is>
      </c>
      <c r="AS446" s="2" t="inlineStr">
        <is>
          <t>Precio del vehículo financiado: (consultar condiciones)
Gastos de gestoría: 150,00€
GARANTÍA incluida 12 meses. Posibilidad de ampliar GARANTÍA PREMIUM hasta 24 o 36 mes
En nuestro centro multimarca, los vehículos se someten a un riguroso filtro antes de su entrega definitiva: limpieza, taller, reparación, etc… y así conseguir la mejor valoración de nuestros clientes. 
Ofrecemos a todos nuestros clientes un trato personalizado y especializado en el sector de la automoción.
Compramos su vehículo.
Entrega tu VEHÍCULO como parte de pago! Si contacta por e-mail, por favor, incluya su teléfono para un trato más rápido, ágil y personalizado.
El vehículo se entrega tras haber pasado un estricto control de calidad, de manera que puedas adquirirlo online con total tranquilidad. REVISIÓN PREENTREGA incluida.
Podemos realizar todo el proceso online con ENTREGA en toda la Península. Consulta el precio con tu asesor comercial.
Anuncio a título informativo no vinculante, puede contener errores y carece de valor contractual. Consultar condiciones.
Adquiere un coche de segunda mano en buen estado y a precio competitivo, hazlo. Nuestra tienda está a escasos metros de Metro Godella línea 1 amarilla, facil ubicación, cerca del centro de Valencia. Te esperamos!</t>
        </is>
      </c>
      <c r="AT446" s="2" t="inlineStr">
        <is>
          <t>https://www.coches.net/dacia-sandero-laureate-12-16v-75cv-5p-gasolina-2009-en-valencia-71749298-covo.aspx (window.__INITIAL_PROPS__.ad) /home/user/Alopecia/buscador-coches/raw/cochesnet/f0bc83d303744e62.json</t>
        </is>
      </c>
      <c r="AU446" s="3">
        <f>MAX(ANIO_ACTUAL-M446,0)</f>
        <v/>
      </c>
      <c r="AV446" s="4">
        <f>N446/MAX(AU446,0.5)</f>
        <v/>
      </c>
      <c r="AW446" s="4">
        <f>F446</f>
        <v/>
      </c>
      <c r="AX446" s="3">
        <f>AW446&amp;"|"&amp;INT(M446/SEG_ANIO)*SEG_ANIO</f>
        <v/>
      </c>
      <c r="AY446" s="3">
        <f>AX446&amp;"|"&amp;INT(N446/SEG_KM)*SEG_KM</f>
        <v/>
      </c>
      <c r="AZ446" s="4">
        <f>COUNTIF($AW$2:$AW$662,AW446)</f>
        <v/>
      </c>
      <c r="BA446" s="4">
        <f>COUNTIF($AX$2:$AX$662,AX446)</f>
        <v/>
      </c>
      <c r="BB446" s="4">
        <f>COUNTIF($AY$2:$AY$662,AY446)</f>
        <v/>
      </c>
      <c r="BC446" s="3">
        <f t="array" ref="BC446">IF(N(AO446)&gt;=MIN_N,AN446,IF(BB446&gt;=MIN_N,MEDIAN(IF($AY$2:$AY$662=AY446,$O$2:$O$662)),IF(BA446&gt;=MIN_N,MEDIAN(IF($AX$2:$AX$662=AX446,$O$2:$O$662)),MEDIAN(IF($AW$2:$AW$662=AW446,$O$2:$O$662)))))</f>
        <v/>
      </c>
      <c r="BD446" s="3">
        <f>IF(N(AO446)&gt;=MIN_N,"mercado "&amp;AP446,IF(BB446&gt;=MIN_N,"modelo+año+km",IF(BA446&gt;=MIN_N,"modelo+año","modelo")))</f>
        <v/>
      </c>
      <c r="BE446" s="4">
        <f>(BC446-O446)/BC446</f>
        <v/>
      </c>
      <c r="BF446" s="3">
        <f>IF(OR(K446="hibrido",K446="glp"),"ECO",IF(K446="electrico","CERO",IF(K446="gasolina",IF(M446&gt;=GAS_C,"C",IF(M446&gt;=GAS_B,"B","A")),IF(K446="diesel",IF(M446&gt;=DIE_C,"C",IF(M446&gt;=DIE_B,"B","A")),""))))</f>
        <v/>
      </c>
      <c r="BG446" s="3">
        <f>IFERROR(VLOOKUP(F446,MOD_TBL,11,0),IFERROR(VLOOKUP(E446,OCU_TBL,2,0),NEUTRO))</f>
        <v/>
      </c>
      <c r="BH446" s="3">
        <f>SUMIFS(MOT_AJUSTE,MOT_MOTOR,G446,MOT_MARCA,E446,MOT_DESDE,"&lt;="&amp;M446,MOT_HASTA,"&gt;="&amp;M446)+SUMIFS(MOT_AJUSTE,MOT_MOTOR,G446,MOT_MARCA,"(todas)",MOT_DESDE,"&lt;="&amp;M446,MOT_HASTA,"&gt;="&amp;M446)</f>
        <v/>
      </c>
      <c r="BI446" s="3">
        <f>SUMIFS(COMB_AJUSTE,COMB_COMB,K446)</f>
        <v/>
      </c>
      <c r="BJ446" s="3">
        <f>COUNTIFS(MOT_MOTOR,G446,MOT_MARCA,E446,MOT_DESDE,"&lt;="&amp;M446,MOT_HASTA,"&gt;="&amp;M446)+COUNTIFS(MOT_MOTOR,G446,MOT_MARCA,"(todas)",MOT_DESDE,"&lt;="&amp;M446,MOT_HASTA,"&gt;="&amp;M446)</f>
        <v/>
      </c>
      <c r="BK446" s="3">
        <f>IF(AND(K446="diesel",BJ446=0),MIN(BG446,NEUTRO),BG446)</f>
        <v/>
      </c>
      <c r="BL446" s="4">
        <f>MAX(0,MIN(100,BK446+BH446+BI446))</f>
        <v/>
      </c>
      <c r="BM446" s="3">
        <f>MAX(0,MIN(100,50+BE446*PRECIO_PEND))</f>
        <v/>
      </c>
      <c r="BN446" s="3">
        <f>MAX(0,100*(1-N446/KM_MAX))</f>
        <v/>
      </c>
      <c r="BO446" s="3">
        <f>IF(AV446&lt;KMA_SOSP,IF(AA446="sí",100,KMA_PEN),IF(AV446&lt;=KMA_IDEAL_MAX,100,MAX(0,100*(KMA_CERO-AV446)/(KMA_CERO-KMA_IDEAL_MAX))))</f>
        <v/>
      </c>
      <c r="BP446" s="3">
        <f>MAX(0,MIN(100,100*(M446-ANIO_MIN)/(ANIO_ACTUAL-ANIO_MIN)))</f>
        <v/>
      </c>
      <c r="BQ446" s="3">
        <f>W_KMT*BN446+W_KMA*BO446+W_EDAD*BP446</f>
        <v/>
      </c>
      <c r="BR446" s="3">
        <f>P_ITV*(V446="sí")+P_LIBRO*(W446="sí")+P_CORREA*(X446="sí")+P_PROP*(Y446=1)+P_GAR*(Z446="sí")+P_FOTOS*MIN(1,N(U446)/FOTOS_OBJ)</f>
        <v/>
      </c>
      <c r="BS446" s="3">
        <f>IFERROR(VLOOKUP(BF446,ETQ_TBL,2,0),NEUTRO)</f>
        <v/>
      </c>
      <c r="BT446" s="3">
        <f>NEUTRO</f>
        <v/>
      </c>
      <c r="BU446" s="3">
        <f>IFERROR(VLOOKUP(L446,SEGURO_TBL,3,0),"")</f>
        <v/>
      </c>
      <c r="BV446" s="3">
        <f>IF(BU446="",NEUTRO,MAX(0,MIN(100,100*(SEG_REF_MAX-BU446)/(SEG_REF_MAX-SEG_REF_MIN))))</f>
        <v/>
      </c>
      <c r="BW446" s="3">
        <f>W_ET*BS446+W_CONS*BT446+W_SEG*BV446</f>
        <v/>
      </c>
      <c r="BX446" s="3">
        <f>IF(N(AB446)&gt;0,AB446,IF(AND(R446="profesional",SG_LEGAL_ON=1),GAR_LEGAL,0))</f>
        <v/>
      </c>
      <c r="BY446" s="3">
        <f>SG_GAR*MIN(1,BX446/SG_GAR_FULL)+SG_AMPL*(AC446="sí")+SG_KMC*(AF446="sí")+SG_REV*(N(AE446)&gt;0)+SG_DEV*MIN(1,N(AG446)/SG_DEV_FULL)+SG_HIST*(W446="sí")</f>
        <v/>
      </c>
      <c r="BZ446" s="3">
        <f>IFERROR(VLOOKUP(L446,CARR_PEN_TBL,2,0),0)</f>
        <v/>
      </c>
      <c r="CA446" s="3">
        <f>W_FIAB*BL446+W_PRECIO*BM446+W_KMEDAD*BQ446+W_ANUNCIO*BR446+W_USO*BW446+W_SEGURIDAD*BY446-BZ446</f>
        <v/>
      </c>
      <c r="CB446" s="4">
        <f>IF(N(I446)&gt;0,I446,IFERROR(ROUND(_xlfn.NUMBERVALUE(LEFT(G446,FIND(" ",G446&amp;" ")-1),".")*1000,0),99999))</f>
        <v/>
      </c>
      <c r="CC446" s="3">
        <f>IF(R446="profesional",0,IF(O446&lt;CUOTA_VALOR_MAX,IF(AU446&gt;ITP_TRAMO_ALTO,SUMIFS(CF_CUOTA,CF_MAS,ITP_TRAMO_ALTO,CF_CCMIN,"&lt;="&amp;CB446,CF_CCMAX,"&gt;="&amp;CB446),IF(AU446&gt;ITP_TRAMO_BAJO,SUMIFS(CF_CUOTA,CF_MAS,ITP_TRAMO_BAJO,CF_CCMIN,"&lt;="&amp;CB446,CF_CCMAX,"&gt;="&amp;CB446),O446*ITP_TIPO)),O446*ITP_TIPO))</f>
        <v/>
      </c>
      <c r="CD446" s="4">
        <f>IF(R446="profesional",N(AK446),0)</f>
        <v/>
      </c>
      <c r="CE446" s="3">
        <f>IF(AND(R446="profesional",ISNUMBER(AK446),AL446="sí"),0,TASA_DGT)</f>
        <v/>
      </c>
      <c r="CF446" s="3">
        <f>INFORME_DGT</f>
        <v/>
      </c>
      <c r="CG446" s="4">
        <f>O446+CD446+CC446+CE446+CF446</f>
        <v/>
      </c>
      <c r="CH446" s="4">
        <f>CG446+N(BU446)</f>
        <v/>
      </c>
      <c r="CI446" s="3">
        <f>IF(CG446&lt;=TOTAL_MAX,"sí",IF(CG446&lt;=TOTAL_MAX+MARGEN_NEG,"negociar","no"))</f>
        <v/>
      </c>
      <c r="CJ446" s="4">
        <f>IF(CI446&lt;&gt;"no",COUNTIFS($CI$2:$CI$662,"&lt;&gt;no",$CA$2:$CA$662,"&gt;"&amp;CA446)+COUNTIFS($CI$2:CI446,"&lt;&gt;no",$CA$2:CA446,CA446),"")</f>
        <v/>
      </c>
    </row>
    <row r="447">
      <c r="A447" s="2" t="inlineStr">
        <is>
          <t>cochesnet:71618631</t>
        </is>
      </c>
      <c r="B447" s="2" t="inlineStr">
        <is>
          <t>cochesnet</t>
        </is>
      </c>
      <c r="C447" s="2" t="inlineStr">
        <is>
          <t>https://www.coches.net/dacia-sandero-base-12-75cv-acc-12d-5ra-5p-gasolina-2014-en-valencia-71618631-covo.aspx</t>
        </is>
      </c>
      <c r="D447" s="2" t="inlineStr">
        <is>
          <t>DACIA Sandero Base 1.2 ACC 12D 5RA</t>
        </is>
      </c>
      <c r="E447" s="2" t="inlineStr">
        <is>
          <t>Dacia</t>
        </is>
      </c>
      <c r="F447" s="2" t="inlineStr">
        <is>
          <t>Dacia Sandero</t>
        </is>
      </c>
      <c r="G447" s="2" t="inlineStr">
        <is>
          <t>1.2</t>
        </is>
      </c>
      <c r="H447" s="2" t="inlineStr">
        <is>
          <t>Base 1.2 75cv ACC 12D 5RA</t>
        </is>
      </c>
      <c r="I447" s="2" t="n"/>
      <c r="J447" s="2" t="n">
        <v>75</v>
      </c>
      <c r="K447" s="2" t="inlineStr">
        <is>
          <t>gasolina</t>
        </is>
      </c>
      <c r="L447" s="2" t="inlineStr">
        <is>
          <t>utilitario</t>
        </is>
      </c>
      <c r="M447" s="2" t="n">
        <v>2014</v>
      </c>
      <c r="N447" s="2" t="n">
        <v>148000</v>
      </c>
      <c r="O447" s="2" t="n">
        <v>4900</v>
      </c>
      <c r="P447" s="2" t="inlineStr">
        <is>
          <t>manual</t>
        </is>
      </c>
      <c r="Q447" s="2" t="inlineStr">
        <is>
          <t>no</t>
        </is>
      </c>
      <c r="R447" s="2" t="inlineStr">
        <is>
          <t>particular</t>
        </is>
      </c>
      <c r="S447" s="2" t="inlineStr">
        <is>
          <t>Manuel</t>
        </is>
      </c>
      <c r="T447" s="2" t="inlineStr">
        <is>
          <t>2026-09-28T20:20:56Z</t>
        </is>
      </c>
      <c r="U447" s="2" t="n"/>
      <c r="V447" s="2" t="inlineStr">
        <is>
          <t>sí</t>
        </is>
      </c>
      <c r="W447" s="2" t="n"/>
      <c r="X447" s="2" t="n"/>
      <c r="Y447" s="2" t="n"/>
      <c r="Z447" s="2" t="inlineStr">
        <is>
          <t>no</t>
        </is>
      </c>
      <c r="AA447" s="2" t="n"/>
      <c r="AB447" s="2" t="n"/>
      <c r="AC447" s="2" t="n"/>
      <c r="AD447" s="2" t="n"/>
      <c r="AE447" s="2" t="n"/>
      <c r="AF447" s="2" t="n"/>
      <c r="AG447" s="2" t="n"/>
      <c r="AH447" s="2" t="n">
        <v>4900</v>
      </c>
      <c r="AI447" s="2" t="n"/>
      <c r="AJ447" s="2" t="n"/>
      <c r="AK447" s="2" t="n"/>
      <c r="AL447" s="2" t="n"/>
      <c r="AM447" s="2" t="n">
        <v>47.6</v>
      </c>
      <c r="AN447" s="2" t="n">
        <v>7200</v>
      </c>
      <c r="AO447" s="2" t="n">
        <v>13</v>
      </c>
      <c r="AP447" s="2" t="inlineStr">
        <is>
          <t>modelo+año+km</t>
        </is>
      </c>
      <c r="AQ447" s="2" t="n"/>
      <c r="AR447" s="2" t="inlineStr">
        <is>
          <t>por encima del presupuesto (5084 €), negociar; cuota fija ITP: &gt;5 y &lt;=12 años, hasta 1.500 cc</t>
        </is>
      </c>
      <c r="AS447" s="2" t="inlineStr">
        <is>
          <t xml:space="preserve">Vendo dacia sandero en perfecto estado
interior exterior, con ITV en vigor para más detalles por telefono.
Llamar agente sería
</t>
        </is>
      </c>
      <c r="AT447" s="2" t="inlineStr">
        <is>
          <t>https://www.coches.net/dacia-sandero-base-12-75cv-acc-12d-5ra-5p-gasolina-2014-en-valencia-71618631-covo.aspx (window.__INITIAL_PROPS__.ad) /home/user/Alopecia/buscador-coches/raw/cochesnet/503d211bb3ebc416.json</t>
        </is>
      </c>
      <c r="AU447" s="3">
        <f>MAX(ANIO_ACTUAL-M447,0)</f>
        <v/>
      </c>
      <c r="AV447" s="4">
        <f>N447/MAX(AU447,0.5)</f>
        <v/>
      </c>
      <c r="AW447" s="4">
        <f>F447</f>
        <v/>
      </c>
      <c r="AX447" s="3">
        <f>AW447&amp;"|"&amp;INT(M447/SEG_ANIO)*SEG_ANIO</f>
        <v/>
      </c>
      <c r="AY447" s="3">
        <f>AX447&amp;"|"&amp;INT(N447/SEG_KM)*SEG_KM</f>
        <v/>
      </c>
      <c r="AZ447" s="4">
        <f>COUNTIF($AW$2:$AW$662,AW447)</f>
        <v/>
      </c>
      <c r="BA447" s="4">
        <f>COUNTIF($AX$2:$AX$662,AX447)</f>
        <v/>
      </c>
      <c r="BB447" s="4">
        <f>COUNTIF($AY$2:$AY$662,AY447)</f>
        <v/>
      </c>
      <c r="BC447" s="3">
        <f t="array" ref="BC447">IF(N(AO447)&gt;=MIN_N,AN447,IF(BB447&gt;=MIN_N,MEDIAN(IF($AY$2:$AY$662=AY447,$O$2:$O$662)),IF(BA447&gt;=MIN_N,MEDIAN(IF($AX$2:$AX$662=AX447,$O$2:$O$662)),MEDIAN(IF($AW$2:$AW$662=AW447,$O$2:$O$662)))))</f>
        <v/>
      </c>
      <c r="BD447" s="3">
        <f>IF(N(AO447)&gt;=MIN_N,"mercado "&amp;AP447,IF(BB447&gt;=MIN_N,"modelo+año+km",IF(BA447&gt;=MIN_N,"modelo+año","modelo")))</f>
        <v/>
      </c>
      <c r="BE447" s="4">
        <f>(BC447-O447)/BC447</f>
        <v/>
      </c>
      <c r="BF447" s="3">
        <f>IF(OR(K447="hibrido",K447="glp"),"ECO",IF(K447="electrico","CERO",IF(K447="gasolina",IF(M447&gt;=GAS_C,"C",IF(M447&gt;=GAS_B,"B","A")),IF(K447="diesel",IF(M447&gt;=DIE_C,"C",IF(M447&gt;=DIE_B,"B","A")),""))))</f>
        <v/>
      </c>
      <c r="BG447" s="3">
        <f>IFERROR(VLOOKUP(F447,MOD_TBL,11,0),IFERROR(VLOOKUP(E447,OCU_TBL,2,0),NEUTRO))</f>
        <v/>
      </c>
      <c r="BH447" s="3">
        <f>SUMIFS(MOT_AJUSTE,MOT_MOTOR,G447,MOT_MARCA,E447,MOT_DESDE,"&lt;="&amp;M447,MOT_HASTA,"&gt;="&amp;M447)+SUMIFS(MOT_AJUSTE,MOT_MOTOR,G447,MOT_MARCA,"(todas)",MOT_DESDE,"&lt;="&amp;M447,MOT_HASTA,"&gt;="&amp;M447)</f>
        <v/>
      </c>
      <c r="BI447" s="3">
        <f>SUMIFS(COMB_AJUSTE,COMB_COMB,K447)</f>
        <v/>
      </c>
      <c r="BJ447" s="3">
        <f>COUNTIFS(MOT_MOTOR,G447,MOT_MARCA,E447,MOT_DESDE,"&lt;="&amp;M447,MOT_HASTA,"&gt;="&amp;M447)+COUNTIFS(MOT_MOTOR,G447,MOT_MARCA,"(todas)",MOT_DESDE,"&lt;="&amp;M447,MOT_HASTA,"&gt;="&amp;M447)</f>
        <v/>
      </c>
      <c r="BK447" s="3">
        <f>IF(AND(K447="diesel",BJ447=0),MIN(BG447,NEUTRO),BG447)</f>
        <v/>
      </c>
      <c r="BL447" s="4">
        <f>MAX(0,MIN(100,BK447+BH447+BI447))</f>
        <v/>
      </c>
      <c r="BM447" s="3">
        <f>MAX(0,MIN(100,50+BE447*PRECIO_PEND))</f>
        <v/>
      </c>
      <c r="BN447" s="3">
        <f>MAX(0,100*(1-N447/KM_MAX))</f>
        <v/>
      </c>
      <c r="BO447" s="3">
        <f>IF(AV447&lt;KMA_SOSP,IF(AA447="sí",100,KMA_PEN),IF(AV447&lt;=KMA_IDEAL_MAX,100,MAX(0,100*(KMA_CERO-AV447)/(KMA_CERO-KMA_IDEAL_MAX))))</f>
        <v/>
      </c>
      <c r="BP447" s="3">
        <f>MAX(0,MIN(100,100*(M447-ANIO_MIN)/(ANIO_ACTUAL-ANIO_MIN)))</f>
        <v/>
      </c>
      <c r="BQ447" s="3">
        <f>W_KMT*BN447+W_KMA*BO447+W_EDAD*BP447</f>
        <v/>
      </c>
      <c r="BR447" s="3">
        <f>P_ITV*(V447="sí")+P_LIBRO*(W447="sí")+P_CORREA*(X447="sí")+P_PROP*(Y447=1)+P_GAR*(Z447="sí")+P_FOTOS*MIN(1,N(U447)/FOTOS_OBJ)</f>
        <v/>
      </c>
      <c r="BS447" s="3">
        <f>IFERROR(VLOOKUP(BF447,ETQ_TBL,2,0),NEUTRO)</f>
        <v/>
      </c>
      <c r="BT447" s="3">
        <f>NEUTRO</f>
        <v/>
      </c>
      <c r="BU447" s="3">
        <f>IFERROR(VLOOKUP(L447,SEGURO_TBL,3,0),"")</f>
        <v/>
      </c>
      <c r="BV447" s="3">
        <f>IF(BU447="",NEUTRO,MAX(0,MIN(100,100*(SEG_REF_MAX-BU447)/(SEG_REF_MAX-SEG_REF_MIN))))</f>
        <v/>
      </c>
      <c r="BW447" s="3">
        <f>W_ET*BS447+W_CONS*BT447+W_SEG*BV447</f>
        <v/>
      </c>
      <c r="BX447" s="3">
        <f>IF(N(AB447)&gt;0,AB447,IF(AND(R447="profesional",SG_LEGAL_ON=1),GAR_LEGAL,0))</f>
        <v/>
      </c>
      <c r="BY447" s="3">
        <f>SG_GAR*MIN(1,BX447/SG_GAR_FULL)+SG_AMPL*(AC447="sí")+SG_KMC*(AF447="sí")+SG_REV*(N(AE447)&gt;0)+SG_DEV*MIN(1,N(AG447)/SG_DEV_FULL)+SG_HIST*(W447="sí")</f>
        <v/>
      </c>
      <c r="BZ447" s="3">
        <f>IFERROR(VLOOKUP(L447,CARR_PEN_TBL,2,0),0)</f>
        <v/>
      </c>
      <c r="CA447" s="3">
        <f>W_FIAB*BL447+W_PRECIO*BM447+W_KMEDAD*BQ447+W_ANUNCIO*BR447+W_USO*BW447+W_SEGURIDAD*BY447-BZ447</f>
        <v/>
      </c>
      <c r="CB447" s="4">
        <f>IF(N(I447)&gt;0,I447,IFERROR(ROUND(_xlfn.NUMBERVALUE(LEFT(G447,FIND(" ",G447&amp;" ")-1),".")*1000,0),99999))</f>
        <v/>
      </c>
      <c r="CC447" s="3">
        <f>IF(R447="profesional",0,IF(O447&lt;CUOTA_VALOR_MAX,IF(AU447&gt;ITP_TRAMO_ALTO,SUMIFS(CF_CUOTA,CF_MAS,ITP_TRAMO_ALTO,CF_CCMIN,"&lt;="&amp;CB447,CF_CCMAX,"&gt;="&amp;CB447),IF(AU447&gt;ITP_TRAMO_BAJO,SUMIFS(CF_CUOTA,CF_MAS,ITP_TRAMO_BAJO,CF_CCMIN,"&lt;="&amp;CB447,CF_CCMAX,"&gt;="&amp;CB447),O447*ITP_TIPO)),O447*ITP_TIPO))</f>
        <v/>
      </c>
      <c r="CD447" s="4">
        <f>IF(R447="profesional",N(AK447),0)</f>
        <v/>
      </c>
      <c r="CE447" s="3">
        <f>IF(AND(R447="profesional",ISNUMBER(AK447),AL447="sí"),0,TASA_DGT)</f>
        <v/>
      </c>
      <c r="CF447" s="3">
        <f>INFORME_DGT</f>
        <v/>
      </c>
      <c r="CG447" s="4">
        <f>O447+CD447+CC447+CE447+CF447</f>
        <v/>
      </c>
      <c r="CH447" s="4">
        <f>CG447+N(BU447)</f>
        <v/>
      </c>
      <c r="CI447" s="3">
        <f>IF(CG447&lt;=TOTAL_MAX,"sí",IF(CG447&lt;=TOTAL_MAX+MARGEN_NEG,"negociar","no"))</f>
        <v/>
      </c>
      <c r="CJ447" s="4">
        <f>IF(CI447&lt;&gt;"no",COUNTIFS($CI$2:$CI$662,"&lt;&gt;no",$CA$2:$CA$662,"&gt;"&amp;CA447)+COUNTIFS($CI$2:CI447,"&lt;&gt;no",$CA$2:CA447,CA447),"")</f>
        <v/>
      </c>
    </row>
    <row r="448">
      <c r="A448" s="2" t="inlineStr">
        <is>
          <t>cochesnet:71041099</t>
        </is>
      </c>
      <c r="B448" s="2" t="inlineStr">
        <is>
          <t>cochesnet</t>
        </is>
      </c>
      <c r="C448" s="2" t="inlineStr">
        <is>
          <t>https://www.coches.net/dacia-logan-diesel-2015-en-valencia-71041099-covo.aspx</t>
        </is>
      </c>
      <c r="D448" s="2" t="inlineStr">
        <is>
          <t>DACIA Logan</t>
        </is>
      </c>
      <c r="E448" s="2" t="inlineStr">
        <is>
          <t>Dacia</t>
        </is>
      </c>
      <c r="F448" s="2" t="inlineStr">
        <is>
          <t>Dacia Logan</t>
        </is>
      </c>
      <c r="G448" s="2" t="n"/>
      <c r="H448" s="2" t="n"/>
      <c r="I448" s="2" t="n"/>
      <c r="J448" s="2" t="n"/>
      <c r="K448" s="2" t="inlineStr">
        <is>
          <t>diesel</t>
        </is>
      </c>
      <c r="L448" s="2" t="inlineStr">
        <is>
          <t>berlina</t>
        </is>
      </c>
      <c r="M448" s="2" t="n">
        <v>2015</v>
      </c>
      <c r="N448" s="2" t="n">
        <v>143000</v>
      </c>
      <c r="O448" s="2" t="n">
        <v>5100</v>
      </c>
      <c r="P448" s="2" t="inlineStr">
        <is>
          <t>manual</t>
        </is>
      </c>
      <c r="Q448" s="2" t="inlineStr">
        <is>
          <t>no</t>
        </is>
      </c>
      <c r="R448" s="2" t="inlineStr">
        <is>
          <t>particular</t>
        </is>
      </c>
      <c r="S448" s="2" t="n"/>
      <c r="T448" s="2" t="inlineStr">
        <is>
          <t>2026-07-10T10:02:33Z</t>
        </is>
      </c>
      <c r="U448" s="2" t="n">
        <v>9</v>
      </c>
      <c r="V448" s="2" t="n"/>
      <c r="W448" s="2" t="n"/>
      <c r="X448" s="2" t="n"/>
      <c r="Y448" s="2" t="n"/>
      <c r="Z448" s="2" t="inlineStr">
        <is>
          <t>no</t>
        </is>
      </c>
      <c r="AA448" s="2" t="n"/>
      <c r="AB448" s="2" t="n"/>
      <c r="AC448" s="2" t="n"/>
      <c r="AD448" s="2" t="n"/>
      <c r="AE448" s="2" t="n"/>
      <c r="AF448" s="2" t="n"/>
      <c r="AG448" s="2" t="n"/>
      <c r="AH448" s="2" t="n">
        <v>5100</v>
      </c>
      <c r="AI448" s="2" t="n"/>
      <c r="AJ448" s="2" t="n"/>
      <c r="AK448" s="2" t="n"/>
      <c r="AL448" s="2" t="n"/>
      <c r="AM448" s="2" t="n"/>
      <c r="AN448" s="2" t="n"/>
      <c r="AO448" s="2" t="n"/>
      <c r="AP448" s="2" t="n"/>
      <c r="AQ448" s="2" t="n"/>
      <c r="AR448" s="2" t="inlineStr">
        <is>
          <t>cilindrada desconocida: se aplica el tramo de cuota fija más alto; cuota fija ITP: &gt;5 y &lt;=12 años, más de 2.000 cc; diésel: motor sin fuente de fiabilidad (fiabilidad limitada a neutra); carrocería berlina: -4 puntos; distancia no verificable (el anuncio solo indica la provincia): confirmar que está a &lt;= 70 km</t>
        </is>
      </c>
      <c r="AS448" s="2" t="inlineStr">
        <is>
          <t>Dacia Logan Laureate diésel de octubre del 2015.
A FAVOR:
? 143.000 km. 
? Bola de remolque homologada fija A ESTRENAR! Nunca antes usada, con lo que no ha habido desgaste del coche.
? Ruedas delanteras seminuevas (6 meses).
? Batería de 1 año y medio.
? Freno de mano renovado hace 6 meses.
? ITV para enero de 2027.
? Ha estado aparcado siempre en cochera, no a la intemperie. 
? Amplio maletero. 
EN CONTRA (ya se tiene en cuenta para el precio, que es fijo):
? Faro izquierdo agrietado, pero con luces reglamentarias en perfecto estado (ha pasado la ITV con eso ya 3 veces). 
? Es necesario cambiar el amortiguador delantero y los topes, y el claxon, que solo funciona sin luces puestas. El carenado de los bajos no es imprescindible pero también se puede cambiar porque no está entero.
? Una rejilla de aire está dada de sí.
REGATEOS NO, GRACIAS. Haciendo un cortapega de la información e introduciéndola en cualquier IA se puede comprobar que el precio es razonable y adecuado. CUALQUIER INTENTO DE REGATEO CONLLEVA BLOQUEO. SOLO GENTE SERIA.</t>
        </is>
      </c>
      <c r="AT448" s="2" t="inlineStr">
        <is>
          <t>https://www.coches.net/dacia-logan-diesel-2015-en-valencia-71041099-covo.aspx (window.__INITIAL_PROPS__.ad) /home/user/Alopecia/buscador-coches/raw/cochesnet/8e4bfadf9133ff19.json</t>
        </is>
      </c>
      <c r="AU448" s="3">
        <f>MAX(ANIO_ACTUAL-M448,0)</f>
        <v/>
      </c>
      <c r="AV448" s="4">
        <f>N448/MAX(AU448,0.5)</f>
        <v/>
      </c>
      <c r="AW448" s="4">
        <f>F448</f>
        <v/>
      </c>
      <c r="AX448" s="3">
        <f>AW448&amp;"|"&amp;INT(M448/SEG_ANIO)*SEG_ANIO</f>
        <v/>
      </c>
      <c r="AY448" s="3">
        <f>AX448&amp;"|"&amp;INT(N448/SEG_KM)*SEG_KM</f>
        <v/>
      </c>
      <c r="AZ448" s="4">
        <f>COUNTIF($AW$2:$AW$662,AW448)</f>
        <v/>
      </c>
      <c r="BA448" s="4">
        <f>COUNTIF($AX$2:$AX$662,AX448)</f>
        <v/>
      </c>
      <c r="BB448" s="4">
        <f>COUNTIF($AY$2:$AY$662,AY448)</f>
        <v/>
      </c>
      <c r="BC448" s="3">
        <f t="array" ref="BC448">IF(N(AO448)&gt;=MIN_N,AN448,IF(BB448&gt;=MIN_N,MEDIAN(IF($AY$2:$AY$662=AY448,$O$2:$O$662)),IF(BA448&gt;=MIN_N,MEDIAN(IF($AX$2:$AX$662=AX448,$O$2:$O$662)),MEDIAN(IF($AW$2:$AW$662=AW448,$O$2:$O$662)))))</f>
        <v/>
      </c>
      <c r="BD448" s="3">
        <f>IF(N(AO448)&gt;=MIN_N,"mercado "&amp;AP448,IF(BB448&gt;=MIN_N,"modelo+año+km",IF(BA448&gt;=MIN_N,"modelo+año","modelo")))</f>
        <v/>
      </c>
      <c r="BE448" s="4">
        <f>(BC448-O448)/BC448</f>
        <v/>
      </c>
      <c r="BF448" s="3">
        <f>IF(OR(K448="hibrido",K448="glp"),"ECO",IF(K448="electrico","CERO",IF(K448="gasolina",IF(M448&gt;=GAS_C,"C",IF(M448&gt;=GAS_B,"B","A")),IF(K448="diesel",IF(M448&gt;=DIE_C,"C",IF(M448&gt;=DIE_B,"B","A")),""))))</f>
        <v/>
      </c>
      <c r="BG448" s="3">
        <f>IFERROR(VLOOKUP(F448,MOD_TBL,11,0),IFERROR(VLOOKUP(E448,OCU_TBL,2,0),NEUTRO))</f>
        <v/>
      </c>
      <c r="BH448" s="3">
        <f>SUMIFS(MOT_AJUSTE,MOT_MOTOR,G448,MOT_MARCA,E448,MOT_DESDE,"&lt;="&amp;M448,MOT_HASTA,"&gt;="&amp;M448)+SUMIFS(MOT_AJUSTE,MOT_MOTOR,G448,MOT_MARCA,"(todas)",MOT_DESDE,"&lt;="&amp;M448,MOT_HASTA,"&gt;="&amp;M448)</f>
        <v/>
      </c>
      <c r="BI448" s="3">
        <f>SUMIFS(COMB_AJUSTE,COMB_COMB,K448)</f>
        <v/>
      </c>
      <c r="BJ448" s="3">
        <f>COUNTIFS(MOT_MOTOR,G448,MOT_MARCA,E448,MOT_DESDE,"&lt;="&amp;M448,MOT_HASTA,"&gt;="&amp;M448)+COUNTIFS(MOT_MOTOR,G448,MOT_MARCA,"(todas)",MOT_DESDE,"&lt;="&amp;M448,MOT_HASTA,"&gt;="&amp;M448)</f>
        <v/>
      </c>
      <c r="BK448" s="3">
        <f>IF(AND(K448="diesel",BJ448=0),MIN(BG448,NEUTRO),BG448)</f>
        <v/>
      </c>
      <c r="BL448" s="4">
        <f>MAX(0,MIN(100,BK448+BH448+BI448))</f>
        <v/>
      </c>
      <c r="BM448" s="3">
        <f>MAX(0,MIN(100,50+BE448*PRECIO_PEND))</f>
        <v/>
      </c>
      <c r="BN448" s="3">
        <f>MAX(0,100*(1-N448/KM_MAX))</f>
        <v/>
      </c>
      <c r="BO448" s="3">
        <f>IF(AV448&lt;KMA_SOSP,IF(AA448="sí",100,KMA_PEN),IF(AV448&lt;=KMA_IDEAL_MAX,100,MAX(0,100*(KMA_CERO-AV448)/(KMA_CERO-KMA_IDEAL_MAX))))</f>
        <v/>
      </c>
      <c r="BP448" s="3">
        <f>MAX(0,MIN(100,100*(M448-ANIO_MIN)/(ANIO_ACTUAL-ANIO_MIN)))</f>
        <v/>
      </c>
      <c r="BQ448" s="3">
        <f>W_KMT*BN448+W_KMA*BO448+W_EDAD*BP448</f>
        <v/>
      </c>
      <c r="BR448" s="3">
        <f>P_ITV*(V448="sí")+P_LIBRO*(W448="sí")+P_CORREA*(X448="sí")+P_PROP*(Y448=1)+P_GAR*(Z448="sí")+P_FOTOS*MIN(1,N(U448)/FOTOS_OBJ)</f>
        <v/>
      </c>
      <c r="BS448" s="3">
        <f>IFERROR(VLOOKUP(BF448,ETQ_TBL,2,0),NEUTRO)</f>
        <v/>
      </c>
      <c r="BT448" s="3">
        <f>NEUTRO</f>
        <v/>
      </c>
      <c r="BU448" s="3">
        <f>IFERROR(VLOOKUP(L448,SEGURO_TBL,3,0),"")</f>
        <v/>
      </c>
      <c r="BV448" s="3">
        <f>IF(BU448="",NEUTRO,MAX(0,MIN(100,100*(SEG_REF_MAX-BU448)/(SEG_REF_MAX-SEG_REF_MIN))))</f>
        <v/>
      </c>
      <c r="BW448" s="3">
        <f>W_ET*BS448+W_CONS*BT448+W_SEG*BV448</f>
        <v/>
      </c>
      <c r="BX448" s="3">
        <f>IF(N(AB448)&gt;0,AB448,IF(AND(R448="profesional",SG_LEGAL_ON=1),GAR_LEGAL,0))</f>
        <v/>
      </c>
      <c r="BY448" s="3">
        <f>SG_GAR*MIN(1,BX448/SG_GAR_FULL)+SG_AMPL*(AC448="sí")+SG_KMC*(AF448="sí")+SG_REV*(N(AE448)&gt;0)+SG_DEV*MIN(1,N(AG448)/SG_DEV_FULL)+SG_HIST*(W448="sí")</f>
        <v/>
      </c>
      <c r="BZ448" s="3">
        <f>IFERROR(VLOOKUP(L448,CARR_PEN_TBL,2,0),0)</f>
        <v/>
      </c>
      <c r="CA448" s="3">
        <f>W_FIAB*BL448+W_PRECIO*BM448+W_KMEDAD*BQ448+W_ANUNCIO*BR448+W_USO*BW448+W_SEGURIDAD*BY448-BZ448</f>
        <v/>
      </c>
      <c r="CB448" s="4">
        <f>IF(N(I448)&gt;0,I448,IFERROR(ROUND(_xlfn.NUMBERVALUE(LEFT(G448,FIND(" ",G448&amp;" ")-1),".")*1000,0),99999))</f>
        <v/>
      </c>
      <c r="CC448" s="3">
        <f>IF(R448="profesional",0,IF(O448&lt;CUOTA_VALOR_MAX,IF(AU448&gt;ITP_TRAMO_ALTO,SUMIFS(CF_CUOTA,CF_MAS,ITP_TRAMO_ALTO,CF_CCMIN,"&lt;="&amp;CB448,CF_CCMAX,"&gt;="&amp;CB448),IF(AU448&gt;ITP_TRAMO_BAJO,SUMIFS(CF_CUOTA,CF_MAS,ITP_TRAMO_BAJO,CF_CCMIN,"&lt;="&amp;CB448,CF_CCMAX,"&gt;="&amp;CB448),O448*ITP_TIPO)),O448*ITP_TIPO))</f>
        <v/>
      </c>
      <c r="CD448" s="4">
        <f>IF(R448="profesional",N(AK448),0)</f>
        <v/>
      </c>
      <c r="CE448" s="3">
        <f>IF(AND(R448="profesional",ISNUMBER(AK448),AL448="sí"),0,TASA_DGT)</f>
        <v/>
      </c>
      <c r="CF448" s="3">
        <f>INFORME_DGT</f>
        <v/>
      </c>
      <c r="CG448" s="4">
        <f>O448+CD448+CC448+CE448+CF448</f>
        <v/>
      </c>
      <c r="CH448" s="4">
        <f>CG448+N(BU448)</f>
        <v/>
      </c>
      <c r="CI448" s="3">
        <f>IF(CG448&lt;=TOTAL_MAX,"sí",IF(CG448&lt;=TOTAL_MAX+MARGEN_NEG,"negociar","no"))</f>
        <v/>
      </c>
      <c r="CJ448" s="4">
        <f>IF(CI448&lt;&gt;"no",COUNTIFS($CI$2:$CI$662,"&lt;&gt;no",$CA$2:$CA$662,"&gt;"&amp;CA448)+COUNTIFS($CI$2:CI448,"&lt;&gt;no",$CA$2:CA448,CA448),"")</f>
        <v/>
      </c>
    </row>
    <row r="449">
      <c r="A449" s="2" t="inlineStr">
        <is>
          <t>cochesnet:71472468</t>
        </is>
      </c>
      <c r="B449" s="2" t="inlineStr">
        <is>
          <t>cochesnet</t>
        </is>
      </c>
      <c r="C449" s="2" t="inlineStr">
        <is>
          <t>https://www.coches.net/peugeot-107-14-hdi-urban-5p-diesel-2007-en-valencia-71472468-covo.aspx</t>
        </is>
      </c>
      <c r="D449" s="2" t="inlineStr">
        <is>
          <t>PEUGEOT 107 1.4 HDi Urban</t>
        </is>
      </c>
      <c r="E449" s="2" t="inlineStr">
        <is>
          <t>Peugeot</t>
        </is>
      </c>
      <c r="F449" s="2" t="inlineStr">
        <is>
          <t>Peugeot 107</t>
        </is>
      </c>
      <c r="G449" s="2" t="inlineStr">
        <is>
          <t>1.4 HDi</t>
        </is>
      </c>
      <c r="H449" s="2" t="inlineStr">
        <is>
          <t>1.4 HDi Urban</t>
        </is>
      </c>
      <c r="I449" s="2" t="n"/>
      <c r="J449" s="2" t="n"/>
      <c r="K449" s="2" t="inlineStr">
        <is>
          <t>diesel</t>
        </is>
      </c>
      <c r="L449" s="2" t="inlineStr">
        <is>
          <t>utilitario</t>
        </is>
      </c>
      <c r="M449" s="2" t="n">
        <v>2007</v>
      </c>
      <c r="N449" s="2" t="n">
        <v>128000</v>
      </c>
      <c r="O449" s="2" t="n">
        <v>3950</v>
      </c>
      <c r="P449" s="2" t="inlineStr">
        <is>
          <t>manual</t>
        </is>
      </c>
      <c r="Q449" s="2" t="inlineStr">
        <is>
          <t>no</t>
        </is>
      </c>
      <c r="R449" s="2" t="inlineStr">
        <is>
          <t>profesional</t>
        </is>
      </c>
      <c r="S449" s="2" t="inlineStr">
        <is>
          <t>GO! autos Sagunto (Sagunt)</t>
        </is>
      </c>
      <c r="T449" s="2" t="inlineStr">
        <is>
          <t>2026-09-09T08:19:12Z</t>
        </is>
      </c>
      <c r="U449" s="2" t="n">
        <v>7</v>
      </c>
      <c r="V449" s="2" t="inlineStr">
        <is>
          <t>sí</t>
        </is>
      </c>
      <c r="W449" s="2" t="inlineStr">
        <is>
          <t>sí</t>
        </is>
      </c>
      <c r="X449" s="2" t="n"/>
      <c r="Y449" s="2" t="n"/>
      <c r="Z449" s="2" t="inlineStr">
        <is>
          <t>sí</t>
        </is>
      </c>
      <c r="AA449" s="2" t="inlineStr">
        <is>
          <t>sí</t>
        </is>
      </c>
      <c r="AB449" s="2" t="n">
        <v>12</v>
      </c>
      <c r="AC449" s="2" t="n"/>
      <c r="AD449" s="2" t="n"/>
      <c r="AE449" s="2" t="n"/>
      <c r="AF449" s="2" t="inlineStr">
        <is>
          <t>sí</t>
        </is>
      </c>
      <c r="AG449" s="2" t="n"/>
      <c r="AH449" s="2" t="n">
        <v>3950</v>
      </c>
      <c r="AI449" s="2" t="n">
        <v>3950</v>
      </c>
      <c r="AJ449" s="2" t="n"/>
      <c r="AK449" s="2" t="n"/>
      <c r="AL449" s="2" t="n"/>
      <c r="AM449" s="2" t="n"/>
      <c r="AN449" s="2" t="n">
        <v>2200</v>
      </c>
      <c r="AO449" s="2" t="n">
        <v>7</v>
      </c>
      <c r="AP449" s="2" t="inlineStr">
        <is>
          <t>modelo+año</t>
        </is>
      </c>
      <c r="AQ449" s="2" t="n"/>
      <c r="AR449"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449" s="2" t="inlineStr">
        <is>
          <t xml:space="preserve">GO AUTOS TE OFRECE:
Peugeot 107 1.4 HDi en muy buen estado! 
Km certificados 
Mantenimiento al día 
ITV en vigor 
Ordenador a bordo 
Climatizador 
Dirección asistida
Sistema multimedia 
</t>
        </is>
      </c>
      <c r="AT449" s="2" t="inlineStr">
        <is>
          <t>https://www.coches.net/peugeot-107-14-hdi-urban-5p-diesel-2007-en-valencia-71472468-covo.aspx (window.__INITIAL_PROPS__.ad) /home/user/Alopecia/buscador-coches/raw/cochesnet/f8cec08ceeab34d5.json</t>
        </is>
      </c>
      <c r="AU449" s="3">
        <f>MAX(ANIO_ACTUAL-M449,0)</f>
        <v/>
      </c>
      <c r="AV449" s="4">
        <f>N449/MAX(AU449,0.5)</f>
        <v/>
      </c>
      <c r="AW449" s="4">
        <f>F449</f>
        <v/>
      </c>
      <c r="AX449" s="3">
        <f>AW449&amp;"|"&amp;INT(M449/SEG_ANIO)*SEG_ANIO</f>
        <v/>
      </c>
      <c r="AY449" s="3">
        <f>AX449&amp;"|"&amp;INT(N449/SEG_KM)*SEG_KM</f>
        <v/>
      </c>
      <c r="AZ449" s="4">
        <f>COUNTIF($AW$2:$AW$662,AW449)</f>
        <v/>
      </c>
      <c r="BA449" s="4">
        <f>COUNTIF($AX$2:$AX$662,AX449)</f>
        <v/>
      </c>
      <c r="BB449" s="4">
        <f>COUNTIF($AY$2:$AY$662,AY449)</f>
        <v/>
      </c>
      <c r="BC449" s="3">
        <f t="array" ref="BC449">IF(N(AO449)&gt;=MIN_N,AN449,IF(BB449&gt;=MIN_N,MEDIAN(IF($AY$2:$AY$662=AY449,$O$2:$O$662)),IF(BA449&gt;=MIN_N,MEDIAN(IF($AX$2:$AX$662=AX449,$O$2:$O$662)),MEDIAN(IF($AW$2:$AW$662=AW449,$O$2:$O$662)))))</f>
        <v/>
      </c>
      <c r="BD449" s="3">
        <f>IF(N(AO449)&gt;=MIN_N,"mercado "&amp;AP449,IF(BB449&gt;=MIN_N,"modelo+año+km",IF(BA449&gt;=MIN_N,"modelo+año","modelo")))</f>
        <v/>
      </c>
      <c r="BE449" s="4">
        <f>(BC449-O449)/BC449</f>
        <v/>
      </c>
      <c r="BF449" s="3">
        <f>IF(OR(K449="hibrido",K449="glp"),"ECO",IF(K449="electrico","CERO",IF(K449="gasolina",IF(M449&gt;=GAS_C,"C",IF(M449&gt;=GAS_B,"B","A")),IF(K449="diesel",IF(M449&gt;=DIE_C,"C",IF(M449&gt;=DIE_B,"B","A")),""))))</f>
        <v/>
      </c>
      <c r="BG449" s="3">
        <f>IFERROR(VLOOKUP(F449,MOD_TBL,11,0),IFERROR(VLOOKUP(E449,OCU_TBL,2,0),NEUTRO))</f>
        <v/>
      </c>
      <c r="BH449" s="3">
        <f>SUMIFS(MOT_AJUSTE,MOT_MOTOR,G449,MOT_MARCA,E449,MOT_DESDE,"&lt;="&amp;M449,MOT_HASTA,"&gt;="&amp;M449)+SUMIFS(MOT_AJUSTE,MOT_MOTOR,G449,MOT_MARCA,"(todas)",MOT_DESDE,"&lt;="&amp;M449,MOT_HASTA,"&gt;="&amp;M449)</f>
        <v/>
      </c>
      <c r="BI449" s="3">
        <f>SUMIFS(COMB_AJUSTE,COMB_COMB,K449)</f>
        <v/>
      </c>
      <c r="BJ449" s="3">
        <f>COUNTIFS(MOT_MOTOR,G449,MOT_MARCA,E449,MOT_DESDE,"&lt;="&amp;M449,MOT_HASTA,"&gt;="&amp;M449)+COUNTIFS(MOT_MOTOR,G449,MOT_MARCA,"(todas)",MOT_DESDE,"&lt;="&amp;M449,MOT_HASTA,"&gt;="&amp;M449)</f>
        <v/>
      </c>
      <c r="BK449" s="3">
        <f>IF(AND(K449="diesel",BJ449=0),MIN(BG449,NEUTRO),BG449)</f>
        <v/>
      </c>
      <c r="BL449" s="4">
        <f>MAX(0,MIN(100,BK449+BH449+BI449))</f>
        <v/>
      </c>
      <c r="BM449" s="3">
        <f>MAX(0,MIN(100,50+BE449*PRECIO_PEND))</f>
        <v/>
      </c>
      <c r="BN449" s="3">
        <f>MAX(0,100*(1-N449/KM_MAX))</f>
        <v/>
      </c>
      <c r="BO449" s="3">
        <f>IF(AV449&lt;KMA_SOSP,IF(AA449="sí",100,KMA_PEN),IF(AV449&lt;=KMA_IDEAL_MAX,100,MAX(0,100*(KMA_CERO-AV449)/(KMA_CERO-KMA_IDEAL_MAX))))</f>
        <v/>
      </c>
      <c r="BP449" s="3">
        <f>MAX(0,MIN(100,100*(M449-ANIO_MIN)/(ANIO_ACTUAL-ANIO_MIN)))</f>
        <v/>
      </c>
      <c r="BQ449" s="3">
        <f>W_KMT*BN449+W_KMA*BO449+W_EDAD*BP449</f>
        <v/>
      </c>
      <c r="BR449" s="3">
        <f>P_ITV*(V449="sí")+P_LIBRO*(W449="sí")+P_CORREA*(X449="sí")+P_PROP*(Y449=1)+P_GAR*(Z449="sí")+P_FOTOS*MIN(1,N(U449)/FOTOS_OBJ)</f>
        <v/>
      </c>
      <c r="BS449" s="3">
        <f>IFERROR(VLOOKUP(BF449,ETQ_TBL,2,0),NEUTRO)</f>
        <v/>
      </c>
      <c r="BT449" s="3">
        <f>NEUTRO</f>
        <v/>
      </c>
      <c r="BU449" s="3">
        <f>IFERROR(VLOOKUP(L449,SEGURO_TBL,3,0),"")</f>
        <v/>
      </c>
      <c r="BV449" s="3">
        <f>IF(BU449="",NEUTRO,MAX(0,MIN(100,100*(SEG_REF_MAX-BU449)/(SEG_REF_MAX-SEG_REF_MIN))))</f>
        <v/>
      </c>
      <c r="BW449" s="3">
        <f>W_ET*BS449+W_CONS*BT449+W_SEG*BV449</f>
        <v/>
      </c>
      <c r="BX449" s="3">
        <f>IF(N(AB449)&gt;0,AB449,IF(AND(R449="profesional",SG_LEGAL_ON=1),GAR_LEGAL,0))</f>
        <v/>
      </c>
      <c r="BY449" s="3">
        <f>SG_GAR*MIN(1,BX449/SG_GAR_FULL)+SG_AMPL*(AC449="sí")+SG_KMC*(AF449="sí")+SG_REV*(N(AE449)&gt;0)+SG_DEV*MIN(1,N(AG449)/SG_DEV_FULL)+SG_HIST*(W449="sí")</f>
        <v/>
      </c>
      <c r="BZ449" s="3">
        <f>IFERROR(VLOOKUP(L449,CARR_PEN_TBL,2,0),0)</f>
        <v/>
      </c>
      <c r="CA449" s="3">
        <f>W_FIAB*BL449+W_PRECIO*BM449+W_KMEDAD*BQ449+W_ANUNCIO*BR449+W_USO*BW449+W_SEGURIDAD*BY449-BZ449</f>
        <v/>
      </c>
      <c r="CB449" s="4">
        <f>IF(N(I449)&gt;0,I449,IFERROR(ROUND(_xlfn.NUMBERVALUE(LEFT(G449,FIND(" ",G449&amp;" ")-1),".")*1000,0),99999))</f>
        <v/>
      </c>
      <c r="CC449" s="3">
        <f>IF(R449="profesional",0,IF(O449&lt;CUOTA_VALOR_MAX,IF(AU449&gt;ITP_TRAMO_ALTO,SUMIFS(CF_CUOTA,CF_MAS,ITP_TRAMO_ALTO,CF_CCMIN,"&lt;="&amp;CB449,CF_CCMAX,"&gt;="&amp;CB449),IF(AU449&gt;ITP_TRAMO_BAJO,SUMIFS(CF_CUOTA,CF_MAS,ITP_TRAMO_BAJO,CF_CCMIN,"&lt;="&amp;CB449,CF_CCMAX,"&gt;="&amp;CB449),O449*ITP_TIPO)),O449*ITP_TIPO))</f>
        <v/>
      </c>
      <c r="CD449" s="4">
        <f>IF(R449="profesional",N(AK449),0)</f>
        <v/>
      </c>
      <c r="CE449" s="3">
        <f>IF(AND(R449="profesional",ISNUMBER(AK449),AL449="sí"),0,TASA_DGT)</f>
        <v/>
      </c>
      <c r="CF449" s="3">
        <f>INFORME_DGT</f>
        <v/>
      </c>
      <c r="CG449" s="4">
        <f>O449+CD449+CC449+CE449+CF449</f>
        <v/>
      </c>
      <c r="CH449" s="4">
        <f>CG449+N(BU449)</f>
        <v/>
      </c>
      <c r="CI449" s="3">
        <f>IF(CG449&lt;=TOTAL_MAX,"sí",IF(CG449&lt;=TOTAL_MAX+MARGEN_NEG,"negociar","no"))</f>
        <v/>
      </c>
      <c r="CJ449" s="4">
        <f>IF(CI449&lt;&gt;"no",COUNTIFS($CI$2:$CI$662,"&lt;&gt;no",$CA$2:$CA$662,"&gt;"&amp;CA449)+COUNTIFS($CI$2:CI449,"&lt;&gt;no",$CA$2:CA449,CA449),"")</f>
        <v/>
      </c>
    </row>
    <row r="450">
      <c r="A450" s="2" t="inlineStr">
        <is>
          <t>cochesnet:71267831</t>
        </is>
      </c>
      <c r="B450" s="2" t="inlineStr">
        <is>
          <t>cochesnet</t>
        </is>
      </c>
      <c r="C450" s="2" t="inlineStr">
        <is>
          <t>https://www.coches.net/peugeot-107-10i-urban-3p-gasolina-2006-en-valencia-71267831-covo.aspx</t>
        </is>
      </c>
      <c r="D450" s="2" t="inlineStr">
        <is>
          <t>PEUGEOT 107 1.0i Urban</t>
        </is>
      </c>
      <c r="E450" s="2" t="inlineStr">
        <is>
          <t>Peugeot</t>
        </is>
      </c>
      <c r="F450" s="2" t="inlineStr">
        <is>
          <t>Peugeot 107</t>
        </is>
      </c>
      <c r="G450" s="2" t="inlineStr">
        <is>
          <t>1.0</t>
        </is>
      </c>
      <c r="H450" s="2" t="n"/>
      <c r="I450" s="2" t="n"/>
      <c r="J450" s="2" t="n"/>
      <c r="K450" s="2" t="inlineStr">
        <is>
          <t>gasolina</t>
        </is>
      </c>
      <c r="L450" s="2" t="inlineStr">
        <is>
          <t>utilitario</t>
        </is>
      </c>
      <c r="M450" s="2" t="n">
        <v>2006</v>
      </c>
      <c r="N450" s="2" t="n">
        <v>187000</v>
      </c>
      <c r="O450" s="2" t="n">
        <v>2800</v>
      </c>
      <c r="P450" s="2" t="n"/>
      <c r="Q450" s="2" t="n"/>
      <c r="R450" s="2" t="inlineStr">
        <is>
          <t>particular</t>
        </is>
      </c>
      <c r="S450" s="2" t="inlineStr">
        <is>
          <t>Paterna</t>
        </is>
      </c>
      <c r="T450" s="2" t="inlineStr">
        <is>
          <t>2026-08-10T22:38:44Z</t>
        </is>
      </c>
      <c r="U450" s="2" t="n">
        <v>5</v>
      </c>
      <c r="V450" s="2" t="n"/>
      <c r="W450" s="2" t="n"/>
      <c r="X450" s="2" t="n"/>
      <c r="Y450" s="2" t="n"/>
      <c r="Z450" s="2" t="inlineStr">
        <is>
          <t>no</t>
        </is>
      </c>
      <c r="AA450" s="2" t="n"/>
      <c r="AB450" s="2" t="n"/>
      <c r="AC450" s="2" t="n"/>
      <c r="AD450" s="2" t="n"/>
      <c r="AE450" s="2" t="n"/>
      <c r="AF450" s="2" t="n"/>
      <c r="AG450" s="2" t="n"/>
      <c r="AH450" s="2" t="n">
        <v>2800</v>
      </c>
      <c r="AI450" s="2" t="n"/>
      <c r="AJ450" s="2" t="n"/>
      <c r="AK450" s="2" t="n"/>
      <c r="AL450" s="2" t="n"/>
      <c r="AM450" s="2" t="n"/>
      <c r="AN450" s="2" t="n">
        <v>2700</v>
      </c>
      <c r="AO450" s="2" t="n">
        <v>4</v>
      </c>
      <c r="AP450" s="2" t="inlineStr">
        <is>
          <t>modelo+año</t>
        </is>
      </c>
      <c r="AQ450" s="2" t="n"/>
      <c r="AR450" s="2" t="inlineStr">
        <is>
          <t>cuota fija ITP: &gt;12 años, hasta 1.500 cc; distancia no verificable (el anuncio solo indica la provincia): confirmar que está a &lt;= 70 km; fiabilidad del modelo PENDIENTE de fuente (puntuación neutra)</t>
        </is>
      </c>
      <c r="AS450" s="2" t="inlineStr"/>
      <c r="AT450" s="2" t="inlineStr">
        <is>
          <t>https://www.coches.net/peugeot/107/segunda-mano/valencia/ /home/user/Alopecia/buscador-coches/raw/cochesnet/a2167df5e73e487e.json</t>
        </is>
      </c>
      <c r="AU450" s="3">
        <f>MAX(ANIO_ACTUAL-M450,0)</f>
        <v/>
      </c>
      <c r="AV450" s="4">
        <f>N450/MAX(AU450,0.5)</f>
        <v/>
      </c>
      <c r="AW450" s="4">
        <f>F450</f>
        <v/>
      </c>
      <c r="AX450" s="3">
        <f>AW450&amp;"|"&amp;INT(M450/SEG_ANIO)*SEG_ANIO</f>
        <v/>
      </c>
      <c r="AY450" s="3">
        <f>AX450&amp;"|"&amp;INT(N450/SEG_KM)*SEG_KM</f>
        <v/>
      </c>
      <c r="AZ450" s="4">
        <f>COUNTIF($AW$2:$AW$662,AW450)</f>
        <v/>
      </c>
      <c r="BA450" s="4">
        <f>COUNTIF($AX$2:$AX$662,AX450)</f>
        <v/>
      </c>
      <c r="BB450" s="4">
        <f>COUNTIF($AY$2:$AY$662,AY450)</f>
        <v/>
      </c>
      <c r="BC450" s="3">
        <f t="array" ref="BC450">IF(N(AO450)&gt;=MIN_N,AN450,IF(BB450&gt;=MIN_N,MEDIAN(IF($AY$2:$AY$662=AY450,$O$2:$O$662)),IF(BA450&gt;=MIN_N,MEDIAN(IF($AX$2:$AX$662=AX450,$O$2:$O$662)),MEDIAN(IF($AW$2:$AW$662=AW450,$O$2:$O$662)))))</f>
        <v/>
      </c>
      <c r="BD450" s="3">
        <f>IF(N(AO450)&gt;=MIN_N,"mercado "&amp;AP450,IF(BB450&gt;=MIN_N,"modelo+año+km",IF(BA450&gt;=MIN_N,"modelo+año","modelo")))</f>
        <v/>
      </c>
      <c r="BE450" s="4">
        <f>(BC450-O450)/BC450</f>
        <v/>
      </c>
      <c r="BF450" s="3">
        <f>IF(OR(K450="hibrido",K450="glp"),"ECO",IF(K450="electrico","CERO",IF(K450="gasolina",IF(M450&gt;=GAS_C,"C",IF(M450&gt;=GAS_B,"B","A")),IF(K450="diesel",IF(M450&gt;=DIE_C,"C",IF(M450&gt;=DIE_B,"B","A")),""))))</f>
        <v/>
      </c>
      <c r="BG450" s="3">
        <f>IFERROR(VLOOKUP(F450,MOD_TBL,11,0),IFERROR(VLOOKUP(E450,OCU_TBL,2,0),NEUTRO))</f>
        <v/>
      </c>
      <c r="BH450" s="3">
        <f>SUMIFS(MOT_AJUSTE,MOT_MOTOR,G450,MOT_MARCA,E450,MOT_DESDE,"&lt;="&amp;M450,MOT_HASTA,"&gt;="&amp;M450)+SUMIFS(MOT_AJUSTE,MOT_MOTOR,G450,MOT_MARCA,"(todas)",MOT_DESDE,"&lt;="&amp;M450,MOT_HASTA,"&gt;="&amp;M450)</f>
        <v/>
      </c>
      <c r="BI450" s="3">
        <f>SUMIFS(COMB_AJUSTE,COMB_COMB,K450)</f>
        <v/>
      </c>
      <c r="BJ450" s="3">
        <f>COUNTIFS(MOT_MOTOR,G450,MOT_MARCA,E450,MOT_DESDE,"&lt;="&amp;M450,MOT_HASTA,"&gt;="&amp;M450)+COUNTIFS(MOT_MOTOR,G450,MOT_MARCA,"(todas)",MOT_DESDE,"&lt;="&amp;M450,MOT_HASTA,"&gt;="&amp;M450)</f>
        <v/>
      </c>
      <c r="BK450" s="3">
        <f>IF(AND(K450="diesel",BJ450=0),MIN(BG450,NEUTRO),BG450)</f>
        <v/>
      </c>
      <c r="BL450" s="4">
        <f>MAX(0,MIN(100,BK450+BH450+BI450))</f>
        <v/>
      </c>
      <c r="BM450" s="3">
        <f>MAX(0,MIN(100,50+BE450*PRECIO_PEND))</f>
        <v/>
      </c>
      <c r="BN450" s="3">
        <f>MAX(0,100*(1-N450/KM_MAX))</f>
        <v/>
      </c>
      <c r="BO450" s="3">
        <f>IF(AV450&lt;KMA_SOSP,IF(AA450="sí",100,KMA_PEN),IF(AV450&lt;=KMA_IDEAL_MAX,100,MAX(0,100*(KMA_CERO-AV450)/(KMA_CERO-KMA_IDEAL_MAX))))</f>
        <v/>
      </c>
      <c r="BP450" s="3">
        <f>MAX(0,MIN(100,100*(M450-ANIO_MIN)/(ANIO_ACTUAL-ANIO_MIN)))</f>
        <v/>
      </c>
      <c r="BQ450" s="3">
        <f>W_KMT*BN450+W_KMA*BO450+W_EDAD*BP450</f>
        <v/>
      </c>
      <c r="BR450" s="3">
        <f>P_ITV*(V450="sí")+P_LIBRO*(W450="sí")+P_CORREA*(X450="sí")+P_PROP*(Y450=1)+P_GAR*(Z450="sí")+P_FOTOS*MIN(1,N(U450)/FOTOS_OBJ)</f>
        <v/>
      </c>
      <c r="BS450" s="3">
        <f>IFERROR(VLOOKUP(BF450,ETQ_TBL,2,0),NEUTRO)</f>
        <v/>
      </c>
      <c r="BT450" s="3">
        <f>NEUTRO</f>
        <v/>
      </c>
      <c r="BU450" s="3">
        <f>IFERROR(VLOOKUP(L450,SEGURO_TBL,3,0),"")</f>
        <v/>
      </c>
      <c r="BV450" s="3">
        <f>IF(BU450="",NEUTRO,MAX(0,MIN(100,100*(SEG_REF_MAX-BU450)/(SEG_REF_MAX-SEG_REF_MIN))))</f>
        <v/>
      </c>
      <c r="BW450" s="3">
        <f>W_ET*BS450+W_CONS*BT450+W_SEG*BV450</f>
        <v/>
      </c>
      <c r="BX450" s="3">
        <f>IF(N(AB450)&gt;0,AB450,IF(AND(R450="profesional",SG_LEGAL_ON=1),GAR_LEGAL,0))</f>
        <v/>
      </c>
      <c r="BY450" s="3">
        <f>SG_GAR*MIN(1,BX450/SG_GAR_FULL)+SG_AMPL*(AC450="sí")+SG_KMC*(AF450="sí")+SG_REV*(N(AE450)&gt;0)+SG_DEV*MIN(1,N(AG450)/SG_DEV_FULL)+SG_HIST*(W450="sí")</f>
        <v/>
      </c>
      <c r="BZ450" s="3">
        <f>IFERROR(VLOOKUP(L450,CARR_PEN_TBL,2,0),0)</f>
        <v/>
      </c>
      <c r="CA450" s="3">
        <f>W_FIAB*BL450+W_PRECIO*BM450+W_KMEDAD*BQ450+W_ANUNCIO*BR450+W_USO*BW450+W_SEGURIDAD*BY450-BZ450</f>
        <v/>
      </c>
      <c r="CB450" s="4">
        <f>IF(N(I450)&gt;0,I450,IFERROR(ROUND(_xlfn.NUMBERVALUE(LEFT(G450,FIND(" ",G450&amp;" ")-1),".")*1000,0),99999))</f>
        <v/>
      </c>
      <c r="CC450" s="3">
        <f>IF(R450="profesional",0,IF(O450&lt;CUOTA_VALOR_MAX,IF(AU450&gt;ITP_TRAMO_ALTO,SUMIFS(CF_CUOTA,CF_MAS,ITP_TRAMO_ALTO,CF_CCMIN,"&lt;="&amp;CB450,CF_CCMAX,"&gt;="&amp;CB450),IF(AU450&gt;ITP_TRAMO_BAJO,SUMIFS(CF_CUOTA,CF_MAS,ITP_TRAMO_BAJO,CF_CCMIN,"&lt;="&amp;CB450,CF_CCMAX,"&gt;="&amp;CB450),O450*ITP_TIPO)),O450*ITP_TIPO))</f>
        <v/>
      </c>
      <c r="CD450" s="4">
        <f>IF(R450="profesional",N(AK450),0)</f>
        <v/>
      </c>
      <c r="CE450" s="3">
        <f>IF(AND(R450="profesional",ISNUMBER(AK450),AL450="sí"),0,TASA_DGT)</f>
        <v/>
      </c>
      <c r="CF450" s="3">
        <f>INFORME_DGT</f>
        <v/>
      </c>
      <c r="CG450" s="4">
        <f>O450+CD450+CC450+CE450+CF450</f>
        <v/>
      </c>
      <c r="CH450" s="4">
        <f>CG450+N(BU450)</f>
        <v/>
      </c>
      <c r="CI450" s="3">
        <f>IF(CG450&lt;=TOTAL_MAX,"sí",IF(CG450&lt;=TOTAL_MAX+MARGEN_NEG,"negociar","no"))</f>
        <v/>
      </c>
      <c r="CJ450" s="4">
        <f>IF(CI450&lt;&gt;"no",COUNTIFS($CI$2:$CI$662,"&lt;&gt;no",$CA$2:$CA$662,"&gt;"&amp;CA450)+COUNTIFS($CI$2:CI450,"&lt;&gt;no",$CA$2:CA450,CA450),"")</f>
        <v/>
      </c>
    </row>
    <row r="451">
      <c r="A451" s="2" t="inlineStr">
        <is>
          <t>cochesnet:71267111</t>
        </is>
      </c>
      <c r="B451" s="2" t="inlineStr">
        <is>
          <t>cochesnet</t>
        </is>
      </c>
      <c r="C451" s="2" t="inlineStr">
        <is>
          <t>https://www.coches.net/peugeot-107-gasolina-2006-en-valencia-71267111-covo.aspx</t>
        </is>
      </c>
      <c r="D451" s="2" t="inlineStr">
        <is>
          <t>PEUGEOT 107</t>
        </is>
      </c>
      <c r="E451" s="2" t="inlineStr">
        <is>
          <t>Peugeot</t>
        </is>
      </c>
      <c r="F451" s="2" t="inlineStr">
        <is>
          <t>Peugeot 107</t>
        </is>
      </c>
      <c r="G451" s="2" t="n"/>
      <c r="H451" s="2" t="n"/>
      <c r="I451" s="2" t="n"/>
      <c r="J451" s="2" t="n"/>
      <c r="K451" s="2" t="inlineStr">
        <is>
          <t>gasolina</t>
        </is>
      </c>
      <c r="L451" s="2" t="inlineStr">
        <is>
          <t>utilitario</t>
        </is>
      </c>
      <c r="M451" s="2" t="n">
        <v>2006</v>
      </c>
      <c r="N451" s="2" t="n">
        <v>187000</v>
      </c>
      <c r="O451" s="2" t="n">
        <v>2600</v>
      </c>
      <c r="P451" s="2" t="inlineStr">
        <is>
          <t>manual</t>
        </is>
      </c>
      <c r="Q451" s="2" t="inlineStr">
        <is>
          <t>no</t>
        </is>
      </c>
      <c r="R451" s="2" t="inlineStr">
        <is>
          <t>particular</t>
        </is>
      </c>
      <c r="S451" s="2" t="n"/>
      <c r="T451" s="2" t="inlineStr">
        <is>
          <t>2026-08-10T16:32:59Z</t>
        </is>
      </c>
      <c r="U451" s="2" t="n">
        <v>5</v>
      </c>
      <c r="V451" s="2" t="inlineStr">
        <is>
          <t>sí</t>
        </is>
      </c>
      <c r="W451" s="2" t="n"/>
      <c r="X451" s="2" t="n"/>
      <c r="Y451" s="2" t="n"/>
      <c r="Z451" s="2" t="inlineStr">
        <is>
          <t>no</t>
        </is>
      </c>
      <c r="AA451" s="2" t="n"/>
      <c r="AB451" s="2" t="n"/>
      <c r="AC451" s="2" t="n"/>
      <c r="AD451" s="2" t="n"/>
      <c r="AE451" s="2" t="n"/>
      <c r="AF451" s="2" t="n"/>
      <c r="AG451" s="2" t="n"/>
      <c r="AH451" s="2" t="n">
        <v>2600</v>
      </c>
      <c r="AI451" s="2" t="n"/>
      <c r="AJ451" s="2" t="n"/>
      <c r="AK451" s="2" t="n"/>
      <c r="AL451" s="2" t="n"/>
      <c r="AM451" s="2" t="n"/>
      <c r="AN451" s="2" t="n">
        <v>2700</v>
      </c>
      <c r="AO451" s="2" t="n">
        <v>4</v>
      </c>
      <c r="AP451" s="2" t="inlineStr">
        <is>
          <t>modelo+año</t>
        </is>
      </c>
      <c r="AQ451" s="2" t="n"/>
      <c r="AR451"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451" s="2" t="inlineStr">
        <is>
          <t>?? Peugeot 107 1.0 gasolina – 2006
- los 4 neumaticos puestos nuevos.
- Rodamientos nuevos.
- Embrague nuevo. 
2.600€
ITV pasada en Mayo 2026
Peugeot 107 1.0 gasolina, 187.000 km.
? ITV pasada en mayo de 2026
? Aire acondicionado
? 3 puertas
? Motor gasolina.
? Ideal para ciudad y fácil de aparcar</t>
        </is>
      </c>
      <c r="AT451" s="2" t="inlineStr">
        <is>
          <t>https://www.coches.net/peugeot-107-gasolina-2006-en-valencia-71267111-covo.aspx (window.__INITIAL_PROPS__.ad) /home/user/Alopecia/buscador-coches/raw/cochesnet/4a7fd0a63d265124.json</t>
        </is>
      </c>
      <c r="AU451" s="3">
        <f>MAX(ANIO_ACTUAL-M451,0)</f>
        <v/>
      </c>
      <c r="AV451" s="4">
        <f>N451/MAX(AU451,0.5)</f>
        <v/>
      </c>
      <c r="AW451" s="4">
        <f>F451</f>
        <v/>
      </c>
      <c r="AX451" s="3">
        <f>AW451&amp;"|"&amp;INT(M451/SEG_ANIO)*SEG_ANIO</f>
        <v/>
      </c>
      <c r="AY451" s="3">
        <f>AX451&amp;"|"&amp;INT(N451/SEG_KM)*SEG_KM</f>
        <v/>
      </c>
      <c r="AZ451" s="4">
        <f>COUNTIF($AW$2:$AW$662,AW451)</f>
        <v/>
      </c>
      <c r="BA451" s="4">
        <f>COUNTIF($AX$2:$AX$662,AX451)</f>
        <v/>
      </c>
      <c r="BB451" s="4">
        <f>COUNTIF($AY$2:$AY$662,AY451)</f>
        <v/>
      </c>
      <c r="BC451" s="3">
        <f t="array" ref="BC451">IF(N(AO451)&gt;=MIN_N,AN451,IF(BB451&gt;=MIN_N,MEDIAN(IF($AY$2:$AY$662=AY451,$O$2:$O$662)),IF(BA451&gt;=MIN_N,MEDIAN(IF($AX$2:$AX$662=AX451,$O$2:$O$662)),MEDIAN(IF($AW$2:$AW$662=AW451,$O$2:$O$662)))))</f>
        <v/>
      </c>
      <c r="BD451" s="3">
        <f>IF(N(AO451)&gt;=MIN_N,"mercado "&amp;AP451,IF(BB451&gt;=MIN_N,"modelo+año+km",IF(BA451&gt;=MIN_N,"modelo+año","modelo")))</f>
        <v/>
      </c>
      <c r="BE451" s="4">
        <f>(BC451-O451)/BC451</f>
        <v/>
      </c>
      <c r="BF451" s="3">
        <f>IF(OR(K451="hibrido",K451="glp"),"ECO",IF(K451="electrico","CERO",IF(K451="gasolina",IF(M451&gt;=GAS_C,"C",IF(M451&gt;=GAS_B,"B","A")),IF(K451="diesel",IF(M451&gt;=DIE_C,"C",IF(M451&gt;=DIE_B,"B","A")),""))))</f>
        <v/>
      </c>
      <c r="BG451" s="3">
        <f>IFERROR(VLOOKUP(F451,MOD_TBL,11,0),IFERROR(VLOOKUP(E451,OCU_TBL,2,0),NEUTRO))</f>
        <v/>
      </c>
      <c r="BH451" s="3">
        <f>SUMIFS(MOT_AJUSTE,MOT_MOTOR,G451,MOT_MARCA,E451,MOT_DESDE,"&lt;="&amp;M451,MOT_HASTA,"&gt;="&amp;M451)+SUMIFS(MOT_AJUSTE,MOT_MOTOR,G451,MOT_MARCA,"(todas)",MOT_DESDE,"&lt;="&amp;M451,MOT_HASTA,"&gt;="&amp;M451)</f>
        <v/>
      </c>
      <c r="BI451" s="3">
        <f>SUMIFS(COMB_AJUSTE,COMB_COMB,K451)</f>
        <v/>
      </c>
      <c r="BJ451" s="3">
        <f>COUNTIFS(MOT_MOTOR,G451,MOT_MARCA,E451,MOT_DESDE,"&lt;="&amp;M451,MOT_HASTA,"&gt;="&amp;M451)+COUNTIFS(MOT_MOTOR,G451,MOT_MARCA,"(todas)",MOT_DESDE,"&lt;="&amp;M451,MOT_HASTA,"&gt;="&amp;M451)</f>
        <v/>
      </c>
      <c r="BK451" s="3">
        <f>IF(AND(K451="diesel",BJ451=0),MIN(BG451,NEUTRO),BG451)</f>
        <v/>
      </c>
      <c r="BL451" s="4">
        <f>MAX(0,MIN(100,BK451+BH451+BI451))</f>
        <v/>
      </c>
      <c r="BM451" s="3">
        <f>MAX(0,MIN(100,50+BE451*PRECIO_PEND))</f>
        <v/>
      </c>
      <c r="BN451" s="3">
        <f>MAX(0,100*(1-N451/KM_MAX))</f>
        <v/>
      </c>
      <c r="BO451" s="3">
        <f>IF(AV451&lt;KMA_SOSP,IF(AA451="sí",100,KMA_PEN),IF(AV451&lt;=KMA_IDEAL_MAX,100,MAX(0,100*(KMA_CERO-AV451)/(KMA_CERO-KMA_IDEAL_MAX))))</f>
        <v/>
      </c>
      <c r="BP451" s="3">
        <f>MAX(0,MIN(100,100*(M451-ANIO_MIN)/(ANIO_ACTUAL-ANIO_MIN)))</f>
        <v/>
      </c>
      <c r="BQ451" s="3">
        <f>W_KMT*BN451+W_KMA*BO451+W_EDAD*BP451</f>
        <v/>
      </c>
      <c r="BR451" s="3">
        <f>P_ITV*(V451="sí")+P_LIBRO*(W451="sí")+P_CORREA*(X451="sí")+P_PROP*(Y451=1)+P_GAR*(Z451="sí")+P_FOTOS*MIN(1,N(U451)/FOTOS_OBJ)</f>
        <v/>
      </c>
      <c r="BS451" s="3">
        <f>IFERROR(VLOOKUP(BF451,ETQ_TBL,2,0),NEUTRO)</f>
        <v/>
      </c>
      <c r="BT451" s="3">
        <f>NEUTRO</f>
        <v/>
      </c>
      <c r="BU451" s="3">
        <f>IFERROR(VLOOKUP(L451,SEGURO_TBL,3,0),"")</f>
        <v/>
      </c>
      <c r="BV451" s="3">
        <f>IF(BU451="",NEUTRO,MAX(0,MIN(100,100*(SEG_REF_MAX-BU451)/(SEG_REF_MAX-SEG_REF_MIN))))</f>
        <v/>
      </c>
      <c r="BW451" s="3">
        <f>W_ET*BS451+W_CONS*BT451+W_SEG*BV451</f>
        <v/>
      </c>
      <c r="BX451" s="3">
        <f>IF(N(AB451)&gt;0,AB451,IF(AND(R451="profesional",SG_LEGAL_ON=1),GAR_LEGAL,0))</f>
        <v/>
      </c>
      <c r="BY451" s="3">
        <f>SG_GAR*MIN(1,BX451/SG_GAR_FULL)+SG_AMPL*(AC451="sí")+SG_KMC*(AF451="sí")+SG_REV*(N(AE451)&gt;0)+SG_DEV*MIN(1,N(AG451)/SG_DEV_FULL)+SG_HIST*(W451="sí")</f>
        <v/>
      </c>
      <c r="BZ451" s="3">
        <f>IFERROR(VLOOKUP(L451,CARR_PEN_TBL,2,0),0)</f>
        <v/>
      </c>
      <c r="CA451" s="3">
        <f>W_FIAB*BL451+W_PRECIO*BM451+W_KMEDAD*BQ451+W_ANUNCIO*BR451+W_USO*BW451+W_SEGURIDAD*BY451-BZ451</f>
        <v/>
      </c>
      <c r="CB451" s="4">
        <f>IF(N(I451)&gt;0,I451,IFERROR(ROUND(_xlfn.NUMBERVALUE(LEFT(G451,FIND(" ",G451&amp;" ")-1),".")*1000,0),99999))</f>
        <v/>
      </c>
      <c r="CC451" s="3">
        <f>IF(R451="profesional",0,IF(O451&lt;CUOTA_VALOR_MAX,IF(AU451&gt;ITP_TRAMO_ALTO,SUMIFS(CF_CUOTA,CF_MAS,ITP_TRAMO_ALTO,CF_CCMIN,"&lt;="&amp;CB451,CF_CCMAX,"&gt;="&amp;CB451),IF(AU451&gt;ITP_TRAMO_BAJO,SUMIFS(CF_CUOTA,CF_MAS,ITP_TRAMO_BAJO,CF_CCMIN,"&lt;="&amp;CB451,CF_CCMAX,"&gt;="&amp;CB451),O451*ITP_TIPO)),O451*ITP_TIPO))</f>
        <v/>
      </c>
      <c r="CD451" s="4">
        <f>IF(R451="profesional",N(AK451),0)</f>
        <v/>
      </c>
      <c r="CE451" s="3">
        <f>IF(AND(R451="profesional",ISNUMBER(AK451),AL451="sí"),0,TASA_DGT)</f>
        <v/>
      </c>
      <c r="CF451" s="3">
        <f>INFORME_DGT</f>
        <v/>
      </c>
      <c r="CG451" s="4">
        <f>O451+CD451+CC451+CE451+CF451</f>
        <v/>
      </c>
      <c r="CH451" s="4">
        <f>CG451+N(BU451)</f>
        <v/>
      </c>
      <c r="CI451" s="3">
        <f>IF(CG451&lt;=TOTAL_MAX,"sí",IF(CG451&lt;=TOTAL_MAX+MARGEN_NEG,"negociar","no"))</f>
        <v/>
      </c>
      <c r="CJ451" s="4">
        <f>IF(CI451&lt;&gt;"no",COUNTIFS($CI$2:$CI$662,"&lt;&gt;no",$CA$2:$CA$662,"&gt;"&amp;CA451)+COUNTIFS($CI$2:CI451,"&lt;&gt;no",$CA$2:CA451,CA451),"")</f>
        <v/>
      </c>
    </row>
    <row r="452">
      <c r="A452" s="2" t="inlineStr">
        <is>
          <t>cochesnet:71858806</t>
        </is>
      </c>
      <c r="B452" s="2" t="inlineStr">
        <is>
          <t>cochesnet</t>
        </is>
      </c>
      <c r="C452" s="2" t="inlineStr">
        <is>
          <t>https://www.coches.net/peugeot-207-confort-14-vti-16v-95-5p-gasolina-2008-en-valencia-71858806-covo.aspx</t>
        </is>
      </c>
      <c r="D452" s="2" t="inlineStr">
        <is>
          <t>PEUGEOT 207 Confort 1.4 VTi 16v 95</t>
        </is>
      </c>
      <c r="E452" s="2" t="inlineStr">
        <is>
          <t>Peugeot</t>
        </is>
      </c>
      <c r="F452" s="2" t="inlineStr">
        <is>
          <t>Peugeot 207</t>
        </is>
      </c>
      <c r="G452" s="2" t="inlineStr">
        <is>
          <t>1.4 VTi</t>
        </is>
      </c>
      <c r="H452" s="2" t="inlineStr">
        <is>
          <t>Confort 1.4 VTi 16v 95</t>
        </is>
      </c>
      <c r="I452" s="2" t="n"/>
      <c r="J452" s="2" t="n"/>
      <c r="K452" s="2" t="inlineStr">
        <is>
          <t>gasolina</t>
        </is>
      </c>
      <c r="L452" s="2" t="inlineStr">
        <is>
          <t>utilitario</t>
        </is>
      </c>
      <c r="M452" s="2" t="n">
        <v>2007</v>
      </c>
      <c r="N452" s="2" t="n">
        <v>144000</v>
      </c>
      <c r="O452" s="2" t="n">
        <v>3500</v>
      </c>
      <c r="P452" s="2" t="inlineStr">
        <is>
          <t>manual</t>
        </is>
      </c>
      <c r="Q452" s="2" t="inlineStr">
        <is>
          <t>no</t>
        </is>
      </c>
      <c r="R452" s="2" t="inlineStr">
        <is>
          <t>profesional</t>
        </is>
      </c>
      <c r="S452" s="2" t="inlineStr">
        <is>
          <t>AUTOMOVILES CASTILLO PEPE Manises</t>
        </is>
      </c>
      <c r="T452" s="2" t="inlineStr">
        <is>
          <t>2026-10-29T09:24:27Z</t>
        </is>
      </c>
      <c r="U452" s="2" t="n">
        <v>14</v>
      </c>
      <c r="V452" s="2" t="inlineStr">
        <is>
          <t>sí</t>
        </is>
      </c>
      <c r="W452" s="2" t="n"/>
      <c r="X452" s="2" t="inlineStr">
        <is>
          <t>sí</t>
        </is>
      </c>
      <c r="Y452" s="2" t="n"/>
      <c r="Z452" s="2" t="inlineStr">
        <is>
          <t>sí</t>
        </is>
      </c>
      <c r="AA452" s="2" t="n"/>
      <c r="AB452" s="2" t="n">
        <v>12</v>
      </c>
      <c r="AC452" s="2" t="n"/>
      <c r="AD452" s="2" t="n"/>
      <c r="AE452" s="2" t="n"/>
      <c r="AF452" s="2" t="inlineStr">
        <is>
          <t>sí</t>
        </is>
      </c>
      <c r="AG452" s="2" t="n"/>
      <c r="AH452" s="2" t="n">
        <v>3500</v>
      </c>
      <c r="AI452" s="2" t="n">
        <v>3500</v>
      </c>
      <c r="AJ452" s="2" t="n"/>
      <c r="AK452" s="2" t="n"/>
      <c r="AL452" s="2" t="n"/>
      <c r="AM452" s="2" t="n">
        <v>8.1</v>
      </c>
      <c r="AN452" s="2" t="n">
        <v>3550</v>
      </c>
      <c r="AO452" s="2" t="n">
        <v>30</v>
      </c>
      <c r="AP452" s="2" t="inlineStr">
        <is>
          <t>modelo+año+km</t>
        </is>
      </c>
      <c r="AQ452" s="2" t="n"/>
      <c r="AR452" s="2" t="inlineStr">
        <is>
          <t>vendedor profesional: sin ITP (operación con IVA/REBU, confirmar en factura); gastos de gestión del vendedor no indicados: se suma la tasa DGT; preguntar el precio final; fiabilidad del modelo PENDIENTE de fuente (puntuación neutra)</t>
        </is>
      </c>
      <c r="AS452" s="2" t="inlineStr">
        <is>
          <t>ITV HASTA OCTUBRE 2027 RECIEN PASADA 
* KILOMETROS CERTIFICADOS. 
* KIT DE DISTRIBUCION NUEVA, CORREA DE SERVICIO NUEVA 
* ACEITE NUEVO Y FILTRO NUEVO . 
* MOTOR TOTALMENTE REVISADO Y GARANTIZADO, EMBRAGUE REVISADO , AIRE ACONDICIONADO ENFRIA MUY BIEN, CALEFECCION FUNCIONA MUY BIEN. 
* NEUMATICOS DELANTEROS Y TRASEROS 90% DE VIDA
RADIO NUEVA CON BLUETOOTH 
*COCHE LISTO Y REVISADO PARA HACER KILOMETROS 
TODO DEMOSTRABLE !!!!
GARANTIA 1 AÑO
CONTAMOS CON TALLER PROPIO EXCLUSIVO PARA PREPARAR NUESTROS COCHES PARA LA VENTA, Y SERVICIO POST VENTA LO QUE GARANTIZA LA ATENCIÓN RÁPIDA Y PERSONALIZADA EN TODO EL PERIODO DE GARANTÍA OFRECIDO. 
COCHE CONFIABLE CON AIRBAGS BUEN MOTOR Y TODO REVISADO
ACEPTAMOS VEHICULO EN PARTE DE PAGO
ATENDEMOS SOLO CON CITA PREVIA.
Atención en Tienda Lunes A Viernes 10:00-18.30 Sábados 10:00-14:00.
CONCERTAR CITA PREVIA PARA SU MUESTRA, ACEPTAMOS TU COCHE COMO PARTE DE PAGO, 
*IMPORTANTE: POR FAVOR CONSULTAR DETALLES Y CONDICIONES Y CONCERTAR CITA PREVIA</t>
        </is>
      </c>
      <c r="AT452" s="2" t="inlineStr">
        <is>
          <t>https://www.coches.net/peugeot-207-confort-14-vti-16v-95-5p-gasolina-2008-en-valencia-71858806-covo.aspx (window.__INITIAL_PROPS__.ad) /home/user/Alopecia/buscador-coches/raw/cochesnet/af75c6dc563ab5a6.json</t>
        </is>
      </c>
      <c r="AU452" s="3">
        <f>MAX(ANIO_ACTUAL-M452,0)</f>
        <v/>
      </c>
      <c r="AV452" s="4">
        <f>N452/MAX(AU452,0.5)</f>
        <v/>
      </c>
      <c r="AW452" s="4">
        <f>F452</f>
        <v/>
      </c>
      <c r="AX452" s="3">
        <f>AW452&amp;"|"&amp;INT(M452/SEG_ANIO)*SEG_ANIO</f>
        <v/>
      </c>
      <c r="AY452" s="3">
        <f>AX452&amp;"|"&amp;INT(N452/SEG_KM)*SEG_KM</f>
        <v/>
      </c>
      <c r="AZ452" s="4">
        <f>COUNTIF($AW$2:$AW$662,AW452)</f>
        <v/>
      </c>
      <c r="BA452" s="4">
        <f>COUNTIF($AX$2:$AX$662,AX452)</f>
        <v/>
      </c>
      <c r="BB452" s="4">
        <f>COUNTIF($AY$2:$AY$662,AY452)</f>
        <v/>
      </c>
      <c r="BC452" s="3">
        <f t="array" ref="BC452">IF(N(AO452)&gt;=MIN_N,AN452,IF(BB452&gt;=MIN_N,MEDIAN(IF($AY$2:$AY$662=AY452,$O$2:$O$662)),IF(BA452&gt;=MIN_N,MEDIAN(IF($AX$2:$AX$662=AX452,$O$2:$O$662)),MEDIAN(IF($AW$2:$AW$662=AW452,$O$2:$O$662)))))</f>
        <v/>
      </c>
      <c r="BD452" s="3">
        <f>IF(N(AO452)&gt;=MIN_N,"mercado "&amp;AP452,IF(BB452&gt;=MIN_N,"modelo+año+km",IF(BA452&gt;=MIN_N,"modelo+año","modelo")))</f>
        <v/>
      </c>
      <c r="BE452" s="4">
        <f>(BC452-O452)/BC452</f>
        <v/>
      </c>
      <c r="BF452" s="3">
        <f>IF(OR(K452="hibrido",K452="glp"),"ECO",IF(K452="electrico","CERO",IF(K452="gasolina",IF(M452&gt;=GAS_C,"C",IF(M452&gt;=GAS_B,"B","A")),IF(K452="diesel",IF(M452&gt;=DIE_C,"C",IF(M452&gt;=DIE_B,"B","A")),""))))</f>
        <v/>
      </c>
      <c r="BG452" s="3">
        <f>IFERROR(VLOOKUP(F452,MOD_TBL,11,0),IFERROR(VLOOKUP(E452,OCU_TBL,2,0),NEUTRO))</f>
        <v/>
      </c>
      <c r="BH452" s="3">
        <f>SUMIFS(MOT_AJUSTE,MOT_MOTOR,G452,MOT_MARCA,E452,MOT_DESDE,"&lt;="&amp;M452,MOT_HASTA,"&gt;="&amp;M452)+SUMIFS(MOT_AJUSTE,MOT_MOTOR,G452,MOT_MARCA,"(todas)",MOT_DESDE,"&lt;="&amp;M452,MOT_HASTA,"&gt;="&amp;M452)</f>
        <v/>
      </c>
      <c r="BI452" s="3">
        <f>SUMIFS(COMB_AJUSTE,COMB_COMB,K452)</f>
        <v/>
      </c>
      <c r="BJ452" s="3">
        <f>COUNTIFS(MOT_MOTOR,G452,MOT_MARCA,E452,MOT_DESDE,"&lt;="&amp;M452,MOT_HASTA,"&gt;="&amp;M452)+COUNTIFS(MOT_MOTOR,G452,MOT_MARCA,"(todas)",MOT_DESDE,"&lt;="&amp;M452,MOT_HASTA,"&gt;="&amp;M452)</f>
        <v/>
      </c>
      <c r="BK452" s="3">
        <f>IF(AND(K452="diesel",BJ452=0),MIN(BG452,NEUTRO),BG452)</f>
        <v/>
      </c>
      <c r="BL452" s="4">
        <f>MAX(0,MIN(100,BK452+BH452+BI452))</f>
        <v/>
      </c>
      <c r="BM452" s="3">
        <f>MAX(0,MIN(100,50+BE452*PRECIO_PEND))</f>
        <v/>
      </c>
      <c r="BN452" s="3">
        <f>MAX(0,100*(1-N452/KM_MAX))</f>
        <v/>
      </c>
      <c r="BO452" s="3">
        <f>IF(AV452&lt;KMA_SOSP,IF(AA452="sí",100,KMA_PEN),IF(AV452&lt;=KMA_IDEAL_MAX,100,MAX(0,100*(KMA_CERO-AV452)/(KMA_CERO-KMA_IDEAL_MAX))))</f>
        <v/>
      </c>
      <c r="BP452" s="3">
        <f>MAX(0,MIN(100,100*(M452-ANIO_MIN)/(ANIO_ACTUAL-ANIO_MIN)))</f>
        <v/>
      </c>
      <c r="BQ452" s="3">
        <f>W_KMT*BN452+W_KMA*BO452+W_EDAD*BP452</f>
        <v/>
      </c>
      <c r="BR452" s="3">
        <f>P_ITV*(V452="sí")+P_LIBRO*(W452="sí")+P_CORREA*(X452="sí")+P_PROP*(Y452=1)+P_GAR*(Z452="sí")+P_FOTOS*MIN(1,N(U452)/FOTOS_OBJ)</f>
        <v/>
      </c>
      <c r="BS452" s="3">
        <f>IFERROR(VLOOKUP(BF452,ETQ_TBL,2,0),NEUTRO)</f>
        <v/>
      </c>
      <c r="BT452" s="3">
        <f>NEUTRO</f>
        <v/>
      </c>
      <c r="BU452" s="3">
        <f>IFERROR(VLOOKUP(L452,SEGURO_TBL,3,0),"")</f>
        <v/>
      </c>
      <c r="BV452" s="3">
        <f>IF(BU452="",NEUTRO,MAX(0,MIN(100,100*(SEG_REF_MAX-BU452)/(SEG_REF_MAX-SEG_REF_MIN))))</f>
        <v/>
      </c>
      <c r="BW452" s="3">
        <f>W_ET*BS452+W_CONS*BT452+W_SEG*BV452</f>
        <v/>
      </c>
      <c r="BX452" s="3">
        <f>IF(N(AB452)&gt;0,AB452,IF(AND(R452="profesional",SG_LEGAL_ON=1),GAR_LEGAL,0))</f>
        <v/>
      </c>
      <c r="BY452" s="3">
        <f>SG_GAR*MIN(1,BX452/SG_GAR_FULL)+SG_AMPL*(AC452="sí")+SG_KMC*(AF452="sí")+SG_REV*(N(AE452)&gt;0)+SG_DEV*MIN(1,N(AG452)/SG_DEV_FULL)+SG_HIST*(W452="sí")</f>
        <v/>
      </c>
      <c r="BZ452" s="3">
        <f>IFERROR(VLOOKUP(L452,CARR_PEN_TBL,2,0),0)</f>
        <v/>
      </c>
      <c r="CA452" s="3">
        <f>W_FIAB*BL452+W_PRECIO*BM452+W_KMEDAD*BQ452+W_ANUNCIO*BR452+W_USO*BW452+W_SEGURIDAD*BY452-BZ452</f>
        <v/>
      </c>
      <c r="CB452" s="4">
        <f>IF(N(I452)&gt;0,I452,IFERROR(ROUND(_xlfn.NUMBERVALUE(LEFT(G452,FIND(" ",G452&amp;" ")-1),".")*1000,0),99999))</f>
        <v/>
      </c>
      <c r="CC452" s="3">
        <f>IF(R452="profesional",0,IF(O452&lt;CUOTA_VALOR_MAX,IF(AU452&gt;ITP_TRAMO_ALTO,SUMIFS(CF_CUOTA,CF_MAS,ITP_TRAMO_ALTO,CF_CCMIN,"&lt;="&amp;CB452,CF_CCMAX,"&gt;="&amp;CB452),IF(AU452&gt;ITP_TRAMO_BAJO,SUMIFS(CF_CUOTA,CF_MAS,ITP_TRAMO_BAJO,CF_CCMIN,"&lt;="&amp;CB452,CF_CCMAX,"&gt;="&amp;CB452),O452*ITP_TIPO)),O452*ITP_TIPO))</f>
        <v/>
      </c>
      <c r="CD452" s="4">
        <f>IF(R452="profesional",N(AK452),0)</f>
        <v/>
      </c>
      <c r="CE452" s="3">
        <f>IF(AND(R452="profesional",ISNUMBER(AK452),AL452="sí"),0,TASA_DGT)</f>
        <v/>
      </c>
      <c r="CF452" s="3">
        <f>INFORME_DGT</f>
        <v/>
      </c>
      <c r="CG452" s="4">
        <f>O452+CD452+CC452+CE452+CF452</f>
        <v/>
      </c>
      <c r="CH452" s="4">
        <f>CG452+N(BU452)</f>
        <v/>
      </c>
      <c r="CI452" s="3">
        <f>IF(CG452&lt;=TOTAL_MAX,"sí",IF(CG452&lt;=TOTAL_MAX+MARGEN_NEG,"negociar","no"))</f>
        <v/>
      </c>
      <c r="CJ452" s="4">
        <f>IF(CI452&lt;&gt;"no",COUNTIFS($CI$2:$CI$662,"&lt;&gt;no",$CA$2:$CA$662,"&gt;"&amp;CA452)+COUNTIFS($CI$2:CI452,"&lt;&gt;no",$CA$2:CA452,CA452),"")</f>
        <v/>
      </c>
    </row>
    <row r="453">
      <c r="A453" s="2" t="inlineStr">
        <is>
          <t>cochesnet:71866323</t>
        </is>
      </c>
      <c r="B453" s="2" t="inlineStr">
        <is>
          <t>cochesnet</t>
        </is>
      </c>
      <c r="C453" s="2" t="inlineStr">
        <is>
          <t>https://www.coches.net/peugeot-207-14-16v-xt-5p-gasolina-2006-en-valencia-71866323-covo.aspx</t>
        </is>
      </c>
      <c r="D453" s="2" t="inlineStr">
        <is>
          <t>PEUGEOT 207 1.4 16v XT</t>
        </is>
      </c>
      <c r="E453" s="2" t="inlineStr">
        <is>
          <t>Peugeot</t>
        </is>
      </c>
      <c r="F453" s="2" t="inlineStr">
        <is>
          <t>Peugeot 207</t>
        </is>
      </c>
      <c r="G453" s="2" t="inlineStr">
        <is>
          <t>1.4</t>
        </is>
      </c>
      <c r="H453" s="2" t="inlineStr">
        <is>
          <t>1.4 16v XT</t>
        </is>
      </c>
      <c r="I453" s="2" t="n"/>
      <c r="J453" s="2" t="n"/>
      <c r="K453" s="2" t="inlineStr">
        <is>
          <t>gasolina</t>
        </is>
      </c>
      <c r="L453" s="2" t="inlineStr">
        <is>
          <t>utilitario</t>
        </is>
      </c>
      <c r="M453" s="2" t="n">
        <v>2006</v>
      </c>
      <c r="N453" s="2" t="n">
        <v>162000</v>
      </c>
      <c r="O453" s="2" t="n">
        <v>2900</v>
      </c>
      <c r="P453" s="2" t="inlineStr">
        <is>
          <t>manual</t>
        </is>
      </c>
      <c r="Q453" s="2" t="inlineStr">
        <is>
          <t>no</t>
        </is>
      </c>
      <c r="R453" s="2" t="inlineStr">
        <is>
          <t>particular</t>
        </is>
      </c>
      <c r="S453" s="2" t="inlineStr">
        <is>
          <t>Valencia</t>
        </is>
      </c>
      <c r="T453" s="2" t="inlineStr">
        <is>
          <t>2026-10-29T21:51:54Z</t>
        </is>
      </c>
      <c r="U453" s="2" t="n">
        <v>8</v>
      </c>
      <c r="V453" s="2" t="n"/>
      <c r="W453" s="2" t="n"/>
      <c r="X453" s="2" t="n"/>
      <c r="Y453" s="2" t="n"/>
      <c r="Z453" s="2" t="inlineStr">
        <is>
          <t>no</t>
        </is>
      </c>
      <c r="AA453" s="2" t="n"/>
      <c r="AB453" s="2" t="n"/>
      <c r="AC453" s="2" t="n"/>
      <c r="AD453" s="2" t="n"/>
      <c r="AE453" s="2" t="n"/>
      <c r="AF453" s="2" t="n"/>
      <c r="AG453" s="2" t="n"/>
      <c r="AH453" s="2" t="n">
        <v>2900</v>
      </c>
      <c r="AI453" s="2" t="n"/>
      <c r="AJ453" s="2" t="n"/>
      <c r="AK453" s="2" t="n"/>
      <c r="AL453" s="2" t="n"/>
      <c r="AM453" s="2" t="n">
        <v>0.1</v>
      </c>
      <c r="AN453" s="2" t="n">
        <v>2950</v>
      </c>
      <c r="AO453" s="2" t="n">
        <v>4</v>
      </c>
      <c r="AP453" s="2" t="inlineStr">
        <is>
          <t>modelo+año+km</t>
        </is>
      </c>
      <c r="AQ453" s="2" t="n"/>
      <c r="AR453" s="2" t="inlineStr">
        <is>
          <t>cuota fija ITP: &gt;12 años, hasta 1.500 cc; fiabilidad del modelo PENDIENTE de fuente (puntuación neutra)</t>
        </is>
      </c>
      <c r="AS453" s="2" t="inlineStr">
        <is>
          <t>Vendo mi Peugeot 207, es un coche que está muy cuidado y bien conservado, tanto por dentro como por fuera.
Tiene un motor 1.4 gasolina, cambio manual y es bastante cómodo de conducir. Consume poquito y su mantenimiento es económico.
Es ideal para el día a día, para ir a trabajar o como primer coche. Tiene buen espacio interior, es cómodo y muy fácil de manejar.
Un coche práctico y sencillo, perfecto para quien busque algo económico y que le dé buen servicio.
Se puede venir a ver y probar sin ningún compromiso.
Cualquier duda, preguntadme sin problema, estaré encantado de responder.</t>
        </is>
      </c>
      <c r="AT453" s="2" t="inlineStr">
        <is>
          <t>https://www.coches.net/peugeot-207-14-16v-xt-5p-gasolina-2006-en-valencia-71866323-covo.aspx (window.__INITIAL_PROPS__.ad) /home/user/Alopecia/buscador-coches/raw/cochesnet/bc90e191f5d2634c.json</t>
        </is>
      </c>
      <c r="AU453" s="3">
        <f>MAX(ANIO_ACTUAL-M453,0)</f>
        <v/>
      </c>
      <c r="AV453" s="4">
        <f>N453/MAX(AU453,0.5)</f>
        <v/>
      </c>
      <c r="AW453" s="4">
        <f>F453</f>
        <v/>
      </c>
      <c r="AX453" s="3">
        <f>AW453&amp;"|"&amp;INT(M453/SEG_ANIO)*SEG_ANIO</f>
        <v/>
      </c>
      <c r="AY453" s="3">
        <f>AX453&amp;"|"&amp;INT(N453/SEG_KM)*SEG_KM</f>
        <v/>
      </c>
      <c r="AZ453" s="4">
        <f>COUNTIF($AW$2:$AW$662,AW453)</f>
        <v/>
      </c>
      <c r="BA453" s="4">
        <f>COUNTIF($AX$2:$AX$662,AX453)</f>
        <v/>
      </c>
      <c r="BB453" s="4">
        <f>COUNTIF($AY$2:$AY$662,AY453)</f>
        <v/>
      </c>
      <c r="BC453" s="3">
        <f t="array" ref="BC453">IF(N(AO453)&gt;=MIN_N,AN453,IF(BB453&gt;=MIN_N,MEDIAN(IF($AY$2:$AY$662=AY453,$O$2:$O$662)),IF(BA453&gt;=MIN_N,MEDIAN(IF($AX$2:$AX$662=AX453,$O$2:$O$662)),MEDIAN(IF($AW$2:$AW$662=AW453,$O$2:$O$662)))))</f>
        <v/>
      </c>
      <c r="BD453" s="3">
        <f>IF(N(AO453)&gt;=MIN_N,"mercado "&amp;AP453,IF(BB453&gt;=MIN_N,"modelo+año+km",IF(BA453&gt;=MIN_N,"modelo+año","modelo")))</f>
        <v/>
      </c>
      <c r="BE453" s="4">
        <f>(BC453-O453)/BC453</f>
        <v/>
      </c>
      <c r="BF453" s="3">
        <f>IF(OR(K453="hibrido",K453="glp"),"ECO",IF(K453="electrico","CERO",IF(K453="gasolina",IF(M453&gt;=GAS_C,"C",IF(M453&gt;=GAS_B,"B","A")),IF(K453="diesel",IF(M453&gt;=DIE_C,"C",IF(M453&gt;=DIE_B,"B","A")),""))))</f>
        <v/>
      </c>
      <c r="BG453" s="3">
        <f>IFERROR(VLOOKUP(F453,MOD_TBL,11,0),IFERROR(VLOOKUP(E453,OCU_TBL,2,0),NEUTRO))</f>
        <v/>
      </c>
      <c r="BH453" s="3">
        <f>SUMIFS(MOT_AJUSTE,MOT_MOTOR,G453,MOT_MARCA,E453,MOT_DESDE,"&lt;="&amp;M453,MOT_HASTA,"&gt;="&amp;M453)+SUMIFS(MOT_AJUSTE,MOT_MOTOR,G453,MOT_MARCA,"(todas)",MOT_DESDE,"&lt;="&amp;M453,MOT_HASTA,"&gt;="&amp;M453)</f>
        <v/>
      </c>
      <c r="BI453" s="3">
        <f>SUMIFS(COMB_AJUSTE,COMB_COMB,K453)</f>
        <v/>
      </c>
      <c r="BJ453" s="3">
        <f>COUNTIFS(MOT_MOTOR,G453,MOT_MARCA,E453,MOT_DESDE,"&lt;="&amp;M453,MOT_HASTA,"&gt;="&amp;M453)+COUNTIFS(MOT_MOTOR,G453,MOT_MARCA,"(todas)",MOT_DESDE,"&lt;="&amp;M453,MOT_HASTA,"&gt;="&amp;M453)</f>
        <v/>
      </c>
      <c r="BK453" s="3">
        <f>IF(AND(K453="diesel",BJ453=0),MIN(BG453,NEUTRO),BG453)</f>
        <v/>
      </c>
      <c r="BL453" s="4">
        <f>MAX(0,MIN(100,BK453+BH453+BI453))</f>
        <v/>
      </c>
      <c r="BM453" s="3">
        <f>MAX(0,MIN(100,50+BE453*PRECIO_PEND))</f>
        <v/>
      </c>
      <c r="BN453" s="3">
        <f>MAX(0,100*(1-N453/KM_MAX))</f>
        <v/>
      </c>
      <c r="BO453" s="3">
        <f>IF(AV453&lt;KMA_SOSP,IF(AA453="sí",100,KMA_PEN),IF(AV453&lt;=KMA_IDEAL_MAX,100,MAX(0,100*(KMA_CERO-AV453)/(KMA_CERO-KMA_IDEAL_MAX))))</f>
        <v/>
      </c>
      <c r="BP453" s="3">
        <f>MAX(0,MIN(100,100*(M453-ANIO_MIN)/(ANIO_ACTUAL-ANIO_MIN)))</f>
        <v/>
      </c>
      <c r="BQ453" s="3">
        <f>W_KMT*BN453+W_KMA*BO453+W_EDAD*BP453</f>
        <v/>
      </c>
      <c r="BR453" s="3">
        <f>P_ITV*(V453="sí")+P_LIBRO*(W453="sí")+P_CORREA*(X453="sí")+P_PROP*(Y453=1)+P_GAR*(Z453="sí")+P_FOTOS*MIN(1,N(U453)/FOTOS_OBJ)</f>
        <v/>
      </c>
      <c r="BS453" s="3">
        <f>IFERROR(VLOOKUP(BF453,ETQ_TBL,2,0),NEUTRO)</f>
        <v/>
      </c>
      <c r="BT453" s="3">
        <f>NEUTRO</f>
        <v/>
      </c>
      <c r="BU453" s="3">
        <f>IFERROR(VLOOKUP(L453,SEGURO_TBL,3,0),"")</f>
        <v/>
      </c>
      <c r="BV453" s="3">
        <f>IF(BU453="",NEUTRO,MAX(0,MIN(100,100*(SEG_REF_MAX-BU453)/(SEG_REF_MAX-SEG_REF_MIN))))</f>
        <v/>
      </c>
      <c r="BW453" s="3">
        <f>W_ET*BS453+W_CONS*BT453+W_SEG*BV453</f>
        <v/>
      </c>
      <c r="BX453" s="3">
        <f>IF(N(AB453)&gt;0,AB453,IF(AND(R453="profesional",SG_LEGAL_ON=1),GAR_LEGAL,0))</f>
        <v/>
      </c>
      <c r="BY453" s="3">
        <f>SG_GAR*MIN(1,BX453/SG_GAR_FULL)+SG_AMPL*(AC453="sí")+SG_KMC*(AF453="sí")+SG_REV*(N(AE453)&gt;0)+SG_DEV*MIN(1,N(AG453)/SG_DEV_FULL)+SG_HIST*(W453="sí")</f>
        <v/>
      </c>
      <c r="BZ453" s="3">
        <f>IFERROR(VLOOKUP(L453,CARR_PEN_TBL,2,0),0)</f>
        <v/>
      </c>
      <c r="CA453" s="3">
        <f>W_FIAB*BL453+W_PRECIO*BM453+W_KMEDAD*BQ453+W_ANUNCIO*BR453+W_USO*BW453+W_SEGURIDAD*BY453-BZ453</f>
        <v/>
      </c>
      <c r="CB453" s="4">
        <f>IF(N(I453)&gt;0,I453,IFERROR(ROUND(_xlfn.NUMBERVALUE(LEFT(G453,FIND(" ",G453&amp;" ")-1),".")*1000,0),99999))</f>
        <v/>
      </c>
      <c r="CC453" s="3">
        <f>IF(R453="profesional",0,IF(O453&lt;CUOTA_VALOR_MAX,IF(AU453&gt;ITP_TRAMO_ALTO,SUMIFS(CF_CUOTA,CF_MAS,ITP_TRAMO_ALTO,CF_CCMIN,"&lt;="&amp;CB453,CF_CCMAX,"&gt;="&amp;CB453),IF(AU453&gt;ITP_TRAMO_BAJO,SUMIFS(CF_CUOTA,CF_MAS,ITP_TRAMO_BAJO,CF_CCMIN,"&lt;="&amp;CB453,CF_CCMAX,"&gt;="&amp;CB453),O453*ITP_TIPO)),O453*ITP_TIPO))</f>
        <v/>
      </c>
      <c r="CD453" s="4">
        <f>IF(R453="profesional",N(AK453),0)</f>
        <v/>
      </c>
      <c r="CE453" s="3">
        <f>IF(AND(R453="profesional",ISNUMBER(AK453),AL453="sí"),0,TASA_DGT)</f>
        <v/>
      </c>
      <c r="CF453" s="3">
        <f>INFORME_DGT</f>
        <v/>
      </c>
      <c r="CG453" s="4">
        <f>O453+CD453+CC453+CE453+CF453</f>
        <v/>
      </c>
      <c r="CH453" s="4">
        <f>CG453+N(BU453)</f>
        <v/>
      </c>
      <c r="CI453" s="3">
        <f>IF(CG453&lt;=TOTAL_MAX,"sí",IF(CG453&lt;=TOTAL_MAX+MARGEN_NEG,"negociar","no"))</f>
        <v/>
      </c>
      <c r="CJ453" s="4">
        <f>IF(CI453&lt;&gt;"no",COUNTIFS($CI$2:$CI$662,"&lt;&gt;no",$CA$2:$CA$662,"&gt;"&amp;CA453)+COUNTIFS($CI$2:CI453,"&lt;&gt;no",$CA$2:CA453,CA453),"")</f>
        <v/>
      </c>
    </row>
    <row r="454">
      <c r="A454" s="2" t="inlineStr">
        <is>
          <t>cochesnet:71864932</t>
        </is>
      </c>
      <c r="B454" s="2" t="inlineStr">
        <is>
          <t>cochesnet</t>
        </is>
      </c>
      <c r="C454" s="2" t="inlineStr">
        <is>
          <t>https://www.coches.net/peugeot-207-confort-14-hdi-70-fap-5p-diesel-2012-en-valencia-71864932-covo.aspx</t>
        </is>
      </c>
      <c r="D454" s="2" t="inlineStr">
        <is>
          <t>PEUGEOT 207 Confort 1.4 HDI 70 FAP</t>
        </is>
      </c>
      <c r="E454" s="2" t="inlineStr">
        <is>
          <t>Peugeot</t>
        </is>
      </c>
      <c r="F454" s="2" t="inlineStr">
        <is>
          <t>Peugeot 207</t>
        </is>
      </c>
      <c r="G454" s="2" t="inlineStr">
        <is>
          <t>1.4 HDi</t>
        </is>
      </c>
      <c r="H454" s="2" t="inlineStr">
        <is>
          <t>Confort 1.4 HDI 70 FAP</t>
        </is>
      </c>
      <c r="I454" s="2" t="n"/>
      <c r="J454" s="2" t="n"/>
      <c r="K454" s="2" t="inlineStr">
        <is>
          <t>diesel</t>
        </is>
      </c>
      <c r="L454" s="2" t="inlineStr">
        <is>
          <t>utilitario</t>
        </is>
      </c>
      <c r="M454" s="2" t="n">
        <v>2012</v>
      </c>
      <c r="N454" s="2" t="n">
        <v>74000</v>
      </c>
      <c r="O454" s="2" t="n">
        <v>5000</v>
      </c>
      <c r="P454" s="2" t="inlineStr">
        <is>
          <t>manual</t>
        </is>
      </c>
      <c r="Q454" s="2" t="inlineStr">
        <is>
          <t>no</t>
        </is>
      </c>
      <c r="R454" s="2" t="inlineStr">
        <is>
          <t>particular</t>
        </is>
      </c>
      <c r="S454" s="2" t="inlineStr">
        <is>
          <t>Gandia</t>
        </is>
      </c>
      <c r="T454" s="2" t="inlineStr">
        <is>
          <t>2026-10-29T19:03:55Z</t>
        </is>
      </c>
      <c r="U454" s="2" t="n">
        <v>10</v>
      </c>
      <c r="V454" s="2" t="n"/>
      <c r="W454" s="2" t="n"/>
      <c r="X454" s="2" t="n"/>
      <c r="Y454" s="2" t="n"/>
      <c r="Z454" s="2" t="inlineStr">
        <is>
          <t>no</t>
        </is>
      </c>
      <c r="AA454" s="2" t="n"/>
      <c r="AB454" s="2" t="n"/>
      <c r="AC454" s="2" t="n"/>
      <c r="AD454" s="2" t="n"/>
      <c r="AE454" s="2" t="n"/>
      <c r="AF454" s="2" t="n"/>
      <c r="AG454" s="2" t="n"/>
      <c r="AH454" s="2" t="n">
        <v>5000</v>
      </c>
      <c r="AI454" s="2" t="n"/>
      <c r="AJ454" s="2" t="n"/>
      <c r="AK454" s="2" t="n"/>
      <c r="AL454" s="2" t="n"/>
      <c r="AM454" s="2" t="n">
        <v>58.4</v>
      </c>
      <c r="AN454" s="2" t="n">
        <v>4099.5</v>
      </c>
      <c r="AO454" s="2" t="n">
        <v>32</v>
      </c>
      <c r="AP454" s="2" t="inlineStr">
        <is>
          <t>modelo+año</t>
        </is>
      </c>
      <c r="AQ454" s="2" t="n"/>
      <c r="AR454" s="2" t="inlineStr">
        <is>
          <t>por encima del presupuesto (5104 €), negociar; cuota fija ITP: &gt;12 años, hasta 1.500 cc; fiabilidad del modelo PENDIENTE de fuente (puntuación neutra)</t>
        </is>
      </c>
      <c r="AS454" s="2" t="inlineStr">
        <is>
          <t>Si buscas un coche que combine eficiencia, fiabilidad y un precio justo, este Peugeot 207 es exactamente lo que necesitas.
Se trata de un berlina de cinco puertas y cinco plazas con motor diésel de 1.4 HDi, una opción inteligente para quien valora el consumo responsable sin renunciar a la potencia necesaria para circular con soltura tanto en ciudad como en carretera. Con poco más de 74000 kilómetros, el vehículo se encuentra en estado de uso habitual, tanto en su interior como en su exterior, reflejando una vida normal pero cuidada.
El diésel FAP de 70 CV ofrece ese equilibrio perfecto entre rendimiento y economía de combustible que caracteriza a los motores de esta gama. La caja de cambios manual te proporciona control total de la conducción, mientras que la carrocería blanca mantiene ese aspecto limpio y atemporal que nunca pasa de moda.
Este Peugeot 207 Confort es una opción sólida para quienes buscan un vehículo práctico, funcional y económico. Perfecto para desplazamientos diarios, viajes ocasionales o como segundo coche familiar. Su tamaño compacto lo hace ágil en el tráfico urbano, mientras que su motorización diésel lo hace especialmente atractivo para recorridos más largos.
Vendo como particular porque he decidido cambiar de vehículo. Si tienes cualquier duda sobre aspectos específicos del coche, estoy disponible para responder a través de chat.
No lo dejes escapar. Contacta conmigo hoy mismo y ven a verlo sin compromiso.</t>
        </is>
      </c>
      <c r="AT454" s="2" t="inlineStr">
        <is>
          <t>https://www.coches.net/peugeot-207-confort-14-hdi-70-fap-5p-diesel-2012-en-valencia-71864932-covo.aspx (window.__INITIAL_PROPS__.ad) /home/user/Alopecia/buscador-coches/raw/cochesnet/5d8a4b373f3beca5.json</t>
        </is>
      </c>
      <c r="AU454" s="3">
        <f>MAX(ANIO_ACTUAL-M454,0)</f>
        <v/>
      </c>
      <c r="AV454" s="4">
        <f>N454/MAX(AU454,0.5)</f>
        <v/>
      </c>
      <c r="AW454" s="4">
        <f>F454</f>
        <v/>
      </c>
      <c r="AX454" s="3">
        <f>AW454&amp;"|"&amp;INT(M454/SEG_ANIO)*SEG_ANIO</f>
        <v/>
      </c>
      <c r="AY454" s="3">
        <f>AX454&amp;"|"&amp;INT(N454/SEG_KM)*SEG_KM</f>
        <v/>
      </c>
      <c r="AZ454" s="4">
        <f>COUNTIF($AW$2:$AW$662,AW454)</f>
        <v/>
      </c>
      <c r="BA454" s="4">
        <f>COUNTIF($AX$2:$AX$662,AX454)</f>
        <v/>
      </c>
      <c r="BB454" s="4">
        <f>COUNTIF($AY$2:$AY$662,AY454)</f>
        <v/>
      </c>
      <c r="BC454" s="3">
        <f t="array" ref="BC454">IF(N(AO454)&gt;=MIN_N,AN454,IF(BB454&gt;=MIN_N,MEDIAN(IF($AY$2:$AY$662=AY454,$O$2:$O$662)),IF(BA454&gt;=MIN_N,MEDIAN(IF($AX$2:$AX$662=AX454,$O$2:$O$662)),MEDIAN(IF($AW$2:$AW$662=AW454,$O$2:$O$662)))))</f>
        <v/>
      </c>
      <c r="BD454" s="3">
        <f>IF(N(AO454)&gt;=MIN_N,"mercado "&amp;AP454,IF(BB454&gt;=MIN_N,"modelo+año+km",IF(BA454&gt;=MIN_N,"modelo+año","modelo")))</f>
        <v/>
      </c>
      <c r="BE454" s="4">
        <f>(BC454-O454)/BC454</f>
        <v/>
      </c>
      <c r="BF454" s="3">
        <f>IF(OR(K454="hibrido",K454="glp"),"ECO",IF(K454="electrico","CERO",IF(K454="gasolina",IF(M454&gt;=GAS_C,"C",IF(M454&gt;=GAS_B,"B","A")),IF(K454="diesel",IF(M454&gt;=DIE_C,"C",IF(M454&gt;=DIE_B,"B","A")),""))))</f>
        <v/>
      </c>
      <c r="BG454" s="3">
        <f>IFERROR(VLOOKUP(F454,MOD_TBL,11,0),IFERROR(VLOOKUP(E454,OCU_TBL,2,0),NEUTRO))</f>
        <v/>
      </c>
      <c r="BH454" s="3">
        <f>SUMIFS(MOT_AJUSTE,MOT_MOTOR,G454,MOT_MARCA,E454,MOT_DESDE,"&lt;="&amp;M454,MOT_HASTA,"&gt;="&amp;M454)+SUMIFS(MOT_AJUSTE,MOT_MOTOR,G454,MOT_MARCA,"(todas)",MOT_DESDE,"&lt;="&amp;M454,MOT_HASTA,"&gt;="&amp;M454)</f>
        <v/>
      </c>
      <c r="BI454" s="3">
        <f>SUMIFS(COMB_AJUSTE,COMB_COMB,K454)</f>
        <v/>
      </c>
      <c r="BJ454" s="3">
        <f>COUNTIFS(MOT_MOTOR,G454,MOT_MARCA,E454,MOT_DESDE,"&lt;="&amp;M454,MOT_HASTA,"&gt;="&amp;M454)+COUNTIFS(MOT_MOTOR,G454,MOT_MARCA,"(todas)",MOT_DESDE,"&lt;="&amp;M454,MOT_HASTA,"&gt;="&amp;M454)</f>
        <v/>
      </c>
      <c r="BK454" s="3">
        <f>IF(AND(K454="diesel",BJ454=0),MIN(BG454,NEUTRO),BG454)</f>
        <v/>
      </c>
      <c r="BL454" s="4">
        <f>MAX(0,MIN(100,BK454+BH454+BI454))</f>
        <v/>
      </c>
      <c r="BM454" s="3">
        <f>MAX(0,MIN(100,50+BE454*PRECIO_PEND))</f>
        <v/>
      </c>
      <c r="BN454" s="3">
        <f>MAX(0,100*(1-N454/KM_MAX))</f>
        <v/>
      </c>
      <c r="BO454" s="3">
        <f>IF(AV454&lt;KMA_SOSP,IF(AA454="sí",100,KMA_PEN),IF(AV454&lt;=KMA_IDEAL_MAX,100,MAX(0,100*(KMA_CERO-AV454)/(KMA_CERO-KMA_IDEAL_MAX))))</f>
        <v/>
      </c>
      <c r="BP454" s="3">
        <f>MAX(0,MIN(100,100*(M454-ANIO_MIN)/(ANIO_ACTUAL-ANIO_MIN)))</f>
        <v/>
      </c>
      <c r="BQ454" s="3">
        <f>W_KMT*BN454+W_KMA*BO454+W_EDAD*BP454</f>
        <v/>
      </c>
      <c r="BR454" s="3">
        <f>P_ITV*(V454="sí")+P_LIBRO*(W454="sí")+P_CORREA*(X454="sí")+P_PROP*(Y454=1)+P_GAR*(Z454="sí")+P_FOTOS*MIN(1,N(U454)/FOTOS_OBJ)</f>
        <v/>
      </c>
      <c r="BS454" s="3">
        <f>IFERROR(VLOOKUP(BF454,ETQ_TBL,2,0),NEUTRO)</f>
        <v/>
      </c>
      <c r="BT454" s="3">
        <f>NEUTRO</f>
        <v/>
      </c>
      <c r="BU454" s="3">
        <f>IFERROR(VLOOKUP(L454,SEGURO_TBL,3,0),"")</f>
        <v/>
      </c>
      <c r="BV454" s="3">
        <f>IF(BU454="",NEUTRO,MAX(0,MIN(100,100*(SEG_REF_MAX-BU454)/(SEG_REF_MAX-SEG_REF_MIN))))</f>
        <v/>
      </c>
      <c r="BW454" s="3">
        <f>W_ET*BS454+W_CONS*BT454+W_SEG*BV454</f>
        <v/>
      </c>
      <c r="BX454" s="3">
        <f>IF(N(AB454)&gt;0,AB454,IF(AND(R454="profesional",SG_LEGAL_ON=1),GAR_LEGAL,0))</f>
        <v/>
      </c>
      <c r="BY454" s="3">
        <f>SG_GAR*MIN(1,BX454/SG_GAR_FULL)+SG_AMPL*(AC454="sí")+SG_KMC*(AF454="sí")+SG_REV*(N(AE454)&gt;0)+SG_DEV*MIN(1,N(AG454)/SG_DEV_FULL)+SG_HIST*(W454="sí")</f>
        <v/>
      </c>
      <c r="BZ454" s="3">
        <f>IFERROR(VLOOKUP(L454,CARR_PEN_TBL,2,0),0)</f>
        <v/>
      </c>
      <c r="CA454" s="3">
        <f>W_FIAB*BL454+W_PRECIO*BM454+W_KMEDAD*BQ454+W_ANUNCIO*BR454+W_USO*BW454+W_SEGURIDAD*BY454-BZ454</f>
        <v/>
      </c>
      <c r="CB454" s="4">
        <f>IF(N(I454)&gt;0,I454,IFERROR(ROUND(_xlfn.NUMBERVALUE(LEFT(G454,FIND(" ",G454&amp;" ")-1),".")*1000,0),99999))</f>
        <v/>
      </c>
      <c r="CC454" s="3">
        <f>IF(R454="profesional",0,IF(O454&lt;CUOTA_VALOR_MAX,IF(AU454&gt;ITP_TRAMO_ALTO,SUMIFS(CF_CUOTA,CF_MAS,ITP_TRAMO_ALTO,CF_CCMIN,"&lt;="&amp;CB454,CF_CCMAX,"&gt;="&amp;CB454),IF(AU454&gt;ITP_TRAMO_BAJO,SUMIFS(CF_CUOTA,CF_MAS,ITP_TRAMO_BAJO,CF_CCMIN,"&lt;="&amp;CB454,CF_CCMAX,"&gt;="&amp;CB454),O454*ITP_TIPO)),O454*ITP_TIPO))</f>
        <v/>
      </c>
      <c r="CD454" s="4">
        <f>IF(R454="profesional",N(AK454),0)</f>
        <v/>
      </c>
      <c r="CE454" s="3">
        <f>IF(AND(R454="profesional",ISNUMBER(AK454),AL454="sí"),0,TASA_DGT)</f>
        <v/>
      </c>
      <c r="CF454" s="3">
        <f>INFORME_DGT</f>
        <v/>
      </c>
      <c r="CG454" s="4">
        <f>O454+CD454+CC454+CE454+CF454</f>
        <v/>
      </c>
      <c r="CH454" s="4">
        <f>CG454+N(BU454)</f>
        <v/>
      </c>
      <c r="CI454" s="3">
        <f>IF(CG454&lt;=TOTAL_MAX,"sí",IF(CG454&lt;=TOTAL_MAX+MARGEN_NEG,"negociar","no"))</f>
        <v/>
      </c>
      <c r="CJ454" s="4">
        <f>IF(CI454&lt;&gt;"no",COUNTIFS($CI$2:$CI$662,"&lt;&gt;no",$CA$2:$CA$662,"&gt;"&amp;CA454)+COUNTIFS($CI$2:CI454,"&lt;&gt;no",$CA$2:CA454,CA454),"")</f>
        <v/>
      </c>
    </row>
    <row r="455">
      <c r="A455" s="2" t="inlineStr">
        <is>
          <t>cochesnet:71828437</t>
        </is>
      </c>
      <c r="B455" s="2" t="inlineStr">
        <is>
          <t>cochesnet</t>
        </is>
      </c>
      <c r="C455" s="2" t="inlineStr">
        <is>
          <t>https://www.coches.net/peugeot-207-14-16v-xt-5p-gasolina-2006-en-valencia-71828437-covo.aspx</t>
        </is>
      </c>
      <c r="D455" s="2" t="inlineStr">
        <is>
          <t>PEUGEOT 207 1.4 16v XT</t>
        </is>
      </c>
      <c r="E455" s="2" t="inlineStr">
        <is>
          <t>Peugeot</t>
        </is>
      </c>
      <c r="F455" s="2" t="inlineStr">
        <is>
          <t>Peugeot 207</t>
        </is>
      </c>
      <c r="G455" s="2" t="inlineStr">
        <is>
          <t>1.4</t>
        </is>
      </c>
      <c r="H455" s="2" t="inlineStr">
        <is>
          <t>1.4 16v XT</t>
        </is>
      </c>
      <c r="I455" s="2" t="n"/>
      <c r="J455" s="2" t="n"/>
      <c r="K455" s="2" t="inlineStr">
        <is>
          <t>gasolina</t>
        </is>
      </c>
      <c r="L455" s="2" t="inlineStr">
        <is>
          <t>utilitario</t>
        </is>
      </c>
      <c r="M455" s="2" t="n">
        <v>2007</v>
      </c>
      <c r="N455" s="2" t="n">
        <v>76600</v>
      </c>
      <c r="O455" s="2" t="n">
        <v>3700</v>
      </c>
      <c r="P455" s="2" t="inlineStr">
        <is>
          <t>manual</t>
        </is>
      </c>
      <c r="Q455" s="2" t="inlineStr">
        <is>
          <t>no</t>
        </is>
      </c>
      <c r="R455" s="2" t="inlineStr">
        <is>
          <t>profesional</t>
        </is>
      </c>
      <c r="S455" s="2" t="inlineStr">
        <is>
          <t>Pepe Cars Valencia</t>
        </is>
      </c>
      <c r="T455" s="2" t="inlineStr">
        <is>
          <t>2026-10-25T15:39:29Z</t>
        </is>
      </c>
      <c r="U455" s="2" t="n">
        <v>10</v>
      </c>
      <c r="V455" s="2" t="n"/>
      <c r="W455" s="2" t="n"/>
      <c r="X455" s="2" t="n"/>
      <c r="Y455" s="2" t="n"/>
      <c r="Z455" s="2" t="inlineStr">
        <is>
          <t>sí</t>
        </is>
      </c>
      <c r="AA455" s="2" t="n"/>
      <c r="AB455" s="2" t="n">
        <v>12</v>
      </c>
      <c r="AC455" s="2" t="n"/>
      <c r="AD455" s="2" t="n"/>
      <c r="AE455" s="2" t="n"/>
      <c r="AF455" s="2" t="n"/>
      <c r="AG455" s="2" t="n"/>
      <c r="AH455" s="2" t="n">
        <v>3700</v>
      </c>
      <c r="AI455" s="2" t="n"/>
      <c r="AJ455" s="2" t="n"/>
      <c r="AK455" s="2" t="n"/>
      <c r="AL455" s="2" t="n"/>
      <c r="AM455" s="2" t="n">
        <v>0.1</v>
      </c>
      <c r="AN455" s="2" t="n">
        <v>4750</v>
      </c>
      <c r="AO455" s="2" t="n">
        <v>13</v>
      </c>
      <c r="AP455" s="2" t="inlineStr">
        <is>
          <t>modelo+año+km</t>
        </is>
      </c>
      <c r="AQ455" s="2" t="n"/>
      <c r="AR455" s="2" t="inlineStr">
        <is>
          <t>vendedor profesional: sin ITP (operación con IVA/REBU, confirmar en factura); gastos de gestión del vendedor no indicados: se suma la tasa DGT; preguntar el precio final; fiabilidad del modelo PENDIENTE de fuente (puntuación neutra)</t>
        </is>
      </c>
      <c r="AS455" s="2" t="inlineStr">
        <is>
          <t>Este Peugeot 207 1.4 16v XT combina funcionalidad y confort con equipamiento multimedia completo: sistema de audio de seis altavoces con radio AM/FM, reproductor de CD y control remoto en volante. Destaca por su climatización bizona automática, dirección asistida eléctrica progresiva y volante de cuero ajustable en altura y profundidad. Dispone de elevalunas eléctricos delanteros, cierre centralizado con mando a distancia, ordenador de viaje con datos de consumo y autonomía, y cristales tintados en toda la cabina. Asientos individuales delanteros con reposacabezas ajustables, apoyabrazos central y banqueta trasera partida abatible. Inmovilizador de serie, luces antiniebla delanteras y faros dobles con regulación de altura. Etiqueta medioambiental C.</t>
        </is>
      </c>
      <c r="AT455" s="2" t="inlineStr">
        <is>
          <t>https://www.coches.net/peugeot-207-14-16v-xt-5p-gasolina-2006-en-valencia-71828437-covo.aspx (window.__INITIAL_PROPS__.ad) /home/user/Alopecia/buscador-coches/raw/cochesnet/1cd765507ac734a9.json</t>
        </is>
      </c>
      <c r="AU455" s="3">
        <f>MAX(ANIO_ACTUAL-M455,0)</f>
        <v/>
      </c>
      <c r="AV455" s="4">
        <f>N455/MAX(AU455,0.5)</f>
        <v/>
      </c>
      <c r="AW455" s="4">
        <f>F455</f>
        <v/>
      </c>
      <c r="AX455" s="3">
        <f>AW455&amp;"|"&amp;INT(M455/SEG_ANIO)*SEG_ANIO</f>
        <v/>
      </c>
      <c r="AY455" s="3">
        <f>AX455&amp;"|"&amp;INT(N455/SEG_KM)*SEG_KM</f>
        <v/>
      </c>
      <c r="AZ455" s="4">
        <f>COUNTIF($AW$2:$AW$662,AW455)</f>
        <v/>
      </c>
      <c r="BA455" s="4">
        <f>COUNTIF($AX$2:$AX$662,AX455)</f>
        <v/>
      </c>
      <c r="BB455" s="4">
        <f>COUNTIF($AY$2:$AY$662,AY455)</f>
        <v/>
      </c>
      <c r="BC455" s="3">
        <f t="array" ref="BC455">IF(N(AO455)&gt;=MIN_N,AN455,IF(BB455&gt;=MIN_N,MEDIAN(IF($AY$2:$AY$662=AY455,$O$2:$O$662)),IF(BA455&gt;=MIN_N,MEDIAN(IF($AX$2:$AX$662=AX455,$O$2:$O$662)),MEDIAN(IF($AW$2:$AW$662=AW455,$O$2:$O$662)))))</f>
        <v/>
      </c>
      <c r="BD455" s="3">
        <f>IF(N(AO455)&gt;=MIN_N,"mercado "&amp;AP455,IF(BB455&gt;=MIN_N,"modelo+año+km",IF(BA455&gt;=MIN_N,"modelo+año","modelo")))</f>
        <v/>
      </c>
      <c r="BE455" s="4">
        <f>(BC455-O455)/BC455</f>
        <v/>
      </c>
      <c r="BF455" s="3">
        <f>IF(OR(K455="hibrido",K455="glp"),"ECO",IF(K455="electrico","CERO",IF(K455="gasolina",IF(M455&gt;=GAS_C,"C",IF(M455&gt;=GAS_B,"B","A")),IF(K455="diesel",IF(M455&gt;=DIE_C,"C",IF(M455&gt;=DIE_B,"B","A")),""))))</f>
        <v/>
      </c>
      <c r="BG455" s="3">
        <f>IFERROR(VLOOKUP(F455,MOD_TBL,11,0),IFERROR(VLOOKUP(E455,OCU_TBL,2,0),NEUTRO))</f>
        <v/>
      </c>
      <c r="BH455" s="3">
        <f>SUMIFS(MOT_AJUSTE,MOT_MOTOR,G455,MOT_MARCA,E455,MOT_DESDE,"&lt;="&amp;M455,MOT_HASTA,"&gt;="&amp;M455)+SUMIFS(MOT_AJUSTE,MOT_MOTOR,G455,MOT_MARCA,"(todas)",MOT_DESDE,"&lt;="&amp;M455,MOT_HASTA,"&gt;="&amp;M455)</f>
        <v/>
      </c>
      <c r="BI455" s="3">
        <f>SUMIFS(COMB_AJUSTE,COMB_COMB,K455)</f>
        <v/>
      </c>
      <c r="BJ455" s="3">
        <f>COUNTIFS(MOT_MOTOR,G455,MOT_MARCA,E455,MOT_DESDE,"&lt;="&amp;M455,MOT_HASTA,"&gt;="&amp;M455)+COUNTIFS(MOT_MOTOR,G455,MOT_MARCA,"(todas)",MOT_DESDE,"&lt;="&amp;M455,MOT_HASTA,"&gt;="&amp;M455)</f>
        <v/>
      </c>
      <c r="BK455" s="3">
        <f>IF(AND(K455="diesel",BJ455=0),MIN(BG455,NEUTRO),BG455)</f>
        <v/>
      </c>
      <c r="BL455" s="4">
        <f>MAX(0,MIN(100,BK455+BH455+BI455))</f>
        <v/>
      </c>
      <c r="BM455" s="3">
        <f>MAX(0,MIN(100,50+BE455*PRECIO_PEND))</f>
        <v/>
      </c>
      <c r="BN455" s="3">
        <f>MAX(0,100*(1-N455/KM_MAX))</f>
        <v/>
      </c>
      <c r="BO455" s="3">
        <f>IF(AV455&lt;KMA_SOSP,IF(AA455="sí",100,KMA_PEN),IF(AV455&lt;=KMA_IDEAL_MAX,100,MAX(0,100*(KMA_CERO-AV455)/(KMA_CERO-KMA_IDEAL_MAX))))</f>
        <v/>
      </c>
      <c r="BP455" s="3">
        <f>MAX(0,MIN(100,100*(M455-ANIO_MIN)/(ANIO_ACTUAL-ANIO_MIN)))</f>
        <v/>
      </c>
      <c r="BQ455" s="3">
        <f>W_KMT*BN455+W_KMA*BO455+W_EDAD*BP455</f>
        <v/>
      </c>
      <c r="BR455" s="3">
        <f>P_ITV*(V455="sí")+P_LIBRO*(W455="sí")+P_CORREA*(X455="sí")+P_PROP*(Y455=1)+P_GAR*(Z455="sí")+P_FOTOS*MIN(1,N(U455)/FOTOS_OBJ)</f>
        <v/>
      </c>
      <c r="BS455" s="3">
        <f>IFERROR(VLOOKUP(BF455,ETQ_TBL,2,0),NEUTRO)</f>
        <v/>
      </c>
      <c r="BT455" s="3">
        <f>NEUTRO</f>
        <v/>
      </c>
      <c r="BU455" s="3">
        <f>IFERROR(VLOOKUP(L455,SEGURO_TBL,3,0),"")</f>
        <v/>
      </c>
      <c r="BV455" s="3">
        <f>IF(BU455="",NEUTRO,MAX(0,MIN(100,100*(SEG_REF_MAX-BU455)/(SEG_REF_MAX-SEG_REF_MIN))))</f>
        <v/>
      </c>
      <c r="BW455" s="3">
        <f>W_ET*BS455+W_CONS*BT455+W_SEG*BV455</f>
        <v/>
      </c>
      <c r="BX455" s="3">
        <f>IF(N(AB455)&gt;0,AB455,IF(AND(R455="profesional",SG_LEGAL_ON=1),GAR_LEGAL,0))</f>
        <v/>
      </c>
      <c r="BY455" s="3">
        <f>SG_GAR*MIN(1,BX455/SG_GAR_FULL)+SG_AMPL*(AC455="sí")+SG_KMC*(AF455="sí")+SG_REV*(N(AE455)&gt;0)+SG_DEV*MIN(1,N(AG455)/SG_DEV_FULL)+SG_HIST*(W455="sí")</f>
        <v/>
      </c>
      <c r="BZ455" s="3">
        <f>IFERROR(VLOOKUP(L455,CARR_PEN_TBL,2,0),0)</f>
        <v/>
      </c>
      <c r="CA455" s="3">
        <f>W_FIAB*BL455+W_PRECIO*BM455+W_KMEDAD*BQ455+W_ANUNCIO*BR455+W_USO*BW455+W_SEGURIDAD*BY455-BZ455</f>
        <v/>
      </c>
      <c r="CB455" s="4">
        <f>IF(N(I455)&gt;0,I455,IFERROR(ROUND(_xlfn.NUMBERVALUE(LEFT(G455,FIND(" ",G455&amp;" ")-1),".")*1000,0),99999))</f>
        <v/>
      </c>
      <c r="CC455" s="3">
        <f>IF(R455="profesional",0,IF(O455&lt;CUOTA_VALOR_MAX,IF(AU455&gt;ITP_TRAMO_ALTO,SUMIFS(CF_CUOTA,CF_MAS,ITP_TRAMO_ALTO,CF_CCMIN,"&lt;="&amp;CB455,CF_CCMAX,"&gt;="&amp;CB455),IF(AU455&gt;ITP_TRAMO_BAJO,SUMIFS(CF_CUOTA,CF_MAS,ITP_TRAMO_BAJO,CF_CCMIN,"&lt;="&amp;CB455,CF_CCMAX,"&gt;="&amp;CB455),O455*ITP_TIPO)),O455*ITP_TIPO))</f>
        <v/>
      </c>
      <c r="CD455" s="4">
        <f>IF(R455="profesional",N(AK455),0)</f>
        <v/>
      </c>
      <c r="CE455" s="3">
        <f>IF(AND(R455="profesional",ISNUMBER(AK455),AL455="sí"),0,TASA_DGT)</f>
        <v/>
      </c>
      <c r="CF455" s="3">
        <f>INFORME_DGT</f>
        <v/>
      </c>
      <c r="CG455" s="4">
        <f>O455+CD455+CC455+CE455+CF455</f>
        <v/>
      </c>
      <c r="CH455" s="4">
        <f>CG455+N(BU455)</f>
        <v/>
      </c>
      <c r="CI455" s="3">
        <f>IF(CG455&lt;=TOTAL_MAX,"sí",IF(CG455&lt;=TOTAL_MAX+MARGEN_NEG,"negociar","no"))</f>
        <v/>
      </c>
      <c r="CJ455" s="4">
        <f>IF(CI455&lt;&gt;"no",COUNTIFS($CI$2:$CI$662,"&lt;&gt;no",$CA$2:$CA$662,"&gt;"&amp;CA455)+COUNTIFS($CI$2:CI455,"&lt;&gt;no",$CA$2:CA455,CA455),"")</f>
        <v/>
      </c>
    </row>
    <row r="456">
      <c r="A456" s="2" t="inlineStr">
        <is>
          <t>cochesnet:71825187</t>
        </is>
      </c>
      <c r="B456" s="2" t="inlineStr">
        <is>
          <t>cochesnet</t>
        </is>
      </c>
      <c r="C456" s="2" t="inlineStr">
        <is>
          <t>https://www.coches.net/peugeot-207-confort-16-hdi-90-3p-diesel-2007-en-valencia-71825187-covo.aspx</t>
        </is>
      </c>
      <c r="D456" s="2" t="inlineStr">
        <is>
          <t>PEUGEOT 207 Confort 1.6 HDI 90</t>
        </is>
      </c>
      <c r="E456" s="2" t="inlineStr">
        <is>
          <t>Peugeot</t>
        </is>
      </c>
      <c r="F456" s="2" t="inlineStr">
        <is>
          <t>Peugeot 207</t>
        </is>
      </c>
      <c r="G456" s="2" t="inlineStr">
        <is>
          <t>1.6 HDi</t>
        </is>
      </c>
      <c r="H456" s="2" t="inlineStr">
        <is>
          <t>Confort 1.6 HDI 90</t>
        </is>
      </c>
      <c r="I456" s="2" t="n"/>
      <c r="J456" s="2" t="n"/>
      <c r="K456" s="2" t="inlineStr">
        <is>
          <t>diesel</t>
        </is>
      </c>
      <c r="L456" s="2" t="inlineStr">
        <is>
          <t>utilitario</t>
        </is>
      </c>
      <c r="M456" s="2" t="n">
        <v>2007</v>
      </c>
      <c r="N456" s="2" t="n">
        <v>95000</v>
      </c>
      <c r="O456" s="2" t="n">
        <v>3800</v>
      </c>
      <c r="P456" s="2" t="inlineStr">
        <is>
          <t>manual</t>
        </is>
      </c>
      <c r="Q456" s="2" t="inlineStr">
        <is>
          <t>no</t>
        </is>
      </c>
      <c r="R456" s="2" t="inlineStr">
        <is>
          <t>particular</t>
        </is>
      </c>
      <c r="S456" s="2" t="inlineStr">
        <is>
          <t>Valencia</t>
        </is>
      </c>
      <c r="T456" s="2" t="inlineStr">
        <is>
          <t>2026-10-24T18:35:04Z</t>
        </is>
      </c>
      <c r="U456" s="2" t="n">
        <v>7</v>
      </c>
      <c r="V456" s="2" t="inlineStr">
        <is>
          <t>sí</t>
        </is>
      </c>
      <c r="W456" s="2" t="n"/>
      <c r="X456" s="2" t="n"/>
      <c r="Y456" s="2" t="n">
        <v>1</v>
      </c>
      <c r="Z456" s="2" t="inlineStr">
        <is>
          <t>no</t>
        </is>
      </c>
      <c r="AA456" s="2" t="n"/>
      <c r="AB456" s="2" t="n"/>
      <c r="AC456" s="2" t="n"/>
      <c r="AD456" s="2" t="n"/>
      <c r="AE456" s="2" t="n"/>
      <c r="AF456" s="2" t="n"/>
      <c r="AG456" s="2" t="n"/>
      <c r="AH456" s="2" t="n">
        <v>3800</v>
      </c>
      <c r="AI456" s="2" t="n"/>
      <c r="AJ456" s="2" t="n"/>
      <c r="AK456" s="2" t="n"/>
      <c r="AL456" s="2" t="n"/>
      <c r="AM456" s="2" t="n">
        <v>0.1</v>
      </c>
      <c r="AN456" s="2" t="n">
        <v>4750</v>
      </c>
      <c r="AO456" s="2" t="n">
        <v>13</v>
      </c>
      <c r="AP456" s="2" t="inlineStr">
        <is>
          <t>modelo+año+km</t>
        </is>
      </c>
      <c r="AQ456" s="2" t="n"/>
      <c r="AR456" s="2" t="inlineStr">
        <is>
          <t>cuota fija ITP: &gt;12 años, 1.501-2.000 cc; fiabilidad del modelo PENDIENTE de fuente (puntuación neutra)</t>
        </is>
      </c>
      <c r="AS456" s="2" t="inlineStr">
        <is>
          <t xml:space="preserve">En venta Peugeot 207 HDI 90cv único propietario con tan solo 95.000km reales certificados vehículo nacional con todo el mantenimiento hecho,se entrega con ITV pasada hasta octubre de 2027,y revion completa coche ideal para el día a día,con un consumo mixto de 5 litros a los 100km, equipado con aire acondicionado cierre centralizado con mando, elevalunas eléctricos, retrovisores eléctricos, ordenador a bordo luces automáticas,etc oportunidad! Se envía a cualquier punto de España gastos de envío a cargo del comprador </t>
        </is>
      </c>
      <c r="AT456" s="2" t="inlineStr">
        <is>
          <t>https://www.coches.net/peugeot-207-confort-16-hdi-90-3p-diesel-2007-en-valencia-71825187-covo.aspx (window.__INITIAL_PROPS__.ad) /home/user/Alopecia/buscador-coches/raw/cochesnet/76dfdf2e2778e813.json</t>
        </is>
      </c>
      <c r="AU456" s="3">
        <f>MAX(ANIO_ACTUAL-M456,0)</f>
        <v/>
      </c>
      <c r="AV456" s="4">
        <f>N456/MAX(AU456,0.5)</f>
        <v/>
      </c>
      <c r="AW456" s="4">
        <f>F456</f>
        <v/>
      </c>
      <c r="AX456" s="3">
        <f>AW456&amp;"|"&amp;INT(M456/SEG_ANIO)*SEG_ANIO</f>
        <v/>
      </c>
      <c r="AY456" s="3">
        <f>AX456&amp;"|"&amp;INT(N456/SEG_KM)*SEG_KM</f>
        <v/>
      </c>
      <c r="AZ456" s="4">
        <f>COUNTIF($AW$2:$AW$662,AW456)</f>
        <v/>
      </c>
      <c r="BA456" s="4">
        <f>COUNTIF($AX$2:$AX$662,AX456)</f>
        <v/>
      </c>
      <c r="BB456" s="4">
        <f>COUNTIF($AY$2:$AY$662,AY456)</f>
        <v/>
      </c>
      <c r="BC456" s="3">
        <f t="array" ref="BC456">IF(N(AO456)&gt;=MIN_N,AN456,IF(BB456&gt;=MIN_N,MEDIAN(IF($AY$2:$AY$662=AY456,$O$2:$O$662)),IF(BA456&gt;=MIN_N,MEDIAN(IF($AX$2:$AX$662=AX456,$O$2:$O$662)),MEDIAN(IF($AW$2:$AW$662=AW456,$O$2:$O$662)))))</f>
        <v/>
      </c>
      <c r="BD456" s="3">
        <f>IF(N(AO456)&gt;=MIN_N,"mercado "&amp;AP456,IF(BB456&gt;=MIN_N,"modelo+año+km",IF(BA456&gt;=MIN_N,"modelo+año","modelo")))</f>
        <v/>
      </c>
      <c r="BE456" s="4">
        <f>(BC456-O456)/BC456</f>
        <v/>
      </c>
      <c r="BF456" s="3">
        <f>IF(OR(K456="hibrido",K456="glp"),"ECO",IF(K456="electrico","CERO",IF(K456="gasolina",IF(M456&gt;=GAS_C,"C",IF(M456&gt;=GAS_B,"B","A")),IF(K456="diesel",IF(M456&gt;=DIE_C,"C",IF(M456&gt;=DIE_B,"B","A")),""))))</f>
        <v/>
      </c>
      <c r="BG456" s="3">
        <f>IFERROR(VLOOKUP(F456,MOD_TBL,11,0),IFERROR(VLOOKUP(E456,OCU_TBL,2,0),NEUTRO))</f>
        <v/>
      </c>
      <c r="BH456" s="3">
        <f>SUMIFS(MOT_AJUSTE,MOT_MOTOR,G456,MOT_MARCA,E456,MOT_DESDE,"&lt;="&amp;M456,MOT_HASTA,"&gt;="&amp;M456)+SUMIFS(MOT_AJUSTE,MOT_MOTOR,G456,MOT_MARCA,"(todas)",MOT_DESDE,"&lt;="&amp;M456,MOT_HASTA,"&gt;="&amp;M456)</f>
        <v/>
      </c>
      <c r="BI456" s="3">
        <f>SUMIFS(COMB_AJUSTE,COMB_COMB,K456)</f>
        <v/>
      </c>
      <c r="BJ456" s="3">
        <f>COUNTIFS(MOT_MOTOR,G456,MOT_MARCA,E456,MOT_DESDE,"&lt;="&amp;M456,MOT_HASTA,"&gt;="&amp;M456)+COUNTIFS(MOT_MOTOR,G456,MOT_MARCA,"(todas)",MOT_DESDE,"&lt;="&amp;M456,MOT_HASTA,"&gt;="&amp;M456)</f>
        <v/>
      </c>
      <c r="BK456" s="3">
        <f>IF(AND(K456="diesel",BJ456=0),MIN(BG456,NEUTRO),BG456)</f>
        <v/>
      </c>
      <c r="BL456" s="4">
        <f>MAX(0,MIN(100,BK456+BH456+BI456))</f>
        <v/>
      </c>
      <c r="BM456" s="3">
        <f>MAX(0,MIN(100,50+BE456*PRECIO_PEND))</f>
        <v/>
      </c>
      <c r="BN456" s="3">
        <f>MAX(0,100*(1-N456/KM_MAX))</f>
        <v/>
      </c>
      <c r="BO456" s="3">
        <f>IF(AV456&lt;KMA_SOSP,IF(AA456="sí",100,KMA_PEN),IF(AV456&lt;=KMA_IDEAL_MAX,100,MAX(0,100*(KMA_CERO-AV456)/(KMA_CERO-KMA_IDEAL_MAX))))</f>
        <v/>
      </c>
      <c r="BP456" s="3">
        <f>MAX(0,MIN(100,100*(M456-ANIO_MIN)/(ANIO_ACTUAL-ANIO_MIN)))</f>
        <v/>
      </c>
      <c r="BQ456" s="3">
        <f>W_KMT*BN456+W_KMA*BO456+W_EDAD*BP456</f>
        <v/>
      </c>
      <c r="BR456" s="3">
        <f>P_ITV*(V456="sí")+P_LIBRO*(W456="sí")+P_CORREA*(X456="sí")+P_PROP*(Y456=1)+P_GAR*(Z456="sí")+P_FOTOS*MIN(1,N(U456)/FOTOS_OBJ)</f>
        <v/>
      </c>
      <c r="BS456" s="3">
        <f>IFERROR(VLOOKUP(BF456,ETQ_TBL,2,0),NEUTRO)</f>
        <v/>
      </c>
      <c r="BT456" s="3">
        <f>NEUTRO</f>
        <v/>
      </c>
      <c r="BU456" s="3">
        <f>IFERROR(VLOOKUP(L456,SEGURO_TBL,3,0),"")</f>
        <v/>
      </c>
      <c r="BV456" s="3">
        <f>IF(BU456="",NEUTRO,MAX(0,MIN(100,100*(SEG_REF_MAX-BU456)/(SEG_REF_MAX-SEG_REF_MIN))))</f>
        <v/>
      </c>
      <c r="BW456" s="3">
        <f>W_ET*BS456+W_CONS*BT456+W_SEG*BV456</f>
        <v/>
      </c>
      <c r="BX456" s="3">
        <f>IF(N(AB456)&gt;0,AB456,IF(AND(R456="profesional",SG_LEGAL_ON=1),GAR_LEGAL,0))</f>
        <v/>
      </c>
      <c r="BY456" s="3">
        <f>SG_GAR*MIN(1,BX456/SG_GAR_FULL)+SG_AMPL*(AC456="sí")+SG_KMC*(AF456="sí")+SG_REV*(N(AE456)&gt;0)+SG_DEV*MIN(1,N(AG456)/SG_DEV_FULL)+SG_HIST*(W456="sí")</f>
        <v/>
      </c>
      <c r="BZ456" s="3">
        <f>IFERROR(VLOOKUP(L456,CARR_PEN_TBL,2,0),0)</f>
        <v/>
      </c>
      <c r="CA456" s="3">
        <f>W_FIAB*BL456+W_PRECIO*BM456+W_KMEDAD*BQ456+W_ANUNCIO*BR456+W_USO*BW456+W_SEGURIDAD*BY456-BZ456</f>
        <v/>
      </c>
      <c r="CB456" s="4">
        <f>IF(N(I456)&gt;0,I456,IFERROR(ROUND(_xlfn.NUMBERVALUE(LEFT(G456,FIND(" ",G456&amp;" ")-1),".")*1000,0),99999))</f>
        <v/>
      </c>
      <c r="CC456" s="3">
        <f>IF(R456="profesional",0,IF(O456&lt;CUOTA_VALOR_MAX,IF(AU456&gt;ITP_TRAMO_ALTO,SUMIFS(CF_CUOTA,CF_MAS,ITP_TRAMO_ALTO,CF_CCMIN,"&lt;="&amp;CB456,CF_CCMAX,"&gt;="&amp;CB456),IF(AU456&gt;ITP_TRAMO_BAJO,SUMIFS(CF_CUOTA,CF_MAS,ITP_TRAMO_BAJO,CF_CCMIN,"&lt;="&amp;CB456,CF_CCMAX,"&gt;="&amp;CB456),O456*ITP_TIPO)),O456*ITP_TIPO))</f>
        <v/>
      </c>
      <c r="CD456" s="4">
        <f>IF(R456="profesional",N(AK456),0)</f>
        <v/>
      </c>
      <c r="CE456" s="3">
        <f>IF(AND(R456="profesional",ISNUMBER(AK456),AL456="sí"),0,TASA_DGT)</f>
        <v/>
      </c>
      <c r="CF456" s="3">
        <f>INFORME_DGT</f>
        <v/>
      </c>
      <c r="CG456" s="4">
        <f>O456+CD456+CC456+CE456+CF456</f>
        <v/>
      </c>
      <c r="CH456" s="4">
        <f>CG456+N(BU456)</f>
        <v/>
      </c>
      <c r="CI456" s="3">
        <f>IF(CG456&lt;=TOTAL_MAX,"sí",IF(CG456&lt;=TOTAL_MAX+MARGEN_NEG,"negociar","no"))</f>
        <v/>
      </c>
      <c r="CJ456" s="4">
        <f>IF(CI456&lt;&gt;"no",COUNTIFS($CI$2:$CI$662,"&lt;&gt;no",$CA$2:$CA$662,"&gt;"&amp;CA456)+COUNTIFS($CI$2:CI456,"&lt;&gt;no",$CA$2:CA456,CA456),"")</f>
        <v/>
      </c>
    </row>
    <row r="457">
      <c r="A457" s="2" t="inlineStr">
        <is>
          <t>cochesnet:71764589</t>
        </is>
      </c>
      <c r="B457" s="2" t="inlineStr">
        <is>
          <t>cochesnet</t>
        </is>
      </c>
      <c r="C457" s="2" t="inlineStr">
        <is>
          <t>https://www.coches.net/peugeot-207-sw-confort-14-vti-16v-95-5p-gasolina-2009-en-valencia-71764589-covo.aspx</t>
        </is>
      </c>
      <c r="D457" s="2" t="inlineStr">
        <is>
          <t>PEUGEOT 207 SW Confort 1.4 VTi 16v 95</t>
        </is>
      </c>
      <c r="E457" s="2" t="inlineStr">
        <is>
          <t>Peugeot</t>
        </is>
      </c>
      <c r="F457" s="2" t="inlineStr">
        <is>
          <t>Peugeot 207</t>
        </is>
      </c>
      <c r="G457" s="2" t="inlineStr">
        <is>
          <t>1.4 VTi</t>
        </is>
      </c>
      <c r="H457" s="2" t="inlineStr">
        <is>
          <t>SW Confort 1.4 VTi 16v 95</t>
        </is>
      </c>
      <c r="I457" s="2" t="n"/>
      <c r="J457" s="2" t="n"/>
      <c r="K457" s="2" t="inlineStr">
        <is>
          <t>gasolina</t>
        </is>
      </c>
      <c r="L457" s="2" t="inlineStr">
        <is>
          <t>familiar</t>
        </is>
      </c>
      <c r="M457" s="2" t="n">
        <v>2009</v>
      </c>
      <c r="N457" s="2" t="n">
        <v>59000</v>
      </c>
      <c r="O457" s="2" t="n">
        <v>4990</v>
      </c>
      <c r="P457" s="2" t="inlineStr">
        <is>
          <t>manual</t>
        </is>
      </c>
      <c r="Q457" s="2" t="inlineStr">
        <is>
          <t>no</t>
        </is>
      </c>
      <c r="R457" s="2" t="inlineStr">
        <is>
          <t>profesional</t>
        </is>
      </c>
      <c r="S457" s="2" t="inlineStr">
        <is>
          <t>Bonrepòs i Mirambell</t>
        </is>
      </c>
      <c r="T457" s="2" t="inlineStr">
        <is>
          <t>2026-10-16T17:40:18Z</t>
        </is>
      </c>
      <c r="U457" s="2" t="n">
        <v>25</v>
      </c>
      <c r="V457" s="2" t="inlineStr">
        <is>
          <t>sí</t>
        </is>
      </c>
      <c r="W457" s="2" t="n"/>
      <c r="X457" s="2" t="n"/>
      <c r="Y457" s="2" t="n"/>
      <c r="Z457" s="2" t="inlineStr">
        <is>
          <t>sí</t>
        </is>
      </c>
      <c r="AA457" s="2" t="n"/>
      <c r="AB457" s="2" t="n">
        <v>12</v>
      </c>
      <c r="AC457" s="2" t="n"/>
      <c r="AD457" s="2" t="n"/>
      <c r="AE457" s="2" t="n"/>
      <c r="AF457" s="2" t="inlineStr">
        <is>
          <t>sí</t>
        </is>
      </c>
      <c r="AG457" s="2" t="n"/>
      <c r="AH457" s="2" t="n">
        <v>4990</v>
      </c>
      <c r="AI457" s="2" t="n"/>
      <c r="AJ457" s="2" t="n"/>
      <c r="AK457" s="2" t="n"/>
      <c r="AL457" s="2" t="n"/>
      <c r="AM457" s="2" t="n">
        <v>5.3</v>
      </c>
      <c r="AN457" s="2" t="n">
        <v>4750</v>
      </c>
      <c r="AO457" s="2" t="n">
        <v>13</v>
      </c>
      <c r="AP457" s="2" t="inlineStr">
        <is>
          <t>modelo+año+km</t>
        </is>
      </c>
      <c r="AQ457" s="2" t="n"/>
      <c r="AR457" s="2" t="inlineStr">
        <is>
          <t>por encima del presupuesto (5054 €), negociar; vendedor profesional: sin ITP (operación con IVA/REBU, confirmar en factura); gastos de gestión del vendedor no indicados: se suma la tasa DGT; preguntar el precio final; carrocería familiar: -3 puntos; fiabilidad del modelo PENDIENTE de fuente (puntuación neutra)</t>
        </is>
      </c>
      <c r="AS457" s="2" t="inlineStr">
        <is>
          <t>ELEGANZA AUTOMÓVILES
Peugeot 207 SW 2009. Vehículo nacional, en excelente estado, con ITV en vigor, kilómetros certificados y en perfecto estado de conservación.
Equipamiento:
- Aire acondicionado bizona
- Techo panorámico
- Radio CD 
- Elevalunas eléctricos
- Retrovisores ajustables eléctricamente 
- Cierre centralizado
- Dirección asistida
- Ordenador de a bordo
- Barras de techo
- Llantas de aleación
- Volante multifuncional
- Tapicería en muy buen estado
- Sistema de audio
Vehículo familiar compacto, práctico y con amplio maletero, ideal para el día a día y escapadas.
Incluye 1 año de garantía en motor.
Posibilidad de recoger vehículo como parte de pago.
Solicita más información sin compromiso.
Abrimos los 365 días del año.</t>
        </is>
      </c>
      <c r="AT457" s="2" t="inlineStr">
        <is>
          <t>https://www.coches.net/peugeot-207-sw-confort-14-vti-16v-95-5p-gasolina-2009-en-valencia-71764589-covo.aspx (window.__INITIAL_PROPS__.ad) /home/user/Alopecia/buscador-coches/raw/cochesnet/edf888509d6254ce.json</t>
        </is>
      </c>
      <c r="AU457" s="3">
        <f>MAX(ANIO_ACTUAL-M457,0)</f>
        <v/>
      </c>
      <c r="AV457" s="4">
        <f>N457/MAX(AU457,0.5)</f>
        <v/>
      </c>
      <c r="AW457" s="4">
        <f>F457</f>
        <v/>
      </c>
      <c r="AX457" s="3">
        <f>AW457&amp;"|"&amp;INT(M457/SEG_ANIO)*SEG_ANIO</f>
        <v/>
      </c>
      <c r="AY457" s="3">
        <f>AX457&amp;"|"&amp;INT(N457/SEG_KM)*SEG_KM</f>
        <v/>
      </c>
      <c r="AZ457" s="4">
        <f>COUNTIF($AW$2:$AW$662,AW457)</f>
        <v/>
      </c>
      <c r="BA457" s="4">
        <f>COUNTIF($AX$2:$AX$662,AX457)</f>
        <v/>
      </c>
      <c r="BB457" s="4">
        <f>COUNTIF($AY$2:$AY$662,AY457)</f>
        <v/>
      </c>
      <c r="BC457" s="3">
        <f t="array" ref="BC457">IF(N(AO457)&gt;=MIN_N,AN457,IF(BB457&gt;=MIN_N,MEDIAN(IF($AY$2:$AY$662=AY457,$O$2:$O$662)),IF(BA457&gt;=MIN_N,MEDIAN(IF($AX$2:$AX$662=AX457,$O$2:$O$662)),MEDIAN(IF($AW$2:$AW$662=AW457,$O$2:$O$662)))))</f>
        <v/>
      </c>
      <c r="BD457" s="3">
        <f>IF(N(AO457)&gt;=MIN_N,"mercado "&amp;AP457,IF(BB457&gt;=MIN_N,"modelo+año+km",IF(BA457&gt;=MIN_N,"modelo+año","modelo")))</f>
        <v/>
      </c>
      <c r="BE457" s="4">
        <f>(BC457-O457)/BC457</f>
        <v/>
      </c>
      <c r="BF457" s="3">
        <f>IF(OR(K457="hibrido",K457="glp"),"ECO",IF(K457="electrico","CERO",IF(K457="gasolina",IF(M457&gt;=GAS_C,"C",IF(M457&gt;=GAS_B,"B","A")),IF(K457="diesel",IF(M457&gt;=DIE_C,"C",IF(M457&gt;=DIE_B,"B","A")),""))))</f>
        <v/>
      </c>
      <c r="BG457" s="3">
        <f>IFERROR(VLOOKUP(F457,MOD_TBL,11,0),IFERROR(VLOOKUP(E457,OCU_TBL,2,0),NEUTRO))</f>
        <v/>
      </c>
      <c r="BH457" s="3">
        <f>SUMIFS(MOT_AJUSTE,MOT_MOTOR,G457,MOT_MARCA,E457,MOT_DESDE,"&lt;="&amp;M457,MOT_HASTA,"&gt;="&amp;M457)+SUMIFS(MOT_AJUSTE,MOT_MOTOR,G457,MOT_MARCA,"(todas)",MOT_DESDE,"&lt;="&amp;M457,MOT_HASTA,"&gt;="&amp;M457)</f>
        <v/>
      </c>
      <c r="BI457" s="3">
        <f>SUMIFS(COMB_AJUSTE,COMB_COMB,K457)</f>
        <v/>
      </c>
      <c r="BJ457" s="3">
        <f>COUNTIFS(MOT_MOTOR,G457,MOT_MARCA,E457,MOT_DESDE,"&lt;="&amp;M457,MOT_HASTA,"&gt;="&amp;M457)+COUNTIFS(MOT_MOTOR,G457,MOT_MARCA,"(todas)",MOT_DESDE,"&lt;="&amp;M457,MOT_HASTA,"&gt;="&amp;M457)</f>
        <v/>
      </c>
      <c r="BK457" s="3">
        <f>IF(AND(K457="diesel",BJ457=0),MIN(BG457,NEUTRO),BG457)</f>
        <v/>
      </c>
      <c r="BL457" s="4">
        <f>MAX(0,MIN(100,BK457+BH457+BI457))</f>
        <v/>
      </c>
      <c r="BM457" s="3">
        <f>MAX(0,MIN(100,50+BE457*PRECIO_PEND))</f>
        <v/>
      </c>
      <c r="BN457" s="3">
        <f>MAX(0,100*(1-N457/KM_MAX))</f>
        <v/>
      </c>
      <c r="BO457" s="3">
        <f>IF(AV457&lt;KMA_SOSP,IF(AA457="sí",100,KMA_PEN),IF(AV457&lt;=KMA_IDEAL_MAX,100,MAX(0,100*(KMA_CERO-AV457)/(KMA_CERO-KMA_IDEAL_MAX))))</f>
        <v/>
      </c>
      <c r="BP457" s="3">
        <f>MAX(0,MIN(100,100*(M457-ANIO_MIN)/(ANIO_ACTUAL-ANIO_MIN)))</f>
        <v/>
      </c>
      <c r="BQ457" s="3">
        <f>W_KMT*BN457+W_KMA*BO457+W_EDAD*BP457</f>
        <v/>
      </c>
      <c r="BR457" s="3">
        <f>P_ITV*(V457="sí")+P_LIBRO*(W457="sí")+P_CORREA*(X457="sí")+P_PROP*(Y457=1)+P_GAR*(Z457="sí")+P_FOTOS*MIN(1,N(U457)/FOTOS_OBJ)</f>
        <v/>
      </c>
      <c r="BS457" s="3">
        <f>IFERROR(VLOOKUP(BF457,ETQ_TBL,2,0),NEUTRO)</f>
        <v/>
      </c>
      <c r="BT457" s="3">
        <f>NEUTRO</f>
        <v/>
      </c>
      <c r="BU457" s="3">
        <f>IFERROR(VLOOKUP(L457,SEGURO_TBL,3,0),"")</f>
        <v/>
      </c>
      <c r="BV457" s="3">
        <f>IF(BU457="",NEUTRO,MAX(0,MIN(100,100*(SEG_REF_MAX-BU457)/(SEG_REF_MAX-SEG_REF_MIN))))</f>
        <v/>
      </c>
      <c r="BW457" s="3">
        <f>W_ET*BS457+W_CONS*BT457+W_SEG*BV457</f>
        <v/>
      </c>
      <c r="BX457" s="3">
        <f>IF(N(AB457)&gt;0,AB457,IF(AND(R457="profesional",SG_LEGAL_ON=1),GAR_LEGAL,0))</f>
        <v/>
      </c>
      <c r="BY457" s="3">
        <f>SG_GAR*MIN(1,BX457/SG_GAR_FULL)+SG_AMPL*(AC457="sí")+SG_KMC*(AF457="sí")+SG_REV*(N(AE457)&gt;0)+SG_DEV*MIN(1,N(AG457)/SG_DEV_FULL)+SG_HIST*(W457="sí")</f>
        <v/>
      </c>
      <c r="BZ457" s="3">
        <f>IFERROR(VLOOKUP(L457,CARR_PEN_TBL,2,0),0)</f>
        <v/>
      </c>
      <c r="CA457" s="3">
        <f>W_FIAB*BL457+W_PRECIO*BM457+W_KMEDAD*BQ457+W_ANUNCIO*BR457+W_USO*BW457+W_SEGURIDAD*BY457-BZ457</f>
        <v/>
      </c>
      <c r="CB457" s="4">
        <f>IF(N(I457)&gt;0,I457,IFERROR(ROUND(_xlfn.NUMBERVALUE(LEFT(G457,FIND(" ",G457&amp;" ")-1),".")*1000,0),99999))</f>
        <v/>
      </c>
      <c r="CC457" s="3">
        <f>IF(R457="profesional",0,IF(O457&lt;CUOTA_VALOR_MAX,IF(AU457&gt;ITP_TRAMO_ALTO,SUMIFS(CF_CUOTA,CF_MAS,ITP_TRAMO_ALTO,CF_CCMIN,"&lt;="&amp;CB457,CF_CCMAX,"&gt;="&amp;CB457),IF(AU457&gt;ITP_TRAMO_BAJO,SUMIFS(CF_CUOTA,CF_MAS,ITP_TRAMO_BAJO,CF_CCMIN,"&lt;="&amp;CB457,CF_CCMAX,"&gt;="&amp;CB457),O457*ITP_TIPO)),O457*ITP_TIPO))</f>
        <v/>
      </c>
      <c r="CD457" s="4">
        <f>IF(R457="profesional",N(AK457),0)</f>
        <v/>
      </c>
      <c r="CE457" s="3">
        <f>IF(AND(R457="profesional",ISNUMBER(AK457),AL457="sí"),0,TASA_DGT)</f>
        <v/>
      </c>
      <c r="CF457" s="3">
        <f>INFORME_DGT</f>
        <v/>
      </c>
      <c r="CG457" s="4">
        <f>O457+CD457+CC457+CE457+CF457</f>
        <v/>
      </c>
      <c r="CH457" s="4">
        <f>CG457+N(BU457)</f>
        <v/>
      </c>
      <c r="CI457" s="3">
        <f>IF(CG457&lt;=TOTAL_MAX,"sí",IF(CG457&lt;=TOTAL_MAX+MARGEN_NEG,"negociar","no"))</f>
        <v/>
      </c>
      <c r="CJ457" s="4">
        <f>IF(CI457&lt;&gt;"no",COUNTIFS($CI$2:$CI$662,"&lt;&gt;no",$CA$2:$CA$662,"&gt;"&amp;CA457)+COUNTIFS($CI$2:CI457,"&lt;&gt;no",$CA$2:CA457,CA457),"")</f>
        <v/>
      </c>
    </row>
    <row r="458">
      <c r="A458" s="2" t="inlineStr">
        <is>
          <t>cochesnet:71618681</t>
        </is>
      </c>
      <c r="B458" s="2" t="inlineStr">
        <is>
          <t>cochesnet</t>
        </is>
      </c>
      <c r="C458" s="2" t="inlineStr">
        <is>
          <t>https://www.coches.net/peugeot-207-confort-14-vti-16v-95-5p-gasolina-2008-en-valencia-71618681-covo.aspx</t>
        </is>
      </c>
      <c r="D458" s="2" t="inlineStr">
        <is>
          <t>PEUGEOT 207 Confort 1.4 VTi 16v 95</t>
        </is>
      </c>
      <c r="E458" s="2" t="inlineStr">
        <is>
          <t>Peugeot</t>
        </is>
      </c>
      <c r="F458" s="2" t="inlineStr">
        <is>
          <t>Peugeot 207</t>
        </is>
      </c>
      <c r="G458" s="2" t="inlineStr">
        <is>
          <t>1.4 VTi</t>
        </is>
      </c>
      <c r="H458" s="2" t="inlineStr">
        <is>
          <t>Confort 1.4 VTi 16v 95</t>
        </is>
      </c>
      <c r="I458" s="2" t="n"/>
      <c r="J458" s="2" t="n"/>
      <c r="K458" s="2" t="inlineStr">
        <is>
          <t>gasolina</t>
        </is>
      </c>
      <c r="L458" s="2" t="inlineStr">
        <is>
          <t>utilitario</t>
        </is>
      </c>
      <c r="M458" s="2" t="n">
        <v>2008</v>
      </c>
      <c r="N458" s="2" t="n">
        <v>80000</v>
      </c>
      <c r="O458" s="2" t="n">
        <v>4990</v>
      </c>
      <c r="P458" s="2" t="inlineStr">
        <is>
          <t>manual</t>
        </is>
      </c>
      <c r="Q458" s="2" t="inlineStr">
        <is>
          <t>no</t>
        </is>
      </c>
      <c r="R458" s="2" t="inlineStr">
        <is>
          <t>profesional</t>
        </is>
      </c>
      <c r="S458" s="2" t="inlineStr">
        <is>
          <t>Cullera</t>
        </is>
      </c>
      <c r="T458" s="2" t="inlineStr">
        <is>
          <t>2026-09-28T19:59:29Z</t>
        </is>
      </c>
      <c r="U458" s="2" t="n">
        <v>9</v>
      </c>
      <c r="V458" s="2" t="n"/>
      <c r="W458" s="2" t="n"/>
      <c r="X458" s="2" t="n"/>
      <c r="Y458" s="2" t="n"/>
      <c r="Z458" s="2" t="inlineStr">
        <is>
          <t>sí</t>
        </is>
      </c>
      <c r="AA458" s="2" t="n"/>
      <c r="AB458" s="2" t="n">
        <v>12</v>
      </c>
      <c r="AC458" s="2" t="n"/>
      <c r="AD458" s="2" t="n"/>
      <c r="AE458" s="2" t="n"/>
      <c r="AF458" s="2" t="n"/>
      <c r="AG458" s="2" t="n"/>
      <c r="AH458" s="2" t="n">
        <v>4990</v>
      </c>
      <c r="AI458" s="2" t="n"/>
      <c r="AJ458" s="2" t="n"/>
      <c r="AK458" s="2" t="n"/>
      <c r="AL458" s="2" t="n"/>
      <c r="AM458" s="2" t="n">
        <v>35.4</v>
      </c>
      <c r="AN458" s="2" t="n">
        <v>4750</v>
      </c>
      <c r="AO458" s="2" t="n">
        <v>13</v>
      </c>
      <c r="AP458" s="2" t="inlineStr">
        <is>
          <t>modelo+año+km</t>
        </is>
      </c>
      <c r="AQ458" s="2" t="n"/>
      <c r="AR458"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458" s="2" t="inlineStr">
        <is>
          <t>?MOTOR 1.4VTI CON CADENA DE DISTRIBUCIÓN, NO ES PURETECH ?VEHÍCULO NACIONAL, KMS Y AUSENCIA DE ACCIDENTES ESTRUCTURALES CERTIFICADOS.  ?1 AÑO DE GARANTÍA INCLUIDO EN EL PRECIO, POSIBILIDAD DE AMPLIAR A 2 AÑOS -ENVÍO A TODA ESPAÑA DESDE 150€, POSIBILIDAD DE COMPRA ONLINE O EN NUESTRA TIENDA FISICA -MOTOR MUY FIABLE Y CON UN CONSUMO MUY BAJO -AIRE ACONDICIONADO, ELEVALUNAS ELECTRICOS, DIRECCIÓN ASISTIDA, ETC...</t>
        </is>
      </c>
      <c r="AT458" s="2" t="inlineStr">
        <is>
          <t>https://www.coches.net/peugeot-207-confort-14-vti-16v-95-5p-gasolina-2008-en-valencia-71618681-covo.aspx (window.__INITIAL_PROPS__.ad) /home/user/Alopecia/buscador-coches/raw/cochesnet/543fe930cfd5068a.json</t>
        </is>
      </c>
      <c r="AU458" s="3">
        <f>MAX(ANIO_ACTUAL-M458,0)</f>
        <v/>
      </c>
      <c r="AV458" s="4">
        <f>N458/MAX(AU458,0.5)</f>
        <v/>
      </c>
      <c r="AW458" s="4">
        <f>F458</f>
        <v/>
      </c>
      <c r="AX458" s="3">
        <f>AW458&amp;"|"&amp;INT(M458/SEG_ANIO)*SEG_ANIO</f>
        <v/>
      </c>
      <c r="AY458" s="3">
        <f>AX458&amp;"|"&amp;INT(N458/SEG_KM)*SEG_KM</f>
        <v/>
      </c>
      <c r="AZ458" s="4">
        <f>COUNTIF($AW$2:$AW$662,AW458)</f>
        <v/>
      </c>
      <c r="BA458" s="4">
        <f>COUNTIF($AX$2:$AX$662,AX458)</f>
        <v/>
      </c>
      <c r="BB458" s="4">
        <f>COUNTIF($AY$2:$AY$662,AY458)</f>
        <v/>
      </c>
      <c r="BC458" s="3">
        <f t="array" ref="BC458">IF(N(AO458)&gt;=MIN_N,AN458,IF(BB458&gt;=MIN_N,MEDIAN(IF($AY$2:$AY$662=AY458,$O$2:$O$662)),IF(BA458&gt;=MIN_N,MEDIAN(IF($AX$2:$AX$662=AX458,$O$2:$O$662)),MEDIAN(IF($AW$2:$AW$662=AW458,$O$2:$O$662)))))</f>
        <v/>
      </c>
      <c r="BD458" s="3">
        <f>IF(N(AO458)&gt;=MIN_N,"mercado "&amp;AP458,IF(BB458&gt;=MIN_N,"modelo+año+km",IF(BA458&gt;=MIN_N,"modelo+año","modelo")))</f>
        <v/>
      </c>
      <c r="BE458" s="4">
        <f>(BC458-O458)/BC458</f>
        <v/>
      </c>
      <c r="BF458" s="3">
        <f>IF(OR(K458="hibrido",K458="glp"),"ECO",IF(K458="electrico","CERO",IF(K458="gasolina",IF(M458&gt;=GAS_C,"C",IF(M458&gt;=GAS_B,"B","A")),IF(K458="diesel",IF(M458&gt;=DIE_C,"C",IF(M458&gt;=DIE_B,"B","A")),""))))</f>
        <v/>
      </c>
      <c r="BG458" s="3">
        <f>IFERROR(VLOOKUP(F458,MOD_TBL,11,0),IFERROR(VLOOKUP(E458,OCU_TBL,2,0),NEUTRO))</f>
        <v/>
      </c>
      <c r="BH458" s="3">
        <f>SUMIFS(MOT_AJUSTE,MOT_MOTOR,G458,MOT_MARCA,E458,MOT_DESDE,"&lt;="&amp;M458,MOT_HASTA,"&gt;="&amp;M458)+SUMIFS(MOT_AJUSTE,MOT_MOTOR,G458,MOT_MARCA,"(todas)",MOT_DESDE,"&lt;="&amp;M458,MOT_HASTA,"&gt;="&amp;M458)</f>
        <v/>
      </c>
      <c r="BI458" s="3">
        <f>SUMIFS(COMB_AJUSTE,COMB_COMB,K458)</f>
        <v/>
      </c>
      <c r="BJ458" s="3">
        <f>COUNTIFS(MOT_MOTOR,G458,MOT_MARCA,E458,MOT_DESDE,"&lt;="&amp;M458,MOT_HASTA,"&gt;="&amp;M458)+COUNTIFS(MOT_MOTOR,G458,MOT_MARCA,"(todas)",MOT_DESDE,"&lt;="&amp;M458,MOT_HASTA,"&gt;="&amp;M458)</f>
        <v/>
      </c>
      <c r="BK458" s="3">
        <f>IF(AND(K458="diesel",BJ458=0),MIN(BG458,NEUTRO),BG458)</f>
        <v/>
      </c>
      <c r="BL458" s="4">
        <f>MAX(0,MIN(100,BK458+BH458+BI458))</f>
        <v/>
      </c>
      <c r="BM458" s="3">
        <f>MAX(0,MIN(100,50+BE458*PRECIO_PEND))</f>
        <v/>
      </c>
      <c r="BN458" s="3">
        <f>MAX(0,100*(1-N458/KM_MAX))</f>
        <v/>
      </c>
      <c r="BO458" s="3">
        <f>IF(AV458&lt;KMA_SOSP,IF(AA458="sí",100,KMA_PEN),IF(AV458&lt;=KMA_IDEAL_MAX,100,MAX(0,100*(KMA_CERO-AV458)/(KMA_CERO-KMA_IDEAL_MAX))))</f>
        <v/>
      </c>
      <c r="BP458" s="3">
        <f>MAX(0,MIN(100,100*(M458-ANIO_MIN)/(ANIO_ACTUAL-ANIO_MIN)))</f>
        <v/>
      </c>
      <c r="BQ458" s="3">
        <f>W_KMT*BN458+W_KMA*BO458+W_EDAD*BP458</f>
        <v/>
      </c>
      <c r="BR458" s="3">
        <f>P_ITV*(V458="sí")+P_LIBRO*(W458="sí")+P_CORREA*(X458="sí")+P_PROP*(Y458=1)+P_GAR*(Z458="sí")+P_FOTOS*MIN(1,N(U458)/FOTOS_OBJ)</f>
        <v/>
      </c>
      <c r="BS458" s="3">
        <f>IFERROR(VLOOKUP(BF458,ETQ_TBL,2,0),NEUTRO)</f>
        <v/>
      </c>
      <c r="BT458" s="3">
        <f>NEUTRO</f>
        <v/>
      </c>
      <c r="BU458" s="3">
        <f>IFERROR(VLOOKUP(L458,SEGURO_TBL,3,0),"")</f>
        <v/>
      </c>
      <c r="BV458" s="3">
        <f>IF(BU458="",NEUTRO,MAX(0,MIN(100,100*(SEG_REF_MAX-BU458)/(SEG_REF_MAX-SEG_REF_MIN))))</f>
        <v/>
      </c>
      <c r="BW458" s="3">
        <f>W_ET*BS458+W_CONS*BT458+W_SEG*BV458</f>
        <v/>
      </c>
      <c r="BX458" s="3">
        <f>IF(N(AB458)&gt;0,AB458,IF(AND(R458="profesional",SG_LEGAL_ON=1),GAR_LEGAL,0))</f>
        <v/>
      </c>
      <c r="BY458" s="3">
        <f>SG_GAR*MIN(1,BX458/SG_GAR_FULL)+SG_AMPL*(AC458="sí")+SG_KMC*(AF458="sí")+SG_REV*(N(AE458)&gt;0)+SG_DEV*MIN(1,N(AG458)/SG_DEV_FULL)+SG_HIST*(W458="sí")</f>
        <v/>
      </c>
      <c r="BZ458" s="3">
        <f>IFERROR(VLOOKUP(L458,CARR_PEN_TBL,2,0),0)</f>
        <v/>
      </c>
      <c r="CA458" s="3">
        <f>W_FIAB*BL458+W_PRECIO*BM458+W_KMEDAD*BQ458+W_ANUNCIO*BR458+W_USO*BW458+W_SEGURIDAD*BY458-BZ458</f>
        <v/>
      </c>
      <c r="CB458" s="4">
        <f>IF(N(I458)&gt;0,I458,IFERROR(ROUND(_xlfn.NUMBERVALUE(LEFT(G458,FIND(" ",G458&amp;" ")-1),".")*1000,0),99999))</f>
        <v/>
      </c>
      <c r="CC458" s="3">
        <f>IF(R458="profesional",0,IF(O458&lt;CUOTA_VALOR_MAX,IF(AU458&gt;ITP_TRAMO_ALTO,SUMIFS(CF_CUOTA,CF_MAS,ITP_TRAMO_ALTO,CF_CCMIN,"&lt;="&amp;CB458,CF_CCMAX,"&gt;="&amp;CB458),IF(AU458&gt;ITP_TRAMO_BAJO,SUMIFS(CF_CUOTA,CF_MAS,ITP_TRAMO_BAJO,CF_CCMIN,"&lt;="&amp;CB458,CF_CCMAX,"&gt;="&amp;CB458),O458*ITP_TIPO)),O458*ITP_TIPO))</f>
        <v/>
      </c>
      <c r="CD458" s="4">
        <f>IF(R458="profesional",N(AK458),0)</f>
        <v/>
      </c>
      <c r="CE458" s="3">
        <f>IF(AND(R458="profesional",ISNUMBER(AK458),AL458="sí"),0,TASA_DGT)</f>
        <v/>
      </c>
      <c r="CF458" s="3">
        <f>INFORME_DGT</f>
        <v/>
      </c>
      <c r="CG458" s="4">
        <f>O458+CD458+CC458+CE458+CF458</f>
        <v/>
      </c>
      <c r="CH458" s="4">
        <f>CG458+N(BU458)</f>
        <v/>
      </c>
      <c r="CI458" s="3">
        <f>IF(CG458&lt;=TOTAL_MAX,"sí",IF(CG458&lt;=TOTAL_MAX+MARGEN_NEG,"negociar","no"))</f>
        <v/>
      </c>
      <c r="CJ458" s="4">
        <f>IF(CI458&lt;&gt;"no",COUNTIFS($CI$2:$CI$662,"&lt;&gt;no",$CA$2:$CA$662,"&gt;"&amp;CA458)+COUNTIFS($CI$2:CI458,"&lt;&gt;no",$CA$2:CA458,CA458),"")</f>
        <v/>
      </c>
    </row>
    <row r="459">
      <c r="A459" s="2" t="inlineStr">
        <is>
          <t>cochesnet:71678457</t>
        </is>
      </c>
      <c r="B459" s="2" t="inlineStr">
        <is>
          <t>cochesnet</t>
        </is>
      </c>
      <c r="C459" s="2" t="inlineStr">
        <is>
          <t>https://www.coches.net/peugeot-207-14-16v-xline-5p-gasolina-2006-en-valencia-71678457-covo.aspx</t>
        </is>
      </c>
      <c r="D459" s="2" t="inlineStr">
        <is>
          <t>PEUGEOT 207 1.4 16v XLine</t>
        </is>
      </c>
      <c r="E459" s="2" t="inlineStr">
        <is>
          <t>Peugeot</t>
        </is>
      </c>
      <c r="F459" s="2" t="inlineStr">
        <is>
          <t>Peugeot 207</t>
        </is>
      </c>
      <c r="G459" s="2" t="inlineStr">
        <is>
          <t>1.4</t>
        </is>
      </c>
      <c r="H459" s="2" t="inlineStr">
        <is>
          <t>1.4 16v XLine</t>
        </is>
      </c>
      <c r="I459" s="2" t="n"/>
      <c r="J459" s="2" t="n"/>
      <c r="K459" s="2" t="inlineStr">
        <is>
          <t>gasolina</t>
        </is>
      </c>
      <c r="L459" s="2" t="inlineStr">
        <is>
          <t>utilitario</t>
        </is>
      </c>
      <c r="M459" s="2" t="n">
        <v>2006</v>
      </c>
      <c r="N459" s="2" t="n">
        <v>208000</v>
      </c>
      <c r="O459" s="2" t="n">
        <v>3250</v>
      </c>
      <c r="P459" s="2" t="inlineStr">
        <is>
          <t>manual</t>
        </is>
      </c>
      <c r="Q459" s="2" t="inlineStr">
        <is>
          <t>no</t>
        </is>
      </c>
      <c r="R459" s="2" t="inlineStr">
        <is>
          <t>particular</t>
        </is>
      </c>
      <c r="S459" s="2" t="inlineStr">
        <is>
          <t>Paterna</t>
        </is>
      </c>
      <c r="T459" s="2" t="inlineStr">
        <is>
          <t>2026-10-05T18:02:29Z</t>
        </is>
      </c>
      <c r="U459" s="2" t="n">
        <v>5</v>
      </c>
      <c r="V459" s="2" t="n"/>
      <c r="W459" s="2" t="n"/>
      <c r="X459" s="2" t="n"/>
      <c r="Y459" s="2" t="n"/>
      <c r="Z459" s="2" t="inlineStr">
        <is>
          <t>no</t>
        </is>
      </c>
      <c r="AA459" s="2" t="n"/>
      <c r="AB459" s="2" t="n"/>
      <c r="AC459" s="2" t="n"/>
      <c r="AD459" s="2" t="n"/>
      <c r="AE459" s="2" t="n"/>
      <c r="AF459" s="2" t="n"/>
      <c r="AG459" s="2" t="n"/>
      <c r="AH459" s="2" t="n">
        <v>3250</v>
      </c>
      <c r="AI459" s="2" t="n"/>
      <c r="AJ459" s="2" t="n"/>
      <c r="AK459" s="2" t="n"/>
      <c r="AL459" s="2" t="n"/>
      <c r="AM459" s="2" t="n">
        <v>6.8</v>
      </c>
      <c r="AN459" s="2" t="n">
        <v>2849.5</v>
      </c>
      <c r="AO459" s="2" t="n">
        <v>12</v>
      </c>
      <c r="AP459" s="2" t="inlineStr">
        <is>
          <t>modelo+año</t>
        </is>
      </c>
      <c r="AQ459" s="2" t="n"/>
      <c r="AR459" s="2" t="inlineStr">
        <is>
          <t>cuota fija ITP: &gt;12 años, hasta 1.500 cc; fiabilidad del modelo PENDIENTE de fuente (puntuación neutra)</t>
        </is>
      </c>
      <c r="AS459" s="2" t="inlineStr"/>
      <c r="AT459" s="2" t="inlineStr">
        <is>
          <t>https://www.coches.net/peugeot-207-14-16v-xline-5p-gasolina-2006-en-valencia-71678457-covo.aspx (window.__INITIAL_PROPS__.ad) /home/user/Alopecia/buscador-coches/raw/cochesnet/195ad0b931fcdf32.json</t>
        </is>
      </c>
      <c r="AU459" s="3">
        <f>MAX(ANIO_ACTUAL-M459,0)</f>
        <v/>
      </c>
      <c r="AV459" s="4">
        <f>N459/MAX(AU459,0.5)</f>
        <v/>
      </c>
      <c r="AW459" s="4">
        <f>F459</f>
        <v/>
      </c>
      <c r="AX459" s="3">
        <f>AW459&amp;"|"&amp;INT(M459/SEG_ANIO)*SEG_ANIO</f>
        <v/>
      </c>
      <c r="AY459" s="3">
        <f>AX459&amp;"|"&amp;INT(N459/SEG_KM)*SEG_KM</f>
        <v/>
      </c>
      <c r="AZ459" s="4">
        <f>COUNTIF($AW$2:$AW$662,AW459)</f>
        <v/>
      </c>
      <c r="BA459" s="4">
        <f>COUNTIF($AX$2:$AX$662,AX459)</f>
        <v/>
      </c>
      <c r="BB459" s="4">
        <f>COUNTIF($AY$2:$AY$662,AY459)</f>
        <v/>
      </c>
      <c r="BC459" s="3">
        <f t="array" ref="BC459">IF(N(AO459)&gt;=MIN_N,AN459,IF(BB459&gt;=MIN_N,MEDIAN(IF($AY$2:$AY$662=AY459,$O$2:$O$662)),IF(BA459&gt;=MIN_N,MEDIAN(IF($AX$2:$AX$662=AX459,$O$2:$O$662)),MEDIAN(IF($AW$2:$AW$662=AW459,$O$2:$O$662)))))</f>
        <v/>
      </c>
      <c r="BD459" s="3">
        <f>IF(N(AO459)&gt;=MIN_N,"mercado "&amp;AP459,IF(BB459&gt;=MIN_N,"modelo+año+km",IF(BA459&gt;=MIN_N,"modelo+año","modelo")))</f>
        <v/>
      </c>
      <c r="BE459" s="4">
        <f>(BC459-O459)/BC459</f>
        <v/>
      </c>
      <c r="BF459" s="3">
        <f>IF(OR(K459="hibrido",K459="glp"),"ECO",IF(K459="electrico","CERO",IF(K459="gasolina",IF(M459&gt;=GAS_C,"C",IF(M459&gt;=GAS_B,"B","A")),IF(K459="diesel",IF(M459&gt;=DIE_C,"C",IF(M459&gt;=DIE_B,"B","A")),""))))</f>
        <v/>
      </c>
      <c r="BG459" s="3">
        <f>IFERROR(VLOOKUP(F459,MOD_TBL,11,0),IFERROR(VLOOKUP(E459,OCU_TBL,2,0),NEUTRO))</f>
        <v/>
      </c>
      <c r="BH459" s="3">
        <f>SUMIFS(MOT_AJUSTE,MOT_MOTOR,G459,MOT_MARCA,E459,MOT_DESDE,"&lt;="&amp;M459,MOT_HASTA,"&gt;="&amp;M459)+SUMIFS(MOT_AJUSTE,MOT_MOTOR,G459,MOT_MARCA,"(todas)",MOT_DESDE,"&lt;="&amp;M459,MOT_HASTA,"&gt;="&amp;M459)</f>
        <v/>
      </c>
      <c r="BI459" s="3">
        <f>SUMIFS(COMB_AJUSTE,COMB_COMB,K459)</f>
        <v/>
      </c>
      <c r="BJ459" s="3">
        <f>COUNTIFS(MOT_MOTOR,G459,MOT_MARCA,E459,MOT_DESDE,"&lt;="&amp;M459,MOT_HASTA,"&gt;="&amp;M459)+COUNTIFS(MOT_MOTOR,G459,MOT_MARCA,"(todas)",MOT_DESDE,"&lt;="&amp;M459,MOT_HASTA,"&gt;="&amp;M459)</f>
        <v/>
      </c>
      <c r="BK459" s="3">
        <f>IF(AND(K459="diesel",BJ459=0),MIN(BG459,NEUTRO),BG459)</f>
        <v/>
      </c>
      <c r="BL459" s="4">
        <f>MAX(0,MIN(100,BK459+BH459+BI459))</f>
        <v/>
      </c>
      <c r="BM459" s="3">
        <f>MAX(0,MIN(100,50+BE459*PRECIO_PEND))</f>
        <v/>
      </c>
      <c r="BN459" s="3">
        <f>MAX(0,100*(1-N459/KM_MAX))</f>
        <v/>
      </c>
      <c r="BO459" s="3">
        <f>IF(AV459&lt;KMA_SOSP,IF(AA459="sí",100,KMA_PEN),IF(AV459&lt;=KMA_IDEAL_MAX,100,MAX(0,100*(KMA_CERO-AV459)/(KMA_CERO-KMA_IDEAL_MAX))))</f>
        <v/>
      </c>
      <c r="BP459" s="3">
        <f>MAX(0,MIN(100,100*(M459-ANIO_MIN)/(ANIO_ACTUAL-ANIO_MIN)))</f>
        <v/>
      </c>
      <c r="BQ459" s="3">
        <f>W_KMT*BN459+W_KMA*BO459+W_EDAD*BP459</f>
        <v/>
      </c>
      <c r="BR459" s="3">
        <f>P_ITV*(V459="sí")+P_LIBRO*(W459="sí")+P_CORREA*(X459="sí")+P_PROP*(Y459=1)+P_GAR*(Z459="sí")+P_FOTOS*MIN(1,N(U459)/FOTOS_OBJ)</f>
        <v/>
      </c>
      <c r="BS459" s="3">
        <f>IFERROR(VLOOKUP(BF459,ETQ_TBL,2,0),NEUTRO)</f>
        <v/>
      </c>
      <c r="BT459" s="3">
        <f>NEUTRO</f>
        <v/>
      </c>
      <c r="BU459" s="3">
        <f>IFERROR(VLOOKUP(L459,SEGURO_TBL,3,0),"")</f>
        <v/>
      </c>
      <c r="BV459" s="3">
        <f>IF(BU459="",NEUTRO,MAX(0,MIN(100,100*(SEG_REF_MAX-BU459)/(SEG_REF_MAX-SEG_REF_MIN))))</f>
        <v/>
      </c>
      <c r="BW459" s="3">
        <f>W_ET*BS459+W_CONS*BT459+W_SEG*BV459</f>
        <v/>
      </c>
      <c r="BX459" s="3">
        <f>IF(N(AB459)&gt;0,AB459,IF(AND(R459="profesional",SG_LEGAL_ON=1),GAR_LEGAL,0))</f>
        <v/>
      </c>
      <c r="BY459" s="3">
        <f>SG_GAR*MIN(1,BX459/SG_GAR_FULL)+SG_AMPL*(AC459="sí")+SG_KMC*(AF459="sí")+SG_REV*(N(AE459)&gt;0)+SG_DEV*MIN(1,N(AG459)/SG_DEV_FULL)+SG_HIST*(W459="sí")</f>
        <v/>
      </c>
      <c r="BZ459" s="3">
        <f>IFERROR(VLOOKUP(L459,CARR_PEN_TBL,2,0),0)</f>
        <v/>
      </c>
      <c r="CA459" s="3">
        <f>W_FIAB*BL459+W_PRECIO*BM459+W_KMEDAD*BQ459+W_ANUNCIO*BR459+W_USO*BW459+W_SEGURIDAD*BY459-BZ459</f>
        <v/>
      </c>
      <c r="CB459" s="4">
        <f>IF(N(I459)&gt;0,I459,IFERROR(ROUND(_xlfn.NUMBERVALUE(LEFT(G459,FIND(" ",G459&amp;" ")-1),".")*1000,0),99999))</f>
        <v/>
      </c>
      <c r="CC459" s="3">
        <f>IF(R459="profesional",0,IF(O459&lt;CUOTA_VALOR_MAX,IF(AU459&gt;ITP_TRAMO_ALTO,SUMIFS(CF_CUOTA,CF_MAS,ITP_TRAMO_ALTO,CF_CCMIN,"&lt;="&amp;CB459,CF_CCMAX,"&gt;="&amp;CB459),IF(AU459&gt;ITP_TRAMO_BAJO,SUMIFS(CF_CUOTA,CF_MAS,ITP_TRAMO_BAJO,CF_CCMIN,"&lt;="&amp;CB459,CF_CCMAX,"&gt;="&amp;CB459),O459*ITP_TIPO)),O459*ITP_TIPO))</f>
        <v/>
      </c>
      <c r="CD459" s="4">
        <f>IF(R459="profesional",N(AK459),0)</f>
        <v/>
      </c>
      <c r="CE459" s="3">
        <f>IF(AND(R459="profesional",ISNUMBER(AK459),AL459="sí"),0,TASA_DGT)</f>
        <v/>
      </c>
      <c r="CF459" s="3">
        <f>INFORME_DGT</f>
        <v/>
      </c>
      <c r="CG459" s="4">
        <f>O459+CD459+CC459+CE459+CF459</f>
        <v/>
      </c>
      <c r="CH459" s="4">
        <f>CG459+N(BU459)</f>
        <v/>
      </c>
      <c r="CI459" s="3">
        <f>IF(CG459&lt;=TOTAL_MAX,"sí",IF(CG459&lt;=TOTAL_MAX+MARGEN_NEG,"negociar","no"))</f>
        <v/>
      </c>
      <c r="CJ459" s="4">
        <f>IF(CI459&lt;&gt;"no",COUNTIFS($CI$2:$CI$662,"&lt;&gt;no",$CA$2:$CA$662,"&gt;"&amp;CA459)+COUNTIFS($CI$2:CI459,"&lt;&gt;no",$CA$2:CA459,CA459),"")</f>
        <v/>
      </c>
    </row>
    <row r="460">
      <c r="A460" s="2" t="inlineStr">
        <is>
          <t>cochesnet:71614561</t>
        </is>
      </c>
      <c r="B460" s="2" t="inlineStr">
        <is>
          <t>cochesnet</t>
        </is>
      </c>
      <c r="C460" s="2" t="inlineStr">
        <is>
          <t>https://www.coches.net/peugeot-207-sw-confort-16-hdi-90-5p-diesel-2009-en-valencia-71614561-covo.aspx</t>
        </is>
      </c>
      <c r="D460" s="2" t="inlineStr">
        <is>
          <t>PEUGEOT 207 SW Confort 1.6 HDI 90</t>
        </is>
      </c>
      <c r="E460" s="2" t="inlineStr">
        <is>
          <t>Peugeot</t>
        </is>
      </c>
      <c r="F460" s="2" t="inlineStr">
        <is>
          <t>Peugeot 207</t>
        </is>
      </c>
      <c r="G460" s="2" t="inlineStr">
        <is>
          <t>1.6 HDi</t>
        </is>
      </c>
      <c r="H460" s="2" t="inlineStr">
        <is>
          <t>SW Confort 1.6 HDI 90</t>
        </is>
      </c>
      <c r="I460" s="2" t="n"/>
      <c r="J460" s="2" t="n"/>
      <c r="K460" s="2" t="inlineStr">
        <is>
          <t>diesel</t>
        </is>
      </c>
      <c r="L460" s="2" t="inlineStr">
        <is>
          <t>familiar</t>
        </is>
      </c>
      <c r="M460" s="2" t="n">
        <v>2010</v>
      </c>
      <c r="N460" s="2" t="n">
        <v>170000</v>
      </c>
      <c r="O460" s="2" t="n">
        <v>4990</v>
      </c>
      <c r="P460" s="2" t="inlineStr">
        <is>
          <t>manual</t>
        </is>
      </c>
      <c r="Q460" s="2" t="inlineStr">
        <is>
          <t>no</t>
        </is>
      </c>
      <c r="R460" s="2" t="inlineStr">
        <is>
          <t>profesional</t>
        </is>
      </c>
      <c r="S460" s="2" t="inlineStr">
        <is>
          <t>Valencia</t>
        </is>
      </c>
      <c r="T460" s="2" t="inlineStr">
        <is>
          <t>2026-09-28T13:19:11Z</t>
        </is>
      </c>
      <c r="U460" s="2" t="n">
        <v>15</v>
      </c>
      <c r="V460" s="2" t="n"/>
      <c r="W460" s="2" t="n"/>
      <c r="X460" s="2" t="n"/>
      <c r="Y460" s="2" t="n"/>
      <c r="Z460" s="2" t="inlineStr">
        <is>
          <t>sí</t>
        </is>
      </c>
      <c r="AA460" s="2" t="n"/>
      <c r="AB460" s="2" t="n">
        <v>12</v>
      </c>
      <c r="AC460" s="2" t="n"/>
      <c r="AD460" s="2" t="n"/>
      <c r="AE460" s="2" t="n"/>
      <c r="AF460" s="2" t="n"/>
      <c r="AG460" s="2" t="n"/>
      <c r="AH460" s="2" t="n">
        <v>4990</v>
      </c>
      <c r="AI460" s="2" t="n">
        <v>4800</v>
      </c>
      <c r="AJ460" s="2" t="n"/>
      <c r="AK460" s="2" t="n"/>
      <c r="AL460" s="2" t="n"/>
      <c r="AM460" s="2" t="n">
        <v>0.1</v>
      </c>
      <c r="AN460" s="2" t="n">
        <v>4990</v>
      </c>
      <c r="AO460" s="2" t="n">
        <v>5</v>
      </c>
      <c r="AP460" s="2" t="inlineStr">
        <is>
          <t>modelo+año+km</t>
        </is>
      </c>
      <c r="AQ460" s="2" t="n"/>
      <c r="AR460" s="2" t="inlineStr">
        <is>
          <t>por encima del presupuesto (5054 €), negociar; vendedor profesional: sin ITP (operación con IVA/REBU, confirmar en factura); gastos de gestión del vendedor no indicados: se suma la tasa DGT; preguntar el precio final; carrocería familiar: -3 puntos; fiabilidad del modelo PENDIENTE de fuente (puntuación neutra)</t>
        </is>
      </c>
      <c r="AS460" s="2" t="inlineStr">
        <is>
          <t xml:space="preserve">En venta Peugeot 207 sw. HDI.   Manual ..pantalla central. .. control velocidad.  Volate de piel....llantas ...vehículo financiable 100% .... Entrega inmediata </t>
        </is>
      </c>
      <c r="AT460" s="2" t="inlineStr">
        <is>
          <t>https://www.coches.net/peugeot-207-sw-confort-16-hdi-90-5p-diesel-2009-en-valencia-71614561-covo.aspx (window.__INITIAL_PROPS__.ad) /home/user/Alopecia/buscador-coches/raw/cochesnet/910242edc63cf3a8.json</t>
        </is>
      </c>
      <c r="AU460" s="3">
        <f>MAX(ANIO_ACTUAL-M460,0)</f>
        <v/>
      </c>
      <c r="AV460" s="4">
        <f>N460/MAX(AU460,0.5)</f>
        <v/>
      </c>
      <c r="AW460" s="4">
        <f>F460</f>
        <v/>
      </c>
      <c r="AX460" s="3">
        <f>AW460&amp;"|"&amp;INT(M460/SEG_ANIO)*SEG_ANIO</f>
        <v/>
      </c>
      <c r="AY460" s="3">
        <f>AX460&amp;"|"&amp;INT(N460/SEG_KM)*SEG_KM</f>
        <v/>
      </c>
      <c r="AZ460" s="4">
        <f>COUNTIF($AW$2:$AW$662,AW460)</f>
        <v/>
      </c>
      <c r="BA460" s="4">
        <f>COUNTIF($AX$2:$AX$662,AX460)</f>
        <v/>
      </c>
      <c r="BB460" s="4">
        <f>COUNTIF($AY$2:$AY$662,AY460)</f>
        <v/>
      </c>
      <c r="BC460" s="3">
        <f t="array" ref="BC460">IF(N(AO460)&gt;=MIN_N,AN460,IF(BB460&gt;=MIN_N,MEDIAN(IF($AY$2:$AY$662=AY460,$O$2:$O$662)),IF(BA460&gt;=MIN_N,MEDIAN(IF($AX$2:$AX$662=AX460,$O$2:$O$662)),MEDIAN(IF($AW$2:$AW$662=AW460,$O$2:$O$662)))))</f>
        <v/>
      </c>
      <c r="BD460" s="3">
        <f>IF(N(AO460)&gt;=MIN_N,"mercado "&amp;AP460,IF(BB460&gt;=MIN_N,"modelo+año+km",IF(BA460&gt;=MIN_N,"modelo+año","modelo")))</f>
        <v/>
      </c>
      <c r="BE460" s="4">
        <f>(BC460-O460)/BC460</f>
        <v/>
      </c>
      <c r="BF460" s="3">
        <f>IF(OR(K460="hibrido",K460="glp"),"ECO",IF(K460="electrico","CERO",IF(K460="gasolina",IF(M460&gt;=GAS_C,"C",IF(M460&gt;=GAS_B,"B","A")),IF(K460="diesel",IF(M460&gt;=DIE_C,"C",IF(M460&gt;=DIE_B,"B","A")),""))))</f>
        <v/>
      </c>
      <c r="BG460" s="3">
        <f>IFERROR(VLOOKUP(F460,MOD_TBL,11,0),IFERROR(VLOOKUP(E460,OCU_TBL,2,0),NEUTRO))</f>
        <v/>
      </c>
      <c r="BH460" s="3">
        <f>SUMIFS(MOT_AJUSTE,MOT_MOTOR,G460,MOT_MARCA,E460,MOT_DESDE,"&lt;="&amp;M460,MOT_HASTA,"&gt;="&amp;M460)+SUMIFS(MOT_AJUSTE,MOT_MOTOR,G460,MOT_MARCA,"(todas)",MOT_DESDE,"&lt;="&amp;M460,MOT_HASTA,"&gt;="&amp;M460)</f>
        <v/>
      </c>
      <c r="BI460" s="3">
        <f>SUMIFS(COMB_AJUSTE,COMB_COMB,K460)</f>
        <v/>
      </c>
      <c r="BJ460" s="3">
        <f>COUNTIFS(MOT_MOTOR,G460,MOT_MARCA,E460,MOT_DESDE,"&lt;="&amp;M460,MOT_HASTA,"&gt;="&amp;M460)+COUNTIFS(MOT_MOTOR,G460,MOT_MARCA,"(todas)",MOT_DESDE,"&lt;="&amp;M460,MOT_HASTA,"&gt;="&amp;M460)</f>
        <v/>
      </c>
      <c r="BK460" s="3">
        <f>IF(AND(K460="diesel",BJ460=0),MIN(BG460,NEUTRO),BG460)</f>
        <v/>
      </c>
      <c r="BL460" s="4">
        <f>MAX(0,MIN(100,BK460+BH460+BI460))</f>
        <v/>
      </c>
      <c r="BM460" s="3">
        <f>MAX(0,MIN(100,50+BE460*PRECIO_PEND))</f>
        <v/>
      </c>
      <c r="BN460" s="3">
        <f>MAX(0,100*(1-N460/KM_MAX))</f>
        <v/>
      </c>
      <c r="BO460" s="3">
        <f>IF(AV460&lt;KMA_SOSP,IF(AA460="sí",100,KMA_PEN),IF(AV460&lt;=KMA_IDEAL_MAX,100,MAX(0,100*(KMA_CERO-AV460)/(KMA_CERO-KMA_IDEAL_MAX))))</f>
        <v/>
      </c>
      <c r="BP460" s="3">
        <f>MAX(0,MIN(100,100*(M460-ANIO_MIN)/(ANIO_ACTUAL-ANIO_MIN)))</f>
        <v/>
      </c>
      <c r="BQ460" s="3">
        <f>W_KMT*BN460+W_KMA*BO460+W_EDAD*BP460</f>
        <v/>
      </c>
      <c r="BR460" s="3">
        <f>P_ITV*(V460="sí")+P_LIBRO*(W460="sí")+P_CORREA*(X460="sí")+P_PROP*(Y460=1)+P_GAR*(Z460="sí")+P_FOTOS*MIN(1,N(U460)/FOTOS_OBJ)</f>
        <v/>
      </c>
      <c r="BS460" s="3">
        <f>IFERROR(VLOOKUP(BF460,ETQ_TBL,2,0),NEUTRO)</f>
        <v/>
      </c>
      <c r="BT460" s="3">
        <f>NEUTRO</f>
        <v/>
      </c>
      <c r="BU460" s="3">
        <f>IFERROR(VLOOKUP(L460,SEGURO_TBL,3,0),"")</f>
        <v/>
      </c>
      <c r="BV460" s="3">
        <f>IF(BU460="",NEUTRO,MAX(0,MIN(100,100*(SEG_REF_MAX-BU460)/(SEG_REF_MAX-SEG_REF_MIN))))</f>
        <v/>
      </c>
      <c r="BW460" s="3">
        <f>W_ET*BS460+W_CONS*BT460+W_SEG*BV460</f>
        <v/>
      </c>
      <c r="BX460" s="3">
        <f>IF(N(AB460)&gt;0,AB460,IF(AND(R460="profesional",SG_LEGAL_ON=1),GAR_LEGAL,0))</f>
        <v/>
      </c>
      <c r="BY460" s="3">
        <f>SG_GAR*MIN(1,BX460/SG_GAR_FULL)+SG_AMPL*(AC460="sí")+SG_KMC*(AF460="sí")+SG_REV*(N(AE460)&gt;0)+SG_DEV*MIN(1,N(AG460)/SG_DEV_FULL)+SG_HIST*(W460="sí")</f>
        <v/>
      </c>
      <c r="BZ460" s="3">
        <f>IFERROR(VLOOKUP(L460,CARR_PEN_TBL,2,0),0)</f>
        <v/>
      </c>
      <c r="CA460" s="3">
        <f>W_FIAB*BL460+W_PRECIO*BM460+W_KMEDAD*BQ460+W_ANUNCIO*BR460+W_USO*BW460+W_SEGURIDAD*BY460-BZ460</f>
        <v/>
      </c>
      <c r="CB460" s="4">
        <f>IF(N(I460)&gt;0,I460,IFERROR(ROUND(_xlfn.NUMBERVALUE(LEFT(G460,FIND(" ",G460&amp;" ")-1),".")*1000,0),99999))</f>
        <v/>
      </c>
      <c r="CC460" s="3">
        <f>IF(R460="profesional",0,IF(O460&lt;CUOTA_VALOR_MAX,IF(AU460&gt;ITP_TRAMO_ALTO,SUMIFS(CF_CUOTA,CF_MAS,ITP_TRAMO_ALTO,CF_CCMIN,"&lt;="&amp;CB460,CF_CCMAX,"&gt;="&amp;CB460),IF(AU460&gt;ITP_TRAMO_BAJO,SUMIFS(CF_CUOTA,CF_MAS,ITP_TRAMO_BAJO,CF_CCMIN,"&lt;="&amp;CB460,CF_CCMAX,"&gt;="&amp;CB460),O460*ITP_TIPO)),O460*ITP_TIPO))</f>
        <v/>
      </c>
      <c r="CD460" s="4">
        <f>IF(R460="profesional",N(AK460),0)</f>
        <v/>
      </c>
      <c r="CE460" s="3">
        <f>IF(AND(R460="profesional",ISNUMBER(AK460),AL460="sí"),0,TASA_DGT)</f>
        <v/>
      </c>
      <c r="CF460" s="3">
        <f>INFORME_DGT</f>
        <v/>
      </c>
      <c r="CG460" s="4">
        <f>O460+CD460+CC460+CE460+CF460</f>
        <v/>
      </c>
      <c r="CH460" s="4">
        <f>CG460+N(BU460)</f>
        <v/>
      </c>
      <c r="CI460" s="3">
        <f>IF(CG460&lt;=TOTAL_MAX,"sí",IF(CG460&lt;=TOTAL_MAX+MARGEN_NEG,"negociar","no"))</f>
        <v/>
      </c>
      <c r="CJ460" s="4">
        <f>IF(CI460&lt;&gt;"no",COUNTIFS($CI$2:$CI$662,"&lt;&gt;no",$CA$2:$CA$662,"&gt;"&amp;CA460)+COUNTIFS($CI$2:CI460,"&lt;&gt;no",$CA$2:CA460,CA460),"")</f>
        <v/>
      </c>
    </row>
    <row r="461">
      <c r="A461" s="2" t="inlineStr">
        <is>
          <t>cochesnet:71786783</t>
        </is>
      </c>
      <c r="B461" s="2" t="inlineStr">
        <is>
          <t>cochesnet</t>
        </is>
      </c>
      <c r="C461" s="2" t="inlineStr">
        <is>
          <t>https://www.coches.net/peugeot-207-14-75-urban-3p-gasolina-2007-en-valencia-71786783-covo.aspx</t>
        </is>
      </c>
      <c r="D461" s="2" t="inlineStr">
        <is>
          <t>PEUGEOT 207 1.4 75 Urban</t>
        </is>
      </c>
      <c r="E461" s="2" t="inlineStr">
        <is>
          <t>Peugeot</t>
        </is>
      </c>
      <c r="F461" s="2" t="inlineStr">
        <is>
          <t>Peugeot 207</t>
        </is>
      </c>
      <c r="G461" s="2" t="inlineStr">
        <is>
          <t>1.4</t>
        </is>
      </c>
      <c r="H461" s="2" t="inlineStr">
        <is>
          <t>1.4 75 Urban</t>
        </is>
      </c>
      <c r="I461" s="2" t="n"/>
      <c r="J461" s="2" t="n"/>
      <c r="K461" s="2" t="inlineStr">
        <is>
          <t>gasolina</t>
        </is>
      </c>
      <c r="L461" s="2" t="inlineStr">
        <is>
          <t>utilitario</t>
        </is>
      </c>
      <c r="M461" s="2" t="n">
        <v>2007</v>
      </c>
      <c r="N461" s="2" t="n">
        <v>131000</v>
      </c>
      <c r="O461" s="2" t="n">
        <v>3500</v>
      </c>
      <c r="P461" s="2" t="inlineStr">
        <is>
          <t>manual</t>
        </is>
      </c>
      <c r="Q461" s="2" t="inlineStr">
        <is>
          <t>no</t>
        </is>
      </c>
      <c r="R461" s="2" t="inlineStr">
        <is>
          <t>particular</t>
        </is>
      </c>
      <c r="S461" s="2" t="inlineStr">
        <is>
          <t>Alboraya</t>
        </is>
      </c>
      <c r="T461" s="2" t="inlineStr">
        <is>
          <t>2026-10-20T05:26:03Z</t>
        </is>
      </c>
      <c r="U461" s="2" t="n"/>
      <c r="V461" s="2" t="n"/>
      <c r="W461" s="2" t="inlineStr">
        <is>
          <t>sí</t>
        </is>
      </c>
      <c r="X461" s="2" t="n"/>
      <c r="Y461" s="2" t="n"/>
      <c r="Z461" s="2" t="inlineStr">
        <is>
          <t>no</t>
        </is>
      </c>
      <c r="AA461" s="2" t="n"/>
      <c r="AB461" s="2" t="n"/>
      <c r="AC461" s="2" t="n"/>
      <c r="AD461" s="2" t="n"/>
      <c r="AE461" s="2" t="n"/>
      <c r="AF461" s="2" t="n"/>
      <c r="AG461" s="2" t="n"/>
      <c r="AH461" s="2" t="n">
        <v>3500</v>
      </c>
      <c r="AI461" s="2" t="n"/>
      <c r="AJ461" s="2" t="n"/>
      <c r="AK461" s="2" t="n"/>
      <c r="AL461" s="2" t="n"/>
      <c r="AM461" s="2" t="n">
        <v>4</v>
      </c>
      <c r="AN461" s="2" t="n">
        <v>3550</v>
      </c>
      <c r="AO461" s="2" t="n">
        <v>30</v>
      </c>
      <c r="AP461" s="2" t="inlineStr">
        <is>
          <t>modelo+año+km</t>
        </is>
      </c>
      <c r="AQ461" s="2" t="n"/>
      <c r="AR461" s="2" t="inlineStr">
        <is>
          <t>cuota fija ITP: &gt;12 años, hasta 1.500 cc; fiabilidad del modelo PENDIENTE de fuente (puntuación neutra)</t>
        </is>
      </c>
      <c r="AS461" s="2" t="inlineStr">
        <is>
          <t>Si buscas un coche funcional y asequible para moverte por la ciudad o para trayectos diarios, aquí tienes una opción práctica. Este Peugeot 207 es un berlina compacta de tres puertas y cinco plazas, perfecta para quienes necesitan versatilidad sin complicaciones.
El motor de 1.4 litros ofrece una potencia de 75 CV, suficiente para un uso urbano eficiente. Su cambio manual te permite un control directo de la conducción, mientras que su consumo moderado ayuda a mantener los gastos de combustible bajo control. Es un vehículo pensado para ser práctico y económico en el día a día.
Aunque el coche presenta signos de uso en su exterior e interior, sigue siendo completamente funcional para quien busque un transporte fiable sin pretensiones. Su carrocería roja mantiene carácter, y a pesar de los años recorridos, puede seguir siendo una buena solución para desplazamientos cotidianos.
Por el precio que se ofrece, representa una opción accesible para quienes necesitan un vehículo de segunda mano sin grandes inversiones. Es ideal para conductores que valoren la practicidad sobre todo lo demás, o para quienes buscan un primer coche a un coste muy contenido.
Si tienes dudas específicas sobre el estado mecánico, el historial de mantenimiento o cualquier otro aspecto que no aparezca en la ficha del portal, no dudes en contactarme a través del chat. Estaré encantado de resolver tus preguntas.
Contacta hoy mismo y comprueba por ti mismo si este Peugeot se ajusta a lo que buscas.</t>
        </is>
      </c>
      <c r="AT461" s="2" t="inlineStr">
        <is>
          <t>https://www.coches.net/peugeot-207-14-75-urban-3p-gasolina-2007-en-valencia-71786783-covo.aspx (window.__INITIAL_PROPS__.ad) /home/user/Alopecia/buscador-coches/raw/cochesnet/a5ff4a328a63eb2b.json</t>
        </is>
      </c>
      <c r="AU461" s="3">
        <f>MAX(ANIO_ACTUAL-M461,0)</f>
        <v/>
      </c>
      <c r="AV461" s="4">
        <f>N461/MAX(AU461,0.5)</f>
        <v/>
      </c>
      <c r="AW461" s="4">
        <f>F461</f>
        <v/>
      </c>
      <c r="AX461" s="3">
        <f>AW461&amp;"|"&amp;INT(M461/SEG_ANIO)*SEG_ANIO</f>
        <v/>
      </c>
      <c r="AY461" s="3">
        <f>AX461&amp;"|"&amp;INT(N461/SEG_KM)*SEG_KM</f>
        <v/>
      </c>
      <c r="AZ461" s="4">
        <f>COUNTIF($AW$2:$AW$662,AW461)</f>
        <v/>
      </c>
      <c r="BA461" s="4">
        <f>COUNTIF($AX$2:$AX$662,AX461)</f>
        <v/>
      </c>
      <c r="BB461" s="4">
        <f>COUNTIF($AY$2:$AY$662,AY461)</f>
        <v/>
      </c>
      <c r="BC461" s="3">
        <f t="array" ref="BC461">IF(N(AO461)&gt;=MIN_N,AN461,IF(BB461&gt;=MIN_N,MEDIAN(IF($AY$2:$AY$662=AY461,$O$2:$O$662)),IF(BA461&gt;=MIN_N,MEDIAN(IF($AX$2:$AX$662=AX461,$O$2:$O$662)),MEDIAN(IF($AW$2:$AW$662=AW461,$O$2:$O$662)))))</f>
        <v/>
      </c>
      <c r="BD461" s="3">
        <f>IF(N(AO461)&gt;=MIN_N,"mercado "&amp;AP461,IF(BB461&gt;=MIN_N,"modelo+año+km",IF(BA461&gt;=MIN_N,"modelo+año","modelo")))</f>
        <v/>
      </c>
      <c r="BE461" s="4">
        <f>(BC461-O461)/BC461</f>
        <v/>
      </c>
      <c r="BF461" s="3">
        <f>IF(OR(K461="hibrido",K461="glp"),"ECO",IF(K461="electrico","CERO",IF(K461="gasolina",IF(M461&gt;=GAS_C,"C",IF(M461&gt;=GAS_B,"B","A")),IF(K461="diesel",IF(M461&gt;=DIE_C,"C",IF(M461&gt;=DIE_B,"B","A")),""))))</f>
        <v/>
      </c>
      <c r="BG461" s="3">
        <f>IFERROR(VLOOKUP(F461,MOD_TBL,11,0),IFERROR(VLOOKUP(E461,OCU_TBL,2,0),NEUTRO))</f>
        <v/>
      </c>
      <c r="BH461" s="3">
        <f>SUMIFS(MOT_AJUSTE,MOT_MOTOR,G461,MOT_MARCA,E461,MOT_DESDE,"&lt;="&amp;M461,MOT_HASTA,"&gt;="&amp;M461)+SUMIFS(MOT_AJUSTE,MOT_MOTOR,G461,MOT_MARCA,"(todas)",MOT_DESDE,"&lt;="&amp;M461,MOT_HASTA,"&gt;="&amp;M461)</f>
        <v/>
      </c>
      <c r="BI461" s="3">
        <f>SUMIFS(COMB_AJUSTE,COMB_COMB,K461)</f>
        <v/>
      </c>
      <c r="BJ461" s="3">
        <f>COUNTIFS(MOT_MOTOR,G461,MOT_MARCA,E461,MOT_DESDE,"&lt;="&amp;M461,MOT_HASTA,"&gt;="&amp;M461)+COUNTIFS(MOT_MOTOR,G461,MOT_MARCA,"(todas)",MOT_DESDE,"&lt;="&amp;M461,MOT_HASTA,"&gt;="&amp;M461)</f>
        <v/>
      </c>
      <c r="BK461" s="3">
        <f>IF(AND(K461="diesel",BJ461=0),MIN(BG461,NEUTRO),BG461)</f>
        <v/>
      </c>
      <c r="BL461" s="4">
        <f>MAX(0,MIN(100,BK461+BH461+BI461))</f>
        <v/>
      </c>
      <c r="BM461" s="3">
        <f>MAX(0,MIN(100,50+BE461*PRECIO_PEND))</f>
        <v/>
      </c>
      <c r="BN461" s="3">
        <f>MAX(0,100*(1-N461/KM_MAX))</f>
        <v/>
      </c>
      <c r="BO461" s="3">
        <f>IF(AV461&lt;KMA_SOSP,IF(AA461="sí",100,KMA_PEN),IF(AV461&lt;=KMA_IDEAL_MAX,100,MAX(0,100*(KMA_CERO-AV461)/(KMA_CERO-KMA_IDEAL_MAX))))</f>
        <v/>
      </c>
      <c r="BP461" s="3">
        <f>MAX(0,MIN(100,100*(M461-ANIO_MIN)/(ANIO_ACTUAL-ANIO_MIN)))</f>
        <v/>
      </c>
      <c r="BQ461" s="3">
        <f>W_KMT*BN461+W_KMA*BO461+W_EDAD*BP461</f>
        <v/>
      </c>
      <c r="BR461" s="3">
        <f>P_ITV*(V461="sí")+P_LIBRO*(W461="sí")+P_CORREA*(X461="sí")+P_PROP*(Y461=1)+P_GAR*(Z461="sí")+P_FOTOS*MIN(1,N(U461)/FOTOS_OBJ)</f>
        <v/>
      </c>
      <c r="BS461" s="3">
        <f>IFERROR(VLOOKUP(BF461,ETQ_TBL,2,0),NEUTRO)</f>
        <v/>
      </c>
      <c r="BT461" s="3">
        <f>NEUTRO</f>
        <v/>
      </c>
      <c r="BU461" s="3">
        <f>IFERROR(VLOOKUP(L461,SEGURO_TBL,3,0),"")</f>
        <v/>
      </c>
      <c r="BV461" s="3">
        <f>IF(BU461="",NEUTRO,MAX(0,MIN(100,100*(SEG_REF_MAX-BU461)/(SEG_REF_MAX-SEG_REF_MIN))))</f>
        <v/>
      </c>
      <c r="BW461" s="3">
        <f>W_ET*BS461+W_CONS*BT461+W_SEG*BV461</f>
        <v/>
      </c>
      <c r="BX461" s="3">
        <f>IF(N(AB461)&gt;0,AB461,IF(AND(R461="profesional",SG_LEGAL_ON=1),GAR_LEGAL,0))</f>
        <v/>
      </c>
      <c r="BY461" s="3">
        <f>SG_GAR*MIN(1,BX461/SG_GAR_FULL)+SG_AMPL*(AC461="sí")+SG_KMC*(AF461="sí")+SG_REV*(N(AE461)&gt;0)+SG_DEV*MIN(1,N(AG461)/SG_DEV_FULL)+SG_HIST*(W461="sí")</f>
        <v/>
      </c>
      <c r="BZ461" s="3">
        <f>IFERROR(VLOOKUP(L461,CARR_PEN_TBL,2,0),0)</f>
        <v/>
      </c>
      <c r="CA461" s="3">
        <f>W_FIAB*BL461+W_PRECIO*BM461+W_KMEDAD*BQ461+W_ANUNCIO*BR461+W_USO*BW461+W_SEGURIDAD*BY461-BZ461</f>
        <v/>
      </c>
      <c r="CB461" s="4">
        <f>IF(N(I461)&gt;0,I461,IFERROR(ROUND(_xlfn.NUMBERVALUE(LEFT(G461,FIND(" ",G461&amp;" ")-1),".")*1000,0),99999))</f>
        <v/>
      </c>
      <c r="CC461" s="3">
        <f>IF(R461="profesional",0,IF(O461&lt;CUOTA_VALOR_MAX,IF(AU461&gt;ITP_TRAMO_ALTO,SUMIFS(CF_CUOTA,CF_MAS,ITP_TRAMO_ALTO,CF_CCMIN,"&lt;="&amp;CB461,CF_CCMAX,"&gt;="&amp;CB461),IF(AU461&gt;ITP_TRAMO_BAJO,SUMIFS(CF_CUOTA,CF_MAS,ITP_TRAMO_BAJO,CF_CCMIN,"&lt;="&amp;CB461,CF_CCMAX,"&gt;="&amp;CB461),O461*ITP_TIPO)),O461*ITP_TIPO))</f>
        <v/>
      </c>
      <c r="CD461" s="4">
        <f>IF(R461="profesional",N(AK461),0)</f>
        <v/>
      </c>
      <c r="CE461" s="3">
        <f>IF(AND(R461="profesional",ISNUMBER(AK461),AL461="sí"),0,TASA_DGT)</f>
        <v/>
      </c>
      <c r="CF461" s="3">
        <f>INFORME_DGT</f>
        <v/>
      </c>
      <c r="CG461" s="4">
        <f>O461+CD461+CC461+CE461+CF461</f>
        <v/>
      </c>
      <c r="CH461" s="4">
        <f>CG461+N(BU461)</f>
        <v/>
      </c>
      <c r="CI461" s="3">
        <f>IF(CG461&lt;=TOTAL_MAX,"sí",IF(CG461&lt;=TOTAL_MAX+MARGEN_NEG,"negociar","no"))</f>
        <v/>
      </c>
      <c r="CJ461" s="4">
        <f>IF(CI461&lt;&gt;"no",COUNTIFS($CI$2:$CI$662,"&lt;&gt;no",$CA$2:$CA$662,"&gt;"&amp;CA461)+COUNTIFS($CI$2:CI461,"&lt;&gt;no",$CA$2:CA461,CA461),"")</f>
        <v/>
      </c>
    </row>
    <row r="462">
      <c r="A462" s="2" t="inlineStr">
        <is>
          <t>cochesnet:71554460</t>
        </is>
      </c>
      <c r="B462" s="2" t="inlineStr">
        <is>
          <t>cochesnet</t>
        </is>
      </c>
      <c r="C462" s="2" t="inlineStr">
        <is>
          <t>https://www.coches.net/peugeot-207-16-hdi-xs-pack-3p-diesel-2007-en-valencia-71554460-covo.aspx</t>
        </is>
      </c>
      <c r="D462" s="2" t="inlineStr">
        <is>
          <t>PEUGEOT 207 1.6 HDI XS Pack</t>
        </is>
      </c>
      <c r="E462" s="2" t="inlineStr">
        <is>
          <t>Peugeot</t>
        </is>
      </c>
      <c r="F462" s="2" t="inlineStr">
        <is>
          <t>Peugeot 207</t>
        </is>
      </c>
      <c r="G462" s="2" t="inlineStr">
        <is>
          <t>1.6 HDi</t>
        </is>
      </c>
      <c r="H462" s="2" t="inlineStr">
        <is>
          <t>1.6 HDI XS Pack</t>
        </is>
      </c>
      <c r="I462" s="2" t="n"/>
      <c r="J462" s="2" t="n"/>
      <c r="K462" s="2" t="inlineStr">
        <is>
          <t>diesel</t>
        </is>
      </c>
      <c r="L462" s="2" t="inlineStr">
        <is>
          <t>utilitario</t>
        </is>
      </c>
      <c r="M462" s="2" t="n">
        <v>2007</v>
      </c>
      <c r="N462" s="2" t="n">
        <v>159891</v>
      </c>
      <c r="O462" s="2" t="n">
        <v>3600</v>
      </c>
      <c r="P462" s="2" t="inlineStr">
        <is>
          <t>manual</t>
        </is>
      </c>
      <c r="Q462" s="2" t="inlineStr">
        <is>
          <t>no</t>
        </is>
      </c>
      <c r="R462" s="2" t="inlineStr">
        <is>
          <t>particular</t>
        </is>
      </c>
      <c r="S462" s="2" t="inlineStr">
        <is>
          <t>Villar del Arzobispo</t>
        </is>
      </c>
      <c r="T462" s="2" t="inlineStr">
        <is>
          <t>2026-09-20T15:38:34Z</t>
        </is>
      </c>
      <c r="U462" s="2" t="n">
        <v>9</v>
      </c>
      <c r="V462" s="2" t="n"/>
      <c r="W462" s="2" t="n"/>
      <c r="X462" s="2" t="n"/>
      <c r="Y462" s="2" t="n"/>
      <c r="Z462" s="2" t="inlineStr">
        <is>
          <t>no</t>
        </is>
      </c>
      <c r="AA462" s="2" t="n"/>
      <c r="AB462" s="2" t="n"/>
      <c r="AC462" s="2" t="n"/>
      <c r="AD462" s="2" t="n"/>
      <c r="AE462" s="2" t="n"/>
      <c r="AF462" s="2" t="n"/>
      <c r="AG462" s="2" t="n"/>
      <c r="AH462" s="2" t="n">
        <v>3600</v>
      </c>
      <c r="AI462" s="2" t="n"/>
      <c r="AJ462" s="2" t="n"/>
      <c r="AK462" s="2" t="n"/>
      <c r="AL462" s="2" t="n"/>
      <c r="AM462" s="2" t="n">
        <v>47.8</v>
      </c>
      <c r="AN462" s="2" t="n">
        <v>3600</v>
      </c>
      <c r="AO462" s="2" t="n">
        <v>21</v>
      </c>
      <c r="AP462" s="2" t="inlineStr">
        <is>
          <t>modelo+año+km</t>
        </is>
      </c>
      <c r="AQ462" s="2" t="n"/>
      <c r="AR462" s="2" t="inlineStr">
        <is>
          <t>cuota fija ITP: &gt;12 años, 1.501-2.000 cc; fiabilidad del modelo PENDIENTE de fuente (puntuación neutra)</t>
        </is>
      </c>
      <c r="AS462" s="2" t="inlineStr">
        <is>
          <t xml:space="preserve">ITV para octubre el coche está en buen estado como se ve en la foto! Funciona perfectamente </t>
        </is>
      </c>
      <c r="AT462" s="2" t="inlineStr">
        <is>
          <t>https://www.coches.net/peugeot-207-16-hdi-xs-pack-3p-diesel-2007-en-valencia-71554460-covo.aspx (window.__INITIAL_PROPS__.ad) /home/user/Alopecia/buscador-coches/raw/cochesnet/fcc50a859ac6b9e0.json</t>
        </is>
      </c>
      <c r="AU462" s="3">
        <f>MAX(ANIO_ACTUAL-M462,0)</f>
        <v/>
      </c>
      <c r="AV462" s="4">
        <f>N462/MAX(AU462,0.5)</f>
        <v/>
      </c>
      <c r="AW462" s="4">
        <f>F462</f>
        <v/>
      </c>
      <c r="AX462" s="3">
        <f>AW462&amp;"|"&amp;INT(M462/SEG_ANIO)*SEG_ANIO</f>
        <v/>
      </c>
      <c r="AY462" s="3">
        <f>AX462&amp;"|"&amp;INT(N462/SEG_KM)*SEG_KM</f>
        <v/>
      </c>
      <c r="AZ462" s="4">
        <f>COUNTIF($AW$2:$AW$662,AW462)</f>
        <v/>
      </c>
      <c r="BA462" s="4">
        <f>COUNTIF($AX$2:$AX$662,AX462)</f>
        <v/>
      </c>
      <c r="BB462" s="4">
        <f>COUNTIF($AY$2:$AY$662,AY462)</f>
        <v/>
      </c>
      <c r="BC462" s="3">
        <f t="array" ref="BC462">IF(N(AO462)&gt;=MIN_N,AN462,IF(BB462&gt;=MIN_N,MEDIAN(IF($AY$2:$AY$662=AY462,$O$2:$O$662)),IF(BA462&gt;=MIN_N,MEDIAN(IF($AX$2:$AX$662=AX462,$O$2:$O$662)),MEDIAN(IF($AW$2:$AW$662=AW462,$O$2:$O$662)))))</f>
        <v/>
      </c>
      <c r="BD462" s="3">
        <f>IF(N(AO462)&gt;=MIN_N,"mercado "&amp;AP462,IF(BB462&gt;=MIN_N,"modelo+año+km",IF(BA462&gt;=MIN_N,"modelo+año","modelo")))</f>
        <v/>
      </c>
      <c r="BE462" s="4">
        <f>(BC462-O462)/BC462</f>
        <v/>
      </c>
      <c r="BF462" s="3">
        <f>IF(OR(K462="hibrido",K462="glp"),"ECO",IF(K462="electrico","CERO",IF(K462="gasolina",IF(M462&gt;=GAS_C,"C",IF(M462&gt;=GAS_B,"B","A")),IF(K462="diesel",IF(M462&gt;=DIE_C,"C",IF(M462&gt;=DIE_B,"B","A")),""))))</f>
        <v/>
      </c>
      <c r="BG462" s="3">
        <f>IFERROR(VLOOKUP(F462,MOD_TBL,11,0),IFERROR(VLOOKUP(E462,OCU_TBL,2,0),NEUTRO))</f>
        <v/>
      </c>
      <c r="BH462" s="3">
        <f>SUMIFS(MOT_AJUSTE,MOT_MOTOR,G462,MOT_MARCA,E462,MOT_DESDE,"&lt;="&amp;M462,MOT_HASTA,"&gt;="&amp;M462)+SUMIFS(MOT_AJUSTE,MOT_MOTOR,G462,MOT_MARCA,"(todas)",MOT_DESDE,"&lt;="&amp;M462,MOT_HASTA,"&gt;="&amp;M462)</f>
        <v/>
      </c>
      <c r="BI462" s="3">
        <f>SUMIFS(COMB_AJUSTE,COMB_COMB,K462)</f>
        <v/>
      </c>
      <c r="BJ462" s="3">
        <f>COUNTIFS(MOT_MOTOR,G462,MOT_MARCA,E462,MOT_DESDE,"&lt;="&amp;M462,MOT_HASTA,"&gt;="&amp;M462)+COUNTIFS(MOT_MOTOR,G462,MOT_MARCA,"(todas)",MOT_DESDE,"&lt;="&amp;M462,MOT_HASTA,"&gt;="&amp;M462)</f>
        <v/>
      </c>
      <c r="BK462" s="3">
        <f>IF(AND(K462="diesel",BJ462=0),MIN(BG462,NEUTRO),BG462)</f>
        <v/>
      </c>
      <c r="BL462" s="4">
        <f>MAX(0,MIN(100,BK462+BH462+BI462))</f>
        <v/>
      </c>
      <c r="BM462" s="3">
        <f>MAX(0,MIN(100,50+BE462*PRECIO_PEND))</f>
        <v/>
      </c>
      <c r="BN462" s="3">
        <f>MAX(0,100*(1-N462/KM_MAX))</f>
        <v/>
      </c>
      <c r="BO462" s="3">
        <f>IF(AV462&lt;KMA_SOSP,IF(AA462="sí",100,KMA_PEN),IF(AV462&lt;=KMA_IDEAL_MAX,100,MAX(0,100*(KMA_CERO-AV462)/(KMA_CERO-KMA_IDEAL_MAX))))</f>
        <v/>
      </c>
      <c r="BP462" s="3">
        <f>MAX(0,MIN(100,100*(M462-ANIO_MIN)/(ANIO_ACTUAL-ANIO_MIN)))</f>
        <v/>
      </c>
      <c r="BQ462" s="3">
        <f>W_KMT*BN462+W_KMA*BO462+W_EDAD*BP462</f>
        <v/>
      </c>
      <c r="BR462" s="3">
        <f>P_ITV*(V462="sí")+P_LIBRO*(W462="sí")+P_CORREA*(X462="sí")+P_PROP*(Y462=1)+P_GAR*(Z462="sí")+P_FOTOS*MIN(1,N(U462)/FOTOS_OBJ)</f>
        <v/>
      </c>
      <c r="BS462" s="3">
        <f>IFERROR(VLOOKUP(BF462,ETQ_TBL,2,0),NEUTRO)</f>
        <v/>
      </c>
      <c r="BT462" s="3">
        <f>NEUTRO</f>
        <v/>
      </c>
      <c r="BU462" s="3">
        <f>IFERROR(VLOOKUP(L462,SEGURO_TBL,3,0),"")</f>
        <v/>
      </c>
      <c r="BV462" s="3">
        <f>IF(BU462="",NEUTRO,MAX(0,MIN(100,100*(SEG_REF_MAX-BU462)/(SEG_REF_MAX-SEG_REF_MIN))))</f>
        <v/>
      </c>
      <c r="BW462" s="3">
        <f>W_ET*BS462+W_CONS*BT462+W_SEG*BV462</f>
        <v/>
      </c>
      <c r="BX462" s="3">
        <f>IF(N(AB462)&gt;0,AB462,IF(AND(R462="profesional",SG_LEGAL_ON=1),GAR_LEGAL,0))</f>
        <v/>
      </c>
      <c r="BY462" s="3">
        <f>SG_GAR*MIN(1,BX462/SG_GAR_FULL)+SG_AMPL*(AC462="sí")+SG_KMC*(AF462="sí")+SG_REV*(N(AE462)&gt;0)+SG_DEV*MIN(1,N(AG462)/SG_DEV_FULL)+SG_HIST*(W462="sí")</f>
        <v/>
      </c>
      <c r="BZ462" s="3">
        <f>IFERROR(VLOOKUP(L462,CARR_PEN_TBL,2,0),0)</f>
        <v/>
      </c>
      <c r="CA462" s="3">
        <f>W_FIAB*BL462+W_PRECIO*BM462+W_KMEDAD*BQ462+W_ANUNCIO*BR462+W_USO*BW462+W_SEGURIDAD*BY462-BZ462</f>
        <v/>
      </c>
      <c r="CB462" s="4">
        <f>IF(N(I462)&gt;0,I462,IFERROR(ROUND(_xlfn.NUMBERVALUE(LEFT(G462,FIND(" ",G462&amp;" ")-1),".")*1000,0),99999))</f>
        <v/>
      </c>
      <c r="CC462" s="3">
        <f>IF(R462="profesional",0,IF(O462&lt;CUOTA_VALOR_MAX,IF(AU462&gt;ITP_TRAMO_ALTO,SUMIFS(CF_CUOTA,CF_MAS,ITP_TRAMO_ALTO,CF_CCMIN,"&lt;="&amp;CB462,CF_CCMAX,"&gt;="&amp;CB462),IF(AU462&gt;ITP_TRAMO_BAJO,SUMIFS(CF_CUOTA,CF_MAS,ITP_TRAMO_BAJO,CF_CCMIN,"&lt;="&amp;CB462,CF_CCMAX,"&gt;="&amp;CB462),O462*ITP_TIPO)),O462*ITP_TIPO))</f>
        <v/>
      </c>
      <c r="CD462" s="4">
        <f>IF(R462="profesional",N(AK462),0)</f>
        <v/>
      </c>
      <c r="CE462" s="3">
        <f>IF(AND(R462="profesional",ISNUMBER(AK462),AL462="sí"),0,TASA_DGT)</f>
        <v/>
      </c>
      <c r="CF462" s="3">
        <f>INFORME_DGT</f>
        <v/>
      </c>
      <c r="CG462" s="4">
        <f>O462+CD462+CC462+CE462+CF462</f>
        <v/>
      </c>
      <c r="CH462" s="4">
        <f>CG462+N(BU462)</f>
        <v/>
      </c>
      <c r="CI462" s="3">
        <f>IF(CG462&lt;=TOTAL_MAX,"sí",IF(CG462&lt;=TOTAL_MAX+MARGEN_NEG,"negociar","no"))</f>
        <v/>
      </c>
      <c r="CJ462" s="4">
        <f>IF(CI462&lt;&gt;"no",COUNTIFS($CI$2:$CI$662,"&lt;&gt;no",$CA$2:$CA$662,"&gt;"&amp;CA462)+COUNTIFS($CI$2:CI462,"&lt;&gt;no",$CA$2:CA462,CA462),"")</f>
        <v/>
      </c>
    </row>
    <row r="463">
      <c r="A463" s="2" t="inlineStr">
        <is>
          <t>cochesnet:71515167</t>
        </is>
      </c>
      <c r="B463" s="2" t="inlineStr">
        <is>
          <t>cochesnet</t>
        </is>
      </c>
      <c r="C463" s="2" t="inlineStr">
        <is>
          <t>https://www.coches.net/peugeot-207-gasolina-2006-en-valencia-71515167-covo.aspx</t>
        </is>
      </c>
      <c r="D463" s="2" t="inlineStr">
        <is>
          <t>PEUGEOT 207</t>
        </is>
      </c>
      <c r="E463" s="2" t="inlineStr">
        <is>
          <t>Peugeot</t>
        </is>
      </c>
      <c r="F463" s="2" t="inlineStr">
        <is>
          <t>Peugeot 207</t>
        </is>
      </c>
      <c r="G463" s="2" t="n"/>
      <c r="H463" s="2" t="n"/>
      <c r="I463" s="2" t="n"/>
      <c r="J463" s="2" t="n"/>
      <c r="K463" s="2" t="inlineStr">
        <is>
          <t>gasolina</t>
        </is>
      </c>
      <c r="L463" s="2" t="inlineStr">
        <is>
          <t>utilitario</t>
        </is>
      </c>
      <c r="M463" s="2" t="n">
        <v>2006</v>
      </c>
      <c r="N463" s="2" t="n">
        <v>199378</v>
      </c>
      <c r="O463" s="2" t="n">
        <v>2500</v>
      </c>
      <c r="P463" s="2" t="inlineStr">
        <is>
          <t>manual</t>
        </is>
      </c>
      <c r="Q463" s="2" t="inlineStr">
        <is>
          <t>no</t>
        </is>
      </c>
      <c r="R463" s="2" t="inlineStr">
        <is>
          <t>particular</t>
        </is>
      </c>
      <c r="S463" s="2" t="inlineStr">
        <is>
          <t>Alboraya</t>
        </is>
      </c>
      <c r="T463" s="2" t="inlineStr">
        <is>
          <t>2026-09-15T06:38:01Z</t>
        </is>
      </c>
      <c r="U463" s="2" t="n">
        <v>8</v>
      </c>
      <c r="V463" s="2" t="inlineStr">
        <is>
          <t>sí</t>
        </is>
      </c>
      <c r="W463" s="2" t="n"/>
      <c r="X463" s="2" t="n"/>
      <c r="Y463" s="2" t="n"/>
      <c r="Z463" s="2" t="inlineStr">
        <is>
          <t>no</t>
        </is>
      </c>
      <c r="AA463" s="2" t="n"/>
      <c r="AB463" s="2" t="n"/>
      <c r="AC463" s="2" t="n"/>
      <c r="AD463" s="2" t="n"/>
      <c r="AE463" s="2" t="n"/>
      <c r="AF463" s="2" t="n"/>
      <c r="AG463" s="2" t="n"/>
      <c r="AH463" s="2" t="n">
        <v>2500</v>
      </c>
      <c r="AI463" s="2" t="n"/>
      <c r="AJ463" s="2" t="n"/>
      <c r="AK463" s="2" t="n"/>
      <c r="AL463" s="2" t="n"/>
      <c r="AM463" s="2" t="n">
        <v>4</v>
      </c>
      <c r="AN463" s="2" t="n">
        <v>2950</v>
      </c>
      <c r="AO463" s="2" t="n">
        <v>4</v>
      </c>
      <c r="AP463" s="2" t="inlineStr">
        <is>
          <t>modelo+año+km</t>
        </is>
      </c>
      <c r="AQ463" s="2" t="n"/>
      <c r="AR463" s="2" t="inlineStr">
        <is>
          <t>cilindrada desconocida: se aplica el tramo de cuota fija más alto; cuota fija ITP: &gt;12 años, más de 2.000 cc; fiabilidad del modelo PENDIENTE de fuente (puntuación neutra)</t>
        </is>
      </c>
      <c r="AS463" s="2" t="inlineStr">
        <is>
          <t xml:space="preserve">Se vende urgente por viaje 
 Peugeot 207 XS pACK 1.4 199.000 KM. Revisiones al día, ITV al día hasta mayo 2027, funciona todo. 
Escribir por whatsapp o por este medio. </t>
        </is>
      </c>
      <c r="AT463" s="2" t="inlineStr">
        <is>
          <t>https://www.coches.net/peugeot-207-gasolina-2006-en-valencia-71515167-covo.aspx (window.__INITIAL_PROPS__.ad) /home/user/Alopecia/buscador-coches/raw/cochesnet/9ac1f30d9765c183.json</t>
        </is>
      </c>
      <c r="AU463" s="3">
        <f>MAX(ANIO_ACTUAL-M463,0)</f>
        <v/>
      </c>
      <c r="AV463" s="4">
        <f>N463/MAX(AU463,0.5)</f>
        <v/>
      </c>
      <c r="AW463" s="4">
        <f>F463</f>
        <v/>
      </c>
      <c r="AX463" s="3">
        <f>AW463&amp;"|"&amp;INT(M463/SEG_ANIO)*SEG_ANIO</f>
        <v/>
      </c>
      <c r="AY463" s="3">
        <f>AX463&amp;"|"&amp;INT(N463/SEG_KM)*SEG_KM</f>
        <v/>
      </c>
      <c r="AZ463" s="4">
        <f>COUNTIF($AW$2:$AW$662,AW463)</f>
        <v/>
      </c>
      <c r="BA463" s="4">
        <f>COUNTIF($AX$2:$AX$662,AX463)</f>
        <v/>
      </c>
      <c r="BB463" s="4">
        <f>COUNTIF($AY$2:$AY$662,AY463)</f>
        <v/>
      </c>
      <c r="BC463" s="3">
        <f t="array" ref="BC463">IF(N(AO463)&gt;=MIN_N,AN463,IF(BB463&gt;=MIN_N,MEDIAN(IF($AY$2:$AY$662=AY463,$O$2:$O$662)),IF(BA463&gt;=MIN_N,MEDIAN(IF($AX$2:$AX$662=AX463,$O$2:$O$662)),MEDIAN(IF($AW$2:$AW$662=AW463,$O$2:$O$662)))))</f>
        <v/>
      </c>
      <c r="BD463" s="3">
        <f>IF(N(AO463)&gt;=MIN_N,"mercado "&amp;AP463,IF(BB463&gt;=MIN_N,"modelo+año+km",IF(BA463&gt;=MIN_N,"modelo+año","modelo")))</f>
        <v/>
      </c>
      <c r="BE463" s="4">
        <f>(BC463-O463)/BC463</f>
        <v/>
      </c>
      <c r="BF463" s="3">
        <f>IF(OR(K463="hibrido",K463="glp"),"ECO",IF(K463="electrico","CERO",IF(K463="gasolina",IF(M463&gt;=GAS_C,"C",IF(M463&gt;=GAS_B,"B","A")),IF(K463="diesel",IF(M463&gt;=DIE_C,"C",IF(M463&gt;=DIE_B,"B","A")),""))))</f>
        <v/>
      </c>
      <c r="BG463" s="3">
        <f>IFERROR(VLOOKUP(F463,MOD_TBL,11,0),IFERROR(VLOOKUP(E463,OCU_TBL,2,0),NEUTRO))</f>
        <v/>
      </c>
      <c r="BH463" s="3">
        <f>SUMIFS(MOT_AJUSTE,MOT_MOTOR,G463,MOT_MARCA,E463,MOT_DESDE,"&lt;="&amp;M463,MOT_HASTA,"&gt;="&amp;M463)+SUMIFS(MOT_AJUSTE,MOT_MOTOR,G463,MOT_MARCA,"(todas)",MOT_DESDE,"&lt;="&amp;M463,MOT_HASTA,"&gt;="&amp;M463)</f>
        <v/>
      </c>
      <c r="BI463" s="3">
        <f>SUMIFS(COMB_AJUSTE,COMB_COMB,K463)</f>
        <v/>
      </c>
      <c r="BJ463" s="3">
        <f>COUNTIFS(MOT_MOTOR,G463,MOT_MARCA,E463,MOT_DESDE,"&lt;="&amp;M463,MOT_HASTA,"&gt;="&amp;M463)+COUNTIFS(MOT_MOTOR,G463,MOT_MARCA,"(todas)",MOT_DESDE,"&lt;="&amp;M463,MOT_HASTA,"&gt;="&amp;M463)</f>
        <v/>
      </c>
      <c r="BK463" s="3">
        <f>IF(AND(K463="diesel",BJ463=0),MIN(BG463,NEUTRO),BG463)</f>
        <v/>
      </c>
      <c r="BL463" s="4">
        <f>MAX(0,MIN(100,BK463+BH463+BI463))</f>
        <v/>
      </c>
      <c r="BM463" s="3">
        <f>MAX(0,MIN(100,50+BE463*PRECIO_PEND))</f>
        <v/>
      </c>
      <c r="BN463" s="3">
        <f>MAX(0,100*(1-N463/KM_MAX))</f>
        <v/>
      </c>
      <c r="BO463" s="3">
        <f>IF(AV463&lt;KMA_SOSP,IF(AA463="sí",100,KMA_PEN),IF(AV463&lt;=KMA_IDEAL_MAX,100,MAX(0,100*(KMA_CERO-AV463)/(KMA_CERO-KMA_IDEAL_MAX))))</f>
        <v/>
      </c>
      <c r="BP463" s="3">
        <f>MAX(0,MIN(100,100*(M463-ANIO_MIN)/(ANIO_ACTUAL-ANIO_MIN)))</f>
        <v/>
      </c>
      <c r="BQ463" s="3">
        <f>W_KMT*BN463+W_KMA*BO463+W_EDAD*BP463</f>
        <v/>
      </c>
      <c r="BR463" s="3">
        <f>P_ITV*(V463="sí")+P_LIBRO*(W463="sí")+P_CORREA*(X463="sí")+P_PROP*(Y463=1)+P_GAR*(Z463="sí")+P_FOTOS*MIN(1,N(U463)/FOTOS_OBJ)</f>
        <v/>
      </c>
      <c r="BS463" s="3">
        <f>IFERROR(VLOOKUP(BF463,ETQ_TBL,2,0),NEUTRO)</f>
        <v/>
      </c>
      <c r="BT463" s="3">
        <f>NEUTRO</f>
        <v/>
      </c>
      <c r="BU463" s="3">
        <f>IFERROR(VLOOKUP(L463,SEGURO_TBL,3,0),"")</f>
        <v/>
      </c>
      <c r="BV463" s="3">
        <f>IF(BU463="",NEUTRO,MAX(0,MIN(100,100*(SEG_REF_MAX-BU463)/(SEG_REF_MAX-SEG_REF_MIN))))</f>
        <v/>
      </c>
      <c r="BW463" s="3">
        <f>W_ET*BS463+W_CONS*BT463+W_SEG*BV463</f>
        <v/>
      </c>
      <c r="BX463" s="3">
        <f>IF(N(AB463)&gt;0,AB463,IF(AND(R463="profesional",SG_LEGAL_ON=1),GAR_LEGAL,0))</f>
        <v/>
      </c>
      <c r="BY463" s="3">
        <f>SG_GAR*MIN(1,BX463/SG_GAR_FULL)+SG_AMPL*(AC463="sí")+SG_KMC*(AF463="sí")+SG_REV*(N(AE463)&gt;0)+SG_DEV*MIN(1,N(AG463)/SG_DEV_FULL)+SG_HIST*(W463="sí")</f>
        <v/>
      </c>
      <c r="BZ463" s="3">
        <f>IFERROR(VLOOKUP(L463,CARR_PEN_TBL,2,0),0)</f>
        <v/>
      </c>
      <c r="CA463" s="3">
        <f>W_FIAB*BL463+W_PRECIO*BM463+W_KMEDAD*BQ463+W_ANUNCIO*BR463+W_USO*BW463+W_SEGURIDAD*BY463-BZ463</f>
        <v/>
      </c>
      <c r="CB463" s="4">
        <f>IF(N(I463)&gt;0,I463,IFERROR(ROUND(_xlfn.NUMBERVALUE(LEFT(G463,FIND(" ",G463&amp;" ")-1),".")*1000,0),99999))</f>
        <v/>
      </c>
      <c r="CC463" s="3">
        <f>IF(R463="profesional",0,IF(O463&lt;CUOTA_VALOR_MAX,IF(AU463&gt;ITP_TRAMO_ALTO,SUMIFS(CF_CUOTA,CF_MAS,ITP_TRAMO_ALTO,CF_CCMIN,"&lt;="&amp;CB463,CF_CCMAX,"&gt;="&amp;CB463),IF(AU463&gt;ITP_TRAMO_BAJO,SUMIFS(CF_CUOTA,CF_MAS,ITP_TRAMO_BAJO,CF_CCMIN,"&lt;="&amp;CB463,CF_CCMAX,"&gt;="&amp;CB463),O463*ITP_TIPO)),O463*ITP_TIPO))</f>
        <v/>
      </c>
      <c r="CD463" s="4">
        <f>IF(R463="profesional",N(AK463),0)</f>
        <v/>
      </c>
      <c r="CE463" s="3">
        <f>IF(AND(R463="profesional",ISNUMBER(AK463),AL463="sí"),0,TASA_DGT)</f>
        <v/>
      </c>
      <c r="CF463" s="3">
        <f>INFORME_DGT</f>
        <v/>
      </c>
      <c r="CG463" s="4">
        <f>O463+CD463+CC463+CE463+CF463</f>
        <v/>
      </c>
      <c r="CH463" s="4">
        <f>CG463+N(BU463)</f>
        <v/>
      </c>
      <c r="CI463" s="3">
        <f>IF(CG463&lt;=TOTAL_MAX,"sí",IF(CG463&lt;=TOTAL_MAX+MARGEN_NEG,"negociar","no"))</f>
        <v/>
      </c>
      <c r="CJ463" s="4">
        <f>IF(CI463&lt;&gt;"no",COUNTIFS($CI$2:$CI$662,"&lt;&gt;no",$CA$2:$CA$662,"&gt;"&amp;CA463)+COUNTIFS($CI$2:CI463,"&lt;&gt;no",$CA$2:CA463,CA463),"")</f>
        <v/>
      </c>
    </row>
    <row r="464">
      <c r="A464" s="2" t="inlineStr">
        <is>
          <t>cochesnet:71330739</t>
        </is>
      </c>
      <c r="B464" s="2" t="inlineStr">
        <is>
          <t>cochesnet</t>
        </is>
      </c>
      <c r="C464" s="2" t="inlineStr">
        <is>
          <t>https://www.coches.net/peugeot-207-diesel-2009-en-valencia-71330739-covo.aspx</t>
        </is>
      </c>
      <c r="D464" s="2" t="inlineStr">
        <is>
          <t>PEUGEOT 207</t>
        </is>
      </c>
      <c r="E464" s="2" t="inlineStr">
        <is>
          <t>Peugeot</t>
        </is>
      </c>
      <c r="F464" s="2" t="inlineStr">
        <is>
          <t>Peugeot 207</t>
        </is>
      </c>
      <c r="G464" s="2" t="n"/>
      <c r="H464" s="2" t="n"/>
      <c r="I464" s="2" t="n"/>
      <c r="J464" s="2" t="n"/>
      <c r="K464" s="2" t="inlineStr">
        <is>
          <t>diesel</t>
        </is>
      </c>
      <c r="L464" s="2" t="inlineStr">
        <is>
          <t>utilitario</t>
        </is>
      </c>
      <c r="M464" s="2" t="n">
        <v>2009</v>
      </c>
      <c r="N464" s="2" t="n">
        <v>169000</v>
      </c>
      <c r="O464" s="2" t="n">
        <v>5000</v>
      </c>
      <c r="P464" s="2" t="inlineStr">
        <is>
          <t>manual</t>
        </is>
      </c>
      <c r="Q464" s="2" t="inlineStr">
        <is>
          <t>no</t>
        </is>
      </c>
      <c r="R464" s="2" t="inlineStr">
        <is>
          <t>particular</t>
        </is>
      </c>
      <c r="S464" s="2" t="n"/>
      <c r="T464" s="2" t="inlineStr">
        <is>
          <t>2026-08-20T09:11:37Z</t>
        </is>
      </c>
      <c r="U464" s="2" t="n">
        <v>9</v>
      </c>
      <c r="V464" s="2" t="inlineStr">
        <is>
          <t>sí</t>
        </is>
      </c>
      <c r="W464" s="2" t="n"/>
      <c r="X464" s="2" t="n"/>
      <c r="Y464" s="2" t="n"/>
      <c r="Z464" s="2" t="inlineStr">
        <is>
          <t>no</t>
        </is>
      </c>
      <c r="AA464" s="2" t="n"/>
      <c r="AB464" s="2" t="n"/>
      <c r="AC464" s="2" t="n"/>
      <c r="AD464" s="2" t="n"/>
      <c r="AE464" s="2" t="n"/>
      <c r="AF464" s="2" t="n"/>
      <c r="AG464" s="2" t="n"/>
      <c r="AH464" s="2" t="n">
        <v>5000</v>
      </c>
      <c r="AI464" s="2" t="n"/>
      <c r="AJ464" s="2" t="n"/>
      <c r="AK464" s="2" t="n"/>
      <c r="AL464" s="2" t="n"/>
      <c r="AM464" s="2" t="n"/>
      <c r="AN464" s="2" t="n">
        <v>3600</v>
      </c>
      <c r="AO464" s="2" t="n">
        <v>21</v>
      </c>
      <c r="AP464" s="2" t="inlineStr">
        <is>
          <t>modelo+año+km</t>
        </is>
      </c>
      <c r="AQ464" s="2" t="n"/>
      <c r="AR464" s="2" t="inlineStr">
        <is>
          <t>por encima del presupuesto (5204 €),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464" s="2" t="inlineStr">
        <is>
          <t>se vende por aumento de familia, coche siempre en garaje, revisiones al dia y itv pasada en agosto.</t>
        </is>
      </c>
      <c r="AT464" s="2" t="inlineStr">
        <is>
          <t>https://www.coches.net/peugeot-207-diesel-2009-en-valencia-71330739-covo.aspx (window.__INITIAL_PROPS__.ad) /home/user/Alopecia/buscador-coches/raw/cochesnet/1fc0dcbc5338e965.json</t>
        </is>
      </c>
      <c r="AU464" s="3">
        <f>MAX(ANIO_ACTUAL-M464,0)</f>
        <v/>
      </c>
      <c r="AV464" s="4">
        <f>N464/MAX(AU464,0.5)</f>
        <v/>
      </c>
      <c r="AW464" s="4">
        <f>F464</f>
        <v/>
      </c>
      <c r="AX464" s="3">
        <f>AW464&amp;"|"&amp;INT(M464/SEG_ANIO)*SEG_ANIO</f>
        <v/>
      </c>
      <c r="AY464" s="3">
        <f>AX464&amp;"|"&amp;INT(N464/SEG_KM)*SEG_KM</f>
        <v/>
      </c>
      <c r="AZ464" s="4">
        <f>COUNTIF($AW$2:$AW$662,AW464)</f>
        <v/>
      </c>
      <c r="BA464" s="4">
        <f>COUNTIF($AX$2:$AX$662,AX464)</f>
        <v/>
      </c>
      <c r="BB464" s="4">
        <f>COUNTIF($AY$2:$AY$662,AY464)</f>
        <v/>
      </c>
      <c r="BC464" s="3">
        <f t="array" ref="BC464">IF(N(AO464)&gt;=MIN_N,AN464,IF(BB464&gt;=MIN_N,MEDIAN(IF($AY$2:$AY$662=AY464,$O$2:$O$662)),IF(BA464&gt;=MIN_N,MEDIAN(IF($AX$2:$AX$662=AX464,$O$2:$O$662)),MEDIAN(IF($AW$2:$AW$662=AW464,$O$2:$O$662)))))</f>
        <v/>
      </c>
      <c r="BD464" s="3">
        <f>IF(N(AO464)&gt;=MIN_N,"mercado "&amp;AP464,IF(BB464&gt;=MIN_N,"modelo+año+km",IF(BA464&gt;=MIN_N,"modelo+año","modelo")))</f>
        <v/>
      </c>
      <c r="BE464" s="4">
        <f>(BC464-O464)/BC464</f>
        <v/>
      </c>
      <c r="BF464" s="3">
        <f>IF(OR(K464="hibrido",K464="glp"),"ECO",IF(K464="electrico","CERO",IF(K464="gasolina",IF(M464&gt;=GAS_C,"C",IF(M464&gt;=GAS_B,"B","A")),IF(K464="diesel",IF(M464&gt;=DIE_C,"C",IF(M464&gt;=DIE_B,"B","A")),""))))</f>
        <v/>
      </c>
      <c r="BG464" s="3">
        <f>IFERROR(VLOOKUP(F464,MOD_TBL,11,0),IFERROR(VLOOKUP(E464,OCU_TBL,2,0),NEUTRO))</f>
        <v/>
      </c>
      <c r="BH464" s="3">
        <f>SUMIFS(MOT_AJUSTE,MOT_MOTOR,G464,MOT_MARCA,E464,MOT_DESDE,"&lt;="&amp;M464,MOT_HASTA,"&gt;="&amp;M464)+SUMIFS(MOT_AJUSTE,MOT_MOTOR,G464,MOT_MARCA,"(todas)",MOT_DESDE,"&lt;="&amp;M464,MOT_HASTA,"&gt;="&amp;M464)</f>
        <v/>
      </c>
      <c r="BI464" s="3">
        <f>SUMIFS(COMB_AJUSTE,COMB_COMB,K464)</f>
        <v/>
      </c>
      <c r="BJ464" s="3">
        <f>COUNTIFS(MOT_MOTOR,G464,MOT_MARCA,E464,MOT_DESDE,"&lt;="&amp;M464,MOT_HASTA,"&gt;="&amp;M464)+COUNTIFS(MOT_MOTOR,G464,MOT_MARCA,"(todas)",MOT_DESDE,"&lt;="&amp;M464,MOT_HASTA,"&gt;="&amp;M464)</f>
        <v/>
      </c>
      <c r="BK464" s="3">
        <f>IF(AND(K464="diesel",BJ464=0),MIN(BG464,NEUTRO),BG464)</f>
        <v/>
      </c>
      <c r="BL464" s="4">
        <f>MAX(0,MIN(100,BK464+BH464+BI464))</f>
        <v/>
      </c>
      <c r="BM464" s="3">
        <f>MAX(0,MIN(100,50+BE464*PRECIO_PEND))</f>
        <v/>
      </c>
      <c r="BN464" s="3">
        <f>MAX(0,100*(1-N464/KM_MAX))</f>
        <v/>
      </c>
      <c r="BO464" s="3">
        <f>IF(AV464&lt;KMA_SOSP,IF(AA464="sí",100,KMA_PEN),IF(AV464&lt;=KMA_IDEAL_MAX,100,MAX(0,100*(KMA_CERO-AV464)/(KMA_CERO-KMA_IDEAL_MAX))))</f>
        <v/>
      </c>
      <c r="BP464" s="3">
        <f>MAX(0,MIN(100,100*(M464-ANIO_MIN)/(ANIO_ACTUAL-ANIO_MIN)))</f>
        <v/>
      </c>
      <c r="BQ464" s="3">
        <f>W_KMT*BN464+W_KMA*BO464+W_EDAD*BP464</f>
        <v/>
      </c>
      <c r="BR464" s="3">
        <f>P_ITV*(V464="sí")+P_LIBRO*(W464="sí")+P_CORREA*(X464="sí")+P_PROP*(Y464=1)+P_GAR*(Z464="sí")+P_FOTOS*MIN(1,N(U464)/FOTOS_OBJ)</f>
        <v/>
      </c>
      <c r="BS464" s="3">
        <f>IFERROR(VLOOKUP(BF464,ETQ_TBL,2,0),NEUTRO)</f>
        <v/>
      </c>
      <c r="BT464" s="3">
        <f>NEUTRO</f>
        <v/>
      </c>
      <c r="BU464" s="3">
        <f>IFERROR(VLOOKUP(L464,SEGURO_TBL,3,0),"")</f>
        <v/>
      </c>
      <c r="BV464" s="3">
        <f>IF(BU464="",NEUTRO,MAX(0,MIN(100,100*(SEG_REF_MAX-BU464)/(SEG_REF_MAX-SEG_REF_MIN))))</f>
        <v/>
      </c>
      <c r="BW464" s="3">
        <f>W_ET*BS464+W_CONS*BT464+W_SEG*BV464</f>
        <v/>
      </c>
      <c r="BX464" s="3">
        <f>IF(N(AB464)&gt;0,AB464,IF(AND(R464="profesional",SG_LEGAL_ON=1),GAR_LEGAL,0))</f>
        <v/>
      </c>
      <c r="BY464" s="3">
        <f>SG_GAR*MIN(1,BX464/SG_GAR_FULL)+SG_AMPL*(AC464="sí")+SG_KMC*(AF464="sí")+SG_REV*(N(AE464)&gt;0)+SG_DEV*MIN(1,N(AG464)/SG_DEV_FULL)+SG_HIST*(W464="sí")</f>
        <v/>
      </c>
      <c r="BZ464" s="3">
        <f>IFERROR(VLOOKUP(L464,CARR_PEN_TBL,2,0),0)</f>
        <v/>
      </c>
      <c r="CA464" s="3">
        <f>W_FIAB*BL464+W_PRECIO*BM464+W_KMEDAD*BQ464+W_ANUNCIO*BR464+W_USO*BW464+W_SEGURIDAD*BY464-BZ464</f>
        <v/>
      </c>
      <c r="CB464" s="4">
        <f>IF(N(I464)&gt;0,I464,IFERROR(ROUND(_xlfn.NUMBERVALUE(LEFT(G464,FIND(" ",G464&amp;" ")-1),".")*1000,0),99999))</f>
        <v/>
      </c>
      <c r="CC464" s="3">
        <f>IF(R464="profesional",0,IF(O464&lt;CUOTA_VALOR_MAX,IF(AU464&gt;ITP_TRAMO_ALTO,SUMIFS(CF_CUOTA,CF_MAS,ITP_TRAMO_ALTO,CF_CCMIN,"&lt;="&amp;CB464,CF_CCMAX,"&gt;="&amp;CB464),IF(AU464&gt;ITP_TRAMO_BAJO,SUMIFS(CF_CUOTA,CF_MAS,ITP_TRAMO_BAJO,CF_CCMIN,"&lt;="&amp;CB464,CF_CCMAX,"&gt;="&amp;CB464),O464*ITP_TIPO)),O464*ITP_TIPO))</f>
        <v/>
      </c>
      <c r="CD464" s="4">
        <f>IF(R464="profesional",N(AK464),0)</f>
        <v/>
      </c>
      <c r="CE464" s="3">
        <f>IF(AND(R464="profesional",ISNUMBER(AK464),AL464="sí"),0,TASA_DGT)</f>
        <v/>
      </c>
      <c r="CF464" s="3">
        <f>INFORME_DGT</f>
        <v/>
      </c>
      <c r="CG464" s="4">
        <f>O464+CD464+CC464+CE464+CF464</f>
        <v/>
      </c>
      <c r="CH464" s="4">
        <f>CG464+N(BU464)</f>
        <v/>
      </c>
      <c r="CI464" s="3">
        <f>IF(CG464&lt;=TOTAL_MAX,"sí",IF(CG464&lt;=TOTAL_MAX+MARGEN_NEG,"negociar","no"))</f>
        <v/>
      </c>
      <c r="CJ464" s="4">
        <f>IF(CI464&lt;&gt;"no",COUNTIFS($CI$2:$CI$662,"&lt;&gt;no",$CA$2:$CA$662,"&gt;"&amp;CA464)+COUNTIFS($CI$2:CI464,"&lt;&gt;no",$CA$2:CA464,CA464),"")</f>
        <v/>
      </c>
    </row>
    <row r="465">
      <c r="A465" s="2" t="inlineStr">
        <is>
          <t>cochesnet:71262537</t>
        </is>
      </c>
      <c r="B465" s="2" t="inlineStr">
        <is>
          <t>cochesnet</t>
        </is>
      </c>
      <c r="C465" s="2" t="inlineStr">
        <is>
          <t>https://www.coches.net/peugeot-207-gasolina-2007-en-valencia-71262537-covo.aspx</t>
        </is>
      </c>
      <c r="D465" s="2" t="inlineStr">
        <is>
          <t>PEUGEOT 207</t>
        </is>
      </c>
      <c r="E465" s="2" t="inlineStr">
        <is>
          <t>Peugeot</t>
        </is>
      </c>
      <c r="F465" s="2" t="inlineStr">
        <is>
          <t>Peugeot 207</t>
        </is>
      </c>
      <c r="G465" s="2" t="n"/>
      <c r="H465" s="2" t="n"/>
      <c r="I465" s="2" t="n"/>
      <c r="J465" s="2" t="n"/>
      <c r="K465" s="2" t="inlineStr">
        <is>
          <t>gasolina</t>
        </is>
      </c>
      <c r="L465" s="2" t="inlineStr">
        <is>
          <t>utilitario</t>
        </is>
      </c>
      <c r="M465" s="2" t="n">
        <v>2007</v>
      </c>
      <c r="N465" s="2" t="n">
        <v>208500</v>
      </c>
      <c r="O465" s="2" t="n">
        <v>3600</v>
      </c>
      <c r="P465" s="2" t="inlineStr">
        <is>
          <t>manual</t>
        </is>
      </c>
      <c r="Q465" s="2" t="inlineStr">
        <is>
          <t>no</t>
        </is>
      </c>
      <c r="R465" s="2" t="inlineStr">
        <is>
          <t>particular</t>
        </is>
      </c>
      <c r="S465" s="2" t="n"/>
      <c r="T465" s="2" t="inlineStr">
        <is>
          <t>2026-08-10T07:20:55Z</t>
        </is>
      </c>
      <c r="U465" s="2" t="n">
        <v>5</v>
      </c>
      <c r="V465" s="2" t="inlineStr">
        <is>
          <t>sí</t>
        </is>
      </c>
      <c r="W465" s="2" t="n"/>
      <c r="X465" s="2" t="n"/>
      <c r="Y465" s="2" t="n"/>
      <c r="Z465" s="2" t="inlineStr">
        <is>
          <t>no</t>
        </is>
      </c>
      <c r="AA465" s="2" t="n"/>
      <c r="AB465" s="2" t="n"/>
      <c r="AC465" s="2" t="n"/>
      <c r="AD465" s="2" t="n"/>
      <c r="AE465" s="2" t="n"/>
      <c r="AF465" s="2" t="n"/>
      <c r="AG465" s="2" t="n"/>
      <c r="AH465" s="2" t="n">
        <v>3600</v>
      </c>
      <c r="AI465" s="2" t="n"/>
      <c r="AJ465" s="2" t="n"/>
      <c r="AK465" s="2" t="n"/>
      <c r="AL465" s="2" t="n"/>
      <c r="AM465" s="2" t="n"/>
      <c r="AN465" s="2" t="n">
        <v>2950</v>
      </c>
      <c r="AO465" s="2" t="n">
        <v>13</v>
      </c>
      <c r="AP465" s="2" t="inlineStr">
        <is>
          <t>modelo+año+km</t>
        </is>
      </c>
      <c r="AQ465" s="2" t="n"/>
      <c r="AR465"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465" s="2" t="inlineStr">
        <is>
          <t>Peugeot 207 en buen estado general. Coche cómodo y práctico, ideal tanto para ciudad como para el día a día. Se ha cuidado dentro de lo normal para sus años y funciona correctamente.
ITV pasada, listo para seguir circulando. Además, el seguro está vigente hasta diciembre.
Tiene algunos signos de uso propios de la edad, pero en general está bien conservado.
Se puede ver y probar sin compromiso. Se acepta prueba mecánica.
Para cualquier duda o más información, contactar por mensaje.</t>
        </is>
      </c>
      <c r="AT465" s="2" t="inlineStr">
        <is>
          <t>https://www.coches.net/peugeot-207-gasolina-2007-en-valencia-71262537-covo.aspx (window.__INITIAL_PROPS__.ad) /home/user/Alopecia/buscador-coches/raw/cochesnet/47bfccbb4169b226.json</t>
        </is>
      </c>
      <c r="AU465" s="3">
        <f>MAX(ANIO_ACTUAL-M465,0)</f>
        <v/>
      </c>
      <c r="AV465" s="4">
        <f>N465/MAX(AU465,0.5)</f>
        <v/>
      </c>
      <c r="AW465" s="4">
        <f>F465</f>
        <v/>
      </c>
      <c r="AX465" s="3">
        <f>AW465&amp;"|"&amp;INT(M465/SEG_ANIO)*SEG_ANIO</f>
        <v/>
      </c>
      <c r="AY465" s="3">
        <f>AX465&amp;"|"&amp;INT(N465/SEG_KM)*SEG_KM</f>
        <v/>
      </c>
      <c r="AZ465" s="4">
        <f>COUNTIF($AW$2:$AW$662,AW465)</f>
        <v/>
      </c>
      <c r="BA465" s="4">
        <f>COUNTIF($AX$2:$AX$662,AX465)</f>
        <v/>
      </c>
      <c r="BB465" s="4">
        <f>COUNTIF($AY$2:$AY$662,AY465)</f>
        <v/>
      </c>
      <c r="BC465" s="3">
        <f t="array" ref="BC465">IF(N(AO465)&gt;=MIN_N,AN465,IF(BB465&gt;=MIN_N,MEDIAN(IF($AY$2:$AY$662=AY465,$O$2:$O$662)),IF(BA465&gt;=MIN_N,MEDIAN(IF($AX$2:$AX$662=AX465,$O$2:$O$662)),MEDIAN(IF($AW$2:$AW$662=AW465,$O$2:$O$662)))))</f>
        <v/>
      </c>
      <c r="BD465" s="3">
        <f>IF(N(AO465)&gt;=MIN_N,"mercado "&amp;AP465,IF(BB465&gt;=MIN_N,"modelo+año+km",IF(BA465&gt;=MIN_N,"modelo+año","modelo")))</f>
        <v/>
      </c>
      <c r="BE465" s="4">
        <f>(BC465-O465)/BC465</f>
        <v/>
      </c>
      <c r="BF465" s="3">
        <f>IF(OR(K465="hibrido",K465="glp"),"ECO",IF(K465="electrico","CERO",IF(K465="gasolina",IF(M465&gt;=GAS_C,"C",IF(M465&gt;=GAS_B,"B","A")),IF(K465="diesel",IF(M465&gt;=DIE_C,"C",IF(M465&gt;=DIE_B,"B","A")),""))))</f>
        <v/>
      </c>
      <c r="BG465" s="3">
        <f>IFERROR(VLOOKUP(F465,MOD_TBL,11,0),IFERROR(VLOOKUP(E465,OCU_TBL,2,0),NEUTRO))</f>
        <v/>
      </c>
      <c r="BH465" s="3">
        <f>SUMIFS(MOT_AJUSTE,MOT_MOTOR,G465,MOT_MARCA,E465,MOT_DESDE,"&lt;="&amp;M465,MOT_HASTA,"&gt;="&amp;M465)+SUMIFS(MOT_AJUSTE,MOT_MOTOR,G465,MOT_MARCA,"(todas)",MOT_DESDE,"&lt;="&amp;M465,MOT_HASTA,"&gt;="&amp;M465)</f>
        <v/>
      </c>
      <c r="BI465" s="3">
        <f>SUMIFS(COMB_AJUSTE,COMB_COMB,K465)</f>
        <v/>
      </c>
      <c r="BJ465" s="3">
        <f>COUNTIFS(MOT_MOTOR,G465,MOT_MARCA,E465,MOT_DESDE,"&lt;="&amp;M465,MOT_HASTA,"&gt;="&amp;M465)+COUNTIFS(MOT_MOTOR,G465,MOT_MARCA,"(todas)",MOT_DESDE,"&lt;="&amp;M465,MOT_HASTA,"&gt;="&amp;M465)</f>
        <v/>
      </c>
      <c r="BK465" s="3">
        <f>IF(AND(K465="diesel",BJ465=0),MIN(BG465,NEUTRO),BG465)</f>
        <v/>
      </c>
      <c r="BL465" s="4">
        <f>MAX(0,MIN(100,BK465+BH465+BI465))</f>
        <v/>
      </c>
      <c r="BM465" s="3">
        <f>MAX(0,MIN(100,50+BE465*PRECIO_PEND))</f>
        <v/>
      </c>
      <c r="BN465" s="3">
        <f>MAX(0,100*(1-N465/KM_MAX))</f>
        <v/>
      </c>
      <c r="BO465" s="3">
        <f>IF(AV465&lt;KMA_SOSP,IF(AA465="sí",100,KMA_PEN),IF(AV465&lt;=KMA_IDEAL_MAX,100,MAX(0,100*(KMA_CERO-AV465)/(KMA_CERO-KMA_IDEAL_MAX))))</f>
        <v/>
      </c>
      <c r="BP465" s="3">
        <f>MAX(0,MIN(100,100*(M465-ANIO_MIN)/(ANIO_ACTUAL-ANIO_MIN)))</f>
        <v/>
      </c>
      <c r="BQ465" s="3">
        <f>W_KMT*BN465+W_KMA*BO465+W_EDAD*BP465</f>
        <v/>
      </c>
      <c r="BR465" s="3">
        <f>P_ITV*(V465="sí")+P_LIBRO*(W465="sí")+P_CORREA*(X465="sí")+P_PROP*(Y465=1)+P_GAR*(Z465="sí")+P_FOTOS*MIN(1,N(U465)/FOTOS_OBJ)</f>
        <v/>
      </c>
      <c r="BS465" s="3">
        <f>IFERROR(VLOOKUP(BF465,ETQ_TBL,2,0),NEUTRO)</f>
        <v/>
      </c>
      <c r="BT465" s="3">
        <f>NEUTRO</f>
        <v/>
      </c>
      <c r="BU465" s="3">
        <f>IFERROR(VLOOKUP(L465,SEGURO_TBL,3,0),"")</f>
        <v/>
      </c>
      <c r="BV465" s="3">
        <f>IF(BU465="",NEUTRO,MAX(0,MIN(100,100*(SEG_REF_MAX-BU465)/(SEG_REF_MAX-SEG_REF_MIN))))</f>
        <v/>
      </c>
      <c r="BW465" s="3">
        <f>W_ET*BS465+W_CONS*BT465+W_SEG*BV465</f>
        <v/>
      </c>
      <c r="BX465" s="3">
        <f>IF(N(AB465)&gt;0,AB465,IF(AND(R465="profesional",SG_LEGAL_ON=1),GAR_LEGAL,0))</f>
        <v/>
      </c>
      <c r="BY465" s="3">
        <f>SG_GAR*MIN(1,BX465/SG_GAR_FULL)+SG_AMPL*(AC465="sí")+SG_KMC*(AF465="sí")+SG_REV*(N(AE465)&gt;0)+SG_DEV*MIN(1,N(AG465)/SG_DEV_FULL)+SG_HIST*(W465="sí")</f>
        <v/>
      </c>
      <c r="BZ465" s="3">
        <f>IFERROR(VLOOKUP(L465,CARR_PEN_TBL,2,0),0)</f>
        <v/>
      </c>
      <c r="CA465" s="3">
        <f>W_FIAB*BL465+W_PRECIO*BM465+W_KMEDAD*BQ465+W_ANUNCIO*BR465+W_USO*BW465+W_SEGURIDAD*BY465-BZ465</f>
        <v/>
      </c>
      <c r="CB465" s="4">
        <f>IF(N(I465)&gt;0,I465,IFERROR(ROUND(_xlfn.NUMBERVALUE(LEFT(G465,FIND(" ",G465&amp;" ")-1),".")*1000,0),99999))</f>
        <v/>
      </c>
      <c r="CC465" s="3">
        <f>IF(R465="profesional",0,IF(O465&lt;CUOTA_VALOR_MAX,IF(AU465&gt;ITP_TRAMO_ALTO,SUMIFS(CF_CUOTA,CF_MAS,ITP_TRAMO_ALTO,CF_CCMIN,"&lt;="&amp;CB465,CF_CCMAX,"&gt;="&amp;CB465),IF(AU465&gt;ITP_TRAMO_BAJO,SUMIFS(CF_CUOTA,CF_MAS,ITP_TRAMO_BAJO,CF_CCMIN,"&lt;="&amp;CB465,CF_CCMAX,"&gt;="&amp;CB465),O465*ITP_TIPO)),O465*ITP_TIPO))</f>
        <v/>
      </c>
      <c r="CD465" s="4">
        <f>IF(R465="profesional",N(AK465),0)</f>
        <v/>
      </c>
      <c r="CE465" s="3">
        <f>IF(AND(R465="profesional",ISNUMBER(AK465),AL465="sí"),0,TASA_DGT)</f>
        <v/>
      </c>
      <c r="CF465" s="3">
        <f>INFORME_DGT</f>
        <v/>
      </c>
      <c r="CG465" s="4">
        <f>O465+CD465+CC465+CE465+CF465</f>
        <v/>
      </c>
      <c r="CH465" s="4">
        <f>CG465+N(BU465)</f>
        <v/>
      </c>
      <c r="CI465" s="3">
        <f>IF(CG465&lt;=TOTAL_MAX,"sí",IF(CG465&lt;=TOTAL_MAX+MARGEN_NEG,"negociar","no"))</f>
        <v/>
      </c>
      <c r="CJ465" s="4">
        <f>IF(CI465&lt;&gt;"no",COUNTIFS($CI$2:$CI$662,"&lt;&gt;no",$CA$2:$CA$662,"&gt;"&amp;CA465)+COUNTIFS($CI$2:CI465,"&lt;&gt;no",$CA$2:CA465,CA465),"")</f>
        <v/>
      </c>
    </row>
    <row r="466">
      <c r="A466" s="2" t="inlineStr">
        <is>
          <t>cochesnet:71854218</t>
        </is>
      </c>
      <c r="B466" s="2" t="inlineStr">
        <is>
          <t>cochesnet</t>
        </is>
      </c>
      <c r="C466" s="2" t="inlineStr">
        <is>
          <t>https://www.coches.net/peugeot-208-5p-access-10l-puretech-68-5p-gasolina-2013-en-valencia-71854218-covo.aspx</t>
        </is>
      </c>
      <c r="D466" s="2" t="inlineStr">
        <is>
          <t>PEUGEOT 208 ACCESS 1.0L PureTech 68</t>
        </is>
      </c>
      <c r="E466" s="2" t="inlineStr">
        <is>
          <t>Peugeot</t>
        </is>
      </c>
      <c r="F466" s="2" t="inlineStr">
        <is>
          <t>Peugeot 208</t>
        </is>
      </c>
      <c r="G466" s="2" t="inlineStr">
        <is>
          <t>1.0 PureTech</t>
        </is>
      </c>
      <c r="H466" s="2" t="inlineStr">
        <is>
          <t>5P ACCESS 1.0L PureTech 68</t>
        </is>
      </c>
      <c r="I466" s="2" t="n"/>
      <c r="J466" s="2" t="n"/>
      <c r="K466" s="2" t="inlineStr">
        <is>
          <t>gasolina</t>
        </is>
      </c>
      <c r="L466" s="2" t="inlineStr">
        <is>
          <t>utilitario</t>
        </is>
      </c>
      <c r="M466" s="2" t="n">
        <v>2018</v>
      </c>
      <c r="N466" s="2" t="n">
        <v>98811</v>
      </c>
      <c r="O466" s="2" t="n">
        <v>5000</v>
      </c>
      <c r="P466" s="2" t="inlineStr">
        <is>
          <t>manual</t>
        </is>
      </c>
      <c r="Q466" s="2" t="inlineStr">
        <is>
          <t>no</t>
        </is>
      </c>
      <c r="R466" s="2" t="inlineStr">
        <is>
          <t>particular</t>
        </is>
      </c>
      <c r="S466" s="2" t="inlineStr">
        <is>
          <t>Valencia</t>
        </is>
      </c>
      <c r="T466" s="2" t="inlineStr">
        <is>
          <t>2026-10-28T16:38:02Z</t>
        </is>
      </c>
      <c r="U466" s="2" t="n"/>
      <c r="V466" s="2" t="n"/>
      <c r="W466" s="2" t="n"/>
      <c r="X466" s="2" t="n"/>
      <c r="Y466" s="2" t="n"/>
      <c r="Z466" s="2" t="inlineStr">
        <is>
          <t>no</t>
        </is>
      </c>
      <c r="AA466" s="2" t="n"/>
      <c r="AB466" s="2" t="n"/>
      <c r="AC466" s="2" t="n"/>
      <c r="AD466" s="2" t="n"/>
      <c r="AE466" s="2" t="n"/>
      <c r="AF466" s="2" t="n"/>
      <c r="AG466" s="2" t="n"/>
      <c r="AH466" s="2" t="n">
        <v>5000</v>
      </c>
      <c r="AI466" s="2" t="n"/>
      <c r="AJ466" s="2" t="n"/>
      <c r="AK466" s="2" t="n"/>
      <c r="AL466" s="2" t="n"/>
      <c r="AM466" s="2" t="n">
        <v>0.1</v>
      </c>
      <c r="AN466" s="2" t="n">
        <v>7500</v>
      </c>
      <c r="AO466" s="2" t="n">
        <v>25</v>
      </c>
      <c r="AP466" s="2" t="inlineStr">
        <is>
          <t>modelo+año+km</t>
        </is>
      </c>
      <c r="AQ466" s="2" t="inlineStr">
        <is>
          <t>cochesnet:71623638 (https://www.coches.net/peugeot-208-5p-style-12l-puretech-60kw-82cv-5p-gasolina-2018-en-valencia-71623638-covo.aspx)</t>
        </is>
      </c>
      <c r="AR466" s="2" t="inlineStr">
        <is>
          <t>por encima del presupuesto (5184 €), negociar; cuota fija ITP: &gt;5 y &lt;=12 años, hasta 1.500 cc</t>
        </is>
      </c>
      <c r="AS466" s="2" t="inlineStr">
        <is>
          <t>Vendo mi Peugeot 208 5 puertas, un vehículo ágil y eficiente perfecto para la conducción diaria en ciudad y carretera. Se trata de un modelo Signature con motor PureTech de 1.2 litros y 82 CV, que ofrece una excelente relación entre rendimiento y consumo de combustible.
Este 208 es un coche versátil y práctico, con cinco plazas y cambio manual que garantiza una conducción directa y controlada. Su tamaño compacto lo hace ideal para moverse con facilidad por las calles más estrechas, mientras que su motorización proporciona la potencia necesaria para disfrutar en carretera sin excesivo gasto de combustible.
La versión Signature incluye un equipamiento interesante que mejora la experiencia de conducción y el confort a bordo. Además, cuenta con la etiqueta medioambiental que refleja su compromiso con la eficiencia y el respeto al medio ambiente.
Se trata de un vehículo de 2018 que sigue siendo completamente funcional y fiable. Si buscas un coche económico, manejable y con buen equipamiento a un precio justo, este Peugeot 208 es una opción a considerar.
Estoy disponible para resolver cualquier duda sobre aspectos técnicos o del estado del vehículo que no aparezcan en la ficha. Puedes contactarme por teléfono o chat para ampliar información o concertar una cita para verlo en persona.
Contacta hoy mismo y aprovecha esta oportunidad.</t>
        </is>
      </c>
      <c r="AT466" s="2" t="inlineStr">
        <is>
          <t>https://www.coches.net/peugeot-208-5p-access-10l-puretech-68-5p-gasolina-2013-en-valencia-71854218-covo.aspx (window.__INITIAL_PROPS__.ad) /home/user/Alopecia/buscador-coches/raw/cochesnet/6bb08821e44f2e7d.json</t>
        </is>
      </c>
      <c r="AU466" s="3">
        <f>MAX(ANIO_ACTUAL-M466,0)</f>
        <v/>
      </c>
      <c r="AV466" s="4">
        <f>N466/MAX(AU466,0.5)</f>
        <v/>
      </c>
      <c r="AW466" s="4">
        <f>F466</f>
        <v/>
      </c>
      <c r="AX466" s="3">
        <f>AW466&amp;"|"&amp;INT(M466/SEG_ANIO)*SEG_ANIO</f>
        <v/>
      </c>
      <c r="AY466" s="3">
        <f>AX466&amp;"|"&amp;INT(N466/SEG_KM)*SEG_KM</f>
        <v/>
      </c>
      <c r="AZ466" s="4">
        <f>COUNTIF($AW$2:$AW$662,AW466)</f>
        <v/>
      </c>
      <c r="BA466" s="4">
        <f>COUNTIF($AX$2:$AX$662,AX466)</f>
        <v/>
      </c>
      <c r="BB466" s="4">
        <f>COUNTIF($AY$2:$AY$662,AY466)</f>
        <v/>
      </c>
      <c r="BC466" s="3">
        <f t="array" ref="BC466">IF(N(AO466)&gt;=MIN_N,AN466,IF(BB466&gt;=MIN_N,MEDIAN(IF($AY$2:$AY$662=AY466,$O$2:$O$662)),IF(BA466&gt;=MIN_N,MEDIAN(IF($AX$2:$AX$662=AX466,$O$2:$O$662)),MEDIAN(IF($AW$2:$AW$662=AW466,$O$2:$O$662)))))</f>
        <v/>
      </c>
      <c r="BD466" s="3">
        <f>IF(N(AO466)&gt;=MIN_N,"mercado "&amp;AP466,IF(BB466&gt;=MIN_N,"modelo+año+km",IF(BA466&gt;=MIN_N,"modelo+año","modelo")))</f>
        <v/>
      </c>
      <c r="BE466" s="4">
        <f>(BC466-O466)/BC466</f>
        <v/>
      </c>
      <c r="BF466" s="3">
        <f>IF(OR(K466="hibrido",K466="glp"),"ECO",IF(K466="electrico","CERO",IF(K466="gasolina",IF(M466&gt;=GAS_C,"C",IF(M466&gt;=GAS_B,"B","A")),IF(K466="diesel",IF(M466&gt;=DIE_C,"C",IF(M466&gt;=DIE_B,"B","A")),""))))</f>
        <v/>
      </c>
      <c r="BG466" s="3">
        <f>IFERROR(VLOOKUP(F466,MOD_TBL,11,0),IFERROR(VLOOKUP(E466,OCU_TBL,2,0),NEUTRO))</f>
        <v/>
      </c>
      <c r="BH466" s="3">
        <f>SUMIFS(MOT_AJUSTE,MOT_MOTOR,G466,MOT_MARCA,E466,MOT_DESDE,"&lt;="&amp;M466,MOT_HASTA,"&gt;="&amp;M466)+SUMIFS(MOT_AJUSTE,MOT_MOTOR,G466,MOT_MARCA,"(todas)",MOT_DESDE,"&lt;="&amp;M466,MOT_HASTA,"&gt;="&amp;M466)</f>
        <v/>
      </c>
      <c r="BI466" s="3">
        <f>SUMIFS(COMB_AJUSTE,COMB_COMB,K466)</f>
        <v/>
      </c>
      <c r="BJ466" s="3">
        <f>COUNTIFS(MOT_MOTOR,G466,MOT_MARCA,E466,MOT_DESDE,"&lt;="&amp;M466,MOT_HASTA,"&gt;="&amp;M466)+COUNTIFS(MOT_MOTOR,G466,MOT_MARCA,"(todas)",MOT_DESDE,"&lt;="&amp;M466,MOT_HASTA,"&gt;="&amp;M466)</f>
        <v/>
      </c>
      <c r="BK466" s="3">
        <f>IF(AND(K466="diesel",BJ466=0),MIN(BG466,NEUTRO),BG466)</f>
        <v/>
      </c>
      <c r="BL466" s="4">
        <f>MAX(0,MIN(100,BK466+BH466+BI466))</f>
        <v/>
      </c>
      <c r="BM466" s="3">
        <f>MAX(0,MIN(100,50+BE466*PRECIO_PEND))</f>
        <v/>
      </c>
      <c r="BN466" s="3">
        <f>MAX(0,100*(1-N466/KM_MAX))</f>
        <v/>
      </c>
      <c r="BO466" s="3">
        <f>IF(AV466&lt;KMA_SOSP,IF(AA466="sí",100,KMA_PEN),IF(AV466&lt;=KMA_IDEAL_MAX,100,MAX(0,100*(KMA_CERO-AV466)/(KMA_CERO-KMA_IDEAL_MAX))))</f>
        <v/>
      </c>
      <c r="BP466" s="3">
        <f>MAX(0,MIN(100,100*(M466-ANIO_MIN)/(ANIO_ACTUAL-ANIO_MIN)))</f>
        <v/>
      </c>
      <c r="BQ466" s="3">
        <f>W_KMT*BN466+W_KMA*BO466+W_EDAD*BP466</f>
        <v/>
      </c>
      <c r="BR466" s="3">
        <f>P_ITV*(V466="sí")+P_LIBRO*(W466="sí")+P_CORREA*(X466="sí")+P_PROP*(Y466=1)+P_GAR*(Z466="sí")+P_FOTOS*MIN(1,N(U466)/FOTOS_OBJ)</f>
        <v/>
      </c>
      <c r="BS466" s="3">
        <f>IFERROR(VLOOKUP(BF466,ETQ_TBL,2,0),NEUTRO)</f>
        <v/>
      </c>
      <c r="BT466" s="3">
        <f>NEUTRO</f>
        <v/>
      </c>
      <c r="BU466" s="3">
        <f>IFERROR(VLOOKUP(L466,SEGURO_TBL,3,0),"")</f>
        <v/>
      </c>
      <c r="BV466" s="3">
        <f>IF(BU466="",NEUTRO,MAX(0,MIN(100,100*(SEG_REF_MAX-BU466)/(SEG_REF_MAX-SEG_REF_MIN))))</f>
        <v/>
      </c>
      <c r="BW466" s="3">
        <f>W_ET*BS466+W_CONS*BT466+W_SEG*BV466</f>
        <v/>
      </c>
      <c r="BX466" s="3">
        <f>IF(N(AB466)&gt;0,AB466,IF(AND(R466="profesional",SG_LEGAL_ON=1),GAR_LEGAL,0))</f>
        <v/>
      </c>
      <c r="BY466" s="3">
        <f>SG_GAR*MIN(1,BX466/SG_GAR_FULL)+SG_AMPL*(AC466="sí")+SG_KMC*(AF466="sí")+SG_REV*(N(AE466)&gt;0)+SG_DEV*MIN(1,N(AG466)/SG_DEV_FULL)+SG_HIST*(W466="sí")</f>
        <v/>
      </c>
      <c r="BZ466" s="3">
        <f>IFERROR(VLOOKUP(L466,CARR_PEN_TBL,2,0),0)</f>
        <v/>
      </c>
      <c r="CA466" s="3">
        <f>W_FIAB*BL466+W_PRECIO*BM466+W_KMEDAD*BQ466+W_ANUNCIO*BR466+W_USO*BW466+W_SEGURIDAD*BY466-BZ466</f>
        <v/>
      </c>
      <c r="CB466" s="4">
        <f>IF(N(I466)&gt;0,I466,IFERROR(ROUND(_xlfn.NUMBERVALUE(LEFT(G466,FIND(" ",G466&amp;" ")-1),".")*1000,0),99999))</f>
        <v/>
      </c>
      <c r="CC466" s="3">
        <f>IF(R466="profesional",0,IF(O466&lt;CUOTA_VALOR_MAX,IF(AU466&gt;ITP_TRAMO_ALTO,SUMIFS(CF_CUOTA,CF_MAS,ITP_TRAMO_ALTO,CF_CCMIN,"&lt;="&amp;CB466,CF_CCMAX,"&gt;="&amp;CB466),IF(AU466&gt;ITP_TRAMO_BAJO,SUMIFS(CF_CUOTA,CF_MAS,ITP_TRAMO_BAJO,CF_CCMIN,"&lt;="&amp;CB466,CF_CCMAX,"&gt;="&amp;CB466),O466*ITP_TIPO)),O466*ITP_TIPO))</f>
        <v/>
      </c>
      <c r="CD466" s="4">
        <f>IF(R466="profesional",N(AK466),0)</f>
        <v/>
      </c>
      <c r="CE466" s="3">
        <f>IF(AND(R466="profesional",ISNUMBER(AK466),AL466="sí"),0,TASA_DGT)</f>
        <v/>
      </c>
      <c r="CF466" s="3">
        <f>INFORME_DGT</f>
        <v/>
      </c>
      <c r="CG466" s="4">
        <f>O466+CD466+CC466+CE466+CF466</f>
        <v/>
      </c>
      <c r="CH466" s="4">
        <f>CG466+N(BU466)</f>
        <v/>
      </c>
      <c r="CI466" s="3">
        <f>IF(CG466&lt;=TOTAL_MAX,"sí",IF(CG466&lt;=TOTAL_MAX+MARGEN_NEG,"negociar","no"))</f>
        <v/>
      </c>
      <c r="CJ466" s="4">
        <f>IF(CI466&lt;&gt;"no",COUNTIFS($CI$2:$CI$662,"&lt;&gt;no",$CA$2:$CA$662,"&gt;"&amp;CA466)+COUNTIFS($CI$2:CI466,"&lt;&gt;no",$CA$2:CA466,CA466),"")</f>
        <v/>
      </c>
    </row>
    <row r="467">
      <c r="A467" s="2" t="inlineStr">
        <is>
          <t>cochesnet:71469134</t>
        </is>
      </c>
      <c r="B467" s="2" t="inlineStr">
        <is>
          <t>cochesnet</t>
        </is>
      </c>
      <c r="C467" s="2" t="inlineStr">
        <is>
          <t>https://www.coches.net/peugeot-208-5p-allure-12l-puretech-82-5p-gasolina-2016-en-valencia-71469134-covo.aspx</t>
        </is>
      </c>
      <c r="D467" s="2" t="inlineStr">
        <is>
          <t>PEUGEOT 208 ALLURE 1.2L PureTech 82</t>
        </is>
      </c>
      <c r="E467" s="2" t="inlineStr">
        <is>
          <t>Peugeot</t>
        </is>
      </c>
      <c r="F467" s="2" t="inlineStr">
        <is>
          <t>Peugeot 208</t>
        </is>
      </c>
      <c r="G467" s="2" t="inlineStr">
        <is>
          <t>1.2 PureTech</t>
        </is>
      </c>
      <c r="H467" s="2" t="inlineStr">
        <is>
          <t>5P ALLURE 1.2L PureTech 82</t>
        </is>
      </c>
      <c r="I467" s="2" t="n"/>
      <c r="J467" s="2" t="n"/>
      <c r="K467" s="2" t="inlineStr">
        <is>
          <t>gasolina</t>
        </is>
      </c>
      <c r="L467" s="2" t="inlineStr">
        <is>
          <t>utilitario</t>
        </is>
      </c>
      <c r="M467" s="2" t="n">
        <v>2016</v>
      </c>
      <c r="N467" s="2" t="n">
        <v>118000</v>
      </c>
      <c r="O467" s="2" t="n">
        <v>5100</v>
      </c>
      <c r="P467" s="2" t="inlineStr">
        <is>
          <t>manual</t>
        </is>
      </c>
      <c r="Q467" s="2" t="inlineStr">
        <is>
          <t>no</t>
        </is>
      </c>
      <c r="R467" s="2" t="inlineStr">
        <is>
          <t>particular</t>
        </is>
      </c>
      <c r="S467" s="2" t="inlineStr">
        <is>
          <t>Paiporta</t>
        </is>
      </c>
      <c r="T467" s="2" t="inlineStr">
        <is>
          <t>2026-09-08T17:14:17Z</t>
        </is>
      </c>
      <c r="U467" s="2" t="n">
        <v>9</v>
      </c>
      <c r="V467" s="2" t="inlineStr">
        <is>
          <t>sí</t>
        </is>
      </c>
      <c r="W467" s="2" t="inlineStr">
        <is>
          <t>sí</t>
        </is>
      </c>
      <c r="X467" s="2" t="n"/>
      <c r="Y467" s="2" t="n"/>
      <c r="Z467" s="2" t="inlineStr">
        <is>
          <t>no</t>
        </is>
      </c>
      <c r="AA467" s="2" t="n"/>
      <c r="AB467" s="2" t="n"/>
      <c r="AC467" s="2" t="n"/>
      <c r="AD467" s="2" t="n"/>
      <c r="AE467" s="2" t="n"/>
      <c r="AF467" s="2" t="n"/>
      <c r="AG467" s="2" t="n"/>
      <c r="AH467" s="2" t="n">
        <v>5100</v>
      </c>
      <c r="AI467" s="2" t="n"/>
      <c r="AJ467" s="2" t="n"/>
      <c r="AK467" s="2" t="n"/>
      <c r="AL467" s="2" t="n"/>
      <c r="AM467" s="2" t="n">
        <v>5.9</v>
      </c>
      <c r="AN467" s="2" t="n">
        <v>6990</v>
      </c>
      <c r="AO467" s="2" t="n">
        <v>19</v>
      </c>
      <c r="AP467" s="2" t="inlineStr">
        <is>
          <t>modelo+año+km</t>
        </is>
      </c>
      <c r="AQ467" s="2" t="n"/>
      <c r="AR467" s="2" t="inlineStr">
        <is>
          <t>por encima del presupuesto (5284 €), negociar; cuota fija ITP: &gt;5 y &lt;=12 años, hasta 1.500 cc</t>
        </is>
      </c>
      <c r="AS467" s="2" t="inlineStr">
        <is>
          <t>Muy ineresante. Ven a verlo y NEGOCIAMOS!!! 
Se vende Peugeot 208 con acabado Allure (gama alta) en color gris ceniza. Motor gasolina muy eficiente, 117.000 km reales y en perfecto estado de funcionamiento.
• Equipamiento destacado: Navegador GPS integrado, pantalla táctil, climatizador bizona, control de crucero y llantas de aleación.
• Mantenimiento al día: Neumáticos en buen estado e ITV recién pasada (válida hasta agosto de 2027).
• Historial demostrable: Dispongo de todo el historial de revisiones sellado/facturas. El motor nunca ha dado ningún aviso ni fallo de presión de aceite.
Nota de transparencia: Le toca la revisión por kilometraje a los 118.000 km, donde corresponde realizar el cambio preventivo de la correa de distribución. El precio ya está rebajado para que el comprador realice este mantenimiento en su taller de confianza y estrene el coche con total tranquilidad.
Precio algo negociable ante ofertas serias. No acepto cambios.</t>
        </is>
      </c>
      <c r="AT467" s="2" t="inlineStr">
        <is>
          <t>https://www.coches.net/peugeot-208-5p-allure-12l-puretech-82-5p-gasolina-2016-en-valencia-71469134-covo.aspx (window.__INITIAL_PROPS__.ad) /home/user/Alopecia/buscador-coches/raw/cochesnet/c9c3ddf19b45b296.json</t>
        </is>
      </c>
      <c r="AU467" s="3">
        <f>MAX(ANIO_ACTUAL-M467,0)</f>
        <v/>
      </c>
      <c r="AV467" s="4">
        <f>N467/MAX(AU467,0.5)</f>
        <v/>
      </c>
      <c r="AW467" s="4">
        <f>F467</f>
        <v/>
      </c>
      <c r="AX467" s="3">
        <f>AW467&amp;"|"&amp;INT(M467/SEG_ANIO)*SEG_ANIO</f>
        <v/>
      </c>
      <c r="AY467" s="3">
        <f>AX467&amp;"|"&amp;INT(N467/SEG_KM)*SEG_KM</f>
        <v/>
      </c>
      <c r="AZ467" s="4">
        <f>COUNTIF($AW$2:$AW$662,AW467)</f>
        <v/>
      </c>
      <c r="BA467" s="4">
        <f>COUNTIF($AX$2:$AX$662,AX467)</f>
        <v/>
      </c>
      <c r="BB467" s="4">
        <f>COUNTIF($AY$2:$AY$662,AY467)</f>
        <v/>
      </c>
      <c r="BC467" s="3">
        <f t="array" ref="BC467">IF(N(AO467)&gt;=MIN_N,AN467,IF(BB467&gt;=MIN_N,MEDIAN(IF($AY$2:$AY$662=AY467,$O$2:$O$662)),IF(BA467&gt;=MIN_N,MEDIAN(IF($AX$2:$AX$662=AX467,$O$2:$O$662)),MEDIAN(IF($AW$2:$AW$662=AW467,$O$2:$O$662)))))</f>
        <v/>
      </c>
      <c r="BD467" s="3">
        <f>IF(N(AO467)&gt;=MIN_N,"mercado "&amp;AP467,IF(BB467&gt;=MIN_N,"modelo+año+km",IF(BA467&gt;=MIN_N,"modelo+año","modelo")))</f>
        <v/>
      </c>
      <c r="BE467" s="4">
        <f>(BC467-O467)/BC467</f>
        <v/>
      </c>
      <c r="BF467" s="3">
        <f>IF(OR(K467="hibrido",K467="glp"),"ECO",IF(K467="electrico","CERO",IF(K467="gasolina",IF(M467&gt;=GAS_C,"C",IF(M467&gt;=GAS_B,"B","A")),IF(K467="diesel",IF(M467&gt;=DIE_C,"C",IF(M467&gt;=DIE_B,"B","A")),""))))</f>
        <v/>
      </c>
      <c r="BG467" s="3">
        <f>IFERROR(VLOOKUP(F467,MOD_TBL,11,0),IFERROR(VLOOKUP(E467,OCU_TBL,2,0),NEUTRO))</f>
        <v/>
      </c>
      <c r="BH467" s="3">
        <f>SUMIFS(MOT_AJUSTE,MOT_MOTOR,G467,MOT_MARCA,E467,MOT_DESDE,"&lt;="&amp;M467,MOT_HASTA,"&gt;="&amp;M467)+SUMIFS(MOT_AJUSTE,MOT_MOTOR,G467,MOT_MARCA,"(todas)",MOT_DESDE,"&lt;="&amp;M467,MOT_HASTA,"&gt;="&amp;M467)</f>
        <v/>
      </c>
      <c r="BI467" s="3">
        <f>SUMIFS(COMB_AJUSTE,COMB_COMB,K467)</f>
        <v/>
      </c>
      <c r="BJ467" s="3">
        <f>COUNTIFS(MOT_MOTOR,G467,MOT_MARCA,E467,MOT_DESDE,"&lt;="&amp;M467,MOT_HASTA,"&gt;="&amp;M467)+COUNTIFS(MOT_MOTOR,G467,MOT_MARCA,"(todas)",MOT_DESDE,"&lt;="&amp;M467,MOT_HASTA,"&gt;="&amp;M467)</f>
        <v/>
      </c>
      <c r="BK467" s="3">
        <f>IF(AND(K467="diesel",BJ467=0),MIN(BG467,NEUTRO),BG467)</f>
        <v/>
      </c>
      <c r="BL467" s="4">
        <f>MAX(0,MIN(100,BK467+BH467+BI467))</f>
        <v/>
      </c>
      <c r="BM467" s="3">
        <f>MAX(0,MIN(100,50+BE467*PRECIO_PEND))</f>
        <v/>
      </c>
      <c r="BN467" s="3">
        <f>MAX(0,100*(1-N467/KM_MAX))</f>
        <v/>
      </c>
      <c r="BO467" s="3">
        <f>IF(AV467&lt;KMA_SOSP,IF(AA467="sí",100,KMA_PEN),IF(AV467&lt;=KMA_IDEAL_MAX,100,MAX(0,100*(KMA_CERO-AV467)/(KMA_CERO-KMA_IDEAL_MAX))))</f>
        <v/>
      </c>
      <c r="BP467" s="3">
        <f>MAX(0,MIN(100,100*(M467-ANIO_MIN)/(ANIO_ACTUAL-ANIO_MIN)))</f>
        <v/>
      </c>
      <c r="BQ467" s="3">
        <f>W_KMT*BN467+W_KMA*BO467+W_EDAD*BP467</f>
        <v/>
      </c>
      <c r="BR467" s="3">
        <f>P_ITV*(V467="sí")+P_LIBRO*(W467="sí")+P_CORREA*(X467="sí")+P_PROP*(Y467=1)+P_GAR*(Z467="sí")+P_FOTOS*MIN(1,N(U467)/FOTOS_OBJ)</f>
        <v/>
      </c>
      <c r="BS467" s="3">
        <f>IFERROR(VLOOKUP(BF467,ETQ_TBL,2,0),NEUTRO)</f>
        <v/>
      </c>
      <c r="BT467" s="3">
        <f>NEUTRO</f>
        <v/>
      </c>
      <c r="BU467" s="3">
        <f>IFERROR(VLOOKUP(L467,SEGURO_TBL,3,0),"")</f>
        <v/>
      </c>
      <c r="BV467" s="3">
        <f>IF(BU467="",NEUTRO,MAX(0,MIN(100,100*(SEG_REF_MAX-BU467)/(SEG_REF_MAX-SEG_REF_MIN))))</f>
        <v/>
      </c>
      <c r="BW467" s="3">
        <f>W_ET*BS467+W_CONS*BT467+W_SEG*BV467</f>
        <v/>
      </c>
      <c r="BX467" s="3">
        <f>IF(N(AB467)&gt;0,AB467,IF(AND(R467="profesional",SG_LEGAL_ON=1),GAR_LEGAL,0))</f>
        <v/>
      </c>
      <c r="BY467" s="3">
        <f>SG_GAR*MIN(1,BX467/SG_GAR_FULL)+SG_AMPL*(AC467="sí")+SG_KMC*(AF467="sí")+SG_REV*(N(AE467)&gt;0)+SG_DEV*MIN(1,N(AG467)/SG_DEV_FULL)+SG_HIST*(W467="sí")</f>
        <v/>
      </c>
      <c r="BZ467" s="3">
        <f>IFERROR(VLOOKUP(L467,CARR_PEN_TBL,2,0),0)</f>
        <v/>
      </c>
      <c r="CA467" s="3">
        <f>W_FIAB*BL467+W_PRECIO*BM467+W_KMEDAD*BQ467+W_ANUNCIO*BR467+W_USO*BW467+W_SEGURIDAD*BY467-BZ467</f>
        <v/>
      </c>
      <c r="CB467" s="4">
        <f>IF(N(I467)&gt;0,I467,IFERROR(ROUND(_xlfn.NUMBERVALUE(LEFT(G467,FIND(" ",G467&amp;" ")-1),".")*1000,0),99999))</f>
        <v/>
      </c>
      <c r="CC467" s="3">
        <f>IF(R467="profesional",0,IF(O467&lt;CUOTA_VALOR_MAX,IF(AU467&gt;ITP_TRAMO_ALTO,SUMIFS(CF_CUOTA,CF_MAS,ITP_TRAMO_ALTO,CF_CCMIN,"&lt;="&amp;CB467,CF_CCMAX,"&gt;="&amp;CB467),IF(AU467&gt;ITP_TRAMO_BAJO,SUMIFS(CF_CUOTA,CF_MAS,ITP_TRAMO_BAJO,CF_CCMIN,"&lt;="&amp;CB467,CF_CCMAX,"&gt;="&amp;CB467),O467*ITP_TIPO)),O467*ITP_TIPO))</f>
        <v/>
      </c>
      <c r="CD467" s="4">
        <f>IF(R467="profesional",N(AK467),0)</f>
        <v/>
      </c>
      <c r="CE467" s="3">
        <f>IF(AND(R467="profesional",ISNUMBER(AK467),AL467="sí"),0,TASA_DGT)</f>
        <v/>
      </c>
      <c r="CF467" s="3">
        <f>INFORME_DGT</f>
        <v/>
      </c>
      <c r="CG467" s="4">
        <f>O467+CD467+CC467+CE467+CF467</f>
        <v/>
      </c>
      <c r="CH467" s="4">
        <f>CG467+N(BU467)</f>
        <v/>
      </c>
      <c r="CI467" s="3">
        <f>IF(CG467&lt;=TOTAL_MAX,"sí",IF(CG467&lt;=TOTAL_MAX+MARGEN_NEG,"negociar","no"))</f>
        <v/>
      </c>
      <c r="CJ467" s="4">
        <f>IF(CI467&lt;&gt;"no",COUNTIFS($CI$2:$CI$662,"&lt;&gt;no",$CA$2:$CA$662,"&gt;"&amp;CA467)+COUNTIFS($CI$2:CI467,"&lt;&gt;no",$CA$2:CA467,CA467),"")</f>
        <v/>
      </c>
    </row>
    <row r="468">
      <c r="A468" s="2" t="inlineStr">
        <is>
          <t>cochesnet:71376986</t>
        </is>
      </c>
      <c r="B468" s="2" t="inlineStr">
        <is>
          <t>cochesnet</t>
        </is>
      </c>
      <c r="C468" s="2" t="inlineStr">
        <is>
          <t>https://www.coches.net/peugeot-208-gasolina-2016-en-valencia-71376986-covo.aspx</t>
        </is>
      </c>
      <c r="D468" s="2" t="inlineStr">
        <is>
          <t>PEUGEOT 208</t>
        </is>
      </c>
      <c r="E468" s="2" t="inlineStr">
        <is>
          <t>Peugeot</t>
        </is>
      </c>
      <c r="F468" s="2" t="inlineStr">
        <is>
          <t>Peugeot 208</t>
        </is>
      </c>
      <c r="G468" s="2" t="n"/>
      <c r="H468" s="2" t="n"/>
      <c r="I468" s="2" t="n"/>
      <c r="J468" s="2" t="n"/>
      <c r="K468" s="2" t="inlineStr">
        <is>
          <t>gasolina</t>
        </is>
      </c>
      <c r="L468" s="2" t="inlineStr">
        <is>
          <t>utilitario</t>
        </is>
      </c>
      <c r="M468" s="2" t="n">
        <v>2016</v>
      </c>
      <c r="N468" s="2" t="n">
        <v>140000</v>
      </c>
      <c r="O468" s="2" t="n">
        <v>4990</v>
      </c>
      <c r="P468" s="2" t="inlineStr">
        <is>
          <t>manual</t>
        </is>
      </c>
      <c r="Q468" s="2" t="inlineStr">
        <is>
          <t>no</t>
        </is>
      </c>
      <c r="R468" s="2" t="inlineStr">
        <is>
          <t>particular</t>
        </is>
      </c>
      <c r="S468" s="2" t="n"/>
      <c r="T468" s="2" t="inlineStr">
        <is>
          <t>2026-08-27T10:51:19Z</t>
        </is>
      </c>
      <c r="U468" s="2" t="n">
        <v>6</v>
      </c>
      <c r="V468" s="2" t="inlineStr">
        <is>
          <t>sí</t>
        </is>
      </c>
      <c r="W468" s="2" t="n"/>
      <c r="X468" s="2" t="n"/>
      <c r="Y468" s="2" t="n"/>
      <c r="Z468" s="2" t="inlineStr">
        <is>
          <t>no</t>
        </is>
      </c>
      <c r="AA468" s="2" t="n"/>
      <c r="AB468" s="2" t="n"/>
      <c r="AC468" s="2" t="n"/>
      <c r="AD468" s="2" t="n"/>
      <c r="AE468" s="2" t="n"/>
      <c r="AF468" s="2" t="n"/>
      <c r="AG468" s="2" t="n"/>
      <c r="AH468" s="2" t="n">
        <v>4990</v>
      </c>
      <c r="AI468" s="2" t="n"/>
      <c r="AJ468" s="2" t="n"/>
      <c r="AK468" s="2" t="n"/>
      <c r="AL468" s="2" t="n"/>
      <c r="AM468" s="2" t="n"/>
      <c r="AN468" s="2" t="n">
        <v>6990</v>
      </c>
      <c r="AO468" s="2" t="n">
        <v>19</v>
      </c>
      <c r="AP468" s="2" t="inlineStr">
        <is>
          <t>modelo+año+km</t>
        </is>
      </c>
      <c r="AQ468" s="2" t="n"/>
      <c r="AR468" s="2" t="inlineStr">
        <is>
          <t>cilindrada desconocida: se aplica el tramo de cuota fija más alto; cuota fija ITP: &gt;5 y &lt;=12 años, más de 2.000 cc; distancia no verificable (el anuncio solo indica la provincia): confirmar que está a &lt;= 70 km</t>
        </is>
      </c>
      <c r="AS468" s="2" t="inlineStr">
        <is>
          <t>Vendo peugeot 208 1.2 i puretech active 5p. A/A, D/D, C/C. Revisiones al dia, incluso correa de distribucion. Itv hasta 2027. (No contesto a correos electronicos. Solo llamadas y wassap). Si ves el anuncio, es porque sigue a la venta.</t>
        </is>
      </c>
      <c r="AT468" s="2" t="inlineStr">
        <is>
          <t>https://www.coches.net/peugeot-208-gasolina-2016-en-valencia-71376986-covo.aspx (window.__INITIAL_PROPS__.ad) /home/user/Alopecia/buscador-coches/raw/cochesnet/6e4b25ad505405b6.json</t>
        </is>
      </c>
      <c r="AU468" s="3">
        <f>MAX(ANIO_ACTUAL-M468,0)</f>
        <v/>
      </c>
      <c r="AV468" s="4">
        <f>N468/MAX(AU468,0.5)</f>
        <v/>
      </c>
      <c r="AW468" s="4">
        <f>F468</f>
        <v/>
      </c>
      <c r="AX468" s="3">
        <f>AW468&amp;"|"&amp;INT(M468/SEG_ANIO)*SEG_ANIO</f>
        <v/>
      </c>
      <c r="AY468" s="3">
        <f>AX468&amp;"|"&amp;INT(N468/SEG_KM)*SEG_KM</f>
        <v/>
      </c>
      <c r="AZ468" s="4">
        <f>COUNTIF($AW$2:$AW$662,AW468)</f>
        <v/>
      </c>
      <c r="BA468" s="4">
        <f>COUNTIF($AX$2:$AX$662,AX468)</f>
        <v/>
      </c>
      <c r="BB468" s="4">
        <f>COUNTIF($AY$2:$AY$662,AY468)</f>
        <v/>
      </c>
      <c r="BC468" s="3">
        <f t="array" ref="BC468">IF(N(AO468)&gt;=MIN_N,AN468,IF(BB468&gt;=MIN_N,MEDIAN(IF($AY$2:$AY$662=AY468,$O$2:$O$662)),IF(BA468&gt;=MIN_N,MEDIAN(IF($AX$2:$AX$662=AX468,$O$2:$O$662)),MEDIAN(IF($AW$2:$AW$662=AW468,$O$2:$O$662)))))</f>
        <v/>
      </c>
      <c r="BD468" s="3">
        <f>IF(N(AO468)&gt;=MIN_N,"mercado "&amp;AP468,IF(BB468&gt;=MIN_N,"modelo+año+km",IF(BA468&gt;=MIN_N,"modelo+año","modelo")))</f>
        <v/>
      </c>
      <c r="BE468" s="4">
        <f>(BC468-O468)/BC468</f>
        <v/>
      </c>
      <c r="BF468" s="3">
        <f>IF(OR(K468="hibrido",K468="glp"),"ECO",IF(K468="electrico","CERO",IF(K468="gasolina",IF(M468&gt;=GAS_C,"C",IF(M468&gt;=GAS_B,"B","A")),IF(K468="diesel",IF(M468&gt;=DIE_C,"C",IF(M468&gt;=DIE_B,"B","A")),""))))</f>
        <v/>
      </c>
      <c r="BG468" s="3">
        <f>IFERROR(VLOOKUP(F468,MOD_TBL,11,0),IFERROR(VLOOKUP(E468,OCU_TBL,2,0),NEUTRO))</f>
        <v/>
      </c>
      <c r="BH468" s="3">
        <f>SUMIFS(MOT_AJUSTE,MOT_MOTOR,G468,MOT_MARCA,E468,MOT_DESDE,"&lt;="&amp;M468,MOT_HASTA,"&gt;="&amp;M468)+SUMIFS(MOT_AJUSTE,MOT_MOTOR,G468,MOT_MARCA,"(todas)",MOT_DESDE,"&lt;="&amp;M468,MOT_HASTA,"&gt;="&amp;M468)</f>
        <v/>
      </c>
      <c r="BI468" s="3">
        <f>SUMIFS(COMB_AJUSTE,COMB_COMB,K468)</f>
        <v/>
      </c>
      <c r="BJ468" s="3">
        <f>COUNTIFS(MOT_MOTOR,G468,MOT_MARCA,E468,MOT_DESDE,"&lt;="&amp;M468,MOT_HASTA,"&gt;="&amp;M468)+COUNTIFS(MOT_MOTOR,G468,MOT_MARCA,"(todas)",MOT_DESDE,"&lt;="&amp;M468,MOT_HASTA,"&gt;="&amp;M468)</f>
        <v/>
      </c>
      <c r="BK468" s="3">
        <f>IF(AND(K468="diesel",BJ468=0),MIN(BG468,NEUTRO),BG468)</f>
        <v/>
      </c>
      <c r="BL468" s="4">
        <f>MAX(0,MIN(100,BK468+BH468+BI468))</f>
        <v/>
      </c>
      <c r="BM468" s="3">
        <f>MAX(0,MIN(100,50+BE468*PRECIO_PEND))</f>
        <v/>
      </c>
      <c r="BN468" s="3">
        <f>MAX(0,100*(1-N468/KM_MAX))</f>
        <v/>
      </c>
      <c r="BO468" s="3">
        <f>IF(AV468&lt;KMA_SOSP,IF(AA468="sí",100,KMA_PEN),IF(AV468&lt;=KMA_IDEAL_MAX,100,MAX(0,100*(KMA_CERO-AV468)/(KMA_CERO-KMA_IDEAL_MAX))))</f>
        <v/>
      </c>
      <c r="BP468" s="3">
        <f>MAX(0,MIN(100,100*(M468-ANIO_MIN)/(ANIO_ACTUAL-ANIO_MIN)))</f>
        <v/>
      </c>
      <c r="BQ468" s="3">
        <f>W_KMT*BN468+W_KMA*BO468+W_EDAD*BP468</f>
        <v/>
      </c>
      <c r="BR468" s="3">
        <f>P_ITV*(V468="sí")+P_LIBRO*(W468="sí")+P_CORREA*(X468="sí")+P_PROP*(Y468=1)+P_GAR*(Z468="sí")+P_FOTOS*MIN(1,N(U468)/FOTOS_OBJ)</f>
        <v/>
      </c>
      <c r="BS468" s="3">
        <f>IFERROR(VLOOKUP(BF468,ETQ_TBL,2,0),NEUTRO)</f>
        <v/>
      </c>
      <c r="BT468" s="3">
        <f>NEUTRO</f>
        <v/>
      </c>
      <c r="BU468" s="3">
        <f>IFERROR(VLOOKUP(L468,SEGURO_TBL,3,0),"")</f>
        <v/>
      </c>
      <c r="BV468" s="3">
        <f>IF(BU468="",NEUTRO,MAX(0,MIN(100,100*(SEG_REF_MAX-BU468)/(SEG_REF_MAX-SEG_REF_MIN))))</f>
        <v/>
      </c>
      <c r="BW468" s="3">
        <f>W_ET*BS468+W_CONS*BT468+W_SEG*BV468</f>
        <v/>
      </c>
      <c r="BX468" s="3">
        <f>IF(N(AB468)&gt;0,AB468,IF(AND(R468="profesional",SG_LEGAL_ON=1),GAR_LEGAL,0))</f>
        <v/>
      </c>
      <c r="BY468" s="3">
        <f>SG_GAR*MIN(1,BX468/SG_GAR_FULL)+SG_AMPL*(AC468="sí")+SG_KMC*(AF468="sí")+SG_REV*(N(AE468)&gt;0)+SG_DEV*MIN(1,N(AG468)/SG_DEV_FULL)+SG_HIST*(W468="sí")</f>
        <v/>
      </c>
      <c r="BZ468" s="3">
        <f>IFERROR(VLOOKUP(L468,CARR_PEN_TBL,2,0),0)</f>
        <v/>
      </c>
      <c r="CA468" s="3">
        <f>W_FIAB*BL468+W_PRECIO*BM468+W_KMEDAD*BQ468+W_ANUNCIO*BR468+W_USO*BW468+W_SEGURIDAD*BY468-BZ468</f>
        <v/>
      </c>
      <c r="CB468" s="4">
        <f>IF(N(I468)&gt;0,I468,IFERROR(ROUND(_xlfn.NUMBERVALUE(LEFT(G468,FIND(" ",G468&amp;" ")-1),".")*1000,0),99999))</f>
        <v/>
      </c>
      <c r="CC468" s="3">
        <f>IF(R468="profesional",0,IF(O468&lt;CUOTA_VALOR_MAX,IF(AU468&gt;ITP_TRAMO_ALTO,SUMIFS(CF_CUOTA,CF_MAS,ITP_TRAMO_ALTO,CF_CCMIN,"&lt;="&amp;CB468,CF_CCMAX,"&gt;="&amp;CB468),IF(AU468&gt;ITP_TRAMO_BAJO,SUMIFS(CF_CUOTA,CF_MAS,ITP_TRAMO_BAJO,CF_CCMIN,"&lt;="&amp;CB468,CF_CCMAX,"&gt;="&amp;CB468),O468*ITP_TIPO)),O468*ITP_TIPO))</f>
        <v/>
      </c>
      <c r="CD468" s="4">
        <f>IF(R468="profesional",N(AK468),0)</f>
        <v/>
      </c>
      <c r="CE468" s="3">
        <f>IF(AND(R468="profesional",ISNUMBER(AK468),AL468="sí"),0,TASA_DGT)</f>
        <v/>
      </c>
      <c r="CF468" s="3">
        <f>INFORME_DGT</f>
        <v/>
      </c>
      <c r="CG468" s="4">
        <f>O468+CD468+CC468+CE468+CF468</f>
        <v/>
      </c>
      <c r="CH468" s="4">
        <f>CG468+N(BU468)</f>
        <v/>
      </c>
      <c r="CI468" s="3">
        <f>IF(CG468&lt;=TOTAL_MAX,"sí",IF(CG468&lt;=TOTAL_MAX+MARGEN_NEG,"negociar","no"))</f>
        <v/>
      </c>
      <c r="CJ468" s="4">
        <f>IF(CI468&lt;&gt;"no",COUNTIFS($CI$2:$CI$662,"&lt;&gt;no",$CA$2:$CA$662,"&gt;"&amp;CA468)+COUNTIFS($CI$2:CI468,"&lt;&gt;no",$CA$2:CA468,CA468),"")</f>
        <v/>
      </c>
    </row>
    <row r="469">
      <c r="A469" s="2" t="inlineStr">
        <is>
          <t>cochesnet:71221918</t>
        </is>
      </c>
      <c r="B469" s="2" t="inlineStr">
        <is>
          <t>cochesnet</t>
        </is>
      </c>
      <c r="C469" s="2" t="inlineStr">
        <is>
          <t>https://www.coches.net/peugeot-208-gasolina-2013-en-valencia-71221918-covo.aspx</t>
        </is>
      </c>
      <c r="D469" s="2" t="inlineStr">
        <is>
          <t>PEUGEOT 208 ACCESS 1.0L PureTech 68</t>
        </is>
      </c>
      <c r="E469" s="2" t="inlineStr">
        <is>
          <t>Peugeot</t>
        </is>
      </c>
      <c r="F469" s="2" t="inlineStr">
        <is>
          <t>Peugeot 208</t>
        </is>
      </c>
      <c r="G469" s="2" t="inlineStr">
        <is>
          <t>1.0 PureTech</t>
        </is>
      </c>
      <c r="H469" s="2" t="inlineStr">
        <is>
          <t>5P ACCESS 1.0L PureTech 68</t>
        </is>
      </c>
      <c r="I469" s="2" t="n"/>
      <c r="J469" s="2" t="n"/>
      <c r="K469" s="2" t="inlineStr">
        <is>
          <t>gasolina</t>
        </is>
      </c>
      <c r="L469" s="2" t="inlineStr">
        <is>
          <t>utilitario</t>
        </is>
      </c>
      <c r="M469" s="2" t="n">
        <v>2013</v>
      </c>
      <c r="N469" s="2" t="n">
        <v>50000</v>
      </c>
      <c r="O469" s="2" t="n">
        <v>4850</v>
      </c>
      <c r="P469" s="2" t="inlineStr">
        <is>
          <t>manual</t>
        </is>
      </c>
      <c r="Q469" s="2" t="inlineStr">
        <is>
          <t>no</t>
        </is>
      </c>
      <c r="R469" s="2" t="inlineStr">
        <is>
          <t>particular</t>
        </is>
      </c>
      <c r="S469" s="2" t="n"/>
      <c r="T469" s="2" t="inlineStr">
        <is>
          <t>2026-08-03T17:51:35Z</t>
        </is>
      </c>
      <c r="U469" s="2" t="n">
        <v>9</v>
      </c>
      <c r="V469" s="2" t="n"/>
      <c r="W469" s="2" t="n"/>
      <c r="X469" s="2" t="n"/>
      <c r="Y469" s="2" t="n"/>
      <c r="Z469" s="2" t="inlineStr">
        <is>
          <t>no</t>
        </is>
      </c>
      <c r="AA469" s="2" t="n"/>
      <c r="AB469" s="2" t="n"/>
      <c r="AC469" s="2" t="n"/>
      <c r="AD469" s="2" t="n"/>
      <c r="AE469" s="2" t="n"/>
      <c r="AF469" s="2" t="n"/>
      <c r="AG469" s="2" t="n"/>
      <c r="AH469" s="2" t="n">
        <v>4850</v>
      </c>
      <c r="AI469" s="2" t="n"/>
      <c r="AJ469" s="2" t="n"/>
      <c r="AK469" s="2" t="n"/>
      <c r="AL469" s="2" t="n"/>
      <c r="AM469" s="2" t="n"/>
      <c r="AN469" s="2" t="n">
        <v>7349</v>
      </c>
      <c r="AO469" s="2" t="n">
        <v>12</v>
      </c>
      <c r="AP469" s="2" t="inlineStr">
        <is>
          <t>modelo+año+km</t>
        </is>
      </c>
      <c r="AQ469" s="2" t="n"/>
      <c r="AR469" s="2" t="inlineStr">
        <is>
          <t>antigüedad en el límite del tramo: depende de la fecha exacta de matriculación; cuota fija ITP: &gt;12 años, hasta 1.500 cc; distancia no verificable (el anuncio solo indica la provincia): confirmar que está a &lt;= 70 km</t>
        </is>
      </c>
      <c r="AS469" s="2" t="inlineStr">
        <is>
          <t>Vendo Peugeot 208 5 puertas de 2013, motor gasolina de 68 CV (50 kW), con solo 50.000 km. Coche muy cuidado, ideal para ciudad o para quien busca un vehículo económico, fiable y con un consumo muy bajo.
Precio negociable.
 Mantenimientos al día.
Batería recién cambiada.
Distribución y bomba de aceite recién sustituidas en concesionario oficial Peugeot.
Equipamiento:radio multimedia, Bluetooth para llamadas y música.Aire acondicionado.Control de crucero.Limitador de velocidad.Cambio manual de 5 velocidades.
Se entrega con 2 llaves originales.
El coche tiene algunos desperfectos estéticos en la pintura, visibles por el paso del tiempo, pero mecánicamente está en muy buen estado y listo para usar sin necesidad de hacerle nada.
Muy bajo consumo de gasolina, perfecto como primer coche o para el día a día.
Para cualquier duda o si quieres verlo, escríbeme sin compromiso.</t>
        </is>
      </c>
      <c r="AT469" s="2" t="inlineStr">
        <is>
          <t>https://www.coches.net/peugeot-208-gasolina-2013-en-valencia-71221918-covo.aspx (window.__INITIAL_PROPS__.ad) /home/user/Alopecia/buscador-coches/raw/cochesnet/c5c3f33ab89edfd7.json</t>
        </is>
      </c>
      <c r="AU469" s="3">
        <f>MAX(ANIO_ACTUAL-M469,0)</f>
        <v/>
      </c>
      <c r="AV469" s="4">
        <f>N469/MAX(AU469,0.5)</f>
        <v/>
      </c>
      <c r="AW469" s="4">
        <f>F469</f>
        <v/>
      </c>
      <c r="AX469" s="3">
        <f>AW469&amp;"|"&amp;INT(M469/SEG_ANIO)*SEG_ANIO</f>
        <v/>
      </c>
      <c r="AY469" s="3">
        <f>AX469&amp;"|"&amp;INT(N469/SEG_KM)*SEG_KM</f>
        <v/>
      </c>
      <c r="AZ469" s="4">
        <f>COUNTIF($AW$2:$AW$662,AW469)</f>
        <v/>
      </c>
      <c r="BA469" s="4">
        <f>COUNTIF($AX$2:$AX$662,AX469)</f>
        <v/>
      </c>
      <c r="BB469" s="4">
        <f>COUNTIF($AY$2:$AY$662,AY469)</f>
        <v/>
      </c>
      <c r="BC469" s="3">
        <f t="array" ref="BC469">IF(N(AO469)&gt;=MIN_N,AN469,IF(BB469&gt;=MIN_N,MEDIAN(IF($AY$2:$AY$662=AY469,$O$2:$O$662)),IF(BA469&gt;=MIN_N,MEDIAN(IF($AX$2:$AX$662=AX469,$O$2:$O$662)),MEDIAN(IF($AW$2:$AW$662=AW469,$O$2:$O$662)))))</f>
        <v/>
      </c>
      <c r="BD469" s="3">
        <f>IF(N(AO469)&gt;=MIN_N,"mercado "&amp;AP469,IF(BB469&gt;=MIN_N,"modelo+año+km",IF(BA469&gt;=MIN_N,"modelo+año","modelo")))</f>
        <v/>
      </c>
      <c r="BE469" s="4">
        <f>(BC469-O469)/BC469</f>
        <v/>
      </c>
      <c r="BF469" s="3">
        <f>IF(OR(K469="hibrido",K469="glp"),"ECO",IF(K469="electrico","CERO",IF(K469="gasolina",IF(M469&gt;=GAS_C,"C",IF(M469&gt;=GAS_B,"B","A")),IF(K469="diesel",IF(M469&gt;=DIE_C,"C",IF(M469&gt;=DIE_B,"B","A")),""))))</f>
        <v/>
      </c>
      <c r="BG469" s="3">
        <f>IFERROR(VLOOKUP(F469,MOD_TBL,11,0),IFERROR(VLOOKUP(E469,OCU_TBL,2,0),NEUTRO))</f>
        <v/>
      </c>
      <c r="BH469" s="3">
        <f>SUMIFS(MOT_AJUSTE,MOT_MOTOR,G469,MOT_MARCA,E469,MOT_DESDE,"&lt;="&amp;M469,MOT_HASTA,"&gt;="&amp;M469)+SUMIFS(MOT_AJUSTE,MOT_MOTOR,G469,MOT_MARCA,"(todas)",MOT_DESDE,"&lt;="&amp;M469,MOT_HASTA,"&gt;="&amp;M469)</f>
        <v/>
      </c>
      <c r="BI469" s="3">
        <f>SUMIFS(COMB_AJUSTE,COMB_COMB,K469)</f>
        <v/>
      </c>
      <c r="BJ469" s="3">
        <f>COUNTIFS(MOT_MOTOR,G469,MOT_MARCA,E469,MOT_DESDE,"&lt;="&amp;M469,MOT_HASTA,"&gt;="&amp;M469)+COUNTIFS(MOT_MOTOR,G469,MOT_MARCA,"(todas)",MOT_DESDE,"&lt;="&amp;M469,MOT_HASTA,"&gt;="&amp;M469)</f>
        <v/>
      </c>
      <c r="BK469" s="3">
        <f>IF(AND(K469="diesel",BJ469=0),MIN(BG469,NEUTRO),BG469)</f>
        <v/>
      </c>
      <c r="BL469" s="4">
        <f>MAX(0,MIN(100,BK469+BH469+BI469))</f>
        <v/>
      </c>
      <c r="BM469" s="3">
        <f>MAX(0,MIN(100,50+BE469*PRECIO_PEND))</f>
        <v/>
      </c>
      <c r="BN469" s="3">
        <f>MAX(0,100*(1-N469/KM_MAX))</f>
        <v/>
      </c>
      <c r="BO469" s="3">
        <f>IF(AV469&lt;KMA_SOSP,IF(AA469="sí",100,KMA_PEN),IF(AV469&lt;=KMA_IDEAL_MAX,100,MAX(0,100*(KMA_CERO-AV469)/(KMA_CERO-KMA_IDEAL_MAX))))</f>
        <v/>
      </c>
      <c r="BP469" s="3">
        <f>MAX(0,MIN(100,100*(M469-ANIO_MIN)/(ANIO_ACTUAL-ANIO_MIN)))</f>
        <v/>
      </c>
      <c r="BQ469" s="3">
        <f>W_KMT*BN469+W_KMA*BO469+W_EDAD*BP469</f>
        <v/>
      </c>
      <c r="BR469" s="3">
        <f>P_ITV*(V469="sí")+P_LIBRO*(W469="sí")+P_CORREA*(X469="sí")+P_PROP*(Y469=1)+P_GAR*(Z469="sí")+P_FOTOS*MIN(1,N(U469)/FOTOS_OBJ)</f>
        <v/>
      </c>
      <c r="BS469" s="3">
        <f>IFERROR(VLOOKUP(BF469,ETQ_TBL,2,0),NEUTRO)</f>
        <v/>
      </c>
      <c r="BT469" s="3">
        <f>NEUTRO</f>
        <v/>
      </c>
      <c r="BU469" s="3">
        <f>IFERROR(VLOOKUP(L469,SEGURO_TBL,3,0),"")</f>
        <v/>
      </c>
      <c r="BV469" s="3">
        <f>IF(BU469="",NEUTRO,MAX(0,MIN(100,100*(SEG_REF_MAX-BU469)/(SEG_REF_MAX-SEG_REF_MIN))))</f>
        <v/>
      </c>
      <c r="BW469" s="3">
        <f>W_ET*BS469+W_CONS*BT469+W_SEG*BV469</f>
        <v/>
      </c>
      <c r="BX469" s="3">
        <f>IF(N(AB469)&gt;0,AB469,IF(AND(R469="profesional",SG_LEGAL_ON=1),GAR_LEGAL,0))</f>
        <v/>
      </c>
      <c r="BY469" s="3">
        <f>SG_GAR*MIN(1,BX469/SG_GAR_FULL)+SG_AMPL*(AC469="sí")+SG_KMC*(AF469="sí")+SG_REV*(N(AE469)&gt;0)+SG_DEV*MIN(1,N(AG469)/SG_DEV_FULL)+SG_HIST*(W469="sí")</f>
        <v/>
      </c>
      <c r="BZ469" s="3">
        <f>IFERROR(VLOOKUP(L469,CARR_PEN_TBL,2,0),0)</f>
        <v/>
      </c>
      <c r="CA469" s="3">
        <f>W_FIAB*BL469+W_PRECIO*BM469+W_KMEDAD*BQ469+W_ANUNCIO*BR469+W_USO*BW469+W_SEGURIDAD*BY469-BZ469</f>
        <v/>
      </c>
      <c r="CB469" s="4">
        <f>IF(N(I469)&gt;0,I469,IFERROR(ROUND(_xlfn.NUMBERVALUE(LEFT(G469,FIND(" ",G469&amp;" ")-1),".")*1000,0),99999))</f>
        <v/>
      </c>
      <c r="CC469" s="3">
        <f>IF(R469="profesional",0,IF(O469&lt;CUOTA_VALOR_MAX,IF(AU469&gt;ITP_TRAMO_ALTO,SUMIFS(CF_CUOTA,CF_MAS,ITP_TRAMO_ALTO,CF_CCMIN,"&lt;="&amp;CB469,CF_CCMAX,"&gt;="&amp;CB469),IF(AU469&gt;ITP_TRAMO_BAJO,SUMIFS(CF_CUOTA,CF_MAS,ITP_TRAMO_BAJO,CF_CCMIN,"&lt;="&amp;CB469,CF_CCMAX,"&gt;="&amp;CB469),O469*ITP_TIPO)),O469*ITP_TIPO))</f>
        <v/>
      </c>
      <c r="CD469" s="4">
        <f>IF(R469="profesional",N(AK469),0)</f>
        <v/>
      </c>
      <c r="CE469" s="3">
        <f>IF(AND(R469="profesional",ISNUMBER(AK469),AL469="sí"),0,TASA_DGT)</f>
        <v/>
      </c>
      <c r="CF469" s="3">
        <f>INFORME_DGT</f>
        <v/>
      </c>
      <c r="CG469" s="4">
        <f>O469+CD469+CC469+CE469+CF469</f>
        <v/>
      </c>
      <c r="CH469" s="4">
        <f>CG469+N(BU469)</f>
        <v/>
      </c>
      <c r="CI469" s="3">
        <f>IF(CG469&lt;=TOTAL_MAX,"sí",IF(CG469&lt;=TOTAL_MAX+MARGEN_NEG,"negociar","no"))</f>
        <v/>
      </c>
      <c r="CJ469" s="4">
        <f>IF(CI469&lt;&gt;"no",COUNTIFS($CI$2:$CI$662,"&lt;&gt;no",$CA$2:$CA$662,"&gt;"&amp;CA469)+COUNTIFS($CI$2:CI469,"&lt;&gt;no",$CA$2:CA469,CA469),"")</f>
        <v/>
      </c>
    </row>
    <row r="470">
      <c r="A470" s="2" t="inlineStr">
        <is>
          <t>cochesnet:71569605</t>
        </is>
      </c>
      <c r="B470" s="2" t="inlineStr">
        <is>
          <t>cochesnet</t>
        </is>
      </c>
      <c r="C470" s="2" t="inlineStr">
        <is>
          <t>https://www.coches.net/peugeot-308-premium-20-hdi-136-fap-5p-diesel-2007-en-valencia-71569605-covo.aspx</t>
        </is>
      </c>
      <c r="D470" s="2" t="inlineStr">
        <is>
          <t>PEUGEOT 308 Premium 2.0 HDI 136 FAP</t>
        </is>
      </c>
      <c r="E470" s="2" t="inlineStr">
        <is>
          <t>Peugeot</t>
        </is>
      </c>
      <c r="F470" s="2" t="inlineStr">
        <is>
          <t>Peugeot 308</t>
        </is>
      </c>
      <c r="G470" s="2" t="inlineStr">
        <is>
          <t>2.0 HDi</t>
        </is>
      </c>
      <c r="H470" s="2" t="inlineStr">
        <is>
          <t>Premium 2.0 HDI 136 FAP</t>
        </is>
      </c>
      <c r="I470" s="2" t="n"/>
      <c r="J470" s="2" t="n"/>
      <c r="K470" s="2" t="inlineStr">
        <is>
          <t>diesel</t>
        </is>
      </c>
      <c r="L470" s="2" t="inlineStr">
        <is>
          <t>compacto</t>
        </is>
      </c>
      <c r="M470" s="2" t="n">
        <v>2007</v>
      </c>
      <c r="N470" s="2" t="n">
        <v>210000</v>
      </c>
      <c r="O470" s="2" t="n">
        <v>4300</v>
      </c>
      <c r="P470" s="2" t="inlineStr">
        <is>
          <t>manual</t>
        </is>
      </c>
      <c r="Q470" s="2" t="inlineStr">
        <is>
          <t>no</t>
        </is>
      </c>
      <c r="R470" s="2" t="inlineStr">
        <is>
          <t>particular</t>
        </is>
      </c>
      <c r="S470" s="2" t="inlineStr">
        <is>
          <t>Valencia</t>
        </is>
      </c>
      <c r="T470" s="2" t="inlineStr">
        <is>
          <t>2026-09-22T12:16:58Z</t>
        </is>
      </c>
      <c r="U470" s="2" t="n">
        <v>10</v>
      </c>
      <c r="V470" s="2" t="n"/>
      <c r="W470" s="2" t="n"/>
      <c r="X470" s="2" t="n"/>
      <c r="Y470" s="2" t="n"/>
      <c r="Z470" s="2" t="inlineStr">
        <is>
          <t>no</t>
        </is>
      </c>
      <c r="AA470" s="2" t="n"/>
      <c r="AB470" s="2" t="n"/>
      <c r="AC470" s="2" t="n"/>
      <c r="AD470" s="2" t="n"/>
      <c r="AE470" s="2" t="n"/>
      <c r="AF470" s="2" t="n"/>
      <c r="AG470" s="2" t="n"/>
      <c r="AH470" s="2" t="n">
        <v>4300</v>
      </c>
      <c r="AI470" s="2" t="n"/>
      <c r="AJ470" s="2" t="n"/>
      <c r="AK470" s="2" t="n"/>
      <c r="AL470" s="2" t="n"/>
      <c r="AM470" s="2" t="n">
        <v>0.1</v>
      </c>
      <c r="AN470" s="2" t="n">
        <v>3100</v>
      </c>
      <c r="AO470" s="2" t="n">
        <v>9</v>
      </c>
      <c r="AP470" s="2" t="inlineStr">
        <is>
          <t>modelo+año+km</t>
        </is>
      </c>
      <c r="AQ470" s="2" t="n"/>
      <c r="AR470" s="2" t="inlineStr">
        <is>
          <t>cuota fija ITP: &gt;12 años, 1.501-2.000 cc; diésel: motor sin fuente de fiabilidad (fiabilidad limitada a neutra)</t>
        </is>
      </c>
      <c r="AS470" s="2" t="inlineStr">
        <is>
          <t>Vehículo en estado de uso habitual, con un motor diésel de 136 CV que ofrece una excelente relación entre potencia y consumo. Este Peugeot 308 Premium es una berlina versátil y práctica, perfecta tanto para desplazamientos diarios como para viajes más largos.
El motor de 2.0 HDI proporciona un rendimiento fiable y eficiente, característica que ha hecho popular este tipo de motorización entre conductores que buscan economía sin renunciar a prestaciones. La caja de cambios manual te permite un control total de la conducción y contribuye a optimizar el consumo de combustible.
Con cinco puertas y cinco plazas, se adapta perfectamente a las necesidades de una familia o a quien necesite espacio y comodidad en cada trayecto. El color rojo le aporta un toque distintivo que destaca en la carretera.
Se trata de un vehículo que ha demostrado su durabilidad y fiabilidad a lo largo de los años. Está listo para continuar prestando servicio a su nuevo propietario sin complicaciones.
El precio que ves es muy competitivo para las características que ofrece este modelo, especialmente considerando la robustez del motor diésel y su capacidad de tracción en diferentes condiciones.
Si tienes dudas sobre aspectos específicos del vehículo o necesitas más información, no dudes en contactarme a través del chat. Estoy disponible para resolver cualquier pregunta que tengas.
Contacta hoy mismo y descubre por qué este Peugeot 308 es una opción inteligente.</t>
        </is>
      </c>
      <c r="AT470" s="2" t="inlineStr">
        <is>
          <t>https://www.coches.net/peugeot-308-premium-20-hdi-136-fap-5p-diesel-2007-en-valencia-71569605-covo.aspx (window.__INITIAL_PROPS__.ad) /home/user/Alopecia/buscador-coches/raw/cochesnet/8ad80d577b2ecbbd.json</t>
        </is>
      </c>
      <c r="AU470" s="3">
        <f>MAX(ANIO_ACTUAL-M470,0)</f>
        <v/>
      </c>
      <c r="AV470" s="4">
        <f>N470/MAX(AU470,0.5)</f>
        <v/>
      </c>
      <c r="AW470" s="4">
        <f>F470</f>
        <v/>
      </c>
      <c r="AX470" s="3">
        <f>AW470&amp;"|"&amp;INT(M470/SEG_ANIO)*SEG_ANIO</f>
        <v/>
      </c>
      <c r="AY470" s="3">
        <f>AX470&amp;"|"&amp;INT(N470/SEG_KM)*SEG_KM</f>
        <v/>
      </c>
      <c r="AZ470" s="4">
        <f>COUNTIF($AW$2:$AW$662,AW470)</f>
        <v/>
      </c>
      <c r="BA470" s="4">
        <f>COUNTIF($AX$2:$AX$662,AX470)</f>
        <v/>
      </c>
      <c r="BB470" s="4">
        <f>COUNTIF($AY$2:$AY$662,AY470)</f>
        <v/>
      </c>
      <c r="BC470" s="3">
        <f t="array" ref="BC470">IF(N(AO470)&gt;=MIN_N,AN470,IF(BB470&gt;=MIN_N,MEDIAN(IF($AY$2:$AY$662=AY470,$O$2:$O$662)),IF(BA470&gt;=MIN_N,MEDIAN(IF($AX$2:$AX$662=AX470,$O$2:$O$662)),MEDIAN(IF($AW$2:$AW$662=AW470,$O$2:$O$662)))))</f>
        <v/>
      </c>
      <c r="BD470" s="3">
        <f>IF(N(AO470)&gt;=MIN_N,"mercado "&amp;AP470,IF(BB470&gt;=MIN_N,"modelo+año+km",IF(BA470&gt;=MIN_N,"modelo+año","modelo")))</f>
        <v/>
      </c>
      <c r="BE470" s="4">
        <f>(BC470-O470)/BC470</f>
        <v/>
      </c>
      <c r="BF470" s="3">
        <f>IF(OR(K470="hibrido",K470="glp"),"ECO",IF(K470="electrico","CERO",IF(K470="gasolina",IF(M470&gt;=GAS_C,"C",IF(M470&gt;=GAS_B,"B","A")),IF(K470="diesel",IF(M470&gt;=DIE_C,"C",IF(M470&gt;=DIE_B,"B","A")),""))))</f>
        <v/>
      </c>
      <c r="BG470" s="3">
        <f>IFERROR(VLOOKUP(F470,MOD_TBL,11,0),IFERROR(VLOOKUP(E470,OCU_TBL,2,0),NEUTRO))</f>
        <v/>
      </c>
      <c r="BH470" s="3">
        <f>SUMIFS(MOT_AJUSTE,MOT_MOTOR,G470,MOT_MARCA,E470,MOT_DESDE,"&lt;="&amp;M470,MOT_HASTA,"&gt;="&amp;M470)+SUMIFS(MOT_AJUSTE,MOT_MOTOR,G470,MOT_MARCA,"(todas)",MOT_DESDE,"&lt;="&amp;M470,MOT_HASTA,"&gt;="&amp;M470)</f>
        <v/>
      </c>
      <c r="BI470" s="3">
        <f>SUMIFS(COMB_AJUSTE,COMB_COMB,K470)</f>
        <v/>
      </c>
      <c r="BJ470" s="3">
        <f>COUNTIFS(MOT_MOTOR,G470,MOT_MARCA,E470,MOT_DESDE,"&lt;="&amp;M470,MOT_HASTA,"&gt;="&amp;M470)+COUNTIFS(MOT_MOTOR,G470,MOT_MARCA,"(todas)",MOT_DESDE,"&lt;="&amp;M470,MOT_HASTA,"&gt;="&amp;M470)</f>
        <v/>
      </c>
      <c r="BK470" s="3">
        <f>IF(AND(K470="diesel",BJ470=0),MIN(BG470,NEUTRO),BG470)</f>
        <v/>
      </c>
      <c r="BL470" s="4">
        <f>MAX(0,MIN(100,BK470+BH470+BI470))</f>
        <v/>
      </c>
      <c r="BM470" s="3">
        <f>MAX(0,MIN(100,50+BE470*PRECIO_PEND))</f>
        <v/>
      </c>
      <c r="BN470" s="3">
        <f>MAX(0,100*(1-N470/KM_MAX))</f>
        <v/>
      </c>
      <c r="BO470" s="3">
        <f>IF(AV470&lt;KMA_SOSP,IF(AA470="sí",100,KMA_PEN),IF(AV470&lt;=KMA_IDEAL_MAX,100,MAX(0,100*(KMA_CERO-AV470)/(KMA_CERO-KMA_IDEAL_MAX))))</f>
        <v/>
      </c>
      <c r="BP470" s="3">
        <f>MAX(0,MIN(100,100*(M470-ANIO_MIN)/(ANIO_ACTUAL-ANIO_MIN)))</f>
        <v/>
      </c>
      <c r="BQ470" s="3">
        <f>W_KMT*BN470+W_KMA*BO470+W_EDAD*BP470</f>
        <v/>
      </c>
      <c r="BR470" s="3">
        <f>P_ITV*(V470="sí")+P_LIBRO*(W470="sí")+P_CORREA*(X470="sí")+P_PROP*(Y470=1)+P_GAR*(Z470="sí")+P_FOTOS*MIN(1,N(U470)/FOTOS_OBJ)</f>
        <v/>
      </c>
      <c r="BS470" s="3">
        <f>IFERROR(VLOOKUP(BF470,ETQ_TBL,2,0),NEUTRO)</f>
        <v/>
      </c>
      <c r="BT470" s="3">
        <f>NEUTRO</f>
        <v/>
      </c>
      <c r="BU470" s="3">
        <f>IFERROR(VLOOKUP(L470,SEGURO_TBL,3,0),"")</f>
        <v/>
      </c>
      <c r="BV470" s="3">
        <f>IF(BU470="",NEUTRO,MAX(0,MIN(100,100*(SEG_REF_MAX-BU470)/(SEG_REF_MAX-SEG_REF_MIN))))</f>
        <v/>
      </c>
      <c r="BW470" s="3">
        <f>W_ET*BS470+W_CONS*BT470+W_SEG*BV470</f>
        <v/>
      </c>
      <c r="BX470" s="3">
        <f>IF(N(AB470)&gt;0,AB470,IF(AND(R470="profesional",SG_LEGAL_ON=1),GAR_LEGAL,0))</f>
        <v/>
      </c>
      <c r="BY470" s="3">
        <f>SG_GAR*MIN(1,BX470/SG_GAR_FULL)+SG_AMPL*(AC470="sí")+SG_KMC*(AF470="sí")+SG_REV*(N(AE470)&gt;0)+SG_DEV*MIN(1,N(AG470)/SG_DEV_FULL)+SG_HIST*(W470="sí")</f>
        <v/>
      </c>
      <c r="BZ470" s="3">
        <f>IFERROR(VLOOKUP(L470,CARR_PEN_TBL,2,0),0)</f>
        <v/>
      </c>
      <c r="CA470" s="3">
        <f>W_FIAB*BL470+W_PRECIO*BM470+W_KMEDAD*BQ470+W_ANUNCIO*BR470+W_USO*BW470+W_SEGURIDAD*BY470-BZ470</f>
        <v/>
      </c>
      <c r="CB470" s="4">
        <f>IF(N(I470)&gt;0,I470,IFERROR(ROUND(_xlfn.NUMBERVALUE(LEFT(G470,FIND(" ",G470&amp;" ")-1),".")*1000,0),99999))</f>
        <v/>
      </c>
      <c r="CC470" s="3">
        <f>IF(R470="profesional",0,IF(O470&lt;CUOTA_VALOR_MAX,IF(AU470&gt;ITP_TRAMO_ALTO,SUMIFS(CF_CUOTA,CF_MAS,ITP_TRAMO_ALTO,CF_CCMIN,"&lt;="&amp;CB470,CF_CCMAX,"&gt;="&amp;CB470),IF(AU470&gt;ITP_TRAMO_BAJO,SUMIFS(CF_CUOTA,CF_MAS,ITP_TRAMO_BAJO,CF_CCMIN,"&lt;="&amp;CB470,CF_CCMAX,"&gt;="&amp;CB470),O470*ITP_TIPO)),O470*ITP_TIPO))</f>
        <v/>
      </c>
      <c r="CD470" s="4">
        <f>IF(R470="profesional",N(AK470),0)</f>
        <v/>
      </c>
      <c r="CE470" s="3">
        <f>IF(AND(R470="profesional",ISNUMBER(AK470),AL470="sí"),0,TASA_DGT)</f>
        <v/>
      </c>
      <c r="CF470" s="3">
        <f>INFORME_DGT</f>
        <v/>
      </c>
      <c r="CG470" s="4">
        <f>O470+CD470+CC470+CE470+CF470</f>
        <v/>
      </c>
      <c r="CH470" s="4">
        <f>CG470+N(BU470)</f>
        <v/>
      </c>
      <c r="CI470" s="3">
        <f>IF(CG470&lt;=TOTAL_MAX,"sí",IF(CG470&lt;=TOTAL_MAX+MARGEN_NEG,"negociar","no"))</f>
        <v/>
      </c>
      <c r="CJ470" s="4">
        <f>IF(CI470&lt;&gt;"no",COUNTIFS($CI$2:$CI$662,"&lt;&gt;no",$CA$2:$CA$662,"&gt;"&amp;CA470)+COUNTIFS($CI$2:CI470,"&lt;&gt;no",$CA$2:CA470,CA470),"")</f>
        <v/>
      </c>
    </row>
    <row r="471">
      <c r="A471" s="2" t="inlineStr">
        <is>
          <t>cochesnet:71452030</t>
        </is>
      </c>
      <c r="B471" s="2" t="inlineStr">
        <is>
          <t>cochesnet</t>
        </is>
      </c>
      <c r="C471" s="2" t="inlineStr">
        <is>
          <t>https://www.coches.net/peugeot-308-premium-16-hdi-110-fap-5p-diesel-2007-en-valencia-71452030-covo.aspx</t>
        </is>
      </c>
      <c r="D471" s="2" t="inlineStr">
        <is>
          <t>PEUGEOT 308 Premium 1.6 HDI 110 FAP</t>
        </is>
      </c>
      <c r="E471" s="2" t="inlineStr">
        <is>
          <t>Peugeot</t>
        </is>
      </c>
      <c r="F471" s="2" t="inlineStr">
        <is>
          <t>Peugeot 308</t>
        </is>
      </c>
      <c r="G471" s="2" t="inlineStr">
        <is>
          <t>1.6 HDi</t>
        </is>
      </c>
      <c r="H471" s="2" t="inlineStr">
        <is>
          <t>Premium 1.6 HDI 110 FAP</t>
        </is>
      </c>
      <c r="I471" s="2" t="n"/>
      <c r="J471" s="2" t="n"/>
      <c r="K471" s="2" t="inlineStr">
        <is>
          <t>diesel</t>
        </is>
      </c>
      <c r="L471" s="2" t="inlineStr">
        <is>
          <t>compacto</t>
        </is>
      </c>
      <c r="M471" s="2" t="n">
        <v>2007</v>
      </c>
      <c r="N471" s="2" t="n">
        <v>118900</v>
      </c>
      <c r="O471" s="2" t="n">
        <v>4300</v>
      </c>
      <c r="P471" s="2" t="inlineStr">
        <is>
          <t>manual</t>
        </is>
      </c>
      <c r="Q471" s="2" t="inlineStr">
        <is>
          <t>no</t>
        </is>
      </c>
      <c r="R471" s="2" t="inlineStr">
        <is>
          <t>particular</t>
        </is>
      </c>
      <c r="S471" s="2" t="inlineStr">
        <is>
          <t>Torrent</t>
        </is>
      </c>
      <c r="T471" s="2" t="inlineStr">
        <is>
          <t>2026-09-06T14:43:19Z</t>
        </is>
      </c>
      <c r="U471" s="2" t="n">
        <v>20</v>
      </c>
      <c r="V471" s="2" t="n"/>
      <c r="W471" s="2" t="n"/>
      <c r="X471" s="2" t="n"/>
      <c r="Y471" s="2" t="n">
        <v>1</v>
      </c>
      <c r="Z471" s="2" t="inlineStr">
        <is>
          <t>no</t>
        </is>
      </c>
      <c r="AA471" s="2" t="n"/>
      <c r="AB471" s="2" t="n"/>
      <c r="AC471" s="2" t="n"/>
      <c r="AD471" s="2" t="n"/>
      <c r="AE471" s="2" t="n"/>
      <c r="AF471" s="2" t="n"/>
      <c r="AG471" s="2" t="n"/>
      <c r="AH471" s="2" t="n">
        <v>4300</v>
      </c>
      <c r="AI471" s="2" t="n"/>
      <c r="AJ471" s="2" t="n"/>
      <c r="AK471" s="2" t="n"/>
      <c r="AL471" s="2" t="n"/>
      <c r="AM471" s="2" t="n">
        <v>8.800000000000001</v>
      </c>
      <c r="AN471" s="2" t="n">
        <v>4300</v>
      </c>
      <c r="AO471" s="2" t="n">
        <v>9</v>
      </c>
      <c r="AP471" s="2" t="inlineStr">
        <is>
          <t>modelo+año+km</t>
        </is>
      </c>
      <c r="AQ471" s="2" t="n"/>
      <c r="AR471" s="2" t="inlineStr">
        <is>
          <t>cuota fija ITP: &gt;12 años, 1.501-2.000 cc</t>
        </is>
      </c>
      <c r="AS471" s="2" t="inlineStr">
        <is>
          <t xml:space="preserve">Coche en buen estado,algunos roces y desgastes en carrocería y tapicería como se pueden apreciar en las fotos.
Embrague recien cambiado en junio de 2026 junto con la revisión correspondiente.
Botones elevalunas cambiados en la misma fecha que el embrague.
Ruedas prácticamente nuevas,cambiadas hace un año al igual que las matrículas.
Matriculas 
Parrot incorporado.
El techo panorámico funciona perfectamente.
ITVs al día.
Un solo dueño 
</t>
        </is>
      </c>
      <c r="AT471" s="2" t="inlineStr">
        <is>
          <t>https://www.coches.net/peugeot-308-premium-16-hdi-110-fap-5p-diesel-2007-en-valencia-71452030-covo.aspx (window.__INITIAL_PROPS__.ad) /home/user/Alopecia/buscador-coches/raw/cochesnet/601d13fc6e71c4a2.json</t>
        </is>
      </c>
      <c r="AU471" s="3">
        <f>MAX(ANIO_ACTUAL-M471,0)</f>
        <v/>
      </c>
      <c r="AV471" s="4">
        <f>N471/MAX(AU471,0.5)</f>
        <v/>
      </c>
      <c r="AW471" s="4">
        <f>F471</f>
        <v/>
      </c>
      <c r="AX471" s="3">
        <f>AW471&amp;"|"&amp;INT(M471/SEG_ANIO)*SEG_ANIO</f>
        <v/>
      </c>
      <c r="AY471" s="3">
        <f>AX471&amp;"|"&amp;INT(N471/SEG_KM)*SEG_KM</f>
        <v/>
      </c>
      <c r="AZ471" s="4">
        <f>COUNTIF($AW$2:$AW$662,AW471)</f>
        <v/>
      </c>
      <c r="BA471" s="4">
        <f>COUNTIF($AX$2:$AX$662,AX471)</f>
        <v/>
      </c>
      <c r="BB471" s="4">
        <f>COUNTIF($AY$2:$AY$662,AY471)</f>
        <v/>
      </c>
      <c r="BC471" s="3">
        <f t="array" ref="BC471">IF(N(AO471)&gt;=MIN_N,AN471,IF(BB471&gt;=MIN_N,MEDIAN(IF($AY$2:$AY$662=AY471,$O$2:$O$662)),IF(BA471&gt;=MIN_N,MEDIAN(IF($AX$2:$AX$662=AX471,$O$2:$O$662)),MEDIAN(IF($AW$2:$AW$662=AW471,$O$2:$O$662)))))</f>
        <v/>
      </c>
      <c r="BD471" s="3">
        <f>IF(N(AO471)&gt;=MIN_N,"mercado "&amp;AP471,IF(BB471&gt;=MIN_N,"modelo+año+km",IF(BA471&gt;=MIN_N,"modelo+año","modelo")))</f>
        <v/>
      </c>
      <c r="BE471" s="4">
        <f>(BC471-O471)/BC471</f>
        <v/>
      </c>
      <c r="BF471" s="3">
        <f>IF(OR(K471="hibrido",K471="glp"),"ECO",IF(K471="electrico","CERO",IF(K471="gasolina",IF(M471&gt;=GAS_C,"C",IF(M471&gt;=GAS_B,"B","A")),IF(K471="diesel",IF(M471&gt;=DIE_C,"C",IF(M471&gt;=DIE_B,"B","A")),""))))</f>
        <v/>
      </c>
      <c r="BG471" s="3">
        <f>IFERROR(VLOOKUP(F471,MOD_TBL,11,0),IFERROR(VLOOKUP(E471,OCU_TBL,2,0),NEUTRO))</f>
        <v/>
      </c>
      <c r="BH471" s="3">
        <f>SUMIFS(MOT_AJUSTE,MOT_MOTOR,G471,MOT_MARCA,E471,MOT_DESDE,"&lt;="&amp;M471,MOT_HASTA,"&gt;="&amp;M471)+SUMIFS(MOT_AJUSTE,MOT_MOTOR,G471,MOT_MARCA,"(todas)",MOT_DESDE,"&lt;="&amp;M471,MOT_HASTA,"&gt;="&amp;M471)</f>
        <v/>
      </c>
      <c r="BI471" s="3">
        <f>SUMIFS(COMB_AJUSTE,COMB_COMB,K471)</f>
        <v/>
      </c>
      <c r="BJ471" s="3">
        <f>COUNTIFS(MOT_MOTOR,G471,MOT_MARCA,E471,MOT_DESDE,"&lt;="&amp;M471,MOT_HASTA,"&gt;="&amp;M471)+COUNTIFS(MOT_MOTOR,G471,MOT_MARCA,"(todas)",MOT_DESDE,"&lt;="&amp;M471,MOT_HASTA,"&gt;="&amp;M471)</f>
        <v/>
      </c>
      <c r="BK471" s="3">
        <f>IF(AND(K471="diesel",BJ471=0),MIN(BG471,NEUTRO),BG471)</f>
        <v/>
      </c>
      <c r="BL471" s="4">
        <f>MAX(0,MIN(100,BK471+BH471+BI471))</f>
        <v/>
      </c>
      <c r="BM471" s="3">
        <f>MAX(0,MIN(100,50+BE471*PRECIO_PEND))</f>
        <v/>
      </c>
      <c r="BN471" s="3">
        <f>MAX(0,100*(1-N471/KM_MAX))</f>
        <v/>
      </c>
      <c r="BO471" s="3">
        <f>IF(AV471&lt;KMA_SOSP,IF(AA471="sí",100,KMA_PEN),IF(AV471&lt;=KMA_IDEAL_MAX,100,MAX(0,100*(KMA_CERO-AV471)/(KMA_CERO-KMA_IDEAL_MAX))))</f>
        <v/>
      </c>
      <c r="BP471" s="3">
        <f>MAX(0,MIN(100,100*(M471-ANIO_MIN)/(ANIO_ACTUAL-ANIO_MIN)))</f>
        <v/>
      </c>
      <c r="BQ471" s="3">
        <f>W_KMT*BN471+W_KMA*BO471+W_EDAD*BP471</f>
        <v/>
      </c>
      <c r="BR471" s="3">
        <f>P_ITV*(V471="sí")+P_LIBRO*(W471="sí")+P_CORREA*(X471="sí")+P_PROP*(Y471=1)+P_GAR*(Z471="sí")+P_FOTOS*MIN(1,N(U471)/FOTOS_OBJ)</f>
        <v/>
      </c>
      <c r="BS471" s="3">
        <f>IFERROR(VLOOKUP(BF471,ETQ_TBL,2,0),NEUTRO)</f>
        <v/>
      </c>
      <c r="BT471" s="3">
        <f>NEUTRO</f>
        <v/>
      </c>
      <c r="BU471" s="3">
        <f>IFERROR(VLOOKUP(L471,SEGURO_TBL,3,0),"")</f>
        <v/>
      </c>
      <c r="BV471" s="3">
        <f>IF(BU471="",NEUTRO,MAX(0,MIN(100,100*(SEG_REF_MAX-BU471)/(SEG_REF_MAX-SEG_REF_MIN))))</f>
        <v/>
      </c>
      <c r="BW471" s="3">
        <f>W_ET*BS471+W_CONS*BT471+W_SEG*BV471</f>
        <v/>
      </c>
      <c r="BX471" s="3">
        <f>IF(N(AB471)&gt;0,AB471,IF(AND(R471="profesional",SG_LEGAL_ON=1),GAR_LEGAL,0))</f>
        <v/>
      </c>
      <c r="BY471" s="3">
        <f>SG_GAR*MIN(1,BX471/SG_GAR_FULL)+SG_AMPL*(AC471="sí")+SG_KMC*(AF471="sí")+SG_REV*(N(AE471)&gt;0)+SG_DEV*MIN(1,N(AG471)/SG_DEV_FULL)+SG_HIST*(W471="sí")</f>
        <v/>
      </c>
      <c r="BZ471" s="3">
        <f>IFERROR(VLOOKUP(L471,CARR_PEN_TBL,2,0),0)</f>
        <v/>
      </c>
      <c r="CA471" s="3">
        <f>W_FIAB*BL471+W_PRECIO*BM471+W_KMEDAD*BQ471+W_ANUNCIO*BR471+W_USO*BW471+W_SEGURIDAD*BY471-BZ471</f>
        <v/>
      </c>
      <c r="CB471" s="4">
        <f>IF(N(I471)&gt;0,I471,IFERROR(ROUND(_xlfn.NUMBERVALUE(LEFT(G471,FIND(" ",G471&amp;" ")-1),".")*1000,0),99999))</f>
        <v/>
      </c>
      <c r="CC471" s="3">
        <f>IF(R471="profesional",0,IF(O471&lt;CUOTA_VALOR_MAX,IF(AU471&gt;ITP_TRAMO_ALTO,SUMIFS(CF_CUOTA,CF_MAS,ITP_TRAMO_ALTO,CF_CCMIN,"&lt;="&amp;CB471,CF_CCMAX,"&gt;="&amp;CB471),IF(AU471&gt;ITP_TRAMO_BAJO,SUMIFS(CF_CUOTA,CF_MAS,ITP_TRAMO_BAJO,CF_CCMIN,"&lt;="&amp;CB471,CF_CCMAX,"&gt;="&amp;CB471),O471*ITP_TIPO)),O471*ITP_TIPO))</f>
        <v/>
      </c>
      <c r="CD471" s="4">
        <f>IF(R471="profesional",N(AK471),0)</f>
        <v/>
      </c>
      <c r="CE471" s="3">
        <f>IF(AND(R471="profesional",ISNUMBER(AK471),AL471="sí"),0,TASA_DGT)</f>
        <v/>
      </c>
      <c r="CF471" s="3">
        <f>INFORME_DGT</f>
        <v/>
      </c>
      <c r="CG471" s="4">
        <f>O471+CD471+CC471+CE471+CF471</f>
        <v/>
      </c>
      <c r="CH471" s="4">
        <f>CG471+N(BU471)</f>
        <v/>
      </c>
      <c r="CI471" s="3">
        <f>IF(CG471&lt;=TOTAL_MAX,"sí",IF(CG471&lt;=TOTAL_MAX+MARGEN_NEG,"negociar","no"))</f>
        <v/>
      </c>
      <c r="CJ471" s="4">
        <f>IF(CI471&lt;&gt;"no",COUNTIFS($CI$2:$CI$662,"&lt;&gt;no",$CA$2:$CA$662,"&gt;"&amp;CA471)+COUNTIFS($CI$2:CI471,"&lt;&gt;no",$CA$2:CA471,CA471),"")</f>
        <v/>
      </c>
    </row>
    <row r="472">
      <c r="A472" s="2" t="inlineStr">
        <is>
          <t>cochesnet:71829918</t>
        </is>
      </c>
      <c r="B472" s="2" t="inlineStr">
        <is>
          <t>cochesnet</t>
        </is>
      </c>
      <c r="C472" s="2" t="inlineStr">
        <is>
          <t>https://www.coches.net/citroen-c2-14-hdi-sx-plus-3p-diesel-2005-en-valencia-71829918-covo.aspx</t>
        </is>
      </c>
      <c r="D472" s="2" t="inlineStr">
        <is>
          <t>CITROEN C2 1.4 HDI SX Plus</t>
        </is>
      </c>
      <c r="E472" s="2" t="inlineStr">
        <is>
          <t>Citroën</t>
        </is>
      </c>
      <c r="F472" s="2" t="inlineStr">
        <is>
          <t>Citroën C2</t>
        </is>
      </c>
      <c r="G472" s="2" t="inlineStr">
        <is>
          <t>1.4 HDi</t>
        </is>
      </c>
      <c r="H472" s="2" t="inlineStr">
        <is>
          <t>1.4 HDI SX Plus</t>
        </is>
      </c>
      <c r="I472" s="2" t="n"/>
      <c r="J472" s="2" t="n"/>
      <c r="K472" s="2" t="inlineStr">
        <is>
          <t>diesel</t>
        </is>
      </c>
      <c r="L472" s="2" t="inlineStr">
        <is>
          <t>utilitario</t>
        </is>
      </c>
      <c r="M472" s="2" t="n">
        <v>2006</v>
      </c>
      <c r="N472" s="2" t="n">
        <v>160000</v>
      </c>
      <c r="O472" s="2" t="n">
        <v>3990</v>
      </c>
      <c r="P472" s="2" t="inlineStr">
        <is>
          <t>manual</t>
        </is>
      </c>
      <c r="Q472" s="2" t="inlineStr">
        <is>
          <t>no</t>
        </is>
      </c>
      <c r="R472" s="2" t="inlineStr">
        <is>
          <t>profesional</t>
        </is>
      </c>
      <c r="S472" s="2" t="inlineStr">
        <is>
          <t>Alboraya</t>
        </is>
      </c>
      <c r="T472" s="2" t="inlineStr">
        <is>
          <t>2026-10-25T20:27:34Z</t>
        </is>
      </c>
      <c r="U472" s="2" t="n">
        <v>12</v>
      </c>
      <c r="V472" s="2" t="inlineStr">
        <is>
          <t>sí</t>
        </is>
      </c>
      <c r="W472" s="2" t="n"/>
      <c r="X472" s="2" t="n"/>
      <c r="Y472" s="2" t="n"/>
      <c r="Z472" s="2" t="inlineStr">
        <is>
          <t>sí</t>
        </is>
      </c>
      <c r="AA472" s="2" t="n"/>
      <c r="AB472" s="2" t="n">
        <v>12</v>
      </c>
      <c r="AC472" s="2" t="n"/>
      <c r="AD472" s="2" t="n"/>
      <c r="AE472" s="2" t="n"/>
      <c r="AF472" s="2" t="n"/>
      <c r="AG472" s="2" t="n"/>
      <c r="AH472" s="2" t="n">
        <v>3990</v>
      </c>
      <c r="AI472" s="2" t="n">
        <v>3990</v>
      </c>
      <c r="AJ472" s="2" t="n"/>
      <c r="AK472" s="2" t="n"/>
      <c r="AL472" s="2" t="n"/>
      <c r="AM472" s="2" t="n">
        <v>4</v>
      </c>
      <c r="AN472" s="2" t="n"/>
      <c r="AO472" s="2" t="n"/>
      <c r="AP472" s="2" t="n"/>
      <c r="AQ472" s="2" t="n"/>
      <c r="AR472" s="2" t="inlineStr">
        <is>
          <t>vendedor profesional: sin ITP (operación con IVA/REBU, confirmar en factura); gastos de gestión del vendedor no indicados: se suma la tasa DGT; preguntar el precio final; fiabilidad del modelo PENDIENTE de fuente (puntuación neutra)</t>
        </is>
      </c>
      <c r="AS472" s="2" t="inlineStr">
        <is>
          <t>CITROEN C2 1.4 HDi 70 CV DIÉSEL · 2006 · 160.000 KM
¡Compacto, económico y práctico! Este Citroen C2 destaca por su motor diésel 1.4 HDi de 70 CV, su bajo consumo de combustible y su facilidad de conducción y aparcamiento. Un utilitario ideal para quienes buscan un coche sencillo, funcional y económico para el día a día.
??? Estado y mantenimiento:
?? Vehículo nacional.
?? 160.000 km.
?? Se entrega con la ITV recién pasada.
?? Revisión y mantenimiento recién realizados antes de la entrega.
?? Equipamiento destacado:
?? Confort y conducción: Cambio manual, dirección asistida, paquete Confort y volante multifunción.
?? Comodidad y funcionalidad: Elevalunas eléctricos, retrovisores eléctricos y dimensiones compactas que facilitan el aparcamiento.
?? Seguridad y familia: Anclajes ISOFIX para sillas infantiles, cierre centralizado y 2 llaves.
? Ventajas exclusivas Lunusa Cars
?? Financiación de hasta el 100% con tu nómina.
?? Garantía de 1 año en motor incluida.
?? Compra 100% online, fácil y segura.
?? Envíos y entrega a domicilio en toda España.
?? ¿Hablamos? Te enviamos más vídeos o la información que necesites para decidirte.
?? LUNUSA CARS | VALENCIA
Expertos en vehículos de ocasión.</t>
        </is>
      </c>
      <c r="AT472" s="2" t="inlineStr">
        <is>
          <t>https://www.coches.net/citroen-c2-14-hdi-sx-plus-3p-diesel-2005-en-valencia-71829918-covo.aspx (window.__INITIAL_PROPS__.ad) /home/user/Alopecia/buscador-coches/raw/cochesnet/77faa6fcd069fb7c.json</t>
        </is>
      </c>
      <c r="AU472" s="3">
        <f>MAX(ANIO_ACTUAL-M472,0)</f>
        <v/>
      </c>
      <c r="AV472" s="4">
        <f>N472/MAX(AU472,0.5)</f>
        <v/>
      </c>
      <c r="AW472" s="4">
        <f>F472</f>
        <v/>
      </c>
      <c r="AX472" s="3">
        <f>AW472&amp;"|"&amp;INT(M472/SEG_ANIO)*SEG_ANIO</f>
        <v/>
      </c>
      <c r="AY472" s="3">
        <f>AX472&amp;"|"&amp;INT(N472/SEG_KM)*SEG_KM</f>
        <v/>
      </c>
      <c r="AZ472" s="4">
        <f>COUNTIF($AW$2:$AW$662,AW472)</f>
        <v/>
      </c>
      <c r="BA472" s="4">
        <f>COUNTIF($AX$2:$AX$662,AX472)</f>
        <v/>
      </c>
      <c r="BB472" s="4">
        <f>COUNTIF($AY$2:$AY$662,AY472)</f>
        <v/>
      </c>
      <c r="BC472" s="3">
        <f t="array" ref="BC472">IF(N(AO472)&gt;=MIN_N,AN472,IF(BB472&gt;=MIN_N,MEDIAN(IF($AY$2:$AY$662=AY472,$O$2:$O$662)),IF(BA472&gt;=MIN_N,MEDIAN(IF($AX$2:$AX$662=AX472,$O$2:$O$662)),MEDIAN(IF($AW$2:$AW$662=AW472,$O$2:$O$662)))))</f>
        <v/>
      </c>
      <c r="BD472" s="3">
        <f>IF(N(AO472)&gt;=MIN_N,"mercado "&amp;AP472,IF(BB472&gt;=MIN_N,"modelo+año+km",IF(BA472&gt;=MIN_N,"modelo+año","modelo")))</f>
        <v/>
      </c>
      <c r="BE472" s="4">
        <f>(BC472-O472)/BC472</f>
        <v/>
      </c>
      <c r="BF472" s="3">
        <f>IF(OR(K472="hibrido",K472="glp"),"ECO",IF(K472="electrico","CERO",IF(K472="gasolina",IF(M472&gt;=GAS_C,"C",IF(M472&gt;=GAS_B,"B","A")),IF(K472="diesel",IF(M472&gt;=DIE_C,"C",IF(M472&gt;=DIE_B,"B","A")),""))))</f>
        <v/>
      </c>
      <c r="BG472" s="3">
        <f>IFERROR(VLOOKUP(F472,MOD_TBL,11,0),IFERROR(VLOOKUP(E472,OCU_TBL,2,0),NEUTRO))</f>
        <v/>
      </c>
      <c r="BH472" s="3">
        <f>SUMIFS(MOT_AJUSTE,MOT_MOTOR,G472,MOT_MARCA,E472,MOT_DESDE,"&lt;="&amp;M472,MOT_HASTA,"&gt;="&amp;M472)+SUMIFS(MOT_AJUSTE,MOT_MOTOR,G472,MOT_MARCA,"(todas)",MOT_DESDE,"&lt;="&amp;M472,MOT_HASTA,"&gt;="&amp;M472)</f>
        <v/>
      </c>
      <c r="BI472" s="3">
        <f>SUMIFS(COMB_AJUSTE,COMB_COMB,K472)</f>
        <v/>
      </c>
      <c r="BJ472" s="3">
        <f>COUNTIFS(MOT_MOTOR,G472,MOT_MARCA,E472,MOT_DESDE,"&lt;="&amp;M472,MOT_HASTA,"&gt;="&amp;M472)+COUNTIFS(MOT_MOTOR,G472,MOT_MARCA,"(todas)",MOT_DESDE,"&lt;="&amp;M472,MOT_HASTA,"&gt;="&amp;M472)</f>
        <v/>
      </c>
      <c r="BK472" s="3">
        <f>IF(AND(K472="diesel",BJ472=0),MIN(BG472,NEUTRO),BG472)</f>
        <v/>
      </c>
      <c r="BL472" s="4">
        <f>MAX(0,MIN(100,BK472+BH472+BI472))</f>
        <v/>
      </c>
      <c r="BM472" s="3">
        <f>MAX(0,MIN(100,50+BE472*PRECIO_PEND))</f>
        <v/>
      </c>
      <c r="BN472" s="3">
        <f>MAX(0,100*(1-N472/KM_MAX))</f>
        <v/>
      </c>
      <c r="BO472" s="3">
        <f>IF(AV472&lt;KMA_SOSP,IF(AA472="sí",100,KMA_PEN),IF(AV472&lt;=KMA_IDEAL_MAX,100,MAX(0,100*(KMA_CERO-AV472)/(KMA_CERO-KMA_IDEAL_MAX))))</f>
        <v/>
      </c>
      <c r="BP472" s="3">
        <f>MAX(0,MIN(100,100*(M472-ANIO_MIN)/(ANIO_ACTUAL-ANIO_MIN)))</f>
        <v/>
      </c>
      <c r="BQ472" s="3">
        <f>W_KMT*BN472+W_KMA*BO472+W_EDAD*BP472</f>
        <v/>
      </c>
      <c r="BR472" s="3">
        <f>P_ITV*(V472="sí")+P_LIBRO*(W472="sí")+P_CORREA*(X472="sí")+P_PROP*(Y472=1)+P_GAR*(Z472="sí")+P_FOTOS*MIN(1,N(U472)/FOTOS_OBJ)</f>
        <v/>
      </c>
      <c r="BS472" s="3">
        <f>IFERROR(VLOOKUP(BF472,ETQ_TBL,2,0),NEUTRO)</f>
        <v/>
      </c>
      <c r="BT472" s="3">
        <f>NEUTRO</f>
        <v/>
      </c>
      <c r="BU472" s="3">
        <f>IFERROR(VLOOKUP(L472,SEGURO_TBL,3,0),"")</f>
        <v/>
      </c>
      <c r="BV472" s="3">
        <f>IF(BU472="",NEUTRO,MAX(0,MIN(100,100*(SEG_REF_MAX-BU472)/(SEG_REF_MAX-SEG_REF_MIN))))</f>
        <v/>
      </c>
      <c r="BW472" s="3">
        <f>W_ET*BS472+W_CONS*BT472+W_SEG*BV472</f>
        <v/>
      </c>
      <c r="BX472" s="3">
        <f>IF(N(AB472)&gt;0,AB472,IF(AND(R472="profesional",SG_LEGAL_ON=1),GAR_LEGAL,0))</f>
        <v/>
      </c>
      <c r="BY472" s="3">
        <f>SG_GAR*MIN(1,BX472/SG_GAR_FULL)+SG_AMPL*(AC472="sí")+SG_KMC*(AF472="sí")+SG_REV*(N(AE472)&gt;0)+SG_DEV*MIN(1,N(AG472)/SG_DEV_FULL)+SG_HIST*(W472="sí")</f>
        <v/>
      </c>
      <c r="BZ472" s="3">
        <f>IFERROR(VLOOKUP(L472,CARR_PEN_TBL,2,0),0)</f>
        <v/>
      </c>
      <c r="CA472" s="3">
        <f>W_FIAB*BL472+W_PRECIO*BM472+W_KMEDAD*BQ472+W_ANUNCIO*BR472+W_USO*BW472+W_SEGURIDAD*BY472-BZ472</f>
        <v/>
      </c>
      <c r="CB472" s="4">
        <f>IF(N(I472)&gt;0,I472,IFERROR(ROUND(_xlfn.NUMBERVALUE(LEFT(G472,FIND(" ",G472&amp;" ")-1),".")*1000,0),99999))</f>
        <v/>
      </c>
      <c r="CC472" s="3">
        <f>IF(R472="profesional",0,IF(O472&lt;CUOTA_VALOR_MAX,IF(AU472&gt;ITP_TRAMO_ALTO,SUMIFS(CF_CUOTA,CF_MAS,ITP_TRAMO_ALTO,CF_CCMIN,"&lt;="&amp;CB472,CF_CCMAX,"&gt;="&amp;CB472),IF(AU472&gt;ITP_TRAMO_BAJO,SUMIFS(CF_CUOTA,CF_MAS,ITP_TRAMO_BAJO,CF_CCMIN,"&lt;="&amp;CB472,CF_CCMAX,"&gt;="&amp;CB472),O472*ITP_TIPO)),O472*ITP_TIPO))</f>
        <v/>
      </c>
      <c r="CD472" s="4">
        <f>IF(R472="profesional",N(AK472),0)</f>
        <v/>
      </c>
      <c r="CE472" s="3">
        <f>IF(AND(R472="profesional",ISNUMBER(AK472),AL472="sí"),0,TASA_DGT)</f>
        <v/>
      </c>
      <c r="CF472" s="3">
        <f>INFORME_DGT</f>
        <v/>
      </c>
      <c r="CG472" s="4">
        <f>O472+CD472+CC472+CE472+CF472</f>
        <v/>
      </c>
      <c r="CH472" s="4">
        <f>CG472+N(BU472)</f>
        <v/>
      </c>
      <c r="CI472" s="3">
        <f>IF(CG472&lt;=TOTAL_MAX,"sí",IF(CG472&lt;=TOTAL_MAX+MARGEN_NEG,"negociar","no"))</f>
        <v/>
      </c>
      <c r="CJ472" s="4">
        <f>IF(CI472&lt;&gt;"no",COUNTIFS($CI$2:$CI$662,"&lt;&gt;no",$CA$2:$CA$662,"&gt;"&amp;CA472)+COUNTIFS($CI$2:CI472,"&lt;&gt;no",$CA$2:CA472,CA472),"")</f>
        <v/>
      </c>
    </row>
    <row r="473">
      <c r="A473" s="2" t="inlineStr">
        <is>
          <t>cochesnet:71520776</t>
        </is>
      </c>
      <c r="B473" s="2" t="inlineStr">
        <is>
          <t>cochesnet</t>
        </is>
      </c>
      <c r="C473" s="2" t="inlineStr">
        <is>
          <t>https://www.coches.net/citroen-c2-14-hdi-furio-3p-diesel-2006-en-valencia-71520776-covo.aspx</t>
        </is>
      </c>
      <c r="D473" s="2" t="inlineStr">
        <is>
          <t>CITROEN C2 1.4 HDI Furio</t>
        </is>
      </c>
      <c r="E473" s="2" t="inlineStr">
        <is>
          <t>Citroën</t>
        </is>
      </c>
      <c r="F473" s="2" t="inlineStr">
        <is>
          <t>Citroën C2</t>
        </is>
      </c>
      <c r="G473" s="2" t="inlineStr">
        <is>
          <t>1.4 HDi</t>
        </is>
      </c>
      <c r="H473" s="2" t="inlineStr">
        <is>
          <t>1.4 HDI Furio</t>
        </is>
      </c>
      <c r="I473" s="2" t="n"/>
      <c r="J473" s="2" t="n"/>
      <c r="K473" s="2" t="inlineStr">
        <is>
          <t>diesel</t>
        </is>
      </c>
      <c r="L473" s="2" t="inlineStr">
        <is>
          <t>utilitario</t>
        </is>
      </c>
      <c r="M473" s="2" t="n">
        <v>2009</v>
      </c>
      <c r="N473" s="2" t="n">
        <v>140000</v>
      </c>
      <c r="O473" s="2" t="n">
        <v>3399</v>
      </c>
      <c r="P473" s="2" t="inlineStr">
        <is>
          <t>manual</t>
        </is>
      </c>
      <c r="Q473" s="2" t="inlineStr">
        <is>
          <t>no</t>
        </is>
      </c>
      <c r="R473" s="2" t="inlineStr">
        <is>
          <t>profesional</t>
        </is>
      </c>
      <c r="S473" s="2" t="inlineStr">
        <is>
          <t>Cars Premium Albal Albal</t>
        </is>
      </c>
      <c r="T473" s="2" t="inlineStr">
        <is>
          <t>2026-09-15T18:18:04Z</t>
        </is>
      </c>
      <c r="U473" s="2" t="n">
        <v>10</v>
      </c>
      <c r="V473" s="2" t="n"/>
      <c r="W473" s="2" t="n"/>
      <c r="X473" s="2" t="n"/>
      <c r="Y473" s="2" t="n"/>
      <c r="Z473" s="2" t="inlineStr">
        <is>
          <t>sí</t>
        </is>
      </c>
      <c r="AA473" s="2" t="n"/>
      <c r="AB473" s="2" t="n">
        <v>12</v>
      </c>
      <c r="AC473" s="2" t="n"/>
      <c r="AD473" s="2" t="n"/>
      <c r="AE473" s="2" t="n"/>
      <c r="AF473" s="2" t="n"/>
      <c r="AG473" s="2" t="n"/>
      <c r="AH473" s="2" t="n">
        <v>3399</v>
      </c>
      <c r="AI473" s="2" t="n">
        <v>3399</v>
      </c>
      <c r="AJ473" s="2" t="n"/>
      <c r="AK473" s="2" t="n"/>
      <c r="AL473" s="2" t="n"/>
      <c r="AM473" s="2" t="n">
        <v>8.699999999999999</v>
      </c>
      <c r="AN473" s="2" t="n"/>
      <c r="AO473" s="2" t="n"/>
      <c r="AP473" s="2" t="n"/>
      <c r="AQ473" s="2" t="n"/>
      <c r="AR473" s="2" t="inlineStr">
        <is>
          <t>vendedor profesional: sin ITP (operación con IVA/REBU, confirmar en factura); gastos de gestión del vendedor no indicados: se suma la tasa DGT; preguntar el precio final; fiabilidad del modelo PENDIENTE de fuente (puntuación neutra)</t>
        </is>
      </c>
      <c r="AS473" s="2" t="inlineStr">
        <is>
          <t>MARCA: Citroen
MODELO: C2
AÑO: 2009
KM: 140.000
MOTOR: 1.4HDI 70cv
PEGATINA MEDIO AMBIENTAL: Tipo B
COLOR: Blanco
ITV: Se entrega en vigor
GARANTIA: 12 Meses
DIRECCION: Av padre Carlos Ferris 87 (Albal, Valencia)
TIPS: Vehiculo pequeño, utilitario, sencillo de manejar y con un consumo muy bajo
EQUIPAMIENTO: Ordenador a bordo, mandos al volante, climatizador, consola central con rcd y aux, elevalunas electricas, llanta,  retrovisores electricos, cierre centralizado con llave, etc  .
Puede concretar cita via mensaje o telefono. 
CARS PREMIUM .</t>
        </is>
      </c>
      <c r="AT473" s="2" t="inlineStr">
        <is>
          <t>https://www.coches.net/citroen-c2-14-hdi-furio-3p-diesel-2006-en-valencia-71520776-covo.aspx (window.__INITIAL_PROPS__.ad) /home/user/Alopecia/buscador-coches/raw/cochesnet/522ab8a4f4771d56.json</t>
        </is>
      </c>
      <c r="AU473" s="3">
        <f>MAX(ANIO_ACTUAL-M473,0)</f>
        <v/>
      </c>
      <c r="AV473" s="4">
        <f>N473/MAX(AU473,0.5)</f>
        <v/>
      </c>
      <c r="AW473" s="4">
        <f>F473</f>
        <v/>
      </c>
      <c r="AX473" s="3">
        <f>AW473&amp;"|"&amp;INT(M473/SEG_ANIO)*SEG_ANIO</f>
        <v/>
      </c>
      <c r="AY473" s="3">
        <f>AX473&amp;"|"&amp;INT(N473/SEG_KM)*SEG_KM</f>
        <v/>
      </c>
      <c r="AZ473" s="4">
        <f>COUNTIF($AW$2:$AW$662,AW473)</f>
        <v/>
      </c>
      <c r="BA473" s="4">
        <f>COUNTIF($AX$2:$AX$662,AX473)</f>
        <v/>
      </c>
      <c r="BB473" s="4">
        <f>COUNTIF($AY$2:$AY$662,AY473)</f>
        <v/>
      </c>
      <c r="BC473" s="3">
        <f t="array" ref="BC473">IF(N(AO473)&gt;=MIN_N,AN473,IF(BB473&gt;=MIN_N,MEDIAN(IF($AY$2:$AY$662=AY473,$O$2:$O$662)),IF(BA473&gt;=MIN_N,MEDIAN(IF($AX$2:$AX$662=AX473,$O$2:$O$662)),MEDIAN(IF($AW$2:$AW$662=AW473,$O$2:$O$662)))))</f>
        <v/>
      </c>
      <c r="BD473" s="3">
        <f>IF(N(AO473)&gt;=MIN_N,"mercado "&amp;AP473,IF(BB473&gt;=MIN_N,"modelo+año+km",IF(BA473&gt;=MIN_N,"modelo+año","modelo")))</f>
        <v/>
      </c>
      <c r="BE473" s="4">
        <f>(BC473-O473)/BC473</f>
        <v/>
      </c>
      <c r="BF473" s="3">
        <f>IF(OR(K473="hibrido",K473="glp"),"ECO",IF(K473="electrico","CERO",IF(K473="gasolina",IF(M473&gt;=GAS_C,"C",IF(M473&gt;=GAS_B,"B","A")),IF(K473="diesel",IF(M473&gt;=DIE_C,"C",IF(M473&gt;=DIE_B,"B","A")),""))))</f>
        <v/>
      </c>
      <c r="BG473" s="3">
        <f>IFERROR(VLOOKUP(F473,MOD_TBL,11,0),IFERROR(VLOOKUP(E473,OCU_TBL,2,0),NEUTRO))</f>
        <v/>
      </c>
      <c r="BH473" s="3">
        <f>SUMIFS(MOT_AJUSTE,MOT_MOTOR,G473,MOT_MARCA,E473,MOT_DESDE,"&lt;="&amp;M473,MOT_HASTA,"&gt;="&amp;M473)+SUMIFS(MOT_AJUSTE,MOT_MOTOR,G473,MOT_MARCA,"(todas)",MOT_DESDE,"&lt;="&amp;M473,MOT_HASTA,"&gt;="&amp;M473)</f>
        <v/>
      </c>
      <c r="BI473" s="3">
        <f>SUMIFS(COMB_AJUSTE,COMB_COMB,K473)</f>
        <v/>
      </c>
      <c r="BJ473" s="3">
        <f>COUNTIFS(MOT_MOTOR,G473,MOT_MARCA,E473,MOT_DESDE,"&lt;="&amp;M473,MOT_HASTA,"&gt;="&amp;M473)+COUNTIFS(MOT_MOTOR,G473,MOT_MARCA,"(todas)",MOT_DESDE,"&lt;="&amp;M473,MOT_HASTA,"&gt;="&amp;M473)</f>
        <v/>
      </c>
      <c r="BK473" s="3">
        <f>IF(AND(K473="diesel",BJ473=0),MIN(BG473,NEUTRO),BG473)</f>
        <v/>
      </c>
      <c r="BL473" s="4">
        <f>MAX(0,MIN(100,BK473+BH473+BI473))</f>
        <v/>
      </c>
      <c r="BM473" s="3">
        <f>MAX(0,MIN(100,50+BE473*PRECIO_PEND))</f>
        <v/>
      </c>
      <c r="BN473" s="3">
        <f>MAX(0,100*(1-N473/KM_MAX))</f>
        <v/>
      </c>
      <c r="BO473" s="3">
        <f>IF(AV473&lt;KMA_SOSP,IF(AA473="sí",100,KMA_PEN),IF(AV473&lt;=KMA_IDEAL_MAX,100,MAX(0,100*(KMA_CERO-AV473)/(KMA_CERO-KMA_IDEAL_MAX))))</f>
        <v/>
      </c>
      <c r="BP473" s="3">
        <f>MAX(0,MIN(100,100*(M473-ANIO_MIN)/(ANIO_ACTUAL-ANIO_MIN)))</f>
        <v/>
      </c>
      <c r="BQ473" s="3">
        <f>W_KMT*BN473+W_KMA*BO473+W_EDAD*BP473</f>
        <v/>
      </c>
      <c r="BR473" s="3">
        <f>P_ITV*(V473="sí")+P_LIBRO*(W473="sí")+P_CORREA*(X473="sí")+P_PROP*(Y473=1)+P_GAR*(Z473="sí")+P_FOTOS*MIN(1,N(U473)/FOTOS_OBJ)</f>
        <v/>
      </c>
      <c r="BS473" s="3">
        <f>IFERROR(VLOOKUP(BF473,ETQ_TBL,2,0),NEUTRO)</f>
        <v/>
      </c>
      <c r="BT473" s="3">
        <f>NEUTRO</f>
        <v/>
      </c>
      <c r="BU473" s="3">
        <f>IFERROR(VLOOKUP(L473,SEGURO_TBL,3,0),"")</f>
        <v/>
      </c>
      <c r="BV473" s="3">
        <f>IF(BU473="",NEUTRO,MAX(0,MIN(100,100*(SEG_REF_MAX-BU473)/(SEG_REF_MAX-SEG_REF_MIN))))</f>
        <v/>
      </c>
      <c r="BW473" s="3">
        <f>W_ET*BS473+W_CONS*BT473+W_SEG*BV473</f>
        <v/>
      </c>
      <c r="BX473" s="3">
        <f>IF(N(AB473)&gt;0,AB473,IF(AND(R473="profesional",SG_LEGAL_ON=1),GAR_LEGAL,0))</f>
        <v/>
      </c>
      <c r="BY473" s="3">
        <f>SG_GAR*MIN(1,BX473/SG_GAR_FULL)+SG_AMPL*(AC473="sí")+SG_KMC*(AF473="sí")+SG_REV*(N(AE473)&gt;0)+SG_DEV*MIN(1,N(AG473)/SG_DEV_FULL)+SG_HIST*(W473="sí")</f>
        <v/>
      </c>
      <c r="BZ473" s="3">
        <f>IFERROR(VLOOKUP(L473,CARR_PEN_TBL,2,0),0)</f>
        <v/>
      </c>
      <c r="CA473" s="3">
        <f>W_FIAB*BL473+W_PRECIO*BM473+W_KMEDAD*BQ473+W_ANUNCIO*BR473+W_USO*BW473+W_SEGURIDAD*BY473-BZ473</f>
        <v/>
      </c>
      <c r="CB473" s="4">
        <f>IF(N(I473)&gt;0,I473,IFERROR(ROUND(_xlfn.NUMBERVALUE(LEFT(G473,FIND(" ",G473&amp;" ")-1),".")*1000,0),99999))</f>
        <v/>
      </c>
      <c r="CC473" s="3">
        <f>IF(R473="profesional",0,IF(O473&lt;CUOTA_VALOR_MAX,IF(AU473&gt;ITP_TRAMO_ALTO,SUMIFS(CF_CUOTA,CF_MAS,ITP_TRAMO_ALTO,CF_CCMIN,"&lt;="&amp;CB473,CF_CCMAX,"&gt;="&amp;CB473),IF(AU473&gt;ITP_TRAMO_BAJO,SUMIFS(CF_CUOTA,CF_MAS,ITP_TRAMO_BAJO,CF_CCMIN,"&lt;="&amp;CB473,CF_CCMAX,"&gt;="&amp;CB473),O473*ITP_TIPO)),O473*ITP_TIPO))</f>
        <v/>
      </c>
      <c r="CD473" s="4">
        <f>IF(R473="profesional",N(AK473),0)</f>
        <v/>
      </c>
      <c r="CE473" s="3">
        <f>IF(AND(R473="profesional",ISNUMBER(AK473),AL473="sí"),0,TASA_DGT)</f>
        <v/>
      </c>
      <c r="CF473" s="3">
        <f>INFORME_DGT</f>
        <v/>
      </c>
      <c r="CG473" s="4">
        <f>O473+CD473+CC473+CE473+CF473</f>
        <v/>
      </c>
      <c r="CH473" s="4">
        <f>CG473+N(BU473)</f>
        <v/>
      </c>
      <c r="CI473" s="3">
        <f>IF(CG473&lt;=TOTAL_MAX,"sí",IF(CG473&lt;=TOTAL_MAX+MARGEN_NEG,"negociar","no"))</f>
        <v/>
      </c>
      <c r="CJ473" s="4">
        <f>IF(CI473&lt;&gt;"no",COUNTIFS($CI$2:$CI$662,"&lt;&gt;no",$CA$2:$CA$662,"&gt;"&amp;CA473)+COUNTIFS($CI$2:CI473,"&lt;&gt;no",$CA$2:CA473,CA473),"")</f>
        <v/>
      </c>
    </row>
    <row r="474">
      <c r="A474" s="2" t="inlineStr">
        <is>
          <t>cochesnet:71871523</t>
        </is>
      </c>
      <c r="B474" s="2" t="inlineStr">
        <is>
          <t>cochesnet</t>
        </is>
      </c>
      <c r="C474" s="2" t="inlineStr">
        <is>
          <t>https://www.coches.net/citroen-c1-14-hdi-sx-3p-diesel-2006-en-valencia-71871523-covo.aspx</t>
        </is>
      </c>
      <c r="D474" s="2" t="inlineStr">
        <is>
          <t>CITROEN C1 1.4 HDI SX</t>
        </is>
      </c>
      <c r="E474" s="2" t="inlineStr">
        <is>
          <t>Citroën</t>
        </is>
      </c>
      <c r="F474" s="2" t="inlineStr">
        <is>
          <t>Citroën C1</t>
        </is>
      </c>
      <c r="G474" s="2" t="inlineStr">
        <is>
          <t>1.4 HDi</t>
        </is>
      </c>
      <c r="H474" s="2" t="inlineStr">
        <is>
          <t>1.4 HDI SX</t>
        </is>
      </c>
      <c r="I474" s="2" t="n"/>
      <c r="J474" s="2" t="n"/>
      <c r="K474" s="2" t="inlineStr">
        <is>
          <t>diesel</t>
        </is>
      </c>
      <c r="L474" s="2" t="inlineStr">
        <is>
          <t>utilitario</t>
        </is>
      </c>
      <c r="M474" s="2" t="n">
        <v>2006</v>
      </c>
      <c r="N474" s="2" t="n">
        <v>135000</v>
      </c>
      <c r="O474" s="2" t="n">
        <v>2400</v>
      </c>
      <c r="P474" s="2" t="inlineStr">
        <is>
          <t>manual</t>
        </is>
      </c>
      <c r="Q474" s="2" t="inlineStr">
        <is>
          <t>no</t>
        </is>
      </c>
      <c r="R474" s="2" t="inlineStr">
        <is>
          <t>particular</t>
        </is>
      </c>
      <c r="S474" s="2" t="inlineStr">
        <is>
          <t>Paiporta</t>
        </is>
      </c>
      <c r="T474" s="2" t="inlineStr">
        <is>
          <t>2026-10-30T14:42:42Z</t>
        </is>
      </c>
      <c r="U474" s="2" t="n">
        <v>3</v>
      </c>
      <c r="V474" s="2" t="n"/>
      <c r="W474" s="2" t="n"/>
      <c r="X474" s="2" t="n"/>
      <c r="Y474" s="2" t="n"/>
      <c r="Z474" s="2" t="inlineStr">
        <is>
          <t>no</t>
        </is>
      </c>
      <c r="AA474" s="2" t="n"/>
      <c r="AB474" s="2" t="n"/>
      <c r="AC474" s="2" t="n"/>
      <c r="AD474" s="2" t="n"/>
      <c r="AE474" s="2" t="n"/>
      <c r="AF474" s="2" t="n"/>
      <c r="AG474" s="2" t="n"/>
      <c r="AH474" s="2" t="n">
        <v>2400</v>
      </c>
      <c r="AI474" s="2" t="n"/>
      <c r="AJ474" s="2" t="n"/>
      <c r="AK474" s="2" t="n"/>
      <c r="AL474" s="2" t="n"/>
      <c r="AM474" s="2" t="n">
        <v>5.9</v>
      </c>
      <c r="AN474" s="2" t="n"/>
      <c r="AO474" s="2" t="n"/>
      <c r="AP474" s="2" t="n"/>
      <c r="AQ474" s="2" t="n"/>
      <c r="AR474" s="2" t="inlineStr">
        <is>
          <t>cuota fija ITP: &gt;12 años, hasta 1.500 cc; fiabilidad del modelo PENDIENTE de fuente (puntuación neutra); mediana con solo 3 anuncio(s)</t>
        </is>
      </c>
      <c r="AS474" s="2" t="inlineStr">
        <is>
          <t xml:space="preserve">Tiene alguna cosa de chapa y desgaste típico de 20 años, en general para uso diario y en capital para el día a día perfecto,precio negociable </t>
        </is>
      </c>
      <c r="AT474" s="2" t="inlineStr">
        <is>
          <t>https://www.coches.net/citroen-c1-14-hdi-sx-3p-diesel-2006-en-valencia-71871523-covo.aspx (window.__INITIAL_PROPS__.ad) /home/user/Alopecia/buscador-coches/raw/cochesnet/8639008ef0a712a1.json</t>
        </is>
      </c>
      <c r="AU474" s="3">
        <f>MAX(ANIO_ACTUAL-M474,0)</f>
        <v/>
      </c>
      <c r="AV474" s="4">
        <f>N474/MAX(AU474,0.5)</f>
        <v/>
      </c>
      <c r="AW474" s="4">
        <f>F474</f>
        <v/>
      </c>
      <c r="AX474" s="3">
        <f>AW474&amp;"|"&amp;INT(M474/SEG_ANIO)*SEG_ANIO</f>
        <v/>
      </c>
      <c r="AY474" s="3">
        <f>AX474&amp;"|"&amp;INT(N474/SEG_KM)*SEG_KM</f>
        <v/>
      </c>
      <c r="AZ474" s="4">
        <f>COUNTIF($AW$2:$AW$662,AW474)</f>
        <v/>
      </c>
      <c r="BA474" s="4">
        <f>COUNTIF($AX$2:$AX$662,AX474)</f>
        <v/>
      </c>
      <c r="BB474" s="4">
        <f>COUNTIF($AY$2:$AY$662,AY474)</f>
        <v/>
      </c>
      <c r="BC474" s="3">
        <f t="array" ref="BC474">IF(N(AO474)&gt;=MIN_N,AN474,IF(BB474&gt;=MIN_N,MEDIAN(IF($AY$2:$AY$662=AY474,$O$2:$O$662)),IF(BA474&gt;=MIN_N,MEDIAN(IF($AX$2:$AX$662=AX474,$O$2:$O$662)),MEDIAN(IF($AW$2:$AW$662=AW474,$O$2:$O$662)))))</f>
        <v/>
      </c>
      <c r="BD474" s="3">
        <f>IF(N(AO474)&gt;=MIN_N,"mercado "&amp;AP474,IF(BB474&gt;=MIN_N,"modelo+año+km",IF(BA474&gt;=MIN_N,"modelo+año","modelo")))</f>
        <v/>
      </c>
      <c r="BE474" s="4">
        <f>(BC474-O474)/BC474</f>
        <v/>
      </c>
      <c r="BF474" s="3">
        <f>IF(OR(K474="hibrido",K474="glp"),"ECO",IF(K474="electrico","CERO",IF(K474="gasolina",IF(M474&gt;=GAS_C,"C",IF(M474&gt;=GAS_B,"B","A")),IF(K474="diesel",IF(M474&gt;=DIE_C,"C",IF(M474&gt;=DIE_B,"B","A")),""))))</f>
        <v/>
      </c>
      <c r="BG474" s="3">
        <f>IFERROR(VLOOKUP(F474,MOD_TBL,11,0),IFERROR(VLOOKUP(E474,OCU_TBL,2,0),NEUTRO))</f>
        <v/>
      </c>
      <c r="BH474" s="3">
        <f>SUMIFS(MOT_AJUSTE,MOT_MOTOR,G474,MOT_MARCA,E474,MOT_DESDE,"&lt;="&amp;M474,MOT_HASTA,"&gt;="&amp;M474)+SUMIFS(MOT_AJUSTE,MOT_MOTOR,G474,MOT_MARCA,"(todas)",MOT_DESDE,"&lt;="&amp;M474,MOT_HASTA,"&gt;="&amp;M474)</f>
        <v/>
      </c>
      <c r="BI474" s="3">
        <f>SUMIFS(COMB_AJUSTE,COMB_COMB,K474)</f>
        <v/>
      </c>
      <c r="BJ474" s="3">
        <f>COUNTIFS(MOT_MOTOR,G474,MOT_MARCA,E474,MOT_DESDE,"&lt;="&amp;M474,MOT_HASTA,"&gt;="&amp;M474)+COUNTIFS(MOT_MOTOR,G474,MOT_MARCA,"(todas)",MOT_DESDE,"&lt;="&amp;M474,MOT_HASTA,"&gt;="&amp;M474)</f>
        <v/>
      </c>
      <c r="BK474" s="3">
        <f>IF(AND(K474="diesel",BJ474=0),MIN(BG474,NEUTRO),BG474)</f>
        <v/>
      </c>
      <c r="BL474" s="4">
        <f>MAX(0,MIN(100,BK474+BH474+BI474))</f>
        <v/>
      </c>
      <c r="BM474" s="3">
        <f>MAX(0,MIN(100,50+BE474*PRECIO_PEND))</f>
        <v/>
      </c>
      <c r="BN474" s="3">
        <f>MAX(0,100*(1-N474/KM_MAX))</f>
        <v/>
      </c>
      <c r="BO474" s="3">
        <f>IF(AV474&lt;KMA_SOSP,IF(AA474="sí",100,KMA_PEN),IF(AV474&lt;=KMA_IDEAL_MAX,100,MAX(0,100*(KMA_CERO-AV474)/(KMA_CERO-KMA_IDEAL_MAX))))</f>
        <v/>
      </c>
      <c r="BP474" s="3">
        <f>MAX(0,MIN(100,100*(M474-ANIO_MIN)/(ANIO_ACTUAL-ANIO_MIN)))</f>
        <v/>
      </c>
      <c r="BQ474" s="3">
        <f>W_KMT*BN474+W_KMA*BO474+W_EDAD*BP474</f>
        <v/>
      </c>
      <c r="BR474" s="3">
        <f>P_ITV*(V474="sí")+P_LIBRO*(W474="sí")+P_CORREA*(X474="sí")+P_PROP*(Y474=1)+P_GAR*(Z474="sí")+P_FOTOS*MIN(1,N(U474)/FOTOS_OBJ)</f>
        <v/>
      </c>
      <c r="BS474" s="3">
        <f>IFERROR(VLOOKUP(BF474,ETQ_TBL,2,0),NEUTRO)</f>
        <v/>
      </c>
      <c r="BT474" s="3">
        <f>NEUTRO</f>
        <v/>
      </c>
      <c r="BU474" s="3">
        <f>IFERROR(VLOOKUP(L474,SEGURO_TBL,3,0),"")</f>
        <v/>
      </c>
      <c r="BV474" s="3">
        <f>IF(BU474="",NEUTRO,MAX(0,MIN(100,100*(SEG_REF_MAX-BU474)/(SEG_REF_MAX-SEG_REF_MIN))))</f>
        <v/>
      </c>
      <c r="BW474" s="3">
        <f>W_ET*BS474+W_CONS*BT474+W_SEG*BV474</f>
        <v/>
      </c>
      <c r="BX474" s="3">
        <f>IF(N(AB474)&gt;0,AB474,IF(AND(R474="profesional",SG_LEGAL_ON=1),GAR_LEGAL,0))</f>
        <v/>
      </c>
      <c r="BY474" s="3">
        <f>SG_GAR*MIN(1,BX474/SG_GAR_FULL)+SG_AMPL*(AC474="sí")+SG_KMC*(AF474="sí")+SG_REV*(N(AE474)&gt;0)+SG_DEV*MIN(1,N(AG474)/SG_DEV_FULL)+SG_HIST*(W474="sí")</f>
        <v/>
      </c>
      <c r="BZ474" s="3">
        <f>IFERROR(VLOOKUP(L474,CARR_PEN_TBL,2,0),0)</f>
        <v/>
      </c>
      <c r="CA474" s="3">
        <f>W_FIAB*BL474+W_PRECIO*BM474+W_KMEDAD*BQ474+W_ANUNCIO*BR474+W_USO*BW474+W_SEGURIDAD*BY474-BZ474</f>
        <v/>
      </c>
      <c r="CB474" s="4">
        <f>IF(N(I474)&gt;0,I474,IFERROR(ROUND(_xlfn.NUMBERVALUE(LEFT(G474,FIND(" ",G474&amp;" ")-1),".")*1000,0),99999))</f>
        <v/>
      </c>
      <c r="CC474" s="3">
        <f>IF(R474="profesional",0,IF(O474&lt;CUOTA_VALOR_MAX,IF(AU474&gt;ITP_TRAMO_ALTO,SUMIFS(CF_CUOTA,CF_MAS,ITP_TRAMO_ALTO,CF_CCMIN,"&lt;="&amp;CB474,CF_CCMAX,"&gt;="&amp;CB474),IF(AU474&gt;ITP_TRAMO_BAJO,SUMIFS(CF_CUOTA,CF_MAS,ITP_TRAMO_BAJO,CF_CCMIN,"&lt;="&amp;CB474,CF_CCMAX,"&gt;="&amp;CB474),O474*ITP_TIPO)),O474*ITP_TIPO))</f>
        <v/>
      </c>
      <c r="CD474" s="4">
        <f>IF(R474="profesional",N(AK474),0)</f>
        <v/>
      </c>
      <c r="CE474" s="3">
        <f>IF(AND(R474="profesional",ISNUMBER(AK474),AL474="sí"),0,TASA_DGT)</f>
        <v/>
      </c>
      <c r="CF474" s="3">
        <f>INFORME_DGT</f>
        <v/>
      </c>
      <c r="CG474" s="4">
        <f>O474+CD474+CC474+CE474+CF474</f>
        <v/>
      </c>
      <c r="CH474" s="4">
        <f>CG474+N(BU474)</f>
        <v/>
      </c>
      <c r="CI474" s="3">
        <f>IF(CG474&lt;=TOTAL_MAX,"sí",IF(CG474&lt;=TOTAL_MAX+MARGEN_NEG,"negociar","no"))</f>
        <v/>
      </c>
      <c r="CJ474" s="4">
        <f>IF(CI474&lt;&gt;"no",COUNTIFS($CI$2:$CI$662,"&lt;&gt;no",$CA$2:$CA$662,"&gt;"&amp;CA474)+COUNTIFS($CI$2:CI474,"&lt;&gt;no",$CA$2:CA474,CA474),"")</f>
        <v/>
      </c>
    </row>
    <row r="475">
      <c r="A475" s="2" t="inlineStr">
        <is>
          <t>cochesnet:71713025</t>
        </is>
      </c>
      <c r="B475" s="2" t="inlineStr">
        <is>
          <t>cochesnet</t>
        </is>
      </c>
      <c r="C475" s="2" t="inlineStr">
        <is>
          <t>https://www.coches.net/citroen-c1-10-x-5p-gasolina-2006-en-valencia-71713025-covo.aspx</t>
        </is>
      </c>
      <c r="D475" s="2" t="inlineStr">
        <is>
          <t>CITROEN C1 1.0 X</t>
        </is>
      </c>
      <c r="E475" s="2" t="inlineStr">
        <is>
          <t>Citroën</t>
        </is>
      </c>
      <c r="F475" s="2" t="inlineStr">
        <is>
          <t>Citroën C1</t>
        </is>
      </c>
      <c r="G475" s="2" t="inlineStr">
        <is>
          <t>1.0</t>
        </is>
      </c>
      <c r="H475" s="2" t="inlineStr">
        <is>
          <t>1.0 X</t>
        </is>
      </c>
      <c r="I475" s="2" t="n"/>
      <c r="J475" s="2" t="n"/>
      <c r="K475" s="2" t="inlineStr">
        <is>
          <t>gasolina</t>
        </is>
      </c>
      <c r="L475" s="2" t="inlineStr">
        <is>
          <t>utilitario</t>
        </is>
      </c>
      <c r="M475" s="2" t="n">
        <v>2006</v>
      </c>
      <c r="N475" s="2" t="n">
        <v>112000</v>
      </c>
      <c r="O475" s="2" t="n">
        <v>3250</v>
      </c>
      <c r="P475" s="2" t="inlineStr">
        <is>
          <t>manual</t>
        </is>
      </c>
      <c r="Q475" s="2" t="inlineStr">
        <is>
          <t>no</t>
        </is>
      </c>
      <c r="R475" s="2" t="inlineStr">
        <is>
          <t>particular</t>
        </is>
      </c>
      <c r="S475" s="2" t="inlineStr">
        <is>
          <t>Alzira</t>
        </is>
      </c>
      <c r="T475" s="2" t="inlineStr">
        <is>
          <t>2026-10-09T15:48:08Z</t>
        </is>
      </c>
      <c r="U475" s="2" t="n">
        <v>11</v>
      </c>
      <c r="V475" s="2" t="inlineStr">
        <is>
          <t>sí</t>
        </is>
      </c>
      <c r="W475" s="2" t="n"/>
      <c r="X475" s="2" t="n"/>
      <c r="Y475" s="2" t="n">
        <v>1</v>
      </c>
      <c r="Z475" s="2" t="inlineStr">
        <is>
          <t>no</t>
        </is>
      </c>
      <c r="AA475" s="2" t="n"/>
      <c r="AB475" s="2" t="n"/>
      <c r="AC475" s="2" t="n"/>
      <c r="AD475" s="2" t="n"/>
      <c r="AE475" s="2" t="n"/>
      <c r="AF475" s="2" t="n"/>
      <c r="AG475" s="2" t="n"/>
      <c r="AH475" s="2" t="n">
        <v>3250</v>
      </c>
      <c r="AI475" s="2" t="n"/>
      <c r="AJ475" s="2" t="n"/>
      <c r="AK475" s="2" t="n"/>
      <c r="AL475" s="2" t="n"/>
      <c r="AM475" s="2" t="n">
        <v>35.7</v>
      </c>
      <c r="AN475" s="2" t="n"/>
      <c r="AO475" s="2" t="n"/>
      <c r="AP475" s="2" t="n"/>
      <c r="AQ475" s="2" t="n"/>
      <c r="AR475" s="2" t="inlineStr">
        <is>
          <t>cuota fija ITP: &gt;12 años, hasta 1.500 cc; fiabilidad del modelo PENDIENTE de fuente (puntuación neutra); mediana con solo 3 anuncio(s)</t>
        </is>
      </c>
      <c r="AS475" s="2" t="inlineStr">
        <is>
          <t xml:space="preserve">Citroen C1 
Año 2006
1.0 70cv
Aire Acondicionado 
Dirección asistida 
Radio CD
Ruedas delanteras nuevas
Faros recién pulidos
Embrague cambiado
Mantenimiento, aceite, filtros hecho 
Tapacubos recién cambiados
ITV 10/27
0 fallos 
2 llaves
Unico propietario 
Coche en perfecto estado, muy bien conservado, poco consumo, bien cuidado interior 
Se puede probar y hacer prueba mecánica 
Se vende por poco uso </t>
        </is>
      </c>
      <c r="AT475" s="2" t="inlineStr">
        <is>
          <t>https://www.coches.net/citroen-c1-10-x-5p-gasolina-2006-en-valencia-71713025-covo.aspx (window.__INITIAL_PROPS__.ad) /home/user/Alopecia/buscador-coches/raw/cochesnet/b89468fb0a533868.json</t>
        </is>
      </c>
      <c r="AU475" s="3">
        <f>MAX(ANIO_ACTUAL-M475,0)</f>
        <v/>
      </c>
      <c r="AV475" s="4">
        <f>N475/MAX(AU475,0.5)</f>
        <v/>
      </c>
      <c r="AW475" s="4">
        <f>F475</f>
        <v/>
      </c>
      <c r="AX475" s="3">
        <f>AW475&amp;"|"&amp;INT(M475/SEG_ANIO)*SEG_ANIO</f>
        <v/>
      </c>
      <c r="AY475" s="3">
        <f>AX475&amp;"|"&amp;INT(N475/SEG_KM)*SEG_KM</f>
        <v/>
      </c>
      <c r="AZ475" s="4">
        <f>COUNTIF($AW$2:$AW$662,AW475)</f>
        <v/>
      </c>
      <c r="BA475" s="4">
        <f>COUNTIF($AX$2:$AX$662,AX475)</f>
        <v/>
      </c>
      <c r="BB475" s="4">
        <f>COUNTIF($AY$2:$AY$662,AY475)</f>
        <v/>
      </c>
      <c r="BC475" s="3">
        <f t="array" ref="BC475">IF(N(AO475)&gt;=MIN_N,AN475,IF(BB475&gt;=MIN_N,MEDIAN(IF($AY$2:$AY$662=AY475,$O$2:$O$662)),IF(BA475&gt;=MIN_N,MEDIAN(IF($AX$2:$AX$662=AX475,$O$2:$O$662)),MEDIAN(IF($AW$2:$AW$662=AW475,$O$2:$O$662)))))</f>
        <v/>
      </c>
      <c r="BD475" s="3">
        <f>IF(N(AO475)&gt;=MIN_N,"mercado "&amp;AP475,IF(BB475&gt;=MIN_N,"modelo+año+km",IF(BA475&gt;=MIN_N,"modelo+año","modelo")))</f>
        <v/>
      </c>
      <c r="BE475" s="4">
        <f>(BC475-O475)/BC475</f>
        <v/>
      </c>
      <c r="BF475" s="3">
        <f>IF(OR(K475="hibrido",K475="glp"),"ECO",IF(K475="electrico","CERO",IF(K475="gasolina",IF(M475&gt;=GAS_C,"C",IF(M475&gt;=GAS_B,"B","A")),IF(K475="diesel",IF(M475&gt;=DIE_C,"C",IF(M475&gt;=DIE_B,"B","A")),""))))</f>
        <v/>
      </c>
      <c r="BG475" s="3">
        <f>IFERROR(VLOOKUP(F475,MOD_TBL,11,0),IFERROR(VLOOKUP(E475,OCU_TBL,2,0),NEUTRO))</f>
        <v/>
      </c>
      <c r="BH475" s="3">
        <f>SUMIFS(MOT_AJUSTE,MOT_MOTOR,G475,MOT_MARCA,E475,MOT_DESDE,"&lt;="&amp;M475,MOT_HASTA,"&gt;="&amp;M475)+SUMIFS(MOT_AJUSTE,MOT_MOTOR,G475,MOT_MARCA,"(todas)",MOT_DESDE,"&lt;="&amp;M475,MOT_HASTA,"&gt;="&amp;M475)</f>
        <v/>
      </c>
      <c r="BI475" s="3">
        <f>SUMIFS(COMB_AJUSTE,COMB_COMB,K475)</f>
        <v/>
      </c>
      <c r="BJ475" s="3">
        <f>COUNTIFS(MOT_MOTOR,G475,MOT_MARCA,E475,MOT_DESDE,"&lt;="&amp;M475,MOT_HASTA,"&gt;="&amp;M475)+COUNTIFS(MOT_MOTOR,G475,MOT_MARCA,"(todas)",MOT_DESDE,"&lt;="&amp;M475,MOT_HASTA,"&gt;="&amp;M475)</f>
        <v/>
      </c>
      <c r="BK475" s="3">
        <f>IF(AND(K475="diesel",BJ475=0),MIN(BG475,NEUTRO),BG475)</f>
        <v/>
      </c>
      <c r="BL475" s="4">
        <f>MAX(0,MIN(100,BK475+BH475+BI475))</f>
        <v/>
      </c>
      <c r="BM475" s="3">
        <f>MAX(0,MIN(100,50+BE475*PRECIO_PEND))</f>
        <v/>
      </c>
      <c r="BN475" s="3">
        <f>MAX(0,100*(1-N475/KM_MAX))</f>
        <v/>
      </c>
      <c r="BO475" s="3">
        <f>IF(AV475&lt;KMA_SOSP,IF(AA475="sí",100,KMA_PEN),IF(AV475&lt;=KMA_IDEAL_MAX,100,MAX(0,100*(KMA_CERO-AV475)/(KMA_CERO-KMA_IDEAL_MAX))))</f>
        <v/>
      </c>
      <c r="BP475" s="3">
        <f>MAX(0,MIN(100,100*(M475-ANIO_MIN)/(ANIO_ACTUAL-ANIO_MIN)))</f>
        <v/>
      </c>
      <c r="BQ475" s="3">
        <f>W_KMT*BN475+W_KMA*BO475+W_EDAD*BP475</f>
        <v/>
      </c>
      <c r="BR475" s="3">
        <f>P_ITV*(V475="sí")+P_LIBRO*(W475="sí")+P_CORREA*(X475="sí")+P_PROP*(Y475=1)+P_GAR*(Z475="sí")+P_FOTOS*MIN(1,N(U475)/FOTOS_OBJ)</f>
        <v/>
      </c>
      <c r="BS475" s="3">
        <f>IFERROR(VLOOKUP(BF475,ETQ_TBL,2,0),NEUTRO)</f>
        <v/>
      </c>
      <c r="BT475" s="3">
        <f>NEUTRO</f>
        <v/>
      </c>
      <c r="BU475" s="3">
        <f>IFERROR(VLOOKUP(L475,SEGURO_TBL,3,0),"")</f>
        <v/>
      </c>
      <c r="BV475" s="3">
        <f>IF(BU475="",NEUTRO,MAX(0,MIN(100,100*(SEG_REF_MAX-BU475)/(SEG_REF_MAX-SEG_REF_MIN))))</f>
        <v/>
      </c>
      <c r="BW475" s="3">
        <f>W_ET*BS475+W_CONS*BT475+W_SEG*BV475</f>
        <v/>
      </c>
      <c r="BX475" s="3">
        <f>IF(N(AB475)&gt;0,AB475,IF(AND(R475="profesional",SG_LEGAL_ON=1),GAR_LEGAL,0))</f>
        <v/>
      </c>
      <c r="BY475" s="3">
        <f>SG_GAR*MIN(1,BX475/SG_GAR_FULL)+SG_AMPL*(AC475="sí")+SG_KMC*(AF475="sí")+SG_REV*(N(AE475)&gt;0)+SG_DEV*MIN(1,N(AG475)/SG_DEV_FULL)+SG_HIST*(W475="sí")</f>
        <v/>
      </c>
      <c r="BZ475" s="3">
        <f>IFERROR(VLOOKUP(L475,CARR_PEN_TBL,2,0),0)</f>
        <v/>
      </c>
      <c r="CA475" s="3">
        <f>W_FIAB*BL475+W_PRECIO*BM475+W_KMEDAD*BQ475+W_ANUNCIO*BR475+W_USO*BW475+W_SEGURIDAD*BY475-BZ475</f>
        <v/>
      </c>
      <c r="CB475" s="4">
        <f>IF(N(I475)&gt;0,I475,IFERROR(ROUND(_xlfn.NUMBERVALUE(LEFT(G475,FIND(" ",G475&amp;" ")-1),".")*1000,0),99999))</f>
        <v/>
      </c>
      <c r="CC475" s="3">
        <f>IF(R475="profesional",0,IF(O475&lt;CUOTA_VALOR_MAX,IF(AU475&gt;ITP_TRAMO_ALTO,SUMIFS(CF_CUOTA,CF_MAS,ITP_TRAMO_ALTO,CF_CCMIN,"&lt;="&amp;CB475,CF_CCMAX,"&gt;="&amp;CB475),IF(AU475&gt;ITP_TRAMO_BAJO,SUMIFS(CF_CUOTA,CF_MAS,ITP_TRAMO_BAJO,CF_CCMIN,"&lt;="&amp;CB475,CF_CCMAX,"&gt;="&amp;CB475),O475*ITP_TIPO)),O475*ITP_TIPO))</f>
        <v/>
      </c>
      <c r="CD475" s="4">
        <f>IF(R475="profesional",N(AK475),0)</f>
        <v/>
      </c>
      <c r="CE475" s="3">
        <f>IF(AND(R475="profesional",ISNUMBER(AK475),AL475="sí"),0,TASA_DGT)</f>
        <v/>
      </c>
      <c r="CF475" s="3">
        <f>INFORME_DGT</f>
        <v/>
      </c>
      <c r="CG475" s="4">
        <f>O475+CD475+CC475+CE475+CF475</f>
        <v/>
      </c>
      <c r="CH475" s="4">
        <f>CG475+N(BU475)</f>
        <v/>
      </c>
      <c r="CI475" s="3">
        <f>IF(CG475&lt;=TOTAL_MAX,"sí",IF(CG475&lt;=TOTAL_MAX+MARGEN_NEG,"negociar","no"))</f>
        <v/>
      </c>
      <c r="CJ475" s="4">
        <f>IF(CI475&lt;&gt;"no",COUNTIFS($CI$2:$CI$662,"&lt;&gt;no",$CA$2:$CA$662,"&gt;"&amp;CA475)+COUNTIFS($CI$2:CI475,"&lt;&gt;no",$CA$2:CA475,CA475),"")</f>
        <v/>
      </c>
    </row>
    <row r="476">
      <c r="A476" s="2" t="inlineStr">
        <is>
          <t>cochesnet:71564342</t>
        </is>
      </c>
      <c r="B476" s="2" t="inlineStr">
        <is>
          <t>cochesnet</t>
        </is>
      </c>
      <c r="C476" s="2" t="inlineStr">
        <is>
          <t>https://www.coches.net/citroen-c3-14-hdi-furio-5p-diesel-2005-en-valencia-71564342-covo.aspx</t>
        </is>
      </c>
      <c r="D476" s="2" t="inlineStr">
        <is>
          <t>CITROEN C3 1.4 HDi Furio</t>
        </is>
      </c>
      <c r="E476" s="2" t="inlineStr">
        <is>
          <t>Citroën</t>
        </is>
      </c>
      <c r="F476" s="2" t="inlineStr">
        <is>
          <t>Citroën C3</t>
        </is>
      </c>
      <c r="G476" s="2" t="inlineStr">
        <is>
          <t>1.4 HDi</t>
        </is>
      </c>
      <c r="H476" s="2" t="inlineStr">
        <is>
          <t>1.4 HDi Furio</t>
        </is>
      </c>
      <c r="I476" s="2" t="n"/>
      <c r="J476" s="2" t="n"/>
      <c r="K476" s="2" t="inlineStr">
        <is>
          <t>diesel</t>
        </is>
      </c>
      <c r="L476" s="2" t="inlineStr">
        <is>
          <t>utilitario</t>
        </is>
      </c>
      <c r="M476" s="2" t="n">
        <v>2006</v>
      </c>
      <c r="N476" s="2" t="n">
        <v>150000</v>
      </c>
      <c r="O476" s="2" t="n">
        <v>4190</v>
      </c>
      <c r="P476" s="2" t="inlineStr">
        <is>
          <t>manual</t>
        </is>
      </c>
      <c r="Q476" s="2" t="inlineStr">
        <is>
          <t>no</t>
        </is>
      </c>
      <c r="R476" s="2" t="inlineStr">
        <is>
          <t>profesional</t>
        </is>
      </c>
      <c r="S476" s="2" t="inlineStr">
        <is>
          <t>Only Cars Valencia Aldaia</t>
        </is>
      </c>
      <c r="T476" s="2" t="inlineStr">
        <is>
          <t>2026-09-21T18:04:11Z</t>
        </is>
      </c>
      <c r="U476" s="2" t="n">
        <v>11</v>
      </c>
      <c r="V476" s="2" t="n"/>
      <c r="W476" s="2" t="n"/>
      <c r="X476" s="2" t="n"/>
      <c r="Y476" s="2" t="n"/>
      <c r="Z476" s="2" t="inlineStr">
        <is>
          <t>sí</t>
        </is>
      </c>
      <c r="AA476" s="2" t="n"/>
      <c r="AB476" s="2" t="n">
        <v>12</v>
      </c>
      <c r="AC476" s="2" t="n"/>
      <c r="AD476" s="2" t="n"/>
      <c r="AE476" s="2" t="n"/>
      <c r="AF476" s="2" t="n"/>
      <c r="AG476" s="2" t="n"/>
      <c r="AH476" s="2" t="n">
        <v>4190</v>
      </c>
      <c r="AI476" s="2" t="n"/>
      <c r="AJ476" s="2" t="n"/>
      <c r="AK476" s="2" t="n"/>
      <c r="AL476" s="2" t="n"/>
      <c r="AM476" s="2" t="n">
        <v>7.5</v>
      </c>
      <c r="AN476" s="2" t="n">
        <v>2525</v>
      </c>
      <c r="AO476" s="2" t="n">
        <v>14</v>
      </c>
      <c r="AP476" s="2" t="inlineStr">
        <is>
          <t>modelo+año+km</t>
        </is>
      </c>
      <c r="AQ476" s="2" t="n"/>
      <c r="AR476" s="2" t="inlineStr">
        <is>
          <t>vendedor profesional: sin ITP (operación con IVA/REBU, confirmar en factura); gastos de gestión del vendedor no indicados: se suma la tasa DGT; preguntar el precio final</t>
        </is>
      </c>
      <c r="AS476" s="2" t="inlineStr">
        <is>
          <t>Citroen C3 1.4 HDi Furio año 2006 con 150.000Kms 68CV.
Equipamiento:
- elevalunas eléctricos 
- Espejos eléctricos 
- Aire acondicionado 
- Dirección asistida
- Mando a distancia 
- Ordenador de abordo
Mantenimiento:
   - cambio de filtro de aire
   - cambio de filtro de aceite
   - cambio de aceite 
   - Dos juegos de llave
   - Alfombrillas</t>
        </is>
      </c>
      <c r="AT476" s="2" t="inlineStr">
        <is>
          <t>https://www.coches.net/citroen-c3-14-hdi-furio-5p-diesel-2005-en-valencia-71564342-covo.aspx (window.__INITIAL_PROPS__.ad) /home/user/Alopecia/buscador-coches/raw/cochesnet/3813873a686f60f4.json</t>
        </is>
      </c>
      <c r="AU476" s="3">
        <f>MAX(ANIO_ACTUAL-M476,0)</f>
        <v/>
      </c>
      <c r="AV476" s="4">
        <f>N476/MAX(AU476,0.5)</f>
        <v/>
      </c>
      <c r="AW476" s="4">
        <f>F476</f>
        <v/>
      </c>
      <c r="AX476" s="3">
        <f>AW476&amp;"|"&amp;INT(M476/SEG_ANIO)*SEG_ANIO</f>
        <v/>
      </c>
      <c r="AY476" s="3">
        <f>AX476&amp;"|"&amp;INT(N476/SEG_KM)*SEG_KM</f>
        <v/>
      </c>
      <c r="AZ476" s="4">
        <f>COUNTIF($AW$2:$AW$662,AW476)</f>
        <v/>
      </c>
      <c r="BA476" s="4">
        <f>COUNTIF($AX$2:$AX$662,AX476)</f>
        <v/>
      </c>
      <c r="BB476" s="4">
        <f>COUNTIF($AY$2:$AY$662,AY476)</f>
        <v/>
      </c>
      <c r="BC476" s="3">
        <f t="array" ref="BC476">IF(N(AO476)&gt;=MIN_N,AN476,IF(BB476&gt;=MIN_N,MEDIAN(IF($AY$2:$AY$662=AY476,$O$2:$O$662)),IF(BA476&gt;=MIN_N,MEDIAN(IF($AX$2:$AX$662=AX476,$O$2:$O$662)),MEDIAN(IF($AW$2:$AW$662=AW476,$O$2:$O$662)))))</f>
        <v/>
      </c>
      <c r="BD476" s="3">
        <f>IF(N(AO476)&gt;=MIN_N,"mercado "&amp;AP476,IF(BB476&gt;=MIN_N,"modelo+año+km",IF(BA476&gt;=MIN_N,"modelo+año","modelo")))</f>
        <v/>
      </c>
      <c r="BE476" s="4">
        <f>(BC476-O476)/BC476</f>
        <v/>
      </c>
      <c r="BF476" s="3">
        <f>IF(OR(K476="hibrido",K476="glp"),"ECO",IF(K476="electrico","CERO",IF(K476="gasolina",IF(M476&gt;=GAS_C,"C",IF(M476&gt;=GAS_B,"B","A")),IF(K476="diesel",IF(M476&gt;=DIE_C,"C",IF(M476&gt;=DIE_B,"B","A")),""))))</f>
        <v/>
      </c>
      <c r="BG476" s="3">
        <f>IFERROR(VLOOKUP(F476,MOD_TBL,11,0),IFERROR(VLOOKUP(E476,OCU_TBL,2,0),NEUTRO))</f>
        <v/>
      </c>
      <c r="BH476" s="3">
        <f>SUMIFS(MOT_AJUSTE,MOT_MOTOR,G476,MOT_MARCA,E476,MOT_DESDE,"&lt;="&amp;M476,MOT_HASTA,"&gt;="&amp;M476)+SUMIFS(MOT_AJUSTE,MOT_MOTOR,G476,MOT_MARCA,"(todas)",MOT_DESDE,"&lt;="&amp;M476,MOT_HASTA,"&gt;="&amp;M476)</f>
        <v/>
      </c>
      <c r="BI476" s="3">
        <f>SUMIFS(COMB_AJUSTE,COMB_COMB,K476)</f>
        <v/>
      </c>
      <c r="BJ476" s="3">
        <f>COUNTIFS(MOT_MOTOR,G476,MOT_MARCA,E476,MOT_DESDE,"&lt;="&amp;M476,MOT_HASTA,"&gt;="&amp;M476)+COUNTIFS(MOT_MOTOR,G476,MOT_MARCA,"(todas)",MOT_DESDE,"&lt;="&amp;M476,MOT_HASTA,"&gt;="&amp;M476)</f>
        <v/>
      </c>
      <c r="BK476" s="3">
        <f>IF(AND(K476="diesel",BJ476=0),MIN(BG476,NEUTRO),BG476)</f>
        <v/>
      </c>
      <c r="BL476" s="4">
        <f>MAX(0,MIN(100,BK476+BH476+BI476))</f>
        <v/>
      </c>
      <c r="BM476" s="3">
        <f>MAX(0,MIN(100,50+BE476*PRECIO_PEND))</f>
        <v/>
      </c>
      <c r="BN476" s="3">
        <f>MAX(0,100*(1-N476/KM_MAX))</f>
        <v/>
      </c>
      <c r="BO476" s="3">
        <f>IF(AV476&lt;KMA_SOSP,IF(AA476="sí",100,KMA_PEN),IF(AV476&lt;=KMA_IDEAL_MAX,100,MAX(0,100*(KMA_CERO-AV476)/(KMA_CERO-KMA_IDEAL_MAX))))</f>
        <v/>
      </c>
      <c r="BP476" s="3">
        <f>MAX(0,MIN(100,100*(M476-ANIO_MIN)/(ANIO_ACTUAL-ANIO_MIN)))</f>
        <v/>
      </c>
      <c r="BQ476" s="3">
        <f>W_KMT*BN476+W_KMA*BO476+W_EDAD*BP476</f>
        <v/>
      </c>
      <c r="BR476" s="3">
        <f>P_ITV*(V476="sí")+P_LIBRO*(W476="sí")+P_CORREA*(X476="sí")+P_PROP*(Y476=1)+P_GAR*(Z476="sí")+P_FOTOS*MIN(1,N(U476)/FOTOS_OBJ)</f>
        <v/>
      </c>
      <c r="BS476" s="3">
        <f>IFERROR(VLOOKUP(BF476,ETQ_TBL,2,0),NEUTRO)</f>
        <v/>
      </c>
      <c r="BT476" s="3">
        <f>NEUTRO</f>
        <v/>
      </c>
      <c r="BU476" s="3">
        <f>IFERROR(VLOOKUP(L476,SEGURO_TBL,3,0),"")</f>
        <v/>
      </c>
      <c r="BV476" s="3">
        <f>IF(BU476="",NEUTRO,MAX(0,MIN(100,100*(SEG_REF_MAX-BU476)/(SEG_REF_MAX-SEG_REF_MIN))))</f>
        <v/>
      </c>
      <c r="BW476" s="3">
        <f>W_ET*BS476+W_CONS*BT476+W_SEG*BV476</f>
        <v/>
      </c>
      <c r="BX476" s="3">
        <f>IF(N(AB476)&gt;0,AB476,IF(AND(R476="profesional",SG_LEGAL_ON=1),GAR_LEGAL,0))</f>
        <v/>
      </c>
      <c r="BY476" s="3">
        <f>SG_GAR*MIN(1,BX476/SG_GAR_FULL)+SG_AMPL*(AC476="sí")+SG_KMC*(AF476="sí")+SG_REV*(N(AE476)&gt;0)+SG_DEV*MIN(1,N(AG476)/SG_DEV_FULL)+SG_HIST*(W476="sí")</f>
        <v/>
      </c>
      <c r="BZ476" s="3">
        <f>IFERROR(VLOOKUP(L476,CARR_PEN_TBL,2,0),0)</f>
        <v/>
      </c>
      <c r="CA476" s="3">
        <f>W_FIAB*BL476+W_PRECIO*BM476+W_KMEDAD*BQ476+W_ANUNCIO*BR476+W_USO*BW476+W_SEGURIDAD*BY476-BZ476</f>
        <v/>
      </c>
      <c r="CB476" s="4">
        <f>IF(N(I476)&gt;0,I476,IFERROR(ROUND(_xlfn.NUMBERVALUE(LEFT(G476,FIND(" ",G476&amp;" ")-1),".")*1000,0),99999))</f>
        <v/>
      </c>
      <c r="CC476" s="3">
        <f>IF(R476="profesional",0,IF(O476&lt;CUOTA_VALOR_MAX,IF(AU476&gt;ITP_TRAMO_ALTO,SUMIFS(CF_CUOTA,CF_MAS,ITP_TRAMO_ALTO,CF_CCMIN,"&lt;="&amp;CB476,CF_CCMAX,"&gt;="&amp;CB476),IF(AU476&gt;ITP_TRAMO_BAJO,SUMIFS(CF_CUOTA,CF_MAS,ITP_TRAMO_BAJO,CF_CCMIN,"&lt;="&amp;CB476,CF_CCMAX,"&gt;="&amp;CB476),O476*ITP_TIPO)),O476*ITP_TIPO))</f>
        <v/>
      </c>
      <c r="CD476" s="4">
        <f>IF(R476="profesional",N(AK476),0)</f>
        <v/>
      </c>
      <c r="CE476" s="3">
        <f>IF(AND(R476="profesional",ISNUMBER(AK476),AL476="sí"),0,TASA_DGT)</f>
        <v/>
      </c>
      <c r="CF476" s="3">
        <f>INFORME_DGT</f>
        <v/>
      </c>
      <c r="CG476" s="4">
        <f>O476+CD476+CC476+CE476+CF476</f>
        <v/>
      </c>
      <c r="CH476" s="4">
        <f>CG476+N(BU476)</f>
        <v/>
      </c>
      <c r="CI476" s="3">
        <f>IF(CG476&lt;=TOTAL_MAX,"sí",IF(CG476&lt;=TOTAL_MAX+MARGEN_NEG,"negociar","no"))</f>
        <v/>
      </c>
      <c r="CJ476" s="4">
        <f>IF(CI476&lt;&gt;"no",COUNTIFS($CI$2:$CI$662,"&lt;&gt;no",$CA$2:$CA$662,"&gt;"&amp;CA476)+COUNTIFS($CI$2:CI476,"&lt;&gt;no",$CA$2:CA476,CA476),"")</f>
        <v/>
      </c>
    </row>
    <row r="477">
      <c r="A477" s="2" t="inlineStr">
        <is>
          <t>cochesnet:71492958</t>
        </is>
      </c>
      <c r="B477" s="2" t="inlineStr">
        <is>
          <t>cochesnet</t>
        </is>
      </c>
      <c r="C477" s="2" t="inlineStr">
        <is>
          <t>https://www.coches.net/citroen-c3-11i-furio-5p-gasolina-2005-en-valencia-71492958-covo.aspx</t>
        </is>
      </c>
      <c r="D477" s="2" t="inlineStr">
        <is>
          <t>CITROEN C3 1.1i Furio</t>
        </is>
      </c>
      <c r="E477" s="2" t="inlineStr">
        <is>
          <t>Citroën</t>
        </is>
      </c>
      <c r="F477" s="2" t="inlineStr">
        <is>
          <t>Citroën C3</t>
        </is>
      </c>
      <c r="G477" s="2" t="inlineStr">
        <is>
          <t>1.1</t>
        </is>
      </c>
      <c r="H477" s="2" t="inlineStr">
        <is>
          <t>1.1i Furio</t>
        </is>
      </c>
      <c r="I477" s="2" t="n"/>
      <c r="J477" s="2" t="n"/>
      <c r="K477" s="2" t="inlineStr">
        <is>
          <t>gasolina</t>
        </is>
      </c>
      <c r="L477" s="2" t="inlineStr">
        <is>
          <t>utilitario</t>
        </is>
      </c>
      <c r="M477" s="2" t="n">
        <v>2006</v>
      </c>
      <c r="N477" s="2" t="n">
        <v>120000</v>
      </c>
      <c r="O477" s="2" t="n">
        <v>3490</v>
      </c>
      <c r="P477" s="2" t="inlineStr">
        <is>
          <t>manual</t>
        </is>
      </c>
      <c r="Q477" s="2" t="inlineStr">
        <is>
          <t>no</t>
        </is>
      </c>
      <c r="R477" s="2" t="inlineStr">
        <is>
          <t>profesional</t>
        </is>
      </c>
      <c r="S477" s="2" t="inlineStr">
        <is>
          <t>Cullera</t>
        </is>
      </c>
      <c r="T477" s="2" t="inlineStr">
        <is>
          <t>2026-09-11T13:35:18Z</t>
        </is>
      </c>
      <c r="U477" s="2" t="n">
        <v>10</v>
      </c>
      <c r="V477" s="2" t="n"/>
      <c r="W477" s="2" t="n"/>
      <c r="X477" s="2" t="n"/>
      <c r="Y477" s="2" t="n"/>
      <c r="Z477" s="2" t="inlineStr">
        <is>
          <t>sí</t>
        </is>
      </c>
      <c r="AA477" s="2" t="n"/>
      <c r="AB477" s="2" t="n">
        <v>12</v>
      </c>
      <c r="AC477" s="2" t="n"/>
      <c r="AD477" s="2" t="n"/>
      <c r="AE477" s="2" t="n"/>
      <c r="AF477" s="2" t="n"/>
      <c r="AG477" s="2" t="n"/>
      <c r="AH477" s="2" t="n">
        <v>3490</v>
      </c>
      <c r="AI477" s="2" t="n"/>
      <c r="AJ477" s="2" t="n"/>
      <c r="AK477" s="2" t="n"/>
      <c r="AL477" s="2" t="n"/>
      <c r="AM477" s="2" t="n">
        <v>35.4</v>
      </c>
      <c r="AN477" s="2" t="n">
        <v>3500</v>
      </c>
      <c r="AO477" s="2" t="n">
        <v>5</v>
      </c>
      <c r="AP477" s="2" t="inlineStr">
        <is>
          <t>modelo+año+km</t>
        </is>
      </c>
      <c r="AQ477" s="2" t="n"/>
      <c r="AR477" s="2" t="inlineStr">
        <is>
          <t>vendedor profesional: sin ITP (operación con IVA/REBU, confirmar en factura); gastos de gestión del vendedor no indicados: se suma la tasa DGT; preguntar el precio final</t>
        </is>
      </c>
      <c r="AS477" s="2" t="inlineStr">
        <is>
          <t>?VEHÍCULO NACIONAL, 121.000KMS CERTIFICADOS, LIBRE DE ACCIDENTES ESTRUCTURALES  -1 AÑO DE GARANTÍA INCLUIDO EN EL PRECIO, POSIBILIDAD DE AMPLIAR A 2 AÑOS -MOTOR MUY FIABLE Y CON UN CONSUMO MUY BAJO -ENVÍO A TODA ESPAÑA DESDE 150€, POSIBILIDAD DE COMPRA ONLINE O EN NUESTRA TIENDA FISICA -AIRE ACONDICIONADO, DIRECCIÓN ASISTIDA, ELEVALUNAS ELECTRICOS, ETC.. ETIQUETA MEDIOAMBIENTAL C VERDE</t>
        </is>
      </c>
      <c r="AT477" s="2" t="inlineStr">
        <is>
          <t>https://www.coches.net/citroen-c3-11i-furio-5p-gasolina-2005-en-valencia-71492958-covo.aspx (window.__INITIAL_PROPS__.ad) /home/user/Alopecia/buscador-coches/raw/cochesnet/6c34c6d9676e1860.json</t>
        </is>
      </c>
      <c r="AU477" s="3">
        <f>MAX(ANIO_ACTUAL-M477,0)</f>
        <v/>
      </c>
      <c r="AV477" s="4">
        <f>N477/MAX(AU477,0.5)</f>
        <v/>
      </c>
      <c r="AW477" s="4">
        <f>F477</f>
        <v/>
      </c>
      <c r="AX477" s="3">
        <f>AW477&amp;"|"&amp;INT(M477/SEG_ANIO)*SEG_ANIO</f>
        <v/>
      </c>
      <c r="AY477" s="3">
        <f>AX477&amp;"|"&amp;INT(N477/SEG_KM)*SEG_KM</f>
        <v/>
      </c>
      <c r="AZ477" s="4">
        <f>COUNTIF($AW$2:$AW$662,AW477)</f>
        <v/>
      </c>
      <c r="BA477" s="4">
        <f>COUNTIF($AX$2:$AX$662,AX477)</f>
        <v/>
      </c>
      <c r="BB477" s="4">
        <f>COUNTIF($AY$2:$AY$662,AY477)</f>
        <v/>
      </c>
      <c r="BC477" s="3">
        <f t="array" ref="BC477">IF(N(AO477)&gt;=MIN_N,AN477,IF(BB477&gt;=MIN_N,MEDIAN(IF($AY$2:$AY$662=AY477,$O$2:$O$662)),IF(BA477&gt;=MIN_N,MEDIAN(IF($AX$2:$AX$662=AX477,$O$2:$O$662)),MEDIAN(IF($AW$2:$AW$662=AW477,$O$2:$O$662)))))</f>
        <v/>
      </c>
      <c r="BD477" s="3">
        <f>IF(N(AO477)&gt;=MIN_N,"mercado "&amp;AP477,IF(BB477&gt;=MIN_N,"modelo+año+km",IF(BA477&gt;=MIN_N,"modelo+año","modelo")))</f>
        <v/>
      </c>
      <c r="BE477" s="4">
        <f>(BC477-O477)/BC477</f>
        <v/>
      </c>
      <c r="BF477" s="3">
        <f>IF(OR(K477="hibrido",K477="glp"),"ECO",IF(K477="electrico","CERO",IF(K477="gasolina",IF(M477&gt;=GAS_C,"C",IF(M477&gt;=GAS_B,"B","A")),IF(K477="diesel",IF(M477&gt;=DIE_C,"C",IF(M477&gt;=DIE_B,"B","A")),""))))</f>
        <v/>
      </c>
      <c r="BG477" s="3">
        <f>IFERROR(VLOOKUP(F477,MOD_TBL,11,0),IFERROR(VLOOKUP(E477,OCU_TBL,2,0),NEUTRO))</f>
        <v/>
      </c>
      <c r="BH477" s="3">
        <f>SUMIFS(MOT_AJUSTE,MOT_MOTOR,G477,MOT_MARCA,E477,MOT_DESDE,"&lt;="&amp;M477,MOT_HASTA,"&gt;="&amp;M477)+SUMIFS(MOT_AJUSTE,MOT_MOTOR,G477,MOT_MARCA,"(todas)",MOT_DESDE,"&lt;="&amp;M477,MOT_HASTA,"&gt;="&amp;M477)</f>
        <v/>
      </c>
      <c r="BI477" s="3">
        <f>SUMIFS(COMB_AJUSTE,COMB_COMB,K477)</f>
        <v/>
      </c>
      <c r="BJ477" s="3">
        <f>COUNTIFS(MOT_MOTOR,G477,MOT_MARCA,E477,MOT_DESDE,"&lt;="&amp;M477,MOT_HASTA,"&gt;="&amp;M477)+COUNTIFS(MOT_MOTOR,G477,MOT_MARCA,"(todas)",MOT_DESDE,"&lt;="&amp;M477,MOT_HASTA,"&gt;="&amp;M477)</f>
        <v/>
      </c>
      <c r="BK477" s="3">
        <f>IF(AND(K477="diesel",BJ477=0),MIN(BG477,NEUTRO),BG477)</f>
        <v/>
      </c>
      <c r="BL477" s="4">
        <f>MAX(0,MIN(100,BK477+BH477+BI477))</f>
        <v/>
      </c>
      <c r="BM477" s="3">
        <f>MAX(0,MIN(100,50+BE477*PRECIO_PEND))</f>
        <v/>
      </c>
      <c r="BN477" s="3">
        <f>MAX(0,100*(1-N477/KM_MAX))</f>
        <v/>
      </c>
      <c r="BO477" s="3">
        <f>IF(AV477&lt;KMA_SOSP,IF(AA477="sí",100,KMA_PEN),IF(AV477&lt;=KMA_IDEAL_MAX,100,MAX(0,100*(KMA_CERO-AV477)/(KMA_CERO-KMA_IDEAL_MAX))))</f>
        <v/>
      </c>
      <c r="BP477" s="3">
        <f>MAX(0,MIN(100,100*(M477-ANIO_MIN)/(ANIO_ACTUAL-ANIO_MIN)))</f>
        <v/>
      </c>
      <c r="BQ477" s="3">
        <f>W_KMT*BN477+W_KMA*BO477+W_EDAD*BP477</f>
        <v/>
      </c>
      <c r="BR477" s="3">
        <f>P_ITV*(V477="sí")+P_LIBRO*(W477="sí")+P_CORREA*(X477="sí")+P_PROP*(Y477=1)+P_GAR*(Z477="sí")+P_FOTOS*MIN(1,N(U477)/FOTOS_OBJ)</f>
        <v/>
      </c>
      <c r="BS477" s="3">
        <f>IFERROR(VLOOKUP(BF477,ETQ_TBL,2,0),NEUTRO)</f>
        <v/>
      </c>
      <c r="BT477" s="3">
        <f>NEUTRO</f>
        <v/>
      </c>
      <c r="BU477" s="3">
        <f>IFERROR(VLOOKUP(L477,SEGURO_TBL,3,0),"")</f>
        <v/>
      </c>
      <c r="BV477" s="3">
        <f>IF(BU477="",NEUTRO,MAX(0,MIN(100,100*(SEG_REF_MAX-BU477)/(SEG_REF_MAX-SEG_REF_MIN))))</f>
        <v/>
      </c>
      <c r="BW477" s="3">
        <f>W_ET*BS477+W_CONS*BT477+W_SEG*BV477</f>
        <v/>
      </c>
      <c r="BX477" s="3">
        <f>IF(N(AB477)&gt;0,AB477,IF(AND(R477="profesional",SG_LEGAL_ON=1),GAR_LEGAL,0))</f>
        <v/>
      </c>
      <c r="BY477" s="3">
        <f>SG_GAR*MIN(1,BX477/SG_GAR_FULL)+SG_AMPL*(AC477="sí")+SG_KMC*(AF477="sí")+SG_REV*(N(AE477)&gt;0)+SG_DEV*MIN(1,N(AG477)/SG_DEV_FULL)+SG_HIST*(W477="sí")</f>
        <v/>
      </c>
      <c r="BZ477" s="3">
        <f>IFERROR(VLOOKUP(L477,CARR_PEN_TBL,2,0),0)</f>
        <v/>
      </c>
      <c r="CA477" s="3">
        <f>W_FIAB*BL477+W_PRECIO*BM477+W_KMEDAD*BQ477+W_ANUNCIO*BR477+W_USO*BW477+W_SEGURIDAD*BY477-BZ477</f>
        <v/>
      </c>
      <c r="CB477" s="4">
        <f>IF(N(I477)&gt;0,I477,IFERROR(ROUND(_xlfn.NUMBERVALUE(LEFT(G477,FIND(" ",G477&amp;" ")-1),".")*1000,0),99999))</f>
        <v/>
      </c>
      <c r="CC477" s="3">
        <f>IF(R477="profesional",0,IF(O477&lt;CUOTA_VALOR_MAX,IF(AU477&gt;ITP_TRAMO_ALTO,SUMIFS(CF_CUOTA,CF_MAS,ITP_TRAMO_ALTO,CF_CCMIN,"&lt;="&amp;CB477,CF_CCMAX,"&gt;="&amp;CB477),IF(AU477&gt;ITP_TRAMO_BAJO,SUMIFS(CF_CUOTA,CF_MAS,ITP_TRAMO_BAJO,CF_CCMIN,"&lt;="&amp;CB477,CF_CCMAX,"&gt;="&amp;CB477),O477*ITP_TIPO)),O477*ITP_TIPO))</f>
        <v/>
      </c>
      <c r="CD477" s="4">
        <f>IF(R477="profesional",N(AK477),0)</f>
        <v/>
      </c>
      <c r="CE477" s="3">
        <f>IF(AND(R477="profesional",ISNUMBER(AK477),AL477="sí"),0,TASA_DGT)</f>
        <v/>
      </c>
      <c r="CF477" s="3">
        <f>INFORME_DGT</f>
        <v/>
      </c>
      <c r="CG477" s="4">
        <f>O477+CD477+CC477+CE477+CF477</f>
        <v/>
      </c>
      <c r="CH477" s="4">
        <f>CG477+N(BU477)</f>
        <v/>
      </c>
      <c r="CI477" s="3">
        <f>IF(CG477&lt;=TOTAL_MAX,"sí",IF(CG477&lt;=TOTAL_MAX+MARGEN_NEG,"negociar","no"))</f>
        <v/>
      </c>
      <c r="CJ477" s="4">
        <f>IF(CI477&lt;&gt;"no",COUNTIFS($CI$2:$CI$662,"&lt;&gt;no",$CA$2:$CA$662,"&gt;"&amp;CA477)+COUNTIFS($CI$2:CI477,"&lt;&gt;no",$CA$2:CA477,CA477),"")</f>
        <v/>
      </c>
    </row>
    <row r="478">
      <c r="A478" s="2" t="inlineStr">
        <is>
          <t>cochesnet:71830100</t>
        </is>
      </c>
      <c r="B478" s="2" t="inlineStr">
        <is>
          <t>cochesnet</t>
        </is>
      </c>
      <c r="C478" s="2" t="inlineStr">
        <is>
          <t>https://www.coches.net/citroen-c3-14-hdi-exclusive-5p-diesel-2006-en-valencia-71830100-covo.aspx</t>
        </is>
      </c>
      <c r="D478" s="2" t="inlineStr">
        <is>
          <t>CITROEN C3 1.4 HDi Exclusive</t>
        </is>
      </c>
      <c r="E478" s="2" t="inlineStr">
        <is>
          <t>Citroën</t>
        </is>
      </c>
      <c r="F478" s="2" t="inlineStr">
        <is>
          <t>Citroën C3</t>
        </is>
      </c>
      <c r="G478" s="2" t="inlineStr">
        <is>
          <t>1.4 HDi</t>
        </is>
      </c>
      <c r="H478" s="2" t="inlineStr">
        <is>
          <t>1.4 HDi Exclusive</t>
        </is>
      </c>
      <c r="I478" s="2" t="n"/>
      <c r="J478" s="2" t="n"/>
      <c r="K478" s="2" t="inlineStr">
        <is>
          <t>diesel</t>
        </is>
      </c>
      <c r="L478" s="2" t="inlineStr">
        <is>
          <t>utilitario</t>
        </is>
      </c>
      <c r="M478" s="2" t="n">
        <v>2006</v>
      </c>
      <c r="N478" s="2" t="n">
        <v>200000</v>
      </c>
      <c r="O478" s="2" t="n">
        <v>1999</v>
      </c>
      <c r="P478" s="2" t="inlineStr">
        <is>
          <t>manual</t>
        </is>
      </c>
      <c r="Q478" s="2" t="inlineStr">
        <is>
          <t>no</t>
        </is>
      </c>
      <c r="R478" s="2" t="inlineStr">
        <is>
          <t>particular</t>
        </is>
      </c>
      <c r="S478" s="2" t="n"/>
      <c r="T478" s="2" t="inlineStr">
        <is>
          <t>2026-10-25T18:21:36Z</t>
        </is>
      </c>
      <c r="U478" s="2" t="n">
        <v>5</v>
      </c>
      <c r="V478" s="2" t="inlineStr">
        <is>
          <t>sí</t>
        </is>
      </c>
      <c r="W478" s="2" t="n"/>
      <c r="X478" s="2" t="n"/>
      <c r="Y478" s="2" t="n"/>
      <c r="Z478" s="2" t="inlineStr">
        <is>
          <t>no</t>
        </is>
      </c>
      <c r="AA478" s="2" t="n"/>
      <c r="AB478" s="2" t="n"/>
      <c r="AC478" s="2" t="n"/>
      <c r="AD478" s="2" t="n"/>
      <c r="AE478" s="2" t="n"/>
      <c r="AF478" s="2" t="n"/>
      <c r="AG478" s="2" t="n"/>
      <c r="AH478" s="2" t="n">
        <v>1999</v>
      </c>
      <c r="AI478" s="2" t="n"/>
      <c r="AJ478" s="2" t="n"/>
      <c r="AK478" s="2" t="n"/>
      <c r="AL478" s="2" t="n"/>
      <c r="AM478" s="2" t="n"/>
      <c r="AN478" s="2" t="n">
        <v>1999</v>
      </c>
      <c r="AO478" s="2" t="n">
        <v>7</v>
      </c>
      <c r="AP478" s="2" t="inlineStr">
        <is>
          <t>modelo+año+km</t>
        </is>
      </c>
      <c r="AQ478" s="2" t="inlineStr">
        <is>
          <t>cochesnet:71437728 (https://www.coches.net/citroen-c3-diesel-2006-en-valencia-71437728-covo.aspx)</t>
        </is>
      </c>
      <c r="AR478" s="2" t="inlineStr">
        <is>
          <t>cuota fija ITP: &gt;12 años, hasta 1.500 cc; distancia no verificable (el anuncio solo indica la provincia): confirmar que está a &lt;= 70 km</t>
        </is>
      </c>
      <c r="AS478" s="2" t="inlineStr">
        <is>
          <t>? ITV recién pasada
? Todo el equipamiento funciona correctamente
? Aire acondicionado funcionando
? Vehículo cómodo y práctico
? Buen comportamiento y funcionamiento general
? Ideal para uso diario
? Listo para circular</t>
        </is>
      </c>
      <c r="AT478" s="2" t="inlineStr">
        <is>
          <t>https://www.coches.net/citroen-c3-14-hdi-exclusive-5p-diesel-2006-en-valencia-71830100-covo.aspx (window.__INITIAL_PROPS__.ad) /home/user/Alopecia/buscador-coches/raw/cochesnet/b3a294c7fd9a1e3d.json</t>
        </is>
      </c>
      <c r="AU478" s="3">
        <f>MAX(ANIO_ACTUAL-M478,0)</f>
        <v/>
      </c>
      <c r="AV478" s="4">
        <f>N478/MAX(AU478,0.5)</f>
        <v/>
      </c>
      <c r="AW478" s="4">
        <f>F478</f>
        <v/>
      </c>
      <c r="AX478" s="3">
        <f>AW478&amp;"|"&amp;INT(M478/SEG_ANIO)*SEG_ANIO</f>
        <v/>
      </c>
      <c r="AY478" s="3">
        <f>AX478&amp;"|"&amp;INT(N478/SEG_KM)*SEG_KM</f>
        <v/>
      </c>
      <c r="AZ478" s="4">
        <f>COUNTIF($AW$2:$AW$662,AW478)</f>
        <v/>
      </c>
      <c r="BA478" s="4">
        <f>COUNTIF($AX$2:$AX$662,AX478)</f>
        <v/>
      </c>
      <c r="BB478" s="4">
        <f>COUNTIF($AY$2:$AY$662,AY478)</f>
        <v/>
      </c>
      <c r="BC478" s="3">
        <f t="array" ref="BC478">IF(N(AO478)&gt;=MIN_N,AN478,IF(BB478&gt;=MIN_N,MEDIAN(IF($AY$2:$AY$662=AY478,$O$2:$O$662)),IF(BA478&gt;=MIN_N,MEDIAN(IF($AX$2:$AX$662=AX478,$O$2:$O$662)),MEDIAN(IF($AW$2:$AW$662=AW478,$O$2:$O$662)))))</f>
        <v/>
      </c>
      <c r="BD478" s="3">
        <f>IF(N(AO478)&gt;=MIN_N,"mercado "&amp;AP478,IF(BB478&gt;=MIN_N,"modelo+año+km",IF(BA478&gt;=MIN_N,"modelo+año","modelo")))</f>
        <v/>
      </c>
      <c r="BE478" s="4">
        <f>(BC478-O478)/BC478</f>
        <v/>
      </c>
      <c r="BF478" s="3">
        <f>IF(OR(K478="hibrido",K478="glp"),"ECO",IF(K478="electrico","CERO",IF(K478="gasolina",IF(M478&gt;=GAS_C,"C",IF(M478&gt;=GAS_B,"B","A")),IF(K478="diesel",IF(M478&gt;=DIE_C,"C",IF(M478&gt;=DIE_B,"B","A")),""))))</f>
        <v/>
      </c>
      <c r="BG478" s="3">
        <f>IFERROR(VLOOKUP(F478,MOD_TBL,11,0),IFERROR(VLOOKUP(E478,OCU_TBL,2,0),NEUTRO))</f>
        <v/>
      </c>
      <c r="BH478" s="3">
        <f>SUMIFS(MOT_AJUSTE,MOT_MOTOR,G478,MOT_MARCA,E478,MOT_DESDE,"&lt;="&amp;M478,MOT_HASTA,"&gt;="&amp;M478)+SUMIFS(MOT_AJUSTE,MOT_MOTOR,G478,MOT_MARCA,"(todas)",MOT_DESDE,"&lt;="&amp;M478,MOT_HASTA,"&gt;="&amp;M478)</f>
        <v/>
      </c>
      <c r="BI478" s="3">
        <f>SUMIFS(COMB_AJUSTE,COMB_COMB,K478)</f>
        <v/>
      </c>
      <c r="BJ478" s="3">
        <f>COUNTIFS(MOT_MOTOR,G478,MOT_MARCA,E478,MOT_DESDE,"&lt;="&amp;M478,MOT_HASTA,"&gt;="&amp;M478)+COUNTIFS(MOT_MOTOR,G478,MOT_MARCA,"(todas)",MOT_DESDE,"&lt;="&amp;M478,MOT_HASTA,"&gt;="&amp;M478)</f>
        <v/>
      </c>
      <c r="BK478" s="3">
        <f>IF(AND(K478="diesel",BJ478=0),MIN(BG478,NEUTRO),BG478)</f>
        <v/>
      </c>
      <c r="BL478" s="4">
        <f>MAX(0,MIN(100,BK478+BH478+BI478))</f>
        <v/>
      </c>
      <c r="BM478" s="3">
        <f>MAX(0,MIN(100,50+BE478*PRECIO_PEND))</f>
        <v/>
      </c>
      <c r="BN478" s="3">
        <f>MAX(0,100*(1-N478/KM_MAX))</f>
        <v/>
      </c>
      <c r="BO478" s="3">
        <f>IF(AV478&lt;KMA_SOSP,IF(AA478="sí",100,KMA_PEN),IF(AV478&lt;=KMA_IDEAL_MAX,100,MAX(0,100*(KMA_CERO-AV478)/(KMA_CERO-KMA_IDEAL_MAX))))</f>
        <v/>
      </c>
      <c r="BP478" s="3">
        <f>MAX(0,MIN(100,100*(M478-ANIO_MIN)/(ANIO_ACTUAL-ANIO_MIN)))</f>
        <v/>
      </c>
      <c r="BQ478" s="3">
        <f>W_KMT*BN478+W_KMA*BO478+W_EDAD*BP478</f>
        <v/>
      </c>
      <c r="BR478" s="3">
        <f>P_ITV*(V478="sí")+P_LIBRO*(W478="sí")+P_CORREA*(X478="sí")+P_PROP*(Y478=1)+P_GAR*(Z478="sí")+P_FOTOS*MIN(1,N(U478)/FOTOS_OBJ)</f>
        <v/>
      </c>
      <c r="BS478" s="3">
        <f>IFERROR(VLOOKUP(BF478,ETQ_TBL,2,0),NEUTRO)</f>
        <v/>
      </c>
      <c r="BT478" s="3">
        <f>NEUTRO</f>
        <v/>
      </c>
      <c r="BU478" s="3">
        <f>IFERROR(VLOOKUP(L478,SEGURO_TBL,3,0),"")</f>
        <v/>
      </c>
      <c r="BV478" s="3">
        <f>IF(BU478="",NEUTRO,MAX(0,MIN(100,100*(SEG_REF_MAX-BU478)/(SEG_REF_MAX-SEG_REF_MIN))))</f>
        <v/>
      </c>
      <c r="BW478" s="3">
        <f>W_ET*BS478+W_CONS*BT478+W_SEG*BV478</f>
        <v/>
      </c>
      <c r="BX478" s="3">
        <f>IF(N(AB478)&gt;0,AB478,IF(AND(R478="profesional",SG_LEGAL_ON=1),GAR_LEGAL,0))</f>
        <v/>
      </c>
      <c r="BY478" s="3">
        <f>SG_GAR*MIN(1,BX478/SG_GAR_FULL)+SG_AMPL*(AC478="sí")+SG_KMC*(AF478="sí")+SG_REV*(N(AE478)&gt;0)+SG_DEV*MIN(1,N(AG478)/SG_DEV_FULL)+SG_HIST*(W478="sí")</f>
        <v/>
      </c>
      <c r="BZ478" s="3">
        <f>IFERROR(VLOOKUP(L478,CARR_PEN_TBL,2,0),0)</f>
        <v/>
      </c>
      <c r="CA478" s="3">
        <f>W_FIAB*BL478+W_PRECIO*BM478+W_KMEDAD*BQ478+W_ANUNCIO*BR478+W_USO*BW478+W_SEGURIDAD*BY478-BZ478</f>
        <v/>
      </c>
      <c r="CB478" s="4">
        <f>IF(N(I478)&gt;0,I478,IFERROR(ROUND(_xlfn.NUMBERVALUE(LEFT(G478,FIND(" ",G478&amp;" ")-1),".")*1000,0),99999))</f>
        <v/>
      </c>
      <c r="CC478" s="3">
        <f>IF(R478="profesional",0,IF(O478&lt;CUOTA_VALOR_MAX,IF(AU478&gt;ITP_TRAMO_ALTO,SUMIFS(CF_CUOTA,CF_MAS,ITP_TRAMO_ALTO,CF_CCMIN,"&lt;="&amp;CB478,CF_CCMAX,"&gt;="&amp;CB478),IF(AU478&gt;ITP_TRAMO_BAJO,SUMIFS(CF_CUOTA,CF_MAS,ITP_TRAMO_BAJO,CF_CCMIN,"&lt;="&amp;CB478,CF_CCMAX,"&gt;="&amp;CB478),O478*ITP_TIPO)),O478*ITP_TIPO))</f>
        <v/>
      </c>
      <c r="CD478" s="4">
        <f>IF(R478="profesional",N(AK478),0)</f>
        <v/>
      </c>
      <c r="CE478" s="3">
        <f>IF(AND(R478="profesional",ISNUMBER(AK478),AL478="sí"),0,TASA_DGT)</f>
        <v/>
      </c>
      <c r="CF478" s="3">
        <f>INFORME_DGT</f>
        <v/>
      </c>
      <c r="CG478" s="4">
        <f>O478+CD478+CC478+CE478+CF478</f>
        <v/>
      </c>
      <c r="CH478" s="4">
        <f>CG478+N(BU478)</f>
        <v/>
      </c>
      <c r="CI478" s="3">
        <f>IF(CG478&lt;=TOTAL_MAX,"sí",IF(CG478&lt;=TOTAL_MAX+MARGEN_NEG,"negociar","no"))</f>
        <v/>
      </c>
      <c r="CJ478" s="4">
        <f>IF(CI478&lt;&gt;"no",COUNTIFS($CI$2:$CI$662,"&lt;&gt;no",$CA$2:$CA$662,"&gt;"&amp;CA478)+COUNTIFS($CI$2:CI478,"&lt;&gt;no",$CA$2:CA478,CA478),"")</f>
        <v/>
      </c>
    </row>
    <row r="479">
      <c r="A479" s="2" t="inlineStr">
        <is>
          <t>cochesnet:71792868</t>
        </is>
      </c>
      <c r="B479" s="2" t="inlineStr">
        <is>
          <t>cochesnet</t>
        </is>
      </c>
      <c r="C479" s="2" t="inlineStr">
        <is>
          <t>https://www.coches.net/citroen-c3-14i-16v-collection-5p-gasolina-2007-en-valencia-71792868-covo.aspx</t>
        </is>
      </c>
      <c r="D479" s="2" t="inlineStr">
        <is>
          <t>CITROEN C3 1.4i 16v Collection</t>
        </is>
      </c>
      <c r="E479" s="2" t="inlineStr">
        <is>
          <t>Citroën</t>
        </is>
      </c>
      <c r="F479" s="2" t="inlineStr">
        <is>
          <t>Citroën C3</t>
        </is>
      </c>
      <c r="G479" s="2" t="inlineStr">
        <is>
          <t>1.4</t>
        </is>
      </c>
      <c r="H479" s="2" t="inlineStr">
        <is>
          <t>1.4i 16v Collection</t>
        </is>
      </c>
      <c r="I479" s="2" t="n"/>
      <c r="J479" s="2" t="n"/>
      <c r="K479" s="2" t="inlineStr">
        <is>
          <t>gasolina</t>
        </is>
      </c>
      <c r="L479" s="2" t="inlineStr">
        <is>
          <t>utilitario</t>
        </is>
      </c>
      <c r="M479" s="2" t="n">
        <v>2007</v>
      </c>
      <c r="N479" s="2" t="n">
        <v>108000</v>
      </c>
      <c r="O479" s="2" t="n">
        <v>3100</v>
      </c>
      <c r="P479" s="2" t="inlineStr">
        <is>
          <t>manual</t>
        </is>
      </c>
      <c r="Q479" s="2" t="inlineStr">
        <is>
          <t>no</t>
        </is>
      </c>
      <c r="R479" s="2" t="inlineStr">
        <is>
          <t>particular</t>
        </is>
      </c>
      <c r="S479" s="2" t="n"/>
      <c r="T479" s="2" t="inlineStr">
        <is>
          <t>2026-10-20T14:53:21Z</t>
        </is>
      </c>
      <c r="U479" s="2" t="n">
        <v>4</v>
      </c>
      <c r="V479" s="2" t="n"/>
      <c r="W479" s="2" t="n"/>
      <c r="X479" s="2" t="n"/>
      <c r="Y479" s="2" t="n"/>
      <c r="Z479" s="2" t="inlineStr">
        <is>
          <t>no</t>
        </is>
      </c>
      <c r="AA479" s="2" t="n"/>
      <c r="AB479" s="2" t="n"/>
      <c r="AC479" s="2" t="n"/>
      <c r="AD479" s="2" t="n"/>
      <c r="AE479" s="2" t="n"/>
      <c r="AF479" s="2" t="n"/>
      <c r="AG479" s="2" t="n"/>
      <c r="AH479" s="2" t="n">
        <v>3100</v>
      </c>
      <c r="AI479" s="2" t="n"/>
      <c r="AJ479" s="2" t="n"/>
      <c r="AK479" s="2" t="n"/>
      <c r="AL479" s="2" t="n"/>
      <c r="AM479" s="2" t="n"/>
      <c r="AN479" s="2" t="n">
        <v>3000</v>
      </c>
      <c r="AO479" s="2" t="n">
        <v>17</v>
      </c>
      <c r="AP479" s="2" t="inlineStr">
        <is>
          <t>modelo+año</t>
        </is>
      </c>
      <c r="AQ479" s="2" t="n"/>
      <c r="AR479" s="2" t="inlineStr">
        <is>
          <t>cuota fija ITP: &gt;12 años, hasta 1.500 cc; distancia no verificable (el anuncio solo indica la provincia): confirmar que está a &lt;= 70 km</t>
        </is>
      </c>
      <c r="AS479" s="2" t="inlineStr">
        <is>
          <t>Lo vendo para cambiar a un coche diesel, el coche está en muy buen estado. Tiene desasgastada la pintura del capó y el paragolpes está algo pelado por el sol, pero el interior está en perfecto estado.</t>
        </is>
      </c>
      <c r="AT479" s="2" t="inlineStr">
        <is>
          <t>https://www.coches.net/citroen-c3-14i-16v-collection-5p-gasolina-2007-en-valencia-71792868-covo.aspx (window.__INITIAL_PROPS__.ad) /home/user/Alopecia/buscador-coches/raw/cochesnet/03a840e1941f993e.json</t>
        </is>
      </c>
      <c r="AU479" s="3">
        <f>MAX(ANIO_ACTUAL-M479,0)</f>
        <v/>
      </c>
      <c r="AV479" s="4">
        <f>N479/MAX(AU479,0.5)</f>
        <v/>
      </c>
      <c r="AW479" s="4">
        <f>F479</f>
        <v/>
      </c>
      <c r="AX479" s="3">
        <f>AW479&amp;"|"&amp;INT(M479/SEG_ANIO)*SEG_ANIO</f>
        <v/>
      </c>
      <c r="AY479" s="3">
        <f>AX479&amp;"|"&amp;INT(N479/SEG_KM)*SEG_KM</f>
        <v/>
      </c>
      <c r="AZ479" s="4">
        <f>COUNTIF($AW$2:$AW$662,AW479)</f>
        <v/>
      </c>
      <c r="BA479" s="4">
        <f>COUNTIF($AX$2:$AX$662,AX479)</f>
        <v/>
      </c>
      <c r="BB479" s="4">
        <f>COUNTIF($AY$2:$AY$662,AY479)</f>
        <v/>
      </c>
      <c r="BC479" s="3">
        <f t="array" ref="BC479">IF(N(AO479)&gt;=MIN_N,AN479,IF(BB479&gt;=MIN_N,MEDIAN(IF($AY$2:$AY$662=AY479,$O$2:$O$662)),IF(BA479&gt;=MIN_N,MEDIAN(IF($AX$2:$AX$662=AX479,$O$2:$O$662)),MEDIAN(IF($AW$2:$AW$662=AW479,$O$2:$O$662)))))</f>
        <v/>
      </c>
      <c r="BD479" s="3">
        <f>IF(N(AO479)&gt;=MIN_N,"mercado "&amp;AP479,IF(BB479&gt;=MIN_N,"modelo+año+km",IF(BA479&gt;=MIN_N,"modelo+año","modelo")))</f>
        <v/>
      </c>
      <c r="BE479" s="4">
        <f>(BC479-O479)/BC479</f>
        <v/>
      </c>
      <c r="BF479" s="3">
        <f>IF(OR(K479="hibrido",K479="glp"),"ECO",IF(K479="electrico","CERO",IF(K479="gasolina",IF(M479&gt;=GAS_C,"C",IF(M479&gt;=GAS_B,"B","A")),IF(K479="diesel",IF(M479&gt;=DIE_C,"C",IF(M479&gt;=DIE_B,"B","A")),""))))</f>
        <v/>
      </c>
      <c r="BG479" s="3">
        <f>IFERROR(VLOOKUP(F479,MOD_TBL,11,0),IFERROR(VLOOKUP(E479,OCU_TBL,2,0),NEUTRO))</f>
        <v/>
      </c>
      <c r="BH479" s="3">
        <f>SUMIFS(MOT_AJUSTE,MOT_MOTOR,G479,MOT_MARCA,E479,MOT_DESDE,"&lt;="&amp;M479,MOT_HASTA,"&gt;="&amp;M479)+SUMIFS(MOT_AJUSTE,MOT_MOTOR,G479,MOT_MARCA,"(todas)",MOT_DESDE,"&lt;="&amp;M479,MOT_HASTA,"&gt;="&amp;M479)</f>
        <v/>
      </c>
      <c r="BI479" s="3">
        <f>SUMIFS(COMB_AJUSTE,COMB_COMB,K479)</f>
        <v/>
      </c>
      <c r="BJ479" s="3">
        <f>COUNTIFS(MOT_MOTOR,G479,MOT_MARCA,E479,MOT_DESDE,"&lt;="&amp;M479,MOT_HASTA,"&gt;="&amp;M479)+COUNTIFS(MOT_MOTOR,G479,MOT_MARCA,"(todas)",MOT_DESDE,"&lt;="&amp;M479,MOT_HASTA,"&gt;="&amp;M479)</f>
        <v/>
      </c>
      <c r="BK479" s="3">
        <f>IF(AND(K479="diesel",BJ479=0),MIN(BG479,NEUTRO),BG479)</f>
        <v/>
      </c>
      <c r="BL479" s="4">
        <f>MAX(0,MIN(100,BK479+BH479+BI479))</f>
        <v/>
      </c>
      <c r="BM479" s="3">
        <f>MAX(0,MIN(100,50+BE479*PRECIO_PEND))</f>
        <v/>
      </c>
      <c r="BN479" s="3">
        <f>MAX(0,100*(1-N479/KM_MAX))</f>
        <v/>
      </c>
      <c r="BO479" s="3">
        <f>IF(AV479&lt;KMA_SOSP,IF(AA479="sí",100,KMA_PEN),IF(AV479&lt;=KMA_IDEAL_MAX,100,MAX(0,100*(KMA_CERO-AV479)/(KMA_CERO-KMA_IDEAL_MAX))))</f>
        <v/>
      </c>
      <c r="BP479" s="3">
        <f>MAX(0,MIN(100,100*(M479-ANIO_MIN)/(ANIO_ACTUAL-ANIO_MIN)))</f>
        <v/>
      </c>
      <c r="BQ479" s="3">
        <f>W_KMT*BN479+W_KMA*BO479+W_EDAD*BP479</f>
        <v/>
      </c>
      <c r="BR479" s="3">
        <f>P_ITV*(V479="sí")+P_LIBRO*(W479="sí")+P_CORREA*(X479="sí")+P_PROP*(Y479=1)+P_GAR*(Z479="sí")+P_FOTOS*MIN(1,N(U479)/FOTOS_OBJ)</f>
        <v/>
      </c>
      <c r="BS479" s="3">
        <f>IFERROR(VLOOKUP(BF479,ETQ_TBL,2,0),NEUTRO)</f>
        <v/>
      </c>
      <c r="BT479" s="3">
        <f>NEUTRO</f>
        <v/>
      </c>
      <c r="BU479" s="3">
        <f>IFERROR(VLOOKUP(L479,SEGURO_TBL,3,0),"")</f>
        <v/>
      </c>
      <c r="BV479" s="3">
        <f>IF(BU479="",NEUTRO,MAX(0,MIN(100,100*(SEG_REF_MAX-BU479)/(SEG_REF_MAX-SEG_REF_MIN))))</f>
        <v/>
      </c>
      <c r="BW479" s="3">
        <f>W_ET*BS479+W_CONS*BT479+W_SEG*BV479</f>
        <v/>
      </c>
      <c r="BX479" s="3">
        <f>IF(N(AB479)&gt;0,AB479,IF(AND(R479="profesional",SG_LEGAL_ON=1),GAR_LEGAL,0))</f>
        <v/>
      </c>
      <c r="BY479" s="3">
        <f>SG_GAR*MIN(1,BX479/SG_GAR_FULL)+SG_AMPL*(AC479="sí")+SG_KMC*(AF479="sí")+SG_REV*(N(AE479)&gt;0)+SG_DEV*MIN(1,N(AG479)/SG_DEV_FULL)+SG_HIST*(W479="sí")</f>
        <v/>
      </c>
      <c r="BZ479" s="3">
        <f>IFERROR(VLOOKUP(L479,CARR_PEN_TBL,2,0),0)</f>
        <v/>
      </c>
      <c r="CA479" s="3">
        <f>W_FIAB*BL479+W_PRECIO*BM479+W_KMEDAD*BQ479+W_ANUNCIO*BR479+W_USO*BW479+W_SEGURIDAD*BY479-BZ479</f>
        <v/>
      </c>
      <c r="CB479" s="4">
        <f>IF(N(I479)&gt;0,I479,IFERROR(ROUND(_xlfn.NUMBERVALUE(LEFT(G479,FIND(" ",G479&amp;" ")-1),".")*1000,0),99999))</f>
        <v/>
      </c>
      <c r="CC479" s="3">
        <f>IF(R479="profesional",0,IF(O479&lt;CUOTA_VALOR_MAX,IF(AU479&gt;ITP_TRAMO_ALTO,SUMIFS(CF_CUOTA,CF_MAS,ITP_TRAMO_ALTO,CF_CCMIN,"&lt;="&amp;CB479,CF_CCMAX,"&gt;="&amp;CB479),IF(AU479&gt;ITP_TRAMO_BAJO,SUMIFS(CF_CUOTA,CF_MAS,ITP_TRAMO_BAJO,CF_CCMIN,"&lt;="&amp;CB479,CF_CCMAX,"&gt;="&amp;CB479),O479*ITP_TIPO)),O479*ITP_TIPO))</f>
        <v/>
      </c>
      <c r="CD479" s="4">
        <f>IF(R479="profesional",N(AK479),0)</f>
        <v/>
      </c>
      <c r="CE479" s="3">
        <f>IF(AND(R479="profesional",ISNUMBER(AK479),AL479="sí"),0,TASA_DGT)</f>
        <v/>
      </c>
      <c r="CF479" s="3">
        <f>INFORME_DGT</f>
        <v/>
      </c>
      <c r="CG479" s="4">
        <f>O479+CD479+CC479+CE479+CF479</f>
        <v/>
      </c>
      <c r="CH479" s="4">
        <f>CG479+N(BU479)</f>
        <v/>
      </c>
      <c r="CI479" s="3">
        <f>IF(CG479&lt;=TOTAL_MAX,"sí",IF(CG479&lt;=TOTAL_MAX+MARGEN_NEG,"negociar","no"))</f>
        <v/>
      </c>
      <c r="CJ479" s="4">
        <f>IF(CI479&lt;&gt;"no",COUNTIFS($CI$2:$CI$662,"&lt;&gt;no",$CA$2:$CA$662,"&gt;"&amp;CA479)+COUNTIFS($CI$2:CI479,"&lt;&gt;no",$CA$2:CA479,CA479),"")</f>
        <v/>
      </c>
    </row>
    <row r="480">
      <c r="A480" s="2" t="inlineStr">
        <is>
          <t>cochesnet:71702836</t>
        </is>
      </c>
      <c r="B480" s="2" t="inlineStr">
        <is>
          <t>cochesnet</t>
        </is>
      </c>
      <c r="C480" s="2" t="inlineStr">
        <is>
          <t>https://www.coches.net/citroen-c3-gasolina-2007-en-valencia-71702836-covo.aspx</t>
        </is>
      </c>
      <c r="D480" s="2" t="inlineStr">
        <is>
          <t>CITROEN C3 1.4i Furio</t>
        </is>
      </c>
      <c r="E480" s="2" t="inlineStr">
        <is>
          <t>Citroën</t>
        </is>
      </c>
      <c r="F480" s="2" t="inlineStr">
        <is>
          <t>Citroën C3</t>
        </is>
      </c>
      <c r="G480" s="2" t="inlineStr">
        <is>
          <t>1.4</t>
        </is>
      </c>
      <c r="H480" s="2" t="inlineStr">
        <is>
          <t>1.4i Furio</t>
        </is>
      </c>
      <c r="I480" s="2" t="n"/>
      <c r="J480" s="2" t="n"/>
      <c r="K480" s="2" t="inlineStr">
        <is>
          <t>gasolina</t>
        </is>
      </c>
      <c r="L480" s="2" t="inlineStr">
        <is>
          <t>utilitario</t>
        </is>
      </c>
      <c r="M480" s="2" t="n">
        <v>2007</v>
      </c>
      <c r="N480" s="2" t="n">
        <v>100000</v>
      </c>
      <c r="O480" s="2" t="n">
        <v>3650</v>
      </c>
      <c r="P480" s="2" t="inlineStr">
        <is>
          <t>manual</t>
        </is>
      </c>
      <c r="Q480" s="2" t="inlineStr">
        <is>
          <t>no</t>
        </is>
      </c>
      <c r="R480" s="2" t="inlineStr">
        <is>
          <t>particular</t>
        </is>
      </c>
      <c r="S480" s="2" t="inlineStr">
        <is>
          <t>Valencia</t>
        </is>
      </c>
      <c r="T480" s="2" t="inlineStr">
        <is>
          <t>2026-10-08T10:36:20Z</t>
        </is>
      </c>
      <c r="U480" s="2" t="n">
        <v>9</v>
      </c>
      <c r="V480" s="2" t="n"/>
      <c r="W480" s="2" t="n"/>
      <c r="X480" s="2" t="n"/>
      <c r="Y480" s="2" t="n"/>
      <c r="Z480" s="2" t="inlineStr">
        <is>
          <t>no</t>
        </is>
      </c>
      <c r="AA480" s="2" t="n"/>
      <c r="AB480" s="2" t="n"/>
      <c r="AC480" s="2" t="n"/>
      <c r="AD480" s="2" t="n"/>
      <c r="AE480" s="2" t="n"/>
      <c r="AF480" s="2" t="n"/>
      <c r="AG480" s="2" t="n"/>
      <c r="AH480" s="2" t="n">
        <v>3650</v>
      </c>
      <c r="AI480" s="2" t="n"/>
      <c r="AJ480" s="2" t="n"/>
      <c r="AK480" s="2" t="n"/>
      <c r="AL480" s="2" t="n"/>
      <c r="AM480" s="2" t="n">
        <v>0.1</v>
      </c>
      <c r="AN480" s="2" t="n">
        <v>3000</v>
      </c>
      <c r="AO480" s="2" t="n">
        <v>17</v>
      </c>
      <c r="AP480" s="2" t="inlineStr">
        <is>
          <t>modelo+año</t>
        </is>
      </c>
      <c r="AQ480" s="2" t="n"/>
      <c r="AR480" s="2" t="inlineStr">
        <is>
          <t>cuota fija ITP: &gt;12 años, hasta 1.500 cc</t>
        </is>
      </c>
      <c r="AS480" s="2" t="inlineStr">
        <is>
          <t>CITROEN C3 1.4 75 CV FURIÓ 2007
Año: 2007
Kilómetros: 100.000
Motorización: 1.4 75 CV
Combustible: Gasolina 
Cambio: Manual 5 V
Versión FURIÓ
Aire acondicionado
Mandos en el volante.
Control cruceros
Clima bi zona
Isofix traseros
Vehículo muy cuidado para sus años, salpicadero, interior en buen estado, exterior algunos detalles acordes al uso diario.
 -Se entrega totalmente revisado, aceite y filtros al día.
Kit completo de distribución sustituido (Bomba de agua y correa)
Neumaticos delanteros y traseros 80%
ITV OCTUBRE 2027
 2 Llaves 
Pegatina C
Valencia capital.
GESTIÓN DOCUMENTAL Y CAMBIO DE TITULAR 250€
ABSTENERSE GENTE CON GANAS DE HACER PERDER EL TIEMPO, NI OFERTAS ABSURDAS</t>
        </is>
      </c>
      <c r="AT480" s="2" t="inlineStr">
        <is>
          <t>https://www.coches.net/citroen-c3-gasolina-2007-en-valencia-71702836-covo.aspx (window.__INITIAL_PROPS__.ad) /home/user/Alopecia/buscador-coches/raw/cochesnet/a9d73771036e0dc8.json</t>
        </is>
      </c>
      <c r="AU480" s="3">
        <f>MAX(ANIO_ACTUAL-M480,0)</f>
        <v/>
      </c>
      <c r="AV480" s="4">
        <f>N480/MAX(AU480,0.5)</f>
        <v/>
      </c>
      <c r="AW480" s="4">
        <f>F480</f>
        <v/>
      </c>
      <c r="AX480" s="3">
        <f>AW480&amp;"|"&amp;INT(M480/SEG_ANIO)*SEG_ANIO</f>
        <v/>
      </c>
      <c r="AY480" s="3">
        <f>AX480&amp;"|"&amp;INT(N480/SEG_KM)*SEG_KM</f>
        <v/>
      </c>
      <c r="AZ480" s="4">
        <f>COUNTIF($AW$2:$AW$662,AW480)</f>
        <v/>
      </c>
      <c r="BA480" s="4">
        <f>COUNTIF($AX$2:$AX$662,AX480)</f>
        <v/>
      </c>
      <c r="BB480" s="4">
        <f>COUNTIF($AY$2:$AY$662,AY480)</f>
        <v/>
      </c>
      <c r="BC480" s="3">
        <f t="array" ref="BC480">IF(N(AO480)&gt;=MIN_N,AN480,IF(BB480&gt;=MIN_N,MEDIAN(IF($AY$2:$AY$662=AY480,$O$2:$O$662)),IF(BA480&gt;=MIN_N,MEDIAN(IF($AX$2:$AX$662=AX480,$O$2:$O$662)),MEDIAN(IF($AW$2:$AW$662=AW480,$O$2:$O$662)))))</f>
        <v/>
      </c>
      <c r="BD480" s="3">
        <f>IF(N(AO480)&gt;=MIN_N,"mercado "&amp;AP480,IF(BB480&gt;=MIN_N,"modelo+año+km",IF(BA480&gt;=MIN_N,"modelo+año","modelo")))</f>
        <v/>
      </c>
      <c r="BE480" s="4">
        <f>(BC480-O480)/BC480</f>
        <v/>
      </c>
      <c r="BF480" s="3">
        <f>IF(OR(K480="hibrido",K480="glp"),"ECO",IF(K480="electrico","CERO",IF(K480="gasolina",IF(M480&gt;=GAS_C,"C",IF(M480&gt;=GAS_B,"B","A")),IF(K480="diesel",IF(M480&gt;=DIE_C,"C",IF(M480&gt;=DIE_B,"B","A")),""))))</f>
        <v/>
      </c>
      <c r="BG480" s="3">
        <f>IFERROR(VLOOKUP(F480,MOD_TBL,11,0),IFERROR(VLOOKUP(E480,OCU_TBL,2,0),NEUTRO))</f>
        <v/>
      </c>
      <c r="BH480" s="3">
        <f>SUMIFS(MOT_AJUSTE,MOT_MOTOR,G480,MOT_MARCA,E480,MOT_DESDE,"&lt;="&amp;M480,MOT_HASTA,"&gt;="&amp;M480)+SUMIFS(MOT_AJUSTE,MOT_MOTOR,G480,MOT_MARCA,"(todas)",MOT_DESDE,"&lt;="&amp;M480,MOT_HASTA,"&gt;="&amp;M480)</f>
        <v/>
      </c>
      <c r="BI480" s="3">
        <f>SUMIFS(COMB_AJUSTE,COMB_COMB,K480)</f>
        <v/>
      </c>
      <c r="BJ480" s="3">
        <f>COUNTIFS(MOT_MOTOR,G480,MOT_MARCA,E480,MOT_DESDE,"&lt;="&amp;M480,MOT_HASTA,"&gt;="&amp;M480)+COUNTIFS(MOT_MOTOR,G480,MOT_MARCA,"(todas)",MOT_DESDE,"&lt;="&amp;M480,MOT_HASTA,"&gt;="&amp;M480)</f>
        <v/>
      </c>
      <c r="BK480" s="3">
        <f>IF(AND(K480="diesel",BJ480=0),MIN(BG480,NEUTRO),BG480)</f>
        <v/>
      </c>
      <c r="BL480" s="4">
        <f>MAX(0,MIN(100,BK480+BH480+BI480))</f>
        <v/>
      </c>
      <c r="BM480" s="3">
        <f>MAX(0,MIN(100,50+BE480*PRECIO_PEND))</f>
        <v/>
      </c>
      <c r="BN480" s="3">
        <f>MAX(0,100*(1-N480/KM_MAX))</f>
        <v/>
      </c>
      <c r="BO480" s="3">
        <f>IF(AV480&lt;KMA_SOSP,IF(AA480="sí",100,KMA_PEN),IF(AV480&lt;=KMA_IDEAL_MAX,100,MAX(0,100*(KMA_CERO-AV480)/(KMA_CERO-KMA_IDEAL_MAX))))</f>
        <v/>
      </c>
      <c r="BP480" s="3">
        <f>MAX(0,MIN(100,100*(M480-ANIO_MIN)/(ANIO_ACTUAL-ANIO_MIN)))</f>
        <v/>
      </c>
      <c r="BQ480" s="3">
        <f>W_KMT*BN480+W_KMA*BO480+W_EDAD*BP480</f>
        <v/>
      </c>
      <c r="BR480" s="3">
        <f>P_ITV*(V480="sí")+P_LIBRO*(W480="sí")+P_CORREA*(X480="sí")+P_PROP*(Y480=1)+P_GAR*(Z480="sí")+P_FOTOS*MIN(1,N(U480)/FOTOS_OBJ)</f>
        <v/>
      </c>
      <c r="BS480" s="3">
        <f>IFERROR(VLOOKUP(BF480,ETQ_TBL,2,0),NEUTRO)</f>
        <v/>
      </c>
      <c r="BT480" s="3">
        <f>NEUTRO</f>
        <v/>
      </c>
      <c r="BU480" s="3">
        <f>IFERROR(VLOOKUP(L480,SEGURO_TBL,3,0),"")</f>
        <v/>
      </c>
      <c r="BV480" s="3">
        <f>IF(BU480="",NEUTRO,MAX(0,MIN(100,100*(SEG_REF_MAX-BU480)/(SEG_REF_MAX-SEG_REF_MIN))))</f>
        <v/>
      </c>
      <c r="BW480" s="3">
        <f>W_ET*BS480+W_CONS*BT480+W_SEG*BV480</f>
        <v/>
      </c>
      <c r="BX480" s="3">
        <f>IF(N(AB480)&gt;0,AB480,IF(AND(R480="profesional",SG_LEGAL_ON=1),GAR_LEGAL,0))</f>
        <v/>
      </c>
      <c r="BY480" s="3">
        <f>SG_GAR*MIN(1,BX480/SG_GAR_FULL)+SG_AMPL*(AC480="sí")+SG_KMC*(AF480="sí")+SG_REV*(N(AE480)&gt;0)+SG_DEV*MIN(1,N(AG480)/SG_DEV_FULL)+SG_HIST*(W480="sí")</f>
        <v/>
      </c>
      <c r="BZ480" s="3">
        <f>IFERROR(VLOOKUP(L480,CARR_PEN_TBL,2,0),0)</f>
        <v/>
      </c>
      <c r="CA480" s="3">
        <f>W_FIAB*BL480+W_PRECIO*BM480+W_KMEDAD*BQ480+W_ANUNCIO*BR480+W_USO*BW480+W_SEGURIDAD*BY480-BZ480</f>
        <v/>
      </c>
      <c r="CB480" s="4">
        <f>IF(N(I480)&gt;0,I480,IFERROR(ROUND(_xlfn.NUMBERVALUE(LEFT(G480,FIND(" ",G480&amp;" ")-1),".")*1000,0),99999))</f>
        <v/>
      </c>
      <c r="CC480" s="3">
        <f>IF(R480="profesional",0,IF(O480&lt;CUOTA_VALOR_MAX,IF(AU480&gt;ITP_TRAMO_ALTO,SUMIFS(CF_CUOTA,CF_MAS,ITP_TRAMO_ALTO,CF_CCMIN,"&lt;="&amp;CB480,CF_CCMAX,"&gt;="&amp;CB480),IF(AU480&gt;ITP_TRAMO_BAJO,SUMIFS(CF_CUOTA,CF_MAS,ITP_TRAMO_BAJO,CF_CCMIN,"&lt;="&amp;CB480,CF_CCMAX,"&gt;="&amp;CB480),O480*ITP_TIPO)),O480*ITP_TIPO))</f>
        <v/>
      </c>
      <c r="CD480" s="4">
        <f>IF(R480="profesional",N(AK480),0)</f>
        <v/>
      </c>
      <c r="CE480" s="3">
        <f>IF(AND(R480="profesional",ISNUMBER(AK480),AL480="sí"),0,TASA_DGT)</f>
        <v/>
      </c>
      <c r="CF480" s="3">
        <f>INFORME_DGT</f>
        <v/>
      </c>
      <c r="CG480" s="4">
        <f>O480+CD480+CC480+CE480+CF480</f>
        <v/>
      </c>
      <c r="CH480" s="4">
        <f>CG480+N(BU480)</f>
        <v/>
      </c>
      <c r="CI480" s="3">
        <f>IF(CG480&lt;=TOTAL_MAX,"sí",IF(CG480&lt;=TOTAL_MAX+MARGEN_NEG,"negociar","no"))</f>
        <v/>
      </c>
      <c r="CJ480" s="4">
        <f>IF(CI480&lt;&gt;"no",COUNTIFS($CI$2:$CI$662,"&lt;&gt;no",$CA$2:$CA$662,"&gt;"&amp;CA480)+COUNTIFS($CI$2:CI480,"&lt;&gt;no",$CA$2:CA480,CA480),"")</f>
        <v/>
      </c>
    </row>
    <row r="481">
      <c r="A481" s="2" t="inlineStr">
        <is>
          <t>cochesnet:71844510</t>
        </is>
      </c>
      <c r="B481" s="2" t="inlineStr">
        <is>
          <t>cochesnet</t>
        </is>
      </c>
      <c r="C481" s="2" t="inlineStr">
        <is>
          <t>https://www.coches.net/citroen-c3-ehdi-70-cmp-collection-5p-diesel-2015-en-valencia-71844510-covo.aspx</t>
        </is>
      </c>
      <c r="D481" s="2" t="inlineStr">
        <is>
          <t>CITROEN C3 EHDI 70 CMP Collection</t>
        </is>
      </c>
      <c r="E481" s="2" t="inlineStr">
        <is>
          <t>Citroën</t>
        </is>
      </c>
      <c r="F481" s="2" t="inlineStr">
        <is>
          <t>Citroën C3</t>
        </is>
      </c>
      <c r="G481" s="2" t="inlineStr">
        <is>
          <t>? HDi</t>
        </is>
      </c>
      <c r="H481" s="2" t="inlineStr">
        <is>
          <t>EHDI 70 CMP Collection</t>
        </is>
      </c>
      <c r="I481" s="2" t="n"/>
      <c r="J481" s="2" t="n"/>
      <c r="K481" s="2" t="inlineStr">
        <is>
          <t>diesel</t>
        </is>
      </c>
      <c r="L481" s="2" t="inlineStr">
        <is>
          <t>utilitario</t>
        </is>
      </c>
      <c r="M481" s="2" t="n">
        <v>2015</v>
      </c>
      <c r="N481" s="2" t="n">
        <v>27000</v>
      </c>
      <c r="O481" s="2" t="n">
        <v>4700</v>
      </c>
      <c r="P481" s="2" t="inlineStr">
        <is>
          <t>manual</t>
        </is>
      </c>
      <c r="Q481" s="2" t="inlineStr">
        <is>
          <t>no</t>
        </is>
      </c>
      <c r="R481" s="2" t="inlineStr">
        <is>
          <t>particular</t>
        </is>
      </c>
      <c r="S481" s="2" t="n"/>
      <c r="T481" s="2" t="inlineStr">
        <is>
          <t>2026-10-27T11:26:33Z</t>
        </is>
      </c>
      <c r="U481" s="2" t="n"/>
      <c r="V481" s="2" t="n"/>
      <c r="W481" s="2" t="n"/>
      <c r="X481" s="2" t="n"/>
      <c r="Y481" s="2" t="n"/>
      <c r="Z481" s="2" t="inlineStr">
        <is>
          <t>no</t>
        </is>
      </c>
      <c r="AA481" s="2" t="n"/>
      <c r="AB481" s="2" t="n"/>
      <c r="AC481" s="2" t="n"/>
      <c r="AD481" s="2" t="n"/>
      <c r="AE481" s="2" t="n"/>
      <c r="AF481" s="2" t="n"/>
      <c r="AG481" s="2" t="n"/>
      <c r="AH481" s="2" t="n">
        <v>4700</v>
      </c>
      <c r="AI481" s="2" t="n"/>
      <c r="AJ481" s="2" t="n"/>
      <c r="AK481" s="2" t="n"/>
      <c r="AL481" s="2" t="n"/>
      <c r="AM481" s="2" t="n"/>
      <c r="AN481" s="2" t="n">
        <v>5500</v>
      </c>
      <c r="AO481" s="2" t="n">
        <v>17</v>
      </c>
      <c r="AP481" s="2" t="inlineStr">
        <is>
          <t>modelo+año</t>
        </is>
      </c>
      <c r="AQ481" s="2" t="n"/>
      <c r="AR481" s="2" t="inlineStr">
        <is>
          <t>por encima del presupuesto (5044 €), negociar; 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S481" s="2" t="inlineStr">
        <is>
          <t>se vende coche Citroen C3 diesel todo perfecto</t>
        </is>
      </c>
      <c r="AT481" s="2" t="inlineStr">
        <is>
          <t>https://www.coches.net/citroen-c3-ehdi-70-cmp-collection-5p-diesel-2015-en-valencia-71844510-covo.aspx (window.__INITIAL_PROPS__.ad) /home/user/Alopecia/buscador-coches/raw/cochesnet/3a57fb821f145c8a.json</t>
        </is>
      </c>
      <c r="AU481" s="3">
        <f>MAX(ANIO_ACTUAL-M481,0)</f>
        <v/>
      </c>
      <c r="AV481" s="4">
        <f>N481/MAX(AU481,0.5)</f>
        <v/>
      </c>
      <c r="AW481" s="4">
        <f>F481</f>
        <v/>
      </c>
      <c r="AX481" s="3">
        <f>AW481&amp;"|"&amp;INT(M481/SEG_ANIO)*SEG_ANIO</f>
        <v/>
      </c>
      <c r="AY481" s="3">
        <f>AX481&amp;"|"&amp;INT(N481/SEG_KM)*SEG_KM</f>
        <v/>
      </c>
      <c r="AZ481" s="4">
        <f>COUNTIF($AW$2:$AW$662,AW481)</f>
        <v/>
      </c>
      <c r="BA481" s="4">
        <f>COUNTIF($AX$2:$AX$662,AX481)</f>
        <v/>
      </c>
      <c r="BB481" s="4">
        <f>COUNTIF($AY$2:$AY$662,AY481)</f>
        <v/>
      </c>
      <c r="BC481" s="3">
        <f t="array" ref="BC481">IF(N(AO481)&gt;=MIN_N,AN481,IF(BB481&gt;=MIN_N,MEDIAN(IF($AY$2:$AY$662=AY481,$O$2:$O$662)),IF(BA481&gt;=MIN_N,MEDIAN(IF($AX$2:$AX$662=AX481,$O$2:$O$662)),MEDIAN(IF($AW$2:$AW$662=AW481,$O$2:$O$662)))))</f>
        <v/>
      </c>
      <c r="BD481" s="3">
        <f>IF(N(AO481)&gt;=MIN_N,"mercado "&amp;AP481,IF(BB481&gt;=MIN_N,"modelo+año+km",IF(BA481&gt;=MIN_N,"modelo+año","modelo")))</f>
        <v/>
      </c>
      <c r="BE481" s="4">
        <f>(BC481-O481)/BC481</f>
        <v/>
      </c>
      <c r="BF481" s="3">
        <f>IF(OR(K481="hibrido",K481="glp"),"ECO",IF(K481="electrico","CERO",IF(K481="gasolina",IF(M481&gt;=GAS_C,"C",IF(M481&gt;=GAS_B,"B","A")),IF(K481="diesel",IF(M481&gt;=DIE_C,"C",IF(M481&gt;=DIE_B,"B","A")),""))))</f>
        <v/>
      </c>
      <c r="BG481" s="3">
        <f>IFERROR(VLOOKUP(F481,MOD_TBL,11,0),IFERROR(VLOOKUP(E481,OCU_TBL,2,0),NEUTRO))</f>
        <v/>
      </c>
      <c r="BH481" s="3">
        <f>SUMIFS(MOT_AJUSTE,MOT_MOTOR,G481,MOT_MARCA,E481,MOT_DESDE,"&lt;="&amp;M481,MOT_HASTA,"&gt;="&amp;M481)+SUMIFS(MOT_AJUSTE,MOT_MOTOR,G481,MOT_MARCA,"(todas)",MOT_DESDE,"&lt;="&amp;M481,MOT_HASTA,"&gt;="&amp;M481)</f>
        <v/>
      </c>
      <c r="BI481" s="3">
        <f>SUMIFS(COMB_AJUSTE,COMB_COMB,K481)</f>
        <v/>
      </c>
      <c r="BJ481" s="3">
        <f>COUNTIFS(MOT_MOTOR,G481,MOT_MARCA,E481,MOT_DESDE,"&lt;="&amp;M481,MOT_HASTA,"&gt;="&amp;M481)+COUNTIFS(MOT_MOTOR,G481,MOT_MARCA,"(todas)",MOT_DESDE,"&lt;="&amp;M481,MOT_HASTA,"&gt;="&amp;M481)</f>
        <v/>
      </c>
      <c r="BK481" s="3">
        <f>IF(AND(K481="diesel",BJ481=0),MIN(BG481,NEUTRO),BG481)</f>
        <v/>
      </c>
      <c r="BL481" s="4">
        <f>MAX(0,MIN(100,BK481+BH481+BI481))</f>
        <v/>
      </c>
      <c r="BM481" s="3">
        <f>MAX(0,MIN(100,50+BE481*PRECIO_PEND))</f>
        <v/>
      </c>
      <c r="BN481" s="3">
        <f>MAX(0,100*(1-N481/KM_MAX))</f>
        <v/>
      </c>
      <c r="BO481" s="3">
        <f>IF(AV481&lt;KMA_SOSP,IF(AA481="sí",100,KMA_PEN),IF(AV481&lt;=KMA_IDEAL_MAX,100,MAX(0,100*(KMA_CERO-AV481)/(KMA_CERO-KMA_IDEAL_MAX))))</f>
        <v/>
      </c>
      <c r="BP481" s="3">
        <f>MAX(0,MIN(100,100*(M481-ANIO_MIN)/(ANIO_ACTUAL-ANIO_MIN)))</f>
        <v/>
      </c>
      <c r="BQ481" s="3">
        <f>W_KMT*BN481+W_KMA*BO481+W_EDAD*BP481</f>
        <v/>
      </c>
      <c r="BR481" s="3">
        <f>P_ITV*(V481="sí")+P_LIBRO*(W481="sí")+P_CORREA*(X481="sí")+P_PROP*(Y481=1)+P_GAR*(Z481="sí")+P_FOTOS*MIN(1,N(U481)/FOTOS_OBJ)</f>
        <v/>
      </c>
      <c r="BS481" s="3">
        <f>IFERROR(VLOOKUP(BF481,ETQ_TBL,2,0),NEUTRO)</f>
        <v/>
      </c>
      <c r="BT481" s="3">
        <f>NEUTRO</f>
        <v/>
      </c>
      <c r="BU481" s="3">
        <f>IFERROR(VLOOKUP(L481,SEGURO_TBL,3,0),"")</f>
        <v/>
      </c>
      <c r="BV481" s="3">
        <f>IF(BU481="",NEUTRO,MAX(0,MIN(100,100*(SEG_REF_MAX-BU481)/(SEG_REF_MAX-SEG_REF_MIN))))</f>
        <v/>
      </c>
      <c r="BW481" s="3">
        <f>W_ET*BS481+W_CONS*BT481+W_SEG*BV481</f>
        <v/>
      </c>
      <c r="BX481" s="3">
        <f>IF(N(AB481)&gt;0,AB481,IF(AND(R481="profesional",SG_LEGAL_ON=1),GAR_LEGAL,0))</f>
        <v/>
      </c>
      <c r="BY481" s="3">
        <f>SG_GAR*MIN(1,BX481/SG_GAR_FULL)+SG_AMPL*(AC481="sí")+SG_KMC*(AF481="sí")+SG_REV*(N(AE481)&gt;0)+SG_DEV*MIN(1,N(AG481)/SG_DEV_FULL)+SG_HIST*(W481="sí")</f>
        <v/>
      </c>
      <c r="BZ481" s="3">
        <f>IFERROR(VLOOKUP(L481,CARR_PEN_TBL,2,0),0)</f>
        <v/>
      </c>
      <c r="CA481" s="3">
        <f>W_FIAB*BL481+W_PRECIO*BM481+W_KMEDAD*BQ481+W_ANUNCIO*BR481+W_USO*BW481+W_SEGURIDAD*BY481-BZ481</f>
        <v/>
      </c>
      <c r="CB481" s="4">
        <f>IF(N(I481)&gt;0,I481,IFERROR(ROUND(_xlfn.NUMBERVALUE(LEFT(G481,FIND(" ",G481&amp;" ")-1),".")*1000,0),99999))</f>
        <v/>
      </c>
      <c r="CC481" s="3">
        <f>IF(R481="profesional",0,IF(O481&lt;CUOTA_VALOR_MAX,IF(AU481&gt;ITP_TRAMO_ALTO,SUMIFS(CF_CUOTA,CF_MAS,ITP_TRAMO_ALTO,CF_CCMIN,"&lt;="&amp;CB481,CF_CCMAX,"&gt;="&amp;CB481),IF(AU481&gt;ITP_TRAMO_BAJO,SUMIFS(CF_CUOTA,CF_MAS,ITP_TRAMO_BAJO,CF_CCMIN,"&lt;="&amp;CB481,CF_CCMAX,"&gt;="&amp;CB481),O481*ITP_TIPO)),O481*ITP_TIPO))</f>
        <v/>
      </c>
      <c r="CD481" s="4">
        <f>IF(R481="profesional",N(AK481),0)</f>
        <v/>
      </c>
      <c r="CE481" s="3">
        <f>IF(AND(R481="profesional",ISNUMBER(AK481),AL481="sí"),0,TASA_DGT)</f>
        <v/>
      </c>
      <c r="CF481" s="3">
        <f>INFORME_DGT</f>
        <v/>
      </c>
      <c r="CG481" s="4">
        <f>O481+CD481+CC481+CE481+CF481</f>
        <v/>
      </c>
      <c r="CH481" s="4">
        <f>CG481+N(BU481)</f>
        <v/>
      </c>
      <c r="CI481" s="3">
        <f>IF(CG481&lt;=TOTAL_MAX,"sí",IF(CG481&lt;=TOTAL_MAX+MARGEN_NEG,"negociar","no"))</f>
        <v/>
      </c>
      <c r="CJ481" s="4">
        <f>IF(CI481&lt;&gt;"no",COUNTIFS($CI$2:$CI$662,"&lt;&gt;no",$CA$2:$CA$662,"&gt;"&amp;CA481)+COUNTIFS($CI$2:CI481,"&lt;&gt;no",$CA$2:CA481,CA481),"")</f>
        <v/>
      </c>
    </row>
    <row r="482">
      <c r="A482" s="2" t="inlineStr">
        <is>
          <t>cochesnet:71646911</t>
        </is>
      </c>
      <c r="B482" s="2" t="inlineStr">
        <is>
          <t>cochesnet</t>
        </is>
      </c>
      <c r="C482" s="2" t="inlineStr">
        <is>
          <t>https://www.coches.net/citroen-c3-diesel-2006-en-valencia-71646911-covo.aspx</t>
        </is>
      </c>
      <c r="D482" s="2" t="inlineStr">
        <is>
          <t>CITROEN C3</t>
        </is>
      </c>
      <c r="E482" s="2" t="inlineStr">
        <is>
          <t>Citroën</t>
        </is>
      </c>
      <c r="F482" s="2" t="inlineStr">
        <is>
          <t>Citroën C3</t>
        </is>
      </c>
      <c r="G482" s="2" t="n"/>
      <c r="H482" s="2" t="n"/>
      <c r="I482" s="2" t="n"/>
      <c r="J482" s="2" t="n"/>
      <c r="K482" s="2" t="inlineStr">
        <is>
          <t>diesel</t>
        </is>
      </c>
      <c r="L482" s="2" t="inlineStr">
        <is>
          <t>utilitario</t>
        </is>
      </c>
      <c r="M482" s="2" t="n">
        <v>2006</v>
      </c>
      <c r="N482" s="2" t="n">
        <v>215225</v>
      </c>
      <c r="O482" s="2" t="n">
        <v>2500</v>
      </c>
      <c r="P482" s="2" t="inlineStr">
        <is>
          <t>manual</t>
        </is>
      </c>
      <c r="Q482" s="2" t="inlineStr">
        <is>
          <t>no</t>
        </is>
      </c>
      <c r="R482" s="2" t="inlineStr">
        <is>
          <t>particular</t>
        </is>
      </c>
      <c r="S482" s="2" t="n"/>
      <c r="T482" s="2" t="inlineStr">
        <is>
          <t>2026-10-01T10:25:05Z</t>
        </is>
      </c>
      <c r="U482" s="2" t="n">
        <v>7</v>
      </c>
      <c r="V482" s="2" t="n"/>
      <c r="W482" s="2" t="n"/>
      <c r="X482" s="2" t="n"/>
      <c r="Y482" s="2" t="n"/>
      <c r="Z482" s="2" t="inlineStr">
        <is>
          <t>no</t>
        </is>
      </c>
      <c r="AA482" s="2" t="n"/>
      <c r="AB482" s="2" t="n"/>
      <c r="AC482" s="2" t="n"/>
      <c r="AD482" s="2" t="n"/>
      <c r="AE482" s="2" t="n"/>
      <c r="AF482" s="2" t="n"/>
      <c r="AG482" s="2" t="n"/>
      <c r="AH482" s="2" t="n">
        <v>2500</v>
      </c>
      <c r="AI482" s="2" t="n"/>
      <c r="AJ482" s="2" t="n"/>
      <c r="AK482" s="2" t="n"/>
      <c r="AL482" s="2" t="n"/>
      <c r="AM482" s="2" t="n"/>
      <c r="AN482" s="2" t="n">
        <v>1999</v>
      </c>
      <c r="AO482" s="2" t="n">
        <v>7</v>
      </c>
      <c r="AP482" s="2" t="inlineStr">
        <is>
          <t>modelo+año+km</t>
        </is>
      </c>
      <c r="AQ482" s="2" t="n"/>
      <c r="AR48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82" s="2" t="inlineStr">
        <is>
          <t>el motor esta en buen estado, tiene desperfectos del paso del tiempo, itv 2027 en vigor
el precio es negociable, solo particulares no revendedrores</t>
        </is>
      </c>
      <c r="AT482" s="2" t="inlineStr">
        <is>
          <t>https://www.coches.net/citroen-c3-diesel-2006-en-valencia-71646911-covo.aspx (window.__INITIAL_PROPS__.ad) /home/user/Alopecia/buscador-coches/raw/cochesnet/a0b63af261b5a4f9.json</t>
        </is>
      </c>
      <c r="AU482" s="3">
        <f>MAX(ANIO_ACTUAL-M482,0)</f>
        <v/>
      </c>
      <c r="AV482" s="4">
        <f>N482/MAX(AU482,0.5)</f>
        <v/>
      </c>
      <c r="AW482" s="4">
        <f>F482</f>
        <v/>
      </c>
      <c r="AX482" s="3">
        <f>AW482&amp;"|"&amp;INT(M482/SEG_ANIO)*SEG_ANIO</f>
        <v/>
      </c>
      <c r="AY482" s="3">
        <f>AX482&amp;"|"&amp;INT(N482/SEG_KM)*SEG_KM</f>
        <v/>
      </c>
      <c r="AZ482" s="4">
        <f>COUNTIF($AW$2:$AW$662,AW482)</f>
        <v/>
      </c>
      <c r="BA482" s="4">
        <f>COUNTIF($AX$2:$AX$662,AX482)</f>
        <v/>
      </c>
      <c r="BB482" s="4">
        <f>COUNTIF($AY$2:$AY$662,AY482)</f>
        <v/>
      </c>
      <c r="BC482" s="3">
        <f t="array" ref="BC482">IF(N(AO482)&gt;=MIN_N,AN482,IF(BB482&gt;=MIN_N,MEDIAN(IF($AY$2:$AY$662=AY482,$O$2:$O$662)),IF(BA482&gt;=MIN_N,MEDIAN(IF($AX$2:$AX$662=AX482,$O$2:$O$662)),MEDIAN(IF($AW$2:$AW$662=AW482,$O$2:$O$662)))))</f>
        <v/>
      </c>
      <c r="BD482" s="3">
        <f>IF(N(AO482)&gt;=MIN_N,"mercado "&amp;AP482,IF(BB482&gt;=MIN_N,"modelo+año+km",IF(BA482&gt;=MIN_N,"modelo+año","modelo")))</f>
        <v/>
      </c>
      <c r="BE482" s="4">
        <f>(BC482-O482)/BC482</f>
        <v/>
      </c>
      <c r="BF482" s="3">
        <f>IF(OR(K482="hibrido",K482="glp"),"ECO",IF(K482="electrico","CERO",IF(K482="gasolina",IF(M482&gt;=GAS_C,"C",IF(M482&gt;=GAS_B,"B","A")),IF(K482="diesel",IF(M482&gt;=DIE_C,"C",IF(M482&gt;=DIE_B,"B","A")),""))))</f>
        <v/>
      </c>
      <c r="BG482" s="3">
        <f>IFERROR(VLOOKUP(F482,MOD_TBL,11,0),IFERROR(VLOOKUP(E482,OCU_TBL,2,0),NEUTRO))</f>
        <v/>
      </c>
      <c r="BH482" s="3">
        <f>SUMIFS(MOT_AJUSTE,MOT_MOTOR,G482,MOT_MARCA,E482,MOT_DESDE,"&lt;="&amp;M482,MOT_HASTA,"&gt;="&amp;M482)+SUMIFS(MOT_AJUSTE,MOT_MOTOR,G482,MOT_MARCA,"(todas)",MOT_DESDE,"&lt;="&amp;M482,MOT_HASTA,"&gt;="&amp;M482)</f>
        <v/>
      </c>
      <c r="BI482" s="3">
        <f>SUMIFS(COMB_AJUSTE,COMB_COMB,K482)</f>
        <v/>
      </c>
      <c r="BJ482" s="3">
        <f>COUNTIFS(MOT_MOTOR,G482,MOT_MARCA,E482,MOT_DESDE,"&lt;="&amp;M482,MOT_HASTA,"&gt;="&amp;M482)+COUNTIFS(MOT_MOTOR,G482,MOT_MARCA,"(todas)",MOT_DESDE,"&lt;="&amp;M482,MOT_HASTA,"&gt;="&amp;M482)</f>
        <v/>
      </c>
      <c r="BK482" s="3">
        <f>IF(AND(K482="diesel",BJ482=0),MIN(BG482,NEUTRO),BG482)</f>
        <v/>
      </c>
      <c r="BL482" s="4">
        <f>MAX(0,MIN(100,BK482+BH482+BI482))</f>
        <v/>
      </c>
      <c r="BM482" s="3">
        <f>MAX(0,MIN(100,50+BE482*PRECIO_PEND))</f>
        <v/>
      </c>
      <c r="BN482" s="3">
        <f>MAX(0,100*(1-N482/KM_MAX))</f>
        <v/>
      </c>
      <c r="BO482" s="3">
        <f>IF(AV482&lt;KMA_SOSP,IF(AA482="sí",100,KMA_PEN),IF(AV482&lt;=KMA_IDEAL_MAX,100,MAX(0,100*(KMA_CERO-AV482)/(KMA_CERO-KMA_IDEAL_MAX))))</f>
        <v/>
      </c>
      <c r="BP482" s="3">
        <f>MAX(0,MIN(100,100*(M482-ANIO_MIN)/(ANIO_ACTUAL-ANIO_MIN)))</f>
        <v/>
      </c>
      <c r="BQ482" s="3">
        <f>W_KMT*BN482+W_KMA*BO482+W_EDAD*BP482</f>
        <v/>
      </c>
      <c r="BR482" s="3">
        <f>P_ITV*(V482="sí")+P_LIBRO*(W482="sí")+P_CORREA*(X482="sí")+P_PROP*(Y482=1)+P_GAR*(Z482="sí")+P_FOTOS*MIN(1,N(U482)/FOTOS_OBJ)</f>
        <v/>
      </c>
      <c r="BS482" s="3">
        <f>IFERROR(VLOOKUP(BF482,ETQ_TBL,2,0),NEUTRO)</f>
        <v/>
      </c>
      <c r="BT482" s="3">
        <f>NEUTRO</f>
        <v/>
      </c>
      <c r="BU482" s="3">
        <f>IFERROR(VLOOKUP(L482,SEGURO_TBL,3,0),"")</f>
        <v/>
      </c>
      <c r="BV482" s="3">
        <f>IF(BU482="",NEUTRO,MAX(0,MIN(100,100*(SEG_REF_MAX-BU482)/(SEG_REF_MAX-SEG_REF_MIN))))</f>
        <v/>
      </c>
      <c r="BW482" s="3">
        <f>W_ET*BS482+W_CONS*BT482+W_SEG*BV482</f>
        <v/>
      </c>
      <c r="BX482" s="3">
        <f>IF(N(AB482)&gt;0,AB482,IF(AND(R482="profesional",SG_LEGAL_ON=1),GAR_LEGAL,0))</f>
        <v/>
      </c>
      <c r="BY482" s="3">
        <f>SG_GAR*MIN(1,BX482/SG_GAR_FULL)+SG_AMPL*(AC482="sí")+SG_KMC*(AF482="sí")+SG_REV*(N(AE482)&gt;0)+SG_DEV*MIN(1,N(AG482)/SG_DEV_FULL)+SG_HIST*(W482="sí")</f>
        <v/>
      </c>
      <c r="BZ482" s="3">
        <f>IFERROR(VLOOKUP(L482,CARR_PEN_TBL,2,0),0)</f>
        <v/>
      </c>
      <c r="CA482" s="3">
        <f>W_FIAB*BL482+W_PRECIO*BM482+W_KMEDAD*BQ482+W_ANUNCIO*BR482+W_USO*BW482+W_SEGURIDAD*BY482-BZ482</f>
        <v/>
      </c>
      <c r="CB482" s="4">
        <f>IF(N(I482)&gt;0,I482,IFERROR(ROUND(_xlfn.NUMBERVALUE(LEFT(G482,FIND(" ",G482&amp;" ")-1),".")*1000,0),99999))</f>
        <v/>
      </c>
      <c r="CC482" s="3">
        <f>IF(R482="profesional",0,IF(O482&lt;CUOTA_VALOR_MAX,IF(AU482&gt;ITP_TRAMO_ALTO,SUMIFS(CF_CUOTA,CF_MAS,ITP_TRAMO_ALTO,CF_CCMIN,"&lt;="&amp;CB482,CF_CCMAX,"&gt;="&amp;CB482),IF(AU482&gt;ITP_TRAMO_BAJO,SUMIFS(CF_CUOTA,CF_MAS,ITP_TRAMO_BAJO,CF_CCMIN,"&lt;="&amp;CB482,CF_CCMAX,"&gt;="&amp;CB482),O482*ITP_TIPO)),O482*ITP_TIPO))</f>
        <v/>
      </c>
      <c r="CD482" s="4">
        <f>IF(R482="profesional",N(AK482),0)</f>
        <v/>
      </c>
      <c r="CE482" s="3">
        <f>IF(AND(R482="profesional",ISNUMBER(AK482),AL482="sí"),0,TASA_DGT)</f>
        <v/>
      </c>
      <c r="CF482" s="3">
        <f>INFORME_DGT</f>
        <v/>
      </c>
      <c r="CG482" s="4">
        <f>O482+CD482+CC482+CE482+CF482</f>
        <v/>
      </c>
      <c r="CH482" s="4">
        <f>CG482+N(BU482)</f>
        <v/>
      </c>
      <c r="CI482" s="3">
        <f>IF(CG482&lt;=TOTAL_MAX,"sí",IF(CG482&lt;=TOTAL_MAX+MARGEN_NEG,"negociar","no"))</f>
        <v/>
      </c>
      <c r="CJ482" s="4">
        <f>IF(CI482&lt;&gt;"no",COUNTIFS($CI$2:$CI$662,"&lt;&gt;no",$CA$2:$CA$662,"&gt;"&amp;CA482)+COUNTIFS($CI$2:CI482,"&lt;&gt;no",$CA$2:CA482,CA482),"")</f>
        <v/>
      </c>
    </row>
    <row r="483">
      <c r="A483" s="2" t="inlineStr">
        <is>
          <t>cochesnet:71494516</t>
        </is>
      </c>
      <c r="B483" s="2" t="inlineStr">
        <is>
          <t>cochesnet</t>
        </is>
      </c>
      <c r="C483" s="2" t="inlineStr">
        <is>
          <t>https://www.coches.net/citroen-c3-bluehdi-75-live-5p-diesel-2016-en-valencia-71494516-covo.aspx</t>
        </is>
      </c>
      <c r="D483" s="2" t="inlineStr">
        <is>
          <t>CITROEN C3 BlueHDi 75 Live</t>
        </is>
      </c>
      <c r="E483" s="2" t="inlineStr">
        <is>
          <t>Citroën</t>
        </is>
      </c>
      <c r="F483" s="2" t="inlineStr">
        <is>
          <t>Citroën C3</t>
        </is>
      </c>
      <c r="G483" s="2" t="inlineStr">
        <is>
          <t>? HDi</t>
        </is>
      </c>
      <c r="H483" s="2" t="inlineStr">
        <is>
          <t>BlueHDi 75 Live</t>
        </is>
      </c>
      <c r="I483" s="2" t="n"/>
      <c r="J483" s="2" t="n"/>
      <c r="K483" s="2" t="inlineStr">
        <is>
          <t>diesel</t>
        </is>
      </c>
      <c r="L483" s="2" t="inlineStr">
        <is>
          <t>utilitario</t>
        </is>
      </c>
      <c r="M483" s="2" t="n">
        <v>2016</v>
      </c>
      <c r="N483" s="2" t="n">
        <v>199500</v>
      </c>
      <c r="O483" s="2" t="n">
        <v>5200</v>
      </c>
      <c r="P483" s="2" t="inlineStr">
        <is>
          <t>manual</t>
        </is>
      </c>
      <c r="Q483" s="2" t="inlineStr">
        <is>
          <t>no</t>
        </is>
      </c>
      <c r="R483" s="2" t="inlineStr">
        <is>
          <t>particular</t>
        </is>
      </c>
      <c r="S483" s="2" t="inlineStr">
        <is>
          <t>Valencia</t>
        </is>
      </c>
      <c r="T483" s="2" t="inlineStr">
        <is>
          <t>2026-09-11T17:21:47Z</t>
        </is>
      </c>
      <c r="U483" s="2" t="n">
        <v>13</v>
      </c>
      <c r="V483" s="2" t="inlineStr">
        <is>
          <t>sí</t>
        </is>
      </c>
      <c r="W483" s="2" t="n"/>
      <c r="X483" s="2" t="n"/>
      <c r="Y483" s="2" t="n"/>
      <c r="Z483" s="2" t="inlineStr">
        <is>
          <t>no</t>
        </is>
      </c>
      <c r="AA483" s="2" t="n"/>
      <c r="AB483" s="2" t="n"/>
      <c r="AC483" s="2" t="n"/>
      <c r="AD483" s="2" t="n"/>
      <c r="AE483" s="2" t="n"/>
      <c r="AF483" s="2" t="n"/>
      <c r="AG483" s="2" t="n"/>
      <c r="AH483" s="2" t="n">
        <v>5200</v>
      </c>
      <c r="AI483" s="2" t="n"/>
      <c r="AJ483" s="2" t="n"/>
      <c r="AK483" s="2" t="n"/>
      <c r="AL483" s="2" t="n"/>
      <c r="AM483" s="2" t="n">
        <v>0.1</v>
      </c>
      <c r="AN483" s="2" t="n">
        <v>5550</v>
      </c>
      <c r="AO483" s="2" t="n">
        <v>6</v>
      </c>
      <c r="AP483" s="2" t="inlineStr">
        <is>
          <t>modelo+año+km</t>
        </is>
      </c>
      <c r="AQ483" s="2" t="inlineStr">
        <is>
          <t>cochesnet:71494691 (https://www.coches.net/citroen-c3-diesel-2016-en-valencia-71494691-covo.aspx)</t>
        </is>
      </c>
      <c r="AR483" s="2" t="inlineStr">
        <is>
          <t>cilindrada desconocida: se aplica el tramo de cuota fija más alto; cuota fija ITP: &gt;5 y &lt;=12 años, más de 2.000 cc; diésel: motor sin fuente de fiabilidad (fiabilidad limitada a neutra)</t>
        </is>
      </c>
      <c r="AS483" s="2" t="inlineStr">
        <is>
          <t>vendo Citroën c3 bluehdi live edition 1600 75cv del 2016  revisiones al día se le a cambiado embrague kilos de correa de distribución y bomba de agua correa de servicio alternador junta de balancines discos de frenos pastillas de freno filtros aceite....etc el coche tiene itv hasta agosto de 2027 vendo por que he ampliado la familia y necesito un coche más grande, el coche está en perfectas condiciones comprar sacar seguro y a circular. contacto solo por WhatsApp.</t>
        </is>
      </c>
      <c r="AT483" s="2" t="inlineStr">
        <is>
          <t>https://www.coches.net/citroen-c3-bluehdi-75-live-5p-diesel-2016-en-valencia-71494516-covo.aspx (window.__INITIAL_PROPS__.ad) /home/user/Alopecia/buscador-coches/raw/cochesnet/522409e31f7724d4.json</t>
        </is>
      </c>
      <c r="AU483" s="3">
        <f>MAX(ANIO_ACTUAL-M483,0)</f>
        <v/>
      </c>
      <c r="AV483" s="4">
        <f>N483/MAX(AU483,0.5)</f>
        <v/>
      </c>
      <c r="AW483" s="4">
        <f>F483</f>
        <v/>
      </c>
      <c r="AX483" s="3">
        <f>AW483&amp;"|"&amp;INT(M483/SEG_ANIO)*SEG_ANIO</f>
        <v/>
      </c>
      <c r="AY483" s="3">
        <f>AX483&amp;"|"&amp;INT(N483/SEG_KM)*SEG_KM</f>
        <v/>
      </c>
      <c r="AZ483" s="4">
        <f>COUNTIF($AW$2:$AW$662,AW483)</f>
        <v/>
      </c>
      <c r="BA483" s="4">
        <f>COUNTIF($AX$2:$AX$662,AX483)</f>
        <v/>
      </c>
      <c r="BB483" s="4">
        <f>COUNTIF($AY$2:$AY$662,AY483)</f>
        <v/>
      </c>
      <c r="BC483" s="3">
        <f t="array" ref="BC483">IF(N(AO483)&gt;=MIN_N,AN483,IF(BB483&gt;=MIN_N,MEDIAN(IF($AY$2:$AY$662=AY483,$O$2:$O$662)),IF(BA483&gt;=MIN_N,MEDIAN(IF($AX$2:$AX$662=AX483,$O$2:$O$662)),MEDIAN(IF($AW$2:$AW$662=AW483,$O$2:$O$662)))))</f>
        <v/>
      </c>
      <c r="BD483" s="3">
        <f>IF(N(AO483)&gt;=MIN_N,"mercado "&amp;AP483,IF(BB483&gt;=MIN_N,"modelo+año+km",IF(BA483&gt;=MIN_N,"modelo+año","modelo")))</f>
        <v/>
      </c>
      <c r="BE483" s="4">
        <f>(BC483-O483)/BC483</f>
        <v/>
      </c>
      <c r="BF483" s="3">
        <f>IF(OR(K483="hibrido",K483="glp"),"ECO",IF(K483="electrico","CERO",IF(K483="gasolina",IF(M483&gt;=GAS_C,"C",IF(M483&gt;=GAS_B,"B","A")),IF(K483="diesel",IF(M483&gt;=DIE_C,"C",IF(M483&gt;=DIE_B,"B","A")),""))))</f>
        <v/>
      </c>
      <c r="BG483" s="3">
        <f>IFERROR(VLOOKUP(F483,MOD_TBL,11,0),IFERROR(VLOOKUP(E483,OCU_TBL,2,0),NEUTRO))</f>
        <v/>
      </c>
      <c r="BH483" s="3">
        <f>SUMIFS(MOT_AJUSTE,MOT_MOTOR,G483,MOT_MARCA,E483,MOT_DESDE,"&lt;="&amp;M483,MOT_HASTA,"&gt;="&amp;M483)+SUMIFS(MOT_AJUSTE,MOT_MOTOR,G483,MOT_MARCA,"(todas)",MOT_DESDE,"&lt;="&amp;M483,MOT_HASTA,"&gt;="&amp;M483)</f>
        <v/>
      </c>
      <c r="BI483" s="3">
        <f>SUMIFS(COMB_AJUSTE,COMB_COMB,K483)</f>
        <v/>
      </c>
      <c r="BJ483" s="3">
        <f>COUNTIFS(MOT_MOTOR,G483,MOT_MARCA,E483,MOT_DESDE,"&lt;="&amp;M483,MOT_HASTA,"&gt;="&amp;M483)+COUNTIFS(MOT_MOTOR,G483,MOT_MARCA,"(todas)",MOT_DESDE,"&lt;="&amp;M483,MOT_HASTA,"&gt;="&amp;M483)</f>
        <v/>
      </c>
      <c r="BK483" s="3">
        <f>IF(AND(K483="diesel",BJ483=0),MIN(BG483,NEUTRO),BG483)</f>
        <v/>
      </c>
      <c r="BL483" s="4">
        <f>MAX(0,MIN(100,BK483+BH483+BI483))</f>
        <v/>
      </c>
      <c r="BM483" s="3">
        <f>MAX(0,MIN(100,50+BE483*PRECIO_PEND))</f>
        <v/>
      </c>
      <c r="BN483" s="3">
        <f>MAX(0,100*(1-N483/KM_MAX))</f>
        <v/>
      </c>
      <c r="BO483" s="3">
        <f>IF(AV483&lt;KMA_SOSP,IF(AA483="sí",100,KMA_PEN),IF(AV483&lt;=KMA_IDEAL_MAX,100,MAX(0,100*(KMA_CERO-AV483)/(KMA_CERO-KMA_IDEAL_MAX))))</f>
        <v/>
      </c>
      <c r="BP483" s="3">
        <f>MAX(0,MIN(100,100*(M483-ANIO_MIN)/(ANIO_ACTUAL-ANIO_MIN)))</f>
        <v/>
      </c>
      <c r="BQ483" s="3">
        <f>W_KMT*BN483+W_KMA*BO483+W_EDAD*BP483</f>
        <v/>
      </c>
      <c r="BR483" s="3">
        <f>P_ITV*(V483="sí")+P_LIBRO*(W483="sí")+P_CORREA*(X483="sí")+P_PROP*(Y483=1)+P_GAR*(Z483="sí")+P_FOTOS*MIN(1,N(U483)/FOTOS_OBJ)</f>
        <v/>
      </c>
      <c r="BS483" s="3">
        <f>IFERROR(VLOOKUP(BF483,ETQ_TBL,2,0),NEUTRO)</f>
        <v/>
      </c>
      <c r="BT483" s="3">
        <f>NEUTRO</f>
        <v/>
      </c>
      <c r="BU483" s="3">
        <f>IFERROR(VLOOKUP(L483,SEGURO_TBL,3,0),"")</f>
        <v/>
      </c>
      <c r="BV483" s="3">
        <f>IF(BU483="",NEUTRO,MAX(0,MIN(100,100*(SEG_REF_MAX-BU483)/(SEG_REF_MAX-SEG_REF_MIN))))</f>
        <v/>
      </c>
      <c r="BW483" s="3">
        <f>W_ET*BS483+W_CONS*BT483+W_SEG*BV483</f>
        <v/>
      </c>
      <c r="BX483" s="3">
        <f>IF(N(AB483)&gt;0,AB483,IF(AND(R483="profesional",SG_LEGAL_ON=1),GAR_LEGAL,0))</f>
        <v/>
      </c>
      <c r="BY483" s="3">
        <f>SG_GAR*MIN(1,BX483/SG_GAR_FULL)+SG_AMPL*(AC483="sí")+SG_KMC*(AF483="sí")+SG_REV*(N(AE483)&gt;0)+SG_DEV*MIN(1,N(AG483)/SG_DEV_FULL)+SG_HIST*(W483="sí")</f>
        <v/>
      </c>
      <c r="BZ483" s="3">
        <f>IFERROR(VLOOKUP(L483,CARR_PEN_TBL,2,0),0)</f>
        <v/>
      </c>
      <c r="CA483" s="3">
        <f>W_FIAB*BL483+W_PRECIO*BM483+W_KMEDAD*BQ483+W_ANUNCIO*BR483+W_USO*BW483+W_SEGURIDAD*BY483-BZ483</f>
        <v/>
      </c>
      <c r="CB483" s="4">
        <f>IF(N(I483)&gt;0,I483,IFERROR(ROUND(_xlfn.NUMBERVALUE(LEFT(G483,FIND(" ",G483&amp;" ")-1),".")*1000,0),99999))</f>
        <v/>
      </c>
      <c r="CC483" s="3">
        <f>IF(R483="profesional",0,IF(O483&lt;CUOTA_VALOR_MAX,IF(AU483&gt;ITP_TRAMO_ALTO,SUMIFS(CF_CUOTA,CF_MAS,ITP_TRAMO_ALTO,CF_CCMIN,"&lt;="&amp;CB483,CF_CCMAX,"&gt;="&amp;CB483),IF(AU483&gt;ITP_TRAMO_BAJO,SUMIFS(CF_CUOTA,CF_MAS,ITP_TRAMO_BAJO,CF_CCMIN,"&lt;="&amp;CB483,CF_CCMAX,"&gt;="&amp;CB483),O483*ITP_TIPO)),O483*ITP_TIPO))</f>
        <v/>
      </c>
      <c r="CD483" s="4">
        <f>IF(R483="profesional",N(AK483),0)</f>
        <v/>
      </c>
      <c r="CE483" s="3">
        <f>IF(AND(R483="profesional",ISNUMBER(AK483),AL483="sí"),0,TASA_DGT)</f>
        <v/>
      </c>
      <c r="CF483" s="3">
        <f>INFORME_DGT</f>
        <v/>
      </c>
      <c r="CG483" s="4">
        <f>O483+CD483+CC483+CE483+CF483</f>
        <v/>
      </c>
      <c r="CH483" s="4">
        <f>CG483+N(BU483)</f>
        <v/>
      </c>
      <c r="CI483" s="3">
        <f>IF(CG483&lt;=TOTAL_MAX,"sí",IF(CG483&lt;=TOTAL_MAX+MARGEN_NEG,"negociar","no"))</f>
        <v/>
      </c>
      <c r="CJ483" s="4">
        <f>IF(CI483&lt;&gt;"no",COUNTIFS($CI$2:$CI$662,"&lt;&gt;no",$CA$2:$CA$662,"&gt;"&amp;CA483)+COUNTIFS($CI$2:CI483,"&lt;&gt;no",$CA$2:CA483,CA483),"")</f>
        <v/>
      </c>
    </row>
    <row r="484">
      <c r="A484" s="2" t="inlineStr">
        <is>
          <t>cochesnet:71487014</t>
        </is>
      </c>
      <c r="B484" s="2" t="inlineStr">
        <is>
          <t>cochesnet</t>
        </is>
      </c>
      <c r="C484" s="2" t="inlineStr">
        <is>
          <t>https://www.coches.net/citroen-c3-gasolina-2014-en-valencia-71487014-covo.aspx</t>
        </is>
      </c>
      <c r="D484" s="2" t="inlineStr">
        <is>
          <t>CITROEN C3</t>
        </is>
      </c>
      <c r="E484" s="2" t="inlineStr">
        <is>
          <t>Citroën</t>
        </is>
      </c>
      <c r="F484" s="2" t="inlineStr">
        <is>
          <t>Citroën C3</t>
        </is>
      </c>
      <c r="G484" s="2" t="n"/>
      <c r="H484" s="2" t="n"/>
      <c r="I484" s="2" t="n"/>
      <c r="J484" s="2" t="n"/>
      <c r="K484" s="2" t="inlineStr">
        <is>
          <t>gasolina</t>
        </is>
      </c>
      <c r="L484" s="2" t="inlineStr">
        <is>
          <t>utilitario</t>
        </is>
      </c>
      <c r="M484" s="2" t="n">
        <v>2014</v>
      </c>
      <c r="N484" s="2" t="n">
        <v>165000</v>
      </c>
      <c r="O484" s="2" t="n">
        <v>4700</v>
      </c>
      <c r="P484" s="2" t="inlineStr">
        <is>
          <t>manual</t>
        </is>
      </c>
      <c r="Q484" s="2" t="inlineStr">
        <is>
          <t>no</t>
        </is>
      </c>
      <c r="R484" s="2" t="inlineStr">
        <is>
          <t>particular</t>
        </is>
      </c>
      <c r="S484" s="2" t="n"/>
      <c r="T484" s="2" t="inlineStr">
        <is>
          <t>2026-09-10T14:27:54Z</t>
        </is>
      </c>
      <c r="U484" s="2" t="n">
        <v>6</v>
      </c>
      <c r="V484" s="2" t="n"/>
      <c r="W484" s="2" t="n"/>
      <c r="X484" s="2" t="n"/>
      <c r="Y484" s="2" t="n"/>
      <c r="Z484" s="2" t="inlineStr">
        <is>
          <t>no</t>
        </is>
      </c>
      <c r="AA484" s="2" t="n"/>
      <c r="AB484" s="2" t="n"/>
      <c r="AC484" s="2" t="n"/>
      <c r="AD484" s="2" t="n"/>
      <c r="AE484" s="2" t="n"/>
      <c r="AF484" s="2" t="n"/>
      <c r="AG484" s="2" t="n"/>
      <c r="AH484" s="2" t="n">
        <v>4700</v>
      </c>
      <c r="AI484" s="2" t="n"/>
      <c r="AJ484" s="2" t="n"/>
      <c r="AK484" s="2" t="n"/>
      <c r="AL484" s="2" t="n"/>
      <c r="AM484" s="2" t="n"/>
      <c r="AN484" s="2" t="n">
        <v>5500</v>
      </c>
      <c r="AO484" s="2" t="n">
        <v>17</v>
      </c>
      <c r="AP484" s="2" t="inlineStr">
        <is>
          <t>modelo+año</t>
        </is>
      </c>
      <c r="AQ484" s="2" t="n"/>
      <c r="AR484" s="2" t="inlineStr">
        <is>
          <t>por encima del presupuesto (5044 €), negociar; cilindrada desconocida: se aplica el tramo de cuota fija más alto; cuota fija ITP: &gt;5 y &lt;=12 años, más de 2.000 cc; distancia no verificable (el anuncio solo indica la provincia): confirmar que está a &lt;= 70 km</t>
        </is>
      </c>
      <c r="AS484" s="2" t="inlineStr">
        <is>
          <t xml:space="preserve">El coche esta muy bien conservado tanto interior como exterior . Muy poco consumo y muy manejable . Por favor gente seria . </t>
        </is>
      </c>
      <c r="AT484" s="2" t="inlineStr">
        <is>
          <t>https://www.coches.net/citroen-c3-gasolina-2014-en-valencia-71487014-covo.aspx (window.__INITIAL_PROPS__.ad) /home/user/Alopecia/buscador-coches/raw/cochesnet/f62e5d458027b037.json</t>
        </is>
      </c>
      <c r="AU484" s="3">
        <f>MAX(ANIO_ACTUAL-M484,0)</f>
        <v/>
      </c>
      <c r="AV484" s="4">
        <f>N484/MAX(AU484,0.5)</f>
        <v/>
      </c>
      <c r="AW484" s="4">
        <f>F484</f>
        <v/>
      </c>
      <c r="AX484" s="3">
        <f>AW484&amp;"|"&amp;INT(M484/SEG_ANIO)*SEG_ANIO</f>
        <v/>
      </c>
      <c r="AY484" s="3">
        <f>AX484&amp;"|"&amp;INT(N484/SEG_KM)*SEG_KM</f>
        <v/>
      </c>
      <c r="AZ484" s="4">
        <f>COUNTIF($AW$2:$AW$662,AW484)</f>
        <v/>
      </c>
      <c r="BA484" s="4">
        <f>COUNTIF($AX$2:$AX$662,AX484)</f>
        <v/>
      </c>
      <c r="BB484" s="4">
        <f>COUNTIF($AY$2:$AY$662,AY484)</f>
        <v/>
      </c>
      <c r="BC484" s="3">
        <f t="array" ref="BC484">IF(N(AO484)&gt;=MIN_N,AN484,IF(BB484&gt;=MIN_N,MEDIAN(IF($AY$2:$AY$662=AY484,$O$2:$O$662)),IF(BA484&gt;=MIN_N,MEDIAN(IF($AX$2:$AX$662=AX484,$O$2:$O$662)),MEDIAN(IF($AW$2:$AW$662=AW484,$O$2:$O$662)))))</f>
        <v/>
      </c>
      <c r="BD484" s="3">
        <f>IF(N(AO484)&gt;=MIN_N,"mercado "&amp;AP484,IF(BB484&gt;=MIN_N,"modelo+año+km",IF(BA484&gt;=MIN_N,"modelo+año","modelo")))</f>
        <v/>
      </c>
      <c r="BE484" s="4">
        <f>(BC484-O484)/BC484</f>
        <v/>
      </c>
      <c r="BF484" s="3">
        <f>IF(OR(K484="hibrido",K484="glp"),"ECO",IF(K484="electrico","CERO",IF(K484="gasolina",IF(M484&gt;=GAS_C,"C",IF(M484&gt;=GAS_B,"B","A")),IF(K484="diesel",IF(M484&gt;=DIE_C,"C",IF(M484&gt;=DIE_B,"B","A")),""))))</f>
        <v/>
      </c>
      <c r="BG484" s="3">
        <f>IFERROR(VLOOKUP(F484,MOD_TBL,11,0),IFERROR(VLOOKUP(E484,OCU_TBL,2,0),NEUTRO))</f>
        <v/>
      </c>
      <c r="BH484" s="3">
        <f>SUMIFS(MOT_AJUSTE,MOT_MOTOR,G484,MOT_MARCA,E484,MOT_DESDE,"&lt;="&amp;M484,MOT_HASTA,"&gt;="&amp;M484)+SUMIFS(MOT_AJUSTE,MOT_MOTOR,G484,MOT_MARCA,"(todas)",MOT_DESDE,"&lt;="&amp;M484,MOT_HASTA,"&gt;="&amp;M484)</f>
        <v/>
      </c>
      <c r="BI484" s="3">
        <f>SUMIFS(COMB_AJUSTE,COMB_COMB,K484)</f>
        <v/>
      </c>
      <c r="BJ484" s="3">
        <f>COUNTIFS(MOT_MOTOR,G484,MOT_MARCA,E484,MOT_DESDE,"&lt;="&amp;M484,MOT_HASTA,"&gt;="&amp;M484)+COUNTIFS(MOT_MOTOR,G484,MOT_MARCA,"(todas)",MOT_DESDE,"&lt;="&amp;M484,MOT_HASTA,"&gt;="&amp;M484)</f>
        <v/>
      </c>
      <c r="BK484" s="3">
        <f>IF(AND(K484="diesel",BJ484=0),MIN(BG484,NEUTRO),BG484)</f>
        <v/>
      </c>
      <c r="BL484" s="4">
        <f>MAX(0,MIN(100,BK484+BH484+BI484))</f>
        <v/>
      </c>
      <c r="BM484" s="3">
        <f>MAX(0,MIN(100,50+BE484*PRECIO_PEND))</f>
        <v/>
      </c>
      <c r="BN484" s="3">
        <f>MAX(0,100*(1-N484/KM_MAX))</f>
        <v/>
      </c>
      <c r="BO484" s="3">
        <f>IF(AV484&lt;KMA_SOSP,IF(AA484="sí",100,KMA_PEN),IF(AV484&lt;=KMA_IDEAL_MAX,100,MAX(0,100*(KMA_CERO-AV484)/(KMA_CERO-KMA_IDEAL_MAX))))</f>
        <v/>
      </c>
      <c r="BP484" s="3">
        <f>MAX(0,MIN(100,100*(M484-ANIO_MIN)/(ANIO_ACTUAL-ANIO_MIN)))</f>
        <v/>
      </c>
      <c r="BQ484" s="3">
        <f>W_KMT*BN484+W_KMA*BO484+W_EDAD*BP484</f>
        <v/>
      </c>
      <c r="BR484" s="3">
        <f>P_ITV*(V484="sí")+P_LIBRO*(W484="sí")+P_CORREA*(X484="sí")+P_PROP*(Y484=1)+P_GAR*(Z484="sí")+P_FOTOS*MIN(1,N(U484)/FOTOS_OBJ)</f>
        <v/>
      </c>
      <c r="BS484" s="3">
        <f>IFERROR(VLOOKUP(BF484,ETQ_TBL,2,0),NEUTRO)</f>
        <v/>
      </c>
      <c r="BT484" s="3">
        <f>NEUTRO</f>
        <v/>
      </c>
      <c r="BU484" s="3">
        <f>IFERROR(VLOOKUP(L484,SEGURO_TBL,3,0),"")</f>
        <v/>
      </c>
      <c r="BV484" s="3">
        <f>IF(BU484="",NEUTRO,MAX(0,MIN(100,100*(SEG_REF_MAX-BU484)/(SEG_REF_MAX-SEG_REF_MIN))))</f>
        <v/>
      </c>
      <c r="BW484" s="3">
        <f>W_ET*BS484+W_CONS*BT484+W_SEG*BV484</f>
        <v/>
      </c>
      <c r="BX484" s="3">
        <f>IF(N(AB484)&gt;0,AB484,IF(AND(R484="profesional",SG_LEGAL_ON=1),GAR_LEGAL,0))</f>
        <v/>
      </c>
      <c r="BY484" s="3">
        <f>SG_GAR*MIN(1,BX484/SG_GAR_FULL)+SG_AMPL*(AC484="sí")+SG_KMC*(AF484="sí")+SG_REV*(N(AE484)&gt;0)+SG_DEV*MIN(1,N(AG484)/SG_DEV_FULL)+SG_HIST*(W484="sí")</f>
        <v/>
      </c>
      <c r="BZ484" s="3">
        <f>IFERROR(VLOOKUP(L484,CARR_PEN_TBL,2,0),0)</f>
        <v/>
      </c>
      <c r="CA484" s="3">
        <f>W_FIAB*BL484+W_PRECIO*BM484+W_KMEDAD*BQ484+W_ANUNCIO*BR484+W_USO*BW484+W_SEGURIDAD*BY484-BZ484</f>
        <v/>
      </c>
      <c r="CB484" s="4">
        <f>IF(N(I484)&gt;0,I484,IFERROR(ROUND(_xlfn.NUMBERVALUE(LEFT(G484,FIND(" ",G484&amp;" ")-1),".")*1000,0),99999))</f>
        <v/>
      </c>
      <c r="CC484" s="3">
        <f>IF(R484="profesional",0,IF(O484&lt;CUOTA_VALOR_MAX,IF(AU484&gt;ITP_TRAMO_ALTO,SUMIFS(CF_CUOTA,CF_MAS,ITP_TRAMO_ALTO,CF_CCMIN,"&lt;="&amp;CB484,CF_CCMAX,"&gt;="&amp;CB484),IF(AU484&gt;ITP_TRAMO_BAJO,SUMIFS(CF_CUOTA,CF_MAS,ITP_TRAMO_BAJO,CF_CCMIN,"&lt;="&amp;CB484,CF_CCMAX,"&gt;="&amp;CB484),O484*ITP_TIPO)),O484*ITP_TIPO))</f>
        <v/>
      </c>
      <c r="CD484" s="4">
        <f>IF(R484="profesional",N(AK484),0)</f>
        <v/>
      </c>
      <c r="CE484" s="3">
        <f>IF(AND(R484="profesional",ISNUMBER(AK484),AL484="sí"),0,TASA_DGT)</f>
        <v/>
      </c>
      <c r="CF484" s="3">
        <f>INFORME_DGT</f>
        <v/>
      </c>
      <c r="CG484" s="4">
        <f>O484+CD484+CC484+CE484+CF484</f>
        <v/>
      </c>
      <c r="CH484" s="4">
        <f>CG484+N(BU484)</f>
        <v/>
      </c>
      <c r="CI484" s="3">
        <f>IF(CG484&lt;=TOTAL_MAX,"sí",IF(CG484&lt;=TOTAL_MAX+MARGEN_NEG,"negociar","no"))</f>
        <v/>
      </c>
      <c r="CJ484" s="4">
        <f>IF(CI484&lt;&gt;"no",COUNTIFS($CI$2:$CI$662,"&lt;&gt;no",$CA$2:$CA$662,"&gt;"&amp;CA484)+COUNTIFS($CI$2:CI484,"&lt;&gt;no",$CA$2:CA484,CA484),"")</f>
        <v/>
      </c>
    </row>
    <row r="485">
      <c r="A485" s="2" t="inlineStr">
        <is>
          <t>cochesnet:71438007</t>
        </is>
      </c>
      <c r="B485" s="2" t="inlineStr">
        <is>
          <t>cochesnet</t>
        </is>
      </c>
      <c r="C485" s="2" t="inlineStr">
        <is>
          <t>https://www.coches.net/citroen-c3-11i-sx-5p-gasolina-2006-en-valencia-71438007-covo.aspx</t>
        </is>
      </c>
      <c r="D485" s="2" t="inlineStr">
        <is>
          <t>CITROEN C3 1.1i SX</t>
        </is>
      </c>
      <c r="E485" s="2" t="inlineStr">
        <is>
          <t>Citroën</t>
        </is>
      </c>
      <c r="F485" s="2" t="inlineStr">
        <is>
          <t>Citroën C3</t>
        </is>
      </c>
      <c r="G485" s="2" t="inlineStr">
        <is>
          <t>1.1</t>
        </is>
      </c>
      <c r="H485" s="2" t="n"/>
      <c r="I485" s="2" t="n"/>
      <c r="J485" s="2" t="n"/>
      <c r="K485" s="2" t="inlineStr">
        <is>
          <t>gasolina</t>
        </is>
      </c>
      <c r="L485" s="2" t="inlineStr">
        <is>
          <t>utilitario</t>
        </is>
      </c>
      <c r="M485" s="2" t="n">
        <v>2006</v>
      </c>
      <c r="N485" s="2" t="n">
        <v>99800</v>
      </c>
      <c r="O485" s="2" t="n">
        <v>3000</v>
      </c>
      <c r="P485" s="2" t="n"/>
      <c r="Q485" s="2" t="n"/>
      <c r="R485" s="2" t="inlineStr">
        <is>
          <t>particular</t>
        </is>
      </c>
      <c r="S485" s="2" t="inlineStr">
        <is>
          <t>Albal</t>
        </is>
      </c>
      <c r="T485" s="2" t="inlineStr">
        <is>
          <t>2026-09-03T22:36:09Z</t>
        </is>
      </c>
      <c r="U485" s="2" t="n">
        <v>12</v>
      </c>
      <c r="V485" s="2" t="n"/>
      <c r="W485" s="2" t="n"/>
      <c r="X485" s="2" t="n"/>
      <c r="Y485" s="2" t="n"/>
      <c r="Z485" s="2" t="inlineStr">
        <is>
          <t>no</t>
        </is>
      </c>
      <c r="AA485" s="2" t="n"/>
      <c r="AB485" s="2" t="n"/>
      <c r="AC485" s="2" t="n"/>
      <c r="AD485" s="2" t="n"/>
      <c r="AE485" s="2" t="n"/>
      <c r="AF485" s="2" t="n"/>
      <c r="AG485" s="2" t="n"/>
      <c r="AH485" s="2" t="n">
        <v>3000</v>
      </c>
      <c r="AI485" s="2" t="n"/>
      <c r="AJ485" s="2" t="n"/>
      <c r="AK485" s="2" t="n"/>
      <c r="AL485" s="2" t="n"/>
      <c r="AM485" s="2" t="n"/>
      <c r="AN485" s="2" t="n">
        <v>4295</v>
      </c>
      <c r="AO485" s="2" t="n">
        <v>7</v>
      </c>
      <c r="AP485" s="2" t="inlineStr">
        <is>
          <t>modelo+año+km</t>
        </is>
      </c>
      <c r="AQ485" s="2" t="n"/>
      <c r="AR485" s="2" t="inlineStr">
        <is>
          <t>cuota fija ITP: &gt;12 años, hasta 1.500 cc; distancia no verificable (el anuncio solo indica la provincia): confirmar que está a &lt;= 70 km</t>
        </is>
      </c>
      <c r="AS485" s="2" t="inlineStr"/>
      <c r="AT485" s="2" t="inlineStr">
        <is>
          <t>https://www.coches.net/citroen/c3/segunda-mano/valencia/?pg=5 /home/user/Alopecia/buscador-coches/raw/cochesnet/9f629b79f08e8c33.json</t>
        </is>
      </c>
      <c r="AU485" s="3">
        <f>MAX(ANIO_ACTUAL-M485,0)</f>
        <v/>
      </c>
      <c r="AV485" s="4">
        <f>N485/MAX(AU485,0.5)</f>
        <v/>
      </c>
      <c r="AW485" s="4">
        <f>F485</f>
        <v/>
      </c>
      <c r="AX485" s="3">
        <f>AW485&amp;"|"&amp;INT(M485/SEG_ANIO)*SEG_ANIO</f>
        <v/>
      </c>
      <c r="AY485" s="3">
        <f>AX485&amp;"|"&amp;INT(N485/SEG_KM)*SEG_KM</f>
        <v/>
      </c>
      <c r="AZ485" s="4">
        <f>COUNTIF($AW$2:$AW$662,AW485)</f>
        <v/>
      </c>
      <c r="BA485" s="4">
        <f>COUNTIF($AX$2:$AX$662,AX485)</f>
        <v/>
      </c>
      <c r="BB485" s="4">
        <f>COUNTIF($AY$2:$AY$662,AY485)</f>
        <v/>
      </c>
      <c r="BC485" s="3">
        <f t="array" ref="BC485">IF(N(AO485)&gt;=MIN_N,AN485,IF(BB485&gt;=MIN_N,MEDIAN(IF($AY$2:$AY$662=AY485,$O$2:$O$662)),IF(BA485&gt;=MIN_N,MEDIAN(IF($AX$2:$AX$662=AX485,$O$2:$O$662)),MEDIAN(IF($AW$2:$AW$662=AW485,$O$2:$O$662)))))</f>
        <v/>
      </c>
      <c r="BD485" s="3">
        <f>IF(N(AO485)&gt;=MIN_N,"mercado "&amp;AP485,IF(BB485&gt;=MIN_N,"modelo+año+km",IF(BA485&gt;=MIN_N,"modelo+año","modelo")))</f>
        <v/>
      </c>
      <c r="BE485" s="4">
        <f>(BC485-O485)/BC485</f>
        <v/>
      </c>
      <c r="BF485" s="3">
        <f>IF(OR(K485="hibrido",K485="glp"),"ECO",IF(K485="electrico","CERO",IF(K485="gasolina",IF(M485&gt;=GAS_C,"C",IF(M485&gt;=GAS_B,"B","A")),IF(K485="diesel",IF(M485&gt;=DIE_C,"C",IF(M485&gt;=DIE_B,"B","A")),""))))</f>
        <v/>
      </c>
      <c r="BG485" s="3">
        <f>IFERROR(VLOOKUP(F485,MOD_TBL,11,0),IFERROR(VLOOKUP(E485,OCU_TBL,2,0),NEUTRO))</f>
        <v/>
      </c>
      <c r="BH485" s="3">
        <f>SUMIFS(MOT_AJUSTE,MOT_MOTOR,G485,MOT_MARCA,E485,MOT_DESDE,"&lt;="&amp;M485,MOT_HASTA,"&gt;="&amp;M485)+SUMIFS(MOT_AJUSTE,MOT_MOTOR,G485,MOT_MARCA,"(todas)",MOT_DESDE,"&lt;="&amp;M485,MOT_HASTA,"&gt;="&amp;M485)</f>
        <v/>
      </c>
      <c r="BI485" s="3">
        <f>SUMIFS(COMB_AJUSTE,COMB_COMB,K485)</f>
        <v/>
      </c>
      <c r="BJ485" s="3">
        <f>COUNTIFS(MOT_MOTOR,G485,MOT_MARCA,E485,MOT_DESDE,"&lt;="&amp;M485,MOT_HASTA,"&gt;="&amp;M485)+COUNTIFS(MOT_MOTOR,G485,MOT_MARCA,"(todas)",MOT_DESDE,"&lt;="&amp;M485,MOT_HASTA,"&gt;="&amp;M485)</f>
        <v/>
      </c>
      <c r="BK485" s="3">
        <f>IF(AND(K485="diesel",BJ485=0),MIN(BG485,NEUTRO),BG485)</f>
        <v/>
      </c>
      <c r="BL485" s="4">
        <f>MAX(0,MIN(100,BK485+BH485+BI485))</f>
        <v/>
      </c>
      <c r="BM485" s="3">
        <f>MAX(0,MIN(100,50+BE485*PRECIO_PEND))</f>
        <v/>
      </c>
      <c r="BN485" s="3">
        <f>MAX(0,100*(1-N485/KM_MAX))</f>
        <v/>
      </c>
      <c r="BO485" s="3">
        <f>IF(AV485&lt;KMA_SOSP,IF(AA485="sí",100,KMA_PEN),IF(AV485&lt;=KMA_IDEAL_MAX,100,MAX(0,100*(KMA_CERO-AV485)/(KMA_CERO-KMA_IDEAL_MAX))))</f>
        <v/>
      </c>
      <c r="BP485" s="3">
        <f>MAX(0,MIN(100,100*(M485-ANIO_MIN)/(ANIO_ACTUAL-ANIO_MIN)))</f>
        <v/>
      </c>
      <c r="BQ485" s="3">
        <f>W_KMT*BN485+W_KMA*BO485+W_EDAD*BP485</f>
        <v/>
      </c>
      <c r="BR485" s="3">
        <f>P_ITV*(V485="sí")+P_LIBRO*(W485="sí")+P_CORREA*(X485="sí")+P_PROP*(Y485=1)+P_GAR*(Z485="sí")+P_FOTOS*MIN(1,N(U485)/FOTOS_OBJ)</f>
        <v/>
      </c>
      <c r="BS485" s="3">
        <f>IFERROR(VLOOKUP(BF485,ETQ_TBL,2,0),NEUTRO)</f>
        <v/>
      </c>
      <c r="BT485" s="3">
        <f>NEUTRO</f>
        <v/>
      </c>
      <c r="BU485" s="3">
        <f>IFERROR(VLOOKUP(L485,SEGURO_TBL,3,0),"")</f>
        <v/>
      </c>
      <c r="BV485" s="3">
        <f>IF(BU485="",NEUTRO,MAX(0,MIN(100,100*(SEG_REF_MAX-BU485)/(SEG_REF_MAX-SEG_REF_MIN))))</f>
        <v/>
      </c>
      <c r="BW485" s="3">
        <f>W_ET*BS485+W_CONS*BT485+W_SEG*BV485</f>
        <v/>
      </c>
      <c r="BX485" s="3">
        <f>IF(N(AB485)&gt;0,AB485,IF(AND(R485="profesional",SG_LEGAL_ON=1),GAR_LEGAL,0))</f>
        <v/>
      </c>
      <c r="BY485" s="3">
        <f>SG_GAR*MIN(1,BX485/SG_GAR_FULL)+SG_AMPL*(AC485="sí")+SG_KMC*(AF485="sí")+SG_REV*(N(AE485)&gt;0)+SG_DEV*MIN(1,N(AG485)/SG_DEV_FULL)+SG_HIST*(W485="sí")</f>
        <v/>
      </c>
      <c r="BZ485" s="3">
        <f>IFERROR(VLOOKUP(L485,CARR_PEN_TBL,2,0),0)</f>
        <v/>
      </c>
      <c r="CA485" s="3">
        <f>W_FIAB*BL485+W_PRECIO*BM485+W_KMEDAD*BQ485+W_ANUNCIO*BR485+W_USO*BW485+W_SEGURIDAD*BY485-BZ485</f>
        <v/>
      </c>
      <c r="CB485" s="4">
        <f>IF(N(I485)&gt;0,I485,IFERROR(ROUND(_xlfn.NUMBERVALUE(LEFT(G485,FIND(" ",G485&amp;" ")-1),".")*1000,0),99999))</f>
        <v/>
      </c>
      <c r="CC485" s="3">
        <f>IF(R485="profesional",0,IF(O485&lt;CUOTA_VALOR_MAX,IF(AU485&gt;ITP_TRAMO_ALTO,SUMIFS(CF_CUOTA,CF_MAS,ITP_TRAMO_ALTO,CF_CCMIN,"&lt;="&amp;CB485,CF_CCMAX,"&gt;="&amp;CB485),IF(AU485&gt;ITP_TRAMO_BAJO,SUMIFS(CF_CUOTA,CF_MAS,ITP_TRAMO_BAJO,CF_CCMIN,"&lt;="&amp;CB485,CF_CCMAX,"&gt;="&amp;CB485),O485*ITP_TIPO)),O485*ITP_TIPO))</f>
        <v/>
      </c>
      <c r="CD485" s="4">
        <f>IF(R485="profesional",N(AK485),0)</f>
        <v/>
      </c>
      <c r="CE485" s="3">
        <f>IF(AND(R485="profesional",ISNUMBER(AK485),AL485="sí"),0,TASA_DGT)</f>
        <v/>
      </c>
      <c r="CF485" s="3">
        <f>INFORME_DGT</f>
        <v/>
      </c>
      <c r="CG485" s="4">
        <f>O485+CD485+CC485+CE485+CF485</f>
        <v/>
      </c>
      <c r="CH485" s="4">
        <f>CG485+N(BU485)</f>
        <v/>
      </c>
      <c r="CI485" s="3">
        <f>IF(CG485&lt;=TOTAL_MAX,"sí",IF(CG485&lt;=TOTAL_MAX+MARGEN_NEG,"negociar","no"))</f>
        <v/>
      </c>
      <c r="CJ485" s="4">
        <f>IF(CI485&lt;&gt;"no",COUNTIFS($CI$2:$CI$662,"&lt;&gt;no",$CA$2:$CA$662,"&gt;"&amp;CA485)+COUNTIFS($CI$2:CI485,"&lt;&gt;no",$CA$2:CA485,CA485),"")</f>
        <v/>
      </c>
    </row>
    <row r="486">
      <c r="A486" s="2" t="inlineStr">
        <is>
          <t>cochesnet:71427611</t>
        </is>
      </c>
      <c r="B486" s="2" t="inlineStr">
        <is>
          <t>cochesnet</t>
        </is>
      </c>
      <c r="C486" s="2" t="inlineStr">
        <is>
          <t>https://www.coches.net/citroen-c3-gasolina-2006-en-valencia-71427611-covo.aspx</t>
        </is>
      </c>
      <c r="D486" s="2" t="inlineStr">
        <is>
          <t>CITROEN C3</t>
        </is>
      </c>
      <c r="E486" s="2" t="inlineStr">
        <is>
          <t>Citroën</t>
        </is>
      </c>
      <c r="F486" s="2" t="inlineStr">
        <is>
          <t>Citroën C3</t>
        </is>
      </c>
      <c r="G486" s="2" t="n"/>
      <c r="H486" s="2" t="n"/>
      <c r="I486" s="2" t="n"/>
      <c r="J486" s="2" t="n"/>
      <c r="K486" s="2" t="inlineStr">
        <is>
          <t>gasolina</t>
        </is>
      </c>
      <c r="L486" s="2" t="inlineStr">
        <is>
          <t>utilitario</t>
        </is>
      </c>
      <c r="M486" s="2" t="n">
        <v>2006</v>
      </c>
      <c r="N486" s="2" t="n">
        <v>160000</v>
      </c>
      <c r="O486" s="2" t="n">
        <v>2250</v>
      </c>
      <c r="P486" s="2" t="inlineStr">
        <is>
          <t>manual</t>
        </is>
      </c>
      <c r="Q486" s="2" t="inlineStr">
        <is>
          <t>no</t>
        </is>
      </c>
      <c r="R486" s="2" t="inlineStr">
        <is>
          <t>particular</t>
        </is>
      </c>
      <c r="S486" s="2" t="n"/>
      <c r="T486" s="2" t="inlineStr">
        <is>
          <t>2026-09-02T16:05:34Z</t>
        </is>
      </c>
      <c r="U486" s="2" t="n">
        <v>9</v>
      </c>
      <c r="V486" s="2" t="inlineStr">
        <is>
          <t>sí</t>
        </is>
      </c>
      <c r="W486" s="2" t="n"/>
      <c r="X486" s="2" t="n"/>
      <c r="Y486" s="2" t="n"/>
      <c r="Z486" s="2" t="inlineStr">
        <is>
          <t>no</t>
        </is>
      </c>
      <c r="AA486" s="2" t="n"/>
      <c r="AB486" s="2" t="n"/>
      <c r="AC486" s="2" t="n"/>
      <c r="AD486" s="2" t="n"/>
      <c r="AE486" s="2" t="n"/>
      <c r="AF486" s="2" t="n"/>
      <c r="AG486" s="2" t="n"/>
      <c r="AH486" s="2" t="n">
        <v>2250</v>
      </c>
      <c r="AI486" s="2" t="n"/>
      <c r="AJ486" s="2" t="n"/>
      <c r="AK486" s="2" t="n"/>
      <c r="AL486" s="2" t="n"/>
      <c r="AM486" s="2" t="n"/>
      <c r="AN486" s="2" t="n">
        <v>2525</v>
      </c>
      <c r="AO486" s="2" t="n">
        <v>14</v>
      </c>
      <c r="AP486" s="2" t="inlineStr">
        <is>
          <t>modelo+año+km</t>
        </is>
      </c>
      <c r="AQ486" s="2" t="n"/>
      <c r="AR486" s="2" t="inlineStr">
        <is>
          <t>cilindrada desconocida: se aplica el tramo de cuota fija más alto; cuota fija ITP: &gt;12 años, más de 2.000 cc; distancia no verificable (el anuncio solo indica la provincia): confirmar que está a &lt;= 70 km</t>
        </is>
      </c>
      <c r="AS486" s="2" t="inlineStr">
        <is>
          <t>se vende Citroen C3 1.1 gasolina del año 2006,un coche práctico, cómodo y económico ideal tanto para ciudad como el día a día con etiqueta medioambiental C y itv en vigor hasta octubre 2026
extras:
elevalunas eléctricos adelanteros
aire acondicionado 
radio 
espejos eléctricos 
para más información llámame en WhatsApp</t>
        </is>
      </c>
      <c r="AT486" s="2" t="inlineStr">
        <is>
          <t>https://www.coches.net/citroen-c3-gasolina-2006-en-valencia-71427611-covo.aspx (window.__INITIAL_PROPS__.ad) /home/user/Alopecia/buscador-coches/raw/cochesnet/26d2e48197da7441.json</t>
        </is>
      </c>
      <c r="AU486" s="3">
        <f>MAX(ANIO_ACTUAL-M486,0)</f>
        <v/>
      </c>
      <c r="AV486" s="4">
        <f>N486/MAX(AU486,0.5)</f>
        <v/>
      </c>
      <c r="AW486" s="4">
        <f>F486</f>
        <v/>
      </c>
      <c r="AX486" s="3">
        <f>AW486&amp;"|"&amp;INT(M486/SEG_ANIO)*SEG_ANIO</f>
        <v/>
      </c>
      <c r="AY486" s="3">
        <f>AX486&amp;"|"&amp;INT(N486/SEG_KM)*SEG_KM</f>
        <v/>
      </c>
      <c r="AZ486" s="4">
        <f>COUNTIF($AW$2:$AW$662,AW486)</f>
        <v/>
      </c>
      <c r="BA486" s="4">
        <f>COUNTIF($AX$2:$AX$662,AX486)</f>
        <v/>
      </c>
      <c r="BB486" s="4">
        <f>COUNTIF($AY$2:$AY$662,AY486)</f>
        <v/>
      </c>
      <c r="BC486" s="3">
        <f t="array" ref="BC486">IF(N(AO486)&gt;=MIN_N,AN486,IF(BB486&gt;=MIN_N,MEDIAN(IF($AY$2:$AY$662=AY486,$O$2:$O$662)),IF(BA486&gt;=MIN_N,MEDIAN(IF($AX$2:$AX$662=AX486,$O$2:$O$662)),MEDIAN(IF($AW$2:$AW$662=AW486,$O$2:$O$662)))))</f>
        <v/>
      </c>
      <c r="BD486" s="3">
        <f>IF(N(AO486)&gt;=MIN_N,"mercado "&amp;AP486,IF(BB486&gt;=MIN_N,"modelo+año+km",IF(BA486&gt;=MIN_N,"modelo+año","modelo")))</f>
        <v/>
      </c>
      <c r="BE486" s="4">
        <f>(BC486-O486)/BC486</f>
        <v/>
      </c>
      <c r="BF486" s="3">
        <f>IF(OR(K486="hibrido",K486="glp"),"ECO",IF(K486="electrico","CERO",IF(K486="gasolina",IF(M486&gt;=GAS_C,"C",IF(M486&gt;=GAS_B,"B","A")),IF(K486="diesel",IF(M486&gt;=DIE_C,"C",IF(M486&gt;=DIE_B,"B","A")),""))))</f>
        <v/>
      </c>
      <c r="BG486" s="3">
        <f>IFERROR(VLOOKUP(F486,MOD_TBL,11,0),IFERROR(VLOOKUP(E486,OCU_TBL,2,0),NEUTRO))</f>
        <v/>
      </c>
      <c r="BH486" s="3">
        <f>SUMIFS(MOT_AJUSTE,MOT_MOTOR,G486,MOT_MARCA,E486,MOT_DESDE,"&lt;="&amp;M486,MOT_HASTA,"&gt;="&amp;M486)+SUMIFS(MOT_AJUSTE,MOT_MOTOR,G486,MOT_MARCA,"(todas)",MOT_DESDE,"&lt;="&amp;M486,MOT_HASTA,"&gt;="&amp;M486)</f>
        <v/>
      </c>
      <c r="BI486" s="3">
        <f>SUMIFS(COMB_AJUSTE,COMB_COMB,K486)</f>
        <v/>
      </c>
      <c r="BJ486" s="3">
        <f>COUNTIFS(MOT_MOTOR,G486,MOT_MARCA,E486,MOT_DESDE,"&lt;="&amp;M486,MOT_HASTA,"&gt;="&amp;M486)+COUNTIFS(MOT_MOTOR,G486,MOT_MARCA,"(todas)",MOT_DESDE,"&lt;="&amp;M486,MOT_HASTA,"&gt;="&amp;M486)</f>
        <v/>
      </c>
      <c r="BK486" s="3">
        <f>IF(AND(K486="diesel",BJ486=0),MIN(BG486,NEUTRO),BG486)</f>
        <v/>
      </c>
      <c r="BL486" s="4">
        <f>MAX(0,MIN(100,BK486+BH486+BI486))</f>
        <v/>
      </c>
      <c r="BM486" s="3">
        <f>MAX(0,MIN(100,50+BE486*PRECIO_PEND))</f>
        <v/>
      </c>
      <c r="BN486" s="3">
        <f>MAX(0,100*(1-N486/KM_MAX))</f>
        <v/>
      </c>
      <c r="BO486" s="3">
        <f>IF(AV486&lt;KMA_SOSP,IF(AA486="sí",100,KMA_PEN),IF(AV486&lt;=KMA_IDEAL_MAX,100,MAX(0,100*(KMA_CERO-AV486)/(KMA_CERO-KMA_IDEAL_MAX))))</f>
        <v/>
      </c>
      <c r="BP486" s="3">
        <f>MAX(0,MIN(100,100*(M486-ANIO_MIN)/(ANIO_ACTUAL-ANIO_MIN)))</f>
        <v/>
      </c>
      <c r="BQ486" s="3">
        <f>W_KMT*BN486+W_KMA*BO486+W_EDAD*BP486</f>
        <v/>
      </c>
      <c r="BR486" s="3">
        <f>P_ITV*(V486="sí")+P_LIBRO*(W486="sí")+P_CORREA*(X486="sí")+P_PROP*(Y486=1)+P_GAR*(Z486="sí")+P_FOTOS*MIN(1,N(U486)/FOTOS_OBJ)</f>
        <v/>
      </c>
      <c r="BS486" s="3">
        <f>IFERROR(VLOOKUP(BF486,ETQ_TBL,2,0),NEUTRO)</f>
        <v/>
      </c>
      <c r="BT486" s="3">
        <f>NEUTRO</f>
        <v/>
      </c>
      <c r="BU486" s="3">
        <f>IFERROR(VLOOKUP(L486,SEGURO_TBL,3,0),"")</f>
        <v/>
      </c>
      <c r="BV486" s="3">
        <f>IF(BU486="",NEUTRO,MAX(0,MIN(100,100*(SEG_REF_MAX-BU486)/(SEG_REF_MAX-SEG_REF_MIN))))</f>
        <v/>
      </c>
      <c r="BW486" s="3">
        <f>W_ET*BS486+W_CONS*BT486+W_SEG*BV486</f>
        <v/>
      </c>
      <c r="BX486" s="3">
        <f>IF(N(AB486)&gt;0,AB486,IF(AND(R486="profesional",SG_LEGAL_ON=1),GAR_LEGAL,0))</f>
        <v/>
      </c>
      <c r="BY486" s="3">
        <f>SG_GAR*MIN(1,BX486/SG_GAR_FULL)+SG_AMPL*(AC486="sí")+SG_KMC*(AF486="sí")+SG_REV*(N(AE486)&gt;0)+SG_DEV*MIN(1,N(AG486)/SG_DEV_FULL)+SG_HIST*(W486="sí")</f>
        <v/>
      </c>
      <c r="BZ486" s="3">
        <f>IFERROR(VLOOKUP(L486,CARR_PEN_TBL,2,0),0)</f>
        <v/>
      </c>
      <c r="CA486" s="3">
        <f>W_FIAB*BL486+W_PRECIO*BM486+W_KMEDAD*BQ486+W_ANUNCIO*BR486+W_USO*BW486+W_SEGURIDAD*BY486-BZ486</f>
        <v/>
      </c>
      <c r="CB486" s="4">
        <f>IF(N(I486)&gt;0,I486,IFERROR(ROUND(_xlfn.NUMBERVALUE(LEFT(G486,FIND(" ",G486&amp;" ")-1),".")*1000,0),99999))</f>
        <v/>
      </c>
      <c r="CC486" s="3">
        <f>IF(R486="profesional",0,IF(O486&lt;CUOTA_VALOR_MAX,IF(AU486&gt;ITP_TRAMO_ALTO,SUMIFS(CF_CUOTA,CF_MAS,ITP_TRAMO_ALTO,CF_CCMIN,"&lt;="&amp;CB486,CF_CCMAX,"&gt;="&amp;CB486),IF(AU486&gt;ITP_TRAMO_BAJO,SUMIFS(CF_CUOTA,CF_MAS,ITP_TRAMO_BAJO,CF_CCMIN,"&lt;="&amp;CB486,CF_CCMAX,"&gt;="&amp;CB486),O486*ITP_TIPO)),O486*ITP_TIPO))</f>
        <v/>
      </c>
      <c r="CD486" s="4">
        <f>IF(R486="profesional",N(AK486),0)</f>
        <v/>
      </c>
      <c r="CE486" s="3">
        <f>IF(AND(R486="profesional",ISNUMBER(AK486),AL486="sí"),0,TASA_DGT)</f>
        <v/>
      </c>
      <c r="CF486" s="3">
        <f>INFORME_DGT</f>
        <v/>
      </c>
      <c r="CG486" s="4">
        <f>O486+CD486+CC486+CE486+CF486</f>
        <v/>
      </c>
      <c r="CH486" s="4">
        <f>CG486+N(BU486)</f>
        <v/>
      </c>
      <c r="CI486" s="3">
        <f>IF(CG486&lt;=TOTAL_MAX,"sí",IF(CG486&lt;=TOTAL_MAX+MARGEN_NEG,"negociar","no"))</f>
        <v/>
      </c>
      <c r="CJ486" s="4">
        <f>IF(CI486&lt;&gt;"no",COUNTIFS($CI$2:$CI$662,"&lt;&gt;no",$CA$2:$CA$662,"&gt;"&amp;CA486)+COUNTIFS($CI$2:CI486,"&lt;&gt;no",$CA$2:CA486,CA486),"")</f>
        <v/>
      </c>
    </row>
    <row r="487">
      <c r="A487" s="2" t="inlineStr">
        <is>
          <t>cochesnet:71399382</t>
        </is>
      </c>
      <c r="B487" s="2" t="inlineStr">
        <is>
          <t>cochesnet</t>
        </is>
      </c>
      <c r="C487" s="2" t="inlineStr">
        <is>
          <t>https://www.coches.net/citroen-c3-14i-sx-5p-gasolina-2012-en-valencia-71399382-covo.aspx</t>
        </is>
      </c>
      <c r="D487" s="2" t="inlineStr">
        <is>
          <t>CITROEN C3 1.4i SX</t>
        </is>
      </c>
      <c r="E487" s="2" t="inlineStr">
        <is>
          <t>Citroën</t>
        </is>
      </c>
      <c r="F487" s="2" t="inlineStr">
        <is>
          <t>Citroën C3</t>
        </is>
      </c>
      <c r="G487" s="2" t="inlineStr">
        <is>
          <t>1.4</t>
        </is>
      </c>
      <c r="H487" s="2" t="inlineStr">
        <is>
          <t>1.4i SX</t>
        </is>
      </c>
      <c r="I487" s="2" t="n"/>
      <c r="J487" s="2" t="n"/>
      <c r="K487" s="2" t="inlineStr">
        <is>
          <t>gasolina</t>
        </is>
      </c>
      <c r="L487" s="2" t="inlineStr">
        <is>
          <t>utilitario</t>
        </is>
      </c>
      <c r="M487" s="2" t="n">
        <v>2012</v>
      </c>
      <c r="N487" s="2" t="n">
        <v>99087</v>
      </c>
      <c r="O487" s="2" t="n">
        <v>5000</v>
      </c>
      <c r="P487" s="2" t="inlineStr">
        <is>
          <t>manual</t>
        </is>
      </c>
      <c r="Q487" s="2" t="inlineStr">
        <is>
          <t>no</t>
        </is>
      </c>
      <c r="R487" s="2" t="inlineStr">
        <is>
          <t>particular</t>
        </is>
      </c>
      <c r="S487" s="2" t="inlineStr">
        <is>
          <t>Paterna</t>
        </is>
      </c>
      <c r="T487" s="2" t="inlineStr">
        <is>
          <t>2026-08-31T17:22:11Z</t>
        </is>
      </c>
      <c r="U487" s="2" t="n">
        <v>7</v>
      </c>
      <c r="V487" s="2" t="n"/>
      <c r="W487" s="2" t="n"/>
      <c r="X487" s="2" t="n"/>
      <c r="Y487" s="2" t="n"/>
      <c r="Z487" s="2" t="inlineStr">
        <is>
          <t>no</t>
        </is>
      </c>
      <c r="AA487" s="2" t="n"/>
      <c r="AB487" s="2" t="n"/>
      <c r="AC487" s="2" t="n"/>
      <c r="AD487" s="2" t="n"/>
      <c r="AE487" s="2" t="n"/>
      <c r="AF487" s="2" t="n"/>
      <c r="AG487" s="2" t="n"/>
      <c r="AH487" s="2" t="n">
        <v>5000</v>
      </c>
      <c r="AI487" s="2" t="n"/>
      <c r="AJ487" s="2" t="n"/>
      <c r="AK487" s="2" t="n"/>
      <c r="AL487" s="2" t="n"/>
      <c r="AM487" s="2" t="n">
        <v>6.8</v>
      </c>
      <c r="AN487" s="2" t="n">
        <v>5295</v>
      </c>
      <c r="AO487" s="2" t="n">
        <v>6</v>
      </c>
      <c r="AP487" s="2" t="inlineStr">
        <is>
          <t>modelo+año</t>
        </is>
      </c>
      <c r="AQ487" s="2" t="n"/>
      <c r="AR487" s="2" t="inlineStr">
        <is>
          <t>por encima del presupuesto (5104 €), negociar; cuota fija ITP: &gt;12 años, hasta 1.500 cc</t>
        </is>
      </c>
      <c r="AS487" s="2" t="inlineStr">
        <is>
          <t>Vendo mi Citroën C3 1.4i SX de 2012, un berlina versátil y fiable que sigue dando excelentes prestaciones. Se trata de un vehículo en buen estado general, tanto en interior como en exterior, perfecto para quien busca un coche práctico y económico sin complicaciones.
Este C3 es ideal para la conducción diaria en ciudad y carretera. Su motor de 1360 cc ofrece una relación potencia-consumo muy equilibrada, permitiéndote ahorrar en combustible sin renunciar a una conducción ágil y cómoda. Con cinco plazas y una carrocería funcional, tienes todo lo que necesitas para desplazamientos del día a día o viajes familiares.
El cambio manual te proporciona un control directo del vehículo, mientras que el sistema de dirección asistida facilita las maniobras. Su color blanco mantiene una excelente presencia y es práctico a la hora de mantenerlo limpio.
Se trata de un coche accesible que no requiere inversiones importantes y que sigue siendo completamente operativo. Su tamaño compacto lo hace especialmente manejable en entornos urbanos, y su consumo moderado es una ventaja clara para tu bolsillo.
Si tienes dudas sobre aspectos específicos del vehículo no incluidos en esta descripción, no dudes en contactarme a través del chat. Estoy disponible para resolver cualquier pregunta y coordinar una prueba o inspección en persona.
Contacta hoy mismo y aprovecha esta oportunidad.</t>
        </is>
      </c>
      <c r="AT487" s="2" t="inlineStr">
        <is>
          <t>https://www.coches.net/citroen-c3-14i-sx-5p-gasolina-2012-en-valencia-71399382-covo.aspx (window.__INITIAL_PROPS__.ad) /home/user/Alopecia/buscador-coches/raw/cochesnet/c0200638e5b0fa50.json</t>
        </is>
      </c>
      <c r="AU487" s="3">
        <f>MAX(ANIO_ACTUAL-M487,0)</f>
        <v/>
      </c>
      <c r="AV487" s="4">
        <f>N487/MAX(AU487,0.5)</f>
        <v/>
      </c>
      <c r="AW487" s="4">
        <f>F487</f>
        <v/>
      </c>
      <c r="AX487" s="3">
        <f>AW487&amp;"|"&amp;INT(M487/SEG_ANIO)*SEG_ANIO</f>
        <v/>
      </c>
      <c r="AY487" s="3">
        <f>AX487&amp;"|"&amp;INT(N487/SEG_KM)*SEG_KM</f>
        <v/>
      </c>
      <c r="AZ487" s="4">
        <f>COUNTIF($AW$2:$AW$662,AW487)</f>
        <v/>
      </c>
      <c r="BA487" s="4">
        <f>COUNTIF($AX$2:$AX$662,AX487)</f>
        <v/>
      </c>
      <c r="BB487" s="4">
        <f>COUNTIF($AY$2:$AY$662,AY487)</f>
        <v/>
      </c>
      <c r="BC487" s="3">
        <f t="array" ref="BC487">IF(N(AO487)&gt;=MIN_N,AN487,IF(BB487&gt;=MIN_N,MEDIAN(IF($AY$2:$AY$662=AY487,$O$2:$O$662)),IF(BA487&gt;=MIN_N,MEDIAN(IF($AX$2:$AX$662=AX487,$O$2:$O$662)),MEDIAN(IF($AW$2:$AW$662=AW487,$O$2:$O$662)))))</f>
        <v/>
      </c>
      <c r="BD487" s="3">
        <f>IF(N(AO487)&gt;=MIN_N,"mercado "&amp;AP487,IF(BB487&gt;=MIN_N,"modelo+año+km",IF(BA487&gt;=MIN_N,"modelo+año","modelo")))</f>
        <v/>
      </c>
      <c r="BE487" s="4">
        <f>(BC487-O487)/BC487</f>
        <v/>
      </c>
      <c r="BF487" s="3">
        <f>IF(OR(K487="hibrido",K487="glp"),"ECO",IF(K487="electrico","CERO",IF(K487="gasolina",IF(M487&gt;=GAS_C,"C",IF(M487&gt;=GAS_B,"B","A")),IF(K487="diesel",IF(M487&gt;=DIE_C,"C",IF(M487&gt;=DIE_B,"B","A")),""))))</f>
        <v/>
      </c>
      <c r="BG487" s="3">
        <f>IFERROR(VLOOKUP(F487,MOD_TBL,11,0),IFERROR(VLOOKUP(E487,OCU_TBL,2,0),NEUTRO))</f>
        <v/>
      </c>
      <c r="BH487" s="3">
        <f>SUMIFS(MOT_AJUSTE,MOT_MOTOR,G487,MOT_MARCA,E487,MOT_DESDE,"&lt;="&amp;M487,MOT_HASTA,"&gt;="&amp;M487)+SUMIFS(MOT_AJUSTE,MOT_MOTOR,G487,MOT_MARCA,"(todas)",MOT_DESDE,"&lt;="&amp;M487,MOT_HASTA,"&gt;="&amp;M487)</f>
        <v/>
      </c>
      <c r="BI487" s="3">
        <f>SUMIFS(COMB_AJUSTE,COMB_COMB,K487)</f>
        <v/>
      </c>
      <c r="BJ487" s="3">
        <f>COUNTIFS(MOT_MOTOR,G487,MOT_MARCA,E487,MOT_DESDE,"&lt;="&amp;M487,MOT_HASTA,"&gt;="&amp;M487)+COUNTIFS(MOT_MOTOR,G487,MOT_MARCA,"(todas)",MOT_DESDE,"&lt;="&amp;M487,MOT_HASTA,"&gt;="&amp;M487)</f>
        <v/>
      </c>
      <c r="BK487" s="3">
        <f>IF(AND(K487="diesel",BJ487=0),MIN(BG487,NEUTRO),BG487)</f>
        <v/>
      </c>
      <c r="BL487" s="4">
        <f>MAX(0,MIN(100,BK487+BH487+BI487))</f>
        <v/>
      </c>
      <c r="BM487" s="3">
        <f>MAX(0,MIN(100,50+BE487*PRECIO_PEND))</f>
        <v/>
      </c>
      <c r="BN487" s="3">
        <f>MAX(0,100*(1-N487/KM_MAX))</f>
        <v/>
      </c>
      <c r="BO487" s="3">
        <f>IF(AV487&lt;KMA_SOSP,IF(AA487="sí",100,KMA_PEN),IF(AV487&lt;=KMA_IDEAL_MAX,100,MAX(0,100*(KMA_CERO-AV487)/(KMA_CERO-KMA_IDEAL_MAX))))</f>
        <v/>
      </c>
      <c r="BP487" s="3">
        <f>MAX(0,MIN(100,100*(M487-ANIO_MIN)/(ANIO_ACTUAL-ANIO_MIN)))</f>
        <v/>
      </c>
      <c r="BQ487" s="3">
        <f>W_KMT*BN487+W_KMA*BO487+W_EDAD*BP487</f>
        <v/>
      </c>
      <c r="BR487" s="3">
        <f>P_ITV*(V487="sí")+P_LIBRO*(W487="sí")+P_CORREA*(X487="sí")+P_PROP*(Y487=1)+P_GAR*(Z487="sí")+P_FOTOS*MIN(1,N(U487)/FOTOS_OBJ)</f>
        <v/>
      </c>
      <c r="BS487" s="3">
        <f>IFERROR(VLOOKUP(BF487,ETQ_TBL,2,0),NEUTRO)</f>
        <v/>
      </c>
      <c r="BT487" s="3">
        <f>NEUTRO</f>
        <v/>
      </c>
      <c r="BU487" s="3">
        <f>IFERROR(VLOOKUP(L487,SEGURO_TBL,3,0),"")</f>
        <v/>
      </c>
      <c r="BV487" s="3">
        <f>IF(BU487="",NEUTRO,MAX(0,MIN(100,100*(SEG_REF_MAX-BU487)/(SEG_REF_MAX-SEG_REF_MIN))))</f>
        <v/>
      </c>
      <c r="BW487" s="3">
        <f>W_ET*BS487+W_CONS*BT487+W_SEG*BV487</f>
        <v/>
      </c>
      <c r="BX487" s="3">
        <f>IF(N(AB487)&gt;0,AB487,IF(AND(R487="profesional",SG_LEGAL_ON=1),GAR_LEGAL,0))</f>
        <v/>
      </c>
      <c r="BY487" s="3">
        <f>SG_GAR*MIN(1,BX487/SG_GAR_FULL)+SG_AMPL*(AC487="sí")+SG_KMC*(AF487="sí")+SG_REV*(N(AE487)&gt;0)+SG_DEV*MIN(1,N(AG487)/SG_DEV_FULL)+SG_HIST*(W487="sí")</f>
        <v/>
      </c>
      <c r="BZ487" s="3">
        <f>IFERROR(VLOOKUP(L487,CARR_PEN_TBL,2,0),0)</f>
        <v/>
      </c>
      <c r="CA487" s="3">
        <f>W_FIAB*BL487+W_PRECIO*BM487+W_KMEDAD*BQ487+W_ANUNCIO*BR487+W_USO*BW487+W_SEGURIDAD*BY487-BZ487</f>
        <v/>
      </c>
      <c r="CB487" s="4">
        <f>IF(N(I487)&gt;0,I487,IFERROR(ROUND(_xlfn.NUMBERVALUE(LEFT(G487,FIND(" ",G487&amp;" ")-1),".")*1000,0),99999))</f>
        <v/>
      </c>
      <c r="CC487" s="3">
        <f>IF(R487="profesional",0,IF(O487&lt;CUOTA_VALOR_MAX,IF(AU487&gt;ITP_TRAMO_ALTO,SUMIFS(CF_CUOTA,CF_MAS,ITP_TRAMO_ALTO,CF_CCMIN,"&lt;="&amp;CB487,CF_CCMAX,"&gt;="&amp;CB487),IF(AU487&gt;ITP_TRAMO_BAJO,SUMIFS(CF_CUOTA,CF_MAS,ITP_TRAMO_BAJO,CF_CCMIN,"&lt;="&amp;CB487,CF_CCMAX,"&gt;="&amp;CB487),O487*ITP_TIPO)),O487*ITP_TIPO))</f>
        <v/>
      </c>
      <c r="CD487" s="4">
        <f>IF(R487="profesional",N(AK487),0)</f>
        <v/>
      </c>
      <c r="CE487" s="3">
        <f>IF(AND(R487="profesional",ISNUMBER(AK487),AL487="sí"),0,TASA_DGT)</f>
        <v/>
      </c>
      <c r="CF487" s="3">
        <f>INFORME_DGT</f>
        <v/>
      </c>
      <c r="CG487" s="4">
        <f>O487+CD487+CC487+CE487+CF487</f>
        <v/>
      </c>
      <c r="CH487" s="4">
        <f>CG487+N(BU487)</f>
        <v/>
      </c>
      <c r="CI487" s="3">
        <f>IF(CG487&lt;=TOTAL_MAX,"sí",IF(CG487&lt;=TOTAL_MAX+MARGEN_NEG,"negociar","no"))</f>
        <v/>
      </c>
      <c r="CJ487" s="4">
        <f>IF(CI487&lt;&gt;"no",COUNTIFS($CI$2:$CI$662,"&lt;&gt;no",$CA$2:$CA$662,"&gt;"&amp;CA487)+COUNTIFS($CI$2:CI487,"&lt;&gt;no",$CA$2:CA487,CA487),"")</f>
        <v/>
      </c>
    </row>
    <row r="488">
      <c r="A488" s="2" t="inlineStr">
        <is>
          <t>cochesnet:71398931</t>
        </is>
      </c>
      <c r="B488" s="2" t="inlineStr">
        <is>
          <t>cochesnet</t>
        </is>
      </c>
      <c r="C488" s="2" t="inlineStr">
        <is>
          <t>https://www.coches.net/citroen-c3-diesel-2007-en-valencia-71398931-covo.aspx</t>
        </is>
      </c>
      <c r="D488" s="2" t="inlineStr">
        <is>
          <t>CITROEN C3</t>
        </is>
      </c>
      <c r="E488" s="2" t="inlineStr">
        <is>
          <t>Citroën</t>
        </is>
      </c>
      <c r="F488" s="2" t="inlineStr">
        <is>
          <t>Citroën C3</t>
        </is>
      </c>
      <c r="G488" s="2" t="n"/>
      <c r="H488" s="2" t="n"/>
      <c r="I488" s="2" t="n"/>
      <c r="J488" s="2" t="n"/>
      <c r="K488" s="2" t="inlineStr">
        <is>
          <t>diesel</t>
        </is>
      </c>
      <c r="L488" s="2" t="inlineStr">
        <is>
          <t>utilitario</t>
        </is>
      </c>
      <c r="M488" s="2" t="n">
        <v>2007</v>
      </c>
      <c r="N488" s="2" t="n">
        <v>185000</v>
      </c>
      <c r="O488" s="2" t="n">
        <v>3500</v>
      </c>
      <c r="P488" s="2" t="inlineStr">
        <is>
          <t>manual</t>
        </is>
      </c>
      <c r="Q488" s="2" t="inlineStr">
        <is>
          <t>no</t>
        </is>
      </c>
      <c r="R488" s="2" t="inlineStr">
        <is>
          <t>particular</t>
        </is>
      </c>
      <c r="S488" s="2" t="n"/>
      <c r="T488" s="2" t="inlineStr">
        <is>
          <t>2026-08-31T08:50:17Z</t>
        </is>
      </c>
      <c r="U488" s="2" t="n">
        <v>1</v>
      </c>
      <c r="V488" s="2" t="n"/>
      <c r="W488" s="2" t="n"/>
      <c r="X488" s="2" t="n"/>
      <c r="Y488" s="2" t="n"/>
      <c r="Z488" s="2" t="inlineStr">
        <is>
          <t>no</t>
        </is>
      </c>
      <c r="AA488" s="2" t="n"/>
      <c r="AB488" s="2" t="n"/>
      <c r="AC488" s="2" t="n"/>
      <c r="AD488" s="2" t="n"/>
      <c r="AE488" s="2" t="n"/>
      <c r="AF488" s="2" t="n"/>
      <c r="AG488" s="2" t="n"/>
      <c r="AH488" s="2" t="n">
        <v>3500</v>
      </c>
      <c r="AI488" s="2" t="n"/>
      <c r="AJ488" s="2" t="n"/>
      <c r="AK488" s="2" t="n"/>
      <c r="AL488" s="2" t="n"/>
      <c r="AM488" s="2" t="n"/>
      <c r="AN488" s="2" t="n">
        <v>3550</v>
      </c>
      <c r="AO488" s="2" t="n">
        <v>6</v>
      </c>
      <c r="AP488" s="2" t="inlineStr">
        <is>
          <t>modelo+año+km</t>
        </is>
      </c>
      <c r="AQ488" s="2" t="n"/>
      <c r="AR48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88" s="2" t="inlineStr">
        <is>
          <t>Claro. Te dejo un texto atractivo y honesto para publicar el coche:
?? Citroën C3 – Diésel – Manual
Se vende Citroën C3, compacto, práctico y económico, ideal tanto para ciudad como para desplazamientos diarios.
? Cambio manual
? 5 puertas
? Interior cuidado y amplio para su tamaño
? 3 plazas traseras con cinturones
? Maletero con enganche de remolque
? Se entrega con rueda/kit y herramientas
? Equipado con cierre centralizado con mando
? Vehículo de uso práctico y bajo consumo
El coche presenta signos normales de uso y desgaste propios de los años, como se aprecia en las fotografías. Interior completo y funcional.
?? Interesados, contactar por privado para más información, precio y kilometraje.
Citroën C3: económico de mantener, manejable y perfecto como coche de diario.</t>
        </is>
      </c>
      <c r="AT488" s="2" t="inlineStr">
        <is>
          <t>https://www.coches.net/citroen-c3-diesel-2007-en-valencia-71398931-covo.aspx (window.__INITIAL_PROPS__.ad) /home/user/Alopecia/buscador-coches/raw/cochesnet/890651270931f1e9.json</t>
        </is>
      </c>
      <c r="AU488" s="3">
        <f>MAX(ANIO_ACTUAL-M488,0)</f>
        <v/>
      </c>
      <c r="AV488" s="4">
        <f>N488/MAX(AU488,0.5)</f>
        <v/>
      </c>
      <c r="AW488" s="4">
        <f>F488</f>
        <v/>
      </c>
      <c r="AX488" s="3">
        <f>AW488&amp;"|"&amp;INT(M488/SEG_ANIO)*SEG_ANIO</f>
        <v/>
      </c>
      <c r="AY488" s="3">
        <f>AX488&amp;"|"&amp;INT(N488/SEG_KM)*SEG_KM</f>
        <v/>
      </c>
      <c r="AZ488" s="4">
        <f>COUNTIF($AW$2:$AW$662,AW488)</f>
        <v/>
      </c>
      <c r="BA488" s="4">
        <f>COUNTIF($AX$2:$AX$662,AX488)</f>
        <v/>
      </c>
      <c r="BB488" s="4">
        <f>COUNTIF($AY$2:$AY$662,AY488)</f>
        <v/>
      </c>
      <c r="BC488" s="3">
        <f t="array" ref="BC488">IF(N(AO488)&gt;=MIN_N,AN488,IF(BB488&gt;=MIN_N,MEDIAN(IF($AY$2:$AY$662=AY488,$O$2:$O$662)),IF(BA488&gt;=MIN_N,MEDIAN(IF($AX$2:$AX$662=AX488,$O$2:$O$662)),MEDIAN(IF($AW$2:$AW$662=AW488,$O$2:$O$662)))))</f>
        <v/>
      </c>
      <c r="BD488" s="3">
        <f>IF(N(AO488)&gt;=MIN_N,"mercado "&amp;AP488,IF(BB488&gt;=MIN_N,"modelo+año+km",IF(BA488&gt;=MIN_N,"modelo+año","modelo")))</f>
        <v/>
      </c>
      <c r="BE488" s="4">
        <f>(BC488-O488)/BC488</f>
        <v/>
      </c>
      <c r="BF488" s="3">
        <f>IF(OR(K488="hibrido",K488="glp"),"ECO",IF(K488="electrico","CERO",IF(K488="gasolina",IF(M488&gt;=GAS_C,"C",IF(M488&gt;=GAS_B,"B","A")),IF(K488="diesel",IF(M488&gt;=DIE_C,"C",IF(M488&gt;=DIE_B,"B","A")),""))))</f>
        <v/>
      </c>
      <c r="BG488" s="3">
        <f>IFERROR(VLOOKUP(F488,MOD_TBL,11,0),IFERROR(VLOOKUP(E488,OCU_TBL,2,0),NEUTRO))</f>
        <v/>
      </c>
      <c r="BH488" s="3">
        <f>SUMIFS(MOT_AJUSTE,MOT_MOTOR,G488,MOT_MARCA,E488,MOT_DESDE,"&lt;="&amp;M488,MOT_HASTA,"&gt;="&amp;M488)+SUMIFS(MOT_AJUSTE,MOT_MOTOR,G488,MOT_MARCA,"(todas)",MOT_DESDE,"&lt;="&amp;M488,MOT_HASTA,"&gt;="&amp;M488)</f>
        <v/>
      </c>
      <c r="BI488" s="3">
        <f>SUMIFS(COMB_AJUSTE,COMB_COMB,K488)</f>
        <v/>
      </c>
      <c r="BJ488" s="3">
        <f>COUNTIFS(MOT_MOTOR,G488,MOT_MARCA,E488,MOT_DESDE,"&lt;="&amp;M488,MOT_HASTA,"&gt;="&amp;M488)+COUNTIFS(MOT_MOTOR,G488,MOT_MARCA,"(todas)",MOT_DESDE,"&lt;="&amp;M488,MOT_HASTA,"&gt;="&amp;M488)</f>
        <v/>
      </c>
      <c r="BK488" s="3">
        <f>IF(AND(K488="diesel",BJ488=0),MIN(BG488,NEUTRO),BG488)</f>
        <v/>
      </c>
      <c r="BL488" s="4">
        <f>MAX(0,MIN(100,BK488+BH488+BI488))</f>
        <v/>
      </c>
      <c r="BM488" s="3">
        <f>MAX(0,MIN(100,50+BE488*PRECIO_PEND))</f>
        <v/>
      </c>
      <c r="BN488" s="3">
        <f>MAX(0,100*(1-N488/KM_MAX))</f>
        <v/>
      </c>
      <c r="BO488" s="3">
        <f>IF(AV488&lt;KMA_SOSP,IF(AA488="sí",100,KMA_PEN),IF(AV488&lt;=KMA_IDEAL_MAX,100,MAX(0,100*(KMA_CERO-AV488)/(KMA_CERO-KMA_IDEAL_MAX))))</f>
        <v/>
      </c>
      <c r="BP488" s="3">
        <f>MAX(0,MIN(100,100*(M488-ANIO_MIN)/(ANIO_ACTUAL-ANIO_MIN)))</f>
        <v/>
      </c>
      <c r="BQ488" s="3">
        <f>W_KMT*BN488+W_KMA*BO488+W_EDAD*BP488</f>
        <v/>
      </c>
      <c r="BR488" s="3">
        <f>P_ITV*(V488="sí")+P_LIBRO*(W488="sí")+P_CORREA*(X488="sí")+P_PROP*(Y488=1)+P_GAR*(Z488="sí")+P_FOTOS*MIN(1,N(U488)/FOTOS_OBJ)</f>
        <v/>
      </c>
      <c r="BS488" s="3">
        <f>IFERROR(VLOOKUP(BF488,ETQ_TBL,2,0),NEUTRO)</f>
        <v/>
      </c>
      <c r="BT488" s="3">
        <f>NEUTRO</f>
        <v/>
      </c>
      <c r="BU488" s="3">
        <f>IFERROR(VLOOKUP(L488,SEGURO_TBL,3,0),"")</f>
        <v/>
      </c>
      <c r="BV488" s="3">
        <f>IF(BU488="",NEUTRO,MAX(0,MIN(100,100*(SEG_REF_MAX-BU488)/(SEG_REF_MAX-SEG_REF_MIN))))</f>
        <v/>
      </c>
      <c r="BW488" s="3">
        <f>W_ET*BS488+W_CONS*BT488+W_SEG*BV488</f>
        <v/>
      </c>
      <c r="BX488" s="3">
        <f>IF(N(AB488)&gt;0,AB488,IF(AND(R488="profesional",SG_LEGAL_ON=1),GAR_LEGAL,0))</f>
        <v/>
      </c>
      <c r="BY488" s="3">
        <f>SG_GAR*MIN(1,BX488/SG_GAR_FULL)+SG_AMPL*(AC488="sí")+SG_KMC*(AF488="sí")+SG_REV*(N(AE488)&gt;0)+SG_DEV*MIN(1,N(AG488)/SG_DEV_FULL)+SG_HIST*(W488="sí")</f>
        <v/>
      </c>
      <c r="BZ488" s="3">
        <f>IFERROR(VLOOKUP(L488,CARR_PEN_TBL,2,0),0)</f>
        <v/>
      </c>
      <c r="CA488" s="3">
        <f>W_FIAB*BL488+W_PRECIO*BM488+W_KMEDAD*BQ488+W_ANUNCIO*BR488+W_USO*BW488+W_SEGURIDAD*BY488-BZ488</f>
        <v/>
      </c>
      <c r="CB488" s="4">
        <f>IF(N(I488)&gt;0,I488,IFERROR(ROUND(_xlfn.NUMBERVALUE(LEFT(G488,FIND(" ",G488&amp;" ")-1),".")*1000,0),99999))</f>
        <v/>
      </c>
      <c r="CC488" s="3">
        <f>IF(R488="profesional",0,IF(O488&lt;CUOTA_VALOR_MAX,IF(AU488&gt;ITP_TRAMO_ALTO,SUMIFS(CF_CUOTA,CF_MAS,ITP_TRAMO_ALTO,CF_CCMIN,"&lt;="&amp;CB488,CF_CCMAX,"&gt;="&amp;CB488),IF(AU488&gt;ITP_TRAMO_BAJO,SUMIFS(CF_CUOTA,CF_MAS,ITP_TRAMO_BAJO,CF_CCMIN,"&lt;="&amp;CB488,CF_CCMAX,"&gt;="&amp;CB488),O488*ITP_TIPO)),O488*ITP_TIPO))</f>
        <v/>
      </c>
      <c r="CD488" s="4">
        <f>IF(R488="profesional",N(AK488),0)</f>
        <v/>
      </c>
      <c r="CE488" s="3">
        <f>IF(AND(R488="profesional",ISNUMBER(AK488),AL488="sí"),0,TASA_DGT)</f>
        <v/>
      </c>
      <c r="CF488" s="3">
        <f>INFORME_DGT</f>
        <v/>
      </c>
      <c r="CG488" s="4">
        <f>O488+CD488+CC488+CE488+CF488</f>
        <v/>
      </c>
      <c r="CH488" s="4">
        <f>CG488+N(BU488)</f>
        <v/>
      </c>
      <c r="CI488" s="3">
        <f>IF(CG488&lt;=TOTAL_MAX,"sí",IF(CG488&lt;=TOTAL_MAX+MARGEN_NEG,"negociar","no"))</f>
        <v/>
      </c>
      <c r="CJ488" s="4">
        <f>IF(CI488&lt;&gt;"no",COUNTIFS($CI$2:$CI$662,"&lt;&gt;no",$CA$2:$CA$662,"&gt;"&amp;CA488)+COUNTIFS($CI$2:CI488,"&lt;&gt;no",$CA$2:CA488,CA488),"")</f>
        <v/>
      </c>
    </row>
    <row r="489">
      <c r="A489" s="2" t="inlineStr">
        <is>
          <t>cochesnet:71250967</t>
        </is>
      </c>
      <c r="B489" s="2" t="inlineStr">
        <is>
          <t>cochesnet</t>
        </is>
      </c>
      <c r="C489" s="2" t="inlineStr">
        <is>
          <t>https://www.coches.net/citroen-c3-diesel-2007-en-valencia-71250967-covo.aspx</t>
        </is>
      </c>
      <c r="D489" s="2" t="inlineStr">
        <is>
          <t>CITROEN C3</t>
        </is>
      </c>
      <c r="E489" s="2" t="inlineStr">
        <is>
          <t>Citroën</t>
        </is>
      </c>
      <c r="F489" s="2" t="inlineStr">
        <is>
          <t>Citroën C3</t>
        </is>
      </c>
      <c r="G489" s="2" t="n"/>
      <c r="H489" s="2" t="n"/>
      <c r="I489" s="2" t="n"/>
      <c r="J489" s="2" t="n"/>
      <c r="K489" s="2" t="inlineStr">
        <is>
          <t>diesel</t>
        </is>
      </c>
      <c r="L489" s="2" t="inlineStr">
        <is>
          <t>utilitario</t>
        </is>
      </c>
      <c r="M489" s="2" t="n">
        <v>2007</v>
      </c>
      <c r="N489" s="2" t="n">
        <v>180000</v>
      </c>
      <c r="O489" s="2" t="n">
        <v>3500</v>
      </c>
      <c r="P489" s="2" t="inlineStr">
        <is>
          <t>manual</t>
        </is>
      </c>
      <c r="Q489" s="2" t="inlineStr">
        <is>
          <t>no</t>
        </is>
      </c>
      <c r="R489" s="2" t="inlineStr">
        <is>
          <t>particular</t>
        </is>
      </c>
      <c r="S489" s="2" t="n"/>
      <c r="T489" s="2" t="inlineStr">
        <is>
          <t>2026-08-07T12:27:16Z</t>
        </is>
      </c>
      <c r="U489" s="2" t="n">
        <v>1</v>
      </c>
      <c r="V489" s="2" t="n"/>
      <c r="W489" s="2" t="n"/>
      <c r="X489" s="2" t="n"/>
      <c r="Y489" s="2" t="n"/>
      <c r="Z489" s="2" t="inlineStr">
        <is>
          <t>no</t>
        </is>
      </c>
      <c r="AA489" s="2" t="n"/>
      <c r="AB489" s="2" t="n"/>
      <c r="AC489" s="2" t="n"/>
      <c r="AD489" s="2" t="n"/>
      <c r="AE489" s="2" t="n"/>
      <c r="AF489" s="2" t="n"/>
      <c r="AG489" s="2" t="n"/>
      <c r="AH489" s="2" t="n">
        <v>3500</v>
      </c>
      <c r="AI489" s="2" t="n"/>
      <c r="AJ489" s="2" t="n"/>
      <c r="AK489" s="2" t="n"/>
      <c r="AL489" s="2" t="n"/>
      <c r="AM489" s="2" t="n"/>
      <c r="AN489" s="2" t="n">
        <v>3550</v>
      </c>
      <c r="AO489" s="2" t="n">
        <v>6</v>
      </c>
      <c r="AP489" s="2" t="inlineStr">
        <is>
          <t>modelo+año+km</t>
        </is>
      </c>
      <c r="AQ489" s="2" t="n"/>
      <c r="AR489"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489" s="2" t="inlineStr">
        <is>
          <t xml:space="preserve">VENDO CITROËN C3 – 3.500 € ??
Se vende Citroën C3 en buen estado general. El coche funciona perfectamente y está listo para seguir rodando.
? Motor y mecánica en buen estado.
? Aire acondicionado.
? Cambio manual.
? Radio CD.
? Dos llaves.
? ITV y documentación al día.
? Se entrega transferido.
Tiene algunos detalles de pintura, de ahí su precio.
</t>
        </is>
      </c>
      <c r="AT489" s="2" t="inlineStr">
        <is>
          <t>https://www.coches.net/citroen-c3-diesel-2007-en-valencia-71250967-covo.aspx (window.__INITIAL_PROPS__.ad) /home/user/Alopecia/buscador-coches/raw/cochesnet/f2a30122bdc7bf3a.json</t>
        </is>
      </c>
      <c r="AU489" s="3">
        <f>MAX(ANIO_ACTUAL-M489,0)</f>
        <v/>
      </c>
      <c r="AV489" s="4">
        <f>N489/MAX(AU489,0.5)</f>
        <v/>
      </c>
      <c r="AW489" s="4">
        <f>F489</f>
        <v/>
      </c>
      <c r="AX489" s="3">
        <f>AW489&amp;"|"&amp;INT(M489/SEG_ANIO)*SEG_ANIO</f>
        <v/>
      </c>
      <c r="AY489" s="3">
        <f>AX489&amp;"|"&amp;INT(N489/SEG_KM)*SEG_KM</f>
        <v/>
      </c>
      <c r="AZ489" s="4">
        <f>COUNTIF($AW$2:$AW$662,AW489)</f>
        <v/>
      </c>
      <c r="BA489" s="4">
        <f>COUNTIF($AX$2:$AX$662,AX489)</f>
        <v/>
      </c>
      <c r="BB489" s="4">
        <f>COUNTIF($AY$2:$AY$662,AY489)</f>
        <v/>
      </c>
      <c r="BC489" s="3">
        <f t="array" ref="BC489">IF(N(AO489)&gt;=MIN_N,AN489,IF(BB489&gt;=MIN_N,MEDIAN(IF($AY$2:$AY$662=AY489,$O$2:$O$662)),IF(BA489&gt;=MIN_N,MEDIAN(IF($AX$2:$AX$662=AX489,$O$2:$O$662)),MEDIAN(IF($AW$2:$AW$662=AW489,$O$2:$O$662)))))</f>
        <v/>
      </c>
      <c r="BD489" s="3">
        <f>IF(N(AO489)&gt;=MIN_N,"mercado "&amp;AP489,IF(BB489&gt;=MIN_N,"modelo+año+km",IF(BA489&gt;=MIN_N,"modelo+año","modelo")))</f>
        <v/>
      </c>
      <c r="BE489" s="4">
        <f>(BC489-O489)/BC489</f>
        <v/>
      </c>
      <c r="BF489" s="3">
        <f>IF(OR(K489="hibrido",K489="glp"),"ECO",IF(K489="electrico","CERO",IF(K489="gasolina",IF(M489&gt;=GAS_C,"C",IF(M489&gt;=GAS_B,"B","A")),IF(K489="diesel",IF(M489&gt;=DIE_C,"C",IF(M489&gt;=DIE_B,"B","A")),""))))</f>
        <v/>
      </c>
      <c r="BG489" s="3">
        <f>IFERROR(VLOOKUP(F489,MOD_TBL,11,0),IFERROR(VLOOKUP(E489,OCU_TBL,2,0),NEUTRO))</f>
        <v/>
      </c>
      <c r="BH489" s="3">
        <f>SUMIFS(MOT_AJUSTE,MOT_MOTOR,G489,MOT_MARCA,E489,MOT_DESDE,"&lt;="&amp;M489,MOT_HASTA,"&gt;="&amp;M489)+SUMIFS(MOT_AJUSTE,MOT_MOTOR,G489,MOT_MARCA,"(todas)",MOT_DESDE,"&lt;="&amp;M489,MOT_HASTA,"&gt;="&amp;M489)</f>
        <v/>
      </c>
      <c r="BI489" s="3">
        <f>SUMIFS(COMB_AJUSTE,COMB_COMB,K489)</f>
        <v/>
      </c>
      <c r="BJ489" s="3">
        <f>COUNTIFS(MOT_MOTOR,G489,MOT_MARCA,E489,MOT_DESDE,"&lt;="&amp;M489,MOT_HASTA,"&gt;="&amp;M489)+COUNTIFS(MOT_MOTOR,G489,MOT_MARCA,"(todas)",MOT_DESDE,"&lt;="&amp;M489,MOT_HASTA,"&gt;="&amp;M489)</f>
        <v/>
      </c>
      <c r="BK489" s="3">
        <f>IF(AND(K489="diesel",BJ489=0),MIN(BG489,NEUTRO),BG489)</f>
        <v/>
      </c>
      <c r="BL489" s="4">
        <f>MAX(0,MIN(100,BK489+BH489+BI489))</f>
        <v/>
      </c>
      <c r="BM489" s="3">
        <f>MAX(0,MIN(100,50+BE489*PRECIO_PEND))</f>
        <v/>
      </c>
      <c r="BN489" s="3">
        <f>MAX(0,100*(1-N489/KM_MAX))</f>
        <v/>
      </c>
      <c r="BO489" s="3">
        <f>IF(AV489&lt;KMA_SOSP,IF(AA489="sí",100,KMA_PEN),IF(AV489&lt;=KMA_IDEAL_MAX,100,MAX(0,100*(KMA_CERO-AV489)/(KMA_CERO-KMA_IDEAL_MAX))))</f>
        <v/>
      </c>
      <c r="BP489" s="3">
        <f>MAX(0,MIN(100,100*(M489-ANIO_MIN)/(ANIO_ACTUAL-ANIO_MIN)))</f>
        <v/>
      </c>
      <c r="BQ489" s="3">
        <f>W_KMT*BN489+W_KMA*BO489+W_EDAD*BP489</f>
        <v/>
      </c>
      <c r="BR489" s="3">
        <f>P_ITV*(V489="sí")+P_LIBRO*(W489="sí")+P_CORREA*(X489="sí")+P_PROP*(Y489=1)+P_GAR*(Z489="sí")+P_FOTOS*MIN(1,N(U489)/FOTOS_OBJ)</f>
        <v/>
      </c>
      <c r="BS489" s="3">
        <f>IFERROR(VLOOKUP(BF489,ETQ_TBL,2,0),NEUTRO)</f>
        <v/>
      </c>
      <c r="BT489" s="3">
        <f>NEUTRO</f>
        <v/>
      </c>
      <c r="BU489" s="3">
        <f>IFERROR(VLOOKUP(L489,SEGURO_TBL,3,0),"")</f>
        <v/>
      </c>
      <c r="BV489" s="3">
        <f>IF(BU489="",NEUTRO,MAX(0,MIN(100,100*(SEG_REF_MAX-BU489)/(SEG_REF_MAX-SEG_REF_MIN))))</f>
        <v/>
      </c>
      <c r="BW489" s="3">
        <f>W_ET*BS489+W_CONS*BT489+W_SEG*BV489</f>
        <v/>
      </c>
      <c r="BX489" s="3">
        <f>IF(N(AB489)&gt;0,AB489,IF(AND(R489="profesional",SG_LEGAL_ON=1),GAR_LEGAL,0))</f>
        <v/>
      </c>
      <c r="BY489" s="3">
        <f>SG_GAR*MIN(1,BX489/SG_GAR_FULL)+SG_AMPL*(AC489="sí")+SG_KMC*(AF489="sí")+SG_REV*(N(AE489)&gt;0)+SG_DEV*MIN(1,N(AG489)/SG_DEV_FULL)+SG_HIST*(W489="sí")</f>
        <v/>
      </c>
      <c r="BZ489" s="3">
        <f>IFERROR(VLOOKUP(L489,CARR_PEN_TBL,2,0),0)</f>
        <v/>
      </c>
      <c r="CA489" s="3">
        <f>W_FIAB*BL489+W_PRECIO*BM489+W_KMEDAD*BQ489+W_ANUNCIO*BR489+W_USO*BW489+W_SEGURIDAD*BY489-BZ489</f>
        <v/>
      </c>
      <c r="CB489" s="4">
        <f>IF(N(I489)&gt;0,I489,IFERROR(ROUND(_xlfn.NUMBERVALUE(LEFT(G489,FIND(" ",G489&amp;" ")-1),".")*1000,0),99999))</f>
        <v/>
      </c>
      <c r="CC489" s="3">
        <f>IF(R489="profesional",0,IF(O489&lt;CUOTA_VALOR_MAX,IF(AU489&gt;ITP_TRAMO_ALTO,SUMIFS(CF_CUOTA,CF_MAS,ITP_TRAMO_ALTO,CF_CCMIN,"&lt;="&amp;CB489,CF_CCMAX,"&gt;="&amp;CB489),IF(AU489&gt;ITP_TRAMO_BAJO,SUMIFS(CF_CUOTA,CF_MAS,ITP_TRAMO_BAJO,CF_CCMIN,"&lt;="&amp;CB489,CF_CCMAX,"&gt;="&amp;CB489),O489*ITP_TIPO)),O489*ITP_TIPO))</f>
        <v/>
      </c>
      <c r="CD489" s="4">
        <f>IF(R489="profesional",N(AK489),0)</f>
        <v/>
      </c>
      <c r="CE489" s="3">
        <f>IF(AND(R489="profesional",ISNUMBER(AK489),AL489="sí"),0,TASA_DGT)</f>
        <v/>
      </c>
      <c r="CF489" s="3">
        <f>INFORME_DGT</f>
        <v/>
      </c>
      <c r="CG489" s="4">
        <f>O489+CD489+CC489+CE489+CF489</f>
        <v/>
      </c>
      <c r="CH489" s="4">
        <f>CG489+N(BU489)</f>
        <v/>
      </c>
      <c r="CI489" s="3">
        <f>IF(CG489&lt;=TOTAL_MAX,"sí",IF(CG489&lt;=TOTAL_MAX+MARGEN_NEG,"negociar","no"))</f>
        <v/>
      </c>
      <c r="CJ489" s="4">
        <f>IF(CI489&lt;&gt;"no",COUNTIFS($CI$2:$CI$662,"&lt;&gt;no",$CA$2:$CA$662,"&gt;"&amp;CA489)+COUNTIFS($CI$2:CI489,"&lt;&gt;no",$CA$2:CA489,CA489),"")</f>
        <v/>
      </c>
    </row>
    <row r="490">
      <c r="A490" s="2" t="inlineStr">
        <is>
          <t>cochesnet:71041894</t>
        </is>
      </c>
      <c r="B490" s="2" t="inlineStr">
        <is>
          <t>cochesnet</t>
        </is>
      </c>
      <c r="C490" s="2" t="inlineStr">
        <is>
          <t>https://www.coches.net/citroen-c3-hdi-70-attraction-5p-diesel-2011-en-valencia-71041894-covo.aspx</t>
        </is>
      </c>
      <c r="D490" s="2" t="inlineStr">
        <is>
          <t>CITROEN C3 HDi 70 Attraction</t>
        </is>
      </c>
      <c r="E490" s="2" t="inlineStr">
        <is>
          <t>Citroën</t>
        </is>
      </c>
      <c r="F490" s="2" t="inlineStr">
        <is>
          <t>Citroën C3</t>
        </is>
      </c>
      <c r="G490" s="2" t="inlineStr">
        <is>
          <t>? HDi</t>
        </is>
      </c>
      <c r="H490" s="2" t="inlineStr">
        <is>
          <t>HDi 70 Attraction</t>
        </is>
      </c>
      <c r="I490" s="2" t="n"/>
      <c r="J490" s="2" t="n"/>
      <c r="K490" s="2" t="inlineStr">
        <is>
          <t>diesel</t>
        </is>
      </c>
      <c r="L490" s="2" t="inlineStr">
        <is>
          <t>utilitario</t>
        </is>
      </c>
      <c r="M490" s="2" t="n">
        <v>2011</v>
      </c>
      <c r="N490" s="2" t="n">
        <v>187000</v>
      </c>
      <c r="O490" s="2" t="n">
        <v>4750</v>
      </c>
      <c r="P490" s="2" t="inlineStr">
        <is>
          <t>manual</t>
        </is>
      </c>
      <c r="Q490" s="2" t="inlineStr">
        <is>
          <t>no</t>
        </is>
      </c>
      <c r="R490" s="2" t="inlineStr">
        <is>
          <t>profesional</t>
        </is>
      </c>
      <c r="S490" s="2" t="inlineStr">
        <is>
          <t>Albal</t>
        </is>
      </c>
      <c r="T490" s="2" t="inlineStr">
        <is>
          <t>2026-10-07T14:11:13Z</t>
        </is>
      </c>
      <c r="U490" s="2" t="n">
        <v>10</v>
      </c>
      <c r="V490" s="2" t="n"/>
      <c r="W490" s="2" t="n"/>
      <c r="X490" s="2" t="n"/>
      <c r="Y490" s="2" t="n"/>
      <c r="Z490" s="2" t="inlineStr">
        <is>
          <t>sí</t>
        </is>
      </c>
      <c r="AA490" s="2" t="n"/>
      <c r="AB490" s="2" t="n">
        <v>12</v>
      </c>
      <c r="AC490" s="2" t="n"/>
      <c r="AD490" s="2" t="n"/>
      <c r="AE490" s="2" t="n"/>
      <c r="AF490" s="2" t="n"/>
      <c r="AG490" s="2" t="n"/>
      <c r="AH490" s="2" t="n">
        <v>4750</v>
      </c>
      <c r="AI490" s="2" t="n">
        <v>4750</v>
      </c>
      <c r="AJ490" s="2" t="n"/>
      <c r="AK490" s="2" t="n"/>
      <c r="AL490" s="2" t="n"/>
      <c r="AM490" s="2" t="n">
        <v>8.699999999999999</v>
      </c>
      <c r="AN490" s="2" t="n">
        <v>5295</v>
      </c>
      <c r="AO490" s="2" t="n">
        <v>6</v>
      </c>
      <c r="AP490" s="2" t="inlineStr">
        <is>
          <t>modelo+año</t>
        </is>
      </c>
      <c r="AQ490" s="2" t="n"/>
      <c r="AR490" s="2" t="inlineStr">
        <is>
          <t>vendedor profesional: sin ITP (operación con IVA/REBU, confirmar en factura); gastos de gestión del vendedor no indicados: se suma la tasa DGT; preguntar el precio final; diésel: motor sin fuente de fiabilidad (fiabilidad limitada a neutra)</t>
        </is>
      </c>
      <c r="AS490" s="2" t="inlineStr">
        <is>
          <t>CItroën C3 Attraction 1.4 HDi 2011 Diésel
Equipamiento:
Elevalunas eléctricos
Bluetooth
Motor 1.4 HDi
Muy bajo consumo
Kilometraje: 187.000 km
Mantenimiento reciente:
Cambio de aceite y filtros
Embrague nuevo
ITV vigente hasta 07/2027
4 neumáticos en excelente estado
Utilitario económico, cómodo y de muy bajo consumo, ideal para ciudad y uso diario.
Precio: 5.250 €
Entrega inmediata en Valencia / Catarroja
Garantía 12 meses en mecánica
Financiación disponible
Recibimos vehículo a cambio, incluso de menor valor
Citroën C3 Attraction en Valencia
Citroën C3 en Catarroja
Citroen C3 en Catarroja</t>
        </is>
      </c>
      <c r="AT490" s="2" t="inlineStr">
        <is>
          <t>https://www.coches.net/citroen-c3-hdi-70-attraction-5p-diesel-2011-en-valencia-71041894-covo.aspx (window.__INITIAL_PROPS__.ad) /home/user/Alopecia/buscador-coches/raw/cochesnet/b94d1dae5572bd11.json</t>
        </is>
      </c>
      <c r="AU490" s="3">
        <f>MAX(ANIO_ACTUAL-M490,0)</f>
        <v/>
      </c>
      <c r="AV490" s="4">
        <f>N490/MAX(AU490,0.5)</f>
        <v/>
      </c>
      <c r="AW490" s="4">
        <f>F490</f>
        <v/>
      </c>
      <c r="AX490" s="3">
        <f>AW490&amp;"|"&amp;INT(M490/SEG_ANIO)*SEG_ANIO</f>
        <v/>
      </c>
      <c r="AY490" s="3">
        <f>AX490&amp;"|"&amp;INT(N490/SEG_KM)*SEG_KM</f>
        <v/>
      </c>
      <c r="AZ490" s="4">
        <f>COUNTIF($AW$2:$AW$662,AW490)</f>
        <v/>
      </c>
      <c r="BA490" s="4">
        <f>COUNTIF($AX$2:$AX$662,AX490)</f>
        <v/>
      </c>
      <c r="BB490" s="4">
        <f>COUNTIF($AY$2:$AY$662,AY490)</f>
        <v/>
      </c>
      <c r="BC490" s="3">
        <f t="array" ref="BC490">IF(N(AO490)&gt;=MIN_N,AN490,IF(BB490&gt;=MIN_N,MEDIAN(IF($AY$2:$AY$662=AY490,$O$2:$O$662)),IF(BA490&gt;=MIN_N,MEDIAN(IF($AX$2:$AX$662=AX490,$O$2:$O$662)),MEDIAN(IF($AW$2:$AW$662=AW490,$O$2:$O$662)))))</f>
        <v/>
      </c>
      <c r="BD490" s="3">
        <f>IF(N(AO490)&gt;=MIN_N,"mercado "&amp;AP490,IF(BB490&gt;=MIN_N,"modelo+año+km",IF(BA490&gt;=MIN_N,"modelo+año","modelo")))</f>
        <v/>
      </c>
      <c r="BE490" s="4">
        <f>(BC490-O490)/BC490</f>
        <v/>
      </c>
      <c r="BF490" s="3">
        <f>IF(OR(K490="hibrido",K490="glp"),"ECO",IF(K490="electrico","CERO",IF(K490="gasolina",IF(M490&gt;=GAS_C,"C",IF(M490&gt;=GAS_B,"B","A")),IF(K490="diesel",IF(M490&gt;=DIE_C,"C",IF(M490&gt;=DIE_B,"B","A")),""))))</f>
        <v/>
      </c>
      <c r="BG490" s="3">
        <f>IFERROR(VLOOKUP(F490,MOD_TBL,11,0),IFERROR(VLOOKUP(E490,OCU_TBL,2,0),NEUTRO))</f>
        <v/>
      </c>
      <c r="BH490" s="3">
        <f>SUMIFS(MOT_AJUSTE,MOT_MOTOR,G490,MOT_MARCA,E490,MOT_DESDE,"&lt;="&amp;M490,MOT_HASTA,"&gt;="&amp;M490)+SUMIFS(MOT_AJUSTE,MOT_MOTOR,G490,MOT_MARCA,"(todas)",MOT_DESDE,"&lt;="&amp;M490,MOT_HASTA,"&gt;="&amp;M490)</f>
        <v/>
      </c>
      <c r="BI490" s="3">
        <f>SUMIFS(COMB_AJUSTE,COMB_COMB,K490)</f>
        <v/>
      </c>
      <c r="BJ490" s="3">
        <f>COUNTIFS(MOT_MOTOR,G490,MOT_MARCA,E490,MOT_DESDE,"&lt;="&amp;M490,MOT_HASTA,"&gt;="&amp;M490)+COUNTIFS(MOT_MOTOR,G490,MOT_MARCA,"(todas)",MOT_DESDE,"&lt;="&amp;M490,MOT_HASTA,"&gt;="&amp;M490)</f>
        <v/>
      </c>
      <c r="BK490" s="3">
        <f>IF(AND(K490="diesel",BJ490=0),MIN(BG490,NEUTRO),BG490)</f>
        <v/>
      </c>
      <c r="BL490" s="4">
        <f>MAX(0,MIN(100,BK490+BH490+BI490))</f>
        <v/>
      </c>
      <c r="BM490" s="3">
        <f>MAX(0,MIN(100,50+BE490*PRECIO_PEND))</f>
        <v/>
      </c>
      <c r="BN490" s="3">
        <f>MAX(0,100*(1-N490/KM_MAX))</f>
        <v/>
      </c>
      <c r="BO490" s="3">
        <f>IF(AV490&lt;KMA_SOSP,IF(AA490="sí",100,KMA_PEN),IF(AV490&lt;=KMA_IDEAL_MAX,100,MAX(0,100*(KMA_CERO-AV490)/(KMA_CERO-KMA_IDEAL_MAX))))</f>
        <v/>
      </c>
      <c r="BP490" s="3">
        <f>MAX(0,MIN(100,100*(M490-ANIO_MIN)/(ANIO_ACTUAL-ANIO_MIN)))</f>
        <v/>
      </c>
      <c r="BQ490" s="3">
        <f>W_KMT*BN490+W_KMA*BO490+W_EDAD*BP490</f>
        <v/>
      </c>
      <c r="BR490" s="3">
        <f>P_ITV*(V490="sí")+P_LIBRO*(W490="sí")+P_CORREA*(X490="sí")+P_PROP*(Y490=1)+P_GAR*(Z490="sí")+P_FOTOS*MIN(1,N(U490)/FOTOS_OBJ)</f>
        <v/>
      </c>
      <c r="BS490" s="3">
        <f>IFERROR(VLOOKUP(BF490,ETQ_TBL,2,0),NEUTRO)</f>
        <v/>
      </c>
      <c r="BT490" s="3">
        <f>NEUTRO</f>
        <v/>
      </c>
      <c r="BU490" s="3">
        <f>IFERROR(VLOOKUP(L490,SEGURO_TBL,3,0),"")</f>
        <v/>
      </c>
      <c r="BV490" s="3">
        <f>IF(BU490="",NEUTRO,MAX(0,MIN(100,100*(SEG_REF_MAX-BU490)/(SEG_REF_MAX-SEG_REF_MIN))))</f>
        <v/>
      </c>
      <c r="BW490" s="3">
        <f>W_ET*BS490+W_CONS*BT490+W_SEG*BV490</f>
        <v/>
      </c>
      <c r="BX490" s="3">
        <f>IF(N(AB490)&gt;0,AB490,IF(AND(R490="profesional",SG_LEGAL_ON=1),GAR_LEGAL,0))</f>
        <v/>
      </c>
      <c r="BY490" s="3">
        <f>SG_GAR*MIN(1,BX490/SG_GAR_FULL)+SG_AMPL*(AC490="sí")+SG_KMC*(AF490="sí")+SG_REV*(N(AE490)&gt;0)+SG_DEV*MIN(1,N(AG490)/SG_DEV_FULL)+SG_HIST*(W490="sí")</f>
        <v/>
      </c>
      <c r="BZ490" s="3">
        <f>IFERROR(VLOOKUP(L490,CARR_PEN_TBL,2,0),0)</f>
        <v/>
      </c>
      <c r="CA490" s="3">
        <f>W_FIAB*BL490+W_PRECIO*BM490+W_KMEDAD*BQ490+W_ANUNCIO*BR490+W_USO*BW490+W_SEGURIDAD*BY490-BZ490</f>
        <v/>
      </c>
      <c r="CB490" s="4">
        <f>IF(N(I490)&gt;0,I490,IFERROR(ROUND(_xlfn.NUMBERVALUE(LEFT(G490,FIND(" ",G490&amp;" ")-1),".")*1000,0),99999))</f>
        <v/>
      </c>
      <c r="CC490" s="3">
        <f>IF(R490="profesional",0,IF(O490&lt;CUOTA_VALOR_MAX,IF(AU490&gt;ITP_TRAMO_ALTO,SUMIFS(CF_CUOTA,CF_MAS,ITP_TRAMO_ALTO,CF_CCMIN,"&lt;="&amp;CB490,CF_CCMAX,"&gt;="&amp;CB490),IF(AU490&gt;ITP_TRAMO_BAJO,SUMIFS(CF_CUOTA,CF_MAS,ITP_TRAMO_BAJO,CF_CCMIN,"&lt;="&amp;CB490,CF_CCMAX,"&gt;="&amp;CB490),O490*ITP_TIPO)),O490*ITP_TIPO))</f>
        <v/>
      </c>
      <c r="CD490" s="4">
        <f>IF(R490="profesional",N(AK490),0)</f>
        <v/>
      </c>
      <c r="CE490" s="3">
        <f>IF(AND(R490="profesional",ISNUMBER(AK490),AL490="sí"),0,TASA_DGT)</f>
        <v/>
      </c>
      <c r="CF490" s="3">
        <f>INFORME_DGT</f>
        <v/>
      </c>
      <c r="CG490" s="4">
        <f>O490+CD490+CC490+CE490+CF490</f>
        <v/>
      </c>
      <c r="CH490" s="4">
        <f>CG490+N(BU490)</f>
        <v/>
      </c>
      <c r="CI490" s="3">
        <f>IF(CG490&lt;=TOTAL_MAX,"sí",IF(CG490&lt;=TOTAL_MAX+MARGEN_NEG,"negociar","no"))</f>
        <v/>
      </c>
      <c r="CJ490" s="4">
        <f>IF(CI490&lt;&gt;"no",COUNTIFS($CI$2:$CI$662,"&lt;&gt;no",$CA$2:$CA$662,"&gt;"&amp;CA490)+COUNTIFS($CI$2:CI490,"&lt;&gt;no",$CA$2:CA490,CA490),"")</f>
        <v/>
      </c>
    </row>
    <row r="491">
      <c r="A491" s="2" t="inlineStr">
        <is>
          <t>cochesnet:71039872</t>
        </is>
      </c>
      <c r="B491" s="2" t="inlineStr">
        <is>
          <t>cochesnet</t>
        </is>
      </c>
      <c r="C491" s="2" t="inlineStr">
        <is>
          <t>https://www.coches.net/citroen-c3-ehdi-115-exclusive-5p-diesel-2013-en-valencia-71039872-covo.aspx</t>
        </is>
      </c>
      <c r="D491" s="2" t="inlineStr">
        <is>
          <t>CITROEN C3 EHDI 115 Exclusive</t>
        </is>
      </c>
      <c r="E491" s="2" t="inlineStr">
        <is>
          <t>Citroën</t>
        </is>
      </c>
      <c r="F491" s="2" t="inlineStr">
        <is>
          <t>Citroën C3</t>
        </is>
      </c>
      <c r="G491" s="2" t="inlineStr">
        <is>
          <t>? HDi</t>
        </is>
      </c>
      <c r="H491" s="2" t="inlineStr">
        <is>
          <t>EHDI 115 Exclusive</t>
        </is>
      </c>
      <c r="I491" s="2" t="n"/>
      <c r="J491" s="2" t="n"/>
      <c r="K491" s="2" t="inlineStr">
        <is>
          <t>diesel</t>
        </is>
      </c>
      <c r="L491" s="2" t="inlineStr">
        <is>
          <t>utilitario</t>
        </is>
      </c>
      <c r="M491" s="2" t="n">
        <v>2013</v>
      </c>
      <c r="N491" s="2" t="n">
        <v>180000</v>
      </c>
      <c r="O491" s="2" t="n">
        <v>4990</v>
      </c>
      <c r="P491" s="2" t="inlineStr">
        <is>
          <t>manual</t>
        </is>
      </c>
      <c r="Q491" s="2" t="inlineStr">
        <is>
          <t>no</t>
        </is>
      </c>
      <c r="R491" s="2" t="inlineStr">
        <is>
          <t>profesional</t>
        </is>
      </c>
      <c r="S491" s="2" t="inlineStr">
        <is>
          <t>Foios</t>
        </is>
      </c>
      <c r="T491" s="2" t="inlineStr">
        <is>
          <t>2026-10-07T11:07:16Z</t>
        </is>
      </c>
      <c r="U491" s="2" t="n">
        <v>13</v>
      </c>
      <c r="V491" s="2" t="n"/>
      <c r="W491" s="2" t="n"/>
      <c r="X491" s="2" t="n"/>
      <c r="Y491" s="2" t="n"/>
      <c r="Z491" s="2" t="inlineStr">
        <is>
          <t>sí</t>
        </is>
      </c>
      <c r="AA491" s="2" t="n"/>
      <c r="AB491" s="2" t="n">
        <v>12</v>
      </c>
      <c r="AC491" s="2" t="n"/>
      <c r="AD491" s="2" t="n"/>
      <c r="AE491" s="2" t="n"/>
      <c r="AF491" s="2" t="n"/>
      <c r="AG491" s="2" t="n"/>
      <c r="AH491" s="2" t="n">
        <v>4990</v>
      </c>
      <c r="AI491" s="2" t="n">
        <v>4990</v>
      </c>
      <c r="AJ491" s="2" t="n"/>
      <c r="AK491" s="2" t="n"/>
      <c r="AL491" s="2" t="n"/>
      <c r="AM491" s="2" t="n">
        <v>7.7</v>
      </c>
      <c r="AN491" s="2" t="n">
        <v>5500</v>
      </c>
      <c r="AO491" s="2" t="n">
        <v>17</v>
      </c>
      <c r="AP491" s="2" t="inlineStr">
        <is>
          <t>modelo+año</t>
        </is>
      </c>
      <c r="AQ491" s="2" t="n"/>
      <c r="AR491"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491" s="2" t="inlineStr"/>
      <c r="AT491" s="2" t="inlineStr">
        <is>
          <t>https://www.coches.net/citroen-c3-ehdi-115-exclusive-5p-diesel-2013-en-valencia-71039872-covo.aspx (window.__INITIAL_PROPS__.ad) /home/user/Alopecia/buscador-coches/raw/cochesnet/860d9c5e45d2dc6a.json</t>
        </is>
      </c>
      <c r="AU491" s="3">
        <f>MAX(ANIO_ACTUAL-M491,0)</f>
        <v/>
      </c>
      <c r="AV491" s="4">
        <f>N491/MAX(AU491,0.5)</f>
        <v/>
      </c>
      <c r="AW491" s="4">
        <f>F491</f>
        <v/>
      </c>
      <c r="AX491" s="3">
        <f>AW491&amp;"|"&amp;INT(M491/SEG_ANIO)*SEG_ANIO</f>
        <v/>
      </c>
      <c r="AY491" s="3">
        <f>AX491&amp;"|"&amp;INT(N491/SEG_KM)*SEG_KM</f>
        <v/>
      </c>
      <c r="AZ491" s="4">
        <f>COUNTIF($AW$2:$AW$662,AW491)</f>
        <v/>
      </c>
      <c r="BA491" s="4">
        <f>COUNTIF($AX$2:$AX$662,AX491)</f>
        <v/>
      </c>
      <c r="BB491" s="4">
        <f>COUNTIF($AY$2:$AY$662,AY491)</f>
        <v/>
      </c>
      <c r="BC491" s="3">
        <f t="array" ref="BC491">IF(N(AO491)&gt;=MIN_N,AN491,IF(BB491&gt;=MIN_N,MEDIAN(IF($AY$2:$AY$662=AY491,$O$2:$O$662)),IF(BA491&gt;=MIN_N,MEDIAN(IF($AX$2:$AX$662=AX491,$O$2:$O$662)),MEDIAN(IF($AW$2:$AW$662=AW491,$O$2:$O$662)))))</f>
        <v/>
      </c>
      <c r="BD491" s="3">
        <f>IF(N(AO491)&gt;=MIN_N,"mercado "&amp;AP491,IF(BB491&gt;=MIN_N,"modelo+año+km",IF(BA491&gt;=MIN_N,"modelo+año","modelo")))</f>
        <v/>
      </c>
      <c r="BE491" s="4">
        <f>(BC491-O491)/BC491</f>
        <v/>
      </c>
      <c r="BF491" s="3">
        <f>IF(OR(K491="hibrido",K491="glp"),"ECO",IF(K491="electrico","CERO",IF(K491="gasolina",IF(M491&gt;=GAS_C,"C",IF(M491&gt;=GAS_B,"B","A")),IF(K491="diesel",IF(M491&gt;=DIE_C,"C",IF(M491&gt;=DIE_B,"B","A")),""))))</f>
        <v/>
      </c>
      <c r="BG491" s="3">
        <f>IFERROR(VLOOKUP(F491,MOD_TBL,11,0),IFERROR(VLOOKUP(E491,OCU_TBL,2,0),NEUTRO))</f>
        <v/>
      </c>
      <c r="BH491" s="3">
        <f>SUMIFS(MOT_AJUSTE,MOT_MOTOR,G491,MOT_MARCA,E491,MOT_DESDE,"&lt;="&amp;M491,MOT_HASTA,"&gt;="&amp;M491)+SUMIFS(MOT_AJUSTE,MOT_MOTOR,G491,MOT_MARCA,"(todas)",MOT_DESDE,"&lt;="&amp;M491,MOT_HASTA,"&gt;="&amp;M491)</f>
        <v/>
      </c>
      <c r="BI491" s="3">
        <f>SUMIFS(COMB_AJUSTE,COMB_COMB,K491)</f>
        <v/>
      </c>
      <c r="BJ491" s="3">
        <f>COUNTIFS(MOT_MOTOR,G491,MOT_MARCA,E491,MOT_DESDE,"&lt;="&amp;M491,MOT_HASTA,"&gt;="&amp;M491)+COUNTIFS(MOT_MOTOR,G491,MOT_MARCA,"(todas)",MOT_DESDE,"&lt;="&amp;M491,MOT_HASTA,"&gt;="&amp;M491)</f>
        <v/>
      </c>
      <c r="BK491" s="3">
        <f>IF(AND(K491="diesel",BJ491=0),MIN(BG491,NEUTRO),BG491)</f>
        <v/>
      </c>
      <c r="BL491" s="4">
        <f>MAX(0,MIN(100,BK491+BH491+BI491))</f>
        <v/>
      </c>
      <c r="BM491" s="3">
        <f>MAX(0,MIN(100,50+BE491*PRECIO_PEND))</f>
        <v/>
      </c>
      <c r="BN491" s="3">
        <f>MAX(0,100*(1-N491/KM_MAX))</f>
        <v/>
      </c>
      <c r="BO491" s="3">
        <f>IF(AV491&lt;KMA_SOSP,IF(AA491="sí",100,KMA_PEN),IF(AV491&lt;=KMA_IDEAL_MAX,100,MAX(0,100*(KMA_CERO-AV491)/(KMA_CERO-KMA_IDEAL_MAX))))</f>
        <v/>
      </c>
      <c r="BP491" s="3">
        <f>MAX(0,MIN(100,100*(M491-ANIO_MIN)/(ANIO_ACTUAL-ANIO_MIN)))</f>
        <v/>
      </c>
      <c r="BQ491" s="3">
        <f>W_KMT*BN491+W_KMA*BO491+W_EDAD*BP491</f>
        <v/>
      </c>
      <c r="BR491" s="3">
        <f>P_ITV*(V491="sí")+P_LIBRO*(W491="sí")+P_CORREA*(X491="sí")+P_PROP*(Y491=1)+P_GAR*(Z491="sí")+P_FOTOS*MIN(1,N(U491)/FOTOS_OBJ)</f>
        <v/>
      </c>
      <c r="BS491" s="3">
        <f>IFERROR(VLOOKUP(BF491,ETQ_TBL,2,0),NEUTRO)</f>
        <v/>
      </c>
      <c r="BT491" s="3">
        <f>NEUTRO</f>
        <v/>
      </c>
      <c r="BU491" s="3">
        <f>IFERROR(VLOOKUP(L491,SEGURO_TBL,3,0),"")</f>
        <v/>
      </c>
      <c r="BV491" s="3">
        <f>IF(BU491="",NEUTRO,MAX(0,MIN(100,100*(SEG_REF_MAX-BU491)/(SEG_REF_MAX-SEG_REF_MIN))))</f>
        <v/>
      </c>
      <c r="BW491" s="3">
        <f>W_ET*BS491+W_CONS*BT491+W_SEG*BV491</f>
        <v/>
      </c>
      <c r="BX491" s="3">
        <f>IF(N(AB491)&gt;0,AB491,IF(AND(R491="profesional",SG_LEGAL_ON=1),GAR_LEGAL,0))</f>
        <v/>
      </c>
      <c r="BY491" s="3">
        <f>SG_GAR*MIN(1,BX491/SG_GAR_FULL)+SG_AMPL*(AC491="sí")+SG_KMC*(AF491="sí")+SG_REV*(N(AE491)&gt;0)+SG_DEV*MIN(1,N(AG491)/SG_DEV_FULL)+SG_HIST*(W491="sí")</f>
        <v/>
      </c>
      <c r="BZ491" s="3">
        <f>IFERROR(VLOOKUP(L491,CARR_PEN_TBL,2,0),0)</f>
        <v/>
      </c>
      <c r="CA491" s="3">
        <f>W_FIAB*BL491+W_PRECIO*BM491+W_KMEDAD*BQ491+W_ANUNCIO*BR491+W_USO*BW491+W_SEGURIDAD*BY491-BZ491</f>
        <v/>
      </c>
      <c r="CB491" s="4">
        <f>IF(N(I491)&gt;0,I491,IFERROR(ROUND(_xlfn.NUMBERVALUE(LEFT(G491,FIND(" ",G491&amp;" ")-1),".")*1000,0),99999))</f>
        <v/>
      </c>
      <c r="CC491" s="3">
        <f>IF(R491="profesional",0,IF(O491&lt;CUOTA_VALOR_MAX,IF(AU491&gt;ITP_TRAMO_ALTO,SUMIFS(CF_CUOTA,CF_MAS,ITP_TRAMO_ALTO,CF_CCMIN,"&lt;="&amp;CB491,CF_CCMAX,"&gt;="&amp;CB491),IF(AU491&gt;ITP_TRAMO_BAJO,SUMIFS(CF_CUOTA,CF_MAS,ITP_TRAMO_BAJO,CF_CCMIN,"&lt;="&amp;CB491,CF_CCMAX,"&gt;="&amp;CB491),O491*ITP_TIPO)),O491*ITP_TIPO))</f>
        <v/>
      </c>
      <c r="CD491" s="4">
        <f>IF(R491="profesional",N(AK491),0)</f>
        <v/>
      </c>
      <c r="CE491" s="3">
        <f>IF(AND(R491="profesional",ISNUMBER(AK491),AL491="sí"),0,TASA_DGT)</f>
        <v/>
      </c>
      <c r="CF491" s="3">
        <f>INFORME_DGT</f>
        <v/>
      </c>
      <c r="CG491" s="4">
        <f>O491+CD491+CC491+CE491+CF491</f>
        <v/>
      </c>
      <c r="CH491" s="4">
        <f>CG491+N(BU491)</f>
        <v/>
      </c>
      <c r="CI491" s="3">
        <f>IF(CG491&lt;=TOTAL_MAX,"sí",IF(CG491&lt;=TOTAL_MAX+MARGEN_NEG,"negociar","no"))</f>
        <v/>
      </c>
      <c r="CJ491" s="4">
        <f>IF(CI491&lt;&gt;"no",COUNTIFS($CI$2:$CI$662,"&lt;&gt;no",$CA$2:$CA$662,"&gt;"&amp;CA491)+COUNTIFS($CI$2:CI491,"&lt;&gt;no",$CA$2:CA491,CA491),"")</f>
        <v/>
      </c>
    </row>
    <row r="492">
      <c r="A492" s="2" t="inlineStr">
        <is>
          <t>cochesnet:71055232</t>
        </is>
      </c>
      <c r="B492" s="2" t="inlineStr">
        <is>
          <t>cochesnet</t>
        </is>
      </c>
      <c r="C492" s="2" t="inlineStr">
        <is>
          <t>https://www.coches.net/citroen-c3-vti-68cv-tonic-5p-gasolina-2013-en-valencia-71055232-covo.aspx</t>
        </is>
      </c>
      <c r="D492" s="2" t="inlineStr">
        <is>
          <t>CITROEN C3 VTi Tonic</t>
        </is>
      </c>
      <c r="E492" s="2" t="inlineStr">
        <is>
          <t>Citroën</t>
        </is>
      </c>
      <c r="F492" s="2" t="inlineStr">
        <is>
          <t>Citroën C3</t>
        </is>
      </c>
      <c r="G492" s="2" t="inlineStr">
        <is>
          <t>? VTi</t>
        </is>
      </c>
      <c r="H492" s="2" t="inlineStr">
        <is>
          <t>VTi 68cv Tonic</t>
        </is>
      </c>
      <c r="I492" s="2" t="n"/>
      <c r="J492" s="2" t="n">
        <v>68</v>
      </c>
      <c r="K492" s="2" t="inlineStr">
        <is>
          <t>gasolina</t>
        </is>
      </c>
      <c r="L492" s="2" t="inlineStr">
        <is>
          <t>utilitario</t>
        </is>
      </c>
      <c r="M492" s="2" t="n">
        <v>2013</v>
      </c>
      <c r="N492" s="2" t="n">
        <v>126000</v>
      </c>
      <c r="O492" s="2" t="n">
        <v>5000</v>
      </c>
      <c r="P492" s="2" t="inlineStr">
        <is>
          <t>manual</t>
        </is>
      </c>
      <c r="Q492" s="2" t="inlineStr">
        <is>
          <t>no</t>
        </is>
      </c>
      <c r="R492" s="2" t="inlineStr">
        <is>
          <t>particular</t>
        </is>
      </c>
      <c r="S492" s="2" t="inlineStr">
        <is>
          <t>Alzira</t>
        </is>
      </c>
      <c r="T492" s="2" t="inlineStr">
        <is>
          <t>2026-09-22T07:11:11Z</t>
        </is>
      </c>
      <c r="U492" s="2" t="n">
        <v>10</v>
      </c>
      <c r="V492" s="2" t="n"/>
      <c r="W492" s="2" t="n"/>
      <c r="X492" s="2" t="n"/>
      <c r="Y492" s="2" t="n"/>
      <c r="Z492" s="2" t="inlineStr">
        <is>
          <t>no</t>
        </is>
      </c>
      <c r="AA492" s="2" t="n"/>
      <c r="AB492" s="2" t="n"/>
      <c r="AC492" s="2" t="n"/>
      <c r="AD492" s="2" t="n"/>
      <c r="AE492" s="2" t="n"/>
      <c r="AF492" s="2" t="n"/>
      <c r="AG492" s="2" t="n"/>
      <c r="AH492" s="2" t="n">
        <v>5000</v>
      </c>
      <c r="AI492" s="2" t="n"/>
      <c r="AJ492" s="2" t="n"/>
      <c r="AK492" s="2" t="n"/>
      <c r="AL492" s="2" t="n"/>
      <c r="AM492" s="2" t="n">
        <v>35.7</v>
      </c>
      <c r="AN492" s="2" t="n">
        <v>5990</v>
      </c>
      <c r="AO492" s="2" t="n">
        <v>9</v>
      </c>
      <c r="AP492" s="2" t="inlineStr">
        <is>
          <t>modelo+año+km</t>
        </is>
      </c>
      <c r="AQ492" s="2" t="n"/>
      <c r="AR492" s="2" t="inlineStr">
        <is>
          <t>por encima del presupuesto (5204 €), negociar; cilindrada desconocida: se aplica el tramo de cuota fija más alto; antigüedad en el límite del tramo: depende de la fecha exacta de matriculación; cuota fija ITP: &gt;12 años, más de 2.000 cc</t>
        </is>
      </c>
      <c r="AS492" s="2" t="inlineStr">
        <is>
          <t>Si buscas un coche que combine comodidad, eficiencia y diseño, este es para ti.
Te presento mi Citroën C3 VTi 68cv Tonic, un berlina versátil y fiable que se adapta perfectamente tanto a la conducción urbana como a trayectos más largos. Con un motor de 999 cc y 68 CV, ofrece un excelente equilibrio entre potencia y consumo moderado, ideal para quienes valoran la economía sin renunciar al rendimiento. Tiene la distribución recién cambiada por una de larga duración, el catalizador y todo el mantenimiento de motor recién hecho, para no tener problemas en mucho tiempo.
El vehículo se encuentra en buen estado general, tanto en el interior como en el exterior. Su carrocería blanca mantiene un aspecto cuidado, y la mecánica responde sin problemas. Con cambio manual y cinco plazas, es práctico y funcional para la familia o para viajes en grupo.
A este precio de 4.800 euros, estás adquiriendo un coche con años de servicio por delante, perfecto para quien busca una solución de transporte económica y sin complicaciones. El motor de gasolina sin plomo es eficiente en consumo, lo que te permitirá ahorrar en carburante a largo plazo..</t>
        </is>
      </c>
      <c r="AT492" s="2" t="inlineStr">
        <is>
          <t>https://www.coches.net/citroen-c3-vti-68cv-tonic-5p-gasolina-2013-en-valencia-71055232-covo.aspx (window.__INITIAL_PROPS__.ad) /home/user/Alopecia/buscador-coches/raw/cochesnet/44e46e96a0af66d2.json</t>
        </is>
      </c>
      <c r="AU492" s="3">
        <f>MAX(ANIO_ACTUAL-M492,0)</f>
        <v/>
      </c>
      <c r="AV492" s="4">
        <f>N492/MAX(AU492,0.5)</f>
        <v/>
      </c>
      <c r="AW492" s="4">
        <f>F492</f>
        <v/>
      </c>
      <c r="AX492" s="3">
        <f>AW492&amp;"|"&amp;INT(M492/SEG_ANIO)*SEG_ANIO</f>
        <v/>
      </c>
      <c r="AY492" s="3">
        <f>AX492&amp;"|"&amp;INT(N492/SEG_KM)*SEG_KM</f>
        <v/>
      </c>
      <c r="AZ492" s="4">
        <f>COUNTIF($AW$2:$AW$662,AW492)</f>
        <v/>
      </c>
      <c r="BA492" s="4">
        <f>COUNTIF($AX$2:$AX$662,AX492)</f>
        <v/>
      </c>
      <c r="BB492" s="4">
        <f>COUNTIF($AY$2:$AY$662,AY492)</f>
        <v/>
      </c>
      <c r="BC492" s="3">
        <f t="array" ref="BC492">IF(N(AO492)&gt;=MIN_N,AN492,IF(BB492&gt;=MIN_N,MEDIAN(IF($AY$2:$AY$662=AY492,$O$2:$O$662)),IF(BA492&gt;=MIN_N,MEDIAN(IF($AX$2:$AX$662=AX492,$O$2:$O$662)),MEDIAN(IF($AW$2:$AW$662=AW492,$O$2:$O$662)))))</f>
        <v/>
      </c>
      <c r="BD492" s="3">
        <f>IF(N(AO492)&gt;=MIN_N,"mercado "&amp;AP492,IF(BB492&gt;=MIN_N,"modelo+año+km",IF(BA492&gt;=MIN_N,"modelo+año","modelo")))</f>
        <v/>
      </c>
      <c r="BE492" s="4">
        <f>(BC492-O492)/BC492</f>
        <v/>
      </c>
      <c r="BF492" s="3">
        <f>IF(OR(K492="hibrido",K492="glp"),"ECO",IF(K492="electrico","CERO",IF(K492="gasolina",IF(M492&gt;=GAS_C,"C",IF(M492&gt;=GAS_B,"B","A")),IF(K492="diesel",IF(M492&gt;=DIE_C,"C",IF(M492&gt;=DIE_B,"B","A")),""))))</f>
        <v/>
      </c>
      <c r="BG492" s="3">
        <f>IFERROR(VLOOKUP(F492,MOD_TBL,11,0),IFERROR(VLOOKUP(E492,OCU_TBL,2,0),NEUTRO))</f>
        <v/>
      </c>
      <c r="BH492" s="3">
        <f>SUMIFS(MOT_AJUSTE,MOT_MOTOR,G492,MOT_MARCA,E492,MOT_DESDE,"&lt;="&amp;M492,MOT_HASTA,"&gt;="&amp;M492)+SUMIFS(MOT_AJUSTE,MOT_MOTOR,G492,MOT_MARCA,"(todas)",MOT_DESDE,"&lt;="&amp;M492,MOT_HASTA,"&gt;="&amp;M492)</f>
        <v/>
      </c>
      <c r="BI492" s="3">
        <f>SUMIFS(COMB_AJUSTE,COMB_COMB,K492)</f>
        <v/>
      </c>
      <c r="BJ492" s="3">
        <f>COUNTIFS(MOT_MOTOR,G492,MOT_MARCA,E492,MOT_DESDE,"&lt;="&amp;M492,MOT_HASTA,"&gt;="&amp;M492)+COUNTIFS(MOT_MOTOR,G492,MOT_MARCA,"(todas)",MOT_DESDE,"&lt;="&amp;M492,MOT_HASTA,"&gt;="&amp;M492)</f>
        <v/>
      </c>
      <c r="BK492" s="3">
        <f>IF(AND(K492="diesel",BJ492=0),MIN(BG492,NEUTRO),BG492)</f>
        <v/>
      </c>
      <c r="BL492" s="4">
        <f>MAX(0,MIN(100,BK492+BH492+BI492))</f>
        <v/>
      </c>
      <c r="BM492" s="3">
        <f>MAX(0,MIN(100,50+BE492*PRECIO_PEND))</f>
        <v/>
      </c>
      <c r="BN492" s="3">
        <f>MAX(0,100*(1-N492/KM_MAX))</f>
        <v/>
      </c>
      <c r="BO492" s="3">
        <f>IF(AV492&lt;KMA_SOSP,IF(AA492="sí",100,KMA_PEN),IF(AV492&lt;=KMA_IDEAL_MAX,100,MAX(0,100*(KMA_CERO-AV492)/(KMA_CERO-KMA_IDEAL_MAX))))</f>
        <v/>
      </c>
      <c r="BP492" s="3">
        <f>MAX(0,MIN(100,100*(M492-ANIO_MIN)/(ANIO_ACTUAL-ANIO_MIN)))</f>
        <v/>
      </c>
      <c r="BQ492" s="3">
        <f>W_KMT*BN492+W_KMA*BO492+W_EDAD*BP492</f>
        <v/>
      </c>
      <c r="BR492" s="3">
        <f>P_ITV*(V492="sí")+P_LIBRO*(W492="sí")+P_CORREA*(X492="sí")+P_PROP*(Y492=1)+P_GAR*(Z492="sí")+P_FOTOS*MIN(1,N(U492)/FOTOS_OBJ)</f>
        <v/>
      </c>
      <c r="BS492" s="3">
        <f>IFERROR(VLOOKUP(BF492,ETQ_TBL,2,0),NEUTRO)</f>
        <v/>
      </c>
      <c r="BT492" s="3">
        <f>NEUTRO</f>
        <v/>
      </c>
      <c r="BU492" s="3">
        <f>IFERROR(VLOOKUP(L492,SEGURO_TBL,3,0),"")</f>
        <v/>
      </c>
      <c r="BV492" s="3">
        <f>IF(BU492="",NEUTRO,MAX(0,MIN(100,100*(SEG_REF_MAX-BU492)/(SEG_REF_MAX-SEG_REF_MIN))))</f>
        <v/>
      </c>
      <c r="BW492" s="3">
        <f>W_ET*BS492+W_CONS*BT492+W_SEG*BV492</f>
        <v/>
      </c>
      <c r="BX492" s="3">
        <f>IF(N(AB492)&gt;0,AB492,IF(AND(R492="profesional",SG_LEGAL_ON=1),GAR_LEGAL,0))</f>
        <v/>
      </c>
      <c r="BY492" s="3">
        <f>SG_GAR*MIN(1,BX492/SG_GAR_FULL)+SG_AMPL*(AC492="sí")+SG_KMC*(AF492="sí")+SG_REV*(N(AE492)&gt;0)+SG_DEV*MIN(1,N(AG492)/SG_DEV_FULL)+SG_HIST*(W492="sí")</f>
        <v/>
      </c>
      <c r="BZ492" s="3">
        <f>IFERROR(VLOOKUP(L492,CARR_PEN_TBL,2,0),0)</f>
        <v/>
      </c>
      <c r="CA492" s="3">
        <f>W_FIAB*BL492+W_PRECIO*BM492+W_KMEDAD*BQ492+W_ANUNCIO*BR492+W_USO*BW492+W_SEGURIDAD*BY492-BZ492</f>
        <v/>
      </c>
      <c r="CB492" s="4">
        <f>IF(N(I492)&gt;0,I492,IFERROR(ROUND(_xlfn.NUMBERVALUE(LEFT(G492,FIND(" ",G492&amp;" ")-1),".")*1000,0),99999))</f>
        <v/>
      </c>
      <c r="CC492" s="3">
        <f>IF(R492="profesional",0,IF(O492&lt;CUOTA_VALOR_MAX,IF(AU492&gt;ITP_TRAMO_ALTO,SUMIFS(CF_CUOTA,CF_MAS,ITP_TRAMO_ALTO,CF_CCMIN,"&lt;="&amp;CB492,CF_CCMAX,"&gt;="&amp;CB492),IF(AU492&gt;ITP_TRAMO_BAJO,SUMIFS(CF_CUOTA,CF_MAS,ITP_TRAMO_BAJO,CF_CCMIN,"&lt;="&amp;CB492,CF_CCMAX,"&gt;="&amp;CB492),O492*ITP_TIPO)),O492*ITP_TIPO))</f>
        <v/>
      </c>
      <c r="CD492" s="4">
        <f>IF(R492="profesional",N(AK492),0)</f>
        <v/>
      </c>
      <c r="CE492" s="3">
        <f>IF(AND(R492="profesional",ISNUMBER(AK492),AL492="sí"),0,TASA_DGT)</f>
        <v/>
      </c>
      <c r="CF492" s="3">
        <f>INFORME_DGT</f>
        <v/>
      </c>
      <c r="CG492" s="4">
        <f>O492+CD492+CC492+CE492+CF492</f>
        <v/>
      </c>
      <c r="CH492" s="4">
        <f>CG492+N(BU492)</f>
        <v/>
      </c>
      <c r="CI492" s="3">
        <f>IF(CG492&lt;=TOTAL_MAX,"sí",IF(CG492&lt;=TOTAL_MAX+MARGEN_NEG,"negociar","no"))</f>
        <v/>
      </c>
      <c r="CJ492" s="4">
        <f>IF(CI492&lt;&gt;"no",COUNTIFS($CI$2:$CI$662,"&lt;&gt;no",$CA$2:$CA$662,"&gt;"&amp;CA492)+COUNTIFS($CI$2:CI492,"&lt;&gt;no",$CA$2:CA492,CA492),"")</f>
        <v/>
      </c>
    </row>
    <row r="493">
      <c r="A493" s="2" t="inlineStr">
        <is>
          <t>cochesnet:71679274</t>
        </is>
      </c>
      <c r="B493" s="2" t="inlineStr">
        <is>
          <t>cochesnet</t>
        </is>
      </c>
      <c r="C493" s="2" t="inlineStr">
        <is>
          <t>https://www.coches.net/citroen-c4-14-16v-lx-5p-gasolina-2004-en-valencia-71679274-covo.aspx</t>
        </is>
      </c>
      <c r="D493" s="2" t="inlineStr">
        <is>
          <t>CITROEN C4 1.4 16v LX</t>
        </is>
      </c>
      <c r="E493" s="2" t="inlineStr">
        <is>
          <t>Citroën</t>
        </is>
      </c>
      <c r="F493" s="2" t="inlineStr">
        <is>
          <t>Citroën C4</t>
        </is>
      </c>
      <c r="G493" s="2" t="inlineStr">
        <is>
          <t>1.4</t>
        </is>
      </c>
      <c r="H493" s="2" t="n"/>
      <c r="I493" s="2" t="n"/>
      <c r="J493" s="2" t="n"/>
      <c r="K493" s="2" t="inlineStr">
        <is>
          <t>gasolina</t>
        </is>
      </c>
      <c r="L493" s="2" t="inlineStr">
        <is>
          <t>compacto</t>
        </is>
      </c>
      <c r="M493" s="2" t="n">
        <v>2007</v>
      </c>
      <c r="N493" s="2" t="n">
        <v>144000</v>
      </c>
      <c r="O493" s="2" t="n">
        <v>3790</v>
      </c>
      <c r="P493" s="2" t="n"/>
      <c r="Q493" s="2" t="n"/>
      <c r="R493" s="2" t="inlineStr">
        <is>
          <t>profesional</t>
        </is>
      </c>
      <c r="S493" s="2" t="inlineStr">
        <is>
          <t>Torrent</t>
        </is>
      </c>
      <c r="T493" s="2" t="inlineStr">
        <is>
          <t>2026-10-05T19:17:25Z</t>
        </is>
      </c>
      <c r="U493" s="2" t="n">
        <v>11</v>
      </c>
      <c r="V493" s="2" t="n"/>
      <c r="W493" s="2" t="n"/>
      <c r="X493" s="2" t="n"/>
      <c r="Y493" s="2" t="n"/>
      <c r="Z493" s="2" t="inlineStr">
        <is>
          <t>sí</t>
        </is>
      </c>
      <c r="AA493" s="2" t="n"/>
      <c r="AB493" s="2" t="n">
        <v>12</v>
      </c>
      <c r="AC493" s="2" t="n"/>
      <c r="AD493" s="2" t="n"/>
      <c r="AE493" s="2" t="n"/>
      <c r="AF493" s="2" t="n"/>
      <c r="AG493" s="2" t="n"/>
      <c r="AH493" s="2" t="n">
        <v>3790</v>
      </c>
      <c r="AI493" s="2" t="n"/>
      <c r="AJ493" s="2" t="n"/>
      <c r="AK493" s="2" t="n"/>
      <c r="AL493" s="2" t="n"/>
      <c r="AM493" s="2" t="n"/>
      <c r="AN493" s="2" t="n">
        <v>3797</v>
      </c>
      <c r="AO493" s="2" t="n">
        <v>9</v>
      </c>
      <c r="AP493" s="2" t="inlineStr">
        <is>
          <t>modelo+año+km</t>
        </is>
      </c>
      <c r="AQ493" s="2" t="n"/>
      <c r="AR493"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493" s="2" t="inlineStr"/>
      <c r="AT493" s="2" t="inlineStr">
        <is>
          <t>https://www.coches.net/citroen/c4/segunda-mano/valencia/?pg=2 /home/user/Alopecia/buscador-coches/raw/cochesnet/7735a7ce7f2bdd1e.json</t>
        </is>
      </c>
      <c r="AU493" s="3">
        <f>MAX(ANIO_ACTUAL-M493,0)</f>
        <v/>
      </c>
      <c r="AV493" s="4">
        <f>N493/MAX(AU493,0.5)</f>
        <v/>
      </c>
      <c r="AW493" s="4">
        <f>F493</f>
        <v/>
      </c>
      <c r="AX493" s="3">
        <f>AW493&amp;"|"&amp;INT(M493/SEG_ANIO)*SEG_ANIO</f>
        <v/>
      </c>
      <c r="AY493" s="3">
        <f>AX493&amp;"|"&amp;INT(N493/SEG_KM)*SEG_KM</f>
        <v/>
      </c>
      <c r="AZ493" s="4">
        <f>COUNTIF($AW$2:$AW$662,AW493)</f>
        <v/>
      </c>
      <c r="BA493" s="4">
        <f>COUNTIF($AX$2:$AX$662,AX493)</f>
        <v/>
      </c>
      <c r="BB493" s="4">
        <f>COUNTIF($AY$2:$AY$662,AY493)</f>
        <v/>
      </c>
      <c r="BC493" s="3">
        <f t="array" ref="BC493">IF(N(AO493)&gt;=MIN_N,AN493,IF(BB493&gt;=MIN_N,MEDIAN(IF($AY$2:$AY$662=AY493,$O$2:$O$662)),IF(BA493&gt;=MIN_N,MEDIAN(IF($AX$2:$AX$662=AX493,$O$2:$O$662)),MEDIAN(IF($AW$2:$AW$662=AW493,$O$2:$O$662)))))</f>
        <v/>
      </c>
      <c r="BD493" s="3">
        <f>IF(N(AO493)&gt;=MIN_N,"mercado "&amp;AP493,IF(BB493&gt;=MIN_N,"modelo+año+km",IF(BA493&gt;=MIN_N,"modelo+año","modelo")))</f>
        <v/>
      </c>
      <c r="BE493" s="4">
        <f>(BC493-O493)/BC493</f>
        <v/>
      </c>
      <c r="BF493" s="3">
        <f>IF(OR(K493="hibrido",K493="glp"),"ECO",IF(K493="electrico","CERO",IF(K493="gasolina",IF(M493&gt;=GAS_C,"C",IF(M493&gt;=GAS_B,"B","A")),IF(K493="diesel",IF(M493&gt;=DIE_C,"C",IF(M493&gt;=DIE_B,"B","A")),""))))</f>
        <v/>
      </c>
      <c r="BG493" s="3">
        <f>IFERROR(VLOOKUP(F493,MOD_TBL,11,0),IFERROR(VLOOKUP(E493,OCU_TBL,2,0),NEUTRO))</f>
        <v/>
      </c>
      <c r="BH493" s="3">
        <f>SUMIFS(MOT_AJUSTE,MOT_MOTOR,G493,MOT_MARCA,E493,MOT_DESDE,"&lt;="&amp;M493,MOT_HASTA,"&gt;="&amp;M493)+SUMIFS(MOT_AJUSTE,MOT_MOTOR,G493,MOT_MARCA,"(todas)",MOT_DESDE,"&lt;="&amp;M493,MOT_HASTA,"&gt;="&amp;M493)</f>
        <v/>
      </c>
      <c r="BI493" s="3">
        <f>SUMIFS(COMB_AJUSTE,COMB_COMB,K493)</f>
        <v/>
      </c>
      <c r="BJ493" s="3">
        <f>COUNTIFS(MOT_MOTOR,G493,MOT_MARCA,E493,MOT_DESDE,"&lt;="&amp;M493,MOT_HASTA,"&gt;="&amp;M493)+COUNTIFS(MOT_MOTOR,G493,MOT_MARCA,"(todas)",MOT_DESDE,"&lt;="&amp;M493,MOT_HASTA,"&gt;="&amp;M493)</f>
        <v/>
      </c>
      <c r="BK493" s="3">
        <f>IF(AND(K493="diesel",BJ493=0),MIN(BG493,NEUTRO),BG493)</f>
        <v/>
      </c>
      <c r="BL493" s="4">
        <f>MAX(0,MIN(100,BK493+BH493+BI493))</f>
        <v/>
      </c>
      <c r="BM493" s="3">
        <f>MAX(0,MIN(100,50+BE493*PRECIO_PEND))</f>
        <v/>
      </c>
      <c r="BN493" s="3">
        <f>MAX(0,100*(1-N493/KM_MAX))</f>
        <v/>
      </c>
      <c r="BO493" s="3">
        <f>IF(AV493&lt;KMA_SOSP,IF(AA493="sí",100,KMA_PEN),IF(AV493&lt;=KMA_IDEAL_MAX,100,MAX(0,100*(KMA_CERO-AV493)/(KMA_CERO-KMA_IDEAL_MAX))))</f>
        <v/>
      </c>
      <c r="BP493" s="3">
        <f>MAX(0,MIN(100,100*(M493-ANIO_MIN)/(ANIO_ACTUAL-ANIO_MIN)))</f>
        <v/>
      </c>
      <c r="BQ493" s="3">
        <f>W_KMT*BN493+W_KMA*BO493+W_EDAD*BP493</f>
        <v/>
      </c>
      <c r="BR493" s="3">
        <f>P_ITV*(V493="sí")+P_LIBRO*(W493="sí")+P_CORREA*(X493="sí")+P_PROP*(Y493=1)+P_GAR*(Z493="sí")+P_FOTOS*MIN(1,N(U493)/FOTOS_OBJ)</f>
        <v/>
      </c>
      <c r="BS493" s="3">
        <f>IFERROR(VLOOKUP(BF493,ETQ_TBL,2,0),NEUTRO)</f>
        <v/>
      </c>
      <c r="BT493" s="3">
        <f>NEUTRO</f>
        <v/>
      </c>
      <c r="BU493" s="3">
        <f>IFERROR(VLOOKUP(L493,SEGURO_TBL,3,0),"")</f>
        <v/>
      </c>
      <c r="BV493" s="3">
        <f>IF(BU493="",NEUTRO,MAX(0,MIN(100,100*(SEG_REF_MAX-BU493)/(SEG_REF_MAX-SEG_REF_MIN))))</f>
        <v/>
      </c>
      <c r="BW493" s="3">
        <f>W_ET*BS493+W_CONS*BT493+W_SEG*BV493</f>
        <v/>
      </c>
      <c r="BX493" s="3">
        <f>IF(N(AB493)&gt;0,AB493,IF(AND(R493="profesional",SG_LEGAL_ON=1),GAR_LEGAL,0))</f>
        <v/>
      </c>
      <c r="BY493" s="3">
        <f>SG_GAR*MIN(1,BX493/SG_GAR_FULL)+SG_AMPL*(AC493="sí")+SG_KMC*(AF493="sí")+SG_REV*(N(AE493)&gt;0)+SG_DEV*MIN(1,N(AG493)/SG_DEV_FULL)+SG_HIST*(W493="sí")</f>
        <v/>
      </c>
      <c r="BZ493" s="3">
        <f>IFERROR(VLOOKUP(L493,CARR_PEN_TBL,2,0),0)</f>
        <v/>
      </c>
      <c r="CA493" s="3">
        <f>W_FIAB*BL493+W_PRECIO*BM493+W_KMEDAD*BQ493+W_ANUNCIO*BR493+W_USO*BW493+W_SEGURIDAD*BY493-BZ493</f>
        <v/>
      </c>
      <c r="CB493" s="4">
        <f>IF(N(I493)&gt;0,I493,IFERROR(ROUND(_xlfn.NUMBERVALUE(LEFT(G493,FIND(" ",G493&amp;" ")-1),".")*1000,0),99999))</f>
        <v/>
      </c>
      <c r="CC493" s="3">
        <f>IF(R493="profesional",0,IF(O493&lt;CUOTA_VALOR_MAX,IF(AU493&gt;ITP_TRAMO_ALTO,SUMIFS(CF_CUOTA,CF_MAS,ITP_TRAMO_ALTO,CF_CCMIN,"&lt;="&amp;CB493,CF_CCMAX,"&gt;="&amp;CB493),IF(AU493&gt;ITP_TRAMO_BAJO,SUMIFS(CF_CUOTA,CF_MAS,ITP_TRAMO_BAJO,CF_CCMIN,"&lt;="&amp;CB493,CF_CCMAX,"&gt;="&amp;CB493),O493*ITP_TIPO)),O493*ITP_TIPO))</f>
        <v/>
      </c>
      <c r="CD493" s="4">
        <f>IF(R493="profesional",N(AK493),0)</f>
        <v/>
      </c>
      <c r="CE493" s="3">
        <f>IF(AND(R493="profesional",ISNUMBER(AK493),AL493="sí"),0,TASA_DGT)</f>
        <v/>
      </c>
      <c r="CF493" s="3">
        <f>INFORME_DGT</f>
        <v/>
      </c>
      <c r="CG493" s="4">
        <f>O493+CD493+CC493+CE493+CF493</f>
        <v/>
      </c>
      <c r="CH493" s="4">
        <f>CG493+N(BU493)</f>
        <v/>
      </c>
      <c r="CI493" s="3">
        <f>IF(CG493&lt;=TOTAL_MAX,"sí",IF(CG493&lt;=TOTAL_MAX+MARGEN_NEG,"negociar","no"))</f>
        <v/>
      </c>
      <c r="CJ493" s="4">
        <f>IF(CI493&lt;&gt;"no",COUNTIFS($CI$2:$CI$662,"&lt;&gt;no",$CA$2:$CA$662,"&gt;"&amp;CA493)+COUNTIFS($CI$2:CI493,"&lt;&gt;no",$CA$2:CA493,CA493),"")</f>
        <v/>
      </c>
    </row>
    <row r="494">
      <c r="A494" s="2" t="inlineStr">
        <is>
          <t>cochesnet:71546211</t>
        </is>
      </c>
      <c r="B494" s="2" t="inlineStr">
        <is>
          <t>cochesnet</t>
        </is>
      </c>
      <c r="C494" s="2" t="inlineStr">
        <is>
          <t>https://www.coches.net/citroen-c4-16-hdi-90-vtnv-5p-diesel-2010-en-valencia-71546211-covo.aspx</t>
        </is>
      </c>
      <c r="D494" s="2" t="inlineStr">
        <is>
          <t>CITROEN C4 1.6 HDi 90 VTNV</t>
        </is>
      </c>
      <c r="E494" s="2" t="inlineStr">
        <is>
          <t>Citroën</t>
        </is>
      </c>
      <c r="F494" s="2" t="inlineStr">
        <is>
          <t>Citroën C4</t>
        </is>
      </c>
      <c r="G494" s="2" t="inlineStr">
        <is>
          <t>1.6 HDi</t>
        </is>
      </c>
      <c r="H494" s="2" t="inlineStr">
        <is>
          <t>1.6 HDi 90 VTNV</t>
        </is>
      </c>
      <c r="I494" s="2" t="n"/>
      <c r="J494" s="2" t="n"/>
      <c r="K494" s="2" t="inlineStr">
        <is>
          <t>diesel</t>
        </is>
      </c>
      <c r="L494" s="2" t="inlineStr">
        <is>
          <t>compacto</t>
        </is>
      </c>
      <c r="M494" s="2" t="n">
        <v>2009</v>
      </c>
      <c r="N494" s="2" t="n">
        <v>155000</v>
      </c>
      <c r="O494" s="2" t="n">
        <v>4790</v>
      </c>
      <c r="P494" s="2" t="inlineStr">
        <is>
          <t>manual</t>
        </is>
      </c>
      <c r="Q494" s="2" t="inlineStr">
        <is>
          <t>no</t>
        </is>
      </c>
      <c r="R494" s="2" t="inlineStr">
        <is>
          <t>profesional</t>
        </is>
      </c>
      <c r="S494" s="2" t="inlineStr">
        <is>
          <t>Only Cars Valencia Aldaia</t>
        </is>
      </c>
      <c r="T494" s="2" t="inlineStr">
        <is>
          <t>2026-09-18T16:39:40Z</t>
        </is>
      </c>
      <c r="U494" s="2" t="n">
        <v>11</v>
      </c>
      <c r="V494" s="2" t="n"/>
      <c r="W494" s="2" t="n"/>
      <c r="X494" s="2" t="n"/>
      <c r="Y494" s="2" t="n"/>
      <c r="Z494" s="2" t="inlineStr">
        <is>
          <t>sí</t>
        </is>
      </c>
      <c r="AA494" s="2" t="n"/>
      <c r="AB494" s="2" t="n">
        <v>12</v>
      </c>
      <c r="AC494" s="2" t="n"/>
      <c r="AD494" s="2" t="n"/>
      <c r="AE494" s="2" t="n"/>
      <c r="AF494" s="2" t="n"/>
      <c r="AG494" s="2" t="n"/>
      <c r="AH494" s="2" t="n">
        <v>4790</v>
      </c>
      <c r="AI494" s="2" t="n"/>
      <c r="AJ494" s="2" t="n"/>
      <c r="AK494" s="2" t="n"/>
      <c r="AL494" s="2" t="n"/>
      <c r="AM494" s="2" t="n">
        <v>7.5</v>
      </c>
      <c r="AN494" s="2" t="n">
        <v>3500</v>
      </c>
      <c r="AO494" s="2" t="n">
        <v>11</v>
      </c>
      <c r="AP494" s="2" t="inlineStr">
        <is>
          <t>modelo+año+km</t>
        </is>
      </c>
      <c r="AQ494" s="2" t="n"/>
      <c r="AR494" s="2" t="inlineStr">
        <is>
          <t>vendedor profesional: sin ITP (operación con IVA/REBU, confirmar en factura); gastos de gestión del vendedor no indicados: se suma la tasa DGT; preguntar el precio final; fiabilidad del modelo PENDIENTE de fuente (puntuación neutra)</t>
        </is>
      </c>
      <c r="AS494" s="2" t="inlineStr">
        <is>
          <t>Citroen C4 1.6 HDi VTN-V año 2009 con 155.000Kms 90CV.
Equipamiento:
- elevalunas eléctricos 
- Espejos eléctricos 
- Aire acondicionado 
- Dirección asistida
- Mando a distancia 
- Ordenador de abordo
- Control de velocidad 
- Velocidad crucero
Mantenimiento:
   - cambio de filtro de aire
   - cambio de filtro de aceite
   - cambio de aceite 
   - Dos juegos de llave
   - Alfombrillas</t>
        </is>
      </c>
      <c r="AT494" s="2" t="inlineStr">
        <is>
          <t>https://www.coches.net/citroen-c4-16-hdi-90-vtnv-5p-diesel-2010-en-valencia-71546211-covo.aspx (window.__INITIAL_PROPS__.ad) /home/user/Alopecia/buscador-coches/raw/cochesnet/25059cb2a8a4ab28.json</t>
        </is>
      </c>
      <c r="AU494" s="3">
        <f>MAX(ANIO_ACTUAL-M494,0)</f>
        <v/>
      </c>
      <c r="AV494" s="4">
        <f>N494/MAX(AU494,0.5)</f>
        <v/>
      </c>
      <c r="AW494" s="4">
        <f>F494</f>
        <v/>
      </c>
      <c r="AX494" s="3">
        <f>AW494&amp;"|"&amp;INT(M494/SEG_ANIO)*SEG_ANIO</f>
        <v/>
      </c>
      <c r="AY494" s="3">
        <f>AX494&amp;"|"&amp;INT(N494/SEG_KM)*SEG_KM</f>
        <v/>
      </c>
      <c r="AZ494" s="4">
        <f>COUNTIF($AW$2:$AW$662,AW494)</f>
        <v/>
      </c>
      <c r="BA494" s="4">
        <f>COUNTIF($AX$2:$AX$662,AX494)</f>
        <v/>
      </c>
      <c r="BB494" s="4">
        <f>COUNTIF($AY$2:$AY$662,AY494)</f>
        <v/>
      </c>
      <c r="BC494" s="3">
        <f t="array" ref="BC494">IF(N(AO494)&gt;=MIN_N,AN494,IF(BB494&gt;=MIN_N,MEDIAN(IF($AY$2:$AY$662=AY494,$O$2:$O$662)),IF(BA494&gt;=MIN_N,MEDIAN(IF($AX$2:$AX$662=AX494,$O$2:$O$662)),MEDIAN(IF($AW$2:$AW$662=AW494,$O$2:$O$662)))))</f>
        <v/>
      </c>
      <c r="BD494" s="3">
        <f>IF(N(AO494)&gt;=MIN_N,"mercado "&amp;AP494,IF(BB494&gt;=MIN_N,"modelo+año+km",IF(BA494&gt;=MIN_N,"modelo+año","modelo")))</f>
        <v/>
      </c>
      <c r="BE494" s="4">
        <f>(BC494-O494)/BC494</f>
        <v/>
      </c>
      <c r="BF494" s="3">
        <f>IF(OR(K494="hibrido",K494="glp"),"ECO",IF(K494="electrico","CERO",IF(K494="gasolina",IF(M494&gt;=GAS_C,"C",IF(M494&gt;=GAS_B,"B","A")),IF(K494="diesel",IF(M494&gt;=DIE_C,"C",IF(M494&gt;=DIE_B,"B","A")),""))))</f>
        <v/>
      </c>
      <c r="BG494" s="3">
        <f>IFERROR(VLOOKUP(F494,MOD_TBL,11,0),IFERROR(VLOOKUP(E494,OCU_TBL,2,0),NEUTRO))</f>
        <v/>
      </c>
      <c r="BH494" s="3">
        <f>SUMIFS(MOT_AJUSTE,MOT_MOTOR,G494,MOT_MARCA,E494,MOT_DESDE,"&lt;="&amp;M494,MOT_HASTA,"&gt;="&amp;M494)+SUMIFS(MOT_AJUSTE,MOT_MOTOR,G494,MOT_MARCA,"(todas)",MOT_DESDE,"&lt;="&amp;M494,MOT_HASTA,"&gt;="&amp;M494)</f>
        <v/>
      </c>
      <c r="BI494" s="3">
        <f>SUMIFS(COMB_AJUSTE,COMB_COMB,K494)</f>
        <v/>
      </c>
      <c r="BJ494" s="3">
        <f>COUNTIFS(MOT_MOTOR,G494,MOT_MARCA,E494,MOT_DESDE,"&lt;="&amp;M494,MOT_HASTA,"&gt;="&amp;M494)+COUNTIFS(MOT_MOTOR,G494,MOT_MARCA,"(todas)",MOT_DESDE,"&lt;="&amp;M494,MOT_HASTA,"&gt;="&amp;M494)</f>
        <v/>
      </c>
      <c r="BK494" s="3">
        <f>IF(AND(K494="diesel",BJ494=0),MIN(BG494,NEUTRO),BG494)</f>
        <v/>
      </c>
      <c r="BL494" s="4">
        <f>MAX(0,MIN(100,BK494+BH494+BI494))</f>
        <v/>
      </c>
      <c r="BM494" s="3">
        <f>MAX(0,MIN(100,50+BE494*PRECIO_PEND))</f>
        <v/>
      </c>
      <c r="BN494" s="3">
        <f>MAX(0,100*(1-N494/KM_MAX))</f>
        <v/>
      </c>
      <c r="BO494" s="3">
        <f>IF(AV494&lt;KMA_SOSP,IF(AA494="sí",100,KMA_PEN),IF(AV494&lt;=KMA_IDEAL_MAX,100,MAX(0,100*(KMA_CERO-AV494)/(KMA_CERO-KMA_IDEAL_MAX))))</f>
        <v/>
      </c>
      <c r="BP494" s="3">
        <f>MAX(0,MIN(100,100*(M494-ANIO_MIN)/(ANIO_ACTUAL-ANIO_MIN)))</f>
        <v/>
      </c>
      <c r="BQ494" s="3">
        <f>W_KMT*BN494+W_KMA*BO494+W_EDAD*BP494</f>
        <v/>
      </c>
      <c r="BR494" s="3">
        <f>P_ITV*(V494="sí")+P_LIBRO*(W494="sí")+P_CORREA*(X494="sí")+P_PROP*(Y494=1)+P_GAR*(Z494="sí")+P_FOTOS*MIN(1,N(U494)/FOTOS_OBJ)</f>
        <v/>
      </c>
      <c r="BS494" s="3">
        <f>IFERROR(VLOOKUP(BF494,ETQ_TBL,2,0),NEUTRO)</f>
        <v/>
      </c>
      <c r="BT494" s="3">
        <f>NEUTRO</f>
        <v/>
      </c>
      <c r="BU494" s="3">
        <f>IFERROR(VLOOKUP(L494,SEGURO_TBL,3,0),"")</f>
        <v/>
      </c>
      <c r="BV494" s="3">
        <f>IF(BU494="",NEUTRO,MAX(0,MIN(100,100*(SEG_REF_MAX-BU494)/(SEG_REF_MAX-SEG_REF_MIN))))</f>
        <v/>
      </c>
      <c r="BW494" s="3">
        <f>W_ET*BS494+W_CONS*BT494+W_SEG*BV494</f>
        <v/>
      </c>
      <c r="BX494" s="3">
        <f>IF(N(AB494)&gt;0,AB494,IF(AND(R494="profesional",SG_LEGAL_ON=1),GAR_LEGAL,0))</f>
        <v/>
      </c>
      <c r="BY494" s="3">
        <f>SG_GAR*MIN(1,BX494/SG_GAR_FULL)+SG_AMPL*(AC494="sí")+SG_KMC*(AF494="sí")+SG_REV*(N(AE494)&gt;0)+SG_DEV*MIN(1,N(AG494)/SG_DEV_FULL)+SG_HIST*(W494="sí")</f>
        <v/>
      </c>
      <c r="BZ494" s="3">
        <f>IFERROR(VLOOKUP(L494,CARR_PEN_TBL,2,0),0)</f>
        <v/>
      </c>
      <c r="CA494" s="3">
        <f>W_FIAB*BL494+W_PRECIO*BM494+W_KMEDAD*BQ494+W_ANUNCIO*BR494+W_USO*BW494+W_SEGURIDAD*BY494-BZ494</f>
        <v/>
      </c>
      <c r="CB494" s="4">
        <f>IF(N(I494)&gt;0,I494,IFERROR(ROUND(_xlfn.NUMBERVALUE(LEFT(G494,FIND(" ",G494&amp;" ")-1),".")*1000,0),99999))</f>
        <v/>
      </c>
      <c r="CC494" s="3">
        <f>IF(R494="profesional",0,IF(O494&lt;CUOTA_VALOR_MAX,IF(AU494&gt;ITP_TRAMO_ALTO,SUMIFS(CF_CUOTA,CF_MAS,ITP_TRAMO_ALTO,CF_CCMIN,"&lt;="&amp;CB494,CF_CCMAX,"&gt;="&amp;CB494),IF(AU494&gt;ITP_TRAMO_BAJO,SUMIFS(CF_CUOTA,CF_MAS,ITP_TRAMO_BAJO,CF_CCMIN,"&lt;="&amp;CB494,CF_CCMAX,"&gt;="&amp;CB494),O494*ITP_TIPO)),O494*ITP_TIPO))</f>
        <v/>
      </c>
      <c r="CD494" s="4">
        <f>IF(R494="profesional",N(AK494),0)</f>
        <v/>
      </c>
      <c r="CE494" s="3">
        <f>IF(AND(R494="profesional",ISNUMBER(AK494),AL494="sí"),0,TASA_DGT)</f>
        <v/>
      </c>
      <c r="CF494" s="3">
        <f>INFORME_DGT</f>
        <v/>
      </c>
      <c r="CG494" s="4">
        <f>O494+CD494+CC494+CE494+CF494</f>
        <v/>
      </c>
      <c r="CH494" s="4">
        <f>CG494+N(BU494)</f>
        <v/>
      </c>
      <c r="CI494" s="3">
        <f>IF(CG494&lt;=TOTAL_MAX,"sí",IF(CG494&lt;=TOTAL_MAX+MARGEN_NEG,"negociar","no"))</f>
        <v/>
      </c>
      <c r="CJ494" s="4">
        <f>IF(CI494&lt;&gt;"no",COUNTIFS($CI$2:$CI$662,"&lt;&gt;no",$CA$2:$CA$662,"&gt;"&amp;CA494)+COUNTIFS($CI$2:CI494,"&lt;&gt;no",$CA$2:CA494,CA494),"")</f>
        <v/>
      </c>
    </row>
    <row r="495">
      <c r="A495" s="2" t="inlineStr">
        <is>
          <t>cochesnet:71857272</t>
        </is>
      </c>
      <c r="B495" s="2" t="inlineStr">
        <is>
          <t>cochesnet</t>
        </is>
      </c>
      <c r="C495" s="2" t="inlineStr">
        <is>
          <t>https://www.coches.net/citroen-c4-14-16v-collection-5p-gasolina-2007-en-valencia-71857272-covo.aspx</t>
        </is>
      </c>
      <c r="D495" s="2" t="inlineStr">
        <is>
          <t>CITROEN C4 1.4 16v Collection</t>
        </is>
      </c>
      <c r="E495" s="2" t="inlineStr">
        <is>
          <t>Citroën</t>
        </is>
      </c>
      <c r="F495" s="2" t="inlineStr">
        <is>
          <t>Citroën C4</t>
        </is>
      </c>
      <c r="G495" s="2" t="inlineStr">
        <is>
          <t>1.4</t>
        </is>
      </c>
      <c r="H495" s="2" t="inlineStr">
        <is>
          <t>1.4 16v Collection</t>
        </is>
      </c>
      <c r="I495" s="2" t="n"/>
      <c r="J495" s="2" t="n"/>
      <c r="K495" s="2" t="inlineStr">
        <is>
          <t>gasolina</t>
        </is>
      </c>
      <c r="L495" s="2" t="inlineStr">
        <is>
          <t>compacto</t>
        </is>
      </c>
      <c r="M495" s="2" t="n">
        <v>2007</v>
      </c>
      <c r="N495" s="2" t="n">
        <v>143000</v>
      </c>
      <c r="O495" s="2" t="n">
        <v>3500</v>
      </c>
      <c r="P495" s="2" t="inlineStr">
        <is>
          <t>manual</t>
        </is>
      </c>
      <c r="Q495" s="2" t="inlineStr">
        <is>
          <t>no</t>
        </is>
      </c>
      <c r="R495" s="2" t="inlineStr">
        <is>
          <t>particular</t>
        </is>
      </c>
      <c r="S495" s="2" t="n"/>
      <c r="T495" s="2" t="inlineStr">
        <is>
          <t>2026-10-28T17:44:15Z</t>
        </is>
      </c>
      <c r="U495" s="2" t="n">
        <v>5</v>
      </c>
      <c r="V495" s="2" t="inlineStr">
        <is>
          <t>sí</t>
        </is>
      </c>
      <c r="W495" s="2" t="n"/>
      <c r="X495" s="2" t="n"/>
      <c r="Y495" s="2" t="n"/>
      <c r="Z495" s="2" t="inlineStr">
        <is>
          <t>no</t>
        </is>
      </c>
      <c r="AA495" s="2" t="n"/>
      <c r="AB495" s="2" t="n"/>
      <c r="AC495" s="2" t="n"/>
      <c r="AD495" s="2" t="n"/>
      <c r="AE495" s="2" t="n"/>
      <c r="AF495" s="2" t="n"/>
      <c r="AG495" s="2" t="n"/>
      <c r="AH495" s="2" t="n">
        <v>3500</v>
      </c>
      <c r="AI495" s="2" t="n"/>
      <c r="AJ495" s="2" t="n"/>
      <c r="AK495" s="2" t="n"/>
      <c r="AL495" s="2" t="n"/>
      <c r="AM495" s="2" t="n"/>
      <c r="AN495" s="2" t="n">
        <v>3797</v>
      </c>
      <c r="AO495" s="2" t="n">
        <v>9</v>
      </c>
      <c r="AP495" s="2" t="inlineStr">
        <is>
          <t>modelo+año+km</t>
        </is>
      </c>
      <c r="AQ495" s="2" t="n"/>
      <c r="AR495" s="2" t="inlineStr">
        <is>
          <t>cuota fija ITP: &gt;12 años, hasta 1.500 cc; distancia no verificable (el anuncio solo indica la provincia): confirmar que está a &lt;= 70 km; fiabilidad del modelo PENDIENTE de fuente (puntuación neutra)</t>
        </is>
      </c>
      <c r="AS495" s="2" t="inlineStr">
        <is>
          <t>Se vende un coche bien cuidado y sin ningún fallo
Tanto en interior ,como exterior 
Todo al dia,itv recién pasada</t>
        </is>
      </c>
      <c r="AT495" s="2" t="inlineStr">
        <is>
          <t>https://www.coches.net/citroen-c4-14-16v-collection-5p-gasolina-2007-en-valencia-71857272-covo.aspx (window.__INITIAL_PROPS__.ad) /home/user/Alopecia/buscador-coches/raw/cochesnet/23d9ce8bc5f680ad.json</t>
        </is>
      </c>
      <c r="AU495" s="3">
        <f>MAX(ANIO_ACTUAL-M495,0)</f>
        <v/>
      </c>
      <c r="AV495" s="4">
        <f>N495/MAX(AU495,0.5)</f>
        <v/>
      </c>
      <c r="AW495" s="4">
        <f>F495</f>
        <v/>
      </c>
      <c r="AX495" s="3">
        <f>AW495&amp;"|"&amp;INT(M495/SEG_ANIO)*SEG_ANIO</f>
        <v/>
      </c>
      <c r="AY495" s="3">
        <f>AX495&amp;"|"&amp;INT(N495/SEG_KM)*SEG_KM</f>
        <v/>
      </c>
      <c r="AZ495" s="4">
        <f>COUNTIF($AW$2:$AW$662,AW495)</f>
        <v/>
      </c>
      <c r="BA495" s="4">
        <f>COUNTIF($AX$2:$AX$662,AX495)</f>
        <v/>
      </c>
      <c r="BB495" s="4">
        <f>COUNTIF($AY$2:$AY$662,AY495)</f>
        <v/>
      </c>
      <c r="BC495" s="3">
        <f t="array" ref="BC495">IF(N(AO495)&gt;=MIN_N,AN495,IF(BB495&gt;=MIN_N,MEDIAN(IF($AY$2:$AY$662=AY495,$O$2:$O$662)),IF(BA495&gt;=MIN_N,MEDIAN(IF($AX$2:$AX$662=AX495,$O$2:$O$662)),MEDIAN(IF($AW$2:$AW$662=AW495,$O$2:$O$662)))))</f>
        <v/>
      </c>
      <c r="BD495" s="3">
        <f>IF(N(AO495)&gt;=MIN_N,"mercado "&amp;AP495,IF(BB495&gt;=MIN_N,"modelo+año+km",IF(BA495&gt;=MIN_N,"modelo+año","modelo")))</f>
        <v/>
      </c>
      <c r="BE495" s="4">
        <f>(BC495-O495)/BC495</f>
        <v/>
      </c>
      <c r="BF495" s="3">
        <f>IF(OR(K495="hibrido",K495="glp"),"ECO",IF(K495="electrico","CERO",IF(K495="gasolina",IF(M495&gt;=GAS_C,"C",IF(M495&gt;=GAS_B,"B","A")),IF(K495="diesel",IF(M495&gt;=DIE_C,"C",IF(M495&gt;=DIE_B,"B","A")),""))))</f>
        <v/>
      </c>
      <c r="BG495" s="3">
        <f>IFERROR(VLOOKUP(F495,MOD_TBL,11,0),IFERROR(VLOOKUP(E495,OCU_TBL,2,0),NEUTRO))</f>
        <v/>
      </c>
      <c r="BH495" s="3">
        <f>SUMIFS(MOT_AJUSTE,MOT_MOTOR,G495,MOT_MARCA,E495,MOT_DESDE,"&lt;="&amp;M495,MOT_HASTA,"&gt;="&amp;M495)+SUMIFS(MOT_AJUSTE,MOT_MOTOR,G495,MOT_MARCA,"(todas)",MOT_DESDE,"&lt;="&amp;M495,MOT_HASTA,"&gt;="&amp;M495)</f>
        <v/>
      </c>
      <c r="BI495" s="3">
        <f>SUMIFS(COMB_AJUSTE,COMB_COMB,K495)</f>
        <v/>
      </c>
      <c r="BJ495" s="3">
        <f>COUNTIFS(MOT_MOTOR,G495,MOT_MARCA,E495,MOT_DESDE,"&lt;="&amp;M495,MOT_HASTA,"&gt;="&amp;M495)+COUNTIFS(MOT_MOTOR,G495,MOT_MARCA,"(todas)",MOT_DESDE,"&lt;="&amp;M495,MOT_HASTA,"&gt;="&amp;M495)</f>
        <v/>
      </c>
      <c r="BK495" s="3">
        <f>IF(AND(K495="diesel",BJ495=0),MIN(BG495,NEUTRO),BG495)</f>
        <v/>
      </c>
      <c r="BL495" s="4">
        <f>MAX(0,MIN(100,BK495+BH495+BI495))</f>
        <v/>
      </c>
      <c r="BM495" s="3">
        <f>MAX(0,MIN(100,50+BE495*PRECIO_PEND))</f>
        <v/>
      </c>
      <c r="BN495" s="3">
        <f>MAX(0,100*(1-N495/KM_MAX))</f>
        <v/>
      </c>
      <c r="BO495" s="3">
        <f>IF(AV495&lt;KMA_SOSP,IF(AA495="sí",100,KMA_PEN),IF(AV495&lt;=KMA_IDEAL_MAX,100,MAX(0,100*(KMA_CERO-AV495)/(KMA_CERO-KMA_IDEAL_MAX))))</f>
        <v/>
      </c>
      <c r="BP495" s="3">
        <f>MAX(0,MIN(100,100*(M495-ANIO_MIN)/(ANIO_ACTUAL-ANIO_MIN)))</f>
        <v/>
      </c>
      <c r="BQ495" s="3">
        <f>W_KMT*BN495+W_KMA*BO495+W_EDAD*BP495</f>
        <v/>
      </c>
      <c r="BR495" s="3">
        <f>P_ITV*(V495="sí")+P_LIBRO*(W495="sí")+P_CORREA*(X495="sí")+P_PROP*(Y495=1)+P_GAR*(Z495="sí")+P_FOTOS*MIN(1,N(U495)/FOTOS_OBJ)</f>
        <v/>
      </c>
      <c r="BS495" s="3">
        <f>IFERROR(VLOOKUP(BF495,ETQ_TBL,2,0),NEUTRO)</f>
        <v/>
      </c>
      <c r="BT495" s="3">
        <f>NEUTRO</f>
        <v/>
      </c>
      <c r="BU495" s="3">
        <f>IFERROR(VLOOKUP(L495,SEGURO_TBL,3,0),"")</f>
        <v/>
      </c>
      <c r="BV495" s="3">
        <f>IF(BU495="",NEUTRO,MAX(0,MIN(100,100*(SEG_REF_MAX-BU495)/(SEG_REF_MAX-SEG_REF_MIN))))</f>
        <v/>
      </c>
      <c r="BW495" s="3">
        <f>W_ET*BS495+W_CONS*BT495+W_SEG*BV495</f>
        <v/>
      </c>
      <c r="BX495" s="3">
        <f>IF(N(AB495)&gt;0,AB495,IF(AND(R495="profesional",SG_LEGAL_ON=1),GAR_LEGAL,0))</f>
        <v/>
      </c>
      <c r="BY495" s="3">
        <f>SG_GAR*MIN(1,BX495/SG_GAR_FULL)+SG_AMPL*(AC495="sí")+SG_KMC*(AF495="sí")+SG_REV*(N(AE495)&gt;0)+SG_DEV*MIN(1,N(AG495)/SG_DEV_FULL)+SG_HIST*(W495="sí")</f>
        <v/>
      </c>
      <c r="BZ495" s="3">
        <f>IFERROR(VLOOKUP(L495,CARR_PEN_TBL,2,0),0)</f>
        <v/>
      </c>
      <c r="CA495" s="3">
        <f>W_FIAB*BL495+W_PRECIO*BM495+W_KMEDAD*BQ495+W_ANUNCIO*BR495+W_USO*BW495+W_SEGURIDAD*BY495-BZ495</f>
        <v/>
      </c>
      <c r="CB495" s="4">
        <f>IF(N(I495)&gt;0,I495,IFERROR(ROUND(_xlfn.NUMBERVALUE(LEFT(G495,FIND(" ",G495&amp;" ")-1),".")*1000,0),99999))</f>
        <v/>
      </c>
      <c r="CC495" s="3">
        <f>IF(R495="profesional",0,IF(O495&lt;CUOTA_VALOR_MAX,IF(AU495&gt;ITP_TRAMO_ALTO,SUMIFS(CF_CUOTA,CF_MAS,ITP_TRAMO_ALTO,CF_CCMIN,"&lt;="&amp;CB495,CF_CCMAX,"&gt;="&amp;CB495),IF(AU495&gt;ITP_TRAMO_BAJO,SUMIFS(CF_CUOTA,CF_MAS,ITP_TRAMO_BAJO,CF_CCMIN,"&lt;="&amp;CB495,CF_CCMAX,"&gt;="&amp;CB495),O495*ITP_TIPO)),O495*ITP_TIPO))</f>
        <v/>
      </c>
      <c r="CD495" s="4">
        <f>IF(R495="profesional",N(AK495),0)</f>
        <v/>
      </c>
      <c r="CE495" s="3">
        <f>IF(AND(R495="profesional",ISNUMBER(AK495),AL495="sí"),0,TASA_DGT)</f>
        <v/>
      </c>
      <c r="CF495" s="3">
        <f>INFORME_DGT</f>
        <v/>
      </c>
      <c r="CG495" s="4">
        <f>O495+CD495+CC495+CE495+CF495</f>
        <v/>
      </c>
      <c r="CH495" s="4">
        <f>CG495+N(BU495)</f>
        <v/>
      </c>
      <c r="CI495" s="3">
        <f>IF(CG495&lt;=TOTAL_MAX,"sí",IF(CG495&lt;=TOTAL_MAX+MARGEN_NEG,"negociar","no"))</f>
        <v/>
      </c>
      <c r="CJ495" s="4">
        <f>IF(CI495&lt;&gt;"no",COUNTIFS($CI$2:$CI$662,"&lt;&gt;no",$CA$2:$CA$662,"&gt;"&amp;CA495)+COUNTIFS($CI$2:CI495,"&lt;&gt;no",$CA$2:CA495,CA495),"")</f>
        <v/>
      </c>
    </row>
    <row r="496">
      <c r="A496" s="2" t="inlineStr">
        <is>
          <t>cochesnet:71823790</t>
        </is>
      </c>
      <c r="B496" s="2" t="inlineStr">
        <is>
          <t>cochesnet</t>
        </is>
      </c>
      <c r="C496" s="2" t="inlineStr">
        <is>
          <t>https://www.coches.net/citroen-c4-16-hdi-90-vtnv-3p-diesel-2010-en-valencia-71823790-covo.aspx</t>
        </is>
      </c>
      <c r="D496" s="2" t="inlineStr">
        <is>
          <t>CITROEN C4 1.6 HDi 90 VTNV</t>
        </is>
      </c>
      <c r="E496" s="2" t="inlineStr">
        <is>
          <t>Citroën</t>
        </is>
      </c>
      <c r="F496" s="2" t="inlineStr">
        <is>
          <t>Citroën C4</t>
        </is>
      </c>
      <c r="G496" s="2" t="inlineStr">
        <is>
          <t>1.6 HDi</t>
        </is>
      </c>
      <c r="H496" s="2" t="inlineStr">
        <is>
          <t>1.6 HDi 90 VTNV</t>
        </is>
      </c>
      <c r="I496" s="2" t="n"/>
      <c r="J496" s="2" t="n"/>
      <c r="K496" s="2" t="inlineStr">
        <is>
          <t>diesel</t>
        </is>
      </c>
      <c r="L496" s="2" t="inlineStr">
        <is>
          <t>compacto</t>
        </is>
      </c>
      <c r="M496" s="2" t="n">
        <v>2010</v>
      </c>
      <c r="N496" s="2" t="n">
        <v>180000</v>
      </c>
      <c r="O496" s="2" t="n">
        <v>4990</v>
      </c>
      <c r="P496" s="2" t="inlineStr">
        <is>
          <t>manual</t>
        </is>
      </c>
      <c r="Q496" s="2" t="inlineStr">
        <is>
          <t>no</t>
        </is>
      </c>
      <c r="R496" s="2" t="inlineStr">
        <is>
          <t>profesional</t>
        </is>
      </c>
      <c r="S496" s="2" t="inlineStr">
        <is>
          <t>PRIM CARS Alboraya</t>
        </is>
      </c>
      <c r="T496" s="2" t="inlineStr">
        <is>
          <t>2026-10-24T13:57:24Z</t>
        </is>
      </c>
      <c r="U496" s="2" t="n">
        <v>19</v>
      </c>
      <c r="V496" s="2" t="n"/>
      <c r="W496" s="2" t="n"/>
      <c r="X496" s="2" t="n"/>
      <c r="Y496" s="2" t="n"/>
      <c r="Z496" s="2" t="inlineStr">
        <is>
          <t>sí</t>
        </is>
      </c>
      <c r="AA496" s="2" t="n"/>
      <c r="AB496" s="2" t="n">
        <v>12</v>
      </c>
      <c r="AC496" s="2" t="n"/>
      <c r="AD496" s="2" t="n"/>
      <c r="AE496" s="2" t="n"/>
      <c r="AF496" s="2" t="n"/>
      <c r="AG496" s="2" t="n"/>
      <c r="AH496" s="2" t="n">
        <v>4990</v>
      </c>
      <c r="AI496" s="2" t="n">
        <v>4990</v>
      </c>
      <c r="AJ496" s="2" t="n"/>
      <c r="AK496" s="2" t="n"/>
      <c r="AL496" s="2" t="n"/>
      <c r="AM496" s="2" t="n">
        <v>4</v>
      </c>
      <c r="AN496" s="2" t="n">
        <v>5800</v>
      </c>
      <c r="AO496" s="2" t="n">
        <v>7</v>
      </c>
      <c r="AP496" s="2" t="inlineStr">
        <is>
          <t>modelo+año+km</t>
        </is>
      </c>
      <c r="AQ496" s="2" t="n"/>
      <c r="AR496"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496" s="2" t="inlineStr">
        <is>
          <t>CITROËN C4 COUPÉ 1.6 HDi 92 CV VTNV – AÑO 2010
Vehículo con motor diésel 1.6 HDi de 92 CV, económico y de consumo contenido. Carrocería coupé de 3 puertas, con diseño deportivo, en buen estado de conservación y listo para circular.
Equipamiento destacado:
* Techo panorámico 
* Alerón trasero deportivo
* Asientos deportivos
* Sistema de navegación GPS
* Pantalla integrada para navegación y funciones multimedia
* Llantas de aleación
* Faros antiniebla delanteros
* Aire acondicionado
* Control de crucero y limitador de velocidad
* Ordenador de a bordo
* Elevalunas eléctricos
* Retrovisores eléctricos
* Cierre centralizado con mando
* Dirección asistida
* Volante regulable en altura y profundidad
* Asientos traseros abatibles
* Airbags frontales y laterales
* Sistema antibloqueo de frenos ABS
* Control electrónico de estabilidad ESP
* Anclajes ISOFIX para sillas infantiles
Para más información o para concertar una visita, contactar sin compromiso.
Este anuncio tiene carácter informativo y no contractual, pudiendo contener errores tipográficos. El equipamiento concreto puede variar según la versión y debe verificarse en el vehículo.</t>
        </is>
      </c>
      <c r="AT496" s="2" t="inlineStr">
        <is>
          <t>https://www.coches.net/citroen-c4-16-hdi-90-vtnv-3p-diesel-2010-en-valencia-71823790-covo.aspx (window.__INITIAL_PROPS__.ad) /home/user/Alopecia/buscador-coches/raw/cochesnet/294c41d17cf6e2d3.json</t>
        </is>
      </c>
      <c r="AU496" s="3">
        <f>MAX(ANIO_ACTUAL-M496,0)</f>
        <v/>
      </c>
      <c r="AV496" s="4">
        <f>N496/MAX(AU496,0.5)</f>
        <v/>
      </c>
      <c r="AW496" s="4">
        <f>F496</f>
        <v/>
      </c>
      <c r="AX496" s="3">
        <f>AW496&amp;"|"&amp;INT(M496/SEG_ANIO)*SEG_ANIO</f>
        <v/>
      </c>
      <c r="AY496" s="3">
        <f>AX496&amp;"|"&amp;INT(N496/SEG_KM)*SEG_KM</f>
        <v/>
      </c>
      <c r="AZ496" s="4">
        <f>COUNTIF($AW$2:$AW$662,AW496)</f>
        <v/>
      </c>
      <c r="BA496" s="4">
        <f>COUNTIF($AX$2:$AX$662,AX496)</f>
        <v/>
      </c>
      <c r="BB496" s="4">
        <f>COUNTIF($AY$2:$AY$662,AY496)</f>
        <v/>
      </c>
      <c r="BC496" s="3">
        <f t="array" ref="BC496">IF(N(AO496)&gt;=MIN_N,AN496,IF(BB496&gt;=MIN_N,MEDIAN(IF($AY$2:$AY$662=AY496,$O$2:$O$662)),IF(BA496&gt;=MIN_N,MEDIAN(IF($AX$2:$AX$662=AX496,$O$2:$O$662)),MEDIAN(IF($AW$2:$AW$662=AW496,$O$2:$O$662)))))</f>
        <v/>
      </c>
      <c r="BD496" s="3">
        <f>IF(N(AO496)&gt;=MIN_N,"mercado "&amp;AP496,IF(BB496&gt;=MIN_N,"modelo+año+km",IF(BA496&gt;=MIN_N,"modelo+año","modelo")))</f>
        <v/>
      </c>
      <c r="BE496" s="4">
        <f>(BC496-O496)/BC496</f>
        <v/>
      </c>
      <c r="BF496" s="3">
        <f>IF(OR(K496="hibrido",K496="glp"),"ECO",IF(K496="electrico","CERO",IF(K496="gasolina",IF(M496&gt;=GAS_C,"C",IF(M496&gt;=GAS_B,"B","A")),IF(K496="diesel",IF(M496&gt;=DIE_C,"C",IF(M496&gt;=DIE_B,"B","A")),""))))</f>
        <v/>
      </c>
      <c r="BG496" s="3">
        <f>IFERROR(VLOOKUP(F496,MOD_TBL,11,0),IFERROR(VLOOKUP(E496,OCU_TBL,2,0),NEUTRO))</f>
        <v/>
      </c>
      <c r="BH496" s="3">
        <f>SUMIFS(MOT_AJUSTE,MOT_MOTOR,G496,MOT_MARCA,E496,MOT_DESDE,"&lt;="&amp;M496,MOT_HASTA,"&gt;="&amp;M496)+SUMIFS(MOT_AJUSTE,MOT_MOTOR,G496,MOT_MARCA,"(todas)",MOT_DESDE,"&lt;="&amp;M496,MOT_HASTA,"&gt;="&amp;M496)</f>
        <v/>
      </c>
      <c r="BI496" s="3">
        <f>SUMIFS(COMB_AJUSTE,COMB_COMB,K496)</f>
        <v/>
      </c>
      <c r="BJ496" s="3">
        <f>COUNTIFS(MOT_MOTOR,G496,MOT_MARCA,E496,MOT_DESDE,"&lt;="&amp;M496,MOT_HASTA,"&gt;="&amp;M496)+COUNTIFS(MOT_MOTOR,G496,MOT_MARCA,"(todas)",MOT_DESDE,"&lt;="&amp;M496,MOT_HASTA,"&gt;="&amp;M496)</f>
        <v/>
      </c>
      <c r="BK496" s="3">
        <f>IF(AND(K496="diesel",BJ496=0),MIN(BG496,NEUTRO),BG496)</f>
        <v/>
      </c>
      <c r="BL496" s="4">
        <f>MAX(0,MIN(100,BK496+BH496+BI496))</f>
        <v/>
      </c>
      <c r="BM496" s="3">
        <f>MAX(0,MIN(100,50+BE496*PRECIO_PEND))</f>
        <v/>
      </c>
      <c r="BN496" s="3">
        <f>MAX(0,100*(1-N496/KM_MAX))</f>
        <v/>
      </c>
      <c r="BO496" s="3">
        <f>IF(AV496&lt;KMA_SOSP,IF(AA496="sí",100,KMA_PEN),IF(AV496&lt;=KMA_IDEAL_MAX,100,MAX(0,100*(KMA_CERO-AV496)/(KMA_CERO-KMA_IDEAL_MAX))))</f>
        <v/>
      </c>
      <c r="BP496" s="3">
        <f>MAX(0,MIN(100,100*(M496-ANIO_MIN)/(ANIO_ACTUAL-ANIO_MIN)))</f>
        <v/>
      </c>
      <c r="BQ496" s="3">
        <f>W_KMT*BN496+W_KMA*BO496+W_EDAD*BP496</f>
        <v/>
      </c>
      <c r="BR496" s="3">
        <f>P_ITV*(V496="sí")+P_LIBRO*(W496="sí")+P_CORREA*(X496="sí")+P_PROP*(Y496=1)+P_GAR*(Z496="sí")+P_FOTOS*MIN(1,N(U496)/FOTOS_OBJ)</f>
        <v/>
      </c>
      <c r="BS496" s="3">
        <f>IFERROR(VLOOKUP(BF496,ETQ_TBL,2,0),NEUTRO)</f>
        <v/>
      </c>
      <c r="BT496" s="3">
        <f>NEUTRO</f>
        <v/>
      </c>
      <c r="BU496" s="3">
        <f>IFERROR(VLOOKUP(L496,SEGURO_TBL,3,0),"")</f>
        <v/>
      </c>
      <c r="BV496" s="3">
        <f>IF(BU496="",NEUTRO,MAX(0,MIN(100,100*(SEG_REF_MAX-BU496)/(SEG_REF_MAX-SEG_REF_MIN))))</f>
        <v/>
      </c>
      <c r="BW496" s="3">
        <f>W_ET*BS496+W_CONS*BT496+W_SEG*BV496</f>
        <v/>
      </c>
      <c r="BX496" s="3">
        <f>IF(N(AB496)&gt;0,AB496,IF(AND(R496="profesional",SG_LEGAL_ON=1),GAR_LEGAL,0))</f>
        <v/>
      </c>
      <c r="BY496" s="3">
        <f>SG_GAR*MIN(1,BX496/SG_GAR_FULL)+SG_AMPL*(AC496="sí")+SG_KMC*(AF496="sí")+SG_REV*(N(AE496)&gt;0)+SG_DEV*MIN(1,N(AG496)/SG_DEV_FULL)+SG_HIST*(W496="sí")</f>
        <v/>
      </c>
      <c r="BZ496" s="3">
        <f>IFERROR(VLOOKUP(L496,CARR_PEN_TBL,2,0),0)</f>
        <v/>
      </c>
      <c r="CA496" s="3">
        <f>W_FIAB*BL496+W_PRECIO*BM496+W_KMEDAD*BQ496+W_ANUNCIO*BR496+W_USO*BW496+W_SEGURIDAD*BY496-BZ496</f>
        <v/>
      </c>
      <c r="CB496" s="4">
        <f>IF(N(I496)&gt;0,I496,IFERROR(ROUND(_xlfn.NUMBERVALUE(LEFT(G496,FIND(" ",G496&amp;" ")-1),".")*1000,0),99999))</f>
        <v/>
      </c>
      <c r="CC496" s="3">
        <f>IF(R496="profesional",0,IF(O496&lt;CUOTA_VALOR_MAX,IF(AU496&gt;ITP_TRAMO_ALTO,SUMIFS(CF_CUOTA,CF_MAS,ITP_TRAMO_ALTO,CF_CCMIN,"&lt;="&amp;CB496,CF_CCMAX,"&gt;="&amp;CB496),IF(AU496&gt;ITP_TRAMO_BAJO,SUMIFS(CF_CUOTA,CF_MAS,ITP_TRAMO_BAJO,CF_CCMIN,"&lt;="&amp;CB496,CF_CCMAX,"&gt;="&amp;CB496),O496*ITP_TIPO)),O496*ITP_TIPO))</f>
        <v/>
      </c>
      <c r="CD496" s="4">
        <f>IF(R496="profesional",N(AK496),0)</f>
        <v/>
      </c>
      <c r="CE496" s="3">
        <f>IF(AND(R496="profesional",ISNUMBER(AK496),AL496="sí"),0,TASA_DGT)</f>
        <v/>
      </c>
      <c r="CF496" s="3">
        <f>INFORME_DGT</f>
        <v/>
      </c>
      <c r="CG496" s="4">
        <f>O496+CD496+CC496+CE496+CF496</f>
        <v/>
      </c>
      <c r="CH496" s="4">
        <f>CG496+N(BU496)</f>
        <v/>
      </c>
      <c r="CI496" s="3">
        <f>IF(CG496&lt;=TOTAL_MAX,"sí",IF(CG496&lt;=TOTAL_MAX+MARGEN_NEG,"negociar","no"))</f>
        <v/>
      </c>
      <c r="CJ496" s="4">
        <f>IF(CI496&lt;&gt;"no",COUNTIFS($CI$2:$CI$662,"&lt;&gt;no",$CA$2:$CA$662,"&gt;"&amp;CA496)+COUNTIFS($CI$2:CI496,"&lt;&gt;no",$CA$2:CA496,CA496),"")</f>
        <v/>
      </c>
    </row>
    <row r="497">
      <c r="A497" s="2" t="inlineStr">
        <is>
          <t>cochesnet:71834276</t>
        </is>
      </c>
      <c r="B497" s="2" t="inlineStr">
        <is>
          <t>cochesnet</t>
        </is>
      </c>
      <c r="C497" s="2" t="inlineStr">
        <is>
          <t>https://www.coches.net/citroen-c4-16-hdi-90-cool-5p-diesel-2007-en-valencia-71834276-covo.aspx</t>
        </is>
      </c>
      <c r="D497" s="2" t="inlineStr">
        <is>
          <t>CITROEN C4 1.6 HDi 90 Cool</t>
        </is>
      </c>
      <c r="E497" s="2" t="inlineStr">
        <is>
          <t>Citroën</t>
        </is>
      </c>
      <c r="F497" s="2" t="inlineStr">
        <is>
          <t>Citroën C4</t>
        </is>
      </c>
      <c r="G497" s="2" t="inlineStr">
        <is>
          <t>1.6 HDi</t>
        </is>
      </c>
      <c r="H497" s="2" t="inlineStr">
        <is>
          <t>1.6 HDi 90 Cool</t>
        </is>
      </c>
      <c r="I497" s="2" t="n"/>
      <c r="J497" s="2" t="n"/>
      <c r="K497" s="2" t="inlineStr">
        <is>
          <t>diesel</t>
        </is>
      </c>
      <c r="L497" s="2" t="inlineStr">
        <is>
          <t>compacto</t>
        </is>
      </c>
      <c r="M497" s="2" t="n">
        <v>2007</v>
      </c>
      <c r="N497" s="2" t="n">
        <v>200000</v>
      </c>
      <c r="O497" s="2" t="n">
        <v>2500</v>
      </c>
      <c r="P497" s="2" t="inlineStr">
        <is>
          <t>manual</t>
        </is>
      </c>
      <c r="Q497" s="2" t="inlineStr">
        <is>
          <t>no</t>
        </is>
      </c>
      <c r="R497" s="2" t="inlineStr">
        <is>
          <t>particular</t>
        </is>
      </c>
      <c r="S497" s="2" t="n"/>
      <c r="T497" s="2" t="inlineStr">
        <is>
          <t>2026-10-26T10:45:46Z</t>
        </is>
      </c>
      <c r="U497" s="2" t="n">
        <v>8</v>
      </c>
      <c r="V497" s="2" t="inlineStr">
        <is>
          <t>sí</t>
        </is>
      </c>
      <c r="W497" s="2" t="n"/>
      <c r="X497" s="2" t="n"/>
      <c r="Y497" s="2" t="n"/>
      <c r="Z497" s="2" t="inlineStr">
        <is>
          <t>no</t>
        </is>
      </c>
      <c r="AA497" s="2" t="n"/>
      <c r="AB497" s="2" t="n"/>
      <c r="AC497" s="2" t="n"/>
      <c r="AD497" s="2" t="n"/>
      <c r="AE497" s="2" t="n"/>
      <c r="AF497" s="2" t="n"/>
      <c r="AG497" s="2" t="n"/>
      <c r="AH497" s="2" t="n">
        <v>2500</v>
      </c>
      <c r="AI497" s="2" t="n"/>
      <c r="AJ497" s="2" t="n"/>
      <c r="AK497" s="2" t="n"/>
      <c r="AL497" s="2" t="n"/>
      <c r="AM497" s="2" t="n"/>
      <c r="AN497" s="2" t="n">
        <v>3600</v>
      </c>
      <c r="AO497" s="2" t="n">
        <v>9</v>
      </c>
      <c r="AP497" s="2" t="inlineStr">
        <is>
          <t>modelo+año+km</t>
        </is>
      </c>
      <c r="AQ497" s="2" t="n"/>
      <c r="AR497" s="2" t="inlineStr">
        <is>
          <t>cuota fija ITP: &gt;12 años, 1.501-2.000 cc; distancia no verificable (el anuncio solo indica la provincia): confirmar que está a &lt;= 70 km; fiabilidad del modelo PENDIENTE de fuente (puntuación neutra)</t>
        </is>
      </c>
      <c r="AS497" s="2" t="inlineStr">
        <is>
          <t>se vende tal y como se ve en las imágenes mantenimientos al día ITV hasta febrero 2027 funciona bien , se vende por comprar un coche 7 plazas  .</t>
        </is>
      </c>
      <c r="AT497" s="2" t="inlineStr">
        <is>
          <t>https://www.coches.net/citroen-c4-16-hdi-90-cool-5p-diesel-2007-en-valencia-71834276-covo.aspx (window.__INITIAL_PROPS__.ad) /home/user/Alopecia/buscador-coches/raw/cochesnet/1d7e61c9bed7f0aa.json</t>
        </is>
      </c>
      <c r="AU497" s="3">
        <f>MAX(ANIO_ACTUAL-M497,0)</f>
        <v/>
      </c>
      <c r="AV497" s="4">
        <f>N497/MAX(AU497,0.5)</f>
        <v/>
      </c>
      <c r="AW497" s="4">
        <f>F497</f>
        <v/>
      </c>
      <c r="AX497" s="3">
        <f>AW497&amp;"|"&amp;INT(M497/SEG_ANIO)*SEG_ANIO</f>
        <v/>
      </c>
      <c r="AY497" s="3">
        <f>AX497&amp;"|"&amp;INT(N497/SEG_KM)*SEG_KM</f>
        <v/>
      </c>
      <c r="AZ497" s="4">
        <f>COUNTIF($AW$2:$AW$662,AW497)</f>
        <v/>
      </c>
      <c r="BA497" s="4">
        <f>COUNTIF($AX$2:$AX$662,AX497)</f>
        <v/>
      </c>
      <c r="BB497" s="4">
        <f>COUNTIF($AY$2:$AY$662,AY497)</f>
        <v/>
      </c>
      <c r="BC497" s="3">
        <f t="array" ref="BC497">IF(N(AO497)&gt;=MIN_N,AN497,IF(BB497&gt;=MIN_N,MEDIAN(IF($AY$2:$AY$662=AY497,$O$2:$O$662)),IF(BA497&gt;=MIN_N,MEDIAN(IF($AX$2:$AX$662=AX497,$O$2:$O$662)),MEDIAN(IF($AW$2:$AW$662=AW497,$O$2:$O$662)))))</f>
        <v/>
      </c>
      <c r="BD497" s="3">
        <f>IF(N(AO497)&gt;=MIN_N,"mercado "&amp;AP497,IF(BB497&gt;=MIN_N,"modelo+año+km",IF(BA497&gt;=MIN_N,"modelo+año","modelo")))</f>
        <v/>
      </c>
      <c r="BE497" s="4">
        <f>(BC497-O497)/BC497</f>
        <v/>
      </c>
      <c r="BF497" s="3">
        <f>IF(OR(K497="hibrido",K497="glp"),"ECO",IF(K497="electrico","CERO",IF(K497="gasolina",IF(M497&gt;=GAS_C,"C",IF(M497&gt;=GAS_B,"B","A")),IF(K497="diesel",IF(M497&gt;=DIE_C,"C",IF(M497&gt;=DIE_B,"B","A")),""))))</f>
        <v/>
      </c>
      <c r="BG497" s="3">
        <f>IFERROR(VLOOKUP(F497,MOD_TBL,11,0),IFERROR(VLOOKUP(E497,OCU_TBL,2,0),NEUTRO))</f>
        <v/>
      </c>
      <c r="BH497" s="3">
        <f>SUMIFS(MOT_AJUSTE,MOT_MOTOR,G497,MOT_MARCA,E497,MOT_DESDE,"&lt;="&amp;M497,MOT_HASTA,"&gt;="&amp;M497)+SUMIFS(MOT_AJUSTE,MOT_MOTOR,G497,MOT_MARCA,"(todas)",MOT_DESDE,"&lt;="&amp;M497,MOT_HASTA,"&gt;="&amp;M497)</f>
        <v/>
      </c>
      <c r="BI497" s="3">
        <f>SUMIFS(COMB_AJUSTE,COMB_COMB,K497)</f>
        <v/>
      </c>
      <c r="BJ497" s="3">
        <f>COUNTIFS(MOT_MOTOR,G497,MOT_MARCA,E497,MOT_DESDE,"&lt;="&amp;M497,MOT_HASTA,"&gt;="&amp;M497)+COUNTIFS(MOT_MOTOR,G497,MOT_MARCA,"(todas)",MOT_DESDE,"&lt;="&amp;M497,MOT_HASTA,"&gt;="&amp;M497)</f>
        <v/>
      </c>
      <c r="BK497" s="3">
        <f>IF(AND(K497="diesel",BJ497=0),MIN(BG497,NEUTRO),BG497)</f>
        <v/>
      </c>
      <c r="BL497" s="4">
        <f>MAX(0,MIN(100,BK497+BH497+BI497))</f>
        <v/>
      </c>
      <c r="BM497" s="3">
        <f>MAX(0,MIN(100,50+BE497*PRECIO_PEND))</f>
        <v/>
      </c>
      <c r="BN497" s="3">
        <f>MAX(0,100*(1-N497/KM_MAX))</f>
        <v/>
      </c>
      <c r="BO497" s="3">
        <f>IF(AV497&lt;KMA_SOSP,IF(AA497="sí",100,KMA_PEN),IF(AV497&lt;=KMA_IDEAL_MAX,100,MAX(0,100*(KMA_CERO-AV497)/(KMA_CERO-KMA_IDEAL_MAX))))</f>
        <v/>
      </c>
      <c r="BP497" s="3">
        <f>MAX(0,MIN(100,100*(M497-ANIO_MIN)/(ANIO_ACTUAL-ANIO_MIN)))</f>
        <v/>
      </c>
      <c r="BQ497" s="3">
        <f>W_KMT*BN497+W_KMA*BO497+W_EDAD*BP497</f>
        <v/>
      </c>
      <c r="BR497" s="3">
        <f>P_ITV*(V497="sí")+P_LIBRO*(W497="sí")+P_CORREA*(X497="sí")+P_PROP*(Y497=1)+P_GAR*(Z497="sí")+P_FOTOS*MIN(1,N(U497)/FOTOS_OBJ)</f>
        <v/>
      </c>
      <c r="BS497" s="3">
        <f>IFERROR(VLOOKUP(BF497,ETQ_TBL,2,0),NEUTRO)</f>
        <v/>
      </c>
      <c r="BT497" s="3">
        <f>NEUTRO</f>
        <v/>
      </c>
      <c r="BU497" s="3">
        <f>IFERROR(VLOOKUP(L497,SEGURO_TBL,3,0),"")</f>
        <v/>
      </c>
      <c r="BV497" s="3">
        <f>IF(BU497="",NEUTRO,MAX(0,MIN(100,100*(SEG_REF_MAX-BU497)/(SEG_REF_MAX-SEG_REF_MIN))))</f>
        <v/>
      </c>
      <c r="BW497" s="3">
        <f>W_ET*BS497+W_CONS*BT497+W_SEG*BV497</f>
        <v/>
      </c>
      <c r="BX497" s="3">
        <f>IF(N(AB497)&gt;0,AB497,IF(AND(R497="profesional",SG_LEGAL_ON=1),GAR_LEGAL,0))</f>
        <v/>
      </c>
      <c r="BY497" s="3">
        <f>SG_GAR*MIN(1,BX497/SG_GAR_FULL)+SG_AMPL*(AC497="sí")+SG_KMC*(AF497="sí")+SG_REV*(N(AE497)&gt;0)+SG_DEV*MIN(1,N(AG497)/SG_DEV_FULL)+SG_HIST*(W497="sí")</f>
        <v/>
      </c>
      <c r="BZ497" s="3">
        <f>IFERROR(VLOOKUP(L497,CARR_PEN_TBL,2,0),0)</f>
        <v/>
      </c>
      <c r="CA497" s="3">
        <f>W_FIAB*BL497+W_PRECIO*BM497+W_KMEDAD*BQ497+W_ANUNCIO*BR497+W_USO*BW497+W_SEGURIDAD*BY497-BZ497</f>
        <v/>
      </c>
      <c r="CB497" s="4">
        <f>IF(N(I497)&gt;0,I497,IFERROR(ROUND(_xlfn.NUMBERVALUE(LEFT(G497,FIND(" ",G497&amp;" ")-1),".")*1000,0),99999))</f>
        <v/>
      </c>
      <c r="CC497" s="3">
        <f>IF(R497="profesional",0,IF(O497&lt;CUOTA_VALOR_MAX,IF(AU497&gt;ITP_TRAMO_ALTO,SUMIFS(CF_CUOTA,CF_MAS,ITP_TRAMO_ALTO,CF_CCMIN,"&lt;="&amp;CB497,CF_CCMAX,"&gt;="&amp;CB497),IF(AU497&gt;ITP_TRAMO_BAJO,SUMIFS(CF_CUOTA,CF_MAS,ITP_TRAMO_BAJO,CF_CCMIN,"&lt;="&amp;CB497,CF_CCMAX,"&gt;="&amp;CB497),O497*ITP_TIPO)),O497*ITP_TIPO))</f>
        <v/>
      </c>
      <c r="CD497" s="4">
        <f>IF(R497="profesional",N(AK497),0)</f>
        <v/>
      </c>
      <c r="CE497" s="3">
        <f>IF(AND(R497="profesional",ISNUMBER(AK497),AL497="sí"),0,TASA_DGT)</f>
        <v/>
      </c>
      <c r="CF497" s="3">
        <f>INFORME_DGT</f>
        <v/>
      </c>
      <c r="CG497" s="4">
        <f>O497+CD497+CC497+CE497+CF497</f>
        <v/>
      </c>
      <c r="CH497" s="4">
        <f>CG497+N(BU497)</f>
        <v/>
      </c>
      <c r="CI497" s="3">
        <f>IF(CG497&lt;=TOTAL_MAX,"sí",IF(CG497&lt;=TOTAL_MAX+MARGEN_NEG,"negociar","no"))</f>
        <v/>
      </c>
      <c r="CJ497" s="4">
        <f>IF(CI497&lt;&gt;"no",COUNTIFS($CI$2:$CI$662,"&lt;&gt;no",$CA$2:$CA$662,"&gt;"&amp;CA497)+COUNTIFS($CI$2:CI497,"&lt;&gt;no",$CA$2:CA497,CA497),"")</f>
        <v/>
      </c>
    </row>
    <row r="498">
      <c r="A498" s="2" t="inlineStr">
        <is>
          <t>cochesnet:71362713</t>
        </is>
      </c>
      <c r="B498" s="2" t="inlineStr">
        <is>
          <t>cochesnet</t>
        </is>
      </c>
      <c r="C498" s="2" t="inlineStr">
        <is>
          <t>https://www.coches.net/citroen-c4-16-hdi-110-vtr-plus-cmp-5p-diesel-2008-en-valencia-71362713-covo.aspx</t>
        </is>
      </c>
      <c r="D498" s="2" t="inlineStr">
        <is>
          <t>CITROEN C4 1.6 HDi 110 VTR Plus CMP</t>
        </is>
      </c>
      <c r="E498" s="2" t="inlineStr">
        <is>
          <t>Citroën</t>
        </is>
      </c>
      <c r="F498" s="2" t="inlineStr">
        <is>
          <t>Citroën C4</t>
        </is>
      </c>
      <c r="G498" s="2" t="inlineStr">
        <is>
          <t>1.6 HDi</t>
        </is>
      </c>
      <c r="H498" s="2" t="inlineStr">
        <is>
          <t>1.6 HDi 110 VTR Plus CMP</t>
        </is>
      </c>
      <c r="I498" s="2" t="n"/>
      <c r="J498" s="2" t="n"/>
      <c r="K498" s="2" t="inlineStr">
        <is>
          <t>diesel</t>
        </is>
      </c>
      <c r="L498" s="2" t="inlineStr">
        <is>
          <t>compacto</t>
        </is>
      </c>
      <c r="M498" s="2" t="n">
        <v>2008</v>
      </c>
      <c r="N498" s="2" t="n">
        <v>115000</v>
      </c>
      <c r="O498" s="2" t="n">
        <v>5200</v>
      </c>
      <c r="P498" s="2" t="inlineStr">
        <is>
          <t>automatico</t>
        </is>
      </c>
      <c r="Q498" s="2" t="inlineStr">
        <is>
          <t>sí</t>
        </is>
      </c>
      <c r="R498" s="2" t="inlineStr">
        <is>
          <t>particular</t>
        </is>
      </c>
      <c r="S498" s="2" t="inlineStr">
        <is>
          <t>Valencia</t>
        </is>
      </c>
      <c r="T498" s="2" t="inlineStr">
        <is>
          <t>2026-09-12T19:07:56Z</t>
        </is>
      </c>
      <c r="U498" s="2" t="n">
        <v>14</v>
      </c>
      <c r="V498" s="2" t="n"/>
      <c r="W498" s="2" t="n"/>
      <c r="X498" s="2" t="n"/>
      <c r="Y498" s="2" t="n"/>
      <c r="Z498" s="2" t="inlineStr">
        <is>
          <t>no</t>
        </is>
      </c>
      <c r="AA498" s="2" t="n"/>
      <c r="AB498" s="2" t="n"/>
      <c r="AC498" s="2" t="n"/>
      <c r="AD498" s="2" t="n"/>
      <c r="AE498" s="2" t="n"/>
      <c r="AF498" s="2" t="n"/>
      <c r="AG498" s="2" t="n"/>
      <c r="AH498" s="2" t="n">
        <v>5200</v>
      </c>
      <c r="AI498" s="2" t="n"/>
      <c r="AJ498" s="2" t="n"/>
      <c r="AK498" s="2" t="n"/>
      <c r="AL498" s="2" t="n"/>
      <c r="AM498" s="2" t="n">
        <v>0.1</v>
      </c>
      <c r="AN498" s="2" t="n">
        <v>3797</v>
      </c>
      <c r="AO498" s="2" t="n">
        <v>9</v>
      </c>
      <c r="AP498" s="2" t="inlineStr">
        <is>
          <t>modelo+año+km</t>
        </is>
      </c>
      <c r="AQ498" s="2" t="n"/>
      <c r="AR498" s="2" t="inlineStr">
        <is>
          <t>cuota fija ITP: &gt;12 años, 1.501-2.000 cc; fiabilidad del modelo PENDIENTE de fuente (puntuación neutra)</t>
        </is>
      </c>
      <c r="AS498" s="2" t="inlineStr">
        <is>
          <t xml:space="preserve">El embrague está cambiado de octubre de 2025 y la caja de cambio recién ajustada. Tiene la ITV en regla. La pantalla está instalada también en octubre de 2025, tiene carplay o android auto y bluetooth. </t>
        </is>
      </c>
      <c r="AT498" s="2" t="inlineStr">
        <is>
          <t>https://www.coches.net/citroen-c4-16-hdi-110-vtr-plus-cmp-5p-diesel-2008-en-valencia-71362713-covo.aspx (window.__INITIAL_PROPS__.ad) /home/user/Alopecia/buscador-coches/raw/cochesnet/41ad39829f01400e.json</t>
        </is>
      </c>
      <c r="AU498" s="3">
        <f>MAX(ANIO_ACTUAL-M498,0)</f>
        <v/>
      </c>
      <c r="AV498" s="4">
        <f>N498/MAX(AU498,0.5)</f>
        <v/>
      </c>
      <c r="AW498" s="4">
        <f>F498</f>
        <v/>
      </c>
      <c r="AX498" s="3">
        <f>AW498&amp;"|"&amp;INT(M498/SEG_ANIO)*SEG_ANIO</f>
        <v/>
      </c>
      <c r="AY498" s="3">
        <f>AX498&amp;"|"&amp;INT(N498/SEG_KM)*SEG_KM</f>
        <v/>
      </c>
      <c r="AZ498" s="4">
        <f>COUNTIF($AW$2:$AW$662,AW498)</f>
        <v/>
      </c>
      <c r="BA498" s="4">
        <f>COUNTIF($AX$2:$AX$662,AX498)</f>
        <v/>
      </c>
      <c r="BB498" s="4">
        <f>COUNTIF($AY$2:$AY$662,AY498)</f>
        <v/>
      </c>
      <c r="BC498" s="3">
        <f t="array" ref="BC498">IF(N(AO498)&gt;=MIN_N,AN498,IF(BB498&gt;=MIN_N,MEDIAN(IF($AY$2:$AY$662=AY498,$O$2:$O$662)),IF(BA498&gt;=MIN_N,MEDIAN(IF($AX$2:$AX$662=AX498,$O$2:$O$662)),MEDIAN(IF($AW$2:$AW$662=AW498,$O$2:$O$662)))))</f>
        <v/>
      </c>
      <c r="BD498" s="3">
        <f>IF(N(AO498)&gt;=MIN_N,"mercado "&amp;AP498,IF(BB498&gt;=MIN_N,"modelo+año+km",IF(BA498&gt;=MIN_N,"modelo+año","modelo")))</f>
        <v/>
      </c>
      <c r="BE498" s="4">
        <f>(BC498-O498)/BC498</f>
        <v/>
      </c>
      <c r="BF498" s="3">
        <f>IF(OR(K498="hibrido",K498="glp"),"ECO",IF(K498="electrico","CERO",IF(K498="gasolina",IF(M498&gt;=GAS_C,"C",IF(M498&gt;=GAS_B,"B","A")),IF(K498="diesel",IF(M498&gt;=DIE_C,"C",IF(M498&gt;=DIE_B,"B","A")),""))))</f>
        <v/>
      </c>
      <c r="BG498" s="3">
        <f>IFERROR(VLOOKUP(F498,MOD_TBL,11,0),IFERROR(VLOOKUP(E498,OCU_TBL,2,0),NEUTRO))</f>
        <v/>
      </c>
      <c r="BH498" s="3">
        <f>SUMIFS(MOT_AJUSTE,MOT_MOTOR,G498,MOT_MARCA,E498,MOT_DESDE,"&lt;="&amp;M498,MOT_HASTA,"&gt;="&amp;M498)+SUMIFS(MOT_AJUSTE,MOT_MOTOR,G498,MOT_MARCA,"(todas)",MOT_DESDE,"&lt;="&amp;M498,MOT_HASTA,"&gt;="&amp;M498)</f>
        <v/>
      </c>
      <c r="BI498" s="3">
        <f>SUMIFS(COMB_AJUSTE,COMB_COMB,K498)</f>
        <v/>
      </c>
      <c r="BJ498" s="3">
        <f>COUNTIFS(MOT_MOTOR,G498,MOT_MARCA,E498,MOT_DESDE,"&lt;="&amp;M498,MOT_HASTA,"&gt;="&amp;M498)+COUNTIFS(MOT_MOTOR,G498,MOT_MARCA,"(todas)",MOT_DESDE,"&lt;="&amp;M498,MOT_HASTA,"&gt;="&amp;M498)</f>
        <v/>
      </c>
      <c r="BK498" s="3">
        <f>IF(AND(K498="diesel",BJ498=0),MIN(BG498,NEUTRO),BG498)</f>
        <v/>
      </c>
      <c r="BL498" s="4">
        <f>MAX(0,MIN(100,BK498+BH498+BI498))</f>
        <v/>
      </c>
      <c r="BM498" s="3">
        <f>MAX(0,MIN(100,50+BE498*PRECIO_PEND))</f>
        <v/>
      </c>
      <c r="BN498" s="3">
        <f>MAX(0,100*(1-N498/KM_MAX))</f>
        <v/>
      </c>
      <c r="BO498" s="3">
        <f>IF(AV498&lt;KMA_SOSP,IF(AA498="sí",100,KMA_PEN),IF(AV498&lt;=KMA_IDEAL_MAX,100,MAX(0,100*(KMA_CERO-AV498)/(KMA_CERO-KMA_IDEAL_MAX))))</f>
        <v/>
      </c>
      <c r="BP498" s="3">
        <f>MAX(0,MIN(100,100*(M498-ANIO_MIN)/(ANIO_ACTUAL-ANIO_MIN)))</f>
        <v/>
      </c>
      <c r="BQ498" s="3">
        <f>W_KMT*BN498+W_KMA*BO498+W_EDAD*BP498</f>
        <v/>
      </c>
      <c r="BR498" s="3">
        <f>P_ITV*(V498="sí")+P_LIBRO*(W498="sí")+P_CORREA*(X498="sí")+P_PROP*(Y498=1)+P_GAR*(Z498="sí")+P_FOTOS*MIN(1,N(U498)/FOTOS_OBJ)</f>
        <v/>
      </c>
      <c r="BS498" s="3">
        <f>IFERROR(VLOOKUP(BF498,ETQ_TBL,2,0),NEUTRO)</f>
        <v/>
      </c>
      <c r="BT498" s="3">
        <f>NEUTRO</f>
        <v/>
      </c>
      <c r="BU498" s="3">
        <f>IFERROR(VLOOKUP(L498,SEGURO_TBL,3,0),"")</f>
        <v/>
      </c>
      <c r="BV498" s="3">
        <f>IF(BU498="",NEUTRO,MAX(0,MIN(100,100*(SEG_REF_MAX-BU498)/(SEG_REF_MAX-SEG_REF_MIN))))</f>
        <v/>
      </c>
      <c r="BW498" s="3">
        <f>W_ET*BS498+W_CONS*BT498+W_SEG*BV498</f>
        <v/>
      </c>
      <c r="BX498" s="3">
        <f>IF(N(AB498)&gt;0,AB498,IF(AND(R498="profesional",SG_LEGAL_ON=1),GAR_LEGAL,0))</f>
        <v/>
      </c>
      <c r="BY498" s="3">
        <f>SG_GAR*MIN(1,BX498/SG_GAR_FULL)+SG_AMPL*(AC498="sí")+SG_KMC*(AF498="sí")+SG_REV*(N(AE498)&gt;0)+SG_DEV*MIN(1,N(AG498)/SG_DEV_FULL)+SG_HIST*(W498="sí")</f>
        <v/>
      </c>
      <c r="BZ498" s="3">
        <f>IFERROR(VLOOKUP(L498,CARR_PEN_TBL,2,0),0)</f>
        <v/>
      </c>
      <c r="CA498" s="3">
        <f>W_FIAB*BL498+W_PRECIO*BM498+W_KMEDAD*BQ498+W_ANUNCIO*BR498+W_USO*BW498+W_SEGURIDAD*BY498-BZ498</f>
        <v/>
      </c>
      <c r="CB498" s="4">
        <f>IF(N(I498)&gt;0,I498,IFERROR(ROUND(_xlfn.NUMBERVALUE(LEFT(G498,FIND(" ",G498&amp;" ")-1),".")*1000,0),99999))</f>
        <v/>
      </c>
      <c r="CC498" s="3">
        <f>IF(R498="profesional",0,IF(O498&lt;CUOTA_VALOR_MAX,IF(AU498&gt;ITP_TRAMO_ALTO,SUMIFS(CF_CUOTA,CF_MAS,ITP_TRAMO_ALTO,CF_CCMIN,"&lt;="&amp;CB498,CF_CCMAX,"&gt;="&amp;CB498),IF(AU498&gt;ITP_TRAMO_BAJO,SUMIFS(CF_CUOTA,CF_MAS,ITP_TRAMO_BAJO,CF_CCMIN,"&lt;="&amp;CB498,CF_CCMAX,"&gt;="&amp;CB498),O498*ITP_TIPO)),O498*ITP_TIPO))</f>
        <v/>
      </c>
      <c r="CD498" s="4">
        <f>IF(R498="profesional",N(AK498),0)</f>
        <v/>
      </c>
      <c r="CE498" s="3">
        <f>IF(AND(R498="profesional",ISNUMBER(AK498),AL498="sí"),0,TASA_DGT)</f>
        <v/>
      </c>
      <c r="CF498" s="3">
        <f>INFORME_DGT</f>
        <v/>
      </c>
      <c r="CG498" s="4">
        <f>O498+CD498+CC498+CE498+CF498</f>
        <v/>
      </c>
      <c r="CH498" s="4">
        <f>CG498+N(BU498)</f>
        <v/>
      </c>
      <c r="CI498" s="3">
        <f>IF(CG498&lt;=TOTAL_MAX,"sí",IF(CG498&lt;=TOTAL_MAX+MARGEN_NEG,"negociar","no"))</f>
        <v/>
      </c>
      <c r="CJ498" s="4">
        <f>IF(CI498&lt;&gt;"no",COUNTIFS($CI$2:$CI$662,"&lt;&gt;no",$CA$2:$CA$662,"&gt;"&amp;CA498)+COUNTIFS($CI$2:CI498,"&lt;&gt;no",$CA$2:CA498,CA498),"")</f>
        <v/>
      </c>
    </row>
    <row r="499">
      <c r="A499" s="2" t="inlineStr">
        <is>
          <t>cochesnet:71777076</t>
        </is>
      </c>
      <c r="B499" s="2" t="inlineStr">
        <is>
          <t>cochesnet</t>
        </is>
      </c>
      <c r="C499" s="2" t="inlineStr">
        <is>
          <t>https://www.coches.net/citroen-c4-14-16v-cool-5p-gasolina-2005-en-valencia-71777076-covo.aspx</t>
        </is>
      </c>
      <c r="D499" s="2" t="inlineStr">
        <is>
          <t>CITROEN C4 1.4 16v Cool</t>
        </is>
      </c>
      <c r="E499" s="2" t="inlineStr">
        <is>
          <t>Citroën</t>
        </is>
      </c>
      <c r="F499" s="2" t="inlineStr">
        <is>
          <t>Citroën C4</t>
        </is>
      </c>
      <c r="G499" s="2" t="inlineStr">
        <is>
          <t>1.4</t>
        </is>
      </c>
      <c r="H499" s="2" t="inlineStr">
        <is>
          <t>1.4 16v Cool</t>
        </is>
      </c>
      <c r="I499" s="2" t="n"/>
      <c r="J499" s="2" t="n"/>
      <c r="K499" s="2" t="inlineStr">
        <is>
          <t>gasolina</t>
        </is>
      </c>
      <c r="L499" s="2" t="inlineStr">
        <is>
          <t>compacto</t>
        </is>
      </c>
      <c r="M499" s="2" t="n">
        <v>2009</v>
      </c>
      <c r="N499" s="2" t="n">
        <v>90000</v>
      </c>
      <c r="O499" s="2" t="n">
        <v>4990</v>
      </c>
      <c r="P499" s="2" t="inlineStr">
        <is>
          <t>manual</t>
        </is>
      </c>
      <c r="Q499" s="2" t="inlineStr">
        <is>
          <t>no</t>
        </is>
      </c>
      <c r="R499" s="2" t="inlineStr">
        <is>
          <t>profesional</t>
        </is>
      </c>
      <c r="S499" s="2" t="inlineStr">
        <is>
          <t>Garageng Foios Foios</t>
        </is>
      </c>
      <c r="T499" s="2" t="inlineStr">
        <is>
          <t>2026-10-19T00:49:28Z</t>
        </is>
      </c>
      <c r="U499" s="2" t="n">
        <v>28</v>
      </c>
      <c r="V499" s="2" t="inlineStr">
        <is>
          <t>sí</t>
        </is>
      </c>
      <c r="W499" s="2" t="n"/>
      <c r="X499" s="2" t="n"/>
      <c r="Y499" s="2" t="n">
        <v>1</v>
      </c>
      <c r="Z499" s="2" t="inlineStr">
        <is>
          <t>sí</t>
        </is>
      </c>
      <c r="AA499" s="2" t="n"/>
      <c r="AB499" s="2" t="n">
        <v>12</v>
      </c>
      <c r="AC499" s="2" t="n"/>
      <c r="AD499" s="2" t="n"/>
      <c r="AE499" s="2" t="n"/>
      <c r="AF499" s="2" t="n"/>
      <c r="AG499" s="2" t="n"/>
      <c r="AH499" s="2" t="n">
        <v>4990</v>
      </c>
      <c r="AI499" s="2" t="n"/>
      <c r="AJ499" s="2" t="n"/>
      <c r="AK499" s="2" t="n"/>
      <c r="AL499" s="2" t="n"/>
      <c r="AM499" s="2" t="n">
        <v>7.7</v>
      </c>
      <c r="AN499" s="2" t="n">
        <v>3500</v>
      </c>
      <c r="AO499" s="2" t="n">
        <v>53</v>
      </c>
      <c r="AP499" s="2" t="inlineStr">
        <is>
          <t>modelo+año</t>
        </is>
      </c>
      <c r="AQ499" s="2" t="n"/>
      <c r="AR499"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499" s="2" t="inlineStr">
        <is>
          <t>CITROEN MODELO C4 MOTOR 1.4I CON 90 CV DE POTENCIA Y CONSUMO REDUCIDO.
VEHÍCULO NACIONAL PROCEDENTE DE UNICO PROPIETARIO CON KILOMETRAJE REAL Y CERTIFICADO.
SE ENTREGA CON MANTENIMIENTO RECIEN HECHO E ITV EN VIGOR.
DESTACADOS:
- CIERRE CENTRALIZADO CON MANDO Y DOS LLAVES 
- VELOCIDAD DE CRUCERO CON LIMITADOR
- CLIMATIZADOR A/C
- RADIO ORIGINAL CITROEN CON PUERTO USB Y AUX
- ELEVALUNAS ELÉCTRICOS
- RETROVISORES ELÉCTRICOS 
- TAPICERÍA DE TELA MIXTA MUY BIEN CONSERVADA
- ISOFIX
- POSA-VASOS 
- VEHÍCULO SUJETO A IVA/REBU. 
- ESTE ANUNCIO PUEDE CONTENER ALGÚN ERROR SE MUESTRA A TITULO INFORMATIVO Y NO CONTRACTUAL, PARA MAS INFORMACIÓN CONTACTE CON NOSOTROS.
- ACEPTAMOS COCHES COMO PARTE DE PAGO, TASACION MAXIMA Y PAGO INMEDIATO.
- CARRER DE LA HORTA 14, FOIOS, POLIGONO INDUSTRIAL EL MOLI, CAMPA AMARILLA.</t>
        </is>
      </c>
      <c r="AT499" s="2" t="inlineStr">
        <is>
          <t>https://www.coches.net/citroen-c4-14-16v-cool-5p-gasolina-2005-en-valencia-71777076-covo.aspx (window.__INITIAL_PROPS__.ad) /home/user/Alopecia/buscador-coches/raw/cochesnet/87de5887997e6596.json</t>
        </is>
      </c>
      <c r="AU499" s="3">
        <f>MAX(ANIO_ACTUAL-M499,0)</f>
        <v/>
      </c>
      <c r="AV499" s="4">
        <f>N499/MAX(AU499,0.5)</f>
        <v/>
      </c>
      <c r="AW499" s="4">
        <f>F499</f>
        <v/>
      </c>
      <c r="AX499" s="3">
        <f>AW499&amp;"|"&amp;INT(M499/SEG_ANIO)*SEG_ANIO</f>
        <v/>
      </c>
      <c r="AY499" s="3">
        <f>AX499&amp;"|"&amp;INT(N499/SEG_KM)*SEG_KM</f>
        <v/>
      </c>
      <c r="AZ499" s="4">
        <f>COUNTIF($AW$2:$AW$662,AW499)</f>
        <v/>
      </c>
      <c r="BA499" s="4">
        <f>COUNTIF($AX$2:$AX$662,AX499)</f>
        <v/>
      </c>
      <c r="BB499" s="4">
        <f>COUNTIF($AY$2:$AY$662,AY499)</f>
        <v/>
      </c>
      <c r="BC499" s="3">
        <f t="array" ref="BC499">IF(N(AO499)&gt;=MIN_N,AN499,IF(BB499&gt;=MIN_N,MEDIAN(IF($AY$2:$AY$662=AY499,$O$2:$O$662)),IF(BA499&gt;=MIN_N,MEDIAN(IF($AX$2:$AX$662=AX499,$O$2:$O$662)),MEDIAN(IF($AW$2:$AW$662=AW499,$O$2:$O$662)))))</f>
        <v/>
      </c>
      <c r="BD499" s="3">
        <f>IF(N(AO499)&gt;=MIN_N,"mercado "&amp;AP499,IF(BB499&gt;=MIN_N,"modelo+año+km",IF(BA499&gt;=MIN_N,"modelo+año","modelo")))</f>
        <v/>
      </c>
      <c r="BE499" s="4">
        <f>(BC499-O499)/BC499</f>
        <v/>
      </c>
      <c r="BF499" s="3">
        <f>IF(OR(K499="hibrido",K499="glp"),"ECO",IF(K499="electrico","CERO",IF(K499="gasolina",IF(M499&gt;=GAS_C,"C",IF(M499&gt;=GAS_B,"B","A")),IF(K499="diesel",IF(M499&gt;=DIE_C,"C",IF(M499&gt;=DIE_B,"B","A")),""))))</f>
        <v/>
      </c>
      <c r="BG499" s="3">
        <f>IFERROR(VLOOKUP(F499,MOD_TBL,11,0),IFERROR(VLOOKUP(E499,OCU_TBL,2,0),NEUTRO))</f>
        <v/>
      </c>
      <c r="BH499" s="3">
        <f>SUMIFS(MOT_AJUSTE,MOT_MOTOR,G499,MOT_MARCA,E499,MOT_DESDE,"&lt;="&amp;M499,MOT_HASTA,"&gt;="&amp;M499)+SUMIFS(MOT_AJUSTE,MOT_MOTOR,G499,MOT_MARCA,"(todas)",MOT_DESDE,"&lt;="&amp;M499,MOT_HASTA,"&gt;="&amp;M499)</f>
        <v/>
      </c>
      <c r="BI499" s="3">
        <f>SUMIFS(COMB_AJUSTE,COMB_COMB,K499)</f>
        <v/>
      </c>
      <c r="BJ499" s="3">
        <f>COUNTIFS(MOT_MOTOR,G499,MOT_MARCA,E499,MOT_DESDE,"&lt;="&amp;M499,MOT_HASTA,"&gt;="&amp;M499)+COUNTIFS(MOT_MOTOR,G499,MOT_MARCA,"(todas)",MOT_DESDE,"&lt;="&amp;M499,MOT_HASTA,"&gt;="&amp;M499)</f>
        <v/>
      </c>
      <c r="BK499" s="3">
        <f>IF(AND(K499="diesel",BJ499=0),MIN(BG499,NEUTRO),BG499)</f>
        <v/>
      </c>
      <c r="BL499" s="4">
        <f>MAX(0,MIN(100,BK499+BH499+BI499))</f>
        <v/>
      </c>
      <c r="BM499" s="3">
        <f>MAX(0,MIN(100,50+BE499*PRECIO_PEND))</f>
        <v/>
      </c>
      <c r="BN499" s="3">
        <f>MAX(0,100*(1-N499/KM_MAX))</f>
        <v/>
      </c>
      <c r="BO499" s="3">
        <f>IF(AV499&lt;KMA_SOSP,IF(AA499="sí",100,KMA_PEN),IF(AV499&lt;=KMA_IDEAL_MAX,100,MAX(0,100*(KMA_CERO-AV499)/(KMA_CERO-KMA_IDEAL_MAX))))</f>
        <v/>
      </c>
      <c r="BP499" s="3">
        <f>MAX(0,MIN(100,100*(M499-ANIO_MIN)/(ANIO_ACTUAL-ANIO_MIN)))</f>
        <v/>
      </c>
      <c r="BQ499" s="3">
        <f>W_KMT*BN499+W_KMA*BO499+W_EDAD*BP499</f>
        <v/>
      </c>
      <c r="BR499" s="3">
        <f>P_ITV*(V499="sí")+P_LIBRO*(W499="sí")+P_CORREA*(X499="sí")+P_PROP*(Y499=1)+P_GAR*(Z499="sí")+P_FOTOS*MIN(1,N(U499)/FOTOS_OBJ)</f>
        <v/>
      </c>
      <c r="BS499" s="3">
        <f>IFERROR(VLOOKUP(BF499,ETQ_TBL,2,0),NEUTRO)</f>
        <v/>
      </c>
      <c r="BT499" s="3">
        <f>NEUTRO</f>
        <v/>
      </c>
      <c r="BU499" s="3">
        <f>IFERROR(VLOOKUP(L499,SEGURO_TBL,3,0),"")</f>
        <v/>
      </c>
      <c r="BV499" s="3">
        <f>IF(BU499="",NEUTRO,MAX(0,MIN(100,100*(SEG_REF_MAX-BU499)/(SEG_REF_MAX-SEG_REF_MIN))))</f>
        <v/>
      </c>
      <c r="BW499" s="3">
        <f>W_ET*BS499+W_CONS*BT499+W_SEG*BV499</f>
        <v/>
      </c>
      <c r="BX499" s="3">
        <f>IF(N(AB499)&gt;0,AB499,IF(AND(R499="profesional",SG_LEGAL_ON=1),GAR_LEGAL,0))</f>
        <v/>
      </c>
      <c r="BY499" s="3">
        <f>SG_GAR*MIN(1,BX499/SG_GAR_FULL)+SG_AMPL*(AC499="sí")+SG_KMC*(AF499="sí")+SG_REV*(N(AE499)&gt;0)+SG_DEV*MIN(1,N(AG499)/SG_DEV_FULL)+SG_HIST*(W499="sí")</f>
        <v/>
      </c>
      <c r="BZ499" s="3">
        <f>IFERROR(VLOOKUP(L499,CARR_PEN_TBL,2,0),0)</f>
        <v/>
      </c>
      <c r="CA499" s="3">
        <f>W_FIAB*BL499+W_PRECIO*BM499+W_KMEDAD*BQ499+W_ANUNCIO*BR499+W_USO*BW499+W_SEGURIDAD*BY499-BZ499</f>
        <v/>
      </c>
      <c r="CB499" s="4">
        <f>IF(N(I499)&gt;0,I499,IFERROR(ROUND(_xlfn.NUMBERVALUE(LEFT(G499,FIND(" ",G499&amp;" ")-1),".")*1000,0),99999))</f>
        <v/>
      </c>
      <c r="CC499" s="3">
        <f>IF(R499="profesional",0,IF(O499&lt;CUOTA_VALOR_MAX,IF(AU499&gt;ITP_TRAMO_ALTO,SUMIFS(CF_CUOTA,CF_MAS,ITP_TRAMO_ALTO,CF_CCMIN,"&lt;="&amp;CB499,CF_CCMAX,"&gt;="&amp;CB499),IF(AU499&gt;ITP_TRAMO_BAJO,SUMIFS(CF_CUOTA,CF_MAS,ITP_TRAMO_BAJO,CF_CCMIN,"&lt;="&amp;CB499,CF_CCMAX,"&gt;="&amp;CB499),O499*ITP_TIPO)),O499*ITP_TIPO))</f>
        <v/>
      </c>
      <c r="CD499" s="4">
        <f>IF(R499="profesional",N(AK499),0)</f>
        <v/>
      </c>
      <c r="CE499" s="3">
        <f>IF(AND(R499="profesional",ISNUMBER(AK499),AL499="sí"),0,TASA_DGT)</f>
        <v/>
      </c>
      <c r="CF499" s="3">
        <f>INFORME_DGT</f>
        <v/>
      </c>
      <c r="CG499" s="4">
        <f>O499+CD499+CC499+CE499+CF499</f>
        <v/>
      </c>
      <c r="CH499" s="4">
        <f>CG499+N(BU499)</f>
        <v/>
      </c>
      <c r="CI499" s="3">
        <f>IF(CG499&lt;=TOTAL_MAX,"sí",IF(CG499&lt;=TOTAL_MAX+MARGEN_NEG,"negociar","no"))</f>
        <v/>
      </c>
      <c r="CJ499" s="4">
        <f>IF(CI499&lt;&gt;"no",COUNTIFS($CI$2:$CI$662,"&lt;&gt;no",$CA$2:$CA$662,"&gt;"&amp;CA499)+COUNTIFS($CI$2:CI499,"&lt;&gt;no",$CA$2:CA499,CA499),"")</f>
        <v/>
      </c>
    </row>
    <row r="500">
      <c r="A500" s="2" t="inlineStr">
        <is>
          <t>cochesnet:71757769</t>
        </is>
      </c>
      <c r="B500" s="2" t="inlineStr">
        <is>
          <t>cochesnet</t>
        </is>
      </c>
      <c r="C500" s="2" t="inlineStr">
        <is>
          <t>https://www.coches.net/citroen-c4-16-16v-exclusive-5p-gasolina-2006-en-valencia-71757769-covo.aspx</t>
        </is>
      </c>
      <c r="D500" s="2" t="inlineStr">
        <is>
          <t>CITROEN C4 1.6 16v Exclusive</t>
        </is>
      </c>
      <c r="E500" s="2" t="inlineStr">
        <is>
          <t>Citroën</t>
        </is>
      </c>
      <c r="F500" s="2" t="inlineStr">
        <is>
          <t>Citroën C4</t>
        </is>
      </c>
      <c r="G500" s="2" t="inlineStr">
        <is>
          <t>1.6</t>
        </is>
      </c>
      <c r="H500" s="2" t="inlineStr">
        <is>
          <t>1.6 16v Exclusive</t>
        </is>
      </c>
      <c r="I500" s="2" t="n"/>
      <c r="J500" s="2" t="n"/>
      <c r="K500" s="2" t="inlineStr">
        <is>
          <t>gasolina</t>
        </is>
      </c>
      <c r="L500" s="2" t="inlineStr">
        <is>
          <t>compacto</t>
        </is>
      </c>
      <c r="M500" s="2" t="n">
        <v>2006</v>
      </c>
      <c r="N500" s="2" t="n">
        <v>160000</v>
      </c>
      <c r="O500" s="2" t="n">
        <v>4000</v>
      </c>
      <c r="P500" s="2" t="inlineStr">
        <is>
          <t>manual</t>
        </is>
      </c>
      <c r="Q500" s="2" t="inlineStr">
        <is>
          <t>no</t>
        </is>
      </c>
      <c r="R500" s="2" t="inlineStr">
        <is>
          <t>particular</t>
        </is>
      </c>
      <c r="S500" s="2" t="n"/>
      <c r="T500" s="2" t="inlineStr">
        <is>
          <t>2026-10-15T18:23:22Z</t>
        </is>
      </c>
      <c r="U500" s="2" t="n">
        <v>7</v>
      </c>
      <c r="V500" s="2" t="inlineStr">
        <is>
          <t>sí</t>
        </is>
      </c>
      <c r="W500" s="2" t="n"/>
      <c r="X500" s="2" t="n"/>
      <c r="Y500" s="2" t="n"/>
      <c r="Z500" s="2" t="inlineStr">
        <is>
          <t>no</t>
        </is>
      </c>
      <c r="AA500" s="2" t="n"/>
      <c r="AB500" s="2" t="n"/>
      <c r="AC500" s="2" t="n"/>
      <c r="AD500" s="2" t="n"/>
      <c r="AE500" s="2" t="n"/>
      <c r="AF500" s="2" t="n"/>
      <c r="AG500" s="2" t="n"/>
      <c r="AH500" s="2" t="n">
        <v>4000</v>
      </c>
      <c r="AI500" s="2" t="n"/>
      <c r="AJ500" s="2" t="n"/>
      <c r="AK500" s="2" t="n"/>
      <c r="AL500" s="2" t="n"/>
      <c r="AM500" s="2" t="n"/>
      <c r="AN500" s="2" t="n">
        <v>2600</v>
      </c>
      <c r="AO500" s="2" t="n">
        <v>9</v>
      </c>
      <c r="AP500" s="2" t="inlineStr">
        <is>
          <t>modelo+año+km</t>
        </is>
      </c>
      <c r="AQ500" s="2" t="n"/>
      <c r="AR500" s="2" t="inlineStr">
        <is>
          <t>cuota fija ITP: &gt;12 años, 1.501-2.000 cc; distancia no verificable (el anuncio solo indica la provincia): confirmar que está a &lt;= 70 km; fiabilidad del modelo PENDIENTE de fuente (puntuación neutra)</t>
        </is>
      </c>
      <c r="AS500" s="2" t="inlineStr">
        <is>
          <t>vendo Citroen C4 muy bien cuidado,tapicería perfecta y carrocería también,ITV recién pasada y ruedas nuevas.precio negociable interesados hablar por wasap</t>
        </is>
      </c>
      <c r="AT500" s="2" t="inlineStr">
        <is>
          <t>https://www.coches.net/citroen-c4-16-16v-exclusive-5p-gasolina-2006-en-valencia-71757769-covo.aspx (window.__INITIAL_PROPS__.ad) /home/user/Alopecia/buscador-coches/raw/cochesnet/7f579e4f9b87b9c0.json</t>
        </is>
      </c>
      <c r="AU500" s="3">
        <f>MAX(ANIO_ACTUAL-M500,0)</f>
        <v/>
      </c>
      <c r="AV500" s="4">
        <f>N500/MAX(AU500,0.5)</f>
        <v/>
      </c>
      <c r="AW500" s="4">
        <f>F500</f>
        <v/>
      </c>
      <c r="AX500" s="3">
        <f>AW500&amp;"|"&amp;INT(M500/SEG_ANIO)*SEG_ANIO</f>
        <v/>
      </c>
      <c r="AY500" s="3">
        <f>AX500&amp;"|"&amp;INT(N500/SEG_KM)*SEG_KM</f>
        <v/>
      </c>
      <c r="AZ500" s="4">
        <f>COUNTIF($AW$2:$AW$662,AW500)</f>
        <v/>
      </c>
      <c r="BA500" s="4">
        <f>COUNTIF($AX$2:$AX$662,AX500)</f>
        <v/>
      </c>
      <c r="BB500" s="4">
        <f>COUNTIF($AY$2:$AY$662,AY500)</f>
        <v/>
      </c>
      <c r="BC500" s="3">
        <f t="array" ref="BC500">IF(N(AO500)&gt;=MIN_N,AN500,IF(BB500&gt;=MIN_N,MEDIAN(IF($AY$2:$AY$662=AY500,$O$2:$O$662)),IF(BA500&gt;=MIN_N,MEDIAN(IF($AX$2:$AX$662=AX500,$O$2:$O$662)),MEDIAN(IF($AW$2:$AW$662=AW500,$O$2:$O$662)))))</f>
        <v/>
      </c>
      <c r="BD500" s="3">
        <f>IF(N(AO500)&gt;=MIN_N,"mercado "&amp;AP500,IF(BB500&gt;=MIN_N,"modelo+año+km",IF(BA500&gt;=MIN_N,"modelo+año","modelo")))</f>
        <v/>
      </c>
      <c r="BE500" s="4">
        <f>(BC500-O500)/BC500</f>
        <v/>
      </c>
      <c r="BF500" s="3">
        <f>IF(OR(K500="hibrido",K500="glp"),"ECO",IF(K500="electrico","CERO",IF(K500="gasolina",IF(M500&gt;=GAS_C,"C",IF(M500&gt;=GAS_B,"B","A")),IF(K500="diesel",IF(M500&gt;=DIE_C,"C",IF(M500&gt;=DIE_B,"B","A")),""))))</f>
        <v/>
      </c>
      <c r="BG500" s="3">
        <f>IFERROR(VLOOKUP(F500,MOD_TBL,11,0),IFERROR(VLOOKUP(E500,OCU_TBL,2,0),NEUTRO))</f>
        <v/>
      </c>
      <c r="BH500" s="3">
        <f>SUMIFS(MOT_AJUSTE,MOT_MOTOR,G500,MOT_MARCA,E500,MOT_DESDE,"&lt;="&amp;M500,MOT_HASTA,"&gt;="&amp;M500)+SUMIFS(MOT_AJUSTE,MOT_MOTOR,G500,MOT_MARCA,"(todas)",MOT_DESDE,"&lt;="&amp;M500,MOT_HASTA,"&gt;="&amp;M500)</f>
        <v/>
      </c>
      <c r="BI500" s="3">
        <f>SUMIFS(COMB_AJUSTE,COMB_COMB,K500)</f>
        <v/>
      </c>
      <c r="BJ500" s="3">
        <f>COUNTIFS(MOT_MOTOR,G500,MOT_MARCA,E500,MOT_DESDE,"&lt;="&amp;M500,MOT_HASTA,"&gt;="&amp;M500)+COUNTIFS(MOT_MOTOR,G500,MOT_MARCA,"(todas)",MOT_DESDE,"&lt;="&amp;M500,MOT_HASTA,"&gt;="&amp;M500)</f>
        <v/>
      </c>
      <c r="BK500" s="3">
        <f>IF(AND(K500="diesel",BJ500=0),MIN(BG500,NEUTRO),BG500)</f>
        <v/>
      </c>
      <c r="BL500" s="4">
        <f>MAX(0,MIN(100,BK500+BH500+BI500))</f>
        <v/>
      </c>
      <c r="BM500" s="3">
        <f>MAX(0,MIN(100,50+BE500*PRECIO_PEND))</f>
        <v/>
      </c>
      <c r="BN500" s="3">
        <f>MAX(0,100*(1-N500/KM_MAX))</f>
        <v/>
      </c>
      <c r="BO500" s="3">
        <f>IF(AV500&lt;KMA_SOSP,IF(AA500="sí",100,KMA_PEN),IF(AV500&lt;=KMA_IDEAL_MAX,100,MAX(0,100*(KMA_CERO-AV500)/(KMA_CERO-KMA_IDEAL_MAX))))</f>
        <v/>
      </c>
      <c r="BP500" s="3">
        <f>MAX(0,MIN(100,100*(M500-ANIO_MIN)/(ANIO_ACTUAL-ANIO_MIN)))</f>
        <v/>
      </c>
      <c r="BQ500" s="3">
        <f>W_KMT*BN500+W_KMA*BO500+W_EDAD*BP500</f>
        <v/>
      </c>
      <c r="BR500" s="3">
        <f>P_ITV*(V500="sí")+P_LIBRO*(W500="sí")+P_CORREA*(X500="sí")+P_PROP*(Y500=1)+P_GAR*(Z500="sí")+P_FOTOS*MIN(1,N(U500)/FOTOS_OBJ)</f>
        <v/>
      </c>
      <c r="BS500" s="3">
        <f>IFERROR(VLOOKUP(BF500,ETQ_TBL,2,0),NEUTRO)</f>
        <v/>
      </c>
      <c r="BT500" s="3">
        <f>NEUTRO</f>
        <v/>
      </c>
      <c r="BU500" s="3">
        <f>IFERROR(VLOOKUP(L500,SEGURO_TBL,3,0),"")</f>
        <v/>
      </c>
      <c r="BV500" s="3">
        <f>IF(BU500="",NEUTRO,MAX(0,MIN(100,100*(SEG_REF_MAX-BU500)/(SEG_REF_MAX-SEG_REF_MIN))))</f>
        <v/>
      </c>
      <c r="BW500" s="3">
        <f>W_ET*BS500+W_CONS*BT500+W_SEG*BV500</f>
        <v/>
      </c>
      <c r="BX500" s="3">
        <f>IF(N(AB500)&gt;0,AB500,IF(AND(R500="profesional",SG_LEGAL_ON=1),GAR_LEGAL,0))</f>
        <v/>
      </c>
      <c r="BY500" s="3">
        <f>SG_GAR*MIN(1,BX500/SG_GAR_FULL)+SG_AMPL*(AC500="sí")+SG_KMC*(AF500="sí")+SG_REV*(N(AE500)&gt;0)+SG_DEV*MIN(1,N(AG500)/SG_DEV_FULL)+SG_HIST*(W500="sí")</f>
        <v/>
      </c>
      <c r="BZ500" s="3">
        <f>IFERROR(VLOOKUP(L500,CARR_PEN_TBL,2,0),0)</f>
        <v/>
      </c>
      <c r="CA500" s="3">
        <f>W_FIAB*BL500+W_PRECIO*BM500+W_KMEDAD*BQ500+W_ANUNCIO*BR500+W_USO*BW500+W_SEGURIDAD*BY500-BZ500</f>
        <v/>
      </c>
      <c r="CB500" s="4">
        <f>IF(N(I500)&gt;0,I500,IFERROR(ROUND(_xlfn.NUMBERVALUE(LEFT(G500,FIND(" ",G500&amp;" ")-1),".")*1000,0),99999))</f>
        <v/>
      </c>
      <c r="CC500" s="3">
        <f>IF(R500="profesional",0,IF(O500&lt;CUOTA_VALOR_MAX,IF(AU500&gt;ITP_TRAMO_ALTO,SUMIFS(CF_CUOTA,CF_MAS,ITP_TRAMO_ALTO,CF_CCMIN,"&lt;="&amp;CB500,CF_CCMAX,"&gt;="&amp;CB500),IF(AU500&gt;ITP_TRAMO_BAJO,SUMIFS(CF_CUOTA,CF_MAS,ITP_TRAMO_BAJO,CF_CCMIN,"&lt;="&amp;CB500,CF_CCMAX,"&gt;="&amp;CB500),O500*ITP_TIPO)),O500*ITP_TIPO))</f>
        <v/>
      </c>
      <c r="CD500" s="4">
        <f>IF(R500="profesional",N(AK500),0)</f>
        <v/>
      </c>
      <c r="CE500" s="3">
        <f>IF(AND(R500="profesional",ISNUMBER(AK500),AL500="sí"),0,TASA_DGT)</f>
        <v/>
      </c>
      <c r="CF500" s="3">
        <f>INFORME_DGT</f>
        <v/>
      </c>
      <c r="CG500" s="4">
        <f>O500+CD500+CC500+CE500+CF500</f>
        <v/>
      </c>
      <c r="CH500" s="4">
        <f>CG500+N(BU500)</f>
        <v/>
      </c>
      <c r="CI500" s="3">
        <f>IF(CG500&lt;=TOTAL_MAX,"sí",IF(CG500&lt;=TOTAL_MAX+MARGEN_NEG,"negociar","no"))</f>
        <v/>
      </c>
      <c r="CJ500" s="4">
        <f>IF(CI500&lt;&gt;"no",COUNTIFS($CI$2:$CI$662,"&lt;&gt;no",$CA$2:$CA$662,"&gt;"&amp;CA500)+COUNTIFS($CI$2:CI500,"&lt;&gt;no",$CA$2:CA500,CA500),"")</f>
        <v/>
      </c>
    </row>
    <row r="501">
      <c r="A501" s="2" t="inlineStr">
        <is>
          <t>cochesnet:71663953</t>
        </is>
      </c>
      <c r="B501" s="2" t="inlineStr">
        <is>
          <t>cochesnet</t>
        </is>
      </c>
      <c r="C501" s="2" t="inlineStr">
        <is>
          <t>https://www.coches.net/citroen-c4-16-hdi-90-cool-5p-diesel-2005-en-valencia-71663953-covo.aspx</t>
        </is>
      </c>
      <c r="D501" s="2" t="inlineStr">
        <is>
          <t>CITROEN C4 1.6 HDi 90 Cool</t>
        </is>
      </c>
      <c r="E501" s="2" t="inlineStr">
        <is>
          <t>Citroën</t>
        </is>
      </c>
      <c r="F501" s="2" t="inlineStr">
        <is>
          <t>Citroën C4</t>
        </is>
      </c>
      <c r="G501" s="2" t="inlineStr">
        <is>
          <t>1.6 HDi</t>
        </is>
      </c>
      <c r="H501" s="2" t="inlineStr">
        <is>
          <t>1.6 HDi 90 Cool</t>
        </is>
      </c>
      <c r="I501" s="2" t="n"/>
      <c r="J501" s="2" t="n"/>
      <c r="K501" s="2" t="inlineStr">
        <is>
          <t>diesel</t>
        </is>
      </c>
      <c r="L501" s="2" t="inlineStr">
        <is>
          <t>compacto</t>
        </is>
      </c>
      <c r="M501" s="2" t="n">
        <v>2009</v>
      </c>
      <c r="N501" s="2" t="n">
        <v>90000</v>
      </c>
      <c r="O501" s="2" t="n">
        <v>4999</v>
      </c>
      <c r="P501" s="2" t="inlineStr">
        <is>
          <t>manual</t>
        </is>
      </c>
      <c r="Q501" s="2" t="inlineStr">
        <is>
          <t>no</t>
        </is>
      </c>
      <c r="R501" s="2" t="inlineStr">
        <is>
          <t>profesional</t>
        </is>
      </c>
      <c r="S501" s="2" t="inlineStr">
        <is>
          <t>Cars Premium Albal Albal</t>
        </is>
      </c>
      <c r="T501" s="2" t="inlineStr">
        <is>
          <t>2026-10-03T11:40:34Z</t>
        </is>
      </c>
      <c r="U501" s="2" t="n">
        <v>13</v>
      </c>
      <c r="V501" s="2" t="n"/>
      <c r="W501" s="2" t="n"/>
      <c r="X501" s="2" t="n"/>
      <c r="Y501" s="2" t="n">
        <v>1</v>
      </c>
      <c r="Z501" s="2" t="inlineStr">
        <is>
          <t>sí</t>
        </is>
      </c>
      <c r="AA501" s="2" t="n"/>
      <c r="AB501" s="2" t="n">
        <v>12</v>
      </c>
      <c r="AC501" s="2" t="n"/>
      <c r="AD501" s="2" t="n"/>
      <c r="AE501" s="2" t="n"/>
      <c r="AF501" s="2" t="n"/>
      <c r="AG501" s="2" t="n"/>
      <c r="AH501" s="2" t="n">
        <v>4999</v>
      </c>
      <c r="AI501" s="2" t="n">
        <v>4999</v>
      </c>
      <c r="AJ501" s="2" t="n"/>
      <c r="AK501" s="2" t="n"/>
      <c r="AL501" s="2" t="n"/>
      <c r="AM501" s="2" t="n">
        <v>8.699999999999999</v>
      </c>
      <c r="AN501" s="2" t="n">
        <v>3500</v>
      </c>
      <c r="AO501" s="2" t="n">
        <v>53</v>
      </c>
      <c r="AP501" s="2" t="inlineStr">
        <is>
          <t>modelo+año</t>
        </is>
      </c>
      <c r="AQ501" s="2" t="n"/>
      <c r="AR501" s="2" t="inlineStr">
        <is>
          <t>por encima del presupuesto (5063 €), negociar; vendedor profesional: sin ITP (operación con IVA/REBU, confirmar en factura); gastos de gestión del vendedor no indicados: se suma la tasa DGT; preguntar el precio final; fiabilidad del modelo PENDIENTE de fuente (puntuación neutra)</t>
        </is>
      </c>
      <c r="AS501" s="2" t="inlineStr">
        <is>
          <t>MARCA: Citroen
MODELO: C4
AÑO: 2009
MOTOR: 1.6Hdi 92cv
KM: 90.000
PEGATINA MEDIOAMBIENTAL: Tipo B
ITV: Se entrega recien pasada
TIPS: Vehiculo de UNICO PROPIETARIO, con unas medidas que le hacen un coche utilitario y sencillo de manejar con unos CONSUMOS BAJISIMOS.
EQUIPAMIENTO: Ordenador a bordo, climatizador bi-zona( Carga de aire recien cargada) volante multi-funcion, sensor de luces y lluvia, RCD con bluetooth, cierre centralizado con llave, etc
DIRECCION: av padre Carlos Ferris 87, Albal, Valencia
Para mas info contacten</t>
        </is>
      </c>
      <c r="AT501" s="2" t="inlineStr">
        <is>
          <t>https://www.coches.net/citroen-c4-16-hdi-90-cool-5p-diesel-2005-en-valencia-71663953-covo.aspx (window.__INITIAL_PROPS__.ad) /home/user/Alopecia/buscador-coches/raw/cochesnet/53057119a35f32d6.json</t>
        </is>
      </c>
      <c r="AU501" s="3">
        <f>MAX(ANIO_ACTUAL-M501,0)</f>
        <v/>
      </c>
      <c r="AV501" s="4">
        <f>N501/MAX(AU501,0.5)</f>
        <v/>
      </c>
      <c r="AW501" s="4">
        <f>F501</f>
        <v/>
      </c>
      <c r="AX501" s="3">
        <f>AW501&amp;"|"&amp;INT(M501/SEG_ANIO)*SEG_ANIO</f>
        <v/>
      </c>
      <c r="AY501" s="3">
        <f>AX501&amp;"|"&amp;INT(N501/SEG_KM)*SEG_KM</f>
        <v/>
      </c>
      <c r="AZ501" s="4">
        <f>COUNTIF($AW$2:$AW$662,AW501)</f>
        <v/>
      </c>
      <c r="BA501" s="4">
        <f>COUNTIF($AX$2:$AX$662,AX501)</f>
        <v/>
      </c>
      <c r="BB501" s="4">
        <f>COUNTIF($AY$2:$AY$662,AY501)</f>
        <v/>
      </c>
      <c r="BC501" s="3">
        <f t="array" ref="BC501">IF(N(AO501)&gt;=MIN_N,AN501,IF(BB501&gt;=MIN_N,MEDIAN(IF($AY$2:$AY$662=AY501,$O$2:$O$662)),IF(BA501&gt;=MIN_N,MEDIAN(IF($AX$2:$AX$662=AX501,$O$2:$O$662)),MEDIAN(IF($AW$2:$AW$662=AW501,$O$2:$O$662)))))</f>
        <v/>
      </c>
      <c r="BD501" s="3">
        <f>IF(N(AO501)&gt;=MIN_N,"mercado "&amp;AP501,IF(BB501&gt;=MIN_N,"modelo+año+km",IF(BA501&gt;=MIN_N,"modelo+año","modelo")))</f>
        <v/>
      </c>
      <c r="BE501" s="4">
        <f>(BC501-O501)/BC501</f>
        <v/>
      </c>
      <c r="BF501" s="3">
        <f>IF(OR(K501="hibrido",K501="glp"),"ECO",IF(K501="electrico","CERO",IF(K501="gasolina",IF(M501&gt;=GAS_C,"C",IF(M501&gt;=GAS_B,"B","A")),IF(K501="diesel",IF(M501&gt;=DIE_C,"C",IF(M501&gt;=DIE_B,"B","A")),""))))</f>
        <v/>
      </c>
      <c r="BG501" s="3">
        <f>IFERROR(VLOOKUP(F501,MOD_TBL,11,0),IFERROR(VLOOKUP(E501,OCU_TBL,2,0),NEUTRO))</f>
        <v/>
      </c>
      <c r="BH501" s="3">
        <f>SUMIFS(MOT_AJUSTE,MOT_MOTOR,G501,MOT_MARCA,E501,MOT_DESDE,"&lt;="&amp;M501,MOT_HASTA,"&gt;="&amp;M501)+SUMIFS(MOT_AJUSTE,MOT_MOTOR,G501,MOT_MARCA,"(todas)",MOT_DESDE,"&lt;="&amp;M501,MOT_HASTA,"&gt;="&amp;M501)</f>
        <v/>
      </c>
      <c r="BI501" s="3">
        <f>SUMIFS(COMB_AJUSTE,COMB_COMB,K501)</f>
        <v/>
      </c>
      <c r="BJ501" s="3">
        <f>COUNTIFS(MOT_MOTOR,G501,MOT_MARCA,E501,MOT_DESDE,"&lt;="&amp;M501,MOT_HASTA,"&gt;="&amp;M501)+COUNTIFS(MOT_MOTOR,G501,MOT_MARCA,"(todas)",MOT_DESDE,"&lt;="&amp;M501,MOT_HASTA,"&gt;="&amp;M501)</f>
        <v/>
      </c>
      <c r="BK501" s="3">
        <f>IF(AND(K501="diesel",BJ501=0),MIN(BG501,NEUTRO),BG501)</f>
        <v/>
      </c>
      <c r="BL501" s="4">
        <f>MAX(0,MIN(100,BK501+BH501+BI501))</f>
        <v/>
      </c>
      <c r="BM501" s="3">
        <f>MAX(0,MIN(100,50+BE501*PRECIO_PEND))</f>
        <v/>
      </c>
      <c r="BN501" s="3">
        <f>MAX(0,100*(1-N501/KM_MAX))</f>
        <v/>
      </c>
      <c r="BO501" s="3">
        <f>IF(AV501&lt;KMA_SOSP,IF(AA501="sí",100,KMA_PEN),IF(AV501&lt;=KMA_IDEAL_MAX,100,MAX(0,100*(KMA_CERO-AV501)/(KMA_CERO-KMA_IDEAL_MAX))))</f>
        <v/>
      </c>
      <c r="BP501" s="3">
        <f>MAX(0,MIN(100,100*(M501-ANIO_MIN)/(ANIO_ACTUAL-ANIO_MIN)))</f>
        <v/>
      </c>
      <c r="BQ501" s="3">
        <f>W_KMT*BN501+W_KMA*BO501+W_EDAD*BP501</f>
        <v/>
      </c>
      <c r="BR501" s="3">
        <f>P_ITV*(V501="sí")+P_LIBRO*(W501="sí")+P_CORREA*(X501="sí")+P_PROP*(Y501=1)+P_GAR*(Z501="sí")+P_FOTOS*MIN(1,N(U501)/FOTOS_OBJ)</f>
        <v/>
      </c>
      <c r="BS501" s="3">
        <f>IFERROR(VLOOKUP(BF501,ETQ_TBL,2,0),NEUTRO)</f>
        <v/>
      </c>
      <c r="BT501" s="3">
        <f>NEUTRO</f>
        <v/>
      </c>
      <c r="BU501" s="3">
        <f>IFERROR(VLOOKUP(L501,SEGURO_TBL,3,0),"")</f>
        <v/>
      </c>
      <c r="BV501" s="3">
        <f>IF(BU501="",NEUTRO,MAX(0,MIN(100,100*(SEG_REF_MAX-BU501)/(SEG_REF_MAX-SEG_REF_MIN))))</f>
        <v/>
      </c>
      <c r="BW501" s="3">
        <f>W_ET*BS501+W_CONS*BT501+W_SEG*BV501</f>
        <v/>
      </c>
      <c r="BX501" s="3">
        <f>IF(N(AB501)&gt;0,AB501,IF(AND(R501="profesional",SG_LEGAL_ON=1),GAR_LEGAL,0))</f>
        <v/>
      </c>
      <c r="BY501" s="3">
        <f>SG_GAR*MIN(1,BX501/SG_GAR_FULL)+SG_AMPL*(AC501="sí")+SG_KMC*(AF501="sí")+SG_REV*(N(AE501)&gt;0)+SG_DEV*MIN(1,N(AG501)/SG_DEV_FULL)+SG_HIST*(W501="sí")</f>
        <v/>
      </c>
      <c r="BZ501" s="3">
        <f>IFERROR(VLOOKUP(L501,CARR_PEN_TBL,2,0),0)</f>
        <v/>
      </c>
      <c r="CA501" s="3">
        <f>W_FIAB*BL501+W_PRECIO*BM501+W_KMEDAD*BQ501+W_ANUNCIO*BR501+W_USO*BW501+W_SEGURIDAD*BY501-BZ501</f>
        <v/>
      </c>
      <c r="CB501" s="4">
        <f>IF(N(I501)&gt;0,I501,IFERROR(ROUND(_xlfn.NUMBERVALUE(LEFT(G501,FIND(" ",G501&amp;" ")-1),".")*1000,0),99999))</f>
        <v/>
      </c>
      <c r="CC501" s="3">
        <f>IF(R501="profesional",0,IF(O501&lt;CUOTA_VALOR_MAX,IF(AU501&gt;ITP_TRAMO_ALTO,SUMIFS(CF_CUOTA,CF_MAS,ITP_TRAMO_ALTO,CF_CCMIN,"&lt;="&amp;CB501,CF_CCMAX,"&gt;="&amp;CB501),IF(AU501&gt;ITP_TRAMO_BAJO,SUMIFS(CF_CUOTA,CF_MAS,ITP_TRAMO_BAJO,CF_CCMIN,"&lt;="&amp;CB501,CF_CCMAX,"&gt;="&amp;CB501),O501*ITP_TIPO)),O501*ITP_TIPO))</f>
        <v/>
      </c>
      <c r="CD501" s="4">
        <f>IF(R501="profesional",N(AK501),0)</f>
        <v/>
      </c>
      <c r="CE501" s="3">
        <f>IF(AND(R501="profesional",ISNUMBER(AK501),AL501="sí"),0,TASA_DGT)</f>
        <v/>
      </c>
      <c r="CF501" s="3">
        <f>INFORME_DGT</f>
        <v/>
      </c>
      <c r="CG501" s="4">
        <f>O501+CD501+CC501+CE501+CF501</f>
        <v/>
      </c>
      <c r="CH501" s="4">
        <f>CG501+N(BU501)</f>
        <v/>
      </c>
      <c r="CI501" s="3">
        <f>IF(CG501&lt;=TOTAL_MAX,"sí",IF(CG501&lt;=TOTAL_MAX+MARGEN_NEG,"negociar","no"))</f>
        <v/>
      </c>
      <c r="CJ501" s="4">
        <f>IF(CI501&lt;&gt;"no",COUNTIFS($CI$2:$CI$662,"&lt;&gt;no",$CA$2:$CA$662,"&gt;"&amp;CA501)+COUNTIFS($CI$2:CI501,"&lt;&gt;no",$CA$2:CA501,CA501),"")</f>
        <v/>
      </c>
    </row>
    <row r="502">
      <c r="A502" s="2" t="inlineStr">
        <is>
          <t>cochesnet:71716161</t>
        </is>
      </c>
      <c r="B502" s="2" t="inlineStr">
        <is>
          <t>cochesnet</t>
        </is>
      </c>
      <c r="C502" s="2" t="inlineStr">
        <is>
          <t>https://www.coches.net/citroen-c4-gasolina-2006-en-valencia-71716161-covo.aspx</t>
        </is>
      </c>
      <c r="D502" s="2" t="inlineStr">
        <is>
          <t>CITROEN C4</t>
        </is>
      </c>
      <c r="E502" s="2" t="inlineStr">
        <is>
          <t>Citroën</t>
        </is>
      </c>
      <c r="F502" s="2" t="inlineStr">
        <is>
          <t>Citroën C4</t>
        </is>
      </c>
      <c r="G502" s="2" t="n"/>
      <c r="H502" s="2" t="n"/>
      <c r="I502" s="2" t="n"/>
      <c r="J502" s="2" t="n"/>
      <c r="K502" s="2" t="inlineStr">
        <is>
          <t>gasolina</t>
        </is>
      </c>
      <c r="L502" s="2" t="inlineStr">
        <is>
          <t>compacto</t>
        </is>
      </c>
      <c r="M502" s="2" t="n">
        <v>2006</v>
      </c>
      <c r="N502" s="2" t="n">
        <v>165000</v>
      </c>
      <c r="O502" s="2" t="n">
        <v>3100</v>
      </c>
      <c r="P502" s="2" t="inlineStr">
        <is>
          <t>manual</t>
        </is>
      </c>
      <c r="Q502" s="2" t="inlineStr">
        <is>
          <t>no</t>
        </is>
      </c>
      <c r="R502" s="2" t="inlineStr">
        <is>
          <t>particular</t>
        </is>
      </c>
      <c r="S502" s="2" t="n"/>
      <c r="T502" s="2" t="inlineStr">
        <is>
          <t>2026-10-09T18:23:36Z</t>
        </is>
      </c>
      <c r="U502" s="2" t="n">
        <v>8</v>
      </c>
      <c r="V502" s="2" t="n"/>
      <c r="W502" s="2" t="n"/>
      <c r="X502" s="2" t="n"/>
      <c r="Y502" s="2" t="n"/>
      <c r="Z502" s="2" t="inlineStr">
        <is>
          <t>no</t>
        </is>
      </c>
      <c r="AA502" s="2" t="n"/>
      <c r="AB502" s="2" t="n"/>
      <c r="AC502" s="2" t="n"/>
      <c r="AD502" s="2" t="n"/>
      <c r="AE502" s="2" t="n"/>
      <c r="AF502" s="2" t="n"/>
      <c r="AG502" s="2" t="n"/>
      <c r="AH502" s="2" t="n">
        <v>3100</v>
      </c>
      <c r="AI502" s="2" t="n"/>
      <c r="AJ502" s="2" t="n"/>
      <c r="AK502" s="2" t="n"/>
      <c r="AL502" s="2" t="n"/>
      <c r="AM502" s="2" t="n"/>
      <c r="AN502" s="2" t="n">
        <v>2600</v>
      </c>
      <c r="AO502" s="2" t="n">
        <v>9</v>
      </c>
      <c r="AP502" s="2" t="inlineStr">
        <is>
          <t>modelo+año+km</t>
        </is>
      </c>
      <c r="AQ502" s="2" t="inlineStr">
        <is>
          <t>cochesnet:71714770 (https://www.coches.net/citroen-c4-16-16v-lx-3p-gasolina-2006-en-valencia-71714770-covo.aspx)</t>
        </is>
      </c>
      <c r="AR50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02" s="2" t="inlineStr">
        <is>
          <t xml:space="preserve">?? ¡SE VENDE CITROËN C4 1.6 16V! ??
?? Motor: 1.6 nafta (gasolina), 110 CV
?? Carrocería: 3 puertas
?? Color: Gris plata metalizado
?? Combustible: Gasolina
?? Etiqueta medioambiental: C
?? Año: 2006
?? Kilómetros: 165.000 km
? Muy buen estado general
? Chapa en excelente estado
? Neumáticos prácticamente nuevos
? ITV vigente
</t>
        </is>
      </c>
      <c r="AT502" s="2" t="inlineStr">
        <is>
          <t>https://www.coches.net/citroen-c4-gasolina-2006-en-valencia-71716161-covo.aspx (window.__INITIAL_PROPS__.ad) /home/user/Alopecia/buscador-coches/raw/cochesnet/566a09d3f4ace344.json</t>
        </is>
      </c>
      <c r="AU502" s="3">
        <f>MAX(ANIO_ACTUAL-M502,0)</f>
        <v/>
      </c>
      <c r="AV502" s="4">
        <f>N502/MAX(AU502,0.5)</f>
        <v/>
      </c>
      <c r="AW502" s="4">
        <f>F502</f>
        <v/>
      </c>
      <c r="AX502" s="3">
        <f>AW502&amp;"|"&amp;INT(M502/SEG_ANIO)*SEG_ANIO</f>
        <v/>
      </c>
      <c r="AY502" s="3">
        <f>AX502&amp;"|"&amp;INT(N502/SEG_KM)*SEG_KM</f>
        <v/>
      </c>
      <c r="AZ502" s="4">
        <f>COUNTIF($AW$2:$AW$662,AW502)</f>
        <v/>
      </c>
      <c r="BA502" s="4">
        <f>COUNTIF($AX$2:$AX$662,AX502)</f>
        <v/>
      </c>
      <c r="BB502" s="4">
        <f>COUNTIF($AY$2:$AY$662,AY502)</f>
        <v/>
      </c>
      <c r="BC502" s="3">
        <f t="array" ref="BC502">IF(N(AO502)&gt;=MIN_N,AN502,IF(BB502&gt;=MIN_N,MEDIAN(IF($AY$2:$AY$662=AY502,$O$2:$O$662)),IF(BA502&gt;=MIN_N,MEDIAN(IF($AX$2:$AX$662=AX502,$O$2:$O$662)),MEDIAN(IF($AW$2:$AW$662=AW502,$O$2:$O$662)))))</f>
        <v/>
      </c>
      <c r="BD502" s="3">
        <f>IF(N(AO502)&gt;=MIN_N,"mercado "&amp;AP502,IF(BB502&gt;=MIN_N,"modelo+año+km",IF(BA502&gt;=MIN_N,"modelo+año","modelo")))</f>
        <v/>
      </c>
      <c r="BE502" s="4">
        <f>(BC502-O502)/BC502</f>
        <v/>
      </c>
      <c r="BF502" s="3">
        <f>IF(OR(K502="hibrido",K502="glp"),"ECO",IF(K502="electrico","CERO",IF(K502="gasolina",IF(M502&gt;=GAS_C,"C",IF(M502&gt;=GAS_B,"B","A")),IF(K502="diesel",IF(M502&gt;=DIE_C,"C",IF(M502&gt;=DIE_B,"B","A")),""))))</f>
        <v/>
      </c>
      <c r="BG502" s="3">
        <f>IFERROR(VLOOKUP(F502,MOD_TBL,11,0),IFERROR(VLOOKUP(E502,OCU_TBL,2,0),NEUTRO))</f>
        <v/>
      </c>
      <c r="BH502" s="3">
        <f>SUMIFS(MOT_AJUSTE,MOT_MOTOR,G502,MOT_MARCA,E502,MOT_DESDE,"&lt;="&amp;M502,MOT_HASTA,"&gt;="&amp;M502)+SUMIFS(MOT_AJUSTE,MOT_MOTOR,G502,MOT_MARCA,"(todas)",MOT_DESDE,"&lt;="&amp;M502,MOT_HASTA,"&gt;="&amp;M502)</f>
        <v/>
      </c>
      <c r="BI502" s="3">
        <f>SUMIFS(COMB_AJUSTE,COMB_COMB,K502)</f>
        <v/>
      </c>
      <c r="BJ502" s="3">
        <f>COUNTIFS(MOT_MOTOR,G502,MOT_MARCA,E502,MOT_DESDE,"&lt;="&amp;M502,MOT_HASTA,"&gt;="&amp;M502)+COUNTIFS(MOT_MOTOR,G502,MOT_MARCA,"(todas)",MOT_DESDE,"&lt;="&amp;M502,MOT_HASTA,"&gt;="&amp;M502)</f>
        <v/>
      </c>
      <c r="BK502" s="3">
        <f>IF(AND(K502="diesel",BJ502=0),MIN(BG502,NEUTRO),BG502)</f>
        <v/>
      </c>
      <c r="BL502" s="4">
        <f>MAX(0,MIN(100,BK502+BH502+BI502))</f>
        <v/>
      </c>
      <c r="BM502" s="3">
        <f>MAX(0,MIN(100,50+BE502*PRECIO_PEND))</f>
        <v/>
      </c>
      <c r="BN502" s="3">
        <f>MAX(0,100*(1-N502/KM_MAX))</f>
        <v/>
      </c>
      <c r="BO502" s="3">
        <f>IF(AV502&lt;KMA_SOSP,IF(AA502="sí",100,KMA_PEN),IF(AV502&lt;=KMA_IDEAL_MAX,100,MAX(0,100*(KMA_CERO-AV502)/(KMA_CERO-KMA_IDEAL_MAX))))</f>
        <v/>
      </c>
      <c r="BP502" s="3">
        <f>MAX(0,MIN(100,100*(M502-ANIO_MIN)/(ANIO_ACTUAL-ANIO_MIN)))</f>
        <v/>
      </c>
      <c r="BQ502" s="3">
        <f>W_KMT*BN502+W_KMA*BO502+W_EDAD*BP502</f>
        <v/>
      </c>
      <c r="BR502" s="3">
        <f>P_ITV*(V502="sí")+P_LIBRO*(W502="sí")+P_CORREA*(X502="sí")+P_PROP*(Y502=1)+P_GAR*(Z502="sí")+P_FOTOS*MIN(1,N(U502)/FOTOS_OBJ)</f>
        <v/>
      </c>
      <c r="BS502" s="3">
        <f>IFERROR(VLOOKUP(BF502,ETQ_TBL,2,0),NEUTRO)</f>
        <v/>
      </c>
      <c r="BT502" s="3">
        <f>NEUTRO</f>
        <v/>
      </c>
      <c r="BU502" s="3">
        <f>IFERROR(VLOOKUP(L502,SEGURO_TBL,3,0),"")</f>
        <v/>
      </c>
      <c r="BV502" s="3">
        <f>IF(BU502="",NEUTRO,MAX(0,MIN(100,100*(SEG_REF_MAX-BU502)/(SEG_REF_MAX-SEG_REF_MIN))))</f>
        <v/>
      </c>
      <c r="BW502" s="3">
        <f>W_ET*BS502+W_CONS*BT502+W_SEG*BV502</f>
        <v/>
      </c>
      <c r="BX502" s="3">
        <f>IF(N(AB502)&gt;0,AB502,IF(AND(R502="profesional",SG_LEGAL_ON=1),GAR_LEGAL,0))</f>
        <v/>
      </c>
      <c r="BY502" s="3">
        <f>SG_GAR*MIN(1,BX502/SG_GAR_FULL)+SG_AMPL*(AC502="sí")+SG_KMC*(AF502="sí")+SG_REV*(N(AE502)&gt;0)+SG_DEV*MIN(1,N(AG502)/SG_DEV_FULL)+SG_HIST*(W502="sí")</f>
        <v/>
      </c>
      <c r="BZ502" s="3">
        <f>IFERROR(VLOOKUP(L502,CARR_PEN_TBL,2,0),0)</f>
        <v/>
      </c>
      <c r="CA502" s="3">
        <f>W_FIAB*BL502+W_PRECIO*BM502+W_KMEDAD*BQ502+W_ANUNCIO*BR502+W_USO*BW502+W_SEGURIDAD*BY502-BZ502</f>
        <v/>
      </c>
      <c r="CB502" s="4">
        <f>IF(N(I502)&gt;0,I502,IFERROR(ROUND(_xlfn.NUMBERVALUE(LEFT(G502,FIND(" ",G502&amp;" ")-1),".")*1000,0),99999))</f>
        <v/>
      </c>
      <c r="CC502" s="3">
        <f>IF(R502="profesional",0,IF(O502&lt;CUOTA_VALOR_MAX,IF(AU502&gt;ITP_TRAMO_ALTO,SUMIFS(CF_CUOTA,CF_MAS,ITP_TRAMO_ALTO,CF_CCMIN,"&lt;="&amp;CB502,CF_CCMAX,"&gt;="&amp;CB502),IF(AU502&gt;ITP_TRAMO_BAJO,SUMIFS(CF_CUOTA,CF_MAS,ITP_TRAMO_BAJO,CF_CCMIN,"&lt;="&amp;CB502,CF_CCMAX,"&gt;="&amp;CB502),O502*ITP_TIPO)),O502*ITP_TIPO))</f>
        <v/>
      </c>
      <c r="CD502" s="4">
        <f>IF(R502="profesional",N(AK502),0)</f>
        <v/>
      </c>
      <c r="CE502" s="3">
        <f>IF(AND(R502="profesional",ISNUMBER(AK502),AL502="sí"),0,TASA_DGT)</f>
        <v/>
      </c>
      <c r="CF502" s="3">
        <f>INFORME_DGT</f>
        <v/>
      </c>
      <c r="CG502" s="4">
        <f>O502+CD502+CC502+CE502+CF502</f>
        <v/>
      </c>
      <c r="CH502" s="4">
        <f>CG502+N(BU502)</f>
        <v/>
      </c>
      <c r="CI502" s="3">
        <f>IF(CG502&lt;=TOTAL_MAX,"sí",IF(CG502&lt;=TOTAL_MAX+MARGEN_NEG,"negociar","no"))</f>
        <v/>
      </c>
      <c r="CJ502" s="4">
        <f>IF(CI502&lt;&gt;"no",COUNTIFS($CI$2:$CI$662,"&lt;&gt;no",$CA$2:$CA$662,"&gt;"&amp;CA502)+COUNTIFS($CI$2:CI502,"&lt;&gt;no",$CA$2:CA502,CA502),"")</f>
        <v/>
      </c>
    </row>
    <row r="503">
      <c r="A503" s="2" t="inlineStr">
        <is>
          <t>cochesnet:71685782</t>
        </is>
      </c>
      <c r="B503" s="2" t="inlineStr">
        <is>
          <t>cochesnet</t>
        </is>
      </c>
      <c r="C503" s="2" t="inlineStr">
        <is>
          <t>https://www.coches.net/citroen-c4-16-thp-155cv-cmp-exclusive-5p-gasolina-2013-en-valencia-71685782-covo.aspx</t>
        </is>
      </c>
      <c r="D503" s="2" t="inlineStr">
        <is>
          <t>CITROEN C4 1.6 THP CMP Exclusive</t>
        </is>
      </c>
      <c r="E503" s="2" t="inlineStr">
        <is>
          <t>Citroën</t>
        </is>
      </c>
      <c r="F503" s="2" t="inlineStr">
        <is>
          <t>Citroën C4</t>
        </is>
      </c>
      <c r="G503" s="2" t="inlineStr">
        <is>
          <t>1.6 THP</t>
        </is>
      </c>
      <c r="H503" s="2" t="inlineStr">
        <is>
          <t>1.6 THP 155cv CMP Exclusive</t>
        </is>
      </c>
      <c r="I503" s="2" t="n"/>
      <c r="J503" s="2" t="n">
        <v>155</v>
      </c>
      <c r="K503" s="2" t="inlineStr">
        <is>
          <t>gasolina</t>
        </is>
      </c>
      <c r="L503" s="2" t="inlineStr">
        <is>
          <t>compacto</t>
        </is>
      </c>
      <c r="M503" s="2" t="n">
        <v>2013</v>
      </c>
      <c r="N503" s="2" t="n">
        <v>131145</v>
      </c>
      <c r="O503" s="2" t="n">
        <v>5100</v>
      </c>
      <c r="P503" s="2" t="inlineStr">
        <is>
          <t>automatico</t>
        </is>
      </c>
      <c r="Q503" s="2" t="inlineStr">
        <is>
          <t>sí</t>
        </is>
      </c>
      <c r="R503" s="2" t="inlineStr">
        <is>
          <t>particular</t>
        </is>
      </c>
      <c r="S503" s="2" t="inlineStr">
        <is>
          <t>Paterna</t>
        </is>
      </c>
      <c r="T503" s="2" t="inlineStr">
        <is>
          <t>2026-10-06T19:17:56Z</t>
        </is>
      </c>
      <c r="U503" s="2" t="n">
        <v>14</v>
      </c>
      <c r="V503" s="2" t="n"/>
      <c r="W503" s="2" t="n"/>
      <c r="X503" s="2" t="n"/>
      <c r="Y503" s="2" t="n"/>
      <c r="Z503" s="2" t="inlineStr">
        <is>
          <t>no</t>
        </is>
      </c>
      <c r="AA503" s="2" t="n"/>
      <c r="AB503" s="2" t="n"/>
      <c r="AC503" s="2" t="n"/>
      <c r="AD503" s="2" t="n"/>
      <c r="AE503" s="2" t="n"/>
      <c r="AF503" s="2" t="n"/>
      <c r="AG503" s="2" t="n"/>
      <c r="AH503" s="2" t="n">
        <v>5100</v>
      </c>
      <c r="AI503" s="2" t="n"/>
      <c r="AJ503" s="2" t="n"/>
      <c r="AK503" s="2" t="n"/>
      <c r="AL503" s="2" t="n"/>
      <c r="AM503" s="2" t="n">
        <v>6.8</v>
      </c>
      <c r="AN503" s="2" t="n">
        <v>6750</v>
      </c>
      <c r="AO503" s="2" t="n">
        <v>14</v>
      </c>
      <c r="AP503" s="2" t="inlineStr">
        <is>
          <t>modelo+año+km</t>
        </is>
      </c>
      <c r="AQ503" s="2" t="n"/>
      <c r="AR503" s="2" t="inlineStr">
        <is>
          <t>por encima del presupuesto (5224 €), negociar; antigüedad en el límite del tramo: depende de la fecha exacta de matriculación; cuota fija ITP: &gt;12 años, 1.501-2.000 cc; fiabilidad del modelo PENDIENTE de fuente (puntuación neutra)</t>
        </is>
      </c>
      <c r="AS503" s="2" t="inlineStr">
        <is>
          <t xml:space="preserve">Se vende urgente! Un coche familiar estupendo, bien cuidado y en perfecto estado. Inspección técnica válida hasta noviembre de 2026. Llantas de aleación de 17 pulgadas, Bluetooth, aire acondicionado, sensores de aparcamiento, 7 plazas y muchas otras prestaciones para mayor comodidad y seguridad. </t>
        </is>
      </c>
      <c r="AT503" s="2" t="inlineStr">
        <is>
          <t>https://www.coches.net/citroen-c4-16-thp-155cv-cmp-exclusive-5p-gasolina-2013-en-valencia-71685782-covo.aspx (window.__INITIAL_PROPS__.ad) /home/user/Alopecia/buscador-coches/raw/cochesnet/8cc9c8aa090a21f4.json</t>
        </is>
      </c>
      <c r="AU503" s="3">
        <f>MAX(ANIO_ACTUAL-M503,0)</f>
        <v/>
      </c>
      <c r="AV503" s="4">
        <f>N503/MAX(AU503,0.5)</f>
        <v/>
      </c>
      <c r="AW503" s="4">
        <f>F503</f>
        <v/>
      </c>
      <c r="AX503" s="3">
        <f>AW503&amp;"|"&amp;INT(M503/SEG_ANIO)*SEG_ANIO</f>
        <v/>
      </c>
      <c r="AY503" s="3">
        <f>AX503&amp;"|"&amp;INT(N503/SEG_KM)*SEG_KM</f>
        <v/>
      </c>
      <c r="AZ503" s="4">
        <f>COUNTIF($AW$2:$AW$662,AW503)</f>
        <v/>
      </c>
      <c r="BA503" s="4">
        <f>COUNTIF($AX$2:$AX$662,AX503)</f>
        <v/>
      </c>
      <c r="BB503" s="4">
        <f>COUNTIF($AY$2:$AY$662,AY503)</f>
        <v/>
      </c>
      <c r="BC503" s="3">
        <f t="array" ref="BC503">IF(N(AO503)&gt;=MIN_N,AN503,IF(BB503&gt;=MIN_N,MEDIAN(IF($AY$2:$AY$662=AY503,$O$2:$O$662)),IF(BA503&gt;=MIN_N,MEDIAN(IF($AX$2:$AX$662=AX503,$O$2:$O$662)),MEDIAN(IF($AW$2:$AW$662=AW503,$O$2:$O$662)))))</f>
        <v/>
      </c>
      <c r="BD503" s="3">
        <f>IF(N(AO503)&gt;=MIN_N,"mercado "&amp;AP503,IF(BB503&gt;=MIN_N,"modelo+año+km",IF(BA503&gt;=MIN_N,"modelo+año","modelo")))</f>
        <v/>
      </c>
      <c r="BE503" s="4">
        <f>(BC503-O503)/BC503</f>
        <v/>
      </c>
      <c r="BF503" s="3">
        <f>IF(OR(K503="hibrido",K503="glp"),"ECO",IF(K503="electrico","CERO",IF(K503="gasolina",IF(M503&gt;=GAS_C,"C",IF(M503&gt;=GAS_B,"B","A")),IF(K503="diesel",IF(M503&gt;=DIE_C,"C",IF(M503&gt;=DIE_B,"B","A")),""))))</f>
        <v/>
      </c>
      <c r="BG503" s="3">
        <f>IFERROR(VLOOKUP(F503,MOD_TBL,11,0),IFERROR(VLOOKUP(E503,OCU_TBL,2,0),NEUTRO))</f>
        <v/>
      </c>
      <c r="BH503" s="3">
        <f>SUMIFS(MOT_AJUSTE,MOT_MOTOR,G503,MOT_MARCA,E503,MOT_DESDE,"&lt;="&amp;M503,MOT_HASTA,"&gt;="&amp;M503)+SUMIFS(MOT_AJUSTE,MOT_MOTOR,G503,MOT_MARCA,"(todas)",MOT_DESDE,"&lt;="&amp;M503,MOT_HASTA,"&gt;="&amp;M503)</f>
        <v/>
      </c>
      <c r="BI503" s="3">
        <f>SUMIFS(COMB_AJUSTE,COMB_COMB,K503)</f>
        <v/>
      </c>
      <c r="BJ503" s="3">
        <f>COUNTIFS(MOT_MOTOR,G503,MOT_MARCA,E503,MOT_DESDE,"&lt;="&amp;M503,MOT_HASTA,"&gt;="&amp;M503)+COUNTIFS(MOT_MOTOR,G503,MOT_MARCA,"(todas)",MOT_DESDE,"&lt;="&amp;M503,MOT_HASTA,"&gt;="&amp;M503)</f>
        <v/>
      </c>
      <c r="BK503" s="3">
        <f>IF(AND(K503="diesel",BJ503=0),MIN(BG503,NEUTRO),BG503)</f>
        <v/>
      </c>
      <c r="BL503" s="4">
        <f>MAX(0,MIN(100,BK503+BH503+BI503))</f>
        <v/>
      </c>
      <c r="BM503" s="3">
        <f>MAX(0,MIN(100,50+BE503*PRECIO_PEND))</f>
        <v/>
      </c>
      <c r="BN503" s="3">
        <f>MAX(0,100*(1-N503/KM_MAX))</f>
        <v/>
      </c>
      <c r="BO503" s="3">
        <f>IF(AV503&lt;KMA_SOSP,IF(AA503="sí",100,KMA_PEN),IF(AV503&lt;=KMA_IDEAL_MAX,100,MAX(0,100*(KMA_CERO-AV503)/(KMA_CERO-KMA_IDEAL_MAX))))</f>
        <v/>
      </c>
      <c r="BP503" s="3">
        <f>MAX(0,MIN(100,100*(M503-ANIO_MIN)/(ANIO_ACTUAL-ANIO_MIN)))</f>
        <v/>
      </c>
      <c r="BQ503" s="3">
        <f>W_KMT*BN503+W_KMA*BO503+W_EDAD*BP503</f>
        <v/>
      </c>
      <c r="BR503" s="3">
        <f>P_ITV*(V503="sí")+P_LIBRO*(W503="sí")+P_CORREA*(X503="sí")+P_PROP*(Y503=1)+P_GAR*(Z503="sí")+P_FOTOS*MIN(1,N(U503)/FOTOS_OBJ)</f>
        <v/>
      </c>
      <c r="BS503" s="3">
        <f>IFERROR(VLOOKUP(BF503,ETQ_TBL,2,0),NEUTRO)</f>
        <v/>
      </c>
      <c r="BT503" s="3">
        <f>NEUTRO</f>
        <v/>
      </c>
      <c r="BU503" s="3">
        <f>IFERROR(VLOOKUP(L503,SEGURO_TBL,3,0),"")</f>
        <v/>
      </c>
      <c r="BV503" s="3">
        <f>IF(BU503="",NEUTRO,MAX(0,MIN(100,100*(SEG_REF_MAX-BU503)/(SEG_REF_MAX-SEG_REF_MIN))))</f>
        <v/>
      </c>
      <c r="BW503" s="3">
        <f>W_ET*BS503+W_CONS*BT503+W_SEG*BV503</f>
        <v/>
      </c>
      <c r="BX503" s="3">
        <f>IF(N(AB503)&gt;0,AB503,IF(AND(R503="profesional",SG_LEGAL_ON=1),GAR_LEGAL,0))</f>
        <v/>
      </c>
      <c r="BY503" s="3">
        <f>SG_GAR*MIN(1,BX503/SG_GAR_FULL)+SG_AMPL*(AC503="sí")+SG_KMC*(AF503="sí")+SG_REV*(N(AE503)&gt;0)+SG_DEV*MIN(1,N(AG503)/SG_DEV_FULL)+SG_HIST*(W503="sí")</f>
        <v/>
      </c>
      <c r="BZ503" s="3">
        <f>IFERROR(VLOOKUP(L503,CARR_PEN_TBL,2,0),0)</f>
        <v/>
      </c>
      <c r="CA503" s="3">
        <f>W_FIAB*BL503+W_PRECIO*BM503+W_KMEDAD*BQ503+W_ANUNCIO*BR503+W_USO*BW503+W_SEGURIDAD*BY503-BZ503</f>
        <v/>
      </c>
      <c r="CB503" s="4">
        <f>IF(N(I503)&gt;0,I503,IFERROR(ROUND(_xlfn.NUMBERVALUE(LEFT(G503,FIND(" ",G503&amp;" ")-1),".")*1000,0),99999))</f>
        <v/>
      </c>
      <c r="CC503" s="3">
        <f>IF(R503="profesional",0,IF(O503&lt;CUOTA_VALOR_MAX,IF(AU503&gt;ITP_TRAMO_ALTO,SUMIFS(CF_CUOTA,CF_MAS,ITP_TRAMO_ALTO,CF_CCMIN,"&lt;="&amp;CB503,CF_CCMAX,"&gt;="&amp;CB503),IF(AU503&gt;ITP_TRAMO_BAJO,SUMIFS(CF_CUOTA,CF_MAS,ITP_TRAMO_BAJO,CF_CCMIN,"&lt;="&amp;CB503,CF_CCMAX,"&gt;="&amp;CB503),O503*ITP_TIPO)),O503*ITP_TIPO))</f>
        <v/>
      </c>
      <c r="CD503" s="4">
        <f>IF(R503="profesional",N(AK503),0)</f>
        <v/>
      </c>
      <c r="CE503" s="3">
        <f>IF(AND(R503="profesional",ISNUMBER(AK503),AL503="sí"),0,TASA_DGT)</f>
        <v/>
      </c>
      <c r="CF503" s="3">
        <f>INFORME_DGT</f>
        <v/>
      </c>
      <c r="CG503" s="4">
        <f>O503+CD503+CC503+CE503+CF503</f>
        <v/>
      </c>
      <c r="CH503" s="4">
        <f>CG503+N(BU503)</f>
        <v/>
      </c>
      <c r="CI503" s="3">
        <f>IF(CG503&lt;=TOTAL_MAX,"sí",IF(CG503&lt;=TOTAL_MAX+MARGEN_NEG,"negociar","no"))</f>
        <v/>
      </c>
      <c r="CJ503" s="4">
        <f>IF(CI503&lt;&gt;"no",COUNTIFS($CI$2:$CI$662,"&lt;&gt;no",$CA$2:$CA$662,"&gt;"&amp;CA503)+COUNTIFS($CI$2:CI503,"&lt;&gt;no",$CA$2:CA503,CA503),"")</f>
        <v/>
      </c>
    </row>
    <row r="504">
      <c r="A504" s="2" t="inlineStr">
        <is>
          <t>cochesnet:71659228</t>
        </is>
      </c>
      <c r="B504" s="2" t="inlineStr">
        <is>
          <t>cochesnet</t>
        </is>
      </c>
      <c r="C504" s="2" t="inlineStr">
        <is>
          <t>https://www.coches.net/citroen-c4-diesel-2006-en-valencia-71659228-covo.aspx</t>
        </is>
      </c>
      <c r="D504" s="2" t="inlineStr">
        <is>
          <t>CITROEN C4</t>
        </is>
      </c>
      <c r="E504" s="2" t="inlineStr">
        <is>
          <t>Citroën</t>
        </is>
      </c>
      <c r="F504" s="2" t="inlineStr">
        <is>
          <t>Citroën C4</t>
        </is>
      </c>
      <c r="G504" s="2" t="n"/>
      <c r="H504" s="2" t="n"/>
      <c r="I504" s="2" t="n"/>
      <c r="J504" s="2" t="n"/>
      <c r="K504" s="2" t="inlineStr">
        <is>
          <t>diesel</t>
        </is>
      </c>
      <c r="L504" s="2" t="inlineStr">
        <is>
          <t>compacto</t>
        </is>
      </c>
      <c r="M504" s="2" t="n">
        <v>2006</v>
      </c>
      <c r="N504" s="2" t="n">
        <v>213000</v>
      </c>
      <c r="O504" s="2" t="n">
        <v>2899</v>
      </c>
      <c r="P504" s="2" t="inlineStr">
        <is>
          <t>manual</t>
        </is>
      </c>
      <c r="Q504" s="2" t="inlineStr">
        <is>
          <t>no</t>
        </is>
      </c>
      <c r="R504" s="2" t="inlineStr">
        <is>
          <t>particular</t>
        </is>
      </c>
      <c r="S504" s="2" t="n"/>
      <c r="T504" s="2" t="inlineStr">
        <is>
          <t>2026-10-02T15:40:40Z</t>
        </is>
      </c>
      <c r="U504" s="2" t="n">
        <v>8</v>
      </c>
      <c r="V504" s="2" t="inlineStr">
        <is>
          <t>sí</t>
        </is>
      </c>
      <c r="W504" s="2" t="n"/>
      <c r="X504" s="2" t="n"/>
      <c r="Y504" s="2" t="n">
        <v>2</v>
      </c>
      <c r="Z504" s="2" t="inlineStr">
        <is>
          <t>no</t>
        </is>
      </c>
      <c r="AA504" s="2" t="n"/>
      <c r="AB504" s="2" t="n"/>
      <c r="AC504" s="2" t="n"/>
      <c r="AD504" s="2" t="n"/>
      <c r="AE504" s="2" t="n"/>
      <c r="AF504" s="2" t="n"/>
      <c r="AG504" s="2" t="n"/>
      <c r="AH504" s="2" t="n">
        <v>2899</v>
      </c>
      <c r="AI504" s="2" t="n"/>
      <c r="AJ504" s="2" t="n"/>
      <c r="AK504" s="2" t="n"/>
      <c r="AL504" s="2" t="n"/>
      <c r="AM504" s="2" t="n"/>
      <c r="AN504" s="2" t="n">
        <v>2000</v>
      </c>
      <c r="AO504" s="2" t="n">
        <v>10</v>
      </c>
      <c r="AP504" s="2" t="inlineStr">
        <is>
          <t>modelo+año+km</t>
        </is>
      </c>
      <c r="AQ504" s="2" t="n"/>
      <c r="AR504"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504" s="2" t="inlineStr">
        <is>
          <t>Un coche práctico, muy fiable y con un consumo ridículo. Ideal como vehículo de diario o para quien busque un coche amplio, cómodo y económico de mantener con la mecánica 1.6 HDi de 110 CV y cambio manual.
? Puntos clave del vehículo:
• Motor 1.6 Diésel (110 CV): un motor súper contrastado por su bajo consumo y gran durabilidad.
• Carrocería: Berlina (amplia, cómoda y muy versátil).
• 1ª Matriculación: 12/2005
• Kilometraje: 219.660 km
• Propietarios: Solo 2 propietarios (incluyendo profesionales).
• ITV en vigor: Pasada hasta 06/2027.
• Mantenimiento recién realizado, listo para circular desde el primer día.
• Entrega inmediata.</t>
        </is>
      </c>
      <c r="AT504" s="2" t="inlineStr">
        <is>
          <t>https://www.coches.net/citroen-c4-diesel-2006-en-valencia-71659228-covo.aspx (window.__INITIAL_PROPS__.ad) /home/user/Alopecia/buscador-coches/raw/cochesnet/85e7297e57e24aff.json</t>
        </is>
      </c>
      <c r="AU504" s="3">
        <f>MAX(ANIO_ACTUAL-M504,0)</f>
        <v/>
      </c>
      <c r="AV504" s="4">
        <f>N504/MAX(AU504,0.5)</f>
        <v/>
      </c>
      <c r="AW504" s="4">
        <f>F504</f>
        <v/>
      </c>
      <c r="AX504" s="3">
        <f>AW504&amp;"|"&amp;INT(M504/SEG_ANIO)*SEG_ANIO</f>
        <v/>
      </c>
      <c r="AY504" s="3">
        <f>AX504&amp;"|"&amp;INT(N504/SEG_KM)*SEG_KM</f>
        <v/>
      </c>
      <c r="AZ504" s="4">
        <f>COUNTIF($AW$2:$AW$662,AW504)</f>
        <v/>
      </c>
      <c r="BA504" s="4">
        <f>COUNTIF($AX$2:$AX$662,AX504)</f>
        <v/>
      </c>
      <c r="BB504" s="4">
        <f>COUNTIF($AY$2:$AY$662,AY504)</f>
        <v/>
      </c>
      <c r="BC504" s="3">
        <f t="array" ref="BC504">IF(N(AO504)&gt;=MIN_N,AN504,IF(BB504&gt;=MIN_N,MEDIAN(IF($AY$2:$AY$662=AY504,$O$2:$O$662)),IF(BA504&gt;=MIN_N,MEDIAN(IF($AX$2:$AX$662=AX504,$O$2:$O$662)),MEDIAN(IF($AW$2:$AW$662=AW504,$O$2:$O$662)))))</f>
        <v/>
      </c>
      <c r="BD504" s="3">
        <f>IF(N(AO504)&gt;=MIN_N,"mercado "&amp;AP504,IF(BB504&gt;=MIN_N,"modelo+año+km",IF(BA504&gt;=MIN_N,"modelo+año","modelo")))</f>
        <v/>
      </c>
      <c r="BE504" s="4">
        <f>(BC504-O504)/BC504</f>
        <v/>
      </c>
      <c r="BF504" s="3">
        <f>IF(OR(K504="hibrido",K504="glp"),"ECO",IF(K504="electrico","CERO",IF(K504="gasolina",IF(M504&gt;=GAS_C,"C",IF(M504&gt;=GAS_B,"B","A")),IF(K504="diesel",IF(M504&gt;=DIE_C,"C",IF(M504&gt;=DIE_B,"B","A")),""))))</f>
        <v/>
      </c>
      <c r="BG504" s="3">
        <f>IFERROR(VLOOKUP(F504,MOD_TBL,11,0),IFERROR(VLOOKUP(E504,OCU_TBL,2,0),NEUTRO))</f>
        <v/>
      </c>
      <c r="BH504" s="3">
        <f>SUMIFS(MOT_AJUSTE,MOT_MOTOR,G504,MOT_MARCA,E504,MOT_DESDE,"&lt;="&amp;M504,MOT_HASTA,"&gt;="&amp;M504)+SUMIFS(MOT_AJUSTE,MOT_MOTOR,G504,MOT_MARCA,"(todas)",MOT_DESDE,"&lt;="&amp;M504,MOT_HASTA,"&gt;="&amp;M504)</f>
        <v/>
      </c>
      <c r="BI504" s="3">
        <f>SUMIFS(COMB_AJUSTE,COMB_COMB,K504)</f>
        <v/>
      </c>
      <c r="BJ504" s="3">
        <f>COUNTIFS(MOT_MOTOR,G504,MOT_MARCA,E504,MOT_DESDE,"&lt;="&amp;M504,MOT_HASTA,"&gt;="&amp;M504)+COUNTIFS(MOT_MOTOR,G504,MOT_MARCA,"(todas)",MOT_DESDE,"&lt;="&amp;M504,MOT_HASTA,"&gt;="&amp;M504)</f>
        <v/>
      </c>
      <c r="BK504" s="3">
        <f>IF(AND(K504="diesel",BJ504=0),MIN(BG504,NEUTRO),BG504)</f>
        <v/>
      </c>
      <c r="BL504" s="4">
        <f>MAX(0,MIN(100,BK504+BH504+BI504))</f>
        <v/>
      </c>
      <c r="BM504" s="3">
        <f>MAX(0,MIN(100,50+BE504*PRECIO_PEND))</f>
        <v/>
      </c>
      <c r="BN504" s="3">
        <f>MAX(0,100*(1-N504/KM_MAX))</f>
        <v/>
      </c>
      <c r="BO504" s="3">
        <f>IF(AV504&lt;KMA_SOSP,IF(AA504="sí",100,KMA_PEN),IF(AV504&lt;=KMA_IDEAL_MAX,100,MAX(0,100*(KMA_CERO-AV504)/(KMA_CERO-KMA_IDEAL_MAX))))</f>
        <v/>
      </c>
      <c r="BP504" s="3">
        <f>MAX(0,MIN(100,100*(M504-ANIO_MIN)/(ANIO_ACTUAL-ANIO_MIN)))</f>
        <v/>
      </c>
      <c r="BQ504" s="3">
        <f>W_KMT*BN504+W_KMA*BO504+W_EDAD*BP504</f>
        <v/>
      </c>
      <c r="BR504" s="3">
        <f>P_ITV*(V504="sí")+P_LIBRO*(W504="sí")+P_CORREA*(X504="sí")+P_PROP*(Y504=1)+P_GAR*(Z504="sí")+P_FOTOS*MIN(1,N(U504)/FOTOS_OBJ)</f>
        <v/>
      </c>
      <c r="BS504" s="3">
        <f>IFERROR(VLOOKUP(BF504,ETQ_TBL,2,0),NEUTRO)</f>
        <v/>
      </c>
      <c r="BT504" s="3">
        <f>NEUTRO</f>
        <v/>
      </c>
      <c r="BU504" s="3">
        <f>IFERROR(VLOOKUP(L504,SEGURO_TBL,3,0),"")</f>
        <v/>
      </c>
      <c r="BV504" s="3">
        <f>IF(BU504="",NEUTRO,MAX(0,MIN(100,100*(SEG_REF_MAX-BU504)/(SEG_REF_MAX-SEG_REF_MIN))))</f>
        <v/>
      </c>
      <c r="BW504" s="3">
        <f>W_ET*BS504+W_CONS*BT504+W_SEG*BV504</f>
        <v/>
      </c>
      <c r="BX504" s="3">
        <f>IF(N(AB504)&gt;0,AB504,IF(AND(R504="profesional",SG_LEGAL_ON=1),GAR_LEGAL,0))</f>
        <v/>
      </c>
      <c r="BY504" s="3">
        <f>SG_GAR*MIN(1,BX504/SG_GAR_FULL)+SG_AMPL*(AC504="sí")+SG_KMC*(AF504="sí")+SG_REV*(N(AE504)&gt;0)+SG_DEV*MIN(1,N(AG504)/SG_DEV_FULL)+SG_HIST*(W504="sí")</f>
        <v/>
      </c>
      <c r="BZ504" s="3">
        <f>IFERROR(VLOOKUP(L504,CARR_PEN_TBL,2,0),0)</f>
        <v/>
      </c>
      <c r="CA504" s="3">
        <f>W_FIAB*BL504+W_PRECIO*BM504+W_KMEDAD*BQ504+W_ANUNCIO*BR504+W_USO*BW504+W_SEGURIDAD*BY504-BZ504</f>
        <v/>
      </c>
      <c r="CB504" s="4">
        <f>IF(N(I504)&gt;0,I504,IFERROR(ROUND(_xlfn.NUMBERVALUE(LEFT(G504,FIND(" ",G504&amp;" ")-1),".")*1000,0),99999))</f>
        <v/>
      </c>
      <c r="CC504" s="3">
        <f>IF(R504="profesional",0,IF(O504&lt;CUOTA_VALOR_MAX,IF(AU504&gt;ITP_TRAMO_ALTO,SUMIFS(CF_CUOTA,CF_MAS,ITP_TRAMO_ALTO,CF_CCMIN,"&lt;="&amp;CB504,CF_CCMAX,"&gt;="&amp;CB504),IF(AU504&gt;ITP_TRAMO_BAJO,SUMIFS(CF_CUOTA,CF_MAS,ITP_TRAMO_BAJO,CF_CCMIN,"&lt;="&amp;CB504,CF_CCMAX,"&gt;="&amp;CB504),O504*ITP_TIPO)),O504*ITP_TIPO))</f>
        <v/>
      </c>
      <c r="CD504" s="4">
        <f>IF(R504="profesional",N(AK504),0)</f>
        <v/>
      </c>
      <c r="CE504" s="3">
        <f>IF(AND(R504="profesional",ISNUMBER(AK504),AL504="sí"),0,TASA_DGT)</f>
        <v/>
      </c>
      <c r="CF504" s="3">
        <f>INFORME_DGT</f>
        <v/>
      </c>
      <c r="CG504" s="4">
        <f>O504+CD504+CC504+CE504+CF504</f>
        <v/>
      </c>
      <c r="CH504" s="4">
        <f>CG504+N(BU504)</f>
        <v/>
      </c>
      <c r="CI504" s="3">
        <f>IF(CG504&lt;=TOTAL_MAX,"sí",IF(CG504&lt;=TOTAL_MAX+MARGEN_NEG,"negociar","no"))</f>
        <v/>
      </c>
      <c r="CJ504" s="4">
        <f>IF(CI504&lt;&gt;"no",COUNTIFS($CI$2:$CI$662,"&lt;&gt;no",$CA$2:$CA$662,"&gt;"&amp;CA504)+COUNTIFS($CI$2:CI504,"&lt;&gt;no",$CA$2:CA504,CA504),"")</f>
        <v/>
      </c>
    </row>
    <row r="505">
      <c r="A505" s="2" t="inlineStr">
        <is>
          <t>cochesnet:71324072</t>
        </is>
      </c>
      <c r="B505" s="2" t="inlineStr">
        <is>
          <t>cochesnet</t>
        </is>
      </c>
      <c r="C505" s="2" t="inlineStr">
        <is>
          <t>https://www.coches.net/citroen-c4-14-16v-lx-5p-gasolina-2006-en-valencia-71324072-covo.aspx</t>
        </is>
      </c>
      <c r="D505" s="2" t="inlineStr">
        <is>
          <t>CITROEN C4 1.4 16v LX</t>
        </is>
      </c>
      <c r="E505" s="2" t="inlineStr">
        <is>
          <t>Citroën</t>
        </is>
      </c>
      <c r="F505" s="2" t="inlineStr">
        <is>
          <t>Citroën C4</t>
        </is>
      </c>
      <c r="G505" s="2" t="inlineStr">
        <is>
          <t>1.4</t>
        </is>
      </c>
      <c r="H505" s="2" t="inlineStr">
        <is>
          <t>1.4 16v LX</t>
        </is>
      </c>
      <c r="I505" s="2" t="n"/>
      <c r="J505" s="2" t="n"/>
      <c r="K505" s="2" t="inlineStr">
        <is>
          <t>gasolina</t>
        </is>
      </c>
      <c r="L505" s="2" t="inlineStr">
        <is>
          <t>compacto</t>
        </is>
      </c>
      <c r="M505" s="2" t="n">
        <v>2006</v>
      </c>
      <c r="N505" s="2" t="n">
        <v>190000</v>
      </c>
      <c r="O505" s="2" t="n">
        <v>2600</v>
      </c>
      <c r="P505" s="2" t="inlineStr">
        <is>
          <t>manual</t>
        </is>
      </c>
      <c r="Q505" s="2" t="inlineStr">
        <is>
          <t>no</t>
        </is>
      </c>
      <c r="R505" s="2" t="inlineStr">
        <is>
          <t>particular</t>
        </is>
      </c>
      <c r="S505" s="2" t="inlineStr">
        <is>
          <t>Almussafes</t>
        </is>
      </c>
      <c r="T505" s="2" t="inlineStr">
        <is>
          <t>2026-08-26T22:25:12Z</t>
        </is>
      </c>
      <c r="U505" s="2" t="n">
        <v>10</v>
      </c>
      <c r="V505" s="2" t="n"/>
      <c r="W505" s="2" t="n"/>
      <c r="X505" s="2" t="n"/>
      <c r="Y505" s="2" t="n"/>
      <c r="Z505" s="2" t="inlineStr">
        <is>
          <t>no</t>
        </is>
      </c>
      <c r="AA505" s="2" t="n"/>
      <c r="AB505" s="2" t="n"/>
      <c r="AC505" s="2" t="n"/>
      <c r="AD505" s="2" t="n"/>
      <c r="AE505" s="2" t="n"/>
      <c r="AF505" s="2" t="n"/>
      <c r="AG505" s="2" t="n"/>
      <c r="AH505" s="2" t="n">
        <v>2600</v>
      </c>
      <c r="AI505" s="2" t="n"/>
      <c r="AJ505" s="2" t="n"/>
      <c r="AK505" s="2" t="n"/>
      <c r="AL505" s="2" t="n"/>
      <c r="AM505" s="2" t="n">
        <v>20</v>
      </c>
      <c r="AN505" s="2" t="n">
        <v>2600</v>
      </c>
      <c r="AO505" s="2" t="n">
        <v>9</v>
      </c>
      <c r="AP505" s="2" t="inlineStr">
        <is>
          <t>modelo+año+km</t>
        </is>
      </c>
      <c r="AQ505" s="2" t="inlineStr">
        <is>
          <t>cochesnet:71365163 (https://www.coches.net/citroen-c4-gasolina-2006-en-valencia-71365163-covo.aspx)</t>
        </is>
      </c>
      <c r="AR505" s="2" t="inlineStr">
        <is>
          <t>cuota fija ITP: &gt;12 años, hasta 1.500 cc; fiabilidad del modelo PENDIENTE de fuente (puntuación neutra)</t>
        </is>
      </c>
      <c r="AS505" s="2" t="inlineStr">
        <is>
          <t>Vendo mi Citroën C4 1.4 16v LX, un berlina práctico y versátil que ha sido mi compañero de viajes durante estos años. Se trata de un vehículo con motor de 1360 cc y 88 CV que ofrece un buen equilibrio entre potencia y consumo, ideal para quienes buscan un coche funcional sin renunciar a la eficiencia.
Este C4 cuenta con cinco plazas y cinco puertas, perfectas para la vida cotidiana en ciudad y desplazamientos por carretera. La carrocería berlina proporciona ese espacio interior que caracteriza a este modelo, con un maletero generoso y una buena visibilidad para conducir con comodidad.
Es un vehículo honesto que ha cumplido bien su función. Tiene uso habitual, como corresponde a sus años de circulación, pero sigue siendo operativo para quien busque una alternativa económica y práctica. El motor sin plomo es fiable y conocido en el mercado por su durabilidad.
Estoy vendiendo a un precio muy accesible, consciente del estado general del vehículo, lo que lo convierte en una opción interesante para quienes necesitan desplazarse sin hacer una gran inversión inicial. Si tienes dudas sobre aspectos específicos del estado mecánico, equipamiento o cualquier otra característica no detallada, no dudes en contactarme.
Puedo atenderte por teléfono o chat. Aprovecha esta oportunidad si buscas un coche funcional y económico.</t>
        </is>
      </c>
      <c r="AT505" s="2" t="inlineStr">
        <is>
          <t>https://www.coches.net/citroen-c4-14-16v-lx-5p-gasolina-2006-en-valencia-71324072-covo.aspx (window.__INITIAL_PROPS__.ad) /home/user/Alopecia/buscador-coches/raw/cochesnet/7c86a39938025a34.json</t>
        </is>
      </c>
      <c r="AU505" s="3">
        <f>MAX(ANIO_ACTUAL-M505,0)</f>
        <v/>
      </c>
      <c r="AV505" s="4">
        <f>N505/MAX(AU505,0.5)</f>
        <v/>
      </c>
      <c r="AW505" s="4">
        <f>F505</f>
        <v/>
      </c>
      <c r="AX505" s="3">
        <f>AW505&amp;"|"&amp;INT(M505/SEG_ANIO)*SEG_ANIO</f>
        <v/>
      </c>
      <c r="AY505" s="3">
        <f>AX505&amp;"|"&amp;INT(N505/SEG_KM)*SEG_KM</f>
        <v/>
      </c>
      <c r="AZ505" s="4">
        <f>COUNTIF($AW$2:$AW$662,AW505)</f>
        <v/>
      </c>
      <c r="BA505" s="4">
        <f>COUNTIF($AX$2:$AX$662,AX505)</f>
        <v/>
      </c>
      <c r="BB505" s="4">
        <f>COUNTIF($AY$2:$AY$662,AY505)</f>
        <v/>
      </c>
      <c r="BC505" s="3">
        <f t="array" ref="BC505">IF(N(AO505)&gt;=MIN_N,AN505,IF(BB505&gt;=MIN_N,MEDIAN(IF($AY$2:$AY$662=AY505,$O$2:$O$662)),IF(BA505&gt;=MIN_N,MEDIAN(IF($AX$2:$AX$662=AX505,$O$2:$O$662)),MEDIAN(IF($AW$2:$AW$662=AW505,$O$2:$O$662)))))</f>
        <v/>
      </c>
      <c r="BD505" s="3">
        <f>IF(N(AO505)&gt;=MIN_N,"mercado "&amp;AP505,IF(BB505&gt;=MIN_N,"modelo+año+km",IF(BA505&gt;=MIN_N,"modelo+año","modelo")))</f>
        <v/>
      </c>
      <c r="BE505" s="4">
        <f>(BC505-O505)/BC505</f>
        <v/>
      </c>
      <c r="BF505" s="3">
        <f>IF(OR(K505="hibrido",K505="glp"),"ECO",IF(K505="electrico","CERO",IF(K505="gasolina",IF(M505&gt;=GAS_C,"C",IF(M505&gt;=GAS_B,"B","A")),IF(K505="diesel",IF(M505&gt;=DIE_C,"C",IF(M505&gt;=DIE_B,"B","A")),""))))</f>
        <v/>
      </c>
      <c r="BG505" s="3">
        <f>IFERROR(VLOOKUP(F505,MOD_TBL,11,0),IFERROR(VLOOKUP(E505,OCU_TBL,2,0),NEUTRO))</f>
        <v/>
      </c>
      <c r="BH505" s="3">
        <f>SUMIFS(MOT_AJUSTE,MOT_MOTOR,G505,MOT_MARCA,E505,MOT_DESDE,"&lt;="&amp;M505,MOT_HASTA,"&gt;="&amp;M505)+SUMIFS(MOT_AJUSTE,MOT_MOTOR,G505,MOT_MARCA,"(todas)",MOT_DESDE,"&lt;="&amp;M505,MOT_HASTA,"&gt;="&amp;M505)</f>
        <v/>
      </c>
      <c r="BI505" s="3">
        <f>SUMIFS(COMB_AJUSTE,COMB_COMB,K505)</f>
        <v/>
      </c>
      <c r="BJ505" s="3">
        <f>COUNTIFS(MOT_MOTOR,G505,MOT_MARCA,E505,MOT_DESDE,"&lt;="&amp;M505,MOT_HASTA,"&gt;="&amp;M505)+COUNTIFS(MOT_MOTOR,G505,MOT_MARCA,"(todas)",MOT_DESDE,"&lt;="&amp;M505,MOT_HASTA,"&gt;="&amp;M505)</f>
        <v/>
      </c>
      <c r="BK505" s="3">
        <f>IF(AND(K505="diesel",BJ505=0),MIN(BG505,NEUTRO),BG505)</f>
        <v/>
      </c>
      <c r="BL505" s="4">
        <f>MAX(0,MIN(100,BK505+BH505+BI505))</f>
        <v/>
      </c>
      <c r="BM505" s="3">
        <f>MAX(0,MIN(100,50+BE505*PRECIO_PEND))</f>
        <v/>
      </c>
      <c r="BN505" s="3">
        <f>MAX(0,100*(1-N505/KM_MAX))</f>
        <v/>
      </c>
      <c r="BO505" s="3">
        <f>IF(AV505&lt;KMA_SOSP,IF(AA505="sí",100,KMA_PEN),IF(AV505&lt;=KMA_IDEAL_MAX,100,MAX(0,100*(KMA_CERO-AV505)/(KMA_CERO-KMA_IDEAL_MAX))))</f>
        <v/>
      </c>
      <c r="BP505" s="3">
        <f>MAX(0,MIN(100,100*(M505-ANIO_MIN)/(ANIO_ACTUAL-ANIO_MIN)))</f>
        <v/>
      </c>
      <c r="BQ505" s="3">
        <f>W_KMT*BN505+W_KMA*BO505+W_EDAD*BP505</f>
        <v/>
      </c>
      <c r="BR505" s="3">
        <f>P_ITV*(V505="sí")+P_LIBRO*(W505="sí")+P_CORREA*(X505="sí")+P_PROP*(Y505=1)+P_GAR*(Z505="sí")+P_FOTOS*MIN(1,N(U505)/FOTOS_OBJ)</f>
        <v/>
      </c>
      <c r="BS505" s="3">
        <f>IFERROR(VLOOKUP(BF505,ETQ_TBL,2,0),NEUTRO)</f>
        <v/>
      </c>
      <c r="BT505" s="3">
        <f>NEUTRO</f>
        <v/>
      </c>
      <c r="BU505" s="3">
        <f>IFERROR(VLOOKUP(L505,SEGURO_TBL,3,0),"")</f>
        <v/>
      </c>
      <c r="BV505" s="3">
        <f>IF(BU505="",NEUTRO,MAX(0,MIN(100,100*(SEG_REF_MAX-BU505)/(SEG_REF_MAX-SEG_REF_MIN))))</f>
        <v/>
      </c>
      <c r="BW505" s="3">
        <f>W_ET*BS505+W_CONS*BT505+W_SEG*BV505</f>
        <v/>
      </c>
      <c r="BX505" s="3">
        <f>IF(N(AB505)&gt;0,AB505,IF(AND(R505="profesional",SG_LEGAL_ON=1),GAR_LEGAL,0))</f>
        <v/>
      </c>
      <c r="BY505" s="3">
        <f>SG_GAR*MIN(1,BX505/SG_GAR_FULL)+SG_AMPL*(AC505="sí")+SG_KMC*(AF505="sí")+SG_REV*(N(AE505)&gt;0)+SG_DEV*MIN(1,N(AG505)/SG_DEV_FULL)+SG_HIST*(W505="sí")</f>
        <v/>
      </c>
      <c r="BZ505" s="3">
        <f>IFERROR(VLOOKUP(L505,CARR_PEN_TBL,2,0),0)</f>
        <v/>
      </c>
      <c r="CA505" s="3">
        <f>W_FIAB*BL505+W_PRECIO*BM505+W_KMEDAD*BQ505+W_ANUNCIO*BR505+W_USO*BW505+W_SEGURIDAD*BY505-BZ505</f>
        <v/>
      </c>
      <c r="CB505" s="4">
        <f>IF(N(I505)&gt;0,I505,IFERROR(ROUND(_xlfn.NUMBERVALUE(LEFT(G505,FIND(" ",G505&amp;" ")-1),".")*1000,0),99999))</f>
        <v/>
      </c>
      <c r="CC505" s="3">
        <f>IF(R505="profesional",0,IF(O505&lt;CUOTA_VALOR_MAX,IF(AU505&gt;ITP_TRAMO_ALTO,SUMIFS(CF_CUOTA,CF_MAS,ITP_TRAMO_ALTO,CF_CCMIN,"&lt;="&amp;CB505,CF_CCMAX,"&gt;="&amp;CB505),IF(AU505&gt;ITP_TRAMO_BAJO,SUMIFS(CF_CUOTA,CF_MAS,ITP_TRAMO_BAJO,CF_CCMIN,"&lt;="&amp;CB505,CF_CCMAX,"&gt;="&amp;CB505),O505*ITP_TIPO)),O505*ITP_TIPO))</f>
        <v/>
      </c>
      <c r="CD505" s="4">
        <f>IF(R505="profesional",N(AK505),0)</f>
        <v/>
      </c>
      <c r="CE505" s="3">
        <f>IF(AND(R505="profesional",ISNUMBER(AK505),AL505="sí"),0,TASA_DGT)</f>
        <v/>
      </c>
      <c r="CF505" s="3">
        <f>INFORME_DGT</f>
        <v/>
      </c>
      <c r="CG505" s="4">
        <f>O505+CD505+CC505+CE505+CF505</f>
        <v/>
      </c>
      <c r="CH505" s="4">
        <f>CG505+N(BU505)</f>
        <v/>
      </c>
      <c r="CI505" s="3">
        <f>IF(CG505&lt;=TOTAL_MAX,"sí",IF(CG505&lt;=TOTAL_MAX+MARGEN_NEG,"negociar","no"))</f>
        <v/>
      </c>
      <c r="CJ505" s="4">
        <f>IF(CI505&lt;&gt;"no",COUNTIFS($CI$2:$CI$662,"&lt;&gt;no",$CA$2:$CA$662,"&gt;"&amp;CA505)+COUNTIFS($CI$2:CI505,"&lt;&gt;no",$CA$2:CA505,CA505),"")</f>
        <v/>
      </c>
    </row>
    <row r="506">
      <c r="A506" s="2" t="inlineStr">
        <is>
          <t>cochesnet:70605835</t>
        </is>
      </c>
      <c r="B506" s="2" t="inlineStr">
        <is>
          <t>cochesnet</t>
        </is>
      </c>
      <c r="C506" s="2" t="inlineStr">
        <is>
          <t>https://www.coches.net/citroen-c4-16-hdi-92-vtr-3p-diesel-2007-en-valencia-70605835-covo.aspx</t>
        </is>
      </c>
      <c r="D506" s="2" t="inlineStr">
        <is>
          <t>CITROEN C4 1.6 HDi 92 VTR</t>
        </is>
      </c>
      <c r="E506" s="2" t="inlineStr">
        <is>
          <t>Citroën</t>
        </is>
      </c>
      <c r="F506" s="2" t="inlineStr">
        <is>
          <t>Citroën C4</t>
        </is>
      </c>
      <c r="G506" s="2" t="inlineStr">
        <is>
          <t>1.6 HDi</t>
        </is>
      </c>
      <c r="H506" s="2" t="inlineStr">
        <is>
          <t>1.6 HDi 92 VTR</t>
        </is>
      </c>
      <c r="I506" s="2" t="n"/>
      <c r="J506" s="2" t="n"/>
      <c r="K506" s="2" t="inlineStr">
        <is>
          <t>diesel</t>
        </is>
      </c>
      <c r="L506" s="2" t="inlineStr">
        <is>
          <t>compacto</t>
        </is>
      </c>
      <c r="M506" s="2" t="n">
        <v>2006</v>
      </c>
      <c r="N506" s="2" t="n">
        <v>172000</v>
      </c>
      <c r="O506" s="2" t="n">
        <v>3100</v>
      </c>
      <c r="P506" s="2" t="inlineStr">
        <is>
          <t>manual</t>
        </is>
      </c>
      <c r="Q506" s="2" t="inlineStr">
        <is>
          <t>no</t>
        </is>
      </c>
      <c r="R506" s="2" t="inlineStr">
        <is>
          <t>particular</t>
        </is>
      </c>
      <c r="S506" s="2" t="inlineStr">
        <is>
          <t>Valencia</t>
        </is>
      </c>
      <c r="T506" s="2" t="inlineStr">
        <is>
          <t>2026-08-10T10:48:16Z</t>
        </is>
      </c>
      <c r="U506" s="2" t="n">
        <v>6</v>
      </c>
      <c r="V506" s="2" t="inlineStr">
        <is>
          <t>sí</t>
        </is>
      </c>
      <c r="W506" s="2" t="inlineStr">
        <is>
          <t>sí</t>
        </is>
      </c>
      <c r="X506" s="2" t="n"/>
      <c r="Y506" s="2" t="n"/>
      <c r="Z506" s="2" t="inlineStr">
        <is>
          <t>no</t>
        </is>
      </c>
      <c r="AA506" s="2" t="n"/>
      <c r="AB506" s="2" t="n"/>
      <c r="AC506" s="2" t="n"/>
      <c r="AD506" s="2" t="n"/>
      <c r="AE506" s="2" t="n"/>
      <c r="AF506" s="2" t="n"/>
      <c r="AG506" s="2" t="n"/>
      <c r="AH506" s="2" t="n">
        <v>3100</v>
      </c>
      <c r="AI506" s="2" t="n"/>
      <c r="AJ506" s="2" t="n"/>
      <c r="AK506" s="2" t="n"/>
      <c r="AL506" s="2" t="n"/>
      <c r="AM506" s="2" t="n">
        <v>0.1</v>
      </c>
      <c r="AN506" s="2" t="n">
        <v>2600</v>
      </c>
      <c r="AO506" s="2" t="n">
        <v>9</v>
      </c>
      <c r="AP506" s="2" t="inlineStr">
        <is>
          <t>modelo+año+km</t>
        </is>
      </c>
      <c r="AQ506" s="2" t="n"/>
      <c r="AR506" s="2" t="inlineStr">
        <is>
          <t>cuota fija ITP: &gt;12 años, 1.501-2.000 cc; fiabilidad del modelo PENDIENTE de fuente (puntuación neutra)</t>
        </is>
      </c>
      <c r="AS506" s="2" t="inlineStr">
        <is>
          <t xml:space="preserve">ITV recién pasada hasta ABRIL/2027
Mecánica en buen estado
Bajo consumo
Interior cuidado
Aire acondicionado funcionando
Neumáticos en buen estado
Mantenimiento al día
Muy práctico para ciudad
Se entrega limpio
Contacto por WhatsApp </t>
        </is>
      </c>
      <c r="AT506" s="2" t="inlineStr">
        <is>
          <t>https://www.coches.net/citroen-c4-16-hdi-92-vtr-3p-diesel-2007-en-valencia-70605835-covo.aspx (window.__INITIAL_PROPS__.ad) /home/user/Alopecia/buscador-coches/raw/cochesnet/09074221b9a54b12.json</t>
        </is>
      </c>
      <c r="AU506" s="3">
        <f>MAX(ANIO_ACTUAL-M506,0)</f>
        <v/>
      </c>
      <c r="AV506" s="4">
        <f>N506/MAX(AU506,0.5)</f>
        <v/>
      </c>
      <c r="AW506" s="4">
        <f>F506</f>
        <v/>
      </c>
      <c r="AX506" s="3">
        <f>AW506&amp;"|"&amp;INT(M506/SEG_ANIO)*SEG_ANIO</f>
        <v/>
      </c>
      <c r="AY506" s="3">
        <f>AX506&amp;"|"&amp;INT(N506/SEG_KM)*SEG_KM</f>
        <v/>
      </c>
      <c r="AZ506" s="4">
        <f>COUNTIF($AW$2:$AW$662,AW506)</f>
        <v/>
      </c>
      <c r="BA506" s="4">
        <f>COUNTIF($AX$2:$AX$662,AX506)</f>
        <v/>
      </c>
      <c r="BB506" s="4">
        <f>COUNTIF($AY$2:$AY$662,AY506)</f>
        <v/>
      </c>
      <c r="BC506" s="3">
        <f t="array" ref="BC506">IF(N(AO506)&gt;=MIN_N,AN506,IF(BB506&gt;=MIN_N,MEDIAN(IF($AY$2:$AY$662=AY506,$O$2:$O$662)),IF(BA506&gt;=MIN_N,MEDIAN(IF($AX$2:$AX$662=AX506,$O$2:$O$662)),MEDIAN(IF($AW$2:$AW$662=AW506,$O$2:$O$662)))))</f>
        <v/>
      </c>
      <c r="BD506" s="3">
        <f>IF(N(AO506)&gt;=MIN_N,"mercado "&amp;AP506,IF(BB506&gt;=MIN_N,"modelo+año+km",IF(BA506&gt;=MIN_N,"modelo+año","modelo")))</f>
        <v/>
      </c>
      <c r="BE506" s="4">
        <f>(BC506-O506)/BC506</f>
        <v/>
      </c>
      <c r="BF506" s="3">
        <f>IF(OR(K506="hibrido",K506="glp"),"ECO",IF(K506="electrico","CERO",IF(K506="gasolina",IF(M506&gt;=GAS_C,"C",IF(M506&gt;=GAS_B,"B","A")),IF(K506="diesel",IF(M506&gt;=DIE_C,"C",IF(M506&gt;=DIE_B,"B","A")),""))))</f>
        <v/>
      </c>
      <c r="BG506" s="3">
        <f>IFERROR(VLOOKUP(F506,MOD_TBL,11,0),IFERROR(VLOOKUP(E506,OCU_TBL,2,0),NEUTRO))</f>
        <v/>
      </c>
      <c r="BH506" s="3">
        <f>SUMIFS(MOT_AJUSTE,MOT_MOTOR,G506,MOT_MARCA,E506,MOT_DESDE,"&lt;="&amp;M506,MOT_HASTA,"&gt;="&amp;M506)+SUMIFS(MOT_AJUSTE,MOT_MOTOR,G506,MOT_MARCA,"(todas)",MOT_DESDE,"&lt;="&amp;M506,MOT_HASTA,"&gt;="&amp;M506)</f>
        <v/>
      </c>
      <c r="BI506" s="3">
        <f>SUMIFS(COMB_AJUSTE,COMB_COMB,K506)</f>
        <v/>
      </c>
      <c r="BJ506" s="3">
        <f>COUNTIFS(MOT_MOTOR,G506,MOT_MARCA,E506,MOT_DESDE,"&lt;="&amp;M506,MOT_HASTA,"&gt;="&amp;M506)+COUNTIFS(MOT_MOTOR,G506,MOT_MARCA,"(todas)",MOT_DESDE,"&lt;="&amp;M506,MOT_HASTA,"&gt;="&amp;M506)</f>
        <v/>
      </c>
      <c r="BK506" s="3">
        <f>IF(AND(K506="diesel",BJ506=0),MIN(BG506,NEUTRO),BG506)</f>
        <v/>
      </c>
      <c r="BL506" s="4">
        <f>MAX(0,MIN(100,BK506+BH506+BI506))</f>
        <v/>
      </c>
      <c r="BM506" s="3">
        <f>MAX(0,MIN(100,50+BE506*PRECIO_PEND))</f>
        <v/>
      </c>
      <c r="BN506" s="3">
        <f>MAX(0,100*(1-N506/KM_MAX))</f>
        <v/>
      </c>
      <c r="BO506" s="3">
        <f>IF(AV506&lt;KMA_SOSP,IF(AA506="sí",100,KMA_PEN),IF(AV506&lt;=KMA_IDEAL_MAX,100,MAX(0,100*(KMA_CERO-AV506)/(KMA_CERO-KMA_IDEAL_MAX))))</f>
        <v/>
      </c>
      <c r="BP506" s="3">
        <f>MAX(0,MIN(100,100*(M506-ANIO_MIN)/(ANIO_ACTUAL-ANIO_MIN)))</f>
        <v/>
      </c>
      <c r="BQ506" s="3">
        <f>W_KMT*BN506+W_KMA*BO506+W_EDAD*BP506</f>
        <v/>
      </c>
      <c r="BR506" s="3">
        <f>P_ITV*(V506="sí")+P_LIBRO*(W506="sí")+P_CORREA*(X506="sí")+P_PROP*(Y506=1)+P_GAR*(Z506="sí")+P_FOTOS*MIN(1,N(U506)/FOTOS_OBJ)</f>
        <v/>
      </c>
      <c r="BS506" s="3">
        <f>IFERROR(VLOOKUP(BF506,ETQ_TBL,2,0),NEUTRO)</f>
        <v/>
      </c>
      <c r="BT506" s="3">
        <f>NEUTRO</f>
        <v/>
      </c>
      <c r="BU506" s="3">
        <f>IFERROR(VLOOKUP(L506,SEGURO_TBL,3,0),"")</f>
        <v/>
      </c>
      <c r="BV506" s="3">
        <f>IF(BU506="",NEUTRO,MAX(0,MIN(100,100*(SEG_REF_MAX-BU506)/(SEG_REF_MAX-SEG_REF_MIN))))</f>
        <v/>
      </c>
      <c r="BW506" s="3">
        <f>W_ET*BS506+W_CONS*BT506+W_SEG*BV506</f>
        <v/>
      </c>
      <c r="BX506" s="3">
        <f>IF(N(AB506)&gt;0,AB506,IF(AND(R506="profesional",SG_LEGAL_ON=1),GAR_LEGAL,0))</f>
        <v/>
      </c>
      <c r="BY506" s="3">
        <f>SG_GAR*MIN(1,BX506/SG_GAR_FULL)+SG_AMPL*(AC506="sí")+SG_KMC*(AF506="sí")+SG_REV*(N(AE506)&gt;0)+SG_DEV*MIN(1,N(AG506)/SG_DEV_FULL)+SG_HIST*(W506="sí")</f>
        <v/>
      </c>
      <c r="BZ506" s="3">
        <f>IFERROR(VLOOKUP(L506,CARR_PEN_TBL,2,0),0)</f>
        <v/>
      </c>
      <c r="CA506" s="3">
        <f>W_FIAB*BL506+W_PRECIO*BM506+W_KMEDAD*BQ506+W_ANUNCIO*BR506+W_USO*BW506+W_SEGURIDAD*BY506-BZ506</f>
        <v/>
      </c>
      <c r="CB506" s="4">
        <f>IF(N(I506)&gt;0,I506,IFERROR(ROUND(_xlfn.NUMBERVALUE(LEFT(G506,FIND(" ",G506&amp;" ")-1),".")*1000,0),99999))</f>
        <v/>
      </c>
      <c r="CC506" s="3">
        <f>IF(R506="profesional",0,IF(O506&lt;CUOTA_VALOR_MAX,IF(AU506&gt;ITP_TRAMO_ALTO,SUMIFS(CF_CUOTA,CF_MAS,ITP_TRAMO_ALTO,CF_CCMIN,"&lt;="&amp;CB506,CF_CCMAX,"&gt;="&amp;CB506),IF(AU506&gt;ITP_TRAMO_BAJO,SUMIFS(CF_CUOTA,CF_MAS,ITP_TRAMO_BAJO,CF_CCMIN,"&lt;="&amp;CB506,CF_CCMAX,"&gt;="&amp;CB506),O506*ITP_TIPO)),O506*ITP_TIPO))</f>
        <v/>
      </c>
      <c r="CD506" s="4">
        <f>IF(R506="profesional",N(AK506),0)</f>
        <v/>
      </c>
      <c r="CE506" s="3">
        <f>IF(AND(R506="profesional",ISNUMBER(AK506),AL506="sí"),0,TASA_DGT)</f>
        <v/>
      </c>
      <c r="CF506" s="3">
        <f>INFORME_DGT</f>
        <v/>
      </c>
      <c r="CG506" s="4">
        <f>O506+CD506+CC506+CE506+CF506</f>
        <v/>
      </c>
      <c r="CH506" s="4">
        <f>CG506+N(BU506)</f>
        <v/>
      </c>
      <c r="CI506" s="3">
        <f>IF(CG506&lt;=TOTAL_MAX,"sí",IF(CG506&lt;=TOTAL_MAX+MARGEN_NEG,"negociar","no"))</f>
        <v/>
      </c>
      <c r="CJ506" s="4">
        <f>IF(CI506&lt;&gt;"no",COUNTIFS($CI$2:$CI$662,"&lt;&gt;no",$CA$2:$CA$662,"&gt;"&amp;CA506)+COUNTIFS($CI$2:CI506,"&lt;&gt;no",$CA$2:CA506,CA506),"")</f>
        <v/>
      </c>
    </row>
    <row r="507">
      <c r="A507" s="2" t="inlineStr">
        <is>
          <t>cochesnet:71818180</t>
        </is>
      </c>
      <c r="B507" s="2" t="inlineStr">
        <is>
          <t>cochesnet</t>
        </is>
      </c>
      <c r="C507" s="2" t="inlineStr">
        <is>
          <t>https://www.coches.net/citroen-c-elysee-hdi-90cv-millenium-4p-diesel-2014-en-valencia-71818180-covo.aspx</t>
        </is>
      </c>
      <c r="D507" s="2" t="inlineStr">
        <is>
          <t>CITROEN C-Elysée HDi Millenium</t>
        </is>
      </c>
      <c r="E507" s="2" t="inlineStr">
        <is>
          <t>Citroën</t>
        </is>
      </c>
      <c r="F507" s="2" t="inlineStr">
        <is>
          <t>Citroën C-Elysée</t>
        </is>
      </c>
      <c r="G507" s="2" t="inlineStr">
        <is>
          <t>? HDi</t>
        </is>
      </c>
      <c r="H507" s="2" t="inlineStr">
        <is>
          <t>HDi 90cv Millenium</t>
        </is>
      </c>
      <c r="I507" s="2" t="n"/>
      <c r="J507" s="2" t="n">
        <v>90</v>
      </c>
      <c r="K507" s="2" t="inlineStr">
        <is>
          <t>diesel</t>
        </is>
      </c>
      <c r="L507" s="2" t="inlineStr">
        <is>
          <t>berlina</t>
        </is>
      </c>
      <c r="M507" s="2" t="n">
        <v>2015</v>
      </c>
      <c r="N507" s="2" t="n">
        <v>180000</v>
      </c>
      <c r="O507" s="2" t="n">
        <v>4699</v>
      </c>
      <c r="P507" s="2" t="inlineStr">
        <is>
          <t>manual</t>
        </is>
      </c>
      <c r="Q507" s="2" t="inlineStr">
        <is>
          <t>no</t>
        </is>
      </c>
      <c r="R507" s="2" t="inlineStr">
        <is>
          <t>profesional</t>
        </is>
      </c>
      <c r="S507" s="2" t="inlineStr">
        <is>
          <t>Cars Premium Albal Albal</t>
        </is>
      </c>
      <c r="T507" s="2" t="inlineStr">
        <is>
          <t>2026-10-23T16:33:38Z</t>
        </is>
      </c>
      <c r="U507" s="2" t="n">
        <v>12</v>
      </c>
      <c r="V507" s="2" t="inlineStr">
        <is>
          <t>sí</t>
        </is>
      </c>
      <c r="W507" s="2" t="n"/>
      <c r="X507" s="2" t="n"/>
      <c r="Y507" s="2" t="n"/>
      <c r="Z507" s="2" t="inlineStr">
        <is>
          <t>sí</t>
        </is>
      </c>
      <c r="AA507" s="2" t="n"/>
      <c r="AB507" s="2" t="n">
        <v>12</v>
      </c>
      <c r="AC507" s="2" t="n"/>
      <c r="AD507" s="2" t="n"/>
      <c r="AE507" s="2" t="n"/>
      <c r="AF507" s="2" t="n"/>
      <c r="AG507" s="2" t="n"/>
      <c r="AH507" s="2" t="n">
        <v>4699</v>
      </c>
      <c r="AI507" s="2" t="n">
        <v>4699</v>
      </c>
      <c r="AJ507" s="2" t="n"/>
      <c r="AK507" s="2" t="n"/>
      <c r="AL507" s="2" t="n"/>
      <c r="AM507" s="2" t="n">
        <v>8.699999999999999</v>
      </c>
      <c r="AN507" s="2" t="n">
        <v>5149.5</v>
      </c>
      <c r="AO507" s="2" t="n">
        <v>4</v>
      </c>
      <c r="AP507" s="2" t="inlineStr">
        <is>
          <t>modelo+año</t>
        </is>
      </c>
      <c r="AQ507" s="2" t="n"/>
      <c r="AR507"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S507" s="2" t="inlineStr">
        <is>
          <t>PRECIOSO CITROEN C-ELYSEE AÑO 2015 MOTOR 1.6HDI 92CV DE MUY BUENAS PRESTACIONES Y BAJO CONSUMO CON TAN SOLO 180000 KILOMETROS  VEHICULO TOTALMENTE REVISADO CON 12 MESES DE GARANTIA ITV EN VIGOR OFRECEMOS UNA FINANCIACION  A SU MEDIDA HASTA 48 MESES 
VEHICULO CON MUCHOS EXTRAS: VOLANTE MULTIFUNCION, CONTROL Y LIMITADOR DE VELOCIDAD, CLIMATIZADOR, ORDENADOR ABORDO, AIRBAGS, RDC, CIERRE CENTRALIZADO, RETROVISORES ELECTRICO, LLANTAS DE ALEACION,  ELEVALUNAS ELECTRICAS,,,,, PARA MAS INFORMACION LLAMEN AL 646354408 O VISITEN NUESTRAS INSTALACIONES EN ALBAL VALENCIA AV. PADRE CAELOS FERRIS 87</t>
        </is>
      </c>
      <c r="AT507" s="2" t="inlineStr">
        <is>
          <t>https://www.coches.net/citroen-c-elysee-hdi-90cv-millenium-4p-diesel-2014-en-valencia-71818180-covo.aspx (window.__INITIAL_PROPS__.ad) /home/user/Alopecia/buscador-coches/raw/cochesnet/0b92e55c706342c3.json</t>
        </is>
      </c>
      <c r="AU507" s="3">
        <f>MAX(ANIO_ACTUAL-M507,0)</f>
        <v/>
      </c>
      <c r="AV507" s="4">
        <f>N507/MAX(AU507,0.5)</f>
        <v/>
      </c>
      <c r="AW507" s="4">
        <f>F507</f>
        <v/>
      </c>
      <c r="AX507" s="3">
        <f>AW507&amp;"|"&amp;INT(M507/SEG_ANIO)*SEG_ANIO</f>
        <v/>
      </c>
      <c r="AY507" s="3">
        <f>AX507&amp;"|"&amp;INT(N507/SEG_KM)*SEG_KM</f>
        <v/>
      </c>
      <c r="AZ507" s="4">
        <f>COUNTIF($AW$2:$AW$662,AW507)</f>
        <v/>
      </c>
      <c r="BA507" s="4">
        <f>COUNTIF($AX$2:$AX$662,AX507)</f>
        <v/>
      </c>
      <c r="BB507" s="4">
        <f>COUNTIF($AY$2:$AY$662,AY507)</f>
        <v/>
      </c>
      <c r="BC507" s="3">
        <f t="array" ref="BC507">IF(N(AO507)&gt;=MIN_N,AN507,IF(BB507&gt;=MIN_N,MEDIAN(IF($AY$2:$AY$662=AY507,$O$2:$O$662)),IF(BA507&gt;=MIN_N,MEDIAN(IF($AX$2:$AX$662=AX507,$O$2:$O$662)),MEDIAN(IF($AW$2:$AW$662=AW507,$O$2:$O$662)))))</f>
        <v/>
      </c>
      <c r="BD507" s="3">
        <f>IF(N(AO507)&gt;=MIN_N,"mercado "&amp;AP507,IF(BB507&gt;=MIN_N,"modelo+año+km",IF(BA507&gt;=MIN_N,"modelo+año","modelo")))</f>
        <v/>
      </c>
      <c r="BE507" s="4">
        <f>(BC507-O507)/BC507</f>
        <v/>
      </c>
      <c r="BF507" s="3">
        <f>IF(OR(K507="hibrido",K507="glp"),"ECO",IF(K507="electrico","CERO",IF(K507="gasolina",IF(M507&gt;=GAS_C,"C",IF(M507&gt;=GAS_B,"B","A")),IF(K507="diesel",IF(M507&gt;=DIE_C,"C",IF(M507&gt;=DIE_B,"B","A")),""))))</f>
        <v/>
      </c>
      <c r="BG507" s="3">
        <f>IFERROR(VLOOKUP(F507,MOD_TBL,11,0),IFERROR(VLOOKUP(E507,OCU_TBL,2,0),NEUTRO))</f>
        <v/>
      </c>
      <c r="BH507" s="3">
        <f>SUMIFS(MOT_AJUSTE,MOT_MOTOR,G507,MOT_MARCA,E507,MOT_DESDE,"&lt;="&amp;M507,MOT_HASTA,"&gt;="&amp;M507)+SUMIFS(MOT_AJUSTE,MOT_MOTOR,G507,MOT_MARCA,"(todas)",MOT_DESDE,"&lt;="&amp;M507,MOT_HASTA,"&gt;="&amp;M507)</f>
        <v/>
      </c>
      <c r="BI507" s="3">
        <f>SUMIFS(COMB_AJUSTE,COMB_COMB,K507)</f>
        <v/>
      </c>
      <c r="BJ507" s="3">
        <f>COUNTIFS(MOT_MOTOR,G507,MOT_MARCA,E507,MOT_DESDE,"&lt;="&amp;M507,MOT_HASTA,"&gt;="&amp;M507)+COUNTIFS(MOT_MOTOR,G507,MOT_MARCA,"(todas)",MOT_DESDE,"&lt;="&amp;M507,MOT_HASTA,"&gt;="&amp;M507)</f>
        <v/>
      </c>
      <c r="BK507" s="3">
        <f>IF(AND(K507="diesel",BJ507=0),MIN(BG507,NEUTRO),BG507)</f>
        <v/>
      </c>
      <c r="BL507" s="4">
        <f>MAX(0,MIN(100,BK507+BH507+BI507))</f>
        <v/>
      </c>
      <c r="BM507" s="3">
        <f>MAX(0,MIN(100,50+BE507*PRECIO_PEND))</f>
        <v/>
      </c>
      <c r="BN507" s="3">
        <f>MAX(0,100*(1-N507/KM_MAX))</f>
        <v/>
      </c>
      <c r="BO507" s="3">
        <f>IF(AV507&lt;KMA_SOSP,IF(AA507="sí",100,KMA_PEN),IF(AV507&lt;=KMA_IDEAL_MAX,100,MAX(0,100*(KMA_CERO-AV507)/(KMA_CERO-KMA_IDEAL_MAX))))</f>
        <v/>
      </c>
      <c r="BP507" s="3">
        <f>MAX(0,MIN(100,100*(M507-ANIO_MIN)/(ANIO_ACTUAL-ANIO_MIN)))</f>
        <v/>
      </c>
      <c r="BQ507" s="3">
        <f>W_KMT*BN507+W_KMA*BO507+W_EDAD*BP507</f>
        <v/>
      </c>
      <c r="BR507" s="3">
        <f>P_ITV*(V507="sí")+P_LIBRO*(W507="sí")+P_CORREA*(X507="sí")+P_PROP*(Y507=1)+P_GAR*(Z507="sí")+P_FOTOS*MIN(1,N(U507)/FOTOS_OBJ)</f>
        <v/>
      </c>
      <c r="BS507" s="3">
        <f>IFERROR(VLOOKUP(BF507,ETQ_TBL,2,0),NEUTRO)</f>
        <v/>
      </c>
      <c r="BT507" s="3">
        <f>NEUTRO</f>
        <v/>
      </c>
      <c r="BU507" s="3">
        <f>IFERROR(VLOOKUP(L507,SEGURO_TBL,3,0),"")</f>
        <v/>
      </c>
      <c r="BV507" s="3">
        <f>IF(BU507="",NEUTRO,MAX(0,MIN(100,100*(SEG_REF_MAX-BU507)/(SEG_REF_MAX-SEG_REF_MIN))))</f>
        <v/>
      </c>
      <c r="BW507" s="3">
        <f>W_ET*BS507+W_CONS*BT507+W_SEG*BV507</f>
        <v/>
      </c>
      <c r="BX507" s="3">
        <f>IF(N(AB507)&gt;0,AB507,IF(AND(R507="profesional",SG_LEGAL_ON=1),GAR_LEGAL,0))</f>
        <v/>
      </c>
      <c r="BY507" s="3">
        <f>SG_GAR*MIN(1,BX507/SG_GAR_FULL)+SG_AMPL*(AC507="sí")+SG_KMC*(AF507="sí")+SG_REV*(N(AE507)&gt;0)+SG_DEV*MIN(1,N(AG507)/SG_DEV_FULL)+SG_HIST*(W507="sí")</f>
        <v/>
      </c>
      <c r="BZ507" s="3">
        <f>IFERROR(VLOOKUP(L507,CARR_PEN_TBL,2,0),0)</f>
        <v/>
      </c>
      <c r="CA507" s="3">
        <f>W_FIAB*BL507+W_PRECIO*BM507+W_KMEDAD*BQ507+W_ANUNCIO*BR507+W_USO*BW507+W_SEGURIDAD*BY507-BZ507</f>
        <v/>
      </c>
      <c r="CB507" s="4">
        <f>IF(N(I507)&gt;0,I507,IFERROR(ROUND(_xlfn.NUMBERVALUE(LEFT(G507,FIND(" ",G507&amp;" ")-1),".")*1000,0),99999))</f>
        <v/>
      </c>
      <c r="CC507" s="3">
        <f>IF(R507="profesional",0,IF(O507&lt;CUOTA_VALOR_MAX,IF(AU507&gt;ITP_TRAMO_ALTO,SUMIFS(CF_CUOTA,CF_MAS,ITP_TRAMO_ALTO,CF_CCMIN,"&lt;="&amp;CB507,CF_CCMAX,"&gt;="&amp;CB507),IF(AU507&gt;ITP_TRAMO_BAJO,SUMIFS(CF_CUOTA,CF_MAS,ITP_TRAMO_BAJO,CF_CCMIN,"&lt;="&amp;CB507,CF_CCMAX,"&gt;="&amp;CB507),O507*ITP_TIPO)),O507*ITP_TIPO))</f>
        <v/>
      </c>
      <c r="CD507" s="4">
        <f>IF(R507="profesional",N(AK507),0)</f>
        <v/>
      </c>
      <c r="CE507" s="3">
        <f>IF(AND(R507="profesional",ISNUMBER(AK507),AL507="sí"),0,TASA_DGT)</f>
        <v/>
      </c>
      <c r="CF507" s="3">
        <f>INFORME_DGT</f>
        <v/>
      </c>
      <c r="CG507" s="4">
        <f>O507+CD507+CC507+CE507+CF507</f>
        <v/>
      </c>
      <c r="CH507" s="4">
        <f>CG507+N(BU507)</f>
        <v/>
      </c>
      <c r="CI507" s="3">
        <f>IF(CG507&lt;=TOTAL_MAX,"sí",IF(CG507&lt;=TOTAL_MAX+MARGEN_NEG,"negociar","no"))</f>
        <v/>
      </c>
      <c r="CJ507" s="4">
        <f>IF(CI507&lt;&gt;"no",COUNTIFS($CI$2:$CI$662,"&lt;&gt;no",$CA$2:$CA$662,"&gt;"&amp;CA507)+COUNTIFS($CI$2:CI507,"&lt;&gt;no",$CA$2:CA507,CA507),"")</f>
        <v/>
      </c>
    </row>
    <row r="508">
      <c r="A508" s="2" t="inlineStr">
        <is>
          <t>cochesnet:71618923</t>
        </is>
      </c>
      <c r="B508" s="2" t="inlineStr">
        <is>
          <t>cochesnet</t>
        </is>
      </c>
      <c r="C508" s="2" t="inlineStr">
        <is>
          <t>https://www.coches.net/ford-fiesta-14-tdci-trend-5p-diesel-2010-en-valencia-71618923-covo.aspx</t>
        </is>
      </c>
      <c r="D508" s="2" t="inlineStr">
        <is>
          <t>FORD Fiesta 1.4 TDCi Trend</t>
        </is>
      </c>
      <c r="E508" s="2" t="inlineStr">
        <is>
          <t>Ford</t>
        </is>
      </c>
      <c r="F508" s="2" t="inlineStr">
        <is>
          <t>Ford Fiesta</t>
        </is>
      </c>
      <c r="G508" s="2" t="inlineStr">
        <is>
          <t>1.4 TDCi</t>
        </is>
      </c>
      <c r="H508" s="2" t="inlineStr">
        <is>
          <t>1.4 TDCi Trend</t>
        </is>
      </c>
      <c r="I508" s="2" t="n"/>
      <c r="J508" s="2" t="n"/>
      <c r="K508" s="2" t="inlineStr">
        <is>
          <t>diesel</t>
        </is>
      </c>
      <c r="L508" s="2" t="inlineStr">
        <is>
          <t>utilitario</t>
        </is>
      </c>
      <c r="M508" s="2" t="n">
        <v>2010</v>
      </c>
      <c r="N508" s="2" t="n">
        <v>160000</v>
      </c>
      <c r="O508" s="2" t="n">
        <v>4990</v>
      </c>
      <c r="P508" s="2" t="inlineStr">
        <is>
          <t>manual</t>
        </is>
      </c>
      <c r="Q508" s="2" t="inlineStr">
        <is>
          <t>no</t>
        </is>
      </c>
      <c r="R508" s="2" t="inlineStr">
        <is>
          <t>profesional</t>
        </is>
      </c>
      <c r="S508" s="2" t="inlineStr">
        <is>
          <t>San Antonio de Benagéber</t>
        </is>
      </c>
      <c r="T508" s="2" t="inlineStr">
        <is>
          <t>2026-09-28T20:14:06Z</t>
        </is>
      </c>
      <c r="U508" s="2" t="n">
        <v>18</v>
      </c>
      <c r="V508" s="2" t="n"/>
      <c r="W508" s="2" t="n"/>
      <c r="X508" s="2" t="n"/>
      <c r="Y508" s="2" t="n">
        <v>1</v>
      </c>
      <c r="Z508" s="2" t="inlineStr">
        <is>
          <t>sí</t>
        </is>
      </c>
      <c r="AA508" s="2" t="n"/>
      <c r="AB508" s="2" t="n">
        <v>12</v>
      </c>
      <c r="AC508" s="2" t="n"/>
      <c r="AD508" s="2" t="n"/>
      <c r="AE508" s="2" t="n"/>
      <c r="AF508" s="2" t="inlineStr">
        <is>
          <t>sí</t>
        </is>
      </c>
      <c r="AG508" s="2" t="n"/>
      <c r="AH508" s="2" t="n">
        <v>4990</v>
      </c>
      <c r="AI508" s="2" t="n">
        <v>4990</v>
      </c>
      <c r="AJ508" s="2" t="n"/>
      <c r="AK508" s="2" t="n"/>
      <c r="AL508" s="2" t="n"/>
      <c r="AM508" s="2" t="n">
        <v>19.1</v>
      </c>
      <c r="AN508" s="2" t="n">
        <v>4545</v>
      </c>
      <c r="AO508" s="2" t="n">
        <v>18</v>
      </c>
      <c r="AP508" s="2" t="inlineStr">
        <is>
          <t>modelo+año+km</t>
        </is>
      </c>
      <c r="AQ508" s="2" t="n"/>
      <c r="AR508"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508" s="2" t="inlineStr">
        <is>
          <t>CITA PREVIA
(GARANTIA EN TALLER OFICIAL OPCIONAL)
VEHÍCULO NACIONAL
ÚNICO PROPIETARIO
ASIENTOS DEPORTIVOS TELA
SENSORES DE APARCAMIENTO 
CONTROL POR VOZ
ORDENADOR DE ABORDO
SENSOR DE LUZ Y LLUVIA
BLUETOOTH, AUX, USB...
VOLANTE MULTIFUNCIÓN 
CLIMATIZADOR
ASISTENTES A LA CONDUCCIÓN
ACTUALMENTE 163.000KM
..............
POSIBILIDAD DE TRANSPORTAR A CULAQUIER PARTE DE ESPAÑA(CONSULTAR PRECIOS)
KILOMETROS CERTIFICADOS
CAMBIO DE TITULARIDAD 190€
Este anuncio no es vinculante, se muestra a titulo informativo y no contractual.</t>
        </is>
      </c>
      <c r="AT508" s="2" t="inlineStr">
        <is>
          <t>https://www.coches.net/ford-fiesta-14-tdci-trend-5p-diesel-2010-en-valencia-71618923-covo.aspx (window.__INITIAL_PROPS__.ad) /home/user/Alopecia/buscador-coches/raw/cochesnet/feda380071489907.json</t>
        </is>
      </c>
      <c r="AU508" s="3">
        <f>MAX(ANIO_ACTUAL-M508,0)</f>
        <v/>
      </c>
      <c r="AV508" s="4">
        <f>N508/MAX(AU508,0.5)</f>
        <v/>
      </c>
      <c r="AW508" s="4">
        <f>F508</f>
        <v/>
      </c>
      <c r="AX508" s="3">
        <f>AW508&amp;"|"&amp;INT(M508/SEG_ANIO)*SEG_ANIO</f>
        <v/>
      </c>
      <c r="AY508" s="3">
        <f>AX508&amp;"|"&amp;INT(N508/SEG_KM)*SEG_KM</f>
        <v/>
      </c>
      <c r="AZ508" s="4">
        <f>COUNTIF($AW$2:$AW$662,AW508)</f>
        <v/>
      </c>
      <c r="BA508" s="4">
        <f>COUNTIF($AX$2:$AX$662,AX508)</f>
        <v/>
      </c>
      <c r="BB508" s="4">
        <f>COUNTIF($AY$2:$AY$662,AY508)</f>
        <v/>
      </c>
      <c r="BC508" s="3">
        <f t="array" ref="BC508">IF(N(AO508)&gt;=MIN_N,AN508,IF(BB508&gt;=MIN_N,MEDIAN(IF($AY$2:$AY$662=AY508,$O$2:$O$662)),IF(BA508&gt;=MIN_N,MEDIAN(IF($AX$2:$AX$662=AX508,$O$2:$O$662)),MEDIAN(IF($AW$2:$AW$662=AW508,$O$2:$O$662)))))</f>
        <v/>
      </c>
      <c r="BD508" s="3">
        <f>IF(N(AO508)&gt;=MIN_N,"mercado "&amp;AP508,IF(BB508&gt;=MIN_N,"modelo+año+km",IF(BA508&gt;=MIN_N,"modelo+año","modelo")))</f>
        <v/>
      </c>
      <c r="BE508" s="4">
        <f>(BC508-O508)/BC508</f>
        <v/>
      </c>
      <c r="BF508" s="3">
        <f>IF(OR(K508="hibrido",K508="glp"),"ECO",IF(K508="electrico","CERO",IF(K508="gasolina",IF(M508&gt;=GAS_C,"C",IF(M508&gt;=GAS_B,"B","A")),IF(K508="diesel",IF(M508&gt;=DIE_C,"C",IF(M508&gt;=DIE_B,"B","A")),""))))</f>
        <v/>
      </c>
      <c r="BG508" s="3">
        <f>IFERROR(VLOOKUP(F508,MOD_TBL,11,0),IFERROR(VLOOKUP(E508,OCU_TBL,2,0),NEUTRO))</f>
        <v/>
      </c>
      <c r="BH508" s="3">
        <f>SUMIFS(MOT_AJUSTE,MOT_MOTOR,G508,MOT_MARCA,E508,MOT_DESDE,"&lt;="&amp;M508,MOT_HASTA,"&gt;="&amp;M508)+SUMIFS(MOT_AJUSTE,MOT_MOTOR,G508,MOT_MARCA,"(todas)",MOT_DESDE,"&lt;="&amp;M508,MOT_HASTA,"&gt;="&amp;M508)</f>
        <v/>
      </c>
      <c r="BI508" s="3">
        <f>SUMIFS(COMB_AJUSTE,COMB_COMB,K508)</f>
        <v/>
      </c>
      <c r="BJ508" s="3">
        <f>COUNTIFS(MOT_MOTOR,G508,MOT_MARCA,E508,MOT_DESDE,"&lt;="&amp;M508,MOT_HASTA,"&gt;="&amp;M508)+COUNTIFS(MOT_MOTOR,G508,MOT_MARCA,"(todas)",MOT_DESDE,"&lt;="&amp;M508,MOT_HASTA,"&gt;="&amp;M508)</f>
        <v/>
      </c>
      <c r="BK508" s="3">
        <f>IF(AND(K508="diesel",BJ508=0),MIN(BG508,NEUTRO),BG508)</f>
        <v/>
      </c>
      <c r="BL508" s="4">
        <f>MAX(0,MIN(100,BK508+BH508+BI508))</f>
        <v/>
      </c>
      <c r="BM508" s="3">
        <f>MAX(0,MIN(100,50+BE508*PRECIO_PEND))</f>
        <v/>
      </c>
      <c r="BN508" s="3">
        <f>MAX(0,100*(1-N508/KM_MAX))</f>
        <v/>
      </c>
      <c r="BO508" s="3">
        <f>IF(AV508&lt;KMA_SOSP,IF(AA508="sí",100,KMA_PEN),IF(AV508&lt;=KMA_IDEAL_MAX,100,MAX(0,100*(KMA_CERO-AV508)/(KMA_CERO-KMA_IDEAL_MAX))))</f>
        <v/>
      </c>
      <c r="BP508" s="3">
        <f>MAX(0,MIN(100,100*(M508-ANIO_MIN)/(ANIO_ACTUAL-ANIO_MIN)))</f>
        <v/>
      </c>
      <c r="BQ508" s="3">
        <f>W_KMT*BN508+W_KMA*BO508+W_EDAD*BP508</f>
        <v/>
      </c>
      <c r="BR508" s="3">
        <f>P_ITV*(V508="sí")+P_LIBRO*(W508="sí")+P_CORREA*(X508="sí")+P_PROP*(Y508=1)+P_GAR*(Z508="sí")+P_FOTOS*MIN(1,N(U508)/FOTOS_OBJ)</f>
        <v/>
      </c>
      <c r="BS508" s="3">
        <f>IFERROR(VLOOKUP(BF508,ETQ_TBL,2,0),NEUTRO)</f>
        <v/>
      </c>
      <c r="BT508" s="3">
        <f>NEUTRO</f>
        <v/>
      </c>
      <c r="BU508" s="3">
        <f>IFERROR(VLOOKUP(L508,SEGURO_TBL,3,0),"")</f>
        <v/>
      </c>
      <c r="BV508" s="3">
        <f>IF(BU508="",NEUTRO,MAX(0,MIN(100,100*(SEG_REF_MAX-BU508)/(SEG_REF_MAX-SEG_REF_MIN))))</f>
        <v/>
      </c>
      <c r="BW508" s="3">
        <f>W_ET*BS508+W_CONS*BT508+W_SEG*BV508</f>
        <v/>
      </c>
      <c r="BX508" s="3">
        <f>IF(N(AB508)&gt;0,AB508,IF(AND(R508="profesional",SG_LEGAL_ON=1),GAR_LEGAL,0))</f>
        <v/>
      </c>
      <c r="BY508" s="3">
        <f>SG_GAR*MIN(1,BX508/SG_GAR_FULL)+SG_AMPL*(AC508="sí")+SG_KMC*(AF508="sí")+SG_REV*(N(AE508)&gt;0)+SG_DEV*MIN(1,N(AG508)/SG_DEV_FULL)+SG_HIST*(W508="sí")</f>
        <v/>
      </c>
      <c r="BZ508" s="3">
        <f>IFERROR(VLOOKUP(L508,CARR_PEN_TBL,2,0),0)</f>
        <v/>
      </c>
      <c r="CA508" s="3">
        <f>W_FIAB*BL508+W_PRECIO*BM508+W_KMEDAD*BQ508+W_ANUNCIO*BR508+W_USO*BW508+W_SEGURIDAD*BY508-BZ508</f>
        <v/>
      </c>
      <c r="CB508" s="4">
        <f>IF(N(I508)&gt;0,I508,IFERROR(ROUND(_xlfn.NUMBERVALUE(LEFT(G508,FIND(" ",G508&amp;" ")-1),".")*1000,0),99999))</f>
        <v/>
      </c>
      <c r="CC508" s="3">
        <f>IF(R508="profesional",0,IF(O508&lt;CUOTA_VALOR_MAX,IF(AU508&gt;ITP_TRAMO_ALTO,SUMIFS(CF_CUOTA,CF_MAS,ITP_TRAMO_ALTO,CF_CCMIN,"&lt;="&amp;CB508,CF_CCMAX,"&gt;="&amp;CB508),IF(AU508&gt;ITP_TRAMO_BAJO,SUMIFS(CF_CUOTA,CF_MAS,ITP_TRAMO_BAJO,CF_CCMIN,"&lt;="&amp;CB508,CF_CCMAX,"&gt;="&amp;CB508),O508*ITP_TIPO)),O508*ITP_TIPO))</f>
        <v/>
      </c>
      <c r="CD508" s="4">
        <f>IF(R508="profesional",N(AK508),0)</f>
        <v/>
      </c>
      <c r="CE508" s="3">
        <f>IF(AND(R508="profesional",ISNUMBER(AK508),AL508="sí"),0,TASA_DGT)</f>
        <v/>
      </c>
      <c r="CF508" s="3">
        <f>INFORME_DGT</f>
        <v/>
      </c>
      <c r="CG508" s="4">
        <f>O508+CD508+CC508+CE508+CF508</f>
        <v/>
      </c>
      <c r="CH508" s="4">
        <f>CG508+N(BU508)</f>
        <v/>
      </c>
      <c r="CI508" s="3">
        <f>IF(CG508&lt;=TOTAL_MAX,"sí",IF(CG508&lt;=TOTAL_MAX+MARGEN_NEG,"negociar","no"))</f>
        <v/>
      </c>
      <c r="CJ508" s="4">
        <f>IF(CI508&lt;&gt;"no",COUNTIFS($CI$2:$CI$662,"&lt;&gt;no",$CA$2:$CA$662,"&gt;"&amp;CA508)+COUNTIFS($CI$2:CI508,"&lt;&gt;no",$CA$2:CA508,CA508),"")</f>
        <v/>
      </c>
    </row>
    <row r="509">
      <c r="A509" s="2" t="inlineStr">
        <is>
          <t>cochesnet:71863788</t>
        </is>
      </c>
      <c r="B509" s="2" t="inlineStr">
        <is>
          <t>cochesnet</t>
        </is>
      </c>
      <c r="C509" s="2" t="inlineStr">
        <is>
          <t>https://www.coches.net/ford-focus-18-tdci-trend-5p-diesel-2007-en-valencia-71863788-covo.aspx</t>
        </is>
      </c>
      <c r="D509" s="2" t="inlineStr">
        <is>
          <t>FORD Focus 1.8 TDCi Trend</t>
        </is>
      </c>
      <c r="E509" s="2" t="inlineStr">
        <is>
          <t>Ford</t>
        </is>
      </c>
      <c r="F509" s="2" t="inlineStr">
        <is>
          <t>Ford Focus</t>
        </is>
      </c>
      <c r="G509" s="2" t="inlineStr">
        <is>
          <t>1.8 TDCi</t>
        </is>
      </c>
      <c r="H509" s="2" t="inlineStr">
        <is>
          <t>1.8 TDCi Trend</t>
        </is>
      </c>
      <c r="I509" s="2" t="n"/>
      <c r="J509" s="2" t="n"/>
      <c r="K509" s="2" t="inlineStr">
        <is>
          <t>diesel</t>
        </is>
      </c>
      <c r="L509" s="2" t="inlineStr">
        <is>
          <t>compacto</t>
        </is>
      </c>
      <c r="M509" s="2" t="n">
        <v>2007</v>
      </c>
      <c r="N509" s="2" t="n">
        <v>151000</v>
      </c>
      <c r="O509" s="2" t="n">
        <v>3750</v>
      </c>
      <c r="P509" s="2" t="inlineStr">
        <is>
          <t>manual</t>
        </is>
      </c>
      <c r="Q509" s="2" t="inlineStr">
        <is>
          <t>no</t>
        </is>
      </c>
      <c r="R509" s="2" t="inlineStr">
        <is>
          <t>profesional</t>
        </is>
      </c>
      <c r="S509" s="2" t="inlineStr">
        <is>
          <t>Beniparrell</t>
        </is>
      </c>
      <c r="T509" s="2" t="inlineStr">
        <is>
          <t>2026-10-29T17:13:19Z</t>
        </is>
      </c>
      <c r="U509" s="2" t="n">
        <v>13</v>
      </c>
      <c r="V509" s="2" t="n"/>
      <c r="W509" s="2" t="n"/>
      <c r="X509" s="2" t="n"/>
      <c r="Y509" s="2" t="n"/>
      <c r="Z509" s="2" t="inlineStr">
        <is>
          <t>sí</t>
        </is>
      </c>
      <c r="AA509" s="2" t="n"/>
      <c r="AB509" s="2" t="n">
        <v>12</v>
      </c>
      <c r="AC509" s="2" t="n"/>
      <c r="AD509" s="2" t="n"/>
      <c r="AE509" s="2" t="n"/>
      <c r="AF509" s="2" t="n"/>
      <c r="AG509" s="2" t="n"/>
      <c r="AH509" s="2" t="n">
        <v>3750</v>
      </c>
      <c r="AI509" s="2" t="n"/>
      <c r="AJ509" s="2" t="n"/>
      <c r="AK509" s="2" t="n"/>
      <c r="AL509" s="2" t="n"/>
      <c r="AM509" s="2" t="n">
        <v>10.2</v>
      </c>
      <c r="AN509" s="2" t="n">
        <v>3870</v>
      </c>
      <c r="AO509" s="2" t="n">
        <v>10</v>
      </c>
      <c r="AP509" s="2" t="inlineStr">
        <is>
          <t>modelo+año+km</t>
        </is>
      </c>
      <c r="AQ509" s="2" t="n"/>
      <c r="AR509" s="2" t="inlineStr">
        <is>
          <t>vendedor profesional: sin ITP (operación con IVA/REBU, confirmar en factura); gastos de gestión del vendedor no indicados: se suma la tasa DGT; preguntar el precio final; diésel: motor sin fuente de fiabilidad (fiabilidad limitada a neutra)</t>
        </is>
      </c>
      <c r="AS509" s="2" t="inlineStr">
        <is>
          <t>Este Focus destaca por su equipo de audio con reproductor de CD, RDS y mando en el volante, además de apertura del maletero a distancia. Incorpora climatización con filtro de partículas y carbón activo, faros antiniebla delanteros y cristales tintados en toda la cabina. Equipa también cierre centralizado con mando a distancia, elevalunas eléctricos delanteros y ordenador de viaje.GARANTÍA 12 meses (cobertura de 25 componentes del vehículo )cobertura de reparación hasta 2.000e en cualquier taller)</t>
        </is>
      </c>
      <c r="AT509" s="2" t="inlineStr">
        <is>
          <t>https://www.coches.net/ford-focus-18-tdci-trend-5p-diesel-2007-en-valencia-71863788-covo.aspx (window.__INITIAL_PROPS__.ad) /home/user/Alopecia/buscador-coches/raw/cochesnet/b2ca64512f7ef089.json</t>
        </is>
      </c>
      <c r="AU509" s="3">
        <f>MAX(ANIO_ACTUAL-M509,0)</f>
        <v/>
      </c>
      <c r="AV509" s="4">
        <f>N509/MAX(AU509,0.5)</f>
        <v/>
      </c>
      <c r="AW509" s="4">
        <f>F509</f>
        <v/>
      </c>
      <c r="AX509" s="3">
        <f>AW509&amp;"|"&amp;INT(M509/SEG_ANIO)*SEG_ANIO</f>
        <v/>
      </c>
      <c r="AY509" s="3">
        <f>AX509&amp;"|"&amp;INT(N509/SEG_KM)*SEG_KM</f>
        <v/>
      </c>
      <c r="AZ509" s="4">
        <f>COUNTIF($AW$2:$AW$662,AW509)</f>
        <v/>
      </c>
      <c r="BA509" s="4">
        <f>COUNTIF($AX$2:$AX$662,AX509)</f>
        <v/>
      </c>
      <c r="BB509" s="4">
        <f>COUNTIF($AY$2:$AY$662,AY509)</f>
        <v/>
      </c>
      <c r="BC509" s="3">
        <f t="array" ref="BC509">IF(N(AO509)&gt;=MIN_N,AN509,IF(BB509&gt;=MIN_N,MEDIAN(IF($AY$2:$AY$662=AY509,$O$2:$O$662)),IF(BA509&gt;=MIN_N,MEDIAN(IF($AX$2:$AX$662=AX509,$O$2:$O$662)),MEDIAN(IF($AW$2:$AW$662=AW509,$O$2:$O$662)))))</f>
        <v/>
      </c>
      <c r="BD509" s="3">
        <f>IF(N(AO509)&gt;=MIN_N,"mercado "&amp;AP509,IF(BB509&gt;=MIN_N,"modelo+año+km",IF(BA509&gt;=MIN_N,"modelo+año","modelo")))</f>
        <v/>
      </c>
      <c r="BE509" s="4">
        <f>(BC509-O509)/BC509</f>
        <v/>
      </c>
      <c r="BF509" s="3">
        <f>IF(OR(K509="hibrido",K509="glp"),"ECO",IF(K509="electrico","CERO",IF(K509="gasolina",IF(M509&gt;=GAS_C,"C",IF(M509&gt;=GAS_B,"B","A")),IF(K509="diesel",IF(M509&gt;=DIE_C,"C",IF(M509&gt;=DIE_B,"B","A")),""))))</f>
        <v/>
      </c>
      <c r="BG509" s="3">
        <f>IFERROR(VLOOKUP(F509,MOD_TBL,11,0),IFERROR(VLOOKUP(E509,OCU_TBL,2,0),NEUTRO))</f>
        <v/>
      </c>
      <c r="BH509" s="3">
        <f>SUMIFS(MOT_AJUSTE,MOT_MOTOR,G509,MOT_MARCA,E509,MOT_DESDE,"&lt;="&amp;M509,MOT_HASTA,"&gt;="&amp;M509)+SUMIFS(MOT_AJUSTE,MOT_MOTOR,G509,MOT_MARCA,"(todas)",MOT_DESDE,"&lt;="&amp;M509,MOT_HASTA,"&gt;="&amp;M509)</f>
        <v/>
      </c>
      <c r="BI509" s="3">
        <f>SUMIFS(COMB_AJUSTE,COMB_COMB,K509)</f>
        <v/>
      </c>
      <c r="BJ509" s="3">
        <f>COUNTIFS(MOT_MOTOR,G509,MOT_MARCA,E509,MOT_DESDE,"&lt;="&amp;M509,MOT_HASTA,"&gt;="&amp;M509)+COUNTIFS(MOT_MOTOR,G509,MOT_MARCA,"(todas)",MOT_DESDE,"&lt;="&amp;M509,MOT_HASTA,"&gt;="&amp;M509)</f>
        <v/>
      </c>
      <c r="BK509" s="3">
        <f>IF(AND(K509="diesel",BJ509=0),MIN(BG509,NEUTRO),BG509)</f>
        <v/>
      </c>
      <c r="BL509" s="4">
        <f>MAX(0,MIN(100,BK509+BH509+BI509))</f>
        <v/>
      </c>
      <c r="BM509" s="3">
        <f>MAX(0,MIN(100,50+BE509*PRECIO_PEND))</f>
        <v/>
      </c>
      <c r="BN509" s="3">
        <f>MAX(0,100*(1-N509/KM_MAX))</f>
        <v/>
      </c>
      <c r="BO509" s="3">
        <f>IF(AV509&lt;KMA_SOSP,IF(AA509="sí",100,KMA_PEN),IF(AV509&lt;=KMA_IDEAL_MAX,100,MAX(0,100*(KMA_CERO-AV509)/(KMA_CERO-KMA_IDEAL_MAX))))</f>
        <v/>
      </c>
      <c r="BP509" s="3">
        <f>MAX(0,MIN(100,100*(M509-ANIO_MIN)/(ANIO_ACTUAL-ANIO_MIN)))</f>
        <v/>
      </c>
      <c r="BQ509" s="3">
        <f>W_KMT*BN509+W_KMA*BO509+W_EDAD*BP509</f>
        <v/>
      </c>
      <c r="BR509" s="3">
        <f>P_ITV*(V509="sí")+P_LIBRO*(W509="sí")+P_CORREA*(X509="sí")+P_PROP*(Y509=1)+P_GAR*(Z509="sí")+P_FOTOS*MIN(1,N(U509)/FOTOS_OBJ)</f>
        <v/>
      </c>
      <c r="BS509" s="3">
        <f>IFERROR(VLOOKUP(BF509,ETQ_TBL,2,0),NEUTRO)</f>
        <v/>
      </c>
      <c r="BT509" s="3">
        <f>NEUTRO</f>
        <v/>
      </c>
      <c r="BU509" s="3">
        <f>IFERROR(VLOOKUP(L509,SEGURO_TBL,3,0),"")</f>
        <v/>
      </c>
      <c r="BV509" s="3">
        <f>IF(BU509="",NEUTRO,MAX(0,MIN(100,100*(SEG_REF_MAX-BU509)/(SEG_REF_MAX-SEG_REF_MIN))))</f>
        <v/>
      </c>
      <c r="BW509" s="3">
        <f>W_ET*BS509+W_CONS*BT509+W_SEG*BV509</f>
        <v/>
      </c>
      <c r="BX509" s="3">
        <f>IF(N(AB509)&gt;0,AB509,IF(AND(R509="profesional",SG_LEGAL_ON=1),GAR_LEGAL,0))</f>
        <v/>
      </c>
      <c r="BY509" s="3">
        <f>SG_GAR*MIN(1,BX509/SG_GAR_FULL)+SG_AMPL*(AC509="sí")+SG_KMC*(AF509="sí")+SG_REV*(N(AE509)&gt;0)+SG_DEV*MIN(1,N(AG509)/SG_DEV_FULL)+SG_HIST*(W509="sí")</f>
        <v/>
      </c>
      <c r="BZ509" s="3">
        <f>IFERROR(VLOOKUP(L509,CARR_PEN_TBL,2,0),0)</f>
        <v/>
      </c>
      <c r="CA509" s="3">
        <f>W_FIAB*BL509+W_PRECIO*BM509+W_KMEDAD*BQ509+W_ANUNCIO*BR509+W_USO*BW509+W_SEGURIDAD*BY509-BZ509</f>
        <v/>
      </c>
      <c r="CB509" s="4">
        <f>IF(N(I509)&gt;0,I509,IFERROR(ROUND(_xlfn.NUMBERVALUE(LEFT(G509,FIND(" ",G509&amp;" ")-1),".")*1000,0),99999))</f>
        <v/>
      </c>
      <c r="CC509" s="3">
        <f>IF(R509="profesional",0,IF(O509&lt;CUOTA_VALOR_MAX,IF(AU509&gt;ITP_TRAMO_ALTO,SUMIFS(CF_CUOTA,CF_MAS,ITP_TRAMO_ALTO,CF_CCMIN,"&lt;="&amp;CB509,CF_CCMAX,"&gt;="&amp;CB509),IF(AU509&gt;ITP_TRAMO_BAJO,SUMIFS(CF_CUOTA,CF_MAS,ITP_TRAMO_BAJO,CF_CCMIN,"&lt;="&amp;CB509,CF_CCMAX,"&gt;="&amp;CB509),O509*ITP_TIPO)),O509*ITP_TIPO))</f>
        <v/>
      </c>
      <c r="CD509" s="4">
        <f>IF(R509="profesional",N(AK509),0)</f>
        <v/>
      </c>
      <c r="CE509" s="3">
        <f>IF(AND(R509="profesional",ISNUMBER(AK509),AL509="sí"),0,TASA_DGT)</f>
        <v/>
      </c>
      <c r="CF509" s="3">
        <f>INFORME_DGT</f>
        <v/>
      </c>
      <c r="CG509" s="4">
        <f>O509+CD509+CC509+CE509+CF509</f>
        <v/>
      </c>
      <c r="CH509" s="4">
        <f>CG509+N(BU509)</f>
        <v/>
      </c>
      <c r="CI509" s="3">
        <f>IF(CG509&lt;=TOTAL_MAX,"sí",IF(CG509&lt;=TOTAL_MAX+MARGEN_NEG,"negociar","no"))</f>
        <v/>
      </c>
      <c r="CJ509" s="4">
        <f>IF(CI509&lt;&gt;"no",COUNTIFS($CI$2:$CI$662,"&lt;&gt;no",$CA$2:$CA$662,"&gt;"&amp;CA509)+COUNTIFS($CI$2:CI509,"&lt;&gt;no",$CA$2:CA509,CA509),"")</f>
        <v/>
      </c>
    </row>
    <row r="510">
      <c r="A510" s="2" t="inlineStr">
        <is>
          <t>cochesnet:71461561</t>
        </is>
      </c>
      <c r="B510" s="2" t="inlineStr">
        <is>
          <t>cochesnet</t>
        </is>
      </c>
      <c r="C510" s="2" t="inlineStr">
        <is>
          <t>https://www.coches.net/ford-ka-gasolina-2006-en-valencia-71461561-covo.aspx</t>
        </is>
      </c>
      <c r="D510" s="2" t="inlineStr">
        <is>
          <t>FORD KA 1.3</t>
        </is>
      </c>
      <c r="E510" s="2" t="inlineStr">
        <is>
          <t>Ford</t>
        </is>
      </c>
      <c r="F510" s="2" t="inlineStr">
        <is>
          <t>Ford Ka</t>
        </is>
      </c>
      <c r="G510" s="2" t="inlineStr">
        <is>
          <t>1.3</t>
        </is>
      </c>
      <c r="H510" s="2" t="inlineStr">
        <is>
          <t>1.3</t>
        </is>
      </c>
      <c r="I510" s="2" t="n"/>
      <c r="J510" s="2" t="n"/>
      <c r="K510" s="2" t="inlineStr">
        <is>
          <t>gasolina</t>
        </is>
      </c>
      <c r="L510" s="2" t="inlineStr">
        <is>
          <t>utilitario</t>
        </is>
      </c>
      <c r="M510" s="2" t="n">
        <v>2006</v>
      </c>
      <c r="N510" s="2" t="n">
        <v>103000</v>
      </c>
      <c r="O510" s="2" t="n">
        <v>2500</v>
      </c>
      <c r="P510" s="2" t="inlineStr">
        <is>
          <t>manual</t>
        </is>
      </c>
      <c r="Q510" s="2" t="inlineStr">
        <is>
          <t>no</t>
        </is>
      </c>
      <c r="R510" s="2" t="inlineStr">
        <is>
          <t>particular</t>
        </is>
      </c>
      <c r="S510" s="2" t="inlineStr">
        <is>
          <t>Sagunto (Sagunt)</t>
        </is>
      </c>
      <c r="T510" s="2" t="inlineStr">
        <is>
          <t>2026-09-07T16:29:20Z</t>
        </is>
      </c>
      <c r="U510" s="2" t="n">
        <v>7</v>
      </c>
      <c r="V510" s="2" t="n"/>
      <c r="W510" s="2" t="n"/>
      <c r="X510" s="2" t="n"/>
      <c r="Y510" s="2" t="n"/>
      <c r="Z510" s="2" t="inlineStr">
        <is>
          <t>no</t>
        </is>
      </c>
      <c r="AA510" s="2" t="n"/>
      <c r="AB510" s="2" t="n"/>
      <c r="AC510" s="2" t="n"/>
      <c r="AD510" s="2" t="n"/>
      <c r="AE510" s="2" t="n"/>
      <c r="AF510" s="2" t="n"/>
      <c r="AG510" s="2" t="n"/>
      <c r="AH510" s="2" t="n">
        <v>2500</v>
      </c>
      <c r="AI510" s="2" t="n"/>
      <c r="AJ510" s="2" t="n"/>
      <c r="AK510" s="2" t="n"/>
      <c r="AL510" s="2" t="n"/>
      <c r="AM510" s="2" t="n"/>
      <c r="AN510" s="2" t="n">
        <v>1845</v>
      </c>
      <c r="AO510" s="2" t="n">
        <v>4</v>
      </c>
      <c r="AP510" s="2" t="inlineStr">
        <is>
          <t>modelo+año</t>
        </is>
      </c>
      <c r="AQ510" s="2" t="n"/>
      <c r="AR510" s="2" t="inlineStr">
        <is>
          <t>cuota fija ITP: &gt;12 años, hasta 1.500 cc; distancia no verificable (el anuncio solo indica la provincia): confirmar que está a &lt;= 70 km; fiabilidad del modelo PENDIENTE de fuente (puntuación neutra)</t>
        </is>
      </c>
      <c r="AS510" s="2" t="inlineStr">
        <is>
          <t xml:space="preserve">Poco uso. Guardado garaje. Revision completa en 2025. </t>
        </is>
      </c>
      <c r="AT510" s="2" t="inlineStr">
        <is>
          <t>https://www.coches.net/ford-ka-gasolina-2006-en-valencia-71461561-covo.aspx (window.__INITIAL_PROPS__.ad) /home/user/Alopecia/buscador-coches/raw/cochesnet/d2700b7fbe637f76.json</t>
        </is>
      </c>
      <c r="AU510" s="3">
        <f>MAX(ANIO_ACTUAL-M510,0)</f>
        <v/>
      </c>
      <c r="AV510" s="4">
        <f>N510/MAX(AU510,0.5)</f>
        <v/>
      </c>
      <c r="AW510" s="4">
        <f>F510</f>
        <v/>
      </c>
      <c r="AX510" s="3">
        <f>AW510&amp;"|"&amp;INT(M510/SEG_ANIO)*SEG_ANIO</f>
        <v/>
      </c>
      <c r="AY510" s="3">
        <f>AX510&amp;"|"&amp;INT(N510/SEG_KM)*SEG_KM</f>
        <v/>
      </c>
      <c r="AZ510" s="4">
        <f>COUNTIF($AW$2:$AW$662,AW510)</f>
        <v/>
      </c>
      <c r="BA510" s="4">
        <f>COUNTIF($AX$2:$AX$662,AX510)</f>
        <v/>
      </c>
      <c r="BB510" s="4">
        <f>COUNTIF($AY$2:$AY$662,AY510)</f>
        <v/>
      </c>
      <c r="BC510" s="3">
        <f t="array" ref="BC510">IF(N(AO510)&gt;=MIN_N,AN510,IF(BB510&gt;=MIN_N,MEDIAN(IF($AY$2:$AY$662=AY510,$O$2:$O$662)),IF(BA510&gt;=MIN_N,MEDIAN(IF($AX$2:$AX$662=AX510,$O$2:$O$662)),MEDIAN(IF($AW$2:$AW$662=AW510,$O$2:$O$662)))))</f>
        <v/>
      </c>
      <c r="BD510" s="3">
        <f>IF(N(AO510)&gt;=MIN_N,"mercado "&amp;AP510,IF(BB510&gt;=MIN_N,"modelo+año+km",IF(BA510&gt;=MIN_N,"modelo+año","modelo")))</f>
        <v/>
      </c>
      <c r="BE510" s="4">
        <f>(BC510-O510)/BC510</f>
        <v/>
      </c>
      <c r="BF510" s="3">
        <f>IF(OR(K510="hibrido",K510="glp"),"ECO",IF(K510="electrico","CERO",IF(K510="gasolina",IF(M510&gt;=GAS_C,"C",IF(M510&gt;=GAS_B,"B","A")),IF(K510="diesel",IF(M510&gt;=DIE_C,"C",IF(M510&gt;=DIE_B,"B","A")),""))))</f>
        <v/>
      </c>
      <c r="BG510" s="3">
        <f>IFERROR(VLOOKUP(F510,MOD_TBL,11,0),IFERROR(VLOOKUP(E510,OCU_TBL,2,0),NEUTRO))</f>
        <v/>
      </c>
      <c r="BH510" s="3">
        <f>SUMIFS(MOT_AJUSTE,MOT_MOTOR,G510,MOT_MARCA,E510,MOT_DESDE,"&lt;="&amp;M510,MOT_HASTA,"&gt;="&amp;M510)+SUMIFS(MOT_AJUSTE,MOT_MOTOR,G510,MOT_MARCA,"(todas)",MOT_DESDE,"&lt;="&amp;M510,MOT_HASTA,"&gt;="&amp;M510)</f>
        <v/>
      </c>
      <c r="BI510" s="3">
        <f>SUMIFS(COMB_AJUSTE,COMB_COMB,K510)</f>
        <v/>
      </c>
      <c r="BJ510" s="3">
        <f>COUNTIFS(MOT_MOTOR,G510,MOT_MARCA,E510,MOT_DESDE,"&lt;="&amp;M510,MOT_HASTA,"&gt;="&amp;M510)+COUNTIFS(MOT_MOTOR,G510,MOT_MARCA,"(todas)",MOT_DESDE,"&lt;="&amp;M510,MOT_HASTA,"&gt;="&amp;M510)</f>
        <v/>
      </c>
      <c r="BK510" s="3">
        <f>IF(AND(K510="diesel",BJ510=0),MIN(BG510,NEUTRO),BG510)</f>
        <v/>
      </c>
      <c r="BL510" s="4">
        <f>MAX(0,MIN(100,BK510+BH510+BI510))</f>
        <v/>
      </c>
      <c r="BM510" s="3">
        <f>MAX(0,MIN(100,50+BE510*PRECIO_PEND))</f>
        <v/>
      </c>
      <c r="BN510" s="3">
        <f>MAX(0,100*(1-N510/KM_MAX))</f>
        <v/>
      </c>
      <c r="BO510" s="3">
        <f>IF(AV510&lt;KMA_SOSP,IF(AA510="sí",100,KMA_PEN),IF(AV510&lt;=KMA_IDEAL_MAX,100,MAX(0,100*(KMA_CERO-AV510)/(KMA_CERO-KMA_IDEAL_MAX))))</f>
        <v/>
      </c>
      <c r="BP510" s="3">
        <f>MAX(0,MIN(100,100*(M510-ANIO_MIN)/(ANIO_ACTUAL-ANIO_MIN)))</f>
        <v/>
      </c>
      <c r="BQ510" s="3">
        <f>W_KMT*BN510+W_KMA*BO510+W_EDAD*BP510</f>
        <v/>
      </c>
      <c r="BR510" s="3">
        <f>P_ITV*(V510="sí")+P_LIBRO*(W510="sí")+P_CORREA*(X510="sí")+P_PROP*(Y510=1)+P_GAR*(Z510="sí")+P_FOTOS*MIN(1,N(U510)/FOTOS_OBJ)</f>
        <v/>
      </c>
      <c r="BS510" s="3">
        <f>IFERROR(VLOOKUP(BF510,ETQ_TBL,2,0),NEUTRO)</f>
        <v/>
      </c>
      <c r="BT510" s="3">
        <f>NEUTRO</f>
        <v/>
      </c>
      <c r="BU510" s="3">
        <f>IFERROR(VLOOKUP(L510,SEGURO_TBL,3,0),"")</f>
        <v/>
      </c>
      <c r="BV510" s="3">
        <f>IF(BU510="",NEUTRO,MAX(0,MIN(100,100*(SEG_REF_MAX-BU510)/(SEG_REF_MAX-SEG_REF_MIN))))</f>
        <v/>
      </c>
      <c r="BW510" s="3">
        <f>W_ET*BS510+W_CONS*BT510+W_SEG*BV510</f>
        <v/>
      </c>
      <c r="BX510" s="3">
        <f>IF(N(AB510)&gt;0,AB510,IF(AND(R510="profesional",SG_LEGAL_ON=1),GAR_LEGAL,0))</f>
        <v/>
      </c>
      <c r="BY510" s="3">
        <f>SG_GAR*MIN(1,BX510/SG_GAR_FULL)+SG_AMPL*(AC510="sí")+SG_KMC*(AF510="sí")+SG_REV*(N(AE510)&gt;0)+SG_DEV*MIN(1,N(AG510)/SG_DEV_FULL)+SG_HIST*(W510="sí")</f>
        <v/>
      </c>
      <c r="BZ510" s="3">
        <f>IFERROR(VLOOKUP(L510,CARR_PEN_TBL,2,0),0)</f>
        <v/>
      </c>
      <c r="CA510" s="3">
        <f>W_FIAB*BL510+W_PRECIO*BM510+W_KMEDAD*BQ510+W_ANUNCIO*BR510+W_USO*BW510+W_SEGURIDAD*BY510-BZ510</f>
        <v/>
      </c>
      <c r="CB510" s="4">
        <f>IF(N(I510)&gt;0,I510,IFERROR(ROUND(_xlfn.NUMBERVALUE(LEFT(G510,FIND(" ",G510&amp;" ")-1),".")*1000,0),99999))</f>
        <v/>
      </c>
      <c r="CC510" s="3">
        <f>IF(R510="profesional",0,IF(O510&lt;CUOTA_VALOR_MAX,IF(AU510&gt;ITP_TRAMO_ALTO,SUMIFS(CF_CUOTA,CF_MAS,ITP_TRAMO_ALTO,CF_CCMIN,"&lt;="&amp;CB510,CF_CCMAX,"&gt;="&amp;CB510),IF(AU510&gt;ITP_TRAMO_BAJO,SUMIFS(CF_CUOTA,CF_MAS,ITP_TRAMO_BAJO,CF_CCMIN,"&lt;="&amp;CB510,CF_CCMAX,"&gt;="&amp;CB510),O510*ITP_TIPO)),O510*ITP_TIPO))</f>
        <v/>
      </c>
      <c r="CD510" s="4">
        <f>IF(R510="profesional",N(AK510),0)</f>
        <v/>
      </c>
      <c r="CE510" s="3">
        <f>IF(AND(R510="profesional",ISNUMBER(AK510),AL510="sí"),0,TASA_DGT)</f>
        <v/>
      </c>
      <c r="CF510" s="3">
        <f>INFORME_DGT</f>
        <v/>
      </c>
      <c r="CG510" s="4">
        <f>O510+CD510+CC510+CE510+CF510</f>
        <v/>
      </c>
      <c r="CH510" s="4">
        <f>CG510+N(BU510)</f>
        <v/>
      </c>
      <c r="CI510" s="3">
        <f>IF(CG510&lt;=TOTAL_MAX,"sí",IF(CG510&lt;=TOTAL_MAX+MARGEN_NEG,"negociar","no"))</f>
        <v/>
      </c>
      <c r="CJ510" s="4">
        <f>IF(CI510&lt;&gt;"no",COUNTIFS($CI$2:$CI$662,"&lt;&gt;no",$CA$2:$CA$662,"&gt;"&amp;CA510)+COUNTIFS($CI$2:CI510,"&lt;&gt;no",$CA$2:CA510,CA510),"")</f>
        <v/>
      </c>
    </row>
    <row r="511">
      <c r="A511" s="2" t="inlineStr">
        <is>
          <t>cochesnet:71253044</t>
        </is>
      </c>
      <c r="B511" s="2" t="inlineStr">
        <is>
          <t>cochesnet</t>
        </is>
      </c>
      <c r="C511" s="2" t="inlineStr">
        <is>
          <t>https://www.coches.net/ford-ka-16i-sportka-3p-gasolina-2005-en-valencia-71253044-covo.aspx</t>
        </is>
      </c>
      <c r="D511" s="2" t="inlineStr">
        <is>
          <t>FORD Ka 1.6i SportKa</t>
        </is>
      </c>
      <c r="E511" s="2" t="inlineStr">
        <is>
          <t>Ford</t>
        </is>
      </c>
      <c r="F511" s="2" t="inlineStr">
        <is>
          <t>Ford Ka</t>
        </is>
      </c>
      <c r="G511" s="2" t="inlineStr">
        <is>
          <t>1.6</t>
        </is>
      </c>
      <c r="H511" s="2" t="inlineStr">
        <is>
          <t>1.6i SportKa</t>
        </is>
      </c>
      <c r="I511" s="2" t="n"/>
      <c r="J511" s="2" t="n"/>
      <c r="K511" s="2" t="inlineStr">
        <is>
          <t>gasolina</t>
        </is>
      </c>
      <c r="L511" s="2" t="inlineStr">
        <is>
          <t>utilitario</t>
        </is>
      </c>
      <c r="M511" s="2" t="n">
        <v>2007</v>
      </c>
      <c r="N511" s="2" t="n">
        <v>80000</v>
      </c>
      <c r="O511" s="2" t="n">
        <v>2990</v>
      </c>
      <c r="P511" s="2" t="inlineStr">
        <is>
          <t>manual</t>
        </is>
      </c>
      <c r="Q511" s="2" t="inlineStr">
        <is>
          <t>no</t>
        </is>
      </c>
      <c r="R511" s="2" t="inlineStr">
        <is>
          <t>profesional</t>
        </is>
      </c>
      <c r="S511" s="2" t="inlineStr">
        <is>
          <t>Foios</t>
        </is>
      </c>
      <c r="T511" s="2" t="inlineStr">
        <is>
          <t>2026-08-07T19:43:11Z</t>
        </is>
      </c>
      <c r="U511" s="2" t="n">
        <v>10</v>
      </c>
      <c r="V511" s="2" t="n"/>
      <c r="W511" s="2" t="n"/>
      <c r="X511" s="2" t="n"/>
      <c r="Y511" s="2" t="n"/>
      <c r="Z511" s="2" t="inlineStr">
        <is>
          <t>sí</t>
        </is>
      </c>
      <c r="AA511" s="2" t="n"/>
      <c r="AB511" s="2" t="n">
        <v>12</v>
      </c>
      <c r="AC511" s="2" t="n"/>
      <c r="AD511" s="2" t="n"/>
      <c r="AE511" s="2" t="n"/>
      <c r="AF511" s="2" t="n"/>
      <c r="AG511" s="2" t="n"/>
      <c r="AH511" s="2" t="n">
        <v>2990</v>
      </c>
      <c r="AI511" s="2" t="n">
        <v>2990</v>
      </c>
      <c r="AJ511" s="2" t="n"/>
      <c r="AK511" s="2" t="n"/>
      <c r="AL511" s="2" t="n"/>
      <c r="AM511" s="2" t="n">
        <v>7.7</v>
      </c>
      <c r="AN511" s="2" t="n"/>
      <c r="AO511" s="2" t="n"/>
      <c r="AP511" s="2" t="n"/>
      <c r="AQ511" s="2" t="n"/>
      <c r="AR511" s="2" t="inlineStr">
        <is>
          <t>vendedor profesional: sin ITP (operación con IVA/REBU, confirmar en factura); gastos de gestión del vendedor no indicados: se suma la tasa DGT; preguntar el precio final; fiabilidad del modelo PENDIENTE de fuente (puntuación neutra)</t>
        </is>
      </c>
      <c r="AS511" s="2" t="inlineStr">
        <is>
          <t>Automóviles Jabe Precio solamente hasta final de mes Quien primero venga primero se lo lleva ¿Cambio de nombre incluido</t>
        </is>
      </c>
      <c r="AT511" s="2" t="inlineStr">
        <is>
          <t>https://www.coches.net/ford-ka-16i-sportka-3p-gasolina-2005-en-valencia-71253044-covo.aspx (window.__INITIAL_PROPS__.ad) /home/user/Alopecia/buscador-coches/raw/cochesnet/fb59e16675e2ae2f.json</t>
        </is>
      </c>
      <c r="AU511" s="3">
        <f>MAX(ANIO_ACTUAL-M511,0)</f>
        <v/>
      </c>
      <c r="AV511" s="4">
        <f>N511/MAX(AU511,0.5)</f>
        <v/>
      </c>
      <c r="AW511" s="4">
        <f>F511</f>
        <v/>
      </c>
      <c r="AX511" s="3">
        <f>AW511&amp;"|"&amp;INT(M511/SEG_ANIO)*SEG_ANIO</f>
        <v/>
      </c>
      <c r="AY511" s="3">
        <f>AX511&amp;"|"&amp;INT(N511/SEG_KM)*SEG_KM</f>
        <v/>
      </c>
      <c r="AZ511" s="4">
        <f>COUNTIF($AW$2:$AW$662,AW511)</f>
        <v/>
      </c>
      <c r="BA511" s="4">
        <f>COUNTIF($AX$2:$AX$662,AX511)</f>
        <v/>
      </c>
      <c r="BB511" s="4">
        <f>COUNTIF($AY$2:$AY$662,AY511)</f>
        <v/>
      </c>
      <c r="BC511" s="3">
        <f t="array" ref="BC511">IF(N(AO511)&gt;=MIN_N,AN511,IF(BB511&gt;=MIN_N,MEDIAN(IF($AY$2:$AY$662=AY511,$O$2:$O$662)),IF(BA511&gt;=MIN_N,MEDIAN(IF($AX$2:$AX$662=AX511,$O$2:$O$662)),MEDIAN(IF($AW$2:$AW$662=AW511,$O$2:$O$662)))))</f>
        <v/>
      </c>
      <c r="BD511" s="3">
        <f>IF(N(AO511)&gt;=MIN_N,"mercado "&amp;AP511,IF(BB511&gt;=MIN_N,"modelo+año+km",IF(BA511&gt;=MIN_N,"modelo+año","modelo")))</f>
        <v/>
      </c>
      <c r="BE511" s="4">
        <f>(BC511-O511)/BC511</f>
        <v/>
      </c>
      <c r="BF511" s="3">
        <f>IF(OR(K511="hibrido",K511="glp"),"ECO",IF(K511="electrico","CERO",IF(K511="gasolina",IF(M511&gt;=GAS_C,"C",IF(M511&gt;=GAS_B,"B","A")),IF(K511="diesel",IF(M511&gt;=DIE_C,"C",IF(M511&gt;=DIE_B,"B","A")),""))))</f>
        <v/>
      </c>
      <c r="BG511" s="3">
        <f>IFERROR(VLOOKUP(F511,MOD_TBL,11,0),IFERROR(VLOOKUP(E511,OCU_TBL,2,0),NEUTRO))</f>
        <v/>
      </c>
      <c r="BH511" s="3">
        <f>SUMIFS(MOT_AJUSTE,MOT_MOTOR,G511,MOT_MARCA,E511,MOT_DESDE,"&lt;="&amp;M511,MOT_HASTA,"&gt;="&amp;M511)+SUMIFS(MOT_AJUSTE,MOT_MOTOR,G511,MOT_MARCA,"(todas)",MOT_DESDE,"&lt;="&amp;M511,MOT_HASTA,"&gt;="&amp;M511)</f>
        <v/>
      </c>
      <c r="BI511" s="3">
        <f>SUMIFS(COMB_AJUSTE,COMB_COMB,K511)</f>
        <v/>
      </c>
      <c r="BJ511" s="3">
        <f>COUNTIFS(MOT_MOTOR,G511,MOT_MARCA,E511,MOT_DESDE,"&lt;="&amp;M511,MOT_HASTA,"&gt;="&amp;M511)+COUNTIFS(MOT_MOTOR,G511,MOT_MARCA,"(todas)",MOT_DESDE,"&lt;="&amp;M511,MOT_HASTA,"&gt;="&amp;M511)</f>
        <v/>
      </c>
      <c r="BK511" s="3">
        <f>IF(AND(K511="diesel",BJ511=0),MIN(BG511,NEUTRO),BG511)</f>
        <v/>
      </c>
      <c r="BL511" s="4">
        <f>MAX(0,MIN(100,BK511+BH511+BI511))</f>
        <v/>
      </c>
      <c r="BM511" s="3">
        <f>MAX(0,MIN(100,50+BE511*PRECIO_PEND))</f>
        <v/>
      </c>
      <c r="BN511" s="3">
        <f>MAX(0,100*(1-N511/KM_MAX))</f>
        <v/>
      </c>
      <c r="BO511" s="3">
        <f>IF(AV511&lt;KMA_SOSP,IF(AA511="sí",100,KMA_PEN),IF(AV511&lt;=KMA_IDEAL_MAX,100,MAX(0,100*(KMA_CERO-AV511)/(KMA_CERO-KMA_IDEAL_MAX))))</f>
        <v/>
      </c>
      <c r="BP511" s="3">
        <f>MAX(0,MIN(100,100*(M511-ANIO_MIN)/(ANIO_ACTUAL-ANIO_MIN)))</f>
        <v/>
      </c>
      <c r="BQ511" s="3">
        <f>W_KMT*BN511+W_KMA*BO511+W_EDAD*BP511</f>
        <v/>
      </c>
      <c r="BR511" s="3">
        <f>P_ITV*(V511="sí")+P_LIBRO*(W511="sí")+P_CORREA*(X511="sí")+P_PROP*(Y511=1)+P_GAR*(Z511="sí")+P_FOTOS*MIN(1,N(U511)/FOTOS_OBJ)</f>
        <v/>
      </c>
      <c r="BS511" s="3">
        <f>IFERROR(VLOOKUP(BF511,ETQ_TBL,2,0),NEUTRO)</f>
        <v/>
      </c>
      <c r="BT511" s="3">
        <f>NEUTRO</f>
        <v/>
      </c>
      <c r="BU511" s="3">
        <f>IFERROR(VLOOKUP(L511,SEGURO_TBL,3,0),"")</f>
        <v/>
      </c>
      <c r="BV511" s="3">
        <f>IF(BU511="",NEUTRO,MAX(0,MIN(100,100*(SEG_REF_MAX-BU511)/(SEG_REF_MAX-SEG_REF_MIN))))</f>
        <v/>
      </c>
      <c r="BW511" s="3">
        <f>W_ET*BS511+W_CONS*BT511+W_SEG*BV511</f>
        <v/>
      </c>
      <c r="BX511" s="3">
        <f>IF(N(AB511)&gt;0,AB511,IF(AND(R511="profesional",SG_LEGAL_ON=1),GAR_LEGAL,0))</f>
        <v/>
      </c>
      <c r="BY511" s="3">
        <f>SG_GAR*MIN(1,BX511/SG_GAR_FULL)+SG_AMPL*(AC511="sí")+SG_KMC*(AF511="sí")+SG_REV*(N(AE511)&gt;0)+SG_DEV*MIN(1,N(AG511)/SG_DEV_FULL)+SG_HIST*(W511="sí")</f>
        <v/>
      </c>
      <c r="BZ511" s="3">
        <f>IFERROR(VLOOKUP(L511,CARR_PEN_TBL,2,0),0)</f>
        <v/>
      </c>
      <c r="CA511" s="3">
        <f>W_FIAB*BL511+W_PRECIO*BM511+W_KMEDAD*BQ511+W_ANUNCIO*BR511+W_USO*BW511+W_SEGURIDAD*BY511-BZ511</f>
        <v/>
      </c>
      <c r="CB511" s="4">
        <f>IF(N(I511)&gt;0,I511,IFERROR(ROUND(_xlfn.NUMBERVALUE(LEFT(G511,FIND(" ",G511&amp;" ")-1),".")*1000,0),99999))</f>
        <v/>
      </c>
      <c r="CC511" s="3">
        <f>IF(R511="profesional",0,IF(O511&lt;CUOTA_VALOR_MAX,IF(AU511&gt;ITP_TRAMO_ALTO,SUMIFS(CF_CUOTA,CF_MAS,ITP_TRAMO_ALTO,CF_CCMIN,"&lt;="&amp;CB511,CF_CCMAX,"&gt;="&amp;CB511),IF(AU511&gt;ITP_TRAMO_BAJO,SUMIFS(CF_CUOTA,CF_MAS,ITP_TRAMO_BAJO,CF_CCMIN,"&lt;="&amp;CB511,CF_CCMAX,"&gt;="&amp;CB511),O511*ITP_TIPO)),O511*ITP_TIPO))</f>
        <v/>
      </c>
      <c r="CD511" s="4">
        <f>IF(R511="profesional",N(AK511),0)</f>
        <v/>
      </c>
      <c r="CE511" s="3">
        <f>IF(AND(R511="profesional",ISNUMBER(AK511),AL511="sí"),0,TASA_DGT)</f>
        <v/>
      </c>
      <c r="CF511" s="3">
        <f>INFORME_DGT</f>
        <v/>
      </c>
      <c r="CG511" s="4">
        <f>O511+CD511+CC511+CE511+CF511</f>
        <v/>
      </c>
      <c r="CH511" s="4">
        <f>CG511+N(BU511)</f>
        <v/>
      </c>
      <c r="CI511" s="3">
        <f>IF(CG511&lt;=TOTAL_MAX,"sí",IF(CG511&lt;=TOTAL_MAX+MARGEN_NEG,"negociar","no"))</f>
        <v/>
      </c>
      <c r="CJ511" s="4">
        <f>IF(CI511&lt;&gt;"no",COUNTIFS($CI$2:$CI$662,"&lt;&gt;no",$CA$2:$CA$662,"&gt;"&amp;CA511)+COUNTIFS($CI$2:CI511,"&lt;&gt;no",$CA$2:CA511,CA511),"")</f>
        <v/>
      </c>
    </row>
    <row r="512">
      <c r="A512" s="2" t="inlineStr">
        <is>
          <t>cochesnet:71371893</t>
        </is>
      </c>
      <c r="B512" s="2" t="inlineStr">
        <is>
          <t>cochesnet</t>
        </is>
      </c>
      <c r="C512" s="2" t="inlineStr">
        <is>
          <t>https://www.coches.net/ford-ka-13-3p-gasolina-2006-en-valencia-71371893-covo.aspx</t>
        </is>
      </c>
      <c r="D512" s="2" t="inlineStr">
        <is>
          <t>FORD KA 1.3</t>
        </is>
      </c>
      <c r="E512" s="2" t="inlineStr">
        <is>
          <t>Ford</t>
        </is>
      </c>
      <c r="F512" s="2" t="inlineStr">
        <is>
          <t>Ford Ka</t>
        </is>
      </c>
      <c r="G512" s="2" t="inlineStr">
        <is>
          <t>1.3</t>
        </is>
      </c>
      <c r="H512" s="2" t="inlineStr">
        <is>
          <t>1.3</t>
        </is>
      </c>
      <c r="I512" s="2" t="n"/>
      <c r="J512" s="2" t="n"/>
      <c r="K512" s="2" t="inlineStr">
        <is>
          <t>gasolina</t>
        </is>
      </c>
      <c r="L512" s="2" t="inlineStr">
        <is>
          <t>utilitario</t>
        </is>
      </c>
      <c r="M512" s="2" t="n">
        <v>2006</v>
      </c>
      <c r="N512" s="2" t="n">
        <v>100000</v>
      </c>
      <c r="O512" s="2" t="n">
        <v>1200</v>
      </c>
      <c r="P512" s="2" t="inlineStr">
        <is>
          <t>manual</t>
        </is>
      </c>
      <c r="Q512" s="2" t="inlineStr">
        <is>
          <t>no</t>
        </is>
      </c>
      <c r="R512" s="2" t="inlineStr">
        <is>
          <t>particular</t>
        </is>
      </c>
      <c r="S512" s="2" t="inlineStr">
        <is>
          <t>Valencia</t>
        </is>
      </c>
      <c r="T512" s="2" t="inlineStr">
        <is>
          <t>2026-08-26T19:57:23Z</t>
        </is>
      </c>
      <c r="U512" s="2" t="n"/>
      <c r="V512" s="2" t="n"/>
      <c r="W512" s="2" t="n"/>
      <c r="X512" s="2" t="n"/>
      <c r="Y512" s="2" t="n"/>
      <c r="Z512" s="2" t="inlineStr">
        <is>
          <t>no</t>
        </is>
      </c>
      <c r="AA512" s="2" t="n"/>
      <c r="AB512" s="2" t="n"/>
      <c r="AC512" s="2" t="n"/>
      <c r="AD512" s="2" t="n"/>
      <c r="AE512" s="2" t="n"/>
      <c r="AF512" s="2" t="n"/>
      <c r="AG512" s="2" t="n"/>
      <c r="AH512" s="2" t="n">
        <v>1200</v>
      </c>
      <c r="AI512" s="2" t="n"/>
      <c r="AJ512" s="2" t="n"/>
      <c r="AK512" s="2" t="n"/>
      <c r="AL512" s="2" t="n"/>
      <c r="AM512" s="2" t="n">
        <v>0.1</v>
      </c>
      <c r="AN512" s="2" t="n">
        <v>1845</v>
      </c>
      <c r="AO512" s="2" t="n">
        <v>4</v>
      </c>
      <c r="AP512" s="2" t="inlineStr">
        <is>
          <t>modelo+año</t>
        </is>
      </c>
      <c r="AQ512" s="2" t="n"/>
      <c r="AR512" s="2" t="inlineStr">
        <is>
          <t>cuota fija ITP: &gt;12 años, hasta 1.500 cc; fiabilidad del modelo PENDIENTE de fuente (puntuación neutra)</t>
        </is>
      </c>
      <c r="AS512" s="2" t="inlineStr">
        <is>
          <t>Vendo mi Ford Ka 1.3 manual, un vehículo urbano clásico y funcional que ha sido mi compañero de confianza durante estos años. Con más de 100.000 kilómetros recorridos, este pequeño berlina sigue cumpliendo su propósito: trasladarte de forma eficiente por la ciudad sin complicaciones.
El motor de 1.3 sin plomo de 70 CV ofrece la potencia necesaria para el uso diario, con un consumo muy contenido que te permitirá ahorrar en combustible. Es el tipo de coche que no te da sorpresas: fiable, manejable y fácil de aparcar gracias a sus dimensiones compactas.
Debo ser sincero sobre el estado: el exterior presenta signos de uso habitual tras estos años de circulación, y el interior refleja también ese uso cotidiano. No es un coche de salón, pero funciona correctamente para quien busque un transporte práctico sin pretensiones estéticas.
Si lo que buscas es un vehículo económico que te lleve de un lado a otro sin gastar una fortuna, este Ka es una opción interesante. Perfecto para desplazamientos en ciudad, para conductores jóvenes o como segundo coche de la familia.
Estoy disponible para que lo veas en persona y puedas comprobar su funcionamiento. Contacta conmigo sin dudas si necesitas información adicional sobre aspectos específicos que no encuentres en la ficha del anuncio. Puedes escribirme por chat o llamarme por teléfono.
Aprovecha esta oportunidad.</t>
        </is>
      </c>
      <c r="AT512" s="2" t="inlineStr">
        <is>
          <t>https://www.coches.net/ford-ka-13-3p-gasolina-2006-en-valencia-71371893-covo.aspx (window.__INITIAL_PROPS__.ad) /home/user/Alopecia/buscador-coches/raw/cochesnet/9861fad84993f01a.json</t>
        </is>
      </c>
      <c r="AU512" s="3">
        <f>MAX(ANIO_ACTUAL-M512,0)</f>
        <v/>
      </c>
      <c r="AV512" s="4">
        <f>N512/MAX(AU512,0.5)</f>
        <v/>
      </c>
      <c r="AW512" s="4">
        <f>F512</f>
        <v/>
      </c>
      <c r="AX512" s="3">
        <f>AW512&amp;"|"&amp;INT(M512/SEG_ANIO)*SEG_ANIO</f>
        <v/>
      </c>
      <c r="AY512" s="3">
        <f>AX512&amp;"|"&amp;INT(N512/SEG_KM)*SEG_KM</f>
        <v/>
      </c>
      <c r="AZ512" s="4">
        <f>COUNTIF($AW$2:$AW$662,AW512)</f>
        <v/>
      </c>
      <c r="BA512" s="4">
        <f>COUNTIF($AX$2:$AX$662,AX512)</f>
        <v/>
      </c>
      <c r="BB512" s="4">
        <f>COUNTIF($AY$2:$AY$662,AY512)</f>
        <v/>
      </c>
      <c r="BC512" s="3">
        <f t="array" ref="BC512">IF(N(AO512)&gt;=MIN_N,AN512,IF(BB512&gt;=MIN_N,MEDIAN(IF($AY$2:$AY$662=AY512,$O$2:$O$662)),IF(BA512&gt;=MIN_N,MEDIAN(IF($AX$2:$AX$662=AX512,$O$2:$O$662)),MEDIAN(IF($AW$2:$AW$662=AW512,$O$2:$O$662)))))</f>
        <v/>
      </c>
      <c r="BD512" s="3">
        <f>IF(N(AO512)&gt;=MIN_N,"mercado "&amp;AP512,IF(BB512&gt;=MIN_N,"modelo+año+km",IF(BA512&gt;=MIN_N,"modelo+año","modelo")))</f>
        <v/>
      </c>
      <c r="BE512" s="4">
        <f>(BC512-O512)/BC512</f>
        <v/>
      </c>
      <c r="BF512" s="3">
        <f>IF(OR(K512="hibrido",K512="glp"),"ECO",IF(K512="electrico","CERO",IF(K512="gasolina",IF(M512&gt;=GAS_C,"C",IF(M512&gt;=GAS_B,"B","A")),IF(K512="diesel",IF(M512&gt;=DIE_C,"C",IF(M512&gt;=DIE_B,"B","A")),""))))</f>
        <v/>
      </c>
      <c r="BG512" s="3">
        <f>IFERROR(VLOOKUP(F512,MOD_TBL,11,0),IFERROR(VLOOKUP(E512,OCU_TBL,2,0),NEUTRO))</f>
        <v/>
      </c>
      <c r="BH512" s="3">
        <f>SUMIFS(MOT_AJUSTE,MOT_MOTOR,G512,MOT_MARCA,E512,MOT_DESDE,"&lt;="&amp;M512,MOT_HASTA,"&gt;="&amp;M512)+SUMIFS(MOT_AJUSTE,MOT_MOTOR,G512,MOT_MARCA,"(todas)",MOT_DESDE,"&lt;="&amp;M512,MOT_HASTA,"&gt;="&amp;M512)</f>
        <v/>
      </c>
      <c r="BI512" s="3">
        <f>SUMIFS(COMB_AJUSTE,COMB_COMB,K512)</f>
        <v/>
      </c>
      <c r="BJ512" s="3">
        <f>COUNTIFS(MOT_MOTOR,G512,MOT_MARCA,E512,MOT_DESDE,"&lt;="&amp;M512,MOT_HASTA,"&gt;="&amp;M512)+COUNTIFS(MOT_MOTOR,G512,MOT_MARCA,"(todas)",MOT_DESDE,"&lt;="&amp;M512,MOT_HASTA,"&gt;="&amp;M512)</f>
        <v/>
      </c>
      <c r="BK512" s="3">
        <f>IF(AND(K512="diesel",BJ512=0),MIN(BG512,NEUTRO),BG512)</f>
        <v/>
      </c>
      <c r="BL512" s="4">
        <f>MAX(0,MIN(100,BK512+BH512+BI512))</f>
        <v/>
      </c>
      <c r="BM512" s="3">
        <f>MAX(0,MIN(100,50+BE512*PRECIO_PEND))</f>
        <v/>
      </c>
      <c r="BN512" s="3">
        <f>MAX(0,100*(1-N512/KM_MAX))</f>
        <v/>
      </c>
      <c r="BO512" s="3">
        <f>IF(AV512&lt;KMA_SOSP,IF(AA512="sí",100,KMA_PEN),IF(AV512&lt;=KMA_IDEAL_MAX,100,MAX(0,100*(KMA_CERO-AV512)/(KMA_CERO-KMA_IDEAL_MAX))))</f>
        <v/>
      </c>
      <c r="BP512" s="3">
        <f>MAX(0,MIN(100,100*(M512-ANIO_MIN)/(ANIO_ACTUAL-ANIO_MIN)))</f>
        <v/>
      </c>
      <c r="BQ512" s="3">
        <f>W_KMT*BN512+W_KMA*BO512+W_EDAD*BP512</f>
        <v/>
      </c>
      <c r="BR512" s="3">
        <f>P_ITV*(V512="sí")+P_LIBRO*(W512="sí")+P_CORREA*(X512="sí")+P_PROP*(Y512=1)+P_GAR*(Z512="sí")+P_FOTOS*MIN(1,N(U512)/FOTOS_OBJ)</f>
        <v/>
      </c>
      <c r="BS512" s="3">
        <f>IFERROR(VLOOKUP(BF512,ETQ_TBL,2,0),NEUTRO)</f>
        <v/>
      </c>
      <c r="BT512" s="3">
        <f>NEUTRO</f>
        <v/>
      </c>
      <c r="BU512" s="3">
        <f>IFERROR(VLOOKUP(L512,SEGURO_TBL,3,0),"")</f>
        <v/>
      </c>
      <c r="BV512" s="3">
        <f>IF(BU512="",NEUTRO,MAX(0,MIN(100,100*(SEG_REF_MAX-BU512)/(SEG_REF_MAX-SEG_REF_MIN))))</f>
        <v/>
      </c>
      <c r="BW512" s="3">
        <f>W_ET*BS512+W_CONS*BT512+W_SEG*BV512</f>
        <v/>
      </c>
      <c r="BX512" s="3">
        <f>IF(N(AB512)&gt;0,AB512,IF(AND(R512="profesional",SG_LEGAL_ON=1),GAR_LEGAL,0))</f>
        <v/>
      </c>
      <c r="BY512" s="3">
        <f>SG_GAR*MIN(1,BX512/SG_GAR_FULL)+SG_AMPL*(AC512="sí")+SG_KMC*(AF512="sí")+SG_REV*(N(AE512)&gt;0)+SG_DEV*MIN(1,N(AG512)/SG_DEV_FULL)+SG_HIST*(W512="sí")</f>
        <v/>
      </c>
      <c r="BZ512" s="3">
        <f>IFERROR(VLOOKUP(L512,CARR_PEN_TBL,2,0),0)</f>
        <v/>
      </c>
      <c r="CA512" s="3">
        <f>W_FIAB*BL512+W_PRECIO*BM512+W_KMEDAD*BQ512+W_ANUNCIO*BR512+W_USO*BW512+W_SEGURIDAD*BY512-BZ512</f>
        <v/>
      </c>
      <c r="CB512" s="4">
        <f>IF(N(I512)&gt;0,I512,IFERROR(ROUND(_xlfn.NUMBERVALUE(LEFT(G512,FIND(" ",G512&amp;" ")-1),".")*1000,0),99999))</f>
        <v/>
      </c>
      <c r="CC512" s="3">
        <f>IF(R512="profesional",0,IF(O512&lt;CUOTA_VALOR_MAX,IF(AU512&gt;ITP_TRAMO_ALTO,SUMIFS(CF_CUOTA,CF_MAS,ITP_TRAMO_ALTO,CF_CCMIN,"&lt;="&amp;CB512,CF_CCMAX,"&gt;="&amp;CB512),IF(AU512&gt;ITP_TRAMO_BAJO,SUMIFS(CF_CUOTA,CF_MAS,ITP_TRAMO_BAJO,CF_CCMIN,"&lt;="&amp;CB512,CF_CCMAX,"&gt;="&amp;CB512),O512*ITP_TIPO)),O512*ITP_TIPO))</f>
        <v/>
      </c>
      <c r="CD512" s="4">
        <f>IF(R512="profesional",N(AK512),0)</f>
        <v/>
      </c>
      <c r="CE512" s="3">
        <f>IF(AND(R512="profesional",ISNUMBER(AK512),AL512="sí"),0,TASA_DGT)</f>
        <v/>
      </c>
      <c r="CF512" s="3">
        <f>INFORME_DGT</f>
        <v/>
      </c>
      <c r="CG512" s="4">
        <f>O512+CD512+CC512+CE512+CF512</f>
        <v/>
      </c>
      <c r="CH512" s="4">
        <f>CG512+N(BU512)</f>
        <v/>
      </c>
      <c r="CI512" s="3">
        <f>IF(CG512&lt;=TOTAL_MAX,"sí",IF(CG512&lt;=TOTAL_MAX+MARGEN_NEG,"negociar","no"))</f>
        <v/>
      </c>
      <c r="CJ512" s="4">
        <f>IF(CI512&lt;&gt;"no",COUNTIFS($CI$2:$CI$662,"&lt;&gt;no",$CA$2:$CA$662,"&gt;"&amp;CA512)+COUNTIFS($CI$2:CI512,"&lt;&gt;no",$CA$2:CA512,CA512),"")</f>
        <v/>
      </c>
    </row>
    <row r="513">
      <c r="A513" s="2" t="inlineStr">
        <is>
          <t>cochesnet:71841456</t>
        </is>
      </c>
      <c r="B513" s="2" t="inlineStr">
        <is>
          <t>cochesnet</t>
        </is>
      </c>
      <c r="C513" s="2" t="inlineStr">
        <is>
          <t>https://www.coches.net/ford-fiesta-13-newport-5p-gasolina-2006-en-valencia-71841456-covo.aspx</t>
        </is>
      </c>
      <c r="D513" s="2" t="inlineStr">
        <is>
          <t>FORD Fiesta 1.3 Newport</t>
        </is>
      </c>
      <c r="E513" s="2" t="inlineStr">
        <is>
          <t>Ford</t>
        </is>
      </c>
      <c r="F513" s="2" t="inlineStr">
        <is>
          <t>Ford Fiesta</t>
        </is>
      </c>
      <c r="G513" s="2" t="inlineStr">
        <is>
          <t>1.3</t>
        </is>
      </c>
      <c r="H513" s="2" t="inlineStr">
        <is>
          <t>1.3 Newport</t>
        </is>
      </c>
      <c r="I513" s="2" t="n"/>
      <c r="J513" s="2" t="n"/>
      <c r="K513" s="2" t="inlineStr">
        <is>
          <t>gasolina</t>
        </is>
      </c>
      <c r="L513" s="2" t="inlineStr">
        <is>
          <t>utilitario</t>
        </is>
      </c>
      <c r="M513" s="2" t="n">
        <v>2007</v>
      </c>
      <c r="N513" s="2" t="n">
        <v>108000</v>
      </c>
      <c r="O513" s="2" t="n">
        <v>3750</v>
      </c>
      <c r="P513" s="2" t="inlineStr">
        <is>
          <t>manual</t>
        </is>
      </c>
      <c r="Q513" s="2" t="inlineStr">
        <is>
          <t>no</t>
        </is>
      </c>
      <c r="R513" s="2" t="inlineStr">
        <is>
          <t>profesional</t>
        </is>
      </c>
      <c r="S513" s="2" t="inlineStr">
        <is>
          <t>Beniparrell</t>
        </is>
      </c>
      <c r="T513" s="2" t="inlineStr">
        <is>
          <t>2026-10-27T10:35:28Z</t>
        </is>
      </c>
      <c r="U513" s="2" t="n">
        <v>13</v>
      </c>
      <c r="V513" s="2" t="n"/>
      <c r="W513" s="2" t="n"/>
      <c r="X513" s="2" t="n"/>
      <c r="Y513" s="2" t="n"/>
      <c r="Z513" s="2" t="inlineStr">
        <is>
          <t>sí</t>
        </is>
      </c>
      <c r="AA513" s="2" t="n"/>
      <c r="AB513" s="2" t="n">
        <v>12</v>
      </c>
      <c r="AC513" s="2" t="n"/>
      <c r="AD513" s="2" t="n"/>
      <c r="AE513" s="2" t="n"/>
      <c r="AF513" s="2" t="n"/>
      <c r="AG513" s="2" t="n"/>
      <c r="AH513" s="2" t="n">
        <v>3750</v>
      </c>
      <c r="AI513" s="2" t="n"/>
      <c r="AJ513" s="2" t="n"/>
      <c r="AK513" s="2" t="n"/>
      <c r="AL513" s="2" t="n"/>
      <c r="AM513" s="2" t="n">
        <v>10.2</v>
      </c>
      <c r="AN513" s="2" t="n">
        <v>4990</v>
      </c>
      <c r="AO513" s="2" t="n">
        <v>9</v>
      </c>
      <c r="AP513" s="2" t="inlineStr">
        <is>
          <t>modelo+año+km</t>
        </is>
      </c>
      <c r="AQ513" s="2" t="n"/>
      <c r="AR513" s="2" t="inlineStr">
        <is>
          <t>vendedor profesional: sin ITP (operación con IVA/REBU, confirmar en factura); gastos de gestión del vendedor no indicados: se suma la tasa DGT; preguntar el precio final</t>
        </is>
      </c>
      <c r="AS513" s="2" t="inlineStr">
        <is>
          <t>Este Fiesta Newport incorpora apertura del maletero a distancia con funcionamiento eléctrico y climatizador automático con controles digitales. Cuenta también con equipo de audio con radio, reproductor de CD y mandos en el volante, cristales tintados en toda la cabina y volante revestido de cuero ajustable en altura. Su etiqueta medioambiental C facilita el acceso a zonas ZBE.GARANTÍA 12 meses (cobertura de 25 componentes del vehículo )cobertura de reparación hasta 2.000e en cualquier taller)</t>
        </is>
      </c>
      <c r="AT513" s="2" t="inlineStr">
        <is>
          <t>https://www.coches.net/ford-fiesta-13-newport-5p-gasolina-2006-en-valencia-71841456-covo.aspx (window.__INITIAL_PROPS__.ad) /home/user/Alopecia/buscador-coches/raw/cochesnet/0f64c41ace196125.json</t>
        </is>
      </c>
      <c r="AU513" s="3">
        <f>MAX(ANIO_ACTUAL-M513,0)</f>
        <v/>
      </c>
      <c r="AV513" s="4">
        <f>N513/MAX(AU513,0.5)</f>
        <v/>
      </c>
      <c r="AW513" s="4">
        <f>F513</f>
        <v/>
      </c>
      <c r="AX513" s="3">
        <f>AW513&amp;"|"&amp;INT(M513/SEG_ANIO)*SEG_ANIO</f>
        <v/>
      </c>
      <c r="AY513" s="3">
        <f>AX513&amp;"|"&amp;INT(N513/SEG_KM)*SEG_KM</f>
        <v/>
      </c>
      <c r="AZ513" s="4">
        <f>COUNTIF($AW$2:$AW$662,AW513)</f>
        <v/>
      </c>
      <c r="BA513" s="4">
        <f>COUNTIF($AX$2:$AX$662,AX513)</f>
        <v/>
      </c>
      <c r="BB513" s="4">
        <f>COUNTIF($AY$2:$AY$662,AY513)</f>
        <v/>
      </c>
      <c r="BC513" s="3">
        <f t="array" ref="BC513">IF(N(AO513)&gt;=MIN_N,AN513,IF(BB513&gt;=MIN_N,MEDIAN(IF($AY$2:$AY$662=AY513,$O$2:$O$662)),IF(BA513&gt;=MIN_N,MEDIAN(IF($AX$2:$AX$662=AX513,$O$2:$O$662)),MEDIAN(IF($AW$2:$AW$662=AW513,$O$2:$O$662)))))</f>
        <v/>
      </c>
      <c r="BD513" s="3">
        <f>IF(N(AO513)&gt;=MIN_N,"mercado "&amp;AP513,IF(BB513&gt;=MIN_N,"modelo+año+km",IF(BA513&gt;=MIN_N,"modelo+año","modelo")))</f>
        <v/>
      </c>
      <c r="BE513" s="4">
        <f>(BC513-O513)/BC513</f>
        <v/>
      </c>
      <c r="BF513" s="3">
        <f>IF(OR(K513="hibrido",K513="glp"),"ECO",IF(K513="electrico","CERO",IF(K513="gasolina",IF(M513&gt;=GAS_C,"C",IF(M513&gt;=GAS_B,"B","A")),IF(K513="diesel",IF(M513&gt;=DIE_C,"C",IF(M513&gt;=DIE_B,"B","A")),""))))</f>
        <v/>
      </c>
      <c r="BG513" s="3">
        <f>IFERROR(VLOOKUP(F513,MOD_TBL,11,0),IFERROR(VLOOKUP(E513,OCU_TBL,2,0),NEUTRO))</f>
        <v/>
      </c>
      <c r="BH513" s="3">
        <f>SUMIFS(MOT_AJUSTE,MOT_MOTOR,G513,MOT_MARCA,E513,MOT_DESDE,"&lt;="&amp;M513,MOT_HASTA,"&gt;="&amp;M513)+SUMIFS(MOT_AJUSTE,MOT_MOTOR,G513,MOT_MARCA,"(todas)",MOT_DESDE,"&lt;="&amp;M513,MOT_HASTA,"&gt;="&amp;M513)</f>
        <v/>
      </c>
      <c r="BI513" s="3">
        <f>SUMIFS(COMB_AJUSTE,COMB_COMB,K513)</f>
        <v/>
      </c>
      <c r="BJ513" s="3">
        <f>COUNTIFS(MOT_MOTOR,G513,MOT_MARCA,E513,MOT_DESDE,"&lt;="&amp;M513,MOT_HASTA,"&gt;="&amp;M513)+COUNTIFS(MOT_MOTOR,G513,MOT_MARCA,"(todas)",MOT_DESDE,"&lt;="&amp;M513,MOT_HASTA,"&gt;="&amp;M513)</f>
        <v/>
      </c>
      <c r="BK513" s="3">
        <f>IF(AND(K513="diesel",BJ513=0),MIN(BG513,NEUTRO),BG513)</f>
        <v/>
      </c>
      <c r="BL513" s="4">
        <f>MAX(0,MIN(100,BK513+BH513+BI513))</f>
        <v/>
      </c>
      <c r="BM513" s="3">
        <f>MAX(0,MIN(100,50+BE513*PRECIO_PEND))</f>
        <v/>
      </c>
      <c r="BN513" s="3">
        <f>MAX(0,100*(1-N513/KM_MAX))</f>
        <v/>
      </c>
      <c r="BO513" s="3">
        <f>IF(AV513&lt;KMA_SOSP,IF(AA513="sí",100,KMA_PEN),IF(AV513&lt;=KMA_IDEAL_MAX,100,MAX(0,100*(KMA_CERO-AV513)/(KMA_CERO-KMA_IDEAL_MAX))))</f>
        <v/>
      </c>
      <c r="BP513" s="3">
        <f>MAX(0,MIN(100,100*(M513-ANIO_MIN)/(ANIO_ACTUAL-ANIO_MIN)))</f>
        <v/>
      </c>
      <c r="BQ513" s="3">
        <f>W_KMT*BN513+W_KMA*BO513+W_EDAD*BP513</f>
        <v/>
      </c>
      <c r="BR513" s="3">
        <f>P_ITV*(V513="sí")+P_LIBRO*(W513="sí")+P_CORREA*(X513="sí")+P_PROP*(Y513=1)+P_GAR*(Z513="sí")+P_FOTOS*MIN(1,N(U513)/FOTOS_OBJ)</f>
        <v/>
      </c>
      <c r="BS513" s="3">
        <f>IFERROR(VLOOKUP(BF513,ETQ_TBL,2,0),NEUTRO)</f>
        <v/>
      </c>
      <c r="BT513" s="3">
        <f>NEUTRO</f>
        <v/>
      </c>
      <c r="BU513" s="3">
        <f>IFERROR(VLOOKUP(L513,SEGURO_TBL,3,0),"")</f>
        <v/>
      </c>
      <c r="BV513" s="3">
        <f>IF(BU513="",NEUTRO,MAX(0,MIN(100,100*(SEG_REF_MAX-BU513)/(SEG_REF_MAX-SEG_REF_MIN))))</f>
        <v/>
      </c>
      <c r="BW513" s="3">
        <f>W_ET*BS513+W_CONS*BT513+W_SEG*BV513</f>
        <v/>
      </c>
      <c r="BX513" s="3">
        <f>IF(N(AB513)&gt;0,AB513,IF(AND(R513="profesional",SG_LEGAL_ON=1),GAR_LEGAL,0))</f>
        <v/>
      </c>
      <c r="BY513" s="3">
        <f>SG_GAR*MIN(1,BX513/SG_GAR_FULL)+SG_AMPL*(AC513="sí")+SG_KMC*(AF513="sí")+SG_REV*(N(AE513)&gt;0)+SG_DEV*MIN(1,N(AG513)/SG_DEV_FULL)+SG_HIST*(W513="sí")</f>
        <v/>
      </c>
      <c r="BZ513" s="3">
        <f>IFERROR(VLOOKUP(L513,CARR_PEN_TBL,2,0),0)</f>
        <v/>
      </c>
      <c r="CA513" s="3">
        <f>W_FIAB*BL513+W_PRECIO*BM513+W_KMEDAD*BQ513+W_ANUNCIO*BR513+W_USO*BW513+W_SEGURIDAD*BY513-BZ513</f>
        <v/>
      </c>
      <c r="CB513" s="4">
        <f>IF(N(I513)&gt;0,I513,IFERROR(ROUND(_xlfn.NUMBERVALUE(LEFT(G513,FIND(" ",G513&amp;" ")-1),".")*1000,0),99999))</f>
        <v/>
      </c>
      <c r="CC513" s="3">
        <f>IF(R513="profesional",0,IF(O513&lt;CUOTA_VALOR_MAX,IF(AU513&gt;ITP_TRAMO_ALTO,SUMIFS(CF_CUOTA,CF_MAS,ITP_TRAMO_ALTO,CF_CCMIN,"&lt;="&amp;CB513,CF_CCMAX,"&gt;="&amp;CB513),IF(AU513&gt;ITP_TRAMO_BAJO,SUMIFS(CF_CUOTA,CF_MAS,ITP_TRAMO_BAJO,CF_CCMIN,"&lt;="&amp;CB513,CF_CCMAX,"&gt;="&amp;CB513),O513*ITP_TIPO)),O513*ITP_TIPO))</f>
        <v/>
      </c>
      <c r="CD513" s="4">
        <f>IF(R513="profesional",N(AK513),0)</f>
        <v/>
      </c>
      <c r="CE513" s="3">
        <f>IF(AND(R513="profesional",ISNUMBER(AK513),AL513="sí"),0,TASA_DGT)</f>
        <v/>
      </c>
      <c r="CF513" s="3">
        <f>INFORME_DGT</f>
        <v/>
      </c>
      <c r="CG513" s="4">
        <f>O513+CD513+CC513+CE513+CF513</f>
        <v/>
      </c>
      <c r="CH513" s="4">
        <f>CG513+N(BU513)</f>
        <v/>
      </c>
      <c r="CI513" s="3">
        <f>IF(CG513&lt;=TOTAL_MAX,"sí",IF(CG513&lt;=TOTAL_MAX+MARGEN_NEG,"negociar","no"))</f>
        <v/>
      </c>
      <c r="CJ513" s="4">
        <f>IF(CI513&lt;&gt;"no",COUNTIFS($CI$2:$CI$662,"&lt;&gt;no",$CA$2:$CA$662,"&gt;"&amp;CA513)+COUNTIFS($CI$2:CI513,"&lt;&gt;no",$CA$2:CA513,CA513),"")</f>
        <v/>
      </c>
    </row>
    <row r="514">
      <c r="A514" s="2" t="inlineStr">
        <is>
          <t>cochesnet:71654849</t>
        </is>
      </c>
      <c r="B514" s="2" t="inlineStr">
        <is>
          <t>cochesnet</t>
        </is>
      </c>
      <c r="C514" s="2" t="inlineStr">
        <is>
          <t>https://www.coches.net/ford-fiesta-14-tdci-trend-5p-diesel-2012-en-valencia-71654849-covo.aspx</t>
        </is>
      </c>
      <c r="D514" s="2" t="inlineStr">
        <is>
          <t>FORD Fiesta 1.4 TDCi Trend</t>
        </is>
      </c>
      <c r="E514" s="2" t="inlineStr">
        <is>
          <t>Ford</t>
        </is>
      </c>
      <c r="F514" s="2" t="inlineStr">
        <is>
          <t>Ford Fiesta</t>
        </is>
      </c>
      <c r="G514" s="2" t="inlineStr">
        <is>
          <t>1.4 TDCi</t>
        </is>
      </c>
      <c r="H514" s="2" t="inlineStr">
        <is>
          <t>1.4 TDCi Trend</t>
        </is>
      </c>
      <c r="I514" s="2" t="n"/>
      <c r="J514" s="2" t="n"/>
      <c r="K514" s="2" t="inlineStr">
        <is>
          <t>diesel</t>
        </is>
      </c>
      <c r="L514" s="2" t="inlineStr">
        <is>
          <t>utilitario</t>
        </is>
      </c>
      <c r="M514" s="2" t="n">
        <v>2013</v>
      </c>
      <c r="N514" s="2" t="n">
        <v>205000</v>
      </c>
      <c r="O514" s="2" t="n">
        <v>4790</v>
      </c>
      <c r="P514" s="2" t="inlineStr">
        <is>
          <t>manual</t>
        </is>
      </c>
      <c r="Q514" s="2" t="inlineStr">
        <is>
          <t>no</t>
        </is>
      </c>
      <c r="R514" s="2" t="inlineStr">
        <is>
          <t>profesional</t>
        </is>
      </c>
      <c r="S514" s="2" t="inlineStr">
        <is>
          <t>V.O. Eliana San Antonio de Benagéber</t>
        </is>
      </c>
      <c r="T514" s="2" t="inlineStr">
        <is>
          <t>2026-10-02T11:14:37Z</t>
        </is>
      </c>
      <c r="U514" s="2" t="n">
        <v>17</v>
      </c>
      <c r="V514" s="2" t="n"/>
      <c r="W514" s="2" t="n"/>
      <c r="X514" s="2" t="n"/>
      <c r="Y514" s="2" t="n"/>
      <c r="Z514" s="2" t="inlineStr">
        <is>
          <t>sí</t>
        </is>
      </c>
      <c r="AA514" s="2" t="n"/>
      <c r="AB514" s="2" t="n">
        <v>12</v>
      </c>
      <c r="AC514" s="2" t="n"/>
      <c r="AD514" s="2" t="n"/>
      <c r="AE514" s="2" t="n"/>
      <c r="AF514" s="2" t="n"/>
      <c r="AG514" s="2" t="n"/>
      <c r="AH514" s="2" t="n">
        <v>4790</v>
      </c>
      <c r="AI514" s="2" t="n"/>
      <c r="AJ514" s="2" t="n"/>
      <c r="AK514" s="2" t="n"/>
      <c r="AL514" s="2" t="n"/>
      <c r="AM514" s="2" t="n">
        <v>19.1</v>
      </c>
      <c r="AN514" s="2" t="n">
        <v>6300</v>
      </c>
      <c r="AO514" s="2" t="n">
        <v>23</v>
      </c>
      <c r="AP514" s="2" t="inlineStr">
        <is>
          <t>modelo+año</t>
        </is>
      </c>
      <c r="AQ514" s="2" t="n"/>
      <c r="AR514" s="2" t="inlineStr">
        <is>
          <t>vendedor profesional: sin ITP (operación con IVA/REBU, confirmar en factura); gastos de gestión del vendedor no indicados: se suma la tasa DGT; preguntar el precio final; diésel: motor sin fuente de fiabilidad (fiabilidad limitada a neutra)</t>
        </is>
      </c>
      <c r="AS514" s="2" t="inlineStr">
        <is>
          <t>Este Ford Fiesta 1.4 TDCi Trend combina eficiencia diésel con equipamiento práctico para el día a día. Destaca por su dirección asistida eléctrica con endurecimiento progresivo, volante ajustable en altura y profundidad, y elevalunas eléctricos delanteros con función de un solo toque. Dispone de cierre centralizado con mando a distancia de doble cierre, apertura remota del maletero, ordenador de viaje con datos de consumo y autonomía, climatización con filtro de pólen, y retrovisores exteriores eléctricos desempañables con intermitente integrado. Los asientos delanteros ofrecen ajuste manual en múltiples direcciones para mayor comodidad, mientras que los traseros cuentan con respaldo abatible asimétrico. Cristales tintados, limpiaparabrisas delantero y pintura sólida completan este vehículo versátil y funcional.</t>
        </is>
      </c>
      <c r="AT514" s="2" t="inlineStr">
        <is>
          <t>https://www.coches.net/ford-fiesta-14-tdci-trend-5p-diesel-2012-en-valencia-71654849-covo.aspx (window.__INITIAL_PROPS__.ad) /home/user/Alopecia/buscador-coches/raw/cochesnet/fa8d9cab8b462a12.json</t>
        </is>
      </c>
      <c r="AU514" s="3">
        <f>MAX(ANIO_ACTUAL-M514,0)</f>
        <v/>
      </c>
      <c r="AV514" s="4">
        <f>N514/MAX(AU514,0.5)</f>
        <v/>
      </c>
      <c r="AW514" s="4">
        <f>F514</f>
        <v/>
      </c>
      <c r="AX514" s="3">
        <f>AW514&amp;"|"&amp;INT(M514/SEG_ANIO)*SEG_ANIO</f>
        <v/>
      </c>
      <c r="AY514" s="3">
        <f>AX514&amp;"|"&amp;INT(N514/SEG_KM)*SEG_KM</f>
        <v/>
      </c>
      <c r="AZ514" s="4">
        <f>COUNTIF($AW$2:$AW$662,AW514)</f>
        <v/>
      </c>
      <c r="BA514" s="4">
        <f>COUNTIF($AX$2:$AX$662,AX514)</f>
        <v/>
      </c>
      <c r="BB514" s="4">
        <f>COUNTIF($AY$2:$AY$662,AY514)</f>
        <v/>
      </c>
      <c r="BC514" s="3">
        <f t="array" ref="BC514">IF(N(AO514)&gt;=MIN_N,AN514,IF(BB514&gt;=MIN_N,MEDIAN(IF($AY$2:$AY$662=AY514,$O$2:$O$662)),IF(BA514&gt;=MIN_N,MEDIAN(IF($AX$2:$AX$662=AX514,$O$2:$O$662)),MEDIAN(IF($AW$2:$AW$662=AW514,$O$2:$O$662)))))</f>
        <v/>
      </c>
      <c r="BD514" s="3">
        <f>IF(N(AO514)&gt;=MIN_N,"mercado "&amp;AP514,IF(BB514&gt;=MIN_N,"modelo+año+km",IF(BA514&gt;=MIN_N,"modelo+año","modelo")))</f>
        <v/>
      </c>
      <c r="BE514" s="4">
        <f>(BC514-O514)/BC514</f>
        <v/>
      </c>
      <c r="BF514" s="3">
        <f>IF(OR(K514="hibrido",K514="glp"),"ECO",IF(K514="electrico","CERO",IF(K514="gasolina",IF(M514&gt;=GAS_C,"C",IF(M514&gt;=GAS_B,"B","A")),IF(K514="diesel",IF(M514&gt;=DIE_C,"C",IF(M514&gt;=DIE_B,"B","A")),""))))</f>
        <v/>
      </c>
      <c r="BG514" s="3">
        <f>IFERROR(VLOOKUP(F514,MOD_TBL,11,0),IFERROR(VLOOKUP(E514,OCU_TBL,2,0),NEUTRO))</f>
        <v/>
      </c>
      <c r="BH514" s="3">
        <f>SUMIFS(MOT_AJUSTE,MOT_MOTOR,G514,MOT_MARCA,E514,MOT_DESDE,"&lt;="&amp;M514,MOT_HASTA,"&gt;="&amp;M514)+SUMIFS(MOT_AJUSTE,MOT_MOTOR,G514,MOT_MARCA,"(todas)",MOT_DESDE,"&lt;="&amp;M514,MOT_HASTA,"&gt;="&amp;M514)</f>
        <v/>
      </c>
      <c r="BI514" s="3">
        <f>SUMIFS(COMB_AJUSTE,COMB_COMB,K514)</f>
        <v/>
      </c>
      <c r="BJ514" s="3">
        <f>COUNTIFS(MOT_MOTOR,G514,MOT_MARCA,E514,MOT_DESDE,"&lt;="&amp;M514,MOT_HASTA,"&gt;="&amp;M514)+COUNTIFS(MOT_MOTOR,G514,MOT_MARCA,"(todas)",MOT_DESDE,"&lt;="&amp;M514,MOT_HASTA,"&gt;="&amp;M514)</f>
        <v/>
      </c>
      <c r="BK514" s="3">
        <f>IF(AND(K514="diesel",BJ514=0),MIN(BG514,NEUTRO),BG514)</f>
        <v/>
      </c>
      <c r="BL514" s="4">
        <f>MAX(0,MIN(100,BK514+BH514+BI514))</f>
        <v/>
      </c>
      <c r="BM514" s="3">
        <f>MAX(0,MIN(100,50+BE514*PRECIO_PEND))</f>
        <v/>
      </c>
      <c r="BN514" s="3">
        <f>MAX(0,100*(1-N514/KM_MAX))</f>
        <v/>
      </c>
      <c r="BO514" s="3">
        <f>IF(AV514&lt;KMA_SOSP,IF(AA514="sí",100,KMA_PEN),IF(AV514&lt;=KMA_IDEAL_MAX,100,MAX(0,100*(KMA_CERO-AV514)/(KMA_CERO-KMA_IDEAL_MAX))))</f>
        <v/>
      </c>
      <c r="BP514" s="3">
        <f>MAX(0,MIN(100,100*(M514-ANIO_MIN)/(ANIO_ACTUAL-ANIO_MIN)))</f>
        <v/>
      </c>
      <c r="BQ514" s="3">
        <f>W_KMT*BN514+W_KMA*BO514+W_EDAD*BP514</f>
        <v/>
      </c>
      <c r="BR514" s="3">
        <f>P_ITV*(V514="sí")+P_LIBRO*(W514="sí")+P_CORREA*(X514="sí")+P_PROP*(Y514=1)+P_GAR*(Z514="sí")+P_FOTOS*MIN(1,N(U514)/FOTOS_OBJ)</f>
        <v/>
      </c>
      <c r="BS514" s="3">
        <f>IFERROR(VLOOKUP(BF514,ETQ_TBL,2,0),NEUTRO)</f>
        <v/>
      </c>
      <c r="BT514" s="3">
        <f>NEUTRO</f>
        <v/>
      </c>
      <c r="BU514" s="3">
        <f>IFERROR(VLOOKUP(L514,SEGURO_TBL,3,0),"")</f>
        <v/>
      </c>
      <c r="BV514" s="3">
        <f>IF(BU514="",NEUTRO,MAX(0,MIN(100,100*(SEG_REF_MAX-BU514)/(SEG_REF_MAX-SEG_REF_MIN))))</f>
        <v/>
      </c>
      <c r="BW514" s="3">
        <f>W_ET*BS514+W_CONS*BT514+W_SEG*BV514</f>
        <v/>
      </c>
      <c r="BX514" s="3">
        <f>IF(N(AB514)&gt;0,AB514,IF(AND(R514="profesional",SG_LEGAL_ON=1),GAR_LEGAL,0))</f>
        <v/>
      </c>
      <c r="BY514" s="3">
        <f>SG_GAR*MIN(1,BX514/SG_GAR_FULL)+SG_AMPL*(AC514="sí")+SG_KMC*(AF514="sí")+SG_REV*(N(AE514)&gt;0)+SG_DEV*MIN(1,N(AG514)/SG_DEV_FULL)+SG_HIST*(W514="sí")</f>
        <v/>
      </c>
      <c r="BZ514" s="3">
        <f>IFERROR(VLOOKUP(L514,CARR_PEN_TBL,2,0),0)</f>
        <v/>
      </c>
      <c r="CA514" s="3">
        <f>W_FIAB*BL514+W_PRECIO*BM514+W_KMEDAD*BQ514+W_ANUNCIO*BR514+W_USO*BW514+W_SEGURIDAD*BY514-BZ514</f>
        <v/>
      </c>
      <c r="CB514" s="4">
        <f>IF(N(I514)&gt;0,I514,IFERROR(ROUND(_xlfn.NUMBERVALUE(LEFT(G514,FIND(" ",G514&amp;" ")-1),".")*1000,0),99999))</f>
        <v/>
      </c>
      <c r="CC514" s="3">
        <f>IF(R514="profesional",0,IF(O514&lt;CUOTA_VALOR_MAX,IF(AU514&gt;ITP_TRAMO_ALTO,SUMIFS(CF_CUOTA,CF_MAS,ITP_TRAMO_ALTO,CF_CCMIN,"&lt;="&amp;CB514,CF_CCMAX,"&gt;="&amp;CB514),IF(AU514&gt;ITP_TRAMO_BAJO,SUMIFS(CF_CUOTA,CF_MAS,ITP_TRAMO_BAJO,CF_CCMIN,"&lt;="&amp;CB514,CF_CCMAX,"&gt;="&amp;CB514),O514*ITP_TIPO)),O514*ITP_TIPO))</f>
        <v/>
      </c>
      <c r="CD514" s="4">
        <f>IF(R514="profesional",N(AK514),0)</f>
        <v/>
      </c>
      <c r="CE514" s="3">
        <f>IF(AND(R514="profesional",ISNUMBER(AK514),AL514="sí"),0,TASA_DGT)</f>
        <v/>
      </c>
      <c r="CF514" s="3">
        <f>INFORME_DGT</f>
        <v/>
      </c>
      <c r="CG514" s="4">
        <f>O514+CD514+CC514+CE514+CF514</f>
        <v/>
      </c>
      <c r="CH514" s="4">
        <f>CG514+N(BU514)</f>
        <v/>
      </c>
      <c r="CI514" s="3">
        <f>IF(CG514&lt;=TOTAL_MAX,"sí",IF(CG514&lt;=TOTAL_MAX+MARGEN_NEG,"negociar","no"))</f>
        <v/>
      </c>
      <c r="CJ514" s="4">
        <f>IF(CI514&lt;&gt;"no",COUNTIFS($CI$2:$CI$662,"&lt;&gt;no",$CA$2:$CA$662,"&gt;"&amp;CA514)+COUNTIFS($CI$2:CI514,"&lt;&gt;no",$CA$2:CA514,CA514),"")</f>
        <v/>
      </c>
    </row>
    <row r="515">
      <c r="A515" s="2" t="inlineStr">
        <is>
          <t>cochesnet:71021675</t>
        </is>
      </c>
      <c r="B515" s="2" t="inlineStr">
        <is>
          <t>cochesnet</t>
        </is>
      </c>
      <c r="C515" s="2" t="inlineStr">
        <is>
          <t>https://www.coches.net/ford-fiesta-14-tdci-trend-5p-diesel-2011-en-valencia-71021675-covo.aspx</t>
        </is>
      </c>
      <c r="D515" s="2" t="inlineStr">
        <is>
          <t>FORD Fiesta 1.4 TDCi Trend</t>
        </is>
      </c>
      <c r="E515" s="2" t="inlineStr">
        <is>
          <t>Ford</t>
        </is>
      </c>
      <c r="F515" s="2" t="inlineStr">
        <is>
          <t>Ford Fiesta</t>
        </is>
      </c>
      <c r="G515" s="2" t="inlineStr">
        <is>
          <t>1.4 TDCi</t>
        </is>
      </c>
      <c r="H515" s="2" t="inlineStr">
        <is>
          <t>1.4 TDCi Trend</t>
        </is>
      </c>
      <c r="I515" s="2" t="n"/>
      <c r="J515" s="2" t="n"/>
      <c r="K515" s="2" t="inlineStr">
        <is>
          <t>diesel</t>
        </is>
      </c>
      <c r="L515" s="2" t="inlineStr">
        <is>
          <t>utilitario</t>
        </is>
      </c>
      <c r="M515" s="2" t="n">
        <v>2011</v>
      </c>
      <c r="N515" s="2" t="n">
        <v>141000</v>
      </c>
      <c r="O515" s="2" t="n">
        <v>5000</v>
      </c>
      <c r="P515" s="2" t="inlineStr">
        <is>
          <t>manual</t>
        </is>
      </c>
      <c r="Q515" s="2" t="inlineStr">
        <is>
          <t>no</t>
        </is>
      </c>
      <c r="R515" s="2" t="inlineStr">
        <is>
          <t>profesional</t>
        </is>
      </c>
      <c r="S515" s="2" t="inlineStr">
        <is>
          <t>Beniparrell</t>
        </is>
      </c>
      <c r="T515" s="2" t="inlineStr">
        <is>
          <t>2026-10-05T12:39:23Z</t>
        </is>
      </c>
      <c r="U515" s="2" t="n">
        <v>13</v>
      </c>
      <c r="V515" s="2" t="n"/>
      <c r="W515" s="2" t="n"/>
      <c r="X515" s="2" t="n"/>
      <c r="Y515" s="2" t="n"/>
      <c r="Z515" s="2" t="inlineStr">
        <is>
          <t>sí</t>
        </is>
      </c>
      <c r="AA515" s="2" t="n"/>
      <c r="AB515" s="2" t="n">
        <v>12</v>
      </c>
      <c r="AC515" s="2" t="n"/>
      <c r="AD515" s="2" t="n"/>
      <c r="AE515" s="2" t="n"/>
      <c r="AF515" s="2" t="n"/>
      <c r="AG515" s="2" t="n"/>
      <c r="AH515" s="2" t="n">
        <v>5000</v>
      </c>
      <c r="AI515" s="2" t="n"/>
      <c r="AJ515" s="2" t="n"/>
      <c r="AK515" s="2" t="n"/>
      <c r="AL515" s="2" t="n"/>
      <c r="AM515" s="2" t="n">
        <v>10.2</v>
      </c>
      <c r="AN515" s="2" t="n">
        <v>4700</v>
      </c>
      <c r="AO515" s="2" t="n">
        <v>4</v>
      </c>
      <c r="AP515" s="2" t="inlineStr">
        <is>
          <t>modelo+año+km</t>
        </is>
      </c>
      <c r="AQ515" s="2" t="n"/>
      <c r="AR515" s="2" t="inlineStr">
        <is>
          <t>por encima del presupuesto (5064 €), negociar; vendedor profesional: sin ITP (operación con IVA/REBU, confirmar en factura); gastos de gestión del vendedor no indicados: se suma la tasa DGT; preguntar el precio final; diésel: motor sin fuente de fiabilidad (fiabilidad limitada a neutra)</t>
        </is>
      </c>
      <c r="AS515" s="2" t="inlineStr">
        <is>
          <t>Este Ford Fiesta 1.4 TDCi Trend es un berlina compacto de cinco puertas que destaca por su practicidad y eficiencia en consumo. El motor diésel de 1.4 litros entrega 70 CV con un par de 160 Nm, ofreciendo un comportamiento equilibrado tanto en circulación urbana como en carretera. La transmisión manual de cinco velocidades proporciona un control directo y contribuye a mantener consumos moderados, con una media de 4,1 l/100 km en ciclo mixto.
El espacio interior resulta funcional para el segmento: 295 litros de maletero con asientos montados, ampliables a 979 litros con los respaldos traseros abatidos. Los asientos delanteros incluyen ajuste en altura manual y los traseros cuentan con respaldo abatible asimétrico, lo que facilita la versatilidad de carga. La dirección asistida eléctrica con endurecimiento progresivo y la suspensión independiente delantera tipo McPherson proporcionan una conducción cómoda y controlada.
En cuanto a seguridad, este vehículo incorpora airbags frontales inteligentes y laterales delanteros, cinturones de seguridad con pretensores en los asientos delanteros, ABS y control de estabilidad. Los cristales tintados mejoran la privacidad y el confort térmico.
El equipamiento de confort incluye cierre centralizado con mando a distancia, elevalunas eléctricos delanteros con función de un solo toque, volante ajustable en altura y profundidad, y sistema de ventilación con filtro de pólen. El ordenador de viaje facilita el seguimiento del consumo y la autono</t>
        </is>
      </c>
      <c r="AT515" s="2" t="inlineStr">
        <is>
          <t>https://www.coches.net/ford-fiesta-14-tdci-trend-5p-diesel-2011-en-valencia-71021675-covo.aspx (window.__INITIAL_PROPS__.ad) /home/user/Alopecia/buscador-coches/raw/cochesnet/1f22be94c870808d.json</t>
        </is>
      </c>
      <c r="AU515" s="3">
        <f>MAX(ANIO_ACTUAL-M515,0)</f>
        <v/>
      </c>
      <c r="AV515" s="4">
        <f>N515/MAX(AU515,0.5)</f>
        <v/>
      </c>
      <c r="AW515" s="4">
        <f>F515</f>
        <v/>
      </c>
      <c r="AX515" s="3">
        <f>AW515&amp;"|"&amp;INT(M515/SEG_ANIO)*SEG_ANIO</f>
        <v/>
      </c>
      <c r="AY515" s="3">
        <f>AX515&amp;"|"&amp;INT(N515/SEG_KM)*SEG_KM</f>
        <v/>
      </c>
      <c r="AZ515" s="4">
        <f>COUNTIF($AW$2:$AW$662,AW515)</f>
        <v/>
      </c>
      <c r="BA515" s="4">
        <f>COUNTIF($AX$2:$AX$662,AX515)</f>
        <v/>
      </c>
      <c r="BB515" s="4">
        <f>COUNTIF($AY$2:$AY$662,AY515)</f>
        <v/>
      </c>
      <c r="BC515" s="3">
        <f t="array" ref="BC515">IF(N(AO515)&gt;=MIN_N,AN515,IF(BB515&gt;=MIN_N,MEDIAN(IF($AY$2:$AY$662=AY515,$O$2:$O$662)),IF(BA515&gt;=MIN_N,MEDIAN(IF($AX$2:$AX$662=AX515,$O$2:$O$662)),MEDIAN(IF($AW$2:$AW$662=AW515,$O$2:$O$662)))))</f>
        <v/>
      </c>
      <c r="BD515" s="3">
        <f>IF(N(AO515)&gt;=MIN_N,"mercado "&amp;AP515,IF(BB515&gt;=MIN_N,"modelo+año+km",IF(BA515&gt;=MIN_N,"modelo+año","modelo")))</f>
        <v/>
      </c>
      <c r="BE515" s="4">
        <f>(BC515-O515)/BC515</f>
        <v/>
      </c>
      <c r="BF515" s="3">
        <f>IF(OR(K515="hibrido",K515="glp"),"ECO",IF(K515="electrico","CERO",IF(K515="gasolina",IF(M515&gt;=GAS_C,"C",IF(M515&gt;=GAS_B,"B","A")),IF(K515="diesel",IF(M515&gt;=DIE_C,"C",IF(M515&gt;=DIE_B,"B","A")),""))))</f>
        <v/>
      </c>
      <c r="BG515" s="3">
        <f>IFERROR(VLOOKUP(F515,MOD_TBL,11,0),IFERROR(VLOOKUP(E515,OCU_TBL,2,0),NEUTRO))</f>
        <v/>
      </c>
      <c r="BH515" s="3">
        <f>SUMIFS(MOT_AJUSTE,MOT_MOTOR,G515,MOT_MARCA,E515,MOT_DESDE,"&lt;="&amp;M515,MOT_HASTA,"&gt;="&amp;M515)+SUMIFS(MOT_AJUSTE,MOT_MOTOR,G515,MOT_MARCA,"(todas)",MOT_DESDE,"&lt;="&amp;M515,MOT_HASTA,"&gt;="&amp;M515)</f>
        <v/>
      </c>
      <c r="BI515" s="3">
        <f>SUMIFS(COMB_AJUSTE,COMB_COMB,K515)</f>
        <v/>
      </c>
      <c r="BJ515" s="3">
        <f>COUNTIFS(MOT_MOTOR,G515,MOT_MARCA,E515,MOT_DESDE,"&lt;="&amp;M515,MOT_HASTA,"&gt;="&amp;M515)+COUNTIFS(MOT_MOTOR,G515,MOT_MARCA,"(todas)",MOT_DESDE,"&lt;="&amp;M515,MOT_HASTA,"&gt;="&amp;M515)</f>
        <v/>
      </c>
      <c r="BK515" s="3">
        <f>IF(AND(K515="diesel",BJ515=0),MIN(BG515,NEUTRO),BG515)</f>
        <v/>
      </c>
      <c r="BL515" s="4">
        <f>MAX(0,MIN(100,BK515+BH515+BI515))</f>
        <v/>
      </c>
      <c r="BM515" s="3">
        <f>MAX(0,MIN(100,50+BE515*PRECIO_PEND))</f>
        <v/>
      </c>
      <c r="BN515" s="3">
        <f>MAX(0,100*(1-N515/KM_MAX))</f>
        <v/>
      </c>
      <c r="BO515" s="3">
        <f>IF(AV515&lt;KMA_SOSP,IF(AA515="sí",100,KMA_PEN),IF(AV515&lt;=KMA_IDEAL_MAX,100,MAX(0,100*(KMA_CERO-AV515)/(KMA_CERO-KMA_IDEAL_MAX))))</f>
        <v/>
      </c>
      <c r="BP515" s="3">
        <f>MAX(0,MIN(100,100*(M515-ANIO_MIN)/(ANIO_ACTUAL-ANIO_MIN)))</f>
        <v/>
      </c>
      <c r="BQ515" s="3">
        <f>W_KMT*BN515+W_KMA*BO515+W_EDAD*BP515</f>
        <v/>
      </c>
      <c r="BR515" s="3">
        <f>P_ITV*(V515="sí")+P_LIBRO*(W515="sí")+P_CORREA*(X515="sí")+P_PROP*(Y515=1)+P_GAR*(Z515="sí")+P_FOTOS*MIN(1,N(U515)/FOTOS_OBJ)</f>
        <v/>
      </c>
      <c r="BS515" s="3">
        <f>IFERROR(VLOOKUP(BF515,ETQ_TBL,2,0),NEUTRO)</f>
        <v/>
      </c>
      <c r="BT515" s="3">
        <f>NEUTRO</f>
        <v/>
      </c>
      <c r="BU515" s="3">
        <f>IFERROR(VLOOKUP(L515,SEGURO_TBL,3,0),"")</f>
        <v/>
      </c>
      <c r="BV515" s="3">
        <f>IF(BU515="",NEUTRO,MAX(0,MIN(100,100*(SEG_REF_MAX-BU515)/(SEG_REF_MAX-SEG_REF_MIN))))</f>
        <v/>
      </c>
      <c r="BW515" s="3">
        <f>W_ET*BS515+W_CONS*BT515+W_SEG*BV515</f>
        <v/>
      </c>
      <c r="BX515" s="3">
        <f>IF(N(AB515)&gt;0,AB515,IF(AND(R515="profesional",SG_LEGAL_ON=1),GAR_LEGAL,0))</f>
        <v/>
      </c>
      <c r="BY515" s="3">
        <f>SG_GAR*MIN(1,BX515/SG_GAR_FULL)+SG_AMPL*(AC515="sí")+SG_KMC*(AF515="sí")+SG_REV*(N(AE515)&gt;0)+SG_DEV*MIN(1,N(AG515)/SG_DEV_FULL)+SG_HIST*(W515="sí")</f>
        <v/>
      </c>
      <c r="BZ515" s="3">
        <f>IFERROR(VLOOKUP(L515,CARR_PEN_TBL,2,0),0)</f>
        <v/>
      </c>
      <c r="CA515" s="3">
        <f>W_FIAB*BL515+W_PRECIO*BM515+W_KMEDAD*BQ515+W_ANUNCIO*BR515+W_USO*BW515+W_SEGURIDAD*BY515-BZ515</f>
        <v/>
      </c>
      <c r="CB515" s="4">
        <f>IF(N(I515)&gt;0,I515,IFERROR(ROUND(_xlfn.NUMBERVALUE(LEFT(G515,FIND(" ",G515&amp;" ")-1),".")*1000,0),99999))</f>
        <v/>
      </c>
      <c r="CC515" s="3">
        <f>IF(R515="profesional",0,IF(O515&lt;CUOTA_VALOR_MAX,IF(AU515&gt;ITP_TRAMO_ALTO,SUMIFS(CF_CUOTA,CF_MAS,ITP_TRAMO_ALTO,CF_CCMIN,"&lt;="&amp;CB515,CF_CCMAX,"&gt;="&amp;CB515),IF(AU515&gt;ITP_TRAMO_BAJO,SUMIFS(CF_CUOTA,CF_MAS,ITP_TRAMO_BAJO,CF_CCMIN,"&lt;="&amp;CB515,CF_CCMAX,"&gt;="&amp;CB515),O515*ITP_TIPO)),O515*ITP_TIPO))</f>
        <v/>
      </c>
      <c r="CD515" s="4">
        <f>IF(R515="profesional",N(AK515),0)</f>
        <v/>
      </c>
      <c r="CE515" s="3">
        <f>IF(AND(R515="profesional",ISNUMBER(AK515),AL515="sí"),0,TASA_DGT)</f>
        <v/>
      </c>
      <c r="CF515" s="3">
        <f>INFORME_DGT</f>
        <v/>
      </c>
      <c r="CG515" s="4">
        <f>O515+CD515+CC515+CE515+CF515</f>
        <v/>
      </c>
      <c r="CH515" s="4">
        <f>CG515+N(BU515)</f>
        <v/>
      </c>
      <c r="CI515" s="3">
        <f>IF(CG515&lt;=TOTAL_MAX,"sí",IF(CG515&lt;=TOTAL_MAX+MARGEN_NEG,"negociar","no"))</f>
        <v/>
      </c>
      <c r="CJ515" s="4">
        <f>IF(CI515&lt;&gt;"no",COUNTIFS($CI$2:$CI$662,"&lt;&gt;no",$CA$2:$CA$662,"&gt;"&amp;CA515)+COUNTIFS($CI$2:CI515,"&lt;&gt;no",$CA$2:CA515,CA515),"")</f>
        <v/>
      </c>
    </row>
    <row r="516">
      <c r="A516" s="2" t="inlineStr">
        <is>
          <t>cochesnet:71579775</t>
        </is>
      </c>
      <c r="B516" s="2" t="inlineStr">
        <is>
          <t>cochesnet</t>
        </is>
      </c>
      <c r="C516" s="2" t="inlineStr">
        <is>
          <t>https://www.coches.net/ford-fiesta-14-tdci-ghia-5p-diesel-2009-en-valencia-71579775-covo.aspx</t>
        </is>
      </c>
      <c r="D516" s="2" t="inlineStr">
        <is>
          <t>FORD Fiesta 1.4 TDCi Ghia</t>
        </is>
      </c>
      <c r="E516" s="2" t="inlineStr">
        <is>
          <t>Ford</t>
        </is>
      </c>
      <c r="F516" s="2" t="inlineStr">
        <is>
          <t>Ford Fiesta</t>
        </is>
      </c>
      <c r="G516" s="2" t="inlineStr">
        <is>
          <t>1.4 TDCi</t>
        </is>
      </c>
      <c r="H516" s="2" t="inlineStr">
        <is>
          <t>1.4 TDCi Ghia</t>
        </is>
      </c>
      <c r="I516" s="2" t="n"/>
      <c r="J516" s="2" t="n"/>
      <c r="K516" s="2" t="inlineStr">
        <is>
          <t>diesel</t>
        </is>
      </c>
      <c r="L516" s="2" t="inlineStr">
        <is>
          <t>utilitario</t>
        </is>
      </c>
      <c r="M516" s="2" t="n">
        <v>2009</v>
      </c>
      <c r="N516" s="2" t="n">
        <v>149000</v>
      </c>
      <c r="O516" s="2" t="n">
        <v>4990</v>
      </c>
      <c r="P516" s="2" t="inlineStr">
        <is>
          <t>manual</t>
        </is>
      </c>
      <c r="Q516" s="2" t="inlineStr">
        <is>
          <t>no</t>
        </is>
      </c>
      <c r="R516" s="2" t="inlineStr">
        <is>
          <t>profesional</t>
        </is>
      </c>
      <c r="S516" s="2" t="inlineStr">
        <is>
          <t>IMPER BLUE Bonrepòs i Mirambell</t>
        </is>
      </c>
      <c r="T516" s="2" t="inlineStr">
        <is>
          <t>2026-09-23T12:26:07Z</t>
        </is>
      </c>
      <c r="U516" s="2" t="n">
        <v>17</v>
      </c>
      <c r="V516" s="2" t="inlineStr">
        <is>
          <t>sí</t>
        </is>
      </c>
      <c r="W516" s="2" t="n"/>
      <c r="X516" s="2" t="n"/>
      <c r="Y516" s="2" t="n"/>
      <c r="Z516" s="2" t="inlineStr">
        <is>
          <t>sí</t>
        </is>
      </c>
      <c r="AA516" s="2" t="n"/>
      <c r="AB516" s="2" t="n">
        <v>12</v>
      </c>
      <c r="AC516" s="2" t="n"/>
      <c r="AD516" s="2" t="n"/>
      <c r="AE516" s="2" t="n"/>
      <c r="AF516" s="2" t="n"/>
      <c r="AG516" s="2" t="n"/>
      <c r="AH516" s="2" t="n">
        <v>4990</v>
      </c>
      <c r="AI516" s="2" t="n">
        <v>4990</v>
      </c>
      <c r="AJ516" s="2" t="n"/>
      <c r="AK516" s="2" t="n"/>
      <c r="AL516" s="2" t="n"/>
      <c r="AM516" s="2" t="n">
        <v>5.3</v>
      </c>
      <c r="AN516" s="2" t="n">
        <v>4990</v>
      </c>
      <c r="AO516" s="2" t="n">
        <v>9</v>
      </c>
      <c r="AP516" s="2" t="inlineStr">
        <is>
          <t>modelo+año+km</t>
        </is>
      </c>
      <c r="AQ516" s="2" t="n"/>
      <c r="AR516" s="2" t="inlineStr">
        <is>
          <t>por encima del presupuesto (5054 €), negociar; vendedor profesional: sin ITP (operación con IVA/REBU, confirmar en factura); gastos de gestión del vendedor no indicados: se suma la tasa DGT; preguntar el precio final; diésel: motor sin fuente de fiabilidad (fiabilidad limitada a neutra)</t>
        </is>
      </c>
      <c r="AS516" s="2" t="inlineStr">
        <is>
          <t>- IMPER BLUE - 
Concesionario multimarca con mas de 300 vehículos en stock.
Vehículo nacional en perfecto estado de funcionamiento general , cuenta con las 2 llaves originales y se entrega con mantenimiento e ITV al día. 
GARANTIA de 12 meses INCLUIDA en el precio.
Ford fiesta 1.4 Diesel tdci motor super fiable con un consumo muy bajo ideal para el día a día, vehículo bien cuidado con un perfecto funcionamiento total. 
Dispone de paquete deportivo con llantas de aluminio 5 radios
Climatizador digital
Eleva lunas eléctricos
Radio con conexión para el móvil
Cierre centralizado 
Para mas información no dude en contactarnos, el anuncio puede contener errores tipográficos.</t>
        </is>
      </c>
      <c r="AT516" s="2" t="inlineStr">
        <is>
          <t>https://www.coches.net/ford-fiesta-14-tdci-ghia-5p-diesel-2009-en-valencia-71579775-covo.aspx (window.__INITIAL_PROPS__.ad) /home/user/Alopecia/buscador-coches/raw/cochesnet/e6fe16c41392a16e.json</t>
        </is>
      </c>
      <c r="AU516" s="3">
        <f>MAX(ANIO_ACTUAL-M516,0)</f>
        <v/>
      </c>
      <c r="AV516" s="4">
        <f>N516/MAX(AU516,0.5)</f>
        <v/>
      </c>
      <c r="AW516" s="4">
        <f>F516</f>
        <v/>
      </c>
      <c r="AX516" s="3">
        <f>AW516&amp;"|"&amp;INT(M516/SEG_ANIO)*SEG_ANIO</f>
        <v/>
      </c>
      <c r="AY516" s="3">
        <f>AX516&amp;"|"&amp;INT(N516/SEG_KM)*SEG_KM</f>
        <v/>
      </c>
      <c r="AZ516" s="4">
        <f>COUNTIF($AW$2:$AW$662,AW516)</f>
        <v/>
      </c>
      <c r="BA516" s="4">
        <f>COUNTIF($AX$2:$AX$662,AX516)</f>
        <v/>
      </c>
      <c r="BB516" s="4">
        <f>COUNTIF($AY$2:$AY$662,AY516)</f>
        <v/>
      </c>
      <c r="BC516" s="3">
        <f t="array" ref="BC516">IF(N(AO516)&gt;=MIN_N,AN516,IF(BB516&gt;=MIN_N,MEDIAN(IF($AY$2:$AY$662=AY516,$O$2:$O$662)),IF(BA516&gt;=MIN_N,MEDIAN(IF($AX$2:$AX$662=AX516,$O$2:$O$662)),MEDIAN(IF($AW$2:$AW$662=AW516,$O$2:$O$662)))))</f>
        <v/>
      </c>
      <c r="BD516" s="3">
        <f>IF(N(AO516)&gt;=MIN_N,"mercado "&amp;AP516,IF(BB516&gt;=MIN_N,"modelo+año+km",IF(BA516&gt;=MIN_N,"modelo+año","modelo")))</f>
        <v/>
      </c>
      <c r="BE516" s="4">
        <f>(BC516-O516)/BC516</f>
        <v/>
      </c>
      <c r="BF516" s="3">
        <f>IF(OR(K516="hibrido",K516="glp"),"ECO",IF(K516="electrico","CERO",IF(K516="gasolina",IF(M516&gt;=GAS_C,"C",IF(M516&gt;=GAS_B,"B","A")),IF(K516="diesel",IF(M516&gt;=DIE_C,"C",IF(M516&gt;=DIE_B,"B","A")),""))))</f>
        <v/>
      </c>
      <c r="BG516" s="3">
        <f>IFERROR(VLOOKUP(F516,MOD_TBL,11,0),IFERROR(VLOOKUP(E516,OCU_TBL,2,0),NEUTRO))</f>
        <v/>
      </c>
      <c r="BH516" s="3">
        <f>SUMIFS(MOT_AJUSTE,MOT_MOTOR,G516,MOT_MARCA,E516,MOT_DESDE,"&lt;="&amp;M516,MOT_HASTA,"&gt;="&amp;M516)+SUMIFS(MOT_AJUSTE,MOT_MOTOR,G516,MOT_MARCA,"(todas)",MOT_DESDE,"&lt;="&amp;M516,MOT_HASTA,"&gt;="&amp;M516)</f>
        <v/>
      </c>
      <c r="BI516" s="3">
        <f>SUMIFS(COMB_AJUSTE,COMB_COMB,K516)</f>
        <v/>
      </c>
      <c r="BJ516" s="3">
        <f>COUNTIFS(MOT_MOTOR,G516,MOT_MARCA,E516,MOT_DESDE,"&lt;="&amp;M516,MOT_HASTA,"&gt;="&amp;M516)+COUNTIFS(MOT_MOTOR,G516,MOT_MARCA,"(todas)",MOT_DESDE,"&lt;="&amp;M516,MOT_HASTA,"&gt;="&amp;M516)</f>
        <v/>
      </c>
      <c r="BK516" s="3">
        <f>IF(AND(K516="diesel",BJ516=0),MIN(BG516,NEUTRO),BG516)</f>
        <v/>
      </c>
      <c r="BL516" s="4">
        <f>MAX(0,MIN(100,BK516+BH516+BI516))</f>
        <v/>
      </c>
      <c r="BM516" s="3">
        <f>MAX(0,MIN(100,50+BE516*PRECIO_PEND))</f>
        <v/>
      </c>
      <c r="BN516" s="3">
        <f>MAX(0,100*(1-N516/KM_MAX))</f>
        <v/>
      </c>
      <c r="BO516" s="3">
        <f>IF(AV516&lt;KMA_SOSP,IF(AA516="sí",100,KMA_PEN),IF(AV516&lt;=KMA_IDEAL_MAX,100,MAX(0,100*(KMA_CERO-AV516)/(KMA_CERO-KMA_IDEAL_MAX))))</f>
        <v/>
      </c>
      <c r="BP516" s="3">
        <f>MAX(0,MIN(100,100*(M516-ANIO_MIN)/(ANIO_ACTUAL-ANIO_MIN)))</f>
        <v/>
      </c>
      <c r="BQ516" s="3">
        <f>W_KMT*BN516+W_KMA*BO516+W_EDAD*BP516</f>
        <v/>
      </c>
      <c r="BR516" s="3">
        <f>P_ITV*(V516="sí")+P_LIBRO*(W516="sí")+P_CORREA*(X516="sí")+P_PROP*(Y516=1)+P_GAR*(Z516="sí")+P_FOTOS*MIN(1,N(U516)/FOTOS_OBJ)</f>
        <v/>
      </c>
      <c r="BS516" s="3">
        <f>IFERROR(VLOOKUP(BF516,ETQ_TBL,2,0),NEUTRO)</f>
        <v/>
      </c>
      <c r="BT516" s="3">
        <f>NEUTRO</f>
        <v/>
      </c>
      <c r="BU516" s="3">
        <f>IFERROR(VLOOKUP(L516,SEGURO_TBL,3,0),"")</f>
        <v/>
      </c>
      <c r="BV516" s="3">
        <f>IF(BU516="",NEUTRO,MAX(0,MIN(100,100*(SEG_REF_MAX-BU516)/(SEG_REF_MAX-SEG_REF_MIN))))</f>
        <v/>
      </c>
      <c r="BW516" s="3">
        <f>W_ET*BS516+W_CONS*BT516+W_SEG*BV516</f>
        <v/>
      </c>
      <c r="BX516" s="3">
        <f>IF(N(AB516)&gt;0,AB516,IF(AND(R516="profesional",SG_LEGAL_ON=1),GAR_LEGAL,0))</f>
        <v/>
      </c>
      <c r="BY516" s="3">
        <f>SG_GAR*MIN(1,BX516/SG_GAR_FULL)+SG_AMPL*(AC516="sí")+SG_KMC*(AF516="sí")+SG_REV*(N(AE516)&gt;0)+SG_DEV*MIN(1,N(AG516)/SG_DEV_FULL)+SG_HIST*(W516="sí")</f>
        <v/>
      </c>
      <c r="BZ516" s="3">
        <f>IFERROR(VLOOKUP(L516,CARR_PEN_TBL,2,0),0)</f>
        <v/>
      </c>
      <c r="CA516" s="3">
        <f>W_FIAB*BL516+W_PRECIO*BM516+W_KMEDAD*BQ516+W_ANUNCIO*BR516+W_USO*BW516+W_SEGURIDAD*BY516-BZ516</f>
        <v/>
      </c>
      <c r="CB516" s="4">
        <f>IF(N(I516)&gt;0,I516,IFERROR(ROUND(_xlfn.NUMBERVALUE(LEFT(G516,FIND(" ",G516&amp;" ")-1),".")*1000,0),99999))</f>
        <v/>
      </c>
      <c r="CC516" s="3">
        <f>IF(R516="profesional",0,IF(O516&lt;CUOTA_VALOR_MAX,IF(AU516&gt;ITP_TRAMO_ALTO,SUMIFS(CF_CUOTA,CF_MAS,ITP_TRAMO_ALTO,CF_CCMIN,"&lt;="&amp;CB516,CF_CCMAX,"&gt;="&amp;CB516),IF(AU516&gt;ITP_TRAMO_BAJO,SUMIFS(CF_CUOTA,CF_MAS,ITP_TRAMO_BAJO,CF_CCMIN,"&lt;="&amp;CB516,CF_CCMAX,"&gt;="&amp;CB516),O516*ITP_TIPO)),O516*ITP_TIPO))</f>
        <v/>
      </c>
      <c r="CD516" s="4">
        <f>IF(R516="profesional",N(AK516),0)</f>
        <v/>
      </c>
      <c r="CE516" s="3">
        <f>IF(AND(R516="profesional",ISNUMBER(AK516),AL516="sí"),0,TASA_DGT)</f>
        <v/>
      </c>
      <c r="CF516" s="3">
        <f>INFORME_DGT</f>
        <v/>
      </c>
      <c r="CG516" s="4">
        <f>O516+CD516+CC516+CE516+CF516</f>
        <v/>
      </c>
      <c r="CH516" s="4">
        <f>CG516+N(BU516)</f>
        <v/>
      </c>
      <c r="CI516" s="3">
        <f>IF(CG516&lt;=TOTAL_MAX,"sí",IF(CG516&lt;=TOTAL_MAX+MARGEN_NEG,"negociar","no"))</f>
        <v/>
      </c>
      <c r="CJ516" s="4">
        <f>IF(CI516&lt;&gt;"no",COUNTIFS($CI$2:$CI$662,"&lt;&gt;no",$CA$2:$CA$662,"&gt;"&amp;CA516)+COUNTIFS($CI$2:CI516,"&lt;&gt;no",$CA$2:CA516,CA516),"")</f>
        <v/>
      </c>
    </row>
    <row r="517">
      <c r="A517" s="2" t="inlineStr">
        <is>
          <t>cochesnet:61554598</t>
        </is>
      </c>
      <c r="B517" s="2" t="inlineStr">
        <is>
          <t>cochesnet</t>
        </is>
      </c>
      <c r="C517" s="2" t="inlineStr">
        <is>
          <t>https://www.coches.net/ford-fiesta-16-tdci-sport-3p-diesel-2009-en-valencia-61554598-covo.aspx</t>
        </is>
      </c>
      <c r="D517" s="2" t="inlineStr">
        <is>
          <t>FORD Fiesta 1.6 TDCi Sport</t>
        </is>
      </c>
      <c r="E517" s="2" t="inlineStr">
        <is>
          <t>Ford</t>
        </is>
      </c>
      <c r="F517" s="2" t="inlineStr">
        <is>
          <t>Ford Fiesta</t>
        </is>
      </c>
      <c r="G517" s="2" t="inlineStr">
        <is>
          <t>1.6 TDCi</t>
        </is>
      </c>
      <c r="H517" s="2" t="inlineStr">
        <is>
          <t>1.6 TDCi Sport</t>
        </is>
      </c>
      <c r="I517" s="2" t="n"/>
      <c r="J517" s="2" t="n"/>
      <c r="K517" s="2" t="inlineStr">
        <is>
          <t>diesel</t>
        </is>
      </c>
      <c r="L517" s="2" t="inlineStr">
        <is>
          <t>utilitario</t>
        </is>
      </c>
      <c r="M517" s="2" t="n">
        <v>2009</v>
      </c>
      <c r="N517" s="2" t="n">
        <v>164800</v>
      </c>
      <c r="O517" s="2" t="n">
        <v>5000</v>
      </c>
      <c r="P517" s="2" t="inlineStr">
        <is>
          <t>manual</t>
        </is>
      </c>
      <c r="Q517" s="2" t="inlineStr">
        <is>
          <t>no</t>
        </is>
      </c>
      <c r="R517" s="2" t="inlineStr">
        <is>
          <t>profesional</t>
        </is>
      </c>
      <c r="S517" s="2" t="inlineStr">
        <is>
          <t>Motor Valencia Alaquàs</t>
        </is>
      </c>
      <c r="T517" s="2" t="inlineStr">
        <is>
          <t>2026-10-09T08:16:51Z</t>
        </is>
      </c>
      <c r="U517" s="2" t="n">
        <v>20</v>
      </c>
      <c r="V517" s="2" t="inlineStr">
        <is>
          <t>sí</t>
        </is>
      </c>
      <c r="W517" s="2" t="n"/>
      <c r="X517" s="2" t="n"/>
      <c r="Y517" s="2" t="n"/>
      <c r="Z517" s="2" t="inlineStr">
        <is>
          <t>sí</t>
        </is>
      </c>
      <c r="AA517" s="2" t="n"/>
      <c r="AB517" s="2" t="n">
        <v>12</v>
      </c>
      <c r="AC517" s="2" t="n"/>
      <c r="AD517" s="2" t="n"/>
      <c r="AE517" s="2" t="n"/>
      <c r="AF517" s="2" t="n"/>
      <c r="AG517" s="2" t="n"/>
      <c r="AH517" s="2" t="n">
        <v>5000</v>
      </c>
      <c r="AI517" s="2" t="n">
        <v>5000</v>
      </c>
      <c r="AJ517" s="2" t="n"/>
      <c r="AK517" s="2" t="n"/>
      <c r="AL517" s="2" t="n"/>
      <c r="AM517" s="2" t="n">
        <v>7.4</v>
      </c>
      <c r="AN517" s="2" t="n">
        <v>4500</v>
      </c>
      <c r="AO517" s="2" t="n">
        <v>18</v>
      </c>
      <c r="AP517" s="2" t="inlineStr">
        <is>
          <t>modelo+año+km</t>
        </is>
      </c>
      <c r="AQ517" s="2" t="n"/>
      <c r="AR517" s="2" t="inlineStr">
        <is>
          <t>por encima del presupuesto (5064 €), negociar; vendedor profesional: sin ITP (operación con IVA/REBU, confirmar en factura); gastos de gestión del vendedor no indicados: se suma la tasa DGT; preguntar el precio final</t>
        </is>
      </c>
      <c r="AS517" s="2" t="inlineStr">
        <is>
          <t>MUY BUEN ESTADO DE CONSERVACION, MODELO SPORT 90cv, ASIENTOS ENVOLVENTES, LLANTA 17" , ITV RECIEN PASADA, MANDOS VOLANTE, SE ENTREGA CON KIT EMBRAGUE RECIEN CAMBIADO, CON GARANTIA Y MANTENIMIENTO COMPLETO RECIEN REALIZADO, SE ACEPTA PRUEBA MECANICA DONDE DESIGNE COMPRADOR,  CONSULTE STOCK VEHCICULOS DISPONIBLES EN NUESTRA PAGINA MOTORVALENCIA</t>
        </is>
      </c>
      <c r="AT517" s="2" t="inlineStr">
        <is>
          <t>https://www.coches.net/ford-fiesta-16-tdci-sport-3p-diesel-2009-en-valencia-61554598-covo.aspx (window.__INITIAL_PROPS__.ad) /home/user/Alopecia/buscador-coches/raw/cochesnet/6e0388e560ba918f.json</t>
        </is>
      </c>
      <c r="AU517" s="3">
        <f>MAX(ANIO_ACTUAL-M517,0)</f>
        <v/>
      </c>
      <c r="AV517" s="4">
        <f>N517/MAX(AU517,0.5)</f>
        <v/>
      </c>
      <c r="AW517" s="4">
        <f>F517</f>
        <v/>
      </c>
      <c r="AX517" s="3">
        <f>AW517&amp;"|"&amp;INT(M517/SEG_ANIO)*SEG_ANIO</f>
        <v/>
      </c>
      <c r="AY517" s="3">
        <f>AX517&amp;"|"&amp;INT(N517/SEG_KM)*SEG_KM</f>
        <v/>
      </c>
      <c r="AZ517" s="4">
        <f>COUNTIF($AW$2:$AW$662,AW517)</f>
        <v/>
      </c>
      <c r="BA517" s="4">
        <f>COUNTIF($AX$2:$AX$662,AX517)</f>
        <v/>
      </c>
      <c r="BB517" s="4">
        <f>COUNTIF($AY$2:$AY$662,AY517)</f>
        <v/>
      </c>
      <c r="BC517" s="3">
        <f t="array" ref="BC517">IF(N(AO517)&gt;=MIN_N,AN517,IF(BB517&gt;=MIN_N,MEDIAN(IF($AY$2:$AY$662=AY517,$O$2:$O$662)),IF(BA517&gt;=MIN_N,MEDIAN(IF($AX$2:$AX$662=AX517,$O$2:$O$662)),MEDIAN(IF($AW$2:$AW$662=AW517,$O$2:$O$662)))))</f>
        <v/>
      </c>
      <c r="BD517" s="3">
        <f>IF(N(AO517)&gt;=MIN_N,"mercado "&amp;AP517,IF(BB517&gt;=MIN_N,"modelo+año+km",IF(BA517&gt;=MIN_N,"modelo+año","modelo")))</f>
        <v/>
      </c>
      <c r="BE517" s="4">
        <f>(BC517-O517)/BC517</f>
        <v/>
      </c>
      <c r="BF517" s="3">
        <f>IF(OR(K517="hibrido",K517="glp"),"ECO",IF(K517="electrico","CERO",IF(K517="gasolina",IF(M517&gt;=GAS_C,"C",IF(M517&gt;=GAS_B,"B","A")),IF(K517="diesel",IF(M517&gt;=DIE_C,"C",IF(M517&gt;=DIE_B,"B","A")),""))))</f>
        <v/>
      </c>
      <c r="BG517" s="3">
        <f>IFERROR(VLOOKUP(F517,MOD_TBL,11,0),IFERROR(VLOOKUP(E517,OCU_TBL,2,0),NEUTRO))</f>
        <v/>
      </c>
      <c r="BH517" s="3">
        <f>SUMIFS(MOT_AJUSTE,MOT_MOTOR,G517,MOT_MARCA,E517,MOT_DESDE,"&lt;="&amp;M517,MOT_HASTA,"&gt;="&amp;M517)+SUMIFS(MOT_AJUSTE,MOT_MOTOR,G517,MOT_MARCA,"(todas)",MOT_DESDE,"&lt;="&amp;M517,MOT_HASTA,"&gt;="&amp;M517)</f>
        <v/>
      </c>
      <c r="BI517" s="3">
        <f>SUMIFS(COMB_AJUSTE,COMB_COMB,K517)</f>
        <v/>
      </c>
      <c r="BJ517" s="3">
        <f>COUNTIFS(MOT_MOTOR,G517,MOT_MARCA,E517,MOT_DESDE,"&lt;="&amp;M517,MOT_HASTA,"&gt;="&amp;M517)+COUNTIFS(MOT_MOTOR,G517,MOT_MARCA,"(todas)",MOT_DESDE,"&lt;="&amp;M517,MOT_HASTA,"&gt;="&amp;M517)</f>
        <v/>
      </c>
      <c r="BK517" s="3">
        <f>IF(AND(K517="diesel",BJ517=0),MIN(BG517,NEUTRO),BG517)</f>
        <v/>
      </c>
      <c r="BL517" s="4">
        <f>MAX(0,MIN(100,BK517+BH517+BI517))</f>
        <v/>
      </c>
      <c r="BM517" s="3">
        <f>MAX(0,MIN(100,50+BE517*PRECIO_PEND))</f>
        <v/>
      </c>
      <c r="BN517" s="3">
        <f>MAX(0,100*(1-N517/KM_MAX))</f>
        <v/>
      </c>
      <c r="BO517" s="3">
        <f>IF(AV517&lt;KMA_SOSP,IF(AA517="sí",100,KMA_PEN),IF(AV517&lt;=KMA_IDEAL_MAX,100,MAX(0,100*(KMA_CERO-AV517)/(KMA_CERO-KMA_IDEAL_MAX))))</f>
        <v/>
      </c>
      <c r="BP517" s="3">
        <f>MAX(0,MIN(100,100*(M517-ANIO_MIN)/(ANIO_ACTUAL-ANIO_MIN)))</f>
        <v/>
      </c>
      <c r="BQ517" s="3">
        <f>W_KMT*BN517+W_KMA*BO517+W_EDAD*BP517</f>
        <v/>
      </c>
      <c r="BR517" s="3">
        <f>P_ITV*(V517="sí")+P_LIBRO*(W517="sí")+P_CORREA*(X517="sí")+P_PROP*(Y517=1)+P_GAR*(Z517="sí")+P_FOTOS*MIN(1,N(U517)/FOTOS_OBJ)</f>
        <v/>
      </c>
      <c r="BS517" s="3">
        <f>IFERROR(VLOOKUP(BF517,ETQ_TBL,2,0),NEUTRO)</f>
        <v/>
      </c>
      <c r="BT517" s="3">
        <f>NEUTRO</f>
        <v/>
      </c>
      <c r="BU517" s="3">
        <f>IFERROR(VLOOKUP(L517,SEGURO_TBL,3,0),"")</f>
        <v/>
      </c>
      <c r="BV517" s="3">
        <f>IF(BU517="",NEUTRO,MAX(0,MIN(100,100*(SEG_REF_MAX-BU517)/(SEG_REF_MAX-SEG_REF_MIN))))</f>
        <v/>
      </c>
      <c r="BW517" s="3">
        <f>W_ET*BS517+W_CONS*BT517+W_SEG*BV517</f>
        <v/>
      </c>
      <c r="BX517" s="3">
        <f>IF(N(AB517)&gt;0,AB517,IF(AND(R517="profesional",SG_LEGAL_ON=1),GAR_LEGAL,0))</f>
        <v/>
      </c>
      <c r="BY517" s="3">
        <f>SG_GAR*MIN(1,BX517/SG_GAR_FULL)+SG_AMPL*(AC517="sí")+SG_KMC*(AF517="sí")+SG_REV*(N(AE517)&gt;0)+SG_DEV*MIN(1,N(AG517)/SG_DEV_FULL)+SG_HIST*(W517="sí")</f>
        <v/>
      </c>
      <c r="BZ517" s="3">
        <f>IFERROR(VLOOKUP(L517,CARR_PEN_TBL,2,0),0)</f>
        <v/>
      </c>
      <c r="CA517" s="3">
        <f>W_FIAB*BL517+W_PRECIO*BM517+W_KMEDAD*BQ517+W_ANUNCIO*BR517+W_USO*BW517+W_SEGURIDAD*BY517-BZ517</f>
        <v/>
      </c>
      <c r="CB517" s="4">
        <f>IF(N(I517)&gt;0,I517,IFERROR(ROUND(_xlfn.NUMBERVALUE(LEFT(G517,FIND(" ",G517&amp;" ")-1),".")*1000,0),99999))</f>
        <v/>
      </c>
      <c r="CC517" s="3">
        <f>IF(R517="profesional",0,IF(O517&lt;CUOTA_VALOR_MAX,IF(AU517&gt;ITP_TRAMO_ALTO,SUMIFS(CF_CUOTA,CF_MAS,ITP_TRAMO_ALTO,CF_CCMIN,"&lt;="&amp;CB517,CF_CCMAX,"&gt;="&amp;CB517),IF(AU517&gt;ITP_TRAMO_BAJO,SUMIFS(CF_CUOTA,CF_MAS,ITP_TRAMO_BAJO,CF_CCMIN,"&lt;="&amp;CB517,CF_CCMAX,"&gt;="&amp;CB517),O517*ITP_TIPO)),O517*ITP_TIPO))</f>
        <v/>
      </c>
      <c r="CD517" s="4">
        <f>IF(R517="profesional",N(AK517),0)</f>
        <v/>
      </c>
      <c r="CE517" s="3">
        <f>IF(AND(R517="profesional",ISNUMBER(AK517),AL517="sí"),0,TASA_DGT)</f>
        <v/>
      </c>
      <c r="CF517" s="3">
        <f>INFORME_DGT</f>
        <v/>
      </c>
      <c r="CG517" s="4">
        <f>O517+CD517+CC517+CE517+CF517</f>
        <v/>
      </c>
      <c r="CH517" s="4">
        <f>CG517+N(BU517)</f>
        <v/>
      </c>
      <c r="CI517" s="3">
        <f>IF(CG517&lt;=TOTAL_MAX,"sí",IF(CG517&lt;=TOTAL_MAX+MARGEN_NEG,"negociar","no"))</f>
        <v/>
      </c>
      <c r="CJ517" s="4">
        <f>IF(CI517&lt;&gt;"no",COUNTIFS($CI$2:$CI$662,"&lt;&gt;no",$CA$2:$CA$662,"&gt;"&amp;CA517)+COUNTIFS($CI$2:CI517,"&lt;&gt;no",$CA$2:CA517,CA517),"")</f>
        <v/>
      </c>
    </row>
    <row r="518">
      <c r="A518" s="2" t="inlineStr">
        <is>
          <t>cochesnet:71519458</t>
        </is>
      </c>
      <c r="B518" s="2" t="inlineStr">
        <is>
          <t>cochesnet</t>
        </is>
      </c>
      <c r="C518" s="2" t="inlineStr">
        <is>
          <t>https://www.coches.net/ford-fiesta-diesel-2006-en-valencia-71519458-covo.aspx</t>
        </is>
      </c>
      <c r="D518" s="2" t="inlineStr">
        <is>
          <t>FORD Fiesta</t>
        </is>
      </c>
      <c r="E518" s="2" t="inlineStr">
        <is>
          <t>Ford</t>
        </is>
      </c>
      <c r="F518" s="2" t="inlineStr">
        <is>
          <t>Ford Fiesta</t>
        </is>
      </c>
      <c r="G518" s="2" t="n"/>
      <c r="H518" s="2" t="n"/>
      <c r="I518" s="2" t="n"/>
      <c r="J518" s="2" t="n"/>
      <c r="K518" s="2" t="inlineStr">
        <is>
          <t>diesel</t>
        </is>
      </c>
      <c r="L518" s="2" t="inlineStr">
        <is>
          <t>utilitario</t>
        </is>
      </c>
      <c r="M518" s="2" t="n">
        <v>2006</v>
      </c>
      <c r="N518" s="2" t="n">
        <v>133000</v>
      </c>
      <c r="O518" s="2" t="n">
        <v>3000</v>
      </c>
      <c r="P518" s="2" t="inlineStr">
        <is>
          <t>manual</t>
        </is>
      </c>
      <c r="Q518" s="2" t="inlineStr">
        <is>
          <t>no</t>
        </is>
      </c>
      <c r="R518" s="2" t="inlineStr">
        <is>
          <t>particular</t>
        </is>
      </c>
      <c r="S518" s="2" t="n"/>
      <c r="T518" s="2" t="inlineStr">
        <is>
          <t>2026-09-15T13:50:55Z</t>
        </is>
      </c>
      <c r="U518" s="2" t="n">
        <v>9</v>
      </c>
      <c r="V518" s="2" t="n"/>
      <c r="W518" s="2" t="n"/>
      <c r="X518" s="2" t="n"/>
      <c r="Y518" s="2" t="n"/>
      <c r="Z518" s="2" t="inlineStr">
        <is>
          <t>no</t>
        </is>
      </c>
      <c r="AA518" s="2" t="n"/>
      <c r="AB518" s="2" t="n"/>
      <c r="AC518" s="2" t="n"/>
      <c r="AD518" s="2" t="n"/>
      <c r="AE518" s="2" t="n"/>
      <c r="AF518" s="2" t="n"/>
      <c r="AG518" s="2" t="n"/>
      <c r="AH518" s="2" t="n">
        <v>3000</v>
      </c>
      <c r="AI518" s="2" t="n"/>
      <c r="AJ518" s="2" t="n"/>
      <c r="AK518" s="2" t="n"/>
      <c r="AL518" s="2" t="n"/>
      <c r="AM518" s="2" t="n"/>
      <c r="AN518" s="2" t="n">
        <v>2999</v>
      </c>
      <c r="AO518" s="2" t="n">
        <v>7</v>
      </c>
      <c r="AP518" s="2" t="inlineStr">
        <is>
          <t>modelo+año+km</t>
        </is>
      </c>
      <c r="AQ518" s="2" t="n"/>
      <c r="AR518"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518" s="2" t="inlineStr">
        <is>
          <t xml:space="preserve">Se vende for fiesta con correa de distribucion con 10.000 km de cambiada discos y pastas nuevas embrague recien cambiado itv septiembre 2027 esta en buen estado de pintura 3000 negociables </t>
        </is>
      </c>
      <c r="AT518" s="2" t="inlineStr">
        <is>
          <t>https://www.coches.net/ford-fiesta-diesel-2006-en-valencia-71519458-covo.aspx (window.__INITIAL_PROPS__.ad) /home/user/Alopecia/buscador-coches/raw/cochesnet/b1aac51ae065372f.json</t>
        </is>
      </c>
      <c r="AU518" s="3">
        <f>MAX(ANIO_ACTUAL-M518,0)</f>
        <v/>
      </c>
      <c r="AV518" s="4">
        <f>N518/MAX(AU518,0.5)</f>
        <v/>
      </c>
      <c r="AW518" s="4">
        <f>F518</f>
        <v/>
      </c>
      <c r="AX518" s="3">
        <f>AW518&amp;"|"&amp;INT(M518/SEG_ANIO)*SEG_ANIO</f>
        <v/>
      </c>
      <c r="AY518" s="3">
        <f>AX518&amp;"|"&amp;INT(N518/SEG_KM)*SEG_KM</f>
        <v/>
      </c>
      <c r="AZ518" s="4">
        <f>COUNTIF($AW$2:$AW$662,AW518)</f>
        <v/>
      </c>
      <c r="BA518" s="4">
        <f>COUNTIF($AX$2:$AX$662,AX518)</f>
        <v/>
      </c>
      <c r="BB518" s="4">
        <f>COUNTIF($AY$2:$AY$662,AY518)</f>
        <v/>
      </c>
      <c r="BC518" s="3">
        <f t="array" ref="BC518">IF(N(AO518)&gt;=MIN_N,AN518,IF(BB518&gt;=MIN_N,MEDIAN(IF($AY$2:$AY$662=AY518,$O$2:$O$662)),IF(BA518&gt;=MIN_N,MEDIAN(IF($AX$2:$AX$662=AX518,$O$2:$O$662)),MEDIAN(IF($AW$2:$AW$662=AW518,$O$2:$O$662)))))</f>
        <v/>
      </c>
      <c r="BD518" s="3">
        <f>IF(N(AO518)&gt;=MIN_N,"mercado "&amp;AP518,IF(BB518&gt;=MIN_N,"modelo+año+km",IF(BA518&gt;=MIN_N,"modelo+año","modelo")))</f>
        <v/>
      </c>
      <c r="BE518" s="4">
        <f>(BC518-O518)/BC518</f>
        <v/>
      </c>
      <c r="BF518" s="3">
        <f>IF(OR(K518="hibrido",K518="glp"),"ECO",IF(K518="electrico","CERO",IF(K518="gasolina",IF(M518&gt;=GAS_C,"C",IF(M518&gt;=GAS_B,"B","A")),IF(K518="diesel",IF(M518&gt;=DIE_C,"C",IF(M518&gt;=DIE_B,"B","A")),""))))</f>
        <v/>
      </c>
      <c r="BG518" s="3">
        <f>IFERROR(VLOOKUP(F518,MOD_TBL,11,0),IFERROR(VLOOKUP(E518,OCU_TBL,2,0),NEUTRO))</f>
        <v/>
      </c>
      <c r="BH518" s="3">
        <f>SUMIFS(MOT_AJUSTE,MOT_MOTOR,G518,MOT_MARCA,E518,MOT_DESDE,"&lt;="&amp;M518,MOT_HASTA,"&gt;="&amp;M518)+SUMIFS(MOT_AJUSTE,MOT_MOTOR,G518,MOT_MARCA,"(todas)",MOT_DESDE,"&lt;="&amp;M518,MOT_HASTA,"&gt;="&amp;M518)</f>
        <v/>
      </c>
      <c r="BI518" s="3">
        <f>SUMIFS(COMB_AJUSTE,COMB_COMB,K518)</f>
        <v/>
      </c>
      <c r="BJ518" s="3">
        <f>COUNTIFS(MOT_MOTOR,G518,MOT_MARCA,E518,MOT_DESDE,"&lt;="&amp;M518,MOT_HASTA,"&gt;="&amp;M518)+COUNTIFS(MOT_MOTOR,G518,MOT_MARCA,"(todas)",MOT_DESDE,"&lt;="&amp;M518,MOT_HASTA,"&gt;="&amp;M518)</f>
        <v/>
      </c>
      <c r="BK518" s="3">
        <f>IF(AND(K518="diesel",BJ518=0),MIN(BG518,NEUTRO),BG518)</f>
        <v/>
      </c>
      <c r="BL518" s="4">
        <f>MAX(0,MIN(100,BK518+BH518+BI518))</f>
        <v/>
      </c>
      <c r="BM518" s="3">
        <f>MAX(0,MIN(100,50+BE518*PRECIO_PEND))</f>
        <v/>
      </c>
      <c r="BN518" s="3">
        <f>MAX(0,100*(1-N518/KM_MAX))</f>
        <v/>
      </c>
      <c r="BO518" s="3">
        <f>IF(AV518&lt;KMA_SOSP,IF(AA518="sí",100,KMA_PEN),IF(AV518&lt;=KMA_IDEAL_MAX,100,MAX(0,100*(KMA_CERO-AV518)/(KMA_CERO-KMA_IDEAL_MAX))))</f>
        <v/>
      </c>
      <c r="BP518" s="3">
        <f>MAX(0,MIN(100,100*(M518-ANIO_MIN)/(ANIO_ACTUAL-ANIO_MIN)))</f>
        <v/>
      </c>
      <c r="BQ518" s="3">
        <f>W_KMT*BN518+W_KMA*BO518+W_EDAD*BP518</f>
        <v/>
      </c>
      <c r="BR518" s="3">
        <f>P_ITV*(V518="sí")+P_LIBRO*(W518="sí")+P_CORREA*(X518="sí")+P_PROP*(Y518=1)+P_GAR*(Z518="sí")+P_FOTOS*MIN(1,N(U518)/FOTOS_OBJ)</f>
        <v/>
      </c>
      <c r="BS518" s="3">
        <f>IFERROR(VLOOKUP(BF518,ETQ_TBL,2,0),NEUTRO)</f>
        <v/>
      </c>
      <c r="BT518" s="3">
        <f>NEUTRO</f>
        <v/>
      </c>
      <c r="BU518" s="3">
        <f>IFERROR(VLOOKUP(L518,SEGURO_TBL,3,0),"")</f>
        <v/>
      </c>
      <c r="BV518" s="3">
        <f>IF(BU518="",NEUTRO,MAX(0,MIN(100,100*(SEG_REF_MAX-BU518)/(SEG_REF_MAX-SEG_REF_MIN))))</f>
        <v/>
      </c>
      <c r="BW518" s="3">
        <f>W_ET*BS518+W_CONS*BT518+W_SEG*BV518</f>
        <v/>
      </c>
      <c r="BX518" s="3">
        <f>IF(N(AB518)&gt;0,AB518,IF(AND(R518="profesional",SG_LEGAL_ON=1),GAR_LEGAL,0))</f>
        <v/>
      </c>
      <c r="BY518" s="3">
        <f>SG_GAR*MIN(1,BX518/SG_GAR_FULL)+SG_AMPL*(AC518="sí")+SG_KMC*(AF518="sí")+SG_REV*(N(AE518)&gt;0)+SG_DEV*MIN(1,N(AG518)/SG_DEV_FULL)+SG_HIST*(W518="sí")</f>
        <v/>
      </c>
      <c r="BZ518" s="3">
        <f>IFERROR(VLOOKUP(L518,CARR_PEN_TBL,2,0),0)</f>
        <v/>
      </c>
      <c r="CA518" s="3">
        <f>W_FIAB*BL518+W_PRECIO*BM518+W_KMEDAD*BQ518+W_ANUNCIO*BR518+W_USO*BW518+W_SEGURIDAD*BY518-BZ518</f>
        <v/>
      </c>
      <c r="CB518" s="4">
        <f>IF(N(I518)&gt;0,I518,IFERROR(ROUND(_xlfn.NUMBERVALUE(LEFT(G518,FIND(" ",G518&amp;" ")-1),".")*1000,0),99999))</f>
        <v/>
      </c>
      <c r="CC518" s="3">
        <f>IF(R518="profesional",0,IF(O518&lt;CUOTA_VALOR_MAX,IF(AU518&gt;ITP_TRAMO_ALTO,SUMIFS(CF_CUOTA,CF_MAS,ITP_TRAMO_ALTO,CF_CCMIN,"&lt;="&amp;CB518,CF_CCMAX,"&gt;="&amp;CB518),IF(AU518&gt;ITP_TRAMO_BAJO,SUMIFS(CF_CUOTA,CF_MAS,ITP_TRAMO_BAJO,CF_CCMIN,"&lt;="&amp;CB518,CF_CCMAX,"&gt;="&amp;CB518),O518*ITP_TIPO)),O518*ITP_TIPO))</f>
        <v/>
      </c>
      <c r="CD518" s="4">
        <f>IF(R518="profesional",N(AK518),0)</f>
        <v/>
      </c>
      <c r="CE518" s="3">
        <f>IF(AND(R518="profesional",ISNUMBER(AK518),AL518="sí"),0,TASA_DGT)</f>
        <v/>
      </c>
      <c r="CF518" s="3">
        <f>INFORME_DGT</f>
        <v/>
      </c>
      <c r="CG518" s="4">
        <f>O518+CD518+CC518+CE518+CF518</f>
        <v/>
      </c>
      <c r="CH518" s="4">
        <f>CG518+N(BU518)</f>
        <v/>
      </c>
      <c r="CI518" s="3">
        <f>IF(CG518&lt;=TOTAL_MAX,"sí",IF(CG518&lt;=TOTAL_MAX+MARGEN_NEG,"negociar","no"))</f>
        <v/>
      </c>
      <c r="CJ518" s="4">
        <f>IF(CI518&lt;&gt;"no",COUNTIFS($CI$2:$CI$662,"&lt;&gt;no",$CA$2:$CA$662,"&gt;"&amp;CA518)+COUNTIFS($CI$2:CI518,"&lt;&gt;no",$CA$2:CA518,CA518),"")</f>
        <v/>
      </c>
    </row>
    <row r="519">
      <c r="A519" s="2" t="inlineStr">
        <is>
          <t>cochesnet:71488118</t>
        </is>
      </c>
      <c r="B519" s="2" t="inlineStr">
        <is>
          <t>cochesnet</t>
        </is>
      </c>
      <c r="C519" s="2" t="inlineStr">
        <is>
          <t>https://www.coches.net/ford-fiesta-125-60cv-ambiente-5p-gasolina-2007-en-valencia-71488118-covo.aspx</t>
        </is>
      </c>
      <c r="D519" s="2" t="inlineStr">
        <is>
          <t>FORD Fiesta 1.25 Ambiente</t>
        </is>
      </c>
      <c r="E519" s="2" t="inlineStr">
        <is>
          <t>Ford</t>
        </is>
      </c>
      <c r="F519" s="2" t="inlineStr">
        <is>
          <t>Ford Fiesta</t>
        </is>
      </c>
      <c r="G519" s="2" t="inlineStr">
        <is>
          <t>1.2</t>
        </is>
      </c>
      <c r="H519" s="2" t="inlineStr">
        <is>
          <t>1.25 60cv Ambiente</t>
        </is>
      </c>
      <c r="I519" s="2" t="n"/>
      <c r="J519" s="2" t="n">
        <v>60</v>
      </c>
      <c r="K519" s="2" t="inlineStr">
        <is>
          <t>gasolina</t>
        </is>
      </c>
      <c r="L519" s="2" t="inlineStr">
        <is>
          <t>utilitario</t>
        </is>
      </c>
      <c r="M519" s="2" t="n">
        <v>2007</v>
      </c>
      <c r="N519" s="2" t="n">
        <v>94000</v>
      </c>
      <c r="O519" s="2" t="n">
        <v>3500</v>
      </c>
      <c r="P519" s="2" t="inlineStr">
        <is>
          <t>manual</t>
        </is>
      </c>
      <c r="Q519" s="2" t="inlineStr">
        <is>
          <t>no</t>
        </is>
      </c>
      <c r="R519" s="2" t="inlineStr">
        <is>
          <t>particular</t>
        </is>
      </c>
      <c r="S519" s="2" t="inlineStr">
        <is>
          <t>Burjassot</t>
        </is>
      </c>
      <c r="T519" s="2" t="inlineStr">
        <is>
          <t>2026-09-10T19:15:38Z</t>
        </is>
      </c>
      <c r="U519" s="2" t="n">
        <v>7</v>
      </c>
      <c r="V519" s="2" t="inlineStr">
        <is>
          <t>sí</t>
        </is>
      </c>
      <c r="W519" s="2" t="n"/>
      <c r="X519" s="2" t="n"/>
      <c r="Y519" s="2" t="n"/>
      <c r="Z519" s="2" t="inlineStr">
        <is>
          <t>no</t>
        </is>
      </c>
      <c r="AA519" s="2" t="n"/>
      <c r="AB519" s="2" t="n"/>
      <c r="AC519" s="2" t="n"/>
      <c r="AD519" s="2" t="n"/>
      <c r="AE519" s="2" t="n"/>
      <c r="AF519" s="2" t="n"/>
      <c r="AG519" s="2" t="n"/>
      <c r="AH519" s="2" t="n">
        <v>3500</v>
      </c>
      <c r="AI519" s="2" t="n"/>
      <c r="AJ519" s="2" t="n"/>
      <c r="AK519" s="2" t="n"/>
      <c r="AL519" s="2" t="n"/>
      <c r="AM519" s="2" t="n">
        <v>5.5</v>
      </c>
      <c r="AN519" s="2" t="n">
        <v>3500</v>
      </c>
      <c r="AO519" s="2" t="n">
        <v>47</v>
      </c>
      <c r="AP519" s="2" t="inlineStr">
        <is>
          <t>modelo+año</t>
        </is>
      </c>
      <c r="AQ519" s="2" t="n"/>
      <c r="AR519" s="2" t="inlineStr">
        <is>
          <t>cuota fija ITP: &gt;12 años, hasta 1.500 cc</t>
        </is>
      </c>
      <c r="AS519" s="2" t="inlineStr">
        <is>
          <t>Ford fiesta 1.2 ITV pasada hasta octubre 2027
Perfecto estado de motor
Ruedas nuevas</t>
        </is>
      </c>
      <c r="AT519" s="2" t="inlineStr">
        <is>
          <t>https://www.coches.net/ford-fiesta-125-60cv-ambiente-5p-gasolina-2007-en-valencia-71488118-covo.aspx (window.__INITIAL_PROPS__.ad) /home/user/Alopecia/buscador-coches/raw/cochesnet/36c9c433ea4900a4.json</t>
        </is>
      </c>
      <c r="AU519" s="3">
        <f>MAX(ANIO_ACTUAL-M519,0)</f>
        <v/>
      </c>
      <c r="AV519" s="4">
        <f>N519/MAX(AU519,0.5)</f>
        <v/>
      </c>
      <c r="AW519" s="4">
        <f>F519</f>
        <v/>
      </c>
      <c r="AX519" s="3">
        <f>AW519&amp;"|"&amp;INT(M519/SEG_ANIO)*SEG_ANIO</f>
        <v/>
      </c>
      <c r="AY519" s="3">
        <f>AX519&amp;"|"&amp;INT(N519/SEG_KM)*SEG_KM</f>
        <v/>
      </c>
      <c r="AZ519" s="4">
        <f>COUNTIF($AW$2:$AW$662,AW519)</f>
        <v/>
      </c>
      <c r="BA519" s="4">
        <f>COUNTIF($AX$2:$AX$662,AX519)</f>
        <v/>
      </c>
      <c r="BB519" s="4">
        <f>COUNTIF($AY$2:$AY$662,AY519)</f>
        <v/>
      </c>
      <c r="BC519" s="3">
        <f t="array" ref="BC519">IF(N(AO519)&gt;=MIN_N,AN519,IF(BB519&gt;=MIN_N,MEDIAN(IF($AY$2:$AY$662=AY519,$O$2:$O$662)),IF(BA519&gt;=MIN_N,MEDIAN(IF($AX$2:$AX$662=AX519,$O$2:$O$662)),MEDIAN(IF($AW$2:$AW$662=AW519,$O$2:$O$662)))))</f>
        <v/>
      </c>
      <c r="BD519" s="3">
        <f>IF(N(AO519)&gt;=MIN_N,"mercado "&amp;AP519,IF(BB519&gt;=MIN_N,"modelo+año+km",IF(BA519&gt;=MIN_N,"modelo+año","modelo")))</f>
        <v/>
      </c>
      <c r="BE519" s="4">
        <f>(BC519-O519)/BC519</f>
        <v/>
      </c>
      <c r="BF519" s="3">
        <f>IF(OR(K519="hibrido",K519="glp"),"ECO",IF(K519="electrico","CERO",IF(K519="gasolina",IF(M519&gt;=GAS_C,"C",IF(M519&gt;=GAS_B,"B","A")),IF(K519="diesel",IF(M519&gt;=DIE_C,"C",IF(M519&gt;=DIE_B,"B","A")),""))))</f>
        <v/>
      </c>
      <c r="BG519" s="3">
        <f>IFERROR(VLOOKUP(F519,MOD_TBL,11,0),IFERROR(VLOOKUP(E519,OCU_TBL,2,0),NEUTRO))</f>
        <v/>
      </c>
      <c r="BH519" s="3">
        <f>SUMIFS(MOT_AJUSTE,MOT_MOTOR,G519,MOT_MARCA,E519,MOT_DESDE,"&lt;="&amp;M519,MOT_HASTA,"&gt;="&amp;M519)+SUMIFS(MOT_AJUSTE,MOT_MOTOR,G519,MOT_MARCA,"(todas)",MOT_DESDE,"&lt;="&amp;M519,MOT_HASTA,"&gt;="&amp;M519)</f>
        <v/>
      </c>
      <c r="BI519" s="3">
        <f>SUMIFS(COMB_AJUSTE,COMB_COMB,K519)</f>
        <v/>
      </c>
      <c r="BJ519" s="3">
        <f>COUNTIFS(MOT_MOTOR,G519,MOT_MARCA,E519,MOT_DESDE,"&lt;="&amp;M519,MOT_HASTA,"&gt;="&amp;M519)+COUNTIFS(MOT_MOTOR,G519,MOT_MARCA,"(todas)",MOT_DESDE,"&lt;="&amp;M519,MOT_HASTA,"&gt;="&amp;M519)</f>
        <v/>
      </c>
      <c r="BK519" s="3">
        <f>IF(AND(K519="diesel",BJ519=0),MIN(BG519,NEUTRO),BG519)</f>
        <v/>
      </c>
      <c r="BL519" s="4">
        <f>MAX(0,MIN(100,BK519+BH519+BI519))</f>
        <v/>
      </c>
      <c r="BM519" s="3">
        <f>MAX(0,MIN(100,50+BE519*PRECIO_PEND))</f>
        <v/>
      </c>
      <c r="BN519" s="3">
        <f>MAX(0,100*(1-N519/KM_MAX))</f>
        <v/>
      </c>
      <c r="BO519" s="3">
        <f>IF(AV519&lt;KMA_SOSP,IF(AA519="sí",100,KMA_PEN),IF(AV519&lt;=KMA_IDEAL_MAX,100,MAX(0,100*(KMA_CERO-AV519)/(KMA_CERO-KMA_IDEAL_MAX))))</f>
        <v/>
      </c>
      <c r="BP519" s="3">
        <f>MAX(0,MIN(100,100*(M519-ANIO_MIN)/(ANIO_ACTUAL-ANIO_MIN)))</f>
        <v/>
      </c>
      <c r="BQ519" s="3">
        <f>W_KMT*BN519+W_KMA*BO519+W_EDAD*BP519</f>
        <v/>
      </c>
      <c r="BR519" s="3">
        <f>P_ITV*(V519="sí")+P_LIBRO*(W519="sí")+P_CORREA*(X519="sí")+P_PROP*(Y519=1)+P_GAR*(Z519="sí")+P_FOTOS*MIN(1,N(U519)/FOTOS_OBJ)</f>
        <v/>
      </c>
      <c r="BS519" s="3">
        <f>IFERROR(VLOOKUP(BF519,ETQ_TBL,2,0),NEUTRO)</f>
        <v/>
      </c>
      <c r="BT519" s="3">
        <f>NEUTRO</f>
        <v/>
      </c>
      <c r="BU519" s="3">
        <f>IFERROR(VLOOKUP(L519,SEGURO_TBL,3,0),"")</f>
        <v/>
      </c>
      <c r="BV519" s="3">
        <f>IF(BU519="",NEUTRO,MAX(0,MIN(100,100*(SEG_REF_MAX-BU519)/(SEG_REF_MAX-SEG_REF_MIN))))</f>
        <v/>
      </c>
      <c r="BW519" s="3">
        <f>W_ET*BS519+W_CONS*BT519+W_SEG*BV519</f>
        <v/>
      </c>
      <c r="BX519" s="3">
        <f>IF(N(AB519)&gt;0,AB519,IF(AND(R519="profesional",SG_LEGAL_ON=1),GAR_LEGAL,0))</f>
        <v/>
      </c>
      <c r="BY519" s="3">
        <f>SG_GAR*MIN(1,BX519/SG_GAR_FULL)+SG_AMPL*(AC519="sí")+SG_KMC*(AF519="sí")+SG_REV*(N(AE519)&gt;0)+SG_DEV*MIN(1,N(AG519)/SG_DEV_FULL)+SG_HIST*(W519="sí")</f>
        <v/>
      </c>
      <c r="BZ519" s="3">
        <f>IFERROR(VLOOKUP(L519,CARR_PEN_TBL,2,0),0)</f>
        <v/>
      </c>
      <c r="CA519" s="3">
        <f>W_FIAB*BL519+W_PRECIO*BM519+W_KMEDAD*BQ519+W_ANUNCIO*BR519+W_USO*BW519+W_SEGURIDAD*BY519-BZ519</f>
        <v/>
      </c>
      <c r="CB519" s="4">
        <f>IF(N(I519)&gt;0,I519,IFERROR(ROUND(_xlfn.NUMBERVALUE(LEFT(G519,FIND(" ",G519&amp;" ")-1),".")*1000,0),99999))</f>
        <v/>
      </c>
      <c r="CC519" s="3">
        <f>IF(R519="profesional",0,IF(O519&lt;CUOTA_VALOR_MAX,IF(AU519&gt;ITP_TRAMO_ALTO,SUMIFS(CF_CUOTA,CF_MAS,ITP_TRAMO_ALTO,CF_CCMIN,"&lt;="&amp;CB519,CF_CCMAX,"&gt;="&amp;CB519),IF(AU519&gt;ITP_TRAMO_BAJO,SUMIFS(CF_CUOTA,CF_MAS,ITP_TRAMO_BAJO,CF_CCMIN,"&lt;="&amp;CB519,CF_CCMAX,"&gt;="&amp;CB519),O519*ITP_TIPO)),O519*ITP_TIPO))</f>
        <v/>
      </c>
      <c r="CD519" s="4">
        <f>IF(R519="profesional",N(AK519),0)</f>
        <v/>
      </c>
      <c r="CE519" s="3">
        <f>IF(AND(R519="profesional",ISNUMBER(AK519),AL519="sí"),0,TASA_DGT)</f>
        <v/>
      </c>
      <c r="CF519" s="3">
        <f>INFORME_DGT</f>
        <v/>
      </c>
      <c r="CG519" s="4">
        <f>O519+CD519+CC519+CE519+CF519</f>
        <v/>
      </c>
      <c r="CH519" s="4">
        <f>CG519+N(BU519)</f>
        <v/>
      </c>
      <c r="CI519" s="3">
        <f>IF(CG519&lt;=TOTAL_MAX,"sí",IF(CG519&lt;=TOTAL_MAX+MARGEN_NEG,"negociar","no"))</f>
        <v/>
      </c>
      <c r="CJ519" s="4">
        <f>IF(CI519&lt;&gt;"no",COUNTIFS($CI$2:$CI$662,"&lt;&gt;no",$CA$2:$CA$662,"&gt;"&amp;CA519)+COUNTIFS($CI$2:CI519,"&lt;&gt;no",$CA$2:CA519,CA519),"")</f>
        <v/>
      </c>
    </row>
    <row r="520">
      <c r="A520" s="2" t="inlineStr">
        <is>
          <t>cochesnet:71399309</t>
        </is>
      </c>
      <c r="B520" s="2" t="inlineStr">
        <is>
          <t>cochesnet</t>
        </is>
      </c>
      <c r="C520" s="2" t="inlineStr">
        <is>
          <t>https://www.coches.net/ford-fiesta-diesel-2006-en-valencia-71399309-covo.aspx</t>
        </is>
      </c>
      <c r="D520" s="2" t="inlineStr">
        <is>
          <t>FORD Fiesta</t>
        </is>
      </c>
      <c r="E520" s="2" t="inlineStr">
        <is>
          <t>Ford</t>
        </is>
      </c>
      <c r="F520" s="2" t="inlineStr">
        <is>
          <t>Ford Fiesta</t>
        </is>
      </c>
      <c r="G520" s="2" t="n"/>
      <c r="H520" s="2" t="n"/>
      <c r="I520" s="2" t="n"/>
      <c r="J520" s="2" t="n"/>
      <c r="K520" s="2" t="inlineStr">
        <is>
          <t>diesel</t>
        </is>
      </c>
      <c r="L520" s="2" t="inlineStr">
        <is>
          <t>utilitario</t>
        </is>
      </c>
      <c r="M520" s="2" t="n">
        <v>2006</v>
      </c>
      <c r="N520" s="2" t="n">
        <v>210000</v>
      </c>
      <c r="O520" s="2" t="n">
        <v>2800</v>
      </c>
      <c r="P520" s="2" t="inlineStr">
        <is>
          <t>manual</t>
        </is>
      </c>
      <c r="Q520" s="2" t="inlineStr">
        <is>
          <t>no</t>
        </is>
      </c>
      <c r="R520" s="2" t="inlineStr">
        <is>
          <t>particular</t>
        </is>
      </c>
      <c r="S520" s="2" t="n"/>
      <c r="T520" s="2" t="inlineStr">
        <is>
          <t>2026-08-31T09:24:26Z</t>
        </is>
      </c>
      <c r="U520" s="2" t="n">
        <v>8</v>
      </c>
      <c r="V520" s="2" t="inlineStr">
        <is>
          <t>sí</t>
        </is>
      </c>
      <c r="W520" s="2" t="n"/>
      <c r="X520" s="2" t="n"/>
      <c r="Y520" s="2" t="n"/>
      <c r="Z520" s="2" t="inlineStr">
        <is>
          <t>no</t>
        </is>
      </c>
      <c r="AA520" s="2" t="n"/>
      <c r="AB520" s="2" t="n"/>
      <c r="AC520" s="2" t="n"/>
      <c r="AD520" s="2" t="n"/>
      <c r="AE520" s="2" t="n"/>
      <c r="AF520" s="2" t="n"/>
      <c r="AG520" s="2" t="n"/>
      <c r="AH520" s="2" t="n">
        <v>2800</v>
      </c>
      <c r="AI520" s="2" t="n"/>
      <c r="AJ520" s="2" t="n"/>
      <c r="AK520" s="2" t="n"/>
      <c r="AL520" s="2" t="n"/>
      <c r="AM520" s="2" t="n"/>
      <c r="AN520" s="2" t="n">
        <v>2500</v>
      </c>
      <c r="AO520" s="2" t="n">
        <v>7</v>
      </c>
      <c r="AP520" s="2" t="inlineStr">
        <is>
          <t>modelo+año+km</t>
        </is>
      </c>
      <c r="AQ520" s="2" t="n"/>
      <c r="AR520"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520" s="2" t="inlineStr">
        <is>
          <t>El vehículo se entrega en perfecto funcionamiento con la ITV en vigor y garantía de bloque motor y caja de cambios.</t>
        </is>
      </c>
      <c r="AT520" s="2" t="inlineStr">
        <is>
          <t>https://www.coches.net/ford-fiesta-diesel-2006-en-valencia-71399309-covo.aspx (window.__INITIAL_PROPS__.ad) /home/user/Alopecia/buscador-coches/raw/cochesnet/494fd8d2bf92f4f1.json</t>
        </is>
      </c>
      <c r="AU520" s="3">
        <f>MAX(ANIO_ACTUAL-M520,0)</f>
        <v/>
      </c>
      <c r="AV520" s="4">
        <f>N520/MAX(AU520,0.5)</f>
        <v/>
      </c>
      <c r="AW520" s="4">
        <f>F520</f>
        <v/>
      </c>
      <c r="AX520" s="3">
        <f>AW520&amp;"|"&amp;INT(M520/SEG_ANIO)*SEG_ANIO</f>
        <v/>
      </c>
      <c r="AY520" s="3">
        <f>AX520&amp;"|"&amp;INT(N520/SEG_KM)*SEG_KM</f>
        <v/>
      </c>
      <c r="AZ520" s="4">
        <f>COUNTIF($AW$2:$AW$662,AW520)</f>
        <v/>
      </c>
      <c r="BA520" s="4">
        <f>COUNTIF($AX$2:$AX$662,AX520)</f>
        <v/>
      </c>
      <c r="BB520" s="4">
        <f>COUNTIF($AY$2:$AY$662,AY520)</f>
        <v/>
      </c>
      <c r="BC520" s="3">
        <f t="array" ref="BC520">IF(N(AO520)&gt;=MIN_N,AN520,IF(BB520&gt;=MIN_N,MEDIAN(IF($AY$2:$AY$662=AY520,$O$2:$O$662)),IF(BA520&gt;=MIN_N,MEDIAN(IF($AX$2:$AX$662=AX520,$O$2:$O$662)),MEDIAN(IF($AW$2:$AW$662=AW520,$O$2:$O$662)))))</f>
        <v/>
      </c>
      <c r="BD520" s="3">
        <f>IF(N(AO520)&gt;=MIN_N,"mercado "&amp;AP520,IF(BB520&gt;=MIN_N,"modelo+año+km",IF(BA520&gt;=MIN_N,"modelo+año","modelo")))</f>
        <v/>
      </c>
      <c r="BE520" s="4">
        <f>(BC520-O520)/BC520</f>
        <v/>
      </c>
      <c r="BF520" s="3">
        <f>IF(OR(K520="hibrido",K520="glp"),"ECO",IF(K520="electrico","CERO",IF(K520="gasolina",IF(M520&gt;=GAS_C,"C",IF(M520&gt;=GAS_B,"B","A")),IF(K520="diesel",IF(M520&gt;=DIE_C,"C",IF(M520&gt;=DIE_B,"B","A")),""))))</f>
        <v/>
      </c>
      <c r="BG520" s="3">
        <f>IFERROR(VLOOKUP(F520,MOD_TBL,11,0),IFERROR(VLOOKUP(E520,OCU_TBL,2,0),NEUTRO))</f>
        <v/>
      </c>
      <c r="BH520" s="3">
        <f>SUMIFS(MOT_AJUSTE,MOT_MOTOR,G520,MOT_MARCA,E520,MOT_DESDE,"&lt;="&amp;M520,MOT_HASTA,"&gt;="&amp;M520)+SUMIFS(MOT_AJUSTE,MOT_MOTOR,G520,MOT_MARCA,"(todas)",MOT_DESDE,"&lt;="&amp;M520,MOT_HASTA,"&gt;="&amp;M520)</f>
        <v/>
      </c>
      <c r="BI520" s="3">
        <f>SUMIFS(COMB_AJUSTE,COMB_COMB,K520)</f>
        <v/>
      </c>
      <c r="BJ520" s="3">
        <f>COUNTIFS(MOT_MOTOR,G520,MOT_MARCA,E520,MOT_DESDE,"&lt;="&amp;M520,MOT_HASTA,"&gt;="&amp;M520)+COUNTIFS(MOT_MOTOR,G520,MOT_MARCA,"(todas)",MOT_DESDE,"&lt;="&amp;M520,MOT_HASTA,"&gt;="&amp;M520)</f>
        <v/>
      </c>
      <c r="BK520" s="3">
        <f>IF(AND(K520="diesel",BJ520=0),MIN(BG520,NEUTRO),BG520)</f>
        <v/>
      </c>
      <c r="BL520" s="4">
        <f>MAX(0,MIN(100,BK520+BH520+BI520))</f>
        <v/>
      </c>
      <c r="BM520" s="3">
        <f>MAX(0,MIN(100,50+BE520*PRECIO_PEND))</f>
        <v/>
      </c>
      <c r="BN520" s="3">
        <f>MAX(0,100*(1-N520/KM_MAX))</f>
        <v/>
      </c>
      <c r="BO520" s="3">
        <f>IF(AV520&lt;KMA_SOSP,IF(AA520="sí",100,KMA_PEN),IF(AV520&lt;=KMA_IDEAL_MAX,100,MAX(0,100*(KMA_CERO-AV520)/(KMA_CERO-KMA_IDEAL_MAX))))</f>
        <v/>
      </c>
      <c r="BP520" s="3">
        <f>MAX(0,MIN(100,100*(M520-ANIO_MIN)/(ANIO_ACTUAL-ANIO_MIN)))</f>
        <v/>
      </c>
      <c r="BQ520" s="3">
        <f>W_KMT*BN520+W_KMA*BO520+W_EDAD*BP520</f>
        <v/>
      </c>
      <c r="BR520" s="3">
        <f>P_ITV*(V520="sí")+P_LIBRO*(W520="sí")+P_CORREA*(X520="sí")+P_PROP*(Y520=1)+P_GAR*(Z520="sí")+P_FOTOS*MIN(1,N(U520)/FOTOS_OBJ)</f>
        <v/>
      </c>
      <c r="BS520" s="3">
        <f>IFERROR(VLOOKUP(BF520,ETQ_TBL,2,0),NEUTRO)</f>
        <v/>
      </c>
      <c r="BT520" s="3">
        <f>NEUTRO</f>
        <v/>
      </c>
      <c r="BU520" s="3">
        <f>IFERROR(VLOOKUP(L520,SEGURO_TBL,3,0),"")</f>
        <v/>
      </c>
      <c r="BV520" s="3">
        <f>IF(BU520="",NEUTRO,MAX(0,MIN(100,100*(SEG_REF_MAX-BU520)/(SEG_REF_MAX-SEG_REF_MIN))))</f>
        <v/>
      </c>
      <c r="BW520" s="3">
        <f>W_ET*BS520+W_CONS*BT520+W_SEG*BV520</f>
        <v/>
      </c>
      <c r="BX520" s="3">
        <f>IF(N(AB520)&gt;0,AB520,IF(AND(R520="profesional",SG_LEGAL_ON=1),GAR_LEGAL,0))</f>
        <v/>
      </c>
      <c r="BY520" s="3">
        <f>SG_GAR*MIN(1,BX520/SG_GAR_FULL)+SG_AMPL*(AC520="sí")+SG_KMC*(AF520="sí")+SG_REV*(N(AE520)&gt;0)+SG_DEV*MIN(1,N(AG520)/SG_DEV_FULL)+SG_HIST*(W520="sí")</f>
        <v/>
      </c>
      <c r="BZ520" s="3">
        <f>IFERROR(VLOOKUP(L520,CARR_PEN_TBL,2,0),0)</f>
        <v/>
      </c>
      <c r="CA520" s="3">
        <f>W_FIAB*BL520+W_PRECIO*BM520+W_KMEDAD*BQ520+W_ANUNCIO*BR520+W_USO*BW520+W_SEGURIDAD*BY520-BZ520</f>
        <v/>
      </c>
      <c r="CB520" s="4">
        <f>IF(N(I520)&gt;0,I520,IFERROR(ROUND(_xlfn.NUMBERVALUE(LEFT(G520,FIND(" ",G520&amp;" ")-1),".")*1000,0),99999))</f>
        <v/>
      </c>
      <c r="CC520" s="3">
        <f>IF(R520="profesional",0,IF(O520&lt;CUOTA_VALOR_MAX,IF(AU520&gt;ITP_TRAMO_ALTO,SUMIFS(CF_CUOTA,CF_MAS,ITP_TRAMO_ALTO,CF_CCMIN,"&lt;="&amp;CB520,CF_CCMAX,"&gt;="&amp;CB520),IF(AU520&gt;ITP_TRAMO_BAJO,SUMIFS(CF_CUOTA,CF_MAS,ITP_TRAMO_BAJO,CF_CCMIN,"&lt;="&amp;CB520,CF_CCMAX,"&gt;="&amp;CB520),O520*ITP_TIPO)),O520*ITP_TIPO))</f>
        <v/>
      </c>
      <c r="CD520" s="4">
        <f>IF(R520="profesional",N(AK520),0)</f>
        <v/>
      </c>
      <c r="CE520" s="3">
        <f>IF(AND(R520="profesional",ISNUMBER(AK520),AL520="sí"),0,TASA_DGT)</f>
        <v/>
      </c>
      <c r="CF520" s="3">
        <f>INFORME_DGT</f>
        <v/>
      </c>
      <c r="CG520" s="4">
        <f>O520+CD520+CC520+CE520+CF520</f>
        <v/>
      </c>
      <c r="CH520" s="4">
        <f>CG520+N(BU520)</f>
        <v/>
      </c>
      <c r="CI520" s="3">
        <f>IF(CG520&lt;=TOTAL_MAX,"sí",IF(CG520&lt;=TOTAL_MAX+MARGEN_NEG,"negociar","no"))</f>
        <v/>
      </c>
      <c r="CJ520" s="4">
        <f>IF(CI520&lt;&gt;"no",COUNTIFS($CI$2:$CI$662,"&lt;&gt;no",$CA$2:$CA$662,"&gt;"&amp;CA520)+COUNTIFS($CI$2:CI520,"&lt;&gt;no",$CA$2:CA520,CA520),"")</f>
        <v/>
      </c>
    </row>
    <row r="521">
      <c r="A521" s="2" t="inlineStr">
        <is>
          <t>cochesnet:71396447</t>
        </is>
      </c>
      <c r="B521" s="2" t="inlineStr">
        <is>
          <t>cochesnet</t>
        </is>
      </c>
      <c r="C521" s="2" t="inlineStr">
        <is>
          <t>https://www.coches.net/ford-fiesta-diesel-2007-en-valencia-71396447-covo.aspx</t>
        </is>
      </c>
      <c r="D521" s="2" t="inlineStr">
        <is>
          <t>FORD Fiesta</t>
        </is>
      </c>
      <c r="E521" s="2" t="inlineStr">
        <is>
          <t>Ford</t>
        </is>
      </c>
      <c r="F521" s="2" t="inlineStr">
        <is>
          <t>Ford Fiesta</t>
        </is>
      </c>
      <c r="G521" s="2" t="n"/>
      <c r="H521" s="2" t="n"/>
      <c r="I521" s="2" t="n"/>
      <c r="J521" s="2" t="n"/>
      <c r="K521" s="2" t="inlineStr">
        <is>
          <t>diesel</t>
        </is>
      </c>
      <c r="L521" s="2" t="inlineStr">
        <is>
          <t>utilitario</t>
        </is>
      </c>
      <c r="M521" s="2" t="n">
        <v>2007</v>
      </c>
      <c r="N521" s="2" t="n">
        <v>218500</v>
      </c>
      <c r="O521" s="2" t="n">
        <v>2700</v>
      </c>
      <c r="P521" s="2" t="inlineStr">
        <is>
          <t>manual</t>
        </is>
      </c>
      <c r="Q521" s="2" t="inlineStr">
        <is>
          <t>no</t>
        </is>
      </c>
      <c r="R521" s="2" t="inlineStr">
        <is>
          <t>particular</t>
        </is>
      </c>
      <c r="S521" s="2" t="inlineStr">
        <is>
          <t>Manises</t>
        </is>
      </c>
      <c r="T521" s="2" t="inlineStr">
        <is>
          <t>2026-08-30T21:17:03Z</t>
        </is>
      </c>
      <c r="U521" s="2" t="n">
        <v>9</v>
      </c>
      <c r="V521" s="2" t="inlineStr">
        <is>
          <t>sí</t>
        </is>
      </c>
      <c r="W521" s="2" t="n"/>
      <c r="X521" s="2" t="n"/>
      <c r="Y521" s="2" t="n"/>
      <c r="Z521" s="2" t="inlineStr">
        <is>
          <t>no</t>
        </is>
      </c>
      <c r="AA521" s="2" t="n"/>
      <c r="AB521" s="2" t="n"/>
      <c r="AC521" s="2" t="n"/>
      <c r="AD521" s="2" t="n"/>
      <c r="AE521" s="2" t="n"/>
      <c r="AF521" s="2" t="n"/>
      <c r="AG521" s="2" t="n"/>
      <c r="AH521" s="2" t="n">
        <v>2700</v>
      </c>
      <c r="AI521" s="2" t="n"/>
      <c r="AJ521" s="2" t="n"/>
      <c r="AK521" s="2" t="n"/>
      <c r="AL521" s="2" t="n"/>
      <c r="AM521" s="2" t="n">
        <v>8.1</v>
      </c>
      <c r="AN521" s="2" t="n">
        <v>3250</v>
      </c>
      <c r="AO521" s="2" t="n">
        <v>12</v>
      </c>
      <c r="AP521" s="2" t="inlineStr">
        <is>
          <t>modelo+año+km</t>
        </is>
      </c>
      <c r="AQ521" s="2" t="n"/>
      <c r="AR521" s="2" t="inlineStr">
        <is>
          <t>cilindrada desconocida: se aplica el tramo de cuota fija más alto; cuota fija ITP: &gt;12 años, más de 2.000 cc; diésel: motor sin fuente de fiabilidad (fiabilidad limitada a neutra)</t>
        </is>
      </c>
      <c r="AS521" s="2" t="inlineStr">
        <is>
          <t>vendo ford fiesta en perfecto estado.
cambio distribucion aceites filtros recien cambiados ruedas practicamente nuevas.itv recien pasada.no se fumo nunca y siempre en garaje.esta nuevo</t>
        </is>
      </c>
      <c r="AT521" s="2" t="inlineStr">
        <is>
          <t>https://www.coches.net/ford-fiesta-diesel-2007-en-valencia-71396447-covo.aspx (window.__INITIAL_PROPS__.ad) /home/user/Alopecia/buscador-coches/raw/cochesnet/e708f159fe8d1e93.json</t>
        </is>
      </c>
      <c r="AU521" s="3">
        <f>MAX(ANIO_ACTUAL-M521,0)</f>
        <v/>
      </c>
      <c r="AV521" s="4">
        <f>N521/MAX(AU521,0.5)</f>
        <v/>
      </c>
      <c r="AW521" s="4">
        <f>F521</f>
        <v/>
      </c>
      <c r="AX521" s="3">
        <f>AW521&amp;"|"&amp;INT(M521/SEG_ANIO)*SEG_ANIO</f>
        <v/>
      </c>
      <c r="AY521" s="3">
        <f>AX521&amp;"|"&amp;INT(N521/SEG_KM)*SEG_KM</f>
        <v/>
      </c>
      <c r="AZ521" s="4">
        <f>COUNTIF($AW$2:$AW$662,AW521)</f>
        <v/>
      </c>
      <c r="BA521" s="4">
        <f>COUNTIF($AX$2:$AX$662,AX521)</f>
        <v/>
      </c>
      <c r="BB521" s="4">
        <f>COUNTIF($AY$2:$AY$662,AY521)</f>
        <v/>
      </c>
      <c r="BC521" s="3">
        <f t="array" ref="BC521">IF(N(AO521)&gt;=MIN_N,AN521,IF(BB521&gt;=MIN_N,MEDIAN(IF($AY$2:$AY$662=AY521,$O$2:$O$662)),IF(BA521&gt;=MIN_N,MEDIAN(IF($AX$2:$AX$662=AX521,$O$2:$O$662)),MEDIAN(IF($AW$2:$AW$662=AW521,$O$2:$O$662)))))</f>
        <v/>
      </c>
      <c r="BD521" s="3">
        <f>IF(N(AO521)&gt;=MIN_N,"mercado "&amp;AP521,IF(BB521&gt;=MIN_N,"modelo+año+km",IF(BA521&gt;=MIN_N,"modelo+año","modelo")))</f>
        <v/>
      </c>
      <c r="BE521" s="4">
        <f>(BC521-O521)/BC521</f>
        <v/>
      </c>
      <c r="BF521" s="3">
        <f>IF(OR(K521="hibrido",K521="glp"),"ECO",IF(K521="electrico","CERO",IF(K521="gasolina",IF(M521&gt;=GAS_C,"C",IF(M521&gt;=GAS_B,"B","A")),IF(K521="diesel",IF(M521&gt;=DIE_C,"C",IF(M521&gt;=DIE_B,"B","A")),""))))</f>
        <v/>
      </c>
      <c r="BG521" s="3">
        <f>IFERROR(VLOOKUP(F521,MOD_TBL,11,0),IFERROR(VLOOKUP(E521,OCU_TBL,2,0),NEUTRO))</f>
        <v/>
      </c>
      <c r="BH521" s="3">
        <f>SUMIFS(MOT_AJUSTE,MOT_MOTOR,G521,MOT_MARCA,E521,MOT_DESDE,"&lt;="&amp;M521,MOT_HASTA,"&gt;="&amp;M521)+SUMIFS(MOT_AJUSTE,MOT_MOTOR,G521,MOT_MARCA,"(todas)",MOT_DESDE,"&lt;="&amp;M521,MOT_HASTA,"&gt;="&amp;M521)</f>
        <v/>
      </c>
      <c r="BI521" s="3">
        <f>SUMIFS(COMB_AJUSTE,COMB_COMB,K521)</f>
        <v/>
      </c>
      <c r="BJ521" s="3">
        <f>COUNTIFS(MOT_MOTOR,G521,MOT_MARCA,E521,MOT_DESDE,"&lt;="&amp;M521,MOT_HASTA,"&gt;="&amp;M521)+COUNTIFS(MOT_MOTOR,G521,MOT_MARCA,"(todas)",MOT_DESDE,"&lt;="&amp;M521,MOT_HASTA,"&gt;="&amp;M521)</f>
        <v/>
      </c>
      <c r="BK521" s="3">
        <f>IF(AND(K521="diesel",BJ521=0),MIN(BG521,NEUTRO),BG521)</f>
        <v/>
      </c>
      <c r="BL521" s="4">
        <f>MAX(0,MIN(100,BK521+BH521+BI521))</f>
        <v/>
      </c>
      <c r="BM521" s="3">
        <f>MAX(0,MIN(100,50+BE521*PRECIO_PEND))</f>
        <v/>
      </c>
      <c r="BN521" s="3">
        <f>MAX(0,100*(1-N521/KM_MAX))</f>
        <v/>
      </c>
      <c r="BO521" s="3">
        <f>IF(AV521&lt;KMA_SOSP,IF(AA521="sí",100,KMA_PEN),IF(AV521&lt;=KMA_IDEAL_MAX,100,MAX(0,100*(KMA_CERO-AV521)/(KMA_CERO-KMA_IDEAL_MAX))))</f>
        <v/>
      </c>
      <c r="BP521" s="3">
        <f>MAX(0,MIN(100,100*(M521-ANIO_MIN)/(ANIO_ACTUAL-ANIO_MIN)))</f>
        <v/>
      </c>
      <c r="BQ521" s="3">
        <f>W_KMT*BN521+W_KMA*BO521+W_EDAD*BP521</f>
        <v/>
      </c>
      <c r="BR521" s="3">
        <f>P_ITV*(V521="sí")+P_LIBRO*(W521="sí")+P_CORREA*(X521="sí")+P_PROP*(Y521=1)+P_GAR*(Z521="sí")+P_FOTOS*MIN(1,N(U521)/FOTOS_OBJ)</f>
        <v/>
      </c>
      <c r="BS521" s="3">
        <f>IFERROR(VLOOKUP(BF521,ETQ_TBL,2,0),NEUTRO)</f>
        <v/>
      </c>
      <c r="BT521" s="3">
        <f>NEUTRO</f>
        <v/>
      </c>
      <c r="BU521" s="3">
        <f>IFERROR(VLOOKUP(L521,SEGURO_TBL,3,0),"")</f>
        <v/>
      </c>
      <c r="BV521" s="3">
        <f>IF(BU521="",NEUTRO,MAX(0,MIN(100,100*(SEG_REF_MAX-BU521)/(SEG_REF_MAX-SEG_REF_MIN))))</f>
        <v/>
      </c>
      <c r="BW521" s="3">
        <f>W_ET*BS521+W_CONS*BT521+W_SEG*BV521</f>
        <v/>
      </c>
      <c r="BX521" s="3">
        <f>IF(N(AB521)&gt;0,AB521,IF(AND(R521="profesional",SG_LEGAL_ON=1),GAR_LEGAL,0))</f>
        <v/>
      </c>
      <c r="BY521" s="3">
        <f>SG_GAR*MIN(1,BX521/SG_GAR_FULL)+SG_AMPL*(AC521="sí")+SG_KMC*(AF521="sí")+SG_REV*(N(AE521)&gt;0)+SG_DEV*MIN(1,N(AG521)/SG_DEV_FULL)+SG_HIST*(W521="sí")</f>
        <v/>
      </c>
      <c r="BZ521" s="3">
        <f>IFERROR(VLOOKUP(L521,CARR_PEN_TBL,2,0),0)</f>
        <v/>
      </c>
      <c r="CA521" s="3">
        <f>W_FIAB*BL521+W_PRECIO*BM521+W_KMEDAD*BQ521+W_ANUNCIO*BR521+W_USO*BW521+W_SEGURIDAD*BY521-BZ521</f>
        <v/>
      </c>
      <c r="CB521" s="4">
        <f>IF(N(I521)&gt;0,I521,IFERROR(ROUND(_xlfn.NUMBERVALUE(LEFT(G521,FIND(" ",G521&amp;" ")-1),".")*1000,0),99999))</f>
        <v/>
      </c>
      <c r="CC521" s="3">
        <f>IF(R521="profesional",0,IF(O521&lt;CUOTA_VALOR_MAX,IF(AU521&gt;ITP_TRAMO_ALTO,SUMIFS(CF_CUOTA,CF_MAS,ITP_TRAMO_ALTO,CF_CCMIN,"&lt;="&amp;CB521,CF_CCMAX,"&gt;="&amp;CB521),IF(AU521&gt;ITP_TRAMO_BAJO,SUMIFS(CF_CUOTA,CF_MAS,ITP_TRAMO_BAJO,CF_CCMIN,"&lt;="&amp;CB521,CF_CCMAX,"&gt;="&amp;CB521),O521*ITP_TIPO)),O521*ITP_TIPO))</f>
        <v/>
      </c>
      <c r="CD521" s="4">
        <f>IF(R521="profesional",N(AK521),0)</f>
        <v/>
      </c>
      <c r="CE521" s="3">
        <f>IF(AND(R521="profesional",ISNUMBER(AK521),AL521="sí"),0,TASA_DGT)</f>
        <v/>
      </c>
      <c r="CF521" s="3">
        <f>INFORME_DGT</f>
        <v/>
      </c>
      <c r="CG521" s="4">
        <f>O521+CD521+CC521+CE521+CF521</f>
        <v/>
      </c>
      <c r="CH521" s="4">
        <f>CG521+N(BU521)</f>
        <v/>
      </c>
      <c r="CI521" s="3">
        <f>IF(CG521&lt;=TOTAL_MAX,"sí",IF(CG521&lt;=TOTAL_MAX+MARGEN_NEG,"negociar","no"))</f>
        <v/>
      </c>
      <c r="CJ521" s="4">
        <f>IF(CI521&lt;&gt;"no",COUNTIFS($CI$2:$CI$662,"&lt;&gt;no",$CA$2:$CA$662,"&gt;"&amp;CA521)+COUNTIFS($CI$2:CI521,"&lt;&gt;no",$CA$2:CA521,CA521),"")</f>
        <v/>
      </c>
    </row>
    <row r="522">
      <c r="A522" s="2" t="inlineStr">
        <is>
          <t>cochesnet:71356641</t>
        </is>
      </c>
      <c r="B522" s="2" t="inlineStr">
        <is>
          <t>cochesnet</t>
        </is>
      </c>
      <c r="C522" s="2" t="inlineStr">
        <is>
          <t>https://www.coches.net/ford-fiesta-20-st-3p-gasolina-2007-en-valencia-71356641-covo.aspx</t>
        </is>
      </c>
      <c r="D522" s="2" t="inlineStr">
        <is>
          <t>FORD Fiesta 2.0 ST</t>
        </is>
      </c>
      <c r="E522" s="2" t="inlineStr">
        <is>
          <t>Ford</t>
        </is>
      </c>
      <c r="F522" s="2" t="inlineStr">
        <is>
          <t>Ford Fiesta</t>
        </is>
      </c>
      <c r="G522" s="2" t="inlineStr">
        <is>
          <t>2.0</t>
        </is>
      </c>
      <c r="H522" s="2" t="inlineStr">
        <is>
          <t>2.0 ST</t>
        </is>
      </c>
      <c r="I522" s="2" t="n"/>
      <c r="J522" s="2" t="n"/>
      <c r="K522" s="2" t="inlineStr">
        <is>
          <t>gasolina</t>
        </is>
      </c>
      <c r="L522" s="2" t="inlineStr">
        <is>
          <t>familiar</t>
        </is>
      </c>
      <c r="M522" s="2" t="n">
        <v>2007</v>
      </c>
      <c r="N522" s="2" t="n">
        <v>196000</v>
      </c>
      <c r="O522" s="2" t="n">
        <v>4990</v>
      </c>
      <c r="P522" s="2" t="inlineStr">
        <is>
          <t>manual</t>
        </is>
      </c>
      <c r="Q522" s="2" t="inlineStr">
        <is>
          <t>no</t>
        </is>
      </c>
      <c r="R522" s="2" t="inlineStr">
        <is>
          <t>particular</t>
        </is>
      </c>
      <c r="S522" s="2" t="inlineStr">
        <is>
          <t>Sagunto (Sagunt)</t>
        </is>
      </c>
      <c r="T522" s="2" t="inlineStr">
        <is>
          <t>2026-08-24T22:28:49Z</t>
        </is>
      </c>
      <c r="U522" s="2" t="n">
        <v>21</v>
      </c>
      <c r="V522" s="2" t="inlineStr">
        <is>
          <t>sí</t>
        </is>
      </c>
      <c r="W522" s="2" t="n"/>
      <c r="X522" s="2" t="n"/>
      <c r="Y522" s="2" t="n">
        <v>3</v>
      </c>
      <c r="Z522" s="2" t="inlineStr">
        <is>
          <t>no</t>
        </is>
      </c>
      <c r="AA522" s="2" t="n"/>
      <c r="AB522" s="2" t="n"/>
      <c r="AC522" s="2" t="n"/>
      <c r="AD522" s="2" t="n"/>
      <c r="AE522" s="2" t="n"/>
      <c r="AF522" s="2" t="n"/>
      <c r="AG522" s="2" t="n"/>
      <c r="AH522" s="2" t="n">
        <v>4990</v>
      </c>
      <c r="AI522" s="2" t="n"/>
      <c r="AJ522" s="2" t="n"/>
      <c r="AK522" s="2" t="n"/>
      <c r="AL522" s="2" t="n"/>
      <c r="AM522" s="2" t="n"/>
      <c r="AN522" s="2" t="n">
        <v>4500</v>
      </c>
      <c r="AO522" s="2" t="n">
        <v>18</v>
      </c>
      <c r="AP522" s="2" t="inlineStr">
        <is>
          <t>modelo+año+km</t>
        </is>
      </c>
      <c r="AQ522" s="2" t="n"/>
      <c r="AR522" s="2" t="inlineStr">
        <is>
          <t>por encima del presupuesto (5114 €), negociar; cuota fija ITP: &gt;12 años, 1.501-2.000 cc; carrocería familiar: -3 puntos; distancia no verificable (el anuncio solo indica la provincia): confirmar que está a &lt;= 70 km</t>
        </is>
      </c>
      <c r="AS522" s="2" t="inlineStr">
        <is>
          <t>Vendo Ford Fiesta ST150 2.0 16V de 150 CV, matriculado en 2007, con 196.000 km y cambio manual.
Coche con 3 propietarios registrados, pero 2 propietarios reales, ya que uno de los cambios de titularidad se realizó entre familiares.
1. Equipamiento:
- Motor 2.0 gasolina atmosférico de 150 CV
- Cambio manual
- Climatizador
- Asientos deportivos
- Llantas de 17"
- Retrovisores eléctricos
- Neumáticos:
Actualmente monta Presto UHP 2 en medida 205/40 R17, medida homologada en ficha para el vehículo.
Los neumáticos son de fabricación semana 17 de 2024 y presentan buen estado y bastante dibujo, como se puede apreciar en las fotografías.
2. Mantenimiento:
-Cambio de aceite y filtro de aceite realizado a los 191.615 km.
-Dispongo de facturas de la mayoría de mantenimientos.
-El coche se utiliza con normalidad y para su funcionamiento diario no necesita ninguna reparación inmediata.
-Conservo además la revisión mecánica que realicé hace aproximadamente 2 años, cuando compré el coche, en la que aparecen las recomendaciones que realizó mi mecánico. Puedo enseñarla a cualquier interesado para que conozca el estado del vehículo con total transparencia.
3. Estado del vehículo:
-El interior está en muy buen estado, teniendo en cuenta la edad y kilometraje del coche.
-Exteriormente presenta algunos golpes y arañazos propios del uso, aunque en general la pintura se encuentra en un estado correcto. No es un coche nuevo ni se vende como tal, por lo que prefiero dejar claro su estado de</t>
        </is>
      </c>
      <c r="AT522" s="2" t="inlineStr">
        <is>
          <t>https://www.coches.net/ford-fiesta-20-st-3p-gasolina-2007-en-valencia-71356641-covo.aspx (window.__INITIAL_PROPS__.ad) /home/user/Alopecia/buscador-coches/raw/cochesnet/bfcf8482301290af.json</t>
        </is>
      </c>
      <c r="AU522" s="3">
        <f>MAX(ANIO_ACTUAL-M522,0)</f>
        <v/>
      </c>
      <c r="AV522" s="4">
        <f>N522/MAX(AU522,0.5)</f>
        <v/>
      </c>
      <c r="AW522" s="4">
        <f>F522</f>
        <v/>
      </c>
      <c r="AX522" s="3">
        <f>AW522&amp;"|"&amp;INT(M522/SEG_ANIO)*SEG_ANIO</f>
        <v/>
      </c>
      <c r="AY522" s="3">
        <f>AX522&amp;"|"&amp;INT(N522/SEG_KM)*SEG_KM</f>
        <v/>
      </c>
      <c r="AZ522" s="4">
        <f>COUNTIF($AW$2:$AW$662,AW522)</f>
        <v/>
      </c>
      <c r="BA522" s="4">
        <f>COUNTIF($AX$2:$AX$662,AX522)</f>
        <v/>
      </c>
      <c r="BB522" s="4">
        <f>COUNTIF($AY$2:$AY$662,AY522)</f>
        <v/>
      </c>
      <c r="BC522" s="3">
        <f t="array" ref="BC522">IF(N(AO522)&gt;=MIN_N,AN522,IF(BB522&gt;=MIN_N,MEDIAN(IF($AY$2:$AY$662=AY522,$O$2:$O$662)),IF(BA522&gt;=MIN_N,MEDIAN(IF($AX$2:$AX$662=AX522,$O$2:$O$662)),MEDIAN(IF($AW$2:$AW$662=AW522,$O$2:$O$662)))))</f>
        <v/>
      </c>
      <c r="BD522" s="3">
        <f>IF(N(AO522)&gt;=MIN_N,"mercado "&amp;AP522,IF(BB522&gt;=MIN_N,"modelo+año+km",IF(BA522&gt;=MIN_N,"modelo+año","modelo")))</f>
        <v/>
      </c>
      <c r="BE522" s="4">
        <f>(BC522-O522)/BC522</f>
        <v/>
      </c>
      <c r="BF522" s="3">
        <f>IF(OR(K522="hibrido",K522="glp"),"ECO",IF(K522="electrico","CERO",IF(K522="gasolina",IF(M522&gt;=GAS_C,"C",IF(M522&gt;=GAS_B,"B","A")),IF(K522="diesel",IF(M522&gt;=DIE_C,"C",IF(M522&gt;=DIE_B,"B","A")),""))))</f>
        <v/>
      </c>
      <c r="BG522" s="3">
        <f>IFERROR(VLOOKUP(F522,MOD_TBL,11,0),IFERROR(VLOOKUP(E522,OCU_TBL,2,0),NEUTRO))</f>
        <v/>
      </c>
      <c r="BH522" s="3">
        <f>SUMIFS(MOT_AJUSTE,MOT_MOTOR,G522,MOT_MARCA,E522,MOT_DESDE,"&lt;="&amp;M522,MOT_HASTA,"&gt;="&amp;M522)+SUMIFS(MOT_AJUSTE,MOT_MOTOR,G522,MOT_MARCA,"(todas)",MOT_DESDE,"&lt;="&amp;M522,MOT_HASTA,"&gt;="&amp;M522)</f>
        <v/>
      </c>
      <c r="BI522" s="3">
        <f>SUMIFS(COMB_AJUSTE,COMB_COMB,K522)</f>
        <v/>
      </c>
      <c r="BJ522" s="3">
        <f>COUNTIFS(MOT_MOTOR,G522,MOT_MARCA,E522,MOT_DESDE,"&lt;="&amp;M522,MOT_HASTA,"&gt;="&amp;M522)+COUNTIFS(MOT_MOTOR,G522,MOT_MARCA,"(todas)",MOT_DESDE,"&lt;="&amp;M522,MOT_HASTA,"&gt;="&amp;M522)</f>
        <v/>
      </c>
      <c r="BK522" s="3">
        <f>IF(AND(K522="diesel",BJ522=0),MIN(BG522,NEUTRO),BG522)</f>
        <v/>
      </c>
      <c r="BL522" s="4">
        <f>MAX(0,MIN(100,BK522+BH522+BI522))</f>
        <v/>
      </c>
      <c r="BM522" s="3">
        <f>MAX(0,MIN(100,50+BE522*PRECIO_PEND))</f>
        <v/>
      </c>
      <c r="BN522" s="3">
        <f>MAX(0,100*(1-N522/KM_MAX))</f>
        <v/>
      </c>
      <c r="BO522" s="3">
        <f>IF(AV522&lt;KMA_SOSP,IF(AA522="sí",100,KMA_PEN),IF(AV522&lt;=KMA_IDEAL_MAX,100,MAX(0,100*(KMA_CERO-AV522)/(KMA_CERO-KMA_IDEAL_MAX))))</f>
        <v/>
      </c>
      <c r="BP522" s="3">
        <f>MAX(0,MIN(100,100*(M522-ANIO_MIN)/(ANIO_ACTUAL-ANIO_MIN)))</f>
        <v/>
      </c>
      <c r="BQ522" s="3">
        <f>W_KMT*BN522+W_KMA*BO522+W_EDAD*BP522</f>
        <v/>
      </c>
      <c r="BR522" s="3">
        <f>P_ITV*(V522="sí")+P_LIBRO*(W522="sí")+P_CORREA*(X522="sí")+P_PROP*(Y522=1)+P_GAR*(Z522="sí")+P_FOTOS*MIN(1,N(U522)/FOTOS_OBJ)</f>
        <v/>
      </c>
      <c r="BS522" s="3">
        <f>IFERROR(VLOOKUP(BF522,ETQ_TBL,2,0),NEUTRO)</f>
        <v/>
      </c>
      <c r="BT522" s="3">
        <f>NEUTRO</f>
        <v/>
      </c>
      <c r="BU522" s="3">
        <f>IFERROR(VLOOKUP(L522,SEGURO_TBL,3,0),"")</f>
        <v/>
      </c>
      <c r="BV522" s="3">
        <f>IF(BU522="",NEUTRO,MAX(0,MIN(100,100*(SEG_REF_MAX-BU522)/(SEG_REF_MAX-SEG_REF_MIN))))</f>
        <v/>
      </c>
      <c r="BW522" s="3">
        <f>W_ET*BS522+W_CONS*BT522+W_SEG*BV522</f>
        <v/>
      </c>
      <c r="BX522" s="3">
        <f>IF(N(AB522)&gt;0,AB522,IF(AND(R522="profesional",SG_LEGAL_ON=1),GAR_LEGAL,0))</f>
        <v/>
      </c>
      <c r="BY522" s="3">
        <f>SG_GAR*MIN(1,BX522/SG_GAR_FULL)+SG_AMPL*(AC522="sí")+SG_KMC*(AF522="sí")+SG_REV*(N(AE522)&gt;0)+SG_DEV*MIN(1,N(AG522)/SG_DEV_FULL)+SG_HIST*(W522="sí")</f>
        <v/>
      </c>
      <c r="BZ522" s="3">
        <f>IFERROR(VLOOKUP(L522,CARR_PEN_TBL,2,0),0)</f>
        <v/>
      </c>
      <c r="CA522" s="3">
        <f>W_FIAB*BL522+W_PRECIO*BM522+W_KMEDAD*BQ522+W_ANUNCIO*BR522+W_USO*BW522+W_SEGURIDAD*BY522-BZ522</f>
        <v/>
      </c>
      <c r="CB522" s="4">
        <f>IF(N(I522)&gt;0,I522,IFERROR(ROUND(_xlfn.NUMBERVALUE(LEFT(G522,FIND(" ",G522&amp;" ")-1),".")*1000,0),99999))</f>
        <v/>
      </c>
      <c r="CC522" s="3">
        <f>IF(R522="profesional",0,IF(O522&lt;CUOTA_VALOR_MAX,IF(AU522&gt;ITP_TRAMO_ALTO,SUMIFS(CF_CUOTA,CF_MAS,ITP_TRAMO_ALTO,CF_CCMIN,"&lt;="&amp;CB522,CF_CCMAX,"&gt;="&amp;CB522),IF(AU522&gt;ITP_TRAMO_BAJO,SUMIFS(CF_CUOTA,CF_MAS,ITP_TRAMO_BAJO,CF_CCMIN,"&lt;="&amp;CB522,CF_CCMAX,"&gt;="&amp;CB522),O522*ITP_TIPO)),O522*ITP_TIPO))</f>
        <v/>
      </c>
      <c r="CD522" s="4">
        <f>IF(R522="profesional",N(AK522),0)</f>
        <v/>
      </c>
      <c r="CE522" s="3">
        <f>IF(AND(R522="profesional",ISNUMBER(AK522),AL522="sí"),0,TASA_DGT)</f>
        <v/>
      </c>
      <c r="CF522" s="3">
        <f>INFORME_DGT</f>
        <v/>
      </c>
      <c r="CG522" s="4">
        <f>O522+CD522+CC522+CE522+CF522</f>
        <v/>
      </c>
      <c r="CH522" s="4">
        <f>CG522+N(BU522)</f>
        <v/>
      </c>
      <c r="CI522" s="3">
        <f>IF(CG522&lt;=TOTAL_MAX,"sí",IF(CG522&lt;=TOTAL_MAX+MARGEN_NEG,"negociar","no"))</f>
        <v/>
      </c>
      <c r="CJ522" s="4">
        <f>IF(CI522&lt;&gt;"no",COUNTIFS($CI$2:$CI$662,"&lt;&gt;no",$CA$2:$CA$662,"&gt;"&amp;CA522)+COUNTIFS($CI$2:CI522,"&lt;&gt;no",$CA$2:CA522,CA522),"")</f>
        <v/>
      </c>
    </row>
    <row r="523">
      <c r="A523" s="2" t="inlineStr">
        <is>
          <t>cochesnet:71868483</t>
        </is>
      </c>
      <c r="B523" s="2" t="inlineStr">
        <is>
          <t>cochesnet</t>
        </is>
      </c>
      <c r="C523" s="2" t="inlineStr">
        <is>
          <t>https://www.coches.net/ford-focus-18-tdci-sport-3p-diesel-2006-en-valencia-71868483-covo.aspx</t>
        </is>
      </c>
      <c r="D523" s="2" t="inlineStr">
        <is>
          <t>FORD Focus 1.8 TDCi Sport</t>
        </is>
      </c>
      <c r="E523" s="2" t="inlineStr">
        <is>
          <t>Ford</t>
        </is>
      </c>
      <c r="F523" s="2" t="inlineStr">
        <is>
          <t>Ford Focus</t>
        </is>
      </c>
      <c r="G523" s="2" t="inlineStr">
        <is>
          <t>1.8 TDCi</t>
        </is>
      </c>
      <c r="H523" s="2" t="inlineStr">
        <is>
          <t>1.8 TDCi Sport</t>
        </is>
      </c>
      <c r="I523" s="2" t="n"/>
      <c r="J523" s="2" t="n"/>
      <c r="K523" s="2" t="inlineStr">
        <is>
          <t>diesel</t>
        </is>
      </c>
      <c r="L523" s="2" t="inlineStr">
        <is>
          <t>compacto</t>
        </is>
      </c>
      <c r="M523" s="2" t="n">
        <v>2006</v>
      </c>
      <c r="N523" s="2" t="n">
        <v>167000</v>
      </c>
      <c r="O523" s="2" t="n">
        <v>3900</v>
      </c>
      <c r="P523" s="2" t="inlineStr">
        <is>
          <t>manual</t>
        </is>
      </c>
      <c r="Q523" s="2" t="inlineStr">
        <is>
          <t>no</t>
        </is>
      </c>
      <c r="R523" s="2" t="inlineStr">
        <is>
          <t>particular</t>
        </is>
      </c>
      <c r="S523" s="2" t="inlineStr">
        <is>
          <t>Mislata</t>
        </is>
      </c>
      <c r="T523" s="2" t="inlineStr">
        <is>
          <t>2026-10-30T10:50:00Z</t>
        </is>
      </c>
      <c r="U523" s="2" t="n">
        <v>4</v>
      </c>
      <c r="V523" s="2" t="inlineStr">
        <is>
          <t>sí</t>
        </is>
      </c>
      <c r="W523" s="2" t="n"/>
      <c r="X523" s="2" t="n"/>
      <c r="Y523" s="2" t="n"/>
      <c r="Z523" s="2" t="inlineStr">
        <is>
          <t>no</t>
        </is>
      </c>
      <c r="AA523" s="2" t="inlineStr">
        <is>
          <t>sí</t>
        </is>
      </c>
      <c r="AB523" s="2" t="n"/>
      <c r="AC523" s="2" t="n"/>
      <c r="AD523" s="2" t="n"/>
      <c r="AE523" s="2" t="n"/>
      <c r="AF523" s="2" t="n"/>
      <c r="AG523" s="2" t="n"/>
      <c r="AH523" s="2" t="n">
        <v>3900</v>
      </c>
      <c r="AI523" s="2" t="n"/>
      <c r="AJ523" s="2" t="n"/>
      <c r="AK523" s="2" t="n"/>
      <c r="AL523" s="2" t="n"/>
      <c r="AM523" s="2" t="n">
        <v>3</v>
      </c>
      <c r="AN523" s="2" t="n">
        <v>3000</v>
      </c>
      <c r="AO523" s="2" t="n">
        <v>10</v>
      </c>
      <c r="AP523" s="2" t="inlineStr">
        <is>
          <t>modelo+año+km</t>
        </is>
      </c>
      <c r="AQ523" s="2" t="n"/>
      <c r="AR523" s="2" t="inlineStr">
        <is>
          <t>cuota fija ITP: &gt;12 años, 1.501-2.000 cc; diésel: motor sin fuente de fiabilidad (fiabilidad limitada a neutra)</t>
        </is>
      </c>
      <c r="AS523" s="2" t="inlineStr">
        <is>
          <t>Se vende Ford Focus Mk2 color negro. 1 sola dueña.. Persona mayor que ya no puede conducir. Coche muy mimado guardado siempre en garaje privado.
• Tapicería completa de cuero negro en perfecto estado.
• Asientos delanteros calefactables.
• Llantas de aleación originales.
• Distintivo ambiental (Etiqueta B).
• Neumáticos nuevos a estrenar.
• Aceite y filtros recién cambiados.
• ITV en vigor y al día</t>
        </is>
      </c>
      <c r="AT523" s="2" t="inlineStr">
        <is>
          <t>https://www.coches.net/ford-focus-18-tdci-sport-3p-diesel-2006-en-valencia-71868483-covo.aspx (window.__INITIAL_PROPS__.ad) /home/user/Alopecia/buscador-coches/raw/cochesnet/ea0ba4c87f9b97b8.json</t>
        </is>
      </c>
      <c r="AU523" s="3">
        <f>MAX(ANIO_ACTUAL-M523,0)</f>
        <v/>
      </c>
      <c r="AV523" s="4">
        <f>N523/MAX(AU523,0.5)</f>
        <v/>
      </c>
      <c r="AW523" s="4">
        <f>F523</f>
        <v/>
      </c>
      <c r="AX523" s="3">
        <f>AW523&amp;"|"&amp;INT(M523/SEG_ANIO)*SEG_ANIO</f>
        <v/>
      </c>
      <c r="AY523" s="3">
        <f>AX523&amp;"|"&amp;INT(N523/SEG_KM)*SEG_KM</f>
        <v/>
      </c>
      <c r="AZ523" s="4">
        <f>COUNTIF($AW$2:$AW$662,AW523)</f>
        <v/>
      </c>
      <c r="BA523" s="4">
        <f>COUNTIF($AX$2:$AX$662,AX523)</f>
        <v/>
      </c>
      <c r="BB523" s="4">
        <f>COUNTIF($AY$2:$AY$662,AY523)</f>
        <v/>
      </c>
      <c r="BC523" s="3">
        <f t="array" ref="BC523">IF(N(AO523)&gt;=MIN_N,AN523,IF(BB523&gt;=MIN_N,MEDIAN(IF($AY$2:$AY$662=AY523,$O$2:$O$662)),IF(BA523&gt;=MIN_N,MEDIAN(IF($AX$2:$AX$662=AX523,$O$2:$O$662)),MEDIAN(IF($AW$2:$AW$662=AW523,$O$2:$O$662)))))</f>
        <v/>
      </c>
      <c r="BD523" s="3">
        <f>IF(N(AO523)&gt;=MIN_N,"mercado "&amp;AP523,IF(BB523&gt;=MIN_N,"modelo+año+km",IF(BA523&gt;=MIN_N,"modelo+año","modelo")))</f>
        <v/>
      </c>
      <c r="BE523" s="4">
        <f>(BC523-O523)/BC523</f>
        <v/>
      </c>
      <c r="BF523" s="3">
        <f>IF(OR(K523="hibrido",K523="glp"),"ECO",IF(K523="electrico","CERO",IF(K523="gasolina",IF(M523&gt;=GAS_C,"C",IF(M523&gt;=GAS_B,"B","A")),IF(K523="diesel",IF(M523&gt;=DIE_C,"C",IF(M523&gt;=DIE_B,"B","A")),""))))</f>
        <v/>
      </c>
      <c r="BG523" s="3">
        <f>IFERROR(VLOOKUP(F523,MOD_TBL,11,0),IFERROR(VLOOKUP(E523,OCU_TBL,2,0),NEUTRO))</f>
        <v/>
      </c>
      <c r="BH523" s="3">
        <f>SUMIFS(MOT_AJUSTE,MOT_MOTOR,G523,MOT_MARCA,E523,MOT_DESDE,"&lt;="&amp;M523,MOT_HASTA,"&gt;="&amp;M523)+SUMIFS(MOT_AJUSTE,MOT_MOTOR,G523,MOT_MARCA,"(todas)",MOT_DESDE,"&lt;="&amp;M523,MOT_HASTA,"&gt;="&amp;M523)</f>
        <v/>
      </c>
      <c r="BI523" s="3">
        <f>SUMIFS(COMB_AJUSTE,COMB_COMB,K523)</f>
        <v/>
      </c>
      <c r="BJ523" s="3">
        <f>COUNTIFS(MOT_MOTOR,G523,MOT_MARCA,E523,MOT_DESDE,"&lt;="&amp;M523,MOT_HASTA,"&gt;="&amp;M523)+COUNTIFS(MOT_MOTOR,G523,MOT_MARCA,"(todas)",MOT_DESDE,"&lt;="&amp;M523,MOT_HASTA,"&gt;="&amp;M523)</f>
        <v/>
      </c>
      <c r="BK523" s="3">
        <f>IF(AND(K523="diesel",BJ523=0),MIN(BG523,NEUTRO),BG523)</f>
        <v/>
      </c>
      <c r="BL523" s="4">
        <f>MAX(0,MIN(100,BK523+BH523+BI523))</f>
        <v/>
      </c>
      <c r="BM523" s="3">
        <f>MAX(0,MIN(100,50+BE523*PRECIO_PEND))</f>
        <v/>
      </c>
      <c r="BN523" s="3">
        <f>MAX(0,100*(1-N523/KM_MAX))</f>
        <v/>
      </c>
      <c r="BO523" s="3">
        <f>IF(AV523&lt;KMA_SOSP,IF(AA523="sí",100,KMA_PEN),IF(AV523&lt;=KMA_IDEAL_MAX,100,MAX(0,100*(KMA_CERO-AV523)/(KMA_CERO-KMA_IDEAL_MAX))))</f>
        <v/>
      </c>
      <c r="BP523" s="3">
        <f>MAX(0,MIN(100,100*(M523-ANIO_MIN)/(ANIO_ACTUAL-ANIO_MIN)))</f>
        <v/>
      </c>
      <c r="BQ523" s="3">
        <f>W_KMT*BN523+W_KMA*BO523+W_EDAD*BP523</f>
        <v/>
      </c>
      <c r="BR523" s="3">
        <f>P_ITV*(V523="sí")+P_LIBRO*(W523="sí")+P_CORREA*(X523="sí")+P_PROP*(Y523=1)+P_GAR*(Z523="sí")+P_FOTOS*MIN(1,N(U523)/FOTOS_OBJ)</f>
        <v/>
      </c>
      <c r="BS523" s="3">
        <f>IFERROR(VLOOKUP(BF523,ETQ_TBL,2,0),NEUTRO)</f>
        <v/>
      </c>
      <c r="BT523" s="3">
        <f>NEUTRO</f>
        <v/>
      </c>
      <c r="BU523" s="3">
        <f>IFERROR(VLOOKUP(L523,SEGURO_TBL,3,0),"")</f>
        <v/>
      </c>
      <c r="BV523" s="3">
        <f>IF(BU523="",NEUTRO,MAX(0,MIN(100,100*(SEG_REF_MAX-BU523)/(SEG_REF_MAX-SEG_REF_MIN))))</f>
        <v/>
      </c>
      <c r="BW523" s="3">
        <f>W_ET*BS523+W_CONS*BT523+W_SEG*BV523</f>
        <v/>
      </c>
      <c r="BX523" s="3">
        <f>IF(N(AB523)&gt;0,AB523,IF(AND(R523="profesional",SG_LEGAL_ON=1),GAR_LEGAL,0))</f>
        <v/>
      </c>
      <c r="BY523" s="3">
        <f>SG_GAR*MIN(1,BX523/SG_GAR_FULL)+SG_AMPL*(AC523="sí")+SG_KMC*(AF523="sí")+SG_REV*(N(AE523)&gt;0)+SG_DEV*MIN(1,N(AG523)/SG_DEV_FULL)+SG_HIST*(W523="sí")</f>
        <v/>
      </c>
      <c r="BZ523" s="3">
        <f>IFERROR(VLOOKUP(L523,CARR_PEN_TBL,2,0),0)</f>
        <v/>
      </c>
      <c r="CA523" s="3">
        <f>W_FIAB*BL523+W_PRECIO*BM523+W_KMEDAD*BQ523+W_ANUNCIO*BR523+W_USO*BW523+W_SEGURIDAD*BY523-BZ523</f>
        <v/>
      </c>
      <c r="CB523" s="4">
        <f>IF(N(I523)&gt;0,I523,IFERROR(ROUND(_xlfn.NUMBERVALUE(LEFT(G523,FIND(" ",G523&amp;" ")-1),".")*1000,0),99999))</f>
        <v/>
      </c>
      <c r="CC523" s="3">
        <f>IF(R523="profesional",0,IF(O523&lt;CUOTA_VALOR_MAX,IF(AU523&gt;ITP_TRAMO_ALTO,SUMIFS(CF_CUOTA,CF_MAS,ITP_TRAMO_ALTO,CF_CCMIN,"&lt;="&amp;CB523,CF_CCMAX,"&gt;="&amp;CB523),IF(AU523&gt;ITP_TRAMO_BAJO,SUMIFS(CF_CUOTA,CF_MAS,ITP_TRAMO_BAJO,CF_CCMIN,"&lt;="&amp;CB523,CF_CCMAX,"&gt;="&amp;CB523),O523*ITP_TIPO)),O523*ITP_TIPO))</f>
        <v/>
      </c>
      <c r="CD523" s="4">
        <f>IF(R523="profesional",N(AK523),0)</f>
        <v/>
      </c>
      <c r="CE523" s="3">
        <f>IF(AND(R523="profesional",ISNUMBER(AK523),AL523="sí"),0,TASA_DGT)</f>
        <v/>
      </c>
      <c r="CF523" s="3">
        <f>INFORME_DGT</f>
        <v/>
      </c>
      <c r="CG523" s="4">
        <f>O523+CD523+CC523+CE523+CF523</f>
        <v/>
      </c>
      <c r="CH523" s="4">
        <f>CG523+N(BU523)</f>
        <v/>
      </c>
      <c r="CI523" s="3">
        <f>IF(CG523&lt;=TOTAL_MAX,"sí",IF(CG523&lt;=TOTAL_MAX+MARGEN_NEG,"negociar","no"))</f>
        <v/>
      </c>
      <c r="CJ523" s="4">
        <f>IF(CI523&lt;&gt;"no",COUNTIFS($CI$2:$CI$662,"&lt;&gt;no",$CA$2:$CA$662,"&gt;"&amp;CA523)+COUNTIFS($CI$2:CI523,"&lt;&gt;no",$CA$2:CA523,CA523),"")</f>
        <v/>
      </c>
    </row>
    <row r="524">
      <c r="A524" s="2" t="inlineStr">
        <is>
          <t>cochesnet:71869539</t>
        </is>
      </c>
      <c r="B524" s="2" t="inlineStr">
        <is>
          <t>cochesnet</t>
        </is>
      </c>
      <c r="C524" s="2" t="inlineStr">
        <is>
          <t>https://www.coches.net/ford-focus-16-trend-5p-gasolina-2006-en-valencia-71869539-covo.aspx</t>
        </is>
      </c>
      <c r="D524" s="2" t="inlineStr">
        <is>
          <t>FORD Focus 1.6 TREND</t>
        </is>
      </c>
      <c r="E524" s="2" t="inlineStr">
        <is>
          <t>Ford</t>
        </is>
      </c>
      <c r="F524" s="2" t="inlineStr">
        <is>
          <t>Ford Focus</t>
        </is>
      </c>
      <c r="G524" s="2" t="inlineStr">
        <is>
          <t>1.6</t>
        </is>
      </c>
      <c r="H524" s="2" t="inlineStr">
        <is>
          <t>1.6 TREND</t>
        </is>
      </c>
      <c r="I524" s="2" t="n"/>
      <c r="J524" s="2" t="n"/>
      <c r="K524" s="2" t="inlineStr">
        <is>
          <t>gasolina</t>
        </is>
      </c>
      <c r="L524" s="2" t="inlineStr">
        <is>
          <t>compacto</t>
        </is>
      </c>
      <c r="M524" s="2" t="n">
        <v>2006</v>
      </c>
      <c r="N524" s="2" t="n">
        <v>160000</v>
      </c>
      <c r="O524" s="2" t="n">
        <v>3000</v>
      </c>
      <c r="P524" s="2" t="inlineStr">
        <is>
          <t>manual</t>
        </is>
      </c>
      <c r="Q524" s="2" t="inlineStr">
        <is>
          <t>no</t>
        </is>
      </c>
      <c r="R524" s="2" t="inlineStr">
        <is>
          <t>particular</t>
        </is>
      </c>
      <c r="S524" s="2" t="inlineStr">
        <is>
          <t>Paterna</t>
        </is>
      </c>
      <c r="T524" s="2" t="inlineStr">
        <is>
          <t>2026-10-30T12:03:36Z</t>
        </is>
      </c>
      <c r="U524" s="2" t="n">
        <v>8</v>
      </c>
      <c r="V524" s="2" t="n"/>
      <c r="W524" s="2" t="n"/>
      <c r="X524" s="2" t="n"/>
      <c r="Y524" s="2" t="n"/>
      <c r="Z524" s="2" t="inlineStr">
        <is>
          <t>no</t>
        </is>
      </c>
      <c r="AA524" s="2" t="n"/>
      <c r="AB524" s="2" t="n"/>
      <c r="AC524" s="2" t="n"/>
      <c r="AD524" s="2" t="n"/>
      <c r="AE524" s="2" t="n"/>
      <c r="AF524" s="2" t="n"/>
      <c r="AG524" s="2" t="n"/>
      <c r="AH524" s="2" t="n">
        <v>3000</v>
      </c>
      <c r="AI524" s="2" t="n"/>
      <c r="AJ524" s="2" t="n"/>
      <c r="AK524" s="2" t="n"/>
      <c r="AL524" s="2" t="n"/>
      <c r="AM524" s="2" t="n">
        <v>6.8</v>
      </c>
      <c r="AN524" s="2" t="n">
        <v>3000</v>
      </c>
      <c r="AO524" s="2" t="n">
        <v>10</v>
      </c>
      <c r="AP524" s="2" t="inlineStr">
        <is>
          <t>modelo+año+km</t>
        </is>
      </c>
      <c r="AQ524" s="2" t="n"/>
      <c r="AR524" s="2" t="inlineStr">
        <is>
          <t>cuota fija ITP: &gt;12 años, 1.501-2.000 cc</t>
        </is>
      </c>
      <c r="AS524" s="2" t="inlineStr"/>
      <c r="AT524" s="2" t="inlineStr">
        <is>
          <t>https://www.coches.net/ford-focus-16-trend-5p-gasolina-2006-en-valencia-71869539-covo.aspx (window.__INITIAL_PROPS__.ad) /home/user/Alopecia/buscador-coches/raw/cochesnet/09608cf9d240b902.json</t>
        </is>
      </c>
      <c r="AU524" s="3">
        <f>MAX(ANIO_ACTUAL-M524,0)</f>
        <v/>
      </c>
      <c r="AV524" s="4">
        <f>N524/MAX(AU524,0.5)</f>
        <v/>
      </c>
      <c r="AW524" s="4">
        <f>F524</f>
        <v/>
      </c>
      <c r="AX524" s="3">
        <f>AW524&amp;"|"&amp;INT(M524/SEG_ANIO)*SEG_ANIO</f>
        <v/>
      </c>
      <c r="AY524" s="3">
        <f>AX524&amp;"|"&amp;INT(N524/SEG_KM)*SEG_KM</f>
        <v/>
      </c>
      <c r="AZ524" s="4">
        <f>COUNTIF($AW$2:$AW$662,AW524)</f>
        <v/>
      </c>
      <c r="BA524" s="4">
        <f>COUNTIF($AX$2:$AX$662,AX524)</f>
        <v/>
      </c>
      <c r="BB524" s="4">
        <f>COUNTIF($AY$2:$AY$662,AY524)</f>
        <v/>
      </c>
      <c r="BC524" s="3">
        <f t="array" ref="BC524">IF(N(AO524)&gt;=MIN_N,AN524,IF(BB524&gt;=MIN_N,MEDIAN(IF($AY$2:$AY$662=AY524,$O$2:$O$662)),IF(BA524&gt;=MIN_N,MEDIAN(IF($AX$2:$AX$662=AX524,$O$2:$O$662)),MEDIAN(IF($AW$2:$AW$662=AW524,$O$2:$O$662)))))</f>
        <v/>
      </c>
      <c r="BD524" s="3">
        <f>IF(N(AO524)&gt;=MIN_N,"mercado "&amp;AP524,IF(BB524&gt;=MIN_N,"modelo+año+km",IF(BA524&gt;=MIN_N,"modelo+año","modelo")))</f>
        <v/>
      </c>
      <c r="BE524" s="4">
        <f>(BC524-O524)/BC524</f>
        <v/>
      </c>
      <c r="BF524" s="3">
        <f>IF(OR(K524="hibrido",K524="glp"),"ECO",IF(K524="electrico","CERO",IF(K524="gasolina",IF(M524&gt;=GAS_C,"C",IF(M524&gt;=GAS_B,"B","A")),IF(K524="diesel",IF(M524&gt;=DIE_C,"C",IF(M524&gt;=DIE_B,"B","A")),""))))</f>
        <v/>
      </c>
      <c r="BG524" s="3">
        <f>IFERROR(VLOOKUP(F524,MOD_TBL,11,0),IFERROR(VLOOKUP(E524,OCU_TBL,2,0),NEUTRO))</f>
        <v/>
      </c>
      <c r="BH524" s="3">
        <f>SUMIFS(MOT_AJUSTE,MOT_MOTOR,G524,MOT_MARCA,E524,MOT_DESDE,"&lt;="&amp;M524,MOT_HASTA,"&gt;="&amp;M524)+SUMIFS(MOT_AJUSTE,MOT_MOTOR,G524,MOT_MARCA,"(todas)",MOT_DESDE,"&lt;="&amp;M524,MOT_HASTA,"&gt;="&amp;M524)</f>
        <v/>
      </c>
      <c r="BI524" s="3">
        <f>SUMIFS(COMB_AJUSTE,COMB_COMB,K524)</f>
        <v/>
      </c>
      <c r="BJ524" s="3">
        <f>COUNTIFS(MOT_MOTOR,G524,MOT_MARCA,E524,MOT_DESDE,"&lt;="&amp;M524,MOT_HASTA,"&gt;="&amp;M524)+COUNTIFS(MOT_MOTOR,G524,MOT_MARCA,"(todas)",MOT_DESDE,"&lt;="&amp;M524,MOT_HASTA,"&gt;="&amp;M524)</f>
        <v/>
      </c>
      <c r="BK524" s="3">
        <f>IF(AND(K524="diesel",BJ524=0),MIN(BG524,NEUTRO),BG524)</f>
        <v/>
      </c>
      <c r="BL524" s="4">
        <f>MAX(0,MIN(100,BK524+BH524+BI524))</f>
        <v/>
      </c>
      <c r="BM524" s="3">
        <f>MAX(0,MIN(100,50+BE524*PRECIO_PEND))</f>
        <v/>
      </c>
      <c r="BN524" s="3">
        <f>MAX(0,100*(1-N524/KM_MAX))</f>
        <v/>
      </c>
      <c r="BO524" s="3">
        <f>IF(AV524&lt;KMA_SOSP,IF(AA524="sí",100,KMA_PEN),IF(AV524&lt;=KMA_IDEAL_MAX,100,MAX(0,100*(KMA_CERO-AV524)/(KMA_CERO-KMA_IDEAL_MAX))))</f>
        <v/>
      </c>
      <c r="BP524" s="3">
        <f>MAX(0,MIN(100,100*(M524-ANIO_MIN)/(ANIO_ACTUAL-ANIO_MIN)))</f>
        <v/>
      </c>
      <c r="BQ524" s="3">
        <f>W_KMT*BN524+W_KMA*BO524+W_EDAD*BP524</f>
        <v/>
      </c>
      <c r="BR524" s="3">
        <f>P_ITV*(V524="sí")+P_LIBRO*(W524="sí")+P_CORREA*(X524="sí")+P_PROP*(Y524=1)+P_GAR*(Z524="sí")+P_FOTOS*MIN(1,N(U524)/FOTOS_OBJ)</f>
        <v/>
      </c>
      <c r="BS524" s="3">
        <f>IFERROR(VLOOKUP(BF524,ETQ_TBL,2,0),NEUTRO)</f>
        <v/>
      </c>
      <c r="BT524" s="3">
        <f>NEUTRO</f>
        <v/>
      </c>
      <c r="BU524" s="3">
        <f>IFERROR(VLOOKUP(L524,SEGURO_TBL,3,0),"")</f>
        <v/>
      </c>
      <c r="BV524" s="3">
        <f>IF(BU524="",NEUTRO,MAX(0,MIN(100,100*(SEG_REF_MAX-BU524)/(SEG_REF_MAX-SEG_REF_MIN))))</f>
        <v/>
      </c>
      <c r="BW524" s="3">
        <f>W_ET*BS524+W_CONS*BT524+W_SEG*BV524</f>
        <v/>
      </c>
      <c r="BX524" s="3">
        <f>IF(N(AB524)&gt;0,AB524,IF(AND(R524="profesional",SG_LEGAL_ON=1),GAR_LEGAL,0))</f>
        <v/>
      </c>
      <c r="BY524" s="3">
        <f>SG_GAR*MIN(1,BX524/SG_GAR_FULL)+SG_AMPL*(AC524="sí")+SG_KMC*(AF524="sí")+SG_REV*(N(AE524)&gt;0)+SG_DEV*MIN(1,N(AG524)/SG_DEV_FULL)+SG_HIST*(W524="sí")</f>
        <v/>
      </c>
      <c r="BZ524" s="3">
        <f>IFERROR(VLOOKUP(L524,CARR_PEN_TBL,2,0),0)</f>
        <v/>
      </c>
      <c r="CA524" s="3">
        <f>W_FIAB*BL524+W_PRECIO*BM524+W_KMEDAD*BQ524+W_ANUNCIO*BR524+W_USO*BW524+W_SEGURIDAD*BY524-BZ524</f>
        <v/>
      </c>
      <c r="CB524" s="4">
        <f>IF(N(I524)&gt;0,I524,IFERROR(ROUND(_xlfn.NUMBERVALUE(LEFT(G524,FIND(" ",G524&amp;" ")-1),".")*1000,0),99999))</f>
        <v/>
      </c>
      <c r="CC524" s="3">
        <f>IF(R524="profesional",0,IF(O524&lt;CUOTA_VALOR_MAX,IF(AU524&gt;ITP_TRAMO_ALTO,SUMIFS(CF_CUOTA,CF_MAS,ITP_TRAMO_ALTO,CF_CCMIN,"&lt;="&amp;CB524,CF_CCMAX,"&gt;="&amp;CB524),IF(AU524&gt;ITP_TRAMO_BAJO,SUMIFS(CF_CUOTA,CF_MAS,ITP_TRAMO_BAJO,CF_CCMIN,"&lt;="&amp;CB524,CF_CCMAX,"&gt;="&amp;CB524),O524*ITP_TIPO)),O524*ITP_TIPO))</f>
        <v/>
      </c>
      <c r="CD524" s="4">
        <f>IF(R524="profesional",N(AK524),0)</f>
        <v/>
      </c>
      <c r="CE524" s="3">
        <f>IF(AND(R524="profesional",ISNUMBER(AK524),AL524="sí"),0,TASA_DGT)</f>
        <v/>
      </c>
      <c r="CF524" s="3">
        <f>INFORME_DGT</f>
        <v/>
      </c>
      <c r="CG524" s="4">
        <f>O524+CD524+CC524+CE524+CF524</f>
        <v/>
      </c>
      <c r="CH524" s="4">
        <f>CG524+N(BU524)</f>
        <v/>
      </c>
      <c r="CI524" s="3">
        <f>IF(CG524&lt;=TOTAL_MAX,"sí",IF(CG524&lt;=TOTAL_MAX+MARGEN_NEG,"negociar","no"))</f>
        <v/>
      </c>
      <c r="CJ524" s="4">
        <f>IF(CI524&lt;&gt;"no",COUNTIFS($CI$2:$CI$662,"&lt;&gt;no",$CA$2:$CA$662,"&gt;"&amp;CA524)+COUNTIFS($CI$2:CI524,"&lt;&gt;no",$CA$2:CA524,CA524),"")</f>
        <v/>
      </c>
    </row>
    <row r="525">
      <c r="A525" s="2" t="inlineStr">
        <is>
          <t>cochesnet:71824946</t>
        </is>
      </c>
      <c r="B525" s="2" t="inlineStr">
        <is>
          <t>cochesnet</t>
        </is>
      </c>
      <c r="C525" s="2" t="inlineStr">
        <is>
          <t>https://www.coches.net/ford-focus-16ti-vct-ghia-5p-gasolina-2007-en-valencia-71824946-covo.aspx</t>
        </is>
      </c>
      <c r="D525" s="2" t="inlineStr">
        <is>
          <t>FORD Focus 1.6Ti VCT Ghia</t>
        </is>
      </c>
      <c r="E525" s="2" t="inlineStr">
        <is>
          <t>Ford</t>
        </is>
      </c>
      <c r="F525" s="2" t="inlineStr">
        <is>
          <t>Ford Focus</t>
        </is>
      </c>
      <c r="G525" s="2" t="inlineStr">
        <is>
          <t>1.6</t>
        </is>
      </c>
      <c r="H525" s="2" t="inlineStr">
        <is>
          <t>1.6Ti VCT Ghia</t>
        </is>
      </c>
      <c r="I525" s="2" t="n"/>
      <c r="J525" s="2" t="n"/>
      <c r="K525" s="2" t="inlineStr">
        <is>
          <t>gasolina</t>
        </is>
      </c>
      <c r="L525" s="2" t="inlineStr">
        <is>
          <t>compacto</t>
        </is>
      </c>
      <c r="M525" s="2" t="n">
        <v>2007</v>
      </c>
      <c r="N525" s="2" t="n">
        <v>159000</v>
      </c>
      <c r="O525" s="2" t="n">
        <v>4200</v>
      </c>
      <c r="P525" s="2" t="inlineStr">
        <is>
          <t>manual</t>
        </is>
      </c>
      <c r="Q525" s="2" t="inlineStr">
        <is>
          <t>no</t>
        </is>
      </c>
      <c r="R525" s="2" t="inlineStr">
        <is>
          <t>particular</t>
        </is>
      </c>
      <c r="S525" s="2" t="inlineStr">
        <is>
          <t>Valencia</t>
        </is>
      </c>
      <c r="T525" s="2" t="inlineStr">
        <is>
          <t>2026-10-24T18:03:42Z</t>
        </is>
      </c>
      <c r="U525" s="2" t="n">
        <v>13</v>
      </c>
      <c r="V525" s="2" t="inlineStr">
        <is>
          <t>sí</t>
        </is>
      </c>
      <c r="W525" s="2" t="n"/>
      <c r="X525" s="2" t="n"/>
      <c r="Y525" s="2" t="n">
        <v>1</v>
      </c>
      <c r="Z525" s="2" t="inlineStr">
        <is>
          <t>no</t>
        </is>
      </c>
      <c r="AA525" s="2" t="inlineStr">
        <is>
          <t>sí</t>
        </is>
      </c>
      <c r="AB525" s="2" t="n"/>
      <c r="AC525" s="2" t="n"/>
      <c r="AD525" s="2" t="n"/>
      <c r="AE525" s="2" t="n"/>
      <c r="AF525" s="2" t="n"/>
      <c r="AG525" s="2" t="n"/>
      <c r="AH525" s="2" t="n">
        <v>4200</v>
      </c>
      <c r="AI525" s="2" t="n"/>
      <c r="AJ525" s="2" t="n"/>
      <c r="AK525" s="2" t="n"/>
      <c r="AL525" s="2" t="n"/>
      <c r="AM525" s="2" t="n">
        <v>0.1</v>
      </c>
      <c r="AN525" s="2" t="n">
        <v>3870</v>
      </c>
      <c r="AO525" s="2" t="n">
        <v>10</v>
      </c>
      <c r="AP525" s="2" t="inlineStr">
        <is>
          <t>modelo+año+km</t>
        </is>
      </c>
      <c r="AQ525" s="2" t="n"/>
      <c r="AR525" s="2" t="inlineStr">
        <is>
          <t>cuota fija ITP: &gt;12 años, 1.501-2.000 cc</t>
        </is>
      </c>
      <c r="AS525" s="2" t="inlineStr">
        <is>
          <t xml:space="preserve">Se vende Ford Focus acabado Ghia en muy buen estado de conservación. Vehículo muy cuidado, de un único propietario (persona mayor que ha dejado de conducir), siempre guardado en garaje y sin ningún tipo de accidente.
Detalles del vehículo:
• Motor: 1.600 cc (Gasolina) – 85 kW / 115 CV
• Transmisión: Cambio manual
• Carrocería: 5 puertas
• Kilometraje: 161.000 km reales (ver foto)
• Matriculación: 17 de octubre de 2007
• Matrícula: 6044 FWM
A destacadar:
• Velocidad de crucero
• EL AIRE ACONDICIONADO FUNCIONA PERO LE FALTA POTENCIA PARA LOS DÍAS MÁS EXTREMOS 
Mantenimiento reciente (Puesta a punto completa en Octubre 2026):
• ITV recién pasada válida hasta octubre de 2027.
• Batería completamente nueva.
• Neumáticos nuevos.
• Cambio reciente de filtros (aceite, aire y habitáculo) y aceite.
Gastos y documentación:
• Impuesto del Ayuntamiento (IVTM) pagado hasta el 03/2027.
• Seguro en vigor y pagado hasta el 04/2027.
</t>
        </is>
      </c>
      <c r="AT525" s="2" t="inlineStr">
        <is>
          <t>https://www.coches.net/ford-focus-16ti-vct-ghia-5p-gasolina-2007-en-valencia-71824946-covo.aspx (window.__INITIAL_PROPS__.ad) /home/user/Alopecia/buscador-coches/raw/cochesnet/08d06fd89fc96e99.json</t>
        </is>
      </c>
      <c r="AU525" s="3">
        <f>MAX(ANIO_ACTUAL-M525,0)</f>
        <v/>
      </c>
      <c r="AV525" s="4">
        <f>N525/MAX(AU525,0.5)</f>
        <v/>
      </c>
      <c r="AW525" s="4">
        <f>F525</f>
        <v/>
      </c>
      <c r="AX525" s="3">
        <f>AW525&amp;"|"&amp;INT(M525/SEG_ANIO)*SEG_ANIO</f>
        <v/>
      </c>
      <c r="AY525" s="3">
        <f>AX525&amp;"|"&amp;INT(N525/SEG_KM)*SEG_KM</f>
        <v/>
      </c>
      <c r="AZ525" s="4">
        <f>COUNTIF($AW$2:$AW$662,AW525)</f>
        <v/>
      </c>
      <c r="BA525" s="4">
        <f>COUNTIF($AX$2:$AX$662,AX525)</f>
        <v/>
      </c>
      <c r="BB525" s="4">
        <f>COUNTIF($AY$2:$AY$662,AY525)</f>
        <v/>
      </c>
      <c r="BC525" s="3">
        <f t="array" ref="BC525">IF(N(AO525)&gt;=MIN_N,AN525,IF(BB525&gt;=MIN_N,MEDIAN(IF($AY$2:$AY$662=AY525,$O$2:$O$662)),IF(BA525&gt;=MIN_N,MEDIAN(IF($AX$2:$AX$662=AX525,$O$2:$O$662)),MEDIAN(IF($AW$2:$AW$662=AW525,$O$2:$O$662)))))</f>
        <v/>
      </c>
      <c r="BD525" s="3">
        <f>IF(N(AO525)&gt;=MIN_N,"mercado "&amp;AP525,IF(BB525&gt;=MIN_N,"modelo+año+km",IF(BA525&gt;=MIN_N,"modelo+año","modelo")))</f>
        <v/>
      </c>
      <c r="BE525" s="4">
        <f>(BC525-O525)/BC525</f>
        <v/>
      </c>
      <c r="BF525" s="3">
        <f>IF(OR(K525="hibrido",K525="glp"),"ECO",IF(K525="electrico","CERO",IF(K525="gasolina",IF(M525&gt;=GAS_C,"C",IF(M525&gt;=GAS_B,"B","A")),IF(K525="diesel",IF(M525&gt;=DIE_C,"C",IF(M525&gt;=DIE_B,"B","A")),""))))</f>
        <v/>
      </c>
      <c r="BG525" s="3">
        <f>IFERROR(VLOOKUP(F525,MOD_TBL,11,0),IFERROR(VLOOKUP(E525,OCU_TBL,2,0),NEUTRO))</f>
        <v/>
      </c>
      <c r="BH525" s="3">
        <f>SUMIFS(MOT_AJUSTE,MOT_MOTOR,G525,MOT_MARCA,E525,MOT_DESDE,"&lt;="&amp;M525,MOT_HASTA,"&gt;="&amp;M525)+SUMIFS(MOT_AJUSTE,MOT_MOTOR,G525,MOT_MARCA,"(todas)",MOT_DESDE,"&lt;="&amp;M525,MOT_HASTA,"&gt;="&amp;M525)</f>
        <v/>
      </c>
      <c r="BI525" s="3">
        <f>SUMIFS(COMB_AJUSTE,COMB_COMB,K525)</f>
        <v/>
      </c>
      <c r="BJ525" s="3">
        <f>COUNTIFS(MOT_MOTOR,G525,MOT_MARCA,E525,MOT_DESDE,"&lt;="&amp;M525,MOT_HASTA,"&gt;="&amp;M525)+COUNTIFS(MOT_MOTOR,G525,MOT_MARCA,"(todas)",MOT_DESDE,"&lt;="&amp;M525,MOT_HASTA,"&gt;="&amp;M525)</f>
        <v/>
      </c>
      <c r="BK525" s="3">
        <f>IF(AND(K525="diesel",BJ525=0),MIN(BG525,NEUTRO),BG525)</f>
        <v/>
      </c>
      <c r="BL525" s="4">
        <f>MAX(0,MIN(100,BK525+BH525+BI525))</f>
        <v/>
      </c>
      <c r="BM525" s="3">
        <f>MAX(0,MIN(100,50+BE525*PRECIO_PEND))</f>
        <v/>
      </c>
      <c r="BN525" s="3">
        <f>MAX(0,100*(1-N525/KM_MAX))</f>
        <v/>
      </c>
      <c r="BO525" s="3">
        <f>IF(AV525&lt;KMA_SOSP,IF(AA525="sí",100,KMA_PEN),IF(AV525&lt;=KMA_IDEAL_MAX,100,MAX(0,100*(KMA_CERO-AV525)/(KMA_CERO-KMA_IDEAL_MAX))))</f>
        <v/>
      </c>
      <c r="BP525" s="3">
        <f>MAX(0,MIN(100,100*(M525-ANIO_MIN)/(ANIO_ACTUAL-ANIO_MIN)))</f>
        <v/>
      </c>
      <c r="BQ525" s="3">
        <f>W_KMT*BN525+W_KMA*BO525+W_EDAD*BP525</f>
        <v/>
      </c>
      <c r="BR525" s="3">
        <f>P_ITV*(V525="sí")+P_LIBRO*(W525="sí")+P_CORREA*(X525="sí")+P_PROP*(Y525=1)+P_GAR*(Z525="sí")+P_FOTOS*MIN(1,N(U525)/FOTOS_OBJ)</f>
        <v/>
      </c>
      <c r="BS525" s="3">
        <f>IFERROR(VLOOKUP(BF525,ETQ_TBL,2,0),NEUTRO)</f>
        <v/>
      </c>
      <c r="BT525" s="3">
        <f>NEUTRO</f>
        <v/>
      </c>
      <c r="BU525" s="3">
        <f>IFERROR(VLOOKUP(L525,SEGURO_TBL,3,0),"")</f>
        <v/>
      </c>
      <c r="BV525" s="3">
        <f>IF(BU525="",NEUTRO,MAX(0,MIN(100,100*(SEG_REF_MAX-BU525)/(SEG_REF_MAX-SEG_REF_MIN))))</f>
        <v/>
      </c>
      <c r="BW525" s="3">
        <f>W_ET*BS525+W_CONS*BT525+W_SEG*BV525</f>
        <v/>
      </c>
      <c r="BX525" s="3">
        <f>IF(N(AB525)&gt;0,AB525,IF(AND(R525="profesional",SG_LEGAL_ON=1),GAR_LEGAL,0))</f>
        <v/>
      </c>
      <c r="BY525" s="3">
        <f>SG_GAR*MIN(1,BX525/SG_GAR_FULL)+SG_AMPL*(AC525="sí")+SG_KMC*(AF525="sí")+SG_REV*(N(AE525)&gt;0)+SG_DEV*MIN(1,N(AG525)/SG_DEV_FULL)+SG_HIST*(W525="sí")</f>
        <v/>
      </c>
      <c r="BZ525" s="3">
        <f>IFERROR(VLOOKUP(L525,CARR_PEN_TBL,2,0),0)</f>
        <v/>
      </c>
      <c r="CA525" s="3">
        <f>W_FIAB*BL525+W_PRECIO*BM525+W_KMEDAD*BQ525+W_ANUNCIO*BR525+W_USO*BW525+W_SEGURIDAD*BY525-BZ525</f>
        <v/>
      </c>
      <c r="CB525" s="4">
        <f>IF(N(I525)&gt;0,I525,IFERROR(ROUND(_xlfn.NUMBERVALUE(LEFT(G525,FIND(" ",G525&amp;" ")-1),".")*1000,0),99999))</f>
        <v/>
      </c>
      <c r="CC525" s="3">
        <f>IF(R525="profesional",0,IF(O525&lt;CUOTA_VALOR_MAX,IF(AU525&gt;ITP_TRAMO_ALTO,SUMIFS(CF_CUOTA,CF_MAS,ITP_TRAMO_ALTO,CF_CCMIN,"&lt;="&amp;CB525,CF_CCMAX,"&gt;="&amp;CB525),IF(AU525&gt;ITP_TRAMO_BAJO,SUMIFS(CF_CUOTA,CF_MAS,ITP_TRAMO_BAJO,CF_CCMIN,"&lt;="&amp;CB525,CF_CCMAX,"&gt;="&amp;CB525),O525*ITP_TIPO)),O525*ITP_TIPO))</f>
        <v/>
      </c>
      <c r="CD525" s="4">
        <f>IF(R525="profesional",N(AK525),0)</f>
        <v/>
      </c>
      <c r="CE525" s="3">
        <f>IF(AND(R525="profesional",ISNUMBER(AK525),AL525="sí"),0,TASA_DGT)</f>
        <v/>
      </c>
      <c r="CF525" s="3">
        <f>INFORME_DGT</f>
        <v/>
      </c>
      <c r="CG525" s="4">
        <f>O525+CD525+CC525+CE525+CF525</f>
        <v/>
      </c>
      <c r="CH525" s="4">
        <f>CG525+N(BU525)</f>
        <v/>
      </c>
      <c r="CI525" s="3">
        <f>IF(CG525&lt;=TOTAL_MAX,"sí",IF(CG525&lt;=TOTAL_MAX+MARGEN_NEG,"negociar","no"))</f>
        <v/>
      </c>
      <c r="CJ525" s="4">
        <f>IF(CI525&lt;&gt;"no",COUNTIFS($CI$2:$CI$662,"&lt;&gt;no",$CA$2:$CA$662,"&gt;"&amp;CA525)+COUNTIFS($CI$2:CI525,"&lt;&gt;no",$CA$2:CA525,CA525),"")</f>
        <v/>
      </c>
    </row>
    <row r="526">
      <c r="A526" s="2" t="inlineStr">
        <is>
          <t>cochesnet:71099479</t>
        </is>
      </c>
      <c r="B526" s="2" t="inlineStr">
        <is>
          <t>cochesnet</t>
        </is>
      </c>
      <c r="C526" s="2" t="inlineStr">
        <is>
          <t>https://www.coches.net/ford-focus-18-tdci-ghia-5p-diesel-2005-en-valencia-71099479-covo.aspx</t>
        </is>
      </c>
      <c r="D526" s="2" t="inlineStr">
        <is>
          <t>FORD Focus 1.8 TDCi Ghia</t>
        </is>
      </c>
      <c r="E526" s="2" t="inlineStr">
        <is>
          <t>Ford</t>
        </is>
      </c>
      <c r="F526" s="2" t="inlineStr">
        <is>
          <t>Ford Focus</t>
        </is>
      </c>
      <c r="G526" s="2" t="inlineStr">
        <is>
          <t>1.8 TDCi</t>
        </is>
      </c>
      <c r="H526" s="2" t="inlineStr">
        <is>
          <t>1.8 TDCi Ghia</t>
        </is>
      </c>
      <c r="I526" s="2" t="n"/>
      <c r="J526" s="2" t="n"/>
      <c r="K526" s="2" t="inlineStr">
        <is>
          <t>diesel</t>
        </is>
      </c>
      <c r="L526" s="2" t="inlineStr">
        <is>
          <t>compacto</t>
        </is>
      </c>
      <c r="M526" s="2" t="n">
        <v>2006</v>
      </c>
      <c r="N526" s="2" t="n">
        <v>180000</v>
      </c>
      <c r="O526" s="2" t="n">
        <v>3400</v>
      </c>
      <c r="P526" s="2" t="inlineStr">
        <is>
          <t>manual</t>
        </is>
      </c>
      <c r="Q526" s="2" t="inlineStr">
        <is>
          <t>no</t>
        </is>
      </c>
      <c r="R526" s="2" t="inlineStr">
        <is>
          <t>profesional</t>
        </is>
      </c>
      <c r="S526" s="2" t="inlineStr">
        <is>
          <t>MA Automoción Manises</t>
        </is>
      </c>
      <c r="T526" s="2" t="inlineStr">
        <is>
          <t>2026-10-13T18:31:14Z</t>
        </is>
      </c>
      <c r="U526" s="2" t="n">
        <v>6</v>
      </c>
      <c r="V526" s="2" t="n"/>
      <c r="W526" s="2" t="n"/>
      <c r="X526" s="2" t="n"/>
      <c r="Y526" s="2" t="n"/>
      <c r="Z526" s="2" t="inlineStr">
        <is>
          <t>sí</t>
        </is>
      </c>
      <c r="AA526" s="2" t="n"/>
      <c r="AB526" s="2" t="n">
        <v>12</v>
      </c>
      <c r="AC526" s="2" t="n"/>
      <c r="AD526" s="2" t="n"/>
      <c r="AE526" s="2" t="n"/>
      <c r="AF526" s="2" t="n"/>
      <c r="AG526" s="2" t="n"/>
      <c r="AH526" s="2" t="n">
        <v>3400</v>
      </c>
      <c r="AI526" s="2" t="n">
        <v>3400</v>
      </c>
      <c r="AJ526" s="2" t="n"/>
      <c r="AK526" s="2" t="n"/>
      <c r="AL526" s="2" t="n"/>
      <c r="AM526" s="2" t="n">
        <v>8.1</v>
      </c>
      <c r="AN526" s="2" t="n">
        <v>3000</v>
      </c>
      <c r="AO526" s="2" t="n">
        <v>10</v>
      </c>
      <c r="AP526" s="2" t="inlineStr">
        <is>
          <t>modelo+año+km</t>
        </is>
      </c>
      <c r="AQ526" s="2" t="n"/>
      <c r="AR526" s="2" t="inlineStr">
        <is>
          <t>vendedor profesional: sin ITP (operación con IVA/REBU, confirmar en factura); gastos de gestión del vendedor no indicados: se suma la tasa DGT; preguntar el precio final; diésel: motor sin fuente de fiabilidad (fiabilidad limitada a neutra)</t>
        </is>
      </c>
      <c r="AS526" s="2" t="inlineStr">
        <is>
          <t>Este Ford Focus 1.8 TDCi Ghia es una berlina compacta de cinco puertas con tracción delantera que destaca por su equilibrio entre practicidad y confort. El motor diésel de 1,8 litros ofrece 115 CV con un par máximo de 300 Nm a bajas revoluciones, característica típica de los motores de gasoil que facilita la conducción en ciudad y en carretera. La transmisión manual de cinco velocidades proporciona control directo y eficiencia en el consumo.
El acabado Ghia refleja un nivel de equipamiento generoso para su época. En el interior, destaca el volante multifuncional revestido de cuero con ajuste en altura y profundidad, asientos delanteros individuales con regulación lumbar en el conductor, y aire acondicionado automático bizona con filtro de carbón activo. Los cristales tintados y los elevalunas eléctricos en todas las puertas contribuyen al confort diario. La dirección asistida y el control de crucero facilitan los viajes prolongados.
En cuanto a seguridad, este vehículo incorpora airbags frontales inteligentes, laterales delanteros y de cortina, cinturones de seguridad de tres puntos con pretensores en los asientos delanteros, y frenos ABS en las cuatro ruedas con sensores de distancia traseros. El inmovilizador electrónico proporciona protección adicional contra el robo.
El maletero ofrece 385 litros de capacidad, ampliables a 1.247 litros con los asientos traseros abatidos, lo que proporciona versatilidad para diferentes necesidades de carga. Las llantas de aleación de 16</t>
        </is>
      </c>
      <c r="AT526" s="2" t="inlineStr">
        <is>
          <t>https://www.coches.net/ford-focus-18-tdci-ghia-5p-diesel-2005-en-valencia-71099479-covo.aspx (window.__INITIAL_PROPS__.ad) /home/user/Alopecia/buscador-coches/raw/cochesnet/336b83cf505ea9c6.json</t>
        </is>
      </c>
      <c r="AU526" s="3">
        <f>MAX(ANIO_ACTUAL-M526,0)</f>
        <v/>
      </c>
      <c r="AV526" s="4">
        <f>N526/MAX(AU526,0.5)</f>
        <v/>
      </c>
      <c r="AW526" s="4">
        <f>F526</f>
        <v/>
      </c>
      <c r="AX526" s="3">
        <f>AW526&amp;"|"&amp;INT(M526/SEG_ANIO)*SEG_ANIO</f>
        <v/>
      </c>
      <c r="AY526" s="3">
        <f>AX526&amp;"|"&amp;INT(N526/SEG_KM)*SEG_KM</f>
        <v/>
      </c>
      <c r="AZ526" s="4">
        <f>COUNTIF($AW$2:$AW$662,AW526)</f>
        <v/>
      </c>
      <c r="BA526" s="4">
        <f>COUNTIF($AX$2:$AX$662,AX526)</f>
        <v/>
      </c>
      <c r="BB526" s="4">
        <f>COUNTIF($AY$2:$AY$662,AY526)</f>
        <v/>
      </c>
      <c r="BC526" s="3">
        <f t="array" ref="BC526">IF(N(AO526)&gt;=MIN_N,AN526,IF(BB526&gt;=MIN_N,MEDIAN(IF($AY$2:$AY$662=AY526,$O$2:$O$662)),IF(BA526&gt;=MIN_N,MEDIAN(IF($AX$2:$AX$662=AX526,$O$2:$O$662)),MEDIAN(IF($AW$2:$AW$662=AW526,$O$2:$O$662)))))</f>
        <v/>
      </c>
      <c r="BD526" s="3">
        <f>IF(N(AO526)&gt;=MIN_N,"mercado "&amp;AP526,IF(BB526&gt;=MIN_N,"modelo+año+km",IF(BA526&gt;=MIN_N,"modelo+año","modelo")))</f>
        <v/>
      </c>
      <c r="BE526" s="4">
        <f>(BC526-O526)/BC526</f>
        <v/>
      </c>
      <c r="BF526" s="3">
        <f>IF(OR(K526="hibrido",K526="glp"),"ECO",IF(K526="electrico","CERO",IF(K526="gasolina",IF(M526&gt;=GAS_C,"C",IF(M526&gt;=GAS_B,"B","A")),IF(K526="diesel",IF(M526&gt;=DIE_C,"C",IF(M526&gt;=DIE_B,"B","A")),""))))</f>
        <v/>
      </c>
      <c r="BG526" s="3">
        <f>IFERROR(VLOOKUP(F526,MOD_TBL,11,0),IFERROR(VLOOKUP(E526,OCU_TBL,2,0),NEUTRO))</f>
        <v/>
      </c>
      <c r="BH526" s="3">
        <f>SUMIFS(MOT_AJUSTE,MOT_MOTOR,G526,MOT_MARCA,E526,MOT_DESDE,"&lt;="&amp;M526,MOT_HASTA,"&gt;="&amp;M526)+SUMIFS(MOT_AJUSTE,MOT_MOTOR,G526,MOT_MARCA,"(todas)",MOT_DESDE,"&lt;="&amp;M526,MOT_HASTA,"&gt;="&amp;M526)</f>
        <v/>
      </c>
      <c r="BI526" s="3">
        <f>SUMIFS(COMB_AJUSTE,COMB_COMB,K526)</f>
        <v/>
      </c>
      <c r="BJ526" s="3">
        <f>COUNTIFS(MOT_MOTOR,G526,MOT_MARCA,E526,MOT_DESDE,"&lt;="&amp;M526,MOT_HASTA,"&gt;="&amp;M526)+COUNTIFS(MOT_MOTOR,G526,MOT_MARCA,"(todas)",MOT_DESDE,"&lt;="&amp;M526,MOT_HASTA,"&gt;="&amp;M526)</f>
        <v/>
      </c>
      <c r="BK526" s="3">
        <f>IF(AND(K526="diesel",BJ526=0),MIN(BG526,NEUTRO),BG526)</f>
        <v/>
      </c>
      <c r="BL526" s="4">
        <f>MAX(0,MIN(100,BK526+BH526+BI526))</f>
        <v/>
      </c>
      <c r="BM526" s="3">
        <f>MAX(0,MIN(100,50+BE526*PRECIO_PEND))</f>
        <v/>
      </c>
      <c r="BN526" s="3">
        <f>MAX(0,100*(1-N526/KM_MAX))</f>
        <v/>
      </c>
      <c r="BO526" s="3">
        <f>IF(AV526&lt;KMA_SOSP,IF(AA526="sí",100,KMA_PEN),IF(AV526&lt;=KMA_IDEAL_MAX,100,MAX(0,100*(KMA_CERO-AV526)/(KMA_CERO-KMA_IDEAL_MAX))))</f>
        <v/>
      </c>
      <c r="BP526" s="3">
        <f>MAX(0,MIN(100,100*(M526-ANIO_MIN)/(ANIO_ACTUAL-ANIO_MIN)))</f>
        <v/>
      </c>
      <c r="BQ526" s="3">
        <f>W_KMT*BN526+W_KMA*BO526+W_EDAD*BP526</f>
        <v/>
      </c>
      <c r="BR526" s="3">
        <f>P_ITV*(V526="sí")+P_LIBRO*(W526="sí")+P_CORREA*(X526="sí")+P_PROP*(Y526=1)+P_GAR*(Z526="sí")+P_FOTOS*MIN(1,N(U526)/FOTOS_OBJ)</f>
        <v/>
      </c>
      <c r="BS526" s="3">
        <f>IFERROR(VLOOKUP(BF526,ETQ_TBL,2,0),NEUTRO)</f>
        <v/>
      </c>
      <c r="BT526" s="3">
        <f>NEUTRO</f>
        <v/>
      </c>
      <c r="BU526" s="3">
        <f>IFERROR(VLOOKUP(L526,SEGURO_TBL,3,0),"")</f>
        <v/>
      </c>
      <c r="BV526" s="3">
        <f>IF(BU526="",NEUTRO,MAX(0,MIN(100,100*(SEG_REF_MAX-BU526)/(SEG_REF_MAX-SEG_REF_MIN))))</f>
        <v/>
      </c>
      <c r="BW526" s="3">
        <f>W_ET*BS526+W_CONS*BT526+W_SEG*BV526</f>
        <v/>
      </c>
      <c r="BX526" s="3">
        <f>IF(N(AB526)&gt;0,AB526,IF(AND(R526="profesional",SG_LEGAL_ON=1),GAR_LEGAL,0))</f>
        <v/>
      </c>
      <c r="BY526" s="3">
        <f>SG_GAR*MIN(1,BX526/SG_GAR_FULL)+SG_AMPL*(AC526="sí")+SG_KMC*(AF526="sí")+SG_REV*(N(AE526)&gt;0)+SG_DEV*MIN(1,N(AG526)/SG_DEV_FULL)+SG_HIST*(W526="sí")</f>
        <v/>
      </c>
      <c r="BZ526" s="3">
        <f>IFERROR(VLOOKUP(L526,CARR_PEN_TBL,2,0),0)</f>
        <v/>
      </c>
      <c r="CA526" s="3">
        <f>W_FIAB*BL526+W_PRECIO*BM526+W_KMEDAD*BQ526+W_ANUNCIO*BR526+W_USO*BW526+W_SEGURIDAD*BY526-BZ526</f>
        <v/>
      </c>
      <c r="CB526" s="4">
        <f>IF(N(I526)&gt;0,I526,IFERROR(ROUND(_xlfn.NUMBERVALUE(LEFT(G526,FIND(" ",G526&amp;" ")-1),".")*1000,0),99999))</f>
        <v/>
      </c>
      <c r="CC526" s="3">
        <f>IF(R526="profesional",0,IF(O526&lt;CUOTA_VALOR_MAX,IF(AU526&gt;ITP_TRAMO_ALTO,SUMIFS(CF_CUOTA,CF_MAS,ITP_TRAMO_ALTO,CF_CCMIN,"&lt;="&amp;CB526,CF_CCMAX,"&gt;="&amp;CB526),IF(AU526&gt;ITP_TRAMO_BAJO,SUMIFS(CF_CUOTA,CF_MAS,ITP_TRAMO_BAJO,CF_CCMIN,"&lt;="&amp;CB526,CF_CCMAX,"&gt;="&amp;CB526),O526*ITP_TIPO)),O526*ITP_TIPO))</f>
        <v/>
      </c>
      <c r="CD526" s="4">
        <f>IF(R526="profesional",N(AK526),0)</f>
        <v/>
      </c>
      <c r="CE526" s="3">
        <f>IF(AND(R526="profesional",ISNUMBER(AK526),AL526="sí"),0,TASA_DGT)</f>
        <v/>
      </c>
      <c r="CF526" s="3">
        <f>INFORME_DGT</f>
        <v/>
      </c>
      <c r="CG526" s="4">
        <f>O526+CD526+CC526+CE526+CF526</f>
        <v/>
      </c>
      <c r="CH526" s="4">
        <f>CG526+N(BU526)</f>
        <v/>
      </c>
      <c r="CI526" s="3">
        <f>IF(CG526&lt;=TOTAL_MAX,"sí",IF(CG526&lt;=TOTAL_MAX+MARGEN_NEG,"negociar","no"))</f>
        <v/>
      </c>
      <c r="CJ526" s="4">
        <f>IF(CI526&lt;&gt;"no",COUNTIFS($CI$2:$CI$662,"&lt;&gt;no",$CA$2:$CA$662,"&gt;"&amp;CA526)+COUNTIFS($CI$2:CI526,"&lt;&gt;no",$CA$2:CA526,CA526),"")</f>
        <v/>
      </c>
    </row>
    <row r="527">
      <c r="A527" s="2" t="inlineStr">
        <is>
          <t>cochesnet:71767355</t>
        </is>
      </c>
      <c r="B527" s="2" t="inlineStr">
        <is>
          <t>cochesnet</t>
        </is>
      </c>
      <c r="C527" s="2" t="inlineStr">
        <is>
          <t>https://www.coches.net/ford-focus-16-tdci-90-trend-5p-diesel-2005-en-valencia-71767355-covo.aspx</t>
        </is>
      </c>
      <c r="D527" s="2" t="inlineStr">
        <is>
          <t>FORD Focus 1.6 TDCi 90 Trend</t>
        </is>
      </c>
      <c r="E527" s="2" t="inlineStr">
        <is>
          <t>Ford</t>
        </is>
      </c>
      <c r="F527" s="2" t="inlineStr">
        <is>
          <t>Ford Focus</t>
        </is>
      </c>
      <c r="G527" s="2" t="inlineStr">
        <is>
          <t>1.6 TDCi</t>
        </is>
      </c>
      <c r="H527" s="2" t="inlineStr">
        <is>
          <t>1.6 TDCi 90 Trend</t>
        </is>
      </c>
      <c r="I527" s="2" t="n"/>
      <c r="J527" s="2" t="n"/>
      <c r="K527" s="2" t="inlineStr">
        <is>
          <t>diesel</t>
        </is>
      </c>
      <c r="L527" s="2" t="inlineStr">
        <is>
          <t>compacto</t>
        </is>
      </c>
      <c r="M527" s="2" t="n">
        <v>2006</v>
      </c>
      <c r="N527" s="2" t="n">
        <v>143000</v>
      </c>
      <c r="O527" s="2" t="n">
        <v>4450</v>
      </c>
      <c r="P527" s="2" t="inlineStr">
        <is>
          <t>manual</t>
        </is>
      </c>
      <c r="Q527" s="2" t="inlineStr">
        <is>
          <t>no</t>
        </is>
      </c>
      <c r="R527" s="2" t="inlineStr">
        <is>
          <t>profesional</t>
        </is>
      </c>
      <c r="S527" s="2" t="inlineStr">
        <is>
          <t>GO! autos Sagunto (Sagunt)</t>
        </is>
      </c>
      <c r="T527" s="2" t="inlineStr">
        <is>
          <t>2026-10-16T21:54:52Z</t>
        </is>
      </c>
      <c r="U527" s="2" t="n">
        <v>16</v>
      </c>
      <c r="V527" s="2" t="n"/>
      <c r="W527" s="2" t="n"/>
      <c r="X527" s="2" t="n"/>
      <c r="Y527" s="2" t="n"/>
      <c r="Z527" s="2" t="inlineStr">
        <is>
          <t>sí</t>
        </is>
      </c>
      <c r="AA527" s="2" t="n"/>
      <c r="AB527" s="2" t="n">
        <v>12</v>
      </c>
      <c r="AC527" s="2" t="n"/>
      <c r="AD527" s="2" t="n"/>
      <c r="AE527" s="2" t="n"/>
      <c r="AF527" s="2" t="n"/>
      <c r="AG527" s="2" t="n"/>
      <c r="AH527" s="2" t="n">
        <v>4450</v>
      </c>
      <c r="AI527" s="2" t="n">
        <v>4450</v>
      </c>
      <c r="AJ527" s="2" t="n"/>
      <c r="AK527" s="2" t="n"/>
      <c r="AL527" s="2" t="n"/>
      <c r="AM527" s="2" t="n"/>
      <c r="AN527" s="2" t="n">
        <v>2750</v>
      </c>
      <c r="AO527" s="2" t="n">
        <v>41</v>
      </c>
      <c r="AP527" s="2" t="inlineStr">
        <is>
          <t>modelo+año</t>
        </is>
      </c>
      <c r="AQ527" s="2" t="n"/>
      <c r="AR527"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527" s="2" t="inlineStr"/>
      <c r="AT527" s="2" t="inlineStr">
        <is>
          <t>https://www.coches.net/ford-focus-16-tdci-90-trend-5p-diesel-2005-en-valencia-71767355-covo.aspx (window.__INITIAL_PROPS__.ad) /home/user/Alopecia/buscador-coches/raw/cochesnet/a1627b756dc07c4e.json</t>
        </is>
      </c>
      <c r="AU527" s="3">
        <f>MAX(ANIO_ACTUAL-M527,0)</f>
        <v/>
      </c>
      <c r="AV527" s="4">
        <f>N527/MAX(AU527,0.5)</f>
        <v/>
      </c>
      <c r="AW527" s="4">
        <f>F527</f>
        <v/>
      </c>
      <c r="AX527" s="3">
        <f>AW527&amp;"|"&amp;INT(M527/SEG_ANIO)*SEG_ANIO</f>
        <v/>
      </c>
      <c r="AY527" s="3">
        <f>AX527&amp;"|"&amp;INT(N527/SEG_KM)*SEG_KM</f>
        <v/>
      </c>
      <c r="AZ527" s="4">
        <f>COUNTIF($AW$2:$AW$662,AW527)</f>
        <v/>
      </c>
      <c r="BA527" s="4">
        <f>COUNTIF($AX$2:$AX$662,AX527)</f>
        <v/>
      </c>
      <c r="BB527" s="4">
        <f>COUNTIF($AY$2:$AY$662,AY527)</f>
        <v/>
      </c>
      <c r="BC527" s="3">
        <f t="array" ref="BC527">IF(N(AO527)&gt;=MIN_N,AN527,IF(BB527&gt;=MIN_N,MEDIAN(IF($AY$2:$AY$662=AY527,$O$2:$O$662)),IF(BA527&gt;=MIN_N,MEDIAN(IF($AX$2:$AX$662=AX527,$O$2:$O$662)),MEDIAN(IF($AW$2:$AW$662=AW527,$O$2:$O$662)))))</f>
        <v/>
      </c>
      <c r="BD527" s="3">
        <f>IF(N(AO527)&gt;=MIN_N,"mercado "&amp;AP527,IF(BB527&gt;=MIN_N,"modelo+año+km",IF(BA527&gt;=MIN_N,"modelo+año","modelo")))</f>
        <v/>
      </c>
      <c r="BE527" s="4">
        <f>(BC527-O527)/BC527</f>
        <v/>
      </c>
      <c r="BF527" s="3">
        <f>IF(OR(K527="hibrido",K527="glp"),"ECO",IF(K527="electrico","CERO",IF(K527="gasolina",IF(M527&gt;=GAS_C,"C",IF(M527&gt;=GAS_B,"B","A")),IF(K527="diesel",IF(M527&gt;=DIE_C,"C",IF(M527&gt;=DIE_B,"B","A")),""))))</f>
        <v/>
      </c>
      <c r="BG527" s="3">
        <f>IFERROR(VLOOKUP(F527,MOD_TBL,11,0),IFERROR(VLOOKUP(E527,OCU_TBL,2,0),NEUTRO))</f>
        <v/>
      </c>
      <c r="BH527" s="3">
        <f>SUMIFS(MOT_AJUSTE,MOT_MOTOR,G527,MOT_MARCA,E527,MOT_DESDE,"&lt;="&amp;M527,MOT_HASTA,"&gt;="&amp;M527)+SUMIFS(MOT_AJUSTE,MOT_MOTOR,G527,MOT_MARCA,"(todas)",MOT_DESDE,"&lt;="&amp;M527,MOT_HASTA,"&gt;="&amp;M527)</f>
        <v/>
      </c>
      <c r="BI527" s="3">
        <f>SUMIFS(COMB_AJUSTE,COMB_COMB,K527)</f>
        <v/>
      </c>
      <c r="BJ527" s="3">
        <f>COUNTIFS(MOT_MOTOR,G527,MOT_MARCA,E527,MOT_DESDE,"&lt;="&amp;M527,MOT_HASTA,"&gt;="&amp;M527)+COUNTIFS(MOT_MOTOR,G527,MOT_MARCA,"(todas)",MOT_DESDE,"&lt;="&amp;M527,MOT_HASTA,"&gt;="&amp;M527)</f>
        <v/>
      </c>
      <c r="BK527" s="3">
        <f>IF(AND(K527="diesel",BJ527=0),MIN(BG527,NEUTRO),BG527)</f>
        <v/>
      </c>
      <c r="BL527" s="4">
        <f>MAX(0,MIN(100,BK527+BH527+BI527))</f>
        <v/>
      </c>
      <c r="BM527" s="3">
        <f>MAX(0,MIN(100,50+BE527*PRECIO_PEND))</f>
        <v/>
      </c>
      <c r="BN527" s="3">
        <f>MAX(0,100*(1-N527/KM_MAX))</f>
        <v/>
      </c>
      <c r="BO527" s="3">
        <f>IF(AV527&lt;KMA_SOSP,IF(AA527="sí",100,KMA_PEN),IF(AV527&lt;=KMA_IDEAL_MAX,100,MAX(0,100*(KMA_CERO-AV527)/(KMA_CERO-KMA_IDEAL_MAX))))</f>
        <v/>
      </c>
      <c r="BP527" s="3">
        <f>MAX(0,MIN(100,100*(M527-ANIO_MIN)/(ANIO_ACTUAL-ANIO_MIN)))</f>
        <v/>
      </c>
      <c r="BQ527" s="3">
        <f>W_KMT*BN527+W_KMA*BO527+W_EDAD*BP527</f>
        <v/>
      </c>
      <c r="BR527" s="3">
        <f>P_ITV*(V527="sí")+P_LIBRO*(W527="sí")+P_CORREA*(X527="sí")+P_PROP*(Y527=1)+P_GAR*(Z527="sí")+P_FOTOS*MIN(1,N(U527)/FOTOS_OBJ)</f>
        <v/>
      </c>
      <c r="BS527" s="3">
        <f>IFERROR(VLOOKUP(BF527,ETQ_TBL,2,0),NEUTRO)</f>
        <v/>
      </c>
      <c r="BT527" s="3">
        <f>NEUTRO</f>
        <v/>
      </c>
      <c r="BU527" s="3">
        <f>IFERROR(VLOOKUP(L527,SEGURO_TBL,3,0),"")</f>
        <v/>
      </c>
      <c r="BV527" s="3">
        <f>IF(BU527="",NEUTRO,MAX(0,MIN(100,100*(SEG_REF_MAX-BU527)/(SEG_REF_MAX-SEG_REF_MIN))))</f>
        <v/>
      </c>
      <c r="BW527" s="3">
        <f>W_ET*BS527+W_CONS*BT527+W_SEG*BV527</f>
        <v/>
      </c>
      <c r="BX527" s="3">
        <f>IF(N(AB527)&gt;0,AB527,IF(AND(R527="profesional",SG_LEGAL_ON=1),GAR_LEGAL,0))</f>
        <v/>
      </c>
      <c r="BY527" s="3">
        <f>SG_GAR*MIN(1,BX527/SG_GAR_FULL)+SG_AMPL*(AC527="sí")+SG_KMC*(AF527="sí")+SG_REV*(N(AE527)&gt;0)+SG_DEV*MIN(1,N(AG527)/SG_DEV_FULL)+SG_HIST*(W527="sí")</f>
        <v/>
      </c>
      <c r="BZ527" s="3">
        <f>IFERROR(VLOOKUP(L527,CARR_PEN_TBL,2,0),0)</f>
        <v/>
      </c>
      <c r="CA527" s="3">
        <f>W_FIAB*BL527+W_PRECIO*BM527+W_KMEDAD*BQ527+W_ANUNCIO*BR527+W_USO*BW527+W_SEGURIDAD*BY527-BZ527</f>
        <v/>
      </c>
      <c r="CB527" s="4">
        <f>IF(N(I527)&gt;0,I527,IFERROR(ROUND(_xlfn.NUMBERVALUE(LEFT(G527,FIND(" ",G527&amp;" ")-1),".")*1000,0),99999))</f>
        <v/>
      </c>
      <c r="CC527" s="3">
        <f>IF(R527="profesional",0,IF(O527&lt;CUOTA_VALOR_MAX,IF(AU527&gt;ITP_TRAMO_ALTO,SUMIFS(CF_CUOTA,CF_MAS,ITP_TRAMO_ALTO,CF_CCMIN,"&lt;="&amp;CB527,CF_CCMAX,"&gt;="&amp;CB527),IF(AU527&gt;ITP_TRAMO_BAJO,SUMIFS(CF_CUOTA,CF_MAS,ITP_TRAMO_BAJO,CF_CCMIN,"&lt;="&amp;CB527,CF_CCMAX,"&gt;="&amp;CB527),O527*ITP_TIPO)),O527*ITP_TIPO))</f>
        <v/>
      </c>
      <c r="CD527" s="4">
        <f>IF(R527="profesional",N(AK527),0)</f>
        <v/>
      </c>
      <c r="CE527" s="3">
        <f>IF(AND(R527="profesional",ISNUMBER(AK527),AL527="sí"),0,TASA_DGT)</f>
        <v/>
      </c>
      <c r="CF527" s="3">
        <f>INFORME_DGT</f>
        <v/>
      </c>
      <c r="CG527" s="4">
        <f>O527+CD527+CC527+CE527+CF527</f>
        <v/>
      </c>
      <c r="CH527" s="4">
        <f>CG527+N(BU527)</f>
        <v/>
      </c>
      <c r="CI527" s="3">
        <f>IF(CG527&lt;=TOTAL_MAX,"sí",IF(CG527&lt;=TOTAL_MAX+MARGEN_NEG,"negociar","no"))</f>
        <v/>
      </c>
      <c r="CJ527" s="4">
        <f>IF(CI527&lt;&gt;"no",COUNTIFS($CI$2:$CI$662,"&lt;&gt;no",$CA$2:$CA$662,"&gt;"&amp;CA527)+COUNTIFS($CI$2:CI527,"&lt;&gt;no",$CA$2:CA527,CA527),"")</f>
        <v/>
      </c>
    </row>
    <row r="528">
      <c r="A528" s="2" t="inlineStr">
        <is>
          <t>cochesnet:71021526</t>
        </is>
      </c>
      <c r="B528" s="2" t="inlineStr">
        <is>
          <t>cochesnet</t>
        </is>
      </c>
      <c r="C528" s="2" t="inlineStr">
        <is>
          <t>https://www.coches.net/ford-focus-18-tdci-ghia-5p-diesel-2007-en-valencia-71021526-covo.aspx</t>
        </is>
      </c>
      <c r="D528" s="2" t="inlineStr">
        <is>
          <t>FORD Focus 1.8 TDCi Ghia</t>
        </is>
      </c>
      <c r="E528" s="2" t="inlineStr">
        <is>
          <t>Ford</t>
        </is>
      </c>
      <c r="F528" s="2" t="inlineStr">
        <is>
          <t>Ford Focus</t>
        </is>
      </c>
      <c r="G528" s="2" t="inlineStr">
        <is>
          <t>1.8 TDCi</t>
        </is>
      </c>
      <c r="H528" s="2" t="inlineStr">
        <is>
          <t>1.8 TDCi Ghia</t>
        </is>
      </c>
      <c r="I528" s="2" t="n"/>
      <c r="J528" s="2" t="n"/>
      <c r="K528" s="2" t="inlineStr">
        <is>
          <t>diesel</t>
        </is>
      </c>
      <c r="L528" s="2" t="inlineStr">
        <is>
          <t>compacto</t>
        </is>
      </c>
      <c r="M528" s="2" t="n">
        <v>2006</v>
      </c>
      <c r="N528" s="2" t="n">
        <v>202000</v>
      </c>
      <c r="O528" s="2" t="n">
        <v>3500</v>
      </c>
      <c r="P528" s="2" t="inlineStr">
        <is>
          <t>manual</t>
        </is>
      </c>
      <c r="Q528" s="2" t="inlineStr">
        <is>
          <t>no</t>
        </is>
      </c>
      <c r="R528" s="2" t="inlineStr">
        <is>
          <t>profesional</t>
        </is>
      </c>
      <c r="S528" s="2" t="inlineStr">
        <is>
          <t>Beniparrell</t>
        </is>
      </c>
      <c r="T528" s="2" t="inlineStr">
        <is>
          <t>2026-10-05T12:25:03Z</t>
        </is>
      </c>
      <c r="U528" s="2" t="n">
        <v>13</v>
      </c>
      <c r="V528" s="2" t="n"/>
      <c r="W528" s="2" t="n"/>
      <c r="X528" s="2" t="n"/>
      <c r="Y528" s="2" t="n"/>
      <c r="Z528" s="2" t="inlineStr">
        <is>
          <t>sí</t>
        </is>
      </c>
      <c r="AA528" s="2" t="n"/>
      <c r="AB528" s="2" t="n">
        <v>12</v>
      </c>
      <c r="AC528" s="2" t="n"/>
      <c r="AD528" s="2" t="n"/>
      <c r="AE528" s="2" t="n"/>
      <c r="AF528" s="2" t="n"/>
      <c r="AG528" s="2" t="n"/>
      <c r="AH528" s="2" t="n">
        <v>3500</v>
      </c>
      <c r="AI528" s="2" t="n"/>
      <c r="AJ528" s="2" t="n"/>
      <c r="AK528" s="2" t="n"/>
      <c r="AL528" s="2" t="n"/>
      <c r="AM528" s="2" t="n">
        <v>10.2</v>
      </c>
      <c r="AN528" s="2" t="n">
        <v>2995</v>
      </c>
      <c r="AO528" s="2" t="n">
        <v>16</v>
      </c>
      <c r="AP528" s="2" t="inlineStr">
        <is>
          <t>modelo+año+km</t>
        </is>
      </c>
      <c r="AQ528" s="2" t="n"/>
      <c r="AR528" s="2" t="inlineStr">
        <is>
          <t>vendedor profesional: sin ITP (operación con IVA/REBU, confirmar en factura); gastos de gestión del vendedor no indicados: se suma la tasa DGT; preguntar el precio final; diésel: motor sin fuente de fiabilidad (fiabilidad limitada a neutra)</t>
        </is>
      </c>
      <c r="AS528" s="2" t="inlineStr">
        <is>
          <t>Este Ford Focus 1.8 TDCi Ghia representa una berlina compacta versátil, con acabado de lujo que combina practicidad y equipamiento completo para el uso diario. El motor diésel de 1.753 cc proporciona una entrega de potencia eficiente, especialmente en recorridos mixtos y a velocidad de crucero, donde demuestra su fortaleza en par motor.
El espacio interior está bien aprovechado: 385 litros de maletero ampliables a 1.247 con los asientos traseros abatidos, lo que facilita tanto viajes ocasionales como transportes puntuales. Los asientos delanteros cuentan con ajuste lumbar y altura, mientras que la banqueta trasera partida y abatible asimétrica permite flexibilidad en la configuración del habitáculo.
En cuanto a confort, este vehículo integra climatización bizona automática, control de crucero, dirección asistida y volante multifuncional revestido en cuero ajustable. Los elevalunas eléctricos delanteros con un solo toque, cierre centralizado con mando a distancia y apertura eléctrica del maletero son detalles que facilitan el uso cotidiano.
La seguridad está cubierta con airbags frontales inteligentes, laterales delanteros y de cortina, cinturones de tres puntos con pretensores en los asientos delanteros, ABS en las cuatro ruedas y sensores de distancia traseros. El sistema de frenado combina discos ventilados delanteros con ABS.
Equipado con sistema de audio de seis altavoces, radio AM/FM con reproductor de CD, RDS y control remoto en volante, además de ordenador de viaje</t>
        </is>
      </c>
      <c r="AT528" s="2" t="inlineStr">
        <is>
          <t>https://www.coches.net/ford-focus-18-tdci-ghia-5p-diesel-2007-en-valencia-71021526-covo.aspx (window.__INITIAL_PROPS__.ad) /home/user/Alopecia/buscador-coches/raw/cochesnet/be51951326ffd2d8.json</t>
        </is>
      </c>
      <c r="AU528" s="3">
        <f>MAX(ANIO_ACTUAL-M528,0)</f>
        <v/>
      </c>
      <c r="AV528" s="4">
        <f>N528/MAX(AU528,0.5)</f>
        <v/>
      </c>
      <c r="AW528" s="4">
        <f>F528</f>
        <v/>
      </c>
      <c r="AX528" s="3">
        <f>AW528&amp;"|"&amp;INT(M528/SEG_ANIO)*SEG_ANIO</f>
        <v/>
      </c>
      <c r="AY528" s="3">
        <f>AX528&amp;"|"&amp;INT(N528/SEG_KM)*SEG_KM</f>
        <v/>
      </c>
      <c r="AZ528" s="4">
        <f>COUNTIF($AW$2:$AW$662,AW528)</f>
        <v/>
      </c>
      <c r="BA528" s="4">
        <f>COUNTIF($AX$2:$AX$662,AX528)</f>
        <v/>
      </c>
      <c r="BB528" s="4">
        <f>COUNTIF($AY$2:$AY$662,AY528)</f>
        <v/>
      </c>
      <c r="BC528" s="3">
        <f t="array" ref="BC528">IF(N(AO528)&gt;=MIN_N,AN528,IF(BB528&gt;=MIN_N,MEDIAN(IF($AY$2:$AY$662=AY528,$O$2:$O$662)),IF(BA528&gt;=MIN_N,MEDIAN(IF($AX$2:$AX$662=AX528,$O$2:$O$662)),MEDIAN(IF($AW$2:$AW$662=AW528,$O$2:$O$662)))))</f>
        <v/>
      </c>
      <c r="BD528" s="3">
        <f>IF(N(AO528)&gt;=MIN_N,"mercado "&amp;AP528,IF(BB528&gt;=MIN_N,"modelo+año+km",IF(BA528&gt;=MIN_N,"modelo+año","modelo")))</f>
        <v/>
      </c>
      <c r="BE528" s="4">
        <f>(BC528-O528)/BC528</f>
        <v/>
      </c>
      <c r="BF528" s="3">
        <f>IF(OR(K528="hibrido",K528="glp"),"ECO",IF(K528="electrico","CERO",IF(K528="gasolina",IF(M528&gt;=GAS_C,"C",IF(M528&gt;=GAS_B,"B","A")),IF(K528="diesel",IF(M528&gt;=DIE_C,"C",IF(M528&gt;=DIE_B,"B","A")),""))))</f>
        <v/>
      </c>
      <c r="BG528" s="3">
        <f>IFERROR(VLOOKUP(F528,MOD_TBL,11,0),IFERROR(VLOOKUP(E528,OCU_TBL,2,0),NEUTRO))</f>
        <v/>
      </c>
      <c r="BH528" s="3">
        <f>SUMIFS(MOT_AJUSTE,MOT_MOTOR,G528,MOT_MARCA,E528,MOT_DESDE,"&lt;="&amp;M528,MOT_HASTA,"&gt;="&amp;M528)+SUMIFS(MOT_AJUSTE,MOT_MOTOR,G528,MOT_MARCA,"(todas)",MOT_DESDE,"&lt;="&amp;M528,MOT_HASTA,"&gt;="&amp;M528)</f>
        <v/>
      </c>
      <c r="BI528" s="3">
        <f>SUMIFS(COMB_AJUSTE,COMB_COMB,K528)</f>
        <v/>
      </c>
      <c r="BJ528" s="3">
        <f>COUNTIFS(MOT_MOTOR,G528,MOT_MARCA,E528,MOT_DESDE,"&lt;="&amp;M528,MOT_HASTA,"&gt;="&amp;M528)+COUNTIFS(MOT_MOTOR,G528,MOT_MARCA,"(todas)",MOT_DESDE,"&lt;="&amp;M528,MOT_HASTA,"&gt;="&amp;M528)</f>
        <v/>
      </c>
      <c r="BK528" s="3">
        <f>IF(AND(K528="diesel",BJ528=0),MIN(BG528,NEUTRO),BG528)</f>
        <v/>
      </c>
      <c r="BL528" s="4">
        <f>MAX(0,MIN(100,BK528+BH528+BI528))</f>
        <v/>
      </c>
      <c r="BM528" s="3">
        <f>MAX(0,MIN(100,50+BE528*PRECIO_PEND))</f>
        <v/>
      </c>
      <c r="BN528" s="3">
        <f>MAX(0,100*(1-N528/KM_MAX))</f>
        <v/>
      </c>
      <c r="BO528" s="3">
        <f>IF(AV528&lt;KMA_SOSP,IF(AA528="sí",100,KMA_PEN),IF(AV528&lt;=KMA_IDEAL_MAX,100,MAX(0,100*(KMA_CERO-AV528)/(KMA_CERO-KMA_IDEAL_MAX))))</f>
        <v/>
      </c>
      <c r="BP528" s="3">
        <f>MAX(0,MIN(100,100*(M528-ANIO_MIN)/(ANIO_ACTUAL-ANIO_MIN)))</f>
        <v/>
      </c>
      <c r="BQ528" s="3">
        <f>W_KMT*BN528+W_KMA*BO528+W_EDAD*BP528</f>
        <v/>
      </c>
      <c r="BR528" s="3">
        <f>P_ITV*(V528="sí")+P_LIBRO*(W528="sí")+P_CORREA*(X528="sí")+P_PROP*(Y528=1)+P_GAR*(Z528="sí")+P_FOTOS*MIN(1,N(U528)/FOTOS_OBJ)</f>
        <v/>
      </c>
      <c r="BS528" s="3">
        <f>IFERROR(VLOOKUP(BF528,ETQ_TBL,2,0),NEUTRO)</f>
        <v/>
      </c>
      <c r="BT528" s="3">
        <f>NEUTRO</f>
        <v/>
      </c>
      <c r="BU528" s="3">
        <f>IFERROR(VLOOKUP(L528,SEGURO_TBL,3,0),"")</f>
        <v/>
      </c>
      <c r="BV528" s="3">
        <f>IF(BU528="",NEUTRO,MAX(0,MIN(100,100*(SEG_REF_MAX-BU528)/(SEG_REF_MAX-SEG_REF_MIN))))</f>
        <v/>
      </c>
      <c r="BW528" s="3">
        <f>W_ET*BS528+W_CONS*BT528+W_SEG*BV528</f>
        <v/>
      </c>
      <c r="BX528" s="3">
        <f>IF(N(AB528)&gt;0,AB528,IF(AND(R528="profesional",SG_LEGAL_ON=1),GAR_LEGAL,0))</f>
        <v/>
      </c>
      <c r="BY528" s="3">
        <f>SG_GAR*MIN(1,BX528/SG_GAR_FULL)+SG_AMPL*(AC528="sí")+SG_KMC*(AF528="sí")+SG_REV*(N(AE528)&gt;0)+SG_DEV*MIN(1,N(AG528)/SG_DEV_FULL)+SG_HIST*(W528="sí")</f>
        <v/>
      </c>
      <c r="BZ528" s="3">
        <f>IFERROR(VLOOKUP(L528,CARR_PEN_TBL,2,0),0)</f>
        <v/>
      </c>
      <c r="CA528" s="3">
        <f>W_FIAB*BL528+W_PRECIO*BM528+W_KMEDAD*BQ528+W_ANUNCIO*BR528+W_USO*BW528+W_SEGURIDAD*BY528-BZ528</f>
        <v/>
      </c>
      <c r="CB528" s="4">
        <f>IF(N(I528)&gt;0,I528,IFERROR(ROUND(_xlfn.NUMBERVALUE(LEFT(G528,FIND(" ",G528&amp;" ")-1),".")*1000,0),99999))</f>
        <v/>
      </c>
      <c r="CC528" s="3">
        <f>IF(R528="profesional",0,IF(O528&lt;CUOTA_VALOR_MAX,IF(AU528&gt;ITP_TRAMO_ALTO,SUMIFS(CF_CUOTA,CF_MAS,ITP_TRAMO_ALTO,CF_CCMIN,"&lt;="&amp;CB528,CF_CCMAX,"&gt;="&amp;CB528),IF(AU528&gt;ITP_TRAMO_BAJO,SUMIFS(CF_CUOTA,CF_MAS,ITP_TRAMO_BAJO,CF_CCMIN,"&lt;="&amp;CB528,CF_CCMAX,"&gt;="&amp;CB528),O528*ITP_TIPO)),O528*ITP_TIPO))</f>
        <v/>
      </c>
      <c r="CD528" s="4">
        <f>IF(R528="profesional",N(AK528),0)</f>
        <v/>
      </c>
      <c r="CE528" s="3">
        <f>IF(AND(R528="profesional",ISNUMBER(AK528),AL528="sí"),0,TASA_DGT)</f>
        <v/>
      </c>
      <c r="CF528" s="3">
        <f>INFORME_DGT</f>
        <v/>
      </c>
      <c r="CG528" s="4">
        <f>O528+CD528+CC528+CE528+CF528</f>
        <v/>
      </c>
      <c r="CH528" s="4">
        <f>CG528+N(BU528)</f>
        <v/>
      </c>
      <c r="CI528" s="3">
        <f>IF(CG528&lt;=TOTAL_MAX,"sí",IF(CG528&lt;=TOTAL_MAX+MARGEN_NEG,"negociar","no"))</f>
        <v/>
      </c>
      <c r="CJ528" s="4">
        <f>IF(CI528&lt;&gt;"no",COUNTIFS($CI$2:$CI$662,"&lt;&gt;no",$CA$2:$CA$662,"&gt;"&amp;CA528)+COUNTIFS($CI$2:CI528,"&lt;&gt;no",$CA$2:CA528,CA528),"")</f>
        <v/>
      </c>
    </row>
    <row r="529">
      <c r="A529" s="2" t="inlineStr">
        <is>
          <t>cochesnet:71726866</t>
        </is>
      </c>
      <c r="B529" s="2" t="inlineStr">
        <is>
          <t>cochesnet</t>
        </is>
      </c>
      <c r="C529" s="2" t="inlineStr">
        <is>
          <t>https://www.coches.net/ford-focus-20-tdci-s-3p-diesel-2007-en-valencia-71726866-covo.aspx</t>
        </is>
      </c>
      <c r="D529" s="2" t="inlineStr">
        <is>
          <t>FORD Focus 2.0 TDCi S</t>
        </is>
      </c>
      <c r="E529" s="2" t="inlineStr">
        <is>
          <t>Ford</t>
        </is>
      </c>
      <c r="F529" s="2" t="inlineStr">
        <is>
          <t>Ford Focus</t>
        </is>
      </c>
      <c r="G529" s="2" t="inlineStr">
        <is>
          <t>2.0 TDCi</t>
        </is>
      </c>
      <c r="H529" s="2" t="inlineStr">
        <is>
          <t>2.0 TDCi S</t>
        </is>
      </c>
      <c r="I529" s="2" t="n"/>
      <c r="J529" s="2" t="n"/>
      <c r="K529" s="2" t="inlineStr">
        <is>
          <t>diesel</t>
        </is>
      </c>
      <c r="L529" s="2" t="inlineStr">
        <is>
          <t>compacto</t>
        </is>
      </c>
      <c r="M529" s="2" t="n">
        <v>2007</v>
      </c>
      <c r="N529" s="2" t="n">
        <v>203000</v>
      </c>
      <c r="O529" s="2" t="n">
        <v>3200</v>
      </c>
      <c r="P529" s="2" t="inlineStr">
        <is>
          <t>manual</t>
        </is>
      </c>
      <c r="Q529" s="2" t="inlineStr">
        <is>
          <t>no</t>
        </is>
      </c>
      <c r="R529" s="2" t="inlineStr">
        <is>
          <t>particular</t>
        </is>
      </c>
      <c r="S529" s="2" t="inlineStr">
        <is>
          <t>Villalonga</t>
        </is>
      </c>
      <c r="T529" s="2" t="inlineStr">
        <is>
          <t>2026-10-12T16:59:27Z</t>
        </is>
      </c>
      <c r="U529" s="2" t="n">
        <v>3</v>
      </c>
      <c r="V529" s="2" t="inlineStr">
        <is>
          <t>sí</t>
        </is>
      </c>
      <c r="W529" s="2" t="n"/>
      <c r="X529" s="2" t="n"/>
      <c r="Y529" s="2" t="n"/>
      <c r="Z529" s="2" t="inlineStr">
        <is>
          <t>no</t>
        </is>
      </c>
      <c r="AA529" s="2" t="n"/>
      <c r="AB529" s="2" t="n"/>
      <c r="AC529" s="2" t="n"/>
      <c r="AD529" s="2" t="n"/>
      <c r="AE529" s="2" t="n"/>
      <c r="AF529" s="2" t="n"/>
      <c r="AG529" s="2" t="n"/>
      <c r="AH529" s="2" t="n">
        <v>3200</v>
      </c>
      <c r="AI529" s="2" t="n"/>
      <c r="AJ529" s="2" t="n"/>
      <c r="AK529" s="2" t="n"/>
      <c r="AL529" s="2" t="n"/>
      <c r="AM529" s="2" t="n">
        <v>66.59999999999999</v>
      </c>
      <c r="AN529" s="2" t="n">
        <v>3500</v>
      </c>
      <c r="AO529" s="2" t="n">
        <v>12</v>
      </c>
      <c r="AP529" s="2" t="inlineStr">
        <is>
          <t>modelo+año+km</t>
        </is>
      </c>
      <c r="AQ529" s="2" t="n"/>
      <c r="AR529" s="2" t="inlineStr">
        <is>
          <t>cuota fija ITP: &gt;12 años, 1.501-2.000 cc; diésel: motor sin fuente de fiabilidad (fiabilidad limitada a neutra)</t>
        </is>
      </c>
      <c r="AS529" s="2" t="inlineStr">
        <is>
          <t>Vendo Ford Focus Sport 2.0 TDCi de 136 CV, del año 2007, color negro y con 200.000 km.
El coche funciona perfectamente. En los últimos 50.000 km se han sustituido los siguientes componentes por piezas nuevas:
* Embrague
* Turbo
* Sistema de refrigeración
* Alternador
* Correa de distribución
*Bateria cambiada hace un año
Dispone de dos llaves, la original y la de repuesto, y tiene la ITV en vigor hasta julio de 2027.
En cuanto al estado exterior, presenta marcas de uso y un golpe en el lateral izquierdo, visibles en las fotografías.
Para más información, cualquier consulta o solicitar más fotos, contactar por correo electrónico o WhatsApp.</t>
        </is>
      </c>
      <c r="AT529" s="2" t="inlineStr">
        <is>
          <t>https://www.coches.net/ford-focus-20-tdci-s-3p-diesel-2007-en-valencia-71726866-covo.aspx (window.__INITIAL_PROPS__.ad) /home/user/Alopecia/buscador-coches/raw/cochesnet/7ba94b5d16cc5f04.json</t>
        </is>
      </c>
      <c r="AU529" s="3">
        <f>MAX(ANIO_ACTUAL-M529,0)</f>
        <v/>
      </c>
      <c r="AV529" s="4">
        <f>N529/MAX(AU529,0.5)</f>
        <v/>
      </c>
      <c r="AW529" s="4">
        <f>F529</f>
        <v/>
      </c>
      <c r="AX529" s="3">
        <f>AW529&amp;"|"&amp;INT(M529/SEG_ANIO)*SEG_ANIO</f>
        <v/>
      </c>
      <c r="AY529" s="3">
        <f>AX529&amp;"|"&amp;INT(N529/SEG_KM)*SEG_KM</f>
        <v/>
      </c>
      <c r="AZ529" s="4">
        <f>COUNTIF($AW$2:$AW$662,AW529)</f>
        <v/>
      </c>
      <c r="BA529" s="4">
        <f>COUNTIF($AX$2:$AX$662,AX529)</f>
        <v/>
      </c>
      <c r="BB529" s="4">
        <f>COUNTIF($AY$2:$AY$662,AY529)</f>
        <v/>
      </c>
      <c r="BC529" s="3">
        <f t="array" ref="BC529">IF(N(AO529)&gt;=MIN_N,AN529,IF(BB529&gt;=MIN_N,MEDIAN(IF($AY$2:$AY$662=AY529,$O$2:$O$662)),IF(BA529&gt;=MIN_N,MEDIAN(IF($AX$2:$AX$662=AX529,$O$2:$O$662)),MEDIAN(IF($AW$2:$AW$662=AW529,$O$2:$O$662)))))</f>
        <v/>
      </c>
      <c r="BD529" s="3">
        <f>IF(N(AO529)&gt;=MIN_N,"mercado "&amp;AP529,IF(BB529&gt;=MIN_N,"modelo+año+km",IF(BA529&gt;=MIN_N,"modelo+año","modelo")))</f>
        <v/>
      </c>
      <c r="BE529" s="4">
        <f>(BC529-O529)/BC529</f>
        <v/>
      </c>
      <c r="BF529" s="3">
        <f>IF(OR(K529="hibrido",K529="glp"),"ECO",IF(K529="electrico","CERO",IF(K529="gasolina",IF(M529&gt;=GAS_C,"C",IF(M529&gt;=GAS_B,"B","A")),IF(K529="diesel",IF(M529&gt;=DIE_C,"C",IF(M529&gt;=DIE_B,"B","A")),""))))</f>
        <v/>
      </c>
      <c r="BG529" s="3">
        <f>IFERROR(VLOOKUP(F529,MOD_TBL,11,0),IFERROR(VLOOKUP(E529,OCU_TBL,2,0),NEUTRO))</f>
        <v/>
      </c>
      <c r="BH529" s="3">
        <f>SUMIFS(MOT_AJUSTE,MOT_MOTOR,G529,MOT_MARCA,E529,MOT_DESDE,"&lt;="&amp;M529,MOT_HASTA,"&gt;="&amp;M529)+SUMIFS(MOT_AJUSTE,MOT_MOTOR,G529,MOT_MARCA,"(todas)",MOT_DESDE,"&lt;="&amp;M529,MOT_HASTA,"&gt;="&amp;M529)</f>
        <v/>
      </c>
      <c r="BI529" s="3">
        <f>SUMIFS(COMB_AJUSTE,COMB_COMB,K529)</f>
        <v/>
      </c>
      <c r="BJ529" s="3">
        <f>COUNTIFS(MOT_MOTOR,G529,MOT_MARCA,E529,MOT_DESDE,"&lt;="&amp;M529,MOT_HASTA,"&gt;="&amp;M529)+COUNTIFS(MOT_MOTOR,G529,MOT_MARCA,"(todas)",MOT_DESDE,"&lt;="&amp;M529,MOT_HASTA,"&gt;="&amp;M529)</f>
        <v/>
      </c>
      <c r="BK529" s="3">
        <f>IF(AND(K529="diesel",BJ529=0),MIN(BG529,NEUTRO),BG529)</f>
        <v/>
      </c>
      <c r="BL529" s="4">
        <f>MAX(0,MIN(100,BK529+BH529+BI529))</f>
        <v/>
      </c>
      <c r="BM529" s="3">
        <f>MAX(0,MIN(100,50+BE529*PRECIO_PEND))</f>
        <v/>
      </c>
      <c r="BN529" s="3">
        <f>MAX(0,100*(1-N529/KM_MAX))</f>
        <v/>
      </c>
      <c r="BO529" s="3">
        <f>IF(AV529&lt;KMA_SOSP,IF(AA529="sí",100,KMA_PEN),IF(AV529&lt;=KMA_IDEAL_MAX,100,MAX(0,100*(KMA_CERO-AV529)/(KMA_CERO-KMA_IDEAL_MAX))))</f>
        <v/>
      </c>
      <c r="BP529" s="3">
        <f>MAX(0,MIN(100,100*(M529-ANIO_MIN)/(ANIO_ACTUAL-ANIO_MIN)))</f>
        <v/>
      </c>
      <c r="BQ529" s="3">
        <f>W_KMT*BN529+W_KMA*BO529+W_EDAD*BP529</f>
        <v/>
      </c>
      <c r="BR529" s="3">
        <f>P_ITV*(V529="sí")+P_LIBRO*(W529="sí")+P_CORREA*(X529="sí")+P_PROP*(Y529=1)+P_GAR*(Z529="sí")+P_FOTOS*MIN(1,N(U529)/FOTOS_OBJ)</f>
        <v/>
      </c>
      <c r="BS529" s="3">
        <f>IFERROR(VLOOKUP(BF529,ETQ_TBL,2,0),NEUTRO)</f>
        <v/>
      </c>
      <c r="BT529" s="3">
        <f>NEUTRO</f>
        <v/>
      </c>
      <c r="BU529" s="3">
        <f>IFERROR(VLOOKUP(L529,SEGURO_TBL,3,0),"")</f>
        <v/>
      </c>
      <c r="BV529" s="3">
        <f>IF(BU529="",NEUTRO,MAX(0,MIN(100,100*(SEG_REF_MAX-BU529)/(SEG_REF_MAX-SEG_REF_MIN))))</f>
        <v/>
      </c>
      <c r="BW529" s="3">
        <f>W_ET*BS529+W_CONS*BT529+W_SEG*BV529</f>
        <v/>
      </c>
      <c r="BX529" s="3">
        <f>IF(N(AB529)&gt;0,AB529,IF(AND(R529="profesional",SG_LEGAL_ON=1),GAR_LEGAL,0))</f>
        <v/>
      </c>
      <c r="BY529" s="3">
        <f>SG_GAR*MIN(1,BX529/SG_GAR_FULL)+SG_AMPL*(AC529="sí")+SG_KMC*(AF529="sí")+SG_REV*(N(AE529)&gt;0)+SG_DEV*MIN(1,N(AG529)/SG_DEV_FULL)+SG_HIST*(W529="sí")</f>
        <v/>
      </c>
      <c r="BZ529" s="3">
        <f>IFERROR(VLOOKUP(L529,CARR_PEN_TBL,2,0),0)</f>
        <v/>
      </c>
      <c r="CA529" s="3">
        <f>W_FIAB*BL529+W_PRECIO*BM529+W_KMEDAD*BQ529+W_ANUNCIO*BR529+W_USO*BW529+W_SEGURIDAD*BY529-BZ529</f>
        <v/>
      </c>
      <c r="CB529" s="4">
        <f>IF(N(I529)&gt;0,I529,IFERROR(ROUND(_xlfn.NUMBERVALUE(LEFT(G529,FIND(" ",G529&amp;" ")-1),".")*1000,0),99999))</f>
        <v/>
      </c>
      <c r="CC529" s="3">
        <f>IF(R529="profesional",0,IF(O529&lt;CUOTA_VALOR_MAX,IF(AU529&gt;ITP_TRAMO_ALTO,SUMIFS(CF_CUOTA,CF_MAS,ITP_TRAMO_ALTO,CF_CCMIN,"&lt;="&amp;CB529,CF_CCMAX,"&gt;="&amp;CB529),IF(AU529&gt;ITP_TRAMO_BAJO,SUMIFS(CF_CUOTA,CF_MAS,ITP_TRAMO_BAJO,CF_CCMIN,"&lt;="&amp;CB529,CF_CCMAX,"&gt;="&amp;CB529),O529*ITP_TIPO)),O529*ITP_TIPO))</f>
        <v/>
      </c>
      <c r="CD529" s="4">
        <f>IF(R529="profesional",N(AK529),0)</f>
        <v/>
      </c>
      <c r="CE529" s="3">
        <f>IF(AND(R529="profesional",ISNUMBER(AK529),AL529="sí"),0,TASA_DGT)</f>
        <v/>
      </c>
      <c r="CF529" s="3">
        <f>INFORME_DGT</f>
        <v/>
      </c>
      <c r="CG529" s="4">
        <f>O529+CD529+CC529+CE529+CF529</f>
        <v/>
      </c>
      <c r="CH529" s="4">
        <f>CG529+N(BU529)</f>
        <v/>
      </c>
      <c r="CI529" s="3">
        <f>IF(CG529&lt;=TOTAL_MAX,"sí",IF(CG529&lt;=TOTAL_MAX+MARGEN_NEG,"negociar","no"))</f>
        <v/>
      </c>
      <c r="CJ529" s="4">
        <f>IF(CI529&lt;&gt;"no",COUNTIFS($CI$2:$CI$662,"&lt;&gt;no",$CA$2:$CA$662,"&gt;"&amp;CA529)+COUNTIFS($CI$2:CI529,"&lt;&gt;no",$CA$2:CA529,CA529),"")</f>
        <v/>
      </c>
    </row>
    <row r="530">
      <c r="A530" s="2" t="inlineStr">
        <is>
          <t>cochesnet:71700165</t>
        </is>
      </c>
      <c r="B530" s="2" t="inlineStr">
        <is>
          <t>cochesnet</t>
        </is>
      </c>
      <c r="C530" s="2" t="inlineStr">
        <is>
          <t>https://www.coches.net/ford-focus-16-trend-5p-gasolina-2006-en-valencia-71700165-covo.aspx</t>
        </is>
      </c>
      <c r="D530" s="2" t="inlineStr">
        <is>
          <t>FORD Focus 1.6 TREND</t>
        </is>
      </c>
      <c r="E530" s="2" t="inlineStr">
        <is>
          <t>Ford</t>
        </is>
      </c>
      <c r="F530" s="2" t="inlineStr">
        <is>
          <t>Ford Focus</t>
        </is>
      </c>
      <c r="G530" s="2" t="inlineStr">
        <is>
          <t>1.6</t>
        </is>
      </c>
      <c r="H530" s="2" t="inlineStr">
        <is>
          <t>1.6 TREND</t>
        </is>
      </c>
      <c r="I530" s="2" t="n"/>
      <c r="J530" s="2" t="n"/>
      <c r="K530" s="2" t="inlineStr">
        <is>
          <t>gasolina</t>
        </is>
      </c>
      <c r="L530" s="2" t="inlineStr">
        <is>
          <t>compacto</t>
        </is>
      </c>
      <c r="M530" s="2" t="n">
        <v>2006</v>
      </c>
      <c r="N530" s="2" t="n">
        <v>185800</v>
      </c>
      <c r="O530" s="2" t="n">
        <v>3000</v>
      </c>
      <c r="P530" s="2" t="inlineStr">
        <is>
          <t>manual</t>
        </is>
      </c>
      <c r="Q530" s="2" t="inlineStr">
        <is>
          <t>no</t>
        </is>
      </c>
      <c r="R530" s="2" t="inlineStr">
        <is>
          <t>particular</t>
        </is>
      </c>
      <c r="S530" s="2" t="inlineStr">
        <is>
          <t>Alboraya</t>
        </is>
      </c>
      <c r="T530" s="2" t="inlineStr">
        <is>
          <t>2026-10-08T10:25:38Z</t>
        </is>
      </c>
      <c r="U530" s="2" t="n">
        <v>9</v>
      </c>
      <c r="V530" s="2" t="n"/>
      <c r="W530" s="2" t="n"/>
      <c r="X530" s="2" t="n"/>
      <c r="Y530" s="2" t="n"/>
      <c r="Z530" s="2" t="inlineStr">
        <is>
          <t>no</t>
        </is>
      </c>
      <c r="AA530" s="2" t="n"/>
      <c r="AB530" s="2" t="n"/>
      <c r="AC530" s="2" t="n"/>
      <c r="AD530" s="2" t="n"/>
      <c r="AE530" s="2" t="n"/>
      <c r="AF530" s="2" t="n"/>
      <c r="AG530" s="2" t="n"/>
      <c r="AH530" s="2" t="n">
        <v>3000</v>
      </c>
      <c r="AI530" s="2" t="n"/>
      <c r="AJ530" s="2" t="n"/>
      <c r="AK530" s="2" t="n"/>
      <c r="AL530" s="2" t="n"/>
      <c r="AM530" s="2" t="n">
        <v>4</v>
      </c>
      <c r="AN530" s="2" t="n">
        <v>3000</v>
      </c>
      <c r="AO530" s="2" t="n">
        <v>10</v>
      </c>
      <c r="AP530" s="2" t="inlineStr">
        <is>
          <t>modelo+año+km</t>
        </is>
      </c>
      <c r="AQ530" s="2" t="n"/>
      <c r="AR530" s="2" t="inlineStr">
        <is>
          <t>cuota fija ITP: &gt;12 años, 1.501-2.000 cc</t>
        </is>
      </c>
      <c r="AS530" s="2" t="inlineStr">
        <is>
          <t>Si buscas un vehículo funcional y económico para el día a día, este Ford Focus es tu opción. Se trata de un berlina de cuatro puertas con motor de 1.6 litros y 100 caballos de vapor, perfecto para ciudad y carreteras secundarias. Su cambio manual garantiza una conducción directa y un consumo eficiente, ideal si priorizas el ahorro en combustible sin renunciar a un buen rendimiento.
El interior mantiene condiciones aceptables con el desgarre normal de uso habitual, mientras que el exterior refleja los años de circulación con algunos rayones y signos de oxidación en la pintura roja. Esto se traduce en un precio accesible para quien busque un coche práctico sin pretensiones estéticas.
Con capacidad para cinco ocupantes y un diseño versátil, este Focus se adapta a tus necesidades diarias. Es un vehículo que ha demostrado la fiabilidad característica de la marca Ford, manteniéndose en funcionamiento a pesar de los kilómetros recorridos.
Si tienes dudas sobre aspectos específicos del estado mecánico, equipamiento o historial del vehículo, no dudes en contactarme a través del chat. Estoy disponible para resolver cualquier pregunta que tengas antes de tomar tu decisión.
Contacta hoy mismo y descubre si este Ford Focus es exactamente lo que estabas buscando.</t>
        </is>
      </c>
      <c r="AT530" s="2" t="inlineStr">
        <is>
          <t>https://www.coches.net/ford-focus-16-trend-5p-gasolina-2006-en-valencia-71700165-covo.aspx (window.__INITIAL_PROPS__.ad) /home/user/Alopecia/buscador-coches/raw/cochesnet/c7ed7ceb59b87835.json</t>
        </is>
      </c>
      <c r="AU530" s="3">
        <f>MAX(ANIO_ACTUAL-M530,0)</f>
        <v/>
      </c>
      <c r="AV530" s="4">
        <f>N530/MAX(AU530,0.5)</f>
        <v/>
      </c>
      <c r="AW530" s="4">
        <f>F530</f>
        <v/>
      </c>
      <c r="AX530" s="3">
        <f>AW530&amp;"|"&amp;INT(M530/SEG_ANIO)*SEG_ANIO</f>
        <v/>
      </c>
      <c r="AY530" s="3">
        <f>AX530&amp;"|"&amp;INT(N530/SEG_KM)*SEG_KM</f>
        <v/>
      </c>
      <c r="AZ530" s="4">
        <f>COUNTIF($AW$2:$AW$662,AW530)</f>
        <v/>
      </c>
      <c r="BA530" s="4">
        <f>COUNTIF($AX$2:$AX$662,AX530)</f>
        <v/>
      </c>
      <c r="BB530" s="4">
        <f>COUNTIF($AY$2:$AY$662,AY530)</f>
        <v/>
      </c>
      <c r="BC530" s="3">
        <f t="array" ref="BC530">IF(N(AO530)&gt;=MIN_N,AN530,IF(BB530&gt;=MIN_N,MEDIAN(IF($AY$2:$AY$662=AY530,$O$2:$O$662)),IF(BA530&gt;=MIN_N,MEDIAN(IF($AX$2:$AX$662=AX530,$O$2:$O$662)),MEDIAN(IF($AW$2:$AW$662=AW530,$O$2:$O$662)))))</f>
        <v/>
      </c>
      <c r="BD530" s="3">
        <f>IF(N(AO530)&gt;=MIN_N,"mercado "&amp;AP530,IF(BB530&gt;=MIN_N,"modelo+año+km",IF(BA530&gt;=MIN_N,"modelo+año","modelo")))</f>
        <v/>
      </c>
      <c r="BE530" s="4">
        <f>(BC530-O530)/BC530</f>
        <v/>
      </c>
      <c r="BF530" s="3">
        <f>IF(OR(K530="hibrido",K530="glp"),"ECO",IF(K530="electrico","CERO",IF(K530="gasolina",IF(M530&gt;=GAS_C,"C",IF(M530&gt;=GAS_B,"B","A")),IF(K530="diesel",IF(M530&gt;=DIE_C,"C",IF(M530&gt;=DIE_B,"B","A")),""))))</f>
        <v/>
      </c>
      <c r="BG530" s="3">
        <f>IFERROR(VLOOKUP(F530,MOD_TBL,11,0),IFERROR(VLOOKUP(E530,OCU_TBL,2,0),NEUTRO))</f>
        <v/>
      </c>
      <c r="BH530" s="3">
        <f>SUMIFS(MOT_AJUSTE,MOT_MOTOR,G530,MOT_MARCA,E530,MOT_DESDE,"&lt;="&amp;M530,MOT_HASTA,"&gt;="&amp;M530)+SUMIFS(MOT_AJUSTE,MOT_MOTOR,G530,MOT_MARCA,"(todas)",MOT_DESDE,"&lt;="&amp;M530,MOT_HASTA,"&gt;="&amp;M530)</f>
        <v/>
      </c>
      <c r="BI530" s="3">
        <f>SUMIFS(COMB_AJUSTE,COMB_COMB,K530)</f>
        <v/>
      </c>
      <c r="BJ530" s="3">
        <f>COUNTIFS(MOT_MOTOR,G530,MOT_MARCA,E530,MOT_DESDE,"&lt;="&amp;M530,MOT_HASTA,"&gt;="&amp;M530)+COUNTIFS(MOT_MOTOR,G530,MOT_MARCA,"(todas)",MOT_DESDE,"&lt;="&amp;M530,MOT_HASTA,"&gt;="&amp;M530)</f>
        <v/>
      </c>
      <c r="BK530" s="3">
        <f>IF(AND(K530="diesel",BJ530=0),MIN(BG530,NEUTRO),BG530)</f>
        <v/>
      </c>
      <c r="BL530" s="4">
        <f>MAX(0,MIN(100,BK530+BH530+BI530))</f>
        <v/>
      </c>
      <c r="BM530" s="3">
        <f>MAX(0,MIN(100,50+BE530*PRECIO_PEND))</f>
        <v/>
      </c>
      <c r="BN530" s="3">
        <f>MAX(0,100*(1-N530/KM_MAX))</f>
        <v/>
      </c>
      <c r="BO530" s="3">
        <f>IF(AV530&lt;KMA_SOSP,IF(AA530="sí",100,KMA_PEN),IF(AV530&lt;=KMA_IDEAL_MAX,100,MAX(0,100*(KMA_CERO-AV530)/(KMA_CERO-KMA_IDEAL_MAX))))</f>
        <v/>
      </c>
      <c r="BP530" s="3">
        <f>MAX(0,MIN(100,100*(M530-ANIO_MIN)/(ANIO_ACTUAL-ANIO_MIN)))</f>
        <v/>
      </c>
      <c r="BQ530" s="3">
        <f>W_KMT*BN530+W_KMA*BO530+W_EDAD*BP530</f>
        <v/>
      </c>
      <c r="BR530" s="3">
        <f>P_ITV*(V530="sí")+P_LIBRO*(W530="sí")+P_CORREA*(X530="sí")+P_PROP*(Y530=1)+P_GAR*(Z530="sí")+P_FOTOS*MIN(1,N(U530)/FOTOS_OBJ)</f>
        <v/>
      </c>
      <c r="BS530" s="3">
        <f>IFERROR(VLOOKUP(BF530,ETQ_TBL,2,0),NEUTRO)</f>
        <v/>
      </c>
      <c r="BT530" s="3">
        <f>NEUTRO</f>
        <v/>
      </c>
      <c r="BU530" s="3">
        <f>IFERROR(VLOOKUP(L530,SEGURO_TBL,3,0),"")</f>
        <v/>
      </c>
      <c r="BV530" s="3">
        <f>IF(BU530="",NEUTRO,MAX(0,MIN(100,100*(SEG_REF_MAX-BU530)/(SEG_REF_MAX-SEG_REF_MIN))))</f>
        <v/>
      </c>
      <c r="BW530" s="3">
        <f>W_ET*BS530+W_CONS*BT530+W_SEG*BV530</f>
        <v/>
      </c>
      <c r="BX530" s="3">
        <f>IF(N(AB530)&gt;0,AB530,IF(AND(R530="profesional",SG_LEGAL_ON=1),GAR_LEGAL,0))</f>
        <v/>
      </c>
      <c r="BY530" s="3">
        <f>SG_GAR*MIN(1,BX530/SG_GAR_FULL)+SG_AMPL*(AC530="sí")+SG_KMC*(AF530="sí")+SG_REV*(N(AE530)&gt;0)+SG_DEV*MIN(1,N(AG530)/SG_DEV_FULL)+SG_HIST*(W530="sí")</f>
        <v/>
      </c>
      <c r="BZ530" s="3">
        <f>IFERROR(VLOOKUP(L530,CARR_PEN_TBL,2,0),0)</f>
        <v/>
      </c>
      <c r="CA530" s="3">
        <f>W_FIAB*BL530+W_PRECIO*BM530+W_KMEDAD*BQ530+W_ANUNCIO*BR530+W_USO*BW530+W_SEGURIDAD*BY530-BZ530</f>
        <v/>
      </c>
      <c r="CB530" s="4">
        <f>IF(N(I530)&gt;0,I530,IFERROR(ROUND(_xlfn.NUMBERVALUE(LEFT(G530,FIND(" ",G530&amp;" ")-1),".")*1000,0),99999))</f>
        <v/>
      </c>
      <c r="CC530" s="3">
        <f>IF(R530="profesional",0,IF(O530&lt;CUOTA_VALOR_MAX,IF(AU530&gt;ITP_TRAMO_ALTO,SUMIFS(CF_CUOTA,CF_MAS,ITP_TRAMO_ALTO,CF_CCMIN,"&lt;="&amp;CB530,CF_CCMAX,"&gt;="&amp;CB530),IF(AU530&gt;ITP_TRAMO_BAJO,SUMIFS(CF_CUOTA,CF_MAS,ITP_TRAMO_BAJO,CF_CCMIN,"&lt;="&amp;CB530,CF_CCMAX,"&gt;="&amp;CB530),O530*ITP_TIPO)),O530*ITP_TIPO))</f>
        <v/>
      </c>
      <c r="CD530" s="4">
        <f>IF(R530="profesional",N(AK530),0)</f>
        <v/>
      </c>
      <c r="CE530" s="3">
        <f>IF(AND(R530="profesional",ISNUMBER(AK530),AL530="sí"),0,TASA_DGT)</f>
        <v/>
      </c>
      <c r="CF530" s="3">
        <f>INFORME_DGT</f>
        <v/>
      </c>
      <c r="CG530" s="4">
        <f>O530+CD530+CC530+CE530+CF530</f>
        <v/>
      </c>
      <c r="CH530" s="4">
        <f>CG530+N(BU530)</f>
        <v/>
      </c>
      <c r="CI530" s="3">
        <f>IF(CG530&lt;=TOTAL_MAX,"sí",IF(CG530&lt;=TOTAL_MAX+MARGEN_NEG,"negociar","no"))</f>
        <v/>
      </c>
      <c r="CJ530" s="4">
        <f>IF(CI530&lt;&gt;"no",COUNTIFS($CI$2:$CI$662,"&lt;&gt;no",$CA$2:$CA$662,"&gt;"&amp;CA530)+COUNTIFS($CI$2:CI530,"&lt;&gt;no",$CA$2:CA530,CA530),"")</f>
        <v/>
      </c>
    </row>
    <row r="531">
      <c r="A531" s="2" t="inlineStr">
        <is>
          <t>cochesnet:71699041</t>
        </is>
      </c>
      <c r="B531" s="2" t="inlineStr">
        <is>
          <t>cochesnet</t>
        </is>
      </c>
      <c r="C531" s="2" t="inlineStr">
        <is>
          <t>https://www.coches.net/ford-focus-diesel-2010-en-valencia-71699041-covo.aspx</t>
        </is>
      </c>
      <c r="D531" s="2" t="inlineStr">
        <is>
          <t>FORD Focus 1.8 TDCi Trend</t>
        </is>
      </c>
      <c r="E531" s="2" t="inlineStr">
        <is>
          <t>Ford</t>
        </is>
      </c>
      <c r="F531" s="2" t="inlineStr">
        <is>
          <t>Ford Focus</t>
        </is>
      </c>
      <c r="G531" s="2" t="inlineStr">
        <is>
          <t>1.8 TDCi</t>
        </is>
      </c>
      <c r="H531" s="2" t="inlineStr">
        <is>
          <t>1.8 TDCi Trend</t>
        </is>
      </c>
      <c r="I531" s="2" t="n"/>
      <c r="J531" s="2" t="n"/>
      <c r="K531" s="2" t="inlineStr">
        <is>
          <t>diesel</t>
        </is>
      </c>
      <c r="L531" s="2" t="inlineStr">
        <is>
          <t>compacto</t>
        </is>
      </c>
      <c r="M531" s="2" t="n">
        <v>2010</v>
      </c>
      <c r="N531" s="2" t="n">
        <v>126000</v>
      </c>
      <c r="O531" s="2" t="n">
        <v>4650</v>
      </c>
      <c r="P531" s="2" t="inlineStr">
        <is>
          <t>manual</t>
        </is>
      </c>
      <c r="Q531" s="2" t="inlineStr">
        <is>
          <t>no</t>
        </is>
      </c>
      <c r="R531" s="2" t="inlineStr">
        <is>
          <t>particular</t>
        </is>
      </c>
      <c r="S531" s="2" t="n"/>
      <c r="T531" s="2" t="inlineStr">
        <is>
          <t>2026-10-07T19:48:28Z</t>
        </is>
      </c>
      <c r="U531" s="2" t="n">
        <v>4</v>
      </c>
      <c r="V531" s="2" t="n"/>
      <c r="W531" s="2" t="n"/>
      <c r="X531" s="2" t="n"/>
      <c r="Y531" s="2" t="n">
        <v>1</v>
      </c>
      <c r="Z531" s="2" t="inlineStr">
        <is>
          <t>no</t>
        </is>
      </c>
      <c r="AA531" s="2" t="n"/>
      <c r="AB531" s="2" t="n"/>
      <c r="AC531" s="2" t="n"/>
      <c r="AD531" s="2" t="n"/>
      <c r="AE531" s="2" t="n"/>
      <c r="AF531" s="2" t="n"/>
      <c r="AG531" s="2" t="n"/>
      <c r="AH531" s="2" t="n">
        <v>4650</v>
      </c>
      <c r="AI531" s="2" t="n"/>
      <c r="AJ531" s="2" t="n"/>
      <c r="AK531" s="2" t="n"/>
      <c r="AL531" s="2" t="n"/>
      <c r="AM531" s="2" t="n"/>
      <c r="AN531" s="2" t="n">
        <v>4500</v>
      </c>
      <c r="AO531" s="2" t="n">
        <v>27</v>
      </c>
      <c r="AP531" s="2" t="inlineStr">
        <is>
          <t>modelo+año</t>
        </is>
      </c>
      <c r="AQ531" s="2" t="n"/>
      <c r="AR531" s="2" t="inlineStr">
        <is>
          <t>cuota fija ITP: &gt;12 años, 1.501-2.000 cc; diésel: motor sin fuente de fiabilidad (fiabilidad limitada a neutra); distancia no verificable (el anuncio solo indica la provincia): confirmar que está a &lt;= 70 km</t>
        </is>
      </c>
      <c r="AS531" s="2" t="inlineStr">
        <is>
          <t xml:space="preserve">OPORTUNIDAD- ÚNICO PROPIETARIO - 128MIL KM
Vendo Bonito y cuidado Ford Focus del 2008 1.8 cc diesel,bastante bien de chapa con algún detalle,interior muy bien cuidado,elevalunas,cierre,climatizador,control de velocidad,ordenador de abordo,y más extras,
motor muy bueno y fiable,solo 128.000 kms, bajo consumo conbustible , muy económico.
</t>
        </is>
      </c>
      <c r="AT531" s="2" t="inlineStr">
        <is>
          <t>https://www.coches.net/ford-focus-diesel-2010-en-valencia-71699041-covo.aspx (window.__INITIAL_PROPS__.ad) /home/user/Alopecia/buscador-coches/raw/cochesnet/255472a73c98dec3.json</t>
        </is>
      </c>
      <c r="AU531" s="3">
        <f>MAX(ANIO_ACTUAL-M531,0)</f>
        <v/>
      </c>
      <c r="AV531" s="4">
        <f>N531/MAX(AU531,0.5)</f>
        <v/>
      </c>
      <c r="AW531" s="4">
        <f>F531</f>
        <v/>
      </c>
      <c r="AX531" s="3">
        <f>AW531&amp;"|"&amp;INT(M531/SEG_ANIO)*SEG_ANIO</f>
        <v/>
      </c>
      <c r="AY531" s="3">
        <f>AX531&amp;"|"&amp;INT(N531/SEG_KM)*SEG_KM</f>
        <v/>
      </c>
      <c r="AZ531" s="4">
        <f>COUNTIF($AW$2:$AW$662,AW531)</f>
        <v/>
      </c>
      <c r="BA531" s="4">
        <f>COUNTIF($AX$2:$AX$662,AX531)</f>
        <v/>
      </c>
      <c r="BB531" s="4">
        <f>COUNTIF($AY$2:$AY$662,AY531)</f>
        <v/>
      </c>
      <c r="BC531" s="3">
        <f t="array" ref="BC531">IF(N(AO531)&gt;=MIN_N,AN531,IF(BB531&gt;=MIN_N,MEDIAN(IF($AY$2:$AY$662=AY531,$O$2:$O$662)),IF(BA531&gt;=MIN_N,MEDIAN(IF($AX$2:$AX$662=AX531,$O$2:$O$662)),MEDIAN(IF($AW$2:$AW$662=AW531,$O$2:$O$662)))))</f>
        <v/>
      </c>
      <c r="BD531" s="3">
        <f>IF(N(AO531)&gt;=MIN_N,"mercado "&amp;AP531,IF(BB531&gt;=MIN_N,"modelo+año+km",IF(BA531&gt;=MIN_N,"modelo+año","modelo")))</f>
        <v/>
      </c>
      <c r="BE531" s="4">
        <f>(BC531-O531)/BC531</f>
        <v/>
      </c>
      <c r="BF531" s="3">
        <f>IF(OR(K531="hibrido",K531="glp"),"ECO",IF(K531="electrico","CERO",IF(K531="gasolina",IF(M531&gt;=GAS_C,"C",IF(M531&gt;=GAS_B,"B","A")),IF(K531="diesel",IF(M531&gt;=DIE_C,"C",IF(M531&gt;=DIE_B,"B","A")),""))))</f>
        <v/>
      </c>
      <c r="BG531" s="3">
        <f>IFERROR(VLOOKUP(F531,MOD_TBL,11,0),IFERROR(VLOOKUP(E531,OCU_TBL,2,0),NEUTRO))</f>
        <v/>
      </c>
      <c r="BH531" s="3">
        <f>SUMIFS(MOT_AJUSTE,MOT_MOTOR,G531,MOT_MARCA,E531,MOT_DESDE,"&lt;="&amp;M531,MOT_HASTA,"&gt;="&amp;M531)+SUMIFS(MOT_AJUSTE,MOT_MOTOR,G531,MOT_MARCA,"(todas)",MOT_DESDE,"&lt;="&amp;M531,MOT_HASTA,"&gt;="&amp;M531)</f>
        <v/>
      </c>
      <c r="BI531" s="3">
        <f>SUMIFS(COMB_AJUSTE,COMB_COMB,K531)</f>
        <v/>
      </c>
      <c r="BJ531" s="3">
        <f>COUNTIFS(MOT_MOTOR,G531,MOT_MARCA,E531,MOT_DESDE,"&lt;="&amp;M531,MOT_HASTA,"&gt;="&amp;M531)+COUNTIFS(MOT_MOTOR,G531,MOT_MARCA,"(todas)",MOT_DESDE,"&lt;="&amp;M531,MOT_HASTA,"&gt;="&amp;M531)</f>
        <v/>
      </c>
      <c r="BK531" s="3">
        <f>IF(AND(K531="diesel",BJ531=0),MIN(BG531,NEUTRO),BG531)</f>
        <v/>
      </c>
      <c r="BL531" s="4">
        <f>MAX(0,MIN(100,BK531+BH531+BI531))</f>
        <v/>
      </c>
      <c r="BM531" s="3">
        <f>MAX(0,MIN(100,50+BE531*PRECIO_PEND))</f>
        <v/>
      </c>
      <c r="BN531" s="3">
        <f>MAX(0,100*(1-N531/KM_MAX))</f>
        <v/>
      </c>
      <c r="BO531" s="3">
        <f>IF(AV531&lt;KMA_SOSP,IF(AA531="sí",100,KMA_PEN),IF(AV531&lt;=KMA_IDEAL_MAX,100,MAX(0,100*(KMA_CERO-AV531)/(KMA_CERO-KMA_IDEAL_MAX))))</f>
        <v/>
      </c>
      <c r="BP531" s="3">
        <f>MAX(0,MIN(100,100*(M531-ANIO_MIN)/(ANIO_ACTUAL-ANIO_MIN)))</f>
        <v/>
      </c>
      <c r="BQ531" s="3">
        <f>W_KMT*BN531+W_KMA*BO531+W_EDAD*BP531</f>
        <v/>
      </c>
      <c r="BR531" s="3">
        <f>P_ITV*(V531="sí")+P_LIBRO*(W531="sí")+P_CORREA*(X531="sí")+P_PROP*(Y531=1)+P_GAR*(Z531="sí")+P_FOTOS*MIN(1,N(U531)/FOTOS_OBJ)</f>
        <v/>
      </c>
      <c r="BS531" s="3">
        <f>IFERROR(VLOOKUP(BF531,ETQ_TBL,2,0),NEUTRO)</f>
        <v/>
      </c>
      <c r="BT531" s="3">
        <f>NEUTRO</f>
        <v/>
      </c>
      <c r="BU531" s="3">
        <f>IFERROR(VLOOKUP(L531,SEGURO_TBL,3,0),"")</f>
        <v/>
      </c>
      <c r="BV531" s="3">
        <f>IF(BU531="",NEUTRO,MAX(0,MIN(100,100*(SEG_REF_MAX-BU531)/(SEG_REF_MAX-SEG_REF_MIN))))</f>
        <v/>
      </c>
      <c r="BW531" s="3">
        <f>W_ET*BS531+W_CONS*BT531+W_SEG*BV531</f>
        <v/>
      </c>
      <c r="BX531" s="3">
        <f>IF(N(AB531)&gt;0,AB531,IF(AND(R531="profesional",SG_LEGAL_ON=1),GAR_LEGAL,0))</f>
        <v/>
      </c>
      <c r="BY531" s="3">
        <f>SG_GAR*MIN(1,BX531/SG_GAR_FULL)+SG_AMPL*(AC531="sí")+SG_KMC*(AF531="sí")+SG_REV*(N(AE531)&gt;0)+SG_DEV*MIN(1,N(AG531)/SG_DEV_FULL)+SG_HIST*(W531="sí")</f>
        <v/>
      </c>
      <c r="BZ531" s="3">
        <f>IFERROR(VLOOKUP(L531,CARR_PEN_TBL,2,0),0)</f>
        <v/>
      </c>
      <c r="CA531" s="3">
        <f>W_FIAB*BL531+W_PRECIO*BM531+W_KMEDAD*BQ531+W_ANUNCIO*BR531+W_USO*BW531+W_SEGURIDAD*BY531-BZ531</f>
        <v/>
      </c>
      <c r="CB531" s="4">
        <f>IF(N(I531)&gt;0,I531,IFERROR(ROUND(_xlfn.NUMBERVALUE(LEFT(G531,FIND(" ",G531&amp;" ")-1),".")*1000,0),99999))</f>
        <v/>
      </c>
      <c r="CC531" s="3">
        <f>IF(R531="profesional",0,IF(O531&lt;CUOTA_VALOR_MAX,IF(AU531&gt;ITP_TRAMO_ALTO,SUMIFS(CF_CUOTA,CF_MAS,ITP_TRAMO_ALTO,CF_CCMIN,"&lt;="&amp;CB531,CF_CCMAX,"&gt;="&amp;CB531),IF(AU531&gt;ITP_TRAMO_BAJO,SUMIFS(CF_CUOTA,CF_MAS,ITP_TRAMO_BAJO,CF_CCMIN,"&lt;="&amp;CB531,CF_CCMAX,"&gt;="&amp;CB531),O531*ITP_TIPO)),O531*ITP_TIPO))</f>
        <v/>
      </c>
      <c r="CD531" s="4">
        <f>IF(R531="profesional",N(AK531),0)</f>
        <v/>
      </c>
      <c r="CE531" s="3">
        <f>IF(AND(R531="profesional",ISNUMBER(AK531),AL531="sí"),0,TASA_DGT)</f>
        <v/>
      </c>
      <c r="CF531" s="3">
        <f>INFORME_DGT</f>
        <v/>
      </c>
      <c r="CG531" s="4">
        <f>O531+CD531+CC531+CE531+CF531</f>
        <v/>
      </c>
      <c r="CH531" s="4">
        <f>CG531+N(BU531)</f>
        <v/>
      </c>
      <c r="CI531" s="3">
        <f>IF(CG531&lt;=TOTAL_MAX,"sí",IF(CG531&lt;=TOTAL_MAX+MARGEN_NEG,"negociar","no"))</f>
        <v/>
      </c>
      <c r="CJ531" s="4">
        <f>IF(CI531&lt;&gt;"no",COUNTIFS($CI$2:$CI$662,"&lt;&gt;no",$CA$2:$CA$662,"&gt;"&amp;CA531)+COUNTIFS($CI$2:CI531,"&lt;&gt;no",$CA$2:CA531,CA531),"")</f>
        <v/>
      </c>
    </row>
    <row r="532">
      <c r="A532" s="2" t="inlineStr">
        <is>
          <t>cochesnet:71678600</t>
        </is>
      </c>
      <c r="B532" s="2" t="inlineStr">
        <is>
          <t>cochesnet</t>
        </is>
      </c>
      <c r="C532" s="2" t="inlineStr">
        <is>
          <t>https://www.coches.net/ford-focus-diesel-2006-en-valencia-71678600-covo.aspx</t>
        </is>
      </c>
      <c r="D532" s="2" t="inlineStr">
        <is>
          <t>FORD Focus</t>
        </is>
      </c>
      <c r="E532" s="2" t="inlineStr">
        <is>
          <t>Ford</t>
        </is>
      </c>
      <c r="F532" s="2" t="inlineStr">
        <is>
          <t>Ford Focus</t>
        </is>
      </c>
      <c r="G532" s="2" t="n"/>
      <c r="H532" s="2" t="n"/>
      <c r="I532" s="2" t="n"/>
      <c r="J532" s="2" t="n"/>
      <c r="K532" s="2" t="inlineStr">
        <is>
          <t>diesel</t>
        </is>
      </c>
      <c r="L532" s="2" t="inlineStr">
        <is>
          <t>compacto</t>
        </is>
      </c>
      <c r="M532" s="2" t="n">
        <v>2006</v>
      </c>
      <c r="N532" s="2" t="n">
        <v>220000</v>
      </c>
      <c r="O532" s="2" t="n">
        <v>2750</v>
      </c>
      <c r="P532" s="2" t="inlineStr">
        <is>
          <t>manual</t>
        </is>
      </c>
      <c r="Q532" s="2" t="inlineStr">
        <is>
          <t>no</t>
        </is>
      </c>
      <c r="R532" s="2" t="inlineStr">
        <is>
          <t>particular</t>
        </is>
      </c>
      <c r="S532" s="2" t="n"/>
      <c r="T532" s="2" t="inlineStr">
        <is>
          <t>2026-10-05T15:10:24Z</t>
        </is>
      </c>
      <c r="U532" s="2" t="n">
        <v>9</v>
      </c>
      <c r="V532" s="2" t="inlineStr">
        <is>
          <t>sí</t>
        </is>
      </c>
      <c r="W532" s="2" t="n"/>
      <c r="X532" s="2" t="n"/>
      <c r="Y532" s="2" t="n"/>
      <c r="Z532" s="2" t="inlineStr">
        <is>
          <t>no</t>
        </is>
      </c>
      <c r="AA532" s="2" t="n"/>
      <c r="AB532" s="2" t="n"/>
      <c r="AC532" s="2" t="n"/>
      <c r="AD532" s="2" t="n"/>
      <c r="AE532" s="2" t="n"/>
      <c r="AF532" s="2" t="n"/>
      <c r="AG532" s="2" t="n"/>
      <c r="AH532" s="2" t="n">
        <v>2750</v>
      </c>
      <c r="AI532" s="2" t="n"/>
      <c r="AJ532" s="2" t="n"/>
      <c r="AK532" s="2" t="n"/>
      <c r="AL532" s="2" t="n"/>
      <c r="AM532" s="2" t="n"/>
      <c r="AN532" s="2" t="n">
        <v>2995</v>
      </c>
      <c r="AO532" s="2" t="n">
        <v>16</v>
      </c>
      <c r="AP532" s="2" t="inlineStr">
        <is>
          <t>modelo+año+km</t>
        </is>
      </c>
      <c r="AQ532" s="2" t="n"/>
      <c r="AR53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532" s="2" t="inlineStr">
        <is>
          <t>Ford Focus del año 2006, con 220.000 km. Vehículo práctico, cómodo y fiable, ideal tanto para el día a día como para carretera.
? Motor fiable
? 220.000 km
? Año 2006
? Cómodo y económico de mantener
? Interior y exterior en buen estado para sus años
Se entrega con ITV recien pasada 
?? Se puede ver y probar sin compromiso.</t>
        </is>
      </c>
      <c r="AT532" s="2" t="inlineStr">
        <is>
          <t>https://www.coches.net/ford-focus-diesel-2006-en-valencia-71678600-covo.aspx (window.__INITIAL_PROPS__.ad) /home/user/Alopecia/buscador-coches/raw/cochesnet/d269c3975f36f796.json</t>
        </is>
      </c>
      <c r="AU532" s="3">
        <f>MAX(ANIO_ACTUAL-M532,0)</f>
        <v/>
      </c>
      <c r="AV532" s="4">
        <f>N532/MAX(AU532,0.5)</f>
        <v/>
      </c>
      <c r="AW532" s="4">
        <f>F532</f>
        <v/>
      </c>
      <c r="AX532" s="3">
        <f>AW532&amp;"|"&amp;INT(M532/SEG_ANIO)*SEG_ANIO</f>
        <v/>
      </c>
      <c r="AY532" s="3">
        <f>AX532&amp;"|"&amp;INT(N532/SEG_KM)*SEG_KM</f>
        <v/>
      </c>
      <c r="AZ532" s="4">
        <f>COUNTIF($AW$2:$AW$662,AW532)</f>
        <v/>
      </c>
      <c r="BA532" s="4">
        <f>COUNTIF($AX$2:$AX$662,AX532)</f>
        <v/>
      </c>
      <c r="BB532" s="4">
        <f>COUNTIF($AY$2:$AY$662,AY532)</f>
        <v/>
      </c>
      <c r="BC532" s="3">
        <f t="array" ref="BC532">IF(N(AO532)&gt;=MIN_N,AN532,IF(BB532&gt;=MIN_N,MEDIAN(IF($AY$2:$AY$662=AY532,$O$2:$O$662)),IF(BA532&gt;=MIN_N,MEDIAN(IF($AX$2:$AX$662=AX532,$O$2:$O$662)),MEDIAN(IF($AW$2:$AW$662=AW532,$O$2:$O$662)))))</f>
        <v/>
      </c>
      <c r="BD532" s="3">
        <f>IF(N(AO532)&gt;=MIN_N,"mercado "&amp;AP532,IF(BB532&gt;=MIN_N,"modelo+año+km",IF(BA532&gt;=MIN_N,"modelo+año","modelo")))</f>
        <v/>
      </c>
      <c r="BE532" s="4">
        <f>(BC532-O532)/BC532</f>
        <v/>
      </c>
      <c r="BF532" s="3">
        <f>IF(OR(K532="hibrido",K532="glp"),"ECO",IF(K532="electrico","CERO",IF(K532="gasolina",IF(M532&gt;=GAS_C,"C",IF(M532&gt;=GAS_B,"B","A")),IF(K532="diesel",IF(M532&gt;=DIE_C,"C",IF(M532&gt;=DIE_B,"B","A")),""))))</f>
        <v/>
      </c>
      <c r="BG532" s="3">
        <f>IFERROR(VLOOKUP(F532,MOD_TBL,11,0),IFERROR(VLOOKUP(E532,OCU_TBL,2,0),NEUTRO))</f>
        <v/>
      </c>
      <c r="BH532" s="3">
        <f>SUMIFS(MOT_AJUSTE,MOT_MOTOR,G532,MOT_MARCA,E532,MOT_DESDE,"&lt;="&amp;M532,MOT_HASTA,"&gt;="&amp;M532)+SUMIFS(MOT_AJUSTE,MOT_MOTOR,G532,MOT_MARCA,"(todas)",MOT_DESDE,"&lt;="&amp;M532,MOT_HASTA,"&gt;="&amp;M532)</f>
        <v/>
      </c>
      <c r="BI532" s="3">
        <f>SUMIFS(COMB_AJUSTE,COMB_COMB,K532)</f>
        <v/>
      </c>
      <c r="BJ532" s="3">
        <f>COUNTIFS(MOT_MOTOR,G532,MOT_MARCA,E532,MOT_DESDE,"&lt;="&amp;M532,MOT_HASTA,"&gt;="&amp;M532)+COUNTIFS(MOT_MOTOR,G532,MOT_MARCA,"(todas)",MOT_DESDE,"&lt;="&amp;M532,MOT_HASTA,"&gt;="&amp;M532)</f>
        <v/>
      </c>
      <c r="BK532" s="3">
        <f>IF(AND(K532="diesel",BJ532=0),MIN(BG532,NEUTRO),BG532)</f>
        <v/>
      </c>
      <c r="BL532" s="4">
        <f>MAX(0,MIN(100,BK532+BH532+BI532))</f>
        <v/>
      </c>
      <c r="BM532" s="3">
        <f>MAX(0,MIN(100,50+BE532*PRECIO_PEND))</f>
        <v/>
      </c>
      <c r="BN532" s="3">
        <f>MAX(0,100*(1-N532/KM_MAX))</f>
        <v/>
      </c>
      <c r="BO532" s="3">
        <f>IF(AV532&lt;KMA_SOSP,IF(AA532="sí",100,KMA_PEN),IF(AV532&lt;=KMA_IDEAL_MAX,100,MAX(0,100*(KMA_CERO-AV532)/(KMA_CERO-KMA_IDEAL_MAX))))</f>
        <v/>
      </c>
      <c r="BP532" s="3">
        <f>MAX(0,MIN(100,100*(M532-ANIO_MIN)/(ANIO_ACTUAL-ANIO_MIN)))</f>
        <v/>
      </c>
      <c r="BQ532" s="3">
        <f>W_KMT*BN532+W_KMA*BO532+W_EDAD*BP532</f>
        <v/>
      </c>
      <c r="BR532" s="3">
        <f>P_ITV*(V532="sí")+P_LIBRO*(W532="sí")+P_CORREA*(X532="sí")+P_PROP*(Y532=1)+P_GAR*(Z532="sí")+P_FOTOS*MIN(1,N(U532)/FOTOS_OBJ)</f>
        <v/>
      </c>
      <c r="BS532" s="3">
        <f>IFERROR(VLOOKUP(BF532,ETQ_TBL,2,0),NEUTRO)</f>
        <v/>
      </c>
      <c r="BT532" s="3">
        <f>NEUTRO</f>
        <v/>
      </c>
      <c r="BU532" s="3">
        <f>IFERROR(VLOOKUP(L532,SEGURO_TBL,3,0),"")</f>
        <v/>
      </c>
      <c r="BV532" s="3">
        <f>IF(BU532="",NEUTRO,MAX(0,MIN(100,100*(SEG_REF_MAX-BU532)/(SEG_REF_MAX-SEG_REF_MIN))))</f>
        <v/>
      </c>
      <c r="BW532" s="3">
        <f>W_ET*BS532+W_CONS*BT532+W_SEG*BV532</f>
        <v/>
      </c>
      <c r="BX532" s="3">
        <f>IF(N(AB532)&gt;0,AB532,IF(AND(R532="profesional",SG_LEGAL_ON=1),GAR_LEGAL,0))</f>
        <v/>
      </c>
      <c r="BY532" s="3">
        <f>SG_GAR*MIN(1,BX532/SG_GAR_FULL)+SG_AMPL*(AC532="sí")+SG_KMC*(AF532="sí")+SG_REV*(N(AE532)&gt;0)+SG_DEV*MIN(1,N(AG532)/SG_DEV_FULL)+SG_HIST*(W532="sí")</f>
        <v/>
      </c>
      <c r="BZ532" s="3">
        <f>IFERROR(VLOOKUP(L532,CARR_PEN_TBL,2,0),0)</f>
        <v/>
      </c>
      <c r="CA532" s="3">
        <f>W_FIAB*BL532+W_PRECIO*BM532+W_KMEDAD*BQ532+W_ANUNCIO*BR532+W_USO*BW532+W_SEGURIDAD*BY532-BZ532</f>
        <v/>
      </c>
      <c r="CB532" s="4">
        <f>IF(N(I532)&gt;0,I532,IFERROR(ROUND(_xlfn.NUMBERVALUE(LEFT(G532,FIND(" ",G532&amp;" ")-1),".")*1000,0),99999))</f>
        <v/>
      </c>
      <c r="CC532" s="3">
        <f>IF(R532="profesional",0,IF(O532&lt;CUOTA_VALOR_MAX,IF(AU532&gt;ITP_TRAMO_ALTO,SUMIFS(CF_CUOTA,CF_MAS,ITP_TRAMO_ALTO,CF_CCMIN,"&lt;="&amp;CB532,CF_CCMAX,"&gt;="&amp;CB532),IF(AU532&gt;ITP_TRAMO_BAJO,SUMIFS(CF_CUOTA,CF_MAS,ITP_TRAMO_BAJO,CF_CCMIN,"&lt;="&amp;CB532,CF_CCMAX,"&gt;="&amp;CB532),O532*ITP_TIPO)),O532*ITP_TIPO))</f>
        <v/>
      </c>
      <c r="CD532" s="4">
        <f>IF(R532="profesional",N(AK532),0)</f>
        <v/>
      </c>
      <c r="CE532" s="3">
        <f>IF(AND(R532="profesional",ISNUMBER(AK532),AL532="sí"),0,TASA_DGT)</f>
        <v/>
      </c>
      <c r="CF532" s="3">
        <f>INFORME_DGT</f>
        <v/>
      </c>
      <c r="CG532" s="4">
        <f>O532+CD532+CC532+CE532+CF532</f>
        <v/>
      </c>
      <c r="CH532" s="4">
        <f>CG532+N(BU532)</f>
        <v/>
      </c>
      <c r="CI532" s="3">
        <f>IF(CG532&lt;=TOTAL_MAX,"sí",IF(CG532&lt;=TOTAL_MAX+MARGEN_NEG,"negociar","no"))</f>
        <v/>
      </c>
      <c r="CJ532" s="4">
        <f>IF(CI532&lt;&gt;"no",COUNTIFS($CI$2:$CI$662,"&lt;&gt;no",$CA$2:$CA$662,"&gt;"&amp;CA532)+COUNTIFS($CI$2:CI532,"&lt;&gt;no",$CA$2:CA532,CA532),"")</f>
        <v/>
      </c>
    </row>
    <row r="533">
      <c r="A533" s="2" t="inlineStr">
        <is>
          <t>cochesnet:71793171</t>
        </is>
      </c>
      <c r="B533" s="2" t="inlineStr">
        <is>
          <t>cochesnet</t>
        </is>
      </c>
      <c r="C533" s="2" t="inlineStr">
        <is>
          <t>https://www.coches.net/ford-fusion-14-tdci-ambiente-5p-diesel-2009-en-valencia-71793171-covo.aspx</t>
        </is>
      </c>
      <c r="D533" s="2" t="inlineStr">
        <is>
          <t>FORD Fusion 1.4 TDCI Ambiente</t>
        </is>
      </c>
      <c r="E533" s="2" t="inlineStr">
        <is>
          <t>Ford</t>
        </is>
      </c>
      <c r="F533" s="2" t="inlineStr">
        <is>
          <t>Ford Fusion</t>
        </is>
      </c>
      <c r="G533" s="2" t="inlineStr">
        <is>
          <t>1.4 TDCi</t>
        </is>
      </c>
      <c r="H533" s="2" t="inlineStr">
        <is>
          <t>1.4 TDCI Ambiente</t>
        </is>
      </c>
      <c r="I533" s="2" t="n"/>
      <c r="J533" s="2" t="n"/>
      <c r="K533" s="2" t="inlineStr">
        <is>
          <t>diesel</t>
        </is>
      </c>
      <c r="L533" s="2" t="inlineStr">
        <is>
          <t>monovolumen_pequeno</t>
        </is>
      </c>
      <c r="M533" s="2" t="n">
        <v>2009</v>
      </c>
      <c r="N533" s="2" t="n">
        <v>180000</v>
      </c>
      <c r="O533" s="2" t="n">
        <v>3490</v>
      </c>
      <c r="P533" s="2" t="inlineStr">
        <is>
          <t>manual</t>
        </is>
      </c>
      <c r="Q533" s="2" t="inlineStr">
        <is>
          <t>no</t>
        </is>
      </c>
      <c r="R533" s="2" t="inlineStr">
        <is>
          <t>profesional</t>
        </is>
      </c>
      <c r="S533" s="2" t="inlineStr">
        <is>
          <t>Foios</t>
        </is>
      </c>
      <c r="T533" s="2" t="inlineStr">
        <is>
          <t>2026-10-20T18:21:58Z</t>
        </is>
      </c>
      <c r="U533" s="2" t="n">
        <v>15</v>
      </c>
      <c r="V533" s="2" t="n"/>
      <c r="W533" s="2" t="n"/>
      <c r="X533" s="2" t="n"/>
      <c r="Y533" s="2" t="n"/>
      <c r="Z533" s="2" t="inlineStr">
        <is>
          <t>sí</t>
        </is>
      </c>
      <c r="AA533" s="2" t="n"/>
      <c r="AB533" s="2" t="n">
        <v>12</v>
      </c>
      <c r="AC533" s="2" t="n"/>
      <c r="AD533" s="2" t="n"/>
      <c r="AE533" s="2" t="n"/>
      <c r="AF533" s="2" t="n"/>
      <c r="AG533" s="2" t="n"/>
      <c r="AH533" s="2" t="n">
        <v>3490</v>
      </c>
      <c r="AI533" s="2" t="n">
        <v>3490</v>
      </c>
      <c r="AJ533" s="2" t="n"/>
      <c r="AK533" s="2" t="n"/>
      <c r="AL533" s="2" t="n"/>
      <c r="AM533" s="2" t="n">
        <v>7.7</v>
      </c>
      <c r="AN533" s="2" t="n"/>
      <c r="AO533" s="2" t="n"/>
      <c r="AP533" s="2" t="n"/>
      <c r="AQ533" s="2" t="n"/>
      <c r="AR533" s="2" t="inlineStr">
        <is>
          <t>vendedor profesional: sin ITP (operación con IVA/REBU, confirmar en factura); gastos de gestión del vendedor no indicados: se suma la tasa DGT; preguntar el precio final; diésel: motor sin fuente de fiabilidad (fiabilidad limitada a neutra); carrocería monovolumen_pequeno: -6 puntos; fiabilidad del modelo PENDIENTE de fuente (puntuación neutra)</t>
        </is>
      </c>
      <c r="AS533" s="2" t="inlineStr"/>
      <c r="AT533" s="2" t="inlineStr">
        <is>
          <t>https://www.coches.net/ford-fusion-14-tdci-ambiente-5p-diesel-2009-en-valencia-71793171-covo.aspx (window.__INITIAL_PROPS__.ad) /home/user/Alopecia/buscador-coches/raw/cochesnet/934176b6a50ee69e.json</t>
        </is>
      </c>
      <c r="AU533" s="3">
        <f>MAX(ANIO_ACTUAL-M533,0)</f>
        <v/>
      </c>
      <c r="AV533" s="4">
        <f>N533/MAX(AU533,0.5)</f>
        <v/>
      </c>
      <c r="AW533" s="4">
        <f>F533</f>
        <v/>
      </c>
      <c r="AX533" s="3">
        <f>AW533&amp;"|"&amp;INT(M533/SEG_ANIO)*SEG_ANIO</f>
        <v/>
      </c>
      <c r="AY533" s="3">
        <f>AX533&amp;"|"&amp;INT(N533/SEG_KM)*SEG_KM</f>
        <v/>
      </c>
      <c r="AZ533" s="4">
        <f>COUNTIF($AW$2:$AW$662,AW533)</f>
        <v/>
      </c>
      <c r="BA533" s="4">
        <f>COUNTIF($AX$2:$AX$662,AX533)</f>
        <v/>
      </c>
      <c r="BB533" s="4">
        <f>COUNTIF($AY$2:$AY$662,AY533)</f>
        <v/>
      </c>
      <c r="BC533" s="3">
        <f t="array" ref="BC533">IF(N(AO533)&gt;=MIN_N,AN533,IF(BB533&gt;=MIN_N,MEDIAN(IF($AY$2:$AY$662=AY533,$O$2:$O$662)),IF(BA533&gt;=MIN_N,MEDIAN(IF($AX$2:$AX$662=AX533,$O$2:$O$662)),MEDIAN(IF($AW$2:$AW$662=AW533,$O$2:$O$662)))))</f>
        <v/>
      </c>
      <c r="BD533" s="3">
        <f>IF(N(AO533)&gt;=MIN_N,"mercado "&amp;AP533,IF(BB533&gt;=MIN_N,"modelo+año+km",IF(BA533&gt;=MIN_N,"modelo+año","modelo")))</f>
        <v/>
      </c>
      <c r="BE533" s="4">
        <f>(BC533-O533)/BC533</f>
        <v/>
      </c>
      <c r="BF533" s="3">
        <f>IF(OR(K533="hibrido",K533="glp"),"ECO",IF(K533="electrico","CERO",IF(K533="gasolina",IF(M533&gt;=GAS_C,"C",IF(M533&gt;=GAS_B,"B","A")),IF(K533="diesel",IF(M533&gt;=DIE_C,"C",IF(M533&gt;=DIE_B,"B","A")),""))))</f>
        <v/>
      </c>
      <c r="BG533" s="3">
        <f>IFERROR(VLOOKUP(F533,MOD_TBL,11,0),IFERROR(VLOOKUP(E533,OCU_TBL,2,0),NEUTRO))</f>
        <v/>
      </c>
      <c r="BH533" s="3">
        <f>SUMIFS(MOT_AJUSTE,MOT_MOTOR,G533,MOT_MARCA,E533,MOT_DESDE,"&lt;="&amp;M533,MOT_HASTA,"&gt;="&amp;M533)+SUMIFS(MOT_AJUSTE,MOT_MOTOR,G533,MOT_MARCA,"(todas)",MOT_DESDE,"&lt;="&amp;M533,MOT_HASTA,"&gt;="&amp;M533)</f>
        <v/>
      </c>
      <c r="BI533" s="3">
        <f>SUMIFS(COMB_AJUSTE,COMB_COMB,K533)</f>
        <v/>
      </c>
      <c r="BJ533" s="3">
        <f>COUNTIFS(MOT_MOTOR,G533,MOT_MARCA,E533,MOT_DESDE,"&lt;="&amp;M533,MOT_HASTA,"&gt;="&amp;M533)+COUNTIFS(MOT_MOTOR,G533,MOT_MARCA,"(todas)",MOT_DESDE,"&lt;="&amp;M533,MOT_HASTA,"&gt;="&amp;M533)</f>
        <v/>
      </c>
      <c r="BK533" s="3">
        <f>IF(AND(K533="diesel",BJ533=0),MIN(BG533,NEUTRO),BG533)</f>
        <v/>
      </c>
      <c r="BL533" s="4">
        <f>MAX(0,MIN(100,BK533+BH533+BI533))</f>
        <v/>
      </c>
      <c r="BM533" s="3">
        <f>MAX(0,MIN(100,50+BE533*PRECIO_PEND))</f>
        <v/>
      </c>
      <c r="BN533" s="3">
        <f>MAX(0,100*(1-N533/KM_MAX))</f>
        <v/>
      </c>
      <c r="BO533" s="3">
        <f>IF(AV533&lt;KMA_SOSP,IF(AA533="sí",100,KMA_PEN),IF(AV533&lt;=KMA_IDEAL_MAX,100,MAX(0,100*(KMA_CERO-AV533)/(KMA_CERO-KMA_IDEAL_MAX))))</f>
        <v/>
      </c>
      <c r="BP533" s="3">
        <f>MAX(0,MIN(100,100*(M533-ANIO_MIN)/(ANIO_ACTUAL-ANIO_MIN)))</f>
        <v/>
      </c>
      <c r="BQ533" s="3">
        <f>W_KMT*BN533+W_KMA*BO533+W_EDAD*BP533</f>
        <v/>
      </c>
      <c r="BR533" s="3">
        <f>P_ITV*(V533="sí")+P_LIBRO*(W533="sí")+P_CORREA*(X533="sí")+P_PROP*(Y533=1)+P_GAR*(Z533="sí")+P_FOTOS*MIN(1,N(U533)/FOTOS_OBJ)</f>
        <v/>
      </c>
      <c r="BS533" s="3">
        <f>IFERROR(VLOOKUP(BF533,ETQ_TBL,2,0),NEUTRO)</f>
        <v/>
      </c>
      <c r="BT533" s="3">
        <f>NEUTRO</f>
        <v/>
      </c>
      <c r="BU533" s="3">
        <f>IFERROR(VLOOKUP(L533,SEGURO_TBL,3,0),"")</f>
        <v/>
      </c>
      <c r="BV533" s="3">
        <f>IF(BU533="",NEUTRO,MAX(0,MIN(100,100*(SEG_REF_MAX-BU533)/(SEG_REF_MAX-SEG_REF_MIN))))</f>
        <v/>
      </c>
      <c r="BW533" s="3">
        <f>W_ET*BS533+W_CONS*BT533+W_SEG*BV533</f>
        <v/>
      </c>
      <c r="BX533" s="3">
        <f>IF(N(AB533)&gt;0,AB533,IF(AND(R533="profesional",SG_LEGAL_ON=1),GAR_LEGAL,0))</f>
        <v/>
      </c>
      <c r="BY533" s="3">
        <f>SG_GAR*MIN(1,BX533/SG_GAR_FULL)+SG_AMPL*(AC533="sí")+SG_KMC*(AF533="sí")+SG_REV*(N(AE533)&gt;0)+SG_DEV*MIN(1,N(AG533)/SG_DEV_FULL)+SG_HIST*(W533="sí")</f>
        <v/>
      </c>
      <c r="BZ533" s="3">
        <f>IFERROR(VLOOKUP(L533,CARR_PEN_TBL,2,0),0)</f>
        <v/>
      </c>
      <c r="CA533" s="3">
        <f>W_FIAB*BL533+W_PRECIO*BM533+W_KMEDAD*BQ533+W_ANUNCIO*BR533+W_USO*BW533+W_SEGURIDAD*BY533-BZ533</f>
        <v/>
      </c>
      <c r="CB533" s="4">
        <f>IF(N(I533)&gt;0,I533,IFERROR(ROUND(_xlfn.NUMBERVALUE(LEFT(G533,FIND(" ",G533&amp;" ")-1),".")*1000,0),99999))</f>
        <v/>
      </c>
      <c r="CC533" s="3">
        <f>IF(R533="profesional",0,IF(O533&lt;CUOTA_VALOR_MAX,IF(AU533&gt;ITP_TRAMO_ALTO,SUMIFS(CF_CUOTA,CF_MAS,ITP_TRAMO_ALTO,CF_CCMIN,"&lt;="&amp;CB533,CF_CCMAX,"&gt;="&amp;CB533),IF(AU533&gt;ITP_TRAMO_BAJO,SUMIFS(CF_CUOTA,CF_MAS,ITP_TRAMO_BAJO,CF_CCMIN,"&lt;="&amp;CB533,CF_CCMAX,"&gt;="&amp;CB533),O533*ITP_TIPO)),O533*ITP_TIPO))</f>
        <v/>
      </c>
      <c r="CD533" s="4">
        <f>IF(R533="profesional",N(AK533),0)</f>
        <v/>
      </c>
      <c r="CE533" s="3">
        <f>IF(AND(R533="profesional",ISNUMBER(AK533),AL533="sí"),0,TASA_DGT)</f>
        <v/>
      </c>
      <c r="CF533" s="3">
        <f>INFORME_DGT</f>
        <v/>
      </c>
      <c r="CG533" s="4">
        <f>O533+CD533+CC533+CE533+CF533</f>
        <v/>
      </c>
      <c r="CH533" s="4">
        <f>CG533+N(BU533)</f>
        <v/>
      </c>
      <c r="CI533" s="3">
        <f>IF(CG533&lt;=TOTAL_MAX,"sí",IF(CG533&lt;=TOTAL_MAX+MARGEN_NEG,"negociar","no"))</f>
        <v/>
      </c>
      <c r="CJ533" s="4">
        <f>IF(CI533&lt;&gt;"no",COUNTIFS($CI$2:$CI$662,"&lt;&gt;no",$CA$2:$CA$662,"&gt;"&amp;CA533)+COUNTIFS($CI$2:CI533,"&lt;&gt;no",$CA$2:CA533,CA533),"")</f>
        <v/>
      </c>
    </row>
    <row r="534">
      <c r="A534" s="2" t="inlineStr">
        <is>
          <t>cochesnet:71552780</t>
        </is>
      </c>
      <c r="B534" s="2" t="inlineStr">
        <is>
          <t>cochesnet</t>
        </is>
      </c>
      <c r="C534" s="2" t="inlineStr">
        <is>
          <t>https://www.coches.net/ford-fusion-14-tdci-ambiente-5p-diesel-2007-en-valencia-71552780-covo.aspx</t>
        </is>
      </c>
      <c r="D534" s="2" t="inlineStr">
        <is>
          <t>FORD Fusion 1.4 TDCI Ambiente</t>
        </is>
      </c>
      <c r="E534" s="2" t="inlineStr">
        <is>
          <t>Ford</t>
        </is>
      </c>
      <c r="F534" s="2" t="inlineStr">
        <is>
          <t>Ford Fusion</t>
        </is>
      </c>
      <c r="G534" s="2" t="inlineStr">
        <is>
          <t>1.4 TDCi</t>
        </is>
      </c>
      <c r="H534" s="2" t="inlineStr">
        <is>
          <t>1.4 TDCI Ambiente</t>
        </is>
      </c>
      <c r="I534" s="2" t="n"/>
      <c r="J534" s="2" t="n"/>
      <c r="K534" s="2" t="inlineStr">
        <is>
          <t>diesel</t>
        </is>
      </c>
      <c r="L534" s="2" t="inlineStr">
        <is>
          <t>monovolumen_pequeno</t>
        </is>
      </c>
      <c r="M534" s="2" t="n">
        <v>2007</v>
      </c>
      <c r="N534" s="2" t="n">
        <v>161000</v>
      </c>
      <c r="O534" s="2" t="n">
        <v>2500</v>
      </c>
      <c r="P534" s="2" t="inlineStr">
        <is>
          <t>manual</t>
        </is>
      </c>
      <c r="Q534" s="2" t="inlineStr">
        <is>
          <t>no</t>
        </is>
      </c>
      <c r="R534" s="2" t="inlineStr">
        <is>
          <t>particular</t>
        </is>
      </c>
      <c r="S534" s="2" t="inlineStr">
        <is>
          <t>Torrent</t>
        </is>
      </c>
      <c r="T534" s="2" t="inlineStr">
        <is>
          <t>2026-09-19T18:28:29Z</t>
        </is>
      </c>
      <c r="U534" s="2" t="n">
        <v>5</v>
      </c>
      <c r="V534" s="2" t="inlineStr">
        <is>
          <t>sí</t>
        </is>
      </c>
      <c r="W534" s="2" t="n"/>
      <c r="X534" s="2" t="n"/>
      <c r="Y534" s="2" t="n"/>
      <c r="Z534" s="2" t="inlineStr">
        <is>
          <t>no</t>
        </is>
      </c>
      <c r="AA534" s="2" t="n"/>
      <c r="AB534" s="2" t="n"/>
      <c r="AC534" s="2" t="n"/>
      <c r="AD534" s="2" t="n"/>
      <c r="AE534" s="2" t="n"/>
      <c r="AF534" s="2" t="n"/>
      <c r="AG534" s="2" t="n"/>
      <c r="AH534" s="2" t="n">
        <v>2500</v>
      </c>
      <c r="AI534" s="2" t="n"/>
      <c r="AJ534" s="2" t="n"/>
      <c r="AK534" s="2" t="n"/>
      <c r="AL534" s="2" t="n"/>
      <c r="AM534" s="2" t="n">
        <v>8.800000000000001</v>
      </c>
      <c r="AN534" s="2" t="n"/>
      <c r="AO534" s="2" t="n"/>
      <c r="AP534" s="2" t="n"/>
      <c r="AQ534" s="2" t="n"/>
      <c r="AR534" s="2" t="inlineStr">
        <is>
          <t>cuota fija ITP: &gt;12 años, hasta 1.500 cc; carrocería monovolumen_pequeno: -6 puntos; fiabilidad del modelo PENDIENTE de fuente (puntuación neutra)</t>
        </is>
      </c>
      <c r="AS534" s="2" t="inlineStr">
        <is>
          <t xml:space="preserve">Funciona perfectamente, ITV hasta el 2027, correa de distribución y embrague hace 15000km, batería hace menos de un año, se puede probar, contactar vía WhatsApp. </t>
        </is>
      </c>
      <c r="AT534" s="2" t="inlineStr">
        <is>
          <t>https://www.coches.net/ford-fusion-14-tdci-ambiente-5p-diesel-2007-en-valencia-71552780-covo.aspx (window.__INITIAL_PROPS__.ad) /home/user/Alopecia/buscador-coches/raw/cochesnet/56c6d39804ad49ef.json</t>
        </is>
      </c>
      <c r="AU534" s="3">
        <f>MAX(ANIO_ACTUAL-M534,0)</f>
        <v/>
      </c>
      <c r="AV534" s="4">
        <f>N534/MAX(AU534,0.5)</f>
        <v/>
      </c>
      <c r="AW534" s="4">
        <f>F534</f>
        <v/>
      </c>
      <c r="AX534" s="3">
        <f>AW534&amp;"|"&amp;INT(M534/SEG_ANIO)*SEG_ANIO</f>
        <v/>
      </c>
      <c r="AY534" s="3">
        <f>AX534&amp;"|"&amp;INT(N534/SEG_KM)*SEG_KM</f>
        <v/>
      </c>
      <c r="AZ534" s="4">
        <f>COUNTIF($AW$2:$AW$662,AW534)</f>
        <v/>
      </c>
      <c r="BA534" s="4">
        <f>COUNTIF($AX$2:$AX$662,AX534)</f>
        <v/>
      </c>
      <c r="BB534" s="4">
        <f>COUNTIF($AY$2:$AY$662,AY534)</f>
        <v/>
      </c>
      <c r="BC534" s="3">
        <f t="array" ref="BC534">IF(N(AO534)&gt;=MIN_N,AN534,IF(BB534&gt;=MIN_N,MEDIAN(IF($AY$2:$AY$662=AY534,$O$2:$O$662)),IF(BA534&gt;=MIN_N,MEDIAN(IF($AX$2:$AX$662=AX534,$O$2:$O$662)),MEDIAN(IF($AW$2:$AW$662=AW534,$O$2:$O$662)))))</f>
        <v/>
      </c>
      <c r="BD534" s="3">
        <f>IF(N(AO534)&gt;=MIN_N,"mercado "&amp;AP534,IF(BB534&gt;=MIN_N,"modelo+año+km",IF(BA534&gt;=MIN_N,"modelo+año","modelo")))</f>
        <v/>
      </c>
      <c r="BE534" s="4">
        <f>(BC534-O534)/BC534</f>
        <v/>
      </c>
      <c r="BF534" s="3">
        <f>IF(OR(K534="hibrido",K534="glp"),"ECO",IF(K534="electrico","CERO",IF(K534="gasolina",IF(M534&gt;=GAS_C,"C",IF(M534&gt;=GAS_B,"B","A")),IF(K534="diesel",IF(M534&gt;=DIE_C,"C",IF(M534&gt;=DIE_B,"B","A")),""))))</f>
        <v/>
      </c>
      <c r="BG534" s="3">
        <f>IFERROR(VLOOKUP(F534,MOD_TBL,11,0),IFERROR(VLOOKUP(E534,OCU_TBL,2,0),NEUTRO))</f>
        <v/>
      </c>
      <c r="BH534" s="3">
        <f>SUMIFS(MOT_AJUSTE,MOT_MOTOR,G534,MOT_MARCA,E534,MOT_DESDE,"&lt;="&amp;M534,MOT_HASTA,"&gt;="&amp;M534)+SUMIFS(MOT_AJUSTE,MOT_MOTOR,G534,MOT_MARCA,"(todas)",MOT_DESDE,"&lt;="&amp;M534,MOT_HASTA,"&gt;="&amp;M534)</f>
        <v/>
      </c>
      <c r="BI534" s="3">
        <f>SUMIFS(COMB_AJUSTE,COMB_COMB,K534)</f>
        <v/>
      </c>
      <c r="BJ534" s="3">
        <f>COUNTIFS(MOT_MOTOR,G534,MOT_MARCA,E534,MOT_DESDE,"&lt;="&amp;M534,MOT_HASTA,"&gt;="&amp;M534)+COUNTIFS(MOT_MOTOR,G534,MOT_MARCA,"(todas)",MOT_DESDE,"&lt;="&amp;M534,MOT_HASTA,"&gt;="&amp;M534)</f>
        <v/>
      </c>
      <c r="BK534" s="3">
        <f>IF(AND(K534="diesel",BJ534=0),MIN(BG534,NEUTRO),BG534)</f>
        <v/>
      </c>
      <c r="BL534" s="4">
        <f>MAX(0,MIN(100,BK534+BH534+BI534))</f>
        <v/>
      </c>
      <c r="BM534" s="3">
        <f>MAX(0,MIN(100,50+BE534*PRECIO_PEND))</f>
        <v/>
      </c>
      <c r="BN534" s="3">
        <f>MAX(0,100*(1-N534/KM_MAX))</f>
        <v/>
      </c>
      <c r="BO534" s="3">
        <f>IF(AV534&lt;KMA_SOSP,IF(AA534="sí",100,KMA_PEN),IF(AV534&lt;=KMA_IDEAL_MAX,100,MAX(0,100*(KMA_CERO-AV534)/(KMA_CERO-KMA_IDEAL_MAX))))</f>
        <v/>
      </c>
      <c r="BP534" s="3">
        <f>MAX(0,MIN(100,100*(M534-ANIO_MIN)/(ANIO_ACTUAL-ANIO_MIN)))</f>
        <v/>
      </c>
      <c r="BQ534" s="3">
        <f>W_KMT*BN534+W_KMA*BO534+W_EDAD*BP534</f>
        <v/>
      </c>
      <c r="BR534" s="3">
        <f>P_ITV*(V534="sí")+P_LIBRO*(W534="sí")+P_CORREA*(X534="sí")+P_PROP*(Y534=1)+P_GAR*(Z534="sí")+P_FOTOS*MIN(1,N(U534)/FOTOS_OBJ)</f>
        <v/>
      </c>
      <c r="BS534" s="3">
        <f>IFERROR(VLOOKUP(BF534,ETQ_TBL,2,0),NEUTRO)</f>
        <v/>
      </c>
      <c r="BT534" s="3">
        <f>NEUTRO</f>
        <v/>
      </c>
      <c r="BU534" s="3">
        <f>IFERROR(VLOOKUP(L534,SEGURO_TBL,3,0),"")</f>
        <v/>
      </c>
      <c r="BV534" s="3">
        <f>IF(BU534="",NEUTRO,MAX(0,MIN(100,100*(SEG_REF_MAX-BU534)/(SEG_REF_MAX-SEG_REF_MIN))))</f>
        <v/>
      </c>
      <c r="BW534" s="3">
        <f>W_ET*BS534+W_CONS*BT534+W_SEG*BV534</f>
        <v/>
      </c>
      <c r="BX534" s="3">
        <f>IF(N(AB534)&gt;0,AB534,IF(AND(R534="profesional",SG_LEGAL_ON=1),GAR_LEGAL,0))</f>
        <v/>
      </c>
      <c r="BY534" s="3">
        <f>SG_GAR*MIN(1,BX534/SG_GAR_FULL)+SG_AMPL*(AC534="sí")+SG_KMC*(AF534="sí")+SG_REV*(N(AE534)&gt;0)+SG_DEV*MIN(1,N(AG534)/SG_DEV_FULL)+SG_HIST*(W534="sí")</f>
        <v/>
      </c>
      <c r="BZ534" s="3">
        <f>IFERROR(VLOOKUP(L534,CARR_PEN_TBL,2,0),0)</f>
        <v/>
      </c>
      <c r="CA534" s="3">
        <f>W_FIAB*BL534+W_PRECIO*BM534+W_KMEDAD*BQ534+W_ANUNCIO*BR534+W_USO*BW534+W_SEGURIDAD*BY534-BZ534</f>
        <v/>
      </c>
      <c r="CB534" s="4">
        <f>IF(N(I534)&gt;0,I534,IFERROR(ROUND(_xlfn.NUMBERVALUE(LEFT(G534,FIND(" ",G534&amp;" ")-1),".")*1000,0),99999))</f>
        <v/>
      </c>
      <c r="CC534" s="3">
        <f>IF(R534="profesional",0,IF(O534&lt;CUOTA_VALOR_MAX,IF(AU534&gt;ITP_TRAMO_ALTO,SUMIFS(CF_CUOTA,CF_MAS,ITP_TRAMO_ALTO,CF_CCMIN,"&lt;="&amp;CB534,CF_CCMAX,"&gt;="&amp;CB534),IF(AU534&gt;ITP_TRAMO_BAJO,SUMIFS(CF_CUOTA,CF_MAS,ITP_TRAMO_BAJO,CF_CCMIN,"&lt;="&amp;CB534,CF_CCMAX,"&gt;="&amp;CB534),O534*ITP_TIPO)),O534*ITP_TIPO))</f>
        <v/>
      </c>
      <c r="CD534" s="4">
        <f>IF(R534="profesional",N(AK534),0)</f>
        <v/>
      </c>
      <c r="CE534" s="3">
        <f>IF(AND(R534="profesional",ISNUMBER(AK534),AL534="sí"),0,TASA_DGT)</f>
        <v/>
      </c>
      <c r="CF534" s="3">
        <f>INFORME_DGT</f>
        <v/>
      </c>
      <c r="CG534" s="4">
        <f>O534+CD534+CC534+CE534+CF534</f>
        <v/>
      </c>
      <c r="CH534" s="4">
        <f>CG534+N(BU534)</f>
        <v/>
      </c>
      <c r="CI534" s="3">
        <f>IF(CG534&lt;=TOTAL_MAX,"sí",IF(CG534&lt;=TOTAL_MAX+MARGEN_NEG,"negociar","no"))</f>
        <v/>
      </c>
      <c r="CJ534" s="4">
        <f>IF(CI534&lt;&gt;"no",COUNTIFS($CI$2:$CI$662,"&lt;&gt;no",$CA$2:$CA$662,"&gt;"&amp;CA534)+COUNTIFS($CI$2:CI534,"&lt;&gt;no",$CA$2:CA534,CA534),"")</f>
        <v/>
      </c>
    </row>
    <row r="535">
      <c r="A535" s="2" t="inlineStr">
        <is>
          <t>cochesnet:71844694</t>
        </is>
      </c>
      <c r="B535" s="2" t="inlineStr">
        <is>
          <t>cochesnet</t>
        </is>
      </c>
      <c r="C535" s="2" t="inlineStr">
        <is>
          <t>https://www.coches.net/fiat-500-13-16v-multijet-75-cv-sport-3p-diesel-2007-en-valencia-71844694-covo.aspx</t>
        </is>
      </c>
      <c r="D535" s="2" t="inlineStr">
        <is>
          <t>FIAT 500 1.3 16v Multijet 75 CV Sport</t>
        </is>
      </c>
      <c r="E535" s="2" t="inlineStr">
        <is>
          <t>Fiat</t>
        </is>
      </c>
      <c r="F535" s="2" t="inlineStr">
        <is>
          <t>Fiat 500</t>
        </is>
      </c>
      <c r="G535" s="2" t="inlineStr">
        <is>
          <t>1.3 Multijet</t>
        </is>
      </c>
      <c r="H535" s="2" t="inlineStr">
        <is>
          <t>1.3 16v Multijet 75 CV Sport</t>
        </is>
      </c>
      <c r="I535" s="2" t="n"/>
      <c r="J535" s="2" t="n">
        <v>75</v>
      </c>
      <c r="K535" s="2" t="inlineStr">
        <is>
          <t>diesel</t>
        </is>
      </c>
      <c r="L535" s="2" t="inlineStr">
        <is>
          <t>utilitario</t>
        </is>
      </c>
      <c r="M535" s="2" t="n">
        <v>2009</v>
      </c>
      <c r="N535" s="2" t="n">
        <v>148647</v>
      </c>
      <c r="O535" s="2" t="n">
        <v>4990</v>
      </c>
      <c r="P535" s="2" t="inlineStr">
        <is>
          <t>manual</t>
        </is>
      </c>
      <c r="Q535" s="2" t="inlineStr">
        <is>
          <t>no</t>
        </is>
      </c>
      <c r="R535" s="2" t="inlineStr">
        <is>
          <t>profesional</t>
        </is>
      </c>
      <c r="S535" s="2" t="inlineStr">
        <is>
          <t>Volren Motor Xàtiva</t>
        </is>
      </c>
      <c r="T535" s="2" t="inlineStr">
        <is>
          <t>2026-10-27T14:52:48Z</t>
        </is>
      </c>
      <c r="U535" s="2" t="n">
        <v>10</v>
      </c>
      <c r="V535" s="2" t="n"/>
      <c r="W535" s="2" t="inlineStr">
        <is>
          <t>sí</t>
        </is>
      </c>
      <c r="X535" s="2" t="n"/>
      <c r="Y535" s="2" t="n">
        <v>1</v>
      </c>
      <c r="Z535" s="2" t="inlineStr">
        <is>
          <t>sí</t>
        </is>
      </c>
      <c r="AA535" s="2" t="n"/>
      <c r="AB535" s="2" t="n">
        <v>12</v>
      </c>
      <c r="AC535" s="2" t="n"/>
      <c r="AD535" s="2" t="n"/>
      <c r="AE535" s="2" t="n"/>
      <c r="AF535" s="2" t="inlineStr">
        <is>
          <t>sí</t>
        </is>
      </c>
      <c r="AG535" s="2" t="n"/>
      <c r="AH535" s="2" t="n">
        <v>4990</v>
      </c>
      <c r="AI535" s="2" t="n"/>
      <c r="AJ535" s="2" t="n"/>
      <c r="AK535" s="2" t="n"/>
      <c r="AL535" s="2" t="n"/>
      <c r="AM535" s="2" t="n">
        <v>55.4</v>
      </c>
      <c r="AN535" s="2" t="n">
        <v>5300</v>
      </c>
      <c r="AO535" s="2" t="n">
        <v>4</v>
      </c>
      <c r="AP535" s="2" t="inlineStr">
        <is>
          <t>modelo+año+km</t>
        </is>
      </c>
      <c r="AQ535" s="2" t="n"/>
      <c r="AR535" s="2" t="inlineStr">
        <is>
          <t>por encima del presupuesto (5054 €), negociar; vendedor profesional: sin ITP (operación con IVA/REBU, confirmar en factura); gastos de gestión del vendedor no indicados: se suma la tasa DGT; preguntar el precio final</t>
        </is>
      </c>
      <c r="AS535" s="2" t="inlineStr">
        <is>
          <t>VOLREN MOTOR
*Concesionario Vehículos Ocasión multimarca.
*C/ Gabriel Miró 3 (Atendemos SIEMPRE con cita previa)
*Lunes a Viernes 9h a 14h y 16h a 20h*
*Sábados 10h a 14h tarde y domingos atendemos con cita previa*
DESTACADO:
-Vehículo nacional, procedente de único propietario.
-Con tan solo 148.000 kilómetros certificados.
-Etiqueta Medioambiental tipo B.
-Volante multifunción con comandos para la radio.
-Bluetooth para el móvil.
-Entrada USD y Aux.
-Asientos con sistema de seguridad Isofix.
-1 año de Garantía incluido en precio con opción de ampliación a Premium.
*Se entrega con ITV y mantenimiento al día, listo para circular.*
Este anuncio puede contener algún error tipográfico o de transcripción.
Para más información contacten sin compromiso.</t>
        </is>
      </c>
      <c r="AT535" s="2" t="inlineStr">
        <is>
          <t>https://www.coches.net/fiat-500-13-16v-multijet-75-cv-sport-3p-diesel-2007-en-valencia-71844694-covo.aspx (window.__INITIAL_PROPS__.ad) /home/user/Alopecia/buscador-coches/raw/cochesnet/86f0863f11a1977c.json</t>
        </is>
      </c>
      <c r="AU535" s="3">
        <f>MAX(ANIO_ACTUAL-M535,0)</f>
        <v/>
      </c>
      <c r="AV535" s="4">
        <f>N535/MAX(AU535,0.5)</f>
        <v/>
      </c>
      <c r="AW535" s="4">
        <f>F535</f>
        <v/>
      </c>
      <c r="AX535" s="3">
        <f>AW535&amp;"|"&amp;INT(M535/SEG_ANIO)*SEG_ANIO</f>
        <v/>
      </c>
      <c r="AY535" s="3">
        <f>AX535&amp;"|"&amp;INT(N535/SEG_KM)*SEG_KM</f>
        <v/>
      </c>
      <c r="AZ535" s="4">
        <f>COUNTIF($AW$2:$AW$662,AW535)</f>
        <v/>
      </c>
      <c r="BA535" s="4">
        <f>COUNTIF($AX$2:$AX$662,AX535)</f>
        <v/>
      </c>
      <c r="BB535" s="4">
        <f>COUNTIF($AY$2:$AY$662,AY535)</f>
        <v/>
      </c>
      <c r="BC535" s="3">
        <f t="array" ref="BC535">IF(N(AO535)&gt;=MIN_N,AN535,IF(BB535&gt;=MIN_N,MEDIAN(IF($AY$2:$AY$662=AY535,$O$2:$O$662)),IF(BA535&gt;=MIN_N,MEDIAN(IF($AX$2:$AX$662=AX535,$O$2:$O$662)),MEDIAN(IF($AW$2:$AW$662=AW535,$O$2:$O$662)))))</f>
        <v/>
      </c>
      <c r="BD535" s="3">
        <f>IF(N(AO535)&gt;=MIN_N,"mercado "&amp;AP535,IF(BB535&gt;=MIN_N,"modelo+año+km",IF(BA535&gt;=MIN_N,"modelo+año","modelo")))</f>
        <v/>
      </c>
      <c r="BE535" s="4">
        <f>(BC535-O535)/BC535</f>
        <v/>
      </c>
      <c r="BF535" s="3">
        <f>IF(OR(K535="hibrido",K535="glp"),"ECO",IF(K535="electrico","CERO",IF(K535="gasolina",IF(M535&gt;=GAS_C,"C",IF(M535&gt;=GAS_B,"B","A")),IF(K535="diesel",IF(M535&gt;=DIE_C,"C",IF(M535&gt;=DIE_B,"B","A")),""))))</f>
        <v/>
      </c>
      <c r="BG535" s="3">
        <f>IFERROR(VLOOKUP(F535,MOD_TBL,11,0),IFERROR(VLOOKUP(E535,OCU_TBL,2,0),NEUTRO))</f>
        <v/>
      </c>
      <c r="BH535" s="3">
        <f>SUMIFS(MOT_AJUSTE,MOT_MOTOR,G535,MOT_MARCA,E535,MOT_DESDE,"&lt;="&amp;M535,MOT_HASTA,"&gt;="&amp;M535)+SUMIFS(MOT_AJUSTE,MOT_MOTOR,G535,MOT_MARCA,"(todas)",MOT_DESDE,"&lt;="&amp;M535,MOT_HASTA,"&gt;="&amp;M535)</f>
        <v/>
      </c>
      <c r="BI535" s="3">
        <f>SUMIFS(COMB_AJUSTE,COMB_COMB,K535)</f>
        <v/>
      </c>
      <c r="BJ535" s="3">
        <f>COUNTIFS(MOT_MOTOR,G535,MOT_MARCA,E535,MOT_DESDE,"&lt;="&amp;M535,MOT_HASTA,"&gt;="&amp;M535)+COUNTIFS(MOT_MOTOR,G535,MOT_MARCA,"(todas)",MOT_DESDE,"&lt;="&amp;M535,MOT_HASTA,"&gt;="&amp;M535)</f>
        <v/>
      </c>
      <c r="BK535" s="3">
        <f>IF(AND(K535="diesel",BJ535=0),MIN(BG535,NEUTRO),BG535)</f>
        <v/>
      </c>
      <c r="BL535" s="4">
        <f>MAX(0,MIN(100,BK535+BH535+BI535))</f>
        <v/>
      </c>
      <c r="BM535" s="3">
        <f>MAX(0,MIN(100,50+BE535*PRECIO_PEND))</f>
        <v/>
      </c>
      <c r="BN535" s="3">
        <f>MAX(0,100*(1-N535/KM_MAX))</f>
        <v/>
      </c>
      <c r="BO535" s="3">
        <f>IF(AV535&lt;KMA_SOSP,IF(AA535="sí",100,KMA_PEN),IF(AV535&lt;=KMA_IDEAL_MAX,100,MAX(0,100*(KMA_CERO-AV535)/(KMA_CERO-KMA_IDEAL_MAX))))</f>
        <v/>
      </c>
      <c r="BP535" s="3">
        <f>MAX(0,MIN(100,100*(M535-ANIO_MIN)/(ANIO_ACTUAL-ANIO_MIN)))</f>
        <v/>
      </c>
      <c r="BQ535" s="3">
        <f>W_KMT*BN535+W_KMA*BO535+W_EDAD*BP535</f>
        <v/>
      </c>
      <c r="BR535" s="3">
        <f>P_ITV*(V535="sí")+P_LIBRO*(W535="sí")+P_CORREA*(X535="sí")+P_PROP*(Y535=1)+P_GAR*(Z535="sí")+P_FOTOS*MIN(1,N(U535)/FOTOS_OBJ)</f>
        <v/>
      </c>
      <c r="BS535" s="3">
        <f>IFERROR(VLOOKUP(BF535,ETQ_TBL,2,0),NEUTRO)</f>
        <v/>
      </c>
      <c r="BT535" s="3">
        <f>NEUTRO</f>
        <v/>
      </c>
      <c r="BU535" s="3">
        <f>IFERROR(VLOOKUP(L535,SEGURO_TBL,3,0),"")</f>
        <v/>
      </c>
      <c r="BV535" s="3">
        <f>IF(BU535="",NEUTRO,MAX(0,MIN(100,100*(SEG_REF_MAX-BU535)/(SEG_REF_MAX-SEG_REF_MIN))))</f>
        <v/>
      </c>
      <c r="BW535" s="3">
        <f>W_ET*BS535+W_CONS*BT535+W_SEG*BV535</f>
        <v/>
      </c>
      <c r="BX535" s="3">
        <f>IF(N(AB535)&gt;0,AB535,IF(AND(R535="profesional",SG_LEGAL_ON=1),GAR_LEGAL,0))</f>
        <v/>
      </c>
      <c r="BY535" s="3">
        <f>SG_GAR*MIN(1,BX535/SG_GAR_FULL)+SG_AMPL*(AC535="sí")+SG_KMC*(AF535="sí")+SG_REV*(N(AE535)&gt;0)+SG_DEV*MIN(1,N(AG535)/SG_DEV_FULL)+SG_HIST*(W535="sí")</f>
        <v/>
      </c>
      <c r="BZ535" s="3">
        <f>IFERROR(VLOOKUP(L535,CARR_PEN_TBL,2,0),0)</f>
        <v/>
      </c>
      <c r="CA535" s="3">
        <f>W_FIAB*BL535+W_PRECIO*BM535+W_KMEDAD*BQ535+W_ANUNCIO*BR535+W_USO*BW535+W_SEGURIDAD*BY535-BZ535</f>
        <v/>
      </c>
      <c r="CB535" s="4">
        <f>IF(N(I535)&gt;0,I535,IFERROR(ROUND(_xlfn.NUMBERVALUE(LEFT(G535,FIND(" ",G535&amp;" ")-1),".")*1000,0),99999))</f>
        <v/>
      </c>
      <c r="CC535" s="3">
        <f>IF(R535="profesional",0,IF(O535&lt;CUOTA_VALOR_MAX,IF(AU535&gt;ITP_TRAMO_ALTO,SUMIFS(CF_CUOTA,CF_MAS,ITP_TRAMO_ALTO,CF_CCMIN,"&lt;="&amp;CB535,CF_CCMAX,"&gt;="&amp;CB535),IF(AU535&gt;ITP_TRAMO_BAJO,SUMIFS(CF_CUOTA,CF_MAS,ITP_TRAMO_BAJO,CF_CCMIN,"&lt;="&amp;CB535,CF_CCMAX,"&gt;="&amp;CB535),O535*ITP_TIPO)),O535*ITP_TIPO))</f>
        <v/>
      </c>
      <c r="CD535" s="4">
        <f>IF(R535="profesional",N(AK535),0)</f>
        <v/>
      </c>
      <c r="CE535" s="3">
        <f>IF(AND(R535="profesional",ISNUMBER(AK535),AL535="sí"),0,TASA_DGT)</f>
        <v/>
      </c>
      <c r="CF535" s="3">
        <f>INFORME_DGT</f>
        <v/>
      </c>
      <c r="CG535" s="4">
        <f>O535+CD535+CC535+CE535+CF535</f>
        <v/>
      </c>
      <c r="CH535" s="4">
        <f>CG535+N(BU535)</f>
        <v/>
      </c>
      <c r="CI535" s="3">
        <f>IF(CG535&lt;=TOTAL_MAX,"sí",IF(CG535&lt;=TOTAL_MAX+MARGEN_NEG,"negociar","no"))</f>
        <v/>
      </c>
      <c r="CJ535" s="4">
        <f>IF(CI535&lt;&gt;"no",COUNTIFS($CI$2:$CI$662,"&lt;&gt;no",$CA$2:$CA$662,"&gt;"&amp;CA535)+COUNTIFS($CI$2:CI535,"&lt;&gt;no",$CA$2:CA535,CA535),"")</f>
        <v/>
      </c>
    </row>
    <row r="536">
      <c r="A536" s="2" t="inlineStr">
        <is>
          <t>cochesnet:70514152</t>
        </is>
      </c>
      <c r="B536" s="2" t="inlineStr">
        <is>
          <t>cochesnet</t>
        </is>
      </c>
      <c r="C536" s="2" t="inlineStr">
        <is>
          <t>https://www.coches.net/fiat-linea-14-16v-tjet-120cv-dynamic-4p-gasolina-2007-en-valencia-70514152-covo.aspx</t>
        </is>
      </c>
      <c r="D536" s="2" t="inlineStr">
        <is>
          <t>FIAT Linea 1.4 16v TJet Dynamic</t>
        </is>
      </c>
      <c r="E536" s="2" t="inlineStr">
        <is>
          <t>Fiat</t>
        </is>
      </c>
      <c r="F536" s="2" t="inlineStr">
        <is>
          <t>Fiat Linea</t>
        </is>
      </c>
      <c r="G536" s="2" t="inlineStr">
        <is>
          <t>1.4 T-Jet</t>
        </is>
      </c>
      <c r="H536" s="2" t="inlineStr">
        <is>
          <t>1.4 16v TJet 120cv Dynamic</t>
        </is>
      </c>
      <c r="I536" s="2" t="n"/>
      <c r="J536" s="2" t="n">
        <v>120</v>
      </c>
      <c r="K536" s="2" t="inlineStr">
        <is>
          <t>gasolina</t>
        </is>
      </c>
      <c r="L536" s="2" t="inlineStr">
        <is>
          <t>berlina</t>
        </is>
      </c>
      <c r="M536" s="2" t="n">
        <v>2009</v>
      </c>
      <c r="N536" s="2" t="n">
        <v>156000</v>
      </c>
      <c r="O536" s="2" t="n">
        <v>3300</v>
      </c>
      <c r="P536" s="2" t="inlineStr">
        <is>
          <t>manual</t>
        </is>
      </c>
      <c r="Q536" s="2" t="inlineStr">
        <is>
          <t>no</t>
        </is>
      </c>
      <c r="R536" s="2" t="inlineStr">
        <is>
          <t>profesional</t>
        </is>
      </c>
      <c r="S536" s="2" t="inlineStr">
        <is>
          <t>Automoción Valencia Albal</t>
        </is>
      </c>
      <c r="T536" s="2" t="inlineStr">
        <is>
          <t>2026-10-23T20:29:41Z</t>
        </is>
      </c>
      <c r="U536" s="2" t="n">
        <v>10</v>
      </c>
      <c r="V536" s="2" t="n"/>
      <c r="W536" s="2" t="n"/>
      <c r="X536" s="2" t="n"/>
      <c r="Y536" s="2" t="n"/>
      <c r="Z536" s="2" t="inlineStr">
        <is>
          <t>no</t>
        </is>
      </c>
      <c r="AA536" s="2" t="n"/>
      <c r="AB536" s="2" t="n"/>
      <c r="AC536" s="2" t="n"/>
      <c r="AD536" s="2" t="n"/>
      <c r="AE536" s="2" t="n"/>
      <c r="AF536" s="2" t="n"/>
      <c r="AG536" s="2" t="n"/>
      <c r="AH536" s="2" t="n">
        <v>3300</v>
      </c>
      <c r="AI536" s="2" t="n">
        <v>3300</v>
      </c>
      <c r="AJ536" s="2" t="n"/>
      <c r="AK536" s="2" t="n"/>
      <c r="AL536" s="2" t="n"/>
      <c r="AM536" s="2" t="n">
        <v>8.699999999999999</v>
      </c>
      <c r="AN536" s="2" t="n"/>
      <c r="AO536" s="2" t="n"/>
      <c r="AP536" s="2" t="n"/>
      <c r="AQ536" s="2" t="n"/>
      <c r="AR536" s="2" t="inlineStr">
        <is>
          <t>vendedor profesional: sin ITP (operación con IVA/REBU, confirmar en factura); gastos de gestión del vendedor no indicados: se suma la tasa DGT; preguntar el precio final; carrocería berlina: -4 puntos; fiabilidad del modelo PENDIENTE de fuente (puntuación neutra); mediana con solo 1 anuncio(s)</t>
        </is>
      </c>
      <c r="AS536" s="2" t="inlineStr">
        <is>
          <t>Fiat Lìnea Dynamic combina practicidad y confort en un sedán compacto de dimensiones contenidas, ideal para la conducción urbana y desplazamientos diarios. El habitáculo ofrece espacio suficiente para cinco ocupantes con maletero de 500 litros, ampliable a 870 litros con los asientos traseros abatidos, lo que facilita tanto viajes familiares como traslados puntuales de carga.
El motor de 1.4 litros proporciona una respuesta ágil en ciudad gracias a su par disponible desde bajas revoluciones, mientras que el consumo moderado (6,7 l/100km en ciclo mixto) lo hace económico en uso. La transmisión manual de cinco velocidades permite un control directo de la conducción. Equipado con la etiqueta ambiental C, este vehículo accede sin restricciones a las zonas de bajas emisiones en ciudades con regulación de tráfico.
En cuanto a seguridad, este dispone de sistema ABS en las cuatro ruedas, airbags múltiples (frontales, laterales y cortina), cinturones con pretensores en los asientos delanteros y preparación Isofix para sistemas de retención infantil. La dirección asistida con endurecimiento progresivo facilita las maniobras sin sacrificar la estabilidad a velocidad de crucero.
El equipamiento de confort incluye climatizador automático, elevalunas eléctricos delanteros, volante regulable en altura y profundidad, y sistema de ventilación con filtro de partículas. Este ejemplar incorpora además asientos delanteros calefactados, cortinas parasol, volante y pomo en piel, y pintura metali</t>
        </is>
      </c>
      <c r="AT536" s="2" t="inlineStr">
        <is>
          <t>https://www.coches.net/fiat-linea-14-16v-tjet-120cv-dynamic-4p-gasolina-2007-en-valencia-70514152-covo.aspx (window.__INITIAL_PROPS__.ad) /home/user/Alopecia/buscador-coches/raw/cochesnet/306a1c8397fb75cd.json</t>
        </is>
      </c>
      <c r="AU536" s="3">
        <f>MAX(ANIO_ACTUAL-M536,0)</f>
        <v/>
      </c>
      <c r="AV536" s="4">
        <f>N536/MAX(AU536,0.5)</f>
        <v/>
      </c>
      <c r="AW536" s="4">
        <f>F536</f>
        <v/>
      </c>
      <c r="AX536" s="3">
        <f>AW536&amp;"|"&amp;INT(M536/SEG_ANIO)*SEG_ANIO</f>
        <v/>
      </c>
      <c r="AY536" s="3">
        <f>AX536&amp;"|"&amp;INT(N536/SEG_KM)*SEG_KM</f>
        <v/>
      </c>
      <c r="AZ536" s="4">
        <f>COUNTIF($AW$2:$AW$662,AW536)</f>
        <v/>
      </c>
      <c r="BA536" s="4">
        <f>COUNTIF($AX$2:$AX$662,AX536)</f>
        <v/>
      </c>
      <c r="BB536" s="4">
        <f>COUNTIF($AY$2:$AY$662,AY536)</f>
        <v/>
      </c>
      <c r="BC536" s="3">
        <f t="array" ref="BC536">IF(N(AO536)&gt;=MIN_N,AN536,IF(BB536&gt;=MIN_N,MEDIAN(IF($AY$2:$AY$662=AY536,$O$2:$O$662)),IF(BA536&gt;=MIN_N,MEDIAN(IF($AX$2:$AX$662=AX536,$O$2:$O$662)),MEDIAN(IF($AW$2:$AW$662=AW536,$O$2:$O$662)))))</f>
        <v/>
      </c>
      <c r="BD536" s="3">
        <f>IF(N(AO536)&gt;=MIN_N,"mercado "&amp;AP536,IF(BB536&gt;=MIN_N,"modelo+año+km",IF(BA536&gt;=MIN_N,"modelo+año","modelo")))</f>
        <v/>
      </c>
      <c r="BE536" s="4">
        <f>(BC536-O536)/BC536</f>
        <v/>
      </c>
      <c r="BF536" s="3">
        <f>IF(OR(K536="hibrido",K536="glp"),"ECO",IF(K536="electrico","CERO",IF(K536="gasolina",IF(M536&gt;=GAS_C,"C",IF(M536&gt;=GAS_B,"B","A")),IF(K536="diesel",IF(M536&gt;=DIE_C,"C",IF(M536&gt;=DIE_B,"B","A")),""))))</f>
        <v/>
      </c>
      <c r="BG536" s="3">
        <f>IFERROR(VLOOKUP(F536,MOD_TBL,11,0),IFERROR(VLOOKUP(E536,OCU_TBL,2,0),NEUTRO))</f>
        <v/>
      </c>
      <c r="BH536" s="3">
        <f>SUMIFS(MOT_AJUSTE,MOT_MOTOR,G536,MOT_MARCA,E536,MOT_DESDE,"&lt;="&amp;M536,MOT_HASTA,"&gt;="&amp;M536)+SUMIFS(MOT_AJUSTE,MOT_MOTOR,G536,MOT_MARCA,"(todas)",MOT_DESDE,"&lt;="&amp;M536,MOT_HASTA,"&gt;="&amp;M536)</f>
        <v/>
      </c>
      <c r="BI536" s="3">
        <f>SUMIFS(COMB_AJUSTE,COMB_COMB,K536)</f>
        <v/>
      </c>
      <c r="BJ536" s="3">
        <f>COUNTIFS(MOT_MOTOR,G536,MOT_MARCA,E536,MOT_DESDE,"&lt;="&amp;M536,MOT_HASTA,"&gt;="&amp;M536)+COUNTIFS(MOT_MOTOR,G536,MOT_MARCA,"(todas)",MOT_DESDE,"&lt;="&amp;M536,MOT_HASTA,"&gt;="&amp;M536)</f>
        <v/>
      </c>
      <c r="BK536" s="3">
        <f>IF(AND(K536="diesel",BJ536=0),MIN(BG536,NEUTRO),BG536)</f>
        <v/>
      </c>
      <c r="BL536" s="4">
        <f>MAX(0,MIN(100,BK536+BH536+BI536))</f>
        <v/>
      </c>
      <c r="BM536" s="3">
        <f>MAX(0,MIN(100,50+BE536*PRECIO_PEND))</f>
        <v/>
      </c>
      <c r="BN536" s="3">
        <f>MAX(0,100*(1-N536/KM_MAX))</f>
        <v/>
      </c>
      <c r="BO536" s="3">
        <f>IF(AV536&lt;KMA_SOSP,IF(AA536="sí",100,KMA_PEN),IF(AV536&lt;=KMA_IDEAL_MAX,100,MAX(0,100*(KMA_CERO-AV536)/(KMA_CERO-KMA_IDEAL_MAX))))</f>
        <v/>
      </c>
      <c r="BP536" s="3">
        <f>MAX(0,MIN(100,100*(M536-ANIO_MIN)/(ANIO_ACTUAL-ANIO_MIN)))</f>
        <v/>
      </c>
      <c r="BQ536" s="3">
        <f>W_KMT*BN536+W_KMA*BO536+W_EDAD*BP536</f>
        <v/>
      </c>
      <c r="BR536" s="3">
        <f>P_ITV*(V536="sí")+P_LIBRO*(W536="sí")+P_CORREA*(X536="sí")+P_PROP*(Y536=1)+P_GAR*(Z536="sí")+P_FOTOS*MIN(1,N(U536)/FOTOS_OBJ)</f>
        <v/>
      </c>
      <c r="BS536" s="3">
        <f>IFERROR(VLOOKUP(BF536,ETQ_TBL,2,0),NEUTRO)</f>
        <v/>
      </c>
      <c r="BT536" s="3">
        <f>NEUTRO</f>
        <v/>
      </c>
      <c r="BU536" s="3">
        <f>IFERROR(VLOOKUP(L536,SEGURO_TBL,3,0),"")</f>
        <v/>
      </c>
      <c r="BV536" s="3">
        <f>IF(BU536="",NEUTRO,MAX(0,MIN(100,100*(SEG_REF_MAX-BU536)/(SEG_REF_MAX-SEG_REF_MIN))))</f>
        <v/>
      </c>
      <c r="BW536" s="3">
        <f>W_ET*BS536+W_CONS*BT536+W_SEG*BV536</f>
        <v/>
      </c>
      <c r="BX536" s="3">
        <f>IF(N(AB536)&gt;0,AB536,IF(AND(R536="profesional",SG_LEGAL_ON=1),GAR_LEGAL,0))</f>
        <v/>
      </c>
      <c r="BY536" s="3">
        <f>SG_GAR*MIN(1,BX536/SG_GAR_FULL)+SG_AMPL*(AC536="sí")+SG_KMC*(AF536="sí")+SG_REV*(N(AE536)&gt;0)+SG_DEV*MIN(1,N(AG536)/SG_DEV_FULL)+SG_HIST*(W536="sí")</f>
        <v/>
      </c>
      <c r="BZ536" s="3">
        <f>IFERROR(VLOOKUP(L536,CARR_PEN_TBL,2,0),0)</f>
        <v/>
      </c>
      <c r="CA536" s="3">
        <f>W_FIAB*BL536+W_PRECIO*BM536+W_KMEDAD*BQ536+W_ANUNCIO*BR536+W_USO*BW536+W_SEGURIDAD*BY536-BZ536</f>
        <v/>
      </c>
      <c r="CB536" s="4">
        <f>IF(N(I536)&gt;0,I536,IFERROR(ROUND(_xlfn.NUMBERVALUE(LEFT(G536,FIND(" ",G536&amp;" ")-1),".")*1000,0),99999))</f>
        <v/>
      </c>
      <c r="CC536" s="3">
        <f>IF(R536="profesional",0,IF(O536&lt;CUOTA_VALOR_MAX,IF(AU536&gt;ITP_TRAMO_ALTO,SUMIFS(CF_CUOTA,CF_MAS,ITP_TRAMO_ALTO,CF_CCMIN,"&lt;="&amp;CB536,CF_CCMAX,"&gt;="&amp;CB536),IF(AU536&gt;ITP_TRAMO_BAJO,SUMIFS(CF_CUOTA,CF_MAS,ITP_TRAMO_BAJO,CF_CCMIN,"&lt;="&amp;CB536,CF_CCMAX,"&gt;="&amp;CB536),O536*ITP_TIPO)),O536*ITP_TIPO))</f>
        <v/>
      </c>
      <c r="CD536" s="4">
        <f>IF(R536="profesional",N(AK536),0)</f>
        <v/>
      </c>
      <c r="CE536" s="3">
        <f>IF(AND(R536="profesional",ISNUMBER(AK536),AL536="sí"),0,TASA_DGT)</f>
        <v/>
      </c>
      <c r="CF536" s="3">
        <f>INFORME_DGT</f>
        <v/>
      </c>
      <c r="CG536" s="4">
        <f>O536+CD536+CC536+CE536+CF536</f>
        <v/>
      </c>
      <c r="CH536" s="4">
        <f>CG536+N(BU536)</f>
        <v/>
      </c>
      <c r="CI536" s="3">
        <f>IF(CG536&lt;=TOTAL_MAX,"sí",IF(CG536&lt;=TOTAL_MAX+MARGEN_NEG,"negociar","no"))</f>
        <v/>
      </c>
      <c r="CJ536" s="4">
        <f>IF(CI536&lt;&gt;"no",COUNTIFS($CI$2:$CI$662,"&lt;&gt;no",$CA$2:$CA$662,"&gt;"&amp;CA536)+COUNTIFS($CI$2:CI536,"&lt;&gt;no",$CA$2:CA536,CA536),"")</f>
        <v/>
      </c>
    </row>
    <row r="537">
      <c r="A537" s="2" t="inlineStr">
        <is>
          <t>cochesnet:62365434</t>
        </is>
      </c>
      <c r="B537" s="2" t="inlineStr">
        <is>
          <t>cochesnet</t>
        </is>
      </c>
      <c r="C537" s="2" t="inlineStr">
        <is>
          <t>https://www.coches.net/fiat-500-12-8v-69-cv-lounge-3p-gasolina-2014-en-valencia-62365434-covo.aspx</t>
        </is>
      </c>
      <c r="D537" s="2" t="inlineStr">
        <is>
          <t>FIAT 500 1.2 8v 69 CV Lounge</t>
        </is>
      </c>
      <c r="E537" s="2" t="inlineStr">
        <is>
          <t>Fiat</t>
        </is>
      </c>
      <c r="F537" s="2" t="inlineStr">
        <is>
          <t>Fiat 500</t>
        </is>
      </c>
      <c r="G537" s="2" t="inlineStr">
        <is>
          <t>1.2</t>
        </is>
      </c>
      <c r="H537" s="2" t="inlineStr">
        <is>
          <t>1.2 8v 69 CV Lounge</t>
        </is>
      </c>
      <c r="I537" s="2" t="n"/>
      <c r="J537" s="2" t="n">
        <v>69</v>
      </c>
      <c r="K537" s="2" t="inlineStr">
        <is>
          <t>gasolina</t>
        </is>
      </c>
      <c r="L537" s="2" t="inlineStr">
        <is>
          <t>utilitario</t>
        </is>
      </c>
      <c r="M537" s="2" t="n">
        <v>2014</v>
      </c>
      <c r="N537" s="2" t="n">
        <v>146000</v>
      </c>
      <c r="O537" s="2" t="n">
        <v>4999</v>
      </c>
      <c r="P537" s="2" t="inlineStr">
        <is>
          <t>manual</t>
        </is>
      </c>
      <c r="Q537" s="2" t="inlineStr">
        <is>
          <t>no</t>
        </is>
      </c>
      <c r="R537" s="2" t="inlineStr">
        <is>
          <t>profesional</t>
        </is>
      </c>
      <c r="S537" s="2" t="inlineStr">
        <is>
          <t>Automoción Valencia Albal</t>
        </is>
      </c>
      <c r="T537" s="2" t="inlineStr">
        <is>
          <t>2026-08-15T17:18:49Z</t>
        </is>
      </c>
      <c r="U537" s="2" t="n">
        <v>22</v>
      </c>
      <c r="V537" s="2" t="n"/>
      <c r="W537" s="2" t="n"/>
      <c r="X537" s="2" t="n"/>
      <c r="Y537" s="2" t="n"/>
      <c r="Z537" s="2" t="inlineStr">
        <is>
          <t>no</t>
        </is>
      </c>
      <c r="AA537" s="2" t="n"/>
      <c r="AB537" s="2" t="n"/>
      <c r="AC537" s="2" t="n"/>
      <c r="AD537" s="2" t="n"/>
      <c r="AE537" s="2" t="n"/>
      <c r="AF537" s="2" t="n"/>
      <c r="AG537" s="2" t="n"/>
      <c r="AH537" s="2" t="n">
        <v>4999</v>
      </c>
      <c r="AI537" s="2" t="n">
        <v>4999</v>
      </c>
      <c r="AJ537" s="2" t="n"/>
      <c r="AK537" s="2" t="n"/>
      <c r="AL537" s="2" t="n"/>
      <c r="AM537" s="2" t="n">
        <v>8.699999999999999</v>
      </c>
      <c r="AN537" s="2" t="n">
        <v>6100</v>
      </c>
      <c r="AO537" s="2" t="n">
        <v>8</v>
      </c>
      <c r="AP537" s="2" t="inlineStr">
        <is>
          <t>modelo+año+km</t>
        </is>
      </c>
      <c r="AQ537" s="2" t="n"/>
      <c r="AR537" s="2" t="inlineStr">
        <is>
          <t>por encima del presupuesto (5063 €), negociar; vendedor profesional: sin ITP (operación con IVA/REBU, confirmar en factura); gastos de gestión del vendedor no indicados: se suma la tasa DGT; preguntar el precio final</t>
        </is>
      </c>
      <c r="AS537" s="2" t="inlineStr">
        <is>
          <t>*¡OFERTA EXCEPCIONAL! SE VENDE FIAT 500 1.2 MPI 70 CV AÑO 2014*
*ETIQUETA AMBIENTAL C
 ¡EL VEHÍCULO  ECONOMICO PARA LA CIUDAD!*
ESTE FIAT 500 ES UN VEHÍCULO COMPACTO Y ECONÓMICO, IDEAL PARA MOVERSÉ POR LA CIUDAD. CON SU MOTOR 1.2 MPI 70 CV, OFRECE UN RENDIMIENTO EFICIENTE Y UNA CONDUCCIÓN SUAVE.
*EQUIPAMIENTO DE SERIE:*
- CLIMATIZADOR
- PANTALLA MULTIFUNCIÓN
- VOLANTE MULTIFUNCIÓN
- LLANTAS DE ALEACIÓN
- CONTROL DE ESTABILIDAD (ESP)
- DIRECCIÓN ASISTIDA
- ELEVALUNAS ELÉCTRICOS
- CIERRE CENTRALIZADO
- SENSOR DE LUCES
- ISOFIX
- SISTEMA DE AUDIO CON BLUETOOTH Y USB
*VENTAJAS:*
- MUY ECONÓMICO Y MANEJABLE
- IDEAL PARA LA CIUDAD
- ETIQUETA AMBIENTAL C
*PRECIO INCREÍBLE:*
*¡NO PIERDAS LA OPORTUNIDAD! CONTACTA CON NOSOTROS:*
- TELÉFONO: 664506303
*¡LLAMA AHORA Y PROGRAMA UNA CITA PARA VER EL VEHÍCULO!*</t>
        </is>
      </c>
      <c r="AT537" s="2" t="inlineStr">
        <is>
          <t>https://www.coches.net/fiat-500-12-8v-69-cv-lounge-3p-gasolina-2014-en-valencia-62365434-covo.aspx (window.__INITIAL_PROPS__.ad) /home/user/Alopecia/buscador-coches/raw/cochesnet/35da72ef6d8b8c75.json</t>
        </is>
      </c>
      <c r="AU537" s="3">
        <f>MAX(ANIO_ACTUAL-M537,0)</f>
        <v/>
      </c>
      <c r="AV537" s="4">
        <f>N537/MAX(AU537,0.5)</f>
        <v/>
      </c>
      <c r="AW537" s="4">
        <f>F537</f>
        <v/>
      </c>
      <c r="AX537" s="3">
        <f>AW537&amp;"|"&amp;INT(M537/SEG_ANIO)*SEG_ANIO</f>
        <v/>
      </c>
      <c r="AY537" s="3">
        <f>AX537&amp;"|"&amp;INT(N537/SEG_KM)*SEG_KM</f>
        <v/>
      </c>
      <c r="AZ537" s="4">
        <f>COUNTIF($AW$2:$AW$662,AW537)</f>
        <v/>
      </c>
      <c r="BA537" s="4">
        <f>COUNTIF($AX$2:$AX$662,AX537)</f>
        <v/>
      </c>
      <c r="BB537" s="4">
        <f>COUNTIF($AY$2:$AY$662,AY537)</f>
        <v/>
      </c>
      <c r="BC537" s="3">
        <f t="array" ref="BC537">IF(N(AO537)&gt;=MIN_N,AN537,IF(BB537&gt;=MIN_N,MEDIAN(IF($AY$2:$AY$662=AY537,$O$2:$O$662)),IF(BA537&gt;=MIN_N,MEDIAN(IF($AX$2:$AX$662=AX537,$O$2:$O$662)),MEDIAN(IF($AW$2:$AW$662=AW537,$O$2:$O$662)))))</f>
        <v/>
      </c>
      <c r="BD537" s="3">
        <f>IF(N(AO537)&gt;=MIN_N,"mercado "&amp;AP537,IF(BB537&gt;=MIN_N,"modelo+año+km",IF(BA537&gt;=MIN_N,"modelo+año","modelo")))</f>
        <v/>
      </c>
      <c r="BE537" s="4">
        <f>(BC537-O537)/BC537</f>
        <v/>
      </c>
      <c r="BF537" s="3">
        <f>IF(OR(K537="hibrido",K537="glp"),"ECO",IF(K537="electrico","CERO",IF(K537="gasolina",IF(M537&gt;=GAS_C,"C",IF(M537&gt;=GAS_B,"B","A")),IF(K537="diesel",IF(M537&gt;=DIE_C,"C",IF(M537&gt;=DIE_B,"B","A")),""))))</f>
        <v/>
      </c>
      <c r="BG537" s="3">
        <f>IFERROR(VLOOKUP(F537,MOD_TBL,11,0),IFERROR(VLOOKUP(E537,OCU_TBL,2,0),NEUTRO))</f>
        <v/>
      </c>
      <c r="BH537" s="3">
        <f>SUMIFS(MOT_AJUSTE,MOT_MOTOR,G537,MOT_MARCA,E537,MOT_DESDE,"&lt;="&amp;M537,MOT_HASTA,"&gt;="&amp;M537)+SUMIFS(MOT_AJUSTE,MOT_MOTOR,G537,MOT_MARCA,"(todas)",MOT_DESDE,"&lt;="&amp;M537,MOT_HASTA,"&gt;="&amp;M537)</f>
        <v/>
      </c>
      <c r="BI537" s="3">
        <f>SUMIFS(COMB_AJUSTE,COMB_COMB,K537)</f>
        <v/>
      </c>
      <c r="BJ537" s="3">
        <f>COUNTIFS(MOT_MOTOR,G537,MOT_MARCA,E537,MOT_DESDE,"&lt;="&amp;M537,MOT_HASTA,"&gt;="&amp;M537)+COUNTIFS(MOT_MOTOR,G537,MOT_MARCA,"(todas)",MOT_DESDE,"&lt;="&amp;M537,MOT_HASTA,"&gt;="&amp;M537)</f>
        <v/>
      </c>
      <c r="BK537" s="3">
        <f>IF(AND(K537="diesel",BJ537=0),MIN(BG537,NEUTRO),BG537)</f>
        <v/>
      </c>
      <c r="BL537" s="4">
        <f>MAX(0,MIN(100,BK537+BH537+BI537))</f>
        <v/>
      </c>
      <c r="BM537" s="3">
        <f>MAX(0,MIN(100,50+BE537*PRECIO_PEND))</f>
        <v/>
      </c>
      <c r="BN537" s="3">
        <f>MAX(0,100*(1-N537/KM_MAX))</f>
        <v/>
      </c>
      <c r="BO537" s="3">
        <f>IF(AV537&lt;KMA_SOSP,IF(AA537="sí",100,KMA_PEN),IF(AV537&lt;=KMA_IDEAL_MAX,100,MAX(0,100*(KMA_CERO-AV537)/(KMA_CERO-KMA_IDEAL_MAX))))</f>
        <v/>
      </c>
      <c r="BP537" s="3">
        <f>MAX(0,MIN(100,100*(M537-ANIO_MIN)/(ANIO_ACTUAL-ANIO_MIN)))</f>
        <v/>
      </c>
      <c r="BQ537" s="3">
        <f>W_KMT*BN537+W_KMA*BO537+W_EDAD*BP537</f>
        <v/>
      </c>
      <c r="BR537" s="3">
        <f>P_ITV*(V537="sí")+P_LIBRO*(W537="sí")+P_CORREA*(X537="sí")+P_PROP*(Y537=1)+P_GAR*(Z537="sí")+P_FOTOS*MIN(1,N(U537)/FOTOS_OBJ)</f>
        <v/>
      </c>
      <c r="BS537" s="3">
        <f>IFERROR(VLOOKUP(BF537,ETQ_TBL,2,0),NEUTRO)</f>
        <v/>
      </c>
      <c r="BT537" s="3">
        <f>NEUTRO</f>
        <v/>
      </c>
      <c r="BU537" s="3">
        <f>IFERROR(VLOOKUP(L537,SEGURO_TBL,3,0),"")</f>
        <v/>
      </c>
      <c r="BV537" s="3">
        <f>IF(BU537="",NEUTRO,MAX(0,MIN(100,100*(SEG_REF_MAX-BU537)/(SEG_REF_MAX-SEG_REF_MIN))))</f>
        <v/>
      </c>
      <c r="BW537" s="3">
        <f>W_ET*BS537+W_CONS*BT537+W_SEG*BV537</f>
        <v/>
      </c>
      <c r="BX537" s="3">
        <f>IF(N(AB537)&gt;0,AB537,IF(AND(R537="profesional",SG_LEGAL_ON=1),GAR_LEGAL,0))</f>
        <v/>
      </c>
      <c r="BY537" s="3">
        <f>SG_GAR*MIN(1,BX537/SG_GAR_FULL)+SG_AMPL*(AC537="sí")+SG_KMC*(AF537="sí")+SG_REV*(N(AE537)&gt;0)+SG_DEV*MIN(1,N(AG537)/SG_DEV_FULL)+SG_HIST*(W537="sí")</f>
        <v/>
      </c>
      <c r="BZ537" s="3">
        <f>IFERROR(VLOOKUP(L537,CARR_PEN_TBL,2,0),0)</f>
        <v/>
      </c>
      <c r="CA537" s="3">
        <f>W_FIAB*BL537+W_PRECIO*BM537+W_KMEDAD*BQ537+W_ANUNCIO*BR537+W_USO*BW537+W_SEGURIDAD*BY537-BZ537</f>
        <v/>
      </c>
      <c r="CB537" s="4">
        <f>IF(N(I537)&gt;0,I537,IFERROR(ROUND(_xlfn.NUMBERVALUE(LEFT(G537,FIND(" ",G537&amp;" ")-1),".")*1000,0),99999))</f>
        <v/>
      </c>
      <c r="CC537" s="3">
        <f>IF(R537="profesional",0,IF(O537&lt;CUOTA_VALOR_MAX,IF(AU537&gt;ITP_TRAMO_ALTO,SUMIFS(CF_CUOTA,CF_MAS,ITP_TRAMO_ALTO,CF_CCMIN,"&lt;="&amp;CB537,CF_CCMAX,"&gt;="&amp;CB537),IF(AU537&gt;ITP_TRAMO_BAJO,SUMIFS(CF_CUOTA,CF_MAS,ITP_TRAMO_BAJO,CF_CCMIN,"&lt;="&amp;CB537,CF_CCMAX,"&gt;="&amp;CB537),O537*ITP_TIPO)),O537*ITP_TIPO))</f>
        <v/>
      </c>
      <c r="CD537" s="4">
        <f>IF(R537="profesional",N(AK537),0)</f>
        <v/>
      </c>
      <c r="CE537" s="3">
        <f>IF(AND(R537="profesional",ISNUMBER(AK537),AL537="sí"),0,TASA_DGT)</f>
        <v/>
      </c>
      <c r="CF537" s="3">
        <f>INFORME_DGT</f>
        <v/>
      </c>
      <c r="CG537" s="4">
        <f>O537+CD537+CC537+CE537+CF537</f>
        <v/>
      </c>
      <c r="CH537" s="4">
        <f>CG537+N(BU537)</f>
        <v/>
      </c>
      <c r="CI537" s="3">
        <f>IF(CG537&lt;=TOTAL_MAX,"sí",IF(CG537&lt;=TOTAL_MAX+MARGEN_NEG,"negociar","no"))</f>
        <v/>
      </c>
      <c r="CJ537" s="4">
        <f>IF(CI537&lt;&gt;"no",COUNTIFS($CI$2:$CI$662,"&lt;&gt;no",$CA$2:$CA$662,"&gt;"&amp;CA537)+COUNTIFS($CI$2:CI537,"&lt;&gt;no",$CA$2:CA537,CA537),"")</f>
        <v/>
      </c>
    </row>
    <row r="538">
      <c r="A538" s="2" t="inlineStr">
        <is>
          <t>cochesnet:71862620</t>
        </is>
      </c>
      <c r="B538" s="2" t="inlineStr">
        <is>
          <t>cochesnet</t>
        </is>
      </c>
      <c r="C538" s="2" t="inlineStr">
        <is>
          <t>https://www.coches.net/fiat-500-13-16v-multijet-75-cv-lounge-3p-diesel-2007-en-valencia-71862620-covo.aspx</t>
        </is>
      </c>
      <c r="D538" s="2" t="inlineStr">
        <is>
          <t>FIAT 500 1.3 16v Multijet 75 CV Lounge</t>
        </is>
      </c>
      <c r="E538" s="2" t="inlineStr">
        <is>
          <t>Fiat</t>
        </is>
      </c>
      <c r="F538" s="2" t="inlineStr">
        <is>
          <t>Fiat 500</t>
        </is>
      </c>
      <c r="G538" s="2" t="inlineStr">
        <is>
          <t>1.3 Multijet</t>
        </is>
      </c>
      <c r="H538" s="2" t="inlineStr">
        <is>
          <t>1.3 16v Multijet 75 CV Lounge</t>
        </is>
      </c>
      <c r="I538" s="2" t="n"/>
      <c r="J538" s="2" t="n">
        <v>75</v>
      </c>
      <c r="K538" s="2" t="inlineStr">
        <is>
          <t>diesel</t>
        </is>
      </c>
      <c r="L538" s="2" t="inlineStr">
        <is>
          <t>utilitario</t>
        </is>
      </c>
      <c r="M538" s="2" t="n">
        <v>2007</v>
      </c>
      <c r="N538" s="2" t="n">
        <v>180000</v>
      </c>
      <c r="O538" s="2" t="n">
        <v>3500</v>
      </c>
      <c r="P538" s="2" t="inlineStr">
        <is>
          <t>manual</t>
        </is>
      </c>
      <c r="Q538" s="2" t="inlineStr">
        <is>
          <t>no</t>
        </is>
      </c>
      <c r="R538" s="2" t="inlineStr">
        <is>
          <t>particular</t>
        </is>
      </c>
      <c r="S538" s="2" t="n"/>
      <c r="T538" s="2" t="inlineStr">
        <is>
          <t>2026-10-29T11:35:58Z</t>
        </is>
      </c>
      <c r="U538" s="2" t="n">
        <v>7</v>
      </c>
      <c r="V538" s="2" t="n"/>
      <c r="W538" s="2" t="n"/>
      <c r="X538" s="2" t="n"/>
      <c r="Y538" s="2" t="n"/>
      <c r="Z538" s="2" t="inlineStr">
        <is>
          <t>no</t>
        </is>
      </c>
      <c r="AA538" s="2" t="n"/>
      <c r="AB538" s="2" t="n"/>
      <c r="AC538" s="2" t="n"/>
      <c r="AD538" s="2" t="n"/>
      <c r="AE538" s="2" t="n"/>
      <c r="AF538" s="2" t="n"/>
      <c r="AG538" s="2" t="n"/>
      <c r="AH538" s="2" t="n">
        <v>3500</v>
      </c>
      <c r="AI538" s="2" t="n"/>
      <c r="AJ538" s="2" t="n"/>
      <c r="AK538" s="2" t="n"/>
      <c r="AL538" s="2" t="n"/>
      <c r="AM538" s="2" t="n"/>
      <c r="AN538" s="2" t="n">
        <v>4990</v>
      </c>
      <c r="AO538" s="2" t="n">
        <v>7</v>
      </c>
      <c r="AP538" s="2" t="inlineStr">
        <is>
          <t>modelo+año</t>
        </is>
      </c>
      <c r="AQ538" s="2" t="n"/>
      <c r="AR538" s="2" t="inlineStr">
        <is>
          <t>cuota fija ITP: &gt;12 años, hasta 1.500 cc; distancia no verificable (el anuncio solo indica la provincia): confirmar que está a &lt;= 70 km</t>
        </is>
      </c>
      <c r="AS538" s="2" t="inlineStr">
        <is>
          <t xml:space="preserve">Vehículo en perfecto estado de motor, recién echa bomba de agua, cadena, distribución, culata... Todo echo en taller, siempre en garaje
Interesados llamar al telf </t>
        </is>
      </c>
      <c r="AT538" s="2" t="inlineStr">
        <is>
          <t>https://www.coches.net/fiat-500-13-16v-multijet-75-cv-lounge-3p-diesel-2007-en-valencia-71862620-covo.aspx (window.__INITIAL_PROPS__.ad) /home/user/Alopecia/buscador-coches/raw/cochesnet/c122f1ca636d5a1f.json</t>
        </is>
      </c>
      <c r="AU538" s="3">
        <f>MAX(ANIO_ACTUAL-M538,0)</f>
        <v/>
      </c>
      <c r="AV538" s="4">
        <f>N538/MAX(AU538,0.5)</f>
        <v/>
      </c>
      <c r="AW538" s="4">
        <f>F538</f>
        <v/>
      </c>
      <c r="AX538" s="3">
        <f>AW538&amp;"|"&amp;INT(M538/SEG_ANIO)*SEG_ANIO</f>
        <v/>
      </c>
      <c r="AY538" s="3">
        <f>AX538&amp;"|"&amp;INT(N538/SEG_KM)*SEG_KM</f>
        <v/>
      </c>
      <c r="AZ538" s="4">
        <f>COUNTIF($AW$2:$AW$662,AW538)</f>
        <v/>
      </c>
      <c r="BA538" s="4">
        <f>COUNTIF($AX$2:$AX$662,AX538)</f>
        <v/>
      </c>
      <c r="BB538" s="4">
        <f>COUNTIF($AY$2:$AY$662,AY538)</f>
        <v/>
      </c>
      <c r="BC538" s="3">
        <f t="array" ref="BC538">IF(N(AO538)&gt;=MIN_N,AN538,IF(BB538&gt;=MIN_N,MEDIAN(IF($AY$2:$AY$662=AY538,$O$2:$O$662)),IF(BA538&gt;=MIN_N,MEDIAN(IF($AX$2:$AX$662=AX538,$O$2:$O$662)),MEDIAN(IF($AW$2:$AW$662=AW538,$O$2:$O$662)))))</f>
        <v/>
      </c>
      <c r="BD538" s="3">
        <f>IF(N(AO538)&gt;=MIN_N,"mercado "&amp;AP538,IF(BB538&gt;=MIN_N,"modelo+año+km",IF(BA538&gt;=MIN_N,"modelo+año","modelo")))</f>
        <v/>
      </c>
      <c r="BE538" s="4">
        <f>(BC538-O538)/BC538</f>
        <v/>
      </c>
      <c r="BF538" s="3">
        <f>IF(OR(K538="hibrido",K538="glp"),"ECO",IF(K538="electrico","CERO",IF(K538="gasolina",IF(M538&gt;=GAS_C,"C",IF(M538&gt;=GAS_B,"B","A")),IF(K538="diesel",IF(M538&gt;=DIE_C,"C",IF(M538&gt;=DIE_B,"B","A")),""))))</f>
        <v/>
      </c>
      <c r="BG538" s="3">
        <f>IFERROR(VLOOKUP(F538,MOD_TBL,11,0),IFERROR(VLOOKUP(E538,OCU_TBL,2,0),NEUTRO))</f>
        <v/>
      </c>
      <c r="BH538" s="3">
        <f>SUMIFS(MOT_AJUSTE,MOT_MOTOR,G538,MOT_MARCA,E538,MOT_DESDE,"&lt;="&amp;M538,MOT_HASTA,"&gt;="&amp;M538)+SUMIFS(MOT_AJUSTE,MOT_MOTOR,G538,MOT_MARCA,"(todas)",MOT_DESDE,"&lt;="&amp;M538,MOT_HASTA,"&gt;="&amp;M538)</f>
        <v/>
      </c>
      <c r="BI538" s="3">
        <f>SUMIFS(COMB_AJUSTE,COMB_COMB,K538)</f>
        <v/>
      </c>
      <c r="BJ538" s="3">
        <f>COUNTIFS(MOT_MOTOR,G538,MOT_MARCA,E538,MOT_DESDE,"&lt;="&amp;M538,MOT_HASTA,"&gt;="&amp;M538)+COUNTIFS(MOT_MOTOR,G538,MOT_MARCA,"(todas)",MOT_DESDE,"&lt;="&amp;M538,MOT_HASTA,"&gt;="&amp;M538)</f>
        <v/>
      </c>
      <c r="BK538" s="3">
        <f>IF(AND(K538="diesel",BJ538=0),MIN(BG538,NEUTRO),BG538)</f>
        <v/>
      </c>
      <c r="BL538" s="4">
        <f>MAX(0,MIN(100,BK538+BH538+BI538))</f>
        <v/>
      </c>
      <c r="BM538" s="3">
        <f>MAX(0,MIN(100,50+BE538*PRECIO_PEND))</f>
        <v/>
      </c>
      <c r="BN538" s="3">
        <f>MAX(0,100*(1-N538/KM_MAX))</f>
        <v/>
      </c>
      <c r="BO538" s="3">
        <f>IF(AV538&lt;KMA_SOSP,IF(AA538="sí",100,KMA_PEN),IF(AV538&lt;=KMA_IDEAL_MAX,100,MAX(0,100*(KMA_CERO-AV538)/(KMA_CERO-KMA_IDEAL_MAX))))</f>
        <v/>
      </c>
      <c r="BP538" s="3">
        <f>MAX(0,MIN(100,100*(M538-ANIO_MIN)/(ANIO_ACTUAL-ANIO_MIN)))</f>
        <v/>
      </c>
      <c r="BQ538" s="3">
        <f>W_KMT*BN538+W_KMA*BO538+W_EDAD*BP538</f>
        <v/>
      </c>
      <c r="BR538" s="3">
        <f>P_ITV*(V538="sí")+P_LIBRO*(W538="sí")+P_CORREA*(X538="sí")+P_PROP*(Y538=1)+P_GAR*(Z538="sí")+P_FOTOS*MIN(1,N(U538)/FOTOS_OBJ)</f>
        <v/>
      </c>
      <c r="BS538" s="3">
        <f>IFERROR(VLOOKUP(BF538,ETQ_TBL,2,0),NEUTRO)</f>
        <v/>
      </c>
      <c r="BT538" s="3">
        <f>NEUTRO</f>
        <v/>
      </c>
      <c r="BU538" s="3">
        <f>IFERROR(VLOOKUP(L538,SEGURO_TBL,3,0),"")</f>
        <v/>
      </c>
      <c r="BV538" s="3">
        <f>IF(BU538="",NEUTRO,MAX(0,MIN(100,100*(SEG_REF_MAX-BU538)/(SEG_REF_MAX-SEG_REF_MIN))))</f>
        <v/>
      </c>
      <c r="BW538" s="3">
        <f>W_ET*BS538+W_CONS*BT538+W_SEG*BV538</f>
        <v/>
      </c>
      <c r="BX538" s="3">
        <f>IF(N(AB538)&gt;0,AB538,IF(AND(R538="profesional",SG_LEGAL_ON=1),GAR_LEGAL,0))</f>
        <v/>
      </c>
      <c r="BY538" s="3">
        <f>SG_GAR*MIN(1,BX538/SG_GAR_FULL)+SG_AMPL*(AC538="sí")+SG_KMC*(AF538="sí")+SG_REV*(N(AE538)&gt;0)+SG_DEV*MIN(1,N(AG538)/SG_DEV_FULL)+SG_HIST*(W538="sí")</f>
        <v/>
      </c>
      <c r="BZ538" s="3">
        <f>IFERROR(VLOOKUP(L538,CARR_PEN_TBL,2,0),0)</f>
        <v/>
      </c>
      <c r="CA538" s="3">
        <f>W_FIAB*BL538+W_PRECIO*BM538+W_KMEDAD*BQ538+W_ANUNCIO*BR538+W_USO*BW538+W_SEGURIDAD*BY538-BZ538</f>
        <v/>
      </c>
      <c r="CB538" s="4">
        <f>IF(N(I538)&gt;0,I538,IFERROR(ROUND(_xlfn.NUMBERVALUE(LEFT(G538,FIND(" ",G538&amp;" ")-1),".")*1000,0),99999))</f>
        <v/>
      </c>
      <c r="CC538" s="3">
        <f>IF(R538="profesional",0,IF(O538&lt;CUOTA_VALOR_MAX,IF(AU538&gt;ITP_TRAMO_ALTO,SUMIFS(CF_CUOTA,CF_MAS,ITP_TRAMO_ALTO,CF_CCMIN,"&lt;="&amp;CB538,CF_CCMAX,"&gt;="&amp;CB538),IF(AU538&gt;ITP_TRAMO_BAJO,SUMIFS(CF_CUOTA,CF_MAS,ITP_TRAMO_BAJO,CF_CCMIN,"&lt;="&amp;CB538,CF_CCMAX,"&gt;="&amp;CB538),O538*ITP_TIPO)),O538*ITP_TIPO))</f>
        <v/>
      </c>
      <c r="CD538" s="4">
        <f>IF(R538="profesional",N(AK538),0)</f>
        <v/>
      </c>
      <c r="CE538" s="3">
        <f>IF(AND(R538="profesional",ISNUMBER(AK538),AL538="sí"),0,TASA_DGT)</f>
        <v/>
      </c>
      <c r="CF538" s="3">
        <f>INFORME_DGT</f>
        <v/>
      </c>
      <c r="CG538" s="4">
        <f>O538+CD538+CC538+CE538+CF538</f>
        <v/>
      </c>
      <c r="CH538" s="4">
        <f>CG538+N(BU538)</f>
        <v/>
      </c>
      <c r="CI538" s="3">
        <f>IF(CG538&lt;=TOTAL_MAX,"sí",IF(CG538&lt;=TOTAL_MAX+MARGEN_NEG,"negociar","no"))</f>
        <v/>
      </c>
      <c r="CJ538" s="4">
        <f>IF(CI538&lt;&gt;"no",COUNTIFS($CI$2:$CI$662,"&lt;&gt;no",$CA$2:$CA$662,"&gt;"&amp;CA538)+COUNTIFS($CI$2:CI538,"&lt;&gt;no",$CA$2:CA538,CA538),"")</f>
        <v/>
      </c>
    </row>
    <row r="539">
      <c r="A539" s="2" t="inlineStr">
        <is>
          <t>cochesnet:71858244</t>
        </is>
      </c>
      <c r="B539" s="2" t="inlineStr">
        <is>
          <t>cochesnet</t>
        </is>
      </c>
      <c r="C539" s="2" t="inlineStr">
        <is>
          <t>https://www.coches.net/fiat-punto-13-multijet-16v-dynamic-3p-diesel-2007-en-valencia-71858244-covo.aspx</t>
        </is>
      </c>
      <c r="D539" s="2" t="inlineStr">
        <is>
          <t>FIAT Punto 1.3 Multijet 16V Dynamic</t>
        </is>
      </c>
      <c r="E539" s="2" t="inlineStr">
        <is>
          <t>Fiat</t>
        </is>
      </c>
      <c r="F539" s="2" t="inlineStr">
        <is>
          <t>Fiat Punto</t>
        </is>
      </c>
      <c r="G539" s="2" t="inlineStr">
        <is>
          <t>1.3 Multijet</t>
        </is>
      </c>
      <c r="H539" s="2" t="inlineStr">
        <is>
          <t>1.3 Multijet 16V Dynamic</t>
        </is>
      </c>
      <c r="I539" s="2" t="n"/>
      <c r="J539" s="2" t="n"/>
      <c r="K539" s="2" t="inlineStr">
        <is>
          <t>diesel</t>
        </is>
      </c>
      <c r="L539" s="2" t="inlineStr">
        <is>
          <t>utilitario</t>
        </is>
      </c>
      <c r="M539" s="2" t="n">
        <v>2007</v>
      </c>
      <c r="N539" s="2" t="n">
        <v>220000</v>
      </c>
      <c r="O539" s="2" t="n">
        <v>2500</v>
      </c>
      <c r="P539" s="2" t="inlineStr">
        <is>
          <t>manual</t>
        </is>
      </c>
      <c r="Q539" s="2" t="inlineStr">
        <is>
          <t>no</t>
        </is>
      </c>
      <c r="R539" s="2" t="inlineStr">
        <is>
          <t>particular</t>
        </is>
      </c>
      <c r="S539" s="2" t="inlineStr">
        <is>
          <t>Valencia</t>
        </is>
      </c>
      <c r="T539" s="2" t="inlineStr">
        <is>
          <t>2026-10-29T01:29:53Z</t>
        </is>
      </c>
      <c r="U539" s="2" t="n">
        <v>5</v>
      </c>
      <c r="V539" s="2" t="inlineStr">
        <is>
          <t>sí</t>
        </is>
      </c>
      <c r="W539" s="2" t="n"/>
      <c r="X539" s="2" t="n"/>
      <c r="Y539" s="2" t="n"/>
      <c r="Z539" s="2" t="inlineStr">
        <is>
          <t>no</t>
        </is>
      </c>
      <c r="AA539" s="2" t="n"/>
      <c r="AB539" s="2" t="n"/>
      <c r="AC539" s="2" t="n"/>
      <c r="AD539" s="2" t="n"/>
      <c r="AE539" s="2" t="n"/>
      <c r="AF539" s="2" t="n"/>
      <c r="AG539" s="2" t="n"/>
      <c r="AH539" s="2" t="n">
        <v>2500</v>
      </c>
      <c r="AI539" s="2" t="n"/>
      <c r="AJ539" s="2" t="n"/>
      <c r="AK539" s="2" t="n"/>
      <c r="AL539" s="2" t="n"/>
      <c r="AM539" s="2" t="n">
        <v>0.1</v>
      </c>
      <c r="AN539" s="2" t="n">
        <v>2500</v>
      </c>
      <c r="AO539" s="2" t="n">
        <v>5</v>
      </c>
      <c r="AP539" s="2" t="inlineStr">
        <is>
          <t>modelo+año+km</t>
        </is>
      </c>
      <c r="AQ539" s="2" t="n"/>
      <c r="AR539" s="2" t="inlineStr">
        <is>
          <t>cuota fija ITP: &gt;12 años, hasta 1.500 cc; fiabilidad del modelo PENDIENTE de fuente (puntuación neutra)</t>
        </is>
      </c>
      <c r="AS539" s="2" t="inlineStr">
        <is>
          <t>Vendo Fiat Punto de 2007 con 220.000 km. Mecánicamente perfecto, sin problemas. ITV pasada y vigente hasta octubre de 2027. Interior muy cuidado y todo funciona. Tiene algunos rayones exteriores menores (se ven en las fotos). Ideal para ciudad o primer coche. Papeles en regla y cambio de titularidad en el momento. Valencia. Solo interesados, gracias.</t>
        </is>
      </c>
      <c r="AT539" s="2" t="inlineStr">
        <is>
          <t>https://www.coches.net/fiat-punto-13-multijet-16v-dynamic-3p-diesel-2007-en-valencia-71858244-covo.aspx (window.__INITIAL_PROPS__.ad) /home/user/Alopecia/buscador-coches/raw/cochesnet/a84baf104b638dce.json</t>
        </is>
      </c>
      <c r="AU539" s="3">
        <f>MAX(ANIO_ACTUAL-M539,0)</f>
        <v/>
      </c>
      <c r="AV539" s="4">
        <f>N539/MAX(AU539,0.5)</f>
        <v/>
      </c>
      <c r="AW539" s="4">
        <f>F539</f>
        <v/>
      </c>
      <c r="AX539" s="3">
        <f>AW539&amp;"|"&amp;INT(M539/SEG_ANIO)*SEG_ANIO</f>
        <v/>
      </c>
      <c r="AY539" s="3">
        <f>AX539&amp;"|"&amp;INT(N539/SEG_KM)*SEG_KM</f>
        <v/>
      </c>
      <c r="AZ539" s="4">
        <f>COUNTIF($AW$2:$AW$662,AW539)</f>
        <v/>
      </c>
      <c r="BA539" s="4">
        <f>COUNTIF($AX$2:$AX$662,AX539)</f>
        <v/>
      </c>
      <c r="BB539" s="4">
        <f>COUNTIF($AY$2:$AY$662,AY539)</f>
        <v/>
      </c>
      <c r="BC539" s="3">
        <f t="array" ref="BC539">IF(N(AO539)&gt;=MIN_N,AN539,IF(BB539&gt;=MIN_N,MEDIAN(IF($AY$2:$AY$662=AY539,$O$2:$O$662)),IF(BA539&gt;=MIN_N,MEDIAN(IF($AX$2:$AX$662=AX539,$O$2:$O$662)),MEDIAN(IF($AW$2:$AW$662=AW539,$O$2:$O$662)))))</f>
        <v/>
      </c>
      <c r="BD539" s="3">
        <f>IF(N(AO539)&gt;=MIN_N,"mercado "&amp;AP539,IF(BB539&gt;=MIN_N,"modelo+año+km",IF(BA539&gt;=MIN_N,"modelo+año","modelo")))</f>
        <v/>
      </c>
      <c r="BE539" s="4">
        <f>(BC539-O539)/BC539</f>
        <v/>
      </c>
      <c r="BF539" s="3">
        <f>IF(OR(K539="hibrido",K539="glp"),"ECO",IF(K539="electrico","CERO",IF(K539="gasolina",IF(M539&gt;=GAS_C,"C",IF(M539&gt;=GAS_B,"B","A")),IF(K539="diesel",IF(M539&gt;=DIE_C,"C",IF(M539&gt;=DIE_B,"B","A")),""))))</f>
        <v/>
      </c>
      <c r="BG539" s="3">
        <f>IFERROR(VLOOKUP(F539,MOD_TBL,11,0),IFERROR(VLOOKUP(E539,OCU_TBL,2,0),NEUTRO))</f>
        <v/>
      </c>
      <c r="BH539" s="3">
        <f>SUMIFS(MOT_AJUSTE,MOT_MOTOR,G539,MOT_MARCA,E539,MOT_DESDE,"&lt;="&amp;M539,MOT_HASTA,"&gt;="&amp;M539)+SUMIFS(MOT_AJUSTE,MOT_MOTOR,G539,MOT_MARCA,"(todas)",MOT_DESDE,"&lt;="&amp;M539,MOT_HASTA,"&gt;="&amp;M539)</f>
        <v/>
      </c>
      <c r="BI539" s="3">
        <f>SUMIFS(COMB_AJUSTE,COMB_COMB,K539)</f>
        <v/>
      </c>
      <c r="BJ539" s="3">
        <f>COUNTIFS(MOT_MOTOR,G539,MOT_MARCA,E539,MOT_DESDE,"&lt;="&amp;M539,MOT_HASTA,"&gt;="&amp;M539)+COUNTIFS(MOT_MOTOR,G539,MOT_MARCA,"(todas)",MOT_DESDE,"&lt;="&amp;M539,MOT_HASTA,"&gt;="&amp;M539)</f>
        <v/>
      </c>
      <c r="BK539" s="3">
        <f>IF(AND(K539="diesel",BJ539=0),MIN(BG539,NEUTRO),BG539)</f>
        <v/>
      </c>
      <c r="BL539" s="4">
        <f>MAX(0,MIN(100,BK539+BH539+BI539))</f>
        <v/>
      </c>
      <c r="BM539" s="3">
        <f>MAX(0,MIN(100,50+BE539*PRECIO_PEND))</f>
        <v/>
      </c>
      <c r="BN539" s="3">
        <f>MAX(0,100*(1-N539/KM_MAX))</f>
        <v/>
      </c>
      <c r="BO539" s="3">
        <f>IF(AV539&lt;KMA_SOSP,IF(AA539="sí",100,KMA_PEN),IF(AV539&lt;=KMA_IDEAL_MAX,100,MAX(0,100*(KMA_CERO-AV539)/(KMA_CERO-KMA_IDEAL_MAX))))</f>
        <v/>
      </c>
      <c r="BP539" s="3">
        <f>MAX(0,MIN(100,100*(M539-ANIO_MIN)/(ANIO_ACTUAL-ANIO_MIN)))</f>
        <v/>
      </c>
      <c r="BQ539" s="3">
        <f>W_KMT*BN539+W_KMA*BO539+W_EDAD*BP539</f>
        <v/>
      </c>
      <c r="BR539" s="3">
        <f>P_ITV*(V539="sí")+P_LIBRO*(W539="sí")+P_CORREA*(X539="sí")+P_PROP*(Y539=1)+P_GAR*(Z539="sí")+P_FOTOS*MIN(1,N(U539)/FOTOS_OBJ)</f>
        <v/>
      </c>
      <c r="BS539" s="3">
        <f>IFERROR(VLOOKUP(BF539,ETQ_TBL,2,0),NEUTRO)</f>
        <v/>
      </c>
      <c r="BT539" s="3">
        <f>NEUTRO</f>
        <v/>
      </c>
      <c r="BU539" s="3">
        <f>IFERROR(VLOOKUP(L539,SEGURO_TBL,3,0),"")</f>
        <v/>
      </c>
      <c r="BV539" s="3">
        <f>IF(BU539="",NEUTRO,MAX(0,MIN(100,100*(SEG_REF_MAX-BU539)/(SEG_REF_MAX-SEG_REF_MIN))))</f>
        <v/>
      </c>
      <c r="BW539" s="3">
        <f>W_ET*BS539+W_CONS*BT539+W_SEG*BV539</f>
        <v/>
      </c>
      <c r="BX539" s="3">
        <f>IF(N(AB539)&gt;0,AB539,IF(AND(R539="profesional",SG_LEGAL_ON=1),GAR_LEGAL,0))</f>
        <v/>
      </c>
      <c r="BY539" s="3">
        <f>SG_GAR*MIN(1,BX539/SG_GAR_FULL)+SG_AMPL*(AC539="sí")+SG_KMC*(AF539="sí")+SG_REV*(N(AE539)&gt;0)+SG_DEV*MIN(1,N(AG539)/SG_DEV_FULL)+SG_HIST*(W539="sí")</f>
        <v/>
      </c>
      <c r="BZ539" s="3">
        <f>IFERROR(VLOOKUP(L539,CARR_PEN_TBL,2,0),0)</f>
        <v/>
      </c>
      <c r="CA539" s="3">
        <f>W_FIAB*BL539+W_PRECIO*BM539+W_KMEDAD*BQ539+W_ANUNCIO*BR539+W_USO*BW539+W_SEGURIDAD*BY539-BZ539</f>
        <v/>
      </c>
      <c r="CB539" s="4">
        <f>IF(N(I539)&gt;0,I539,IFERROR(ROUND(_xlfn.NUMBERVALUE(LEFT(G539,FIND(" ",G539&amp;" ")-1),".")*1000,0),99999))</f>
        <v/>
      </c>
      <c r="CC539" s="3">
        <f>IF(R539="profesional",0,IF(O539&lt;CUOTA_VALOR_MAX,IF(AU539&gt;ITP_TRAMO_ALTO,SUMIFS(CF_CUOTA,CF_MAS,ITP_TRAMO_ALTO,CF_CCMIN,"&lt;="&amp;CB539,CF_CCMAX,"&gt;="&amp;CB539),IF(AU539&gt;ITP_TRAMO_BAJO,SUMIFS(CF_CUOTA,CF_MAS,ITP_TRAMO_BAJO,CF_CCMIN,"&lt;="&amp;CB539,CF_CCMAX,"&gt;="&amp;CB539),O539*ITP_TIPO)),O539*ITP_TIPO))</f>
        <v/>
      </c>
      <c r="CD539" s="4">
        <f>IF(R539="profesional",N(AK539),0)</f>
        <v/>
      </c>
      <c r="CE539" s="3">
        <f>IF(AND(R539="profesional",ISNUMBER(AK539),AL539="sí"),0,TASA_DGT)</f>
        <v/>
      </c>
      <c r="CF539" s="3">
        <f>INFORME_DGT</f>
        <v/>
      </c>
      <c r="CG539" s="4">
        <f>O539+CD539+CC539+CE539+CF539</f>
        <v/>
      </c>
      <c r="CH539" s="4">
        <f>CG539+N(BU539)</f>
        <v/>
      </c>
      <c r="CI539" s="3">
        <f>IF(CG539&lt;=TOTAL_MAX,"sí",IF(CG539&lt;=TOTAL_MAX+MARGEN_NEG,"negociar","no"))</f>
        <v/>
      </c>
      <c r="CJ539" s="4">
        <f>IF(CI539&lt;&gt;"no",COUNTIFS($CI$2:$CI$662,"&lt;&gt;no",$CA$2:$CA$662,"&gt;"&amp;CA539)+COUNTIFS($CI$2:CI539,"&lt;&gt;no",$CA$2:CA539,CA539),"")</f>
        <v/>
      </c>
    </row>
    <row r="540">
      <c r="A540" s="2" t="inlineStr">
        <is>
          <t>cochesnet:71857656</t>
        </is>
      </c>
      <c r="B540" s="2" t="inlineStr">
        <is>
          <t>cochesnet</t>
        </is>
      </c>
      <c r="C540" s="2" t="inlineStr">
        <is>
          <t>https://www.coches.net/fiat-grande-punto-13-multijet-16v-90-active-3p-diesel-2007-en-valencia-71857656-covo.aspx</t>
        </is>
      </c>
      <c r="D540" s="2" t="inlineStr">
        <is>
          <t>FIAT Grande Punto 1.3 Multijet 16v 90 Active</t>
        </is>
      </c>
      <c r="E540" s="2" t="inlineStr">
        <is>
          <t>Fiat</t>
        </is>
      </c>
      <c r="F540" s="2" t="inlineStr">
        <is>
          <t>Fiat Punto</t>
        </is>
      </c>
      <c r="G540" s="2" t="inlineStr">
        <is>
          <t>1.3 Multijet</t>
        </is>
      </c>
      <c r="H540" s="2" t="inlineStr">
        <is>
          <t>1.3 Multijet 16v 90 Active</t>
        </is>
      </c>
      <c r="I540" s="2" t="n"/>
      <c r="J540" s="2" t="n"/>
      <c r="K540" s="2" t="inlineStr">
        <is>
          <t>diesel</t>
        </is>
      </c>
      <c r="L540" s="2" t="inlineStr">
        <is>
          <t>utilitario</t>
        </is>
      </c>
      <c r="M540" s="2" t="n">
        <v>2009</v>
      </c>
      <c r="N540" s="2" t="n">
        <v>220000</v>
      </c>
      <c r="O540" s="2" t="n">
        <v>2500</v>
      </c>
      <c r="P540" s="2" t="inlineStr">
        <is>
          <t>manual</t>
        </is>
      </c>
      <c r="Q540" s="2" t="inlineStr">
        <is>
          <t>no</t>
        </is>
      </c>
      <c r="R540" s="2" t="inlineStr">
        <is>
          <t>particular</t>
        </is>
      </c>
      <c r="S540" s="2" t="inlineStr">
        <is>
          <t>Valencia</t>
        </is>
      </c>
      <c r="T540" s="2" t="inlineStr">
        <is>
          <t>2026-10-28T22:10:29Z</t>
        </is>
      </c>
      <c r="U540" s="2" t="n">
        <v>5</v>
      </c>
      <c r="V540" s="2" t="inlineStr">
        <is>
          <t>sí</t>
        </is>
      </c>
      <c r="W540" s="2" t="n"/>
      <c r="X540" s="2" t="n"/>
      <c r="Y540" s="2" t="n"/>
      <c r="Z540" s="2" t="inlineStr">
        <is>
          <t>no</t>
        </is>
      </c>
      <c r="AA540" s="2" t="n"/>
      <c r="AB540" s="2" t="n"/>
      <c r="AC540" s="2" t="n"/>
      <c r="AD540" s="2" t="n"/>
      <c r="AE540" s="2" t="n"/>
      <c r="AF540" s="2" t="n"/>
      <c r="AG540" s="2" t="n"/>
      <c r="AH540" s="2" t="n">
        <v>2500</v>
      </c>
      <c r="AI540" s="2" t="n"/>
      <c r="AJ540" s="2" t="n"/>
      <c r="AK540" s="2" t="n"/>
      <c r="AL540" s="2" t="n"/>
      <c r="AM540" s="2" t="n">
        <v>0.1</v>
      </c>
      <c r="AN540" s="2" t="n">
        <v>2500</v>
      </c>
      <c r="AO540" s="2" t="n">
        <v>5</v>
      </c>
      <c r="AP540" s="2" t="inlineStr">
        <is>
          <t>modelo+año+km</t>
        </is>
      </c>
      <c r="AQ540" s="2" t="n"/>
      <c r="AR540" s="2" t="inlineStr">
        <is>
          <t>cuota fija ITP: &gt;12 años, hasta 1.500 cc; fiabilidad del modelo PENDIENTE de fuente (puntuación neutra)</t>
        </is>
      </c>
      <c r="AS540" s="2" t="inlineStr">
        <is>
          <t>Vendo Fiat Punto de 2007 con 220.000 km. Mecánicamente perfecto  es diesel y turrbo, ITV pasada vigente hasta octubre de 2027. Interior muy cuidado con aire acondicionado y todo funciona . Tiene algunos rayones exteriores poco visibles. Papeles en regla y cambio de titularidad en el momento. Valencia. Solo interesados, gracias.</t>
        </is>
      </c>
      <c r="AT540" s="2" t="inlineStr">
        <is>
          <t>https://www.coches.net/fiat-grande-punto-13-multijet-16v-90-active-3p-diesel-2007-en-valencia-71857656-covo.aspx (window.__INITIAL_PROPS__.ad) /home/user/Alopecia/buscador-coches/raw/cochesnet/668b024baa7d04b7.json</t>
        </is>
      </c>
      <c r="AU540" s="3">
        <f>MAX(ANIO_ACTUAL-M540,0)</f>
        <v/>
      </c>
      <c r="AV540" s="4">
        <f>N540/MAX(AU540,0.5)</f>
        <v/>
      </c>
      <c r="AW540" s="4">
        <f>F540</f>
        <v/>
      </c>
      <c r="AX540" s="3">
        <f>AW540&amp;"|"&amp;INT(M540/SEG_ANIO)*SEG_ANIO</f>
        <v/>
      </c>
      <c r="AY540" s="3">
        <f>AX540&amp;"|"&amp;INT(N540/SEG_KM)*SEG_KM</f>
        <v/>
      </c>
      <c r="AZ540" s="4">
        <f>COUNTIF($AW$2:$AW$662,AW540)</f>
        <v/>
      </c>
      <c r="BA540" s="4">
        <f>COUNTIF($AX$2:$AX$662,AX540)</f>
        <v/>
      </c>
      <c r="BB540" s="4">
        <f>COUNTIF($AY$2:$AY$662,AY540)</f>
        <v/>
      </c>
      <c r="BC540" s="3">
        <f t="array" ref="BC540">IF(N(AO540)&gt;=MIN_N,AN540,IF(BB540&gt;=MIN_N,MEDIAN(IF($AY$2:$AY$662=AY540,$O$2:$O$662)),IF(BA540&gt;=MIN_N,MEDIAN(IF($AX$2:$AX$662=AX540,$O$2:$O$662)),MEDIAN(IF($AW$2:$AW$662=AW540,$O$2:$O$662)))))</f>
        <v/>
      </c>
      <c r="BD540" s="3">
        <f>IF(N(AO540)&gt;=MIN_N,"mercado "&amp;AP540,IF(BB540&gt;=MIN_N,"modelo+año+km",IF(BA540&gt;=MIN_N,"modelo+año","modelo")))</f>
        <v/>
      </c>
      <c r="BE540" s="4">
        <f>(BC540-O540)/BC540</f>
        <v/>
      </c>
      <c r="BF540" s="3">
        <f>IF(OR(K540="hibrido",K540="glp"),"ECO",IF(K540="electrico","CERO",IF(K540="gasolina",IF(M540&gt;=GAS_C,"C",IF(M540&gt;=GAS_B,"B","A")),IF(K540="diesel",IF(M540&gt;=DIE_C,"C",IF(M540&gt;=DIE_B,"B","A")),""))))</f>
        <v/>
      </c>
      <c r="BG540" s="3">
        <f>IFERROR(VLOOKUP(F540,MOD_TBL,11,0),IFERROR(VLOOKUP(E540,OCU_TBL,2,0),NEUTRO))</f>
        <v/>
      </c>
      <c r="BH540" s="3">
        <f>SUMIFS(MOT_AJUSTE,MOT_MOTOR,G540,MOT_MARCA,E540,MOT_DESDE,"&lt;="&amp;M540,MOT_HASTA,"&gt;="&amp;M540)+SUMIFS(MOT_AJUSTE,MOT_MOTOR,G540,MOT_MARCA,"(todas)",MOT_DESDE,"&lt;="&amp;M540,MOT_HASTA,"&gt;="&amp;M540)</f>
        <v/>
      </c>
      <c r="BI540" s="3">
        <f>SUMIFS(COMB_AJUSTE,COMB_COMB,K540)</f>
        <v/>
      </c>
      <c r="BJ540" s="3">
        <f>COUNTIFS(MOT_MOTOR,G540,MOT_MARCA,E540,MOT_DESDE,"&lt;="&amp;M540,MOT_HASTA,"&gt;="&amp;M540)+COUNTIFS(MOT_MOTOR,G540,MOT_MARCA,"(todas)",MOT_DESDE,"&lt;="&amp;M540,MOT_HASTA,"&gt;="&amp;M540)</f>
        <v/>
      </c>
      <c r="BK540" s="3">
        <f>IF(AND(K540="diesel",BJ540=0),MIN(BG540,NEUTRO),BG540)</f>
        <v/>
      </c>
      <c r="BL540" s="4">
        <f>MAX(0,MIN(100,BK540+BH540+BI540))</f>
        <v/>
      </c>
      <c r="BM540" s="3">
        <f>MAX(0,MIN(100,50+BE540*PRECIO_PEND))</f>
        <v/>
      </c>
      <c r="BN540" s="3">
        <f>MAX(0,100*(1-N540/KM_MAX))</f>
        <v/>
      </c>
      <c r="BO540" s="3">
        <f>IF(AV540&lt;KMA_SOSP,IF(AA540="sí",100,KMA_PEN),IF(AV540&lt;=KMA_IDEAL_MAX,100,MAX(0,100*(KMA_CERO-AV540)/(KMA_CERO-KMA_IDEAL_MAX))))</f>
        <v/>
      </c>
      <c r="BP540" s="3">
        <f>MAX(0,MIN(100,100*(M540-ANIO_MIN)/(ANIO_ACTUAL-ANIO_MIN)))</f>
        <v/>
      </c>
      <c r="BQ540" s="3">
        <f>W_KMT*BN540+W_KMA*BO540+W_EDAD*BP540</f>
        <v/>
      </c>
      <c r="BR540" s="3">
        <f>P_ITV*(V540="sí")+P_LIBRO*(W540="sí")+P_CORREA*(X540="sí")+P_PROP*(Y540=1)+P_GAR*(Z540="sí")+P_FOTOS*MIN(1,N(U540)/FOTOS_OBJ)</f>
        <v/>
      </c>
      <c r="BS540" s="3">
        <f>IFERROR(VLOOKUP(BF540,ETQ_TBL,2,0),NEUTRO)</f>
        <v/>
      </c>
      <c r="BT540" s="3">
        <f>NEUTRO</f>
        <v/>
      </c>
      <c r="BU540" s="3">
        <f>IFERROR(VLOOKUP(L540,SEGURO_TBL,3,0),"")</f>
        <v/>
      </c>
      <c r="BV540" s="3">
        <f>IF(BU540="",NEUTRO,MAX(0,MIN(100,100*(SEG_REF_MAX-BU540)/(SEG_REF_MAX-SEG_REF_MIN))))</f>
        <v/>
      </c>
      <c r="BW540" s="3">
        <f>W_ET*BS540+W_CONS*BT540+W_SEG*BV540</f>
        <v/>
      </c>
      <c r="BX540" s="3">
        <f>IF(N(AB540)&gt;0,AB540,IF(AND(R540="profesional",SG_LEGAL_ON=1),GAR_LEGAL,0))</f>
        <v/>
      </c>
      <c r="BY540" s="3">
        <f>SG_GAR*MIN(1,BX540/SG_GAR_FULL)+SG_AMPL*(AC540="sí")+SG_KMC*(AF540="sí")+SG_REV*(N(AE540)&gt;0)+SG_DEV*MIN(1,N(AG540)/SG_DEV_FULL)+SG_HIST*(W540="sí")</f>
        <v/>
      </c>
      <c r="BZ540" s="3">
        <f>IFERROR(VLOOKUP(L540,CARR_PEN_TBL,2,0),0)</f>
        <v/>
      </c>
      <c r="CA540" s="3">
        <f>W_FIAB*BL540+W_PRECIO*BM540+W_KMEDAD*BQ540+W_ANUNCIO*BR540+W_USO*BW540+W_SEGURIDAD*BY540-BZ540</f>
        <v/>
      </c>
      <c r="CB540" s="4">
        <f>IF(N(I540)&gt;0,I540,IFERROR(ROUND(_xlfn.NUMBERVALUE(LEFT(G540,FIND(" ",G540&amp;" ")-1),".")*1000,0),99999))</f>
        <v/>
      </c>
      <c r="CC540" s="3">
        <f>IF(R540="profesional",0,IF(O540&lt;CUOTA_VALOR_MAX,IF(AU540&gt;ITP_TRAMO_ALTO,SUMIFS(CF_CUOTA,CF_MAS,ITP_TRAMO_ALTO,CF_CCMIN,"&lt;="&amp;CB540,CF_CCMAX,"&gt;="&amp;CB540),IF(AU540&gt;ITP_TRAMO_BAJO,SUMIFS(CF_CUOTA,CF_MAS,ITP_TRAMO_BAJO,CF_CCMIN,"&lt;="&amp;CB540,CF_CCMAX,"&gt;="&amp;CB540),O540*ITP_TIPO)),O540*ITP_TIPO))</f>
        <v/>
      </c>
      <c r="CD540" s="4">
        <f>IF(R540="profesional",N(AK540),0)</f>
        <v/>
      </c>
      <c r="CE540" s="3">
        <f>IF(AND(R540="profesional",ISNUMBER(AK540),AL540="sí"),0,TASA_DGT)</f>
        <v/>
      </c>
      <c r="CF540" s="3">
        <f>INFORME_DGT</f>
        <v/>
      </c>
      <c r="CG540" s="4">
        <f>O540+CD540+CC540+CE540+CF540</f>
        <v/>
      </c>
      <c r="CH540" s="4">
        <f>CG540+N(BU540)</f>
        <v/>
      </c>
      <c r="CI540" s="3">
        <f>IF(CG540&lt;=TOTAL_MAX,"sí",IF(CG540&lt;=TOTAL_MAX+MARGEN_NEG,"negociar","no"))</f>
        <v/>
      </c>
      <c r="CJ540" s="4">
        <f>IF(CI540&lt;&gt;"no",COUNTIFS($CI$2:$CI$662,"&lt;&gt;no",$CA$2:$CA$662,"&gt;"&amp;CA540)+COUNTIFS($CI$2:CI540,"&lt;&gt;no",$CA$2:CA540,CA540),"")</f>
        <v/>
      </c>
    </row>
    <row r="541">
      <c r="A541" s="2" t="inlineStr">
        <is>
          <t>cochesnet:71808710</t>
        </is>
      </c>
      <c r="B541" s="2" t="inlineStr">
        <is>
          <t>cochesnet</t>
        </is>
      </c>
      <c r="C541" s="2" t="inlineStr">
        <is>
          <t>https://www.coches.net/fiat-bravo-16-multijet-120-cv-emotion-5p-diesel-2012-en-valencia-71808710-covo.aspx</t>
        </is>
      </c>
      <c r="D541" s="2" t="inlineStr">
        <is>
          <t>FIAT Bravo 1.6 Multijet 120 CV Emotion</t>
        </is>
      </c>
      <c r="E541" s="2" t="inlineStr">
        <is>
          <t>Fiat</t>
        </is>
      </c>
      <c r="F541" s="2" t="inlineStr">
        <is>
          <t>Fiat Bravo</t>
        </is>
      </c>
      <c r="G541" s="2" t="inlineStr">
        <is>
          <t>1.6 Multijet</t>
        </is>
      </c>
      <c r="H541" s="2" t="inlineStr">
        <is>
          <t>1.6 Multijet 120 CV Emotion</t>
        </is>
      </c>
      <c r="I541" s="2" t="n"/>
      <c r="J541" s="2" t="n">
        <v>120</v>
      </c>
      <c r="K541" s="2" t="inlineStr">
        <is>
          <t>diesel</t>
        </is>
      </c>
      <c r="L541" s="2" t="inlineStr">
        <is>
          <t>compacto</t>
        </is>
      </c>
      <c r="M541" s="2" t="n">
        <v>2012</v>
      </c>
      <c r="N541" s="2" t="n">
        <v>188000</v>
      </c>
      <c r="O541" s="2" t="n">
        <v>4800</v>
      </c>
      <c r="P541" s="2" t="inlineStr">
        <is>
          <t>manual</t>
        </is>
      </c>
      <c r="Q541" s="2" t="inlineStr">
        <is>
          <t>no</t>
        </is>
      </c>
      <c r="R541" s="2" t="inlineStr">
        <is>
          <t>particular</t>
        </is>
      </c>
      <c r="S541" s="2" t="n"/>
      <c r="T541" s="2" t="inlineStr">
        <is>
          <t>2026-10-22T11:07:47Z</t>
        </is>
      </c>
      <c r="U541" s="2" t="n">
        <v>9</v>
      </c>
      <c r="V541" s="2" t="n"/>
      <c r="W541" s="2" t="n"/>
      <c r="X541" s="2" t="inlineStr">
        <is>
          <t>sí</t>
        </is>
      </c>
      <c r="Y541" s="2" t="n"/>
      <c r="Z541" s="2" t="inlineStr">
        <is>
          <t>no</t>
        </is>
      </c>
      <c r="AA541" s="2" t="n"/>
      <c r="AB541" s="2" t="n"/>
      <c r="AC541" s="2" t="n"/>
      <c r="AD541" s="2" t="n"/>
      <c r="AE541" s="2" t="n"/>
      <c r="AF541" s="2" t="n"/>
      <c r="AG541" s="2" t="n"/>
      <c r="AH541" s="2" t="n">
        <v>4800</v>
      </c>
      <c r="AI541" s="2" t="n"/>
      <c r="AJ541" s="2" t="n"/>
      <c r="AK541" s="2" t="n"/>
      <c r="AL541" s="2" t="n"/>
      <c r="AM541" s="2" t="n"/>
      <c r="AN541" s="2" t="n">
        <v>3800</v>
      </c>
      <c r="AO541" s="2" t="n">
        <v>5</v>
      </c>
      <c r="AP541" s="2" t="inlineStr">
        <is>
          <t>modelo+año</t>
        </is>
      </c>
      <c r="AQ541" s="2" t="n"/>
      <c r="AR541"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S541" s="2" t="inlineStr">
        <is>
          <t>ITV en 2027, le funciona todo vidrios automáticos eléctricos en las 4 ventanas, aire acondicionado en excelente estado, interior del coche en perfectas condiciones, kit de distribución recién cambiado con filtros y aceite</t>
        </is>
      </c>
      <c r="AT541" s="2" t="inlineStr">
        <is>
          <t>https://www.coches.net/fiat-bravo-16-multijet-120-cv-emotion-5p-diesel-2012-en-valencia-71808710-covo.aspx (window.__INITIAL_PROPS__.ad) /home/user/Alopecia/buscador-coches/raw/cochesnet/5c6d8e8780b2d857.json</t>
        </is>
      </c>
      <c r="AU541" s="3">
        <f>MAX(ANIO_ACTUAL-M541,0)</f>
        <v/>
      </c>
      <c r="AV541" s="4">
        <f>N541/MAX(AU541,0.5)</f>
        <v/>
      </c>
      <c r="AW541" s="4">
        <f>F541</f>
        <v/>
      </c>
      <c r="AX541" s="3">
        <f>AW541&amp;"|"&amp;INT(M541/SEG_ANIO)*SEG_ANIO</f>
        <v/>
      </c>
      <c r="AY541" s="3">
        <f>AX541&amp;"|"&amp;INT(N541/SEG_KM)*SEG_KM</f>
        <v/>
      </c>
      <c r="AZ541" s="4">
        <f>COUNTIF($AW$2:$AW$662,AW541)</f>
        <v/>
      </c>
      <c r="BA541" s="4">
        <f>COUNTIF($AX$2:$AX$662,AX541)</f>
        <v/>
      </c>
      <c r="BB541" s="4">
        <f>COUNTIF($AY$2:$AY$662,AY541)</f>
        <v/>
      </c>
      <c r="BC541" s="3">
        <f t="array" ref="BC541">IF(N(AO541)&gt;=MIN_N,AN541,IF(BB541&gt;=MIN_N,MEDIAN(IF($AY$2:$AY$662=AY541,$O$2:$O$662)),IF(BA541&gt;=MIN_N,MEDIAN(IF($AX$2:$AX$662=AX541,$O$2:$O$662)),MEDIAN(IF($AW$2:$AW$662=AW541,$O$2:$O$662)))))</f>
        <v/>
      </c>
      <c r="BD541" s="3">
        <f>IF(N(AO541)&gt;=MIN_N,"mercado "&amp;AP541,IF(BB541&gt;=MIN_N,"modelo+año+km",IF(BA541&gt;=MIN_N,"modelo+año","modelo")))</f>
        <v/>
      </c>
      <c r="BE541" s="4">
        <f>(BC541-O541)/BC541</f>
        <v/>
      </c>
      <c r="BF541" s="3">
        <f>IF(OR(K541="hibrido",K541="glp"),"ECO",IF(K541="electrico","CERO",IF(K541="gasolina",IF(M541&gt;=GAS_C,"C",IF(M541&gt;=GAS_B,"B","A")),IF(K541="diesel",IF(M541&gt;=DIE_C,"C",IF(M541&gt;=DIE_B,"B","A")),""))))</f>
        <v/>
      </c>
      <c r="BG541" s="3">
        <f>IFERROR(VLOOKUP(F541,MOD_TBL,11,0),IFERROR(VLOOKUP(E541,OCU_TBL,2,0),NEUTRO))</f>
        <v/>
      </c>
      <c r="BH541" s="3">
        <f>SUMIFS(MOT_AJUSTE,MOT_MOTOR,G541,MOT_MARCA,E541,MOT_DESDE,"&lt;="&amp;M541,MOT_HASTA,"&gt;="&amp;M541)+SUMIFS(MOT_AJUSTE,MOT_MOTOR,G541,MOT_MARCA,"(todas)",MOT_DESDE,"&lt;="&amp;M541,MOT_HASTA,"&gt;="&amp;M541)</f>
        <v/>
      </c>
      <c r="BI541" s="3">
        <f>SUMIFS(COMB_AJUSTE,COMB_COMB,K541)</f>
        <v/>
      </c>
      <c r="BJ541" s="3">
        <f>COUNTIFS(MOT_MOTOR,G541,MOT_MARCA,E541,MOT_DESDE,"&lt;="&amp;M541,MOT_HASTA,"&gt;="&amp;M541)+COUNTIFS(MOT_MOTOR,G541,MOT_MARCA,"(todas)",MOT_DESDE,"&lt;="&amp;M541,MOT_HASTA,"&gt;="&amp;M541)</f>
        <v/>
      </c>
      <c r="BK541" s="3">
        <f>IF(AND(K541="diesel",BJ541=0),MIN(BG541,NEUTRO),BG541)</f>
        <v/>
      </c>
      <c r="BL541" s="4">
        <f>MAX(0,MIN(100,BK541+BH541+BI541))</f>
        <v/>
      </c>
      <c r="BM541" s="3">
        <f>MAX(0,MIN(100,50+BE541*PRECIO_PEND))</f>
        <v/>
      </c>
      <c r="BN541" s="3">
        <f>MAX(0,100*(1-N541/KM_MAX))</f>
        <v/>
      </c>
      <c r="BO541" s="3">
        <f>IF(AV541&lt;KMA_SOSP,IF(AA541="sí",100,KMA_PEN),IF(AV541&lt;=KMA_IDEAL_MAX,100,MAX(0,100*(KMA_CERO-AV541)/(KMA_CERO-KMA_IDEAL_MAX))))</f>
        <v/>
      </c>
      <c r="BP541" s="3">
        <f>MAX(0,MIN(100,100*(M541-ANIO_MIN)/(ANIO_ACTUAL-ANIO_MIN)))</f>
        <v/>
      </c>
      <c r="BQ541" s="3">
        <f>W_KMT*BN541+W_KMA*BO541+W_EDAD*BP541</f>
        <v/>
      </c>
      <c r="BR541" s="3">
        <f>P_ITV*(V541="sí")+P_LIBRO*(W541="sí")+P_CORREA*(X541="sí")+P_PROP*(Y541=1)+P_GAR*(Z541="sí")+P_FOTOS*MIN(1,N(U541)/FOTOS_OBJ)</f>
        <v/>
      </c>
      <c r="BS541" s="3">
        <f>IFERROR(VLOOKUP(BF541,ETQ_TBL,2,0),NEUTRO)</f>
        <v/>
      </c>
      <c r="BT541" s="3">
        <f>NEUTRO</f>
        <v/>
      </c>
      <c r="BU541" s="3">
        <f>IFERROR(VLOOKUP(L541,SEGURO_TBL,3,0),"")</f>
        <v/>
      </c>
      <c r="BV541" s="3">
        <f>IF(BU541="",NEUTRO,MAX(0,MIN(100,100*(SEG_REF_MAX-BU541)/(SEG_REF_MAX-SEG_REF_MIN))))</f>
        <v/>
      </c>
      <c r="BW541" s="3">
        <f>W_ET*BS541+W_CONS*BT541+W_SEG*BV541</f>
        <v/>
      </c>
      <c r="BX541" s="3">
        <f>IF(N(AB541)&gt;0,AB541,IF(AND(R541="profesional",SG_LEGAL_ON=1),GAR_LEGAL,0))</f>
        <v/>
      </c>
      <c r="BY541" s="3">
        <f>SG_GAR*MIN(1,BX541/SG_GAR_FULL)+SG_AMPL*(AC541="sí")+SG_KMC*(AF541="sí")+SG_REV*(N(AE541)&gt;0)+SG_DEV*MIN(1,N(AG541)/SG_DEV_FULL)+SG_HIST*(W541="sí")</f>
        <v/>
      </c>
      <c r="BZ541" s="3">
        <f>IFERROR(VLOOKUP(L541,CARR_PEN_TBL,2,0),0)</f>
        <v/>
      </c>
      <c r="CA541" s="3">
        <f>W_FIAB*BL541+W_PRECIO*BM541+W_KMEDAD*BQ541+W_ANUNCIO*BR541+W_USO*BW541+W_SEGURIDAD*BY541-BZ541</f>
        <v/>
      </c>
      <c r="CB541" s="4">
        <f>IF(N(I541)&gt;0,I541,IFERROR(ROUND(_xlfn.NUMBERVALUE(LEFT(G541,FIND(" ",G541&amp;" ")-1),".")*1000,0),99999))</f>
        <v/>
      </c>
      <c r="CC541" s="3">
        <f>IF(R541="profesional",0,IF(O541&lt;CUOTA_VALOR_MAX,IF(AU541&gt;ITP_TRAMO_ALTO,SUMIFS(CF_CUOTA,CF_MAS,ITP_TRAMO_ALTO,CF_CCMIN,"&lt;="&amp;CB541,CF_CCMAX,"&gt;="&amp;CB541),IF(AU541&gt;ITP_TRAMO_BAJO,SUMIFS(CF_CUOTA,CF_MAS,ITP_TRAMO_BAJO,CF_CCMIN,"&lt;="&amp;CB541,CF_CCMAX,"&gt;="&amp;CB541),O541*ITP_TIPO)),O541*ITP_TIPO))</f>
        <v/>
      </c>
      <c r="CD541" s="4">
        <f>IF(R541="profesional",N(AK541),0)</f>
        <v/>
      </c>
      <c r="CE541" s="3">
        <f>IF(AND(R541="profesional",ISNUMBER(AK541),AL541="sí"),0,TASA_DGT)</f>
        <v/>
      </c>
      <c r="CF541" s="3">
        <f>INFORME_DGT</f>
        <v/>
      </c>
      <c r="CG541" s="4">
        <f>O541+CD541+CC541+CE541+CF541</f>
        <v/>
      </c>
      <c r="CH541" s="4">
        <f>CG541+N(BU541)</f>
        <v/>
      </c>
      <c r="CI541" s="3">
        <f>IF(CG541&lt;=TOTAL_MAX,"sí",IF(CG541&lt;=TOTAL_MAX+MARGEN_NEG,"negociar","no"))</f>
        <v/>
      </c>
      <c r="CJ541" s="4">
        <f>IF(CI541&lt;&gt;"no",COUNTIFS($CI$2:$CI$662,"&lt;&gt;no",$CA$2:$CA$662,"&gt;"&amp;CA541)+COUNTIFS($CI$2:CI541,"&lt;&gt;no",$CA$2:CA541,CA541),"")</f>
        <v/>
      </c>
    </row>
    <row r="542">
      <c r="A542" s="2" t="inlineStr">
        <is>
          <t>cochesnet:71804422</t>
        </is>
      </c>
      <c r="B542" s="2" t="inlineStr">
        <is>
          <t>cochesnet</t>
        </is>
      </c>
      <c r="C542" s="2" t="inlineStr">
        <is>
          <t>https://www.coches.net/fiat-500-12-8v-69-cv-sport-3p-gasolina-2009-en-valencia-71804422-covo.aspx</t>
        </is>
      </c>
      <c r="D542" s="2" t="inlineStr">
        <is>
          <t>FIAT 500 1.2 8v 69 CV Sport</t>
        </is>
      </c>
      <c r="E542" s="2" t="inlineStr">
        <is>
          <t>Fiat</t>
        </is>
      </c>
      <c r="F542" s="2" t="inlineStr">
        <is>
          <t>Fiat 500</t>
        </is>
      </c>
      <c r="G542" s="2" t="inlineStr">
        <is>
          <t>1.2</t>
        </is>
      </c>
      <c r="H542" s="2" t="inlineStr">
        <is>
          <t>1.2 8v 69 CV Sport</t>
        </is>
      </c>
      <c r="I542" s="2" t="n"/>
      <c r="J542" s="2" t="n">
        <v>69</v>
      </c>
      <c r="K542" s="2" t="inlineStr">
        <is>
          <t>gasolina</t>
        </is>
      </c>
      <c r="L542" s="2" t="inlineStr">
        <is>
          <t>utilitario</t>
        </is>
      </c>
      <c r="M542" s="2" t="n">
        <v>2009</v>
      </c>
      <c r="N542" s="2" t="n">
        <v>175000</v>
      </c>
      <c r="O542" s="2" t="n">
        <v>4700</v>
      </c>
      <c r="P542" s="2" t="inlineStr">
        <is>
          <t>automatico</t>
        </is>
      </c>
      <c r="Q542" s="2" t="inlineStr">
        <is>
          <t>sí</t>
        </is>
      </c>
      <c r="R542" s="2" t="inlineStr">
        <is>
          <t>particular</t>
        </is>
      </c>
      <c r="S542" s="2" t="inlineStr">
        <is>
          <t>Paiporta</t>
        </is>
      </c>
      <c r="T542" s="2" t="inlineStr">
        <is>
          <t>2026-10-21T22:17:50Z</t>
        </is>
      </c>
      <c r="U542" s="2" t="n">
        <v>12</v>
      </c>
      <c r="V542" s="2" t="n"/>
      <c r="W542" s="2" t="n"/>
      <c r="X542" s="2" t="n"/>
      <c r="Y542" s="2" t="n"/>
      <c r="Z542" s="2" t="inlineStr">
        <is>
          <t>no</t>
        </is>
      </c>
      <c r="AA542" s="2" t="n"/>
      <c r="AB542" s="2" t="n"/>
      <c r="AC542" s="2" t="n"/>
      <c r="AD542" s="2" t="n"/>
      <c r="AE542" s="2" t="n"/>
      <c r="AF542" s="2" t="n"/>
      <c r="AG542" s="2" t="n"/>
      <c r="AH542" s="2" t="n">
        <v>4700</v>
      </c>
      <c r="AI542" s="2" t="n"/>
      <c r="AJ542" s="2" t="n"/>
      <c r="AK542" s="2" t="n"/>
      <c r="AL542" s="2" t="n"/>
      <c r="AM542" s="2" t="n">
        <v>5.9</v>
      </c>
      <c r="AN542" s="2" t="n">
        <v>4990</v>
      </c>
      <c r="AO542" s="2" t="n">
        <v>7</v>
      </c>
      <c r="AP542" s="2" t="inlineStr">
        <is>
          <t>modelo+año</t>
        </is>
      </c>
      <c r="AQ542" s="2" t="n"/>
      <c r="AR542" s="2" t="inlineStr">
        <is>
          <t>cuota fija ITP: &gt;12 años, hasta 1.500 cc</t>
        </is>
      </c>
      <c r="AS542" s="2" t="inlineStr">
        <is>
          <t xml:space="preserve">Fiat 500 1.2 Sport 69 CV – Manual – Blanco
Vendo mi Fiat 500 1.2 Sport, un coche compacto, práctico y con mucho estilo, ideal para moverse por ciudad y aparcar fácilmente. Es de color blanco, tiene 3 puertas y capacidad para 4 personas. Tanto el interior como el exterior se encuentran en buen estado general.
Cuenta con un motor de gasolina de 1.242 cc y 69 CV, con un consumo ajustado, perfecto para los desplazamientos del día a día. Su tamaño compacto lo hace muy manejable y es una buena opción como coche para ciudad.
Detalles que hay que tener en cuenta:
Los faros necesitan un pulido.
Hay que reparar el cable del mecanismo de los asientos abatibles.
Es necesario recargar el aire acondicionado.
Para que puedas elegir lo que más te convenga, hay dos opciones:
Me encargo yo de las reparaciones: el coche se vende al precio anunciado.
Prefieres arreglarlo tú: podemos descontar del precio el coste de las reparaciones y negociar una rebaja. Lo hablamos sin problema para llegar a un acuerdo justo para ambos.
Prefiero dejarlo todo claro desde el principio. Si buscas un coche pequeño, con personalidad y práctico para el día a día, puede ser una buena opción.
Si tienes alguna duda o quieres venir a verlo, escríbeme por chat y hablamos. </t>
        </is>
      </c>
      <c r="AT542" s="2" t="inlineStr">
        <is>
          <t>https://www.coches.net/fiat-500-12-8v-69-cv-sport-3p-gasolina-2009-en-valencia-71804422-covo.aspx (window.__INITIAL_PROPS__.ad) /home/user/Alopecia/buscador-coches/raw/cochesnet/ae156675963d0768.json</t>
        </is>
      </c>
      <c r="AU542" s="3">
        <f>MAX(ANIO_ACTUAL-M542,0)</f>
        <v/>
      </c>
      <c r="AV542" s="4">
        <f>N542/MAX(AU542,0.5)</f>
        <v/>
      </c>
      <c r="AW542" s="4">
        <f>F542</f>
        <v/>
      </c>
      <c r="AX542" s="3">
        <f>AW542&amp;"|"&amp;INT(M542/SEG_ANIO)*SEG_ANIO</f>
        <v/>
      </c>
      <c r="AY542" s="3">
        <f>AX542&amp;"|"&amp;INT(N542/SEG_KM)*SEG_KM</f>
        <v/>
      </c>
      <c r="AZ542" s="4">
        <f>COUNTIF($AW$2:$AW$662,AW542)</f>
        <v/>
      </c>
      <c r="BA542" s="4">
        <f>COUNTIF($AX$2:$AX$662,AX542)</f>
        <v/>
      </c>
      <c r="BB542" s="4">
        <f>COUNTIF($AY$2:$AY$662,AY542)</f>
        <v/>
      </c>
      <c r="BC542" s="3">
        <f t="array" ref="BC542">IF(N(AO542)&gt;=MIN_N,AN542,IF(BB542&gt;=MIN_N,MEDIAN(IF($AY$2:$AY$662=AY542,$O$2:$O$662)),IF(BA542&gt;=MIN_N,MEDIAN(IF($AX$2:$AX$662=AX542,$O$2:$O$662)),MEDIAN(IF($AW$2:$AW$662=AW542,$O$2:$O$662)))))</f>
        <v/>
      </c>
      <c r="BD542" s="3">
        <f>IF(N(AO542)&gt;=MIN_N,"mercado "&amp;AP542,IF(BB542&gt;=MIN_N,"modelo+año+km",IF(BA542&gt;=MIN_N,"modelo+año","modelo")))</f>
        <v/>
      </c>
      <c r="BE542" s="4">
        <f>(BC542-O542)/BC542</f>
        <v/>
      </c>
      <c r="BF542" s="3">
        <f>IF(OR(K542="hibrido",K542="glp"),"ECO",IF(K542="electrico","CERO",IF(K542="gasolina",IF(M542&gt;=GAS_C,"C",IF(M542&gt;=GAS_B,"B","A")),IF(K542="diesel",IF(M542&gt;=DIE_C,"C",IF(M542&gt;=DIE_B,"B","A")),""))))</f>
        <v/>
      </c>
      <c r="BG542" s="3">
        <f>IFERROR(VLOOKUP(F542,MOD_TBL,11,0),IFERROR(VLOOKUP(E542,OCU_TBL,2,0),NEUTRO))</f>
        <v/>
      </c>
      <c r="BH542" s="3">
        <f>SUMIFS(MOT_AJUSTE,MOT_MOTOR,G542,MOT_MARCA,E542,MOT_DESDE,"&lt;="&amp;M542,MOT_HASTA,"&gt;="&amp;M542)+SUMIFS(MOT_AJUSTE,MOT_MOTOR,G542,MOT_MARCA,"(todas)",MOT_DESDE,"&lt;="&amp;M542,MOT_HASTA,"&gt;="&amp;M542)</f>
        <v/>
      </c>
      <c r="BI542" s="3">
        <f>SUMIFS(COMB_AJUSTE,COMB_COMB,K542)</f>
        <v/>
      </c>
      <c r="BJ542" s="3">
        <f>COUNTIFS(MOT_MOTOR,G542,MOT_MARCA,E542,MOT_DESDE,"&lt;="&amp;M542,MOT_HASTA,"&gt;="&amp;M542)+COUNTIFS(MOT_MOTOR,G542,MOT_MARCA,"(todas)",MOT_DESDE,"&lt;="&amp;M542,MOT_HASTA,"&gt;="&amp;M542)</f>
        <v/>
      </c>
      <c r="BK542" s="3">
        <f>IF(AND(K542="diesel",BJ542=0),MIN(BG542,NEUTRO),BG542)</f>
        <v/>
      </c>
      <c r="BL542" s="4">
        <f>MAX(0,MIN(100,BK542+BH542+BI542))</f>
        <v/>
      </c>
      <c r="BM542" s="3">
        <f>MAX(0,MIN(100,50+BE542*PRECIO_PEND))</f>
        <v/>
      </c>
      <c r="BN542" s="3">
        <f>MAX(0,100*(1-N542/KM_MAX))</f>
        <v/>
      </c>
      <c r="BO542" s="3">
        <f>IF(AV542&lt;KMA_SOSP,IF(AA542="sí",100,KMA_PEN),IF(AV542&lt;=KMA_IDEAL_MAX,100,MAX(0,100*(KMA_CERO-AV542)/(KMA_CERO-KMA_IDEAL_MAX))))</f>
        <v/>
      </c>
      <c r="BP542" s="3">
        <f>MAX(0,MIN(100,100*(M542-ANIO_MIN)/(ANIO_ACTUAL-ANIO_MIN)))</f>
        <v/>
      </c>
      <c r="BQ542" s="3">
        <f>W_KMT*BN542+W_KMA*BO542+W_EDAD*BP542</f>
        <v/>
      </c>
      <c r="BR542" s="3">
        <f>P_ITV*(V542="sí")+P_LIBRO*(W542="sí")+P_CORREA*(X542="sí")+P_PROP*(Y542=1)+P_GAR*(Z542="sí")+P_FOTOS*MIN(1,N(U542)/FOTOS_OBJ)</f>
        <v/>
      </c>
      <c r="BS542" s="3">
        <f>IFERROR(VLOOKUP(BF542,ETQ_TBL,2,0),NEUTRO)</f>
        <v/>
      </c>
      <c r="BT542" s="3">
        <f>NEUTRO</f>
        <v/>
      </c>
      <c r="BU542" s="3">
        <f>IFERROR(VLOOKUP(L542,SEGURO_TBL,3,0),"")</f>
        <v/>
      </c>
      <c r="BV542" s="3">
        <f>IF(BU542="",NEUTRO,MAX(0,MIN(100,100*(SEG_REF_MAX-BU542)/(SEG_REF_MAX-SEG_REF_MIN))))</f>
        <v/>
      </c>
      <c r="BW542" s="3">
        <f>W_ET*BS542+W_CONS*BT542+W_SEG*BV542</f>
        <v/>
      </c>
      <c r="BX542" s="3">
        <f>IF(N(AB542)&gt;0,AB542,IF(AND(R542="profesional",SG_LEGAL_ON=1),GAR_LEGAL,0))</f>
        <v/>
      </c>
      <c r="BY542" s="3">
        <f>SG_GAR*MIN(1,BX542/SG_GAR_FULL)+SG_AMPL*(AC542="sí")+SG_KMC*(AF542="sí")+SG_REV*(N(AE542)&gt;0)+SG_DEV*MIN(1,N(AG542)/SG_DEV_FULL)+SG_HIST*(W542="sí")</f>
        <v/>
      </c>
      <c r="BZ542" s="3">
        <f>IFERROR(VLOOKUP(L542,CARR_PEN_TBL,2,0),0)</f>
        <v/>
      </c>
      <c r="CA542" s="3">
        <f>W_FIAB*BL542+W_PRECIO*BM542+W_KMEDAD*BQ542+W_ANUNCIO*BR542+W_USO*BW542+W_SEGURIDAD*BY542-BZ542</f>
        <v/>
      </c>
      <c r="CB542" s="4">
        <f>IF(N(I542)&gt;0,I542,IFERROR(ROUND(_xlfn.NUMBERVALUE(LEFT(G542,FIND(" ",G542&amp;" ")-1),".")*1000,0),99999))</f>
        <v/>
      </c>
      <c r="CC542" s="3">
        <f>IF(R542="profesional",0,IF(O542&lt;CUOTA_VALOR_MAX,IF(AU542&gt;ITP_TRAMO_ALTO,SUMIFS(CF_CUOTA,CF_MAS,ITP_TRAMO_ALTO,CF_CCMIN,"&lt;="&amp;CB542,CF_CCMAX,"&gt;="&amp;CB542),IF(AU542&gt;ITP_TRAMO_BAJO,SUMIFS(CF_CUOTA,CF_MAS,ITP_TRAMO_BAJO,CF_CCMIN,"&lt;="&amp;CB542,CF_CCMAX,"&gt;="&amp;CB542),O542*ITP_TIPO)),O542*ITP_TIPO))</f>
        <v/>
      </c>
      <c r="CD542" s="4">
        <f>IF(R542="profesional",N(AK542),0)</f>
        <v/>
      </c>
      <c r="CE542" s="3">
        <f>IF(AND(R542="profesional",ISNUMBER(AK542),AL542="sí"),0,TASA_DGT)</f>
        <v/>
      </c>
      <c r="CF542" s="3">
        <f>INFORME_DGT</f>
        <v/>
      </c>
      <c r="CG542" s="4">
        <f>O542+CD542+CC542+CE542+CF542</f>
        <v/>
      </c>
      <c r="CH542" s="4">
        <f>CG542+N(BU542)</f>
        <v/>
      </c>
      <c r="CI542" s="3">
        <f>IF(CG542&lt;=TOTAL_MAX,"sí",IF(CG542&lt;=TOTAL_MAX+MARGEN_NEG,"negociar","no"))</f>
        <v/>
      </c>
      <c r="CJ542" s="4">
        <f>IF(CI542&lt;&gt;"no",COUNTIFS($CI$2:$CI$662,"&lt;&gt;no",$CA$2:$CA$662,"&gt;"&amp;CA542)+COUNTIFS($CI$2:CI542,"&lt;&gt;no",$CA$2:CA542,CA542),"")</f>
        <v/>
      </c>
    </row>
    <row r="543">
      <c r="A543" s="2" t="inlineStr">
        <is>
          <t>cochesnet:71800515</t>
        </is>
      </c>
      <c r="B543" s="2" t="inlineStr">
        <is>
          <t>cochesnet</t>
        </is>
      </c>
      <c r="C543" s="2" t="inlineStr">
        <is>
          <t>https://www.coches.net/fiat-fiorino-combi-adventure-13-mjt-75cv-5plazas-e5-4p-diesel-2016-en-valencia-71800515-covo.aspx</t>
        </is>
      </c>
      <c r="D543" s="2" t="inlineStr">
        <is>
          <t>FIAT Fiorino Combi Adventure 1.3 Mjt 5plazas E5</t>
        </is>
      </c>
      <c r="E543" s="2" t="inlineStr">
        <is>
          <t>Fiat</t>
        </is>
      </c>
      <c r="F543" s="2" t="inlineStr">
        <is>
          <t>Fiat Fiorino</t>
        </is>
      </c>
      <c r="G543" s="2" t="inlineStr">
        <is>
          <t>1.3</t>
        </is>
      </c>
      <c r="H543" s="2" t="inlineStr">
        <is>
          <t>Combi Adventure 1.3 Mjt 75cv 5plazas E5</t>
        </is>
      </c>
      <c r="I543" s="2" t="n"/>
      <c r="J543" s="2" t="n">
        <v>75</v>
      </c>
      <c r="K543" s="2" t="inlineStr">
        <is>
          <t>diesel</t>
        </is>
      </c>
      <c r="L543" s="2" t="inlineStr">
        <is>
          <t>familiar</t>
        </is>
      </c>
      <c r="M543" s="2" t="n">
        <v>2016</v>
      </c>
      <c r="N543" s="2" t="n">
        <v>160000</v>
      </c>
      <c r="O543" s="2" t="n">
        <v>3900</v>
      </c>
      <c r="P543" s="2" t="inlineStr">
        <is>
          <t>manual</t>
        </is>
      </c>
      <c r="Q543" s="2" t="inlineStr">
        <is>
          <t>no</t>
        </is>
      </c>
      <c r="R543" s="2" t="inlineStr">
        <is>
          <t>particular</t>
        </is>
      </c>
      <c r="S543" s="2" t="n"/>
      <c r="T543" s="2" t="inlineStr">
        <is>
          <t>2026-10-21T12:50:31Z</t>
        </is>
      </c>
      <c r="U543" s="2" t="n">
        <v>7</v>
      </c>
      <c r="V543" s="2" t="inlineStr">
        <is>
          <t>sí</t>
        </is>
      </c>
      <c r="W543" s="2" t="n"/>
      <c r="X543" s="2" t="n"/>
      <c r="Y543" s="2" t="n">
        <v>1</v>
      </c>
      <c r="Z543" s="2" t="inlineStr">
        <is>
          <t>no</t>
        </is>
      </c>
      <c r="AA543" s="2" t="n"/>
      <c r="AB543" s="2" t="n"/>
      <c r="AC543" s="2" t="n"/>
      <c r="AD543" s="2" t="n"/>
      <c r="AE543" s="2" t="n"/>
      <c r="AF543" s="2" t="n"/>
      <c r="AG543" s="2" t="n"/>
      <c r="AH543" s="2" t="n">
        <v>3900</v>
      </c>
      <c r="AI543" s="2" t="n"/>
      <c r="AJ543" s="2" t="n"/>
      <c r="AK543" s="2" t="n"/>
      <c r="AL543" s="2" t="n"/>
      <c r="AM543" s="2" t="n"/>
      <c r="AN543" s="2" t="n"/>
      <c r="AO543" s="2" t="n"/>
      <c r="AP543" s="2" t="n"/>
      <c r="AQ543" s="2" t="n"/>
      <c r="AR543" s="2" t="inlineStr">
        <is>
          <t>cuota fija ITP: &gt;5 y &lt;=12 años, hasta 1.500 cc; diésel: motor sin fuente de fiabilidad (fiabilidad limitada a neutra); carrocería familiar: -3 puntos; distancia no verificable (el anuncio solo indica la provincia): confirmar que está a &lt;= 70 km; fiabilidad del modelo PENDIENTE de fuente (puntuación neutra); mediana con solo 1 anuncio(s)</t>
        </is>
      </c>
      <c r="AS543" s="2" t="inlineStr">
        <is>
          <t xml:space="preserve">Año 2019. ITV en vigor motor muy buen estado un solo propietario muy poco consumo tiene aire acondicionado ideal para trabajar furgoneta  utilizable </t>
        </is>
      </c>
      <c r="AT543" s="2" t="inlineStr">
        <is>
          <t>https://www.coches.net/fiat-fiorino-combi-adventure-13-mjt-75cv-5plazas-e5-4p-diesel-2016-en-valencia-71800515-covo.aspx (window.__INITIAL_PROPS__.ad) /home/user/Alopecia/buscador-coches/raw/cochesnet/4c72026a6c676019.json</t>
        </is>
      </c>
      <c r="AU543" s="3">
        <f>MAX(ANIO_ACTUAL-M543,0)</f>
        <v/>
      </c>
      <c r="AV543" s="4">
        <f>N543/MAX(AU543,0.5)</f>
        <v/>
      </c>
      <c r="AW543" s="4">
        <f>F543</f>
        <v/>
      </c>
      <c r="AX543" s="3">
        <f>AW543&amp;"|"&amp;INT(M543/SEG_ANIO)*SEG_ANIO</f>
        <v/>
      </c>
      <c r="AY543" s="3">
        <f>AX543&amp;"|"&amp;INT(N543/SEG_KM)*SEG_KM</f>
        <v/>
      </c>
      <c r="AZ543" s="4">
        <f>COUNTIF($AW$2:$AW$662,AW543)</f>
        <v/>
      </c>
      <c r="BA543" s="4">
        <f>COUNTIF($AX$2:$AX$662,AX543)</f>
        <v/>
      </c>
      <c r="BB543" s="4">
        <f>COUNTIF($AY$2:$AY$662,AY543)</f>
        <v/>
      </c>
      <c r="BC543" s="3">
        <f t="array" ref="BC543">IF(N(AO543)&gt;=MIN_N,AN543,IF(BB543&gt;=MIN_N,MEDIAN(IF($AY$2:$AY$662=AY543,$O$2:$O$662)),IF(BA543&gt;=MIN_N,MEDIAN(IF($AX$2:$AX$662=AX543,$O$2:$O$662)),MEDIAN(IF($AW$2:$AW$662=AW543,$O$2:$O$662)))))</f>
        <v/>
      </c>
      <c r="BD543" s="3">
        <f>IF(N(AO543)&gt;=MIN_N,"mercado "&amp;AP543,IF(BB543&gt;=MIN_N,"modelo+año+km",IF(BA543&gt;=MIN_N,"modelo+año","modelo")))</f>
        <v/>
      </c>
      <c r="BE543" s="4">
        <f>(BC543-O543)/BC543</f>
        <v/>
      </c>
      <c r="BF543" s="3">
        <f>IF(OR(K543="hibrido",K543="glp"),"ECO",IF(K543="electrico","CERO",IF(K543="gasolina",IF(M543&gt;=GAS_C,"C",IF(M543&gt;=GAS_B,"B","A")),IF(K543="diesel",IF(M543&gt;=DIE_C,"C",IF(M543&gt;=DIE_B,"B","A")),""))))</f>
        <v/>
      </c>
      <c r="BG543" s="3">
        <f>IFERROR(VLOOKUP(F543,MOD_TBL,11,0),IFERROR(VLOOKUP(E543,OCU_TBL,2,0),NEUTRO))</f>
        <v/>
      </c>
      <c r="BH543" s="3">
        <f>SUMIFS(MOT_AJUSTE,MOT_MOTOR,G543,MOT_MARCA,E543,MOT_DESDE,"&lt;="&amp;M543,MOT_HASTA,"&gt;="&amp;M543)+SUMIFS(MOT_AJUSTE,MOT_MOTOR,G543,MOT_MARCA,"(todas)",MOT_DESDE,"&lt;="&amp;M543,MOT_HASTA,"&gt;="&amp;M543)</f>
        <v/>
      </c>
      <c r="BI543" s="3">
        <f>SUMIFS(COMB_AJUSTE,COMB_COMB,K543)</f>
        <v/>
      </c>
      <c r="BJ543" s="3">
        <f>COUNTIFS(MOT_MOTOR,G543,MOT_MARCA,E543,MOT_DESDE,"&lt;="&amp;M543,MOT_HASTA,"&gt;="&amp;M543)+COUNTIFS(MOT_MOTOR,G543,MOT_MARCA,"(todas)",MOT_DESDE,"&lt;="&amp;M543,MOT_HASTA,"&gt;="&amp;M543)</f>
        <v/>
      </c>
      <c r="BK543" s="3">
        <f>IF(AND(K543="diesel",BJ543=0),MIN(BG543,NEUTRO),BG543)</f>
        <v/>
      </c>
      <c r="BL543" s="4">
        <f>MAX(0,MIN(100,BK543+BH543+BI543))</f>
        <v/>
      </c>
      <c r="BM543" s="3">
        <f>MAX(0,MIN(100,50+BE543*PRECIO_PEND))</f>
        <v/>
      </c>
      <c r="BN543" s="3">
        <f>MAX(0,100*(1-N543/KM_MAX))</f>
        <v/>
      </c>
      <c r="BO543" s="3">
        <f>IF(AV543&lt;KMA_SOSP,IF(AA543="sí",100,KMA_PEN),IF(AV543&lt;=KMA_IDEAL_MAX,100,MAX(0,100*(KMA_CERO-AV543)/(KMA_CERO-KMA_IDEAL_MAX))))</f>
        <v/>
      </c>
      <c r="BP543" s="3">
        <f>MAX(0,MIN(100,100*(M543-ANIO_MIN)/(ANIO_ACTUAL-ANIO_MIN)))</f>
        <v/>
      </c>
      <c r="BQ543" s="3">
        <f>W_KMT*BN543+W_KMA*BO543+W_EDAD*BP543</f>
        <v/>
      </c>
      <c r="BR543" s="3">
        <f>P_ITV*(V543="sí")+P_LIBRO*(W543="sí")+P_CORREA*(X543="sí")+P_PROP*(Y543=1)+P_GAR*(Z543="sí")+P_FOTOS*MIN(1,N(U543)/FOTOS_OBJ)</f>
        <v/>
      </c>
      <c r="BS543" s="3">
        <f>IFERROR(VLOOKUP(BF543,ETQ_TBL,2,0),NEUTRO)</f>
        <v/>
      </c>
      <c r="BT543" s="3">
        <f>NEUTRO</f>
        <v/>
      </c>
      <c r="BU543" s="3">
        <f>IFERROR(VLOOKUP(L543,SEGURO_TBL,3,0),"")</f>
        <v/>
      </c>
      <c r="BV543" s="3">
        <f>IF(BU543="",NEUTRO,MAX(0,MIN(100,100*(SEG_REF_MAX-BU543)/(SEG_REF_MAX-SEG_REF_MIN))))</f>
        <v/>
      </c>
      <c r="BW543" s="3">
        <f>W_ET*BS543+W_CONS*BT543+W_SEG*BV543</f>
        <v/>
      </c>
      <c r="BX543" s="3">
        <f>IF(N(AB543)&gt;0,AB543,IF(AND(R543="profesional",SG_LEGAL_ON=1),GAR_LEGAL,0))</f>
        <v/>
      </c>
      <c r="BY543" s="3">
        <f>SG_GAR*MIN(1,BX543/SG_GAR_FULL)+SG_AMPL*(AC543="sí")+SG_KMC*(AF543="sí")+SG_REV*(N(AE543)&gt;0)+SG_DEV*MIN(1,N(AG543)/SG_DEV_FULL)+SG_HIST*(W543="sí")</f>
        <v/>
      </c>
      <c r="BZ543" s="3">
        <f>IFERROR(VLOOKUP(L543,CARR_PEN_TBL,2,0),0)</f>
        <v/>
      </c>
      <c r="CA543" s="3">
        <f>W_FIAB*BL543+W_PRECIO*BM543+W_KMEDAD*BQ543+W_ANUNCIO*BR543+W_USO*BW543+W_SEGURIDAD*BY543-BZ543</f>
        <v/>
      </c>
      <c r="CB543" s="4">
        <f>IF(N(I543)&gt;0,I543,IFERROR(ROUND(_xlfn.NUMBERVALUE(LEFT(G543,FIND(" ",G543&amp;" ")-1),".")*1000,0),99999))</f>
        <v/>
      </c>
      <c r="CC543" s="3">
        <f>IF(R543="profesional",0,IF(O543&lt;CUOTA_VALOR_MAX,IF(AU543&gt;ITP_TRAMO_ALTO,SUMIFS(CF_CUOTA,CF_MAS,ITP_TRAMO_ALTO,CF_CCMIN,"&lt;="&amp;CB543,CF_CCMAX,"&gt;="&amp;CB543),IF(AU543&gt;ITP_TRAMO_BAJO,SUMIFS(CF_CUOTA,CF_MAS,ITP_TRAMO_BAJO,CF_CCMIN,"&lt;="&amp;CB543,CF_CCMAX,"&gt;="&amp;CB543),O543*ITP_TIPO)),O543*ITP_TIPO))</f>
        <v/>
      </c>
      <c r="CD543" s="4">
        <f>IF(R543="profesional",N(AK543),0)</f>
        <v/>
      </c>
      <c r="CE543" s="3">
        <f>IF(AND(R543="profesional",ISNUMBER(AK543),AL543="sí"),0,TASA_DGT)</f>
        <v/>
      </c>
      <c r="CF543" s="3">
        <f>INFORME_DGT</f>
        <v/>
      </c>
      <c r="CG543" s="4">
        <f>O543+CD543+CC543+CE543+CF543</f>
        <v/>
      </c>
      <c r="CH543" s="4">
        <f>CG543+N(BU543)</f>
        <v/>
      </c>
      <c r="CI543" s="3">
        <f>IF(CG543&lt;=TOTAL_MAX,"sí",IF(CG543&lt;=TOTAL_MAX+MARGEN_NEG,"negociar","no"))</f>
        <v/>
      </c>
      <c r="CJ543" s="4">
        <f>IF(CI543&lt;&gt;"no",COUNTIFS($CI$2:$CI$662,"&lt;&gt;no",$CA$2:$CA$662,"&gt;"&amp;CA543)+COUNTIFS($CI$2:CI543,"&lt;&gt;no",$CA$2:CA543,CA543),"")</f>
        <v/>
      </c>
    </row>
    <row r="544">
      <c r="A544" s="2" t="inlineStr">
        <is>
          <t>cochesnet:71702947</t>
        </is>
      </c>
      <c r="B544" s="2" t="inlineStr">
        <is>
          <t>cochesnet</t>
        </is>
      </c>
      <c r="C544" s="2" t="inlineStr">
        <is>
          <t>https://www.coches.net/fiat-punto-12-feel-5p-gasolina-2005-en-valencia-71702947-covo.aspx</t>
        </is>
      </c>
      <c r="D544" s="2" t="inlineStr">
        <is>
          <t>FIAT Punto 1.2 Feel</t>
        </is>
      </c>
      <c r="E544" s="2" t="inlineStr">
        <is>
          <t>Fiat</t>
        </is>
      </c>
      <c r="F544" s="2" t="inlineStr">
        <is>
          <t>Fiat Punto</t>
        </is>
      </c>
      <c r="G544" s="2" t="inlineStr">
        <is>
          <t>1.2</t>
        </is>
      </c>
      <c r="H544" s="2" t="inlineStr">
        <is>
          <t>1.2 Feel</t>
        </is>
      </c>
      <c r="I544" s="2" t="n"/>
      <c r="J544" s="2" t="n"/>
      <c r="K544" s="2" t="inlineStr">
        <is>
          <t>gasolina</t>
        </is>
      </c>
      <c r="L544" s="2" t="inlineStr">
        <is>
          <t>utilitario</t>
        </is>
      </c>
      <c r="M544" s="2" t="n">
        <v>2007</v>
      </c>
      <c r="N544" s="2" t="n">
        <v>117000</v>
      </c>
      <c r="O544" s="2" t="n">
        <v>2750</v>
      </c>
      <c r="P544" s="2" t="inlineStr">
        <is>
          <t>manual</t>
        </is>
      </c>
      <c r="Q544" s="2" t="inlineStr">
        <is>
          <t>no</t>
        </is>
      </c>
      <c r="R544" s="2" t="inlineStr">
        <is>
          <t>profesional</t>
        </is>
      </c>
      <c r="S544" s="2" t="inlineStr">
        <is>
          <t>GO! autos Sagunto (Sagunt)</t>
        </is>
      </c>
      <c r="T544" s="2" t="inlineStr">
        <is>
          <t>2026-10-08T13:46:56Z</t>
        </is>
      </c>
      <c r="U544" s="2" t="n">
        <v>12</v>
      </c>
      <c r="V544" s="2" t="inlineStr">
        <is>
          <t>sí</t>
        </is>
      </c>
      <c r="W544" s="2" t="inlineStr">
        <is>
          <t>sí</t>
        </is>
      </c>
      <c r="X544" s="2" t="n"/>
      <c r="Y544" s="2" t="n"/>
      <c r="Z544" s="2" t="inlineStr">
        <is>
          <t>sí</t>
        </is>
      </c>
      <c r="AA544" s="2" t="n"/>
      <c r="AB544" s="2" t="n">
        <v>12</v>
      </c>
      <c r="AC544" s="2" t="n"/>
      <c r="AD544" s="2" t="n"/>
      <c r="AE544" s="2" t="n"/>
      <c r="AF544" s="2" t="n"/>
      <c r="AG544" s="2" t="n"/>
      <c r="AH544" s="2" t="n">
        <v>2750</v>
      </c>
      <c r="AI544" s="2" t="n">
        <v>2750</v>
      </c>
      <c r="AJ544" s="2" t="n"/>
      <c r="AK544" s="2" t="n"/>
      <c r="AL544" s="2" t="n"/>
      <c r="AM544" s="2" t="n"/>
      <c r="AN544" s="2" t="n">
        <v>2500</v>
      </c>
      <c r="AO544" s="2" t="n">
        <v>13</v>
      </c>
      <c r="AP544" s="2" t="inlineStr">
        <is>
          <t>modelo+año</t>
        </is>
      </c>
      <c r="AQ544" s="2" t="n"/>
      <c r="AR544"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544" s="2" t="inlineStr">
        <is>
          <t>IAT PUNTO 1.2 SENSATION GASOLINA | 116.000 KM | GARANTÍA 1 AÑO | ITV EN VIGOR
Fiat Punto 1.2 Sensation gasolina, con 116.000 km, ideal para quienes buscan un vehículo económico, práctico y fácil de conducir.
Una opción perfecta para el día a día, especialmente para ciudad y desplazamientos habituales, con un motor sencillo y un mantenimiento económico.
EQUIPAMIENTO Y EXTRAS
Aire acondicionado 
Cierre centralizado
Elevalunas eléctricos
Radio CD
2 llaves
SE ENTREGA
? 1 año de garantía
? ITV en vigor
? Mantenimiento al día
? 2 llaves
? 116.000 km
Vehículo práctico y económico, listo para su próximo propietario.
Para más información, fotos o concertar una visita, no dude en contactar.</t>
        </is>
      </c>
      <c r="AT544" s="2" t="inlineStr">
        <is>
          <t>https://www.coches.net/fiat-punto-12-feel-5p-gasolina-2005-en-valencia-71702947-covo.aspx (window.__INITIAL_PROPS__.ad) /home/user/Alopecia/buscador-coches/raw/cochesnet/33da8b6b5efdbae4.json</t>
        </is>
      </c>
      <c r="AU544" s="3">
        <f>MAX(ANIO_ACTUAL-M544,0)</f>
        <v/>
      </c>
      <c r="AV544" s="4">
        <f>N544/MAX(AU544,0.5)</f>
        <v/>
      </c>
      <c r="AW544" s="4">
        <f>F544</f>
        <v/>
      </c>
      <c r="AX544" s="3">
        <f>AW544&amp;"|"&amp;INT(M544/SEG_ANIO)*SEG_ANIO</f>
        <v/>
      </c>
      <c r="AY544" s="3">
        <f>AX544&amp;"|"&amp;INT(N544/SEG_KM)*SEG_KM</f>
        <v/>
      </c>
      <c r="AZ544" s="4">
        <f>COUNTIF($AW$2:$AW$662,AW544)</f>
        <v/>
      </c>
      <c r="BA544" s="4">
        <f>COUNTIF($AX$2:$AX$662,AX544)</f>
        <v/>
      </c>
      <c r="BB544" s="4">
        <f>COUNTIF($AY$2:$AY$662,AY544)</f>
        <v/>
      </c>
      <c r="BC544" s="3">
        <f t="array" ref="BC544">IF(N(AO544)&gt;=MIN_N,AN544,IF(BB544&gt;=MIN_N,MEDIAN(IF($AY$2:$AY$662=AY544,$O$2:$O$662)),IF(BA544&gt;=MIN_N,MEDIAN(IF($AX$2:$AX$662=AX544,$O$2:$O$662)),MEDIAN(IF($AW$2:$AW$662=AW544,$O$2:$O$662)))))</f>
        <v/>
      </c>
      <c r="BD544" s="3">
        <f>IF(N(AO544)&gt;=MIN_N,"mercado "&amp;AP544,IF(BB544&gt;=MIN_N,"modelo+año+km",IF(BA544&gt;=MIN_N,"modelo+año","modelo")))</f>
        <v/>
      </c>
      <c r="BE544" s="4">
        <f>(BC544-O544)/BC544</f>
        <v/>
      </c>
      <c r="BF544" s="3">
        <f>IF(OR(K544="hibrido",K544="glp"),"ECO",IF(K544="electrico","CERO",IF(K544="gasolina",IF(M544&gt;=GAS_C,"C",IF(M544&gt;=GAS_B,"B","A")),IF(K544="diesel",IF(M544&gt;=DIE_C,"C",IF(M544&gt;=DIE_B,"B","A")),""))))</f>
        <v/>
      </c>
      <c r="BG544" s="3">
        <f>IFERROR(VLOOKUP(F544,MOD_TBL,11,0),IFERROR(VLOOKUP(E544,OCU_TBL,2,0),NEUTRO))</f>
        <v/>
      </c>
      <c r="BH544" s="3">
        <f>SUMIFS(MOT_AJUSTE,MOT_MOTOR,G544,MOT_MARCA,E544,MOT_DESDE,"&lt;="&amp;M544,MOT_HASTA,"&gt;="&amp;M544)+SUMIFS(MOT_AJUSTE,MOT_MOTOR,G544,MOT_MARCA,"(todas)",MOT_DESDE,"&lt;="&amp;M544,MOT_HASTA,"&gt;="&amp;M544)</f>
        <v/>
      </c>
      <c r="BI544" s="3">
        <f>SUMIFS(COMB_AJUSTE,COMB_COMB,K544)</f>
        <v/>
      </c>
      <c r="BJ544" s="3">
        <f>COUNTIFS(MOT_MOTOR,G544,MOT_MARCA,E544,MOT_DESDE,"&lt;="&amp;M544,MOT_HASTA,"&gt;="&amp;M544)+COUNTIFS(MOT_MOTOR,G544,MOT_MARCA,"(todas)",MOT_DESDE,"&lt;="&amp;M544,MOT_HASTA,"&gt;="&amp;M544)</f>
        <v/>
      </c>
      <c r="BK544" s="3">
        <f>IF(AND(K544="diesel",BJ544=0),MIN(BG544,NEUTRO),BG544)</f>
        <v/>
      </c>
      <c r="BL544" s="4">
        <f>MAX(0,MIN(100,BK544+BH544+BI544))</f>
        <v/>
      </c>
      <c r="BM544" s="3">
        <f>MAX(0,MIN(100,50+BE544*PRECIO_PEND))</f>
        <v/>
      </c>
      <c r="BN544" s="3">
        <f>MAX(0,100*(1-N544/KM_MAX))</f>
        <v/>
      </c>
      <c r="BO544" s="3">
        <f>IF(AV544&lt;KMA_SOSP,IF(AA544="sí",100,KMA_PEN),IF(AV544&lt;=KMA_IDEAL_MAX,100,MAX(0,100*(KMA_CERO-AV544)/(KMA_CERO-KMA_IDEAL_MAX))))</f>
        <v/>
      </c>
      <c r="BP544" s="3">
        <f>MAX(0,MIN(100,100*(M544-ANIO_MIN)/(ANIO_ACTUAL-ANIO_MIN)))</f>
        <v/>
      </c>
      <c r="BQ544" s="3">
        <f>W_KMT*BN544+W_KMA*BO544+W_EDAD*BP544</f>
        <v/>
      </c>
      <c r="BR544" s="3">
        <f>P_ITV*(V544="sí")+P_LIBRO*(W544="sí")+P_CORREA*(X544="sí")+P_PROP*(Y544=1)+P_GAR*(Z544="sí")+P_FOTOS*MIN(1,N(U544)/FOTOS_OBJ)</f>
        <v/>
      </c>
      <c r="BS544" s="3">
        <f>IFERROR(VLOOKUP(BF544,ETQ_TBL,2,0),NEUTRO)</f>
        <v/>
      </c>
      <c r="BT544" s="3">
        <f>NEUTRO</f>
        <v/>
      </c>
      <c r="BU544" s="3">
        <f>IFERROR(VLOOKUP(L544,SEGURO_TBL,3,0),"")</f>
        <v/>
      </c>
      <c r="BV544" s="3">
        <f>IF(BU544="",NEUTRO,MAX(0,MIN(100,100*(SEG_REF_MAX-BU544)/(SEG_REF_MAX-SEG_REF_MIN))))</f>
        <v/>
      </c>
      <c r="BW544" s="3">
        <f>W_ET*BS544+W_CONS*BT544+W_SEG*BV544</f>
        <v/>
      </c>
      <c r="BX544" s="3">
        <f>IF(N(AB544)&gt;0,AB544,IF(AND(R544="profesional",SG_LEGAL_ON=1),GAR_LEGAL,0))</f>
        <v/>
      </c>
      <c r="BY544" s="3">
        <f>SG_GAR*MIN(1,BX544/SG_GAR_FULL)+SG_AMPL*(AC544="sí")+SG_KMC*(AF544="sí")+SG_REV*(N(AE544)&gt;0)+SG_DEV*MIN(1,N(AG544)/SG_DEV_FULL)+SG_HIST*(W544="sí")</f>
        <v/>
      </c>
      <c r="BZ544" s="3">
        <f>IFERROR(VLOOKUP(L544,CARR_PEN_TBL,2,0),0)</f>
        <v/>
      </c>
      <c r="CA544" s="3">
        <f>W_FIAB*BL544+W_PRECIO*BM544+W_KMEDAD*BQ544+W_ANUNCIO*BR544+W_USO*BW544+W_SEGURIDAD*BY544-BZ544</f>
        <v/>
      </c>
      <c r="CB544" s="4">
        <f>IF(N(I544)&gt;0,I544,IFERROR(ROUND(_xlfn.NUMBERVALUE(LEFT(G544,FIND(" ",G544&amp;" ")-1),".")*1000,0),99999))</f>
        <v/>
      </c>
      <c r="CC544" s="3">
        <f>IF(R544="profesional",0,IF(O544&lt;CUOTA_VALOR_MAX,IF(AU544&gt;ITP_TRAMO_ALTO,SUMIFS(CF_CUOTA,CF_MAS,ITP_TRAMO_ALTO,CF_CCMIN,"&lt;="&amp;CB544,CF_CCMAX,"&gt;="&amp;CB544),IF(AU544&gt;ITP_TRAMO_BAJO,SUMIFS(CF_CUOTA,CF_MAS,ITP_TRAMO_BAJO,CF_CCMIN,"&lt;="&amp;CB544,CF_CCMAX,"&gt;="&amp;CB544),O544*ITP_TIPO)),O544*ITP_TIPO))</f>
        <v/>
      </c>
      <c r="CD544" s="4">
        <f>IF(R544="profesional",N(AK544),0)</f>
        <v/>
      </c>
      <c r="CE544" s="3">
        <f>IF(AND(R544="profesional",ISNUMBER(AK544),AL544="sí"),0,TASA_DGT)</f>
        <v/>
      </c>
      <c r="CF544" s="3">
        <f>INFORME_DGT</f>
        <v/>
      </c>
      <c r="CG544" s="4">
        <f>O544+CD544+CC544+CE544+CF544</f>
        <v/>
      </c>
      <c r="CH544" s="4">
        <f>CG544+N(BU544)</f>
        <v/>
      </c>
      <c r="CI544" s="3">
        <f>IF(CG544&lt;=TOTAL_MAX,"sí",IF(CG544&lt;=TOTAL_MAX+MARGEN_NEG,"negociar","no"))</f>
        <v/>
      </c>
      <c r="CJ544" s="4">
        <f>IF(CI544&lt;&gt;"no",COUNTIFS($CI$2:$CI$662,"&lt;&gt;no",$CA$2:$CA$662,"&gt;"&amp;CA544)+COUNTIFS($CI$2:CI544,"&lt;&gt;no",$CA$2:CA544,CA544),"")</f>
        <v/>
      </c>
    </row>
    <row r="545">
      <c r="A545" s="2" t="inlineStr">
        <is>
          <t>cochesnet:71487805</t>
        </is>
      </c>
      <c r="B545" s="2" t="inlineStr">
        <is>
          <t>cochesnet</t>
        </is>
      </c>
      <c r="C545" s="2" t="inlineStr">
        <is>
          <t>https://www.coches.net/fiat-500-12-8v-69-cv-lounge-3p-gasolina-2012-en-valencia-71487805-covo.aspx</t>
        </is>
      </c>
      <c r="D545" s="2" t="inlineStr">
        <is>
          <t>FIAT 500 1.2 8v 69 CV Lounge</t>
        </is>
      </c>
      <c r="E545" s="2" t="inlineStr">
        <is>
          <t>Fiat</t>
        </is>
      </c>
      <c r="F545" s="2" t="inlineStr">
        <is>
          <t>Fiat 500</t>
        </is>
      </c>
      <c r="G545" s="2" t="inlineStr">
        <is>
          <t>1.2</t>
        </is>
      </c>
      <c r="H545" s="2" t="inlineStr">
        <is>
          <t>1.2 8v 69 CV Lounge</t>
        </is>
      </c>
      <c r="I545" s="2" t="n"/>
      <c r="J545" s="2" t="n">
        <v>69</v>
      </c>
      <c r="K545" s="2" t="inlineStr">
        <is>
          <t>gasolina</t>
        </is>
      </c>
      <c r="L545" s="2" t="inlineStr">
        <is>
          <t>utilitario</t>
        </is>
      </c>
      <c r="M545" s="2" t="n">
        <v>2012</v>
      </c>
      <c r="N545" s="2" t="n">
        <v>135000</v>
      </c>
      <c r="O545" s="2" t="n">
        <v>4900</v>
      </c>
      <c r="P545" s="2" t="inlineStr">
        <is>
          <t>manual</t>
        </is>
      </c>
      <c r="Q545" s="2" t="inlineStr">
        <is>
          <t>no</t>
        </is>
      </c>
      <c r="R545" s="2" t="inlineStr">
        <is>
          <t>particular</t>
        </is>
      </c>
      <c r="S545" s="2" t="inlineStr">
        <is>
          <t>Valencia</t>
        </is>
      </c>
      <c r="T545" s="2" t="inlineStr">
        <is>
          <t>2026-09-10T20:34:17Z</t>
        </is>
      </c>
      <c r="U545" s="2" t="n">
        <v>5</v>
      </c>
      <c r="V545" s="2" t="n"/>
      <c r="W545" s="2" t="n"/>
      <c r="X545" s="2" t="n"/>
      <c r="Y545" s="2" t="n"/>
      <c r="Z545" s="2" t="inlineStr">
        <is>
          <t>no</t>
        </is>
      </c>
      <c r="AA545" s="2" t="n"/>
      <c r="AB545" s="2" t="n"/>
      <c r="AC545" s="2" t="n"/>
      <c r="AD545" s="2" t="n"/>
      <c r="AE545" s="2" t="n"/>
      <c r="AF545" s="2" t="n"/>
      <c r="AG545" s="2" t="n"/>
      <c r="AH545" s="2" t="n">
        <v>4900</v>
      </c>
      <c r="AI545" s="2" t="n"/>
      <c r="AJ545" s="2" t="n"/>
      <c r="AK545" s="2" t="n"/>
      <c r="AL545" s="2" t="n"/>
      <c r="AM545" s="2" t="n">
        <v>0.1</v>
      </c>
      <c r="AN545" s="2" t="n">
        <v>5500</v>
      </c>
      <c r="AO545" s="2" t="n">
        <v>7</v>
      </c>
      <c r="AP545" s="2" t="inlineStr">
        <is>
          <t>modelo+año+km</t>
        </is>
      </c>
      <c r="AQ545" s="2" t="n"/>
      <c r="AR545" s="2" t="inlineStr">
        <is>
          <t>por encima del presupuesto (5004 €), negociar; cuota fija ITP: &gt;12 años, hasta 1.500 cc</t>
        </is>
      </c>
      <c r="AS545" s="2" t="inlineStr">
        <is>
          <t>Te presento mi FIAT 500 1.2 Lounge, un clásico italiano que sigue siendo la mejor opción para quien quiere disfrutar de la conducción en ciudad sin renunciar al estilo. Este coche es perfecto si quieres un vehículo completamente funcional y cómodo para el día a día.
El estado general del vehículo es bueno, con algunos detalles en la pintura que no afectan a su funcionamiento. Se trata de un coche que ha sido cuidado, que no ha dado ninguna avería, y que mantiene esa personalidad característica del 500. 
Con cuatro plazas y dos puertas, es ágil y fácil de estacionar, ideal para quienes viven en zonas con poco espacio disponible. Tiene un consumo muy bajo, incluso en ciudad, que es donde mejor se mueve con la función City, y aunque pequeño, he hecho con este 500, viajes largos sin problemas.
Disponible para verlo y probarlo en Madrid.
Si tienes dudas sobre aspectos específicos del vehículo o quieres conocer más detalles, no dudes en contactarme a través del chat.</t>
        </is>
      </c>
      <c r="AT545" s="2" t="inlineStr">
        <is>
          <t>https://www.coches.net/fiat-500-12-8v-69-cv-lounge-3p-gasolina-2012-en-valencia-71487805-covo.aspx (window.__INITIAL_PROPS__.ad) /home/user/Alopecia/buscador-coches/raw/cochesnet/e7a6db0312a6b9c2.json</t>
        </is>
      </c>
      <c r="AU545" s="3">
        <f>MAX(ANIO_ACTUAL-M545,0)</f>
        <v/>
      </c>
      <c r="AV545" s="4">
        <f>N545/MAX(AU545,0.5)</f>
        <v/>
      </c>
      <c r="AW545" s="4">
        <f>F545</f>
        <v/>
      </c>
      <c r="AX545" s="3">
        <f>AW545&amp;"|"&amp;INT(M545/SEG_ANIO)*SEG_ANIO</f>
        <v/>
      </c>
      <c r="AY545" s="3">
        <f>AX545&amp;"|"&amp;INT(N545/SEG_KM)*SEG_KM</f>
        <v/>
      </c>
      <c r="AZ545" s="4">
        <f>COUNTIF($AW$2:$AW$662,AW545)</f>
        <v/>
      </c>
      <c r="BA545" s="4">
        <f>COUNTIF($AX$2:$AX$662,AX545)</f>
        <v/>
      </c>
      <c r="BB545" s="4">
        <f>COUNTIF($AY$2:$AY$662,AY545)</f>
        <v/>
      </c>
      <c r="BC545" s="3">
        <f t="array" ref="BC545">IF(N(AO545)&gt;=MIN_N,AN545,IF(BB545&gt;=MIN_N,MEDIAN(IF($AY$2:$AY$662=AY545,$O$2:$O$662)),IF(BA545&gt;=MIN_N,MEDIAN(IF($AX$2:$AX$662=AX545,$O$2:$O$662)),MEDIAN(IF($AW$2:$AW$662=AW545,$O$2:$O$662)))))</f>
        <v/>
      </c>
      <c r="BD545" s="3">
        <f>IF(N(AO545)&gt;=MIN_N,"mercado "&amp;AP545,IF(BB545&gt;=MIN_N,"modelo+año+km",IF(BA545&gt;=MIN_N,"modelo+año","modelo")))</f>
        <v/>
      </c>
      <c r="BE545" s="4">
        <f>(BC545-O545)/BC545</f>
        <v/>
      </c>
      <c r="BF545" s="3">
        <f>IF(OR(K545="hibrido",K545="glp"),"ECO",IF(K545="electrico","CERO",IF(K545="gasolina",IF(M545&gt;=GAS_C,"C",IF(M545&gt;=GAS_B,"B","A")),IF(K545="diesel",IF(M545&gt;=DIE_C,"C",IF(M545&gt;=DIE_B,"B","A")),""))))</f>
        <v/>
      </c>
      <c r="BG545" s="3">
        <f>IFERROR(VLOOKUP(F545,MOD_TBL,11,0),IFERROR(VLOOKUP(E545,OCU_TBL,2,0),NEUTRO))</f>
        <v/>
      </c>
      <c r="BH545" s="3">
        <f>SUMIFS(MOT_AJUSTE,MOT_MOTOR,G545,MOT_MARCA,E545,MOT_DESDE,"&lt;="&amp;M545,MOT_HASTA,"&gt;="&amp;M545)+SUMIFS(MOT_AJUSTE,MOT_MOTOR,G545,MOT_MARCA,"(todas)",MOT_DESDE,"&lt;="&amp;M545,MOT_HASTA,"&gt;="&amp;M545)</f>
        <v/>
      </c>
      <c r="BI545" s="3">
        <f>SUMIFS(COMB_AJUSTE,COMB_COMB,K545)</f>
        <v/>
      </c>
      <c r="BJ545" s="3">
        <f>COUNTIFS(MOT_MOTOR,G545,MOT_MARCA,E545,MOT_DESDE,"&lt;="&amp;M545,MOT_HASTA,"&gt;="&amp;M545)+COUNTIFS(MOT_MOTOR,G545,MOT_MARCA,"(todas)",MOT_DESDE,"&lt;="&amp;M545,MOT_HASTA,"&gt;="&amp;M545)</f>
        <v/>
      </c>
      <c r="BK545" s="3">
        <f>IF(AND(K545="diesel",BJ545=0),MIN(BG545,NEUTRO),BG545)</f>
        <v/>
      </c>
      <c r="BL545" s="4">
        <f>MAX(0,MIN(100,BK545+BH545+BI545))</f>
        <v/>
      </c>
      <c r="BM545" s="3">
        <f>MAX(0,MIN(100,50+BE545*PRECIO_PEND))</f>
        <v/>
      </c>
      <c r="BN545" s="3">
        <f>MAX(0,100*(1-N545/KM_MAX))</f>
        <v/>
      </c>
      <c r="BO545" s="3">
        <f>IF(AV545&lt;KMA_SOSP,IF(AA545="sí",100,KMA_PEN),IF(AV545&lt;=KMA_IDEAL_MAX,100,MAX(0,100*(KMA_CERO-AV545)/(KMA_CERO-KMA_IDEAL_MAX))))</f>
        <v/>
      </c>
      <c r="BP545" s="3">
        <f>MAX(0,MIN(100,100*(M545-ANIO_MIN)/(ANIO_ACTUAL-ANIO_MIN)))</f>
        <v/>
      </c>
      <c r="BQ545" s="3">
        <f>W_KMT*BN545+W_KMA*BO545+W_EDAD*BP545</f>
        <v/>
      </c>
      <c r="BR545" s="3">
        <f>P_ITV*(V545="sí")+P_LIBRO*(W545="sí")+P_CORREA*(X545="sí")+P_PROP*(Y545=1)+P_GAR*(Z545="sí")+P_FOTOS*MIN(1,N(U545)/FOTOS_OBJ)</f>
        <v/>
      </c>
      <c r="BS545" s="3">
        <f>IFERROR(VLOOKUP(BF545,ETQ_TBL,2,0),NEUTRO)</f>
        <v/>
      </c>
      <c r="BT545" s="3">
        <f>NEUTRO</f>
        <v/>
      </c>
      <c r="BU545" s="3">
        <f>IFERROR(VLOOKUP(L545,SEGURO_TBL,3,0),"")</f>
        <v/>
      </c>
      <c r="BV545" s="3">
        <f>IF(BU545="",NEUTRO,MAX(0,MIN(100,100*(SEG_REF_MAX-BU545)/(SEG_REF_MAX-SEG_REF_MIN))))</f>
        <v/>
      </c>
      <c r="BW545" s="3">
        <f>W_ET*BS545+W_CONS*BT545+W_SEG*BV545</f>
        <v/>
      </c>
      <c r="BX545" s="3">
        <f>IF(N(AB545)&gt;0,AB545,IF(AND(R545="profesional",SG_LEGAL_ON=1),GAR_LEGAL,0))</f>
        <v/>
      </c>
      <c r="BY545" s="3">
        <f>SG_GAR*MIN(1,BX545/SG_GAR_FULL)+SG_AMPL*(AC545="sí")+SG_KMC*(AF545="sí")+SG_REV*(N(AE545)&gt;0)+SG_DEV*MIN(1,N(AG545)/SG_DEV_FULL)+SG_HIST*(W545="sí")</f>
        <v/>
      </c>
      <c r="BZ545" s="3">
        <f>IFERROR(VLOOKUP(L545,CARR_PEN_TBL,2,0),0)</f>
        <v/>
      </c>
      <c r="CA545" s="3">
        <f>W_FIAB*BL545+W_PRECIO*BM545+W_KMEDAD*BQ545+W_ANUNCIO*BR545+W_USO*BW545+W_SEGURIDAD*BY545-BZ545</f>
        <v/>
      </c>
      <c r="CB545" s="4">
        <f>IF(N(I545)&gt;0,I545,IFERROR(ROUND(_xlfn.NUMBERVALUE(LEFT(G545,FIND(" ",G545&amp;" ")-1),".")*1000,0),99999))</f>
        <v/>
      </c>
      <c r="CC545" s="3">
        <f>IF(R545="profesional",0,IF(O545&lt;CUOTA_VALOR_MAX,IF(AU545&gt;ITP_TRAMO_ALTO,SUMIFS(CF_CUOTA,CF_MAS,ITP_TRAMO_ALTO,CF_CCMIN,"&lt;="&amp;CB545,CF_CCMAX,"&gt;="&amp;CB545),IF(AU545&gt;ITP_TRAMO_BAJO,SUMIFS(CF_CUOTA,CF_MAS,ITP_TRAMO_BAJO,CF_CCMIN,"&lt;="&amp;CB545,CF_CCMAX,"&gt;="&amp;CB545),O545*ITP_TIPO)),O545*ITP_TIPO))</f>
        <v/>
      </c>
      <c r="CD545" s="4">
        <f>IF(R545="profesional",N(AK545),0)</f>
        <v/>
      </c>
      <c r="CE545" s="3">
        <f>IF(AND(R545="profesional",ISNUMBER(AK545),AL545="sí"),0,TASA_DGT)</f>
        <v/>
      </c>
      <c r="CF545" s="3">
        <f>INFORME_DGT</f>
        <v/>
      </c>
      <c r="CG545" s="4">
        <f>O545+CD545+CC545+CE545+CF545</f>
        <v/>
      </c>
      <c r="CH545" s="4">
        <f>CG545+N(BU545)</f>
        <v/>
      </c>
      <c r="CI545" s="3">
        <f>IF(CG545&lt;=TOTAL_MAX,"sí",IF(CG545&lt;=TOTAL_MAX+MARGEN_NEG,"negociar","no"))</f>
        <v/>
      </c>
      <c r="CJ545" s="4">
        <f>IF(CI545&lt;&gt;"no",COUNTIFS($CI$2:$CI$662,"&lt;&gt;no",$CA$2:$CA$662,"&gt;"&amp;CA545)+COUNTIFS($CI$2:CI545,"&lt;&gt;no",$CA$2:CA545,CA545),"")</f>
        <v/>
      </c>
    </row>
    <row r="546">
      <c r="A546" s="2" t="inlineStr">
        <is>
          <t>cochesnet:71258359</t>
        </is>
      </c>
      <c r="B546" s="2" t="inlineStr">
        <is>
          <t>cochesnet</t>
        </is>
      </c>
      <c r="C546" s="2" t="inlineStr">
        <is>
          <t>https://www.coches.net/fiat-bravo-diesel-2007-en-valencia-71258359-covo.aspx</t>
        </is>
      </c>
      <c r="D546" s="2" t="inlineStr">
        <is>
          <t>FIAT Bravo</t>
        </is>
      </c>
      <c r="E546" s="2" t="inlineStr">
        <is>
          <t>Fiat</t>
        </is>
      </c>
      <c r="F546" s="2" t="inlineStr">
        <is>
          <t>Fiat Bravo</t>
        </is>
      </c>
      <c r="G546" s="2" t="n"/>
      <c r="H546" s="2" t="n"/>
      <c r="I546" s="2" t="n"/>
      <c r="J546" s="2" t="n"/>
      <c r="K546" s="2" t="inlineStr">
        <is>
          <t>diesel</t>
        </is>
      </c>
      <c r="L546" s="2" t="inlineStr">
        <is>
          <t>compacto</t>
        </is>
      </c>
      <c r="M546" s="2" t="n">
        <v>2007</v>
      </c>
      <c r="N546" s="2" t="n">
        <v>24545</v>
      </c>
      <c r="O546" s="2" t="n">
        <v>2500</v>
      </c>
      <c r="P546" s="2" t="inlineStr">
        <is>
          <t>manual</t>
        </is>
      </c>
      <c r="Q546" s="2" t="inlineStr">
        <is>
          <t>no</t>
        </is>
      </c>
      <c r="R546" s="2" t="inlineStr">
        <is>
          <t>particular</t>
        </is>
      </c>
      <c r="S546" s="2" t="n"/>
      <c r="T546" s="2" t="inlineStr">
        <is>
          <t>2026-08-09T06:57:01Z</t>
        </is>
      </c>
      <c r="U546" s="2" t="n">
        <v>8</v>
      </c>
      <c r="V546" s="2" t="n"/>
      <c r="W546" s="2" t="n"/>
      <c r="X546" s="2" t="n"/>
      <c r="Y546" s="2" t="n"/>
      <c r="Z546" s="2" t="inlineStr">
        <is>
          <t>no</t>
        </is>
      </c>
      <c r="AA546" s="2" t="n"/>
      <c r="AB546" s="2" t="n"/>
      <c r="AC546" s="2" t="n"/>
      <c r="AD546" s="2" t="n"/>
      <c r="AE546" s="2" t="n"/>
      <c r="AF546" s="2" t="n"/>
      <c r="AG546" s="2" t="n"/>
      <c r="AH546" s="2" t="n">
        <v>2500</v>
      </c>
      <c r="AI546" s="2" t="n"/>
      <c r="AJ546" s="2" t="n"/>
      <c r="AK546" s="2" t="n"/>
      <c r="AL546" s="2" t="n"/>
      <c r="AM546" s="2" t="n"/>
      <c r="AN546" s="2" t="n">
        <v>2800</v>
      </c>
      <c r="AO546" s="2" t="n">
        <v>8</v>
      </c>
      <c r="AP546" s="2" t="inlineStr">
        <is>
          <t>modelo+año</t>
        </is>
      </c>
      <c r="AQ546" s="2" t="n"/>
      <c r="AR54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546" s="2" t="inlineStr">
        <is>
          <t xml:space="preserve">Coche en buen estado    No tiene ltv se entrega asi o sel a podemos entragar con ltv
 Vidrios eletricos aire acondicionado  direcon eletroasistida   Techo corediso </t>
        </is>
      </c>
      <c r="AT546" s="2" t="inlineStr">
        <is>
          <t>https://www.coches.net/fiat-bravo-diesel-2007-en-valencia-71258359-covo.aspx (window.__INITIAL_PROPS__.ad) /home/user/Alopecia/buscador-coches/raw/cochesnet/1e406afa6f6d6bf5.json</t>
        </is>
      </c>
      <c r="AU546" s="3">
        <f>MAX(ANIO_ACTUAL-M546,0)</f>
        <v/>
      </c>
      <c r="AV546" s="4">
        <f>N546/MAX(AU546,0.5)</f>
        <v/>
      </c>
      <c r="AW546" s="4">
        <f>F546</f>
        <v/>
      </c>
      <c r="AX546" s="3">
        <f>AW546&amp;"|"&amp;INT(M546/SEG_ANIO)*SEG_ANIO</f>
        <v/>
      </c>
      <c r="AY546" s="3">
        <f>AX546&amp;"|"&amp;INT(N546/SEG_KM)*SEG_KM</f>
        <v/>
      </c>
      <c r="AZ546" s="4">
        <f>COUNTIF($AW$2:$AW$662,AW546)</f>
        <v/>
      </c>
      <c r="BA546" s="4">
        <f>COUNTIF($AX$2:$AX$662,AX546)</f>
        <v/>
      </c>
      <c r="BB546" s="4">
        <f>COUNTIF($AY$2:$AY$662,AY546)</f>
        <v/>
      </c>
      <c r="BC546" s="3">
        <f t="array" ref="BC546">IF(N(AO546)&gt;=MIN_N,AN546,IF(BB546&gt;=MIN_N,MEDIAN(IF($AY$2:$AY$662=AY546,$O$2:$O$662)),IF(BA546&gt;=MIN_N,MEDIAN(IF($AX$2:$AX$662=AX546,$O$2:$O$662)),MEDIAN(IF($AW$2:$AW$662=AW546,$O$2:$O$662)))))</f>
        <v/>
      </c>
      <c r="BD546" s="3">
        <f>IF(N(AO546)&gt;=MIN_N,"mercado "&amp;AP546,IF(BB546&gt;=MIN_N,"modelo+año+km",IF(BA546&gt;=MIN_N,"modelo+año","modelo")))</f>
        <v/>
      </c>
      <c r="BE546" s="4">
        <f>(BC546-O546)/BC546</f>
        <v/>
      </c>
      <c r="BF546" s="3">
        <f>IF(OR(K546="hibrido",K546="glp"),"ECO",IF(K546="electrico","CERO",IF(K546="gasolina",IF(M546&gt;=GAS_C,"C",IF(M546&gt;=GAS_B,"B","A")),IF(K546="diesel",IF(M546&gt;=DIE_C,"C",IF(M546&gt;=DIE_B,"B","A")),""))))</f>
        <v/>
      </c>
      <c r="BG546" s="3">
        <f>IFERROR(VLOOKUP(F546,MOD_TBL,11,0),IFERROR(VLOOKUP(E546,OCU_TBL,2,0),NEUTRO))</f>
        <v/>
      </c>
      <c r="BH546" s="3">
        <f>SUMIFS(MOT_AJUSTE,MOT_MOTOR,G546,MOT_MARCA,E546,MOT_DESDE,"&lt;="&amp;M546,MOT_HASTA,"&gt;="&amp;M546)+SUMIFS(MOT_AJUSTE,MOT_MOTOR,G546,MOT_MARCA,"(todas)",MOT_DESDE,"&lt;="&amp;M546,MOT_HASTA,"&gt;="&amp;M546)</f>
        <v/>
      </c>
      <c r="BI546" s="3">
        <f>SUMIFS(COMB_AJUSTE,COMB_COMB,K546)</f>
        <v/>
      </c>
      <c r="BJ546" s="3">
        <f>COUNTIFS(MOT_MOTOR,G546,MOT_MARCA,E546,MOT_DESDE,"&lt;="&amp;M546,MOT_HASTA,"&gt;="&amp;M546)+COUNTIFS(MOT_MOTOR,G546,MOT_MARCA,"(todas)",MOT_DESDE,"&lt;="&amp;M546,MOT_HASTA,"&gt;="&amp;M546)</f>
        <v/>
      </c>
      <c r="BK546" s="3">
        <f>IF(AND(K546="diesel",BJ546=0),MIN(BG546,NEUTRO),BG546)</f>
        <v/>
      </c>
      <c r="BL546" s="4">
        <f>MAX(0,MIN(100,BK546+BH546+BI546))</f>
        <v/>
      </c>
      <c r="BM546" s="3">
        <f>MAX(0,MIN(100,50+BE546*PRECIO_PEND))</f>
        <v/>
      </c>
      <c r="BN546" s="3">
        <f>MAX(0,100*(1-N546/KM_MAX))</f>
        <v/>
      </c>
      <c r="BO546" s="3">
        <f>IF(AV546&lt;KMA_SOSP,IF(AA546="sí",100,KMA_PEN),IF(AV546&lt;=KMA_IDEAL_MAX,100,MAX(0,100*(KMA_CERO-AV546)/(KMA_CERO-KMA_IDEAL_MAX))))</f>
        <v/>
      </c>
      <c r="BP546" s="3">
        <f>MAX(0,MIN(100,100*(M546-ANIO_MIN)/(ANIO_ACTUAL-ANIO_MIN)))</f>
        <v/>
      </c>
      <c r="BQ546" s="3">
        <f>W_KMT*BN546+W_KMA*BO546+W_EDAD*BP546</f>
        <v/>
      </c>
      <c r="BR546" s="3">
        <f>P_ITV*(V546="sí")+P_LIBRO*(W546="sí")+P_CORREA*(X546="sí")+P_PROP*(Y546=1)+P_GAR*(Z546="sí")+P_FOTOS*MIN(1,N(U546)/FOTOS_OBJ)</f>
        <v/>
      </c>
      <c r="BS546" s="3">
        <f>IFERROR(VLOOKUP(BF546,ETQ_TBL,2,0),NEUTRO)</f>
        <v/>
      </c>
      <c r="BT546" s="3">
        <f>NEUTRO</f>
        <v/>
      </c>
      <c r="BU546" s="3">
        <f>IFERROR(VLOOKUP(L546,SEGURO_TBL,3,0),"")</f>
        <v/>
      </c>
      <c r="BV546" s="3">
        <f>IF(BU546="",NEUTRO,MAX(0,MIN(100,100*(SEG_REF_MAX-BU546)/(SEG_REF_MAX-SEG_REF_MIN))))</f>
        <v/>
      </c>
      <c r="BW546" s="3">
        <f>W_ET*BS546+W_CONS*BT546+W_SEG*BV546</f>
        <v/>
      </c>
      <c r="BX546" s="3">
        <f>IF(N(AB546)&gt;0,AB546,IF(AND(R546="profesional",SG_LEGAL_ON=1),GAR_LEGAL,0))</f>
        <v/>
      </c>
      <c r="BY546" s="3">
        <f>SG_GAR*MIN(1,BX546/SG_GAR_FULL)+SG_AMPL*(AC546="sí")+SG_KMC*(AF546="sí")+SG_REV*(N(AE546)&gt;0)+SG_DEV*MIN(1,N(AG546)/SG_DEV_FULL)+SG_HIST*(W546="sí")</f>
        <v/>
      </c>
      <c r="BZ546" s="3">
        <f>IFERROR(VLOOKUP(L546,CARR_PEN_TBL,2,0),0)</f>
        <v/>
      </c>
      <c r="CA546" s="3">
        <f>W_FIAB*BL546+W_PRECIO*BM546+W_KMEDAD*BQ546+W_ANUNCIO*BR546+W_USO*BW546+W_SEGURIDAD*BY546-BZ546</f>
        <v/>
      </c>
      <c r="CB546" s="4">
        <f>IF(N(I546)&gt;0,I546,IFERROR(ROUND(_xlfn.NUMBERVALUE(LEFT(G546,FIND(" ",G546&amp;" ")-1),".")*1000,0),99999))</f>
        <v/>
      </c>
      <c r="CC546" s="3">
        <f>IF(R546="profesional",0,IF(O546&lt;CUOTA_VALOR_MAX,IF(AU546&gt;ITP_TRAMO_ALTO,SUMIFS(CF_CUOTA,CF_MAS,ITP_TRAMO_ALTO,CF_CCMIN,"&lt;="&amp;CB546,CF_CCMAX,"&gt;="&amp;CB546),IF(AU546&gt;ITP_TRAMO_BAJO,SUMIFS(CF_CUOTA,CF_MAS,ITP_TRAMO_BAJO,CF_CCMIN,"&lt;="&amp;CB546,CF_CCMAX,"&gt;="&amp;CB546),O546*ITP_TIPO)),O546*ITP_TIPO))</f>
        <v/>
      </c>
      <c r="CD546" s="4">
        <f>IF(R546="profesional",N(AK546),0)</f>
        <v/>
      </c>
      <c r="CE546" s="3">
        <f>IF(AND(R546="profesional",ISNUMBER(AK546),AL546="sí"),0,TASA_DGT)</f>
        <v/>
      </c>
      <c r="CF546" s="3">
        <f>INFORME_DGT</f>
        <v/>
      </c>
      <c r="CG546" s="4">
        <f>O546+CD546+CC546+CE546+CF546</f>
        <v/>
      </c>
      <c r="CH546" s="4">
        <f>CG546+N(BU546)</f>
        <v/>
      </c>
      <c r="CI546" s="3">
        <f>IF(CG546&lt;=TOTAL_MAX,"sí",IF(CG546&lt;=TOTAL_MAX+MARGEN_NEG,"negociar","no"))</f>
        <v/>
      </c>
      <c r="CJ546" s="4">
        <f>IF(CI546&lt;&gt;"no",COUNTIFS($CI$2:$CI$662,"&lt;&gt;no",$CA$2:$CA$662,"&gt;"&amp;CA546)+COUNTIFS($CI$2:CI546,"&lt;&gt;no",$CA$2:CA546,CA546),"")</f>
        <v/>
      </c>
    </row>
    <row r="547">
      <c r="A547" s="2" t="inlineStr">
        <is>
          <t>cochesnet:71643063</t>
        </is>
      </c>
      <c r="B547" s="2" t="inlineStr">
        <is>
          <t>cochesnet</t>
        </is>
      </c>
      <c r="C547" s="2" t="inlineStr">
        <is>
          <t>https://www.coches.net/nissan-note-5p-14g-88cv-acenta-5p-gasolina-2011-en-valencia-71643063-covo.aspx</t>
        </is>
      </c>
      <c r="D547" s="2" t="inlineStr">
        <is>
          <t>NISSAN NOTE 1.4G Acenta</t>
        </is>
      </c>
      <c r="E547" s="2" t="inlineStr">
        <is>
          <t>Nissan</t>
        </is>
      </c>
      <c r="F547" s="2" t="inlineStr">
        <is>
          <t>Nissan Note</t>
        </is>
      </c>
      <c r="G547" s="2" t="inlineStr">
        <is>
          <t>1.4</t>
        </is>
      </c>
      <c r="H547" s="2" t="inlineStr">
        <is>
          <t>5p. 1.4G 88CV Acenta</t>
        </is>
      </c>
      <c r="I547" s="2" t="n"/>
      <c r="J547" s="2" t="n">
        <v>88</v>
      </c>
      <c r="K547" s="2" t="inlineStr">
        <is>
          <t>gasolina</t>
        </is>
      </c>
      <c r="L547" s="2" t="inlineStr">
        <is>
          <t>monovolumen_pequeno</t>
        </is>
      </c>
      <c r="M547" s="2" t="n">
        <v>2011</v>
      </c>
      <c r="N547" s="2" t="n">
        <v>149860</v>
      </c>
      <c r="O547" s="2" t="n">
        <v>4450</v>
      </c>
      <c r="P547" s="2" t="inlineStr">
        <is>
          <t>manual</t>
        </is>
      </c>
      <c r="Q547" s="2" t="inlineStr">
        <is>
          <t>no</t>
        </is>
      </c>
      <c r="R547" s="2" t="inlineStr">
        <is>
          <t>particular</t>
        </is>
      </c>
      <c r="S547" s="2" t="inlineStr">
        <is>
          <t>Torrent</t>
        </is>
      </c>
      <c r="T547" s="2" t="inlineStr">
        <is>
          <t>2026-10-11T00:27:59Z</t>
        </is>
      </c>
      <c r="U547" s="2" t="n">
        <v>9</v>
      </c>
      <c r="V547" s="2" t="inlineStr">
        <is>
          <t>sí</t>
        </is>
      </c>
      <c r="W547" s="2" t="n"/>
      <c r="X547" s="2" t="n"/>
      <c r="Y547" s="2" t="n"/>
      <c r="Z547" s="2" t="inlineStr">
        <is>
          <t>no</t>
        </is>
      </c>
      <c r="AA547" s="2" t="n"/>
      <c r="AB547" s="2" t="n"/>
      <c r="AC547" s="2" t="n"/>
      <c r="AD547" s="2" t="n"/>
      <c r="AE547" s="2" t="n"/>
      <c r="AF547" s="2" t="n"/>
      <c r="AG547" s="2" t="n"/>
      <c r="AH547" s="2" t="n">
        <v>4450</v>
      </c>
      <c r="AI547" s="2" t="n"/>
      <c r="AJ547" s="2" t="n"/>
      <c r="AK547" s="2" t="n"/>
      <c r="AL547" s="2" t="n"/>
      <c r="AM547" s="2" t="n">
        <v>8.800000000000001</v>
      </c>
      <c r="AN547" s="2" t="n"/>
      <c r="AO547" s="2" t="n"/>
      <c r="AP547" s="2" t="n"/>
      <c r="AQ547" s="2" t="n"/>
      <c r="AR547" s="2" t="inlineStr">
        <is>
          <t>cuota fija ITP: &gt;12 años, hasta 1.500 cc; carrocería monovolumen_pequeno: -6 puntos; fiabilidad del modelo PENDIENTE de fuente (puntuación neutra); mediana con solo 1 anuncio(s)</t>
        </is>
      </c>
      <c r="AS547" s="2" t="inlineStr">
        <is>
          <t>Nissan Note 1.4 gasolina
Muy económico
Garantía 1 año
En muy buen estado, fiable y económico. 
Ideal para uso diario y ciudad.
?? Motor con cadena de distribución
?? Consumo real aprox. 6,3 L/100 km
?? Todos los mantenimientos al día
?? 4 neumáticos completamente nuevos
?? Interior limpio y bien cuidado
?? ITV hasta septiembre de 2028
?? Vehículo listo para usar
Venta profesional, con 1 año de garantía en motor y caja de cambios.
IVA incluido y deducible.
Se puede ver y probar sin compromiso.</t>
        </is>
      </c>
      <c r="AT547" s="2" t="inlineStr">
        <is>
          <t>https://www.coches.net/nissan-note-5p-14g-88cv-acenta-5p-gasolina-2011-en-valencia-71643063-covo.aspx (window.__INITIAL_PROPS__.ad) /home/user/Alopecia/buscador-coches/raw/cochesnet/3ebdbc95e425b57f.json</t>
        </is>
      </c>
      <c r="AU547" s="3">
        <f>MAX(ANIO_ACTUAL-M547,0)</f>
        <v/>
      </c>
      <c r="AV547" s="4">
        <f>N547/MAX(AU547,0.5)</f>
        <v/>
      </c>
      <c r="AW547" s="4">
        <f>F547</f>
        <v/>
      </c>
      <c r="AX547" s="3">
        <f>AW547&amp;"|"&amp;INT(M547/SEG_ANIO)*SEG_ANIO</f>
        <v/>
      </c>
      <c r="AY547" s="3">
        <f>AX547&amp;"|"&amp;INT(N547/SEG_KM)*SEG_KM</f>
        <v/>
      </c>
      <c r="AZ547" s="4">
        <f>COUNTIF($AW$2:$AW$662,AW547)</f>
        <v/>
      </c>
      <c r="BA547" s="4">
        <f>COUNTIF($AX$2:$AX$662,AX547)</f>
        <v/>
      </c>
      <c r="BB547" s="4">
        <f>COUNTIF($AY$2:$AY$662,AY547)</f>
        <v/>
      </c>
      <c r="BC547" s="3">
        <f t="array" ref="BC547">IF(N(AO547)&gt;=MIN_N,AN547,IF(BB547&gt;=MIN_N,MEDIAN(IF($AY$2:$AY$662=AY547,$O$2:$O$662)),IF(BA547&gt;=MIN_N,MEDIAN(IF($AX$2:$AX$662=AX547,$O$2:$O$662)),MEDIAN(IF($AW$2:$AW$662=AW547,$O$2:$O$662)))))</f>
        <v/>
      </c>
      <c r="BD547" s="3">
        <f>IF(N(AO547)&gt;=MIN_N,"mercado "&amp;AP547,IF(BB547&gt;=MIN_N,"modelo+año+km",IF(BA547&gt;=MIN_N,"modelo+año","modelo")))</f>
        <v/>
      </c>
      <c r="BE547" s="4">
        <f>(BC547-O547)/BC547</f>
        <v/>
      </c>
      <c r="BF547" s="3">
        <f>IF(OR(K547="hibrido",K547="glp"),"ECO",IF(K547="electrico","CERO",IF(K547="gasolina",IF(M547&gt;=GAS_C,"C",IF(M547&gt;=GAS_B,"B","A")),IF(K547="diesel",IF(M547&gt;=DIE_C,"C",IF(M547&gt;=DIE_B,"B","A")),""))))</f>
        <v/>
      </c>
      <c r="BG547" s="3">
        <f>IFERROR(VLOOKUP(F547,MOD_TBL,11,0),IFERROR(VLOOKUP(E547,OCU_TBL,2,0),NEUTRO))</f>
        <v/>
      </c>
      <c r="BH547" s="3">
        <f>SUMIFS(MOT_AJUSTE,MOT_MOTOR,G547,MOT_MARCA,E547,MOT_DESDE,"&lt;="&amp;M547,MOT_HASTA,"&gt;="&amp;M547)+SUMIFS(MOT_AJUSTE,MOT_MOTOR,G547,MOT_MARCA,"(todas)",MOT_DESDE,"&lt;="&amp;M547,MOT_HASTA,"&gt;="&amp;M547)</f>
        <v/>
      </c>
      <c r="BI547" s="3">
        <f>SUMIFS(COMB_AJUSTE,COMB_COMB,K547)</f>
        <v/>
      </c>
      <c r="BJ547" s="3">
        <f>COUNTIFS(MOT_MOTOR,G547,MOT_MARCA,E547,MOT_DESDE,"&lt;="&amp;M547,MOT_HASTA,"&gt;="&amp;M547)+COUNTIFS(MOT_MOTOR,G547,MOT_MARCA,"(todas)",MOT_DESDE,"&lt;="&amp;M547,MOT_HASTA,"&gt;="&amp;M547)</f>
        <v/>
      </c>
      <c r="BK547" s="3">
        <f>IF(AND(K547="diesel",BJ547=0),MIN(BG547,NEUTRO),BG547)</f>
        <v/>
      </c>
      <c r="BL547" s="4">
        <f>MAX(0,MIN(100,BK547+BH547+BI547))</f>
        <v/>
      </c>
      <c r="BM547" s="3">
        <f>MAX(0,MIN(100,50+BE547*PRECIO_PEND))</f>
        <v/>
      </c>
      <c r="BN547" s="3">
        <f>MAX(0,100*(1-N547/KM_MAX))</f>
        <v/>
      </c>
      <c r="BO547" s="3">
        <f>IF(AV547&lt;KMA_SOSP,IF(AA547="sí",100,KMA_PEN),IF(AV547&lt;=KMA_IDEAL_MAX,100,MAX(0,100*(KMA_CERO-AV547)/(KMA_CERO-KMA_IDEAL_MAX))))</f>
        <v/>
      </c>
      <c r="BP547" s="3">
        <f>MAX(0,MIN(100,100*(M547-ANIO_MIN)/(ANIO_ACTUAL-ANIO_MIN)))</f>
        <v/>
      </c>
      <c r="BQ547" s="3">
        <f>W_KMT*BN547+W_KMA*BO547+W_EDAD*BP547</f>
        <v/>
      </c>
      <c r="BR547" s="3">
        <f>P_ITV*(V547="sí")+P_LIBRO*(W547="sí")+P_CORREA*(X547="sí")+P_PROP*(Y547=1)+P_GAR*(Z547="sí")+P_FOTOS*MIN(1,N(U547)/FOTOS_OBJ)</f>
        <v/>
      </c>
      <c r="BS547" s="3">
        <f>IFERROR(VLOOKUP(BF547,ETQ_TBL,2,0),NEUTRO)</f>
        <v/>
      </c>
      <c r="BT547" s="3">
        <f>NEUTRO</f>
        <v/>
      </c>
      <c r="BU547" s="3">
        <f>IFERROR(VLOOKUP(L547,SEGURO_TBL,3,0),"")</f>
        <v/>
      </c>
      <c r="BV547" s="3">
        <f>IF(BU547="",NEUTRO,MAX(0,MIN(100,100*(SEG_REF_MAX-BU547)/(SEG_REF_MAX-SEG_REF_MIN))))</f>
        <v/>
      </c>
      <c r="BW547" s="3">
        <f>W_ET*BS547+W_CONS*BT547+W_SEG*BV547</f>
        <v/>
      </c>
      <c r="BX547" s="3">
        <f>IF(N(AB547)&gt;0,AB547,IF(AND(R547="profesional",SG_LEGAL_ON=1),GAR_LEGAL,0))</f>
        <v/>
      </c>
      <c r="BY547" s="3">
        <f>SG_GAR*MIN(1,BX547/SG_GAR_FULL)+SG_AMPL*(AC547="sí")+SG_KMC*(AF547="sí")+SG_REV*(N(AE547)&gt;0)+SG_DEV*MIN(1,N(AG547)/SG_DEV_FULL)+SG_HIST*(W547="sí")</f>
        <v/>
      </c>
      <c r="BZ547" s="3">
        <f>IFERROR(VLOOKUP(L547,CARR_PEN_TBL,2,0),0)</f>
        <v/>
      </c>
      <c r="CA547" s="3">
        <f>W_FIAB*BL547+W_PRECIO*BM547+W_KMEDAD*BQ547+W_ANUNCIO*BR547+W_USO*BW547+W_SEGURIDAD*BY547-BZ547</f>
        <v/>
      </c>
      <c r="CB547" s="4">
        <f>IF(N(I547)&gt;0,I547,IFERROR(ROUND(_xlfn.NUMBERVALUE(LEFT(G547,FIND(" ",G547&amp;" ")-1),".")*1000,0),99999))</f>
        <v/>
      </c>
      <c r="CC547" s="3">
        <f>IF(R547="profesional",0,IF(O547&lt;CUOTA_VALOR_MAX,IF(AU547&gt;ITP_TRAMO_ALTO,SUMIFS(CF_CUOTA,CF_MAS,ITP_TRAMO_ALTO,CF_CCMIN,"&lt;="&amp;CB547,CF_CCMAX,"&gt;="&amp;CB547),IF(AU547&gt;ITP_TRAMO_BAJO,SUMIFS(CF_CUOTA,CF_MAS,ITP_TRAMO_BAJO,CF_CCMIN,"&lt;="&amp;CB547,CF_CCMAX,"&gt;="&amp;CB547),O547*ITP_TIPO)),O547*ITP_TIPO))</f>
        <v/>
      </c>
      <c r="CD547" s="4">
        <f>IF(R547="profesional",N(AK547),0)</f>
        <v/>
      </c>
      <c r="CE547" s="3">
        <f>IF(AND(R547="profesional",ISNUMBER(AK547),AL547="sí"),0,TASA_DGT)</f>
        <v/>
      </c>
      <c r="CF547" s="3">
        <f>INFORME_DGT</f>
        <v/>
      </c>
      <c r="CG547" s="4">
        <f>O547+CD547+CC547+CE547+CF547</f>
        <v/>
      </c>
      <c r="CH547" s="4">
        <f>CG547+N(BU547)</f>
        <v/>
      </c>
      <c r="CI547" s="3">
        <f>IF(CG547&lt;=TOTAL_MAX,"sí",IF(CG547&lt;=TOTAL_MAX+MARGEN_NEG,"negociar","no"))</f>
        <v/>
      </c>
      <c r="CJ547" s="4">
        <f>IF(CI547&lt;&gt;"no",COUNTIFS($CI$2:$CI$662,"&lt;&gt;no",$CA$2:$CA$662,"&gt;"&amp;CA547)+COUNTIFS($CI$2:CI547,"&lt;&gt;no",$CA$2:CA547,CA547),"")</f>
        <v/>
      </c>
    </row>
    <row r="548">
      <c r="A548" s="2" t="inlineStr">
        <is>
          <t>cochesnet:71530109</t>
        </is>
      </c>
      <c r="B548" s="2" t="inlineStr">
        <is>
          <t>cochesnet</t>
        </is>
      </c>
      <c r="C548" s="2" t="inlineStr">
        <is>
          <t>https://www.coches.net/suzuki-alto-10-gl-5p-gasolina-2009-en-valencia-71530109-covo.aspx</t>
        </is>
      </c>
      <c r="D548" s="2" t="inlineStr">
        <is>
          <t>SUZUKI Alto 1.0 GL</t>
        </is>
      </c>
      <c r="E548" s="2" t="inlineStr">
        <is>
          <t>Suzuki</t>
        </is>
      </c>
      <c r="F548" s="2" t="inlineStr">
        <is>
          <t>Suzuki Alto</t>
        </is>
      </c>
      <c r="G548" s="2" t="inlineStr">
        <is>
          <t>1.0</t>
        </is>
      </c>
      <c r="H548" s="2" t="inlineStr">
        <is>
          <t>1.0 GL</t>
        </is>
      </c>
      <c r="I548" s="2" t="n"/>
      <c r="J548" s="2" t="n"/>
      <c r="K548" s="2" t="inlineStr">
        <is>
          <t>gasolina</t>
        </is>
      </c>
      <c r="L548" s="2" t="inlineStr">
        <is>
          <t>utilitario</t>
        </is>
      </c>
      <c r="M548" s="2" t="n">
        <v>2009</v>
      </c>
      <c r="N548" s="2" t="n">
        <v>55500</v>
      </c>
      <c r="O548" s="2" t="n">
        <v>5000</v>
      </c>
      <c r="P548" s="2" t="inlineStr">
        <is>
          <t>manual</t>
        </is>
      </c>
      <c r="Q548" s="2" t="inlineStr">
        <is>
          <t>no</t>
        </is>
      </c>
      <c r="R548" s="2" t="inlineStr">
        <is>
          <t>profesional</t>
        </is>
      </c>
      <c r="S548" s="2" t="inlineStr">
        <is>
          <t>Safor Auto Palmera</t>
        </is>
      </c>
      <c r="T548" s="2" t="inlineStr">
        <is>
          <t>2026-09-16T18:35:14Z</t>
        </is>
      </c>
      <c r="U548" s="2" t="n">
        <v>4</v>
      </c>
      <c r="V548" s="2" t="n"/>
      <c r="W548" s="2" t="n"/>
      <c r="X548" s="2" t="n"/>
      <c r="Y548" s="2" t="n">
        <v>1</v>
      </c>
      <c r="Z548" s="2" t="inlineStr">
        <is>
          <t>sí</t>
        </is>
      </c>
      <c r="AA548" s="2" t="inlineStr">
        <is>
          <t>sí</t>
        </is>
      </c>
      <c r="AB548" s="2" t="n">
        <v>12</v>
      </c>
      <c r="AC548" s="2" t="n"/>
      <c r="AD548" s="2" t="n"/>
      <c r="AE548" s="2" t="n"/>
      <c r="AF548" s="2" t="inlineStr">
        <is>
          <t>sí</t>
        </is>
      </c>
      <c r="AG548" s="2" t="n"/>
      <c r="AH548" s="2" t="n">
        <v>5000</v>
      </c>
      <c r="AI548" s="2" t="n"/>
      <c r="AJ548" s="2" t="n"/>
      <c r="AK548" s="2" t="n"/>
      <c r="AL548" s="2" t="n"/>
      <c r="AM548" s="2" t="n">
        <v>61.8</v>
      </c>
      <c r="AN548" s="2" t="n"/>
      <c r="AO548" s="2" t="n"/>
      <c r="AP548" s="2" t="n"/>
      <c r="AQ548" s="2" t="n"/>
      <c r="AR548" s="2" t="inlineStr">
        <is>
          <t>por encima del presupuesto (5064 €), negociar; vendedor profesional: sin ITP (operación con IVA/REBU, confirmar en factura); gastos de gestión del vendedor no indicados: se suma la tasa DGT; preguntar el precio final; mediana con solo 2 anuncio(s)</t>
        </is>
      </c>
      <c r="AS548" s="2" t="inlineStr">
        <is>
          <t xml:space="preserve">- VEHÍCULO NACIONAL CON KM CERTIFICADOS
- UN SOLO DUEÑO UNIDAD MUY CUIDADA
- SE ENTREGA TOTALMENTE REVISADA Y CON TODO EL MANTENIMIENTO HECHO
- ACEPTAMOS PRUEBA MECÁNICA
- GARANTÍA DE 12 MESES INCLUIDA EN EL PRECIO
- POSIBILIDAD DE FINANCIAR SIN ENTRADA DESDE 181,23€ AL MES
- LAS GARANTÍAS SE CUBREN EN CUALQUIER PUNTO DE ESPAÑA
- PROMOCIÓN 20 ANIVERSARIO ENTREGA GRATUITA EN SU DOMICILIO 
- ACEPTAMOS VEHÍCULO COMO PARTE DEL PAGO
- VEHÍCULO EN MANTENIMIENTO EN BREVE INSERTAMOS MAS FOTOGRAFÍAS 
- PARA VER Y PROBAR EL VEHÍCULO HAY QUE CONCERTAR CITA PREVIA
   ( EL DÍA Y LA HORA LO DECIDE USTED )
</t>
        </is>
      </c>
      <c r="AT548" s="2" t="inlineStr">
        <is>
          <t>https://www.coches.net/suzuki-alto-10-gl-5p-gasolina-2009-en-valencia-71530109-covo.aspx (window.__INITIAL_PROPS__.ad) /home/user/Alopecia/buscador-coches/raw/cochesnet/ddee7fb118c34811.json</t>
        </is>
      </c>
      <c r="AU548" s="3">
        <f>MAX(ANIO_ACTUAL-M548,0)</f>
        <v/>
      </c>
      <c r="AV548" s="4">
        <f>N548/MAX(AU548,0.5)</f>
        <v/>
      </c>
      <c r="AW548" s="4">
        <f>F548</f>
        <v/>
      </c>
      <c r="AX548" s="3">
        <f>AW548&amp;"|"&amp;INT(M548/SEG_ANIO)*SEG_ANIO</f>
        <v/>
      </c>
      <c r="AY548" s="3">
        <f>AX548&amp;"|"&amp;INT(N548/SEG_KM)*SEG_KM</f>
        <v/>
      </c>
      <c r="AZ548" s="4">
        <f>COUNTIF($AW$2:$AW$662,AW548)</f>
        <v/>
      </c>
      <c r="BA548" s="4">
        <f>COUNTIF($AX$2:$AX$662,AX548)</f>
        <v/>
      </c>
      <c r="BB548" s="4">
        <f>COUNTIF($AY$2:$AY$662,AY548)</f>
        <v/>
      </c>
      <c r="BC548" s="3">
        <f t="array" ref="BC548">IF(N(AO548)&gt;=MIN_N,AN548,IF(BB548&gt;=MIN_N,MEDIAN(IF($AY$2:$AY$662=AY548,$O$2:$O$662)),IF(BA548&gt;=MIN_N,MEDIAN(IF($AX$2:$AX$662=AX548,$O$2:$O$662)),MEDIAN(IF($AW$2:$AW$662=AW548,$O$2:$O$662)))))</f>
        <v/>
      </c>
      <c r="BD548" s="3">
        <f>IF(N(AO548)&gt;=MIN_N,"mercado "&amp;AP548,IF(BB548&gt;=MIN_N,"modelo+año+km",IF(BA548&gt;=MIN_N,"modelo+año","modelo")))</f>
        <v/>
      </c>
      <c r="BE548" s="4">
        <f>(BC548-O548)/BC548</f>
        <v/>
      </c>
      <c r="BF548" s="3">
        <f>IF(OR(K548="hibrido",K548="glp"),"ECO",IF(K548="electrico","CERO",IF(K548="gasolina",IF(M548&gt;=GAS_C,"C",IF(M548&gt;=GAS_B,"B","A")),IF(K548="diesel",IF(M548&gt;=DIE_C,"C",IF(M548&gt;=DIE_B,"B","A")),""))))</f>
        <v/>
      </c>
      <c r="BG548" s="3">
        <f>IFERROR(VLOOKUP(F548,MOD_TBL,11,0),IFERROR(VLOOKUP(E548,OCU_TBL,2,0),NEUTRO))</f>
        <v/>
      </c>
      <c r="BH548" s="3">
        <f>SUMIFS(MOT_AJUSTE,MOT_MOTOR,G548,MOT_MARCA,E548,MOT_DESDE,"&lt;="&amp;M548,MOT_HASTA,"&gt;="&amp;M548)+SUMIFS(MOT_AJUSTE,MOT_MOTOR,G548,MOT_MARCA,"(todas)",MOT_DESDE,"&lt;="&amp;M548,MOT_HASTA,"&gt;="&amp;M548)</f>
        <v/>
      </c>
      <c r="BI548" s="3">
        <f>SUMIFS(COMB_AJUSTE,COMB_COMB,K548)</f>
        <v/>
      </c>
      <c r="BJ548" s="3">
        <f>COUNTIFS(MOT_MOTOR,G548,MOT_MARCA,E548,MOT_DESDE,"&lt;="&amp;M548,MOT_HASTA,"&gt;="&amp;M548)+COUNTIFS(MOT_MOTOR,G548,MOT_MARCA,"(todas)",MOT_DESDE,"&lt;="&amp;M548,MOT_HASTA,"&gt;="&amp;M548)</f>
        <v/>
      </c>
      <c r="BK548" s="3">
        <f>IF(AND(K548="diesel",BJ548=0),MIN(BG548,NEUTRO),BG548)</f>
        <v/>
      </c>
      <c r="BL548" s="4">
        <f>MAX(0,MIN(100,BK548+BH548+BI548))</f>
        <v/>
      </c>
      <c r="BM548" s="3">
        <f>MAX(0,MIN(100,50+BE548*PRECIO_PEND))</f>
        <v/>
      </c>
      <c r="BN548" s="3">
        <f>MAX(0,100*(1-N548/KM_MAX))</f>
        <v/>
      </c>
      <c r="BO548" s="3">
        <f>IF(AV548&lt;KMA_SOSP,IF(AA548="sí",100,KMA_PEN),IF(AV548&lt;=KMA_IDEAL_MAX,100,MAX(0,100*(KMA_CERO-AV548)/(KMA_CERO-KMA_IDEAL_MAX))))</f>
        <v/>
      </c>
      <c r="BP548" s="3">
        <f>MAX(0,MIN(100,100*(M548-ANIO_MIN)/(ANIO_ACTUAL-ANIO_MIN)))</f>
        <v/>
      </c>
      <c r="BQ548" s="3">
        <f>W_KMT*BN548+W_KMA*BO548+W_EDAD*BP548</f>
        <v/>
      </c>
      <c r="BR548" s="3">
        <f>P_ITV*(V548="sí")+P_LIBRO*(W548="sí")+P_CORREA*(X548="sí")+P_PROP*(Y548=1)+P_GAR*(Z548="sí")+P_FOTOS*MIN(1,N(U548)/FOTOS_OBJ)</f>
        <v/>
      </c>
      <c r="BS548" s="3">
        <f>IFERROR(VLOOKUP(BF548,ETQ_TBL,2,0),NEUTRO)</f>
        <v/>
      </c>
      <c r="BT548" s="3">
        <f>NEUTRO</f>
        <v/>
      </c>
      <c r="BU548" s="3">
        <f>IFERROR(VLOOKUP(L548,SEGURO_TBL,3,0),"")</f>
        <v/>
      </c>
      <c r="BV548" s="3">
        <f>IF(BU548="",NEUTRO,MAX(0,MIN(100,100*(SEG_REF_MAX-BU548)/(SEG_REF_MAX-SEG_REF_MIN))))</f>
        <v/>
      </c>
      <c r="BW548" s="3">
        <f>W_ET*BS548+W_CONS*BT548+W_SEG*BV548</f>
        <v/>
      </c>
      <c r="BX548" s="3">
        <f>IF(N(AB548)&gt;0,AB548,IF(AND(R548="profesional",SG_LEGAL_ON=1),GAR_LEGAL,0))</f>
        <v/>
      </c>
      <c r="BY548" s="3">
        <f>SG_GAR*MIN(1,BX548/SG_GAR_FULL)+SG_AMPL*(AC548="sí")+SG_KMC*(AF548="sí")+SG_REV*(N(AE548)&gt;0)+SG_DEV*MIN(1,N(AG548)/SG_DEV_FULL)+SG_HIST*(W548="sí")</f>
        <v/>
      </c>
      <c r="BZ548" s="3">
        <f>IFERROR(VLOOKUP(L548,CARR_PEN_TBL,2,0),0)</f>
        <v/>
      </c>
      <c r="CA548" s="3">
        <f>W_FIAB*BL548+W_PRECIO*BM548+W_KMEDAD*BQ548+W_ANUNCIO*BR548+W_USO*BW548+W_SEGURIDAD*BY548-BZ548</f>
        <v/>
      </c>
      <c r="CB548" s="4">
        <f>IF(N(I548)&gt;0,I548,IFERROR(ROUND(_xlfn.NUMBERVALUE(LEFT(G548,FIND(" ",G548&amp;" ")-1),".")*1000,0),99999))</f>
        <v/>
      </c>
      <c r="CC548" s="3">
        <f>IF(R548="profesional",0,IF(O548&lt;CUOTA_VALOR_MAX,IF(AU548&gt;ITP_TRAMO_ALTO,SUMIFS(CF_CUOTA,CF_MAS,ITP_TRAMO_ALTO,CF_CCMIN,"&lt;="&amp;CB548,CF_CCMAX,"&gt;="&amp;CB548),IF(AU548&gt;ITP_TRAMO_BAJO,SUMIFS(CF_CUOTA,CF_MAS,ITP_TRAMO_BAJO,CF_CCMIN,"&lt;="&amp;CB548,CF_CCMAX,"&gt;="&amp;CB548),O548*ITP_TIPO)),O548*ITP_TIPO))</f>
        <v/>
      </c>
      <c r="CD548" s="4">
        <f>IF(R548="profesional",N(AK548),0)</f>
        <v/>
      </c>
      <c r="CE548" s="3">
        <f>IF(AND(R548="profesional",ISNUMBER(AK548),AL548="sí"),0,TASA_DGT)</f>
        <v/>
      </c>
      <c r="CF548" s="3">
        <f>INFORME_DGT</f>
        <v/>
      </c>
      <c r="CG548" s="4">
        <f>O548+CD548+CC548+CE548+CF548</f>
        <v/>
      </c>
      <c r="CH548" s="4">
        <f>CG548+N(BU548)</f>
        <v/>
      </c>
      <c r="CI548" s="3">
        <f>IF(CG548&lt;=TOTAL_MAX,"sí",IF(CG548&lt;=TOTAL_MAX+MARGEN_NEG,"negociar","no"))</f>
        <v/>
      </c>
      <c r="CJ548" s="4">
        <f>IF(CI548&lt;&gt;"no",COUNTIFS($CI$2:$CI$662,"&lt;&gt;no",$CA$2:$CA$662,"&gt;"&amp;CA548)+COUNTIFS($CI$2:CI548,"&lt;&gt;no",$CA$2:CA548,CA548),"")</f>
        <v/>
      </c>
    </row>
    <row r="549">
      <c r="A549" s="2" t="inlineStr">
        <is>
          <t>cochesnet:71666662</t>
        </is>
      </c>
      <c r="B549" s="2" t="inlineStr">
        <is>
          <t>cochesnet</t>
        </is>
      </c>
      <c r="C549" s="2" t="inlineStr">
        <is>
          <t>https://www.coches.net/suzuki-swift-diesel-2006-en-valencia-71666662-covo.aspx</t>
        </is>
      </c>
      <c r="D549" s="2" t="inlineStr">
        <is>
          <t>SUZUKI Swift</t>
        </is>
      </c>
      <c r="E549" s="2" t="inlineStr">
        <is>
          <t>Suzuki</t>
        </is>
      </c>
      <c r="F549" s="2" t="inlineStr">
        <is>
          <t>Suzuki Swift</t>
        </is>
      </c>
      <c r="G549" s="2" t="n"/>
      <c r="H549" s="2" t="n"/>
      <c r="I549" s="2" t="n"/>
      <c r="J549" s="2" t="n"/>
      <c r="K549" s="2" t="inlineStr">
        <is>
          <t>diesel</t>
        </is>
      </c>
      <c r="L549" s="2" t="inlineStr">
        <is>
          <t>utilitario</t>
        </is>
      </c>
      <c r="M549" s="2" t="n">
        <v>2006</v>
      </c>
      <c r="N549" s="2" t="n">
        <v>122000</v>
      </c>
      <c r="O549" s="2" t="n">
        <v>3845</v>
      </c>
      <c r="P549" s="2" t="inlineStr">
        <is>
          <t>manual</t>
        </is>
      </c>
      <c r="Q549" s="2" t="inlineStr">
        <is>
          <t>no</t>
        </is>
      </c>
      <c r="R549" s="2" t="inlineStr">
        <is>
          <t>particular</t>
        </is>
      </c>
      <c r="S549" s="2" t="inlineStr">
        <is>
          <t>Burjassot</t>
        </is>
      </c>
      <c r="T549" s="2" t="inlineStr">
        <is>
          <t>2026-10-03T17:38:55Z</t>
        </is>
      </c>
      <c r="U549" s="2" t="n">
        <v>9</v>
      </c>
      <c r="V549" s="2" t="inlineStr">
        <is>
          <t>sí</t>
        </is>
      </c>
      <c r="W549" s="2" t="n"/>
      <c r="X549" s="2" t="n"/>
      <c r="Y549" s="2" t="n"/>
      <c r="Z549" s="2" t="inlineStr">
        <is>
          <t>no</t>
        </is>
      </c>
      <c r="AA549" s="2" t="n"/>
      <c r="AB549" s="2" t="n"/>
      <c r="AC549" s="2" t="n"/>
      <c r="AD549" s="2" t="n"/>
      <c r="AE549" s="2" t="n"/>
      <c r="AF549" s="2" t="n"/>
      <c r="AG549" s="2" t="n"/>
      <c r="AH549" s="2" t="n">
        <v>3845</v>
      </c>
      <c r="AI549" s="2" t="n"/>
      <c r="AJ549" s="2" t="n"/>
      <c r="AK549" s="2" t="n"/>
      <c r="AL549" s="2" t="n"/>
      <c r="AM549" s="2" t="n">
        <v>5.5</v>
      </c>
      <c r="AN549" s="2" t="n">
        <v>3475</v>
      </c>
      <c r="AO549" s="2" t="n">
        <v>5</v>
      </c>
      <c r="AP549" s="2" t="inlineStr">
        <is>
          <t>modelo+año</t>
        </is>
      </c>
      <c r="AQ549" s="2" t="inlineStr">
        <is>
          <t>cochesnet:71666551 (https://www.coches.net/suzuki-swift-13-ddis-glx-5p-5p-diesel-2006-en-valencia-71666551-covo.aspx)</t>
        </is>
      </c>
      <c r="AR549" s="2" t="inlineStr">
        <is>
          <t>cilindrada desconocida: se aplica el tramo de cuota fija más alto; cuota fija ITP: &gt;12 años, más de 2.000 cc; diésel: motor sin fuente de fiabilidad (fiabilidad limitada a neutra)</t>
        </is>
      </c>
      <c r="AS549" s="2" t="inlineStr">
        <is>
          <t>-Vendo Suzuki Swift 1.3 Ddis diesel del 2006 de 70cv con 122000km
-Vendo el coche porque tengo otro y no voy a usar este, tiene pastillas, discos de freno, aceite y filtros cambiado hace menos de 3000km, la batería tiene 2 años se le cambió el alternador hace tiempo y los faros están pulidos, ITV pasada hace menos de un mes. No hay que hacerle nada está listo para disfrutarlo y hacer kilómetros.
-Etiqueta medioambiental B
Pantalla android con Apple carplay y android auto 4gb de RAM y 64 de almacenamiento(costo más de 250€) también tengo la radio original, se puede ver en la foto del maletero.
-Interior impoluto recién limpiado con máquina lavatapicerias de inyección extracción.
-Presenta desgastes lógicos por los años en ambos parachoques, delantero y trasero.
-Ideal como primer coche o coche para ir al trabajo, no consume nada.
-Cualquier duda o consulta no dudes en escribir, el coche se puede ver en Valencia o Albacete.</t>
        </is>
      </c>
      <c r="AT549" s="2" t="inlineStr">
        <is>
          <t>https://www.coches.net/suzuki-swift-diesel-2006-en-valencia-71666662-covo.aspx (window.__INITIAL_PROPS__.ad) /home/user/Alopecia/buscador-coches/raw/cochesnet/c780e000178af53c.json</t>
        </is>
      </c>
      <c r="AU549" s="3">
        <f>MAX(ANIO_ACTUAL-M549,0)</f>
        <v/>
      </c>
      <c r="AV549" s="4">
        <f>N549/MAX(AU549,0.5)</f>
        <v/>
      </c>
      <c r="AW549" s="4">
        <f>F549</f>
        <v/>
      </c>
      <c r="AX549" s="3">
        <f>AW549&amp;"|"&amp;INT(M549/SEG_ANIO)*SEG_ANIO</f>
        <v/>
      </c>
      <c r="AY549" s="3">
        <f>AX549&amp;"|"&amp;INT(N549/SEG_KM)*SEG_KM</f>
        <v/>
      </c>
      <c r="AZ549" s="4">
        <f>COUNTIF($AW$2:$AW$662,AW549)</f>
        <v/>
      </c>
      <c r="BA549" s="4">
        <f>COUNTIF($AX$2:$AX$662,AX549)</f>
        <v/>
      </c>
      <c r="BB549" s="4">
        <f>COUNTIF($AY$2:$AY$662,AY549)</f>
        <v/>
      </c>
      <c r="BC549" s="3">
        <f t="array" ref="BC549">IF(N(AO549)&gt;=MIN_N,AN549,IF(BB549&gt;=MIN_N,MEDIAN(IF($AY$2:$AY$662=AY549,$O$2:$O$662)),IF(BA549&gt;=MIN_N,MEDIAN(IF($AX$2:$AX$662=AX549,$O$2:$O$662)),MEDIAN(IF($AW$2:$AW$662=AW549,$O$2:$O$662)))))</f>
        <v/>
      </c>
      <c r="BD549" s="3">
        <f>IF(N(AO549)&gt;=MIN_N,"mercado "&amp;AP549,IF(BB549&gt;=MIN_N,"modelo+año+km",IF(BA549&gt;=MIN_N,"modelo+año","modelo")))</f>
        <v/>
      </c>
      <c r="BE549" s="4">
        <f>(BC549-O549)/BC549</f>
        <v/>
      </c>
      <c r="BF549" s="3">
        <f>IF(OR(K549="hibrido",K549="glp"),"ECO",IF(K549="electrico","CERO",IF(K549="gasolina",IF(M549&gt;=GAS_C,"C",IF(M549&gt;=GAS_B,"B","A")),IF(K549="diesel",IF(M549&gt;=DIE_C,"C",IF(M549&gt;=DIE_B,"B","A")),""))))</f>
        <v/>
      </c>
      <c r="BG549" s="3">
        <f>IFERROR(VLOOKUP(F549,MOD_TBL,11,0),IFERROR(VLOOKUP(E549,OCU_TBL,2,0),NEUTRO))</f>
        <v/>
      </c>
      <c r="BH549" s="3">
        <f>SUMIFS(MOT_AJUSTE,MOT_MOTOR,G549,MOT_MARCA,E549,MOT_DESDE,"&lt;="&amp;M549,MOT_HASTA,"&gt;="&amp;M549)+SUMIFS(MOT_AJUSTE,MOT_MOTOR,G549,MOT_MARCA,"(todas)",MOT_DESDE,"&lt;="&amp;M549,MOT_HASTA,"&gt;="&amp;M549)</f>
        <v/>
      </c>
      <c r="BI549" s="3">
        <f>SUMIFS(COMB_AJUSTE,COMB_COMB,K549)</f>
        <v/>
      </c>
      <c r="BJ549" s="3">
        <f>COUNTIFS(MOT_MOTOR,G549,MOT_MARCA,E549,MOT_DESDE,"&lt;="&amp;M549,MOT_HASTA,"&gt;="&amp;M549)+COUNTIFS(MOT_MOTOR,G549,MOT_MARCA,"(todas)",MOT_DESDE,"&lt;="&amp;M549,MOT_HASTA,"&gt;="&amp;M549)</f>
        <v/>
      </c>
      <c r="BK549" s="3">
        <f>IF(AND(K549="diesel",BJ549=0),MIN(BG549,NEUTRO),BG549)</f>
        <v/>
      </c>
      <c r="BL549" s="4">
        <f>MAX(0,MIN(100,BK549+BH549+BI549))</f>
        <v/>
      </c>
      <c r="BM549" s="3">
        <f>MAX(0,MIN(100,50+BE549*PRECIO_PEND))</f>
        <v/>
      </c>
      <c r="BN549" s="3">
        <f>MAX(0,100*(1-N549/KM_MAX))</f>
        <v/>
      </c>
      <c r="BO549" s="3">
        <f>IF(AV549&lt;KMA_SOSP,IF(AA549="sí",100,KMA_PEN),IF(AV549&lt;=KMA_IDEAL_MAX,100,MAX(0,100*(KMA_CERO-AV549)/(KMA_CERO-KMA_IDEAL_MAX))))</f>
        <v/>
      </c>
      <c r="BP549" s="3">
        <f>MAX(0,MIN(100,100*(M549-ANIO_MIN)/(ANIO_ACTUAL-ANIO_MIN)))</f>
        <v/>
      </c>
      <c r="BQ549" s="3">
        <f>W_KMT*BN549+W_KMA*BO549+W_EDAD*BP549</f>
        <v/>
      </c>
      <c r="BR549" s="3">
        <f>P_ITV*(V549="sí")+P_LIBRO*(W549="sí")+P_CORREA*(X549="sí")+P_PROP*(Y549=1)+P_GAR*(Z549="sí")+P_FOTOS*MIN(1,N(U549)/FOTOS_OBJ)</f>
        <v/>
      </c>
      <c r="BS549" s="3">
        <f>IFERROR(VLOOKUP(BF549,ETQ_TBL,2,0),NEUTRO)</f>
        <v/>
      </c>
      <c r="BT549" s="3">
        <f>NEUTRO</f>
        <v/>
      </c>
      <c r="BU549" s="3">
        <f>IFERROR(VLOOKUP(L549,SEGURO_TBL,3,0),"")</f>
        <v/>
      </c>
      <c r="BV549" s="3">
        <f>IF(BU549="",NEUTRO,MAX(0,MIN(100,100*(SEG_REF_MAX-BU549)/(SEG_REF_MAX-SEG_REF_MIN))))</f>
        <v/>
      </c>
      <c r="BW549" s="3">
        <f>W_ET*BS549+W_CONS*BT549+W_SEG*BV549</f>
        <v/>
      </c>
      <c r="BX549" s="3">
        <f>IF(N(AB549)&gt;0,AB549,IF(AND(R549="profesional",SG_LEGAL_ON=1),GAR_LEGAL,0))</f>
        <v/>
      </c>
      <c r="BY549" s="3">
        <f>SG_GAR*MIN(1,BX549/SG_GAR_FULL)+SG_AMPL*(AC549="sí")+SG_KMC*(AF549="sí")+SG_REV*(N(AE549)&gt;0)+SG_DEV*MIN(1,N(AG549)/SG_DEV_FULL)+SG_HIST*(W549="sí")</f>
        <v/>
      </c>
      <c r="BZ549" s="3">
        <f>IFERROR(VLOOKUP(L549,CARR_PEN_TBL,2,0),0)</f>
        <v/>
      </c>
      <c r="CA549" s="3">
        <f>W_FIAB*BL549+W_PRECIO*BM549+W_KMEDAD*BQ549+W_ANUNCIO*BR549+W_USO*BW549+W_SEGURIDAD*BY549-BZ549</f>
        <v/>
      </c>
      <c r="CB549" s="4">
        <f>IF(N(I549)&gt;0,I549,IFERROR(ROUND(_xlfn.NUMBERVALUE(LEFT(G549,FIND(" ",G549&amp;" ")-1),".")*1000,0),99999))</f>
        <v/>
      </c>
      <c r="CC549" s="3">
        <f>IF(R549="profesional",0,IF(O549&lt;CUOTA_VALOR_MAX,IF(AU549&gt;ITP_TRAMO_ALTO,SUMIFS(CF_CUOTA,CF_MAS,ITP_TRAMO_ALTO,CF_CCMIN,"&lt;="&amp;CB549,CF_CCMAX,"&gt;="&amp;CB549),IF(AU549&gt;ITP_TRAMO_BAJO,SUMIFS(CF_CUOTA,CF_MAS,ITP_TRAMO_BAJO,CF_CCMIN,"&lt;="&amp;CB549,CF_CCMAX,"&gt;="&amp;CB549),O549*ITP_TIPO)),O549*ITP_TIPO))</f>
        <v/>
      </c>
      <c r="CD549" s="4">
        <f>IF(R549="profesional",N(AK549),0)</f>
        <v/>
      </c>
      <c r="CE549" s="3">
        <f>IF(AND(R549="profesional",ISNUMBER(AK549),AL549="sí"),0,TASA_DGT)</f>
        <v/>
      </c>
      <c r="CF549" s="3">
        <f>INFORME_DGT</f>
        <v/>
      </c>
      <c r="CG549" s="4">
        <f>O549+CD549+CC549+CE549+CF549</f>
        <v/>
      </c>
      <c r="CH549" s="4">
        <f>CG549+N(BU549)</f>
        <v/>
      </c>
      <c r="CI549" s="3">
        <f>IF(CG549&lt;=TOTAL_MAX,"sí",IF(CG549&lt;=TOTAL_MAX+MARGEN_NEG,"negociar","no"))</f>
        <v/>
      </c>
      <c r="CJ549" s="4">
        <f>IF(CI549&lt;&gt;"no",COUNTIFS($CI$2:$CI$662,"&lt;&gt;no",$CA$2:$CA$662,"&gt;"&amp;CA549)+COUNTIFS($CI$2:CI549,"&lt;&gt;no",$CA$2:CA549,CA549),"")</f>
        <v/>
      </c>
    </row>
    <row r="550">
      <c r="A550" s="2" t="inlineStr">
        <is>
          <t>cochesnet:71604098</t>
        </is>
      </c>
      <c r="B550" s="2" t="inlineStr">
        <is>
          <t>cochesnet</t>
        </is>
      </c>
      <c r="C550" s="2" t="inlineStr">
        <is>
          <t>https://www.coches.net/suzuki-swift-13-gl-5p-5p-gasolina-2006-en-valencia-71604098-covo.aspx</t>
        </is>
      </c>
      <c r="D550" s="2" t="inlineStr">
        <is>
          <t>SUZUKI Swift 1.3 GL</t>
        </is>
      </c>
      <c r="E550" s="2" t="inlineStr">
        <is>
          <t>Suzuki</t>
        </is>
      </c>
      <c r="F550" s="2" t="inlineStr">
        <is>
          <t>Suzuki Swift</t>
        </is>
      </c>
      <c r="G550" s="2" t="inlineStr">
        <is>
          <t>1.3</t>
        </is>
      </c>
      <c r="H550" s="2" t="inlineStr">
        <is>
          <t>1.3 GL 5p</t>
        </is>
      </c>
      <c r="I550" s="2" t="n"/>
      <c r="J550" s="2" t="n"/>
      <c r="K550" s="2" t="inlineStr">
        <is>
          <t>gasolina</t>
        </is>
      </c>
      <c r="L550" s="2" t="inlineStr">
        <is>
          <t>utilitario</t>
        </is>
      </c>
      <c r="M550" s="2" t="n">
        <v>2006</v>
      </c>
      <c r="N550" s="2" t="n">
        <v>206000</v>
      </c>
      <c r="O550" s="2" t="n">
        <v>2800</v>
      </c>
      <c r="P550" s="2" t="inlineStr">
        <is>
          <t>manual</t>
        </is>
      </c>
      <c r="Q550" s="2" t="inlineStr">
        <is>
          <t>no</t>
        </is>
      </c>
      <c r="R550" s="2" t="inlineStr">
        <is>
          <t>particular</t>
        </is>
      </c>
      <c r="S550" s="2" t="inlineStr">
        <is>
          <t>San Antonio de Benagéber</t>
        </is>
      </c>
      <c r="T550" s="2" t="inlineStr">
        <is>
          <t>2026-09-26T18:45:21Z</t>
        </is>
      </c>
      <c r="U550" s="2" t="n">
        <v>6</v>
      </c>
      <c r="V550" s="2" t="n"/>
      <c r="W550" s="2" t="n"/>
      <c r="X550" s="2" t="n"/>
      <c r="Y550" s="2" t="n"/>
      <c r="Z550" s="2" t="inlineStr">
        <is>
          <t>no</t>
        </is>
      </c>
      <c r="AA550" s="2" t="n"/>
      <c r="AB550" s="2" t="n"/>
      <c r="AC550" s="2" t="n"/>
      <c r="AD550" s="2" t="n"/>
      <c r="AE550" s="2" t="n"/>
      <c r="AF550" s="2" t="n"/>
      <c r="AG550" s="2" t="n"/>
      <c r="AH550" s="2" t="n">
        <v>2800</v>
      </c>
      <c r="AI550" s="2" t="n"/>
      <c r="AJ550" s="2" t="n"/>
      <c r="AK550" s="2" t="n"/>
      <c r="AL550" s="2" t="n"/>
      <c r="AM550" s="2" t="n">
        <v>19.1</v>
      </c>
      <c r="AN550" s="2" t="n">
        <v>3475</v>
      </c>
      <c r="AO550" s="2" t="n">
        <v>5</v>
      </c>
      <c r="AP550" s="2" t="inlineStr">
        <is>
          <t>modelo+año</t>
        </is>
      </c>
      <c r="AQ550" s="2" t="inlineStr">
        <is>
          <t>cochesnet:71652616 (https://www.coches.net/suzuki-swift-gasolina-2006-en-valencia-71652616-covo.aspx)</t>
        </is>
      </c>
      <c r="AR550" s="2" t="inlineStr">
        <is>
          <t>cuota fija ITP: &gt;12 años, hasta 1.500 cc</t>
        </is>
      </c>
      <c r="AS550" s="2" t="inlineStr">
        <is>
          <t>Vendo mi Suzuki Swift 1.3 GL, un vehículo práctico y fiable que ha demostrado ser una excelente inversión. Con más de 200.000 kilómetros recorridos, sigue funcionando correctamente y listo para seguir prestando servicio.
Este modelo es perfecto si buscas un coche ágil y económico para moverte por la ciudad sin complicaciones. El Swift es conocido por su bajo consumo de combustible, lo que te permitirá ahorrar significativamente en cada repostaje. Su motor de 1328 cc ofrece la potencia suficiente para una conducción cómoda en cualquier situación.
La carrocería de cinco puertas facilita el acceso y la comodidad para los pasajeros, mientras que la transmisión manual te proporciona control total de la conducción. Con capacidad para cinco ocupantes, es ideal tanto para uso personal como familiar.
Se trata de un berlina compacta que combina practicidad y maniobrabilidad, especialmente útil en entornos urbanos donde el espacio es limitado. Su tamaño reducido no compromete el confort interior ni la funcionalidad.
Soy vendedor particular y estoy disponible para resolver cualquier duda que tengas sobre el estado del vehículo o detalles específicos que no encuentres en la ficha. Puedes contactarme a través del chat del portal para una comunicación directa y rápida.
Si buscas un coche económico, confiable y listo para continuar su andadura, no dejes pasar esta oportunidad. Contacta hoy mismo para más información o para concertar una cita de inspección.</t>
        </is>
      </c>
      <c r="AT550" s="2" t="inlineStr">
        <is>
          <t>https://www.coches.net/suzuki-swift-13-gl-5p-5p-gasolina-2006-en-valencia-71604098-covo.aspx (window.__INITIAL_PROPS__.ad) /home/user/Alopecia/buscador-coches/raw/cochesnet/ace8dad539e9784d.json</t>
        </is>
      </c>
      <c r="AU550" s="3">
        <f>MAX(ANIO_ACTUAL-M550,0)</f>
        <v/>
      </c>
      <c r="AV550" s="4">
        <f>N550/MAX(AU550,0.5)</f>
        <v/>
      </c>
      <c r="AW550" s="4">
        <f>F550</f>
        <v/>
      </c>
      <c r="AX550" s="3">
        <f>AW550&amp;"|"&amp;INT(M550/SEG_ANIO)*SEG_ANIO</f>
        <v/>
      </c>
      <c r="AY550" s="3">
        <f>AX550&amp;"|"&amp;INT(N550/SEG_KM)*SEG_KM</f>
        <v/>
      </c>
      <c r="AZ550" s="4">
        <f>COUNTIF($AW$2:$AW$662,AW550)</f>
        <v/>
      </c>
      <c r="BA550" s="4">
        <f>COUNTIF($AX$2:$AX$662,AX550)</f>
        <v/>
      </c>
      <c r="BB550" s="4">
        <f>COUNTIF($AY$2:$AY$662,AY550)</f>
        <v/>
      </c>
      <c r="BC550" s="3">
        <f t="array" ref="BC550">IF(N(AO550)&gt;=MIN_N,AN550,IF(BB550&gt;=MIN_N,MEDIAN(IF($AY$2:$AY$662=AY550,$O$2:$O$662)),IF(BA550&gt;=MIN_N,MEDIAN(IF($AX$2:$AX$662=AX550,$O$2:$O$662)),MEDIAN(IF($AW$2:$AW$662=AW550,$O$2:$O$662)))))</f>
        <v/>
      </c>
      <c r="BD550" s="3">
        <f>IF(N(AO550)&gt;=MIN_N,"mercado "&amp;AP550,IF(BB550&gt;=MIN_N,"modelo+año+km",IF(BA550&gt;=MIN_N,"modelo+año","modelo")))</f>
        <v/>
      </c>
      <c r="BE550" s="4">
        <f>(BC550-O550)/BC550</f>
        <v/>
      </c>
      <c r="BF550" s="3">
        <f>IF(OR(K550="hibrido",K550="glp"),"ECO",IF(K550="electrico","CERO",IF(K550="gasolina",IF(M550&gt;=GAS_C,"C",IF(M550&gt;=GAS_B,"B","A")),IF(K550="diesel",IF(M550&gt;=DIE_C,"C",IF(M550&gt;=DIE_B,"B","A")),""))))</f>
        <v/>
      </c>
      <c r="BG550" s="3">
        <f>IFERROR(VLOOKUP(F550,MOD_TBL,11,0),IFERROR(VLOOKUP(E550,OCU_TBL,2,0),NEUTRO))</f>
        <v/>
      </c>
      <c r="BH550" s="3">
        <f>SUMIFS(MOT_AJUSTE,MOT_MOTOR,G550,MOT_MARCA,E550,MOT_DESDE,"&lt;="&amp;M550,MOT_HASTA,"&gt;="&amp;M550)+SUMIFS(MOT_AJUSTE,MOT_MOTOR,G550,MOT_MARCA,"(todas)",MOT_DESDE,"&lt;="&amp;M550,MOT_HASTA,"&gt;="&amp;M550)</f>
        <v/>
      </c>
      <c r="BI550" s="3">
        <f>SUMIFS(COMB_AJUSTE,COMB_COMB,K550)</f>
        <v/>
      </c>
      <c r="BJ550" s="3">
        <f>COUNTIFS(MOT_MOTOR,G550,MOT_MARCA,E550,MOT_DESDE,"&lt;="&amp;M550,MOT_HASTA,"&gt;="&amp;M550)+COUNTIFS(MOT_MOTOR,G550,MOT_MARCA,"(todas)",MOT_DESDE,"&lt;="&amp;M550,MOT_HASTA,"&gt;="&amp;M550)</f>
        <v/>
      </c>
      <c r="BK550" s="3">
        <f>IF(AND(K550="diesel",BJ550=0),MIN(BG550,NEUTRO),BG550)</f>
        <v/>
      </c>
      <c r="BL550" s="4">
        <f>MAX(0,MIN(100,BK550+BH550+BI550))</f>
        <v/>
      </c>
      <c r="BM550" s="3">
        <f>MAX(0,MIN(100,50+BE550*PRECIO_PEND))</f>
        <v/>
      </c>
      <c r="BN550" s="3">
        <f>MAX(0,100*(1-N550/KM_MAX))</f>
        <v/>
      </c>
      <c r="BO550" s="3">
        <f>IF(AV550&lt;KMA_SOSP,IF(AA550="sí",100,KMA_PEN),IF(AV550&lt;=KMA_IDEAL_MAX,100,MAX(0,100*(KMA_CERO-AV550)/(KMA_CERO-KMA_IDEAL_MAX))))</f>
        <v/>
      </c>
      <c r="BP550" s="3">
        <f>MAX(0,MIN(100,100*(M550-ANIO_MIN)/(ANIO_ACTUAL-ANIO_MIN)))</f>
        <v/>
      </c>
      <c r="BQ550" s="3">
        <f>W_KMT*BN550+W_KMA*BO550+W_EDAD*BP550</f>
        <v/>
      </c>
      <c r="BR550" s="3">
        <f>P_ITV*(V550="sí")+P_LIBRO*(W550="sí")+P_CORREA*(X550="sí")+P_PROP*(Y550=1)+P_GAR*(Z550="sí")+P_FOTOS*MIN(1,N(U550)/FOTOS_OBJ)</f>
        <v/>
      </c>
      <c r="BS550" s="3">
        <f>IFERROR(VLOOKUP(BF550,ETQ_TBL,2,0),NEUTRO)</f>
        <v/>
      </c>
      <c r="BT550" s="3">
        <f>NEUTRO</f>
        <v/>
      </c>
      <c r="BU550" s="3">
        <f>IFERROR(VLOOKUP(L550,SEGURO_TBL,3,0),"")</f>
        <v/>
      </c>
      <c r="BV550" s="3">
        <f>IF(BU550="",NEUTRO,MAX(0,MIN(100,100*(SEG_REF_MAX-BU550)/(SEG_REF_MAX-SEG_REF_MIN))))</f>
        <v/>
      </c>
      <c r="BW550" s="3">
        <f>W_ET*BS550+W_CONS*BT550+W_SEG*BV550</f>
        <v/>
      </c>
      <c r="BX550" s="3">
        <f>IF(N(AB550)&gt;0,AB550,IF(AND(R550="profesional",SG_LEGAL_ON=1),GAR_LEGAL,0))</f>
        <v/>
      </c>
      <c r="BY550" s="3">
        <f>SG_GAR*MIN(1,BX550/SG_GAR_FULL)+SG_AMPL*(AC550="sí")+SG_KMC*(AF550="sí")+SG_REV*(N(AE550)&gt;0)+SG_DEV*MIN(1,N(AG550)/SG_DEV_FULL)+SG_HIST*(W550="sí")</f>
        <v/>
      </c>
      <c r="BZ550" s="3">
        <f>IFERROR(VLOOKUP(L550,CARR_PEN_TBL,2,0),0)</f>
        <v/>
      </c>
      <c r="CA550" s="3">
        <f>W_FIAB*BL550+W_PRECIO*BM550+W_KMEDAD*BQ550+W_ANUNCIO*BR550+W_USO*BW550+W_SEGURIDAD*BY550-BZ550</f>
        <v/>
      </c>
      <c r="CB550" s="4">
        <f>IF(N(I550)&gt;0,I550,IFERROR(ROUND(_xlfn.NUMBERVALUE(LEFT(G550,FIND(" ",G550&amp;" ")-1),".")*1000,0),99999))</f>
        <v/>
      </c>
      <c r="CC550" s="3">
        <f>IF(R550="profesional",0,IF(O550&lt;CUOTA_VALOR_MAX,IF(AU550&gt;ITP_TRAMO_ALTO,SUMIFS(CF_CUOTA,CF_MAS,ITP_TRAMO_ALTO,CF_CCMIN,"&lt;="&amp;CB550,CF_CCMAX,"&gt;="&amp;CB550),IF(AU550&gt;ITP_TRAMO_BAJO,SUMIFS(CF_CUOTA,CF_MAS,ITP_TRAMO_BAJO,CF_CCMIN,"&lt;="&amp;CB550,CF_CCMAX,"&gt;="&amp;CB550),O550*ITP_TIPO)),O550*ITP_TIPO))</f>
        <v/>
      </c>
      <c r="CD550" s="4">
        <f>IF(R550="profesional",N(AK550),0)</f>
        <v/>
      </c>
      <c r="CE550" s="3">
        <f>IF(AND(R550="profesional",ISNUMBER(AK550),AL550="sí"),0,TASA_DGT)</f>
        <v/>
      </c>
      <c r="CF550" s="3">
        <f>INFORME_DGT</f>
        <v/>
      </c>
      <c r="CG550" s="4">
        <f>O550+CD550+CC550+CE550+CF550</f>
        <v/>
      </c>
      <c r="CH550" s="4">
        <f>CG550+N(BU550)</f>
        <v/>
      </c>
      <c r="CI550" s="3">
        <f>IF(CG550&lt;=TOTAL_MAX,"sí",IF(CG550&lt;=TOTAL_MAX+MARGEN_NEG,"negociar","no"))</f>
        <v/>
      </c>
      <c r="CJ550" s="4">
        <f>IF(CI550&lt;&gt;"no",COUNTIFS($CI$2:$CI$662,"&lt;&gt;no",$CA$2:$CA$662,"&gt;"&amp;CA550)+COUNTIFS($CI$2:CI550,"&lt;&gt;no",$CA$2:CA550,CA550),"")</f>
        <v/>
      </c>
    </row>
    <row r="551">
      <c r="A551" s="2" t="inlineStr">
        <is>
          <t>cochesnet:71649260</t>
        </is>
      </c>
      <c r="B551" s="2" t="inlineStr">
        <is>
          <t>cochesnet</t>
        </is>
      </c>
      <c r="C551" s="2" t="inlineStr">
        <is>
          <t>https://www.coches.net/audi-a3-sportback-19-tdi-ambiente-dpf-5p-diesel-2006-en-valencia-71649260-covo.aspx</t>
        </is>
      </c>
      <c r="D551" s="2" t="inlineStr">
        <is>
          <t>AUDI A3 Sportback 1.9 TDI Ambiente DPF</t>
        </is>
      </c>
      <c r="E551" s="2" t="inlineStr">
        <is>
          <t>Audi</t>
        </is>
      </c>
      <c r="F551" s="2" t="inlineStr">
        <is>
          <t>Audi A3</t>
        </is>
      </c>
      <c r="G551" s="2" t="inlineStr">
        <is>
          <t>1.9 TDI</t>
        </is>
      </c>
      <c r="H551" s="2" t="inlineStr">
        <is>
          <t>Sportback 1.9 TDI Ambiente DPF</t>
        </is>
      </c>
      <c r="I551" s="2" t="n"/>
      <c r="J551" s="2" t="n"/>
      <c r="K551" s="2" t="inlineStr">
        <is>
          <t>diesel</t>
        </is>
      </c>
      <c r="L551" s="2" t="inlineStr">
        <is>
          <t>compacto</t>
        </is>
      </c>
      <c r="M551" s="2" t="n">
        <v>2006</v>
      </c>
      <c r="N551" s="2" t="n">
        <v>140000</v>
      </c>
      <c r="O551" s="2" t="n">
        <v>3500</v>
      </c>
      <c r="P551" s="2" t="inlineStr">
        <is>
          <t>manual</t>
        </is>
      </c>
      <c r="Q551" s="2" t="inlineStr">
        <is>
          <t>no</t>
        </is>
      </c>
      <c r="R551" s="2" t="inlineStr">
        <is>
          <t>particular</t>
        </is>
      </c>
      <c r="S551" s="2" t="inlineStr">
        <is>
          <t>Valencia</t>
        </is>
      </c>
      <c r="T551" s="2" t="inlineStr">
        <is>
          <t>2026-10-01T17:26:07Z</t>
        </is>
      </c>
      <c r="U551" s="2" t="n">
        <v>9</v>
      </c>
      <c r="V551" s="2" t="n"/>
      <c r="W551" s="2" t="n"/>
      <c r="X551" s="2" t="n"/>
      <c r="Y551" s="2" t="n"/>
      <c r="Z551" s="2" t="inlineStr">
        <is>
          <t>no</t>
        </is>
      </c>
      <c r="AA551" s="2" t="n"/>
      <c r="AB551" s="2" t="n"/>
      <c r="AC551" s="2" t="n"/>
      <c r="AD551" s="2" t="n"/>
      <c r="AE551" s="2" t="n"/>
      <c r="AF551" s="2" t="n"/>
      <c r="AG551" s="2" t="n"/>
      <c r="AH551" s="2" t="n">
        <v>3500</v>
      </c>
      <c r="AI551" s="2" t="n"/>
      <c r="AJ551" s="2" t="n"/>
      <c r="AK551" s="2" t="n"/>
      <c r="AL551" s="2" t="n"/>
      <c r="AM551" s="2" t="n">
        <v>0.1</v>
      </c>
      <c r="AN551" s="2" t="n">
        <v>4200</v>
      </c>
      <c r="AO551" s="2" t="n">
        <v>39</v>
      </c>
      <c r="AP551" s="2" t="inlineStr">
        <is>
          <t>modelo+año</t>
        </is>
      </c>
      <c r="AQ551" s="2" t="n"/>
      <c r="AR551" s="2" t="inlineStr">
        <is>
          <t>cuota fija ITP: &gt;12 años, 1.501-2.000 cc; diésel: motor sin fuente de fiabilidad (fiabilidad limitada a neutra); fiabilidad del modelo PENDIENTE de fuente (puntuación neutra)</t>
        </is>
      </c>
      <c r="AS551" s="2" t="inlineStr"/>
      <c r="AT551" s="2" t="inlineStr">
        <is>
          <t>https://www.coches.net/audi-a3-sportback-19-tdi-ambiente-dpf-5p-diesel-2006-en-valencia-71649260-covo.aspx (window.__INITIAL_PROPS__.ad) /home/user/Alopecia/buscador-coches/raw/cochesnet/4d1d2b8954b77bac.json</t>
        </is>
      </c>
      <c r="AU551" s="3">
        <f>MAX(ANIO_ACTUAL-M551,0)</f>
        <v/>
      </c>
      <c r="AV551" s="4">
        <f>N551/MAX(AU551,0.5)</f>
        <v/>
      </c>
      <c r="AW551" s="4">
        <f>F551</f>
        <v/>
      </c>
      <c r="AX551" s="3">
        <f>AW551&amp;"|"&amp;INT(M551/SEG_ANIO)*SEG_ANIO</f>
        <v/>
      </c>
      <c r="AY551" s="3">
        <f>AX551&amp;"|"&amp;INT(N551/SEG_KM)*SEG_KM</f>
        <v/>
      </c>
      <c r="AZ551" s="4">
        <f>COUNTIF($AW$2:$AW$662,AW551)</f>
        <v/>
      </c>
      <c r="BA551" s="4">
        <f>COUNTIF($AX$2:$AX$662,AX551)</f>
        <v/>
      </c>
      <c r="BB551" s="4">
        <f>COUNTIF($AY$2:$AY$662,AY551)</f>
        <v/>
      </c>
      <c r="BC551" s="3">
        <f t="array" ref="BC551">IF(N(AO551)&gt;=MIN_N,AN551,IF(BB551&gt;=MIN_N,MEDIAN(IF($AY$2:$AY$662=AY551,$O$2:$O$662)),IF(BA551&gt;=MIN_N,MEDIAN(IF($AX$2:$AX$662=AX551,$O$2:$O$662)),MEDIAN(IF($AW$2:$AW$662=AW551,$O$2:$O$662)))))</f>
        <v/>
      </c>
      <c r="BD551" s="3">
        <f>IF(N(AO551)&gt;=MIN_N,"mercado "&amp;AP551,IF(BB551&gt;=MIN_N,"modelo+año+km",IF(BA551&gt;=MIN_N,"modelo+año","modelo")))</f>
        <v/>
      </c>
      <c r="BE551" s="4">
        <f>(BC551-O551)/BC551</f>
        <v/>
      </c>
      <c r="BF551" s="3">
        <f>IF(OR(K551="hibrido",K551="glp"),"ECO",IF(K551="electrico","CERO",IF(K551="gasolina",IF(M551&gt;=GAS_C,"C",IF(M551&gt;=GAS_B,"B","A")),IF(K551="diesel",IF(M551&gt;=DIE_C,"C",IF(M551&gt;=DIE_B,"B","A")),""))))</f>
        <v/>
      </c>
      <c r="BG551" s="3">
        <f>IFERROR(VLOOKUP(F551,MOD_TBL,11,0),IFERROR(VLOOKUP(E551,OCU_TBL,2,0),NEUTRO))</f>
        <v/>
      </c>
      <c r="BH551" s="3">
        <f>SUMIFS(MOT_AJUSTE,MOT_MOTOR,G551,MOT_MARCA,E551,MOT_DESDE,"&lt;="&amp;M551,MOT_HASTA,"&gt;="&amp;M551)+SUMIFS(MOT_AJUSTE,MOT_MOTOR,G551,MOT_MARCA,"(todas)",MOT_DESDE,"&lt;="&amp;M551,MOT_HASTA,"&gt;="&amp;M551)</f>
        <v/>
      </c>
      <c r="BI551" s="3">
        <f>SUMIFS(COMB_AJUSTE,COMB_COMB,K551)</f>
        <v/>
      </c>
      <c r="BJ551" s="3">
        <f>COUNTIFS(MOT_MOTOR,G551,MOT_MARCA,E551,MOT_DESDE,"&lt;="&amp;M551,MOT_HASTA,"&gt;="&amp;M551)+COUNTIFS(MOT_MOTOR,G551,MOT_MARCA,"(todas)",MOT_DESDE,"&lt;="&amp;M551,MOT_HASTA,"&gt;="&amp;M551)</f>
        <v/>
      </c>
      <c r="BK551" s="3">
        <f>IF(AND(K551="diesel",BJ551=0),MIN(BG551,NEUTRO),BG551)</f>
        <v/>
      </c>
      <c r="BL551" s="4">
        <f>MAX(0,MIN(100,BK551+BH551+BI551))</f>
        <v/>
      </c>
      <c r="BM551" s="3">
        <f>MAX(0,MIN(100,50+BE551*PRECIO_PEND))</f>
        <v/>
      </c>
      <c r="BN551" s="3">
        <f>MAX(0,100*(1-N551/KM_MAX))</f>
        <v/>
      </c>
      <c r="BO551" s="3">
        <f>IF(AV551&lt;KMA_SOSP,IF(AA551="sí",100,KMA_PEN),IF(AV551&lt;=KMA_IDEAL_MAX,100,MAX(0,100*(KMA_CERO-AV551)/(KMA_CERO-KMA_IDEAL_MAX))))</f>
        <v/>
      </c>
      <c r="BP551" s="3">
        <f>MAX(0,MIN(100,100*(M551-ANIO_MIN)/(ANIO_ACTUAL-ANIO_MIN)))</f>
        <v/>
      </c>
      <c r="BQ551" s="3">
        <f>W_KMT*BN551+W_KMA*BO551+W_EDAD*BP551</f>
        <v/>
      </c>
      <c r="BR551" s="3">
        <f>P_ITV*(V551="sí")+P_LIBRO*(W551="sí")+P_CORREA*(X551="sí")+P_PROP*(Y551=1)+P_GAR*(Z551="sí")+P_FOTOS*MIN(1,N(U551)/FOTOS_OBJ)</f>
        <v/>
      </c>
      <c r="BS551" s="3">
        <f>IFERROR(VLOOKUP(BF551,ETQ_TBL,2,0),NEUTRO)</f>
        <v/>
      </c>
      <c r="BT551" s="3">
        <f>NEUTRO</f>
        <v/>
      </c>
      <c r="BU551" s="3">
        <f>IFERROR(VLOOKUP(L551,SEGURO_TBL,3,0),"")</f>
        <v/>
      </c>
      <c r="BV551" s="3">
        <f>IF(BU551="",NEUTRO,MAX(0,MIN(100,100*(SEG_REF_MAX-BU551)/(SEG_REF_MAX-SEG_REF_MIN))))</f>
        <v/>
      </c>
      <c r="BW551" s="3">
        <f>W_ET*BS551+W_CONS*BT551+W_SEG*BV551</f>
        <v/>
      </c>
      <c r="BX551" s="3">
        <f>IF(N(AB551)&gt;0,AB551,IF(AND(R551="profesional",SG_LEGAL_ON=1),GAR_LEGAL,0))</f>
        <v/>
      </c>
      <c r="BY551" s="3">
        <f>SG_GAR*MIN(1,BX551/SG_GAR_FULL)+SG_AMPL*(AC551="sí")+SG_KMC*(AF551="sí")+SG_REV*(N(AE551)&gt;0)+SG_DEV*MIN(1,N(AG551)/SG_DEV_FULL)+SG_HIST*(W551="sí")</f>
        <v/>
      </c>
      <c r="BZ551" s="3">
        <f>IFERROR(VLOOKUP(L551,CARR_PEN_TBL,2,0),0)</f>
        <v/>
      </c>
      <c r="CA551" s="3">
        <f>W_FIAB*BL551+W_PRECIO*BM551+W_KMEDAD*BQ551+W_ANUNCIO*BR551+W_USO*BW551+W_SEGURIDAD*BY551-BZ551</f>
        <v/>
      </c>
      <c r="CB551" s="4">
        <f>IF(N(I551)&gt;0,I551,IFERROR(ROUND(_xlfn.NUMBERVALUE(LEFT(G551,FIND(" ",G551&amp;" ")-1),".")*1000,0),99999))</f>
        <v/>
      </c>
      <c r="CC551" s="3">
        <f>IF(R551="profesional",0,IF(O551&lt;CUOTA_VALOR_MAX,IF(AU551&gt;ITP_TRAMO_ALTO,SUMIFS(CF_CUOTA,CF_MAS,ITP_TRAMO_ALTO,CF_CCMIN,"&lt;="&amp;CB551,CF_CCMAX,"&gt;="&amp;CB551),IF(AU551&gt;ITP_TRAMO_BAJO,SUMIFS(CF_CUOTA,CF_MAS,ITP_TRAMO_BAJO,CF_CCMIN,"&lt;="&amp;CB551,CF_CCMAX,"&gt;="&amp;CB551),O551*ITP_TIPO)),O551*ITP_TIPO))</f>
        <v/>
      </c>
      <c r="CD551" s="4">
        <f>IF(R551="profesional",N(AK551),0)</f>
        <v/>
      </c>
      <c r="CE551" s="3">
        <f>IF(AND(R551="profesional",ISNUMBER(AK551),AL551="sí"),0,TASA_DGT)</f>
        <v/>
      </c>
      <c r="CF551" s="3">
        <f>INFORME_DGT</f>
        <v/>
      </c>
      <c r="CG551" s="4">
        <f>O551+CD551+CC551+CE551+CF551</f>
        <v/>
      </c>
      <c r="CH551" s="4">
        <f>CG551+N(BU551)</f>
        <v/>
      </c>
      <c r="CI551" s="3">
        <f>IF(CG551&lt;=TOTAL_MAX,"sí",IF(CG551&lt;=TOTAL_MAX+MARGEN_NEG,"negociar","no"))</f>
        <v/>
      </c>
      <c r="CJ551" s="4">
        <f>IF(CI551&lt;&gt;"no",COUNTIFS($CI$2:$CI$662,"&lt;&gt;no",$CA$2:$CA$662,"&gt;"&amp;CA551)+COUNTIFS($CI$2:CI551,"&lt;&gt;no",$CA$2:CA551,CA551),"")</f>
        <v/>
      </c>
    </row>
    <row r="552">
      <c r="A552" s="2" t="inlineStr">
        <is>
          <t>cochesnet:71855000</t>
        </is>
      </c>
      <c r="B552" s="2" t="inlineStr">
        <is>
          <t>cochesnet</t>
        </is>
      </c>
      <c r="C552" s="2" t="inlineStr">
        <is>
          <t>https://www.coches.net/mini-mini-cooper-3p-gasolina-2009-en-valencia-71855000-covo.aspx</t>
        </is>
      </c>
      <c r="D552" s="2" t="inlineStr">
        <is>
          <t>MINI MINI Cooper</t>
        </is>
      </c>
      <c r="E552" s="2" t="inlineStr">
        <is>
          <t>MINI</t>
        </is>
      </c>
      <c r="F552" s="2" t="inlineStr">
        <is>
          <t>MINI MINI</t>
        </is>
      </c>
      <c r="G552" s="2" t="n"/>
      <c r="H552" s="2" t="inlineStr">
        <is>
          <t>Cooper</t>
        </is>
      </c>
      <c r="I552" s="2" t="n"/>
      <c r="J552" s="2" t="n"/>
      <c r="K552" s="2" t="inlineStr">
        <is>
          <t>gasolina</t>
        </is>
      </c>
      <c r="L552" s="2" t="inlineStr">
        <is>
          <t>utilitario</t>
        </is>
      </c>
      <c r="M552" s="2" t="n">
        <v>2009</v>
      </c>
      <c r="N552" s="2" t="n">
        <v>160000</v>
      </c>
      <c r="O552" s="2" t="n">
        <v>3990</v>
      </c>
      <c r="P552" s="2" t="inlineStr">
        <is>
          <t>manual</t>
        </is>
      </c>
      <c r="Q552" s="2" t="inlineStr">
        <is>
          <t>no</t>
        </is>
      </c>
      <c r="R552" s="2" t="inlineStr">
        <is>
          <t>particular</t>
        </is>
      </c>
      <c r="S552" s="2" t="n"/>
      <c r="T552" s="2" t="inlineStr">
        <is>
          <t>2026-10-28T14:16:43Z</t>
        </is>
      </c>
      <c r="U552" s="2" t="n">
        <v>9</v>
      </c>
      <c r="V552" s="2" t="n"/>
      <c r="W552" s="2" t="inlineStr">
        <is>
          <t>sí</t>
        </is>
      </c>
      <c r="X552" s="2" t="n"/>
      <c r="Y552" s="2" t="n">
        <v>1</v>
      </c>
      <c r="Z552" s="2" t="inlineStr">
        <is>
          <t>no</t>
        </is>
      </c>
      <c r="AA552" s="2" t="n"/>
      <c r="AB552" s="2" t="n"/>
      <c r="AC552" s="2" t="n"/>
      <c r="AD552" s="2" t="n"/>
      <c r="AE552" s="2" t="n"/>
      <c r="AF552" s="2" t="n"/>
      <c r="AG552" s="2" t="n"/>
      <c r="AH552" s="2" t="n">
        <v>3990</v>
      </c>
      <c r="AI552" s="2" t="n"/>
      <c r="AJ552" s="2" t="n"/>
      <c r="AK552" s="2" t="n"/>
      <c r="AL552" s="2" t="n"/>
      <c r="AM552" s="2" t="n"/>
      <c r="AN552" s="2" t="n">
        <v>6000</v>
      </c>
      <c r="AO552" s="2" t="n">
        <v>9</v>
      </c>
      <c r="AP552" s="2" t="inlineStr">
        <is>
          <t>modelo+año+km</t>
        </is>
      </c>
      <c r="AQ552" s="2" t="n"/>
      <c r="AR55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52" s="2" t="inlineStr">
        <is>
          <t xml:space="preserve">Se vende mini cooper del 2009 con un solo dueño comprado nuevo en canoturia valencia con dos llaves ,libro de revisiones ,llantas en 17 ,aleron del jonh works ,doble techo solar 
SE VENDE CON EL MOTOR PARA REPARAR O CAMBIAR.
Actualmente no dispone de itv </t>
        </is>
      </c>
      <c r="AT552" s="2" t="inlineStr">
        <is>
          <t>https://www.coches.net/mini-mini-cooper-3p-gasolina-2009-en-valencia-71855000-covo.aspx (window.__INITIAL_PROPS__.ad) /home/user/Alopecia/buscador-coches/raw/cochesnet/377e22bb2805c379.json</t>
        </is>
      </c>
      <c r="AU552" s="3">
        <f>MAX(ANIO_ACTUAL-M552,0)</f>
        <v/>
      </c>
      <c r="AV552" s="4">
        <f>N552/MAX(AU552,0.5)</f>
        <v/>
      </c>
      <c r="AW552" s="4">
        <f>F552</f>
        <v/>
      </c>
      <c r="AX552" s="3">
        <f>AW552&amp;"|"&amp;INT(M552/SEG_ANIO)*SEG_ANIO</f>
        <v/>
      </c>
      <c r="AY552" s="3">
        <f>AX552&amp;"|"&amp;INT(N552/SEG_KM)*SEG_KM</f>
        <v/>
      </c>
      <c r="AZ552" s="4">
        <f>COUNTIF($AW$2:$AW$662,AW552)</f>
        <v/>
      </c>
      <c r="BA552" s="4">
        <f>COUNTIF($AX$2:$AX$662,AX552)</f>
        <v/>
      </c>
      <c r="BB552" s="4">
        <f>COUNTIF($AY$2:$AY$662,AY552)</f>
        <v/>
      </c>
      <c r="BC552" s="3">
        <f t="array" ref="BC552">IF(N(AO552)&gt;=MIN_N,AN552,IF(BB552&gt;=MIN_N,MEDIAN(IF($AY$2:$AY$662=AY552,$O$2:$O$662)),IF(BA552&gt;=MIN_N,MEDIAN(IF($AX$2:$AX$662=AX552,$O$2:$O$662)),MEDIAN(IF($AW$2:$AW$662=AW552,$O$2:$O$662)))))</f>
        <v/>
      </c>
      <c r="BD552" s="3">
        <f>IF(N(AO552)&gt;=MIN_N,"mercado "&amp;AP552,IF(BB552&gt;=MIN_N,"modelo+año+km",IF(BA552&gt;=MIN_N,"modelo+año","modelo")))</f>
        <v/>
      </c>
      <c r="BE552" s="4">
        <f>(BC552-O552)/BC552</f>
        <v/>
      </c>
      <c r="BF552" s="3">
        <f>IF(OR(K552="hibrido",K552="glp"),"ECO",IF(K552="electrico","CERO",IF(K552="gasolina",IF(M552&gt;=GAS_C,"C",IF(M552&gt;=GAS_B,"B","A")),IF(K552="diesel",IF(M552&gt;=DIE_C,"C",IF(M552&gt;=DIE_B,"B","A")),""))))</f>
        <v/>
      </c>
      <c r="BG552" s="3">
        <f>IFERROR(VLOOKUP(F552,MOD_TBL,11,0),IFERROR(VLOOKUP(E552,OCU_TBL,2,0),NEUTRO))</f>
        <v/>
      </c>
      <c r="BH552" s="3">
        <f>SUMIFS(MOT_AJUSTE,MOT_MOTOR,G552,MOT_MARCA,E552,MOT_DESDE,"&lt;="&amp;M552,MOT_HASTA,"&gt;="&amp;M552)+SUMIFS(MOT_AJUSTE,MOT_MOTOR,G552,MOT_MARCA,"(todas)",MOT_DESDE,"&lt;="&amp;M552,MOT_HASTA,"&gt;="&amp;M552)</f>
        <v/>
      </c>
      <c r="BI552" s="3">
        <f>SUMIFS(COMB_AJUSTE,COMB_COMB,K552)</f>
        <v/>
      </c>
      <c r="BJ552" s="3">
        <f>COUNTIFS(MOT_MOTOR,G552,MOT_MARCA,E552,MOT_DESDE,"&lt;="&amp;M552,MOT_HASTA,"&gt;="&amp;M552)+COUNTIFS(MOT_MOTOR,G552,MOT_MARCA,"(todas)",MOT_DESDE,"&lt;="&amp;M552,MOT_HASTA,"&gt;="&amp;M552)</f>
        <v/>
      </c>
      <c r="BK552" s="3">
        <f>IF(AND(K552="diesel",BJ552=0),MIN(BG552,NEUTRO),BG552)</f>
        <v/>
      </c>
      <c r="BL552" s="4">
        <f>MAX(0,MIN(100,BK552+BH552+BI552))</f>
        <v/>
      </c>
      <c r="BM552" s="3">
        <f>MAX(0,MIN(100,50+BE552*PRECIO_PEND))</f>
        <v/>
      </c>
      <c r="BN552" s="3">
        <f>MAX(0,100*(1-N552/KM_MAX))</f>
        <v/>
      </c>
      <c r="BO552" s="3">
        <f>IF(AV552&lt;KMA_SOSP,IF(AA552="sí",100,KMA_PEN),IF(AV552&lt;=KMA_IDEAL_MAX,100,MAX(0,100*(KMA_CERO-AV552)/(KMA_CERO-KMA_IDEAL_MAX))))</f>
        <v/>
      </c>
      <c r="BP552" s="3">
        <f>MAX(0,MIN(100,100*(M552-ANIO_MIN)/(ANIO_ACTUAL-ANIO_MIN)))</f>
        <v/>
      </c>
      <c r="BQ552" s="3">
        <f>W_KMT*BN552+W_KMA*BO552+W_EDAD*BP552</f>
        <v/>
      </c>
      <c r="BR552" s="3">
        <f>P_ITV*(V552="sí")+P_LIBRO*(W552="sí")+P_CORREA*(X552="sí")+P_PROP*(Y552=1)+P_GAR*(Z552="sí")+P_FOTOS*MIN(1,N(U552)/FOTOS_OBJ)</f>
        <v/>
      </c>
      <c r="BS552" s="3">
        <f>IFERROR(VLOOKUP(BF552,ETQ_TBL,2,0),NEUTRO)</f>
        <v/>
      </c>
      <c r="BT552" s="3">
        <f>NEUTRO</f>
        <v/>
      </c>
      <c r="BU552" s="3">
        <f>IFERROR(VLOOKUP(L552,SEGURO_TBL,3,0),"")</f>
        <v/>
      </c>
      <c r="BV552" s="3">
        <f>IF(BU552="",NEUTRO,MAX(0,MIN(100,100*(SEG_REF_MAX-BU552)/(SEG_REF_MAX-SEG_REF_MIN))))</f>
        <v/>
      </c>
      <c r="BW552" s="3">
        <f>W_ET*BS552+W_CONS*BT552+W_SEG*BV552</f>
        <v/>
      </c>
      <c r="BX552" s="3">
        <f>IF(N(AB552)&gt;0,AB552,IF(AND(R552="profesional",SG_LEGAL_ON=1),GAR_LEGAL,0))</f>
        <v/>
      </c>
      <c r="BY552" s="3">
        <f>SG_GAR*MIN(1,BX552/SG_GAR_FULL)+SG_AMPL*(AC552="sí")+SG_KMC*(AF552="sí")+SG_REV*(N(AE552)&gt;0)+SG_DEV*MIN(1,N(AG552)/SG_DEV_FULL)+SG_HIST*(W552="sí")</f>
        <v/>
      </c>
      <c r="BZ552" s="3">
        <f>IFERROR(VLOOKUP(L552,CARR_PEN_TBL,2,0),0)</f>
        <v/>
      </c>
      <c r="CA552" s="3">
        <f>W_FIAB*BL552+W_PRECIO*BM552+W_KMEDAD*BQ552+W_ANUNCIO*BR552+W_USO*BW552+W_SEGURIDAD*BY552-BZ552</f>
        <v/>
      </c>
      <c r="CB552" s="4">
        <f>IF(N(I552)&gt;0,I552,IFERROR(ROUND(_xlfn.NUMBERVALUE(LEFT(G552,FIND(" ",G552&amp;" ")-1),".")*1000,0),99999))</f>
        <v/>
      </c>
      <c r="CC552" s="3">
        <f>IF(R552="profesional",0,IF(O552&lt;CUOTA_VALOR_MAX,IF(AU552&gt;ITP_TRAMO_ALTO,SUMIFS(CF_CUOTA,CF_MAS,ITP_TRAMO_ALTO,CF_CCMIN,"&lt;="&amp;CB552,CF_CCMAX,"&gt;="&amp;CB552),IF(AU552&gt;ITP_TRAMO_BAJO,SUMIFS(CF_CUOTA,CF_MAS,ITP_TRAMO_BAJO,CF_CCMIN,"&lt;="&amp;CB552,CF_CCMAX,"&gt;="&amp;CB552),O552*ITP_TIPO)),O552*ITP_TIPO))</f>
        <v/>
      </c>
      <c r="CD552" s="4">
        <f>IF(R552="profesional",N(AK552),0)</f>
        <v/>
      </c>
      <c r="CE552" s="3">
        <f>IF(AND(R552="profesional",ISNUMBER(AK552),AL552="sí"),0,TASA_DGT)</f>
        <v/>
      </c>
      <c r="CF552" s="3">
        <f>INFORME_DGT</f>
        <v/>
      </c>
      <c r="CG552" s="4">
        <f>O552+CD552+CC552+CE552+CF552</f>
        <v/>
      </c>
      <c r="CH552" s="4">
        <f>CG552+N(BU552)</f>
        <v/>
      </c>
      <c r="CI552" s="3">
        <f>IF(CG552&lt;=TOTAL_MAX,"sí",IF(CG552&lt;=TOTAL_MAX+MARGEN_NEG,"negociar","no"))</f>
        <v/>
      </c>
      <c r="CJ552" s="4">
        <f>IF(CI552&lt;&gt;"no",COUNTIFS($CI$2:$CI$662,"&lt;&gt;no",$CA$2:$CA$662,"&gt;"&amp;CA552)+COUNTIFS($CI$2:CI552,"&lt;&gt;no",$CA$2:CA552,CA552),"")</f>
        <v/>
      </c>
    </row>
    <row r="553">
      <c r="A553" s="2" t="inlineStr">
        <is>
          <t>cochesnet:71821326</t>
        </is>
      </c>
      <c r="B553" s="2" t="inlineStr">
        <is>
          <t>cochesnet</t>
        </is>
      </c>
      <c r="C553" s="2" t="inlineStr">
        <is>
          <t>https://www.coches.net/mini-mini-one-3p-gasolina-2008-en-valencia-71821326-covo.aspx</t>
        </is>
      </c>
      <c r="D553" s="2" t="inlineStr">
        <is>
          <t>MINI MINI One</t>
        </is>
      </c>
      <c r="E553" s="2" t="inlineStr">
        <is>
          <t>MINI</t>
        </is>
      </c>
      <c r="F553" s="2" t="inlineStr">
        <is>
          <t>MINI MINI</t>
        </is>
      </c>
      <c r="G553" s="2" t="n"/>
      <c r="H553" s="2" t="inlineStr">
        <is>
          <t>One</t>
        </is>
      </c>
      <c r="I553" s="2" t="n"/>
      <c r="J553" s="2" t="n"/>
      <c r="K553" s="2" t="inlineStr">
        <is>
          <t>gasolina</t>
        </is>
      </c>
      <c r="L553" s="2" t="inlineStr">
        <is>
          <t>utilitario</t>
        </is>
      </c>
      <c r="M553" s="2" t="n">
        <v>2008</v>
      </c>
      <c r="N553" s="2" t="n">
        <v>185000</v>
      </c>
      <c r="O553" s="2" t="n">
        <v>4500</v>
      </c>
      <c r="P553" s="2" t="inlineStr">
        <is>
          <t>manual</t>
        </is>
      </c>
      <c r="Q553" s="2" t="inlineStr">
        <is>
          <t>no</t>
        </is>
      </c>
      <c r="R553" s="2" t="inlineStr">
        <is>
          <t>particular</t>
        </is>
      </c>
      <c r="S553" s="2" t="n"/>
      <c r="T553" s="2" t="inlineStr">
        <is>
          <t>2026-10-23T20:01:20Z</t>
        </is>
      </c>
      <c r="U553" s="2" t="n">
        <v>5</v>
      </c>
      <c r="V553" s="2" t="inlineStr">
        <is>
          <t>sí</t>
        </is>
      </c>
      <c r="W553" s="2" t="n"/>
      <c r="X553" s="2" t="n"/>
      <c r="Y553" s="2" t="n"/>
      <c r="Z553" s="2" t="inlineStr">
        <is>
          <t>no</t>
        </is>
      </c>
      <c r="AA553" s="2" t="n"/>
      <c r="AB553" s="2" t="n"/>
      <c r="AC553" s="2" t="n"/>
      <c r="AD553" s="2" t="n"/>
      <c r="AE553" s="2" t="n"/>
      <c r="AF553" s="2" t="n"/>
      <c r="AG553" s="2" t="n"/>
      <c r="AH553" s="2" t="n">
        <v>4500</v>
      </c>
      <c r="AI553" s="2" t="n"/>
      <c r="AJ553" s="2" t="n"/>
      <c r="AK553" s="2" t="n"/>
      <c r="AL553" s="2" t="n"/>
      <c r="AM553" s="2" t="n"/>
      <c r="AN553" s="2" t="n">
        <v>6000</v>
      </c>
      <c r="AO553" s="2" t="n">
        <v>9</v>
      </c>
      <c r="AP553" s="2" t="inlineStr">
        <is>
          <t>modelo+año+km</t>
        </is>
      </c>
      <c r="AQ553" s="2" t="n"/>
      <c r="AR55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53" s="2" t="inlineStr">
        <is>
          <t xml:space="preserve">Mini One 1.4 Gasolina 6 Velocidades 
ITV Pasada Revisiones Al Día Etiqueta C
No Fumador Aire Acondicionado Funcionando Todos Los Extras Documentacion al día Mejor Ver Muy Cuidado En Buen Estado En General 
TLF </t>
        </is>
      </c>
      <c r="AT553" s="2" t="inlineStr">
        <is>
          <t>https://www.coches.net/mini-mini-one-3p-gasolina-2008-en-valencia-71821326-covo.aspx (window.__INITIAL_PROPS__.ad) /home/user/Alopecia/buscador-coches/raw/cochesnet/2b97ad6498eb7d77.json</t>
        </is>
      </c>
      <c r="AU553" s="3">
        <f>MAX(ANIO_ACTUAL-M553,0)</f>
        <v/>
      </c>
      <c r="AV553" s="4">
        <f>N553/MAX(AU553,0.5)</f>
        <v/>
      </c>
      <c r="AW553" s="4">
        <f>F553</f>
        <v/>
      </c>
      <c r="AX553" s="3">
        <f>AW553&amp;"|"&amp;INT(M553/SEG_ANIO)*SEG_ANIO</f>
        <v/>
      </c>
      <c r="AY553" s="3">
        <f>AX553&amp;"|"&amp;INT(N553/SEG_KM)*SEG_KM</f>
        <v/>
      </c>
      <c r="AZ553" s="4">
        <f>COUNTIF($AW$2:$AW$662,AW553)</f>
        <v/>
      </c>
      <c r="BA553" s="4">
        <f>COUNTIF($AX$2:$AX$662,AX553)</f>
        <v/>
      </c>
      <c r="BB553" s="4">
        <f>COUNTIF($AY$2:$AY$662,AY553)</f>
        <v/>
      </c>
      <c r="BC553" s="3">
        <f t="array" ref="BC553">IF(N(AO553)&gt;=MIN_N,AN553,IF(BB553&gt;=MIN_N,MEDIAN(IF($AY$2:$AY$662=AY553,$O$2:$O$662)),IF(BA553&gt;=MIN_N,MEDIAN(IF($AX$2:$AX$662=AX553,$O$2:$O$662)),MEDIAN(IF($AW$2:$AW$662=AW553,$O$2:$O$662)))))</f>
        <v/>
      </c>
      <c r="BD553" s="3">
        <f>IF(N(AO553)&gt;=MIN_N,"mercado "&amp;AP553,IF(BB553&gt;=MIN_N,"modelo+año+km",IF(BA553&gt;=MIN_N,"modelo+año","modelo")))</f>
        <v/>
      </c>
      <c r="BE553" s="4">
        <f>(BC553-O553)/BC553</f>
        <v/>
      </c>
      <c r="BF553" s="3">
        <f>IF(OR(K553="hibrido",K553="glp"),"ECO",IF(K553="electrico","CERO",IF(K553="gasolina",IF(M553&gt;=GAS_C,"C",IF(M553&gt;=GAS_B,"B","A")),IF(K553="diesel",IF(M553&gt;=DIE_C,"C",IF(M553&gt;=DIE_B,"B","A")),""))))</f>
        <v/>
      </c>
      <c r="BG553" s="3">
        <f>IFERROR(VLOOKUP(F553,MOD_TBL,11,0),IFERROR(VLOOKUP(E553,OCU_TBL,2,0),NEUTRO))</f>
        <v/>
      </c>
      <c r="BH553" s="3">
        <f>SUMIFS(MOT_AJUSTE,MOT_MOTOR,G553,MOT_MARCA,E553,MOT_DESDE,"&lt;="&amp;M553,MOT_HASTA,"&gt;="&amp;M553)+SUMIFS(MOT_AJUSTE,MOT_MOTOR,G553,MOT_MARCA,"(todas)",MOT_DESDE,"&lt;="&amp;M553,MOT_HASTA,"&gt;="&amp;M553)</f>
        <v/>
      </c>
      <c r="BI553" s="3">
        <f>SUMIFS(COMB_AJUSTE,COMB_COMB,K553)</f>
        <v/>
      </c>
      <c r="BJ553" s="3">
        <f>COUNTIFS(MOT_MOTOR,G553,MOT_MARCA,E553,MOT_DESDE,"&lt;="&amp;M553,MOT_HASTA,"&gt;="&amp;M553)+COUNTIFS(MOT_MOTOR,G553,MOT_MARCA,"(todas)",MOT_DESDE,"&lt;="&amp;M553,MOT_HASTA,"&gt;="&amp;M553)</f>
        <v/>
      </c>
      <c r="BK553" s="3">
        <f>IF(AND(K553="diesel",BJ553=0),MIN(BG553,NEUTRO),BG553)</f>
        <v/>
      </c>
      <c r="BL553" s="4">
        <f>MAX(0,MIN(100,BK553+BH553+BI553))</f>
        <v/>
      </c>
      <c r="BM553" s="3">
        <f>MAX(0,MIN(100,50+BE553*PRECIO_PEND))</f>
        <v/>
      </c>
      <c r="BN553" s="3">
        <f>MAX(0,100*(1-N553/KM_MAX))</f>
        <v/>
      </c>
      <c r="BO553" s="3">
        <f>IF(AV553&lt;KMA_SOSP,IF(AA553="sí",100,KMA_PEN),IF(AV553&lt;=KMA_IDEAL_MAX,100,MAX(0,100*(KMA_CERO-AV553)/(KMA_CERO-KMA_IDEAL_MAX))))</f>
        <v/>
      </c>
      <c r="BP553" s="3">
        <f>MAX(0,MIN(100,100*(M553-ANIO_MIN)/(ANIO_ACTUAL-ANIO_MIN)))</f>
        <v/>
      </c>
      <c r="BQ553" s="3">
        <f>W_KMT*BN553+W_KMA*BO553+W_EDAD*BP553</f>
        <v/>
      </c>
      <c r="BR553" s="3">
        <f>P_ITV*(V553="sí")+P_LIBRO*(W553="sí")+P_CORREA*(X553="sí")+P_PROP*(Y553=1)+P_GAR*(Z553="sí")+P_FOTOS*MIN(1,N(U553)/FOTOS_OBJ)</f>
        <v/>
      </c>
      <c r="BS553" s="3">
        <f>IFERROR(VLOOKUP(BF553,ETQ_TBL,2,0),NEUTRO)</f>
        <v/>
      </c>
      <c r="BT553" s="3">
        <f>NEUTRO</f>
        <v/>
      </c>
      <c r="BU553" s="3">
        <f>IFERROR(VLOOKUP(L553,SEGURO_TBL,3,0),"")</f>
        <v/>
      </c>
      <c r="BV553" s="3">
        <f>IF(BU553="",NEUTRO,MAX(0,MIN(100,100*(SEG_REF_MAX-BU553)/(SEG_REF_MAX-SEG_REF_MIN))))</f>
        <v/>
      </c>
      <c r="BW553" s="3">
        <f>W_ET*BS553+W_CONS*BT553+W_SEG*BV553</f>
        <v/>
      </c>
      <c r="BX553" s="3">
        <f>IF(N(AB553)&gt;0,AB553,IF(AND(R553="profesional",SG_LEGAL_ON=1),GAR_LEGAL,0))</f>
        <v/>
      </c>
      <c r="BY553" s="3">
        <f>SG_GAR*MIN(1,BX553/SG_GAR_FULL)+SG_AMPL*(AC553="sí")+SG_KMC*(AF553="sí")+SG_REV*(N(AE553)&gt;0)+SG_DEV*MIN(1,N(AG553)/SG_DEV_FULL)+SG_HIST*(W553="sí")</f>
        <v/>
      </c>
      <c r="BZ553" s="3">
        <f>IFERROR(VLOOKUP(L553,CARR_PEN_TBL,2,0),0)</f>
        <v/>
      </c>
      <c r="CA553" s="3">
        <f>W_FIAB*BL553+W_PRECIO*BM553+W_KMEDAD*BQ553+W_ANUNCIO*BR553+W_USO*BW553+W_SEGURIDAD*BY553-BZ553</f>
        <v/>
      </c>
      <c r="CB553" s="4">
        <f>IF(N(I553)&gt;0,I553,IFERROR(ROUND(_xlfn.NUMBERVALUE(LEFT(G553,FIND(" ",G553&amp;" ")-1),".")*1000,0),99999))</f>
        <v/>
      </c>
      <c r="CC553" s="3">
        <f>IF(R553="profesional",0,IF(O553&lt;CUOTA_VALOR_MAX,IF(AU553&gt;ITP_TRAMO_ALTO,SUMIFS(CF_CUOTA,CF_MAS,ITP_TRAMO_ALTO,CF_CCMIN,"&lt;="&amp;CB553,CF_CCMAX,"&gt;="&amp;CB553),IF(AU553&gt;ITP_TRAMO_BAJO,SUMIFS(CF_CUOTA,CF_MAS,ITP_TRAMO_BAJO,CF_CCMIN,"&lt;="&amp;CB553,CF_CCMAX,"&gt;="&amp;CB553),O553*ITP_TIPO)),O553*ITP_TIPO))</f>
        <v/>
      </c>
      <c r="CD553" s="4">
        <f>IF(R553="profesional",N(AK553),0)</f>
        <v/>
      </c>
      <c r="CE553" s="3">
        <f>IF(AND(R553="profesional",ISNUMBER(AK553),AL553="sí"),0,TASA_DGT)</f>
        <v/>
      </c>
      <c r="CF553" s="3">
        <f>INFORME_DGT</f>
        <v/>
      </c>
      <c r="CG553" s="4">
        <f>O553+CD553+CC553+CE553+CF553</f>
        <v/>
      </c>
      <c r="CH553" s="4">
        <f>CG553+N(BU553)</f>
        <v/>
      </c>
      <c r="CI553" s="3">
        <f>IF(CG553&lt;=TOTAL_MAX,"sí",IF(CG553&lt;=TOTAL_MAX+MARGEN_NEG,"negociar","no"))</f>
        <v/>
      </c>
      <c r="CJ553" s="4">
        <f>IF(CI553&lt;&gt;"no",COUNTIFS($CI$2:$CI$662,"&lt;&gt;no",$CA$2:$CA$662,"&gt;"&amp;CA553)+COUNTIFS($CI$2:CI553,"&lt;&gt;no",$CA$2:CA553,CA553),"")</f>
        <v/>
      </c>
    </row>
    <row r="554">
      <c r="A554" s="2" t="inlineStr">
        <is>
          <t>cochesnet:71805914</t>
        </is>
      </c>
      <c r="B554" s="2" t="inlineStr">
        <is>
          <t>cochesnet</t>
        </is>
      </c>
      <c r="C554" s="2" t="inlineStr">
        <is>
          <t>https://www.coches.net/mini-mini-cooper-3p-gasolina-2007-en-valencia-71805914-covo.aspx</t>
        </is>
      </c>
      <c r="D554" s="2" t="inlineStr">
        <is>
          <t>MINI MINI Cooper</t>
        </is>
      </c>
      <c r="E554" s="2" t="inlineStr">
        <is>
          <t>MINI</t>
        </is>
      </c>
      <c r="F554" s="2" t="inlineStr">
        <is>
          <t>MINI MINI</t>
        </is>
      </c>
      <c r="G554" s="2" t="n"/>
      <c r="H554" s="2" t="inlineStr">
        <is>
          <t>Cooper</t>
        </is>
      </c>
      <c r="I554" s="2" t="n"/>
      <c r="J554" s="2" t="n"/>
      <c r="K554" s="2" t="inlineStr">
        <is>
          <t>gasolina</t>
        </is>
      </c>
      <c r="L554" s="2" t="inlineStr">
        <is>
          <t>utilitario</t>
        </is>
      </c>
      <c r="M554" s="2" t="n">
        <v>2007</v>
      </c>
      <c r="N554" s="2" t="n">
        <v>220000</v>
      </c>
      <c r="O554" s="2" t="n">
        <v>3999</v>
      </c>
      <c r="P554" s="2" t="inlineStr">
        <is>
          <t>manual</t>
        </is>
      </c>
      <c r="Q554" s="2" t="inlineStr">
        <is>
          <t>no</t>
        </is>
      </c>
      <c r="R554" s="2" t="inlineStr">
        <is>
          <t>profesional</t>
        </is>
      </c>
      <c r="S554" s="2" t="inlineStr">
        <is>
          <t>Compraventa MCars L'Alcúdia</t>
        </is>
      </c>
      <c r="T554" s="2" t="inlineStr">
        <is>
          <t>2026-10-22T09:48:02Z</t>
        </is>
      </c>
      <c r="U554" s="2" t="n">
        <v>9</v>
      </c>
      <c r="V554" s="2" t="inlineStr">
        <is>
          <t>sí</t>
        </is>
      </c>
      <c r="W554" s="2" t="inlineStr">
        <is>
          <t>sí</t>
        </is>
      </c>
      <c r="X554" s="2" t="n"/>
      <c r="Y554" s="2" t="n"/>
      <c r="Z554" s="2" t="inlineStr">
        <is>
          <t>sí</t>
        </is>
      </c>
      <c r="AA554" s="2" t="n"/>
      <c r="AB554" s="2" t="n">
        <v>12</v>
      </c>
      <c r="AC554" s="2" t="n"/>
      <c r="AD554" s="2" t="n"/>
      <c r="AE554" s="2" t="n"/>
      <c r="AF554" s="2" t="n"/>
      <c r="AG554" s="2" t="n"/>
      <c r="AH554" s="2" t="n">
        <v>3999</v>
      </c>
      <c r="AI554" s="2" t="n"/>
      <c r="AJ554" s="2" t="n"/>
      <c r="AK554" s="2" t="n"/>
      <c r="AL554" s="2" t="n"/>
      <c r="AM554" s="2" t="n"/>
      <c r="AN554" s="2" t="n">
        <v>4200</v>
      </c>
      <c r="AO554" s="2" t="n">
        <v>7</v>
      </c>
      <c r="AP554" s="2" t="inlineStr">
        <is>
          <t>modelo+año+km</t>
        </is>
      </c>
      <c r="AQ554" s="2" t="n"/>
      <c r="AR554"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554" s="2" t="inlineStr">
        <is>
          <t xml:space="preserve">Vehículo nacional, mantenimiento al día, cubiertas seminuevas, ITV recién pasada, se entrega totalmente revisado por nuestros mecánicos transferido y con 12 meses de garantía </t>
        </is>
      </c>
      <c r="AT554" s="2" t="inlineStr">
        <is>
          <t>https://www.coches.net/mini-mini-cooper-3p-gasolina-2007-en-valencia-71805914-covo.aspx (window.__INITIAL_PROPS__.ad) /home/user/Alopecia/buscador-coches/raw/cochesnet/04e2cc9cacd438ee.json</t>
        </is>
      </c>
      <c r="AU554" s="3">
        <f>MAX(ANIO_ACTUAL-M554,0)</f>
        <v/>
      </c>
      <c r="AV554" s="4">
        <f>N554/MAX(AU554,0.5)</f>
        <v/>
      </c>
      <c r="AW554" s="4">
        <f>F554</f>
        <v/>
      </c>
      <c r="AX554" s="3">
        <f>AW554&amp;"|"&amp;INT(M554/SEG_ANIO)*SEG_ANIO</f>
        <v/>
      </c>
      <c r="AY554" s="3">
        <f>AX554&amp;"|"&amp;INT(N554/SEG_KM)*SEG_KM</f>
        <v/>
      </c>
      <c r="AZ554" s="4">
        <f>COUNTIF($AW$2:$AW$662,AW554)</f>
        <v/>
      </c>
      <c r="BA554" s="4">
        <f>COUNTIF($AX$2:$AX$662,AX554)</f>
        <v/>
      </c>
      <c r="BB554" s="4">
        <f>COUNTIF($AY$2:$AY$662,AY554)</f>
        <v/>
      </c>
      <c r="BC554" s="3">
        <f t="array" ref="BC554">IF(N(AO554)&gt;=MIN_N,AN554,IF(BB554&gt;=MIN_N,MEDIAN(IF($AY$2:$AY$662=AY554,$O$2:$O$662)),IF(BA554&gt;=MIN_N,MEDIAN(IF($AX$2:$AX$662=AX554,$O$2:$O$662)),MEDIAN(IF($AW$2:$AW$662=AW554,$O$2:$O$662)))))</f>
        <v/>
      </c>
      <c r="BD554" s="3">
        <f>IF(N(AO554)&gt;=MIN_N,"mercado "&amp;AP554,IF(BB554&gt;=MIN_N,"modelo+año+km",IF(BA554&gt;=MIN_N,"modelo+año","modelo")))</f>
        <v/>
      </c>
      <c r="BE554" s="4">
        <f>(BC554-O554)/BC554</f>
        <v/>
      </c>
      <c r="BF554" s="3">
        <f>IF(OR(K554="hibrido",K554="glp"),"ECO",IF(K554="electrico","CERO",IF(K554="gasolina",IF(M554&gt;=GAS_C,"C",IF(M554&gt;=GAS_B,"B","A")),IF(K554="diesel",IF(M554&gt;=DIE_C,"C",IF(M554&gt;=DIE_B,"B","A")),""))))</f>
        <v/>
      </c>
      <c r="BG554" s="3">
        <f>IFERROR(VLOOKUP(F554,MOD_TBL,11,0),IFERROR(VLOOKUP(E554,OCU_TBL,2,0),NEUTRO))</f>
        <v/>
      </c>
      <c r="BH554" s="3">
        <f>SUMIFS(MOT_AJUSTE,MOT_MOTOR,G554,MOT_MARCA,E554,MOT_DESDE,"&lt;="&amp;M554,MOT_HASTA,"&gt;="&amp;M554)+SUMIFS(MOT_AJUSTE,MOT_MOTOR,G554,MOT_MARCA,"(todas)",MOT_DESDE,"&lt;="&amp;M554,MOT_HASTA,"&gt;="&amp;M554)</f>
        <v/>
      </c>
      <c r="BI554" s="3">
        <f>SUMIFS(COMB_AJUSTE,COMB_COMB,K554)</f>
        <v/>
      </c>
      <c r="BJ554" s="3">
        <f>COUNTIFS(MOT_MOTOR,G554,MOT_MARCA,E554,MOT_DESDE,"&lt;="&amp;M554,MOT_HASTA,"&gt;="&amp;M554)+COUNTIFS(MOT_MOTOR,G554,MOT_MARCA,"(todas)",MOT_DESDE,"&lt;="&amp;M554,MOT_HASTA,"&gt;="&amp;M554)</f>
        <v/>
      </c>
      <c r="BK554" s="3">
        <f>IF(AND(K554="diesel",BJ554=0),MIN(BG554,NEUTRO),BG554)</f>
        <v/>
      </c>
      <c r="BL554" s="4">
        <f>MAX(0,MIN(100,BK554+BH554+BI554))</f>
        <v/>
      </c>
      <c r="BM554" s="3">
        <f>MAX(0,MIN(100,50+BE554*PRECIO_PEND))</f>
        <v/>
      </c>
      <c r="BN554" s="3">
        <f>MAX(0,100*(1-N554/KM_MAX))</f>
        <v/>
      </c>
      <c r="BO554" s="3">
        <f>IF(AV554&lt;KMA_SOSP,IF(AA554="sí",100,KMA_PEN),IF(AV554&lt;=KMA_IDEAL_MAX,100,MAX(0,100*(KMA_CERO-AV554)/(KMA_CERO-KMA_IDEAL_MAX))))</f>
        <v/>
      </c>
      <c r="BP554" s="3">
        <f>MAX(0,MIN(100,100*(M554-ANIO_MIN)/(ANIO_ACTUAL-ANIO_MIN)))</f>
        <v/>
      </c>
      <c r="BQ554" s="3">
        <f>W_KMT*BN554+W_KMA*BO554+W_EDAD*BP554</f>
        <v/>
      </c>
      <c r="BR554" s="3">
        <f>P_ITV*(V554="sí")+P_LIBRO*(W554="sí")+P_CORREA*(X554="sí")+P_PROP*(Y554=1)+P_GAR*(Z554="sí")+P_FOTOS*MIN(1,N(U554)/FOTOS_OBJ)</f>
        <v/>
      </c>
      <c r="BS554" s="3">
        <f>IFERROR(VLOOKUP(BF554,ETQ_TBL,2,0),NEUTRO)</f>
        <v/>
      </c>
      <c r="BT554" s="3">
        <f>NEUTRO</f>
        <v/>
      </c>
      <c r="BU554" s="3">
        <f>IFERROR(VLOOKUP(L554,SEGURO_TBL,3,0),"")</f>
        <v/>
      </c>
      <c r="BV554" s="3">
        <f>IF(BU554="",NEUTRO,MAX(0,MIN(100,100*(SEG_REF_MAX-BU554)/(SEG_REF_MAX-SEG_REF_MIN))))</f>
        <v/>
      </c>
      <c r="BW554" s="3">
        <f>W_ET*BS554+W_CONS*BT554+W_SEG*BV554</f>
        <v/>
      </c>
      <c r="BX554" s="3">
        <f>IF(N(AB554)&gt;0,AB554,IF(AND(R554="profesional",SG_LEGAL_ON=1),GAR_LEGAL,0))</f>
        <v/>
      </c>
      <c r="BY554" s="3">
        <f>SG_GAR*MIN(1,BX554/SG_GAR_FULL)+SG_AMPL*(AC554="sí")+SG_KMC*(AF554="sí")+SG_REV*(N(AE554)&gt;0)+SG_DEV*MIN(1,N(AG554)/SG_DEV_FULL)+SG_HIST*(W554="sí")</f>
        <v/>
      </c>
      <c r="BZ554" s="3">
        <f>IFERROR(VLOOKUP(L554,CARR_PEN_TBL,2,0),0)</f>
        <v/>
      </c>
      <c r="CA554" s="3">
        <f>W_FIAB*BL554+W_PRECIO*BM554+W_KMEDAD*BQ554+W_ANUNCIO*BR554+W_USO*BW554+W_SEGURIDAD*BY554-BZ554</f>
        <v/>
      </c>
      <c r="CB554" s="4">
        <f>IF(N(I554)&gt;0,I554,IFERROR(ROUND(_xlfn.NUMBERVALUE(LEFT(G554,FIND(" ",G554&amp;" ")-1),".")*1000,0),99999))</f>
        <v/>
      </c>
      <c r="CC554" s="3">
        <f>IF(R554="profesional",0,IF(O554&lt;CUOTA_VALOR_MAX,IF(AU554&gt;ITP_TRAMO_ALTO,SUMIFS(CF_CUOTA,CF_MAS,ITP_TRAMO_ALTO,CF_CCMIN,"&lt;="&amp;CB554,CF_CCMAX,"&gt;="&amp;CB554),IF(AU554&gt;ITP_TRAMO_BAJO,SUMIFS(CF_CUOTA,CF_MAS,ITP_TRAMO_BAJO,CF_CCMIN,"&lt;="&amp;CB554,CF_CCMAX,"&gt;="&amp;CB554),O554*ITP_TIPO)),O554*ITP_TIPO))</f>
        <v/>
      </c>
      <c r="CD554" s="4">
        <f>IF(R554="profesional",N(AK554),0)</f>
        <v/>
      </c>
      <c r="CE554" s="3">
        <f>IF(AND(R554="profesional",ISNUMBER(AK554),AL554="sí"),0,TASA_DGT)</f>
        <v/>
      </c>
      <c r="CF554" s="3">
        <f>INFORME_DGT</f>
        <v/>
      </c>
      <c r="CG554" s="4">
        <f>O554+CD554+CC554+CE554+CF554</f>
        <v/>
      </c>
      <c r="CH554" s="4">
        <f>CG554+N(BU554)</f>
        <v/>
      </c>
      <c r="CI554" s="3">
        <f>IF(CG554&lt;=TOTAL_MAX,"sí",IF(CG554&lt;=TOTAL_MAX+MARGEN_NEG,"negociar","no"))</f>
        <v/>
      </c>
      <c r="CJ554" s="4">
        <f>IF(CI554&lt;&gt;"no",COUNTIFS($CI$2:$CI$662,"&lt;&gt;no",$CA$2:$CA$662,"&gt;"&amp;CA554)+COUNTIFS($CI$2:CI554,"&lt;&gt;no",$CA$2:CA554,CA554),"")</f>
        <v/>
      </c>
    </row>
    <row r="555">
      <c r="A555" s="2" t="inlineStr">
        <is>
          <t>cochesnet:71745074</t>
        </is>
      </c>
      <c r="B555" s="2" t="inlineStr">
        <is>
          <t>cochesnet</t>
        </is>
      </c>
      <c r="C555" s="2" t="inlineStr">
        <is>
          <t>https://www.coches.net/mini-mini-one-seven-3p-gasolina-2006-en-valencia-71745074-covo.aspx</t>
        </is>
      </c>
      <c r="D555" s="2" t="inlineStr">
        <is>
          <t>MINI MINI One Seven</t>
        </is>
      </c>
      <c r="E555" s="2" t="inlineStr">
        <is>
          <t>MINI</t>
        </is>
      </c>
      <c r="F555" s="2" t="inlineStr">
        <is>
          <t>MINI MINI</t>
        </is>
      </c>
      <c r="G555" s="2" t="n"/>
      <c r="H555" s="2" t="inlineStr">
        <is>
          <t>One Seven</t>
        </is>
      </c>
      <c r="I555" s="2" t="n"/>
      <c r="J555" s="2" t="n"/>
      <c r="K555" s="2" t="inlineStr">
        <is>
          <t>gasolina</t>
        </is>
      </c>
      <c r="L555" s="2" t="inlineStr">
        <is>
          <t>utilitario</t>
        </is>
      </c>
      <c r="M555" s="2" t="n">
        <v>2006</v>
      </c>
      <c r="N555" s="2" t="n">
        <v>196500</v>
      </c>
      <c r="O555" s="2" t="n">
        <v>3650</v>
      </c>
      <c r="P555" s="2" t="inlineStr">
        <is>
          <t>manual</t>
        </is>
      </c>
      <c r="Q555" s="2" t="inlineStr">
        <is>
          <t>no</t>
        </is>
      </c>
      <c r="R555" s="2" t="inlineStr">
        <is>
          <t>particular</t>
        </is>
      </c>
      <c r="S555" s="2" t="inlineStr">
        <is>
          <t>Valencia</t>
        </is>
      </c>
      <c r="T555" s="2" t="inlineStr">
        <is>
          <t>2026-10-14T17:40:34Z</t>
        </is>
      </c>
      <c r="U555" s="2" t="n">
        <v>12</v>
      </c>
      <c r="V555" s="2" t="n"/>
      <c r="W555" s="2" t="n"/>
      <c r="X555" s="2" t="n"/>
      <c r="Y555" s="2" t="n"/>
      <c r="Z555" s="2" t="inlineStr">
        <is>
          <t>no</t>
        </is>
      </c>
      <c r="AA555" s="2" t="n"/>
      <c r="AB555" s="2" t="n"/>
      <c r="AC555" s="2" t="n"/>
      <c r="AD555" s="2" t="n"/>
      <c r="AE555" s="2" t="n"/>
      <c r="AF555" s="2" t="n"/>
      <c r="AG555" s="2" t="n"/>
      <c r="AH555" s="2" t="n">
        <v>3650</v>
      </c>
      <c r="AI555" s="2" t="n"/>
      <c r="AJ555" s="2" t="n"/>
      <c r="AK555" s="2" t="n"/>
      <c r="AL555" s="2" t="n"/>
      <c r="AM555" s="2" t="n">
        <v>0.1</v>
      </c>
      <c r="AN555" s="2" t="n">
        <v>4650</v>
      </c>
      <c r="AO555" s="2" t="n">
        <v>6</v>
      </c>
      <c r="AP555" s="2" t="inlineStr">
        <is>
          <t>modelo+año+km</t>
        </is>
      </c>
      <c r="AQ555" s="2" t="n"/>
      <c r="AR555" s="2" t="inlineStr">
        <is>
          <t>cilindrada desconocida: se aplica el tramo de cuota fija más alto; cuota fija ITP: &gt;12 años, más de 2.000 cc; fiabilidad del modelo PENDIENTE de fuente (puntuación neutra)</t>
        </is>
      </c>
      <c r="AS555" s="2" t="inlineStr">
        <is>
          <t xml:space="preserve">Muy cuidado. Siempre en garaje. ITV febrero 2027. Embrague recién hecho. Revisión completa recientemente. </t>
        </is>
      </c>
      <c r="AT555" s="2" t="inlineStr">
        <is>
          <t>https://www.coches.net/mini-mini-one-seven-3p-gasolina-2006-en-valencia-71745074-covo.aspx (window.__INITIAL_PROPS__.ad) /home/user/Alopecia/buscador-coches/raw/cochesnet/4d4b1c57aef6737d.json</t>
        </is>
      </c>
      <c r="AU555" s="3">
        <f>MAX(ANIO_ACTUAL-M555,0)</f>
        <v/>
      </c>
      <c r="AV555" s="4">
        <f>N555/MAX(AU555,0.5)</f>
        <v/>
      </c>
      <c r="AW555" s="4">
        <f>F555</f>
        <v/>
      </c>
      <c r="AX555" s="3">
        <f>AW555&amp;"|"&amp;INT(M555/SEG_ANIO)*SEG_ANIO</f>
        <v/>
      </c>
      <c r="AY555" s="3">
        <f>AX555&amp;"|"&amp;INT(N555/SEG_KM)*SEG_KM</f>
        <v/>
      </c>
      <c r="AZ555" s="4">
        <f>COUNTIF($AW$2:$AW$662,AW555)</f>
        <v/>
      </c>
      <c r="BA555" s="4">
        <f>COUNTIF($AX$2:$AX$662,AX555)</f>
        <v/>
      </c>
      <c r="BB555" s="4">
        <f>COUNTIF($AY$2:$AY$662,AY555)</f>
        <v/>
      </c>
      <c r="BC555" s="3">
        <f t="array" ref="BC555">IF(N(AO555)&gt;=MIN_N,AN555,IF(BB555&gt;=MIN_N,MEDIAN(IF($AY$2:$AY$662=AY555,$O$2:$O$662)),IF(BA555&gt;=MIN_N,MEDIAN(IF($AX$2:$AX$662=AX555,$O$2:$O$662)),MEDIAN(IF($AW$2:$AW$662=AW555,$O$2:$O$662)))))</f>
        <v/>
      </c>
      <c r="BD555" s="3">
        <f>IF(N(AO555)&gt;=MIN_N,"mercado "&amp;AP555,IF(BB555&gt;=MIN_N,"modelo+año+km",IF(BA555&gt;=MIN_N,"modelo+año","modelo")))</f>
        <v/>
      </c>
      <c r="BE555" s="4">
        <f>(BC555-O555)/BC555</f>
        <v/>
      </c>
      <c r="BF555" s="3">
        <f>IF(OR(K555="hibrido",K555="glp"),"ECO",IF(K555="electrico","CERO",IF(K555="gasolina",IF(M555&gt;=GAS_C,"C",IF(M555&gt;=GAS_B,"B","A")),IF(K555="diesel",IF(M555&gt;=DIE_C,"C",IF(M555&gt;=DIE_B,"B","A")),""))))</f>
        <v/>
      </c>
      <c r="BG555" s="3">
        <f>IFERROR(VLOOKUP(F555,MOD_TBL,11,0),IFERROR(VLOOKUP(E555,OCU_TBL,2,0),NEUTRO))</f>
        <v/>
      </c>
      <c r="BH555" s="3">
        <f>SUMIFS(MOT_AJUSTE,MOT_MOTOR,G555,MOT_MARCA,E555,MOT_DESDE,"&lt;="&amp;M555,MOT_HASTA,"&gt;="&amp;M555)+SUMIFS(MOT_AJUSTE,MOT_MOTOR,G555,MOT_MARCA,"(todas)",MOT_DESDE,"&lt;="&amp;M555,MOT_HASTA,"&gt;="&amp;M555)</f>
        <v/>
      </c>
      <c r="BI555" s="3">
        <f>SUMIFS(COMB_AJUSTE,COMB_COMB,K555)</f>
        <v/>
      </c>
      <c r="BJ555" s="3">
        <f>COUNTIFS(MOT_MOTOR,G555,MOT_MARCA,E555,MOT_DESDE,"&lt;="&amp;M555,MOT_HASTA,"&gt;="&amp;M555)+COUNTIFS(MOT_MOTOR,G555,MOT_MARCA,"(todas)",MOT_DESDE,"&lt;="&amp;M555,MOT_HASTA,"&gt;="&amp;M555)</f>
        <v/>
      </c>
      <c r="BK555" s="3">
        <f>IF(AND(K555="diesel",BJ555=0),MIN(BG555,NEUTRO),BG555)</f>
        <v/>
      </c>
      <c r="BL555" s="4">
        <f>MAX(0,MIN(100,BK555+BH555+BI555))</f>
        <v/>
      </c>
      <c r="BM555" s="3">
        <f>MAX(0,MIN(100,50+BE555*PRECIO_PEND))</f>
        <v/>
      </c>
      <c r="BN555" s="3">
        <f>MAX(0,100*(1-N555/KM_MAX))</f>
        <v/>
      </c>
      <c r="BO555" s="3">
        <f>IF(AV555&lt;KMA_SOSP,IF(AA555="sí",100,KMA_PEN),IF(AV555&lt;=KMA_IDEAL_MAX,100,MAX(0,100*(KMA_CERO-AV555)/(KMA_CERO-KMA_IDEAL_MAX))))</f>
        <v/>
      </c>
      <c r="BP555" s="3">
        <f>MAX(0,MIN(100,100*(M555-ANIO_MIN)/(ANIO_ACTUAL-ANIO_MIN)))</f>
        <v/>
      </c>
      <c r="BQ555" s="3">
        <f>W_KMT*BN555+W_KMA*BO555+W_EDAD*BP555</f>
        <v/>
      </c>
      <c r="BR555" s="3">
        <f>P_ITV*(V555="sí")+P_LIBRO*(W555="sí")+P_CORREA*(X555="sí")+P_PROP*(Y555=1)+P_GAR*(Z555="sí")+P_FOTOS*MIN(1,N(U555)/FOTOS_OBJ)</f>
        <v/>
      </c>
      <c r="BS555" s="3">
        <f>IFERROR(VLOOKUP(BF555,ETQ_TBL,2,0),NEUTRO)</f>
        <v/>
      </c>
      <c r="BT555" s="3">
        <f>NEUTRO</f>
        <v/>
      </c>
      <c r="BU555" s="3">
        <f>IFERROR(VLOOKUP(L555,SEGURO_TBL,3,0),"")</f>
        <v/>
      </c>
      <c r="BV555" s="3">
        <f>IF(BU555="",NEUTRO,MAX(0,MIN(100,100*(SEG_REF_MAX-BU555)/(SEG_REF_MAX-SEG_REF_MIN))))</f>
        <v/>
      </c>
      <c r="BW555" s="3">
        <f>W_ET*BS555+W_CONS*BT555+W_SEG*BV555</f>
        <v/>
      </c>
      <c r="BX555" s="3">
        <f>IF(N(AB555)&gt;0,AB555,IF(AND(R555="profesional",SG_LEGAL_ON=1),GAR_LEGAL,0))</f>
        <v/>
      </c>
      <c r="BY555" s="3">
        <f>SG_GAR*MIN(1,BX555/SG_GAR_FULL)+SG_AMPL*(AC555="sí")+SG_KMC*(AF555="sí")+SG_REV*(N(AE555)&gt;0)+SG_DEV*MIN(1,N(AG555)/SG_DEV_FULL)+SG_HIST*(W555="sí")</f>
        <v/>
      </c>
      <c r="BZ555" s="3">
        <f>IFERROR(VLOOKUP(L555,CARR_PEN_TBL,2,0),0)</f>
        <v/>
      </c>
      <c r="CA555" s="3">
        <f>W_FIAB*BL555+W_PRECIO*BM555+W_KMEDAD*BQ555+W_ANUNCIO*BR555+W_USO*BW555+W_SEGURIDAD*BY555-BZ555</f>
        <v/>
      </c>
      <c r="CB555" s="4">
        <f>IF(N(I555)&gt;0,I555,IFERROR(ROUND(_xlfn.NUMBERVALUE(LEFT(G555,FIND(" ",G555&amp;" ")-1),".")*1000,0),99999))</f>
        <v/>
      </c>
      <c r="CC555" s="3">
        <f>IF(R555="profesional",0,IF(O555&lt;CUOTA_VALOR_MAX,IF(AU555&gt;ITP_TRAMO_ALTO,SUMIFS(CF_CUOTA,CF_MAS,ITP_TRAMO_ALTO,CF_CCMIN,"&lt;="&amp;CB555,CF_CCMAX,"&gt;="&amp;CB555),IF(AU555&gt;ITP_TRAMO_BAJO,SUMIFS(CF_CUOTA,CF_MAS,ITP_TRAMO_BAJO,CF_CCMIN,"&lt;="&amp;CB555,CF_CCMAX,"&gt;="&amp;CB555),O555*ITP_TIPO)),O555*ITP_TIPO))</f>
        <v/>
      </c>
      <c r="CD555" s="4">
        <f>IF(R555="profesional",N(AK555),0)</f>
        <v/>
      </c>
      <c r="CE555" s="3">
        <f>IF(AND(R555="profesional",ISNUMBER(AK555),AL555="sí"),0,TASA_DGT)</f>
        <v/>
      </c>
      <c r="CF555" s="3">
        <f>INFORME_DGT</f>
        <v/>
      </c>
      <c r="CG555" s="4">
        <f>O555+CD555+CC555+CE555+CF555</f>
        <v/>
      </c>
      <c r="CH555" s="4">
        <f>CG555+N(BU555)</f>
        <v/>
      </c>
      <c r="CI555" s="3">
        <f>IF(CG555&lt;=TOTAL_MAX,"sí",IF(CG555&lt;=TOTAL_MAX+MARGEN_NEG,"negociar","no"))</f>
        <v/>
      </c>
      <c r="CJ555" s="4">
        <f>IF(CI555&lt;&gt;"no",COUNTIFS($CI$2:$CI$662,"&lt;&gt;no",$CA$2:$CA$662,"&gt;"&amp;CA555)+COUNTIFS($CI$2:CI555,"&lt;&gt;no",$CA$2:CA555,CA555),"")</f>
        <v/>
      </c>
    </row>
    <row r="556">
      <c r="A556" s="2" t="inlineStr">
        <is>
          <t>cochesnet:71599977</t>
        </is>
      </c>
      <c r="B556" s="2" t="inlineStr">
        <is>
          <t>cochesnet</t>
        </is>
      </c>
      <c r="C556" s="2" t="inlineStr">
        <is>
          <t>https://www.coches.net/mini-mini-diesel-2007-en-valencia-71599977-covo.aspx</t>
        </is>
      </c>
      <c r="D556" s="2" t="inlineStr">
        <is>
          <t>MINI MINI One D</t>
        </is>
      </c>
      <c r="E556" s="2" t="inlineStr">
        <is>
          <t>MINI</t>
        </is>
      </c>
      <c r="F556" s="2" t="inlineStr">
        <is>
          <t>MINI MINI</t>
        </is>
      </c>
      <c r="G556" s="2" t="n"/>
      <c r="H556" s="2" t="inlineStr">
        <is>
          <t>One D</t>
        </is>
      </c>
      <c r="I556" s="2" t="n"/>
      <c r="J556" s="2" t="n"/>
      <c r="K556" s="2" t="inlineStr">
        <is>
          <t>diesel</t>
        </is>
      </c>
      <c r="L556" s="2" t="inlineStr">
        <is>
          <t>utilitario</t>
        </is>
      </c>
      <c r="M556" s="2" t="n">
        <v>2007</v>
      </c>
      <c r="N556" s="2" t="n">
        <v>205000</v>
      </c>
      <c r="O556" s="2" t="n">
        <v>4950</v>
      </c>
      <c r="P556" s="2" t="inlineStr">
        <is>
          <t>manual</t>
        </is>
      </c>
      <c r="Q556" s="2" t="inlineStr">
        <is>
          <t>no</t>
        </is>
      </c>
      <c r="R556" s="2" t="inlineStr">
        <is>
          <t>particular</t>
        </is>
      </c>
      <c r="S556" s="2" t="n"/>
      <c r="T556" s="2" t="inlineStr">
        <is>
          <t>2026-09-25T15:21:04Z</t>
        </is>
      </c>
      <c r="U556" s="2" t="n">
        <v>9</v>
      </c>
      <c r="V556" s="2" t="n"/>
      <c r="W556" s="2" t="n"/>
      <c r="X556" s="2" t="n"/>
      <c r="Y556" s="2" t="n"/>
      <c r="Z556" s="2" t="inlineStr">
        <is>
          <t>no</t>
        </is>
      </c>
      <c r="AA556" s="2" t="n"/>
      <c r="AB556" s="2" t="n"/>
      <c r="AC556" s="2" t="n"/>
      <c r="AD556" s="2" t="n"/>
      <c r="AE556" s="2" t="n"/>
      <c r="AF556" s="2" t="n"/>
      <c r="AG556" s="2" t="n"/>
      <c r="AH556" s="2" t="n">
        <v>4950</v>
      </c>
      <c r="AI556" s="2" t="n"/>
      <c r="AJ556" s="2" t="n"/>
      <c r="AK556" s="2" t="n"/>
      <c r="AL556" s="2" t="n"/>
      <c r="AM556" s="2" t="n"/>
      <c r="AN556" s="2" t="n">
        <v>4200</v>
      </c>
      <c r="AO556" s="2" t="n">
        <v>7</v>
      </c>
      <c r="AP556" s="2" t="inlineStr">
        <is>
          <t>modelo+año+km</t>
        </is>
      </c>
      <c r="AQ556" s="2" t="n"/>
      <c r="AR556" s="2" t="inlineStr">
        <is>
          <t>por encima del presupuesto (5154 €),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556" s="2" t="inlineStr">
        <is>
          <t xml:space="preserve">Se vende Mini One D del año 2007 automático. 205000km . El coche tiene asientos de cuero , navegador , techo solar ,faros xenon etc. Revisiones completas recién pasadas .Solo atiendo por teléfono </t>
        </is>
      </c>
      <c r="AT556" s="2" t="inlineStr">
        <is>
          <t>https://www.coches.net/mini-mini-diesel-2007-en-valencia-71599977-covo.aspx (window.__INITIAL_PROPS__.ad) /home/user/Alopecia/buscador-coches/raw/cochesnet/0706470ade8ca14c.json</t>
        </is>
      </c>
      <c r="AU556" s="3">
        <f>MAX(ANIO_ACTUAL-M556,0)</f>
        <v/>
      </c>
      <c r="AV556" s="4">
        <f>N556/MAX(AU556,0.5)</f>
        <v/>
      </c>
      <c r="AW556" s="4">
        <f>F556</f>
        <v/>
      </c>
      <c r="AX556" s="3">
        <f>AW556&amp;"|"&amp;INT(M556/SEG_ANIO)*SEG_ANIO</f>
        <v/>
      </c>
      <c r="AY556" s="3">
        <f>AX556&amp;"|"&amp;INT(N556/SEG_KM)*SEG_KM</f>
        <v/>
      </c>
      <c r="AZ556" s="4">
        <f>COUNTIF($AW$2:$AW$662,AW556)</f>
        <v/>
      </c>
      <c r="BA556" s="4">
        <f>COUNTIF($AX$2:$AX$662,AX556)</f>
        <v/>
      </c>
      <c r="BB556" s="4">
        <f>COUNTIF($AY$2:$AY$662,AY556)</f>
        <v/>
      </c>
      <c r="BC556" s="3">
        <f t="array" ref="BC556">IF(N(AO556)&gt;=MIN_N,AN556,IF(BB556&gt;=MIN_N,MEDIAN(IF($AY$2:$AY$662=AY556,$O$2:$O$662)),IF(BA556&gt;=MIN_N,MEDIAN(IF($AX$2:$AX$662=AX556,$O$2:$O$662)),MEDIAN(IF($AW$2:$AW$662=AW556,$O$2:$O$662)))))</f>
        <v/>
      </c>
      <c r="BD556" s="3">
        <f>IF(N(AO556)&gt;=MIN_N,"mercado "&amp;AP556,IF(BB556&gt;=MIN_N,"modelo+año+km",IF(BA556&gt;=MIN_N,"modelo+año","modelo")))</f>
        <v/>
      </c>
      <c r="BE556" s="4">
        <f>(BC556-O556)/BC556</f>
        <v/>
      </c>
      <c r="BF556" s="3">
        <f>IF(OR(K556="hibrido",K556="glp"),"ECO",IF(K556="electrico","CERO",IF(K556="gasolina",IF(M556&gt;=GAS_C,"C",IF(M556&gt;=GAS_B,"B","A")),IF(K556="diesel",IF(M556&gt;=DIE_C,"C",IF(M556&gt;=DIE_B,"B","A")),""))))</f>
        <v/>
      </c>
      <c r="BG556" s="3">
        <f>IFERROR(VLOOKUP(F556,MOD_TBL,11,0),IFERROR(VLOOKUP(E556,OCU_TBL,2,0),NEUTRO))</f>
        <v/>
      </c>
      <c r="BH556" s="3">
        <f>SUMIFS(MOT_AJUSTE,MOT_MOTOR,G556,MOT_MARCA,E556,MOT_DESDE,"&lt;="&amp;M556,MOT_HASTA,"&gt;="&amp;M556)+SUMIFS(MOT_AJUSTE,MOT_MOTOR,G556,MOT_MARCA,"(todas)",MOT_DESDE,"&lt;="&amp;M556,MOT_HASTA,"&gt;="&amp;M556)</f>
        <v/>
      </c>
      <c r="BI556" s="3">
        <f>SUMIFS(COMB_AJUSTE,COMB_COMB,K556)</f>
        <v/>
      </c>
      <c r="BJ556" s="3">
        <f>COUNTIFS(MOT_MOTOR,G556,MOT_MARCA,E556,MOT_DESDE,"&lt;="&amp;M556,MOT_HASTA,"&gt;="&amp;M556)+COUNTIFS(MOT_MOTOR,G556,MOT_MARCA,"(todas)",MOT_DESDE,"&lt;="&amp;M556,MOT_HASTA,"&gt;="&amp;M556)</f>
        <v/>
      </c>
      <c r="BK556" s="3">
        <f>IF(AND(K556="diesel",BJ556=0),MIN(BG556,NEUTRO),BG556)</f>
        <v/>
      </c>
      <c r="BL556" s="4">
        <f>MAX(0,MIN(100,BK556+BH556+BI556))</f>
        <v/>
      </c>
      <c r="BM556" s="3">
        <f>MAX(0,MIN(100,50+BE556*PRECIO_PEND))</f>
        <v/>
      </c>
      <c r="BN556" s="3">
        <f>MAX(0,100*(1-N556/KM_MAX))</f>
        <v/>
      </c>
      <c r="BO556" s="3">
        <f>IF(AV556&lt;KMA_SOSP,IF(AA556="sí",100,KMA_PEN),IF(AV556&lt;=KMA_IDEAL_MAX,100,MAX(0,100*(KMA_CERO-AV556)/(KMA_CERO-KMA_IDEAL_MAX))))</f>
        <v/>
      </c>
      <c r="BP556" s="3">
        <f>MAX(0,MIN(100,100*(M556-ANIO_MIN)/(ANIO_ACTUAL-ANIO_MIN)))</f>
        <v/>
      </c>
      <c r="BQ556" s="3">
        <f>W_KMT*BN556+W_KMA*BO556+W_EDAD*BP556</f>
        <v/>
      </c>
      <c r="BR556" s="3">
        <f>P_ITV*(V556="sí")+P_LIBRO*(W556="sí")+P_CORREA*(X556="sí")+P_PROP*(Y556=1)+P_GAR*(Z556="sí")+P_FOTOS*MIN(1,N(U556)/FOTOS_OBJ)</f>
        <v/>
      </c>
      <c r="BS556" s="3">
        <f>IFERROR(VLOOKUP(BF556,ETQ_TBL,2,0),NEUTRO)</f>
        <v/>
      </c>
      <c r="BT556" s="3">
        <f>NEUTRO</f>
        <v/>
      </c>
      <c r="BU556" s="3">
        <f>IFERROR(VLOOKUP(L556,SEGURO_TBL,3,0),"")</f>
        <v/>
      </c>
      <c r="BV556" s="3">
        <f>IF(BU556="",NEUTRO,MAX(0,MIN(100,100*(SEG_REF_MAX-BU556)/(SEG_REF_MAX-SEG_REF_MIN))))</f>
        <v/>
      </c>
      <c r="BW556" s="3">
        <f>W_ET*BS556+W_CONS*BT556+W_SEG*BV556</f>
        <v/>
      </c>
      <c r="BX556" s="3">
        <f>IF(N(AB556)&gt;0,AB556,IF(AND(R556="profesional",SG_LEGAL_ON=1),GAR_LEGAL,0))</f>
        <v/>
      </c>
      <c r="BY556" s="3">
        <f>SG_GAR*MIN(1,BX556/SG_GAR_FULL)+SG_AMPL*(AC556="sí")+SG_KMC*(AF556="sí")+SG_REV*(N(AE556)&gt;0)+SG_DEV*MIN(1,N(AG556)/SG_DEV_FULL)+SG_HIST*(W556="sí")</f>
        <v/>
      </c>
      <c r="BZ556" s="3">
        <f>IFERROR(VLOOKUP(L556,CARR_PEN_TBL,2,0),0)</f>
        <v/>
      </c>
      <c r="CA556" s="3">
        <f>W_FIAB*BL556+W_PRECIO*BM556+W_KMEDAD*BQ556+W_ANUNCIO*BR556+W_USO*BW556+W_SEGURIDAD*BY556-BZ556</f>
        <v/>
      </c>
      <c r="CB556" s="4">
        <f>IF(N(I556)&gt;0,I556,IFERROR(ROUND(_xlfn.NUMBERVALUE(LEFT(G556,FIND(" ",G556&amp;" ")-1),".")*1000,0),99999))</f>
        <v/>
      </c>
      <c r="CC556" s="3">
        <f>IF(R556="profesional",0,IF(O556&lt;CUOTA_VALOR_MAX,IF(AU556&gt;ITP_TRAMO_ALTO,SUMIFS(CF_CUOTA,CF_MAS,ITP_TRAMO_ALTO,CF_CCMIN,"&lt;="&amp;CB556,CF_CCMAX,"&gt;="&amp;CB556),IF(AU556&gt;ITP_TRAMO_BAJO,SUMIFS(CF_CUOTA,CF_MAS,ITP_TRAMO_BAJO,CF_CCMIN,"&lt;="&amp;CB556,CF_CCMAX,"&gt;="&amp;CB556),O556*ITP_TIPO)),O556*ITP_TIPO))</f>
        <v/>
      </c>
      <c r="CD556" s="4">
        <f>IF(R556="profesional",N(AK556),0)</f>
        <v/>
      </c>
      <c r="CE556" s="3">
        <f>IF(AND(R556="profesional",ISNUMBER(AK556),AL556="sí"),0,TASA_DGT)</f>
        <v/>
      </c>
      <c r="CF556" s="3">
        <f>INFORME_DGT</f>
        <v/>
      </c>
      <c r="CG556" s="4">
        <f>O556+CD556+CC556+CE556+CF556</f>
        <v/>
      </c>
      <c r="CH556" s="4">
        <f>CG556+N(BU556)</f>
        <v/>
      </c>
      <c r="CI556" s="3">
        <f>IF(CG556&lt;=TOTAL_MAX,"sí",IF(CG556&lt;=TOTAL_MAX+MARGEN_NEG,"negociar","no"))</f>
        <v/>
      </c>
      <c r="CJ556" s="4">
        <f>IF(CI556&lt;&gt;"no",COUNTIFS($CI$2:$CI$662,"&lt;&gt;no",$CA$2:$CA$662,"&gt;"&amp;CA556)+COUNTIFS($CI$2:CI556,"&lt;&gt;no",$CA$2:CA556,CA556),"")</f>
        <v/>
      </c>
    </row>
    <row r="557">
      <c r="A557" s="2" t="inlineStr">
        <is>
          <t>cochesnet:71570664</t>
        </is>
      </c>
      <c r="B557" s="2" t="inlineStr">
        <is>
          <t>cochesnet</t>
        </is>
      </c>
      <c r="C557" s="2" t="inlineStr">
        <is>
          <t>https://www.coches.net/mini-mini-gasolina-2006-en-valencia-71570664-covo.aspx</t>
        </is>
      </c>
      <c r="D557" s="2" t="inlineStr">
        <is>
          <t>MINI MINI</t>
        </is>
      </c>
      <c r="E557" s="2" t="inlineStr">
        <is>
          <t>MINI</t>
        </is>
      </c>
      <c r="F557" s="2" t="inlineStr">
        <is>
          <t>MINI MINI</t>
        </is>
      </c>
      <c r="G557" s="2" t="n"/>
      <c r="H557" s="2" t="n"/>
      <c r="I557" s="2" t="n"/>
      <c r="J557" s="2" t="n"/>
      <c r="K557" s="2" t="inlineStr">
        <is>
          <t>gasolina</t>
        </is>
      </c>
      <c r="L557" s="2" t="inlineStr">
        <is>
          <t>utilitario</t>
        </is>
      </c>
      <c r="M557" s="2" t="n">
        <v>2006</v>
      </c>
      <c r="N557" s="2" t="n">
        <v>140000</v>
      </c>
      <c r="O557" s="2" t="n">
        <v>5100</v>
      </c>
      <c r="P557" s="2" t="inlineStr">
        <is>
          <t>manual</t>
        </is>
      </c>
      <c r="Q557" s="2" t="inlineStr">
        <is>
          <t>no</t>
        </is>
      </c>
      <c r="R557" s="2" t="inlineStr">
        <is>
          <t>particular</t>
        </is>
      </c>
      <c r="S557" s="2" t="inlineStr">
        <is>
          <t>Paterna</t>
        </is>
      </c>
      <c r="T557" s="2" t="inlineStr">
        <is>
          <t>2026-09-22T10:39:55Z</t>
        </is>
      </c>
      <c r="U557" s="2" t="n">
        <v>9</v>
      </c>
      <c r="V557" s="2" t="inlineStr">
        <is>
          <t>sí</t>
        </is>
      </c>
      <c r="W557" s="2" t="n"/>
      <c r="X557" s="2" t="n"/>
      <c r="Y557" s="2" t="n">
        <v>2</v>
      </c>
      <c r="Z557" s="2" t="inlineStr">
        <is>
          <t>no</t>
        </is>
      </c>
      <c r="AA557" s="2" t="n"/>
      <c r="AB557" s="2" t="n"/>
      <c r="AC557" s="2" t="n"/>
      <c r="AD557" s="2" t="n"/>
      <c r="AE557" s="2" t="n"/>
      <c r="AF557" s="2" t="n"/>
      <c r="AG557" s="2" t="n"/>
      <c r="AH557" s="2" t="n">
        <v>5100</v>
      </c>
      <c r="AI557" s="2" t="n"/>
      <c r="AJ557" s="2" t="n"/>
      <c r="AK557" s="2" t="n"/>
      <c r="AL557" s="2" t="n"/>
      <c r="AM557" s="2" t="n">
        <v>6.8</v>
      </c>
      <c r="AN557" s="2" t="n">
        <v>4990</v>
      </c>
      <c r="AO557" s="2" t="n">
        <v>5</v>
      </c>
      <c r="AP557" s="2" t="inlineStr">
        <is>
          <t>modelo+año+km</t>
        </is>
      </c>
      <c r="AQ557" s="2" t="n"/>
      <c r="AR557" s="2" t="inlineStr">
        <is>
          <t>cilindrada desconocida: se aplica el tramo de cuota fija más alto; cuota fija ITP: &gt;12 años, más de 2.000 cc; fiabilidad del modelo PENDIENTE de fuente (puntuación neutra)</t>
        </is>
      </c>
      <c r="AS557" s="2" t="inlineStr">
        <is>
          <t>Mini One Seven Limited Edition 1.6 gasolina 90cv.
Año 2006.
156.000 km.
Solo 2 propietarios.
ITV recién pasada 2026.
Revisión completa hecha hace 1 mes.
2 neumáticos nuevos.
Coche muy cuidado, interior y exterior en buen estado.
Motor fiable y económico.
Aire acondicionado, elevalunas eléctricos, cierre centralizado, llantas, etc.
Se puede ver y probar sin compromiso</t>
        </is>
      </c>
      <c r="AT557" s="2" t="inlineStr">
        <is>
          <t>https://www.coches.net/mini-mini-gasolina-2006-en-valencia-71570664-covo.aspx (window.__INITIAL_PROPS__.ad) /home/user/Alopecia/buscador-coches/raw/cochesnet/bccfe5310de41cd7.json</t>
        </is>
      </c>
      <c r="AU557" s="3">
        <f>MAX(ANIO_ACTUAL-M557,0)</f>
        <v/>
      </c>
      <c r="AV557" s="4">
        <f>N557/MAX(AU557,0.5)</f>
        <v/>
      </c>
      <c r="AW557" s="4">
        <f>F557</f>
        <v/>
      </c>
      <c r="AX557" s="3">
        <f>AW557&amp;"|"&amp;INT(M557/SEG_ANIO)*SEG_ANIO</f>
        <v/>
      </c>
      <c r="AY557" s="3">
        <f>AX557&amp;"|"&amp;INT(N557/SEG_KM)*SEG_KM</f>
        <v/>
      </c>
      <c r="AZ557" s="4">
        <f>COUNTIF($AW$2:$AW$662,AW557)</f>
        <v/>
      </c>
      <c r="BA557" s="4">
        <f>COUNTIF($AX$2:$AX$662,AX557)</f>
        <v/>
      </c>
      <c r="BB557" s="4">
        <f>COUNTIF($AY$2:$AY$662,AY557)</f>
        <v/>
      </c>
      <c r="BC557" s="3">
        <f t="array" ref="BC557">IF(N(AO557)&gt;=MIN_N,AN557,IF(BB557&gt;=MIN_N,MEDIAN(IF($AY$2:$AY$662=AY557,$O$2:$O$662)),IF(BA557&gt;=MIN_N,MEDIAN(IF($AX$2:$AX$662=AX557,$O$2:$O$662)),MEDIAN(IF($AW$2:$AW$662=AW557,$O$2:$O$662)))))</f>
        <v/>
      </c>
      <c r="BD557" s="3">
        <f>IF(N(AO557)&gt;=MIN_N,"mercado "&amp;AP557,IF(BB557&gt;=MIN_N,"modelo+año+km",IF(BA557&gt;=MIN_N,"modelo+año","modelo")))</f>
        <v/>
      </c>
      <c r="BE557" s="4">
        <f>(BC557-O557)/BC557</f>
        <v/>
      </c>
      <c r="BF557" s="3">
        <f>IF(OR(K557="hibrido",K557="glp"),"ECO",IF(K557="electrico","CERO",IF(K557="gasolina",IF(M557&gt;=GAS_C,"C",IF(M557&gt;=GAS_B,"B","A")),IF(K557="diesel",IF(M557&gt;=DIE_C,"C",IF(M557&gt;=DIE_B,"B","A")),""))))</f>
        <v/>
      </c>
      <c r="BG557" s="3">
        <f>IFERROR(VLOOKUP(F557,MOD_TBL,11,0),IFERROR(VLOOKUP(E557,OCU_TBL,2,0),NEUTRO))</f>
        <v/>
      </c>
      <c r="BH557" s="3">
        <f>SUMIFS(MOT_AJUSTE,MOT_MOTOR,G557,MOT_MARCA,E557,MOT_DESDE,"&lt;="&amp;M557,MOT_HASTA,"&gt;="&amp;M557)+SUMIFS(MOT_AJUSTE,MOT_MOTOR,G557,MOT_MARCA,"(todas)",MOT_DESDE,"&lt;="&amp;M557,MOT_HASTA,"&gt;="&amp;M557)</f>
        <v/>
      </c>
      <c r="BI557" s="3">
        <f>SUMIFS(COMB_AJUSTE,COMB_COMB,K557)</f>
        <v/>
      </c>
      <c r="BJ557" s="3">
        <f>COUNTIFS(MOT_MOTOR,G557,MOT_MARCA,E557,MOT_DESDE,"&lt;="&amp;M557,MOT_HASTA,"&gt;="&amp;M557)+COUNTIFS(MOT_MOTOR,G557,MOT_MARCA,"(todas)",MOT_DESDE,"&lt;="&amp;M557,MOT_HASTA,"&gt;="&amp;M557)</f>
        <v/>
      </c>
      <c r="BK557" s="3">
        <f>IF(AND(K557="diesel",BJ557=0),MIN(BG557,NEUTRO),BG557)</f>
        <v/>
      </c>
      <c r="BL557" s="4">
        <f>MAX(0,MIN(100,BK557+BH557+BI557))</f>
        <v/>
      </c>
      <c r="BM557" s="3">
        <f>MAX(0,MIN(100,50+BE557*PRECIO_PEND))</f>
        <v/>
      </c>
      <c r="BN557" s="3">
        <f>MAX(0,100*(1-N557/KM_MAX))</f>
        <v/>
      </c>
      <c r="BO557" s="3">
        <f>IF(AV557&lt;KMA_SOSP,IF(AA557="sí",100,KMA_PEN),IF(AV557&lt;=KMA_IDEAL_MAX,100,MAX(0,100*(KMA_CERO-AV557)/(KMA_CERO-KMA_IDEAL_MAX))))</f>
        <v/>
      </c>
      <c r="BP557" s="3">
        <f>MAX(0,MIN(100,100*(M557-ANIO_MIN)/(ANIO_ACTUAL-ANIO_MIN)))</f>
        <v/>
      </c>
      <c r="BQ557" s="3">
        <f>W_KMT*BN557+W_KMA*BO557+W_EDAD*BP557</f>
        <v/>
      </c>
      <c r="BR557" s="3">
        <f>P_ITV*(V557="sí")+P_LIBRO*(W557="sí")+P_CORREA*(X557="sí")+P_PROP*(Y557=1)+P_GAR*(Z557="sí")+P_FOTOS*MIN(1,N(U557)/FOTOS_OBJ)</f>
        <v/>
      </c>
      <c r="BS557" s="3">
        <f>IFERROR(VLOOKUP(BF557,ETQ_TBL,2,0),NEUTRO)</f>
        <v/>
      </c>
      <c r="BT557" s="3">
        <f>NEUTRO</f>
        <v/>
      </c>
      <c r="BU557" s="3">
        <f>IFERROR(VLOOKUP(L557,SEGURO_TBL,3,0),"")</f>
        <v/>
      </c>
      <c r="BV557" s="3">
        <f>IF(BU557="",NEUTRO,MAX(0,MIN(100,100*(SEG_REF_MAX-BU557)/(SEG_REF_MAX-SEG_REF_MIN))))</f>
        <v/>
      </c>
      <c r="BW557" s="3">
        <f>W_ET*BS557+W_CONS*BT557+W_SEG*BV557</f>
        <v/>
      </c>
      <c r="BX557" s="3">
        <f>IF(N(AB557)&gt;0,AB557,IF(AND(R557="profesional",SG_LEGAL_ON=1),GAR_LEGAL,0))</f>
        <v/>
      </c>
      <c r="BY557" s="3">
        <f>SG_GAR*MIN(1,BX557/SG_GAR_FULL)+SG_AMPL*(AC557="sí")+SG_KMC*(AF557="sí")+SG_REV*(N(AE557)&gt;0)+SG_DEV*MIN(1,N(AG557)/SG_DEV_FULL)+SG_HIST*(W557="sí")</f>
        <v/>
      </c>
      <c r="BZ557" s="3">
        <f>IFERROR(VLOOKUP(L557,CARR_PEN_TBL,2,0),0)</f>
        <v/>
      </c>
      <c r="CA557" s="3">
        <f>W_FIAB*BL557+W_PRECIO*BM557+W_KMEDAD*BQ557+W_ANUNCIO*BR557+W_USO*BW557+W_SEGURIDAD*BY557-BZ557</f>
        <v/>
      </c>
      <c r="CB557" s="4">
        <f>IF(N(I557)&gt;0,I557,IFERROR(ROUND(_xlfn.NUMBERVALUE(LEFT(G557,FIND(" ",G557&amp;" ")-1),".")*1000,0),99999))</f>
        <v/>
      </c>
      <c r="CC557" s="3">
        <f>IF(R557="profesional",0,IF(O557&lt;CUOTA_VALOR_MAX,IF(AU557&gt;ITP_TRAMO_ALTO,SUMIFS(CF_CUOTA,CF_MAS,ITP_TRAMO_ALTO,CF_CCMIN,"&lt;="&amp;CB557,CF_CCMAX,"&gt;="&amp;CB557),IF(AU557&gt;ITP_TRAMO_BAJO,SUMIFS(CF_CUOTA,CF_MAS,ITP_TRAMO_BAJO,CF_CCMIN,"&lt;="&amp;CB557,CF_CCMAX,"&gt;="&amp;CB557),O557*ITP_TIPO)),O557*ITP_TIPO))</f>
        <v/>
      </c>
      <c r="CD557" s="4">
        <f>IF(R557="profesional",N(AK557),0)</f>
        <v/>
      </c>
      <c r="CE557" s="3">
        <f>IF(AND(R557="profesional",ISNUMBER(AK557),AL557="sí"),0,TASA_DGT)</f>
        <v/>
      </c>
      <c r="CF557" s="3">
        <f>INFORME_DGT</f>
        <v/>
      </c>
      <c r="CG557" s="4">
        <f>O557+CD557+CC557+CE557+CF557</f>
        <v/>
      </c>
      <c r="CH557" s="4">
        <f>CG557+N(BU557)</f>
        <v/>
      </c>
      <c r="CI557" s="3">
        <f>IF(CG557&lt;=TOTAL_MAX,"sí",IF(CG557&lt;=TOTAL_MAX+MARGEN_NEG,"negociar","no"))</f>
        <v/>
      </c>
      <c r="CJ557" s="4">
        <f>IF(CI557&lt;&gt;"no",COUNTIFS($CI$2:$CI$662,"&lt;&gt;no",$CA$2:$CA$662,"&gt;"&amp;CA557)+COUNTIFS($CI$2:CI557,"&lt;&gt;no",$CA$2:CA557,CA557),"")</f>
        <v/>
      </c>
    </row>
    <row r="558">
      <c r="A558" s="2" t="inlineStr">
        <is>
          <t>cochesnet:71445782</t>
        </is>
      </c>
      <c r="B558" s="2" t="inlineStr">
        <is>
          <t>cochesnet</t>
        </is>
      </c>
      <c r="C558" s="2" t="inlineStr">
        <is>
          <t>https://www.coches.net/mini-mini-one-3p-gasolina-2009-en-valencia-71445782-covo.aspx</t>
        </is>
      </c>
      <c r="D558" s="2" t="inlineStr">
        <is>
          <t>MINI MINI One</t>
        </is>
      </c>
      <c r="E558" s="2" t="inlineStr">
        <is>
          <t>MINI</t>
        </is>
      </c>
      <c r="F558" s="2" t="inlineStr">
        <is>
          <t>MINI MINI</t>
        </is>
      </c>
      <c r="G558" s="2" t="n"/>
      <c r="H558" s="2" t="inlineStr">
        <is>
          <t>One</t>
        </is>
      </c>
      <c r="I558" s="2" t="n"/>
      <c r="J558" s="2" t="n"/>
      <c r="K558" s="2" t="inlineStr">
        <is>
          <t>gasolina</t>
        </is>
      </c>
      <c r="L558" s="2" t="inlineStr">
        <is>
          <t>utilitario</t>
        </is>
      </c>
      <c r="M558" s="2" t="n">
        <v>2009</v>
      </c>
      <c r="N558" s="2" t="n">
        <v>154000</v>
      </c>
      <c r="O558" s="2" t="n">
        <v>4900</v>
      </c>
      <c r="P558" s="2" t="inlineStr">
        <is>
          <t>manual</t>
        </is>
      </c>
      <c r="Q558" s="2" t="inlineStr">
        <is>
          <t>no</t>
        </is>
      </c>
      <c r="R558" s="2" t="inlineStr">
        <is>
          <t>particular</t>
        </is>
      </c>
      <c r="S558" s="2" t="inlineStr">
        <is>
          <t>Torrent</t>
        </is>
      </c>
      <c r="T558" s="2" t="inlineStr">
        <is>
          <t>2026-09-05T08:26:45Z</t>
        </is>
      </c>
      <c r="U558" s="2" t="n">
        <v>11</v>
      </c>
      <c r="V558" s="2" t="n"/>
      <c r="W558" s="2" t="n"/>
      <c r="X558" s="2" t="n"/>
      <c r="Y558" s="2" t="n"/>
      <c r="Z558" s="2" t="inlineStr">
        <is>
          <t>no</t>
        </is>
      </c>
      <c r="AA558" s="2" t="n"/>
      <c r="AB558" s="2" t="n"/>
      <c r="AC558" s="2" t="n"/>
      <c r="AD558" s="2" t="n"/>
      <c r="AE558" s="2" t="n"/>
      <c r="AF558" s="2" t="n"/>
      <c r="AG558" s="2" t="n"/>
      <c r="AH558" s="2" t="n">
        <v>4900</v>
      </c>
      <c r="AI558" s="2" t="n"/>
      <c r="AJ558" s="2" t="n"/>
      <c r="AK558" s="2" t="n"/>
      <c r="AL558" s="2" t="n"/>
      <c r="AM558" s="2" t="n">
        <v>8.800000000000001</v>
      </c>
      <c r="AN558" s="2" t="n">
        <v>6000</v>
      </c>
      <c r="AO558" s="2" t="n">
        <v>9</v>
      </c>
      <c r="AP558" s="2" t="inlineStr">
        <is>
          <t>modelo+año+km</t>
        </is>
      </c>
      <c r="AQ558" s="2" t="n"/>
      <c r="AR558" s="2" t="inlineStr">
        <is>
          <t>por encima del presupuesto (5104 €), negociar; cilindrada desconocida: se aplica el tramo de cuota fija más alto; cuota fija ITP: &gt;12 años, más de 2.000 cc; fiabilidad del modelo PENDIENTE de fuente (puntuación neutra)</t>
        </is>
      </c>
      <c r="AS558" s="2" t="inlineStr">
        <is>
          <t>Vendo mi MINI One, un coche perfecto para quien busca un vehículo ágil, eficiente y con ese toque de personalidad que caracteriza a esta marca. Con un motor de 1598 cc y 98 CV, ofrece una conducción dinámica ideal tanto para la ciudad como para desplazamientos más largos, manteniendo un consumo contenido que te permitirá ahorrar en gasolina.
El estado general es bueno, tanto en el interior como en el exterior. Se trata de un berlina de tres puertas y cuatro plazas que ha sido cuidado y se mantiene en perfectas condiciones de funcionamiento. La transmisión manual te proporciona un control total de la conducción, algo que muchos conductores valoran especialmente.
Este MINI es una solución inteligente si necesitas un coche versátil, manejable y con ese carácter británico que la marca es capaz de transmitir. Su tamaño compacto facilita los aparcamientos en zonas urbanas, mientras que su potencia suficiente garantiza seguridad en carretera. Además, el color azul le da un aspecto atractivo y diferenciador.
Es un vehículo que sigue funcionando de forma fiable y que está listo para seguir dando muchos kilómetros más. Perfecto para quien busca un coche con personalidad sin renunciar a la practicidad.
Si tienes cualquier duda sobre aspectos específicos del vehículo o deseas conocer más detalles, no dudes en contactarme. Estoy disponible tanto por chat como por teléfono para resolver todas tus preguntas.
Contacta hoy mismo y ven a verlo. No lo dejes escapar.</t>
        </is>
      </c>
      <c r="AT558" s="2" t="inlineStr">
        <is>
          <t>https://www.coches.net/mini-mini-one-3p-gasolina-2009-en-valencia-71445782-covo.aspx (window.__INITIAL_PROPS__.ad) /home/user/Alopecia/buscador-coches/raw/cochesnet/6a28af587f21dbef.json</t>
        </is>
      </c>
      <c r="AU558" s="3">
        <f>MAX(ANIO_ACTUAL-M558,0)</f>
        <v/>
      </c>
      <c r="AV558" s="4">
        <f>N558/MAX(AU558,0.5)</f>
        <v/>
      </c>
      <c r="AW558" s="4">
        <f>F558</f>
        <v/>
      </c>
      <c r="AX558" s="3">
        <f>AW558&amp;"|"&amp;INT(M558/SEG_ANIO)*SEG_ANIO</f>
        <v/>
      </c>
      <c r="AY558" s="3">
        <f>AX558&amp;"|"&amp;INT(N558/SEG_KM)*SEG_KM</f>
        <v/>
      </c>
      <c r="AZ558" s="4">
        <f>COUNTIF($AW$2:$AW$662,AW558)</f>
        <v/>
      </c>
      <c r="BA558" s="4">
        <f>COUNTIF($AX$2:$AX$662,AX558)</f>
        <v/>
      </c>
      <c r="BB558" s="4">
        <f>COUNTIF($AY$2:$AY$662,AY558)</f>
        <v/>
      </c>
      <c r="BC558" s="3">
        <f t="array" ref="BC558">IF(N(AO558)&gt;=MIN_N,AN558,IF(BB558&gt;=MIN_N,MEDIAN(IF($AY$2:$AY$662=AY558,$O$2:$O$662)),IF(BA558&gt;=MIN_N,MEDIAN(IF($AX$2:$AX$662=AX558,$O$2:$O$662)),MEDIAN(IF($AW$2:$AW$662=AW558,$O$2:$O$662)))))</f>
        <v/>
      </c>
      <c r="BD558" s="3">
        <f>IF(N(AO558)&gt;=MIN_N,"mercado "&amp;AP558,IF(BB558&gt;=MIN_N,"modelo+año+km",IF(BA558&gt;=MIN_N,"modelo+año","modelo")))</f>
        <v/>
      </c>
      <c r="BE558" s="4">
        <f>(BC558-O558)/BC558</f>
        <v/>
      </c>
      <c r="BF558" s="3">
        <f>IF(OR(K558="hibrido",K558="glp"),"ECO",IF(K558="electrico","CERO",IF(K558="gasolina",IF(M558&gt;=GAS_C,"C",IF(M558&gt;=GAS_B,"B","A")),IF(K558="diesel",IF(M558&gt;=DIE_C,"C",IF(M558&gt;=DIE_B,"B","A")),""))))</f>
        <v/>
      </c>
      <c r="BG558" s="3">
        <f>IFERROR(VLOOKUP(F558,MOD_TBL,11,0),IFERROR(VLOOKUP(E558,OCU_TBL,2,0),NEUTRO))</f>
        <v/>
      </c>
      <c r="BH558" s="3">
        <f>SUMIFS(MOT_AJUSTE,MOT_MOTOR,G558,MOT_MARCA,E558,MOT_DESDE,"&lt;="&amp;M558,MOT_HASTA,"&gt;="&amp;M558)+SUMIFS(MOT_AJUSTE,MOT_MOTOR,G558,MOT_MARCA,"(todas)",MOT_DESDE,"&lt;="&amp;M558,MOT_HASTA,"&gt;="&amp;M558)</f>
        <v/>
      </c>
      <c r="BI558" s="3">
        <f>SUMIFS(COMB_AJUSTE,COMB_COMB,K558)</f>
        <v/>
      </c>
      <c r="BJ558" s="3">
        <f>COUNTIFS(MOT_MOTOR,G558,MOT_MARCA,E558,MOT_DESDE,"&lt;="&amp;M558,MOT_HASTA,"&gt;="&amp;M558)+COUNTIFS(MOT_MOTOR,G558,MOT_MARCA,"(todas)",MOT_DESDE,"&lt;="&amp;M558,MOT_HASTA,"&gt;="&amp;M558)</f>
        <v/>
      </c>
      <c r="BK558" s="3">
        <f>IF(AND(K558="diesel",BJ558=0),MIN(BG558,NEUTRO),BG558)</f>
        <v/>
      </c>
      <c r="BL558" s="4">
        <f>MAX(0,MIN(100,BK558+BH558+BI558))</f>
        <v/>
      </c>
      <c r="BM558" s="3">
        <f>MAX(0,MIN(100,50+BE558*PRECIO_PEND))</f>
        <v/>
      </c>
      <c r="BN558" s="3">
        <f>MAX(0,100*(1-N558/KM_MAX))</f>
        <v/>
      </c>
      <c r="BO558" s="3">
        <f>IF(AV558&lt;KMA_SOSP,IF(AA558="sí",100,KMA_PEN),IF(AV558&lt;=KMA_IDEAL_MAX,100,MAX(0,100*(KMA_CERO-AV558)/(KMA_CERO-KMA_IDEAL_MAX))))</f>
        <v/>
      </c>
      <c r="BP558" s="3">
        <f>MAX(0,MIN(100,100*(M558-ANIO_MIN)/(ANIO_ACTUAL-ANIO_MIN)))</f>
        <v/>
      </c>
      <c r="BQ558" s="3">
        <f>W_KMT*BN558+W_KMA*BO558+W_EDAD*BP558</f>
        <v/>
      </c>
      <c r="BR558" s="3">
        <f>P_ITV*(V558="sí")+P_LIBRO*(W558="sí")+P_CORREA*(X558="sí")+P_PROP*(Y558=1)+P_GAR*(Z558="sí")+P_FOTOS*MIN(1,N(U558)/FOTOS_OBJ)</f>
        <v/>
      </c>
      <c r="BS558" s="3">
        <f>IFERROR(VLOOKUP(BF558,ETQ_TBL,2,0),NEUTRO)</f>
        <v/>
      </c>
      <c r="BT558" s="3">
        <f>NEUTRO</f>
        <v/>
      </c>
      <c r="BU558" s="3">
        <f>IFERROR(VLOOKUP(L558,SEGURO_TBL,3,0),"")</f>
        <v/>
      </c>
      <c r="BV558" s="3">
        <f>IF(BU558="",NEUTRO,MAX(0,MIN(100,100*(SEG_REF_MAX-BU558)/(SEG_REF_MAX-SEG_REF_MIN))))</f>
        <v/>
      </c>
      <c r="BW558" s="3">
        <f>W_ET*BS558+W_CONS*BT558+W_SEG*BV558</f>
        <v/>
      </c>
      <c r="BX558" s="3">
        <f>IF(N(AB558)&gt;0,AB558,IF(AND(R558="profesional",SG_LEGAL_ON=1),GAR_LEGAL,0))</f>
        <v/>
      </c>
      <c r="BY558" s="3">
        <f>SG_GAR*MIN(1,BX558/SG_GAR_FULL)+SG_AMPL*(AC558="sí")+SG_KMC*(AF558="sí")+SG_REV*(N(AE558)&gt;0)+SG_DEV*MIN(1,N(AG558)/SG_DEV_FULL)+SG_HIST*(W558="sí")</f>
        <v/>
      </c>
      <c r="BZ558" s="3">
        <f>IFERROR(VLOOKUP(L558,CARR_PEN_TBL,2,0),0)</f>
        <v/>
      </c>
      <c r="CA558" s="3">
        <f>W_FIAB*BL558+W_PRECIO*BM558+W_KMEDAD*BQ558+W_ANUNCIO*BR558+W_USO*BW558+W_SEGURIDAD*BY558-BZ558</f>
        <v/>
      </c>
      <c r="CB558" s="4">
        <f>IF(N(I558)&gt;0,I558,IFERROR(ROUND(_xlfn.NUMBERVALUE(LEFT(G558,FIND(" ",G558&amp;" ")-1),".")*1000,0),99999))</f>
        <v/>
      </c>
      <c r="CC558" s="3">
        <f>IF(R558="profesional",0,IF(O558&lt;CUOTA_VALOR_MAX,IF(AU558&gt;ITP_TRAMO_ALTO,SUMIFS(CF_CUOTA,CF_MAS,ITP_TRAMO_ALTO,CF_CCMIN,"&lt;="&amp;CB558,CF_CCMAX,"&gt;="&amp;CB558),IF(AU558&gt;ITP_TRAMO_BAJO,SUMIFS(CF_CUOTA,CF_MAS,ITP_TRAMO_BAJO,CF_CCMIN,"&lt;="&amp;CB558,CF_CCMAX,"&gt;="&amp;CB558),O558*ITP_TIPO)),O558*ITP_TIPO))</f>
        <v/>
      </c>
      <c r="CD558" s="4">
        <f>IF(R558="profesional",N(AK558),0)</f>
        <v/>
      </c>
      <c r="CE558" s="3">
        <f>IF(AND(R558="profesional",ISNUMBER(AK558),AL558="sí"),0,TASA_DGT)</f>
        <v/>
      </c>
      <c r="CF558" s="3">
        <f>INFORME_DGT</f>
        <v/>
      </c>
      <c r="CG558" s="4">
        <f>O558+CD558+CC558+CE558+CF558</f>
        <v/>
      </c>
      <c r="CH558" s="4">
        <f>CG558+N(BU558)</f>
        <v/>
      </c>
      <c r="CI558" s="3">
        <f>IF(CG558&lt;=TOTAL_MAX,"sí",IF(CG558&lt;=TOTAL_MAX+MARGEN_NEG,"negociar","no"))</f>
        <v/>
      </c>
      <c r="CJ558" s="4">
        <f>IF(CI558&lt;&gt;"no",COUNTIFS($CI$2:$CI$662,"&lt;&gt;no",$CA$2:$CA$662,"&gt;"&amp;CA558)+COUNTIFS($CI$2:CI558,"&lt;&gt;no",$CA$2:CA558,CA558),"")</f>
        <v/>
      </c>
    </row>
    <row r="559">
      <c r="A559" s="2" t="inlineStr">
        <is>
          <t>cochesnet:71332504</t>
        </is>
      </c>
      <c r="B559" s="2" t="inlineStr">
        <is>
          <t>cochesnet</t>
        </is>
      </c>
      <c r="C559" s="2" t="inlineStr">
        <is>
          <t>https://www.coches.net/mini-mini-one-3p-gasolina-2009-en-valencia-71332504-covo.aspx</t>
        </is>
      </c>
      <c r="D559" s="2" t="inlineStr">
        <is>
          <t>MINI MINI One</t>
        </is>
      </c>
      <c r="E559" s="2" t="inlineStr">
        <is>
          <t>MINI</t>
        </is>
      </c>
      <c r="F559" s="2" t="inlineStr">
        <is>
          <t>MINI MINI</t>
        </is>
      </c>
      <c r="G559" s="2" t="n"/>
      <c r="H559" s="2" t="inlineStr">
        <is>
          <t>One</t>
        </is>
      </c>
      <c r="I559" s="2" t="n"/>
      <c r="J559" s="2" t="n"/>
      <c r="K559" s="2" t="inlineStr">
        <is>
          <t>gasolina</t>
        </is>
      </c>
      <c r="L559" s="2" t="inlineStr">
        <is>
          <t>utilitario</t>
        </is>
      </c>
      <c r="M559" s="2" t="n">
        <v>2009</v>
      </c>
      <c r="N559" s="2" t="n">
        <v>116000</v>
      </c>
      <c r="O559" s="2" t="n">
        <v>4990</v>
      </c>
      <c r="P559" s="2" t="inlineStr">
        <is>
          <t>manual</t>
        </is>
      </c>
      <c r="Q559" s="2" t="inlineStr">
        <is>
          <t>no</t>
        </is>
      </c>
      <c r="R559" s="2" t="inlineStr">
        <is>
          <t>profesional</t>
        </is>
      </c>
      <c r="S559" s="2" t="inlineStr">
        <is>
          <t>Asatryan Motors Godelleta</t>
        </is>
      </c>
      <c r="T559" s="2" t="inlineStr">
        <is>
          <t>2026-08-20T16:10:22Z</t>
        </is>
      </c>
      <c r="U559" s="2" t="n">
        <v>8</v>
      </c>
      <c r="V559" s="2" t="inlineStr">
        <is>
          <t>sí</t>
        </is>
      </c>
      <c r="W559" s="2" t="n"/>
      <c r="X559" s="2" t="n"/>
      <c r="Y559" s="2" t="n"/>
      <c r="Z559" s="2" t="inlineStr">
        <is>
          <t>sí</t>
        </is>
      </c>
      <c r="AA559" s="2" t="n"/>
      <c r="AB559" s="2" t="n">
        <v>12</v>
      </c>
      <c r="AC559" s="2" t="n"/>
      <c r="AD559" s="2" t="n"/>
      <c r="AE559" s="2" t="n"/>
      <c r="AF559" s="2" t="n"/>
      <c r="AG559" s="2" t="n"/>
      <c r="AH559" s="2" t="n">
        <v>4990</v>
      </c>
      <c r="AI559" s="2" t="n"/>
      <c r="AJ559" s="2" t="n"/>
      <c r="AK559" s="2" t="n"/>
      <c r="AL559" s="2" t="n"/>
      <c r="AM559" s="2" t="n">
        <v>27.2</v>
      </c>
      <c r="AN559" s="2" t="n">
        <v>6300</v>
      </c>
      <c r="AO559" s="2" t="n">
        <v>19</v>
      </c>
      <c r="AP559" s="2" t="inlineStr">
        <is>
          <t>modelo+año+km</t>
        </is>
      </c>
      <c r="AQ559" s="2" t="n"/>
      <c r="AR559"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559" s="2" t="inlineStr">
        <is>
          <t>MINI One | Año 2009 | 119.000 km | 75 CV
Vehículo en buen estado tanto interior como exterior, con 119.000 km e ITV recién pasada.
Equipa motor de 75 CV, una configuración ideal para el uso diario, especialmente en ciudad, gracias a su tamaño compacto, facilidad de conducción y consumo contenido.
Un MINI práctico, ágil y con el diseño característico de la marca, perfecto para quienes buscan un vehículo pequeño, cómodo y fácil de manejar.
Se aceptan cualquier tipo de pruebas mecánicas.
Solo para personas seriamente interesadas!
Instagram: @Asatryan_motors
TikTok: @AsatryanMotors</t>
        </is>
      </c>
      <c r="AT559" s="2" t="inlineStr">
        <is>
          <t>https://www.coches.net/mini-mini-one-3p-gasolina-2009-en-valencia-71332504-covo.aspx (window.__INITIAL_PROPS__.ad) /home/user/Alopecia/buscador-coches/raw/cochesnet/31604d79e7744ebf.json</t>
        </is>
      </c>
      <c r="AU559" s="3">
        <f>MAX(ANIO_ACTUAL-M559,0)</f>
        <v/>
      </c>
      <c r="AV559" s="4">
        <f>N559/MAX(AU559,0.5)</f>
        <v/>
      </c>
      <c r="AW559" s="4">
        <f>F559</f>
        <v/>
      </c>
      <c r="AX559" s="3">
        <f>AW559&amp;"|"&amp;INT(M559/SEG_ANIO)*SEG_ANIO</f>
        <v/>
      </c>
      <c r="AY559" s="3">
        <f>AX559&amp;"|"&amp;INT(N559/SEG_KM)*SEG_KM</f>
        <v/>
      </c>
      <c r="AZ559" s="4">
        <f>COUNTIF($AW$2:$AW$662,AW559)</f>
        <v/>
      </c>
      <c r="BA559" s="4">
        <f>COUNTIF($AX$2:$AX$662,AX559)</f>
        <v/>
      </c>
      <c r="BB559" s="4">
        <f>COUNTIF($AY$2:$AY$662,AY559)</f>
        <v/>
      </c>
      <c r="BC559" s="3">
        <f t="array" ref="BC559">IF(N(AO559)&gt;=MIN_N,AN559,IF(BB559&gt;=MIN_N,MEDIAN(IF($AY$2:$AY$662=AY559,$O$2:$O$662)),IF(BA559&gt;=MIN_N,MEDIAN(IF($AX$2:$AX$662=AX559,$O$2:$O$662)),MEDIAN(IF($AW$2:$AW$662=AW559,$O$2:$O$662)))))</f>
        <v/>
      </c>
      <c r="BD559" s="3">
        <f>IF(N(AO559)&gt;=MIN_N,"mercado "&amp;AP559,IF(BB559&gt;=MIN_N,"modelo+año+km",IF(BA559&gt;=MIN_N,"modelo+año","modelo")))</f>
        <v/>
      </c>
      <c r="BE559" s="4">
        <f>(BC559-O559)/BC559</f>
        <v/>
      </c>
      <c r="BF559" s="3">
        <f>IF(OR(K559="hibrido",K559="glp"),"ECO",IF(K559="electrico","CERO",IF(K559="gasolina",IF(M559&gt;=GAS_C,"C",IF(M559&gt;=GAS_B,"B","A")),IF(K559="diesel",IF(M559&gt;=DIE_C,"C",IF(M559&gt;=DIE_B,"B","A")),""))))</f>
        <v/>
      </c>
      <c r="BG559" s="3">
        <f>IFERROR(VLOOKUP(F559,MOD_TBL,11,0),IFERROR(VLOOKUP(E559,OCU_TBL,2,0),NEUTRO))</f>
        <v/>
      </c>
      <c r="BH559" s="3">
        <f>SUMIFS(MOT_AJUSTE,MOT_MOTOR,G559,MOT_MARCA,E559,MOT_DESDE,"&lt;="&amp;M559,MOT_HASTA,"&gt;="&amp;M559)+SUMIFS(MOT_AJUSTE,MOT_MOTOR,G559,MOT_MARCA,"(todas)",MOT_DESDE,"&lt;="&amp;M559,MOT_HASTA,"&gt;="&amp;M559)</f>
        <v/>
      </c>
      <c r="BI559" s="3">
        <f>SUMIFS(COMB_AJUSTE,COMB_COMB,K559)</f>
        <v/>
      </c>
      <c r="BJ559" s="3">
        <f>COUNTIFS(MOT_MOTOR,G559,MOT_MARCA,E559,MOT_DESDE,"&lt;="&amp;M559,MOT_HASTA,"&gt;="&amp;M559)+COUNTIFS(MOT_MOTOR,G559,MOT_MARCA,"(todas)",MOT_DESDE,"&lt;="&amp;M559,MOT_HASTA,"&gt;="&amp;M559)</f>
        <v/>
      </c>
      <c r="BK559" s="3">
        <f>IF(AND(K559="diesel",BJ559=0),MIN(BG559,NEUTRO),BG559)</f>
        <v/>
      </c>
      <c r="BL559" s="4">
        <f>MAX(0,MIN(100,BK559+BH559+BI559))</f>
        <v/>
      </c>
      <c r="BM559" s="3">
        <f>MAX(0,MIN(100,50+BE559*PRECIO_PEND))</f>
        <v/>
      </c>
      <c r="BN559" s="3">
        <f>MAX(0,100*(1-N559/KM_MAX))</f>
        <v/>
      </c>
      <c r="BO559" s="3">
        <f>IF(AV559&lt;KMA_SOSP,IF(AA559="sí",100,KMA_PEN),IF(AV559&lt;=KMA_IDEAL_MAX,100,MAX(0,100*(KMA_CERO-AV559)/(KMA_CERO-KMA_IDEAL_MAX))))</f>
        <v/>
      </c>
      <c r="BP559" s="3">
        <f>MAX(0,MIN(100,100*(M559-ANIO_MIN)/(ANIO_ACTUAL-ANIO_MIN)))</f>
        <v/>
      </c>
      <c r="BQ559" s="3">
        <f>W_KMT*BN559+W_KMA*BO559+W_EDAD*BP559</f>
        <v/>
      </c>
      <c r="BR559" s="3">
        <f>P_ITV*(V559="sí")+P_LIBRO*(W559="sí")+P_CORREA*(X559="sí")+P_PROP*(Y559=1)+P_GAR*(Z559="sí")+P_FOTOS*MIN(1,N(U559)/FOTOS_OBJ)</f>
        <v/>
      </c>
      <c r="BS559" s="3">
        <f>IFERROR(VLOOKUP(BF559,ETQ_TBL,2,0),NEUTRO)</f>
        <v/>
      </c>
      <c r="BT559" s="3">
        <f>NEUTRO</f>
        <v/>
      </c>
      <c r="BU559" s="3">
        <f>IFERROR(VLOOKUP(L559,SEGURO_TBL,3,0),"")</f>
        <v/>
      </c>
      <c r="BV559" s="3">
        <f>IF(BU559="",NEUTRO,MAX(0,MIN(100,100*(SEG_REF_MAX-BU559)/(SEG_REF_MAX-SEG_REF_MIN))))</f>
        <v/>
      </c>
      <c r="BW559" s="3">
        <f>W_ET*BS559+W_CONS*BT559+W_SEG*BV559</f>
        <v/>
      </c>
      <c r="BX559" s="3">
        <f>IF(N(AB559)&gt;0,AB559,IF(AND(R559="profesional",SG_LEGAL_ON=1),GAR_LEGAL,0))</f>
        <v/>
      </c>
      <c r="BY559" s="3">
        <f>SG_GAR*MIN(1,BX559/SG_GAR_FULL)+SG_AMPL*(AC559="sí")+SG_KMC*(AF559="sí")+SG_REV*(N(AE559)&gt;0)+SG_DEV*MIN(1,N(AG559)/SG_DEV_FULL)+SG_HIST*(W559="sí")</f>
        <v/>
      </c>
      <c r="BZ559" s="3">
        <f>IFERROR(VLOOKUP(L559,CARR_PEN_TBL,2,0),0)</f>
        <v/>
      </c>
      <c r="CA559" s="3">
        <f>W_FIAB*BL559+W_PRECIO*BM559+W_KMEDAD*BQ559+W_ANUNCIO*BR559+W_USO*BW559+W_SEGURIDAD*BY559-BZ559</f>
        <v/>
      </c>
      <c r="CB559" s="4">
        <f>IF(N(I559)&gt;0,I559,IFERROR(ROUND(_xlfn.NUMBERVALUE(LEFT(G559,FIND(" ",G559&amp;" ")-1),".")*1000,0),99999))</f>
        <v/>
      </c>
      <c r="CC559" s="3">
        <f>IF(R559="profesional",0,IF(O559&lt;CUOTA_VALOR_MAX,IF(AU559&gt;ITP_TRAMO_ALTO,SUMIFS(CF_CUOTA,CF_MAS,ITP_TRAMO_ALTO,CF_CCMIN,"&lt;="&amp;CB559,CF_CCMAX,"&gt;="&amp;CB559),IF(AU559&gt;ITP_TRAMO_BAJO,SUMIFS(CF_CUOTA,CF_MAS,ITP_TRAMO_BAJO,CF_CCMIN,"&lt;="&amp;CB559,CF_CCMAX,"&gt;="&amp;CB559),O559*ITP_TIPO)),O559*ITP_TIPO))</f>
        <v/>
      </c>
      <c r="CD559" s="4">
        <f>IF(R559="profesional",N(AK559),0)</f>
        <v/>
      </c>
      <c r="CE559" s="3">
        <f>IF(AND(R559="profesional",ISNUMBER(AK559),AL559="sí"),0,TASA_DGT)</f>
        <v/>
      </c>
      <c r="CF559" s="3">
        <f>INFORME_DGT</f>
        <v/>
      </c>
      <c r="CG559" s="4">
        <f>O559+CD559+CC559+CE559+CF559</f>
        <v/>
      </c>
      <c r="CH559" s="4">
        <f>CG559+N(BU559)</f>
        <v/>
      </c>
      <c r="CI559" s="3">
        <f>IF(CG559&lt;=TOTAL_MAX,"sí",IF(CG559&lt;=TOTAL_MAX+MARGEN_NEG,"negociar","no"))</f>
        <v/>
      </c>
      <c r="CJ559" s="4">
        <f>IF(CI559&lt;&gt;"no",COUNTIFS($CI$2:$CI$662,"&lt;&gt;no",$CA$2:$CA$662,"&gt;"&amp;CA559)+COUNTIFS($CI$2:CI559,"&lt;&gt;no",$CA$2:CA559,CA559),"")</f>
        <v/>
      </c>
    </row>
    <row r="560">
      <c r="A560" s="2" t="inlineStr">
        <is>
          <t>cochesnet:71026453</t>
        </is>
      </c>
      <c r="B560" s="2" t="inlineStr">
        <is>
          <t>cochesnet</t>
        </is>
      </c>
      <c r="C560" s="2" t="inlineStr">
        <is>
          <t>https://www.coches.net/mini-mini-gasolina-2007-en-valencia-71026453-covo.aspx</t>
        </is>
      </c>
      <c r="D560" s="2" t="inlineStr">
        <is>
          <t>MINI MINI</t>
        </is>
      </c>
      <c r="E560" s="2" t="inlineStr">
        <is>
          <t>MINI</t>
        </is>
      </c>
      <c r="F560" s="2" t="inlineStr">
        <is>
          <t>MINI MINI</t>
        </is>
      </c>
      <c r="G560" s="2" t="n"/>
      <c r="H560" s="2" t="n"/>
      <c r="I560" s="2" t="n"/>
      <c r="J560" s="2" t="n"/>
      <c r="K560" s="2" t="inlineStr">
        <is>
          <t>gasolina</t>
        </is>
      </c>
      <c r="L560" s="2" t="inlineStr">
        <is>
          <t>utilitario</t>
        </is>
      </c>
      <c r="M560" s="2" t="n">
        <v>2007</v>
      </c>
      <c r="N560" s="2" t="n">
        <v>200000</v>
      </c>
      <c r="O560" s="2" t="n">
        <v>3200</v>
      </c>
      <c r="P560" s="2" t="inlineStr">
        <is>
          <t>manual</t>
        </is>
      </c>
      <c r="Q560" s="2" t="inlineStr">
        <is>
          <t>no</t>
        </is>
      </c>
      <c r="R560" s="2" t="inlineStr">
        <is>
          <t>particular</t>
        </is>
      </c>
      <c r="S560" s="2" t="n"/>
      <c r="T560" s="2" t="inlineStr">
        <is>
          <t>2026-07-08T19:01:10Z</t>
        </is>
      </c>
      <c r="U560" s="2" t="n">
        <v>4</v>
      </c>
      <c r="V560" s="2" t="n"/>
      <c r="W560" s="2" t="n"/>
      <c r="X560" s="2" t="n"/>
      <c r="Y560" s="2" t="n"/>
      <c r="Z560" s="2" t="inlineStr">
        <is>
          <t>no</t>
        </is>
      </c>
      <c r="AA560" s="2" t="n"/>
      <c r="AB560" s="2" t="n"/>
      <c r="AC560" s="2" t="n"/>
      <c r="AD560" s="2" t="n"/>
      <c r="AE560" s="2" t="n"/>
      <c r="AF560" s="2" t="n"/>
      <c r="AG560" s="2" t="n"/>
      <c r="AH560" s="2" t="n">
        <v>3200</v>
      </c>
      <c r="AI560" s="2" t="n"/>
      <c r="AJ560" s="2" t="n"/>
      <c r="AK560" s="2" t="n"/>
      <c r="AL560" s="2" t="n"/>
      <c r="AM560" s="2" t="n"/>
      <c r="AN560" s="2" t="n">
        <v>4200</v>
      </c>
      <c r="AO560" s="2" t="n">
        <v>7</v>
      </c>
      <c r="AP560" s="2" t="inlineStr">
        <is>
          <t>modelo+año+km</t>
        </is>
      </c>
      <c r="AQ560" s="2" t="n"/>
      <c r="AR560"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60" s="2" t="inlineStr">
        <is>
          <t>Todo en regla perfecto para uso diario.</t>
        </is>
      </c>
      <c r="AT560" s="2" t="inlineStr">
        <is>
          <t>https://www.coches.net/mini-mini-gasolina-2007-en-valencia-71026453-covo.aspx (window.__INITIAL_PROPS__.ad) /home/user/Alopecia/buscador-coches/raw/cochesnet/06d1dce821b56be1.json</t>
        </is>
      </c>
      <c r="AU560" s="3">
        <f>MAX(ANIO_ACTUAL-M560,0)</f>
        <v/>
      </c>
      <c r="AV560" s="4">
        <f>N560/MAX(AU560,0.5)</f>
        <v/>
      </c>
      <c r="AW560" s="4">
        <f>F560</f>
        <v/>
      </c>
      <c r="AX560" s="3">
        <f>AW560&amp;"|"&amp;INT(M560/SEG_ANIO)*SEG_ANIO</f>
        <v/>
      </c>
      <c r="AY560" s="3">
        <f>AX560&amp;"|"&amp;INT(N560/SEG_KM)*SEG_KM</f>
        <v/>
      </c>
      <c r="AZ560" s="4">
        <f>COUNTIF($AW$2:$AW$662,AW560)</f>
        <v/>
      </c>
      <c r="BA560" s="4">
        <f>COUNTIF($AX$2:$AX$662,AX560)</f>
        <v/>
      </c>
      <c r="BB560" s="4">
        <f>COUNTIF($AY$2:$AY$662,AY560)</f>
        <v/>
      </c>
      <c r="BC560" s="3">
        <f t="array" ref="BC560">IF(N(AO560)&gt;=MIN_N,AN560,IF(BB560&gt;=MIN_N,MEDIAN(IF($AY$2:$AY$662=AY560,$O$2:$O$662)),IF(BA560&gt;=MIN_N,MEDIAN(IF($AX$2:$AX$662=AX560,$O$2:$O$662)),MEDIAN(IF($AW$2:$AW$662=AW560,$O$2:$O$662)))))</f>
        <v/>
      </c>
      <c r="BD560" s="3">
        <f>IF(N(AO560)&gt;=MIN_N,"mercado "&amp;AP560,IF(BB560&gt;=MIN_N,"modelo+año+km",IF(BA560&gt;=MIN_N,"modelo+año","modelo")))</f>
        <v/>
      </c>
      <c r="BE560" s="4">
        <f>(BC560-O560)/BC560</f>
        <v/>
      </c>
      <c r="BF560" s="3">
        <f>IF(OR(K560="hibrido",K560="glp"),"ECO",IF(K560="electrico","CERO",IF(K560="gasolina",IF(M560&gt;=GAS_C,"C",IF(M560&gt;=GAS_B,"B","A")),IF(K560="diesel",IF(M560&gt;=DIE_C,"C",IF(M560&gt;=DIE_B,"B","A")),""))))</f>
        <v/>
      </c>
      <c r="BG560" s="3">
        <f>IFERROR(VLOOKUP(F560,MOD_TBL,11,0),IFERROR(VLOOKUP(E560,OCU_TBL,2,0),NEUTRO))</f>
        <v/>
      </c>
      <c r="BH560" s="3">
        <f>SUMIFS(MOT_AJUSTE,MOT_MOTOR,G560,MOT_MARCA,E560,MOT_DESDE,"&lt;="&amp;M560,MOT_HASTA,"&gt;="&amp;M560)+SUMIFS(MOT_AJUSTE,MOT_MOTOR,G560,MOT_MARCA,"(todas)",MOT_DESDE,"&lt;="&amp;M560,MOT_HASTA,"&gt;="&amp;M560)</f>
        <v/>
      </c>
      <c r="BI560" s="3">
        <f>SUMIFS(COMB_AJUSTE,COMB_COMB,K560)</f>
        <v/>
      </c>
      <c r="BJ560" s="3">
        <f>COUNTIFS(MOT_MOTOR,G560,MOT_MARCA,E560,MOT_DESDE,"&lt;="&amp;M560,MOT_HASTA,"&gt;="&amp;M560)+COUNTIFS(MOT_MOTOR,G560,MOT_MARCA,"(todas)",MOT_DESDE,"&lt;="&amp;M560,MOT_HASTA,"&gt;="&amp;M560)</f>
        <v/>
      </c>
      <c r="BK560" s="3">
        <f>IF(AND(K560="diesel",BJ560=0),MIN(BG560,NEUTRO),BG560)</f>
        <v/>
      </c>
      <c r="BL560" s="4">
        <f>MAX(0,MIN(100,BK560+BH560+BI560))</f>
        <v/>
      </c>
      <c r="BM560" s="3">
        <f>MAX(0,MIN(100,50+BE560*PRECIO_PEND))</f>
        <v/>
      </c>
      <c r="BN560" s="3">
        <f>MAX(0,100*(1-N560/KM_MAX))</f>
        <v/>
      </c>
      <c r="BO560" s="3">
        <f>IF(AV560&lt;KMA_SOSP,IF(AA560="sí",100,KMA_PEN),IF(AV560&lt;=KMA_IDEAL_MAX,100,MAX(0,100*(KMA_CERO-AV560)/(KMA_CERO-KMA_IDEAL_MAX))))</f>
        <v/>
      </c>
      <c r="BP560" s="3">
        <f>MAX(0,MIN(100,100*(M560-ANIO_MIN)/(ANIO_ACTUAL-ANIO_MIN)))</f>
        <v/>
      </c>
      <c r="BQ560" s="3">
        <f>W_KMT*BN560+W_KMA*BO560+W_EDAD*BP560</f>
        <v/>
      </c>
      <c r="BR560" s="3">
        <f>P_ITV*(V560="sí")+P_LIBRO*(W560="sí")+P_CORREA*(X560="sí")+P_PROP*(Y560=1)+P_GAR*(Z560="sí")+P_FOTOS*MIN(1,N(U560)/FOTOS_OBJ)</f>
        <v/>
      </c>
      <c r="BS560" s="3">
        <f>IFERROR(VLOOKUP(BF560,ETQ_TBL,2,0),NEUTRO)</f>
        <v/>
      </c>
      <c r="BT560" s="3">
        <f>NEUTRO</f>
        <v/>
      </c>
      <c r="BU560" s="3">
        <f>IFERROR(VLOOKUP(L560,SEGURO_TBL,3,0),"")</f>
        <v/>
      </c>
      <c r="BV560" s="3">
        <f>IF(BU560="",NEUTRO,MAX(0,MIN(100,100*(SEG_REF_MAX-BU560)/(SEG_REF_MAX-SEG_REF_MIN))))</f>
        <v/>
      </c>
      <c r="BW560" s="3">
        <f>W_ET*BS560+W_CONS*BT560+W_SEG*BV560</f>
        <v/>
      </c>
      <c r="BX560" s="3">
        <f>IF(N(AB560)&gt;0,AB560,IF(AND(R560="profesional",SG_LEGAL_ON=1),GAR_LEGAL,0))</f>
        <v/>
      </c>
      <c r="BY560" s="3">
        <f>SG_GAR*MIN(1,BX560/SG_GAR_FULL)+SG_AMPL*(AC560="sí")+SG_KMC*(AF560="sí")+SG_REV*(N(AE560)&gt;0)+SG_DEV*MIN(1,N(AG560)/SG_DEV_FULL)+SG_HIST*(W560="sí")</f>
        <v/>
      </c>
      <c r="BZ560" s="3">
        <f>IFERROR(VLOOKUP(L560,CARR_PEN_TBL,2,0),0)</f>
        <v/>
      </c>
      <c r="CA560" s="3">
        <f>W_FIAB*BL560+W_PRECIO*BM560+W_KMEDAD*BQ560+W_ANUNCIO*BR560+W_USO*BW560+W_SEGURIDAD*BY560-BZ560</f>
        <v/>
      </c>
      <c r="CB560" s="4">
        <f>IF(N(I560)&gt;0,I560,IFERROR(ROUND(_xlfn.NUMBERVALUE(LEFT(G560,FIND(" ",G560&amp;" ")-1),".")*1000,0),99999))</f>
        <v/>
      </c>
      <c r="CC560" s="3">
        <f>IF(R560="profesional",0,IF(O560&lt;CUOTA_VALOR_MAX,IF(AU560&gt;ITP_TRAMO_ALTO,SUMIFS(CF_CUOTA,CF_MAS,ITP_TRAMO_ALTO,CF_CCMIN,"&lt;="&amp;CB560,CF_CCMAX,"&gt;="&amp;CB560),IF(AU560&gt;ITP_TRAMO_BAJO,SUMIFS(CF_CUOTA,CF_MAS,ITP_TRAMO_BAJO,CF_CCMIN,"&lt;="&amp;CB560,CF_CCMAX,"&gt;="&amp;CB560),O560*ITP_TIPO)),O560*ITP_TIPO))</f>
        <v/>
      </c>
      <c r="CD560" s="4">
        <f>IF(R560="profesional",N(AK560),0)</f>
        <v/>
      </c>
      <c r="CE560" s="3">
        <f>IF(AND(R560="profesional",ISNUMBER(AK560),AL560="sí"),0,TASA_DGT)</f>
        <v/>
      </c>
      <c r="CF560" s="3">
        <f>INFORME_DGT</f>
        <v/>
      </c>
      <c r="CG560" s="4">
        <f>O560+CD560+CC560+CE560+CF560</f>
        <v/>
      </c>
      <c r="CH560" s="4">
        <f>CG560+N(BU560)</f>
        <v/>
      </c>
      <c r="CI560" s="3">
        <f>IF(CG560&lt;=TOTAL_MAX,"sí",IF(CG560&lt;=TOTAL_MAX+MARGEN_NEG,"negociar","no"))</f>
        <v/>
      </c>
      <c r="CJ560" s="4">
        <f>IF(CI560&lt;&gt;"no",COUNTIFS($CI$2:$CI$662,"&lt;&gt;no",$CA$2:$CA$662,"&gt;"&amp;CA560)+COUNTIFS($CI$2:CI560,"&lt;&gt;no",$CA$2:CA560,CA560),"")</f>
        <v/>
      </c>
    </row>
    <row r="561">
      <c r="A561" s="2" t="inlineStr">
        <is>
          <t>cochesnet:71527060</t>
        </is>
      </c>
      <c r="B561" s="2" t="inlineStr">
        <is>
          <t>cochesnet</t>
        </is>
      </c>
      <c r="C561" s="2" t="inlineStr">
        <is>
          <t>https://www.coches.net/chevrolet-aveo-12-16v-ls-5p-gasolina-2010-en-valencia-71527060-covo.aspx</t>
        </is>
      </c>
      <c r="D561" s="2" t="inlineStr">
        <is>
          <t>CHEVROLET Aveo 1.2 16v LS</t>
        </is>
      </c>
      <c r="E561" s="2" t="inlineStr">
        <is>
          <t>Chevrolet</t>
        </is>
      </c>
      <c r="F561" s="2" t="inlineStr">
        <is>
          <t>Chevrolet Aveo</t>
        </is>
      </c>
      <c r="G561" s="2" t="inlineStr">
        <is>
          <t>1.2</t>
        </is>
      </c>
      <c r="H561" s="2" t="inlineStr">
        <is>
          <t>1.2 16v LS</t>
        </is>
      </c>
      <c r="I561" s="2" t="n"/>
      <c r="J561" s="2" t="n"/>
      <c r="K561" s="2" t="inlineStr">
        <is>
          <t>gasolina</t>
        </is>
      </c>
      <c r="L561" s="2" t="inlineStr">
        <is>
          <t>utilitario</t>
        </is>
      </c>
      <c r="M561" s="2" t="n">
        <v>2010</v>
      </c>
      <c r="N561" s="2" t="n">
        <v>68000</v>
      </c>
      <c r="O561" s="2" t="n">
        <v>4990</v>
      </c>
      <c r="P561" s="2" t="inlineStr">
        <is>
          <t>manual</t>
        </is>
      </c>
      <c r="Q561" s="2" t="inlineStr">
        <is>
          <t>no</t>
        </is>
      </c>
      <c r="R561" s="2" t="inlineStr">
        <is>
          <t>profesional</t>
        </is>
      </c>
      <c r="S561" s="2" t="inlineStr">
        <is>
          <t>JM Automóviles Alboraya</t>
        </is>
      </c>
      <c r="T561" s="2" t="inlineStr">
        <is>
          <t>2026-09-16T13:30:54Z</t>
        </is>
      </c>
      <c r="U561" s="2" t="n">
        <v>11</v>
      </c>
      <c r="V561" s="2" t="n"/>
      <c r="W561" s="2" t="n"/>
      <c r="X561" s="2" t="n"/>
      <c r="Y561" s="2" t="n"/>
      <c r="Z561" s="2" t="inlineStr">
        <is>
          <t>sí</t>
        </is>
      </c>
      <c r="AA561" s="2" t="n"/>
      <c r="AB561" s="2" t="n">
        <v>12</v>
      </c>
      <c r="AC561" s="2" t="n"/>
      <c r="AD561" s="2" t="n"/>
      <c r="AE561" s="2" t="n"/>
      <c r="AF561" s="2" t="n"/>
      <c r="AG561" s="2" t="n"/>
      <c r="AH561" s="2" t="n">
        <v>4990</v>
      </c>
      <c r="AI561" s="2" t="n">
        <v>4990</v>
      </c>
      <c r="AJ561" s="2" t="n"/>
      <c r="AK561" s="2" t="n"/>
      <c r="AL561" s="2" t="n"/>
      <c r="AM561" s="2" t="n">
        <v>4</v>
      </c>
      <c r="AN561" s="2" t="n">
        <v>4990</v>
      </c>
      <c r="AO561" s="2" t="n">
        <v>5</v>
      </c>
      <c r="AP561" s="2" t="inlineStr">
        <is>
          <t>modelo+año+km</t>
        </is>
      </c>
      <c r="AQ561" s="2" t="n"/>
      <c r="AR561" s="2" t="inlineStr">
        <is>
          <t>por encima del presupuesto (5054 €), negociar; vendedor profesional: sin ITP (operación con IVA/REBU, confirmar en factura); gastos de gestión del vendedor no indicados: se suma la tasa DGT; preguntar el precio final; fiabilidad del modelo PENDIENTE de fuente (puntuación neutra)</t>
        </is>
      </c>
      <c r="AS561" s="2" t="inlineStr">
        <is>
          <t>CHEVROLET AVEO 1.2 LS – 2010 – 68.000 KM
Chevrolet Aveo del 2010, con motor 1.2 gasolina y tan solo 68.000 km. Un utilitario práctico, económico y sencillo, ideal para el día a día y especialmente cómodo para moverse por ciudad.
DATOS PRINCIPALES
* Año: 2010
* Combustible: Gasolina
* Motor: 1.2
* Kilómetros: 68.000 km
* Acabado: LS
* Cambio: Manual
* Listo para entregar
EQUIPAMIENTO DESTACADO
* Aire acondicionado
* Radio CD
* Volante multifunción
* Elevalunas eléctricos
* Cierre centralizado
* Dirección asistida
* Faros antiniebla
* ABS
* ISOFIX
LO MEJOR
* Solo 68.000 km
* Motor 1.2 gasolina
* Acabado LS
* Año 2010
* Utilitario práctico y económico
* Ideal para ciudad
* Bajo coste de mantenimiento
Vehículo en buen estado general, cuidado y listo para su entrega.</t>
        </is>
      </c>
      <c r="AT561" s="2" t="inlineStr">
        <is>
          <t>https://www.coches.net/chevrolet-aveo-12-16v-ls-5p-gasolina-2010-en-valencia-71527060-covo.aspx (window.__INITIAL_PROPS__.ad) /home/user/Alopecia/buscador-coches/raw/cochesnet/4458a67ba758ba74.json</t>
        </is>
      </c>
      <c r="AU561" s="3">
        <f>MAX(ANIO_ACTUAL-M561,0)</f>
        <v/>
      </c>
      <c r="AV561" s="4">
        <f>N561/MAX(AU561,0.5)</f>
        <v/>
      </c>
      <c r="AW561" s="4">
        <f>F561</f>
        <v/>
      </c>
      <c r="AX561" s="3">
        <f>AW561&amp;"|"&amp;INT(M561/SEG_ANIO)*SEG_ANIO</f>
        <v/>
      </c>
      <c r="AY561" s="3">
        <f>AX561&amp;"|"&amp;INT(N561/SEG_KM)*SEG_KM</f>
        <v/>
      </c>
      <c r="AZ561" s="4">
        <f>COUNTIF($AW$2:$AW$662,AW561)</f>
        <v/>
      </c>
      <c r="BA561" s="4">
        <f>COUNTIF($AX$2:$AX$662,AX561)</f>
        <v/>
      </c>
      <c r="BB561" s="4">
        <f>COUNTIF($AY$2:$AY$662,AY561)</f>
        <v/>
      </c>
      <c r="BC561" s="3">
        <f t="array" ref="BC561">IF(N(AO561)&gt;=MIN_N,AN561,IF(BB561&gt;=MIN_N,MEDIAN(IF($AY$2:$AY$662=AY561,$O$2:$O$662)),IF(BA561&gt;=MIN_N,MEDIAN(IF($AX$2:$AX$662=AX561,$O$2:$O$662)),MEDIAN(IF($AW$2:$AW$662=AW561,$O$2:$O$662)))))</f>
        <v/>
      </c>
      <c r="BD561" s="3">
        <f>IF(N(AO561)&gt;=MIN_N,"mercado "&amp;AP561,IF(BB561&gt;=MIN_N,"modelo+año+km",IF(BA561&gt;=MIN_N,"modelo+año","modelo")))</f>
        <v/>
      </c>
      <c r="BE561" s="4">
        <f>(BC561-O561)/BC561</f>
        <v/>
      </c>
      <c r="BF561" s="3">
        <f>IF(OR(K561="hibrido",K561="glp"),"ECO",IF(K561="electrico","CERO",IF(K561="gasolina",IF(M561&gt;=GAS_C,"C",IF(M561&gt;=GAS_B,"B","A")),IF(K561="diesel",IF(M561&gt;=DIE_C,"C",IF(M561&gt;=DIE_B,"B","A")),""))))</f>
        <v/>
      </c>
      <c r="BG561" s="3">
        <f>IFERROR(VLOOKUP(F561,MOD_TBL,11,0),IFERROR(VLOOKUP(E561,OCU_TBL,2,0),NEUTRO))</f>
        <v/>
      </c>
      <c r="BH561" s="3">
        <f>SUMIFS(MOT_AJUSTE,MOT_MOTOR,G561,MOT_MARCA,E561,MOT_DESDE,"&lt;="&amp;M561,MOT_HASTA,"&gt;="&amp;M561)+SUMIFS(MOT_AJUSTE,MOT_MOTOR,G561,MOT_MARCA,"(todas)",MOT_DESDE,"&lt;="&amp;M561,MOT_HASTA,"&gt;="&amp;M561)</f>
        <v/>
      </c>
      <c r="BI561" s="3">
        <f>SUMIFS(COMB_AJUSTE,COMB_COMB,K561)</f>
        <v/>
      </c>
      <c r="BJ561" s="3">
        <f>COUNTIFS(MOT_MOTOR,G561,MOT_MARCA,E561,MOT_DESDE,"&lt;="&amp;M561,MOT_HASTA,"&gt;="&amp;M561)+COUNTIFS(MOT_MOTOR,G561,MOT_MARCA,"(todas)",MOT_DESDE,"&lt;="&amp;M561,MOT_HASTA,"&gt;="&amp;M561)</f>
        <v/>
      </c>
      <c r="BK561" s="3">
        <f>IF(AND(K561="diesel",BJ561=0),MIN(BG561,NEUTRO),BG561)</f>
        <v/>
      </c>
      <c r="BL561" s="4">
        <f>MAX(0,MIN(100,BK561+BH561+BI561))</f>
        <v/>
      </c>
      <c r="BM561" s="3">
        <f>MAX(0,MIN(100,50+BE561*PRECIO_PEND))</f>
        <v/>
      </c>
      <c r="BN561" s="3">
        <f>MAX(0,100*(1-N561/KM_MAX))</f>
        <v/>
      </c>
      <c r="BO561" s="3">
        <f>IF(AV561&lt;KMA_SOSP,IF(AA561="sí",100,KMA_PEN),IF(AV561&lt;=KMA_IDEAL_MAX,100,MAX(0,100*(KMA_CERO-AV561)/(KMA_CERO-KMA_IDEAL_MAX))))</f>
        <v/>
      </c>
      <c r="BP561" s="3">
        <f>MAX(0,MIN(100,100*(M561-ANIO_MIN)/(ANIO_ACTUAL-ANIO_MIN)))</f>
        <v/>
      </c>
      <c r="BQ561" s="3">
        <f>W_KMT*BN561+W_KMA*BO561+W_EDAD*BP561</f>
        <v/>
      </c>
      <c r="BR561" s="3">
        <f>P_ITV*(V561="sí")+P_LIBRO*(W561="sí")+P_CORREA*(X561="sí")+P_PROP*(Y561=1)+P_GAR*(Z561="sí")+P_FOTOS*MIN(1,N(U561)/FOTOS_OBJ)</f>
        <v/>
      </c>
      <c r="BS561" s="3">
        <f>IFERROR(VLOOKUP(BF561,ETQ_TBL,2,0),NEUTRO)</f>
        <v/>
      </c>
      <c r="BT561" s="3">
        <f>NEUTRO</f>
        <v/>
      </c>
      <c r="BU561" s="3">
        <f>IFERROR(VLOOKUP(L561,SEGURO_TBL,3,0),"")</f>
        <v/>
      </c>
      <c r="BV561" s="3">
        <f>IF(BU561="",NEUTRO,MAX(0,MIN(100,100*(SEG_REF_MAX-BU561)/(SEG_REF_MAX-SEG_REF_MIN))))</f>
        <v/>
      </c>
      <c r="BW561" s="3">
        <f>W_ET*BS561+W_CONS*BT561+W_SEG*BV561</f>
        <v/>
      </c>
      <c r="BX561" s="3">
        <f>IF(N(AB561)&gt;0,AB561,IF(AND(R561="profesional",SG_LEGAL_ON=1),GAR_LEGAL,0))</f>
        <v/>
      </c>
      <c r="BY561" s="3">
        <f>SG_GAR*MIN(1,BX561/SG_GAR_FULL)+SG_AMPL*(AC561="sí")+SG_KMC*(AF561="sí")+SG_REV*(N(AE561)&gt;0)+SG_DEV*MIN(1,N(AG561)/SG_DEV_FULL)+SG_HIST*(W561="sí")</f>
        <v/>
      </c>
      <c r="BZ561" s="3">
        <f>IFERROR(VLOOKUP(L561,CARR_PEN_TBL,2,0),0)</f>
        <v/>
      </c>
      <c r="CA561" s="3">
        <f>W_FIAB*BL561+W_PRECIO*BM561+W_KMEDAD*BQ561+W_ANUNCIO*BR561+W_USO*BW561+W_SEGURIDAD*BY561-BZ561</f>
        <v/>
      </c>
      <c r="CB561" s="4">
        <f>IF(N(I561)&gt;0,I561,IFERROR(ROUND(_xlfn.NUMBERVALUE(LEFT(G561,FIND(" ",G561&amp;" ")-1),".")*1000,0),99999))</f>
        <v/>
      </c>
      <c r="CC561" s="3">
        <f>IF(R561="profesional",0,IF(O561&lt;CUOTA_VALOR_MAX,IF(AU561&gt;ITP_TRAMO_ALTO,SUMIFS(CF_CUOTA,CF_MAS,ITP_TRAMO_ALTO,CF_CCMIN,"&lt;="&amp;CB561,CF_CCMAX,"&gt;="&amp;CB561),IF(AU561&gt;ITP_TRAMO_BAJO,SUMIFS(CF_CUOTA,CF_MAS,ITP_TRAMO_BAJO,CF_CCMIN,"&lt;="&amp;CB561,CF_CCMAX,"&gt;="&amp;CB561),O561*ITP_TIPO)),O561*ITP_TIPO))</f>
        <v/>
      </c>
      <c r="CD561" s="4">
        <f>IF(R561="profesional",N(AK561),0)</f>
        <v/>
      </c>
      <c r="CE561" s="3">
        <f>IF(AND(R561="profesional",ISNUMBER(AK561),AL561="sí"),0,TASA_DGT)</f>
        <v/>
      </c>
      <c r="CF561" s="3">
        <f>INFORME_DGT</f>
        <v/>
      </c>
      <c r="CG561" s="4">
        <f>O561+CD561+CC561+CE561+CF561</f>
        <v/>
      </c>
      <c r="CH561" s="4">
        <f>CG561+N(BU561)</f>
        <v/>
      </c>
      <c r="CI561" s="3">
        <f>IF(CG561&lt;=TOTAL_MAX,"sí",IF(CG561&lt;=TOTAL_MAX+MARGEN_NEG,"negociar","no"))</f>
        <v/>
      </c>
      <c r="CJ561" s="4">
        <f>IF(CI561&lt;&gt;"no",COUNTIFS($CI$2:$CI$662,"&lt;&gt;no",$CA$2:$CA$662,"&gt;"&amp;CA561)+COUNTIFS($CI$2:CI561,"&lt;&gt;no",$CA$2:CA561,CA561),"")</f>
        <v/>
      </c>
    </row>
    <row r="562">
      <c r="A562" s="2" t="inlineStr">
        <is>
          <t>cochesnet:71536876</t>
        </is>
      </c>
      <c r="B562" s="2" t="inlineStr">
        <is>
          <t>cochesnet</t>
        </is>
      </c>
      <c r="C562" s="2" t="inlineStr">
        <is>
          <t>https://www.coches.net/chevrolet-epica-20-vcdi-16v-lt-4p-diesel-2008-en-valencia-71536876-covo.aspx</t>
        </is>
      </c>
      <c r="D562" s="2" t="inlineStr">
        <is>
          <t>CHEVROLET Epica 2.0 VCDI 16v LT</t>
        </is>
      </c>
      <c r="E562" s="2" t="inlineStr">
        <is>
          <t>Chevrolet</t>
        </is>
      </c>
      <c r="F562" s="2" t="inlineStr">
        <is>
          <t>Chevrolet Epica</t>
        </is>
      </c>
      <c r="G562" s="2" t="inlineStr">
        <is>
          <t>2.0</t>
        </is>
      </c>
      <c r="H562" s="2" t="inlineStr">
        <is>
          <t>2.0 VCDI 16v LT</t>
        </is>
      </c>
      <c r="I562" s="2" t="n"/>
      <c r="J562" s="2" t="n"/>
      <c r="K562" s="2" t="inlineStr">
        <is>
          <t>diesel</t>
        </is>
      </c>
      <c r="L562" s="2" t="inlineStr">
        <is>
          <t>berlina</t>
        </is>
      </c>
      <c r="M562" s="2" t="n">
        <v>2009</v>
      </c>
      <c r="N562" s="2" t="n">
        <v>83000</v>
      </c>
      <c r="O562" s="2" t="n">
        <v>3500</v>
      </c>
      <c r="P562" s="2" t="inlineStr">
        <is>
          <t>manual</t>
        </is>
      </c>
      <c r="Q562" s="2" t="inlineStr">
        <is>
          <t>no</t>
        </is>
      </c>
      <c r="R562" s="2" t="inlineStr">
        <is>
          <t>profesional</t>
        </is>
      </c>
      <c r="S562" s="2" t="inlineStr">
        <is>
          <t>Automoción Valencia Albal</t>
        </is>
      </c>
      <c r="T562" s="2" t="inlineStr">
        <is>
          <t>2026-09-17T15:17:03Z</t>
        </is>
      </c>
      <c r="U562" s="2" t="n">
        <v>12</v>
      </c>
      <c r="V562" s="2" t="n"/>
      <c r="W562" s="2" t="n"/>
      <c r="X562" s="2" t="n"/>
      <c r="Y562" s="2" t="n"/>
      <c r="Z562" s="2" t="inlineStr">
        <is>
          <t>no</t>
        </is>
      </c>
      <c r="AA562" s="2" t="n"/>
      <c r="AB562" s="2" t="n"/>
      <c r="AC562" s="2" t="n"/>
      <c r="AD562" s="2" t="n"/>
      <c r="AE562" s="2" t="n"/>
      <c r="AF562" s="2" t="n"/>
      <c r="AG562" s="2" t="n"/>
      <c r="AH562" s="2" t="n">
        <v>3500</v>
      </c>
      <c r="AI562" s="2" t="n">
        <v>3500</v>
      </c>
      <c r="AJ562" s="2" t="n"/>
      <c r="AK562" s="2" t="n"/>
      <c r="AL562" s="2" t="n"/>
      <c r="AM562" s="2" t="n">
        <v>8.699999999999999</v>
      </c>
      <c r="AN562" s="2" t="n">
        <v>3600</v>
      </c>
      <c r="AO562" s="2" t="n">
        <v>8</v>
      </c>
      <c r="AP562" s="2" t="inlineStr">
        <is>
          <t>modelo+año</t>
        </is>
      </c>
      <c r="AQ562" s="2" t="n"/>
      <c r="AR562" s="2" t="inlineStr">
        <is>
          <t>vendedor profesional: sin ITP (operación con IVA/REBU, confirmar en factura); gastos de gestión del vendedor no indicados: se suma la tasa DGT; preguntar el precio final; diésel: motor sin fuente de fiabilidad (fiabilidad limitada a neutra); carrocería berlina: -4 puntos; fiabilidad del modelo PENDIENTE de fuente (puntuación neutra)</t>
        </is>
      </c>
      <c r="AS562" s="2" t="inlineStr">
        <is>
          <t>Chevrolet Epica 2.0 VCDI  150CVdestaca por su completo equipamiento multimedia con ocho altavoces, radio AM/FM, reproductor de CD y mandos en el volante para máximo confort al conducir. Dispone de dirección asistida progresiva, climatizador automático, limpiaparabrisas con sensor de lluvia y control de crucero. Los asientos térmicos del conductor con ajuste lumbar, volante multifuncional de cuero ajustable y retrovisores eléctricos desempañables garantizan una experiencia versátil. Incluye ordenador de viaje, protección antirrobo perimétrica, cierre centralizado con mando a distancia y apertura remota del maletero. Llantas de aleación de dieciséis pulgadas, cristales tintados y etiqueta medioambiental B completan este sedán familiar práctico y bien equipado.</t>
        </is>
      </c>
      <c r="AT562" s="2" t="inlineStr">
        <is>
          <t>https://www.coches.net/chevrolet-epica-20-vcdi-16v-lt-4p-diesel-2008-en-valencia-71536876-covo.aspx (window.__INITIAL_PROPS__.ad) /home/user/Alopecia/buscador-coches/raw/cochesnet/d843838227c2907f.json</t>
        </is>
      </c>
      <c r="AU562" s="3">
        <f>MAX(ANIO_ACTUAL-M562,0)</f>
        <v/>
      </c>
      <c r="AV562" s="4">
        <f>N562/MAX(AU562,0.5)</f>
        <v/>
      </c>
      <c r="AW562" s="4">
        <f>F562</f>
        <v/>
      </c>
      <c r="AX562" s="3">
        <f>AW562&amp;"|"&amp;INT(M562/SEG_ANIO)*SEG_ANIO</f>
        <v/>
      </c>
      <c r="AY562" s="3">
        <f>AX562&amp;"|"&amp;INT(N562/SEG_KM)*SEG_KM</f>
        <v/>
      </c>
      <c r="AZ562" s="4">
        <f>COUNTIF($AW$2:$AW$662,AW562)</f>
        <v/>
      </c>
      <c r="BA562" s="4">
        <f>COUNTIF($AX$2:$AX$662,AX562)</f>
        <v/>
      </c>
      <c r="BB562" s="4">
        <f>COUNTIF($AY$2:$AY$662,AY562)</f>
        <v/>
      </c>
      <c r="BC562" s="3">
        <f t="array" ref="BC562">IF(N(AO562)&gt;=MIN_N,AN562,IF(BB562&gt;=MIN_N,MEDIAN(IF($AY$2:$AY$662=AY562,$O$2:$O$662)),IF(BA562&gt;=MIN_N,MEDIAN(IF($AX$2:$AX$662=AX562,$O$2:$O$662)),MEDIAN(IF($AW$2:$AW$662=AW562,$O$2:$O$662)))))</f>
        <v/>
      </c>
      <c r="BD562" s="3">
        <f>IF(N(AO562)&gt;=MIN_N,"mercado "&amp;AP562,IF(BB562&gt;=MIN_N,"modelo+año+km",IF(BA562&gt;=MIN_N,"modelo+año","modelo")))</f>
        <v/>
      </c>
      <c r="BE562" s="4">
        <f>(BC562-O562)/BC562</f>
        <v/>
      </c>
      <c r="BF562" s="3">
        <f>IF(OR(K562="hibrido",K562="glp"),"ECO",IF(K562="electrico","CERO",IF(K562="gasolina",IF(M562&gt;=GAS_C,"C",IF(M562&gt;=GAS_B,"B","A")),IF(K562="diesel",IF(M562&gt;=DIE_C,"C",IF(M562&gt;=DIE_B,"B","A")),""))))</f>
        <v/>
      </c>
      <c r="BG562" s="3">
        <f>IFERROR(VLOOKUP(F562,MOD_TBL,11,0),IFERROR(VLOOKUP(E562,OCU_TBL,2,0),NEUTRO))</f>
        <v/>
      </c>
      <c r="BH562" s="3">
        <f>SUMIFS(MOT_AJUSTE,MOT_MOTOR,G562,MOT_MARCA,E562,MOT_DESDE,"&lt;="&amp;M562,MOT_HASTA,"&gt;="&amp;M562)+SUMIFS(MOT_AJUSTE,MOT_MOTOR,G562,MOT_MARCA,"(todas)",MOT_DESDE,"&lt;="&amp;M562,MOT_HASTA,"&gt;="&amp;M562)</f>
        <v/>
      </c>
      <c r="BI562" s="3">
        <f>SUMIFS(COMB_AJUSTE,COMB_COMB,K562)</f>
        <v/>
      </c>
      <c r="BJ562" s="3">
        <f>COUNTIFS(MOT_MOTOR,G562,MOT_MARCA,E562,MOT_DESDE,"&lt;="&amp;M562,MOT_HASTA,"&gt;="&amp;M562)+COUNTIFS(MOT_MOTOR,G562,MOT_MARCA,"(todas)",MOT_DESDE,"&lt;="&amp;M562,MOT_HASTA,"&gt;="&amp;M562)</f>
        <v/>
      </c>
      <c r="BK562" s="3">
        <f>IF(AND(K562="diesel",BJ562=0),MIN(BG562,NEUTRO),BG562)</f>
        <v/>
      </c>
      <c r="BL562" s="4">
        <f>MAX(0,MIN(100,BK562+BH562+BI562))</f>
        <v/>
      </c>
      <c r="BM562" s="3">
        <f>MAX(0,MIN(100,50+BE562*PRECIO_PEND))</f>
        <v/>
      </c>
      <c r="BN562" s="3">
        <f>MAX(0,100*(1-N562/KM_MAX))</f>
        <v/>
      </c>
      <c r="BO562" s="3">
        <f>IF(AV562&lt;KMA_SOSP,IF(AA562="sí",100,KMA_PEN),IF(AV562&lt;=KMA_IDEAL_MAX,100,MAX(0,100*(KMA_CERO-AV562)/(KMA_CERO-KMA_IDEAL_MAX))))</f>
        <v/>
      </c>
      <c r="BP562" s="3">
        <f>MAX(0,MIN(100,100*(M562-ANIO_MIN)/(ANIO_ACTUAL-ANIO_MIN)))</f>
        <v/>
      </c>
      <c r="BQ562" s="3">
        <f>W_KMT*BN562+W_KMA*BO562+W_EDAD*BP562</f>
        <v/>
      </c>
      <c r="BR562" s="3">
        <f>P_ITV*(V562="sí")+P_LIBRO*(W562="sí")+P_CORREA*(X562="sí")+P_PROP*(Y562=1)+P_GAR*(Z562="sí")+P_FOTOS*MIN(1,N(U562)/FOTOS_OBJ)</f>
        <v/>
      </c>
      <c r="BS562" s="3">
        <f>IFERROR(VLOOKUP(BF562,ETQ_TBL,2,0),NEUTRO)</f>
        <v/>
      </c>
      <c r="BT562" s="3">
        <f>NEUTRO</f>
        <v/>
      </c>
      <c r="BU562" s="3">
        <f>IFERROR(VLOOKUP(L562,SEGURO_TBL,3,0),"")</f>
        <v/>
      </c>
      <c r="BV562" s="3">
        <f>IF(BU562="",NEUTRO,MAX(0,MIN(100,100*(SEG_REF_MAX-BU562)/(SEG_REF_MAX-SEG_REF_MIN))))</f>
        <v/>
      </c>
      <c r="BW562" s="3">
        <f>W_ET*BS562+W_CONS*BT562+W_SEG*BV562</f>
        <v/>
      </c>
      <c r="BX562" s="3">
        <f>IF(N(AB562)&gt;0,AB562,IF(AND(R562="profesional",SG_LEGAL_ON=1),GAR_LEGAL,0))</f>
        <v/>
      </c>
      <c r="BY562" s="3">
        <f>SG_GAR*MIN(1,BX562/SG_GAR_FULL)+SG_AMPL*(AC562="sí")+SG_KMC*(AF562="sí")+SG_REV*(N(AE562)&gt;0)+SG_DEV*MIN(1,N(AG562)/SG_DEV_FULL)+SG_HIST*(W562="sí")</f>
        <v/>
      </c>
      <c r="BZ562" s="3">
        <f>IFERROR(VLOOKUP(L562,CARR_PEN_TBL,2,0),0)</f>
        <v/>
      </c>
      <c r="CA562" s="3">
        <f>W_FIAB*BL562+W_PRECIO*BM562+W_KMEDAD*BQ562+W_ANUNCIO*BR562+W_USO*BW562+W_SEGURIDAD*BY562-BZ562</f>
        <v/>
      </c>
      <c r="CB562" s="4">
        <f>IF(N(I562)&gt;0,I562,IFERROR(ROUND(_xlfn.NUMBERVALUE(LEFT(G562,FIND(" ",G562&amp;" ")-1),".")*1000,0),99999))</f>
        <v/>
      </c>
      <c r="CC562" s="3">
        <f>IF(R562="profesional",0,IF(O562&lt;CUOTA_VALOR_MAX,IF(AU562&gt;ITP_TRAMO_ALTO,SUMIFS(CF_CUOTA,CF_MAS,ITP_TRAMO_ALTO,CF_CCMIN,"&lt;="&amp;CB562,CF_CCMAX,"&gt;="&amp;CB562),IF(AU562&gt;ITP_TRAMO_BAJO,SUMIFS(CF_CUOTA,CF_MAS,ITP_TRAMO_BAJO,CF_CCMIN,"&lt;="&amp;CB562,CF_CCMAX,"&gt;="&amp;CB562),O562*ITP_TIPO)),O562*ITP_TIPO))</f>
        <v/>
      </c>
      <c r="CD562" s="4">
        <f>IF(R562="profesional",N(AK562),0)</f>
        <v/>
      </c>
      <c r="CE562" s="3">
        <f>IF(AND(R562="profesional",ISNUMBER(AK562),AL562="sí"),0,TASA_DGT)</f>
        <v/>
      </c>
      <c r="CF562" s="3">
        <f>INFORME_DGT</f>
        <v/>
      </c>
      <c r="CG562" s="4">
        <f>O562+CD562+CC562+CE562+CF562</f>
        <v/>
      </c>
      <c r="CH562" s="4">
        <f>CG562+N(BU562)</f>
        <v/>
      </c>
      <c r="CI562" s="3">
        <f>IF(CG562&lt;=TOTAL_MAX,"sí",IF(CG562&lt;=TOTAL_MAX+MARGEN_NEG,"negociar","no"))</f>
        <v/>
      </c>
      <c r="CJ562" s="4">
        <f>IF(CI562&lt;&gt;"no",COUNTIFS($CI$2:$CI$662,"&lt;&gt;no",$CA$2:$CA$662,"&gt;"&amp;CA562)+COUNTIFS($CI$2:CI562,"&lt;&gt;no",$CA$2:CA562,CA562),"")</f>
        <v/>
      </c>
    </row>
    <row r="563">
      <c r="A563" s="2" t="inlineStr">
        <is>
          <t>cochesnet:71677537</t>
        </is>
      </c>
      <c r="B563" s="2" t="inlineStr">
        <is>
          <t>cochesnet</t>
        </is>
      </c>
      <c r="C563" s="2" t="inlineStr">
        <is>
          <t>https://www.coches.net/chevrolet-nubira-gasolina-2006-en-valencia-71677537-covo.aspx</t>
        </is>
      </c>
      <c r="D563" s="2" t="inlineStr">
        <is>
          <t>CHEVROLET Nubira 1.6 SX</t>
        </is>
      </c>
      <c r="E563" s="2" t="inlineStr">
        <is>
          <t>Chevrolet</t>
        </is>
      </c>
      <c r="F563" s="2" t="inlineStr">
        <is>
          <t>Chevrolet Nubira</t>
        </is>
      </c>
      <c r="G563" s="2" t="inlineStr">
        <is>
          <t>1.6</t>
        </is>
      </c>
      <c r="H563" s="2" t="inlineStr">
        <is>
          <t>1.6 SX</t>
        </is>
      </c>
      <c r="I563" s="2" t="n"/>
      <c r="J563" s="2" t="n"/>
      <c r="K563" s="2" t="inlineStr">
        <is>
          <t>gasolina</t>
        </is>
      </c>
      <c r="L563" s="2" t="inlineStr">
        <is>
          <t>compacto</t>
        </is>
      </c>
      <c r="M563" s="2" t="n">
        <v>2006</v>
      </c>
      <c r="N563" s="2" t="n">
        <v>149000</v>
      </c>
      <c r="O563" s="2" t="n">
        <v>2299</v>
      </c>
      <c r="P563" s="2" t="inlineStr">
        <is>
          <t>manual</t>
        </is>
      </c>
      <c r="Q563" s="2" t="inlineStr">
        <is>
          <t>no</t>
        </is>
      </c>
      <c r="R563" s="2" t="inlineStr">
        <is>
          <t>particular</t>
        </is>
      </c>
      <c r="S563" s="2" t="inlineStr">
        <is>
          <t>Albal</t>
        </is>
      </c>
      <c r="T563" s="2" t="inlineStr">
        <is>
          <t>2026-10-05T13:39:58Z</t>
        </is>
      </c>
      <c r="U563" s="2" t="n">
        <v>9</v>
      </c>
      <c r="V563" s="2" t="inlineStr">
        <is>
          <t>sí</t>
        </is>
      </c>
      <c r="W563" s="2" t="n"/>
      <c r="X563" s="2" t="inlineStr">
        <is>
          <t>sí</t>
        </is>
      </c>
      <c r="Y563" s="2" t="n"/>
      <c r="Z563" s="2" t="inlineStr">
        <is>
          <t>no</t>
        </is>
      </c>
      <c r="AA563" s="2" t="n"/>
      <c r="AB563" s="2" t="n"/>
      <c r="AC563" s="2" t="n"/>
      <c r="AD563" s="2" t="n"/>
      <c r="AE563" s="2" t="n"/>
      <c r="AF563" s="2" t="n"/>
      <c r="AG563" s="2" t="n"/>
      <c r="AH563" s="2" t="n">
        <v>2299</v>
      </c>
      <c r="AI563" s="2" t="n"/>
      <c r="AJ563" s="2" t="n"/>
      <c r="AK563" s="2" t="n"/>
      <c r="AL563" s="2" t="n"/>
      <c r="AM563" s="2" t="n">
        <v>8.699999999999999</v>
      </c>
      <c r="AN563" s="2" t="n">
        <v>3099.5</v>
      </c>
      <c r="AO563" s="2" t="n">
        <v>4</v>
      </c>
      <c r="AP563" s="2" t="inlineStr">
        <is>
          <t>modelo+año+km</t>
        </is>
      </c>
      <c r="AQ563" s="2" t="n"/>
      <c r="AR563" s="2" t="inlineStr">
        <is>
          <t>cuota fija ITP: &gt;12 años, 1.501-2.000 cc; fiabilidad del modelo PENDIENTE de fuente (puntuación neutra)</t>
        </is>
      </c>
      <c r="AS563" s="2" t="inlineStr">
        <is>
          <t xml:space="preserve">? 149.000 km
? Motor 1.6 gasolina de 109 CV
? Cambio manual de 5 velocidades
? 5 plazas
? ITV recién pasada, válida hasta octubre de 2027
? Revisión recién hecha
? Cambio de aceite realizado a los 143.700 km
? Correa de distribución cambiada a los 80.000 km
? Neumáticos delanteros nuevos
? Buen estado mecánico
? Motor y cambio funcionando correctamente
? Coche cómodo, amplio y con buen maletero
? Aire/calefacción funcionando correctamente para caliente
?? El aire acondicionado para frío necesita reparación
?? Algunos detalles de chapa y pintura propios del uso y los años
CONTACTO: 
</t>
        </is>
      </c>
      <c r="AT563" s="2" t="inlineStr">
        <is>
          <t>https://www.coches.net/chevrolet-nubira-gasolina-2006-en-valencia-71677537-covo.aspx (window.__INITIAL_PROPS__.ad) /home/user/Alopecia/buscador-coches/raw/cochesnet/b78216e8fb10e5bd.json</t>
        </is>
      </c>
      <c r="AU563" s="3">
        <f>MAX(ANIO_ACTUAL-M563,0)</f>
        <v/>
      </c>
      <c r="AV563" s="4">
        <f>N563/MAX(AU563,0.5)</f>
        <v/>
      </c>
      <c r="AW563" s="4">
        <f>F563</f>
        <v/>
      </c>
      <c r="AX563" s="3">
        <f>AW563&amp;"|"&amp;INT(M563/SEG_ANIO)*SEG_ANIO</f>
        <v/>
      </c>
      <c r="AY563" s="3">
        <f>AX563&amp;"|"&amp;INT(N563/SEG_KM)*SEG_KM</f>
        <v/>
      </c>
      <c r="AZ563" s="4">
        <f>COUNTIF($AW$2:$AW$662,AW563)</f>
        <v/>
      </c>
      <c r="BA563" s="4">
        <f>COUNTIF($AX$2:$AX$662,AX563)</f>
        <v/>
      </c>
      <c r="BB563" s="4">
        <f>COUNTIF($AY$2:$AY$662,AY563)</f>
        <v/>
      </c>
      <c r="BC563" s="3">
        <f t="array" ref="BC563">IF(N(AO563)&gt;=MIN_N,AN563,IF(BB563&gt;=MIN_N,MEDIAN(IF($AY$2:$AY$662=AY563,$O$2:$O$662)),IF(BA563&gt;=MIN_N,MEDIAN(IF($AX$2:$AX$662=AX563,$O$2:$O$662)),MEDIAN(IF($AW$2:$AW$662=AW563,$O$2:$O$662)))))</f>
        <v/>
      </c>
      <c r="BD563" s="3">
        <f>IF(N(AO563)&gt;=MIN_N,"mercado "&amp;AP563,IF(BB563&gt;=MIN_N,"modelo+año+km",IF(BA563&gt;=MIN_N,"modelo+año","modelo")))</f>
        <v/>
      </c>
      <c r="BE563" s="4">
        <f>(BC563-O563)/BC563</f>
        <v/>
      </c>
      <c r="BF563" s="3">
        <f>IF(OR(K563="hibrido",K563="glp"),"ECO",IF(K563="electrico","CERO",IF(K563="gasolina",IF(M563&gt;=GAS_C,"C",IF(M563&gt;=GAS_B,"B","A")),IF(K563="diesel",IF(M563&gt;=DIE_C,"C",IF(M563&gt;=DIE_B,"B","A")),""))))</f>
        <v/>
      </c>
      <c r="BG563" s="3">
        <f>IFERROR(VLOOKUP(F563,MOD_TBL,11,0),IFERROR(VLOOKUP(E563,OCU_TBL,2,0),NEUTRO))</f>
        <v/>
      </c>
      <c r="BH563" s="3">
        <f>SUMIFS(MOT_AJUSTE,MOT_MOTOR,G563,MOT_MARCA,E563,MOT_DESDE,"&lt;="&amp;M563,MOT_HASTA,"&gt;="&amp;M563)+SUMIFS(MOT_AJUSTE,MOT_MOTOR,G563,MOT_MARCA,"(todas)",MOT_DESDE,"&lt;="&amp;M563,MOT_HASTA,"&gt;="&amp;M563)</f>
        <v/>
      </c>
      <c r="BI563" s="3">
        <f>SUMIFS(COMB_AJUSTE,COMB_COMB,K563)</f>
        <v/>
      </c>
      <c r="BJ563" s="3">
        <f>COUNTIFS(MOT_MOTOR,G563,MOT_MARCA,E563,MOT_DESDE,"&lt;="&amp;M563,MOT_HASTA,"&gt;="&amp;M563)+COUNTIFS(MOT_MOTOR,G563,MOT_MARCA,"(todas)",MOT_DESDE,"&lt;="&amp;M563,MOT_HASTA,"&gt;="&amp;M563)</f>
        <v/>
      </c>
      <c r="BK563" s="3">
        <f>IF(AND(K563="diesel",BJ563=0),MIN(BG563,NEUTRO),BG563)</f>
        <v/>
      </c>
      <c r="BL563" s="4">
        <f>MAX(0,MIN(100,BK563+BH563+BI563))</f>
        <v/>
      </c>
      <c r="BM563" s="3">
        <f>MAX(0,MIN(100,50+BE563*PRECIO_PEND))</f>
        <v/>
      </c>
      <c r="BN563" s="3">
        <f>MAX(0,100*(1-N563/KM_MAX))</f>
        <v/>
      </c>
      <c r="BO563" s="3">
        <f>IF(AV563&lt;KMA_SOSP,IF(AA563="sí",100,KMA_PEN),IF(AV563&lt;=KMA_IDEAL_MAX,100,MAX(0,100*(KMA_CERO-AV563)/(KMA_CERO-KMA_IDEAL_MAX))))</f>
        <v/>
      </c>
      <c r="BP563" s="3">
        <f>MAX(0,MIN(100,100*(M563-ANIO_MIN)/(ANIO_ACTUAL-ANIO_MIN)))</f>
        <v/>
      </c>
      <c r="BQ563" s="3">
        <f>W_KMT*BN563+W_KMA*BO563+W_EDAD*BP563</f>
        <v/>
      </c>
      <c r="BR563" s="3">
        <f>P_ITV*(V563="sí")+P_LIBRO*(W563="sí")+P_CORREA*(X563="sí")+P_PROP*(Y563=1)+P_GAR*(Z563="sí")+P_FOTOS*MIN(1,N(U563)/FOTOS_OBJ)</f>
        <v/>
      </c>
      <c r="BS563" s="3">
        <f>IFERROR(VLOOKUP(BF563,ETQ_TBL,2,0),NEUTRO)</f>
        <v/>
      </c>
      <c r="BT563" s="3">
        <f>NEUTRO</f>
        <v/>
      </c>
      <c r="BU563" s="3">
        <f>IFERROR(VLOOKUP(L563,SEGURO_TBL,3,0),"")</f>
        <v/>
      </c>
      <c r="BV563" s="3">
        <f>IF(BU563="",NEUTRO,MAX(0,MIN(100,100*(SEG_REF_MAX-BU563)/(SEG_REF_MAX-SEG_REF_MIN))))</f>
        <v/>
      </c>
      <c r="BW563" s="3">
        <f>W_ET*BS563+W_CONS*BT563+W_SEG*BV563</f>
        <v/>
      </c>
      <c r="BX563" s="3">
        <f>IF(N(AB563)&gt;0,AB563,IF(AND(R563="profesional",SG_LEGAL_ON=1),GAR_LEGAL,0))</f>
        <v/>
      </c>
      <c r="BY563" s="3">
        <f>SG_GAR*MIN(1,BX563/SG_GAR_FULL)+SG_AMPL*(AC563="sí")+SG_KMC*(AF563="sí")+SG_REV*(N(AE563)&gt;0)+SG_DEV*MIN(1,N(AG563)/SG_DEV_FULL)+SG_HIST*(W563="sí")</f>
        <v/>
      </c>
      <c r="BZ563" s="3">
        <f>IFERROR(VLOOKUP(L563,CARR_PEN_TBL,2,0),0)</f>
        <v/>
      </c>
      <c r="CA563" s="3">
        <f>W_FIAB*BL563+W_PRECIO*BM563+W_KMEDAD*BQ563+W_ANUNCIO*BR563+W_USO*BW563+W_SEGURIDAD*BY563-BZ563</f>
        <v/>
      </c>
      <c r="CB563" s="4">
        <f>IF(N(I563)&gt;0,I563,IFERROR(ROUND(_xlfn.NUMBERVALUE(LEFT(G563,FIND(" ",G563&amp;" ")-1),".")*1000,0),99999))</f>
        <v/>
      </c>
      <c r="CC563" s="3">
        <f>IF(R563="profesional",0,IF(O563&lt;CUOTA_VALOR_MAX,IF(AU563&gt;ITP_TRAMO_ALTO,SUMIFS(CF_CUOTA,CF_MAS,ITP_TRAMO_ALTO,CF_CCMIN,"&lt;="&amp;CB563,CF_CCMAX,"&gt;="&amp;CB563),IF(AU563&gt;ITP_TRAMO_BAJO,SUMIFS(CF_CUOTA,CF_MAS,ITP_TRAMO_BAJO,CF_CCMIN,"&lt;="&amp;CB563,CF_CCMAX,"&gt;="&amp;CB563),O563*ITP_TIPO)),O563*ITP_TIPO))</f>
        <v/>
      </c>
      <c r="CD563" s="4">
        <f>IF(R563="profesional",N(AK563),0)</f>
        <v/>
      </c>
      <c r="CE563" s="3">
        <f>IF(AND(R563="profesional",ISNUMBER(AK563),AL563="sí"),0,TASA_DGT)</f>
        <v/>
      </c>
      <c r="CF563" s="3">
        <f>INFORME_DGT</f>
        <v/>
      </c>
      <c r="CG563" s="4">
        <f>O563+CD563+CC563+CE563+CF563</f>
        <v/>
      </c>
      <c r="CH563" s="4">
        <f>CG563+N(BU563)</f>
        <v/>
      </c>
      <c r="CI563" s="3">
        <f>IF(CG563&lt;=TOTAL_MAX,"sí",IF(CG563&lt;=TOTAL_MAX+MARGEN_NEG,"negociar","no"))</f>
        <v/>
      </c>
      <c r="CJ563" s="4">
        <f>IF(CI563&lt;&gt;"no",COUNTIFS($CI$2:$CI$662,"&lt;&gt;no",$CA$2:$CA$662,"&gt;"&amp;CA563)+COUNTIFS($CI$2:CI563,"&lt;&gt;no",$CA$2:CA563,CA563),"")</f>
        <v/>
      </c>
    </row>
    <row r="564">
      <c r="A564" s="2" t="inlineStr">
        <is>
          <t>cochesnet:71593732</t>
        </is>
      </c>
      <c r="B564" s="2" t="inlineStr">
        <is>
          <t>cochesnet</t>
        </is>
      </c>
      <c r="C564" s="2" t="inlineStr">
        <is>
          <t>https://www.coches.net/chevrolet-matiz-gasolina-2009-en-valencia-71593732-covo.aspx</t>
        </is>
      </c>
      <c r="D564" s="2" t="inlineStr">
        <is>
          <t>CHEVROLET Matiz</t>
        </is>
      </c>
      <c r="E564" s="2" t="inlineStr">
        <is>
          <t>Chevrolet</t>
        </is>
      </c>
      <c r="F564" s="2" t="inlineStr">
        <is>
          <t>Chevrolet Matiz</t>
        </is>
      </c>
      <c r="G564" s="2" t="n"/>
      <c r="H564" s="2" t="n"/>
      <c r="I564" s="2" t="n"/>
      <c r="J564" s="2" t="n"/>
      <c r="K564" s="2" t="inlineStr">
        <is>
          <t>gasolina</t>
        </is>
      </c>
      <c r="L564" s="2" t="inlineStr">
        <is>
          <t>utilitario</t>
        </is>
      </c>
      <c r="M564" s="2" t="n">
        <v>2009</v>
      </c>
      <c r="N564" s="2" t="n">
        <v>151000</v>
      </c>
      <c r="O564" s="2" t="n">
        <v>1890</v>
      </c>
      <c r="P564" s="2" t="inlineStr">
        <is>
          <t>manual</t>
        </is>
      </c>
      <c r="Q564" s="2" t="inlineStr">
        <is>
          <t>no</t>
        </is>
      </c>
      <c r="R564" s="2" t="inlineStr">
        <is>
          <t>particular</t>
        </is>
      </c>
      <c r="S564" s="2" t="n"/>
      <c r="T564" s="2" t="inlineStr">
        <is>
          <t>2026-09-24T19:10:34Z</t>
        </is>
      </c>
      <c r="U564" s="2" t="n">
        <v>5</v>
      </c>
      <c r="V564" s="2" t="inlineStr">
        <is>
          <t>sí</t>
        </is>
      </c>
      <c r="W564" s="2" t="n"/>
      <c r="X564" s="2" t="n"/>
      <c r="Y564" s="2" t="n"/>
      <c r="Z564" s="2" t="inlineStr">
        <is>
          <t>no</t>
        </is>
      </c>
      <c r="AA564" s="2" t="n"/>
      <c r="AB564" s="2" t="n"/>
      <c r="AC564" s="2" t="n"/>
      <c r="AD564" s="2" t="n"/>
      <c r="AE564" s="2" t="n"/>
      <c r="AF564" s="2" t="n"/>
      <c r="AG564" s="2" t="n"/>
      <c r="AH564" s="2" t="n">
        <v>1890</v>
      </c>
      <c r="AI564" s="2" t="n"/>
      <c r="AJ564" s="2" t="n"/>
      <c r="AK564" s="2" t="n"/>
      <c r="AL564" s="2" t="n"/>
      <c r="AM564" s="2" t="n"/>
      <c r="AN564" s="2" t="n"/>
      <c r="AO564" s="2" t="n"/>
      <c r="AP564" s="2" t="n"/>
      <c r="AQ564" s="2" t="n"/>
      <c r="AR564"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64" s="2" t="inlineStr">
        <is>
          <t>coche en perfecto estado....ITV pasada hasta marzo del 2027. ideal para la ciudad .poco consumo y minimo mantenimiento......mejor ver ....se Vende con SEGURO HASTA MARZO 2027.....</t>
        </is>
      </c>
      <c r="AT564" s="2" t="inlineStr">
        <is>
          <t>https://www.coches.net/chevrolet-matiz-gasolina-2009-en-valencia-71593732-covo.aspx (window.__INITIAL_PROPS__.ad) /home/user/Alopecia/buscador-coches/raw/cochesnet/8a2f3b023af69b20.json</t>
        </is>
      </c>
      <c r="AU564" s="3">
        <f>MAX(ANIO_ACTUAL-M564,0)</f>
        <v/>
      </c>
      <c r="AV564" s="4">
        <f>N564/MAX(AU564,0.5)</f>
        <v/>
      </c>
      <c r="AW564" s="4">
        <f>F564</f>
        <v/>
      </c>
      <c r="AX564" s="3">
        <f>AW564&amp;"|"&amp;INT(M564/SEG_ANIO)*SEG_ANIO</f>
        <v/>
      </c>
      <c r="AY564" s="3">
        <f>AX564&amp;"|"&amp;INT(N564/SEG_KM)*SEG_KM</f>
        <v/>
      </c>
      <c r="AZ564" s="4">
        <f>COUNTIF($AW$2:$AW$662,AW564)</f>
        <v/>
      </c>
      <c r="BA564" s="4">
        <f>COUNTIF($AX$2:$AX$662,AX564)</f>
        <v/>
      </c>
      <c r="BB564" s="4">
        <f>COUNTIF($AY$2:$AY$662,AY564)</f>
        <v/>
      </c>
      <c r="BC564" s="3">
        <f t="array" ref="BC564">IF(N(AO564)&gt;=MIN_N,AN564,IF(BB564&gt;=MIN_N,MEDIAN(IF($AY$2:$AY$662=AY564,$O$2:$O$662)),IF(BA564&gt;=MIN_N,MEDIAN(IF($AX$2:$AX$662=AX564,$O$2:$O$662)),MEDIAN(IF($AW$2:$AW$662=AW564,$O$2:$O$662)))))</f>
        <v/>
      </c>
      <c r="BD564" s="3">
        <f>IF(N(AO564)&gt;=MIN_N,"mercado "&amp;AP564,IF(BB564&gt;=MIN_N,"modelo+año+km",IF(BA564&gt;=MIN_N,"modelo+año","modelo")))</f>
        <v/>
      </c>
      <c r="BE564" s="4">
        <f>(BC564-O564)/BC564</f>
        <v/>
      </c>
      <c r="BF564" s="3">
        <f>IF(OR(K564="hibrido",K564="glp"),"ECO",IF(K564="electrico","CERO",IF(K564="gasolina",IF(M564&gt;=GAS_C,"C",IF(M564&gt;=GAS_B,"B","A")),IF(K564="diesel",IF(M564&gt;=DIE_C,"C",IF(M564&gt;=DIE_B,"B","A")),""))))</f>
        <v/>
      </c>
      <c r="BG564" s="3">
        <f>IFERROR(VLOOKUP(F564,MOD_TBL,11,0),IFERROR(VLOOKUP(E564,OCU_TBL,2,0),NEUTRO))</f>
        <v/>
      </c>
      <c r="BH564" s="3">
        <f>SUMIFS(MOT_AJUSTE,MOT_MOTOR,G564,MOT_MARCA,E564,MOT_DESDE,"&lt;="&amp;M564,MOT_HASTA,"&gt;="&amp;M564)+SUMIFS(MOT_AJUSTE,MOT_MOTOR,G564,MOT_MARCA,"(todas)",MOT_DESDE,"&lt;="&amp;M564,MOT_HASTA,"&gt;="&amp;M564)</f>
        <v/>
      </c>
      <c r="BI564" s="3">
        <f>SUMIFS(COMB_AJUSTE,COMB_COMB,K564)</f>
        <v/>
      </c>
      <c r="BJ564" s="3">
        <f>COUNTIFS(MOT_MOTOR,G564,MOT_MARCA,E564,MOT_DESDE,"&lt;="&amp;M564,MOT_HASTA,"&gt;="&amp;M564)+COUNTIFS(MOT_MOTOR,G564,MOT_MARCA,"(todas)",MOT_DESDE,"&lt;="&amp;M564,MOT_HASTA,"&gt;="&amp;M564)</f>
        <v/>
      </c>
      <c r="BK564" s="3">
        <f>IF(AND(K564="diesel",BJ564=0),MIN(BG564,NEUTRO),BG564)</f>
        <v/>
      </c>
      <c r="BL564" s="4">
        <f>MAX(0,MIN(100,BK564+BH564+BI564))</f>
        <v/>
      </c>
      <c r="BM564" s="3">
        <f>MAX(0,MIN(100,50+BE564*PRECIO_PEND))</f>
        <v/>
      </c>
      <c r="BN564" s="3">
        <f>MAX(0,100*(1-N564/KM_MAX))</f>
        <v/>
      </c>
      <c r="BO564" s="3">
        <f>IF(AV564&lt;KMA_SOSP,IF(AA564="sí",100,KMA_PEN),IF(AV564&lt;=KMA_IDEAL_MAX,100,MAX(0,100*(KMA_CERO-AV564)/(KMA_CERO-KMA_IDEAL_MAX))))</f>
        <v/>
      </c>
      <c r="BP564" s="3">
        <f>MAX(0,MIN(100,100*(M564-ANIO_MIN)/(ANIO_ACTUAL-ANIO_MIN)))</f>
        <v/>
      </c>
      <c r="BQ564" s="3">
        <f>W_KMT*BN564+W_KMA*BO564+W_EDAD*BP564</f>
        <v/>
      </c>
      <c r="BR564" s="3">
        <f>P_ITV*(V564="sí")+P_LIBRO*(W564="sí")+P_CORREA*(X564="sí")+P_PROP*(Y564=1)+P_GAR*(Z564="sí")+P_FOTOS*MIN(1,N(U564)/FOTOS_OBJ)</f>
        <v/>
      </c>
      <c r="BS564" s="3">
        <f>IFERROR(VLOOKUP(BF564,ETQ_TBL,2,0),NEUTRO)</f>
        <v/>
      </c>
      <c r="BT564" s="3">
        <f>NEUTRO</f>
        <v/>
      </c>
      <c r="BU564" s="3">
        <f>IFERROR(VLOOKUP(L564,SEGURO_TBL,3,0),"")</f>
        <v/>
      </c>
      <c r="BV564" s="3">
        <f>IF(BU564="",NEUTRO,MAX(0,MIN(100,100*(SEG_REF_MAX-BU564)/(SEG_REF_MAX-SEG_REF_MIN))))</f>
        <v/>
      </c>
      <c r="BW564" s="3">
        <f>W_ET*BS564+W_CONS*BT564+W_SEG*BV564</f>
        <v/>
      </c>
      <c r="BX564" s="3">
        <f>IF(N(AB564)&gt;0,AB564,IF(AND(R564="profesional",SG_LEGAL_ON=1),GAR_LEGAL,0))</f>
        <v/>
      </c>
      <c r="BY564" s="3">
        <f>SG_GAR*MIN(1,BX564/SG_GAR_FULL)+SG_AMPL*(AC564="sí")+SG_KMC*(AF564="sí")+SG_REV*(N(AE564)&gt;0)+SG_DEV*MIN(1,N(AG564)/SG_DEV_FULL)+SG_HIST*(W564="sí")</f>
        <v/>
      </c>
      <c r="BZ564" s="3">
        <f>IFERROR(VLOOKUP(L564,CARR_PEN_TBL,2,0),0)</f>
        <v/>
      </c>
      <c r="CA564" s="3">
        <f>W_FIAB*BL564+W_PRECIO*BM564+W_KMEDAD*BQ564+W_ANUNCIO*BR564+W_USO*BW564+W_SEGURIDAD*BY564-BZ564</f>
        <v/>
      </c>
      <c r="CB564" s="4">
        <f>IF(N(I564)&gt;0,I564,IFERROR(ROUND(_xlfn.NUMBERVALUE(LEFT(G564,FIND(" ",G564&amp;" ")-1),".")*1000,0),99999))</f>
        <v/>
      </c>
      <c r="CC564" s="3">
        <f>IF(R564="profesional",0,IF(O564&lt;CUOTA_VALOR_MAX,IF(AU564&gt;ITP_TRAMO_ALTO,SUMIFS(CF_CUOTA,CF_MAS,ITP_TRAMO_ALTO,CF_CCMIN,"&lt;="&amp;CB564,CF_CCMAX,"&gt;="&amp;CB564),IF(AU564&gt;ITP_TRAMO_BAJO,SUMIFS(CF_CUOTA,CF_MAS,ITP_TRAMO_BAJO,CF_CCMIN,"&lt;="&amp;CB564,CF_CCMAX,"&gt;="&amp;CB564),O564*ITP_TIPO)),O564*ITP_TIPO))</f>
        <v/>
      </c>
      <c r="CD564" s="4">
        <f>IF(R564="profesional",N(AK564),0)</f>
        <v/>
      </c>
      <c r="CE564" s="3">
        <f>IF(AND(R564="profesional",ISNUMBER(AK564),AL564="sí"),0,TASA_DGT)</f>
        <v/>
      </c>
      <c r="CF564" s="3">
        <f>INFORME_DGT</f>
        <v/>
      </c>
      <c r="CG564" s="4">
        <f>O564+CD564+CC564+CE564+CF564</f>
        <v/>
      </c>
      <c r="CH564" s="4">
        <f>CG564+N(BU564)</f>
        <v/>
      </c>
      <c r="CI564" s="3">
        <f>IF(CG564&lt;=TOTAL_MAX,"sí",IF(CG564&lt;=TOTAL_MAX+MARGEN_NEG,"negociar","no"))</f>
        <v/>
      </c>
      <c r="CJ564" s="4">
        <f>IF(CI564&lt;&gt;"no",COUNTIFS($CI$2:$CI$662,"&lt;&gt;no",$CA$2:$CA$662,"&gt;"&amp;CA564)+COUNTIFS($CI$2:CI564,"&lt;&gt;no",$CA$2:CA564,CA564),"")</f>
        <v/>
      </c>
    </row>
    <row r="565">
      <c r="A565" s="2" t="inlineStr">
        <is>
          <t>cochesnet:71463242</t>
        </is>
      </c>
      <c r="B565" s="2" t="inlineStr">
        <is>
          <t>cochesnet</t>
        </is>
      </c>
      <c r="C565" s="2" t="inlineStr">
        <is>
          <t>https://www.coches.net/chevrolet-matiz-gasolina-2008-en-valencia-71463242-covo.aspx</t>
        </is>
      </c>
      <c r="D565" s="2" t="inlineStr">
        <is>
          <t>CHEVROLET Matiz 0.8 S</t>
        </is>
      </c>
      <c r="E565" s="2" t="inlineStr">
        <is>
          <t>Chevrolet</t>
        </is>
      </c>
      <c r="F565" s="2" t="inlineStr">
        <is>
          <t>Chevrolet Matiz</t>
        </is>
      </c>
      <c r="G565" s="2" t="inlineStr">
        <is>
          <t>0.8</t>
        </is>
      </c>
      <c r="H565" s="2" t="inlineStr">
        <is>
          <t>0.8 S</t>
        </is>
      </c>
      <c r="I565" s="2" t="n"/>
      <c r="J565" s="2" t="n"/>
      <c r="K565" s="2" t="inlineStr">
        <is>
          <t>gasolina</t>
        </is>
      </c>
      <c r="L565" s="2" t="inlineStr">
        <is>
          <t>utilitario</t>
        </is>
      </c>
      <c r="M565" s="2" t="n">
        <v>2008</v>
      </c>
      <c r="N565" s="2" t="n">
        <v>114182</v>
      </c>
      <c r="O565" s="2" t="n">
        <v>2800</v>
      </c>
      <c r="P565" s="2" t="inlineStr">
        <is>
          <t>manual</t>
        </is>
      </c>
      <c r="Q565" s="2" t="inlineStr">
        <is>
          <t>no</t>
        </is>
      </c>
      <c r="R565" s="2" t="inlineStr">
        <is>
          <t>particular</t>
        </is>
      </c>
      <c r="S565" s="2" t="n"/>
      <c r="T565" s="2" t="inlineStr">
        <is>
          <t>2026-09-07T21:12:06Z</t>
        </is>
      </c>
      <c r="U565" s="2" t="n">
        <v>7</v>
      </c>
      <c r="V565" s="2" t="inlineStr">
        <is>
          <t>sí</t>
        </is>
      </c>
      <c r="W565" s="2" t="n"/>
      <c r="X565" s="2" t="n"/>
      <c r="Y565" s="2" t="n"/>
      <c r="Z565" s="2" t="inlineStr">
        <is>
          <t>no</t>
        </is>
      </c>
      <c r="AA565" s="2" t="n"/>
      <c r="AB565" s="2" t="n"/>
      <c r="AC565" s="2" t="n"/>
      <c r="AD565" s="2" t="n"/>
      <c r="AE565" s="2" t="n"/>
      <c r="AF565" s="2" t="n"/>
      <c r="AG565" s="2" t="n"/>
      <c r="AH565" s="2" t="n">
        <v>2800</v>
      </c>
      <c r="AI565" s="2" t="n"/>
      <c r="AJ565" s="2" t="n"/>
      <c r="AK565" s="2" t="n"/>
      <c r="AL565" s="2" t="n"/>
      <c r="AM565" s="2" t="n"/>
      <c r="AN565" s="2" t="n"/>
      <c r="AO565" s="2" t="n"/>
      <c r="AP565" s="2" t="n"/>
      <c r="AQ565" s="2" t="n"/>
      <c r="AR565" s="2" t="inlineStr">
        <is>
          <t>cuota fija ITP: &gt;12 años, hasta 1.500 cc; distancia no verificable (el anuncio solo indica la provincia): confirmar que está a &lt;= 70 km; fiabilidad del modelo PENDIENTE de fuente (puntuación neutra)</t>
        </is>
      </c>
      <c r="AS565" s="2" t="inlineStr">
        <is>
          <t xml:space="preserve">CHEVROLET Matiz S (2008) | 114.182 km | ITV 2027 e Impecable. 
?? El Coche Funciona muy bien cambio de aceite y filtro recién Hecho y tiene la ITV recién pasada. (Abril 2027).
Motor: Gasolina, (gasto mínimo de combustible).
Kilómetros: 114.182 km reales.
Estado: Interior impecable y mecánica al día.
Uso ideal: Por su tamaño reducido, bajo consumo y mantenimiento muy asequible, es la opción ideal como primer coche, vehículo de uso diario o segundo coche para la familia. ¡Perfecto para ciudad!
CONDICIONES DE VENTA (Leer por favor):
? Precio: Ya está ajustado al excelente estado del coche y mantenimiento recién hecho.
?? Seguridad: Abstenerse estafas de Bizum inverso, falsos transportistas o mensajes sospechosos. Solo gente seria.
?? Se puede ver en persona sin compromiso.
</t>
        </is>
      </c>
      <c r="AT565" s="2" t="inlineStr">
        <is>
          <t>https://www.coches.net/chevrolet-matiz-gasolina-2008-en-valencia-71463242-covo.aspx (window.__INITIAL_PROPS__.ad) /home/user/Alopecia/buscador-coches/raw/cochesnet/963a8f79bff53934.json</t>
        </is>
      </c>
      <c r="AU565" s="3">
        <f>MAX(ANIO_ACTUAL-M565,0)</f>
        <v/>
      </c>
      <c r="AV565" s="4">
        <f>N565/MAX(AU565,0.5)</f>
        <v/>
      </c>
      <c r="AW565" s="4">
        <f>F565</f>
        <v/>
      </c>
      <c r="AX565" s="3">
        <f>AW565&amp;"|"&amp;INT(M565/SEG_ANIO)*SEG_ANIO</f>
        <v/>
      </c>
      <c r="AY565" s="3">
        <f>AX565&amp;"|"&amp;INT(N565/SEG_KM)*SEG_KM</f>
        <v/>
      </c>
      <c r="AZ565" s="4">
        <f>COUNTIF($AW$2:$AW$662,AW565)</f>
        <v/>
      </c>
      <c r="BA565" s="4">
        <f>COUNTIF($AX$2:$AX$662,AX565)</f>
        <v/>
      </c>
      <c r="BB565" s="4">
        <f>COUNTIF($AY$2:$AY$662,AY565)</f>
        <v/>
      </c>
      <c r="BC565" s="3">
        <f t="array" ref="BC565">IF(N(AO565)&gt;=MIN_N,AN565,IF(BB565&gt;=MIN_N,MEDIAN(IF($AY$2:$AY$662=AY565,$O$2:$O$662)),IF(BA565&gt;=MIN_N,MEDIAN(IF($AX$2:$AX$662=AX565,$O$2:$O$662)),MEDIAN(IF($AW$2:$AW$662=AW565,$O$2:$O$662)))))</f>
        <v/>
      </c>
      <c r="BD565" s="3">
        <f>IF(N(AO565)&gt;=MIN_N,"mercado "&amp;AP565,IF(BB565&gt;=MIN_N,"modelo+año+km",IF(BA565&gt;=MIN_N,"modelo+año","modelo")))</f>
        <v/>
      </c>
      <c r="BE565" s="4">
        <f>(BC565-O565)/BC565</f>
        <v/>
      </c>
      <c r="BF565" s="3">
        <f>IF(OR(K565="hibrido",K565="glp"),"ECO",IF(K565="electrico","CERO",IF(K565="gasolina",IF(M565&gt;=GAS_C,"C",IF(M565&gt;=GAS_B,"B","A")),IF(K565="diesel",IF(M565&gt;=DIE_C,"C",IF(M565&gt;=DIE_B,"B","A")),""))))</f>
        <v/>
      </c>
      <c r="BG565" s="3">
        <f>IFERROR(VLOOKUP(F565,MOD_TBL,11,0),IFERROR(VLOOKUP(E565,OCU_TBL,2,0),NEUTRO))</f>
        <v/>
      </c>
      <c r="BH565" s="3">
        <f>SUMIFS(MOT_AJUSTE,MOT_MOTOR,G565,MOT_MARCA,E565,MOT_DESDE,"&lt;="&amp;M565,MOT_HASTA,"&gt;="&amp;M565)+SUMIFS(MOT_AJUSTE,MOT_MOTOR,G565,MOT_MARCA,"(todas)",MOT_DESDE,"&lt;="&amp;M565,MOT_HASTA,"&gt;="&amp;M565)</f>
        <v/>
      </c>
      <c r="BI565" s="3">
        <f>SUMIFS(COMB_AJUSTE,COMB_COMB,K565)</f>
        <v/>
      </c>
      <c r="BJ565" s="3">
        <f>COUNTIFS(MOT_MOTOR,G565,MOT_MARCA,E565,MOT_DESDE,"&lt;="&amp;M565,MOT_HASTA,"&gt;="&amp;M565)+COUNTIFS(MOT_MOTOR,G565,MOT_MARCA,"(todas)",MOT_DESDE,"&lt;="&amp;M565,MOT_HASTA,"&gt;="&amp;M565)</f>
        <v/>
      </c>
      <c r="BK565" s="3">
        <f>IF(AND(K565="diesel",BJ565=0),MIN(BG565,NEUTRO),BG565)</f>
        <v/>
      </c>
      <c r="BL565" s="4">
        <f>MAX(0,MIN(100,BK565+BH565+BI565))</f>
        <v/>
      </c>
      <c r="BM565" s="3">
        <f>MAX(0,MIN(100,50+BE565*PRECIO_PEND))</f>
        <v/>
      </c>
      <c r="BN565" s="3">
        <f>MAX(0,100*(1-N565/KM_MAX))</f>
        <v/>
      </c>
      <c r="BO565" s="3">
        <f>IF(AV565&lt;KMA_SOSP,IF(AA565="sí",100,KMA_PEN),IF(AV565&lt;=KMA_IDEAL_MAX,100,MAX(0,100*(KMA_CERO-AV565)/(KMA_CERO-KMA_IDEAL_MAX))))</f>
        <v/>
      </c>
      <c r="BP565" s="3">
        <f>MAX(0,MIN(100,100*(M565-ANIO_MIN)/(ANIO_ACTUAL-ANIO_MIN)))</f>
        <v/>
      </c>
      <c r="BQ565" s="3">
        <f>W_KMT*BN565+W_KMA*BO565+W_EDAD*BP565</f>
        <v/>
      </c>
      <c r="BR565" s="3">
        <f>P_ITV*(V565="sí")+P_LIBRO*(W565="sí")+P_CORREA*(X565="sí")+P_PROP*(Y565=1)+P_GAR*(Z565="sí")+P_FOTOS*MIN(1,N(U565)/FOTOS_OBJ)</f>
        <v/>
      </c>
      <c r="BS565" s="3">
        <f>IFERROR(VLOOKUP(BF565,ETQ_TBL,2,0),NEUTRO)</f>
        <v/>
      </c>
      <c r="BT565" s="3">
        <f>NEUTRO</f>
        <v/>
      </c>
      <c r="BU565" s="3">
        <f>IFERROR(VLOOKUP(L565,SEGURO_TBL,3,0),"")</f>
        <v/>
      </c>
      <c r="BV565" s="3">
        <f>IF(BU565="",NEUTRO,MAX(0,MIN(100,100*(SEG_REF_MAX-BU565)/(SEG_REF_MAX-SEG_REF_MIN))))</f>
        <v/>
      </c>
      <c r="BW565" s="3">
        <f>W_ET*BS565+W_CONS*BT565+W_SEG*BV565</f>
        <v/>
      </c>
      <c r="BX565" s="3">
        <f>IF(N(AB565)&gt;0,AB565,IF(AND(R565="profesional",SG_LEGAL_ON=1),GAR_LEGAL,0))</f>
        <v/>
      </c>
      <c r="BY565" s="3">
        <f>SG_GAR*MIN(1,BX565/SG_GAR_FULL)+SG_AMPL*(AC565="sí")+SG_KMC*(AF565="sí")+SG_REV*(N(AE565)&gt;0)+SG_DEV*MIN(1,N(AG565)/SG_DEV_FULL)+SG_HIST*(W565="sí")</f>
        <v/>
      </c>
      <c r="BZ565" s="3">
        <f>IFERROR(VLOOKUP(L565,CARR_PEN_TBL,2,0),0)</f>
        <v/>
      </c>
      <c r="CA565" s="3">
        <f>W_FIAB*BL565+W_PRECIO*BM565+W_KMEDAD*BQ565+W_ANUNCIO*BR565+W_USO*BW565+W_SEGURIDAD*BY565-BZ565</f>
        <v/>
      </c>
      <c r="CB565" s="4">
        <f>IF(N(I565)&gt;0,I565,IFERROR(ROUND(_xlfn.NUMBERVALUE(LEFT(G565,FIND(" ",G565&amp;" ")-1),".")*1000,0),99999))</f>
        <v/>
      </c>
      <c r="CC565" s="3">
        <f>IF(R565="profesional",0,IF(O565&lt;CUOTA_VALOR_MAX,IF(AU565&gt;ITP_TRAMO_ALTO,SUMIFS(CF_CUOTA,CF_MAS,ITP_TRAMO_ALTO,CF_CCMIN,"&lt;="&amp;CB565,CF_CCMAX,"&gt;="&amp;CB565),IF(AU565&gt;ITP_TRAMO_BAJO,SUMIFS(CF_CUOTA,CF_MAS,ITP_TRAMO_BAJO,CF_CCMIN,"&lt;="&amp;CB565,CF_CCMAX,"&gt;="&amp;CB565),O565*ITP_TIPO)),O565*ITP_TIPO))</f>
        <v/>
      </c>
      <c r="CD565" s="4">
        <f>IF(R565="profesional",N(AK565),0)</f>
        <v/>
      </c>
      <c r="CE565" s="3">
        <f>IF(AND(R565="profesional",ISNUMBER(AK565),AL565="sí"),0,TASA_DGT)</f>
        <v/>
      </c>
      <c r="CF565" s="3">
        <f>INFORME_DGT</f>
        <v/>
      </c>
      <c r="CG565" s="4">
        <f>O565+CD565+CC565+CE565+CF565</f>
        <v/>
      </c>
      <c r="CH565" s="4">
        <f>CG565+N(BU565)</f>
        <v/>
      </c>
      <c r="CI565" s="3">
        <f>IF(CG565&lt;=TOTAL_MAX,"sí",IF(CG565&lt;=TOTAL_MAX+MARGEN_NEG,"negociar","no"))</f>
        <v/>
      </c>
      <c r="CJ565" s="4">
        <f>IF(CI565&lt;&gt;"no",COUNTIFS($CI$2:$CI$662,"&lt;&gt;no",$CA$2:$CA$662,"&gt;"&amp;CA565)+COUNTIFS($CI$2:CI565,"&lt;&gt;no",$CA$2:CA565,CA565),"")</f>
        <v/>
      </c>
    </row>
    <row r="566">
      <c r="A566" s="2" t="inlineStr">
        <is>
          <t>cochesnet:71265158</t>
        </is>
      </c>
      <c r="B566" s="2" t="inlineStr">
        <is>
          <t>cochesnet</t>
        </is>
      </c>
      <c r="C566" s="2" t="inlineStr">
        <is>
          <t>https://www.coches.net/chevrolet-nubira-gasolina-2010-en-valencia-71265158-covo.aspx</t>
        </is>
      </c>
      <c r="D566" s="2" t="inlineStr">
        <is>
          <t>CHEVROLET Nubira</t>
        </is>
      </c>
      <c r="E566" s="2" t="inlineStr">
        <is>
          <t>Chevrolet</t>
        </is>
      </c>
      <c r="F566" s="2" t="inlineStr">
        <is>
          <t>Chevrolet Nubira</t>
        </is>
      </c>
      <c r="G566" s="2" t="n"/>
      <c r="H566" s="2" t="n"/>
      <c r="I566" s="2" t="n"/>
      <c r="J566" s="2" t="n"/>
      <c r="K566" s="2" t="inlineStr">
        <is>
          <t>gasolina</t>
        </is>
      </c>
      <c r="L566" s="2" t="inlineStr">
        <is>
          <t>compacto</t>
        </is>
      </c>
      <c r="M566" s="2" t="n">
        <v>2010</v>
      </c>
      <c r="N566" s="2" t="n">
        <v>99700</v>
      </c>
      <c r="O566" s="2" t="n">
        <v>3800</v>
      </c>
      <c r="P566" s="2" t="inlineStr">
        <is>
          <t>manual</t>
        </is>
      </c>
      <c r="Q566" s="2" t="inlineStr">
        <is>
          <t>no</t>
        </is>
      </c>
      <c r="R566" s="2" t="inlineStr">
        <is>
          <t>particular</t>
        </is>
      </c>
      <c r="S566" s="2" t="n"/>
      <c r="T566" s="2" t="inlineStr">
        <is>
          <t>2026-08-10T12:13:36Z</t>
        </is>
      </c>
      <c r="U566" s="2" t="n">
        <v>3</v>
      </c>
      <c r="V566" s="2" t="n"/>
      <c r="W566" s="2" t="inlineStr">
        <is>
          <t>sí</t>
        </is>
      </c>
      <c r="X566" s="2" t="n"/>
      <c r="Y566" s="2" t="n">
        <v>1</v>
      </c>
      <c r="Z566" s="2" t="inlineStr">
        <is>
          <t>no</t>
        </is>
      </c>
      <c r="AA566" s="2" t="n"/>
      <c r="AB566" s="2" t="n"/>
      <c r="AC566" s="2" t="n"/>
      <c r="AD566" s="2" t="n"/>
      <c r="AE566" s="2" t="n"/>
      <c r="AF566" s="2" t="n"/>
      <c r="AG566" s="2" t="n"/>
      <c r="AH566" s="2" t="n">
        <v>3800</v>
      </c>
      <c r="AI566" s="2" t="n"/>
      <c r="AJ566" s="2" t="n"/>
      <c r="AK566" s="2" t="n"/>
      <c r="AL566" s="2" t="n"/>
      <c r="AM566" s="2" t="n"/>
      <c r="AN566" s="2" t="n"/>
      <c r="AO566" s="2" t="n"/>
      <c r="AP566" s="2" t="n"/>
      <c r="AQ566" s="2" t="n"/>
      <c r="AR56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 mediana con solo 2 anuncio(s)</t>
        </is>
      </c>
      <c r="AS566" s="2" t="inlineStr">
        <is>
          <t>Hola,coche en buen estado.Con llantas de aleación.Ruedas al 90%.Unico propietario.Mantenimiento al día.</t>
        </is>
      </c>
      <c r="AT566" s="2" t="inlineStr">
        <is>
          <t>https://www.coches.net/chevrolet-nubira-gasolina-2010-en-valencia-71265158-covo.aspx (window.__INITIAL_PROPS__.ad) /home/user/Alopecia/buscador-coches/raw/cochesnet/a7f74551eab52f37.json</t>
        </is>
      </c>
      <c r="AU566" s="3">
        <f>MAX(ANIO_ACTUAL-M566,0)</f>
        <v/>
      </c>
      <c r="AV566" s="4">
        <f>N566/MAX(AU566,0.5)</f>
        <v/>
      </c>
      <c r="AW566" s="4">
        <f>F566</f>
        <v/>
      </c>
      <c r="AX566" s="3">
        <f>AW566&amp;"|"&amp;INT(M566/SEG_ANIO)*SEG_ANIO</f>
        <v/>
      </c>
      <c r="AY566" s="3">
        <f>AX566&amp;"|"&amp;INT(N566/SEG_KM)*SEG_KM</f>
        <v/>
      </c>
      <c r="AZ566" s="4">
        <f>COUNTIF($AW$2:$AW$662,AW566)</f>
        <v/>
      </c>
      <c r="BA566" s="4">
        <f>COUNTIF($AX$2:$AX$662,AX566)</f>
        <v/>
      </c>
      <c r="BB566" s="4">
        <f>COUNTIF($AY$2:$AY$662,AY566)</f>
        <v/>
      </c>
      <c r="BC566" s="3">
        <f t="array" ref="BC566">IF(N(AO566)&gt;=MIN_N,AN566,IF(BB566&gt;=MIN_N,MEDIAN(IF($AY$2:$AY$662=AY566,$O$2:$O$662)),IF(BA566&gt;=MIN_N,MEDIAN(IF($AX$2:$AX$662=AX566,$O$2:$O$662)),MEDIAN(IF($AW$2:$AW$662=AW566,$O$2:$O$662)))))</f>
        <v/>
      </c>
      <c r="BD566" s="3">
        <f>IF(N(AO566)&gt;=MIN_N,"mercado "&amp;AP566,IF(BB566&gt;=MIN_N,"modelo+año+km",IF(BA566&gt;=MIN_N,"modelo+año","modelo")))</f>
        <v/>
      </c>
      <c r="BE566" s="4">
        <f>(BC566-O566)/BC566</f>
        <v/>
      </c>
      <c r="BF566" s="3">
        <f>IF(OR(K566="hibrido",K566="glp"),"ECO",IF(K566="electrico","CERO",IF(K566="gasolina",IF(M566&gt;=GAS_C,"C",IF(M566&gt;=GAS_B,"B","A")),IF(K566="diesel",IF(M566&gt;=DIE_C,"C",IF(M566&gt;=DIE_B,"B","A")),""))))</f>
        <v/>
      </c>
      <c r="BG566" s="3">
        <f>IFERROR(VLOOKUP(F566,MOD_TBL,11,0),IFERROR(VLOOKUP(E566,OCU_TBL,2,0),NEUTRO))</f>
        <v/>
      </c>
      <c r="BH566" s="3">
        <f>SUMIFS(MOT_AJUSTE,MOT_MOTOR,G566,MOT_MARCA,E566,MOT_DESDE,"&lt;="&amp;M566,MOT_HASTA,"&gt;="&amp;M566)+SUMIFS(MOT_AJUSTE,MOT_MOTOR,G566,MOT_MARCA,"(todas)",MOT_DESDE,"&lt;="&amp;M566,MOT_HASTA,"&gt;="&amp;M566)</f>
        <v/>
      </c>
      <c r="BI566" s="3">
        <f>SUMIFS(COMB_AJUSTE,COMB_COMB,K566)</f>
        <v/>
      </c>
      <c r="BJ566" s="3">
        <f>COUNTIFS(MOT_MOTOR,G566,MOT_MARCA,E566,MOT_DESDE,"&lt;="&amp;M566,MOT_HASTA,"&gt;="&amp;M566)+COUNTIFS(MOT_MOTOR,G566,MOT_MARCA,"(todas)",MOT_DESDE,"&lt;="&amp;M566,MOT_HASTA,"&gt;="&amp;M566)</f>
        <v/>
      </c>
      <c r="BK566" s="3">
        <f>IF(AND(K566="diesel",BJ566=0),MIN(BG566,NEUTRO),BG566)</f>
        <v/>
      </c>
      <c r="BL566" s="4">
        <f>MAX(0,MIN(100,BK566+BH566+BI566))</f>
        <v/>
      </c>
      <c r="BM566" s="3">
        <f>MAX(0,MIN(100,50+BE566*PRECIO_PEND))</f>
        <v/>
      </c>
      <c r="BN566" s="3">
        <f>MAX(0,100*(1-N566/KM_MAX))</f>
        <v/>
      </c>
      <c r="BO566" s="3">
        <f>IF(AV566&lt;KMA_SOSP,IF(AA566="sí",100,KMA_PEN),IF(AV566&lt;=KMA_IDEAL_MAX,100,MAX(0,100*(KMA_CERO-AV566)/(KMA_CERO-KMA_IDEAL_MAX))))</f>
        <v/>
      </c>
      <c r="BP566" s="3">
        <f>MAX(0,MIN(100,100*(M566-ANIO_MIN)/(ANIO_ACTUAL-ANIO_MIN)))</f>
        <v/>
      </c>
      <c r="BQ566" s="3">
        <f>W_KMT*BN566+W_KMA*BO566+W_EDAD*BP566</f>
        <v/>
      </c>
      <c r="BR566" s="3">
        <f>P_ITV*(V566="sí")+P_LIBRO*(W566="sí")+P_CORREA*(X566="sí")+P_PROP*(Y566=1)+P_GAR*(Z566="sí")+P_FOTOS*MIN(1,N(U566)/FOTOS_OBJ)</f>
        <v/>
      </c>
      <c r="BS566" s="3">
        <f>IFERROR(VLOOKUP(BF566,ETQ_TBL,2,0),NEUTRO)</f>
        <v/>
      </c>
      <c r="BT566" s="3">
        <f>NEUTRO</f>
        <v/>
      </c>
      <c r="BU566" s="3">
        <f>IFERROR(VLOOKUP(L566,SEGURO_TBL,3,0),"")</f>
        <v/>
      </c>
      <c r="BV566" s="3">
        <f>IF(BU566="",NEUTRO,MAX(0,MIN(100,100*(SEG_REF_MAX-BU566)/(SEG_REF_MAX-SEG_REF_MIN))))</f>
        <v/>
      </c>
      <c r="BW566" s="3">
        <f>W_ET*BS566+W_CONS*BT566+W_SEG*BV566</f>
        <v/>
      </c>
      <c r="BX566" s="3">
        <f>IF(N(AB566)&gt;0,AB566,IF(AND(R566="profesional",SG_LEGAL_ON=1),GAR_LEGAL,0))</f>
        <v/>
      </c>
      <c r="BY566" s="3">
        <f>SG_GAR*MIN(1,BX566/SG_GAR_FULL)+SG_AMPL*(AC566="sí")+SG_KMC*(AF566="sí")+SG_REV*(N(AE566)&gt;0)+SG_DEV*MIN(1,N(AG566)/SG_DEV_FULL)+SG_HIST*(W566="sí")</f>
        <v/>
      </c>
      <c r="BZ566" s="3">
        <f>IFERROR(VLOOKUP(L566,CARR_PEN_TBL,2,0),0)</f>
        <v/>
      </c>
      <c r="CA566" s="3">
        <f>W_FIAB*BL566+W_PRECIO*BM566+W_KMEDAD*BQ566+W_ANUNCIO*BR566+W_USO*BW566+W_SEGURIDAD*BY566-BZ566</f>
        <v/>
      </c>
      <c r="CB566" s="4">
        <f>IF(N(I566)&gt;0,I566,IFERROR(ROUND(_xlfn.NUMBERVALUE(LEFT(G566,FIND(" ",G566&amp;" ")-1),".")*1000,0),99999))</f>
        <v/>
      </c>
      <c r="CC566" s="3">
        <f>IF(R566="profesional",0,IF(O566&lt;CUOTA_VALOR_MAX,IF(AU566&gt;ITP_TRAMO_ALTO,SUMIFS(CF_CUOTA,CF_MAS,ITP_TRAMO_ALTO,CF_CCMIN,"&lt;="&amp;CB566,CF_CCMAX,"&gt;="&amp;CB566),IF(AU566&gt;ITP_TRAMO_BAJO,SUMIFS(CF_CUOTA,CF_MAS,ITP_TRAMO_BAJO,CF_CCMIN,"&lt;="&amp;CB566,CF_CCMAX,"&gt;="&amp;CB566),O566*ITP_TIPO)),O566*ITP_TIPO))</f>
        <v/>
      </c>
      <c r="CD566" s="4">
        <f>IF(R566="profesional",N(AK566),0)</f>
        <v/>
      </c>
      <c r="CE566" s="3">
        <f>IF(AND(R566="profesional",ISNUMBER(AK566),AL566="sí"),0,TASA_DGT)</f>
        <v/>
      </c>
      <c r="CF566" s="3">
        <f>INFORME_DGT</f>
        <v/>
      </c>
      <c r="CG566" s="4">
        <f>O566+CD566+CC566+CE566+CF566</f>
        <v/>
      </c>
      <c r="CH566" s="4">
        <f>CG566+N(BU566)</f>
        <v/>
      </c>
      <c r="CI566" s="3">
        <f>IF(CG566&lt;=TOTAL_MAX,"sí",IF(CG566&lt;=TOTAL_MAX+MARGEN_NEG,"negociar","no"))</f>
        <v/>
      </c>
      <c r="CJ566" s="4">
        <f>IF(CI566&lt;&gt;"no",COUNTIFS($CI$2:$CI$662,"&lt;&gt;no",$CA$2:$CA$662,"&gt;"&amp;CA566)+COUNTIFS($CI$2:CI566,"&lt;&gt;no",$CA$2:CA566,CA566),"")</f>
        <v/>
      </c>
    </row>
    <row r="567">
      <c r="A567" s="2" t="inlineStr">
        <is>
          <t>cochesnet:71109870</t>
        </is>
      </c>
      <c r="B567" s="2" t="inlineStr">
        <is>
          <t>cochesnet</t>
        </is>
      </c>
      <c r="C567" s="2" t="inlineStr">
        <is>
          <t>https://www.coches.net/chevrolet-aveo-gasolina-2006-en-valencia-71109870-covo.aspx</t>
        </is>
      </c>
      <c r="D567" s="2" t="inlineStr">
        <is>
          <t>CHEVROLET Aveo</t>
        </is>
      </c>
      <c r="E567" s="2" t="inlineStr">
        <is>
          <t>Chevrolet</t>
        </is>
      </c>
      <c r="F567" s="2" t="inlineStr">
        <is>
          <t>Chevrolet Aveo</t>
        </is>
      </c>
      <c r="G567" s="2" t="n"/>
      <c r="H567" s="2" t="n"/>
      <c r="I567" s="2" t="n"/>
      <c r="J567" s="2" t="n"/>
      <c r="K567" s="2" t="inlineStr">
        <is>
          <t>gasolina</t>
        </is>
      </c>
      <c r="L567" s="2" t="inlineStr">
        <is>
          <t>utilitario</t>
        </is>
      </c>
      <c r="M567" s="2" t="n">
        <v>2006</v>
      </c>
      <c r="N567" s="2" t="n">
        <v>135000</v>
      </c>
      <c r="O567" s="2" t="n">
        <v>2800</v>
      </c>
      <c r="P567" s="2" t="inlineStr">
        <is>
          <t>manual</t>
        </is>
      </c>
      <c r="Q567" s="2" t="inlineStr">
        <is>
          <t>no</t>
        </is>
      </c>
      <c r="R567" s="2" t="inlineStr">
        <is>
          <t>particular</t>
        </is>
      </c>
      <c r="S567" s="2" t="n"/>
      <c r="T567" s="2" t="inlineStr">
        <is>
          <t>2026-07-17T19:59:39Z</t>
        </is>
      </c>
      <c r="U567" s="2" t="n">
        <v>7</v>
      </c>
      <c r="V567" s="2" t="n"/>
      <c r="W567" s="2" t="n"/>
      <c r="X567" s="2" t="n"/>
      <c r="Y567" s="2" t="n"/>
      <c r="Z567" s="2" t="inlineStr">
        <is>
          <t>no</t>
        </is>
      </c>
      <c r="AA567" s="2" t="n"/>
      <c r="AB567" s="2" t="n"/>
      <c r="AC567" s="2" t="n"/>
      <c r="AD567" s="2" t="n"/>
      <c r="AE567" s="2" t="n"/>
      <c r="AF567" s="2" t="n"/>
      <c r="AG567" s="2" t="n"/>
      <c r="AH567" s="2" t="n">
        <v>2800</v>
      </c>
      <c r="AI567" s="2" t="n"/>
      <c r="AJ567" s="2" t="n"/>
      <c r="AK567" s="2" t="n"/>
      <c r="AL567" s="2" t="n"/>
      <c r="AM567" s="2" t="n"/>
      <c r="AN567" s="2" t="n"/>
      <c r="AO567" s="2" t="n"/>
      <c r="AP567" s="2" t="n"/>
      <c r="AQ567" s="2" t="n"/>
      <c r="AR56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567" s="2" t="inlineStr">
        <is>
          <t xml:space="preserve">sólo detalles de chapa rasguños por el año, lo demás impecable </t>
        </is>
      </c>
      <c r="AT567" s="2" t="inlineStr">
        <is>
          <t>https://www.coches.net/chevrolet-aveo-gasolina-2006-en-valencia-71109870-covo.aspx (window.__INITIAL_PROPS__.ad) /home/user/Alopecia/buscador-coches/raw/cochesnet/1e04c6e52775e860.json</t>
        </is>
      </c>
      <c r="AU567" s="3">
        <f>MAX(ANIO_ACTUAL-M567,0)</f>
        <v/>
      </c>
      <c r="AV567" s="4">
        <f>N567/MAX(AU567,0.5)</f>
        <v/>
      </c>
      <c r="AW567" s="4">
        <f>F567</f>
        <v/>
      </c>
      <c r="AX567" s="3">
        <f>AW567&amp;"|"&amp;INT(M567/SEG_ANIO)*SEG_ANIO</f>
        <v/>
      </c>
      <c r="AY567" s="3">
        <f>AX567&amp;"|"&amp;INT(N567/SEG_KM)*SEG_KM</f>
        <v/>
      </c>
      <c r="AZ567" s="4">
        <f>COUNTIF($AW$2:$AW$662,AW567)</f>
        <v/>
      </c>
      <c r="BA567" s="4">
        <f>COUNTIF($AX$2:$AX$662,AX567)</f>
        <v/>
      </c>
      <c r="BB567" s="4">
        <f>COUNTIF($AY$2:$AY$662,AY567)</f>
        <v/>
      </c>
      <c r="BC567" s="3">
        <f t="array" ref="BC567">IF(N(AO567)&gt;=MIN_N,AN567,IF(BB567&gt;=MIN_N,MEDIAN(IF($AY$2:$AY$662=AY567,$O$2:$O$662)),IF(BA567&gt;=MIN_N,MEDIAN(IF($AX$2:$AX$662=AX567,$O$2:$O$662)),MEDIAN(IF($AW$2:$AW$662=AW567,$O$2:$O$662)))))</f>
        <v/>
      </c>
      <c r="BD567" s="3">
        <f>IF(N(AO567)&gt;=MIN_N,"mercado "&amp;AP567,IF(BB567&gt;=MIN_N,"modelo+año+km",IF(BA567&gt;=MIN_N,"modelo+año","modelo")))</f>
        <v/>
      </c>
      <c r="BE567" s="4">
        <f>(BC567-O567)/BC567</f>
        <v/>
      </c>
      <c r="BF567" s="3">
        <f>IF(OR(K567="hibrido",K567="glp"),"ECO",IF(K567="electrico","CERO",IF(K567="gasolina",IF(M567&gt;=GAS_C,"C",IF(M567&gt;=GAS_B,"B","A")),IF(K567="diesel",IF(M567&gt;=DIE_C,"C",IF(M567&gt;=DIE_B,"B","A")),""))))</f>
        <v/>
      </c>
      <c r="BG567" s="3">
        <f>IFERROR(VLOOKUP(F567,MOD_TBL,11,0),IFERROR(VLOOKUP(E567,OCU_TBL,2,0),NEUTRO))</f>
        <v/>
      </c>
      <c r="BH567" s="3">
        <f>SUMIFS(MOT_AJUSTE,MOT_MOTOR,G567,MOT_MARCA,E567,MOT_DESDE,"&lt;="&amp;M567,MOT_HASTA,"&gt;="&amp;M567)+SUMIFS(MOT_AJUSTE,MOT_MOTOR,G567,MOT_MARCA,"(todas)",MOT_DESDE,"&lt;="&amp;M567,MOT_HASTA,"&gt;="&amp;M567)</f>
        <v/>
      </c>
      <c r="BI567" s="3">
        <f>SUMIFS(COMB_AJUSTE,COMB_COMB,K567)</f>
        <v/>
      </c>
      <c r="BJ567" s="3">
        <f>COUNTIFS(MOT_MOTOR,G567,MOT_MARCA,E567,MOT_DESDE,"&lt;="&amp;M567,MOT_HASTA,"&gt;="&amp;M567)+COUNTIFS(MOT_MOTOR,G567,MOT_MARCA,"(todas)",MOT_DESDE,"&lt;="&amp;M567,MOT_HASTA,"&gt;="&amp;M567)</f>
        <v/>
      </c>
      <c r="BK567" s="3">
        <f>IF(AND(K567="diesel",BJ567=0),MIN(BG567,NEUTRO),BG567)</f>
        <v/>
      </c>
      <c r="BL567" s="4">
        <f>MAX(0,MIN(100,BK567+BH567+BI567))</f>
        <v/>
      </c>
      <c r="BM567" s="3">
        <f>MAX(0,MIN(100,50+BE567*PRECIO_PEND))</f>
        <v/>
      </c>
      <c r="BN567" s="3">
        <f>MAX(0,100*(1-N567/KM_MAX))</f>
        <v/>
      </c>
      <c r="BO567" s="3">
        <f>IF(AV567&lt;KMA_SOSP,IF(AA567="sí",100,KMA_PEN),IF(AV567&lt;=KMA_IDEAL_MAX,100,MAX(0,100*(KMA_CERO-AV567)/(KMA_CERO-KMA_IDEAL_MAX))))</f>
        <v/>
      </c>
      <c r="BP567" s="3">
        <f>MAX(0,MIN(100,100*(M567-ANIO_MIN)/(ANIO_ACTUAL-ANIO_MIN)))</f>
        <v/>
      </c>
      <c r="BQ567" s="3">
        <f>W_KMT*BN567+W_KMA*BO567+W_EDAD*BP567</f>
        <v/>
      </c>
      <c r="BR567" s="3">
        <f>P_ITV*(V567="sí")+P_LIBRO*(W567="sí")+P_CORREA*(X567="sí")+P_PROP*(Y567=1)+P_GAR*(Z567="sí")+P_FOTOS*MIN(1,N(U567)/FOTOS_OBJ)</f>
        <v/>
      </c>
      <c r="BS567" s="3">
        <f>IFERROR(VLOOKUP(BF567,ETQ_TBL,2,0),NEUTRO)</f>
        <v/>
      </c>
      <c r="BT567" s="3">
        <f>NEUTRO</f>
        <v/>
      </c>
      <c r="BU567" s="3">
        <f>IFERROR(VLOOKUP(L567,SEGURO_TBL,3,0),"")</f>
        <v/>
      </c>
      <c r="BV567" s="3">
        <f>IF(BU567="",NEUTRO,MAX(0,MIN(100,100*(SEG_REF_MAX-BU567)/(SEG_REF_MAX-SEG_REF_MIN))))</f>
        <v/>
      </c>
      <c r="BW567" s="3">
        <f>W_ET*BS567+W_CONS*BT567+W_SEG*BV567</f>
        <v/>
      </c>
      <c r="BX567" s="3">
        <f>IF(N(AB567)&gt;0,AB567,IF(AND(R567="profesional",SG_LEGAL_ON=1),GAR_LEGAL,0))</f>
        <v/>
      </c>
      <c r="BY567" s="3">
        <f>SG_GAR*MIN(1,BX567/SG_GAR_FULL)+SG_AMPL*(AC567="sí")+SG_KMC*(AF567="sí")+SG_REV*(N(AE567)&gt;0)+SG_DEV*MIN(1,N(AG567)/SG_DEV_FULL)+SG_HIST*(W567="sí")</f>
        <v/>
      </c>
      <c r="BZ567" s="3">
        <f>IFERROR(VLOOKUP(L567,CARR_PEN_TBL,2,0),0)</f>
        <v/>
      </c>
      <c r="CA567" s="3">
        <f>W_FIAB*BL567+W_PRECIO*BM567+W_KMEDAD*BQ567+W_ANUNCIO*BR567+W_USO*BW567+W_SEGURIDAD*BY567-BZ567</f>
        <v/>
      </c>
      <c r="CB567" s="4">
        <f>IF(N(I567)&gt;0,I567,IFERROR(ROUND(_xlfn.NUMBERVALUE(LEFT(G567,FIND(" ",G567&amp;" ")-1),".")*1000,0),99999))</f>
        <v/>
      </c>
      <c r="CC567" s="3">
        <f>IF(R567="profesional",0,IF(O567&lt;CUOTA_VALOR_MAX,IF(AU567&gt;ITP_TRAMO_ALTO,SUMIFS(CF_CUOTA,CF_MAS,ITP_TRAMO_ALTO,CF_CCMIN,"&lt;="&amp;CB567,CF_CCMAX,"&gt;="&amp;CB567),IF(AU567&gt;ITP_TRAMO_BAJO,SUMIFS(CF_CUOTA,CF_MAS,ITP_TRAMO_BAJO,CF_CCMIN,"&lt;="&amp;CB567,CF_CCMAX,"&gt;="&amp;CB567),O567*ITP_TIPO)),O567*ITP_TIPO))</f>
        <v/>
      </c>
      <c r="CD567" s="4">
        <f>IF(R567="profesional",N(AK567),0)</f>
        <v/>
      </c>
      <c r="CE567" s="3">
        <f>IF(AND(R567="profesional",ISNUMBER(AK567),AL567="sí"),0,TASA_DGT)</f>
        <v/>
      </c>
      <c r="CF567" s="3">
        <f>INFORME_DGT</f>
        <v/>
      </c>
      <c r="CG567" s="4">
        <f>O567+CD567+CC567+CE567+CF567</f>
        <v/>
      </c>
      <c r="CH567" s="4">
        <f>CG567+N(BU567)</f>
        <v/>
      </c>
      <c r="CI567" s="3">
        <f>IF(CG567&lt;=TOTAL_MAX,"sí",IF(CG567&lt;=TOTAL_MAX+MARGEN_NEG,"negociar","no"))</f>
        <v/>
      </c>
      <c r="CJ567" s="4">
        <f>IF(CI567&lt;&gt;"no",COUNTIFS($CI$2:$CI$662,"&lt;&gt;no",$CA$2:$CA$662,"&gt;"&amp;CA567)+COUNTIFS($CI$2:CI567,"&lt;&gt;no",$CA$2:CA567,CA567),"")</f>
        <v/>
      </c>
    </row>
    <row r="568">
      <c r="A568" s="2" t="inlineStr">
        <is>
          <t>cochesnet:70954238</t>
        </is>
      </c>
      <c r="B568" s="2" t="inlineStr">
        <is>
          <t>cochesnet</t>
        </is>
      </c>
      <c r="C568" s="2" t="inlineStr">
        <is>
          <t>https://www.coches.net/chevrolet-epica-gasolina-2009-en-valencia-70954238-covo.aspx</t>
        </is>
      </c>
      <c r="D568" s="2" t="inlineStr">
        <is>
          <t>CHEVROLET Epica</t>
        </is>
      </c>
      <c r="E568" s="2" t="inlineStr">
        <is>
          <t>Chevrolet</t>
        </is>
      </c>
      <c r="F568" s="2" t="inlineStr">
        <is>
          <t>Chevrolet Epica</t>
        </is>
      </c>
      <c r="G568" s="2" t="n"/>
      <c r="H568" s="2" t="n"/>
      <c r="I568" s="2" t="n"/>
      <c r="J568" s="2" t="n"/>
      <c r="K568" s="2" t="inlineStr">
        <is>
          <t>gasolina</t>
        </is>
      </c>
      <c r="L568" s="2" t="inlineStr">
        <is>
          <t>berlina</t>
        </is>
      </c>
      <c r="M568" s="2" t="n">
        <v>2009</v>
      </c>
      <c r="N568" s="2" t="n">
        <v>107000</v>
      </c>
      <c r="O568" s="2" t="n">
        <v>3700</v>
      </c>
      <c r="P568" s="2" t="inlineStr">
        <is>
          <t>manual</t>
        </is>
      </c>
      <c r="Q568" s="2" t="inlineStr">
        <is>
          <t>no</t>
        </is>
      </c>
      <c r="R568" s="2" t="inlineStr">
        <is>
          <t>particular</t>
        </is>
      </c>
      <c r="S568" s="2" t="inlineStr">
        <is>
          <t>Alboraya</t>
        </is>
      </c>
      <c r="T568" s="2" t="inlineStr">
        <is>
          <t>2026-06-29T19:34:50Z</t>
        </is>
      </c>
      <c r="U568" s="2" t="n">
        <v>7</v>
      </c>
      <c r="V568" s="2" t="n"/>
      <c r="W568" s="2" t="n"/>
      <c r="X568" s="2" t="n"/>
      <c r="Y568" s="2" t="n"/>
      <c r="Z568" s="2" t="inlineStr">
        <is>
          <t>no</t>
        </is>
      </c>
      <c r="AA568" s="2" t="n"/>
      <c r="AB568" s="2" t="n"/>
      <c r="AC568" s="2" t="n"/>
      <c r="AD568" s="2" t="n"/>
      <c r="AE568" s="2" t="n"/>
      <c r="AF568" s="2" t="n"/>
      <c r="AG568" s="2" t="n"/>
      <c r="AH568" s="2" t="n">
        <v>3700</v>
      </c>
      <c r="AI568" s="2" t="n"/>
      <c r="AJ568" s="2" t="n"/>
      <c r="AK568" s="2" t="n"/>
      <c r="AL568" s="2" t="n"/>
      <c r="AM568" s="2" t="n">
        <v>4</v>
      </c>
      <c r="AN568" s="2" t="n">
        <v>3600</v>
      </c>
      <c r="AO568" s="2" t="n">
        <v>8</v>
      </c>
      <c r="AP568" s="2" t="inlineStr">
        <is>
          <t>modelo+año</t>
        </is>
      </c>
      <c r="AQ568" s="2" t="inlineStr">
        <is>
          <t>cochesnet:70953986 (https://www.coches.net/chevrolet-epica-20-24v-ltx-4p-gasolina-2009-en-valencia-70953986-covo.aspx)</t>
        </is>
      </c>
      <c r="AR568" s="2" t="inlineStr">
        <is>
          <t>cilindrada desconocida: se aplica el tramo de cuota fija más alto; cuota fija ITP: &gt;12 años, más de 2.000 cc; carrocería berlina: -4 puntos; fiabilidad del modelo PENDIENTE de fuente (puntuación neutra)</t>
        </is>
      </c>
      <c r="AS568" s="2" t="inlineStr">
        <is>
          <t>Está en muy buen estado, le hicimos la última revisión hace unos meses y los filtros de combustible y de aceite del aire acondicionado son nuevos.</t>
        </is>
      </c>
      <c r="AT568" s="2" t="inlineStr">
        <is>
          <t>https://www.coches.net/chevrolet-epica-gasolina-2009-en-valencia-70954238-covo.aspx (window.__INITIAL_PROPS__.ad) /home/user/Alopecia/buscador-coches/raw/cochesnet/3cc19e55f0dedaf0.json</t>
        </is>
      </c>
      <c r="AU568" s="3">
        <f>MAX(ANIO_ACTUAL-M568,0)</f>
        <v/>
      </c>
      <c r="AV568" s="4">
        <f>N568/MAX(AU568,0.5)</f>
        <v/>
      </c>
      <c r="AW568" s="4">
        <f>F568</f>
        <v/>
      </c>
      <c r="AX568" s="3">
        <f>AW568&amp;"|"&amp;INT(M568/SEG_ANIO)*SEG_ANIO</f>
        <v/>
      </c>
      <c r="AY568" s="3">
        <f>AX568&amp;"|"&amp;INT(N568/SEG_KM)*SEG_KM</f>
        <v/>
      </c>
      <c r="AZ568" s="4">
        <f>COUNTIF($AW$2:$AW$662,AW568)</f>
        <v/>
      </c>
      <c r="BA568" s="4">
        <f>COUNTIF($AX$2:$AX$662,AX568)</f>
        <v/>
      </c>
      <c r="BB568" s="4">
        <f>COUNTIF($AY$2:$AY$662,AY568)</f>
        <v/>
      </c>
      <c r="BC568" s="3">
        <f t="array" ref="BC568">IF(N(AO568)&gt;=MIN_N,AN568,IF(BB568&gt;=MIN_N,MEDIAN(IF($AY$2:$AY$662=AY568,$O$2:$O$662)),IF(BA568&gt;=MIN_N,MEDIAN(IF($AX$2:$AX$662=AX568,$O$2:$O$662)),MEDIAN(IF($AW$2:$AW$662=AW568,$O$2:$O$662)))))</f>
        <v/>
      </c>
      <c r="BD568" s="3">
        <f>IF(N(AO568)&gt;=MIN_N,"mercado "&amp;AP568,IF(BB568&gt;=MIN_N,"modelo+año+km",IF(BA568&gt;=MIN_N,"modelo+año","modelo")))</f>
        <v/>
      </c>
      <c r="BE568" s="4">
        <f>(BC568-O568)/BC568</f>
        <v/>
      </c>
      <c r="BF568" s="3">
        <f>IF(OR(K568="hibrido",K568="glp"),"ECO",IF(K568="electrico","CERO",IF(K568="gasolina",IF(M568&gt;=GAS_C,"C",IF(M568&gt;=GAS_B,"B","A")),IF(K568="diesel",IF(M568&gt;=DIE_C,"C",IF(M568&gt;=DIE_B,"B","A")),""))))</f>
        <v/>
      </c>
      <c r="BG568" s="3">
        <f>IFERROR(VLOOKUP(F568,MOD_TBL,11,0),IFERROR(VLOOKUP(E568,OCU_TBL,2,0),NEUTRO))</f>
        <v/>
      </c>
      <c r="BH568" s="3">
        <f>SUMIFS(MOT_AJUSTE,MOT_MOTOR,G568,MOT_MARCA,E568,MOT_DESDE,"&lt;="&amp;M568,MOT_HASTA,"&gt;="&amp;M568)+SUMIFS(MOT_AJUSTE,MOT_MOTOR,G568,MOT_MARCA,"(todas)",MOT_DESDE,"&lt;="&amp;M568,MOT_HASTA,"&gt;="&amp;M568)</f>
        <v/>
      </c>
      <c r="BI568" s="3">
        <f>SUMIFS(COMB_AJUSTE,COMB_COMB,K568)</f>
        <v/>
      </c>
      <c r="BJ568" s="3">
        <f>COUNTIFS(MOT_MOTOR,G568,MOT_MARCA,E568,MOT_DESDE,"&lt;="&amp;M568,MOT_HASTA,"&gt;="&amp;M568)+COUNTIFS(MOT_MOTOR,G568,MOT_MARCA,"(todas)",MOT_DESDE,"&lt;="&amp;M568,MOT_HASTA,"&gt;="&amp;M568)</f>
        <v/>
      </c>
      <c r="BK568" s="3">
        <f>IF(AND(K568="diesel",BJ568=0),MIN(BG568,NEUTRO),BG568)</f>
        <v/>
      </c>
      <c r="BL568" s="4">
        <f>MAX(0,MIN(100,BK568+BH568+BI568))</f>
        <v/>
      </c>
      <c r="BM568" s="3">
        <f>MAX(0,MIN(100,50+BE568*PRECIO_PEND))</f>
        <v/>
      </c>
      <c r="BN568" s="3">
        <f>MAX(0,100*(1-N568/KM_MAX))</f>
        <v/>
      </c>
      <c r="BO568" s="3">
        <f>IF(AV568&lt;KMA_SOSP,IF(AA568="sí",100,KMA_PEN),IF(AV568&lt;=KMA_IDEAL_MAX,100,MAX(0,100*(KMA_CERO-AV568)/(KMA_CERO-KMA_IDEAL_MAX))))</f>
        <v/>
      </c>
      <c r="BP568" s="3">
        <f>MAX(0,MIN(100,100*(M568-ANIO_MIN)/(ANIO_ACTUAL-ANIO_MIN)))</f>
        <v/>
      </c>
      <c r="BQ568" s="3">
        <f>W_KMT*BN568+W_KMA*BO568+W_EDAD*BP568</f>
        <v/>
      </c>
      <c r="BR568" s="3">
        <f>P_ITV*(V568="sí")+P_LIBRO*(W568="sí")+P_CORREA*(X568="sí")+P_PROP*(Y568=1)+P_GAR*(Z568="sí")+P_FOTOS*MIN(1,N(U568)/FOTOS_OBJ)</f>
        <v/>
      </c>
      <c r="BS568" s="3">
        <f>IFERROR(VLOOKUP(BF568,ETQ_TBL,2,0),NEUTRO)</f>
        <v/>
      </c>
      <c r="BT568" s="3">
        <f>NEUTRO</f>
        <v/>
      </c>
      <c r="BU568" s="3">
        <f>IFERROR(VLOOKUP(L568,SEGURO_TBL,3,0),"")</f>
        <v/>
      </c>
      <c r="BV568" s="3">
        <f>IF(BU568="",NEUTRO,MAX(0,MIN(100,100*(SEG_REF_MAX-BU568)/(SEG_REF_MAX-SEG_REF_MIN))))</f>
        <v/>
      </c>
      <c r="BW568" s="3">
        <f>W_ET*BS568+W_CONS*BT568+W_SEG*BV568</f>
        <v/>
      </c>
      <c r="BX568" s="3">
        <f>IF(N(AB568)&gt;0,AB568,IF(AND(R568="profesional",SG_LEGAL_ON=1),GAR_LEGAL,0))</f>
        <v/>
      </c>
      <c r="BY568" s="3">
        <f>SG_GAR*MIN(1,BX568/SG_GAR_FULL)+SG_AMPL*(AC568="sí")+SG_KMC*(AF568="sí")+SG_REV*(N(AE568)&gt;0)+SG_DEV*MIN(1,N(AG568)/SG_DEV_FULL)+SG_HIST*(W568="sí")</f>
        <v/>
      </c>
      <c r="BZ568" s="3">
        <f>IFERROR(VLOOKUP(L568,CARR_PEN_TBL,2,0),0)</f>
        <v/>
      </c>
      <c r="CA568" s="3">
        <f>W_FIAB*BL568+W_PRECIO*BM568+W_KMEDAD*BQ568+W_ANUNCIO*BR568+W_USO*BW568+W_SEGURIDAD*BY568-BZ568</f>
        <v/>
      </c>
      <c r="CB568" s="4">
        <f>IF(N(I568)&gt;0,I568,IFERROR(ROUND(_xlfn.NUMBERVALUE(LEFT(G568,FIND(" ",G568&amp;" ")-1),".")*1000,0),99999))</f>
        <v/>
      </c>
      <c r="CC568" s="3">
        <f>IF(R568="profesional",0,IF(O568&lt;CUOTA_VALOR_MAX,IF(AU568&gt;ITP_TRAMO_ALTO,SUMIFS(CF_CUOTA,CF_MAS,ITP_TRAMO_ALTO,CF_CCMIN,"&lt;="&amp;CB568,CF_CCMAX,"&gt;="&amp;CB568),IF(AU568&gt;ITP_TRAMO_BAJO,SUMIFS(CF_CUOTA,CF_MAS,ITP_TRAMO_BAJO,CF_CCMIN,"&lt;="&amp;CB568,CF_CCMAX,"&gt;="&amp;CB568),O568*ITP_TIPO)),O568*ITP_TIPO))</f>
        <v/>
      </c>
      <c r="CD568" s="4">
        <f>IF(R568="profesional",N(AK568),0)</f>
        <v/>
      </c>
      <c r="CE568" s="3">
        <f>IF(AND(R568="profesional",ISNUMBER(AK568),AL568="sí"),0,TASA_DGT)</f>
        <v/>
      </c>
      <c r="CF568" s="3">
        <f>INFORME_DGT</f>
        <v/>
      </c>
      <c r="CG568" s="4">
        <f>O568+CD568+CC568+CE568+CF568</f>
        <v/>
      </c>
      <c r="CH568" s="4">
        <f>CG568+N(BU568)</f>
        <v/>
      </c>
      <c r="CI568" s="3">
        <f>IF(CG568&lt;=TOTAL_MAX,"sí",IF(CG568&lt;=TOTAL_MAX+MARGEN_NEG,"negociar","no"))</f>
        <v/>
      </c>
      <c r="CJ568" s="4">
        <f>IF(CI568&lt;&gt;"no",COUNTIFS($CI$2:$CI$662,"&lt;&gt;no",$CA$2:$CA$662,"&gt;"&amp;CA568)+COUNTIFS($CI$2:CI568,"&lt;&gt;no",$CA$2:CA568,CA568),"")</f>
        <v/>
      </c>
    </row>
    <row r="569">
      <c r="A569" s="2" t="inlineStr">
        <is>
          <t>cochesnet:61193809</t>
        </is>
      </c>
      <c r="B569" s="2" t="inlineStr">
        <is>
          <t>cochesnet</t>
        </is>
      </c>
      <c r="C569" s="2" t="inlineStr">
        <is>
          <t>https://www.coches.net/chevrolet-matiz-gasolina-2007-en-valencia-61193809-covo.aspx</t>
        </is>
      </c>
      <c r="D569" s="2" t="inlineStr">
        <is>
          <t>CHEVROLET Matiz 0.8 SE Auto</t>
        </is>
      </c>
      <c r="E569" s="2" t="inlineStr">
        <is>
          <t>Chevrolet</t>
        </is>
      </c>
      <c r="F569" s="2" t="inlineStr">
        <is>
          <t>Chevrolet Matiz</t>
        </is>
      </c>
      <c r="G569" s="2" t="inlineStr">
        <is>
          <t>0.8</t>
        </is>
      </c>
      <c r="H569" s="2" t="inlineStr">
        <is>
          <t>0.8 SE Auto</t>
        </is>
      </c>
      <c r="I569" s="2" t="n"/>
      <c r="J569" s="2" t="n"/>
      <c r="K569" s="2" t="inlineStr">
        <is>
          <t>gasolina</t>
        </is>
      </c>
      <c r="L569" s="2" t="inlineStr">
        <is>
          <t>utilitario</t>
        </is>
      </c>
      <c r="M569" s="2" t="n">
        <v>2007</v>
      </c>
      <c r="N569" s="2" t="n">
        <v>131000</v>
      </c>
      <c r="O569" s="2" t="n">
        <v>2200</v>
      </c>
      <c r="P569" s="2" t="inlineStr">
        <is>
          <t>manual</t>
        </is>
      </c>
      <c r="Q569" s="2" t="inlineStr">
        <is>
          <t>no</t>
        </is>
      </c>
      <c r="R569" s="2" t="inlineStr">
        <is>
          <t>particular</t>
        </is>
      </c>
      <c r="S569" s="2" t="n"/>
      <c r="T569" s="2" t="inlineStr">
        <is>
          <t>2025-08-05T10:44:19Z</t>
        </is>
      </c>
      <c r="U569" s="2" t="n">
        <v>7</v>
      </c>
      <c r="V569" s="2" t="inlineStr">
        <is>
          <t>sí</t>
        </is>
      </c>
      <c r="W569" s="2" t="n"/>
      <c r="X569" s="2" t="n"/>
      <c r="Y569" s="2" t="n">
        <v>1</v>
      </c>
      <c r="Z569" s="2" t="inlineStr">
        <is>
          <t>no</t>
        </is>
      </c>
      <c r="AA569" s="2" t="n"/>
      <c r="AB569" s="2" t="n"/>
      <c r="AC569" s="2" t="n"/>
      <c r="AD569" s="2" t="n"/>
      <c r="AE569" s="2" t="n"/>
      <c r="AF569" s="2" t="n"/>
      <c r="AG569" s="2" t="n"/>
      <c r="AH569" s="2" t="n">
        <v>2200</v>
      </c>
      <c r="AI569" s="2" t="n"/>
      <c r="AJ569" s="2" t="n"/>
      <c r="AK569" s="2" t="n"/>
      <c r="AL569" s="2" t="n"/>
      <c r="AM569" s="2" t="n"/>
      <c r="AN569" s="2" t="n"/>
      <c r="AO569" s="2" t="n"/>
      <c r="AP569" s="2" t="n"/>
      <c r="AQ569" s="2" t="n"/>
      <c r="AR569" s="2" t="inlineStr">
        <is>
          <t>cuota fija ITP: &gt;12 años, hasta 1.500 cc; distancia no verificable (el anuncio solo indica la provincia): confirmar que está a &lt;= 70 km; fiabilidad del modelo PENDIENTE de fuente (puntuación neutra)</t>
        </is>
      </c>
      <c r="AS569" s="2" t="inlineStr">
        <is>
          <t>todo al dia itv recien pasada todos los estras un solo dueño</t>
        </is>
      </c>
      <c r="AT569" s="2" t="inlineStr">
        <is>
          <t>https://www.coches.net/chevrolet-matiz-gasolina-2007-en-valencia-61193809-covo.aspx (window.__INITIAL_PROPS__.ad) /home/user/Alopecia/buscador-coches/raw/cochesnet/398722698ce8f184.json</t>
        </is>
      </c>
      <c r="AU569" s="3">
        <f>MAX(ANIO_ACTUAL-M569,0)</f>
        <v/>
      </c>
      <c r="AV569" s="4">
        <f>N569/MAX(AU569,0.5)</f>
        <v/>
      </c>
      <c r="AW569" s="4">
        <f>F569</f>
        <v/>
      </c>
      <c r="AX569" s="3">
        <f>AW569&amp;"|"&amp;INT(M569/SEG_ANIO)*SEG_ANIO</f>
        <v/>
      </c>
      <c r="AY569" s="3">
        <f>AX569&amp;"|"&amp;INT(N569/SEG_KM)*SEG_KM</f>
        <v/>
      </c>
      <c r="AZ569" s="4">
        <f>COUNTIF($AW$2:$AW$662,AW569)</f>
        <v/>
      </c>
      <c r="BA569" s="4">
        <f>COUNTIF($AX$2:$AX$662,AX569)</f>
        <v/>
      </c>
      <c r="BB569" s="4">
        <f>COUNTIF($AY$2:$AY$662,AY569)</f>
        <v/>
      </c>
      <c r="BC569" s="3">
        <f t="array" ref="BC569">IF(N(AO569)&gt;=MIN_N,AN569,IF(BB569&gt;=MIN_N,MEDIAN(IF($AY$2:$AY$662=AY569,$O$2:$O$662)),IF(BA569&gt;=MIN_N,MEDIAN(IF($AX$2:$AX$662=AX569,$O$2:$O$662)),MEDIAN(IF($AW$2:$AW$662=AW569,$O$2:$O$662)))))</f>
        <v/>
      </c>
      <c r="BD569" s="3">
        <f>IF(N(AO569)&gt;=MIN_N,"mercado "&amp;AP569,IF(BB569&gt;=MIN_N,"modelo+año+km",IF(BA569&gt;=MIN_N,"modelo+año","modelo")))</f>
        <v/>
      </c>
      <c r="BE569" s="4">
        <f>(BC569-O569)/BC569</f>
        <v/>
      </c>
      <c r="BF569" s="3">
        <f>IF(OR(K569="hibrido",K569="glp"),"ECO",IF(K569="electrico","CERO",IF(K569="gasolina",IF(M569&gt;=GAS_C,"C",IF(M569&gt;=GAS_B,"B","A")),IF(K569="diesel",IF(M569&gt;=DIE_C,"C",IF(M569&gt;=DIE_B,"B","A")),""))))</f>
        <v/>
      </c>
      <c r="BG569" s="3">
        <f>IFERROR(VLOOKUP(F569,MOD_TBL,11,0),IFERROR(VLOOKUP(E569,OCU_TBL,2,0),NEUTRO))</f>
        <v/>
      </c>
      <c r="BH569" s="3">
        <f>SUMIFS(MOT_AJUSTE,MOT_MOTOR,G569,MOT_MARCA,E569,MOT_DESDE,"&lt;="&amp;M569,MOT_HASTA,"&gt;="&amp;M569)+SUMIFS(MOT_AJUSTE,MOT_MOTOR,G569,MOT_MARCA,"(todas)",MOT_DESDE,"&lt;="&amp;M569,MOT_HASTA,"&gt;="&amp;M569)</f>
        <v/>
      </c>
      <c r="BI569" s="3">
        <f>SUMIFS(COMB_AJUSTE,COMB_COMB,K569)</f>
        <v/>
      </c>
      <c r="BJ569" s="3">
        <f>COUNTIFS(MOT_MOTOR,G569,MOT_MARCA,E569,MOT_DESDE,"&lt;="&amp;M569,MOT_HASTA,"&gt;="&amp;M569)+COUNTIFS(MOT_MOTOR,G569,MOT_MARCA,"(todas)",MOT_DESDE,"&lt;="&amp;M569,MOT_HASTA,"&gt;="&amp;M569)</f>
        <v/>
      </c>
      <c r="BK569" s="3">
        <f>IF(AND(K569="diesel",BJ569=0),MIN(BG569,NEUTRO),BG569)</f>
        <v/>
      </c>
      <c r="BL569" s="4">
        <f>MAX(0,MIN(100,BK569+BH569+BI569))</f>
        <v/>
      </c>
      <c r="BM569" s="3">
        <f>MAX(0,MIN(100,50+BE569*PRECIO_PEND))</f>
        <v/>
      </c>
      <c r="BN569" s="3">
        <f>MAX(0,100*(1-N569/KM_MAX))</f>
        <v/>
      </c>
      <c r="BO569" s="3">
        <f>IF(AV569&lt;KMA_SOSP,IF(AA569="sí",100,KMA_PEN),IF(AV569&lt;=KMA_IDEAL_MAX,100,MAX(0,100*(KMA_CERO-AV569)/(KMA_CERO-KMA_IDEAL_MAX))))</f>
        <v/>
      </c>
      <c r="BP569" s="3">
        <f>MAX(0,MIN(100,100*(M569-ANIO_MIN)/(ANIO_ACTUAL-ANIO_MIN)))</f>
        <v/>
      </c>
      <c r="BQ569" s="3">
        <f>W_KMT*BN569+W_KMA*BO569+W_EDAD*BP569</f>
        <v/>
      </c>
      <c r="BR569" s="3">
        <f>P_ITV*(V569="sí")+P_LIBRO*(W569="sí")+P_CORREA*(X569="sí")+P_PROP*(Y569=1)+P_GAR*(Z569="sí")+P_FOTOS*MIN(1,N(U569)/FOTOS_OBJ)</f>
        <v/>
      </c>
      <c r="BS569" s="3">
        <f>IFERROR(VLOOKUP(BF569,ETQ_TBL,2,0),NEUTRO)</f>
        <v/>
      </c>
      <c r="BT569" s="3">
        <f>NEUTRO</f>
        <v/>
      </c>
      <c r="BU569" s="3">
        <f>IFERROR(VLOOKUP(L569,SEGURO_TBL,3,0),"")</f>
        <v/>
      </c>
      <c r="BV569" s="3">
        <f>IF(BU569="",NEUTRO,MAX(0,MIN(100,100*(SEG_REF_MAX-BU569)/(SEG_REF_MAX-SEG_REF_MIN))))</f>
        <v/>
      </c>
      <c r="BW569" s="3">
        <f>W_ET*BS569+W_CONS*BT569+W_SEG*BV569</f>
        <v/>
      </c>
      <c r="BX569" s="3">
        <f>IF(N(AB569)&gt;0,AB569,IF(AND(R569="profesional",SG_LEGAL_ON=1),GAR_LEGAL,0))</f>
        <v/>
      </c>
      <c r="BY569" s="3">
        <f>SG_GAR*MIN(1,BX569/SG_GAR_FULL)+SG_AMPL*(AC569="sí")+SG_KMC*(AF569="sí")+SG_REV*(N(AE569)&gt;0)+SG_DEV*MIN(1,N(AG569)/SG_DEV_FULL)+SG_HIST*(W569="sí")</f>
        <v/>
      </c>
      <c r="BZ569" s="3">
        <f>IFERROR(VLOOKUP(L569,CARR_PEN_TBL,2,0),0)</f>
        <v/>
      </c>
      <c r="CA569" s="3">
        <f>W_FIAB*BL569+W_PRECIO*BM569+W_KMEDAD*BQ569+W_ANUNCIO*BR569+W_USO*BW569+W_SEGURIDAD*BY569-BZ569</f>
        <v/>
      </c>
      <c r="CB569" s="4">
        <f>IF(N(I569)&gt;0,I569,IFERROR(ROUND(_xlfn.NUMBERVALUE(LEFT(G569,FIND(" ",G569&amp;" ")-1),".")*1000,0),99999))</f>
        <v/>
      </c>
      <c r="CC569" s="3">
        <f>IF(R569="profesional",0,IF(O569&lt;CUOTA_VALOR_MAX,IF(AU569&gt;ITP_TRAMO_ALTO,SUMIFS(CF_CUOTA,CF_MAS,ITP_TRAMO_ALTO,CF_CCMIN,"&lt;="&amp;CB569,CF_CCMAX,"&gt;="&amp;CB569),IF(AU569&gt;ITP_TRAMO_BAJO,SUMIFS(CF_CUOTA,CF_MAS,ITP_TRAMO_BAJO,CF_CCMIN,"&lt;="&amp;CB569,CF_CCMAX,"&gt;="&amp;CB569),O569*ITP_TIPO)),O569*ITP_TIPO))</f>
        <v/>
      </c>
      <c r="CD569" s="4">
        <f>IF(R569="profesional",N(AK569),0)</f>
        <v/>
      </c>
      <c r="CE569" s="3">
        <f>IF(AND(R569="profesional",ISNUMBER(AK569),AL569="sí"),0,TASA_DGT)</f>
        <v/>
      </c>
      <c r="CF569" s="3">
        <f>INFORME_DGT</f>
        <v/>
      </c>
      <c r="CG569" s="4">
        <f>O569+CD569+CC569+CE569+CF569</f>
        <v/>
      </c>
      <c r="CH569" s="4">
        <f>CG569+N(BU569)</f>
        <v/>
      </c>
      <c r="CI569" s="3">
        <f>IF(CG569&lt;=TOTAL_MAX,"sí",IF(CG569&lt;=TOTAL_MAX+MARGEN_NEG,"negociar","no"))</f>
        <v/>
      </c>
      <c r="CJ569" s="4">
        <f>IF(CI569&lt;&gt;"no",COUNTIFS($CI$2:$CI$662,"&lt;&gt;no",$CA$2:$CA$662,"&gt;"&amp;CA569)+COUNTIFS($CI$2:CI569,"&lt;&gt;no",$CA$2:CA569,CA569),"")</f>
        <v/>
      </c>
    </row>
    <row r="570">
      <c r="A570" s="2" t="inlineStr">
        <is>
          <t>cochesnet:71821051</t>
        </is>
      </c>
      <c r="B570" s="2" t="inlineStr">
        <is>
          <t>cochesnet</t>
        </is>
      </c>
      <c r="C570" s="2" t="inlineStr">
        <is>
          <t>https://www.coches.net/toyota-aygo-10-vvti-aygo-5p-gasolina-2008-en-castellon-71821051-covo.aspx</t>
        </is>
      </c>
      <c r="D570" s="2" t="inlineStr">
        <is>
          <t>TOYOTA Aygo 1.0 VVTi Aygo</t>
        </is>
      </c>
      <c r="E570" s="2" t="inlineStr">
        <is>
          <t>Toyota</t>
        </is>
      </c>
      <c r="F570" s="2" t="inlineStr">
        <is>
          <t>Toyota Aygo</t>
        </is>
      </c>
      <c r="G570" s="2" t="inlineStr">
        <is>
          <t>1.0 VVT-i</t>
        </is>
      </c>
      <c r="H570" s="2" t="inlineStr">
        <is>
          <t>1.0 VVTi Aygo</t>
        </is>
      </c>
      <c r="I570" s="2" t="n"/>
      <c r="J570" s="2" t="n"/>
      <c r="K570" s="2" t="inlineStr">
        <is>
          <t>gasolina</t>
        </is>
      </c>
      <c r="L570" s="2" t="inlineStr">
        <is>
          <t>utilitario</t>
        </is>
      </c>
      <c r="M570" s="2" t="n">
        <v>2008</v>
      </c>
      <c r="N570" s="2" t="n">
        <v>126000</v>
      </c>
      <c r="O570" s="2" t="n">
        <v>4290</v>
      </c>
      <c r="P570" s="2" t="inlineStr">
        <is>
          <t>manual</t>
        </is>
      </c>
      <c r="Q570" s="2" t="inlineStr">
        <is>
          <t>no</t>
        </is>
      </c>
      <c r="R570" s="2" t="inlineStr">
        <is>
          <t>particular</t>
        </is>
      </c>
      <c r="S570" s="2" t="n"/>
      <c r="T570" s="2" t="inlineStr">
        <is>
          <t>2026-10-23T18:41:31Z</t>
        </is>
      </c>
      <c r="U570" s="2" t="n">
        <v>9</v>
      </c>
      <c r="V570" s="2" t="inlineStr">
        <is>
          <t>sí</t>
        </is>
      </c>
      <c r="W570" s="2" t="n"/>
      <c r="X570" s="2" t="n"/>
      <c r="Y570" s="2" t="n"/>
      <c r="Z570" s="2" t="inlineStr">
        <is>
          <t>no</t>
        </is>
      </c>
      <c r="AA570" s="2" t="n"/>
      <c r="AB570" s="2" t="n"/>
      <c r="AC570" s="2" t="n"/>
      <c r="AD570" s="2" t="n"/>
      <c r="AE570" s="2" t="n"/>
      <c r="AF570" s="2" t="n"/>
      <c r="AG570" s="2" t="n"/>
      <c r="AH570" s="2" t="n">
        <v>4290</v>
      </c>
      <c r="AI570" s="2" t="n"/>
      <c r="AJ570" s="2" t="n"/>
      <c r="AK570" s="2" t="n"/>
      <c r="AL570" s="2" t="n"/>
      <c r="AM570" s="2" t="n"/>
      <c r="AN570" s="2" t="n">
        <v>3795</v>
      </c>
      <c r="AO570" s="2" t="n">
        <v>4</v>
      </c>
      <c r="AP570" s="2" t="inlineStr">
        <is>
          <t>modelo+año</t>
        </is>
      </c>
      <c r="AQ570" s="2" t="n"/>
      <c r="AR570" s="2" t="inlineStr">
        <is>
          <t>cuota fija ITP: &gt;12 años, hasta 1.500 cc; distancia no verificable (el anuncio solo indica la provincia): confirmar que está a &lt;= 70 km</t>
        </is>
      </c>
      <c r="AS570" s="2" t="inlineStr">
        <is>
          <t>Toyota Aygo 1.0 VVT-i gasolina, año 2008, con 126.000 km.
Buen estado general para sus años, con las señales normales de uso que se pueden apreciar en las fotos. Color rosa, muy llamativo y poco habitual.
Coche compacto y práctico para el día a día.
Se entrega con ITV pasada.
Disponible para ver. Para cualquier duda o más información, contactar por mensaje.</t>
        </is>
      </c>
      <c r="AT570" s="2" t="inlineStr">
        <is>
          <t>https://www.coches.net/toyota-aygo-10-vvti-aygo-5p-gasolina-2008-en-castellon-71821051-covo.aspx (window.__INITIAL_PROPS__.ad) /home/user/Alopecia/buscador-coches/raw/cochesnet/49450a3a9bbe8039.json</t>
        </is>
      </c>
      <c r="AU570" s="3">
        <f>MAX(ANIO_ACTUAL-M570,0)</f>
        <v/>
      </c>
      <c r="AV570" s="4">
        <f>N570/MAX(AU570,0.5)</f>
        <v/>
      </c>
      <c r="AW570" s="4">
        <f>F570</f>
        <v/>
      </c>
      <c r="AX570" s="3">
        <f>AW570&amp;"|"&amp;INT(M570/SEG_ANIO)*SEG_ANIO</f>
        <v/>
      </c>
      <c r="AY570" s="3">
        <f>AX570&amp;"|"&amp;INT(N570/SEG_KM)*SEG_KM</f>
        <v/>
      </c>
      <c r="AZ570" s="4">
        <f>COUNTIF($AW$2:$AW$662,AW570)</f>
        <v/>
      </c>
      <c r="BA570" s="4">
        <f>COUNTIF($AX$2:$AX$662,AX570)</f>
        <v/>
      </c>
      <c r="BB570" s="4">
        <f>COUNTIF($AY$2:$AY$662,AY570)</f>
        <v/>
      </c>
      <c r="BC570" s="3">
        <f t="array" ref="BC570">IF(N(AO570)&gt;=MIN_N,AN570,IF(BB570&gt;=MIN_N,MEDIAN(IF($AY$2:$AY$662=AY570,$O$2:$O$662)),IF(BA570&gt;=MIN_N,MEDIAN(IF($AX$2:$AX$662=AX570,$O$2:$O$662)),MEDIAN(IF($AW$2:$AW$662=AW570,$O$2:$O$662)))))</f>
        <v/>
      </c>
      <c r="BD570" s="3">
        <f>IF(N(AO570)&gt;=MIN_N,"mercado "&amp;AP570,IF(BB570&gt;=MIN_N,"modelo+año+km",IF(BA570&gt;=MIN_N,"modelo+año","modelo")))</f>
        <v/>
      </c>
      <c r="BE570" s="4">
        <f>(BC570-O570)/BC570</f>
        <v/>
      </c>
      <c r="BF570" s="3">
        <f>IF(OR(K570="hibrido",K570="glp"),"ECO",IF(K570="electrico","CERO",IF(K570="gasolina",IF(M570&gt;=GAS_C,"C",IF(M570&gt;=GAS_B,"B","A")),IF(K570="diesel",IF(M570&gt;=DIE_C,"C",IF(M570&gt;=DIE_B,"B","A")),""))))</f>
        <v/>
      </c>
      <c r="BG570" s="3">
        <f>IFERROR(VLOOKUP(F570,MOD_TBL,11,0),IFERROR(VLOOKUP(E570,OCU_TBL,2,0),NEUTRO))</f>
        <v/>
      </c>
      <c r="BH570" s="3">
        <f>SUMIFS(MOT_AJUSTE,MOT_MOTOR,G570,MOT_MARCA,E570,MOT_DESDE,"&lt;="&amp;M570,MOT_HASTA,"&gt;="&amp;M570)+SUMIFS(MOT_AJUSTE,MOT_MOTOR,G570,MOT_MARCA,"(todas)",MOT_DESDE,"&lt;="&amp;M570,MOT_HASTA,"&gt;="&amp;M570)</f>
        <v/>
      </c>
      <c r="BI570" s="3">
        <f>SUMIFS(COMB_AJUSTE,COMB_COMB,K570)</f>
        <v/>
      </c>
      <c r="BJ570" s="3">
        <f>COUNTIFS(MOT_MOTOR,G570,MOT_MARCA,E570,MOT_DESDE,"&lt;="&amp;M570,MOT_HASTA,"&gt;="&amp;M570)+COUNTIFS(MOT_MOTOR,G570,MOT_MARCA,"(todas)",MOT_DESDE,"&lt;="&amp;M570,MOT_HASTA,"&gt;="&amp;M570)</f>
        <v/>
      </c>
      <c r="BK570" s="3">
        <f>IF(AND(K570="diesel",BJ570=0),MIN(BG570,NEUTRO),BG570)</f>
        <v/>
      </c>
      <c r="BL570" s="4">
        <f>MAX(0,MIN(100,BK570+BH570+BI570))</f>
        <v/>
      </c>
      <c r="BM570" s="3">
        <f>MAX(0,MIN(100,50+BE570*PRECIO_PEND))</f>
        <v/>
      </c>
      <c r="BN570" s="3">
        <f>MAX(0,100*(1-N570/KM_MAX))</f>
        <v/>
      </c>
      <c r="BO570" s="3">
        <f>IF(AV570&lt;KMA_SOSP,IF(AA570="sí",100,KMA_PEN),IF(AV570&lt;=KMA_IDEAL_MAX,100,MAX(0,100*(KMA_CERO-AV570)/(KMA_CERO-KMA_IDEAL_MAX))))</f>
        <v/>
      </c>
      <c r="BP570" s="3">
        <f>MAX(0,MIN(100,100*(M570-ANIO_MIN)/(ANIO_ACTUAL-ANIO_MIN)))</f>
        <v/>
      </c>
      <c r="BQ570" s="3">
        <f>W_KMT*BN570+W_KMA*BO570+W_EDAD*BP570</f>
        <v/>
      </c>
      <c r="BR570" s="3">
        <f>P_ITV*(V570="sí")+P_LIBRO*(W570="sí")+P_CORREA*(X570="sí")+P_PROP*(Y570=1)+P_GAR*(Z570="sí")+P_FOTOS*MIN(1,N(U570)/FOTOS_OBJ)</f>
        <v/>
      </c>
      <c r="BS570" s="3">
        <f>IFERROR(VLOOKUP(BF570,ETQ_TBL,2,0),NEUTRO)</f>
        <v/>
      </c>
      <c r="BT570" s="3">
        <f>NEUTRO</f>
        <v/>
      </c>
      <c r="BU570" s="3">
        <f>IFERROR(VLOOKUP(L570,SEGURO_TBL,3,0),"")</f>
        <v/>
      </c>
      <c r="BV570" s="3">
        <f>IF(BU570="",NEUTRO,MAX(0,MIN(100,100*(SEG_REF_MAX-BU570)/(SEG_REF_MAX-SEG_REF_MIN))))</f>
        <v/>
      </c>
      <c r="BW570" s="3">
        <f>W_ET*BS570+W_CONS*BT570+W_SEG*BV570</f>
        <v/>
      </c>
      <c r="BX570" s="3">
        <f>IF(N(AB570)&gt;0,AB570,IF(AND(R570="profesional",SG_LEGAL_ON=1),GAR_LEGAL,0))</f>
        <v/>
      </c>
      <c r="BY570" s="3">
        <f>SG_GAR*MIN(1,BX570/SG_GAR_FULL)+SG_AMPL*(AC570="sí")+SG_KMC*(AF570="sí")+SG_REV*(N(AE570)&gt;0)+SG_DEV*MIN(1,N(AG570)/SG_DEV_FULL)+SG_HIST*(W570="sí")</f>
        <v/>
      </c>
      <c r="BZ570" s="3">
        <f>IFERROR(VLOOKUP(L570,CARR_PEN_TBL,2,0),0)</f>
        <v/>
      </c>
      <c r="CA570" s="3">
        <f>W_FIAB*BL570+W_PRECIO*BM570+W_KMEDAD*BQ570+W_ANUNCIO*BR570+W_USO*BW570+W_SEGURIDAD*BY570-BZ570</f>
        <v/>
      </c>
      <c r="CB570" s="4">
        <f>IF(N(I570)&gt;0,I570,IFERROR(ROUND(_xlfn.NUMBERVALUE(LEFT(G570,FIND(" ",G570&amp;" ")-1),".")*1000,0),99999))</f>
        <v/>
      </c>
      <c r="CC570" s="3">
        <f>IF(R570="profesional",0,IF(O570&lt;CUOTA_VALOR_MAX,IF(AU570&gt;ITP_TRAMO_ALTO,SUMIFS(CF_CUOTA,CF_MAS,ITP_TRAMO_ALTO,CF_CCMIN,"&lt;="&amp;CB570,CF_CCMAX,"&gt;="&amp;CB570),IF(AU570&gt;ITP_TRAMO_BAJO,SUMIFS(CF_CUOTA,CF_MAS,ITP_TRAMO_BAJO,CF_CCMIN,"&lt;="&amp;CB570,CF_CCMAX,"&gt;="&amp;CB570),O570*ITP_TIPO)),O570*ITP_TIPO))</f>
        <v/>
      </c>
      <c r="CD570" s="4">
        <f>IF(R570="profesional",N(AK570),0)</f>
        <v/>
      </c>
      <c r="CE570" s="3">
        <f>IF(AND(R570="profesional",ISNUMBER(AK570),AL570="sí"),0,TASA_DGT)</f>
        <v/>
      </c>
      <c r="CF570" s="3">
        <f>INFORME_DGT</f>
        <v/>
      </c>
      <c r="CG570" s="4">
        <f>O570+CD570+CC570+CE570+CF570</f>
        <v/>
      </c>
      <c r="CH570" s="4">
        <f>CG570+N(BU570)</f>
        <v/>
      </c>
      <c r="CI570" s="3">
        <f>IF(CG570&lt;=TOTAL_MAX,"sí",IF(CG570&lt;=TOTAL_MAX+MARGEN_NEG,"negociar","no"))</f>
        <v/>
      </c>
      <c r="CJ570" s="4">
        <f>IF(CI570&lt;&gt;"no",COUNTIFS($CI$2:$CI$662,"&lt;&gt;no",$CA$2:$CA$662,"&gt;"&amp;CA570)+COUNTIFS($CI$2:CI570,"&lt;&gt;no",$CA$2:CA570,CA570),"")</f>
        <v/>
      </c>
    </row>
    <row r="571">
      <c r="A571" s="2" t="inlineStr">
        <is>
          <t>cochesnet:71307943</t>
        </is>
      </c>
      <c r="B571" s="2" t="inlineStr">
        <is>
          <t>cochesnet</t>
        </is>
      </c>
      <c r="C571" s="2" t="inlineStr">
        <is>
          <t>https://www.coches.net/toyota-corolla-diesel-2006-en-castellon-71307943-covo.aspx</t>
        </is>
      </c>
      <c r="D571" s="2" t="inlineStr">
        <is>
          <t>TOYOTA Corolla</t>
        </is>
      </c>
      <c r="E571" s="2" t="inlineStr">
        <is>
          <t>Toyota</t>
        </is>
      </c>
      <c r="F571" s="2" t="inlineStr">
        <is>
          <t>Toyota Corolla</t>
        </is>
      </c>
      <c r="G571" s="2" t="n"/>
      <c r="H571" s="2" t="n"/>
      <c r="I571" s="2" t="n"/>
      <c r="J571" s="2" t="n"/>
      <c r="K571" s="2" t="inlineStr">
        <is>
          <t>diesel</t>
        </is>
      </c>
      <c r="L571" s="2" t="inlineStr">
        <is>
          <t>compacto</t>
        </is>
      </c>
      <c r="M571" s="2" t="n">
        <v>2006</v>
      </c>
      <c r="N571" s="2" t="n">
        <v>183000</v>
      </c>
      <c r="O571" s="2" t="n">
        <v>4000</v>
      </c>
      <c r="P571" s="2" t="inlineStr">
        <is>
          <t>manual</t>
        </is>
      </c>
      <c r="Q571" s="2" t="inlineStr">
        <is>
          <t>no</t>
        </is>
      </c>
      <c r="R571" s="2" t="inlineStr">
        <is>
          <t>particular</t>
        </is>
      </c>
      <c r="S571" s="2" t="inlineStr">
        <is>
          <t>Vila-real</t>
        </is>
      </c>
      <c r="T571" s="2" t="inlineStr">
        <is>
          <t>2026-08-17T14:39:24Z</t>
        </is>
      </c>
      <c r="U571" s="2" t="n">
        <v>7</v>
      </c>
      <c r="V571" s="2" t="n"/>
      <c r="W571" s="2" t="n"/>
      <c r="X571" s="2" t="n"/>
      <c r="Y571" s="2" t="n"/>
      <c r="Z571" s="2" t="inlineStr">
        <is>
          <t>no</t>
        </is>
      </c>
      <c r="AA571" s="2" t="n"/>
      <c r="AB571" s="2" t="n"/>
      <c r="AC571" s="2" t="n"/>
      <c r="AD571" s="2" t="n"/>
      <c r="AE571" s="2" t="n"/>
      <c r="AF571" s="2" t="n"/>
      <c r="AG571" s="2" t="n"/>
      <c r="AH571" s="2" t="n">
        <v>4000</v>
      </c>
      <c r="AI571" s="2" t="n"/>
      <c r="AJ571" s="2" t="n"/>
      <c r="AK571" s="2" t="n"/>
      <c r="AL571" s="2" t="n"/>
      <c r="AM571" s="2" t="n"/>
      <c r="AN571" s="2" t="n">
        <v>4200</v>
      </c>
      <c r="AO571" s="2" t="n">
        <v>4</v>
      </c>
      <c r="AP571" s="2" t="inlineStr">
        <is>
          <t>modelo+año+km</t>
        </is>
      </c>
      <c r="AQ571" s="2" t="n"/>
      <c r="AR571"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571" s="2" t="inlineStr">
        <is>
          <t>Un coche conocido por su fiabilidad , bajo consumo y durabilidad extrema en su motor diesel. Es perfecto para el día a día , con una mecánica muy robusta que aún tiene mucha vida por delante. Ha pasado la ITV en Julio 2026 y la revisión de los 180.000km . A tener en cuenta : Chapa y pintura , presenta algunas rozaduras y roces propios del uso diario . Nada estructural, solo estética. Mecánica: el motor funciona bien .Ventaja importante ! De cara al precio final con los interesados se valorará una rebaja para compensar la reparación de los desperfectos. Se puede ver y probar sin compromiso. Escribeme ante cualquier duda o concertar una cita.</t>
        </is>
      </c>
      <c r="AT571" s="2" t="inlineStr">
        <is>
          <t>https://www.coches.net/toyota-corolla-diesel-2006-en-castellon-71307943-covo.aspx (window.__INITIAL_PROPS__.ad) /home/user/Alopecia/buscador-coches/raw/cochesnet/1f6529668784c820.json</t>
        </is>
      </c>
      <c r="AU571" s="3">
        <f>MAX(ANIO_ACTUAL-M571,0)</f>
        <v/>
      </c>
      <c r="AV571" s="4">
        <f>N571/MAX(AU571,0.5)</f>
        <v/>
      </c>
      <c r="AW571" s="4">
        <f>F571</f>
        <v/>
      </c>
      <c r="AX571" s="3">
        <f>AW571&amp;"|"&amp;INT(M571/SEG_ANIO)*SEG_ANIO</f>
        <v/>
      </c>
      <c r="AY571" s="3">
        <f>AX571&amp;"|"&amp;INT(N571/SEG_KM)*SEG_KM</f>
        <v/>
      </c>
      <c r="AZ571" s="4">
        <f>COUNTIF($AW$2:$AW$662,AW571)</f>
        <v/>
      </c>
      <c r="BA571" s="4">
        <f>COUNTIF($AX$2:$AX$662,AX571)</f>
        <v/>
      </c>
      <c r="BB571" s="4">
        <f>COUNTIF($AY$2:$AY$662,AY571)</f>
        <v/>
      </c>
      <c r="BC571" s="3">
        <f t="array" ref="BC571">IF(N(AO571)&gt;=MIN_N,AN571,IF(BB571&gt;=MIN_N,MEDIAN(IF($AY$2:$AY$662=AY571,$O$2:$O$662)),IF(BA571&gt;=MIN_N,MEDIAN(IF($AX$2:$AX$662=AX571,$O$2:$O$662)),MEDIAN(IF($AW$2:$AW$662=AW571,$O$2:$O$662)))))</f>
        <v/>
      </c>
      <c r="BD571" s="3">
        <f>IF(N(AO571)&gt;=MIN_N,"mercado "&amp;AP571,IF(BB571&gt;=MIN_N,"modelo+año+km",IF(BA571&gt;=MIN_N,"modelo+año","modelo")))</f>
        <v/>
      </c>
      <c r="BE571" s="4">
        <f>(BC571-O571)/BC571</f>
        <v/>
      </c>
      <c r="BF571" s="3">
        <f>IF(OR(K571="hibrido",K571="glp"),"ECO",IF(K571="electrico","CERO",IF(K571="gasolina",IF(M571&gt;=GAS_C,"C",IF(M571&gt;=GAS_B,"B","A")),IF(K571="diesel",IF(M571&gt;=DIE_C,"C",IF(M571&gt;=DIE_B,"B","A")),""))))</f>
        <v/>
      </c>
      <c r="BG571" s="3">
        <f>IFERROR(VLOOKUP(F571,MOD_TBL,11,0),IFERROR(VLOOKUP(E571,OCU_TBL,2,0),NEUTRO))</f>
        <v/>
      </c>
      <c r="BH571" s="3">
        <f>SUMIFS(MOT_AJUSTE,MOT_MOTOR,G571,MOT_MARCA,E571,MOT_DESDE,"&lt;="&amp;M571,MOT_HASTA,"&gt;="&amp;M571)+SUMIFS(MOT_AJUSTE,MOT_MOTOR,G571,MOT_MARCA,"(todas)",MOT_DESDE,"&lt;="&amp;M571,MOT_HASTA,"&gt;="&amp;M571)</f>
        <v/>
      </c>
      <c r="BI571" s="3">
        <f>SUMIFS(COMB_AJUSTE,COMB_COMB,K571)</f>
        <v/>
      </c>
      <c r="BJ571" s="3">
        <f>COUNTIFS(MOT_MOTOR,G571,MOT_MARCA,E571,MOT_DESDE,"&lt;="&amp;M571,MOT_HASTA,"&gt;="&amp;M571)+COUNTIFS(MOT_MOTOR,G571,MOT_MARCA,"(todas)",MOT_DESDE,"&lt;="&amp;M571,MOT_HASTA,"&gt;="&amp;M571)</f>
        <v/>
      </c>
      <c r="BK571" s="3">
        <f>IF(AND(K571="diesel",BJ571=0),MIN(BG571,NEUTRO),BG571)</f>
        <v/>
      </c>
      <c r="BL571" s="4">
        <f>MAX(0,MIN(100,BK571+BH571+BI571))</f>
        <v/>
      </c>
      <c r="BM571" s="3">
        <f>MAX(0,MIN(100,50+BE571*PRECIO_PEND))</f>
        <v/>
      </c>
      <c r="BN571" s="3">
        <f>MAX(0,100*(1-N571/KM_MAX))</f>
        <v/>
      </c>
      <c r="BO571" s="3">
        <f>IF(AV571&lt;KMA_SOSP,IF(AA571="sí",100,KMA_PEN),IF(AV571&lt;=KMA_IDEAL_MAX,100,MAX(0,100*(KMA_CERO-AV571)/(KMA_CERO-KMA_IDEAL_MAX))))</f>
        <v/>
      </c>
      <c r="BP571" s="3">
        <f>MAX(0,MIN(100,100*(M571-ANIO_MIN)/(ANIO_ACTUAL-ANIO_MIN)))</f>
        <v/>
      </c>
      <c r="BQ571" s="3">
        <f>W_KMT*BN571+W_KMA*BO571+W_EDAD*BP571</f>
        <v/>
      </c>
      <c r="BR571" s="3">
        <f>P_ITV*(V571="sí")+P_LIBRO*(W571="sí")+P_CORREA*(X571="sí")+P_PROP*(Y571=1)+P_GAR*(Z571="sí")+P_FOTOS*MIN(1,N(U571)/FOTOS_OBJ)</f>
        <v/>
      </c>
      <c r="BS571" s="3">
        <f>IFERROR(VLOOKUP(BF571,ETQ_TBL,2,0),NEUTRO)</f>
        <v/>
      </c>
      <c r="BT571" s="3">
        <f>NEUTRO</f>
        <v/>
      </c>
      <c r="BU571" s="3">
        <f>IFERROR(VLOOKUP(L571,SEGURO_TBL,3,0),"")</f>
        <v/>
      </c>
      <c r="BV571" s="3">
        <f>IF(BU571="",NEUTRO,MAX(0,MIN(100,100*(SEG_REF_MAX-BU571)/(SEG_REF_MAX-SEG_REF_MIN))))</f>
        <v/>
      </c>
      <c r="BW571" s="3">
        <f>W_ET*BS571+W_CONS*BT571+W_SEG*BV571</f>
        <v/>
      </c>
      <c r="BX571" s="3">
        <f>IF(N(AB571)&gt;0,AB571,IF(AND(R571="profesional",SG_LEGAL_ON=1),GAR_LEGAL,0))</f>
        <v/>
      </c>
      <c r="BY571" s="3">
        <f>SG_GAR*MIN(1,BX571/SG_GAR_FULL)+SG_AMPL*(AC571="sí")+SG_KMC*(AF571="sí")+SG_REV*(N(AE571)&gt;0)+SG_DEV*MIN(1,N(AG571)/SG_DEV_FULL)+SG_HIST*(W571="sí")</f>
        <v/>
      </c>
      <c r="BZ571" s="3">
        <f>IFERROR(VLOOKUP(L571,CARR_PEN_TBL,2,0),0)</f>
        <v/>
      </c>
      <c r="CA571" s="3">
        <f>W_FIAB*BL571+W_PRECIO*BM571+W_KMEDAD*BQ571+W_ANUNCIO*BR571+W_USO*BW571+W_SEGURIDAD*BY571-BZ571</f>
        <v/>
      </c>
      <c r="CB571" s="4">
        <f>IF(N(I571)&gt;0,I571,IFERROR(ROUND(_xlfn.NUMBERVALUE(LEFT(G571,FIND(" ",G571&amp;" ")-1),".")*1000,0),99999))</f>
        <v/>
      </c>
      <c r="CC571" s="3">
        <f>IF(R571="profesional",0,IF(O571&lt;CUOTA_VALOR_MAX,IF(AU571&gt;ITP_TRAMO_ALTO,SUMIFS(CF_CUOTA,CF_MAS,ITP_TRAMO_ALTO,CF_CCMIN,"&lt;="&amp;CB571,CF_CCMAX,"&gt;="&amp;CB571),IF(AU571&gt;ITP_TRAMO_BAJO,SUMIFS(CF_CUOTA,CF_MAS,ITP_TRAMO_BAJO,CF_CCMIN,"&lt;="&amp;CB571,CF_CCMAX,"&gt;="&amp;CB571),O571*ITP_TIPO)),O571*ITP_TIPO))</f>
        <v/>
      </c>
      <c r="CD571" s="4">
        <f>IF(R571="profesional",N(AK571),0)</f>
        <v/>
      </c>
      <c r="CE571" s="3">
        <f>IF(AND(R571="profesional",ISNUMBER(AK571),AL571="sí"),0,TASA_DGT)</f>
        <v/>
      </c>
      <c r="CF571" s="3">
        <f>INFORME_DGT</f>
        <v/>
      </c>
      <c r="CG571" s="4">
        <f>O571+CD571+CC571+CE571+CF571</f>
        <v/>
      </c>
      <c r="CH571" s="4">
        <f>CG571+N(BU571)</f>
        <v/>
      </c>
      <c r="CI571" s="3">
        <f>IF(CG571&lt;=TOTAL_MAX,"sí",IF(CG571&lt;=TOTAL_MAX+MARGEN_NEG,"negociar","no"))</f>
        <v/>
      </c>
      <c r="CJ571" s="4">
        <f>IF(CI571&lt;&gt;"no",COUNTIFS($CI$2:$CI$662,"&lt;&gt;no",$CA$2:$CA$662,"&gt;"&amp;CA571)+COUNTIFS($CI$2:CI571,"&lt;&gt;no",$CA$2:CA571,CA571),"")</f>
        <v/>
      </c>
    </row>
    <row r="572">
      <c r="A572" s="2" t="inlineStr">
        <is>
          <t>cochesnet:71285724</t>
        </is>
      </c>
      <c r="B572" s="2" t="inlineStr">
        <is>
          <t>cochesnet</t>
        </is>
      </c>
      <c r="C572" s="2" t="inlineStr">
        <is>
          <t>https://www.coches.net/toyota-corolla-14-d4d-90cv-luna-5p-diesel-2006-en-castellon-71285724-covo.aspx</t>
        </is>
      </c>
      <c r="D572" s="2" t="inlineStr">
        <is>
          <t>TOYOTA Corolla 1.4 D4D Luna</t>
        </is>
      </c>
      <c r="E572" s="2" t="inlineStr">
        <is>
          <t>Toyota</t>
        </is>
      </c>
      <c r="F572" s="2" t="inlineStr">
        <is>
          <t>Toyota Corolla</t>
        </is>
      </c>
      <c r="G572" s="2" t="inlineStr">
        <is>
          <t>1.4 D-4D</t>
        </is>
      </c>
      <c r="H572" s="2" t="inlineStr">
        <is>
          <t>1.4 D4D 90cv Luna</t>
        </is>
      </c>
      <c r="I572" s="2" t="n"/>
      <c r="J572" s="2" t="n">
        <v>90</v>
      </c>
      <c r="K572" s="2" t="inlineStr">
        <is>
          <t>diesel</t>
        </is>
      </c>
      <c r="L572" s="2" t="inlineStr">
        <is>
          <t>compacto</t>
        </is>
      </c>
      <c r="M572" s="2" t="n">
        <v>2006</v>
      </c>
      <c r="N572" s="2" t="n">
        <v>183000</v>
      </c>
      <c r="O572" s="2" t="n">
        <v>4400</v>
      </c>
      <c r="P572" s="2" t="inlineStr">
        <is>
          <t>manual</t>
        </is>
      </c>
      <c r="Q572" s="2" t="inlineStr">
        <is>
          <t>no</t>
        </is>
      </c>
      <c r="R572" s="2" t="inlineStr">
        <is>
          <t>particular</t>
        </is>
      </c>
      <c r="S572" s="2" t="inlineStr">
        <is>
          <t>Vila-real</t>
        </is>
      </c>
      <c r="T572" s="2" t="inlineStr">
        <is>
          <t>2026-08-13T13:56:47Z</t>
        </is>
      </c>
      <c r="U572" s="2" t="n"/>
      <c r="V572" s="2" t="inlineStr">
        <is>
          <t>sí</t>
        </is>
      </c>
      <c r="W572" s="2" t="n"/>
      <c r="X572" s="2" t="n"/>
      <c r="Y572" s="2" t="n"/>
      <c r="Z572" s="2" t="inlineStr">
        <is>
          <t>no</t>
        </is>
      </c>
      <c r="AA572" s="2" t="n"/>
      <c r="AB572" s="2" t="n"/>
      <c r="AC572" s="2" t="n"/>
      <c r="AD572" s="2" t="n"/>
      <c r="AE572" s="2" t="n"/>
      <c r="AF572" s="2" t="n"/>
      <c r="AG572" s="2" t="n"/>
      <c r="AH572" s="2" t="n">
        <v>4400</v>
      </c>
      <c r="AI572" s="2" t="n"/>
      <c r="AJ572" s="2" t="n"/>
      <c r="AK572" s="2" t="n"/>
      <c r="AL572" s="2" t="n"/>
      <c r="AM572" s="2" t="n"/>
      <c r="AN572" s="2" t="n">
        <v>4200</v>
      </c>
      <c r="AO572" s="2" t="n">
        <v>4</v>
      </c>
      <c r="AP572" s="2" t="inlineStr">
        <is>
          <t>modelo+año+km</t>
        </is>
      </c>
      <c r="AQ572" s="2" t="n"/>
      <c r="AR572" s="2" t="inlineStr">
        <is>
          <t>cuota fija ITP: &gt;12 años, hasta 1.500 cc; diésel: motor sin fuente de fiabilidad (fiabilidad limitada a neutra); distancia no verificable (el anuncio solo indica la provincia): confirmar que está a &lt;= 70 km</t>
        </is>
      </c>
      <c r="AS572" s="2" t="inlineStr">
        <is>
          <t>ITV pasada en julio 2026. Cambio de batería Agosto 2026 . Con alguna ralladura y me han dicho que patina algo el embrague por lo que rebajaría un poco el precio.</t>
        </is>
      </c>
      <c r="AT572" s="2" t="inlineStr">
        <is>
          <t>https://www.coches.net/toyota-corolla-14-d4d-90cv-luna-5p-diesel-2006-en-castellon-71285724-covo.aspx (window.__INITIAL_PROPS__.ad) /home/user/Alopecia/buscador-coches/raw/cochesnet/67ff1808e55dab82.json</t>
        </is>
      </c>
      <c r="AU572" s="3">
        <f>MAX(ANIO_ACTUAL-M572,0)</f>
        <v/>
      </c>
      <c r="AV572" s="4">
        <f>N572/MAX(AU572,0.5)</f>
        <v/>
      </c>
      <c r="AW572" s="4">
        <f>F572</f>
        <v/>
      </c>
      <c r="AX572" s="3">
        <f>AW572&amp;"|"&amp;INT(M572/SEG_ANIO)*SEG_ANIO</f>
        <v/>
      </c>
      <c r="AY572" s="3">
        <f>AX572&amp;"|"&amp;INT(N572/SEG_KM)*SEG_KM</f>
        <v/>
      </c>
      <c r="AZ572" s="4">
        <f>COUNTIF($AW$2:$AW$662,AW572)</f>
        <v/>
      </c>
      <c r="BA572" s="4">
        <f>COUNTIF($AX$2:$AX$662,AX572)</f>
        <v/>
      </c>
      <c r="BB572" s="4">
        <f>COUNTIF($AY$2:$AY$662,AY572)</f>
        <v/>
      </c>
      <c r="BC572" s="3">
        <f t="array" ref="BC572">IF(N(AO572)&gt;=MIN_N,AN572,IF(BB572&gt;=MIN_N,MEDIAN(IF($AY$2:$AY$662=AY572,$O$2:$O$662)),IF(BA572&gt;=MIN_N,MEDIAN(IF($AX$2:$AX$662=AX572,$O$2:$O$662)),MEDIAN(IF($AW$2:$AW$662=AW572,$O$2:$O$662)))))</f>
        <v/>
      </c>
      <c r="BD572" s="3">
        <f>IF(N(AO572)&gt;=MIN_N,"mercado "&amp;AP572,IF(BB572&gt;=MIN_N,"modelo+año+km",IF(BA572&gt;=MIN_N,"modelo+año","modelo")))</f>
        <v/>
      </c>
      <c r="BE572" s="4">
        <f>(BC572-O572)/BC572</f>
        <v/>
      </c>
      <c r="BF572" s="3">
        <f>IF(OR(K572="hibrido",K572="glp"),"ECO",IF(K572="electrico","CERO",IF(K572="gasolina",IF(M572&gt;=GAS_C,"C",IF(M572&gt;=GAS_B,"B","A")),IF(K572="diesel",IF(M572&gt;=DIE_C,"C",IF(M572&gt;=DIE_B,"B","A")),""))))</f>
        <v/>
      </c>
      <c r="BG572" s="3">
        <f>IFERROR(VLOOKUP(F572,MOD_TBL,11,0),IFERROR(VLOOKUP(E572,OCU_TBL,2,0),NEUTRO))</f>
        <v/>
      </c>
      <c r="BH572" s="3">
        <f>SUMIFS(MOT_AJUSTE,MOT_MOTOR,G572,MOT_MARCA,E572,MOT_DESDE,"&lt;="&amp;M572,MOT_HASTA,"&gt;="&amp;M572)+SUMIFS(MOT_AJUSTE,MOT_MOTOR,G572,MOT_MARCA,"(todas)",MOT_DESDE,"&lt;="&amp;M572,MOT_HASTA,"&gt;="&amp;M572)</f>
        <v/>
      </c>
      <c r="BI572" s="3">
        <f>SUMIFS(COMB_AJUSTE,COMB_COMB,K572)</f>
        <v/>
      </c>
      <c r="BJ572" s="3">
        <f>COUNTIFS(MOT_MOTOR,G572,MOT_MARCA,E572,MOT_DESDE,"&lt;="&amp;M572,MOT_HASTA,"&gt;="&amp;M572)+COUNTIFS(MOT_MOTOR,G572,MOT_MARCA,"(todas)",MOT_DESDE,"&lt;="&amp;M572,MOT_HASTA,"&gt;="&amp;M572)</f>
        <v/>
      </c>
      <c r="BK572" s="3">
        <f>IF(AND(K572="diesel",BJ572=0),MIN(BG572,NEUTRO),BG572)</f>
        <v/>
      </c>
      <c r="BL572" s="4">
        <f>MAX(0,MIN(100,BK572+BH572+BI572))</f>
        <v/>
      </c>
      <c r="BM572" s="3">
        <f>MAX(0,MIN(100,50+BE572*PRECIO_PEND))</f>
        <v/>
      </c>
      <c r="BN572" s="3">
        <f>MAX(0,100*(1-N572/KM_MAX))</f>
        <v/>
      </c>
      <c r="BO572" s="3">
        <f>IF(AV572&lt;KMA_SOSP,IF(AA572="sí",100,KMA_PEN),IF(AV572&lt;=KMA_IDEAL_MAX,100,MAX(0,100*(KMA_CERO-AV572)/(KMA_CERO-KMA_IDEAL_MAX))))</f>
        <v/>
      </c>
      <c r="BP572" s="3">
        <f>MAX(0,MIN(100,100*(M572-ANIO_MIN)/(ANIO_ACTUAL-ANIO_MIN)))</f>
        <v/>
      </c>
      <c r="BQ572" s="3">
        <f>W_KMT*BN572+W_KMA*BO572+W_EDAD*BP572</f>
        <v/>
      </c>
      <c r="BR572" s="3">
        <f>P_ITV*(V572="sí")+P_LIBRO*(W572="sí")+P_CORREA*(X572="sí")+P_PROP*(Y572=1)+P_GAR*(Z572="sí")+P_FOTOS*MIN(1,N(U572)/FOTOS_OBJ)</f>
        <v/>
      </c>
      <c r="BS572" s="3">
        <f>IFERROR(VLOOKUP(BF572,ETQ_TBL,2,0),NEUTRO)</f>
        <v/>
      </c>
      <c r="BT572" s="3">
        <f>NEUTRO</f>
        <v/>
      </c>
      <c r="BU572" s="3">
        <f>IFERROR(VLOOKUP(L572,SEGURO_TBL,3,0),"")</f>
        <v/>
      </c>
      <c r="BV572" s="3">
        <f>IF(BU572="",NEUTRO,MAX(0,MIN(100,100*(SEG_REF_MAX-BU572)/(SEG_REF_MAX-SEG_REF_MIN))))</f>
        <v/>
      </c>
      <c r="BW572" s="3">
        <f>W_ET*BS572+W_CONS*BT572+W_SEG*BV572</f>
        <v/>
      </c>
      <c r="BX572" s="3">
        <f>IF(N(AB572)&gt;0,AB572,IF(AND(R572="profesional",SG_LEGAL_ON=1),GAR_LEGAL,0))</f>
        <v/>
      </c>
      <c r="BY572" s="3">
        <f>SG_GAR*MIN(1,BX572/SG_GAR_FULL)+SG_AMPL*(AC572="sí")+SG_KMC*(AF572="sí")+SG_REV*(N(AE572)&gt;0)+SG_DEV*MIN(1,N(AG572)/SG_DEV_FULL)+SG_HIST*(W572="sí")</f>
        <v/>
      </c>
      <c r="BZ572" s="3">
        <f>IFERROR(VLOOKUP(L572,CARR_PEN_TBL,2,0),0)</f>
        <v/>
      </c>
      <c r="CA572" s="3">
        <f>W_FIAB*BL572+W_PRECIO*BM572+W_KMEDAD*BQ572+W_ANUNCIO*BR572+W_USO*BW572+W_SEGURIDAD*BY572-BZ572</f>
        <v/>
      </c>
      <c r="CB572" s="4">
        <f>IF(N(I572)&gt;0,I572,IFERROR(ROUND(_xlfn.NUMBERVALUE(LEFT(G572,FIND(" ",G572&amp;" ")-1),".")*1000,0),99999))</f>
        <v/>
      </c>
      <c r="CC572" s="3">
        <f>IF(R572="profesional",0,IF(O572&lt;CUOTA_VALOR_MAX,IF(AU572&gt;ITP_TRAMO_ALTO,SUMIFS(CF_CUOTA,CF_MAS,ITP_TRAMO_ALTO,CF_CCMIN,"&lt;="&amp;CB572,CF_CCMAX,"&gt;="&amp;CB572),IF(AU572&gt;ITP_TRAMO_BAJO,SUMIFS(CF_CUOTA,CF_MAS,ITP_TRAMO_BAJO,CF_CCMIN,"&lt;="&amp;CB572,CF_CCMAX,"&gt;="&amp;CB572),O572*ITP_TIPO)),O572*ITP_TIPO))</f>
        <v/>
      </c>
      <c r="CD572" s="4">
        <f>IF(R572="profesional",N(AK572),0)</f>
        <v/>
      </c>
      <c r="CE572" s="3">
        <f>IF(AND(R572="profesional",ISNUMBER(AK572),AL572="sí"),0,TASA_DGT)</f>
        <v/>
      </c>
      <c r="CF572" s="3">
        <f>INFORME_DGT</f>
        <v/>
      </c>
      <c r="CG572" s="4">
        <f>O572+CD572+CC572+CE572+CF572</f>
        <v/>
      </c>
      <c r="CH572" s="4">
        <f>CG572+N(BU572)</f>
        <v/>
      </c>
      <c r="CI572" s="3">
        <f>IF(CG572&lt;=TOTAL_MAX,"sí",IF(CG572&lt;=TOTAL_MAX+MARGEN_NEG,"negociar","no"))</f>
        <v/>
      </c>
      <c r="CJ572" s="4">
        <f>IF(CI572&lt;&gt;"no",COUNTIFS($CI$2:$CI$662,"&lt;&gt;no",$CA$2:$CA$662,"&gt;"&amp;CA572)+COUNTIFS($CI$2:CI572,"&lt;&gt;no",$CA$2:CA572,CA572),"")</f>
        <v/>
      </c>
    </row>
    <row r="573">
      <c r="A573" s="2" t="inlineStr">
        <is>
          <t>cochesnet:70981692</t>
        </is>
      </c>
      <c r="B573" s="2" t="inlineStr">
        <is>
          <t>cochesnet</t>
        </is>
      </c>
      <c r="C573" s="2" t="inlineStr">
        <is>
          <t>https://www.coches.net/honda-civic-22-ictdi-sport-5p-diesel-2006-en-castellon-70981692-covo.aspx</t>
        </is>
      </c>
      <c r="D573" s="2" t="inlineStr">
        <is>
          <t>HONDA Civic 2.2 iCTDi Sport</t>
        </is>
      </c>
      <c r="E573" s="2" t="inlineStr">
        <is>
          <t>Honda</t>
        </is>
      </c>
      <c r="F573" s="2" t="inlineStr">
        <is>
          <t>Honda Civic</t>
        </is>
      </c>
      <c r="G573" s="2" t="inlineStr">
        <is>
          <t>2.2 i-DTEC</t>
        </is>
      </c>
      <c r="H573" s="2" t="inlineStr">
        <is>
          <t>2.2 iCTDi Sport</t>
        </is>
      </c>
      <c r="I573" s="2" t="n"/>
      <c r="J573" s="2" t="n"/>
      <c r="K573" s="2" t="inlineStr">
        <is>
          <t>diesel</t>
        </is>
      </c>
      <c r="L573" s="2" t="inlineStr">
        <is>
          <t>compacto</t>
        </is>
      </c>
      <c r="M573" s="2" t="n">
        <v>2006</v>
      </c>
      <c r="N573" s="2" t="n">
        <v>220000</v>
      </c>
      <c r="O573" s="2" t="n">
        <v>4000</v>
      </c>
      <c r="P573" s="2" t="inlineStr">
        <is>
          <t>manual</t>
        </is>
      </c>
      <c r="Q573" s="2" t="inlineStr">
        <is>
          <t>no</t>
        </is>
      </c>
      <c r="R573" s="2" t="inlineStr">
        <is>
          <t>particular</t>
        </is>
      </c>
      <c r="S573" s="2" t="inlineStr">
        <is>
          <t>Castellón de la Plana / Castelló de la Plana</t>
        </is>
      </c>
      <c r="T573" s="2" t="inlineStr">
        <is>
          <t>2026-07-03T00:35:13Z</t>
        </is>
      </c>
      <c r="U573" s="2" t="n">
        <v>7</v>
      </c>
      <c r="V573" s="2" t="inlineStr">
        <is>
          <t>sí</t>
        </is>
      </c>
      <c r="W573" s="2" t="n"/>
      <c r="X573" s="2" t="n"/>
      <c r="Y573" s="2" t="n"/>
      <c r="Z573" s="2" t="inlineStr">
        <is>
          <t>no</t>
        </is>
      </c>
      <c r="AA573" s="2" t="n"/>
      <c r="AB573" s="2" t="n"/>
      <c r="AC573" s="2" t="n"/>
      <c r="AD573" s="2" t="n"/>
      <c r="AE573" s="2" t="n"/>
      <c r="AF573" s="2" t="n"/>
      <c r="AG573" s="2" t="n"/>
      <c r="AH573" s="2" t="n">
        <v>4000</v>
      </c>
      <c r="AI573" s="2" t="n"/>
      <c r="AJ573" s="2" t="n"/>
      <c r="AK573" s="2" t="n"/>
      <c r="AL573" s="2" t="n"/>
      <c r="AM573" s="2" t="n"/>
      <c r="AN573" s="2" t="n">
        <v>6150</v>
      </c>
      <c r="AO573" s="2" t="n">
        <v>12</v>
      </c>
      <c r="AP573" s="2" t="inlineStr">
        <is>
          <t>modelo+año</t>
        </is>
      </c>
      <c r="AQ573" s="2" t="n"/>
      <c r="AR573" s="2" t="inlineStr">
        <is>
          <t>cuota fija ITP: &gt;12 años, más de 2.000 cc; diésel: motor sin fuente de fiabilidad (fiabilidad limitada a neutra); distancia no verificable (el anuncio solo indica la provincia): confirmar que está a &lt;= 70 km; fiabilidad del modelo PENDIENTE de fuente (puntuación neutra)</t>
        </is>
      </c>
      <c r="AS573" s="2" t="inlineStr">
        <is>
          <t>Se vende honda civic 2008 2.2 diesel motor N22A2, una roca, al que se le ha cambiado embrague, colector de escape por el reforzado ya que estos motores el original es de chapa y se fisura, es un arreglo caro del que ya no hay que preocuparse.
ITV al día.
Alternador y batería nuevos.
Turbo revisado con nada de juego en frio del eje.
Filtro aceite, aceite Castrol, filtro aire y filtro habitáculo cambiados hace 3000km a excepción del de gasoil que se cambio la revision anterior.
Discos y pastillas traseras cambiadas.
Falta por ajustar parachoques, se aparco en un bordillo muy alto y se doblo hacia abajo, afectando el parachoques
 es si, que esta descuadrado, los faros,paso de rueda izquierdo y derecho y plásticos carter.
Tiene detalles en la chapa también de roces.
Todos los defectos pendientes son estéticos.
Mecánica perfecta y puesta a punto para rodar.</t>
        </is>
      </c>
      <c r="AT573" s="2" t="inlineStr">
        <is>
          <t>https://www.coches.net/honda-civic-22-ictdi-sport-5p-diesel-2006-en-castellon-70981692-covo.aspx (window.__INITIAL_PROPS__.ad) /home/user/Alopecia/buscador-coches/raw/cochesnet/65c6fa7ea689a232.json</t>
        </is>
      </c>
      <c r="AU573" s="3">
        <f>MAX(ANIO_ACTUAL-M573,0)</f>
        <v/>
      </c>
      <c r="AV573" s="4">
        <f>N573/MAX(AU573,0.5)</f>
        <v/>
      </c>
      <c r="AW573" s="4">
        <f>F573</f>
        <v/>
      </c>
      <c r="AX573" s="3">
        <f>AW573&amp;"|"&amp;INT(M573/SEG_ANIO)*SEG_ANIO</f>
        <v/>
      </c>
      <c r="AY573" s="3">
        <f>AX573&amp;"|"&amp;INT(N573/SEG_KM)*SEG_KM</f>
        <v/>
      </c>
      <c r="AZ573" s="4">
        <f>COUNTIF($AW$2:$AW$662,AW573)</f>
        <v/>
      </c>
      <c r="BA573" s="4">
        <f>COUNTIF($AX$2:$AX$662,AX573)</f>
        <v/>
      </c>
      <c r="BB573" s="4">
        <f>COUNTIF($AY$2:$AY$662,AY573)</f>
        <v/>
      </c>
      <c r="BC573" s="3">
        <f t="array" ref="BC573">IF(N(AO573)&gt;=MIN_N,AN573,IF(BB573&gt;=MIN_N,MEDIAN(IF($AY$2:$AY$662=AY573,$O$2:$O$662)),IF(BA573&gt;=MIN_N,MEDIAN(IF($AX$2:$AX$662=AX573,$O$2:$O$662)),MEDIAN(IF($AW$2:$AW$662=AW573,$O$2:$O$662)))))</f>
        <v/>
      </c>
      <c r="BD573" s="3">
        <f>IF(N(AO573)&gt;=MIN_N,"mercado "&amp;AP573,IF(BB573&gt;=MIN_N,"modelo+año+km",IF(BA573&gt;=MIN_N,"modelo+año","modelo")))</f>
        <v/>
      </c>
      <c r="BE573" s="4">
        <f>(BC573-O573)/BC573</f>
        <v/>
      </c>
      <c r="BF573" s="3">
        <f>IF(OR(K573="hibrido",K573="glp"),"ECO",IF(K573="electrico","CERO",IF(K573="gasolina",IF(M573&gt;=GAS_C,"C",IF(M573&gt;=GAS_B,"B","A")),IF(K573="diesel",IF(M573&gt;=DIE_C,"C",IF(M573&gt;=DIE_B,"B","A")),""))))</f>
        <v/>
      </c>
      <c r="BG573" s="3">
        <f>IFERROR(VLOOKUP(F573,MOD_TBL,11,0),IFERROR(VLOOKUP(E573,OCU_TBL,2,0),NEUTRO))</f>
        <v/>
      </c>
      <c r="BH573" s="3">
        <f>SUMIFS(MOT_AJUSTE,MOT_MOTOR,G573,MOT_MARCA,E573,MOT_DESDE,"&lt;="&amp;M573,MOT_HASTA,"&gt;="&amp;M573)+SUMIFS(MOT_AJUSTE,MOT_MOTOR,G573,MOT_MARCA,"(todas)",MOT_DESDE,"&lt;="&amp;M573,MOT_HASTA,"&gt;="&amp;M573)</f>
        <v/>
      </c>
      <c r="BI573" s="3">
        <f>SUMIFS(COMB_AJUSTE,COMB_COMB,K573)</f>
        <v/>
      </c>
      <c r="BJ573" s="3">
        <f>COUNTIFS(MOT_MOTOR,G573,MOT_MARCA,E573,MOT_DESDE,"&lt;="&amp;M573,MOT_HASTA,"&gt;="&amp;M573)+COUNTIFS(MOT_MOTOR,G573,MOT_MARCA,"(todas)",MOT_DESDE,"&lt;="&amp;M573,MOT_HASTA,"&gt;="&amp;M573)</f>
        <v/>
      </c>
      <c r="BK573" s="3">
        <f>IF(AND(K573="diesel",BJ573=0),MIN(BG573,NEUTRO),BG573)</f>
        <v/>
      </c>
      <c r="BL573" s="4">
        <f>MAX(0,MIN(100,BK573+BH573+BI573))</f>
        <v/>
      </c>
      <c r="BM573" s="3">
        <f>MAX(0,MIN(100,50+BE573*PRECIO_PEND))</f>
        <v/>
      </c>
      <c r="BN573" s="3">
        <f>MAX(0,100*(1-N573/KM_MAX))</f>
        <v/>
      </c>
      <c r="BO573" s="3">
        <f>IF(AV573&lt;KMA_SOSP,IF(AA573="sí",100,KMA_PEN),IF(AV573&lt;=KMA_IDEAL_MAX,100,MAX(0,100*(KMA_CERO-AV573)/(KMA_CERO-KMA_IDEAL_MAX))))</f>
        <v/>
      </c>
      <c r="BP573" s="3">
        <f>MAX(0,MIN(100,100*(M573-ANIO_MIN)/(ANIO_ACTUAL-ANIO_MIN)))</f>
        <v/>
      </c>
      <c r="BQ573" s="3">
        <f>W_KMT*BN573+W_KMA*BO573+W_EDAD*BP573</f>
        <v/>
      </c>
      <c r="BR573" s="3">
        <f>P_ITV*(V573="sí")+P_LIBRO*(W573="sí")+P_CORREA*(X573="sí")+P_PROP*(Y573=1)+P_GAR*(Z573="sí")+P_FOTOS*MIN(1,N(U573)/FOTOS_OBJ)</f>
        <v/>
      </c>
      <c r="BS573" s="3">
        <f>IFERROR(VLOOKUP(BF573,ETQ_TBL,2,0),NEUTRO)</f>
        <v/>
      </c>
      <c r="BT573" s="3">
        <f>NEUTRO</f>
        <v/>
      </c>
      <c r="BU573" s="3">
        <f>IFERROR(VLOOKUP(L573,SEGURO_TBL,3,0),"")</f>
        <v/>
      </c>
      <c r="BV573" s="3">
        <f>IF(BU573="",NEUTRO,MAX(0,MIN(100,100*(SEG_REF_MAX-BU573)/(SEG_REF_MAX-SEG_REF_MIN))))</f>
        <v/>
      </c>
      <c r="BW573" s="3">
        <f>W_ET*BS573+W_CONS*BT573+W_SEG*BV573</f>
        <v/>
      </c>
      <c r="BX573" s="3">
        <f>IF(N(AB573)&gt;0,AB573,IF(AND(R573="profesional",SG_LEGAL_ON=1),GAR_LEGAL,0))</f>
        <v/>
      </c>
      <c r="BY573" s="3">
        <f>SG_GAR*MIN(1,BX573/SG_GAR_FULL)+SG_AMPL*(AC573="sí")+SG_KMC*(AF573="sí")+SG_REV*(N(AE573)&gt;0)+SG_DEV*MIN(1,N(AG573)/SG_DEV_FULL)+SG_HIST*(W573="sí")</f>
        <v/>
      </c>
      <c r="BZ573" s="3">
        <f>IFERROR(VLOOKUP(L573,CARR_PEN_TBL,2,0),0)</f>
        <v/>
      </c>
      <c r="CA573" s="3">
        <f>W_FIAB*BL573+W_PRECIO*BM573+W_KMEDAD*BQ573+W_ANUNCIO*BR573+W_USO*BW573+W_SEGURIDAD*BY573-BZ573</f>
        <v/>
      </c>
      <c r="CB573" s="4">
        <f>IF(N(I573)&gt;0,I573,IFERROR(ROUND(_xlfn.NUMBERVALUE(LEFT(G573,FIND(" ",G573&amp;" ")-1),".")*1000,0),99999))</f>
        <v/>
      </c>
      <c r="CC573" s="3">
        <f>IF(R573="profesional",0,IF(O573&lt;CUOTA_VALOR_MAX,IF(AU573&gt;ITP_TRAMO_ALTO,SUMIFS(CF_CUOTA,CF_MAS,ITP_TRAMO_ALTO,CF_CCMIN,"&lt;="&amp;CB573,CF_CCMAX,"&gt;="&amp;CB573),IF(AU573&gt;ITP_TRAMO_BAJO,SUMIFS(CF_CUOTA,CF_MAS,ITP_TRAMO_BAJO,CF_CCMIN,"&lt;="&amp;CB573,CF_CCMAX,"&gt;="&amp;CB573),O573*ITP_TIPO)),O573*ITP_TIPO))</f>
        <v/>
      </c>
      <c r="CD573" s="4">
        <f>IF(R573="profesional",N(AK573),0)</f>
        <v/>
      </c>
      <c r="CE573" s="3">
        <f>IF(AND(R573="profesional",ISNUMBER(AK573),AL573="sí"),0,TASA_DGT)</f>
        <v/>
      </c>
      <c r="CF573" s="3">
        <f>INFORME_DGT</f>
        <v/>
      </c>
      <c r="CG573" s="4">
        <f>O573+CD573+CC573+CE573+CF573</f>
        <v/>
      </c>
      <c r="CH573" s="4">
        <f>CG573+N(BU573)</f>
        <v/>
      </c>
      <c r="CI573" s="3">
        <f>IF(CG573&lt;=TOTAL_MAX,"sí",IF(CG573&lt;=TOTAL_MAX+MARGEN_NEG,"negociar","no"))</f>
        <v/>
      </c>
      <c r="CJ573" s="4">
        <f>IF(CI573&lt;&gt;"no",COUNTIFS($CI$2:$CI$662,"&lt;&gt;no",$CA$2:$CA$662,"&gt;"&amp;CA573)+COUNTIFS($CI$2:CI573,"&lt;&gt;no",$CA$2:CA573,CA573),"")</f>
        <v/>
      </c>
    </row>
    <row r="574">
      <c r="A574" s="2" t="inlineStr">
        <is>
          <t>cochesnet:71743921</t>
        </is>
      </c>
      <c r="B574" s="2" t="inlineStr">
        <is>
          <t>cochesnet</t>
        </is>
      </c>
      <c r="C574" s="2" t="inlineStr">
        <is>
          <t>https://www.coches.net/mazda-mazda2-active-14-crtd-5p-diesel-2007-en-castellon-71743921-covo.aspx</t>
        </is>
      </c>
      <c r="D574" s="2" t="inlineStr">
        <is>
          <t>MAZDA Mazda2 Active 1.4 CRTD</t>
        </is>
      </c>
      <c r="E574" s="2" t="inlineStr">
        <is>
          <t>Mazda</t>
        </is>
      </c>
      <c r="F574" s="2" t="inlineStr">
        <is>
          <t>Mazda 2</t>
        </is>
      </c>
      <c r="G574" s="2" t="inlineStr">
        <is>
          <t>1.4</t>
        </is>
      </c>
      <c r="H574" s="2" t="inlineStr">
        <is>
          <t>Active 1.4 CRTD</t>
        </is>
      </c>
      <c r="I574" s="2" t="n"/>
      <c r="J574" s="2" t="n"/>
      <c r="K574" s="2" t="inlineStr">
        <is>
          <t>diesel</t>
        </is>
      </c>
      <c r="L574" s="2" t="inlineStr">
        <is>
          <t>utilitario</t>
        </is>
      </c>
      <c r="M574" s="2" t="n">
        <v>2008</v>
      </c>
      <c r="N574" s="2" t="n">
        <v>209000</v>
      </c>
      <c r="O574" s="2" t="n">
        <v>3900</v>
      </c>
      <c r="P574" s="2" t="inlineStr">
        <is>
          <t>manual</t>
        </is>
      </c>
      <c r="Q574" s="2" t="inlineStr">
        <is>
          <t>no</t>
        </is>
      </c>
      <c r="R574" s="2" t="inlineStr">
        <is>
          <t>profesional</t>
        </is>
      </c>
      <c r="S574" s="2" t="inlineStr">
        <is>
          <t>Castellón de la Plana / Castelló de la Plana</t>
        </is>
      </c>
      <c r="T574" s="2" t="inlineStr">
        <is>
          <t>2026-10-14T15:25:45Z</t>
        </is>
      </c>
      <c r="U574" s="2" t="n">
        <v>10</v>
      </c>
      <c r="V574" s="2" t="inlineStr">
        <is>
          <t>sí</t>
        </is>
      </c>
      <c r="W574" s="2" t="n"/>
      <c r="X574" s="2" t="n"/>
      <c r="Y574" s="2" t="n"/>
      <c r="Z574" s="2" t="inlineStr">
        <is>
          <t>sí</t>
        </is>
      </c>
      <c r="AA574" s="2" t="n"/>
      <c r="AB574" s="2" t="n">
        <v>12</v>
      </c>
      <c r="AC574" s="2" t="n"/>
      <c r="AD574" s="2" t="n"/>
      <c r="AE574" s="2" t="n"/>
      <c r="AF574" s="2" t="n"/>
      <c r="AG574" s="2" t="n"/>
      <c r="AH574" s="2" t="n">
        <v>3900</v>
      </c>
      <c r="AI574" s="2" t="n"/>
      <c r="AJ574" s="2" t="n"/>
      <c r="AK574" s="2" t="n"/>
      <c r="AL574" s="2" t="n"/>
      <c r="AM574" s="2" t="n"/>
      <c r="AN574" s="2" t="n">
        <v>5000</v>
      </c>
      <c r="AO574" s="2" t="n">
        <v>12</v>
      </c>
      <c r="AP574" s="2" t="inlineStr">
        <is>
          <t>modelo+año</t>
        </is>
      </c>
      <c r="AQ574" s="2" t="n"/>
      <c r="AR574"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S574" s="2" t="inlineStr">
        <is>
          <t>Se vende Mazda 2 con motor 1.4  HDI Diesel ,70CV  Radio -CD , siempre en garaje,  elevalunas eléctricos, ruedas nuevas , espejos con regulación ,Abs, airbag, económico y ideal para el día a día,  se entrega totalmente revisado  de mecánica con   Itv al dia , aceite y filtros  recién cambiados ,  mejor verlo sin compromiso.  Sólo se atienden llamadas.</t>
        </is>
      </c>
      <c r="AT574" s="2" t="inlineStr">
        <is>
          <t>https://www.coches.net/mazda-mazda2-active-14-crtd-5p-diesel-2007-en-castellon-71743921-covo.aspx (window.__INITIAL_PROPS__.ad) /home/user/Alopecia/buscador-coches/raw/cochesnet/4124e3bfc255e1c8.json</t>
        </is>
      </c>
      <c r="AU574" s="3">
        <f>MAX(ANIO_ACTUAL-M574,0)</f>
        <v/>
      </c>
      <c r="AV574" s="4">
        <f>N574/MAX(AU574,0.5)</f>
        <v/>
      </c>
      <c r="AW574" s="4">
        <f>F574</f>
        <v/>
      </c>
      <c r="AX574" s="3">
        <f>AW574&amp;"|"&amp;INT(M574/SEG_ANIO)*SEG_ANIO</f>
        <v/>
      </c>
      <c r="AY574" s="3">
        <f>AX574&amp;"|"&amp;INT(N574/SEG_KM)*SEG_KM</f>
        <v/>
      </c>
      <c r="AZ574" s="4">
        <f>COUNTIF($AW$2:$AW$662,AW574)</f>
        <v/>
      </c>
      <c r="BA574" s="4">
        <f>COUNTIF($AX$2:$AX$662,AX574)</f>
        <v/>
      </c>
      <c r="BB574" s="4">
        <f>COUNTIF($AY$2:$AY$662,AY574)</f>
        <v/>
      </c>
      <c r="BC574" s="3">
        <f t="array" ref="BC574">IF(N(AO574)&gt;=MIN_N,AN574,IF(BB574&gt;=MIN_N,MEDIAN(IF($AY$2:$AY$662=AY574,$O$2:$O$662)),IF(BA574&gt;=MIN_N,MEDIAN(IF($AX$2:$AX$662=AX574,$O$2:$O$662)),MEDIAN(IF($AW$2:$AW$662=AW574,$O$2:$O$662)))))</f>
        <v/>
      </c>
      <c r="BD574" s="3">
        <f>IF(N(AO574)&gt;=MIN_N,"mercado "&amp;AP574,IF(BB574&gt;=MIN_N,"modelo+año+km",IF(BA574&gt;=MIN_N,"modelo+año","modelo")))</f>
        <v/>
      </c>
      <c r="BE574" s="4">
        <f>(BC574-O574)/BC574</f>
        <v/>
      </c>
      <c r="BF574" s="3">
        <f>IF(OR(K574="hibrido",K574="glp"),"ECO",IF(K574="electrico","CERO",IF(K574="gasolina",IF(M574&gt;=GAS_C,"C",IF(M574&gt;=GAS_B,"B","A")),IF(K574="diesel",IF(M574&gt;=DIE_C,"C",IF(M574&gt;=DIE_B,"B","A")),""))))</f>
        <v/>
      </c>
      <c r="BG574" s="3">
        <f>IFERROR(VLOOKUP(F574,MOD_TBL,11,0),IFERROR(VLOOKUP(E574,OCU_TBL,2,0),NEUTRO))</f>
        <v/>
      </c>
      <c r="BH574" s="3">
        <f>SUMIFS(MOT_AJUSTE,MOT_MOTOR,G574,MOT_MARCA,E574,MOT_DESDE,"&lt;="&amp;M574,MOT_HASTA,"&gt;="&amp;M574)+SUMIFS(MOT_AJUSTE,MOT_MOTOR,G574,MOT_MARCA,"(todas)",MOT_DESDE,"&lt;="&amp;M574,MOT_HASTA,"&gt;="&amp;M574)</f>
        <v/>
      </c>
      <c r="BI574" s="3">
        <f>SUMIFS(COMB_AJUSTE,COMB_COMB,K574)</f>
        <v/>
      </c>
      <c r="BJ574" s="3">
        <f>COUNTIFS(MOT_MOTOR,G574,MOT_MARCA,E574,MOT_DESDE,"&lt;="&amp;M574,MOT_HASTA,"&gt;="&amp;M574)+COUNTIFS(MOT_MOTOR,G574,MOT_MARCA,"(todas)",MOT_DESDE,"&lt;="&amp;M574,MOT_HASTA,"&gt;="&amp;M574)</f>
        <v/>
      </c>
      <c r="BK574" s="3">
        <f>IF(AND(K574="diesel",BJ574=0),MIN(BG574,NEUTRO),BG574)</f>
        <v/>
      </c>
      <c r="BL574" s="4">
        <f>MAX(0,MIN(100,BK574+BH574+BI574))</f>
        <v/>
      </c>
      <c r="BM574" s="3">
        <f>MAX(0,MIN(100,50+BE574*PRECIO_PEND))</f>
        <v/>
      </c>
      <c r="BN574" s="3">
        <f>MAX(0,100*(1-N574/KM_MAX))</f>
        <v/>
      </c>
      <c r="BO574" s="3">
        <f>IF(AV574&lt;KMA_SOSP,IF(AA574="sí",100,KMA_PEN),IF(AV574&lt;=KMA_IDEAL_MAX,100,MAX(0,100*(KMA_CERO-AV574)/(KMA_CERO-KMA_IDEAL_MAX))))</f>
        <v/>
      </c>
      <c r="BP574" s="3">
        <f>MAX(0,MIN(100,100*(M574-ANIO_MIN)/(ANIO_ACTUAL-ANIO_MIN)))</f>
        <v/>
      </c>
      <c r="BQ574" s="3">
        <f>W_KMT*BN574+W_KMA*BO574+W_EDAD*BP574</f>
        <v/>
      </c>
      <c r="BR574" s="3">
        <f>P_ITV*(V574="sí")+P_LIBRO*(W574="sí")+P_CORREA*(X574="sí")+P_PROP*(Y574=1)+P_GAR*(Z574="sí")+P_FOTOS*MIN(1,N(U574)/FOTOS_OBJ)</f>
        <v/>
      </c>
      <c r="BS574" s="3">
        <f>IFERROR(VLOOKUP(BF574,ETQ_TBL,2,0),NEUTRO)</f>
        <v/>
      </c>
      <c r="BT574" s="3">
        <f>NEUTRO</f>
        <v/>
      </c>
      <c r="BU574" s="3">
        <f>IFERROR(VLOOKUP(L574,SEGURO_TBL,3,0),"")</f>
        <v/>
      </c>
      <c r="BV574" s="3">
        <f>IF(BU574="",NEUTRO,MAX(0,MIN(100,100*(SEG_REF_MAX-BU574)/(SEG_REF_MAX-SEG_REF_MIN))))</f>
        <v/>
      </c>
      <c r="BW574" s="3">
        <f>W_ET*BS574+W_CONS*BT574+W_SEG*BV574</f>
        <v/>
      </c>
      <c r="BX574" s="3">
        <f>IF(N(AB574)&gt;0,AB574,IF(AND(R574="profesional",SG_LEGAL_ON=1),GAR_LEGAL,0))</f>
        <v/>
      </c>
      <c r="BY574" s="3">
        <f>SG_GAR*MIN(1,BX574/SG_GAR_FULL)+SG_AMPL*(AC574="sí")+SG_KMC*(AF574="sí")+SG_REV*(N(AE574)&gt;0)+SG_DEV*MIN(1,N(AG574)/SG_DEV_FULL)+SG_HIST*(W574="sí")</f>
        <v/>
      </c>
      <c r="BZ574" s="3">
        <f>IFERROR(VLOOKUP(L574,CARR_PEN_TBL,2,0),0)</f>
        <v/>
      </c>
      <c r="CA574" s="3">
        <f>W_FIAB*BL574+W_PRECIO*BM574+W_KMEDAD*BQ574+W_ANUNCIO*BR574+W_USO*BW574+W_SEGURIDAD*BY574-BZ574</f>
        <v/>
      </c>
      <c r="CB574" s="4">
        <f>IF(N(I574)&gt;0,I574,IFERROR(ROUND(_xlfn.NUMBERVALUE(LEFT(G574,FIND(" ",G574&amp;" ")-1),".")*1000,0),99999))</f>
        <v/>
      </c>
      <c r="CC574" s="3">
        <f>IF(R574="profesional",0,IF(O574&lt;CUOTA_VALOR_MAX,IF(AU574&gt;ITP_TRAMO_ALTO,SUMIFS(CF_CUOTA,CF_MAS,ITP_TRAMO_ALTO,CF_CCMIN,"&lt;="&amp;CB574,CF_CCMAX,"&gt;="&amp;CB574),IF(AU574&gt;ITP_TRAMO_BAJO,SUMIFS(CF_CUOTA,CF_MAS,ITP_TRAMO_BAJO,CF_CCMIN,"&lt;="&amp;CB574,CF_CCMAX,"&gt;="&amp;CB574),O574*ITP_TIPO)),O574*ITP_TIPO))</f>
        <v/>
      </c>
      <c r="CD574" s="4">
        <f>IF(R574="profesional",N(AK574),0)</f>
        <v/>
      </c>
      <c r="CE574" s="3">
        <f>IF(AND(R574="profesional",ISNUMBER(AK574),AL574="sí"),0,TASA_DGT)</f>
        <v/>
      </c>
      <c r="CF574" s="3">
        <f>INFORME_DGT</f>
        <v/>
      </c>
      <c r="CG574" s="4">
        <f>O574+CD574+CC574+CE574+CF574</f>
        <v/>
      </c>
      <c r="CH574" s="4">
        <f>CG574+N(BU574)</f>
        <v/>
      </c>
      <c r="CI574" s="3">
        <f>IF(CG574&lt;=TOTAL_MAX,"sí",IF(CG574&lt;=TOTAL_MAX+MARGEN_NEG,"negociar","no"))</f>
        <v/>
      </c>
      <c r="CJ574" s="4">
        <f>IF(CI574&lt;&gt;"no",COUNTIFS($CI$2:$CI$662,"&lt;&gt;no",$CA$2:$CA$662,"&gt;"&amp;CA574)+COUNTIFS($CI$2:CI574,"&lt;&gt;no",$CA$2:CA574,CA574),"")</f>
        <v/>
      </c>
    </row>
    <row r="575">
      <c r="A575" s="2" t="inlineStr">
        <is>
          <t>cochesnet:70963914</t>
        </is>
      </c>
      <c r="B575" s="2" t="inlineStr">
        <is>
          <t>cochesnet</t>
        </is>
      </c>
      <c r="C575" s="2" t="inlineStr">
        <is>
          <t>https://www.coches.net/kia-ceed-diesel-2009-en-castellon-70963914-covo.aspx</t>
        </is>
      </c>
      <c r="D575" s="2" t="inlineStr">
        <is>
          <t>KIA ceed 1.6 CRDi Active</t>
        </is>
      </c>
      <c r="E575" s="2" t="inlineStr">
        <is>
          <t>Kia</t>
        </is>
      </c>
      <c r="F575" s="2" t="inlineStr">
        <is>
          <t>Kia Ceed</t>
        </is>
      </c>
      <c r="G575" s="2" t="inlineStr">
        <is>
          <t>1.6 CRDi</t>
        </is>
      </c>
      <c r="H575" s="2" t="inlineStr">
        <is>
          <t>1.6 CRDi 115cv Active</t>
        </is>
      </c>
      <c r="I575" s="2" t="n"/>
      <c r="J575" s="2" t="n">
        <v>115</v>
      </c>
      <c r="K575" s="2" t="inlineStr">
        <is>
          <t>diesel</t>
        </is>
      </c>
      <c r="L575" s="2" t="inlineStr">
        <is>
          <t>compacto</t>
        </is>
      </c>
      <c r="M575" s="2" t="n">
        <v>2009</v>
      </c>
      <c r="N575" s="2" t="n">
        <v>198720</v>
      </c>
      <c r="O575" s="2" t="n">
        <v>3950</v>
      </c>
      <c r="P575" s="2" t="inlineStr">
        <is>
          <t>manual</t>
        </is>
      </c>
      <c r="Q575" s="2" t="inlineStr">
        <is>
          <t>no</t>
        </is>
      </c>
      <c r="R575" s="2" t="inlineStr">
        <is>
          <t>particular</t>
        </is>
      </c>
      <c r="S575" s="2" t="inlineStr">
        <is>
          <t>Castellón de la Plana / Castelló de la Plana</t>
        </is>
      </c>
      <c r="T575" s="2" t="inlineStr">
        <is>
          <t>2026-06-30T18:10:24Z</t>
        </is>
      </c>
      <c r="U575" s="2" t="n">
        <v>9</v>
      </c>
      <c r="V575" s="2" t="n"/>
      <c r="W575" s="2" t="n"/>
      <c r="X575" s="2" t="n"/>
      <c r="Y575" s="2" t="n"/>
      <c r="Z575" s="2" t="inlineStr">
        <is>
          <t>no</t>
        </is>
      </c>
      <c r="AA575" s="2" t="n"/>
      <c r="AB575" s="2" t="n"/>
      <c r="AC575" s="2" t="n"/>
      <c r="AD575" s="2" t="n"/>
      <c r="AE575" s="2" t="n"/>
      <c r="AF575" s="2" t="n"/>
      <c r="AG575" s="2" t="n"/>
      <c r="AH575" s="2" t="n">
        <v>3950</v>
      </c>
      <c r="AI575" s="2" t="n"/>
      <c r="AJ575" s="2" t="n"/>
      <c r="AK575" s="2" t="n"/>
      <c r="AL575" s="2" t="n"/>
      <c r="AM575" s="2" t="n"/>
      <c r="AN575" s="2" t="n"/>
      <c r="AO575" s="2" t="n"/>
      <c r="AP575" s="2" t="n"/>
      <c r="AQ575" s="2" t="n"/>
      <c r="AR575" s="2" t="inlineStr">
        <is>
          <t>cuota fija ITP: &gt;12 años, 1.501-2.000 cc; diésel: motor sin fuente de fiabilidad (fiabilidad limitada a neutra); distancia no verificable (el anuncio solo indica la provincia): confirmar que está a &lt;= 70 km; mediana con solo 2 anuncio(s)</t>
        </is>
      </c>
      <c r="AS575" s="2" t="inlineStr">
        <is>
          <t xml:space="preserve">Tel  .Se vende Kia Cee'd 115 CV ,siempre garaje. año 2009, con cambio manual. Coche fiable, cómodo .acepto prueba mecánica.Tel </t>
        </is>
      </c>
      <c r="AT575" s="2" t="inlineStr">
        <is>
          <t>https://www.coches.net/kia-ceed-diesel-2009-en-castellon-70963914-covo.aspx (window.__INITIAL_PROPS__.ad) /home/user/Alopecia/buscador-coches/raw/cochesnet/faf834b5e671a975.json</t>
        </is>
      </c>
      <c r="AU575" s="3">
        <f>MAX(ANIO_ACTUAL-M575,0)</f>
        <v/>
      </c>
      <c r="AV575" s="4">
        <f>N575/MAX(AU575,0.5)</f>
        <v/>
      </c>
      <c r="AW575" s="4">
        <f>F575</f>
        <v/>
      </c>
      <c r="AX575" s="3">
        <f>AW575&amp;"|"&amp;INT(M575/SEG_ANIO)*SEG_ANIO</f>
        <v/>
      </c>
      <c r="AY575" s="3">
        <f>AX575&amp;"|"&amp;INT(N575/SEG_KM)*SEG_KM</f>
        <v/>
      </c>
      <c r="AZ575" s="4">
        <f>COUNTIF($AW$2:$AW$662,AW575)</f>
        <v/>
      </c>
      <c r="BA575" s="4">
        <f>COUNTIF($AX$2:$AX$662,AX575)</f>
        <v/>
      </c>
      <c r="BB575" s="4">
        <f>COUNTIF($AY$2:$AY$662,AY575)</f>
        <v/>
      </c>
      <c r="BC575" s="3">
        <f t="array" ref="BC575">IF(N(AO575)&gt;=MIN_N,AN575,IF(BB575&gt;=MIN_N,MEDIAN(IF($AY$2:$AY$662=AY575,$O$2:$O$662)),IF(BA575&gt;=MIN_N,MEDIAN(IF($AX$2:$AX$662=AX575,$O$2:$O$662)),MEDIAN(IF($AW$2:$AW$662=AW575,$O$2:$O$662)))))</f>
        <v/>
      </c>
      <c r="BD575" s="3">
        <f>IF(N(AO575)&gt;=MIN_N,"mercado "&amp;AP575,IF(BB575&gt;=MIN_N,"modelo+año+km",IF(BA575&gt;=MIN_N,"modelo+año","modelo")))</f>
        <v/>
      </c>
      <c r="BE575" s="4">
        <f>(BC575-O575)/BC575</f>
        <v/>
      </c>
      <c r="BF575" s="3">
        <f>IF(OR(K575="hibrido",K575="glp"),"ECO",IF(K575="electrico","CERO",IF(K575="gasolina",IF(M575&gt;=GAS_C,"C",IF(M575&gt;=GAS_B,"B","A")),IF(K575="diesel",IF(M575&gt;=DIE_C,"C",IF(M575&gt;=DIE_B,"B","A")),""))))</f>
        <v/>
      </c>
      <c r="BG575" s="3">
        <f>IFERROR(VLOOKUP(F575,MOD_TBL,11,0),IFERROR(VLOOKUP(E575,OCU_TBL,2,0),NEUTRO))</f>
        <v/>
      </c>
      <c r="BH575" s="3">
        <f>SUMIFS(MOT_AJUSTE,MOT_MOTOR,G575,MOT_MARCA,E575,MOT_DESDE,"&lt;="&amp;M575,MOT_HASTA,"&gt;="&amp;M575)+SUMIFS(MOT_AJUSTE,MOT_MOTOR,G575,MOT_MARCA,"(todas)",MOT_DESDE,"&lt;="&amp;M575,MOT_HASTA,"&gt;="&amp;M575)</f>
        <v/>
      </c>
      <c r="BI575" s="3">
        <f>SUMIFS(COMB_AJUSTE,COMB_COMB,K575)</f>
        <v/>
      </c>
      <c r="BJ575" s="3">
        <f>COUNTIFS(MOT_MOTOR,G575,MOT_MARCA,E575,MOT_DESDE,"&lt;="&amp;M575,MOT_HASTA,"&gt;="&amp;M575)+COUNTIFS(MOT_MOTOR,G575,MOT_MARCA,"(todas)",MOT_DESDE,"&lt;="&amp;M575,MOT_HASTA,"&gt;="&amp;M575)</f>
        <v/>
      </c>
      <c r="BK575" s="3">
        <f>IF(AND(K575="diesel",BJ575=0),MIN(BG575,NEUTRO),BG575)</f>
        <v/>
      </c>
      <c r="BL575" s="4">
        <f>MAX(0,MIN(100,BK575+BH575+BI575))</f>
        <v/>
      </c>
      <c r="BM575" s="3">
        <f>MAX(0,MIN(100,50+BE575*PRECIO_PEND))</f>
        <v/>
      </c>
      <c r="BN575" s="3">
        <f>MAX(0,100*(1-N575/KM_MAX))</f>
        <v/>
      </c>
      <c r="BO575" s="3">
        <f>IF(AV575&lt;KMA_SOSP,IF(AA575="sí",100,KMA_PEN),IF(AV575&lt;=KMA_IDEAL_MAX,100,MAX(0,100*(KMA_CERO-AV575)/(KMA_CERO-KMA_IDEAL_MAX))))</f>
        <v/>
      </c>
      <c r="BP575" s="3">
        <f>MAX(0,MIN(100,100*(M575-ANIO_MIN)/(ANIO_ACTUAL-ANIO_MIN)))</f>
        <v/>
      </c>
      <c r="BQ575" s="3">
        <f>W_KMT*BN575+W_KMA*BO575+W_EDAD*BP575</f>
        <v/>
      </c>
      <c r="BR575" s="3">
        <f>P_ITV*(V575="sí")+P_LIBRO*(W575="sí")+P_CORREA*(X575="sí")+P_PROP*(Y575=1)+P_GAR*(Z575="sí")+P_FOTOS*MIN(1,N(U575)/FOTOS_OBJ)</f>
        <v/>
      </c>
      <c r="BS575" s="3">
        <f>IFERROR(VLOOKUP(BF575,ETQ_TBL,2,0),NEUTRO)</f>
        <v/>
      </c>
      <c r="BT575" s="3">
        <f>NEUTRO</f>
        <v/>
      </c>
      <c r="BU575" s="3">
        <f>IFERROR(VLOOKUP(L575,SEGURO_TBL,3,0),"")</f>
        <v/>
      </c>
      <c r="BV575" s="3">
        <f>IF(BU575="",NEUTRO,MAX(0,MIN(100,100*(SEG_REF_MAX-BU575)/(SEG_REF_MAX-SEG_REF_MIN))))</f>
        <v/>
      </c>
      <c r="BW575" s="3">
        <f>W_ET*BS575+W_CONS*BT575+W_SEG*BV575</f>
        <v/>
      </c>
      <c r="BX575" s="3">
        <f>IF(N(AB575)&gt;0,AB575,IF(AND(R575="profesional",SG_LEGAL_ON=1),GAR_LEGAL,0))</f>
        <v/>
      </c>
      <c r="BY575" s="3">
        <f>SG_GAR*MIN(1,BX575/SG_GAR_FULL)+SG_AMPL*(AC575="sí")+SG_KMC*(AF575="sí")+SG_REV*(N(AE575)&gt;0)+SG_DEV*MIN(1,N(AG575)/SG_DEV_FULL)+SG_HIST*(W575="sí")</f>
        <v/>
      </c>
      <c r="BZ575" s="3">
        <f>IFERROR(VLOOKUP(L575,CARR_PEN_TBL,2,0),0)</f>
        <v/>
      </c>
      <c r="CA575" s="3">
        <f>W_FIAB*BL575+W_PRECIO*BM575+W_KMEDAD*BQ575+W_ANUNCIO*BR575+W_USO*BW575+W_SEGURIDAD*BY575-BZ575</f>
        <v/>
      </c>
      <c r="CB575" s="4">
        <f>IF(N(I575)&gt;0,I575,IFERROR(ROUND(_xlfn.NUMBERVALUE(LEFT(G575,FIND(" ",G575&amp;" ")-1),".")*1000,0),99999))</f>
        <v/>
      </c>
      <c r="CC575" s="3">
        <f>IF(R575="profesional",0,IF(O575&lt;CUOTA_VALOR_MAX,IF(AU575&gt;ITP_TRAMO_ALTO,SUMIFS(CF_CUOTA,CF_MAS,ITP_TRAMO_ALTO,CF_CCMIN,"&lt;="&amp;CB575,CF_CCMAX,"&gt;="&amp;CB575),IF(AU575&gt;ITP_TRAMO_BAJO,SUMIFS(CF_CUOTA,CF_MAS,ITP_TRAMO_BAJO,CF_CCMIN,"&lt;="&amp;CB575,CF_CCMAX,"&gt;="&amp;CB575),O575*ITP_TIPO)),O575*ITP_TIPO))</f>
        <v/>
      </c>
      <c r="CD575" s="4">
        <f>IF(R575="profesional",N(AK575),0)</f>
        <v/>
      </c>
      <c r="CE575" s="3">
        <f>IF(AND(R575="profesional",ISNUMBER(AK575),AL575="sí"),0,TASA_DGT)</f>
        <v/>
      </c>
      <c r="CF575" s="3">
        <f>INFORME_DGT</f>
        <v/>
      </c>
      <c r="CG575" s="4">
        <f>O575+CD575+CC575+CE575+CF575</f>
        <v/>
      </c>
      <c r="CH575" s="4">
        <f>CG575+N(BU575)</f>
        <v/>
      </c>
      <c r="CI575" s="3">
        <f>IF(CG575&lt;=TOTAL_MAX,"sí",IF(CG575&lt;=TOTAL_MAX+MARGEN_NEG,"negociar","no"))</f>
        <v/>
      </c>
      <c r="CJ575" s="4">
        <f>IF(CI575&lt;&gt;"no",COUNTIFS($CI$2:$CI$662,"&lt;&gt;no",$CA$2:$CA$662,"&gt;"&amp;CA575)+COUNTIFS($CI$2:CI575,"&lt;&gt;no",$CA$2:CA575,CA575),"")</f>
        <v/>
      </c>
    </row>
    <row r="576">
      <c r="A576" s="2" t="inlineStr">
        <is>
          <t>cochesnet:71754825</t>
        </is>
      </c>
      <c r="B576" s="2" t="inlineStr">
        <is>
          <t>cochesnet</t>
        </is>
      </c>
      <c r="C576" s="2" t="inlineStr">
        <is>
          <t>https://www.coches.net/hyundai-matrix-16-gls-5p-gasolina-2007-en-castellon-71754825-covo.aspx</t>
        </is>
      </c>
      <c r="D576" s="2" t="inlineStr">
        <is>
          <t>HYUNDAI Matrix 1.6 GLS</t>
        </is>
      </c>
      <c r="E576" s="2" t="inlineStr">
        <is>
          <t>Hyundai</t>
        </is>
      </c>
      <c r="F576" s="2" t="inlineStr">
        <is>
          <t>Hyundai Matrix</t>
        </is>
      </c>
      <c r="G576" s="2" t="inlineStr">
        <is>
          <t>1.6</t>
        </is>
      </c>
      <c r="H576" s="2" t="inlineStr">
        <is>
          <t>1.6 GLS</t>
        </is>
      </c>
      <c r="I576" s="2" t="n"/>
      <c r="J576" s="2" t="n"/>
      <c r="K576" s="2" t="inlineStr">
        <is>
          <t>gasolina</t>
        </is>
      </c>
      <c r="L576" s="2" t="inlineStr">
        <is>
          <t>monovolumen_pequeno</t>
        </is>
      </c>
      <c r="M576" s="2" t="n">
        <v>2007</v>
      </c>
      <c r="N576" s="2" t="n">
        <v>158000</v>
      </c>
      <c r="O576" s="2" t="n">
        <v>1800</v>
      </c>
      <c r="P576" s="2" t="inlineStr">
        <is>
          <t>manual</t>
        </is>
      </c>
      <c r="Q576" s="2" t="inlineStr">
        <is>
          <t>no</t>
        </is>
      </c>
      <c r="R576" s="2" t="inlineStr">
        <is>
          <t>particular</t>
        </is>
      </c>
      <c r="S576" s="2" t="n"/>
      <c r="T576" s="2" t="inlineStr">
        <is>
          <t>2026-10-15T14:46:52Z</t>
        </is>
      </c>
      <c r="U576" s="2" t="n">
        <v>5</v>
      </c>
      <c r="V576" s="2" t="inlineStr">
        <is>
          <t>sí</t>
        </is>
      </c>
      <c r="W576" s="2" t="n"/>
      <c r="X576" s="2" t="inlineStr">
        <is>
          <t>sí</t>
        </is>
      </c>
      <c r="Y576" s="2" t="n"/>
      <c r="Z576" s="2" t="inlineStr">
        <is>
          <t>no</t>
        </is>
      </c>
      <c r="AA576" s="2" t="n"/>
      <c r="AB576" s="2" t="n"/>
      <c r="AC576" s="2" t="n"/>
      <c r="AD576" s="2" t="n"/>
      <c r="AE576" s="2" t="n"/>
      <c r="AF576" s="2" t="n"/>
      <c r="AG576" s="2" t="n"/>
      <c r="AH576" s="2" t="n">
        <v>1800</v>
      </c>
      <c r="AI576" s="2" t="n"/>
      <c r="AJ576" s="2" t="n"/>
      <c r="AK576" s="2" t="n"/>
      <c r="AL576" s="2" t="n"/>
      <c r="AM576" s="2" t="n"/>
      <c r="AN576" s="2" t="n"/>
      <c r="AO576" s="2" t="n"/>
      <c r="AP576" s="2" t="n"/>
      <c r="AQ576" s="2" t="n"/>
      <c r="AR576" s="2" t="inlineStr">
        <is>
          <t>cuota fija ITP: &gt;12 años, 1.501-2.000 cc; carrocería monovolumen_pequeno: -6 puntos; distancia no verificable (el anuncio solo indica la provincia): confirmar que está a &lt;= 70 km; fiabilidad del modelo PENDIENTE de fuente (puntuación neutra); mediana con solo 3 anuncio(s)</t>
        </is>
      </c>
      <c r="AS576" s="2" t="inlineStr">
        <is>
          <t xml:space="preserve">ITV hasta 29 /04/2027 todo está al día Correa cambiada ruedas nuevas batería recién cambiada frenos cambiado </t>
        </is>
      </c>
      <c r="AT576" s="2" t="inlineStr">
        <is>
          <t>https://www.coches.net/hyundai-matrix-16-gls-5p-gasolina-2007-en-castellon-71754825-covo.aspx (window.__INITIAL_PROPS__.ad) /home/user/Alopecia/buscador-coches/raw/cochesnet/1b02fd84ecc68b8a.json</t>
        </is>
      </c>
      <c r="AU576" s="3">
        <f>MAX(ANIO_ACTUAL-M576,0)</f>
        <v/>
      </c>
      <c r="AV576" s="4">
        <f>N576/MAX(AU576,0.5)</f>
        <v/>
      </c>
      <c r="AW576" s="4">
        <f>F576</f>
        <v/>
      </c>
      <c r="AX576" s="3">
        <f>AW576&amp;"|"&amp;INT(M576/SEG_ANIO)*SEG_ANIO</f>
        <v/>
      </c>
      <c r="AY576" s="3">
        <f>AX576&amp;"|"&amp;INT(N576/SEG_KM)*SEG_KM</f>
        <v/>
      </c>
      <c r="AZ576" s="4">
        <f>COUNTIF($AW$2:$AW$662,AW576)</f>
        <v/>
      </c>
      <c r="BA576" s="4">
        <f>COUNTIF($AX$2:$AX$662,AX576)</f>
        <v/>
      </c>
      <c r="BB576" s="4">
        <f>COUNTIF($AY$2:$AY$662,AY576)</f>
        <v/>
      </c>
      <c r="BC576" s="3">
        <f t="array" ref="BC576">IF(N(AO576)&gt;=MIN_N,AN576,IF(BB576&gt;=MIN_N,MEDIAN(IF($AY$2:$AY$662=AY576,$O$2:$O$662)),IF(BA576&gt;=MIN_N,MEDIAN(IF($AX$2:$AX$662=AX576,$O$2:$O$662)),MEDIAN(IF($AW$2:$AW$662=AW576,$O$2:$O$662)))))</f>
        <v/>
      </c>
      <c r="BD576" s="3">
        <f>IF(N(AO576)&gt;=MIN_N,"mercado "&amp;AP576,IF(BB576&gt;=MIN_N,"modelo+año+km",IF(BA576&gt;=MIN_N,"modelo+año","modelo")))</f>
        <v/>
      </c>
      <c r="BE576" s="4">
        <f>(BC576-O576)/BC576</f>
        <v/>
      </c>
      <c r="BF576" s="3">
        <f>IF(OR(K576="hibrido",K576="glp"),"ECO",IF(K576="electrico","CERO",IF(K576="gasolina",IF(M576&gt;=GAS_C,"C",IF(M576&gt;=GAS_B,"B","A")),IF(K576="diesel",IF(M576&gt;=DIE_C,"C",IF(M576&gt;=DIE_B,"B","A")),""))))</f>
        <v/>
      </c>
      <c r="BG576" s="3">
        <f>IFERROR(VLOOKUP(F576,MOD_TBL,11,0),IFERROR(VLOOKUP(E576,OCU_TBL,2,0),NEUTRO))</f>
        <v/>
      </c>
      <c r="BH576" s="3">
        <f>SUMIFS(MOT_AJUSTE,MOT_MOTOR,G576,MOT_MARCA,E576,MOT_DESDE,"&lt;="&amp;M576,MOT_HASTA,"&gt;="&amp;M576)+SUMIFS(MOT_AJUSTE,MOT_MOTOR,G576,MOT_MARCA,"(todas)",MOT_DESDE,"&lt;="&amp;M576,MOT_HASTA,"&gt;="&amp;M576)</f>
        <v/>
      </c>
      <c r="BI576" s="3">
        <f>SUMIFS(COMB_AJUSTE,COMB_COMB,K576)</f>
        <v/>
      </c>
      <c r="BJ576" s="3">
        <f>COUNTIFS(MOT_MOTOR,G576,MOT_MARCA,E576,MOT_DESDE,"&lt;="&amp;M576,MOT_HASTA,"&gt;="&amp;M576)+COUNTIFS(MOT_MOTOR,G576,MOT_MARCA,"(todas)",MOT_DESDE,"&lt;="&amp;M576,MOT_HASTA,"&gt;="&amp;M576)</f>
        <v/>
      </c>
      <c r="BK576" s="3">
        <f>IF(AND(K576="diesel",BJ576=0),MIN(BG576,NEUTRO),BG576)</f>
        <v/>
      </c>
      <c r="BL576" s="4">
        <f>MAX(0,MIN(100,BK576+BH576+BI576))</f>
        <v/>
      </c>
      <c r="BM576" s="3">
        <f>MAX(0,MIN(100,50+BE576*PRECIO_PEND))</f>
        <v/>
      </c>
      <c r="BN576" s="3">
        <f>MAX(0,100*(1-N576/KM_MAX))</f>
        <v/>
      </c>
      <c r="BO576" s="3">
        <f>IF(AV576&lt;KMA_SOSP,IF(AA576="sí",100,KMA_PEN),IF(AV576&lt;=KMA_IDEAL_MAX,100,MAX(0,100*(KMA_CERO-AV576)/(KMA_CERO-KMA_IDEAL_MAX))))</f>
        <v/>
      </c>
      <c r="BP576" s="3">
        <f>MAX(0,MIN(100,100*(M576-ANIO_MIN)/(ANIO_ACTUAL-ANIO_MIN)))</f>
        <v/>
      </c>
      <c r="BQ576" s="3">
        <f>W_KMT*BN576+W_KMA*BO576+W_EDAD*BP576</f>
        <v/>
      </c>
      <c r="BR576" s="3">
        <f>P_ITV*(V576="sí")+P_LIBRO*(W576="sí")+P_CORREA*(X576="sí")+P_PROP*(Y576=1)+P_GAR*(Z576="sí")+P_FOTOS*MIN(1,N(U576)/FOTOS_OBJ)</f>
        <v/>
      </c>
      <c r="BS576" s="3">
        <f>IFERROR(VLOOKUP(BF576,ETQ_TBL,2,0),NEUTRO)</f>
        <v/>
      </c>
      <c r="BT576" s="3">
        <f>NEUTRO</f>
        <v/>
      </c>
      <c r="BU576" s="3">
        <f>IFERROR(VLOOKUP(L576,SEGURO_TBL,3,0),"")</f>
        <v/>
      </c>
      <c r="BV576" s="3">
        <f>IF(BU576="",NEUTRO,MAX(0,MIN(100,100*(SEG_REF_MAX-BU576)/(SEG_REF_MAX-SEG_REF_MIN))))</f>
        <v/>
      </c>
      <c r="BW576" s="3">
        <f>W_ET*BS576+W_CONS*BT576+W_SEG*BV576</f>
        <v/>
      </c>
      <c r="BX576" s="3">
        <f>IF(N(AB576)&gt;0,AB576,IF(AND(R576="profesional",SG_LEGAL_ON=1),GAR_LEGAL,0))</f>
        <v/>
      </c>
      <c r="BY576" s="3">
        <f>SG_GAR*MIN(1,BX576/SG_GAR_FULL)+SG_AMPL*(AC576="sí")+SG_KMC*(AF576="sí")+SG_REV*(N(AE576)&gt;0)+SG_DEV*MIN(1,N(AG576)/SG_DEV_FULL)+SG_HIST*(W576="sí")</f>
        <v/>
      </c>
      <c r="BZ576" s="3">
        <f>IFERROR(VLOOKUP(L576,CARR_PEN_TBL,2,0),0)</f>
        <v/>
      </c>
      <c r="CA576" s="3">
        <f>W_FIAB*BL576+W_PRECIO*BM576+W_KMEDAD*BQ576+W_ANUNCIO*BR576+W_USO*BW576+W_SEGURIDAD*BY576-BZ576</f>
        <v/>
      </c>
      <c r="CB576" s="4">
        <f>IF(N(I576)&gt;0,I576,IFERROR(ROUND(_xlfn.NUMBERVALUE(LEFT(G576,FIND(" ",G576&amp;" ")-1),".")*1000,0),99999))</f>
        <v/>
      </c>
      <c r="CC576" s="3">
        <f>IF(R576="profesional",0,IF(O576&lt;CUOTA_VALOR_MAX,IF(AU576&gt;ITP_TRAMO_ALTO,SUMIFS(CF_CUOTA,CF_MAS,ITP_TRAMO_ALTO,CF_CCMIN,"&lt;="&amp;CB576,CF_CCMAX,"&gt;="&amp;CB576),IF(AU576&gt;ITP_TRAMO_BAJO,SUMIFS(CF_CUOTA,CF_MAS,ITP_TRAMO_BAJO,CF_CCMIN,"&lt;="&amp;CB576,CF_CCMAX,"&gt;="&amp;CB576),O576*ITP_TIPO)),O576*ITP_TIPO))</f>
        <v/>
      </c>
      <c r="CD576" s="4">
        <f>IF(R576="profesional",N(AK576),0)</f>
        <v/>
      </c>
      <c r="CE576" s="3">
        <f>IF(AND(R576="profesional",ISNUMBER(AK576),AL576="sí"),0,TASA_DGT)</f>
        <v/>
      </c>
      <c r="CF576" s="3">
        <f>INFORME_DGT</f>
        <v/>
      </c>
      <c r="CG576" s="4">
        <f>O576+CD576+CC576+CE576+CF576</f>
        <v/>
      </c>
      <c r="CH576" s="4">
        <f>CG576+N(BU576)</f>
        <v/>
      </c>
      <c r="CI576" s="3">
        <f>IF(CG576&lt;=TOTAL_MAX,"sí",IF(CG576&lt;=TOTAL_MAX+MARGEN_NEG,"negociar","no"))</f>
        <v/>
      </c>
      <c r="CJ576" s="4">
        <f>IF(CI576&lt;&gt;"no",COUNTIFS($CI$2:$CI$662,"&lt;&gt;no",$CA$2:$CA$662,"&gt;"&amp;CA576)+COUNTIFS($CI$2:CI576,"&lt;&gt;no",$CA$2:CA576,CA576),"")</f>
        <v/>
      </c>
    </row>
    <row r="577">
      <c r="A577" s="2" t="inlineStr">
        <is>
          <t>cochesnet:70497853</t>
        </is>
      </c>
      <c r="B577" s="2" t="inlineStr">
        <is>
          <t>cochesnet</t>
        </is>
      </c>
      <c r="C577" s="2" t="inlineStr">
        <is>
          <t>https://www.coches.net/hyundai-i30-16-cvvt-style-5p-gasolina-2008-en-castellon-70497853-covo.aspx</t>
        </is>
      </c>
      <c r="D577" s="2" t="inlineStr">
        <is>
          <t>HYUNDAI i30 1.6 CVVT Style</t>
        </is>
      </c>
      <c r="E577" s="2" t="inlineStr">
        <is>
          <t>Hyundai</t>
        </is>
      </c>
      <c r="F577" s="2" t="inlineStr">
        <is>
          <t>Hyundai i30</t>
        </is>
      </c>
      <c r="G577" s="2" t="inlineStr">
        <is>
          <t>1.6</t>
        </is>
      </c>
      <c r="H577" s="2" t="inlineStr">
        <is>
          <t>1.6 CVVT Style</t>
        </is>
      </c>
      <c r="I577" s="2" t="n"/>
      <c r="J577" s="2" t="n"/>
      <c r="K577" s="2" t="inlineStr">
        <is>
          <t>gasolina</t>
        </is>
      </c>
      <c r="L577" s="2" t="inlineStr">
        <is>
          <t>compacto</t>
        </is>
      </c>
      <c r="M577" s="2" t="n">
        <v>2008</v>
      </c>
      <c r="N577" s="2" t="n">
        <v>198000</v>
      </c>
      <c r="O577" s="2" t="n">
        <v>4900</v>
      </c>
      <c r="P577" s="2" t="inlineStr">
        <is>
          <t>manual</t>
        </is>
      </c>
      <c r="Q577" s="2" t="inlineStr">
        <is>
          <t>no</t>
        </is>
      </c>
      <c r="R577" s="2" t="inlineStr">
        <is>
          <t>particular</t>
        </is>
      </c>
      <c r="S577" s="2" t="inlineStr">
        <is>
          <t>Ribesalbes</t>
        </is>
      </c>
      <c r="T577" s="2" t="inlineStr">
        <is>
          <t>2026-08-04T14:52:18Z</t>
        </is>
      </c>
      <c r="U577" s="2" t="n">
        <v>11</v>
      </c>
      <c r="V577" s="2" t="n"/>
      <c r="W577" s="2" t="n"/>
      <c r="X577" s="2" t="n"/>
      <c r="Y577" s="2" t="n"/>
      <c r="Z577" s="2" t="inlineStr">
        <is>
          <t>no</t>
        </is>
      </c>
      <c r="AA577" s="2" t="n"/>
      <c r="AB577" s="2" t="n"/>
      <c r="AC577" s="2" t="n"/>
      <c r="AD577" s="2" t="n"/>
      <c r="AE577" s="2" t="n"/>
      <c r="AF577" s="2" t="n"/>
      <c r="AG577" s="2" t="n"/>
      <c r="AH577" s="2" t="n">
        <v>4900</v>
      </c>
      <c r="AI577" s="2" t="n"/>
      <c r="AJ577" s="2" t="n"/>
      <c r="AK577" s="2" t="n"/>
      <c r="AL577" s="2" t="n"/>
      <c r="AM577" s="2" t="n">
        <v>62</v>
      </c>
      <c r="AN577" s="2" t="n">
        <v>5850</v>
      </c>
      <c r="AO577" s="2" t="n">
        <v>7</v>
      </c>
      <c r="AP577" s="2" t="inlineStr">
        <is>
          <t>modelo+año</t>
        </is>
      </c>
      <c r="AQ577" s="2" t="n"/>
      <c r="AR577" s="2" t="inlineStr">
        <is>
          <t>por encima del presupuesto (5024 €), negociar; cuota fija ITP: &gt;12 años, 1.501-2.000 cc</t>
        </is>
      </c>
      <c r="AS577" s="2" t="inlineStr"/>
      <c r="AT577" s="2" t="inlineStr">
        <is>
          <t>https://www.coches.net/hyundai-i30-16-cvvt-style-5p-gasolina-2008-en-castellon-70497853-covo.aspx (window.__INITIAL_PROPS__.ad) /home/user/Alopecia/buscador-coches/raw/cochesnet/11ca9581990778a3.json</t>
        </is>
      </c>
      <c r="AU577" s="3">
        <f>MAX(ANIO_ACTUAL-M577,0)</f>
        <v/>
      </c>
      <c r="AV577" s="4">
        <f>N577/MAX(AU577,0.5)</f>
        <v/>
      </c>
      <c r="AW577" s="4">
        <f>F577</f>
        <v/>
      </c>
      <c r="AX577" s="3">
        <f>AW577&amp;"|"&amp;INT(M577/SEG_ANIO)*SEG_ANIO</f>
        <v/>
      </c>
      <c r="AY577" s="3">
        <f>AX577&amp;"|"&amp;INT(N577/SEG_KM)*SEG_KM</f>
        <v/>
      </c>
      <c r="AZ577" s="4">
        <f>COUNTIF($AW$2:$AW$662,AW577)</f>
        <v/>
      </c>
      <c r="BA577" s="4">
        <f>COUNTIF($AX$2:$AX$662,AX577)</f>
        <v/>
      </c>
      <c r="BB577" s="4">
        <f>COUNTIF($AY$2:$AY$662,AY577)</f>
        <v/>
      </c>
      <c r="BC577" s="3">
        <f t="array" ref="BC577">IF(N(AO577)&gt;=MIN_N,AN577,IF(BB577&gt;=MIN_N,MEDIAN(IF($AY$2:$AY$662=AY577,$O$2:$O$662)),IF(BA577&gt;=MIN_N,MEDIAN(IF($AX$2:$AX$662=AX577,$O$2:$O$662)),MEDIAN(IF($AW$2:$AW$662=AW577,$O$2:$O$662)))))</f>
        <v/>
      </c>
      <c r="BD577" s="3">
        <f>IF(N(AO577)&gt;=MIN_N,"mercado "&amp;AP577,IF(BB577&gt;=MIN_N,"modelo+año+km",IF(BA577&gt;=MIN_N,"modelo+año","modelo")))</f>
        <v/>
      </c>
      <c r="BE577" s="4">
        <f>(BC577-O577)/BC577</f>
        <v/>
      </c>
      <c r="BF577" s="3">
        <f>IF(OR(K577="hibrido",K577="glp"),"ECO",IF(K577="electrico","CERO",IF(K577="gasolina",IF(M577&gt;=GAS_C,"C",IF(M577&gt;=GAS_B,"B","A")),IF(K577="diesel",IF(M577&gt;=DIE_C,"C",IF(M577&gt;=DIE_B,"B","A")),""))))</f>
        <v/>
      </c>
      <c r="BG577" s="3">
        <f>IFERROR(VLOOKUP(F577,MOD_TBL,11,0),IFERROR(VLOOKUP(E577,OCU_TBL,2,0),NEUTRO))</f>
        <v/>
      </c>
      <c r="BH577" s="3">
        <f>SUMIFS(MOT_AJUSTE,MOT_MOTOR,G577,MOT_MARCA,E577,MOT_DESDE,"&lt;="&amp;M577,MOT_HASTA,"&gt;="&amp;M577)+SUMIFS(MOT_AJUSTE,MOT_MOTOR,G577,MOT_MARCA,"(todas)",MOT_DESDE,"&lt;="&amp;M577,MOT_HASTA,"&gt;="&amp;M577)</f>
        <v/>
      </c>
      <c r="BI577" s="3">
        <f>SUMIFS(COMB_AJUSTE,COMB_COMB,K577)</f>
        <v/>
      </c>
      <c r="BJ577" s="3">
        <f>COUNTIFS(MOT_MOTOR,G577,MOT_MARCA,E577,MOT_DESDE,"&lt;="&amp;M577,MOT_HASTA,"&gt;="&amp;M577)+COUNTIFS(MOT_MOTOR,G577,MOT_MARCA,"(todas)",MOT_DESDE,"&lt;="&amp;M577,MOT_HASTA,"&gt;="&amp;M577)</f>
        <v/>
      </c>
      <c r="BK577" s="3">
        <f>IF(AND(K577="diesel",BJ577=0),MIN(BG577,NEUTRO),BG577)</f>
        <v/>
      </c>
      <c r="BL577" s="4">
        <f>MAX(0,MIN(100,BK577+BH577+BI577))</f>
        <v/>
      </c>
      <c r="BM577" s="3">
        <f>MAX(0,MIN(100,50+BE577*PRECIO_PEND))</f>
        <v/>
      </c>
      <c r="BN577" s="3">
        <f>MAX(0,100*(1-N577/KM_MAX))</f>
        <v/>
      </c>
      <c r="BO577" s="3">
        <f>IF(AV577&lt;KMA_SOSP,IF(AA577="sí",100,KMA_PEN),IF(AV577&lt;=KMA_IDEAL_MAX,100,MAX(0,100*(KMA_CERO-AV577)/(KMA_CERO-KMA_IDEAL_MAX))))</f>
        <v/>
      </c>
      <c r="BP577" s="3">
        <f>MAX(0,MIN(100,100*(M577-ANIO_MIN)/(ANIO_ACTUAL-ANIO_MIN)))</f>
        <v/>
      </c>
      <c r="BQ577" s="3">
        <f>W_KMT*BN577+W_KMA*BO577+W_EDAD*BP577</f>
        <v/>
      </c>
      <c r="BR577" s="3">
        <f>P_ITV*(V577="sí")+P_LIBRO*(W577="sí")+P_CORREA*(X577="sí")+P_PROP*(Y577=1)+P_GAR*(Z577="sí")+P_FOTOS*MIN(1,N(U577)/FOTOS_OBJ)</f>
        <v/>
      </c>
      <c r="BS577" s="3">
        <f>IFERROR(VLOOKUP(BF577,ETQ_TBL,2,0),NEUTRO)</f>
        <v/>
      </c>
      <c r="BT577" s="3">
        <f>NEUTRO</f>
        <v/>
      </c>
      <c r="BU577" s="3">
        <f>IFERROR(VLOOKUP(L577,SEGURO_TBL,3,0),"")</f>
        <v/>
      </c>
      <c r="BV577" s="3">
        <f>IF(BU577="",NEUTRO,MAX(0,MIN(100,100*(SEG_REF_MAX-BU577)/(SEG_REF_MAX-SEG_REF_MIN))))</f>
        <v/>
      </c>
      <c r="BW577" s="3">
        <f>W_ET*BS577+W_CONS*BT577+W_SEG*BV577</f>
        <v/>
      </c>
      <c r="BX577" s="3">
        <f>IF(N(AB577)&gt;0,AB577,IF(AND(R577="profesional",SG_LEGAL_ON=1),GAR_LEGAL,0))</f>
        <v/>
      </c>
      <c r="BY577" s="3">
        <f>SG_GAR*MIN(1,BX577/SG_GAR_FULL)+SG_AMPL*(AC577="sí")+SG_KMC*(AF577="sí")+SG_REV*(N(AE577)&gt;0)+SG_DEV*MIN(1,N(AG577)/SG_DEV_FULL)+SG_HIST*(W577="sí")</f>
        <v/>
      </c>
      <c r="BZ577" s="3">
        <f>IFERROR(VLOOKUP(L577,CARR_PEN_TBL,2,0),0)</f>
        <v/>
      </c>
      <c r="CA577" s="3">
        <f>W_FIAB*BL577+W_PRECIO*BM577+W_KMEDAD*BQ577+W_ANUNCIO*BR577+W_USO*BW577+W_SEGURIDAD*BY577-BZ577</f>
        <v/>
      </c>
      <c r="CB577" s="4">
        <f>IF(N(I577)&gt;0,I577,IFERROR(ROUND(_xlfn.NUMBERVALUE(LEFT(G577,FIND(" ",G577&amp;" ")-1),".")*1000,0),99999))</f>
        <v/>
      </c>
      <c r="CC577" s="3">
        <f>IF(R577="profesional",0,IF(O577&lt;CUOTA_VALOR_MAX,IF(AU577&gt;ITP_TRAMO_ALTO,SUMIFS(CF_CUOTA,CF_MAS,ITP_TRAMO_ALTO,CF_CCMIN,"&lt;="&amp;CB577,CF_CCMAX,"&gt;="&amp;CB577),IF(AU577&gt;ITP_TRAMO_BAJO,SUMIFS(CF_CUOTA,CF_MAS,ITP_TRAMO_BAJO,CF_CCMIN,"&lt;="&amp;CB577,CF_CCMAX,"&gt;="&amp;CB577),O577*ITP_TIPO)),O577*ITP_TIPO))</f>
        <v/>
      </c>
      <c r="CD577" s="4">
        <f>IF(R577="profesional",N(AK577),0)</f>
        <v/>
      </c>
      <c r="CE577" s="3">
        <f>IF(AND(R577="profesional",ISNUMBER(AK577),AL577="sí"),0,TASA_DGT)</f>
        <v/>
      </c>
      <c r="CF577" s="3">
        <f>INFORME_DGT</f>
        <v/>
      </c>
      <c r="CG577" s="4">
        <f>O577+CD577+CC577+CE577+CF577</f>
        <v/>
      </c>
      <c r="CH577" s="4">
        <f>CG577+N(BU577)</f>
        <v/>
      </c>
      <c r="CI577" s="3">
        <f>IF(CG577&lt;=TOTAL_MAX,"sí",IF(CG577&lt;=TOTAL_MAX+MARGEN_NEG,"negociar","no"))</f>
        <v/>
      </c>
      <c r="CJ577" s="4">
        <f>IF(CI577&lt;&gt;"no",COUNTIFS($CI$2:$CI$662,"&lt;&gt;no",$CA$2:$CA$662,"&gt;"&amp;CA577)+COUNTIFS($CI$2:CI577,"&lt;&gt;no",$CA$2:CA577,CA577),"")</f>
        <v/>
      </c>
    </row>
    <row r="578">
      <c r="A578" s="2" t="inlineStr">
        <is>
          <t>cochesnet:71735711</t>
        </is>
      </c>
      <c r="B578" s="2" t="inlineStr">
        <is>
          <t>cochesnet</t>
        </is>
      </c>
      <c r="C578" s="2" t="inlineStr">
        <is>
          <t>https://www.coches.net/skoda-fabia-combi-14-16v-75cv-young-5p-gasolina-2006-en-castellon-71735711-covo.aspx</t>
        </is>
      </c>
      <c r="D578" s="2" t="inlineStr">
        <is>
          <t>SKODA Fabia Combi 1.4 16v Young</t>
        </is>
      </c>
      <c r="E578" s="2" t="inlineStr">
        <is>
          <t>Skoda</t>
        </is>
      </c>
      <c r="F578" s="2" t="inlineStr">
        <is>
          <t>Skoda Fabia</t>
        </is>
      </c>
      <c r="G578" s="2" t="inlineStr">
        <is>
          <t>1.4</t>
        </is>
      </c>
      <c r="H578" s="2" t="inlineStr">
        <is>
          <t>Combi 1.4 16v 75CV Young</t>
        </is>
      </c>
      <c r="I578" s="2" t="n"/>
      <c r="J578" s="2" t="n">
        <v>75</v>
      </c>
      <c r="K578" s="2" t="inlineStr">
        <is>
          <t>gasolina</t>
        </is>
      </c>
      <c r="L578" s="2" t="inlineStr">
        <is>
          <t>familiar</t>
        </is>
      </c>
      <c r="M578" s="2" t="n">
        <v>2006</v>
      </c>
      <c r="N578" s="2" t="n">
        <v>91000</v>
      </c>
      <c r="O578" s="2" t="n">
        <v>3000</v>
      </c>
      <c r="P578" s="2" t="inlineStr">
        <is>
          <t>manual</t>
        </is>
      </c>
      <c r="Q578" s="2" t="inlineStr">
        <is>
          <t>no</t>
        </is>
      </c>
      <c r="R578" s="2" t="inlineStr">
        <is>
          <t>particular</t>
        </is>
      </c>
      <c r="S578" s="2" t="n"/>
      <c r="T578" s="2" t="inlineStr">
        <is>
          <t>2026-10-13T14:37:21Z</t>
        </is>
      </c>
      <c r="U578" s="2" t="n">
        <v>5</v>
      </c>
      <c r="V578" s="2" t="inlineStr">
        <is>
          <t>sí</t>
        </is>
      </c>
      <c r="W578" s="2" t="n"/>
      <c r="X578" s="2" t="n"/>
      <c r="Y578" s="2" t="n"/>
      <c r="Z578" s="2" t="inlineStr">
        <is>
          <t>no</t>
        </is>
      </c>
      <c r="AA578" s="2" t="n"/>
      <c r="AB578" s="2" t="n"/>
      <c r="AC578" s="2" t="n"/>
      <c r="AD578" s="2" t="n"/>
      <c r="AE578" s="2" t="n"/>
      <c r="AF578" s="2" t="n"/>
      <c r="AG578" s="2" t="n"/>
      <c r="AH578" s="2" t="n">
        <v>3000</v>
      </c>
      <c r="AI578" s="2" t="n"/>
      <c r="AJ578" s="2" t="n"/>
      <c r="AK578" s="2" t="n"/>
      <c r="AL578" s="2" t="n"/>
      <c r="AM578" s="2" t="n"/>
      <c r="AN578" s="2" t="n">
        <v>3000</v>
      </c>
      <c r="AO578" s="2" t="n">
        <v>5</v>
      </c>
      <c r="AP578" s="2" t="inlineStr">
        <is>
          <t>modelo+año</t>
        </is>
      </c>
      <c r="AQ578" s="2" t="n"/>
      <c r="AR578" s="2" t="inlineStr">
        <is>
          <t>cuota fija ITP: &gt;12 años, hasta 1.500 cc; carrocería familiar: -3 puntos; distancia no verificable (el anuncio solo indica la provincia): confirmar que está a &lt;= 70 km</t>
        </is>
      </c>
      <c r="AS578" s="2" t="inlineStr">
        <is>
          <t xml:space="preserve">Muy bien cuidado en interior y exterior. Todas las revisiones a tiempo. ITV hasta Octubre de 2027. </t>
        </is>
      </c>
      <c r="AT578" s="2" t="inlineStr">
        <is>
          <t>https://www.coches.net/skoda-fabia-combi-14-16v-75cv-young-5p-gasolina-2006-en-castellon-71735711-covo.aspx (window.__INITIAL_PROPS__.ad) /home/user/Alopecia/buscador-coches/raw/cochesnet/c8a7d8c6515ccf4e.json</t>
        </is>
      </c>
      <c r="AU578" s="3">
        <f>MAX(ANIO_ACTUAL-M578,0)</f>
        <v/>
      </c>
      <c r="AV578" s="4">
        <f>N578/MAX(AU578,0.5)</f>
        <v/>
      </c>
      <c r="AW578" s="4">
        <f>F578</f>
        <v/>
      </c>
      <c r="AX578" s="3">
        <f>AW578&amp;"|"&amp;INT(M578/SEG_ANIO)*SEG_ANIO</f>
        <v/>
      </c>
      <c r="AY578" s="3">
        <f>AX578&amp;"|"&amp;INT(N578/SEG_KM)*SEG_KM</f>
        <v/>
      </c>
      <c r="AZ578" s="4">
        <f>COUNTIF($AW$2:$AW$662,AW578)</f>
        <v/>
      </c>
      <c r="BA578" s="4">
        <f>COUNTIF($AX$2:$AX$662,AX578)</f>
        <v/>
      </c>
      <c r="BB578" s="4">
        <f>COUNTIF($AY$2:$AY$662,AY578)</f>
        <v/>
      </c>
      <c r="BC578" s="3">
        <f t="array" ref="BC578">IF(N(AO578)&gt;=MIN_N,AN578,IF(BB578&gt;=MIN_N,MEDIAN(IF($AY$2:$AY$662=AY578,$O$2:$O$662)),IF(BA578&gt;=MIN_N,MEDIAN(IF($AX$2:$AX$662=AX578,$O$2:$O$662)),MEDIAN(IF($AW$2:$AW$662=AW578,$O$2:$O$662)))))</f>
        <v/>
      </c>
      <c r="BD578" s="3">
        <f>IF(N(AO578)&gt;=MIN_N,"mercado "&amp;AP578,IF(BB578&gt;=MIN_N,"modelo+año+km",IF(BA578&gt;=MIN_N,"modelo+año","modelo")))</f>
        <v/>
      </c>
      <c r="BE578" s="4">
        <f>(BC578-O578)/BC578</f>
        <v/>
      </c>
      <c r="BF578" s="3">
        <f>IF(OR(K578="hibrido",K578="glp"),"ECO",IF(K578="electrico","CERO",IF(K578="gasolina",IF(M578&gt;=GAS_C,"C",IF(M578&gt;=GAS_B,"B","A")),IF(K578="diesel",IF(M578&gt;=DIE_C,"C",IF(M578&gt;=DIE_B,"B","A")),""))))</f>
        <v/>
      </c>
      <c r="BG578" s="3">
        <f>IFERROR(VLOOKUP(F578,MOD_TBL,11,0),IFERROR(VLOOKUP(E578,OCU_TBL,2,0),NEUTRO))</f>
        <v/>
      </c>
      <c r="BH578" s="3">
        <f>SUMIFS(MOT_AJUSTE,MOT_MOTOR,G578,MOT_MARCA,E578,MOT_DESDE,"&lt;="&amp;M578,MOT_HASTA,"&gt;="&amp;M578)+SUMIFS(MOT_AJUSTE,MOT_MOTOR,G578,MOT_MARCA,"(todas)",MOT_DESDE,"&lt;="&amp;M578,MOT_HASTA,"&gt;="&amp;M578)</f>
        <v/>
      </c>
      <c r="BI578" s="3">
        <f>SUMIFS(COMB_AJUSTE,COMB_COMB,K578)</f>
        <v/>
      </c>
      <c r="BJ578" s="3">
        <f>COUNTIFS(MOT_MOTOR,G578,MOT_MARCA,E578,MOT_DESDE,"&lt;="&amp;M578,MOT_HASTA,"&gt;="&amp;M578)+COUNTIFS(MOT_MOTOR,G578,MOT_MARCA,"(todas)",MOT_DESDE,"&lt;="&amp;M578,MOT_HASTA,"&gt;="&amp;M578)</f>
        <v/>
      </c>
      <c r="BK578" s="3">
        <f>IF(AND(K578="diesel",BJ578=0),MIN(BG578,NEUTRO),BG578)</f>
        <v/>
      </c>
      <c r="BL578" s="4">
        <f>MAX(0,MIN(100,BK578+BH578+BI578))</f>
        <v/>
      </c>
      <c r="BM578" s="3">
        <f>MAX(0,MIN(100,50+BE578*PRECIO_PEND))</f>
        <v/>
      </c>
      <c r="BN578" s="3">
        <f>MAX(0,100*(1-N578/KM_MAX))</f>
        <v/>
      </c>
      <c r="BO578" s="3">
        <f>IF(AV578&lt;KMA_SOSP,IF(AA578="sí",100,KMA_PEN),IF(AV578&lt;=KMA_IDEAL_MAX,100,MAX(0,100*(KMA_CERO-AV578)/(KMA_CERO-KMA_IDEAL_MAX))))</f>
        <v/>
      </c>
      <c r="BP578" s="3">
        <f>MAX(0,MIN(100,100*(M578-ANIO_MIN)/(ANIO_ACTUAL-ANIO_MIN)))</f>
        <v/>
      </c>
      <c r="BQ578" s="3">
        <f>W_KMT*BN578+W_KMA*BO578+W_EDAD*BP578</f>
        <v/>
      </c>
      <c r="BR578" s="3">
        <f>P_ITV*(V578="sí")+P_LIBRO*(W578="sí")+P_CORREA*(X578="sí")+P_PROP*(Y578=1)+P_GAR*(Z578="sí")+P_FOTOS*MIN(1,N(U578)/FOTOS_OBJ)</f>
        <v/>
      </c>
      <c r="BS578" s="3">
        <f>IFERROR(VLOOKUP(BF578,ETQ_TBL,2,0),NEUTRO)</f>
        <v/>
      </c>
      <c r="BT578" s="3">
        <f>NEUTRO</f>
        <v/>
      </c>
      <c r="BU578" s="3">
        <f>IFERROR(VLOOKUP(L578,SEGURO_TBL,3,0),"")</f>
        <v/>
      </c>
      <c r="BV578" s="3">
        <f>IF(BU578="",NEUTRO,MAX(0,MIN(100,100*(SEG_REF_MAX-BU578)/(SEG_REF_MAX-SEG_REF_MIN))))</f>
        <v/>
      </c>
      <c r="BW578" s="3">
        <f>W_ET*BS578+W_CONS*BT578+W_SEG*BV578</f>
        <v/>
      </c>
      <c r="BX578" s="3">
        <f>IF(N(AB578)&gt;0,AB578,IF(AND(R578="profesional",SG_LEGAL_ON=1),GAR_LEGAL,0))</f>
        <v/>
      </c>
      <c r="BY578" s="3">
        <f>SG_GAR*MIN(1,BX578/SG_GAR_FULL)+SG_AMPL*(AC578="sí")+SG_KMC*(AF578="sí")+SG_REV*(N(AE578)&gt;0)+SG_DEV*MIN(1,N(AG578)/SG_DEV_FULL)+SG_HIST*(W578="sí")</f>
        <v/>
      </c>
      <c r="BZ578" s="3">
        <f>IFERROR(VLOOKUP(L578,CARR_PEN_TBL,2,0),0)</f>
        <v/>
      </c>
      <c r="CA578" s="3">
        <f>W_FIAB*BL578+W_PRECIO*BM578+W_KMEDAD*BQ578+W_ANUNCIO*BR578+W_USO*BW578+W_SEGURIDAD*BY578-BZ578</f>
        <v/>
      </c>
      <c r="CB578" s="4">
        <f>IF(N(I578)&gt;0,I578,IFERROR(ROUND(_xlfn.NUMBERVALUE(LEFT(G578,FIND(" ",G578&amp;" ")-1),".")*1000,0),99999))</f>
        <v/>
      </c>
      <c r="CC578" s="3">
        <f>IF(R578="profesional",0,IF(O578&lt;CUOTA_VALOR_MAX,IF(AU578&gt;ITP_TRAMO_ALTO,SUMIFS(CF_CUOTA,CF_MAS,ITP_TRAMO_ALTO,CF_CCMIN,"&lt;="&amp;CB578,CF_CCMAX,"&gt;="&amp;CB578),IF(AU578&gt;ITP_TRAMO_BAJO,SUMIFS(CF_CUOTA,CF_MAS,ITP_TRAMO_BAJO,CF_CCMIN,"&lt;="&amp;CB578,CF_CCMAX,"&gt;="&amp;CB578),O578*ITP_TIPO)),O578*ITP_TIPO))</f>
        <v/>
      </c>
      <c r="CD578" s="4">
        <f>IF(R578="profesional",N(AK578),0)</f>
        <v/>
      </c>
      <c r="CE578" s="3">
        <f>IF(AND(R578="profesional",ISNUMBER(AK578),AL578="sí"),0,TASA_DGT)</f>
        <v/>
      </c>
      <c r="CF578" s="3">
        <f>INFORME_DGT</f>
        <v/>
      </c>
      <c r="CG578" s="4">
        <f>O578+CD578+CC578+CE578+CF578</f>
        <v/>
      </c>
      <c r="CH578" s="4">
        <f>CG578+N(BU578)</f>
        <v/>
      </c>
      <c r="CI578" s="3">
        <f>IF(CG578&lt;=TOTAL_MAX,"sí",IF(CG578&lt;=TOTAL_MAX+MARGEN_NEG,"negociar","no"))</f>
        <v/>
      </c>
      <c r="CJ578" s="4">
        <f>IF(CI578&lt;&gt;"no",COUNTIFS($CI$2:$CI$662,"&lt;&gt;no",$CA$2:$CA$662,"&gt;"&amp;CA578)+COUNTIFS($CI$2:CI578,"&lt;&gt;no",$CA$2:CA578,CA578),"")</f>
        <v/>
      </c>
    </row>
    <row r="579">
      <c r="A579" s="2" t="inlineStr">
        <is>
          <t>cochesnet:71112200</t>
        </is>
      </c>
      <c r="B579" s="2" t="inlineStr">
        <is>
          <t>cochesnet</t>
        </is>
      </c>
      <c r="C579" s="2" t="inlineStr">
        <is>
          <t>https://www.coches.net/skoda-fabia-12-12v-60cv-young-5p-gasolina-2011-en-castellon-71112200-covo.aspx</t>
        </is>
      </c>
      <c r="D579" s="2" t="inlineStr">
        <is>
          <t>SKODA Fabia 1.2 12v Young</t>
        </is>
      </c>
      <c r="E579" s="2" t="inlineStr">
        <is>
          <t>Skoda</t>
        </is>
      </c>
      <c r="F579" s="2" t="inlineStr">
        <is>
          <t>Skoda Fabia</t>
        </is>
      </c>
      <c r="G579" s="2" t="inlineStr">
        <is>
          <t>1.2</t>
        </is>
      </c>
      <c r="H579" s="2" t="inlineStr">
        <is>
          <t>1.2 12v 60cv Young</t>
        </is>
      </c>
      <c r="I579" s="2" t="n"/>
      <c r="J579" s="2" t="n">
        <v>60</v>
      </c>
      <c r="K579" s="2" t="inlineStr">
        <is>
          <t>gasolina</t>
        </is>
      </c>
      <c r="L579" s="2" t="inlineStr">
        <is>
          <t>utilitario</t>
        </is>
      </c>
      <c r="M579" s="2" t="n">
        <v>2011</v>
      </c>
      <c r="N579" s="2" t="n">
        <v>144000</v>
      </c>
      <c r="O579" s="2" t="n">
        <v>3950</v>
      </c>
      <c r="P579" s="2" t="inlineStr">
        <is>
          <t>manual</t>
        </is>
      </c>
      <c r="Q579" s="2" t="inlineStr">
        <is>
          <t>no</t>
        </is>
      </c>
      <c r="R579" s="2" t="inlineStr">
        <is>
          <t>particular</t>
        </is>
      </c>
      <c r="S579" s="2" t="inlineStr">
        <is>
          <t>Vila-real</t>
        </is>
      </c>
      <c r="T579" s="2" t="inlineStr">
        <is>
          <t>2026-10-02T22:31:24Z</t>
        </is>
      </c>
      <c r="U579" s="2" t="n">
        <v>10</v>
      </c>
      <c r="V579" s="2" t="n"/>
      <c r="W579" s="2" t="n"/>
      <c r="X579" s="2" t="n"/>
      <c r="Y579" s="2" t="n"/>
      <c r="Z579" s="2" t="inlineStr">
        <is>
          <t>no</t>
        </is>
      </c>
      <c r="AA579" s="2" t="n"/>
      <c r="AB579" s="2" t="n"/>
      <c r="AC579" s="2" t="n"/>
      <c r="AD579" s="2" t="n"/>
      <c r="AE579" s="2" t="n"/>
      <c r="AF579" s="2" t="n"/>
      <c r="AG579" s="2" t="n"/>
      <c r="AH579" s="2" t="n">
        <v>3950</v>
      </c>
      <c r="AI579" s="2" t="n"/>
      <c r="AJ579" s="2" t="n"/>
      <c r="AK579" s="2" t="n"/>
      <c r="AL579" s="2" t="n"/>
      <c r="AM579" s="2" t="n"/>
      <c r="AN579" s="2" t="n">
        <v>4999</v>
      </c>
      <c r="AO579" s="2" t="n">
        <v>5</v>
      </c>
      <c r="AP579" s="2" t="inlineStr">
        <is>
          <t>modelo+año</t>
        </is>
      </c>
      <c r="AQ579" s="2" t="n"/>
      <c r="AR579" s="2" t="inlineStr">
        <is>
          <t>cuota fija ITP: &gt;12 años, hasta 1.500 cc; distancia no verificable (el anuncio solo indica la provincia): confirmar que está a &lt;= 70 km</t>
        </is>
      </c>
      <c r="AS579" s="2" t="inlineStr">
        <is>
          <t>Vendo mi Skoda Fabia 1.2 en estado de uso habitual, un berlina de cinco puertas práctico y versátil que ha sido mi compañero de viajes durante estos años. Se trata de un vehículo fiable y económico, perfecto para quien busca un coche funcional sin complicaciones.
Este Fabia destaca por su motor de 1.2 litros de 60 CV, que ofrece un consumo muy ajustado ideal para el día a día, tanto en ciudad como en carretera. La transmisión manual proporciona una conducción directa y controlada, mientras que el cambio de marchas es suave y responde bien en cualquier situación.
Con cinco plazas y una carrocería bien dimensionada, es perfecto para familias o para quien necesita espacio sin sacrificar maniobrabilidad en espacios urbanos. El color negro le da un aspecto limpio y elegante que se mantiene bien con el paso del tiempo.
El vehículo se encuentra en condiciones de uso habitual, tanto en el interior como en el exterior, lo que significa que tiene el desgaste natural propio de un coche con estos años de circulación, pero completamente funcional y listo para continuar prestando servicio sin problemas.
Si buscas un coche económico, resistente y sin pretensiones que te lleve de un lado a otro de forma segura y eficiente, este Fabia es una opción muy interesante. Su tamaño compacto, bajo consumo y fiabilidad característica de la marca lo convierten en una inversión sensata.
Estoy disponible para responder cualquier duda específica que tengas sobre el vehículo. Puedes contactarme a trav</t>
        </is>
      </c>
      <c r="AT579" s="2" t="inlineStr">
        <is>
          <t>https://www.coches.net/skoda-fabia-12-12v-60cv-young-5p-gasolina-2011-en-castellon-71112200-covo.aspx (window.__INITIAL_PROPS__.ad) /home/user/Alopecia/buscador-coches/raw/cochesnet/e64fd7e10b55499f.json</t>
        </is>
      </c>
      <c r="AU579" s="3">
        <f>MAX(ANIO_ACTUAL-M579,0)</f>
        <v/>
      </c>
      <c r="AV579" s="4">
        <f>N579/MAX(AU579,0.5)</f>
        <v/>
      </c>
      <c r="AW579" s="4">
        <f>F579</f>
        <v/>
      </c>
      <c r="AX579" s="3">
        <f>AW579&amp;"|"&amp;INT(M579/SEG_ANIO)*SEG_ANIO</f>
        <v/>
      </c>
      <c r="AY579" s="3">
        <f>AX579&amp;"|"&amp;INT(N579/SEG_KM)*SEG_KM</f>
        <v/>
      </c>
      <c r="AZ579" s="4">
        <f>COUNTIF($AW$2:$AW$662,AW579)</f>
        <v/>
      </c>
      <c r="BA579" s="4">
        <f>COUNTIF($AX$2:$AX$662,AX579)</f>
        <v/>
      </c>
      <c r="BB579" s="4">
        <f>COUNTIF($AY$2:$AY$662,AY579)</f>
        <v/>
      </c>
      <c r="BC579" s="3">
        <f t="array" ref="BC579">IF(N(AO579)&gt;=MIN_N,AN579,IF(BB579&gt;=MIN_N,MEDIAN(IF($AY$2:$AY$662=AY579,$O$2:$O$662)),IF(BA579&gt;=MIN_N,MEDIAN(IF($AX$2:$AX$662=AX579,$O$2:$O$662)),MEDIAN(IF($AW$2:$AW$662=AW579,$O$2:$O$662)))))</f>
        <v/>
      </c>
      <c r="BD579" s="3">
        <f>IF(N(AO579)&gt;=MIN_N,"mercado "&amp;AP579,IF(BB579&gt;=MIN_N,"modelo+año+km",IF(BA579&gt;=MIN_N,"modelo+año","modelo")))</f>
        <v/>
      </c>
      <c r="BE579" s="4">
        <f>(BC579-O579)/BC579</f>
        <v/>
      </c>
      <c r="BF579" s="3">
        <f>IF(OR(K579="hibrido",K579="glp"),"ECO",IF(K579="electrico","CERO",IF(K579="gasolina",IF(M579&gt;=GAS_C,"C",IF(M579&gt;=GAS_B,"B","A")),IF(K579="diesel",IF(M579&gt;=DIE_C,"C",IF(M579&gt;=DIE_B,"B","A")),""))))</f>
        <v/>
      </c>
      <c r="BG579" s="3">
        <f>IFERROR(VLOOKUP(F579,MOD_TBL,11,0),IFERROR(VLOOKUP(E579,OCU_TBL,2,0),NEUTRO))</f>
        <v/>
      </c>
      <c r="BH579" s="3">
        <f>SUMIFS(MOT_AJUSTE,MOT_MOTOR,G579,MOT_MARCA,E579,MOT_DESDE,"&lt;="&amp;M579,MOT_HASTA,"&gt;="&amp;M579)+SUMIFS(MOT_AJUSTE,MOT_MOTOR,G579,MOT_MARCA,"(todas)",MOT_DESDE,"&lt;="&amp;M579,MOT_HASTA,"&gt;="&amp;M579)</f>
        <v/>
      </c>
      <c r="BI579" s="3">
        <f>SUMIFS(COMB_AJUSTE,COMB_COMB,K579)</f>
        <v/>
      </c>
      <c r="BJ579" s="3">
        <f>COUNTIFS(MOT_MOTOR,G579,MOT_MARCA,E579,MOT_DESDE,"&lt;="&amp;M579,MOT_HASTA,"&gt;="&amp;M579)+COUNTIFS(MOT_MOTOR,G579,MOT_MARCA,"(todas)",MOT_DESDE,"&lt;="&amp;M579,MOT_HASTA,"&gt;="&amp;M579)</f>
        <v/>
      </c>
      <c r="BK579" s="3">
        <f>IF(AND(K579="diesel",BJ579=0),MIN(BG579,NEUTRO),BG579)</f>
        <v/>
      </c>
      <c r="BL579" s="4">
        <f>MAX(0,MIN(100,BK579+BH579+BI579))</f>
        <v/>
      </c>
      <c r="BM579" s="3">
        <f>MAX(0,MIN(100,50+BE579*PRECIO_PEND))</f>
        <v/>
      </c>
      <c r="BN579" s="3">
        <f>MAX(0,100*(1-N579/KM_MAX))</f>
        <v/>
      </c>
      <c r="BO579" s="3">
        <f>IF(AV579&lt;KMA_SOSP,IF(AA579="sí",100,KMA_PEN),IF(AV579&lt;=KMA_IDEAL_MAX,100,MAX(0,100*(KMA_CERO-AV579)/(KMA_CERO-KMA_IDEAL_MAX))))</f>
        <v/>
      </c>
      <c r="BP579" s="3">
        <f>MAX(0,MIN(100,100*(M579-ANIO_MIN)/(ANIO_ACTUAL-ANIO_MIN)))</f>
        <v/>
      </c>
      <c r="BQ579" s="3">
        <f>W_KMT*BN579+W_KMA*BO579+W_EDAD*BP579</f>
        <v/>
      </c>
      <c r="BR579" s="3">
        <f>P_ITV*(V579="sí")+P_LIBRO*(W579="sí")+P_CORREA*(X579="sí")+P_PROP*(Y579=1)+P_GAR*(Z579="sí")+P_FOTOS*MIN(1,N(U579)/FOTOS_OBJ)</f>
        <v/>
      </c>
      <c r="BS579" s="3">
        <f>IFERROR(VLOOKUP(BF579,ETQ_TBL,2,0),NEUTRO)</f>
        <v/>
      </c>
      <c r="BT579" s="3">
        <f>NEUTRO</f>
        <v/>
      </c>
      <c r="BU579" s="3">
        <f>IFERROR(VLOOKUP(L579,SEGURO_TBL,3,0),"")</f>
        <v/>
      </c>
      <c r="BV579" s="3">
        <f>IF(BU579="",NEUTRO,MAX(0,MIN(100,100*(SEG_REF_MAX-BU579)/(SEG_REF_MAX-SEG_REF_MIN))))</f>
        <v/>
      </c>
      <c r="BW579" s="3">
        <f>W_ET*BS579+W_CONS*BT579+W_SEG*BV579</f>
        <v/>
      </c>
      <c r="BX579" s="3">
        <f>IF(N(AB579)&gt;0,AB579,IF(AND(R579="profesional",SG_LEGAL_ON=1),GAR_LEGAL,0))</f>
        <v/>
      </c>
      <c r="BY579" s="3">
        <f>SG_GAR*MIN(1,BX579/SG_GAR_FULL)+SG_AMPL*(AC579="sí")+SG_KMC*(AF579="sí")+SG_REV*(N(AE579)&gt;0)+SG_DEV*MIN(1,N(AG579)/SG_DEV_FULL)+SG_HIST*(W579="sí")</f>
        <v/>
      </c>
      <c r="BZ579" s="3">
        <f>IFERROR(VLOOKUP(L579,CARR_PEN_TBL,2,0),0)</f>
        <v/>
      </c>
      <c r="CA579" s="3">
        <f>W_FIAB*BL579+W_PRECIO*BM579+W_KMEDAD*BQ579+W_ANUNCIO*BR579+W_USO*BW579+W_SEGURIDAD*BY579-BZ579</f>
        <v/>
      </c>
      <c r="CB579" s="4">
        <f>IF(N(I579)&gt;0,I579,IFERROR(ROUND(_xlfn.NUMBERVALUE(LEFT(G579,FIND(" ",G579&amp;" ")-1),".")*1000,0),99999))</f>
        <v/>
      </c>
      <c r="CC579" s="3">
        <f>IF(R579="profesional",0,IF(O579&lt;CUOTA_VALOR_MAX,IF(AU579&gt;ITP_TRAMO_ALTO,SUMIFS(CF_CUOTA,CF_MAS,ITP_TRAMO_ALTO,CF_CCMIN,"&lt;="&amp;CB579,CF_CCMAX,"&gt;="&amp;CB579),IF(AU579&gt;ITP_TRAMO_BAJO,SUMIFS(CF_CUOTA,CF_MAS,ITP_TRAMO_BAJO,CF_CCMIN,"&lt;="&amp;CB579,CF_CCMAX,"&gt;="&amp;CB579),O579*ITP_TIPO)),O579*ITP_TIPO))</f>
        <v/>
      </c>
      <c r="CD579" s="4">
        <f>IF(R579="profesional",N(AK579),0)</f>
        <v/>
      </c>
      <c r="CE579" s="3">
        <f>IF(AND(R579="profesional",ISNUMBER(AK579),AL579="sí"),0,TASA_DGT)</f>
        <v/>
      </c>
      <c r="CF579" s="3">
        <f>INFORME_DGT</f>
        <v/>
      </c>
      <c r="CG579" s="4">
        <f>O579+CD579+CC579+CE579+CF579</f>
        <v/>
      </c>
      <c r="CH579" s="4">
        <f>CG579+N(BU579)</f>
        <v/>
      </c>
      <c r="CI579" s="3">
        <f>IF(CG579&lt;=TOTAL_MAX,"sí",IF(CG579&lt;=TOTAL_MAX+MARGEN_NEG,"negociar","no"))</f>
        <v/>
      </c>
      <c r="CJ579" s="4">
        <f>IF(CI579&lt;&gt;"no",COUNTIFS($CI$2:$CI$662,"&lt;&gt;no",$CA$2:$CA$662,"&gt;"&amp;CA579)+COUNTIFS($CI$2:CI579,"&lt;&gt;no",$CA$2:CA579,CA579),"")</f>
        <v/>
      </c>
    </row>
    <row r="580">
      <c r="A580" s="2" t="inlineStr">
        <is>
          <t>cochesnet:62641273</t>
        </is>
      </c>
      <c r="B580" s="2" t="inlineStr">
        <is>
          <t>cochesnet</t>
        </is>
      </c>
      <c r="C580" s="2" t="inlineStr">
        <is>
          <t>https://www.coches.net/seat-ibiza-19-tdi-100cv-hit-5p-diesel-2007-en-castellon-62641273-covo.aspx</t>
        </is>
      </c>
      <c r="D580" s="2" t="inlineStr">
        <is>
          <t>SEAT Ibiza 1.9 TDI Hit</t>
        </is>
      </c>
      <c r="E580" s="2" t="inlineStr">
        <is>
          <t>Seat</t>
        </is>
      </c>
      <c r="F580" s="2" t="inlineStr">
        <is>
          <t>Seat Ibiza</t>
        </is>
      </c>
      <c r="G580" s="2" t="inlineStr">
        <is>
          <t>1.9 TDI</t>
        </is>
      </c>
      <c r="H580" s="2" t="inlineStr">
        <is>
          <t>1.9 TDI 100cv Hit</t>
        </is>
      </c>
      <c r="I580" s="2" t="n"/>
      <c r="J580" s="2" t="n">
        <v>100</v>
      </c>
      <c r="K580" s="2" t="inlineStr">
        <is>
          <t>diesel</t>
        </is>
      </c>
      <c r="L580" s="2" t="inlineStr">
        <is>
          <t>utilitario</t>
        </is>
      </c>
      <c r="M580" s="2" t="n">
        <v>2006</v>
      </c>
      <c r="N580" s="2" t="n">
        <v>151600</v>
      </c>
      <c r="O580" s="2" t="n">
        <v>4500</v>
      </c>
      <c r="P580" s="2" t="inlineStr">
        <is>
          <t>manual</t>
        </is>
      </c>
      <c r="Q580" s="2" t="inlineStr">
        <is>
          <t>no</t>
        </is>
      </c>
      <c r="R580" s="2" t="inlineStr">
        <is>
          <t>profesional</t>
        </is>
      </c>
      <c r="S580" s="2" t="inlineStr">
        <is>
          <t>Comprartuauto.com Vila-real</t>
        </is>
      </c>
      <c r="T580" s="2" t="inlineStr">
        <is>
          <t>2026-08-10T20:41:38Z</t>
        </is>
      </c>
      <c r="U580" s="2" t="n">
        <v>13</v>
      </c>
      <c r="V580" s="2" t="n"/>
      <c r="W580" s="2" t="n"/>
      <c r="X580" s="2" t="n"/>
      <c r="Y580" s="2" t="n">
        <v>2</v>
      </c>
      <c r="Z580" s="2" t="inlineStr">
        <is>
          <t>no</t>
        </is>
      </c>
      <c r="AA580" s="2" t="n"/>
      <c r="AB580" s="2" t="n"/>
      <c r="AC580" s="2" t="n"/>
      <c r="AD580" s="2" t="n"/>
      <c r="AE580" s="2" t="n"/>
      <c r="AF580" s="2" t="n"/>
      <c r="AG580" s="2" t="n"/>
      <c r="AH580" s="2" t="n">
        <v>4500</v>
      </c>
      <c r="AI580" s="2" t="n">
        <v>4500</v>
      </c>
      <c r="AJ580" s="2" t="n"/>
      <c r="AK580" s="2" t="n"/>
      <c r="AL580" s="2" t="n"/>
      <c r="AM580" s="2" t="n"/>
      <c r="AN580" s="2" t="n">
        <v>3750</v>
      </c>
      <c r="AO580" s="2" t="n">
        <v>8</v>
      </c>
      <c r="AP580" s="2" t="inlineStr">
        <is>
          <t>modelo+año+km</t>
        </is>
      </c>
      <c r="AQ580" s="2" t="n"/>
      <c r="AR580"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t>
        </is>
      </c>
      <c r="AS580" s="2" t="inlineStr">
        <is>
          <t>Seat Ibiza motor 1.9cc 100cv Diesel, manual 5 velocidades, año 3/2006, 151.600kms, solo 2 propietarios, etiqueta medioambiental B.
Extras: Cierre centralizado a distancia, cristales eléctricos, climatizador, Radio/CD/Mp3, manos libres Parrot, llantas de aleación, ABS, control de tracción y estabilidad, airbags, etc. 
Se entrega con ITV, niveles y fluidos correctos, neumáticos correctos, batería nueva. 
El vehículo esta en perfectas condiciones.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AT580" s="2" t="inlineStr">
        <is>
          <t>https://www.coches.net/seat-ibiza-19-tdi-100cv-hit-5p-diesel-2007-en-castellon-62641273-covo.aspx (window.__INITIAL_PROPS__.ad) /home/user/Alopecia/buscador-coches/raw/cochesnet/a6721eecf8725f18.json</t>
        </is>
      </c>
      <c r="AU580" s="3">
        <f>MAX(ANIO_ACTUAL-M580,0)</f>
        <v/>
      </c>
      <c r="AV580" s="4">
        <f>N580/MAX(AU580,0.5)</f>
        <v/>
      </c>
      <c r="AW580" s="4">
        <f>F580</f>
        <v/>
      </c>
      <c r="AX580" s="3">
        <f>AW580&amp;"|"&amp;INT(M580/SEG_ANIO)*SEG_ANIO</f>
        <v/>
      </c>
      <c r="AY580" s="3">
        <f>AX580&amp;"|"&amp;INT(N580/SEG_KM)*SEG_KM</f>
        <v/>
      </c>
      <c r="AZ580" s="4">
        <f>COUNTIF($AW$2:$AW$662,AW580)</f>
        <v/>
      </c>
      <c r="BA580" s="4">
        <f>COUNTIF($AX$2:$AX$662,AX580)</f>
        <v/>
      </c>
      <c r="BB580" s="4">
        <f>COUNTIF($AY$2:$AY$662,AY580)</f>
        <v/>
      </c>
      <c r="BC580" s="3">
        <f t="array" ref="BC580">IF(N(AO580)&gt;=MIN_N,AN580,IF(BB580&gt;=MIN_N,MEDIAN(IF($AY$2:$AY$662=AY580,$O$2:$O$662)),IF(BA580&gt;=MIN_N,MEDIAN(IF($AX$2:$AX$662=AX580,$O$2:$O$662)),MEDIAN(IF($AW$2:$AW$662=AW580,$O$2:$O$662)))))</f>
        <v/>
      </c>
      <c r="BD580" s="3">
        <f>IF(N(AO580)&gt;=MIN_N,"mercado "&amp;AP580,IF(BB580&gt;=MIN_N,"modelo+año+km",IF(BA580&gt;=MIN_N,"modelo+año","modelo")))</f>
        <v/>
      </c>
      <c r="BE580" s="4">
        <f>(BC580-O580)/BC580</f>
        <v/>
      </c>
      <c r="BF580" s="3">
        <f>IF(OR(K580="hibrido",K580="glp"),"ECO",IF(K580="electrico","CERO",IF(K580="gasolina",IF(M580&gt;=GAS_C,"C",IF(M580&gt;=GAS_B,"B","A")),IF(K580="diesel",IF(M580&gt;=DIE_C,"C",IF(M580&gt;=DIE_B,"B","A")),""))))</f>
        <v/>
      </c>
      <c r="BG580" s="3">
        <f>IFERROR(VLOOKUP(F580,MOD_TBL,11,0),IFERROR(VLOOKUP(E580,OCU_TBL,2,0),NEUTRO))</f>
        <v/>
      </c>
      <c r="BH580" s="3">
        <f>SUMIFS(MOT_AJUSTE,MOT_MOTOR,G580,MOT_MARCA,E580,MOT_DESDE,"&lt;="&amp;M580,MOT_HASTA,"&gt;="&amp;M580)+SUMIFS(MOT_AJUSTE,MOT_MOTOR,G580,MOT_MARCA,"(todas)",MOT_DESDE,"&lt;="&amp;M580,MOT_HASTA,"&gt;="&amp;M580)</f>
        <v/>
      </c>
      <c r="BI580" s="3">
        <f>SUMIFS(COMB_AJUSTE,COMB_COMB,K580)</f>
        <v/>
      </c>
      <c r="BJ580" s="3">
        <f>COUNTIFS(MOT_MOTOR,G580,MOT_MARCA,E580,MOT_DESDE,"&lt;="&amp;M580,MOT_HASTA,"&gt;="&amp;M580)+COUNTIFS(MOT_MOTOR,G580,MOT_MARCA,"(todas)",MOT_DESDE,"&lt;="&amp;M580,MOT_HASTA,"&gt;="&amp;M580)</f>
        <v/>
      </c>
      <c r="BK580" s="3">
        <f>IF(AND(K580="diesel",BJ580=0),MIN(BG580,NEUTRO),BG580)</f>
        <v/>
      </c>
      <c r="BL580" s="4">
        <f>MAX(0,MIN(100,BK580+BH580+BI580))</f>
        <v/>
      </c>
      <c r="BM580" s="3">
        <f>MAX(0,MIN(100,50+BE580*PRECIO_PEND))</f>
        <v/>
      </c>
      <c r="BN580" s="3">
        <f>MAX(0,100*(1-N580/KM_MAX))</f>
        <v/>
      </c>
      <c r="BO580" s="3">
        <f>IF(AV580&lt;KMA_SOSP,IF(AA580="sí",100,KMA_PEN),IF(AV580&lt;=KMA_IDEAL_MAX,100,MAX(0,100*(KMA_CERO-AV580)/(KMA_CERO-KMA_IDEAL_MAX))))</f>
        <v/>
      </c>
      <c r="BP580" s="3">
        <f>MAX(0,MIN(100,100*(M580-ANIO_MIN)/(ANIO_ACTUAL-ANIO_MIN)))</f>
        <v/>
      </c>
      <c r="BQ580" s="3">
        <f>W_KMT*BN580+W_KMA*BO580+W_EDAD*BP580</f>
        <v/>
      </c>
      <c r="BR580" s="3">
        <f>P_ITV*(V580="sí")+P_LIBRO*(W580="sí")+P_CORREA*(X580="sí")+P_PROP*(Y580=1)+P_GAR*(Z580="sí")+P_FOTOS*MIN(1,N(U580)/FOTOS_OBJ)</f>
        <v/>
      </c>
      <c r="BS580" s="3">
        <f>IFERROR(VLOOKUP(BF580,ETQ_TBL,2,0),NEUTRO)</f>
        <v/>
      </c>
      <c r="BT580" s="3">
        <f>NEUTRO</f>
        <v/>
      </c>
      <c r="BU580" s="3">
        <f>IFERROR(VLOOKUP(L580,SEGURO_TBL,3,0),"")</f>
        <v/>
      </c>
      <c r="BV580" s="3">
        <f>IF(BU580="",NEUTRO,MAX(0,MIN(100,100*(SEG_REF_MAX-BU580)/(SEG_REF_MAX-SEG_REF_MIN))))</f>
        <v/>
      </c>
      <c r="BW580" s="3">
        <f>W_ET*BS580+W_CONS*BT580+W_SEG*BV580</f>
        <v/>
      </c>
      <c r="BX580" s="3">
        <f>IF(N(AB580)&gt;0,AB580,IF(AND(R580="profesional",SG_LEGAL_ON=1),GAR_LEGAL,0))</f>
        <v/>
      </c>
      <c r="BY580" s="3">
        <f>SG_GAR*MIN(1,BX580/SG_GAR_FULL)+SG_AMPL*(AC580="sí")+SG_KMC*(AF580="sí")+SG_REV*(N(AE580)&gt;0)+SG_DEV*MIN(1,N(AG580)/SG_DEV_FULL)+SG_HIST*(W580="sí")</f>
        <v/>
      </c>
      <c r="BZ580" s="3">
        <f>IFERROR(VLOOKUP(L580,CARR_PEN_TBL,2,0),0)</f>
        <v/>
      </c>
      <c r="CA580" s="3">
        <f>W_FIAB*BL580+W_PRECIO*BM580+W_KMEDAD*BQ580+W_ANUNCIO*BR580+W_USO*BW580+W_SEGURIDAD*BY580-BZ580</f>
        <v/>
      </c>
      <c r="CB580" s="4">
        <f>IF(N(I580)&gt;0,I580,IFERROR(ROUND(_xlfn.NUMBERVALUE(LEFT(G580,FIND(" ",G580&amp;" ")-1),".")*1000,0),99999))</f>
        <v/>
      </c>
      <c r="CC580" s="3">
        <f>IF(R580="profesional",0,IF(O580&lt;CUOTA_VALOR_MAX,IF(AU580&gt;ITP_TRAMO_ALTO,SUMIFS(CF_CUOTA,CF_MAS,ITP_TRAMO_ALTO,CF_CCMIN,"&lt;="&amp;CB580,CF_CCMAX,"&gt;="&amp;CB580),IF(AU580&gt;ITP_TRAMO_BAJO,SUMIFS(CF_CUOTA,CF_MAS,ITP_TRAMO_BAJO,CF_CCMIN,"&lt;="&amp;CB580,CF_CCMAX,"&gt;="&amp;CB580),O580*ITP_TIPO)),O580*ITP_TIPO))</f>
        <v/>
      </c>
      <c r="CD580" s="4">
        <f>IF(R580="profesional",N(AK580),0)</f>
        <v/>
      </c>
      <c r="CE580" s="3">
        <f>IF(AND(R580="profesional",ISNUMBER(AK580),AL580="sí"),0,TASA_DGT)</f>
        <v/>
      </c>
      <c r="CF580" s="3">
        <f>INFORME_DGT</f>
        <v/>
      </c>
      <c r="CG580" s="4">
        <f>O580+CD580+CC580+CE580+CF580</f>
        <v/>
      </c>
      <c r="CH580" s="4">
        <f>CG580+N(BU580)</f>
        <v/>
      </c>
      <c r="CI580" s="3">
        <f>IF(CG580&lt;=TOTAL_MAX,"sí",IF(CG580&lt;=TOTAL_MAX+MARGEN_NEG,"negociar","no"))</f>
        <v/>
      </c>
      <c r="CJ580" s="4">
        <f>IF(CI580&lt;&gt;"no",COUNTIFS($CI$2:$CI$662,"&lt;&gt;no",$CA$2:$CA$662,"&gt;"&amp;CA580)+COUNTIFS($CI$2:CI580,"&lt;&gt;no",$CA$2:CA580,CA580),"")</f>
        <v/>
      </c>
    </row>
    <row r="581">
      <c r="A581" s="2" t="inlineStr">
        <is>
          <t>cochesnet:71827782</t>
        </is>
      </c>
      <c r="B581" s="2" t="inlineStr">
        <is>
          <t>cochesnet</t>
        </is>
      </c>
      <c r="C581" s="2" t="inlineStr">
        <is>
          <t>https://www.coches.net/seat-ibiza-14-tdi-80cv-reference-5p-diesel-2007-en-castellon-71827782-covo.aspx</t>
        </is>
      </c>
      <c r="D581" s="2" t="inlineStr">
        <is>
          <t>SEAT Ibiza 1.4 TDI Reference</t>
        </is>
      </c>
      <c r="E581" s="2" t="inlineStr">
        <is>
          <t>Seat</t>
        </is>
      </c>
      <c r="F581" s="2" t="inlineStr">
        <is>
          <t>Seat Ibiza</t>
        </is>
      </c>
      <c r="G581" s="2" t="inlineStr">
        <is>
          <t>1.4 TDI</t>
        </is>
      </c>
      <c r="H581" s="2" t="inlineStr">
        <is>
          <t>1.4 TDI 80cv Reference</t>
        </is>
      </c>
      <c r="I581" s="2" t="n"/>
      <c r="J581" s="2" t="n">
        <v>80</v>
      </c>
      <c r="K581" s="2" t="inlineStr">
        <is>
          <t>diesel</t>
        </is>
      </c>
      <c r="L581" s="2" t="inlineStr">
        <is>
          <t>utilitario</t>
        </is>
      </c>
      <c r="M581" s="2" t="n">
        <v>2007</v>
      </c>
      <c r="N581" s="2" t="n">
        <v>159100</v>
      </c>
      <c r="O581" s="2" t="n">
        <v>4800</v>
      </c>
      <c r="P581" s="2" t="inlineStr">
        <is>
          <t>manual</t>
        </is>
      </c>
      <c r="Q581" s="2" t="inlineStr">
        <is>
          <t>no</t>
        </is>
      </c>
      <c r="R581" s="2" t="inlineStr">
        <is>
          <t>particular</t>
        </is>
      </c>
      <c r="S581" s="2" t="inlineStr">
        <is>
          <t>Vila-real</t>
        </is>
      </c>
      <c r="T581" s="2" t="inlineStr">
        <is>
          <t>2026-10-25T13:00:23Z</t>
        </is>
      </c>
      <c r="U581" s="2" t="n">
        <v>12</v>
      </c>
      <c r="V581" s="2" t="inlineStr">
        <is>
          <t>sí</t>
        </is>
      </c>
      <c r="W581" s="2" t="inlineStr">
        <is>
          <t>sí</t>
        </is>
      </c>
      <c r="X581" s="2" t="n"/>
      <c r="Y581" s="2" t="n"/>
      <c r="Z581" s="2" t="inlineStr">
        <is>
          <t>no</t>
        </is>
      </c>
      <c r="AA581" s="2" t="n"/>
      <c r="AB581" s="2" t="n"/>
      <c r="AC581" s="2" t="n"/>
      <c r="AD581" s="2" t="n"/>
      <c r="AE581" s="2" t="n"/>
      <c r="AF581" s="2" t="n"/>
      <c r="AG581" s="2" t="n"/>
      <c r="AH581" s="2" t="n">
        <v>4800</v>
      </c>
      <c r="AI581" s="2" t="n"/>
      <c r="AJ581" s="2" t="n"/>
      <c r="AK581" s="2" t="n"/>
      <c r="AL581" s="2" t="n"/>
      <c r="AM581" s="2" t="n"/>
      <c r="AN581" s="2" t="n">
        <v>4750</v>
      </c>
      <c r="AO581" s="2" t="n">
        <v>4</v>
      </c>
      <c r="AP581" s="2" t="inlineStr">
        <is>
          <t>modelo+año+km</t>
        </is>
      </c>
      <c r="AQ581" s="2" t="n"/>
      <c r="AR581" s="2" t="inlineStr">
        <is>
          <t>cuota fija ITP: &gt;12 años, hasta 1.500 cc; diésel: motor sin fuente de fiabilidad (fiabilidad limitada a neutra); distancia no verificable (el anuncio solo indica la provincia): confirmar que está a &lt;= 70 km</t>
        </is>
      </c>
      <c r="AS581" s="2" t="inlineStr">
        <is>
          <t xml:space="preserve">Seat Ibiza, 14TDI 80CV, 01/2007, 5 puertas, 159100km.
Elevalunas eléctricos, aire acondicionado, cierre centralizado con mando a distancia, lunas traseras tintadas, ITV en vigor hasta 08/27, todo en funcionamiento y buen estado. 
Mantenimiento al día en taller de confianza </t>
        </is>
      </c>
      <c r="AT581" s="2" t="inlineStr">
        <is>
          <t>https://www.coches.net/seat-ibiza-14-tdi-80cv-reference-5p-diesel-2007-en-castellon-71827782-covo.aspx (window.__INITIAL_PROPS__.ad) /home/user/Alopecia/buscador-coches/raw/cochesnet/8404b2caf5460088.json</t>
        </is>
      </c>
      <c r="AU581" s="3">
        <f>MAX(ANIO_ACTUAL-M581,0)</f>
        <v/>
      </c>
      <c r="AV581" s="4">
        <f>N581/MAX(AU581,0.5)</f>
        <v/>
      </c>
      <c r="AW581" s="4">
        <f>F581</f>
        <v/>
      </c>
      <c r="AX581" s="3">
        <f>AW581&amp;"|"&amp;INT(M581/SEG_ANIO)*SEG_ANIO</f>
        <v/>
      </c>
      <c r="AY581" s="3">
        <f>AX581&amp;"|"&amp;INT(N581/SEG_KM)*SEG_KM</f>
        <v/>
      </c>
      <c r="AZ581" s="4">
        <f>COUNTIF($AW$2:$AW$662,AW581)</f>
        <v/>
      </c>
      <c r="BA581" s="4">
        <f>COUNTIF($AX$2:$AX$662,AX581)</f>
        <v/>
      </c>
      <c r="BB581" s="4">
        <f>COUNTIF($AY$2:$AY$662,AY581)</f>
        <v/>
      </c>
      <c r="BC581" s="3">
        <f t="array" ref="BC581">IF(N(AO581)&gt;=MIN_N,AN581,IF(BB581&gt;=MIN_N,MEDIAN(IF($AY$2:$AY$662=AY581,$O$2:$O$662)),IF(BA581&gt;=MIN_N,MEDIAN(IF($AX$2:$AX$662=AX581,$O$2:$O$662)),MEDIAN(IF($AW$2:$AW$662=AW581,$O$2:$O$662)))))</f>
        <v/>
      </c>
      <c r="BD581" s="3">
        <f>IF(N(AO581)&gt;=MIN_N,"mercado "&amp;AP581,IF(BB581&gt;=MIN_N,"modelo+año+km",IF(BA581&gt;=MIN_N,"modelo+año","modelo")))</f>
        <v/>
      </c>
      <c r="BE581" s="4">
        <f>(BC581-O581)/BC581</f>
        <v/>
      </c>
      <c r="BF581" s="3">
        <f>IF(OR(K581="hibrido",K581="glp"),"ECO",IF(K581="electrico","CERO",IF(K581="gasolina",IF(M581&gt;=GAS_C,"C",IF(M581&gt;=GAS_B,"B","A")),IF(K581="diesel",IF(M581&gt;=DIE_C,"C",IF(M581&gt;=DIE_B,"B","A")),""))))</f>
        <v/>
      </c>
      <c r="BG581" s="3">
        <f>IFERROR(VLOOKUP(F581,MOD_TBL,11,0),IFERROR(VLOOKUP(E581,OCU_TBL,2,0),NEUTRO))</f>
        <v/>
      </c>
      <c r="BH581" s="3">
        <f>SUMIFS(MOT_AJUSTE,MOT_MOTOR,G581,MOT_MARCA,E581,MOT_DESDE,"&lt;="&amp;M581,MOT_HASTA,"&gt;="&amp;M581)+SUMIFS(MOT_AJUSTE,MOT_MOTOR,G581,MOT_MARCA,"(todas)",MOT_DESDE,"&lt;="&amp;M581,MOT_HASTA,"&gt;="&amp;M581)</f>
        <v/>
      </c>
      <c r="BI581" s="3">
        <f>SUMIFS(COMB_AJUSTE,COMB_COMB,K581)</f>
        <v/>
      </c>
      <c r="BJ581" s="3">
        <f>COUNTIFS(MOT_MOTOR,G581,MOT_MARCA,E581,MOT_DESDE,"&lt;="&amp;M581,MOT_HASTA,"&gt;="&amp;M581)+COUNTIFS(MOT_MOTOR,G581,MOT_MARCA,"(todas)",MOT_DESDE,"&lt;="&amp;M581,MOT_HASTA,"&gt;="&amp;M581)</f>
        <v/>
      </c>
      <c r="BK581" s="3">
        <f>IF(AND(K581="diesel",BJ581=0),MIN(BG581,NEUTRO),BG581)</f>
        <v/>
      </c>
      <c r="BL581" s="4">
        <f>MAX(0,MIN(100,BK581+BH581+BI581))</f>
        <v/>
      </c>
      <c r="BM581" s="3">
        <f>MAX(0,MIN(100,50+BE581*PRECIO_PEND))</f>
        <v/>
      </c>
      <c r="BN581" s="3">
        <f>MAX(0,100*(1-N581/KM_MAX))</f>
        <v/>
      </c>
      <c r="BO581" s="3">
        <f>IF(AV581&lt;KMA_SOSP,IF(AA581="sí",100,KMA_PEN),IF(AV581&lt;=KMA_IDEAL_MAX,100,MAX(0,100*(KMA_CERO-AV581)/(KMA_CERO-KMA_IDEAL_MAX))))</f>
        <v/>
      </c>
      <c r="BP581" s="3">
        <f>MAX(0,MIN(100,100*(M581-ANIO_MIN)/(ANIO_ACTUAL-ANIO_MIN)))</f>
        <v/>
      </c>
      <c r="BQ581" s="3">
        <f>W_KMT*BN581+W_KMA*BO581+W_EDAD*BP581</f>
        <v/>
      </c>
      <c r="BR581" s="3">
        <f>P_ITV*(V581="sí")+P_LIBRO*(W581="sí")+P_CORREA*(X581="sí")+P_PROP*(Y581=1)+P_GAR*(Z581="sí")+P_FOTOS*MIN(1,N(U581)/FOTOS_OBJ)</f>
        <v/>
      </c>
      <c r="BS581" s="3">
        <f>IFERROR(VLOOKUP(BF581,ETQ_TBL,2,0),NEUTRO)</f>
        <v/>
      </c>
      <c r="BT581" s="3">
        <f>NEUTRO</f>
        <v/>
      </c>
      <c r="BU581" s="3">
        <f>IFERROR(VLOOKUP(L581,SEGURO_TBL,3,0),"")</f>
        <v/>
      </c>
      <c r="BV581" s="3">
        <f>IF(BU581="",NEUTRO,MAX(0,MIN(100,100*(SEG_REF_MAX-BU581)/(SEG_REF_MAX-SEG_REF_MIN))))</f>
        <v/>
      </c>
      <c r="BW581" s="3">
        <f>W_ET*BS581+W_CONS*BT581+W_SEG*BV581</f>
        <v/>
      </c>
      <c r="BX581" s="3">
        <f>IF(N(AB581)&gt;0,AB581,IF(AND(R581="profesional",SG_LEGAL_ON=1),GAR_LEGAL,0))</f>
        <v/>
      </c>
      <c r="BY581" s="3">
        <f>SG_GAR*MIN(1,BX581/SG_GAR_FULL)+SG_AMPL*(AC581="sí")+SG_KMC*(AF581="sí")+SG_REV*(N(AE581)&gt;0)+SG_DEV*MIN(1,N(AG581)/SG_DEV_FULL)+SG_HIST*(W581="sí")</f>
        <v/>
      </c>
      <c r="BZ581" s="3">
        <f>IFERROR(VLOOKUP(L581,CARR_PEN_TBL,2,0),0)</f>
        <v/>
      </c>
      <c r="CA581" s="3">
        <f>W_FIAB*BL581+W_PRECIO*BM581+W_KMEDAD*BQ581+W_ANUNCIO*BR581+W_USO*BW581+W_SEGURIDAD*BY581-BZ581</f>
        <v/>
      </c>
      <c r="CB581" s="4">
        <f>IF(N(I581)&gt;0,I581,IFERROR(ROUND(_xlfn.NUMBERVALUE(LEFT(G581,FIND(" ",G581&amp;" ")-1),".")*1000,0),99999))</f>
        <v/>
      </c>
      <c r="CC581" s="3">
        <f>IF(R581="profesional",0,IF(O581&lt;CUOTA_VALOR_MAX,IF(AU581&gt;ITP_TRAMO_ALTO,SUMIFS(CF_CUOTA,CF_MAS,ITP_TRAMO_ALTO,CF_CCMIN,"&lt;="&amp;CB581,CF_CCMAX,"&gt;="&amp;CB581),IF(AU581&gt;ITP_TRAMO_BAJO,SUMIFS(CF_CUOTA,CF_MAS,ITP_TRAMO_BAJO,CF_CCMIN,"&lt;="&amp;CB581,CF_CCMAX,"&gt;="&amp;CB581),O581*ITP_TIPO)),O581*ITP_TIPO))</f>
        <v/>
      </c>
      <c r="CD581" s="4">
        <f>IF(R581="profesional",N(AK581),0)</f>
        <v/>
      </c>
      <c r="CE581" s="3">
        <f>IF(AND(R581="profesional",ISNUMBER(AK581),AL581="sí"),0,TASA_DGT)</f>
        <v/>
      </c>
      <c r="CF581" s="3">
        <f>INFORME_DGT</f>
        <v/>
      </c>
      <c r="CG581" s="4">
        <f>O581+CD581+CC581+CE581+CF581</f>
        <v/>
      </c>
      <c r="CH581" s="4">
        <f>CG581+N(BU581)</f>
        <v/>
      </c>
      <c r="CI581" s="3">
        <f>IF(CG581&lt;=TOTAL_MAX,"sí",IF(CG581&lt;=TOTAL_MAX+MARGEN_NEG,"negociar","no"))</f>
        <v/>
      </c>
      <c r="CJ581" s="4">
        <f>IF(CI581&lt;&gt;"no",COUNTIFS($CI$2:$CI$662,"&lt;&gt;no",$CA$2:$CA$662,"&gt;"&amp;CA581)+COUNTIFS($CI$2:CI581,"&lt;&gt;no",$CA$2:CA581,CA581),"")</f>
        <v/>
      </c>
    </row>
    <row r="582">
      <c r="A582" s="2" t="inlineStr">
        <is>
          <t>cochesnet:71551845</t>
        </is>
      </c>
      <c r="B582" s="2" t="inlineStr">
        <is>
          <t>cochesnet</t>
        </is>
      </c>
      <c r="C582" s="2" t="inlineStr">
        <is>
          <t>https://www.coches.net/seat-altea-diesel-2010-en-castellon-71551845-covo.aspx</t>
        </is>
      </c>
      <c r="D582" s="2" t="inlineStr">
        <is>
          <t>SEAT ALTEA 1.6 TDI Style Ecomotive</t>
        </is>
      </c>
      <c r="E582" s="2" t="inlineStr">
        <is>
          <t>Seat</t>
        </is>
      </c>
      <c r="F582" s="2" t="inlineStr">
        <is>
          <t>Seat Altea</t>
        </is>
      </c>
      <c r="G582" s="2" t="inlineStr">
        <is>
          <t>1.6 TDI</t>
        </is>
      </c>
      <c r="H582" s="2" t="inlineStr">
        <is>
          <t>1.6 TDI 105cv Style Ecomotive</t>
        </is>
      </c>
      <c r="I582" s="2" t="n"/>
      <c r="J582" s="2" t="n">
        <v>105</v>
      </c>
      <c r="K582" s="2" t="inlineStr">
        <is>
          <t>diesel</t>
        </is>
      </c>
      <c r="L582" s="2" t="inlineStr">
        <is>
          <t>monovolumen_pequeno</t>
        </is>
      </c>
      <c r="M582" s="2" t="n">
        <v>2010</v>
      </c>
      <c r="N582" s="2" t="n">
        <v>207000</v>
      </c>
      <c r="O582" s="2" t="n">
        <v>3999</v>
      </c>
      <c r="P582" s="2" t="inlineStr">
        <is>
          <t>manual</t>
        </is>
      </c>
      <c r="Q582" s="2" t="inlineStr">
        <is>
          <t>no</t>
        </is>
      </c>
      <c r="R582" s="2" t="inlineStr">
        <is>
          <t>particular</t>
        </is>
      </c>
      <c r="S582" s="2" t="inlineStr">
        <is>
          <t>Castellón de la Plana / Castelló de la Plana</t>
        </is>
      </c>
      <c r="T582" s="2" t="inlineStr">
        <is>
          <t>2026-09-19T10:59:02Z</t>
        </is>
      </c>
      <c r="U582" s="2" t="n">
        <v>9</v>
      </c>
      <c r="V582" s="2" t="inlineStr">
        <is>
          <t>sí</t>
        </is>
      </c>
      <c r="W582" s="2" t="n"/>
      <c r="X582" s="2" t="n"/>
      <c r="Y582" s="2" t="n"/>
      <c r="Z582" s="2" t="inlineStr">
        <is>
          <t>no</t>
        </is>
      </c>
      <c r="AA582" s="2" t="n"/>
      <c r="AB582" s="2" t="n"/>
      <c r="AC582" s="2" t="n"/>
      <c r="AD582" s="2" t="n"/>
      <c r="AE582" s="2" t="n"/>
      <c r="AF582" s="2" t="n"/>
      <c r="AG582" s="2" t="n"/>
      <c r="AH582" s="2" t="n">
        <v>3999</v>
      </c>
      <c r="AI582" s="2" t="n"/>
      <c r="AJ582" s="2" t="n"/>
      <c r="AK582" s="2" t="n"/>
      <c r="AL582" s="2" t="n"/>
      <c r="AM582" s="2" t="n"/>
      <c r="AN582" s="2" t="n">
        <v>4650</v>
      </c>
      <c r="AO582" s="2" t="n">
        <v>12</v>
      </c>
      <c r="AP582" s="2" t="inlineStr">
        <is>
          <t>modelo+año</t>
        </is>
      </c>
      <c r="AQ582" s="2" t="n"/>
      <c r="AR582" s="2" t="inlineStr">
        <is>
          <t>cuota fija ITP: &gt;12 años, 1.501-2.000 cc; carrocería monovolumen_pequeno: -6 puntos; distancia no verificable (el anuncio solo indica la provincia): confirmar que está a &lt;= 70 km; fiabilidad del modelo PENDIENTE de fuente (puntuación neutra)</t>
        </is>
      </c>
      <c r="AS582" s="2" t="inlineStr">
        <is>
          <t xml:space="preserve">En venta  SEAT Altea 1.6 TDI 105CV Ecomotive de febrero de 2010 con 207.029 km. Vehículo en un estado de conservación excelente, cuidando al máximo tanto el motor como la carrocería e interiores
MANTENIMIENTO RECIÉN HECHO (CERO INVERSIÓN)
?? Kit de distribución completo cambiado en abril de 2026
 Cambio de aceite y todos los filtros realizado en abril de 2026
?? ITV en vigor hasta 2027
Motorización: 1.6 TDI de 105 CV (motor CAY del Grupo Volkswagen) reconocido por su gran fiabilidad y consumo muy reducido
Distintivo Ambiental: Etiqueta B (Amarilla) apto para zonas de bajas emisiones ZBE
Estado interior: Tapicería impecable, plásticos muy bien conservados y techo perfecto (no descolgado)
Equipamiento: Llantas de aleación aire acondicionado/climatizador elevalunas eléctricos  dirección asistida radio CD/MP3 ordenador de a bordo y maletero muy amplio
Un monovolumen ideal para el día a día o viajes familiares por su confort espacio y bajísimo coste de uso Coche listo para arrancar y hacer kilómetros sin gastar un solo euro
? Se acepta prueba mecánica
WhatsApp: </t>
        </is>
      </c>
      <c r="AT582" s="2" t="inlineStr">
        <is>
          <t>https://www.coches.net/seat-altea-diesel-2010-en-castellon-71551845-covo.aspx (window.__INITIAL_PROPS__.ad) /home/user/Alopecia/buscador-coches/raw/cochesnet/6a01107fb788ed61.json</t>
        </is>
      </c>
      <c r="AU582" s="3">
        <f>MAX(ANIO_ACTUAL-M582,0)</f>
        <v/>
      </c>
      <c r="AV582" s="4">
        <f>N582/MAX(AU582,0.5)</f>
        <v/>
      </c>
      <c r="AW582" s="4">
        <f>F582</f>
        <v/>
      </c>
      <c r="AX582" s="3">
        <f>AW582&amp;"|"&amp;INT(M582/SEG_ANIO)*SEG_ANIO</f>
        <v/>
      </c>
      <c r="AY582" s="3">
        <f>AX582&amp;"|"&amp;INT(N582/SEG_KM)*SEG_KM</f>
        <v/>
      </c>
      <c r="AZ582" s="4">
        <f>COUNTIF($AW$2:$AW$662,AW582)</f>
        <v/>
      </c>
      <c r="BA582" s="4">
        <f>COUNTIF($AX$2:$AX$662,AX582)</f>
        <v/>
      </c>
      <c r="BB582" s="4">
        <f>COUNTIF($AY$2:$AY$662,AY582)</f>
        <v/>
      </c>
      <c r="BC582" s="3">
        <f t="array" ref="BC582">IF(N(AO582)&gt;=MIN_N,AN582,IF(BB582&gt;=MIN_N,MEDIAN(IF($AY$2:$AY$662=AY582,$O$2:$O$662)),IF(BA582&gt;=MIN_N,MEDIAN(IF($AX$2:$AX$662=AX582,$O$2:$O$662)),MEDIAN(IF($AW$2:$AW$662=AW582,$O$2:$O$662)))))</f>
        <v/>
      </c>
      <c r="BD582" s="3">
        <f>IF(N(AO582)&gt;=MIN_N,"mercado "&amp;AP582,IF(BB582&gt;=MIN_N,"modelo+año+km",IF(BA582&gt;=MIN_N,"modelo+año","modelo")))</f>
        <v/>
      </c>
      <c r="BE582" s="4">
        <f>(BC582-O582)/BC582</f>
        <v/>
      </c>
      <c r="BF582" s="3">
        <f>IF(OR(K582="hibrido",K582="glp"),"ECO",IF(K582="electrico","CERO",IF(K582="gasolina",IF(M582&gt;=GAS_C,"C",IF(M582&gt;=GAS_B,"B","A")),IF(K582="diesel",IF(M582&gt;=DIE_C,"C",IF(M582&gt;=DIE_B,"B","A")),""))))</f>
        <v/>
      </c>
      <c r="BG582" s="3">
        <f>IFERROR(VLOOKUP(F582,MOD_TBL,11,0),IFERROR(VLOOKUP(E582,OCU_TBL,2,0),NEUTRO))</f>
        <v/>
      </c>
      <c r="BH582" s="3">
        <f>SUMIFS(MOT_AJUSTE,MOT_MOTOR,G582,MOT_MARCA,E582,MOT_DESDE,"&lt;="&amp;M582,MOT_HASTA,"&gt;="&amp;M582)+SUMIFS(MOT_AJUSTE,MOT_MOTOR,G582,MOT_MARCA,"(todas)",MOT_DESDE,"&lt;="&amp;M582,MOT_HASTA,"&gt;="&amp;M582)</f>
        <v/>
      </c>
      <c r="BI582" s="3">
        <f>SUMIFS(COMB_AJUSTE,COMB_COMB,K582)</f>
        <v/>
      </c>
      <c r="BJ582" s="3">
        <f>COUNTIFS(MOT_MOTOR,G582,MOT_MARCA,E582,MOT_DESDE,"&lt;="&amp;M582,MOT_HASTA,"&gt;="&amp;M582)+COUNTIFS(MOT_MOTOR,G582,MOT_MARCA,"(todas)",MOT_DESDE,"&lt;="&amp;M582,MOT_HASTA,"&gt;="&amp;M582)</f>
        <v/>
      </c>
      <c r="BK582" s="3">
        <f>IF(AND(K582="diesel",BJ582=0),MIN(BG582,NEUTRO),BG582)</f>
        <v/>
      </c>
      <c r="BL582" s="4">
        <f>MAX(0,MIN(100,BK582+BH582+BI582))</f>
        <v/>
      </c>
      <c r="BM582" s="3">
        <f>MAX(0,MIN(100,50+BE582*PRECIO_PEND))</f>
        <v/>
      </c>
      <c r="BN582" s="3">
        <f>MAX(0,100*(1-N582/KM_MAX))</f>
        <v/>
      </c>
      <c r="BO582" s="3">
        <f>IF(AV582&lt;KMA_SOSP,IF(AA582="sí",100,KMA_PEN),IF(AV582&lt;=KMA_IDEAL_MAX,100,MAX(0,100*(KMA_CERO-AV582)/(KMA_CERO-KMA_IDEAL_MAX))))</f>
        <v/>
      </c>
      <c r="BP582" s="3">
        <f>MAX(0,MIN(100,100*(M582-ANIO_MIN)/(ANIO_ACTUAL-ANIO_MIN)))</f>
        <v/>
      </c>
      <c r="BQ582" s="3">
        <f>W_KMT*BN582+W_KMA*BO582+W_EDAD*BP582</f>
        <v/>
      </c>
      <c r="BR582" s="3">
        <f>P_ITV*(V582="sí")+P_LIBRO*(W582="sí")+P_CORREA*(X582="sí")+P_PROP*(Y582=1)+P_GAR*(Z582="sí")+P_FOTOS*MIN(1,N(U582)/FOTOS_OBJ)</f>
        <v/>
      </c>
      <c r="BS582" s="3">
        <f>IFERROR(VLOOKUP(BF582,ETQ_TBL,2,0),NEUTRO)</f>
        <v/>
      </c>
      <c r="BT582" s="3">
        <f>NEUTRO</f>
        <v/>
      </c>
      <c r="BU582" s="3">
        <f>IFERROR(VLOOKUP(L582,SEGURO_TBL,3,0),"")</f>
        <v/>
      </c>
      <c r="BV582" s="3">
        <f>IF(BU582="",NEUTRO,MAX(0,MIN(100,100*(SEG_REF_MAX-BU582)/(SEG_REF_MAX-SEG_REF_MIN))))</f>
        <v/>
      </c>
      <c r="BW582" s="3">
        <f>W_ET*BS582+W_CONS*BT582+W_SEG*BV582</f>
        <v/>
      </c>
      <c r="BX582" s="3">
        <f>IF(N(AB582)&gt;0,AB582,IF(AND(R582="profesional",SG_LEGAL_ON=1),GAR_LEGAL,0))</f>
        <v/>
      </c>
      <c r="BY582" s="3">
        <f>SG_GAR*MIN(1,BX582/SG_GAR_FULL)+SG_AMPL*(AC582="sí")+SG_KMC*(AF582="sí")+SG_REV*(N(AE582)&gt;0)+SG_DEV*MIN(1,N(AG582)/SG_DEV_FULL)+SG_HIST*(W582="sí")</f>
        <v/>
      </c>
      <c r="BZ582" s="3">
        <f>IFERROR(VLOOKUP(L582,CARR_PEN_TBL,2,0),0)</f>
        <v/>
      </c>
      <c r="CA582" s="3">
        <f>W_FIAB*BL582+W_PRECIO*BM582+W_KMEDAD*BQ582+W_ANUNCIO*BR582+W_USO*BW582+W_SEGURIDAD*BY582-BZ582</f>
        <v/>
      </c>
      <c r="CB582" s="4">
        <f>IF(N(I582)&gt;0,I582,IFERROR(ROUND(_xlfn.NUMBERVALUE(LEFT(G582,FIND(" ",G582&amp;" ")-1),".")*1000,0),99999))</f>
        <v/>
      </c>
      <c r="CC582" s="3">
        <f>IF(R582="profesional",0,IF(O582&lt;CUOTA_VALOR_MAX,IF(AU582&gt;ITP_TRAMO_ALTO,SUMIFS(CF_CUOTA,CF_MAS,ITP_TRAMO_ALTO,CF_CCMIN,"&lt;="&amp;CB582,CF_CCMAX,"&gt;="&amp;CB582),IF(AU582&gt;ITP_TRAMO_BAJO,SUMIFS(CF_CUOTA,CF_MAS,ITP_TRAMO_BAJO,CF_CCMIN,"&lt;="&amp;CB582,CF_CCMAX,"&gt;="&amp;CB582),O582*ITP_TIPO)),O582*ITP_TIPO))</f>
        <v/>
      </c>
      <c r="CD582" s="4">
        <f>IF(R582="profesional",N(AK582),0)</f>
        <v/>
      </c>
      <c r="CE582" s="3">
        <f>IF(AND(R582="profesional",ISNUMBER(AK582),AL582="sí"),0,TASA_DGT)</f>
        <v/>
      </c>
      <c r="CF582" s="3">
        <f>INFORME_DGT</f>
        <v/>
      </c>
      <c r="CG582" s="4">
        <f>O582+CD582+CC582+CE582+CF582</f>
        <v/>
      </c>
      <c r="CH582" s="4">
        <f>CG582+N(BU582)</f>
        <v/>
      </c>
      <c r="CI582" s="3">
        <f>IF(CG582&lt;=TOTAL_MAX,"sí",IF(CG582&lt;=TOTAL_MAX+MARGEN_NEG,"negociar","no"))</f>
        <v/>
      </c>
      <c r="CJ582" s="4">
        <f>IF(CI582&lt;&gt;"no",COUNTIFS($CI$2:$CI$662,"&lt;&gt;no",$CA$2:$CA$662,"&gt;"&amp;CA582)+COUNTIFS($CI$2:CI582,"&lt;&gt;no",$CA$2:CA582,CA582),"")</f>
        <v/>
      </c>
    </row>
    <row r="583">
      <c r="A583" s="2" t="inlineStr">
        <is>
          <t>cochesnet:71479587</t>
        </is>
      </c>
      <c r="B583" s="2" t="inlineStr">
        <is>
          <t>cochesnet</t>
        </is>
      </c>
      <c r="C583" s="2" t="inlineStr">
        <is>
          <t>https://www.coches.net/seat-ibiza-diesel-2009-en-castellon-71479587-covo.aspx</t>
        </is>
      </c>
      <c r="D583" s="2" t="inlineStr">
        <is>
          <t>SEAT Ibiza</t>
        </is>
      </c>
      <c r="E583" s="2" t="inlineStr">
        <is>
          <t>Seat</t>
        </is>
      </c>
      <c r="F583" s="2" t="inlineStr">
        <is>
          <t>Seat Ibiza</t>
        </is>
      </c>
      <c r="G583" s="2" t="n"/>
      <c r="H583" s="2" t="n"/>
      <c r="I583" s="2" t="n"/>
      <c r="J583" s="2" t="n"/>
      <c r="K583" s="2" t="inlineStr">
        <is>
          <t>diesel</t>
        </is>
      </c>
      <c r="L583" s="2" t="inlineStr">
        <is>
          <t>utilitario</t>
        </is>
      </c>
      <c r="M583" s="2" t="n">
        <v>2009</v>
      </c>
      <c r="N583" s="2" t="n">
        <v>215000</v>
      </c>
      <c r="O583" s="2" t="n">
        <v>3300</v>
      </c>
      <c r="P583" s="2" t="inlineStr">
        <is>
          <t>manual</t>
        </is>
      </c>
      <c r="Q583" s="2" t="inlineStr">
        <is>
          <t>no</t>
        </is>
      </c>
      <c r="R583" s="2" t="inlineStr">
        <is>
          <t>particular</t>
        </is>
      </c>
      <c r="S583" s="2" t="n"/>
      <c r="T583" s="2" t="inlineStr">
        <is>
          <t>2026-09-09T16:47:52Z</t>
        </is>
      </c>
      <c r="U583" s="2" t="n">
        <v>9</v>
      </c>
      <c r="V583" s="2" t="inlineStr">
        <is>
          <t>sí</t>
        </is>
      </c>
      <c r="W583" s="2" t="n"/>
      <c r="X583" s="2" t="n"/>
      <c r="Y583" s="2" t="n"/>
      <c r="Z583" s="2" t="inlineStr">
        <is>
          <t>no</t>
        </is>
      </c>
      <c r="AA583" s="2" t="n"/>
      <c r="AB583" s="2" t="n"/>
      <c r="AC583" s="2" t="n"/>
      <c r="AD583" s="2" t="n"/>
      <c r="AE583" s="2" t="n"/>
      <c r="AF583" s="2" t="n"/>
      <c r="AG583" s="2" t="n"/>
      <c r="AH583" s="2" t="n">
        <v>3300</v>
      </c>
      <c r="AI583" s="2" t="n"/>
      <c r="AJ583" s="2" t="n"/>
      <c r="AK583" s="2" t="n"/>
      <c r="AL583" s="2" t="n"/>
      <c r="AM583" s="2" t="n"/>
      <c r="AN583" s="2" t="n">
        <v>3100</v>
      </c>
      <c r="AO583" s="2" t="n">
        <v>10</v>
      </c>
      <c r="AP583" s="2" t="inlineStr">
        <is>
          <t>modelo+año+km</t>
        </is>
      </c>
      <c r="AQ583" s="2" t="n"/>
      <c r="AR58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583" s="2" t="inlineStr">
        <is>
          <t>se vende hermoso seat ibiza diesel motor 1.400  80 cv.  El coche tiene 215 mil kilómetros, itv hasta septiembre del 2027. cuenta con aire acondicionado calefacción vidrios eléctricos llantas al 80 de vida, techo panoramico esta en buen estado su precio es de 3.300 € negociable.</t>
        </is>
      </c>
      <c r="AT583" s="2" t="inlineStr">
        <is>
          <t>https://www.coches.net/seat-ibiza-diesel-2009-en-castellon-71479587-covo.aspx (window.__INITIAL_PROPS__.ad) /home/user/Alopecia/buscador-coches/raw/cochesnet/b8940896965fbcd5.json</t>
        </is>
      </c>
      <c r="AU583" s="3">
        <f>MAX(ANIO_ACTUAL-M583,0)</f>
        <v/>
      </c>
      <c r="AV583" s="4">
        <f>N583/MAX(AU583,0.5)</f>
        <v/>
      </c>
      <c r="AW583" s="4">
        <f>F583</f>
        <v/>
      </c>
      <c r="AX583" s="3">
        <f>AW583&amp;"|"&amp;INT(M583/SEG_ANIO)*SEG_ANIO</f>
        <v/>
      </c>
      <c r="AY583" s="3">
        <f>AX583&amp;"|"&amp;INT(N583/SEG_KM)*SEG_KM</f>
        <v/>
      </c>
      <c r="AZ583" s="4">
        <f>COUNTIF($AW$2:$AW$662,AW583)</f>
        <v/>
      </c>
      <c r="BA583" s="4">
        <f>COUNTIF($AX$2:$AX$662,AX583)</f>
        <v/>
      </c>
      <c r="BB583" s="4">
        <f>COUNTIF($AY$2:$AY$662,AY583)</f>
        <v/>
      </c>
      <c r="BC583" s="3">
        <f t="array" ref="BC583">IF(N(AO583)&gt;=MIN_N,AN583,IF(BB583&gt;=MIN_N,MEDIAN(IF($AY$2:$AY$662=AY583,$O$2:$O$662)),IF(BA583&gt;=MIN_N,MEDIAN(IF($AX$2:$AX$662=AX583,$O$2:$O$662)),MEDIAN(IF($AW$2:$AW$662=AW583,$O$2:$O$662)))))</f>
        <v/>
      </c>
      <c r="BD583" s="3">
        <f>IF(N(AO583)&gt;=MIN_N,"mercado "&amp;AP583,IF(BB583&gt;=MIN_N,"modelo+año+km",IF(BA583&gt;=MIN_N,"modelo+año","modelo")))</f>
        <v/>
      </c>
      <c r="BE583" s="4">
        <f>(BC583-O583)/BC583</f>
        <v/>
      </c>
      <c r="BF583" s="3">
        <f>IF(OR(K583="hibrido",K583="glp"),"ECO",IF(K583="electrico","CERO",IF(K583="gasolina",IF(M583&gt;=GAS_C,"C",IF(M583&gt;=GAS_B,"B","A")),IF(K583="diesel",IF(M583&gt;=DIE_C,"C",IF(M583&gt;=DIE_B,"B","A")),""))))</f>
        <v/>
      </c>
      <c r="BG583" s="3">
        <f>IFERROR(VLOOKUP(F583,MOD_TBL,11,0),IFERROR(VLOOKUP(E583,OCU_TBL,2,0),NEUTRO))</f>
        <v/>
      </c>
      <c r="BH583" s="3">
        <f>SUMIFS(MOT_AJUSTE,MOT_MOTOR,G583,MOT_MARCA,E583,MOT_DESDE,"&lt;="&amp;M583,MOT_HASTA,"&gt;="&amp;M583)+SUMIFS(MOT_AJUSTE,MOT_MOTOR,G583,MOT_MARCA,"(todas)",MOT_DESDE,"&lt;="&amp;M583,MOT_HASTA,"&gt;="&amp;M583)</f>
        <v/>
      </c>
      <c r="BI583" s="3">
        <f>SUMIFS(COMB_AJUSTE,COMB_COMB,K583)</f>
        <v/>
      </c>
      <c r="BJ583" s="3">
        <f>COUNTIFS(MOT_MOTOR,G583,MOT_MARCA,E583,MOT_DESDE,"&lt;="&amp;M583,MOT_HASTA,"&gt;="&amp;M583)+COUNTIFS(MOT_MOTOR,G583,MOT_MARCA,"(todas)",MOT_DESDE,"&lt;="&amp;M583,MOT_HASTA,"&gt;="&amp;M583)</f>
        <v/>
      </c>
      <c r="BK583" s="3">
        <f>IF(AND(K583="diesel",BJ583=0),MIN(BG583,NEUTRO),BG583)</f>
        <v/>
      </c>
      <c r="BL583" s="4">
        <f>MAX(0,MIN(100,BK583+BH583+BI583))</f>
        <v/>
      </c>
      <c r="BM583" s="3">
        <f>MAX(0,MIN(100,50+BE583*PRECIO_PEND))</f>
        <v/>
      </c>
      <c r="BN583" s="3">
        <f>MAX(0,100*(1-N583/KM_MAX))</f>
        <v/>
      </c>
      <c r="BO583" s="3">
        <f>IF(AV583&lt;KMA_SOSP,IF(AA583="sí",100,KMA_PEN),IF(AV583&lt;=KMA_IDEAL_MAX,100,MAX(0,100*(KMA_CERO-AV583)/(KMA_CERO-KMA_IDEAL_MAX))))</f>
        <v/>
      </c>
      <c r="BP583" s="3">
        <f>MAX(0,MIN(100,100*(M583-ANIO_MIN)/(ANIO_ACTUAL-ANIO_MIN)))</f>
        <v/>
      </c>
      <c r="BQ583" s="3">
        <f>W_KMT*BN583+W_KMA*BO583+W_EDAD*BP583</f>
        <v/>
      </c>
      <c r="BR583" s="3">
        <f>P_ITV*(V583="sí")+P_LIBRO*(W583="sí")+P_CORREA*(X583="sí")+P_PROP*(Y583=1)+P_GAR*(Z583="sí")+P_FOTOS*MIN(1,N(U583)/FOTOS_OBJ)</f>
        <v/>
      </c>
      <c r="BS583" s="3">
        <f>IFERROR(VLOOKUP(BF583,ETQ_TBL,2,0),NEUTRO)</f>
        <v/>
      </c>
      <c r="BT583" s="3">
        <f>NEUTRO</f>
        <v/>
      </c>
      <c r="BU583" s="3">
        <f>IFERROR(VLOOKUP(L583,SEGURO_TBL,3,0),"")</f>
        <v/>
      </c>
      <c r="BV583" s="3">
        <f>IF(BU583="",NEUTRO,MAX(0,MIN(100,100*(SEG_REF_MAX-BU583)/(SEG_REF_MAX-SEG_REF_MIN))))</f>
        <v/>
      </c>
      <c r="BW583" s="3">
        <f>W_ET*BS583+W_CONS*BT583+W_SEG*BV583</f>
        <v/>
      </c>
      <c r="BX583" s="3">
        <f>IF(N(AB583)&gt;0,AB583,IF(AND(R583="profesional",SG_LEGAL_ON=1),GAR_LEGAL,0))</f>
        <v/>
      </c>
      <c r="BY583" s="3">
        <f>SG_GAR*MIN(1,BX583/SG_GAR_FULL)+SG_AMPL*(AC583="sí")+SG_KMC*(AF583="sí")+SG_REV*(N(AE583)&gt;0)+SG_DEV*MIN(1,N(AG583)/SG_DEV_FULL)+SG_HIST*(W583="sí")</f>
        <v/>
      </c>
      <c r="BZ583" s="3">
        <f>IFERROR(VLOOKUP(L583,CARR_PEN_TBL,2,0),0)</f>
        <v/>
      </c>
      <c r="CA583" s="3">
        <f>W_FIAB*BL583+W_PRECIO*BM583+W_KMEDAD*BQ583+W_ANUNCIO*BR583+W_USO*BW583+W_SEGURIDAD*BY583-BZ583</f>
        <v/>
      </c>
      <c r="CB583" s="4">
        <f>IF(N(I583)&gt;0,I583,IFERROR(ROUND(_xlfn.NUMBERVALUE(LEFT(G583,FIND(" ",G583&amp;" ")-1),".")*1000,0),99999))</f>
        <v/>
      </c>
      <c r="CC583" s="3">
        <f>IF(R583="profesional",0,IF(O583&lt;CUOTA_VALOR_MAX,IF(AU583&gt;ITP_TRAMO_ALTO,SUMIFS(CF_CUOTA,CF_MAS,ITP_TRAMO_ALTO,CF_CCMIN,"&lt;="&amp;CB583,CF_CCMAX,"&gt;="&amp;CB583),IF(AU583&gt;ITP_TRAMO_BAJO,SUMIFS(CF_CUOTA,CF_MAS,ITP_TRAMO_BAJO,CF_CCMIN,"&lt;="&amp;CB583,CF_CCMAX,"&gt;="&amp;CB583),O583*ITP_TIPO)),O583*ITP_TIPO))</f>
        <v/>
      </c>
      <c r="CD583" s="4">
        <f>IF(R583="profesional",N(AK583),0)</f>
        <v/>
      </c>
      <c r="CE583" s="3">
        <f>IF(AND(R583="profesional",ISNUMBER(AK583),AL583="sí"),0,TASA_DGT)</f>
        <v/>
      </c>
      <c r="CF583" s="3">
        <f>INFORME_DGT</f>
        <v/>
      </c>
      <c r="CG583" s="4">
        <f>O583+CD583+CC583+CE583+CF583</f>
        <v/>
      </c>
      <c r="CH583" s="4">
        <f>CG583+N(BU583)</f>
        <v/>
      </c>
      <c r="CI583" s="3">
        <f>IF(CG583&lt;=TOTAL_MAX,"sí",IF(CG583&lt;=TOTAL_MAX+MARGEN_NEG,"negociar","no"))</f>
        <v/>
      </c>
      <c r="CJ583" s="4">
        <f>IF(CI583&lt;&gt;"no",COUNTIFS($CI$2:$CI$662,"&lt;&gt;no",$CA$2:$CA$662,"&gt;"&amp;CA583)+COUNTIFS($CI$2:CI583,"&lt;&gt;no",$CA$2:CA583,CA583),"")</f>
        <v/>
      </c>
    </row>
    <row r="584">
      <c r="A584" s="2" t="inlineStr">
        <is>
          <t>cochesnet:71450904</t>
        </is>
      </c>
      <c r="B584" s="2" t="inlineStr">
        <is>
          <t>cochesnet</t>
        </is>
      </c>
      <c r="C584" s="2" t="inlineStr">
        <is>
          <t>https://www.coches.net/seat-cordoba-diesel-2007-en-castellon-71450904-covo.aspx</t>
        </is>
      </c>
      <c r="D584" s="2" t="inlineStr">
        <is>
          <t>SEAT Cordoba</t>
        </is>
      </c>
      <c r="E584" s="2" t="inlineStr">
        <is>
          <t>Seat</t>
        </is>
      </c>
      <c r="F584" s="2" t="inlineStr">
        <is>
          <t>Seat Córdoba</t>
        </is>
      </c>
      <c r="G584" s="2" t="n"/>
      <c r="H584" s="2" t="n"/>
      <c r="I584" s="2" t="n"/>
      <c r="J584" s="2" t="n"/>
      <c r="K584" s="2" t="inlineStr">
        <is>
          <t>diesel</t>
        </is>
      </c>
      <c r="L584" s="2" t="inlineStr">
        <is>
          <t>berlina</t>
        </is>
      </c>
      <c r="M584" s="2" t="n">
        <v>2007</v>
      </c>
      <c r="N584" s="2" t="n">
        <v>214000</v>
      </c>
      <c r="O584" s="2" t="n">
        <v>3500</v>
      </c>
      <c r="P584" s="2" t="inlineStr">
        <is>
          <t>manual</t>
        </is>
      </c>
      <c r="Q584" s="2" t="inlineStr">
        <is>
          <t>no</t>
        </is>
      </c>
      <c r="R584" s="2" t="inlineStr">
        <is>
          <t>particular</t>
        </is>
      </c>
      <c r="S584" s="2" t="n"/>
      <c r="T584" s="2" t="inlineStr">
        <is>
          <t>2026-09-06T06:42:46Z</t>
        </is>
      </c>
      <c r="U584" s="2" t="n">
        <v>9</v>
      </c>
      <c r="V584" s="2" t="n"/>
      <c r="W584" s="2" t="n"/>
      <c r="X584" s="2" t="n"/>
      <c r="Y584" s="2" t="n"/>
      <c r="Z584" s="2" t="inlineStr">
        <is>
          <t>no</t>
        </is>
      </c>
      <c r="AA584" s="2" t="n"/>
      <c r="AB584" s="2" t="n"/>
      <c r="AC584" s="2" t="n"/>
      <c r="AD584" s="2" t="n"/>
      <c r="AE584" s="2" t="n"/>
      <c r="AF584" s="2" t="n"/>
      <c r="AG584" s="2" t="n"/>
      <c r="AH584" s="2" t="n">
        <v>3500</v>
      </c>
      <c r="AI584" s="2" t="n"/>
      <c r="AJ584" s="2" t="n"/>
      <c r="AK584" s="2" t="n"/>
      <c r="AL584" s="2" t="n"/>
      <c r="AM584" s="2" t="n"/>
      <c r="AN584" s="2" t="n"/>
      <c r="AO584" s="2" t="n"/>
      <c r="AP584" s="2" t="n"/>
      <c r="AQ584" s="2" t="n"/>
      <c r="AR584" s="2" t="inlineStr">
        <is>
          <t>cilindrada desconocida: se aplica el tramo de cuota fija más alto; cuota fija ITP: &gt;12 años, más de 2.000 cc; diésel: motor sin fuente de fiabilidad (fiabilidad limitada a neutra); carrocería berlina: -4 puntos; distancia no verificable (el anuncio solo indica la provincia): confirmar que está a &lt;= 70 km; fiabilidad del modelo PENDIENTE de fuente (puntuación neutra); mediana con solo 1 anuncio(s)</t>
        </is>
      </c>
      <c r="AS584" s="2" t="inlineStr">
        <is>
          <t>?? ¡SE VENDE SEAT CÓRDOBA 1.9 TDI (2007)! ??
Un coche ideal para el día a día, famoso por su motor indestructible y su consumo mínimo. ? ¡Máxima fiabilidad a bajo coste!
? EQUIPAMIENTO COMPLETO
• ?? Anclajes ISOFIX en los asientos traseros para sillas infantiles.
• ?? Elevalunas eléctricos delanteros.
• ?? Cierre centralizado con mando a distancia.
• ?? Climatizador automático para viajar cómodo en cualquier época.
• ?? Radio CD/MP3 con mandos en la columna de dirección.
• ??? Seguridad: Sistema de frenos ABS y múltiples Airbags.
• ?? Gran maletero de casi 500 litros de capacidad.
?? DETALLES DE CARROCERÍA (Precio ajustado por estética)
Mecánicamente funciona muy bien, pero estéticamente tiene los desperfectos típicos de dormir en la calle:
• ?? Pintura con el barniz levantado en algunas zonas debido al sol.
• ?? Daños por granizo en la chapa (techo y capó).
* Perfecto para quien busque un coche eterno y económico, sin dar prioridad a la estética exterior.
?? DATOS DEL VEHÍCULO Y CONDICIONES
• ??? Año: 2007
• ??? Kilometraje: 214.403 km
• ? Motor: 1.9 TDI (Diésel - El bloque más duro del grupo VAG)
• ??? Distintivo ambiental: Etiqueta B ??
• ?? Condiciones de venta: Vehículo de particular en ?? gestión de venta. Se vende en estado actual y sin garantía.
?? PRECIO: 3.500€
• ?? ¡Cambio de nombre INCLUIDO en el precio! Sin sorpresas ni gastos extra de gestoría.
¡Un motor para hacerle otros 200.000 km sin pestañear! ???</t>
        </is>
      </c>
      <c r="AT584" s="2" t="inlineStr">
        <is>
          <t>https://www.coches.net/seat-cordoba-diesel-2007-en-castellon-71450904-covo.aspx (window.__INITIAL_PROPS__.ad) /home/user/Alopecia/buscador-coches/raw/cochesnet/82b6807d7e3742ba.json</t>
        </is>
      </c>
      <c r="AU584" s="3">
        <f>MAX(ANIO_ACTUAL-M584,0)</f>
        <v/>
      </c>
      <c r="AV584" s="4">
        <f>N584/MAX(AU584,0.5)</f>
        <v/>
      </c>
      <c r="AW584" s="4">
        <f>F584</f>
        <v/>
      </c>
      <c r="AX584" s="3">
        <f>AW584&amp;"|"&amp;INT(M584/SEG_ANIO)*SEG_ANIO</f>
        <v/>
      </c>
      <c r="AY584" s="3">
        <f>AX584&amp;"|"&amp;INT(N584/SEG_KM)*SEG_KM</f>
        <v/>
      </c>
      <c r="AZ584" s="4">
        <f>COUNTIF($AW$2:$AW$662,AW584)</f>
        <v/>
      </c>
      <c r="BA584" s="4">
        <f>COUNTIF($AX$2:$AX$662,AX584)</f>
        <v/>
      </c>
      <c r="BB584" s="4">
        <f>COUNTIF($AY$2:$AY$662,AY584)</f>
        <v/>
      </c>
      <c r="BC584" s="3">
        <f t="array" ref="BC584">IF(N(AO584)&gt;=MIN_N,AN584,IF(BB584&gt;=MIN_N,MEDIAN(IF($AY$2:$AY$662=AY584,$O$2:$O$662)),IF(BA584&gt;=MIN_N,MEDIAN(IF($AX$2:$AX$662=AX584,$O$2:$O$662)),MEDIAN(IF($AW$2:$AW$662=AW584,$O$2:$O$662)))))</f>
        <v/>
      </c>
      <c r="BD584" s="3">
        <f>IF(N(AO584)&gt;=MIN_N,"mercado "&amp;AP584,IF(BB584&gt;=MIN_N,"modelo+año+km",IF(BA584&gt;=MIN_N,"modelo+año","modelo")))</f>
        <v/>
      </c>
      <c r="BE584" s="4">
        <f>(BC584-O584)/BC584</f>
        <v/>
      </c>
      <c r="BF584" s="3">
        <f>IF(OR(K584="hibrido",K584="glp"),"ECO",IF(K584="electrico","CERO",IF(K584="gasolina",IF(M584&gt;=GAS_C,"C",IF(M584&gt;=GAS_B,"B","A")),IF(K584="diesel",IF(M584&gt;=DIE_C,"C",IF(M584&gt;=DIE_B,"B","A")),""))))</f>
        <v/>
      </c>
      <c r="BG584" s="3">
        <f>IFERROR(VLOOKUP(F584,MOD_TBL,11,0),IFERROR(VLOOKUP(E584,OCU_TBL,2,0),NEUTRO))</f>
        <v/>
      </c>
      <c r="BH584" s="3">
        <f>SUMIFS(MOT_AJUSTE,MOT_MOTOR,G584,MOT_MARCA,E584,MOT_DESDE,"&lt;="&amp;M584,MOT_HASTA,"&gt;="&amp;M584)+SUMIFS(MOT_AJUSTE,MOT_MOTOR,G584,MOT_MARCA,"(todas)",MOT_DESDE,"&lt;="&amp;M584,MOT_HASTA,"&gt;="&amp;M584)</f>
        <v/>
      </c>
      <c r="BI584" s="3">
        <f>SUMIFS(COMB_AJUSTE,COMB_COMB,K584)</f>
        <v/>
      </c>
      <c r="BJ584" s="3">
        <f>COUNTIFS(MOT_MOTOR,G584,MOT_MARCA,E584,MOT_DESDE,"&lt;="&amp;M584,MOT_HASTA,"&gt;="&amp;M584)+COUNTIFS(MOT_MOTOR,G584,MOT_MARCA,"(todas)",MOT_DESDE,"&lt;="&amp;M584,MOT_HASTA,"&gt;="&amp;M584)</f>
        <v/>
      </c>
      <c r="BK584" s="3">
        <f>IF(AND(K584="diesel",BJ584=0),MIN(BG584,NEUTRO),BG584)</f>
        <v/>
      </c>
      <c r="BL584" s="4">
        <f>MAX(0,MIN(100,BK584+BH584+BI584))</f>
        <v/>
      </c>
      <c r="BM584" s="3">
        <f>MAX(0,MIN(100,50+BE584*PRECIO_PEND))</f>
        <v/>
      </c>
      <c r="BN584" s="3">
        <f>MAX(0,100*(1-N584/KM_MAX))</f>
        <v/>
      </c>
      <c r="BO584" s="3">
        <f>IF(AV584&lt;KMA_SOSP,IF(AA584="sí",100,KMA_PEN),IF(AV584&lt;=KMA_IDEAL_MAX,100,MAX(0,100*(KMA_CERO-AV584)/(KMA_CERO-KMA_IDEAL_MAX))))</f>
        <v/>
      </c>
      <c r="BP584" s="3">
        <f>MAX(0,MIN(100,100*(M584-ANIO_MIN)/(ANIO_ACTUAL-ANIO_MIN)))</f>
        <v/>
      </c>
      <c r="BQ584" s="3">
        <f>W_KMT*BN584+W_KMA*BO584+W_EDAD*BP584</f>
        <v/>
      </c>
      <c r="BR584" s="3">
        <f>P_ITV*(V584="sí")+P_LIBRO*(W584="sí")+P_CORREA*(X584="sí")+P_PROP*(Y584=1)+P_GAR*(Z584="sí")+P_FOTOS*MIN(1,N(U584)/FOTOS_OBJ)</f>
        <v/>
      </c>
      <c r="BS584" s="3">
        <f>IFERROR(VLOOKUP(BF584,ETQ_TBL,2,0),NEUTRO)</f>
        <v/>
      </c>
      <c r="BT584" s="3">
        <f>NEUTRO</f>
        <v/>
      </c>
      <c r="BU584" s="3">
        <f>IFERROR(VLOOKUP(L584,SEGURO_TBL,3,0),"")</f>
        <v/>
      </c>
      <c r="BV584" s="3">
        <f>IF(BU584="",NEUTRO,MAX(0,MIN(100,100*(SEG_REF_MAX-BU584)/(SEG_REF_MAX-SEG_REF_MIN))))</f>
        <v/>
      </c>
      <c r="BW584" s="3">
        <f>W_ET*BS584+W_CONS*BT584+W_SEG*BV584</f>
        <v/>
      </c>
      <c r="BX584" s="3">
        <f>IF(N(AB584)&gt;0,AB584,IF(AND(R584="profesional",SG_LEGAL_ON=1),GAR_LEGAL,0))</f>
        <v/>
      </c>
      <c r="BY584" s="3">
        <f>SG_GAR*MIN(1,BX584/SG_GAR_FULL)+SG_AMPL*(AC584="sí")+SG_KMC*(AF584="sí")+SG_REV*(N(AE584)&gt;0)+SG_DEV*MIN(1,N(AG584)/SG_DEV_FULL)+SG_HIST*(W584="sí")</f>
        <v/>
      </c>
      <c r="BZ584" s="3">
        <f>IFERROR(VLOOKUP(L584,CARR_PEN_TBL,2,0),0)</f>
        <v/>
      </c>
      <c r="CA584" s="3">
        <f>W_FIAB*BL584+W_PRECIO*BM584+W_KMEDAD*BQ584+W_ANUNCIO*BR584+W_USO*BW584+W_SEGURIDAD*BY584-BZ584</f>
        <v/>
      </c>
      <c r="CB584" s="4">
        <f>IF(N(I584)&gt;0,I584,IFERROR(ROUND(_xlfn.NUMBERVALUE(LEFT(G584,FIND(" ",G584&amp;" ")-1),".")*1000,0),99999))</f>
        <v/>
      </c>
      <c r="CC584" s="3">
        <f>IF(R584="profesional",0,IF(O584&lt;CUOTA_VALOR_MAX,IF(AU584&gt;ITP_TRAMO_ALTO,SUMIFS(CF_CUOTA,CF_MAS,ITP_TRAMO_ALTO,CF_CCMIN,"&lt;="&amp;CB584,CF_CCMAX,"&gt;="&amp;CB584),IF(AU584&gt;ITP_TRAMO_BAJO,SUMIFS(CF_CUOTA,CF_MAS,ITP_TRAMO_BAJO,CF_CCMIN,"&lt;="&amp;CB584,CF_CCMAX,"&gt;="&amp;CB584),O584*ITP_TIPO)),O584*ITP_TIPO))</f>
        <v/>
      </c>
      <c r="CD584" s="4">
        <f>IF(R584="profesional",N(AK584),0)</f>
        <v/>
      </c>
      <c r="CE584" s="3">
        <f>IF(AND(R584="profesional",ISNUMBER(AK584),AL584="sí"),0,TASA_DGT)</f>
        <v/>
      </c>
      <c r="CF584" s="3">
        <f>INFORME_DGT</f>
        <v/>
      </c>
      <c r="CG584" s="4">
        <f>O584+CD584+CC584+CE584+CF584</f>
        <v/>
      </c>
      <c r="CH584" s="4">
        <f>CG584+N(BU584)</f>
        <v/>
      </c>
      <c r="CI584" s="3">
        <f>IF(CG584&lt;=TOTAL_MAX,"sí",IF(CG584&lt;=TOTAL_MAX+MARGEN_NEG,"negociar","no"))</f>
        <v/>
      </c>
      <c r="CJ584" s="4">
        <f>IF(CI584&lt;&gt;"no",COUNTIFS($CI$2:$CI$662,"&lt;&gt;no",$CA$2:$CA$662,"&gt;"&amp;CA584)+COUNTIFS($CI$2:CI584,"&lt;&gt;no",$CA$2:CA584,CA584),"")</f>
        <v/>
      </c>
    </row>
    <row r="585">
      <c r="A585" s="2" t="inlineStr">
        <is>
          <t>cochesnet:71374977</t>
        </is>
      </c>
      <c r="B585" s="2" t="inlineStr">
        <is>
          <t>cochesnet</t>
        </is>
      </c>
      <c r="C585" s="2" t="inlineStr">
        <is>
          <t>https://www.coches.net/seat-leon-gasolina-2007-en-castellon-71374977-covo.aspx</t>
        </is>
      </c>
      <c r="D585" s="2" t="inlineStr">
        <is>
          <t>SEAT Leon</t>
        </is>
      </c>
      <c r="E585" s="2" t="inlineStr">
        <is>
          <t>Seat</t>
        </is>
      </c>
      <c r="F585" s="2" t="inlineStr">
        <is>
          <t>Seat León</t>
        </is>
      </c>
      <c r="G585" s="2" t="n"/>
      <c r="H585" s="2" t="n"/>
      <c r="I585" s="2" t="n"/>
      <c r="J585" s="2" t="n"/>
      <c r="K585" s="2" t="inlineStr">
        <is>
          <t>gasolina</t>
        </is>
      </c>
      <c r="L585" s="2" t="inlineStr">
        <is>
          <t>compacto</t>
        </is>
      </c>
      <c r="M585" s="2" t="n">
        <v>2007</v>
      </c>
      <c r="N585" s="2" t="n">
        <v>192000</v>
      </c>
      <c r="O585" s="2" t="n">
        <v>4500</v>
      </c>
      <c r="P585" s="2" t="inlineStr">
        <is>
          <t>manual</t>
        </is>
      </c>
      <c r="Q585" s="2" t="inlineStr">
        <is>
          <t>no</t>
        </is>
      </c>
      <c r="R585" s="2" t="inlineStr">
        <is>
          <t>particular</t>
        </is>
      </c>
      <c r="S585" s="2" t="n"/>
      <c r="T585" s="2" t="inlineStr">
        <is>
          <t>2026-08-27T07:26:13Z</t>
        </is>
      </c>
      <c r="U585" s="2" t="n">
        <v>5</v>
      </c>
      <c r="V585" s="2" t="n"/>
      <c r="W585" s="2" t="n"/>
      <c r="X585" s="2" t="n"/>
      <c r="Y585" s="2" t="n"/>
      <c r="Z585" s="2" t="inlineStr">
        <is>
          <t>no</t>
        </is>
      </c>
      <c r="AA585" s="2" t="n"/>
      <c r="AB585" s="2" t="n"/>
      <c r="AC585" s="2" t="n"/>
      <c r="AD585" s="2" t="n"/>
      <c r="AE585" s="2" t="n"/>
      <c r="AF585" s="2" t="n"/>
      <c r="AG585" s="2" t="n"/>
      <c r="AH585" s="2" t="n">
        <v>4500</v>
      </c>
      <c r="AI585" s="2" t="n"/>
      <c r="AJ585" s="2" t="n"/>
      <c r="AK585" s="2" t="n"/>
      <c r="AL585" s="2" t="n"/>
      <c r="AM585" s="2" t="n"/>
      <c r="AN585" s="2" t="n">
        <v>5345</v>
      </c>
      <c r="AO585" s="2" t="n">
        <v>4</v>
      </c>
      <c r="AP585" s="2" t="inlineStr">
        <is>
          <t>modelo+año+km</t>
        </is>
      </c>
      <c r="AQ585" s="2" t="n"/>
      <c r="AR585" s="2" t="inlineStr">
        <is>
          <t>cilindrada desconocida: se aplica el tramo de cuota fija más alto; cuota fija ITP: &gt;12 años, más de 2.000 cc; distancia no verificable (el anuncio solo indica la provincia): confirmar que está a &lt;= 70 km</t>
        </is>
      </c>
      <c r="AS585" s="2" t="inlineStr">
        <is>
          <t>Vheiculo demasiado cuidado, Reciente pasada la ITV Y esta al dia el vheiculo
precio negociable mas informacion al numero:
EXTRAS:
Camara trasera,control crucero, Aire condicionado nuevo, retrovisores aletricos</t>
        </is>
      </c>
      <c r="AT585" s="2" t="inlineStr">
        <is>
          <t>https://www.coches.net/seat-leon-gasolina-2007-en-castellon-71374977-covo.aspx (window.__INITIAL_PROPS__.ad) /home/user/Alopecia/buscador-coches/raw/cochesnet/442e8f387728f7f9.json</t>
        </is>
      </c>
      <c r="AU585" s="3">
        <f>MAX(ANIO_ACTUAL-M585,0)</f>
        <v/>
      </c>
      <c r="AV585" s="4">
        <f>N585/MAX(AU585,0.5)</f>
        <v/>
      </c>
      <c r="AW585" s="4">
        <f>F585</f>
        <v/>
      </c>
      <c r="AX585" s="3">
        <f>AW585&amp;"|"&amp;INT(M585/SEG_ANIO)*SEG_ANIO</f>
        <v/>
      </c>
      <c r="AY585" s="3">
        <f>AX585&amp;"|"&amp;INT(N585/SEG_KM)*SEG_KM</f>
        <v/>
      </c>
      <c r="AZ585" s="4">
        <f>COUNTIF($AW$2:$AW$662,AW585)</f>
        <v/>
      </c>
      <c r="BA585" s="4">
        <f>COUNTIF($AX$2:$AX$662,AX585)</f>
        <v/>
      </c>
      <c r="BB585" s="4">
        <f>COUNTIF($AY$2:$AY$662,AY585)</f>
        <v/>
      </c>
      <c r="BC585" s="3">
        <f t="array" ref="BC585">IF(N(AO585)&gt;=MIN_N,AN585,IF(BB585&gt;=MIN_N,MEDIAN(IF($AY$2:$AY$662=AY585,$O$2:$O$662)),IF(BA585&gt;=MIN_N,MEDIAN(IF($AX$2:$AX$662=AX585,$O$2:$O$662)),MEDIAN(IF($AW$2:$AW$662=AW585,$O$2:$O$662)))))</f>
        <v/>
      </c>
      <c r="BD585" s="3">
        <f>IF(N(AO585)&gt;=MIN_N,"mercado "&amp;AP585,IF(BB585&gt;=MIN_N,"modelo+año+km",IF(BA585&gt;=MIN_N,"modelo+año","modelo")))</f>
        <v/>
      </c>
      <c r="BE585" s="4">
        <f>(BC585-O585)/BC585</f>
        <v/>
      </c>
      <c r="BF585" s="3">
        <f>IF(OR(K585="hibrido",K585="glp"),"ECO",IF(K585="electrico","CERO",IF(K585="gasolina",IF(M585&gt;=GAS_C,"C",IF(M585&gt;=GAS_B,"B","A")),IF(K585="diesel",IF(M585&gt;=DIE_C,"C",IF(M585&gt;=DIE_B,"B","A")),""))))</f>
        <v/>
      </c>
      <c r="BG585" s="3">
        <f>IFERROR(VLOOKUP(F585,MOD_TBL,11,0),IFERROR(VLOOKUP(E585,OCU_TBL,2,0),NEUTRO))</f>
        <v/>
      </c>
      <c r="BH585" s="3">
        <f>SUMIFS(MOT_AJUSTE,MOT_MOTOR,G585,MOT_MARCA,E585,MOT_DESDE,"&lt;="&amp;M585,MOT_HASTA,"&gt;="&amp;M585)+SUMIFS(MOT_AJUSTE,MOT_MOTOR,G585,MOT_MARCA,"(todas)",MOT_DESDE,"&lt;="&amp;M585,MOT_HASTA,"&gt;="&amp;M585)</f>
        <v/>
      </c>
      <c r="BI585" s="3">
        <f>SUMIFS(COMB_AJUSTE,COMB_COMB,K585)</f>
        <v/>
      </c>
      <c r="BJ585" s="3">
        <f>COUNTIFS(MOT_MOTOR,G585,MOT_MARCA,E585,MOT_DESDE,"&lt;="&amp;M585,MOT_HASTA,"&gt;="&amp;M585)+COUNTIFS(MOT_MOTOR,G585,MOT_MARCA,"(todas)",MOT_DESDE,"&lt;="&amp;M585,MOT_HASTA,"&gt;="&amp;M585)</f>
        <v/>
      </c>
      <c r="BK585" s="3">
        <f>IF(AND(K585="diesel",BJ585=0),MIN(BG585,NEUTRO),BG585)</f>
        <v/>
      </c>
      <c r="BL585" s="4">
        <f>MAX(0,MIN(100,BK585+BH585+BI585))</f>
        <v/>
      </c>
      <c r="BM585" s="3">
        <f>MAX(0,MIN(100,50+BE585*PRECIO_PEND))</f>
        <v/>
      </c>
      <c r="BN585" s="3">
        <f>MAX(0,100*(1-N585/KM_MAX))</f>
        <v/>
      </c>
      <c r="BO585" s="3">
        <f>IF(AV585&lt;KMA_SOSP,IF(AA585="sí",100,KMA_PEN),IF(AV585&lt;=KMA_IDEAL_MAX,100,MAX(0,100*(KMA_CERO-AV585)/(KMA_CERO-KMA_IDEAL_MAX))))</f>
        <v/>
      </c>
      <c r="BP585" s="3">
        <f>MAX(0,MIN(100,100*(M585-ANIO_MIN)/(ANIO_ACTUAL-ANIO_MIN)))</f>
        <v/>
      </c>
      <c r="BQ585" s="3">
        <f>W_KMT*BN585+W_KMA*BO585+W_EDAD*BP585</f>
        <v/>
      </c>
      <c r="BR585" s="3">
        <f>P_ITV*(V585="sí")+P_LIBRO*(W585="sí")+P_CORREA*(X585="sí")+P_PROP*(Y585=1)+P_GAR*(Z585="sí")+P_FOTOS*MIN(1,N(U585)/FOTOS_OBJ)</f>
        <v/>
      </c>
      <c r="BS585" s="3">
        <f>IFERROR(VLOOKUP(BF585,ETQ_TBL,2,0),NEUTRO)</f>
        <v/>
      </c>
      <c r="BT585" s="3">
        <f>NEUTRO</f>
        <v/>
      </c>
      <c r="BU585" s="3">
        <f>IFERROR(VLOOKUP(L585,SEGURO_TBL,3,0),"")</f>
        <v/>
      </c>
      <c r="BV585" s="3">
        <f>IF(BU585="",NEUTRO,MAX(0,MIN(100,100*(SEG_REF_MAX-BU585)/(SEG_REF_MAX-SEG_REF_MIN))))</f>
        <v/>
      </c>
      <c r="BW585" s="3">
        <f>W_ET*BS585+W_CONS*BT585+W_SEG*BV585</f>
        <v/>
      </c>
      <c r="BX585" s="3">
        <f>IF(N(AB585)&gt;0,AB585,IF(AND(R585="profesional",SG_LEGAL_ON=1),GAR_LEGAL,0))</f>
        <v/>
      </c>
      <c r="BY585" s="3">
        <f>SG_GAR*MIN(1,BX585/SG_GAR_FULL)+SG_AMPL*(AC585="sí")+SG_KMC*(AF585="sí")+SG_REV*(N(AE585)&gt;0)+SG_DEV*MIN(1,N(AG585)/SG_DEV_FULL)+SG_HIST*(W585="sí")</f>
        <v/>
      </c>
      <c r="BZ585" s="3">
        <f>IFERROR(VLOOKUP(L585,CARR_PEN_TBL,2,0),0)</f>
        <v/>
      </c>
      <c r="CA585" s="3">
        <f>W_FIAB*BL585+W_PRECIO*BM585+W_KMEDAD*BQ585+W_ANUNCIO*BR585+W_USO*BW585+W_SEGURIDAD*BY585-BZ585</f>
        <v/>
      </c>
      <c r="CB585" s="4">
        <f>IF(N(I585)&gt;0,I585,IFERROR(ROUND(_xlfn.NUMBERVALUE(LEFT(G585,FIND(" ",G585&amp;" ")-1),".")*1000,0),99999))</f>
        <v/>
      </c>
      <c r="CC585" s="3">
        <f>IF(R585="profesional",0,IF(O585&lt;CUOTA_VALOR_MAX,IF(AU585&gt;ITP_TRAMO_ALTO,SUMIFS(CF_CUOTA,CF_MAS,ITP_TRAMO_ALTO,CF_CCMIN,"&lt;="&amp;CB585,CF_CCMAX,"&gt;="&amp;CB585),IF(AU585&gt;ITP_TRAMO_BAJO,SUMIFS(CF_CUOTA,CF_MAS,ITP_TRAMO_BAJO,CF_CCMIN,"&lt;="&amp;CB585,CF_CCMAX,"&gt;="&amp;CB585),O585*ITP_TIPO)),O585*ITP_TIPO))</f>
        <v/>
      </c>
      <c r="CD585" s="4">
        <f>IF(R585="profesional",N(AK585),0)</f>
        <v/>
      </c>
      <c r="CE585" s="3">
        <f>IF(AND(R585="profesional",ISNUMBER(AK585),AL585="sí"),0,TASA_DGT)</f>
        <v/>
      </c>
      <c r="CF585" s="3">
        <f>INFORME_DGT</f>
        <v/>
      </c>
      <c r="CG585" s="4">
        <f>O585+CD585+CC585+CE585+CF585</f>
        <v/>
      </c>
      <c r="CH585" s="4">
        <f>CG585+N(BU585)</f>
        <v/>
      </c>
      <c r="CI585" s="3">
        <f>IF(CG585&lt;=TOTAL_MAX,"sí",IF(CG585&lt;=TOTAL_MAX+MARGEN_NEG,"negociar","no"))</f>
        <v/>
      </c>
      <c r="CJ585" s="4">
        <f>IF(CI585&lt;&gt;"no",COUNTIFS($CI$2:$CI$662,"&lt;&gt;no",$CA$2:$CA$662,"&gt;"&amp;CA585)+COUNTIFS($CI$2:CI585,"&lt;&gt;no",$CA$2:CA585,CA585),"")</f>
        <v/>
      </c>
    </row>
    <row r="586">
      <c r="A586" s="2" t="inlineStr">
        <is>
          <t>cochesnet:71302646</t>
        </is>
      </c>
      <c r="B586" s="2" t="inlineStr">
        <is>
          <t>cochesnet</t>
        </is>
      </c>
      <c r="C586" s="2" t="inlineStr">
        <is>
          <t>https://www.coches.net/seat-altea-xl-diesel-2006-en-castellon-71302646-covo.aspx</t>
        </is>
      </c>
      <c r="D586" s="2" t="inlineStr">
        <is>
          <t>SEAT Altea XL</t>
        </is>
      </c>
      <c r="E586" s="2" t="inlineStr">
        <is>
          <t>Seat</t>
        </is>
      </c>
      <c r="F586" s="2" t="inlineStr">
        <is>
          <t>Seat Altea</t>
        </is>
      </c>
      <c r="G586" s="2" t="n"/>
      <c r="H586" s="2" t="n"/>
      <c r="I586" s="2" t="n"/>
      <c r="J586" s="2" t="n"/>
      <c r="K586" s="2" t="inlineStr">
        <is>
          <t>diesel</t>
        </is>
      </c>
      <c r="L586" s="2" t="inlineStr">
        <is>
          <t>monovolumen_pequeno</t>
        </is>
      </c>
      <c r="M586" s="2" t="n">
        <v>2006</v>
      </c>
      <c r="N586" s="2" t="n">
        <v>220000</v>
      </c>
      <c r="O586" s="2" t="n">
        <v>3799</v>
      </c>
      <c r="P586" s="2" t="inlineStr">
        <is>
          <t>manual</t>
        </is>
      </c>
      <c r="Q586" s="2" t="inlineStr">
        <is>
          <t>no</t>
        </is>
      </c>
      <c r="R586" s="2" t="inlineStr">
        <is>
          <t>particular</t>
        </is>
      </c>
      <c r="S586" s="2" t="n"/>
      <c r="T586" s="2" t="inlineStr">
        <is>
          <t>2026-08-16T17:44:25Z</t>
        </is>
      </c>
      <c r="U586" s="2" t="n">
        <v>7</v>
      </c>
      <c r="V586" s="2" t="inlineStr">
        <is>
          <t>sí</t>
        </is>
      </c>
      <c r="W586" s="2" t="n"/>
      <c r="X586" s="2" t="n"/>
      <c r="Y586" s="2" t="n"/>
      <c r="Z586" s="2" t="inlineStr">
        <is>
          <t>no</t>
        </is>
      </c>
      <c r="AA586" s="2" t="n"/>
      <c r="AB586" s="2" t="n"/>
      <c r="AC586" s="2" t="n"/>
      <c r="AD586" s="2" t="n"/>
      <c r="AE586" s="2" t="n"/>
      <c r="AF586" s="2" t="n"/>
      <c r="AG586" s="2" t="n"/>
      <c r="AH586" s="2" t="n">
        <v>3799</v>
      </c>
      <c r="AI586" s="2" t="n"/>
      <c r="AJ586" s="2" t="n"/>
      <c r="AK586" s="2" t="n"/>
      <c r="AL586" s="2" t="n"/>
      <c r="AM586" s="2" t="n"/>
      <c r="AN586" s="2" t="n">
        <v>3849.5</v>
      </c>
      <c r="AO586" s="2" t="n">
        <v>6</v>
      </c>
      <c r="AP586" s="2" t="inlineStr">
        <is>
          <t>modelo+año+km</t>
        </is>
      </c>
      <c r="AQ586" s="2" t="n"/>
      <c r="AR586" s="2" t="inlineStr">
        <is>
          <t>cilindrada desconocida: se aplica el tramo de cuota fija más alto; cuota fija ITP: &gt;12 años, más de 2.000 cc; diésel: motor sin fuente de fiabilidad (fiabilidad limitada a neutra); carrocería monovolumen_pequeno: -6 puntos; distancia no verificable (el anuncio solo indica la provincia): confirmar que está a &lt;= 70 km; fiabilidad del modelo PENDIENTE de fuente (puntuación neutra)</t>
        </is>
      </c>
      <c r="AS586" s="2" t="inlineStr">
        <is>
          <t>ITV Hasta 11/08/2027 . mantenamiento todo hecho con facturas. Coche muy bien cuidado y limpio . Ven y probar con tu mecanico . 642 343073 Solo Whatsapp</t>
        </is>
      </c>
      <c r="AT586" s="2" t="inlineStr">
        <is>
          <t>https://www.coches.net/seat-altea-xl-diesel-2006-en-castellon-71302646-covo.aspx (window.__INITIAL_PROPS__.ad) /home/user/Alopecia/buscador-coches/raw/cochesnet/c4157dec174aaa07.json</t>
        </is>
      </c>
      <c r="AU586" s="3">
        <f>MAX(ANIO_ACTUAL-M586,0)</f>
        <v/>
      </c>
      <c r="AV586" s="4">
        <f>N586/MAX(AU586,0.5)</f>
        <v/>
      </c>
      <c r="AW586" s="4">
        <f>F586</f>
        <v/>
      </c>
      <c r="AX586" s="3">
        <f>AW586&amp;"|"&amp;INT(M586/SEG_ANIO)*SEG_ANIO</f>
        <v/>
      </c>
      <c r="AY586" s="3">
        <f>AX586&amp;"|"&amp;INT(N586/SEG_KM)*SEG_KM</f>
        <v/>
      </c>
      <c r="AZ586" s="4">
        <f>COUNTIF($AW$2:$AW$662,AW586)</f>
        <v/>
      </c>
      <c r="BA586" s="4">
        <f>COUNTIF($AX$2:$AX$662,AX586)</f>
        <v/>
      </c>
      <c r="BB586" s="4">
        <f>COUNTIF($AY$2:$AY$662,AY586)</f>
        <v/>
      </c>
      <c r="BC586" s="3">
        <f t="array" ref="BC586">IF(N(AO586)&gt;=MIN_N,AN586,IF(BB586&gt;=MIN_N,MEDIAN(IF($AY$2:$AY$662=AY586,$O$2:$O$662)),IF(BA586&gt;=MIN_N,MEDIAN(IF($AX$2:$AX$662=AX586,$O$2:$O$662)),MEDIAN(IF($AW$2:$AW$662=AW586,$O$2:$O$662)))))</f>
        <v/>
      </c>
      <c r="BD586" s="3">
        <f>IF(N(AO586)&gt;=MIN_N,"mercado "&amp;AP586,IF(BB586&gt;=MIN_N,"modelo+año+km",IF(BA586&gt;=MIN_N,"modelo+año","modelo")))</f>
        <v/>
      </c>
      <c r="BE586" s="4">
        <f>(BC586-O586)/BC586</f>
        <v/>
      </c>
      <c r="BF586" s="3">
        <f>IF(OR(K586="hibrido",K586="glp"),"ECO",IF(K586="electrico","CERO",IF(K586="gasolina",IF(M586&gt;=GAS_C,"C",IF(M586&gt;=GAS_B,"B","A")),IF(K586="diesel",IF(M586&gt;=DIE_C,"C",IF(M586&gt;=DIE_B,"B","A")),""))))</f>
        <v/>
      </c>
      <c r="BG586" s="3">
        <f>IFERROR(VLOOKUP(F586,MOD_TBL,11,0),IFERROR(VLOOKUP(E586,OCU_TBL,2,0),NEUTRO))</f>
        <v/>
      </c>
      <c r="BH586" s="3">
        <f>SUMIFS(MOT_AJUSTE,MOT_MOTOR,G586,MOT_MARCA,E586,MOT_DESDE,"&lt;="&amp;M586,MOT_HASTA,"&gt;="&amp;M586)+SUMIFS(MOT_AJUSTE,MOT_MOTOR,G586,MOT_MARCA,"(todas)",MOT_DESDE,"&lt;="&amp;M586,MOT_HASTA,"&gt;="&amp;M586)</f>
        <v/>
      </c>
      <c r="BI586" s="3">
        <f>SUMIFS(COMB_AJUSTE,COMB_COMB,K586)</f>
        <v/>
      </c>
      <c r="BJ586" s="3">
        <f>COUNTIFS(MOT_MOTOR,G586,MOT_MARCA,E586,MOT_DESDE,"&lt;="&amp;M586,MOT_HASTA,"&gt;="&amp;M586)+COUNTIFS(MOT_MOTOR,G586,MOT_MARCA,"(todas)",MOT_DESDE,"&lt;="&amp;M586,MOT_HASTA,"&gt;="&amp;M586)</f>
        <v/>
      </c>
      <c r="BK586" s="3">
        <f>IF(AND(K586="diesel",BJ586=0),MIN(BG586,NEUTRO),BG586)</f>
        <v/>
      </c>
      <c r="BL586" s="4">
        <f>MAX(0,MIN(100,BK586+BH586+BI586))</f>
        <v/>
      </c>
      <c r="BM586" s="3">
        <f>MAX(0,MIN(100,50+BE586*PRECIO_PEND))</f>
        <v/>
      </c>
      <c r="BN586" s="3">
        <f>MAX(0,100*(1-N586/KM_MAX))</f>
        <v/>
      </c>
      <c r="BO586" s="3">
        <f>IF(AV586&lt;KMA_SOSP,IF(AA586="sí",100,KMA_PEN),IF(AV586&lt;=KMA_IDEAL_MAX,100,MAX(0,100*(KMA_CERO-AV586)/(KMA_CERO-KMA_IDEAL_MAX))))</f>
        <v/>
      </c>
      <c r="BP586" s="3">
        <f>MAX(0,MIN(100,100*(M586-ANIO_MIN)/(ANIO_ACTUAL-ANIO_MIN)))</f>
        <v/>
      </c>
      <c r="BQ586" s="3">
        <f>W_KMT*BN586+W_KMA*BO586+W_EDAD*BP586</f>
        <v/>
      </c>
      <c r="BR586" s="3">
        <f>P_ITV*(V586="sí")+P_LIBRO*(W586="sí")+P_CORREA*(X586="sí")+P_PROP*(Y586=1)+P_GAR*(Z586="sí")+P_FOTOS*MIN(1,N(U586)/FOTOS_OBJ)</f>
        <v/>
      </c>
      <c r="BS586" s="3">
        <f>IFERROR(VLOOKUP(BF586,ETQ_TBL,2,0),NEUTRO)</f>
        <v/>
      </c>
      <c r="BT586" s="3">
        <f>NEUTRO</f>
        <v/>
      </c>
      <c r="BU586" s="3">
        <f>IFERROR(VLOOKUP(L586,SEGURO_TBL,3,0),"")</f>
        <v/>
      </c>
      <c r="BV586" s="3">
        <f>IF(BU586="",NEUTRO,MAX(0,MIN(100,100*(SEG_REF_MAX-BU586)/(SEG_REF_MAX-SEG_REF_MIN))))</f>
        <v/>
      </c>
      <c r="BW586" s="3">
        <f>W_ET*BS586+W_CONS*BT586+W_SEG*BV586</f>
        <v/>
      </c>
      <c r="BX586" s="3">
        <f>IF(N(AB586)&gt;0,AB586,IF(AND(R586="profesional",SG_LEGAL_ON=1),GAR_LEGAL,0))</f>
        <v/>
      </c>
      <c r="BY586" s="3">
        <f>SG_GAR*MIN(1,BX586/SG_GAR_FULL)+SG_AMPL*(AC586="sí")+SG_KMC*(AF586="sí")+SG_REV*(N(AE586)&gt;0)+SG_DEV*MIN(1,N(AG586)/SG_DEV_FULL)+SG_HIST*(W586="sí")</f>
        <v/>
      </c>
      <c r="BZ586" s="3">
        <f>IFERROR(VLOOKUP(L586,CARR_PEN_TBL,2,0),0)</f>
        <v/>
      </c>
      <c r="CA586" s="3">
        <f>W_FIAB*BL586+W_PRECIO*BM586+W_KMEDAD*BQ586+W_ANUNCIO*BR586+W_USO*BW586+W_SEGURIDAD*BY586-BZ586</f>
        <v/>
      </c>
      <c r="CB586" s="4">
        <f>IF(N(I586)&gt;0,I586,IFERROR(ROUND(_xlfn.NUMBERVALUE(LEFT(G586,FIND(" ",G586&amp;" ")-1),".")*1000,0),99999))</f>
        <v/>
      </c>
      <c r="CC586" s="3">
        <f>IF(R586="profesional",0,IF(O586&lt;CUOTA_VALOR_MAX,IF(AU586&gt;ITP_TRAMO_ALTO,SUMIFS(CF_CUOTA,CF_MAS,ITP_TRAMO_ALTO,CF_CCMIN,"&lt;="&amp;CB586,CF_CCMAX,"&gt;="&amp;CB586),IF(AU586&gt;ITP_TRAMO_BAJO,SUMIFS(CF_CUOTA,CF_MAS,ITP_TRAMO_BAJO,CF_CCMIN,"&lt;="&amp;CB586,CF_CCMAX,"&gt;="&amp;CB586),O586*ITP_TIPO)),O586*ITP_TIPO))</f>
        <v/>
      </c>
      <c r="CD586" s="4">
        <f>IF(R586="profesional",N(AK586),0)</f>
        <v/>
      </c>
      <c r="CE586" s="3">
        <f>IF(AND(R586="profesional",ISNUMBER(AK586),AL586="sí"),0,TASA_DGT)</f>
        <v/>
      </c>
      <c r="CF586" s="3">
        <f>INFORME_DGT</f>
        <v/>
      </c>
      <c r="CG586" s="4">
        <f>O586+CD586+CC586+CE586+CF586</f>
        <v/>
      </c>
      <c r="CH586" s="4">
        <f>CG586+N(BU586)</f>
        <v/>
      </c>
      <c r="CI586" s="3">
        <f>IF(CG586&lt;=TOTAL_MAX,"sí",IF(CG586&lt;=TOTAL_MAX+MARGEN_NEG,"negociar","no"))</f>
        <v/>
      </c>
      <c r="CJ586" s="4">
        <f>IF(CI586&lt;&gt;"no",COUNTIFS($CI$2:$CI$662,"&lt;&gt;no",$CA$2:$CA$662,"&gt;"&amp;CA586)+COUNTIFS($CI$2:CI586,"&lt;&gt;no",$CA$2:CA586,CA586),"")</f>
        <v/>
      </c>
    </row>
    <row r="587">
      <c r="A587" s="2" t="inlineStr">
        <is>
          <t>cochesnet:71091125</t>
        </is>
      </c>
      <c r="B587" s="2" t="inlineStr">
        <is>
          <t>cochesnet</t>
        </is>
      </c>
      <c r="C587" s="2" t="inlineStr">
        <is>
          <t>https://www.coches.net/seat-leon-19-tdi-105cv-reference-5p-diesel-2007-en-castellon-71091125-covo.aspx</t>
        </is>
      </c>
      <c r="D587" s="2" t="inlineStr">
        <is>
          <t>SEAT Leon 1.9 TDI Reference</t>
        </is>
      </c>
      <c r="E587" s="2" t="inlineStr">
        <is>
          <t>Seat</t>
        </is>
      </c>
      <c r="F587" s="2" t="inlineStr">
        <is>
          <t>Seat León</t>
        </is>
      </c>
      <c r="G587" s="2" t="inlineStr">
        <is>
          <t>1.9 TDI</t>
        </is>
      </c>
      <c r="H587" s="2" t="inlineStr">
        <is>
          <t>1.9 TDI 105cv Reference</t>
        </is>
      </c>
      <c r="I587" s="2" t="n"/>
      <c r="J587" s="2" t="n">
        <v>105</v>
      </c>
      <c r="K587" s="2" t="inlineStr">
        <is>
          <t>diesel</t>
        </is>
      </c>
      <c r="L587" s="2" t="inlineStr">
        <is>
          <t>compacto</t>
        </is>
      </c>
      <c r="M587" s="2" t="n">
        <v>2007</v>
      </c>
      <c r="N587" s="2" t="n">
        <v>215000</v>
      </c>
      <c r="O587" s="2" t="n">
        <v>4990</v>
      </c>
      <c r="P587" s="2" t="inlineStr">
        <is>
          <t>manual</t>
        </is>
      </c>
      <c r="Q587" s="2" t="inlineStr">
        <is>
          <t>no</t>
        </is>
      </c>
      <c r="R587" s="2" t="inlineStr">
        <is>
          <t>particular</t>
        </is>
      </c>
      <c r="S587" s="2" t="inlineStr">
        <is>
          <t>Vila-real</t>
        </is>
      </c>
      <c r="T587" s="2" t="inlineStr">
        <is>
          <t>2026-10-14T13:37:14Z</t>
        </is>
      </c>
      <c r="U587" s="2" t="n">
        <v>9</v>
      </c>
      <c r="V587" s="2" t="inlineStr">
        <is>
          <t>sí</t>
        </is>
      </c>
      <c r="W587" s="2" t="n"/>
      <c r="X587" s="2" t="n"/>
      <c r="Y587" s="2" t="n"/>
      <c r="Z587" s="2" t="inlineStr">
        <is>
          <t>no</t>
        </is>
      </c>
      <c r="AA587" s="2" t="n"/>
      <c r="AB587" s="2" t="n"/>
      <c r="AC587" s="2" t="n"/>
      <c r="AD587" s="2" t="n"/>
      <c r="AE587" s="2" t="n"/>
      <c r="AF587" s="2" t="n"/>
      <c r="AG587" s="2" t="n"/>
      <c r="AH587" s="2" t="n">
        <v>4990</v>
      </c>
      <c r="AI587" s="2" t="n"/>
      <c r="AJ587" s="2" t="n"/>
      <c r="AK587" s="2" t="n"/>
      <c r="AL587" s="2" t="n"/>
      <c r="AM587" s="2" t="n"/>
      <c r="AN587" s="2" t="n">
        <v>4500</v>
      </c>
      <c r="AO587" s="2" t="n">
        <v>10</v>
      </c>
      <c r="AP587" s="2" t="inlineStr">
        <is>
          <t>modelo+año+km</t>
        </is>
      </c>
      <c r="AQ587" s="2" t="n"/>
      <c r="AR587" s="2" t="inlineStr">
        <is>
          <t>por encima del presupuesto (5114 €), negociar; cuota fija ITP: &gt;12 años, 1.501-2.000 cc; diésel: motor sin fuente de fiabilidad (fiabilidad limitada a neutra); distancia no verificable (el anuncio solo indica la provincia): confirmar que está a &lt;= 70 km</t>
        </is>
      </c>
      <c r="AS587" s="2" t="inlineStr">
        <is>
          <t>Seat leon 1.9TDI en perfecto estado 
Embrague recién hecho 
Mantenimientos recién hechos 
No le falla absolutamente nada 
Itv hasta diciembre 2026</t>
        </is>
      </c>
      <c r="AT587" s="2" t="inlineStr">
        <is>
          <t>https://www.coches.net/seat-leon-19-tdi-105cv-reference-5p-diesel-2007-en-castellon-71091125-covo.aspx (window.__INITIAL_PROPS__.ad) /home/user/Alopecia/buscador-coches/raw/cochesnet/215e2db7400e8622.json</t>
        </is>
      </c>
      <c r="AU587" s="3">
        <f>MAX(ANIO_ACTUAL-M587,0)</f>
        <v/>
      </c>
      <c r="AV587" s="4">
        <f>N587/MAX(AU587,0.5)</f>
        <v/>
      </c>
      <c r="AW587" s="4">
        <f>F587</f>
        <v/>
      </c>
      <c r="AX587" s="3">
        <f>AW587&amp;"|"&amp;INT(M587/SEG_ANIO)*SEG_ANIO</f>
        <v/>
      </c>
      <c r="AY587" s="3">
        <f>AX587&amp;"|"&amp;INT(N587/SEG_KM)*SEG_KM</f>
        <v/>
      </c>
      <c r="AZ587" s="4">
        <f>COUNTIF($AW$2:$AW$662,AW587)</f>
        <v/>
      </c>
      <c r="BA587" s="4">
        <f>COUNTIF($AX$2:$AX$662,AX587)</f>
        <v/>
      </c>
      <c r="BB587" s="4">
        <f>COUNTIF($AY$2:$AY$662,AY587)</f>
        <v/>
      </c>
      <c r="BC587" s="3">
        <f t="array" ref="BC587">IF(N(AO587)&gt;=MIN_N,AN587,IF(BB587&gt;=MIN_N,MEDIAN(IF($AY$2:$AY$662=AY587,$O$2:$O$662)),IF(BA587&gt;=MIN_N,MEDIAN(IF($AX$2:$AX$662=AX587,$O$2:$O$662)),MEDIAN(IF($AW$2:$AW$662=AW587,$O$2:$O$662)))))</f>
        <v/>
      </c>
      <c r="BD587" s="3">
        <f>IF(N(AO587)&gt;=MIN_N,"mercado "&amp;AP587,IF(BB587&gt;=MIN_N,"modelo+año+km",IF(BA587&gt;=MIN_N,"modelo+año","modelo")))</f>
        <v/>
      </c>
      <c r="BE587" s="4">
        <f>(BC587-O587)/BC587</f>
        <v/>
      </c>
      <c r="BF587" s="3">
        <f>IF(OR(K587="hibrido",K587="glp"),"ECO",IF(K587="electrico","CERO",IF(K587="gasolina",IF(M587&gt;=GAS_C,"C",IF(M587&gt;=GAS_B,"B","A")),IF(K587="diesel",IF(M587&gt;=DIE_C,"C",IF(M587&gt;=DIE_B,"B","A")),""))))</f>
        <v/>
      </c>
      <c r="BG587" s="3">
        <f>IFERROR(VLOOKUP(F587,MOD_TBL,11,0),IFERROR(VLOOKUP(E587,OCU_TBL,2,0),NEUTRO))</f>
        <v/>
      </c>
      <c r="BH587" s="3">
        <f>SUMIFS(MOT_AJUSTE,MOT_MOTOR,G587,MOT_MARCA,E587,MOT_DESDE,"&lt;="&amp;M587,MOT_HASTA,"&gt;="&amp;M587)+SUMIFS(MOT_AJUSTE,MOT_MOTOR,G587,MOT_MARCA,"(todas)",MOT_DESDE,"&lt;="&amp;M587,MOT_HASTA,"&gt;="&amp;M587)</f>
        <v/>
      </c>
      <c r="BI587" s="3">
        <f>SUMIFS(COMB_AJUSTE,COMB_COMB,K587)</f>
        <v/>
      </c>
      <c r="BJ587" s="3">
        <f>COUNTIFS(MOT_MOTOR,G587,MOT_MARCA,E587,MOT_DESDE,"&lt;="&amp;M587,MOT_HASTA,"&gt;="&amp;M587)+COUNTIFS(MOT_MOTOR,G587,MOT_MARCA,"(todas)",MOT_DESDE,"&lt;="&amp;M587,MOT_HASTA,"&gt;="&amp;M587)</f>
        <v/>
      </c>
      <c r="BK587" s="3">
        <f>IF(AND(K587="diesel",BJ587=0),MIN(BG587,NEUTRO),BG587)</f>
        <v/>
      </c>
      <c r="BL587" s="4">
        <f>MAX(0,MIN(100,BK587+BH587+BI587))</f>
        <v/>
      </c>
      <c r="BM587" s="3">
        <f>MAX(0,MIN(100,50+BE587*PRECIO_PEND))</f>
        <v/>
      </c>
      <c r="BN587" s="3">
        <f>MAX(0,100*(1-N587/KM_MAX))</f>
        <v/>
      </c>
      <c r="BO587" s="3">
        <f>IF(AV587&lt;KMA_SOSP,IF(AA587="sí",100,KMA_PEN),IF(AV587&lt;=KMA_IDEAL_MAX,100,MAX(0,100*(KMA_CERO-AV587)/(KMA_CERO-KMA_IDEAL_MAX))))</f>
        <v/>
      </c>
      <c r="BP587" s="3">
        <f>MAX(0,MIN(100,100*(M587-ANIO_MIN)/(ANIO_ACTUAL-ANIO_MIN)))</f>
        <v/>
      </c>
      <c r="BQ587" s="3">
        <f>W_KMT*BN587+W_KMA*BO587+W_EDAD*BP587</f>
        <v/>
      </c>
      <c r="BR587" s="3">
        <f>P_ITV*(V587="sí")+P_LIBRO*(W587="sí")+P_CORREA*(X587="sí")+P_PROP*(Y587=1)+P_GAR*(Z587="sí")+P_FOTOS*MIN(1,N(U587)/FOTOS_OBJ)</f>
        <v/>
      </c>
      <c r="BS587" s="3">
        <f>IFERROR(VLOOKUP(BF587,ETQ_TBL,2,0),NEUTRO)</f>
        <v/>
      </c>
      <c r="BT587" s="3">
        <f>NEUTRO</f>
        <v/>
      </c>
      <c r="BU587" s="3">
        <f>IFERROR(VLOOKUP(L587,SEGURO_TBL,3,0),"")</f>
        <v/>
      </c>
      <c r="BV587" s="3">
        <f>IF(BU587="",NEUTRO,MAX(0,MIN(100,100*(SEG_REF_MAX-BU587)/(SEG_REF_MAX-SEG_REF_MIN))))</f>
        <v/>
      </c>
      <c r="BW587" s="3">
        <f>W_ET*BS587+W_CONS*BT587+W_SEG*BV587</f>
        <v/>
      </c>
      <c r="BX587" s="3">
        <f>IF(N(AB587)&gt;0,AB587,IF(AND(R587="profesional",SG_LEGAL_ON=1),GAR_LEGAL,0))</f>
        <v/>
      </c>
      <c r="BY587" s="3">
        <f>SG_GAR*MIN(1,BX587/SG_GAR_FULL)+SG_AMPL*(AC587="sí")+SG_KMC*(AF587="sí")+SG_REV*(N(AE587)&gt;0)+SG_DEV*MIN(1,N(AG587)/SG_DEV_FULL)+SG_HIST*(W587="sí")</f>
        <v/>
      </c>
      <c r="BZ587" s="3">
        <f>IFERROR(VLOOKUP(L587,CARR_PEN_TBL,2,0),0)</f>
        <v/>
      </c>
      <c r="CA587" s="3">
        <f>W_FIAB*BL587+W_PRECIO*BM587+W_KMEDAD*BQ587+W_ANUNCIO*BR587+W_USO*BW587+W_SEGURIDAD*BY587-BZ587</f>
        <v/>
      </c>
      <c r="CB587" s="4">
        <f>IF(N(I587)&gt;0,I587,IFERROR(ROUND(_xlfn.NUMBERVALUE(LEFT(G587,FIND(" ",G587&amp;" ")-1),".")*1000,0),99999))</f>
        <v/>
      </c>
      <c r="CC587" s="3">
        <f>IF(R587="profesional",0,IF(O587&lt;CUOTA_VALOR_MAX,IF(AU587&gt;ITP_TRAMO_ALTO,SUMIFS(CF_CUOTA,CF_MAS,ITP_TRAMO_ALTO,CF_CCMIN,"&lt;="&amp;CB587,CF_CCMAX,"&gt;="&amp;CB587),IF(AU587&gt;ITP_TRAMO_BAJO,SUMIFS(CF_CUOTA,CF_MAS,ITP_TRAMO_BAJO,CF_CCMIN,"&lt;="&amp;CB587,CF_CCMAX,"&gt;="&amp;CB587),O587*ITP_TIPO)),O587*ITP_TIPO))</f>
        <v/>
      </c>
      <c r="CD587" s="4">
        <f>IF(R587="profesional",N(AK587),0)</f>
        <v/>
      </c>
      <c r="CE587" s="3">
        <f>IF(AND(R587="profesional",ISNUMBER(AK587),AL587="sí"),0,TASA_DGT)</f>
        <v/>
      </c>
      <c r="CF587" s="3">
        <f>INFORME_DGT</f>
        <v/>
      </c>
      <c r="CG587" s="4">
        <f>O587+CD587+CC587+CE587+CF587</f>
        <v/>
      </c>
      <c r="CH587" s="4">
        <f>CG587+N(BU587)</f>
        <v/>
      </c>
      <c r="CI587" s="3">
        <f>IF(CG587&lt;=TOTAL_MAX,"sí",IF(CG587&lt;=TOTAL_MAX+MARGEN_NEG,"negociar","no"))</f>
        <v/>
      </c>
      <c r="CJ587" s="4">
        <f>IF(CI587&lt;&gt;"no",COUNTIFS($CI$2:$CI$662,"&lt;&gt;no",$CA$2:$CA$662,"&gt;"&amp;CA587)+COUNTIFS($CI$2:CI587,"&lt;&gt;no",$CA$2:CA587,CA587),"")</f>
        <v/>
      </c>
    </row>
    <row r="588">
      <c r="A588" s="2" t="inlineStr">
        <is>
          <t>cochesnet:71837257</t>
        </is>
      </c>
      <c r="B588" s="2" t="inlineStr">
        <is>
          <t>cochesnet</t>
        </is>
      </c>
      <c r="C588" s="2" t="inlineStr">
        <is>
          <t>https://www.coches.net/volkswagen-fox-14-3p-gasolina-2006-en-castellon-71837257-covo.aspx</t>
        </is>
      </c>
      <c r="D588" s="2" t="inlineStr">
        <is>
          <t>VOLKSWAGEN Fox 1.4</t>
        </is>
      </c>
      <c r="E588" s="2" t="inlineStr">
        <is>
          <t>Volkswagen</t>
        </is>
      </c>
      <c r="F588" s="2" t="inlineStr">
        <is>
          <t>Volkswagen Fox</t>
        </is>
      </c>
      <c r="G588" s="2" t="inlineStr">
        <is>
          <t>1.4</t>
        </is>
      </c>
      <c r="H588" s="2" t="inlineStr">
        <is>
          <t>1.4</t>
        </is>
      </c>
      <c r="I588" s="2" t="n"/>
      <c r="J588" s="2" t="n"/>
      <c r="K588" s="2" t="inlineStr">
        <is>
          <t>gasolina</t>
        </is>
      </c>
      <c r="L588" s="2" t="inlineStr">
        <is>
          <t>utilitario</t>
        </is>
      </c>
      <c r="M588" s="2" t="n">
        <v>2006</v>
      </c>
      <c r="N588" s="2" t="n">
        <v>94000</v>
      </c>
      <c r="O588" s="2" t="n">
        <v>3500</v>
      </c>
      <c r="P588" s="2" t="inlineStr">
        <is>
          <t>manual</t>
        </is>
      </c>
      <c r="Q588" s="2" t="inlineStr">
        <is>
          <t>no</t>
        </is>
      </c>
      <c r="R588" s="2" t="inlineStr">
        <is>
          <t>particular</t>
        </is>
      </c>
      <c r="S588" s="2" t="n"/>
      <c r="T588" s="2" t="inlineStr">
        <is>
          <t>2026-10-26T15:44:55Z</t>
        </is>
      </c>
      <c r="U588" s="2" t="n">
        <v>5</v>
      </c>
      <c r="V588" s="2" t="inlineStr">
        <is>
          <t>sí</t>
        </is>
      </c>
      <c r="W588" s="2" t="n"/>
      <c r="X588" s="2" t="n"/>
      <c r="Y588" s="2" t="n"/>
      <c r="Z588" s="2" t="inlineStr">
        <is>
          <t>no</t>
        </is>
      </c>
      <c r="AA588" s="2" t="n"/>
      <c r="AB588" s="2" t="n"/>
      <c r="AC588" s="2" t="n"/>
      <c r="AD588" s="2" t="n"/>
      <c r="AE588" s="2" t="n"/>
      <c r="AF588" s="2" t="n"/>
      <c r="AG588" s="2" t="n"/>
      <c r="AH588" s="2" t="n">
        <v>3500</v>
      </c>
      <c r="AI588" s="2" t="n"/>
      <c r="AJ588" s="2" t="n"/>
      <c r="AK588" s="2" t="n"/>
      <c r="AL588" s="2" t="n"/>
      <c r="AM588" s="2" t="n"/>
      <c r="AN588" s="2" t="n"/>
      <c r="AO588" s="2" t="n"/>
      <c r="AP588" s="2" t="n"/>
      <c r="AQ588" s="2" t="n"/>
      <c r="AR588" s="2" t="inlineStr">
        <is>
          <t>cuota fija ITP: &gt;12 años, hasta 1.500 cc; distancia no verificable (el anuncio solo indica la provincia): confirmar que está a &lt;= 70 km; fiabilidad del modelo PENDIENTE de fuente (puntuación neutra); mediana con solo 2 anuncio(s)</t>
        </is>
      </c>
      <c r="AS588" s="2" t="inlineStr">
        <is>
          <t>vehículo en buen estado.
 ITV en vigor 
pocos kilometros
neumáticos en buen estado
plan de revisiones al día</t>
        </is>
      </c>
      <c r="AT588" s="2" t="inlineStr">
        <is>
          <t>https://www.coches.net/volkswagen-fox-14-3p-gasolina-2006-en-castellon-71837257-covo.aspx (window.__INITIAL_PROPS__.ad) /home/user/Alopecia/buscador-coches/raw/cochesnet/3f13f4e5f51c7110.json</t>
        </is>
      </c>
      <c r="AU588" s="3">
        <f>MAX(ANIO_ACTUAL-M588,0)</f>
        <v/>
      </c>
      <c r="AV588" s="4">
        <f>N588/MAX(AU588,0.5)</f>
        <v/>
      </c>
      <c r="AW588" s="4">
        <f>F588</f>
        <v/>
      </c>
      <c r="AX588" s="3">
        <f>AW588&amp;"|"&amp;INT(M588/SEG_ANIO)*SEG_ANIO</f>
        <v/>
      </c>
      <c r="AY588" s="3">
        <f>AX588&amp;"|"&amp;INT(N588/SEG_KM)*SEG_KM</f>
        <v/>
      </c>
      <c r="AZ588" s="4">
        <f>COUNTIF($AW$2:$AW$662,AW588)</f>
        <v/>
      </c>
      <c r="BA588" s="4">
        <f>COUNTIF($AX$2:$AX$662,AX588)</f>
        <v/>
      </c>
      <c r="BB588" s="4">
        <f>COUNTIF($AY$2:$AY$662,AY588)</f>
        <v/>
      </c>
      <c r="BC588" s="3">
        <f t="array" ref="BC588">IF(N(AO588)&gt;=MIN_N,AN588,IF(BB588&gt;=MIN_N,MEDIAN(IF($AY$2:$AY$662=AY588,$O$2:$O$662)),IF(BA588&gt;=MIN_N,MEDIAN(IF($AX$2:$AX$662=AX588,$O$2:$O$662)),MEDIAN(IF($AW$2:$AW$662=AW588,$O$2:$O$662)))))</f>
        <v/>
      </c>
      <c r="BD588" s="3">
        <f>IF(N(AO588)&gt;=MIN_N,"mercado "&amp;AP588,IF(BB588&gt;=MIN_N,"modelo+año+km",IF(BA588&gt;=MIN_N,"modelo+año","modelo")))</f>
        <v/>
      </c>
      <c r="BE588" s="4">
        <f>(BC588-O588)/BC588</f>
        <v/>
      </c>
      <c r="BF588" s="3">
        <f>IF(OR(K588="hibrido",K588="glp"),"ECO",IF(K588="electrico","CERO",IF(K588="gasolina",IF(M588&gt;=GAS_C,"C",IF(M588&gt;=GAS_B,"B","A")),IF(K588="diesel",IF(M588&gt;=DIE_C,"C",IF(M588&gt;=DIE_B,"B","A")),""))))</f>
        <v/>
      </c>
      <c r="BG588" s="3">
        <f>IFERROR(VLOOKUP(F588,MOD_TBL,11,0),IFERROR(VLOOKUP(E588,OCU_TBL,2,0),NEUTRO))</f>
        <v/>
      </c>
      <c r="BH588" s="3">
        <f>SUMIFS(MOT_AJUSTE,MOT_MOTOR,G588,MOT_MARCA,E588,MOT_DESDE,"&lt;="&amp;M588,MOT_HASTA,"&gt;="&amp;M588)+SUMIFS(MOT_AJUSTE,MOT_MOTOR,G588,MOT_MARCA,"(todas)",MOT_DESDE,"&lt;="&amp;M588,MOT_HASTA,"&gt;="&amp;M588)</f>
        <v/>
      </c>
      <c r="BI588" s="3">
        <f>SUMIFS(COMB_AJUSTE,COMB_COMB,K588)</f>
        <v/>
      </c>
      <c r="BJ588" s="3">
        <f>COUNTIFS(MOT_MOTOR,G588,MOT_MARCA,E588,MOT_DESDE,"&lt;="&amp;M588,MOT_HASTA,"&gt;="&amp;M588)+COUNTIFS(MOT_MOTOR,G588,MOT_MARCA,"(todas)",MOT_DESDE,"&lt;="&amp;M588,MOT_HASTA,"&gt;="&amp;M588)</f>
        <v/>
      </c>
      <c r="BK588" s="3">
        <f>IF(AND(K588="diesel",BJ588=0),MIN(BG588,NEUTRO),BG588)</f>
        <v/>
      </c>
      <c r="BL588" s="4">
        <f>MAX(0,MIN(100,BK588+BH588+BI588))</f>
        <v/>
      </c>
      <c r="BM588" s="3">
        <f>MAX(0,MIN(100,50+BE588*PRECIO_PEND))</f>
        <v/>
      </c>
      <c r="BN588" s="3">
        <f>MAX(0,100*(1-N588/KM_MAX))</f>
        <v/>
      </c>
      <c r="BO588" s="3">
        <f>IF(AV588&lt;KMA_SOSP,IF(AA588="sí",100,KMA_PEN),IF(AV588&lt;=KMA_IDEAL_MAX,100,MAX(0,100*(KMA_CERO-AV588)/(KMA_CERO-KMA_IDEAL_MAX))))</f>
        <v/>
      </c>
      <c r="BP588" s="3">
        <f>MAX(0,MIN(100,100*(M588-ANIO_MIN)/(ANIO_ACTUAL-ANIO_MIN)))</f>
        <v/>
      </c>
      <c r="BQ588" s="3">
        <f>W_KMT*BN588+W_KMA*BO588+W_EDAD*BP588</f>
        <v/>
      </c>
      <c r="BR588" s="3">
        <f>P_ITV*(V588="sí")+P_LIBRO*(W588="sí")+P_CORREA*(X588="sí")+P_PROP*(Y588=1)+P_GAR*(Z588="sí")+P_FOTOS*MIN(1,N(U588)/FOTOS_OBJ)</f>
        <v/>
      </c>
      <c r="BS588" s="3">
        <f>IFERROR(VLOOKUP(BF588,ETQ_TBL,2,0),NEUTRO)</f>
        <v/>
      </c>
      <c r="BT588" s="3">
        <f>NEUTRO</f>
        <v/>
      </c>
      <c r="BU588" s="3">
        <f>IFERROR(VLOOKUP(L588,SEGURO_TBL,3,0),"")</f>
        <v/>
      </c>
      <c r="BV588" s="3">
        <f>IF(BU588="",NEUTRO,MAX(0,MIN(100,100*(SEG_REF_MAX-BU588)/(SEG_REF_MAX-SEG_REF_MIN))))</f>
        <v/>
      </c>
      <c r="BW588" s="3">
        <f>W_ET*BS588+W_CONS*BT588+W_SEG*BV588</f>
        <v/>
      </c>
      <c r="BX588" s="3">
        <f>IF(N(AB588)&gt;0,AB588,IF(AND(R588="profesional",SG_LEGAL_ON=1),GAR_LEGAL,0))</f>
        <v/>
      </c>
      <c r="BY588" s="3">
        <f>SG_GAR*MIN(1,BX588/SG_GAR_FULL)+SG_AMPL*(AC588="sí")+SG_KMC*(AF588="sí")+SG_REV*(N(AE588)&gt;0)+SG_DEV*MIN(1,N(AG588)/SG_DEV_FULL)+SG_HIST*(W588="sí")</f>
        <v/>
      </c>
      <c r="BZ588" s="3">
        <f>IFERROR(VLOOKUP(L588,CARR_PEN_TBL,2,0),0)</f>
        <v/>
      </c>
      <c r="CA588" s="3">
        <f>W_FIAB*BL588+W_PRECIO*BM588+W_KMEDAD*BQ588+W_ANUNCIO*BR588+W_USO*BW588+W_SEGURIDAD*BY588-BZ588</f>
        <v/>
      </c>
      <c r="CB588" s="4">
        <f>IF(N(I588)&gt;0,I588,IFERROR(ROUND(_xlfn.NUMBERVALUE(LEFT(G588,FIND(" ",G588&amp;" ")-1),".")*1000,0),99999))</f>
        <v/>
      </c>
      <c r="CC588" s="3">
        <f>IF(R588="profesional",0,IF(O588&lt;CUOTA_VALOR_MAX,IF(AU588&gt;ITP_TRAMO_ALTO,SUMIFS(CF_CUOTA,CF_MAS,ITP_TRAMO_ALTO,CF_CCMIN,"&lt;="&amp;CB588,CF_CCMAX,"&gt;="&amp;CB588),IF(AU588&gt;ITP_TRAMO_BAJO,SUMIFS(CF_CUOTA,CF_MAS,ITP_TRAMO_BAJO,CF_CCMIN,"&lt;="&amp;CB588,CF_CCMAX,"&gt;="&amp;CB588),O588*ITP_TIPO)),O588*ITP_TIPO))</f>
        <v/>
      </c>
      <c r="CD588" s="4">
        <f>IF(R588="profesional",N(AK588),0)</f>
        <v/>
      </c>
      <c r="CE588" s="3">
        <f>IF(AND(R588="profesional",ISNUMBER(AK588),AL588="sí"),0,TASA_DGT)</f>
        <v/>
      </c>
      <c r="CF588" s="3">
        <f>INFORME_DGT</f>
        <v/>
      </c>
      <c r="CG588" s="4">
        <f>O588+CD588+CC588+CE588+CF588</f>
        <v/>
      </c>
      <c r="CH588" s="4">
        <f>CG588+N(BU588)</f>
        <v/>
      </c>
      <c r="CI588" s="3">
        <f>IF(CG588&lt;=TOTAL_MAX,"sí",IF(CG588&lt;=TOTAL_MAX+MARGEN_NEG,"negociar","no"))</f>
        <v/>
      </c>
      <c r="CJ588" s="4">
        <f>IF(CI588&lt;&gt;"no",COUNTIFS($CI$2:$CI$662,"&lt;&gt;no",$CA$2:$CA$662,"&gt;"&amp;CA588)+COUNTIFS($CI$2:CI588,"&lt;&gt;no",$CA$2:CA588,CA588),"")</f>
        <v/>
      </c>
    </row>
    <row r="589">
      <c r="A589" s="2" t="inlineStr">
        <is>
          <t>cochesnet:71807828</t>
        </is>
      </c>
      <c r="B589" s="2" t="inlineStr">
        <is>
          <t>cochesnet</t>
        </is>
      </c>
      <c r="C589" s="2" t="inlineStr">
        <is>
          <t>https://www.coches.net/volkswagen-polo-14-advance-75cv-3p-gasolina-2006-en-castellon-71807828-covo.aspx</t>
        </is>
      </c>
      <c r="D589" s="2" t="inlineStr">
        <is>
          <t>VOLKSWAGEN Polo 1.4 Advance</t>
        </is>
      </c>
      <c r="E589" s="2" t="inlineStr">
        <is>
          <t>Volkswagen</t>
        </is>
      </c>
      <c r="F589" s="2" t="inlineStr">
        <is>
          <t>Volkswagen Polo</t>
        </is>
      </c>
      <c r="G589" s="2" t="inlineStr">
        <is>
          <t>1.4</t>
        </is>
      </c>
      <c r="H589" s="2" t="inlineStr">
        <is>
          <t>1.4 Advance 75cv</t>
        </is>
      </c>
      <c r="I589" s="2" t="n"/>
      <c r="J589" s="2" t="n">
        <v>75</v>
      </c>
      <c r="K589" s="2" t="inlineStr">
        <is>
          <t>gasolina</t>
        </is>
      </c>
      <c r="L589" s="2" t="inlineStr">
        <is>
          <t>utilitario</t>
        </is>
      </c>
      <c r="M589" s="2" t="n">
        <v>2006</v>
      </c>
      <c r="N589" s="2" t="n">
        <v>170000</v>
      </c>
      <c r="O589" s="2" t="n">
        <v>3800</v>
      </c>
      <c r="P589" s="2" t="inlineStr">
        <is>
          <t>manual</t>
        </is>
      </c>
      <c r="Q589" s="2" t="inlineStr">
        <is>
          <t>no</t>
        </is>
      </c>
      <c r="R589" s="2" t="inlineStr">
        <is>
          <t>profesional</t>
        </is>
      </c>
      <c r="S589" s="2" t="inlineStr">
        <is>
          <t>Automoviles Llorens  Almazora</t>
        </is>
      </c>
      <c r="T589" s="2" t="inlineStr">
        <is>
          <t>2026-10-22T12:52:45Z</t>
        </is>
      </c>
      <c r="U589" s="2" t="n">
        <v>14</v>
      </c>
      <c r="V589" s="2" t="inlineStr">
        <is>
          <t>sí</t>
        </is>
      </c>
      <c r="W589" s="2" t="inlineStr">
        <is>
          <t>sí</t>
        </is>
      </c>
      <c r="X589" s="2" t="n"/>
      <c r="Y589" s="2" t="n"/>
      <c r="Z589" s="2" t="inlineStr">
        <is>
          <t>sí</t>
        </is>
      </c>
      <c r="AA589" s="2" t="n"/>
      <c r="AB589" s="2" t="n">
        <v>12</v>
      </c>
      <c r="AC589" s="2" t="n"/>
      <c r="AD589" s="2" t="n"/>
      <c r="AE589" s="2" t="n"/>
      <c r="AF589" s="2" t="n"/>
      <c r="AG589" s="2" t="n"/>
      <c r="AH589" s="2" t="n">
        <v>3800</v>
      </c>
      <c r="AI589" s="2" t="n"/>
      <c r="AJ589" s="2" t="n"/>
      <c r="AK589" s="2" t="n"/>
      <c r="AL589" s="2" t="n"/>
      <c r="AM589" s="2" t="n"/>
      <c r="AN589" s="2" t="n">
        <v>3400</v>
      </c>
      <c r="AO589" s="2" t="n">
        <v>23</v>
      </c>
      <c r="AP589" s="2" t="inlineStr">
        <is>
          <t>modelo+año</t>
        </is>
      </c>
      <c r="AQ589" s="2" t="n"/>
      <c r="AR589"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589" s="2" t="inlineStr">
        <is>
          <t>VOLKSWAGEN POLO 1.4I.AÑO 2006.
Cierre.elevalunas.A/A.retrovisores electricos.2 juegos de llaves.Itv recien pasada.
Impecable estado.mantenimiento al dia.
Garantia un año.contacte con nosotros para confirmar disponibilidad.
Transferencia/gestoria/no incluido en el precio.
QUIERES VENDER TU COCHE.PONTE EN CONTACTO CON NOSOTROS Y E LO TASAREMOS SIN COMPROMISO.</t>
        </is>
      </c>
      <c r="AT589" s="2" t="inlineStr">
        <is>
          <t>https://www.coches.net/volkswagen-polo-14-advance-75cv-3p-gasolina-2006-en-castellon-71807828-covo.aspx (window.__INITIAL_PROPS__.ad) /home/user/Alopecia/buscador-coches/raw/cochesnet/414f369d62f886fe.json</t>
        </is>
      </c>
      <c r="AU589" s="3">
        <f>MAX(ANIO_ACTUAL-M589,0)</f>
        <v/>
      </c>
      <c r="AV589" s="4">
        <f>N589/MAX(AU589,0.5)</f>
        <v/>
      </c>
      <c r="AW589" s="4">
        <f>F589</f>
        <v/>
      </c>
      <c r="AX589" s="3">
        <f>AW589&amp;"|"&amp;INT(M589/SEG_ANIO)*SEG_ANIO</f>
        <v/>
      </c>
      <c r="AY589" s="3">
        <f>AX589&amp;"|"&amp;INT(N589/SEG_KM)*SEG_KM</f>
        <v/>
      </c>
      <c r="AZ589" s="4">
        <f>COUNTIF($AW$2:$AW$662,AW589)</f>
        <v/>
      </c>
      <c r="BA589" s="4">
        <f>COUNTIF($AX$2:$AX$662,AX589)</f>
        <v/>
      </c>
      <c r="BB589" s="4">
        <f>COUNTIF($AY$2:$AY$662,AY589)</f>
        <v/>
      </c>
      <c r="BC589" s="3">
        <f t="array" ref="BC589">IF(N(AO589)&gt;=MIN_N,AN589,IF(BB589&gt;=MIN_N,MEDIAN(IF($AY$2:$AY$662=AY589,$O$2:$O$662)),IF(BA589&gt;=MIN_N,MEDIAN(IF($AX$2:$AX$662=AX589,$O$2:$O$662)),MEDIAN(IF($AW$2:$AW$662=AW589,$O$2:$O$662)))))</f>
        <v/>
      </c>
      <c r="BD589" s="3">
        <f>IF(N(AO589)&gt;=MIN_N,"mercado "&amp;AP589,IF(BB589&gt;=MIN_N,"modelo+año+km",IF(BA589&gt;=MIN_N,"modelo+año","modelo")))</f>
        <v/>
      </c>
      <c r="BE589" s="4">
        <f>(BC589-O589)/BC589</f>
        <v/>
      </c>
      <c r="BF589" s="3">
        <f>IF(OR(K589="hibrido",K589="glp"),"ECO",IF(K589="electrico","CERO",IF(K589="gasolina",IF(M589&gt;=GAS_C,"C",IF(M589&gt;=GAS_B,"B","A")),IF(K589="diesel",IF(M589&gt;=DIE_C,"C",IF(M589&gt;=DIE_B,"B","A")),""))))</f>
        <v/>
      </c>
      <c r="BG589" s="3">
        <f>IFERROR(VLOOKUP(F589,MOD_TBL,11,0),IFERROR(VLOOKUP(E589,OCU_TBL,2,0),NEUTRO))</f>
        <v/>
      </c>
      <c r="BH589" s="3">
        <f>SUMIFS(MOT_AJUSTE,MOT_MOTOR,G589,MOT_MARCA,E589,MOT_DESDE,"&lt;="&amp;M589,MOT_HASTA,"&gt;="&amp;M589)+SUMIFS(MOT_AJUSTE,MOT_MOTOR,G589,MOT_MARCA,"(todas)",MOT_DESDE,"&lt;="&amp;M589,MOT_HASTA,"&gt;="&amp;M589)</f>
        <v/>
      </c>
      <c r="BI589" s="3">
        <f>SUMIFS(COMB_AJUSTE,COMB_COMB,K589)</f>
        <v/>
      </c>
      <c r="BJ589" s="3">
        <f>COUNTIFS(MOT_MOTOR,G589,MOT_MARCA,E589,MOT_DESDE,"&lt;="&amp;M589,MOT_HASTA,"&gt;="&amp;M589)+COUNTIFS(MOT_MOTOR,G589,MOT_MARCA,"(todas)",MOT_DESDE,"&lt;="&amp;M589,MOT_HASTA,"&gt;="&amp;M589)</f>
        <v/>
      </c>
      <c r="BK589" s="3">
        <f>IF(AND(K589="diesel",BJ589=0),MIN(BG589,NEUTRO),BG589)</f>
        <v/>
      </c>
      <c r="BL589" s="4">
        <f>MAX(0,MIN(100,BK589+BH589+BI589))</f>
        <v/>
      </c>
      <c r="BM589" s="3">
        <f>MAX(0,MIN(100,50+BE589*PRECIO_PEND))</f>
        <v/>
      </c>
      <c r="BN589" s="3">
        <f>MAX(0,100*(1-N589/KM_MAX))</f>
        <v/>
      </c>
      <c r="BO589" s="3">
        <f>IF(AV589&lt;KMA_SOSP,IF(AA589="sí",100,KMA_PEN),IF(AV589&lt;=KMA_IDEAL_MAX,100,MAX(0,100*(KMA_CERO-AV589)/(KMA_CERO-KMA_IDEAL_MAX))))</f>
        <v/>
      </c>
      <c r="BP589" s="3">
        <f>MAX(0,MIN(100,100*(M589-ANIO_MIN)/(ANIO_ACTUAL-ANIO_MIN)))</f>
        <v/>
      </c>
      <c r="BQ589" s="3">
        <f>W_KMT*BN589+W_KMA*BO589+W_EDAD*BP589</f>
        <v/>
      </c>
      <c r="BR589" s="3">
        <f>P_ITV*(V589="sí")+P_LIBRO*(W589="sí")+P_CORREA*(X589="sí")+P_PROP*(Y589=1)+P_GAR*(Z589="sí")+P_FOTOS*MIN(1,N(U589)/FOTOS_OBJ)</f>
        <v/>
      </c>
      <c r="BS589" s="3">
        <f>IFERROR(VLOOKUP(BF589,ETQ_TBL,2,0),NEUTRO)</f>
        <v/>
      </c>
      <c r="BT589" s="3">
        <f>NEUTRO</f>
        <v/>
      </c>
      <c r="BU589" s="3">
        <f>IFERROR(VLOOKUP(L589,SEGURO_TBL,3,0),"")</f>
        <v/>
      </c>
      <c r="BV589" s="3">
        <f>IF(BU589="",NEUTRO,MAX(0,MIN(100,100*(SEG_REF_MAX-BU589)/(SEG_REF_MAX-SEG_REF_MIN))))</f>
        <v/>
      </c>
      <c r="BW589" s="3">
        <f>W_ET*BS589+W_CONS*BT589+W_SEG*BV589</f>
        <v/>
      </c>
      <c r="BX589" s="3">
        <f>IF(N(AB589)&gt;0,AB589,IF(AND(R589="profesional",SG_LEGAL_ON=1),GAR_LEGAL,0))</f>
        <v/>
      </c>
      <c r="BY589" s="3">
        <f>SG_GAR*MIN(1,BX589/SG_GAR_FULL)+SG_AMPL*(AC589="sí")+SG_KMC*(AF589="sí")+SG_REV*(N(AE589)&gt;0)+SG_DEV*MIN(1,N(AG589)/SG_DEV_FULL)+SG_HIST*(W589="sí")</f>
        <v/>
      </c>
      <c r="BZ589" s="3">
        <f>IFERROR(VLOOKUP(L589,CARR_PEN_TBL,2,0),0)</f>
        <v/>
      </c>
      <c r="CA589" s="3">
        <f>W_FIAB*BL589+W_PRECIO*BM589+W_KMEDAD*BQ589+W_ANUNCIO*BR589+W_USO*BW589+W_SEGURIDAD*BY589-BZ589</f>
        <v/>
      </c>
      <c r="CB589" s="4">
        <f>IF(N(I589)&gt;0,I589,IFERROR(ROUND(_xlfn.NUMBERVALUE(LEFT(G589,FIND(" ",G589&amp;" ")-1),".")*1000,0),99999))</f>
        <v/>
      </c>
      <c r="CC589" s="3">
        <f>IF(R589="profesional",0,IF(O589&lt;CUOTA_VALOR_MAX,IF(AU589&gt;ITP_TRAMO_ALTO,SUMIFS(CF_CUOTA,CF_MAS,ITP_TRAMO_ALTO,CF_CCMIN,"&lt;="&amp;CB589,CF_CCMAX,"&gt;="&amp;CB589),IF(AU589&gt;ITP_TRAMO_BAJO,SUMIFS(CF_CUOTA,CF_MAS,ITP_TRAMO_BAJO,CF_CCMIN,"&lt;="&amp;CB589,CF_CCMAX,"&gt;="&amp;CB589),O589*ITP_TIPO)),O589*ITP_TIPO))</f>
        <v/>
      </c>
      <c r="CD589" s="4">
        <f>IF(R589="profesional",N(AK589),0)</f>
        <v/>
      </c>
      <c r="CE589" s="3">
        <f>IF(AND(R589="profesional",ISNUMBER(AK589),AL589="sí"),0,TASA_DGT)</f>
        <v/>
      </c>
      <c r="CF589" s="3">
        <f>INFORME_DGT</f>
        <v/>
      </c>
      <c r="CG589" s="4">
        <f>O589+CD589+CC589+CE589+CF589</f>
        <v/>
      </c>
      <c r="CH589" s="4">
        <f>CG589+N(BU589)</f>
        <v/>
      </c>
      <c r="CI589" s="3">
        <f>IF(CG589&lt;=TOTAL_MAX,"sí",IF(CG589&lt;=TOTAL_MAX+MARGEN_NEG,"negociar","no"))</f>
        <v/>
      </c>
      <c r="CJ589" s="4">
        <f>IF(CI589&lt;&gt;"no",COUNTIFS($CI$2:$CI$662,"&lt;&gt;no",$CA$2:$CA$662,"&gt;"&amp;CA589)+COUNTIFS($CI$2:CI589,"&lt;&gt;no",$CA$2:CA589,CA589),"")</f>
        <v/>
      </c>
    </row>
    <row r="590">
      <c r="A590" s="2" t="inlineStr">
        <is>
          <t>cochesnet:71792798</t>
        </is>
      </c>
      <c r="B590" s="2" t="inlineStr">
        <is>
          <t>cochesnet</t>
        </is>
      </c>
      <c r="C590" s="2" t="inlineStr">
        <is>
          <t>https://www.coches.net/volkswagen-polo-19-tdi-highline-100cv-5p-diesel-2007-en-castellon-71792798-covo.aspx</t>
        </is>
      </c>
      <c r="D590" s="2" t="inlineStr">
        <is>
          <t>VOLKSWAGEN Polo 1.9 TDI Highline</t>
        </is>
      </c>
      <c r="E590" s="2" t="inlineStr">
        <is>
          <t>Volkswagen</t>
        </is>
      </c>
      <c r="F590" s="2" t="inlineStr">
        <is>
          <t>Volkswagen Polo</t>
        </is>
      </c>
      <c r="G590" s="2" t="inlineStr">
        <is>
          <t>1.9 TDI</t>
        </is>
      </c>
      <c r="H590" s="2" t="inlineStr">
        <is>
          <t>1.9 TDI Highline 100CV</t>
        </is>
      </c>
      <c r="I590" s="2" t="n"/>
      <c r="J590" s="2" t="n">
        <v>100</v>
      </c>
      <c r="K590" s="2" t="inlineStr">
        <is>
          <t>diesel</t>
        </is>
      </c>
      <c r="L590" s="2" t="inlineStr">
        <is>
          <t>utilitario</t>
        </is>
      </c>
      <c r="M590" s="2" t="n">
        <v>2007</v>
      </c>
      <c r="N590" s="2" t="n">
        <v>172020</v>
      </c>
      <c r="O590" s="2" t="n">
        <v>4500</v>
      </c>
      <c r="P590" s="2" t="inlineStr">
        <is>
          <t>manual</t>
        </is>
      </c>
      <c r="Q590" s="2" t="inlineStr">
        <is>
          <t>no</t>
        </is>
      </c>
      <c r="R590" s="2" t="inlineStr">
        <is>
          <t>particular</t>
        </is>
      </c>
      <c r="S590" s="2" t="inlineStr">
        <is>
          <t>Castellón de la Plana / Castelló de la Plana</t>
        </is>
      </c>
      <c r="T590" s="2" t="inlineStr">
        <is>
          <t>2026-10-20T17:49:19Z</t>
        </is>
      </c>
      <c r="U590" s="2" t="n">
        <v>8</v>
      </c>
      <c r="V590" s="2" t="n"/>
      <c r="W590" s="2" t="n"/>
      <c r="X590" s="2" t="n"/>
      <c r="Y590" s="2" t="n"/>
      <c r="Z590" s="2" t="inlineStr">
        <is>
          <t>no</t>
        </is>
      </c>
      <c r="AA590" s="2" t="n"/>
      <c r="AB590" s="2" t="n"/>
      <c r="AC590" s="2" t="n"/>
      <c r="AD590" s="2" t="n"/>
      <c r="AE590" s="2" t="n"/>
      <c r="AF590" s="2" t="n"/>
      <c r="AG590" s="2" t="n"/>
      <c r="AH590" s="2" t="n">
        <v>4500</v>
      </c>
      <c r="AI590" s="2" t="n"/>
      <c r="AJ590" s="2" t="n"/>
      <c r="AK590" s="2" t="n"/>
      <c r="AL590" s="2" t="n"/>
      <c r="AM590" s="2" t="n"/>
      <c r="AN590" s="2" t="n">
        <v>4850</v>
      </c>
      <c r="AO590" s="2" t="n">
        <v>6</v>
      </c>
      <c r="AP590" s="2" t="inlineStr">
        <is>
          <t>modelo+año+km</t>
        </is>
      </c>
      <c r="AQ590" s="2" t="n"/>
      <c r="AR590" s="2" t="inlineStr">
        <is>
          <t>cuota fija ITP: &gt;12 años, 1.501-2.000 cc; diésel: motor sin fuente de fiabilidad (fiabilidad limitada a neutra); distancia no verificable (el anuncio solo indica la provincia): confirmar que está a &lt;= 70 km</t>
        </is>
      </c>
      <c r="AS590" s="2" t="inlineStr">
        <is>
          <t>Vendo mi Volkswagen Polo 1.9 TDI Highline, un berlina compacto que ha sido mi compañero fiable durante estos años. Se trata de un vehículo diesel con motor de 1896 cc y 100 CV, perfecto para quienes buscan eficiencia en consumo sin renunciar a una buena potencia.
Este Polo presenta un estado de uso habitual tanto en interior como en exterior, lo que refleja su día a día en circulación normal. Es un coche versátil, ideal tanto para desplazamientos urbanos como para trayectos por carretera, gracias a su tamaño manejable y su motorización diesel que ofrece un excelente rendimiento combinado con un consumo contenido.
La versión Highline incluye un buen equipamiento que lo hace cómodo y funcional para el día a día. Con cambio manual y capacidad para cinco ocupantes, es una opción práctica para familias o usuarios que necesitan un vehículo confiable y económico en mantenimiento.
Estoy disponible para resolver cualquier duda específica que tengas sobre el vehículo. Puedes contactarme sin problema tanto por chat como por teléfono para obtener más detalles o concertar una cita para verlo en persona.
Si buscas un diesel eficiente, bien equipado y con un precio accesible, no lo dejes escapar. Contacta conmigo hoy mismo para más información.</t>
        </is>
      </c>
      <c r="AT590" s="2" t="inlineStr">
        <is>
          <t>https://www.coches.net/volkswagen-polo-19-tdi-highline-100cv-5p-diesel-2007-en-castellon-71792798-covo.aspx (window.__INITIAL_PROPS__.ad) /home/user/Alopecia/buscador-coches/raw/cochesnet/a11e0196dcba5007.json</t>
        </is>
      </c>
      <c r="AU590" s="3">
        <f>MAX(ANIO_ACTUAL-M590,0)</f>
        <v/>
      </c>
      <c r="AV590" s="4">
        <f>N590/MAX(AU590,0.5)</f>
        <v/>
      </c>
      <c r="AW590" s="4">
        <f>F590</f>
        <v/>
      </c>
      <c r="AX590" s="3">
        <f>AW590&amp;"|"&amp;INT(M590/SEG_ANIO)*SEG_ANIO</f>
        <v/>
      </c>
      <c r="AY590" s="3">
        <f>AX590&amp;"|"&amp;INT(N590/SEG_KM)*SEG_KM</f>
        <v/>
      </c>
      <c r="AZ590" s="4">
        <f>COUNTIF($AW$2:$AW$662,AW590)</f>
        <v/>
      </c>
      <c r="BA590" s="4">
        <f>COUNTIF($AX$2:$AX$662,AX590)</f>
        <v/>
      </c>
      <c r="BB590" s="4">
        <f>COUNTIF($AY$2:$AY$662,AY590)</f>
        <v/>
      </c>
      <c r="BC590" s="3">
        <f t="array" ref="BC590">IF(N(AO590)&gt;=MIN_N,AN590,IF(BB590&gt;=MIN_N,MEDIAN(IF($AY$2:$AY$662=AY590,$O$2:$O$662)),IF(BA590&gt;=MIN_N,MEDIAN(IF($AX$2:$AX$662=AX590,$O$2:$O$662)),MEDIAN(IF($AW$2:$AW$662=AW590,$O$2:$O$662)))))</f>
        <v/>
      </c>
      <c r="BD590" s="3">
        <f>IF(N(AO590)&gt;=MIN_N,"mercado "&amp;AP590,IF(BB590&gt;=MIN_N,"modelo+año+km",IF(BA590&gt;=MIN_N,"modelo+año","modelo")))</f>
        <v/>
      </c>
      <c r="BE590" s="4">
        <f>(BC590-O590)/BC590</f>
        <v/>
      </c>
      <c r="BF590" s="3">
        <f>IF(OR(K590="hibrido",K590="glp"),"ECO",IF(K590="electrico","CERO",IF(K590="gasolina",IF(M590&gt;=GAS_C,"C",IF(M590&gt;=GAS_B,"B","A")),IF(K590="diesel",IF(M590&gt;=DIE_C,"C",IF(M590&gt;=DIE_B,"B","A")),""))))</f>
        <v/>
      </c>
      <c r="BG590" s="3">
        <f>IFERROR(VLOOKUP(F590,MOD_TBL,11,0),IFERROR(VLOOKUP(E590,OCU_TBL,2,0),NEUTRO))</f>
        <v/>
      </c>
      <c r="BH590" s="3">
        <f>SUMIFS(MOT_AJUSTE,MOT_MOTOR,G590,MOT_MARCA,E590,MOT_DESDE,"&lt;="&amp;M590,MOT_HASTA,"&gt;="&amp;M590)+SUMIFS(MOT_AJUSTE,MOT_MOTOR,G590,MOT_MARCA,"(todas)",MOT_DESDE,"&lt;="&amp;M590,MOT_HASTA,"&gt;="&amp;M590)</f>
        <v/>
      </c>
      <c r="BI590" s="3">
        <f>SUMIFS(COMB_AJUSTE,COMB_COMB,K590)</f>
        <v/>
      </c>
      <c r="BJ590" s="3">
        <f>COUNTIFS(MOT_MOTOR,G590,MOT_MARCA,E590,MOT_DESDE,"&lt;="&amp;M590,MOT_HASTA,"&gt;="&amp;M590)+COUNTIFS(MOT_MOTOR,G590,MOT_MARCA,"(todas)",MOT_DESDE,"&lt;="&amp;M590,MOT_HASTA,"&gt;="&amp;M590)</f>
        <v/>
      </c>
      <c r="BK590" s="3">
        <f>IF(AND(K590="diesel",BJ590=0),MIN(BG590,NEUTRO),BG590)</f>
        <v/>
      </c>
      <c r="BL590" s="4">
        <f>MAX(0,MIN(100,BK590+BH590+BI590))</f>
        <v/>
      </c>
      <c r="BM590" s="3">
        <f>MAX(0,MIN(100,50+BE590*PRECIO_PEND))</f>
        <v/>
      </c>
      <c r="BN590" s="3">
        <f>MAX(0,100*(1-N590/KM_MAX))</f>
        <v/>
      </c>
      <c r="BO590" s="3">
        <f>IF(AV590&lt;KMA_SOSP,IF(AA590="sí",100,KMA_PEN),IF(AV590&lt;=KMA_IDEAL_MAX,100,MAX(0,100*(KMA_CERO-AV590)/(KMA_CERO-KMA_IDEAL_MAX))))</f>
        <v/>
      </c>
      <c r="BP590" s="3">
        <f>MAX(0,MIN(100,100*(M590-ANIO_MIN)/(ANIO_ACTUAL-ANIO_MIN)))</f>
        <v/>
      </c>
      <c r="BQ590" s="3">
        <f>W_KMT*BN590+W_KMA*BO590+W_EDAD*BP590</f>
        <v/>
      </c>
      <c r="BR590" s="3">
        <f>P_ITV*(V590="sí")+P_LIBRO*(W590="sí")+P_CORREA*(X590="sí")+P_PROP*(Y590=1)+P_GAR*(Z590="sí")+P_FOTOS*MIN(1,N(U590)/FOTOS_OBJ)</f>
        <v/>
      </c>
      <c r="BS590" s="3">
        <f>IFERROR(VLOOKUP(BF590,ETQ_TBL,2,0),NEUTRO)</f>
        <v/>
      </c>
      <c r="BT590" s="3">
        <f>NEUTRO</f>
        <v/>
      </c>
      <c r="BU590" s="3">
        <f>IFERROR(VLOOKUP(L590,SEGURO_TBL,3,0),"")</f>
        <v/>
      </c>
      <c r="BV590" s="3">
        <f>IF(BU590="",NEUTRO,MAX(0,MIN(100,100*(SEG_REF_MAX-BU590)/(SEG_REF_MAX-SEG_REF_MIN))))</f>
        <v/>
      </c>
      <c r="BW590" s="3">
        <f>W_ET*BS590+W_CONS*BT590+W_SEG*BV590</f>
        <v/>
      </c>
      <c r="BX590" s="3">
        <f>IF(N(AB590)&gt;0,AB590,IF(AND(R590="profesional",SG_LEGAL_ON=1),GAR_LEGAL,0))</f>
        <v/>
      </c>
      <c r="BY590" s="3">
        <f>SG_GAR*MIN(1,BX590/SG_GAR_FULL)+SG_AMPL*(AC590="sí")+SG_KMC*(AF590="sí")+SG_REV*(N(AE590)&gt;0)+SG_DEV*MIN(1,N(AG590)/SG_DEV_FULL)+SG_HIST*(W590="sí")</f>
        <v/>
      </c>
      <c r="BZ590" s="3">
        <f>IFERROR(VLOOKUP(L590,CARR_PEN_TBL,2,0),0)</f>
        <v/>
      </c>
      <c r="CA590" s="3">
        <f>W_FIAB*BL590+W_PRECIO*BM590+W_KMEDAD*BQ590+W_ANUNCIO*BR590+W_USO*BW590+W_SEGURIDAD*BY590-BZ590</f>
        <v/>
      </c>
      <c r="CB590" s="4">
        <f>IF(N(I590)&gt;0,I590,IFERROR(ROUND(_xlfn.NUMBERVALUE(LEFT(G590,FIND(" ",G590&amp;" ")-1),".")*1000,0),99999))</f>
        <v/>
      </c>
      <c r="CC590" s="3">
        <f>IF(R590="profesional",0,IF(O590&lt;CUOTA_VALOR_MAX,IF(AU590&gt;ITP_TRAMO_ALTO,SUMIFS(CF_CUOTA,CF_MAS,ITP_TRAMO_ALTO,CF_CCMIN,"&lt;="&amp;CB590,CF_CCMAX,"&gt;="&amp;CB590),IF(AU590&gt;ITP_TRAMO_BAJO,SUMIFS(CF_CUOTA,CF_MAS,ITP_TRAMO_BAJO,CF_CCMIN,"&lt;="&amp;CB590,CF_CCMAX,"&gt;="&amp;CB590),O590*ITP_TIPO)),O590*ITP_TIPO))</f>
        <v/>
      </c>
      <c r="CD590" s="4">
        <f>IF(R590="profesional",N(AK590),0)</f>
        <v/>
      </c>
      <c r="CE590" s="3">
        <f>IF(AND(R590="profesional",ISNUMBER(AK590),AL590="sí"),0,TASA_DGT)</f>
        <v/>
      </c>
      <c r="CF590" s="3">
        <f>INFORME_DGT</f>
        <v/>
      </c>
      <c r="CG590" s="4">
        <f>O590+CD590+CC590+CE590+CF590</f>
        <v/>
      </c>
      <c r="CH590" s="4">
        <f>CG590+N(BU590)</f>
        <v/>
      </c>
      <c r="CI590" s="3">
        <f>IF(CG590&lt;=TOTAL_MAX,"sí",IF(CG590&lt;=TOTAL_MAX+MARGEN_NEG,"negociar","no"))</f>
        <v/>
      </c>
      <c r="CJ590" s="4">
        <f>IF(CI590&lt;&gt;"no",COUNTIFS($CI$2:$CI$662,"&lt;&gt;no",$CA$2:$CA$662,"&gt;"&amp;CA590)+COUNTIFS($CI$2:CI590,"&lt;&gt;no",$CA$2:CA590,CA590),"")</f>
        <v/>
      </c>
    </row>
    <row r="591">
      <c r="A591" s="2" t="inlineStr">
        <is>
          <t>cochesnet:71850085</t>
        </is>
      </c>
      <c r="B591" s="2" t="inlineStr">
        <is>
          <t>cochesnet</t>
        </is>
      </c>
      <c r="C591" s="2" t="inlineStr">
        <is>
          <t>https://www.coches.net/volkswagen-up-10-60cv-black-up-5p-gasolina-2012-en-castellon-71850085-covo.aspx</t>
        </is>
      </c>
      <c r="D591" s="2" t="inlineStr">
        <is>
          <t>VOLKSWAGEN up 1.0 Black up</t>
        </is>
      </c>
      <c r="E591" s="2" t="inlineStr">
        <is>
          <t>Volkswagen</t>
        </is>
      </c>
      <c r="F591" s="2" t="inlineStr">
        <is>
          <t>Volkswagen up!</t>
        </is>
      </c>
      <c r="G591" s="2" t="inlineStr">
        <is>
          <t>1.0</t>
        </is>
      </c>
      <c r="H591" s="2" t="inlineStr">
        <is>
          <t>1.0 60cv Black up</t>
        </is>
      </c>
      <c r="I591" s="2" t="n"/>
      <c r="J591" s="2" t="n">
        <v>60</v>
      </c>
      <c r="K591" s="2" t="inlineStr">
        <is>
          <t>gasolina</t>
        </is>
      </c>
      <c r="L591" s="2" t="inlineStr">
        <is>
          <t>utilitario</t>
        </is>
      </c>
      <c r="M591" s="2" t="n">
        <v>2012</v>
      </c>
      <c r="N591" s="2" t="n">
        <v>160000</v>
      </c>
      <c r="O591" s="2" t="n">
        <v>4500</v>
      </c>
      <c r="P591" s="2" t="inlineStr">
        <is>
          <t>manual</t>
        </is>
      </c>
      <c r="Q591" s="2" t="inlineStr">
        <is>
          <t>no</t>
        </is>
      </c>
      <c r="R591" s="2" t="inlineStr">
        <is>
          <t>particular</t>
        </is>
      </c>
      <c r="S591" s="2" t="n"/>
      <c r="T591" s="2" t="inlineStr">
        <is>
          <t>2026-10-28T06:23:20Z</t>
        </is>
      </c>
      <c r="U591" s="2" t="n">
        <v>6</v>
      </c>
      <c r="V591" s="2" t="n"/>
      <c r="W591" s="2" t="n"/>
      <c r="X591" s="2" t="n"/>
      <c r="Y591" s="2" t="n"/>
      <c r="Z591" s="2" t="inlineStr">
        <is>
          <t>no</t>
        </is>
      </c>
      <c r="AA591" s="2" t="n"/>
      <c r="AB591" s="2" t="n"/>
      <c r="AC591" s="2" t="n"/>
      <c r="AD591" s="2" t="n"/>
      <c r="AE591" s="2" t="n"/>
      <c r="AF591" s="2" t="n"/>
      <c r="AG591" s="2" t="n"/>
      <c r="AH591" s="2" t="n">
        <v>4500</v>
      </c>
      <c r="AI591" s="2" t="n"/>
      <c r="AJ591" s="2" t="n"/>
      <c r="AK591" s="2" t="n"/>
      <c r="AL591" s="2" t="n"/>
      <c r="AM591" s="2" t="n"/>
      <c r="AN591" s="2" t="n"/>
      <c r="AO591" s="2" t="n"/>
      <c r="AP591" s="2" t="n"/>
      <c r="AQ591" s="2" t="n"/>
      <c r="AR591" s="2" t="inlineStr">
        <is>
          <t>cuota fija ITP: &gt;12 años, hasta 1.500 cc; distancia no verificable (el anuncio solo indica la provincia): confirmar que está a &lt;= 70 km; fiabilidad del modelo PENDIENTE de fuente (puntuación neutra); mediana con solo 1 anuncio(s)</t>
        </is>
      </c>
      <c r="AS591" s="2" t="inlineStr">
        <is>
          <t xml:space="preserve">Volkswagen Up!
Año 2012
Motor 1.0 Gasolina 
Aire Acondicionado 
Consume muy poco ideal para la ciudad muy cómodo y fácil de aparcar.
</t>
        </is>
      </c>
      <c r="AT591" s="2" t="inlineStr">
        <is>
          <t>https://www.coches.net/volkswagen-up-10-60cv-black-up-5p-gasolina-2012-en-castellon-71850085-covo.aspx (window.__INITIAL_PROPS__.ad) /home/user/Alopecia/buscador-coches/raw/cochesnet/8c1ddb2ec0553bd8.json</t>
        </is>
      </c>
      <c r="AU591" s="3">
        <f>MAX(ANIO_ACTUAL-M591,0)</f>
        <v/>
      </c>
      <c r="AV591" s="4">
        <f>N591/MAX(AU591,0.5)</f>
        <v/>
      </c>
      <c r="AW591" s="4">
        <f>F591</f>
        <v/>
      </c>
      <c r="AX591" s="3">
        <f>AW591&amp;"|"&amp;INT(M591/SEG_ANIO)*SEG_ANIO</f>
        <v/>
      </c>
      <c r="AY591" s="3">
        <f>AX591&amp;"|"&amp;INT(N591/SEG_KM)*SEG_KM</f>
        <v/>
      </c>
      <c r="AZ591" s="4">
        <f>COUNTIF($AW$2:$AW$662,AW591)</f>
        <v/>
      </c>
      <c r="BA591" s="4">
        <f>COUNTIF($AX$2:$AX$662,AX591)</f>
        <v/>
      </c>
      <c r="BB591" s="4">
        <f>COUNTIF($AY$2:$AY$662,AY591)</f>
        <v/>
      </c>
      <c r="BC591" s="3">
        <f t="array" ref="BC591">IF(N(AO591)&gt;=MIN_N,AN591,IF(BB591&gt;=MIN_N,MEDIAN(IF($AY$2:$AY$662=AY591,$O$2:$O$662)),IF(BA591&gt;=MIN_N,MEDIAN(IF($AX$2:$AX$662=AX591,$O$2:$O$662)),MEDIAN(IF($AW$2:$AW$662=AW591,$O$2:$O$662)))))</f>
        <v/>
      </c>
      <c r="BD591" s="3">
        <f>IF(N(AO591)&gt;=MIN_N,"mercado "&amp;AP591,IF(BB591&gt;=MIN_N,"modelo+año+km",IF(BA591&gt;=MIN_N,"modelo+año","modelo")))</f>
        <v/>
      </c>
      <c r="BE591" s="4">
        <f>(BC591-O591)/BC591</f>
        <v/>
      </c>
      <c r="BF591" s="3">
        <f>IF(OR(K591="hibrido",K591="glp"),"ECO",IF(K591="electrico","CERO",IF(K591="gasolina",IF(M591&gt;=GAS_C,"C",IF(M591&gt;=GAS_B,"B","A")),IF(K591="diesel",IF(M591&gt;=DIE_C,"C",IF(M591&gt;=DIE_B,"B","A")),""))))</f>
        <v/>
      </c>
      <c r="BG591" s="3">
        <f>IFERROR(VLOOKUP(F591,MOD_TBL,11,0),IFERROR(VLOOKUP(E591,OCU_TBL,2,0),NEUTRO))</f>
        <v/>
      </c>
      <c r="BH591" s="3">
        <f>SUMIFS(MOT_AJUSTE,MOT_MOTOR,G591,MOT_MARCA,E591,MOT_DESDE,"&lt;="&amp;M591,MOT_HASTA,"&gt;="&amp;M591)+SUMIFS(MOT_AJUSTE,MOT_MOTOR,G591,MOT_MARCA,"(todas)",MOT_DESDE,"&lt;="&amp;M591,MOT_HASTA,"&gt;="&amp;M591)</f>
        <v/>
      </c>
      <c r="BI591" s="3">
        <f>SUMIFS(COMB_AJUSTE,COMB_COMB,K591)</f>
        <v/>
      </c>
      <c r="BJ591" s="3">
        <f>COUNTIFS(MOT_MOTOR,G591,MOT_MARCA,E591,MOT_DESDE,"&lt;="&amp;M591,MOT_HASTA,"&gt;="&amp;M591)+COUNTIFS(MOT_MOTOR,G591,MOT_MARCA,"(todas)",MOT_DESDE,"&lt;="&amp;M591,MOT_HASTA,"&gt;="&amp;M591)</f>
        <v/>
      </c>
      <c r="BK591" s="3">
        <f>IF(AND(K591="diesel",BJ591=0),MIN(BG591,NEUTRO),BG591)</f>
        <v/>
      </c>
      <c r="BL591" s="4">
        <f>MAX(0,MIN(100,BK591+BH591+BI591))</f>
        <v/>
      </c>
      <c r="BM591" s="3">
        <f>MAX(0,MIN(100,50+BE591*PRECIO_PEND))</f>
        <v/>
      </c>
      <c r="BN591" s="3">
        <f>MAX(0,100*(1-N591/KM_MAX))</f>
        <v/>
      </c>
      <c r="BO591" s="3">
        <f>IF(AV591&lt;KMA_SOSP,IF(AA591="sí",100,KMA_PEN),IF(AV591&lt;=KMA_IDEAL_MAX,100,MAX(0,100*(KMA_CERO-AV591)/(KMA_CERO-KMA_IDEAL_MAX))))</f>
        <v/>
      </c>
      <c r="BP591" s="3">
        <f>MAX(0,MIN(100,100*(M591-ANIO_MIN)/(ANIO_ACTUAL-ANIO_MIN)))</f>
        <v/>
      </c>
      <c r="BQ591" s="3">
        <f>W_KMT*BN591+W_KMA*BO591+W_EDAD*BP591</f>
        <v/>
      </c>
      <c r="BR591" s="3">
        <f>P_ITV*(V591="sí")+P_LIBRO*(W591="sí")+P_CORREA*(X591="sí")+P_PROP*(Y591=1)+P_GAR*(Z591="sí")+P_FOTOS*MIN(1,N(U591)/FOTOS_OBJ)</f>
        <v/>
      </c>
      <c r="BS591" s="3">
        <f>IFERROR(VLOOKUP(BF591,ETQ_TBL,2,0),NEUTRO)</f>
        <v/>
      </c>
      <c r="BT591" s="3">
        <f>NEUTRO</f>
        <v/>
      </c>
      <c r="BU591" s="3">
        <f>IFERROR(VLOOKUP(L591,SEGURO_TBL,3,0),"")</f>
        <v/>
      </c>
      <c r="BV591" s="3">
        <f>IF(BU591="",NEUTRO,MAX(0,MIN(100,100*(SEG_REF_MAX-BU591)/(SEG_REF_MAX-SEG_REF_MIN))))</f>
        <v/>
      </c>
      <c r="BW591" s="3">
        <f>W_ET*BS591+W_CONS*BT591+W_SEG*BV591</f>
        <v/>
      </c>
      <c r="BX591" s="3">
        <f>IF(N(AB591)&gt;0,AB591,IF(AND(R591="profesional",SG_LEGAL_ON=1),GAR_LEGAL,0))</f>
        <v/>
      </c>
      <c r="BY591" s="3">
        <f>SG_GAR*MIN(1,BX591/SG_GAR_FULL)+SG_AMPL*(AC591="sí")+SG_KMC*(AF591="sí")+SG_REV*(N(AE591)&gt;0)+SG_DEV*MIN(1,N(AG591)/SG_DEV_FULL)+SG_HIST*(W591="sí")</f>
        <v/>
      </c>
      <c r="BZ591" s="3">
        <f>IFERROR(VLOOKUP(L591,CARR_PEN_TBL,2,0),0)</f>
        <v/>
      </c>
      <c r="CA591" s="3">
        <f>W_FIAB*BL591+W_PRECIO*BM591+W_KMEDAD*BQ591+W_ANUNCIO*BR591+W_USO*BW591+W_SEGURIDAD*BY591-BZ591</f>
        <v/>
      </c>
      <c r="CB591" s="4">
        <f>IF(N(I591)&gt;0,I591,IFERROR(ROUND(_xlfn.NUMBERVALUE(LEFT(G591,FIND(" ",G591&amp;" ")-1),".")*1000,0),99999))</f>
        <v/>
      </c>
      <c r="CC591" s="3">
        <f>IF(R591="profesional",0,IF(O591&lt;CUOTA_VALOR_MAX,IF(AU591&gt;ITP_TRAMO_ALTO,SUMIFS(CF_CUOTA,CF_MAS,ITP_TRAMO_ALTO,CF_CCMIN,"&lt;="&amp;CB591,CF_CCMAX,"&gt;="&amp;CB591),IF(AU591&gt;ITP_TRAMO_BAJO,SUMIFS(CF_CUOTA,CF_MAS,ITP_TRAMO_BAJO,CF_CCMIN,"&lt;="&amp;CB591,CF_CCMAX,"&gt;="&amp;CB591),O591*ITP_TIPO)),O591*ITP_TIPO))</f>
        <v/>
      </c>
      <c r="CD591" s="4">
        <f>IF(R591="profesional",N(AK591),0)</f>
        <v/>
      </c>
      <c r="CE591" s="3">
        <f>IF(AND(R591="profesional",ISNUMBER(AK591),AL591="sí"),0,TASA_DGT)</f>
        <v/>
      </c>
      <c r="CF591" s="3">
        <f>INFORME_DGT</f>
        <v/>
      </c>
      <c r="CG591" s="4">
        <f>O591+CD591+CC591+CE591+CF591</f>
        <v/>
      </c>
      <c r="CH591" s="4">
        <f>CG591+N(BU591)</f>
        <v/>
      </c>
      <c r="CI591" s="3">
        <f>IF(CG591&lt;=TOTAL_MAX,"sí",IF(CG591&lt;=TOTAL_MAX+MARGEN_NEG,"negociar","no"))</f>
        <v/>
      </c>
      <c r="CJ591" s="4">
        <f>IF(CI591&lt;&gt;"no",COUNTIFS($CI$2:$CI$662,"&lt;&gt;no",$CA$2:$CA$662,"&gt;"&amp;CA591)+COUNTIFS($CI$2:CI591,"&lt;&gt;no",$CA$2:CA591,CA591),"")</f>
        <v/>
      </c>
    </row>
    <row r="592">
      <c r="A592" s="2" t="inlineStr">
        <is>
          <t>cochesnet:71720362</t>
        </is>
      </c>
      <c r="B592" s="2" t="inlineStr">
        <is>
          <t>cochesnet</t>
        </is>
      </c>
      <c r="C592" s="2" t="inlineStr">
        <is>
          <t>https://www.coches.net/volkswagen-golf-variant-19-tdi-105cv-advance-5p-diesel-2007-en-castellon-71720362-covo.aspx</t>
        </is>
      </c>
      <c r="D592" s="2" t="inlineStr">
        <is>
          <t>VOLKSWAGEN Golf Variant 1.9 TDI Advance</t>
        </is>
      </c>
      <c r="E592" s="2" t="inlineStr">
        <is>
          <t>Volkswagen</t>
        </is>
      </c>
      <c r="F592" s="2" t="inlineStr">
        <is>
          <t>Volkswagen Golf</t>
        </is>
      </c>
      <c r="G592" s="2" t="inlineStr">
        <is>
          <t>1.9 TDI</t>
        </is>
      </c>
      <c r="H592" s="2" t="inlineStr">
        <is>
          <t>Variant 1.9 TDI 105cv Advance</t>
        </is>
      </c>
      <c r="I592" s="2" t="n"/>
      <c r="J592" s="2" t="n">
        <v>105</v>
      </c>
      <c r="K592" s="2" t="inlineStr">
        <is>
          <t>diesel</t>
        </is>
      </c>
      <c r="L592" s="2" t="inlineStr">
        <is>
          <t>familiar</t>
        </is>
      </c>
      <c r="M592" s="2" t="n">
        <v>2007</v>
      </c>
      <c r="N592" s="2" t="n">
        <v>200112</v>
      </c>
      <c r="O592" s="2" t="n">
        <v>4250</v>
      </c>
      <c r="P592" s="2" t="inlineStr">
        <is>
          <t>manual</t>
        </is>
      </c>
      <c r="Q592" s="2" t="inlineStr">
        <is>
          <t>no</t>
        </is>
      </c>
      <c r="R592" s="2" t="inlineStr">
        <is>
          <t>particular</t>
        </is>
      </c>
      <c r="S592" s="2" t="inlineStr">
        <is>
          <t>Segorbe</t>
        </is>
      </c>
      <c r="T592" s="2" t="inlineStr">
        <is>
          <t>2026-10-10T20:59:56Z</t>
        </is>
      </c>
      <c r="U592" s="2" t="n">
        <v>9</v>
      </c>
      <c r="V592" s="2" t="inlineStr">
        <is>
          <t>sí</t>
        </is>
      </c>
      <c r="W592" s="2" t="n"/>
      <c r="X592" s="2" t="n"/>
      <c r="Y592" s="2" t="n"/>
      <c r="Z592" s="2" t="inlineStr">
        <is>
          <t>no</t>
        </is>
      </c>
      <c r="AA592" s="2" t="n"/>
      <c r="AB592" s="2" t="n"/>
      <c r="AC592" s="2" t="n"/>
      <c r="AD592" s="2" t="n"/>
      <c r="AE592" s="2" t="n"/>
      <c r="AF592" s="2" t="n"/>
      <c r="AG592" s="2" t="n"/>
      <c r="AH592" s="2" t="n">
        <v>4250</v>
      </c>
      <c r="AI592" s="2" t="n"/>
      <c r="AJ592" s="2" t="n"/>
      <c r="AK592" s="2" t="n"/>
      <c r="AL592" s="2" t="n"/>
      <c r="AM592" s="2" t="n">
        <v>43.4</v>
      </c>
      <c r="AN592" s="2" t="n">
        <v>5999</v>
      </c>
      <c r="AO592" s="2" t="n">
        <v>5</v>
      </c>
      <c r="AP592" s="2" t="inlineStr">
        <is>
          <t>modelo+año+km</t>
        </is>
      </c>
      <c r="AQ592" s="2" t="n"/>
      <c r="AR592" s="2" t="inlineStr">
        <is>
          <t>cuota fija ITP: &gt;12 años, 1.501-2.000 cc; diésel: motor sin fuente de fiabilidad (fiabilidad limitada a neutra); carrocería familiar: -3 puntos</t>
        </is>
      </c>
      <c r="AS592" s="2" t="inlineStr">
        <is>
          <t>Volkswagen Golf 5 Variant 1.9 TDI
- ITV recién pasada. -Motor y carrocería impecables. 
-Distribución, aceite, todos los filtros cambiados. -Neumáticos en buen estado.
-Navegación android auto/carplay bluetooth.
-Climatizador bi-zona (enfria perfecto)</t>
        </is>
      </c>
      <c r="AT592" s="2" t="inlineStr">
        <is>
          <t>https://www.coches.net/volkswagen-golf-variant-19-tdi-105cv-advance-5p-diesel-2007-en-castellon-71720362-covo.aspx (window.__INITIAL_PROPS__.ad) /home/user/Alopecia/buscador-coches/raw/cochesnet/a0caa71836c7250c.json</t>
        </is>
      </c>
      <c r="AU592" s="3">
        <f>MAX(ANIO_ACTUAL-M592,0)</f>
        <v/>
      </c>
      <c r="AV592" s="4">
        <f>N592/MAX(AU592,0.5)</f>
        <v/>
      </c>
      <c r="AW592" s="4">
        <f>F592</f>
        <v/>
      </c>
      <c r="AX592" s="3">
        <f>AW592&amp;"|"&amp;INT(M592/SEG_ANIO)*SEG_ANIO</f>
        <v/>
      </c>
      <c r="AY592" s="3">
        <f>AX592&amp;"|"&amp;INT(N592/SEG_KM)*SEG_KM</f>
        <v/>
      </c>
      <c r="AZ592" s="4">
        <f>COUNTIF($AW$2:$AW$662,AW592)</f>
        <v/>
      </c>
      <c r="BA592" s="4">
        <f>COUNTIF($AX$2:$AX$662,AX592)</f>
        <v/>
      </c>
      <c r="BB592" s="4">
        <f>COUNTIF($AY$2:$AY$662,AY592)</f>
        <v/>
      </c>
      <c r="BC592" s="3">
        <f t="array" ref="BC592">IF(N(AO592)&gt;=MIN_N,AN592,IF(BB592&gt;=MIN_N,MEDIAN(IF($AY$2:$AY$662=AY592,$O$2:$O$662)),IF(BA592&gt;=MIN_N,MEDIAN(IF($AX$2:$AX$662=AX592,$O$2:$O$662)),MEDIAN(IF($AW$2:$AW$662=AW592,$O$2:$O$662)))))</f>
        <v/>
      </c>
      <c r="BD592" s="3">
        <f>IF(N(AO592)&gt;=MIN_N,"mercado "&amp;AP592,IF(BB592&gt;=MIN_N,"modelo+año+km",IF(BA592&gt;=MIN_N,"modelo+año","modelo")))</f>
        <v/>
      </c>
      <c r="BE592" s="4">
        <f>(BC592-O592)/BC592</f>
        <v/>
      </c>
      <c r="BF592" s="3">
        <f>IF(OR(K592="hibrido",K592="glp"),"ECO",IF(K592="electrico","CERO",IF(K592="gasolina",IF(M592&gt;=GAS_C,"C",IF(M592&gt;=GAS_B,"B","A")),IF(K592="diesel",IF(M592&gt;=DIE_C,"C",IF(M592&gt;=DIE_B,"B","A")),""))))</f>
        <v/>
      </c>
      <c r="BG592" s="3">
        <f>IFERROR(VLOOKUP(F592,MOD_TBL,11,0),IFERROR(VLOOKUP(E592,OCU_TBL,2,0),NEUTRO))</f>
        <v/>
      </c>
      <c r="BH592" s="3">
        <f>SUMIFS(MOT_AJUSTE,MOT_MOTOR,G592,MOT_MARCA,E592,MOT_DESDE,"&lt;="&amp;M592,MOT_HASTA,"&gt;="&amp;M592)+SUMIFS(MOT_AJUSTE,MOT_MOTOR,G592,MOT_MARCA,"(todas)",MOT_DESDE,"&lt;="&amp;M592,MOT_HASTA,"&gt;="&amp;M592)</f>
        <v/>
      </c>
      <c r="BI592" s="3">
        <f>SUMIFS(COMB_AJUSTE,COMB_COMB,K592)</f>
        <v/>
      </c>
      <c r="BJ592" s="3">
        <f>COUNTIFS(MOT_MOTOR,G592,MOT_MARCA,E592,MOT_DESDE,"&lt;="&amp;M592,MOT_HASTA,"&gt;="&amp;M592)+COUNTIFS(MOT_MOTOR,G592,MOT_MARCA,"(todas)",MOT_DESDE,"&lt;="&amp;M592,MOT_HASTA,"&gt;="&amp;M592)</f>
        <v/>
      </c>
      <c r="BK592" s="3">
        <f>IF(AND(K592="diesel",BJ592=0),MIN(BG592,NEUTRO),BG592)</f>
        <v/>
      </c>
      <c r="BL592" s="4">
        <f>MAX(0,MIN(100,BK592+BH592+BI592))</f>
        <v/>
      </c>
      <c r="BM592" s="3">
        <f>MAX(0,MIN(100,50+BE592*PRECIO_PEND))</f>
        <v/>
      </c>
      <c r="BN592" s="3">
        <f>MAX(0,100*(1-N592/KM_MAX))</f>
        <v/>
      </c>
      <c r="BO592" s="3">
        <f>IF(AV592&lt;KMA_SOSP,IF(AA592="sí",100,KMA_PEN),IF(AV592&lt;=KMA_IDEAL_MAX,100,MAX(0,100*(KMA_CERO-AV592)/(KMA_CERO-KMA_IDEAL_MAX))))</f>
        <v/>
      </c>
      <c r="BP592" s="3">
        <f>MAX(0,MIN(100,100*(M592-ANIO_MIN)/(ANIO_ACTUAL-ANIO_MIN)))</f>
        <v/>
      </c>
      <c r="BQ592" s="3">
        <f>W_KMT*BN592+W_KMA*BO592+W_EDAD*BP592</f>
        <v/>
      </c>
      <c r="BR592" s="3">
        <f>P_ITV*(V592="sí")+P_LIBRO*(W592="sí")+P_CORREA*(X592="sí")+P_PROP*(Y592=1)+P_GAR*(Z592="sí")+P_FOTOS*MIN(1,N(U592)/FOTOS_OBJ)</f>
        <v/>
      </c>
      <c r="BS592" s="3">
        <f>IFERROR(VLOOKUP(BF592,ETQ_TBL,2,0),NEUTRO)</f>
        <v/>
      </c>
      <c r="BT592" s="3">
        <f>NEUTRO</f>
        <v/>
      </c>
      <c r="BU592" s="3">
        <f>IFERROR(VLOOKUP(L592,SEGURO_TBL,3,0),"")</f>
        <v/>
      </c>
      <c r="BV592" s="3">
        <f>IF(BU592="",NEUTRO,MAX(0,MIN(100,100*(SEG_REF_MAX-BU592)/(SEG_REF_MAX-SEG_REF_MIN))))</f>
        <v/>
      </c>
      <c r="BW592" s="3">
        <f>W_ET*BS592+W_CONS*BT592+W_SEG*BV592</f>
        <v/>
      </c>
      <c r="BX592" s="3">
        <f>IF(N(AB592)&gt;0,AB592,IF(AND(R592="profesional",SG_LEGAL_ON=1),GAR_LEGAL,0))</f>
        <v/>
      </c>
      <c r="BY592" s="3">
        <f>SG_GAR*MIN(1,BX592/SG_GAR_FULL)+SG_AMPL*(AC592="sí")+SG_KMC*(AF592="sí")+SG_REV*(N(AE592)&gt;0)+SG_DEV*MIN(1,N(AG592)/SG_DEV_FULL)+SG_HIST*(W592="sí")</f>
        <v/>
      </c>
      <c r="BZ592" s="3">
        <f>IFERROR(VLOOKUP(L592,CARR_PEN_TBL,2,0),0)</f>
        <v/>
      </c>
      <c r="CA592" s="3">
        <f>W_FIAB*BL592+W_PRECIO*BM592+W_KMEDAD*BQ592+W_ANUNCIO*BR592+W_USO*BW592+W_SEGURIDAD*BY592-BZ592</f>
        <v/>
      </c>
      <c r="CB592" s="4">
        <f>IF(N(I592)&gt;0,I592,IFERROR(ROUND(_xlfn.NUMBERVALUE(LEFT(G592,FIND(" ",G592&amp;" ")-1),".")*1000,0),99999))</f>
        <v/>
      </c>
      <c r="CC592" s="3">
        <f>IF(R592="profesional",0,IF(O592&lt;CUOTA_VALOR_MAX,IF(AU592&gt;ITP_TRAMO_ALTO,SUMIFS(CF_CUOTA,CF_MAS,ITP_TRAMO_ALTO,CF_CCMIN,"&lt;="&amp;CB592,CF_CCMAX,"&gt;="&amp;CB592),IF(AU592&gt;ITP_TRAMO_BAJO,SUMIFS(CF_CUOTA,CF_MAS,ITP_TRAMO_BAJO,CF_CCMIN,"&lt;="&amp;CB592,CF_CCMAX,"&gt;="&amp;CB592),O592*ITP_TIPO)),O592*ITP_TIPO))</f>
        <v/>
      </c>
      <c r="CD592" s="4">
        <f>IF(R592="profesional",N(AK592),0)</f>
        <v/>
      </c>
      <c r="CE592" s="3">
        <f>IF(AND(R592="profesional",ISNUMBER(AK592),AL592="sí"),0,TASA_DGT)</f>
        <v/>
      </c>
      <c r="CF592" s="3">
        <f>INFORME_DGT</f>
        <v/>
      </c>
      <c r="CG592" s="4">
        <f>O592+CD592+CC592+CE592+CF592</f>
        <v/>
      </c>
      <c r="CH592" s="4">
        <f>CG592+N(BU592)</f>
        <v/>
      </c>
      <c r="CI592" s="3">
        <f>IF(CG592&lt;=TOTAL_MAX,"sí",IF(CG592&lt;=TOTAL_MAX+MARGEN_NEG,"negociar","no"))</f>
        <v/>
      </c>
      <c r="CJ592" s="4">
        <f>IF(CI592&lt;&gt;"no",COUNTIFS($CI$2:$CI$662,"&lt;&gt;no",$CA$2:$CA$662,"&gt;"&amp;CA592)+COUNTIFS($CI$2:CI592,"&lt;&gt;no",$CA$2:CA592,CA592),"")</f>
        <v/>
      </c>
    </row>
    <row r="593">
      <c r="A593" s="2" t="inlineStr">
        <is>
          <t>cochesnet:71874637</t>
        </is>
      </c>
      <c r="B593" s="2" t="inlineStr">
        <is>
          <t>cochesnet</t>
        </is>
      </c>
      <c r="C593" s="2" t="inlineStr">
        <is>
          <t>https://www.coches.net/opel-astra-17-cdti-110-cv-sport-5p-diesel-2010-en-castellon-71874637-covo.aspx</t>
        </is>
      </c>
      <c r="D593" s="2" t="inlineStr">
        <is>
          <t>OPEL Astra 1.7 CDTi 110 CV Sport</t>
        </is>
      </c>
      <c r="E593" s="2" t="inlineStr">
        <is>
          <t>Opel</t>
        </is>
      </c>
      <c r="F593" s="2" t="inlineStr">
        <is>
          <t>Opel Astra</t>
        </is>
      </c>
      <c r="G593" s="2" t="inlineStr">
        <is>
          <t>1.7 CDTi</t>
        </is>
      </c>
      <c r="H593" s="2" t="inlineStr">
        <is>
          <t>1.7 CDTi 110 CV Sport</t>
        </is>
      </c>
      <c r="I593" s="2" t="n"/>
      <c r="J593" s="2" t="n">
        <v>110</v>
      </c>
      <c r="K593" s="2" t="inlineStr">
        <is>
          <t>diesel</t>
        </is>
      </c>
      <c r="L593" s="2" t="inlineStr">
        <is>
          <t>compacto</t>
        </is>
      </c>
      <c r="M593" s="2" t="n">
        <v>2010</v>
      </c>
      <c r="N593" s="2" t="n">
        <v>199000</v>
      </c>
      <c r="O593" s="2" t="n">
        <v>4500</v>
      </c>
      <c r="P593" s="2" t="inlineStr">
        <is>
          <t>manual</t>
        </is>
      </c>
      <c r="Q593" s="2" t="inlineStr">
        <is>
          <t>no</t>
        </is>
      </c>
      <c r="R593" s="2" t="inlineStr">
        <is>
          <t>particular</t>
        </is>
      </c>
      <c r="S593" s="2" t="inlineStr">
        <is>
          <t>Castellón de la Plana / Castelló de la Plana</t>
        </is>
      </c>
      <c r="T593" s="2" t="inlineStr">
        <is>
          <t>2026-10-30T16:09:45Z</t>
        </is>
      </c>
      <c r="U593" s="2" t="n">
        <v>8</v>
      </c>
      <c r="V593" s="2" t="n"/>
      <c r="W593" s="2" t="n"/>
      <c r="X593" s="2" t="n"/>
      <c r="Y593" s="2" t="n"/>
      <c r="Z593" s="2" t="inlineStr">
        <is>
          <t>no</t>
        </is>
      </c>
      <c r="AA593" s="2" t="n"/>
      <c r="AB593" s="2" t="n"/>
      <c r="AC593" s="2" t="n"/>
      <c r="AD593" s="2" t="n"/>
      <c r="AE593" s="2" t="n"/>
      <c r="AF593" s="2" t="n"/>
      <c r="AG593" s="2" t="n"/>
      <c r="AH593" s="2" t="n">
        <v>4500</v>
      </c>
      <c r="AI593" s="2" t="n"/>
      <c r="AJ593" s="2" t="n"/>
      <c r="AK593" s="2" t="n"/>
      <c r="AL593" s="2" t="n"/>
      <c r="AM593" s="2" t="n"/>
      <c r="AN593" s="2" t="n">
        <v>4745</v>
      </c>
      <c r="AO593" s="2" t="n">
        <v>10</v>
      </c>
      <c r="AP593" s="2" t="inlineStr">
        <is>
          <t>modelo+año+km</t>
        </is>
      </c>
      <c r="AQ593" s="2" t="n"/>
      <c r="AR593" s="2" t="inlineStr">
        <is>
          <t>cuota fija ITP: &gt;12 años, 1.501-2.000 cc; diésel: motor sin fuente de fiabilidad (fiabilidad limitada a neutra); distancia no verificable (el anuncio solo indica la provincia): confirmar que está a &lt;= 70 km</t>
        </is>
      </c>
      <c r="AS593" s="2" t="inlineStr">
        <is>
          <t xml:space="preserve">Vendo Opel Astra J del año 2010, diésel, color gris, cambio manual, con 199.000 km.
</t>
        </is>
      </c>
      <c r="AT593" s="2" t="inlineStr">
        <is>
          <t>https://www.coches.net/opel-astra-17-cdti-110-cv-sport-5p-diesel-2010-en-castellon-71874637-covo.aspx (window.__INITIAL_PROPS__.ad) /home/user/Alopecia/buscador-coches/raw/cochesnet/369243678a44fbea.json</t>
        </is>
      </c>
      <c r="AU593" s="3">
        <f>MAX(ANIO_ACTUAL-M593,0)</f>
        <v/>
      </c>
      <c r="AV593" s="4">
        <f>N593/MAX(AU593,0.5)</f>
        <v/>
      </c>
      <c r="AW593" s="4">
        <f>F593</f>
        <v/>
      </c>
      <c r="AX593" s="3">
        <f>AW593&amp;"|"&amp;INT(M593/SEG_ANIO)*SEG_ANIO</f>
        <v/>
      </c>
      <c r="AY593" s="3">
        <f>AX593&amp;"|"&amp;INT(N593/SEG_KM)*SEG_KM</f>
        <v/>
      </c>
      <c r="AZ593" s="4">
        <f>COUNTIF($AW$2:$AW$662,AW593)</f>
        <v/>
      </c>
      <c r="BA593" s="4">
        <f>COUNTIF($AX$2:$AX$662,AX593)</f>
        <v/>
      </c>
      <c r="BB593" s="4">
        <f>COUNTIF($AY$2:$AY$662,AY593)</f>
        <v/>
      </c>
      <c r="BC593" s="3">
        <f t="array" ref="BC593">IF(N(AO593)&gt;=MIN_N,AN593,IF(BB593&gt;=MIN_N,MEDIAN(IF($AY$2:$AY$662=AY593,$O$2:$O$662)),IF(BA593&gt;=MIN_N,MEDIAN(IF($AX$2:$AX$662=AX593,$O$2:$O$662)),MEDIAN(IF($AW$2:$AW$662=AW593,$O$2:$O$662)))))</f>
        <v/>
      </c>
      <c r="BD593" s="3">
        <f>IF(N(AO593)&gt;=MIN_N,"mercado "&amp;AP593,IF(BB593&gt;=MIN_N,"modelo+año+km",IF(BA593&gt;=MIN_N,"modelo+año","modelo")))</f>
        <v/>
      </c>
      <c r="BE593" s="4">
        <f>(BC593-O593)/BC593</f>
        <v/>
      </c>
      <c r="BF593" s="3">
        <f>IF(OR(K593="hibrido",K593="glp"),"ECO",IF(K593="electrico","CERO",IF(K593="gasolina",IF(M593&gt;=GAS_C,"C",IF(M593&gt;=GAS_B,"B","A")),IF(K593="diesel",IF(M593&gt;=DIE_C,"C",IF(M593&gt;=DIE_B,"B","A")),""))))</f>
        <v/>
      </c>
      <c r="BG593" s="3">
        <f>IFERROR(VLOOKUP(F593,MOD_TBL,11,0),IFERROR(VLOOKUP(E593,OCU_TBL,2,0),NEUTRO))</f>
        <v/>
      </c>
      <c r="BH593" s="3">
        <f>SUMIFS(MOT_AJUSTE,MOT_MOTOR,G593,MOT_MARCA,E593,MOT_DESDE,"&lt;="&amp;M593,MOT_HASTA,"&gt;="&amp;M593)+SUMIFS(MOT_AJUSTE,MOT_MOTOR,G593,MOT_MARCA,"(todas)",MOT_DESDE,"&lt;="&amp;M593,MOT_HASTA,"&gt;="&amp;M593)</f>
        <v/>
      </c>
      <c r="BI593" s="3">
        <f>SUMIFS(COMB_AJUSTE,COMB_COMB,K593)</f>
        <v/>
      </c>
      <c r="BJ593" s="3">
        <f>COUNTIFS(MOT_MOTOR,G593,MOT_MARCA,E593,MOT_DESDE,"&lt;="&amp;M593,MOT_HASTA,"&gt;="&amp;M593)+COUNTIFS(MOT_MOTOR,G593,MOT_MARCA,"(todas)",MOT_DESDE,"&lt;="&amp;M593,MOT_HASTA,"&gt;="&amp;M593)</f>
        <v/>
      </c>
      <c r="BK593" s="3">
        <f>IF(AND(K593="diesel",BJ593=0),MIN(BG593,NEUTRO),BG593)</f>
        <v/>
      </c>
      <c r="BL593" s="4">
        <f>MAX(0,MIN(100,BK593+BH593+BI593))</f>
        <v/>
      </c>
      <c r="BM593" s="3">
        <f>MAX(0,MIN(100,50+BE593*PRECIO_PEND))</f>
        <v/>
      </c>
      <c r="BN593" s="3">
        <f>MAX(0,100*(1-N593/KM_MAX))</f>
        <v/>
      </c>
      <c r="BO593" s="3">
        <f>IF(AV593&lt;KMA_SOSP,IF(AA593="sí",100,KMA_PEN),IF(AV593&lt;=KMA_IDEAL_MAX,100,MAX(0,100*(KMA_CERO-AV593)/(KMA_CERO-KMA_IDEAL_MAX))))</f>
        <v/>
      </c>
      <c r="BP593" s="3">
        <f>MAX(0,MIN(100,100*(M593-ANIO_MIN)/(ANIO_ACTUAL-ANIO_MIN)))</f>
        <v/>
      </c>
      <c r="BQ593" s="3">
        <f>W_KMT*BN593+W_KMA*BO593+W_EDAD*BP593</f>
        <v/>
      </c>
      <c r="BR593" s="3">
        <f>P_ITV*(V593="sí")+P_LIBRO*(W593="sí")+P_CORREA*(X593="sí")+P_PROP*(Y593=1)+P_GAR*(Z593="sí")+P_FOTOS*MIN(1,N(U593)/FOTOS_OBJ)</f>
        <v/>
      </c>
      <c r="BS593" s="3">
        <f>IFERROR(VLOOKUP(BF593,ETQ_TBL,2,0),NEUTRO)</f>
        <v/>
      </c>
      <c r="BT593" s="3">
        <f>NEUTRO</f>
        <v/>
      </c>
      <c r="BU593" s="3">
        <f>IFERROR(VLOOKUP(L593,SEGURO_TBL,3,0),"")</f>
        <v/>
      </c>
      <c r="BV593" s="3">
        <f>IF(BU593="",NEUTRO,MAX(0,MIN(100,100*(SEG_REF_MAX-BU593)/(SEG_REF_MAX-SEG_REF_MIN))))</f>
        <v/>
      </c>
      <c r="BW593" s="3">
        <f>W_ET*BS593+W_CONS*BT593+W_SEG*BV593</f>
        <v/>
      </c>
      <c r="BX593" s="3">
        <f>IF(N(AB593)&gt;0,AB593,IF(AND(R593="profesional",SG_LEGAL_ON=1),GAR_LEGAL,0))</f>
        <v/>
      </c>
      <c r="BY593" s="3">
        <f>SG_GAR*MIN(1,BX593/SG_GAR_FULL)+SG_AMPL*(AC593="sí")+SG_KMC*(AF593="sí")+SG_REV*(N(AE593)&gt;0)+SG_DEV*MIN(1,N(AG593)/SG_DEV_FULL)+SG_HIST*(W593="sí")</f>
        <v/>
      </c>
      <c r="BZ593" s="3">
        <f>IFERROR(VLOOKUP(L593,CARR_PEN_TBL,2,0),0)</f>
        <v/>
      </c>
      <c r="CA593" s="3">
        <f>W_FIAB*BL593+W_PRECIO*BM593+W_KMEDAD*BQ593+W_ANUNCIO*BR593+W_USO*BW593+W_SEGURIDAD*BY593-BZ593</f>
        <v/>
      </c>
      <c r="CB593" s="4">
        <f>IF(N(I593)&gt;0,I593,IFERROR(ROUND(_xlfn.NUMBERVALUE(LEFT(G593,FIND(" ",G593&amp;" ")-1),".")*1000,0),99999))</f>
        <v/>
      </c>
      <c r="CC593" s="3">
        <f>IF(R593="profesional",0,IF(O593&lt;CUOTA_VALOR_MAX,IF(AU593&gt;ITP_TRAMO_ALTO,SUMIFS(CF_CUOTA,CF_MAS,ITP_TRAMO_ALTO,CF_CCMIN,"&lt;="&amp;CB593,CF_CCMAX,"&gt;="&amp;CB593),IF(AU593&gt;ITP_TRAMO_BAJO,SUMIFS(CF_CUOTA,CF_MAS,ITP_TRAMO_BAJO,CF_CCMIN,"&lt;="&amp;CB593,CF_CCMAX,"&gt;="&amp;CB593),O593*ITP_TIPO)),O593*ITP_TIPO))</f>
        <v/>
      </c>
      <c r="CD593" s="4">
        <f>IF(R593="profesional",N(AK593),0)</f>
        <v/>
      </c>
      <c r="CE593" s="3">
        <f>IF(AND(R593="profesional",ISNUMBER(AK593),AL593="sí"),0,TASA_DGT)</f>
        <v/>
      </c>
      <c r="CF593" s="3">
        <f>INFORME_DGT</f>
        <v/>
      </c>
      <c r="CG593" s="4">
        <f>O593+CD593+CC593+CE593+CF593</f>
        <v/>
      </c>
      <c r="CH593" s="4">
        <f>CG593+N(BU593)</f>
        <v/>
      </c>
      <c r="CI593" s="3">
        <f>IF(CG593&lt;=TOTAL_MAX,"sí",IF(CG593&lt;=TOTAL_MAX+MARGEN_NEG,"negociar","no"))</f>
        <v/>
      </c>
      <c r="CJ593" s="4">
        <f>IF(CI593&lt;&gt;"no",COUNTIFS($CI$2:$CI$662,"&lt;&gt;no",$CA$2:$CA$662,"&gt;"&amp;CA593)+COUNTIFS($CI$2:CI593,"&lt;&gt;no",$CA$2:CA593,CA593),"")</f>
        <v/>
      </c>
    </row>
    <row r="594">
      <c r="A594" s="2" t="inlineStr">
        <is>
          <t>cochesnet:71766461</t>
        </is>
      </c>
      <c r="B594" s="2" t="inlineStr">
        <is>
          <t>cochesnet</t>
        </is>
      </c>
      <c r="C594" s="2" t="inlineStr">
        <is>
          <t>https://www.coches.net/opel-corsa-17-cdti-sport-3p-diesel-2010-en-castellon-71766461-covo.aspx</t>
        </is>
      </c>
      <c r="D594" s="2" t="inlineStr">
        <is>
          <t>OPEL Corsa 1.7 CDTi Sport</t>
        </is>
      </c>
      <c r="E594" s="2" t="inlineStr">
        <is>
          <t>Opel</t>
        </is>
      </c>
      <c r="F594" s="2" t="inlineStr">
        <is>
          <t>Opel Corsa</t>
        </is>
      </c>
      <c r="G594" s="2" t="inlineStr">
        <is>
          <t>1.7 CDTi</t>
        </is>
      </c>
      <c r="H594" s="2" t="inlineStr">
        <is>
          <t>1.7 CDTi Sport</t>
        </is>
      </c>
      <c r="I594" s="2" t="n"/>
      <c r="J594" s="2" t="n"/>
      <c r="K594" s="2" t="inlineStr">
        <is>
          <t>diesel</t>
        </is>
      </c>
      <c r="L594" s="2" t="inlineStr">
        <is>
          <t>utilitario</t>
        </is>
      </c>
      <c r="M594" s="2" t="n">
        <v>2010</v>
      </c>
      <c r="N594" s="2" t="n">
        <v>139000</v>
      </c>
      <c r="O594" s="2" t="n">
        <v>3700</v>
      </c>
      <c r="P594" s="2" t="inlineStr">
        <is>
          <t>manual</t>
        </is>
      </c>
      <c r="Q594" s="2" t="inlineStr">
        <is>
          <t>no</t>
        </is>
      </c>
      <c r="R594" s="2" t="inlineStr">
        <is>
          <t>particular</t>
        </is>
      </c>
      <c r="S594" s="2" t="inlineStr">
        <is>
          <t>Castellón de la Plana / Castelló de la Plana</t>
        </is>
      </c>
      <c r="T594" s="2" t="inlineStr">
        <is>
          <t>2026-10-16T19:51:37Z</t>
        </is>
      </c>
      <c r="U594" s="2" t="n">
        <v>7</v>
      </c>
      <c r="V594" s="2" t="n"/>
      <c r="W594" s="2" t="n"/>
      <c r="X594" s="2" t="n"/>
      <c r="Y594" s="2" t="n"/>
      <c r="Z594" s="2" t="inlineStr">
        <is>
          <t>no</t>
        </is>
      </c>
      <c r="AA594" s="2" t="n"/>
      <c r="AB594" s="2" t="n"/>
      <c r="AC594" s="2" t="n"/>
      <c r="AD594" s="2" t="n"/>
      <c r="AE594" s="2" t="n"/>
      <c r="AF594" s="2" t="n"/>
      <c r="AG594" s="2" t="n"/>
      <c r="AH594" s="2" t="n">
        <v>3700</v>
      </c>
      <c r="AI594" s="2" t="n"/>
      <c r="AJ594" s="2" t="n"/>
      <c r="AK594" s="2" t="n"/>
      <c r="AL594" s="2" t="n"/>
      <c r="AM594" s="2" t="n"/>
      <c r="AN594" s="2" t="n">
        <v>4625</v>
      </c>
      <c r="AO594" s="2" t="n">
        <v>8</v>
      </c>
      <c r="AP594" s="2" t="inlineStr">
        <is>
          <t>modelo+año+km</t>
        </is>
      </c>
      <c r="AQ594" s="2" t="n"/>
      <c r="AR594" s="2" t="inlineStr">
        <is>
          <t>cuota fija ITP: &gt;12 años, 1.501-2.000 cc; diésel: motor sin fuente de fiabilidad (fiabilidad limitada a neutra); distancia no verificable (el anuncio solo indica la provincia): confirmar que está a &lt;= 70 km</t>
        </is>
      </c>
      <c r="AS594" s="2" t="inlineStr">
        <is>
          <t>Vendo mi Opel Corsa 1.7 CDTi Sport, un berlina compacto que ofrece exactamente lo que buscas si valoras la eficiencia sin renunciar a la potencia. Con motor diésel de 130 CV, este coche combina un consumo controlado con una conducción ágil y responsiva, ideal tanto para moverte por ciudad como para disfrutar en carretera.
El vehículo se encuentra en buen estado general, tanto exterior como interior. La carrocería roja mantiene su acabado en buen estado, y el interior refleja un uso habitual cuidadoso. Con esta motorización diésel, obtendrás un rendimiento fiable y económico, lo que lo convierte en una opción inteligente si buscas rentabilidad a largo plazo.
Se trata de una berlina de tres puertas con capacidad para cinco ocupantes, perfecta para quienes necesitan versatilidad sin perder maniobrabilidad. El cambio manual te permite un control total de la conducción, y la configuración Sport le añade ese toque dinámico que hace más agradable cada trayecto.
Este Corsa representa una gran oportunidad si buscas un vehículo con motor potente, consumo ajustado y una relación calidad-precio difícil de encontrar en el mercado actual. No es un coche nuevo, pero es un vehículo que sigue siendo funcional y confiable para quien sepa apreciarlo.
Si tienes dudas sobre aspectos específicos del vehículo o necesitas más información, no dudes en contactarme. Puedo atenderte tanto por teléfono como por chat.
Contacta hoy mismo y no dejes escapar esta oportunidad.</t>
        </is>
      </c>
      <c r="AT594" s="2" t="inlineStr">
        <is>
          <t>https://www.coches.net/opel-corsa-17-cdti-sport-3p-diesel-2010-en-castellon-71766461-covo.aspx (window.__INITIAL_PROPS__.ad) /home/user/Alopecia/buscador-coches/raw/cochesnet/799707ef31f9879d.json</t>
        </is>
      </c>
      <c r="AU594" s="3">
        <f>MAX(ANIO_ACTUAL-M594,0)</f>
        <v/>
      </c>
      <c r="AV594" s="4">
        <f>N594/MAX(AU594,0.5)</f>
        <v/>
      </c>
      <c r="AW594" s="4">
        <f>F594</f>
        <v/>
      </c>
      <c r="AX594" s="3">
        <f>AW594&amp;"|"&amp;INT(M594/SEG_ANIO)*SEG_ANIO</f>
        <v/>
      </c>
      <c r="AY594" s="3">
        <f>AX594&amp;"|"&amp;INT(N594/SEG_KM)*SEG_KM</f>
        <v/>
      </c>
      <c r="AZ594" s="4">
        <f>COUNTIF($AW$2:$AW$662,AW594)</f>
        <v/>
      </c>
      <c r="BA594" s="4">
        <f>COUNTIF($AX$2:$AX$662,AX594)</f>
        <v/>
      </c>
      <c r="BB594" s="4">
        <f>COUNTIF($AY$2:$AY$662,AY594)</f>
        <v/>
      </c>
      <c r="BC594" s="3">
        <f t="array" ref="BC594">IF(N(AO594)&gt;=MIN_N,AN594,IF(BB594&gt;=MIN_N,MEDIAN(IF($AY$2:$AY$662=AY594,$O$2:$O$662)),IF(BA594&gt;=MIN_N,MEDIAN(IF($AX$2:$AX$662=AX594,$O$2:$O$662)),MEDIAN(IF($AW$2:$AW$662=AW594,$O$2:$O$662)))))</f>
        <v/>
      </c>
      <c r="BD594" s="3">
        <f>IF(N(AO594)&gt;=MIN_N,"mercado "&amp;AP594,IF(BB594&gt;=MIN_N,"modelo+año+km",IF(BA594&gt;=MIN_N,"modelo+año","modelo")))</f>
        <v/>
      </c>
      <c r="BE594" s="4">
        <f>(BC594-O594)/BC594</f>
        <v/>
      </c>
      <c r="BF594" s="3">
        <f>IF(OR(K594="hibrido",K594="glp"),"ECO",IF(K594="electrico","CERO",IF(K594="gasolina",IF(M594&gt;=GAS_C,"C",IF(M594&gt;=GAS_B,"B","A")),IF(K594="diesel",IF(M594&gt;=DIE_C,"C",IF(M594&gt;=DIE_B,"B","A")),""))))</f>
        <v/>
      </c>
      <c r="BG594" s="3">
        <f>IFERROR(VLOOKUP(F594,MOD_TBL,11,0),IFERROR(VLOOKUP(E594,OCU_TBL,2,0),NEUTRO))</f>
        <v/>
      </c>
      <c r="BH594" s="3">
        <f>SUMIFS(MOT_AJUSTE,MOT_MOTOR,G594,MOT_MARCA,E594,MOT_DESDE,"&lt;="&amp;M594,MOT_HASTA,"&gt;="&amp;M594)+SUMIFS(MOT_AJUSTE,MOT_MOTOR,G594,MOT_MARCA,"(todas)",MOT_DESDE,"&lt;="&amp;M594,MOT_HASTA,"&gt;="&amp;M594)</f>
        <v/>
      </c>
      <c r="BI594" s="3">
        <f>SUMIFS(COMB_AJUSTE,COMB_COMB,K594)</f>
        <v/>
      </c>
      <c r="BJ594" s="3">
        <f>COUNTIFS(MOT_MOTOR,G594,MOT_MARCA,E594,MOT_DESDE,"&lt;="&amp;M594,MOT_HASTA,"&gt;="&amp;M594)+COUNTIFS(MOT_MOTOR,G594,MOT_MARCA,"(todas)",MOT_DESDE,"&lt;="&amp;M594,MOT_HASTA,"&gt;="&amp;M594)</f>
        <v/>
      </c>
      <c r="BK594" s="3">
        <f>IF(AND(K594="diesel",BJ594=0),MIN(BG594,NEUTRO),BG594)</f>
        <v/>
      </c>
      <c r="BL594" s="4">
        <f>MAX(0,MIN(100,BK594+BH594+BI594))</f>
        <v/>
      </c>
      <c r="BM594" s="3">
        <f>MAX(0,MIN(100,50+BE594*PRECIO_PEND))</f>
        <v/>
      </c>
      <c r="BN594" s="3">
        <f>MAX(0,100*(1-N594/KM_MAX))</f>
        <v/>
      </c>
      <c r="BO594" s="3">
        <f>IF(AV594&lt;KMA_SOSP,IF(AA594="sí",100,KMA_PEN),IF(AV594&lt;=KMA_IDEAL_MAX,100,MAX(0,100*(KMA_CERO-AV594)/(KMA_CERO-KMA_IDEAL_MAX))))</f>
        <v/>
      </c>
      <c r="BP594" s="3">
        <f>MAX(0,MIN(100,100*(M594-ANIO_MIN)/(ANIO_ACTUAL-ANIO_MIN)))</f>
        <v/>
      </c>
      <c r="BQ594" s="3">
        <f>W_KMT*BN594+W_KMA*BO594+W_EDAD*BP594</f>
        <v/>
      </c>
      <c r="BR594" s="3">
        <f>P_ITV*(V594="sí")+P_LIBRO*(W594="sí")+P_CORREA*(X594="sí")+P_PROP*(Y594=1)+P_GAR*(Z594="sí")+P_FOTOS*MIN(1,N(U594)/FOTOS_OBJ)</f>
        <v/>
      </c>
      <c r="BS594" s="3">
        <f>IFERROR(VLOOKUP(BF594,ETQ_TBL,2,0),NEUTRO)</f>
        <v/>
      </c>
      <c r="BT594" s="3">
        <f>NEUTRO</f>
        <v/>
      </c>
      <c r="BU594" s="3">
        <f>IFERROR(VLOOKUP(L594,SEGURO_TBL,3,0),"")</f>
        <v/>
      </c>
      <c r="BV594" s="3">
        <f>IF(BU594="",NEUTRO,MAX(0,MIN(100,100*(SEG_REF_MAX-BU594)/(SEG_REF_MAX-SEG_REF_MIN))))</f>
        <v/>
      </c>
      <c r="BW594" s="3">
        <f>W_ET*BS594+W_CONS*BT594+W_SEG*BV594</f>
        <v/>
      </c>
      <c r="BX594" s="3">
        <f>IF(N(AB594)&gt;0,AB594,IF(AND(R594="profesional",SG_LEGAL_ON=1),GAR_LEGAL,0))</f>
        <v/>
      </c>
      <c r="BY594" s="3">
        <f>SG_GAR*MIN(1,BX594/SG_GAR_FULL)+SG_AMPL*(AC594="sí")+SG_KMC*(AF594="sí")+SG_REV*(N(AE594)&gt;0)+SG_DEV*MIN(1,N(AG594)/SG_DEV_FULL)+SG_HIST*(W594="sí")</f>
        <v/>
      </c>
      <c r="BZ594" s="3">
        <f>IFERROR(VLOOKUP(L594,CARR_PEN_TBL,2,0),0)</f>
        <v/>
      </c>
      <c r="CA594" s="3">
        <f>W_FIAB*BL594+W_PRECIO*BM594+W_KMEDAD*BQ594+W_ANUNCIO*BR594+W_USO*BW594+W_SEGURIDAD*BY594-BZ594</f>
        <v/>
      </c>
      <c r="CB594" s="4">
        <f>IF(N(I594)&gt;0,I594,IFERROR(ROUND(_xlfn.NUMBERVALUE(LEFT(G594,FIND(" ",G594&amp;" ")-1),".")*1000,0),99999))</f>
        <v/>
      </c>
      <c r="CC594" s="3">
        <f>IF(R594="profesional",0,IF(O594&lt;CUOTA_VALOR_MAX,IF(AU594&gt;ITP_TRAMO_ALTO,SUMIFS(CF_CUOTA,CF_MAS,ITP_TRAMO_ALTO,CF_CCMIN,"&lt;="&amp;CB594,CF_CCMAX,"&gt;="&amp;CB594),IF(AU594&gt;ITP_TRAMO_BAJO,SUMIFS(CF_CUOTA,CF_MAS,ITP_TRAMO_BAJO,CF_CCMIN,"&lt;="&amp;CB594,CF_CCMAX,"&gt;="&amp;CB594),O594*ITP_TIPO)),O594*ITP_TIPO))</f>
        <v/>
      </c>
      <c r="CD594" s="4">
        <f>IF(R594="profesional",N(AK594),0)</f>
        <v/>
      </c>
      <c r="CE594" s="3">
        <f>IF(AND(R594="profesional",ISNUMBER(AK594),AL594="sí"),0,TASA_DGT)</f>
        <v/>
      </c>
      <c r="CF594" s="3">
        <f>INFORME_DGT</f>
        <v/>
      </c>
      <c r="CG594" s="4">
        <f>O594+CD594+CC594+CE594+CF594</f>
        <v/>
      </c>
      <c r="CH594" s="4">
        <f>CG594+N(BU594)</f>
        <v/>
      </c>
      <c r="CI594" s="3">
        <f>IF(CG594&lt;=TOTAL_MAX,"sí",IF(CG594&lt;=TOTAL_MAX+MARGEN_NEG,"negociar","no"))</f>
        <v/>
      </c>
      <c r="CJ594" s="4">
        <f>IF(CI594&lt;&gt;"no",COUNTIFS($CI$2:$CI$662,"&lt;&gt;no",$CA$2:$CA$662,"&gt;"&amp;CA594)+COUNTIFS($CI$2:CI594,"&lt;&gt;no",$CA$2:CA594,CA594),"")</f>
        <v/>
      </c>
    </row>
    <row r="595">
      <c r="A595" s="2" t="inlineStr">
        <is>
          <t>cochesnet:71743852</t>
        </is>
      </c>
      <c r="B595" s="2" t="inlineStr">
        <is>
          <t>cochesnet</t>
        </is>
      </c>
      <c r="C595" s="2" t="inlineStr">
        <is>
          <t>https://www.coches.net/opel-corsa-14-expression-75-cv-3p-gasolina-2015-en-castellon-71743852-covo.aspx</t>
        </is>
      </c>
      <c r="D595" s="2" t="inlineStr">
        <is>
          <t>OPEL Corsa 1.4 Expression 75 CV</t>
        </is>
      </c>
      <c r="E595" s="2" t="inlineStr">
        <is>
          <t>Opel</t>
        </is>
      </c>
      <c r="F595" s="2" t="inlineStr">
        <is>
          <t>Opel Corsa</t>
        </is>
      </c>
      <c r="G595" s="2" t="inlineStr">
        <is>
          <t>1.4</t>
        </is>
      </c>
      <c r="H595" s="2" t="inlineStr">
        <is>
          <t>1.4 Expression 75 CV</t>
        </is>
      </c>
      <c r="I595" s="2" t="n"/>
      <c r="J595" s="2" t="n">
        <v>75</v>
      </c>
      <c r="K595" s="2" t="inlineStr">
        <is>
          <t>gasolina</t>
        </is>
      </c>
      <c r="L595" s="2" t="inlineStr">
        <is>
          <t>utilitario</t>
        </is>
      </c>
      <c r="M595" s="2" t="n">
        <v>2015</v>
      </c>
      <c r="N595" s="2" t="n">
        <v>170000</v>
      </c>
      <c r="O595" s="2" t="n">
        <v>4190</v>
      </c>
      <c r="P595" s="2" t="inlineStr">
        <is>
          <t>manual</t>
        </is>
      </c>
      <c r="Q595" s="2" t="inlineStr">
        <is>
          <t>no</t>
        </is>
      </c>
      <c r="R595" s="2" t="inlineStr">
        <is>
          <t>profesional</t>
        </is>
      </c>
      <c r="S595" s="2" t="inlineStr">
        <is>
          <t>Castellón de la Plana / Castelló de la Plana</t>
        </is>
      </c>
      <c r="T595" s="2" t="inlineStr">
        <is>
          <t>2026-10-14T15:13:16Z</t>
        </is>
      </c>
      <c r="U595" s="2" t="n">
        <v>12</v>
      </c>
      <c r="V595" s="2" t="inlineStr">
        <is>
          <t>sí</t>
        </is>
      </c>
      <c r="W595" s="2" t="n"/>
      <c r="X595" s="2" t="n"/>
      <c r="Y595" s="2" t="n"/>
      <c r="Z595" s="2" t="inlineStr">
        <is>
          <t>sí</t>
        </is>
      </c>
      <c r="AA595" s="2" t="n"/>
      <c r="AB595" s="2" t="n">
        <v>12</v>
      </c>
      <c r="AC595" s="2" t="n"/>
      <c r="AD595" s="2" t="n"/>
      <c r="AE595" s="2" t="n"/>
      <c r="AF595" s="2" t="n"/>
      <c r="AG595" s="2" t="n"/>
      <c r="AH595" s="2" t="n">
        <v>4190</v>
      </c>
      <c r="AI595" s="2" t="n"/>
      <c r="AJ595" s="2" t="n"/>
      <c r="AK595" s="2" t="n"/>
      <c r="AL595" s="2" t="n"/>
      <c r="AM595" s="2" t="n"/>
      <c r="AN595" s="2" t="n">
        <v>4550</v>
      </c>
      <c r="AO595" s="2" t="n">
        <v>8</v>
      </c>
      <c r="AP595" s="2" t="inlineStr">
        <is>
          <t>modelo+año+km</t>
        </is>
      </c>
      <c r="AQ595" s="2" t="n"/>
      <c r="AR595"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595" s="2" t="inlineStr">
        <is>
          <t>Se vende opel Corsa  con motor 1.3Diesel ,95CV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AT595" s="2" t="inlineStr">
        <is>
          <t>https://www.coches.net/opel-corsa-14-expression-75-cv-3p-gasolina-2015-en-castellon-71743852-covo.aspx (window.__INITIAL_PROPS__.ad) /home/user/Alopecia/buscador-coches/raw/cochesnet/da006717dcb87bc5.json</t>
        </is>
      </c>
      <c r="AU595" s="3">
        <f>MAX(ANIO_ACTUAL-M595,0)</f>
        <v/>
      </c>
      <c r="AV595" s="4">
        <f>N595/MAX(AU595,0.5)</f>
        <v/>
      </c>
      <c r="AW595" s="4">
        <f>F595</f>
        <v/>
      </c>
      <c r="AX595" s="3">
        <f>AW595&amp;"|"&amp;INT(M595/SEG_ANIO)*SEG_ANIO</f>
        <v/>
      </c>
      <c r="AY595" s="3">
        <f>AX595&amp;"|"&amp;INT(N595/SEG_KM)*SEG_KM</f>
        <v/>
      </c>
      <c r="AZ595" s="4">
        <f>COUNTIF($AW$2:$AW$662,AW595)</f>
        <v/>
      </c>
      <c r="BA595" s="4">
        <f>COUNTIF($AX$2:$AX$662,AX595)</f>
        <v/>
      </c>
      <c r="BB595" s="4">
        <f>COUNTIF($AY$2:$AY$662,AY595)</f>
        <v/>
      </c>
      <c r="BC595" s="3">
        <f t="array" ref="BC595">IF(N(AO595)&gt;=MIN_N,AN595,IF(BB595&gt;=MIN_N,MEDIAN(IF($AY$2:$AY$662=AY595,$O$2:$O$662)),IF(BA595&gt;=MIN_N,MEDIAN(IF($AX$2:$AX$662=AX595,$O$2:$O$662)),MEDIAN(IF($AW$2:$AW$662=AW595,$O$2:$O$662)))))</f>
        <v/>
      </c>
      <c r="BD595" s="3">
        <f>IF(N(AO595)&gt;=MIN_N,"mercado "&amp;AP595,IF(BB595&gt;=MIN_N,"modelo+año+km",IF(BA595&gt;=MIN_N,"modelo+año","modelo")))</f>
        <v/>
      </c>
      <c r="BE595" s="4">
        <f>(BC595-O595)/BC595</f>
        <v/>
      </c>
      <c r="BF595" s="3">
        <f>IF(OR(K595="hibrido",K595="glp"),"ECO",IF(K595="electrico","CERO",IF(K595="gasolina",IF(M595&gt;=GAS_C,"C",IF(M595&gt;=GAS_B,"B","A")),IF(K595="diesel",IF(M595&gt;=DIE_C,"C",IF(M595&gt;=DIE_B,"B","A")),""))))</f>
        <v/>
      </c>
      <c r="BG595" s="3">
        <f>IFERROR(VLOOKUP(F595,MOD_TBL,11,0),IFERROR(VLOOKUP(E595,OCU_TBL,2,0),NEUTRO))</f>
        <v/>
      </c>
      <c r="BH595" s="3">
        <f>SUMIFS(MOT_AJUSTE,MOT_MOTOR,G595,MOT_MARCA,E595,MOT_DESDE,"&lt;="&amp;M595,MOT_HASTA,"&gt;="&amp;M595)+SUMIFS(MOT_AJUSTE,MOT_MOTOR,G595,MOT_MARCA,"(todas)",MOT_DESDE,"&lt;="&amp;M595,MOT_HASTA,"&gt;="&amp;M595)</f>
        <v/>
      </c>
      <c r="BI595" s="3">
        <f>SUMIFS(COMB_AJUSTE,COMB_COMB,K595)</f>
        <v/>
      </c>
      <c r="BJ595" s="3">
        <f>COUNTIFS(MOT_MOTOR,G595,MOT_MARCA,E595,MOT_DESDE,"&lt;="&amp;M595,MOT_HASTA,"&gt;="&amp;M595)+COUNTIFS(MOT_MOTOR,G595,MOT_MARCA,"(todas)",MOT_DESDE,"&lt;="&amp;M595,MOT_HASTA,"&gt;="&amp;M595)</f>
        <v/>
      </c>
      <c r="BK595" s="3">
        <f>IF(AND(K595="diesel",BJ595=0),MIN(BG595,NEUTRO),BG595)</f>
        <v/>
      </c>
      <c r="BL595" s="4">
        <f>MAX(0,MIN(100,BK595+BH595+BI595))</f>
        <v/>
      </c>
      <c r="BM595" s="3">
        <f>MAX(0,MIN(100,50+BE595*PRECIO_PEND))</f>
        <v/>
      </c>
      <c r="BN595" s="3">
        <f>MAX(0,100*(1-N595/KM_MAX))</f>
        <v/>
      </c>
      <c r="BO595" s="3">
        <f>IF(AV595&lt;KMA_SOSP,IF(AA595="sí",100,KMA_PEN),IF(AV595&lt;=KMA_IDEAL_MAX,100,MAX(0,100*(KMA_CERO-AV595)/(KMA_CERO-KMA_IDEAL_MAX))))</f>
        <v/>
      </c>
      <c r="BP595" s="3">
        <f>MAX(0,MIN(100,100*(M595-ANIO_MIN)/(ANIO_ACTUAL-ANIO_MIN)))</f>
        <v/>
      </c>
      <c r="BQ595" s="3">
        <f>W_KMT*BN595+W_KMA*BO595+W_EDAD*BP595</f>
        <v/>
      </c>
      <c r="BR595" s="3">
        <f>P_ITV*(V595="sí")+P_LIBRO*(W595="sí")+P_CORREA*(X595="sí")+P_PROP*(Y595=1)+P_GAR*(Z595="sí")+P_FOTOS*MIN(1,N(U595)/FOTOS_OBJ)</f>
        <v/>
      </c>
      <c r="BS595" s="3">
        <f>IFERROR(VLOOKUP(BF595,ETQ_TBL,2,0),NEUTRO)</f>
        <v/>
      </c>
      <c r="BT595" s="3">
        <f>NEUTRO</f>
        <v/>
      </c>
      <c r="BU595" s="3">
        <f>IFERROR(VLOOKUP(L595,SEGURO_TBL,3,0),"")</f>
        <v/>
      </c>
      <c r="BV595" s="3">
        <f>IF(BU595="",NEUTRO,MAX(0,MIN(100,100*(SEG_REF_MAX-BU595)/(SEG_REF_MAX-SEG_REF_MIN))))</f>
        <v/>
      </c>
      <c r="BW595" s="3">
        <f>W_ET*BS595+W_CONS*BT595+W_SEG*BV595</f>
        <v/>
      </c>
      <c r="BX595" s="3">
        <f>IF(N(AB595)&gt;0,AB595,IF(AND(R595="profesional",SG_LEGAL_ON=1),GAR_LEGAL,0))</f>
        <v/>
      </c>
      <c r="BY595" s="3">
        <f>SG_GAR*MIN(1,BX595/SG_GAR_FULL)+SG_AMPL*(AC595="sí")+SG_KMC*(AF595="sí")+SG_REV*(N(AE595)&gt;0)+SG_DEV*MIN(1,N(AG595)/SG_DEV_FULL)+SG_HIST*(W595="sí")</f>
        <v/>
      </c>
      <c r="BZ595" s="3">
        <f>IFERROR(VLOOKUP(L595,CARR_PEN_TBL,2,0),0)</f>
        <v/>
      </c>
      <c r="CA595" s="3">
        <f>W_FIAB*BL595+W_PRECIO*BM595+W_KMEDAD*BQ595+W_ANUNCIO*BR595+W_USO*BW595+W_SEGURIDAD*BY595-BZ595</f>
        <v/>
      </c>
      <c r="CB595" s="4">
        <f>IF(N(I595)&gt;0,I595,IFERROR(ROUND(_xlfn.NUMBERVALUE(LEFT(G595,FIND(" ",G595&amp;" ")-1),".")*1000,0),99999))</f>
        <v/>
      </c>
      <c r="CC595" s="3">
        <f>IF(R595="profesional",0,IF(O595&lt;CUOTA_VALOR_MAX,IF(AU595&gt;ITP_TRAMO_ALTO,SUMIFS(CF_CUOTA,CF_MAS,ITP_TRAMO_ALTO,CF_CCMIN,"&lt;="&amp;CB595,CF_CCMAX,"&gt;="&amp;CB595),IF(AU595&gt;ITP_TRAMO_BAJO,SUMIFS(CF_CUOTA,CF_MAS,ITP_TRAMO_BAJO,CF_CCMIN,"&lt;="&amp;CB595,CF_CCMAX,"&gt;="&amp;CB595),O595*ITP_TIPO)),O595*ITP_TIPO))</f>
        <v/>
      </c>
      <c r="CD595" s="4">
        <f>IF(R595="profesional",N(AK595),0)</f>
        <v/>
      </c>
      <c r="CE595" s="3">
        <f>IF(AND(R595="profesional",ISNUMBER(AK595),AL595="sí"),0,TASA_DGT)</f>
        <v/>
      </c>
      <c r="CF595" s="3">
        <f>INFORME_DGT</f>
        <v/>
      </c>
      <c r="CG595" s="4">
        <f>O595+CD595+CC595+CE595+CF595</f>
        <v/>
      </c>
      <c r="CH595" s="4">
        <f>CG595+N(BU595)</f>
        <v/>
      </c>
      <c r="CI595" s="3">
        <f>IF(CG595&lt;=TOTAL_MAX,"sí",IF(CG595&lt;=TOTAL_MAX+MARGEN_NEG,"negociar","no"))</f>
        <v/>
      </c>
      <c r="CJ595" s="4">
        <f>IF(CI595&lt;&gt;"no",COUNTIFS($CI$2:$CI$662,"&lt;&gt;no",$CA$2:$CA$662,"&gt;"&amp;CA595)+COUNTIFS($CI$2:CI595,"&lt;&gt;no",$CA$2:CA595,CA595),"")</f>
        <v/>
      </c>
    </row>
    <row r="596">
      <c r="A596" s="2" t="inlineStr">
        <is>
          <t>cochesnet:71641526</t>
        </is>
      </c>
      <c r="B596" s="2" t="inlineStr">
        <is>
          <t>cochesnet</t>
        </is>
      </c>
      <c r="C596" s="2" t="inlineStr">
        <is>
          <t>https://www.coches.net/opel-corsa-diesel-2015-en-castellon-71641526-covo.aspx</t>
        </is>
      </c>
      <c r="D596" s="2" t="inlineStr">
        <is>
          <t>OPEL Corsa 1.3 CDTi Selective Start Stop</t>
        </is>
      </c>
      <c r="E596" s="2" t="inlineStr">
        <is>
          <t>Opel</t>
        </is>
      </c>
      <c r="F596" s="2" t="inlineStr">
        <is>
          <t>Opel Corsa</t>
        </is>
      </c>
      <c r="G596" s="2" t="inlineStr">
        <is>
          <t>1.3 CDTi</t>
        </is>
      </c>
      <c r="H596" s="2" t="inlineStr">
        <is>
          <t>1.3 CDTi Selective Start  Stop</t>
        </is>
      </c>
      <c r="I596" s="2" t="n"/>
      <c r="J596" s="2" t="n"/>
      <c r="K596" s="2" t="inlineStr">
        <is>
          <t>diesel</t>
        </is>
      </c>
      <c r="L596" s="2" t="inlineStr">
        <is>
          <t>utilitario</t>
        </is>
      </c>
      <c r="M596" s="2" t="n">
        <v>2015</v>
      </c>
      <c r="N596" s="2" t="n">
        <v>126250</v>
      </c>
      <c r="O596" s="2" t="n">
        <v>4000</v>
      </c>
      <c r="P596" s="2" t="inlineStr">
        <is>
          <t>manual</t>
        </is>
      </c>
      <c r="Q596" s="2" t="inlineStr">
        <is>
          <t>no</t>
        </is>
      </c>
      <c r="R596" s="2" t="inlineStr">
        <is>
          <t>particular</t>
        </is>
      </c>
      <c r="S596" s="2" t="inlineStr">
        <is>
          <t>Castellón de la Plana / Castelló de la Plana</t>
        </is>
      </c>
      <c r="T596" s="2" t="inlineStr">
        <is>
          <t>2026-09-30T17:39:07Z</t>
        </is>
      </c>
      <c r="U596" s="2" t="n">
        <v>9</v>
      </c>
      <c r="V596" s="2" t="inlineStr">
        <is>
          <t>sí</t>
        </is>
      </c>
      <c r="W596" s="2" t="n"/>
      <c r="X596" s="2" t="n"/>
      <c r="Y596" s="2" t="n"/>
      <c r="Z596" s="2" t="inlineStr">
        <is>
          <t>no</t>
        </is>
      </c>
      <c r="AA596" s="2" t="n"/>
      <c r="AB596" s="2" t="n"/>
      <c r="AC596" s="2" t="n"/>
      <c r="AD596" s="2" t="n"/>
      <c r="AE596" s="2" t="n"/>
      <c r="AF596" s="2" t="n"/>
      <c r="AG596" s="2" t="n"/>
      <c r="AH596" s="2" t="n">
        <v>4000</v>
      </c>
      <c r="AI596" s="2" t="n"/>
      <c r="AJ596" s="2" t="n"/>
      <c r="AK596" s="2" t="n"/>
      <c r="AL596" s="2" t="n"/>
      <c r="AM596" s="2" t="n"/>
      <c r="AN596" s="2" t="n">
        <v>5490</v>
      </c>
      <c r="AO596" s="2" t="n">
        <v>7</v>
      </c>
      <c r="AP596" s="2" t="inlineStr">
        <is>
          <t>modelo+año+km</t>
        </is>
      </c>
      <c r="AQ596" s="2" t="n"/>
      <c r="AR596" s="2" t="inlineStr">
        <is>
          <t>cuota fija ITP: &gt;5 y &lt;=12 años, hasta 1.500 cc; diésel: motor sin fuente de fiabilidad (fiabilidad limitada a neutra); distancia no verificable (el anuncio solo indica la provincia): confirmar que está a &lt;= 70 km</t>
        </is>
      </c>
      <c r="AS596" s="2" t="inlineStr">
        <is>
          <t xml:space="preserve">Oferta..4000 euros.muy bien tanto motor como chapa..ITV pasada en febrero,sin fallós.. motor muy buen estado, sin consum de aceite,o fugas. .siempre al taller de confianza, cambiando recién neumáticos, batería estart stop, discos de frenos, escobillas,muy buen estado.. precio no negociable.. porfa no  regateantes no cambios
</t>
        </is>
      </c>
      <c r="AT596" s="2" t="inlineStr">
        <is>
          <t>https://www.coches.net/opel-corsa-diesel-2015-en-castellon-71641526-covo.aspx (window.__INITIAL_PROPS__.ad) /home/user/Alopecia/buscador-coches/raw/cochesnet/b38fd4a8f402b035.json</t>
        </is>
      </c>
      <c r="AU596" s="3">
        <f>MAX(ANIO_ACTUAL-M596,0)</f>
        <v/>
      </c>
      <c r="AV596" s="4">
        <f>N596/MAX(AU596,0.5)</f>
        <v/>
      </c>
      <c r="AW596" s="4">
        <f>F596</f>
        <v/>
      </c>
      <c r="AX596" s="3">
        <f>AW596&amp;"|"&amp;INT(M596/SEG_ANIO)*SEG_ANIO</f>
        <v/>
      </c>
      <c r="AY596" s="3">
        <f>AX596&amp;"|"&amp;INT(N596/SEG_KM)*SEG_KM</f>
        <v/>
      </c>
      <c r="AZ596" s="4">
        <f>COUNTIF($AW$2:$AW$662,AW596)</f>
        <v/>
      </c>
      <c r="BA596" s="4">
        <f>COUNTIF($AX$2:$AX$662,AX596)</f>
        <v/>
      </c>
      <c r="BB596" s="4">
        <f>COUNTIF($AY$2:$AY$662,AY596)</f>
        <v/>
      </c>
      <c r="BC596" s="3">
        <f t="array" ref="BC596">IF(N(AO596)&gt;=MIN_N,AN596,IF(BB596&gt;=MIN_N,MEDIAN(IF($AY$2:$AY$662=AY596,$O$2:$O$662)),IF(BA596&gt;=MIN_N,MEDIAN(IF($AX$2:$AX$662=AX596,$O$2:$O$662)),MEDIAN(IF($AW$2:$AW$662=AW596,$O$2:$O$662)))))</f>
        <v/>
      </c>
      <c r="BD596" s="3">
        <f>IF(N(AO596)&gt;=MIN_N,"mercado "&amp;AP596,IF(BB596&gt;=MIN_N,"modelo+año+km",IF(BA596&gt;=MIN_N,"modelo+año","modelo")))</f>
        <v/>
      </c>
      <c r="BE596" s="4">
        <f>(BC596-O596)/BC596</f>
        <v/>
      </c>
      <c r="BF596" s="3">
        <f>IF(OR(K596="hibrido",K596="glp"),"ECO",IF(K596="electrico","CERO",IF(K596="gasolina",IF(M596&gt;=GAS_C,"C",IF(M596&gt;=GAS_B,"B","A")),IF(K596="diesel",IF(M596&gt;=DIE_C,"C",IF(M596&gt;=DIE_B,"B","A")),""))))</f>
        <v/>
      </c>
      <c r="BG596" s="3">
        <f>IFERROR(VLOOKUP(F596,MOD_TBL,11,0),IFERROR(VLOOKUP(E596,OCU_TBL,2,0),NEUTRO))</f>
        <v/>
      </c>
      <c r="BH596" s="3">
        <f>SUMIFS(MOT_AJUSTE,MOT_MOTOR,G596,MOT_MARCA,E596,MOT_DESDE,"&lt;="&amp;M596,MOT_HASTA,"&gt;="&amp;M596)+SUMIFS(MOT_AJUSTE,MOT_MOTOR,G596,MOT_MARCA,"(todas)",MOT_DESDE,"&lt;="&amp;M596,MOT_HASTA,"&gt;="&amp;M596)</f>
        <v/>
      </c>
      <c r="BI596" s="3">
        <f>SUMIFS(COMB_AJUSTE,COMB_COMB,K596)</f>
        <v/>
      </c>
      <c r="BJ596" s="3">
        <f>COUNTIFS(MOT_MOTOR,G596,MOT_MARCA,E596,MOT_DESDE,"&lt;="&amp;M596,MOT_HASTA,"&gt;="&amp;M596)+COUNTIFS(MOT_MOTOR,G596,MOT_MARCA,"(todas)",MOT_DESDE,"&lt;="&amp;M596,MOT_HASTA,"&gt;="&amp;M596)</f>
        <v/>
      </c>
      <c r="BK596" s="3">
        <f>IF(AND(K596="diesel",BJ596=0),MIN(BG596,NEUTRO),BG596)</f>
        <v/>
      </c>
      <c r="BL596" s="4">
        <f>MAX(0,MIN(100,BK596+BH596+BI596))</f>
        <v/>
      </c>
      <c r="BM596" s="3">
        <f>MAX(0,MIN(100,50+BE596*PRECIO_PEND))</f>
        <v/>
      </c>
      <c r="BN596" s="3">
        <f>MAX(0,100*(1-N596/KM_MAX))</f>
        <v/>
      </c>
      <c r="BO596" s="3">
        <f>IF(AV596&lt;KMA_SOSP,IF(AA596="sí",100,KMA_PEN),IF(AV596&lt;=KMA_IDEAL_MAX,100,MAX(0,100*(KMA_CERO-AV596)/(KMA_CERO-KMA_IDEAL_MAX))))</f>
        <v/>
      </c>
      <c r="BP596" s="3">
        <f>MAX(0,MIN(100,100*(M596-ANIO_MIN)/(ANIO_ACTUAL-ANIO_MIN)))</f>
        <v/>
      </c>
      <c r="BQ596" s="3">
        <f>W_KMT*BN596+W_KMA*BO596+W_EDAD*BP596</f>
        <v/>
      </c>
      <c r="BR596" s="3">
        <f>P_ITV*(V596="sí")+P_LIBRO*(W596="sí")+P_CORREA*(X596="sí")+P_PROP*(Y596=1)+P_GAR*(Z596="sí")+P_FOTOS*MIN(1,N(U596)/FOTOS_OBJ)</f>
        <v/>
      </c>
      <c r="BS596" s="3">
        <f>IFERROR(VLOOKUP(BF596,ETQ_TBL,2,0),NEUTRO)</f>
        <v/>
      </c>
      <c r="BT596" s="3">
        <f>NEUTRO</f>
        <v/>
      </c>
      <c r="BU596" s="3">
        <f>IFERROR(VLOOKUP(L596,SEGURO_TBL,3,0),"")</f>
        <v/>
      </c>
      <c r="BV596" s="3">
        <f>IF(BU596="",NEUTRO,MAX(0,MIN(100,100*(SEG_REF_MAX-BU596)/(SEG_REF_MAX-SEG_REF_MIN))))</f>
        <v/>
      </c>
      <c r="BW596" s="3">
        <f>W_ET*BS596+W_CONS*BT596+W_SEG*BV596</f>
        <v/>
      </c>
      <c r="BX596" s="3">
        <f>IF(N(AB596)&gt;0,AB596,IF(AND(R596="profesional",SG_LEGAL_ON=1),GAR_LEGAL,0))</f>
        <v/>
      </c>
      <c r="BY596" s="3">
        <f>SG_GAR*MIN(1,BX596/SG_GAR_FULL)+SG_AMPL*(AC596="sí")+SG_KMC*(AF596="sí")+SG_REV*(N(AE596)&gt;0)+SG_DEV*MIN(1,N(AG596)/SG_DEV_FULL)+SG_HIST*(W596="sí")</f>
        <v/>
      </c>
      <c r="BZ596" s="3">
        <f>IFERROR(VLOOKUP(L596,CARR_PEN_TBL,2,0),0)</f>
        <v/>
      </c>
      <c r="CA596" s="3">
        <f>W_FIAB*BL596+W_PRECIO*BM596+W_KMEDAD*BQ596+W_ANUNCIO*BR596+W_USO*BW596+W_SEGURIDAD*BY596-BZ596</f>
        <v/>
      </c>
      <c r="CB596" s="4">
        <f>IF(N(I596)&gt;0,I596,IFERROR(ROUND(_xlfn.NUMBERVALUE(LEFT(G596,FIND(" ",G596&amp;" ")-1),".")*1000,0),99999))</f>
        <v/>
      </c>
      <c r="CC596" s="3">
        <f>IF(R596="profesional",0,IF(O596&lt;CUOTA_VALOR_MAX,IF(AU596&gt;ITP_TRAMO_ALTO,SUMIFS(CF_CUOTA,CF_MAS,ITP_TRAMO_ALTO,CF_CCMIN,"&lt;="&amp;CB596,CF_CCMAX,"&gt;="&amp;CB596),IF(AU596&gt;ITP_TRAMO_BAJO,SUMIFS(CF_CUOTA,CF_MAS,ITP_TRAMO_BAJO,CF_CCMIN,"&lt;="&amp;CB596,CF_CCMAX,"&gt;="&amp;CB596),O596*ITP_TIPO)),O596*ITP_TIPO))</f>
        <v/>
      </c>
      <c r="CD596" s="4">
        <f>IF(R596="profesional",N(AK596),0)</f>
        <v/>
      </c>
      <c r="CE596" s="3">
        <f>IF(AND(R596="profesional",ISNUMBER(AK596),AL596="sí"),0,TASA_DGT)</f>
        <v/>
      </c>
      <c r="CF596" s="3">
        <f>INFORME_DGT</f>
        <v/>
      </c>
      <c r="CG596" s="4">
        <f>O596+CD596+CC596+CE596+CF596</f>
        <v/>
      </c>
      <c r="CH596" s="4">
        <f>CG596+N(BU596)</f>
        <v/>
      </c>
      <c r="CI596" s="3">
        <f>IF(CG596&lt;=TOTAL_MAX,"sí",IF(CG596&lt;=TOTAL_MAX+MARGEN_NEG,"negociar","no"))</f>
        <v/>
      </c>
      <c r="CJ596" s="4">
        <f>IF(CI596&lt;&gt;"no",COUNTIFS($CI$2:$CI$662,"&lt;&gt;no",$CA$2:$CA$662,"&gt;"&amp;CA596)+COUNTIFS($CI$2:CI596,"&lt;&gt;no",$CA$2:CA596,CA596),"")</f>
        <v/>
      </c>
    </row>
    <row r="597">
      <c r="A597" s="2" t="inlineStr">
        <is>
          <t>cochesnet:71626737</t>
        </is>
      </c>
      <c r="B597" s="2" t="inlineStr">
        <is>
          <t>cochesnet</t>
        </is>
      </c>
      <c r="C597" s="2" t="inlineStr">
        <is>
          <t>https://www.coches.net/opel-astra-gtc-17-cdti-sport-3p-diesel-2007-en-castellon-71626737-covo.aspx</t>
        </is>
      </c>
      <c r="D597" s="2" t="inlineStr">
        <is>
          <t>OPEL Astra GTC 1.7 CDTi Sport</t>
        </is>
      </c>
      <c r="E597" s="2" t="inlineStr">
        <is>
          <t>Opel</t>
        </is>
      </c>
      <c r="F597" s="2" t="inlineStr">
        <is>
          <t>Opel Astra</t>
        </is>
      </c>
      <c r="G597" s="2" t="inlineStr">
        <is>
          <t>1.7 CDTi</t>
        </is>
      </c>
      <c r="H597" s="2" t="inlineStr">
        <is>
          <t>GTC 1.7 CDTi Sport</t>
        </is>
      </c>
      <c r="I597" s="2" t="n"/>
      <c r="J597" s="2" t="n"/>
      <c r="K597" s="2" t="inlineStr">
        <is>
          <t>diesel</t>
        </is>
      </c>
      <c r="L597" s="2" t="inlineStr">
        <is>
          <t>compacto</t>
        </is>
      </c>
      <c r="M597" s="2" t="n">
        <v>2007</v>
      </c>
      <c r="N597" s="2" t="n">
        <v>194581</v>
      </c>
      <c r="O597" s="2" t="n">
        <v>3200</v>
      </c>
      <c r="P597" s="2" t="inlineStr">
        <is>
          <t>manual</t>
        </is>
      </c>
      <c r="Q597" s="2" t="inlineStr">
        <is>
          <t>no</t>
        </is>
      </c>
      <c r="R597" s="2" t="inlineStr">
        <is>
          <t>particular</t>
        </is>
      </c>
      <c r="S597" s="2" t="inlineStr">
        <is>
          <t>Vila-real</t>
        </is>
      </c>
      <c r="T597" s="2" t="inlineStr">
        <is>
          <t>2026-09-29T18:16:05Z</t>
        </is>
      </c>
      <c r="U597" s="2" t="n">
        <v>9</v>
      </c>
      <c r="V597" s="2" t="n"/>
      <c r="W597" s="2" t="n"/>
      <c r="X597" s="2" t="n"/>
      <c r="Y597" s="2" t="n"/>
      <c r="Z597" s="2" t="inlineStr">
        <is>
          <t>no</t>
        </is>
      </c>
      <c r="AA597" s="2" t="n"/>
      <c r="AB597" s="2" t="n"/>
      <c r="AC597" s="2" t="n"/>
      <c r="AD597" s="2" t="n"/>
      <c r="AE597" s="2" t="n"/>
      <c r="AF597" s="2" t="n"/>
      <c r="AG597" s="2" t="n"/>
      <c r="AH597" s="2" t="n">
        <v>3200</v>
      </c>
      <c r="AI597" s="2" t="n"/>
      <c r="AJ597" s="2" t="n"/>
      <c r="AK597" s="2" t="n"/>
      <c r="AL597" s="2" t="n"/>
      <c r="AM597" s="2" t="n"/>
      <c r="AN597" s="2" t="n">
        <v>4300</v>
      </c>
      <c r="AO597" s="2" t="n">
        <v>17</v>
      </c>
      <c r="AP597" s="2" t="inlineStr">
        <is>
          <t>modelo+año+km</t>
        </is>
      </c>
      <c r="AQ597" s="2" t="n"/>
      <c r="AR597" s="2" t="inlineStr">
        <is>
          <t>cuota fija ITP: &gt;12 años, 1.501-2.000 cc; diésel: motor sin fuente de fiabilidad (fiabilidad limitada a neutra); distancia no verificable (el anuncio solo indica la provincia): confirmar que está a &lt;= 70 km</t>
        </is>
      </c>
      <c r="AS597" s="2" t="inlineStr">
        <is>
          <t>Este no es el tipico anuncio y ahora verás porque... prefiero hacer un anuncio claro y contar las cosas como son, antes que poner el típico “impecable, como nuevo”.
Es un coche con 194.581 km, por lo que evidentemente tiene los años y kilómetros que marca, pero se ha conservado bien y sigue teniendo una estética que, personalmente, creo que ha envejecido muy bien. 
El GTC sigue siendo un coche bonito, con una línea deportiva y, al ser 3 puertas, bastante más atractivo que el Astra convencional.
Uno de sus puntos fuertes es precisamente su fiabilidad. No es casualidad que, pese a los años de esta generación, todavía sea muy habitual encontrarse Astra de este modelo circulando todos los días. Es una buena muestra de lo bien que han envejecido estos coches cuando han recibido su mantenimiento. Este tiene ya unos cuantos kilometros y continúa funcionando y cumpliendo perfectamente su función, algo que también habla de su durabilidad.
No lo vendo intentando hacer pasar un coche usado por uno nuevo. Quien venga a verlo encontrará exactamente el coche que aparece en las fotografías.
La carrocería roja mantiene buen aspecto general, las llantas le quedan muy bien y el interior conserva su configuración original. Lleva además instalado manos libres Bluetooth Parrot, muy práctico para utilizar el móvil en el día a día.
Actualmente tiene 194.581 km reales, que pueden aumentar ligeramente mientras siga utilizándolo.
Lo que más me interesa es que quien venga a verlo tenga confianza</t>
        </is>
      </c>
      <c r="AT597" s="2" t="inlineStr">
        <is>
          <t>https://www.coches.net/opel-astra-gtc-17-cdti-sport-3p-diesel-2007-en-castellon-71626737-covo.aspx (window.__INITIAL_PROPS__.ad) /home/user/Alopecia/buscador-coches/raw/cochesnet/d06fa824bc2eb97f.json</t>
        </is>
      </c>
      <c r="AU597" s="3">
        <f>MAX(ANIO_ACTUAL-M597,0)</f>
        <v/>
      </c>
      <c r="AV597" s="4">
        <f>N597/MAX(AU597,0.5)</f>
        <v/>
      </c>
      <c r="AW597" s="4">
        <f>F597</f>
        <v/>
      </c>
      <c r="AX597" s="3">
        <f>AW597&amp;"|"&amp;INT(M597/SEG_ANIO)*SEG_ANIO</f>
        <v/>
      </c>
      <c r="AY597" s="3">
        <f>AX597&amp;"|"&amp;INT(N597/SEG_KM)*SEG_KM</f>
        <v/>
      </c>
      <c r="AZ597" s="4">
        <f>COUNTIF($AW$2:$AW$662,AW597)</f>
        <v/>
      </c>
      <c r="BA597" s="4">
        <f>COUNTIF($AX$2:$AX$662,AX597)</f>
        <v/>
      </c>
      <c r="BB597" s="4">
        <f>COUNTIF($AY$2:$AY$662,AY597)</f>
        <v/>
      </c>
      <c r="BC597" s="3">
        <f t="array" ref="BC597">IF(N(AO597)&gt;=MIN_N,AN597,IF(BB597&gt;=MIN_N,MEDIAN(IF($AY$2:$AY$662=AY597,$O$2:$O$662)),IF(BA597&gt;=MIN_N,MEDIAN(IF($AX$2:$AX$662=AX597,$O$2:$O$662)),MEDIAN(IF($AW$2:$AW$662=AW597,$O$2:$O$662)))))</f>
        <v/>
      </c>
      <c r="BD597" s="3">
        <f>IF(N(AO597)&gt;=MIN_N,"mercado "&amp;AP597,IF(BB597&gt;=MIN_N,"modelo+año+km",IF(BA597&gt;=MIN_N,"modelo+año","modelo")))</f>
        <v/>
      </c>
      <c r="BE597" s="4">
        <f>(BC597-O597)/BC597</f>
        <v/>
      </c>
      <c r="BF597" s="3">
        <f>IF(OR(K597="hibrido",K597="glp"),"ECO",IF(K597="electrico","CERO",IF(K597="gasolina",IF(M597&gt;=GAS_C,"C",IF(M597&gt;=GAS_B,"B","A")),IF(K597="diesel",IF(M597&gt;=DIE_C,"C",IF(M597&gt;=DIE_B,"B","A")),""))))</f>
        <v/>
      </c>
      <c r="BG597" s="3">
        <f>IFERROR(VLOOKUP(F597,MOD_TBL,11,0),IFERROR(VLOOKUP(E597,OCU_TBL,2,0),NEUTRO))</f>
        <v/>
      </c>
      <c r="BH597" s="3">
        <f>SUMIFS(MOT_AJUSTE,MOT_MOTOR,G597,MOT_MARCA,E597,MOT_DESDE,"&lt;="&amp;M597,MOT_HASTA,"&gt;="&amp;M597)+SUMIFS(MOT_AJUSTE,MOT_MOTOR,G597,MOT_MARCA,"(todas)",MOT_DESDE,"&lt;="&amp;M597,MOT_HASTA,"&gt;="&amp;M597)</f>
        <v/>
      </c>
      <c r="BI597" s="3">
        <f>SUMIFS(COMB_AJUSTE,COMB_COMB,K597)</f>
        <v/>
      </c>
      <c r="BJ597" s="3">
        <f>COUNTIFS(MOT_MOTOR,G597,MOT_MARCA,E597,MOT_DESDE,"&lt;="&amp;M597,MOT_HASTA,"&gt;="&amp;M597)+COUNTIFS(MOT_MOTOR,G597,MOT_MARCA,"(todas)",MOT_DESDE,"&lt;="&amp;M597,MOT_HASTA,"&gt;="&amp;M597)</f>
        <v/>
      </c>
      <c r="BK597" s="3">
        <f>IF(AND(K597="diesel",BJ597=0),MIN(BG597,NEUTRO),BG597)</f>
        <v/>
      </c>
      <c r="BL597" s="4">
        <f>MAX(0,MIN(100,BK597+BH597+BI597))</f>
        <v/>
      </c>
      <c r="BM597" s="3">
        <f>MAX(0,MIN(100,50+BE597*PRECIO_PEND))</f>
        <v/>
      </c>
      <c r="BN597" s="3">
        <f>MAX(0,100*(1-N597/KM_MAX))</f>
        <v/>
      </c>
      <c r="BO597" s="3">
        <f>IF(AV597&lt;KMA_SOSP,IF(AA597="sí",100,KMA_PEN),IF(AV597&lt;=KMA_IDEAL_MAX,100,MAX(0,100*(KMA_CERO-AV597)/(KMA_CERO-KMA_IDEAL_MAX))))</f>
        <v/>
      </c>
      <c r="BP597" s="3">
        <f>MAX(0,MIN(100,100*(M597-ANIO_MIN)/(ANIO_ACTUAL-ANIO_MIN)))</f>
        <v/>
      </c>
      <c r="BQ597" s="3">
        <f>W_KMT*BN597+W_KMA*BO597+W_EDAD*BP597</f>
        <v/>
      </c>
      <c r="BR597" s="3">
        <f>P_ITV*(V597="sí")+P_LIBRO*(W597="sí")+P_CORREA*(X597="sí")+P_PROP*(Y597=1)+P_GAR*(Z597="sí")+P_FOTOS*MIN(1,N(U597)/FOTOS_OBJ)</f>
        <v/>
      </c>
      <c r="BS597" s="3">
        <f>IFERROR(VLOOKUP(BF597,ETQ_TBL,2,0),NEUTRO)</f>
        <v/>
      </c>
      <c r="BT597" s="3">
        <f>NEUTRO</f>
        <v/>
      </c>
      <c r="BU597" s="3">
        <f>IFERROR(VLOOKUP(L597,SEGURO_TBL,3,0),"")</f>
        <v/>
      </c>
      <c r="BV597" s="3">
        <f>IF(BU597="",NEUTRO,MAX(0,MIN(100,100*(SEG_REF_MAX-BU597)/(SEG_REF_MAX-SEG_REF_MIN))))</f>
        <v/>
      </c>
      <c r="BW597" s="3">
        <f>W_ET*BS597+W_CONS*BT597+W_SEG*BV597</f>
        <v/>
      </c>
      <c r="BX597" s="3">
        <f>IF(N(AB597)&gt;0,AB597,IF(AND(R597="profesional",SG_LEGAL_ON=1),GAR_LEGAL,0))</f>
        <v/>
      </c>
      <c r="BY597" s="3">
        <f>SG_GAR*MIN(1,BX597/SG_GAR_FULL)+SG_AMPL*(AC597="sí")+SG_KMC*(AF597="sí")+SG_REV*(N(AE597)&gt;0)+SG_DEV*MIN(1,N(AG597)/SG_DEV_FULL)+SG_HIST*(W597="sí")</f>
        <v/>
      </c>
      <c r="BZ597" s="3">
        <f>IFERROR(VLOOKUP(L597,CARR_PEN_TBL,2,0),0)</f>
        <v/>
      </c>
      <c r="CA597" s="3">
        <f>W_FIAB*BL597+W_PRECIO*BM597+W_KMEDAD*BQ597+W_ANUNCIO*BR597+W_USO*BW597+W_SEGURIDAD*BY597-BZ597</f>
        <v/>
      </c>
      <c r="CB597" s="4">
        <f>IF(N(I597)&gt;0,I597,IFERROR(ROUND(_xlfn.NUMBERVALUE(LEFT(G597,FIND(" ",G597&amp;" ")-1),".")*1000,0),99999))</f>
        <v/>
      </c>
      <c r="CC597" s="3">
        <f>IF(R597="profesional",0,IF(O597&lt;CUOTA_VALOR_MAX,IF(AU597&gt;ITP_TRAMO_ALTO,SUMIFS(CF_CUOTA,CF_MAS,ITP_TRAMO_ALTO,CF_CCMIN,"&lt;="&amp;CB597,CF_CCMAX,"&gt;="&amp;CB597),IF(AU597&gt;ITP_TRAMO_BAJO,SUMIFS(CF_CUOTA,CF_MAS,ITP_TRAMO_BAJO,CF_CCMIN,"&lt;="&amp;CB597,CF_CCMAX,"&gt;="&amp;CB597),O597*ITP_TIPO)),O597*ITP_TIPO))</f>
        <v/>
      </c>
      <c r="CD597" s="4">
        <f>IF(R597="profesional",N(AK597),0)</f>
        <v/>
      </c>
      <c r="CE597" s="3">
        <f>IF(AND(R597="profesional",ISNUMBER(AK597),AL597="sí"),0,TASA_DGT)</f>
        <v/>
      </c>
      <c r="CF597" s="3">
        <f>INFORME_DGT</f>
        <v/>
      </c>
      <c r="CG597" s="4">
        <f>O597+CD597+CC597+CE597+CF597</f>
        <v/>
      </c>
      <c r="CH597" s="4">
        <f>CG597+N(BU597)</f>
        <v/>
      </c>
      <c r="CI597" s="3">
        <f>IF(CG597&lt;=TOTAL_MAX,"sí",IF(CG597&lt;=TOTAL_MAX+MARGEN_NEG,"negociar","no"))</f>
        <v/>
      </c>
      <c r="CJ597" s="4">
        <f>IF(CI597&lt;&gt;"no",COUNTIFS($CI$2:$CI$662,"&lt;&gt;no",$CA$2:$CA$662,"&gt;"&amp;CA597)+COUNTIFS($CI$2:CI597,"&lt;&gt;no",$CA$2:CA597,CA597),"")</f>
        <v/>
      </c>
    </row>
    <row r="598">
      <c r="A598" s="2" t="inlineStr">
        <is>
          <t>cochesnet:71526255</t>
        </is>
      </c>
      <c r="B598" s="2" t="inlineStr">
        <is>
          <t>cochesnet</t>
        </is>
      </c>
      <c r="C598" s="2" t="inlineStr">
        <is>
          <t>https://www.coches.net/opel-corsa-enjoy-12-5p-gasolina-2008-en-castellon-71526255-covo.aspx</t>
        </is>
      </c>
      <c r="D598" s="2" t="inlineStr">
        <is>
          <t>OPEL Corsa Enjoy 1.2</t>
        </is>
      </c>
      <c r="E598" s="2" t="inlineStr">
        <is>
          <t>Opel</t>
        </is>
      </c>
      <c r="F598" s="2" t="inlineStr">
        <is>
          <t>Opel Corsa</t>
        </is>
      </c>
      <c r="G598" s="2" t="inlineStr">
        <is>
          <t>1.2</t>
        </is>
      </c>
      <c r="H598" s="2" t="inlineStr">
        <is>
          <t>Enjoy 1.2</t>
        </is>
      </c>
      <c r="I598" s="2" t="n"/>
      <c r="J598" s="2" t="n"/>
      <c r="K598" s="2" t="inlineStr">
        <is>
          <t>gasolina</t>
        </is>
      </c>
      <c r="L598" s="2" t="inlineStr">
        <is>
          <t>utilitario</t>
        </is>
      </c>
      <c r="M598" s="2" t="n">
        <v>2008</v>
      </c>
      <c r="N598" s="2" t="n">
        <v>170000</v>
      </c>
      <c r="O598" s="2" t="n">
        <v>4350</v>
      </c>
      <c r="P598" s="2" t="inlineStr">
        <is>
          <t>manual</t>
        </is>
      </c>
      <c r="Q598" s="2" t="inlineStr">
        <is>
          <t>no</t>
        </is>
      </c>
      <c r="R598" s="2" t="inlineStr">
        <is>
          <t>profesional</t>
        </is>
      </c>
      <c r="S598" s="2" t="inlineStr">
        <is>
          <t>Andrés Cars Castellón de la Plana / Castelló de la Plana</t>
        </is>
      </c>
      <c r="T598" s="2" t="inlineStr">
        <is>
          <t>2026-09-16T12:12:25Z</t>
        </is>
      </c>
      <c r="U598" s="2" t="n">
        <v>40</v>
      </c>
      <c r="V598" s="2" t="n"/>
      <c r="W598" s="2" t="n"/>
      <c r="X598" s="2" t="n"/>
      <c r="Y598" s="2" t="n">
        <v>1</v>
      </c>
      <c r="Z598" s="2" t="inlineStr">
        <is>
          <t>sí</t>
        </is>
      </c>
      <c r="AA598" s="2" t="n"/>
      <c r="AB598" s="2" t="n">
        <v>12</v>
      </c>
      <c r="AC598" s="2" t="n"/>
      <c r="AD598" s="2" t="n"/>
      <c r="AE598" s="2" t="n"/>
      <c r="AF598" s="2" t="n"/>
      <c r="AG598" s="2" t="n"/>
      <c r="AH598" s="2" t="n">
        <v>4350</v>
      </c>
      <c r="AI598" s="2" t="n"/>
      <c r="AJ598" s="2" t="n"/>
      <c r="AK598" s="2" t="n"/>
      <c r="AL598" s="2" t="n"/>
      <c r="AM598" s="2" t="n"/>
      <c r="AN598" s="2" t="n">
        <v>3150</v>
      </c>
      <c r="AO598" s="2" t="n">
        <v>8</v>
      </c>
      <c r="AP598" s="2" t="inlineStr">
        <is>
          <t>modelo+año+km</t>
        </is>
      </c>
      <c r="AQ598" s="2" t="n"/>
      <c r="AR598"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598" s="2" t="inlineStr">
        <is>
          <t xml:space="preserve">Etiqueta medio ambiental C.
Se vende Opel corsa C , vehículo nacional procedente de primera mano
Lleva motor 1,2 ECOTEC gasolina,con 80 CV de potencia y distribución por cadena.
Es el acabado enjoy y cuenta con : 
aire acondicionado, elevalunas eléctricos, control y limitador de velocidad , ordenador al bordo........
Admito prueba de taller.
ITV y documentación al día.
Cambio de nombre aparte 150 euros
Precio No negociable.. 
Anuncio  con titulo informativo y no contractual.
GRACIAS. 
Se puede recibir vehiculo como forma de pago.
</t>
        </is>
      </c>
      <c r="AT598" s="2" t="inlineStr">
        <is>
          <t>https://www.coches.net/opel-corsa-enjoy-12-5p-gasolina-2008-en-castellon-71526255-covo.aspx (window.__INITIAL_PROPS__.ad) /home/user/Alopecia/buscador-coches/raw/cochesnet/78a790bd19edaa5e.json</t>
        </is>
      </c>
      <c r="AU598" s="3">
        <f>MAX(ANIO_ACTUAL-M598,0)</f>
        <v/>
      </c>
      <c r="AV598" s="4">
        <f>N598/MAX(AU598,0.5)</f>
        <v/>
      </c>
      <c r="AW598" s="4">
        <f>F598</f>
        <v/>
      </c>
      <c r="AX598" s="3">
        <f>AW598&amp;"|"&amp;INT(M598/SEG_ANIO)*SEG_ANIO</f>
        <v/>
      </c>
      <c r="AY598" s="3">
        <f>AX598&amp;"|"&amp;INT(N598/SEG_KM)*SEG_KM</f>
        <v/>
      </c>
      <c r="AZ598" s="4">
        <f>COUNTIF($AW$2:$AW$662,AW598)</f>
        <v/>
      </c>
      <c r="BA598" s="4">
        <f>COUNTIF($AX$2:$AX$662,AX598)</f>
        <v/>
      </c>
      <c r="BB598" s="4">
        <f>COUNTIF($AY$2:$AY$662,AY598)</f>
        <v/>
      </c>
      <c r="BC598" s="3">
        <f t="array" ref="BC598">IF(N(AO598)&gt;=MIN_N,AN598,IF(BB598&gt;=MIN_N,MEDIAN(IF($AY$2:$AY$662=AY598,$O$2:$O$662)),IF(BA598&gt;=MIN_N,MEDIAN(IF($AX$2:$AX$662=AX598,$O$2:$O$662)),MEDIAN(IF($AW$2:$AW$662=AW598,$O$2:$O$662)))))</f>
        <v/>
      </c>
      <c r="BD598" s="3">
        <f>IF(N(AO598)&gt;=MIN_N,"mercado "&amp;AP598,IF(BB598&gt;=MIN_N,"modelo+año+km",IF(BA598&gt;=MIN_N,"modelo+año","modelo")))</f>
        <v/>
      </c>
      <c r="BE598" s="4">
        <f>(BC598-O598)/BC598</f>
        <v/>
      </c>
      <c r="BF598" s="3">
        <f>IF(OR(K598="hibrido",K598="glp"),"ECO",IF(K598="electrico","CERO",IF(K598="gasolina",IF(M598&gt;=GAS_C,"C",IF(M598&gt;=GAS_B,"B","A")),IF(K598="diesel",IF(M598&gt;=DIE_C,"C",IF(M598&gt;=DIE_B,"B","A")),""))))</f>
        <v/>
      </c>
      <c r="BG598" s="3">
        <f>IFERROR(VLOOKUP(F598,MOD_TBL,11,0),IFERROR(VLOOKUP(E598,OCU_TBL,2,0),NEUTRO))</f>
        <v/>
      </c>
      <c r="BH598" s="3">
        <f>SUMIFS(MOT_AJUSTE,MOT_MOTOR,G598,MOT_MARCA,E598,MOT_DESDE,"&lt;="&amp;M598,MOT_HASTA,"&gt;="&amp;M598)+SUMIFS(MOT_AJUSTE,MOT_MOTOR,G598,MOT_MARCA,"(todas)",MOT_DESDE,"&lt;="&amp;M598,MOT_HASTA,"&gt;="&amp;M598)</f>
        <v/>
      </c>
      <c r="BI598" s="3">
        <f>SUMIFS(COMB_AJUSTE,COMB_COMB,K598)</f>
        <v/>
      </c>
      <c r="BJ598" s="3">
        <f>COUNTIFS(MOT_MOTOR,G598,MOT_MARCA,E598,MOT_DESDE,"&lt;="&amp;M598,MOT_HASTA,"&gt;="&amp;M598)+COUNTIFS(MOT_MOTOR,G598,MOT_MARCA,"(todas)",MOT_DESDE,"&lt;="&amp;M598,MOT_HASTA,"&gt;="&amp;M598)</f>
        <v/>
      </c>
      <c r="BK598" s="3">
        <f>IF(AND(K598="diesel",BJ598=0),MIN(BG598,NEUTRO),BG598)</f>
        <v/>
      </c>
      <c r="BL598" s="4">
        <f>MAX(0,MIN(100,BK598+BH598+BI598))</f>
        <v/>
      </c>
      <c r="BM598" s="3">
        <f>MAX(0,MIN(100,50+BE598*PRECIO_PEND))</f>
        <v/>
      </c>
      <c r="BN598" s="3">
        <f>MAX(0,100*(1-N598/KM_MAX))</f>
        <v/>
      </c>
      <c r="BO598" s="3">
        <f>IF(AV598&lt;KMA_SOSP,IF(AA598="sí",100,KMA_PEN),IF(AV598&lt;=KMA_IDEAL_MAX,100,MAX(0,100*(KMA_CERO-AV598)/(KMA_CERO-KMA_IDEAL_MAX))))</f>
        <v/>
      </c>
      <c r="BP598" s="3">
        <f>MAX(0,MIN(100,100*(M598-ANIO_MIN)/(ANIO_ACTUAL-ANIO_MIN)))</f>
        <v/>
      </c>
      <c r="BQ598" s="3">
        <f>W_KMT*BN598+W_KMA*BO598+W_EDAD*BP598</f>
        <v/>
      </c>
      <c r="BR598" s="3">
        <f>P_ITV*(V598="sí")+P_LIBRO*(W598="sí")+P_CORREA*(X598="sí")+P_PROP*(Y598=1)+P_GAR*(Z598="sí")+P_FOTOS*MIN(1,N(U598)/FOTOS_OBJ)</f>
        <v/>
      </c>
      <c r="BS598" s="3">
        <f>IFERROR(VLOOKUP(BF598,ETQ_TBL,2,0),NEUTRO)</f>
        <v/>
      </c>
      <c r="BT598" s="3">
        <f>NEUTRO</f>
        <v/>
      </c>
      <c r="BU598" s="3">
        <f>IFERROR(VLOOKUP(L598,SEGURO_TBL,3,0),"")</f>
        <v/>
      </c>
      <c r="BV598" s="3">
        <f>IF(BU598="",NEUTRO,MAX(0,MIN(100,100*(SEG_REF_MAX-BU598)/(SEG_REF_MAX-SEG_REF_MIN))))</f>
        <v/>
      </c>
      <c r="BW598" s="3">
        <f>W_ET*BS598+W_CONS*BT598+W_SEG*BV598</f>
        <v/>
      </c>
      <c r="BX598" s="3">
        <f>IF(N(AB598)&gt;0,AB598,IF(AND(R598="profesional",SG_LEGAL_ON=1),GAR_LEGAL,0))</f>
        <v/>
      </c>
      <c r="BY598" s="3">
        <f>SG_GAR*MIN(1,BX598/SG_GAR_FULL)+SG_AMPL*(AC598="sí")+SG_KMC*(AF598="sí")+SG_REV*(N(AE598)&gt;0)+SG_DEV*MIN(1,N(AG598)/SG_DEV_FULL)+SG_HIST*(W598="sí")</f>
        <v/>
      </c>
      <c r="BZ598" s="3">
        <f>IFERROR(VLOOKUP(L598,CARR_PEN_TBL,2,0),0)</f>
        <v/>
      </c>
      <c r="CA598" s="3">
        <f>W_FIAB*BL598+W_PRECIO*BM598+W_KMEDAD*BQ598+W_ANUNCIO*BR598+W_USO*BW598+W_SEGURIDAD*BY598-BZ598</f>
        <v/>
      </c>
      <c r="CB598" s="4">
        <f>IF(N(I598)&gt;0,I598,IFERROR(ROUND(_xlfn.NUMBERVALUE(LEFT(G598,FIND(" ",G598&amp;" ")-1),".")*1000,0),99999))</f>
        <v/>
      </c>
      <c r="CC598" s="3">
        <f>IF(R598="profesional",0,IF(O598&lt;CUOTA_VALOR_MAX,IF(AU598&gt;ITP_TRAMO_ALTO,SUMIFS(CF_CUOTA,CF_MAS,ITP_TRAMO_ALTO,CF_CCMIN,"&lt;="&amp;CB598,CF_CCMAX,"&gt;="&amp;CB598),IF(AU598&gt;ITP_TRAMO_BAJO,SUMIFS(CF_CUOTA,CF_MAS,ITP_TRAMO_BAJO,CF_CCMIN,"&lt;="&amp;CB598,CF_CCMAX,"&gt;="&amp;CB598),O598*ITP_TIPO)),O598*ITP_TIPO))</f>
        <v/>
      </c>
      <c r="CD598" s="4">
        <f>IF(R598="profesional",N(AK598),0)</f>
        <v/>
      </c>
      <c r="CE598" s="3">
        <f>IF(AND(R598="profesional",ISNUMBER(AK598),AL598="sí"),0,TASA_DGT)</f>
        <v/>
      </c>
      <c r="CF598" s="3">
        <f>INFORME_DGT</f>
        <v/>
      </c>
      <c r="CG598" s="4">
        <f>O598+CD598+CC598+CE598+CF598</f>
        <v/>
      </c>
      <c r="CH598" s="4">
        <f>CG598+N(BU598)</f>
        <v/>
      </c>
      <c r="CI598" s="3">
        <f>IF(CG598&lt;=TOTAL_MAX,"sí",IF(CG598&lt;=TOTAL_MAX+MARGEN_NEG,"negociar","no"))</f>
        <v/>
      </c>
      <c r="CJ598" s="4">
        <f>IF(CI598&lt;&gt;"no",COUNTIFS($CI$2:$CI$662,"&lt;&gt;no",$CA$2:$CA$662,"&gt;"&amp;CA598)+COUNTIFS($CI$2:CI598,"&lt;&gt;no",$CA$2:CA598,CA598),"")</f>
        <v/>
      </c>
    </row>
    <row r="599">
      <c r="A599" s="2" t="inlineStr">
        <is>
          <t>cochesnet:71365444</t>
        </is>
      </c>
      <c r="B599" s="2" t="inlineStr">
        <is>
          <t>cochesnet</t>
        </is>
      </c>
      <c r="C599" s="2" t="inlineStr">
        <is>
          <t>https://www.coches.net/opel-corsa-cosmo-14-5p-gasolina-2008-en-castellon-71365444-covo.aspx</t>
        </is>
      </c>
      <c r="D599" s="2" t="inlineStr">
        <is>
          <t>OPEL Corsa Cosmo 1.4</t>
        </is>
      </c>
      <c r="E599" s="2" t="inlineStr">
        <is>
          <t>Opel</t>
        </is>
      </c>
      <c r="F599" s="2" t="inlineStr">
        <is>
          <t>Opel Corsa</t>
        </is>
      </c>
      <c r="G599" s="2" t="inlineStr">
        <is>
          <t>1.4</t>
        </is>
      </c>
      <c r="H599" s="2" t="inlineStr">
        <is>
          <t>Cosmo 1.4</t>
        </is>
      </c>
      <c r="I599" s="2" t="n"/>
      <c r="J599" s="2" t="n"/>
      <c r="K599" s="2" t="inlineStr">
        <is>
          <t>gasolina</t>
        </is>
      </c>
      <c r="L599" s="2" t="inlineStr">
        <is>
          <t>utilitario</t>
        </is>
      </c>
      <c r="M599" s="2" t="n">
        <v>2008</v>
      </c>
      <c r="N599" s="2" t="n">
        <v>190000</v>
      </c>
      <c r="O599" s="2" t="n">
        <v>2700</v>
      </c>
      <c r="P599" s="2" t="inlineStr">
        <is>
          <t>manual</t>
        </is>
      </c>
      <c r="Q599" s="2" t="inlineStr">
        <is>
          <t>no</t>
        </is>
      </c>
      <c r="R599" s="2" t="inlineStr">
        <is>
          <t>particular</t>
        </is>
      </c>
      <c r="S599" s="2" t="inlineStr">
        <is>
          <t>Castellón de la Plana / Castelló de la Plana</t>
        </is>
      </c>
      <c r="T599" s="2" t="inlineStr">
        <is>
          <t>2026-08-26T08:16:12Z</t>
        </is>
      </c>
      <c r="U599" s="2" t="n">
        <v>8</v>
      </c>
      <c r="V599" s="2" t="inlineStr">
        <is>
          <t>sí</t>
        </is>
      </c>
      <c r="W599" s="2" t="n"/>
      <c r="X599" s="2" t="inlineStr">
        <is>
          <t>sí</t>
        </is>
      </c>
      <c r="Y599" s="2" t="n"/>
      <c r="Z599" s="2" t="inlineStr">
        <is>
          <t>no</t>
        </is>
      </c>
      <c r="AA599" s="2" t="n"/>
      <c r="AB599" s="2" t="n"/>
      <c r="AC599" s="2" t="n"/>
      <c r="AD599" s="2" t="n"/>
      <c r="AE599" s="2" t="n"/>
      <c r="AF599" s="2" t="n"/>
      <c r="AG599" s="2" t="n"/>
      <c r="AH599" s="2" t="n">
        <v>2700</v>
      </c>
      <c r="AI599" s="2" t="n"/>
      <c r="AJ599" s="2" t="n"/>
      <c r="AK599" s="2" t="n"/>
      <c r="AL599" s="2" t="n"/>
      <c r="AM599" s="2" t="n"/>
      <c r="AN599" s="2" t="n">
        <v>3150</v>
      </c>
      <c r="AO599" s="2" t="n">
        <v>8</v>
      </c>
      <c r="AP599" s="2" t="inlineStr">
        <is>
          <t>modelo+año+km</t>
        </is>
      </c>
      <c r="AQ599" s="2" t="n"/>
      <c r="AR599" s="2" t="inlineStr">
        <is>
          <t>cuota fija ITP: &gt;12 años, hasta 1.500 cc; distancia no verificable (el anuncio solo indica la provincia): confirmar que está a &lt;= 70 km</t>
        </is>
      </c>
      <c r="AS599" s="2" t="inlineStr">
        <is>
          <t>Opel corsa  1.4 gasolina del 2008, con 197.000 km. ITV en vigor, correa de distribución cambiada, recién pintado y aire acondicionado funcionando perfectamente. Coche en buen estado, cuidado y listo para usar. Se puede ver y probar sin compromiso. Precio negociable</t>
        </is>
      </c>
      <c r="AT599" s="2" t="inlineStr">
        <is>
          <t>https://www.coches.net/opel-corsa-cosmo-14-5p-gasolina-2008-en-castellon-71365444-covo.aspx (window.__INITIAL_PROPS__.ad) /home/user/Alopecia/buscador-coches/raw/cochesnet/4e41899d9a47b325.json</t>
        </is>
      </c>
      <c r="AU599" s="3">
        <f>MAX(ANIO_ACTUAL-M599,0)</f>
        <v/>
      </c>
      <c r="AV599" s="4">
        <f>N599/MAX(AU599,0.5)</f>
        <v/>
      </c>
      <c r="AW599" s="4">
        <f>F599</f>
        <v/>
      </c>
      <c r="AX599" s="3">
        <f>AW599&amp;"|"&amp;INT(M599/SEG_ANIO)*SEG_ANIO</f>
        <v/>
      </c>
      <c r="AY599" s="3">
        <f>AX599&amp;"|"&amp;INT(N599/SEG_KM)*SEG_KM</f>
        <v/>
      </c>
      <c r="AZ599" s="4">
        <f>COUNTIF($AW$2:$AW$662,AW599)</f>
        <v/>
      </c>
      <c r="BA599" s="4">
        <f>COUNTIF($AX$2:$AX$662,AX599)</f>
        <v/>
      </c>
      <c r="BB599" s="4">
        <f>COUNTIF($AY$2:$AY$662,AY599)</f>
        <v/>
      </c>
      <c r="BC599" s="3">
        <f t="array" ref="BC599">IF(N(AO599)&gt;=MIN_N,AN599,IF(BB599&gt;=MIN_N,MEDIAN(IF($AY$2:$AY$662=AY599,$O$2:$O$662)),IF(BA599&gt;=MIN_N,MEDIAN(IF($AX$2:$AX$662=AX599,$O$2:$O$662)),MEDIAN(IF($AW$2:$AW$662=AW599,$O$2:$O$662)))))</f>
        <v/>
      </c>
      <c r="BD599" s="3">
        <f>IF(N(AO599)&gt;=MIN_N,"mercado "&amp;AP599,IF(BB599&gt;=MIN_N,"modelo+año+km",IF(BA599&gt;=MIN_N,"modelo+año","modelo")))</f>
        <v/>
      </c>
      <c r="BE599" s="4">
        <f>(BC599-O599)/BC599</f>
        <v/>
      </c>
      <c r="BF599" s="3">
        <f>IF(OR(K599="hibrido",K599="glp"),"ECO",IF(K599="electrico","CERO",IF(K599="gasolina",IF(M599&gt;=GAS_C,"C",IF(M599&gt;=GAS_B,"B","A")),IF(K599="diesel",IF(M599&gt;=DIE_C,"C",IF(M599&gt;=DIE_B,"B","A")),""))))</f>
        <v/>
      </c>
      <c r="BG599" s="3">
        <f>IFERROR(VLOOKUP(F599,MOD_TBL,11,0),IFERROR(VLOOKUP(E599,OCU_TBL,2,0),NEUTRO))</f>
        <v/>
      </c>
      <c r="BH599" s="3">
        <f>SUMIFS(MOT_AJUSTE,MOT_MOTOR,G599,MOT_MARCA,E599,MOT_DESDE,"&lt;="&amp;M599,MOT_HASTA,"&gt;="&amp;M599)+SUMIFS(MOT_AJUSTE,MOT_MOTOR,G599,MOT_MARCA,"(todas)",MOT_DESDE,"&lt;="&amp;M599,MOT_HASTA,"&gt;="&amp;M599)</f>
        <v/>
      </c>
      <c r="BI599" s="3">
        <f>SUMIFS(COMB_AJUSTE,COMB_COMB,K599)</f>
        <v/>
      </c>
      <c r="BJ599" s="3">
        <f>COUNTIFS(MOT_MOTOR,G599,MOT_MARCA,E599,MOT_DESDE,"&lt;="&amp;M599,MOT_HASTA,"&gt;="&amp;M599)+COUNTIFS(MOT_MOTOR,G599,MOT_MARCA,"(todas)",MOT_DESDE,"&lt;="&amp;M599,MOT_HASTA,"&gt;="&amp;M599)</f>
        <v/>
      </c>
      <c r="BK599" s="3">
        <f>IF(AND(K599="diesel",BJ599=0),MIN(BG599,NEUTRO),BG599)</f>
        <v/>
      </c>
      <c r="BL599" s="4">
        <f>MAX(0,MIN(100,BK599+BH599+BI599))</f>
        <v/>
      </c>
      <c r="BM599" s="3">
        <f>MAX(0,MIN(100,50+BE599*PRECIO_PEND))</f>
        <v/>
      </c>
      <c r="BN599" s="3">
        <f>MAX(0,100*(1-N599/KM_MAX))</f>
        <v/>
      </c>
      <c r="BO599" s="3">
        <f>IF(AV599&lt;KMA_SOSP,IF(AA599="sí",100,KMA_PEN),IF(AV599&lt;=KMA_IDEAL_MAX,100,MAX(0,100*(KMA_CERO-AV599)/(KMA_CERO-KMA_IDEAL_MAX))))</f>
        <v/>
      </c>
      <c r="BP599" s="3">
        <f>MAX(0,MIN(100,100*(M599-ANIO_MIN)/(ANIO_ACTUAL-ANIO_MIN)))</f>
        <v/>
      </c>
      <c r="BQ599" s="3">
        <f>W_KMT*BN599+W_KMA*BO599+W_EDAD*BP599</f>
        <v/>
      </c>
      <c r="BR599" s="3">
        <f>P_ITV*(V599="sí")+P_LIBRO*(W599="sí")+P_CORREA*(X599="sí")+P_PROP*(Y599=1)+P_GAR*(Z599="sí")+P_FOTOS*MIN(1,N(U599)/FOTOS_OBJ)</f>
        <v/>
      </c>
      <c r="BS599" s="3">
        <f>IFERROR(VLOOKUP(BF599,ETQ_TBL,2,0),NEUTRO)</f>
        <v/>
      </c>
      <c r="BT599" s="3">
        <f>NEUTRO</f>
        <v/>
      </c>
      <c r="BU599" s="3">
        <f>IFERROR(VLOOKUP(L599,SEGURO_TBL,3,0),"")</f>
        <v/>
      </c>
      <c r="BV599" s="3">
        <f>IF(BU599="",NEUTRO,MAX(0,MIN(100,100*(SEG_REF_MAX-BU599)/(SEG_REF_MAX-SEG_REF_MIN))))</f>
        <v/>
      </c>
      <c r="BW599" s="3">
        <f>W_ET*BS599+W_CONS*BT599+W_SEG*BV599</f>
        <v/>
      </c>
      <c r="BX599" s="3">
        <f>IF(N(AB599)&gt;0,AB599,IF(AND(R599="profesional",SG_LEGAL_ON=1),GAR_LEGAL,0))</f>
        <v/>
      </c>
      <c r="BY599" s="3">
        <f>SG_GAR*MIN(1,BX599/SG_GAR_FULL)+SG_AMPL*(AC599="sí")+SG_KMC*(AF599="sí")+SG_REV*(N(AE599)&gt;0)+SG_DEV*MIN(1,N(AG599)/SG_DEV_FULL)+SG_HIST*(W599="sí")</f>
        <v/>
      </c>
      <c r="BZ599" s="3">
        <f>IFERROR(VLOOKUP(L599,CARR_PEN_TBL,2,0),0)</f>
        <v/>
      </c>
      <c r="CA599" s="3">
        <f>W_FIAB*BL599+W_PRECIO*BM599+W_KMEDAD*BQ599+W_ANUNCIO*BR599+W_USO*BW599+W_SEGURIDAD*BY599-BZ599</f>
        <v/>
      </c>
      <c r="CB599" s="4">
        <f>IF(N(I599)&gt;0,I599,IFERROR(ROUND(_xlfn.NUMBERVALUE(LEFT(G599,FIND(" ",G599&amp;" ")-1),".")*1000,0),99999))</f>
        <v/>
      </c>
      <c r="CC599" s="3">
        <f>IF(R599="profesional",0,IF(O599&lt;CUOTA_VALOR_MAX,IF(AU599&gt;ITP_TRAMO_ALTO,SUMIFS(CF_CUOTA,CF_MAS,ITP_TRAMO_ALTO,CF_CCMIN,"&lt;="&amp;CB599,CF_CCMAX,"&gt;="&amp;CB599),IF(AU599&gt;ITP_TRAMO_BAJO,SUMIFS(CF_CUOTA,CF_MAS,ITP_TRAMO_BAJO,CF_CCMIN,"&lt;="&amp;CB599,CF_CCMAX,"&gt;="&amp;CB599),O599*ITP_TIPO)),O599*ITP_TIPO))</f>
        <v/>
      </c>
      <c r="CD599" s="4">
        <f>IF(R599="profesional",N(AK599),0)</f>
        <v/>
      </c>
      <c r="CE599" s="3">
        <f>IF(AND(R599="profesional",ISNUMBER(AK599),AL599="sí"),0,TASA_DGT)</f>
        <v/>
      </c>
      <c r="CF599" s="3">
        <f>INFORME_DGT</f>
        <v/>
      </c>
      <c r="CG599" s="4">
        <f>O599+CD599+CC599+CE599+CF599</f>
        <v/>
      </c>
      <c r="CH599" s="4">
        <f>CG599+N(BU599)</f>
        <v/>
      </c>
      <c r="CI599" s="3">
        <f>IF(CG599&lt;=TOTAL_MAX,"sí",IF(CG599&lt;=TOTAL_MAX+MARGEN_NEG,"negociar","no"))</f>
        <v/>
      </c>
      <c r="CJ599" s="4">
        <f>IF(CI599&lt;&gt;"no",COUNTIFS($CI$2:$CI$662,"&lt;&gt;no",$CA$2:$CA$662,"&gt;"&amp;CA599)+COUNTIFS($CI$2:CI599,"&lt;&gt;no",$CA$2:CA599,CA599),"")</f>
        <v/>
      </c>
    </row>
    <row r="600">
      <c r="A600" s="2" t="inlineStr">
        <is>
          <t>cochesnet:71364410</t>
        </is>
      </c>
      <c r="B600" s="2" t="inlineStr">
        <is>
          <t>cochesnet</t>
        </is>
      </c>
      <c r="C600" s="2" t="inlineStr">
        <is>
          <t>https://www.coches.net/opel-astra-gtc-17-cdti-sport-6velocidades-3p-diesel-2006-en-castellon-71364410-covo.aspx</t>
        </is>
      </c>
      <c r="D600" s="2" t="inlineStr">
        <is>
          <t>OPEL Astra GTC 1.7 CDTi Sport 6velocidades</t>
        </is>
      </c>
      <c r="E600" s="2" t="inlineStr">
        <is>
          <t>Opel</t>
        </is>
      </c>
      <c r="F600" s="2" t="inlineStr">
        <is>
          <t>Opel Astra</t>
        </is>
      </c>
      <c r="G600" s="2" t="inlineStr">
        <is>
          <t>1.7 CDTi</t>
        </is>
      </c>
      <c r="H600" s="2" t="inlineStr">
        <is>
          <t>GTC 1.7 CDTi Sport 6velocidades</t>
        </is>
      </c>
      <c r="I600" s="2" t="n"/>
      <c r="J600" s="2" t="n"/>
      <c r="K600" s="2" t="inlineStr">
        <is>
          <t>diesel</t>
        </is>
      </c>
      <c r="L600" s="2" t="inlineStr">
        <is>
          <t>compacto</t>
        </is>
      </c>
      <c r="M600" s="2" t="n">
        <v>2006</v>
      </c>
      <c r="N600" s="2" t="n">
        <v>168000</v>
      </c>
      <c r="O600" s="2" t="n">
        <v>4700</v>
      </c>
      <c r="P600" s="2" t="inlineStr">
        <is>
          <t>manual</t>
        </is>
      </c>
      <c r="Q600" s="2" t="inlineStr">
        <is>
          <t>no</t>
        </is>
      </c>
      <c r="R600" s="2" t="inlineStr">
        <is>
          <t>particular</t>
        </is>
      </c>
      <c r="S600" s="2" t="inlineStr">
        <is>
          <t>Almenara</t>
        </is>
      </c>
      <c r="T600" s="2" t="inlineStr">
        <is>
          <t>2026-08-25T21:04:38Z</t>
        </is>
      </c>
      <c r="U600" s="2" t="n">
        <v>4</v>
      </c>
      <c r="V600" s="2" t="n"/>
      <c r="W600" s="2" t="n"/>
      <c r="X600" s="2" t="n"/>
      <c r="Y600" s="2" t="n"/>
      <c r="Z600" s="2" t="inlineStr">
        <is>
          <t>no</t>
        </is>
      </c>
      <c r="AA600" s="2" t="n"/>
      <c r="AB600" s="2" t="n"/>
      <c r="AC600" s="2" t="n"/>
      <c r="AD600" s="2" t="n"/>
      <c r="AE600" s="2" t="n"/>
      <c r="AF600" s="2" t="n"/>
      <c r="AG600" s="2" t="n"/>
      <c r="AH600" s="2" t="n">
        <v>4700</v>
      </c>
      <c r="AI600" s="2" t="n"/>
      <c r="AJ600" s="2" t="n"/>
      <c r="AK600" s="2" t="n"/>
      <c r="AL600" s="2" t="n"/>
      <c r="AM600" s="2" t="n">
        <v>34.1</v>
      </c>
      <c r="AN600" s="2" t="n">
        <v>2850</v>
      </c>
      <c r="AO600" s="2" t="n">
        <v>16</v>
      </c>
      <c r="AP600" s="2" t="inlineStr">
        <is>
          <t>modelo+año+km</t>
        </is>
      </c>
      <c r="AQ600" s="2" t="n"/>
      <c r="AR600" s="2" t="inlineStr">
        <is>
          <t>cuota fija ITP: &gt;12 años, 1.501-2.000 cc; diésel: motor sin fuente de fiabilidad (fiabilidad limitada a neutra)</t>
        </is>
      </c>
      <c r="AS600" s="2" t="inlineStr">
        <is>
          <t xml:space="preserve">Mantenimiento todo al día 
Se puede ver y probar cuando se quiera 
Acepto pruebas mecánicas 
</t>
        </is>
      </c>
      <c r="AT600" s="2" t="inlineStr">
        <is>
          <t>https://www.coches.net/opel-astra-gtc-17-cdti-sport-6velocidades-3p-diesel-2006-en-castellon-71364410-covo.aspx (window.__INITIAL_PROPS__.ad) /home/user/Alopecia/buscador-coches/raw/cochesnet/115f20cd6db9e015.json</t>
        </is>
      </c>
      <c r="AU600" s="3">
        <f>MAX(ANIO_ACTUAL-M600,0)</f>
        <v/>
      </c>
      <c r="AV600" s="4">
        <f>N600/MAX(AU600,0.5)</f>
        <v/>
      </c>
      <c r="AW600" s="4">
        <f>F600</f>
        <v/>
      </c>
      <c r="AX600" s="3">
        <f>AW600&amp;"|"&amp;INT(M600/SEG_ANIO)*SEG_ANIO</f>
        <v/>
      </c>
      <c r="AY600" s="3">
        <f>AX600&amp;"|"&amp;INT(N600/SEG_KM)*SEG_KM</f>
        <v/>
      </c>
      <c r="AZ600" s="4">
        <f>COUNTIF($AW$2:$AW$662,AW600)</f>
        <v/>
      </c>
      <c r="BA600" s="4">
        <f>COUNTIF($AX$2:$AX$662,AX600)</f>
        <v/>
      </c>
      <c r="BB600" s="4">
        <f>COUNTIF($AY$2:$AY$662,AY600)</f>
        <v/>
      </c>
      <c r="BC600" s="3">
        <f t="array" ref="BC600">IF(N(AO600)&gt;=MIN_N,AN600,IF(BB600&gt;=MIN_N,MEDIAN(IF($AY$2:$AY$662=AY600,$O$2:$O$662)),IF(BA600&gt;=MIN_N,MEDIAN(IF($AX$2:$AX$662=AX600,$O$2:$O$662)),MEDIAN(IF($AW$2:$AW$662=AW600,$O$2:$O$662)))))</f>
        <v/>
      </c>
      <c r="BD600" s="3">
        <f>IF(N(AO600)&gt;=MIN_N,"mercado "&amp;AP600,IF(BB600&gt;=MIN_N,"modelo+año+km",IF(BA600&gt;=MIN_N,"modelo+año","modelo")))</f>
        <v/>
      </c>
      <c r="BE600" s="4">
        <f>(BC600-O600)/BC600</f>
        <v/>
      </c>
      <c r="BF600" s="3">
        <f>IF(OR(K600="hibrido",K600="glp"),"ECO",IF(K600="electrico","CERO",IF(K600="gasolina",IF(M600&gt;=GAS_C,"C",IF(M600&gt;=GAS_B,"B","A")),IF(K600="diesel",IF(M600&gt;=DIE_C,"C",IF(M600&gt;=DIE_B,"B","A")),""))))</f>
        <v/>
      </c>
      <c r="BG600" s="3">
        <f>IFERROR(VLOOKUP(F600,MOD_TBL,11,0),IFERROR(VLOOKUP(E600,OCU_TBL,2,0),NEUTRO))</f>
        <v/>
      </c>
      <c r="BH600" s="3">
        <f>SUMIFS(MOT_AJUSTE,MOT_MOTOR,G600,MOT_MARCA,E600,MOT_DESDE,"&lt;="&amp;M600,MOT_HASTA,"&gt;="&amp;M600)+SUMIFS(MOT_AJUSTE,MOT_MOTOR,G600,MOT_MARCA,"(todas)",MOT_DESDE,"&lt;="&amp;M600,MOT_HASTA,"&gt;="&amp;M600)</f>
        <v/>
      </c>
      <c r="BI600" s="3">
        <f>SUMIFS(COMB_AJUSTE,COMB_COMB,K600)</f>
        <v/>
      </c>
      <c r="BJ600" s="3">
        <f>COUNTIFS(MOT_MOTOR,G600,MOT_MARCA,E600,MOT_DESDE,"&lt;="&amp;M600,MOT_HASTA,"&gt;="&amp;M600)+COUNTIFS(MOT_MOTOR,G600,MOT_MARCA,"(todas)",MOT_DESDE,"&lt;="&amp;M600,MOT_HASTA,"&gt;="&amp;M600)</f>
        <v/>
      </c>
      <c r="BK600" s="3">
        <f>IF(AND(K600="diesel",BJ600=0),MIN(BG600,NEUTRO),BG600)</f>
        <v/>
      </c>
      <c r="BL600" s="4">
        <f>MAX(0,MIN(100,BK600+BH600+BI600))</f>
        <v/>
      </c>
      <c r="BM600" s="3">
        <f>MAX(0,MIN(100,50+BE600*PRECIO_PEND))</f>
        <v/>
      </c>
      <c r="BN600" s="3">
        <f>MAX(0,100*(1-N600/KM_MAX))</f>
        <v/>
      </c>
      <c r="BO600" s="3">
        <f>IF(AV600&lt;KMA_SOSP,IF(AA600="sí",100,KMA_PEN),IF(AV600&lt;=KMA_IDEAL_MAX,100,MAX(0,100*(KMA_CERO-AV600)/(KMA_CERO-KMA_IDEAL_MAX))))</f>
        <v/>
      </c>
      <c r="BP600" s="3">
        <f>MAX(0,MIN(100,100*(M600-ANIO_MIN)/(ANIO_ACTUAL-ANIO_MIN)))</f>
        <v/>
      </c>
      <c r="BQ600" s="3">
        <f>W_KMT*BN600+W_KMA*BO600+W_EDAD*BP600</f>
        <v/>
      </c>
      <c r="BR600" s="3">
        <f>P_ITV*(V600="sí")+P_LIBRO*(W600="sí")+P_CORREA*(X600="sí")+P_PROP*(Y600=1)+P_GAR*(Z600="sí")+P_FOTOS*MIN(1,N(U600)/FOTOS_OBJ)</f>
        <v/>
      </c>
      <c r="BS600" s="3">
        <f>IFERROR(VLOOKUP(BF600,ETQ_TBL,2,0),NEUTRO)</f>
        <v/>
      </c>
      <c r="BT600" s="3">
        <f>NEUTRO</f>
        <v/>
      </c>
      <c r="BU600" s="3">
        <f>IFERROR(VLOOKUP(L600,SEGURO_TBL,3,0),"")</f>
        <v/>
      </c>
      <c r="BV600" s="3">
        <f>IF(BU600="",NEUTRO,MAX(0,MIN(100,100*(SEG_REF_MAX-BU600)/(SEG_REF_MAX-SEG_REF_MIN))))</f>
        <v/>
      </c>
      <c r="BW600" s="3">
        <f>W_ET*BS600+W_CONS*BT600+W_SEG*BV600</f>
        <v/>
      </c>
      <c r="BX600" s="3">
        <f>IF(N(AB600)&gt;0,AB600,IF(AND(R600="profesional",SG_LEGAL_ON=1),GAR_LEGAL,0))</f>
        <v/>
      </c>
      <c r="BY600" s="3">
        <f>SG_GAR*MIN(1,BX600/SG_GAR_FULL)+SG_AMPL*(AC600="sí")+SG_KMC*(AF600="sí")+SG_REV*(N(AE600)&gt;0)+SG_DEV*MIN(1,N(AG600)/SG_DEV_FULL)+SG_HIST*(W600="sí")</f>
        <v/>
      </c>
      <c r="BZ600" s="3">
        <f>IFERROR(VLOOKUP(L600,CARR_PEN_TBL,2,0),0)</f>
        <v/>
      </c>
      <c r="CA600" s="3">
        <f>W_FIAB*BL600+W_PRECIO*BM600+W_KMEDAD*BQ600+W_ANUNCIO*BR600+W_USO*BW600+W_SEGURIDAD*BY600-BZ600</f>
        <v/>
      </c>
      <c r="CB600" s="4">
        <f>IF(N(I600)&gt;0,I600,IFERROR(ROUND(_xlfn.NUMBERVALUE(LEFT(G600,FIND(" ",G600&amp;" ")-1),".")*1000,0),99999))</f>
        <v/>
      </c>
      <c r="CC600" s="3">
        <f>IF(R600="profesional",0,IF(O600&lt;CUOTA_VALOR_MAX,IF(AU600&gt;ITP_TRAMO_ALTO,SUMIFS(CF_CUOTA,CF_MAS,ITP_TRAMO_ALTO,CF_CCMIN,"&lt;="&amp;CB600,CF_CCMAX,"&gt;="&amp;CB600),IF(AU600&gt;ITP_TRAMO_BAJO,SUMIFS(CF_CUOTA,CF_MAS,ITP_TRAMO_BAJO,CF_CCMIN,"&lt;="&amp;CB600,CF_CCMAX,"&gt;="&amp;CB600),O600*ITP_TIPO)),O600*ITP_TIPO))</f>
        <v/>
      </c>
      <c r="CD600" s="4">
        <f>IF(R600="profesional",N(AK600),0)</f>
        <v/>
      </c>
      <c r="CE600" s="3">
        <f>IF(AND(R600="profesional",ISNUMBER(AK600),AL600="sí"),0,TASA_DGT)</f>
        <v/>
      </c>
      <c r="CF600" s="3">
        <f>INFORME_DGT</f>
        <v/>
      </c>
      <c r="CG600" s="4">
        <f>O600+CD600+CC600+CE600+CF600</f>
        <v/>
      </c>
      <c r="CH600" s="4">
        <f>CG600+N(BU600)</f>
        <v/>
      </c>
      <c r="CI600" s="3">
        <f>IF(CG600&lt;=TOTAL_MAX,"sí",IF(CG600&lt;=TOTAL_MAX+MARGEN_NEG,"negociar","no"))</f>
        <v/>
      </c>
      <c r="CJ600" s="4">
        <f>IF(CI600&lt;&gt;"no",COUNTIFS($CI$2:$CI$662,"&lt;&gt;no",$CA$2:$CA$662,"&gt;"&amp;CA600)+COUNTIFS($CI$2:CI600,"&lt;&gt;no",$CA$2:CA600,CA600),"")</f>
        <v/>
      </c>
    </row>
    <row r="601">
      <c r="A601" s="2" t="inlineStr">
        <is>
          <t>cochesnet:71357426</t>
        </is>
      </c>
      <c r="B601" s="2" t="inlineStr">
        <is>
          <t>cochesnet</t>
        </is>
      </c>
      <c r="C601" s="2" t="inlineStr">
        <is>
          <t>https://www.coches.net/opel-corsa-gasolina-2008-en-castellon-71357426-covo.aspx</t>
        </is>
      </c>
      <c r="D601" s="2" t="inlineStr">
        <is>
          <t>OPEL Corsa</t>
        </is>
      </c>
      <c r="E601" s="2" t="inlineStr">
        <is>
          <t>Opel</t>
        </is>
      </c>
      <c r="F601" s="2" t="inlineStr">
        <is>
          <t>Opel Corsa</t>
        </is>
      </c>
      <c r="G601" s="2" t="n"/>
      <c r="H601" s="2" t="n"/>
      <c r="I601" s="2" t="n"/>
      <c r="J601" s="2" t="n"/>
      <c r="K601" s="2" t="inlineStr">
        <is>
          <t>gasolina</t>
        </is>
      </c>
      <c r="L601" s="2" t="inlineStr">
        <is>
          <t>utilitario</t>
        </is>
      </c>
      <c r="M601" s="2" t="n">
        <v>2008</v>
      </c>
      <c r="N601" s="2" t="n">
        <v>197000</v>
      </c>
      <c r="O601" s="2" t="n">
        <v>3000</v>
      </c>
      <c r="P601" s="2" t="inlineStr">
        <is>
          <t>manual</t>
        </is>
      </c>
      <c r="Q601" s="2" t="inlineStr">
        <is>
          <t>no</t>
        </is>
      </c>
      <c r="R601" s="2" t="inlineStr">
        <is>
          <t>particular</t>
        </is>
      </c>
      <c r="S601" s="2" t="n"/>
      <c r="T601" s="2" t="inlineStr">
        <is>
          <t>2026-08-25T01:13:01Z</t>
        </is>
      </c>
      <c r="U601" s="2" t="n">
        <v>9</v>
      </c>
      <c r="V601" s="2" t="inlineStr">
        <is>
          <t>sí</t>
        </is>
      </c>
      <c r="W601" s="2" t="n"/>
      <c r="X601" s="2" t="inlineStr">
        <is>
          <t>sí</t>
        </is>
      </c>
      <c r="Y601" s="2" t="n"/>
      <c r="Z601" s="2" t="inlineStr">
        <is>
          <t>no</t>
        </is>
      </c>
      <c r="AA601" s="2" t="n"/>
      <c r="AB601" s="2" t="n"/>
      <c r="AC601" s="2" t="n"/>
      <c r="AD601" s="2" t="n"/>
      <c r="AE601" s="2" t="n"/>
      <c r="AF601" s="2" t="n"/>
      <c r="AG601" s="2" t="n"/>
      <c r="AH601" s="2" t="n">
        <v>3000</v>
      </c>
      <c r="AI601" s="2" t="n"/>
      <c r="AJ601" s="2" t="n"/>
      <c r="AK601" s="2" t="n"/>
      <c r="AL601" s="2" t="n"/>
      <c r="AM601" s="2" t="n"/>
      <c r="AN601" s="2" t="n">
        <v>3150</v>
      </c>
      <c r="AO601" s="2" t="n">
        <v>8</v>
      </c>
      <c r="AP601" s="2" t="inlineStr">
        <is>
          <t>modelo+año+km</t>
        </is>
      </c>
      <c r="AQ601" s="2" t="n"/>
      <c r="AR601" s="2" t="inlineStr">
        <is>
          <t>cilindrada desconocida: se aplica el tramo de cuota fija más alto; cuota fija ITP: &gt;12 años, más de 2.000 cc; distancia no verificable (el anuncio solo indica la provincia): confirmar que está a &lt;= 70 km</t>
        </is>
      </c>
      <c r="AS601" s="2" t="inlineStr">
        <is>
          <t xml:space="preserve">Opel corsa  1.4 gasolina del 2008, con 197.000 km. ITV en vigor, correa de distribución cambiada, recién pintado y aire acondicionado funcionando perfectamente. Coche en buen estado, cuidado y listo para usar. Se puede ver y probar sin compromiso. Precio negociable
</t>
        </is>
      </c>
      <c r="AT601" s="2" t="inlineStr">
        <is>
          <t>https://www.coches.net/opel-corsa-gasolina-2008-en-castellon-71357426-covo.aspx (window.__INITIAL_PROPS__.ad) /home/user/Alopecia/buscador-coches/raw/cochesnet/ac9daa71f5433ffc.json</t>
        </is>
      </c>
      <c r="AU601" s="3">
        <f>MAX(ANIO_ACTUAL-M601,0)</f>
        <v/>
      </c>
      <c r="AV601" s="4">
        <f>N601/MAX(AU601,0.5)</f>
        <v/>
      </c>
      <c r="AW601" s="4">
        <f>F601</f>
        <v/>
      </c>
      <c r="AX601" s="3">
        <f>AW601&amp;"|"&amp;INT(M601/SEG_ANIO)*SEG_ANIO</f>
        <v/>
      </c>
      <c r="AY601" s="3">
        <f>AX601&amp;"|"&amp;INT(N601/SEG_KM)*SEG_KM</f>
        <v/>
      </c>
      <c r="AZ601" s="4">
        <f>COUNTIF($AW$2:$AW$662,AW601)</f>
        <v/>
      </c>
      <c r="BA601" s="4">
        <f>COUNTIF($AX$2:$AX$662,AX601)</f>
        <v/>
      </c>
      <c r="BB601" s="4">
        <f>COUNTIF($AY$2:$AY$662,AY601)</f>
        <v/>
      </c>
      <c r="BC601" s="3">
        <f t="array" ref="BC601">IF(N(AO601)&gt;=MIN_N,AN601,IF(BB601&gt;=MIN_N,MEDIAN(IF($AY$2:$AY$662=AY601,$O$2:$O$662)),IF(BA601&gt;=MIN_N,MEDIAN(IF($AX$2:$AX$662=AX601,$O$2:$O$662)),MEDIAN(IF($AW$2:$AW$662=AW601,$O$2:$O$662)))))</f>
        <v/>
      </c>
      <c r="BD601" s="3">
        <f>IF(N(AO601)&gt;=MIN_N,"mercado "&amp;AP601,IF(BB601&gt;=MIN_N,"modelo+año+km",IF(BA601&gt;=MIN_N,"modelo+año","modelo")))</f>
        <v/>
      </c>
      <c r="BE601" s="4">
        <f>(BC601-O601)/BC601</f>
        <v/>
      </c>
      <c r="BF601" s="3">
        <f>IF(OR(K601="hibrido",K601="glp"),"ECO",IF(K601="electrico","CERO",IF(K601="gasolina",IF(M601&gt;=GAS_C,"C",IF(M601&gt;=GAS_B,"B","A")),IF(K601="diesel",IF(M601&gt;=DIE_C,"C",IF(M601&gt;=DIE_B,"B","A")),""))))</f>
        <v/>
      </c>
      <c r="BG601" s="3">
        <f>IFERROR(VLOOKUP(F601,MOD_TBL,11,0),IFERROR(VLOOKUP(E601,OCU_TBL,2,0),NEUTRO))</f>
        <v/>
      </c>
      <c r="BH601" s="3">
        <f>SUMIFS(MOT_AJUSTE,MOT_MOTOR,G601,MOT_MARCA,E601,MOT_DESDE,"&lt;="&amp;M601,MOT_HASTA,"&gt;="&amp;M601)+SUMIFS(MOT_AJUSTE,MOT_MOTOR,G601,MOT_MARCA,"(todas)",MOT_DESDE,"&lt;="&amp;M601,MOT_HASTA,"&gt;="&amp;M601)</f>
        <v/>
      </c>
      <c r="BI601" s="3">
        <f>SUMIFS(COMB_AJUSTE,COMB_COMB,K601)</f>
        <v/>
      </c>
      <c r="BJ601" s="3">
        <f>COUNTIFS(MOT_MOTOR,G601,MOT_MARCA,E601,MOT_DESDE,"&lt;="&amp;M601,MOT_HASTA,"&gt;="&amp;M601)+COUNTIFS(MOT_MOTOR,G601,MOT_MARCA,"(todas)",MOT_DESDE,"&lt;="&amp;M601,MOT_HASTA,"&gt;="&amp;M601)</f>
        <v/>
      </c>
      <c r="BK601" s="3">
        <f>IF(AND(K601="diesel",BJ601=0),MIN(BG601,NEUTRO),BG601)</f>
        <v/>
      </c>
      <c r="BL601" s="4">
        <f>MAX(0,MIN(100,BK601+BH601+BI601))</f>
        <v/>
      </c>
      <c r="BM601" s="3">
        <f>MAX(0,MIN(100,50+BE601*PRECIO_PEND))</f>
        <v/>
      </c>
      <c r="BN601" s="3">
        <f>MAX(0,100*(1-N601/KM_MAX))</f>
        <v/>
      </c>
      <c r="BO601" s="3">
        <f>IF(AV601&lt;KMA_SOSP,IF(AA601="sí",100,KMA_PEN),IF(AV601&lt;=KMA_IDEAL_MAX,100,MAX(0,100*(KMA_CERO-AV601)/(KMA_CERO-KMA_IDEAL_MAX))))</f>
        <v/>
      </c>
      <c r="BP601" s="3">
        <f>MAX(0,MIN(100,100*(M601-ANIO_MIN)/(ANIO_ACTUAL-ANIO_MIN)))</f>
        <v/>
      </c>
      <c r="BQ601" s="3">
        <f>W_KMT*BN601+W_KMA*BO601+W_EDAD*BP601</f>
        <v/>
      </c>
      <c r="BR601" s="3">
        <f>P_ITV*(V601="sí")+P_LIBRO*(W601="sí")+P_CORREA*(X601="sí")+P_PROP*(Y601=1)+P_GAR*(Z601="sí")+P_FOTOS*MIN(1,N(U601)/FOTOS_OBJ)</f>
        <v/>
      </c>
      <c r="BS601" s="3">
        <f>IFERROR(VLOOKUP(BF601,ETQ_TBL,2,0),NEUTRO)</f>
        <v/>
      </c>
      <c r="BT601" s="3">
        <f>NEUTRO</f>
        <v/>
      </c>
      <c r="BU601" s="3">
        <f>IFERROR(VLOOKUP(L601,SEGURO_TBL,3,0),"")</f>
        <v/>
      </c>
      <c r="BV601" s="3">
        <f>IF(BU601="",NEUTRO,MAX(0,MIN(100,100*(SEG_REF_MAX-BU601)/(SEG_REF_MAX-SEG_REF_MIN))))</f>
        <v/>
      </c>
      <c r="BW601" s="3">
        <f>W_ET*BS601+W_CONS*BT601+W_SEG*BV601</f>
        <v/>
      </c>
      <c r="BX601" s="3">
        <f>IF(N(AB601)&gt;0,AB601,IF(AND(R601="profesional",SG_LEGAL_ON=1),GAR_LEGAL,0))</f>
        <v/>
      </c>
      <c r="BY601" s="3">
        <f>SG_GAR*MIN(1,BX601/SG_GAR_FULL)+SG_AMPL*(AC601="sí")+SG_KMC*(AF601="sí")+SG_REV*(N(AE601)&gt;0)+SG_DEV*MIN(1,N(AG601)/SG_DEV_FULL)+SG_HIST*(W601="sí")</f>
        <v/>
      </c>
      <c r="BZ601" s="3">
        <f>IFERROR(VLOOKUP(L601,CARR_PEN_TBL,2,0),0)</f>
        <v/>
      </c>
      <c r="CA601" s="3">
        <f>W_FIAB*BL601+W_PRECIO*BM601+W_KMEDAD*BQ601+W_ANUNCIO*BR601+W_USO*BW601+W_SEGURIDAD*BY601-BZ601</f>
        <v/>
      </c>
      <c r="CB601" s="4">
        <f>IF(N(I601)&gt;0,I601,IFERROR(ROUND(_xlfn.NUMBERVALUE(LEFT(G601,FIND(" ",G601&amp;" ")-1),".")*1000,0),99999))</f>
        <v/>
      </c>
      <c r="CC601" s="3">
        <f>IF(R601="profesional",0,IF(O601&lt;CUOTA_VALOR_MAX,IF(AU601&gt;ITP_TRAMO_ALTO,SUMIFS(CF_CUOTA,CF_MAS,ITP_TRAMO_ALTO,CF_CCMIN,"&lt;="&amp;CB601,CF_CCMAX,"&gt;="&amp;CB601),IF(AU601&gt;ITP_TRAMO_BAJO,SUMIFS(CF_CUOTA,CF_MAS,ITP_TRAMO_BAJO,CF_CCMIN,"&lt;="&amp;CB601,CF_CCMAX,"&gt;="&amp;CB601),O601*ITP_TIPO)),O601*ITP_TIPO))</f>
        <v/>
      </c>
      <c r="CD601" s="4">
        <f>IF(R601="profesional",N(AK601),0)</f>
        <v/>
      </c>
      <c r="CE601" s="3">
        <f>IF(AND(R601="profesional",ISNUMBER(AK601),AL601="sí"),0,TASA_DGT)</f>
        <v/>
      </c>
      <c r="CF601" s="3">
        <f>INFORME_DGT</f>
        <v/>
      </c>
      <c r="CG601" s="4">
        <f>O601+CD601+CC601+CE601+CF601</f>
        <v/>
      </c>
      <c r="CH601" s="4">
        <f>CG601+N(BU601)</f>
        <v/>
      </c>
      <c r="CI601" s="3">
        <f>IF(CG601&lt;=TOTAL_MAX,"sí",IF(CG601&lt;=TOTAL_MAX+MARGEN_NEG,"negociar","no"))</f>
        <v/>
      </c>
      <c r="CJ601" s="4">
        <f>IF(CI601&lt;&gt;"no",COUNTIFS($CI$2:$CI$662,"&lt;&gt;no",$CA$2:$CA$662,"&gt;"&amp;CA601)+COUNTIFS($CI$2:CI601,"&lt;&gt;no",$CA$2:CA601,CA601),"")</f>
        <v/>
      </c>
    </row>
    <row r="602">
      <c r="A602" s="2" t="inlineStr">
        <is>
          <t>cochesnet:71309711</t>
        </is>
      </c>
      <c r="B602" s="2" t="inlineStr">
        <is>
          <t>cochesnet</t>
        </is>
      </c>
      <c r="C602" s="2" t="inlineStr">
        <is>
          <t>https://www.coches.net/opel-astra-17-cdti-cosmo-5p-diesel-2010-en-castellon-71309711-covo.aspx</t>
        </is>
      </c>
      <c r="D602" s="2" t="inlineStr">
        <is>
          <t>OPEL Astra 1.7 CDTi Cosmo</t>
        </is>
      </c>
      <c r="E602" s="2" t="inlineStr">
        <is>
          <t>Opel</t>
        </is>
      </c>
      <c r="F602" s="2" t="inlineStr">
        <is>
          <t>Opel Astra</t>
        </is>
      </c>
      <c r="G602" s="2" t="inlineStr">
        <is>
          <t>1.7 CDTi</t>
        </is>
      </c>
      <c r="H602" s="2" t="inlineStr">
        <is>
          <t>1.7 CDTi Cosmo</t>
        </is>
      </c>
      <c r="I602" s="2" t="n"/>
      <c r="J602" s="2" t="n"/>
      <c r="K602" s="2" t="inlineStr">
        <is>
          <t>diesel</t>
        </is>
      </c>
      <c r="L602" s="2" t="inlineStr">
        <is>
          <t>compacto</t>
        </is>
      </c>
      <c r="M602" s="2" t="n">
        <v>2010</v>
      </c>
      <c r="N602" s="2" t="n">
        <v>180000</v>
      </c>
      <c r="O602" s="2" t="n">
        <v>3200</v>
      </c>
      <c r="P602" s="2" t="inlineStr">
        <is>
          <t>manual</t>
        </is>
      </c>
      <c r="Q602" s="2" t="inlineStr">
        <is>
          <t>no</t>
        </is>
      </c>
      <c r="R602" s="2" t="inlineStr">
        <is>
          <t>particular</t>
        </is>
      </c>
      <c r="S602" s="2" t="inlineStr">
        <is>
          <t>Castellón de la Plana / Castelló de la Plana</t>
        </is>
      </c>
      <c r="T602" s="2" t="inlineStr">
        <is>
          <t>2026-08-17T21:05:22Z</t>
        </is>
      </c>
      <c r="U602" s="2" t="n">
        <v>9</v>
      </c>
      <c r="V602" s="2" t="inlineStr">
        <is>
          <t>sí</t>
        </is>
      </c>
      <c r="W602" s="2" t="n"/>
      <c r="X602" s="2" t="n"/>
      <c r="Y602" s="2" t="n"/>
      <c r="Z602" s="2" t="inlineStr">
        <is>
          <t>no</t>
        </is>
      </c>
      <c r="AA602" s="2" t="n"/>
      <c r="AB602" s="2" t="n"/>
      <c r="AC602" s="2" t="n"/>
      <c r="AD602" s="2" t="n"/>
      <c r="AE602" s="2" t="n"/>
      <c r="AF602" s="2" t="n"/>
      <c r="AG602" s="2" t="n"/>
      <c r="AH602" s="2" t="n">
        <v>3200</v>
      </c>
      <c r="AI602" s="2" t="n"/>
      <c r="AJ602" s="2" t="n"/>
      <c r="AK602" s="2" t="n"/>
      <c r="AL602" s="2" t="n"/>
      <c r="AM602" s="2" t="n"/>
      <c r="AN602" s="2" t="n">
        <v>4745</v>
      </c>
      <c r="AO602" s="2" t="n">
        <v>10</v>
      </c>
      <c r="AP602" s="2" t="inlineStr">
        <is>
          <t>modelo+año+km</t>
        </is>
      </c>
      <c r="AQ602" s="2" t="n"/>
      <c r="AR602" s="2" t="inlineStr">
        <is>
          <t>cuota fija ITP: &gt;12 años, 1.501-2.000 cc; diésel: motor sin fuente de fiabilidad (fiabilidad limitada a neutra); distancia no verificable (el anuncio solo indica la provincia): confirmar que está a &lt;= 70 km</t>
        </is>
      </c>
      <c r="AS602" s="2" t="inlineStr">
        <is>
          <t>coche bien cuidado.Hace poco se le ha cambiado aceite,filtros,discos y pastillas de freno,amortiguadores traseros,neumaticos delanteros.Itv en vigor hasta 11/2026.Color gris plata.Se accepta prueba mecanica</t>
        </is>
      </c>
      <c r="AT602" s="2" t="inlineStr">
        <is>
          <t>https://www.coches.net/opel-astra-17-cdti-cosmo-5p-diesel-2010-en-castellon-71309711-covo.aspx (window.__INITIAL_PROPS__.ad) /home/user/Alopecia/buscador-coches/raw/cochesnet/89102b9e85c47841.json</t>
        </is>
      </c>
      <c r="AU602" s="3">
        <f>MAX(ANIO_ACTUAL-M602,0)</f>
        <v/>
      </c>
      <c r="AV602" s="4">
        <f>N602/MAX(AU602,0.5)</f>
        <v/>
      </c>
      <c r="AW602" s="4">
        <f>F602</f>
        <v/>
      </c>
      <c r="AX602" s="3">
        <f>AW602&amp;"|"&amp;INT(M602/SEG_ANIO)*SEG_ANIO</f>
        <v/>
      </c>
      <c r="AY602" s="3">
        <f>AX602&amp;"|"&amp;INT(N602/SEG_KM)*SEG_KM</f>
        <v/>
      </c>
      <c r="AZ602" s="4">
        <f>COUNTIF($AW$2:$AW$662,AW602)</f>
        <v/>
      </c>
      <c r="BA602" s="4">
        <f>COUNTIF($AX$2:$AX$662,AX602)</f>
        <v/>
      </c>
      <c r="BB602" s="4">
        <f>COUNTIF($AY$2:$AY$662,AY602)</f>
        <v/>
      </c>
      <c r="BC602" s="3">
        <f t="array" ref="BC602">IF(N(AO602)&gt;=MIN_N,AN602,IF(BB602&gt;=MIN_N,MEDIAN(IF($AY$2:$AY$662=AY602,$O$2:$O$662)),IF(BA602&gt;=MIN_N,MEDIAN(IF($AX$2:$AX$662=AX602,$O$2:$O$662)),MEDIAN(IF($AW$2:$AW$662=AW602,$O$2:$O$662)))))</f>
        <v/>
      </c>
      <c r="BD602" s="3">
        <f>IF(N(AO602)&gt;=MIN_N,"mercado "&amp;AP602,IF(BB602&gt;=MIN_N,"modelo+año+km",IF(BA602&gt;=MIN_N,"modelo+año","modelo")))</f>
        <v/>
      </c>
      <c r="BE602" s="4">
        <f>(BC602-O602)/BC602</f>
        <v/>
      </c>
      <c r="BF602" s="3">
        <f>IF(OR(K602="hibrido",K602="glp"),"ECO",IF(K602="electrico","CERO",IF(K602="gasolina",IF(M602&gt;=GAS_C,"C",IF(M602&gt;=GAS_B,"B","A")),IF(K602="diesel",IF(M602&gt;=DIE_C,"C",IF(M602&gt;=DIE_B,"B","A")),""))))</f>
        <v/>
      </c>
      <c r="BG602" s="3">
        <f>IFERROR(VLOOKUP(F602,MOD_TBL,11,0),IFERROR(VLOOKUP(E602,OCU_TBL,2,0),NEUTRO))</f>
        <v/>
      </c>
      <c r="BH602" s="3">
        <f>SUMIFS(MOT_AJUSTE,MOT_MOTOR,G602,MOT_MARCA,E602,MOT_DESDE,"&lt;="&amp;M602,MOT_HASTA,"&gt;="&amp;M602)+SUMIFS(MOT_AJUSTE,MOT_MOTOR,G602,MOT_MARCA,"(todas)",MOT_DESDE,"&lt;="&amp;M602,MOT_HASTA,"&gt;="&amp;M602)</f>
        <v/>
      </c>
      <c r="BI602" s="3">
        <f>SUMIFS(COMB_AJUSTE,COMB_COMB,K602)</f>
        <v/>
      </c>
      <c r="BJ602" s="3">
        <f>COUNTIFS(MOT_MOTOR,G602,MOT_MARCA,E602,MOT_DESDE,"&lt;="&amp;M602,MOT_HASTA,"&gt;="&amp;M602)+COUNTIFS(MOT_MOTOR,G602,MOT_MARCA,"(todas)",MOT_DESDE,"&lt;="&amp;M602,MOT_HASTA,"&gt;="&amp;M602)</f>
        <v/>
      </c>
      <c r="BK602" s="3">
        <f>IF(AND(K602="diesel",BJ602=0),MIN(BG602,NEUTRO),BG602)</f>
        <v/>
      </c>
      <c r="BL602" s="4">
        <f>MAX(0,MIN(100,BK602+BH602+BI602))</f>
        <v/>
      </c>
      <c r="BM602" s="3">
        <f>MAX(0,MIN(100,50+BE602*PRECIO_PEND))</f>
        <v/>
      </c>
      <c r="BN602" s="3">
        <f>MAX(0,100*(1-N602/KM_MAX))</f>
        <v/>
      </c>
      <c r="BO602" s="3">
        <f>IF(AV602&lt;KMA_SOSP,IF(AA602="sí",100,KMA_PEN),IF(AV602&lt;=KMA_IDEAL_MAX,100,MAX(0,100*(KMA_CERO-AV602)/(KMA_CERO-KMA_IDEAL_MAX))))</f>
        <v/>
      </c>
      <c r="BP602" s="3">
        <f>MAX(0,MIN(100,100*(M602-ANIO_MIN)/(ANIO_ACTUAL-ANIO_MIN)))</f>
        <v/>
      </c>
      <c r="BQ602" s="3">
        <f>W_KMT*BN602+W_KMA*BO602+W_EDAD*BP602</f>
        <v/>
      </c>
      <c r="BR602" s="3">
        <f>P_ITV*(V602="sí")+P_LIBRO*(W602="sí")+P_CORREA*(X602="sí")+P_PROP*(Y602=1)+P_GAR*(Z602="sí")+P_FOTOS*MIN(1,N(U602)/FOTOS_OBJ)</f>
        <v/>
      </c>
      <c r="BS602" s="3">
        <f>IFERROR(VLOOKUP(BF602,ETQ_TBL,2,0),NEUTRO)</f>
        <v/>
      </c>
      <c r="BT602" s="3">
        <f>NEUTRO</f>
        <v/>
      </c>
      <c r="BU602" s="3">
        <f>IFERROR(VLOOKUP(L602,SEGURO_TBL,3,0),"")</f>
        <v/>
      </c>
      <c r="BV602" s="3">
        <f>IF(BU602="",NEUTRO,MAX(0,MIN(100,100*(SEG_REF_MAX-BU602)/(SEG_REF_MAX-SEG_REF_MIN))))</f>
        <v/>
      </c>
      <c r="BW602" s="3">
        <f>W_ET*BS602+W_CONS*BT602+W_SEG*BV602</f>
        <v/>
      </c>
      <c r="BX602" s="3">
        <f>IF(N(AB602)&gt;0,AB602,IF(AND(R602="profesional",SG_LEGAL_ON=1),GAR_LEGAL,0))</f>
        <v/>
      </c>
      <c r="BY602" s="3">
        <f>SG_GAR*MIN(1,BX602/SG_GAR_FULL)+SG_AMPL*(AC602="sí")+SG_KMC*(AF602="sí")+SG_REV*(N(AE602)&gt;0)+SG_DEV*MIN(1,N(AG602)/SG_DEV_FULL)+SG_HIST*(W602="sí")</f>
        <v/>
      </c>
      <c r="BZ602" s="3">
        <f>IFERROR(VLOOKUP(L602,CARR_PEN_TBL,2,0),0)</f>
        <v/>
      </c>
      <c r="CA602" s="3">
        <f>W_FIAB*BL602+W_PRECIO*BM602+W_KMEDAD*BQ602+W_ANUNCIO*BR602+W_USO*BW602+W_SEGURIDAD*BY602-BZ602</f>
        <v/>
      </c>
      <c r="CB602" s="4">
        <f>IF(N(I602)&gt;0,I602,IFERROR(ROUND(_xlfn.NUMBERVALUE(LEFT(G602,FIND(" ",G602&amp;" ")-1),".")*1000,0),99999))</f>
        <v/>
      </c>
      <c r="CC602" s="3">
        <f>IF(R602="profesional",0,IF(O602&lt;CUOTA_VALOR_MAX,IF(AU602&gt;ITP_TRAMO_ALTO,SUMIFS(CF_CUOTA,CF_MAS,ITP_TRAMO_ALTO,CF_CCMIN,"&lt;="&amp;CB602,CF_CCMAX,"&gt;="&amp;CB602),IF(AU602&gt;ITP_TRAMO_BAJO,SUMIFS(CF_CUOTA,CF_MAS,ITP_TRAMO_BAJO,CF_CCMIN,"&lt;="&amp;CB602,CF_CCMAX,"&gt;="&amp;CB602),O602*ITP_TIPO)),O602*ITP_TIPO))</f>
        <v/>
      </c>
      <c r="CD602" s="4">
        <f>IF(R602="profesional",N(AK602),0)</f>
        <v/>
      </c>
      <c r="CE602" s="3">
        <f>IF(AND(R602="profesional",ISNUMBER(AK602),AL602="sí"),0,TASA_DGT)</f>
        <v/>
      </c>
      <c r="CF602" s="3">
        <f>INFORME_DGT</f>
        <v/>
      </c>
      <c r="CG602" s="4">
        <f>O602+CD602+CC602+CE602+CF602</f>
        <v/>
      </c>
      <c r="CH602" s="4">
        <f>CG602+N(BU602)</f>
        <v/>
      </c>
      <c r="CI602" s="3">
        <f>IF(CG602&lt;=TOTAL_MAX,"sí",IF(CG602&lt;=TOTAL_MAX+MARGEN_NEG,"negociar","no"))</f>
        <v/>
      </c>
      <c r="CJ602" s="4">
        <f>IF(CI602&lt;&gt;"no",COUNTIFS($CI$2:$CI$662,"&lt;&gt;no",$CA$2:$CA$662,"&gt;"&amp;CA602)+COUNTIFS($CI$2:CI602,"&lt;&gt;no",$CA$2:CA602,CA602),"")</f>
        <v/>
      </c>
    </row>
    <row r="603">
      <c r="A603" s="2" t="inlineStr">
        <is>
          <t>cochesnet:71431998</t>
        </is>
      </c>
      <c r="B603" s="2" t="inlineStr">
        <is>
          <t>cochesnet</t>
        </is>
      </c>
      <c r="C603" s="2" t="inlineStr">
        <is>
          <t>https://www.coches.net/opel-corsa-diesel-2006-en-castellon-71431998-covo.aspx</t>
        </is>
      </c>
      <c r="D603" s="2" t="inlineStr">
        <is>
          <t>OPEL Corsa</t>
        </is>
      </c>
      <c r="E603" s="2" t="inlineStr">
        <is>
          <t>Opel</t>
        </is>
      </c>
      <c r="F603" s="2" t="inlineStr">
        <is>
          <t>Opel Corsa</t>
        </is>
      </c>
      <c r="G603" s="2" t="n"/>
      <c r="H603" s="2" t="n"/>
      <c r="I603" s="2" t="n"/>
      <c r="J603" s="2" t="n"/>
      <c r="K603" s="2" t="inlineStr">
        <is>
          <t>diesel</t>
        </is>
      </c>
      <c r="L603" s="2" t="inlineStr">
        <is>
          <t>utilitario</t>
        </is>
      </c>
      <c r="M603" s="2" t="n">
        <v>2006</v>
      </c>
      <c r="N603" s="2" t="n">
        <v>157000</v>
      </c>
      <c r="O603" s="2" t="n">
        <v>3900</v>
      </c>
      <c r="P603" s="2" t="inlineStr">
        <is>
          <t>manual</t>
        </is>
      </c>
      <c r="Q603" s="2" t="inlineStr">
        <is>
          <t>no</t>
        </is>
      </c>
      <c r="R603" s="2" t="inlineStr">
        <is>
          <t>particular</t>
        </is>
      </c>
      <c r="S603" s="2" t="n"/>
      <c r="T603" s="2" t="inlineStr">
        <is>
          <t>2026-09-03T08:55:19Z</t>
        </is>
      </c>
      <c r="U603" s="2" t="n"/>
      <c r="V603" s="2" t="n"/>
      <c r="W603" s="2" t="n"/>
      <c r="X603" s="2" t="n"/>
      <c r="Y603" s="2" t="n"/>
      <c r="Z603" s="2" t="inlineStr">
        <is>
          <t>no</t>
        </is>
      </c>
      <c r="AA603" s="2" t="n"/>
      <c r="AB603" s="2" t="n"/>
      <c r="AC603" s="2" t="n"/>
      <c r="AD603" s="2" t="n"/>
      <c r="AE603" s="2" t="n"/>
      <c r="AF603" s="2" t="n"/>
      <c r="AG603" s="2" t="n"/>
      <c r="AH603" s="2" t="n">
        <v>3900</v>
      </c>
      <c r="AI603" s="2" t="n"/>
      <c r="AJ603" s="2" t="n"/>
      <c r="AK603" s="2" t="n"/>
      <c r="AL603" s="2" t="n"/>
      <c r="AM603" s="2" t="n"/>
      <c r="AN603" s="2" t="n">
        <v>3100</v>
      </c>
      <c r="AO603" s="2" t="n">
        <v>8</v>
      </c>
      <c r="AP603" s="2" t="inlineStr">
        <is>
          <t>modelo+año+km</t>
        </is>
      </c>
      <c r="AQ603" s="2" t="n"/>
      <c r="AR60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603" s="2" t="inlineStr">
        <is>
          <t>Ha pasado la itv en mayo y esta en perfectas condiciones,precio negociable,urge por traslado.</t>
        </is>
      </c>
      <c r="AT603" s="2" t="inlineStr">
        <is>
          <t>https://www.coches.net/opel-corsa-diesel-2006-en-castellon-71431998-covo.aspx (window.__INITIAL_PROPS__.ad) /home/user/Alopecia/buscador-coches/raw/cochesnet/ec7b46a2eebfca9d.json</t>
        </is>
      </c>
      <c r="AU603" s="3">
        <f>MAX(ANIO_ACTUAL-M603,0)</f>
        <v/>
      </c>
      <c r="AV603" s="4">
        <f>N603/MAX(AU603,0.5)</f>
        <v/>
      </c>
      <c r="AW603" s="4">
        <f>F603</f>
        <v/>
      </c>
      <c r="AX603" s="3">
        <f>AW603&amp;"|"&amp;INT(M603/SEG_ANIO)*SEG_ANIO</f>
        <v/>
      </c>
      <c r="AY603" s="3">
        <f>AX603&amp;"|"&amp;INT(N603/SEG_KM)*SEG_KM</f>
        <v/>
      </c>
      <c r="AZ603" s="4">
        <f>COUNTIF($AW$2:$AW$662,AW603)</f>
        <v/>
      </c>
      <c r="BA603" s="4">
        <f>COUNTIF($AX$2:$AX$662,AX603)</f>
        <v/>
      </c>
      <c r="BB603" s="4">
        <f>COUNTIF($AY$2:$AY$662,AY603)</f>
        <v/>
      </c>
      <c r="BC603" s="3">
        <f t="array" ref="BC603">IF(N(AO603)&gt;=MIN_N,AN603,IF(BB603&gt;=MIN_N,MEDIAN(IF($AY$2:$AY$662=AY603,$O$2:$O$662)),IF(BA603&gt;=MIN_N,MEDIAN(IF($AX$2:$AX$662=AX603,$O$2:$O$662)),MEDIAN(IF($AW$2:$AW$662=AW603,$O$2:$O$662)))))</f>
        <v/>
      </c>
      <c r="BD603" s="3">
        <f>IF(N(AO603)&gt;=MIN_N,"mercado "&amp;AP603,IF(BB603&gt;=MIN_N,"modelo+año+km",IF(BA603&gt;=MIN_N,"modelo+año","modelo")))</f>
        <v/>
      </c>
      <c r="BE603" s="4">
        <f>(BC603-O603)/BC603</f>
        <v/>
      </c>
      <c r="BF603" s="3">
        <f>IF(OR(K603="hibrido",K603="glp"),"ECO",IF(K603="electrico","CERO",IF(K603="gasolina",IF(M603&gt;=GAS_C,"C",IF(M603&gt;=GAS_B,"B","A")),IF(K603="diesel",IF(M603&gt;=DIE_C,"C",IF(M603&gt;=DIE_B,"B","A")),""))))</f>
        <v/>
      </c>
      <c r="BG603" s="3">
        <f>IFERROR(VLOOKUP(F603,MOD_TBL,11,0),IFERROR(VLOOKUP(E603,OCU_TBL,2,0),NEUTRO))</f>
        <v/>
      </c>
      <c r="BH603" s="3">
        <f>SUMIFS(MOT_AJUSTE,MOT_MOTOR,G603,MOT_MARCA,E603,MOT_DESDE,"&lt;="&amp;M603,MOT_HASTA,"&gt;="&amp;M603)+SUMIFS(MOT_AJUSTE,MOT_MOTOR,G603,MOT_MARCA,"(todas)",MOT_DESDE,"&lt;="&amp;M603,MOT_HASTA,"&gt;="&amp;M603)</f>
        <v/>
      </c>
      <c r="BI603" s="3">
        <f>SUMIFS(COMB_AJUSTE,COMB_COMB,K603)</f>
        <v/>
      </c>
      <c r="BJ603" s="3">
        <f>COUNTIFS(MOT_MOTOR,G603,MOT_MARCA,E603,MOT_DESDE,"&lt;="&amp;M603,MOT_HASTA,"&gt;="&amp;M603)+COUNTIFS(MOT_MOTOR,G603,MOT_MARCA,"(todas)",MOT_DESDE,"&lt;="&amp;M603,MOT_HASTA,"&gt;="&amp;M603)</f>
        <v/>
      </c>
      <c r="BK603" s="3">
        <f>IF(AND(K603="diesel",BJ603=0),MIN(BG603,NEUTRO),BG603)</f>
        <v/>
      </c>
      <c r="BL603" s="4">
        <f>MAX(0,MIN(100,BK603+BH603+BI603))</f>
        <v/>
      </c>
      <c r="BM603" s="3">
        <f>MAX(0,MIN(100,50+BE603*PRECIO_PEND))</f>
        <v/>
      </c>
      <c r="BN603" s="3">
        <f>MAX(0,100*(1-N603/KM_MAX))</f>
        <v/>
      </c>
      <c r="BO603" s="3">
        <f>IF(AV603&lt;KMA_SOSP,IF(AA603="sí",100,KMA_PEN),IF(AV603&lt;=KMA_IDEAL_MAX,100,MAX(0,100*(KMA_CERO-AV603)/(KMA_CERO-KMA_IDEAL_MAX))))</f>
        <v/>
      </c>
      <c r="BP603" s="3">
        <f>MAX(0,MIN(100,100*(M603-ANIO_MIN)/(ANIO_ACTUAL-ANIO_MIN)))</f>
        <v/>
      </c>
      <c r="BQ603" s="3">
        <f>W_KMT*BN603+W_KMA*BO603+W_EDAD*BP603</f>
        <v/>
      </c>
      <c r="BR603" s="3">
        <f>P_ITV*(V603="sí")+P_LIBRO*(W603="sí")+P_CORREA*(X603="sí")+P_PROP*(Y603=1)+P_GAR*(Z603="sí")+P_FOTOS*MIN(1,N(U603)/FOTOS_OBJ)</f>
        <v/>
      </c>
      <c r="BS603" s="3">
        <f>IFERROR(VLOOKUP(BF603,ETQ_TBL,2,0),NEUTRO)</f>
        <v/>
      </c>
      <c r="BT603" s="3">
        <f>NEUTRO</f>
        <v/>
      </c>
      <c r="BU603" s="3">
        <f>IFERROR(VLOOKUP(L603,SEGURO_TBL,3,0),"")</f>
        <v/>
      </c>
      <c r="BV603" s="3">
        <f>IF(BU603="",NEUTRO,MAX(0,MIN(100,100*(SEG_REF_MAX-BU603)/(SEG_REF_MAX-SEG_REF_MIN))))</f>
        <v/>
      </c>
      <c r="BW603" s="3">
        <f>W_ET*BS603+W_CONS*BT603+W_SEG*BV603</f>
        <v/>
      </c>
      <c r="BX603" s="3">
        <f>IF(N(AB603)&gt;0,AB603,IF(AND(R603="profesional",SG_LEGAL_ON=1),GAR_LEGAL,0))</f>
        <v/>
      </c>
      <c r="BY603" s="3">
        <f>SG_GAR*MIN(1,BX603/SG_GAR_FULL)+SG_AMPL*(AC603="sí")+SG_KMC*(AF603="sí")+SG_REV*(N(AE603)&gt;0)+SG_DEV*MIN(1,N(AG603)/SG_DEV_FULL)+SG_HIST*(W603="sí")</f>
        <v/>
      </c>
      <c r="BZ603" s="3">
        <f>IFERROR(VLOOKUP(L603,CARR_PEN_TBL,2,0),0)</f>
        <v/>
      </c>
      <c r="CA603" s="3">
        <f>W_FIAB*BL603+W_PRECIO*BM603+W_KMEDAD*BQ603+W_ANUNCIO*BR603+W_USO*BW603+W_SEGURIDAD*BY603-BZ603</f>
        <v/>
      </c>
      <c r="CB603" s="4">
        <f>IF(N(I603)&gt;0,I603,IFERROR(ROUND(_xlfn.NUMBERVALUE(LEFT(G603,FIND(" ",G603&amp;" ")-1),".")*1000,0),99999))</f>
        <v/>
      </c>
      <c r="CC603" s="3">
        <f>IF(R603="profesional",0,IF(O603&lt;CUOTA_VALOR_MAX,IF(AU603&gt;ITP_TRAMO_ALTO,SUMIFS(CF_CUOTA,CF_MAS,ITP_TRAMO_ALTO,CF_CCMIN,"&lt;="&amp;CB603,CF_CCMAX,"&gt;="&amp;CB603),IF(AU603&gt;ITP_TRAMO_BAJO,SUMIFS(CF_CUOTA,CF_MAS,ITP_TRAMO_BAJO,CF_CCMIN,"&lt;="&amp;CB603,CF_CCMAX,"&gt;="&amp;CB603),O603*ITP_TIPO)),O603*ITP_TIPO))</f>
        <v/>
      </c>
      <c r="CD603" s="4">
        <f>IF(R603="profesional",N(AK603),0)</f>
        <v/>
      </c>
      <c r="CE603" s="3">
        <f>IF(AND(R603="profesional",ISNUMBER(AK603),AL603="sí"),0,TASA_DGT)</f>
        <v/>
      </c>
      <c r="CF603" s="3">
        <f>INFORME_DGT</f>
        <v/>
      </c>
      <c r="CG603" s="4">
        <f>O603+CD603+CC603+CE603+CF603</f>
        <v/>
      </c>
      <c r="CH603" s="4">
        <f>CG603+N(BU603)</f>
        <v/>
      </c>
      <c r="CI603" s="3">
        <f>IF(CG603&lt;=TOTAL_MAX,"sí",IF(CG603&lt;=TOTAL_MAX+MARGEN_NEG,"negociar","no"))</f>
        <v/>
      </c>
      <c r="CJ603" s="4">
        <f>IF(CI603&lt;&gt;"no",COUNTIFS($CI$2:$CI$662,"&lt;&gt;no",$CA$2:$CA$662,"&gt;"&amp;CA603)+COUNTIFS($CI$2:CI603,"&lt;&gt;no",$CA$2:CA603,CA603),"")</f>
        <v/>
      </c>
    </row>
    <row r="604">
      <c r="A604" s="2" t="inlineStr">
        <is>
          <t>cochesnet:71829616</t>
        </is>
      </c>
      <c r="B604" s="2" t="inlineStr">
        <is>
          <t>cochesnet</t>
        </is>
      </c>
      <c r="C604" s="2" t="inlineStr">
        <is>
          <t>https://www.coches.net/renault-megane-limited-dci-110-eco2-5p-diesel-2014-en-castellon-71829616-covo.aspx</t>
        </is>
      </c>
      <c r="D604" s="2" t="inlineStr">
        <is>
          <t>RENAULT Megane Limited dCi 110 eco2</t>
        </is>
      </c>
      <c r="E604" s="2" t="inlineStr">
        <is>
          <t>Renault</t>
        </is>
      </c>
      <c r="F604" s="2" t="inlineStr">
        <is>
          <t>Renault Mégane</t>
        </is>
      </c>
      <c r="G604" s="2" t="inlineStr">
        <is>
          <t>? dCi</t>
        </is>
      </c>
      <c r="H604" s="2" t="inlineStr">
        <is>
          <t>Limited dCi 110 eco2</t>
        </is>
      </c>
      <c r="I604" s="2" t="n"/>
      <c r="J604" s="2" t="n"/>
      <c r="K604" s="2" t="inlineStr">
        <is>
          <t>diesel</t>
        </is>
      </c>
      <c r="L604" s="2" t="inlineStr">
        <is>
          <t>compacto</t>
        </is>
      </c>
      <c r="M604" s="2" t="n">
        <v>2014</v>
      </c>
      <c r="N604" s="2" t="n">
        <v>200000</v>
      </c>
      <c r="O604" s="2" t="n">
        <v>4960</v>
      </c>
      <c r="P604" s="2" t="inlineStr">
        <is>
          <t>manual</t>
        </is>
      </c>
      <c r="Q604" s="2" t="inlineStr">
        <is>
          <t>no</t>
        </is>
      </c>
      <c r="R604" s="2" t="inlineStr">
        <is>
          <t>particular</t>
        </is>
      </c>
      <c r="S604" s="2" t="n"/>
      <c r="T604" s="2" t="inlineStr">
        <is>
          <t>2026-10-25T16:38:51Z</t>
        </is>
      </c>
      <c r="U604" s="2" t="n">
        <v>6</v>
      </c>
      <c r="V604" s="2" t="inlineStr">
        <is>
          <t>sí</t>
        </is>
      </c>
      <c r="W604" s="2" t="n"/>
      <c r="X604" s="2" t="n"/>
      <c r="Y604" s="2" t="n"/>
      <c r="Z604" s="2" t="inlineStr">
        <is>
          <t>no</t>
        </is>
      </c>
      <c r="AA604" s="2" t="n"/>
      <c r="AB604" s="2" t="n"/>
      <c r="AC604" s="2" t="n"/>
      <c r="AD604" s="2" t="n"/>
      <c r="AE604" s="2" t="n"/>
      <c r="AF604" s="2" t="n"/>
      <c r="AG604" s="2" t="n"/>
      <c r="AH604" s="2" t="n">
        <v>4960</v>
      </c>
      <c r="AI604" s="2" t="n"/>
      <c r="AJ604" s="2" t="n"/>
      <c r="AK604" s="2" t="n"/>
      <c r="AL604" s="2" t="n"/>
      <c r="AM604" s="2" t="n"/>
      <c r="AN604" s="2" t="n">
        <v>4930</v>
      </c>
      <c r="AO604" s="2" t="n">
        <v>4</v>
      </c>
      <c r="AP604" s="2" t="inlineStr">
        <is>
          <t>modelo+año+km</t>
        </is>
      </c>
      <c r="AQ604" s="2" t="n"/>
      <c r="AR604" s="2" t="inlineStr">
        <is>
          <t>cilindrada desconocida: se aplica el tramo de cuota fija más alto; cuota fija ITP: &gt;5 y &lt;=12 años, más de 2.000 cc; diésel: motor sin fuente de fiabilidad (fiabilidad limitada a neutra); distancia no verificable (el anuncio solo indica la provincia): confirmar que está a &lt;= 70 km</t>
        </is>
      </c>
      <c r="AS604" s="2" t="inlineStr">
        <is>
          <t>Renault Megane en color gris oscuro con un diseño estilizado y compacto.
Faros delanteros con luces diurnas LED llantas de aleación carrocería de cinco puertas. 1.5dci limited 110dci 
dCi 2014 6 velocidades con 2 llaves 200.000
km ITV hasta agosto 2027 
El Coche funciona bien y se puede probar sin compromiso Precio negociable</t>
        </is>
      </c>
      <c r="AT604" s="2" t="inlineStr">
        <is>
          <t>https://www.coches.net/renault-megane-limited-dci-110-eco2-5p-diesel-2014-en-castellon-71829616-covo.aspx (window.__INITIAL_PROPS__.ad) /home/user/Alopecia/buscador-coches/raw/cochesnet/73a00d9a5106c70c.json</t>
        </is>
      </c>
      <c r="AU604" s="3">
        <f>MAX(ANIO_ACTUAL-M604,0)</f>
        <v/>
      </c>
      <c r="AV604" s="4">
        <f>N604/MAX(AU604,0.5)</f>
        <v/>
      </c>
      <c r="AW604" s="4">
        <f>F604</f>
        <v/>
      </c>
      <c r="AX604" s="3">
        <f>AW604&amp;"|"&amp;INT(M604/SEG_ANIO)*SEG_ANIO</f>
        <v/>
      </c>
      <c r="AY604" s="3">
        <f>AX604&amp;"|"&amp;INT(N604/SEG_KM)*SEG_KM</f>
        <v/>
      </c>
      <c r="AZ604" s="4">
        <f>COUNTIF($AW$2:$AW$662,AW604)</f>
        <v/>
      </c>
      <c r="BA604" s="4">
        <f>COUNTIF($AX$2:$AX$662,AX604)</f>
        <v/>
      </c>
      <c r="BB604" s="4">
        <f>COUNTIF($AY$2:$AY$662,AY604)</f>
        <v/>
      </c>
      <c r="BC604" s="3">
        <f t="array" ref="BC604">IF(N(AO604)&gt;=MIN_N,AN604,IF(BB604&gt;=MIN_N,MEDIAN(IF($AY$2:$AY$662=AY604,$O$2:$O$662)),IF(BA604&gt;=MIN_N,MEDIAN(IF($AX$2:$AX$662=AX604,$O$2:$O$662)),MEDIAN(IF($AW$2:$AW$662=AW604,$O$2:$O$662)))))</f>
        <v/>
      </c>
      <c r="BD604" s="3">
        <f>IF(N(AO604)&gt;=MIN_N,"mercado "&amp;AP604,IF(BB604&gt;=MIN_N,"modelo+año+km",IF(BA604&gt;=MIN_N,"modelo+año","modelo")))</f>
        <v/>
      </c>
      <c r="BE604" s="4">
        <f>(BC604-O604)/BC604</f>
        <v/>
      </c>
      <c r="BF604" s="3">
        <f>IF(OR(K604="hibrido",K604="glp"),"ECO",IF(K604="electrico","CERO",IF(K604="gasolina",IF(M604&gt;=GAS_C,"C",IF(M604&gt;=GAS_B,"B","A")),IF(K604="diesel",IF(M604&gt;=DIE_C,"C",IF(M604&gt;=DIE_B,"B","A")),""))))</f>
        <v/>
      </c>
      <c r="BG604" s="3">
        <f>IFERROR(VLOOKUP(F604,MOD_TBL,11,0),IFERROR(VLOOKUP(E604,OCU_TBL,2,0),NEUTRO))</f>
        <v/>
      </c>
      <c r="BH604" s="3">
        <f>SUMIFS(MOT_AJUSTE,MOT_MOTOR,G604,MOT_MARCA,E604,MOT_DESDE,"&lt;="&amp;M604,MOT_HASTA,"&gt;="&amp;M604)+SUMIFS(MOT_AJUSTE,MOT_MOTOR,G604,MOT_MARCA,"(todas)",MOT_DESDE,"&lt;="&amp;M604,MOT_HASTA,"&gt;="&amp;M604)</f>
        <v/>
      </c>
      <c r="BI604" s="3">
        <f>SUMIFS(COMB_AJUSTE,COMB_COMB,K604)</f>
        <v/>
      </c>
      <c r="BJ604" s="3">
        <f>COUNTIFS(MOT_MOTOR,G604,MOT_MARCA,E604,MOT_DESDE,"&lt;="&amp;M604,MOT_HASTA,"&gt;="&amp;M604)+COUNTIFS(MOT_MOTOR,G604,MOT_MARCA,"(todas)",MOT_DESDE,"&lt;="&amp;M604,MOT_HASTA,"&gt;="&amp;M604)</f>
        <v/>
      </c>
      <c r="BK604" s="3">
        <f>IF(AND(K604="diesel",BJ604=0),MIN(BG604,NEUTRO),BG604)</f>
        <v/>
      </c>
      <c r="BL604" s="4">
        <f>MAX(0,MIN(100,BK604+BH604+BI604))</f>
        <v/>
      </c>
      <c r="BM604" s="3">
        <f>MAX(0,MIN(100,50+BE604*PRECIO_PEND))</f>
        <v/>
      </c>
      <c r="BN604" s="3">
        <f>MAX(0,100*(1-N604/KM_MAX))</f>
        <v/>
      </c>
      <c r="BO604" s="3">
        <f>IF(AV604&lt;KMA_SOSP,IF(AA604="sí",100,KMA_PEN),IF(AV604&lt;=KMA_IDEAL_MAX,100,MAX(0,100*(KMA_CERO-AV604)/(KMA_CERO-KMA_IDEAL_MAX))))</f>
        <v/>
      </c>
      <c r="BP604" s="3">
        <f>MAX(0,MIN(100,100*(M604-ANIO_MIN)/(ANIO_ACTUAL-ANIO_MIN)))</f>
        <v/>
      </c>
      <c r="BQ604" s="3">
        <f>W_KMT*BN604+W_KMA*BO604+W_EDAD*BP604</f>
        <v/>
      </c>
      <c r="BR604" s="3">
        <f>P_ITV*(V604="sí")+P_LIBRO*(W604="sí")+P_CORREA*(X604="sí")+P_PROP*(Y604=1)+P_GAR*(Z604="sí")+P_FOTOS*MIN(1,N(U604)/FOTOS_OBJ)</f>
        <v/>
      </c>
      <c r="BS604" s="3">
        <f>IFERROR(VLOOKUP(BF604,ETQ_TBL,2,0),NEUTRO)</f>
        <v/>
      </c>
      <c r="BT604" s="3">
        <f>NEUTRO</f>
        <v/>
      </c>
      <c r="BU604" s="3">
        <f>IFERROR(VLOOKUP(L604,SEGURO_TBL,3,0),"")</f>
        <v/>
      </c>
      <c r="BV604" s="3">
        <f>IF(BU604="",NEUTRO,MAX(0,MIN(100,100*(SEG_REF_MAX-BU604)/(SEG_REF_MAX-SEG_REF_MIN))))</f>
        <v/>
      </c>
      <c r="BW604" s="3">
        <f>W_ET*BS604+W_CONS*BT604+W_SEG*BV604</f>
        <v/>
      </c>
      <c r="BX604" s="3">
        <f>IF(N(AB604)&gt;0,AB604,IF(AND(R604="profesional",SG_LEGAL_ON=1),GAR_LEGAL,0))</f>
        <v/>
      </c>
      <c r="BY604" s="3">
        <f>SG_GAR*MIN(1,BX604/SG_GAR_FULL)+SG_AMPL*(AC604="sí")+SG_KMC*(AF604="sí")+SG_REV*(N(AE604)&gt;0)+SG_DEV*MIN(1,N(AG604)/SG_DEV_FULL)+SG_HIST*(W604="sí")</f>
        <v/>
      </c>
      <c r="BZ604" s="3">
        <f>IFERROR(VLOOKUP(L604,CARR_PEN_TBL,2,0),0)</f>
        <v/>
      </c>
      <c r="CA604" s="3">
        <f>W_FIAB*BL604+W_PRECIO*BM604+W_KMEDAD*BQ604+W_ANUNCIO*BR604+W_USO*BW604+W_SEGURIDAD*BY604-BZ604</f>
        <v/>
      </c>
      <c r="CB604" s="4">
        <f>IF(N(I604)&gt;0,I604,IFERROR(ROUND(_xlfn.NUMBERVALUE(LEFT(G604,FIND(" ",G604&amp;" ")-1),".")*1000,0),99999))</f>
        <v/>
      </c>
      <c r="CC604" s="3">
        <f>IF(R604="profesional",0,IF(O604&lt;CUOTA_VALOR_MAX,IF(AU604&gt;ITP_TRAMO_ALTO,SUMIFS(CF_CUOTA,CF_MAS,ITP_TRAMO_ALTO,CF_CCMIN,"&lt;="&amp;CB604,CF_CCMAX,"&gt;="&amp;CB604),IF(AU604&gt;ITP_TRAMO_BAJO,SUMIFS(CF_CUOTA,CF_MAS,ITP_TRAMO_BAJO,CF_CCMIN,"&lt;="&amp;CB604,CF_CCMAX,"&gt;="&amp;CB604),O604*ITP_TIPO)),O604*ITP_TIPO))</f>
        <v/>
      </c>
      <c r="CD604" s="4">
        <f>IF(R604="profesional",N(AK604),0)</f>
        <v/>
      </c>
      <c r="CE604" s="3">
        <f>IF(AND(R604="profesional",ISNUMBER(AK604),AL604="sí"),0,TASA_DGT)</f>
        <v/>
      </c>
      <c r="CF604" s="3">
        <f>INFORME_DGT</f>
        <v/>
      </c>
      <c r="CG604" s="4">
        <f>O604+CD604+CC604+CE604+CF604</f>
        <v/>
      </c>
      <c r="CH604" s="4">
        <f>CG604+N(BU604)</f>
        <v/>
      </c>
      <c r="CI604" s="3">
        <f>IF(CG604&lt;=TOTAL_MAX,"sí",IF(CG604&lt;=TOTAL_MAX+MARGEN_NEG,"negociar","no"))</f>
        <v/>
      </c>
      <c r="CJ604" s="4">
        <f>IF(CI604&lt;&gt;"no",COUNTIFS($CI$2:$CI$662,"&lt;&gt;no",$CA$2:$CA$662,"&gt;"&amp;CA604)+COUNTIFS($CI$2:CI604,"&lt;&gt;no",$CA$2:CA604,CA604),"")</f>
        <v/>
      </c>
    </row>
    <row r="605">
      <c r="A605" s="2" t="inlineStr">
        <is>
          <t>cochesnet:71804078</t>
        </is>
      </c>
      <c r="B605" s="2" t="inlineStr">
        <is>
          <t>cochesnet</t>
        </is>
      </c>
      <c r="C605" s="2" t="inlineStr">
        <is>
          <t>https://www.coches.net/renault-megane-dynamique-16-16v-3p-gasolina-2006-en-castellon-71804078-covo.aspx</t>
        </is>
      </c>
      <c r="D605" s="2" t="inlineStr">
        <is>
          <t>RENAULT Megane DYNAMIQUE 1.6 16V</t>
        </is>
      </c>
      <c r="E605" s="2" t="inlineStr">
        <is>
          <t>Renault</t>
        </is>
      </c>
      <c r="F605" s="2" t="inlineStr">
        <is>
          <t>Renault Mégane</t>
        </is>
      </c>
      <c r="G605" s="2" t="inlineStr">
        <is>
          <t>1.6</t>
        </is>
      </c>
      <c r="H605" s="2" t="inlineStr">
        <is>
          <t>DYNAMIQUE 1.6 16V</t>
        </is>
      </c>
      <c r="I605" s="2" t="n"/>
      <c r="J605" s="2" t="n"/>
      <c r="K605" s="2" t="inlineStr">
        <is>
          <t>gasolina</t>
        </is>
      </c>
      <c r="L605" s="2" t="inlineStr">
        <is>
          <t>compacto</t>
        </is>
      </c>
      <c r="M605" s="2" t="n">
        <v>2006</v>
      </c>
      <c r="N605" s="2" t="n">
        <v>205500</v>
      </c>
      <c r="O605" s="2" t="n">
        <v>2400</v>
      </c>
      <c r="P605" s="2" t="inlineStr">
        <is>
          <t>manual</t>
        </is>
      </c>
      <c r="Q605" s="2" t="inlineStr">
        <is>
          <t>no</t>
        </is>
      </c>
      <c r="R605" s="2" t="inlineStr">
        <is>
          <t>particular</t>
        </is>
      </c>
      <c r="S605" s="2" t="n"/>
      <c r="T605" s="2" t="inlineStr">
        <is>
          <t>2026-10-21T18:02:45Z</t>
        </is>
      </c>
      <c r="U605" s="2" t="n">
        <v>7</v>
      </c>
      <c r="V605" s="2" t="n"/>
      <c r="W605" s="2" t="n"/>
      <c r="X605" s="2" t="n"/>
      <c r="Y605" s="2" t="n"/>
      <c r="Z605" s="2" t="inlineStr">
        <is>
          <t>no</t>
        </is>
      </c>
      <c r="AA605" s="2" t="n"/>
      <c r="AB605" s="2" t="n"/>
      <c r="AC605" s="2" t="n"/>
      <c r="AD605" s="2" t="n"/>
      <c r="AE605" s="2" t="n"/>
      <c r="AF605" s="2" t="n"/>
      <c r="AG605" s="2" t="n"/>
      <c r="AH605" s="2" t="n">
        <v>2400</v>
      </c>
      <c r="AI605" s="2" t="n"/>
      <c r="AJ605" s="2" t="n"/>
      <c r="AK605" s="2" t="n"/>
      <c r="AL605" s="2" t="n"/>
      <c r="AM605" s="2" t="n"/>
      <c r="AN605" s="2" t="n">
        <v>2300</v>
      </c>
      <c r="AO605" s="2" t="n">
        <v>12</v>
      </c>
      <c r="AP605" s="2" t="inlineStr">
        <is>
          <t>modelo+año+km</t>
        </is>
      </c>
      <c r="AQ605" s="2" t="n"/>
      <c r="AR605" s="2" t="inlineStr">
        <is>
          <t>cuota fija ITP: &gt;12 años, 1.501-2.000 cc; distancia no verificable (el anuncio solo indica la provincia): confirmar que está a &lt;= 70 km</t>
        </is>
      </c>
      <c r="AS605" s="2" t="inlineStr">
        <is>
          <t xml:space="preserve">Coche muy bien cuidado, estoy vendendo porque a comprado otro, funciona perfeitamente, tedria que cambiar una polia que esta gasta solo iso.
</t>
        </is>
      </c>
      <c r="AT605" s="2" t="inlineStr">
        <is>
          <t>https://www.coches.net/renault-megane-dynamique-16-16v-3p-gasolina-2006-en-castellon-71804078-covo.aspx (window.__INITIAL_PROPS__.ad) /home/user/Alopecia/buscador-coches/raw/cochesnet/836642df70707092.json</t>
        </is>
      </c>
      <c r="AU605" s="3">
        <f>MAX(ANIO_ACTUAL-M605,0)</f>
        <v/>
      </c>
      <c r="AV605" s="4">
        <f>N605/MAX(AU605,0.5)</f>
        <v/>
      </c>
      <c r="AW605" s="4">
        <f>F605</f>
        <v/>
      </c>
      <c r="AX605" s="3">
        <f>AW605&amp;"|"&amp;INT(M605/SEG_ANIO)*SEG_ANIO</f>
        <v/>
      </c>
      <c r="AY605" s="3">
        <f>AX605&amp;"|"&amp;INT(N605/SEG_KM)*SEG_KM</f>
        <v/>
      </c>
      <c r="AZ605" s="4">
        <f>COUNTIF($AW$2:$AW$662,AW605)</f>
        <v/>
      </c>
      <c r="BA605" s="4">
        <f>COUNTIF($AX$2:$AX$662,AX605)</f>
        <v/>
      </c>
      <c r="BB605" s="4">
        <f>COUNTIF($AY$2:$AY$662,AY605)</f>
        <v/>
      </c>
      <c r="BC605" s="3">
        <f t="array" ref="BC605">IF(N(AO605)&gt;=MIN_N,AN605,IF(BB605&gt;=MIN_N,MEDIAN(IF($AY$2:$AY$662=AY605,$O$2:$O$662)),IF(BA605&gt;=MIN_N,MEDIAN(IF($AX$2:$AX$662=AX605,$O$2:$O$662)),MEDIAN(IF($AW$2:$AW$662=AW605,$O$2:$O$662)))))</f>
        <v/>
      </c>
      <c r="BD605" s="3">
        <f>IF(N(AO605)&gt;=MIN_N,"mercado "&amp;AP605,IF(BB605&gt;=MIN_N,"modelo+año+km",IF(BA605&gt;=MIN_N,"modelo+año","modelo")))</f>
        <v/>
      </c>
      <c r="BE605" s="4">
        <f>(BC605-O605)/BC605</f>
        <v/>
      </c>
      <c r="BF605" s="3">
        <f>IF(OR(K605="hibrido",K605="glp"),"ECO",IF(K605="electrico","CERO",IF(K605="gasolina",IF(M605&gt;=GAS_C,"C",IF(M605&gt;=GAS_B,"B","A")),IF(K605="diesel",IF(M605&gt;=DIE_C,"C",IF(M605&gt;=DIE_B,"B","A")),""))))</f>
        <v/>
      </c>
      <c r="BG605" s="3">
        <f>IFERROR(VLOOKUP(F605,MOD_TBL,11,0),IFERROR(VLOOKUP(E605,OCU_TBL,2,0),NEUTRO))</f>
        <v/>
      </c>
      <c r="BH605" s="3">
        <f>SUMIFS(MOT_AJUSTE,MOT_MOTOR,G605,MOT_MARCA,E605,MOT_DESDE,"&lt;="&amp;M605,MOT_HASTA,"&gt;="&amp;M605)+SUMIFS(MOT_AJUSTE,MOT_MOTOR,G605,MOT_MARCA,"(todas)",MOT_DESDE,"&lt;="&amp;M605,MOT_HASTA,"&gt;="&amp;M605)</f>
        <v/>
      </c>
      <c r="BI605" s="3">
        <f>SUMIFS(COMB_AJUSTE,COMB_COMB,K605)</f>
        <v/>
      </c>
      <c r="BJ605" s="3">
        <f>COUNTIFS(MOT_MOTOR,G605,MOT_MARCA,E605,MOT_DESDE,"&lt;="&amp;M605,MOT_HASTA,"&gt;="&amp;M605)+COUNTIFS(MOT_MOTOR,G605,MOT_MARCA,"(todas)",MOT_DESDE,"&lt;="&amp;M605,MOT_HASTA,"&gt;="&amp;M605)</f>
        <v/>
      </c>
      <c r="BK605" s="3">
        <f>IF(AND(K605="diesel",BJ605=0),MIN(BG605,NEUTRO),BG605)</f>
        <v/>
      </c>
      <c r="BL605" s="4">
        <f>MAX(0,MIN(100,BK605+BH605+BI605))</f>
        <v/>
      </c>
      <c r="BM605" s="3">
        <f>MAX(0,MIN(100,50+BE605*PRECIO_PEND))</f>
        <v/>
      </c>
      <c r="BN605" s="3">
        <f>MAX(0,100*(1-N605/KM_MAX))</f>
        <v/>
      </c>
      <c r="BO605" s="3">
        <f>IF(AV605&lt;KMA_SOSP,IF(AA605="sí",100,KMA_PEN),IF(AV605&lt;=KMA_IDEAL_MAX,100,MAX(0,100*(KMA_CERO-AV605)/(KMA_CERO-KMA_IDEAL_MAX))))</f>
        <v/>
      </c>
      <c r="BP605" s="3">
        <f>MAX(0,MIN(100,100*(M605-ANIO_MIN)/(ANIO_ACTUAL-ANIO_MIN)))</f>
        <v/>
      </c>
      <c r="BQ605" s="3">
        <f>W_KMT*BN605+W_KMA*BO605+W_EDAD*BP605</f>
        <v/>
      </c>
      <c r="BR605" s="3">
        <f>P_ITV*(V605="sí")+P_LIBRO*(W605="sí")+P_CORREA*(X605="sí")+P_PROP*(Y605=1)+P_GAR*(Z605="sí")+P_FOTOS*MIN(1,N(U605)/FOTOS_OBJ)</f>
        <v/>
      </c>
      <c r="BS605" s="3">
        <f>IFERROR(VLOOKUP(BF605,ETQ_TBL,2,0),NEUTRO)</f>
        <v/>
      </c>
      <c r="BT605" s="3">
        <f>NEUTRO</f>
        <v/>
      </c>
      <c r="BU605" s="3">
        <f>IFERROR(VLOOKUP(L605,SEGURO_TBL,3,0),"")</f>
        <v/>
      </c>
      <c r="BV605" s="3">
        <f>IF(BU605="",NEUTRO,MAX(0,MIN(100,100*(SEG_REF_MAX-BU605)/(SEG_REF_MAX-SEG_REF_MIN))))</f>
        <v/>
      </c>
      <c r="BW605" s="3">
        <f>W_ET*BS605+W_CONS*BT605+W_SEG*BV605</f>
        <v/>
      </c>
      <c r="BX605" s="3">
        <f>IF(N(AB605)&gt;0,AB605,IF(AND(R605="profesional",SG_LEGAL_ON=1),GAR_LEGAL,0))</f>
        <v/>
      </c>
      <c r="BY605" s="3">
        <f>SG_GAR*MIN(1,BX605/SG_GAR_FULL)+SG_AMPL*(AC605="sí")+SG_KMC*(AF605="sí")+SG_REV*(N(AE605)&gt;0)+SG_DEV*MIN(1,N(AG605)/SG_DEV_FULL)+SG_HIST*(W605="sí")</f>
        <v/>
      </c>
      <c r="BZ605" s="3">
        <f>IFERROR(VLOOKUP(L605,CARR_PEN_TBL,2,0),0)</f>
        <v/>
      </c>
      <c r="CA605" s="3">
        <f>W_FIAB*BL605+W_PRECIO*BM605+W_KMEDAD*BQ605+W_ANUNCIO*BR605+W_USO*BW605+W_SEGURIDAD*BY605-BZ605</f>
        <v/>
      </c>
      <c r="CB605" s="4">
        <f>IF(N(I605)&gt;0,I605,IFERROR(ROUND(_xlfn.NUMBERVALUE(LEFT(G605,FIND(" ",G605&amp;" ")-1),".")*1000,0),99999))</f>
        <v/>
      </c>
      <c r="CC605" s="3">
        <f>IF(R605="profesional",0,IF(O605&lt;CUOTA_VALOR_MAX,IF(AU605&gt;ITP_TRAMO_ALTO,SUMIFS(CF_CUOTA,CF_MAS,ITP_TRAMO_ALTO,CF_CCMIN,"&lt;="&amp;CB605,CF_CCMAX,"&gt;="&amp;CB605),IF(AU605&gt;ITP_TRAMO_BAJO,SUMIFS(CF_CUOTA,CF_MAS,ITP_TRAMO_BAJO,CF_CCMIN,"&lt;="&amp;CB605,CF_CCMAX,"&gt;="&amp;CB605),O605*ITP_TIPO)),O605*ITP_TIPO))</f>
        <v/>
      </c>
      <c r="CD605" s="4">
        <f>IF(R605="profesional",N(AK605),0)</f>
        <v/>
      </c>
      <c r="CE605" s="3">
        <f>IF(AND(R605="profesional",ISNUMBER(AK605),AL605="sí"),0,TASA_DGT)</f>
        <v/>
      </c>
      <c r="CF605" s="3">
        <f>INFORME_DGT</f>
        <v/>
      </c>
      <c r="CG605" s="4">
        <f>O605+CD605+CC605+CE605+CF605</f>
        <v/>
      </c>
      <c r="CH605" s="4">
        <f>CG605+N(BU605)</f>
        <v/>
      </c>
      <c r="CI605" s="3">
        <f>IF(CG605&lt;=TOTAL_MAX,"sí",IF(CG605&lt;=TOTAL_MAX+MARGEN_NEG,"negociar","no"))</f>
        <v/>
      </c>
      <c r="CJ605" s="4">
        <f>IF(CI605&lt;&gt;"no",COUNTIFS($CI$2:$CI$662,"&lt;&gt;no",$CA$2:$CA$662,"&gt;"&amp;CA605)+COUNTIFS($CI$2:CI605,"&lt;&gt;no",$CA$2:CA605,CA605),"")</f>
        <v/>
      </c>
    </row>
    <row r="606">
      <c r="A606" s="2" t="inlineStr">
        <is>
          <t>cochesnet:71721921</t>
        </is>
      </c>
      <c r="B606" s="2" t="inlineStr">
        <is>
          <t>cochesnet</t>
        </is>
      </c>
      <c r="C606" s="2" t="inlineStr">
        <is>
          <t>https://www.coches.net/renault-laguna-expression-20dci-130cv-5p-diesel-2009-en-castellon-71721921-covo.aspx</t>
        </is>
      </c>
      <c r="D606" s="2" t="inlineStr">
        <is>
          <t>RENAULT Laguna Expression 2.0dCi</t>
        </is>
      </c>
      <c r="E606" s="2" t="inlineStr">
        <is>
          <t>Renault</t>
        </is>
      </c>
      <c r="F606" s="2" t="inlineStr">
        <is>
          <t>Renault Laguna</t>
        </is>
      </c>
      <c r="G606" s="2" t="inlineStr">
        <is>
          <t>2.0</t>
        </is>
      </c>
      <c r="H606" s="2" t="inlineStr">
        <is>
          <t>Expression 2.0dCi 130CV</t>
        </is>
      </c>
      <c r="I606" s="2" t="n"/>
      <c r="J606" s="2" t="n">
        <v>130</v>
      </c>
      <c r="K606" s="2" t="inlineStr">
        <is>
          <t>diesel</t>
        </is>
      </c>
      <c r="L606" s="2" t="inlineStr">
        <is>
          <t>berlina</t>
        </is>
      </c>
      <c r="M606" s="2" t="n">
        <v>2009</v>
      </c>
      <c r="N606" s="2" t="n">
        <v>187000</v>
      </c>
      <c r="O606" s="2" t="n">
        <v>4000</v>
      </c>
      <c r="P606" s="2" t="inlineStr">
        <is>
          <t>manual</t>
        </is>
      </c>
      <c r="Q606" s="2" t="inlineStr">
        <is>
          <t>no</t>
        </is>
      </c>
      <c r="R606" s="2" t="inlineStr">
        <is>
          <t>particular</t>
        </is>
      </c>
      <c r="S606" s="2" t="inlineStr">
        <is>
          <t>Castellón de la Plana / Castelló de la Plana</t>
        </is>
      </c>
      <c r="T606" s="2" t="inlineStr">
        <is>
          <t>2026-10-11T12:16:54Z</t>
        </is>
      </c>
      <c r="U606" s="2" t="n">
        <v>5</v>
      </c>
      <c r="V606" s="2" t="inlineStr">
        <is>
          <t>sí</t>
        </is>
      </c>
      <c r="W606" s="2" t="n"/>
      <c r="X606" s="2" t="n"/>
      <c r="Y606" s="2" t="n"/>
      <c r="Z606" s="2" t="inlineStr">
        <is>
          <t>no</t>
        </is>
      </c>
      <c r="AA606" s="2" t="n"/>
      <c r="AB606" s="2" t="n"/>
      <c r="AC606" s="2" t="n"/>
      <c r="AD606" s="2" t="n"/>
      <c r="AE606" s="2" t="n"/>
      <c r="AF606" s="2" t="n"/>
      <c r="AG606" s="2" t="n"/>
      <c r="AH606" s="2" t="n">
        <v>4000</v>
      </c>
      <c r="AI606" s="2" t="n"/>
      <c r="AJ606" s="2" t="n"/>
      <c r="AK606" s="2" t="n"/>
      <c r="AL606" s="2" t="n"/>
      <c r="AM606" s="2" t="n"/>
      <c r="AN606" s="2" t="n">
        <v>3500</v>
      </c>
      <c r="AO606" s="2" t="n">
        <v>4</v>
      </c>
      <c r="AP606" s="2" t="inlineStr">
        <is>
          <t>modelo+año</t>
        </is>
      </c>
      <c r="AQ606" s="2" t="n"/>
      <c r="AR606"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S606" s="2" t="inlineStr">
        <is>
          <t>Vendo renault laguna 3 año 2009
2.0 diésel, 6 velocidades 
El coche está en perfecto estado , tiene ITV hasta el junio de 2027, las dos ruedas delanteras nuevas, tiene algunos detalles de pintura pero nada grave, el techo se le ha venido despegando , el coche mecánicamente está perfecto
187 mil KLM 
3.500
Más info al privado</t>
        </is>
      </c>
      <c r="AT606" s="2" t="inlineStr">
        <is>
          <t>https://www.coches.net/renault-laguna-expression-20dci-130cv-5p-diesel-2009-en-castellon-71721921-covo.aspx (window.__INITIAL_PROPS__.ad) /home/user/Alopecia/buscador-coches/raw/cochesnet/e9900ca347e9a688.json</t>
        </is>
      </c>
      <c r="AU606" s="3">
        <f>MAX(ANIO_ACTUAL-M606,0)</f>
        <v/>
      </c>
      <c r="AV606" s="4">
        <f>N606/MAX(AU606,0.5)</f>
        <v/>
      </c>
      <c r="AW606" s="4">
        <f>F606</f>
        <v/>
      </c>
      <c r="AX606" s="3">
        <f>AW606&amp;"|"&amp;INT(M606/SEG_ANIO)*SEG_ANIO</f>
        <v/>
      </c>
      <c r="AY606" s="3">
        <f>AX606&amp;"|"&amp;INT(N606/SEG_KM)*SEG_KM</f>
        <v/>
      </c>
      <c r="AZ606" s="4">
        <f>COUNTIF($AW$2:$AW$662,AW606)</f>
        <v/>
      </c>
      <c r="BA606" s="4">
        <f>COUNTIF($AX$2:$AX$662,AX606)</f>
        <v/>
      </c>
      <c r="BB606" s="4">
        <f>COUNTIF($AY$2:$AY$662,AY606)</f>
        <v/>
      </c>
      <c r="BC606" s="3">
        <f t="array" ref="BC606">IF(N(AO606)&gt;=MIN_N,AN606,IF(BB606&gt;=MIN_N,MEDIAN(IF($AY$2:$AY$662=AY606,$O$2:$O$662)),IF(BA606&gt;=MIN_N,MEDIAN(IF($AX$2:$AX$662=AX606,$O$2:$O$662)),MEDIAN(IF($AW$2:$AW$662=AW606,$O$2:$O$662)))))</f>
        <v/>
      </c>
      <c r="BD606" s="3">
        <f>IF(N(AO606)&gt;=MIN_N,"mercado "&amp;AP606,IF(BB606&gt;=MIN_N,"modelo+año+km",IF(BA606&gt;=MIN_N,"modelo+año","modelo")))</f>
        <v/>
      </c>
      <c r="BE606" s="4">
        <f>(BC606-O606)/BC606</f>
        <v/>
      </c>
      <c r="BF606" s="3">
        <f>IF(OR(K606="hibrido",K606="glp"),"ECO",IF(K606="electrico","CERO",IF(K606="gasolina",IF(M606&gt;=GAS_C,"C",IF(M606&gt;=GAS_B,"B","A")),IF(K606="diesel",IF(M606&gt;=DIE_C,"C",IF(M606&gt;=DIE_B,"B","A")),""))))</f>
        <v/>
      </c>
      <c r="BG606" s="3">
        <f>IFERROR(VLOOKUP(F606,MOD_TBL,11,0),IFERROR(VLOOKUP(E606,OCU_TBL,2,0),NEUTRO))</f>
        <v/>
      </c>
      <c r="BH606" s="3">
        <f>SUMIFS(MOT_AJUSTE,MOT_MOTOR,G606,MOT_MARCA,E606,MOT_DESDE,"&lt;="&amp;M606,MOT_HASTA,"&gt;="&amp;M606)+SUMIFS(MOT_AJUSTE,MOT_MOTOR,G606,MOT_MARCA,"(todas)",MOT_DESDE,"&lt;="&amp;M606,MOT_HASTA,"&gt;="&amp;M606)</f>
        <v/>
      </c>
      <c r="BI606" s="3">
        <f>SUMIFS(COMB_AJUSTE,COMB_COMB,K606)</f>
        <v/>
      </c>
      <c r="BJ606" s="3">
        <f>COUNTIFS(MOT_MOTOR,G606,MOT_MARCA,E606,MOT_DESDE,"&lt;="&amp;M606,MOT_HASTA,"&gt;="&amp;M606)+COUNTIFS(MOT_MOTOR,G606,MOT_MARCA,"(todas)",MOT_DESDE,"&lt;="&amp;M606,MOT_HASTA,"&gt;="&amp;M606)</f>
        <v/>
      </c>
      <c r="BK606" s="3">
        <f>IF(AND(K606="diesel",BJ606=0),MIN(BG606,NEUTRO),BG606)</f>
        <v/>
      </c>
      <c r="BL606" s="4">
        <f>MAX(0,MIN(100,BK606+BH606+BI606))</f>
        <v/>
      </c>
      <c r="BM606" s="3">
        <f>MAX(0,MIN(100,50+BE606*PRECIO_PEND))</f>
        <v/>
      </c>
      <c r="BN606" s="3">
        <f>MAX(0,100*(1-N606/KM_MAX))</f>
        <v/>
      </c>
      <c r="BO606" s="3">
        <f>IF(AV606&lt;KMA_SOSP,IF(AA606="sí",100,KMA_PEN),IF(AV606&lt;=KMA_IDEAL_MAX,100,MAX(0,100*(KMA_CERO-AV606)/(KMA_CERO-KMA_IDEAL_MAX))))</f>
        <v/>
      </c>
      <c r="BP606" s="3">
        <f>MAX(0,MIN(100,100*(M606-ANIO_MIN)/(ANIO_ACTUAL-ANIO_MIN)))</f>
        <v/>
      </c>
      <c r="BQ606" s="3">
        <f>W_KMT*BN606+W_KMA*BO606+W_EDAD*BP606</f>
        <v/>
      </c>
      <c r="BR606" s="3">
        <f>P_ITV*(V606="sí")+P_LIBRO*(W606="sí")+P_CORREA*(X606="sí")+P_PROP*(Y606=1)+P_GAR*(Z606="sí")+P_FOTOS*MIN(1,N(U606)/FOTOS_OBJ)</f>
        <v/>
      </c>
      <c r="BS606" s="3">
        <f>IFERROR(VLOOKUP(BF606,ETQ_TBL,2,0),NEUTRO)</f>
        <v/>
      </c>
      <c r="BT606" s="3">
        <f>NEUTRO</f>
        <v/>
      </c>
      <c r="BU606" s="3">
        <f>IFERROR(VLOOKUP(L606,SEGURO_TBL,3,0),"")</f>
        <v/>
      </c>
      <c r="BV606" s="3">
        <f>IF(BU606="",NEUTRO,MAX(0,MIN(100,100*(SEG_REF_MAX-BU606)/(SEG_REF_MAX-SEG_REF_MIN))))</f>
        <v/>
      </c>
      <c r="BW606" s="3">
        <f>W_ET*BS606+W_CONS*BT606+W_SEG*BV606</f>
        <v/>
      </c>
      <c r="BX606" s="3">
        <f>IF(N(AB606)&gt;0,AB606,IF(AND(R606="profesional",SG_LEGAL_ON=1),GAR_LEGAL,0))</f>
        <v/>
      </c>
      <c r="BY606" s="3">
        <f>SG_GAR*MIN(1,BX606/SG_GAR_FULL)+SG_AMPL*(AC606="sí")+SG_KMC*(AF606="sí")+SG_REV*(N(AE606)&gt;0)+SG_DEV*MIN(1,N(AG606)/SG_DEV_FULL)+SG_HIST*(W606="sí")</f>
        <v/>
      </c>
      <c r="BZ606" s="3">
        <f>IFERROR(VLOOKUP(L606,CARR_PEN_TBL,2,0),0)</f>
        <v/>
      </c>
      <c r="CA606" s="3">
        <f>W_FIAB*BL606+W_PRECIO*BM606+W_KMEDAD*BQ606+W_ANUNCIO*BR606+W_USO*BW606+W_SEGURIDAD*BY606-BZ606</f>
        <v/>
      </c>
      <c r="CB606" s="4">
        <f>IF(N(I606)&gt;0,I606,IFERROR(ROUND(_xlfn.NUMBERVALUE(LEFT(G606,FIND(" ",G606&amp;" ")-1),".")*1000,0),99999))</f>
        <v/>
      </c>
      <c r="CC606" s="3">
        <f>IF(R606="profesional",0,IF(O606&lt;CUOTA_VALOR_MAX,IF(AU606&gt;ITP_TRAMO_ALTO,SUMIFS(CF_CUOTA,CF_MAS,ITP_TRAMO_ALTO,CF_CCMIN,"&lt;="&amp;CB606,CF_CCMAX,"&gt;="&amp;CB606),IF(AU606&gt;ITP_TRAMO_BAJO,SUMIFS(CF_CUOTA,CF_MAS,ITP_TRAMO_BAJO,CF_CCMIN,"&lt;="&amp;CB606,CF_CCMAX,"&gt;="&amp;CB606),O606*ITP_TIPO)),O606*ITP_TIPO))</f>
        <v/>
      </c>
      <c r="CD606" s="4">
        <f>IF(R606="profesional",N(AK606),0)</f>
        <v/>
      </c>
      <c r="CE606" s="3">
        <f>IF(AND(R606="profesional",ISNUMBER(AK606),AL606="sí"),0,TASA_DGT)</f>
        <v/>
      </c>
      <c r="CF606" s="3">
        <f>INFORME_DGT</f>
        <v/>
      </c>
      <c r="CG606" s="4">
        <f>O606+CD606+CC606+CE606+CF606</f>
        <v/>
      </c>
      <c r="CH606" s="4">
        <f>CG606+N(BU606)</f>
        <v/>
      </c>
      <c r="CI606" s="3">
        <f>IF(CG606&lt;=TOTAL_MAX,"sí",IF(CG606&lt;=TOTAL_MAX+MARGEN_NEG,"negociar","no"))</f>
        <v/>
      </c>
      <c r="CJ606" s="4">
        <f>IF(CI606&lt;&gt;"no",COUNTIFS($CI$2:$CI$662,"&lt;&gt;no",$CA$2:$CA$662,"&gt;"&amp;CA606)+COUNTIFS($CI$2:CI606,"&lt;&gt;no",$CA$2:CA606,CA606),"")</f>
        <v/>
      </c>
    </row>
    <row r="607">
      <c r="A607" s="2" t="inlineStr">
        <is>
          <t>cochesnet:71669228</t>
        </is>
      </c>
      <c r="B607" s="2" t="inlineStr">
        <is>
          <t>cochesnet</t>
        </is>
      </c>
      <c r="C607" s="2" t="inlineStr">
        <is>
          <t>https://www.coches.net/renault-megane-gasolina-2009-en-castellon-71669228-covo.aspx</t>
        </is>
      </c>
      <c r="D607" s="2" t="inlineStr">
        <is>
          <t>RENAULT Megane AUTHENTIQUE 1.4 16V</t>
        </is>
      </c>
      <c r="E607" s="2" t="inlineStr">
        <is>
          <t>Renault</t>
        </is>
      </c>
      <c r="F607" s="2" t="inlineStr">
        <is>
          <t>Renault Mégane</t>
        </is>
      </c>
      <c r="G607" s="2" t="inlineStr">
        <is>
          <t>1.4</t>
        </is>
      </c>
      <c r="H607" s="2" t="inlineStr">
        <is>
          <t>AUTHENTIQUE 1.4 16V</t>
        </is>
      </c>
      <c r="I607" s="2" t="n"/>
      <c r="J607" s="2" t="n"/>
      <c r="K607" s="2" t="inlineStr">
        <is>
          <t>gasolina</t>
        </is>
      </c>
      <c r="L607" s="2" t="inlineStr">
        <is>
          <t>compacto</t>
        </is>
      </c>
      <c r="M607" s="2" t="n">
        <v>2009</v>
      </c>
      <c r="N607" s="2" t="n">
        <v>170000</v>
      </c>
      <c r="O607" s="2" t="n">
        <v>3700</v>
      </c>
      <c r="P607" s="2" t="inlineStr">
        <is>
          <t>manual</t>
        </is>
      </c>
      <c r="Q607" s="2" t="inlineStr">
        <is>
          <t>no</t>
        </is>
      </c>
      <c r="R607" s="2" t="inlineStr">
        <is>
          <t>particular</t>
        </is>
      </c>
      <c r="S607" s="2" t="n"/>
      <c r="T607" s="2" t="inlineStr">
        <is>
          <t>2026-10-04T11:44:05Z</t>
        </is>
      </c>
      <c r="U607" s="2" t="n">
        <v>7</v>
      </c>
      <c r="V607" s="2" t="n"/>
      <c r="W607" s="2" t="n"/>
      <c r="X607" s="2" t="n"/>
      <c r="Y607" s="2" t="n"/>
      <c r="Z607" s="2" t="inlineStr">
        <is>
          <t>no</t>
        </is>
      </c>
      <c r="AA607" s="2" t="n"/>
      <c r="AB607" s="2" t="n"/>
      <c r="AC607" s="2" t="n"/>
      <c r="AD607" s="2" t="n"/>
      <c r="AE607" s="2" t="n"/>
      <c r="AF607" s="2" t="n"/>
      <c r="AG607" s="2" t="n"/>
      <c r="AH607" s="2" t="n">
        <v>3700</v>
      </c>
      <c r="AI607" s="2" t="n"/>
      <c r="AJ607" s="2" t="n"/>
      <c r="AK607" s="2" t="n"/>
      <c r="AL607" s="2" t="n"/>
      <c r="AM607" s="2" t="n"/>
      <c r="AN607" s="2" t="n">
        <v>3850</v>
      </c>
      <c r="AO607" s="2" t="n">
        <v>6</v>
      </c>
      <c r="AP607" s="2" t="inlineStr">
        <is>
          <t>modelo+año+km</t>
        </is>
      </c>
      <c r="AQ607" s="2" t="n"/>
      <c r="AR607" s="2" t="inlineStr">
        <is>
          <t>cuota fija ITP: &gt;12 años, hasta 1.500 cc; distancia no verificable (el anuncio solo indica la provincia): confirmar que está a &lt;= 70 km</t>
        </is>
      </c>
      <c r="AS607" s="2" t="inlineStr">
        <is>
          <t xml:space="preserve">Renault Megane II año 2009 aire acondicionado nuevo listo para rodar sin problema alguno todo revisado </t>
        </is>
      </c>
      <c r="AT607" s="2" t="inlineStr">
        <is>
          <t>https://www.coches.net/renault-megane-gasolina-2009-en-castellon-71669228-covo.aspx (window.__INITIAL_PROPS__.ad) /home/user/Alopecia/buscador-coches/raw/cochesnet/3a6e2e117f0467c6.json</t>
        </is>
      </c>
      <c r="AU607" s="3">
        <f>MAX(ANIO_ACTUAL-M607,0)</f>
        <v/>
      </c>
      <c r="AV607" s="4">
        <f>N607/MAX(AU607,0.5)</f>
        <v/>
      </c>
      <c r="AW607" s="4">
        <f>F607</f>
        <v/>
      </c>
      <c r="AX607" s="3">
        <f>AW607&amp;"|"&amp;INT(M607/SEG_ANIO)*SEG_ANIO</f>
        <v/>
      </c>
      <c r="AY607" s="3">
        <f>AX607&amp;"|"&amp;INT(N607/SEG_KM)*SEG_KM</f>
        <v/>
      </c>
      <c r="AZ607" s="4">
        <f>COUNTIF($AW$2:$AW$662,AW607)</f>
        <v/>
      </c>
      <c r="BA607" s="4">
        <f>COUNTIF($AX$2:$AX$662,AX607)</f>
        <v/>
      </c>
      <c r="BB607" s="4">
        <f>COUNTIF($AY$2:$AY$662,AY607)</f>
        <v/>
      </c>
      <c r="BC607" s="3">
        <f t="array" ref="BC607">IF(N(AO607)&gt;=MIN_N,AN607,IF(BB607&gt;=MIN_N,MEDIAN(IF($AY$2:$AY$662=AY607,$O$2:$O$662)),IF(BA607&gt;=MIN_N,MEDIAN(IF($AX$2:$AX$662=AX607,$O$2:$O$662)),MEDIAN(IF($AW$2:$AW$662=AW607,$O$2:$O$662)))))</f>
        <v/>
      </c>
      <c r="BD607" s="3">
        <f>IF(N(AO607)&gt;=MIN_N,"mercado "&amp;AP607,IF(BB607&gt;=MIN_N,"modelo+año+km",IF(BA607&gt;=MIN_N,"modelo+año","modelo")))</f>
        <v/>
      </c>
      <c r="BE607" s="4">
        <f>(BC607-O607)/BC607</f>
        <v/>
      </c>
      <c r="BF607" s="3">
        <f>IF(OR(K607="hibrido",K607="glp"),"ECO",IF(K607="electrico","CERO",IF(K607="gasolina",IF(M607&gt;=GAS_C,"C",IF(M607&gt;=GAS_B,"B","A")),IF(K607="diesel",IF(M607&gt;=DIE_C,"C",IF(M607&gt;=DIE_B,"B","A")),""))))</f>
        <v/>
      </c>
      <c r="BG607" s="3">
        <f>IFERROR(VLOOKUP(F607,MOD_TBL,11,0),IFERROR(VLOOKUP(E607,OCU_TBL,2,0),NEUTRO))</f>
        <v/>
      </c>
      <c r="BH607" s="3">
        <f>SUMIFS(MOT_AJUSTE,MOT_MOTOR,G607,MOT_MARCA,E607,MOT_DESDE,"&lt;="&amp;M607,MOT_HASTA,"&gt;="&amp;M607)+SUMIFS(MOT_AJUSTE,MOT_MOTOR,G607,MOT_MARCA,"(todas)",MOT_DESDE,"&lt;="&amp;M607,MOT_HASTA,"&gt;="&amp;M607)</f>
        <v/>
      </c>
      <c r="BI607" s="3">
        <f>SUMIFS(COMB_AJUSTE,COMB_COMB,K607)</f>
        <v/>
      </c>
      <c r="BJ607" s="3">
        <f>COUNTIFS(MOT_MOTOR,G607,MOT_MARCA,E607,MOT_DESDE,"&lt;="&amp;M607,MOT_HASTA,"&gt;="&amp;M607)+COUNTIFS(MOT_MOTOR,G607,MOT_MARCA,"(todas)",MOT_DESDE,"&lt;="&amp;M607,MOT_HASTA,"&gt;="&amp;M607)</f>
        <v/>
      </c>
      <c r="BK607" s="3">
        <f>IF(AND(K607="diesel",BJ607=0),MIN(BG607,NEUTRO),BG607)</f>
        <v/>
      </c>
      <c r="BL607" s="4">
        <f>MAX(0,MIN(100,BK607+BH607+BI607))</f>
        <v/>
      </c>
      <c r="BM607" s="3">
        <f>MAX(0,MIN(100,50+BE607*PRECIO_PEND))</f>
        <v/>
      </c>
      <c r="BN607" s="3">
        <f>MAX(0,100*(1-N607/KM_MAX))</f>
        <v/>
      </c>
      <c r="BO607" s="3">
        <f>IF(AV607&lt;KMA_SOSP,IF(AA607="sí",100,KMA_PEN),IF(AV607&lt;=KMA_IDEAL_MAX,100,MAX(0,100*(KMA_CERO-AV607)/(KMA_CERO-KMA_IDEAL_MAX))))</f>
        <v/>
      </c>
      <c r="BP607" s="3">
        <f>MAX(0,MIN(100,100*(M607-ANIO_MIN)/(ANIO_ACTUAL-ANIO_MIN)))</f>
        <v/>
      </c>
      <c r="BQ607" s="3">
        <f>W_KMT*BN607+W_KMA*BO607+W_EDAD*BP607</f>
        <v/>
      </c>
      <c r="BR607" s="3">
        <f>P_ITV*(V607="sí")+P_LIBRO*(W607="sí")+P_CORREA*(X607="sí")+P_PROP*(Y607=1)+P_GAR*(Z607="sí")+P_FOTOS*MIN(1,N(U607)/FOTOS_OBJ)</f>
        <v/>
      </c>
      <c r="BS607" s="3">
        <f>IFERROR(VLOOKUP(BF607,ETQ_TBL,2,0),NEUTRO)</f>
        <v/>
      </c>
      <c r="BT607" s="3">
        <f>NEUTRO</f>
        <v/>
      </c>
      <c r="BU607" s="3">
        <f>IFERROR(VLOOKUP(L607,SEGURO_TBL,3,0),"")</f>
        <v/>
      </c>
      <c r="BV607" s="3">
        <f>IF(BU607="",NEUTRO,MAX(0,MIN(100,100*(SEG_REF_MAX-BU607)/(SEG_REF_MAX-SEG_REF_MIN))))</f>
        <v/>
      </c>
      <c r="BW607" s="3">
        <f>W_ET*BS607+W_CONS*BT607+W_SEG*BV607</f>
        <v/>
      </c>
      <c r="BX607" s="3">
        <f>IF(N(AB607)&gt;0,AB607,IF(AND(R607="profesional",SG_LEGAL_ON=1),GAR_LEGAL,0))</f>
        <v/>
      </c>
      <c r="BY607" s="3">
        <f>SG_GAR*MIN(1,BX607/SG_GAR_FULL)+SG_AMPL*(AC607="sí")+SG_KMC*(AF607="sí")+SG_REV*(N(AE607)&gt;0)+SG_DEV*MIN(1,N(AG607)/SG_DEV_FULL)+SG_HIST*(W607="sí")</f>
        <v/>
      </c>
      <c r="BZ607" s="3">
        <f>IFERROR(VLOOKUP(L607,CARR_PEN_TBL,2,0),0)</f>
        <v/>
      </c>
      <c r="CA607" s="3">
        <f>W_FIAB*BL607+W_PRECIO*BM607+W_KMEDAD*BQ607+W_ANUNCIO*BR607+W_USO*BW607+W_SEGURIDAD*BY607-BZ607</f>
        <v/>
      </c>
      <c r="CB607" s="4">
        <f>IF(N(I607)&gt;0,I607,IFERROR(ROUND(_xlfn.NUMBERVALUE(LEFT(G607,FIND(" ",G607&amp;" ")-1),".")*1000,0),99999))</f>
        <v/>
      </c>
      <c r="CC607" s="3">
        <f>IF(R607="profesional",0,IF(O607&lt;CUOTA_VALOR_MAX,IF(AU607&gt;ITP_TRAMO_ALTO,SUMIFS(CF_CUOTA,CF_MAS,ITP_TRAMO_ALTO,CF_CCMIN,"&lt;="&amp;CB607,CF_CCMAX,"&gt;="&amp;CB607),IF(AU607&gt;ITP_TRAMO_BAJO,SUMIFS(CF_CUOTA,CF_MAS,ITP_TRAMO_BAJO,CF_CCMIN,"&lt;="&amp;CB607,CF_CCMAX,"&gt;="&amp;CB607),O607*ITP_TIPO)),O607*ITP_TIPO))</f>
        <v/>
      </c>
      <c r="CD607" s="4">
        <f>IF(R607="profesional",N(AK607),0)</f>
        <v/>
      </c>
      <c r="CE607" s="3">
        <f>IF(AND(R607="profesional",ISNUMBER(AK607),AL607="sí"),0,TASA_DGT)</f>
        <v/>
      </c>
      <c r="CF607" s="3">
        <f>INFORME_DGT</f>
        <v/>
      </c>
      <c r="CG607" s="4">
        <f>O607+CD607+CC607+CE607+CF607</f>
        <v/>
      </c>
      <c r="CH607" s="4">
        <f>CG607+N(BU607)</f>
        <v/>
      </c>
      <c r="CI607" s="3">
        <f>IF(CG607&lt;=TOTAL_MAX,"sí",IF(CG607&lt;=TOTAL_MAX+MARGEN_NEG,"negociar","no"))</f>
        <v/>
      </c>
      <c r="CJ607" s="4">
        <f>IF(CI607&lt;&gt;"no",COUNTIFS($CI$2:$CI$662,"&lt;&gt;no",$CA$2:$CA$662,"&gt;"&amp;CA607)+COUNTIFS($CI$2:CI607,"&lt;&gt;no",$CA$2:CA607,CA607),"")</f>
        <v/>
      </c>
    </row>
    <row r="608">
      <c r="A608" s="2" t="inlineStr">
        <is>
          <t>cochesnet:71609841</t>
        </is>
      </c>
      <c r="B608" s="2" t="inlineStr">
        <is>
          <t>cochesnet</t>
        </is>
      </c>
      <c r="C608" s="2" t="inlineStr">
        <is>
          <t>https://www.coches.net/renault-megane-sport-tourer-business-dci-110-5p-diesel-2012-en-castellon-71609841-covo.aspx</t>
        </is>
      </c>
      <c r="D608" s="2" t="inlineStr">
        <is>
          <t>RENAULT Megane Sport Tourer Business dCi 110</t>
        </is>
      </c>
      <c r="E608" s="2" t="inlineStr">
        <is>
          <t>Renault</t>
        </is>
      </c>
      <c r="F608" s="2" t="inlineStr">
        <is>
          <t>Renault Mégane</t>
        </is>
      </c>
      <c r="G608" s="2" t="inlineStr">
        <is>
          <t>? dCi</t>
        </is>
      </c>
      <c r="H608" s="2" t="inlineStr">
        <is>
          <t>Sport Tourer Business dCi 110</t>
        </is>
      </c>
      <c r="I608" s="2" t="n"/>
      <c r="J608" s="2" t="n"/>
      <c r="K608" s="2" t="inlineStr">
        <is>
          <t>diesel</t>
        </is>
      </c>
      <c r="L608" s="2" t="inlineStr">
        <is>
          <t>familiar</t>
        </is>
      </c>
      <c r="M608" s="2" t="n">
        <v>2012</v>
      </c>
      <c r="N608" s="2" t="n">
        <v>182000</v>
      </c>
      <c r="O608" s="2" t="n">
        <v>4800</v>
      </c>
      <c r="P608" s="2" t="inlineStr">
        <is>
          <t>manual</t>
        </is>
      </c>
      <c r="Q608" s="2" t="inlineStr">
        <is>
          <t>no</t>
        </is>
      </c>
      <c r="R608" s="2" t="inlineStr">
        <is>
          <t>particular</t>
        </is>
      </c>
      <c r="S608" s="2" t="inlineStr">
        <is>
          <t>Castellón de la Plana / Castelló de la Plana</t>
        </is>
      </c>
      <c r="T608" s="2" t="inlineStr">
        <is>
          <t>2026-09-27T19:25:12Z</t>
        </is>
      </c>
      <c r="U608" s="2" t="n">
        <v>15</v>
      </c>
      <c r="V608" s="2" t="n"/>
      <c r="W608" s="2" t="n"/>
      <c r="X608" s="2" t="n"/>
      <c r="Y608" s="2" t="n"/>
      <c r="Z608" s="2" t="inlineStr">
        <is>
          <t>no</t>
        </is>
      </c>
      <c r="AA608" s="2" t="n"/>
      <c r="AB608" s="2" t="n"/>
      <c r="AC608" s="2" t="n"/>
      <c r="AD608" s="2" t="n"/>
      <c r="AE608" s="2" t="n"/>
      <c r="AF608" s="2" t="n"/>
      <c r="AG608" s="2" t="n"/>
      <c r="AH608" s="2" t="n">
        <v>4800</v>
      </c>
      <c r="AI608" s="2" t="n"/>
      <c r="AJ608" s="2" t="n"/>
      <c r="AK608" s="2" t="n"/>
      <c r="AL608" s="2" t="n"/>
      <c r="AM608" s="2" t="n"/>
      <c r="AN608" s="2" t="n">
        <v>5045</v>
      </c>
      <c r="AO608" s="2" t="n">
        <v>12</v>
      </c>
      <c r="AP608" s="2" t="inlineStr">
        <is>
          <t>modelo+año+km</t>
        </is>
      </c>
      <c r="AQ608" s="2" t="inlineStr">
        <is>
          <t>cochesnet:71629893 (https://www.coches.net/renault-megane-diesel-2012-en-castellon-71629893-covo.aspx)</t>
        </is>
      </c>
      <c r="AR608" s="2" t="inlineStr">
        <is>
          <t>por encima del presupuesto (5004 €), negociar; cilindrada desconocida: se aplica el tramo de cuota fija más alto; cuota fija ITP: &gt;12 años, más de 2.000 cc; diésel: motor sin fuente de fiabilidad (fiabilidad limitada a neutra); carrocería familiar: -3 puntos; distancia no verificable (el anuncio solo indica la provincia): confirmar que está a &lt;= 70 km</t>
        </is>
      </c>
      <c r="AS608" s="2" t="inlineStr">
        <is>
          <t xml:space="preserve">Si buscas un coche que combine practicidad, eficiencia y un motor fiable, este Renault Mégane Sport Tourer es una gran oportunidad. Se trata de un familiar versátil con motorización diésel de 110 CV que ofrece un excelente rendimiento en carretera y una gestión inteligente del consumo, ideal para quienes realizan trayectos regulares sin renunciar a la comodidad.
presió negociable 
</t>
        </is>
      </c>
      <c r="AT608" s="2" t="inlineStr">
        <is>
          <t>https://www.coches.net/renault-megane-sport-tourer-business-dci-110-5p-diesel-2012-en-castellon-71609841-covo.aspx (window.__INITIAL_PROPS__.ad) /home/user/Alopecia/buscador-coches/raw/cochesnet/b905ef498e353b6c.json</t>
        </is>
      </c>
      <c r="AU608" s="3">
        <f>MAX(ANIO_ACTUAL-M608,0)</f>
        <v/>
      </c>
      <c r="AV608" s="4">
        <f>N608/MAX(AU608,0.5)</f>
        <v/>
      </c>
      <c r="AW608" s="4">
        <f>F608</f>
        <v/>
      </c>
      <c r="AX608" s="3">
        <f>AW608&amp;"|"&amp;INT(M608/SEG_ANIO)*SEG_ANIO</f>
        <v/>
      </c>
      <c r="AY608" s="3">
        <f>AX608&amp;"|"&amp;INT(N608/SEG_KM)*SEG_KM</f>
        <v/>
      </c>
      <c r="AZ608" s="4">
        <f>COUNTIF($AW$2:$AW$662,AW608)</f>
        <v/>
      </c>
      <c r="BA608" s="4">
        <f>COUNTIF($AX$2:$AX$662,AX608)</f>
        <v/>
      </c>
      <c r="BB608" s="4">
        <f>COUNTIF($AY$2:$AY$662,AY608)</f>
        <v/>
      </c>
      <c r="BC608" s="3">
        <f t="array" ref="BC608">IF(N(AO608)&gt;=MIN_N,AN608,IF(BB608&gt;=MIN_N,MEDIAN(IF($AY$2:$AY$662=AY608,$O$2:$O$662)),IF(BA608&gt;=MIN_N,MEDIAN(IF($AX$2:$AX$662=AX608,$O$2:$O$662)),MEDIAN(IF($AW$2:$AW$662=AW608,$O$2:$O$662)))))</f>
        <v/>
      </c>
      <c r="BD608" s="3">
        <f>IF(N(AO608)&gt;=MIN_N,"mercado "&amp;AP608,IF(BB608&gt;=MIN_N,"modelo+año+km",IF(BA608&gt;=MIN_N,"modelo+año","modelo")))</f>
        <v/>
      </c>
      <c r="BE608" s="4">
        <f>(BC608-O608)/BC608</f>
        <v/>
      </c>
      <c r="BF608" s="3">
        <f>IF(OR(K608="hibrido",K608="glp"),"ECO",IF(K608="electrico","CERO",IF(K608="gasolina",IF(M608&gt;=GAS_C,"C",IF(M608&gt;=GAS_B,"B","A")),IF(K608="diesel",IF(M608&gt;=DIE_C,"C",IF(M608&gt;=DIE_B,"B","A")),""))))</f>
        <v/>
      </c>
      <c r="BG608" s="3">
        <f>IFERROR(VLOOKUP(F608,MOD_TBL,11,0),IFERROR(VLOOKUP(E608,OCU_TBL,2,0),NEUTRO))</f>
        <v/>
      </c>
      <c r="BH608" s="3">
        <f>SUMIFS(MOT_AJUSTE,MOT_MOTOR,G608,MOT_MARCA,E608,MOT_DESDE,"&lt;="&amp;M608,MOT_HASTA,"&gt;="&amp;M608)+SUMIFS(MOT_AJUSTE,MOT_MOTOR,G608,MOT_MARCA,"(todas)",MOT_DESDE,"&lt;="&amp;M608,MOT_HASTA,"&gt;="&amp;M608)</f>
        <v/>
      </c>
      <c r="BI608" s="3">
        <f>SUMIFS(COMB_AJUSTE,COMB_COMB,K608)</f>
        <v/>
      </c>
      <c r="BJ608" s="3">
        <f>COUNTIFS(MOT_MOTOR,G608,MOT_MARCA,E608,MOT_DESDE,"&lt;="&amp;M608,MOT_HASTA,"&gt;="&amp;M608)+COUNTIFS(MOT_MOTOR,G608,MOT_MARCA,"(todas)",MOT_DESDE,"&lt;="&amp;M608,MOT_HASTA,"&gt;="&amp;M608)</f>
        <v/>
      </c>
      <c r="BK608" s="3">
        <f>IF(AND(K608="diesel",BJ608=0),MIN(BG608,NEUTRO),BG608)</f>
        <v/>
      </c>
      <c r="BL608" s="4">
        <f>MAX(0,MIN(100,BK608+BH608+BI608))</f>
        <v/>
      </c>
      <c r="BM608" s="3">
        <f>MAX(0,MIN(100,50+BE608*PRECIO_PEND))</f>
        <v/>
      </c>
      <c r="BN608" s="3">
        <f>MAX(0,100*(1-N608/KM_MAX))</f>
        <v/>
      </c>
      <c r="BO608" s="3">
        <f>IF(AV608&lt;KMA_SOSP,IF(AA608="sí",100,KMA_PEN),IF(AV608&lt;=KMA_IDEAL_MAX,100,MAX(0,100*(KMA_CERO-AV608)/(KMA_CERO-KMA_IDEAL_MAX))))</f>
        <v/>
      </c>
      <c r="BP608" s="3">
        <f>MAX(0,MIN(100,100*(M608-ANIO_MIN)/(ANIO_ACTUAL-ANIO_MIN)))</f>
        <v/>
      </c>
      <c r="BQ608" s="3">
        <f>W_KMT*BN608+W_KMA*BO608+W_EDAD*BP608</f>
        <v/>
      </c>
      <c r="BR608" s="3">
        <f>P_ITV*(V608="sí")+P_LIBRO*(W608="sí")+P_CORREA*(X608="sí")+P_PROP*(Y608=1)+P_GAR*(Z608="sí")+P_FOTOS*MIN(1,N(U608)/FOTOS_OBJ)</f>
        <v/>
      </c>
      <c r="BS608" s="3">
        <f>IFERROR(VLOOKUP(BF608,ETQ_TBL,2,0),NEUTRO)</f>
        <v/>
      </c>
      <c r="BT608" s="3">
        <f>NEUTRO</f>
        <v/>
      </c>
      <c r="BU608" s="3">
        <f>IFERROR(VLOOKUP(L608,SEGURO_TBL,3,0),"")</f>
        <v/>
      </c>
      <c r="BV608" s="3">
        <f>IF(BU608="",NEUTRO,MAX(0,MIN(100,100*(SEG_REF_MAX-BU608)/(SEG_REF_MAX-SEG_REF_MIN))))</f>
        <v/>
      </c>
      <c r="BW608" s="3">
        <f>W_ET*BS608+W_CONS*BT608+W_SEG*BV608</f>
        <v/>
      </c>
      <c r="BX608" s="3">
        <f>IF(N(AB608)&gt;0,AB608,IF(AND(R608="profesional",SG_LEGAL_ON=1),GAR_LEGAL,0))</f>
        <v/>
      </c>
      <c r="BY608" s="3">
        <f>SG_GAR*MIN(1,BX608/SG_GAR_FULL)+SG_AMPL*(AC608="sí")+SG_KMC*(AF608="sí")+SG_REV*(N(AE608)&gt;0)+SG_DEV*MIN(1,N(AG608)/SG_DEV_FULL)+SG_HIST*(W608="sí")</f>
        <v/>
      </c>
      <c r="BZ608" s="3">
        <f>IFERROR(VLOOKUP(L608,CARR_PEN_TBL,2,0),0)</f>
        <v/>
      </c>
      <c r="CA608" s="3">
        <f>W_FIAB*BL608+W_PRECIO*BM608+W_KMEDAD*BQ608+W_ANUNCIO*BR608+W_USO*BW608+W_SEGURIDAD*BY608-BZ608</f>
        <v/>
      </c>
      <c r="CB608" s="4">
        <f>IF(N(I608)&gt;0,I608,IFERROR(ROUND(_xlfn.NUMBERVALUE(LEFT(G608,FIND(" ",G608&amp;" ")-1),".")*1000,0),99999))</f>
        <v/>
      </c>
      <c r="CC608" s="3">
        <f>IF(R608="profesional",0,IF(O608&lt;CUOTA_VALOR_MAX,IF(AU608&gt;ITP_TRAMO_ALTO,SUMIFS(CF_CUOTA,CF_MAS,ITP_TRAMO_ALTO,CF_CCMIN,"&lt;="&amp;CB608,CF_CCMAX,"&gt;="&amp;CB608),IF(AU608&gt;ITP_TRAMO_BAJO,SUMIFS(CF_CUOTA,CF_MAS,ITP_TRAMO_BAJO,CF_CCMIN,"&lt;="&amp;CB608,CF_CCMAX,"&gt;="&amp;CB608),O608*ITP_TIPO)),O608*ITP_TIPO))</f>
        <v/>
      </c>
      <c r="CD608" s="4">
        <f>IF(R608="profesional",N(AK608),0)</f>
        <v/>
      </c>
      <c r="CE608" s="3">
        <f>IF(AND(R608="profesional",ISNUMBER(AK608),AL608="sí"),0,TASA_DGT)</f>
        <v/>
      </c>
      <c r="CF608" s="3">
        <f>INFORME_DGT</f>
        <v/>
      </c>
      <c r="CG608" s="4">
        <f>O608+CD608+CC608+CE608+CF608</f>
        <v/>
      </c>
      <c r="CH608" s="4">
        <f>CG608+N(BU608)</f>
        <v/>
      </c>
      <c r="CI608" s="3">
        <f>IF(CG608&lt;=TOTAL_MAX,"sí",IF(CG608&lt;=TOTAL_MAX+MARGEN_NEG,"negociar","no"))</f>
        <v/>
      </c>
      <c r="CJ608" s="4">
        <f>IF(CI608&lt;&gt;"no",COUNTIFS($CI$2:$CI$662,"&lt;&gt;no",$CA$2:$CA$662,"&gt;"&amp;CA608)+COUNTIFS($CI$2:CI608,"&lt;&gt;no",$CA$2:CA608,CA608),"")</f>
        <v/>
      </c>
    </row>
    <row r="609">
      <c r="A609" s="2" t="inlineStr">
        <is>
          <t>cochesnet:70895846</t>
        </is>
      </c>
      <c r="B609" s="2" t="inlineStr">
        <is>
          <t>cochesnet</t>
        </is>
      </c>
      <c r="C609" s="2" t="inlineStr">
        <is>
          <t>https://www.coches.net/renault-twingo-authentique-12-eco2-3p-gasolina-2008-en-castellon-70895846-covo.aspx</t>
        </is>
      </c>
      <c r="D609" s="2" t="inlineStr">
        <is>
          <t>RENAULT Twingo Authentique 1.2 eco2</t>
        </is>
      </c>
      <c r="E609" s="2" t="inlineStr">
        <is>
          <t>Renault</t>
        </is>
      </c>
      <c r="F609" s="2" t="inlineStr">
        <is>
          <t>Renault Twingo</t>
        </is>
      </c>
      <c r="G609" s="2" t="inlineStr">
        <is>
          <t>1.2</t>
        </is>
      </c>
      <c r="H609" s="2" t="inlineStr">
        <is>
          <t>Authentique 1.2 eco2</t>
        </is>
      </c>
      <c r="I609" s="2" t="n"/>
      <c r="J609" s="2" t="n"/>
      <c r="K609" s="2" t="inlineStr">
        <is>
          <t>gasolina</t>
        </is>
      </c>
      <c r="L609" s="2" t="inlineStr">
        <is>
          <t>utilitario</t>
        </is>
      </c>
      <c r="M609" s="2" t="n">
        <v>2008</v>
      </c>
      <c r="N609" s="2" t="n">
        <v>34100</v>
      </c>
      <c r="O609" s="2" t="n">
        <v>4900</v>
      </c>
      <c r="P609" s="2" t="inlineStr">
        <is>
          <t>manual</t>
        </is>
      </c>
      <c r="Q609" s="2" t="inlineStr">
        <is>
          <t>no</t>
        </is>
      </c>
      <c r="R609" s="2" t="inlineStr">
        <is>
          <t>profesional</t>
        </is>
      </c>
      <c r="S609" s="2" t="inlineStr">
        <is>
          <t>Comprartuauto.com Vila-real</t>
        </is>
      </c>
      <c r="T609" s="2" t="inlineStr">
        <is>
          <t>2026-09-16T19:33:12Z</t>
        </is>
      </c>
      <c r="U609" s="2" t="n">
        <v>12</v>
      </c>
      <c r="V609" s="2" t="inlineStr">
        <is>
          <t>sí</t>
        </is>
      </c>
      <c r="W609" s="2" t="n"/>
      <c r="X609" s="2" t="n"/>
      <c r="Y609" s="2" t="n">
        <v>1</v>
      </c>
      <c r="Z609" s="2" t="inlineStr">
        <is>
          <t>no</t>
        </is>
      </c>
      <c r="AA609" s="2" t="n"/>
      <c r="AB609" s="2" t="n"/>
      <c r="AC609" s="2" t="n"/>
      <c r="AD609" s="2" t="n"/>
      <c r="AE609" s="2" t="n"/>
      <c r="AF609" s="2" t="n"/>
      <c r="AG609" s="2" t="n"/>
      <c r="AH609" s="2" t="n">
        <v>4900</v>
      </c>
      <c r="AI609" s="2" t="n"/>
      <c r="AJ609" s="2" t="n"/>
      <c r="AK609" s="2" t="n"/>
      <c r="AL609" s="2" t="n"/>
      <c r="AM609" s="2" t="n"/>
      <c r="AN609" s="2" t="n"/>
      <c r="AO609" s="2" t="n"/>
      <c r="AP609" s="2" t="n"/>
      <c r="AQ609" s="2" t="n"/>
      <c r="AR609"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3 anuncio(s)</t>
        </is>
      </c>
      <c r="AS609" s="2" t="inlineStr">
        <is>
          <t>Renault Twingo motor 1.2cc 60cv Gasolina, manual 5 velocidades, año 2008, 34.100kms, único propietario, etiqueta medioambiental C.
Extras: Cierre centralizado a distancia, cristales eléctricos, aire acondicionado, ordenador de abordo, Radio/CD/Mp3/USB/Aux/Bluetooth, ABS, control de tracción, control de estabilidad, airbags, etc.
ITV hasta el 9/2026, neumáticos correctos, el ultimo mantenimiento de aceite y filtros se realizo a los 25.000kms.
El vehículo esta en perfectas condiciones.
El cambio de nombre se cobra a parte y son 200 Euros. 
Aceptamos su vehículo como parte de pago. 
Mas vehículos en comprartuauto,com 
Se habla Español, Ingles, Ucraniano y Ruso
Estamos en Villareal, Av. Francesc Tarrega 263. 
Horarios de Lunes a Viernes de 10 a 14 y de 17 a 20. 
Sábados mediante cita previa de 10 a 13.</t>
        </is>
      </c>
      <c r="AT609" s="2" t="inlineStr">
        <is>
          <t>https://www.coches.net/renault-twingo-authentique-12-eco2-3p-gasolina-2008-en-castellon-70895846-covo.aspx (window.__INITIAL_PROPS__.ad) /home/user/Alopecia/buscador-coches/raw/cochesnet/eec6c7107140ffda.json</t>
        </is>
      </c>
      <c r="AU609" s="3">
        <f>MAX(ANIO_ACTUAL-M609,0)</f>
        <v/>
      </c>
      <c r="AV609" s="4">
        <f>N609/MAX(AU609,0.5)</f>
        <v/>
      </c>
      <c r="AW609" s="4">
        <f>F609</f>
        <v/>
      </c>
      <c r="AX609" s="3">
        <f>AW609&amp;"|"&amp;INT(M609/SEG_ANIO)*SEG_ANIO</f>
        <v/>
      </c>
      <c r="AY609" s="3">
        <f>AX609&amp;"|"&amp;INT(N609/SEG_KM)*SEG_KM</f>
        <v/>
      </c>
      <c r="AZ609" s="4">
        <f>COUNTIF($AW$2:$AW$662,AW609)</f>
        <v/>
      </c>
      <c r="BA609" s="4">
        <f>COUNTIF($AX$2:$AX$662,AX609)</f>
        <v/>
      </c>
      <c r="BB609" s="4">
        <f>COUNTIF($AY$2:$AY$662,AY609)</f>
        <v/>
      </c>
      <c r="BC609" s="3">
        <f t="array" ref="BC609">IF(N(AO609)&gt;=MIN_N,AN609,IF(BB609&gt;=MIN_N,MEDIAN(IF($AY$2:$AY$662=AY609,$O$2:$O$662)),IF(BA609&gt;=MIN_N,MEDIAN(IF($AX$2:$AX$662=AX609,$O$2:$O$662)),MEDIAN(IF($AW$2:$AW$662=AW609,$O$2:$O$662)))))</f>
        <v/>
      </c>
      <c r="BD609" s="3">
        <f>IF(N(AO609)&gt;=MIN_N,"mercado "&amp;AP609,IF(BB609&gt;=MIN_N,"modelo+año+km",IF(BA609&gt;=MIN_N,"modelo+año","modelo")))</f>
        <v/>
      </c>
      <c r="BE609" s="4">
        <f>(BC609-O609)/BC609</f>
        <v/>
      </c>
      <c r="BF609" s="3">
        <f>IF(OR(K609="hibrido",K609="glp"),"ECO",IF(K609="electrico","CERO",IF(K609="gasolina",IF(M609&gt;=GAS_C,"C",IF(M609&gt;=GAS_B,"B","A")),IF(K609="diesel",IF(M609&gt;=DIE_C,"C",IF(M609&gt;=DIE_B,"B","A")),""))))</f>
        <v/>
      </c>
      <c r="BG609" s="3">
        <f>IFERROR(VLOOKUP(F609,MOD_TBL,11,0),IFERROR(VLOOKUP(E609,OCU_TBL,2,0),NEUTRO))</f>
        <v/>
      </c>
      <c r="BH609" s="3">
        <f>SUMIFS(MOT_AJUSTE,MOT_MOTOR,G609,MOT_MARCA,E609,MOT_DESDE,"&lt;="&amp;M609,MOT_HASTA,"&gt;="&amp;M609)+SUMIFS(MOT_AJUSTE,MOT_MOTOR,G609,MOT_MARCA,"(todas)",MOT_DESDE,"&lt;="&amp;M609,MOT_HASTA,"&gt;="&amp;M609)</f>
        <v/>
      </c>
      <c r="BI609" s="3">
        <f>SUMIFS(COMB_AJUSTE,COMB_COMB,K609)</f>
        <v/>
      </c>
      <c r="BJ609" s="3">
        <f>COUNTIFS(MOT_MOTOR,G609,MOT_MARCA,E609,MOT_DESDE,"&lt;="&amp;M609,MOT_HASTA,"&gt;="&amp;M609)+COUNTIFS(MOT_MOTOR,G609,MOT_MARCA,"(todas)",MOT_DESDE,"&lt;="&amp;M609,MOT_HASTA,"&gt;="&amp;M609)</f>
        <v/>
      </c>
      <c r="BK609" s="3">
        <f>IF(AND(K609="diesel",BJ609=0),MIN(BG609,NEUTRO),BG609)</f>
        <v/>
      </c>
      <c r="BL609" s="4">
        <f>MAX(0,MIN(100,BK609+BH609+BI609))</f>
        <v/>
      </c>
      <c r="BM609" s="3">
        <f>MAX(0,MIN(100,50+BE609*PRECIO_PEND))</f>
        <v/>
      </c>
      <c r="BN609" s="3">
        <f>MAX(0,100*(1-N609/KM_MAX))</f>
        <v/>
      </c>
      <c r="BO609" s="3">
        <f>IF(AV609&lt;KMA_SOSP,IF(AA609="sí",100,KMA_PEN),IF(AV609&lt;=KMA_IDEAL_MAX,100,MAX(0,100*(KMA_CERO-AV609)/(KMA_CERO-KMA_IDEAL_MAX))))</f>
        <v/>
      </c>
      <c r="BP609" s="3">
        <f>MAX(0,MIN(100,100*(M609-ANIO_MIN)/(ANIO_ACTUAL-ANIO_MIN)))</f>
        <v/>
      </c>
      <c r="BQ609" s="3">
        <f>W_KMT*BN609+W_KMA*BO609+W_EDAD*BP609</f>
        <v/>
      </c>
      <c r="BR609" s="3">
        <f>P_ITV*(V609="sí")+P_LIBRO*(W609="sí")+P_CORREA*(X609="sí")+P_PROP*(Y609=1)+P_GAR*(Z609="sí")+P_FOTOS*MIN(1,N(U609)/FOTOS_OBJ)</f>
        <v/>
      </c>
      <c r="BS609" s="3">
        <f>IFERROR(VLOOKUP(BF609,ETQ_TBL,2,0),NEUTRO)</f>
        <v/>
      </c>
      <c r="BT609" s="3">
        <f>NEUTRO</f>
        <v/>
      </c>
      <c r="BU609" s="3">
        <f>IFERROR(VLOOKUP(L609,SEGURO_TBL,3,0),"")</f>
        <v/>
      </c>
      <c r="BV609" s="3">
        <f>IF(BU609="",NEUTRO,MAX(0,MIN(100,100*(SEG_REF_MAX-BU609)/(SEG_REF_MAX-SEG_REF_MIN))))</f>
        <v/>
      </c>
      <c r="BW609" s="3">
        <f>W_ET*BS609+W_CONS*BT609+W_SEG*BV609</f>
        <v/>
      </c>
      <c r="BX609" s="3">
        <f>IF(N(AB609)&gt;0,AB609,IF(AND(R609="profesional",SG_LEGAL_ON=1),GAR_LEGAL,0))</f>
        <v/>
      </c>
      <c r="BY609" s="3">
        <f>SG_GAR*MIN(1,BX609/SG_GAR_FULL)+SG_AMPL*(AC609="sí")+SG_KMC*(AF609="sí")+SG_REV*(N(AE609)&gt;0)+SG_DEV*MIN(1,N(AG609)/SG_DEV_FULL)+SG_HIST*(W609="sí")</f>
        <v/>
      </c>
      <c r="BZ609" s="3">
        <f>IFERROR(VLOOKUP(L609,CARR_PEN_TBL,2,0),0)</f>
        <v/>
      </c>
      <c r="CA609" s="3">
        <f>W_FIAB*BL609+W_PRECIO*BM609+W_KMEDAD*BQ609+W_ANUNCIO*BR609+W_USO*BW609+W_SEGURIDAD*BY609-BZ609</f>
        <v/>
      </c>
      <c r="CB609" s="4">
        <f>IF(N(I609)&gt;0,I609,IFERROR(ROUND(_xlfn.NUMBERVALUE(LEFT(G609,FIND(" ",G609&amp;" ")-1),".")*1000,0),99999))</f>
        <v/>
      </c>
      <c r="CC609" s="3">
        <f>IF(R609="profesional",0,IF(O609&lt;CUOTA_VALOR_MAX,IF(AU609&gt;ITP_TRAMO_ALTO,SUMIFS(CF_CUOTA,CF_MAS,ITP_TRAMO_ALTO,CF_CCMIN,"&lt;="&amp;CB609,CF_CCMAX,"&gt;="&amp;CB609),IF(AU609&gt;ITP_TRAMO_BAJO,SUMIFS(CF_CUOTA,CF_MAS,ITP_TRAMO_BAJO,CF_CCMIN,"&lt;="&amp;CB609,CF_CCMAX,"&gt;="&amp;CB609),O609*ITP_TIPO)),O609*ITP_TIPO))</f>
        <v/>
      </c>
      <c r="CD609" s="4">
        <f>IF(R609="profesional",N(AK609),0)</f>
        <v/>
      </c>
      <c r="CE609" s="3">
        <f>IF(AND(R609="profesional",ISNUMBER(AK609),AL609="sí"),0,TASA_DGT)</f>
        <v/>
      </c>
      <c r="CF609" s="3">
        <f>INFORME_DGT</f>
        <v/>
      </c>
      <c r="CG609" s="4">
        <f>O609+CD609+CC609+CE609+CF609</f>
        <v/>
      </c>
      <c r="CH609" s="4">
        <f>CG609+N(BU609)</f>
        <v/>
      </c>
      <c r="CI609" s="3">
        <f>IF(CG609&lt;=TOTAL_MAX,"sí",IF(CG609&lt;=TOTAL_MAX+MARGEN_NEG,"negociar","no"))</f>
        <v/>
      </c>
      <c r="CJ609" s="4">
        <f>IF(CI609&lt;&gt;"no",COUNTIFS($CI$2:$CI$662,"&lt;&gt;no",$CA$2:$CA$662,"&gt;"&amp;CA609)+COUNTIFS($CI$2:CI609,"&lt;&gt;no",$CA$2:CA609,CA609),"")</f>
        <v/>
      </c>
    </row>
    <row r="610">
      <c r="A610" s="2" t="inlineStr">
        <is>
          <t>cochesnet:71539906</t>
        </is>
      </c>
      <c r="B610" s="2" t="inlineStr">
        <is>
          <t>cochesnet</t>
        </is>
      </c>
      <c r="C610" s="2" t="inlineStr">
        <is>
          <t>https://www.coches.net/renault-megane-diesel-2011-en-castellon-71539906-covo.aspx</t>
        </is>
      </c>
      <c r="D610" s="2" t="inlineStr">
        <is>
          <t>RENAULT Megane</t>
        </is>
      </c>
      <c r="E610" s="2" t="inlineStr">
        <is>
          <t>Renault</t>
        </is>
      </c>
      <c r="F610" s="2" t="inlineStr">
        <is>
          <t>Renault Mégane</t>
        </is>
      </c>
      <c r="G610" s="2" t="n"/>
      <c r="H610" s="2" t="n"/>
      <c r="I610" s="2" t="n"/>
      <c r="J610" s="2" t="n"/>
      <c r="K610" s="2" t="inlineStr">
        <is>
          <t>diesel</t>
        </is>
      </c>
      <c r="L610" s="2" t="inlineStr">
        <is>
          <t>compacto</t>
        </is>
      </c>
      <c r="M610" s="2" t="n">
        <v>2011</v>
      </c>
      <c r="N610" s="2" t="n">
        <v>153200</v>
      </c>
      <c r="O610" s="2" t="n">
        <v>4900</v>
      </c>
      <c r="P610" s="2" t="inlineStr">
        <is>
          <t>manual</t>
        </is>
      </c>
      <c r="Q610" s="2" t="inlineStr">
        <is>
          <t>no</t>
        </is>
      </c>
      <c r="R610" s="2" t="inlineStr">
        <is>
          <t>particular</t>
        </is>
      </c>
      <c r="S610" s="2" t="n"/>
      <c r="T610" s="2" t="inlineStr">
        <is>
          <t>2026-09-17T16:51:09Z</t>
        </is>
      </c>
      <c r="U610" s="2" t="n">
        <v>6</v>
      </c>
      <c r="V610" s="2" t="inlineStr">
        <is>
          <t>sí</t>
        </is>
      </c>
      <c r="W610" s="2" t="n"/>
      <c r="X610" s="2" t="n"/>
      <c r="Y610" s="2" t="n">
        <v>1</v>
      </c>
      <c r="Z610" s="2" t="inlineStr">
        <is>
          <t>no</t>
        </is>
      </c>
      <c r="AA610" s="2" t="n"/>
      <c r="AB610" s="2" t="n"/>
      <c r="AC610" s="2" t="n"/>
      <c r="AD610" s="2" t="n"/>
      <c r="AE610" s="2" t="n"/>
      <c r="AF610" s="2" t="n"/>
      <c r="AG610" s="2" t="n"/>
      <c r="AH610" s="2" t="n">
        <v>4900</v>
      </c>
      <c r="AI610" s="2" t="n"/>
      <c r="AJ610" s="2" t="n"/>
      <c r="AK610" s="2" t="n"/>
      <c r="AL610" s="2" t="n"/>
      <c r="AM610" s="2" t="n"/>
      <c r="AN610" s="2" t="n">
        <v>5045</v>
      </c>
      <c r="AO610" s="2" t="n">
        <v>12</v>
      </c>
      <c r="AP610" s="2" t="inlineStr">
        <is>
          <t>modelo+año+km</t>
        </is>
      </c>
      <c r="AQ610" s="2" t="n"/>
      <c r="AR610" s="2" t="inlineStr">
        <is>
          <t>por encima del presupuesto (5104 €),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t>
        </is>
      </c>
      <c r="AS610" s="2" t="inlineStr">
        <is>
          <t>vendo Megane 1.5 dci,ITV recién pasada,6 velocidades, volante multifunción,bluetooh,control de velocidad y antiderrapaje,manos libres .llantas de aluminio, climatizador bizona,no hay que hacer nada de mecánica, está todo bien, buenas prestaciones y bajo consumo, cómodo de llevar ,solo a tenido 1 propietario</t>
        </is>
      </c>
      <c r="AT610" s="2" t="inlineStr">
        <is>
          <t>https://www.coches.net/renault-megane-diesel-2011-en-castellon-71539906-covo.aspx (window.__INITIAL_PROPS__.ad) /home/user/Alopecia/buscador-coches/raw/cochesnet/53a4629eb1040f67.json</t>
        </is>
      </c>
      <c r="AU610" s="3">
        <f>MAX(ANIO_ACTUAL-M610,0)</f>
        <v/>
      </c>
      <c r="AV610" s="4">
        <f>N610/MAX(AU610,0.5)</f>
        <v/>
      </c>
      <c r="AW610" s="4">
        <f>F610</f>
        <v/>
      </c>
      <c r="AX610" s="3">
        <f>AW610&amp;"|"&amp;INT(M610/SEG_ANIO)*SEG_ANIO</f>
        <v/>
      </c>
      <c r="AY610" s="3">
        <f>AX610&amp;"|"&amp;INT(N610/SEG_KM)*SEG_KM</f>
        <v/>
      </c>
      <c r="AZ610" s="4">
        <f>COUNTIF($AW$2:$AW$662,AW610)</f>
        <v/>
      </c>
      <c r="BA610" s="4">
        <f>COUNTIF($AX$2:$AX$662,AX610)</f>
        <v/>
      </c>
      <c r="BB610" s="4">
        <f>COUNTIF($AY$2:$AY$662,AY610)</f>
        <v/>
      </c>
      <c r="BC610" s="3">
        <f t="array" ref="BC610">IF(N(AO610)&gt;=MIN_N,AN610,IF(BB610&gt;=MIN_N,MEDIAN(IF($AY$2:$AY$662=AY610,$O$2:$O$662)),IF(BA610&gt;=MIN_N,MEDIAN(IF($AX$2:$AX$662=AX610,$O$2:$O$662)),MEDIAN(IF($AW$2:$AW$662=AW610,$O$2:$O$662)))))</f>
        <v/>
      </c>
      <c r="BD610" s="3">
        <f>IF(N(AO610)&gt;=MIN_N,"mercado "&amp;AP610,IF(BB610&gt;=MIN_N,"modelo+año+km",IF(BA610&gt;=MIN_N,"modelo+año","modelo")))</f>
        <v/>
      </c>
      <c r="BE610" s="4">
        <f>(BC610-O610)/BC610</f>
        <v/>
      </c>
      <c r="BF610" s="3">
        <f>IF(OR(K610="hibrido",K610="glp"),"ECO",IF(K610="electrico","CERO",IF(K610="gasolina",IF(M610&gt;=GAS_C,"C",IF(M610&gt;=GAS_B,"B","A")),IF(K610="diesel",IF(M610&gt;=DIE_C,"C",IF(M610&gt;=DIE_B,"B","A")),""))))</f>
        <v/>
      </c>
      <c r="BG610" s="3">
        <f>IFERROR(VLOOKUP(F610,MOD_TBL,11,0),IFERROR(VLOOKUP(E610,OCU_TBL,2,0),NEUTRO))</f>
        <v/>
      </c>
      <c r="BH610" s="3">
        <f>SUMIFS(MOT_AJUSTE,MOT_MOTOR,G610,MOT_MARCA,E610,MOT_DESDE,"&lt;="&amp;M610,MOT_HASTA,"&gt;="&amp;M610)+SUMIFS(MOT_AJUSTE,MOT_MOTOR,G610,MOT_MARCA,"(todas)",MOT_DESDE,"&lt;="&amp;M610,MOT_HASTA,"&gt;="&amp;M610)</f>
        <v/>
      </c>
      <c r="BI610" s="3">
        <f>SUMIFS(COMB_AJUSTE,COMB_COMB,K610)</f>
        <v/>
      </c>
      <c r="BJ610" s="3">
        <f>COUNTIFS(MOT_MOTOR,G610,MOT_MARCA,E610,MOT_DESDE,"&lt;="&amp;M610,MOT_HASTA,"&gt;="&amp;M610)+COUNTIFS(MOT_MOTOR,G610,MOT_MARCA,"(todas)",MOT_DESDE,"&lt;="&amp;M610,MOT_HASTA,"&gt;="&amp;M610)</f>
        <v/>
      </c>
      <c r="BK610" s="3">
        <f>IF(AND(K610="diesel",BJ610=0),MIN(BG610,NEUTRO),BG610)</f>
        <v/>
      </c>
      <c r="BL610" s="4">
        <f>MAX(0,MIN(100,BK610+BH610+BI610))</f>
        <v/>
      </c>
      <c r="BM610" s="3">
        <f>MAX(0,MIN(100,50+BE610*PRECIO_PEND))</f>
        <v/>
      </c>
      <c r="BN610" s="3">
        <f>MAX(0,100*(1-N610/KM_MAX))</f>
        <v/>
      </c>
      <c r="BO610" s="3">
        <f>IF(AV610&lt;KMA_SOSP,IF(AA610="sí",100,KMA_PEN),IF(AV610&lt;=KMA_IDEAL_MAX,100,MAX(0,100*(KMA_CERO-AV610)/(KMA_CERO-KMA_IDEAL_MAX))))</f>
        <v/>
      </c>
      <c r="BP610" s="3">
        <f>MAX(0,MIN(100,100*(M610-ANIO_MIN)/(ANIO_ACTUAL-ANIO_MIN)))</f>
        <v/>
      </c>
      <c r="BQ610" s="3">
        <f>W_KMT*BN610+W_KMA*BO610+W_EDAD*BP610</f>
        <v/>
      </c>
      <c r="BR610" s="3">
        <f>P_ITV*(V610="sí")+P_LIBRO*(W610="sí")+P_CORREA*(X610="sí")+P_PROP*(Y610=1)+P_GAR*(Z610="sí")+P_FOTOS*MIN(1,N(U610)/FOTOS_OBJ)</f>
        <v/>
      </c>
      <c r="BS610" s="3">
        <f>IFERROR(VLOOKUP(BF610,ETQ_TBL,2,0),NEUTRO)</f>
        <v/>
      </c>
      <c r="BT610" s="3">
        <f>NEUTRO</f>
        <v/>
      </c>
      <c r="BU610" s="3">
        <f>IFERROR(VLOOKUP(L610,SEGURO_TBL,3,0),"")</f>
        <v/>
      </c>
      <c r="BV610" s="3">
        <f>IF(BU610="",NEUTRO,MAX(0,MIN(100,100*(SEG_REF_MAX-BU610)/(SEG_REF_MAX-SEG_REF_MIN))))</f>
        <v/>
      </c>
      <c r="BW610" s="3">
        <f>W_ET*BS610+W_CONS*BT610+W_SEG*BV610</f>
        <v/>
      </c>
      <c r="BX610" s="3">
        <f>IF(N(AB610)&gt;0,AB610,IF(AND(R610="profesional",SG_LEGAL_ON=1),GAR_LEGAL,0))</f>
        <v/>
      </c>
      <c r="BY610" s="3">
        <f>SG_GAR*MIN(1,BX610/SG_GAR_FULL)+SG_AMPL*(AC610="sí")+SG_KMC*(AF610="sí")+SG_REV*(N(AE610)&gt;0)+SG_DEV*MIN(1,N(AG610)/SG_DEV_FULL)+SG_HIST*(W610="sí")</f>
        <v/>
      </c>
      <c r="BZ610" s="3">
        <f>IFERROR(VLOOKUP(L610,CARR_PEN_TBL,2,0),0)</f>
        <v/>
      </c>
      <c r="CA610" s="3">
        <f>W_FIAB*BL610+W_PRECIO*BM610+W_KMEDAD*BQ610+W_ANUNCIO*BR610+W_USO*BW610+W_SEGURIDAD*BY610-BZ610</f>
        <v/>
      </c>
      <c r="CB610" s="4">
        <f>IF(N(I610)&gt;0,I610,IFERROR(ROUND(_xlfn.NUMBERVALUE(LEFT(G610,FIND(" ",G610&amp;" ")-1),".")*1000,0),99999))</f>
        <v/>
      </c>
      <c r="CC610" s="3">
        <f>IF(R610="profesional",0,IF(O610&lt;CUOTA_VALOR_MAX,IF(AU610&gt;ITP_TRAMO_ALTO,SUMIFS(CF_CUOTA,CF_MAS,ITP_TRAMO_ALTO,CF_CCMIN,"&lt;="&amp;CB610,CF_CCMAX,"&gt;="&amp;CB610),IF(AU610&gt;ITP_TRAMO_BAJO,SUMIFS(CF_CUOTA,CF_MAS,ITP_TRAMO_BAJO,CF_CCMIN,"&lt;="&amp;CB610,CF_CCMAX,"&gt;="&amp;CB610),O610*ITP_TIPO)),O610*ITP_TIPO))</f>
        <v/>
      </c>
      <c r="CD610" s="4">
        <f>IF(R610="profesional",N(AK610),0)</f>
        <v/>
      </c>
      <c r="CE610" s="3">
        <f>IF(AND(R610="profesional",ISNUMBER(AK610),AL610="sí"),0,TASA_DGT)</f>
        <v/>
      </c>
      <c r="CF610" s="3">
        <f>INFORME_DGT</f>
        <v/>
      </c>
      <c r="CG610" s="4">
        <f>O610+CD610+CC610+CE610+CF610</f>
        <v/>
      </c>
      <c r="CH610" s="4">
        <f>CG610+N(BU610)</f>
        <v/>
      </c>
      <c r="CI610" s="3">
        <f>IF(CG610&lt;=TOTAL_MAX,"sí",IF(CG610&lt;=TOTAL_MAX+MARGEN_NEG,"negociar","no"))</f>
        <v/>
      </c>
      <c r="CJ610" s="4">
        <f>IF(CI610&lt;&gt;"no",COUNTIFS($CI$2:$CI$662,"&lt;&gt;no",$CA$2:$CA$662,"&gt;"&amp;CA610)+COUNTIFS($CI$2:CI610,"&lt;&gt;no",$CA$2:CA610,CA610),"")</f>
        <v/>
      </c>
    </row>
    <row r="611">
      <c r="A611" s="2" t="inlineStr">
        <is>
          <t>cochesnet:71493075</t>
        </is>
      </c>
      <c r="B611" s="2" t="inlineStr">
        <is>
          <t>cochesnet</t>
        </is>
      </c>
      <c r="C611" s="2" t="inlineStr">
        <is>
          <t>https://www.coches.net/renault-megane-business-energy-dci-110-ss-eco2-5p-diesel-2013-en-castellon-71493075-covo.aspx</t>
        </is>
      </c>
      <c r="D611" s="2" t="inlineStr">
        <is>
          <t>RENAULT Megane Business Energy dCi 110 SS eco2</t>
        </is>
      </c>
      <c r="E611" s="2" t="inlineStr">
        <is>
          <t>Renault</t>
        </is>
      </c>
      <c r="F611" s="2" t="inlineStr">
        <is>
          <t>Renault Mégane</t>
        </is>
      </c>
      <c r="G611" s="2" t="inlineStr">
        <is>
          <t>? dCi</t>
        </is>
      </c>
      <c r="H611" s="2" t="inlineStr">
        <is>
          <t>Business Energy dCi 110 SS eco2</t>
        </is>
      </c>
      <c r="I611" s="2" t="n"/>
      <c r="J611" s="2" t="n"/>
      <c r="K611" s="2" t="inlineStr">
        <is>
          <t>diesel</t>
        </is>
      </c>
      <c r="L611" s="2" t="inlineStr">
        <is>
          <t>compacto</t>
        </is>
      </c>
      <c r="M611" s="2" t="n">
        <v>2013</v>
      </c>
      <c r="N611" s="2" t="n">
        <v>219000</v>
      </c>
      <c r="O611" s="2" t="n">
        <v>4900</v>
      </c>
      <c r="P611" s="2" t="inlineStr">
        <is>
          <t>manual</t>
        </is>
      </c>
      <c r="Q611" s="2" t="inlineStr">
        <is>
          <t>no</t>
        </is>
      </c>
      <c r="R611" s="2" t="inlineStr">
        <is>
          <t>particular</t>
        </is>
      </c>
      <c r="S611" s="2" t="inlineStr">
        <is>
          <t>Castellón de la Plana / Castelló de la Plana</t>
        </is>
      </c>
      <c r="T611" s="2" t="inlineStr">
        <is>
          <t>2026-09-11T13:56:10Z</t>
        </is>
      </c>
      <c r="U611" s="2" t="n">
        <v>6</v>
      </c>
      <c r="V611" s="2" t="inlineStr">
        <is>
          <t>sí</t>
        </is>
      </c>
      <c r="W611" s="2" t="n"/>
      <c r="X611" s="2" t="inlineStr">
        <is>
          <t>sí</t>
        </is>
      </c>
      <c r="Y611" s="2" t="n"/>
      <c r="Z611" s="2" t="inlineStr">
        <is>
          <t>no</t>
        </is>
      </c>
      <c r="AA611" s="2" t="n"/>
      <c r="AB611" s="2" t="n"/>
      <c r="AC611" s="2" t="n"/>
      <c r="AD611" s="2" t="n"/>
      <c r="AE611" s="2" t="n"/>
      <c r="AF611" s="2" t="n"/>
      <c r="AG611" s="2" t="n"/>
      <c r="AH611" s="2" t="n">
        <v>4900</v>
      </c>
      <c r="AI611" s="2" t="n"/>
      <c r="AJ611" s="2" t="n"/>
      <c r="AK611" s="2" t="n"/>
      <c r="AL611" s="2" t="n"/>
      <c r="AM611" s="2" t="n"/>
      <c r="AN611" s="2" t="n">
        <v>4930</v>
      </c>
      <c r="AO611" s="2" t="n">
        <v>4</v>
      </c>
      <c r="AP611" s="2" t="inlineStr">
        <is>
          <t>modelo+año+km</t>
        </is>
      </c>
      <c r="AQ611" s="2" t="n"/>
      <c r="AR611" s="2" t="inlineStr">
        <is>
          <t>por encima del presupuesto (5104 €), negociar; cilindrada desconocida: se aplica el tramo de cuota fija más alto; antigüedad en el límite del tramo: depende de la fecha exacta de matriculación; cuota fija ITP: &gt;12 años, más de 2.000 cc; diésel: motor sin fuente de fiabilidad (fiabilidad limitada a neutra); distancia no verificable (el anuncio solo indica la provincia): confirmar que está a &lt;= 70 km</t>
        </is>
      </c>
      <c r="AS611" s="2" t="inlineStr">
        <is>
          <t xml:space="preserve">Vehículo en perfectas condiciones de interior, exterior y de motor, cambiada correa de distribución, a toda prueba, climatizador  funciona perfectamente, cierre con mando, elevalunas eléctricos delanteros y traseros, retrovisores eléctricos, control de crucero, limitador de velocidad, bluetooth, ITV recién pasada, CAMBIO DE NOMBRE Y 6 MESES DE GARANTÍA </t>
        </is>
      </c>
      <c r="AT611" s="2" t="inlineStr">
        <is>
          <t>https://www.coches.net/renault-megane-business-energy-dci-110-ss-eco2-5p-diesel-2013-en-castellon-71493075-covo.aspx (window.__INITIAL_PROPS__.ad) /home/user/Alopecia/buscador-coches/raw/cochesnet/55bba475d994e892.json</t>
        </is>
      </c>
      <c r="AU611" s="3">
        <f>MAX(ANIO_ACTUAL-M611,0)</f>
        <v/>
      </c>
      <c r="AV611" s="4">
        <f>N611/MAX(AU611,0.5)</f>
        <v/>
      </c>
      <c r="AW611" s="4">
        <f>F611</f>
        <v/>
      </c>
      <c r="AX611" s="3">
        <f>AW611&amp;"|"&amp;INT(M611/SEG_ANIO)*SEG_ANIO</f>
        <v/>
      </c>
      <c r="AY611" s="3">
        <f>AX611&amp;"|"&amp;INT(N611/SEG_KM)*SEG_KM</f>
        <v/>
      </c>
      <c r="AZ611" s="4">
        <f>COUNTIF($AW$2:$AW$662,AW611)</f>
        <v/>
      </c>
      <c r="BA611" s="4">
        <f>COUNTIF($AX$2:$AX$662,AX611)</f>
        <v/>
      </c>
      <c r="BB611" s="4">
        <f>COUNTIF($AY$2:$AY$662,AY611)</f>
        <v/>
      </c>
      <c r="BC611" s="3">
        <f t="array" ref="BC611">IF(N(AO611)&gt;=MIN_N,AN611,IF(BB611&gt;=MIN_N,MEDIAN(IF($AY$2:$AY$662=AY611,$O$2:$O$662)),IF(BA611&gt;=MIN_N,MEDIAN(IF($AX$2:$AX$662=AX611,$O$2:$O$662)),MEDIAN(IF($AW$2:$AW$662=AW611,$O$2:$O$662)))))</f>
        <v/>
      </c>
      <c r="BD611" s="3">
        <f>IF(N(AO611)&gt;=MIN_N,"mercado "&amp;AP611,IF(BB611&gt;=MIN_N,"modelo+año+km",IF(BA611&gt;=MIN_N,"modelo+año","modelo")))</f>
        <v/>
      </c>
      <c r="BE611" s="4">
        <f>(BC611-O611)/BC611</f>
        <v/>
      </c>
      <c r="BF611" s="3">
        <f>IF(OR(K611="hibrido",K611="glp"),"ECO",IF(K611="electrico","CERO",IF(K611="gasolina",IF(M611&gt;=GAS_C,"C",IF(M611&gt;=GAS_B,"B","A")),IF(K611="diesel",IF(M611&gt;=DIE_C,"C",IF(M611&gt;=DIE_B,"B","A")),""))))</f>
        <v/>
      </c>
      <c r="BG611" s="3">
        <f>IFERROR(VLOOKUP(F611,MOD_TBL,11,0),IFERROR(VLOOKUP(E611,OCU_TBL,2,0),NEUTRO))</f>
        <v/>
      </c>
      <c r="BH611" s="3">
        <f>SUMIFS(MOT_AJUSTE,MOT_MOTOR,G611,MOT_MARCA,E611,MOT_DESDE,"&lt;="&amp;M611,MOT_HASTA,"&gt;="&amp;M611)+SUMIFS(MOT_AJUSTE,MOT_MOTOR,G611,MOT_MARCA,"(todas)",MOT_DESDE,"&lt;="&amp;M611,MOT_HASTA,"&gt;="&amp;M611)</f>
        <v/>
      </c>
      <c r="BI611" s="3">
        <f>SUMIFS(COMB_AJUSTE,COMB_COMB,K611)</f>
        <v/>
      </c>
      <c r="BJ611" s="3">
        <f>COUNTIFS(MOT_MOTOR,G611,MOT_MARCA,E611,MOT_DESDE,"&lt;="&amp;M611,MOT_HASTA,"&gt;="&amp;M611)+COUNTIFS(MOT_MOTOR,G611,MOT_MARCA,"(todas)",MOT_DESDE,"&lt;="&amp;M611,MOT_HASTA,"&gt;="&amp;M611)</f>
        <v/>
      </c>
      <c r="BK611" s="3">
        <f>IF(AND(K611="diesel",BJ611=0),MIN(BG611,NEUTRO),BG611)</f>
        <v/>
      </c>
      <c r="BL611" s="4">
        <f>MAX(0,MIN(100,BK611+BH611+BI611))</f>
        <v/>
      </c>
      <c r="BM611" s="3">
        <f>MAX(0,MIN(100,50+BE611*PRECIO_PEND))</f>
        <v/>
      </c>
      <c r="BN611" s="3">
        <f>MAX(0,100*(1-N611/KM_MAX))</f>
        <v/>
      </c>
      <c r="BO611" s="3">
        <f>IF(AV611&lt;KMA_SOSP,IF(AA611="sí",100,KMA_PEN),IF(AV611&lt;=KMA_IDEAL_MAX,100,MAX(0,100*(KMA_CERO-AV611)/(KMA_CERO-KMA_IDEAL_MAX))))</f>
        <v/>
      </c>
      <c r="BP611" s="3">
        <f>MAX(0,MIN(100,100*(M611-ANIO_MIN)/(ANIO_ACTUAL-ANIO_MIN)))</f>
        <v/>
      </c>
      <c r="BQ611" s="3">
        <f>W_KMT*BN611+W_KMA*BO611+W_EDAD*BP611</f>
        <v/>
      </c>
      <c r="BR611" s="3">
        <f>P_ITV*(V611="sí")+P_LIBRO*(W611="sí")+P_CORREA*(X611="sí")+P_PROP*(Y611=1)+P_GAR*(Z611="sí")+P_FOTOS*MIN(1,N(U611)/FOTOS_OBJ)</f>
        <v/>
      </c>
      <c r="BS611" s="3">
        <f>IFERROR(VLOOKUP(BF611,ETQ_TBL,2,0),NEUTRO)</f>
        <v/>
      </c>
      <c r="BT611" s="3">
        <f>NEUTRO</f>
        <v/>
      </c>
      <c r="BU611" s="3">
        <f>IFERROR(VLOOKUP(L611,SEGURO_TBL,3,0),"")</f>
        <v/>
      </c>
      <c r="BV611" s="3">
        <f>IF(BU611="",NEUTRO,MAX(0,MIN(100,100*(SEG_REF_MAX-BU611)/(SEG_REF_MAX-SEG_REF_MIN))))</f>
        <v/>
      </c>
      <c r="BW611" s="3">
        <f>W_ET*BS611+W_CONS*BT611+W_SEG*BV611</f>
        <v/>
      </c>
      <c r="BX611" s="3">
        <f>IF(N(AB611)&gt;0,AB611,IF(AND(R611="profesional",SG_LEGAL_ON=1),GAR_LEGAL,0))</f>
        <v/>
      </c>
      <c r="BY611" s="3">
        <f>SG_GAR*MIN(1,BX611/SG_GAR_FULL)+SG_AMPL*(AC611="sí")+SG_KMC*(AF611="sí")+SG_REV*(N(AE611)&gt;0)+SG_DEV*MIN(1,N(AG611)/SG_DEV_FULL)+SG_HIST*(W611="sí")</f>
        <v/>
      </c>
      <c r="BZ611" s="3">
        <f>IFERROR(VLOOKUP(L611,CARR_PEN_TBL,2,0),0)</f>
        <v/>
      </c>
      <c r="CA611" s="3">
        <f>W_FIAB*BL611+W_PRECIO*BM611+W_KMEDAD*BQ611+W_ANUNCIO*BR611+W_USO*BW611+W_SEGURIDAD*BY611-BZ611</f>
        <v/>
      </c>
      <c r="CB611" s="4">
        <f>IF(N(I611)&gt;0,I611,IFERROR(ROUND(_xlfn.NUMBERVALUE(LEFT(G611,FIND(" ",G611&amp;" ")-1),".")*1000,0),99999))</f>
        <v/>
      </c>
      <c r="CC611" s="3">
        <f>IF(R611="profesional",0,IF(O611&lt;CUOTA_VALOR_MAX,IF(AU611&gt;ITP_TRAMO_ALTO,SUMIFS(CF_CUOTA,CF_MAS,ITP_TRAMO_ALTO,CF_CCMIN,"&lt;="&amp;CB611,CF_CCMAX,"&gt;="&amp;CB611),IF(AU611&gt;ITP_TRAMO_BAJO,SUMIFS(CF_CUOTA,CF_MAS,ITP_TRAMO_BAJO,CF_CCMIN,"&lt;="&amp;CB611,CF_CCMAX,"&gt;="&amp;CB611),O611*ITP_TIPO)),O611*ITP_TIPO))</f>
        <v/>
      </c>
      <c r="CD611" s="4">
        <f>IF(R611="profesional",N(AK611),0)</f>
        <v/>
      </c>
      <c r="CE611" s="3">
        <f>IF(AND(R611="profesional",ISNUMBER(AK611),AL611="sí"),0,TASA_DGT)</f>
        <v/>
      </c>
      <c r="CF611" s="3">
        <f>INFORME_DGT</f>
        <v/>
      </c>
      <c r="CG611" s="4">
        <f>O611+CD611+CC611+CE611+CF611</f>
        <v/>
      </c>
      <c r="CH611" s="4">
        <f>CG611+N(BU611)</f>
        <v/>
      </c>
      <c r="CI611" s="3">
        <f>IF(CG611&lt;=TOTAL_MAX,"sí",IF(CG611&lt;=TOTAL_MAX+MARGEN_NEG,"negociar","no"))</f>
        <v/>
      </c>
      <c r="CJ611" s="4">
        <f>IF(CI611&lt;&gt;"no",COUNTIFS($CI$2:$CI$662,"&lt;&gt;no",$CA$2:$CA$662,"&gt;"&amp;CA611)+COUNTIFS($CI$2:CI611,"&lt;&gt;no",$CA$2:CA611,CA611),"")</f>
        <v/>
      </c>
    </row>
    <row r="612">
      <c r="A612" s="2" t="inlineStr">
        <is>
          <t>cochesnet:71583806</t>
        </is>
      </c>
      <c r="B612" s="2" t="inlineStr">
        <is>
          <t>cochesnet</t>
        </is>
      </c>
      <c r="C612" s="2" t="inlineStr">
        <is>
          <t>https://www.coches.net/renault-clio-diesel-2012-en-castellon-71583806-covo.aspx</t>
        </is>
      </c>
      <c r="D612" s="2" t="inlineStr">
        <is>
          <t>RENAULT Clio</t>
        </is>
      </c>
      <c r="E612" s="2" t="inlineStr">
        <is>
          <t>Renault</t>
        </is>
      </c>
      <c r="F612" s="2" t="inlineStr">
        <is>
          <t>Renault Clio</t>
        </is>
      </c>
      <c r="G612" s="2" t="n"/>
      <c r="H612" s="2" t="n"/>
      <c r="I612" s="2" t="n"/>
      <c r="J612" s="2" t="n"/>
      <c r="K612" s="2" t="inlineStr">
        <is>
          <t>diesel</t>
        </is>
      </c>
      <c r="L612" s="2" t="inlineStr">
        <is>
          <t>utilitario</t>
        </is>
      </c>
      <c r="M612" s="2" t="n">
        <v>2012</v>
      </c>
      <c r="N612" s="2" t="n">
        <v>196000</v>
      </c>
      <c r="O612" s="2" t="n">
        <v>4000</v>
      </c>
      <c r="P612" s="2" t="inlineStr">
        <is>
          <t>manual</t>
        </is>
      </c>
      <c r="Q612" s="2" t="inlineStr">
        <is>
          <t>no</t>
        </is>
      </c>
      <c r="R612" s="2" t="inlineStr">
        <is>
          <t>particular</t>
        </is>
      </c>
      <c r="S612" s="2" t="n"/>
      <c r="T612" s="2" t="inlineStr">
        <is>
          <t>2026-09-23T16:40:44Z</t>
        </is>
      </c>
      <c r="U612" s="2" t="n"/>
      <c r="V612" s="2" t="n"/>
      <c r="W612" s="2" t="n"/>
      <c r="X612" s="2" t="n"/>
      <c r="Y612" s="2" t="n"/>
      <c r="Z612" s="2" t="inlineStr">
        <is>
          <t>no</t>
        </is>
      </c>
      <c r="AA612" s="2" t="n"/>
      <c r="AB612" s="2" t="n"/>
      <c r="AC612" s="2" t="n"/>
      <c r="AD612" s="2" t="n"/>
      <c r="AE612" s="2" t="n"/>
      <c r="AF612" s="2" t="n"/>
      <c r="AG612" s="2" t="n"/>
      <c r="AH612" s="2" t="n">
        <v>4000</v>
      </c>
      <c r="AI612" s="2" t="n"/>
      <c r="AJ612" s="2" t="n"/>
      <c r="AK612" s="2" t="n"/>
      <c r="AL612" s="2" t="n"/>
      <c r="AM612" s="2" t="n"/>
      <c r="AN612" s="2" t="n">
        <v>4200</v>
      </c>
      <c r="AO612" s="2" t="n">
        <v>7</v>
      </c>
      <c r="AP612" s="2" t="inlineStr">
        <is>
          <t>modelo+año+km</t>
        </is>
      </c>
      <c r="AQ612" s="2" t="inlineStr">
        <is>
          <t>cochesnet:71575930 (https://www.coches.net/renault-clio-diesel-2012-en-castellon-71575930-covo.aspx)</t>
        </is>
      </c>
      <c r="AR612"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612" s="2" t="inlineStr">
        <is>
          <t>Renault Clio 3 dci 90 caballos 1.5 2012</t>
        </is>
      </c>
      <c r="AT612" s="2" t="inlineStr">
        <is>
          <t>https://www.coches.net/renault-clio-diesel-2012-en-castellon-71583806-covo.aspx (window.__INITIAL_PROPS__.ad) /home/user/Alopecia/buscador-coches/raw/cochesnet/a6b9db3d3b4fd313.json</t>
        </is>
      </c>
      <c r="AU612" s="3">
        <f>MAX(ANIO_ACTUAL-M612,0)</f>
        <v/>
      </c>
      <c r="AV612" s="4">
        <f>N612/MAX(AU612,0.5)</f>
        <v/>
      </c>
      <c r="AW612" s="4">
        <f>F612</f>
        <v/>
      </c>
      <c r="AX612" s="3">
        <f>AW612&amp;"|"&amp;INT(M612/SEG_ANIO)*SEG_ANIO</f>
        <v/>
      </c>
      <c r="AY612" s="3">
        <f>AX612&amp;"|"&amp;INT(N612/SEG_KM)*SEG_KM</f>
        <v/>
      </c>
      <c r="AZ612" s="4">
        <f>COUNTIF($AW$2:$AW$662,AW612)</f>
        <v/>
      </c>
      <c r="BA612" s="4">
        <f>COUNTIF($AX$2:$AX$662,AX612)</f>
        <v/>
      </c>
      <c r="BB612" s="4">
        <f>COUNTIF($AY$2:$AY$662,AY612)</f>
        <v/>
      </c>
      <c r="BC612" s="3">
        <f t="array" ref="BC612">IF(N(AO612)&gt;=MIN_N,AN612,IF(BB612&gt;=MIN_N,MEDIAN(IF($AY$2:$AY$662=AY612,$O$2:$O$662)),IF(BA612&gt;=MIN_N,MEDIAN(IF($AX$2:$AX$662=AX612,$O$2:$O$662)),MEDIAN(IF($AW$2:$AW$662=AW612,$O$2:$O$662)))))</f>
        <v/>
      </c>
      <c r="BD612" s="3">
        <f>IF(N(AO612)&gt;=MIN_N,"mercado "&amp;AP612,IF(BB612&gt;=MIN_N,"modelo+año+km",IF(BA612&gt;=MIN_N,"modelo+año","modelo")))</f>
        <v/>
      </c>
      <c r="BE612" s="4">
        <f>(BC612-O612)/BC612</f>
        <v/>
      </c>
      <c r="BF612" s="3">
        <f>IF(OR(K612="hibrido",K612="glp"),"ECO",IF(K612="electrico","CERO",IF(K612="gasolina",IF(M612&gt;=GAS_C,"C",IF(M612&gt;=GAS_B,"B","A")),IF(K612="diesel",IF(M612&gt;=DIE_C,"C",IF(M612&gt;=DIE_B,"B","A")),""))))</f>
        <v/>
      </c>
      <c r="BG612" s="3">
        <f>IFERROR(VLOOKUP(F612,MOD_TBL,11,0),IFERROR(VLOOKUP(E612,OCU_TBL,2,0),NEUTRO))</f>
        <v/>
      </c>
      <c r="BH612" s="3">
        <f>SUMIFS(MOT_AJUSTE,MOT_MOTOR,G612,MOT_MARCA,E612,MOT_DESDE,"&lt;="&amp;M612,MOT_HASTA,"&gt;="&amp;M612)+SUMIFS(MOT_AJUSTE,MOT_MOTOR,G612,MOT_MARCA,"(todas)",MOT_DESDE,"&lt;="&amp;M612,MOT_HASTA,"&gt;="&amp;M612)</f>
        <v/>
      </c>
      <c r="BI612" s="3">
        <f>SUMIFS(COMB_AJUSTE,COMB_COMB,K612)</f>
        <v/>
      </c>
      <c r="BJ612" s="3">
        <f>COUNTIFS(MOT_MOTOR,G612,MOT_MARCA,E612,MOT_DESDE,"&lt;="&amp;M612,MOT_HASTA,"&gt;="&amp;M612)+COUNTIFS(MOT_MOTOR,G612,MOT_MARCA,"(todas)",MOT_DESDE,"&lt;="&amp;M612,MOT_HASTA,"&gt;="&amp;M612)</f>
        <v/>
      </c>
      <c r="BK612" s="3">
        <f>IF(AND(K612="diesel",BJ612=0),MIN(BG612,NEUTRO),BG612)</f>
        <v/>
      </c>
      <c r="BL612" s="4">
        <f>MAX(0,MIN(100,BK612+BH612+BI612))</f>
        <v/>
      </c>
      <c r="BM612" s="3">
        <f>MAX(0,MIN(100,50+BE612*PRECIO_PEND))</f>
        <v/>
      </c>
      <c r="BN612" s="3">
        <f>MAX(0,100*(1-N612/KM_MAX))</f>
        <v/>
      </c>
      <c r="BO612" s="3">
        <f>IF(AV612&lt;KMA_SOSP,IF(AA612="sí",100,KMA_PEN),IF(AV612&lt;=KMA_IDEAL_MAX,100,MAX(0,100*(KMA_CERO-AV612)/(KMA_CERO-KMA_IDEAL_MAX))))</f>
        <v/>
      </c>
      <c r="BP612" s="3">
        <f>MAX(0,MIN(100,100*(M612-ANIO_MIN)/(ANIO_ACTUAL-ANIO_MIN)))</f>
        <v/>
      </c>
      <c r="BQ612" s="3">
        <f>W_KMT*BN612+W_KMA*BO612+W_EDAD*BP612</f>
        <v/>
      </c>
      <c r="BR612" s="3">
        <f>P_ITV*(V612="sí")+P_LIBRO*(W612="sí")+P_CORREA*(X612="sí")+P_PROP*(Y612=1)+P_GAR*(Z612="sí")+P_FOTOS*MIN(1,N(U612)/FOTOS_OBJ)</f>
        <v/>
      </c>
      <c r="BS612" s="3">
        <f>IFERROR(VLOOKUP(BF612,ETQ_TBL,2,0),NEUTRO)</f>
        <v/>
      </c>
      <c r="BT612" s="3">
        <f>NEUTRO</f>
        <v/>
      </c>
      <c r="BU612" s="3">
        <f>IFERROR(VLOOKUP(L612,SEGURO_TBL,3,0),"")</f>
        <v/>
      </c>
      <c r="BV612" s="3">
        <f>IF(BU612="",NEUTRO,MAX(0,MIN(100,100*(SEG_REF_MAX-BU612)/(SEG_REF_MAX-SEG_REF_MIN))))</f>
        <v/>
      </c>
      <c r="BW612" s="3">
        <f>W_ET*BS612+W_CONS*BT612+W_SEG*BV612</f>
        <v/>
      </c>
      <c r="BX612" s="3">
        <f>IF(N(AB612)&gt;0,AB612,IF(AND(R612="profesional",SG_LEGAL_ON=1),GAR_LEGAL,0))</f>
        <v/>
      </c>
      <c r="BY612" s="3">
        <f>SG_GAR*MIN(1,BX612/SG_GAR_FULL)+SG_AMPL*(AC612="sí")+SG_KMC*(AF612="sí")+SG_REV*(N(AE612)&gt;0)+SG_DEV*MIN(1,N(AG612)/SG_DEV_FULL)+SG_HIST*(W612="sí")</f>
        <v/>
      </c>
      <c r="BZ612" s="3">
        <f>IFERROR(VLOOKUP(L612,CARR_PEN_TBL,2,0),0)</f>
        <v/>
      </c>
      <c r="CA612" s="3">
        <f>W_FIAB*BL612+W_PRECIO*BM612+W_KMEDAD*BQ612+W_ANUNCIO*BR612+W_USO*BW612+W_SEGURIDAD*BY612-BZ612</f>
        <v/>
      </c>
      <c r="CB612" s="4">
        <f>IF(N(I612)&gt;0,I612,IFERROR(ROUND(_xlfn.NUMBERVALUE(LEFT(G612,FIND(" ",G612&amp;" ")-1),".")*1000,0),99999))</f>
        <v/>
      </c>
      <c r="CC612" s="3">
        <f>IF(R612="profesional",0,IF(O612&lt;CUOTA_VALOR_MAX,IF(AU612&gt;ITP_TRAMO_ALTO,SUMIFS(CF_CUOTA,CF_MAS,ITP_TRAMO_ALTO,CF_CCMIN,"&lt;="&amp;CB612,CF_CCMAX,"&gt;="&amp;CB612),IF(AU612&gt;ITP_TRAMO_BAJO,SUMIFS(CF_CUOTA,CF_MAS,ITP_TRAMO_BAJO,CF_CCMIN,"&lt;="&amp;CB612,CF_CCMAX,"&gt;="&amp;CB612),O612*ITP_TIPO)),O612*ITP_TIPO))</f>
        <v/>
      </c>
      <c r="CD612" s="4">
        <f>IF(R612="profesional",N(AK612),0)</f>
        <v/>
      </c>
      <c r="CE612" s="3">
        <f>IF(AND(R612="profesional",ISNUMBER(AK612),AL612="sí"),0,TASA_DGT)</f>
        <v/>
      </c>
      <c r="CF612" s="3">
        <f>INFORME_DGT</f>
        <v/>
      </c>
      <c r="CG612" s="4">
        <f>O612+CD612+CC612+CE612+CF612</f>
        <v/>
      </c>
      <c r="CH612" s="4">
        <f>CG612+N(BU612)</f>
        <v/>
      </c>
      <c r="CI612" s="3">
        <f>IF(CG612&lt;=TOTAL_MAX,"sí",IF(CG612&lt;=TOTAL_MAX+MARGEN_NEG,"negociar","no"))</f>
        <v/>
      </c>
      <c r="CJ612" s="4">
        <f>IF(CI612&lt;&gt;"no",COUNTIFS($CI$2:$CI$662,"&lt;&gt;no",$CA$2:$CA$662,"&gt;"&amp;CA612)+COUNTIFS($CI$2:CI612,"&lt;&gt;no",$CA$2:CA612,CA612),"")</f>
        <v/>
      </c>
    </row>
    <row r="613">
      <c r="A613" s="2" t="inlineStr">
        <is>
          <t>cochesnet:71222696</t>
        </is>
      </c>
      <c r="B613" s="2" t="inlineStr">
        <is>
          <t>cochesnet</t>
        </is>
      </c>
      <c r="C613" s="2" t="inlineStr">
        <is>
          <t>https://www.coches.net/renault-clio-iii-diesel-2012-en-castellon-71222696-covo.aspx</t>
        </is>
      </c>
      <c r="D613" s="2" t="inlineStr">
        <is>
          <t>RENAULT Clio III Collection dCi 75 eco2</t>
        </is>
      </c>
      <c r="E613" s="2" t="inlineStr">
        <is>
          <t>Renault</t>
        </is>
      </c>
      <c r="F613" s="2" t="inlineStr">
        <is>
          <t>Renault Clio</t>
        </is>
      </c>
      <c r="G613" s="2" t="inlineStr">
        <is>
          <t>? dCi</t>
        </is>
      </c>
      <c r="H613" s="2" t="inlineStr">
        <is>
          <t>Collection dCi 75 eco2</t>
        </is>
      </c>
      <c r="I613" s="2" t="n"/>
      <c r="J613" s="2" t="n"/>
      <c r="K613" s="2" t="inlineStr">
        <is>
          <t>diesel</t>
        </is>
      </c>
      <c r="L613" s="2" t="inlineStr">
        <is>
          <t>utilitario</t>
        </is>
      </c>
      <c r="M613" s="2" t="n">
        <v>2012</v>
      </c>
      <c r="N613" s="2" t="n">
        <v>195000</v>
      </c>
      <c r="O613" s="2" t="n">
        <v>4700</v>
      </c>
      <c r="P613" s="2" t="inlineStr">
        <is>
          <t>manual</t>
        </is>
      </c>
      <c r="Q613" s="2" t="inlineStr">
        <is>
          <t>no</t>
        </is>
      </c>
      <c r="R613" s="2" t="inlineStr">
        <is>
          <t>particular</t>
        </is>
      </c>
      <c r="S613" s="2" t="n"/>
      <c r="T613" s="2" t="inlineStr">
        <is>
          <t>2026-08-03T20:47:14Z</t>
        </is>
      </c>
      <c r="U613" s="2" t="n">
        <v>9</v>
      </c>
      <c r="V613" s="2" t="inlineStr">
        <is>
          <t>sí</t>
        </is>
      </c>
      <c r="W613" s="2" t="n"/>
      <c r="X613" s="2" t="inlineStr">
        <is>
          <t>sí</t>
        </is>
      </c>
      <c r="Y613" s="2" t="n"/>
      <c r="Z613" s="2" t="inlineStr">
        <is>
          <t>no</t>
        </is>
      </c>
      <c r="AA613" s="2" t="n"/>
      <c r="AB613" s="2" t="n"/>
      <c r="AC613" s="2" t="n"/>
      <c r="AD613" s="2" t="n"/>
      <c r="AE613" s="2" t="n"/>
      <c r="AF613" s="2" t="n"/>
      <c r="AG613" s="2" t="n"/>
      <c r="AH613" s="2" t="n">
        <v>4700</v>
      </c>
      <c r="AI613" s="2" t="n"/>
      <c r="AJ613" s="2" t="n"/>
      <c r="AK613" s="2" t="n"/>
      <c r="AL613" s="2" t="n"/>
      <c r="AM613" s="2" t="n"/>
      <c r="AN613" s="2" t="n">
        <v>4200</v>
      </c>
      <c r="AO613" s="2" t="n">
        <v>7</v>
      </c>
      <c r="AP613" s="2" t="inlineStr">
        <is>
          <t>modelo+año+km</t>
        </is>
      </c>
      <c r="AQ613" s="2" t="n"/>
      <c r="AR613"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613" s="2" t="inlineStr">
        <is>
          <t>motor 1.5 cdi 75. CV
aíre acondicionado 
elevalunas eléctricos 
itv recién pasada 
kit de distribución recién cambiado
muy económico 
698-718-442</t>
        </is>
      </c>
      <c r="AT613" s="2" t="inlineStr">
        <is>
          <t>https://www.coches.net/renault-clio-iii-diesel-2012-en-castellon-71222696-covo.aspx (window.__INITIAL_PROPS__.ad) /home/user/Alopecia/buscador-coches/raw/cochesnet/98d0a04e217590d7.json</t>
        </is>
      </c>
      <c r="AU613" s="3">
        <f>MAX(ANIO_ACTUAL-M613,0)</f>
        <v/>
      </c>
      <c r="AV613" s="4">
        <f>N613/MAX(AU613,0.5)</f>
        <v/>
      </c>
      <c r="AW613" s="4">
        <f>F613</f>
        <v/>
      </c>
      <c r="AX613" s="3">
        <f>AW613&amp;"|"&amp;INT(M613/SEG_ANIO)*SEG_ANIO</f>
        <v/>
      </c>
      <c r="AY613" s="3">
        <f>AX613&amp;"|"&amp;INT(N613/SEG_KM)*SEG_KM</f>
        <v/>
      </c>
      <c r="AZ613" s="4">
        <f>COUNTIF($AW$2:$AW$662,AW613)</f>
        <v/>
      </c>
      <c r="BA613" s="4">
        <f>COUNTIF($AX$2:$AX$662,AX613)</f>
        <v/>
      </c>
      <c r="BB613" s="4">
        <f>COUNTIF($AY$2:$AY$662,AY613)</f>
        <v/>
      </c>
      <c r="BC613" s="3">
        <f t="array" ref="BC613">IF(N(AO613)&gt;=MIN_N,AN613,IF(BB613&gt;=MIN_N,MEDIAN(IF($AY$2:$AY$662=AY613,$O$2:$O$662)),IF(BA613&gt;=MIN_N,MEDIAN(IF($AX$2:$AX$662=AX613,$O$2:$O$662)),MEDIAN(IF($AW$2:$AW$662=AW613,$O$2:$O$662)))))</f>
        <v/>
      </c>
      <c r="BD613" s="3">
        <f>IF(N(AO613)&gt;=MIN_N,"mercado "&amp;AP613,IF(BB613&gt;=MIN_N,"modelo+año+km",IF(BA613&gt;=MIN_N,"modelo+año","modelo")))</f>
        <v/>
      </c>
      <c r="BE613" s="4">
        <f>(BC613-O613)/BC613</f>
        <v/>
      </c>
      <c r="BF613" s="3">
        <f>IF(OR(K613="hibrido",K613="glp"),"ECO",IF(K613="electrico","CERO",IF(K613="gasolina",IF(M613&gt;=GAS_C,"C",IF(M613&gt;=GAS_B,"B","A")),IF(K613="diesel",IF(M613&gt;=DIE_C,"C",IF(M613&gt;=DIE_B,"B","A")),""))))</f>
        <v/>
      </c>
      <c r="BG613" s="3">
        <f>IFERROR(VLOOKUP(F613,MOD_TBL,11,0),IFERROR(VLOOKUP(E613,OCU_TBL,2,0),NEUTRO))</f>
        <v/>
      </c>
      <c r="BH613" s="3">
        <f>SUMIFS(MOT_AJUSTE,MOT_MOTOR,G613,MOT_MARCA,E613,MOT_DESDE,"&lt;="&amp;M613,MOT_HASTA,"&gt;="&amp;M613)+SUMIFS(MOT_AJUSTE,MOT_MOTOR,G613,MOT_MARCA,"(todas)",MOT_DESDE,"&lt;="&amp;M613,MOT_HASTA,"&gt;="&amp;M613)</f>
        <v/>
      </c>
      <c r="BI613" s="3">
        <f>SUMIFS(COMB_AJUSTE,COMB_COMB,K613)</f>
        <v/>
      </c>
      <c r="BJ613" s="3">
        <f>COUNTIFS(MOT_MOTOR,G613,MOT_MARCA,E613,MOT_DESDE,"&lt;="&amp;M613,MOT_HASTA,"&gt;="&amp;M613)+COUNTIFS(MOT_MOTOR,G613,MOT_MARCA,"(todas)",MOT_DESDE,"&lt;="&amp;M613,MOT_HASTA,"&gt;="&amp;M613)</f>
        <v/>
      </c>
      <c r="BK613" s="3">
        <f>IF(AND(K613="diesel",BJ613=0),MIN(BG613,NEUTRO),BG613)</f>
        <v/>
      </c>
      <c r="BL613" s="4">
        <f>MAX(0,MIN(100,BK613+BH613+BI613))</f>
        <v/>
      </c>
      <c r="BM613" s="3">
        <f>MAX(0,MIN(100,50+BE613*PRECIO_PEND))</f>
        <v/>
      </c>
      <c r="BN613" s="3">
        <f>MAX(0,100*(1-N613/KM_MAX))</f>
        <v/>
      </c>
      <c r="BO613" s="3">
        <f>IF(AV613&lt;KMA_SOSP,IF(AA613="sí",100,KMA_PEN),IF(AV613&lt;=KMA_IDEAL_MAX,100,MAX(0,100*(KMA_CERO-AV613)/(KMA_CERO-KMA_IDEAL_MAX))))</f>
        <v/>
      </c>
      <c r="BP613" s="3">
        <f>MAX(0,MIN(100,100*(M613-ANIO_MIN)/(ANIO_ACTUAL-ANIO_MIN)))</f>
        <v/>
      </c>
      <c r="BQ613" s="3">
        <f>W_KMT*BN613+W_KMA*BO613+W_EDAD*BP613</f>
        <v/>
      </c>
      <c r="BR613" s="3">
        <f>P_ITV*(V613="sí")+P_LIBRO*(W613="sí")+P_CORREA*(X613="sí")+P_PROP*(Y613=1)+P_GAR*(Z613="sí")+P_FOTOS*MIN(1,N(U613)/FOTOS_OBJ)</f>
        <v/>
      </c>
      <c r="BS613" s="3">
        <f>IFERROR(VLOOKUP(BF613,ETQ_TBL,2,0),NEUTRO)</f>
        <v/>
      </c>
      <c r="BT613" s="3">
        <f>NEUTRO</f>
        <v/>
      </c>
      <c r="BU613" s="3">
        <f>IFERROR(VLOOKUP(L613,SEGURO_TBL,3,0),"")</f>
        <v/>
      </c>
      <c r="BV613" s="3">
        <f>IF(BU613="",NEUTRO,MAX(0,MIN(100,100*(SEG_REF_MAX-BU613)/(SEG_REF_MAX-SEG_REF_MIN))))</f>
        <v/>
      </c>
      <c r="BW613" s="3">
        <f>W_ET*BS613+W_CONS*BT613+W_SEG*BV613</f>
        <v/>
      </c>
      <c r="BX613" s="3">
        <f>IF(N(AB613)&gt;0,AB613,IF(AND(R613="profesional",SG_LEGAL_ON=1),GAR_LEGAL,0))</f>
        <v/>
      </c>
      <c r="BY613" s="3">
        <f>SG_GAR*MIN(1,BX613/SG_GAR_FULL)+SG_AMPL*(AC613="sí")+SG_KMC*(AF613="sí")+SG_REV*(N(AE613)&gt;0)+SG_DEV*MIN(1,N(AG613)/SG_DEV_FULL)+SG_HIST*(W613="sí")</f>
        <v/>
      </c>
      <c r="BZ613" s="3">
        <f>IFERROR(VLOOKUP(L613,CARR_PEN_TBL,2,0),0)</f>
        <v/>
      </c>
      <c r="CA613" s="3">
        <f>W_FIAB*BL613+W_PRECIO*BM613+W_KMEDAD*BQ613+W_ANUNCIO*BR613+W_USO*BW613+W_SEGURIDAD*BY613-BZ613</f>
        <v/>
      </c>
      <c r="CB613" s="4">
        <f>IF(N(I613)&gt;0,I613,IFERROR(ROUND(_xlfn.NUMBERVALUE(LEFT(G613,FIND(" ",G613&amp;" ")-1),".")*1000,0),99999))</f>
        <v/>
      </c>
      <c r="CC613" s="3">
        <f>IF(R613="profesional",0,IF(O613&lt;CUOTA_VALOR_MAX,IF(AU613&gt;ITP_TRAMO_ALTO,SUMIFS(CF_CUOTA,CF_MAS,ITP_TRAMO_ALTO,CF_CCMIN,"&lt;="&amp;CB613,CF_CCMAX,"&gt;="&amp;CB613),IF(AU613&gt;ITP_TRAMO_BAJO,SUMIFS(CF_CUOTA,CF_MAS,ITP_TRAMO_BAJO,CF_CCMIN,"&lt;="&amp;CB613,CF_CCMAX,"&gt;="&amp;CB613),O613*ITP_TIPO)),O613*ITP_TIPO))</f>
        <v/>
      </c>
      <c r="CD613" s="4">
        <f>IF(R613="profesional",N(AK613),0)</f>
        <v/>
      </c>
      <c r="CE613" s="3">
        <f>IF(AND(R613="profesional",ISNUMBER(AK613),AL613="sí"),0,TASA_DGT)</f>
        <v/>
      </c>
      <c r="CF613" s="3">
        <f>INFORME_DGT</f>
        <v/>
      </c>
      <c r="CG613" s="4">
        <f>O613+CD613+CC613+CE613+CF613</f>
        <v/>
      </c>
      <c r="CH613" s="4">
        <f>CG613+N(BU613)</f>
        <v/>
      </c>
      <c r="CI613" s="3">
        <f>IF(CG613&lt;=TOTAL_MAX,"sí",IF(CG613&lt;=TOTAL_MAX+MARGEN_NEG,"negociar","no"))</f>
        <v/>
      </c>
      <c r="CJ613" s="4">
        <f>IF(CI613&lt;&gt;"no",COUNTIFS($CI$2:$CI$662,"&lt;&gt;no",$CA$2:$CA$662,"&gt;"&amp;CA613)+COUNTIFS($CI$2:CI613,"&lt;&gt;no",$CA$2:CA613,CA613),"")</f>
        <v/>
      </c>
    </row>
    <row r="614">
      <c r="A614" s="2" t="inlineStr">
        <is>
          <t>cochesnet:71287668</t>
        </is>
      </c>
      <c r="B614" s="2" t="inlineStr">
        <is>
          <t>cochesnet</t>
        </is>
      </c>
      <c r="C614" s="2" t="inlineStr">
        <is>
          <t>https://www.coches.net/renault-clio-campus-campus-authentique-12-5p-gasolina-2006-en-castellon-71287668-covo.aspx</t>
        </is>
      </c>
      <c r="D614" s="2" t="inlineStr">
        <is>
          <t>RENAULT Clio Campus Campus Authentique 1.2</t>
        </is>
      </c>
      <c r="E614" s="2" t="inlineStr">
        <is>
          <t>Renault</t>
        </is>
      </c>
      <c r="F614" s="2" t="inlineStr">
        <is>
          <t>Renault Clio</t>
        </is>
      </c>
      <c r="G614" s="2" t="inlineStr">
        <is>
          <t>1.2</t>
        </is>
      </c>
      <c r="H614" s="2" t="inlineStr">
        <is>
          <t>Campus Authentique 1.2</t>
        </is>
      </c>
      <c r="I614" s="2" t="n"/>
      <c r="J614" s="2" t="n"/>
      <c r="K614" s="2" t="inlineStr">
        <is>
          <t>gasolina</t>
        </is>
      </c>
      <c r="L614" s="2" t="inlineStr">
        <is>
          <t>utilitario</t>
        </is>
      </c>
      <c r="M614" s="2" t="n">
        <v>2006</v>
      </c>
      <c r="N614" s="2" t="n">
        <v>143500</v>
      </c>
      <c r="O614" s="2" t="n">
        <v>2800</v>
      </c>
      <c r="P614" s="2" t="inlineStr">
        <is>
          <t>manual</t>
        </is>
      </c>
      <c r="Q614" s="2" t="inlineStr">
        <is>
          <t>no</t>
        </is>
      </c>
      <c r="R614" s="2" t="inlineStr">
        <is>
          <t>particular</t>
        </is>
      </c>
      <c r="S614" s="2" t="inlineStr">
        <is>
          <t>Vila-real</t>
        </is>
      </c>
      <c r="T614" s="2" t="inlineStr">
        <is>
          <t>2026-08-13T18:27:39Z</t>
        </is>
      </c>
      <c r="U614" s="2" t="n"/>
      <c r="V614" s="2" t="n"/>
      <c r="W614" s="2" t="n"/>
      <c r="X614" s="2" t="n"/>
      <c r="Y614" s="2" t="n"/>
      <c r="Z614" s="2" t="inlineStr">
        <is>
          <t>no</t>
        </is>
      </c>
      <c r="AA614" s="2" t="n"/>
      <c r="AB614" s="2" t="n"/>
      <c r="AC614" s="2" t="n"/>
      <c r="AD614" s="2" t="n"/>
      <c r="AE614" s="2" t="n"/>
      <c r="AF614" s="2" t="n"/>
      <c r="AG614" s="2" t="n"/>
      <c r="AH614" s="2" t="n">
        <v>2800</v>
      </c>
      <c r="AI614" s="2" t="n"/>
      <c r="AJ614" s="2" t="n"/>
      <c r="AK614" s="2" t="n"/>
      <c r="AL614" s="2" t="n"/>
      <c r="AM614" s="2" t="n"/>
      <c r="AN614" s="2" t="n">
        <v>2750</v>
      </c>
      <c r="AO614" s="2" t="n">
        <v>18</v>
      </c>
      <c r="AP614" s="2" t="inlineStr">
        <is>
          <t>modelo+año</t>
        </is>
      </c>
      <c r="AQ614" s="2" t="n"/>
      <c r="AR614" s="2" t="inlineStr">
        <is>
          <t>cuota fija ITP: &gt;12 años, hasta 1.500 cc; distancia no verificable (el anuncio solo indica la provincia): confirmar que está a &lt;= 70 km</t>
        </is>
      </c>
      <c r="AS614" s="2" t="inlineStr">
        <is>
          <t>Si buscas un coche fiable y económico para moverte por ciudad o realizar trayectos diarios, este Renault Clio Campus es una opción sólida que no debes pasar por alto.
Se trata de un berlina de cinco puertas y cinco plazas con motor de 1.2 litros y 60 CV, perfecto para quien busca eficiencia sin complicaciones. Su cambio manual garantiza una conducción directa y controlada, mientras que su consumo moderado te permitirá ahorrar en combustible día a día.
Este modelo es conocido por su fiabilidad y mantenimiento accesible, características que lo hacen especialmente atractivo para propietarios que valoran la relación calidad-precio. La carrocería de berlina ofrece espacio interior aprovechado y una manejabilidad excelente en entornos urbanos.
A un precio muy competitivo, tienes aquí un vehículo funcional que cumple perfectamente su cometido: llevarte de un lado a otro de manera segura y económica. Ideal si necesitas un segundo coche, un vehículo para aprender a conducir o simplemente una solución de transporte sin pretensiones innecesarias.
Si tienes dudas sobre el estado específico del vehículo o deseas conocer más detalles sobre su historial o cualquier otro aspecto, no dudes en contactarme. Estoy disponible a través del chat para resolver todas tus preguntas.
Contacta hoy mismo y comprueba por ti mismo que es una gran oportunidad.</t>
        </is>
      </c>
      <c r="AT614" s="2" t="inlineStr">
        <is>
          <t>https://www.coches.net/renault-clio-campus-campus-authentique-12-5p-gasolina-2006-en-castellon-71287668-covo.aspx (window.__INITIAL_PROPS__.ad) /home/user/Alopecia/buscador-coches/raw/cochesnet/bb9f26e19e05562d.json</t>
        </is>
      </c>
      <c r="AU614" s="3">
        <f>MAX(ANIO_ACTUAL-M614,0)</f>
        <v/>
      </c>
      <c r="AV614" s="4">
        <f>N614/MAX(AU614,0.5)</f>
        <v/>
      </c>
      <c r="AW614" s="4">
        <f>F614</f>
        <v/>
      </c>
      <c r="AX614" s="3">
        <f>AW614&amp;"|"&amp;INT(M614/SEG_ANIO)*SEG_ANIO</f>
        <v/>
      </c>
      <c r="AY614" s="3">
        <f>AX614&amp;"|"&amp;INT(N614/SEG_KM)*SEG_KM</f>
        <v/>
      </c>
      <c r="AZ614" s="4">
        <f>COUNTIF($AW$2:$AW$662,AW614)</f>
        <v/>
      </c>
      <c r="BA614" s="4">
        <f>COUNTIF($AX$2:$AX$662,AX614)</f>
        <v/>
      </c>
      <c r="BB614" s="4">
        <f>COUNTIF($AY$2:$AY$662,AY614)</f>
        <v/>
      </c>
      <c r="BC614" s="3">
        <f t="array" ref="BC614">IF(N(AO614)&gt;=MIN_N,AN614,IF(BB614&gt;=MIN_N,MEDIAN(IF($AY$2:$AY$662=AY614,$O$2:$O$662)),IF(BA614&gt;=MIN_N,MEDIAN(IF($AX$2:$AX$662=AX614,$O$2:$O$662)),MEDIAN(IF($AW$2:$AW$662=AW614,$O$2:$O$662)))))</f>
        <v/>
      </c>
      <c r="BD614" s="3">
        <f>IF(N(AO614)&gt;=MIN_N,"mercado "&amp;AP614,IF(BB614&gt;=MIN_N,"modelo+año+km",IF(BA614&gt;=MIN_N,"modelo+año","modelo")))</f>
        <v/>
      </c>
      <c r="BE614" s="4">
        <f>(BC614-O614)/BC614</f>
        <v/>
      </c>
      <c r="BF614" s="3">
        <f>IF(OR(K614="hibrido",K614="glp"),"ECO",IF(K614="electrico","CERO",IF(K614="gasolina",IF(M614&gt;=GAS_C,"C",IF(M614&gt;=GAS_B,"B","A")),IF(K614="diesel",IF(M614&gt;=DIE_C,"C",IF(M614&gt;=DIE_B,"B","A")),""))))</f>
        <v/>
      </c>
      <c r="BG614" s="3">
        <f>IFERROR(VLOOKUP(F614,MOD_TBL,11,0),IFERROR(VLOOKUP(E614,OCU_TBL,2,0),NEUTRO))</f>
        <v/>
      </c>
      <c r="BH614" s="3">
        <f>SUMIFS(MOT_AJUSTE,MOT_MOTOR,G614,MOT_MARCA,E614,MOT_DESDE,"&lt;="&amp;M614,MOT_HASTA,"&gt;="&amp;M614)+SUMIFS(MOT_AJUSTE,MOT_MOTOR,G614,MOT_MARCA,"(todas)",MOT_DESDE,"&lt;="&amp;M614,MOT_HASTA,"&gt;="&amp;M614)</f>
        <v/>
      </c>
      <c r="BI614" s="3">
        <f>SUMIFS(COMB_AJUSTE,COMB_COMB,K614)</f>
        <v/>
      </c>
      <c r="BJ614" s="3">
        <f>COUNTIFS(MOT_MOTOR,G614,MOT_MARCA,E614,MOT_DESDE,"&lt;="&amp;M614,MOT_HASTA,"&gt;="&amp;M614)+COUNTIFS(MOT_MOTOR,G614,MOT_MARCA,"(todas)",MOT_DESDE,"&lt;="&amp;M614,MOT_HASTA,"&gt;="&amp;M614)</f>
        <v/>
      </c>
      <c r="BK614" s="3">
        <f>IF(AND(K614="diesel",BJ614=0),MIN(BG614,NEUTRO),BG614)</f>
        <v/>
      </c>
      <c r="BL614" s="4">
        <f>MAX(0,MIN(100,BK614+BH614+BI614))</f>
        <v/>
      </c>
      <c r="BM614" s="3">
        <f>MAX(0,MIN(100,50+BE614*PRECIO_PEND))</f>
        <v/>
      </c>
      <c r="BN614" s="3">
        <f>MAX(0,100*(1-N614/KM_MAX))</f>
        <v/>
      </c>
      <c r="BO614" s="3">
        <f>IF(AV614&lt;KMA_SOSP,IF(AA614="sí",100,KMA_PEN),IF(AV614&lt;=KMA_IDEAL_MAX,100,MAX(0,100*(KMA_CERO-AV614)/(KMA_CERO-KMA_IDEAL_MAX))))</f>
        <v/>
      </c>
      <c r="BP614" s="3">
        <f>MAX(0,MIN(100,100*(M614-ANIO_MIN)/(ANIO_ACTUAL-ANIO_MIN)))</f>
        <v/>
      </c>
      <c r="BQ614" s="3">
        <f>W_KMT*BN614+W_KMA*BO614+W_EDAD*BP614</f>
        <v/>
      </c>
      <c r="BR614" s="3">
        <f>P_ITV*(V614="sí")+P_LIBRO*(W614="sí")+P_CORREA*(X614="sí")+P_PROP*(Y614=1)+P_GAR*(Z614="sí")+P_FOTOS*MIN(1,N(U614)/FOTOS_OBJ)</f>
        <v/>
      </c>
      <c r="BS614" s="3">
        <f>IFERROR(VLOOKUP(BF614,ETQ_TBL,2,0),NEUTRO)</f>
        <v/>
      </c>
      <c r="BT614" s="3">
        <f>NEUTRO</f>
        <v/>
      </c>
      <c r="BU614" s="3">
        <f>IFERROR(VLOOKUP(L614,SEGURO_TBL,3,0),"")</f>
        <v/>
      </c>
      <c r="BV614" s="3">
        <f>IF(BU614="",NEUTRO,MAX(0,MIN(100,100*(SEG_REF_MAX-BU614)/(SEG_REF_MAX-SEG_REF_MIN))))</f>
        <v/>
      </c>
      <c r="BW614" s="3">
        <f>W_ET*BS614+W_CONS*BT614+W_SEG*BV614</f>
        <v/>
      </c>
      <c r="BX614" s="3">
        <f>IF(N(AB614)&gt;0,AB614,IF(AND(R614="profesional",SG_LEGAL_ON=1),GAR_LEGAL,0))</f>
        <v/>
      </c>
      <c r="BY614" s="3">
        <f>SG_GAR*MIN(1,BX614/SG_GAR_FULL)+SG_AMPL*(AC614="sí")+SG_KMC*(AF614="sí")+SG_REV*(N(AE614)&gt;0)+SG_DEV*MIN(1,N(AG614)/SG_DEV_FULL)+SG_HIST*(W614="sí")</f>
        <v/>
      </c>
      <c r="BZ614" s="3">
        <f>IFERROR(VLOOKUP(L614,CARR_PEN_TBL,2,0),0)</f>
        <v/>
      </c>
      <c r="CA614" s="3">
        <f>W_FIAB*BL614+W_PRECIO*BM614+W_KMEDAD*BQ614+W_ANUNCIO*BR614+W_USO*BW614+W_SEGURIDAD*BY614-BZ614</f>
        <v/>
      </c>
      <c r="CB614" s="4">
        <f>IF(N(I614)&gt;0,I614,IFERROR(ROUND(_xlfn.NUMBERVALUE(LEFT(G614,FIND(" ",G614&amp;" ")-1),".")*1000,0),99999))</f>
        <v/>
      </c>
      <c r="CC614" s="3">
        <f>IF(R614="profesional",0,IF(O614&lt;CUOTA_VALOR_MAX,IF(AU614&gt;ITP_TRAMO_ALTO,SUMIFS(CF_CUOTA,CF_MAS,ITP_TRAMO_ALTO,CF_CCMIN,"&lt;="&amp;CB614,CF_CCMAX,"&gt;="&amp;CB614),IF(AU614&gt;ITP_TRAMO_BAJO,SUMIFS(CF_CUOTA,CF_MAS,ITP_TRAMO_BAJO,CF_CCMIN,"&lt;="&amp;CB614,CF_CCMAX,"&gt;="&amp;CB614),O614*ITP_TIPO)),O614*ITP_TIPO))</f>
        <v/>
      </c>
      <c r="CD614" s="4">
        <f>IF(R614="profesional",N(AK614),0)</f>
        <v/>
      </c>
      <c r="CE614" s="3">
        <f>IF(AND(R614="profesional",ISNUMBER(AK614),AL614="sí"),0,TASA_DGT)</f>
        <v/>
      </c>
      <c r="CF614" s="3">
        <f>INFORME_DGT</f>
        <v/>
      </c>
      <c r="CG614" s="4">
        <f>O614+CD614+CC614+CE614+CF614</f>
        <v/>
      </c>
      <c r="CH614" s="4">
        <f>CG614+N(BU614)</f>
        <v/>
      </c>
      <c r="CI614" s="3">
        <f>IF(CG614&lt;=TOTAL_MAX,"sí",IF(CG614&lt;=TOTAL_MAX+MARGEN_NEG,"negociar","no"))</f>
        <v/>
      </c>
      <c r="CJ614" s="4">
        <f>IF(CI614&lt;&gt;"no",COUNTIFS($CI$2:$CI$662,"&lt;&gt;no",$CA$2:$CA$662,"&gt;"&amp;CA614)+COUNTIFS($CI$2:CI614,"&lt;&gt;no",$CA$2:CA614,CA614),"")</f>
        <v/>
      </c>
    </row>
    <row r="615">
      <c r="A615" s="2" t="inlineStr">
        <is>
          <t>cochesnet:71669055</t>
        </is>
      </c>
      <c r="B615" s="2" t="inlineStr">
        <is>
          <t>cochesnet</t>
        </is>
      </c>
      <c r="C615" s="2" t="inlineStr">
        <is>
          <t>https://www.coches.net/dacia-sandero-podium-12-16v-75cv-5p-gasolina-2012-en-castellon-71669055-covo.aspx</t>
        </is>
      </c>
      <c r="D615" s="2" t="inlineStr">
        <is>
          <t>DACIA Sandero Podium 1.2 16v</t>
        </is>
      </c>
      <c r="E615" s="2" t="inlineStr">
        <is>
          <t>Dacia</t>
        </is>
      </c>
      <c r="F615" s="2" t="inlineStr">
        <is>
          <t>Dacia Sandero</t>
        </is>
      </c>
      <c r="G615" s="2" t="inlineStr">
        <is>
          <t>1.2</t>
        </is>
      </c>
      <c r="H615" s="2" t="inlineStr">
        <is>
          <t>Podium 1.2 16v 75cv</t>
        </is>
      </c>
      <c r="I615" s="2" t="n"/>
      <c r="J615" s="2" t="n">
        <v>75</v>
      </c>
      <c r="K615" s="2" t="inlineStr">
        <is>
          <t>gasolina</t>
        </is>
      </c>
      <c r="L615" s="2" t="inlineStr">
        <is>
          <t>utilitario</t>
        </is>
      </c>
      <c r="M615" s="2" t="n">
        <v>2012</v>
      </c>
      <c r="N615" s="2" t="n">
        <v>84406</v>
      </c>
      <c r="O615" s="2" t="n">
        <v>3800</v>
      </c>
      <c r="P615" s="2" t="inlineStr">
        <is>
          <t>manual</t>
        </is>
      </c>
      <c r="Q615" s="2" t="inlineStr">
        <is>
          <t>no</t>
        </is>
      </c>
      <c r="R615" s="2" t="inlineStr">
        <is>
          <t>particular</t>
        </is>
      </c>
      <c r="S615" s="2" t="inlineStr">
        <is>
          <t>Castellón de la Plana / Castelló de la Plana</t>
        </is>
      </c>
      <c r="T615" s="2" t="inlineStr">
        <is>
          <t>2026-10-27T13:10:54Z</t>
        </is>
      </c>
      <c r="U615" s="2" t="n">
        <v>8</v>
      </c>
      <c r="V615" s="2" t="n"/>
      <c r="W615" s="2" t="n"/>
      <c r="X615" s="2" t="n"/>
      <c r="Y615" s="2" t="n"/>
      <c r="Z615" s="2" t="inlineStr">
        <is>
          <t>no</t>
        </is>
      </c>
      <c r="AA615" s="2" t="n"/>
      <c r="AB615" s="2" t="n"/>
      <c r="AC615" s="2" t="n"/>
      <c r="AD615" s="2" t="n"/>
      <c r="AE615" s="2" t="n"/>
      <c r="AF615" s="2" t="n"/>
      <c r="AG615" s="2" t="n"/>
      <c r="AH615" s="2" t="n">
        <v>3800</v>
      </c>
      <c r="AI615" s="2" t="n"/>
      <c r="AJ615" s="2" t="n"/>
      <c r="AK615" s="2" t="n"/>
      <c r="AL615" s="2" t="n"/>
      <c r="AM615" s="2" t="n"/>
      <c r="AN615" s="2" t="n">
        <v>3800</v>
      </c>
      <c r="AO615" s="2" t="n">
        <v>4</v>
      </c>
      <c r="AP615" s="2" t="inlineStr">
        <is>
          <t>modelo+año+km</t>
        </is>
      </c>
      <c r="AQ615" s="2" t="n"/>
      <c r="AR615" s="2" t="inlineStr">
        <is>
          <t>cuota fija ITP: &gt;12 años, hasta 1.500 cc; distancia no verificable (el anuncio solo indica la provincia): confirmar que está a &lt;= 70 km</t>
        </is>
      </c>
      <c r="AS615" s="2" t="inlineStr">
        <is>
          <t xml:space="preserve">Dacia Sandero 1.2 16V 75 CV Podium – 84.500 km – Bien cuidado
Vendo Dacia Sandero 1.2 16V de 75 CV, acabado Podium, con solo 84.500 km.
Coche de uso particular, bien cuidado y con un funcionamiento correcto. A pesar de sus años, se encuentra en buen estado general, teniendo en cuenta los desgastes propios de la edad y algunos rayones normales en la pintura.
Características:
- Motor gasolina 1.2 16V de 75 CV.
- Acabado Podium.
- 84.500 km.
- Aire acondicionado y compresor funcionando; únicamente necesita una recarga de gas.
- Vehículo cuidado y con kilometraje bajo para su antigüedad.
Es un coche práctico, económico de mantener y fácil de conducir, ideal para el día a día, para ciudad o como primer vehículo.
Se puede ver y probar sin compromiso. Se vende por cambio de planes.
Precio negociable tras verlo.
</t>
        </is>
      </c>
      <c r="AT615" s="2" t="inlineStr">
        <is>
          <t>https://www.coches.net/dacia-sandero-podium-12-16v-75cv-5p-gasolina-2012-en-castellon-71669055-covo.aspx (window.__INITIAL_PROPS__.ad) /home/user/Alopecia/buscador-coches/raw/cochesnet/3f7284e8ac81a8bb.json</t>
        </is>
      </c>
      <c r="AU615" s="3">
        <f>MAX(ANIO_ACTUAL-M615,0)</f>
        <v/>
      </c>
      <c r="AV615" s="4">
        <f>N615/MAX(AU615,0.5)</f>
        <v/>
      </c>
      <c r="AW615" s="4">
        <f>F615</f>
        <v/>
      </c>
      <c r="AX615" s="3">
        <f>AW615&amp;"|"&amp;INT(M615/SEG_ANIO)*SEG_ANIO</f>
        <v/>
      </c>
      <c r="AY615" s="3">
        <f>AX615&amp;"|"&amp;INT(N615/SEG_KM)*SEG_KM</f>
        <v/>
      </c>
      <c r="AZ615" s="4">
        <f>COUNTIF($AW$2:$AW$662,AW615)</f>
        <v/>
      </c>
      <c r="BA615" s="4">
        <f>COUNTIF($AX$2:$AX$662,AX615)</f>
        <v/>
      </c>
      <c r="BB615" s="4">
        <f>COUNTIF($AY$2:$AY$662,AY615)</f>
        <v/>
      </c>
      <c r="BC615" s="3">
        <f t="array" ref="BC615">IF(N(AO615)&gt;=MIN_N,AN615,IF(BB615&gt;=MIN_N,MEDIAN(IF($AY$2:$AY$662=AY615,$O$2:$O$662)),IF(BA615&gt;=MIN_N,MEDIAN(IF($AX$2:$AX$662=AX615,$O$2:$O$662)),MEDIAN(IF($AW$2:$AW$662=AW615,$O$2:$O$662)))))</f>
        <v/>
      </c>
      <c r="BD615" s="3">
        <f>IF(N(AO615)&gt;=MIN_N,"mercado "&amp;AP615,IF(BB615&gt;=MIN_N,"modelo+año+km",IF(BA615&gt;=MIN_N,"modelo+año","modelo")))</f>
        <v/>
      </c>
      <c r="BE615" s="4">
        <f>(BC615-O615)/BC615</f>
        <v/>
      </c>
      <c r="BF615" s="3">
        <f>IF(OR(K615="hibrido",K615="glp"),"ECO",IF(K615="electrico","CERO",IF(K615="gasolina",IF(M615&gt;=GAS_C,"C",IF(M615&gt;=GAS_B,"B","A")),IF(K615="diesel",IF(M615&gt;=DIE_C,"C",IF(M615&gt;=DIE_B,"B","A")),""))))</f>
        <v/>
      </c>
      <c r="BG615" s="3">
        <f>IFERROR(VLOOKUP(F615,MOD_TBL,11,0),IFERROR(VLOOKUP(E615,OCU_TBL,2,0),NEUTRO))</f>
        <v/>
      </c>
      <c r="BH615" s="3">
        <f>SUMIFS(MOT_AJUSTE,MOT_MOTOR,G615,MOT_MARCA,E615,MOT_DESDE,"&lt;="&amp;M615,MOT_HASTA,"&gt;="&amp;M615)+SUMIFS(MOT_AJUSTE,MOT_MOTOR,G615,MOT_MARCA,"(todas)",MOT_DESDE,"&lt;="&amp;M615,MOT_HASTA,"&gt;="&amp;M615)</f>
        <v/>
      </c>
      <c r="BI615" s="3">
        <f>SUMIFS(COMB_AJUSTE,COMB_COMB,K615)</f>
        <v/>
      </c>
      <c r="BJ615" s="3">
        <f>COUNTIFS(MOT_MOTOR,G615,MOT_MARCA,E615,MOT_DESDE,"&lt;="&amp;M615,MOT_HASTA,"&gt;="&amp;M615)+COUNTIFS(MOT_MOTOR,G615,MOT_MARCA,"(todas)",MOT_DESDE,"&lt;="&amp;M615,MOT_HASTA,"&gt;="&amp;M615)</f>
        <v/>
      </c>
      <c r="BK615" s="3">
        <f>IF(AND(K615="diesel",BJ615=0),MIN(BG615,NEUTRO),BG615)</f>
        <v/>
      </c>
      <c r="BL615" s="4">
        <f>MAX(0,MIN(100,BK615+BH615+BI615))</f>
        <v/>
      </c>
      <c r="BM615" s="3">
        <f>MAX(0,MIN(100,50+BE615*PRECIO_PEND))</f>
        <v/>
      </c>
      <c r="BN615" s="3">
        <f>MAX(0,100*(1-N615/KM_MAX))</f>
        <v/>
      </c>
      <c r="BO615" s="3">
        <f>IF(AV615&lt;KMA_SOSP,IF(AA615="sí",100,KMA_PEN),IF(AV615&lt;=KMA_IDEAL_MAX,100,MAX(0,100*(KMA_CERO-AV615)/(KMA_CERO-KMA_IDEAL_MAX))))</f>
        <v/>
      </c>
      <c r="BP615" s="3">
        <f>MAX(0,MIN(100,100*(M615-ANIO_MIN)/(ANIO_ACTUAL-ANIO_MIN)))</f>
        <v/>
      </c>
      <c r="BQ615" s="3">
        <f>W_KMT*BN615+W_KMA*BO615+W_EDAD*BP615</f>
        <v/>
      </c>
      <c r="BR615" s="3">
        <f>P_ITV*(V615="sí")+P_LIBRO*(W615="sí")+P_CORREA*(X615="sí")+P_PROP*(Y615=1)+P_GAR*(Z615="sí")+P_FOTOS*MIN(1,N(U615)/FOTOS_OBJ)</f>
        <v/>
      </c>
      <c r="BS615" s="3">
        <f>IFERROR(VLOOKUP(BF615,ETQ_TBL,2,0),NEUTRO)</f>
        <v/>
      </c>
      <c r="BT615" s="3">
        <f>NEUTRO</f>
        <v/>
      </c>
      <c r="BU615" s="3">
        <f>IFERROR(VLOOKUP(L615,SEGURO_TBL,3,0),"")</f>
        <v/>
      </c>
      <c r="BV615" s="3">
        <f>IF(BU615="",NEUTRO,MAX(0,MIN(100,100*(SEG_REF_MAX-BU615)/(SEG_REF_MAX-SEG_REF_MIN))))</f>
        <v/>
      </c>
      <c r="BW615" s="3">
        <f>W_ET*BS615+W_CONS*BT615+W_SEG*BV615</f>
        <v/>
      </c>
      <c r="BX615" s="3">
        <f>IF(N(AB615)&gt;0,AB615,IF(AND(R615="profesional",SG_LEGAL_ON=1),GAR_LEGAL,0))</f>
        <v/>
      </c>
      <c r="BY615" s="3">
        <f>SG_GAR*MIN(1,BX615/SG_GAR_FULL)+SG_AMPL*(AC615="sí")+SG_KMC*(AF615="sí")+SG_REV*(N(AE615)&gt;0)+SG_DEV*MIN(1,N(AG615)/SG_DEV_FULL)+SG_HIST*(W615="sí")</f>
        <v/>
      </c>
      <c r="BZ615" s="3">
        <f>IFERROR(VLOOKUP(L615,CARR_PEN_TBL,2,0),0)</f>
        <v/>
      </c>
      <c r="CA615" s="3">
        <f>W_FIAB*BL615+W_PRECIO*BM615+W_KMEDAD*BQ615+W_ANUNCIO*BR615+W_USO*BW615+W_SEGURIDAD*BY615-BZ615</f>
        <v/>
      </c>
      <c r="CB615" s="4">
        <f>IF(N(I615)&gt;0,I615,IFERROR(ROUND(_xlfn.NUMBERVALUE(LEFT(G615,FIND(" ",G615&amp;" ")-1),".")*1000,0),99999))</f>
        <v/>
      </c>
      <c r="CC615" s="3">
        <f>IF(R615="profesional",0,IF(O615&lt;CUOTA_VALOR_MAX,IF(AU615&gt;ITP_TRAMO_ALTO,SUMIFS(CF_CUOTA,CF_MAS,ITP_TRAMO_ALTO,CF_CCMIN,"&lt;="&amp;CB615,CF_CCMAX,"&gt;="&amp;CB615),IF(AU615&gt;ITP_TRAMO_BAJO,SUMIFS(CF_CUOTA,CF_MAS,ITP_TRAMO_BAJO,CF_CCMIN,"&lt;="&amp;CB615,CF_CCMAX,"&gt;="&amp;CB615),O615*ITP_TIPO)),O615*ITP_TIPO))</f>
        <v/>
      </c>
      <c r="CD615" s="4">
        <f>IF(R615="profesional",N(AK615),0)</f>
        <v/>
      </c>
      <c r="CE615" s="3">
        <f>IF(AND(R615="profesional",ISNUMBER(AK615),AL615="sí"),0,TASA_DGT)</f>
        <v/>
      </c>
      <c r="CF615" s="3">
        <f>INFORME_DGT</f>
        <v/>
      </c>
      <c r="CG615" s="4">
        <f>O615+CD615+CC615+CE615+CF615</f>
        <v/>
      </c>
      <c r="CH615" s="4">
        <f>CG615+N(BU615)</f>
        <v/>
      </c>
      <c r="CI615" s="3">
        <f>IF(CG615&lt;=TOTAL_MAX,"sí",IF(CG615&lt;=TOTAL_MAX+MARGEN_NEG,"negociar","no"))</f>
        <v/>
      </c>
      <c r="CJ615" s="4">
        <f>IF(CI615&lt;&gt;"no",COUNTIFS($CI$2:$CI$662,"&lt;&gt;no",$CA$2:$CA$662,"&gt;"&amp;CA615)+COUNTIFS($CI$2:CI615,"&lt;&gt;no",$CA$2:CA615,CA615),"")</f>
        <v/>
      </c>
    </row>
    <row r="616">
      <c r="A616" s="2" t="inlineStr">
        <is>
          <t>cochesnet:71800200</t>
        </is>
      </c>
      <c r="B616" s="2" t="inlineStr">
        <is>
          <t>cochesnet</t>
        </is>
      </c>
      <c r="C616" s="2" t="inlineStr">
        <is>
          <t>https://www.coches.net/dacia-sandero-ambiance-12-16v-75cv-5p-gasolina-2010-en-castellon-71800200-covo.aspx</t>
        </is>
      </c>
      <c r="D616" s="2" t="inlineStr">
        <is>
          <t>DACIA Sandero Ambiance 1.2 16v</t>
        </is>
      </c>
      <c r="E616" s="2" t="inlineStr">
        <is>
          <t>Dacia</t>
        </is>
      </c>
      <c r="F616" s="2" t="inlineStr">
        <is>
          <t>Dacia Sandero</t>
        </is>
      </c>
      <c r="G616" s="2" t="inlineStr">
        <is>
          <t>1.2</t>
        </is>
      </c>
      <c r="H616" s="2" t="inlineStr">
        <is>
          <t>Ambiance 1.2 16v 75cv</t>
        </is>
      </c>
      <c r="I616" s="2" t="n"/>
      <c r="J616" s="2" t="n">
        <v>75</v>
      </c>
      <c r="K616" s="2" t="inlineStr">
        <is>
          <t>gasolina</t>
        </is>
      </c>
      <c r="L616" s="2" t="inlineStr">
        <is>
          <t>utilitario</t>
        </is>
      </c>
      <c r="M616" s="2" t="n">
        <v>2010</v>
      </c>
      <c r="N616" s="2" t="n">
        <v>52000</v>
      </c>
      <c r="O616" s="2" t="n">
        <v>3800</v>
      </c>
      <c r="P616" s="2" t="inlineStr">
        <is>
          <t>manual</t>
        </is>
      </c>
      <c r="Q616" s="2" t="inlineStr">
        <is>
          <t>no</t>
        </is>
      </c>
      <c r="R616" s="2" t="inlineStr">
        <is>
          <t>particular</t>
        </is>
      </c>
      <c r="S616" s="2" t="n"/>
      <c r="T616" s="2" t="inlineStr">
        <is>
          <t>2026-10-21T12:04:58Z</t>
        </is>
      </c>
      <c r="U616" s="2" t="n">
        <v>9</v>
      </c>
      <c r="V616" s="2" t="n"/>
      <c r="W616" s="2" t="n"/>
      <c r="X616" s="2" t="n"/>
      <c r="Y616" s="2" t="n">
        <v>1</v>
      </c>
      <c r="Z616" s="2" t="inlineStr">
        <is>
          <t>no</t>
        </is>
      </c>
      <c r="AA616" s="2" t="inlineStr">
        <is>
          <t>sí</t>
        </is>
      </c>
      <c r="AB616" s="2" t="n"/>
      <c r="AC616" s="2" t="n"/>
      <c r="AD616" s="2" t="n"/>
      <c r="AE616" s="2" t="n"/>
      <c r="AF616" s="2" t="n"/>
      <c r="AG616" s="2" t="n"/>
      <c r="AH616" s="2" t="n">
        <v>3800</v>
      </c>
      <c r="AI616" s="2" t="n"/>
      <c r="AJ616" s="2" t="n"/>
      <c r="AK616" s="2" t="n"/>
      <c r="AL616" s="2" t="n"/>
      <c r="AM616" s="2" t="n"/>
      <c r="AN616" s="2" t="n">
        <v>3800</v>
      </c>
      <c r="AO616" s="2" t="n">
        <v>4</v>
      </c>
      <c r="AP616" s="2" t="inlineStr">
        <is>
          <t>modelo+año+km</t>
        </is>
      </c>
      <c r="AQ616" s="2" t="n"/>
      <c r="AR616" s="2" t="inlineStr">
        <is>
          <t>cuota fija ITP: &gt;12 años, hasta 1.500 cc; distancia no verificable (el anuncio solo indica la provincia): confirmar que está a &lt;= 70 km</t>
        </is>
      </c>
      <c r="AS616" s="2" t="inlineStr">
        <is>
          <t xml:space="preserve">52000 km certificados! Con algunas marcas en la carrocería (miren fotos). Está en estado óptimo y pasa la ITV sin problemas. Un solo dueño.
*Aire acondicionado 
*Elevalunas eléctrico 
*Con ITV 
*Tapicería impecable 
*Neumáticos 80%
*Un solo dueño
Solo gente seria
</t>
        </is>
      </c>
      <c r="AT616" s="2" t="inlineStr">
        <is>
          <t>https://www.coches.net/dacia-sandero-ambiance-12-16v-75cv-5p-gasolina-2010-en-castellon-71800200-covo.aspx (window.__INITIAL_PROPS__.ad) /home/user/Alopecia/buscador-coches/raw/cochesnet/6a96374de00c5baa.json</t>
        </is>
      </c>
      <c r="AU616" s="3">
        <f>MAX(ANIO_ACTUAL-M616,0)</f>
        <v/>
      </c>
      <c r="AV616" s="4">
        <f>N616/MAX(AU616,0.5)</f>
        <v/>
      </c>
      <c r="AW616" s="4">
        <f>F616</f>
        <v/>
      </c>
      <c r="AX616" s="3">
        <f>AW616&amp;"|"&amp;INT(M616/SEG_ANIO)*SEG_ANIO</f>
        <v/>
      </c>
      <c r="AY616" s="3">
        <f>AX616&amp;"|"&amp;INT(N616/SEG_KM)*SEG_KM</f>
        <v/>
      </c>
      <c r="AZ616" s="4">
        <f>COUNTIF($AW$2:$AW$662,AW616)</f>
        <v/>
      </c>
      <c r="BA616" s="4">
        <f>COUNTIF($AX$2:$AX$662,AX616)</f>
        <v/>
      </c>
      <c r="BB616" s="4">
        <f>COUNTIF($AY$2:$AY$662,AY616)</f>
        <v/>
      </c>
      <c r="BC616" s="3">
        <f t="array" ref="BC616">IF(N(AO616)&gt;=MIN_N,AN616,IF(BB616&gt;=MIN_N,MEDIAN(IF($AY$2:$AY$662=AY616,$O$2:$O$662)),IF(BA616&gt;=MIN_N,MEDIAN(IF($AX$2:$AX$662=AX616,$O$2:$O$662)),MEDIAN(IF($AW$2:$AW$662=AW616,$O$2:$O$662)))))</f>
        <v/>
      </c>
      <c r="BD616" s="3">
        <f>IF(N(AO616)&gt;=MIN_N,"mercado "&amp;AP616,IF(BB616&gt;=MIN_N,"modelo+año+km",IF(BA616&gt;=MIN_N,"modelo+año","modelo")))</f>
        <v/>
      </c>
      <c r="BE616" s="4">
        <f>(BC616-O616)/BC616</f>
        <v/>
      </c>
      <c r="BF616" s="3">
        <f>IF(OR(K616="hibrido",K616="glp"),"ECO",IF(K616="electrico","CERO",IF(K616="gasolina",IF(M616&gt;=GAS_C,"C",IF(M616&gt;=GAS_B,"B","A")),IF(K616="diesel",IF(M616&gt;=DIE_C,"C",IF(M616&gt;=DIE_B,"B","A")),""))))</f>
        <v/>
      </c>
      <c r="BG616" s="3">
        <f>IFERROR(VLOOKUP(F616,MOD_TBL,11,0),IFERROR(VLOOKUP(E616,OCU_TBL,2,0),NEUTRO))</f>
        <v/>
      </c>
      <c r="BH616" s="3">
        <f>SUMIFS(MOT_AJUSTE,MOT_MOTOR,G616,MOT_MARCA,E616,MOT_DESDE,"&lt;="&amp;M616,MOT_HASTA,"&gt;="&amp;M616)+SUMIFS(MOT_AJUSTE,MOT_MOTOR,G616,MOT_MARCA,"(todas)",MOT_DESDE,"&lt;="&amp;M616,MOT_HASTA,"&gt;="&amp;M616)</f>
        <v/>
      </c>
      <c r="BI616" s="3">
        <f>SUMIFS(COMB_AJUSTE,COMB_COMB,K616)</f>
        <v/>
      </c>
      <c r="BJ616" s="3">
        <f>COUNTIFS(MOT_MOTOR,G616,MOT_MARCA,E616,MOT_DESDE,"&lt;="&amp;M616,MOT_HASTA,"&gt;="&amp;M616)+COUNTIFS(MOT_MOTOR,G616,MOT_MARCA,"(todas)",MOT_DESDE,"&lt;="&amp;M616,MOT_HASTA,"&gt;="&amp;M616)</f>
        <v/>
      </c>
      <c r="BK616" s="3">
        <f>IF(AND(K616="diesel",BJ616=0),MIN(BG616,NEUTRO),BG616)</f>
        <v/>
      </c>
      <c r="BL616" s="4">
        <f>MAX(0,MIN(100,BK616+BH616+BI616))</f>
        <v/>
      </c>
      <c r="BM616" s="3">
        <f>MAX(0,MIN(100,50+BE616*PRECIO_PEND))</f>
        <v/>
      </c>
      <c r="BN616" s="3">
        <f>MAX(0,100*(1-N616/KM_MAX))</f>
        <v/>
      </c>
      <c r="BO616" s="3">
        <f>IF(AV616&lt;KMA_SOSP,IF(AA616="sí",100,KMA_PEN),IF(AV616&lt;=KMA_IDEAL_MAX,100,MAX(0,100*(KMA_CERO-AV616)/(KMA_CERO-KMA_IDEAL_MAX))))</f>
        <v/>
      </c>
      <c r="BP616" s="3">
        <f>MAX(0,MIN(100,100*(M616-ANIO_MIN)/(ANIO_ACTUAL-ANIO_MIN)))</f>
        <v/>
      </c>
      <c r="BQ616" s="3">
        <f>W_KMT*BN616+W_KMA*BO616+W_EDAD*BP616</f>
        <v/>
      </c>
      <c r="BR616" s="3">
        <f>P_ITV*(V616="sí")+P_LIBRO*(W616="sí")+P_CORREA*(X616="sí")+P_PROP*(Y616=1)+P_GAR*(Z616="sí")+P_FOTOS*MIN(1,N(U616)/FOTOS_OBJ)</f>
        <v/>
      </c>
      <c r="BS616" s="3">
        <f>IFERROR(VLOOKUP(BF616,ETQ_TBL,2,0),NEUTRO)</f>
        <v/>
      </c>
      <c r="BT616" s="3">
        <f>NEUTRO</f>
        <v/>
      </c>
      <c r="BU616" s="3">
        <f>IFERROR(VLOOKUP(L616,SEGURO_TBL,3,0),"")</f>
        <v/>
      </c>
      <c r="BV616" s="3">
        <f>IF(BU616="",NEUTRO,MAX(0,MIN(100,100*(SEG_REF_MAX-BU616)/(SEG_REF_MAX-SEG_REF_MIN))))</f>
        <v/>
      </c>
      <c r="BW616" s="3">
        <f>W_ET*BS616+W_CONS*BT616+W_SEG*BV616</f>
        <v/>
      </c>
      <c r="BX616" s="3">
        <f>IF(N(AB616)&gt;0,AB616,IF(AND(R616="profesional",SG_LEGAL_ON=1),GAR_LEGAL,0))</f>
        <v/>
      </c>
      <c r="BY616" s="3">
        <f>SG_GAR*MIN(1,BX616/SG_GAR_FULL)+SG_AMPL*(AC616="sí")+SG_KMC*(AF616="sí")+SG_REV*(N(AE616)&gt;0)+SG_DEV*MIN(1,N(AG616)/SG_DEV_FULL)+SG_HIST*(W616="sí")</f>
        <v/>
      </c>
      <c r="BZ616" s="3">
        <f>IFERROR(VLOOKUP(L616,CARR_PEN_TBL,2,0),0)</f>
        <v/>
      </c>
      <c r="CA616" s="3">
        <f>W_FIAB*BL616+W_PRECIO*BM616+W_KMEDAD*BQ616+W_ANUNCIO*BR616+W_USO*BW616+W_SEGURIDAD*BY616-BZ616</f>
        <v/>
      </c>
      <c r="CB616" s="4">
        <f>IF(N(I616)&gt;0,I616,IFERROR(ROUND(_xlfn.NUMBERVALUE(LEFT(G616,FIND(" ",G616&amp;" ")-1),".")*1000,0),99999))</f>
        <v/>
      </c>
      <c r="CC616" s="3">
        <f>IF(R616="profesional",0,IF(O616&lt;CUOTA_VALOR_MAX,IF(AU616&gt;ITP_TRAMO_ALTO,SUMIFS(CF_CUOTA,CF_MAS,ITP_TRAMO_ALTO,CF_CCMIN,"&lt;="&amp;CB616,CF_CCMAX,"&gt;="&amp;CB616),IF(AU616&gt;ITP_TRAMO_BAJO,SUMIFS(CF_CUOTA,CF_MAS,ITP_TRAMO_BAJO,CF_CCMIN,"&lt;="&amp;CB616,CF_CCMAX,"&gt;="&amp;CB616),O616*ITP_TIPO)),O616*ITP_TIPO))</f>
        <v/>
      </c>
      <c r="CD616" s="4">
        <f>IF(R616="profesional",N(AK616),0)</f>
        <v/>
      </c>
      <c r="CE616" s="3">
        <f>IF(AND(R616="profesional",ISNUMBER(AK616),AL616="sí"),0,TASA_DGT)</f>
        <v/>
      </c>
      <c r="CF616" s="3">
        <f>INFORME_DGT</f>
        <v/>
      </c>
      <c r="CG616" s="4">
        <f>O616+CD616+CC616+CE616+CF616</f>
        <v/>
      </c>
      <c r="CH616" s="4">
        <f>CG616+N(BU616)</f>
        <v/>
      </c>
      <c r="CI616" s="3">
        <f>IF(CG616&lt;=TOTAL_MAX,"sí",IF(CG616&lt;=TOTAL_MAX+MARGEN_NEG,"negociar","no"))</f>
        <v/>
      </c>
      <c r="CJ616" s="4">
        <f>IF(CI616&lt;&gt;"no",COUNTIFS($CI$2:$CI$662,"&lt;&gt;no",$CA$2:$CA$662,"&gt;"&amp;CA616)+COUNTIFS($CI$2:CI616,"&lt;&gt;no",$CA$2:CA616,CA616),"")</f>
        <v/>
      </c>
    </row>
    <row r="617">
      <c r="A617" s="2" t="inlineStr">
        <is>
          <t>cochesnet:71424773</t>
        </is>
      </c>
      <c r="B617" s="2" t="inlineStr">
        <is>
          <t>cochesnet</t>
        </is>
      </c>
      <c r="C617" s="2" t="inlineStr">
        <is>
          <t>https://www.coches.net/dacia-sandero-gasolina-2010-en-castellon-71424773-covo.aspx</t>
        </is>
      </c>
      <c r="D617" s="2" t="inlineStr">
        <is>
          <t>DACIA Sandero Base 1.2 16v E5</t>
        </is>
      </c>
      <c r="E617" s="2" t="inlineStr">
        <is>
          <t>Dacia</t>
        </is>
      </c>
      <c r="F617" s="2" t="inlineStr">
        <is>
          <t>Dacia Sandero</t>
        </is>
      </c>
      <c r="G617" s="2" t="inlineStr">
        <is>
          <t>1.2</t>
        </is>
      </c>
      <c r="H617" s="2" t="inlineStr">
        <is>
          <t>Base 1.2 16v 75cv E5</t>
        </is>
      </c>
      <c r="I617" s="2" t="n"/>
      <c r="J617" s="2" t="n">
        <v>75</v>
      </c>
      <c r="K617" s="2" t="inlineStr">
        <is>
          <t>gasolina</t>
        </is>
      </c>
      <c r="L617" s="2" t="inlineStr">
        <is>
          <t>utilitario</t>
        </is>
      </c>
      <c r="M617" s="2" t="n">
        <v>2010</v>
      </c>
      <c r="N617" s="2" t="n">
        <v>72000</v>
      </c>
      <c r="O617" s="2" t="n">
        <v>3300</v>
      </c>
      <c r="P617" s="2" t="inlineStr">
        <is>
          <t>manual</t>
        </is>
      </c>
      <c r="Q617" s="2" t="inlineStr">
        <is>
          <t>no</t>
        </is>
      </c>
      <c r="R617" s="2" t="inlineStr">
        <is>
          <t>particular</t>
        </is>
      </c>
      <c r="S617" s="2" t="n"/>
      <c r="T617" s="2" t="inlineStr">
        <is>
          <t>2026-09-02T11:19:30Z</t>
        </is>
      </c>
      <c r="U617" s="2" t="n">
        <v>7</v>
      </c>
      <c r="V617" s="2" t="inlineStr">
        <is>
          <t>sí</t>
        </is>
      </c>
      <c r="W617" s="2" t="n"/>
      <c r="X617" s="2" t="n"/>
      <c r="Y617" s="2" t="n"/>
      <c r="Z617" s="2" t="inlineStr">
        <is>
          <t>no</t>
        </is>
      </c>
      <c r="AA617" s="2" t="n"/>
      <c r="AB617" s="2" t="n"/>
      <c r="AC617" s="2" t="n"/>
      <c r="AD617" s="2" t="n"/>
      <c r="AE617" s="2" t="n"/>
      <c r="AF617" s="2" t="n"/>
      <c r="AG617" s="2" t="n"/>
      <c r="AH617" s="2" t="n">
        <v>3300</v>
      </c>
      <c r="AI617" s="2" t="n"/>
      <c r="AJ617" s="2" t="n"/>
      <c r="AK617" s="2" t="n"/>
      <c r="AL617" s="2" t="n"/>
      <c r="AM617" s="2" t="n"/>
      <c r="AN617" s="2" t="n">
        <v>3800</v>
      </c>
      <c r="AO617" s="2" t="n">
        <v>4</v>
      </c>
      <c r="AP617" s="2" t="inlineStr">
        <is>
          <t>modelo+año+km</t>
        </is>
      </c>
      <c r="AQ617" s="2" t="n"/>
      <c r="AR617" s="2" t="inlineStr">
        <is>
          <t>cuota fija ITP: &gt;12 años, hasta 1.500 cc; distancia no verificable (el anuncio solo indica la provincia): confirmar que está a &lt;= 70 km</t>
        </is>
      </c>
      <c r="AS617" s="2" t="inlineStr">
        <is>
          <t xml:space="preserve">Excelente coche, motor fiable,económico en todo, 1.2 CC, consumo muy bajo, solo 72.000 klms, ITV hasta el 2027, etiqueta ambiental C, fácil para parquear, sin aíre  poco negociable </t>
        </is>
      </c>
      <c r="AT617" s="2" t="inlineStr">
        <is>
          <t>https://www.coches.net/dacia-sandero-gasolina-2010-en-castellon-71424773-covo.aspx (window.__INITIAL_PROPS__.ad) /home/user/Alopecia/buscador-coches/raw/cochesnet/9d6d5698e9ff759d.json</t>
        </is>
      </c>
      <c r="AU617" s="3">
        <f>MAX(ANIO_ACTUAL-M617,0)</f>
        <v/>
      </c>
      <c r="AV617" s="4">
        <f>N617/MAX(AU617,0.5)</f>
        <v/>
      </c>
      <c r="AW617" s="4">
        <f>F617</f>
        <v/>
      </c>
      <c r="AX617" s="3">
        <f>AW617&amp;"|"&amp;INT(M617/SEG_ANIO)*SEG_ANIO</f>
        <v/>
      </c>
      <c r="AY617" s="3">
        <f>AX617&amp;"|"&amp;INT(N617/SEG_KM)*SEG_KM</f>
        <v/>
      </c>
      <c r="AZ617" s="4">
        <f>COUNTIF($AW$2:$AW$662,AW617)</f>
        <v/>
      </c>
      <c r="BA617" s="4">
        <f>COUNTIF($AX$2:$AX$662,AX617)</f>
        <v/>
      </c>
      <c r="BB617" s="4">
        <f>COUNTIF($AY$2:$AY$662,AY617)</f>
        <v/>
      </c>
      <c r="BC617" s="3">
        <f t="array" ref="BC617">IF(N(AO617)&gt;=MIN_N,AN617,IF(BB617&gt;=MIN_N,MEDIAN(IF($AY$2:$AY$662=AY617,$O$2:$O$662)),IF(BA617&gt;=MIN_N,MEDIAN(IF($AX$2:$AX$662=AX617,$O$2:$O$662)),MEDIAN(IF($AW$2:$AW$662=AW617,$O$2:$O$662)))))</f>
        <v/>
      </c>
      <c r="BD617" s="3">
        <f>IF(N(AO617)&gt;=MIN_N,"mercado "&amp;AP617,IF(BB617&gt;=MIN_N,"modelo+año+km",IF(BA617&gt;=MIN_N,"modelo+año","modelo")))</f>
        <v/>
      </c>
      <c r="BE617" s="4">
        <f>(BC617-O617)/BC617</f>
        <v/>
      </c>
      <c r="BF617" s="3">
        <f>IF(OR(K617="hibrido",K617="glp"),"ECO",IF(K617="electrico","CERO",IF(K617="gasolina",IF(M617&gt;=GAS_C,"C",IF(M617&gt;=GAS_B,"B","A")),IF(K617="diesel",IF(M617&gt;=DIE_C,"C",IF(M617&gt;=DIE_B,"B","A")),""))))</f>
        <v/>
      </c>
      <c r="BG617" s="3">
        <f>IFERROR(VLOOKUP(F617,MOD_TBL,11,0),IFERROR(VLOOKUP(E617,OCU_TBL,2,0),NEUTRO))</f>
        <v/>
      </c>
      <c r="BH617" s="3">
        <f>SUMIFS(MOT_AJUSTE,MOT_MOTOR,G617,MOT_MARCA,E617,MOT_DESDE,"&lt;="&amp;M617,MOT_HASTA,"&gt;="&amp;M617)+SUMIFS(MOT_AJUSTE,MOT_MOTOR,G617,MOT_MARCA,"(todas)",MOT_DESDE,"&lt;="&amp;M617,MOT_HASTA,"&gt;="&amp;M617)</f>
        <v/>
      </c>
      <c r="BI617" s="3">
        <f>SUMIFS(COMB_AJUSTE,COMB_COMB,K617)</f>
        <v/>
      </c>
      <c r="BJ617" s="3">
        <f>COUNTIFS(MOT_MOTOR,G617,MOT_MARCA,E617,MOT_DESDE,"&lt;="&amp;M617,MOT_HASTA,"&gt;="&amp;M617)+COUNTIFS(MOT_MOTOR,G617,MOT_MARCA,"(todas)",MOT_DESDE,"&lt;="&amp;M617,MOT_HASTA,"&gt;="&amp;M617)</f>
        <v/>
      </c>
      <c r="BK617" s="3">
        <f>IF(AND(K617="diesel",BJ617=0),MIN(BG617,NEUTRO),BG617)</f>
        <v/>
      </c>
      <c r="BL617" s="4">
        <f>MAX(0,MIN(100,BK617+BH617+BI617))</f>
        <v/>
      </c>
      <c r="BM617" s="3">
        <f>MAX(0,MIN(100,50+BE617*PRECIO_PEND))</f>
        <v/>
      </c>
      <c r="BN617" s="3">
        <f>MAX(0,100*(1-N617/KM_MAX))</f>
        <v/>
      </c>
      <c r="BO617" s="3">
        <f>IF(AV617&lt;KMA_SOSP,IF(AA617="sí",100,KMA_PEN),IF(AV617&lt;=KMA_IDEAL_MAX,100,MAX(0,100*(KMA_CERO-AV617)/(KMA_CERO-KMA_IDEAL_MAX))))</f>
        <v/>
      </c>
      <c r="BP617" s="3">
        <f>MAX(0,MIN(100,100*(M617-ANIO_MIN)/(ANIO_ACTUAL-ANIO_MIN)))</f>
        <v/>
      </c>
      <c r="BQ617" s="3">
        <f>W_KMT*BN617+W_KMA*BO617+W_EDAD*BP617</f>
        <v/>
      </c>
      <c r="BR617" s="3">
        <f>P_ITV*(V617="sí")+P_LIBRO*(W617="sí")+P_CORREA*(X617="sí")+P_PROP*(Y617=1)+P_GAR*(Z617="sí")+P_FOTOS*MIN(1,N(U617)/FOTOS_OBJ)</f>
        <v/>
      </c>
      <c r="BS617" s="3">
        <f>IFERROR(VLOOKUP(BF617,ETQ_TBL,2,0),NEUTRO)</f>
        <v/>
      </c>
      <c r="BT617" s="3">
        <f>NEUTRO</f>
        <v/>
      </c>
      <c r="BU617" s="3">
        <f>IFERROR(VLOOKUP(L617,SEGURO_TBL,3,0),"")</f>
        <v/>
      </c>
      <c r="BV617" s="3">
        <f>IF(BU617="",NEUTRO,MAX(0,MIN(100,100*(SEG_REF_MAX-BU617)/(SEG_REF_MAX-SEG_REF_MIN))))</f>
        <v/>
      </c>
      <c r="BW617" s="3">
        <f>W_ET*BS617+W_CONS*BT617+W_SEG*BV617</f>
        <v/>
      </c>
      <c r="BX617" s="3">
        <f>IF(N(AB617)&gt;0,AB617,IF(AND(R617="profesional",SG_LEGAL_ON=1),GAR_LEGAL,0))</f>
        <v/>
      </c>
      <c r="BY617" s="3">
        <f>SG_GAR*MIN(1,BX617/SG_GAR_FULL)+SG_AMPL*(AC617="sí")+SG_KMC*(AF617="sí")+SG_REV*(N(AE617)&gt;0)+SG_DEV*MIN(1,N(AG617)/SG_DEV_FULL)+SG_HIST*(W617="sí")</f>
        <v/>
      </c>
      <c r="BZ617" s="3">
        <f>IFERROR(VLOOKUP(L617,CARR_PEN_TBL,2,0),0)</f>
        <v/>
      </c>
      <c r="CA617" s="3">
        <f>W_FIAB*BL617+W_PRECIO*BM617+W_KMEDAD*BQ617+W_ANUNCIO*BR617+W_USO*BW617+W_SEGURIDAD*BY617-BZ617</f>
        <v/>
      </c>
      <c r="CB617" s="4">
        <f>IF(N(I617)&gt;0,I617,IFERROR(ROUND(_xlfn.NUMBERVALUE(LEFT(G617,FIND(" ",G617&amp;" ")-1),".")*1000,0),99999))</f>
        <v/>
      </c>
      <c r="CC617" s="3">
        <f>IF(R617="profesional",0,IF(O617&lt;CUOTA_VALOR_MAX,IF(AU617&gt;ITP_TRAMO_ALTO,SUMIFS(CF_CUOTA,CF_MAS,ITP_TRAMO_ALTO,CF_CCMIN,"&lt;="&amp;CB617,CF_CCMAX,"&gt;="&amp;CB617),IF(AU617&gt;ITP_TRAMO_BAJO,SUMIFS(CF_CUOTA,CF_MAS,ITP_TRAMO_BAJO,CF_CCMIN,"&lt;="&amp;CB617,CF_CCMAX,"&gt;="&amp;CB617),O617*ITP_TIPO)),O617*ITP_TIPO))</f>
        <v/>
      </c>
      <c r="CD617" s="4">
        <f>IF(R617="profesional",N(AK617),0)</f>
        <v/>
      </c>
      <c r="CE617" s="3">
        <f>IF(AND(R617="profesional",ISNUMBER(AK617),AL617="sí"),0,TASA_DGT)</f>
        <v/>
      </c>
      <c r="CF617" s="3">
        <f>INFORME_DGT</f>
        <v/>
      </c>
      <c r="CG617" s="4">
        <f>O617+CD617+CC617+CE617+CF617</f>
        <v/>
      </c>
      <c r="CH617" s="4">
        <f>CG617+N(BU617)</f>
        <v/>
      </c>
      <c r="CI617" s="3">
        <f>IF(CG617&lt;=TOTAL_MAX,"sí",IF(CG617&lt;=TOTAL_MAX+MARGEN_NEG,"negociar","no"))</f>
        <v/>
      </c>
      <c r="CJ617" s="4">
        <f>IF(CI617&lt;&gt;"no",COUNTIFS($CI$2:$CI$662,"&lt;&gt;no",$CA$2:$CA$662,"&gt;"&amp;CA617)+COUNTIFS($CI$2:CI617,"&lt;&gt;no",$CA$2:CA617,CA617),"")</f>
        <v/>
      </c>
    </row>
    <row r="618">
      <c r="A618" s="2" t="inlineStr">
        <is>
          <t>cochesnet:71305630</t>
        </is>
      </c>
      <c r="B618" s="2" t="inlineStr">
        <is>
          <t>cochesnet</t>
        </is>
      </c>
      <c r="C618" s="2" t="inlineStr">
        <is>
          <t>https://www.coches.net/dacia-logan-ambiance-dci-90-eu6-4p-diesel-2016-en-castellon-71305630-covo.aspx</t>
        </is>
      </c>
      <c r="D618" s="2" t="inlineStr">
        <is>
          <t>DACIA Logan Ambiance dCi 90 EU6</t>
        </is>
      </c>
      <c r="E618" s="2" t="inlineStr">
        <is>
          <t>Dacia</t>
        </is>
      </c>
      <c r="F618" s="2" t="inlineStr">
        <is>
          <t>Dacia Logan</t>
        </is>
      </c>
      <c r="G618" s="2" t="inlineStr">
        <is>
          <t>? dCi</t>
        </is>
      </c>
      <c r="H618" s="2" t="inlineStr">
        <is>
          <t>Ambiance dCi 90 EU6</t>
        </is>
      </c>
      <c r="I618" s="2" t="n"/>
      <c r="J618" s="2" t="n"/>
      <c r="K618" s="2" t="inlineStr">
        <is>
          <t>diesel</t>
        </is>
      </c>
      <c r="L618" s="2" t="inlineStr">
        <is>
          <t>berlina</t>
        </is>
      </c>
      <c r="M618" s="2" t="n">
        <v>2016</v>
      </c>
      <c r="N618" s="2" t="n">
        <v>164800</v>
      </c>
      <c r="O618" s="2" t="n">
        <v>5000</v>
      </c>
      <c r="P618" s="2" t="inlineStr">
        <is>
          <t>manual</t>
        </is>
      </c>
      <c r="Q618" s="2" t="inlineStr">
        <is>
          <t>no</t>
        </is>
      </c>
      <c r="R618" s="2" t="inlineStr">
        <is>
          <t>particular</t>
        </is>
      </c>
      <c r="S618" s="2" t="inlineStr">
        <is>
          <t>Segorbe</t>
        </is>
      </c>
      <c r="T618" s="2" t="inlineStr">
        <is>
          <t>2026-08-19T12:31:22Z</t>
        </is>
      </c>
      <c r="U618" s="2" t="n">
        <v>22</v>
      </c>
      <c r="V618" s="2" t="inlineStr">
        <is>
          <t>sí</t>
        </is>
      </c>
      <c r="W618" s="2" t="n"/>
      <c r="X618" s="2" t="n"/>
      <c r="Y618" s="2" t="n">
        <v>1</v>
      </c>
      <c r="Z618" s="2" t="inlineStr">
        <is>
          <t>no</t>
        </is>
      </c>
      <c r="AA618" s="2" t="n"/>
      <c r="AB618" s="2" t="n"/>
      <c r="AC618" s="2" t="n"/>
      <c r="AD618" s="2" t="n"/>
      <c r="AE618" s="2" t="n"/>
      <c r="AF618" s="2" t="n"/>
      <c r="AG618" s="2" t="n"/>
      <c r="AH618" s="2" t="n">
        <v>5000</v>
      </c>
      <c r="AI618" s="2" t="n"/>
      <c r="AJ618" s="2" t="n"/>
      <c r="AK618" s="2" t="n"/>
      <c r="AL618" s="2" t="n"/>
      <c r="AM618" s="2" t="n">
        <v>43.4</v>
      </c>
      <c r="AN618" s="2" t="n">
        <v>6990</v>
      </c>
      <c r="AO618" s="2" t="n">
        <v>10</v>
      </c>
      <c r="AP618" s="2" t="inlineStr">
        <is>
          <t>modelo+año</t>
        </is>
      </c>
      <c r="AQ618" s="2" t="n"/>
      <c r="AR618" s="2" t="inlineStr">
        <is>
          <t>cilindrada desconocida: se aplica el tramo de cuota fija más alto; cuota fija ITP: &gt;5 y &lt;=12 años, más de 2.000 cc; diésel: motor sin fuente de fiabilidad (fiabilidad limitada a neutra); carrocería berlina: -4 puntos</t>
        </is>
      </c>
      <c r="AS618" s="2" t="inlineStr">
        <is>
          <t>Dacia Logan diésel – 2016 – Único propietario
Vendo Dacia Logan diésel, matriculado en 2016. Un solo propietario desde el primer día.
El coche funciona perfectamente, está al día y se encuentra listo para seguir utilizándose. La ITV está recién pasada y en vigor hasta agosto de 2027.
Es un coche muy práctico y económico, con un maletero grande y separado, ideal tanto para el día a día como para viajes.
A nivel estético tiene algún rascón y algún pequeño golpe, propios del uso y de los años, pero no afectan al funcionamiento del vehículo.
Características:
* Año: 2016
* Combustible: Diésel
* Carrocería: Berlina
* Único propietario
* ITV pasada hasta agosto de 2027
* Funciona perfectamente
* Maletero muy amplio
* Algún rascón y pequeño golpe exterior
Coche fiable, práctico y económico. Se puede ver y probar sin compromiso.
Precio: 6.000€</t>
        </is>
      </c>
      <c r="AT618" s="2" t="inlineStr">
        <is>
          <t>https://www.coches.net/dacia-logan-ambiance-dci-90-eu6-4p-diesel-2016-en-castellon-71305630-covo.aspx (window.__INITIAL_PROPS__.ad) /home/user/Alopecia/buscador-coches/raw/cochesnet/115ef62623d800bf.json</t>
        </is>
      </c>
      <c r="AU618" s="3">
        <f>MAX(ANIO_ACTUAL-M618,0)</f>
        <v/>
      </c>
      <c r="AV618" s="4">
        <f>N618/MAX(AU618,0.5)</f>
        <v/>
      </c>
      <c r="AW618" s="4">
        <f>F618</f>
        <v/>
      </c>
      <c r="AX618" s="3">
        <f>AW618&amp;"|"&amp;INT(M618/SEG_ANIO)*SEG_ANIO</f>
        <v/>
      </c>
      <c r="AY618" s="3">
        <f>AX618&amp;"|"&amp;INT(N618/SEG_KM)*SEG_KM</f>
        <v/>
      </c>
      <c r="AZ618" s="4">
        <f>COUNTIF($AW$2:$AW$662,AW618)</f>
        <v/>
      </c>
      <c r="BA618" s="4">
        <f>COUNTIF($AX$2:$AX$662,AX618)</f>
        <v/>
      </c>
      <c r="BB618" s="4">
        <f>COUNTIF($AY$2:$AY$662,AY618)</f>
        <v/>
      </c>
      <c r="BC618" s="3">
        <f t="array" ref="BC618">IF(N(AO618)&gt;=MIN_N,AN618,IF(BB618&gt;=MIN_N,MEDIAN(IF($AY$2:$AY$662=AY618,$O$2:$O$662)),IF(BA618&gt;=MIN_N,MEDIAN(IF($AX$2:$AX$662=AX618,$O$2:$O$662)),MEDIAN(IF($AW$2:$AW$662=AW618,$O$2:$O$662)))))</f>
        <v/>
      </c>
      <c r="BD618" s="3">
        <f>IF(N(AO618)&gt;=MIN_N,"mercado "&amp;AP618,IF(BB618&gt;=MIN_N,"modelo+año+km",IF(BA618&gt;=MIN_N,"modelo+año","modelo")))</f>
        <v/>
      </c>
      <c r="BE618" s="4">
        <f>(BC618-O618)/BC618</f>
        <v/>
      </c>
      <c r="BF618" s="3">
        <f>IF(OR(K618="hibrido",K618="glp"),"ECO",IF(K618="electrico","CERO",IF(K618="gasolina",IF(M618&gt;=GAS_C,"C",IF(M618&gt;=GAS_B,"B","A")),IF(K618="diesel",IF(M618&gt;=DIE_C,"C",IF(M618&gt;=DIE_B,"B","A")),""))))</f>
        <v/>
      </c>
      <c r="BG618" s="3">
        <f>IFERROR(VLOOKUP(F618,MOD_TBL,11,0),IFERROR(VLOOKUP(E618,OCU_TBL,2,0),NEUTRO))</f>
        <v/>
      </c>
      <c r="BH618" s="3">
        <f>SUMIFS(MOT_AJUSTE,MOT_MOTOR,G618,MOT_MARCA,E618,MOT_DESDE,"&lt;="&amp;M618,MOT_HASTA,"&gt;="&amp;M618)+SUMIFS(MOT_AJUSTE,MOT_MOTOR,G618,MOT_MARCA,"(todas)",MOT_DESDE,"&lt;="&amp;M618,MOT_HASTA,"&gt;="&amp;M618)</f>
        <v/>
      </c>
      <c r="BI618" s="3">
        <f>SUMIFS(COMB_AJUSTE,COMB_COMB,K618)</f>
        <v/>
      </c>
      <c r="BJ618" s="3">
        <f>COUNTIFS(MOT_MOTOR,G618,MOT_MARCA,E618,MOT_DESDE,"&lt;="&amp;M618,MOT_HASTA,"&gt;="&amp;M618)+COUNTIFS(MOT_MOTOR,G618,MOT_MARCA,"(todas)",MOT_DESDE,"&lt;="&amp;M618,MOT_HASTA,"&gt;="&amp;M618)</f>
        <v/>
      </c>
      <c r="BK618" s="3">
        <f>IF(AND(K618="diesel",BJ618=0),MIN(BG618,NEUTRO),BG618)</f>
        <v/>
      </c>
      <c r="BL618" s="4">
        <f>MAX(0,MIN(100,BK618+BH618+BI618))</f>
        <v/>
      </c>
      <c r="BM618" s="3">
        <f>MAX(0,MIN(100,50+BE618*PRECIO_PEND))</f>
        <v/>
      </c>
      <c r="BN618" s="3">
        <f>MAX(0,100*(1-N618/KM_MAX))</f>
        <v/>
      </c>
      <c r="BO618" s="3">
        <f>IF(AV618&lt;KMA_SOSP,IF(AA618="sí",100,KMA_PEN),IF(AV618&lt;=KMA_IDEAL_MAX,100,MAX(0,100*(KMA_CERO-AV618)/(KMA_CERO-KMA_IDEAL_MAX))))</f>
        <v/>
      </c>
      <c r="BP618" s="3">
        <f>MAX(0,MIN(100,100*(M618-ANIO_MIN)/(ANIO_ACTUAL-ANIO_MIN)))</f>
        <v/>
      </c>
      <c r="BQ618" s="3">
        <f>W_KMT*BN618+W_KMA*BO618+W_EDAD*BP618</f>
        <v/>
      </c>
      <c r="BR618" s="3">
        <f>P_ITV*(V618="sí")+P_LIBRO*(W618="sí")+P_CORREA*(X618="sí")+P_PROP*(Y618=1)+P_GAR*(Z618="sí")+P_FOTOS*MIN(1,N(U618)/FOTOS_OBJ)</f>
        <v/>
      </c>
      <c r="BS618" s="3">
        <f>IFERROR(VLOOKUP(BF618,ETQ_TBL,2,0),NEUTRO)</f>
        <v/>
      </c>
      <c r="BT618" s="3">
        <f>NEUTRO</f>
        <v/>
      </c>
      <c r="BU618" s="3">
        <f>IFERROR(VLOOKUP(L618,SEGURO_TBL,3,0),"")</f>
        <v/>
      </c>
      <c r="BV618" s="3">
        <f>IF(BU618="",NEUTRO,MAX(0,MIN(100,100*(SEG_REF_MAX-BU618)/(SEG_REF_MAX-SEG_REF_MIN))))</f>
        <v/>
      </c>
      <c r="BW618" s="3">
        <f>W_ET*BS618+W_CONS*BT618+W_SEG*BV618</f>
        <v/>
      </c>
      <c r="BX618" s="3">
        <f>IF(N(AB618)&gt;0,AB618,IF(AND(R618="profesional",SG_LEGAL_ON=1),GAR_LEGAL,0))</f>
        <v/>
      </c>
      <c r="BY618" s="3">
        <f>SG_GAR*MIN(1,BX618/SG_GAR_FULL)+SG_AMPL*(AC618="sí")+SG_KMC*(AF618="sí")+SG_REV*(N(AE618)&gt;0)+SG_DEV*MIN(1,N(AG618)/SG_DEV_FULL)+SG_HIST*(W618="sí")</f>
        <v/>
      </c>
      <c r="BZ618" s="3">
        <f>IFERROR(VLOOKUP(L618,CARR_PEN_TBL,2,0),0)</f>
        <v/>
      </c>
      <c r="CA618" s="3">
        <f>W_FIAB*BL618+W_PRECIO*BM618+W_KMEDAD*BQ618+W_ANUNCIO*BR618+W_USO*BW618+W_SEGURIDAD*BY618-BZ618</f>
        <v/>
      </c>
      <c r="CB618" s="4">
        <f>IF(N(I618)&gt;0,I618,IFERROR(ROUND(_xlfn.NUMBERVALUE(LEFT(G618,FIND(" ",G618&amp;" ")-1),".")*1000,0),99999))</f>
        <v/>
      </c>
      <c r="CC618" s="3">
        <f>IF(R618="profesional",0,IF(O618&lt;CUOTA_VALOR_MAX,IF(AU618&gt;ITP_TRAMO_ALTO,SUMIFS(CF_CUOTA,CF_MAS,ITP_TRAMO_ALTO,CF_CCMIN,"&lt;="&amp;CB618,CF_CCMAX,"&gt;="&amp;CB618),IF(AU618&gt;ITP_TRAMO_BAJO,SUMIFS(CF_CUOTA,CF_MAS,ITP_TRAMO_BAJO,CF_CCMIN,"&lt;="&amp;CB618,CF_CCMAX,"&gt;="&amp;CB618),O618*ITP_TIPO)),O618*ITP_TIPO))</f>
        <v/>
      </c>
      <c r="CD618" s="4">
        <f>IF(R618="profesional",N(AK618),0)</f>
        <v/>
      </c>
      <c r="CE618" s="3">
        <f>IF(AND(R618="profesional",ISNUMBER(AK618),AL618="sí"),0,TASA_DGT)</f>
        <v/>
      </c>
      <c r="CF618" s="3">
        <f>INFORME_DGT</f>
        <v/>
      </c>
      <c r="CG618" s="4">
        <f>O618+CD618+CC618+CE618+CF618</f>
        <v/>
      </c>
      <c r="CH618" s="4">
        <f>CG618+N(BU618)</f>
        <v/>
      </c>
      <c r="CI618" s="3">
        <f>IF(CG618&lt;=TOTAL_MAX,"sí",IF(CG618&lt;=TOTAL_MAX+MARGEN_NEG,"negociar","no"))</f>
        <v/>
      </c>
      <c r="CJ618" s="4">
        <f>IF(CI618&lt;&gt;"no",COUNTIFS($CI$2:$CI$662,"&lt;&gt;no",$CA$2:$CA$662,"&gt;"&amp;CA618)+COUNTIFS($CI$2:CI618,"&lt;&gt;no",$CA$2:CA618,CA618),"")</f>
        <v/>
      </c>
    </row>
    <row r="619">
      <c r="A619" s="2" t="inlineStr">
        <is>
          <t>cochesnet:71299528</t>
        </is>
      </c>
      <c r="B619" s="2" t="inlineStr">
        <is>
          <t>cochesnet</t>
        </is>
      </c>
      <c r="C619" s="2" t="inlineStr">
        <is>
          <t>https://www.coches.net/dacia-sandero-laureate-12-16v-75cv-5p-gasolina-2009-en-castellon-71299528-covo.aspx</t>
        </is>
      </c>
      <c r="D619" s="2" t="inlineStr">
        <is>
          <t>DACIA Sandero Laureate 1.2 16v</t>
        </is>
      </c>
      <c r="E619" s="2" t="inlineStr">
        <is>
          <t>Dacia</t>
        </is>
      </c>
      <c r="F619" s="2" t="inlineStr">
        <is>
          <t>Dacia Sandero</t>
        </is>
      </c>
      <c r="G619" s="2" t="inlineStr">
        <is>
          <t>1.2</t>
        </is>
      </c>
      <c r="H619" s="2" t="inlineStr">
        <is>
          <t>Laureate 1.2 16v 75cv</t>
        </is>
      </c>
      <c r="I619" s="2" t="n"/>
      <c r="J619" s="2" t="n">
        <v>75</v>
      </c>
      <c r="K619" s="2" t="inlineStr">
        <is>
          <t>gasolina</t>
        </is>
      </c>
      <c r="L619" s="2" t="inlineStr">
        <is>
          <t>utilitario</t>
        </is>
      </c>
      <c r="M619" s="2" t="n">
        <v>2009</v>
      </c>
      <c r="N619" s="2" t="n">
        <v>192804</v>
      </c>
      <c r="O619" s="2" t="n">
        <v>2750</v>
      </c>
      <c r="P619" s="2" t="inlineStr">
        <is>
          <t>manual</t>
        </is>
      </c>
      <c r="Q619" s="2" t="inlineStr">
        <is>
          <t>no</t>
        </is>
      </c>
      <c r="R619" s="2" t="inlineStr">
        <is>
          <t>particular</t>
        </is>
      </c>
      <c r="S619" s="2" t="inlineStr">
        <is>
          <t>Castellón de la Plana / Castelló de la Plana</t>
        </is>
      </c>
      <c r="T619" s="2" t="inlineStr">
        <is>
          <t>2026-08-15T21:37:00Z</t>
        </is>
      </c>
      <c r="U619" s="2" t="n">
        <v>7</v>
      </c>
      <c r="V619" s="2" t="n"/>
      <c r="W619" s="2" t="n"/>
      <c r="X619" s="2" t="n"/>
      <c r="Y619" s="2" t="n"/>
      <c r="Z619" s="2" t="inlineStr">
        <is>
          <t>no</t>
        </is>
      </c>
      <c r="AA619" s="2" t="n"/>
      <c r="AB619" s="2" t="n"/>
      <c r="AC619" s="2" t="n"/>
      <c r="AD619" s="2" t="n"/>
      <c r="AE619" s="2" t="n"/>
      <c r="AF619" s="2" t="n"/>
      <c r="AG619" s="2" t="n"/>
      <c r="AH619" s="2" t="n">
        <v>2750</v>
      </c>
      <c r="AI619" s="2" t="n"/>
      <c r="AJ619" s="2" t="n"/>
      <c r="AK619" s="2" t="n"/>
      <c r="AL619" s="2" t="n"/>
      <c r="AM619" s="2" t="n"/>
      <c r="AN619" s="2" t="n">
        <v>3225</v>
      </c>
      <c r="AO619" s="2" t="n">
        <v>4</v>
      </c>
      <c r="AP619" s="2" t="inlineStr">
        <is>
          <t>modelo+año+km</t>
        </is>
      </c>
      <c r="AQ619" s="2" t="n"/>
      <c r="AR619" s="2" t="inlineStr">
        <is>
          <t>cuota fija ITP: &gt;12 años, hasta 1.500 cc; distancia no verificable (el anuncio solo indica la provincia): confirmar que está a &lt;= 70 km</t>
        </is>
      </c>
      <c r="AS619" s="2" t="inlineStr"/>
      <c r="AT619" s="2" t="inlineStr">
        <is>
          <t>https://www.coches.net/dacia-sandero-laureate-12-16v-75cv-5p-gasolina-2009-en-castellon-71299528-covo.aspx (window.__INITIAL_PROPS__.ad) /home/user/Alopecia/buscador-coches/raw/cochesnet/0b6df450978104e3.json</t>
        </is>
      </c>
      <c r="AU619" s="3">
        <f>MAX(ANIO_ACTUAL-M619,0)</f>
        <v/>
      </c>
      <c r="AV619" s="4">
        <f>N619/MAX(AU619,0.5)</f>
        <v/>
      </c>
      <c r="AW619" s="4">
        <f>F619</f>
        <v/>
      </c>
      <c r="AX619" s="3">
        <f>AW619&amp;"|"&amp;INT(M619/SEG_ANIO)*SEG_ANIO</f>
        <v/>
      </c>
      <c r="AY619" s="3">
        <f>AX619&amp;"|"&amp;INT(N619/SEG_KM)*SEG_KM</f>
        <v/>
      </c>
      <c r="AZ619" s="4">
        <f>COUNTIF($AW$2:$AW$662,AW619)</f>
        <v/>
      </c>
      <c r="BA619" s="4">
        <f>COUNTIF($AX$2:$AX$662,AX619)</f>
        <v/>
      </c>
      <c r="BB619" s="4">
        <f>COUNTIF($AY$2:$AY$662,AY619)</f>
        <v/>
      </c>
      <c r="BC619" s="3">
        <f t="array" ref="BC619">IF(N(AO619)&gt;=MIN_N,AN619,IF(BB619&gt;=MIN_N,MEDIAN(IF($AY$2:$AY$662=AY619,$O$2:$O$662)),IF(BA619&gt;=MIN_N,MEDIAN(IF($AX$2:$AX$662=AX619,$O$2:$O$662)),MEDIAN(IF($AW$2:$AW$662=AW619,$O$2:$O$662)))))</f>
        <v/>
      </c>
      <c r="BD619" s="3">
        <f>IF(N(AO619)&gt;=MIN_N,"mercado "&amp;AP619,IF(BB619&gt;=MIN_N,"modelo+año+km",IF(BA619&gt;=MIN_N,"modelo+año","modelo")))</f>
        <v/>
      </c>
      <c r="BE619" s="4">
        <f>(BC619-O619)/BC619</f>
        <v/>
      </c>
      <c r="BF619" s="3">
        <f>IF(OR(K619="hibrido",K619="glp"),"ECO",IF(K619="electrico","CERO",IF(K619="gasolina",IF(M619&gt;=GAS_C,"C",IF(M619&gt;=GAS_B,"B","A")),IF(K619="diesel",IF(M619&gt;=DIE_C,"C",IF(M619&gt;=DIE_B,"B","A")),""))))</f>
        <v/>
      </c>
      <c r="BG619" s="3">
        <f>IFERROR(VLOOKUP(F619,MOD_TBL,11,0),IFERROR(VLOOKUP(E619,OCU_TBL,2,0),NEUTRO))</f>
        <v/>
      </c>
      <c r="BH619" s="3">
        <f>SUMIFS(MOT_AJUSTE,MOT_MOTOR,G619,MOT_MARCA,E619,MOT_DESDE,"&lt;="&amp;M619,MOT_HASTA,"&gt;="&amp;M619)+SUMIFS(MOT_AJUSTE,MOT_MOTOR,G619,MOT_MARCA,"(todas)",MOT_DESDE,"&lt;="&amp;M619,MOT_HASTA,"&gt;="&amp;M619)</f>
        <v/>
      </c>
      <c r="BI619" s="3">
        <f>SUMIFS(COMB_AJUSTE,COMB_COMB,K619)</f>
        <v/>
      </c>
      <c r="BJ619" s="3">
        <f>COUNTIFS(MOT_MOTOR,G619,MOT_MARCA,E619,MOT_DESDE,"&lt;="&amp;M619,MOT_HASTA,"&gt;="&amp;M619)+COUNTIFS(MOT_MOTOR,G619,MOT_MARCA,"(todas)",MOT_DESDE,"&lt;="&amp;M619,MOT_HASTA,"&gt;="&amp;M619)</f>
        <v/>
      </c>
      <c r="BK619" s="3">
        <f>IF(AND(K619="diesel",BJ619=0),MIN(BG619,NEUTRO),BG619)</f>
        <v/>
      </c>
      <c r="BL619" s="4">
        <f>MAX(0,MIN(100,BK619+BH619+BI619))</f>
        <v/>
      </c>
      <c r="BM619" s="3">
        <f>MAX(0,MIN(100,50+BE619*PRECIO_PEND))</f>
        <v/>
      </c>
      <c r="BN619" s="3">
        <f>MAX(0,100*(1-N619/KM_MAX))</f>
        <v/>
      </c>
      <c r="BO619" s="3">
        <f>IF(AV619&lt;KMA_SOSP,IF(AA619="sí",100,KMA_PEN),IF(AV619&lt;=KMA_IDEAL_MAX,100,MAX(0,100*(KMA_CERO-AV619)/(KMA_CERO-KMA_IDEAL_MAX))))</f>
        <v/>
      </c>
      <c r="BP619" s="3">
        <f>MAX(0,MIN(100,100*(M619-ANIO_MIN)/(ANIO_ACTUAL-ANIO_MIN)))</f>
        <v/>
      </c>
      <c r="BQ619" s="3">
        <f>W_KMT*BN619+W_KMA*BO619+W_EDAD*BP619</f>
        <v/>
      </c>
      <c r="BR619" s="3">
        <f>P_ITV*(V619="sí")+P_LIBRO*(W619="sí")+P_CORREA*(X619="sí")+P_PROP*(Y619=1)+P_GAR*(Z619="sí")+P_FOTOS*MIN(1,N(U619)/FOTOS_OBJ)</f>
        <v/>
      </c>
      <c r="BS619" s="3">
        <f>IFERROR(VLOOKUP(BF619,ETQ_TBL,2,0),NEUTRO)</f>
        <v/>
      </c>
      <c r="BT619" s="3">
        <f>NEUTRO</f>
        <v/>
      </c>
      <c r="BU619" s="3">
        <f>IFERROR(VLOOKUP(L619,SEGURO_TBL,3,0),"")</f>
        <v/>
      </c>
      <c r="BV619" s="3">
        <f>IF(BU619="",NEUTRO,MAX(0,MIN(100,100*(SEG_REF_MAX-BU619)/(SEG_REF_MAX-SEG_REF_MIN))))</f>
        <v/>
      </c>
      <c r="BW619" s="3">
        <f>W_ET*BS619+W_CONS*BT619+W_SEG*BV619</f>
        <v/>
      </c>
      <c r="BX619" s="3">
        <f>IF(N(AB619)&gt;0,AB619,IF(AND(R619="profesional",SG_LEGAL_ON=1),GAR_LEGAL,0))</f>
        <v/>
      </c>
      <c r="BY619" s="3">
        <f>SG_GAR*MIN(1,BX619/SG_GAR_FULL)+SG_AMPL*(AC619="sí")+SG_KMC*(AF619="sí")+SG_REV*(N(AE619)&gt;0)+SG_DEV*MIN(1,N(AG619)/SG_DEV_FULL)+SG_HIST*(W619="sí")</f>
        <v/>
      </c>
      <c r="BZ619" s="3">
        <f>IFERROR(VLOOKUP(L619,CARR_PEN_TBL,2,0),0)</f>
        <v/>
      </c>
      <c r="CA619" s="3">
        <f>W_FIAB*BL619+W_PRECIO*BM619+W_KMEDAD*BQ619+W_ANUNCIO*BR619+W_USO*BW619+W_SEGURIDAD*BY619-BZ619</f>
        <v/>
      </c>
      <c r="CB619" s="4">
        <f>IF(N(I619)&gt;0,I619,IFERROR(ROUND(_xlfn.NUMBERVALUE(LEFT(G619,FIND(" ",G619&amp;" ")-1),".")*1000,0),99999))</f>
        <v/>
      </c>
      <c r="CC619" s="3">
        <f>IF(R619="profesional",0,IF(O619&lt;CUOTA_VALOR_MAX,IF(AU619&gt;ITP_TRAMO_ALTO,SUMIFS(CF_CUOTA,CF_MAS,ITP_TRAMO_ALTO,CF_CCMIN,"&lt;="&amp;CB619,CF_CCMAX,"&gt;="&amp;CB619),IF(AU619&gt;ITP_TRAMO_BAJO,SUMIFS(CF_CUOTA,CF_MAS,ITP_TRAMO_BAJO,CF_CCMIN,"&lt;="&amp;CB619,CF_CCMAX,"&gt;="&amp;CB619),O619*ITP_TIPO)),O619*ITP_TIPO))</f>
        <v/>
      </c>
      <c r="CD619" s="4">
        <f>IF(R619="profesional",N(AK619),0)</f>
        <v/>
      </c>
      <c r="CE619" s="3">
        <f>IF(AND(R619="profesional",ISNUMBER(AK619),AL619="sí"),0,TASA_DGT)</f>
        <v/>
      </c>
      <c r="CF619" s="3">
        <f>INFORME_DGT</f>
        <v/>
      </c>
      <c r="CG619" s="4">
        <f>O619+CD619+CC619+CE619+CF619</f>
        <v/>
      </c>
      <c r="CH619" s="4">
        <f>CG619+N(BU619)</f>
        <v/>
      </c>
      <c r="CI619" s="3">
        <f>IF(CG619&lt;=TOTAL_MAX,"sí",IF(CG619&lt;=TOTAL_MAX+MARGEN_NEG,"negociar","no"))</f>
        <v/>
      </c>
      <c r="CJ619" s="4">
        <f>IF(CI619&lt;&gt;"no",COUNTIFS($CI$2:$CI$662,"&lt;&gt;no",$CA$2:$CA$662,"&gt;"&amp;CA619)+COUNTIFS($CI$2:CI619,"&lt;&gt;no",$CA$2:CA619,CA619),"")</f>
        <v/>
      </c>
    </row>
    <row r="620">
      <c r="A620" s="2" t="inlineStr">
        <is>
          <t>cochesnet:71576158</t>
        </is>
      </c>
      <c r="B620" s="2" t="inlineStr">
        <is>
          <t>cochesnet</t>
        </is>
      </c>
      <c r="C620" s="2" t="inlineStr">
        <is>
          <t>https://www.coches.net/peugeot-207-confort-14-vti-16v-95-5p-gasolina-2009-en-castellon-71576158-covo.aspx</t>
        </is>
      </c>
      <c r="D620" s="2" t="inlineStr">
        <is>
          <t>PEUGEOT 207 Confort 1.4 VTi 16v 95</t>
        </is>
      </c>
      <c r="E620" s="2" t="inlineStr">
        <is>
          <t>Peugeot</t>
        </is>
      </c>
      <c r="F620" s="2" t="inlineStr">
        <is>
          <t>Peugeot 207</t>
        </is>
      </c>
      <c r="G620" s="2" t="inlineStr">
        <is>
          <t>1.4 VTi</t>
        </is>
      </c>
      <c r="H620" s="2" t="inlineStr">
        <is>
          <t>Confort 1.4 VTi 16v 95</t>
        </is>
      </c>
      <c r="I620" s="2" t="n"/>
      <c r="J620" s="2" t="n"/>
      <c r="K620" s="2" t="inlineStr">
        <is>
          <t>gasolina</t>
        </is>
      </c>
      <c r="L620" s="2" t="inlineStr">
        <is>
          <t>utilitario</t>
        </is>
      </c>
      <c r="M620" s="2" t="n">
        <v>2009</v>
      </c>
      <c r="N620" s="2" t="n">
        <v>134000</v>
      </c>
      <c r="O620" s="2" t="n">
        <v>4990</v>
      </c>
      <c r="P620" s="2" t="inlineStr">
        <is>
          <t>manual</t>
        </is>
      </c>
      <c r="Q620" s="2" t="inlineStr">
        <is>
          <t>no</t>
        </is>
      </c>
      <c r="R620" s="2" t="inlineStr">
        <is>
          <t>profesional</t>
        </is>
      </c>
      <c r="S620" s="2" t="inlineStr">
        <is>
          <t>Car Point Castellon Castellón de la Plana / Castelló de la Plana</t>
        </is>
      </c>
      <c r="T620" s="2" t="inlineStr">
        <is>
          <t>2026-09-22T22:04:09Z</t>
        </is>
      </c>
      <c r="U620" s="2" t="n">
        <v>13</v>
      </c>
      <c r="V620" s="2" t="n"/>
      <c r="W620" s="2" t="n"/>
      <c r="X620" s="2" t="n"/>
      <c r="Y620" s="2" t="n">
        <v>2</v>
      </c>
      <c r="Z620" s="2" t="inlineStr">
        <is>
          <t>sí</t>
        </is>
      </c>
      <c r="AA620" s="2" t="inlineStr">
        <is>
          <t>sí</t>
        </is>
      </c>
      <c r="AB620" s="2" t="n">
        <v>12</v>
      </c>
      <c r="AC620" s="2" t="n"/>
      <c r="AD620" s="2" t="n"/>
      <c r="AE620" s="2" t="n"/>
      <c r="AF620" s="2" t="inlineStr">
        <is>
          <t>sí</t>
        </is>
      </c>
      <c r="AG620" s="2" t="n"/>
      <c r="AH620" s="2" t="n">
        <v>4990</v>
      </c>
      <c r="AI620" s="2" t="n">
        <v>4990</v>
      </c>
      <c r="AJ620" s="2" t="n"/>
      <c r="AK620" s="2" t="n"/>
      <c r="AL620" s="2" t="n"/>
      <c r="AM620" s="2" t="n"/>
      <c r="AN620" s="2" t="n">
        <v>3550</v>
      </c>
      <c r="AO620" s="2" t="n">
        <v>30</v>
      </c>
      <c r="AP620" s="2" t="inlineStr">
        <is>
          <t>modelo+año+km</t>
        </is>
      </c>
      <c r="AQ620" s="2" t="n"/>
      <c r="AR620" s="2" t="inlineStr">
        <is>
          <t>por encima del presupuesto (5054 €),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20" s="2" t="inlineStr">
        <is>
          <t>PEUGEOT 207 1.4 16V GASOLINA 95 CV
ETIQUETA C
SOLO 134.000 KMS
2 PROPIETARIOS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AT620" s="2" t="inlineStr">
        <is>
          <t>https://www.coches.net/peugeot-207-confort-14-vti-16v-95-5p-gasolina-2009-en-castellon-71576158-covo.aspx (window.__INITIAL_PROPS__.ad) /home/user/Alopecia/buscador-coches/raw/cochesnet/69ad177154c860d3.json</t>
        </is>
      </c>
      <c r="AU620" s="3">
        <f>MAX(ANIO_ACTUAL-M620,0)</f>
        <v/>
      </c>
      <c r="AV620" s="4">
        <f>N620/MAX(AU620,0.5)</f>
        <v/>
      </c>
      <c r="AW620" s="4">
        <f>F620</f>
        <v/>
      </c>
      <c r="AX620" s="3">
        <f>AW620&amp;"|"&amp;INT(M620/SEG_ANIO)*SEG_ANIO</f>
        <v/>
      </c>
      <c r="AY620" s="3">
        <f>AX620&amp;"|"&amp;INT(N620/SEG_KM)*SEG_KM</f>
        <v/>
      </c>
      <c r="AZ620" s="4">
        <f>COUNTIF($AW$2:$AW$662,AW620)</f>
        <v/>
      </c>
      <c r="BA620" s="4">
        <f>COUNTIF($AX$2:$AX$662,AX620)</f>
        <v/>
      </c>
      <c r="BB620" s="4">
        <f>COUNTIF($AY$2:$AY$662,AY620)</f>
        <v/>
      </c>
      <c r="BC620" s="3">
        <f t="array" ref="BC620">IF(N(AO620)&gt;=MIN_N,AN620,IF(BB620&gt;=MIN_N,MEDIAN(IF($AY$2:$AY$662=AY620,$O$2:$O$662)),IF(BA620&gt;=MIN_N,MEDIAN(IF($AX$2:$AX$662=AX620,$O$2:$O$662)),MEDIAN(IF($AW$2:$AW$662=AW620,$O$2:$O$662)))))</f>
        <v/>
      </c>
      <c r="BD620" s="3">
        <f>IF(N(AO620)&gt;=MIN_N,"mercado "&amp;AP620,IF(BB620&gt;=MIN_N,"modelo+año+km",IF(BA620&gt;=MIN_N,"modelo+año","modelo")))</f>
        <v/>
      </c>
      <c r="BE620" s="4">
        <f>(BC620-O620)/BC620</f>
        <v/>
      </c>
      <c r="BF620" s="3">
        <f>IF(OR(K620="hibrido",K620="glp"),"ECO",IF(K620="electrico","CERO",IF(K620="gasolina",IF(M620&gt;=GAS_C,"C",IF(M620&gt;=GAS_B,"B","A")),IF(K620="diesel",IF(M620&gt;=DIE_C,"C",IF(M620&gt;=DIE_B,"B","A")),""))))</f>
        <v/>
      </c>
      <c r="BG620" s="3">
        <f>IFERROR(VLOOKUP(F620,MOD_TBL,11,0),IFERROR(VLOOKUP(E620,OCU_TBL,2,0),NEUTRO))</f>
        <v/>
      </c>
      <c r="BH620" s="3">
        <f>SUMIFS(MOT_AJUSTE,MOT_MOTOR,G620,MOT_MARCA,E620,MOT_DESDE,"&lt;="&amp;M620,MOT_HASTA,"&gt;="&amp;M620)+SUMIFS(MOT_AJUSTE,MOT_MOTOR,G620,MOT_MARCA,"(todas)",MOT_DESDE,"&lt;="&amp;M620,MOT_HASTA,"&gt;="&amp;M620)</f>
        <v/>
      </c>
      <c r="BI620" s="3">
        <f>SUMIFS(COMB_AJUSTE,COMB_COMB,K620)</f>
        <v/>
      </c>
      <c r="BJ620" s="3">
        <f>COUNTIFS(MOT_MOTOR,G620,MOT_MARCA,E620,MOT_DESDE,"&lt;="&amp;M620,MOT_HASTA,"&gt;="&amp;M620)+COUNTIFS(MOT_MOTOR,G620,MOT_MARCA,"(todas)",MOT_DESDE,"&lt;="&amp;M620,MOT_HASTA,"&gt;="&amp;M620)</f>
        <v/>
      </c>
      <c r="BK620" s="3">
        <f>IF(AND(K620="diesel",BJ620=0),MIN(BG620,NEUTRO),BG620)</f>
        <v/>
      </c>
      <c r="BL620" s="4">
        <f>MAX(0,MIN(100,BK620+BH620+BI620))</f>
        <v/>
      </c>
      <c r="BM620" s="3">
        <f>MAX(0,MIN(100,50+BE620*PRECIO_PEND))</f>
        <v/>
      </c>
      <c r="BN620" s="3">
        <f>MAX(0,100*(1-N620/KM_MAX))</f>
        <v/>
      </c>
      <c r="BO620" s="3">
        <f>IF(AV620&lt;KMA_SOSP,IF(AA620="sí",100,KMA_PEN),IF(AV620&lt;=KMA_IDEAL_MAX,100,MAX(0,100*(KMA_CERO-AV620)/(KMA_CERO-KMA_IDEAL_MAX))))</f>
        <v/>
      </c>
      <c r="BP620" s="3">
        <f>MAX(0,MIN(100,100*(M620-ANIO_MIN)/(ANIO_ACTUAL-ANIO_MIN)))</f>
        <v/>
      </c>
      <c r="BQ620" s="3">
        <f>W_KMT*BN620+W_KMA*BO620+W_EDAD*BP620</f>
        <v/>
      </c>
      <c r="BR620" s="3">
        <f>P_ITV*(V620="sí")+P_LIBRO*(W620="sí")+P_CORREA*(X620="sí")+P_PROP*(Y620=1)+P_GAR*(Z620="sí")+P_FOTOS*MIN(1,N(U620)/FOTOS_OBJ)</f>
        <v/>
      </c>
      <c r="BS620" s="3">
        <f>IFERROR(VLOOKUP(BF620,ETQ_TBL,2,0),NEUTRO)</f>
        <v/>
      </c>
      <c r="BT620" s="3">
        <f>NEUTRO</f>
        <v/>
      </c>
      <c r="BU620" s="3">
        <f>IFERROR(VLOOKUP(L620,SEGURO_TBL,3,0),"")</f>
        <v/>
      </c>
      <c r="BV620" s="3">
        <f>IF(BU620="",NEUTRO,MAX(0,MIN(100,100*(SEG_REF_MAX-BU620)/(SEG_REF_MAX-SEG_REF_MIN))))</f>
        <v/>
      </c>
      <c r="BW620" s="3">
        <f>W_ET*BS620+W_CONS*BT620+W_SEG*BV620</f>
        <v/>
      </c>
      <c r="BX620" s="3">
        <f>IF(N(AB620)&gt;0,AB620,IF(AND(R620="profesional",SG_LEGAL_ON=1),GAR_LEGAL,0))</f>
        <v/>
      </c>
      <c r="BY620" s="3">
        <f>SG_GAR*MIN(1,BX620/SG_GAR_FULL)+SG_AMPL*(AC620="sí")+SG_KMC*(AF620="sí")+SG_REV*(N(AE620)&gt;0)+SG_DEV*MIN(1,N(AG620)/SG_DEV_FULL)+SG_HIST*(W620="sí")</f>
        <v/>
      </c>
      <c r="BZ620" s="3">
        <f>IFERROR(VLOOKUP(L620,CARR_PEN_TBL,2,0),0)</f>
        <v/>
      </c>
      <c r="CA620" s="3">
        <f>W_FIAB*BL620+W_PRECIO*BM620+W_KMEDAD*BQ620+W_ANUNCIO*BR620+W_USO*BW620+W_SEGURIDAD*BY620-BZ620</f>
        <v/>
      </c>
      <c r="CB620" s="4">
        <f>IF(N(I620)&gt;0,I620,IFERROR(ROUND(_xlfn.NUMBERVALUE(LEFT(G620,FIND(" ",G620&amp;" ")-1),".")*1000,0),99999))</f>
        <v/>
      </c>
      <c r="CC620" s="3">
        <f>IF(R620="profesional",0,IF(O620&lt;CUOTA_VALOR_MAX,IF(AU620&gt;ITP_TRAMO_ALTO,SUMIFS(CF_CUOTA,CF_MAS,ITP_TRAMO_ALTO,CF_CCMIN,"&lt;="&amp;CB620,CF_CCMAX,"&gt;="&amp;CB620),IF(AU620&gt;ITP_TRAMO_BAJO,SUMIFS(CF_CUOTA,CF_MAS,ITP_TRAMO_BAJO,CF_CCMIN,"&lt;="&amp;CB620,CF_CCMAX,"&gt;="&amp;CB620),O620*ITP_TIPO)),O620*ITP_TIPO))</f>
        <v/>
      </c>
      <c r="CD620" s="4">
        <f>IF(R620="profesional",N(AK620),0)</f>
        <v/>
      </c>
      <c r="CE620" s="3">
        <f>IF(AND(R620="profesional",ISNUMBER(AK620),AL620="sí"),0,TASA_DGT)</f>
        <v/>
      </c>
      <c r="CF620" s="3">
        <f>INFORME_DGT</f>
        <v/>
      </c>
      <c r="CG620" s="4">
        <f>O620+CD620+CC620+CE620+CF620</f>
        <v/>
      </c>
      <c r="CH620" s="4">
        <f>CG620+N(BU620)</f>
        <v/>
      </c>
      <c r="CI620" s="3">
        <f>IF(CG620&lt;=TOTAL_MAX,"sí",IF(CG620&lt;=TOTAL_MAX+MARGEN_NEG,"negociar","no"))</f>
        <v/>
      </c>
      <c r="CJ620" s="4">
        <f>IF(CI620&lt;&gt;"no",COUNTIFS($CI$2:$CI$662,"&lt;&gt;no",$CA$2:$CA$662,"&gt;"&amp;CA620)+COUNTIFS($CI$2:CI620,"&lt;&gt;no",$CA$2:CA620,CA620),"")</f>
        <v/>
      </c>
    </row>
    <row r="621">
      <c r="A621" s="2" t="inlineStr">
        <is>
          <t>cochesnet:71790338</t>
        </is>
      </c>
      <c r="B621" s="2" t="inlineStr">
        <is>
          <t>cochesnet</t>
        </is>
      </c>
      <c r="C621" s="2" t="inlineStr">
        <is>
          <t>https://www.coches.net/peugeot-207-14-hdi-xline-5p-diesel-2006-en-castellon-71790338-covo.aspx</t>
        </is>
      </c>
      <c r="D621" s="2" t="inlineStr">
        <is>
          <t>PEUGEOT 207 1.4 HDI XLine</t>
        </is>
      </c>
      <c r="E621" s="2" t="inlineStr">
        <is>
          <t>Peugeot</t>
        </is>
      </c>
      <c r="F621" s="2" t="inlineStr">
        <is>
          <t>Peugeot 207</t>
        </is>
      </c>
      <c r="G621" s="2" t="inlineStr">
        <is>
          <t>1.4 HDi</t>
        </is>
      </c>
      <c r="H621" s="2" t="inlineStr">
        <is>
          <t>1.4 HDI XLine</t>
        </is>
      </c>
      <c r="I621" s="2" t="n"/>
      <c r="J621" s="2" t="n"/>
      <c r="K621" s="2" t="inlineStr">
        <is>
          <t>diesel</t>
        </is>
      </c>
      <c r="L621" s="2" t="inlineStr">
        <is>
          <t>utilitario</t>
        </is>
      </c>
      <c r="M621" s="2" t="n">
        <v>2007</v>
      </c>
      <c r="N621" s="2" t="n">
        <v>113000</v>
      </c>
      <c r="O621" s="2" t="n">
        <v>4550</v>
      </c>
      <c r="P621" s="2" t="inlineStr">
        <is>
          <t>manual</t>
        </is>
      </c>
      <c r="Q621" s="2" t="inlineStr">
        <is>
          <t>no</t>
        </is>
      </c>
      <c r="R621" s="2" t="inlineStr">
        <is>
          <t>profesional</t>
        </is>
      </c>
      <c r="S621" s="2" t="inlineStr">
        <is>
          <t>Automoviles Llorens  Almazora</t>
        </is>
      </c>
      <c r="T621" s="2" t="inlineStr">
        <is>
          <t>2026-10-20T13:31:19Z</t>
        </is>
      </c>
      <c r="U621" s="2" t="n">
        <v>15</v>
      </c>
      <c r="V621" s="2" t="n"/>
      <c r="W621" s="2" t="n"/>
      <c r="X621" s="2" t="n"/>
      <c r="Y621" s="2" t="n"/>
      <c r="Z621" s="2" t="inlineStr">
        <is>
          <t>sí</t>
        </is>
      </c>
      <c r="AA621" s="2" t="n"/>
      <c r="AB621" s="2" t="n">
        <v>12</v>
      </c>
      <c r="AC621" s="2" t="n"/>
      <c r="AD621" s="2" t="n"/>
      <c r="AE621" s="2" t="n"/>
      <c r="AF621" s="2" t="n"/>
      <c r="AG621" s="2" t="n"/>
      <c r="AH621" s="2" t="n">
        <v>4550</v>
      </c>
      <c r="AI621" s="2" t="n"/>
      <c r="AJ621" s="2" t="n"/>
      <c r="AK621" s="2" t="n"/>
      <c r="AL621" s="2" t="n"/>
      <c r="AM621" s="2" t="n"/>
      <c r="AN621" s="2" t="n">
        <v>3550</v>
      </c>
      <c r="AO621" s="2" t="n">
        <v>30</v>
      </c>
      <c r="AP621" s="2" t="inlineStr">
        <is>
          <t>modelo+año+km</t>
        </is>
      </c>
      <c r="AQ621" s="2" t="n"/>
      <c r="AR621"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21" s="2" t="inlineStr">
        <is>
          <t>Este Peugeot 207 1.4 HDI X-Line combina practicidad diaria con equipamiento multimedia completo: seis altavoces, radio AM/FM con reproductor de CD, control remoto en volante y ordenador de viaje que muestra consumo instantáneo y autonomía. Dirección asistida eléctrica con endurecimiento progresivo, climatización con filtro de partículas y elevalunas eléctricos delanteros garantizan confort en cada trayecto. Volante ajustable en altura y profundidad, asientos traseros con respaldo abatible asimétrico y reposacabezas ajustables en toda la cabina. Cierre centralizado con mando a distancia, cristales tintados y retrovisores desempañables completan este compacto versátil y funcional.</t>
        </is>
      </c>
      <c r="AT621" s="2" t="inlineStr">
        <is>
          <t>https://www.coches.net/peugeot-207-14-hdi-xline-5p-diesel-2006-en-castellon-71790338-covo.aspx (window.__INITIAL_PROPS__.ad) /home/user/Alopecia/buscador-coches/raw/cochesnet/451ba5200e73c9b0.json</t>
        </is>
      </c>
      <c r="AU621" s="3">
        <f>MAX(ANIO_ACTUAL-M621,0)</f>
        <v/>
      </c>
      <c r="AV621" s="4">
        <f>N621/MAX(AU621,0.5)</f>
        <v/>
      </c>
      <c r="AW621" s="4">
        <f>F621</f>
        <v/>
      </c>
      <c r="AX621" s="3">
        <f>AW621&amp;"|"&amp;INT(M621/SEG_ANIO)*SEG_ANIO</f>
        <v/>
      </c>
      <c r="AY621" s="3">
        <f>AX621&amp;"|"&amp;INT(N621/SEG_KM)*SEG_KM</f>
        <v/>
      </c>
      <c r="AZ621" s="4">
        <f>COUNTIF($AW$2:$AW$662,AW621)</f>
        <v/>
      </c>
      <c r="BA621" s="4">
        <f>COUNTIF($AX$2:$AX$662,AX621)</f>
        <v/>
      </c>
      <c r="BB621" s="4">
        <f>COUNTIF($AY$2:$AY$662,AY621)</f>
        <v/>
      </c>
      <c r="BC621" s="3">
        <f t="array" ref="BC621">IF(N(AO621)&gt;=MIN_N,AN621,IF(BB621&gt;=MIN_N,MEDIAN(IF($AY$2:$AY$662=AY621,$O$2:$O$662)),IF(BA621&gt;=MIN_N,MEDIAN(IF($AX$2:$AX$662=AX621,$O$2:$O$662)),MEDIAN(IF($AW$2:$AW$662=AW621,$O$2:$O$662)))))</f>
        <v/>
      </c>
      <c r="BD621" s="3">
        <f>IF(N(AO621)&gt;=MIN_N,"mercado "&amp;AP621,IF(BB621&gt;=MIN_N,"modelo+año+km",IF(BA621&gt;=MIN_N,"modelo+año","modelo")))</f>
        <v/>
      </c>
      <c r="BE621" s="4">
        <f>(BC621-O621)/BC621</f>
        <v/>
      </c>
      <c r="BF621" s="3">
        <f>IF(OR(K621="hibrido",K621="glp"),"ECO",IF(K621="electrico","CERO",IF(K621="gasolina",IF(M621&gt;=GAS_C,"C",IF(M621&gt;=GAS_B,"B","A")),IF(K621="diesel",IF(M621&gt;=DIE_C,"C",IF(M621&gt;=DIE_B,"B","A")),""))))</f>
        <v/>
      </c>
      <c r="BG621" s="3">
        <f>IFERROR(VLOOKUP(F621,MOD_TBL,11,0),IFERROR(VLOOKUP(E621,OCU_TBL,2,0),NEUTRO))</f>
        <v/>
      </c>
      <c r="BH621" s="3">
        <f>SUMIFS(MOT_AJUSTE,MOT_MOTOR,G621,MOT_MARCA,E621,MOT_DESDE,"&lt;="&amp;M621,MOT_HASTA,"&gt;="&amp;M621)+SUMIFS(MOT_AJUSTE,MOT_MOTOR,G621,MOT_MARCA,"(todas)",MOT_DESDE,"&lt;="&amp;M621,MOT_HASTA,"&gt;="&amp;M621)</f>
        <v/>
      </c>
      <c r="BI621" s="3">
        <f>SUMIFS(COMB_AJUSTE,COMB_COMB,K621)</f>
        <v/>
      </c>
      <c r="BJ621" s="3">
        <f>COUNTIFS(MOT_MOTOR,G621,MOT_MARCA,E621,MOT_DESDE,"&lt;="&amp;M621,MOT_HASTA,"&gt;="&amp;M621)+COUNTIFS(MOT_MOTOR,G621,MOT_MARCA,"(todas)",MOT_DESDE,"&lt;="&amp;M621,MOT_HASTA,"&gt;="&amp;M621)</f>
        <v/>
      </c>
      <c r="BK621" s="3">
        <f>IF(AND(K621="diesel",BJ621=0),MIN(BG621,NEUTRO),BG621)</f>
        <v/>
      </c>
      <c r="BL621" s="4">
        <f>MAX(0,MIN(100,BK621+BH621+BI621))</f>
        <v/>
      </c>
      <c r="BM621" s="3">
        <f>MAX(0,MIN(100,50+BE621*PRECIO_PEND))</f>
        <v/>
      </c>
      <c r="BN621" s="3">
        <f>MAX(0,100*(1-N621/KM_MAX))</f>
        <v/>
      </c>
      <c r="BO621" s="3">
        <f>IF(AV621&lt;KMA_SOSP,IF(AA621="sí",100,KMA_PEN),IF(AV621&lt;=KMA_IDEAL_MAX,100,MAX(0,100*(KMA_CERO-AV621)/(KMA_CERO-KMA_IDEAL_MAX))))</f>
        <v/>
      </c>
      <c r="BP621" s="3">
        <f>MAX(0,MIN(100,100*(M621-ANIO_MIN)/(ANIO_ACTUAL-ANIO_MIN)))</f>
        <v/>
      </c>
      <c r="BQ621" s="3">
        <f>W_KMT*BN621+W_KMA*BO621+W_EDAD*BP621</f>
        <v/>
      </c>
      <c r="BR621" s="3">
        <f>P_ITV*(V621="sí")+P_LIBRO*(W621="sí")+P_CORREA*(X621="sí")+P_PROP*(Y621=1)+P_GAR*(Z621="sí")+P_FOTOS*MIN(1,N(U621)/FOTOS_OBJ)</f>
        <v/>
      </c>
      <c r="BS621" s="3">
        <f>IFERROR(VLOOKUP(BF621,ETQ_TBL,2,0),NEUTRO)</f>
        <v/>
      </c>
      <c r="BT621" s="3">
        <f>NEUTRO</f>
        <v/>
      </c>
      <c r="BU621" s="3">
        <f>IFERROR(VLOOKUP(L621,SEGURO_TBL,3,0),"")</f>
        <v/>
      </c>
      <c r="BV621" s="3">
        <f>IF(BU621="",NEUTRO,MAX(0,MIN(100,100*(SEG_REF_MAX-BU621)/(SEG_REF_MAX-SEG_REF_MIN))))</f>
        <v/>
      </c>
      <c r="BW621" s="3">
        <f>W_ET*BS621+W_CONS*BT621+W_SEG*BV621</f>
        <v/>
      </c>
      <c r="BX621" s="3">
        <f>IF(N(AB621)&gt;0,AB621,IF(AND(R621="profesional",SG_LEGAL_ON=1),GAR_LEGAL,0))</f>
        <v/>
      </c>
      <c r="BY621" s="3">
        <f>SG_GAR*MIN(1,BX621/SG_GAR_FULL)+SG_AMPL*(AC621="sí")+SG_KMC*(AF621="sí")+SG_REV*(N(AE621)&gt;0)+SG_DEV*MIN(1,N(AG621)/SG_DEV_FULL)+SG_HIST*(W621="sí")</f>
        <v/>
      </c>
      <c r="BZ621" s="3">
        <f>IFERROR(VLOOKUP(L621,CARR_PEN_TBL,2,0),0)</f>
        <v/>
      </c>
      <c r="CA621" s="3">
        <f>W_FIAB*BL621+W_PRECIO*BM621+W_KMEDAD*BQ621+W_ANUNCIO*BR621+W_USO*BW621+W_SEGURIDAD*BY621-BZ621</f>
        <v/>
      </c>
      <c r="CB621" s="4">
        <f>IF(N(I621)&gt;0,I621,IFERROR(ROUND(_xlfn.NUMBERVALUE(LEFT(G621,FIND(" ",G621&amp;" ")-1),".")*1000,0),99999))</f>
        <v/>
      </c>
      <c r="CC621" s="3">
        <f>IF(R621="profesional",0,IF(O621&lt;CUOTA_VALOR_MAX,IF(AU621&gt;ITP_TRAMO_ALTO,SUMIFS(CF_CUOTA,CF_MAS,ITP_TRAMO_ALTO,CF_CCMIN,"&lt;="&amp;CB621,CF_CCMAX,"&gt;="&amp;CB621),IF(AU621&gt;ITP_TRAMO_BAJO,SUMIFS(CF_CUOTA,CF_MAS,ITP_TRAMO_BAJO,CF_CCMIN,"&lt;="&amp;CB621,CF_CCMAX,"&gt;="&amp;CB621),O621*ITP_TIPO)),O621*ITP_TIPO))</f>
        <v/>
      </c>
      <c r="CD621" s="4">
        <f>IF(R621="profesional",N(AK621),0)</f>
        <v/>
      </c>
      <c r="CE621" s="3">
        <f>IF(AND(R621="profesional",ISNUMBER(AK621),AL621="sí"),0,TASA_DGT)</f>
        <v/>
      </c>
      <c r="CF621" s="3">
        <f>INFORME_DGT</f>
        <v/>
      </c>
      <c r="CG621" s="4">
        <f>O621+CD621+CC621+CE621+CF621</f>
        <v/>
      </c>
      <c r="CH621" s="4">
        <f>CG621+N(BU621)</f>
        <v/>
      </c>
      <c r="CI621" s="3">
        <f>IF(CG621&lt;=TOTAL_MAX,"sí",IF(CG621&lt;=TOTAL_MAX+MARGEN_NEG,"negociar","no"))</f>
        <v/>
      </c>
      <c r="CJ621" s="4">
        <f>IF(CI621&lt;&gt;"no",COUNTIFS($CI$2:$CI$662,"&lt;&gt;no",$CA$2:$CA$662,"&gt;"&amp;CA621)+COUNTIFS($CI$2:CI621,"&lt;&gt;no",$CA$2:CA621,CA621),"")</f>
        <v/>
      </c>
    </row>
    <row r="622">
      <c r="A622" s="2" t="inlineStr">
        <is>
          <t>cochesnet:71718082</t>
        </is>
      </c>
      <c r="B622" s="2" t="inlineStr">
        <is>
          <t>cochesnet</t>
        </is>
      </c>
      <c r="C622" s="2" t="inlineStr">
        <is>
          <t>https://www.coches.net/peugeot-108-gasolina-2018-en-castellon-71718082-covo.aspx</t>
        </is>
      </c>
      <c r="D622" s="2" t="inlineStr">
        <is>
          <t>PEUGEOT 108 Top Allure 1.2 PureTech</t>
        </is>
      </c>
      <c r="E622" s="2" t="inlineStr">
        <is>
          <t>Peugeot</t>
        </is>
      </c>
      <c r="F622" s="2" t="inlineStr">
        <is>
          <t>Peugeot 108</t>
        </is>
      </c>
      <c r="G622" s="2" t="inlineStr">
        <is>
          <t>1.2 PureTech</t>
        </is>
      </c>
      <c r="H622" s="2" t="inlineStr">
        <is>
          <t>Top Allure 1.2 PureTech 60KW 82CV</t>
        </is>
      </c>
      <c r="I622" s="2" t="n"/>
      <c r="J622" s="2" t="n">
        <v>82</v>
      </c>
      <c r="K622" s="2" t="inlineStr">
        <is>
          <t>gasolina</t>
        </is>
      </c>
      <c r="L622" s="2" t="inlineStr">
        <is>
          <t>utilitario</t>
        </is>
      </c>
      <c r="M622" s="2" t="n">
        <v>2018</v>
      </c>
      <c r="N622" s="2" t="n">
        <v>96500</v>
      </c>
      <c r="O622" s="2" t="n">
        <v>5000</v>
      </c>
      <c r="P622" s="2" t="inlineStr">
        <is>
          <t>manual</t>
        </is>
      </c>
      <c r="Q622" s="2" t="inlineStr">
        <is>
          <t>no</t>
        </is>
      </c>
      <c r="R622" s="2" t="inlineStr">
        <is>
          <t>particular</t>
        </is>
      </c>
      <c r="S622" s="2" t="inlineStr">
        <is>
          <t>Castellón de la Plana / Castelló de la Plana</t>
        </is>
      </c>
      <c r="T622" s="2" t="inlineStr">
        <is>
          <t>2026-10-10T09:26:41Z</t>
        </is>
      </c>
      <c r="U622" s="2" t="n">
        <v>1</v>
      </c>
      <c r="V622" s="2" t="n"/>
      <c r="W622" s="2" t="n"/>
      <c r="X622" s="2" t="n"/>
      <c r="Y622" s="2" t="n"/>
      <c r="Z622" s="2" t="inlineStr">
        <is>
          <t>no</t>
        </is>
      </c>
      <c r="AA622" s="2" t="n"/>
      <c r="AB622" s="2" t="n"/>
      <c r="AC622" s="2" t="n"/>
      <c r="AD622" s="2" t="n"/>
      <c r="AE622" s="2" t="n"/>
      <c r="AF622" s="2" t="n"/>
      <c r="AG622" s="2" t="n"/>
      <c r="AH622" s="2" t="n">
        <v>5000</v>
      </c>
      <c r="AI622" s="2" t="n"/>
      <c r="AJ622" s="2" t="n"/>
      <c r="AK622" s="2" t="n"/>
      <c r="AL622" s="2" t="n"/>
      <c r="AM622" s="2" t="n"/>
      <c r="AN622" s="2" t="n">
        <v>5850</v>
      </c>
      <c r="AO622" s="2" t="n">
        <v>6</v>
      </c>
      <c r="AP622" s="2" t="inlineStr">
        <is>
          <t>modelo+año+km</t>
        </is>
      </c>
      <c r="AQ622" s="2" t="n"/>
      <c r="AR622" s="2" t="inlineStr">
        <is>
          <t>por encima del presupuesto (5184 €), negociar; cuota fija ITP: &gt;5 y &lt;=12 años, hasta 1.500 cc; distancia no verificable (el anuncio solo indica la provincia): confirmar que está a &lt;= 70 km; fiabilidad del modelo PENDIENTE de fuente (puntuación neutra)</t>
        </is>
      </c>
      <c r="AS622" s="2" t="inlineStr">
        <is>
          <t xml:space="preserve">ha pasado la itv </t>
        </is>
      </c>
      <c r="AT622" s="2" t="inlineStr">
        <is>
          <t>https://www.coches.net/peugeot-108-gasolina-2018-en-castellon-71718082-covo.aspx (window.__INITIAL_PROPS__.ad) /home/user/Alopecia/buscador-coches/raw/cochesnet/6c3e39da51617fa8.json</t>
        </is>
      </c>
      <c r="AU622" s="3">
        <f>MAX(ANIO_ACTUAL-M622,0)</f>
        <v/>
      </c>
      <c r="AV622" s="4">
        <f>N622/MAX(AU622,0.5)</f>
        <v/>
      </c>
      <c r="AW622" s="4">
        <f>F622</f>
        <v/>
      </c>
      <c r="AX622" s="3">
        <f>AW622&amp;"|"&amp;INT(M622/SEG_ANIO)*SEG_ANIO</f>
        <v/>
      </c>
      <c r="AY622" s="3">
        <f>AX622&amp;"|"&amp;INT(N622/SEG_KM)*SEG_KM</f>
        <v/>
      </c>
      <c r="AZ622" s="4">
        <f>COUNTIF($AW$2:$AW$662,AW622)</f>
        <v/>
      </c>
      <c r="BA622" s="4">
        <f>COUNTIF($AX$2:$AX$662,AX622)</f>
        <v/>
      </c>
      <c r="BB622" s="4">
        <f>COUNTIF($AY$2:$AY$662,AY622)</f>
        <v/>
      </c>
      <c r="BC622" s="3">
        <f t="array" ref="BC622">IF(N(AO622)&gt;=MIN_N,AN622,IF(BB622&gt;=MIN_N,MEDIAN(IF($AY$2:$AY$662=AY622,$O$2:$O$662)),IF(BA622&gt;=MIN_N,MEDIAN(IF($AX$2:$AX$662=AX622,$O$2:$O$662)),MEDIAN(IF($AW$2:$AW$662=AW622,$O$2:$O$662)))))</f>
        <v/>
      </c>
      <c r="BD622" s="3">
        <f>IF(N(AO622)&gt;=MIN_N,"mercado "&amp;AP622,IF(BB622&gt;=MIN_N,"modelo+año+km",IF(BA622&gt;=MIN_N,"modelo+año","modelo")))</f>
        <v/>
      </c>
      <c r="BE622" s="4">
        <f>(BC622-O622)/BC622</f>
        <v/>
      </c>
      <c r="BF622" s="3">
        <f>IF(OR(K622="hibrido",K622="glp"),"ECO",IF(K622="electrico","CERO",IF(K622="gasolina",IF(M622&gt;=GAS_C,"C",IF(M622&gt;=GAS_B,"B","A")),IF(K622="diesel",IF(M622&gt;=DIE_C,"C",IF(M622&gt;=DIE_B,"B","A")),""))))</f>
        <v/>
      </c>
      <c r="BG622" s="3">
        <f>IFERROR(VLOOKUP(F622,MOD_TBL,11,0),IFERROR(VLOOKUP(E622,OCU_TBL,2,0),NEUTRO))</f>
        <v/>
      </c>
      <c r="BH622" s="3">
        <f>SUMIFS(MOT_AJUSTE,MOT_MOTOR,G622,MOT_MARCA,E622,MOT_DESDE,"&lt;="&amp;M622,MOT_HASTA,"&gt;="&amp;M622)+SUMIFS(MOT_AJUSTE,MOT_MOTOR,G622,MOT_MARCA,"(todas)",MOT_DESDE,"&lt;="&amp;M622,MOT_HASTA,"&gt;="&amp;M622)</f>
        <v/>
      </c>
      <c r="BI622" s="3">
        <f>SUMIFS(COMB_AJUSTE,COMB_COMB,K622)</f>
        <v/>
      </c>
      <c r="BJ622" s="3">
        <f>COUNTIFS(MOT_MOTOR,G622,MOT_MARCA,E622,MOT_DESDE,"&lt;="&amp;M622,MOT_HASTA,"&gt;="&amp;M622)+COUNTIFS(MOT_MOTOR,G622,MOT_MARCA,"(todas)",MOT_DESDE,"&lt;="&amp;M622,MOT_HASTA,"&gt;="&amp;M622)</f>
        <v/>
      </c>
      <c r="BK622" s="3">
        <f>IF(AND(K622="diesel",BJ622=0),MIN(BG622,NEUTRO),BG622)</f>
        <v/>
      </c>
      <c r="BL622" s="4">
        <f>MAX(0,MIN(100,BK622+BH622+BI622))</f>
        <v/>
      </c>
      <c r="BM622" s="3">
        <f>MAX(0,MIN(100,50+BE622*PRECIO_PEND))</f>
        <v/>
      </c>
      <c r="BN622" s="3">
        <f>MAX(0,100*(1-N622/KM_MAX))</f>
        <v/>
      </c>
      <c r="BO622" s="3">
        <f>IF(AV622&lt;KMA_SOSP,IF(AA622="sí",100,KMA_PEN),IF(AV622&lt;=KMA_IDEAL_MAX,100,MAX(0,100*(KMA_CERO-AV622)/(KMA_CERO-KMA_IDEAL_MAX))))</f>
        <v/>
      </c>
      <c r="BP622" s="3">
        <f>MAX(0,MIN(100,100*(M622-ANIO_MIN)/(ANIO_ACTUAL-ANIO_MIN)))</f>
        <v/>
      </c>
      <c r="BQ622" s="3">
        <f>W_KMT*BN622+W_KMA*BO622+W_EDAD*BP622</f>
        <v/>
      </c>
      <c r="BR622" s="3">
        <f>P_ITV*(V622="sí")+P_LIBRO*(W622="sí")+P_CORREA*(X622="sí")+P_PROP*(Y622=1)+P_GAR*(Z622="sí")+P_FOTOS*MIN(1,N(U622)/FOTOS_OBJ)</f>
        <v/>
      </c>
      <c r="BS622" s="3">
        <f>IFERROR(VLOOKUP(BF622,ETQ_TBL,2,0),NEUTRO)</f>
        <v/>
      </c>
      <c r="BT622" s="3">
        <f>NEUTRO</f>
        <v/>
      </c>
      <c r="BU622" s="3">
        <f>IFERROR(VLOOKUP(L622,SEGURO_TBL,3,0),"")</f>
        <v/>
      </c>
      <c r="BV622" s="3">
        <f>IF(BU622="",NEUTRO,MAX(0,MIN(100,100*(SEG_REF_MAX-BU622)/(SEG_REF_MAX-SEG_REF_MIN))))</f>
        <v/>
      </c>
      <c r="BW622" s="3">
        <f>W_ET*BS622+W_CONS*BT622+W_SEG*BV622</f>
        <v/>
      </c>
      <c r="BX622" s="3">
        <f>IF(N(AB622)&gt;0,AB622,IF(AND(R622="profesional",SG_LEGAL_ON=1),GAR_LEGAL,0))</f>
        <v/>
      </c>
      <c r="BY622" s="3">
        <f>SG_GAR*MIN(1,BX622/SG_GAR_FULL)+SG_AMPL*(AC622="sí")+SG_KMC*(AF622="sí")+SG_REV*(N(AE622)&gt;0)+SG_DEV*MIN(1,N(AG622)/SG_DEV_FULL)+SG_HIST*(W622="sí")</f>
        <v/>
      </c>
      <c r="BZ622" s="3">
        <f>IFERROR(VLOOKUP(L622,CARR_PEN_TBL,2,0),0)</f>
        <v/>
      </c>
      <c r="CA622" s="3">
        <f>W_FIAB*BL622+W_PRECIO*BM622+W_KMEDAD*BQ622+W_ANUNCIO*BR622+W_USO*BW622+W_SEGURIDAD*BY622-BZ622</f>
        <v/>
      </c>
      <c r="CB622" s="4">
        <f>IF(N(I622)&gt;0,I622,IFERROR(ROUND(_xlfn.NUMBERVALUE(LEFT(G622,FIND(" ",G622&amp;" ")-1),".")*1000,0),99999))</f>
        <v/>
      </c>
      <c r="CC622" s="3">
        <f>IF(R622="profesional",0,IF(O622&lt;CUOTA_VALOR_MAX,IF(AU622&gt;ITP_TRAMO_ALTO,SUMIFS(CF_CUOTA,CF_MAS,ITP_TRAMO_ALTO,CF_CCMIN,"&lt;="&amp;CB622,CF_CCMAX,"&gt;="&amp;CB622),IF(AU622&gt;ITP_TRAMO_BAJO,SUMIFS(CF_CUOTA,CF_MAS,ITP_TRAMO_BAJO,CF_CCMIN,"&lt;="&amp;CB622,CF_CCMAX,"&gt;="&amp;CB622),O622*ITP_TIPO)),O622*ITP_TIPO))</f>
        <v/>
      </c>
      <c r="CD622" s="4">
        <f>IF(R622="profesional",N(AK622),0)</f>
        <v/>
      </c>
      <c r="CE622" s="3">
        <f>IF(AND(R622="profesional",ISNUMBER(AK622),AL622="sí"),0,TASA_DGT)</f>
        <v/>
      </c>
      <c r="CF622" s="3">
        <f>INFORME_DGT</f>
        <v/>
      </c>
      <c r="CG622" s="4">
        <f>O622+CD622+CC622+CE622+CF622</f>
        <v/>
      </c>
      <c r="CH622" s="4">
        <f>CG622+N(BU622)</f>
        <v/>
      </c>
      <c r="CI622" s="3">
        <f>IF(CG622&lt;=TOTAL_MAX,"sí",IF(CG622&lt;=TOTAL_MAX+MARGEN_NEG,"negociar","no"))</f>
        <v/>
      </c>
      <c r="CJ622" s="4">
        <f>IF(CI622&lt;&gt;"no",COUNTIFS($CI$2:$CI$662,"&lt;&gt;no",$CA$2:$CA$662,"&gt;"&amp;CA622)+COUNTIFS($CI$2:CI622,"&lt;&gt;no",$CA$2:CA622,CA622),"")</f>
        <v/>
      </c>
    </row>
    <row r="623">
      <c r="A623" s="2" t="inlineStr">
        <is>
          <t>cochesnet:71692509</t>
        </is>
      </c>
      <c r="B623" s="2" t="inlineStr">
        <is>
          <t>cochesnet</t>
        </is>
      </c>
      <c r="C623" s="2" t="inlineStr">
        <is>
          <t>https://www.coches.net/peugeot-108-top-allure-12-puretech-60kw-82cv-5p-gasolina-2017-en-castellon-71692509-covo.aspx</t>
        </is>
      </c>
      <c r="D623" s="2" t="inlineStr">
        <is>
          <t>PEUGEOT 108 Top Allure 1.2 PureTech</t>
        </is>
      </c>
      <c r="E623" s="2" t="inlineStr">
        <is>
          <t>Peugeot</t>
        </is>
      </c>
      <c r="F623" s="2" t="inlineStr">
        <is>
          <t>Peugeot 108</t>
        </is>
      </c>
      <c r="G623" s="2" t="inlineStr">
        <is>
          <t>1.2 PureTech</t>
        </is>
      </c>
      <c r="H623" s="2" t="inlineStr">
        <is>
          <t>Top Allure 1.2 PureTech 60KW 82CV</t>
        </is>
      </c>
      <c r="I623" s="2" t="n"/>
      <c r="J623" s="2" t="n">
        <v>82</v>
      </c>
      <c r="K623" s="2" t="inlineStr">
        <is>
          <t>gasolina</t>
        </is>
      </c>
      <c r="L623" s="2" t="inlineStr">
        <is>
          <t>utilitario</t>
        </is>
      </c>
      <c r="M623" s="2" t="n">
        <v>2017</v>
      </c>
      <c r="N623" s="2" t="n">
        <v>96000</v>
      </c>
      <c r="O623" s="2" t="n">
        <v>4500</v>
      </c>
      <c r="P623" s="2" t="inlineStr">
        <is>
          <t>manual</t>
        </is>
      </c>
      <c r="Q623" s="2" t="inlineStr">
        <is>
          <t>no</t>
        </is>
      </c>
      <c r="R623" s="2" t="inlineStr">
        <is>
          <t>particular</t>
        </is>
      </c>
      <c r="S623" s="2" t="inlineStr">
        <is>
          <t>Castellón de la Plana / Castelló de la Plana</t>
        </is>
      </c>
      <c r="T623" s="2" t="inlineStr">
        <is>
          <t>2026-10-07T10:47:06Z</t>
        </is>
      </c>
      <c r="U623" s="2" t="n">
        <v>1</v>
      </c>
      <c r="V623" s="2" t="n"/>
      <c r="W623" s="2" t="n"/>
      <c r="X623" s="2" t="n"/>
      <c r="Y623" s="2" t="n"/>
      <c r="Z623" s="2" t="inlineStr">
        <is>
          <t>no</t>
        </is>
      </c>
      <c r="AA623" s="2" t="n"/>
      <c r="AB623" s="2" t="n"/>
      <c r="AC623" s="2" t="n"/>
      <c r="AD623" s="2" t="n"/>
      <c r="AE623" s="2" t="n"/>
      <c r="AF623" s="2" t="n"/>
      <c r="AG623" s="2" t="n"/>
      <c r="AH623" s="2" t="n">
        <v>4500</v>
      </c>
      <c r="AI623" s="2" t="n"/>
      <c r="AJ623" s="2" t="n"/>
      <c r="AK623" s="2" t="n"/>
      <c r="AL623" s="2" t="n"/>
      <c r="AM623" s="2" t="n"/>
      <c r="AN623" s="2" t="n">
        <v>5850</v>
      </c>
      <c r="AO623" s="2" t="n">
        <v>6</v>
      </c>
      <c r="AP623" s="2" t="inlineStr">
        <is>
          <t>modelo+año+km</t>
        </is>
      </c>
      <c r="AQ623" s="2" t="n"/>
      <c r="AR623" s="2" t="inlineStr">
        <is>
          <t>cuota fija ITP: &gt;5 y &lt;=12 años, hasta 1.500 cc; distancia no verificable (el anuncio solo indica la provincia): confirmar que está a &lt;= 70 km; fiabilidad del modelo PENDIENTE de fuente (puntuación neutra)</t>
        </is>
      </c>
      <c r="AS623" s="2" t="inlineStr">
        <is>
          <t>SOLO PROFESIONALES O CONCESIONARIOS
Si buscas un coche que combine comodidad, eficiencia y diseño, este es para ti.
Te presento mi Peugeot 108 Top Allure, un vehículo compacto perfecto para la conducción urbana y desplazamientos diarios. Con un motor de 1.2 litros PureTech que entrega 82 CV, ofrece la potencia necesaria sin comprometer el consumo, ideal para quienes valoran la economía de combustible sin renunciar al rendimiento.
El estado general del coche es bueno tanto en el interior como en el exterior. Se trata de un vehículo con uso habitual que ha sido mantenido correctamente y está completamente operativo. La carrocería blanca se mantiene en buen estado, y el habitáculo refleja un cuidado adecuado en el día a día.
Con cambio manual y cuatro plazas, es versátil y ágil en cualquier situación de tráfico. Su tamaño compacto lo hace perfecto para aparcar en espacios reducidos, una ventaja real en entornos urbanos. La versión Top Allure incluye un buen nivel de equipamiento que mejora significativamente la experiencia de conducción.
Este Peugeot 108 es una oportunidad interesante si buscas un coche fiable, económico y fácil de mantener. Ideal para conductores que necesitan un vehículo práctico sin complicaciones.
Si tienes dudas sobre aspectos específicos del vehículo o deseas conocer más detalles, no dudes en contactarme. Puedo atenderte tanto por chat como por teléfono para resolver cualquier pregunta.
¡Contacta hoy mismo y comprueba por qué este coche puede ser ex</t>
        </is>
      </c>
      <c r="AT623" s="2" t="inlineStr">
        <is>
          <t>https://www.coches.net/peugeot-108-top-allure-12-puretech-60kw-82cv-5p-gasolina-2017-en-castellon-71692509-covo.aspx (window.__INITIAL_PROPS__.ad) /home/user/Alopecia/buscador-coches/raw/cochesnet/dcc3df611eccb1b4.json</t>
        </is>
      </c>
      <c r="AU623" s="3">
        <f>MAX(ANIO_ACTUAL-M623,0)</f>
        <v/>
      </c>
      <c r="AV623" s="4">
        <f>N623/MAX(AU623,0.5)</f>
        <v/>
      </c>
      <c r="AW623" s="4">
        <f>F623</f>
        <v/>
      </c>
      <c r="AX623" s="3">
        <f>AW623&amp;"|"&amp;INT(M623/SEG_ANIO)*SEG_ANIO</f>
        <v/>
      </c>
      <c r="AY623" s="3">
        <f>AX623&amp;"|"&amp;INT(N623/SEG_KM)*SEG_KM</f>
        <v/>
      </c>
      <c r="AZ623" s="4">
        <f>COUNTIF($AW$2:$AW$662,AW623)</f>
        <v/>
      </c>
      <c r="BA623" s="4">
        <f>COUNTIF($AX$2:$AX$662,AX623)</f>
        <v/>
      </c>
      <c r="BB623" s="4">
        <f>COUNTIF($AY$2:$AY$662,AY623)</f>
        <v/>
      </c>
      <c r="BC623" s="3">
        <f t="array" ref="BC623">IF(N(AO623)&gt;=MIN_N,AN623,IF(BB623&gt;=MIN_N,MEDIAN(IF($AY$2:$AY$662=AY623,$O$2:$O$662)),IF(BA623&gt;=MIN_N,MEDIAN(IF($AX$2:$AX$662=AX623,$O$2:$O$662)),MEDIAN(IF($AW$2:$AW$662=AW623,$O$2:$O$662)))))</f>
        <v/>
      </c>
      <c r="BD623" s="3">
        <f>IF(N(AO623)&gt;=MIN_N,"mercado "&amp;AP623,IF(BB623&gt;=MIN_N,"modelo+año+km",IF(BA623&gt;=MIN_N,"modelo+año","modelo")))</f>
        <v/>
      </c>
      <c r="BE623" s="4">
        <f>(BC623-O623)/BC623</f>
        <v/>
      </c>
      <c r="BF623" s="3">
        <f>IF(OR(K623="hibrido",K623="glp"),"ECO",IF(K623="electrico","CERO",IF(K623="gasolina",IF(M623&gt;=GAS_C,"C",IF(M623&gt;=GAS_B,"B","A")),IF(K623="diesel",IF(M623&gt;=DIE_C,"C",IF(M623&gt;=DIE_B,"B","A")),""))))</f>
        <v/>
      </c>
      <c r="BG623" s="3">
        <f>IFERROR(VLOOKUP(F623,MOD_TBL,11,0),IFERROR(VLOOKUP(E623,OCU_TBL,2,0),NEUTRO))</f>
        <v/>
      </c>
      <c r="BH623" s="3">
        <f>SUMIFS(MOT_AJUSTE,MOT_MOTOR,G623,MOT_MARCA,E623,MOT_DESDE,"&lt;="&amp;M623,MOT_HASTA,"&gt;="&amp;M623)+SUMIFS(MOT_AJUSTE,MOT_MOTOR,G623,MOT_MARCA,"(todas)",MOT_DESDE,"&lt;="&amp;M623,MOT_HASTA,"&gt;="&amp;M623)</f>
        <v/>
      </c>
      <c r="BI623" s="3">
        <f>SUMIFS(COMB_AJUSTE,COMB_COMB,K623)</f>
        <v/>
      </c>
      <c r="BJ623" s="3">
        <f>COUNTIFS(MOT_MOTOR,G623,MOT_MARCA,E623,MOT_DESDE,"&lt;="&amp;M623,MOT_HASTA,"&gt;="&amp;M623)+COUNTIFS(MOT_MOTOR,G623,MOT_MARCA,"(todas)",MOT_DESDE,"&lt;="&amp;M623,MOT_HASTA,"&gt;="&amp;M623)</f>
        <v/>
      </c>
      <c r="BK623" s="3">
        <f>IF(AND(K623="diesel",BJ623=0),MIN(BG623,NEUTRO),BG623)</f>
        <v/>
      </c>
      <c r="BL623" s="4">
        <f>MAX(0,MIN(100,BK623+BH623+BI623))</f>
        <v/>
      </c>
      <c r="BM623" s="3">
        <f>MAX(0,MIN(100,50+BE623*PRECIO_PEND))</f>
        <v/>
      </c>
      <c r="BN623" s="3">
        <f>MAX(0,100*(1-N623/KM_MAX))</f>
        <v/>
      </c>
      <c r="BO623" s="3">
        <f>IF(AV623&lt;KMA_SOSP,IF(AA623="sí",100,KMA_PEN),IF(AV623&lt;=KMA_IDEAL_MAX,100,MAX(0,100*(KMA_CERO-AV623)/(KMA_CERO-KMA_IDEAL_MAX))))</f>
        <v/>
      </c>
      <c r="BP623" s="3">
        <f>MAX(0,MIN(100,100*(M623-ANIO_MIN)/(ANIO_ACTUAL-ANIO_MIN)))</f>
        <v/>
      </c>
      <c r="BQ623" s="3">
        <f>W_KMT*BN623+W_KMA*BO623+W_EDAD*BP623</f>
        <v/>
      </c>
      <c r="BR623" s="3">
        <f>P_ITV*(V623="sí")+P_LIBRO*(W623="sí")+P_CORREA*(X623="sí")+P_PROP*(Y623=1)+P_GAR*(Z623="sí")+P_FOTOS*MIN(1,N(U623)/FOTOS_OBJ)</f>
        <v/>
      </c>
      <c r="BS623" s="3">
        <f>IFERROR(VLOOKUP(BF623,ETQ_TBL,2,0),NEUTRO)</f>
        <v/>
      </c>
      <c r="BT623" s="3">
        <f>NEUTRO</f>
        <v/>
      </c>
      <c r="BU623" s="3">
        <f>IFERROR(VLOOKUP(L623,SEGURO_TBL,3,0),"")</f>
        <v/>
      </c>
      <c r="BV623" s="3">
        <f>IF(BU623="",NEUTRO,MAX(0,MIN(100,100*(SEG_REF_MAX-BU623)/(SEG_REF_MAX-SEG_REF_MIN))))</f>
        <v/>
      </c>
      <c r="BW623" s="3">
        <f>W_ET*BS623+W_CONS*BT623+W_SEG*BV623</f>
        <v/>
      </c>
      <c r="BX623" s="3">
        <f>IF(N(AB623)&gt;0,AB623,IF(AND(R623="profesional",SG_LEGAL_ON=1),GAR_LEGAL,0))</f>
        <v/>
      </c>
      <c r="BY623" s="3">
        <f>SG_GAR*MIN(1,BX623/SG_GAR_FULL)+SG_AMPL*(AC623="sí")+SG_KMC*(AF623="sí")+SG_REV*(N(AE623)&gt;0)+SG_DEV*MIN(1,N(AG623)/SG_DEV_FULL)+SG_HIST*(W623="sí")</f>
        <v/>
      </c>
      <c r="BZ623" s="3">
        <f>IFERROR(VLOOKUP(L623,CARR_PEN_TBL,2,0),0)</f>
        <v/>
      </c>
      <c r="CA623" s="3">
        <f>W_FIAB*BL623+W_PRECIO*BM623+W_KMEDAD*BQ623+W_ANUNCIO*BR623+W_USO*BW623+W_SEGURIDAD*BY623-BZ623</f>
        <v/>
      </c>
      <c r="CB623" s="4">
        <f>IF(N(I623)&gt;0,I623,IFERROR(ROUND(_xlfn.NUMBERVALUE(LEFT(G623,FIND(" ",G623&amp;" ")-1),".")*1000,0),99999))</f>
        <v/>
      </c>
      <c r="CC623" s="3">
        <f>IF(R623="profesional",0,IF(O623&lt;CUOTA_VALOR_MAX,IF(AU623&gt;ITP_TRAMO_ALTO,SUMIFS(CF_CUOTA,CF_MAS,ITP_TRAMO_ALTO,CF_CCMIN,"&lt;="&amp;CB623,CF_CCMAX,"&gt;="&amp;CB623),IF(AU623&gt;ITP_TRAMO_BAJO,SUMIFS(CF_CUOTA,CF_MAS,ITP_TRAMO_BAJO,CF_CCMIN,"&lt;="&amp;CB623,CF_CCMAX,"&gt;="&amp;CB623),O623*ITP_TIPO)),O623*ITP_TIPO))</f>
        <v/>
      </c>
      <c r="CD623" s="4">
        <f>IF(R623="profesional",N(AK623),0)</f>
        <v/>
      </c>
      <c r="CE623" s="3">
        <f>IF(AND(R623="profesional",ISNUMBER(AK623),AL623="sí"),0,TASA_DGT)</f>
        <v/>
      </c>
      <c r="CF623" s="3">
        <f>INFORME_DGT</f>
        <v/>
      </c>
      <c r="CG623" s="4">
        <f>O623+CD623+CC623+CE623+CF623</f>
        <v/>
      </c>
      <c r="CH623" s="4">
        <f>CG623+N(BU623)</f>
        <v/>
      </c>
      <c r="CI623" s="3">
        <f>IF(CG623&lt;=TOTAL_MAX,"sí",IF(CG623&lt;=TOTAL_MAX+MARGEN_NEG,"negociar","no"))</f>
        <v/>
      </c>
      <c r="CJ623" s="4">
        <f>IF(CI623&lt;&gt;"no",COUNTIFS($CI$2:$CI$662,"&lt;&gt;no",$CA$2:$CA$662,"&gt;"&amp;CA623)+COUNTIFS($CI$2:CI623,"&lt;&gt;no",$CA$2:CA623,CA623),"")</f>
        <v/>
      </c>
    </row>
    <row r="624">
      <c r="A624" s="2" t="inlineStr">
        <is>
          <t>cochesnet:71616165</t>
        </is>
      </c>
      <c r="B624" s="2" t="inlineStr">
        <is>
          <t>cochesnet</t>
        </is>
      </c>
      <c r="C624" s="2" t="inlineStr">
        <is>
          <t>https://www.coches.net/peugeot-207-access-14-hdi-70-fap-5p-diesel-2011-en-castellon-71616165-covo.aspx</t>
        </is>
      </c>
      <c r="D624" s="2" t="inlineStr">
        <is>
          <t>PEUGEOT 207 ACCESS 1.4 HDI 70 FAP</t>
        </is>
      </c>
      <c r="E624" s="2" t="inlineStr">
        <is>
          <t>Peugeot</t>
        </is>
      </c>
      <c r="F624" s="2" t="inlineStr">
        <is>
          <t>Peugeot 207</t>
        </is>
      </c>
      <c r="G624" s="2" t="inlineStr">
        <is>
          <t>1.4 HDi</t>
        </is>
      </c>
      <c r="H624" s="2" t="inlineStr">
        <is>
          <t>ACCESS 1.4 HDI 70 FAP</t>
        </is>
      </c>
      <c r="I624" s="2" t="n"/>
      <c r="J624" s="2" t="n"/>
      <c r="K624" s="2" t="inlineStr">
        <is>
          <t>diesel</t>
        </is>
      </c>
      <c r="L624" s="2" t="inlineStr">
        <is>
          <t>utilitario</t>
        </is>
      </c>
      <c r="M624" s="2" t="n">
        <v>2011</v>
      </c>
      <c r="N624" s="2" t="n">
        <v>130000</v>
      </c>
      <c r="O624" s="2" t="n">
        <v>4490</v>
      </c>
      <c r="P624" s="2" t="inlineStr">
        <is>
          <t>manual</t>
        </is>
      </c>
      <c r="Q624" s="2" t="inlineStr">
        <is>
          <t>no</t>
        </is>
      </c>
      <c r="R624" s="2" t="inlineStr">
        <is>
          <t>profesional</t>
        </is>
      </c>
      <c r="S624" s="2" t="inlineStr">
        <is>
          <t>Castellón de la Plana / Castelló de la Plana</t>
        </is>
      </c>
      <c r="T624" s="2" t="inlineStr">
        <is>
          <t>2026-09-28T16:22:22Z</t>
        </is>
      </c>
      <c r="U624" s="2" t="n">
        <v>10</v>
      </c>
      <c r="V624" s="2" t="inlineStr">
        <is>
          <t>sí</t>
        </is>
      </c>
      <c r="W624" s="2" t="n"/>
      <c r="X624" s="2" t="n"/>
      <c r="Y624" s="2" t="n"/>
      <c r="Z624" s="2" t="inlineStr">
        <is>
          <t>sí</t>
        </is>
      </c>
      <c r="AA624" s="2" t="n"/>
      <c r="AB624" s="2" t="n">
        <v>12</v>
      </c>
      <c r="AC624" s="2" t="n"/>
      <c r="AD624" s="2" t="n"/>
      <c r="AE624" s="2" t="n"/>
      <c r="AF624" s="2" t="n"/>
      <c r="AG624" s="2" t="n"/>
      <c r="AH624" s="2" t="n">
        <v>4490</v>
      </c>
      <c r="AI624" s="2" t="n"/>
      <c r="AJ624" s="2" t="n"/>
      <c r="AK624" s="2" t="n"/>
      <c r="AL624" s="2" t="n"/>
      <c r="AM624" s="2" t="n"/>
      <c r="AN624" s="2" t="n">
        <v>4490</v>
      </c>
      <c r="AO624" s="2" t="n">
        <v>15</v>
      </c>
      <c r="AP624" s="2" t="inlineStr">
        <is>
          <t>modelo+año+km</t>
        </is>
      </c>
      <c r="AQ624" s="2" t="n"/>
      <c r="AR624"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24" s="2" t="inlineStr">
        <is>
          <t>Se vende Peugeot 207 con motor 1.4 Diesel ,70 CV  Radio -CD , siempre en garaje,  elevalunas eléctricos, ruedas nuevas , espejos con regulación ,Abs,airbag, económico y ideal para el día a día,  se entrega totalmente revisado con   Itv al dia , aceite y filtros  recién cambiados ,  mejor verlo sin compromiso.  Sólo se atienden llamadas.</t>
        </is>
      </c>
      <c r="AT624" s="2" t="inlineStr">
        <is>
          <t>https://www.coches.net/peugeot-207-access-14-hdi-70-fap-5p-diesel-2011-en-castellon-71616165-covo.aspx (window.__INITIAL_PROPS__.ad) /home/user/Alopecia/buscador-coches/raw/cochesnet/e6acdcd1cfe8bd4e.json</t>
        </is>
      </c>
      <c r="AU624" s="3">
        <f>MAX(ANIO_ACTUAL-M624,0)</f>
        <v/>
      </c>
      <c r="AV624" s="4">
        <f>N624/MAX(AU624,0.5)</f>
        <v/>
      </c>
      <c r="AW624" s="4">
        <f>F624</f>
        <v/>
      </c>
      <c r="AX624" s="3">
        <f>AW624&amp;"|"&amp;INT(M624/SEG_ANIO)*SEG_ANIO</f>
        <v/>
      </c>
      <c r="AY624" s="3">
        <f>AX624&amp;"|"&amp;INT(N624/SEG_KM)*SEG_KM</f>
        <v/>
      </c>
      <c r="AZ624" s="4">
        <f>COUNTIF($AW$2:$AW$662,AW624)</f>
        <v/>
      </c>
      <c r="BA624" s="4">
        <f>COUNTIF($AX$2:$AX$662,AX624)</f>
        <v/>
      </c>
      <c r="BB624" s="4">
        <f>COUNTIF($AY$2:$AY$662,AY624)</f>
        <v/>
      </c>
      <c r="BC624" s="3">
        <f t="array" ref="BC624">IF(N(AO624)&gt;=MIN_N,AN624,IF(BB624&gt;=MIN_N,MEDIAN(IF($AY$2:$AY$662=AY624,$O$2:$O$662)),IF(BA624&gt;=MIN_N,MEDIAN(IF($AX$2:$AX$662=AX624,$O$2:$O$662)),MEDIAN(IF($AW$2:$AW$662=AW624,$O$2:$O$662)))))</f>
        <v/>
      </c>
      <c r="BD624" s="3">
        <f>IF(N(AO624)&gt;=MIN_N,"mercado "&amp;AP624,IF(BB624&gt;=MIN_N,"modelo+año+km",IF(BA624&gt;=MIN_N,"modelo+año","modelo")))</f>
        <v/>
      </c>
      <c r="BE624" s="4">
        <f>(BC624-O624)/BC624</f>
        <v/>
      </c>
      <c r="BF624" s="3">
        <f>IF(OR(K624="hibrido",K624="glp"),"ECO",IF(K624="electrico","CERO",IF(K624="gasolina",IF(M624&gt;=GAS_C,"C",IF(M624&gt;=GAS_B,"B","A")),IF(K624="diesel",IF(M624&gt;=DIE_C,"C",IF(M624&gt;=DIE_B,"B","A")),""))))</f>
        <v/>
      </c>
      <c r="BG624" s="3">
        <f>IFERROR(VLOOKUP(F624,MOD_TBL,11,0),IFERROR(VLOOKUP(E624,OCU_TBL,2,0),NEUTRO))</f>
        <v/>
      </c>
      <c r="BH624" s="3">
        <f>SUMIFS(MOT_AJUSTE,MOT_MOTOR,G624,MOT_MARCA,E624,MOT_DESDE,"&lt;="&amp;M624,MOT_HASTA,"&gt;="&amp;M624)+SUMIFS(MOT_AJUSTE,MOT_MOTOR,G624,MOT_MARCA,"(todas)",MOT_DESDE,"&lt;="&amp;M624,MOT_HASTA,"&gt;="&amp;M624)</f>
        <v/>
      </c>
      <c r="BI624" s="3">
        <f>SUMIFS(COMB_AJUSTE,COMB_COMB,K624)</f>
        <v/>
      </c>
      <c r="BJ624" s="3">
        <f>COUNTIFS(MOT_MOTOR,G624,MOT_MARCA,E624,MOT_DESDE,"&lt;="&amp;M624,MOT_HASTA,"&gt;="&amp;M624)+COUNTIFS(MOT_MOTOR,G624,MOT_MARCA,"(todas)",MOT_DESDE,"&lt;="&amp;M624,MOT_HASTA,"&gt;="&amp;M624)</f>
        <v/>
      </c>
      <c r="BK624" s="3">
        <f>IF(AND(K624="diesel",BJ624=0),MIN(BG624,NEUTRO),BG624)</f>
        <v/>
      </c>
      <c r="BL624" s="4">
        <f>MAX(0,MIN(100,BK624+BH624+BI624))</f>
        <v/>
      </c>
      <c r="BM624" s="3">
        <f>MAX(0,MIN(100,50+BE624*PRECIO_PEND))</f>
        <v/>
      </c>
      <c r="BN624" s="3">
        <f>MAX(0,100*(1-N624/KM_MAX))</f>
        <v/>
      </c>
      <c r="BO624" s="3">
        <f>IF(AV624&lt;KMA_SOSP,IF(AA624="sí",100,KMA_PEN),IF(AV624&lt;=KMA_IDEAL_MAX,100,MAX(0,100*(KMA_CERO-AV624)/(KMA_CERO-KMA_IDEAL_MAX))))</f>
        <v/>
      </c>
      <c r="BP624" s="3">
        <f>MAX(0,MIN(100,100*(M624-ANIO_MIN)/(ANIO_ACTUAL-ANIO_MIN)))</f>
        <v/>
      </c>
      <c r="BQ624" s="3">
        <f>W_KMT*BN624+W_KMA*BO624+W_EDAD*BP624</f>
        <v/>
      </c>
      <c r="BR624" s="3">
        <f>P_ITV*(V624="sí")+P_LIBRO*(W624="sí")+P_CORREA*(X624="sí")+P_PROP*(Y624=1)+P_GAR*(Z624="sí")+P_FOTOS*MIN(1,N(U624)/FOTOS_OBJ)</f>
        <v/>
      </c>
      <c r="BS624" s="3">
        <f>IFERROR(VLOOKUP(BF624,ETQ_TBL,2,0),NEUTRO)</f>
        <v/>
      </c>
      <c r="BT624" s="3">
        <f>NEUTRO</f>
        <v/>
      </c>
      <c r="BU624" s="3">
        <f>IFERROR(VLOOKUP(L624,SEGURO_TBL,3,0),"")</f>
        <v/>
      </c>
      <c r="BV624" s="3">
        <f>IF(BU624="",NEUTRO,MAX(0,MIN(100,100*(SEG_REF_MAX-BU624)/(SEG_REF_MAX-SEG_REF_MIN))))</f>
        <v/>
      </c>
      <c r="BW624" s="3">
        <f>W_ET*BS624+W_CONS*BT624+W_SEG*BV624</f>
        <v/>
      </c>
      <c r="BX624" s="3">
        <f>IF(N(AB624)&gt;0,AB624,IF(AND(R624="profesional",SG_LEGAL_ON=1),GAR_LEGAL,0))</f>
        <v/>
      </c>
      <c r="BY624" s="3">
        <f>SG_GAR*MIN(1,BX624/SG_GAR_FULL)+SG_AMPL*(AC624="sí")+SG_KMC*(AF624="sí")+SG_REV*(N(AE624)&gt;0)+SG_DEV*MIN(1,N(AG624)/SG_DEV_FULL)+SG_HIST*(W624="sí")</f>
        <v/>
      </c>
      <c r="BZ624" s="3">
        <f>IFERROR(VLOOKUP(L624,CARR_PEN_TBL,2,0),0)</f>
        <v/>
      </c>
      <c r="CA624" s="3">
        <f>W_FIAB*BL624+W_PRECIO*BM624+W_KMEDAD*BQ624+W_ANUNCIO*BR624+W_USO*BW624+W_SEGURIDAD*BY624-BZ624</f>
        <v/>
      </c>
      <c r="CB624" s="4">
        <f>IF(N(I624)&gt;0,I624,IFERROR(ROUND(_xlfn.NUMBERVALUE(LEFT(G624,FIND(" ",G624&amp;" ")-1),".")*1000,0),99999))</f>
        <v/>
      </c>
      <c r="CC624" s="3">
        <f>IF(R624="profesional",0,IF(O624&lt;CUOTA_VALOR_MAX,IF(AU624&gt;ITP_TRAMO_ALTO,SUMIFS(CF_CUOTA,CF_MAS,ITP_TRAMO_ALTO,CF_CCMIN,"&lt;="&amp;CB624,CF_CCMAX,"&gt;="&amp;CB624),IF(AU624&gt;ITP_TRAMO_BAJO,SUMIFS(CF_CUOTA,CF_MAS,ITP_TRAMO_BAJO,CF_CCMIN,"&lt;="&amp;CB624,CF_CCMAX,"&gt;="&amp;CB624),O624*ITP_TIPO)),O624*ITP_TIPO))</f>
        <v/>
      </c>
      <c r="CD624" s="4">
        <f>IF(R624="profesional",N(AK624),0)</f>
        <v/>
      </c>
      <c r="CE624" s="3">
        <f>IF(AND(R624="profesional",ISNUMBER(AK624),AL624="sí"),0,TASA_DGT)</f>
        <v/>
      </c>
      <c r="CF624" s="3">
        <f>INFORME_DGT</f>
        <v/>
      </c>
      <c r="CG624" s="4">
        <f>O624+CD624+CC624+CE624+CF624</f>
        <v/>
      </c>
      <c r="CH624" s="4">
        <f>CG624+N(BU624)</f>
        <v/>
      </c>
      <c r="CI624" s="3">
        <f>IF(CG624&lt;=TOTAL_MAX,"sí",IF(CG624&lt;=TOTAL_MAX+MARGEN_NEG,"negociar","no"))</f>
        <v/>
      </c>
      <c r="CJ624" s="4">
        <f>IF(CI624&lt;&gt;"no",COUNTIFS($CI$2:$CI$662,"&lt;&gt;no",$CA$2:$CA$662,"&gt;"&amp;CA624)+COUNTIFS($CI$2:CI624,"&lt;&gt;no",$CA$2:CA624,CA624),"")</f>
        <v/>
      </c>
    </row>
    <row r="625">
      <c r="A625" s="2" t="inlineStr">
        <is>
          <t>cochesnet:71623136</t>
        </is>
      </c>
      <c r="B625" s="2" t="inlineStr">
        <is>
          <t>cochesnet</t>
        </is>
      </c>
      <c r="C625" s="2" t="inlineStr">
        <is>
          <t>https://www.coches.net/peugeot-206-gasolina-2010-en-castellon-71623136-covo.aspx</t>
        </is>
      </c>
      <c r="D625" s="2" t="inlineStr">
        <is>
          <t>PEUGEOT 206</t>
        </is>
      </c>
      <c r="E625" s="2" t="inlineStr">
        <is>
          <t>Peugeot</t>
        </is>
      </c>
      <c r="F625" s="2" t="inlineStr">
        <is>
          <t>Peugeot 206</t>
        </is>
      </c>
      <c r="G625" s="2" t="n"/>
      <c r="H625" s="2" t="n"/>
      <c r="I625" s="2" t="n"/>
      <c r="J625" s="2" t="n"/>
      <c r="K625" s="2" t="inlineStr">
        <is>
          <t>gasolina</t>
        </is>
      </c>
      <c r="L625" s="2" t="inlineStr">
        <is>
          <t>utilitario</t>
        </is>
      </c>
      <c r="M625" s="2" t="n">
        <v>2010</v>
      </c>
      <c r="N625" s="2" t="n">
        <v>110000</v>
      </c>
      <c r="O625" s="2" t="n">
        <v>4990</v>
      </c>
      <c r="P625" s="2" t="inlineStr">
        <is>
          <t>manual</t>
        </is>
      </c>
      <c r="Q625" s="2" t="inlineStr">
        <is>
          <t>no</t>
        </is>
      </c>
      <c r="R625" s="2" t="inlineStr">
        <is>
          <t>particular</t>
        </is>
      </c>
      <c r="S625" s="2" t="inlineStr">
        <is>
          <t>Castellón de la Plana / Castelló de la Plana</t>
        </is>
      </c>
      <c r="T625" s="2" t="inlineStr">
        <is>
          <t>2026-09-29T08:53:46Z</t>
        </is>
      </c>
      <c r="U625" s="2" t="n">
        <v>9</v>
      </c>
      <c r="V625" s="2" t="inlineStr">
        <is>
          <t>sí</t>
        </is>
      </c>
      <c r="W625" s="2" t="n"/>
      <c r="X625" s="2" t="n"/>
      <c r="Y625" s="2" t="n"/>
      <c r="Z625" s="2" t="inlineStr">
        <is>
          <t>no</t>
        </is>
      </c>
      <c r="AA625" s="2" t="n"/>
      <c r="AB625" s="2" t="n"/>
      <c r="AC625" s="2" t="n"/>
      <c r="AD625" s="2" t="n"/>
      <c r="AE625" s="2" t="n"/>
      <c r="AF625" s="2" t="n"/>
      <c r="AG625" s="2" t="n"/>
      <c r="AH625" s="2" t="n">
        <v>4990</v>
      </c>
      <c r="AI625" s="2" t="n"/>
      <c r="AJ625" s="2" t="n"/>
      <c r="AK625" s="2" t="n"/>
      <c r="AL625" s="2" t="n"/>
      <c r="AM625" s="2" t="n"/>
      <c r="AN625" s="2" t="n"/>
      <c r="AO625" s="2" t="n"/>
      <c r="AP625" s="2" t="n"/>
      <c r="AQ625" s="2" t="n"/>
      <c r="AR625" s="2" t="inlineStr">
        <is>
          <t>por encima del presupuesto (5194 €), negociar; cilindrada desconocida: se aplica el tramo de cuota fija más alto; cuota fija ITP: &gt;12 años, más de 2.000 cc; distancia no verificable (el anuncio solo indica la provincia): confirmar que está a &lt;= 70 km; fiabilidad del modelo PENDIENTE de fuente (puntuación neutra); mediana con solo 1 anuncio(s)</t>
        </is>
      </c>
      <c r="AS625" s="2" t="inlineStr">
        <is>
          <t>Peugeot 206+ 1.1 de 60 cv con motor de poco consumo. ITV recién pasada y sin defectos hasta octubre 2027. Mantenimiento de aceite, filtros, niveles y carga de aire a/c recién hecho. Neumáticos buen estado. No hay que gastarse nada en el coche. 2 llaves, aire acondicionado, elevalunas eléctricos, espejos eléctricos, dirección asistida, radio cd origen, cierre centralizado, antinieblas... Tapicería e interior impecable (no fumador) y chapa buen estado. Etiqueta medioambiental C.</t>
        </is>
      </c>
      <c r="AT625" s="2" t="inlineStr">
        <is>
          <t>https://www.coches.net/peugeot-206-gasolina-2010-en-castellon-71623136-covo.aspx (window.__INITIAL_PROPS__.ad) /home/user/Alopecia/buscador-coches/raw/cochesnet/c7d81d1927f422bb.json</t>
        </is>
      </c>
      <c r="AU625" s="3">
        <f>MAX(ANIO_ACTUAL-M625,0)</f>
        <v/>
      </c>
      <c r="AV625" s="4">
        <f>N625/MAX(AU625,0.5)</f>
        <v/>
      </c>
      <c r="AW625" s="4">
        <f>F625</f>
        <v/>
      </c>
      <c r="AX625" s="3">
        <f>AW625&amp;"|"&amp;INT(M625/SEG_ANIO)*SEG_ANIO</f>
        <v/>
      </c>
      <c r="AY625" s="3">
        <f>AX625&amp;"|"&amp;INT(N625/SEG_KM)*SEG_KM</f>
        <v/>
      </c>
      <c r="AZ625" s="4">
        <f>COUNTIF($AW$2:$AW$662,AW625)</f>
        <v/>
      </c>
      <c r="BA625" s="4">
        <f>COUNTIF($AX$2:$AX$662,AX625)</f>
        <v/>
      </c>
      <c r="BB625" s="4">
        <f>COUNTIF($AY$2:$AY$662,AY625)</f>
        <v/>
      </c>
      <c r="BC625" s="3">
        <f t="array" ref="BC625">IF(N(AO625)&gt;=MIN_N,AN625,IF(BB625&gt;=MIN_N,MEDIAN(IF($AY$2:$AY$662=AY625,$O$2:$O$662)),IF(BA625&gt;=MIN_N,MEDIAN(IF($AX$2:$AX$662=AX625,$O$2:$O$662)),MEDIAN(IF($AW$2:$AW$662=AW625,$O$2:$O$662)))))</f>
        <v/>
      </c>
      <c r="BD625" s="3">
        <f>IF(N(AO625)&gt;=MIN_N,"mercado "&amp;AP625,IF(BB625&gt;=MIN_N,"modelo+año+km",IF(BA625&gt;=MIN_N,"modelo+año","modelo")))</f>
        <v/>
      </c>
      <c r="BE625" s="4">
        <f>(BC625-O625)/BC625</f>
        <v/>
      </c>
      <c r="BF625" s="3">
        <f>IF(OR(K625="hibrido",K625="glp"),"ECO",IF(K625="electrico","CERO",IF(K625="gasolina",IF(M625&gt;=GAS_C,"C",IF(M625&gt;=GAS_B,"B","A")),IF(K625="diesel",IF(M625&gt;=DIE_C,"C",IF(M625&gt;=DIE_B,"B","A")),""))))</f>
        <v/>
      </c>
      <c r="BG625" s="3">
        <f>IFERROR(VLOOKUP(F625,MOD_TBL,11,0),IFERROR(VLOOKUP(E625,OCU_TBL,2,0),NEUTRO))</f>
        <v/>
      </c>
      <c r="BH625" s="3">
        <f>SUMIFS(MOT_AJUSTE,MOT_MOTOR,G625,MOT_MARCA,E625,MOT_DESDE,"&lt;="&amp;M625,MOT_HASTA,"&gt;="&amp;M625)+SUMIFS(MOT_AJUSTE,MOT_MOTOR,G625,MOT_MARCA,"(todas)",MOT_DESDE,"&lt;="&amp;M625,MOT_HASTA,"&gt;="&amp;M625)</f>
        <v/>
      </c>
      <c r="BI625" s="3">
        <f>SUMIFS(COMB_AJUSTE,COMB_COMB,K625)</f>
        <v/>
      </c>
      <c r="BJ625" s="3">
        <f>COUNTIFS(MOT_MOTOR,G625,MOT_MARCA,E625,MOT_DESDE,"&lt;="&amp;M625,MOT_HASTA,"&gt;="&amp;M625)+COUNTIFS(MOT_MOTOR,G625,MOT_MARCA,"(todas)",MOT_DESDE,"&lt;="&amp;M625,MOT_HASTA,"&gt;="&amp;M625)</f>
        <v/>
      </c>
      <c r="BK625" s="3">
        <f>IF(AND(K625="diesel",BJ625=0),MIN(BG625,NEUTRO),BG625)</f>
        <v/>
      </c>
      <c r="BL625" s="4">
        <f>MAX(0,MIN(100,BK625+BH625+BI625))</f>
        <v/>
      </c>
      <c r="BM625" s="3">
        <f>MAX(0,MIN(100,50+BE625*PRECIO_PEND))</f>
        <v/>
      </c>
      <c r="BN625" s="3">
        <f>MAX(0,100*(1-N625/KM_MAX))</f>
        <v/>
      </c>
      <c r="BO625" s="3">
        <f>IF(AV625&lt;KMA_SOSP,IF(AA625="sí",100,KMA_PEN),IF(AV625&lt;=KMA_IDEAL_MAX,100,MAX(0,100*(KMA_CERO-AV625)/(KMA_CERO-KMA_IDEAL_MAX))))</f>
        <v/>
      </c>
      <c r="BP625" s="3">
        <f>MAX(0,MIN(100,100*(M625-ANIO_MIN)/(ANIO_ACTUAL-ANIO_MIN)))</f>
        <v/>
      </c>
      <c r="BQ625" s="3">
        <f>W_KMT*BN625+W_KMA*BO625+W_EDAD*BP625</f>
        <v/>
      </c>
      <c r="BR625" s="3">
        <f>P_ITV*(V625="sí")+P_LIBRO*(W625="sí")+P_CORREA*(X625="sí")+P_PROP*(Y625=1)+P_GAR*(Z625="sí")+P_FOTOS*MIN(1,N(U625)/FOTOS_OBJ)</f>
        <v/>
      </c>
      <c r="BS625" s="3">
        <f>IFERROR(VLOOKUP(BF625,ETQ_TBL,2,0),NEUTRO)</f>
        <v/>
      </c>
      <c r="BT625" s="3">
        <f>NEUTRO</f>
        <v/>
      </c>
      <c r="BU625" s="3">
        <f>IFERROR(VLOOKUP(L625,SEGURO_TBL,3,0),"")</f>
        <v/>
      </c>
      <c r="BV625" s="3">
        <f>IF(BU625="",NEUTRO,MAX(0,MIN(100,100*(SEG_REF_MAX-BU625)/(SEG_REF_MAX-SEG_REF_MIN))))</f>
        <v/>
      </c>
      <c r="BW625" s="3">
        <f>W_ET*BS625+W_CONS*BT625+W_SEG*BV625</f>
        <v/>
      </c>
      <c r="BX625" s="3">
        <f>IF(N(AB625)&gt;0,AB625,IF(AND(R625="profesional",SG_LEGAL_ON=1),GAR_LEGAL,0))</f>
        <v/>
      </c>
      <c r="BY625" s="3">
        <f>SG_GAR*MIN(1,BX625/SG_GAR_FULL)+SG_AMPL*(AC625="sí")+SG_KMC*(AF625="sí")+SG_REV*(N(AE625)&gt;0)+SG_DEV*MIN(1,N(AG625)/SG_DEV_FULL)+SG_HIST*(W625="sí")</f>
        <v/>
      </c>
      <c r="BZ625" s="3">
        <f>IFERROR(VLOOKUP(L625,CARR_PEN_TBL,2,0),0)</f>
        <v/>
      </c>
      <c r="CA625" s="3">
        <f>W_FIAB*BL625+W_PRECIO*BM625+W_KMEDAD*BQ625+W_ANUNCIO*BR625+W_USO*BW625+W_SEGURIDAD*BY625-BZ625</f>
        <v/>
      </c>
      <c r="CB625" s="4">
        <f>IF(N(I625)&gt;0,I625,IFERROR(ROUND(_xlfn.NUMBERVALUE(LEFT(G625,FIND(" ",G625&amp;" ")-1),".")*1000,0),99999))</f>
        <v/>
      </c>
      <c r="CC625" s="3">
        <f>IF(R625="profesional",0,IF(O625&lt;CUOTA_VALOR_MAX,IF(AU625&gt;ITP_TRAMO_ALTO,SUMIFS(CF_CUOTA,CF_MAS,ITP_TRAMO_ALTO,CF_CCMIN,"&lt;="&amp;CB625,CF_CCMAX,"&gt;="&amp;CB625),IF(AU625&gt;ITP_TRAMO_BAJO,SUMIFS(CF_CUOTA,CF_MAS,ITP_TRAMO_BAJO,CF_CCMIN,"&lt;="&amp;CB625,CF_CCMAX,"&gt;="&amp;CB625),O625*ITP_TIPO)),O625*ITP_TIPO))</f>
        <v/>
      </c>
      <c r="CD625" s="4">
        <f>IF(R625="profesional",N(AK625),0)</f>
        <v/>
      </c>
      <c r="CE625" s="3">
        <f>IF(AND(R625="profesional",ISNUMBER(AK625),AL625="sí"),0,TASA_DGT)</f>
        <v/>
      </c>
      <c r="CF625" s="3">
        <f>INFORME_DGT</f>
        <v/>
      </c>
      <c r="CG625" s="4">
        <f>O625+CD625+CC625+CE625+CF625</f>
        <v/>
      </c>
      <c r="CH625" s="4">
        <f>CG625+N(BU625)</f>
        <v/>
      </c>
      <c r="CI625" s="3">
        <f>IF(CG625&lt;=TOTAL_MAX,"sí",IF(CG625&lt;=TOTAL_MAX+MARGEN_NEG,"negociar","no"))</f>
        <v/>
      </c>
      <c r="CJ625" s="4">
        <f>IF(CI625&lt;&gt;"no",COUNTIFS($CI$2:$CI$662,"&lt;&gt;no",$CA$2:$CA$662,"&gt;"&amp;CA625)+COUNTIFS($CI$2:CI625,"&lt;&gt;no",$CA$2:CA625,CA625),"")</f>
        <v/>
      </c>
    </row>
    <row r="626">
      <c r="A626" s="2" t="inlineStr">
        <is>
          <t>cochesnet:71604952</t>
        </is>
      </c>
      <c r="B626" s="2" t="inlineStr">
        <is>
          <t>cochesnet</t>
        </is>
      </c>
      <c r="C626" s="2" t="inlineStr">
        <is>
          <t>https://www.coches.net/peugeot-207-active-14-hdi-70-fap-5p-diesel-2011-en-castellon-71604952-covo.aspx</t>
        </is>
      </c>
      <c r="D626" s="2" t="inlineStr">
        <is>
          <t>PEUGEOT 207 ACTIVE 1.4 HDI 70 FAP</t>
        </is>
      </c>
      <c r="E626" s="2" t="inlineStr">
        <is>
          <t>Peugeot</t>
        </is>
      </c>
      <c r="F626" s="2" t="inlineStr">
        <is>
          <t>Peugeot 207</t>
        </is>
      </c>
      <c r="G626" s="2" t="inlineStr">
        <is>
          <t>1.4 HDi</t>
        </is>
      </c>
      <c r="H626" s="2" t="inlineStr">
        <is>
          <t>ACTIVE 1.4 HDI 70 FAP</t>
        </is>
      </c>
      <c r="I626" s="2" t="n"/>
      <c r="J626" s="2" t="n"/>
      <c r="K626" s="2" t="inlineStr">
        <is>
          <t>diesel</t>
        </is>
      </c>
      <c r="L626" s="2" t="inlineStr">
        <is>
          <t>utilitario</t>
        </is>
      </c>
      <c r="M626" s="2" t="n">
        <v>2011</v>
      </c>
      <c r="N626" s="2" t="n">
        <v>130000</v>
      </c>
      <c r="O626" s="2" t="n">
        <v>4800</v>
      </c>
      <c r="P626" s="2" t="inlineStr">
        <is>
          <t>manual</t>
        </is>
      </c>
      <c r="Q626" s="2" t="inlineStr">
        <is>
          <t>no</t>
        </is>
      </c>
      <c r="R626" s="2" t="inlineStr">
        <is>
          <t>particular</t>
        </is>
      </c>
      <c r="S626" s="2" t="inlineStr">
        <is>
          <t>Castellón de la Plana / Castelló de la Plana</t>
        </is>
      </c>
      <c r="T626" s="2" t="inlineStr">
        <is>
          <t>2026-09-26T16:30:12Z</t>
        </is>
      </c>
      <c r="U626" s="2" t="n">
        <v>4</v>
      </c>
      <c r="V626" s="2" t="inlineStr">
        <is>
          <t>sí</t>
        </is>
      </c>
      <c r="W626" s="2" t="n"/>
      <c r="X626" s="2" t="inlineStr">
        <is>
          <t>sí</t>
        </is>
      </c>
      <c r="Y626" s="2" t="n"/>
      <c r="Z626" s="2" t="inlineStr">
        <is>
          <t>no</t>
        </is>
      </c>
      <c r="AA626" s="2" t="n"/>
      <c r="AB626" s="2" t="n"/>
      <c r="AC626" s="2" t="n"/>
      <c r="AD626" s="2" t="n"/>
      <c r="AE626" s="2" t="n"/>
      <c r="AF626" s="2" t="n"/>
      <c r="AG626" s="2" t="n"/>
      <c r="AH626" s="2" t="n">
        <v>4800</v>
      </c>
      <c r="AI626" s="2" t="n"/>
      <c r="AJ626" s="2" t="n"/>
      <c r="AK626" s="2" t="n"/>
      <c r="AL626" s="2" t="n"/>
      <c r="AM626" s="2" t="n"/>
      <c r="AN626" s="2" t="n">
        <v>4490</v>
      </c>
      <c r="AO626" s="2" t="n">
        <v>15</v>
      </c>
      <c r="AP626" s="2" t="inlineStr">
        <is>
          <t>modelo+año+km</t>
        </is>
      </c>
      <c r="AQ626" s="2" t="n"/>
      <c r="AR626" s="2" t="inlineStr">
        <is>
          <t>cuota fija ITP: &gt;12 años, hasta 1.500 cc; distancia no verificable (el anuncio solo indica la provincia): confirmar que está a &lt;= 70 km; fiabilidad del modelo PENDIENTE de fuente (puntuación neutra)</t>
        </is>
      </c>
      <c r="AS626" s="2" t="inlineStr">
        <is>
          <t>Peugeot 207 1.4 HDi 70 CV, 5 puertas, en buen estado y muy económico. Dispone de aire acondicionado, ITV hasta 2027 y se entrega con 2 llaves. Correa de distribución cambiada hace 30.000 km. Coche práctico y cómodo para el día a día, con etiqueta ambiental B. Se puede ver y probar sin compromiso.</t>
        </is>
      </c>
      <c r="AT626" s="2" t="inlineStr">
        <is>
          <t>https://www.coches.net/peugeot-207-active-14-hdi-70-fap-5p-diesel-2011-en-castellon-71604952-covo.aspx (window.__INITIAL_PROPS__.ad) /home/user/Alopecia/buscador-coches/raw/cochesnet/e77f3f36bc622b13.json</t>
        </is>
      </c>
      <c r="AU626" s="3">
        <f>MAX(ANIO_ACTUAL-M626,0)</f>
        <v/>
      </c>
      <c r="AV626" s="4">
        <f>N626/MAX(AU626,0.5)</f>
        <v/>
      </c>
      <c r="AW626" s="4">
        <f>F626</f>
        <v/>
      </c>
      <c r="AX626" s="3">
        <f>AW626&amp;"|"&amp;INT(M626/SEG_ANIO)*SEG_ANIO</f>
        <v/>
      </c>
      <c r="AY626" s="3">
        <f>AX626&amp;"|"&amp;INT(N626/SEG_KM)*SEG_KM</f>
        <v/>
      </c>
      <c r="AZ626" s="4">
        <f>COUNTIF($AW$2:$AW$662,AW626)</f>
        <v/>
      </c>
      <c r="BA626" s="4">
        <f>COUNTIF($AX$2:$AX$662,AX626)</f>
        <v/>
      </c>
      <c r="BB626" s="4">
        <f>COUNTIF($AY$2:$AY$662,AY626)</f>
        <v/>
      </c>
      <c r="BC626" s="3">
        <f t="array" ref="BC626">IF(N(AO626)&gt;=MIN_N,AN626,IF(BB626&gt;=MIN_N,MEDIAN(IF($AY$2:$AY$662=AY626,$O$2:$O$662)),IF(BA626&gt;=MIN_N,MEDIAN(IF($AX$2:$AX$662=AX626,$O$2:$O$662)),MEDIAN(IF($AW$2:$AW$662=AW626,$O$2:$O$662)))))</f>
        <v/>
      </c>
      <c r="BD626" s="3">
        <f>IF(N(AO626)&gt;=MIN_N,"mercado "&amp;AP626,IF(BB626&gt;=MIN_N,"modelo+año+km",IF(BA626&gt;=MIN_N,"modelo+año","modelo")))</f>
        <v/>
      </c>
      <c r="BE626" s="4">
        <f>(BC626-O626)/BC626</f>
        <v/>
      </c>
      <c r="BF626" s="3">
        <f>IF(OR(K626="hibrido",K626="glp"),"ECO",IF(K626="electrico","CERO",IF(K626="gasolina",IF(M626&gt;=GAS_C,"C",IF(M626&gt;=GAS_B,"B","A")),IF(K626="diesel",IF(M626&gt;=DIE_C,"C",IF(M626&gt;=DIE_B,"B","A")),""))))</f>
        <v/>
      </c>
      <c r="BG626" s="3">
        <f>IFERROR(VLOOKUP(F626,MOD_TBL,11,0),IFERROR(VLOOKUP(E626,OCU_TBL,2,0),NEUTRO))</f>
        <v/>
      </c>
      <c r="BH626" s="3">
        <f>SUMIFS(MOT_AJUSTE,MOT_MOTOR,G626,MOT_MARCA,E626,MOT_DESDE,"&lt;="&amp;M626,MOT_HASTA,"&gt;="&amp;M626)+SUMIFS(MOT_AJUSTE,MOT_MOTOR,G626,MOT_MARCA,"(todas)",MOT_DESDE,"&lt;="&amp;M626,MOT_HASTA,"&gt;="&amp;M626)</f>
        <v/>
      </c>
      <c r="BI626" s="3">
        <f>SUMIFS(COMB_AJUSTE,COMB_COMB,K626)</f>
        <v/>
      </c>
      <c r="BJ626" s="3">
        <f>COUNTIFS(MOT_MOTOR,G626,MOT_MARCA,E626,MOT_DESDE,"&lt;="&amp;M626,MOT_HASTA,"&gt;="&amp;M626)+COUNTIFS(MOT_MOTOR,G626,MOT_MARCA,"(todas)",MOT_DESDE,"&lt;="&amp;M626,MOT_HASTA,"&gt;="&amp;M626)</f>
        <v/>
      </c>
      <c r="BK626" s="3">
        <f>IF(AND(K626="diesel",BJ626=0),MIN(BG626,NEUTRO),BG626)</f>
        <v/>
      </c>
      <c r="BL626" s="4">
        <f>MAX(0,MIN(100,BK626+BH626+BI626))</f>
        <v/>
      </c>
      <c r="BM626" s="3">
        <f>MAX(0,MIN(100,50+BE626*PRECIO_PEND))</f>
        <v/>
      </c>
      <c r="BN626" s="3">
        <f>MAX(0,100*(1-N626/KM_MAX))</f>
        <v/>
      </c>
      <c r="BO626" s="3">
        <f>IF(AV626&lt;KMA_SOSP,IF(AA626="sí",100,KMA_PEN),IF(AV626&lt;=KMA_IDEAL_MAX,100,MAX(0,100*(KMA_CERO-AV626)/(KMA_CERO-KMA_IDEAL_MAX))))</f>
        <v/>
      </c>
      <c r="BP626" s="3">
        <f>MAX(0,MIN(100,100*(M626-ANIO_MIN)/(ANIO_ACTUAL-ANIO_MIN)))</f>
        <v/>
      </c>
      <c r="BQ626" s="3">
        <f>W_KMT*BN626+W_KMA*BO626+W_EDAD*BP626</f>
        <v/>
      </c>
      <c r="BR626" s="3">
        <f>P_ITV*(V626="sí")+P_LIBRO*(W626="sí")+P_CORREA*(X626="sí")+P_PROP*(Y626=1)+P_GAR*(Z626="sí")+P_FOTOS*MIN(1,N(U626)/FOTOS_OBJ)</f>
        <v/>
      </c>
      <c r="BS626" s="3">
        <f>IFERROR(VLOOKUP(BF626,ETQ_TBL,2,0),NEUTRO)</f>
        <v/>
      </c>
      <c r="BT626" s="3">
        <f>NEUTRO</f>
        <v/>
      </c>
      <c r="BU626" s="3">
        <f>IFERROR(VLOOKUP(L626,SEGURO_TBL,3,0),"")</f>
        <v/>
      </c>
      <c r="BV626" s="3">
        <f>IF(BU626="",NEUTRO,MAX(0,MIN(100,100*(SEG_REF_MAX-BU626)/(SEG_REF_MAX-SEG_REF_MIN))))</f>
        <v/>
      </c>
      <c r="BW626" s="3">
        <f>W_ET*BS626+W_CONS*BT626+W_SEG*BV626</f>
        <v/>
      </c>
      <c r="BX626" s="3">
        <f>IF(N(AB626)&gt;0,AB626,IF(AND(R626="profesional",SG_LEGAL_ON=1),GAR_LEGAL,0))</f>
        <v/>
      </c>
      <c r="BY626" s="3">
        <f>SG_GAR*MIN(1,BX626/SG_GAR_FULL)+SG_AMPL*(AC626="sí")+SG_KMC*(AF626="sí")+SG_REV*(N(AE626)&gt;0)+SG_DEV*MIN(1,N(AG626)/SG_DEV_FULL)+SG_HIST*(W626="sí")</f>
        <v/>
      </c>
      <c r="BZ626" s="3">
        <f>IFERROR(VLOOKUP(L626,CARR_PEN_TBL,2,0),0)</f>
        <v/>
      </c>
      <c r="CA626" s="3">
        <f>W_FIAB*BL626+W_PRECIO*BM626+W_KMEDAD*BQ626+W_ANUNCIO*BR626+W_USO*BW626+W_SEGURIDAD*BY626-BZ626</f>
        <v/>
      </c>
      <c r="CB626" s="4">
        <f>IF(N(I626)&gt;0,I626,IFERROR(ROUND(_xlfn.NUMBERVALUE(LEFT(G626,FIND(" ",G626&amp;" ")-1),".")*1000,0),99999))</f>
        <v/>
      </c>
      <c r="CC626" s="3">
        <f>IF(R626="profesional",0,IF(O626&lt;CUOTA_VALOR_MAX,IF(AU626&gt;ITP_TRAMO_ALTO,SUMIFS(CF_CUOTA,CF_MAS,ITP_TRAMO_ALTO,CF_CCMIN,"&lt;="&amp;CB626,CF_CCMAX,"&gt;="&amp;CB626),IF(AU626&gt;ITP_TRAMO_BAJO,SUMIFS(CF_CUOTA,CF_MAS,ITP_TRAMO_BAJO,CF_CCMIN,"&lt;="&amp;CB626,CF_CCMAX,"&gt;="&amp;CB626),O626*ITP_TIPO)),O626*ITP_TIPO))</f>
        <v/>
      </c>
      <c r="CD626" s="4">
        <f>IF(R626="profesional",N(AK626),0)</f>
        <v/>
      </c>
      <c r="CE626" s="3">
        <f>IF(AND(R626="profesional",ISNUMBER(AK626),AL626="sí"),0,TASA_DGT)</f>
        <v/>
      </c>
      <c r="CF626" s="3">
        <f>INFORME_DGT</f>
        <v/>
      </c>
      <c r="CG626" s="4">
        <f>O626+CD626+CC626+CE626+CF626</f>
        <v/>
      </c>
      <c r="CH626" s="4">
        <f>CG626+N(BU626)</f>
        <v/>
      </c>
      <c r="CI626" s="3">
        <f>IF(CG626&lt;=TOTAL_MAX,"sí",IF(CG626&lt;=TOTAL_MAX+MARGEN_NEG,"negociar","no"))</f>
        <v/>
      </c>
      <c r="CJ626" s="4">
        <f>IF(CI626&lt;&gt;"no",COUNTIFS($CI$2:$CI$662,"&lt;&gt;no",$CA$2:$CA$662,"&gt;"&amp;CA626)+COUNTIFS($CI$2:CI626,"&lt;&gt;no",$CA$2:CA626,CA626),"")</f>
        <v/>
      </c>
    </row>
    <row r="627">
      <c r="A627" s="2" t="inlineStr">
        <is>
          <t>cochesnet:71575695</t>
        </is>
      </c>
      <c r="B627" s="2" t="inlineStr">
        <is>
          <t>cochesnet</t>
        </is>
      </c>
      <c r="C627" s="2" t="inlineStr">
        <is>
          <t>https://www.coches.net/peugeot-508-access-16-hdi-112cv-4p-diesel-2011-en-castellon-71575695-covo.aspx</t>
        </is>
      </c>
      <c r="D627" s="2" t="inlineStr">
        <is>
          <t>PEUGEOT 508 Access 1.6 HDI</t>
        </is>
      </c>
      <c r="E627" s="2" t="inlineStr">
        <is>
          <t>Peugeot</t>
        </is>
      </c>
      <c r="F627" s="2" t="inlineStr">
        <is>
          <t>Peugeot 508</t>
        </is>
      </c>
      <c r="G627" s="2" t="inlineStr">
        <is>
          <t>1.6 HDi</t>
        </is>
      </c>
      <c r="H627" s="2" t="inlineStr">
        <is>
          <t>Access 1.6 HDI 112cv</t>
        </is>
      </c>
      <c r="I627" s="2" t="n"/>
      <c r="J627" s="2" t="n">
        <v>112</v>
      </c>
      <c r="K627" s="2" t="inlineStr">
        <is>
          <t>diesel</t>
        </is>
      </c>
      <c r="L627" s="2" t="inlineStr">
        <is>
          <t>berlina</t>
        </is>
      </c>
      <c r="M627" s="2" t="n">
        <v>2011</v>
      </c>
      <c r="N627" s="2" t="n">
        <v>209000</v>
      </c>
      <c r="O627" s="2" t="n">
        <v>4500</v>
      </c>
      <c r="P627" s="2" t="inlineStr">
        <is>
          <t>manual</t>
        </is>
      </c>
      <c r="Q627" s="2" t="inlineStr">
        <is>
          <t>no</t>
        </is>
      </c>
      <c r="R627" s="2" t="inlineStr">
        <is>
          <t>particular</t>
        </is>
      </c>
      <c r="S627" s="2" t="inlineStr">
        <is>
          <t>Burriana (Borriana)</t>
        </is>
      </c>
      <c r="T627" s="2" t="inlineStr">
        <is>
          <t>2026-09-22T20:39:49Z</t>
        </is>
      </c>
      <c r="U627" s="2" t="n">
        <v>8</v>
      </c>
      <c r="V627" s="2" t="n"/>
      <c r="W627" s="2" t="n"/>
      <c r="X627" s="2" t="n"/>
      <c r="Y627" s="2" t="n"/>
      <c r="Z627" s="2" t="inlineStr">
        <is>
          <t>no</t>
        </is>
      </c>
      <c r="AA627" s="2" t="n"/>
      <c r="AB627" s="2" t="n"/>
      <c r="AC627" s="2" t="n"/>
      <c r="AD627" s="2" t="n"/>
      <c r="AE627" s="2" t="n"/>
      <c r="AF627" s="2" t="n"/>
      <c r="AG627" s="2" t="n"/>
      <c r="AH627" s="2" t="n">
        <v>4500</v>
      </c>
      <c r="AI627" s="2" t="n"/>
      <c r="AJ627" s="2" t="n"/>
      <c r="AK627" s="2" t="n"/>
      <c r="AL627" s="2" t="n"/>
      <c r="AM627" s="2" t="n">
        <v>52.9</v>
      </c>
      <c r="AN627" s="2" t="n"/>
      <c r="AO627" s="2" t="n"/>
      <c r="AP627" s="2" t="n"/>
      <c r="AQ627" s="2" t="n"/>
      <c r="AR627" s="2" t="inlineStr">
        <is>
          <t>cuota fija ITP: &gt;12 años, 1.501-2.000 cc; carrocería berlina: -4 puntos; fiabilidad del modelo PENDIENTE de fuente (puntuación neutra); mediana con solo 1 anuncio(s)</t>
        </is>
      </c>
      <c r="AS627" s="2" t="inlineStr">
        <is>
          <t>Perfecto para quienes buscan fiabilidad, estilo y buen rendimiento a un precio justo.
Te presento este Peugeot 508 Access, un berlina diésel que combina eficiencia y potencia en una propuesta atractiva. Con su motor de 1.6 HDI de 112 CV, disfrutarás de un consumo controlado sin renunciar a la capacidad de respuesta en carretera, ideal tanto para desplazamientos urbanos como para viajes más largos.
El estado general del vehículo es bueno, tanto en el exterior como en el interior. Se trata de un coche funcional y bien conservado, con la robustez característica de los modelos Peugeot de esta generación. La carrocería blanca mantiene su aspecto limpio, y el interior refleja un uso habitual pero cuidadoso.
Con cambio manual y cinco plazas, ofrece versatilidad para tu día a día. Su configuración como berlina de cuatro puertas lo hace práctico y accesible para toda la familia.
Este modelo destaca por su relación calidad-precio en el segmento de los vehículos diésel. Si buscas un coche que te ofrezca fiabilidad mecánica, bajo consumo y un funcionamiento sin complicaciones, este Peugeot 508 es una opción a considerar seriamente.
Funciona perfectamente.
Consulta sin compromiso.</t>
        </is>
      </c>
      <c r="AT627" s="2" t="inlineStr">
        <is>
          <t>https://www.coches.net/peugeot-508-access-16-hdi-112cv-4p-diesel-2011-en-castellon-71575695-covo.aspx (window.__INITIAL_PROPS__.ad) /home/user/Alopecia/buscador-coches/raw/cochesnet/164ffeb01271b5a6.json</t>
        </is>
      </c>
      <c r="AU627" s="3">
        <f>MAX(ANIO_ACTUAL-M627,0)</f>
        <v/>
      </c>
      <c r="AV627" s="4">
        <f>N627/MAX(AU627,0.5)</f>
        <v/>
      </c>
      <c r="AW627" s="4">
        <f>F627</f>
        <v/>
      </c>
      <c r="AX627" s="3">
        <f>AW627&amp;"|"&amp;INT(M627/SEG_ANIO)*SEG_ANIO</f>
        <v/>
      </c>
      <c r="AY627" s="3">
        <f>AX627&amp;"|"&amp;INT(N627/SEG_KM)*SEG_KM</f>
        <v/>
      </c>
      <c r="AZ627" s="4">
        <f>COUNTIF($AW$2:$AW$662,AW627)</f>
        <v/>
      </c>
      <c r="BA627" s="4">
        <f>COUNTIF($AX$2:$AX$662,AX627)</f>
        <v/>
      </c>
      <c r="BB627" s="4">
        <f>COUNTIF($AY$2:$AY$662,AY627)</f>
        <v/>
      </c>
      <c r="BC627" s="3">
        <f t="array" ref="BC627">IF(N(AO627)&gt;=MIN_N,AN627,IF(BB627&gt;=MIN_N,MEDIAN(IF($AY$2:$AY$662=AY627,$O$2:$O$662)),IF(BA627&gt;=MIN_N,MEDIAN(IF($AX$2:$AX$662=AX627,$O$2:$O$662)),MEDIAN(IF($AW$2:$AW$662=AW627,$O$2:$O$662)))))</f>
        <v/>
      </c>
      <c r="BD627" s="3">
        <f>IF(N(AO627)&gt;=MIN_N,"mercado "&amp;AP627,IF(BB627&gt;=MIN_N,"modelo+año+km",IF(BA627&gt;=MIN_N,"modelo+año","modelo")))</f>
        <v/>
      </c>
      <c r="BE627" s="4">
        <f>(BC627-O627)/BC627</f>
        <v/>
      </c>
      <c r="BF627" s="3">
        <f>IF(OR(K627="hibrido",K627="glp"),"ECO",IF(K627="electrico","CERO",IF(K627="gasolina",IF(M627&gt;=GAS_C,"C",IF(M627&gt;=GAS_B,"B","A")),IF(K627="diesel",IF(M627&gt;=DIE_C,"C",IF(M627&gt;=DIE_B,"B","A")),""))))</f>
        <v/>
      </c>
      <c r="BG627" s="3">
        <f>IFERROR(VLOOKUP(F627,MOD_TBL,11,0),IFERROR(VLOOKUP(E627,OCU_TBL,2,0),NEUTRO))</f>
        <v/>
      </c>
      <c r="BH627" s="3">
        <f>SUMIFS(MOT_AJUSTE,MOT_MOTOR,G627,MOT_MARCA,E627,MOT_DESDE,"&lt;="&amp;M627,MOT_HASTA,"&gt;="&amp;M627)+SUMIFS(MOT_AJUSTE,MOT_MOTOR,G627,MOT_MARCA,"(todas)",MOT_DESDE,"&lt;="&amp;M627,MOT_HASTA,"&gt;="&amp;M627)</f>
        <v/>
      </c>
      <c r="BI627" s="3">
        <f>SUMIFS(COMB_AJUSTE,COMB_COMB,K627)</f>
        <v/>
      </c>
      <c r="BJ627" s="3">
        <f>COUNTIFS(MOT_MOTOR,G627,MOT_MARCA,E627,MOT_DESDE,"&lt;="&amp;M627,MOT_HASTA,"&gt;="&amp;M627)+COUNTIFS(MOT_MOTOR,G627,MOT_MARCA,"(todas)",MOT_DESDE,"&lt;="&amp;M627,MOT_HASTA,"&gt;="&amp;M627)</f>
        <v/>
      </c>
      <c r="BK627" s="3">
        <f>IF(AND(K627="diesel",BJ627=0),MIN(BG627,NEUTRO),BG627)</f>
        <v/>
      </c>
      <c r="BL627" s="4">
        <f>MAX(0,MIN(100,BK627+BH627+BI627))</f>
        <v/>
      </c>
      <c r="BM627" s="3">
        <f>MAX(0,MIN(100,50+BE627*PRECIO_PEND))</f>
        <v/>
      </c>
      <c r="BN627" s="3">
        <f>MAX(0,100*(1-N627/KM_MAX))</f>
        <v/>
      </c>
      <c r="BO627" s="3">
        <f>IF(AV627&lt;KMA_SOSP,IF(AA627="sí",100,KMA_PEN),IF(AV627&lt;=KMA_IDEAL_MAX,100,MAX(0,100*(KMA_CERO-AV627)/(KMA_CERO-KMA_IDEAL_MAX))))</f>
        <v/>
      </c>
      <c r="BP627" s="3">
        <f>MAX(0,MIN(100,100*(M627-ANIO_MIN)/(ANIO_ACTUAL-ANIO_MIN)))</f>
        <v/>
      </c>
      <c r="BQ627" s="3">
        <f>W_KMT*BN627+W_KMA*BO627+W_EDAD*BP627</f>
        <v/>
      </c>
      <c r="BR627" s="3">
        <f>P_ITV*(V627="sí")+P_LIBRO*(W627="sí")+P_CORREA*(X627="sí")+P_PROP*(Y627=1)+P_GAR*(Z627="sí")+P_FOTOS*MIN(1,N(U627)/FOTOS_OBJ)</f>
        <v/>
      </c>
      <c r="BS627" s="3">
        <f>IFERROR(VLOOKUP(BF627,ETQ_TBL,2,0),NEUTRO)</f>
        <v/>
      </c>
      <c r="BT627" s="3">
        <f>NEUTRO</f>
        <v/>
      </c>
      <c r="BU627" s="3">
        <f>IFERROR(VLOOKUP(L627,SEGURO_TBL,3,0),"")</f>
        <v/>
      </c>
      <c r="BV627" s="3">
        <f>IF(BU627="",NEUTRO,MAX(0,MIN(100,100*(SEG_REF_MAX-BU627)/(SEG_REF_MAX-SEG_REF_MIN))))</f>
        <v/>
      </c>
      <c r="BW627" s="3">
        <f>W_ET*BS627+W_CONS*BT627+W_SEG*BV627</f>
        <v/>
      </c>
      <c r="BX627" s="3">
        <f>IF(N(AB627)&gt;0,AB627,IF(AND(R627="profesional",SG_LEGAL_ON=1),GAR_LEGAL,0))</f>
        <v/>
      </c>
      <c r="BY627" s="3">
        <f>SG_GAR*MIN(1,BX627/SG_GAR_FULL)+SG_AMPL*(AC627="sí")+SG_KMC*(AF627="sí")+SG_REV*(N(AE627)&gt;0)+SG_DEV*MIN(1,N(AG627)/SG_DEV_FULL)+SG_HIST*(W627="sí")</f>
        <v/>
      </c>
      <c r="BZ627" s="3">
        <f>IFERROR(VLOOKUP(L627,CARR_PEN_TBL,2,0),0)</f>
        <v/>
      </c>
      <c r="CA627" s="3">
        <f>W_FIAB*BL627+W_PRECIO*BM627+W_KMEDAD*BQ627+W_ANUNCIO*BR627+W_USO*BW627+W_SEGURIDAD*BY627-BZ627</f>
        <v/>
      </c>
      <c r="CB627" s="4">
        <f>IF(N(I627)&gt;0,I627,IFERROR(ROUND(_xlfn.NUMBERVALUE(LEFT(G627,FIND(" ",G627&amp;" ")-1),".")*1000,0),99999))</f>
        <v/>
      </c>
      <c r="CC627" s="3">
        <f>IF(R627="profesional",0,IF(O627&lt;CUOTA_VALOR_MAX,IF(AU627&gt;ITP_TRAMO_ALTO,SUMIFS(CF_CUOTA,CF_MAS,ITP_TRAMO_ALTO,CF_CCMIN,"&lt;="&amp;CB627,CF_CCMAX,"&gt;="&amp;CB627),IF(AU627&gt;ITP_TRAMO_BAJO,SUMIFS(CF_CUOTA,CF_MAS,ITP_TRAMO_BAJO,CF_CCMIN,"&lt;="&amp;CB627,CF_CCMAX,"&gt;="&amp;CB627),O627*ITP_TIPO)),O627*ITP_TIPO))</f>
        <v/>
      </c>
      <c r="CD627" s="4">
        <f>IF(R627="profesional",N(AK627),0)</f>
        <v/>
      </c>
      <c r="CE627" s="3">
        <f>IF(AND(R627="profesional",ISNUMBER(AK627),AL627="sí"),0,TASA_DGT)</f>
        <v/>
      </c>
      <c r="CF627" s="3">
        <f>INFORME_DGT</f>
        <v/>
      </c>
      <c r="CG627" s="4">
        <f>O627+CD627+CC627+CE627+CF627</f>
        <v/>
      </c>
      <c r="CH627" s="4">
        <f>CG627+N(BU627)</f>
        <v/>
      </c>
      <c r="CI627" s="3">
        <f>IF(CG627&lt;=TOTAL_MAX,"sí",IF(CG627&lt;=TOTAL_MAX+MARGEN_NEG,"negociar","no"))</f>
        <v/>
      </c>
      <c r="CJ627" s="4">
        <f>IF(CI627&lt;&gt;"no",COUNTIFS($CI$2:$CI$662,"&lt;&gt;no",$CA$2:$CA$662,"&gt;"&amp;CA627)+COUNTIFS($CI$2:CI627,"&lt;&gt;no",$CA$2:CA627,CA627),"")</f>
        <v/>
      </c>
    </row>
    <row r="628">
      <c r="A628" s="2" t="inlineStr">
        <is>
          <t>cochesnet:71554085</t>
        </is>
      </c>
      <c r="B628" s="2" t="inlineStr">
        <is>
          <t>cochesnet</t>
        </is>
      </c>
      <c r="C628" s="2" t="inlineStr">
        <is>
          <t>https://www.coches.net/peugeot-308-gasolina-2008-en-castellon-71554085-covo.aspx</t>
        </is>
      </c>
      <c r="D628" s="2" t="inlineStr">
        <is>
          <t>PEUGEOT 308</t>
        </is>
      </c>
      <c r="E628" s="2" t="inlineStr">
        <is>
          <t>Peugeot</t>
        </is>
      </c>
      <c r="F628" s="2" t="inlineStr">
        <is>
          <t>Peugeot 308</t>
        </is>
      </c>
      <c r="G628" s="2" t="n"/>
      <c r="H628" s="2" t="n"/>
      <c r="I628" s="2" t="n"/>
      <c r="J628" s="2" t="n"/>
      <c r="K628" s="2" t="inlineStr">
        <is>
          <t>gasolina</t>
        </is>
      </c>
      <c r="L628" s="2" t="inlineStr">
        <is>
          <t>compacto</t>
        </is>
      </c>
      <c r="M628" s="2" t="n">
        <v>2008</v>
      </c>
      <c r="N628" s="2" t="n">
        <v>188776</v>
      </c>
      <c r="O628" s="2" t="n">
        <v>4000</v>
      </c>
      <c r="P628" s="2" t="inlineStr">
        <is>
          <t>manual</t>
        </is>
      </c>
      <c r="Q628" s="2" t="inlineStr">
        <is>
          <t>no</t>
        </is>
      </c>
      <c r="R628" s="2" t="inlineStr">
        <is>
          <t>particular</t>
        </is>
      </c>
      <c r="S628" s="2" t="n"/>
      <c r="T628" s="2" t="inlineStr">
        <is>
          <t>2026-09-19T20:50:51Z</t>
        </is>
      </c>
      <c r="U628" s="2" t="n">
        <v>4</v>
      </c>
      <c r="V628" s="2" t="n"/>
      <c r="W628" s="2" t="n"/>
      <c r="X628" s="2" t="n"/>
      <c r="Y628" s="2" t="n"/>
      <c r="Z628" s="2" t="inlineStr">
        <is>
          <t>no</t>
        </is>
      </c>
      <c r="AA628" s="2" t="n"/>
      <c r="AB628" s="2" t="n"/>
      <c r="AC628" s="2" t="n"/>
      <c r="AD628" s="2" t="n"/>
      <c r="AE628" s="2" t="n"/>
      <c r="AF628" s="2" t="n"/>
      <c r="AG628" s="2" t="n"/>
      <c r="AH628" s="2" t="n">
        <v>4000</v>
      </c>
      <c r="AI628" s="2" t="n"/>
      <c r="AJ628" s="2" t="n"/>
      <c r="AK628" s="2" t="n"/>
      <c r="AL628" s="2" t="n"/>
      <c r="AM628" s="2" t="n"/>
      <c r="AN628" s="2" t="n">
        <v>4000</v>
      </c>
      <c r="AO628" s="2" t="n">
        <v>5</v>
      </c>
      <c r="AP628" s="2" t="inlineStr">
        <is>
          <t>modelo+año+km</t>
        </is>
      </c>
      <c r="AQ628" s="2" t="n"/>
      <c r="AR628" s="2" t="inlineStr">
        <is>
          <t>cilindrada desconocida: se aplica el tramo de cuota fija más alto; cuota fija ITP: &gt;12 años, más de 2.000 cc; distancia no verificable (el anuncio solo indica la provincia): confirmar que está a &lt;= 70 km</t>
        </is>
      </c>
      <c r="AS628" s="2" t="inlineStr">
        <is>
          <t>6??7??3??3??4??3??0??0??7??????</t>
        </is>
      </c>
      <c r="AT628" s="2" t="inlineStr">
        <is>
          <t>https://www.coches.net/peugeot-308-gasolina-2008-en-castellon-71554085-covo.aspx (window.__INITIAL_PROPS__.ad) /home/user/Alopecia/buscador-coches/raw/cochesnet/b82fb9223358e1bc.json</t>
        </is>
      </c>
      <c r="AU628" s="3">
        <f>MAX(ANIO_ACTUAL-M628,0)</f>
        <v/>
      </c>
      <c r="AV628" s="4">
        <f>N628/MAX(AU628,0.5)</f>
        <v/>
      </c>
      <c r="AW628" s="4">
        <f>F628</f>
        <v/>
      </c>
      <c r="AX628" s="3">
        <f>AW628&amp;"|"&amp;INT(M628/SEG_ANIO)*SEG_ANIO</f>
        <v/>
      </c>
      <c r="AY628" s="3">
        <f>AX628&amp;"|"&amp;INT(N628/SEG_KM)*SEG_KM</f>
        <v/>
      </c>
      <c r="AZ628" s="4">
        <f>COUNTIF($AW$2:$AW$662,AW628)</f>
        <v/>
      </c>
      <c r="BA628" s="4">
        <f>COUNTIF($AX$2:$AX$662,AX628)</f>
        <v/>
      </c>
      <c r="BB628" s="4">
        <f>COUNTIF($AY$2:$AY$662,AY628)</f>
        <v/>
      </c>
      <c r="BC628" s="3">
        <f t="array" ref="BC628">IF(N(AO628)&gt;=MIN_N,AN628,IF(BB628&gt;=MIN_N,MEDIAN(IF($AY$2:$AY$662=AY628,$O$2:$O$662)),IF(BA628&gt;=MIN_N,MEDIAN(IF($AX$2:$AX$662=AX628,$O$2:$O$662)),MEDIAN(IF($AW$2:$AW$662=AW628,$O$2:$O$662)))))</f>
        <v/>
      </c>
      <c r="BD628" s="3">
        <f>IF(N(AO628)&gt;=MIN_N,"mercado "&amp;AP628,IF(BB628&gt;=MIN_N,"modelo+año+km",IF(BA628&gt;=MIN_N,"modelo+año","modelo")))</f>
        <v/>
      </c>
      <c r="BE628" s="4">
        <f>(BC628-O628)/BC628</f>
        <v/>
      </c>
      <c r="BF628" s="3">
        <f>IF(OR(K628="hibrido",K628="glp"),"ECO",IF(K628="electrico","CERO",IF(K628="gasolina",IF(M628&gt;=GAS_C,"C",IF(M628&gt;=GAS_B,"B","A")),IF(K628="diesel",IF(M628&gt;=DIE_C,"C",IF(M628&gt;=DIE_B,"B","A")),""))))</f>
        <v/>
      </c>
      <c r="BG628" s="3">
        <f>IFERROR(VLOOKUP(F628,MOD_TBL,11,0),IFERROR(VLOOKUP(E628,OCU_TBL,2,0),NEUTRO))</f>
        <v/>
      </c>
      <c r="BH628" s="3">
        <f>SUMIFS(MOT_AJUSTE,MOT_MOTOR,G628,MOT_MARCA,E628,MOT_DESDE,"&lt;="&amp;M628,MOT_HASTA,"&gt;="&amp;M628)+SUMIFS(MOT_AJUSTE,MOT_MOTOR,G628,MOT_MARCA,"(todas)",MOT_DESDE,"&lt;="&amp;M628,MOT_HASTA,"&gt;="&amp;M628)</f>
        <v/>
      </c>
      <c r="BI628" s="3">
        <f>SUMIFS(COMB_AJUSTE,COMB_COMB,K628)</f>
        <v/>
      </c>
      <c r="BJ628" s="3">
        <f>COUNTIFS(MOT_MOTOR,G628,MOT_MARCA,E628,MOT_DESDE,"&lt;="&amp;M628,MOT_HASTA,"&gt;="&amp;M628)+COUNTIFS(MOT_MOTOR,G628,MOT_MARCA,"(todas)",MOT_DESDE,"&lt;="&amp;M628,MOT_HASTA,"&gt;="&amp;M628)</f>
        <v/>
      </c>
      <c r="BK628" s="3">
        <f>IF(AND(K628="diesel",BJ628=0),MIN(BG628,NEUTRO),BG628)</f>
        <v/>
      </c>
      <c r="BL628" s="4">
        <f>MAX(0,MIN(100,BK628+BH628+BI628))</f>
        <v/>
      </c>
      <c r="BM628" s="3">
        <f>MAX(0,MIN(100,50+BE628*PRECIO_PEND))</f>
        <v/>
      </c>
      <c r="BN628" s="3">
        <f>MAX(0,100*(1-N628/KM_MAX))</f>
        <v/>
      </c>
      <c r="BO628" s="3">
        <f>IF(AV628&lt;KMA_SOSP,IF(AA628="sí",100,KMA_PEN),IF(AV628&lt;=KMA_IDEAL_MAX,100,MAX(0,100*(KMA_CERO-AV628)/(KMA_CERO-KMA_IDEAL_MAX))))</f>
        <v/>
      </c>
      <c r="BP628" s="3">
        <f>MAX(0,MIN(100,100*(M628-ANIO_MIN)/(ANIO_ACTUAL-ANIO_MIN)))</f>
        <v/>
      </c>
      <c r="BQ628" s="3">
        <f>W_KMT*BN628+W_KMA*BO628+W_EDAD*BP628</f>
        <v/>
      </c>
      <c r="BR628" s="3">
        <f>P_ITV*(V628="sí")+P_LIBRO*(W628="sí")+P_CORREA*(X628="sí")+P_PROP*(Y628=1)+P_GAR*(Z628="sí")+P_FOTOS*MIN(1,N(U628)/FOTOS_OBJ)</f>
        <v/>
      </c>
      <c r="BS628" s="3">
        <f>IFERROR(VLOOKUP(BF628,ETQ_TBL,2,0),NEUTRO)</f>
        <v/>
      </c>
      <c r="BT628" s="3">
        <f>NEUTRO</f>
        <v/>
      </c>
      <c r="BU628" s="3">
        <f>IFERROR(VLOOKUP(L628,SEGURO_TBL,3,0),"")</f>
        <v/>
      </c>
      <c r="BV628" s="3">
        <f>IF(BU628="",NEUTRO,MAX(0,MIN(100,100*(SEG_REF_MAX-BU628)/(SEG_REF_MAX-SEG_REF_MIN))))</f>
        <v/>
      </c>
      <c r="BW628" s="3">
        <f>W_ET*BS628+W_CONS*BT628+W_SEG*BV628</f>
        <v/>
      </c>
      <c r="BX628" s="3">
        <f>IF(N(AB628)&gt;0,AB628,IF(AND(R628="profesional",SG_LEGAL_ON=1),GAR_LEGAL,0))</f>
        <v/>
      </c>
      <c r="BY628" s="3">
        <f>SG_GAR*MIN(1,BX628/SG_GAR_FULL)+SG_AMPL*(AC628="sí")+SG_KMC*(AF628="sí")+SG_REV*(N(AE628)&gt;0)+SG_DEV*MIN(1,N(AG628)/SG_DEV_FULL)+SG_HIST*(W628="sí")</f>
        <v/>
      </c>
      <c r="BZ628" s="3">
        <f>IFERROR(VLOOKUP(L628,CARR_PEN_TBL,2,0),0)</f>
        <v/>
      </c>
      <c r="CA628" s="3">
        <f>W_FIAB*BL628+W_PRECIO*BM628+W_KMEDAD*BQ628+W_ANUNCIO*BR628+W_USO*BW628+W_SEGURIDAD*BY628-BZ628</f>
        <v/>
      </c>
      <c r="CB628" s="4">
        <f>IF(N(I628)&gt;0,I628,IFERROR(ROUND(_xlfn.NUMBERVALUE(LEFT(G628,FIND(" ",G628&amp;" ")-1),".")*1000,0),99999))</f>
        <v/>
      </c>
      <c r="CC628" s="3">
        <f>IF(R628="profesional",0,IF(O628&lt;CUOTA_VALOR_MAX,IF(AU628&gt;ITP_TRAMO_ALTO,SUMIFS(CF_CUOTA,CF_MAS,ITP_TRAMO_ALTO,CF_CCMIN,"&lt;="&amp;CB628,CF_CCMAX,"&gt;="&amp;CB628),IF(AU628&gt;ITP_TRAMO_BAJO,SUMIFS(CF_CUOTA,CF_MAS,ITP_TRAMO_BAJO,CF_CCMIN,"&lt;="&amp;CB628,CF_CCMAX,"&gt;="&amp;CB628),O628*ITP_TIPO)),O628*ITP_TIPO))</f>
        <v/>
      </c>
      <c r="CD628" s="4">
        <f>IF(R628="profesional",N(AK628),0)</f>
        <v/>
      </c>
      <c r="CE628" s="3">
        <f>IF(AND(R628="profesional",ISNUMBER(AK628),AL628="sí"),0,TASA_DGT)</f>
        <v/>
      </c>
      <c r="CF628" s="3">
        <f>INFORME_DGT</f>
        <v/>
      </c>
      <c r="CG628" s="4">
        <f>O628+CD628+CC628+CE628+CF628</f>
        <v/>
      </c>
      <c r="CH628" s="4">
        <f>CG628+N(BU628)</f>
        <v/>
      </c>
      <c r="CI628" s="3">
        <f>IF(CG628&lt;=TOTAL_MAX,"sí",IF(CG628&lt;=TOTAL_MAX+MARGEN_NEG,"negociar","no"))</f>
        <v/>
      </c>
      <c r="CJ628" s="4">
        <f>IF(CI628&lt;&gt;"no",COUNTIFS($CI$2:$CI$662,"&lt;&gt;no",$CA$2:$CA$662,"&gt;"&amp;CA628)+COUNTIFS($CI$2:CI628,"&lt;&gt;no",$CA$2:CA628,CA628),"")</f>
        <v/>
      </c>
    </row>
    <row r="629">
      <c r="A629" s="2" t="inlineStr">
        <is>
          <t>cochesnet:71336300</t>
        </is>
      </c>
      <c r="B629" s="2" t="inlineStr">
        <is>
          <t>cochesnet</t>
        </is>
      </c>
      <c r="C629" s="2" t="inlineStr">
        <is>
          <t>https://www.coches.net/peugeot-308-gasolina-2008-en-castellon-71336300-covo.aspx</t>
        </is>
      </c>
      <c r="D629" s="2" t="inlineStr">
        <is>
          <t>PEUGEOT 308</t>
        </is>
      </c>
      <c r="E629" s="2" t="inlineStr">
        <is>
          <t>Peugeot</t>
        </is>
      </c>
      <c r="F629" s="2" t="inlineStr">
        <is>
          <t>Peugeot 308</t>
        </is>
      </c>
      <c r="G629" s="2" t="n"/>
      <c r="H629" s="2" t="n"/>
      <c r="I629" s="2" t="n"/>
      <c r="J629" s="2" t="n"/>
      <c r="K629" s="2" t="inlineStr">
        <is>
          <t>gasolina</t>
        </is>
      </c>
      <c r="L629" s="2" t="inlineStr">
        <is>
          <t>compacto</t>
        </is>
      </c>
      <c r="M629" s="2" t="n">
        <v>2008</v>
      </c>
      <c r="N629" s="2" t="n">
        <v>215000</v>
      </c>
      <c r="O629" s="2" t="n">
        <v>4300</v>
      </c>
      <c r="P629" s="2" t="inlineStr">
        <is>
          <t>manual</t>
        </is>
      </c>
      <c r="Q629" s="2" t="inlineStr">
        <is>
          <t>no</t>
        </is>
      </c>
      <c r="R629" s="2" t="inlineStr">
        <is>
          <t>particular</t>
        </is>
      </c>
      <c r="S629" s="2" t="inlineStr">
        <is>
          <t>Castellón de la Plana / Castelló de la Plana</t>
        </is>
      </c>
      <c r="T629" s="2" t="inlineStr">
        <is>
          <t>2026-08-21T06:38:38Z</t>
        </is>
      </c>
      <c r="U629" s="2" t="n">
        <v>8</v>
      </c>
      <c r="V629" s="2" t="n"/>
      <c r="W629" s="2" t="n"/>
      <c r="X629" s="2" t="n"/>
      <c r="Y629" s="2" t="n"/>
      <c r="Z629" s="2" t="inlineStr">
        <is>
          <t>no</t>
        </is>
      </c>
      <c r="AA629" s="2" t="n"/>
      <c r="AB629" s="2" t="n"/>
      <c r="AC629" s="2" t="n"/>
      <c r="AD629" s="2" t="n"/>
      <c r="AE629" s="2" t="n"/>
      <c r="AF629" s="2" t="n"/>
      <c r="AG629" s="2" t="n"/>
      <c r="AH629" s="2" t="n">
        <v>4300</v>
      </c>
      <c r="AI629" s="2" t="n"/>
      <c r="AJ629" s="2" t="n"/>
      <c r="AK629" s="2" t="n"/>
      <c r="AL629" s="2" t="n"/>
      <c r="AM629" s="2" t="n"/>
      <c r="AN629" s="2" t="n">
        <v>3100</v>
      </c>
      <c r="AO629" s="2" t="n">
        <v>9</v>
      </c>
      <c r="AP629" s="2" t="inlineStr">
        <is>
          <t>modelo+año+km</t>
        </is>
      </c>
      <c r="AQ629" s="2" t="n"/>
      <c r="AR629" s="2" t="inlineStr">
        <is>
          <t>cilindrada desconocida: se aplica el tramo de cuota fija más alto; cuota fija ITP: &gt;12 años, más de 2.000 cc; distancia no verificable (el anuncio solo indica la provincia): confirmar que está a &lt;= 70 km</t>
        </is>
      </c>
      <c r="AS629" s="2" t="inlineStr">
        <is>
          <t>Coche en buen estado,mejor ver y probar.</t>
        </is>
      </c>
      <c r="AT629" s="2" t="inlineStr">
        <is>
          <t>https://www.coches.net/peugeot-308-gasolina-2008-en-castellon-71336300-covo.aspx (window.__INITIAL_PROPS__.ad) /home/user/Alopecia/buscador-coches/raw/cochesnet/08e2edaa87e12886.json</t>
        </is>
      </c>
      <c r="AU629" s="3">
        <f>MAX(ANIO_ACTUAL-M629,0)</f>
        <v/>
      </c>
      <c r="AV629" s="4">
        <f>N629/MAX(AU629,0.5)</f>
        <v/>
      </c>
      <c r="AW629" s="4">
        <f>F629</f>
        <v/>
      </c>
      <c r="AX629" s="3">
        <f>AW629&amp;"|"&amp;INT(M629/SEG_ANIO)*SEG_ANIO</f>
        <v/>
      </c>
      <c r="AY629" s="3">
        <f>AX629&amp;"|"&amp;INT(N629/SEG_KM)*SEG_KM</f>
        <v/>
      </c>
      <c r="AZ629" s="4">
        <f>COUNTIF($AW$2:$AW$662,AW629)</f>
        <v/>
      </c>
      <c r="BA629" s="4">
        <f>COUNTIF($AX$2:$AX$662,AX629)</f>
        <v/>
      </c>
      <c r="BB629" s="4">
        <f>COUNTIF($AY$2:$AY$662,AY629)</f>
        <v/>
      </c>
      <c r="BC629" s="3">
        <f t="array" ref="BC629">IF(N(AO629)&gt;=MIN_N,AN629,IF(BB629&gt;=MIN_N,MEDIAN(IF($AY$2:$AY$662=AY629,$O$2:$O$662)),IF(BA629&gt;=MIN_N,MEDIAN(IF($AX$2:$AX$662=AX629,$O$2:$O$662)),MEDIAN(IF($AW$2:$AW$662=AW629,$O$2:$O$662)))))</f>
        <v/>
      </c>
      <c r="BD629" s="3">
        <f>IF(N(AO629)&gt;=MIN_N,"mercado "&amp;AP629,IF(BB629&gt;=MIN_N,"modelo+año+km",IF(BA629&gt;=MIN_N,"modelo+año","modelo")))</f>
        <v/>
      </c>
      <c r="BE629" s="4">
        <f>(BC629-O629)/BC629</f>
        <v/>
      </c>
      <c r="BF629" s="3">
        <f>IF(OR(K629="hibrido",K629="glp"),"ECO",IF(K629="electrico","CERO",IF(K629="gasolina",IF(M629&gt;=GAS_C,"C",IF(M629&gt;=GAS_B,"B","A")),IF(K629="diesel",IF(M629&gt;=DIE_C,"C",IF(M629&gt;=DIE_B,"B","A")),""))))</f>
        <v/>
      </c>
      <c r="BG629" s="3">
        <f>IFERROR(VLOOKUP(F629,MOD_TBL,11,0),IFERROR(VLOOKUP(E629,OCU_TBL,2,0),NEUTRO))</f>
        <v/>
      </c>
      <c r="BH629" s="3">
        <f>SUMIFS(MOT_AJUSTE,MOT_MOTOR,G629,MOT_MARCA,E629,MOT_DESDE,"&lt;="&amp;M629,MOT_HASTA,"&gt;="&amp;M629)+SUMIFS(MOT_AJUSTE,MOT_MOTOR,G629,MOT_MARCA,"(todas)",MOT_DESDE,"&lt;="&amp;M629,MOT_HASTA,"&gt;="&amp;M629)</f>
        <v/>
      </c>
      <c r="BI629" s="3">
        <f>SUMIFS(COMB_AJUSTE,COMB_COMB,K629)</f>
        <v/>
      </c>
      <c r="BJ629" s="3">
        <f>COUNTIFS(MOT_MOTOR,G629,MOT_MARCA,E629,MOT_DESDE,"&lt;="&amp;M629,MOT_HASTA,"&gt;="&amp;M629)+COUNTIFS(MOT_MOTOR,G629,MOT_MARCA,"(todas)",MOT_DESDE,"&lt;="&amp;M629,MOT_HASTA,"&gt;="&amp;M629)</f>
        <v/>
      </c>
      <c r="BK629" s="3">
        <f>IF(AND(K629="diesel",BJ629=0),MIN(BG629,NEUTRO),BG629)</f>
        <v/>
      </c>
      <c r="BL629" s="4">
        <f>MAX(0,MIN(100,BK629+BH629+BI629))</f>
        <v/>
      </c>
      <c r="BM629" s="3">
        <f>MAX(0,MIN(100,50+BE629*PRECIO_PEND))</f>
        <v/>
      </c>
      <c r="BN629" s="3">
        <f>MAX(0,100*(1-N629/KM_MAX))</f>
        <v/>
      </c>
      <c r="BO629" s="3">
        <f>IF(AV629&lt;KMA_SOSP,IF(AA629="sí",100,KMA_PEN),IF(AV629&lt;=KMA_IDEAL_MAX,100,MAX(0,100*(KMA_CERO-AV629)/(KMA_CERO-KMA_IDEAL_MAX))))</f>
        <v/>
      </c>
      <c r="BP629" s="3">
        <f>MAX(0,MIN(100,100*(M629-ANIO_MIN)/(ANIO_ACTUAL-ANIO_MIN)))</f>
        <v/>
      </c>
      <c r="BQ629" s="3">
        <f>W_KMT*BN629+W_KMA*BO629+W_EDAD*BP629</f>
        <v/>
      </c>
      <c r="BR629" s="3">
        <f>P_ITV*(V629="sí")+P_LIBRO*(W629="sí")+P_CORREA*(X629="sí")+P_PROP*(Y629=1)+P_GAR*(Z629="sí")+P_FOTOS*MIN(1,N(U629)/FOTOS_OBJ)</f>
        <v/>
      </c>
      <c r="BS629" s="3">
        <f>IFERROR(VLOOKUP(BF629,ETQ_TBL,2,0),NEUTRO)</f>
        <v/>
      </c>
      <c r="BT629" s="3">
        <f>NEUTRO</f>
        <v/>
      </c>
      <c r="BU629" s="3">
        <f>IFERROR(VLOOKUP(L629,SEGURO_TBL,3,0),"")</f>
        <v/>
      </c>
      <c r="BV629" s="3">
        <f>IF(BU629="",NEUTRO,MAX(0,MIN(100,100*(SEG_REF_MAX-BU629)/(SEG_REF_MAX-SEG_REF_MIN))))</f>
        <v/>
      </c>
      <c r="BW629" s="3">
        <f>W_ET*BS629+W_CONS*BT629+W_SEG*BV629</f>
        <v/>
      </c>
      <c r="BX629" s="3">
        <f>IF(N(AB629)&gt;0,AB629,IF(AND(R629="profesional",SG_LEGAL_ON=1),GAR_LEGAL,0))</f>
        <v/>
      </c>
      <c r="BY629" s="3">
        <f>SG_GAR*MIN(1,BX629/SG_GAR_FULL)+SG_AMPL*(AC629="sí")+SG_KMC*(AF629="sí")+SG_REV*(N(AE629)&gt;0)+SG_DEV*MIN(1,N(AG629)/SG_DEV_FULL)+SG_HIST*(W629="sí")</f>
        <v/>
      </c>
      <c r="BZ629" s="3">
        <f>IFERROR(VLOOKUP(L629,CARR_PEN_TBL,2,0),0)</f>
        <v/>
      </c>
      <c r="CA629" s="3">
        <f>W_FIAB*BL629+W_PRECIO*BM629+W_KMEDAD*BQ629+W_ANUNCIO*BR629+W_USO*BW629+W_SEGURIDAD*BY629-BZ629</f>
        <v/>
      </c>
      <c r="CB629" s="4">
        <f>IF(N(I629)&gt;0,I629,IFERROR(ROUND(_xlfn.NUMBERVALUE(LEFT(G629,FIND(" ",G629&amp;" ")-1),".")*1000,0),99999))</f>
        <v/>
      </c>
      <c r="CC629" s="3">
        <f>IF(R629="profesional",0,IF(O629&lt;CUOTA_VALOR_MAX,IF(AU629&gt;ITP_TRAMO_ALTO,SUMIFS(CF_CUOTA,CF_MAS,ITP_TRAMO_ALTO,CF_CCMIN,"&lt;="&amp;CB629,CF_CCMAX,"&gt;="&amp;CB629),IF(AU629&gt;ITP_TRAMO_BAJO,SUMIFS(CF_CUOTA,CF_MAS,ITP_TRAMO_BAJO,CF_CCMIN,"&lt;="&amp;CB629,CF_CCMAX,"&gt;="&amp;CB629),O629*ITP_TIPO)),O629*ITP_TIPO))</f>
        <v/>
      </c>
      <c r="CD629" s="4">
        <f>IF(R629="profesional",N(AK629),0)</f>
        <v/>
      </c>
      <c r="CE629" s="3">
        <f>IF(AND(R629="profesional",ISNUMBER(AK629),AL629="sí"),0,TASA_DGT)</f>
        <v/>
      </c>
      <c r="CF629" s="3">
        <f>INFORME_DGT</f>
        <v/>
      </c>
      <c r="CG629" s="4">
        <f>O629+CD629+CC629+CE629+CF629</f>
        <v/>
      </c>
      <c r="CH629" s="4">
        <f>CG629+N(BU629)</f>
        <v/>
      </c>
      <c r="CI629" s="3">
        <f>IF(CG629&lt;=TOTAL_MAX,"sí",IF(CG629&lt;=TOTAL_MAX+MARGEN_NEG,"negociar","no"))</f>
        <v/>
      </c>
      <c r="CJ629" s="4">
        <f>IF(CI629&lt;&gt;"no",COUNTIFS($CI$2:$CI$662,"&lt;&gt;no",$CA$2:$CA$662,"&gt;"&amp;CA629)+COUNTIFS($CI$2:CI629,"&lt;&gt;no",$CA$2:CA629,CA629),"")</f>
        <v/>
      </c>
    </row>
    <row r="630">
      <c r="A630" s="2" t="inlineStr">
        <is>
          <t>cochesnet:71743794</t>
        </is>
      </c>
      <c r="B630" s="2" t="inlineStr">
        <is>
          <t>cochesnet</t>
        </is>
      </c>
      <c r="C630" s="2" t="inlineStr">
        <is>
          <t>https://www.coches.net/citroen-c1-10-sx-3p-gasolina-2005-en-castellon-71743794-covo.aspx</t>
        </is>
      </c>
      <c r="D630" s="2" t="inlineStr">
        <is>
          <t>CITROEN C1 1.0 SX</t>
        </is>
      </c>
      <c r="E630" s="2" t="inlineStr">
        <is>
          <t>Citroën</t>
        </is>
      </c>
      <c r="F630" s="2" t="inlineStr">
        <is>
          <t>Citroën C1</t>
        </is>
      </c>
      <c r="G630" s="2" t="inlineStr">
        <is>
          <t>1.0</t>
        </is>
      </c>
      <c r="H630" s="2" t="inlineStr">
        <is>
          <t>1.0 SX</t>
        </is>
      </c>
      <c r="I630" s="2" t="n"/>
      <c r="J630" s="2" t="n"/>
      <c r="K630" s="2" t="inlineStr">
        <is>
          <t>gasolina</t>
        </is>
      </c>
      <c r="L630" s="2" t="inlineStr">
        <is>
          <t>utilitario</t>
        </is>
      </c>
      <c r="M630" s="2" t="n">
        <v>2006</v>
      </c>
      <c r="N630" s="2" t="n">
        <v>160000</v>
      </c>
      <c r="O630" s="2" t="n">
        <v>3300</v>
      </c>
      <c r="P630" s="2" t="inlineStr">
        <is>
          <t>manual</t>
        </is>
      </c>
      <c r="Q630" s="2" t="inlineStr">
        <is>
          <t>no</t>
        </is>
      </c>
      <c r="R630" s="2" t="inlineStr">
        <is>
          <t>profesional</t>
        </is>
      </c>
      <c r="S630" s="2" t="inlineStr">
        <is>
          <t>Automoviles Gual Castellón de la Plana / Castelló de la Plana</t>
        </is>
      </c>
      <c r="T630" s="2" t="inlineStr">
        <is>
          <t>2026-10-14T15:04:48Z</t>
        </is>
      </c>
      <c r="U630" s="2" t="n">
        <v>20</v>
      </c>
      <c r="V630" s="2" t="n"/>
      <c r="W630" s="2" t="n"/>
      <c r="X630" s="2" t="n"/>
      <c r="Y630" s="2" t="n"/>
      <c r="Z630" s="2" t="inlineStr">
        <is>
          <t>sí</t>
        </is>
      </c>
      <c r="AA630" s="2" t="n"/>
      <c r="AB630" s="2" t="n">
        <v>12</v>
      </c>
      <c r="AC630" s="2" t="n"/>
      <c r="AD630" s="2" t="n"/>
      <c r="AE630" s="2" t="n"/>
      <c r="AF630" s="2" t="n"/>
      <c r="AG630" s="2" t="n"/>
      <c r="AH630" s="2" t="n">
        <v>3300</v>
      </c>
      <c r="AI630" s="2" t="n"/>
      <c r="AJ630" s="2" t="n"/>
      <c r="AK630" s="2" t="n"/>
      <c r="AL630" s="2" t="n"/>
      <c r="AM630" s="2" t="n"/>
      <c r="AN630" s="2" t="n"/>
      <c r="AO630" s="2" t="n"/>
      <c r="AP630" s="2" t="n"/>
      <c r="AQ630" s="2" t="n"/>
      <c r="AR630"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 mediana con solo 3 anuncio(s)</t>
        </is>
      </c>
      <c r="AS630" s="2" t="inlineStr">
        <is>
          <t xml:space="preserve">Vehículo tres puertas .
 Monta motor Toyota .
 Es un vehículo perfecto para ciudad .
 No tiene aire acondicionado 
</t>
        </is>
      </c>
      <c r="AT630" s="2" t="inlineStr">
        <is>
          <t>https://www.coches.net/citroen-c1-10-sx-3p-gasolina-2005-en-castellon-71743794-covo.aspx (window.__INITIAL_PROPS__.ad) /home/user/Alopecia/buscador-coches/raw/cochesnet/a439c8d3e34df4a8.json</t>
        </is>
      </c>
      <c r="AU630" s="3">
        <f>MAX(ANIO_ACTUAL-M630,0)</f>
        <v/>
      </c>
      <c r="AV630" s="4">
        <f>N630/MAX(AU630,0.5)</f>
        <v/>
      </c>
      <c r="AW630" s="4">
        <f>F630</f>
        <v/>
      </c>
      <c r="AX630" s="3">
        <f>AW630&amp;"|"&amp;INT(M630/SEG_ANIO)*SEG_ANIO</f>
        <v/>
      </c>
      <c r="AY630" s="3">
        <f>AX630&amp;"|"&amp;INT(N630/SEG_KM)*SEG_KM</f>
        <v/>
      </c>
      <c r="AZ630" s="4">
        <f>COUNTIF($AW$2:$AW$662,AW630)</f>
        <v/>
      </c>
      <c r="BA630" s="4">
        <f>COUNTIF($AX$2:$AX$662,AX630)</f>
        <v/>
      </c>
      <c r="BB630" s="4">
        <f>COUNTIF($AY$2:$AY$662,AY630)</f>
        <v/>
      </c>
      <c r="BC630" s="3">
        <f t="array" ref="BC630">IF(N(AO630)&gt;=MIN_N,AN630,IF(BB630&gt;=MIN_N,MEDIAN(IF($AY$2:$AY$662=AY630,$O$2:$O$662)),IF(BA630&gt;=MIN_N,MEDIAN(IF($AX$2:$AX$662=AX630,$O$2:$O$662)),MEDIAN(IF($AW$2:$AW$662=AW630,$O$2:$O$662)))))</f>
        <v/>
      </c>
      <c r="BD630" s="3">
        <f>IF(N(AO630)&gt;=MIN_N,"mercado "&amp;AP630,IF(BB630&gt;=MIN_N,"modelo+año+km",IF(BA630&gt;=MIN_N,"modelo+año","modelo")))</f>
        <v/>
      </c>
      <c r="BE630" s="4">
        <f>(BC630-O630)/BC630</f>
        <v/>
      </c>
      <c r="BF630" s="3">
        <f>IF(OR(K630="hibrido",K630="glp"),"ECO",IF(K630="electrico","CERO",IF(K630="gasolina",IF(M630&gt;=GAS_C,"C",IF(M630&gt;=GAS_B,"B","A")),IF(K630="diesel",IF(M630&gt;=DIE_C,"C",IF(M630&gt;=DIE_B,"B","A")),""))))</f>
        <v/>
      </c>
      <c r="BG630" s="3">
        <f>IFERROR(VLOOKUP(F630,MOD_TBL,11,0),IFERROR(VLOOKUP(E630,OCU_TBL,2,0),NEUTRO))</f>
        <v/>
      </c>
      <c r="BH630" s="3">
        <f>SUMIFS(MOT_AJUSTE,MOT_MOTOR,G630,MOT_MARCA,E630,MOT_DESDE,"&lt;="&amp;M630,MOT_HASTA,"&gt;="&amp;M630)+SUMIFS(MOT_AJUSTE,MOT_MOTOR,G630,MOT_MARCA,"(todas)",MOT_DESDE,"&lt;="&amp;M630,MOT_HASTA,"&gt;="&amp;M630)</f>
        <v/>
      </c>
      <c r="BI630" s="3">
        <f>SUMIFS(COMB_AJUSTE,COMB_COMB,K630)</f>
        <v/>
      </c>
      <c r="BJ630" s="3">
        <f>COUNTIFS(MOT_MOTOR,G630,MOT_MARCA,E630,MOT_DESDE,"&lt;="&amp;M630,MOT_HASTA,"&gt;="&amp;M630)+COUNTIFS(MOT_MOTOR,G630,MOT_MARCA,"(todas)",MOT_DESDE,"&lt;="&amp;M630,MOT_HASTA,"&gt;="&amp;M630)</f>
        <v/>
      </c>
      <c r="BK630" s="3">
        <f>IF(AND(K630="diesel",BJ630=0),MIN(BG630,NEUTRO),BG630)</f>
        <v/>
      </c>
      <c r="BL630" s="4">
        <f>MAX(0,MIN(100,BK630+BH630+BI630))</f>
        <v/>
      </c>
      <c r="BM630" s="3">
        <f>MAX(0,MIN(100,50+BE630*PRECIO_PEND))</f>
        <v/>
      </c>
      <c r="BN630" s="3">
        <f>MAX(0,100*(1-N630/KM_MAX))</f>
        <v/>
      </c>
      <c r="BO630" s="3">
        <f>IF(AV630&lt;KMA_SOSP,IF(AA630="sí",100,KMA_PEN),IF(AV630&lt;=KMA_IDEAL_MAX,100,MAX(0,100*(KMA_CERO-AV630)/(KMA_CERO-KMA_IDEAL_MAX))))</f>
        <v/>
      </c>
      <c r="BP630" s="3">
        <f>MAX(0,MIN(100,100*(M630-ANIO_MIN)/(ANIO_ACTUAL-ANIO_MIN)))</f>
        <v/>
      </c>
      <c r="BQ630" s="3">
        <f>W_KMT*BN630+W_KMA*BO630+W_EDAD*BP630</f>
        <v/>
      </c>
      <c r="BR630" s="3">
        <f>P_ITV*(V630="sí")+P_LIBRO*(W630="sí")+P_CORREA*(X630="sí")+P_PROP*(Y630=1)+P_GAR*(Z630="sí")+P_FOTOS*MIN(1,N(U630)/FOTOS_OBJ)</f>
        <v/>
      </c>
      <c r="BS630" s="3">
        <f>IFERROR(VLOOKUP(BF630,ETQ_TBL,2,0),NEUTRO)</f>
        <v/>
      </c>
      <c r="BT630" s="3">
        <f>NEUTRO</f>
        <v/>
      </c>
      <c r="BU630" s="3">
        <f>IFERROR(VLOOKUP(L630,SEGURO_TBL,3,0),"")</f>
        <v/>
      </c>
      <c r="BV630" s="3">
        <f>IF(BU630="",NEUTRO,MAX(0,MIN(100,100*(SEG_REF_MAX-BU630)/(SEG_REF_MAX-SEG_REF_MIN))))</f>
        <v/>
      </c>
      <c r="BW630" s="3">
        <f>W_ET*BS630+W_CONS*BT630+W_SEG*BV630</f>
        <v/>
      </c>
      <c r="BX630" s="3">
        <f>IF(N(AB630)&gt;0,AB630,IF(AND(R630="profesional",SG_LEGAL_ON=1),GAR_LEGAL,0))</f>
        <v/>
      </c>
      <c r="BY630" s="3">
        <f>SG_GAR*MIN(1,BX630/SG_GAR_FULL)+SG_AMPL*(AC630="sí")+SG_KMC*(AF630="sí")+SG_REV*(N(AE630)&gt;0)+SG_DEV*MIN(1,N(AG630)/SG_DEV_FULL)+SG_HIST*(W630="sí")</f>
        <v/>
      </c>
      <c r="BZ630" s="3">
        <f>IFERROR(VLOOKUP(L630,CARR_PEN_TBL,2,0),0)</f>
        <v/>
      </c>
      <c r="CA630" s="3">
        <f>W_FIAB*BL630+W_PRECIO*BM630+W_KMEDAD*BQ630+W_ANUNCIO*BR630+W_USO*BW630+W_SEGURIDAD*BY630-BZ630</f>
        <v/>
      </c>
      <c r="CB630" s="4">
        <f>IF(N(I630)&gt;0,I630,IFERROR(ROUND(_xlfn.NUMBERVALUE(LEFT(G630,FIND(" ",G630&amp;" ")-1),".")*1000,0),99999))</f>
        <v/>
      </c>
      <c r="CC630" s="3">
        <f>IF(R630="profesional",0,IF(O630&lt;CUOTA_VALOR_MAX,IF(AU630&gt;ITP_TRAMO_ALTO,SUMIFS(CF_CUOTA,CF_MAS,ITP_TRAMO_ALTO,CF_CCMIN,"&lt;="&amp;CB630,CF_CCMAX,"&gt;="&amp;CB630),IF(AU630&gt;ITP_TRAMO_BAJO,SUMIFS(CF_CUOTA,CF_MAS,ITP_TRAMO_BAJO,CF_CCMIN,"&lt;="&amp;CB630,CF_CCMAX,"&gt;="&amp;CB630),O630*ITP_TIPO)),O630*ITP_TIPO))</f>
        <v/>
      </c>
      <c r="CD630" s="4">
        <f>IF(R630="profesional",N(AK630),0)</f>
        <v/>
      </c>
      <c r="CE630" s="3">
        <f>IF(AND(R630="profesional",ISNUMBER(AK630),AL630="sí"),0,TASA_DGT)</f>
        <v/>
      </c>
      <c r="CF630" s="3">
        <f>INFORME_DGT</f>
        <v/>
      </c>
      <c r="CG630" s="4">
        <f>O630+CD630+CC630+CE630+CF630</f>
        <v/>
      </c>
      <c r="CH630" s="4">
        <f>CG630+N(BU630)</f>
        <v/>
      </c>
      <c r="CI630" s="3">
        <f>IF(CG630&lt;=TOTAL_MAX,"sí",IF(CG630&lt;=TOTAL_MAX+MARGEN_NEG,"negociar","no"))</f>
        <v/>
      </c>
      <c r="CJ630" s="4">
        <f>IF(CI630&lt;&gt;"no",COUNTIFS($CI$2:$CI$662,"&lt;&gt;no",$CA$2:$CA$662,"&gt;"&amp;CA630)+COUNTIFS($CI$2:CI630,"&lt;&gt;no",$CA$2:CA630,CA630),"")</f>
        <v/>
      </c>
    </row>
    <row r="631">
      <c r="A631" s="2" t="inlineStr">
        <is>
          <t>cochesnet:71039970</t>
        </is>
      </c>
      <c r="B631" s="2" t="inlineStr">
        <is>
          <t>cochesnet</t>
        </is>
      </c>
      <c r="C631" s="2" t="inlineStr">
        <is>
          <t>https://www.coches.net/citroen-c4-16-hdi-110-collection-5p-diesel-2004-en-castellon-71039970-covo.aspx</t>
        </is>
      </c>
      <c r="D631" s="2" t="inlineStr">
        <is>
          <t>CITROEN C4 1.6 HDi 110 Collection</t>
        </is>
      </c>
      <c r="E631" s="2" t="inlineStr">
        <is>
          <t>Citroën</t>
        </is>
      </c>
      <c r="F631" s="2" t="inlineStr">
        <is>
          <t>Citroën C4</t>
        </is>
      </c>
      <c r="G631" s="2" t="inlineStr">
        <is>
          <t>1.6 HDi</t>
        </is>
      </c>
      <c r="H631" s="2" t="inlineStr">
        <is>
          <t>1.6 HDi 110 Collection</t>
        </is>
      </c>
      <c r="I631" s="2" t="n"/>
      <c r="J631" s="2" t="n"/>
      <c r="K631" s="2" t="inlineStr">
        <is>
          <t>diesel</t>
        </is>
      </c>
      <c r="L631" s="2" t="inlineStr">
        <is>
          <t>compacto</t>
        </is>
      </c>
      <c r="M631" s="2" t="n">
        <v>2006</v>
      </c>
      <c r="N631" s="2" t="n">
        <v>213000</v>
      </c>
      <c r="O631" s="2" t="n">
        <v>4290</v>
      </c>
      <c r="P631" s="2" t="inlineStr">
        <is>
          <t>manual</t>
        </is>
      </c>
      <c r="Q631" s="2" t="inlineStr">
        <is>
          <t>no</t>
        </is>
      </c>
      <c r="R631" s="2" t="inlineStr">
        <is>
          <t>profesional</t>
        </is>
      </c>
      <c r="S631" s="2" t="inlineStr">
        <is>
          <t>Car Point Castellon Castellón de la Plana / Castelló de la Plana</t>
        </is>
      </c>
      <c r="T631" s="2" t="inlineStr">
        <is>
          <t>2026-10-07T11:20:18Z</t>
        </is>
      </c>
      <c r="U631" s="2" t="n">
        <v>13</v>
      </c>
      <c r="V631" s="2" t="n"/>
      <c r="W631" s="2" t="n"/>
      <c r="X631" s="2" t="n"/>
      <c r="Y631" s="2" t="n">
        <v>1</v>
      </c>
      <c r="Z631" s="2" t="inlineStr">
        <is>
          <t>sí</t>
        </is>
      </c>
      <c r="AA631" s="2" t="inlineStr">
        <is>
          <t>sí</t>
        </is>
      </c>
      <c r="AB631" s="2" t="n">
        <v>12</v>
      </c>
      <c r="AC631" s="2" t="n"/>
      <c r="AD631" s="2" t="n"/>
      <c r="AE631" s="2" t="n"/>
      <c r="AF631" s="2" t="inlineStr">
        <is>
          <t>sí</t>
        </is>
      </c>
      <c r="AG631" s="2" t="n"/>
      <c r="AH631" s="2" t="n">
        <v>4290</v>
      </c>
      <c r="AI631" s="2" t="n">
        <v>4290</v>
      </c>
      <c r="AJ631" s="2" t="n"/>
      <c r="AK631" s="2" t="n"/>
      <c r="AL631" s="2" t="n"/>
      <c r="AM631" s="2" t="n"/>
      <c r="AN631" s="2" t="n">
        <v>2000</v>
      </c>
      <c r="AO631" s="2" t="n">
        <v>10</v>
      </c>
      <c r="AP631" s="2" t="inlineStr">
        <is>
          <t>modelo+año+km</t>
        </is>
      </c>
      <c r="AQ631" s="2" t="n"/>
      <c r="AR631"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31" s="2" t="inlineStr">
        <is>
          <t>CITROEN C4 1.6 HDI 5 PUERTAS
CAJA MANUAL 
ETIQUETA B
UNICO PROPIETARIO
MUY BUEN ESTADO GENERAL
CAR POINT - Vehículos de ocasión
* Financiación a medida del cliente, con o sin entrada
* Recibimos tu coche como parte de pago
* Vehiculos garantizados, con opcion a 5 años de garantia
* Kilometraje certificado
* Te lo entregamos a domicilio si no puedes venir a visitarnos
Estamos en Castellon de la Plana, a 1 minuto del Acceso Sur de la AP7
C. Suiza 41 - Poligono Sur - 12006 - Castellon de la Plana
+ de 20 años de experiencia en el rubro garantizan CONFIANZA - TRANSPARENCIA - SERIEDAD
ANUNCIO NO VINCULANTE
**EL ANUNCIO PUEDE CONTENER ERRORES INVOLUNTARIOS</t>
        </is>
      </c>
      <c r="AT631" s="2" t="inlineStr">
        <is>
          <t>https://www.coches.net/citroen-c4-16-hdi-110-collection-5p-diesel-2004-en-castellon-71039970-covo.aspx (window.__INITIAL_PROPS__.ad) /home/user/Alopecia/buscador-coches/raw/cochesnet/f51b81aaf46182aa.json</t>
        </is>
      </c>
      <c r="AU631" s="3">
        <f>MAX(ANIO_ACTUAL-M631,0)</f>
        <v/>
      </c>
      <c r="AV631" s="4">
        <f>N631/MAX(AU631,0.5)</f>
        <v/>
      </c>
      <c r="AW631" s="4">
        <f>F631</f>
        <v/>
      </c>
      <c r="AX631" s="3">
        <f>AW631&amp;"|"&amp;INT(M631/SEG_ANIO)*SEG_ANIO</f>
        <v/>
      </c>
      <c r="AY631" s="3">
        <f>AX631&amp;"|"&amp;INT(N631/SEG_KM)*SEG_KM</f>
        <v/>
      </c>
      <c r="AZ631" s="4">
        <f>COUNTIF($AW$2:$AW$662,AW631)</f>
        <v/>
      </c>
      <c r="BA631" s="4">
        <f>COUNTIF($AX$2:$AX$662,AX631)</f>
        <v/>
      </c>
      <c r="BB631" s="4">
        <f>COUNTIF($AY$2:$AY$662,AY631)</f>
        <v/>
      </c>
      <c r="BC631" s="3">
        <f t="array" ref="BC631">IF(N(AO631)&gt;=MIN_N,AN631,IF(BB631&gt;=MIN_N,MEDIAN(IF($AY$2:$AY$662=AY631,$O$2:$O$662)),IF(BA631&gt;=MIN_N,MEDIAN(IF($AX$2:$AX$662=AX631,$O$2:$O$662)),MEDIAN(IF($AW$2:$AW$662=AW631,$O$2:$O$662)))))</f>
        <v/>
      </c>
      <c r="BD631" s="3">
        <f>IF(N(AO631)&gt;=MIN_N,"mercado "&amp;AP631,IF(BB631&gt;=MIN_N,"modelo+año+km",IF(BA631&gt;=MIN_N,"modelo+año","modelo")))</f>
        <v/>
      </c>
      <c r="BE631" s="4">
        <f>(BC631-O631)/BC631</f>
        <v/>
      </c>
      <c r="BF631" s="3">
        <f>IF(OR(K631="hibrido",K631="glp"),"ECO",IF(K631="electrico","CERO",IF(K631="gasolina",IF(M631&gt;=GAS_C,"C",IF(M631&gt;=GAS_B,"B","A")),IF(K631="diesel",IF(M631&gt;=DIE_C,"C",IF(M631&gt;=DIE_B,"B","A")),""))))</f>
        <v/>
      </c>
      <c r="BG631" s="3">
        <f>IFERROR(VLOOKUP(F631,MOD_TBL,11,0),IFERROR(VLOOKUP(E631,OCU_TBL,2,0),NEUTRO))</f>
        <v/>
      </c>
      <c r="BH631" s="3">
        <f>SUMIFS(MOT_AJUSTE,MOT_MOTOR,G631,MOT_MARCA,E631,MOT_DESDE,"&lt;="&amp;M631,MOT_HASTA,"&gt;="&amp;M631)+SUMIFS(MOT_AJUSTE,MOT_MOTOR,G631,MOT_MARCA,"(todas)",MOT_DESDE,"&lt;="&amp;M631,MOT_HASTA,"&gt;="&amp;M631)</f>
        <v/>
      </c>
      <c r="BI631" s="3">
        <f>SUMIFS(COMB_AJUSTE,COMB_COMB,K631)</f>
        <v/>
      </c>
      <c r="BJ631" s="3">
        <f>COUNTIFS(MOT_MOTOR,G631,MOT_MARCA,E631,MOT_DESDE,"&lt;="&amp;M631,MOT_HASTA,"&gt;="&amp;M631)+COUNTIFS(MOT_MOTOR,G631,MOT_MARCA,"(todas)",MOT_DESDE,"&lt;="&amp;M631,MOT_HASTA,"&gt;="&amp;M631)</f>
        <v/>
      </c>
      <c r="BK631" s="3">
        <f>IF(AND(K631="diesel",BJ631=0),MIN(BG631,NEUTRO),BG631)</f>
        <v/>
      </c>
      <c r="BL631" s="4">
        <f>MAX(0,MIN(100,BK631+BH631+BI631))</f>
        <v/>
      </c>
      <c r="BM631" s="3">
        <f>MAX(0,MIN(100,50+BE631*PRECIO_PEND))</f>
        <v/>
      </c>
      <c r="BN631" s="3">
        <f>MAX(0,100*(1-N631/KM_MAX))</f>
        <v/>
      </c>
      <c r="BO631" s="3">
        <f>IF(AV631&lt;KMA_SOSP,IF(AA631="sí",100,KMA_PEN),IF(AV631&lt;=KMA_IDEAL_MAX,100,MAX(0,100*(KMA_CERO-AV631)/(KMA_CERO-KMA_IDEAL_MAX))))</f>
        <v/>
      </c>
      <c r="BP631" s="3">
        <f>MAX(0,MIN(100,100*(M631-ANIO_MIN)/(ANIO_ACTUAL-ANIO_MIN)))</f>
        <v/>
      </c>
      <c r="BQ631" s="3">
        <f>W_KMT*BN631+W_KMA*BO631+W_EDAD*BP631</f>
        <v/>
      </c>
      <c r="BR631" s="3">
        <f>P_ITV*(V631="sí")+P_LIBRO*(W631="sí")+P_CORREA*(X631="sí")+P_PROP*(Y631=1)+P_GAR*(Z631="sí")+P_FOTOS*MIN(1,N(U631)/FOTOS_OBJ)</f>
        <v/>
      </c>
      <c r="BS631" s="3">
        <f>IFERROR(VLOOKUP(BF631,ETQ_TBL,2,0),NEUTRO)</f>
        <v/>
      </c>
      <c r="BT631" s="3">
        <f>NEUTRO</f>
        <v/>
      </c>
      <c r="BU631" s="3">
        <f>IFERROR(VLOOKUP(L631,SEGURO_TBL,3,0),"")</f>
        <v/>
      </c>
      <c r="BV631" s="3">
        <f>IF(BU631="",NEUTRO,MAX(0,MIN(100,100*(SEG_REF_MAX-BU631)/(SEG_REF_MAX-SEG_REF_MIN))))</f>
        <v/>
      </c>
      <c r="BW631" s="3">
        <f>W_ET*BS631+W_CONS*BT631+W_SEG*BV631</f>
        <v/>
      </c>
      <c r="BX631" s="3">
        <f>IF(N(AB631)&gt;0,AB631,IF(AND(R631="profesional",SG_LEGAL_ON=1),GAR_LEGAL,0))</f>
        <v/>
      </c>
      <c r="BY631" s="3">
        <f>SG_GAR*MIN(1,BX631/SG_GAR_FULL)+SG_AMPL*(AC631="sí")+SG_KMC*(AF631="sí")+SG_REV*(N(AE631)&gt;0)+SG_DEV*MIN(1,N(AG631)/SG_DEV_FULL)+SG_HIST*(W631="sí")</f>
        <v/>
      </c>
      <c r="BZ631" s="3">
        <f>IFERROR(VLOOKUP(L631,CARR_PEN_TBL,2,0),0)</f>
        <v/>
      </c>
      <c r="CA631" s="3">
        <f>W_FIAB*BL631+W_PRECIO*BM631+W_KMEDAD*BQ631+W_ANUNCIO*BR631+W_USO*BW631+W_SEGURIDAD*BY631-BZ631</f>
        <v/>
      </c>
      <c r="CB631" s="4">
        <f>IF(N(I631)&gt;0,I631,IFERROR(ROUND(_xlfn.NUMBERVALUE(LEFT(G631,FIND(" ",G631&amp;" ")-1),".")*1000,0),99999))</f>
        <v/>
      </c>
      <c r="CC631" s="3">
        <f>IF(R631="profesional",0,IF(O631&lt;CUOTA_VALOR_MAX,IF(AU631&gt;ITP_TRAMO_ALTO,SUMIFS(CF_CUOTA,CF_MAS,ITP_TRAMO_ALTO,CF_CCMIN,"&lt;="&amp;CB631,CF_CCMAX,"&gt;="&amp;CB631),IF(AU631&gt;ITP_TRAMO_BAJO,SUMIFS(CF_CUOTA,CF_MAS,ITP_TRAMO_BAJO,CF_CCMIN,"&lt;="&amp;CB631,CF_CCMAX,"&gt;="&amp;CB631),O631*ITP_TIPO)),O631*ITP_TIPO))</f>
        <v/>
      </c>
      <c r="CD631" s="4">
        <f>IF(R631="profesional",N(AK631),0)</f>
        <v/>
      </c>
      <c r="CE631" s="3">
        <f>IF(AND(R631="profesional",ISNUMBER(AK631),AL631="sí"),0,TASA_DGT)</f>
        <v/>
      </c>
      <c r="CF631" s="3">
        <f>INFORME_DGT</f>
        <v/>
      </c>
      <c r="CG631" s="4">
        <f>O631+CD631+CC631+CE631+CF631</f>
        <v/>
      </c>
      <c r="CH631" s="4">
        <f>CG631+N(BU631)</f>
        <v/>
      </c>
      <c r="CI631" s="3">
        <f>IF(CG631&lt;=TOTAL_MAX,"sí",IF(CG631&lt;=TOTAL_MAX+MARGEN_NEG,"negociar","no"))</f>
        <v/>
      </c>
      <c r="CJ631" s="4">
        <f>IF(CI631&lt;&gt;"no",COUNTIFS($CI$2:$CI$662,"&lt;&gt;no",$CA$2:$CA$662,"&gt;"&amp;CA631)+COUNTIFS($CI$2:CI631,"&lt;&gt;no",$CA$2:CA631,CA631),"")</f>
        <v/>
      </c>
    </row>
    <row r="632">
      <c r="A632" s="2" t="inlineStr">
        <is>
          <t>cochesnet:71829623</t>
        </is>
      </c>
      <c r="B632" s="2" t="inlineStr">
        <is>
          <t>cochesnet</t>
        </is>
      </c>
      <c r="C632" s="2" t="inlineStr">
        <is>
          <t>https://www.coches.net/citroen-c3-11i-sx-5p-gasolina-2007-en-castellon-71829623-covo.aspx</t>
        </is>
      </c>
      <c r="D632" s="2" t="inlineStr">
        <is>
          <t>CITROEN C3 1.1i SX</t>
        </is>
      </c>
      <c r="E632" s="2" t="inlineStr">
        <is>
          <t>Citroën</t>
        </is>
      </c>
      <c r="F632" s="2" t="inlineStr">
        <is>
          <t>Citroën C3</t>
        </is>
      </c>
      <c r="G632" s="2" t="inlineStr">
        <is>
          <t>1.1</t>
        </is>
      </c>
      <c r="H632" s="2" t="inlineStr">
        <is>
          <t>1.1i SX</t>
        </is>
      </c>
      <c r="I632" s="2" t="n"/>
      <c r="J632" s="2" t="n"/>
      <c r="K632" s="2" t="inlineStr">
        <is>
          <t>gasolina</t>
        </is>
      </c>
      <c r="L632" s="2" t="inlineStr">
        <is>
          <t>utilitario</t>
        </is>
      </c>
      <c r="M632" s="2" t="n">
        <v>2007</v>
      </c>
      <c r="N632" s="2" t="n">
        <v>212912</v>
      </c>
      <c r="O632" s="2" t="n">
        <v>2900</v>
      </c>
      <c r="P632" s="2" t="inlineStr">
        <is>
          <t>manual</t>
        </is>
      </c>
      <c r="Q632" s="2" t="inlineStr">
        <is>
          <t>no</t>
        </is>
      </c>
      <c r="R632" s="2" t="inlineStr">
        <is>
          <t>particular</t>
        </is>
      </c>
      <c r="S632" s="2" t="inlineStr">
        <is>
          <t>Burriana (Borriana)</t>
        </is>
      </c>
      <c r="T632" s="2" t="inlineStr">
        <is>
          <t>2026-10-25T19:44:46Z</t>
        </is>
      </c>
      <c r="U632" s="2" t="n">
        <v>5</v>
      </c>
      <c r="V632" s="2" t="n"/>
      <c r="W632" s="2" t="n"/>
      <c r="X632" s="2" t="n"/>
      <c r="Y632" s="2" t="n"/>
      <c r="Z632" s="2" t="inlineStr">
        <is>
          <t>no</t>
        </is>
      </c>
      <c r="AA632" s="2" t="n"/>
      <c r="AB632" s="2" t="n"/>
      <c r="AC632" s="2" t="n"/>
      <c r="AD632" s="2" t="n"/>
      <c r="AE632" s="2" t="n"/>
      <c r="AF632" s="2" t="n"/>
      <c r="AG632" s="2" t="n"/>
      <c r="AH632" s="2" t="n">
        <v>2900</v>
      </c>
      <c r="AI632" s="2" t="n"/>
      <c r="AJ632" s="2" t="n"/>
      <c r="AK632" s="2" t="n"/>
      <c r="AL632" s="2" t="n"/>
      <c r="AM632" s="2" t="n">
        <v>52.9</v>
      </c>
      <c r="AN632" s="2" t="n">
        <v>2550</v>
      </c>
      <c r="AO632" s="2" t="n">
        <v>4</v>
      </c>
      <c r="AP632" s="2" t="inlineStr">
        <is>
          <t>modelo+año+km</t>
        </is>
      </c>
      <c r="AQ632" s="2" t="n"/>
      <c r="AR632" s="2" t="inlineStr">
        <is>
          <t>cuota fija ITP: &gt;12 años, hasta 1.500 cc</t>
        </is>
      </c>
      <c r="AS632" s="2" t="inlineStr">
        <is>
          <t>Si buscas un coche fiable, económico y práctico para el día a día, este Citroën C3 es exactamente lo que necesitas. Se trata de un vehículo versátil y funcional, perfecto tanto para moverte por la ciudad como para trayectos más largos, con un motor eficiente de 1.1 litros que te garantiza un consumo ajustado y un funcionamiento sin complicaciones.
Este C3 mantiene un excelente estado general, tanto en el interior como en el exterior, mostrando el uso habitual de un coche bien cuidado. Con cinco plazas y cinco puertas, ofrece la comodidad y practicidad que esperas de un berlina urbana, facilitando el acceso y la movilidad de toda la familia o tus pasajeros.
El motor de 61 CV proporciona una potencia suficiente para una conducción segura y ágil, mientras que la transmisión manual te permite un control total del vehículo. Su consumo moderado lo convierte en una opción económica a la hora de repostar, un factor cada vez más importante en la elección de un automóvil.
A este precio, estás adquiriendo un vehículo que combina funcionalidad, eficiencia y fiabilidad, características que han hecho del Citroën C3 uno de los modelos más vendidos en Europa. Es la solución ideal si buscas movilidad sin complicaciones y sin gastar una fortuna.
Si tienes dudas sobre aspectos específicos del vehículo o deseas conocer más detalles, no dudes en contactarme a través del chat. Contacta hoy mismo y descubre por qué este C3 puede ser tu próximo coche.</t>
        </is>
      </c>
      <c r="AT632" s="2" t="inlineStr">
        <is>
          <t>https://www.coches.net/citroen-c3-11i-sx-5p-gasolina-2007-en-castellon-71829623-covo.aspx (window.__INITIAL_PROPS__.ad) /home/user/Alopecia/buscador-coches/raw/cochesnet/b611914990aa854c.json</t>
        </is>
      </c>
      <c r="AU632" s="3">
        <f>MAX(ANIO_ACTUAL-M632,0)</f>
        <v/>
      </c>
      <c r="AV632" s="4">
        <f>N632/MAX(AU632,0.5)</f>
        <v/>
      </c>
      <c r="AW632" s="4">
        <f>F632</f>
        <v/>
      </c>
      <c r="AX632" s="3">
        <f>AW632&amp;"|"&amp;INT(M632/SEG_ANIO)*SEG_ANIO</f>
        <v/>
      </c>
      <c r="AY632" s="3">
        <f>AX632&amp;"|"&amp;INT(N632/SEG_KM)*SEG_KM</f>
        <v/>
      </c>
      <c r="AZ632" s="4">
        <f>COUNTIF($AW$2:$AW$662,AW632)</f>
        <v/>
      </c>
      <c r="BA632" s="4">
        <f>COUNTIF($AX$2:$AX$662,AX632)</f>
        <v/>
      </c>
      <c r="BB632" s="4">
        <f>COUNTIF($AY$2:$AY$662,AY632)</f>
        <v/>
      </c>
      <c r="BC632" s="3">
        <f t="array" ref="BC632">IF(N(AO632)&gt;=MIN_N,AN632,IF(BB632&gt;=MIN_N,MEDIAN(IF($AY$2:$AY$662=AY632,$O$2:$O$662)),IF(BA632&gt;=MIN_N,MEDIAN(IF($AX$2:$AX$662=AX632,$O$2:$O$662)),MEDIAN(IF($AW$2:$AW$662=AW632,$O$2:$O$662)))))</f>
        <v/>
      </c>
      <c r="BD632" s="3">
        <f>IF(N(AO632)&gt;=MIN_N,"mercado "&amp;AP632,IF(BB632&gt;=MIN_N,"modelo+año+km",IF(BA632&gt;=MIN_N,"modelo+año","modelo")))</f>
        <v/>
      </c>
      <c r="BE632" s="4">
        <f>(BC632-O632)/BC632</f>
        <v/>
      </c>
      <c r="BF632" s="3">
        <f>IF(OR(K632="hibrido",K632="glp"),"ECO",IF(K632="electrico","CERO",IF(K632="gasolina",IF(M632&gt;=GAS_C,"C",IF(M632&gt;=GAS_B,"B","A")),IF(K632="diesel",IF(M632&gt;=DIE_C,"C",IF(M632&gt;=DIE_B,"B","A")),""))))</f>
        <v/>
      </c>
      <c r="BG632" s="3">
        <f>IFERROR(VLOOKUP(F632,MOD_TBL,11,0),IFERROR(VLOOKUP(E632,OCU_TBL,2,0),NEUTRO))</f>
        <v/>
      </c>
      <c r="BH632" s="3">
        <f>SUMIFS(MOT_AJUSTE,MOT_MOTOR,G632,MOT_MARCA,E632,MOT_DESDE,"&lt;="&amp;M632,MOT_HASTA,"&gt;="&amp;M632)+SUMIFS(MOT_AJUSTE,MOT_MOTOR,G632,MOT_MARCA,"(todas)",MOT_DESDE,"&lt;="&amp;M632,MOT_HASTA,"&gt;="&amp;M632)</f>
        <v/>
      </c>
      <c r="BI632" s="3">
        <f>SUMIFS(COMB_AJUSTE,COMB_COMB,K632)</f>
        <v/>
      </c>
      <c r="BJ632" s="3">
        <f>COUNTIFS(MOT_MOTOR,G632,MOT_MARCA,E632,MOT_DESDE,"&lt;="&amp;M632,MOT_HASTA,"&gt;="&amp;M632)+COUNTIFS(MOT_MOTOR,G632,MOT_MARCA,"(todas)",MOT_DESDE,"&lt;="&amp;M632,MOT_HASTA,"&gt;="&amp;M632)</f>
        <v/>
      </c>
      <c r="BK632" s="3">
        <f>IF(AND(K632="diesel",BJ632=0),MIN(BG632,NEUTRO),BG632)</f>
        <v/>
      </c>
      <c r="BL632" s="4">
        <f>MAX(0,MIN(100,BK632+BH632+BI632))</f>
        <v/>
      </c>
      <c r="BM632" s="3">
        <f>MAX(0,MIN(100,50+BE632*PRECIO_PEND))</f>
        <v/>
      </c>
      <c r="BN632" s="3">
        <f>MAX(0,100*(1-N632/KM_MAX))</f>
        <v/>
      </c>
      <c r="BO632" s="3">
        <f>IF(AV632&lt;KMA_SOSP,IF(AA632="sí",100,KMA_PEN),IF(AV632&lt;=KMA_IDEAL_MAX,100,MAX(0,100*(KMA_CERO-AV632)/(KMA_CERO-KMA_IDEAL_MAX))))</f>
        <v/>
      </c>
      <c r="BP632" s="3">
        <f>MAX(0,MIN(100,100*(M632-ANIO_MIN)/(ANIO_ACTUAL-ANIO_MIN)))</f>
        <v/>
      </c>
      <c r="BQ632" s="3">
        <f>W_KMT*BN632+W_KMA*BO632+W_EDAD*BP632</f>
        <v/>
      </c>
      <c r="BR632" s="3">
        <f>P_ITV*(V632="sí")+P_LIBRO*(W632="sí")+P_CORREA*(X632="sí")+P_PROP*(Y632=1)+P_GAR*(Z632="sí")+P_FOTOS*MIN(1,N(U632)/FOTOS_OBJ)</f>
        <v/>
      </c>
      <c r="BS632" s="3">
        <f>IFERROR(VLOOKUP(BF632,ETQ_TBL,2,0),NEUTRO)</f>
        <v/>
      </c>
      <c r="BT632" s="3">
        <f>NEUTRO</f>
        <v/>
      </c>
      <c r="BU632" s="3">
        <f>IFERROR(VLOOKUP(L632,SEGURO_TBL,3,0),"")</f>
        <v/>
      </c>
      <c r="BV632" s="3">
        <f>IF(BU632="",NEUTRO,MAX(0,MIN(100,100*(SEG_REF_MAX-BU632)/(SEG_REF_MAX-SEG_REF_MIN))))</f>
        <v/>
      </c>
      <c r="BW632" s="3">
        <f>W_ET*BS632+W_CONS*BT632+W_SEG*BV632</f>
        <v/>
      </c>
      <c r="BX632" s="3">
        <f>IF(N(AB632)&gt;0,AB632,IF(AND(R632="profesional",SG_LEGAL_ON=1),GAR_LEGAL,0))</f>
        <v/>
      </c>
      <c r="BY632" s="3">
        <f>SG_GAR*MIN(1,BX632/SG_GAR_FULL)+SG_AMPL*(AC632="sí")+SG_KMC*(AF632="sí")+SG_REV*(N(AE632)&gt;0)+SG_DEV*MIN(1,N(AG632)/SG_DEV_FULL)+SG_HIST*(W632="sí")</f>
        <v/>
      </c>
      <c r="BZ632" s="3">
        <f>IFERROR(VLOOKUP(L632,CARR_PEN_TBL,2,0),0)</f>
        <v/>
      </c>
      <c r="CA632" s="3">
        <f>W_FIAB*BL632+W_PRECIO*BM632+W_KMEDAD*BQ632+W_ANUNCIO*BR632+W_USO*BW632+W_SEGURIDAD*BY632-BZ632</f>
        <v/>
      </c>
      <c r="CB632" s="4">
        <f>IF(N(I632)&gt;0,I632,IFERROR(ROUND(_xlfn.NUMBERVALUE(LEFT(G632,FIND(" ",G632&amp;" ")-1),".")*1000,0),99999))</f>
        <v/>
      </c>
      <c r="CC632" s="3">
        <f>IF(R632="profesional",0,IF(O632&lt;CUOTA_VALOR_MAX,IF(AU632&gt;ITP_TRAMO_ALTO,SUMIFS(CF_CUOTA,CF_MAS,ITP_TRAMO_ALTO,CF_CCMIN,"&lt;="&amp;CB632,CF_CCMAX,"&gt;="&amp;CB632),IF(AU632&gt;ITP_TRAMO_BAJO,SUMIFS(CF_CUOTA,CF_MAS,ITP_TRAMO_BAJO,CF_CCMIN,"&lt;="&amp;CB632,CF_CCMAX,"&gt;="&amp;CB632),O632*ITP_TIPO)),O632*ITP_TIPO))</f>
        <v/>
      </c>
      <c r="CD632" s="4">
        <f>IF(R632="profesional",N(AK632),0)</f>
        <v/>
      </c>
      <c r="CE632" s="3">
        <f>IF(AND(R632="profesional",ISNUMBER(AK632),AL632="sí"),0,TASA_DGT)</f>
        <v/>
      </c>
      <c r="CF632" s="3">
        <f>INFORME_DGT</f>
        <v/>
      </c>
      <c r="CG632" s="4">
        <f>O632+CD632+CC632+CE632+CF632</f>
        <v/>
      </c>
      <c r="CH632" s="4">
        <f>CG632+N(BU632)</f>
        <v/>
      </c>
      <c r="CI632" s="3">
        <f>IF(CG632&lt;=TOTAL_MAX,"sí",IF(CG632&lt;=TOTAL_MAX+MARGEN_NEG,"negociar","no"))</f>
        <v/>
      </c>
      <c r="CJ632" s="4">
        <f>IF(CI632&lt;&gt;"no",COUNTIFS($CI$2:$CI$662,"&lt;&gt;no",$CA$2:$CA$662,"&gt;"&amp;CA632)+COUNTIFS($CI$2:CI632,"&lt;&gt;no",$CA$2:CA632,CA632),"")</f>
        <v/>
      </c>
    </row>
    <row r="633">
      <c r="A633" s="2" t="inlineStr">
        <is>
          <t>cochesnet:71441232</t>
        </is>
      </c>
      <c r="B633" s="2" t="inlineStr">
        <is>
          <t>cochesnet</t>
        </is>
      </c>
      <c r="C633" s="2" t="inlineStr">
        <is>
          <t>https://www.coches.net/citroen-c2-14-hdi-collection-3p-diesel-2005-en-castellon-71441232-covo.aspx</t>
        </is>
      </c>
      <c r="D633" s="2" t="inlineStr">
        <is>
          <t>CITROEN C2 1.4 HDI Collection</t>
        </is>
      </c>
      <c r="E633" s="2" t="inlineStr">
        <is>
          <t>Citroën</t>
        </is>
      </c>
      <c r="F633" s="2" t="inlineStr">
        <is>
          <t>Citroën C2</t>
        </is>
      </c>
      <c r="G633" s="2" t="inlineStr">
        <is>
          <t>1.4 HDi</t>
        </is>
      </c>
      <c r="H633" s="2" t="inlineStr">
        <is>
          <t>1.4 HDI Collection</t>
        </is>
      </c>
      <c r="I633" s="2" t="n"/>
      <c r="J633" s="2" t="n"/>
      <c r="K633" s="2" t="inlineStr">
        <is>
          <t>diesel</t>
        </is>
      </c>
      <c r="L633" s="2" t="inlineStr">
        <is>
          <t>utilitario</t>
        </is>
      </c>
      <c r="M633" s="2" t="n">
        <v>2007</v>
      </c>
      <c r="N633" s="2" t="n">
        <v>129000</v>
      </c>
      <c r="O633" s="2" t="n">
        <v>3500</v>
      </c>
      <c r="P633" s="2" t="inlineStr">
        <is>
          <t>manual</t>
        </is>
      </c>
      <c r="Q633" s="2" t="inlineStr">
        <is>
          <t>no</t>
        </is>
      </c>
      <c r="R633" s="2" t="inlineStr">
        <is>
          <t>profesional</t>
        </is>
      </c>
      <c r="S633" s="2" t="inlineStr">
        <is>
          <t>Zapra Motor Almazora / Almassora</t>
        </is>
      </c>
      <c r="T633" s="2" t="inlineStr">
        <is>
          <t>2026-09-04T12:38:11Z</t>
        </is>
      </c>
      <c r="U633" s="2" t="n">
        <v>18</v>
      </c>
      <c r="V633" s="2" t="inlineStr">
        <is>
          <t>sí</t>
        </is>
      </c>
      <c r="W633" s="2" t="inlineStr">
        <is>
          <t>sí</t>
        </is>
      </c>
      <c r="X633" s="2" t="n"/>
      <c r="Y633" s="2" t="n"/>
      <c r="Z633" s="2" t="inlineStr">
        <is>
          <t>sí</t>
        </is>
      </c>
      <c r="AA633" s="2" t="n"/>
      <c r="AB633" s="2" t="n">
        <v>12</v>
      </c>
      <c r="AC633" s="2" t="n"/>
      <c r="AD633" s="2" t="n"/>
      <c r="AE633" s="2" t="n"/>
      <c r="AF633" s="2" t="inlineStr">
        <is>
          <t>sí</t>
        </is>
      </c>
      <c r="AG633" s="2" t="n"/>
      <c r="AH633" s="2" t="n">
        <v>3500</v>
      </c>
      <c r="AI633" s="2" t="n">
        <v>3500</v>
      </c>
      <c r="AJ633" s="2" t="n"/>
      <c r="AK633" s="2" t="n"/>
      <c r="AL633" s="2" t="n"/>
      <c r="AM633" s="2" t="n"/>
      <c r="AN633" s="2" t="n"/>
      <c r="AO633" s="2" t="n"/>
      <c r="AP633" s="2" t="n"/>
      <c r="AQ633" s="2" t="n"/>
      <c r="AR633"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33" s="2" t="inlineStr">
        <is>
          <t>•	PRECIO INCLUYE IMPUESTOS VIGENTES MUNICIPALES DEL AÑO EN VIGOR
•	VEHÍCULO NACIONAL
•	KILÓMETROS CERTIFICADOS
•	REVISIÓN RECIÉN HECHA EN LA ENTREGA SI FUERA NECESARIO
•	SE ENTREGA CON MANTENIMIENTO AL DÍA E ITV EN VIGOR
•	GARANTÍA DE 12 MESES INCLUIDA O 24 MESES CON COSTE ADICIONAL. 
•	CAMBIO DE NOMBRE 200€ (EXPRESS 24h. 250€). 
•	TODOS NUESTROS VEHÍCULOS SE PUEDEN FINANCIAR (PREVIA RESERVA DEL VEHÍCULO, CONSULTA CONDICIONES).
•	OFRECEMOS SERVICIO DE ENTREGA A DOMICILIO PUERTA A PUERTA . (CONSULTAR EN FUNCIÓN DE LA DISTANCIA). 
Este Citroën C2 1.4 HDI Collection ofrece confort y tecnología en un compacto versátil. Destaca por su sistema de climatización automática, dirección asistida eléctrica con progresividad, equipo de audio Clarion con control en volante y seis altavoces. Incluye sensor de lluvia en limpiaparabrisas, retrovisores eléctricos, cristales tintados, elevalunas eléctricos delanteros y cierre centralizado con mando a distancia. El ordenador de viaje proporciona datos de consumo y autonomía en tiempo real. Asientos ajustables en altura con reposacabezas, volante regulable y aire acondicionado completan una propuesta práctica para uso diario. Etiqueta medioambiental B.</t>
        </is>
      </c>
      <c r="AT633" s="2" t="inlineStr">
        <is>
          <t>https://www.coches.net/citroen-c2-14-hdi-collection-3p-diesel-2005-en-castellon-71441232-covo.aspx (window.__INITIAL_PROPS__.ad) /home/user/Alopecia/buscador-coches/raw/cochesnet/0e4b44b738d3d30e.json</t>
        </is>
      </c>
      <c r="AU633" s="3">
        <f>MAX(ANIO_ACTUAL-M633,0)</f>
        <v/>
      </c>
      <c r="AV633" s="4">
        <f>N633/MAX(AU633,0.5)</f>
        <v/>
      </c>
      <c r="AW633" s="4">
        <f>F633</f>
        <v/>
      </c>
      <c r="AX633" s="3">
        <f>AW633&amp;"|"&amp;INT(M633/SEG_ANIO)*SEG_ANIO</f>
        <v/>
      </c>
      <c r="AY633" s="3">
        <f>AX633&amp;"|"&amp;INT(N633/SEG_KM)*SEG_KM</f>
        <v/>
      </c>
      <c r="AZ633" s="4">
        <f>COUNTIF($AW$2:$AW$662,AW633)</f>
        <v/>
      </c>
      <c r="BA633" s="4">
        <f>COUNTIF($AX$2:$AX$662,AX633)</f>
        <v/>
      </c>
      <c r="BB633" s="4">
        <f>COUNTIF($AY$2:$AY$662,AY633)</f>
        <v/>
      </c>
      <c r="BC633" s="3">
        <f t="array" ref="BC633">IF(N(AO633)&gt;=MIN_N,AN633,IF(BB633&gt;=MIN_N,MEDIAN(IF($AY$2:$AY$662=AY633,$O$2:$O$662)),IF(BA633&gt;=MIN_N,MEDIAN(IF($AX$2:$AX$662=AX633,$O$2:$O$662)),MEDIAN(IF($AW$2:$AW$662=AW633,$O$2:$O$662)))))</f>
        <v/>
      </c>
      <c r="BD633" s="3">
        <f>IF(N(AO633)&gt;=MIN_N,"mercado "&amp;AP633,IF(BB633&gt;=MIN_N,"modelo+año+km",IF(BA633&gt;=MIN_N,"modelo+año","modelo")))</f>
        <v/>
      </c>
      <c r="BE633" s="4">
        <f>(BC633-O633)/BC633</f>
        <v/>
      </c>
      <c r="BF633" s="3">
        <f>IF(OR(K633="hibrido",K633="glp"),"ECO",IF(K633="electrico","CERO",IF(K633="gasolina",IF(M633&gt;=GAS_C,"C",IF(M633&gt;=GAS_B,"B","A")),IF(K633="diesel",IF(M633&gt;=DIE_C,"C",IF(M633&gt;=DIE_B,"B","A")),""))))</f>
        <v/>
      </c>
      <c r="BG633" s="3">
        <f>IFERROR(VLOOKUP(F633,MOD_TBL,11,0),IFERROR(VLOOKUP(E633,OCU_TBL,2,0),NEUTRO))</f>
        <v/>
      </c>
      <c r="BH633" s="3">
        <f>SUMIFS(MOT_AJUSTE,MOT_MOTOR,G633,MOT_MARCA,E633,MOT_DESDE,"&lt;="&amp;M633,MOT_HASTA,"&gt;="&amp;M633)+SUMIFS(MOT_AJUSTE,MOT_MOTOR,G633,MOT_MARCA,"(todas)",MOT_DESDE,"&lt;="&amp;M633,MOT_HASTA,"&gt;="&amp;M633)</f>
        <v/>
      </c>
      <c r="BI633" s="3">
        <f>SUMIFS(COMB_AJUSTE,COMB_COMB,K633)</f>
        <v/>
      </c>
      <c r="BJ633" s="3">
        <f>COUNTIFS(MOT_MOTOR,G633,MOT_MARCA,E633,MOT_DESDE,"&lt;="&amp;M633,MOT_HASTA,"&gt;="&amp;M633)+COUNTIFS(MOT_MOTOR,G633,MOT_MARCA,"(todas)",MOT_DESDE,"&lt;="&amp;M633,MOT_HASTA,"&gt;="&amp;M633)</f>
        <v/>
      </c>
      <c r="BK633" s="3">
        <f>IF(AND(K633="diesel",BJ633=0),MIN(BG633,NEUTRO),BG633)</f>
        <v/>
      </c>
      <c r="BL633" s="4">
        <f>MAX(0,MIN(100,BK633+BH633+BI633))</f>
        <v/>
      </c>
      <c r="BM633" s="3">
        <f>MAX(0,MIN(100,50+BE633*PRECIO_PEND))</f>
        <v/>
      </c>
      <c r="BN633" s="3">
        <f>MAX(0,100*(1-N633/KM_MAX))</f>
        <v/>
      </c>
      <c r="BO633" s="3">
        <f>IF(AV633&lt;KMA_SOSP,IF(AA633="sí",100,KMA_PEN),IF(AV633&lt;=KMA_IDEAL_MAX,100,MAX(0,100*(KMA_CERO-AV633)/(KMA_CERO-KMA_IDEAL_MAX))))</f>
        <v/>
      </c>
      <c r="BP633" s="3">
        <f>MAX(0,MIN(100,100*(M633-ANIO_MIN)/(ANIO_ACTUAL-ANIO_MIN)))</f>
        <v/>
      </c>
      <c r="BQ633" s="3">
        <f>W_KMT*BN633+W_KMA*BO633+W_EDAD*BP633</f>
        <v/>
      </c>
      <c r="BR633" s="3">
        <f>P_ITV*(V633="sí")+P_LIBRO*(W633="sí")+P_CORREA*(X633="sí")+P_PROP*(Y633=1)+P_GAR*(Z633="sí")+P_FOTOS*MIN(1,N(U633)/FOTOS_OBJ)</f>
        <v/>
      </c>
      <c r="BS633" s="3">
        <f>IFERROR(VLOOKUP(BF633,ETQ_TBL,2,0),NEUTRO)</f>
        <v/>
      </c>
      <c r="BT633" s="3">
        <f>NEUTRO</f>
        <v/>
      </c>
      <c r="BU633" s="3">
        <f>IFERROR(VLOOKUP(L633,SEGURO_TBL,3,0),"")</f>
        <v/>
      </c>
      <c r="BV633" s="3">
        <f>IF(BU633="",NEUTRO,MAX(0,MIN(100,100*(SEG_REF_MAX-BU633)/(SEG_REF_MAX-SEG_REF_MIN))))</f>
        <v/>
      </c>
      <c r="BW633" s="3">
        <f>W_ET*BS633+W_CONS*BT633+W_SEG*BV633</f>
        <v/>
      </c>
      <c r="BX633" s="3">
        <f>IF(N(AB633)&gt;0,AB633,IF(AND(R633="profesional",SG_LEGAL_ON=1),GAR_LEGAL,0))</f>
        <v/>
      </c>
      <c r="BY633" s="3">
        <f>SG_GAR*MIN(1,BX633/SG_GAR_FULL)+SG_AMPL*(AC633="sí")+SG_KMC*(AF633="sí")+SG_REV*(N(AE633)&gt;0)+SG_DEV*MIN(1,N(AG633)/SG_DEV_FULL)+SG_HIST*(W633="sí")</f>
        <v/>
      </c>
      <c r="BZ633" s="3">
        <f>IFERROR(VLOOKUP(L633,CARR_PEN_TBL,2,0),0)</f>
        <v/>
      </c>
      <c r="CA633" s="3">
        <f>W_FIAB*BL633+W_PRECIO*BM633+W_KMEDAD*BQ633+W_ANUNCIO*BR633+W_USO*BW633+W_SEGURIDAD*BY633-BZ633</f>
        <v/>
      </c>
      <c r="CB633" s="4">
        <f>IF(N(I633)&gt;0,I633,IFERROR(ROUND(_xlfn.NUMBERVALUE(LEFT(G633,FIND(" ",G633&amp;" ")-1),".")*1000,0),99999))</f>
        <v/>
      </c>
      <c r="CC633" s="3">
        <f>IF(R633="profesional",0,IF(O633&lt;CUOTA_VALOR_MAX,IF(AU633&gt;ITP_TRAMO_ALTO,SUMIFS(CF_CUOTA,CF_MAS,ITP_TRAMO_ALTO,CF_CCMIN,"&lt;="&amp;CB633,CF_CCMAX,"&gt;="&amp;CB633),IF(AU633&gt;ITP_TRAMO_BAJO,SUMIFS(CF_CUOTA,CF_MAS,ITP_TRAMO_BAJO,CF_CCMIN,"&lt;="&amp;CB633,CF_CCMAX,"&gt;="&amp;CB633),O633*ITP_TIPO)),O633*ITP_TIPO))</f>
        <v/>
      </c>
      <c r="CD633" s="4">
        <f>IF(R633="profesional",N(AK633),0)</f>
        <v/>
      </c>
      <c r="CE633" s="3">
        <f>IF(AND(R633="profesional",ISNUMBER(AK633),AL633="sí"),0,TASA_DGT)</f>
        <v/>
      </c>
      <c r="CF633" s="3">
        <f>INFORME_DGT</f>
        <v/>
      </c>
      <c r="CG633" s="4">
        <f>O633+CD633+CC633+CE633+CF633</f>
        <v/>
      </c>
      <c r="CH633" s="4">
        <f>CG633+N(BU633)</f>
        <v/>
      </c>
      <c r="CI633" s="3">
        <f>IF(CG633&lt;=TOTAL_MAX,"sí",IF(CG633&lt;=TOTAL_MAX+MARGEN_NEG,"negociar","no"))</f>
        <v/>
      </c>
      <c r="CJ633" s="4">
        <f>IF(CI633&lt;&gt;"no",COUNTIFS($CI$2:$CI$662,"&lt;&gt;no",$CA$2:$CA$662,"&gt;"&amp;CA633)+COUNTIFS($CI$2:CI633,"&lt;&gt;no",$CA$2:CA633,CA633),"")</f>
        <v/>
      </c>
    </row>
    <row r="634">
      <c r="A634" s="2" t="inlineStr">
        <is>
          <t>cochesnet:71690884</t>
        </is>
      </c>
      <c r="B634" s="2" t="inlineStr">
        <is>
          <t>cochesnet</t>
        </is>
      </c>
      <c r="C634" s="2" t="inlineStr">
        <is>
          <t>https://www.coches.net/citroen-c4-gasolina-2006-en-castellon-71690884-covo.aspx</t>
        </is>
      </c>
      <c r="D634" s="2" t="inlineStr">
        <is>
          <t>CITROEN C4 1.4 16v LX</t>
        </is>
      </c>
      <c r="E634" s="2" t="inlineStr">
        <is>
          <t>Citroën</t>
        </is>
      </c>
      <c r="F634" s="2" t="inlineStr">
        <is>
          <t>Citroën C4</t>
        </is>
      </c>
      <c r="G634" s="2" t="inlineStr">
        <is>
          <t>1.4</t>
        </is>
      </c>
      <c r="H634" s="2" t="inlineStr">
        <is>
          <t>1.4 16v LX</t>
        </is>
      </c>
      <c r="I634" s="2" t="n"/>
      <c r="J634" s="2" t="n"/>
      <c r="K634" s="2" t="inlineStr">
        <is>
          <t>gasolina</t>
        </is>
      </c>
      <c r="L634" s="2" t="inlineStr">
        <is>
          <t>compacto</t>
        </is>
      </c>
      <c r="M634" s="2" t="n">
        <v>2006</v>
      </c>
      <c r="N634" s="2" t="n">
        <v>96364</v>
      </c>
      <c r="O634" s="2" t="n">
        <v>3200</v>
      </c>
      <c r="P634" s="2" t="inlineStr">
        <is>
          <t>manual</t>
        </is>
      </c>
      <c r="Q634" s="2" t="inlineStr">
        <is>
          <t>no</t>
        </is>
      </c>
      <c r="R634" s="2" t="inlineStr">
        <is>
          <t>particular</t>
        </is>
      </c>
      <c r="S634" s="2" t="inlineStr">
        <is>
          <t>Castellón de la Plana / Castelló de la Plana</t>
        </is>
      </c>
      <c r="T634" s="2" t="inlineStr">
        <is>
          <t>2026-10-06T20:50:12Z</t>
        </is>
      </c>
      <c r="U634" s="2" t="n">
        <v>9</v>
      </c>
      <c r="V634" s="2" t="inlineStr">
        <is>
          <t>sí</t>
        </is>
      </c>
      <c r="W634" s="2" t="n"/>
      <c r="X634" s="2" t="n"/>
      <c r="Y634" s="2" t="n"/>
      <c r="Z634" s="2" t="inlineStr">
        <is>
          <t>no</t>
        </is>
      </c>
      <c r="AA634" s="2" t="n"/>
      <c r="AB634" s="2" t="n"/>
      <c r="AC634" s="2" t="n"/>
      <c r="AD634" s="2" t="n"/>
      <c r="AE634" s="2" t="n"/>
      <c r="AF634" s="2" t="n"/>
      <c r="AG634" s="2" t="n"/>
      <c r="AH634" s="2" t="n">
        <v>3200</v>
      </c>
      <c r="AI634" s="2" t="n"/>
      <c r="AJ634" s="2" t="n"/>
      <c r="AK634" s="2" t="n"/>
      <c r="AL634" s="2" t="n"/>
      <c r="AM634" s="2" t="n"/>
      <c r="AN634" s="2" t="n">
        <v>2350</v>
      </c>
      <c r="AO634" s="2" t="n">
        <v>34</v>
      </c>
      <c r="AP634" s="2" t="inlineStr">
        <is>
          <t>modelo+año</t>
        </is>
      </c>
      <c r="AQ634" s="2" t="inlineStr">
        <is>
          <t>cochesnet:71687574 (https://www.coches.net/citroen-c4-14-16v-collection-5p-gasolina-2006-en-castellon-71687574-covo.aspx)</t>
        </is>
      </c>
      <c r="AR634" s="2" t="inlineStr">
        <is>
          <t>cuota fija ITP: &gt;12 años, hasta 1.500 cc; distancia no verificable (el anuncio solo indica la provincia): confirmar que está a &lt;= 70 km; fiabilidad del modelo PENDIENTE de fuente (puntuación neutra)</t>
        </is>
      </c>
      <c r="AS634" s="2" t="inlineStr">
        <is>
          <t>Se vende Citroën C4 del año 2006 en buen estado general de funcionamiento.Pocos Km "REALES"
Usado para ir a trabajar y volver, duerme en garaje.
 Año: 2006.
Funciona perfectamente,ITV recién pasada.
 Extras: Incluye portaequipajes instaladas.
Tal y como se muestra en las fotos, presenta algunos detalles de desgaste en la pintura (desconchones típicos de los C4 rojos, en el techo y capó) y algún roce en el lateral.
A/C funciona perfectamente
 Interior cuidado con fundas en los asientos delanteros.</t>
        </is>
      </c>
      <c r="AT634" s="2" t="inlineStr">
        <is>
          <t>https://www.coches.net/citroen-c4-gasolina-2006-en-castellon-71690884-covo.aspx (window.__INITIAL_PROPS__.ad) /home/user/Alopecia/buscador-coches/raw/cochesnet/9019d1e434112d62.json</t>
        </is>
      </c>
      <c r="AU634" s="3">
        <f>MAX(ANIO_ACTUAL-M634,0)</f>
        <v/>
      </c>
      <c r="AV634" s="4">
        <f>N634/MAX(AU634,0.5)</f>
        <v/>
      </c>
      <c r="AW634" s="4">
        <f>F634</f>
        <v/>
      </c>
      <c r="AX634" s="3">
        <f>AW634&amp;"|"&amp;INT(M634/SEG_ANIO)*SEG_ANIO</f>
        <v/>
      </c>
      <c r="AY634" s="3">
        <f>AX634&amp;"|"&amp;INT(N634/SEG_KM)*SEG_KM</f>
        <v/>
      </c>
      <c r="AZ634" s="4">
        <f>COUNTIF($AW$2:$AW$662,AW634)</f>
        <v/>
      </c>
      <c r="BA634" s="4">
        <f>COUNTIF($AX$2:$AX$662,AX634)</f>
        <v/>
      </c>
      <c r="BB634" s="4">
        <f>COUNTIF($AY$2:$AY$662,AY634)</f>
        <v/>
      </c>
      <c r="BC634" s="3">
        <f t="array" ref="BC634">IF(N(AO634)&gt;=MIN_N,AN634,IF(BB634&gt;=MIN_N,MEDIAN(IF($AY$2:$AY$662=AY634,$O$2:$O$662)),IF(BA634&gt;=MIN_N,MEDIAN(IF($AX$2:$AX$662=AX634,$O$2:$O$662)),MEDIAN(IF($AW$2:$AW$662=AW634,$O$2:$O$662)))))</f>
        <v/>
      </c>
      <c r="BD634" s="3">
        <f>IF(N(AO634)&gt;=MIN_N,"mercado "&amp;AP634,IF(BB634&gt;=MIN_N,"modelo+año+km",IF(BA634&gt;=MIN_N,"modelo+año","modelo")))</f>
        <v/>
      </c>
      <c r="BE634" s="4">
        <f>(BC634-O634)/BC634</f>
        <v/>
      </c>
      <c r="BF634" s="3">
        <f>IF(OR(K634="hibrido",K634="glp"),"ECO",IF(K634="electrico","CERO",IF(K634="gasolina",IF(M634&gt;=GAS_C,"C",IF(M634&gt;=GAS_B,"B","A")),IF(K634="diesel",IF(M634&gt;=DIE_C,"C",IF(M634&gt;=DIE_B,"B","A")),""))))</f>
        <v/>
      </c>
      <c r="BG634" s="3">
        <f>IFERROR(VLOOKUP(F634,MOD_TBL,11,0),IFERROR(VLOOKUP(E634,OCU_TBL,2,0),NEUTRO))</f>
        <v/>
      </c>
      <c r="BH634" s="3">
        <f>SUMIFS(MOT_AJUSTE,MOT_MOTOR,G634,MOT_MARCA,E634,MOT_DESDE,"&lt;="&amp;M634,MOT_HASTA,"&gt;="&amp;M634)+SUMIFS(MOT_AJUSTE,MOT_MOTOR,G634,MOT_MARCA,"(todas)",MOT_DESDE,"&lt;="&amp;M634,MOT_HASTA,"&gt;="&amp;M634)</f>
        <v/>
      </c>
      <c r="BI634" s="3">
        <f>SUMIFS(COMB_AJUSTE,COMB_COMB,K634)</f>
        <v/>
      </c>
      <c r="BJ634" s="3">
        <f>COUNTIFS(MOT_MOTOR,G634,MOT_MARCA,E634,MOT_DESDE,"&lt;="&amp;M634,MOT_HASTA,"&gt;="&amp;M634)+COUNTIFS(MOT_MOTOR,G634,MOT_MARCA,"(todas)",MOT_DESDE,"&lt;="&amp;M634,MOT_HASTA,"&gt;="&amp;M634)</f>
        <v/>
      </c>
      <c r="BK634" s="3">
        <f>IF(AND(K634="diesel",BJ634=0),MIN(BG634,NEUTRO),BG634)</f>
        <v/>
      </c>
      <c r="BL634" s="4">
        <f>MAX(0,MIN(100,BK634+BH634+BI634))</f>
        <v/>
      </c>
      <c r="BM634" s="3">
        <f>MAX(0,MIN(100,50+BE634*PRECIO_PEND))</f>
        <v/>
      </c>
      <c r="BN634" s="3">
        <f>MAX(0,100*(1-N634/KM_MAX))</f>
        <v/>
      </c>
      <c r="BO634" s="3">
        <f>IF(AV634&lt;KMA_SOSP,IF(AA634="sí",100,KMA_PEN),IF(AV634&lt;=KMA_IDEAL_MAX,100,MAX(0,100*(KMA_CERO-AV634)/(KMA_CERO-KMA_IDEAL_MAX))))</f>
        <v/>
      </c>
      <c r="BP634" s="3">
        <f>MAX(0,MIN(100,100*(M634-ANIO_MIN)/(ANIO_ACTUAL-ANIO_MIN)))</f>
        <v/>
      </c>
      <c r="BQ634" s="3">
        <f>W_KMT*BN634+W_KMA*BO634+W_EDAD*BP634</f>
        <v/>
      </c>
      <c r="BR634" s="3">
        <f>P_ITV*(V634="sí")+P_LIBRO*(W634="sí")+P_CORREA*(X634="sí")+P_PROP*(Y634=1)+P_GAR*(Z634="sí")+P_FOTOS*MIN(1,N(U634)/FOTOS_OBJ)</f>
        <v/>
      </c>
      <c r="BS634" s="3">
        <f>IFERROR(VLOOKUP(BF634,ETQ_TBL,2,0),NEUTRO)</f>
        <v/>
      </c>
      <c r="BT634" s="3">
        <f>NEUTRO</f>
        <v/>
      </c>
      <c r="BU634" s="3">
        <f>IFERROR(VLOOKUP(L634,SEGURO_TBL,3,0),"")</f>
        <v/>
      </c>
      <c r="BV634" s="3">
        <f>IF(BU634="",NEUTRO,MAX(0,MIN(100,100*(SEG_REF_MAX-BU634)/(SEG_REF_MAX-SEG_REF_MIN))))</f>
        <v/>
      </c>
      <c r="BW634" s="3">
        <f>W_ET*BS634+W_CONS*BT634+W_SEG*BV634</f>
        <v/>
      </c>
      <c r="BX634" s="3">
        <f>IF(N(AB634)&gt;0,AB634,IF(AND(R634="profesional",SG_LEGAL_ON=1),GAR_LEGAL,0))</f>
        <v/>
      </c>
      <c r="BY634" s="3">
        <f>SG_GAR*MIN(1,BX634/SG_GAR_FULL)+SG_AMPL*(AC634="sí")+SG_KMC*(AF634="sí")+SG_REV*(N(AE634)&gt;0)+SG_DEV*MIN(1,N(AG634)/SG_DEV_FULL)+SG_HIST*(W634="sí")</f>
        <v/>
      </c>
      <c r="BZ634" s="3">
        <f>IFERROR(VLOOKUP(L634,CARR_PEN_TBL,2,0),0)</f>
        <v/>
      </c>
      <c r="CA634" s="3">
        <f>W_FIAB*BL634+W_PRECIO*BM634+W_KMEDAD*BQ634+W_ANUNCIO*BR634+W_USO*BW634+W_SEGURIDAD*BY634-BZ634</f>
        <v/>
      </c>
      <c r="CB634" s="4">
        <f>IF(N(I634)&gt;0,I634,IFERROR(ROUND(_xlfn.NUMBERVALUE(LEFT(G634,FIND(" ",G634&amp;" ")-1),".")*1000,0),99999))</f>
        <v/>
      </c>
      <c r="CC634" s="3">
        <f>IF(R634="profesional",0,IF(O634&lt;CUOTA_VALOR_MAX,IF(AU634&gt;ITP_TRAMO_ALTO,SUMIFS(CF_CUOTA,CF_MAS,ITP_TRAMO_ALTO,CF_CCMIN,"&lt;="&amp;CB634,CF_CCMAX,"&gt;="&amp;CB634),IF(AU634&gt;ITP_TRAMO_BAJO,SUMIFS(CF_CUOTA,CF_MAS,ITP_TRAMO_BAJO,CF_CCMIN,"&lt;="&amp;CB634,CF_CCMAX,"&gt;="&amp;CB634),O634*ITP_TIPO)),O634*ITP_TIPO))</f>
        <v/>
      </c>
      <c r="CD634" s="4">
        <f>IF(R634="profesional",N(AK634),0)</f>
        <v/>
      </c>
      <c r="CE634" s="3">
        <f>IF(AND(R634="profesional",ISNUMBER(AK634),AL634="sí"),0,TASA_DGT)</f>
        <v/>
      </c>
      <c r="CF634" s="3">
        <f>INFORME_DGT</f>
        <v/>
      </c>
      <c r="CG634" s="4">
        <f>O634+CD634+CC634+CE634+CF634</f>
        <v/>
      </c>
      <c r="CH634" s="4">
        <f>CG634+N(BU634)</f>
        <v/>
      </c>
      <c r="CI634" s="3">
        <f>IF(CG634&lt;=TOTAL_MAX,"sí",IF(CG634&lt;=TOTAL_MAX+MARGEN_NEG,"negociar","no"))</f>
        <v/>
      </c>
      <c r="CJ634" s="4">
        <f>IF(CI634&lt;&gt;"no",COUNTIFS($CI$2:$CI$662,"&lt;&gt;no",$CA$2:$CA$662,"&gt;"&amp;CA634)+COUNTIFS($CI$2:CI634,"&lt;&gt;no",$CA$2:CA634,CA634),"")</f>
        <v/>
      </c>
    </row>
    <row r="635">
      <c r="A635" s="2" t="inlineStr">
        <is>
          <t>cochesnet:71573999</t>
        </is>
      </c>
      <c r="B635" s="2" t="inlineStr">
        <is>
          <t>cochesnet</t>
        </is>
      </c>
      <c r="C635" s="2" t="inlineStr">
        <is>
          <t>https://www.coches.net/citroen-c4-14-16v-collection-5p-gasolina-2004-en-castellon-71573999-covo.aspx</t>
        </is>
      </c>
      <c r="D635" s="2" t="inlineStr">
        <is>
          <t>CITROEN C4 1.4 16v Collection</t>
        </is>
      </c>
      <c r="E635" s="2" t="inlineStr">
        <is>
          <t>Citroën</t>
        </is>
      </c>
      <c r="F635" s="2" t="inlineStr">
        <is>
          <t>Citroën C4</t>
        </is>
      </c>
      <c r="G635" s="2" t="inlineStr">
        <is>
          <t>1.4</t>
        </is>
      </c>
      <c r="H635" s="2" t="inlineStr">
        <is>
          <t>1.4 16v Collection</t>
        </is>
      </c>
      <c r="I635" s="2" t="n"/>
      <c r="J635" s="2" t="n"/>
      <c r="K635" s="2" t="inlineStr">
        <is>
          <t>gasolina</t>
        </is>
      </c>
      <c r="L635" s="2" t="inlineStr">
        <is>
          <t>compacto</t>
        </is>
      </c>
      <c r="M635" s="2" t="n">
        <v>2007</v>
      </c>
      <c r="N635" s="2" t="n">
        <v>90000</v>
      </c>
      <c r="O635" s="2" t="n">
        <v>4500</v>
      </c>
      <c r="P635" s="2" t="inlineStr">
        <is>
          <t>manual</t>
        </is>
      </c>
      <c r="Q635" s="2" t="inlineStr">
        <is>
          <t>no</t>
        </is>
      </c>
      <c r="R635" s="2" t="inlineStr">
        <is>
          <t>profesional</t>
        </is>
      </c>
      <c r="S635" s="2" t="inlineStr">
        <is>
          <t>Automoviles Llorens  Almazora</t>
        </is>
      </c>
      <c r="T635" s="2" t="inlineStr">
        <is>
          <t>2026-09-22T18:20:39Z</t>
        </is>
      </c>
      <c r="U635" s="2" t="n">
        <v>9</v>
      </c>
      <c r="V635" s="2" t="n"/>
      <c r="W635" s="2" t="n"/>
      <c r="X635" s="2" t="n"/>
      <c r="Y635" s="2" t="n"/>
      <c r="Z635" s="2" t="inlineStr">
        <is>
          <t>sí</t>
        </is>
      </c>
      <c r="AA635" s="2" t="n"/>
      <c r="AB635" s="2" t="n">
        <v>12</v>
      </c>
      <c r="AC635" s="2" t="n"/>
      <c r="AD635" s="2" t="n"/>
      <c r="AE635" s="2" t="n"/>
      <c r="AF635" s="2" t="n"/>
      <c r="AG635" s="2" t="n"/>
      <c r="AH635" s="2" t="n">
        <v>4500</v>
      </c>
      <c r="AI635" s="2" t="n"/>
      <c r="AJ635" s="2" t="n"/>
      <c r="AK635" s="2" t="n"/>
      <c r="AL635" s="2" t="n"/>
      <c r="AM635" s="2" t="n"/>
      <c r="AN635" s="2" t="n">
        <v>3500</v>
      </c>
      <c r="AO635" s="2" t="n">
        <v>53</v>
      </c>
      <c r="AP635" s="2" t="inlineStr">
        <is>
          <t>modelo+año</t>
        </is>
      </c>
      <c r="AQ635" s="2" t="n"/>
      <c r="AR635"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35" s="2" t="inlineStr">
        <is>
          <t>Este Citroën C4 Collection dispone de climatización bizona automática, control de crucero y ordenador de viaje con información de consumo instantáneo y autonomía. Equipado con dirección asistida, elevalunas eléctricos en todas las puertas, retrovisores exteriores eléctricos con eliminación de ángulo muerto y sistema de audio con seis altavoces controlable desde el volante multifuncional. Presenta cristales tintados, limpiaparabrisas delantero y cierre centralizado con mando a distancia. Su etiqueta ambiental C facilita el acceso a zonas de tráfico limitado en ciudades.</t>
        </is>
      </c>
      <c r="AT635" s="2" t="inlineStr">
        <is>
          <t>https://www.coches.net/citroen-c4-14-16v-collection-5p-gasolina-2004-en-castellon-71573999-covo.aspx (window.__INITIAL_PROPS__.ad) /home/user/Alopecia/buscador-coches/raw/cochesnet/cf456d9732698ff5.json</t>
        </is>
      </c>
      <c r="AU635" s="3">
        <f>MAX(ANIO_ACTUAL-M635,0)</f>
        <v/>
      </c>
      <c r="AV635" s="4">
        <f>N635/MAX(AU635,0.5)</f>
        <v/>
      </c>
      <c r="AW635" s="4">
        <f>F635</f>
        <v/>
      </c>
      <c r="AX635" s="3">
        <f>AW635&amp;"|"&amp;INT(M635/SEG_ANIO)*SEG_ANIO</f>
        <v/>
      </c>
      <c r="AY635" s="3">
        <f>AX635&amp;"|"&amp;INT(N635/SEG_KM)*SEG_KM</f>
        <v/>
      </c>
      <c r="AZ635" s="4">
        <f>COUNTIF($AW$2:$AW$662,AW635)</f>
        <v/>
      </c>
      <c r="BA635" s="4">
        <f>COUNTIF($AX$2:$AX$662,AX635)</f>
        <v/>
      </c>
      <c r="BB635" s="4">
        <f>COUNTIF($AY$2:$AY$662,AY635)</f>
        <v/>
      </c>
      <c r="BC635" s="3">
        <f t="array" ref="BC635">IF(N(AO635)&gt;=MIN_N,AN635,IF(BB635&gt;=MIN_N,MEDIAN(IF($AY$2:$AY$662=AY635,$O$2:$O$662)),IF(BA635&gt;=MIN_N,MEDIAN(IF($AX$2:$AX$662=AX635,$O$2:$O$662)),MEDIAN(IF($AW$2:$AW$662=AW635,$O$2:$O$662)))))</f>
        <v/>
      </c>
      <c r="BD635" s="3">
        <f>IF(N(AO635)&gt;=MIN_N,"mercado "&amp;AP635,IF(BB635&gt;=MIN_N,"modelo+año+km",IF(BA635&gt;=MIN_N,"modelo+año","modelo")))</f>
        <v/>
      </c>
      <c r="BE635" s="4">
        <f>(BC635-O635)/BC635</f>
        <v/>
      </c>
      <c r="BF635" s="3">
        <f>IF(OR(K635="hibrido",K635="glp"),"ECO",IF(K635="electrico","CERO",IF(K635="gasolina",IF(M635&gt;=GAS_C,"C",IF(M635&gt;=GAS_B,"B","A")),IF(K635="diesel",IF(M635&gt;=DIE_C,"C",IF(M635&gt;=DIE_B,"B","A")),""))))</f>
        <v/>
      </c>
      <c r="BG635" s="3">
        <f>IFERROR(VLOOKUP(F635,MOD_TBL,11,0),IFERROR(VLOOKUP(E635,OCU_TBL,2,0),NEUTRO))</f>
        <v/>
      </c>
      <c r="BH635" s="3">
        <f>SUMIFS(MOT_AJUSTE,MOT_MOTOR,G635,MOT_MARCA,E635,MOT_DESDE,"&lt;="&amp;M635,MOT_HASTA,"&gt;="&amp;M635)+SUMIFS(MOT_AJUSTE,MOT_MOTOR,G635,MOT_MARCA,"(todas)",MOT_DESDE,"&lt;="&amp;M635,MOT_HASTA,"&gt;="&amp;M635)</f>
        <v/>
      </c>
      <c r="BI635" s="3">
        <f>SUMIFS(COMB_AJUSTE,COMB_COMB,K635)</f>
        <v/>
      </c>
      <c r="BJ635" s="3">
        <f>COUNTIFS(MOT_MOTOR,G635,MOT_MARCA,E635,MOT_DESDE,"&lt;="&amp;M635,MOT_HASTA,"&gt;="&amp;M635)+COUNTIFS(MOT_MOTOR,G635,MOT_MARCA,"(todas)",MOT_DESDE,"&lt;="&amp;M635,MOT_HASTA,"&gt;="&amp;M635)</f>
        <v/>
      </c>
      <c r="BK635" s="3">
        <f>IF(AND(K635="diesel",BJ635=0),MIN(BG635,NEUTRO),BG635)</f>
        <v/>
      </c>
      <c r="BL635" s="4">
        <f>MAX(0,MIN(100,BK635+BH635+BI635))</f>
        <v/>
      </c>
      <c r="BM635" s="3">
        <f>MAX(0,MIN(100,50+BE635*PRECIO_PEND))</f>
        <v/>
      </c>
      <c r="BN635" s="3">
        <f>MAX(0,100*(1-N635/KM_MAX))</f>
        <v/>
      </c>
      <c r="BO635" s="3">
        <f>IF(AV635&lt;KMA_SOSP,IF(AA635="sí",100,KMA_PEN),IF(AV635&lt;=KMA_IDEAL_MAX,100,MAX(0,100*(KMA_CERO-AV635)/(KMA_CERO-KMA_IDEAL_MAX))))</f>
        <v/>
      </c>
      <c r="BP635" s="3">
        <f>MAX(0,MIN(100,100*(M635-ANIO_MIN)/(ANIO_ACTUAL-ANIO_MIN)))</f>
        <v/>
      </c>
      <c r="BQ635" s="3">
        <f>W_KMT*BN635+W_KMA*BO635+W_EDAD*BP635</f>
        <v/>
      </c>
      <c r="BR635" s="3">
        <f>P_ITV*(V635="sí")+P_LIBRO*(W635="sí")+P_CORREA*(X635="sí")+P_PROP*(Y635=1)+P_GAR*(Z635="sí")+P_FOTOS*MIN(1,N(U635)/FOTOS_OBJ)</f>
        <v/>
      </c>
      <c r="BS635" s="3">
        <f>IFERROR(VLOOKUP(BF635,ETQ_TBL,2,0),NEUTRO)</f>
        <v/>
      </c>
      <c r="BT635" s="3">
        <f>NEUTRO</f>
        <v/>
      </c>
      <c r="BU635" s="3">
        <f>IFERROR(VLOOKUP(L635,SEGURO_TBL,3,0),"")</f>
        <v/>
      </c>
      <c r="BV635" s="3">
        <f>IF(BU635="",NEUTRO,MAX(0,MIN(100,100*(SEG_REF_MAX-BU635)/(SEG_REF_MAX-SEG_REF_MIN))))</f>
        <v/>
      </c>
      <c r="BW635" s="3">
        <f>W_ET*BS635+W_CONS*BT635+W_SEG*BV635</f>
        <v/>
      </c>
      <c r="BX635" s="3">
        <f>IF(N(AB635)&gt;0,AB635,IF(AND(R635="profesional",SG_LEGAL_ON=1),GAR_LEGAL,0))</f>
        <v/>
      </c>
      <c r="BY635" s="3">
        <f>SG_GAR*MIN(1,BX635/SG_GAR_FULL)+SG_AMPL*(AC635="sí")+SG_KMC*(AF635="sí")+SG_REV*(N(AE635)&gt;0)+SG_DEV*MIN(1,N(AG635)/SG_DEV_FULL)+SG_HIST*(W635="sí")</f>
        <v/>
      </c>
      <c r="BZ635" s="3">
        <f>IFERROR(VLOOKUP(L635,CARR_PEN_TBL,2,0),0)</f>
        <v/>
      </c>
      <c r="CA635" s="3">
        <f>W_FIAB*BL635+W_PRECIO*BM635+W_KMEDAD*BQ635+W_ANUNCIO*BR635+W_USO*BW635+W_SEGURIDAD*BY635-BZ635</f>
        <v/>
      </c>
      <c r="CB635" s="4">
        <f>IF(N(I635)&gt;0,I635,IFERROR(ROUND(_xlfn.NUMBERVALUE(LEFT(G635,FIND(" ",G635&amp;" ")-1),".")*1000,0),99999))</f>
        <v/>
      </c>
      <c r="CC635" s="3">
        <f>IF(R635="profesional",0,IF(O635&lt;CUOTA_VALOR_MAX,IF(AU635&gt;ITP_TRAMO_ALTO,SUMIFS(CF_CUOTA,CF_MAS,ITP_TRAMO_ALTO,CF_CCMIN,"&lt;="&amp;CB635,CF_CCMAX,"&gt;="&amp;CB635),IF(AU635&gt;ITP_TRAMO_BAJO,SUMIFS(CF_CUOTA,CF_MAS,ITP_TRAMO_BAJO,CF_CCMIN,"&lt;="&amp;CB635,CF_CCMAX,"&gt;="&amp;CB635),O635*ITP_TIPO)),O635*ITP_TIPO))</f>
        <v/>
      </c>
      <c r="CD635" s="4">
        <f>IF(R635="profesional",N(AK635),0)</f>
        <v/>
      </c>
      <c r="CE635" s="3">
        <f>IF(AND(R635="profesional",ISNUMBER(AK635),AL635="sí"),0,TASA_DGT)</f>
        <v/>
      </c>
      <c r="CF635" s="3">
        <f>INFORME_DGT</f>
        <v/>
      </c>
      <c r="CG635" s="4">
        <f>O635+CD635+CC635+CE635+CF635</f>
        <v/>
      </c>
      <c r="CH635" s="4">
        <f>CG635+N(BU635)</f>
        <v/>
      </c>
      <c r="CI635" s="3">
        <f>IF(CG635&lt;=TOTAL_MAX,"sí",IF(CG635&lt;=TOTAL_MAX+MARGEN_NEG,"negociar","no"))</f>
        <v/>
      </c>
      <c r="CJ635" s="4">
        <f>IF(CI635&lt;&gt;"no",COUNTIFS($CI$2:$CI$662,"&lt;&gt;no",$CA$2:$CA$662,"&gt;"&amp;CA635)+COUNTIFS($CI$2:CI635,"&lt;&gt;no",$CA$2:CA635,CA635),"")</f>
        <v/>
      </c>
    </row>
    <row r="636">
      <c r="A636" s="2" t="inlineStr">
        <is>
          <t>cochesnet:71545301</t>
        </is>
      </c>
      <c r="B636" s="2" t="inlineStr">
        <is>
          <t>cochesnet</t>
        </is>
      </c>
      <c r="C636" s="2" t="inlineStr">
        <is>
          <t>https://www.coches.net/citroen-c4-gasolina-2007-en-castellon-71545301-covo.aspx</t>
        </is>
      </c>
      <c r="D636" s="2" t="inlineStr">
        <is>
          <t>CITROEN C4</t>
        </is>
      </c>
      <c r="E636" s="2" t="inlineStr">
        <is>
          <t>Citroën</t>
        </is>
      </c>
      <c r="F636" s="2" t="inlineStr">
        <is>
          <t>Citroën C4</t>
        </is>
      </c>
      <c r="G636" s="2" t="n"/>
      <c r="H636" s="2" t="n"/>
      <c r="I636" s="2" t="n"/>
      <c r="J636" s="2" t="n"/>
      <c r="K636" s="2" t="inlineStr">
        <is>
          <t>gasolina</t>
        </is>
      </c>
      <c r="L636" s="2" t="inlineStr">
        <is>
          <t>compacto</t>
        </is>
      </c>
      <c r="M636" s="2" t="n">
        <v>2007</v>
      </c>
      <c r="N636" s="2" t="n">
        <v>153511</v>
      </c>
      <c r="O636" s="2" t="n">
        <v>3100</v>
      </c>
      <c r="P636" s="2" t="inlineStr">
        <is>
          <t>manual</t>
        </is>
      </c>
      <c r="Q636" s="2" t="inlineStr">
        <is>
          <t>no</t>
        </is>
      </c>
      <c r="R636" s="2" t="inlineStr">
        <is>
          <t>particular</t>
        </is>
      </c>
      <c r="S636" s="2" t="n"/>
      <c r="T636" s="2" t="inlineStr">
        <is>
          <t>2026-09-18T11:20:17Z</t>
        </is>
      </c>
      <c r="U636" s="2" t="n">
        <v>7</v>
      </c>
      <c r="V636" s="2" t="inlineStr">
        <is>
          <t>sí</t>
        </is>
      </c>
      <c r="W636" s="2" t="n"/>
      <c r="X636" s="2" t="n"/>
      <c r="Y636" s="2" t="n"/>
      <c r="Z636" s="2" t="inlineStr">
        <is>
          <t>no</t>
        </is>
      </c>
      <c r="AA636" s="2" t="n"/>
      <c r="AB636" s="2" t="n"/>
      <c r="AC636" s="2" t="n"/>
      <c r="AD636" s="2" t="n"/>
      <c r="AE636" s="2" t="n"/>
      <c r="AF636" s="2" t="n"/>
      <c r="AG636" s="2" t="n"/>
      <c r="AH636" s="2" t="n">
        <v>3100</v>
      </c>
      <c r="AI636" s="2" t="n"/>
      <c r="AJ636" s="2" t="n"/>
      <c r="AK636" s="2" t="n"/>
      <c r="AL636" s="2" t="n"/>
      <c r="AM636" s="2" t="n"/>
      <c r="AN636" s="2" t="n">
        <v>3500</v>
      </c>
      <c r="AO636" s="2" t="n">
        <v>11</v>
      </c>
      <c r="AP636" s="2" t="inlineStr">
        <is>
          <t>modelo+año+km</t>
        </is>
      </c>
      <c r="AQ636" s="2" t="n"/>
      <c r="AR636"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636" s="2" t="inlineStr">
        <is>
          <t xml:space="preserve">vendo citroen c4 del 2007 en buen estado. 
Itv en vigor pasada en 08/2026
4 Ruedas prácticamente nuevas
Frenos y discos cambiados
Bateria nueva desde agosto
Tiene algun raya, en los laterales, y en puerta maletero, visibles en las fotos. techo un poco desteñido por el tiempo y el sol.
Km reales, todas las revisiones, cambio de aceite, escobillas parabrisas cambiadas recientemente, techo del interior retapizado en negro como nuevo, dos llaves electrónicas, elevalunas electrico recién cambiado.
En caso de compra: limpieza a fondo de tapicería.
109 caballos de potencia, cambio de nombre incluido en el precio.
</t>
        </is>
      </c>
      <c r="AT636" s="2" t="inlineStr">
        <is>
          <t>https://www.coches.net/citroen-c4-gasolina-2007-en-castellon-71545301-covo.aspx (window.__INITIAL_PROPS__.ad) /home/user/Alopecia/buscador-coches/raw/cochesnet/37c5283723858adb.json</t>
        </is>
      </c>
      <c r="AU636" s="3">
        <f>MAX(ANIO_ACTUAL-M636,0)</f>
        <v/>
      </c>
      <c r="AV636" s="4">
        <f>N636/MAX(AU636,0.5)</f>
        <v/>
      </c>
      <c r="AW636" s="4">
        <f>F636</f>
        <v/>
      </c>
      <c r="AX636" s="3">
        <f>AW636&amp;"|"&amp;INT(M636/SEG_ANIO)*SEG_ANIO</f>
        <v/>
      </c>
      <c r="AY636" s="3">
        <f>AX636&amp;"|"&amp;INT(N636/SEG_KM)*SEG_KM</f>
        <v/>
      </c>
      <c r="AZ636" s="4">
        <f>COUNTIF($AW$2:$AW$662,AW636)</f>
        <v/>
      </c>
      <c r="BA636" s="4">
        <f>COUNTIF($AX$2:$AX$662,AX636)</f>
        <v/>
      </c>
      <c r="BB636" s="4">
        <f>COUNTIF($AY$2:$AY$662,AY636)</f>
        <v/>
      </c>
      <c r="BC636" s="3">
        <f t="array" ref="BC636">IF(N(AO636)&gt;=MIN_N,AN636,IF(BB636&gt;=MIN_N,MEDIAN(IF($AY$2:$AY$662=AY636,$O$2:$O$662)),IF(BA636&gt;=MIN_N,MEDIAN(IF($AX$2:$AX$662=AX636,$O$2:$O$662)),MEDIAN(IF($AW$2:$AW$662=AW636,$O$2:$O$662)))))</f>
        <v/>
      </c>
      <c r="BD636" s="3">
        <f>IF(N(AO636)&gt;=MIN_N,"mercado "&amp;AP636,IF(BB636&gt;=MIN_N,"modelo+año+km",IF(BA636&gt;=MIN_N,"modelo+año","modelo")))</f>
        <v/>
      </c>
      <c r="BE636" s="4">
        <f>(BC636-O636)/BC636</f>
        <v/>
      </c>
      <c r="BF636" s="3">
        <f>IF(OR(K636="hibrido",K636="glp"),"ECO",IF(K636="electrico","CERO",IF(K636="gasolina",IF(M636&gt;=GAS_C,"C",IF(M636&gt;=GAS_B,"B","A")),IF(K636="diesel",IF(M636&gt;=DIE_C,"C",IF(M636&gt;=DIE_B,"B","A")),""))))</f>
        <v/>
      </c>
      <c r="BG636" s="3">
        <f>IFERROR(VLOOKUP(F636,MOD_TBL,11,0),IFERROR(VLOOKUP(E636,OCU_TBL,2,0),NEUTRO))</f>
        <v/>
      </c>
      <c r="BH636" s="3">
        <f>SUMIFS(MOT_AJUSTE,MOT_MOTOR,G636,MOT_MARCA,E636,MOT_DESDE,"&lt;="&amp;M636,MOT_HASTA,"&gt;="&amp;M636)+SUMIFS(MOT_AJUSTE,MOT_MOTOR,G636,MOT_MARCA,"(todas)",MOT_DESDE,"&lt;="&amp;M636,MOT_HASTA,"&gt;="&amp;M636)</f>
        <v/>
      </c>
      <c r="BI636" s="3">
        <f>SUMIFS(COMB_AJUSTE,COMB_COMB,K636)</f>
        <v/>
      </c>
      <c r="BJ636" s="3">
        <f>COUNTIFS(MOT_MOTOR,G636,MOT_MARCA,E636,MOT_DESDE,"&lt;="&amp;M636,MOT_HASTA,"&gt;="&amp;M636)+COUNTIFS(MOT_MOTOR,G636,MOT_MARCA,"(todas)",MOT_DESDE,"&lt;="&amp;M636,MOT_HASTA,"&gt;="&amp;M636)</f>
        <v/>
      </c>
      <c r="BK636" s="3">
        <f>IF(AND(K636="diesel",BJ636=0),MIN(BG636,NEUTRO),BG636)</f>
        <v/>
      </c>
      <c r="BL636" s="4">
        <f>MAX(0,MIN(100,BK636+BH636+BI636))</f>
        <v/>
      </c>
      <c r="BM636" s="3">
        <f>MAX(0,MIN(100,50+BE636*PRECIO_PEND))</f>
        <v/>
      </c>
      <c r="BN636" s="3">
        <f>MAX(0,100*(1-N636/KM_MAX))</f>
        <v/>
      </c>
      <c r="BO636" s="3">
        <f>IF(AV636&lt;KMA_SOSP,IF(AA636="sí",100,KMA_PEN),IF(AV636&lt;=KMA_IDEAL_MAX,100,MAX(0,100*(KMA_CERO-AV636)/(KMA_CERO-KMA_IDEAL_MAX))))</f>
        <v/>
      </c>
      <c r="BP636" s="3">
        <f>MAX(0,MIN(100,100*(M636-ANIO_MIN)/(ANIO_ACTUAL-ANIO_MIN)))</f>
        <v/>
      </c>
      <c r="BQ636" s="3">
        <f>W_KMT*BN636+W_KMA*BO636+W_EDAD*BP636</f>
        <v/>
      </c>
      <c r="BR636" s="3">
        <f>P_ITV*(V636="sí")+P_LIBRO*(W636="sí")+P_CORREA*(X636="sí")+P_PROP*(Y636=1)+P_GAR*(Z636="sí")+P_FOTOS*MIN(1,N(U636)/FOTOS_OBJ)</f>
        <v/>
      </c>
      <c r="BS636" s="3">
        <f>IFERROR(VLOOKUP(BF636,ETQ_TBL,2,0),NEUTRO)</f>
        <v/>
      </c>
      <c r="BT636" s="3">
        <f>NEUTRO</f>
        <v/>
      </c>
      <c r="BU636" s="3">
        <f>IFERROR(VLOOKUP(L636,SEGURO_TBL,3,0),"")</f>
        <v/>
      </c>
      <c r="BV636" s="3">
        <f>IF(BU636="",NEUTRO,MAX(0,MIN(100,100*(SEG_REF_MAX-BU636)/(SEG_REF_MAX-SEG_REF_MIN))))</f>
        <v/>
      </c>
      <c r="BW636" s="3">
        <f>W_ET*BS636+W_CONS*BT636+W_SEG*BV636</f>
        <v/>
      </c>
      <c r="BX636" s="3">
        <f>IF(N(AB636)&gt;0,AB636,IF(AND(R636="profesional",SG_LEGAL_ON=1),GAR_LEGAL,0))</f>
        <v/>
      </c>
      <c r="BY636" s="3">
        <f>SG_GAR*MIN(1,BX636/SG_GAR_FULL)+SG_AMPL*(AC636="sí")+SG_KMC*(AF636="sí")+SG_REV*(N(AE636)&gt;0)+SG_DEV*MIN(1,N(AG636)/SG_DEV_FULL)+SG_HIST*(W636="sí")</f>
        <v/>
      </c>
      <c r="BZ636" s="3">
        <f>IFERROR(VLOOKUP(L636,CARR_PEN_TBL,2,0),0)</f>
        <v/>
      </c>
      <c r="CA636" s="3">
        <f>W_FIAB*BL636+W_PRECIO*BM636+W_KMEDAD*BQ636+W_ANUNCIO*BR636+W_USO*BW636+W_SEGURIDAD*BY636-BZ636</f>
        <v/>
      </c>
      <c r="CB636" s="4">
        <f>IF(N(I636)&gt;0,I636,IFERROR(ROUND(_xlfn.NUMBERVALUE(LEFT(G636,FIND(" ",G636&amp;" ")-1),".")*1000,0),99999))</f>
        <v/>
      </c>
      <c r="CC636" s="3">
        <f>IF(R636="profesional",0,IF(O636&lt;CUOTA_VALOR_MAX,IF(AU636&gt;ITP_TRAMO_ALTO,SUMIFS(CF_CUOTA,CF_MAS,ITP_TRAMO_ALTO,CF_CCMIN,"&lt;="&amp;CB636,CF_CCMAX,"&gt;="&amp;CB636),IF(AU636&gt;ITP_TRAMO_BAJO,SUMIFS(CF_CUOTA,CF_MAS,ITP_TRAMO_BAJO,CF_CCMIN,"&lt;="&amp;CB636,CF_CCMAX,"&gt;="&amp;CB636),O636*ITP_TIPO)),O636*ITP_TIPO))</f>
        <v/>
      </c>
      <c r="CD636" s="4">
        <f>IF(R636="profesional",N(AK636),0)</f>
        <v/>
      </c>
      <c r="CE636" s="3">
        <f>IF(AND(R636="profesional",ISNUMBER(AK636),AL636="sí"),0,TASA_DGT)</f>
        <v/>
      </c>
      <c r="CF636" s="3">
        <f>INFORME_DGT</f>
        <v/>
      </c>
      <c r="CG636" s="4">
        <f>O636+CD636+CC636+CE636+CF636</f>
        <v/>
      </c>
      <c r="CH636" s="4">
        <f>CG636+N(BU636)</f>
        <v/>
      </c>
      <c r="CI636" s="3">
        <f>IF(CG636&lt;=TOTAL_MAX,"sí",IF(CG636&lt;=TOTAL_MAX+MARGEN_NEG,"negociar","no"))</f>
        <v/>
      </c>
      <c r="CJ636" s="4">
        <f>IF(CI636&lt;&gt;"no",COUNTIFS($CI$2:$CI$662,"&lt;&gt;no",$CA$2:$CA$662,"&gt;"&amp;CA636)+COUNTIFS($CI$2:CI636,"&lt;&gt;no",$CA$2:CA636,CA636),"")</f>
        <v/>
      </c>
    </row>
    <row r="637">
      <c r="A637" s="2" t="inlineStr">
        <is>
          <t>cochesnet:71487124</t>
        </is>
      </c>
      <c r="B637" s="2" t="inlineStr">
        <is>
          <t>cochesnet</t>
        </is>
      </c>
      <c r="C637" s="2" t="inlineStr">
        <is>
          <t>https://www.coches.net/citroen-c4-gasolina-2009-en-castellon-71487124-covo.aspx</t>
        </is>
      </c>
      <c r="D637" s="2" t="inlineStr">
        <is>
          <t>CITROEN C4</t>
        </is>
      </c>
      <c r="E637" s="2" t="inlineStr">
        <is>
          <t>Citroën</t>
        </is>
      </c>
      <c r="F637" s="2" t="inlineStr">
        <is>
          <t>Citroën C4</t>
        </is>
      </c>
      <c r="G637" s="2" t="n"/>
      <c r="H637" s="2" t="n"/>
      <c r="I637" s="2" t="n"/>
      <c r="J637" s="2" t="n"/>
      <c r="K637" s="2" t="inlineStr">
        <is>
          <t>gasolina</t>
        </is>
      </c>
      <c r="L637" s="2" t="inlineStr">
        <is>
          <t>compacto</t>
        </is>
      </c>
      <c r="M637" s="2" t="n">
        <v>2009</v>
      </c>
      <c r="N637" s="2" t="n">
        <v>150000</v>
      </c>
      <c r="O637" s="2" t="n">
        <v>4000</v>
      </c>
      <c r="P637" s="2" t="inlineStr">
        <is>
          <t>manual</t>
        </is>
      </c>
      <c r="Q637" s="2" t="inlineStr">
        <is>
          <t>no</t>
        </is>
      </c>
      <c r="R637" s="2" t="inlineStr">
        <is>
          <t>particular</t>
        </is>
      </c>
      <c r="S637" s="2" t="n"/>
      <c r="T637" s="2" t="inlineStr">
        <is>
          <t>2026-09-10T14:39:35Z</t>
        </is>
      </c>
      <c r="U637" s="2" t="n">
        <v>5</v>
      </c>
      <c r="V637" s="2" t="n"/>
      <c r="W637" s="2" t="n"/>
      <c r="X637" s="2" t="n"/>
      <c r="Y637" s="2" t="n"/>
      <c r="Z637" s="2" t="inlineStr">
        <is>
          <t>no</t>
        </is>
      </c>
      <c r="AA637" s="2" t="n"/>
      <c r="AB637" s="2" t="n"/>
      <c r="AC637" s="2" t="n"/>
      <c r="AD637" s="2" t="n"/>
      <c r="AE637" s="2" t="n"/>
      <c r="AF637" s="2" t="n"/>
      <c r="AG637" s="2" t="n"/>
      <c r="AH637" s="2" t="n">
        <v>4000</v>
      </c>
      <c r="AI637" s="2" t="n"/>
      <c r="AJ637" s="2" t="n"/>
      <c r="AK637" s="2" t="n"/>
      <c r="AL637" s="2" t="n"/>
      <c r="AM637" s="2" t="n"/>
      <c r="AN637" s="2" t="n">
        <v>3500</v>
      </c>
      <c r="AO637" s="2" t="n">
        <v>11</v>
      </c>
      <c r="AP637" s="2" t="inlineStr">
        <is>
          <t>modelo+año+km</t>
        </is>
      </c>
      <c r="AQ637" s="2" t="n"/>
      <c r="AR637"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637" s="2" t="inlineStr">
        <is>
          <t>Coche en buen estado y pocos km.</t>
        </is>
      </c>
      <c r="AT637" s="2" t="inlineStr">
        <is>
          <t>https://www.coches.net/citroen-c4-gasolina-2009-en-castellon-71487124-covo.aspx (window.__INITIAL_PROPS__.ad) /home/user/Alopecia/buscador-coches/raw/cochesnet/86c337387fdf0306.json</t>
        </is>
      </c>
      <c r="AU637" s="3">
        <f>MAX(ANIO_ACTUAL-M637,0)</f>
        <v/>
      </c>
      <c r="AV637" s="4">
        <f>N637/MAX(AU637,0.5)</f>
        <v/>
      </c>
      <c r="AW637" s="4">
        <f>F637</f>
        <v/>
      </c>
      <c r="AX637" s="3">
        <f>AW637&amp;"|"&amp;INT(M637/SEG_ANIO)*SEG_ANIO</f>
        <v/>
      </c>
      <c r="AY637" s="3">
        <f>AX637&amp;"|"&amp;INT(N637/SEG_KM)*SEG_KM</f>
        <v/>
      </c>
      <c r="AZ637" s="4">
        <f>COUNTIF($AW$2:$AW$662,AW637)</f>
        <v/>
      </c>
      <c r="BA637" s="4">
        <f>COUNTIF($AX$2:$AX$662,AX637)</f>
        <v/>
      </c>
      <c r="BB637" s="4">
        <f>COUNTIF($AY$2:$AY$662,AY637)</f>
        <v/>
      </c>
      <c r="BC637" s="3">
        <f t="array" ref="BC637">IF(N(AO637)&gt;=MIN_N,AN637,IF(BB637&gt;=MIN_N,MEDIAN(IF($AY$2:$AY$662=AY637,$O$2:$O$662)),IF(BA637&gt;=MIN_N,MEDIAN(IF($AX$2:$AX$662=AX637,$O$2:$O$662)),MEDIAN(IF($AW$2:$AW$662=AW637,$O$2:$O$662)))))</f>
        <v/>
      </c>
      <c r="BD637" s="3">
        <f>IF(N(AO637)&gt;=MIN_N,"mercado "&amp;AP637,IF(BB637&gt;=MIN_N,"modelo+año+km",IF(BA637&gt;=MIN_N,"modelo+año","modelo")))</f>
        <v/>
      </c>
      <c r="BE637" s="4">
        <f>(BC637-O637)/BC637</f>
        <v/>
      </c>
      <c r="BF637" s="3">
        <f>IF(OR(K637="hibrido",K637="glp"),"ECO",IF(K637="electrico","CERO",IF(K637="gasolina",IF(M637&gt;=GAS_C,"C",IF(M637&gt;=GAS_B,"B","A")),IF(K637="diesel",IF(M637&gt;=DIE_C,"C",IF(M637&gt;=DIE_B,"B","A")),""))))</f>
        <v/>
      </c>
      <c r="BG637" s="3">
        <f>IFERROR(VLOOKUP(F637,MOD_TBL,11,0),IFERROR(VLOOKUP(E637,OCU_TBL,2,0),NEUTRO))</f>
        <v/>
      </c>
      <c r="BH637" s="3">
        <f>SUMIFS(MOT_AJUSTE,MOT_MOTOR,G637,MOT_MARCA,E637,MOT_DESDE,"&lt;="&amp;M637,MOT_HASTA,"&gt;="&amp;M637)+SUMIFS(MOT_AJUSTE,MOT_MOTOR,G637,MOT_MARCA,"(todas)",MOT_DESDE,"&lt;="&amp;M637,MOT_HASTA,"&gt;="&amp;M637)</f>
        <v/>
      </c>
      <c r="BI637" s="3">
        <f>SUMIFS(COMB_AJUSTE,COMB_COMB,K637)</f>
        <v/>
      </c>
      <c r="BJ637" s="3">
        <f>COUNTIFS(MOT_MOTOR,G637,MOT_MARCA,E637,MOT_DESDE,"&lt;="&amp;M637,MOT_HASTA,"&gt;="&amp;M637)+COUNTIFS(MOT_MOTOR,G637,MOT_MARCA,"(todas)",MOT_DESDE,"&lt;="&amp;M637,MOT_HASTA,"&gt;="&amp;M637)</f>
        <v/>
      </c>
      <c r="BK637" s="3">
        <f>IF(AND(K637="diesel",BJ637=0),MIN(BG637,NEUTRO),BG637)</f>
        <v/>
      </c>
      <c r="BL637" s="4">
        <f>MAX(0,MIN(100,BK637+BH637+BI637))</f>
        <v/>
      </c>
      <c r="BM637" s="3">
        <f>MAX(0,MIN(100,50+BE637*PRECIO_PEND))</f>
        <v/>
      </c>
      <c r="BN637" s="3">
        <f>MAX(0,100*(1-N637/KM_MAX))</f>
        <v/>
      </c>
      <c r="BO637" s="3">
        <f>IF(AV637&lt;KMA_SOSP,IF(AA637="sí",100,KMA_PEN),IF(AV637&lt;=KMA_IDEAL_MAX,100,MAX(0,100*(KMA_CERO-AV637)/(KMA_CERO-KMA_IDEAL_MAX))))</f>
        <v/>
      </c>
      <c r="BP637" s="3">
        <f>MAX(0,MIN(100,100*(M637-ANIO_MIN)/(ANIO_ACTUAL-ANIO_MIN)))</f>
        <v/>
      </c>
      <c r="BQ637" s="3">
        <f>W_KMT*BN637+W_KMA*BO637+W_EDAD*BP637</f>
        <v/>
      </c>
      <c r="BR637" s="3">
        <f>P_ITV*(V637="sí")+P_LIBRO*(W637="sí")+P_CORREA*(X637="sí")+P_PROP*(Y637=1)+P_GAR*(Z637="sí")+P_FOTOS*MIN(1,N(U637)/FOTOS_OBJ)</f>
        <v/>
      </c>
      <c r="BS637" s="3">
        <f>IFERROR(VLOOKUP(BF637,ETQ_TBL,2,0),NEUTRO)</f>
        <v/>
      </c>
      <c r="BT637" s="3">
        <f>NEUTRO</f>
        <v/>
      </c>
      <c r="BU637" s="3">
        <f>IFERROR(VLOOKUP(L637,SEGURO_TBL,3,0),"")</f>
        <v/>
      </c>
      <c r="BV637" s="3">
        <f>IF(BU637="",NEUTRO,MAX(0,MIN(100,100*(SEG_REF_MAX-BU637)/(SEG_REF_MAX-SEG_REF_MIN))))</f>
        <v/>
      </c>
      <c r="BW637" s="3">
        <f>W_ET*BS637+W_CONS*BT637+W_SEG*BV637</f>
        <v/>
      </c>
      <c r="BX637" s="3">
        <f>IF(N(AB637)&gt;0,AB637,IF(AND(R637="profesional",SG_LEGAL_ON=1),GAR_LEGAL,0))</f>
        <v/>
      </c>
      <c r="BY637" s="3">
        <f>SG_GAR*MIN(1,BX637/SG_GAR_FULL)+SG_AMPL*(AC637="sí")+SG_KMC*(AF637="sí")+SG_REV*(N(AE637)&gt;0)+SG_DEV*MIN(1,N(AG637)/SG_DEV_FULL)+SG_HIST*(W637="sí")</f>
        <v/>
      </c>
      <c r="BZ637" s="3">
        <f>IFERROR(VLOOKUP(L637,CARR_PEN_TBL,2,0),0)</f>
        <v/>
      </c>
      <c r="CA637" s="3">
        <f>W_FIAB*BL637+W_PRECIO*BM637+W_KMEDAD*BQ637+W_ANUNCIO*BR637+W_USO*BW637+W_SEGURIDAD*BY637-BZ637</f>
        <v/>
      </c>
      <c r="CB637" s="4">
        <f>IF(N(I637)&gt;0,I637,IFERROR(ROUND(_xlfn.NUMBERVALUE(LEFT(G637,FIND(" ",G637&amp;" ")-1),".")*1000,0),99999))</f>
        <v/>
      </c>
      <c r="CC637" s="3">
        <f>IF(R637="profesional",0,IF(O637&lt;CUOTA_VALOR_MAX,IF(AU637&gt;ITP_TRAMO_ALTO,SUMIFS(CF_CUOTA,CF_MAS,ITP_TRAMO_ALTO,CF_CCMIN,"&lt;="&amp;CB637,CF_CCMAX,"&gt;="&amp;CB637),IF(AU637&gt;ITP_TRAMO_BAJO,SUMIFS(CF_CUOTA,CF_MAS,ITP_TRAMO_BAJO,CF_CCMIN,"&lt;="&amp;CB637,CF_CCMAX,"&gt;="&amp;CB637),O637*ITP_TIPO)),O637*ITP_TIPO))</f>
        <v/>
      </c>
      <c r="CD637" s="4">
        <f>IF(R637="profesional",N(AK637),0)</f>
        <v/>
      </c>
      <c r="CE637" s="3">
        <f>IF(AND(R637="profesional",ISNUMBER(AK637),AL637="sí"),0,TASA_DGT)</f>
        <v/>
      </c>
      <c r="CF637" s="3">
        <f>INFORME_DGT</f>
        <v/>
      </c>
      <c r="CG637" s="4">
        <f>O637+CD637+CC637+CE637+CF637</f>
        <v/>
      </c>
      <c r="CH637" s="4">
        <f>CG637+N(BU637)</f>
        <v/>
      </c>
      <c r="CI637" s="3">
        <f>IF(CG637&lt;=TOTAL_MAX,"sí",IF(CG637&lt;=TOTAL_MAX+MARGEN_NEG,"negociar","no"))</f>
        <v/>
      </c>
      <c r="CJ637" s="4">
        <f>IF(CI637&lt;&gt;"no",COUNTIFS($CI$2:$CI$662,"&lt;&gt;no",$CA$2:$CA$662,"&gt;"&amp;CA637)+COUNTIFS($CI$2:CI637,"&lt;&gt;no",$CA$2:CA637,CA637),"")</f>
        <v/>
      </c>
    </row>
    <row r="638">
      <c r="A638" s="2" t="inlineStr">
        <is>
          <t>cochesnet:71302665</t>
        </is>
      </c>
      <c r="B638" s="2" t="inlineStr">
        <is>
          <t>cochesnet</t>
        </is>
      </c>
      <c r="C638" s="2" t="inlineStr">
        <is>
          <t>https://www.coches.net/citroen-c4-14-16v-sx-5p-gasolina-2006-en-castellon-71302665-covo.aspx</t>
        </is>
      </c>
      <c r="D638" s="2" t="inlineStr">
        <is>
          <t>CITROEN C4 1.4 16v SX</t>
        </is>
      </c>
      <c r="E638" s="2" t="inlineStr">
        <is>
          <t>Citroën</t>
        </is>
      </c>
      <c r="F638" s="2" t="inlineStr">
        <is>
          <t>Citroën C4</t>
        </is>
      </c>
      <c r="G638" s="2" t="inlineStr">
        <is>
          <t>1.4</t>
        </is>
      </c>
      <c r="H638" s="2" t="inlineStr">
        <is>
          <t>1.4 16v SX</t>
        </is>
      </c>
      <c r="I638" s="2" t="n"/>
      <c r="J638" s="2" t="n"/>
      <c r="K638" s="2" t="inlineStr">
        <is>
          <t>gasolina</t>
        </is>
      </c>
      <c r="L638" s="2" t="inlineStr">
        <is>
          <t>compacto</t>
        </is>
      </c>
      <c r="M638" s="2" t="n">
        <v>2006</v>
      </c>
      <c r="N638" s="2" t="n">
        <v>145000</v>
      </c>
      <c r="O638" s="2" t="n">
        <v>3000</v>
      </c>
      <c r="P638" s="2" t="inlineStr">
        <is>
          <t>manual</t>
        </is>
      </c>
      <c r="Q638" s="2" t="inlineStr">
        <is>
          <t>no</t>
        </is>
      </c>
      <c r="R638" s="2" t="inlineStr">
        <is>
          <t>particular</t>
        </is>
      </c>
      <c r="S638" s="2" t="inlineStr">
        <is>
          <t>La Vall d'Uixó</t>
        </is>
      </c>
      <c r="T638" s="2" t="inlineStr">
        <is>
          <t>2026-08-16T20:53:59Z</t>
        </is>
      </c>
      <c r="U638" s="2" t="n">
        <v>3</v>
      </c>
      <c r="V638" s="2" t="n"/>
      <c r="W638" s="2" t="n"/>
      <c r="X638" s="2" t="n"/>
      <c r="Y638" s="2" t="n"/>
      <c r="Z638" s="2" t="inlineStr">
        <is>
          <t>no</t>
        </is>
      </c>
      <c r="AA638" s="2" t="n"/>
      <c r="AB638" s="2" t="n"/>
      <c r="AC638" s="2" t="n"/>
      <c r="AD638" s="2" t="n"/>
      <c r="AE638" s="2" t="n"/>
      <c r="AF638" s="2" t="n"/>
      <c r="AG638" s="2" t="n"/>
      <c r="AH638" s="2" t="n">
        <v>3000</v>
      </c>
      <c r="AI638" s="2" t="n"/>
      <c r="AJ638" s="2" t="n"/>
      <c r="AK638" s="2" t="n"/>
      <c r="AL638" s="2" t="n"/>
      <c r="AM638" s="2" t="n">
        <v>41.5</v>
      </c>
      <c r="AN638" s="2" t="n">
        <v>2350</v>
      </c>
      <c r="AO638" s="2" t="n">
        <v>34</v>
      </c>
      <c r="AP638" s="2" t="inlineStr">
        <is>
          <t>modelo+año</t>
        </is>
      </c>
      <c r="AQ638" s="2" t="n"/>
      <c r="AR638" s="2" t="inlineStr">
        <is>
          <t>cuota fija ITP: &gt;12 años, hasta 1.500 cc; fiabilidad del modelo PENDIENTE de fuente (puntuación neutra)</t>
        </is>
      </c>
      <c r="AS638" s="2" t="inlineStr"/>
      <c r="AT638" s="2" t="inlineStr">
        <is>
          <t>https://www.coches.net/citroen-c4-14-16v-sx-5p-gasolina-2006-en-castellon-71302665-covo.aspx (window.__INITIAL_PROPS__.ad) /home/user/Alopecia/buscador-coches/raw/cochesnet/a0932d81a931cedf.json</t>
        </is>
      </c>
      <c r="AU638" s="3">
        <f>MAX(ANIO_ACTUAL-M638,0)</f>
        <v/>
      </c>
      <c r="AV638" s="4">
        <f>N638/MAX(AU638,0.5)</f>
        <v/>
      </c>
      <c r="AW638" s="4">
        <f>F638</f>
        <v/>
      </c>
      <c r="AX638" s="3">
        <f>AW638&amp;"|"&amp;INT(M638/SEG_ANIO)*SEG_ANIO</f>
        <v/>
      </c>
      <c r="AY638" s="3">
        <f>AX638&amp;"|"&amp;INT(N638/SEG_KM)*SEG_KM</f>
        <v/>
      </c>
      <c r="AZ638" s="4">
        <f>COUNTIF($AW$2:$AW$662,AW638)</f>
        <v/>
      </c>
      <c r="BA638" s="4">
        <f>COUNTIF($AX$2:$AX$662,AX638)</f>
        <v/>
      </c>
      <c r="BB638" s="4">
        <f>COUNTIF($AY$2:$AY$662,AY638)</f>
        <v/>
      </c>
      <c r="BC638" s="3">
        <f t="array" ref="BC638">IF(N(AO638)&gt;=MIN_N,AN638,IF(BB638&gt;=MIN_N,MEDIAN(IF($AY$2:$AY$662=AY638,$O$2:$O$662)),IF(BA638&gt;=MIN_N,MEDIAN(IF($AX$2:$AX$662=AX638,$O$2:$O$662)),MEDIAN(IF($AW$2:$AW$662=AW638,$O$2:$O$662)))))</f>
        <v/>
      </c>
      <c r="BD638" s="3">
        <f>IF(N(AO638)&gt;=MIN_N,"mercado "&amp;AP638,IF(BB638&gt;=MIN_N,"modelo+año+km",IF(BA638&gt;=MIN_N,"modelo+año","modelo")))</f>
        <v/>
      </c>
      <c r="BE638" s="4">
        <f>(BC638-O638)/BC638</f>
        <v/>
      </c>
      <c r="BF638" s="3">
        <f>IF(OR(K638="hibrido",K638="glp"),"ECO",IF(K638="electrico","CERO",IF(K638="gasolina",IF(M638&gt;=GAS_C,"C",IF(M638&gt;=GAS_B,"B","A")),IF(K638="diesel",IF(M638&gt;=DIE_C,"C",IF(M638&gt;=DIE_B,"B","A")),""))))</f>
        <v/>
      </c>
      <c r="BG638" s="3">
        <f>IFERROR(VLOOKUP(F638,MOD_TBL,11,0),IFERROR(VLOOKUP(E638,OCU_TBL,2,0),NEUTRO))</f>
        <v/>
      </c>
      <c r="BH638" s="3">
        <f>SUMIFS(MOT_AJUSTE,MOT_MOTOR,G638,MOT_MARCA,E638,MOT_DESDE,"&lt;="&amp;M638,MOT_HASTA,"&gt;="&amp;M638)+SUMIFS(MOT_AJUSTE,MOT_MOTOR,G638,MOT_MARCA,"(todas)",MOT_DESDE,"&lt;="&amp;M638,MOT_HASTA,"&gt;="&amp;M638)</f>
        <v/>
      </c>
      <c r="BI638" s="3">
        <f>SUMIFS(COMB_AJUSTE,COMB_COMB,K638)</f>
        <v/>
      </c>
      <c r="BJ638" s="3">
        <f>COUNTIFS(MOT_MOTOR,G638,MOT_MARCA,E638,MOT_DESDE,"&lt;="&amp;M638,MOT_HASTA,"&gt;="&amp;M638)+COUNTIFS(MOT_MOTOR,G638,MOT_MARCA,"(todas)",MOT_DESDE,"&lt;="&amp;M638,MOT_HASTA,"&gt;="&amp;M638)</f>
        <v/>
      </c>
      <c r="BK638" s="3">
        <f>IF(AND(K638="diesel",BJ638=0),MIN(BG638,NEUTRO),BG638)</f>
        <v/>
      </c>
      <c r="BL638" s="4">
        <f>MAX(0,MIN(100,BK638+BH638+BI638))</f>
        <v/>
      </c>
      <c r="BM638" s="3">
        <f>MAX(0,MIN(100,50+BE638*PRECIO_PEND))</f>
        <v/>
      </c>
      <c r="BN638" s="3">
        <f>MAX(0,100*(1-N638/KM_MAX))</f>
        <v/>
      </c>
      <c r="BO638" s="3">
        <f>IF(AV638&lt;KMA_SOSP,IF(AA638="sí",100,KMA_PEN),IF(AV638&lt;=KMA_IDEAL_MAX,100,MAX(0,100*(KMA_CERO-AV638)/(KMA_CERO-KMA_IDEAL_MAX))))</f>
        <v/>
      </c>
      <c r="BP638" s="3">
        <f>MAX(0,MIN(100,100*(M638-ANIO_MIN)/(ANIO_ACTUAL-ANIO_MIN)))</f>
        <v/>
      </c>
      <c r="BQ638" s="3">
        <f>W_KMT*BN638+W_KMA*BO638+W_EDAD*BP638</f>
        <v/>
      </c>
      <c r="BR638" s="3">
        <f>P_ITV*(V638="sí")+P_LIBRO*(W638="sí")+P_CORREA*(X638="sí")+P_PROP*(Y638=1)+P_GAR*(Z638="sí")+P_FOTOS*MIN(1,N(U638)/FOTOS_OBJ)</f>
        <v/>
      </c>
      <c r="BS638" s="3">
        <f>IFERROR(VLOOKUP(BF638,ETQ_TBL,2,0),NEUTRO)</f>
        <v/>
      </c>
      <c r="BT638" s="3">
        <f>NEUTRO</f>
        <v/>
      </c>
      <c r="BU638" s="3">
        <f>IFERROR(VLOOKUP(L638,SEGURO_TBL,3,0),"")</f>
        <v/>
      </c>
      <c r="BV638" s="3">
        <f>IF(BU638="",NEUTRO,MAX(0,MIN(100,100*(SEG_REF_MAX-BU638)/(SEG_REF_MAX-SEG_REF_MIN))))</f>
        <v/>
      </c>
      <c r="BW638" s="3">
        <f>W_ET*BS638+W_CONS*BT638+W_SEG*BV638</f>
        <v/>
      </c>
      <c r="BX638" s="3">
        <f>IF(N(AB638)&gt;0,AB638,IF(AND(R638="profesional",SG_LEGAL_ON=1),GAR_LEGAL,0))</f>
        <v/>
      </c>
      <c r="BY638" s="3">
        <f>SG_GAR*MIN(1,BX638/SG_GAR_FULL)+SG_AMPL*(AC638="sí")+SG_KMC*(AF638="sí")+SG_REV*(N(AE638)&gt;0)+SG_DEV*MIN(1,N(AG638)/SG_DEV_FULL)+SG_HIST*(W638="sí")</f>
        <v/>
      </c>
      <c r="BZ638" s="3">
        <f>IFERROR(VLOOKUP(L638,CARR_PEN_TBL,2,0),0)</f>
        <v/>
      </c>
      <c r="CA638" s="3">
        <f>W_FIAB*BL638+W_PRECIO*BM638+W_KMEDAD*BQ638+W_ANUNCIO*BR638+W_USO*BW638+W_SEGURIDAD*BY638-BZ638</f>
        <v/>
      </c>
      <c r="CB638" s="4">
        <f>IF(N(I638)&gt;0,I638,IFERROR(ROUND(_xlfn.NUMBERVALUE(LEFT(G638,FIND(" ",G638&amp;" ")-1),".")*1000,0),99999))</f>
        <v/>
      </c>
      <c r="CC638" s="3">
        <f>IF(R638="profesional",0,IF(O638&lt;CUOTA_VALOR_MAX,IF(AU638&gt;ITP_TRAMO_ALTO,SUMIFS(CF_CUOTA,CF_MAS,ITP_TRAMO_ALTO,CF_CCMIN,"&lt;="&amp;CB638,CF_CCMAX,"&gt;="&amp;CB638),IF(AU638&gt;ITP_TRAMO_BAJO,SUMIFS(CF_CUOTA,CF_MAS,ITP_TRAMO_BAJO,CF_CCMIN,"&lt;="&amp;CB638,CF_CCMAX,"&gt;="&amp;CB638),O638*ITP_TIPO)),O638*ITP_TIPO))</f>
        <v/>
      </c>
      <c r="CD638" s="4">
        <f>IF(R638="profesional",N(AK638),0)</f>
        <v/>
      </c>
      <c r="CE638" s="3">
        <f>IF(AND(R638="profesional",ISNUMBER(AK638),AL638="sí"),0,TASA_DGT)</f>
        <v/>
      </c>
      <c r="CF638" s="3">
        <f>INFORME_DGT</f>
        <v/>
      </c>
      <c r="CG638" s="4">
        <f>O638+CD638+CC638+CE638+CF638</f>
        <v/>
      </c>
      <c r="CH638" s="4">
        <f>CG638+N(BU638)</f>
        <v/>
      </c>
      <c r="CI638" s="3">
        <f>IF(CG638&lt;=TOTAL_MAX,"sí",IF(CG638&lt;=TOTAL_MAX+MARGEN_NEG,"negociar","no"))</f>
        <v/>
      </c>
      <c r="CJ638" s="4">
        <f>IF(CI638&lt;&gt;"no",COUNTIFS($CI$2:$CI$662,"&lt;&gt;no",$CA$2:$CA$662,"&gt;"&amp;CA638)+COUNTIFS($CI$2:CI638,"&lt;&gt;no",$CA$2:CA638,CA638),"")</f>
        <v/>
      </c>
    </row>
    <row r="639">
      <c r="A639" s="2" t="inlineStr">
        <is>
          <t>cochesnet:71131545</t>
        </is>
      </c>
      <c r="B639" s="2" t="inlineStr">
        <is>
          <t>cochesnet</t>
        </is>
      </c>
      <c r="C639" s="2" t="inlineStr">
        <is>
          <t>https://www.coches.net/citroen-c3-gasolina-2006-en-castellon-71131545-covo.aspx</t>
        </is>
      </c>
      <c r="D639" s="2" t="inlineStr">
        <is>
          <t>CITROEN C3 1.4i Exclusive</t>
        </is>
      </c>
      <c r="E639" s="2" t="inlineStr">
        <is>
          <t>Citroën</t>
        </is>
      </c>
      <c r="F639" s="2" t="inlineStr">
        <is>
          <t>Citroën C3</t>
        </is>
      </c>
      <c r="G639" s="2" t="inlineStr">
        <is>
          <t>1.4</t>
        </is>
      </c>
      <c r="H639" s="2" t="inlineStr">
        <is>
          <t>1.4i Exclusive</t>
        </is>
      </c>
      <c r="I639" s="2" t="n"/>
      <c r="J639" s="2" t="n"/>
      <c r="K639" s="2" t="inlineStr">
        <is>
          <t>gasolina</t>
        </is>
      </c>
      <c r="L639" s="2" t="inlineStr">
        <is>
          <t>utilitario</t>
        </is>
      </c>
      <c r="M639" s="2" t="n">
        <v>2006</v>
      </c>
      <c r="N639" s="2" t="n">
        <v>51000</v>
      </c>
      <c r="O639" s="2" t="n">
        <v>4295</v>
      </c>
      <c r="P639" s="2" t="inlineStr">
        <is>
          <t>manual</t>
        </is>
      </c>
      <c r="Q639" s="2" t="inlineStr">
        <is>
          <t>no</t>
        </is>
      </c>
      <c r="R639" s="2" t="inlineStr">
        <is>
          <t>particular</t>
        </is>
      </c>
      <c r="S639" s="2" t="n"/>
      <c r="T639" s="2" t="inlineStr">
        <is>
          <t>2026-07-21T18:17:19Z</t>
        </is>
      </c>
      <c r="U639" s="2" t="n">
        <v>9</v>
      </c>
      <c r="V639" s="2" t="n"/>
      <c r="W639" s="2" t="n"/>
      <c r="X639" s="2" t="n"/>
      <c r="Y639" s="2" t="n"/>
      <c r="Z639" s="2" t="inlineStr">
        <is>
          <t>no</t>
        </is>
      </c>
      <c r="AA639" s="2" t="n"/>
      <c r="AB639" s="2" t="n"/>
      <c r="AC639" s="2" t="n"/>
      <c r="AD639" s="2" t="n"/>
      <c r="AE639" s="2" t="n"/>
      <c r="AF639" s="2" t="n"/>
      <c r="AG639" s="2" t="n"/>
      <c r="AH639" s="2" t="n">
        <v>4295</v>
      </c>
      <c r="AI639" s="2" t="n"/>
      <c r="AJ639" s="2" t="n"/>
      <c r="AK639" s="2" t="n"/>
      <c r="AL639" s="2" t="n"/>
      <c r="AM639" s="2" t="n"/>
      <c r="AN639" s="2" t="n">
        <v>4295</v>
      </c>
      <c r="AO639" s="2" t="n">
        <v>7</v>
      </c>
      <c r="AP639" s="2" t="inlineStr">
        <is>
          <t>modelo+año+km</t>
        </is>
      </c>
      <c r="AQ639" s="2" t="n"/>
      <c r="AR639" s="2" t="inlineStr">
        <is>
          <t>cuota fija ITP: &gt;12 años, hasta 1.500 cc; distancia no verificable (el anuncio solo indica la provincia): confirmar que está a &lt;= 70 km</t>
        </is>
      </c>
      <c r="AS639" s="2" t="inlineStr">
        <is>
          <t>?? CITROËN C3 1.4 GASOLINA 75 CV ??
?? Año: 11/2006
?? Solo 51.000 km ? Reales y demostrables
? Gasolina – Etiqueta ambiental C ??
?? Equipamiento: ?? Aire acondicionado
?? Elevalunas eléctricos
?? Cierre centralizado
?? Dirección asistida
?? Sensor de luces
??? Faros antiniebla
??? Airbags
?? Posavasos
?? Radio CD
?? Maletero amplio
? Aceite y filtros recién cambiados.
? Tapicería y carrocería en excelente estado.
?? Venta entre particulares.
??? 6 meses de garantía.
?? Coche muy cuidado, con muy pocos kilómetros, ideal para el día a día o como primer vehículo.</t>
        </is>
      </c>
      <c r="AT639" s="2" t="inlineStr">
        <is>
          <t>https://www.coches.net/citroen-c3-gasolina-2006-en-castellon-71131545-covo.aspx (window.__INITIAL_PROPS__.ad) /home/user/Alopecia/buscador-coches/raw/cochesnet/917d28d8a7fa8f83.json</t>
        </is>
      </c>
      <c r="AU639" s="3">
        <f>MAX(ANIO_ACTUAL-M639,0)</f>
        <v/>
      </c>
      <c r="AV639" s="4">
        <f>N639/MAX(AU639,0.5)</f>
        <v/>
      </c>
      <c r="AW639" s="4">
        <f>F639</f>
        <v/>
      </c>
      <c r="AX639" s="3">
        <f>AW639&amp;"|"&amp;INT(M639/SEG_ANIO)*SEG_ANIO</f>
        <v/>
      </c>
      <c r="AY639" s="3">
        <f>AX639&amp;"|"&amp;INT(N639/SEG_KM)*SEG_KM</f>
        <v/>
      </c>
      <c r="AZ639" s="4">
        <f>COUNTIF($AW$2:$AW$662,AW639)</f>
        <v/>
      </c>
      <c r="BA639" s="4">
        <f>COUNTIF($AX$2:$AX$662,AX639)</f>
        <v/>
      </c>
      <c r="BB639" s="4">
        <f>COUNTIF($AY$2:$AY$662,AY639)</f>
        <v/>
      </c>
      <c r="BC639" s="3">
        <f t="array" ref="BC639">IF(N(AO639)&gt;=MIN_N,AN639,IF(BB639&gt;=MIN_N,MEDIAN(IF($AY$2:$AY$662=AY639,$O$2:$O$662)),IF(BA639&gt;=MIN_N,MEDIAN(IF($AX$2:$AX$662=AX639,$O$2:$O$662)),MEDIAN(IF($AW$2:$AW$662=AW639,$O$2:$O$662)))))</f>
        <v/>
      </c>
      <c r="BD639" s="3">
        <f>IF(N(AO639)&gt;=MIN_N,"mercado "&amp;AP639,IF(BB639&gt;=MIN_N,"modelo+año+km",IF(BA639&gt;=MIN_N,"modelo+año","modelo")))</f>
        <v/>
      </c>
      <c r="BE639" s="4">
        <f>(BC639-O639)/BC639</f>
        <v/>
      </c>
      <c r="BF639" s="3">
        <f>IF(OR(K639="hibrido",K639="glp"),"ECO",IF(K639="electrico","CERO",IF(K639="gasolina",IF(M639&gt;=GAS_C,"C",IF(M639&gt;=GAS_B,"B","A")),IF(K639="diesel",IF(M639&gt;=DIE_C,"C",IF(M639&gt;=DIE_B,"B","A")),""))))</f>
        <v/>
      </c>
      <c r="BG639" s="3">
        <f>IFERROR(VLOOKUP(F639,MOD_TBL,11,0),IFERROR(VLOOKUP(E639,OCU_TBL,2,0),NEUTRO))</f>
        <v/>
      </c>
      <c r="BH639" s="3">
        <f>SUMIFS(MOT_AJUSTE,MOT_MOTOR,G639,MOT_MARCA,E639,MOT_DESDE,"&lt;="&amp;M639,MOT_HASTA,"&gt;="&amp;M639)+SUMIFS(MOT_AJUSTE,MOT_MOTOR,G639,MOT_MARCA,"(todas)",MOT_DESDE,"&lt;="&amp;M639,MOT_HASTA,"&gt;="&amp;M639)</f>
        <v/>
      </c>
      <c r="BI639" s="3">
        <f>SUMIFS(COMB_AJUSTE,COMB_COMB,K639)</f>
        <v/>
      </c>
      <c r="BJ639" s="3">
        <f>COUNTIFS(MOT_MOTOR,G639,MOT_MARCA,E639,MOT_DESDE,"&lt;="&amp;M639,MOT_HASTA,"&gt;="&amp;M639)+COUNTIFS(MOT_MOTOR,G639,MOT_MARCA,"(todas)",MOT_DESDE,"&lt;="&amp;M639,MOT_HASTA,"&gt;="&amp;M639)</f>
        <v/>
      </c>
      <c r="BK639" s="3">
        <f>IF(AND(K639="diesel",BJ639=0),MIN(BG639,NEUTRO),BG639)</f>
        <v/>
      </c>
      <c r="BL639" s="4">
        <f>MAX(0,MIN(100,BK639+BH639+BI639))</f>
        <v/>
      </c>
      <c r="BM639" s="3">
        <f>MAX(0,MIN(100,50+BE639*PRECIO_PEND))</f>
        <v/>
      </c>
      <c r="BN639" s="3">
        <f>MAX(0,100*(1-N639/KM_MAX))</f>
        <v/>
      </c>
      <c r="BO639" s="3">
        <f>IF(AV639&lt;KMA_SOSP,IF(AA639="sí",100,KMA_PEN),IF(AV639&lt;=KMA_IDEAL_MAX,100,MAX(0,100*(KMA_CERO-AV639)/(KMA_CERO-KMA_IDEAL_MAX))))</f>
        <v/>
      </c>
      <c r="BP639" s="3">
        <f>MAX(0,MIN(100,100*(M639-ANIO_MIN)/(ANIO_ACTUAL-ANIO_MIN)))</f>
        <v/>
      </c>
      <c r="BQ639" s="3">
        <f>W_KMT*BN639+W_KMA*BO639+W_EDAD*BP639</f>
        <v/>
      </c>
      <c r="BR639" s="3">
        <f>P_ITV*(V639="sí")+P_LIBRO*(W639="sí")+P_CORREA*(X639="sí")+P_PROP*(Y639=1)+P_GAR*(Z639="sí")+P_FOTOS*MIN(1,N(U639)/FOTOS_OBJ)</f>
        <v/>
      </c>
      <c r="BS639" s="3">
        <f>IFERROR(VLOOKUP(BF639,ETQ_TBL,2,0),NEUTRO)</f>
        <v/>
      </c>
      <c r="BT639" s="3">
        <f>NEUTRO</f>
        <v/>
      </c>
      <c r="BU639" s="3">
        <f>IFERROR(VLOOKUP(L639,SEGURO_TBL,3,0),"")</f>
        <v/>
      </c>
      <c r="BV639" s="3">
        <f>IF(BU639="",NEUTRO,MAX(0,MIN(100,100*(SEG_REF_MAX-BU639)/(SEG_REF_MAX-SEG_REF_MIN))))</f>
        <v/>
      </c>
      <c r="BW639" s="3">
        <f>W_ET*BS639+W_CONS*BT639+W_SEG*BV639</f>
        <v/>
      </c>
      <c r="BX639" s="3">
        <f>IF(N(AB639)&gt;0,AB639,IF(AND(R639="profesional",SG_LEGAL_ON=1),GAR_LEGAL,0))</f>
        <v/>
      </c>
      <c r="BY639" s="3">
        <f>SG_GAR*MIN(1,BX639/SG_GAR_FULL)+SG_AMPL*(AC639="sí")+SG_KMC*(AF639="sí")+SG_REV*(N(AE639)&gt;0)+SG_DEV*MIN(1,N(AG639)/SG_DEV_FULL)+SG_HIST*(W639="sí")</f>
        <v/>
      </c>
      <c r="BZ639" s="3">
        <f>IFERROR(VLOOKUP(L639,CARR_PEN_TBL,2,0),0)</f>
        <v/>
      </c>
      <c r="CA639" s="3">
        <f>W_FIAB*BL639+W_PRECIO*BM639+W_KMEDAD*BQ639+W_ANUNCIO*BR639+W_USO*BW639+W_SEGURIDAD*BY639-BZ639</f>
        <v/>
      </c>
      <c r="CB639" s="4">
        <f>IF(N(I639)&gt;0,I639,IFERROR(ROUND(_xlfn.NUMBERVALUE(LEFT(G639,FIND(" ",G639&amp;" ")-1),".")*1000,0),99999))</f>
        <v/>
      </c>
      <c r="CC639" s="3">
        <f>IF(R639="profesional",0,IF(O639&lt;CUOTA_VALOR_MAX,IF(AU639&gt;ITP_TRAMO_ALTO,SUMIFS(CF_CUOTA,CF_MAS,ITP_TRAMO_ALTO,CF_CCMIN,"&lt;="&amp;CB639,CF_CCMAX,"&gt;="&amp;CB639),IF(AU639&gt;ITP_TRAMO_BAJO,SUMIFS(CF_CUOTA,CF_MAS,ITP_TRAMO_BAJO,CF_CCMIN,"&lt;="&amp;CB639,CF_CCMAX,"&gt;="&amp;CB639),O639*ITP_TIPO)),O639*ITP_TIPO))</f>
        <v/>
      </c>
      <c r="CD639" s="4">
        <f>IF(R639="profesional",N(AK639),0)</f>
        <v/>
      </c>
      <c r="CE639" s="3">
        <f>IF(AND(R639="profesional",ISNUMBER(AK639),AL639="sí"),0,TASA_DGT)</f>
        <v/>
      </c>
      <c r="CF639" s="3">
        <f>INFORME_DGT</f>
        <v/>
      </c>
      <c r="CG639" s="4">
        <f>O639+CD639+CC639+CE639+CF639</f>
        <v/>
      </c>
      <c r="CH639" s="4">
        <f>CG639+N(BU639)</f>
        <v/>
      </c>
      <c r="CI639" s="3">
        <f>IF(CG639&lt;=TOTAL_MAX,"sí",IF(CG639&lt;=TOTAL_MAX+MARGEN_NEG,"negociar","no"))</f>
        <v/>
      </c>
      <c r="CJ639" s="4">
        <f>IF(CI639&lt;&gt;"no",COUNTIFS($CI$2:$CI$662,"&lt;&gt;no",$CA$2:$CA$662,"&gt;"&amp;CA639)+COUNTIFS($CI$2:CI639,"&lt;&gt;no",$CA$2:CA639,CA639),"")</f>
        <v/>
      </c>
    </row>
    <row r="640">
      <c r="A640" s="2" t="inlineStr">
        <is>
          <t>cochesnet:70992587</t>
        </is>
      </c>
      <c r="B640" s="2" t="inlineStr">
        <is>
          <t>cochesnet</t>
        </is>
      </c>
      <c r="C640" s="2" t="inlineStr">
        <is>
          <t>https://www.coches.net/citroen-c4-16-16v-collection-3p-gasolina-2007-en-castellon-70992587-covo.aspx</t>
        </is>
      </c>
      <c r="D640" s="2" t="inlineStr">
        <is>
          <t>CITROEN C4 1.6 16v Collection</t>
        </is>
      </c>
      <c r="E640" s="2" t="inlineStr">
        <is>
          <t>Citroën</t>
        </is>
      </c>
      <c r="F640" s="2" t="inlineStr">
        <is>
          <t>Citroën C4</t>
        </is>
      </c>
      <c r="G640" s="2" t="inlineStr">
        <is>
          <t>1.6</t>
        </is>
      </c>
      <c r="H640" s="2" t="inlineStr">
        <is>
          <t>1.6 16v Collection</t>
        </is>
      </c>
      <c r="I640" s="2" t="n"/>
      <c r="J640" s="2" t="n"/>
      <c r="K640" s="2" t="inlineStr">
        <is>
          <t>gasolina</t>
        </is>
      </c>
      <c r="L640" s="2" t="inlineStr">
        <is>
          <t>compacto</t>
        </is>
      </c>
      <c r="M640" s="2" t="n">
        <v>2007</v>
      </c>
      <c r="N640" s="2" t="n">
        <v>183456</v>
      </c>
      <c r="O640" s="2" t="n">
        <v>3000</v>
      </c>
      <c r="P640" s="2" t="inlineStr">
        <is>
          <t>manual</t>
        </is>
      </c>
      <c r="Q640" s="2" t="inlineStr">
        <is>
          <t>no</t>
        </is>
      </c>
      <c r="R640" s="2" t="inlineStr">
        <is>
          <t>particular</t>
        </is>
      </c>
      <c r="S640" s="2" t="inlineStr">
        <is>
          <t>Castellón de la Plana / Castelló de la Plana</t>
        </is>
      </c>
      <c r="T640" s="2" t="inlineStr">
        <is>
          <t>2026-07-04T10:04:06Z</t>
        </is>
      </c>
      <c r="U640" s="2" t="n">
        <v>13</v>
      </c>
      <c r="V640" s="2" t="inlineStr">
        <is>
          <t>sí</t>
        </is>
      </c>
      <c r="W640" s="2" t="n"/>
      <c r="X640" s="2" t="inlineStr">
        <is>
          <t>sí</t>
        </is>
      </c>
      <c r="Y640" s="2" t="n"/>
      <c r="Z640" s="2" t="inlineStr">
        <is>
          <t>no</t>
        </is>
      </c>
      <c r="AA640" s="2" t="n"/>
      <c r="AB640" s="2" t="n"/>
      <c r="AC640" s="2" t="n"/>
      <c r="AD640" s="2" t="n"/>
      <c r="AE640" s="2" t="n"/>
      <c r="AF640" s="2" t="n"/>
      <c r="AG640" s="2" t="n"/>
      <c r="AH640" s="2" t="n">
        <v>3000</v>
      </c>
      <c r="AI640" s="2" t="n"/>
      <c r="AJ640" s="2" t="n"/>
      <c r="AK640" s="2" t="n"/>
      <c r="AL640" s="2" t="n"/>
      <c r="AM640" s="2" t="n"/>
      <c r="AN640" s="2" t="n">
        <v>3500</v>
      </c>
      <c r="AO640" s="2" t="n">
        <v>11</v>
      </c>
      <c r="AP640" s="2" t="inlineStr">
        <is>
          <t>modelo+año+km</t>
        </is>
      </c>
      <c r="AQ640" s="2" t="n"/>
      <c r="AR640" s="2" t="inlineStr">
        <is>
          <t>cuota fija ITP: &gt;12 años, 1.501-2.000 cc; distancia no verificable (el anuncio solo indica la provincia): confirmar que está a &lt;= 70 km; fiabilidad del modelo PENDIENTE de fuente (puntuación neutra)</t>
        </is>
      </c>
      <c r="AS640" s="2" t="inlineStr">
        <is>
          <t>Vendo mi Citroën C4 Coupé 1.6 Collection, un coupe versátil con muy buen maletero que lo tengo desde que me saque el carnet. Es el momento de darle una nueva vida a quien sepa apreciarlo.
Como se ve en las imágenes, tiene algunos desperfectos, por lo que el precio es negociable. 
Este C4 representa una excelente relación entre practicidad y eficiencia. Su motor de 110 CV ofrece una potencia suficiente para el día a día. La carrocería roja mantiene su color vibrante, y tanto el interior como el exterior reflejan un uso habitual sin sorpresas desagradables. Es un coche que funciona, que está listo para rodar y que no te dará problemas.
Con cambio manual y capacidad para cinco ocupantes, se adapta perfectamente  a quien necesite espacio sin complicaciones, aunque recuerda que son 3 puertas. Su tamaño compacto lo hace ágil en ciudad, pero también cómodo en carretera.
Correa de distribución cambiada a los 120.000km. Embrague cambiado a los 150.000km. Los 4 neumáticos nuevos con menos de 5.000km.
Mantenimientos hechos periódicamente.
ITV pasada sin ninguna falta.
Puedes venir a verlo cuando quieras, y si tienes cualquier duda sobre aspectos específicos del coche, no dudes en contactarme. Estoy disponible para resolver todas tus preguntas.
Contacta hoy mismo y ven a conocerlo. Aprovecha esta oportunidad.</t>
        </is>
      </c>
      <c r="AT640" s="2" t="inlineStr">
        <is>
          <t>https://www.coches.net/citroen-c4-16-16v-collection-3p-gasolina-2007-en-castellon-70992587-covo.aspx (window.__INITIAL_PROPS__.ad) /home/user/Alopecia/buscador-coches/raw/cochesnet/f127bb8753f8a5b8.json</t>
        </is>
      </c>
      <c r="AU640" s="3">
        <f>MAX(ANIO_ACTUAL-M640,0)</f>
        <v/>
      </c>
      <c r="AV640" s="4">
        <f>N640/MAX(AU640,0.5)</f>
        <v/>
      </c>
      <c r="AW640" s="4">
        <f>F640</f>
        <v/>
      </c>
      <c r="AX640" s="3">
        <f>AW640&amp;"|"&amp;INT(M640/SEG_ANIO)*SEG_ANIO</f>
        <v/>
      </c>
      <c r="AY640" s="3">
        <f>AX640&amp;"|"&amp;INT(N640/SEG_KM)*SEG_KM</f>
        <v/>
      </c>
      <c r="AZ640" s="4">
        <f>COUNTIF($AW$2:$AW$662,AW640)</f>
        <v/>
      </c>
      <c r="BA640" s="4">
        <f>COUNTIF($AX$2:$AX$662,AX640)</f>
        <v/>
      </c>
      <c r="BB640" s="4">
        <f>COUNTIF($AY$2:$AY$662,AY640)</f>
        <v/>
      </c>
      <c r="BC640" s="3">
        <f t="array" ref="BC640">IF(N(AO640)&gt;=MIN_N,AN640,IF(BB640&gt;=MIN_N,MEDIAN(IF($AY$2:$AY$662=AY640,$O$2:$O$662)),IF(BA640&gt;=MIN_N,MEDIAN(IF($AX$2:$AX$662=AX640,$O$2:$O$662)),MEDIAN(IF($AW$2:$AW$662=AW640,$O$2:$O$662)))))</f>
        <v/>
      </c>
      <c r="BD640" s="3">
        <f>IF(N(AO640)&gt;=MIN_N,"mercado "&amp;AP640,IF(BB640&gt;=MIN_N,"modelo+año+km",IF(BA640&gt;=MIN_N,"modelo+año","modelo")))</f>
        <v/>
      </c>
      <c r="BE640" s="4">
        <f>(BC640-O640)/BC640</f>
        <v/>
      </c>
      <c r="BF640" s="3">
        <f>IF(OR(K640="hibrido",K640="glp"),"ECO",IF(K640="electrico","CERO",IF(K640="gasolina",IF(M640&gt;=GAS_C,"C",IF(M640&gt;=GAS_B,"B","A")),IF(K640="diesel",IF(M640&gt;=DIE_C,"C",IF(M640&gt;=DIE_B,"B","A")),""))))</f>
        <v/>
      </c>
      <c r="BG640" s="3">
        <f>IFERROR(VLOOKUP(F640,MOD_TBL,11,0),IFERROR(VLOOKUP(E640,OCU_TBL,2,0),NEUTRO))</f>
        <v/>
      </c>
      <c r="BH640" s="3">
        <f>SUMIFS(MOT_AJUSTE,MOT_MOTOR,G640,MOT_MARCA,E640,MOT_DESDE,"&lt;="&amp;M640,MOT_HASTA,"&gt;="&amp;M640)+SUMIFS(MOT_AJUSTE,MOT_MOTOR,G640,MOT_MARCA,"(todas)",MOT_DESDE,"&lt;="&amp;M640,MOT_HASTA,"&gt;="&amp;M640)</f>
        <v/>
      </c>
      <c r="BI640" s="3">
        <f>SUMIFS(COMB_AJUSTE,COMB_COMB,K640)</f>
        <v/>
      </c>
      <c r="BJ640" s="3">
        <f>COUNTIFS(MOT_MOTOR,G640,MOT_MARCA,E640,MOT_DESDE,"&lt;="&amp;M640,MOT_HASTA,"&gt;="&amp;M640)+COUNTIFS(MOT_MOTOR,G640,MOT_MARCA,"(todas)",MOT_DESDE,"&lt;="&amp;M640,MOT_HASTA,"&gt;="&amp;M640)</f>
        <v/>
      </c>
      <c r="BK640" s="3">
        <f>IF(AND(K640="diesel",BJ640=0),MIN(BG640,NEUTRO),BG640)</f>
        <v/>
      </c>
      <c r="BL640" s="4">
        <f>MAX(0,MIN(100,BK640+BH640+BI640))</f>
        <v/>
      </c>
      <c r="BM640" s="3">
        <f>MAX(0,MIN(100,50+BE640*PRECIO_PEND))</f>
        <v/>
      </c>
      <c r="BN640" s="3">
        <f>MAX(0,100*(1-N640/KM_MAX))</f>
        <v/>
      </c>
      <c r="BO640" s="3">
        <f>IF(AV640&lt;KMA_SOSP,IF(AA640="sí",100,KMA_PEN),IF(AV640&lt;=KMA_IDEAL_MAX,100,MAX(0,100*(KMA_CERO-AV640)/(KMA_CERO-KMA_IDEAL_MAX))))</f>
        <v/>
      </c>
      <c r="BP640" s="3">
        <f>MAX(0,MIN(100,100*(M640-ANIO_MIN)/(ANIO_ACTUAL-ANIO_MIN)))</f>
        <v/>
      </c>
      <c r="BQ640" s="3">
        <f>W_KMT*BN640+W_KMA*BO640+W_EDAD*BP640</f>
        <v/>
      </c>
      <c r="BR640" s="3">
        <f>P_ITV*(V640="sí")+P_LIBRO*(W640="sí")+P_CORREA*(X640="sí")+P_PROP*(Y640=1)+P_GAR*(Z640="sí")+P_FOTOS*MIN(1,N(U640)/FOTOS_OBJ)</f>
        <v/>
      </c>
      <c r="BS640" s="3">
        <f>IFERROR(VLOOKUP(BF640,ETQ_TBL,2,0),NEUTRO)</f>
        <v/>
      </c>
      <c r="BT640" s="3">
        <f>NEUTRO</f>
        <v/>
      </c>
      <c r="BU640" s="3">
        <f>IFERROR(VLOOKUP(L640,SEGURO_TBL,3,0),"")</f>
        <v/>
      </c>
      <c r="BV640" s="3">
        <f>IF(BU640="",NEUTRO,MAX(0,MIN(100,100*(SEG_REF_MAX-BU640)/(SEG_REF_MAX-SEG_REF_MIN))))</f>
        <v/>
      </c>
      <c r="BW640" s="3">
        <f>W_ET*BS640+W_CONS*BT640+W_SEG*BV640</f>
        <v/>
      </c>
      <c r="BX640" s="3">
        <f>IF(N(AB640)&gt;0,AB640,IF(AND(R640="profesional",SG_LEGAL_ON=1),GAR_LEGAL,0))</f>
        <v/>
      </c>
      <c r="BY640" s="3">
        <f>SG_GAR*MIN(1,BX640/SG_GAR_FULL)+SG_AMPL*(AC640="sí")+SG_KMC*(AF640="sí")+SG_REV*(N(AE640)&gt;0)+SG_DEV*MIN(1,N(AG640)/SG_DEV_FULL)+SG_HIST*(W640="sí")</f>
        <v/>
      </c>
      <c r="BZ640" s="3">
        <f>IFERROR(VLOOKUP(L640,CARR_PEN_TBL,2,0),0)</f>
        <v/>
      </c>
      <c r="CA640" s="3">
        <f>W_FIAB*BL640+W_PRECIO*BM640+W_KMEDAD*BQ640+W_ANUNCIO*BR640+W_USO*BW640+W_SEGURIDAD*BY640-BZ640</f>
        <v/>
      </c>
      <c r="CB640" s="4">
        <f>IF(N(I640)&gt;0,I640,IFERROR(ROUND(_xlfn.NUMBERVALUE(LEFT(G640,FIND(" ",G640&amp;" ")-1),".")*1000,0),99999))</f>
        <v/>
      </c>
      <c r="CC640" s="3">
        <f>IF(R640="profesional",0,IF(O640&lt;CUOTA_VALOR_MAX,IF(AU640&gt;ITP_TRAMO_ALTO,SUMIFS(CF_CUOTA,CF_MAS,ITP_TRAMO_ALTO,CF_CCMIN,"&lt;="&amp;CB640,CF_CCMAX,"&gt;="&amp;CB640),IF(AU640&gt;ITP_TRAMO_BAJO,SUMIFS(CF_CUOTA,CF_MAS,ITP_TRAMO_BAJO,CF_CCMIN,"&lt;="&amp;CB640,CF_CCMAX,"&gt;="&amp;CB640),O640*ITP_TIPO)),O640*ITP_TIPO))</f>
        <v/>
      </c>
      <c r="CD640" s="4">
        <f>IF(R640="profesional",N(AK640),0)</f>
        <v/>
      </c>
      <c r="CE640" s="3">
        <f>IF(AND(R640="profesional",ISNUMBER(AK640),AL640="sí"),0,TASA_DGT)</f>
        <v/>
      </c>
      <c r="CF640" s="3">
        <f>INFORME_DGT</f>
        <v/>
      </c>
      <c r="CG640" s="4">
        <f>O640+CD640+CC640+CE640+CF640</f>
        <v/>
      </c>
      <c r="CH640" s="4">
        <f>CG640+N(BU640)</f>
        <v/>
      </c>
      <c r="CI640" s="3">
        <f>IF(CG640&lt;=TOTAL_MAX,"sí",IF(CG640&lt;=TOTAL_MAX+MARGEN_NEG,"negociar","no"))</f>
        <v/>
      </c>
      <c r="CJ640" s="4">
        <f>IF(CI640&lt;&gt;"no",COUNTIFS($CI$2:$CI$662,"&lt;&gt;no",$CA$2:$CA$662,"&gt;"&amp;CA640)+COUNTIFS($CI$2:CI640,"&lt;&gt;no",$CA$2:CA640,CA640),"")</f>
        <v/>
      </c>
    </row>
    <row r="641">
      <c r="A641" s="2" t="inlineStr">
        <is>
          <t>cochesnet:71857142</t>
        </is>
      </c>
      <c r="B641" s="2" t="inlineStr">
        <is>
          <t>cochesnet</t>
        </is>
      </c>
      <c r="C641" s="2" t="inlineStr">
        <is>
          <t>https://www.coches.net/ford-fiesta-16-tdci-newport-5p-diesel-2006-en-castellon-71857142-covo.aspx</t>
        </is>
      </c>
      <c r="D641" s="2" t="inlineStr">
        <is>
          <t>FORD Fiesta 1.6 TDCi Newport</t>
        </is>
      </c>
      <c r="E641" s="2" t="inlineStr">
        <is>
          <t>Ford</t>
        </is>
      </c>
      <c r="F641" s="2" t="inlineStr">
        <is>
          <t>Ford Fiesta</t>
        </is>
      </c>
      <c r="G641" s="2" t="inlineStr">
        <is>
          <t>1.6 TDCi</t>
        </is>
      </c>
      <c r="H641" s="2" t="inlineStr">
        <is>
          <t>1.6 TDCi Newport</t>
        </is>
      </c>
      <c r="I641" s="2" t="n"/>
      <c r="J641" s="2" t="n"/>
      <c r="K641" s="2" t="inlineStr">
        <is>
          <t>diesel</t>
        </is>
      </c>
      <c r="L641" s="2" t="inlineStr">
        <is>
          <t>utilitario</t>
        </is>
      </c>
      <c r="M641" s="2" t="n">
        <v>2006</v>
      </c>
      <c r="N641" s="2" t="n">
        <v>121700</v>
      </c>
      <c r="O641" s="2" t="n">
        <v>3500</v>
      </c>
      <c r="P641" s="2" t="inlineStr">
        <is>
          <t>manual</t>
        </is>
      </c>
      <c r="Q641" s="2" t="inlineStr">
        <is>
          <t>no</t>
        </is>
      </c>
      <c r="R641" s="2" t="inlineStr">
        <is>
          <t>profesional</t>
        </is>
      </c>
      <c r="S641" s="2" t="inlineStr">
        <is>
          <t>Comprartuauto.com Vila-real</t>
        </is>
      </c>
      <c r="T641" s="2" t="inlineStr">
        <is>
          <t>2026-10-28T20:24:02Z</t>
        </is>
      </c>
      <c r="U641" s="2" t="n">
        <v>13</v>
      </c>
      <c r="V641" s="2" t="n"/>
      <c r="W641" s="2" t="n"/>
      <c r="X641" s="2" t="n"/>
      <c r="Y641" s="2" t="n">
        <v>1</v>
      </c>
      <c r="Z641" s="2" t="inlineStr">
        <is>
          <t>no</t>
        </is>
      </c>
      <c r="AA641" s="2" t="n"/>
      <c r="AB641" s="2" t="n"/>
      <c r="AC641" s="2" t="n"/>
      <c r="AD641" s="2" t="n"/>
      <c r="AE641" s="2" t="n"/>
      <c r="AF641" s="2" t="n"/>
      <c r="AG641" s="2" t="n"/>
      <c r="AH641" s="2" t="n">
        <v>3500</v>
      </c>
      <c r="AI641" s="2" t="n">
        <v>3500</v>
      </c>
      <c r="AJ641" s="2" t="n"/>
      <c r="AK641" s="2" t="n"/>
      <c r="AL641" s="2" t="n"/>
      <c r="AM641" s="2" t="n"/>
      <c r="AN641" s="2" t="n">
        <v>2999</v>
      </c>
      <c r="AO641" s="2" t="n">
        <v>7</v>
      </c>
      <c r="AP641" s="2" t="inlineStr">
        <is>
          <t>modelo+año+km</t>
        </is>
      </c>
      <c r="AQ641" s="2" t="n"/>
      <c r="AR641" s="2" t="inlineStr">
        <is>
          <t>vendedor profesional: sin ITP (operación con IVA/REBU, confirmar en factura); gastos de gestión del vendedor no indicados: se suma la tasa DGT; preguntar el precio final; distancia no verificable (el anuncio solo indica la provincia): confirmar que está a &lt;= 70 km</t>
        </is>
      </c>
      <c r="AS641" s="2" t="inlineStr">
        <is>
          <t>Ford Fiesta motor 1.6cc 90cv Diesel, manual 5 velocidades, año 6/2006, 121.700kms, único propietario, etiqueta medioambiental B.
Extras: Climatizador, dirección asistida, elevalunas eléctricos delanteros, cierre centralizado con mando a distancia, retrovisores eléctricos y calefactables, asiento del conductor regulable en altura, volante regulable en altura, volante de cuero, limpiaparabrisas con sensor de lluvia, encendido automático de luces, ABS, distribución electrónica de frenado EBD, airbags frontales de conductor y pasajero, cinturones de seguridad con pretensores, inmovilizador electrónico, radio CD/Aux RDS con mandos en el volante, asiento trasero abatible, rueda de repuesto de emergencia.
Se entrega con ITV, niveles y fluidos correctos, neumáticos correctos. 
El vehículo esta como nuevo.
El cambio de nombre se cobra a parte y son 200 Euros.
Aceptamos su vehículo como parte de pago.
Mas vehículos en comprartuauto,com 
Estamos en Villareal, Av. Francesc Tarrega 263. 
Horarios de Lunes a Viernes de 10 a 14 y de 17 a 20. 
Sábados mediante cita previa de 10 a 13.
Se habla Español, Ingles, Ucraniano y Ruso.</t>
        </is>
      </c>
      <c r="AT641" s="2" t="inlineStr">
        <is>
          <t>https://www.coches.net/ford-fiesta-16-tdci-newport-5p-diesel-2006-en-castellon-71857142-covo.aspx (window.__INITIAL_PROPS__.ad) /home/user/Alopecia/buscador-coches/raw/cochesnet/9c0bf76e3bca92cd.json</t>
        </is>
      </c>
      <c r="AU641" s="3">
        <f>MAX(ANIO_ACTUAL-M641,0)</f>
        <v/>
      </c>
      <c r="AV641" s="4">
        <f>N641/MAX(AU641,0.5)</f>
        <v/>
      </c>
      <c r="AW641" s="4">
        <f>F641</f>
        <v/>
      </c>
      <c r="AX641" s="3">
        <f>AW641&amp;"|"&amp;INT(M641/SEG_ANIO)*SEG_ANIO</f>
        <v/>
      </c>
      <c r="AY641" s="3">
        <f>AX641&amp;"|"&amp;INT(N641/SEG_KM)*SEG_KM</f>
        <v/>
      </c>
      <c r="AZ641" s="4">
        <f>COUNTIF($AW$2:$AW$662,AW641)</f>
        <v/>
      </c>
      <c r="BA641" s="4">
        <f>COUNTIF($AX$2:$AX$662,AX641)</f>
        <v/>
      </c>
      <c r="BB641" s="4">
        <f>COUNTIF($AY$2:$AY$662,AY641)</f>
        <v/>
      </c>
      <c r="BC641" s="3">
        <f t="array" ref="BC641">IF(N(AO641)&gt;=MIN_N,AN641,IF(BB641&gt;=MIN_N,MEDIAN(IF($AY$2:$AY$662=AY641,$O$2:$O$662)),IF(BA641&gt;=MIN_N,MEDIAN(IF($AX$2:$AX$662=AX641,$O$2:$O$662)),MEDIAN(IF($AW$2:$AW$662=AW641,$O$2:$O$662)))))</f>
        <v/>
      </c>
      <c r="BD641" s="3">
        <f>IF(N(AO641)&gt;=MIN_N,"mercado "&amp;AP641,IF(BB641&gt;=MIN_N,"modelo+año+km",IF(BA641&gt;=MIN_N,"modelo+año","modelo")))</f>
        <v/>
      </c>
      <c r="BE641" s="4">
        <f>(BC641-O641)/BC641</f>
        <v/>
      </c>
      <c r="BF641" s="3">
        <f>IF(OR(K641="hibrido",K641="glp"),"ECO",IF(K641="electrico","CERO",IF(K641="gasolina",IF(M641&gt;=GAS_C,"C",IF(M641&gt;=GAS_B,"B","A")),IF(K641="diesel",IF(M641&gt;=DIE_C,"C",IF(M641&gt;=DIE_B,"B","A")),""))))</f>
        <v/>
      </c>
      <c r="BG641" s="3">
        <f>IFERROR(VLOOKUP(F641,MOD_TBL,11,0),IFERROR(VLOOKUP(E641,OCU_TBL,2,0),NEUTRO))</f>
        <v/>
      </c>
      <c r="BH641" s="3">
        <f>SUMIFS(MOT_AJUSTE,MOT_MOTOR,G641,MOT_MARCA,E641,MOT_DESDE,"&lt;="&amp;M641,MOT_HASTA,"&gt;="&amp;M641)+SUMIFS(MOT_AJUSTE,MOT_MOTOR,G641,MOT_MARCA,"(todas)",MOT_DESDE,"&lt;="&amp;M641,MOT_HASTA,"&gt;="&amp;M641)</f>
        <v/>
      </c>
      <c r="BI641" s="3">
        <f>SUMIFS(COMB_AJUSTE,COMB_COMB,K641)</f>
        <v/>
      </c>
      <c r="BJ641" s="3">
        <f>COUNTIFS(MOT_MOTOR,G641,MOT_MARCA,E641,MOT_DESDE,"&lt;="&amp;M641,MOT_HASTA,"&gt;="&amp;M641)+COUNTIFS(MOT_MOTOR,G641,MOT_MARCA,"(todas)",MOT_DESDE,"&lt;="&amp;M641,MOT_HASTA,"&gt;="&amp;M641)</f>
        <v/>
      </c>
      <c r="BK641" s="3">
        <f>IF(AND(K641="diesel",BJ641=0),MIN(BG641,NEUTRO),BG641)</f>
        <v/>
      </c>
      <c r="BL641" s="4">
        <f>MAX(0,MIN(100,BK641+BH641+BI641))</f>
        <v/>
      </c>
      <c r="BM641" s="3">
        <f>MAX(0,MIN(100,50+BE641*PRECIO_PEND))</f>
        <v/>
      </c>
      <c r="BN641" s="3">
        <f>MAX(0,100*(1-N641/KM_MAX))</f>
        <v/>
      </c>
      <c r="BO641" s="3">
        <f>IF(AV641&lt;KMA_SOSP,IF(AA641="sí",100,KMA_PEN),IF(AV641&lt;=KMA_IDEAL_MAX,100,MAX(0,100*(KMA_CERO-AV641)/(KMA_CERO-KMA_IDEAL_MAX))))</f>
        <v/>
      </c>
      <c r="BP641" s="3">
        <f>MAX(0,MIN(100,100*(M641-ANIO_MIN)/(ANIO_ACTUAL-ANIO_MIN)))</f>
        <v/>
      </c>
      <c r="BQ641" s="3">
        <f>W_KMT*BN641+W_KMA*BO641+W_EDAD*BP641</f>
        <v/>
      </c>
      <c r="BR641" s="3">
        <f>P_ITV*(V641="sí")+P_LIBRO*(W641="sí")+P_CORREA*(X641="sí")+P_PROP*(Y641=1)+P_GAR*(Z641="sí")+P_FOTOS*MIN(1,N(U641)/FOTOS_OBJ)</f>
        <v/>
      </c>
      <c r="BS641" s="3">
        <f>IFERROR(VLOOKUP(BF641,ETQ_TBL,2,0),NEUTRO)</f>
        <v/>
      </c>
      <c r="BT641" s="3">
        <f>NEUTRO</f>
        <v/>
      </c>
      <c r="BU641" s="3">
        <f>IFERROR(VLOOKUP(L641,SEGURO_TBL,3,0),"")</f>
        <v/>
      </c>
      <c r="BV641" s="3">
        <f>IF(BU641="",NEUTRO,MAX(0,MIN(100,100*(SEG_REF_MAX-BU641)/(SEG_REF_MAX-SEG_REF_MIN))))</f>
        <v/>
      </c>
      <c r="BW641" s="3">
        <f>W_ET*BS641+W_CONS*BT641+W_SEG*BV641</f>
        <v/>
      </c>
      <c r="BX641" s="3">
        <f>IF(N(AB641)&gt;0,AB641,IF(AND(R641="profesional",SG_LEGAL_ON=1),GAR_LEGAL,0))</f>
        <v/>
      </c>
      <c r="BY641" s="3">
        <f>SG_GAR*MIN(1,BX641/SG_GAR_FULL)+SG_AMPL*(AC641="sí")+SG_KMC*(AF641="sí")+SG_REV*(N(AE641)&gt;0)+SG_DEV*MIN(1,N(AG641)/SG_DEV_FULL)+SG_HIST*(W641="sí")</f>
        <v/>
      </c>
      <c r="BZ641" s="3">
        <f>IFERROR(VLOOKUP(L641,CARR_PEN_TBL,2,0),0)</f>
        <v/>
      </c>
      <c r="CA641" s="3">
        <f>W_FIAB*BL641+W_PRECIO*BM641+W_KMEDAD*BQ641+W_ANUNCIO*BR641+W_USO*BW641+W_SEGURIDAD*BY641-BZ641</f>
        <v/>
      </c>
      <c r="CB641" s="4">
        <f>IF(N(I641)&gt;0,I641,IFERROR(ROUND(_xlfn.NUMBERVALUE(LEFT(G641,FIND(" ",G641&amp;" ")-1),".")*1000,0),99999))</f>
        <v/>
      </c>
      <c r="CC641" s="3">
        <f>IF(R641="profesional",0,IF(O641&lt;CUOTA_VALOR_MAX,IF(AU641&gt;ITP_TRAMO_ALTO,SUMIFS(CF_CUOTA,CF_MAS,ITP_TRAMO_ALTO,CF_CCMIN,"&lt;="&amp;CB641,CF_CCMAX,"&gt;="&amp;CB641),IF(AU641&gt;ITP_TRAMO_BAJO,SUMIFS(CF_CUOTA,CF_MAS,ITP_TRAMO_BAJO,CF_CCMIN,"&lt;="&amp;CB641,CF_CCMAX,"&gt;="&amp;CB641),O641*ITP_TIPO)),O641*ITP_TIPO))</f>
        <v/>
      </c>
      <c r="CD641" s="4">
        <f>IF(R641="profesional",N(AK641),0)</f>
        <v/>
      </c>
      <c r="CE641" s="3">
        <f>IF(AND(R641="profesional",ISNUMBER(AK641),AL641="sí"),0,TASA_DGT)</f>
        <v/>
      </c>
      <c r="CF641" s="3">
        <f>INFORME_DGT</f>
        <v/>
      </c>
      <c r="CG641" s="4">
        <f>O641+CD641+CC641+CE641+CF641</f>
        <v/>
      </c>
      <c r="CH641" s="4">
        <f>CG641+N(BU641)</f>
        <v/>
      </c>
      <c r="CI641" s="3">
        <f>IF(CG641&lt;=TOTAL_MAX,"sí",IF(CG641&lt;=TOTAL_MAX+MARGEN_NEG,"negociar","no"))</f>
        <v/>
      </c>
      <c r="CJ641" s="4">
        <f>IF(CI641&lt;&gt;"no",COUNTIFS($CI$2:$CI$662,"&lt;&gt;no",$CA$2:$CA$662,"&gt;"&amp;CA641)+COUNTIFS($CI$2:CI641,"&lt;&gt;no",$CA$2:CA641,CA641),"")</f>
        <v/>
      </c>
    </row>
    <row r="642">
      <c r="A642" s="2" t="inlineStr">
        <is>
          <t>cochesnet:71827603</t>
        </is>
      </c>
      <c r="B642" s="2" t="inlineStr">
        <is>
          <t>cochesnet</t>
        </is>
      </c>
      <c r="C642" s="2" t="inlineStr">
        <is>
          <t>https://www.coches.net/ford-focus-16-trend-5p-gasolina-2009-en-castellon-71827603-covo.aspx</t>
        </is>
      </c>
      <c r="D642" s="2" t="inlineStr">
        <is>
          <t>FORD Focus 1.6 TREND</t>
        </is>
      </c>
      <c r="E642" s="2" t="inlineStr">
        <is>
          <t>Ford</t>
        </is>
      </c>
      <c r="F642" s="2" t="inlineStr">
        <is>
          <t>Ford Focus</t>
        </is>
      </c>
      <c r="G642" s="2" t="inlineStr">
        <is>
          <t>1.6</t>
        </is>
      </c>
      <c r="H642" s="2" t="inlineStr">
        <is>
          <t>1.6 TREND</t>
        </is>
      </c>
      <c r="I642" s="2" t="n"/>
      <c r="J642" s="2" t="n"/>
      <c r="K642" s="2" t="inlineStr">
        <is>
          <t>gasolina</t>
        </is>
      </c>
      <c r="L642" s="2" t="inlineStr">
        <is>
          <t>compacto</t>
        </is>
      </c>
      <c r="M642" s="2" t="n">
        <v>2009</v>
      </c>
      <c r="N642" s="2" t="n">
        <v>80000</v>
      </c>
      <c r="O642" s="2" t="n">
        <v>5000</v>
      </c>
      <c r="P642" s="2" t="inlineStr">
        <is>
          <t>manual</t>
        </is>
      </c>
      <c r="Q642" s="2" t="inlineStr">
        <is>
          <t>no</t>
        </is>
      </c>
      <c r="R642" s="2" t="inlineStr">
        <is>
          <t>particular</t>
        </is>
      </c>
      <c r="S642" s="2" t="inlineStr">
        <is>
          <t>Vila-real</t>
        </is>
      </c>
      <c r="T642" s="2" t="inlineStr">
        <is>
          <t>2026-10-25T12:17:54Z</t>
        </is>
      </c>
      <c r="U642" s="2" t="n">
        <v>13</v>
      </c>
      <c r="V642" s="2" t="n"/>
      <c r="W642" s="2" t="n"/>
      <c r="X642" s="2" t="n"/>
      <c r="Y642" s="2" t="n"/>
      <c r="Z642" s="2" t="inlineStr">
        <is>
          <t>no</t>
        </is>
      </c>
      <c r="AA642" s="2" t="n"/>
      <c r="AB642" s="2" t="n"/>
      <c r="AC642" s="2" t="n"/>
      <c r="AD642" s="2" t="n"/>
      <c r="AE642" s="2" t="n"/>
      <c r="AF642" s="2" t="n"/>
      <c r="AG642" s="2" t="n"/>
      <c r="AH642" s="2" t="n">
        <v>5000</v>
      </c>
      <c r="AI642" s="2" t="n"/>
      <c r="AJ642" s="2" t="n"/>
      <c r="AK642" s="2" t="n"/>
      <c r="AL642" s="2" t="n"/>
      <c r="AM642" s="2" t="n"/>
      <c r="AN642" s="2" t="n">
        <v>3500</v>
      </c>
      <c r="AO642" s="2" t="n">
        <v>60</v>
      </c>
      <c r="AP642" s="2" t="inlineStr">
        <is>
          <t>modelo+año</t>
        </is>
      </c>
      <c r="AQ642" s="2" t="n"/>
      <c r="AR642" s="2" t="inlineStr">
        <is>
          <t>por encima del presupuesto (5124 €), negociar; cuota fija ITP: &gt;12 años, 1.501-2.000 cc; distancia no verificable (el anuncio solo indica la provincia): confirmar que está a &lt;= 70 km</t>
        </is>
      </c>
      <c r="AS642" s="2" t="inlineStr">
        <is>
          <t>Tiene ITV recién aceite filtros batería y pastillas nuevas se acepta cualquier prueba mecánica no mareantes el precio es justo</t>
        </is>
      </c>
      <c r="AT642" s="2" t="inlineStr">
        <is>
          <t>https://www.coches.net/ford-focus-16-trend-5p-gasolina-2009-en-castellon-71827603-covo.aspx (window.__INITIAL_PROPS__.ad) /home/user/Alopecia/buscador-coches/raw/cochesnet/e388fd0e3141c012.json</t>
        </is>
      </c>
      <c r="AU642" s="3">
        <f>MAX(ANIO_ACTUAL-M642,0)</f>
        <v/>
      </c>
      <c r="AV642" s="4">
        <f>N642/MAX(AU642,0.5)</f>
        <v/>
      </c>
      <c r="AW642" s="4">
        <f>F642</f>
        <v/>
      </c>
      <c r="AX642" s="3">
        <f>AW642&amp;"|"&amp;INT(M642/SEG_ANIO)*SEG_ANIO</f>
        <v/>
      </c>
      <c r="AY642" s="3">
        <f>AX642&amp;"|"&amp;INT(N642/SEG_KM)*SEG_KM</f>
        <v/>
      </c>
      <c r="AZ642" s="4">
        <f>COUNTIF($AW$2:$AW$662,AW642)</f>
        <v/>
      </c>
      <c r="BA642" s="4">
        <f>COUNTIF($AX$2:$AX$662,AX642)</f>
        <v/>
      </c>
      <c r="BB642" s="4">
        <f>COUNTIF($AY$2:$AY$662,AY642)</f>
        <v/>
      </c>
      <c r="BC642" s="3">
        <f t="array" ref="BC642">IF(N(AO642)&gt;=MIN_N,AN642,IF(BB642&gt;=MIN_N,MEDIAN(IF($AY$2:$AY$662=AY642,$O$2:$O$662)),IF(BA642&gt;=MIN_N,MEDIAN(IF($AX$2:$AX$662=AX642,$O$2:$O$662)),MEDIAN(IF($AW$2:$AW$662=AW642,$O$2:$O$662)))))</f>
        <v/>
      </c>
      <c r="BD642" s="3">
        <f>IF(N(AO642)&gt;=MIN_N,"mercado "&amp;AP642,IF(BB642&gt;=MIN_N,"modelo+año+km",IF(BA642&gt;=MIN_N,"modelo+año","modelo")))</f>
        <v/>
      </c>
      <c r="BE642" s="4">
        <f>(BC642-O642)/BC642</f>
        <v/>
      </c>
      <c r="BF642" s="3">
        <f>IF(OR(K642="hibrido",K642="glp"),"ECO",IF(K642="electrico","CERO",IF(K642="gasolina",IF(M642&gt;=GAS_C,"C",IF(M642&gt;=GAS_B,"B","A")),IF(K642="diesel",IF(M642&gt;=DIE_C,"C",IF(M642&gt;=DIE_B,"B","A")),""))))</f>
        <v/>
      </c>
      <c r="BG642" s="3">
        <f>IFERROR(VLOOKUP(F642,MOD_TBL,11,0),IFERROR(VLOOKUP(E642,OCU_TBL,2,0),NEUTRO))</f>
        <v/>
      </c>
      <c r="BH642" s="3">
        <f>SUMIFS(MOT_AJUSTE,MOT_MOTOR,G642,MOT_MARCA,E642,MOT_DESDE,"&lt;="&amp;M642,MOT_HASTA,"&gt;="&amp;M642)+SUMIFS(MOT_AJUSTE,MOT_MOTOR,G642,MOT_MARCA,"(todas)",MOT_DESDE,"&lt;="&amp;M642,MOT_HASTA,"&gt;="&amp;M642)</f>
        <v/>
      </c>
      <c r="BI642" s="3">
        <f>SUMIFS(COMB_AJUSTE,COMB_COMB,K642)</f>
        <v/>
      </c>
      <c r="BJ642" s="3">
        <f>COUNTIFS(MOT_MOTOR,G642,MOT_MARCA,E642,MOT_DESDE,"&lt;="&amp;M642,MOT_HASTA,"&gt;="&amp;M642)+COUNTIFS(MOT_MOTOR,G642,MOT_MARCA,"(todas)",MOT_DESDE,"&lt;="&amp;M642,MOT_HASTA,"&gt;="&amp;M642)</f>
        <v/>
      </c>
      <c r="BK642" s="3">
        <f>IF(AND(K642="diesel",BJ642=0),MIN(BG642,NEUTRO),BG642)</f>
        <v/>
      </c>
      <c r="BL642" s="4">
        <f>MAX(0,MIN(100,BK642+BH642+BI642))</f>
        <v/>
      </c>
      <c r="BM642" s="3">
        <f>MAX(0,MIN(100,50+BE642*PRECIO_PEND))</f>
        <v/>
      </c>
      <c r="BN642" s="3">
        <f>MAX(0,100*(1-N642/KM_MAX))</f>
        <v/>
      </c>
      <c r="BO642" s="3">
        <f>IF(AV642&lt;KMA_SOSP,IF(AA642="sí",100,KMA_PEN),IF(AV642&lt;=KMA_IDEAL_MAX,100,MAX(0,100*(KMA_CERO-AV642)/(KMA_CERO-KMA_IDEAL_MAX))))</f>
        <v/>
      </c>
      <c r="BP642" s="3">
        <f>MAX(0,MIN(100,100*(M642-ANIO_MIN)/(ANIO_ACTUAL-ANIO_MIN)))</f>
        <v/>
      </c>
      <c r="BQ642" s="3">
        <f>W_KMT*BN642+W_KMA*BO642+W_EDAD*BP642</f>
        <v/>
      </c>
      <c r="BR642" s="3">
        <f>P_ITV*(V642="sí")+P_LIBRO*(W642="sí")+P_CORREA*(X642="sí")+P_PROP*(Y642=1)+P_GAR*(Z642="sí")+P_FOTOS*MIN(1,N(U642)/FOTOS_OBJ)</f>
        <v/>
      </c>
      <c r="BS642" s="3">
        <f>IFERROR(VLOOKUP(BF642,ETQ_TBL,2,0),NEUTRO)</f>
        <v/>
      </c>
      <c r="BT642" s="3">
        <f>NEUTRO</f>
        <v/>
      </c>
      <c r="BU642" s="3">
        <f>IFERROR(VLOOKUP(L642,SEGURO_TBL,3,0),"")</f>
        <v/>
      </c>
      <c r="BV642" s="3">
        <f>IF(BU642="",NEUTRO,MAX(0,MIN(100,100*(SEG_REF_MAX-BU642)/(SEG_REF_MAX-SEG_REF_MIN))))</f>
        <v/>
      </c>
      <c r="BW642" s="3">
        <f>W_ET*BS642+W_CONS*BT642+W_SEG*BV642</f>
        <v/>
      </c>
      <c r="BX642" s="3">
        <f>IF(N(AB642)&gt;0,AB642,IF(AND(R642="profesional",SG_LEGAL_ON=1),GAR_LEGAL,0))</f>
        <v/>
      </c>
      <c r="BY642" s="3">
        <f>SG_GAR*MIN(1,BX642/SG_GAR_FULL)+SG_AMPL*(AC642="sí")+SG_KMC*(AF642="sí")+SG_REV*(N(AE642)&gt;0)+SG_DEV*MIN(1,N(AG642)/SG_DEV_FULL)+SG_HIST*(W642="sí")</f>
        <v/>
      </c>
      <c r="BZ642" s="3">
        <f>IFERROR(VLOOKUP(L642,CARR_PEN_TBL,2,0),0)</f>
        <v/>
      </c>
      <c r="CA642" s="3">
        <f>W_FIAB*BL642+W_PRECIO*BM642+W_KMEDAD*BQ642+W_ANUNCIO*BR642+W_USO*BW642+W_SEGURIDAD*BY642-BZ642</f>
        <v/>
      </c>
      <c r="CB642" s="4">
        <f>IF(N(I642)&gt;0,I642,IFERROR(ROUND(_xlfn.NUMBERVALUE(LEFT(G642,FIND(" ",G642&amp;" ")-1),".")*1000,0),99999))</f>
        <v/>
      </c>
      <c r="CC642" s="3">
        <f>IF(R642="profesional",0,IF(O642&lt;CUOTA_VALOR_MAX,IF(AU642&gt;ITP_TRAMO_ALTO,SUMIFS(CF_CUOTA,CF_MAS,ITP_TRAMO_ALTO,CF_CCMIN,"&lt;="&amp;CB642,CF_CCMAX,"&gt;="&amp;CB642),IF(AU642&gt;ITP_TRAMO_BAJO,SUMIFS(CF_CUOTA,CF_MAS,ITP_TRAMO_BAJO,CF_CCMIN,"&lt;="&amp;CB642,CF_CCMAX,"&gt;="&amp;CB642),O642*ITP_TIPO)),O642*ITP_TIPO))</f>
        <v/>
      </c>
      <c r="CD642" s="4">
        <f>IF(R642="profesional",N(AK642),0)</f>
        <v/>
      </c>
      <c r="CE642" s="3">
        <f>IF(AND(R642="profesional",ISNUMBER(AK642),AL642="sí"),0,TASA_DGT)</f>
        <v/>
      </c>
      <c r="CF642" s="3">
        <f>INFORME_DGT</f>
        <v/>
      </c>
      <c r="CG642" s="4">
        <f>O642+CD642+CC642+CE642+CF642</f>
        <v/>
      </c>
      <c r="CH642" s="4">
        <f>CG642+N(BU642)</f>
        <v/>
      </c>
      <c r="CI642" s="3">
        <f>IF(CG642&lt;=TOTAL_MAX,"sí",IF(CG642&lt;=TOTAL_MAX+MARGEN_NEG,"negociar","no"))</f>
        <v/>
      </c>
      <c r="CJ642" s="4">
        <f>IF(CI642&lt;&gt;"no",COUNTIFS($CI$2:$CI$662,"&lt;&gt;no",$CA$2:$CA$662,"&gt;"&amp;CA642)+COUNTIFS($CI$2:CI642,"&lt;&gt;no",$CA$2:CA642,CA642),"")</f>
        <v/>
      </c>
    </row>
    <row r="643">
      <c r="A643" s="2" t="inlineStr">
        <is>
          <t>cochesnet:71795240</t>
        </is>
      </c>
      <c r="B643" s="2" t="inlineStr">
        <is>
          <t>cochesnet</t>
        </is>
      </c>
      <c r="C643" s="2" t="inlineStr">
        <is>
          <t>https://www.coches.net/ford-focus-16-tdci-109-trend-5p-diesel-2010-en-castellon-71795240-covo.aspx</t>
        </is>
      </c>
      <c r="D643" s="2" t="inlineStr">
        <is>
          <t>FORD Focus 1.6 TDCi 109 Trend</t>
        </is>
      </c>
      <c r="E643" s="2" t="inlineStr">
        <is>
          <t>Ford</t>
        </is>
      </c>
      <c r="F643" s="2" t="inlineStr">
        <is>
          <t>Ford Focus</t>
        </is>
      </c>
      <c r="G643" s="2" t="inlineStr">
        <is>
          <t>1.6 TDCi</t>
        </is>
      </c>
      <c r="H643" s="2" t="inlineStr">
        <is>
          <t>1.6 TDCi 109 Trend</t>
        </is>
      </c>
      <c r="I643" s="2" t="n"/>
      <c r="J643" s="2" t="n"/>
      <c r="K643" s="2" t="inlineStr">
        <is>
          <t>diesel</t>
        </is>
      </c>
      <c r="L643" s="2" t="inlineStr">
        <is>
          <t>compacto</t>
        </is>
      </c>
      <c r="M643" s="2" t="n">
        <v>2010</v>
      </c>
      <c r="N643" s="2" t="n">
        <v>164000</v>
      </c>
      <c r="O643" s="2" t="n">
        <v>5000</v>
      </c>
      <c r="P643" s="2" t="inlineStr">
        <is>
          <t>manual</t>
        </is>
      </c>
      <c r="Q643" s="2" t="inlineStr">
        <is>
          <t>no</t>
        </is>
      </c>
      <c r="R643" s="2" t="inlineStr">
        <is>
          <t>particular</t>
        </is>
      </c>
      <c r="S643" s="2" t="n"/>
      <c r="T643" s="2" t="inlineStr">
        <is>
          <t>2026-10-20T18:32:59Z</t>
        </is>
      </c>
      <c r="U643" s="2" t="n">
        <v>8</v>
      </c>
      <c r="V643" s="2" t="inlineStr">
        <is>
          <t>sí</t>
        </is>
      </c>
      <c r="W643" s="2" t="n"/>
      <c r="X643" s="2" t="n"/>
      <c r="Y643" s="2" t="n"/>
      <c r="Z643" s="2" t="inlineStr">
        <is>
          <t>no</t>
        </is>
      </c>
      <c r="AA643" s="2" t="n"/>
      <c r="AB643" s="2" t="n"/>
      <c r="AC643" s="2" t="n"/>
      <c r="AD643" s="2" t="n"/>
      <c r="AE643" s="2" t="n"/>
      <c r="AF643" s="2" t="n"/>
      <c r="AG643" s="2" t="n"/>
      <c r="AH643" s="2" t="n">
        <v>5000</v>
      </c>
      <c r="AI643" s="2" t="n"/>
      <c r="AJ643" s="2" t="n"/>
      <c r="AK643" s="2" t="n"/>
      <c r="AL643" s="2" t="n"/>
      <c r="AM643" s="2" t="n"/>
      <c r="AN643" s="2" t="n">
        <v>6500</v>
      </c>
      <c r="AO643" s="2" t="n">
        <v>8</v>
      </c>
      <c r="AP643" s="2" t="inlineStr">
        <is>
          <t>modelo+año+km</t>
        </is>
      </c>
      <c r="AQ643" s="2" t="n"/>
      <c r="AR643" s="2" t="inlineStr">
        <is>
          <t>por encima del presupuesto (5124 €), negociar; cuota fija ITP: &gt;12 años, 1.501-2.000 cc; distancia no verificable (el anuncio solo indica la provincia): confirmar que está a &lt;= 70 km</t>
        </is>
      </c>
      <c r="AS643" s="2" t="inlineStr">
        <is>
          <t>Vendo Ford Focus muy cuidado tanto interior como exterior. Revision hecha reciente. Neumaticos nuevos. Itv en vigor hasta marzo del 2027.
Mas aclaraciones por whatsapp 
Precio negociable</t>
        </is>
      </c>
      <c r="AT643" s="2" t="inlineStr">
        <is>
          <t>https://www.coches.net/ford-focus-16-tdci-109-trend-5p-diesel-2010-en-castellon-71795240-covo.aspx (window.__INITIAL_PROPS__.ad) /home/user/Alopecia/buscador-coches/raw/cochesnet/bda248bdc46e6f89.json</t>
        </is>
      </c>
      <c r="AU643" s="3">
        <f>MAX(ANIO_ACTUAL-M643,0)</f>
        <v/>
      </c>
      <c r="AV643" s="4">
        <f>N643/MAX(AU643,0.5)</f>
        <v/>
      </c>
      <c r="AW643" s="4">
        <f>F643</f>
        <v/>
      </c>
      <c r="AX643" s="3">
        <f>AW643&amp;"|"&amp;INT(M643/SEG_ANIO)*SEG_ANIO</f>
        <v/>
      </c>
      <c r="AY643" s="3">
        <f>AX643&amp;"|"&amp;INT(N643/SEG_KM)*SEG_KM</f>
        <v/>
      </c>
      <c r="AZ643" s="4">
        <f>COUNTIF($AW$2:$AW$662,AW643)</f>
        <v/>
      </c>
      <c r="BA643" s="4">
        <f>COUNTIF($AX$2:$AX$662,AX643)</f>
        <v/>
      </c>
      <c r="BB643" s="4">
        <f>COUNTIF($AY$2:$AY$662,AY643)</f>
        <v/>
      </c>
      <c r="BC643" s="3">
        <f t="array" ref="BC643">IF(N(AO643)&gt;=MIN_N,AN643,IF(BB643&gt;=MIN_N,MEDIAN(IF($AY$2:$AY$662=AY643,$O$2:$O$662)),IF(BA643&gt;=MIN_N,MEDIAN(IF($AX$2:$AX$662=AX643,$O$2:$O$662)),MEDIAN(IF($AW$2:$AW$662=AW643,$O$2:$O$662)))))</f>
        <v/>
      </c>
      <c r="BD643" s="3">
        <f>IF(N(AO643)&gt;=MIN_N,"mercado "&amp;AP643,IF(BB643&gt;=MIN_N,"modelo+año+km",IF(BA643&gt;=MIN_N,"modelo+año","modelo")))</f>
        <v/>
      </c>
      <c r="BE643" s="4">
        <f>(BC643-O643)/BC643</f>
        <v/>
      </c>
      <c r="BF643" s="3">
        <f>IF(OR(K643="hibrido",K643="glp"),"ECO",IF(K643="electrico","CERO",IF(K643="gasolina",IF(M643&gt;=GAS_C,"C",IF(M643&gt;=GAS_B,"B","A")),IF(K643="diesel",IF(M643&gt;=DIE_C,"C",IF(M643&gt;=DIE_B,"B","A")),""))))</f>
        <v/>
      </c>
      <c r="BG643" s="3">
        <f>IFERROR(VLOOKUP(F643,MOD_TBL,11,0),IFERROR(VLOOKUP(E643,OCU_TBL,2,0),NEUTRO))</f>
        <v/>
      </c>
      <c r="BH643" s="3">
        <f>SUMIFS(MOT_AJUSTE,MOT_MOTOR,G643,MOT_MARCA,E643,MOT_DESDE,"&lt;="&amp;M643,MOT_HASTA,"&gt;="&amp;M643)+SUMIFS(MOT_AJUSTE,MOT_MOTOR,G643,MOT_MARCA,"(todas)",MOT_DESDE,"&lt;="&amp;M643,MOT_HASTA,"&gt;="&amp;M643)</f>
        <v/>
      </c>
      <c r="BI643" s="3">
        <f>SUMIFS(COMB_AJUSTE,COMB_COMB,K643)</f>
        <v/>
      </c>
      <c r="BJ643" s="3">
        <f>COUNTIFS(MOT_MOTOR,G643,MOT_MARCA,E643,MOT_DESDE,"&lt;="&amp;M643,MOT_HASTA,"&gt;="&amp;M643)+COUNTIFS(MOT_MOTOR,G643,MOT_MARCA,"(todas)",MOT_DESDE,"&lt;="&amp;M643,MOT_HASTA,"&gt;="&amp;M643)</f>
        <v/>
      </c>
      <c r="BK643" s="3">
        <f>IF(AND(K643="diesel",BJ643=0),MIN(BG643,NEUTRO),BG643)</f>
        <v/>
      </c>
      <c r="BL643" s="4">
        <f>MAX(0,MIN(100,BK643+BH643+BI643))</f>
        <v/>
      </c>
      <c r="BM643" s="3">
        <f>MAX(0,MIN(100,50+BE643*PRECIO_PEND))</f>
        <v/>
      </c>
      <c r="BN643" s="3">
        <f>MAX(0,100*(1-N643/KM_MAX))</f>
        <v/>
      </c>
      <c r="BO643" s="3">
        <f>IF(AV643&lt;KMA_SOSP,IF(AA643="sí",100,KMA_PEN),IF(AV643&lt;=KMA_IDEAL_MAX,100,MAX(0,100*(KMA_CERO-AV643)/(KMA_CERO-KMA_IDEAL_MAX))))</f>
        <v/>
      </c>
      <c r="BP643" s="3">
        <f>MAX(0,MIN(100,100*(M643-ANIO_MIN)/(ANIO_ACTUAL-ANIO_MIN)))</f>
        <v/>
      </c>
      <c r="BQ643" s="3">
        <f>W_KMT*BN643+W_KMA*BO643+W_EDAD*BP643</f>
        <v/>
      </c>
      <c r="BR643" s="3">
        <f>P_ITV*(V643="sí")+P_LIBRO*(W643="sí")+P_CORREA*(X643="sí")+P_PROP*(Y643=1)+P_GAR*(Z643="sí")+P_FOTOS*MIN(1,N(U643)/FOTOS_OBJ)</f>
        <v/>
      </c>
      <c r="BS643" s="3">
        <f>IFERROR(VLOOKUP(BF643,ETQ_TBL,2,0),NEUTRO)</f>
        <v/>
      </c>
      <c r="BT643" s="3">
        <f>NEUTRO</f>
        <v/>
      </c>
      <c r="BU643" s="3">
        <f>IFERROR(VLOOKUP(L643,SEGURO_TBL,3,0),"")</f>
        <v/>
      </c>
      <c r="BV643" s="3">
        <f>IF(BU643="",NEUTRO,MAX(0,MIN(100,100*(SEG_REF_MAX-BU643)/(SEG_REF_MAX-SEG_REF_MIN))))</f>
        <v/>
      </c>
      <c r="BW643" s="3">
        <f>W_ET*BS643+W_CONS*BT643+W_SEG*BV643</f>
        <v/>
      </c>
      <c r="BX643" s="3">
        <f>IF(N(AB643)&gt;0,AB643,IF(AND(R643="profesional",SG_LEGAL_ON=1),GAR_LEGAL,0))</f>
        <v/>
      </c>
      <c r="BY643" s="3">
        <f>SG_GAR*MIN(1,BX643/SG_GAR_FULL)+SG_AMPL*(AC643="sí")+SG_KMC*(AF643="sí")+SG_REV*(N(AE643)&gt;0)+SG_DEV*MIN(1,N(AG643)/SG_DEV_FULL)+SG_HIST*(W643="sí")</f>
        <v/>
      </c>
      <c r="BZ643" s="3">
        <f>IFERROR(VLOOKUP(L643,CARR_PEN_TBL,2,0),0)</f>
        <v/>
      </c>
      <c r="CA643" s="3">
        <f>W_FIAB*BL643+W_PRECIO*BM643+W_KMEDAD*BQ643+W_ANUNCIO*BR643+W_USO*BW643+W_SEGURIDAD*BY643-BZ643</f>
        <v/>
      </c>
      <c r="CB643" s="4">
        <f>IF(N(I643)&gt;0,I643,IFERROR(ROUND(_xlfn.NUMBERVALUE(LEFT(G643,FIND(" ",G643&amp;" ")-1),".")*1000,0),99999))</f>
        <v/>
      </c>
      <c r="CC643" s="3">
        <f>IF(R643="profesional",0,IF(O643&lt;CUOTA_VALOR_MAX,IF(AU643&gt;ITP_TRAMO_ALTO,SUMIFS(CF_CUOTA,CF_MAS,ITP_TRAMO_ALTO,CF_CCMIN,"&lt;="&amp;CB643,CF_CCMAX,"&gt;="&amp;CB643),IF(AU643&gt;ITP_TRAMO_BAJO,SUMIFS(CF_CUOTA,CF_MAS,ITP_TRAMO_BAJO,CF_CCMIN,"&lt;="&amp;CB643,CF_CCMAX,"&gt;="&amp;CB643),O643*ITP_TIPO)),O643*ITP_TIPO))</f>
        <v/>
      </c>
      <c r="CD643" s="4">
        <f>IF(R643="profesional",N(AK643),0)</f>
        <v/>
      </c>
      <c r="CE643" s="3">
        <f>IF(AND(R643="profesional",ISNUMBER(AK643),AL643="sí"),0,TASA_DGT)</f>
        <v/>
      </c>
      <c r="CF643" s="3">
        <f>INFORME_DGT</f>
        <v/>
      </c>
      <c r="CG643" s="4">
        <f>O643+CD643+CC643+CE643+CF643</f>
        <v/>
      </c>
      <c r="CH643" s="4">
        <f>CG643+N(BU643)</f>
        <v/>
      </c>
      <c r="CI643" s="3">
        <f>IF(CG643&lt;=TOTAL_MAX,"sí",IF(CG643&lt;=TOTAL_MAX+MARGEN_NEG,"negociar","no"))</f>
        <v/>
      </c>
      <c r="CJ643" s="4">
        <f>IF(CI643&lt;&gt;"no",COUNTIFS($CI$2:$CI$662,"&lt;&gt;no",$CA$2:$CA$662,"&gt;"&amp;CA643)+COUNTIFS($CI$2:CI643,"&lt;&gt;no",$CA$2:CA643,CA643),"")</f>
        <v/>
      </c>
    </row>
    <row r="644">
      <c r="A644" s="2" t="inlineStr">
        <is>
          <t>cochesnet:71554165</t>
        </is>
      </c>
      <c r="B644" s="2" t="inlineStr">
        <is>
          <t>cochesnet</t>
        </is>
      </c>
      <c r="C644" s="2" t="inlineStr">
        <is>
          <t>https://www.coches.net/ford-fusion-14-tdci-fusion--durashift-est-5p-diesel-2006-en-castellon-71554165-covo.aspx</t>
        </is>
      </c>
      <c r="D644" s="2" t="inlineStr">
        <is>
          <t>FORD Fusion 1.4 TDCI Fusion Durashift EST</t>
        </is>
      </c>
      <c r="E644" s="2" t="inlineStr">
        <is>
          <t>Ford</t>
        </is>
      </c>
      <c r="F644" s="2" t="inlineStr">
        <is>
          <t>Ford Fusion</t>
        </is>
      </c>
      <c r="G644" s="2" t="inlineStr">
        <is>
          <t>1.4 TDCi</t>
        </is>
      </c>
      <c r="H644" s="2" t="inlineStr">
        <is>
          <t>1.4 TDCI Fusion  Durashift EST</t>
        </is>
      </c>
      <c r="I644" s="2" t="n"/>
      <c r="J644" s="2" t="n"/>
      <c r="K644" s="2" t="inlineStr">
        <is>
          <t>diesel</t>
        </is>
      </c>
      <c r="L644" s="2" t="inlineStr">
        <is>
          <t>monovolumen_pequeno</t>
        </is>
      </c>
      <c r="M644" s="2" t="n">
        <v>2006</v>
      </c>
      <c r="N644" s="2" t="n">
        <v>150000</v>
      </c>
      <c r="O644" s="2" t="n">
        <v>3490</v>
      </c>
      <c r="P644" s="2" t="inlineStr">
        <is>
          <t>manual</t>
        </is>
      </c>
      <c r="Q644" s="2" t="inlineStr">
        <is>
          <t>no</t>
        </is>
      </c>
      <c r="R644" s="2" t="inlineStr">
        <is>
          <t>profesional</t>
        </is>
      </c>
      <c r="S644" s="2" t="inlineStr">
        <is>
          <t>Castellón de la Plana / Castelló de la Plana</t>
        </is>
      </c>
      <c r="T644" s="2" t="inlineStr">
        <is>
          <t>2026-09-20T00:26:20Z</t>
        </is>
      </c>
      <c r="U644" s="2" t="n">
        <v>9</v>
      </c>
      <c r="V644" s="2" t="inlineStr">
        <is>
          <t>sí</t>
        </is>
      </c>
      <c r="W644" s="2" t="n"/>
      <c r="X644" s="2" t="n"/>
      <c r="Y644" s="2" t="n"/>
      <c r="Z644" s="2" t="inlineStr">
        <is>
          <t>sí</t>
        </is>
      </c>
      <c r="AA644" s="2" t="n"/>
      <c r="AB644" s="2" t="n">
        <v>12</v>
      </c>
      <c r="AC644" s="2" t="n"/>
      <c r="AD644" s="2" t="n"/>
      <c r="AE644" s="2" t="n"/>
      <c r="AF644" s="2" t="n"/>
      <c r="AG644" s="2" t="n"/>
      <c r="AH644" s="2" t="n">
        <v>3490</v>
      </c>
      <c r="AI644" s="2" t="n"/>
      <c r="AJ644" s="2" t="n"/>
      <c r="AK644" s="2" t="n"/>
      <c r="AL644" s="2" t="n"/>
      <c r="AM644" s="2" t="n"/>
      <c r="AN644" s="2" t="n">
        <v>2350</v>
      </c>
      <c r="AO644" s="2" t="n">
        <v>5</v>
      </c>
      <c r="AP644" s="2" t="inlineStr">
        <is>
          <t>modelo+año</t>
        </is>
      </c>
      <c r="AQ644" s="2" t="n"/>
      <c r="AR644" s="2" t="inlineStr">
        <is>
          <t>vendedor profesional: sin ITP (operación con IVA/REBU, confirmar en factura); gastos de gestión del vendedor no indicados: se suma la tasa DGT; preguntar el precio final; carrocería monovolumen_pequeno: -6 puntos; distancia no verificable (el anuncio solo indica la provincia): confirmar que está a &lt;= 70 km; fiabilidad del modelo PENDIENTE de fuente (puntuación neutra)</t>
        </is>
      </c>
      <c r="AS644" s="2" t="inlineStr">
        <is>
          <t>Se vende Ford Fusion con motor 1.4 Diesel , Radio -CD , siempre en garaje,  elevalunas eléctricos delanteros , ruedas nuevas , antiniebla,airbag,  se entrega totalmente revisado con   Itv al dia , aceite y filtros  recién cambiados ,  mejor verlo sin compromiso.  Sólo se atienden llamadas.</t>
        </is>
      </c>
      <c r="AT644" s="2" t="inlineStr">
        <is>
          <t>https://www.coches.net/ford-fusion-14-tdci-fusion--durashift-est-5p-diesel-2006-en-castellon-71554165-covo.aspx (window.__INITIAL_PROPS__.ad) /home/user/Alopecia/buscador-coches/raw/cochesnet/691cf743d24dd1fa.json</t>
        </is>
      </c>
      <c r="AU644" s="3">
        <f>MAX(ANIO_ACTUAL-M644,0)</f>
        <v/>
      </c>
      <c r="AV644" s="4">
        <f>N644/MAX(AU644,0.5)</f>
        <v/>
      </c>
      <c r="AW644" s="4">
        <f>F644</f>
        <v/>
      </c>
      <c r="AX644" s="3">
        <f>AW644&amp;"|"&amp;INT(M644/SEG_ANIO)*SEG_ANIO</f>
        <v/>
      </c>
      <c r="AY644" s="3">
        <f>AX644&amp;"|"&amp;INT(N644/SEG_KM)*SEG_KM</f>
        <v/>
      </c>
      <c r="AZ644" s="4">
        <f>COUNTIF($AW$2:$AW$662,AW644)</f>
        <v/>
      </c>
      <c r="BA644" s="4">
        <f>COUNTIF($AX$2:$AX$662,AX644)</f>
        <v/>
      </c>
      <c r="BB644" s="4">
        <f>COUNTIF($AY$2:$AY$662,AY644)</f>
        <v/>
      </c>
      <c r="BC644" s="3">
        <f t="array" ref="BC644">IF(N(AO644)&gt;=MIN_N,AN644,IF(BB644&gt;=MIN_N,MEDIAN(IF($AY$2:$AY$662=AY644,$O$2:$O$662)),IF(BA644&gt;=MIN_N,MEDIAN(IF($AX$2:$AX$662=AX644,$O$2:$O$662)),MEDIAN(IF($AW$2:$AW$662=AW644,$O$2:$O$662)))))</f>
        <v/>
      </c>
      <c r="BD644" s="3">
        <f>IF(N(AO644)&gt;=MIN_N,"mercado "&amp;AP644,IF(BB644&gt;=MIN_N,"modelo+año+km",IF(BA644&gt;=MIN_N,"modelo+año","modelo")))</f>
        <v/>
      </c>
      <c r="BE644" s="4">
        <f>(BC644-O644)/BC644</f>
        <v/>
      </c>
      <c r="BF644" s="3">
        <f>IF(OR(K644="hibrido",K644="glp"),"ECO",IF(K644="electrico","CERO",IF(K644="gasolina",IF(M644&gt;=GAS_C,"C",IF(M644&gt;=GAS_B,"B","A")),IF(K644="diesel",IF(M644&gt;=DIE_C,"C",IF(M644&gt;=DIE_B,"B","A")),""))))</f>
        <v/>
      </c>
      <c r="BG644" s="3">
        <f>IFERROR(VLOOKUP(F644,MOD_TBL,11,0),IFERROR(VLOOKUP(E644,OCU_TBL,2,0),NEUTRO))</f>
        <v/>
      </c>
      <c r="BH644" s="3">
        <f>SUMIFS(MOT_AJUSTE,MOT_MOTOR,G644,MOT_MARCA,E644,MOT_DESDE,"&lt;="&amp;M644,MOT_HASTA,"&gt;="&amp;M644)+SUMIFS(MOT_AJUSTE,MOT_MOTOR,G644,MOT_MARCA,"(todas)",MOT_DESDE,"&lt;="&amp;M644,MOT_HASTA,"&gt;="&amp;M644)</f>
        <v/>
      </c>
      <c r="BI644" s="3">
        <f>SUMIFS(COMB_AJUSTE,COMB_COMB,K644)</f>
        <v/>
      </c>
      <c r="BJ644" s="3">
        <f>COUNTIFS(MOT_MOTOR,G644,MOT_MARCA,E644,MOT_DESDE,"&lt;="&amp;M644,MOT_HASTA,"&gt;="&amp;M644)+COUNTIFS(MOT_MOTOR,G644,MOT_MARCA,"(todas)",MOT_DESDE,"&lt;="&amp;M644,MOT_HASTA,"&gt;="&amp;M644)</f>
        <v/>
      </c>
      <c r="BK644" s="3">
        <f>IF(AND(K644="diesel",BJ644=0),MIN(BG644,NEUTRO),BG644)</f>
        <v/>
      </c>
      <c r="BL644" s="4">
        <f>MAX(0,MIN(100,BK644+BH644+BI644))</f>
        <v/>
      </c>
      <c r="BM644" s="3">
        <f>MAX(0,MIN(100,50+BE644*PRECIO_PEND))</f>
        <v/>
      </c>
      <c r="BN644" s="3">
        <f>MAX(0,100*(1-N644/KM_MAX))</f>
        <v/>
      </c>
      <c r="BO644" s="3">
        <f>IF(AV644&lt;KMA_SOSP,IF(AA644="sí",100,KMA_PEN),IF(AV644&lt;=KMA_IDEAL_MAX,100,MAX(0,100*(KMA_CERO-AV644)/(KMA_CERO-KMA_IDEAL_MAX))))</f>
        <v/>
      </c>
      <c r="BP644" s="3">
        <f>MAX(0,MIN(100,100*(M644-ANIO_MIN)/(ANIO_ACTUAL-ANIO_MIN)))</f>
        <v/>
      </c>
      <c r="BQ644" s="3">
        <f>W_KMT*BN644+W_KMA*BO644+W_EDAD*BP644</f>
        <v/>
      </c>
      <c r="BR644" s="3">
        <f>P_ITV*(V644="sí")+P_LIBRO*(W644="sí")+P_CORREA*(X644="sí")+P_PROP*(Y644=1)+P_GAR*(Z644="sí")+P_FOTOS*MIN(1,N(U644)/FOTOS_OBJ)</f>
        <v/>
      </c>
      <c r="BS644" s="3">
        <f>IFERROR(VLOOKUP(BF644,ETQ_TBL,2,0),NEUTRO)</f>
        <v/>
      </c>
      <c r="BT644" s="3">
        <f>NEUTRO</f>
        <v/>
      </c>
      <c r="BU644" s="3">
        <f>IFERROR(VLOOKUP(L644,SEGURO_TBL,3,0),"")</f>
        <v/>
      </c>
      <c r="BV644" s="3">
        <f>IF(BU644="",NEUTRO,MAX(0,MIN(100,100*(SEG_REF_MAX-BU644)/(SEG_REF_MAX-SEG_REF_MIN))))</f>
        <v/>
      </c>
      <c r="BW644" s="3">
        <f>W_ET*BS644+W_CONS*BT644+W_SEG*BV644</f>
        <v/>
      </c>
      <c r="BX644" s="3">
        <f>IF(N(AB644)&gt;0,AB644,IF(AND(R644="profesional",SG_LEGAL_ON=1),GAR_LEGAL,0))</f>
        <v/>
      </c>
      <c r="BY644" s="3">
        <f>SG_GAR*MIN(1,BX644/SG_GAR_FULL)+SG_AMPL*(AC644="sí")+SG_KMC*(AF644="sí")+SG_REV*(N(AE644)&gt;0)+SG_DEV*MIN(1,N(AG644)/SG_DEV_FULL)+SG_HIST*(W644="sí")</f>
        <v/>
      </c>
      <c r="BZ644" s="3">
        <f>IFERROR(VLOOKUP(L644,CARR_PEN_TBL,2,0),0)</f>
        <v/>
      </c>
      <c r="CA644" s="3">
        <f>W_FIAB*BL644+W_PRECIO*BM644+W_KMEDAD*BQ644+W_ANUNCIO*BR644+W_USO*BW644+W_SEGURIDAD*BY644-BZ644</f>
        <v/>
      </c>
      <c r="CB644" s="4">
        <f>IF(N(I644)&gt;0,I644,IFERROR(ROUND(_xlfn.NUMBERVALUE(LEFT(G644,FIND(" ",G644&amp;" ")-1),".")*1000,0),99999))</f>
        <v/>
      </c>
      <c r="CC644" s="3">
        <f>IF(R644="profesional",0,IF(O644&lt;CUOTA_VALOR_MAX,IF(AU644&gt;ITP_TRAMO_ALTO,SUMIFS(CF_CUOTA,CF_MAS,ITP_TRAMO_ALTO,CF_CCMIN,"&lt;="&amp;CB644,CF_CCMAX,"&gt;="&amp;CB644),IF(AU644&gt;ITP_TRAMO_BAJO,SUMIFS(CF_CUOTA,CF_MAS,ITP_TRAMO_BAJO,CF_CCMIN,"&lt;="&amp;CB644,CF_CCMAX,"&gt;="&amp;CB644),O644*ITP_TIPO)),O644*ITP_TIPO))</f>
        <v/>
      </c>
      <c r="CD644" s="4">
        <f>IF(R644="profesional",N(AK644),0)</f>
        <v/>
      </c>
      <c r="CE644" s="3">
        <f>IF(AND(R644="profesional",ISNUMBER(AK644),AL644="sí"),0,TASA_DGT)</f>
        <v/>
      </c>
      <c r="CF644" s="3">
        <f>INFORME_DGT</f>
        <v/>
      </c>
      <c r="CG644" s="4">
        <f>O644+CD644+CC644+CE644+CF644</f>
        <v/>
      </c>
      <c r="CH644" s="4">
        <f>CG644+N(BU644)</f>
        <v/>
      </c>
      <c r="CI644" s="3">
        <f>IF(CG644&lt;=TOTAL_MAX,"sí",IF(CG644&lt;=TOTAL_MAX+MARGEN_NEG,"negociar","no"))</f>
        <v/>
      </c>
      <c r="CJ644" s="4">
        <f>IF(CI644&lt;&gt;"no",COUNTIFS($CI$2:$CI$662,"&lt;&gt;no",$CA$2:$CA$662,"&gt;"&amp;CA644)+COUNTIFS($CI$2:CI644,"&lt;&gt;no",$CA$2:CA644,CA644),"")</f>
        <v/>
      </c>
    </row>
    <row r="645">
      <c r="A645" s="2" t="inlineStr">
        <is>
          <t>cochesnet:71566517</t>
        </is>
      </c>
      <c r="B645" s="2" t="inlineStr">
        <is>
          <t>cochesnet</t>
        </is>
      </c>
      <c r="C645" s="2" t="inlineStr">
        <is>
          <t>https://www.coches.net/ford-fiesta-125-60cv-ambiente-5p-gasolina-2009-en-castellon-71566517-covo.aspx</t>
        </is>
      </c>
      <c r="D645" s="2" t="inlineStr">
        <is>
          <t>FORD Fiesta 1.25 Ambiente</t>
        </is>
      </c>
      <c r="E645" s="2" t="inlineStr">
        <is>
          <t>Ford</t>
        </is>
      </c>
      <c r="F645" s="2" t="inlineStr">
        <is>
          <t>Ford Fiesta</t>
        </is>
      </c>
      <c r="G645" s="2" t="inlineStr">
        <is>
          <t>1.2</t>
        </is>
      </c>
      <c r="H645" s="2" t="inlineStr">
        <is>
          <t>1.25 60cv Ambiente</t>
        </is>
      </c>
      <c r="I645" s="2" t="n"/>
      <c r="J645" s="2" t="n">
        <v>60</v>
      </c>
      <c r="K645" s="2" t="inlineStr">
        <is>
          <t>gasolina</t>
        </is>
      </c>
      <c r="L645" s="2" t="inlineStr">
        <is>
          <t>utilitario</t>
        </is>
      </c>
      <c r="M645" s="2" t="n">
        <v>2009</v>
      </c>
      <c r="N645" s="2" t="n">
        <v>163000</v>
      </c>
      <c r="O645" s="2" t="n">
        <v>5200</v>
      </c>
      <c r="P645" s="2" t="inlineStr">
        <is>
          <t>manual</t>
        </is>
      </c>
      <c r="Q645" s="2" t="inlineStr">
        <is>
          <t>no</t>
        </is>
      </c>
      <c r="R645" s="2" t="inlineStr">
        <is>
          <t>particular</t>
        </is>
      </c>
      <c r="S645" s="2" t="inlineStr">
        <is>
          <t>Castellón de la Plana / Castelló de la Plana</t>
        </is>
      </c>
      <c r="T645" s="2" t="inlineStr">
        <is>
          <t>2026-09-21T21:56:51Z</t>
        </is>
      </c>
      <c r="U645" s="2" t="n">
        <v>3</v>
      </c>
      <c r="V645" s="2" t="n"/>
      <c r="W645" s="2" t="n"/>
      <c r="X645" s="2" t="n"/>
      <c r="Y645" s="2" t="n"/>
      <c r="Z645" s="2" t="inlineStr">
        <is>
          <t>no</t>
        </is>
      </c>
      <c r="AA645" s="2" t="n"/>
      <c r="AB645" s="2" t="n"/>
      <c r="AC645" s="2" t="n"/>
      <c r="AD645" s="2" t="n"/>
      <c r="AE645" s="2" t="n"/>
      <c r="AF645" s="2" t="n"/>
      <c r="AG645" s="2" t="n"/>
      <c r="AH645" s="2" t="n">
        <v>5200</v>
      </c>
      <c r="AI645" s="2" t="n"/>
      <c r="AJ645" s="2" t="n"/>
      <c r="AK645" s="2" t="n"/>
      <c r="AL645" s="2" t="n"/>
      <c r="AM645" s="2" t="n"/>
      <c r="AN645" s="2" t="n">
        <v>4500</v>
      </c>
      <c r="AO645" s="2" t="n">
        <v>18</v>
      </c>
      <c r="AP645" s="2" t="inlineStr">
        <is>
          <t>modelo+año+km</t>
        </is>
      </c>
      <c r="AQ645" s="2" t="n"/>
      <c r="AR645" s="2" t="inlineStr">
        <is>
          <t>cuota fija ITP: &gt;12 años, hasta 1.500 cc; distancia no verificable (el anuncio solo indica la provincia): confirmar que está a &lt;= 70 km</t>
        </is>
      </c>
      <c r="AS645" s="2" t="inlineStr">
        <is>
          <t xml:space="preserve">Se vende en coche único conductor, con revisión pasada y cambio de aceite y filtros también </t>
        </is>
      </c>
      <c r="AT645" s="2" t="inlineStr">
        <is>
          <t>https://www.coches.net/ford-fiesta-125-60cv-ambiente-5p-gasolina-2009-en-castellon-71566517-covo.aspx (window.__INITIAL_PROPS__.ad) /home/user/Alopecia/buscador-coches/raw/cochesnet/6bba3af7551b9419.json</t>
        </is>
      </c>
      <c r="AU645" s="3">
        <f>MAX(ANIO_ACTUAL-M645,0)</f>
        <v/>
      </c>
      <c r="AV645" s="4">
        <f>N645/MAX(AU645,0.5)</f>
        <v/>
      </c>
      <c r="AW645" s="4">
        <f>F645</f>
        <v/>
      </c>
      <c r="AX645" s="3">
        <f>AW645&amp;"|"&amp;INT(M645/SEG_ANIO)*SEG_ANIO</f>
        <v/>
      </c>
      <c r="AY645" s="3">
        <f>AX645&amp;"|"&amp;INT(N645/SEG_KM)*SEG_KM</f>
        <v/>
      </c>
      <c r="AZ645" s="4">
        <f>COUNTIF($AW$2:$AW$662,AW645)</f>
        <v/>
      </c>
      <c r="BA645" s="4">
        <f>COUNTIF($AX$2:$AX$662,AX645)</f>
        <v/>
      </c>
      <c r="BB645" s="4">
        <f>COUNTIF($AY$2:$AY$662,AY645)</f>
        <v/>
      </c>
      <c r="BC645" s="3">
        <f t="array" ref="BC645">IF(N(AO645)&gt;=MIN_N,AN645,IF(BB645&gt;=MIN_N,MEDIAN(IF($AY$2:$AY$662=AY645,$O$2:$O$662)),IF(BA645&gt;=MIN_N,MEDIAN(IF($AX$2:$AX$662=AX645,$O$2:$O$662)),MEDIAN(IF($AW$2:$AW$662=AW645,$O$2:$O$662)))))</f>
        <v/>
      </c>
      <c r="BD645" s="3">
        <f>IF(N(AO645)&gt;=MIN_N,"mercado "&amp;AP645,IF(BB645&gt;=MIN_N,"modelo+año+km",IF(BA645&gt;=MIN_N,"modelo+año","modelo")))</f>
        <v/>
      </c>
      <c r="BE645" s="4">
        <f>(BC645-O645)/BC645</f>
        <v/>
      </c>
      <c r="BF645" s="3">
        <f>IF(OR(K645="hibrido",K645="glp"),"ECO",IF(K645="electrico","CERO",IF(K645="gasolina",IF(M645&gt;=GAS_C,"C",IF(M645&gt;=GAS_B,"B","A")),IF(K645="diesel",IF(M645&gt;=DIE_C,"C",IF(M645&gt;=DIE_B,"B","A")),""))))</f>
        <v/>
      </c>
      <c r="BG645" s="3">
        <f>IFERROR(VLOOKUP(F645,MOD_TBL,11,0),IFERROR(VLOOKUP(E645,OCU_TBL,2,0),NEUTRO))</f>
        <v/>
      </c>
      <c r="BH645" s="3">
        <f>SUMIFS(MOT_AJUSTE,MOT_MOTOR,G645,MOT_MARCA,E645,MOT_DESDE,"&lt;="&amp;M645,MOT_HASTA,"&gt;="&amp;M645)+SUMIFS(MOT_AJUSTE,MOT_MOTOR,G645,MOT_MARCA,"(todas)",MOT_DESDE,"&lt;="&amp;M645,MOT_HASTA,"&gt;="&amp;M645)</f>
        <v/>
      </c>
      <c r="BI645" s="3">
        <f>SUMIFS(COMB_AJUSTE,COMB_COMB,K645)</f>
        <v/>
      </c>
      <c r="BJ645" s="3">
        <f>COUNTIFS(MOT_MOTOR,G645,MOT_MARCA,E645,MOT_DESDE,"&lt;="&amp;M645,MOT_HASTA,"&gt;="&amp;M645)+COUNTIFS(MOT_MOTOR,G645,MOT_MARCA,"(todas)",MOT_DESDE,"&lt;="&amp;M645,MOT_HASTA,"&gt;="&amp;M645)</f>
        <v/>
      </c>
      <c r="BK645" s="3">
        <f>IF(AND(K645="diesel",BJ645=0),MIN(BG645,NEUTRO),BG645)</f>
        <v/>
      </c>
      <c r="BL645" s="4">
        <f>MAX(0,MIN(100,BK645+BH645+BI645))</f>
        <v/>
      </c>
      <c r="BM645" s="3">
        <f>MAX(0,MIN(100,50+BE645*PRECIO_PEND))</f>
        <v/>
      </c>
      <c r="BN645" s="3">
        <f>MAX(0,100*(1-N645/KM_MAX))</f>
        <v/>
      </c>
      <c r="BO645" s="3">
        <f>IF(AV645&lt;KMA_SOSP,IF(AA645="sí",100,KMA_PEN),IF(AV645&lt;=KMA_IDEAL_MAX,100,MAX(0,100*(KMA_CERO-AV645)/(KMA_CERO-KMA_IDEAL_MAX))))</f>
        <v/>
      </c>
      <c r="BP645" s="3">
        <f>MAX(0,MIN(100,100*(M645-ANIO_MIN)/(ANIO_ACTUAL-ANIO_MIN)))</f>
        <v/>
      </c>
      <c r="BQ645" s="3">
        <f>W_KMT*BN645+W_KMA*BO645+W_EDAD*BP645</f>
        <v/>
      </c>
      <c r="BR645" s="3">
        <f>P_ITV*(V645="sí")+P_LIBRO*(W645="sí")+P_CORREA*(X645="sí")+P_PROP*(Y645=1)+P_GAR*(Z645="sí")+P_FOTOS*MIN(1,N(U645)/FOTOS_OBJ)</f>
        <v/>
      </c>
      <c r="BS645" s="3">
        <f>IFERROR(VLOOKUP(BF645,ETQ_TBL,2,0),NEUTRO)</f>
        <v/>
      </c>
      <c r="BT645" s="3">
        <f>NEUTRO</f>
        <v/>
      </c>
      <c r="BU645" s="3">
        <f>IFERROR(VLOOKUP(L645,SEGURO_TBL,3,0),"")</f>
        <v/>
      </c>
      <c r="BV645" s="3">
        <f>IF(BU645="",NEUTRO,MAX(0,MIN(100,100*(SEG_REF_MAX-BU645)/(SEG_REF_MAX-SEG_REF_MIN))))</f>
        <v/>
      </c>
      <c r="BW645" s="3">
        <f>W_ET*BS645+W_CONS*BT645+W_SEG*BV645</f>
        <v/>
      </c>
      <c r="BX645" s="3">
        <f>IF(N(AB645)&gt;0,AB645,IF(AND(R645="profesional",SG_LEGAL_ON=1),GAR_LEGAL,0))</f>
        <v/>
      </c>
      <c r="BY645" s="3">
        <f>SG_GAR*MIN(1,BX645/SG_GAR_FULL)+SG_AMPL*(AC645="sí")+SG_KMC*(AF645="sí")+SG_REV*(N(AE645)&gt;0)+SG_DEV*MIN(1,N(AG645)/SG_DEV_FULL)+SG_HIST*(W645="sí")</f>
        <v/>
      </c>
      <c r="BZ645" s="3">
        <f>IFERROR(VLOOKUP(L645,CARR_PEN_TBL,2,0),0)</f>
        <v/>
      </c>
      <c r="CA645" s="3">
        <f>W_FIAB*BL645+W_PRECIO*BM645+W_KMEDAD*BQ645+W_ANUNCIO*BR645+W_USO*BW645+W_SEGURIDAD*BY645-BZ645</f>
        <v/>
      </c>
      <c r="CB645" s="4">
        <f>IF(N(I645)&gt;0,I645,IFERROR(ROUND(_xlfn.NUMBERVALUE(LEFT(G645,FIND(" ",G645&amp;" ")-1),".")*1000,0),99999))</f>
        <v/>
      </c>
      <c r="CC645" s="3">
        <f>IF(R645="profesional",0,IF(O645&lt;CUOTA_VALOR_MAX,IF(AU645&gt;ITP_TRAMO_ALTO,SUMIFS(CF_CUOTA,CF_MAS,ITP_TRAMO_ALTO,CF_CCMIN,"&lt;="&amp;CB645,CF_CCMAX,"&gt;="&amp;CB645),IF(AU645&gt;ITP_TRAMO_BAJO,SUMIFS(CF_CUOTA,CF_MAS,ITP_TRAMO_BAJO,CF_CCMIN,"&lt;="&amp;CB645,CF_CCMAX,"&gt;="&amp;CB645),O645*ITP_TIPO)),O645*ITP_TIPO))</f>
        <v/>
      </c>
      <c r="CD645" s="4">
        <f>IF(R645="profesional",N(AK645),0)</f>
        <v/>
      </c>
      <c r="CE645" s="3">
        <f>IF(AND(R645="profesional",ISNUMBER(AK645),AL645="sí"),0,TASA_DGT)</f>
        <v/>
      </c>
      <c r="CF645" s="3">
        <f>INFORME_DGT</f>
        <v/>
      </c>
      <c r="CG645" s="4">
        <f>O645+CD645+CC645+CE645+CF645</f>
        <v/>
      </c>
      <c r="CH645" s="4">
        <f>CG645+N(BU645)</f>
        <v/>
      </c>
      <c r="CI645" s="3">
        <f>IF(CG645&lt;=TOTAL_MAX,"sí",IF(CG645&lt;=TOTAL_MAX+MARGEN_NEG,"negociar","no"))</f>
        <v/>
      </c>
      <c r="CJ645" s="4">
        <f>IF(CI645&lt;&gt;"no",COUNTIFS($CI$2:$CI$662,"&lt;&gt;no",$CA$2:$CA$662,"&gt;"&amp;CA645)+COUNTIFS($CI$2:CI645,"&lt;&gt;no",$CA$2:CA645,CA645),"")</f>
        <v/>
      </c>
    </row>
    <row r="646">
      <c r="A646" s="2" t="inlineStr">
        <is>
          <t>cochesnet:71452715</t>
        </is>
      </c>
      <c r="B646" s="2" t="inlineStr">
        <is>
          <t>cochesnet</t>
        </is>
      </c>
      <c r="C646" s="2" t="inlineStr">
        <is>
          <t>https://www.coches.net/ford-fiesta-diesel-2009-en-castellon-71452715-covo.aspx</t>
        </is>
      </c>
      <c r="D646" s="2" t="inlineStr">
        <is>
          <t>FORD Fiesta</t>
        </is>
      </c>
      <c r="E646" s="2" t="inlineStr">
        <is>
          <t>Ford</t>
        </is>
      </c>
      <c r="F646" s="2" t="inlineStr">
        <is>
          <t>Ford Fiesta</t>
        </is>
      </c>
      <c r="G646" s="2" t="n"/>
      <c r="H646" s="2" t="n"/>
      <c r="I646" s="2" t="n"/>
      <c r="J646" s="2" t="n"/>
      <c r="K646" s="2" t="inlineStr">
        <is>
          <t>diesel</t>
        </is>
      </c>
      <c r="L646" s="2" t="inlineStr">
        <is>
          <t>utilitario</t>
        </is>
      </c>
      <c r="M646" s="2" t="n">
        <v>2009</v>
      </c>
      <c r="N646" s="2" t="n">
        <v>200000</v>
      </c>
      <c r="O646" s="2" t="n">
        <v>4450</v>
      </c>
      <c r="P646" s="2" t="inlineStr">
        <is>
          <t>manual</t>
        </is>
      </c>
      <c r="Q646" s="2" t="inlineStr">
        <is>
          <t>no</t>
        </is>
      </c>
      <c r="R646" s="2" t="inlineStr">
        <is>
          <t>particular</t>
        </is>
      </c>
      <c r="S646" s="2" t="n"/>
      <c r="T646" s="2" t="inlineStr">
        <is>
          <t>2026-09-06T14:32:40Z</t>
        </is>
      </c>
      <c r="U646" s="2" t="n">
        <v>9</v>
      </c>
      <c r="V646" s="2" t="inlineStr">
        <is>
          <t>sí</t>
        </is>
      </c>
      <c r="W646" s="2" t="n"/>
      <c r="X646" s="2" t="inlineStr">
        <is>
          <t>sí</t>
        </is>
      </c>
      <c r="Y646" s="2" t="n"/>
      <c r="Z646" s="2" t="inlineStr">
        <is>
          <t>no</t>
        </is>
      </c>
      <c r="AA646" s="2" t="n"/>
      <c r="AB646" s="2" t="n"/>
      <c r="AC646" s="2" t="n"/>
      <c r="AD646" s="2" t="n"/>
      <c r="AE646" s="2" t="n"/>
      <c r="AF646" s="2" t="n"/>
      <c r="AG646" s="2" t="n"/>
      <c r="AH646" s="2" t="n">
        <v>4450</v>
      </c>
      <c r="AI646" s="2" t="n"/>
      <c r="AJ646" s="2" t="n"/>
      <c r="AK646" s="2" t="n"/>
      <c r="AL646" s="2" t="n"/>
      <c r="AM646" s="2" t="n"/>
      <c r="AN646" s="2" t="n">
        <v>3250</v>
      </c>
      <c r="AO646" s="2" t="n">
        <v>12</v>
      </c>
      <c r="AP646" s="2" t="inlineStr">
        <is>
          <t>modelo+año+km</t>
        </is>
      </c>
      <c r="AQ646" s="2" t="n"/>
      <c r="AR646" s="2" t="inlineStr">
        <is>
          <t>cilindrada desconocida: se aplica el tramo de cuota fija más alto; cuota fija ITP: &gt;12 años, más de 2.000 cc; diésel: motor sin fuente de fiabilidad (fiabilidad limitada a neutra); distancia no verificable (el anuncio solo indica la provincia): confirmar que está a &lt;= 70 km</t>
        </is>
      </c>
      <c r="AS646" s="2" t="inlineStr">
        <is>
          <t>Ford Fiesta 1.6 TDCi – Noviembre 2009 | Precio negociable
Vendo Ford Fiesta 1.6 TDCi de noviembre de 2009, un coche que ha tenido un mantenimiento muy cuidado y al que se le han ido haciendo las cosas antes de tiempo para evitar problemas y gastos innecesarios.
?? Mantenimiento y trabajos realizados:
- ? Embrague cambiado a los 120.000 km
- ? Distribución cambiada a los 120.000 km
- ? Cambio de aceite recién hecho, con apenas 100 km desde el cambio
- ? Brazos de suspensión nuevos
- ? Bieletas de dirección nuevas
- ? Alineación realizada después del cambio
- ? ITV recién pasada
Además, entrego con el coche 4 llantas de aleación de regalo. Están para pintar y una de ellas tiene un pequeño golpe, pero ya he consultado y es reparable.
El coche tiene algunas rozaduras normales del uso, propias de los años, pero mecánicamente se ha procurado mantenerlo al día y realizar los mantenimientos cuando correspondía o incluso antes.
Actualmente se utiliza puntualmente para que siga rodando y evitar que se deteriore por estar parado.
Si buscas un Fiesta económico y quieres un coche en el que ya se han hecho varios de los mantenimientos importantes, puede ser una buena oportunidad.
?? Precio negociable. Si estás interesado, escríbeme y te puedo proporcionar más información, fotos o cualquier detalle que quieras consultar sobre el coche.</t>
        </is>
      </c>
      <c r="AT646" s="2" t="inlineStr">
        <is>
          <t>https://www.coches.net/ford-fiesta-diesel-2009-en-castellon-71452715-covo.aspx (window.__INITIAL_PROPS__.ad) /home/user/Alopecia/buscador-coches/raw/cochesnet/5cf8514298402135.json</t>
        </is>
      </c>
      <c r="AU646" s="3">
        <f>MAX(ANIO_ACTUAL-M646,0)</f>
        <v/>
      </c>
      <c r="AV646" s="4">
        <f>N646/MAX(AU646,0.5)</f>
        <v/>
      </c>
      <c r="AW646" s="4">
        <f>F646</f>
        <v/>
      </c>
      <c r="AX646" s="3">
        <f>AW646&amp;"|"&amp;INT(M646/SEG_ANIO)*SEG_ANIO</f>
        <v/>
      </c>
      <c r="AY646" s="3">
        <f>AX646&amp;"|"&amp;INT(N646/SEG_KM)*SEG_KM</f>
        <v/>
      </c>
      <c r="AZ646" s="4">
        <f>COUNTIF($AW$2:$AW$662,AW646)</f>
        <v/>
      </c>
      <c r="BA646" s="4">
        <f>COUNTIF($AX$2:$AX$662,AX646)</f>
        <v/>
      </c>
      <c r="BB646" s="4">
        <f>COUNTIF($AY$2:$AY$662,AY646)</f>
        <v/>
      </c>
      <c r="BC646" s="3">
        <f t="array" ref="BC646">IF(N(AO646)&gt;=MIN_N,AN646,IF(BB646&gt;=MIN_N,MEDIAN(IF($AY$2:$AY$662=AY646,$O$2:$O$662)),IF(BA646&gt;=MIN_N,MEDIAN(IF($AX$2:$AX$662=AX646,$O$2:$O$662)),MEDIAN(IF($AW$2:$AW$662=AW646,$O$2:$O$662)))))</f>
        <v/>
      </c>
      <c r="BD646" s="3">
        <f>IF(N(AO646)&gt;=MIN_N,"mercado "&amp;AP646,IF(BB646&gt;=MIN_N,"modelo+año+km",IF(BA646&gt;=MIN_N,"modelo+año","modelo")))</f>
        <v/>
      </c>
      <c r="BE646" s="4">
        <f>(BC646-O646)/BC646</f>
        <v/>
      </c>
      <c r="BF646" s="3">
        <f>IF(OR(K646="hibrido",K646="glp"),"ECO",IF(K646="electrico","CERO",IF(K646="gasolina",IF(M646&gt;=GAS_C,"C",IF(M646&gt;=GAS_B,"B","A")),IF(K646="diesel",IF(M646&gt;=DIE_C,"C",IF(M646&gt;=DIE_B,"B","A")),""))))</f>
        <v/>
      </c>
      <c r="BG646" s="3">
        <f>IFERROR(VLOOKUP(F646,MOD_TBL,11,0),IFERROR(VLOOKUP(E646,OCU_TBL,2,0),NEUTRO))</f>
        <v/>
      </c>
      <c r="BH646" s="3">
        <f>SUMIFS(MOT_AJUSTE,MOT_MOTOR,G646,MOT_MARCA,E646,MOT_DESDE,"&lt;="&amp;M646,MOT_HASTA,"&gt;="&amp;M646)+SUMIFS(MOT_AJUSTE,MOT_MOTOR,G646,MOT_MARCA,"(todas)",MOT_DESDE,"&lt;="&amp;M646,MOT_HASTA,"&gt;="&amp;M646)</f>
        <v/>
      </c>
      <c r="BI646" s="3">
        <f>SUMIFS(COMB_AJUSTE,COMB_COMB,K646)</f>
        <v/>
      </c>
      <c r="BJ646" s="3">
        <f>COUNTIFS(MOT_MOTOR,G646,MOT_MARCA,E646,MOT_DESDE,"&lt;="&amp;M646,MOT_HASTA,"&gt;="&amp;M646)+COUNTIFS(MOT_MOTOR,G646,MOT_MARCA,"(todas)",MOT_DESDE,"&lt;="&amp;M646,MOT_HASTA,"&gt;="&amp;M646)</f>
        <v/>
      </c>
      <c r="BK646" s="3">
        <f>IF(AND(K646="diesel",BJ646=0),MIN(BG646,NEUTRO),BG646)</f>
        <v/>
      </c>
      <c r="BL646" s="4">
        <f>MAX(0,MIN(100,BK646+BH646+BI646))</f>
        <v/>
      </c>
      <c r="BM646" s="3">
        <f>MAX(0,MIN(100,50+BE646*PRECIO_PEND))</f>
        <v/>
      </c>
      <c r="BN646" s="3">
        <f>MAX(0,100*(1-N646/KM_MAX))</f>
        <v/>
      </c>
      <c r="BO646" s="3">
        <f>IF(AV646&lt;KMA_SOSP,IF(AA646="sí",100,KMA_PEN),IF(AV646&lt;=KMA_IDEAL_MAX,100,MAX(0,100*(KMA_CERO-AV646)/(KMA_CERO-KMA_IDEAL_MAX))))</f>
        <v/>
      </c>
      <c r="BP646" s="3">
        <f>MAX(0,MIN(100,100*(M646-ANIO_MIN)/(ANIO_ACTUAL-ANIO_MIN)))</f>
        <v/>
      </c>
      <c r="BQ646" s="3">
        <f>W_KMT*BN646+W_KMA*BO646+W_EDAD*BP646</f>
        <v/>
      </c>
      <c r="BR646" s="3">
        <f>P_ITV*(V646="sí")+P_LIBRO*(W646="sí")+P_CORREA*(X646="sí")+P_PROP*(Y646=1)+P_GAR*(Z646="sí")+P_FOTOS*MIN(1,N(U646)/FOTOS_OBJ)</f>
        <v/>
      </c>
      <c r="BS646" s="3">
        <f>IFERROR(VLOOKUP(BF646,ETQ_TBL,2,0),NEUTRO)</f>
        <v/>
      </c>
      <c r="BT646" s="3">
        <f>NEUTRO</f>
        <v/>
      </c>
      <c r="BU646" s="3">
        <f>IFERROR(VLOOKUP(L646,SEGURO_TBL,3,0),"")</f>
        <v/>
      </c>
      <c r="BV646" s="3">
        <f>IF(BU646="",NEUTRO,MAX(0,MIN(100,100*(SEG_REF_MAX-BU646)/(SEG_REF_MAX-SEG_REF_MIN))))</f>
        <v/>
      </c>
      <c r="BW646" s="3">
        <f>W_ET*BS646+W_CONS*BT646+W_SEG*BV646</f>
        <v/>
      </c>
      <c r="BX646" s="3">
        <f>IF(N(AB646)&gt;0,AB646,IF(AND(R646="profesional",SG_LEGAL_ON=1),GAR_LEGAL,0))</f>
        <v/>
      </c>
      <c r="BY646" s="3">
        <f>SG_GAR*MIN(1,BX646/SG_GAR_FULL)+SG_AMPL*(AC646="sí")+SG_KMC*(AF646="sí")+SG_REV*(N(AE646)&gt;0)+SG_DEV*MIN(1,N(AG646)/SG_DEV_FULL)+SG_HIST*(W646="sí")</f>
        <v/>
      </c>
      <c r="BZ646" s="3">
        <f>IFERROR(VLOOKUP(L646,CARR_PEN_TBL,2,0),0)</f>
        <v/>
      </c>
      <c r="CA646" s="3">
        <f>W_FIAB*BL646+W_PRECIO*BM646+W_KMEDAD*BQ646+W_ANUNCIO*BR646+W_USO*BW646+W_SEGURIDAD*BY646-BZ646</f>
        <v/>
      </c>
      <c r="CB646" s="4">
        <f>IF(N(I646)&gt;0,I646,IFERROR(ROUND(_xlfn.NUMBERVALUE(LEFT(G646,FIND(" ",G646&amp;" ")-1),".")*1000,0),99999))</f>
        <v/>
      </c>
      <c r="CC646" s="3">
        <f>IF(R646="profesional",0,IF(O646&lt;CUOTA_VALOR_MAX,IF(AU646&gt;ITP_TRAMO_ALTO,SUMIFS(CF_CUOTA,CF_MAS,ITP_TRAMO_ALTO,CF_CCMIN,"&lt;="&amp;CB646,CF_CCMAX,"&gt;="&amp;CB646),IF(AU646&gt;ITP_TRAMO_BAJO,SUMIFS(CF_CUOTA,CF_MAS,ITP_TRAMO_BAJO,CF_CCMIN,"&lt;="&amp;CB646,CF_CCMAX,"&gt;="&amp;CB646),O646*ITP_TIPO)),O646*ITP_TIPO))</f>
        <v/>
      </c>
      <c r="CD646" s="4">
        <f>IF(R646="profesional",N(AK646),0)</f>
        <v/>
      </c>
      <c r="CE646" s="3">
        <f>IF(AND(R646="profesional",ISNUMBER(AK646),AL646="sí"),0,TASA_DGT)</f>
        <v/>
      </c>
      <c r="CF646" s="3">
        <f>INFORME_DGT</f>
        <v/>
      </c>
      <c r="CG646" s="4">
        <f>O646+CD646+CC646+CE646+CF646</f>
        <v/>
      </c>
      <c r="CH646" s="4">
        <f>CG646+N(BU646)</f>
        <v/>
      </c>
      <c r="CI646" s="3">
        <f>IF(CG646&lt;=TOTAL_MAX,"sí",IF(CG646&lt;=TOTAL_MAX+MARGEN_NEG,"negociar","no"))</f>
        <v/>
      </c>
      <c r="CJ646" s="4">
        <f>IF(CI646&lt;&gt;"no",COUNTIFS($CI$2:$CI$662,"&lt;&gt;no",$CA$2:$CA$662,"&gt;"&amp;CA646)+COUNTIFS($CI$2:CI646,"&lt;&gt;no",$CA$2:CA646,CA646),"")</f>
        <v/>
      </c>
    </row>
    <row r="647">
      <c r="A647" s="2" t="inlineStr">
        <is>
          <t>cochesnet:71781100</t>
        </is>
      </c>
      <c r="B647" s="2" t="inlineStr">
        <is>
          <t>cochesnet</t>
        </is>
      </c>
      <c r="C647" s="2" t="inlineStr">
        <is>
          <t>https://www.coches.net/fiat-bravo-19-multijet-120-cv-active-5p-diesel-2007-en-castellon-71781100-covo.aspx</t>
        </is>
      </c>
      <c r="D647" s="2" t="inlineStr">
        <is>
          <t>FIAT Bravo 1.9 Multijet 120 CV Active</t>
        </is>
      </c>
      <c r="E647" s="2" t="inlineStr">
        <is>
          <t>Fiat</t>
        </is>
      </c>
      <c r="F647" s="2" t="inlineStr">
        <is>
          <t>Fiat Bravo</t>
        </is>
      </c>
      <c r="G647" s="2" t="inlineStr">
        <is>
          <t>1.9 Multijet</t>
        </is>
      </c>
      <c r="H647" s="2" t="inlineStr">
        <is>
          <t>1.9 Multijet 120 CV Active</t>
        </is>
      </c>
      <c r="I647" s="2" t="n"/>
      <c r="J647" s="2" t="n">
        <v>120</v>
      </c>
      <c r="K647" s="2" t="inlineStr">
        <is>
          <t>diesel</t>
        </is>
      </c>
      <c r="L647" s="2" t="inlineStr">
        <is>
          <t>compacto</t>
        </is>
      </c>
      <c r="M647" s="2" t="n">
        <v>2007</v>
      </c>
      <c r="N647" s="2" t="n">
        <v>135000</v>
      </c>
      <c r="O647" s="2" t="n">
        <v>3500</v>
      </c>
      <c r="P647" s="2" t="inlineStr">
        <is>
          <t>manual</t>
        </is>
      </c>
      <c r="Q647" s="2" t="inlineStr">
        <is>
          <t>no</t>
        </is>
      </c>
      <c r="R647" s="2" t="inlineStr">
        <is>
          <t>particular</t>
        </is>
      </c>
      <c r="S647" s="2" t="n"/>
      <c r="T647" s="2" t="inlineStr">
        <is>
          <t>2026-10-19T10:44:02Z</t>
        </is>
      </c>
      <c r="U647" s="2" t="n">
        <v>3</v>
      </c>
      <c r="V647" s="2" t="n"/>
      <c r="W647" s="2" t="n"/>
      <c r="X647" s="2" t="n"/>
      <c r="Y647" s="2" t="n"/>
      <c r="Z647" s="2" t="inlineStr">
        <is>
          <t>no</t>
        </is>
      </c>
      <c r="AA647" s="2" t="n"/>
      <c r="AB647" s="2" t="n"/>
      <c r="AC647" s="2" t="n"/>
      <c r="AD647" s="2" t="n"/>
      <c r="AE647" s="2" t="n"/>
      <c r="AF647" s="2" t="n"/>
      <c r="AG647" s="2" t="n"/>
      <c r="AH647" s="2" t="n">
        <v>3500</v>
      </c>
      <c r="AI647" s="2" t="n"/>
      <c r="AJ647" s="2" t="n"/>
      <c r="AK647" s="2" t="n"/>
      <c r="AL647" s="2" t="n"/>
      <c r="AM647" s="2" t="n"/>
      <c r="AN647" s="2" t="n">
        <v>2800</v>
      </c>
      <c r="AO647" s="2" t="n">
        <v>8</v>
      </c>
      <c r="AP647" s="2" t="inlineStr">
        <is>
          <t>modelo+año</t>
        </is>
      </c>
      <c r="AQ647" s="2" t="n"/>
      <c r="AR647" s="2" t="inlineStr">
        <is>
          <t>cuota fija ITP: &gt;12 años, 1.501-2.000 cc; diésel: motor sin fuente de fiabilidad (fiabilidad limitada a neutra); distancia no verificable (el anuncio solo indica la provincia): confirmar que está a &lt;= 70 km; fiabilidad del modelo PENDIENTE de fuente (puntuación neutra)</t>
        </is>
      </c>
      <c r="AS647" s="2" t="inlineStr">
        <is>
          <t>Fiat Bravo 1.9 Multijet 120 CV (2007)
Características del vehículo:
Marca y modelo: Fiat Bravo II
Año: 2007
Motor: 1.9 Multijet (Diésel) - 120 CV (muy fiable y de bajo consumo)
Cambio: Manual - 5 Marchas
Carrocería: 5 puertas
Estado y mantenimiento:
ITV:Pasada recientemente el 16/10/2026.
Neumáticos: Prácticamente nuevos, cambiados hace solo 8 meses y con muy pocos kilómetros recorridos.
Aclaración sobre el estado:
El coche acaba de pasar por el taller para la puesta a punto de la ITV. Actualmente **necesita cambiar el alternador**. Lo vendo tal cual porque mi intención al pasar la ITV era ponerlo a la venta para comprarme un coche nuevo, por lo que no quiero realizar esta reparación. Se deberia cambiar la correa de distribución también. Desperfectos de arañazos en el exterior del vehiculo
¡Cualquier duda, comentadme sin compromiso!</t>
        </is>
      </c>
      <c r="AT647" s="2" t="inlineStr">
        <is>
          <t>https://www.coches.net/fiat-bravo-19-multijet-120-cv-active-5p-diesel-2007-en-castellon-71781100-covo.aspx (window.__INITIAL_PROPS__.ad) /home/user/Alopecia/buscador-coches/raw/cochesnet/fdabef7bf587509f.json</t>
        </is>
      </c>
      <c r="AU647" s="3">
        <f>MAX(ANIO_ACTUAL-M647,0)</f>
        <v/>
      </c>
      <c r="AV647" s="4">
        <f>N647/MAX(AU647,0.5)</f>
        <v/>
      </c>
      <c r="AW647" s="4">
        <f>F647</f>
        <v/>
      </c>
      <c r="AX647" s="3">
        <f>AW647&amp;"|"&amp;INT(M647/SEG_ANIO)*SEG_ANIO</f>
        <v/>
      </c>
      <c r="AY647" s="3">
        <f>AX647&amp;"|"&amp;INT(N647/SEG_KM)*SEG_KM</f>
        <v/>
      </c>
      <c r="AZ647" s="4">
        <f>COUNTIF($AW$2:$AW$662,AW647)</f>
        <v/>
      </c>
      <c r="BA647" s="4">
        <f>COUNTIF($AX$2:$AX$662,AX647)</f>
        <v/>
      </c>
      <c r="BB647" s="4">
        <f>COUNTIF($AY$2:$AY$662,AY647)</f>
        <v/>
      </c>
      <c r="BC647" s="3">
        <f t="array" ref="BC647">IF(N(AO647)&gt;=MIN_N,AN647,IF(BB647&gt;=MIN_N,MEDIAN(IF($AY$2:$AY$662=AY647,$O$2:$O$662)),IF(BA647&gt;=MIN_N,MEDIAN(IF($AX$2:$AX$662=AX647,$O$2:$O$662)),MEDIAN(IF($AW$2:$AW$662=AW647,$O$2:$O$662)))))</f>
        <v/>
      </c>
      <c r="BD647" s="3">
        <f>IF(N(AO647)&gt;=MIN_N,"mercado "&amp;AP647,IF(BB647&gt;=MIN_N,"modelo+año+km",IF(BA647&gt;=MIN_N,"modelo+año","modelo")))</f>
        <v/>
      </c>
      <c r="BE647" s="4">
        <f>(BC647-O647)/BC647</f>
        <v/>
      </c>
      <c r="BF647" s="3">
        <f>IF(OR(K647="hibrido",K647="glp"),"ECO",IF(K647="electrico","CERO",IF(K647="gasolina",IF(M647&gt;=GAS_C,"C",IF(M647&gt;=GAS_B,"B","A")),IF(K647="diesel",IF(M647&gt;=DIE_C,"C",IF(M647&gt;=DIE_B,"B","A")),""))))</f>
        <v/>
      </c>
      <c r="BG647" s="3">
        <f>IFERROR(VLOOKUP(F647,MOD_TBL,11,0),IFERROR(VLOOKUP(E647,OCU_TBL,2,0),NEUTRO))</f>
        <v/>
      </c>
      <c r="BH647" s="3">
        <f>SUMIFS(MOT_AJUSTE,MOT_MOTOR,G647,MOT_MARCA,E647,MOT_DESDE,"&lt;="&amp;M647,MOT_HASTA,"&gt;="&amp;M647)+SUMIFS(MOT_AJUSTE,MOT_MOTOR,G647,MOT_MARCA,"(todas)",MOT_DESDE,"&lt;="&amp;M647,MOT_HASTA,"&gt;="&amp;M647)</f>
        <v/>
      </c>
      <c r="BI647" s="3">
        <f>SUMIFS(COMB_AJUSTE,COMB_COMB,K647)</f>
        <v/>
      </c>
      <c r="BJ647" s="3">
        <f>COUNTIFS(MOT_MOTOR,G647,MOT_MARCA,E647,MOT_DESDE,"&lt;="&amp;M647,MOT_HASTA,"&gt;="&amp;M647)+COUNTIFS(MOT_MOTOR,G647,MOT_MARCA,"(todas)",MOT_DESDE,"&lt;="&amp;M647,MOT_HASTA,"&gt;="&amp;M647)</f>
        <v/>
      </c>
      <c r="BK647" s="3">
        <f>IF(AND(K647="diesel",BJ647=0),MIN(BG647,NEUTRO),BG647)</f>
        <v/>
      </c>
      <c r="BL647" s="4">
        <f>MAX(0,MIN(100,BK647+BH647+BI647))</f>
        <v/>
      </c>
      <c r="BM647" s="3">
        <f>MAX(0,MIN(100,50+BE647*PRECIO_PEND))</f>
        <v/>
      </c>
      <c r="BN647" s="3">
        <f>MAX(0,100*(1-N647/KM_MAX))</f>
        <v/>
      </c>
      <c r="BO647" s="3">
        <f>IF(AV647&lt;KMA_SOSP,IF(AA647="sí",100,KMA_PEN),IF(AV647&lt;=KMA_IDEAL_MAX,100,MAX(0,100*(KMA_CERO-AV647)/(KMA_CERO-KMA_IDEAL_MAX))))</f>
        <v/>
      </c>
      <c r="BP647" s="3">
        <f>MAX(0,MIN(100,100*(M647-ANIO_MIN)/(ANIO_ACTUAL-ANIO_MIN)))</f>
        <v/>
      </c>
      <c r="BQ647" s="3">
        <f>W_KMT*BN647+W_KMA*BO647+W_EDAD*BP647</f>
        <v/>
      </c>
      <c r="BR647" s="3">
        <f>P_ITV*(V647="sí")+P_LIBRO*(W647="sí")+P_CORREA*(X647="sí")+P_PROP*(Y647=1)+P_GAR*(Z647="sí")+P_FOTOS*MIN(1,N(U647)/FOTOS_OBJ)</f>
        <v/>
      </c>
      <c r="BS647" s="3">
        <f>IFERROR(VLOOKUP(BF647,ETQ_TBL,2,0),NEUTRO)</f>
        <v/>
      </c>
      <c r="BT647" s="3">
        <f>NEUTRO</f>
        <v/>
      </c>
      <c r="BU647" s="3">
        <f>IFERROR(VLOOKUP(L647,SEGURO_TBL,3,0),"")</f>
        <v/>
      </c>
      <c r="BV647" s="3">
        <f>IF(BU647="",NEUTRO,MAX(0,MIN(100,100*(SEG_REF_MAX-BU647)/(SEG_REF_MAX-SEG_REF_MIN))))</f>
        <v/>
      </c>
      <c r="BW647" s="3">
        <f>W_ET*BS647+W_CONS*BT647+W_SEG*BV647</f>
        <v/>
      </c>
      <c r="BX647" s="3">
        <f>IF(N(AB647)&gt;0,AB647,IF(AND(R647="profesional",SG_LEGAL_ON=1),GAR_LEGAL,0))</f>
        <v/>
      </c>
      <c r="BY647" s="3">
        <f>SG_GAR*MIN(1,BX647/SG_GAR_FULL)+SG_AMPL*(AC647="sí")+SG_KMC*(AF647="sí")+SG_REV*(N(AE647)&gt;0)+SG_DEV*MIN(1,N(AG647)/SG_DEV_FULL)+SG_HIST*(W647="sí")</f>
        <v/>
      </c>
      <c r="BZ647" s="3">
        <f>IFERROR(VLOOKUP(L647,CARR_PEN_TBL,2,0),0)</f>
        <v/>
      </c>
      <c r="CA647" s="3">
        <f>W_FIAB*BL647+W_PRECIO*BM647+W_KMEDAD*BQ647+W_ANUNCIO*BR647+W_USO*BW647+W_SEGURIDAD*BY647-BZ647</f>
        <v/>
      </c>
      <c r="CB647" s="4">
        <f>IF(N(I647)&gt;0,I647,IFERROR(ROUND(_xlfn.NUMBERVALUE(LEFT(G647,FIND(" ",G647&amp;" ")-1),".")*1000,0),99999))</f>
        <v/>
      </c>
      <c r="CC647" s="3">
        <f>IF(R647="profesional",0,IF(O647&lt;CUOTA_VALOR_MAX,IF(AU647&gt;ITP_TRAMO_ALTO,SUMIFS(CF_CUOTA,CF_MAS,ITP_TRAMO_ALTO,CF_CCMIN,"&lt;="&amp;CB647,CF_CCMAX,"&gt;="&amp;CB647),IF(AU647&gt;ITP_TRAMO_BAJO,SUMIFS(CF_CUOTA,CF_MAS,ITP_TRAMO_BAJO,CF_CCMIN,"&lt;="&amp;CB647,CF_CCMAX,"&gt;="&amp;CB647),O647*ITP_TIPO)),O647*ITP_TIPO))</f>
        <v/>
      </c>
      <c r="CD647" s="4">
        <f>IF(R647="profesional",N(AK647),0)</f>
        <v/>
      </c>
      <c r="CE647" s="3">
        <f>IF(AND(R647="profesional",ISNUMBER(AK647),AL647="sí"),0,TASA_DGT)</f>
        <v/>
      </c>
      <c r="CF647" s="3">
        <f>INFORME_DGT</f>
        <v/>
      </c>
      <c r="CG647" s="4">
        <f>O647+CD647+CC647+CE647+CF647</f>
        <v/>
      </c>
      <c r="CH647" s="4">
        <f>CG647+N(BU647)</f>
        <v/>
      </c>
      <c r="CI647" s="3">
        <f>IF(CG647&lt;=TOTAL_MAX,"sí",IF(CG647&lt;=TOTAL_MAX+MARGEN_NEG,"negociar","no"))</f>
        <v/>
      </c>
      <c r="CJ647" s="4">
        <f>IF(CI647&lt;&gt;"no",COUNTIFS($CI$2:$CI$662,"&lt;&gt;no",$CA$2:$CA$662,"&gt;"&amp;CA647)+COUNTIFS($CI$2:CI647,"&lt;&gt;no",$CA$2:CA647,CA647),"")</f>
        <v/>
      </c>
    </row>
    <row r="648">
      <c r="A648" s="2" t="inlineStr">
        <is>
          <t>cochesnet:70833137</t>
        </is>
      </c>
      <c r="B648" s="2" t="inlineStr">
        <is>
          <t>cochesnet</t>
        </is>
      </c>
      <c r="C648" s="2" t="inlineStr">
        <is>
          <t>https://www.coches.net/fiat-500-09-turbo-twinair-85cv-blackjack-3p-gasolina-2007-en-castellon-70833137-covo.aspx</t>
        </is>
      </c>
      <c r="D648" s="2" t="inlineStr">
        <is>
          <t>FIAT 500 0.9 Turbo TwinAir Blackjack</t>
        </is>
      </c>
      <c r="E648" s="2" t="inlineStr">
        <is>
          <t>Fiat</t>
        </is>
      </c>
      <c r="F648" s="2" t="inlineStr">
        <is>
          <t>Fiat 500</t>
        </is>
      </c>
      <c r="G648" s="2" t="inlineStr">
        <is>
          <t>0.9 Turbo</t>
        </is>
      </c>
      <c r="H648" s="2" t="inlineStr">
        <is>
          <t>0.9 Turbo TwinAir 85cv Blackjack</t>
        </is>
      </c>
      <c r="I648" s="2" t="n"/>
      <c r="J648" s="2" t="n">
        <v>85</v>
      </c>
      <c r="K648" s="2" t="inlineStr">
        <is>
          <t>gasolina</t>
        </is>
      </c>
      <c r="L648" s="2" t="inlineStr">
        <is>
          <t>utilitario</t>
        </is>
      </c>
      <c r="M648" s="2" t="n">
        <v>2011</v>
      </c>
      <c r="N648" s="2" t="n">
        <v>131000</v>
      </c>
      <c r="O648" s="2" t="n">
        <v>5200</v>
      </c>
      <c r="P648" s="2" t="inlineStr">
        <is>
          <t>manual</t>
        </is>
      </c>
      <c r="Q648" s="2" t="inlineStr">
        <is>
          <t>no</t>
        </is>
      </c>
      <c r="R648" s="2" t="inlineStr">
        <is>
          <t>profesional</t>
        </is>
      </c>
      <c r="S648" s="2" t="inlineStr">
        <is>
          <t>Automoviles Llorens  Almazora</t>
        </is>
      </c>
      <c r="T648" s="2" t="inlineStr">
        <is>
          <t>2026-09-07T18:31:01Z</t>
        </is>
      </c>
      <c r="U648" s="2" t="n">
        <v>17</v>
      </c>
      <c r="V648" s="2" t="inlineStr">
        <is>
          <t>sí</t>
        </is>
      </c>
      <c r="W648" s="2" t="inlineStr">
        <is>
          <t>sí</t>
        </is>
      </c>
      <c r="X648" s="2" t="n"/>
      <c r="Y648" s="2" t="n"/>
      <c r="Z648" s="2" t="inlineStr">
        <is>
          <t>sí</t>
        </is>
      </c>
      <c r="AA648" s="2" t="n"/>
      <c r="AB648" s="2" t="n">
        <v>12</v>
      </c>
      <c r="AC648" s="2" t="n"/>
      <c r="AD648" s="2" t="n"/>
      <c r="AE648" s="2" t="n"/>
      <c r="AF648" s="2" t="n"/>
      <c r="AG648" s="2" t="n"/>
      <c r="AH648" s="2" t="n">
        <v>5200</v>
      </c>
      <c r="AI648" s="2" t="n"/>
      <c r="AJ648" s="2" t="n"/>
      <c r="AK648" s="2" t="n"/>
      <c r="AL648" s="2" t="n"/>
      <c r="AM648" s="2" t="n"/>
      <c r="AN648" s="2" t="n">
        <v>5500</v>
      </c>
      <c r="AO648" s="2" t="n">
        <v>7</v>
      </c>
      <c r="AP648" s="2" t="inlineStr">
        <is>
          <t>modelo+año+km</t>
        </is>
      </c>
      <c r="AQ648" s="2" t="n"/>
      <c r="AR648" s="2" t="inlineStr">
        <is>
          <t>por encima del presupuesto (5264 €), negociar; vendedor profesional: sin ITP (operación con IVA/REBU, confirmar en factura); gastos de gestión del vendedor no indicados: se suma la tasa DGT; preguntar el precio final; distancia no verificable (el anuncio solo indica la provincia): confirmar que está a &lt;= 70 km</t>
        </is>
      </c>
      <c r="AS648" s="2" t="inlineStr">
        <is>
          <t>FIAT 500 .AÑO 2011.
SUPER PRECIO.
Llantas de aluminio.2 juegos de llaves.cierre.elevalunas.A/A.itv en vigor.
Impecable estado.mantenimiento al dia.
Garantia un año.contacte con nosotros para confirmar disponibilidad.
Transferencia/gestoria/no incluido en el precio.
Aceptamos tu vehiculo como parte del pago.
QUIERES VENDER TU COCHE.PONTE EN CONTACTO CON NOSOTROS Y TE LO TASAREMOS SIN COMPROMISO.</t>
        </is>
      </c>
      <c r="AT648" s="2" t="inlineStr">
        <is>
          <t>https://www.coches.net/fiat-500-09-turbo-twinair-85cv-blackjack-3p-gasolina-2007-en-castellon-70833137-covo.aspx (window.__INITIAL_PROPS__.ad) /home/user/Alopecia/buscador-coches/raw/cochesnet/2b91e3171b4f1026.json</t>
        </is>
      </c>
      <c r="AU648" s="3">
        <f>MAX(ANIO_ACTUAL-M648,0)</f>
        <v/>
      </c>
      <c r="AV648" s="4">
        <f>N648/MAX(AU648,0.5)</f>
        <v/>
      </c>
      <c r="AW648" s="4">
        <f>F648</f>
        <v/>
      </c>
      <c r="AX648" s="3">
        <f>AW648&amp;"|"&amp;INT(M648/SEG_ANIO)*SEG_ANIO</f>
        <v/>
      </c>
      <c r="AY648" s="3">
        <f>AX648&amp;"|"&amp;INT(N648/SEG_KM)*SEG_KM</f>
        <v/>
      </c>
      <c r="AZ648" s="4">
        <f>COUNTIF($AW$2:$AW$662,AW648)</f>
        <v/>
      </c>
      <c r="BA648" s="4">
        <f>COUNTIF($AX$2:$AX$662,AX648)</f>
        <v/>
      </c>
      <c r="BB648" s="4">
        <f>COUNTIF($AY$2:$AY$662,AY648)</f>
        <v/>
      </c>
      <c r="BC648" s="3">
        <f t="array" ref="BC648">IF(N(AO648)&gt;=MIN_N,AN648,IF(BB648&gt;=MIN_N,MEDIAN(IF($AY$2:$AY$662=AY648,$O$2:$O$662)),IF(BA648&gt;=MIN_N,MEDIAN(IF($AX$2:$AX$662=AX648,$O$2:$O$662)),MEDIAN(IF($AW$2:$AW$662=AW648,$O$2:$O$662)))))</f>
        <v/>
      </c>
      <c r="BD648" s="3">
        <f>IF(N(AO648)&gt;=MIN_N,"mercado "&amp;AP648,IF(BB648&gt;=MIN_N,"modelo+año+km",IF(BA648&gt;=MIN_N,"modelo+año","modelo")))</f>
        <v/>
      </c>
      <c r="BE648" s="4">
        <f>(BC648-O648)/BC648</f>
        <v/>
      </c>
      <c r="BF648" s="3">
        <f>IF(OR(K648="hibrido",K648="glp"),"ECO",IF(K648="electrico","CERO",IF(K648="gasolina",IF(M648&gt;=GAS_C,"C",IF(M648&gt;=GAS_B,"B","A")),IF(K648="diesel",IF(M648&gt;=DIE_C,"C",IF(M648&gt;=DIE_B,"B","A")),""))))</f>
        <v/>
      </c>
      <c r="BG648" s="3">
        <f>IFERROR(VLOOKUP(F648,MOD_TBL,11,0),IFERROR(VLOOKUP(E648,OCU_TBL,2,0),NEUTRO))</f>
        <v/>
      </c>
      <c r="BH648" s="3">
        <f>SUMIFS(MOT_AJUSTE,MOT_MOTOR,G648,MOT_MARCA,E648,MOT_DESDE,"&lt;="&amp;M648,MOT_HASTA,"&gt;="&amp;M648)+SUMIFS(MOT_AJUSTE,MOT_MOTOR,G648,MOT_MARCA,"(todas)",MOT_DESDE,"&lt;="&amp;M648,MOT_HASTA,"&gt;="&amp;M648)</f>
        <v/>
      </c>
      <c r="BI648" s="3">
        <f>SUMIFS(COMB_AJUSTE,COMB_COMB,K648)</f>
        <v/>
      </c>
      <c r="BJ648" s="3">
        <f>COUNTIFS(MOT_MOTOR,G648,MOT_MARCA,E648,MOT_DESDE,"&lt;="&amp;M648,MOT_HASTA,"&gt;="&amp;M648)+COUNTIFS(MOT_MOTOR,G648,MOT_MARCA,"(todas)",MOT_DESDE,"&lt;="&amp;M648,MOT_HASTA,"&gt;="&amp;M648)</f>
        <v/>
      </c>
      <c r="BK648" s="3">
        <f>IF(AND(K648="diesel",BJ648=0),MIN(BG648,NEUTRO),BG648)</f>
        <v/>
      </c>
      <c r="BL648" s="4">
        <f>MAX(0,MIN(100,BK648+BH648+BI648))</f>
        <v/>
      </c>
      <c r="BM648" s="3">
        <f>MAX(0,MIN(100,50+BE648*PRECIO_PEND))</f>
        <v/>
      </c>
      <c r="BN648" s="3">
        <f>MAX(0,100*(1-N648/KM_MAX))</f>
        <v/>
      </c>
      <c r="BO648" s="3">
        <f>IF(AV648&lt;KMA_SOSP,IF(AA648="sí",100,KMA_PEN),IF(AV648&lt;=KMA_IDEAL_MAX,100,MAX(0,100*(KMA_CERO-AV648)/(KMA_CERO-KMA_IDEAL_MAX))))</f>
        <v/>
      </c>
      <c r="BP648" s="3">
        <f>MAX(0,MIN(100,100*(M648-ANIO_MIN)/(ANIO_ACTUAL-ANIO_MIN)))</f>
        <v/>
      </c>
      <c r="BQ648" s="3">
        <f>W_KMT*BN648+W_KMA*BO648+W_EDAD*BP648</f>
        <v/>
      </c>
      <c r="BR648" s="3">
        <f>P_ITV*(V648="sí")+P_LIBRO*(W648="sí")+P_CORREA*(X648="sí")+P_PROP*(Y648=1)+P_GAR*(Z648="sí")+P_FOTOS*MIN(1,N(U648)/FOTOS_OBJ)</f>
        <v/>
      </c>
      <c r="BS648" s="3">
        <f>IFERROR(VLOOKUP(BF648,ETQ_TBL,2,0),NEUTRO)</f>
        <v/>
      </c>
      <c r="BT648" s="3">
        <f>NEUTRO</f>
        <v/>
      </c>
      <c r="BU648" s="3">
        <f>IFERROR(VLOOKUP(L648,SEGURO_TBL,3,0),"")</f>
        <v/>
      </c>
      <c r="BV648" s="3">
        <f>IF(BU648="",NEUTRO,MAX(0,MIN(100,100*(SEG_REF_MAX-BU648)/(SEG_REF_MAX-SEG_REF_MIN))))</f>
        <v/>
      </c>
      <c r="BW648" s="3">
        <f>W_ET*BS648+W_CONS*BT648+W_SEG*BV648</f>
        <v/>
      </c>
      <c r="BX648" s="3">
        <f>IF(N(AB648)&gt;0,AB648,IF(AND(R648="profesional",SG_LEGAL_ON=1),GAR_LEGAL,0))</f>
        <v/>
      </c>
      <c r="BY648" s="3">
        <f>SG_GAR*MIN(1,BX648/SG_GAR_FULL)+SG_AMPL*(AC648="sí")+SG_KMC*(AF648="sí")+SG_REV*(N(AE648)&gt;0)+SG_DEV*MIN(1,N(AG648)/SG_DEV_FULL)+SG_HIST*(W648="sí")</f>
        <v/>
      </c>
      <c r="BZ648" s="3">
        <f>IFERROR(VLOOKUP(L648,CARR_PEN_TBL,2,0),0)</f>
        <v/>
      </c>
      <c r="CA648" s="3">
        <f>W_FIAB*BL648+W_PRECIO*BM648+W_KMEDAD*BQ648+W_ANUNCIO*BR648+W_USO*BW648+W_SEGURIDAD*BY648-BZ648</f>
        <v/>
      </c>
      <c r="CB648" s="4">
        <f>IF(N(I648)&gt;0,I648,IFERROR(ROUND(_xlfn.NUMBERVALUE(LEFT(G648,FIND(" ",G648&amp;" ")-1),".")*1000,0),99999))</f>
        <v/>
      </c>
      <c r="CC648" s="3">
        <f>IF(R648="profesional",0,IF(O648&lt;CUOTA_VALOR_MAX,IF(AU648&gt;ITP_TRAMO_ALTO,SUMIFS(CF_CUOTA,CF_MAS,ITP_TRAMO_ALTO,CF_CCMIN,"&lt;="&amp;CB648,CF_CCMAX,"&gt;="&amp;CB648),IF(AU648&gt;ITP_TRAMO_BAJO,SUMIFS(CF_CUOTA,CF_MAS,ITP_TRAMO_BAJO,CF_CCMIN,"&lt;="&amp;CB648,CF_CCMAX,"&gt;="&amp;CB648),O648*ITP_TIPO)),O648*ITP_TIPO))</f>
        <v/>
      </c>
      <c r="CD648" s="4">
        <f>IF(R648="profesional",N(AK648),0)</f>
        <v/>
      </c>
      <c r="CE648" s="3">
        <f>IF(AND(R648="profesional",ISNUMBER(AK648),AL648="sí"),0,TASA_DGT)</f>
        <v/>
      </c>
      <c r="CF648" s="3">
        <f>INFORME_DGT</f>
        <v/>
      </c>
      <c r="CG648" s="4">
        <f>O648+CD648+CC648+CE648+CF648</f>
        <v/>
      </c>
      <c r="CH648" s="4">
        <f>CG648+N(BU648)</f>
        <v/>
      </c>
      <c r="CI648" s="3">
        <f>IF(CG648&lt;=TOTAL_MAX,"sí",IF(CG648&lt;=TOTAL_MAX+MARGEN_NEG,"negociar","no"))</f>
        <v/>
      </c>
      <c r="CJ648" s="4">
        <f>IF(CI648&lt;&gt;"no",COUNTIFS($CI$2:$CI$662,"&lt;&gt;no",$CA$2:$CA$662,"&gt;"&amp;CA648)+COUNTIFS($CI$2:CI648,"&lt;&gt;no",$CA$2:CA648,CA648),"")</f>
        <v/>
      </c>
    </row>
    <row r="649">
      <c r="A649" s="2" t="inlineStr">
        <is>
          <t>cochesnet:71874126</t>
        </is>
      </c>
      <c r="B649" s="2" t="inlineStr">
        <is>
          <t>cochesnet</t>
        </is>
      </c>
      <c r="C649" s="2" t="inlineStr">
        <is>
          <t>https://www.coches.net/suzuki-swift-13-ddis-glx-5p-5p-diesel-2007-en-castellon-71874126-covo.aspx</t>
        </is>
      </c>
      <c r="D649" s="2" t="inlineStr">
        <is>
          <t>SUZUKI Swift 1.3 DDiS GLX</t>
        </is>
      </c>
      <c r="E649" s="2" t="inlineStr">
        <is>
          <t>Suzuki</t>
        </is>
      </c>
      <c r="F649" s="2" t="inlineStr">
        <is>
          <t>Suzuki Swift</t>
        </is>
      </c>
      <c r="G649" s="2" t="inlineStr">
        <is>
          <t>1.3</t>
        </is>
      </c>
      <c r="H649" s="2" t="inlineStr">
        <is>
          <t>1.3 DDiS GLX 5p</t>
        </is>
      </c>
      <c r="I649" s="2" t="n"/>
      <c r="J649" s="2" t="n"/>
      <c r="K649" s="2" t="inlineStr">
        <is>
          <t>diesel</t>
        </is>
      </c>
      <c r="L649" s="2" t="inlineStr">
        <is>
          <t>utilitario</t>
        </is>
      </c>
      <c r="M649" s="2" t="n">
        <v>2007</v>
      </c>
      <c r="N649" s="2" t="n">
        <v>165000</v>
      </c>
      <c r="O649" s="2" t="n">
        <v>3500</v>
      </c>
      <c r="P649" s="2" t="inlineStr">
        <is>
          <t>manual</t>
        </is>
      </c>
      <c r="Q649" s="2" t="inlineStr">
        <is>
          <t>no</t>
        </is>
      </c>
      <c r="R649" s="2" t="inlineStr">
        <is>
          <t>particular</t>
        </is>
      </c>
      <c r="S649" s="2" t="inlineStr">
        <is>
          <t>Castellón de la Plana / Castelló de la Plana</t>
        </is>
      </c>
      <c r="T649" s="2" t="inlineStr">
        <is>
          <t>2026-10-30T15:29:23Z</t>
        </is>
      </c>
      <c r="U649" s="2" t="n">
        <v>9</v>
      </c>
      <c r="V649" s="2" t="inlineStr">
        <is>
          <t>sí</t>
        </is>
      </c>
      <c r="W649" s="2" t="n"/>
      <c r="X649" s="2" t="inlineStr">
        <is>
          <t>sí</t>
        </is>
      </c>
      <c r="Y649" s="2" t="n"/>
      <c r="Z649" s="2" t="inlineStr">
        <is>
          <t>no</t>
        </is>
      </c>
      <c r="AA649" s="2" t="n"/>
      <c r="AB649" s="2" t="n"/>
      <c r="AC649" s="2" t="n"/>
      <c r="AD649" s="2" t="n"/>
      <c r="AE649" s="2" t="n"/>
      <c r="AF649" s="2" t="n"/>
      <c r="AG649" s="2" t="n"/>
      <c r="AH649" s="2" t="n">
        <v>3500</v>
      </c>
      <c r="AI649" s="2" t="n"/>
      <c r="AJ649" s="2" t="n"/>
      <c r="AK649" s="2" t="n"/>
      <c r="AL649" s="2" t="n"/>
      <c r="AM649" s="2" t="n"/>
      <c r="AN649" s="2" t="n">
        <v>4000</v>
      </c>
      <c r="AO649" s="2" t="n">
        <v>4</v>
      </c>
      <c r="AP649" s="2" t="inlineStr">
        <is>
          <t>modelo+año</t>
        </is>
      </c>
      <c r="AQ649" s="2" t="n"/>
      <c r="AR649" s="2" t="inlineStr">
        <is>
          <t>cuota fija ITP: &gt;12 años, hasta 1.500 cc; diésel: motor sin fuente de fiabilidad (fiabilidad limitada a neutra); distancia no verificable (el anuncio solo indica la provincia): confirmar que está a &lt;= 70 km</t>
        </is>
      </c>
      <c r="AS649" s="2" t="inlineStr">
        <is>
          <t xml:space="preserve">Coche Nacional en perfecto estado , Funcionado perfectamente sin ningún fallo. ITV EN VIGOR ,AIRE ACONDICIONADO VA MUY BIEN , Mantenido RECIÉN hecho, FiLTROS Y ACEITE, NEUMÁTICOS NUEVOS A ESTRENAR LOS 4 . MOTOR DE CADENA . SE PUEDE VER Y PROBAR SIN NINGÚN COMPROMISO. ACEPTO CUALQUIER PRUEBA EN CUALQUIER TALLER . </t>
        </is>
      </c>
      <c r="AT649" s="2" t="inlineStr">
        <is>
          <t>https://www.coches.net/suzuki-swift-13-ddis-glx-5p-5p-diesel-2007-en-castellon-71874126-covo.aspx (window.__INITIAL_PROPS__.ad) /home/user/Alopecia/buscador-coches/raw/cochesnet/c8dfd6dcb90a7e28.json</t>
        </is>
      </c>
      <c r="AU649" s="3">
        <f>MAX(ANIO_ACTUAL-M649,0)</f>
        <v/>
      </c>
      <c r="AV649" s="4">
        <f>N649/MAX(AU649,0.5)</f>
        <v/>
      </c>
      <c r="AW649" s="4">
        <f>F649</f>
        <v/>
      </c>
      <c r="AX649" s="3">
        <f>AW649&amp;"|"&amp;INT(M649/SEG_ANIO)*SEG_ANIO</f>
        <v/>
      </c>
      <c r="AY649" s="3">
        <f>AX649&amp;"|"&amp;INT(N649/SEG_KM)*SEG_KM</f>
        <v/>
      </c>
      <c r="AZ649" s="4">
        <f>COUNTIF($AW$2:$AW$662,AW649)</f>
        <v/>
      </c>
      <c r="BA649" s="4">
        <f>COUNTIF($AX$2:$AX$662,AX649)</f>
        <v/>
      </c>
      <c r="BB649" s="4">
        <f>COUNTIF($AY$2:$AY$662,AY649)</f>
        <v/>
      </c>
      <c r="BC649" s="3">
        <f t="array" ref="BC649">IF(N(AO649)&gt;=MIN_N,AN649,IF(BB649&gt;=MIN_N,MEDIAN(IF($AY$2:$AY$662=AY649,$O$2:$O$662)),IF(BA649&gt;=MIN_N,MEDIAN(IF($AX$2:$AX$662=AX649,$O$2:$O$662)),MEDIAN(IF($AW$2:$AW$662=AW649,$O$2:$O$662)))))</f>
        <v/>
      </c>
      <c r="BD649" s="3">
        <f>IF(N(AO649)&gt;=MIN_N,"mercado "&amp;AP649,IF(BB649&gt;=MIN_N,"modelo+año+km",IF(BA649&gt;=MIN_N,"modelo+año","modelo")))</f>
        <v/>
      </c>
      <c r="BE649" s="4">
        <f>(BC649-O649)/BC649</f>
        <v/>
      </c>
      <c r="BF649" s="3">
        <f>IF(OR(K649="hibrido",K649="glp"),"ECO",IF(K649="electrico","CERO",IF(K649="gasolina",IF(M649&gt;=GAS_C,"C",IF(M649&gt;=GAS_B,"B","A")),IF(K649="diesel",IF(M649&gt;=DIE_C,"C",IF(M649&gt;=DIE_B,"B","A")),""))))</f>
        <v/>
      </c>
      <c r="BG649" s="3">
        <f>IFERROR(VLOOKUP(F649,MOD_TBL,11,0),IFERROR(VLOOKUP(E649,OCU_TBL,2,0),NEUTRO))</f>
        <v/>
      </c>
      <c r="BH649" s="3">
        <f>SUMIFS(MOT_AJUSTE,MOT_MOTOR,G649,MOT_MARCA,E649,MOT_DESDE,"&lt;="&amp;M649,MOT_HASTA,"&gt;="&amp;M649)+SUMIFS(MOT_AJUSTE,MOT_MOTOR,G649,MOT_MARCA,"(todas)",MOT_DESDE,"&lt;="&amp;M649,MOT_HASTA,"&gt;="&amp;M649)</f>
        <v/>
      </c>
      <c r="BI649" s="3">
        <f>SUMIFS(COMB_AJUSTE,COMB_COMB,K649)</f>
        <v/>
      </c>
      <c r="BJ649" s="3">
        <f>COUNTIFS(MOT_MOTOR,G649,MOT_MARCA,E649,MOT_DESDE,"&lt;="&amp;M649,MOT_HASTA,"&gt;="&amp;M649)+COUNTIFS(MOT_MOTOR,G649,MOT_MARCA,"(todas)",MOT_DESDE,"&lt;="&amp;M649,MOT_HASTA,"&gt;="&amp;M649)</f>
        <v/>
      </c>
      <c r="BK649" s="3">
        <f>IF(AND(K649="diesel",BJ649=0),MIN(BG649,NEUTRO),BG649)</f>
        <v/>
      </c>
      <c r="BL649" s="4">
        <f>MAX(0,MIN(100,BK649+BH649+BI649))</f>
        <v/>
      </c>
      <c r="BM649" s="3">
        <f>MAX(0,MIN(100,50+BE649*PRECIO_PEND))</f>
        <v/>
      </c>
      <c r="BN649" s="3">
        <f>MAX(0,100*(1-N649/KM_MAX))</f>
        <v/>
      </c>
      <c r="BO649" s="3">
        <f>IF(AV649&lt;KMA_SOSP,IF(AA649="sí",100,KMA_PEN),IF(AV649&lt;=KMA_IDEAL_MAX,100,MAX(0,100*(KMA_CERO-AV649)/(KMA_CERO-KMA_IDEAL_MAX))))</f>
        <v/>
      </c>
      <c r="BP649" s="3">
        <f>MAX(0,MIN(100,100*(M649-ANIO_MIN)/(ANIO_ACTUAL-ANIO_MIN)))</f>
        <v/>
      </c>
      <c r="BQ649" s="3">
        <f>W_KMT*BN649+W_KMA*BO649+W_EDAD*BP649</f>
        <v/>
      </c>
      <c r="BR649" s="3">
        <f>P_ITV*(V649="sí")+P_LIBRO*(W649="sí")+P_CORREA*(X649="sí")+P_PROP*(Y649=1)+P_GAR*(Z649="sí")+P_FOTOS*MIN(1,N(U649)/FOTOS_OBJ)</f>
        <v/>
      </c>
      <c r="BS649" s="3">
        <f>IFERROR(VLOOKUP(BF649,ETQ_TBL,2,0),NEUTRO)</f>
        <v/>
      </c>
      <c r="BT649" s="3">
        <f>NEUTRO</f>
        <v/>
      </c>
      <c r="BU649" s="3">
        <f>IFERROR(VLOOKUP(L649,SEGURO_TBL,3,0),"")</f>
        <v/>
      </c>
      <c r="BV649" s="3">
        <f>IF(BU649="",NEUTRO,MAX(0,MIN(100,100*(SEG_REF_MAX-BU649)/(SEG_REF_MAX-SEG_REF_MIN))))</f>
        <v/>
      </c>
      <c r="BW649" s="3">
        <f>W_ET*BS649+W_CONS*BT649+W_SEG*BV649</f>
        <v/>
      </c>
      <c r="BX649" s="3">
        <f>IF(N(AB649)&gt;0,AB649,IF(AND(R649="profesional",SG_LEGAL_ON=1),GAR_LEGAL,0))</f>
        <v/>
      </c>
      <c r="BY649" s="3">
        <f>SG_GAR*MIN(1,BX649/SG_GAR_FULL)+SG_AMPL*(AC649="sí")+SG_KMC*(AF649="sí")+SG_REV*(N(AE649)&gt;0)+SG_DEV*MIN(1,N(AG649)/SG_DEV_FULL)+SG_HIST*(W649="sí")</f>
        <v/>
      </c>
      <c r="BZ649" s="3">
        <f>IFERROR(VLOOKUP(L649,CARR_PEN_TBL,2,0),0)</f>
        <v/>
      </c>
      <c r="CA649" s="3">
        <f>W_FIAB*BL649+W_PRECIO*BM649+W_KMEDAD*BQ649+W_ANUNCIO*BR649+W_USO*BW649+W_SEGURIDAD*BY649-BZ649</f>
        <v/>
      </c>
      <c r="CB649" s="4">
        <f>IF(N(I649)&gt;0,I649,IFERROR(ROUND(_xlfn.NUMBERVALUE(LEFT(G649,FIND(" ",G649&amp;" ")-1),".")*1000,0),99999))</f>
        <v/>
      </c>
      <c r="CC649" s="3">
        <f>IF(R649="profesional",0,IF(O649&lt;CUOTA_VALOR_MAX,IF(AU649&gt;ITP_TRAMO_ALTO,SUMIFS(CF_CUOTA,CF_MAS,ITP_TRAMO_ALTO,CF_CCMIN,"&lt;="&amp;CB649,CF_CCMAX,"&gt;="&amp;CB649),IF(AU649&gt;ITP_TRAMO_BAJO,SUMIFS(CF_CUOTA,CF_MAS,ITP_TRAMO_BAJO,CF_CCMIN,"&lt;="&amp;CB649,CF_CCMAX,"&gt;="&amp;CB649),O649*ITP_TIPO)),O649*ITP_TIPO))</f>
        <v/>
      </c>
      <c r="CD649" s="4">
        <f>IF(R649="profesional",N(AK649),0)</f>
        <v/>
      </c>
      <c r="CE649" s="3">
        <f>IF(AND(R649="profesional",ISNUMBER(AK649),AL649="sí"),0,TASA_DGT)</f>
        <v/>
      </c>
      <c r="CF649" s="3">
        <f>INFORME_DGT</f>
        <v/>
      </c>
      <c r="CG649" s="4">
        <f>O649+CD649+CC649+CE649+CF649</f>
        <v/>
      </c>
      <c r="CH649" s="4">
        <f>CG649+N(BU649)</f>
        <v/>
      </c>
      <c r="CI649" s="3">
        <f>IF(CG649&lt;=TOTAL_MAX,"sí",IF(CG649&lt;=TOTAL_MAX+MARGEN_NEG,"negociar","no"))</f>
        <v/>
      </c>
      <c r="CJ649" s="4">
        <f>IF(CI649&lt;&gt;"no",COUNTIFS($CI$2:$CI$662,"&lt;&gt;no",$CA$2:$CA$662,"&gt;"&amp;CA649)+COUNTIFS($CI$2:CI649,"&lt;&gt;no",$CA$2:CA649,CA649),"")</f>
        <v/>
      </c>
    </row>
    <row r="650">
      <c r="A650" s="2" t="inlineStr">
        <is>
          <t>cochesnet:71561708</t>
        </is>
      </c>
      <c r="B650" s="2" t="inlineStr">
        <is>
          <t>cochesnet</t>
        </is>
      </c>
      <c r="C650" s="2" t="inlineStr">
        <is>
          <t>https://www.coches.net/mitsubishi-colt-gasolina-2006-en-castellon-71561708-covo.aspx</t>
        </is>
      </c>
      <c r="D650" s="2" t="inlineStr">
        <is>
          <t>MITSUBISHI Colt 1.1 12v Inform</t>
        </is>
      </c>
      <c r="E650" s="2" t="inlineStr">
        <is>
          <t>Mitsubishi</t>
        </is>
      </c>
      <c r="F650" s="2" t="inlineStr">
        <is>
          <t>Mitsubishi Colt</t>
        </is>
      </c>
      <c r="G650" s="2" t="inlineStr">
        <is>
          <t>1.1</t>
        </is>
      </c>
      <c r="H650" s="2" t="inlineStr">
        <is>
          <t>1.1 12v Inform</t>
        </is>
      </c>
      <c r="I650" s="2" t="n"/>
      <c r="J650" s="2" t="n"/>
      <c r="K650" s="2" t="inlineStr">
        <is>
          <t>gasolina</t>
        </is>
      </c>
      <c r="L650" s="2" t="inlineStr">
        <is>
          <t>utilitario</t>
        </is>
      </c>
      <c r="M650" s="2" t="n">
        <v>2006</v>
      </c>
      <c r="N650" s="2" t="n">
        <v>179000</v>
      </c>
      <c r="O650" s="2" t="n">
        <v>2300</v>
      </c>
      <c r="P650" s="2" t="inlineStr">
        <is>
          <t>manual</t>
        </is>
      </c>
      <c r="Q650" s="2" t="inlineStr">
        <is>
          <t>no</t>
        </is>
      </c>
      <c r="R650" s="2" t="inlineStr">
        <is>
          <t>particular</t>
        </is>
      </c>
      <c r="S650" s="2" t="n"/>
      <c r="T650" s="2" t="inlineStr">
        <is>
          <t>2026-09-21T10:13:25Z</t>
        </is>
      </c>
      <c r="U650" s="2" t="n">
        <v>6</v>
      </c>
      <c r="V650" s="2" t="inlineStr">
        <is>
          <t>sí</t>
        </is>
      </c>
      <c r="W650" s="2" t="n"/>
      <c r="X650" s="2" t="n"/>
      <c r="Y650" s="2" t="n"/>
      <c r="Z650" s="2" t="inlineStr">
        <is>
          <t>no</t>
        </is>
      </c>
      <c r="AA650" s="2" t="n"/>
      <c r="AB650" s="2" t="n"/>
      <c r="AC650" s="2" t="n"/>
      <c r="AD650" s="2" t="n"/>
      <c r="AE650" s="2" t="n"/>
      <c r="AF650" s="2" t="n"/>
      <c r="AG650" s="2" t="n"/>
      <c r="AH650" s="2" t="n">
        <v>2300</v>
      </c>
      <c r="AI650" s="2" t="n"/>
      <c r="AJ650" s="2" t="n"/>
      <c r="AK650" s="2" t="n"/>
      <c r="AL650" s="2" t="n"/>
      <c r="AM650" s="2" t="n"/>
      <c r="AN650" s="2" t="n">
        <v>2600</v>
      </c>
      <c r="AO650" s="2" t="n">
        <v>5</v>
      </c>
      <c r="AP650" s="2" t="inlineStr">
        <is>
          <t>modelo+año</t>
        </is>
      </c>
      <c r="AQ650" s="2" t="n"/>
      <c r="AR650" s="2" t="inlineStr">
        <is>
          <t>cuota fija ITP: &gt;12 años, hasta 1.500 cc; distancia no verificable (el anuncio solo indica la provincia): confirmar que está a &lt;= 70 km; fiabilidad del modelo PENDIENTE de fuente (puntuación neutra)</t>
        </is>
      </c>
      <c r="AS650" s="2" t="inlineStr">
        <is>
          <t xml:space="preserve">hola vendo Mitsubishi colt c63 1.100 gasolina con cadena  funciona perfectamente en general
ITV hasta marzo 2027
aceite y filtros cambiado hace unos meses ruedas nuevas
precio 2300 euros algo negociable </t>
        </is>
      </c>
      <c r="AT650" s="2" t="inlineStr">
        <is>
          <t>https://www.coches.net/mitsubishi-colt-gasolina-2006-en-castellon-71561708-covo.aspx (window.__INITIAL_PROPS__.ad) /home/user/Alopecia/buscador-coches/raw/cochesnet/8a973001cc8244d1.json</t>
        </is>
      </c>
      <c r="AU650" s="3">
        <f>MAX(ANIO_ACTUAL-M650,0)</f>
        <v/>
      </c>
      <c r="AV650" s="4">
        <f>N650/MAX(AU650,0.5)</f>
        <v/>
      </c>
      <c r="AW650" s="4">
        <f>F650</f>
        <v/>
      </c>
      <c r="AX650" s="3">
        <f>AW650&amp;"|"&amp;INT(M650/SEG_ANIO)*SEG_ANIO</f>
        <v/>
      </c>
      <c r="AY650" s="3">
        <f>AX650&amp;"|"&amp;INT(N650/SEG_KM)*SEG_KM</f>
        <v/>
      </c>
      <c r="AZ650" s="4">
        <f>COUNTIF($AW$2:$AW$662,AW650)</f>
        <v/>
      </c>
      <c r="BA650" s="4">
        <f>COUNTIF($AX$2:$AX$662,AX650)</f>
        <v/>
      </c>
      <c r="BB650" s="4">
        <f>COUNTIF($AY$2:$AY$662,AY650)</f>
        <v/>
      </c>
      <c r="BC650" s="3">
        <f t="array" ref="BC650">IF(N(AO650)&gt;=MIN_N,AN650,IF(BB650&gt;=MIN_N,MEDIAN(IF($AY$2:$AY$662=AY650,$O$2:$O$662)),IF(BA650&gt;=MIN_N,MEDIAN(IF($AX$2:$AX$662=AX650,$O$2:$O$662)),MEDIAN(IF($AW$2:$AW$662=AW650,$O$2:$O$662)))))</f>
        <v/>
      </c>
      <c r="BD650" s="3">
        <f>IF(N(AO650)&gt;=MIN_N,"mercado "&amp;AP650,IF(BB650&gt;=MIN_N,"modelo+año+km",IF(BA650&gt;=MIN_N,"modelo+año","modelo")))</f>
        <v/>
      </c>
      <c r="BE650" s="4">
        <f>(BC650-O650)/BC650</f>
        <v/>
      </c>
      <c r="BF650" s="3">
        <f>IF(OR(K650="hibrido",K650="glp"),"ECO",IF(K650="electrico","CERO",IF(K650="gasolina",IF(M650&gt;=GAS_C,"C",IF(M650&gt;=GAS_B,"B","A")),IF(K650="diesel",IF(M650&gt;=DIE_C,"C",IF(M650&gt;=DIE_B,"B","A")),""))))</f>
        <v/>
      </c>
      <c r="BG650" s="3">
        <f>IFERROR(VLOOKUP(F650,MOD_TBL,11,0),IFERROR(VLOOKUP(E650,OCU_TBL,2,0),NEUTRO))</f>
        <v/>
      </c>
      <c r="BH650" s="3">
        <f>SUMIFS(MOT_AJUSTE,MOT_MOTOR,G650,MOT_MARCA,E650,MOT_DESDE,"&lt;="&amp;M650,MOT_HASTA,"&gt;="&amp;M650)+SUMIFS(MOT_AJUSTE,MOT_MOTOR,G650,MOT_MARCA,"(todas)",MOT_DESDE,"&lt;="&amp;M650,MOT_HASTA,"&gt;="&amp;M650)</f>
        <v/>
      </c>
      <c r="BI650" s="3">
        <f>SUMIFS(COMB_AJUSTE,COMB_COMB,K650)</f>
        <v/>
      </c>
      <c r="BJ650" s="3">
        <f>COUNTIFS(MOT_MOTOR,G650,MOT_MARCA,E650,MOT_DESDE,"&lt;="&amp;M650,MOT_HASTA,"&gt;="&amp;M650)+COUNTIFS(MOT_MOTOR,G650,MOT_MARCA,"(todas)",MOT_DESDE,"&lt;="&amp;M650,MOT_HASTA,"&gt;="&amp;M650)</f>
        <v/>
      </c>
      <c r="BK650" s="3">
        <f>IF(AND(K650="diesel",BJ650=0),MIN(BG650,NEUTRO),BG650)</f>
        <v/>
      </c>
      <c r="BL650" s="4">
        <f>MAX(0,MIN(100,BK650+BH650+BI650))</f>
        <v/>
      </c>
      <c r="BM650" s="3">
        <f>MAX(0,MIN(100,50+BE650*PRECIO_PEND))</f>
        <v/>
      </c>
      <c r="BN650" s="3">
        <f>MAX(0,100*(1-N650/KM_MAX))</f>
        <v/>
      </c>
      <c r="BO650" s="3">
        <f>IF(AV650&lt;KMA_SOSP,IF(AA650="sí",100,KMA_PEN),IF(AV650&lt;=KMA_IDEAL_MAX,100,MAX(0,100*(KMA_CERO-AV650)/(KMA_CERO-KMA_IDEAL_MAX))))</f>
        <v/>
      </c>
      <c r="BP650" s="3">
        <f>MAX(0,MIN(100,100*(M650-ANIO_MIN)/(ANIO_ACTUAL-ANIO_MIN)))</f>
        <v/>
      </c>
      <c r="BQ650" s="3">
        <f>W_KMT*BN650+W_KMA*BO650+W_EDAD*BP650</f>
        <v/>
      </c>
      <c r="BR650" s="3">
        <f>P_ITV*(V650="sí")+P_LIBRO*(W650="sí")+P_CORREA*(X650="sí")+P_PROP*(Y650=1)+P_GAR*(Z650="sí")+P_FOTOS*MIN(1,N(U650)/FOTOS_OBJ)</f>
        <v/>
      </c>
      <c r="BS650" s="3">
        <f>IFERROR(VLOOKUP(BF650,ETQ_TBL,2,0),NEUTRO)</f>
        <v/>
      </c>
      <c r="BT650" s="3">
        <f>NEUTRO</f>
        <v/>
      </c>
      <c r="BU650" s="3">
        <f>IFERROR(VLOOKUP(L650,SEGURO_TBL,3,0),"")</f>
        <v/>
      </c>
      <c r="BV650" s="3">
        <f>IF(BU650="",NEUTRO,MAX(0,MIN(100,100*(SEG_REF_MAX-BU650)/(SEG_REF_MAX-SEG_REF_MIN))))</f>
        <v/>
      </c>
      <c r="BW650" s="3">
        <f>W_ET*BS650+W_CONS*BT650+W_SEG*BV650</f>
        <v/>
      </c>
      <c r="BX650" s="3">
        <f>IF(N(AB650)&gt;0,AB650,IF(AND(R650="profesional",SG_LEGAL_ON=1),GAR_LEGAL,0))</f>
        <v/>
      </c>
      <c r="BY650" s="3">
        <f>SG_GAR*MIN(1,BX650/SG_GAR_FULL)+SG_AMPL*(AC650="sí")+SG_KMC*(AF650="sí")+SG_REV*(N(AE650)&gt;0)+SG_DEV*MIN(1,N(AG650)/SG_DEV_FULL)+SG_HIST*(W650="sí")</f>
        <v/>
      </c>
      <c r="BZ650" s="3">
        <f>IFERROR(VLOOKUP(L650,CARR_PEN_TBL,2,0),0)</f>
        <v/>
      </c>
      <c r="CA650" s="3">
        <f>W_FIAB*BL650+W_PRECIO*BM650+W_KMEDAD*BQ650+W_ANUNCIO*BR650+W_USO*BW650+W_SEGURIDAD*BY650-BZ650</f>
        <v/>
      </c>
      <c r="CB650" s="4">
        <f>IF(N(I650)&gt;0,I650,IFERROR(ROUND(_xlfn.NUMBERVALUE(LEFT(G650,FIND(" ",G650&amp;" ")-1),".")*1000,0),99999))</f>
        <v/>
      </c>
      <c r="CC650" s="3">
        <f>IF(R650="profesional",0,IF(O650&lt;CUOTA_VALOR_MAX,IF(AU650&gt;ITP_TRAMO_ALTO,SUMIFS(CF_CUOTA,CF_MAS,ITP_TRAMO_ALTO,CF_CCMIN,"&lt;="&amp;CB650,CF_CCMAX,"&gt;="&amp;CB650),IF(AU650&gt;ITP_TRAMO_BAJO,SUMIFS(CF_CUOTA,CF_MAS,ITP_TRAMO_BAJO,CF_CCMIN,"&lt;="&amp;CB650,CF_CCMAX,"&gt;="&amp;CB650),O650*ITP_TIPO)),O650*ITP_TIPO))</f>
        <v/>
      </c>
      <c r="CD650" s="4">
        <f>IF(R650="profesional",N(AK650),0)</f>
        <v/>
      </c>
      <c r="CE650" s="3">
        <f>IF(AND(R650="profesional",ISNUMBER(AK650),AL650="sí"),0,TASA_DGT)</f>
        <v/>
      </c>
      <c r="CF650" s="3">
        <f>INFORME_DGT</f>
        <v/>
      </c>
      <c r="CG650" s="4">
        <f>O650+CD650+CC650+CE650+CF650</f>
        <v/>
      </c>
      <c r="CH650" s="4">
        <f>CG650+N(BU650)</f>
        <v/>
      </c>
      <c r="CI650" s="3">
        <f>IF(CG650&lt;=TOTAL_MAX,"sí",IF(CG650&lt;=TOTAL_MAX+MARGEN_NEG,"negociar","no"))</f>
        <v/>
      </c>
      <c r="CJ650" s="4">
        <f>IF(CI650&lt;&gt;"no",COUNTIFS($CI$2:$CI$662,"&lt;&gt;no",$CA$2:$CA$662,"&gt;"&amp;CA650)+COUNTIFS($CI$2:CI650,"&lt;&gt;no",$CA$2:CA650,CA650),"")</f>
        <v/>
      </c>
    </row>
    <row r="651">
      <c r="A651" s="2" t="inlineStr">
        <is>
          <t>cochesnet:71260271</t>
        </is>
      </c>
      <c r="B651" s="2" t="inlineStr">
        <is>
          <t>cochesnet</t>
        </is>
      </c>
      <c r="C651" s="2" t="inlineStr">
        <is>
          <t>https://www.coches.net/audi-a3-sportback-19-tdi-ambition-dpf-5p-diesel-2006-en-castellon-71260271-covo.aspx</t>
        </is>
      </c>
      <c r="D651" s="2" t="inlineStr">
        <is>
          <t>AUDI A3 Sportback 1.9 TDI Ambition DPF</t>
        </is>
      </c>
      <c r="E651" s="2" t="inlineStr">
        <is>
          <t>Audi</t>
        </is>
      </c>
      <c r="F651" s="2" t="inlineStr">
        <is>
          <t>Audi A3</t>
        </is>
      </c>
      <c r="G651" s="2" t="inlineStr">
        <is>
          <t>1.9 TDI</t>
        </is>
      </c>
      <c r="H651" s="2" t="inlineStr">
        <is>
          <t>Sportback 1.9 TDI Ambition DPF</t>
        </is>
      </c>
      <c r="I651" s="2" t="n"/>
      <c r="J651" s="2" t="n"/>
      <c r="K651" s="2" t="inlineStr">
        <is>
          <t>diesel</t>
        </is>
      </c>
      <c r="L651" s="2" t="inlineStr">
        <is>
          <t>compacto</t>
        </is>
      </c>
      <c r="M651" s="2" t="n">
        <v>2006</v>
      </c>
      <c r="N651" s="2" t="n">
        <v>36700</v>
      </c>
      <c r="O651" s="2" t="n">
        <v>4200</v>
      </c>
      <c r="P651" s="2" t="inlineStr">
        <is>
          <t>manual</t>
        </is>
      </c>
      <c r="Q651" s="2" t="inlineStr">
        <is>
          <t>no</t>
        </is>
      </c>
      <c r="R651" s="2" t="inlineStr">
        <is>
          <t>particular</t>
        </is>
      </c>
      <c r="S651" s="2" t="inlineStr">
        <is>
          <t>Segorbe</t>
        </is>
      </c>
      <c r="T651" s="2" t="inlineStr">
        <is>
          <t>2026-08-10T01:53:03Z</t>
        </is>
      </c>
      <c r="U651" s="2" t="n"/>
      <c r="V651" s="2" t="n"/>
      <c r="W651" s="2" t="n"/>
      <c r="X651" s="2" t="n"/>
      <c r="Y651" s="2" t="n"/>
      <c r="Z651" s="2" t="inlineStr">
        <is>
          <t>no</t>
        </is>
      </c>
      <c r="AA651" s="2" t="n"/>
      <c r="AB651" s="2" t="n"/>
      <c r="AC651" s="2" t="n"/>
      <c r="AD651" s="2" t="n"/>
      <c r="AE651" s="2" t="n"/>
      <c r="AF651" s="2" t="n"/>
      <c r="AG651" s="2" t="n"/>
      <c r="AH651" s="2" t="n">
        <v>4200</v>
      </c>
      <c r="AI651" s="2" t="n"/>
      <c r="AJ651" s="2" t="n"/>
      <c r="AK651" s="2" t="n"/>
      <c r="AL651" s="2" t="n"/>
      <c r="AM651" s="2" t="n">
        <v>43.4</v>
      </c>
      <c r="AN651" s="2" t="n">
        <v>3000</v>
      </c>
      <c r="AO651" s="2" t="n">
        <v>5</v>
      </c>
      <c r="AP651" s="2" t="inlineStr">
        <is>
          <t>modelo+año+km</t>
        </is>
      </c>
      <c r="AQ651" s="2" t="n"/>
      <c r="AR651" s="2" t="inlineStr">
        <is>
          <t>cuota fija ITP: &gt;12 años, 1.501-2.000 cc; diésel: motor sin fuente de fiabilidad (fiabilidad limitada a neutra); fiabilidad del modelo PENDIENTE de fuente (puntuación neutra)</t>
        </is>
      </c>
      <c r="AS651" s="2" t="inlineStr"/>
      <c r="AT651" s="2" t="inlineStr">
        <is>
          <t>https://www.coches.net/audi-a3-sportback-19-tdi-ambition-dpf-5p-diesel-2006-en-castellon-71260271-covo.aspx (window.__INITIAL_PROPS__.ad) /home/user/Alopecia/buscador-coches/raw/cochesnet/4a6db624c5d6a328.json</t>
        </is>
      </c>
      <c r="AU651" s="3">
        <f>MAX(ANIO_ACTUAL-M651,0)</f>
        <v/>
      </c>
      <c r="AV651" s="4">
        <f>N651/MAX(AU651,0.5)</f>
        <v/>
      </c>
      <c r="AW651" s="4">
        <f>F651</f>
        <v/>
      </c>
      <c r="AX651" s="3">
        <f>AW651&amp;"|"&amp;INT(M651/SEG_ANIO)*SEG_ANIO</f>
        <v/>
      </c>
      <c r="AY651" s="3">
        <f>AX651&amp;"|"&amp;INT(N651/SEG_KM)*SEG_KM</f>
        <v/>
      </c>
      <c r="AZ651" s="4">
        <f>COUNTIF($AW$2:$AW$662,AW651)</f>
        <v/>
      </c>
      <c r="BA651" s="4">
        <f>COUNTIF($AX$2:$AX$662,AX651)</f>
        <v/>
      </c>
      <c r="BB651" s="4">
        <f>COUNTIF($AY$2:$AY$662,AY651)</f>
        <v/>
      </c>
      <c r="BC651" s="3">
        <f t="array" ref="BC651">IF(N(AO651)&gt;=MIN_N,AN651,IF(BB651&gt;=MIN_N,MEDIAN(IF($AY$2:$AY$662=AY651,$O$2:$O$662)),IF(BA651&gt;=MIN_N,MEDIAN(IF($AX$2:$AX$662=AX651,$O$2:$O$662)),MEDIAN(IF($AW$2:$AW$662=AW651,$O$2:$O$662)))))</f>
        <v/>
      </c>
      <c r="BD651" s="3">
        <f>IF(N(AO651)&gt;=MIN_N,"mercado "&amp;AP651,IF(BB651&gt;=MIN_N,"modelo+año+km",IF(BA651&gt;=MIN_N,"modelo+año","modelo")))</f>
        <v/>
      </c>
      <c r="BE651" s="4">
        <f>(BC651-O651)/BC651</f>
        <v/>
      </c>
      <c r="BF651" s="3">
        <f>IF(OR(K651="hibrido",K651="glp"),"ECO",IF(K651="electrico","CERO",IF(K651="gasolina",IF(M651&gt;=GAS_C,"C",IF(M651&gt;=GAS_B,"B","A")),IF(K651="diesel",IF(M651&gt;=DIE_C,"C",IF(M651&gt;=DIE_B,"B","A")),""))))</f>
        <v/>
      </c>
      <c r="BG651" s="3">
        <f>IFERROR(VLOOKUP(F651,MOD_TBL,11,0),IFERROR(VLOOKUP(E651,OCU_TBL,2,0),NEUTRO))</f>
        <v/>
      </c>
      <c r="BH651" s="3">
        <f>SUMIFS(MOT_AJUSTE,MOT_MOTOR,G651,MOT_MARCA,E651,MOT_DESDE,"&lt;="&amp;M651,MOT_HASTA,"&gt;="&amp;M651)+SUMIFS(MOT_AJUSTE,MOT_MOTOR,G651,MOT_MARCA,"(todas)",MOT_DESDE,"&lt;="&amp;M651,MOT_HASTA,"&gt;="&amp;M651)</f>
        <v/>
      </c>
      <c r="BI651" s="3">
        <f>SUMIFS(COMB_AJUSTE,COMB_COMB,K651)</f>
        <v/>
      </c>
      <c r="BJ651" s="3">
        <f>COUNTIFS(MOT_MOTOR,G651,MOT_MARCA,E651,MOT_DESDE,"&lt;="&amp;M651,MOT_HASTA,"&gt;="&amp;M651)+COUNTIFS(MOT_MOTOR,G651,MOT_MARCA,"(todas)",MOT_DESDE,"&lt;="&amp;M651,MOT_HASTA,"&gt;="&amp;M651)</f>
        <v/>
      </c>
      <c r="BK651" s="3">
        <f>IF(AND(K651="diesel",BJ651=0),MIN(BG651,NEUTRO),BG651)</f>
        <v/>
      </c>
      <c r="BL651" s="4">
        <f>MAX(0,MIN(100,BK651+BH651+BI651))</f>
        <v/>
      </c>
      <c r="BM651" s="3">
        <f>MAX(0,MIN(100,50+BE651*PRECIO_PEND))</f>
        <v/>
      </c>
      <c r="BN651" s="3">
        <f>MAX(0,100*(1-N651/KM_MAX))</f>
        <v/>
      </c>
      <c r="BO651" s="3">
        <f>IF(AV651&lt;KMA_SOSP,IF(AA651="sí",100,KMA_PEN),IF(AV651&lt;=KMA_IDEAL_MAX,100,MAX(0,100*(KMA_CERO-AV651)/(KMA_CERO-KMA_IDEAL_MAX))))</f>
        <v/>
      </c>
      <c r="BP651" s="3">
        <f>MAX(0,MIN(100,100*(M651-ANIO_MIN)/(ANIO_ACTUAL-ANIO_MIN)))</f>
        <v/>
      </c>
      <c r="BQ651" s="3">
        <f>W_KMT*BN651+W_KMA*BO651+W_EDAD*BP651</f>
        <v/>
      </c>
      <c r="BR651" s="3">
        <f>P_ITV*(V651="sí")+P_LIBRO*(W651="sí")+P_CORREA*(X651="sí")+P_PROP*(Y651=1)+P_GAR*(Z651="sí")+P_FOTOS*MIN(1,N(U651)/FOTOS_OBJ)</f>
        <v/>
      </c>
      <c r="BS651" s="3">
        <f>IFERROR(VLOOKUP(BF651,ETQ_TBL,2,0),NEUTRO)</f>
        <v/>
      </c>
      <c r="BT651" s="3">
        <f>NEUTRO</f>
        <v/>
      </c>
      <c r="BU651" s="3">
        <f>IFERROR(VLOOKUP(L651,SEGURO_TBL,3,0),"")</f>
        <v/>
      </c>
      <c r="BV651" s="3">
        <f>IF(BU651="",NEUTRO,MAX(0,MIN(100,100*(SEG_REF_MAX-BU651)/(SEG_REF_MAX-SEG_REF_MIN))))</f>
        <v/>
      </c>
      <c r="BW651" s="3">
        <f>W_ET*BS651+W_CONS*BT651+W_SEG*BV651</f>
        <v/>
      </c>
      <c r="BX651" s="3">
        <f>IF(N(AB651)&gt;0,AB651,IF(AND(R651="profesional",SG_LEGAL_ON=1),GAR_LEGAL,0))</f>
        <v/>
      </c>
      <c r="BY651" s="3">
        <f>SG_GAR*MIN(1,BX651/SG_GAR_FULL)+SG_AMPL*(AC651="sí")+SG_KMC*(AF651="sí")+SG_REV*(N(AE651)&gt;0)+SG_DEV*MIN(1,N(AG651)/SG_DEV_FULL)+SG_HIST*(W651="sí")</f>
        <v/>
      </c>
      <c r="BZ651" s="3">
        <f>IFERROR(VLOOKUP(L651,CARR_PEN_TBL,2,0),0)</f>
        <v/>
      </c>
      <c r="CA651" s="3">
        <f>W_FIAB*BL651+W_PRECIO*BM651+W_KMEDAD*BQ651+W_ANUNCIO*BR651+W_USO*BW651+W_SEGURIDAD*BY651-BZ651</f>
        <v/>
      </c>
      <c r="CB651" s="4">
        <f>IF(N(I651)&gt;0,I651,IFERROR(ROUND(_xlfn.NUMBERVALUE(LEFT(G651,FIND(" ",G651&amp;" ")-1),".")*1000,0),99999))</f>
        <v/>
      </c>
      <c r="CC651" s="3">
        <f>IF(R651="profesional",0,IF(O651&lt;CUOTA_VALOR_MAX,IF(AU651&gt;ITP_TRAMO_ALTO,SUMIFS(CF_CUOTA,CF_MAS,ITP_TRAMO_ALTO,CF_CCMIN,"&lt;="&amp;CB651,CF_CCMAX,"&gt;="&amp;CB651),IF(AU651&gt;ITP_TRAMO_BAJO,SUMIFS(CF_CUOTA,CF_MAS,ITP_TRAMO_BAJO,CF_CCMIN,"&lt;="&amp;CB651,CF_CCMAX,"&gt;="&amp;CB651),O651*ITP_TIPO)),O651*ITP_TIPO))</f>
        <v/>
      </c>
      <c r="CD651" s="4">
        <f>IF(R651="profesional",N(AK651),0)</f>
        <v/>
      </c>
      <c r="CE651" s="3">
        <f>IF(AND(R651="profesional",ISNUMBER(AK651),AL651="sí"),0,TASA_DGT)</f>
        <v/>
      </c>
      <c r="CF651" s="3">
        <f>INFORME_DGT</f>
        <v/>
      </c>
      <c r="CG651" s="4">
        <f>O651+CD651+CC651+CE651+CF651</f>
        <v/>
      </c>
      <c r="CH651" s="4">
        <f>CG651+N(BU651)</f>
        <v/>
      </c>
      <c r="CI651" s="3">
        <f>IF(CG651&lt;=TOTAL_MAX,"sí",IF(CG651&lt;=TOTAL_MAX+MARGEN_NEG,"negociar","no"))</f>
        <v/>
      </c>
      <c r="CJ651" s="4">
        <f>IF(CI651&lt;&gt;"no",COUNTIFS($CI$2:$CI$662,"&lt;&gt;no",$CA$2:$CA$662,"&gt;"&amp;CA651)+COUNTIFS($CI$2:CI651,"&lt;&gt;no",$CA$2:CA651,CA651),"")</f>
        <v/>
      </c>
    </row>
    <row r="652">
      <c r="A652" s="2" t="inlineStr">
        <is>
          <t>cochesnet:71617678</t>
        </is>
      </c>
      <c r="B652" s="2" t="inlineStr">
        <is>
          <t>cochesnet</t>
        </is>
      </c>
      <c r="C652" s="2" t="inlineStr">
        <is>
          <t>https://www.coches.net/mini-mini-gasolina-2010-en-castellon-71617678-covo.aspx</t>
        </is>
      </c>
      <c r="D652" s="2" t="inlineStr">
        <is>
          <t>MINI MINI</t>
        </is>
      </c>
      <c r="E652" s="2" t="inlineStr">
        <is>
          <t>MINI</t>
        </is>
      </c>
      <c r="F652" s="2" t="inlineStr">
        <is>
          <t>MINI MINI</t>
        </is>
      </c>
      <c r="G652" s="2" t="n"/>
      <c r="H652" s="2" t="n"/>
      <c r="I652" s="2" t="n"/>
      <c r="J652" s="2" t="n"/>
      <c r="K652" s="2" t="inlineStr">
        <is>
          <t>gasolina</t>
        </is>
      </c>
      <c r="L652" s="2" t="inlineStr">
        <is>
          <t>utilitario</t>
        </is>
      </c>
      <c r="M652" s="2" t="n">
        <v>2010</v>
      </c>
      <c r="N652" s="2" t="n">
        <v>204444</v>
      </c>
      <c r="O652" s="2" t="n">
        <v>4500</v>
      </c>
      <c r="P652" s="2" t="inlineStr">
        <is>
          <t>manual</t>
        </is>
      </c>
      <c r="Q652" s="2" t="inlineStr">
        <is>
          <t>no</t>
        </is>
      </c>
      <c r="R652" s="2" t="inlineStr">
        <is>
          <t>particular</t>
        </is>
      </c>
      <c r="S652" s="2" t="n"/>
      <c r="T652" s="2" t="inlineStr">
        <is>
          <t>2026-09-28T15:41:56Z</t>
        </is>
      </c>
      <c r="U652" s="2" t="n">
        <v>8</v>
      </c>
      <c r="V652" s="2" t="n"/>
      <c r="W652" s="2" t="n"/>
      <c r="X652" s="2" t="n"/>
      <c r="Y652" s="2" t="n"/>
      <c r="Z652" s="2" t="inlineStr">
        <is>
          <t>no</t>
        </is>
      </c>
      <c r="AA652" s="2" t="n"/>
      <c r="AB652" s="2" t="n"/>
      <c r="AC652" s="2" t="n"/>
      <c r="AD652" s="2" t="n"/>
      <c r="AE652" s="2" t="n"/>
      <c r="AF652" s="2" t="n"/>
      <c r="AG652" s="2" t="n"/>
      <c r="AH652" s="2" t="n">
        <v>4500</v>
      </c>
      <c r="AI652" s="2" t="n"/>
      <c r="AJ652" s="2" t="n"/>
      <c r="AK652" s="2" t="n"/>
      <c r="AL652" s="2" t="n"/>
      <c r="AM652" s="2" t="n"/>
      <c r="AN652" s="2" t="n">
        <v>6125</v>
      </c>
      <c r="AO652" s="2" t="n">
        <v>6</v>
      </c>
      <c r="AP652" s="2" t="inlineStr">
        <is>
          <t>modelo+año+km</t>
        </is>
      </c>
      <c r="AQ652" s="2" t="n"/>
      <c r="AR652"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652" s="2" t="inlineStr">
        <is>
          <t xml:space="preserve">total mente operativo
 ITV aldia 
mecánicanicamente excelente </t>
        </is>
      </c>
      <c r="AT652" s="2" t="inlineStr">
        <is>
          <t>https://www.coches.net/mini-mini-gasolina-2010-en-castellon-71617678-covo.aspx (window.__INITIAL_PROPS__.ad) /home/user/Alopecia/buscador-coches/raw/cochesnet/acef01e7b01e126f.json</t>
        </is>
      </c>
      <c r="AU652" s="3">
        <f>MAX(ANIO_ACTUAL-M652,0)</f>
        <v/>
      </c>
      <c r="AV652" s="4">
        <f>N652/MAX(AU652,0.5)</f>
        <v/>
      </c>
      <c r="AW652" s="4">
        <f>F652</f>
        <v/>
      </c>
      <c r="AX652" s="3">
        <f>AW652&amp;"|"&amp;INT(M652/SEG_ANIO)*SEG_ANIO</f>
        <v/>
      </c>
      <c r="AY652" s="3">
        <f>AX652&amp;"|"&amp;INT(N652/SEG_KM)*SEG_KM</f>
        <v/>
      </c>
      <c r="AZ652" s="4">
        <f>COUNTIF($AW$2:$AW$662,AW652)</f>
        <v/>
      </c>
      <c r="BA652" s="4">
        <f>COUNTIF($AX$2:$AX$662,AX652)</f>
        <v/>
      </c>
      <c r="BB652" s="4">
        <f>COUNTIF($AY$2:$AY$662,AY652)</f>
        <v/>
      </c>
      <c r="BC652" s="3">
        <f t="array" ref="BC652">IF(N(AO652)&gt;=MIN_N,AN652,IF(BB652&gt;=MIN_N,MEDIAN(IF($AY$2:$AY$662=AY652,$O$2:$O$662)),IF(BA652&gt;=MIN_N,MEDIAN(IF($AX$2:$AX$662=AX652,$O$2:$O$662)),MEDIAN(IF($AW$2:$AW$662=AW652,$O$2:$O$662)))))</f>
        <v/>
      </c>
      <c r="BD652" s="3">
        <f>IF(N(AO652)&gt;=MIN_N,"mercado "&amp;AP652,IF(BB652&gt;=MIN_N,"modelo+año+km",IF(BA652&gt;=MIN_N,"modelo+año","modelo")))</f>
        <v/>
      </c>
      <c r="BE652" s="4">
        <f>(BC652-O652)/BC652</f>
        <v/>
      </c>
      <c r="BF652" s="3">
        <f>IF(OR(K652="hibrido",K652="glp"),"ECO",IF(K652="electrico","CERO",IF(K652="gasolina",IF(M652&gt;=GAS_C,"C",IF(M652&gt;=GAS_B,"B","A")),IF(K652="diesel",IF(M652&gt;=DIE_C,"C",IF(M652&gt;=DIE_B,"B","A")),""))))</f>
        <v/>
      </c>
      <c r="BG652" s="3">
        <f>IFERROR(VLOOKUP(F652,MOD_TBL,11,0),IFERROR(VLOOKUP(E652,OCU_TBL,2,0),NEUTRO))</f>
        <v/>
      </c>
      <c r="BH652" s="3">
        <f>SUMIFS(MOT_AJUSTE,MOT_MOTOR,G652,MOT_MARCA,E652,MOT_DESDE,"&lt;="&amp;M652,MOT_HASTA,"&gt;="&amp;M652)+SUMIFS(MOT_AJUSTE,MOT_MOTOR,G652,MOT_MARCA,"(todas)",MOT_DESDE,"&lt;="&amp;M652,MOT_HASTA,"&gt;="&amp;M652)</f>
        <v/>
      </c>
      <c r="BI652" s="3">
        <f>SUMIFS(COMB_AJUSTE,COMB_COMB,K652)</f>
        <v/>
      </c>
      <c r="BJ652" s="3">
        <f>COUNTIFS(MOT_MOTOR,G652,MOT_MARCA,E652,MOT_DESDE,"&lt;="&amp;M652,MOT_HASTA,"&gt;="&amp;M652)+COUNTIFS(MOT_MOTOR,G652,MOT_MARCA,"(todas)",MOT_DESDE,"&lt;="&amp;M652,MOT_HASTA,"&gt;="&amp;M652)</f>
        <v/>
      </c>
      <c r="BK652" s="3">
        <f>IF(AND(K652="diesel",BJ652=0),MIN(BG652,NEUTRO),BG652)</f>
        <v/>
      </c>
      <c r="BL652" s="4">
        <f>MAX(0,MIN(100,BK652+BH652+BI652))</f>
        <v/>
      </c>
      <c r="BM652" s="3">
        <f>MAX(0,MIN(100,50+BE652*PRECIO_PEND))</f>
        <v/>
      </c>
      <c r="BN652" s="3">
        <f>MAX(0,100*(1-N652/KM_MAX))</f>
        <v/>
      </c>
      <c r="BO652" s="3">
        <f>IF(AV652&lt;KMA_SOSP,IF(AA652="sí",100,KMA_PEN),IF(AV652&lt;=KMA_IDEAL_MAX,100,MAX(0,100*(KMA_CERO-AV652)/(KMA_CERO-KMA_IDEAL_MAX))))</f>
        <v/>
      </c>
      <c r="BP652" s="3">
        <f>MAX(0,MIN(100,100*(M652-ANIO_MIN)/(ANIO_ACTUAL-ANIO_MIN)))</f>
        <v/>
      </c>
      <c r="BQ652" s="3">
        <f>W_KMT*BN652+W_KMA*BO652+W_EDAD*BP652</f>
        <v/>
      </c>
      <c r="BR652" s="3">
        <f>P_ITV*(V652="sí")+P_LIBRO*(W652="sí")+P_CORREA*(X652="sí")+P_PROP*(Y652=1)+P_GAR*(Z652="sí")+P_FOTOS*MIN(1,N(U652)/FOTOS_OBJ)</f>
        <v/>
      </c>
      <c r="BS652" s="3">
        <f>IFERROR(VLOOKUP(BF652,ETQ_TBL,2,0),NEUTRO)</f>
        <v/>
      </c>
      <c r="BT652" s="3">
        <f>NEUTRO</f>
        <v/>
      </c>
      <c r="BU652" s="3">
        <f>IFERROR(VLOOKUP(L652,SEGURO_TBL,3,0),"")</f>
        <v/>
      </c>
      <c r="BV652" s="3">
        <f>IF(BU652="",NEUTRO,MAX(0,MIN(100,100*(SEG_REF_MAX-BU652)/(SEG_REF_MAX-SEG_REF_MIN))))</f>
        <v/>
      </c>
      <c r="BW652" s="3">
        <f>W_ET*BS652+W_CONS*BT652+W_SEG*BV652</f>
        <v/>
      </c>
      <c r="BX652" s="3">
        <f>IF(N(AB652)&gt;0,AB652,IF(AND(R652="profesional",SG_LEGAL_ON=1),GAR_LEGAL,0))</f>
        <v/>
      </c>
      <c r="BY652" s="3">
        <f>SG_GAR*MIN(1,BX652/SG_GAR_FULL)+SG_AMPL*(AC652="sí")+SG_KMC*(AF652="sí")+SG_REV*(N(AE652)&gt;0)+SG_DEV*MIN(1,N(AG652)/SG_DEV_FULL)+SG_HIST*(W652="sí")</f>
        <v/>
      </c>
      <c r="BZ652" s="3">
        <f>IFERROR(VLOOKUP(L652,CARR_PEN_TBL,2,0),0)</f>
        <v/>
      </c>
      <c r="CA652" s="3">
        <f>W_FIAB*BL652+W_PRECIO*BM652+W_KMEDAD*BQ652+W_ANUNCIO*BR652+W_USO*BW652+W_SEGURIDAD*BY652-BZ652</f>
        <v/>
      </c>
      <c r="CB652" s="4">
        <f>IF(N(I652)&gt;0,I652,IFERROR(ROUND(_xlfn.NUMBERVALUE(LEFT(G652,FIND(" ",G652&amp;" ")-1),".")*1000,0),99999))</f>
        <v/>
      </c>
      <c r="CC652" s="3">
        <f>IF(R652="profesional",0,IF(O652&lt;CUOTA_VALOR_MAX,IF(AU652&gt;ITP_TRAMO_ALTO,SUMIFS(CF_CUOTA,CF_MAS,ITP_TRAMO_ALTO,CF_CCMIN,"&lt;="&amp;CB652,CF_CCMAX,"&gt;="&amp;CB652),IF(AU652&gt;ITP_TRAMO_BAJO,SUMIFS(CF_CUOTA,CF_MAS,ITP_TRAMO_BAJO,CF_CCMIN,"&lt;="&amp;CB652,CF_CCMAX,"&gt;="&amp;CB652),O652*ITP_TIPO)),O652*ITP_TIPO))</f>
        <v/>
      </c>
      <c r="CD652" s="4">
        <f>IF(R652="profesional",N(AK652),0)</f>
        <v/>
      </c>
      <c r="CE652" s="3">
        <f>IF(AND(R652="profesional",ISNUMBER(AK652),AL652="sí"),0,TASA_DGT)</f>
        <v/>
      </c>
      <c r="CF652" s="3">
        <f>INFORME_DGT</f>
        <v/>
      </c>
      <c r="CG652" s="4">
        <f>O652+CD652+CC652+CE652+CF652</f>
        <v/>
      </c>
      <c r="CH652" s="4">
        <f>CG652+N(BU652)</f>
        <v/>
      </c>
      <c r="CI652" s="3">
        <f>IF(CG652&lt;=TOTAL_MAX,"sí",IF(CG652&lt;=TOTAL_MAX+MARGEN_NEG,"negociar","no"))</f>
        <v/>
      </c>
      <c r="CJ652" s="4">
        <f>IF(CI652&lt;&gt;"no",COUNTIFS($CI$2:$CI$662,"&lt;&gt;no",$CA$2:$CA$662,"&gt;"&amp;CA652)+COUNTIFS($CI$2:CI652,"&lt;&gt;no",$CA$2:CA652,CA652),"")</f>
        <v/>
      </c>
    </row>
    <row r="653">
      <c r="A653" s="2" t="inlineStr">
        <is>
          <t>cochesnet:71575875</t>
        </is>
      </c>
      <c r="B653" s="2" t="inlineStr">
        <is>
          <t>cochesnet</t>
        </is>
      </c>
      <c r="C653" s="2" t="inlineStr">
        <is>
          <t>https://www.coches.net/mini-mini-gasolina-2010-en-castellon-71575875-covo.aspx</t>
        </is>
      </c>
      <c r="D653" s="2" t="inlineStr">
        <is>
          <t>MINI MINI</t>
        </is>
      </c>
      <c r="E653" s="2" t="inlineStr">
        <is>
          <t>MINI</t>
        </is>
      </c>
      <c r="F653" s="2" t="inlineStr">
        <is>
          <t>MINI MINI</t>
        </is>
      </c>
      <c r="G653" s="2" t="n"/>
      <c r="H653" s="2" t="n"/>
      <c r="I653" s="2" t="n"/>
      <c r="J653" s="2" t="n"/>
      <c r="K653" s="2" t="inlineStr">
        <is>
          <t>gasolina</t>
        </is>
      </c>
      <c r="L653" s="2" t="inlineStr">
        <is>
          <t>utilitario</t>
        </is>
      </c>
      <c r="M653" s="2" t="n">
        <v>2010</v>
      </c>
      <c r="N653" s="2" t="n">
        <v>205000</v>
      </c>
      <c r="O653" s="2" t="n">
        <v>4000</v>
      </c>
      <c r="P653" s="2" t="inlineStr">
        <is>
          <t>manual</t>
        </is>
      </c>
      <c r="Q653" s="2" t="inlineStr">
        <is>
          <t>no</t>
        </is>
      </c>
      <c r="R653" s="2" t="inlineStr">
        <is>
          <t>particular</t>
        </is>
      </c>
      <c r="S653" s="2" t="n"/>
      <c r="T653" s="2" t="inlineStr">
        <is>
          <t>2026-09-22T17:59:00Z</t>
        </is>
      </c>
      <c r="U653" s="2" t="n">
        <v>7</v>
      </c>
      <c r="V653" s="2" t="inlineStr">
        <is>
          <t>sí</t>
        </is>
      </c>
      <c r="W653" s="2" t="n"/>
      <c r="X653" s="2" t="n"/>
      <c r="Y653" s="2" t="n"/>
      <c r="Z653" s="2" t="inlineStr">
        <is>
          <t>no</t>
        </is>
      </c>
      <c r="AA653" s="2" t="n"/>
      <c r="AB653" s="2" t="n"/>
      <c r="AC653" s="2" t="n"/>
      <c r="AD653" s="2" t="n"/>
      <c r="AE653" s="2" t="n"/>
      <c r="AF653" s="2" t="n"/>
      <c r="AG653" s="2" t="n"/>
      <c r="AH653" s="2" t="n">
        <v>4000</v>
      </c>
      <c r="AI653" s="2" t="n"/>
      <c r="AJ653" s="2" t="n"/>
      <c r="AK653" s="2" t="n"/>
      <c r="AL653" s="2" t="n"/>
      <c r="AM653" s="2" t="n"/>
      <c r="AN653" s="2" t="n">
        <v>6125</v>
      </c>
      <c r="AO653" s="2" t="n">
        <v>6</v>
      </c>
      <c r="AP653" s="2" t="inlineStr">
        <is>
          <t>modelo+año+km</t>
        </is>
      </c>
      <c r="AQ653" s="2" t="n"/>
      <c r="AR653"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653" s="2" t="inlineStr">
        <is>
          <t xml:space="preserve">MINI One (2010) – Todo hecho / ITV 2027  
?Vehículo en excelente estado, cuidado al detalle y listo para rodar sin gastos a corto plazo.  
?Mantenimiento recién realizado:
?Distribución y correa auxiliar hechas.  
?Embrague nuevo.  
?Cambio de aceite y filtro recientísimo.  
?ITV en vigor hasta marzo de 2027.  
??? 205.000 km | Año 2010 | Motor 1.4 Gasolina
?Se acepta prueba mecánica sin compromiso. ¡Contacta para más información!  </t>
        </is>
      </c>
      <c r="AT653" s="2" t="inlineStr">
        <is>
          <t>https://www.coches.net/mini-mini-gasolina-2010-en-castellon-71575875-covo.aspx (window.__INITIAL_PROPS__.ad) /home/user/Alopecia/buscador-coches/raw/cochesnet/74c775dd61689160.json</t>
        </is>
      </c>
      <c r="AU653" s="3">
        <f>MAX(ANIO_ACTUAL-M653,0)</f>
        <v/>
      </c>
      <c r="AV653" s="4">
        <f>N653/MAX(AU653,0.5)</f>
        <v/>
      </c>
      <c r="AW653" s="4">
        <f>F653</f>
        <v/>
      </c>
      <c r="AX653" s="3">
        <f>AW653&amp;"|"&amp;INT(M653/SEG_ANIO)*SEG_ANIO</f>
        <v/>
      </c>
      <c r="AY653" s="3">
        <f>AX653&amp;"|"&amp;INT(N653/SEG_KM)*SEG_KM</f>
        <v/>
      </c>
      <c r="AZ653" s="4">
        <f>COUNTIF($AW$2:$AW$662,AW653)</f>
        <v/>
      </c>
      <c r="BA653" s="4">
        <f>COUNTIF($AX$2:$AX$662,AX653)</f>
        <v/>
      </c>
      <c r="BB653" s="4">
        <f>COUNTIF($AY$2:$AY$662,AY653)</f>
        <v/>
      </c>
      <c r="BC653" s="3">
        <f t="array" ref="BC653">IF(N(AO653)&gt;=MIN_N,AN653,IF(BB653&gt;=MIN_N,MEDIAN(IF($AY$2:$AY$662=AY653,$O$2:$O$662)),IF(BA653&gt;=MIN_N,MEDIAN(IF($AX$2:$AX$662=AX653,$O$2:$O$662)),MEDIAN(IF($AW$2:$AW$662=AW653,$O$2:$O$662)))))</f>
        <v/>
      </c>
      <c r="BD653" s="3">
        <f>IF(N(AO653)&gt;=MIN_N,"mercado "&amp;AP653,IF(BB653&gt;=MIN_N,"modelo+año+km",IF(BA653&gt;=MIN_N,"modelo+año","modelo")))</f>
        <v/>
      </c>
      <c r="BE653" s="4">
        <f>(BC653-O653)/BC653</f>
        <v/>
      </c>
      <c r="BF653" s="3">
        <f>IF(OR(K653="hibrido",K653="glp"),"ECO",IF(K653="electrico","CERO",IF(K653="gasolina",IF(M653&gt;=GAS_C,"C",IF(M653&gt;=GAS_B,"B","A")),IF(K653="diesel",IF(M653&gt;=DIE_C,"C",IF(M653&gt;=DIE_B,"B","A")),""))))</f>
        <v/>
      </c>
      <c r="BG653" s="3">
        <f>IFERROR(VLOOKUP(F653,MOD_TBL,11,0),IFERROR(VLOOKUP(E653,OCU_TBL,2,0),NEUTRO))</f>
        <v/>
      </c>
      <c r="BH653" s="3">
        <f>SUMIFS(MOT_AJUSTE,MOT_MOTOR,G653,MOT_MARCA,E653,MOT_DESDE,"&lt;="&amp;M653,MOT_HASTA,"&gt;="&amp;M653)+SUMIFS(MOT_AJUSTE,MOT_MOTOR,G653,MOT_MARCA,"(todas)",MOT_DESDE,"&lt;="&amp;M653,MOT_HASTA,"&gt;="&amp;M653)</f>
        <v/>
      </c>
      <c r="BI653" s="3">
        <f>SUMIFS(COMB_AJUSTE,COMB_COMB,K653)</f>
        <v/>
      </c>
      <c r="BJ653" s="3">
        <f>COUNTIFS(MOT_MOTOR,G653,MOT_MARCA,E653,MOT_DESDE,"&lt;="&amp;M653,MOT_HASTA,"&gt;="&amp;M653)+COUNTIFS(MOT_MOTOR,G653,MOT_MARCA,"(todas)",MOT_DESDE,"&lt;="&amp;M653,MOT_HASTA,"&gt;="&amp;M653)</f>
        <v/>
      </c>
      <c r="BK653" s="3">
        <f>IF(AND(K653="diesel",BJ653=0),MIN(BG653,NEUTRO),BG653)</f>
        <v/>
      </c>
      <c r="BL653" s="4">
        <f>MAX(0,MIN(100,BK653+BH653+BI653))</f>
        <v/>
      </c>
      <c r="BM653" s="3">
        <f>MAX(0,MIN(100,50+BE653*PRECIO_PEND))</f>
        <v/>
      </c>
      <c r="BN653" s="3">
        <f>MAX(0,100*(1-N653/KM_MAX))</f>
        <v/>
      </c>
      <c r="BO653" s="3">
        <f>IF(AV653&lt;KMA_SOSP,IF(AA653="sí",100,KMA_PEN),IF(AV653&lt;=KMA_IDEAL_MAX,100,MAX(0,100*(KMA_CERO-AV653)/(KMA_CERO-KMA_IDEAL_MAX))))</f>
        <v/>
      </c>
      <c r="BP653" s="3">
        <f>MAX(0,MIN(100,100*(M653-ANIO_MIN)/(ANIO_ACTUAL-ANIO_MIN)))</f>
        <v/>
      </c>
      <c r="BQ653" s="3">
        <f>W_KMT*BN653+W_KMA*BO653+W_EDAD*BP653</f>
        <v/>
      </c>
      <c r="BR653" s="3">
        <f>P_ITV*(V653="sí")+P_LIBRO*(W653="sí")+P_CORREA*(X653="sí")+P_PROP*(Y653=1)+P_GAR*(Z653="sí")+P_FOTOS*MIN(1,N(U653)/FOTOS_OBJ)</f>
        <v/>
      </c>
      <c r="BS653" s="3">
        <f>IFERROR(VLOOKUP(BF653,ETQ_TBL,2,0),NEUTRO)</f>
        <v/>
      </c>
      <c r="BT653" s="3">
        <f>NEUTRO</f>
        <v/>
      </c>
      <c r="BU653" s="3">
        <f>IFERROR(VLOOKUP(L653,SEGURO_TBL,3,0),"")</f>
        <v/>
      </c>
      <c r="BV653" s="3">
        <f>IF(BU653="",NEUTRO,MAX(0,MIN(100,100*(SEG_REF_MAX-BU653)/(SEG_REF_MAX-SEG_REF_MIN))))</f>
        <v/>
      </c>
      <c r="BW653" s="3">
        <f>W_ET*BS653+W_CONS*BT653+W_SEG*BV653</f>
        <v/>
      </c>
      <c r="BX653" s="3">
        <f>IF(N(AB653)&gt;0,AB653,IF(AND(R653="profesional",SG_LEGAL_ON=1),GAR_LEGAL,0))</f>
        <v/>
      </c>
      <c r="BY653" s="3">
        <f>SG_GAR*MIN(1,BX653/SG_GAR_FULL)+SG_AMPL*(AC653="sí")+SG_KMC*(AF653="sí")+SG_REV*(N(AE653)&gt;0)+SG_DEV*MIN(1,N(AG653)/SG_DEV_FULL)+SG_HIST*(W653="sí")</f>
        <v/>
      </c>
      <c r="BZ653" s="3">
        <f>IFERROR(VLOOKUP(L653,CARR_PEN_TBL,2,0),0)</f>
        <v/>
      </c>
      <c r="CA653" s="3">
        <f>W_FIAB*BL653+W_PRECIO*BM653+W_KMEDAD*BQ653+W_ANUNCIO*BR653+W_USO*BW653+W_SEGURIDAD*BY653-BZ653</f>
        <v/>
      </c>
      <c r="CB653" s="4">
        <f>IF(N(I653)&gt;0,I653,IFERROR(ROUND(_xlfn.NUMBERVALUE(LEFT(G653,FIND(" ",G653&amp;" ")-1),".")*1000,0),99999))</f>
        <v/>
      </c>
      <c r="CC653" s="3">
        <f>IF(R653="profesional",0,IF(O653&lt;CUOTA_VALOR_MAX,IF(AU653&gt;ITP_TRAMO_ALTO,SUMIFS(CF_CUOTA,CF_MAS,ITP_TRAMO_ALTO,CF_CCMIN,"&lt;="&amp;CB653,CF_CCMAX,"&gt;="&amp;CB653),IF(AU653&gt;ITP_TRAMO_BAJO,SUMIFS(CF_CUOTA,CF_MAS,ITP_TRAMO_BAJO,CF_CCMIN,"&lt;="&amp;CB653,CF_CCMAX,"&gt;="&amp;CB653),O653*ITP_TIPO)),O653*ITP_TIPO))</f>
        <v/>
      </c>
      <c r="CD653" s="4">
        <f>IF(R653="profesional",N(AK653),0)</f>
        <v/>
      </c>
      <c r="CE653" s="3">
        <f>IF(AND(R653="profesional",ISNUMBER(AK653),AL653="sí"),0,TASA_DGT)</f>
        <v/>
      </c>
      <c r="CF653" s="3">
        <f>INFORME_DGT</f>
        <v/>
      </c>
      <c r="CG653" s="4">
        <f>O653+CD653+CC653+CE653+CF653</f>
        <v/>
      </c>
      <c r="CH653" s="4">
        <f>CG653+N(BU653)</f>
        <v/>
      </c>
      <c r="CI653" s="3">
        <f>IF(CG653&lt;=TOTAL_MAX,"sí",IF(CG653&lt;=TOTAL_MAX+MARGEN_NEG,"negociar","no"))</f>
        <v/>
      </c>
      <c r="CJ653" s="4">
        <f>IF(CI653&lt;&gt;"no",COUNTIFS($CI$2:$CI$662,"&lt;&gt;no",$CA$2:$CA$662,"&gt;"&amp;CA653)+COUNTIFS($CI$2:CI653,"&lt;&gt;no",$CA$2:CA653,CA653),"")</f>
        <v/>
      </c>
    </row>
    <row r="654">
      <c r="A654" s="2" t="inlineStr">
        <is>
          <t>cochesnet:71405848</t>
        </is>
      </c>
      <c r="B654" s="2" t="inlineStr">
        <is>
          <t>cochesnet</t>
        </is>
      </c>
      <c r="C654" s="2" t="inlineStr">
        <is>
          <t>https://www.coches.net/mini-mini-one-3p-gasolina-2011-en-castellon-71405848-covo.aspx</t>
        </is>
      </c>
      <c r="D654" s="2" t="inlineStr">
        <is>
          <t>MINI MINI One</t>
        </is>
      </c>
      <c r="E654" s="2" t="inlineStr">
        <is>
          <t>MINI</t>
        </is>
      </c>
      <c r="F654" s="2" t="inlineStr">
        <is>
          <t>MINI MINI</t>
        </is>
      </c>
      <c r="G654" s="2" t="n"/>
      <c r="H654" s="2" t="inlineStr">
        <is>
          <t>One</t>
        </is>
      </c>
      <c r="I654" s="2" t="n"/>
      <c r="J654" s="2" t="n"/>
      <c r="K654" s="2" t="inlineStr">
        <is>
          <t>gasolina</t>
        </is>
      </c>
      <c r="L654" s="2" t="inlineStr">
        <is>
          <t>utilitario</t>
        </is>
      </c>
      <c r="M654" s="2" t="n">
        <v>2011</v>
      </c>
      <c r="N654" s="2" t="n">
        <v>170000</v>
      </c>
      <c r="O654" s="2" t="n">
        <v>5000</v>
      </c>
      <c r="P654" s="2" t="inlineStr">
        <is>
          <t>manual</t>
        </is>
      </c>
      <c r="Q654" s="2" t="inlineStr">
        <is>
          <t>no</t>
        </is>
      </c>
      <c r="R654" s="2" t="inlineStr">
        <is>
          <t>particular</t>
        </is>
      </c>
      <c r="S654" s="2" t="inlineStr">
        <is>
          <t>La Vall d'Uixó</t>
        </is>
      </c>
      <c r="T654" s="2" t="inlineStr">
        <is>
          <t>2026-09-01T07:25:34Z</t>
        </is>
      </c>
      <c r="U654" s="2" t="n">
        <v>2</v>
      </c>
      <c r="V654" s="2" t="n"/>
      <c r="W654" s="2" t="n"/>
      <c r="X654" s="2" t="n"/>
      <c r="Y654" s="2" t="n"/>
      <c r="Z654" s="2" t="inlineStr">
        <is>
          <t>no</t>
        </is>
      </c>
      <c r="AA654" s="2" t="n"/>
      <c r="AB654" s="2" t="n"/>
      <c r="AC654" s="2" t="n"/>
      <c r="AD654" s="2" t="n"/>
      <c r="AE654" s="2" t="n"/>
      <c r="AF654" s="2" t="n"/>
      <c r="AG654" s="2" t="n"/>
      <c r="AH654" s="2" t="n">
        <v>5000</v>
      </c>
      <c r="AI654" s="2" t="n"/>
      <c r="AJ654" s="2" t="n"/>
      <c r="AK654" s="2" t="n"/>
      <c r="AL654" s="2" t="n"/>
      <c r="AM654" s="2" t="n">
        <v>41.5</v>
      </c>
      <c r="AN654" s="2" t="n">
        <v>7650</v>
      </c>
      <c r="AO654" s="2" t="n">
        <v>16</v>
      </c>
      <c r="AP654" s="2" t="inlineStr">
        <is>
          <t>modelo+año+km</t>
        </is>
      </c>
      <c r="AQ654" s="2" t="n"/>
      <c r="AR654" s="2" t="inlineStr">
        <is>
          <t>por encima del presupuesto (5204 €), negociar; cilindrada desconocida: se aplica el tramo de cuota fija más alto; cuota fija ITP: &gt;12 años, más de 2.000 cc; fiabilidad del modelo PENDIENTE de fuente (puntuación neutra)</t>
        </is>
      </c>
      <c r="AS654" s="2" t="inlineStr"/>
      <c r="AT654" s="2" t="inlineStr">
        <is>
          <t>https://www.coches.net/mini-mini-one-3p-gasolina-2011-en-castellon-71405848-covo.aspx (window.__INITIAL_PROPS__.ad) /home/user/Alopecia/buscador-coches/raw/cochesnet/cea6927167672808.json</t>
        </is>
      </c>
      <c r="AU654" s="3">
        <f>MAX(ANIO_ACTUAL-M654,0)</f>
        <v/>
      </c>
      <c r="AV654" s="4">
        <f>N654/MAX(AU654,0.5)</f>
        <v/>
      </c>
      <c r="AW654" s="4">
        <f>F654</f>
        <v/>
      </c>
      <c r="AX654" s="3">
        <f>AW654&amp;"|"&amp;INT(M654/SEG_ANIO)*SEG_ANIO</f>
        <v/>
      </c>
      <c r="AY654" s="3">
        <f>AX654&amp;"|"&amp;INT(N654/SEG_KM)*SEG_KM</f>
        <v/>
      </c>
      <c r="AZ654" s="4">
        <f>COUNTIF($AW$2:$AW$662,AW654)</f>
        <v/>
      </c>
      <c r="BA654" s="4">
        <f>COUNTIF($AX$2:$AX$662,AX654)</f>
        <v/>
      </c>
      <c r="BB654" s="4">
        <f>COUNTIF($AY$2:$AY$662,AY654)</f>
        <v/>
      </c>
      <c r="BC654" s="3">
        <f t="array" ref="BC654">IF(N(AO654)&gt;=MIN_N,AN654,IF(BB654&gt;=MIN_N,MEDIAN(IF($AY$2:$AY$662=AY654,$O$2:$O$662)),IF(BA654&gt;=MIN_N,MEDIAN(IF($AX$2:$AX$662=AX654,$O$2:$O$662)),MEDIAN(IF($AW$2:$AW$662=AW654,$O$2:$O$662)))))</f>
        <v/>
      </c>
      <c r="BD654" s="3">
        <f>IF(N(AO654)&gt;=MIN_N,"mercado "&amp;AP654,IF(BB654&gt;=MIN_N,"modelo+año+km",IF(BA654&gt;=MIN_N,"modelo+año","modelo")))</f>
        <v/>
      </c>
      <c r="BE654" s="4">
        <f>(BC654-O654)/BC654</f>
        <v/>
      </c>
      <c r="BF654" s="3">
        <f>IF(OR(K654="hibrido",K654="glp"),"ECO",IF(K654="electrico","CERO",IF(K654="gasolina",IF(M654&gt;=GAS_C,"C",IF(M654&gt;=GAS_B,"B","A")),IF(K654="diesel",IF(M654&gt;=DIE_C,"C",IF(M654&gt;=DIE_B,"B","A")),""))))</f>
        <v/>
      </c>
      <c r="BG654" s="3">
        <f>IFERROR(VLOOKUP(F654,MOD_TBL,11,0),IFERROR(VLOOKUP(E654,OCU_TBL,2,0),NEUTRO))</f>
        <v/>
      </c>
      <c r="BH654" s="3">
        <f>SUMIFS(MOT_AJUSTE,MOT_MOTOR,G654,MOT_MARCA,E654,MOT_DESDE,"&lt;="&amp;M654,MOT_HASTA,"&gt;="&amp;M654)+SUMIFS(MOT_AJUSTE,MOT_MOTOR,G654,MOT_MARCA,"(todas)",MOT_DESDE,"&lt;="&amp;M654,MOT_HASTA,"&gt;="&amp;M654)</f>
        <v/>
      </c>
      <c r="BI654" s="3">
        <f>SUMIFS(COMB_AJUSTE,COMB_COMB,K654)</f>
        <v/>
      </c>
      <c r="BJ654" s="3">
        <f>COUNTIFS(MOT_MOTOR,G654,MOT_MARCA,E654,MOT_DESDE,"&lt;="&amp;M654,MOT_HASTA,"&gt;="&amp;M654)+COUNTIFS(MOT_MOTOR,G654,MOT_MARCA,"(todas)",MOT_DESDE,"&lt;="&amp;M654,MOT_HASTA,"&gt;="&amp;M654)</f>
        <v/>
      </c>
      <c r="BK654" s="3">
        <f>IF(AND(K654="diesel",BJ654=0),MIN(BG654,NEUTRO),BG654)</f>
        <v/>
      </c>
      <c r="BL654" s="4">
        <f>MAX(0,MIN(100,BK654+BH654+BI654))</f>
        <v/>
      </c>
      <c r="BM654" s="3">
        <f>MAX(0,MIN(100,50+BE654*PRECIO_PEND))</f>
        <v/>
      </c>
      <c r="BN654" s="3">
        <f>MAX(0,100*(1-N654/KM_MAX))</f>
        <v/>
      </c>
      <c r="BO654" s="3">
        <f>IF(AV654&lt;KMA_SOSP,IF(AA654="sí",100,KMA_PEN),IF(AV654&lt;=KMA_IDEAL_MAX,100,MAX(0,100*(KMA_CERO-AV654)/(KMA_CERO-KMA_IDEAL_MAX))))</f>
        <v/>
      </c>
      <c r="BP654" s="3">
        <f>MAX(0,MIN(100,100*(M654-ANIO_MIN)/(ANIO_ACTUAL-ANIO_MIN)))</f>
        <v/>
      </c>
      <c r="BQ654" s="3">
        <f>W_KMT*BN654+W_KMA*BO654+W_EDAD*BP654</f>
        <v/>
      </c>
      <c r="BR654" s="3">
        <f>P_ITV*(V654="sí")+P_LIBRO*(W654="sí")+P_CORREA*(X654="sí")+P_PROP*(Y654=1)+P_GAR*(Z654="sí")+P_FOTOS*MIN(1,N(U654)/FOTOS_OBJ)</f>
        <v/>
      </c>
      <c r="BS654" s="3">
        <f>IFERROR(VLOOKUP(BF654,ETQ_TBL,2,0),NEUTRO)</f>
        <v/>
      </c>
      <c r="BT654" s="3">
        <f>NEUTRO</f>
        <v/>
      </c>
      <c r="BU654" s="3">
        <f>IFERROR(VLOOKUP(L654,SEGURO_TBL,3,0),"")</f>
        <v/>
      </c>
      <c r="BV654" s="3">
        <f>IF(BU654="",NEUTRO,MAX(0,MIN(100,100*(SEG_REF_MAX-BU654)/(SEG_REF_MAX-SEG_REF_MIN))))</f>
        <v/>
      </c>
      <c r="BW654" s="3">
        <f>W_ET*BS654+W_CONS*BT654+W_SEG*BV654</f>
        <v/>
      </c>
      <c r="BX654" s="3">
        <f>IF(N(AB654)&gt;0,AB654,IF(AND(R654="profesional",SG_LEGAL_ON=1),GAR_LEGAL,0))</f>
        <v/>
      </c>
      <c r="BY654" s="3">
        <f>SG_GAR*MIN(1,BX654/SG_GAR_FULL)+SG_AMPL*(AC654="sí")+SG_KMC*(AF654="sí")+SG_REV*(N(AE654)&gt;0)+SG_DEV*MIN(1,N(AG654)/SG_DEV_FULL)+SG_HIST*(W654="sí")</f>
        <v/>
      </c>
      <c r="BZ654" s="3">
        <f>IFERROR(VLOOKUP(L654,CARR_PEN_TBL,2,0),0)</f>
        <v/>
      </c>
      <c r="CA654" s="3">
        <f>W_FIAB*BL654+W_PRECIO*BM654+W_KMEDAD*BQ654+W_ANUNCIO*BR654+W_USO*BW654+W_SEGURIDAD*BY654-BZ654</f>
        <v/>
      </c>
      <c r="CB654" s="4">
        <f>IF(N(I654)&gt;0,I654,IFERROR(ROUND(_xlfn.NUMBERVALUE(LEFT(G654,FIND(" ",G654&amp;" ")-1),".")*1000,0),99999))</f>
        <v/>
      </c>
      <c r="CC654" s="3">
        <f>IF(R654="profesional",0,IF(O654&lt;CUOTA_VALOR_MAX,IF(AU654&gt;ITP_TRAMO_ALTO,SUMIFS(CF_CUOTA,CF_MAS,ITP_TRAMO_ALTO,CF_CCMIN,"&lt;="&amp;CB654,CF_CCMAX,"&gt;="&amp;CB654),IF(AU654&gt;ITP_TRAMO_BAJO,SUMIFS(CF_CUOTA,CF_MAS,ITP_TRAMO_BAJO,CF_CCMIN,"&lt;="&amp;CB654,CF_CCMAX,"&gt;="&amp;CB654),O654*ITP_TIPO)),O654*ITP_TIPO))</f>
        <v/>
      </c>
      <c r="CD654" s="4">
        <f>IF(R654="profesional",N(AK654),0)</f>
        <v/>
      </c>
      <c r="CE654" s="3">
        <f>IF(AND(R654="profesional",ISNUMBER(AK654),AL654="sí"),0,TASA_DGT)</f>
        <v/>
      </c>
      <c r="CF654" s="3">
        <f>INFORME_DGT</f>
        <v/>
      </c>
      <c r="CG654" s="4">
        <f>O654+CD654+CC654+CE654+CF654</f>
        <v/>
      </c>
      <c r="CH654" s="4">
        <f>CG654+N(BU654)</f>
        <v/>
      </c>
      <c r="CI654" s="3">
        <f>IF(CG654&lt;=TOTAL_MAX,"sí",IF(CG654&lt;=TOTAL_MAX+MARGEN_NEG,"negociar","no"))</f>
        <v/>
      </c>
      <c r="CJ654" s="4">
        <f>IF(CI654&lt;&gt;"no",COUNTIFS($CI$2:$CI$662,"&lt;&gt;no",$CA$2:$CA$662,"&gt;"&amp;CA654)+COUNTIFS($CI$2:CI654,"&lt;&gt;no",$CA$2:CA654,CA654),"")</f>
        <v/>
      </c>
    </row>
    <row r="655">
      <c r="A655" s="2" t="inlineStr">
        <is>
          <t>cochesnet:71354523</t>
        </is>
      </c>
      <c r="B655" s="2" t="inlineStr">
        <is>
          <t>cochesnet</t>
        </is>
      </c>
      <c r="C655" s="2" t="inlineStr">
        <is>
          <t>https://www.coches.net/mini-mini-one-d-3p-diesel-2006-en-castellon-71354523-covo.aspx</t>
        </is>
      </c>
      <c r="D655" s="2" t="inlineStr">
        <is>
          <t>MINI MINI One D</t>
        </is>
      </c>
      <c r="E655" s="2" t="inlineStr">
        <is>
          <t>MINI</t>
        </is>
      </c>
      <c r="F655" s="2" t="inlineStr">
        <is>
          <t>MINI MINI</t>
        </is>
      </c>
      <c r="G655" s="2" t="n"/>
      <c r="H655" s="2" t="inlineStr">
        <is>
          <t>One D</t>
        </is>
      </c>
      <c r="I655" s="2" t="n"/>
      <c r="J655" s="2" t="n"/>
      <c r="K655" s="2" t="inlineStr">
        <is>
          <t>diesel</t>
        </is>
      </c>
      <c r="L655" s="2" t="inlineStr">
        <is>
          <t>utilitario</t>
        </is>
      </c>
      <c r="M655" s="2" t="n">
        <v>2006</v>
      </c>
      <c r="N655" s="2" t="n">
        <v>186000</v>
      </c>
      <c r="O655" s="2" t="n">
        <v>4800</v>
      </c>
      <c r="P655" s="2" t="inlineStr">
        <is>
          <t>manual</t>
        </is>
      </c>
      <c r="Q655" s="2" t="inlineStr">
        <is>
          <t>no</t>
        </is>
      </c>
      <c r="R655" s="2" t="inlineStr">
        <is>
          <t>particular</t>
        </is>
      </c>
      <c r="S655" s="2" t="inlineStr">
        <is>
          <t>Castellón de la Plana / Castelló de la Plana</t>
        </is>
      </c>
      <c r="T655" s="2" t="inlineStr">
        <is>
          <t>2026-08-24T17:47:07Z</t>
        </is>
      </c>
      <c r="U655" s="2" t="n">
        <v>14</v>
      </c>
      <c r="V655" s="2" t="inlineStr">
        <is>
          <t>sí</t>
        </is>
      </c>
      <c r="W655" s="2" t="n"/>
      <c r="X655" s="2" t="n"/>
      <c r="Y655" s="2" t="n"/>
      <c r="Z655" s="2" t="inlineStr">
        <is>
          <t>no</t>
        </is>
      </c>
      <c r="AA655" s="2" t="n"/>
      <c r="AB655" s="2" t="n"/>
      <c r="AC655" s="2" t="n"/>
      <c r="AD655" s="2" t="n"/>
      <c r="AE655" s="2" t="n"/>
      <c r="AF655" s="2" t="n"/>
      <c r="AG655" s="2" t="n"/>
      <c r="AH655" s="2" t="n">
        <v>4800</v>
      </c>
      <c r="AI655" s="2" t="n"/>
      <c r="AJ655" s="2" t="n"/>
      <c r="AK655" s="2" t="n"/>
      <c r="AL655" s="2" t="n"/>
      <c r="AM655" s="2" t="n"/>
      <c r="AN655" s="2" t="n">
        <v>4650</v>
      </c>
      <c r="AO655" s="2" t="n">
        <v>6</v>
      </c>
      <c r="AP655" s="2" t="inlineStr">
        <is>
          <t>modelo+año+km</t>
        </is>
      </c>
      <c r="AQ655" s="2" t="n"/>
      <c r="AR655" s="2" t="inlineStr">
        <is>
          <t>por encima del presupuesto (5004 €), negociar; cilindrada desconocida: se aplica el tramo de cuota fija más alto; cuota fija ITP: &gt;12 años, más de 2.000 cc; diésel: motor sin fuente de fiabilidad (fiabilidad limitada a neutra); distancia no verificable (el anuncio solo indica la provincia): confirmar que está a &lt;= 70 km; fiabilidad del modelo PENDIENTE de fuente (puntuación neutra)</t>
        </is>
      </c>
      <c r="AS655" s="2" t="inlineStr">
        <is>
          <t xml:space="preserve">Mini ONE 1.4D con cadena de distribución (no correa).
Potencia: 90CV (con el fiable motor Toyota).
ITV válida hasta abril 2027.
Revisión recién hecha (cambio aceite y filtros).
Gas aire acondicionado recién cargado.
Alternador original sustituido hace 2 años.
Siempre en garaje.
No fumador.
</t>
        </is>
      </c>
      <c r="AT655" s="2" t="inlineStr">
        <is>
          <t>https://www.coches.net/mini-mini-one-d-3p-diesel-2006-en-castellon-71354523-covo.aspx (window.__INITIAL_PROPS__.ad) /home/user/Alopecia/buscador-coches/raw/cochesnet/cca003172561416e.json</t>
        </is>
      </c>
      <c r="AU655" s="3">
        <f>MAX(ANIO_ACTUAL-M655,0)</f>
        <v/>
      </c>
      <c r="AV655" s="4">
        <f>N655/MAX(AU655,0.5)</f>
        <v/>
      </c>
      <c r="AW655" s="4">
        <f>F655</f>
        <v/>
      </c>
      <c r="AX655" s="3">
        <f>AW655&amp;"|"&amp;INT(M655/SEG_ANIO)*SEG_ANIO</f>
        <v/>
      </c>
      <c r="AY655" s="3">
        <f>AX655&amp;"|"&amp;INT(N655/SEG_KM)*SEG_KM</f>
        <v/>
      </c>
      <c r="AZ655" s="4">
        <f>COUNTIF($AW$2:$AW$662,AW655)</f>
        <v/>
      </c>
      <c r="BA655" s="4">
        <f>COUNTIF($AX$2:$AX$662,AX655)</f>
        <v/>
      </c>
      <c r="BB655" s="4">
        <f>COUNTIF($AY$2:$AY$662,AY655)</f>
        <v/>
      </c>
      <c r="BC655" s="3">
        <f t="array" ref="BC655">IF(N(AO655)&gt;=MIN_N,AN655,IF(BB655&gt;=MIN_N,MEDIAN(IF($AY$2:$AY$662=AY655,$O$2:$O$662)),IF(BA655&gt;=MIN_N,MEDIAN(IF($AX$2:$AX$662=AX655,$O$2:$O$662)),MEDIAN(IF($AW$2:$AW$662=AW655,$O$2:$O$662)))))</f>
        <v/>
      </c>
      <c r="BD655" s="3">
        <f>IF(N(AO655)&gt;=MIN_N,"mercado "&amp;AP655,IF(BB655&gt;=MIN_N,"modelo+año+km",IF(BA655&gt;=MIN_N,"modelo+año","modelo")))</f>
        <v/>
      </c>
      <c r="BE655" s="4">
        <f>(BC655-O655)/BC655</f>
        <v/>
      </c>
      <c r="BF655" s="3">
        <f>IF(OR(K655="hibrido",K655="glp"),"ECO",IF(K655="electrico","CERO",IF(K655="gasolina",IF(M655&gt;=GAS_C,"C",IF(M655&gt;=GAS_B,"B","A")),IF(K655="diesel",IF(M655&gt;=DIE_C,"C",IF(M655&gt;=DIE_B,"B","A")),""))))</f>
        <v/>
      </c>
      <c r="BG655" s="3">
        <f>IFERROR(VLOOKUP(F655,MOD_TBL,11,0),IFERROR(VLOOKUP(E655,OCU_TBL,2,0),NEUTRO))</f>
        <v/>
      </c>
      <c r="BH655" s="3">
        <f>SUMIFS(MOT_AJUSTE,MOT_MOTOR,G655,MOT_MARCA,E655,MOT_DESDE,"&lt;="&amp;M655,MOT_HASTA,"&gt;="&amp;M655)+SUMIFS(MOT_AJUSTE,MOT_MOTOR,G655,MOT_MARCA,"(todas)",MOT_DESDE,"&lt;="&amp;M655,MOT_HASTA,"&gt;="&amp;M655)</f>
        <v/>
      </c>
      <c r="BI655" s="3">
        <f>SUMIFS(COMB_AJUSTE,COMB_COMB,K655)</f>
        <v/>
      </c>
      <c r="BJ655" s="3">
        <f>COUNTIFS(MOT_MOTOR,G655,MOT_MARCA,E655,MOT_DESDE,"&lt;="&amp;M655,MOT_HASTA,"&gt;="&amp;M655)+COUNTIFS(MOT_MOTOR,G655,MOT_MARCA,"(todas)",MOT_DESDE,"&lt;="&amp;M655,MOT_HASTA,"&gt;="&amp;M655)</f>
        <v/>
      </c>
      <c r="BK655" s="3">
        <f>IF(AND(K655="diesel",BJ655=0),MIN(BG655,NEUTRO),BG655)</f>
        <v/>
      </c>
      <c r="BL655" s="4">
        <f>MAX(0,MIN(100,BK655+BH655+BI655))</f>
        <v/>
      </c>
      <c r="BM655" s="3">
        <f>MAX(0,MIN(100,50+BE655*PRECIO_PEND))</f>
        <v/>
      </c>
      <c r="BN655" s="3">
        <f>MAX(0,100*(1-N655/KM_MAX))</f>
        <v/>
      </c>
      <c r="BO655" s="3">
        <f>IF(AV655&lt;KMA_SOSP,IF(AA655="sí",100,KMA_PEN),IF(AV655&lt;=KMA_IDEAL_MAX,100,MAX(0,100*(KMA_CERO-AV655)/(KMA_CERO-KMA_IDEAL_MAX))))</f>
        <v/>
      </c>
      <c r="BP655" s="3">
        <f>MAX(0,MIN(100,100*(M655-ANIO_MIN)/(ANIO_ACTUAL-ANIO_MIN)))</f>
        <v/>
      </c>
      <c r="BQ655" s="3">
        <f>W_KMT*BN655+W_KMA*BO655+W_EDAD*BP655</f>
        <v/>
      </c>
      <c r="BR655" s="3">
        <f>P_ITV*(V655="sí")+P_LIBRO*(W655="sí")+P_CORREA*(X655="sí")+P_PROP*(Y655=1)+P_GAR*(Z655="sí")+P_FOTOS*MIN(1,N(U655)/FOTOS_OBJ)</f>
        <v/>
      </c>
      <c r="BS655" s="3">
        <f>IFERROR(VLOOKUP(BF655,ETQ_TBL,2,0),NEUTRO)</f>
        <v/>
      </c>
      <c r="BT655" s="3">
        <f>NEUTRO</f>
        <v/>
      </c>
      <c r="BU655" s="3">
        <f>IFERROR(VLOOKUP(L655,SEGURO_TBL,3,0),"")</f>
        <v/>
      </c>
      <c r="BV655" s="3">
        <f>IF(BU655="",NEUTRO,MAX(0,MIN(100,100*(SEG_REF_MAX-BU655)/(SEG_REF_MAX-SEG_REF_MIN))))</f>
        <v/>
      </c>
      <c r="BW655" s="3">
        <f>W_ET*BS655+W_CONS*BT655+W_SEG*BV655</f>
        <v/>
      </c>
      <c r="BX655" s="3">
        <f>IF(N(AB655)&gt;0,AB655,IF(AND(R655="profesional",SG_LEGAL_ON=1),GAR_LEGAL,0))</f>
        <v/>
      </c>
      <c r="BY655" s="3">
        <f>SG_GAR*MIN(1,BX655/SG_GAR_FULL)+SG_AMPL*(AC655="sí")+SG_KMC*(AF655="sí")+SG_REV*(N(AE655)&gt;0)+SG_DEV*MIN(1,N(AG655)/SG_DEV_FULL)+SG_HIST*(W655="sí")</f>
        <v/>
      </c>
      <c r="BZ655" s="3">
        <f>IFERROR(VLOOKUP(L655,CARR_PEN_TBL,2,0),0)</f>
        <v/>
      </c>
      <c r="CA655" s="3">
        <f>W_FIAB*BL655+W_PRECIO*BM655+W_KMEDAD*BQ655+W_ANUNCIO*BR655+W_USO*BW655+W_SEGURIDAD*BY655-BZ655</f>
        <v/>
      </c>
      <c r="CB655" s="4">
        <f>IF(N(I655)&gt;0,I655,IFERROR(ROUND(_xlfn.NUMBERVALUE(LEFT(G655,FIND(" ",G655&amp;" ")-1),".")*1000,0),99999))</f>
        <v/>
      </c>
      <c r="CC655" s="3">
        <f>IF(R655="profesional",0,IF(O655&lt;CUOTA_VALOR_MAX,IF(AU655&gt;ITP_TRAMO_ALTO,SUMIFS(CF_CUOTA,CF_MAS,ITP_TRAMO_ALTO,CF_CCMIN,"&lt;="&amp;CB655,CF_CCMAX,"&gt;="&amp;CB655),IF(AU655&gt;ITP_TRAMO_BAJO,SUMIFS(CF_CUOTA,CF_MAS,ITP_TRAMO_BAJO,CF_CCMIN,"&lt;="&amp;CB655,CF_CCMAX,"&gt;="&amp;CB655),O655*ITP_TIPO)),O655*ITP_TIPO))</f>
        <v/>
      </c>
      <c r="CD655" s="4">
        <f>IF(R655="profesional",N(AK655),0)</f>
        <v/>
      </c>
      <c r="CE655" s="3">
        <f>IF(AND(R655="profesional",ISNUMBER(AK655),AL655="sí"),0,TASA_DGT)</f>
        <v/>
      </c>
      <c r="CF655" s="3">
        <f>INFORME_DGT</f>
        <v/>
      </c>
      <c r="CG655" s="4">
        <f>O655+CD655+CC655+CE655+CF655</f>
        <v/>
      </c>
      <c r="CH655" s="4">
        <f>CG655+N(BU655)</f>
        <v/>
      </c>
      <c r="CI655" s="3">
        <f>IF(CG655&lt;=TOTAL_MAX,"sí",IF(CG655&lt;=TOTAL_MAX+MARGEN_NEG,"negociar","no"))</f>
        <v/>
      </c>
      <c r="CJ655" s="4">
        <f>IF(CI655&lt;&gt;"no",COUNTIFS($CI$2:$CI$662,"&lt;&gt;no",$CA$2:$CA$662,"&gt;"&amp;CA655)+COUNTIFS($CI$2:CI655,"&lt;&gt;no",$CA$2:CA655,CA655),"")</f>
        <v/>
      </c>
    </row>
    <row r="656">
      <c r="A656" s="2" t="inlineStr">
        <is>
          <t>cochesnet:70558216</t>
        </is>
      </c>
      <c r="B656" s="2" t="inlineStr">
        <is>
          <t>cochesnet</t>
        </is>
      </c>
      <c r="C656" s="2" t="inlineStr">
        <is>
          <t>https://www.coches.net/smart-forfour-15-cdi-68cv-pure-5p-diesel-2006-en-castellon-70558216-covo.aspx</t>
        </is>
      </c>
      <c r="D656" s="2" t="inlineStr">
        <is>
          <t>SMART forfour 1.5 cdi pure</t>
        </is>
      </c>
      <c r="E656" s="2" t="inlineStr">
        <is>
          <t>smart</t>
        </is>
      </c>
      <c r="F656" s="2" t="inlineStr">
        <is>
          <t>smart forfour</t>
        </is>
      </c>
      <c r="G656" s="2" t="inlineStr">
        <is>
          <t>1.5</t>
        </is>
      </c>
      <c r="H656" s="2" t="inlineStr">
        <is>
          <t>1.5 cdi 68cv pure</t>
        </is>
      </c>
      <c r="I656" s="2" t="n"/>
      <c r="J656" s="2" t="n">
        <v>68</v>
      </c>
      <c r="K656" s="2" t="inlineStr">
        <is>
          <t>diesel</t>
        </is>
      </c>
      <c r="L656" s="2" t="inlineStr">
        <is>
          <t>utilitario</t>
        </is>
      </c>
      <c r="M656" s="2" t="n">
        <v>2006</v>
      </c>
      <c r="N656" s="2" t="n">
        <v>130000</v>
      </c>
      <c r="O656" s="2" t="n">
        <v>3500</v>
      </c>
      <c r="P656" s="2" t="inlineStr">
        <is>
          <t>manual</t>
        </is>
      </c>
      <c r="Q656" s="2" t="inlineStr">
        <is>
          <t>no</t>
        </is>
      </c>
      <c r="R656" s="2" t="inlineStr">
        <is>
          <t>profesional</t>
        </is>
      </c>
      <c r="S656" s="2" t="inlineStr">
        <is>
          <t>Andrés Cars Castellón de la Plana / Castelló de la Plana</t>
        </is>
      </c>
      <c r="T656" s="2" t="inlineStr">
        <is>
          <t>2026-10-29T22:05:48Z</t>
        </is>
      </c>
      <c r="U656" s="2" t="n">
        <v>43</v>
      </c>
      <c r="V656" s="2" t="n"/>
      <c r="W656" s="2" t="n"/>
      <c r="X656" s="2" t="n"/>
      <c r="Y656" s="2" t="n"/>
      <c r="Z656" s="2" t="inlineStr">
        <is>
          <t>sí</t>
        </is>
      </c>
      <c r="AA656" s="2" t="n"/>
      <c r="AB656" s="2" t="n">
        <v>12</v>
      </c>
      <c r="AC656" s="2" t="n"/>
      <c r="AD656" s="2" t="n"/>
      <c r="AE656" s="2" t="n"/>
      <c r="AF656" s="2" t="n"/>
      <c r="AG656" s="2" t="n"/>
      <c r="AH656" s="2" t="n">
        <v>3500</v>
      </c>
      <c r="AI656" s="2" t="n"/>
      <c r="AJ656" s="2" t="n"/>
      <c r="AK656" s="2" t="n"/>
      <c r="AL656" s="2" t="n"/>
      <c r="AM656" s="2" t="n"/>
      <c r="AN656" s="2" t="n">
        <v>2500</v>
      </c>
      <c r="AO656" s="2" t="n">
        <v>11</v>
      </c>
      <c r="AP656" s="2" t="inlineStr">
        <is>
          <t>modelo+año</t>
        </is>
      </c>
      <c r="AQ656" s="2" t="n"/>
      <c r="AR656" s="2" t="inlineStr">
        <is>
          <t>vendedor profesional: sin ITP (operación con IVA/REBU, confirmar en factura); gastos de gestión del vendedor no indicados: se suma la tasa DGT; preguntar el precio final; diésel: motor sin fuente de fiabilidad (fiabilidad limitada a neutra); distancia no verificable (el anuncio solo indica la provincia): confirmar que está a &lt;= 70 km; fiabilidad del modelo PENDIENTE de fuente (puntuación neutra)</t>
        </is>
      </c>
      <c r="AS656" s="2" t="inlineStr">
        <is>
          <t xml:space="preserve">Etiqueta medio ambiental B.
SMART FORFOUR  5 PUERTAS 68 CV .
Lleva motor mercedes con distribución por cadena.
Consumo muy bajo de un 4,2 litros a los 100 kilometros.
Como extras lleva:aire acondicionado, cierre centralizado, elevalunas,abs,esp, ordenador al bordo.....
Admitió prueba de taller.
Precio no negociable.
Cambio de nombre aparte 150 euros.
1 AÑO DE GARANTIA.
Anuncio  con titulo informativo y no contractual.
</t>
        </is>
      </c>
      <c r="AT656" s="2" t="inlineStr">
        <is>
          <t>https://www.coches.net/smart-forfour-15-cdi-68cv-pure-5p-diesel-2006-en-castellon-70558216-covo.aspx (window.__INITIAL_PROPS__.ad) /home/user/Alopecia/buscador-coches/raw/cochesnet/cf1538095842b0d8.json</t>
        </is>
      </c>
      <c r="AU656" s="3">
        <f>MAX(ANIO_ACTUAL-M656,0)</f>
        <v/>
      </c>
      <c r="AV656" s="4">
        <f>N656/MAX(AU656,0.5)</f>
        <v/>
      </c>
      <c r="AW656" s="4">
        <f>F656</f>
        <v/>
      </c>
      <c r="AX656" s="3">
        <f>AW656&amp;"|"&amp;INT(M656/SEG_ANIO)*SEG_ANIO</f>
        <v/>
      </c>
      <c r="AY656" s="3">
        <f>AX656&amp;"|"&amp;INT(N656/SEG_KM)*SEG_KM</f>
        <v/>
      </c>
      <c r="AZ656" s="4">
        <f>COUNTIF($AW$2:$AW$662,AW656)</f>
        <v/>
      </c>
      <c r="BA656" s="4">
        <f>COUNTIF($AX$2:$AX$662,AX656)</f>
        <v/>
      </c>
      <c r="BB656" s="4">
        <f>COUNTIF($AY$2:$AY$662,AY656)</f>
        <v/>
      </c>
      <c r="BC656" s="3">
        <f t="array" ref="BC656">IF(N(AO656)&gt;=MIN_N,AN656,IF(BB656&gt;=MIN_N,MEDIAN(IF($AY$2:$AY$662=AY656,$O$2:$O$662)),IF(BA656&gt;=MIN_N,MEDIAN(IF($AX$2:$AX$662=AX656,$O$2:$O$662)),MEDIAN(IF($AW$2:$AW$662=AW656,$O$2:$O$662)))))</f>
        <v/>
      </c>
      <c r="BD656" s="3">
        <f>IF(N(AO656)&gt;=MIN_N,"mercado "&amp;AP656,IF(BB656&gt;=MIN_N,"modelo+año+km",IF(BA656&gt;=MIN_N,"modelo+año","modelo")))</f>
        <v/>
      </c>
      <c r="BE656" s="4">
        <f>(BC656-O656)/BC656</f>
        <v/>
      </c>
      <c r="BF656" s="3">
        <f>IF(OR(K656="hibrido",K656="glp"),"ECO",IF(K656="electrico","CERO",IF(K656="gasolina",IF(M656&gt;=GAS_C,"C",IF(M656&gt;=GAS_B,"B","A")),IF(K656="diesel",IF(M656&gt;=DIE_C,"C",IF(M656&gt;=DIE_B,"B","A")),""))))</f>
        <v/>
      </c>
      <c r="BG656" s="3">
        <f>IFERROR(VLOOKUP(F656,MOD_TBL,11,0),IFERROR(VLOOKUP(E656,OCU_TBL,2,0),NEUTRO))</f>
        <v/>
      </c>
      <c r="BH656" s="3">
        <f>SUMIFS(MOT_AJUSTE,MOT_MOTOR,G656,MOT_MARCA,E656,MOT_DESDE,"&lt;="&amp;M656,MOT_HASTA,"&gt;="&amp;M656)+SUMIFS(MOT_AJUSTE,MOT_MOTOR,G656,MOT_MARCA,"(todas)",MOT_DESDE,"&lt;="&amp;M656,MOT_HASTA,"&gt;="&amp;M656)</f>
        <v/>
      </c>
      <c r="BI656" s="3">
        <f>SUMIFS(COMB_AJUSTE,COMB_COMB,K656)</f>
        <v/>
      </c>
      <c r="BJ656" s="3">
        <f>COUNTIFS(MOT_MOTOR,G656,MOT_MARCA,E656,MOT_DESDE,"&lt;="&amp;M656,MOT_HASTA,"&gt;="&amp;M656)+COUNTIFS(MOT_MOTOR,G656,MOT_MARCA,"(todas)",MOT_DESDE,"&lt;="&amp;M656,MOT_HASTA,"&gt;="&amp;M656)</f>
        <v/>
      </c>
      <c r="BK656" s="3">
        <f>IF(AND(K656="diesel",BJ656=0),MIN(BG656,NEUTRO),BG656)</f>
        <v/>
      </c>
      <c r="BL656" s="4">
        <f>MAX(0,MIN(100,BK656+BH656+BI656))</f>
        <v/>
      </c>
      <c r="BM656" s="3">
        <f>MAX(0,MIN(100,50+BE656*PRECIO_PEND))</f>
        <v/>
      </c>
      <c r="BN656" s="3">
        <f>MAX(0,100*(1-N656/KM_MAX))</f>
        <v/>
      </c>
      <c r="BO656" s="3">
        <f>IF(AV656&lt;KMA_SOSP,IF(AA656="sí",100,KMA_PEN),IF(AV656&lt;=KMA_IDEAL_MAX,100,MAX(0,100*(KMA_CERO-AV656)/(KMA_CERO-KMA_IDEAL_MAX))))</f>
        <v/>
      </c>
      <c r="BP656" s="3">
        <f>MAX(0,MIN(100,100*(M656-ANIO_MIN)/(ANIO_ACTUAL-ANIO_MIN)))</f>
        <v/>
      </c>
      <c r="BQ656" s="3">
        <f>W_KMT*BN656+W_KMA*BO656+W_EDAD*BP656</f>
        <v/>
      </c>
      <c r="BR656" s="3">
        <f>P_ITV*(V656="sí")+P_LIBRO*(W656="sí")+P_CORREA*(X656="sí")+P_PROP*(Y656=1)+P_GAR*(Z656="sí")+P_FOTOS*MIN(1,N(U656)/FOTOS_OBJ)</f>
        <v/>
      </c>
      <c r="BS656" s="3">
        <f>IFERROR(VLOOKUP(BF656,ETQ_TBL,2,0),NEUTRO)</f>
        <v/>
      </c>
      <c r="BT656" s="3">
        <f>NEUTRO</f>
        <v/>
      </c>
      <c r="BU656" s="3">
        <f>IFERROR(VLOOKUP(L656,SEGURO_TBL,3,0),"")</f>
        <v/>
      </c>
      <c r="BV656" s="3">
        <f>IF(BU656="",NEUTRO,MAX(0,MIN(100,100*(SEG_REF_MAX-BU656)/(SEG_REF_MAX-SEG_REF_MIN))))</f>
        <v/>
      </c>
      <c r="BW656" s="3">
        <f>W_ET*BS656+W_CONS*BT656+W_SEG*BV656</f>
        <v/>
      </c>
      <c r="BX656" s="3">
        <f>IF(N(AB656)&gt;0,AB656,IF(AND(R656="profesional",SG_LEGAL_ON=1),GAR_LEGAL,0))</f>
        <v/>
      </c>
      <c r="BY656" s="3">
        <f>SG_GAR*MIN(1,BX656/SG_GAR_FULL)+SG_AMPL*(AC656="sí")+SG_KMC*(AF656="sí")+SG_REV*(N(AE656)&gt;0)+SG_DEV*MIN(1,N(AG656)/SG_DEV_FULL)+SG_HIST*(W656="sí")</f>
        <v/>
      </c>
      <c r="BZ656" s="3">
        <f>IFERROR(VLOOKUP(L656,CARR_PEN_TBL,2,0),0)</f>
        <v/>
      </c>
      <c r="CA656" s="3">
        <f>W_FIAB*BL656+W_PRECIO*BM656+W_KMEDAD*BQ656+W_ANUNCIO*BR656+W_USO*BW656+W_SEGURIDAD*BY656-BZ656</f>
        <v/>
      </c>
      <c r="CB656" s="4">
        <f>IF(N(I656)&gt;0,I656,IFERROR(ROUND(_xlfn.NUMBERVALUE(LEFT(G656,FIND(" ",G656&amp;" ")-1),".")*1000,0),99999))</f>
        <v/>
      </c>
      <c r="CC656" s="3">
        <f>IF(R656="profesional",0,IF(O656&lt;CUOTA_VALOR_MAX,IF(AU656&gt;ITP_TRAMO_ALTO,SUMIFS(CF_CUOTA,CF_MAS,ITP_TRAMO_ALTO,CF_CCMIN,"&lt;="&amp;CB656,CF_CCMAX,"&gt;="&amp;CB656),IF(AU656&gt;ITP_TRAMO_BAJO,SUMIFS(CF_CUOTA,CF_MAS,ITP_TRAMO_BAJO,CF_CCMIN,"&lt;="&amp;CB656,CF_CCMAX,"&gt;="&amp;CB656),O656*ITP_TIPO)),O656*ITP_TIPO))</f>
        <v/>
      </c>
      <c r="CD656" s="4">
        <f>IF(R656="profesional",N(AK656),0)</f>
        <v/>
      </c>
      <c r="CE656" s="3">
        <f>IF(AND(R656="profesional",ISNUMBER(AK656),AL656="sí"),0,TASA_DGT)</f>
        <v/>
      </c>
      <c r="CF656" s="3">
        <f>INFORME_DGT</f>
        <v/>
      </c>
      <c r="CG656" s="4">
        <f>O656+CD656+CC656+CE656+CF656</f>
        <v/>
      </c>
      <c r="CH656" s="4">
        <f>CG656+N(BU656)</f>
        <v/>
      </c>
      <c r="CI656" s="3">
        <f>IF(CG656&lt;=TOTAL_MAX,"sí",IF(CG656&lt;=TOTAL_MAX+MARGEN_NEG,"negociar","no"))</f>
        <v/>
      </c>
      <c r="CJ656" s="4">
        <f>IF(CI656&lt;&gt;"no",COUNTIFS($CI$2:$CI$662,"&lt;&gt;no",$CA$2:$CA$662,"&gt;"&amp;CA656)+COUNTIFS($CI$2:CI656,"&lt;&gt;no",$CA$2:CA656,CA656),"")</f>
        <v/>
      </c>
    </row>
    <row r="657">
      <c r="A657" s="2" t="inlineStr">
        <is>
          <t>cochesnet:71789822</t>
        </is>
      </c>
      <c r="B657" s="2" t="inlineStr">
        <is>
          <t>cochesnet</t>
        </is>
      </c>
      <c r="C657" s="2" t="inlineStr">
        <is>
          <t>https://www.coches.net/chevrolet-aveo-12-16v-ls-5p-gasolina-2011-en-castellon-71789822-covo.aspx</t>
        </is>
      </c>
      <c r="D657" s="2" t="inlineStr">
        <is>
          <t>CHEVROLET Aveo 1.2 16v LS</t>
        </is>
      </c>
      <c r="E657" s="2" t="inlineStr">
        <is>
          <t>Chevrolet</t>
        </is>
      </c>
      <c r="F657" s="2" t="inlineStr">
        <is>
          <t>Chevrolet Aveo</t>
        </is>
      </c>
      <c r="G657" s="2" t="inlineStr">
        <is>
          <t>1.2</t>
        </is>
      </c>
      <c r="H657" s="2" t="inlineStr">
        <is>
          <t>1.2 16v LS</t>
        </is>
      </c>
      <c r="I657" s="2" t="n"/>
      <c r="J657" s="2" t="n"/>
      <c r="K657" s="2" t="inlineStr">
        <is>
          <t>gasolina</t>
        </is>
      </c>
      <c r="L657" s="2" t="inlineStr">
        <is>
          <t>utilitario</t>
        </is>
      </c>
      <c r="M657" s="2" t="n">
        <v>2011</v>
      </c>
      <c r="N657" s="2" t="n">
        <v>80000</v>
      </c>
      <c r="O657" s="2" t="n">
        <v>5100</v>
      </c>
      <c r="P657" s="2" t="inlineStr">
        <is>
          <t>manual</t>
        </is>
      </c>
      <c r="Q657" s="2" t="inlineStr">
        <is>
          <t>no</t>
        </is>
      </c>
      <c r="R657" s="2" t="inlineStr">
        <is>
          <t>profesional</t>
        </is>
      </c>
      <c r="S657" s="2" t="inlineStr">
        <is>
          <t>Zapra Motor Almazora / Almassora</t>
        </is>
      </c>
      <c r="T657" s="2" t="inlineStr">
        <is>
          <t>2026-10-20T12:46:17Z</t>
        </is>
      </c>
      <c r="U657" s="2" t="n">
        <v>17</v>
      </c>
      <c r="V657" s="2" t="n"/>
      <c r="W657" s="2" t="n"/>
      <c r="X657" s="2" t="n"/>
      <c r="Y657" s="2" t="n"/>
      <c r="Z657" s="2" t="inlineStr">
        <is>
          <t>sí</t>
        </is>
      </c>
      <c r="AA657" s="2" t="n"/>
      <c r="AB657" s="2" t="n">
        <v>12</v>
      </c>
      <c r="AC657" s="2" t="n"/>
      <c r="AD657" s="2" t="n"/>
      <c r="AE657" s="2" t="n"/>
      <c r="AF657" s="2" t="n"/>
      <c r="AG657" s="2" t="n"/>
      <c r="AH657" s="2" t="n">
        <v>5100</v>
      </c>
      <c r="AI657" s="2" t="n">
        <v>5100</v>
      </c>
      <c r="AJ657" s="2" t="n"/>
      <c r="AK657" s="2" t="n"/>
      <c r="AL657" s="2" t="n"/>
      <c r="AM657" s="2" t="n"/>
      <c r="AN657" s="2" t="n">
        <v>4990</v>
      </c>
      <c r="AO657" s="2" t="n">
        <v>5</v>
      </c>
      <c r="AP657" s="2" t="inlineStr">
        <is>
          <t>modelo+año+km</t>
        </is>
      </c>
      <c r="AQ657" s="2" t="n"/>
      <c r="AR657" s="2" t="inlineStr">
        <is>
          <t>por encima del presupuesto (5164 €), negociar; 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57" s="2" t="inlineStr">
        <is>
          <t xml:space="preserve">CAMBIO DE NOMBRE 200€
CAMARA DE VISION TRASERA
AIRE ACONDICIONADO
DIRECCION ASISTIDA
CIERRE CENTRALIZADO
Este Chevrolet Aveo se presenta como un berlina compacta de cinco puertas con tracción delantera, equipado con un motor de 1.2 litros de gasolina que ofrece un comportamiento ágil en ciudad gracias a su tamaño contenido y su dirección asistida. Con 84 CV de potencia y cambio manual de cinco marchas, proporciona una conducción directa y controlable, especialmente apropiada para quienes valoran la simplicidad mecánica y el manejo intuitivo.
El espacio interior resulta funcional para el uso diario, con capacidad para cinco ocupantes y un maletero de 220 litros que se amplía a 980 litros con los asientos traseros plegados, permitiendo una versatilidad razonable en desplazamientos cotidianos y viajes ocasionales. Los asientos traseros disponen de respaldo abatible asimétrico, facilitando la combinación entre pasajeros y carga.
En materia de seguridad, este vehículo incorpora airbags frontales y laterales delanteros, cinturones de seguridad con pretensores en los asientos delanteros y preparación Isofix para sistemas de retención infantil. El sistema de frenado combina discos ventilados delanteros con ABS, proporcionando una buena capacidad de detención.
El equipamiento de confort incluye cierre centralizado con mando a distancia, elevalunas eléctricos delanteros, retrovisores exteriores eléctricos y desempañables, dirección asistida y volante regulable en altura. El sistema </t>
        </is>
      </c>
      <c r="AT657" s="2" t="inlineStr">
        <is>
          <t>https://www.coches.net/chevrolet-aveo-12-16v-ls-5p-gasolina-2011-en-castellon-71789822-covo.aspx (window.__INITIAL_PROPS__.ad) /home/user/Alopecia/buscador-coches/raw/cochesnet/2ae76fad9ca2d05b.json</t>
        </is>
      </c>
      <c r="AU657" s="3">
        <f>MAX(ANIO_ACTUAL-M657,0)</f>
        <v/>
      </c>
      <c r="AV657" s="4">
        <f>N657/MAX(AU657,0.5)</f>
        <v/>
      </c>
      <c r="AW657" s="4">
        <f>F657</f>
        <v/>
      </c>
      <c r="AX657" s="3">
        <f>AW657&amp;"|"&amp;INT(M657/SEG_ANIO)*SEG_ANIO</f>
        <v/>
      </c>
      <c r="AY657" s="3">
        <f>AX657&amp;"|"&amp;INT(N657/SEG_KM)*SEG_KM</f>
        <v/>
      </c>
      <c r="AZ657" s="4">
        <f>COUNTIF($AW$2:$AW$662,AW657)</f>
        <v/>
      </c>
      <c r="BA657" s="4">
        <f>COUNTIF($AX$2:$AX$662,AX657)</f>
        <v/>
      </c>
      <c r="BB657" s="4">
        <f>COUNTIF($AY$2:$AY$662,AY657)</f>
        <v/>
      </c>
      <c r="BC657" s="3">
        <f t="array" ref="BC657">IF(N(AO657)&gt;=MIN_N,AN657,IF(BB657&gt;=MIN_N,MEDIAN(IF($AY$2:$AY$662=AY657,$O$2:$O$662)),IF(BA657&gt;=MIN_N,MEDIAN(IF($AX$2:$AX$662=AX657,$O$2:$O$662)),MEDIAN(IF($AW$2:$AW$662=AW657,$O$2:$O$662)))))</f>
        <v/>
      </c>
      <c r="BD657" s="3">
        <f>IF(N(AO657)&gt;=MIN_N,"mercado "&amp;AP657,IF(BB657&gt;=MIN_N,"modelo+año+km",IF(BA657&gt;=MIN_N,"modelo+año","modelo")))</f>
        <v/>
      </c>
      <c r="BE657" s="4">
        <f>(BC657-O657)/BC657</f>
        <v/>
      </c>
      <c r="BF657" s="3">
        <f>IF(OR(K657="hibrido",K657="glp"),"ECO",IF(K657="electrico","CERO",IF(K657="gasolina",IF(M657&gt;=GAS_C,"C",IF(M657&gt;=GAS_B,"B","A")),IF(K657="diesel",IF(M657&gt;=DIE_C,"C",IF(M657&gt;=DIE_B,"B","A")),""))))</f>
        <v/>
      </c>
      <c r="BG657" s="3">
        <f>IFERROR(VLOOKUP(F657,MOD_TBL,11,0),IFERROR(VLOOKUP(E657,OCU_TBL,2,0),NEUTRO))</f>
        <v/>
      </c>
      <c r="BH657" s="3">
        <f>SUMIFS(MOT_AJUSTE,MOT_MOTOR,G657,MOT_MARCA,E657,MOT_DESDE,"&lt;="&amp;M657,MOT_HASTA,"&gt;="&amp;M657)+SUMIFS(MOT_AJUSTE,MOT_MOTOR,G657,MOT_MARCA,"(todas)",MOT_DESDE,"&lt;="&amp;M657,MOT_HASTA,"&gt;="&amp;M657)</f>
        <v/>
      </c>
      <c r="BI657" s="3">
        <f>SUMIFS(COMB_AJUSTE,COMB_COMB,K657)</f>
        <v/>
      </c>
      <c r="BJ657" s="3">
        <f>COUNTIFS(MOT_MOTOR,G657,MOT_MARCA,E657,MOT_DESDE,"&lt;="&amp;M657,MOT_HASTA,"&gt;="&amp;M657)+COUNTIFS(MOT_MOTOR,G657,MOT_MARCA,"(todas)",MOT_DESDE,"&lt;="&amp;M657,MOT_HASTA,"&gt;="&amp;M657)</f>
        <v/>
      </c>
      <c r="BK657" s="3">
        <f>IF(AND(K657="diesel",BJ657=0),MIN(BG657,NEUTRO),BG657)</f>
        <v/>
      </c>
      <c r="BL657" s="4">
        <f>MAX(0,MIN(100,BK657+BH657+BI657))</f>
        <v/>
      </c>
      <c r="BM657" s="3">
        <f>MAX(0,MIN(100,50+BE657*PRECIO_PEND))</f>
        <v/>
      </c>
      <c r="BN657" s="3">
        <f>MAX(0,100*(1-N657/KM_MAX))</f>
        <v/>
      </c>
      <c r="BO657" s="3">
        <f>IF(AV657&lt;KMA_SOSP,IF(AA657="sí",100,KMA_PEN),IF(AV657&lt;=KMA_IDEAL_MAX,100,MAX(0,100*(KMA_CERO-AV657)/(KMA_CERO-KMA_IDEAL_MAX))))</f>
        <v/>
      </c>
      <c r="BP657" s="3">
        <f>MAX(0,MIN(100,100*(M657-ANIO_MIN)/(ANIO_ACTUAL-ANIO_MIN)))</f>
        <v/>
      </c>
      <c r="BQ657" s="3">
        <f>W_KMT*BN657+W_KMA*BO657+W_EDAD*BP657</f>
        <v/>
      </c>
      <c r="BR657" s="3">
        <f>P_ITV*(V657="sí")+P_LIBRO*(W657="sí")+P_CORREA*(X657="sí")+P_PROP*(Y657=1)+P_GAR*(Z657="sí")+P_FOTOS*MIN(1,N(U657)/FOTOS_OBJ)</f>
        <v/>
      </c>
      <c r="BS657" s="3">
        <f>IFERROR(VLOOKUP(BF657,ETQ_TBL,2,0),NEUTRO)</f>
        <v/>
      </c>
      <c r="BT657" s="3">
        <f>NEUTRO</f>
        <v/>
      </c>
      <c r="BU657" s="3">
        <f>IFERROR(VLOOKUP(L657,SEGURO_TBL,3,0),"")</f>
        <v/>
      </c>
      <c r="BV657" s="3">
        <f>IF(BU657="",NEUTRO,MAX(0,MIN(100,100*(SEG_REF_MAX-BU657)/(SEG_REF_MAX-SEG_REF_MIN))))</f>
        <v/>
      </c>
      <c r="BW657" s="3">
        <f>W_ET*BS657+W_CONS*BT657+W_SEG*BV657</f>
        <v/>
      </c>
      <c r="BX657" s="3">
        <f>IF(N(AB657)&gt;0,AB657,IF(AND(R657="profesional",SG_LEGAL_ON=1),GAR_LEGAL,0))</f>
        <v/>
      </c>
      <c r="BY657" s="3">
        <f>SG_GAR*MIN(1,BX657/SG_GAR_FULL)+SG_AMPL*(AC657="sí")+SG_KMC*(AF657="sí")+SG_REV*(N(AE657)&gt;0)+SG_DEV*MIN(1,N(AG657)/SG_DEV_FULL)+SG_HIST*(W657="sí")</f>
        <v/>
      </c>
      <c r="BZ657" s="3">
        <f>IFERROR(VLOOKUP(L657,CARR_PEN_TBL,2,0),0)</f>
        <v/>
      </c>
      <c r="CA657" s="3">
        <f>W_FIAB*BL657+W_PRECIO*BM657+W_KMEDAD*BQ657+W_ANUNCIO*BR657+W_USO*BW657+W_SEGURIDAD*BY657-BZ657</f>
        <v/>
      </c>
      <c r="CB657" s="4">
        <f>IF(N(I657)&gt;0,I657,IFERROR(ROUND(_xlfn.NUMBERVALUE(LEFT(G657,FIND(" ",G657&amp;" ")-1),".")*1000,0),99999))</f>
        <v/>
      </c>
      <c r="CC657" s="3">
        <f>IF(R657="profesional",0,IF(O657&lt;CUOTA_VALOR_MAX,IF(AU657&gt;ITP_TRAMO_ALTO,SUMIFS(CF_CUOTA,CF_MAS,ITP_TRAMO_ALTO,CF_CCMIN,"&lt;="&amp;CB657,CF_CCMAX,"&gt;="&amp;CB657),IF(AU657&gt;ITP_TRAMO_BAJO,SUMIFS(CF_CUOTA,CF_MAS,ITP_TRAMO_BAJO,CF_CCMIN,"&lt;="&amp;CB657,CF_CCMAX,"&gt;="&amp;CB657),O657*ITP_TIPO)),O657*ITP_TIPO))</f>
        <v/>
      </c>
      <c r="CD657" s="4">
        <f>IF(R657="profesional",N(AK657),0)</f>
        <v/>
      </c>
      <c r="CE657" s="3">
        <f>IF(AND(R657="profesional",ISNUMBER(AK657),AL657="sí"),0,TASA_DGT)</f>
        <v/>
      </c>
      <c r="CF657" s="3">
        <f>INFORME_DGT</f>
        <v/>
      </c>
      <c r="CG657" s="4">
        <f>O657+CD657+CC657+CE657+CF657</f>
        <v/>
      </c>
      <c r="CH657" s="4">
        <f>CG657+N(BU657)</f>
        <v/>
      </c>
      <c r="CI657" s="3">
        <f>IF(CG657&lt;=TOTAL_MAX,"sí",IF(CG657&lt;=TOTAL_MAX+MARGEN_NEG,"negociar","no"))</f>
        <v/>
      </c>
      <c r="CJ657" s="4">
        <f>IF(CI657&lt;&gt;"no",COUNTIFS($CI$2:$CI$662,"&lt;&gt;no",$CA$2:$CA$662,"&gt;"&amp;CA657)+COUNTIFS($CI$2:CI657,"&lt;&gt;no",$CA$2:CA657,CA657),"")</f>
        <v/>
      </c>
    </row>
    <row r="658">
      <c r="A658" s="2" t="inlineStr">
        <is>
          <t>cochesnet:71686041</t>
        </is>
      </c>
      <c r="B658" s="2" t="inlineStr">
        <is>
          <t>cochesnet</t>
        </is>
      </c>
      <c r="C658" s="2" t="inlineStr">
        <is>
          <t>https://www.coches.net/chevrolet-matiz-10-s-5p-gasolina-2006-en-castellon-71686041-covo.aspx</t>
        </is>
      </c>
      <c r="D658" s="2" t="inlineStr">
        <is>
          <t>CHEVROLET Matiz 1.0 S</t>
        </is>
      </c>
      <c r="E658" s="2" t="inlineStr">
        <is>
          <t>Chevrolet</t>
        </is>
      </c>
      <c r="F658" s="2" t="inlineStr">
        <is>
          <t>Chevrolet Matiz</t>
        </is>
      </c>
      <c r="G658" s="2" t="inlineStr">
        <is>
          <t>1.0</t>
        </is>
      </c>
      <c r="H658" s="2" t="inlineStr">
        <is>
          <t>1.0 S</t>
        </is>
      </c>
      <c r="I658" s="2" t="n"/>
      <c r="J658" s="2" t="n"/>
      <c r="K658" s="2" t="inlineStr">
        <is>
          <t>gasolina</t>
        </is>
      </c>
      <c r="L658" s="2" t="inlineStr">
        <is>
          <t>utilitario</t>
        </is>
      </c>
      <c r="M658" s="2" t="n">
        <v>2006</v>
      </c>
      <c r="N658" s="2" t="n">
        <v>61400</v>
      </c>
      <c r="O658" s="2" t="n">
        <v>3750</v>
      </c>
      <c r="P658" s="2" t="inlineStr">
        <is>
          <t>manual</t>
        </is>
      </c>
      <c r="Q658" s="2" t="inlineStr">
        <is>
          <t>no</t>
        </is>
      </c>
      <c r="R658" s="2" t="inlineStr">
        <is>
          <t>profesional</t>
        </is>
      </c>
      <c r="S658" s="2" t="inlineStr">
        <is>
          <t>Andrés Cars Castellón de la Plana / Castelló de la Plana</t>
        </is>
      </c>
      <c r="T658" s="2" t="inlineStr">
        <is>
          <t>2026-10-06T14:49:48Z</t>
        </is>
      </c>
      <c r="U658" s="2" t="n">
        <v>44</v>
      </c>
      <c r="V658" s="2" t="n"/>
      <c r="W658" s="2" t="n"/>
      <c r="X658" s="2" t="n"/>
      <c r="Y658" s="2" t="n"/>
      <c r="Z658" s="2" t="inlineStr">
        <is>
          <t>sí</t>
        </is>
      </c>
      <c r="AA658" s="2" t="n"/>
      <c r="AB658" s="2" t="n">
        <v>12</v>
      </c>
      <c r="AC658" s="2" t="n"/>
      <c r="AD658" s="2" t="n"/>
      <c r="AE658" s="2" t="n"/>
      <c r="AF658" s="2" t="n"/>
      <c r="AG658" s="2" t="n"/>
      <c r="AH658" s="2" t="n">
        <v>3750</v>
      </c>
      <c r="AI658" s="2" t="n"/>
      <c r="AJ658" s="2" t="n"/>
      <c r="AK658" s="2" t="n"/>
      <c r="AL658" s="2" t="n"/>
      <c r="AM658" s="2" t="n"/>
      <c r="AN658" s="2" t="n"/>
      <c r="AO658" s="2" t="n"/>
      <c r="AP658" s="2" t="n"/>
      <c r="AQ658" s="2" t="n"/>
      <c r="AR658"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58" s="2" t="inlineStr">
        <is>
          <t xml:space="preserve">      ----- POCOS KILÓMETROS ----
      Etiqueta medio ambiental B.
   Vehículo nacional con muy pocos kilómetros , ideal para la ciudad  , de dia a dia por su tamaño pequeño y el consumo reducido 4,5 por % .
  Vehículo en perfecto estado , con las 4 ruedas al 90 % ,prácticamente un reestreno de vehículo.
Lleva motor 1,0 con 65 CV de potencia.
Itv y documentación al dia.
No hay que hacerle nada.
Admitió prueba de taller.
Precio NO negociable.
Cambio de nombre aparte 150 euros.
Puedo recibir vehículo como forma de pago .
</t>
        </is>
      </c>
      <c r="AT658" s="2" t="inlineStr">
        <is>
          <t>https://www.coches.net/chevrolet-matiz-10-s-5p-gasolina-2006-en-castellon-71686041-covo.aspx (window.__INITIAL_PROPS__.ad) /home/user/Alopecia/buscador-coches/raw/cochesnet/aa809b0e3f8323da.json</t>
        </is>
      </c>
      <c r="AU658" s="3">
        <f>MAX(ANIO_ACTUAL-M658,0)</f>
        <v/>
      </c>
      <c r="AV658" s="4">
        <f>N658/MAX(AU658,0.5)</f>
        <v/>
      </c>
      <c r="AW658" s="4">
        <f>F658</f>
        <v/>
      </c>
      <c r="AX658" s="3">
        <f>AW658&amp;"|"&amp;INT(M658/SEG_ANIO)*SEG_ANIO</f>
        <v/>
      </c>
      <c r="AY658" s="3">
        <f>AX658&amp;"|"&amp;INT(N658/SEG_KM)*SEG_KM</f>
        <v/>
      </c>
      <c r="AZ658" s="4">
        <f>COUNTIF($AW$2:$AW$662,AW658)</f>
        <v/>
      </c>
      <c r="BA658" s="4">
        <f>COUNTIF($AX$2:$AX$662,AX658)</f>
        <v/>
      </c>
      <c r="BB658" s="4">
        <f>COUNTIF($AY$2:$AY$662,AY658)</f>
        <v/>
      </c>
      <c r="BC658" s="3">
        <f t="array" ref="BC658">IF(N(AO658)&gt;=MIN_N,AN658,IF(BB658&gt;=MIN_N,MEDIAN(IF($AY$2:$AY$662=AY658,$O$2:$O$662)),IF(BA658&gt;=MIN_N,MEDIAN(IF($AX$2:$AX$662=AX658,$O$2:$O$662)),MEDIAN(IF($AW$2:$AW$662=AW658,$O$2:$O$662)))))</f>
        <v/>
      </c>
      <c r="BD658" s="3">
        <f>IF(N(AO658)&gt;=MIN_N,"mercado "&amp;AP658,IF(BB658&gt;=MIN_N,"modelo+año+km",IF(BA658&gt;=MIN_N,"modelo+año","modelo")))</f>
        <v/>
      </c>
      <c r="BE658" s="4">
        <f>(BC658-O658)/BC658</f>
        <v/>
      </c>
      <c r="BF658" s="3">
        <f>IF(OR(K658="hibrido",K658="glp"),"ECO",IF(K658="electrico","CERO",IF(K658="gasolina",IF(M658&gt;=GAS_C,"C",IF(M658&gt;=GAS_B,"B","A")),IF(K658="diesel",IF(M658&gt;=DIE_C,"C",IF(M658&gt;=DIE_B,"B","A")),""))))</f>
        <v/>
      </c>
      <c r="BG658" s="3">
        <f>IFERROR(VLOOKUP(F658,MOD_TBL,11,0),IFERROR(VLOOKUP(E658,OCU_TBL,2,0),NEUTRO))</f>
        <v/>
      </c>
      <c r="BH658" s="3">
        <f>SUMIFS(MOT_AJUSTE,MOT_MOTOR,G658,MOT_MARCA,E658,MOT_DESDE,"&lt;="&amp;M658,MOT_HASTA,"&gt;="&amp;M658)+SUMIFS(MOT_AJUSTE,MOT_MOTOR,G658,MOT_MARCA,"(todas)",MOT_DESDE,"&lt;="&amp;M658,MOT_HASTA,"&gt;="&amp;M658)</f>
        <v/>
      </c>
      <c r="BI658" s="3">
        <f>SUMIFS(COMB_AJUSTE,COMB_COMB,K658)</f>
        <v/>
      </c>
      <c r="BJ658" s="3">
        <f>COUNTIFS(MOT_MOTOR,G658,MOT_MARCA,E658,MOT_DESDE,"&lt;="&amp;M658,MOT_HASTA,"&gt;="&amp;M658)+COUNTIFS(MOT_MOTOR,G658,MOT_MARCA,"(todas)",MOT_DESDE,"&lt;="&amp;M658,MOT_HASTA,"&gt;="&amp;M658)</f>
        <v/>
      </c>
      <c r="BK658" s="3">
        <f>IF(AND(K658="diesel",BJ658=0),MIN(BG658,NEUTRO),BG658)</f>
        <v/>
      </c>
      <c r="BL658" s="4">
        <f>MAX(0,MIN(100,BK658+BH658+BI658))</f>
        <v/>
      </c>
      <c r="BM658" s="3">
        <f>MAX(0,MIN(100,50+BE658*PRECIO_PEND))</f>
        <v/>
      </c>
      <c r="BN658" s="3">
        <f>MAX(0,100*(1-N658/KM_MAX))</f>
        <v/>
      </c>
      <c r="BO658" s="3">
        <f>IF(AV658&lt;KMA_SOSP,IF(AA658="sí",100,KMA_PEN),IF(AV658&lt;=KMA_IDEAL_MAX,100,MAX(0,100*(KMA_CERO-AV658)/(KMA_CERO-KMA_IDEAL_MAX))))</f>
        <v/>
      </c>
      <c r="BP658" s="3">
        <f>MAX(0,MIN(100,100*(M658-ANIO_MIN)/(ANIO_ACTUAL-ANIO_MIN)))</f>
        <v/>
      </c>
      <c r="BQ658" s="3">
        <f>W_KMT*BN658+W_KMA*BO658+W_EDAD*BP658</f>
        <v/>
      </c>
      <c r="BR658" s="3">
        <f>P_ITV*(V658="sí")+P_LIBRO*(W658="sí")+P_CORREA*(X658="sí")+P_PROP*(Y658=1)+P_GAR*(Z658="sí")+P_FOTOS*MIN(1,N(U658)/FOTOS_OBJ)</f>
        <v/>
      </c>
      <c r="BS658" s="3">
        <f>IFERROR(VLOOKUP(BF658,ETQ_TBL,2,0),NEUTRO)</f>
        <v/>
      </c>
      <c r="BT658" s="3">
        <f>NEUTRO</f>
        <v/>
      </c>
      <c r="BU658" s="3">
        <f>IFERROR(VLOOKUP(L658,SEGURO_TBL,3,0),"")</f>
        <v/>
      </c>
      <c r="BV658" s="3">
        <f>IF(BU658="",NEUTRO,MAX(0,MIN(100,100*(SEG_REF_MAX-BU658)/(SEG_REF_MAX-SEG_REF_MIN))))</f>
        <v/>
      </c>
      <c r="BW658" s="3">
        <f>W_ET*BS658+W_CONS*BT658+W_SEG*BV658</f>
        <v/>
      </c>
      <c r="BX658" s="3">
        <f>IF(N(AB658)&gt;0,AB658,IF(AND(R658="profesional",SG_LEGAL_ON=1),GAR_LEGAL,0))</f>
        <v/>
      </c>
      <c r="BY658" s="3">
        <f>SG_GAR*MIN(1,BX658/SG_GAR_FULL)+SG_AMPL*(AC658="sí")+SG_KMC*(AF658="sí")+SG_REV*(N(AE658)&gt;0)+SG_DEV*MIN(1,N(AG658)/SG_DEV_FULL)+SG_HIST*(W658="sí")</f>
        <v/>
      </c>
      <c r="BZ658" s="3">
        <f>IFERROR(VLOOKUP(L658,CARR_PEN_TBL,2,0),0)</f>
        <v/>
      </c>
      <c r="CA658" s="3">
        <f>W_FIAB*BL658+W_PRECIO*BM658+W_KMEDAD*BQ658+W_ANUNCIO*BR658+W_USO*BW658+W_SEGURIDAD*BY658-BZ658</f>
        <v/>
      </c>
      <c r="CB658" s="4">
        <f>IF(N(I658)&gt;0,I658,IFERROR(ROUND(_xlfn.NUMBERVALUE(LEFT(G658,FIND(" ",G658&amp;" ")-1),".")*1000,0),99999))</f>
        <v/>
      </c>
      <c r="CC658" s="3">
        <f>IF(R658="profesional",0,IF(O658&lt;CUOTA_VALOR_MAX,IF(AU658&gt;ITP_TRAMO_ALTO,SUMIFS(CF_CUOTA,CF_MAS,ITP_TRAMO_ALTO,CF_CCMIN,"&lt;="&amp;CB658,CF_CCMAX,"&gt;="&amp;CB658),IF(AU658&gt;ITP_TRAMO_BAJO,SUMIFS(CF_CUOTA,CF_MAS,ITP_TRAMO_BAJO,CF_CCMIN,"&lt;="&amp;CB658,CF_CCMAX,"&gt;="&amp;CB658),O658*ITP_TIPO)),O658*ITP_TIPO))</f>
        <v/>
      </c>
      <c r="CD658" s="4">
        <f>IF(R658="profesional",N(AK658),0)</f>
        <v/>
      </c>
      <c r="CE658" s="3">
        <f>IF(AND(R658="profesional",ISNUMBER(AK658),AL658="sí"),0,TASA_DGT)</f>
        <v/>
      </c>
      <c r="CF658" s="3">
        <f>INFORME_DGT</f>
        <v/>
      </c>
      <c r="CG658" s="4">
        <f>O658+CD658+CC658+CE658+CF658</f>
        <v/>
      </c>
      <c r="CH658" s="4">
        <f>CG658+N(BU658)</f>
        <v/>
      </c>
      <c r="CI658" s="3">
        <f>IF(CG658&lt;=TOTAL_MAX,"sí",IF(CG658&lt;=TOTAL_MAX+MARGEN_NEG,"negociar","no"))</f>
        <v/>
      </c>
      <c r="CJ658" s="4">
        <f>IF(CI658&lt;&gt;"no",COUNTIFS($CI$2:$CI$662,"&lt;&gt;no",$CA$2:$CA$662,"&gt;"&amp;CA658)+COUNTIFS($CI$2:CI658,"&lt;&gt;no",$CA$2:CA658,CA658),"")</f>
        <v/>
      </c>
    </row>
    <row r="659">
      <c r="A659" s="2" t="inlineStr">
        <is>
          <t>cochesnet:71555558</t>
        </is>
      </c>
      <c r="B659" s="2" t="inlineStr">
        <is>
          <t>cochesnet</t>
        </is>
      </c>
      <c r="C659" s="2" t="inlineStr">
        <is>
          <t>https://www.coches.net/chevrolet-kalos-gasolina-2008-en-castellon-71555558-covo.aspx</t>
        </is>
      </c>
      <c r="D659" s="2" t="inlineStr">
        <is>
          <t>CHEVROLET Kalos</t>
        </is>
      </c>
      <c r="E659" s="2" t="inlineStr">
        <is>
          <t>Chevrolet</t>
        </is>
      </c>
      <c r="F659" s="2" t="inlineStr">
        <is>
          <t>Chevrolet Kalos</t>
        </is>
      </c>
      <c r="G659" s="2" t="n"/>
      <c r="H659" s="2" t="n"/>
      <c r="I659" s="2" t="n"/>
      <c r="J659" s="2" t="n"/>
      <c r="K659" s="2" t="inlineStr">
        <is>
          <t>gasolina</t>
        </is>
      </c>
      <c r="L659" s="2" t="inlineStr">
        <is>
          <t>utilitario</t>
        </is>
      </c>
      <c r="M659" s="2" t="n">
        <v>2008</v>
      </c>
      <c r="N659" s="2" t="n">
        <v>202316</v>
      </c>
      <c r="O659" s="2" t="n">
        <v>2500</v>
      </c>
      <c r="P659" s="2" t="inlineStr">
        <is>
          <t>manual</t>
        </is>
      </c>
      <c r="Q659" s="2" t="inlineStr">
        <is>
          <t>no</t>
        </is>
      </c>
      <c r="R659" s="2" t="inlineStr">
        <is>
          <t>particular</t>
        </is>
      </c>
      <c r="S659" s="2" t="inlineStr">
        <is>
          <t>Castellón de la Plana / Castelló de la Plana</t>
        </is>
      </c>
      <c r="T659" s="2" t="inlineStr">
        <is>
          <t>2026-09-20T10:10:09Z</t>
        </is>
      </c>
      <c r="U659" s="2" t="n">
        <v>9</v>
      </c>
      <c r="V659" s="2" t="n"/>
      <c r="W659" s="2" t="n"/>
      <c r="X659" s="2" t="n"/>
      <c r="Y659" s="2" t="n"/>
      <c r="Z659" s="2" t="inlineStr">
        <is>
          <t>no</t>
        </is>
      </c>
      <c r="AA659" s="2" t="n"/>
      <c r="AB659" s="2" t="n"/>
      <c r="AC659" s="2" t="n"/>
      <c r="AD659" s="2" t="n"/>
      <c r="AE659" s="2" t="n"/>
      <c r="AF659" s="2" t="n"/>
      <c r="AG659" s="2" t="n"/>
      <c r="AH659" s="2" t="n">
        <v>2500</v>
      </c>
      <c r="AI659" s="2" t="n"/>
      <c r="AJ659" s="2" t="n"/>
      <c r="AK659" s="2" t="n"/>
      <c r="AL659" s="2" t="n"/>
      <c r="AM659" s="2" t="n"/>
      <c r="AN659" s="2" t="n">
        <v>2999</v>
      </c>
      <c r="AO659" s="2" t="n">
        <v>6</v>
      </c>
      <c r="AP659" s="2" t="inlineStr">
        <is>
          <t>modelo+año</t>
        </is>
      </c>
      <c r="AQ659" s="2" t="n"/>
      <c r="AR659" s="2" t="inlineStr">
        <is>
          <t>cilindrada desconocida: se aplica el tramo de cuota fija más alto; cuota fija ITP: &gt;12 años, más de 2.000 cc; distancia no verificable (el anuncio solo indica la provincia): confirmar que está a &lt;= 70 km; fiabilidad del modelo PENDIENTE de fuente (puntuación neutra)</t>
        </is>
      </c>
      <c r="AS659" s="2" t="inlineStr">
        <is>
          <t xml:space="preserve">Chevrolet Kalos 2007, ITV JUN 2027, 202.000 Km. </t>
        </is>
      </c>
      <c r="AT659" s="2" t="inlineStr">
        <is>
          <t>https://www.coches.net/chevrolet-kalos-gasolina-2008-en-castellon-71555558-covo.aspx (window.__INITIAL_PROPS__.ad) /home/user/Alopecia/buscador-coches/raw/cochesnet/f6276ff5f160a64b.json</t>
        </is>
      </c>
      <c r="AU659" s="3">
        <f>MAX(ANIO_ACTUAL-M659,0)</f>
        <v/>
      </c>
      <c r="AV659" s="4">
        <f>N659/MAX(AU659,0.5)</f>
        <v/>
      </c>
      <c r="AW659" s="4">
        <f>F659</f>
        <v/>
      </c>
      <c r="AX659" s="3">
        <f>AW659&amp;"|"&amp;INT(M659/SEG_ANIO)*SEG_ANIO</f>
        <v/>
      </c>
      <c r="AY659" s="3">
        <f>AX659&amp;"|"&amp;INT(N659/SEG_KM)*SEG_KM</f>
        <v/>
      </c>
      <c r="AZ659" s="4">
        <f>COUNTIF($AW$2:$AW$662,AW659)</f>
        <v/>
      </c>
      <c r="BA659" s="4">
        <f>COUNTIF($AX$2:$AX$662,AX659)</f>
        <v/>
      </c>
      <c r="BB659" s="4">
        <f>COUNTIF($AY$2:$AY$662,AY659)</f>
        <v/>
      </c>
      <c r="BC659" s="3">
        <f t="array" ref="BC659">IF(N(AO659)&gt;=MIN_N,AN659,IF(BB659&gt;=MIN_N,MEDIAN(IF($AY$2:$AY$662=AY659,$O$2:$O$662)),IF(BA659&gt;=MIN_N,MEDIAN(IF($AX$2:$AX$662=AX659,$O$2:$O$662)),MEDIAN(IF($AW$2:$AW$662=AW659,$O$2:$O$662)))))</f>
        <v/>
      </c>
      <c r="BD659" s="3">
        <f>IF(N(AO659)&gt;=MIN_N,"mercado "&amp;AP659,IF(BB659&gt;=MIN_N,"modelo+año+km",IF(BA659&gt;=MIN_N,"modelo+año","modelo")))</f>
        <v/>
      </c>
      <c r="BE659" s="4">
        <f>(BC659-O659)/BC659</f>
        <v/>
      </c>
      <c r="BF659" s="3">
        <f>IF(OR(K659="hibrido",K659="glp"),"ECO",IF(K659="electrico","CERO",IF(K659="gasolina",IF(M659&gt;=GAS_C,"C",IF(M659&gt;=GAS_B,"B","A")),IF(K659="diesel",IF(M659&gt;=DIE_C,"C",IF(M659&gt;=DIE_B,"B","A")),""))))</f>
        <v/>
      </c>
      <c r="BG659" s="3">
        <f>IFERROR(VLOOKUP(F659,MOD_TBL,11,0),IFERROR(VLOOKUP(E659,OCU_TBL,2,0),NEUTRO))</f>
        <v/>
      </c>
      <c r="BH659" s="3">
        <f>SUMIFS(MOT_AJUSTE,MOT_MOTOR,G659,MOT_MARCA,E659,MOT_DESDE,"&lt;="&amp;M659,MOT_HASTA,"&gt;="&amp;M659)+SUMIFS(MOT_AJUSTE,MOT_MOTOR,G659,MOT_MARCA,"(todas)",MOT_DESDE,"&lt;="&amp;M659,MOT_HASTA,"&gt;="&amp;M659)</f>
        <v/>
      </c>
      <c r="BI659" s="3">
        <f>SUMIFS(COMB_AJUSTE,COMB_COMB,K659)</f>
        <v/>
      </c>
      <c r="BJ659" s="3">
        <f>COUNTIFS(MOT_MOTOR,G659,MOT_MARCA,E659,MOT_DESDE,"&lt;="&amp;M659,MOT_HASTA,"&gt;="&amp;M659)+COUNTIFS(MOT_MOTOR,G659,MOT_MARCA,"(todas)",MOT_DESDE,"&lt;="&amp;M659,MOT_HASTA,"&gt;="&amp;M659)</f>
        <v/>
      </c>
      <c r="BK659" s="3">
        <f>IF(AND(K659="diesel",BJ659=0),MIN(BG659,NEUTRO),BG659)</f>
        <v/>
      </c>
      <c r="BL659" s="4">
        <f>MAX(0,MIN(100,BK659+BH659+BI659))</f>
        <v/>
      </c>
      <c r="BM659" s="3">
        <f>MAX(0,MIN(100,50+BE659*PRECIO_PEND))</f>
        <v/>
      </c>
      <c r="BN659" s="3">
        <f>MAX(0,100*(1-N659/KM_MAX))</f>
        <v/>
      </c>
      <c r="BO659" s="3">
        <f>IF(AV659&lt;KMA_SOSP,IF(AA659="sí",100,KMA_PEN),IF(AV659&lt;=KMA_IDEAL_MAX,100,MAX(0,100*(KMA_CERO-AV659)/(KMA_CERO-KMA_IDEAL_MAX))))</f>
        <v/>
      </c>
      <c r="BP659" s="3">
        <f>MAX(0,MIN(100,100*(M659-ANIO_MIN)/(ANIO_ACTUAL-ANIO_MIN)))</f>
        <v/>
      </c>
      <c r="BQ659" s="3">
        <f>W_KMT*BN659+W_KMA*BO659+W_EDAD*BP659</f>
        <v/>
      </c>
      <c r="BR659" s="3">
        <f>P_ITV*(V659="sí")+P_LIBRO*(W659="sí")+P_CORREA*(X659="sí")+P_PROP*(Y659=1)+P_GAR*(Z659="sí")+P_FOTOS*MIN(1,N(U659)/FOTOS_OBJ)</f>
        <v/>
      </c>
      <c r="BS659" s="3">
        <f>IFERROR(VLOOKUP(BF659,ETQ_TBL,2,0),NEUTRO)</f>
        <v/>
      </c>
      <c r="BT659" s="3">
        <f>NEUTRO</f>
        <v/>
      </c>
      <c r="BU659" s="3">
        <f>IFERROR(VLOOKUP(L659,SEGURO_TBL,3,0),"")</f>
        <v/>
      </c>
      <c r="BV659" s="3">
        <f>IF(BU659="",NEUTRO,MAX(0,MIN(100,100*(SEG_REF_MAX-BU659)/(SEG_REF_MAX-SEG_REF_MIN))))</f>
        <v/>
      </c>
      <c r="BW659" s="3">
        <f>W_ET*BS659+W_CONS*BT659+W_SEG*BV659</f>
        <v/>
      </c>
      <c r="BX659" s="3">
        <f>IF(N(AB659)&gt;0,AB659,IF(AND(R659="profesional",SG_LEGAL_ON=1),GAR_LEGAL,0))</f>
        <v/>
      </c>
      <c r="BY659" s="3">
        <f>SG_GAR*MIN(1,BX659/SG_GAR_FULL)+SG_AMPL*(AC659="sí")+SG_KMC*(AF659="sí")+SG_REV*(N(AE659)&gt;0)+SG_DEV*MIN(1,N(AG659)/SG_DEV_FULL)+SG_HIST*(W659="sí")</f>
        <v/>
      </c>
      <c r="BZ659" s="3">
        <f>IFERROR(VLOOKUP(L659,CARR_PEN_TBL,2,0),0)</f>
        <v/>
      </c>
      <c r="CA659" s="3">
        <f>W_FIAB*BL659+W_PRECIO*BM659+W_KMEDAD*BQ659+W_ANUNCIO*BR659+W_USO*BW659+W_SEGURIDAD*BY659-BZ659</f>
        <v/>
      </c>
      <c r="CB659" s="4">
        <f>IF(N(I659)&gt;0,I659,IFERROR(ROUND(_xlfn.NUMBERVALUE(LEFT(G659,FIND(" ",G659&amp;" ")-1),".")*1000,0),99999))</f>
        <v/>
      </c>
      <c r="CC659" s="3">
        <f>IF(R659="profesional",0,IF(O659&lt;CUOTA_VALOR_MAX,IF(AU659&gt;ITP_TRAMO_ALTO,SUMIFS(CF_CUOTA,CF_MAS,ITP_TRAMO_ALTO,CF_CCMIN,"&lt;="&amp;CB659,CF_CCMAX,"&gt;="&amp;CB659),IF(AU659&gt;ITP_TRAMO_BAJO,SUMIFS(CF_CUOTA,CF_MAS,ITP_TRAMO_BAJO,CF_CCMIN,"&lt;="&amp;CB659,CF_CCMAX,"&gt;="&amp;CB659),O659*ITP_TIPO)),O659*ITP_TIPO))</f>
        <v/>
      </c>
      <c r="CD659" s="4">
        <f>IF(R659="profesional",N(AK659),0)</f>
        <v/>
      </c>
      <c r="CE659" s="3">
        <f>IF(AND(R659="profesional",ISNUMBER(AK659),AL659="sí"),0,TASA_DGT)</f>
        <v/>
      </c>
      <c r="CF659" s="3">
        <f>INFORME_DGT</f>
        <v/>
      </c>
      <c r="CG659" s="4">
        <f>O659+CD659+CC659+CE659+CF659</f>
        <v/>
      </c>
      <c r="CH659" s="4">
        <f>CG659+N(BU659)</f>
        <v/>
      </c>
      <c r="CI659" s="3">
        <f>IF(CG659&lt;=TOTAL_MAX,"sí",IF(CG659&lt;=TOTAL_MAX+MARGEN_NEG,"negociar","no"))</f>
        <v/>
      </c>
      <c r="CJ659" s="4">
        <f>IF(CI659&lt;&gt;"no",COUNTIFS($CI$2:$CI$662,"&lt;&gt;no",$CA$2:$CA$662,"&gt;"&amp;CA659)+COUNTIFS($CI$2:CI659,"&lt;&gt;no",$CA$2:CA659,CA659),"")</f>
        <v/>
      </c>
    </row>
    <row r="660">
      <c r="A660" s="2" t="inlineStr">
        <is>
          <t>cochesnet:71504768</t>
        </is>
      </c>
      <c r="B660" s="2" t="inlineStr">
        <is>
          <t>cochesnet</t>
        </is>
      </c>
      <c r="C660" s="2" t="inlineStr">
        <is>
          <t>https://www.coches.net/chevrolet-kalos-12-se-5p-gasolina-2007-en-castellon-71504768-covo.aspx</t>
        </is>
      </c>
      <c r="D660" s="2" t="inlineStr">
        <is>
          <t>CHEVROLET Kalos 1.2 SE</t>
        </is>
      </c>
      <c r="E660" s="2" t="inlineStr">
        <is>
          <t>Chevrolet</t>
        </is>
      </c>
      <c r="F660" s="2" t="inlineStr">
        <is>
          <t>Chevrolet Kalos</t>
        </is>
      </c>
      <c r="G660" s="2" t="inlineStr">
        <is>
          <t>1.2</t>
        </is>
      </c>
      <c r="H660" s="2" t="inlineStr">
        <is>
          <t>1.2 SE</t>
        </is>
      </c>
      <c r="I660" s="2" t="n"/>
      <c r="J660" s="2" t="n"/>
      <c r="K660" s="2" t="inlineStr">
        <is>
          <t>gasolina</t>
        </is>
      </c>
      <c r="L660" s="2" t="inlineStr">
        <is>
          <t>utilitario</t>
        </is>
      </c>
      <c r="M660" s="2" t="n">
        <v>2007</v>
      </c>
      <c r="N660" s="2" t="n">
        <v>202000</v>
      </c>
      <c r="O660" s="2" t="n">
        <v>2500</v>
      </c>
      <c r="P660" s="2" t="inlineStr">
        <is>
          <t>manual</t>
        </is>
      </c>
      <c r="Q660" s="2" t="inlineStr">
        <is>
          <t>no</t>
        </is>
      </c>
      <c r="R660" s="2" t="inlineStr">
        <is>
          <t>particular</t>
        </is>
      </c>
      <c r="S660" s="2" t="inlineStr">
        <is>
          <t>Castellón de la Plana / Castelló de la Plana</t>
        </is>
      </c>
      <c r="T660" s="2" t="inlineStr">
        <is>
          <t>2026-09-13T20:42:52Z</t>
        </is>
      </c>
      <c r="U660" s="2" t="n">
        <v>21</v>
      </c>
      <c r="V660" s="2" t="inlineStr">
        <is>
          <t>sí</t>
        </is>
      </c>
      <c r="W660" s="2" t="n"/>
      <c r="X660" s="2" t="n"/>
      <c r="Y660" s="2" t="n"/>
      <c r="Z660" s="2" t="inlineStr">
        <is>
          <t>no</t>
        </is>
      </c>
      <c r="AA660" s="2" t="n"/>
      <c r="AB660" s="2" t="n"/>
      <c r="AC660" s="2" t="n"/>
      <c r="AD660" s="2" t="n"/>
      <c r="AE660" s="2" t="n"/>
      <c r="AF660" s="2" t="n"/>
      <c r="AG660" s="2" t="n"/>
      <c r="AH660" s="2" t="n">
        <v>2500</v>
      </c>
      <c r="AI660" s="2" t="n"/>
      <c r="AJ660" s="2" t="n"/>
      <c r="AK660" s="2" t="n"/>
      <c r="AL660" s="2" t="n"/>
      <c r="AM660" s="2" t="n"/>
      <c r="AN660" s="2" t="n">
        <v>2999</v>
      </c>
      <c r="AO660" s="2" t="n">
        <v>6</v>
      </c>
      <c r="AP660" s="2" t="inlineStr">
        <is>
          <t>modelo+año</t>
        </is>
      </c>
      <c r="AQ660" s="2" t="n"/>
      <c r="AR660" s="2" t="inlineStr">
        <is>
          <t>cuota fija ITP: &gt;12 años, hasta 1.500 cc; distancia no verificable (el anuncio solo indica la provincia): confirmar que está a &lt;= 70 km; fiabilidad del modelo PENDIENTE de fuente (puntuación neutra)</t>
        </is>
      </c>
      <c r="AS660" s="2" t="inlineStr">
        <is>
          <t>Tiene ITV HASTA JULIO 2027
en excelente estado, economico en combustible,  tiene problemas en pintura</t>
        </is>
      </c>
      <c r="AT660" s="2" t="inlineStr">
        <is>
          <t>https://www.coches.net/chevrolet-kalos-12-se-5p-gasolina-2007-en-castellon-71504768-covo.aspx (window.__INITIAL_PROPS__.ad) /home/user/Alopecia/buscador-coches/raw/cochesnet/502702205dad465f.json</t>
        </is>
      </c>
      <c r="AU660" s="3">
        <f>MAX(ANIO_ACTUAL-M660,0)</f>
        <v/>
      </c>
      <c r="AV660" s="4">
        <f>N660/MAX(AU660,0.5)</f>
        <v/>
      </c>
      <c r="AW660" s="4">
        <f>F660</f>
        <v/>
      </c>
      <c r="AX660" s="3">
        <f>AW660&amp;"|"&amp;INT(M660/SEG_ANIO)*SEG_ANIO</f>
        <v/>
      </c>
      <c r="AY660" s="3">
        <f>AX660&amp;"|"&amp;INT(N660/SEG_KM)*SEG_KM</f>
        <v/>
      </c>
      <c r="AZ660" s="4">
        <f>COUNTIF($AW$2:$AW$662,AW660)</f>
        <v/>
      </c>
      <c r="BA660" s="4">
        <f>COUNTIF($AX$2:$AX$662,AX660)</f>
        <v/>
      </c>
      <c r="BB660" s="4">
        <f>COUNTIF($AY$2:$AY$662,AY660)</f>
        <v/>
      </c>
      <c r="BC660" s="3">
        <f t="array" ref="BC660">IF(N(AO660)&gt;=MIN_N,AN660,IF(BB660&gt;=MIN_N,MEDIAN(IF($AY$2:$AY$662=AY660,$O$2:$O$662)),IF(BA660&gt;=MIN_N,MEDIAN(IF($AX$2:$AX$662=AX660,$O$2:$O$662)),MEDIAN(IF($AW$2:$AW$662=AW660,$O$2:$O$662)))))</f>
        <v/>
      </c>
      <c r="BD660" s="3">
        <f>IF(N(AO660)&gt;=MIN_N,"mercado "&amp;AP660,IF(BB660&gt;=MIN_N,"modelo+año+km",IF(BA660&gt;=MIN_N,"modelo+año","modelo")))</f>
        <v/>
      </c>
      <c r="BE660" s="4">
        <f>(BC660-O660)/BC660</f>
        <v/>
      </c>
      <c r="BF660" s="3">
        <f>IF(OR(K660="hibrido",K660="glp"),"ECO",IF(K660="electrico","CERO",IF(K660="gasolina",IF(M660&gt;=GAS_C,"C",IF(M660&gt;=GAS_B,"B","A")),IF(K660="diesel",IF(M660&gt;=DIE_C,"C",IF(M660&gt;=DIE_B,"B","A")),""))))</f>
        <v/>
      </c>
      <c r="BG660" s="3">
        <f>IFERROR(VLOOKUP(F660,MOD_TBL,11,0),IFERROR(VLOOKUP(E660,OCU_TBL,2,0),NEUTRO))</f>
        <v/>
      </c>
      <c r="BH660" s="3">
        <f>SUMIFS(MOT_AJUSTE,MOT_MOTOR,G660,MOT_MARCA,E660,MOT_DESDE,"&lt;="&amp;M660,MOT_HASTA,"&gt;="&amp;M660)+SUMIFS(MOT_AJUSTE,MOT_MOTOR,G660,MOT_MARCA,"(todas)",MOT_DESDE,"&lt;="&amp;M660,MOT_HASTA,"&gt;="&amp;M660)</f>
        <v/>
      </c>
      <c r="BI660" s="3">
        <f>SUMIFS(COMB_AJUSTE,COMB_COMB,K660)</f>
        <v/>
      </c>
      <c r="BJ660" s="3">
        <f>COUNTIFS(MOT_MOTOR,G660,MOT_MARCA,E660,MOT_DESDE,"&lt;="&amp;M660,MOT_HASTA,"&gt;="&amp;M660)+COUNTIFS(MOT_MOTOR,G660,MOT_MARCA,"(todas)",MOT_DESDE,"&lt;="&amp;M660,MOT_HASTA,"&gt;="&amp;M660)</f>
        <v/>
      </c>
      <c r="BK660" s="3">
        <f>IF(AND(K660="diesel",BJ660=0),MIN(BG660,NEUTRO),BG660)</f>
        <v/>
      </c>
      <c r="BL660" s="4">
        <f>MAX(0,MIN(100,BK660+BH660+BI660))</f>
        <v/>
      </c>
      <c r="BM660" s="3">
        <f>MAX(0,MIN(100,50+BE660*PRECIO_PEND))</f>
        <v/>
      </c>
      <c r="BN660" s="3">
        <f>MAX(0,100*(1-N660/KM_MAX))</f>
        <v/>
      </c>
      <c r="BO660" s="3">
        <f>IF(AV660&lt;KMA_SOSP,IF(AA660="sí",100,KMA_PEN),IF(AV660&lt;=KMA_IDEAL_MAX,100,MAX(0,100*(KMA_CERO-AV660)/(KMA_CERO-KMA_IDEAL_MAX))))</f>
        <v/>
      </c>
      <c r="BP660" s="3">
        <f>MAX(0,MIN(100,100*(M660-ANIO_MIN)/(ANIO_ACTUAL-ANIO_MIN)))</f>
        <v/>
      </c>
      <c r="BQ660" s="3">
        <f>W_KMT*BN660+W_KMA*BO660+W_EDAD*BP660</f>
        <v/>
      </c>
      <c r="BR660" s="3">
        <f>P_ITV*(V660="sí")+P_LIBRO*(W660="sí")+P_CORREA*(X660="sí")+P_PROP*(Y660=1)+P_GAR*(Z660="sí")+P_FOTOS*MIN(1,N(U660)/FOTOS_OBJ)</f>
        <v/>
      </c>
      <c r="BS660" s="3">
        <f>IFERROR(VLOOKUP(BF660,ETQ_TBL,2,0),NEUTRO)</f>
        <v/>
      </c>
      <c r="BT660" s="3">
        <f>NEUTRO</f>
        <v/>
      </c>
      <c r="BU660" s="3">
        <f>IFERROR(VLOOKUP(L660,SEGURO_TBL,3,0),"")</f>
        <v/>
      </c>
      <c r="BV660" s="3">
        <f>IF(BU660="",NEUTRO,MAX(0,MIN(100,100*(SEG_REF_MAX-BU660)/(SEG_REF_MAX-SEG_REF_MIN))))</f>
        <v/>
      </c>
      <c r="BW660" s="3">
        <f>W_ET*BS660+W_CONS*BT660+W_SEG*BV660</f>
        <v/>
      </c>
      <c r="BX660" s="3">
        <f>IF(N(AB660)&gt;0,AB660,IF(AND(R660="profesional",SG_LEGAL_ON=1),GAR_LEGAL,0))</f>
        <v/>
      </c>
      <c r="BY660" s="3">
        <f>SG_GAR*MIN(1,BX660/SG_GAR_FULL)+SG_AMPL*(AC660="sí")+SG_KMC*(AF660="sí")+SG_REV*(N(AE660)&gt;0)+SG_DEV*MIN(1,N(AG660)/SG_DEV_FULL)+SG_HIST*(W660="sí")</f>
        <v/>
      </c>
      <c r="BZ660" s="3">
        <f>IFERROR(VLOOKUP(L660,CARR_PEN_TBL,2,0),0)</f>
        <v/>
      </c>
      <c r="CA660" s="3">
        <f>W_FIAB*BL660+W_PRECIO*BM660+W_KMEDAD*BQ660+W_ANUNCIO*BR660+W_USO*BW660+W_SEGURIDAD*BY660-BZ660</f>
        <v/>
      </c>
      <c r="CB660" s="4">
        <f>IF(N(I660)&gt;0,I660,IFERROR(ROUND(_xlfn.NUMBERVALUE(LEFT(G660,FIND(" ",G660&amp;" ")-1),".")*1000,0),99999))</f>
        <v/>
      </c>
      <c r="CC660" s="3">
        <f>IF(R660="profesional",0,IF(O660&lt;CUOTA_VALOR_MAX,IF(AU660&gt;ITP_TRAMO_ALTO,SUMIFS(CF_CUOTA,CF_MAS,ITP_TRAMO_ALTO,CF_CCMIN,"&lt;="&amp;CB660,CF_CCMAX,"&gt;="&amp;CB660),IF(AU660&gt;ITP_TRAMO_BAJO,SUMIFS(CF_CUOTA,CF_MAS,ITP_TRAMO_BAJO,CF_CCMIN,"&lt;="&amp;CB660,CF_CCMAX,"&gt;="&amp;CB660),O660*ITP_TIPO)),O660*ITP_TIPO))</f>
        <v/>
      </c>
      <c r="CD660" s="4">
        <f>IF(R660="profesional",N(AK660),0)</f>
        <v/>
      </c>
      <c r="CE660" s="3">
        <f>IF(AND(R660="profesional",ISNUMBER(AK660),AL660="sí"),0,TASA_DGT)</f>
        <v/>
      </c>
      <c r="CF660" s="3">
        <f>INFORME_DGT</f>
        <v/>
      </c>
      <c r="CG660" s="4">
        <f>O660+CD660+CC660+CE660+CF660</f>
        <v/>
      </c>
      <c r="CH660" s="4">
        <f>CG660+N(BU660)</f>
        <v/>
      </c>
      <c r="CI660" s="3">
        <f>IF(CG660&lt;=TOTAL_MAX,"sí",IF(CG660&lt;=TOTAL_MAX+MARGEN_NEG,"negociar","no"))</f>
        <v/>
      </c>
      <c r="CJ660" s="4">
        <f>IF(CI660&lt;&gt;"no",COUNTIFS($CI$2:$CI$662,"&lt;&gt;no",$CA$2:$CA$662,"&gt;"&amp;CA660)+COUNTIFS($CI$2:CI660,"&lt;&gt;no",$CA$2:CA660,CA660),"")</f>
        <v/>
      </c>
    </row>
    <row r="661">
      <c r="A661" s="2" t="inlineStr">
        <is>
          <t>cochesnet:71502762</t>
        </is>
      </c>
      <c r="B661" s="2" t="inlineStr">
        <is>
          <t>cochesnet</t>
        </is>
      </c>
      <c r="C661" s="2" t="inlineStr">
        <is>
          <t>https://www.coches.net/chevrolet-epica-20-vcdi-16v-lt-4p-diesel-2009-en-castellon-71502762-covo.aspx</t>
        </is>
      </c>
      <c r="D661" s="2" t="inlineStr">
        <is>
          <t>CHEVROLET Epica 2.0 VCDI 16v LT</t>
        </is>
      </c>
      <c r="E661" s="2" t="inlineStr">
        <is>
          <t>Chevrolet</t>
        </is>
      </c>
      <c r="F661" s="2" t="inlineStr">
        <is>
          <t>Chevrolet Epica</t>
        </is>
      </c>
      <c r="G661" s="2" t="inlineStr">
        <is>
          <t>2.0</t>
        </is>
      </c>
      <c r="H661" s="2" t="inlineStr">
        <is>
          <t>2.0 VCDI 16v LT</t>
        </is>
      </c>
      <c r="I661" s="2" t="n"/>
      <c r="J661" s="2" t="n"/>
      <c r="K661" s="2" t="inlineStr">
        <is>
          <t>diesel</t>
        </is>
      </c>
      <c r="L661" s="2" t="inlineStr">
        <is>
          <t>berlina</t>
        </is>
      </c>
      <c r="M661" s="2" t="n">
        <v>2009</v>
      </c>
      <c r="N661" s="2" t="n">
        <v>175000</v>
      </c>
      <c r="O661" s="2" t="n">
        <v>2500</v>
      </c>
      <c r="P661" s="2" t="inlineStr">
        <is>
          <t>manual</t>
        </is>
      </c>
      <c r="Q661" s="2" t="inlineStr">
        <is>
          <t>no</t>
        </is>
      </c>
      <c r="R661" s="2" t="inlineStr">
        <is>
          <t>particular</t>
        </is>
      </c>
      <c r="S661" s="2" t="inlineStr">
        <is>
          <t>Oropesa del Mar / Orpesa</t>
        </is>
      </c>
      <c r="T661" s="2" t="inlineStr">
        <is>
          <t>2026-09-14T09:15:55Z</t>
        </is>
      </c>
      <c r="U661" s="2" t="n">
        <v>8</v>
      </c>
      <c r="V661" s="2" t="n"/>
      <c r="W661" s="2" t="n"/>
      <c r="X661" s="2" t="n"/>
      <c r="Y661" s="2" t="n"/>
      <c r="Z661" s="2" t="inlineStr">
        <is>
          <t>no</t>
        </is>
      </c>
      <c r="AA661" s="2" t="n"/>
      <c r="AB661" s="2" t="n"/>
      <c r="AC661" s="2" t="n"/>
      <c r="AD661" s="2" t="n"/>
      <c r="AE661" s="2" t="n"/>
      <c r="AF661" s="2" t="n"/>
      <c r="AG661" s="2" t="n"/>
      <c r="AH661" s="2" t="n">
        <v>2500</v>
      </c>
      <c r="AI661" s="2" t="n"/>
      <c r="AJ661" s="2" t="n"/>
      <c r="AK661" s="2" t="n"/>
      <c r="AL661" s="2" t="n"/>
      <c r="AM661" s="2" t="n"/>
      <c r="AN661" s="2" t="n">
        <v>3600</v>
      </c>
      <c r="AO661" s="2" t="n">
        <v>8</v>
      </c>
      <c r="AP661" s="2" t="inlineStr">
        <is>
          <t>modelo+año</t>
        </is>
      </c>
      <c r="AQ661" s="2" t="n"/>
      <c r="AR661" s="2" t="inlineStr">
        <is>
          <t>cuota fija ITP: &gt;12 años, 1.501-2.000 cc; diésel: motor sin fuente de fiabilidad (fiabilidad limitada a neutra); carrocería berlina: -4 puntos; distancia no verificable (el anuncio solo indica la provincia): confirmar que está a &lt;= 70 km; fiabilidad del modelo PENDIENTE de fuente (puntuación neutra)</t>
        </is>
      </c>
      <c r="AS661" s="2" t="inlineStr">
        <is>
          <t xml:space="preserve">Si buscas un coche que combine comodidad, eficiencia y diseño, este es para ti.
Te presento mi Chevrolet Epica 2.0 VCDI, un berlina diésel de referencia que ofrece exactamente lo que necesitas: un motor potente de 150 CV con un consumo eficiente característico de los motores diesel, ideal para quien realiza muchos kilómetros sin sacrificar rendimiento.
El vehículo se encuentra en buen estado tanto exterior como interior, reflejando un uso habitual pero responsable. La carrocería blanca mantiene su buen aspecto y el interior presenta el desgaste normal de un coche de uso cotidiano. Es una berlina de cinco plazas perfecta para familias o profesionales que necesitan espacio y practicidad en sus desplazamientos.
Con cambio manual y una estructura robusta típica de Chevrolet, este Epica es conocido por su fiabilidad y durabilidad. Su configuración de cuatro puertas lo hace accesible y funcional para el día a día, mientras que la potencia del motor garantiza una conducción segura tanto en ciudad como en autopista.
Este es un vehículo que cumple, sin pretensiones, pero con solidez. No busques lujos innecesarios, sino un compañero de viaje en el que confiar. El precio refleja su realidad: un coche de verdad, con años de vida útil por delante y sin sorpresas.
Si tienes dudas sobre aspectos específicos no detallados en la ficha técnica, no dudes en contactarme. Estoy disponible por chat o teléfono para resolver cualquier pregunta que tengas.
Contacta hoy mismo y descubre por qué </t>
        </is>
      </c>
      <c r="AT661" s="2" t="inlineStr">
        <is>
          <t>https://www.coches.net/chevrolet-epica-20-vcdi-16v-lt-4p-diesel-2009-en-castellon-71502762-covo.aspx (window.__INITIAL_PROPS__.ad) /home/user/Alopecia/buscador-coches/raw/cochesnet/5bcab4fb39574565.json</t>
        </is>
      </c>
      <c r="AU661" s="3">
        <f>MAX(ANIO_ACTUAL-M661,0)</f>
        <v/>
      </c>
      <c r="AV661" s="4">
        <f>N661/MAX(AU661,0.5)</f>
        <v/>
      </c>
      <c r="AW661" s="4">
        <f>F661</f>
        <v/>
      </c>
      <c r="AX661" s="3">
        <f>AW661&amp;"|"&amp;INT(M661/SEG_ANIO)*SEG_ANIO</f>
        <v/>
      </c>
      <c r="AY661" s="3">
        <f>AX661&amp;"|"&amp;INT(N661/SEG_KM)*SEG_KM</f>
        <v/>
      </c>
      <c r="AZ661" s="4">
        <f>COUNTIF($AW$2:$AW$662,AW661)</f>
        <v/>
      </c>
      <c r="BA661" s="4">
        <f>COUNTIF($AX$2:$AX$662,AX661)</f>
        <v/>
      </c>
      <c r="BB661" s="4">
        <f>COUNTIF($AY$2:$AY$662,AY661)</f>
        <v/>
      </c>
      <c r="BC661" s="3">
        <f t="array" ref="BC661">IF(N(AO661)&gt;=MIN_N,AN661,IF(BB661&gt;=MIN_N,MEDIAN(IF($AY$2:$AY$662=AY661,$O$2:$O$662)),IF(BA661&gt;=MIN_N,MEDIAN(IF($AX$2:$AX$662=AX661,$O$2:$O$662)),MEDIAN(IF($AW$2:$AW$662=AW661,$O$2:$O$662)))))</f>
        <v/>
      </c>
      <c r="BD661" s="3">
        <f>IF(N(AO661)&gt;=MIN_N,"mercado "&amp;AP661,IF(BB661&gt;=MIN_N,"modelo+año+km",IF(BA661&gt;=MIN_N,"modelo+año","modelo")))</f>
        <v/>
      </c>
      <c r="BE661" s="4">
        <f>(BC661-O661)/BC661</f>
        <v/>
      </c>
      <c r="BF661" s="3">
        <f>IF(OR(K661="hibrido",K661="glp"),"ECO",IF(K661="electrico","CERO",IF(K661="gasolina",IF(M661&gt;=GAS_C,"C",IF(M661&gt;=GAS_B,"B","A")),IF(K661="diesel",IF(M661&gt;=DIE_C,"C",IF(M661&gt;=DIE_B,"B","A")),""))))</f>
        <v/>
      </c>
      <c r="BG661" s="3">
        <f>IFERROR(VLOOKUP(F661,MOD_TBL,11,0),IFERROR(VLOOKUP(E661,OCU_TBL,2,0),NEUTRO))</f>
        <v/>
      </c>
      <c r="BH661" s="3">
        <f>SUMIFS(MOT_AJUSTE,MOT_MOTOR,G661,MOT_MARCA,E661,MOT_DESDE,"&lt;="&amp;M661,MOT_HASTA,"&gt;="&amp;M661)+SUMIFS(MOT_AJUSTE,MOT_MOTOR,G661,MOT_MARCA,"(todas)",MOT_DESDE,"&lt;="&amp;M661,MOT_HASTA,"&gt;="&amp;M661)</f>
        <v/>
      </c>
      <c r="BI661" s="3">
        <f>SUMIFS(COMB_AJUSTE,COMB_COMB,K661)</f>
        <v/>
      </c>
      <c r="BJ661" s="3">
        <f>COUNTIFS(MOT_MOTOR,G661,MOT_MARCA,E661,MOT_DESDE,"&lt;="&amp;M661,MOT_HASTA,"&gt;="&amp;M661)+COUNTIFS(MOT_MOTOR,G661,MOT_MARCA,"(todas)",MOT_DESDE,"&lt;="&amp;M661,MOT_HASTA,"&gt;="&amp;M661)</f>
        <v/>
      </c>
      <c r="BK661" s="3">
        <f>IF(AND(K661="diesel",BJ661=0),MIN(BG661,NEUTRO),BG661)</f>
        <v/>
      </c>
      <c r="BL661" s="4">
        <f>MAX(0,MIN(100,BK661+BH661+BI661))</f>
        <v/>
      </c>
      <c r="BM661" s="3">
        <f>MAX(0,MIN(100,50+BE661*PRECIO_PEND))</f>
        <v/>
      </c>
      <c r="BN661" s="3">
        <f>MAX(0,100*(1-N661/KM_MAX))</f>
        <v/>
      </c>
      <c r="BO661" s="3">
        <f>IF(AV661&lt;KMA_SOSP,IF(AA661="sí",100,KMA_PEN),IF(AV661&lt;=KMA_IDEAL_MAX,100,MAX(0,100*(KMA_CERO-AV661)/(KMA_CERO-KMA_IDEAL_MAX))))</f>
        <v/>
      </c>
      <c r="BP661" s="3">
        <f>MAX(0,MIN(100,100*(M661-ANIO_MIN)/(ANIO_ACTUAL-ANIO_MIN)))</f>
        <v/>
      </c>
      <c r="BQ661" s="3">
        <f>W_KMT*BN661+W_KMA*BO661+W_EDAD*BP661</f>
        <v/>
      </c>
      <c r="BR661" s="3">
        <f>P_ITV*(V661="sí")+P_LIBRO*(W661="sí")+P_CORREA*(X661="sí")+P_PROP*(Y661=1)+P_GAR*(Z661="sí")+P_FOTOS*MIN(1,N(U661)/FOTOS_OBJ)</f>
        <v/>
      </c>
      <c r="BS661" s="3">
        <f>IFERROR(VLOOKUP(BF661,ETQ_TBL,2,0),NEUTRO)</f>
        <v/>
      </c>
      <c r="BT661" s="3">
        <f>NEUTRO</f>
        <v/>
      </c>
      <c r="BU661" s="3">
        <f>IFERROR(VLOOKUP(L661,SEGURO_TBL,3,0),"")</f>
        <v/>
      </c>
      <c r="BV661" s="3">
        <f>IF(BU661="",NEUTRO,MAX(0,MIN(100,100*(SEG_REF_MAX-BU661)/(SEG_REF_MAX-SEG_REF_MIN))))</f>
        <v/>
      </c>
      <c r="BW661" s="3">
        <f>W_ET*BS661+W_CONS*BT661+W_SEG*BV661</f>
        <v/>
      </c>
      <c r="BX661" s="3">
        <f>IF(N(AB661)&gt;0,AB661,IF(AND(R661="profesional",SG_LEGAL_ON=1),GAR_LEGAL,0))</f>
        <v/>
      </c>
      <c r="BY661" s="3">
        <f>SG_GAR*MIN(1,BX661/SG_GAR_FULL)+SG_AMPL*(AC661="sí")+SG_KMC*(AF661="sí")+SG_REV*(N(AE661)&gt;0)+SG_DEV*MIN(1,N(AG661)/SG_DEV_FULL)+SG_HIST*(W661="sí")</f>
        <v/>
      </c>
      <c r="BZ661" s="3">
        <f>IFERROR(VLOOKUP(L661,CARR_PEN_TBL,2,0),0)</f>
        <v/>
      </c>
      <c r="CA661" s="3">
        <f>W_FIAB*BL661+W_PRECIO*BM661+W_KMEDAD*BQ661+W_ANUNCIO*BR661+W_USO*BW661+W_SEGURIDAD*BY661-BZ661</f>
        <v/>
      </c>
      <c r="CB661" s="4">
        <f>IF(N(I661)&gt;0,I661,IFERROR(ROUND(_xlfn.NUMBERVALUE(LEFT(G661,FIND(" ",G661&amp;" ")-1),".")*1000,0),99999))</f>
        <v/>
      </c>
      <c r="CC661" s="3">
        <f>IF(R661="profesional",0,IF(O661&lt;CUOTA_VALOR_MAX,IF(AU661&gt;ITP_TRAMO_ALTO,SUMIFS(CF_CUOTA,CF_MAS,ITP_TRAMO_ALTO,CF_CCMIN,"&lt;="&amp;CB661,CF_CCMAX,"&gt;="&amp;CB661),IF(AU661&gt;ITP_TRAMO_BAJO,SUMIFS(CF_CUOTA,CF_MAS,ITP_TRAMO_BAJO,CF_CCMIN,"&lt;="&amp;CB661,CF_CCMAX,"&gt;="&amp;CB661),O661*ITP_TIPO)),O661*ITP_TIPO))</f>
        <v/>
      </c>
      <c r="CD661" s="4">
        <f>IF(R661="profesional",N(AK661),0)</f>
        <v/>
      </c>
      <c r="CE661" s="3">
        <f>IF(AND(R661="profesional",ISNUMBER(AK661),AL661="sí"),0,TASA_DGT)</f>
        <v/>
      </c>
      <c r="CF661" s="3">
        <f>INFORME_DGT</f>
        <v/>
      </c>
      <c r="CG661" s="4">
        <f>O661+CD661+CC661+CE661+CF661</f>
        <v/>
      </c>
      <c r="CH661" s="4">
        <f>CG661+N(BU661)</f>
        <v/>
      </c>
      <c r="CI661" s="3">
        <f>IF(CG661&lt;=TOTAL_MAX,"sí",IF(CG661&lt;=TOTAL_MAX+MARGEN_NEG,"negociar","no"))</f>
        <v/>
      </c>
      <c r="CJ661" s="4">
        <f>IF(CI661&lt;&gt;"no",COUNTIFS($CI$2:$CI$662,"&lt;&gt;no",$CA$2:$CA$662,"&gt;"&amp;CA661)+COUNTIFS($CI$2:CI661,"&lt;&gt;no",$CA$2:CA661,CA661),"")</f>
        <v/>
      </c>
    </row>
    <row r="662">
      <c r="A662" s="2" t="inlineStr">
        <is>
          <t>cochesnet:71319739</t>
        </is>
      </c>
      <c r="B662" s="2" t="inlineStr">
        <is>
          <t>cochesnet</t>
        </is>
      </c>
      <c r="C662" s="2" t="inlineStr">
        <is>
          <t>https://www.coches.net/chevrolet-kalos-12-se-3p-gasolina-2006-en-castellon-71319739-covo.aspx</t>
        </is>
      </c>
      <c r="D662" s="2" t="inlineStr">
        <is>
          <t>CHEVROLET Kalos 1.2 SE</t>
        </is>
      </c>
      <c r="E662" s="2" t="inlineStr">
        <is>
          <t>Chevrolet</t>
        </is>
      </c>
      <c r="F662" s="2" t="inlineStr">
        <is>
          <t>Chevrolet Kalos</t>
        </is>
      </c>
      <c r="G662" s="2" t="inlineStr">
        <is>
          <t>1.2</t>
        </is>
      </c>
      <c r="H662" s="2" t="inlineStr">
        <is>
          <t>1.2 SE</t>
        </is>
      </c>
      <c r="I662" s="2" t="n"/>
      <c r="J662" s="2" t="n"/>
      <c r="K662" s="2" t="inlineStr">
        <is>
          <t>gasolina</t>
        </is>
      </c>
      <c r="L662" s="2" t="inlineStr">
        <is>
          <t>utilitario</t>
        </is>
      </c>
      <c r="M662" s="2" t="n">
        <v>2007</v>
      </c>
      <c r="N662" s="2" t="n">
        <v>99000</v>
      </c>
      <c r="O662" s="2" t="n">
        <v>3350</v>
      </c>
      <c r="P662" s="2" t="inlineStr">
        <is>
          <t>manual</t>
        </is>
      </c>
      <c r="Q662" s="2" t="inlineStr">
        <is>
          <t>no</t>
        </is>
      </c>
      <c r="R662" s="2" t="inlineStr">
        <is>
          <t>profesional</t>
        </is>
      </c>
      <c r="S662" s="2" t="inlineStr">
        <is>
          <t>Andrés Cars Castellón de la Plana / Castelló de la Plana</t>
        </is>
      </c>
      <c r="T662" s="2" t="inlineStr">
        <is>
          <t>2026-08-19T10:36:35Z</t>
        </is>
      </c>
      <c r="U662" s="2" t="n">
        <v>34</v>
      </c>
      <c r="V662" s="2" t="inlineStr">
        <is>
          <t>sí</t>
        </is>
      </c>
      <c r="W662" s="2" t="inlineStr">
        <is>
          <t>sí</t>
        </is>
      </c>
      <c r="X662" s="2" t="inlineStr">
        <is>
          <t>sí</t>
        </is>
      </c>
      <c r="Y662" s="2" t="n">
        <v>1</v>
      </c>
      <c r="Z662" s="2" t="inlineStr">
        <is>
          <t>sí</t>
        </is>
      </c>
      <c r="AA662" s="2" t="n"/>
      <c r="AB662" s="2" t="n">
        <v>12</v>
      </c>
      <c r="AC662" s="2" t="n"/>
      <c r="AD662" s="2" t="n"/>
      <c r="AE662" s="2" t="n"/>
      <c r="AF662" s="2" t="n"/>
      <c r="AG662" s="2" t="n"/>
      <c r="AH662" s="2" t="n">
        <v>3350</v>
      </c>
      <c r="AI662" s="2" t="n"/>
      <c r="AJ662" s="2" t="n"/>
      <c r="AK662" s="2" t="n"/>
      <c r="AL662" s="2" t="n"/>
      <c r="AM662" s="2" t="n"/>
      <c r="AN662" s="2" t="n">
        <v>2999</v>
      </c>
      <c r="AO662" s="2" t="n">
        <v>6</v>
      </c>
      <c r="AP662" s="2" t="inlineStr">
        <is>
          <t>modelo+año</t>
        </is>
      </c>
      <c r="AQ662" s="2" t="n"/>
      <c r="AR662" s="2" t="inlineStr">
        <is>
          <t>vendedor profesional: sin ITP (operación con IVA/REBU, confirmar en factura); gastos de gestión del vendedor no indicados: se suma la tasa DGT; preguntar el precio final; distancia no verificable (el anuncio solo indica la provincia): confirmar que está a &lt;= 70 km; fiabilidad del modelo PENDIENTE de fuente (puntuación neutra)</t>
        </is>
      </c>
      <c r="AS662" s="2" t="inlineStr">
        <is>
          <t>Etiqueta medioambiental C.
 Puede entrar en las grandes ciudades. 
Vehículo procedente de primera mano, con tan solo 100 mil kilómetros y en perfecto estado tanto de chapa como de mecanica. 
Lleva motor 1,2 gasolina con 65 cv de potencia, consumo muy bajo. 
Mantenimiento al día, con el kit de distribución recién cambiado, todo con factura y garantía.
Se entrega con itv recien pasada .
Admito prueba de taller.
Cambio de nombre aparte 150 €. 
Precio no negociable.
Anuncio  con titulo informativo y no contractual.
GRACIAS.</t>
        </is>
      </c>
      <c r="AT662" s="2" t="inlineStr">
        <is>
          <t>https://www.coches.net/chevrolet-kalos-12-se-3p-gasolina-2006-en-castellon-71319739-covo.aspx (window.__INITIAL_PROPS__.ad) /home/user/Alopecia/buscador-coches/raw/cochesnet/77f0948f945de291.json</t>
        </is>
      </c>
      <c r="AU662" s="3">
        <f>MAX(ANIO_ACTUAL-M662,0)</f>
        <v/>
      </c>
      <c r="AV662" s="4">
        <f>N662/MAX(AU662,0.5)</f>
        <v/>
      </c>
      <c r="AW662" s="4">
        <f>F662</f>
        <v/>
      </c>
      <c r="AX662" s="3">
        <f>AW662&amp;"|"&amp;INT(M662/SEG_ANIO)*SEG_ANIO</f>
        <v/>
      </c>
      <c r="AY662" s="3">
        <f>AX662&amp;"|"&amp;INT(N662/SEG_KM)*SEG_KM</f>
        <v/>
      </c>
      <c r="AZ662" s="4">
        <f>COUNTIF($AW$2:$AW$662,AW662)</f>
        <v/>
      </c>
      <c r="BA662" s="4">
        <f>COUNTIF($AX$2:$AX$662,AX662)</f>
        <v/>
      </c>
      <c r="BB662" s="4">
        <f>COUNTIF($AY$2:$AY$662,AY662)</f>
        <v/>
      </c>
      <c r="BC662" s="3">
        <f t="array" ref="BC662">IF(N(AO662)&gt;=MIN_N,AN662,IF(BB662&gt;=MIN_N,MEDIAN(IF($AY$2:$AY$662=AY662,$O$2:$O$662)),IF(BA662&gt;=MIN_N,MEDIAN(IF($AX$2:$AX$662=AX662,$O$2:$O$662)),MEDIAN(IF($AW$2:$AW$662=AW662,$O$2:$O$662)))))</f>
        <v/>
      </c>
      <c r="BD662" s="3">
        <f>IF(N(AO662)&gt;=MIN_N,"mercado "&amp;AP662,IF(BB662&gt;=MIN_N,"modelo+año+km",IF(BA662&gt;=MIN_N,"modelo+año","modelo")))</f>
        <v/>
      </c>
      <c r="BE662" s="4">
        <f>(BC662-O662)/BC662</f>
        <v/>
      </c>
      <c r="BF662" s="3">
        <f>IF(OR(K662="hibrido",K662="glp"),"ECO",IF(K662="electrico","CERO",IF(K662="gasolina",IF(M662&gt;=GAS_C,"C",IF(M662&gt;=GAS_B,"B","A")),IF(K662="diesel",IF(M662&gt;=DIE_C,"C",IF(M662&gt;=DIE_B,"B","A")),""))))</f>
        <v/>
      </c>
      <c r="BG662" s="3">
        <f>IFERROR(VLOOKUP(F662,MOD_TBL,11,0),IFERROR(VLOOKUP(E662,OCU_TBL,2,0),NEUTRO))</f>
        <v/>
      </c>
      <c r="BH662" s="3">
        <f>SUMIFS(MOT_AJUSTE,MOT_MOTOR,G662,MOT_MARCA,E662,MOT_DESDE,"&lt;="&amp;M662,MOT_HASTA,"&gt;="&amp;M662)+SUMIFS(MOT_AJUSTE,MOT_MOTOR,G662,MOT_MARCA,"(todas)",MOT_DESDE,"&lt;="&amp;M662,MOT_HASTA,"&gt;="&amp;M662)</f>
        <v/>
      </c>
      <c r="BI662" s="3">
        <f>SUMIFS(COMB_AJUSTE,COMB_COMB,K662)</f>
        <v/>
      </c>
      <c r="BJ662" s="3">
        <f>COUNTIFS(MOT_MOTOR,G662,MOT_MARCA,E662,MOT_DESDE,"&lt;="&amp;M662,MOT_HASTA,"&gt;="&amp;M662)+COUNTIFS(MOT_MOTOR,G662,MOT_MARCA,"(todas)",MOT_DESDE,"&lt;="&amp;M662,MOT_HASTA,"&gt;="&amp;M662)</f>
        <v/>
      </c>
      <c r="BK662" s="3">
        <f>IF(AND(K662="diesel",BJ662=0),MIN(BG662,NEUTRO),BG662)</f>
        <v/>
      </c>
      <c r="BL662" s="4">
        <f>MAX(0,MIN(100,BK662+BH662+BI662))</f>
        <v/>
      </c>
      <c r="BM662" s="3">
        <f>MAX(0,MIN(100,50+BE662*PRECIO_PEND))</f>
        <v/>
      </c>
      <c r="BN662" s="3">
        <f>MAX(0,100*(1-N662/KM_MAX))</f>
        <v/>
      </c>
      <c r="BO662" s="3">
        <f>IF(AV662&lt;KMA_SOSP,IF(AA662="sí",100,KMA_PEN),IF(AV662&lt;=KMA_IDEAL_MAX,100,MAX(0,100*(KMA_CERO-AV662)/(KMA_CERO-KMA_IDEAL_MAX))))</f>
        <v/>
      </c>
      <c r="BP662" s="3">
        <f>MAX(0,MIN(100,100*(M662-ANIO_MIN)/(ANIO_ACTUAL-ANIO_MIN)))</f>
        <v/>
      </c>
      <c r="BQ662" s="3">
        <f>W_KMT*BN662+W_KMA*BO662+W_EDAD*BP662</f>
        <v/>
      </c>
      <c r="BR662" s="3">
        <f>P_ITV*(V662="sí")+P_LIBRO*(W662="sí")+P_CORREA*(X662="sí")+P_PROP*(Y662=1)+P_GAR*(Z662="sí")+P_FOTOS*MIN(1,N(U662)/FOTOS_OBJ)</f>
        <v/>
      </c>
      <c r="BS662" s="3">
        <f>IFERROR(VLOOKUP(BF662,ETQ_TBL,2,0),NEUTRO)</f>
        <v/>
      </c>
      <c r="BT662" s="3">
        <f>NEUTRO</f>
        <v/>
      </c>
      <c r="BU662" s="3">
        <f>IFERROR(VLOOKUP(L662,SEGURO_TBL,3,0),"")</f>
        <v/>
      </c>
      <c r="BV662" s="3">
        <f>IF(BU662="",NEUTRO,MAX(0,MIN(100,100*(SEG_REF_MAX-BU662)/(SEG_REF_MAX-SEG_REF_MIN))))</f>
        <v/>
      </c>
      <c r="BW662" s="3">
        <f>W_ET*BS662+W_CONS*BT662+W_SEG*BV662</f>
        <v/>
      </c>
      <c r="BX662" s="3">
        <f>IF(N(AB662)&gt;0,AB662,IF(AND(R662="profesional",SG_LEGAL_ON=1),GAR_LEGAL,0))</f>
        <v/>
      </c>
      <c r="BY662" s="3">
        <f>SG_GAR*MIN(1,BX662/SG_GAR_FULL)+SG_AMPL*(AC662="sí")+SG_KMC*(AF662="sí")+SG_REV*(N(AE662)&gt;0)+SG_DEV*MIN(1,N(AG662)/SG_DEV_FULL)+SG_HIST*(W662="sí")</f>
        <v/>
      </c>
      <c r="BZ662" s="3">
        <f>IFERROR(VLOOKUP(L662,CARR_PEN_TBL,2,0),0)</f>
        <v/>
      </c>
      <c r="CA662" s="3">
        <f>W_FIAB*BL662+W_PRECIO*BM662+W_KMEDAD*BQ662+W_ANUNCIO*BR662+W_USO*BW662+W_SEGURIDAD*BY662-BZ662</f>
        <v/>
      </c>
      <c r="CB662" s="4">
        <f>IF(N(I662)&gt;0,I662,IFERROR(ROUND(_xlfn.NUMBERVALUE(LEFT(G662,FIND(" ",G662&amp;" ")-1),".")*1000,0),99999))</f>
        <v/>
      </c>
      <c r="CC662" s="3">
        <f>IF(R662="profesional",0,IF(O662&lt;CUOTA_VALOR_MAX,IF(AU662&gt;ITP_TRAMO_ALTO,SUMIFS(CF_CUOTA,CF_MAS,ITP_TRAMO_ALTO,CF_CCMIN,"&lt;="&amp;CB662,CF_CCMAX,"&gt;="&amp;CB662),IF(AU662&gt;ITP_TRAMO_BAJO,SUMIFS(CF_CUOTA,CF_MAS,ITP_TRAMO_BAJO,CF_CCMIN,"&lt;="&amp;CB662,CF_CCMAX,"&gt;="&amp;CB662),O662*ITP_TIPO)),O662*ITP_TIPO))</f>
        <v/>
      </c>
      <c r="CD662" s="4">
        <f>IF(R662="profesional",N(AK662),0)</f>
        <v/>
      </c>
      <c r="CE662" s="3">
        <f>IF(AND(R662="profesional",ISNUMBER(AK662),AL662="sí"),0,TASA_DGT)</f>
        <v/>
      </c>
      <c r="CF662" s="3">
        <f>INFORME_DGT</f>
        <v/>
      </c>
      <c r="CG662" s="4">
        <f>O662+CD662+CC662+CE662+CF662</f>
        <v/>
      </c>
      <c r="CH662" s="4">
        <f>CG662+N(BU662)</f>
        <v/>
      </c>
      <c r="CI662" s="3">
        <f>IF(CG662&lt;=TOTAL_MAX,"sí",IF(CG662&lt;=TOTAL_MAX+MARGEN_NEG,"negociar","no"))</f>
        <v/>
      </c>
      <c r="CJ662" s="4">
        <f>IF(CI662&lt;&gt;"no",COUNTIFS($CI$2:$CI$662,"&lt;&gt;no",$CA$2:$CA$662,"&gt;"&amp;CA662)+COUNTIFS($CI$2:CI662,"&lt;&gt;no",$CA$2:CA662,CA662),"")</f>
        <v/>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 xmlns:r="http://schemas.openxmlformats.org/officeDocument/2006/relationships" ref="C649" r:id="rId648"/>
    <hyperlink xmlns:r="http://schemas.openxmlformats.org/officeDocument/2006/relationships" ref="C650" r:id="rId649"/>
    <hyperlink xmlns:r="http://schemas.openxmlformats.org/officeDocument/2006/relationships" ref="C651" r:id="rId650"/>
    <hyperlink xmlns:r="http://schemas.openxmlformats.org/officeDocument/2006/relationships" ref="C652" r:id="rId651"/>
    <hyperlink xmlns:r="http://schemas.openxmlformats.org/officeDocument/2006/relationships" ref="C653" r:id="rId652"/>
    <hyperlink xmlns:r="http://schemas.openxmlformats.org/officeDocument/2006/relationships" ref="C654" r:id="rId653"/>
    <hyperlink xmlns:r="http://schemas.openxmlformats.org/officeDocument/2006/relationships" ref="C655" r:id="rId654"/>
    <hyperlink xmlns:r="http://schemas.openxmlformats.org/officeDocument/2006/relationships" ref="C656" r:id="rId655"/>
    <hyperlink xmlns:r="http://schemas.openxmlformats.org/officeDocument/2006/relationships" ref="C657" r:id="rId656"/>
    <hyperlink xmlns:r="http://schemas.openxmlformats.org/officeDocument/2006/relationships" ref="C658" r:id="rId657"/>
    <hyperlink xmlns:r="http://schemas.openxmlformats.org/officeDocument/2006/relationships" ref="C659" r:id="rId658"/>
    <hyperlink xmlns:r="http://schemas.openxmlformats.org/officeDocument/2006/relationships" ref="C660" r:id="rId659"/>
    <hyperlink xmlns:r="http://schemas.openxmlformats.org/officeDocument/2006/relationships" ref="C661" r:id="rId660"/>
    <hyperlink xmlns:r="http://schemas.openxmlformats.org/officeDocument/2006/relationships" ref="C662" r:id="rId66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K23"/>
  <sheetViews>
    <sheetView workbookViewId="0">
      <selection activeCell="A1" sqref="A1"/>
    </sheetView>
  </sheetViews>
  <sheetFormatPr baseColWidth="8" defaultRowHeight="15"/>
  <cols>
    <col width="14" customWidth="1" min="1" max="1"/>
    <col width="14" customWidth="1" min="2" max="2"/>
    <col width="14" customWidth="1" min="3" max="3"/>
    <col width="40"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s>
  <sheetData>
    <row r="1">
      <c r="A1" s="1" t="inlineStr">
        <is>
          <t>Puesto</t>
        </is>
      </c>
      <c r="B1" s="1" t="inlineStr">
        <is>
          <t>Fila en Anuncios</t>
        </is>
      </c>
      <c r="C1" s="1" t="inlineStr">
        <is>
          <t>Enlace</t>
        </is>
      </c>
      <c r="D1" s="1" t="inlineStr">
        <is>
          <t>Título</t>
        </is>
      </c>
      <c r="E1" s="1" t="inlineStr">
        <is>
          <t>Plataforma</t>
        </is>
      </c>
      <c r="F1" s="1" t="inlineStr">
        <is>
          <t>Marca</t>
        </is>
      </c>
      <c r="G1" s="1" t="inlineStr">
        <is>
          <t>Modelo</t>
        </is>
      </c>
      <c r="H1" s="1" t="inlineStr">
        <is>
          <t>Motor</t>
        </is>
      </c>
      <c r="I1" s="1" t="inlineStr">
        <is>
          <t>Combustible</t>
        </is>
      </c>
      <c r="J1" s="1" t="inlineStr">
        <is>
          <t>Año</t>
        </is>
      </c>
      <c r="K1" s="1" t="inlineStr">
        <is>
          <t>Km</t>
        </is>
      </c>
      <c r="L1" s="1" t="inlineStr">
        <is>
          <t>Automático</t>
        </is>
      </c>
      <c r="M1" s="1" t="inlineStr">
        <is>
          <t>Vendedor</t>
        </is>
      </c>
      <c r="N1" s="1" t="inlineStr">
        <is>
          <t>Precio contado (€)</t>
        </is>
      </c>
      <c r="O1" s="1" t="inlineStr">
        <is>
          <t>Solo financiando</t>
        </is>
      </c>
      <c r="P1" s="1" t="inlineStr">
        <is>
          <t>Precio financiado (€)</t>
        </is>
      </c>
      <c r="Q1" s="1" t="inlineStr">
        <is>
          <t>Garantía efectiva (meses)</t>
        </is>
      </c>
      <c r="R1" s="1" t="inlineStr">
        <is>
          <t>Gastos vendedor (€)</t>
        </is>
      </c>
      <c r="S1" s="1" t="inlineStr">
        <is>
          <t>ITP (€)</t>
        </is>
      </c>
      <c r="T1" s="1" t="inlineStr">
        <is>
          <t>Coste total (€)</t>
        </is>
      </c>
      <c r="U1" s="1" t="inlineStr">
        <is>
          <t>Mediana segmento (€)</t>
        </is>
      </c>
      <c r="V1" s="1" t="inlineStr">
        <is>
          <t>Descuento</t>
        </is>
      </c>
      <c r="W1" s="1" t="inlineStr">
        <is>
          <t>Etiqueta</t>
        </is>
      </c>
      <c r="X1" s="1" t="inlineStr">
        <is>
          <t>P. Fiabilidad</t>
        </is>
      </c>
      <c r="Y1" s="1" t="inlineStr">
        <is>
          <t>P. Precio</t>
        </is>
      </c>
      <c r="Z1" s="1" t="inlineStr">
        <is>
          <t>P. Km y edad</t>
        </is>
      </c>
      <c r="AA1" s="1" t="inlineStr">
        <is>
          <t>P. Anuncio</t>
        </is>
      </c>
      <c r="AB1" s="1" t="inlineStr">
        <is>
          <t>P. Coste uso</t>
        </is>
      </c>
      <c r="AC1" s="1" t="inlineStr">
        <is>
          <t>P. Seguridad compra</t>
        </is>
      </c>
      <c r="AD1" s="1" t="inlineStr">
        <is>
          <t>PUNTUACIÓN</t>
        </is>
      </c>
      <c r="AE1" s="1" t="inlineStr">
        <is>
          <t>Avisos</t>
        </is>
      </c>
      <c r="AF1" s="1" t="inlineStr">
        <is>
          <t>Aport. fiabilidad</t>
        </is>
      </c>
      <c r="AG1" s="1" t="inlineStr">
        <is>
          <t>Aport. precio</t>
        </is>
      </c>
      <c r="AH1" s="1" t="inlineStr">
        <is>
          <t>Aport. km/edad</t>
        </is>
      </c>
      <c r="AI1" s="1" t="inlineStr">
        <is>
          <t>Aport. anuncio</t>
        </is>
      </c>
      <c r="AJ1" s="1" t="inlineStr">
        <is>
          <t>Aport. uso</t>
        </is>
      </c>
      <c r="AK1" s="1" t="inlineStr">
        <is>
          <t>Aport. seguridad</t>
        </is>
      </c>
    </row>
    <row r="2">
      <c r="A2" s="2" t="n">
        <v>1</v>
      </c>
      <c r="B2" s="3">
        <f>IFERROR(MATCH(A2,Anuncios!$CJ$2:$CJ$662,0),"")</f>
        <v/>
      </c>
      <c r="C2" s="3">
        <f>IF(B2="","",HYPERLINK(INDEX(Anuncios!$C$2:$C$662,B2),"Abrir anuncio"))</f>
        <v/>
      </c>
      <c r="D2" s="3">
        <f>IF($B2="","",INDEX(Anuncios!$D$2:$D$662,$B2))</f>
        <v/>
      </c>
      <c r="E2" s="3">
        <f>IF($B2="","",INDEX(Anuncios!$B$2:$B$662,$B2))</f>
        <v/>
      </c>
      <c r="F2" s="3">
        <f>IF($B2="","",INDEX(Anuncios!$E$2:$E$662,$B2))</f>
        <v/>
      </c>
      <c r="G2" s="3">
        <f>IF($B2="","",INDEX(Anuncios!$F$2:$F$662,$B2))</f>
        <v/>
      </c>
      <c r="H2" s="3">
        <f>IF($B2="","",INDEX(Anuncios!$G$2:$G$662,$B2))</f>
        <v/>
      </c>
      <c r="I2" s="3">
        <f>IF($B2="","",INDEX(Anuncios!$K$2:$K$662,$B2))</f>
        <v/>
      </c>
      <c r="J2" s="3">
        <f>IF($B2="","",INDEX(Anuncios!$M$2:$M$662,$B2))</f>
        <v/>
      </c>
      <c r="K2" s="3">
        <f>IF($B2="","",INDEX(Anuncios!$N$2:$N$662,$B2))</f>
        <v/>
      </c>
      <c r="L2" s="3">
        <f>IF($B2="","",INDEX(Anuncios!$Q$2:$Q$662,$B2))</f>
        <v/>
      </c>
      <c r="M2" s="3">
        <f>IF($B2="","",INDEX(Anuncios!$R$2:$R$662,$B2))</f>
        <v/>
      </c>
      <c r="N2" s="3">
        <f>IF($B2="","",INDEX(Anuncios!$O$2:$O$662,$B2))</f>
        <v/>
      </c>
      <c r="O2" s="3">
        <f>IF($B2="","",INDEX(Anuncios!$AJ$2:$AJ$662,$B2))</f>
        <v/>
      </c>
      <c r="P2" s="3">
        <f>IF($B2="","",INDEX(Anuncios!$AI$2:$AI$662,$B2))</f>
        <v/>
      </c>
      <c r="Q2" s="3">
        <f>IF($B2="","",INDEX(Anuncios!$BX$2:$BX$662,$B2))</f>
        <v/>
      </c>
      <c r="R2" s="3">
        <f>IF($B2="","",INDEX(Anuncios!$CD$2:$CD$662,$B2))</f>
        <v/>
      </c>
      <c r="S2" s="3">
        <f>IF($B2="","",INDEX(Anuncios!$CC$2:$CC$662,$B2))</f>
        <v/>
      </c>
      <c r="T2" s="3">
        <f>IF($B2="","",INDEX(Anuncios!$CG$2:$CG$662,$B2))</f>
        <v/>
      </c>
      <c r="U2" s="3">
        <f>IF($B2="","",INDEX(Anuncios!$BC$2:$BC$662,$B2))</f>
        <v/>
      </c>
      <c r="V2" s="3">
        <f>IF($B2="","",INDEX(Anuncios!$BE$2:$BE$662,$B2))</f>
        <v/>
      </c>
      <c r="W2" s="3">
        <f>IF($B2="","",INDEX(Anuncios!$BF$2:$BF$662,$B2))</f>
        <v/>
      </c>
      <c r="X2" s="3">
        <f>IF($B2="","",INDEX(Anuncios!$BL$2:$BL$662,$B2))</f>
        <v/>
      </c>
      <c r="Y2" s="3">
        <f>IF($B2="","",INDEX(Anuncios!$BM$2:$BM$662,$B2))</f>
        <v/>
      </c>
      <c r="Z2" s="3">
        <f>IF($B2="","",INDEX(Anuncios!$BQ$2:$BQ$662,$B2))</f>
        <v/>
      </c>
      <c r="AA2" s="3">
        <f>IF($B2="","",INDEX(Anuncios!$BR$2:$BR$662,$B2))</f>
        <v/>
      </c>
      <c r="AB2" s="3">
        <f>IF($B2="","",INDEX(Anuncios!$BW$2:$BW$662,$B2))</f>
        <v/>
      </c>
      <c r="AC2" s="3">
        <f>IF($B2="","",INDEX(Anuncios!$BY$2:$BY$662,$B2))</f>
        <v/>
      </c>
      <c r="AD2" s="3">
        <f>IF($B2="","",INDEX(Anuncios!$CA$2:$CA$662,$B2))</f>
        <v/>
      </c>
      <c r="AE2" s="3">
        <f>IF($B2="","",INDEX(Anuncios!$AR$2:$AR$662,$B2))</f>
        <v/>
      </c>
      <c r="AF2" s="3">
        <f>IF($B2="","",X2*W_FIAB)</f>
        <v/>
      </c>
      <c r="AG2" s="3">
        <f>IF($B2="","",Y2*W_PRECIO)</f>
        <v/>
      </c>
      <c r="AH2" s="3">
        <f>IF($B2="","",Z2*W_KMEDAD)</f>
        <v/>
      </c>
      <c r="AI2" s="3">
        <f>IF($B2="","",AA2*W_ANUNCIO)</f>
        <v/>
      </c>
      <c r="AJ2" s="3">
        <f>IF($B2="","",AB2*W_USO)</f>
        <v/>
      </c>
      <c r="AK2" s="3">
        <f>IF($B2="","",AC2*W_SEGURIDAD)</f>
        <v/>
      </c>
    </row>
    <row r="3">
      <c r="A3" s="2" t="n">
        <v>2</v>
      </c>
      <c r="B3" s="3">
        <f>IFERROR(MATCH(A3,Anuncios!$CJ$2:$CJ$662,0),"")</f>
        <v/>
      </c>
      <c r="C3" s="3">
        <f>IF(B3="","",HYPERLINK(INDEX(Anuncios!$C$2:$C$662,B3),"Abrir anuncio"))</f>
        <v/>
      </c>
      <c r="D3" s="3">
        <f>IF($B3="","",INDEX(Anuncios!$D$2:$D$662,$B3))</f>
        <v/>
      </c>
      <c r="E3" s="3">
        <f>IF($B3="","",INDEX(Anuncios!$B$2:$B$662,$B3))</f>
        <v/>
      </c>
      <c r="F3" s="3">
        <f>IF($B3="","",INDEX(Anuncios!$E$2:$E$662,$B3))</f>
        <v/>
      </c>
      <c r="G3" s="3">
        <f>IF($B3="","",INDEX(Anuncios!$F$2:$F$662,$B3))</f>
        <v/>
      </c>
      <c r="H3" s="3">
        <f>IF($B3="","",INDEX(Anuncios!$G$2:$G$662,$B3))</f>
        <v/>
      </c>
      <c r="I3" s="3">
        <f>IF($B3="","",INDEX(Anuncios!$K$2:$K$662,$B3))</f>
        <v/>
      </c>
      <c r="J3" s="3">
        <f>IF($B3="","",INDEX(Anuncios!$M$2:$M$662,$B3))</f>
        <v/>
      </c>
      <c r="K3" s="3">
        <f>IF($B3="","",INDEX(Anuncios!$N$2:$N$662,$B3))</f>
        <v/>
      </c>
      <c r="L3" s="3">
        <f>IF($B3="","",INDEX(Anuncios!$Q$2:$Q$662,$B3))</f>
        <v/>
      </c>
      <c r="M3" s="3">
        <f>IF($B3="","",INDEX(Anuncios!$R$2:$R$662,$B3))</f>
        <v/>
      </c>
      <c r="N3" s="3">
        <f>IF($B3="","",INDEX(Anuncios!$O$2:$O$662,$B3))</f>
        <v/>
      </c>
      <c r="O3" s="3">
        <f>IF($B3="","",INDEX(Anuncios!$AJ$2:$AJ$662,$B3))</f>
        <v/>
      </c>
      <c r="P3" s="3">
        <f>IF($B3="","",INDEX(Anuncios!$AI$2:$AI$662,$B3))</f>
        <v/>
      </c>
      <c r="Q3" s="3">
        <f>IF($B3="","",INDEX(Anuncios!$BX$2:$BX$662,$B3))</f>
        <v/>
      </c>
      <c r="R3" s="3">
        <f>IF($B3="","",INDEX(Anuncios!$CD$2:$CD$662,$B3))</f>
        <v/>
      </c>
      <c r="S3" s="3">
        <f>IF($B3="","",INDEX(Anuncios!$CC$2:$CC$662,$B3))</f>
        <v/>
      </c>
      <c r="T3" s="3">
        <f>IF($B3="","",INDEX(Anuncios!$CG$2:$CG$662,$B3))</f>
        <v/>
      </c>
      <c r="U3" s="3">
        <f>IF($B3="","",INDEX(Anuncios!$BC$2:$BC$662,$B3))</f>
        <v/>
      </c>
      <c r="V3" s="3">
        <f>IF($B3="","",INDEX(Anuncios!$BE$2:$BE$662,$B3))</f>
        <v/>
      </c>
      <c r="W3" s="3">
        <f>IF($B3="","",INDEX(Anuncios!$BF$2:$BF$662,$B3))</f>
        <v/>
      </c>
      <c r="X3" s="3">
        <f>IF($B3="","",INDEX(Anuncios!$BL$2:$BL$662,$B3))</f>
        <v/>
      </c>
      <c r="Y3" s="3">
        <f>IF($B3="","",INDEX(Anuncios!$BM$2:$BM$662,$B3))</f>
        <v/>
      </c>
      <c r="Z3" s="3">
        <f>IF($B3="","",INDEX(Anuncios!$BQ$2:$BQ$662,$B3))</f>
        <v/>
      </c>
      <c r="AA3" s="3">
        <f>IF($B3="","",INDEX(Anuncios!$BR$2:$BR$662,$B3))</f>
        <v/>
      </c>
      <c r="AB3" s="3">
        <f>IF($B3="","",INDEX(Anuncios!$BW$2:$BW$662,$B3))</f>
        <v/>
      </c>
      <c r="AC3" s="3">
        <f>IF($B3="","",INDEX(Anuncios!$BY$2:$BY$662,$B3))</f>
        <v/>
      </c>
      <c r="AD3" s="3">
        <f>IF($B3="","",INDEX(Anuncios!$CA$2:$CA$662,$B3))</f>
        <v/>
      </c>
      <c r="AE3" s="3">
        <f>IF($B3="","",INDEX(Anuncios!$AR$2:$AR$662,$B3))</f>
        <v/>
      </c>
      <c r="AF3" s="3">
        <f>IF($B3="","",X3*W_FIAB)</f>
        <v/>
      </c>
      <c r="AG3" s="3">
        <f>IF($B3="","",Y3*W_PRECIO)</f>
        <v/>
      </c>
      <c r="AH3" s="3">
        <f>IF($B3="","",Z3*W_KMEDAD)</f>
        <v/>
      </c>
      <c r="AI3" s="3">
        <f>IF($B3="","",AA3*W_ANUNCIO)</f>
        <v/>
      </c>
      <c r="AJ3" s="3">
        <f>IF($B3="","",AB3*W_USO)</f>
        <v/>
      </c>
      <c r="AK3" s="3">
        <f>IF($B3="","",AC3*W_SEGURIDAD)</f>
        <v/>
      </c>
    </row>
    <row r="4">
      <c r="A4" s="2" t="n">
        <v>3</v>
      </c>
      <c r="B4" s="3">
        <f>IFERROR(MATCH(A4,Anuncios!$CJ$2:$CJ$662,0),"")</f>
        <v/>
      </c>
      <c r="C4" s="3">
        <f>IF(B4="","",HYPERLINK(INDEX(Anuncios!$C$2:$C$662,B4),"Abrir anuncio"))</f>
        <v/>
      </c>
      <c r="D4" s="3">
        <f>IF($B4="","",INDEX(Anuncios!$D$2:$D$662,$B4))</f>
        <v/>
      </c>
      <c r="E4" s="3">
        <f>IF($B4="","",INDEX(Anuncios!$B$2:$B$662,$B4))</f>
        <v/>
      </c>
      <c r="F4" s="3">
        <f>IF($B4="","",INDEX(Anuncios!$E$2:$E$662,$B4))</f>
        <v/>
      </c>
      <c r="G4" s="3">
        <f>IF($B4="","",INDEX(Anuncios!$F$2:$F$662,$B4))</f>
        <v/>
      </c>
      <c r="H4" s="3">
        <f>IF($B4="","",INDEX(Anuncios!$G$2:$G$662,$B4))</f>
        <v/>
      </c>
      <c r="I4" s="3">
        <f>IF($B4="","",INDEX(Anuncios!$K$2:$K$662,$B4))</f>
        <v/>
      </c>
      <c r="J4" s="3">
        <f>IF($B4="","",INDEX(Anuncios!$M$2:$M$662,$B4))</f>
        <v/>
      </c>
      <c r="K4" s="3">
        <f>IF($B4="","",INDEX(Anuncios!$N$2:$N$662,$B4))</f>
        <v/>
      </c>
      <c r="L4" s="3">
        <f>IF($B4="","",INDEX(Anuncios!$Q$2:$Q$662,$B4))</f>
        <v/>
      </c>
      <c r="M4" s="3">
        <f>IF($B4="","",INDEX(Anuncios!$R$2:$R$662,$B4))</f>
        <v/>
      </c>
      <c r="N4" s="3">
        <f>IF($B4="","",INDEX(Anuncios!$O$2:$O$662,$B4))</f>
        <v/>
      </c>
      <c r="O4" s="3">
        <f>IF($B4="","",INDEX(Anuncios!$AJ$2:$AJ$662,$B4))</f>
        <v/>
      </c>
      <c r="P4" s="3">
        <f>IF($B4="","",INDEX(Anuncios!$AI$2:$AI$662,$B4))</f>
        <v/>
      </c>
      <c r="Q4" s="3">
        <f>IF($B4="","",INDEX(Anuncios!$BX$2:$BX$662,$B4))</f>
        <v/>
      </c>
      <c r="R4" s="3">
        <f>IF($B4="","",INDEX(Anuncios!$CD$2:$CD$662,$B4))</f>
        <v/>
      </c>
      <c r="S4" s="3">
        <f>IF($B4="","",INDEX(Anuncios!$CC$2:$CC$662,$B4))</f>
        <v/>
      </c>
      <c r="T4" s="3">
        <f>IF($B4="","",INDEX(Anuncios!$CG$2:$CG$662,$B4))</f>
        <v/>
      </c>
      <c r="U4" s="3">
        <f>IF($B4="","",INDEX(Anuncios!$BC$2:$BC$662,$B4))</f>
        <v/>
      </c>
      <c r="V4" s="3">
        <f>IF($B4="","",INDEX(Anuncios!$BE$2:$BE$662,$B4))</f>
        <v/>
      </c>
      <c r="W4" s="3">
        <f>IF($B4="","",INDEX(Anuncios!$BF$2:$BF$662,$B4))</f>
        <v/>
      </c>
      <c r="X4" s="3">
        <f>IF($B4="","",INDEX(Anuncios!$BL$2:$BL$662,$B4))</f>
        <v/>
      </c>
      <c r="Y4" s="3">
        <f>IF($B4="","",INDEX(Anuncios!$BM$2:$BM$662,$B4))</f>
        <v/>
      </c>
      <c r="Z4" s="3">
        <f>IF($B4="","",INDEX(Anuncios!$BQ$2:$BQ$662,$B4))</f>
        <v/>
      </c>
      <c r="AA4" s="3">
        <f>IF($B4="","",INDEX(Anuncios!$BR$2:$BR$662,$B4))</f>
        <v/>
      </c>
      <c r="AB4" s="3">
        <f>IF($B4="","",INDEX(Anuncios!$BW$2:$BW$662,$B4))</f>
        <v/>
      </c>
      <c r="AC4" s="3">
        <f>IF($B4="","",INDEX(Anuncios!$BY$2:$BY$662,$B4))</f>
        <v/>
      </c>
      <c r="AD4" s="3">
        <f>IF($B4="","",INDEX(Anuncios!$CA$2:$CA$662,$B4))</f>
        <v/>
      </c>
      <c r="AE4" s="3">
        <f>IF($B4="","",INDEX(Anuncios!$AR$2:$AR$662,$B4))</f>
        <v/>
      </c>
      <c r="AF4" s="3">
        <f>IF($B4="","",X4*W_FIAB)</f>
        <v/>
      </c>
      <c r="AG4" s="3">
        <f>IF($B4="","",Y4*W_PRECIO)</f>
        <v/>
      </c>
      <c r="AH4" s="3">
        <f>IF($B4="","",Z4*W_KMEDAD)</f>
        <v/>
      </c>
      <c r="AI4" s="3">
        <f>IF($B4="","",AA4*W_ANUNCIO)</f>
        <v/>
      </c>
      <c r="AJ4" s="3">
        <f>IF($B4="","",AB4*W_USO)</f>
        <v/>
      </c>
      <c r="AK4" s="3">
        <f>IF($B4="","",AC4*W_SEGURIDAD)</f>
        <v/>
      </c>
    </row>
    <row r="5">
      <c r="A5" s="2" t="n">
        <v>4</v>
      </c>
      <c r="B5" s="3">
        <f>IFERROR(MATCH(A5,Anuncios!$CJ$2:$CJ$662,0),"")</f>
        <v/>
      </c>
      <c r="C5" s="3">
        <f>IF(B5="","",HYPERLINK(INDEX(Anuncios!$C$2:$C$662,B5),"Abrir anuncio"))</f>
        <v/>
      </c>
      <c r="D5" s="3">
        <f>IF($B5="","",INDEX(Anuncios!$D$2:$D$662,$B5))</f>
        <v/>
      </c>
      <c r="E5" s="3">
        <f>IF($B5="","",INDEX(Anuncios!$B$2:$B$662,$B5))</f>
        <v/>
      </c>
      <c r="F5" s="3">
        <f>IF($B5="","",INDEX(Anuncios!$E$2:$E$662,$B5))</f>
        <v/>
      </c>
      <c r="G5" s="3">
        <f>IF($B5="","",INDEX(Anuncios!$F$2:$F$662,$B5))</f>
        <v/>
      </c>
      <c r="H5" s="3">
        <f>IF($B5="","",INDEX(Anuncios!$G$2:$G$662,$B5))</f>
        <v/>
      </c>
      <c r="I5" s="3">
        <f>IF($B5="","",INDEX(Anuncios!$K$2:$K$662,$B5))</f>
        <v/>
      </c>
      <c r="J5" s="3">
        <f>IF($B5="","",INDEX(Anuncios!$M$2:$M$662,$B5))</f>
        <v/>
      </c>
      <c r="K5" s="3">
        <f>IF($B5="","",INDEX(Anuncios!$N$2:$N$662,$B5))</f>
        <v/>
      </c>
      <c r="L5" s="3">
        <f>IF($B5="","",INDEX(Anuncios!$Q$2:$Q$662,$B5))</f>
        <v/>
      </c>
      <c r="M5" s="3">
        <f>IF($B5="","",INDEX(Anuncios!$R$2:$R$662,$B5))</f>
        <v/>
      </c>
      <c r="N5" s="3">
        <f>IF($B5="","",INDEX(Anuncios!$O$2:$O$662,$B5))</f>
        <v/>
      </c>
      <c r="O5" s="3">
        <f>IF($B5="","",INDEX(Anuncios!$AJ$2:$AJ$662,$B5))</f>
        <v/>
      </c>
      <c r="P5" s="3">
        <f>IF($B5="","",INDEX(Anuncios!$AI$2:$AI$662,$B5))</f>
        <v/>
      </c>
      <c r="Q5" s="3">
        <f>IF($B5="","",INDEX(Anuncios!$BX$2:$BX$662,$B5))</f>
        <v/>
      </c>
      <c r="R5" s="3">
        <f>IF($B5="","",INDEX(Anuncios!$CD$2:$CD$662,$B5))</f>
        <v/>
      </c>
      <c r="S5" s="3">
        <f>IF($B5="","",INDEX(Anuncios!$CC$2:$CC$662,$B5))</f>
        <v/>
      </c>
      <c r="T5" s="3">
        <f>IF($B5="","",INDEX(Anuncios!$CG$2:$CG$662,$B5))</f>
        <v/>
      </c>
      <c r="U5" s="3">
        <f>IF($B5="","",INDEX(Anuncios!$BC$2:$BC$662,$B5))</f>
        <v/>
      </c>
      <c r="V5" s="3">
        <f>IF($B5="","",INDEX(Anuncios!$BE$2:$BE$662,$B5))</f>
        <v/>
      </c>
      <c r="W5" s="3">
        <f>IF($B5="","",INDEX(Anuncios!$BF$2:$BF$662,$B5))</f>
        <v/>
      </c>
      <c r="X5" s="3">
        <f>IF($B5="","",INDEX(Anuncios!$BL$2:$BL$662,$B5))</f>
        <v/>
      </c>
      <c r="Y5" s="3">
        <f>IF($B5="","",INDEX(Anuncios!$BM$2:$BM$662,$B5))</f>
        <v/>
      </c>
      <c r="Z5" s="3">
        <f>IF($B5="","",INDEX(Anuncios!$BQ$2:$BQ$662,$B5))</f>
        <v/>
      </c>
      <c r="AA5" s="3">
        <f>IF($B5="","",INDEX(Anuncios!$BR$2:$BR$662,$B5))</f>
        <v/>
      </c>
      <c r="AB5" s="3">
        <f>IF($B5="","",INDEX(Anuncios!$BW$2:$BW$662,$B5))</f>
        <v/>
      </c>
      <c r="AC5" s="3">
        <f>IF($B5="","",INDEX(Anuncios!$BY$2:$BY$662,$B5))</f>
        <v/>
      </c>
      <c r="AD5" s="3">
        <f>IF($B5="","",INDEX(Anuncios!$CA$2:$CA$662,$B5))</f>
        <v/>
      </c>
      <c r="AE5" s="3">
        <f>IF($B5="","",INDEX(Anuncios!$AR$2:$AR$662,$B5))</f>
        <v/>
      </c>
      <c r="AF5" s="3">
        <f>IF($B5="","",X5*W_FIAB)</f>
        <v/>
      </c>
      <c r="AG5" s="3">
        <f>IF($B5="","",Y5*W_PRECIO)</f>
        <v/>
      </c>
      <c r="AH5" s="3">
        <f>IF($B5="","",Z5*W_KMEDAD)</f>
        <v/>
      </c>
      <c r="AI5" s="3">
        <f>IF($B5="","",AA5*W_ANUNCIO)</f>
        <v/>
      </c>
      <c r="AJ5" s="3">
        <f>IF($B5="","",AB5*W_USO)</f>
        <v/>
      </c>
      <c r="AK5" s="3">
        <f>IF($B5="","",AC5*W_SEGURIDAD)</f>
        <v/>
      </c>
    </row>
    <row r="6">
      <c r="A6" s="2" t="n">
        <v>5</v>
      </c>
      <c r="B6" s="3">
        <f>IFERROR(MATCH(A6,Anuncios!$CJ$2:$CJ$662,0),"")</f>
        <v/>
      </c>
      <c r="C6" s="3">
        <f>IF(B6="","",HYPERLINK(INDEX(Anuncios!$C$2:$C$662,B6),"Abrir anuncio"))</f>
        <v/>
      </c>
      <c r="D6" s="3">
        <f>IF($B6="","",INDEX(Anuncios!$D$2:$D$662,$B6))</f>
        <v/>
      </c>
      <c r="E6" s="3">
        <f>IF($B6="","",INDEX(Anuncios!$B$2:$B$662,$B6))</f>
        <v/>
      </c>
      <c r="F6" s="3">
        <f>IF($B6="","",INDEX(Anuncios!$E$2:$E$662,$B6))</f>
        <v/>
      </c>
      <c r="G6" s="3">
        <f>IF($B6="","",INDEX(Anuncios!$F$2:$F$662,$B6))</f>
        <v/>
      </c>
      <c r="H6" s="3">
        <f>IF($B6="","",INDEX(Anuncios!$G$2:$G$662,$B6))</f>
        <v/>
      </c>
      <c r="I6" s="3">
        <f>IF($B6="","",INDEX(Anuncios!$K$2:$K$662,$B6))</f>
        <v/>
      </c>
      <c r="J6" s="3">
        <f>IF($B6="","",INDEX(Anuncios!$M$2:$M$662,$B6))</f>
        <v/>
      </c>
      <c r="K6" s="3">
        <f>IF($B6="","",INDEX(Anuncios!$N$2:$N$662,$B6))</f>
        <v/>
      </c>
      <c r="L6" s="3">
        <f>IF($B6="","",INDEX(Anuncios!$Q$2:$Q$662,$B6))</f>
        <v/>
      </c>
      <c r="M6" s="3">
        <f>IF($B6="","",INDEX(Anuncios!$R$2:$R$662,$B6))</f>
        <v/>
      </c>
      <c r="N6" s="3">
        <f>IF($B6="","",INDEX(Anuncios!$O$2:$O$662,$B6))</f>
        <v/>
      </c>
      <c r="O6" s="3">
        <f>IF($B6="","",INDEX(Anuncios!$AJ$2:$AJ$662,$B6))</f>
        <v/>
      </c>
      <c r="P6" s="3">
        <f>IF($B6="","",INDEX(Anuncios!$AI$2:$AI$662,$B6))</f>
        <v/>
      </c>
      <c r="Q6" s="3">
        <f>IF($B6="","",INDEX(Anuncios!$BX$2:$BX$662,$B6))</f>
        <v/>
      </c>
      <c r="R6" s="3">
        <f>IF($B6="","",INDEX(Anuncios!$CD$2:$CD$662,$B6))</f>
        <v/>
      </c>
      <c r="S6" s="3">
        <f>IF($B6="","",INDEX(Anuncios!$CC$2:$CC$662,$B6))</f>
        <v/>
      </c>
      <c r="T6" s="3">
        <f>IF($B6="","",INDEX(Anuncios!$CG$2:$CG$662,$B6))</f>
        <v/>
      </c>
      <c r="U6" s="3">
        <f>IF($B6="","",INDEX(Anuncios!$BC$2:$BC$662,$B6))</f>
        <v/>
      </c>
      <c r="V6" s="3">
        <f>IF($B6="","",INDEX(Anuncios!$BE$2:$BE$662,$B6))</f>
        <v/>
      </c>
      <c r="W6" s="3">
        <f>IF($B6="","",INDEX(Anuncios!$BF$2:$BF$662,$B6))</f>
        <v/>
      </c>
      <c r="X6" s="3">
        <f>IF($B6="","",INDEX(Anuncios!$BL$2:$BL$662,$B6))</f>
        <v/>
      </c>
      <c r="Y6" s="3">
        <f>IF($B6="","",INDEX(Anuncios!$BM$2:$BM$662,$B6))</f>
        <v/>
      </c>
      <c r="Z6" s="3">
        <f>IF($B6="","",INDEX(Anuncios!$BQ$2:$BQ$662,$B6))</f>
        <v/>
      </c>
      <c r="AA6" s="3">
        <f>IF($B6="","",INDEX(Anuncios!$BR$2:$BR$662,$B6))</f>
        <v/>
      </c>
      <c r="AB6" s="3">
        <f>IF($B6="","",INDEX(Anuncios!$BW$2:$BW$662,$B6))</f>
        <v/>
      </c>
      <c r="AC6" s="3">
        <f>IF($B6="","",INDEX(Anuncios!$BY$2:$BY$662,$B6))</f>
        <v/>
      </c>
      <c r="AD6" s="3">
        <f>IF($B6="","",INDEX(Anuncios!$CA$2:$CA$662,$B6))</f>
        <v/>
      </c>
      <c r="AE6" s="3">
        <f>IF($B6="","",INDEX(Anuncios!$AR$2:$AR$662,$B6))</f>
        <v/>
      </c>
      <c r="AF6" s="3">
        <f>IF($B6="","",X6*W_FIAB)</f>
        <v/>
      </c>
      <c r="AG6" s="3">
        <f>IF($B6="","",Y6*W_PRECIO)</f>
        <v/>
      </c>
      <c r="AH6" s="3">
        <f>IF($B6="","",Z6*W_KMEDAD)</f>
        <v/>
      </c>
      <c r="AI6" s="3">
        <f>IF($B6="","",AA6*W_ANUNCIO)</f>
        <v/>
      </c>
      <c r="AJ6" s="3">
        <f>IF($B6="","",AB6*W_USO)</f>
        <v/>
      </c>
      <c r="AK6" s="3">
        <f>IF($B6="","",AC6*W_SEGURIDAD)</f>
        <v/>
      </c>
    </row>
    <row r="7">
      <c r="A7" s="2" t="n">
        <v>6</v>
      </c>
      <c r="B7" s="3">
        <f>IFERROR(MATCH(A7,Anuncios!$CJ$2:$CJ$662,0),"")</f>
        <v/>
      </c>
      <c r="C7" s="3">
        <f>IF(B7="","",HYPERLINK(INDEX(Anuncios!$C$2:$C$662,B7),"Abrir anuncio"))</f>
        <v/>
      </c>
      <c r="D7" s="3">
        <f>IF($B7="","",INDEX(Anuncios!$D$2:$D$662,$B7))</f>
        <v/>
      </c>
      <c r="E7" s="3">
        <f>IF($B7="","",INDEX(Anuncios!$B$2:$B$662,$B7))</f>
        <v/>
      </c>
      <c r="F7" s="3">
        <f>IF($B7="","",INDEX(Anuncios!$E$2:$E$662,$B7))</f>
        <v/>
      </c>
      <c r="G7" s="3">
        <f>IF($B7="","",INDEX(Anuncios!$F$2:$F$662,$B7))</f>
        <v/>
      </c>
      <c r="H7" s="3">
        <f>IF($B7="","",INDEX(Anuncios!$G$2:$G$662,$B7))</f>
        <v/>
      </c>
      <c r="I7" s="3">
        <f>IF($B7="","",INDEX(Anuncios!$K$2:$K$662,$B7))</f>
        <v/>
      </c>
      <c r="J7" s="3">
        <f>IF($B7="","",INDEX(Anuncios!$M$2:$M$662,$B7))</f>
        <v/>
      </c>
      <c r="K7" s="3">
        <f>IF($B7="","",INDEX(Anuncios!$N$2:$N$662,$B7))</f>
        <v/>
      </c>
      <c r="L7" s="3">
        <f>IF($B7="","",INDEX(Anuncios!$Q$2:$Q$662,$B7))</f>
        <v/>
      </c>
      <c r="M7" s="3">
        <f>IF($B7="","",INDEX(Anuncios!$R$2:$R$662,$B7))</f>
        <v/>
      </c>
      <c r="N7" s="3">
        <f>IF($B7="","",INDEX(Anuncios!$O$2:$O$662,$B7))</f>
        <v/>
      </c>
      <c r="O7" s="3">
        <f>IF($B7="","",INDEX(Anuncios!$AJ$2:$AJ$662,$B7))</f>
        <v/>
      </c>
      <c r="P7" s="3">
        <f>IF($B7="","",INDEX(Anuncios!$AI$2:$AI$662,$B7))</f>
        <v/>
      </c>
      <c r="Q7" s="3">
        <f>IF($B7="","",INDEX(Anuncios!$BX$2:$BX$662,$B7))</f>
        <v/>
      </c>
      <c r="R7" s="3">
        <f>IF($B7="","",INDEX(Anuncios!$CD$2:$CD$662,$B7))</f>
        <v/>
      </c>
      <c r="S7" s="3">
        <f>IF($B7="","",INDEX(Anuncios!$CC$2:$CC$662,$B7))</f>
        <v/>
      </c>
      <c r="T7" s="3">
        <f>IF($B7="","",INDEX(Anuncios!$CG$2:$CG$662,$B7))</f>
        <v/>
      </c>
      <c r="U7" s="3">
        <f>IF($B7="","",INDEX(Anuncios!$BC$2:$BC$662,$B7))</f>
        <v/>
      </c>
      <c r="V7" s="3">
        <f>IF($B7="","",INDEX(Anuncios!$BE$2:$BE$662,$B7))</f>
        <v/>
      </c>
      <c r="W7" s="3">
        <f>IF($B7="","",INDEX(Anuncios!$BF$2:$BF$662,$B7))</f>
        <v/>
      </c>
      <c r="X7" s="3">
        <f>IF($B7="","",INDEX(Anuncios!$BL$2:$BL$662,$B7))</f>
        <v/>
      </c>
      <c r="Y7" s="3">
        <f>IF($B7="","",INDEX(Anuncios!$BM$2:$BM$662,$B7))</f>
        <v/>
      </c>
      <c r="Z7" s="3">
        <f>IF($B7="","",INDEX(Anuncios!$BQ$2:$BQ$662,$B7))</f>
        <v/>
      </c>
      <c r="AA7" s="3">
        <f>IF($B7="","",INDEX(Anuncios!$BR$2:$BR$662,$B7))</f>
        <v/>
      </c>
      <c r="AB7" s="3">
        <f>IF($B7="","",INDEX(Anuncios!$BW$2:$BW$662,$B7))</f>
        <v/>
      </c>
      <c r="AC7" s="3">
        <f>IF($B7="","",INDEX(Anuncios!$BY$2:$BY$662,$B7))</f>
        <v/>
      </c>
      <c r="AD7" s="3">
        <f>IF($B7="","",INDEX(Anuncios!$CA$2:$CA$662,$B7))</f>
        <v/>
      </c>
      <c r="AE7" s="3">
        <f>IF($B7="","",INDEX(Anuncios!$AR$2:$AR$662,$B7))</f>
        <v/>
      </c>
      <c r="AF7" s="3">
        <f>IF($B7="","",X7*W_FIAB)</f>
        <v/>
      </c>
      <c r="AG7" s="3">
        <f>IF($B7="","",Y7*W_PRECIO)</f>
        <v/>
      </c>
      <c r="AH7" s="3">
        <f>IF($B7="","",Z7*W_KMEDAD)</f>
        <v/>
      </c>
      <c r="AI7" s="3">
        <f>IF($B7="","",AA7*W_ANUNCIO)</f>
        <v/>
      </c>
      <c r="AJ7" s="3">
        <f>IF($B7="","",AB7*W_USO)</f>
        <v/>
      </c>
      <c r="AK7" s="3">
        <f>IF($B7="","",AC7*W_SEGURIDAD)</f>
        <v/>
      </c>
    </row>
    <row r="8">
      <c r="A8" s="2" t="n">
        <v>7</v>
      </c>
      <c r="B8" s="3">
        <f>IFERROR(MATCH(A8,Anuncios!$CJ$2:$CJ$662,0),"")</f>
        <v/>
      </c>
      <c r="C8" s="3">
        <f>IF(B8="","",HYPERLINK(INDEX(Anuncios!$C$2:$C$662,B8),"Abrir anuncio"))</f>
        <v/>
      </c>
      <c r="D8" s="3">
        <f>IF($B8="","",INDEX(Anuncios!$D$2:$D$662,$B8))</f>
        <v/>
      </c>
      <c r="E8" s="3">
        <f>IF($B8="","",INDEX(Anuncios!$B$2:$B$662,$B8))</f>
        <v/>
      </c>
      <c r="F8" s="3">
        <f>IF($B8="","",INDEX(Anuncios!$E$2:$E$662,$B8))</f>
        <v/>
      </c>
      <c r="G8" s="3">
        <f>IF($B8="","",INDEX(Anuncios!$F$2:$F$662,$B8))</f>
        <v/>
      </c>
      <c r="H8" s="3">
        <f>IF($B8="","",INDEX(Anuncios!$G$2:$G$662,$B8))</f>
        <v/>
      </c>
      <c r="I8" s="3">
        <f>IF($B8="","",INDEX(Anuncios!$K$2:$K$662,$B8))</f>
        <v/>
      </c>
      <c r="J8" s="3">
        <f>IF($B8="","",INDEX(Anuncios!$M$2:$M$662,$B8))</f>
        <v/>
      </c>
      <c r="K8" s="3">
        <f>IF($B8="","",INDEX(Anuncios!$N$2:$N$662,$B8))</f>
        <v/>
      </c>
      <c r="L8" s="3">
        <f>IF($B8="","",INDEX(Anuncios!$Q$2:$Q$662,$B8))</f>
        <v/>
      </c>
      <c r="M8" s="3">
        <f>IF($B8="","",INDEX(Anuncios!$R$2:$R$662,$B8))</f>
        <v/>
      </c>
      <c r="N8" s="3">
        <f>IF($B8="","",INDEX(Anuncios!$O$2:$O$662,$B8))</f>
        <v/>
      </c>
      <c r="O8" s="3">
        <f>IF($B8="","",INDEX(Anuncios!$AJ$2:$AJ$662,$B8))</f>
        <v/>
      </c>
      <c r="P8" s="3">
        <f>IF($B8="","",INDEX(Anuncios!$AI$2:$AI$662,$B8))</f>
        <v/>
      </c>
      <c r="Q8" s="3">
        <f>IF($B8="","",INDEX(Anuncios!$BX$2:$BX$662,$B8))</f>
        <v/>
      </c>
      <c r="R8" s="3">
        <f>IF($B8="","",INDEX(Anuncios!$CD$2:$CD$662,$B8))</f>
        <v/>
      </c>
      <c r="S8" s="3">
        <f>IF($B8="","",INDEX(Anuncios!$CC$2:$CC$662,$B8))</f>
        <v/>
      </c>
      <c r="T8" s="3">
        <f>IF($B8="","",INDEX(Anuncios!$CG$2:$CG$662,$B8))</f>
        <v/>
      </c>
      <c r="U8" s="3">
        <f>IF($B8="","",INDEX(Anuncios!$BC$2:$BC$662,$B8))</f>
        <v/>
      </c>
      <c r="V8" s="3">
        <f>IF($B8="","",INDEX(Anuncios!$BE$2:$BE$662,$B8))</f>
        <v/>
      </c>
      <c r="W8" s="3">
        <f>IF($B8="","",INDEX(Anuncios!$BF$2:$BF$662,$B8))</f>
        <v/>
      </c>
      <c r="X8" s="3">
        <f>IF($B8="","",INDEX(Anuncios!$BL$2:$BL$662,$B8))</f>
        <v/>
      </c>
      <c r="Y8" s="3">
        <f>IF($B8="","",INDEX(Anuncios!$BM$2:$BM$662,$B8))</f>
        <v/>
      </c>
      <c r="Z8" s="3">
        <f>IF($B8="","",INDEX(Anuncios!$BQ$2:$BQ$662,$B8))</f>
        <v/>
      </c>
      <c r="AA8" s="3">
        <f>IF($B8="","",INDEX(Anuncios!$BR$2:$BR$662,$B8))</f>
        <v/>
      </c>
      <c r="AB8" s="3">
        <f>IF($B8="","",INDEX(Anuncios!$BW$2:$BW$662,$B8))</f>
        <v/>
      </c>
      <c r="AC8" s="3">
        <f>IF($B8="","",INDEX(Anuncios!$BY$2:$BY$662,$B8))</f>
        <v/>
      </c>
      <c r="AD8" s="3">
        <f>IF($B8="","",INDEX(Anuncios!$CA$2:$CA$662,$B8))</f>
        <v/>
      </c>
      <c r="AE8" s="3">
        <f>IF($B8="","",INDEX(Anuncios!$AR$2:$AR$662,$B8))</f>
        <v/>
      </c>
      <c r="AF8" s="3">
        <f>IF($B8="","",X8*W_FIAB)</f>
        <v/>
      </c>
      <c r="AG8" s="3">
        <f>IF($B8="","",Y8*W_PRECIO)</f>
        <v/>
      </c>
      <c r="AH8" s="3">
        <f>IF($B8="","",Z8*W_KMEDAD)</f>
        <v/>
      </c>
      <c r="AI8" s="3">
        <f>IF($B8="","",AA8*W_ANUNCIO)</f>
        <v/>
      </c>
      <c r="AJ8" s="3">
        <f>IF($B8="","",AB8*W_USO)</f>
        <v/>
      </c>
      <c r="AK8" s="3">
        <f>IF($B8="","",AC8*W_SEGURIDAD)</f>
        <v/>
      </c>
    </row>
    <row r="9">
      <c r="A9" s="2" t="n">
        <v>8</v>
      </c>
      <c r="B9" s="3">
        <f>IFERROR(MATCH(A9,Anuncios!$CJ$2:$CJ$662,0),"")</f>
        <v/>
      </c>
      <c r="C9" s="3">
        <f>IF(B9="","",HYPERLINK(INDEX(Anuncios!$C$2:$C$662,B9),"Abrir anuncio"))</f>
        <v/>
      </c>
      <c r="D9" s="3">
        <f>IF($B9="","",INDEX(Anuncios!$D$2:$D$662,$B9))</f>
        <v/>
      </c>
      <c r="E9" s="3">
        <f>IF($B9="","",INDEX(Anuncios!$B$2:$B$662,$B9))</f>
        <v/>
      </c>
      <c r="F9" s="3">
        <f>IF($B9="","",INDEX(Anuncios!$E$2:$E$662,$B9))</f>
        <v/>
      </c>
      <c r="G9" s="3">
        <f>IF($B9="","",INDEX(Anuncios!$F$2:$F$662,$B9))</f>
        <v/>
      </c>
      <c r="H9" s="3">
        <f>IF($B9="","",INDEX(Anuncios!$G$2:$G$662,$B9))</f>
        <v/>
      </c>
      <c r="I9" s="3">
        <f>IF($B9="","",INDEX(Anuncios!$K$2:$K$662,$B9))</f>
        <v/>
      </c>
      <c r="J9" s="3">
        <f>IF($B9="","",INDEX(Anuncios!$M$2:$M$662,$B9))</f>
        <v/>
      </c>
      <c r="K9" s="3">
        <f>IF($B9="","",INDEX(Anuncios!$N$2:$N$662,$B9))</f>
        <v/>
      </c>
      <c r="L9" s="3">
        <f>IF($B9="","",INDEX(Anuncios!$Q$2:$Q$662,$B9))</f>
        <v/>
      </c>
      <c r="M9" s="3">
        <f>IF($B9="","",INDEX(Anuncios!$R$2:$R$662,$B9))</f>
        <v/>
      </c>
      <c r="N9" s="3">
        <f>IF($B9="","",INDEX(Anuncios!$O$2:$O$662,$B9))</f>
        <v/>
      </c>
      <c r="O9" s="3">
        <f>IF($B9="","",INDEX(Anuncios!$AJ$2:$AJ$662,$B9))</f>
        <v/>
      </c>
      <c r="P9" s="3">
        <f>IF($B9="","",INDEX(Anuncios!$AI$2:$AI$662,$B9))</f>
        <v/>
      </c>
      <c r="Q9" s="3">
        <f>IF($B9="","",INDEX(Anuncios!$BX$2:$BX$662,$B9))</f>
        <v/>
      </c>
      <c r="R9" s="3">
        <f>IF($B9="","",INDEX(Anuncios!$CD$2:$CD$662,$B9))</f>
        <v/>
      </c>
      <c r="S9" s="3">
        <f>IF($B9="","",INDEX(Anuncios!$CC$2:$CC$662,$B9))</f>
        <v/>
      </c>
      <c r="T9" s="3">
        <f>IF($B9="","",INDEX(Anuncios!$CG$2:$CG$662,$B9))</f>
        <v/>
      </c>
      <c r="U9" s="3">
        <f>IF($B9="","",INDEX(Anuncios!$BC$2:$BC$662,$B9))</f>
        <v/>
      </c>
      <c r="V9" s="3">
        <f>IF($B9="","",INDEX(Anuncios!$BE$2:$BE$662,$B9))</f>
        <v/>
      </c>
      <c r="W9" s="3">
        <f>IF($B9="","",INDEX(Anuncios!$BF$2:$BF$662,$B9))</f>
        <v/>
      </c>
      <c r="X9" s="3">
        <f>IF($B9="","",INDEX(Anuncios!$BL$2:$BL$662,$B9))</f>
        <v/>
      </c>
      <c r="Y9" s="3">
        <f>IF($B9="","",INDEX(Anuncios!$BM$2:$BM$662,$B9))</f>
        <v/>
      </c>
      <c r="Z9" s="3">
        <f>IF($B9="","",INDEX(Anuncios!$BQ$2:$BQ$662,$B9))</f>
        <v/>
      </c>
      <c r="AA9" s="3">
        <f>IF($B9="","",INDEX(Anuncios!$BR$2:$BR$662,$B9))</f>
        <v/>
      </c>
      <c r="AB9" s="3">
        <f>IF($B9="","",INDEX(Anuncios!$BW$2:$BW$662,$B9))</f>
        <v/>
      </c>
      <c r="AC9" s="3">
        <f>IF($B9="","",INDEX(Anuncios!$BY$2:$BY$662,$B9))</f>
        <v/>
      </c>
      <c r="AD9" s="3">
        <f>IF($B9="","",INDEX(Anuncios!$CA$2:$CA$662,$B9))</f>
        <v/>
      </c>
      <c r="AE9" s="3">
        <f>IF($B9="","",INDEX(Anuncios!$AR$2:$AR$662,$B9))</f>
        <v/>
      </c>
      <c r="AF9" s="3">
        <f>IF($B9="","",X9*W_FIAB)</f>
        <v/>
      </c>
      <c r="AG9" s="3">
        <f>IF($B9="","",Y9*W_PRECIO)</f>
        <v/>
      </c>
      <c r="AH9" s="3">
        <f>IF($B9="","",Z9*W_KMEDAD)</f>
        <v/>
      </c>
      <c r="AI9" s="3">
        <f>IF($B9="","",AA9*W_ANUNCIO)</f>
        <v/>
      </c>
      <c r="AJ9" s="3">
        <f>IF($B9="","",AB9*W_USO)</f>
        <v/>
      </c>
      <c r="AK9" s="3">
        <f>IF($B9="","",AC9*W_SEGURIDAD)</f>
        <v/>
      </c>
    </row>
    <row r="10">
      <c r="A10" s="2" t="n">
        <v>9</v>
      </c>
      <c r="B10" s="3">
        <f>IFERROR(MATCH(A10,Anuncios!$CJ$2:$CJ$662,0),"")</f>
        <v/>
      </c>
      <c r="C10" s="3">
        <f>IF(B10="","",HYPERLINK(INDEX(Anuncios!$C$2:$C$662,B10),"Abrir anuncio"))</f>
        <v/>
      </c>
      <c r="D10" s="3">
        <f>IF($B10="","",INDEX(Anuncios!$D$2:$D$662,$B10))</f>
        <v/>
      </c>
      <c r="E10" s="3">
        <f>IF($B10="","",INDEX(Anuncios!$B$2:$B$662,$B10))</f>
        <v/>
      </c>
      <c r="F10" s="3">
        <f>IF($B10="","",INDEX(Anuncios!$E$2:$E$662,$B10))</f>
        <v/>
      </c>
      <c r="G10" s="3">
        <f>IF($B10="","",INDEX(Anuncios!$F$2:$F$662,$B10))</f>
        <v/>
      </c>
      <c r="H10" s="3">
        <f>IF($B10="","",INDEX(Anuncios!$G$2:$G$662,$B10))</f>
        <v/>
      </c>
      <c r="I10" s="3">
        <f>IF($B10="","",INDEX(Anuncios!$K$2:$K$662,$B10))</f>
        <v/>
      </c>
      <c r="J10" s="3">
        <f>IF($B10="","",INDEX(Anuncios!$M$2:$M$662,$B10))</f>
        <v/>
      </c>
      <c r="K10" s="3">
        <f>IF($B10="","",INDEX(Anuncios!$N$2:$N$662,$B10))</f>
        <v/>
      </c>
      <c r="L10" s="3">
        <f>IF($B10="","",INDEX(Anuncios!$Q$2:$Q$662,$B10))</f>
        <v/>
      </c>
      <c r="M10" s="3">
        <f>IF($B10="","",INDEX(Anuncios!$R$2:$R$662,$B10))</f>
        <v/>
      </c>
      <c r="N10" s="3">
        <f>IF($B10="","",INDEX(Anuncios!$O$2:$O$662,$B10))</f>
        <v/>
      </c>
      <c r="O10" s="3">
        <f>IF($B10="","",INDEX(Anuncios!$AJ$2:$AJ$662,$B10))</f>
        <v/>
      </c>
      <c r="P10" s="3">
        <f>IF($B10="","",INDEX(Anuncios!$AI$2:$AI$662,$B10))</f>
        <v/>
      </c>
      <c r="Q10" s="3">
        <f>IF($B10="","",INDEX(Anuncios!$BX$2:$BX$662,$B10))</f>
        <v/>
      </c>
      <c r="R10" s="3">
        <f>IF($B10="","",INDEX(Anuncios!$CD$2:$CD$662,$B10))</f>
        <v/>
      </c>
      <c r="S10" s="3">
        <f>IF($B10="","",INDEX(Anuncios!$CC$2:$CC$662,$B10))</f>
        <v/>
      </c>
      <c r="T10" s="3">
        <f>IF($B10="","",INDEX(Anuncios!$CG$2:$CG$662,$B10))</f>
        <v/>
      </c>
      <c r="U10" s="3">
        <f>IF($B10="","",INDEX(Anuncios!$BC$2:$BC$662,$B10))</f>
        <v/>
      </c>
      <c r="V10" s="3">
        <f>IF($B10="","",INDEX(Anuncios!$BE$2:$BE$662,$B10))</f>
        <v/>
      </c>
      <c r="W10" s="3">
        <f>IF($B10="","",INDEX(Anuncios!$BF$2:$BF$662,$B10))</f>
        <v/>
      </c>
      <c r="X10" s="3">
        <f>IF($B10="","",INDEX(Anuncios!$BL$2:$BL$662,$B10))</f>
        <v/>
      </c>
      <c r="Y10" s="3">
        <f>IF($B10="","",INDEX(Anuncios!$BM$2:$BM$662,$B10))</f>
        <v/>
      </c>
      <c r="Z10" s="3">
        <f>IF($B10="","",INDEX(Anuncios!$BQ$2:$BQ$662,$B10))</f>
        <v/>
      </c>
      <c r="AA10" s="3">
        <f>IF($B10="","",INDEX(Anuncios!$BR$2:$BR$662,$B10))</f>
        <v/>
      </c>
      <c r="AB10" s="3">
        <f>IF($B10="","",INDEX(Anuncios!$BW$2:$BW$662,$B10))</f>
        <v/>
      </c>
      <c r="AC10" s="3">
        <f>IF($B10="","",INDEX(Anuncios!$BY$2:$BY$662,$B10))</f>
        <v/>
      </c>
      <c r="AD10" s="3">
        <f>IF($B10="","",INDEX(Anuncios!$CA$2:$CA$662,$B10))</f>
        <v/>
      </c>
      <c r="AE10" s="3">
        <f>IF($B10="","",INDEX(Anuncios!$AR$2:$AR$662,$B10))</f>
        <v/>
      </c>
      <c r="AF10" s="3">
        <f>IF($B10="","",X10*W_FIAB)</f>
        <v/>
      </c>
      <c r="AG10" s="3">
        <f>IF($B10="","",Y10*W_PRECIO)</f>
        <v/>
      </c>
      <c r="AH10" s="3">
        <f>IF($B10="","",Z10*W_KMEDAD)</f>
        <v/>
      </c>
      <c r="AI10" s="3">
        <f>IF($B10="","",AA10*W_ANUNCIO)</f>
        <v/>
      </c>
      <c r="AJ10" s="3">
        <f>IF($B10="","",AB10*W_USO)</f>
        <v/>
      </c>
      <c r="AK10" s="3">
        <f>IF($B10="","",AC10*W_SEGURIDAD)</f>
        <v/>
      </c>
    </row>
    <row r="11">
      <c r="A11" s="2" t="n">
        <v>10</v>
      </c>
      <c r="B11" s="3">
        <f>IFERROR(MATCH(A11,Anuncios!$CJ$2:$CJ$662,0),"")</f>
        <v/>
      </c>
      <c r="C11" s="3">
        <f>IF(B11="","",HYPERLINK(INDEX(Anuncios!$C$2:$C$662,B11),"Abrir anuncio"))</f>
        <v/>
      </c>
      <c r="D11" s="3">
        <f>IF($B11="","",INDEX(Anuncios!$D$2:$D$662,$B11))</f>
        <v/>
      </c>
      <c r="E11" s="3">
        <f>IF($B11="","",INDEX(Anuncios!$B$2:$B$662,$B11))</f>
        <v/>
      </c>
      <c r="F11" s="3">
        <f>IF($B11="","",INDEX(Anuncios!$E$2:$E$662,$B11))</f>
        <v/>
      </c>
      <c r="G11" s="3">
        <f>IF($B11="","",INDEX(Anuncios!$F$2:$F$662,$B11))</f>
        <v/>
      </c>
      <c r="H11" s="3">
        <f>IF($B11="","",INDEX(Anuncios!$G$2:$G$662,$B11))</f>
        <v/>
      </c>
      <c r="I11" s="3">
        <f>IF($B11="","",INDEX(Anuncios!$K$2:$K$662,$B11))</f>
        <v/>
      </c>
      <c r="J11" s="3">
        <f>IF($B11="","",INDEX(Anuncios!$M$2:$M$662,$B11))</f>
        <v/>
      </c>
      <c r="K11" s="3">
        <f>IF($B11="","",INDEX(Anuncios!$N$2:$N$662,$B11))</f>
        <v/>
      </c>
      <c r="L11" s="3">
        <f>IF($B11="","",INDEX(Anuncios!$Q$2:$Q$662,$B11))</f>
        <v/>
      </c>
      <c r="M11" s="3">
        <f>IF($B11="","",INDEX(Anuncios!$R$2:$R$662,$B11))</f>
        <v/>
      </c>
      <c r="N11" s="3">
        <f>IF($B11="","",INDEX(Anuncios!$O$2:$O$662,$B11))</f>
        <v/>
      </c>
      <c r="O11" s="3">
        <f>IF($B11="","",INDEX(Anuncios!$AJ$2:$AJ$662,$B11))</f>
        <v/>
      </c>
      <c r="P11" s="3">
        <f>IF($B11="","",INDEX(Anuncios!$AI$2:$AI$662,$B11))</f>
        <v/>
      </c>
      <c r="Q11" s="3">
        <f>IF($B11="","",INDEX(Anuncios!$BX$2:$BX$662,$B11))</f>
        <v/>
      </c>
      <c r="R11" s="3">
        <f>IF($B11="","",INDEX(Anuncios!$CD$2:$CD$662,$B11))</f>
        <v/>
      </c>
      <c r="S11" s="3">
        <f>IF($B11="","",INDEX(Anuncios!$CC$2:$CC$662,$B11))</f>
        <v/>
      </c>
      <c r="T11" s="3">
        <f>IF($B11="","",INDEX(Anuncios!$CG$2:$CG$662,$B11))</f>
        <v/>
      </c>
      <c r="U11" s="3">
        <f>IF($B11="","",INDEX(Anuncios!$BC$2:$BC$662,$B11))</f>
        <v/>
      </c>
      <c r="V11" s="3">
        <f>IF($B11="","",INDEX(Anuncios!$BE$2:$BE$662,$B11))</f>
        <v/>
      </c>
      <c r="W11" s="3">
        <f>IF($B11="","",INDEX(Anuncios!$BF$2:$BF$662,$B11))</f>
        <v/>
      </c>
      <c r="X11" s="3">
        <f>IF($B11="","",INDEX(Anuncios!$BL$2:$BL$662,$B11))</f>
        <v/>
      </c>
      <c r="Y11" s="3">
        <f>IF($B11="","",INDEX(Anuncios!$BM$2:$BM$662,$B11))</f>
        <v/>
      </c>
      <c r="Z11" s="3">
        <f>IF($B11="","",INDEX(Anuncios!$BQ$2:$BQ$662,$B11))</f>
        <v/>
      </c>
      <c r="AA11" s="3">
        <f>IF($B11="","",INDEX(Anuncios!$BR$2:$BR$662,$B11))</f>
        <v/>
      </c>
      <c r="AB11" s="3">
        <f>IF($B11="","",INDEX(Anuncios!$BW$2:$BW$662,$B11))</f>
        <v/>
      </c>
      <c r="AC11" s="3">
        <f>IF($B11="","",INDEX(Anuncios!$BY$2:$BY$662,$B11))</f>
        <v/>
      </c>
      <c r="AD11" s="3">
        <f>IF($B11="","",INDEX(Anuncios!$CA$2:$CA$662,$B11))</f>
        <v/>
      </c>
      <c r="AE11" s="3">
        <f>IF($B11="","",INDEX(Anuncios!$AR$2:$AR$662,$B11))</f>
        <v/>
      </c>
      <c r="AF11" s="3">
        <f>IF($B11="","",X11*W_FIAB)</f>
        <v/>
      </c>
      <c r="AG11" s="3">
        <f>IF($B11="","",Y11*W_PRECIO)</f>
        <v/>
      </c>
      <c r="AH11" s="3">
        <f>IF($B11="","",Z11*W_KMEDAD)</f>
        <v/>
      </c>
      <c r="AI11" s="3">
        <f>IF($B11="","",AA11*W_ANUNCIO)</f>
        <v/>
      </c>
      <c r="AJ11" s="3">
        <f>IF($B11="","",AB11*W_USO)</f>
        <v/>
      </c>
      <c r="AK11" s="3">
        <f>IF($B11="","",AC11*W_SEGURIDAD)</f>
        <v/>
      </c>
    </row>
    <row r="12">
      <c r="A12" s="2" t="n">
        <v>11</v>
      </c>
      <c r="B12" s="3">
        <f>IFERROR(MATCH(A12,Anuncios!$CJ$2:$CJ$662,0),"")</f>
        <v/>
      </c>
      <c r="C12" s="3">
        <f>IF(B12="","",HYPERLINK(INDEX(Anuncios!$C$2:$C$662,B12),"Abrir anuncio"))</f>
        <v/>
      </c>
      <c r="D12" s="3">
        <f>IF($B12="","",INDEX(Anuncios!$D$2:$D$662,$B12))</f>
        <v/>
      </c>
      <c r="E12" s="3">
        <f>IF($B12="","",INDEX(Anuncios!$B$2:$B$662,$B12))</f>
        <v/>
      </c>
      <c r="F12" s="3">
        <f>IF($B12="","",INDEX(Anuncios!$E$2:$E$662,$B12))</f>
        <v/>
      </c>
      <c r="G12" s="3">
        <f>IF($B12="","",INDEX(Anuncios!$F$2:$F$662,$B12))</f>
        <v/>
      </c>
      <c r="H12" s="3">
        <f>IF($B12="","",INDEX(Anuncios!$G$2:$G$662,$B12))</f>
        <v/>
      </c>
      <c r="I12" s="3">
        <f>IF($B12="","",INDEX(Anuncios!$K$2:$K$662,$B12))</f>
        <v/>
      </c>
      <c r="J12" s="3">
        <f>IF($B12="","",INDEX(Anuncios!$M$2:$M$662,$B12))</f>
        <v/>
      </c>
      <c r="K12" s="3">
        <f>IF($B12="","",INDEX(Anuncios!$N$2:$N$662,$B12))</f>
        <v/>
      </c>
      <c r="L12" s="3">
        <f>IF($B12="","",INDEX(Anuncios!$Q$2:$Q$662,$B12))</f>
        <v/>
      </c>
      <c r="M12" s="3">
        <f>IF($B12="","",INDEX(Anuncios!$R$2:$R$662,$B12))</f>
        <v/>
      </c>
      <c r="N12" s="3">
        <f>IF($B12="","",INDEX(Anuncios!$O$2:$O$662,$B12))</f>
        <v/>
      </c>
      <c r="O12" s="3">
        <f>IF($B12="","",INDEX(Anuncios!$AJ$2:$AJ$662,$B12))</f>
        <v/>
      </c>
      <c r="P12" s="3">
        <f>IF($B12="","",INDEX(Anuncios!$AI$2:$AI$662,$B12))</f>
        <v/>
      </c>
      <c r="Q12" s="3">
        <f>IF($B12="","",INDEX(Anuncios!$BX$2:$BX$662,$B12))</f>
        <v/>
      </c>
      <c r="R12" s="3">
        <f>IF($B12="","",INDEX(Anuncios!$CD$2:$CD$662,$B12))</f>
        <v/>
      </c>
      <c r="S12" s="3">
        <f>IF($B12="","",INDEX(Anuncios!$CC$2:$CC$662,$B12))</f>
        <v/>
      </c>
      <c r="T12" s="3">
        <f>IF($B12="","",INDEX(Anuncios!$CG$2:$CG$662,$B12))</f>
        <v/>
      </c>
      <c r="U12" s="3">
        <f>IF($B12="","",INDEX(Anuncios!$BC$2:$BC$662,$B12))</f>
        <v/>
      </c>
      <c r="V12" s="3">
        <f>IF($B12="","",INDEX(Anuncios!$BE$2:$BE$662,$B12))</f>
        <v/>
      </c>
      <c r="W12" s="3">
        <f>IF($B12="","",INDEX(Anuncios!$BF$2:$BF$662,$B12))</f>
        <v/>
      </c>
      <c r="X12" s="3">
        <f>IF($B12="","",INDEX(Anuncios!$BL$2:$BL$662,$B12))</f>
        <v/>
      </c>
      <c r="Y12" s="3">
        <f>IF($B12="","",INDEX(Anuncios!$BM$2:$BM$662,$B12))</f>
        <v/>
      </c>
      <c r="Z12" s="3">
        <f>IF($B12="","",INDEX(Anuncios!$BQ$2:$BQ$662,$B12))</f>
        <v/>
      </c>
      <c r="AA12" s="3">
        <f>IF($B12="","",INDEX(Anuncios!$BR$2:$BR$662,$B12))</f>
        <v/>
      </c>
      <c r="AB12" s="3">
        <f>IF($B12="","",INDEX(Anuncios!$BW$2:$BW$662,$B12))</f>
        <v/>
      </c>
      <c r="AC12" s="3">
        <f>IF($B12="","",INDEX(Anuncios!$BY$2:$BY$662,$B12))</f>
        <v/>
      </c>
      <c r="AD12" s="3">
        <f>IF($B12="","",INDEX(Anuncios!$CA$2:$CA$662,$B12))</f>
        <v/>
      </c>
      <c r="AE12" s="3">
        <f>IF($B12="","",INDEX(Anuncios!$AR$2:$AR$662,$B12))</f>
        <v/>
      </c>
      <c r="AF12" s="3">
        <f>IF($B12="","",X12*W_FIAB)</f>
        <v/>
      </c>
      <c r="AG12" s="3">
        <f>IF($B12="","",Y12*W_PRECIO)</f>
        <v/>
      </c>
      <c r="AH12" s="3">
        <f>IF($B12="","",Z12*W_KMEDAD)</f>
        <v/>
      </c>
      <c r="AI12" s="3">
        <f>IF($B12="","",AA12*W_ANUNCIO)</f>
        <v/>
      </c>
      <c r="AJ12" s="3">
        <f>IF($B12="","",AB12*W_USO)</f>
        <v/>
      </c>
      <c r="AK12" s="3">
        <f>IF($B12="","",AC12*W_SEGURIDAD)</f>
        <v/>
      </c>
    </row>
    <row r="13">
      <c r="A13" s="2" t="n">
        <v>12</v>
      </c>
      <c r="B13" s="3">
        <f>IFERROR(MATCH(A13,Anuncios!$CJ$2:$CJ$662,0),"")</f>
        <v/>
      </c>
      <c r="C13" s="3">
        <f>IF(B13="","",HYPERLINK(INDEX(Anuncios!$C$2:$C$662,B13),"Abrir anuncio"))</f>
        <v/>
      </c>
      <c r="D13" s="3">
        <f>IF($B13="","",INDEX(Anuncios!$D$2:$D$662,$B13))</f>
        <v/>
      </c>
      <c r="E13" s="3">
        <f>IF($B13="","",INDEX(Anuncios!$B$2:$B$662,$B13))</f>
        <v/>
      </c>
      <c r="F13" s="3">
        <f>IF($B13="","",INDEX(Anuncios!$E$2:$E$662,$B13))</f>
        <v/>
      </c>
      <c r="G13" s="3">
        <f>IF($B13="","",INDEX(Anuncios!$F$2:$F$662,$B13))</f>
        <v/>
      </c>
      <c r="H13" s="3">
        <f>IF($B13="","",INDEX(Anuncios!$G$2:$G$662,$B13))</f>
        <v/>
      </c>
      <c r="I13" s="3">
        <f>IF($B13="","",INDEX(Anuncios!$K$2:$K$662,$B13))</f>
        <v/>
      </c>
      <c r="J13" s="3">
        <f>IF($B13="","",INDEX(Anuncios!$M$2:$M$662,$B13))</f>
        <v/>
      </c>
      <c r="K13" s="3">
        <f>IF($B13="","",INDEX(Anuncios!$N$2:$N$662,$B13))</f>
        <v/>
      </c>
      <c r="L13" s="3">
        <f>IF($B13="","",INDEX(Anuncios!$Q$2:$Q$662,$B13))</f>
        <v/>
      </c>
      <c r="M13" s="3">
        <f>IF($B13="","",INDEX(Anuncios!$R$2:$R$662,$B13))</f>
        <v/>
      </c>
      <c r="N13" s="3">
        <f>IF($B13="","",INDEX(Anuncios!$O$2:$O$662,$B13))</f>
        <v/>
      </c>
      <c r="O13" s="3">
        <f>IF($B13="","",INDEX(Anuncios!$AJ$2:$AJ$662,$B13))</f>
        <v/>
      </c>
      <c r="P13" s="3">
        <f>IF($B13="","",INDEX(Anuncios!$AI$2:$AI$662,$B13))</f>
        <v/>
      </c>
      <c r="Q13" s="3">
        <f>IF($B13="","",INDEX(Anuncios!$BX$2:$BX$662,$B13))</f>
        <v/>
      </c>
      <c r="R13" s="3">
        <f>IF($B13="","",INDEX(Anuncios!$CD$2:$CD$662,$B13))</f>
        <v/>
      </c>
      <c r="S13" s="3">
        <f>IF($B13="","",INDEX(Anuncios!$CC$2:$CC$662,$B13))</f>
        <v/>
      </c>
      <c r="T13" s="3">
        <f>IF($B13="","",INDEX(Anuncios!$CG$2:$CG$662,$B13))</f>
        <v/>
      </c>
      <c r="U13" s="3">
        <f>IF($B13="","",INDEX(Anuncios!$BC$2:$BC$662,$B13))</f>
        <v/>
      </c>
      <c r="V13" s="3">
        <f>IF($B13="","",INDEX(Anuncios!$BE$2:$BE$662,$B13))</f>
        <v/>
      </c>
      <c r="W13" s="3">
        <f>IF($B13="","",INDEX(Anuncios!$BF$2:$BF$662,$B13))</f>
        <v/>
      </c>
      <c r="X13" s="3">
        <f>IF($B13="","",INDEX(Anuncios!$BL$2:$BL$662,$B13))</f>
        <v/>
      </c>
      <c r="Y13" s="3">
        <f>IF($B13="","",INDEX(Anuncios!$BM$2:$BM$662,$B13))</f>
        <v/>
      </c>
      <c r="Z13" s="3">
        <f>IF($B13="","",INDEX(Anuncios!$BQ$2:$BQ$662,$B13))</f>
        <v/>
      </c>
      <c r="AA13" s="3">
        <f>IF($B13="","",INDEX(Anuncios!$BR$2:$BR$662,$B13))</f>
        <v/>
      </c>
      <c r="AB13" s="3">
        <f>IF($B13="","",INDEX(Anuncios!$BW$2:$BW$662,$B13))</f>
        <v/>
      </c>
      <c r="AC13" s="3">
        <f>IF($B13="","",INDEX(Anuncios!$BY$2:$BY$662,$B13))</f>
        <v/>
      </c>
      <c r="AD13" s="3">
        <f>IF($B13="","",INDEX(Anuncios!$CA$2:$CA$662,$B13))</f>
        <v/>
      </c>
      <c r="AE13" s="3">
        <f>IF($B13="","",INDEX(Anuncios!$AR$2:$AR$662,$B13))</f>
        <v/>
      </c>
      <c r="AF13" s="3">
        <f>IF($B13="","",X13*W_FIAB)</f>
        <v/>
      </c>
      <c r="AG13" s="3">
        <f>IF($B13="","",Y13*W_PRECIO)</f>
        <v/>
      </c>
      <c r="AH13" s="3">
        <f>IF($B13="","",Z13*W_KMEDAD)</f>
        <v/>
      </c>
      <c r="AI13" s="3">
        <f>IF($B13="","",AA13*W_ANUNCIO)</f>
        <v/>
      </c>
      <c r="AJ13" s="3">
        <f>IF($B13="","",AB13*W_USO)</f>
        <v/>
      </c>
      <c r="AK13" s="3">
        <f>IF($B13="","",AC13*W_SEGURIDAD)</f>
        <v/>
      </c>
    </row>
    <row r="14">
      <c r="A14" s="2" t="n">
        <v>13</v>
      </c>
      <c r="B14" s="3">
        <f>IFERROR(MATCH(A14,Anuncios!$CJ$2:$CJ$662,0),"")</f>
        <v/>
      </c>
      <c r="C14" s="3">
        <f>IF(B14="","",HYPERLINK(INDEX(Anuncios!$C$2:$C$662,B14),"Abrir anuncio"))</f>
        <v/>
      </c>
      <c r="D14" s="3">
        <f>IF($B14="","",INDEX(Anuncios!$D$2:$D$662,$B14))</f>
        <v/>
      </c>
      <c r="E14" s="3">
        <f>IF($B14="","",INDEX(Anuncios!$B$2:$B$662,$B14))</f>
        <v/>
      </c>
      <c r="F14" s="3">
        <f>IF($B14="","",INDEX(Anuncios!$E$2:$E$662,$B14))</f>
        <v/>
      </c>
      <c r="G14" s="3">
        <f>IF($B14="","",INDEX(Anuncios!$F$2:$F$662,$B14))</f>
        <v/>
      </c>
      <c r="H14" s="3">
        <f>IF($B14="","",INDEX(Anuncios!$G$2:$G$662,$B14))</f>
        <v/>
      </c>
      <c r="I14" s="3">
        <f>IF($B14="","",INDEX(Anuncios!$K$2:$K$662,$B14))</f>
        <v/>
      </c>
      <c r="J14" s="3">
        <f>IF($B14="","",INDEX(Anuncios!$M$2:$M$662,$B14))</f>
        <v/>
      </c>
      <c r="K14" s="3">
        <f>IF($B14="","",INDEX(Anuncios!$N$2:$N$662,$B14))</f>
        <v/>
      </c>
      <c r="L14" s="3">
        <f>IF($B14="","",INDEX(Anuncios!$Q$2:$Q$662,$B14))</f>
        <v/>
      </c>
      <c r="M14" s="3">
        <f>IF($B14="","",INDEX(Anuncios!$R$2:$R$662,$B14))</f>
        <v/>
      </c>
      <c r="N14" s="3">
        <f>IF($B14="","",INDEX(Anuncios!$O$2:$O$662,$B14))</f>
        <v/>
      </c>
      <c r="O14" s="3">
        <f>IF($B14="","",INDEX(Anuncios!$AJ$2:$AJ$662,$B14))</f>
        <v/>
      </c>
      <c r="P14" s="3">
        <f>IF($B14="","",INDEX(Anuncios!$AI$2:$AI$662,$B14))</f>
        <v/>
      </c>
      <c r="Q14" s="3">
        <f>IF($B14="","",INDEX(Anuncios!$BX$2:$BX$662,$B14))</f>
        <v/>
      </c>
      <c r="R14" s="3">
        <f>IF($B14="","",INDEX(Anuncios!$CD$2:$CD$662,$B14))</f>
        <v/>
      </c>
      <c r="S14" s="3">
        <f>IF($B14="","",INDEX(Anuncios!$CC$2:$CC$662,$B14))</f>
        <v/>
      </c>
      <c r="T14" s="3">
        <f>IF($B14="","",INDEX(Anuncios!$CG$2:$CG$662,$B14))</f>
        <v/>
      </c>
      <c r="U14" s="3">
        <f>IF($B14="","",INDEX(Anuncios!$BC$2:$BC$662,$B14))</f>
        <v/>
      </c>
      <c r="V14" s="3">
        <f>IF($B14="","",INDEX(Anuncios!$BE$2:$BE$662,$B14))</f>
        <v/>
      </c>
      <c r="W14" s="3">
        <f>IF($B14="","",INDEX(Anuncios!$BF$2:$BF$662,$B14))</f>
        <v/>
      </c>
      <c r="X14" s="3">
        <f>IF($B14="","",INDEX(Anuncios!$BL$2:$BL$662,$B14))</f>
        <v/>
      </c>
      <c r="Y14" s="3">
        <f>IF($B14="","",INDEX(Anuncios!$BM$2:$BM$662,$B14))</f>
        <v/>
      </c>
      <c r="Z14" s="3">
        <f>IF($B14="","",INDEX(Anuncios!$BQ$2:$BQ$662,$B14))</f>
        <v/>
      </c>
      <c r="AA14" s="3">
        <f>IF($B14="","",INDEX(Anuncios!$BR$2:$BR$662,$B14))</f>
        <v/>
      </c>
      <c r="AB14" s="3">
        <f>IF($B14="","",INDEX(Anuncios!$BW$2:$BW$662,$B14))</f>
        <v/>
      </c>
      <c r="AC14" s="3">
        <f>IF($B14="","",INDEX(Anuncios!$BY$2:$BY$662,$B14))</f>
        <v/>
      </c>
      <c r="AD14" s="3">
        <f>IF($B14="","",INDEX(Anuncios!$CA$2:$CA$662,$B14))</f>
        <v/>
      </c>
      <c r="AE14" s="3">
        <f>IF($B14="","",INDEX(Anuncios!$AR$2:$AR$662,$B14))</f>
        <v/>
      </c>
      <c r="AF14" s="3">
        <f>IF($B14="","",X14*W_FIAB)</f>
        <v/>
      </c>
      <c r="AG14" s="3">
        <f>IF($B14="","",Y14*W_PRECIO)</f>
        <v/>
      </c>
      <c r="AH14" s="3">
        <f>IF($B14="","",Z14*W_KMEDAD)</f>
        <v/>
      </c>
      <c r="AI14" s="3">
        <f>IF($B14="","",AA14*W_ANUNCIO)</f>
        <v/>
      </c>
      <c r="AJ14" s="3">
        <f>IF($B14="","",AB14*W_USO)</f>
        <v/>
      </c>
      <c r="AK14" s="3">
        <f>IF($B14="","",AC14*W_SEGURIDAD)</f>
        <v/>
      </c>
    </row>
    <row r="15">
      <c r="A15" s="2" t="n">
        <v>14</v>
      </c>
      <c r="B15" s="3">
        <f>IFERROR(MATCH(A15,Anuncios!$CJ$2:$CJ$662,0),"")</f>
        <v/>
      </c>
      <c r="C15" s="3">
        <f>IF(B15="","",HYPERLINK(INDEX(Anuncios!$C$2:$C$662,B15),"Abrir anuncio"))</f>
        <v/>
      </c>
      <c r="D15" s="3">
        <f>IF($B15="","",INDEX(Anuncios!$D$2:$D$662,$B15))</f>
        <v/>
      </c>
      <c r="E15" s="3">
        <f>IF($B15="","",INDEX(Anuncios!$B$2:$B$662,$B15))</f>
        <v/>
      </c>
      <c r="F15" s="3">
        <f>IF($B15="","",INDEX(Anuncios!$E$2:$E$662,$B15))</f>
        <v/>
      </c>
      <c r="G15" s="3">
        <f>IF($B15="","",INDEX(Anuncios!$F$2:$F$662,$B15))</f>
        <v/>
      </c>
      <c r="H15" s="3">
        <f>IF($B15="","",INDEX(Anuncios!$G$2:$G$662,$B15))</f>
        <v/>
      </c>
      <c r="I15" s="3">
        <f>IF($B15="","",INDEX(Anuncios!$K$2:$K$662,$B15))</f>
        <v/>
      </c>
      <c r="J15" s="3">
        <f>IF($B15="","",INDEX(Anuncios!$M$2:$M$662,$B15))</f>
        <v/>
      </c>
      <c r="K15" s="3">
        <f>IF($B15="","",INDEX(Anuncios!$N$2:$N$662,$B15))</f>
        <v/>
      </c>
      <c r="L15" s="3">
        <f>IF($B15="","",INDEX(Anuncios!$Q$2:$Q$662,$B15))</f>
        <v/>
      </c>
      <c r="M15" s="3">
        <f>IF($B15="","",INDEX(Anuncios!$R$2:$R$662,$B15))</f>
        <v/>
      </c>
      <c r="N15" s="3">
        <f>IF($B15="","",INDEX(Anuncios!$O$2:$O$662,$B15))</f>
        <v/>
      </c>
      <c r="O15" s="3">
        <f>IF($B15="","",INDEX(Anuncios!$AJ$2:$AJ$662,$B15))</f>
        <v/>
      </c>
      <c r="P15" s="3">
        <f>IF($B15="","",INDEX(Anuncios!$AI$2:$AI$662,$B15))</f>
        <v/>
      </c>
      <c r="Q15" s="3">
        <f>IF($B15="","",INDEX(Anuncios!$BX$2:$BX$662,$B15))</f>
        <v/>
      </c>
      <c r="R15" s="3">
        <f>IF($B15="","",INDEX(Anuncios!$CD$2:$CD$662,$B15))</f>
        <v/>
      </c>
      <c r="S15" s="3">
        <f>IF($B15="","",INDEX(Anuncios!$CC$2:$CC$662,$B15))</f>
        <v/>
      </c>
      <c r="T15" s="3">
        <f>IF($B15="","",INDEX(Anuncios!$CG$2:$CG$662,$B15))</f>
        <v/>
      </c>
      <c r="U15" s="3">
        <f>IF($B15="","",INDEX(Anuncios!$BC$2:$BC$662,$B15))</f>
        <v/>
      </c>
      <c r="V15" s="3">
        <f>IF($B15="","",INDEX(Anuncios!$BE$2:$BE$662,$B15))</f>
        <v/>
      </c>
      <c r="W15" s="3">
        <f>IF($B15="","",INDEX(Anuncios!$BF$2:$BF$662,$B15))</f>
        <v/>
      </c>
      <c r="X15" s="3">
        <f>IF($B15="","",INDEX(Anuncios!$BL$2:$BL$662,$B15))</f>
        <v/>
      </c>
      <c r="Y15" s="3">
        <f>IF($B15="","",INDEX(Anuncios!$BM$2:$BM$662,$B15))</f>
        <v/>
      </c>
      <c r="Z15" s="3">
        <f>IF($B15="","",INDEX(Anuncios!$BQ$2:$BQ$662,$B15))</f>
        <v/>
      </c>
      <c r="AA15" s="3">
        <f>IF($B15="","",INDEX(Anuncios!$BR$2:$BR$662,$B15))</f>
        <v/>
      </c>
      <c r="AB15" s="3">
        <f>IF($B15="","",INDEX(Anuncios!$BW$2:$BW$662,$B15))</f>
        <v/>
      </c>
      <c r="AC15" s="3">
        <f>IF($B15="","",INDEX(Anuncios!$BY$2:$BY$662,$B15))</f>
        <v/>
      </c>
      <c r="AD15" s="3">
        <f>IF($B15="","",INDEX(Anuncios!$CA$2:$CA$662,$B15))</f>
        <v/>
      </c>
      <c r="AE15" s="3">
        <f>IF($B15="","",INDEX(Anuncios!$AR$2:$AR$662,$B15))</f>
        <v/>
      </c>
      <c r="AF15" s="3">
        <f>IF($B15="","",X15*W_FIAB)</f>
        <v/>
      </c>
      <c r="AG15" s="3">
        <f>IF($B15="","",Y15*W_PRECIO)</f>
        <v/>
      </c>
      <c r="AH15" s="3">
        <f>IF($B15="","",Z15*W_KMEDAD)</f>
        <v/>
      </c>
      <c r="AI15" s="3">
        <f>IF($B15="","",AA15*W_ANUNCIO)</f>
        <v/>
      </c>
      <c r="AJ15" s="3">
        <f>IF($B15="","",AB15*W_USO)</f>
        <v/>
      </c>
      <c r="AK15" s="3">
        <f>IF($B15="","",AC15*W_SEGURIDAD)</f>
        <v/>
      </c>
    </row>
    <row r="16">
      <c r="A16" s="2" t="n">
        <v>15</v>
      </c>
      <c r="B16" s="3">
        <f>IFERROR(MATCH(A16,Anuncios!$CJ$2:$CJ$662,0),"")</f>
        <v/>
      </c>
      <c r="C16" s="3">
        <f>IF(B16="","",HYPERLINK(INDEX(Anuncios!$C$2:$C$662,B16),"Abrir anuncio"))</f>
        <v/>
      </c>
      <c r="D16" s="3">
        <f>IF($B16="","",INDEX(Anuncios!$D$2:$D$662,$B16))</f>
        <v/>
      </c>
      <c r="E16" s="3">
        <f>IF($B16="","",INDEX(Anuncios!$B$2:$B$662,$B16))</f>
        <v/>
      </c>
      <c r="F16" s="3">
        <f>IF($B16="","",INDEX(Anuncios!$E$2:$E$662,$B16))</f>
        <v/>
      </c>
      <c r="G16" s="3">
        <f>IF($B16="","",INDEX(Anuncios!$F$2:$F$662,$B16))</f>
        <v/>
      </c>
      <c r="H16" s="3">
        <f>IF($B16="","",INDEX(Anuncios!$G$2:$G$662,$B16))</f>
        <v/>
      </c>
      <c r="I16" s="3">
        <f>IF($B16="","",INDEX(Anuncios!$K$2:$K$662,$B16))</f>
        <v/>
      </c>
      <c r="J16" s="3">
        <f>IF($B16="","",INDEX(Anuncios!$M$2:$M$662,$B16))</f>
        <v/>
      </c>
      <c r="K16" s="3">
        <f>IF($B16="","",INDEX(Anuncios!$N$2:$N$662,$B16))</f>
        <v/>
      </c>
      <c r="L16" s="3">
        <f>IF($B16="","",INDEX(Anuncios!$Q$2:$Q$662,$B16))</f>
        <v/>
      </c>
      <c r="M16" s="3">
        <f>IF($B16="","",INDEX(Anuncios!$R$2:$R$662,$B16))</f>
        <v/>
      </c>
      <c r="N16" s="3">
        <f>IF($B16="","",INDEX(Anuncios!$O$2:$O$662,$B16))</f>
        <v/>
      </c>
      <c r="O16" s="3">
        <f>IF($B16="","",INDEX(Anuncios!$AJ$2:$AJ$662,$B16))</f>
        <v/>
      </c>
      <c r="P16" s="3">
        <f>IF($B16="","",INDEX(Anuncios!$AI$2:$AI$662,$B16))</f>
        <v/>
      </c>
      <c r="Q16" s="3">
        <f>IF($B16="","",INDEX(Anuncios!$BX$2:$BX$662,$B16))</f>
        <v/>
      </c>
      <c r="R16" s="3">
        <f>IF($B16="","",INDEX(Anuncios!$CD$2:$CD$662,$B16))</f>
        <v/>
      </c>
      <c r="S16" s="3">
        <f>IF($B16="","",INDEX(Anuncios!$CC$2:$CC$662,$B16))</f>
        <v/>
      </c>
      <c r="T16" s="3">
        <f>IF($B16="","",INDEX(Anuncios!$CG$2:$CG$662,$B16))</f>
        <v/>
      </c>
      <c r="U16" s="3">
        <f>IF($B16="","",INDEX(Anuncios!$BC$2:$BC$662,$B16))</f>
        <v/>
      </c>
      <c r="V16" s="3">
        <f>IF($B16="","",INDEX(Anuncios!$BE$2:$BE$662,$B16))</f>
        <v/>
      </c>
      <c r="W16" s="3">
        <f>IF($B16="","",INDEX(Anuncios!$BF$2:$BF$662,$B16))</f>
        <v/>
      </c>
      <c r="X16" s="3">
        <f>IF($B16="","",INDEX(Anuncios!$BL$2:$BL$662,$B16))</f>
        <v/>
      </c>
      <c r="Y16" s="3">
        <f>IF($B16="","",INDEX(Anuncios!$BM$2:$BM$662,$B16))</f>
        <v/>
      </c>
      <c r="Z16" s="3">
        <f>IF($B16="","",INDEX(Anuncios!$BQ$2:$BQ$662,$B16))</f>
        <v/>
      </c>
      <c r="AA16" s="3">
        <f>IF($B16="","",INDEX(Anuncios!$BR$2:$BR$662,$B16))</f>
        <v/>
      </c>
      <c r="AB16" s="3">
        <f>IF($B16="","",INDEX(Anuncios!$BW$2:$BW$662,$B16))</f>
        <v/>
      </c>
      <c r="AC16" s="3">
        <f>IF($B16="","",INDEX(Anuncios!$BY$2:$BY$662,$B16))</f>
        <v/>
      </c>
      <c r="AD16" s="3">
        <f>IF($B16="","",INDEX(Anuncios!$CA$2:$CA$662,$B16))</f>
        <v/>
      </c>
      <c r="AE16" s="3">
        <f>IF($B16="","",INDEX(Anuncios!$AR$2:$AR$662,$B16))</f>
        <v/>
      </c>
      <c r="AF16" s="3">
        <f>IF($B16="","",X16*W_FIAB)</f>
        <v/>
      </c>
      <c r="AG16" s="3">
        <f>IF($B16="","",Y16*W_PRECIO)</f>
        <v/>
      </c>
      <c r="AH16" s="3">
        <f>IF($B16="","",Z16*W_KMEDAD)</f>
        <v/>
      </c>
      <c r="AI16" s="3">
        <f>IF($B16="","",AA16*W_ANUNCIO)</f>
        <v/>
      </c>
      <c r="AJ16" s="3">
        <f>IF($B16="","",AB16*W_USO)</f>
        <v/>
      </c>
      <c r="AK16" s="3">
        <f>IF($B16="","",AC16*W_SEGURIDAD)</f>
        <v/>
      </c>
    </row>
    <row r="17">
      <c r="A17" s="2" t="n">
        <v>16</v>
      </c>
      <c r="B17" s="3">
        <f>IFERROR(MATCH(A17,Anuncios!$CJ$2:$CJ$662,0),"")</f>
        <v/>
      </c>
      <c r="C17" s="3">
        <f>IF(B17="","",HYPERLINK(INDEX(Anuncios!$C$2:$C$662,B17),"Abrir anuncio"))</f>
        <v/>
      </c>
      <c r="D17" s="3">
        <f>IF($B17="","",INDEX(Anuncios!$D$2:$D$662,$B17))</f>
        <v/>
      </c>
      <c r="E17" s="3">
        <f>IF($B17="","",INDEX(Anuncios!$B$2:$B$662,$B17))</f>
        <v/>
      </c>
      <c r="F17" s="3">
        <f>IF($B17="","",INDEX(Anuncios!$E$2:$E$662,$B17))</f>
        <v/>
      </c>
      <c r="G17" s="3">
        <f>IF($B17="","",INDEX(Anuncios!$F$2:$F$662,$B17))</f>
        <v/>
      </c>
      <c r="H17" s="3">
        <f>IF($B17="","",INDEX(Anuncios!$G$2:$G$662,$B17))</f>
        <v/>
      </c>
      <c r="I17" s="3">
        <f>IF($B17="","",INDEX(Anuncios!$K$2:$K$662,$B17))</f>
        <v/>
      </c>
      <c r="J17" s="3">
        <f>IF($B17="","",INDEX(Anuncios!$M$2:$M$662,$B17))</f>
        <v/>
      </c>
      <c r="K17" s="3">
        <f>IF($B17="","",INDEX(Anuncios!$N$2:$N$662,$B17))</f>
        <v/>
      </c>
      <c r="L17" s="3">
        <f>IF($B17="","",INDEX(Anuncios!$Q$2:$Q$662,$B17))</f>
        <v/>
      </c>
      <c r="M17" s="3">
        <f>IF($B17="","",INDEX(Anuncios!$R$2:$R$662,$B17))</f>
        <v/>
      </c>
      <c r="N17" s="3">
        <f>IF($B17="","",INDEX(Anuncios!$O$2:$O$662,$B17))</f>
        <v/>
      </c>
      <c r="O17" s="3">
        <f>IF($B17="","",INDEX(Anuncios!$AJ$2:$AJ$662,$B17))</f>
        <v/>
      </c>
      <c r="P17" s="3">
        <f>IF($B17="","",INDEX(Anuncios!$AI$2:$AI$662,$B17))</f>
        <v/>
      </c>
      <c r="Q17" s="3">
        <f>IF($B17="","",INDEX(Anuncios!$BX$2:$BX$662,$B17))</f>
        <v/>
      </c>
      <c r="R17" s="3">
        <f>IF($B17="","",INDEX(Anuncios!$CD$2:$CD$662,$B17))</f>
        <v/>
      </c>
      <c r="S17" s="3">
        <f>IF($B17="","",INDEX(Anuncios!$CC$2:$CC$662,$B17))</f>
        <v/>
      </c>
      <c r="T17" s="3">
        <f>IF($B17="","",INDEX(Anuncios!$CG$2:$CG$662,$B17))</f>
        <v/>
      </c>
      <c r="U17" s="3">
        <f>IF($B17="","",INDEX(Anuncios!$BC$2:$BC$662,$B17))</f>
        <v/>
      </c>
      <c r="V17" s="3">
        <f>IF($B17="","",INDEX(Anuncios!$BE$2:$BE$662,$B17))</f>
        <v/>
      </c>
      <c r="W17" s="3">
        <f>IF($B17="","",INDEX(Anuncios!$BF$2:$BF$662,$B17))</f>
        <v/>
      </c>
      <c r="X17" s="3">
        <f>IF($B17="","",INDEX(Anuncios!$BL$2:$BL$662,$B17))</f>
        <v/>
      </c>
      <c r="Y17" s="3">
        <f>IF($B17="","",INDEX(Anuncios!$BM$2:$BM$662,$B17))</f>
        <v/>
      </c>
      <c r="Z17" s="3">
        <f>IF($B17="","",INDEX(Anuncios!$BQ$2:$BQ$662,$B17))</f>
        <v/>
      </c>
      <c r="AA17" s="3">
        <f>IF($B17="","",INDEX(Anuncios!$BR$2:$BR$662,$B17))</f>
        <v/>
      </c>
      <c r="AB17" s="3">
        <f>IF($B17="","",INDEX(Anuncios!$BW$2:$BW$662,$B17))</f>
        <v/>
      </c>
      <c r="AC17" s="3">
        <f>IF($B17="","",INDEX(Anuncios!$BY$2:$BY$662,$B17))</f>
        <v/>
      </c>
      <c r="AD17" s="3">
        <f>IF($B17="","",INDEX(Anuncios!$CA$2:$CA$662,$B17))</f>
        <v/>
      </c>
      <c r="AE17" s="3">
        <f>IF($B17="","",INDEX(Anuncios!$AR$2:$AR$662,$B17))</f>
        <v/>
      </c>
      <c r="AF17" s="3">
        <f>IF($B17="","",X17*W_FIAB)</f>
        <v/>
      </c>
      <c r="AG17" s="3">
        <f>IF($B17="","",Y17*W_PRECIO)</f>
        <v/>
      </c>
      <c r="AH17" s="3">
        <f>IF($B17="","",Z17*W_KMEDAD)</f>
        <v/>
      </c>
      <c r="AI17" s="3">
        <f>IF($B17="","",AA17*W_ANUNCIO)</f>
        <v/>
      </c>
      <c r="AJ17" s="3">
        <f>IF($B17="","",AB17*W_USO)</f>
        <v/>
      </c>
      <c r="AK17" s="3">
        <f>IF($B17="","",AC17*W_SEGURIDAD)</f>
        <v/>
      </c>
    </row>
    <row r="18">
      <c r="A18" s="2" t="n">
        <v>17</v>
      </c>
      <c r="B18" s="3">
        <f>IFERROR(MATCH(A18,Anuncios!$CJ$2:$CJ$662,0),"")</f>
        <v/>
      </c>
      <c r="C18" s="3">
        <f>IF(B18="","",HYPERLINK(INDEX(Anuncios!$C$2:$C$662,B18),"Abrir anuncio"))</f>
        <v/>
      </c>
      <c r="D18" s="3">
        <f>IF($B18="","",INDEX(Anuncios!$D$2:$D$662,$B18))</f>
        <v/>
      </c>
      <c r="E18" s="3">
        <f>IF($B18="","",INDEX(Anuncios!$B$2:$B$662,$B18))</f>
        <v/>
      </c>
      <c r="F18" s="3">
        <f>IF($B18="","",INDEX(Anuncios!$E$2:$E$662,$B18))</f>
        <v/>
      </c>
      <c r="G18" s="3">
        <f>IF($B18="","",INDEX(Anuncios!$F$2:$F$662,$B18))</f>
        <v/>
      </c>
      <c r="H18" s="3">
        <f>IF($B18="","",INDEX(Anuncios!$G$2:$G$662,$B18))</f>
        <v/>
      </c>
      <c r="I18" s="3">
        <f>IF($B18="","",INDEX(Anuncios!$K$2:$K$662,$B18))</f>
        <v/>
      </c>
      <c r="J18" s="3">
        <f>IF($B18="","",INDEX(Anuncios!$M$2:$M$662,$B18))</f>
        <v/>
      </c>
      <c r="K18" s="3">
        <f>IF($B18="","",INDEX(Anuncios!$N$2:$N$662,$B18))</f>
        <v/>
      </c>
      <c r="L18" s="3">
        <f>IF($B18="","",INDEX(Anuncios!$Q$2:$Q$662,$B18))</f>
        <v/>
      </c>
      <c r="M18" s="3">
        <f>IF($B18="","",INDEX(Anuncios!$R$2:$R$662,$B18))</f>
        <v/>
      </c>
      <c r="N18" s="3">
        <f>IF($B18="","",INDEX(Anuncios!$O$2:$O$662,$B18))</f>
        <v/>
      </c>
      <c r="O18" s="3">
        <f>IF($B18="","",INDEX(Anuncios!$AJ$2:$AJ$662,$B18))</f>
        <v/>
      </c>
      <c r="P18" s="3">
        <f>IF($B18="","",INDEX(Anuncios!$AI$2:$AI$662,$B18))</f>
        <v/>
      </c>
      <c r="Q18" s="3">
        <f>IF($B18="","",INDEX(Anuncios!$BX$2:$BX$662,$B18))</f>
        <v/>
      </c>
      <c r="R18" s="3">
        <f>IF($B18="","",INDEX(Anuncios!$CD$2:$CD$662,$B18))</f>
        <v/>
      </c>
      <c r="S18" s="3">
        <f>IF($B18="","",INDEX(Anuncios!$CC$2:$CC$662,$B18))</f>
        <v/>
      </c>
      <c r="T18" s="3">
        <f>IF($B18="","",INDEX(Anuncios!$CG$2:$CG$662,$B18))</f>
        <v/>
      </c>
      <c r="U18" s="3">
        <f>IF($B18="","",INDEX(Anuncios!$BC$2:$BC$662,$B18))</f>
        <v/>
      </c>
      <c r="V18" s="3">
        <f>IF($B18="","",INDEX(Anuncios!$BE$2:$BE$662,$B18))</f>
        <v/>
      </c>
      <c r="W18" s="3">
        <f>IF($B18="","",INDEX(Anuncios!$BF$2:$BF$662,$B18))</f>
        <v/>
      </c>
      <c r="X18" s="3">
        <f>IF($B18="","",INDEX(Anuncios!$BL$2:$BL$662,$B18))</f>
        <v/>
      </c>
      <c r="Y18" s="3">
        <f>IF($B18="","",INDEX(Anuncios!$BM$2:$BM$662,$B18))</f>
        <v/>
      </c>
      <c r="Z18" s="3">
        <f>IF($B18="","",INDEX(Anuncios!$BQ$2:$BQ$662,$B18))</f>
        <v/>
      </c>
      <c r="AA18" s="3">
        <f>IF($B18="","",INDEX(Anuncios!$BR$2:$BR$662,$B18))</f>
        <v/>
      </c>
      <c r="AB18" s="3">
        <f>IF($B18="","",INDEX(Anuncios!$BW$2:$BW$662,$B18))</f>
        <v/>
      </c>
      <c r="AC18" s="3">
        <f>IF($B18="","",INDEX(Anuncios!$BY$2:$BY$662,$B18))</f>
        <v/>
      </c>
      <c r="AD18" s="3">
        <f>IF($B18="","",INDEX(Anuncios!$CA$2:$CA$662,$B18))</f>
        <v/>
      </c>
      <c r="AE18" s="3">
        <f>IF($B18="","",INDEX(Anuncios!$AR$2:$AR$662,$B18))</f>
        <v/>
      </c>
      <c r="AF18" s="3">
        <f>IF($B18="","",X18*W_FIAB)</f>
        <v/>
      </c>
      <c r="AG18" s="3">
        <f>IF($B18="","",Y18*W_PRECIO)</f>
        <v/>
      </c>
      <c r="AH18" s="3">
        <f>IF($B18="","",Z18*W_KMEDAD)</f>
        <v/>
      </c>
      <c r="AI18" s="3">
        <f>IF($B18="","",AA18*W_ANUNCIO)</f>
        <v/>
      </c>
      <c r="AJ18" s="3">
        <f>IF($B18="","",AB18*W_USO)</f>
        <v/>
      </c>
      <c r="AK18" s="3">
        <f>IF($B18="","",AC18*W_SEGURIDAD)</f>
        <v/>
      </c>
    </row>
    <row r="19">
      <c r="A19" s="2" t="n">
        <v>18</v>
      </c>
      <c r="B19" s="3">
        <f>IFERROR(MATCH(A19,Anuncios!$CJ$2:$CJ$662,0),"")</f>
        <v/>
      </c>
      <c r="C19" s="3">
        <f>IF(B19="","",HYPERLINK(INDEX(Anuncios!$C$2:$C$662,B19),"Abrir anuncio"))</f>
        <v/>
      </c>
      <c r="D19" s="3">
        <f>IF($B19="","",INDEX(Anuncios!$D$2:$D$662,$B19))</f>
        <v/>
      </c>
      <c r="E19" s="3">
        <f>IF($B19="","",INDEX(Anuncios!$B$2:$B$662,$B19))</f>
        <v/>
      </c>
      <c r="F19" s="3">
        <f>IF($B19="","",INDEX(Anuncios!$E$2:$E$662,$B19))</f>
        <v/>
      </c>
      <c r="G19" s="3">
        <f>IF($B19="","",INDEX(Anuncios!$F$2:$F$662,$B19))</f>
        <v/>
      </c>
      <c r="H19" s="3">
        <f>IF($B19="","",INDEX(Anuncios!$G$2:$G$662,$B19))</f>
        <v/>
      </c>
      <c r="I19" s="3">
        <f>IF($B19="","",INDEX(Anuncios!$K$2:$K$662,$B19))</f>
        <v/>
      </c>
      <c r="J19" s="3">
        <f>IF($B19="","",INDEX(Anuncios!$M$2:$M$662,$B19))</f>
        <v/>
      </c>
      <c r="K19" s="3">
        <f>IF($B19="","",INDEX(Anuncios!$N$2:$N$662,$B19))</f>
        <v/>
      </c>
      <c r="L19" s="3">
        <f>IF($B19="","",INDEX(Anuncios!$Q$2:$Q$662,$B19))</f>
        <v/>
      </c>
      <c r="M19" s="3">
        <f>IF($B19="","",INDEX(Anuncios!$R$2:$R$662,$B19))</f>
        <v/>
      </c>
      <c r="N19" s="3">
        <f>IF($B19="","",INDEX(Anuncios!$O$2:$O$662,$B19))</f>
        <v/>
      </c>
      <c r="O19" s="3">
        <f>IF($B19="","",INDEX(Anuncios!$AJ$2:$AJ$662,$B19))</f>
        <v/>
      </c>
      <c r="P19" s="3">
        <f>IF($B19="","",INDEX(Anuncios!$AI$2:$AI$662,$B19))</f>
        <v/>
      </c>
      <c r="Q19" s="3">
        <f>IF($B19="","",INDEX(Anuncios!$BX$2:$BX$662,$B19))</f>
        <v/>
      </c>
      <c r="R19" s="3">
        <f>IF($B19="","",INDEX(Anuncios!$CD$2:$CD$662,$B19))</f>
        <v/>
      </c>
      <c r="S19" s="3">
        <f>IF($B19="","",INDEX(Anuncios!$CC$2:$CC$662,$B19))</f>
        <v/>
      </c>
      <c r="T19" s="3">
        <f>IF($B19="","",INDEX(Anuncios!$CG$2:$CG$662,$B19))</f>
        <v/>
      </c>
      <c r="U19" s="3">
        <f>IF($B19="","",INDEX(Anuncios!$BC$2:$BC$662,$B19))</f>
        <v/>
      </c>
      <c r="V19" s="3">
        <f>IF($B19="","",INDEX(Anuncios!$BE$2:$BE$662,$B19))</f>
        <v/>
      </c>
      <c r="W19" s="3">
        <f>IF($B19="","",INDEX(Anuncios!$BF$2:$BF$662,$B19))</f>
        <v/>
      </c>
      <c r="X19" s="3">
        <f>IF($B19="","",INDEX(Anuncios!$BL$2:$BL$662,$B19))</f>
        <v/>
      </c>
      <c r="Y19" s="3">
        <f>IF($B19="","",INDEX(Anuncios!$BM$2:$BM$662,$B19))</f>
        <v/>
      </c>
      <c r="Z19" s="3">
        <f>IF($B19="","",INDEX(Anuncios!$BQ$2:$BQ$662,$B19))</f>
        <v/>
      </c>
      <c r="AA19" s="3">
        <f>IF($B19="","",INDEX(Anuncios!$BR$2:$BR$662,$B19))</f>
        <v/>
      </c>
      <c r="AB19" s="3">
        <f>IF($B19="","",INDEX(Anuncios!$BW$2:$BW$662,$B19))</f>
        <v/>
      </c>
      <c r="AC19" s="3">
        <f>IF($B19="","",INDEX(Anuncios!$BY$2:$BY$662,$B19))</f>
        <v/>
      </c>
      <c r="AD19" s="3">
        <f>IF($B19="","",INDEX(Anuncios!$CA$2:$CA$662,$B19))</f>
        <v/>
      </c>
      <c r="AE19" s="3">
        <f>IF($B19="","",INDEX(Anuncios!$AR$2:$AR$662,$B19))</f>
        <v/>
      </c>
      <c r="AF19" s="3">
        <f>IF($B19="","",X19*W_FIAB)</f>
        <v/>
      </c>
      <c r="AG19" s="3">
        <f>IF($B19="","",Y19*W_PRECIO)</f>
        <v/>
      </c>
      <c r="AH19" s="3">
        <f>IF($B19="","",Z19*W_KMEDAD)</f>
        <v/>
      </c>
      <c r="AI19" s="3">
        <f>IF($B19="","",AA19*W_ANUNCIO)</f>
        <v/>
      </c>
      <c r="AJ19" s="3">
        <f>IF($B19="","",AB19*W_USO)</f>
        <v/>
      </c>
      <c r="AK19" s="3">
        <f>IF($B19="","",AC19*W_SEGURIDAD)</f>
        <v/>
      </c>
    </row>
    <row r="20">
      <c r="A20" s="2" t="n">
        <v>19</v>
      </c>
      <c r="B20" s="3">
        <f>IFERROR(MATCH(A20,Anuncios!$CJ$2:$CJ$662,0),"")</f>
        <v/>
      </c>
      <c r="C20" s="3">
        <f>IF(B20="","",HYPERLINK(INDEX(Anuncios!$C$2:$C$662,B20),"Abrir anuncio"))</f>
        <v/>
      </c>
      <c r="D20" s="3">
        <f>IF($B20="","",INDEX(Anuncios!$D$2:$D$662,$B20))</f>
        <v/>
      </c>
      <c r="E20" s="3">
        <f>IF($B20="","",INDEX(Anuncios!$B$2:$B$662,$B20))</f>
        <v/>
      </c>
      <c r="F20" s="3">
        <f>IF($B20="","",INDEX(Anuncios!$E$2:$E$662,$B20))</f>
        <v/>
      </c>
      <c r="G20" s="3">
        <f>IF($B20="","",INDEX(Anuncios!$F$2:$F$662,$B20))</f>
        <v/>
      </c>
      <c r="H20" s="3">
        <f>IF($B20="","",INDEX(Anuncios!$G$2:$G$662,$B20))</f>
        <v/>
      </c>
      <c r="I20" s="3">
        <f>IF($B20="","",INDEX(Anuncios!$K$2:$K$662,$B20))</f>
        <v/>
      </c>
      <c r="J20" s="3">
        <f>IF($B20="","",INDEX(Anuncios!$M$2:$M$662,$B20))</f>
        <v/>
      </c>
      <c r="K20" s="3">
        <f>IF($B20="","",INDEX(Anuncios!$N$2:$N$662,$B20))</f>
        <v/>
      </c>
      <c r="L20" s="3">
        <f>IF($B20="","",INDEX(Anuncios!$Q$2:$Q$662,$B20))</f>
        <v/>
      </c>
      <c r="M20" s="3">
        <f>IF($B20="","",INDEX(Anuncios!$R$2:$R$662,$B20))</f>
        <v/>
      </c>
      <c r="N20" s="3">
        <f>IF($B20="","",INDEX(Anuncios!$O$2:$O$662,$B20))</f>
        <v/>
      </c>
      <c r="O20" s="3">
        <f>IF($B20="","",INDEX(Anuncios!$AJ$2:$AJ$662,$B20))</f>
        <v/>
      </c>
      <c r="P20" s="3">
        <f>IF($B20="","",INDEX(Anuncios!$AI$2:$AI$662,$B20))</f>
        <v/>
      </c>
      <c r="Q20" s="3">
        <f>IF($B20="","",INDEX(Anuncios!$BX$2:$BX$662,$B20))</f>
        <v/>
      </c>
      <c r="R20" s="3">
        <f>IF($B20="","",INDEX(Anuncios!$CD$2:$CD$662,$B20))</f>
        <v/>
      </c>
      <c r="S20" s="3">
        <f>IF($B20="","",INDEX(Anuncios!$CC$2:$CC$662,$B20))</f>
        <v/>
      </c>
      <c r="T20" s="3">
        <f>IF($B20="","",INDEX(Anuncios!$CG$2:$CG$662,$B20))</f>
        <v/>
      </c>
      <c r="U20" s="3">
        <f>IF($B20="","",INDEX(Anuncios!$BC$2:$BC$662,$B20))</f>
        <v/>
      </c>
      <c r="V20" s="3">
        <f>IF($B20="","",INDEX(Anuncios!$BE$2:$BE$662,$B20))</f>
        <v/>
      </c>
      <c r="W20" s="3">
        <f>IF($B20="","",INDEX(Anuncios!$BF$2:$BF$662,$B20))</f>
        <v/>
      </c>
      <c r="X20" s="3">
        <f>IF($B20="","",INDEX(Anuncios!$BL$2:$BL$662,$B20))</f>
        <v/>
      </c>
      <c r="Y20" s="3">
        <f>IF($B20="","",INDEX(Anuncios!$BM$2:$BM$662,$B20))</f>
        <v/>
      </c>
      <c r="Z20" s="3">
        <f>IF($B20="","",INDEX(Anuncios!$BQ$2:$BQ$662,$B20))</f>
        <v/>
      </c>
      <c r="AA20" s="3">
        <f>IF($B20="","",INDEX(Anuncios!$BR$2:$BR$662,$B20))</f>
        <v/>
      </c>
      <c r="AB20" s="3">
        <f>IF($B20="","",INDEX(Anuncios!$BW$2:$BW$662,$B20))</f>
        <v/>
      </c>
      <c r="AC20" s="3">
        <f>IF($B20="","",INDEX(Anuncios!$BY$2:$BY$662,$B20))</f>
        <v/>
      </c>
      <c r="AD20" s="3">
        <f>IF($B20="","",INDEX(Anuncios!$CA$2:$CA$662,$B20))</f>
        <v/>
      </c>
      <c r="AE20" s="3">
        <f>IF($B20="","",INDEX(Anuncios!$AR$2:$AR$662,$B20))</f>
        <v/>
      </c>
      <c r="AF20" s="3">
        <f>IF($B20="","",X20*W_FIAB)</f>
        <v/>
      </c>
      <c r="AG20" s="3">
        <f>IF($B20="","",Y20*W_PRECIO)</f>
        <v/>
      </c>
      <c r="AH20" s="3">
        <f>IF($B20="","",Z20*W_KMEDAD)</f>
        <v/>
      </c>
      <c r="AI20" s="3">
        <f>IF($B20="","",AA20*W_ANUNCIO)</f>
        <v/>
      </c>
      <c r="AJ20" s="3">
        <f>IF($B20="","",AB20*W_USO)</f>
        <v/>
      </c>
      <c r="AK20" s="3">
        <f>IF($B20="","",AC20*W_SEGURIDAD)</f>
        <v/>
      </c>
    </row>
    <row r="21">
      <c r="A21" s="2" t="n">
        <v>20</v>
      </c>
      <c r="B21" s="3">
        <f>IFERROR(MATCH(A21,Anuncios!$CJ$2:$CJ$662,0),"")</f>
        <v/>
      </c>
      <c r="C21" s="3">
        <f>IF(B21="","",HYPERLINK(INDEX(Anuncios!$C$2:$C$662,B21),"Abrir anuncio"))</f>
        <v/>
      </c>
      <c r="D21" s="3">
        <f>IF($B21="","",INDEX(Anuncios!$D$2:$D$662,$B21))</f>
        <v/>
      </c>
      <c r="E21" s="3">
        <f>IF($B21="","",INDEX(Anuncios!$B$2:$B$662,$B21))</f>
        <v/>
      </c>
      <c r="F21" s="3">
        <f>IF($B21="","",INDEX(Anuncios!$E$2:$E$662,$B21))</f>
        <v/>
      </c>
      <c r="G21" s="3">
        <f>IF($B21="","",INDEX(Anuncios!$F$2:$F$662,$B21))</f>
        <v/>
      </c>
      <c r="H21" s="3">
        <f>IF($B21="","",INDEX(Anuncios!$G$2:$G$662,$B21))</f>
        <v/>
      </c>
      <c r="I21" s="3">
        <f>IF($B21="","",INDEX(Anuncios!$K$2:$K$662,$B21))</f>
        <v/>
      </c>
      <c r="J21" s="3">
        <f>IF($B21="","",INDEX(Anuncios!$M$2:$M$662,$B21))</f>
        <v/>
      </c>
      <c r="K21" s="3">
        <f>IF($B21="","",INDEX(Anuncios!$N$2:$N$662,$B21))</f>
        <v/>
      </c>
      <c r="L21" s="3">
        <f>IF($B21="","",INDEX(Anuncios!$Q$2:$Q$662,$B21))</f>
        <v/>
      </c>
      <c r="M21" s="3">
        <f>IF($B21="","",INDEX(Anuncios!$R$2:$R$662,$B21))</f>
        <v/>
      </c>
      <c r="N21" s="3">
        <f>IF($B21="","",INDEX(Anuncios!$O$2:$O$662,$B21))</f>
        <v/>
      </c>
      <c r="O21" s="3">
        <f>IF($B21="","",INDEX(Anuncios!$AJ$2:$AJ$662,$B21))</f>
        <v/>
      </c>
      <c r="P21" s="3">
        <f>IF($B21="","",INDEX(Anuncios!$AI$2:$AI$662,$B21))</f>
        <v/>
      </c>
      <c r="Q21" s="3">
        <f>IF($B21="","",INDEX(Anuncios!$BX$2:$BX$662,$B21))</f>
        <v/>
      </c>
      <c r="R21" s="3">
        <f>IF($B21="","",INDEX(Anuncios!$CD$2:$CD$662,$B21))</f>
        <v/>
      </c>
      <c r="S21" s="3">
        <f>IF($B21="","",INDEX(Anuncios!$CC$2:$CC$662,$B21))</f>
        <v/>
      </c>
      <c r="T21" s="3">
        <f>IF($B21="","",INDEX(Anuncios!$CG$2:$CG$662,$B21))</f>
        <v/>
      </c>
      <c r="U21" s="3">
        <f>IF($B21="","",INDEX(Anuncios!$BC$2:$BC$662,$B21))</f>
        <v/>
      </c>
      <c r="V21" s="3">
        <f>IF($B21="","",INDEX(Anuncios!$BE$2:$BE$662,$B21))</f>
        <v/>
      </c>
      <c r="W21" s="3">
        <f>IF($B21="","",INDEX(Anuncios!$BF$2:$BF$662,$B21))</f>
        <v/>
      </c>
      <c r="X21" s="3">
        <f>IF($B21="","",INDEX(Anuncios!$BL$2:$BL$662,$B21))</f>
        <v/>
      </c>
      <c r="Y21" s="3">
        <f>IF($B21="","",INDEX(Anuncios!$BM$2:$BM$662,$B21))</f>
        <v/>
      </c>
      <c r="Z21" s="3">
        <f>IF($B21="","",INDEX(Anuncios!$BQ$2:$BQ$662,$B21))</f>
        <v/>
      </c>
      <c r="AA21" s="3">
        <f>IF($B21="","",INDEX(Anuncios!$BR$2:$BR$662,$B21))</f>
        <v/>
      </c>
      <c r="AB21" s="3">
        <f>IF($B21="","",INDEX(Anuncios!$BW$2:$BW$662,$B21))</f>
        <v/>
      </c>
      <c r="AC21" s="3">
        <f>IF($B21="","",INDEX(Anuncios!$BY$2:$BY$662,$B21))</f>
        <v/>
      </c>
      <c r="AD21" s="3">
        <f>IF($B21="","",INDEX(Anuncios!$CA$2:$CA$662,$B21))</f>
        <v/>
      </c>
      <c r="AE21" s="3">
        <f>IF($B21="","",INDEX(Anuncios!$AR$2:$AR$662,$B21))</f>
        <v/>
      </c>
      <c r="AF21" s="3">
        <f>IF($B21="","",X21*W_FIAB)</f>
        <v/>
      </c>
      <c r="AG21" s="3">
        <f>IF($B21="","",Y21*W_PRECIO)</f>
        <v/>
      </c>
      <c r="AH21" s="3">
        <f>IF($B21="","",Z21*W_KMEDAD)</f>
        <v/>
      </c>
      <c r="AI21" s="3">
        <f>IF($B21="","",AA21*W_ANUNCIO)</f>
        <v/>
      </c>
      <c r="AJ21" s="3">
        <f>IF($B21="","",AB21*W_USO)</f>
        <v/>
      </c>
      <c r="AK21" s="3">
        <f>IF($B21="","",AC21*W_SEGURIDAD)</f>
        <v/>
      </c>
    </row>
    <row r="23">
      <c r="A23" s="5" t="inlineStr">
        <is>
          <t>Todo se calcula con fórmulas a partir de 'Anuncios' (verde) y 'Supuestos'. Aportación = puntuación del criterio × peso. Suma de aportaciones = PUNTUACIÓN.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84"/>
  <sheetViews>
    <sheetView workbookViewId="0">
      <selection activeCell="A1" sqref="A1"/>
    </sheetView>
  </sheetViews>
  <sheetFormatPr baseColWidth="8" defaultRowHeight="15"/>
  <cols>
    <col width="44" customWidth="1" min="1" max="1"/>
    <col width="18" customWidth="1" min="2" max="2"/>
    <col width="22" customWidth="1" min="3" max="3"/>
    <col width="22" customWidth="1" min="4" max="4"/>
    <col width="18" customWidth="1" min="5" max="5"/>
    <col width="40" customWidth="1" min="6" max="6"/>
    <col width="40" customWidth="1" min="7" max="7"/>
    <col width="14" customWidth="1" min="8" max="8"/>
    <col width="12" customWidth="1" min="9" max="9"/>
    <col width="30" customWidth="1" min="10" max="10"/>
    <col width="60" customWidth="1" min="11" max="11"/>
  </cols>
  <sheetData>
    <row r="1">
      <c r="A1" s="6" t="inlineStr">
        <is>
          <t>Supuestos: pesos, parámetros, fiscalidad y fiabilidad (cada dato con su estado y fuente)</t>
        </is>
      </c>
    </row>
    <row r="2">
      <c r="A2" t="inlineStr">
        <is>
          <t>Azul = dato introducido/fuente externa · Negro = calculado en esta hoja · Verde = viene de otra hoja. Estado: confirmado / probable (verificar en la fuente) / PENDIENTE (no se usa como cierto).</t>
        </is>
      </c>
    </row>
    <row r="5">
      <c r="A5" s="6" t="inlineStr">
        <is>
          <t>1. Pesos del scoring (deben sumar 1)</t>
        </is>
      </c>
    </row>
    <row r="6">
      <c r="A6" s="7" t="inlineStr">
        <is>
          <t>Criterio</t>
        </is>
      </c>
      <c r="B6" s="7" t="inlineStr">
        <is>
          <t>Peso</t>
        </is>
      </c>
      <c r="C6" s="7" t="inlineStr">
        <is>
          <t>Estado</t>
        </is>
      </c>
      <c r="D6" s="7" t="inlineStr">
        <is>
          <t>Fuente</t>
        </is>
      </c>
    </row>
    <row r="7">
      <c r="A7" t="inlineStr">
        <is>
          <t>Fiabilidad modelo/motor</t>
        </is>
      </c>
      <c r="B7" s="2" t="n">
        <v>0.3</v>
      </c>
      <c r="C7" t="inlineStr">
        <is>
          <t>criterio (config.yaml)</t>
        </is>
      </c>
      <c r="D7" t="inlineStr">
        <is>
          <t>config.yaml</t>
        </is>
      </c>
    </row>
    <row r="8">
      <c r="A8" t="inlineStr">
        <is>
          <t>Precio frente al mercado</t>
        </is>
      </c>
      <c r="B8" s="2" t="n">
        <v>0.25</v>
      </c>
      <c r="C8" t="inlineStr">
        <is>
          <t>criterio (config.yaml)</t>
        </is>
      </c>
      <c r="D8" t="inlineStr">
        <is>
          <t>config.yaml</t>
        </is>
      </c>
    </row>
    <row r="9">
      <c r="A9" t="inlineStr">
        <is>
          <t>Km y edad</t>
        </is>
      </c>
      <c r="B9" s="2" t="n">
        <v>0.12</v>
      </c>
      <c r="C9" t="inlineStr">
        <is>
          <t>criterio (config.yaml)</t>
        </is>
      </c>
      <c r="D9" t="inlineStr">
        <is>
          <t>config.yaml</t>
        </is>
      </c>
    </row>
    <row r="10">
      <c r="A10" t="inlineStr">
        <is>
          <t>Calidad del anuncio / mantenimiento</t>
        </is>
      </c>
      <c r="B10" s="2" t="n">
        <v>0.09</v>
      </c>
      <c r="C10" t="inlineStr">
        <is>
          <t>criterio (config.yaml)</t>
        </is>
      </c>
      <c r="D10" t="inlineStr">
        <is>
          <t>config.yaml</t>
        </is>
      </c>
    </row>
    <row r="11">
      <c r="A11" t="inlineStr">
        <is>
          <t>Coste de uso en Valencia</t>
        </is>
      </c>
      <c r="B11" s="2" t="n">
        <v>0.09</v>
      </c>
      <c r="C11" t="inlineStr">
        <is>
          <t>criterio (config.yaml)</t>
        </is>
      </c>
      <c r="D11" t="inlineStr">
        <is>
          <t>config.yaml</t>
        </is>
      </c>
    </row>
    <row r="12">
      <c r="A12" t="inlineStr">
        <is>
          <t>Seguridad de compra (garantía, km certificados, revisión, devolución, historial)</t>
        </is>
      </c>
      <c r="B12" s="2" t="n">
        <v>0.15</v>
      </c>
      <c r="C12" t="inlineStr">
        <is>
          <t>criterio (config.yaml)</t>
        </is>
      </c>
      <c r="D12" t="inlineStr">
        <is>
          <t>config.yaml: añadido el 31-10-2026; los 5 pesos anteriores × 0,85 redondeados</t>
        </is>
      </c>
    </row>
    <row r="13">
      <c r="A13" t="inlineStr">
        <is>
          <t>Suma de pesos (control)</t>
        </is>
      </c>
      <c r="B13" s="4">
        <f>SUM(B7:B12)</f>
        <v/>
      </c>
      <c r="C13" t="inlineStr">
        <is>
          <t>calculado</t>
        </is>
      </c>
      <c r="D13" t="inlineStr"/>
    </row>
    <row r="15">
      <c r="A15" s="6" t="inlineStr">
        <is>
          <t>2. Parámetros de búsqueda y de puntuación</t>
        </is>
      </c>
    </row>
    <row r="16">
      <c r="A16" s="7" t="inlineStr">
        <is>
          <t>Parámetro</t>
        </is>
      </c>
      <c r="B16" s="7" t="inlineStr">
        <is>
          <t>Valor</t>
        </is>
      </c>
      <c r="C16" s="7" t="inlineStr">
        <is>
          <t>Estado</t>
        </is>
      </c>
      <c r="D16" s="7" t="inlineStr">
        <is>
          <t>Fuente</t>
        </is>
      </c>
    </row>
    <row r="17">
      <c r="A17" t="inlineStr">
        <is>
          <t>Año de referencia</t>
        </is>
      </c>
      <c r="B17" s="2" t="n">
        <v>2026</v>
      </c>
      <c r="C17" t="inlineStr">
        <is>
          <t>dato</t>
        </is>
      </c>
      <c r="D17" t="inlineStr">
        <is>
          <t>fiscal.yaml</t>
        </is>
      </c>
    </row>
    <row r="18">
      <c r="A18" t="inlineStr">
        <is>
          <t>Año mínimo</t>
        </is>
      </c>
      <c r="B18" s="2" t="n">
        <v>2006</v>
      </c>
      <c r="C18" t="inlineStr">
        <is>
          <t>criterio (config.yaml)</t>
        </is>
      </c>
      <c r="D18" t="inlineStr">
        <is>
          <t>config.yaml</t>
        </is>
      </c>
    </row>
    <row r="19">
      <c r="A19" t="inlineStr">
        <is>
          <t>Km máximos</t>
        </is>
      </c>
      <c r="B19" s="2" t="n">
        <v>220000</v>
      </c>
      <c r="C19" t="inlineStr">
        <is>
          <t>criterio (config.yaml)</t>
        </is>
      </c>
      <c r="D19" t="inlineStr">
        <is>
          <t>config.yaml</t>
        </is>
      </c>
    </row>
    <row r="20">
      <c r="A20" t="inlineStr">
        <is>
          <t>Precio anuncio máximo (€)</t>
        </is>
      </c>
      <c r="B20" s="2" t="n">
        <v>5200</v>
      </c>
      <c r="C20" t="inlineStr">
        <is>
          <t>criterio (config.yaml)</t>
        </is>
      </c>
      <c r="D20" t="inlineStr">
        <is>
          <t>config.yaml</t>
        </is>
      </c>
    </row>
    <row r="21">
      <c r="A21" t="inlineStr">
        <is>
          <t>Coste total máximo (€)</t>
        </is>
      </c>
      <c r="B21" s="2" t="n">
        <v>5000</v>
      </c>
      <c r="C21" t="inlineStr">
        <is>
          <t>criterio (config.yaml)</t>
        </is>
      </c>
      <c r="D21" t="inlineStr">
        <is>
          <t>config.yaml</t>
        </is>
      </c>
    </row>
    <row r="22">
      <c r="A22" t="inlineStr">
        <is>
          <t>Margen de negociación sobre el coste total (€): entra marcado 'negociar'</t>
        </is>
      </c>
      <c r="B22" s="2" t="n">
        <v>300</v>
      </c>
      <c r="C22" t="inlineStr">
        <is>
          <t>criterio (config.yaml)</t>
        </is>
      </c>
      <c r="D22" t="inlineStr">
        <is>
          <t>config.yaml</t>
        </is>
      </c>
    </row>
    <row r="23">
      <c r="A23" t="inlineStr">
        <is>
          <t>Tramo de años para mediana</t>
        </is>
      </c>
      <c r="B23" s="2" t="n">
        <v>3</v>
      </c>
      <c r="C23" t="inlineStr">
        <is>
          <t>criterio (config.yaml)</t>
        </is>
      </c>
      <c r="D23" t="inlineStr">
        <is>
          <t>config.yaml</t>
        </is>
      </c>
    </row>
    <row r="24">
      <c r="A24" t="inlineStr">
        <is>
          <t>Tramo de km para mediana</t>
        </is>
      </c>
      <c r="B24" s="2" t="n">
        <v>50000</v>
      </c>
      <c r="C24" t="inlineStr">
        <is>
          <t>criterio (config.yaml)</t>
        </is>
      </c>
      <c r="D24" t="inlineStr">
        <is>
          <t>config.yaml</t>
        </is>
      </c>
    </row>
    <row r="25">
      <c r="A25" t="inlineStr">
        <is>
          <t>Mín. anuncios por segmento (si no, se sube de nivel)</t>
        </is>
      </c>
      <c r="B25" s="2" t="n">
        <v>4</v>
      </c>
      <c r="C25" t="inlineStr">
        <is>
          <t>criterio (config.yaml)</t>
        </is>
      </c>
      <c r="D25" t="inlineStr">
        <is>
          <t>config.yaml</t>
        </is>
      </c>
    </row>
    <row r="26">
      <c r="A26" t="inlineStr">
        <is>
          <t>Puntos por unidad de descuento (50 + desc·k)</t>
        </is>
      </c>
      <c r="B26" s="2" t="n">
        <v>250</v>
      </c>
      <c r="C26" t="inlineStr">
        <is>
          <t>criterio (config.yaml)</t>
        </is>
      </c>
      <c r="D26" t="inlineStr">
        <is>
          <t>config.yaml</t>
        </is>
      </c>
    </row>
    <row r="27">
      <c r="A27" t="inlineStr">
        <is>
          <t>Km/año ideal máximo (100 puntos hasta aquí)</t>
        </is>
      </c>
      <c r="B27" s="2" t="n">
        <v>18000</v>
      </c>
      <c r="C27" t="inlineStr">
        <is>
          <t>criterio (config.yaml)</t>
        </is>
      </c>
      <c r="D27" t="inlineStr">
        <is>
          <t>config.yaml</t>
        </is>
      </c>
    </row>
    <row r="28">
      <c r="A28" t="inlineStr">
        <is>
          <t>Km/año con 0 puntos</t>
        </is>
      </c>
      <c r="B28" s="2" t="n">
        <v>35000</v>
      </c>
      <c r="C28" t="inlineStr">
        <is>
          <t>criterio (config.yaml)</t>
        </is>
      </c>
      <c r="D28" t="inlineStr">
        <is>
          <t>config.yaml</t>
        </is>
      </c>
    </row>
    <row r="29">
      <c r="A29" t="inlineStr">
        <is>
          <t>Km/año sospechosamente bajo</t>
        </is>
      </c>
      <c r="B29" s="2" t="n">
        <v>4000</v>
      </c>
      <c r="C29" t="inlineStr">
        <is>
          <t>criterio (config.yaml)</t>
        </is>
      </c>
      <c r="D29" t="inlineStr">
        <is>
          <t>config.yaml</t>
        </is>
      </c>
    </row>
    <row r="30">
      <c r="A30" t="inlineStr">
        <is>
          <t>Puntos km/año si es sospechoso y no justificado</t>
        </is>
      </c>
      <c r="B30" s="2" t="n">
        <v>40</v>
      </c>
      <c r="C30" t="inlineStr">
        <is>
          <t>criterio (config.yaml)</t>
        </is>
      </c>
      <c r="D30" t="inlineStr">
        <is>
          <t>config.yaml</t>
        </is>
      </c>
    </row>
    <row r="31">
      <c r="A31" t="inlineStr">
        <is>
          <t>Peso km totales dentro de Km y edad</t>
        </is>
      </c>
      <c r="B31" s="2" t="n">
        <v>0.4</v>
      </c>
      <c r="C31" t="inlineStr">
        <is>
          <t>criterio (config.yaml)</t>
        </is>
      </c>
      <c r="D31" t="inlineStr">
        <is>
          <t>config.yaml</t>
        </is>
      </c>
    </row>
    <row r="32">
      <c r="A32" t="inlineStr">
        <is>
          <t>Peso km/año dentro de Km y edad</t>
        </is>
      </c>
      <c r="B32" s="2" t="n">
        <v>0.3</v>
      </c>
      <c r="C32" t="inlineStr">
        <is>
          <t>criterio (config.yaml)</t>
        </is>
      </c>
      <c r="D32" t="inlineStr">
        <is>
          <t>config.yaml</t>
        </is>
      </c>
    </row>
    <row r="33">
      <c r="A33" t="inlineStr">
        <is>
          <t>Peso edad dentro de Km y edad</t>
        </is>
      </c>
      <c r="B33" s="2" t="n">
        <v>0.3</v>
      </c>
      <c r="C33" t="inlineStr">
        <is>
          <t>criterio (config.yaml)</t>
        </is>
      </c>
      <c r="D33" t="inlineStr">
        <is>
          <t>config.yaml</t>
        </is>
      </c>
    </row>
    <row r="34">
      <c r="A34" t="inlineStr">
        <is>
          <t>Puntos: ITV en vigor</t>
        </is>
      </c>
      <c r="B34" s="2" t="n">
        <v>20</v>
      </c>
      <c r="C34" t="inlineStr">
        <is>
          <t>criterio (config.yaml)</t>
        </is>
      </c>
      <c r="D34" t="inlineStr">
        <is>
          <t>config.yaml</t>
        </is>
      </c>
    </row>
    <row r="35">
      <c r="A35" t="inlineStr">
        <is>
          <t>Puntos: libro de mantenimiento</t>
        </is>
      </c>
      <c r="B35" s="2" t="n">
        <v>25</v>
      </c>
      <c r="C35" t="inlineStr">
        <is>
          <t>criterio (config.yaml)</t>
        </is>
      </c>
      <c r="D35" t="inlineStr">
        <is>
          <t>config.yaml</t>
        </is>
      </c>
    </row>
    <row r="36">
      <c r="A36" t="inlineStr">
        <is>
          <t>Puntos: correa/distribución cambiada</t>
        </is>
      </c>
      <c r="B36" s="2" t="n">
        <v>25</v>
      </c>
      <c r="C36" t="inlineStr">
        <is>
          <t>criterio (config.yaml)</t>
        </is>
      </c>
      <c r="D36" t="inlineStr">
        <is>
          <t>config.yaml</t>
        </is>
      </c>
    </row>
    <row r="37">
      <c r="A37" t="inlineStr">
        <is>
          <t>Puntos: un solo propietario</t>
        </is>
      </c>
      <c r="B37" s="2" t="n">
        <v>15</v>
      </c>
      <c r="C37" t="inlineStr">
        <is>
          <t>criterio (config.yaml)</t>
        </is>
      </c>
      <c r="D37" t="inlineStr">
        <is>
          <t>config.yaml</t>
        </is>
      </c>
    </row>
    <row r="38">
      <c r="A38" t="inlineStr">
        <is>
          <t>Puntos: garantía</t>
        </is>
      </c>
      <c r="B38" s="2" t="n">
        <v>0</v>
      </c>
      <c r="C38" t="inlineStr">
        <is>
          <t>criterio (config.yaml)</t>
        </is>
      </c>
      <c r="D38" t="inlineStr">
        <is>
          <t>config.yaml</t>
        </is>
      </c>
    </row>
    <row r="39">
      <c r="A39" t="inlineStr">
        <is>
          <t>Puntos: fotos (proporcional)</t>
        </is>
      </c>
      <c r="B39" s="2" t="n">
        <v>15</v>
      </c>
      <c r="C39" t="inlineStr">
        <is>
          <t>criterio (config.yaml)</t>
        </is>
      </c>
      <c r="D39" t="inlineStr">
        <is>
          <t>config.yaml</t>
        </is>
      </c>
    </row>
    <row r="40">
      <c r="A40" t="inlineStr">
        <is>
          <t>Fotos para puntuación completa</t>
        </is>
      </c>
      <c r="B40" s="2" t="n">
        <v>10</v>
      </c>
      <c r="C40" t="inlineStr">
        <is>
          <t>criterio (config.yaml)</t>
        </is>
      </c>
      <c r="D40" t="inlineStr">
        <is>
          <t>config.yaml</t>
        </is>
      </c>
    </row>
    <row r="41">
      <c r="A41" t="inlineStr">
        <is>
          <t>Peso etiqueta dentro de Coste de uso</t>
        </is>
      </c>
      <c r="B41" s="2" t="n">
        <v>0.5</v>
      </c>
      <c r="C41" t="inlineStr">
        <is>
          <t>criterio (config.yaml)</t>
        </is>
      </c>
      <c r="D41" t="inlineStr">
        <is>
          <t>config.yaml</t>
        </is>
      </c>
    </row>
    <row r="42">
      <c r="A42" t="inlineStr">
        <is>
          <t>Peso consumo dentro de Coste de uso</t>
        </is>
      </c>
      <c r="B42" s="2" t="n">
        <v>0.3</v>
      </c>
      <c r="C42" t="inlineStr">
        <is>
          <t>criterio (config.yaml)</t>
        </is>
      </c>
      <c r="D42" t="inlineStr">
        <is>
          <t>config.yaml</t>
        </is>
      </c>
    </row>
    <row r="43">
      <c r="A43" t="inlineStr">
        <is>
          <t>Peso seguro dentro de Coste de uso</t>
        </is>
      </c>
      <c r="B43" s="2" t="n">
        <v>0.2</v>
      </c>
      <c r="C43" t="inlineStr">
        <is>
          <t>criterio (config.yaml)</t>
        </is>
      </c>
      <c r="D43" t="inlineStr">
        <is>
          <t>config.yaml</t>
        </is>
      </c>
    </row>
    <row r="44">
      <c r="A44" t="inlineStr">
        <is>
          <t>Puntuación neutra cuando el dato está PENDIENTE</t>
        </is>
      </c>
      <c r="B44" s="2" t="n">
        <v>50</v>
      </c>
      <c r="C44" t="inlineStr">
        <is>
          <t>criterio (config.yaml)</t>
        </is>
      </c>
      <c r="D44" t="inlineStr">
        <is>
          <t>config.yaml</t>
        </is>
      </c>
    </row>
    <row r="45">
      <c r="A45" t="inlineStr">
        <is>
          <t>Seguridad: puntos por garantía (proporcional a meses)</t>
        </is>
      </c>
      <c r="B45" s="2" t="n">
        <v>35</v>
      </c>
      <c r="C45" t="inlineStr">
        <is>
          <t>criterio (config.yaml)</t>
        </is>
      </c>
      <c r="D45" t="inlineStr">
        <is>
          <t>config.yaml</t>
        </is>
      </c>
    </row>
    <row r="46">
      <c r="A46" t="inlineStr">
        <is>
          <t>Seguridad: meses de garantía para puntuación completa</t>
        </is>
      </c>
      <c r="B46" s="2" t="n">
        <v>24</v>
      </c>
      <c r="C46" t="inlineStr">
        <is>
          <t>criterio (config.yaml)</t>
        </is>
      </c>
      <c r="D46" t="inlineStr">
        <is>
          <t>config.yaml</t>
        </is>
      </c>
    </row>
    <row r="47">
      <c r="A47" t="inlineStr">
        <is>
          <t>Seguridad: puntos si la garantía es ampliable</t>
        </is>
      </c>
      <c r="B47" s="2" t="n">
        <v>10</v>
      </c>
      <c r="C47" t="inlineStr">
        <is>
          <t>criterio (config.yaml)</t>
        </is>
      </c>
      <c r="D47" t="inlineStr">
        <is>
          <t>config.yaml</t>
        </is>
      </c>
    </row>
    <row r="48">
      <c r="A48" t="inlineStr">
        <is>
          <t>Seguridad: puntos por km certificados</t>
        </is>
      </c>
      <c r="B48" s="2" t="n">
        <v>15</v>
      </c>
      <c r="C48" t="inlineStr">
        <is>
          <t>criterio (config.yaml)</t>
        </is>
      </c>
      <c r="D48" t="inlineStr">
        <is>
          <t>config.yaml</t>
        </is>
      </c>
    </row>
    <row r="49">
      <c r="A49" t="inlineStr">
        <is>
          <t>Seguridad: puntos por revisión documentada</t>
        </is>
      </c>
      <c r="B49" s="2" t="n">
        <v>15</v>
      </c>
      <c r="C49" t="inlineStr">
        <is>
          <t>criterio (config.yaml)</t>
        </is>
      </c>
      <c r="D49" t="inlineStr">
        <is>
          <t>config.yaml</t>
        </is>
      </c>
    </row>
    <row r="50">
      <c r="A50" t="inlineStr">
        <is>
          <t>Seguridad: puntos por derecho de devolución (proporcional a días)</t>
        </is>
      </c>
      <c r="B50" s="2" t="n">
        <v>15</v>
      </c>
      <c r="C50" t="inlineStr">
        <is>
          <t>criterio (config.yaml)</t>
        </is>
      </c>
      <c r="D50" t="inlineStr">
        <is>
          <t>config.yaml</t>
        </is>
      </c>
    </row>
    <row r="51">
      <c r="A51" t="inlineStr">
        <is>
          <t>Seguridad: días de devolución para puntuación completa</t>
        </is>
      </c>
      <c r="B51" s="2" t="n">
        <v>15</v>
      </c>
      <c r="C51" t="inlineStr">
        <is>
          <t>criterio (config.yaml)</t>
        </is>
      </c>
      <c r="D51" t="inlineStr">
        <is>
          <t>config.yaml</t>
        </is>
      </c>
    </row>
    <row r="52">
      <c r="A52" t="inlineStr">
        <is>
          <t>Seguridad: puntos por historial/libro de mantenimiento</t>
        </is>
      </c>
      <c r="B52" s="2" t="n">
        <v>10</v>
      </c>
      <c r="C52" t="inlineStr">
        <is>
          <t>criterio (config.yaml)</t>
        </is>
      </c>
      <c r="D52" t="inlineStr">
        <is>
          <t>config.yaml</t>
        </is>
      </c>
    </row>
    <row r="53">
      <c r="A53" t="inlineStr">
        <is>
          <t>Aplicar mínimo legal a profesionales sin garantía declarada (1 = sí)</t>
        </is>
      </c>
      <c r="B53" s="2" t="n">
        <v>1</v>
      </c>
      <c r="C53" t="inlineStr">
        <is>
          <t>criterio (config.yaml)</t>
        </is>
      </c>
      <c r="D53" t="inlineStr">
        <is>
          <t>config.yaml</t>
        </is>
      </c>
    </row>
    <row r="54">
      <c r="A54" t="inlineStr">
        <is>
          <t>Garantía legal mínima en usados de vendedor profesional (meses)</t>
        </is>
      </c>
      <c r="B54" s="2" t="n">
        <v>12</v>
      </c>
      <c r="C54" t="inlineStr">
        <is>
          <t>confirmado</t>
        </is>
      </c>
      <c r="D54" t="inlineStr">
        <is>
          <t>TRLGDCU (RDLeg. 1/2007), art. 120.1, en la redacción del Real Decreto-ley 7/2021, de 27 de abril — https://www.boe.es/buscar/act.php?id=BOE-A-2007-20555</t>
        </is>
      </c>
    </row>
    <row r="56">
      <c r="A56" s="6" t="inlineStr">
        <is>
          <t>3. Coste de compra: ITP (Comunitat Valenciana) y tasas DGT</t>
        </is>
      </c>
    </row>
    <row r="57">
      <c r="A57" s="7" t="inlineStr">
        <is>
          <t>Concepto</t>
        </is>
      </c>
      <c r="B57" s="7" t="inlineStr">
        <is>
          <t>Valor</t>
        </is>
      </c>
      <c r="C57" s="7" t="inlineStr">
        <is>
          <t>Estado</t>
        </is>
      </c>
      <c r="D57" s="7" t="inlineStr">
        <is>
          <t>Fuente</t>
        </is>
      </c>
    </row>
    <row r="58">
      <c r="A58" t="inlineStr">
        <is>
          <t>ITP tipo general (si no aplica cuota fija)</t>
        </is>
      </c>
      <c r="B58" s="2" t="n">
        <v>0.06</v>
      </c>
      <c r="C58" t="inlineStr">
        <is>
          <t>confirmado (cuadro resumen art. 13.Tres Ley 13/1997 en atv.gva.es/es/vehiculos-faq, leído 31-10-2026: 6 % hasta 5 años y &lt;= 2.000 cc)</t>
        </is>
      </c>
      <c r="D58" t="inlineStr">
        <is>
          <t>https://atv.gva.es/es/tarifes-itpajd ; https://atv.gva.es/es/compraventa-de-vehiculos</t>
        </is>
      </c>
    </row>
    <row r="59">
      <c r="A59" t="inlineStr">
        <is>
          <t>Cuota fija solo si valor &lt; (€)</t>
        </is>
      </c>
      <c r="B59" s="2" t="n">
        <v>20000</v>
      </c>
      <c r="C59" t="inlineStr">
        <is>
          <t>confirmado (cuadro resumen de la ATV, https://atv.gva.es/es/vehiculos-faq, leído 31-10-2026)</t>
        </is>
      </c>
      <c r="D59" t="inlineStr">
        <is>
          <t>https://atv.gva.es/es/vehiculos-faq ; Ley 13/1997 consolidada https://www.boe.es/buscar/act.php?id=BOE-A-1998-8202</t>
        </is>
      </c>
    </row>
    <row r="60">
      <c r="A60" t="inlineStr">
        <is>
          <t>Tasa DGT transferencia 1.5 (€)</t>
        </is>
      </c>
      <c r="B60" s="2" t="n">
        <v>55.7</v>
      </c>
      <c r="C60" t="inlineStr">
        <is>
          <t>probable: la sede web DGT indica 55,70 €; el PDF oficial de importes (creado 21-12-2020) da 55,15 €, desactualizado. Se usa el más reciente.</t>
        </is>
      </c>
      <c r="D60" t="inlineStr">
        <is>
          <t>https://sede.dgt.gob.es/es/vehiculos/transferencias-de-vehiculos/</t>
        </is>
      </c>
    </row>
    <row r="61">
      <c r="A61" t="inlineStr">
        <is>
          <t>Informe DGT 4.1 (€)</t>
        </is>
      </c>
      <c r="B61" s="2" t="n">
        <v>8.67</v>
      </c>
      <c r="C61" t="inlineStr">
        <is>
          <t>probable: sede web DGT 8,67 €; el PDF de 2020 da 8,59 € (tasa 4.1)</t>
        </is>
      </c>
      <c r="D61" t="inlineStr">
        <is>
          <t>https://sede.dgt.gob.es/es/vehiculos/informacion-de-vehiculos/informe-de-un-vehiculo/</t>
        </is>
      </c>
    </row>
    <row r="62">
      <c r="A62" t="inlineStr">
        <is>
          <t>Cuota fija: tramo 'más de N años' (alto)</t>
        </is>
      </c>
      <c r="B62" s="2" t="n">
        <v>12</v>
      </c>
      <c r="C62" t="inlineStr">
        <is>
          <t>confirmado (cuadro resumen de la ATV, https://atv.gva.es/es/vehiculos-faq, leído 31-10-2026)</t>
        </is>
      </c>
      <c r="D62" t="inlineStr">
        <is>
          <t>https://atv.gva.es/es/vehiculos-faq ; Ley 13/1997 consolidada https://www.boe.es/buscar/act.php?id=BOE-A-1998-8202</t>
        </is>
      </c>
    </row>
    <row r="63">
      <c r="A63" t="inlineStr">
        <is>
          <t>Cuota fija: tramo 'más de N años' (bajo)</t>
        </is>
      </c>
      <c r="B63" s="2" t="n">
        <v>5</v>
      </c>
      <c r="C63" t="inlineStr">
        <is>
          <t>confirmado (cuadro resumen de la ATV, https://atv.gva.es/es/vehiculos-faq, leído 31-10-2026)</t>
        </is>
      </c>
      <c r="D63" t="inlineStr">
        <is>
          <t>https://atv.gva.es/es/vehiculos-faq ; Ley 13/1997 consolidada https://www.boe.es/buscar/act.php?id=BOE-A-1998-8202</t>
        </is>
      </c>
    </row>
    <row r="64">
      <c r="A64" t="inlineStr">
        <is>
          <t>Vendedor profesional: sin ITP (IVA/REBU incluido); se suman sus gastos de gestión y la tasa DGT solo si esos gastos no incluyen la transferencia o no constan — PENDIENTE de cita oficial (práctica habitual; confirmar en la factura)</t>
        </is>
      </c>
    </row>
    <row r="65">
      <c r="A65" t="inlineStr">
        <is>
          <t>Nota: Ley 5/2025 de 30 de mayo modifica tipos de ITP; parece afectar a inmuebles. Efecto sobre vehículos PENDIENTE de verificar.</t>
        </is>
      </c>
    </row>
    <row r="67">
      <c r="A67" s="8" t="inlineStr">
        <is>
          <t>Tabla de cuotas fijas de ITP</t>
        </is>
      </c>
    </row>
    <row r="68">
      <c r="A68" s="7" t="inlineStr">
        <is>
          <t>Más de (años)</t>
        </is>
      </c>
      <c r="B68" s="7" t="inlineStr">
        <is>
          <t>cc desde</t>
        </is>
      </c>
      <c r="C68" s="7" t="inlineStr">
        <is>
          <t>cc hasta</t>
        </is>
      </c>
      <c r="D68" s="7" t="inlineStr">
        <is>
          <t>Cuota (€)</t>
        </is>
      </c>
      <c r="E68" s="7" t="inlineStr">
        <is>
          <t>Descripción</t>
        </is>
      </c>
      <c r="F68" s="7" t="inlineStr">
        <is>
          <t>Estado</t>
        </is>
      </c>
      <c r="G68" s="7" t="inlineStr">
        <is>
          <t>Fuente</t>
        </is>
      </c>
    </row>
    <row r="69">
      <c r="A69" s="2" t="n">
        <v>12</v>
      </c>
      <c r="B69" s="2" t="n">
        <v>0</v>
      </c>
      <c r="C69" s="2" t="n">
        <v>1500</v>
      </c>
      <c r="D69" s="2" t="n">
        <v>40</v>
      </c>
      <c r="E69" t="inlineStr">
        <is>
          <t>&gt;12 años, hasta 1.500 cc</t>
        </is>
      </c>
      <c r="F69" t="inlineStr">
        <is>
          <t>confirmado (cuadro resumen de la ATV, https://atv.gva.es/es/vehiculos-faq, leído 31-10-2026)</t>
        </is>
      </c>
      <c r="G69" t="inlineStr">
        <is>
          <t>https://atv.gva.es/es/vehiculos-faq ; Ley 13/1997 consolidada https://www.boe.es/buscar/act.php?id=BOE-A-1998-8202</t>
        </is>
      </c>
    </row>
    <row r="70">
      <c r="A70" s="2" t="n">
        <v>12</v>
      </c>
      <c r="B70" s="2" t="n">
        <v>1501</v>
      </c>
      <c r="C70" s="2" t="n">
        <v>2000</v>
      </c>
      <c r="D70" s="2" t="n">
        <v>60</v>
      </c>
      <c r="E70" t="inlineStr">
        <is>
          <t>&gt;12 años, 1.501-2.000 cc</t>
        </is>
      </c>
      <c r="F70" t="inlineStr">
        <is>
          <t>confirmado (cuadro resumen de la ATV, https://atv.gva.es/es/vehiculos-faq, leído 31-10-2026)</t>
        </is>
      </c>
      <c r="G70" t="inlineStr">
        <is>
          <t>https://atv.gva.es/es/vehiculos-faq ; Ley 13/1997 consolidada https://www.boe.es/buscar/act.php?id=BOE-A-1998-8202</t>
        </is>
      </c>
    </row>
    <row r="71">
      <c r="A71" s="2" t="n">
        <v>12</v>
      </c>
      <c r="B71" s="2" t="n">
        <v>2001</v>
      </c>
      <c r="C71" s="2" t="n">
        <v>99999</v>
      </c>
      <c r="D71" s="2" t="n">
        <v>140</v>
      </c>
      <c r="E71" t="inlineStr">
        <is>
          <t>&gt;12 años, más de 2.000 cc</t>
        </is>
      </c>
      <c r="F71" t="inlineStr">
        <is>
          <t>confirmado (cuadro resumen de la ATV, https://atv.gva.es/es/vehiculos-faq, leído 31-10-2026)</t>
        </is>
      </c>
      <c r="G71" t="inlineStr">
        <is>
          <t>https://atv.gva.es/es/vehiculos-faq ; Ley 13/1997 consolidada https://www.boe.es/buscar/act.php?id=BOE-A-1998-8202</t>
        </is>
      </c>
    </row>
    <row r="72">
      <c r="A72" s="2" t="n">
        <v>5</v>
      </c>
      <c r="B72" s="2" t="n">
        <v>0</v>
      </c>
      <c r="C72" s="2" t="n">
        <v>1500</v>
      </c>
      <c r="D72" s="2" t="n">
        <v>120</v>
      </c>
      <c r="E72" t="inlineStr">
        <is>
          <t>&gt;5 y &lt;=12 años, hasta 1.500 cc</t>
        </is>
      </c>
      <c r="F72" t="inlineStr">
        <is>
          <t>confirmado (cuadro resumen de la ATV, https://atv.gva.es/es/vehiculos-faq, leído 31-10-2026)</t>
        </is>
      </c>
      <c r="G72" t="inlineStr">
        <is>
          <t>https://atv.gva.es/es/vehiculos-faq ; Ley 13/1997 consolidada https://www.boe.es/buscar/act.php?id=BOE-A-1998-8202</t>
        </is>
      </c>
    </row>
    <row r="73">
      <c r="A73" s="2" t="n">
        <v>5</v>
      </c>
      <c r="B73" s="2" t="n">
        <v>1501</v>
      </c>
      <c r="C73" s="2" t="n">
        <v>2000</v>
      </c>
      <c r="D73" s="2" t="n">
        <v>180</v>
      </c>
      <c r="E73" t="inlineStr">
        <is>
          <t>&gt;5 y &lt;=12 años, 1.501-2.000 cc</t>
        </is>
      </c>
      <c r="F73" t="inlineStr">
        <is>
          <t>confirmado (cuadro resumen de la ATV, https://atv.gva.es/es/vehiculos-faq, leído 31-10-2026)</t>
        </is>
      </c>
      <c r="G73" t="inlineStr">
        <is>
          <t>https://atv.gva.es/es/vehiculos-faq ; Ley 13/1997 consolidada https://www.boe.es/buscar/act.php?id=BOE-A-1998-8202</t>
        </is>
      </c>
    </row>
    <row r="74">
      <c r="A74" s="2" t="n">
        <v>5</v>
      </c>
      <c r="B74" s="2" t="n">
        <v>2001</v>
      </c>
      <c r="C74" s="2" t="n">
        <v>99999</v>
      </c>
      <c r="D74" s="2" t="n">
        <v>280</v>
      </c>
      <c r="E74" t="inlineStr">
        <is>
          <t>&gt;5 y &lt;=12 años, más de 2.000 cc</t>
        </is>
      </c>
      <c r="F74" t="inlineStr">
        <is>
          <t>confirmado (cuadro resumen de la ATV, https://atv.gva.es/es/vehiculos-faq, leído 31-10-2026)</t>
        </is>
      </c>
      <c r="G74" t="inlineStr">
        <is>
          <t>https://atv.gva.es/es/vehiculos-faq ; Ley 13/1997 consolidada https://www.boe.es/buscar/act.php?id=BOE-A-1998-8202</t>
        </is>
      </c>
    </row>
    <row r="75">
      <c r="A75" t="inlineStr">
        <is>
          <t>cc hasta 99999 = sin límite superior. Cilindrada desconocida -&gt; se usa 99999 (tramo más caro).</t>
        </is>
      </c>
    </row>
    <row r="76">
      <c r="A76" t="inlineStr">
        <is>
          <t>Valores fiscales de Hacienda: Orden HAC/1501/2025, de 17 de diciembre (BOE núm. 308, 23-12-2025), vigente desde 01-01-2026 (https://www.boe.es/diario_boe/txt.php?id=BOE-A-2025-26357). Estado: confirmado (datos de publicación); valores por modelo PENDIENTES (PDF no accesible desde este entorno). Solo afectan a coches de 5 años o menos (tipo porcentual).</t>
        </is>
      </c>
    </row>
    <row r="78">
      <c r="A78" s="6" t="inlineStr">
        <is>
          <t>4. Etiqueta DGT y ZBE de València</t>
        </is>
      </c>
    </row>
    <row r="79">
      <c r="A79" s="7" t="inlineStr">
        <is>
          <t>Concepto</t>
        </is>
      </c>
      <c r="B79" s="7" t="inlineStr">
        <is>
          <t>Valor</t>
        </is>
      </c>
      <c r="C79" s="7" t="inlineStr">
        <is>
          <t>Estado</t>
        </is>
      </c>
      <c r="D79" s="7" t="inlineStr">
        <is>
          <t>Fuente</t>
        </is>
      </c>
    </row>
    <row r="80">
      <c r="A80" t="inlineStr">
        <is>
          <t>Gasolina etiqueta C desde (año)</t>
        </is>
      </c>
      <c r="B80" s="2" t="n">
        <v>2006</v>
      </c>
      <c r="C80" t="inlineStr">
        <is>
          <t>confirmado (leído 31-10-2026): C = gasolina desde 01-2006, diésel desde 09-2015; B = gasolina desde 01-2001, diésel desde 2006. Con solo el año, el diésel de 2015 se trata como B (conservador)</t>
        </is>
      </c>
      <c r="D80" t="inlineStr">
        <is>
          <t>https://www.dgt.es/nuestros-servicios/tu-vehiculo/tus-vehiculos/distintivo-ambiental/</t>
        </is>
      </c>
    </row>
    <row r="81">
      <c r="A81" t="inlineStr">
        <is>
          <t>Gasolina etiqueta B desde (año)</t>
        </is>
      </c>
      <c r="B81" s="2" t="n">
        <v>2001</v>
      </c>
      <c r="C81" t="inlineStr">
        <is>
          <t>confirmado (leído 31-10-2026): C = gasolina desde 01-2006, diésel desde 09-2015; B = gasolina desde 01-2001, diésel desde 2006. Con solo el año, el diésel de 2015 se trata como B (conservador)</t>
        </is>
      </c>
      <c r="D81" t="inlineStr">
        <is>
          <t>https://www.dgt.es/nuestros-servicios/tu-vehiculo/tus-vehiculos/distintivo-ambiental/</t>
        </is>
      </c>
    </row>
    <row r="82">
      <c r="A82" t="inlineStr">
        <is>
          <t>Diésel etiqueta C desde (año)</t>
        </is>
      </c>
      <c r="B82" s="2" t="n">
        <v>2016</v>
      </c>
      <c r="C82" t="inlineStr">
        <is>
          <t>confirmado (leído 31-10-2026): C = gasolina desde 01-2006, diésel desde 09-2015; B = gasolina desde 01-2001, diésel desde 2006. Con solo el año, el diésel de 2015 se trata como B (conservador)</t>
        </is>
      </c>
      <c r="D82" t="inlineStr">
        <is>
          <t>https://www.dgt.es/nuestros-servicios/tu-vehiculo/tus-vehiculos/distintivo-ambiental/</t>
        </is>
      </c>
    </row>
    <row r="83">
      <c r="A83" t="inlineStr">
        <is>
          <t>Diésel etiqueta B desde (año)</t>
        </is>
      </c>
      <c r="B83" s="2" t="n">
        <v>2006</v>
      </c>
      <c r="C83" t="inlineStr">
        <is>
          <t>confirmado (leído 31-10-2026): C = gasolina desde 01-2006, diésel desde 09-2015; B = gasolina desde 01-2001, diésel desde 2006. Con solo el año, el diésel de 2015 se trata como B (conservador)</t>
        </is>
      </c>
      <c r="D83" t="inlineStr">
        <is>
          <t>https://www.dgt.es/nuestros-servicios/tu-vehiculo/tus-vehiculos/distintivo-ambiental/</t>
        </is>
      </c>
    </row>
    <row r="84">
      <c r="A84" t="inlineStr">
        <is>
          <t>ZBE València</t>
        </is>
      </c>
      <c r="B84" s="9" t="inlineStr">
        <is>
          <t>Solo restringe vehículos SIN etiqueta (A). Desde dic-2025/ene-2026 los de fuera de la provincia; desde 01-01-2027 también los de la provincia salvo los de la ciudad; desde 01-01-2028 todos. B, C, ECO y CERO sin restricción en el calendario aprobado. Perímetro y posible moratoria PENDIENTES.</t>
        </is>
      </c>
      <c r="C84" t="inlineStr">
        <is>
          <t>confirmado</t>
        </is>
      </c>
      <c r="D84" t="inlineStr">
        <is>
          <t>https://www.valencia.es/cas/actualidad/-/content/zona-bajas-emisiones-val%C3%A8ncia.-aprobaci%C3%B3n-por-el-pleno ; https://www.valencia.es/-/c%C3%A1maras-zbe</t>
        </is>
      </c>
    </row>
    <row r="86">
      <c r="A86" s="7" t="inlineStr">
        <is>
          <t>Etiqueta</t>
        </is>
      </c>
      <c r="B86" s="7" t="inlineStr">
        <is>
          <t>Puntos (criterio)</t>
        </is>
      </c>
      <c r="C86" s="7" t="inlineStr">
        <is>
          <t>Estado</t>
        </is>
      </c>
      <c r="D86" s="7" t="inlineStr">
        <is>
          <t>Fuente</t>
        </is>
      </c>
    </row>
    <row r="87">
      <c r="A87" s="2" t="inlineStr">
        <is>
          <t>CERO</t>
        </is>
      </c>
      <c r="B87" s="2" t="n">
        <v>100</v>
      </c>
      <c r="C87" t="inlineStr">
        <is>
          <t>criterio (config.yaml)</t>
        </is>
      </c>
      <c r="D87" t="inlineStr">
        <is>
          <t>config.yaml; la ZBE solo restringe sin etiqueta (A), ver fila ZBE</t>
        </is>
      </c>
    </row>
    <row r="88">
      <c r="A88" s="2" t="inlineStr">
        <is>
          <t>ECO</t>
        </is>
      </c>
      <c r="B88" s="2" t="n">
        <v>100</v>
      </c>
      <c r="C88" t="inlineStr">
        <is>
          <t>criterio (config.yaml)</t>
        </is>
      </c>
      <c r="D88" t="inlineStr">
        <is>
          <t>config.yaml; la ZBE solo restringe sin etiqueta (A), ver fila ZBE</t>
        </is>
      </c>
    </row>
    <row r="89">
      <c r="A89" s="2" t="inlineStr">
        <is>
          <t>C</t>
        </is>
      </c>
      <c r="B89" s="2" t="n">
        <v>80</v>
      </c>
      <c r="C89" t="inlineStr">
        <is>
          <t>criterio (config.yaml)</t>
        </is>
      </c>
      <c r="D89" t="inlineStr">
        <is>
          <t>config.yaml; la ZBE solo restringe sin etiqueta (A), ver fila ZBE</t>
        </is>
      </c>
    </row>
    <row r="90">
      <c r="A90" s="2" t="inlineStr">
        <is>
          <t>B</t>
        </is>
      </c>
      <c r="B90" s="2" t="n">
        <v>45</v>
      </c>
      <c r="C90" t="inlineStr">
        <is>
          <t>criterio (config.yaml)</t>
        </is>
      </c>
      <c r="D90" t="inlineStr">
        <is>
          <t>config.yaml; la ZBE solo restringe sin etiqueta (A), ver fila ZBE</t>
        </is>
      </c>
    </row>
    <row r="91">
      <c r="A91" s="2" t="inlineStr">
        <is>
          <t>A</t>
        </is>
      </c>
      <c r="B91" s="2" t="n">
        <v>0</v>
      </c>
      <c r="C91" t="inlineStr">
        <is>
          <t>criterio (config.yaml)</t>
        </is>
      </c>
      <c r="D91" t="inlineStr">
        <is>
          <t>config.yaml; la ZBE solo restringe sin etiqueta (A), ver fila ZBE</t>
        </is>
      </c>
    </row>
    <row r="93">
      <c r="A93" s="7" t="inlineStr">
        <is>
          <t>Carrocería admitida con penalización</t>
        </is>
      </c>
      <c r="B93" s="7" t="inlineStr">
        <is>
          <t>Puntos restados a la PUNTUACIÓN</t>
        </is>
      </c>
      <c r="C93" s="7" t="inlineStr">
        <is>
          <t>Estado</t>
        </is>
      </c>
      <c r="D93" s="7" t="inlineStr">
        <is>
          <t>Fuente</t>
        </is>
      </c>
    </row>
    <row r="94">
      <c r="A94" s="2" t="inlineStr">
        <is>
          <t>berlina</t>
        </is>
      </c>
      <c r="B94" s="2" t="n">
        <v>4</v>
      </c>
      <c r="C94" t="inlineStr">
        <is>
          <t>criterio (config.yaml)</t>
        </is>
      </c>
      <c r="D94" t="inlineStr">
        <is>
          <t>config.yaml → scoring.penalizaciones.carroceria</t>
        </is>
      </c>
    </row>
    <row r="95">
      <c r="A95" s="2" t="inlineStr">
        <is>
          <t>familiar</t>
        </is>
      </c>
      <c r="B95" s="2" t="n">
        <v>3</v>
      </c>
      <c r="C95" t="inlineStr">
        <is>
          <t>criterio (config.yaml)</t>
        </is>
      </c>
      <c r="D95" t="inlineStr">
        <is>
          <t>config.yaml → scoring.penalizaciones.carroceria</t>
        </is>
      </c>
    </row>
    <row r="96">
      <c r="A96" s="2" t="inlineStr">
        <is>
          <t>monovolumen_pequeno</t>
        </is>
      </c>
      <c r="B96" s="2" t="n">
        <v>6</v>
      </c>
      <c r="C96" t="inlineStr">
        <is>
          <t>criterio (config.yaml)</t>
        </is>
      </c>
      <c r="D96" t="inlineStr">
        <is>
          <t>config.yaml → scoring.penalizaciones.carroceria</t>
        </is>
      </c>
    </row>
    <row r="97">
      <c r="A97" t="inlineStr">
        <is>
          <t>Diésel sin fuente de fiabilidad del motor (Mot. con fuente = 0): la fiabilidad del modelo se limita a NEUTRO (tratamiento de dato pendiente); además se aplica el ajuste por combustible (DPF).</t>
        </is>
      </c>
    </row>
    <row r="98">
      <c r="A98" t="inlineStr">
        <is>
          <t>Consumo (l/100 km): PENDIENTE de fuente -&gt; se puntúa con NEUTRO.</t>
        </is>
      </c>
    </row>
    <row r="100">
      <c r="A100" s="8" t="inlineStr">
        <is>
          <t>Seguro estimado (€/año) — Terceros ampliado, conductor de 29 años, Mislata (46920), sin siniestros, coche en la calle, valor &lt; 5.000 €</t>
        </is>
      </c>
    </row>
    <row r="101">
      <c r="A101" s="7" t="inlineStr">
        <is>
          <t>Segmento</t>
        </is>
      </c>
      <c r="B101" s="7" t="inlineStr">
        <is>
          <t>Mínimo</t>
        </is>
      </c>
      <c r="C101" s="7" t="inlineStr">
        <is>
          <t>Estimación central</t>
        </is>
      </c>
      <c r="D101" s="7" t="inlineStr">
        <is>
          <t>Máximo</t>
        </is>
      </c>
      <c r="E101" s="7" t="inlineStr">
        <is>
          <t>Estado</t>
        </is>
      </c>
      <c r="F101" s="7" t="inlineStr">
        <is>
          <t>Fuentes</t>
        </is>
      </c>
    </row>
    <row r="102">
      <c r="A102" s="2" t="inlineStr">
        <is>
          <t>utilitario</t>
        </is>
      </c>
      <c r="B102" s="2" t="n">
        <v>170</v>
      </c>
      <c r="C102" s="2" t="n">
        <v>300</v>
      </c>
      <c r="D102" s="2" t="n">
        <v>420</v>
      </c>
      <c r="E102" t="inlineStr">
        <is>
          <t>aproximado (estimación por segmento; no se han pedido presupuestos con datos personales)</t>
        </is>
      </c>
      <c r="F102"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03">
      <c r="A103" s="2" t="inlineStr">
        <is>
          <t>compacto</t>
        </is>
      </c>
      <c r="B103" s="2" t="n">
        <v>190</v>
      </c>
      <c r="C103" s="2" t="n">
        <v>340</v>
      </c>
      <c r="D103" s="2" t="n">
        <v>480</v>
      </c>
      <c r="E103" t="inlineStr">
        <is>
          <t>aproximado (estimación por segmento; no se han pedido presupuestos con datos personales)</t>
        </is>
      </c>
      <c r="F103" t="inlineStr">
        <is>
          <t>Rastreator, Índice mayo 2026 (vía Europa Press/Bolsamanía 14-05-2026): terceros ampliado 25-34 años 378 €/año; 35-44 años 302 €/año. https://www.bolsamania.com/noticias/mercados/economiafinanzas--el-seguro-de-coche-sube-un-3-en-2026-segun-el-comparador-rastreator--22488948.html | Roams, abril 2026: terceros ampliado medio en Valencia 296,65 €. https://roams.es/seguros/seguro-coche/mejor-seguro-coche-valencia/ | Rankia, octubre 2026: ofertas en Valencia desde 157 € (Prima) y 179 € (Tuio). https://www.rankia.com/blog/mejores-seguros/7530927-precio-seguro-valencia</t>
        </is>
      </c>
    </row>
    <row r="104">
      <c r="A104" t="inlineStr">
        <is>
          <t>Nota: A los 29 años el precio debería quedar entre la media de 25-34 (378 €, que incluye recargos de jóvenes) y la de 35-44 (302 €): inferencia, no cifra publicada. La diferencia utilitario/compacto y el efecto de aparcar en la calle no están cuantificados en ninguna fuente encontrada (PENDIENTE): el +40 € del compacto es un supuesto. Cifras por modelo: no fiables/antiguas, no se usan.</t>
        </is>
      </c>
    </row>
    <row r="105">
      <c r="A105" t="inlineStr">
        <is>
          <t>Seguro: referencia para 100 puntos (mínimo de la tabla)</t>
        </is>
      </c>
      <c r="B105" s="4">
        <f>MIN(B102:B103)</f>
        <v/>
      </c>
      <c r="C105" t="inlineStr">
        <is>
          <t>calculado</t>
        </is>
      </c>
      <c r="D105" t="inlineStr"/>
    </row>
    <row r="106">
      <c r="A106" t="inlineStr">
        <is>
          <t>Seguro: referencia para 0 puntos (máximo de la tabla)</t>
        </is>
      </c>
      <c r="B106" s="4">
        <f>MAX(D102:D103)</f>
        <v/>
      </c>
      <c r="C106" t="inlineStr">
        <is>
          <t>calculado</t>
        </is>
      </c>
      <c r="D106" t="inlineStr"/>
    </row>
    <row r="108">
      <c r="A108" s="6" t="inlineStr">
        <is>
          <t>5. Fiabilidad: medias TÜV por franja de edad</t>
        </is>
      </c>
    </row>
    <row r="109">
      <c r="A109" s="7" t="inlineStr">
        <is>
          <t>Franja</t>
        </is>
      </c>
      <c r="B109" s="7" t="inlineStr">
        <is>
          <t>Mängelquote media (%)</t>
        </is>
      </c>
      <c r="C109" s="7" t="inlineStr">
        <is>
          <t>Estado</t>
        </is>
      </c>
      <c r="D109" s="7" t="inlineStr">
        <is>
          <t>Fuente</t>
        </is>
      </c>
    </row>
    <row r="110">
      <c r="A110" s="2" t="inlineStr">
        <is>
          <t>10-11</t>
        </is>
      </c>
      <c r="B110" s="2" t="n">
        <v>22.9</v>
      </c>
      <c r="C110" t="inlineStr">
        <is>
          <t>probable</t>
        </is>
      </c>
      <c r="D110" t="inlineStr">
        <is>
          <t>https://www.tuev-verband.de/presse/publikationen/reporte/tuev-report-autobild</t>
        </is>
      </c>
    </row>
    <row r="111">
      <c r="A111" s="2" t="inlineStr">
        <is>
          <t>12-13</t>
        </is>
      </c>
      <c r="B111" s="2" t="n">
        <v>28.4</v>
      </c>
      <c r="C111" t="inlineStr">
        <is>
          <t>probable</t>
        </is>
      </c>
      <c r="D111" t="inlineStr">
        <is>
          <t>https://www.tuev-verband.de/presse/publikationen/reporte/tuev-report-autobild</t>
        </is>
      </c>
    </row>
    <row r="113">
      <c r="A113" s="6" t="inlineStr">
        <is>
          <t>6. Fiabilidad: índice OCU 2026 por marca</t>
        </is>
      </c>
    </row>
    <row r="114">
      <c r="A114" s="7" t="inlineStr">
        <is>
          <t>Marca</t>
        </is>
      </c>
      <c r="B114" s="7" t="inlineStr">
        <is>
          <t>Índice OCU (0-100)</t>
        </is>
      </c>
      <c r="C114" s="7" t="inlineStr">
        <is>
          <t>Estado</t>
        </is>
      </c>
      <c r="D114" s="7" t="inlineStr">
        <is>
          <t>Fuente</t>
        </is>
      </c>
    </row>
    <row r="115">
      <c r="A115" s="2" t="inlineStr">
        <is>
          <t>Lexus</t>
        </is>
      </c>
      <c r="B115" s="2" t="n">
        <v>93</v>
      </c>
      <c r="C115" t="inlineStr">
        <is>
          <t>probable</t>
        </is>
      </c>
      <c r="D115" t="inlineStr">
        <is>
          <t>https://www.ocu.org/organizacion/prensa/notas-de-prensa/2026/fiabcoches020326 ; https://es.motor1.com/news/789821/ocu-fiabilidad-2026-japoneses-tesla/</t>
        </is>
      </c>
    </row>
    <row r="116">
      <c r="A116" s="2" t="inlineStr">
        <is>
          <t>Subaru</t>
        </is>
      </c>
      <c r="B116" s="2" t="n">
        <v>91</v>
      </c>
      <c r="C116" t="inlineStr">
        <is>
          <t>probable</t>
        </is>
      </c>
      <c r="D116" t="inlineStr">
        <is>
          <t>https://www.ocu.org/organizacion/prensa/notas-de-prensa/2026/fiabcoches020326 ; https://es.motor1.com/news/789821/ocu-fiabilidad-2026-japoneses-tesla/</t>
        </is>
      </c>
    </row>
    <row r="117">
      <c r="A117" s="2" t="inlineStr">
        <is>
          <t>Toyota</t>
        </is>
      </c>
      <c r="B117" s="2" t="n">
        <v>91</v>
      </c>
      <c r="C117" t="inlineStr">
        <is>
          <t>probable</t>
        </is>
      </c>
      <c r="D117" t="inlineStr">
        <is>
          <t>https://www.ocu.org/organizacion/prensa/notas-de-prensa/2026/fiabcoches020326 ; https://es.motor1.com/news/789821/ocu-fiabilidad-2026-japoneses-tesla/</t>
        </is>
      </c>
    </row>
    <row r="118">
      <c r="A118" s="2" t="inlineStr">
        <is>
          <t>Suzuki</t>
        </is>
      </c>
      <c r="B118" s="2" t="n">
        <v>91</v>
      </c>
      <c r="C118" t="inlineStr">
        <is>
          <t>probable</t>
        </is>
      </c>
      <c r="D118" t="inlineStr">
        <is>
          <t>https://www.ocu.org/organizacion/prensa/notas-de-prensa/2026/fiabcoches020326 ; https://es.motor1.com/news/789821/ocu-fiabilidad-2026-japoneses-tesla/</t>
        </is>
      </c>
    </row>
    <row r="120">
      <c r="A120" s="6" t="inlineStr">
        <is>
          <t>6b. Fiabilidad: ADAC Pannenstatistik 2025 — averías por 1.000 vehículos, matriculación 2015</t>
        </is>
      </c>
    </row>
    <row r="121">
      <c r="A121" s="7" t="inlineStr">
        <is>
          <t>Fila ADAC</t>
        </is>
      </c>
      <c r="B121" s="7" t="inlineStr">
        <is>
          <t>Pannenkennziffer EZ 2015</t>
        </is>
      </c>
      <c r="C121" s="7" t="inlineStr">
        <is>
          <t>Estado</t>
        </is>
      </c>
      <c r="D121" s="7" t="inlineStr">
        <is>
          <t>Fuente</t>
        </is>
      </c>
    </row>
    <row r="122">
      <c r="A122" s="2" t="inlineStr">
        <is>
          <t>Audi A1</t>
        </is>
      </c>
      <c r="B122" s="2" t="n">
        <v>6</v>
      </c>
      <c r="C122" t="inlineStr">
        <is>
          <t>confirmado (PDF original descargado el 31-10-2026; extraído con tools/adac_extract.py, último valor de cada fila; C3/DS3 y Mégane revisados a mano)</t>
        </is>
      </c>
      <c r="D122" t="inlineStr">
        <is>
          <t>https://assets.adac.de/image/upload/v1744279730/ADAC-eV/KOR/Text/PDF/Pannenstatistik_2025_final_nrmvls.pdf</t>
        </is>
      </c>
    </row>
    <row r="123">
      <c r="A123" s="2" t="inlineStr">
        <is>
          <t>Audi A4</t>
        </is>
      </c>
      <c r="B123" s="2" t="n">
        <v>7.6</v>
      </c>
      <c r="C123" t="inlineStr"/>
      <c r="D123" t="inlineStr"/>
    </row>
    <row r="124">
      <c r="A124" s="2" t="inlineStr">
        <is>
          <t>Audi A5</t>
        </is>
      </c>
      <c r="B124" s="2" t="n">
        <v>11.1</v>
      </c>
      <c r="C124" t="inlineStr"/>
      <c r="D124" t="inlineStr"/>
    </row>
    <row r="125">
      <c r="A125" s="2" t="inlineStr">
        <is>
          <t>Audi Q5</t>
        </is>
      </c>
      <c r="B125" s="2" t="n">
        <v>13.8</v>
      </c>
      <c r="C125" t="inlineStr"/>
      <c r="D125" t="inlineStr"/>
    </row>
    <row r="126">
      <c r="A126" s="2" t="inlineStr">
        <is>
          <t>BMW 3er-Reihe</t>
        </is>
      </c>
      <c r="B126" s="2" t="n">
        <v>9.1</v>
      </c>
      <c r="C126" t="inlineStr"/>
      <c r="D126" t="inlineStr"/>
    </row>
    <row r="127">
      <c r="A127" s="2" t="inlineStr">
        <is>
          <t>BMW 4er-Reihe</t>
        </is>
      </c>
      <c r="B127" s="2" t="n">
        <v>7.5</v>
      </c>
      <c r="C127" t="inlineStr"/>
      <c r="D127" t="inlineStr"/>
    </row>
    <row r="128">
      <c r="A128" s="2" t="inlineStr">
        <is>
          <t>BMW 5er-Reihe</t>
        </is>
      </c>
      <c r="B128" s="2" t="n">
        <v>10.3</v>
      </c>
      <c r="C128" t="inlineStr"/>
      <c r="D128" t="inlineStr"/>
    </row>
    <row r="129">
      <c r="A129" s="2" t="inlineStr">
        <is>
          <t>BMW X1</t>
        </is>
      </c>
      <c r="B129" s="2" t="n">
        <v>14.2</v>
      </c>
      <c r="C129" t="inlineStr"/>
      <c r="D129" t="inlineStr"/>
    </row>
    <row r="130">
      <c r="A130" s="2" t="inlineStr">
        <is>
          <t>BMW X3</t>
        </is>
      </c>
      <c r="B130" s="2" t="n">
        <v>4.2</v>
      </c>
      <c r="C130" t="inlineStr"/>
      <c r="D130" t="inlineStr"/>
    </row>
    <row r="131">
      <c r="A131" s="2" t="inlineStr">
        <is>
          <t>BMW X5</t>
        </is>
      </c>
      <c r="B131" s="2" t="n">
        <v>14.1</v>
      </c>
      <c r="C131" t="inlineStr"/>
      <c r="D131" t="inlineStr"/>
    </row>
    <row r="132">
      <c r="A132" s="2" t="inlineStr">
        <is>
          <t>Citroen Berlingo, Fiat Doblò, Peugeot Partner/Rifter</t>
        </is>
      </c>
      <c r="B132" s="2" t="n">
        <v>19.5</v>
      </c>
      <c r="C132" t="inlineStr"/>
      <c r="D132" t="inlineStr"/>
    </row>
    <row r="133">
      <c r="A133" s="2" t="inlineStr">
        <is>
          <t>Citroen C3/DS 3</t>
        </is>
      </c>
      <c r="B133" s="2" t="n">
        <v>23.7</v>
      </c>
      <c r="C133" t="inlineStr"/>
      <c r="D133" t="inlineStr"/>
    </row>
    <row r="134">
      <c r="A134" s="2" t="inlineStr">
        <is>
          <t>DS Automobiles DS3, Citroen C3/DS 3</t>
        </is>
      </c>
      <c r="B134" s="2" t="n">
        <v>23.7</v>
      </c>
      <c r="C134" t="inlineStr"/>
      <c r="D134" t="inlineStr"/>
    </row>
    <row r="135">
      <c r="A135" s="2" t="inlineStr">
        <is>
          <t>Dacia Dokker</t>
        </is>
      </c>
      <c r="B135" s="2" t="n">
        <v>7.5</v>
      </c>
      <c r="C135" t="inlineStr"/>
      <c r="D135" t="inlineStr"/>
    </row>
    <row r="136">
      <c r="A136" s="2" t="inlineStr">
        <is>
          <t>Dacia Duster</t>
        </is>
      </c>
      <c r="B136" s="2" t="n">
        <v>22.9</v>
      </c>
      <c r="C136" t="inlineStr"/>
      <c r="D136" t="inlineStr"/>
    </row>
    <row r="137">
      <c r="A137" s="2" t="inlineStr">
        <is>
          <t>Dacia Logan</t>
        </is>
      </c>
      <c r="B137" s="2" t="n">
        <v>23.1</v>
      </c>
      <c r="C137" t="inlineStr"/>
      <c r="D137" t="inlineStr"/>
    </row>
    <row r="138">
      <c r="A138" s="2" t="inlineStr">
        <is>
          <t>Dacia Sandero</t>
        </is>
      </c>
      <c r="B138" s="2" t="n">
        <v>14.1</v>
      </c>
      <c r="C138" t="inlineStr"/>
      <c r="D138" t="inlineStr"/>
    </row>
    <row r="139">
      <c r="A139" s="2" t="inlineStr">
        <is>
          <t>Fiat 500</t>
        </is>
      </c>
      <c r="B139" s="2" t="n">
        <v>23.6</v>
      </c>
      <c r="C139" t="inlineStr"/>
      <c r="D139" t="inlineStr"/>
    </row>
    <row r="140">
      <c r="A140" s="2" t="inlineStr">
        <is>
          <t>Fiat Ducato</t>
        </is>
      </c>
      <c r="B140" s="2" t="n">
        <v>45.6</v>
      </c>
      <c r="C140" t="inlineStr"/>
      <c r="D140" t="inlineStr"/>
    </row>
    <row r="141">
      <c r="A141" s="2" t="inlineStr">
        <is>
          <t>Fiat Panda</t>
        </is>
      </c>
      <c r="B141" s="2" t="n">
        <v>16.5</v>
      </c>
      <c r="C141" t="inlineStr"/>
      <c r="D141" t="inlineStr"/>
    </row>
    <row r="142">
      <c r="A142" s="2" t="inlineStr">
        <is>
          <t>Ford B-MAX</t>
        </is>
      </c>
      <c r="B142" s="2" t="n">
        <v>17.7</v>
      </c>
      <c r="C142" t="inlineStr"/>
      <c r="D142" t="inlineStr"/>
    </row>
    <row r="143">
      <c r="A143" s="2" t="inlineStr">
        <is>
          <t>Ford C-MAX</t>
        </is>
      </c>
      <c r="B143" s="2" t="n">
        <v>25</v>
      </c>
      <c r="C143" t="inlineStr"/>
      <c r="D143" t="inlineStr"/>
    </row>
    <row r="144">
      <c r="A144" s="2" t="inlineStr">
        <is>
          <t>Ford Fiesta (Courier)</t>
        </is>
      </c>
      <c r="B144" s="2" t="n">
        <v>20.4</v>
      </c>
      <c r="C144" t="inlineStr"/>
      <c r="D144" t="inlineStr"/>
    </row>
    <row r="145">
      <c r="A145" s="2" t="inlineStr">
        <is>
          <t>Ford Focus</t>
        </is>
      </c>
      <c r="B145" s="2" t="n">
        <v>25.2</v>
      </c>
      <c r="C145" t="inlineStr"/>
      <c r="D145" t="inlineStr"/>
    </row>
    <row r="146">
      <c r="A146" s="2" t="inlineStr">
        <is>
          <t>Ford Kuga</t>
        </is>
      </c>
      <c r="B146" s="2" t="n">
        <v>23.6</v>
      </c>
      <c r="C146" t="inlineStr"/>
      <c r="D146" t="inlineStr"/>
    </row>
    <row r="147">
      <c r="A147" s="2" t="inlineStr">
        <is>
          <t>Ford Ranger</t>
        </is>
      </c>
      <c r="B147" s="2" t="n">
        <v>16.7</v>
      </c>
      <c r="C147" t="inlineStr"/>
      <c r="D147" t="inlineStr"/>
    </row>
    <row r="148">
      <c r="A148" s="2" t="inlineStr">
        <is>
          <t>Ford Tourneo/Transit Connect</t>
        </is>
      </c>
      <c r="B148" s="2" t="n">
        <v>23.5</v>
      </c>
      <c r="C148" t="inlineStr"/>
      <c r="D148" t="inlineStr"/>
    </row>
    <row r="149">
      <c r="A149" s="2" t="inlineStr">
        <is>
          <t>Ford Tourneo/Transit Custom</t>
        </is>
      </c>
      <c r="B149" s="2" t="n">
        <v>18.6</v>
      </c>
      <c r="C149" t="inlineStr"/>
      <c r="D149" t="inlineStr"/>
    </row>
    <row r="150">
      <c r="A150" s="2" t="inlineStr">
        <is>
          <t>Hyundai Tucson</t>
        </is>
      </c>
      <c r="B150" s="2" t="n">
        <v>18.2</v>
      </c>
      <c r="C150" t="inlineStr"/>
      <c r="D150" t="inlineStr"/>
    </row>
    <row r="151">
      <c r="A151" s="2" t="inlineStr">
        <is>
          <t>Hyundai i10</t>
        </is>
      </c>
      <c r="B151" s="2" t="n">
        <v>18.6</v>
      </c>
      <c r="C151" t="inlineStr"/>
      <c r="D151" t="inlineStr"/>
    </row>
    <row r="152">
      <c r="A152" s="2" t="inlineStr">
        <is>
          <t>Hyundai i20</t>
        </is>
      </c>
      <c r="B152" s="2" t="n">
        <v>21.1</v>
      </c>
      <c r="C152" t="inlineStr"/>
      <c r="D152" t="inlineStr"/>
    </row>
    <row r="153">
      <c r="A153" s="2" t="inlineStr">
        <is>
          <t>Hyundai i30</t>
        </is>
      </c>
      <c r="B153" s="2" t="n">
        <v>16.8</v>
      </c>
      <c r="C153" t="inlineStr"/>
      <c r="D153" t="inlineStr"/>
    </row>
    <row r="154">
      <c r="A154" s="2" t="inlineStr">
        <is>
          <t>Hyundai ix20</t>
        </is>
      </c>
      <c r="B154" s="2" t="n">
        <v>21.1</v>
      </c>
      <c r="C154" t="inlineStr"/>
      <c r="D154" t="inlineStr"/>
    </row>
    <row r="155">
      <c r="A155" s="2" t="inlineStr">
        <is>
          <t>KIA Ceed/XCeed</t>
        </is>
      </c>
      <c r="B155" s="2" t="n">
        <v>15.4</v>
      </c>
      <c r="C155" t="inlineStr"/>
      <c r="D155" t="inlineStr"/>
    </row>
    <row r="156">
      <c r="A156" s="2" t="inlineStr">
        <is>
          <t>Kia Picanto</t>
        </is>
      </c>
      <c r="B156" s="2" t="n">
        <v>24.4</v>
      </c>
      <c r="C156" t="inlineStr"/>
      <c r="D156" t="inlineStr"/>
    </row>
    <row r="157">
      <c r="A157" s="2" t="inlineStr">
        <is>
          <t>Kia Sportage</t>
        </is>
      </c>
      <c r="B157" s="2" t="n">
        <v>19.7</v>
      </c>
      <c r="C157" t="inlineStr"/>
      <c r="D157" t="inlineStr"/>
    </row>
    <row r="158">
      <c r="A158" s="2" t="inlineStr">
        <is>
          <t>MINI MINI</t>
        </is>
      </c>
      <c r="B158" s="2" t="n">
        <v>11.6</v>
      </c>
      <c r="C158" t="inlineStr"/>
      <c r="D158" t="inlineStr"/>
    </row>
    <row r="159">
      <c r="A159" s="2" t="inlineStr">
        <is>
          <t>Mazda 2</t>
        </is>
      </c>
      <c r="B159" s="2" t="n">
        <v>6.6</v>
      </c>
      <c r="C159" t="inlineStr"/>
      <c r="D159" t="inlineStr"/>
    </row>
    <row r="160">
      <c r="A160" s="2" t="inlineStr">
        <is>
          <t>Mazda 3</t>
        </is>
      </c>
      <c r="B160" s="2" t="n">
        <v>12.3</v>
      </c>
      <c r="C160" t="inlineStr"/>
      <c r="D160" t="inlineStr"/>
    </row>
    <row r="161">
      <c r="A161" s="2" t="inlineStr">
        <is>
          <t>Mazda CX-3</t>
        </is>
      </c>
      <c r="B161" s="2" t="n">
        <v>9.1</v>
      </c>
      <c r="C161" t="inlineStr"/>
      <c r="D161" t="inlineStr"/>
    </row>
    <row r="162">
      <c r="A162" s="2" t="inlineStr">
        <is>
          <t>Mazda CX-5</t>
        </is>
      </c>
      <c r="B162" s="2" t="n">
        <v>15.1</v>
      </c>
      <c r="C162" t="inlineStr"/>
      <c r="D162" t="inlineStr"/>
    </row>
    <row r="163">
      <c r="A163" s="2" t="inlineStr">
        <is>
          <t>Mercedes-Benz A-Klasse</t>
        </is>
      </c>
      <c r="B163" s="2" t="n">
        <v>13.9</v>
      </c>
      <c r="C163" t="inlineStr"/>
      <c r="D163" t="inlineStr"/>
    </row>
    <row r="164">
      <c r="A164" s="2" t="inlineStr">
        <is>
          <t>Mercedes-Benz B-Klasse</t>
        </is>
      </c>
      <c r="B164" s="2" t="n">
        <v>12.8</v>
      </c>
      <c r="C164" t="inlineStr"/>
      <c r="D164" t="inlineStr"/>
    </row>
    <row r="165">
      <c r="A165" s="2" t="inlineStr">
        <is>
          <t>Mercedes-Benz C-Klasse</t>
        </is>
      </c>
      <c r="B165" s="2" t="n">
        <v>11.4</v>
      </c>
      <c r="C165" t="inlineStr"/>
      <c r="D165" t="inlineStr"/>
    </row>
    <row r="166">
      <c r="A166" s="2" t="inlineStr">
        <is>
          <t>Mercedes-Benz CLA</t>
        </is>
      </c>
      <c r="B166" s="2" t="n">
        <v>19.3</v>
      </c>
      <c r="C166" t="inlineStr"/>
      <c r="D166" t="inlineStr"/>
    </row>
    <row r="167">
      <c r="A167" s="2" t="inlineStr">
        <is>
          <t>Mercedes-Benz Citan</t>
        </is>
      </c>
      <c r="B167" s="2" t="n">
        <v>21.9</v>
      </c>
      <c r="C167" t="inlineStr"/>
      <c r="D167" t="inlineStr"/>
    </row>
    <row r="168">
      <c r="A168" s="2" t="inlineStr">
        <is>
          <t>Mercedes-Benz E-Klasse</t>
        </is>
      </c>
      <c r="B168" s="2" t="n">
        <v>19.5</v>
      </c>
      <c r="C168" t="inlineStr"/>
      <c r="D168" t="inlineStr"/>
    </row>
    <row r="169">
      <c r="A169" s="2" t="inlineStr">
        <is>
          <t>Mercedes-Benz GLA</t>
        </is>
      </c>
      <c r="B169" s="2" t="n">
        <v>10.7</v>
      </c>
      <c r="C169" t="inlineStr"/>
      <c r="D169" t="inlineStr"/>
    </row>
    <row r="170">
      <c r="A170" s="2" t="inlineStr">
        <is>
          <t>Mercedes-Benz GLE</t>
        </is>
      </c>
      <c r="B170" s="2" t="n">
        <v>13</v>
      </c>
      <c r="C170" t="inlineStr"/>
      <c r="D170" t="inlineStr"/>
    </row>
    <row r="171">
      <c r="A171" s="2" t="inlineStr">
        <is>
          <t>Mitsubishi ASX</t>
        </is>
      </c>
      <c r="B171" s="2" t="n">
        <v>8.800000000000001</v>
      </c>
      <c r="C171" t="inlineStr"/>
      <c r="D171" t="inlineStr"/>
    </row>
    <row r="172">
      <c r="A172" s="2" t="inlineStr">
        <is>
          <t>Mitsubishi Space Star</t>
        </is>
      </c>
      <c r="B172" s="2" t="n">
        <v>25.9</v>
      </c>
      <c r="C172" t="inlineStr"/>
      <c r="D172" t="inlineStr"/>
    </row>
    <row r="173">
      <c r="A173" s="2" t="inlineStr">
        <is>
          <t>Nissan Micra</t>
        </is>
      </c>
      <c r="B173" s="2" t="n">
        <v>18.4</v>
      </c>
      <c r="C173" t="inlineStr"/>
      <c r="D173" t="inlineStr"/>
    </row>
    <row r="174">
      <c r="A174" s="2" t="inlineStr">
        <is>
          <t>Nissan Qashqai</t>
        </is>
      </c>
      <c r="B174" s="2" t="n">
        <v>24.9</v>
      </c>
      <c r="C174" t="inlineStr"/>
      <c r="D174" t="inlineStr"/>
    </row>
    <row r="175">
      <c r="A175" s="2" t="inlineStr">
        <is>
          <t>Opel ADAM</t>
        </is>
      </c>
      <c r="B175" s="2" t="n">
        <v>21</v>
      </c>
      <c r="C175" t="inlineStr"/>
      <c r="D175" t="inlineStr"/>
    </row>
    <row r="176">
      <c r="A176" s="2" t="inlineStr">
        <is>
          <t>Opel Astra</t>
        </is>
      </c>
      <c r="B176" s="2" t="n">
        <v>22.2</v>
      </c>
      <c r="C176" t="inlineStr"/>
      <c r="D176" t="inlineStr"/>
    </row>
    <row r="177">
      <c r="A177" s="2" t="inlineStr">
        <is>
          <t>Opel Corsa</t>
        </is>
      </c>
      <c r="B177" s="2" t="n">
        <v>20.2</v>
      </c>
      <c r="C177" t="inlineStr"/>
      <c r="D177" t="inlineStr"/>
    </row>
    <row r="178">
      <c r="A178" s="2" t="inlineStr">
        <is>
          <t>Opel KARL</t>
        </is>
      </c>
      <c r="B178" s="2" t="n">
        <v>20.4</v>
      </c>
      <c r="C178" t="inlineStr"/>
      <c r="D178" t="inlineStr"/>
    </row>
    <row r="179">
      <c r="A179" s="2" t="inlineStr">
        <is>
          <t>Opel Meriva</t>
        </is>
      </c>
      <c r="B179" s="2" t="n">
        <v>26.2</v>
      </c>
      <c r="C179" t="inlineStr"/>
      <c r="D179" t="inlineStr"/>
    </row>
    <row r="180">
      <c r="A180" s="2" t="inlineStr">
        <is>
          <t>Opel Mokka</t>
        </is>
      </c>
      <c r="B180" s="2" t="n">
        <v>20.4</v>
      </c>
      <c r="C180" t="inlineStr"/>
      <c r="D180" t="inlineStr"/>
    </row>
    <row r="181">
      <c r="A181" s="2" t="inlineStr">
        <is>
          <t>Opel Zafira</t>
        </is>
      </c>
      <c r="B181" s="2" t="n">
        <v>30.2</v>
      </c>
      <c r="C181" t="inlineStr"/>
      <c r="D181" t="inlineStr"/>
    </row>
    <row r="182">
      <c r="A182" s="2" t="inlineStr">
        <is>
          <t>Peugeot 2008</t>
        </is>
      </c>
      <c r="B182" s="2" t="n">
        <v>13.4</v>
      </c>
      <c r="C182" t="inlineStr"/>
      <c r="D182" t="inlineStr"/>
    </row>
    <row r="183">
      <c r="A183" s="2" t="inlineStr">
        <is>
          <t>Peugeot 208</t>
        </is>
      </c>
      <c r="B183" s="2" t="n">
        <v>20.4</v>
      </c>
      <c r="C183" t="inlineStr"/>
      <c r="D183" t="inlineStr"/>
    </row>
    <row r="184">
      <c r="A184" s="2" t="inlineStr">
        <is>
          <t>Peugeot 308</t>
        </is>
      </c>
      <c r="B184" s="2" t="n">
        <v>25.6</v>
      </c>
      <c r="C184" t="inlineStr"/>
      <c r="D184" t="inlineStr"/>
    </row>
    <row r="185">
      <c r="A185" s="2" t="inlineStr">
        <is>
          <t>Renault Clio/Captur</t>
        </is>
      </c>
      <c r="B185" s="2" t="n">
        <v>26</v>
      </c>
      <c r="C185" t="inlineStr"/>
      <c r="D185" t="inlineStr"/>
    </row>
    <row r="186">
      <c r="A186" s="2" t="inlineStr">
        <is>
          <t>Renault Kangoo/Rapid</t>
        </is>
      </c>
      <c r="B186" s="2" t="n">
        <v>26.8</v>
      </c>
      <c r="C186" t="inlineStr"/>
      <c r="D186" t="inlineStr"/>
    </row>
    <row r="187">
      <c r="A187" s="2" t="inlineStr">
        <is>
          <t>Renault Master</t>
        </is>
      </c>
      <c r="B187" s="2" t="n">
        <v>19.5</v>
      </c>
      <c r="C187" t="inlineStr"/>
      <c r="D187" t="inlineStr"/>
    </row>
    <row r="188">
      <c r="A188" s="2" t="inlineStr">
        <is>
          <t>Renault Mégane</t>
        </is>
      </c>
      <c r="B188" s="2" t="n">
        <v>28.1</v>
      </c>
      <c r="C188" t="inlineStr"/>
      <c r="D188" t="inlineStr"/>
    </row>
    <row r="189">
      <c r="A189" s="2" t="inlineStr">
        <is>
          <t>Renault Scénic</t>
        </is>
      </c>
      <c r="B189" s="2" t="n">
        <v>29.1</v>
      </c>
      <c r="C189" t="inlineStr"/>
      <c r="D189" t="inlineStr"/>
    </row>
    <row r="190">
      <c r="A190" s="2" t="inlineStr">
        <is>
          <t>Renault Twingo</t>
        </is>
      </c>
      <c r="B190" s="2" t="n">
        <v>20.7</v>
      </c>
      <c r="C190" t="inlineStr"/>
      <c r="D190" t="inlineStr"/>
    </row>
    <row r="191">
      <c r="A191" s="2" t="inlineStr">
        <is>
          <t>SEAT Ibiza</t>
        </is>
      </c>
      <c r="B191" s="2" t="n">
        <v>16.8</v>
      </c>
      <c r="C191" t="inlineStr"/>
      <c r="D191" t="inlineStr"/>
    </row>
    <row r="192">
      <c r="A192" s="2" t="inlineStr">
        <is>
          <t>SEAT Leon</t>
        </is>
      </c>
      <c r="B192" s="2" t="n">
        <v>10</v>
      </c>
      <c r="C192" t="inlineStr"/>
      <c r="D192" t="inlineStr"/>
    </row>
    <row r="193">
      <c r="A193" s="2" t="inlineStr">
        <is>
          <t>Skoda Fabia</t>
        </is>
      </c>
      <c r="B193" s="2" t="n">
        <v>12.8</v>
      </c>
      <c r="C193" t="inlineStr"/>
      <c r="D193" t="inlineStr"/>
    </row>
    <row r="194">
      <c r="A194" s="2" t="inlineStr">
        <is>
          <t>Skoda Octavia</t>
        </is>
      </c>
      <c r="B194" s="2" t="n">
        <v>10.4</v>
      </c>
      <c r="C194" t="inlineStr"/>
      <c r="D194" t="inlineStr"/>
    </row>
    <row r="195">
      <c r="A195" s="2" t="inlineStr">
        <is>
          <t>Skoda Rapid</t>
        </is>
      </c>
      <c r="B195" s="2" t="n">
        <v>15.1</v>
      </c>
      <c r="C195" t="inlineStr"/>
      <c r="D195" t="inlineStr"/>
    </row>
    <row r="196">
      <c r="A196" s="2" t="inlineStr">
        <is>
          <t>Skoda Yeti</t>
        </is>
      </c>
      <c r="B196" s="2" t="n">
        <v>14</v>
      </c>
      <c r="C196" t="inlineStr"/>
      <c r="D196" t="inlineStr"/>
    </row>
    <row r="197">
      <c r="A197" s="2" t="inlineStr">
        <is>
          <t>Suzuki Swift</t>
        </is>
      </c>
      <c r="B197" s="2" t="n">
        <v>12</v>
      </c>
      <c r="C197" t="inlineStr"/>
      <c r="D197" t="inlineStr"/>
    </row>
    <row r="198">
      <c r="A198" s="2" t="inlineStr">
        <is>
          <t>Toyota Auris</t>
        </is>
      </c>
      <c r="B198" s="2" t="n">
        <v>19.3</v>
      </c>
      <c r="C198" t="inlineStr"/>
      <c r="D198" t="inlineStr"/>
    </row>
    <row r="199">
      <c r="A199" s="2" t="inlineStr">
        <is>
          <t>Toyota Aygo</t>
        </is>
      </c>
      <c r="B199" s="2" t="n">
        <v>12</v>
      </c>
      <c r="C199" t="inlineStr"/>
      <c r="D199" t="inlineStr"/>
    </row>
    <row r="200">
      <c r="A200" s="2" t="inlineStr">
        <is>
          <t>Toyota Yaris</t>
        </is>
      </c>
      <c r="B200" s="2" t="n">
        <v>22.8</v>
      </c>
      <c r="C200" t="inlineStr"/>
      <c r="D200" t="inlineStr"/>
    </row>
    <row r="201">
      <c r="A201" s="2" t="inlineStr">
        <is>
          <t>VW Beetle</t>
        </is>
      </c>
      <c r="B201" s="2" t="n">
        <v>11.8</v>
      </c>
      <c r="C201" t="inlineStr"/>
      <c r="D201" t="inlineStr"/>
    </row>
    <row r="202">
      <c r="A202" s="2" t="inlineStr">
        <is>
          <t>VW Golf</t>
        </is>
      </c>
      <c r="B202" s="2" t="n">
        <v>10.5</v>
      </c>
      <c r="C202" t="inlineStr"/>
      <c r="D202" t="inlineStr"/>
    </row>
    <row r="203">
      <c r="A203" s="2" t="inlineStr">
        <is>
          <t>VW Nutzfahrzeuge Caddy</t>
        </is>
      </c>
      <c r="B203" s="2" t="n">
        <v>16.4</v>
      </c>
      <c r="C203" t="inlineStr"/>
      <c r="D203" t="inlineStr"/>
    </row>
    <row r="204">
      <c r="A204" s="2" t="inlineStr">
        <is>
          <t>VW Polo</t>
        </is>
      </c>
      <c r="B204" s="2" t="n">
        <v>14.9</v>
      </c>
      <c r="C204" t="inlineStr"/>
      <c r="D204" t="inlineStr"/>
    </row>
    <row r="205">
      <c r="A205" s="2" t="inlineStr">
        <is>
          <t>VW Tiguan</t>
        </is>
      </c>
      <c r="B205" s="2" t="n">
        <v>11.4</v>
      </c>
      <c r="C205" t="inlineStr"/>
      <c r="D205" t="inlineStr"/>
    </row>
    <row r="206">
      <c r="A206" s="2" t="inlineStr">
        <is>
          <t>VW Touran</t>
        </is>
      </c>
      <c r="B206" s="2" t="n">
        <v>20.3</v>
      </c>
      <c r="C206" t="inlineStr"/>
      <c r="D206" t="inlineStr"/>
    </row>
    <row r="207">
      <c r="A207" s="2" t="inlineStr">
        <is>
          <t>smart forfour</t>
        </is>
      </c>
      <c r="B207" s="2" t="n">
        <v>27.5</v>
      </c>
      <c r="C207" t="inlineStr"/>
      <c r="D207" t="inlineStr"/>
    </row>
    <row r="208">
      <c r="A208" s="2" t="inlineStr">
        <is>
          <t>smart fortwo</t>
        </is>
      </c>
      <c r="B208" s="2" t="n">
        <v>21</v>
      </c>
      <c r="C208" t="inlineStr"/>
      <c r="D208" t="inlineStr"/>
    </row>
    <row r="209">
      <c r="A209" t="inlineStr">
        <is>
          <t>ADAC: mediana de la tabla (referencia 50 puntos)</t>
        </is>
      </c>
      <c r="B209" s="4">
        <f>MEDIAN(B122:B208)</f>
        <v/>
      </c>
      <c r="C209" t="inlineStr">
        <is>
          <t>calculado</t>
        </is>
      </c>
      <c r="D209" t="inlineStr">
        <is>
          <t>punt_ADAC = 50 + 100·(mediana − PKZ)/mediana, acotado 0-100; mediana de todas las filas de la tabla</t>
        </is>
      </c>
    </row>
    <row r="211">
      <c r="A211" s="6" t="inlineStr">
        <is>
          <t>7. Fiabilidad por modelo (punt. TÜV = 50 + 100·(media − MQ)/media; punt. ADAC = 50 + 100·(ref − PKZ)/ref; punt. modelo = media de TÜV, ADAC y OCU marca)</t>
        </is>
      </c>
    </row>
    <row r="212">
      <c r="A212" s="7" t="inlineStr">
        <is>
          <t>Modelo</t>
        </is>
      </c>
      <c r="B212" s="7" t="inlineStr">
        <is>
          <t>Marca</t>
        </is>
      </c>
      <c r="C212" s="7" t="inlineStr">
        <is>
          <t>TÜV Mängelquote (%)</t>
        </is>
      </c>
      <c r="D212" s="7" t="inlineStr">
        <is>
          <t>Franja</t>
        </is>
      </c>
      <c r="E212" s="7" t="inlineStr">
        <is>
          <t>Media franja (%)</t>
        </is>
      </c>
      <c r="F212" s="7" t="inlineStr">
        <is>
          <t>Punt. TÜV</t>
        </is>
      </c>
      <c r="G212" s="7" t="inlineStr">
        <is>
          <t>Fila ADAC</t>
        </is>
      </c>
      <c r="H212" s="7" t="inlineStr">
        <is>
          <t>ADAC PKZ 2015</t>
        </is>
      </c>
      <c r="I212" s="7" t="inlineStr">
        <is>
          <t>Punt. ADAC</t>
        </is>
      </c>
      <c r="J212" s="7" t="inlineStr">
        <is>
          <t>Punt. OCU marca</t>
        </is>
      </c>
      <c r="K212" s="7" t="inlineStr">
        <is>
          <t>Punt. modelo</t>
        </is>
      </c>
      <c r="L212" s="7" t="inlineStr">
        <is>
          <t>Pendiente</t>
        </is>
      </c>
      <c r="M212" s="7" t="inlineStr">
        <is>
          <t>Estado</t>
        </is>
      </c>
      <c r="N212" s="7" t="inlineStr">
        <is>
          <t>Fuente</t>
        </is>
      </c>
    </row>
    <row r="213">
      <c r="A213" s="2" t="inlineStr">
        <is>
          <t>Renault Clio</t>
        </is>
      </c>
      <c r="B213" s="2" t="inlineStr">
        <is>
          <t>Renault</t>
        </is>
      </c>
      <c r="C213" s="2" t="n">
        <v>40.4</v>
      </c>
      <c r="D213" s="2" t="inlineStr">
        <is>
          <t>12-13</t>
        </is>
      </c>
      <c r="E213" s="4">
        <f>VLOOKUP(D213,TUV_MEDIAS,2,0)</f>
        <v/>
      </c>
      <c r="F213" s="4">
        <f>IF(C213="","",MAX(0,MIN(100,50+100*(E213-C213)/E213)))</f>
        <v/>
      </c>
      <c r="G213" s="2" t="inlineStr">
        <is>
          <t>Renault Clio/Captur</t>
        </is>
      </c>
      <c r="H213" s="4">
        <f>IF(G213="","",IFERROR(VLOOKUP(G213,ADAC_TBL,2,0),""))</f>
        <v/>
      </c>
      <c r="I213" s="4">
        <f>IF(H213="","",MAX(0,MIN(100,50+100*(ADAC_REF-H213)/ADAC_REF)))</f>
        <v/>
      </c>
      <c r="J213" s="4">
        <f>IFERROR(VLOOKUP(B213,OCU_TBL,2,0),"")</f>
        <v/>
      </c>
      <c r="K213" s="4">
        <f>IF(COUNT(F213,I213,J213)=0,NEUTRO,AVERAGE(F213,I213,J213))</f>
        <v/>
      </c>
      <c r="L213" s="4">
        <f>IF(COUNT(F213,I213,J213)=0,"PENDIENTE","")</f>
        <v/>
      </c>
      <c r="M213" t="inlineStr">
        <is>
          <t>probable</t>
        </is>
      </c>
      <c r="N213" t="inlineStr">
        <is>
          <t>TÜV Report 2026 vía https://www.autobild.de/artikel/tuev-report-2026-gewinner-verlierer-28424531.html (peor de su franja)</t>
        </is>
      </c>
    </row>
    <row r="214">
      <c r="A214" s="2" t="inlineStr">
        <is>
          <t>Dacia Sandero</t>
        </is>
      </c>
      <c r="B214" s="2" t="inlineStr">
        <is>
          <t>Dacia</t>
        </is>
      </c>
      <c r="C214" s="2" t="n">
        <v>31.5</v>
      </c>
      <c r="D214" s="2" t="inlineStr">
        <is>
          <t>10-11</t>
        </is>
      </c>
      <c r="E214" s="4">
        <f>VLOOKUP(D214,TUV_MEDIAS,2,0)</f>
        <v/>
      </c>
      <c r="F214" s="4">
        <f>IF(C214="","",MAX(0,MIN(100,50+100*(E214-C214)/E214)))</f>
        <v/>
      </c>
      <c r="G214" s="2" t="inlineStr">
        <is>
          <t>Dacia Sandero</t>
        </is>
      </c>
      <c r="H214" s="4">
        <f>IF(G214="","",IFERROR(VLOOKUP(G214,ADAC_TBL,2,0),""))</f>
        <v/>
      </c>
      <c r="I214" s="4">
        <f>IF(H214="","",MAX(0,MIN(100,50+100*(ADAC_REF-H214)/ADAC_REF)))</f>
        <v/>
      </c>
      <c r="J214" s="4">
        <f>IFERROR(VLOOKUP(B214,OCU_TBL,2,0),"")</f>
        <v/>
      </c>
      <c r="K214" s="4">
        <f>IF(COUNT(F214,I214,J214)=0,NEUTRO,AVERAGE(F214,I214,J214))</f>
        <v/>
      </c>
      <c r="L214" s="4">
        <f>IF(COUNT(F214,I214,J214)=0,"PENDIENTE","")</f>
        <v/>
      </c>
      <c r="M214" t="inlineStr">
        <is>
          <t>probable (edición no fechada en el resumen)</t>
        </is>
      </c>
      <c r="N214" t="inlineStr">
        <is>
          <t>https://www.tuev-verband.de/presse/publikationen/reporte/tuev-report-autobild</t>
        </is>
      </c>
    </row>
    <row r="215">
      <c r="A215" s="2" t="inlineStr">
        <is>
          <t>Renault Mégane</t>
        </is>
      </c>
      <c r="B215" s="2" t="inlineStr">
        <is>
          <t>Renault</t>
        </is>
      </c>
      <c r="C215" s="2" t="n">
        <v>31.7</v>
      </c>
      <c r="D215" s="2" t="inlineStr">
        <is>
          <t>10-11</t>
        </is>
      </c>
      <c r="E215" s="4">
        <f>VLOOKUP(D215,TUV_MEDIAS,2,0)</f>
        <v/>
      </c>
      <c r="F215" s="4">
        <f>IF(C215="","",MAX(0,MIN(100,50+100*(E215-C215)/E215)))</f>
        <v/>
      </c>
      <c r="G215" s="2" t="inlineStr">
        <is>
          <t>Renault Mégane</t>
        </is>
      </c>
      <c r="H215" s="4">
        <f>IF(G215="","",IFERROR(VLOOKUP(G215,ADAC_TBL,2,0),""))</f>
        <v/>
      </c>
      <c r="I215" s="4">
        <f>IF(H215="","",MAX(0,MIN(100,50+100*(ADAC_REF-H215)/ADAC_REF)))</f>
        <v/>
      </c>
      <c r="J215" s="4">
        <f>IFERROR(VLOOKUP(B215,OCU_TBL,2,0),"")</f>
        <v/>
      </c>
      <c r="K215" s="4">
        <f>IF(COUNT(F215,I215,J215)=0,NEUTRO,AVERAGE(F215,I215,J215))</f>
        <v/>
      </c>
      <c r="L215" s="4">
        <f>IF(COUNT(F215,I215,J215)=0,"PENDIENTE","")</f>
        <v/>
      </c>
      <c r="M215" t="inlineStr">
        <is>
          <t>probable (edición no fechada en el resumen)</t>
        </is>
      </c>
      <c r="N215" t="inlineStr">
        <is>
          <t>https://www.tuev-verband.de/presse/publikationen/reporte/tuev-report-autobild</t>
        </is>
      </c>
    </row>
    <row r="216">
      <c r="A216" s="2" t="inlineStr">
        <is>
          <t>Ford Focus</t>
        </is>
      </c>
      <c r="B216" s="2" t="inlineStr">
        <is>
          <t>Ford</t>
        </is>
      </c>
      <c r="C216" s="2" t="n">
        <v>34.8</v>
      </c>
      <c r="D216" s="2" t="inlineStr">
        <is>
          <t>12-13</t>
        </is>
      </c>
      <c r="E216" s="2" t="n">
        <v>28.1</v>
      </c>
      <c r="F216" s="4">
        <f>IF(C216="","",MAX(0,MIN(100,50+100*(E216-C216)/E216)))</f>
        <v/>
      </c>
      <c r="G216" s="2" t="inlineStr">
        <is>
          <t>Ford Focus</t>
        </is>
      </c>
      <c r="H216" s="4">
        <f>IF(G216="","",IFERROR(VLOOKUP(G216,ADAC_TBL,2,0),""))</f>
        <v/>
      </c>
      <c r="I216" s="4">
        <f>IF(H216="","",MAX(0,MIN(100,50+100*(ADAC_REF-H216)/ADAC_REF)))</f>
        <v/>
      </c>
      <c r="J216" s="4">
        <f>IFERROR(VLOOKUP(B216,OCU_TBL,2,0),"")</f>
        <v/>
      </c>
      <c r="K216" s="4">
        <f>IF(COUNT(F216,I216,J216)=0,NEUTRO,AVERAGE(F216,I216,J216))</f>
        <v/>
      </c>
      <c r="L216" s="4">
        <f>IF(COUNT(F216,I216,J216)=0,"PENDIENTE","")</f>
        <v/>
      </c>
      <c r="M216" t="inlineStr">
        <is>
          <t>probable (TÜV 2025; media de franja 28,1 % en esa edición)</t>
        </is>
      </c>
      <c r="N216" t="inlineStr">
        <is>
          <t>https://www.t-online.de/mobilitaet/aktuelles/id_100543260/tuev-report-das-sind-die-schlechtesten-kompakten-gebrauchten.html</t>
        </is>
      </c>
    </row>
    <row r="217">
      <c r="A217" s="2" t="inlineStr">
        <is>
          <t>Volkswagen Golf</t>
        </is>
      </c>
      <c r="B217" s="2" t="inlineStr">
        <is>
          <t>Volkswagen</t>
        </is>
      </c>
      <c r="C217" s="2" t="n">
        <v>17.4</v>
      </c>
      <c r="D217" s="2" t="inlineStr">
        <is>
          <t>10-11</t>
        </is>
      </c>
      <c r="E217" s="4">
        <f>VLOOKUP(D217,TUV_MEDIAS,2,0)</f>
        <v/>
      </c>
      <c r="F217" s="4">
        <f>IF(C217="","",MAX(0,MIN(100,50+100*(E217-C217)/E217)))</f>
        <v/>
      </c>
      <c r="G217" s="2" t="inlineStr">
        <is>
          <t>VW Golf</t>
        </is>
      </c>
      <c r="H217" s="4">
        <f>IF(G217="","",IFERROR(VLOOKUP(G217,ADAC_TBL,2,0),""))</f>
        <v/>
      </c>
      <c r="I217" s="4">
        <f>IF(H217="","",MAX(0,MIN(100,50+100*(ADAC_REF-H217)/ADAC_REF)))</f>
        <v/>
      </c>
      <c r="J217" s="4">
        <f>IFERROR(VLOOKUP(B217,OCU_TBL,2,0),"")</f>
        <v/>
      </c>
      <c r="K217" s="4">
        <f>IF(COUNT(F217,I217,J217)=0,NEUTRO,AVERAGE(F217,I217,J217))</f>
        <v/>
      </c>
      <c r="L217" s="4">
        <f>IF(COUNT(F217,I217,J217)=0,"PENDIENTE","")</f>
        <v/>
      </c>
      <c r="M217" t="inlineStr">
        <is>
          <t>probable (el resumen lo marcó dudoso)</t>
        </is>
      </c>
      <c r="N217" t="inlineStr">
        <is>
          <t>https://www.tuvsud.com/de-de/publikationen/tuev-report/maengelzwerge-und-fehlerriesen</t>
        </is>
      </c>
    </row>
    <row r="218">
      <c r="A218" s="2" t="inlineStr">
        <is>
          <t>Mazda 3</t>
        </is>
      </c>
      <c r="B218" s="2" t="inlineStr">
        <is>
          <t>Mazda</t>
        </is>
      </c>
      <c r="C218" s="2" t="n">
        <v>20.9</v>
      </c>
      <c r="D218" s="2" t="inlineStr">
        <is>
          <t>12-13</t>
        </is>
      </c>
      <c r="E218" s="4">
        <f>VLOOKUP(D218,TUV_MEDIAS,2,0)</f>
        <v/>
      </c>
      <c r="F218" s="4">
        <f>IF(C218="","",MAX(0,MIN(100,50+100*(E218-C218)/E218)))</f>
        <v/>
      </c>
      <c r="G218" s="2" t="inlineStr">
        <is>
          <t>Mazda 3</t>
        </is>
      </c>
      <c r="H218" s="4">
        <f>IF(G218="","",IFERROR(VLOOKUP(G218,ADAC_TBL,2,0),""))</f>
        <v/>
      </c>
      <c r="I218" s="4">
        <f>IF(H218="","",MAX(0,MIN(100,50+100*(ADAC_REF-H218)/ADAC_REF)))</f>
        <v/>
      </c>
      <c r="J218" s="4">
        <f>IFERROR(VLOOKUP(B218,OCU_TBL,2,0),"")</f>
        <v/>
      </c>
      <c r="K218" s="4">
        <f>IF(COUNT(F218,I218,J218)=0,NEUTRO,AVERAGE(F218,I218,J218))</f>
        <v/>
      </c>
      <c r="L218" s="4">
        <f>IF(COUNT(F218,I218,J218)=0,"PENDIENTE","")</f>
        <v/>
      </c>
      <c r="M218" t="inlineStr">
        <is>
          <t>probable (sin verificar)</t>
        </is>
      </c>
      <c r="N218" t="inlineStr">
        <is>
          <t>https://www.tuvsud.com/de-de/publikationen/tuev-report/maengelzwerge-und-fehlerriesen</t>
        </is>
      </c>
    </row>
    <row r="219">
      <c r="A219" s="2" t="inlineStr">
        <is>
          <t>Mitsubishi Space Star</t>
        </is>
      </c>
      <c r="B219" s="2" t="inlineStr">
        <is>
          <t>Mitsubishi</t>
        </is>
      </c>
      <c r="F219" s="4">
        <f>IF(C219="","",MAX(0,MIN(100,50+100*(E219-C219)/E219)))</f>
        <v/>
      </c>
      <c r="G219" s="2" t="inlineStr">
        <is>
          <t>Mitsubishi Space Star</t>
        </is>
      </c>
      <c r="H219" s="4">
        <f>IF(G219="","",IFERROR(VLOOKUP(G219,ADAC_TBL,2,0),""))</f>
        <v/>
      </c>
      <c r="I219" s="4">
        <f>IF(H219="","",MAX(0,MIN(100,50+100*(ADAC_REF-H219)/ADAC_REF)))</f>
        <v/>
      </c>
      <c r="J219" s="4">
        <f>IFERROR(VLOOKUP(B219,OCU_TBL,2,0),"")</f>
        <v/>
      </c>
      <c r="K219" s="4">
        <f>IF(COUNT(F219,I219,J219)=0,NEUTRO,AVERAGE(F219,I219,J219))</f>
        <v/>
      </c>
      <c r="L219" s="4">
        <f>IF(COUNT(F219,I219,J219)=0,"PENDIENTE","")</f>
        <v/>
      </c>
      <c r="M219" t="inlineStr">
        <is>
          <t>solo ADAC</t>
        </is>
      </c>
      <c r="N219" t="inlineStr"/>
    </row>
    <row r="220">
      <c r="A220" s="2" t="inlineStr">
        <is>
          <t>Toyota Aygo</t>
        </is>
      </c>
      <c r="B220" s="2" t="inlineStr">
        <is>
          <t>Toyota</t>
        </is>
      </c>
      <c r="F220" s="4">
        <f>IF(C220="","",MAX(0,MIN(100,50+100*(E220-C220)/E220)))</f>
        <v/>
      </c>
      <c r="G220" s="2" t="inlineStr">
        <is>
          <t>Toyota Aygo</t>
        </is>
      </c>
      <c r="H220" s="4">
        <f>IF(G220="","",IFERROR(VLOOKUP(G220,ADAC_TBL,2,0),""))</f>
        <v/>
      </c>
      <c r="I220" s="4">
        <f>IF(H220="","",MAX(0,MIN(100,50+100*(ADAC_REF-H220)/ADAC_REF)))</f>
        <v/>
      </c>
      <c r="J220" s="4">
        <f>IFERROR(VLOOKUP(B220,OCU_TBL,2,0),"")</f>
        <v/>
      </c>
      <c r="K220" s="4">
        <f>IF(COUNT(F220,I220,J220)=0,NEUTRO,AVERAGE(F220,I220,J220))</f>
        <v/>
      </c>
      <c r="L220" s="4">
        <f>IF(COUNT(F220,I220,J220)=0,"PENDIENTE","")</f>
        <v/>
      </c>
      <c r="M220" t="inlineStr">
        <is>
          <t>solo ADAC</t>
        </is>
      </c>
      <c r="N220" t="inlineStr"/>
    </row>
    <row r="221">
      <c r="A221" s="2" t="inlineStr">
        <is>
          <t>Fiat Panda</t>
        </is>
      </c>
      <c r="B221" s="2" t="inlineStr">
        <is>
          <t>Fiat</t>
        </is>
      </c>
      <c r="F221" s="4">
        <f>IF(C221="","",MAX(0,MIN(100,50+100*(E221-C221)/E221)))</f>
        <v/>
      </c>
      <c r="G221" s="2" t="inlineStr">
        <is>
          <t>Fiat Panda</t>
        </is>
      </c>
      <c r="H221" s="4">
        <f>IF(G221="","",IFERROR(VLOOKUP(G221,ADAC_TBL,2,0),""))</f>
        <v/>
      </c>
      <c r="I221" s="4">
        <f>IF(H221="","",MAX(0,MIN(100,50+100*(ADAC_REF-H221)/ADAC_REF)))</f>
        <v/>
      </c>
      <c r="J221" s="4">
        <f>IFERROR(VLOOKUP(B221,OCU_TBL,2,0),"")</f>
        <v/>
      </c>
      <c r="K221" s="4">
        <f>IF(COUNT(F221,I221,J221)=0,NEUTRO,AVERAGE(F221,I221,J221))</f>
        <v/>
      </c>
      <c r="L221" s="4">
        <f>IF(COUNT(F221,I221,J221)=0,"PENDIENTE","")</f>
        <v/>
      </c>
      <c r="M221" t="inlineStr">
        <is>
          <t>solo ADAC</t>
        </is>
      </c>
      <c r="N221" t="inlineStr"/>
    </row>
    <row r="222">
      <c r="A222" s="2" t="inlineStr">
        <is>
          <t>Dacia Logan</t>
        </is>
      </c>
      <c r="B222" s="2" t="inlineStr">
        <is>
          <t>Dacia</t>
        </is>
      </c>
      <c r="F222" s="4">
        <f>IF(C222="","",MAX(0,MIN(100,50+100*(E222-C222)/E222)))</f>
        <v/>
      </c>
      <c r="G222" s="2" t="inlineStr">
        <is>
          <t>Dacia Logan</t>
        </is>
      </c>
      <c r="H222" s="4">
        <f>IF(G222="","",IFERROR(VLOOKUP(G222,ADAC_TBL,2,0),""))</f>
        <v/>
      </c>
      <c r="I222" s="4">
        <f>IF(H222="","",MAX(0,MIN(100,50+100*(ADAC_REF-H222)/ADAC_REF)))</f>
        <v/>
      </c>
      <c r="J222" s="4">
        <f>IFERROR(VLOOKUP(B222,OCU_TBL,2,0),"")</f>
        <v/>
      </c>
      <c r="K222" s="4">
        <f>IF(COUNT(F222,I222,J222)=0,NEUTRO,AVERAGE(F222,I222,J222))</f>
        <v/>
      </c>
      <c r="L222" s="4">
        <f>IF(COUNT(F222,I222,J222)=0,"PENDIENTE","")</f>
        <v/>
      </c>
      <c r="M222" t="inlineStr">
        <is>
          <t>solo ADAC</t>
        </is>
      </c>
      <c r="N222" t="inlineStr"/>
    </row>
    <row r="223">
      <c r="A223" s="2" t="inlineStr">
        <is>
          <t>Toyota Yaris</t>
        </is>
      </c>
      <c r="B223" s="2" t="inlineStr">
        <is>
          <t>Toyota</t>
        </is>
      </c>
      <c r="F223" s="4">
        <f>IF(C223="","",MAX(0,MIN(100,50+100*(E223-C223)/E223)))</f>
        <v/>
      </c>
      <c r="G223" s="2" t="inlineStr">
        <is>
          <t>Toyota Yaris</t>
        </is>
      </c>
      <c r="H223" s="4">
        <f>IF(G223="","",IFERROR(VLOOKUP(G223,ADAC_TBL,2,0),""))</f>
        <v/>
      </c>
      <c r="I223" s="4">
        <f>IF(H223="","",MAX(0,MIN(100,50+100*(ADAC_REF-H223)/ADAC_REF)))</f>
        <v/>
      </c>
      <c r="J223" s="4">
        <f>IFERROR(VLOOKUP(B223,OCU_TBL,2,0),"")</f>
        <v/>
      </c>
      <c r="K223" s="4">
        <f>IF(COUNT(F223,I223,J223)=0,NEUTRO,AVERAGE(F223,I223,J223))</f>
        <v/>
      </c>
      <c r="L223" s="4">
        <f>IF(COUNT(F223,I223,J223)=0,"PENDIENTE","")</f>
        <v/>
      </c>
      <c r="M223" t="inlineStr">
        <is>
          <t>PENDIENTE</t>
        </is>
      </c>
      <c r="N223" t="inlineStr"/>
    </row>
    <row r="224">
      <c r="A224" s="2" t="inlineStr">
        <is>
          <t>Toyota Auris</t>
        </is>
      </c>
      <c r="B224" s="2" t="inlineStr">
        <is>
          <t>Toyota</t>
        </is>
      </c>
      <c r="F224" s="4">
        <f>IF(C224="","",MAX(0,MIN(100,50+100*(E224-C224)/E224)))</f>
        <v/>
      </c>
      <c r="G224" s="2" t="inlineStr">
        <is>
          <t>Toyota Auris</t>
        </is>
      </c>
      <c r="H224" s="4">
        <f>IF(G224="","",IFERROR(VLOOKUP(G224,ADAC_TBL,2,0),""))</f>
        <v/>
      </c>
      <c r="I224" s="4">
        <f>IF(H224="","",MAX(0,MIN(100,50+100*(ADAC_REF-H224)/ADAC_REF)))</f>
        <v/>
      </c>
      <c r="J224" s="4">
        <f>IFERROR(VLOOKUP(B224,OCU_TBL,2,0),"")</f>
        <v/>
      </c>
      <c r="K224" s="4">
        <f>IF(COUNT(F224,I224,J224)=0,NEUTRO,AVERAGE(F224,I224,J224))</f>
        <v/>
      </c>
      <c r="L224" s="4">
        <f>IF(COUNT(F224,I224,J224)=0,"PENDIENTE","")</f>
        <v/>
      </c>
      <c r="M224" t="inlineStr">
        <is>
          <t>PENDIENTE</t>
        </is>
      </c>
      <c r="N224" t="inlineStr"/>
    </row>
    <row r="225">
      <c r="A225" s="2" t="inlineStr">
        <is>
          <t>Toyota Corolla</t>
        </is>
      </c>
      <c r="B225" s="2" t="inlineStr">
        <is>
          <t>Toyota</t>
        </is>
      </c>
      <c r="F225" s="4">
        <f>IF(C225="","",MAX(0,MIN(100,50+100*(E225-C225)/E225)))</f>
        <v/>
      </c>
      <c r="H225" s="4">
        <f>IF(G225="","",IFERROR(VLOOKUP(G225,ADAC_TBL,2,0),""))</f>
        <v/>
      </c>
      <c r="I225" s="4">
        <f>IF(H225="","",MAX(0,MIN(100,50+100*(ADAC_REF-H225)/ADAC_REF)))</f>
        <v/>
      </c>
      <c r="J225" s="4">
        <f>IFERROR(VLOOKUP(B225,OCU_TBL,2,0),"")</f>
        <v/>
      </c>
      <c r="K225" s="4">
        <f>IF(COUNT(F225,I225,J225)=0,NEUTRO,AVERAGE(F225,I225,J225))</f>
        <v/>
      </c>
      <c r="L225" s="4">
        <f>IF(COUNT(F225,I225,J225)=0,"PENDIENTE","")</f>
        <v/>
      </c>
      <c r="M225" t="inlineStr">
        <is>
          <t>PENDIENTE</t>
        </is>
      </c>
      <c r="N225" t="inlineStr"/>
    </row>
    <row r="226">
      <c r="A226" s="2" t="inlineStr">
        <is>
          <t>Honda Jazz</t>
        </is>
      </c>
      <c r="B226" s="2" t="inlineStr">
        <is>
          <t>Honda</t>
        </is>
      </c>
      <c r="F226" s="4">
        <f>IF(C226="","",MAX(0,MIN(100,50+100*(E226-C226)/E226)))</f>
        <v/>
      </c>
      <c r="H226" s="4">
        <f>IF(G226="","",IFERROR(VLOOKUP(G226,ADAC_TBL,2,0),""))</f>
        <v/>
      </c>
      <c r="I226" s="4">
        <f>IF(H226="","",MAX(0,MIN(100,50+100*(ADAC_REF-H226)/ADAC_REF)))</f>
        <v/>
      </c>
      <c r="J226" s="4">
        <f>IFERROR(VLOOKUP(B226,OCU_TBL,2,0),"")</f>
        <v/>
      </c>
      <c r="K226" s="4">
        <f>IF(COUNT(F226,I226,J226)=0,NEUTRO,AVERAGE(F226,I226,J226))</f>
        <v/>
      </c>
      <c r="L226" s="4">
        <f>IF(COUNT(F226,I226,J226)=0,"PENDIENTE","")</f>
        <v/>
      </c>
      <c r="M226" t="inlineStr">
        <is>
          <t>PENDIENTE</t>
        </is>
      </c>
      <c r="N226" t="inlineStr"/>
    </row>
    <row r="227">
      <c r="A227" s="2" t="inlineStr">
        <is>
          <t>Honda Civic</t>
        </is>
      </c>
      <c r="B227" s="2" t="inlineStr">
        <is>
          <t>Honda</t>
        </is>
      </c>
      <c r="F227" s="4">
        <f>IF(C227="","",MAX(0,MIN(100,50+100*(E227-C227)/E227)))</f>
        <v/>
      </c>
      <c r="H227" s="4">
        <f>IF(G227="","",IFERROR(VLOOKUP(G227,ADAC_TBL,2,0),""))</f>
        <v/>
      </c>
      <c r="I227" s="4">
        <f>IF(H227="","",MAX(0,MIN(100,50+100*(ADAC_REF-H227)/ADAC_REF)))</f>
        <v/>
      </c>
      <c r="J227" s="4">
        <f>IFERROR(VLOOKUP(B227,OCU_TBL,2,0),"")</f>
        <v/>
      </c>
      <c r="K227" s="4">
        <f>IF(COUNT(F227,I227,J227)=0,NEUTRO,AVERAGE(F227,I227,J227))</f>
        <v/>
      </c>
      <c r="L227" s="4">
        <f>IF(COUNT(F227,I227,J227)=0,"PENDIENTE","")</f>
        <v/>
      </c>
      <c r="M227" t="inlineStr">
        <is>
          <t>PENDIENTE</t>
        </is>
      </c>
      <c r="N227" t="inlineStr"/>
    </row>
    <row r="228">
      <c r="A228" s="2" t="inlineStr">
        <is>
          <t>Mazda 2</t>
        </is>
      </c>
      <c r="B228" s="2" t="inlineStr">
        <is>
          <t>Mazda</t>
        </is>
      </c>
      <c r="F228" s="4">
        <f>IF(C228="","",MAX(0,MIN(100,50+100*(E228-C228)/E228)))</f>
        <v/>
      </c>
      <c r="G228" s="2" t="inlineStr">
        <is>
          <t>Mazda 2</t>
        </is>
      </c>
      <c r="H228" s="4">
        <f>IF(G228="","",IFERROR(VLOOKUP(G228,ADAC_TBL,2,0),""))</f>
        <v/>
      </c>
      <c r="I228" s="4">
        <f>IF(H228="","",MAX(0,MIN(100,50+100*(ADAC_REF-H228)/ADAC_REF)))</f>
        <v/>
      </c>
      <c r="J228" s="4">
        <f>IFERROR(VLOOKUP(B228,OCU_TBL,2,0),"")</f>
        <v/>
      </c>
      <c r="K228" s="4">
        <f>IF(COUNT(F228,I228,J228)=0,NEUTRO,AVERAGE(F228,I228,J228))</f>
        <v/>
      </c>
      <c r="L228" s="4">
        <f>IF(COUNT(F228,I228,J228)=0,"PENDIENTE","")</f>
        <v/>
      </c>
      <c r="M228" t="inlineStr">
        <is>
          <t>PENDIENTE (TÜV 2026 solo da franjas jóvenes: 2,9 % a 2-3 años; ADAC 2026 lo pone entre los mejores Kleinwagen 2016-2023)</t>
        </is>
      </c>
      <c r="N228" t="inlineStr"/>
    </row>
    <row r="229">
      <c r="A229" s="2" t="inlineStr">
        <is>
          <t>Kia Rio</t>
        </is>
      </c>
      <c r="B229" s="2" t="inlineStr">
        <is>
          <t>Kia</t>
        </is>
      </c>
      <c r="F229" s="4">
        <f>IF(C229="","",MAX(0,MIN(100,50+100*(E229-C229)/E229)))</f>
        <v/>
      </c>
      <c r="H229" s="4">
        <f>IF(G229="","",IFERROR(VLOOKUP(G229,ADAC_TBL,2,0),""))</f>
        <v/>
      </c>
      <c r="I229" s="4">
        <f>IF(H229="","",MAX(0,MIN(100,50+100*(ADAC_REF-H229)/ADAC_REF)))</f>
        <v/>
      </c>
      <c r="J229" s="4">
        <f>IFERROR(VLOOKUP(B229,OCU_TBL,2,0),"")</f>
        <v/>
      </c>
      <c r="K229" s="4">
        <f>IF(COUNT(F229,I229,J229)=0,NEUTRO,AVERAGE(F229,I229,J229))</f>
        <v/>
      </c>
      <c r="L229" s="4">
        <f>IF(COUNT(F229,I229,J229)=0,"PENDIENTE","")</f>
        <v/>
      </c>
      <c r="M229" t="inlineStr">
        <is>
          <t>PENDIENTE</t>
        </is>
      </c>
      <c r="N229" t="inlineStr"/>
    </row>
    <row r="230">
      <c r="A230" s="2" t="inlineStr">
        <is>
          <t>Kia Ceed</t>
        </is>
      </c>
      <c r="B230" s="2" t="inlineStr">
        <is>
          <t>Kia</t>
        </is>
      </c>
      <c r="F230" s="4">
        <f>IF(C230="","",MAX(0,MIN(100,50+100*(E230-C230)/E230)))</f>
        <v/>
      </c>
      <c r="G230" s="2" t="inlineStr">
        <is>
          <t>KIA Ceed/XCeed</t>
        </is>
      </c>
      <c r="H230" s="4">
        <f>IF(G230="","",IFERROR(VLOOKUP(G230,ADAC_TBL,2,0),""))</f>
        <v/>
      </c>
      <c r="I230" s="4">
        <f>IF(H230="","",MAX(0,MIN(100,50+100*(ADAC_REF-H230)/ADAC_REF)))</f>
        <v/>
      </c>
      <c r="J230" s="4">
        <f>IFERROR(VLOOKUP(B230,OCU_TBL,2,0),"")</f>
        <v/>
      </c>
      <c r="K230" s="4">
        <f>IF(COUNT(F230,I230,J230)=0,NEUTRO,AVERAGE(F230,I230,J230))</f>
        <v/>
      </c>
      <c r="L230" s="4">
        <f>IF(COUNT(F230,I230,J230)=0,"PENDIENTE","")</f>
        <v/>
      </c>
      <c r="M230" t="inlineStr">
        <is>
          <t>PENDIENTE</t>
        </is>
      </c>
      <c r="N230" t="inlineStr"/>
    </row>
    <row r="231">
      <c r="A231" s="2" t="inlineStr">
        <is>
          <t>Kia Picanto</t>
        </is>
      </c>
      <c r="B231" s="2" t="inlineStr">
        <is>
          <t>Kia</t>
        </is>
      </c>
      <c r="F231" s="4">
        <f>IF(C231="","",MAX(0,MIN(100,50+100*(E231-C231)/E231)))</f>
        <v/>
      </c>
      <c r="G231" s="2" t="inlineStr">
        <is>
          <t>Kia Picanto</t>
        </is>
      </c>
      <c r="H231" s="4">
        <f>IF(G231="","",IFERROR(VLOOKUP(G231,ADAC_TBL,2,0),""))</f>
        <v/>
      </c>
      <c r="I231" s="4">
        <f>IF(H231="","",MAX(0,MIN(100,50+100*(ADAC_REF-H231)/ADAC_REF)))</f>
        <v/>
      </c>
      <c r="J231" s="4">
        <f>IFERROR(VLOOKUP(B231,OCU_TBL,2,0),"")</f>
        <v/>
      </c>
      <c r="K231" s="4">
        <f>IF(COUNT(F231,I231,J231)=0,NEUTRO,AVERAGE(F231,I231,J231))</f>
        <v/>
      </c>
      <c r="L231" s="4">
        <f>IF(COUNT(F231,I231,J231)=0,"PENDIENTE","")</f>
        <v/>
      </c>
      <c r="M231" t="inlineStr">
        <is>
          <t>PENDIENTE</t>
        </is>
      </c>
      <c r="N231" t="inlineStr"/>
    </row>
    <row r="232">
      <c r="A232" s="2" t="inlineStr">
        <is>
          <t>Hyundai i10</t>
        </is>
      </c>
      <c r="B232" s="2" t="inlineStr">
        <is>
          <t>Hyundai</t>
        </is>
      </c>
      <c r="F232" s="4">
        <f>IF(C232="","",MAX(0,MIN(100,50+100*(E232-C232)/E232)))</f>
        <v/>
      </c>
      <c r="G232" s="2" t="inlineStr">
        <is>
          <t>Hyundai i10</t>
        </is>
      </c>
      <c r="H232" s="4">
        <f>IF(G232="","",IFERROR(VLOOKUP(G232,ADAC_TBL,2,0),""))</f>
        <v/>
      </c>
      <c r="I232" s="4">
        <f>IF(H232="","",MAX(0,MIN(100,50+100*(ADAC_REF-H232)/ADAC_REF)))</f>
        <v/>
      </c>
      <c r="J232" s="4">
        <f>IFERROR(VLOOKUP(B232,OCU_TBL,2,0),"")</f>
        <v/>
      </c>
      <c r="K232" s="4">
        <f>IF(COUNT(F232,I232,J232)=0,NEUTRO,AVERAGE(F232,I232,J232))</f>
        <v/>
      </c>
      <c r="L232" s="4">
        <f>IF(COUNT(F232,I232,J232)=0,"PENDIENTE","")</f>
        <v/>
      </c>
      <c r="M232" t="inlineStr">
        <is>
          <t>PENDIENTE</t>
        </is>
      </c>
      <c r="N232" t="inlineStr"/>
    </row>
    <row r="233">
      <c r="A233" s="2" t="inlineStr">
        <is>
          <t>Hyundai i20</t>
        </is>
      </c>
      <c r="B233" s="2" t="inlineStr">
        <is>
          <t>Hyundai</t>
        </is>
      </c>
      <c r="F233" s="4">
        <f>IF(C233="","",MAX(0,MIN(100,50+100*(E233-C233)/E233)))</f>
        <v/>
      </c>
      <c r="G233" s="2" t="inlineStr">
        <is>
          <t>Hyundai i20</t>
        </is>
      </c>
      <c r="H233" s="4">
        <f>IF(G233="","",IFERROR(VLOOKUP(G233,ADAC_TBL,2,0),""))</f>
        <v/>
      </c>
      <c r="I233" s="4">
        <f>IF(H233="","",MAX(0,MIN(100,50+100*(ADAC_REF-H233)/ADAC_REF)))</f>
        <v/>
      </c>
      <c r="J233" s="4">
        <f>IFERROR(VLOOKUP(B233,OCU_TBL,2,0),"")</f>
        <v/>
      </c>
      <c r="K233" s="4">
        <f>IF(COUNT(F233,I233,J233)=0,NEUTRO,AVERAGE(F233,I233,J233))</f>
        <v/>
      </c>
      <c r="L233" s="4">
        <f>IF(COUNT(F233,I233,J233)=0,"PENDIENTE","")</f>
        <v/>
      </c>
      <c r="M233" t="inlineStr">
        <is>
          <t>PENDIENTE</t>
        </is>
      </c>
      <c r="N233" t="inlineStr"/>
    </row>
    <row r="234">
      <c r="A234" s="2" t="inlineStr">
        <is>
          <t>Hyundai i30</t>
        </is>
      </c>
      <c r="B234" s="2" t="inlineStr">
        <is>
          <t>Hyundai</t>
        </is>
      </c>
      <c r="F234" s="4">
        <f>IF(C234="","",MAX(0,MIN(100,50+100*(E234-C234)/E234)))</f>
        <v/>
      </c>
      <c r="G234" s="2" t="inlineStr">
        <is>
          <t>Hyundai i30</t>
        </is>
      </c>
      <c r="H234" s="4">
        <f>IF(G234="","",IFERROR(VLOOKUP(G234,ADAC_TBL,2,0),""))</f>
        <v/>
      </c>
      <c r="I234" s="4">
        <f>IF(H234="","",MAX(0,MIN(100,50+100*(ADAC_REF-H234)/ADAC_REF)))</f>
        <v/>
      </c>
      <c r="J234" s="4">
        <f>IFERROR(VLOOKUP(B234,OCU_TBL,2,0),"")</f>
        <v/>
      </c>
      <c r="K234" s="4">
        <f>IF(COUNT(F234,I234,J234)=0,NEUTRO,AVERAGE(F234,I234,J234))</f>
        <v/>
      </c>
      <c r="L234" s="4">
        <f>IF(COUNT(F234,I234,J234)=0,"PENDIENTE","")</f>
        <v/>
      </c>
      <c r="M234" t="inlineStr">
        <is>
          <t>PENDIENTE</t>
        </is>
      </c>
      <c r="N234" t="inlineStr"/>
    </row>
    <row r="235">
      <c r="A235" s="2" t="inlineStr">
        <is>
          <t>Skoda Fabia</t>
        </is>
      </c>
      <c r="B235" s="2" t="inlineStr">
        <is>
          <t>Skoda</t>
        </is>
      </c>
      <c r="F235" s="4">
        <f>IF(C235="","",MAX(0,MIN(100,50+100*(E235-C235)/E235)))</f>
        <v/>
      </c>
      <c r="G235" s="2" t="inlineStr">
        <is>
          <t>Skoda Fabia</t>
        </is>
      </c>
      <c r="H235" s="4">
        <f>IF(G235="","",IFERROR(VLOOKUP(G235,ADAC_TBL,2,0),""))</f>
        <v/>
      </c>
      <c r="I235" s="4">
        <f>IF(H235="","",MAX(0,MIN(100,50+100*(ADAC_REF-H235)/ADAC_REF)))</f>
        <v/>
      </c>
      <c r="J235" s="4">
        <f>IFERROR(VLOOKUP(B235,OCU_TBL,2,0),"")</f>
        <v/>
      </c>
      <c r="K235" s="4">
        <f>IF(COUNT(F235,I235,J235)=0,NEUTRO,AVERAGE(F235,I235,J235))</f>
        <v/>
      </c>
      <c r="L235" s="4">
        <f>IF(COUNT(F235,I235,J235)=0,"PENDIENTE","")</f>
        <v/>
      </c>
      <c r="M235" t="inlineStr">
        <is>
          <t>PENDIENTE (ADAC 2026 entre los mejores Kleinwagen 2016-2023, sin cifra)</t>
        </is>
      </c>
      <c r="N235" t="inlineStr"/>
    </row>
    <row r="236">
      <c r="A236" s="2" t="inlineStr">
        <is>
          <t>Skoda Octavia</t>
        </is>
      </c>
      <c r="B236" s="2" t="inlineStr">
        <is>
          <t>Skoda</t>
        </is>
      </c>
      <c r="F236" s="4">
        <f>IF(C236="","",MAX(0,MIN(100,50+100*(E236-C236)/E236)))</f>
        <v/>
      </c>
      <c r="G236" s="2" t="inlineStr">
        <is>
          <t>Skoda Octavia</t>
        </is>
      </c>
      <c r="H236" s="4">
        <f>IF(G236="","",IFERROR(VLOOKUP(G236,ADAC_TBL,2,0),""))</f>
        <v/>
      </c>
      <c r="I236" s="4">
        <f>IF(H236="","",MAX(0,MIN(100,50+100*(ADAC_REF-H236)/ADAC_REF)))</f>
        <v/>
      </c>
      <c r="J236" s="4">
        <f>IFERROR(VLOOKUP(B236,OCU_TBL,2,0),"")</f>
        <v/>
      </c>
      <c r="K236" s="4">
        <f>IF(COUNT(F236,I236,J236)=0,NEUTRO,AVERAGE(F236,I236,J236))</f>
        <v/>
      </c>
      <c r="L236" s="4">
        <f>IF(COUNT(F236,I236,J236)=0,"PENDIENTE","")</f>
        <v/>
      </c>
      <c r="M236" t="inlineStr">
        <is>
          <t>PENDIENTE</t>
        </is>
      </c>
      <c r="N236" t="inlineStr"/>
    </row>
    <row r="237">
      <c r="A237" s="2" t="inlineStr">
        <is>
          <t>Seat Ibiza</t>
        </is>
      </c>
      <c r="B237" s="2" t="inlineStr">
        <is>
          <t>Seat</t>
        </is>
      </c>
      <c r="F237" s="4">
        <f>IF(C237="","",MAX(0,MIN(100,50+100*(E237-C237)/E237)))</f>
        <v/>
      </c>
      <c r="G237" s="2" t="inlineStr">
        <is>
          <t>SEAT Ibiza</t>
        </is>
      </c>
      <c r="H237" s="4">
        <f>IF(G237="","",IFERROR(VLOOKUP(G237,ADAC_TBL,2,0),""))</f>
        <v/>
      </c>
      <c r="I237" s="4">
        <f>IF(H237="","",MAX(0,MIN(100,50+100*(ADAC_REF-H237)/ADAC_REF)))</f>
        <v/>
      </c>
      <c r="J237" s="4">
        <f>IFERROR(VLOOKUP(B237,OCU_TBL,2,0),"")</f>
        <v/>
      </c>
      <c r="K237" s="4">
        <f>IF(COUNT(F237,I237,J237)=0,NEUTRO,AVERAGE(F237,I237,J237))</f>
        <v/>
      </c>
      <c r="L237" s="4">
        <f>IF(COUNT(F237,I237,J237)=0,"PENDIENTE","")</f>
        <v/>
      </c>
      <c r="M237" t="inlineStr">
        <is>
          <t>PENDIENTE (ADAC 2026 entre los mejores Kleinwagen 2016-2023, sin cifra)</t>
        </is>
      </c>
      <c r="N237" t="inlineStr"/>
    </row>
    <row r="238">
      <c r="A238" s="2" t="inlineStr">
        <is>
          <t>Seat León</t>
        </is>
      </c>
      <c r="B238" s="2" t="inlineStr">
        <is>
          <t>Seat</t>
        </is>
      </c>
      <c r="F238" s="4">
        <f>IF(C238="","",MAX(0,MIN(100,50+100*(E238-C238)/E238)))</f>
        <v/>
      </c>
      <c r="G238" s="2" t="inlineStr">
        <is>
          <t>SEAT Leon</t>
        </is>
      </c>
      <c r="H238" s="4">
        <f>IF(G238="","",IFERROR(VLOOKUP(G238,ADAC_TBL,2,0),""))</f>
        <v/>
      </c>
      <c r="I238" s="4">
        <f>IF(H238="","",MAX(0,MIN(100,50+100*(ADAC_REF-H238)/ADAC_REF)))</f>
        <v/>
      </c>
      <c r="J238" s="4">
        <f>IFERROR(VLOOKUP(B238,OCU_TBL,2,0),"")</f>
        <v/>
      </c>
      <c r="K238" s="4">
        <f>IF(COUNT(F238,I238,J238)=0,NEUTRO,AVERAGE(F238,I238,J238))</f>
        <v/>
      </c>
      <c r="L238" s="4">
        <f>IF(COUNT(F238,I238,J238)=0,"PENDIENTE","")</f>
        <v/>
      </c>
      <c r="M238" t="inlineStr">
        <is>
          <t>PENDIENTE</t>
        </is>
      </c>
      <c r="N238" t="inlineStr"/>
    </row>
    <row r="239">
      <c r="A239" s="2" t="inlineStr">
        <is>
          <t>Volkswagen Polo</t>
        </is>
      </c>
      <c r="B239" s="2" t="inlineStr">
        <is>
          <t>Volkswagen</t>
        </is>
      </c>
      <c r="F239" s="4">
        <f>IF(C239="","",MAX(0,MIN(100,50+100*(E239-C239)/E239)))</f>
        <v/>
      </c>
      <c r="G239" s="2" t="inlineStr">
        <is>
          <t>VW Polo</t>
        </is>
      </c>
      <c r="H239" s="4">
        <f>IF(G239="","",IFERROR(VLOOKUP(G239,ADAC_TBL,2,0),""))</f>
        <v/>
      </c>
      <c r="I239" s="4">
        <f>IF(H239="","",MAX(0,MIN(100,50+100*(ADAC_REF-H239)/ADAC_REF)))</f>
        <v/>
      </c>
      <c r="J239" s="4">
        <f>IFERROR(VLOOKUP(B239,OCU_TBL,2,0),"")</f>
        <v/>
      </c>
      <c r="K239" s="4">
        <f>IF(COUNT(F239,I239,J239)=0,NEUTRO,AVERAGE(F239,I239,J239))</f>
        <v/>
      </c>
      <c r="L239" s="4">
        <f>IF(COUNT(F239,I239,J239)=0,"PENDIENTE","")</f>
        <v/>
      </c>
      <c r="M239" t="inlineStr">
        <is>
          <t>PENDIENTE (ADAC 2026 entre los mejores Kleinwagen 2016-2023, sin cifra)</t>
        </is>
      </c>
      <c r="N239" t="inlineStr"/>
    </row>
    <row r="240">
      <c r="A240" s="2" t="inlineStr">
        <is>
          <t>Opel Corsa</t>
        </is>
      </c>
      <c r="B240" s="2" t="inlineStr">
        <is>
          <t>Opel</t>
        </is>
      </c>
      <c r="F240" s="4">
        <f>IF(C240="","",MAX(0,MIN(100,50+100*(E240-C240)/E240)))</f>
        <v/>
      </c>
      <c r="G240" s="2" t="inlineStr">
        <is>
          <t>Opel Corsa</t>
        </is>
      </c>
      <c r="H240" s="4">
        <f>IF(G240="","",IFERROR(VLOOKUP(G240,ADAC_TBL,2,0),""))</f>
        <v/>
      </c>
      <c r="I240" s="4">
        <f>IF(H240="","",MAX(0,MIN(100,50+100*(ADAC_REF-H240)/ADAC_REF)))</f>
        <v/>
      </c>
      <c r="J240" s="4">
        <f>IFERROR(VLOOKUP(B240,OCU_TBL,2,0),"")</f>
        <v/>
      </c>
      <c r="K240" s="4">
        <f>IF(COUNT(F240,I240,J240)=0,NEUTRO,AVERAGE(F240,I240,J240))</f>
        <v/>
      </c>
      <c r="L240" s="4">
        <f>IF(COUNT(F240,I240,J240)=0,"PENDIENTE","")</f>
        <v/>
      </c>
      <c r="M240" t="inlineStr">
        <is>
          <t>PENDIENTE</t>
        </is>
      </c>
      <c r="N240" t="inlineStr"/>
    </row>
    <row r="241">
      <c r="A241" s="2" t="inlineStr">
        <is>
          <t>Opel Astra</t>
        </is>
      </c>
      <c r="B241" s="2" t="inlineStr">
        <is>
          <t>Opel</t>
        </is>
      </c>
      <c r="F241" s="4">
        <f>IF(C241="","",MAX(0,MIN(100,50+100*(E241-C241)/E241)))</f>
        <v/>
      </c>
      <c r="G241" s="2" t="inlineStr">
        <is>
          <t>Opel Astra</t>
        </is>
      </c>
      <c r="H241" s="4">
        <f>IF(G241="","",IFERROR(VLOOKUP(G241,ADAC_TBL,2,0),""))</f>
        <v/>
      </c>
      <c r="I241" s="4">
        <f>IF(H241="","",MAX(0,MIN(100,50+100*(ADAC_REF-H241)/ADAC_REF)))</f>
        <v/>
      </c>
      <c r="J241" s="4">
        <f>IFERROR(VLOOKUP(B241,OCU_TBL,2,0),"")</f>
        <v/>
      </c>
      <c r="K241" s="4">
        <f>IF(COUNT(F241,I241,J241)=0,NEUTRO,AVERAGE(F241,I241,J241))</f>
        <v/>
      </c>
      <c r="L241" s="4">
        <f>IF(COUNT(F241,I241,J241)=0,"PENDIENTE","")</f>
        <v/>
      </c>
      <c r="M241" t="inlineStr">
        <is>
          <t>PENDIENTE</t>
        </is>
      </c>
      <c r="N241" t="inlineStr"/>
    </row>
    <row r="242">
      <c r="A242" s="2" t="inlineStr">
        <is>
          <t>Peugeot 208</t>
        </is>
      </c>
      <c r="B242" s="2" t="inlineStr">
        <is>
          <t>Peugeot</t>
        </is>
      </c>
      <c r="F242" s="4">
        <f>IF(C242="","",MAX(0,MIN(100,50+100*(E242-C242)/E242)))</f>
        <v/>
      </c>
      <c r="G242" s="2" t="inlineStr">
        <is>
          <t>Peugeot 208</t>
        </is>
      </c>
      <c r="H242" s="4">
        <f>IF(G242="","",IFERROR(VLOOKUP(G242,ADAC_TBL,2,0),""))</f>
        <v/>
      </c>
      <c r="I242" s="4">
        <f>IF(H242="","",MAX(0,MIN(100,50+100*(ADAC_REF-H242)/ADAC_REF)))</f>
        <v/>
      </c>
      <c r="J242" s="4">
        <f>IFERROR(VLOOKUP(B242,OCU_TBL,2,0),"")</f>
        <v/>
      </c>
      <c r="K242" s="4">
        <f>IF(COUNT(F242,I242,J242)=0,NEUTRO,AVERAGE(F242,I242,J242))</f>
        <v/>
      </c>
      <c r="L242" s="4">
        <f>IF(COUNT(F242,I242,J242)=0,"PENDIENTE","")</f>
        <v/>
      </c>
      <c r="M242" t="inlineStr">
        <is>
          <t>PENDIENTE</t>
        </is>
      </c>
      <c r="N242" t="inlineStr"/>
    </row>
    <row r="243">
      <c r="A243" s="2" t="inlineStr">
        <is>
          <t>Peugeot 308</t>
        </is>
      </c>
      <c r="B243" s="2" t="inlineStr">
        <is>
          <t>Peugeot</t>
        </is>
      </c>
      <c r="F243" s="4">
        <f>IF(C243="","",MAX(0,MIN(100,50+100*(E243-C243)/E243)))</f>
        <v/>
      </c>
      <c r="G243" s="2" t="inlineStr">
        <is>
          <t>Peugeot 308</t>
        </is>
      </c>
      <c r="H243" s="4">
        <f>IF(G243="","",IFERROR(VLOOKUP(G243,ADAC_TBL,2,0),""))</f>
        <v/>
      </c>
      <c r="I243" s="4">
        <f>IF(H243="","",MAX(0,MIN(100,50+100*(ADAC_REF-H243)/ADAC_REF)))</f>
        <v/>
      </c>
      <c r="J243" s="4">
        <f>IFERROR(VLOOKUP(B243,OCU_TBL,2,0),"")</f>
        <v/>
      </c>
      <c r="K243" s="4">
        <f>IF(COUNT(F243,I243,J243)=0,NEUTRO,AVERAGE(F243,I243,J243))</f>
        <v/>
      </c>
      <c r="L243" s="4">
        <f>IF(COUNT(F243,I243,J243)=0,"PENDIENTE","")</f>
        <v/>
      </c>
      <c r="M243" t="inlineStr">
        <is>
          <t>PENDIENTE</t>
        </is>
      </c>
      <c r="N243" t="inlineStr"/>
    </row>
    <row r="244">
      <c r="A244" s="2" t="inlineStr">
        <is>
          <t>Citroën C3</t>
        </is>
      </c>
      <c r="B244" s="2" t="inlineStr">
        <is>
          <t>Citroën</t>
        </is>
      </c>
      <c r="F244" s="4">
        <f>IF(C244="","",MAX(0,MIN(100,50+100*(E244-C244)/E244)))</f>
        <v/>
      </c>
      <c r="G244" s="2" t="inlineStr">
        <is>
          <t>Citroen C3/DS 3</t>
        </is>
      </c>
      <c r="H244" s="4">
        <f>IF(G244="","",IFERROR(VLOOKUP(G244,ADAC_TBL,2,0),""))</f>
        <v/>
      </c>
      <c r="I244" s="4">
        <f>IF(H244="","",MAX(0,MIN(100,50+100*(ADAC_REF-H244)/ADAC_REF)))</f>
        <v/>
      </c>
      <c r="J244" s="4">
        <f>IFERROR(VLOOKUP(B244,OCU_TBL,2,0),"")</f>
        <v/>
      </c>
      <c r="K244" s="4">
        <f>IF(COUNT(F244,I244,J244)=0,NEUTRO,AVERAGE(F244,I244,J244))</f>
        <v/>
      </c>
      <c r="L244" s="4">
        <f>IF(COUNT(F244,I244,J244)=0,"PENDIENTE","")</f>
        <v/>
      </c>
      <c r="M244" t="inlineStr">
        <is>
          <t>PENDIENTE</t>
        </is>
      </c>
      <c r="N244" t="inlineStr"/>
    </row>
    <row r="245">
      <c r="A245" s="2" t="inlineStr">
        <is>
          <t>Citroën C4</t>
        </is>
      </c>
      <c r="B245" s="2" t="inlineStr">
        <is>
          <t>Citroën</t>
        </is>
      </c>
      <c r="F245" s="4">
        <f>IF(C245="","",MAX(0,MIN(100,50+100*(E245-C245)/E245)))</f>
        <v/>
      </c>
      <c r="H245" s="4">
        <f>IF(G245="","",IFERROR(VLOOKUP(G245,ADAC_TBL,2,0),""))</f>
        <v/>
      </c>
      <c r="I245" s="4">
        <f>IF(H245="","",MAX(0,MIN(100,50+100*(ADAC_REF-H245)/ADAC_REF)))</f>
        <v/>
      </c>
      <c r="J245" s="4">
        <f>IFERROR(VLOOKUP(B245,OCU_TBL,2,0),"")</f>
        <v/>
      </c>
      <c r="K245" s="4">
        <f>IF(COUNT(F245,I245,J245)=0,NEUTRO,AVERAGE(F245,I245,J245))</f>
        <v/>
      </c>
      <c r="L245" s="4">
        <f>IF(COUNT(F245,I245,J245)=0,"PENDIENTE","")</f>
        <v/>
      </c>
      <c r="M245" t="inlineStr">
        <is>
          <t>PENDIENTE</t>
        </is>
      </c>
      <c r="N245" t="inlineStr"/>
    </row>
    <row r="246">
      <c r="A246" s="2" t="inlineStr">
        <is>
          <t>Ford Fiesta</t>
        </is>
      </c>
      <c r="B246" s="2" t="inlineStr">
        <is>
          <t>Ford</t>
        </is>
      </c>
      <c r="F246" s="4">
        <f>IF(C246="","",MAX(0,MIN(100,50+100*(E246-C246)/E246)))</f>
        <v/>
      </c>
      <c r="G246" s="2" t="inlineStr">
        <is>
          <t>Ford Fiesta (Courier)</t>
        </is>
      </c>
      <c r="H246" s="4">
        <f>IF(G246="","",IFERROR(VLOOKUP(G246,ADAC_TBL,2,0),""))</f>
        <v/>
      </c>
      <c r="I246" s="4">
        <f>IF(H246="","",MAX(0,MIN(100,50+100*(ADAC_REF-H246)/ADAC_REF)))</f>
        <v/>
      </c>
      <c r="J246" s="4">
        <f>IFERROR(VLOOKUP(B246,OCU_TBL,2,0),"")</f>
        <v/>
      </c>
      <c r="K246" s="4">
        <f>IF(COUNT(F246,I246,J246)=0,NEUTRO,AVERAGE(F246,I246,J246))</f>
        <v/>
      </c>
      <c r="L246" s="4">
        <f>IF(COUNT(F246,I246,J246)=0,"PENDIENTE","")</f>
        <v/>
      </c>
      <c r="M246" t="inlineStr">
        <is>
          <t>PENDIENTE</t>
        </is>
      </c>
      <c r="N246" t="inlineStr"/>
    </row>
    <row r="247">
      <c r="A247" s="2" t="inlineStr">
        <is>
          <t>Fiat Punto</t>
        </is>
      </c>
      <c r="B247" s="2" t="inlineStr">
        <is>
          <t>Fiat</t>
        </is>
      </c>
      <c r="F247" s="4">
        <f>IF(C247="","",MAX(0,MIN(100,50+100*(E247-C247)/E247)))</f>
        <v/>
      </c>
      <c r="H247" s="4">
        <f>IF(G247="","",IFERROR(VLOOKUP(G247,ADAC_TBL,2,0),""))</f>
        <v/>
      </c>
      <c r="I247" s="4">
        <f>IF(H247="","",MAX(0,MIN(100,50+100*(ADAC_REF-H247)/ADAC_REF)))</f>
        <v/>
      </c>
      <c r="J247" s="4">
        <f>IFERROR(VLOOKUP(B247,OCU_TBL,2,0),"")</f>
        <v/>
      </c>
      <c r="K247" s="4">
        <f>IF(COUNT(F247,I247,J247)=0,NEUTRO,AVERAGE(F247,I247,J247))</f>
        <v/>
      </c>
      <c r="L247" s="4">
        <f>IF(COUNT(F247,I247,J247)=0,"PENDIENTE","")</f>
        <v/>
      </c>
      <c r="M247" t="inlineStr">
        <is>
          <t>PENDIENTE</t>
        </is>
      </c>
      <c r="N247" t="inlineStr"/>
    </row>
    <row r="248">
      <c r="A248" s="2" t="inlineStr">
        <is>
          <t>Fiat 500</t>
        </is>
      </c>
      <c r="B248" s="2" t="inlineStr">
        <is>
          <t>Fiat</t>
        </is>
      </c>
      <c r="F248" s="4">
        <f>IF(C248="","",MAX(0,MIN(100,50+100*(E248-C248)/E248)))</f>
        <v/>
      </c>
      <c r="G248" s="2" t="inlineStr">
        <is>
          <t>Fiat 500</t>
        </is>
      </c>
      <c r="H248" s="4">
        <f>IF(G248="","",IFERROR(VLOOKUP(G248,ADAC_TBL,2,0),""))</f>
        <v/>
      </c>
      <c r="I248" s="4">
        <f>IF(H248="","",MAX(0,MIN(100,50+100*(ADAC_REF-H248)/ADAC_REF)))</f>
        <v/>
      </c>
      <c r="J248" s="4">
        <f>IFERROR(VLOOKUP(B248,OCU_TBL,2,0),"")</f>
        <v/>
      </c>
      <c r="K248" s="4">
        <f>IF(COUNT(F248,I248,J248)=0,NEUTRO,AVERAGE(F248,I248,J248))</f>
        <v/>
      </c>
      <c r="L248" s="4">
        <f>IF(COUNT(F248,I248,J248)=0,"PENDIENTE","")</f>
        <v/>
      </c>
      <c r="M248" t="inlineStr">
        <is>
          <t>PENDIENTE</t>
        </is>
      </c>
      <c r="N248" t="inlineStr"/>
    </row>
    <row r="249">
      <c r="A249" s="2" t="inlineStr">
        <is>
          <t>Nissan Micra</t>
        </is>
      </c>
      <c r="B249" s="2" t="inlineStr">
        <is>
          <t>Nissan</t>
        </is>
      </c>
      <c r="F249" s="4">
        <f>IF(C249="","",MAX(0,MIN(100,50+100*(E249-C249)/E249)))</f>
        <v/>
      </c>
      <c r="G249" s="2" t="inlineStr">
        <is>
          <t>Nissan Micra</t>
        </is>
      </c>
      <c r="H249" s="4">
        <f>IF(G249="","",IFERROR(VLOOKUP(G249,ADAC_TBL,2,0),""))</f>
        <v/>
      </c>
      <c r="I249" s="4">
        <f>IF(H249="","",MAX(0,MIN(100,50+100*(ADAC_REF-H249)/ADAC_REF)))</f>
        <v/>
      </c>
      <c r="J249" s="4">
        <f>IFERROR(VLOOKUP(B249,OCU_TBL,2,0),"")</f>
        <v/>
      </c>
      <c r="K249" s="4">
        <f>IF(COUNT(F249,I249,J249)=0,NEUTRO,AVERAGE(F249,I249,J249))</f>
        <v/>
      </c>
      <c r="L249" s="4">
        <f>IF(COUNT(F249,I249,J249)=0,"PENDIENTE","")</f>
        <v/>
      </c>
      <c r="M249" t="inlineStr">
        <is>
          <t>PENDIENTE</t>
        </is>
      </c>
      <c r="N249" t="inlineStr"/>
    </row>
    <row r="250">
      <c r="A250" s="2" t="inlineStr">
        <is>
          <t>Suzuki Swift</t>
        </is>
      </c>
      <c r="B250" s="2" t="inlineStr">
        <is>
          <t>Suzuki</t>
        </is>
      </c>
      <c r="F250" s="4">
        <f>IF(C250="","",MAX(0,MIN(100,50+100*(E250-C250)/E250)))</f>
        <v/>
      </c>
      <c r="G250" s="2" t="inlineStr">
        <is>
          <t>Suzuki Swift</t>
        </is>
      </c>
      <c r="H250" s="4">
        <f>IF(G250="","",IFERROR(VLOOKUP(G250,ADAC_TBL,2,0),""))</f>
        <v/>
      </c>
      <c r="I250" s="4">
        <f>IF(H250="","",MAX(0,MIN(100,50+100*(ADAC_REF-H250)/ADAC_REF)))</f>
        <v/>
      </c>
      <c r="J250" s="4">
        <f>IFERROR(VLOOKUP(B250,OCU_TBL,2,0),"")</f>
        <v/>
      </c>
      <c r="K250" s="4">
        <f>IF(COUNT(F250,I250,J250)=0,NEUTRO,AVERAGE(F250,I250,J250))</f>
        <v/>
      </c>
      <c r="L250" s="4">
        <f>IF(COUNT(F250,I250,J250)=0,"PENDIENTE","")</f>
        <v/>
      </c>
      <c r="M250" t="inlineStr">
        <is>
          <t>PENDIENTE (ADAC 2026 entre los mejores Kleinwagen 2016-2023, sin cifra)</t>
        </is>
      </c>
      <c r="N250" t="inlineStr"/>
    </row>
    <row r="251">
      <c r="A251" s="2" t="inlineStr">
        <is>
          <t>Mitsubishi Colt</t>
        </is>
      </c>
      <c r="B251" s="2" t="inlineStr">
        <is>
          <t>Mitsubishi</t>
        </is>
      </c>
      <c r="F251" s="4">
        <f>IF(C251="","",MAX(0,MIN(100,50+100*(E251-C251)/E251)))</f>
        <v/>
      </c>
      <c r="H251" s="4">
        <f>IF(G251="","",IFERROR(VLOOKUP(G251,ADAC_TBL,2,0),""))</f>
        <v/>
      </c>
      <c r="I251" s="4">
        <f>IF(H251="","",MAX(0,MIN(100,50+100*(ADAC_REF-H251)/ADAC_REF)))</f>
        <v/>
      </c>
      <c r="J251" s="4">
        <f>IFERROR(VLOOKUP(B251,OCU_TBL,2,0),"")</f>
        <v/>
      </c>
      <c r="K251" s="4">
        <f>IF(COUNT(F251,I251,J251)=0,NEUTRO,AVERAGE(F251,I251,J251))</f>
        <v/>
      </c>
      <c r="L251" s="4">
        <f>IF(COUNT(F251,I251,J251)=0,"PENDIENTE","")</f>
        <v/>
      </c>
      <c r="M251" t="inlineStr">
        <is>
          <t>PENDIENTE</t>
        </is>
      </c>
      <c r="N251" t="inlineStr"/>
    </row>
    <row r="253">
      <c r="A253" s="6" t="inlineStr">
        <is>
          <t>8. Ajustes por motor con problemas conocidos (el problema tiene fuente; la magnitud es criterio)</t>
        </is>
      </c>
    </row>
    <row r="254">
      <c r="A254" s="7" t="inlineStr">
        <is>
          <t>Marca</t>
        </is>
      </c>
      <c r="B254" s="7" t="inlineStr">
        <is>
          <t>Motor</t>
        </is>
      </c>
      <c r="C254" s="7" t="inlineStr">
        <is>
          <t>Año desde</t>
        </is>
      </c>
      <c r="D254" s="7" t="inlineStr">
        <is>
          <t>Año hasta</t>
        </is>
      </c>
      <c r="E254" s="7" t="inlineStr">
        <is>
          <t>Ajuste (puntos)</t>
        </is>
      </c>
      <c r="F254" s="7" t="inlineStr">
        <is>
          <t>Problema</t>
        </is>
      </c>
      <c r="G254" s="7" t="inlineStr">
        <is>
          <t>Qué revisar</t>
        </is>
      </c>
      <c r="H254" s="7" t="inlineStr">
        <is>
          <t>Estado</t>
        </is>
      </c>
      <c r="I254" s="7" t="inlineStr">
        <is>
          <t>Fuente</t>
        </is>
      </c>
    </row>
    <row r="255">
      <c r="A255" s="2" t="inlineStr">
        <is>
          <t>(todas)</t>
        </is>
      </c>
      <c r="B255" s="2" t="inlineStr">
        <is>
          <t>1.2 PureTech</t>
        </is>
      </c>
      <c r="C255" s="2" t="n">
        <v>2012</v>
      </c>
      <c r="D255" s="2" t="n">
        <v>2022</v>
      </c>
      <c r="E255" s="2" t="n">
        <v>-25</v>
      </c>
      <c r="F255" t="inlineStr">
        <is>
          <t>Correa de distribución húmeda que se degrada y consumo de aceite; Stellantis amplió garantía a 10 años/175.000 km con condiciones</t>
        </is>
      </c>
      <c r="G255" t="inlineStr">
        <is>
          <t>Factura de cambio de correa y del tamiz/bomba de aceite; nivel de aceite; testigo de presión; si entra en la ampliación de garantía Stellantis</t>
        </is>
      </c>
      <c r="H255" t="inlineStr">
        <is>
          <t>probable</t>
        </is>
      </c>
      <c r="I255" t="inlineStr">
        <is>
          <t>https://www.km77.com/revista/engendro-mecanico/stellantis-compensacion-afectados-puretech/ ; https://www.motorpasion.com/industria/stellantis-fin-responde-al-problema-motores-puretech-10-anos-garantia-retroactiva</t>
        </is>
      </c>
    </row>
    <row r="256">
      <c r="A256" s="2" t="inlineStr">
        <is>
          <t>(todas)</t>
        </is>
      </c>
      <c r="B256" s="2" t="inlineStr">
        <is>
          <t>1.0 PureTech</t>
        </is>
      </c>
      <c r="C256" s="2" t="n">
        <v>2012</v>
      </c>
      <c r="D256" s="2" t="n">
        <v>2022</v>
      </c>
      <c r="E256" s="2" t="n">
        <v>-25</v>
      </c>
      <c r="F256" t="inlineStr">
        <is>
          <t>Igual que 1.2 PureTech (familia EB)</t>
        </is>
      </c>
      <c r="G256" t="inlineStr">
        <is>
          <t>Igual que 1.2 PureTech</t>
        </is>
      </c>
      <c r="H256" t="inlineStr">
        <is>
          <t>probable</t>
        </is>
      </c>
      <c r="I256" t="inlineStr">
        <is>
          <t>https://www.km77.com/revista/engendro-mecanico/stellantis-compensacion-afectados-puretech/</t>
        </is>
      </c>
    </row>
    <row r="257">
      <c r="A257" s="2" t="inlineStr">
        <is>
          <t>(todas)</t>
        </is>
      </c>
      <c r="B257" s="2" t="inlineStr">
        <is>
          <t>1.2 VTi</t>
        </is>
      </c>
      <c r="C257" s="2" t="n">
        <v>2012</v>
      </c>
      <c r="D257" s="2" t="n">
        <v>2022</v>
      </c>
      <c r="E257" s="2" t="n">
        <v>-25</v>
      </c>
      <c r="F257" t="inlineStr">
        <is>
          <t>1.2 VTi atmosférico = PureTech EB2 (correa húmeda)</t>
        </is>
      </c>
      <c r="G257" t="inlineStr">
        <is>
          <t>Igual que 1.2 PureTech</t>
        </is>
      </c>
      <c r="H257" t="inlineStr">
        <is>
          <t>probable</t>
        </is>
      </c>
      <c r="I257" t="inlineStr">
        <is>
          <t>https://www.km77.com/revista/engendro-mecanico/stellantis-compensacion-afectados-puretech/</t>
        </is>
      </c>
    </row>
    <row r="258">
      <c r="A258" s="2" t="inlineStr">
        <is>
          <t>(todas)</t>
        </is>
      </c>
      <c r="B258" s="2" t="inlineStr">
        <is>
          <t>1.2 TSI</t>
        </is>
      </c>
      <c r="C258" s="2" t="n">
        <v>2008</v>
      </c>
      <c r="D258" s="2" t="n">
        <v>2012</v>
      </c>
      <c r="E258" s="2" t="n">
        <v>-20</v>
      </c>
      <c r="F258" t="inlineStr">
        <is>
          <t>EA111: cadena de distribución que se alarga y tensor que falla; puede saltar y romper el motor</t>
        </is>
      </c>
      <c r="G258" t="inlineStr">
        <is>
          <t>Ruido metálico en arranque en frío (primeros segundos); factura de cambio de cadena y tensor</t>
        </is>
      </c>
      <c r="H258" t="inlineStr">
        <is>
          <t>probable</t>
        </is>
      </c>
      <c r="I258" t="inlineStr">
        <is>
          <t>https://www.autobild.de/artikel/vw-steuerketten-kulanz-2892135.html</t>
        </is>
      </c>
    </row>
    <row r="259">
      <c r="A259" s="2" t="inlineStr">
        <is>
          <t>(todas)</t>
        </is>
      </c>
      <c r="B259" s="2" t="inlineStr">
        <is>
          <t>1.4 TSI</t>
        </is>
      </c>
      <c r="C259" s="2" t="n">
        <v>2008</v>
      </c>
      <c r="D259" s="2" t="n">
        <v>2012</v>
      </c>
      <c r="E259" s="2" t="n">
        <v>-20</v>
      </c>
      <c r="F259" t="inlineStr">
        <is>
          <t>EA111: cadena de distribución que se alarga y tensor que falla</t>
        </is>
      </c>
      <c r="G259" t="inlineStr">
        <is>
          <t>Ruido de cadena en frío; factura de cadena/tensor; consumo de aceite</t>
        </is>
      </c>
      <c r="H259" t="inlineStr">
        <is>
          <t>probable</t>
        </is>
      </c>
      <c r="I259" t="inlineStr">
        <is>
          <t>https://www.autobild.de/artikel/vw-steuerketten-kulanz-2892135.html</t>
        </is>
      </c>
    </row>
    <row r="260">
      <c r="A260" s="2" t="inlineStr">
        <is>
          <t>(todas)</t>
        </is>
      </c>
      <c r="B260" s="2" t="inlineStr">
        <is>
          <t>1.0 EcoBoost</t>
        </is>
      </c>
      <c r="C260" s="2" t="n">
        <v>2012</v>
      </c>
      <c r="D260" s="2" t="n">
        <v>2018</v>
      </c>
      <c r="E260" s="2" t="n">
        <v>-20</v>
      </c>
      <c r="F260" t="inlineStr">
        <is>
          <t>Correa bañada en aceite que se degrada; fallos de refrigeración y sobrecalentamiento (≈2012-2014)</t>
        </is>
      </c>
      <c r="G260" t="inlineStr">
        <is>
          <t>Fugas y nivel de refrigerante, manguitos, historial de sobrecalentamiento, factura de correa</t>
        </is>
      </c>
      <c r="H260" t="inlineStr">
        <is>
          <t>probable</t>
        </is>
      </c>
      <c r="I260" t="inlineStr">
        <is>
          <t>https://www.motor.es/noticias/ford-10-ecoboost-tricilindricos-correas-banadas-2026115650.html ; https://www.whatcar.com/news/ford-ecoboost-engine-recall-%E2%80%93-what-you-need-to-know/n17972</t>
        </is>
      </c>
    </row>
    <row r="261">
      <c r="A261" s="2" t="inlineStr">
        <is>
          <t>(todas)</t>
        </is>
      </c>
      <c r="B261" s="2" t="inlineStr">
        <is>
          <t>1.2 TCe</t>
        </is>
      </c>
      <c r="C261" s="2" t="n">
        <v>2012</v>
      </c>
      <c r="D261" s="2" t="n">
        <v>2016</v>
      </c>
      <c r="E261" s="2" t="n">
        <v>-20</v>
      </c>
      <c r="F261" t="inlineStr">
        <is>
          <t>H5Ft: consumo excesivo de aceite (fabricados 10/2012-07/2016); recalibración desde 06/2015</t>
        </is>
      </c>
      <c r="G261" t="inlineStr">
        <is>
          <t>Consumo de aceite, humo azul, si se le hizo la actualización de software/campaña</t>
        </is>
      </c>
      <c r="H261" t="inlineStr">
        <is>
          <t>probable</t>
        </is>
      </c>
      <c r="I261" t="inlineStr">
        <is>
          <t>https://questions.assemblee-nationale.fr/dyn/15/questions/QANR5L15QOSD963.pdf</t>
        </is>
      </c>
    </row>
    <row r="262">
      <c r="A262" s="2" t="inlineStr">
        <is>
          <t>Opel</t>
        </is>
      </c>
      <c r="B262" s="2" t="inlineStr">
        <is>
          <t>1.4 Turbo</t>
        </is>
      </c>
      <c r="C262" s="2" t="n">
        <v>2010</v>
      </c>
      <c r="D262" s="2" t="n">
        <v>2018</v>
      </c>
      <c r="E262" s="2" t="n">
        <v>-10</v>
      </c>
      <c r="F262" t="inlineStr">
        <is>
          <t>A14NET: pistones/segmentos (consumo de aceite, preencendido), ventilación del cárter, cadena. Fuentes secundarias</t>
        </is>
      </c>
      <c r="G262" t="inlineStr">
        <is>
          <t>Consumo de aceite, tirones, ruido de cadena</t>
        </is>
      </c>
      <c r="H262" t="inlineStr">
        <is>
          <t>probable (fuente secundaria)</t>
        </is>
      </c>
      <c r="I262" t="inlineStr">
        <is>
          <t>https://carwiki.de/opel-a14net-motor</t>
        </is>
      </c>
    </row>
    <row r="263">
      <c r="A263" s="2" t="inlineStr">
        <is>
          <t>(todas)</t>
        </is>
      </c>
      <c r="B263" s="2" t="inlineStr">
        <is>
          <t>1.6 THP</t>
        </is>
      </c>
      <c r="C263" s="2" t="n">
        <v>2007</v>
      </c>
      <c r="D263" s="2" t="n">
        <v>2018</v>
      </c>
      <c r="E263" s="2" t="n">
        <v>-10</v>
      </c>
      <c r="F263" t="inlineStr">
        <is>
          <t>Familia Prince EP6 turbo (PSA/BMW): estiramiento de la cadena de distribución, consumo de aceite y carbonilla en admisión. Solo fuentes secundarias</t>
        </is>
      </c>
      <c r="G263" t="inlineStr">
        <is>
          <t>Traqueteo de cadena en arranque en frío, consumo de aceite, facturas de cadena/tensor</t>
        </is>
      </c>
      <c r="H263" t="inlineStr">
        <is>
          <t>probable (fuente secundaria)</t>
        </is>
      </c>
      <c r="I263" t="inlineStr">
        <is>
          <t>https://autoscore.pro/engine/1.6-thp-ep6</t>
        </is>
      </c>
    </row>
    <row r="264">
      <c r="A264" s="2" t="inlineStr">
        <is>
          <t>(todas)</t>
        </is>
      </c>
      <c r="B264" s="2" t="inlineStr">
        <is>
          <t>1.6 VTi</t>
        </is>
      </c>
      <c r="C264" s="2" t="n">
        <v>2006</v>
      </c>
      <c r="D264" s="2" t="n">
        <v>2015</v>
      </c>
      <c r="E264" s="2" t="n">
        <v>0</v>
      </c>
      <c r="F264" t="inlineStr">
        <is>
          <t>Familia Prince EP6 atmosférico: se citan problemas de cadena y consumo de aceite, pero solo en foros. Sin ajuste hasta tener fuente seria</t>
        </is>
      </c>
      <c r="G264" t="inlineStr">
        <is>
          <t>Ruido de cadena en frío, consumo de aceite, humo azul</t>
        </is>
      </c>
      <c r="H264" t="inlineStr">
        <is>
          <t>PENDIENTE</t>
        </is>
      </c>
      <c r="I264" t="inlineStr">
        <is>
          <t>sin fuente de autoridad (foros)</t>
        </is>
      </c>
    </row>
    <row r="265">
      <c r="A265" s="2" t="inlineStr">
        <is>
          <t>(todas)</t>
        </is>
      </c>
      <c r="B265" s="2" t="inlineStr">
        <is>
          <t>1.6 HDi</t>
        </is>
      </c>
      <c r="C265" s="2" t="n">
        <v>2004</v>
      </c>
      <c r="D265" s="2" t="n">
        <v>2010</v>
      </c>
      <c r="E265" s="2" t="n">
        <v>-20</v>
      </c>
      <c r="F265" t="inlineStr">
        <is>
          <t>PSA DV6 16v (producido hasta 2010): fallos de inyectores, volante motor, turbo y embrague</t>
        </is>
      </c>
      <c r="G265" t="inlineStr">
        <is>
          <t>Humo y silbido de turbo, juntas de inyector (carbonilla), volante bimasa (vibración al ralentí), factura de turbo/embrague</t>
        </is>
      </c>
      <c r="H265" t="inlineStr">
        <is>
          <t>confirmado</t>
        </is>
      </c>
      <c r="I265" t="inlineStr">
        <is>
          <t>L'argus, 'Diesel : la liste des pannes récurrentes des moteurs HDi, dCi, TDI...' (28-10-2014): https://www.largus.fr/actualite-automobile/diesel-la-liste-des-pannes-recurrentes-5287380_p_2.html</t>
        </is>
      </c>
    </row>
    <row r="266">
      <c r="A266" s="2" t="inlineStr">
        <is>
          <t>(todas)</t>
        </is>
      </c>
      <c r="B266" s="2" t="inlineStr">
        <is>
          <t>1.6 HDi</t>
        </is>
      </c>
      <c r="C266" s="2" t="n">
        <v>2011</v>
      </c>
      <c r="D266" s="2" t="n">
        <v>2014</v>
      </c>
      <c r="E266" s="2" t="n">
        <v>-10</v>
      </c>
      <c r="F266" t="inlineStr">
        <is>
          <t>PSA DV6 8v: inyectores Continental con tirones hasta abril de 2014; la polea del cigüeñal desgasta la correa de distribución</t>
        </is>
      </c>
      <c r="G266" t="inlineStr">
        <is>
          <t>Tirones en aceleración, estado de la correa y de la polea del cigüeñal, factura de distribución</t>
        </is>
      </c>
      <c r="H266" t="inlineStr">
        <is>
          <t>confirmado</t>
        </is>
      </c>
      <c r="I266" t="inlineStr">
        <is>
          <t>L'argus, 'Diesel : la liste des pannes récurrentes des moteurs HDi, dCi, TDI...' (28-10-2014): https://www.largus.fr/actualite-automobile/diesel-la-liste-des-pannes-recurrentes-5287380_p_2.html</t>
        </is>
      </c>
    </row>
    <row r="267">
      <c r="A267" s="2" t="inlineStr">
        <is>
          <t>(todas)</t>
        </is>
      </c>
      <c r="B267" s="2" t="inlineStr">
        <is>
          <t>1.6 HDi</t>
        </is>
      </c>
      <c r="C267" s="2" t="n">
        <v>2015</v>
      </c>
      <c r="D267" s="2" t="n">
        <v>2020</v>
      </c>
      <c r="E267" s="2" t="n">
        <v>-5</v>
      </c>
      <c r="F267" t="inlineStr">
        <is>
          <t>1.6 BlueHDi: depósito de AdBlue defectuoso; Stellantis amplió la garantía de sustitución a 8 años (acuerdo OCU/BEUC)</t>
        </is>
      </c>
      <c r="G267" t="inlineStr">
        <is>
          <t>Testigo de AdBlue/anticontaminación; si se cambió el depósito, factura o si entra en la ampliación</t>
        </is>
      </c>
      <c r="H267" t="inlineStr">
        <is>
          <t>confirmado</t>
        </is>
      </c>
      <c r="I267" t="inlineStr">
        <is>
          <t>OCU, nota de prensa 27-12-2024: https://www.ocu.org/organizacion/prensa/notas-de-prensa/2024/adblue271224</t>
        </is>
      </c>
    </row>
    <row r="268">
      <c r="A268" s="2" t="inlineStr">
        <is>
          <t>(todas)</t>
        </is>
      </c>
      <c r="B268" s="2" t="inlineStr">
        <is>
          <t>1.6 TDCi</t>
        </is>
      </c>
      <c r="C268" s="2" t="n">
        <v>2004</v>
      </c>
      <c r="D268" s="2" t="n">
        <v>2010</v>
      </c>
      <c r="E268" s="2" t="n">
        <v>-20</v>
      </c>
      <c r="F268" t="inlineStr">
        <is>
          <t>Ford 1.6 TDCi = PSA DV6 16v: mismos fallos de inyectores, turbo y volante motor</t>
        </is>
      </c>
      <c r="G268" t="inlineStr">
        <is>
          <t>Igual que 1.6 HDi 16v</t>
        </is>
      </c>
      <c r="H268" t="inlineStr">
        <is>
          <t>probable (mismo motor que el 1.6 HDi; la fuente habla de PSA)</t>
        </is>
      </c>
      <c r="I268" t="inlineStr">
        <is>
          <t>L'argus, 'Diesel : la liste des pannes récurrentes des moteurs HDi, dCi, TDI...' (28-10-2014): https://www.largus.fr/actualite-automobile/diesel-la-liste-des-pannes-recurrentes-5287380_p_2.html</t>
        </is>
      </c>
    </row>
    <row r="269">
      <c r="A269" s="2" t="inlineStr">
        <is>
          <t>(todas)</t>
        </is>
      </c>
      <c r="B269" s="2" t="inlineStr">
        <is>
          <t>1.6 TDCi</t>
        </is>
      </c>
      <c r="C269" s="2" t="n">
        <v>2011</v>
      </c>
      <c r="D269" s="2" t="n">
        <v>2014</v>
      </c>
      <c r="E269" s="2" t="n">
        <v>-10</v>
      </c>
      <c r="F269" t="inlineStr">
        <is>
          <t>Ford 1.6 TDCi = PSA DV6 8v: inyectores y desgaste de la correa por la polea</t>
        </is>
      </c>
      <c r="G269" t="inlineStr">
        <is>
          <t>Igual que 1.6 HDi 8v</t>
        </is>
      </c>
      <c r="H269" t="inlineStr">
        <is>
          <t>probable (mismo motor)</t>
        </is>
      </c>
      <c r="I269" t="inlineStr">
        <is>
          <t>L'argus, 'Diesel : la liste des pannes récurrentes des moteurs HDi, dCi, TDI...' (28-10-2014): https://www.largus.fr/actualite-automobile/diesel-la-liste-des-pannes-recurrentes-5287380_p_2.html</t>
        </is>
      </c>
    </row>
    <row r="270">
      <c r="A270" s="2" t="inlineStr">
        <is>
          <t>(todas)</t>
        </is>
      </c>
      <c r="B270" s="2" t="inlineStr">
        <is>
          <t>1.4 HDi</t>
        </is>
      </c>
      <c r="C270" s="2" t="n">
        <v>2001</v>
      </c>
      <c r="D270" s="2" t="n">
        <v>2008</v>
      </c>
      <c r="E270" s="2" t="n">
        <v>-10</v>
      </c>
      <c r="F270" t="inlineStr">
        <is>
          <t>PSA DV4: fugas en inyectores (juntas hasta 01-04-2004, tubos rígidos hasta 31-01-2008)</t>
        </is>
      </c>
      <c r="G270" t="inlineStr">
        <is>
          <t>Olor a gasóleo, fugas en inyectores, arranque en caliente</t>
        </is>
      </c>
      <c r="H270" t="inlineStr">
        <is>
          <t>confirmado</t>
        </is>
      </c>
      <c r="I270" t="inlineStr">
        <is>
          <t>L'argus, 'Diesel : la liste des pannes récurrentes des moteurs HDi, dCi, TDI...' (28-10-2014): https://www.largus.fr/actualite-automobile/diesel-la-liste-des-pannes-recurrentes-5287380_p_2.html</t>
        </is>
      </c>
    </row>
    <row r="271">
      <c r="A271" s="2" t="inlineStr">
        <is>
          <t>(todas)</t>
        </is>
      </c>
      <c r="B271" s="2" t="inlineStr">
        <is>
          <t>1.4 HDi</t>
        </is>
      </c>
      <c r="C271" s="2" t="n">
        <v>2009</v>
      </c>
      <c r="D271" s="2" t="n">
        <v>2013</v>
      </c>
      <c r="E271" s="2" t="n">
        <v>-5</v>
      </c>
      <c r="F271" t="inlineStr">
        <is>
          <t>1.4 HDi 68 FAP Euro 5: riesgo de obstrucción del filtro de partículas hasta julio de 2013 (regeneración)</t>
        </is>
      </c>
      <c r="G271" t="inlineStr">
        <is>
          <t>Testigo de FAP, regeneraciones frecuentes</t>
        </is>
      </c>
      <c r="H271" t="inlineStr">
        <is>
          <t>confirmado</t>
        </is>
      </c>
      <c r="I271" t="inlineStr">
        <is>
          <t>L'argus, 'Diesel : la liste des pannes récurrentes des moteurs HDi, dCi, TDI...' (28-10-2014): https://www.largus.fr/actualite-automobile/diesel-la-liste-des-pannes-recurrentes-5287380_p_2.html</t>
        </is>
      </c>
    </row>
    <row r="272">
      <c r="A272" s="2" t="inlineStr">
        <is>
          <t>(todas)</t>
        </is>
      </c>
      <c r="B272" s="2" t="inlineStr">
        <is>
          <t>1.4 TDCi</t>
        </is>
      </c>
      <c r="C272" s="2" t="n">
        <v>2001</v>
      </c>
      <c r="D272" s="2" t="n">
        <v>2008</v>
      </c>
      <c r="E272" s="2" t="n">
        <v>-10</v>
      </c>
      <c r="F272" t="inlineStr">
        <is>
          <t>Ford 1.4 TDCi = PSA DV4: fugas en inyectores</t>
        </is>
      </c>
      <c r="G272" t="inlineStr">
        <is>
          <t>Igual que 1.4 HDi</t>
        </is>
      </c>
      <c r="H272" t="inlineStr">
        <is>
          <t>probable (mismo motor)</t>
        </is>
      </c>
      <c r="I272" t="inlineStr">
        <is>
          <t>L'argus, 'Diesel : la liste des pannes récurrentes des moteurs HDi, dCi, TDI...' (28-10-2014): https://www.largus.fr/actualite-automobile/diesel-la-liste-des-pannes-recurrentes-5287380_p_2.html</t>
        </is>
      </c>
    </row>
    <row r="273">
      <c r="A273" s="2" t="inlineStr">
        <is>
          <t>(todas)</t>
        </is>
      </c>
      <c r="B273" s="2" t="inlineStr">
        <is>
          <t>1.5 dCi</t>
        </is>
      </c>
      <c r="C273" s="2" t="n">
        <v>2001</v>
      </c>
      <c r="D273" s="2" t="n">
        <v>2007</v>
      </c>
      <c r="E273" s="2" t="n">
        <v>-25</v>
      </c>
      <c r="F273" t="inlineStr">
        <is>
          <t>Renault K9K: desgaste anormal de los cojinetes de biela que puede acabar en rotura del motor (afectó a cerca del 1 % hasta 2007)</t>
        </is>
      </c>
      <c r="G273" t="inlineStr">
        <is>
          <t>Ruido de bielas en caliente, presión de aceite, facturas de cambio de aceite cada 10-15.000 km; si se cambiaron cojinetes</t>
        </is>
      </c>
      <c r="H273" t="inlineStr">
        <is>
          <t>confirmado</t>
        </is>
      </c>
      <c r="I273" t="inlineStr">
        <is>
          <t>L'argus, 'Diesel : la liste des pannes récurrentes des moteurs HDi, dCi, TDI...' (28-10-2014): https://www.largus.fr/actualite-automobile/diesel-la-liste-des-pannes-recurrentes-5287380_p_3.html</t>
        </is>
      </c>
    </row>
    <row r="274">
      <c r="A274" s="2" t="inlineStr">
        <is>
          <t>(todas)</t>
        </is>
      </c>
      <c r="B274" s="2" t="inlineStr">
        <is>
          <t>1.5 dCi</t>
        </is>
      </c>
      <c r="C274" s="2" t="n">
        <v>2008</v>
      </c>
      <c r="D274" s="2" t="n">
        <v>2018</v>
      </c>
      <c r="E274" s="2" t="n">
        <v>0</v>
      </c>
      <c r="F274" t="inlineStr">
        <is>
          <t>La fuente sitúa el problema de los cojinetes hasta 2007; después no señala fallos graves específicos</t>
        </is>
      </c>
      <c r="G274" t="inlineStr">
        <is>
          <t>Historial de cambios de aceite, EGR y FAP en uso urbano</t>
        </is>
      </c>
      <c r="H274" t="inlineStr">
        <is>
          <t>probable</t>
        </is>
      </c>
      <c r="I274" t="inlineStr">
        <is>
          <t>L'argus, 'Diesel : la liste des pannes récurrentes des moteurs HDi, dCi, TDI...' (28-10-2014): https://www.largus.fr/actualite-automobile/diesel-la-liste-des-pannes-recurrentes-5287380_p_3.html</t>
        </is>
      </c>
    </row>
    <row r="275">
      <c r="A275" s="2" t="inlineStr">
        <is>
          <t>(todas)</t>
        </is>
      </c>
      <c r="B275" s="2" t="inlineStr">
        <is>
          <t>1.3 Multijet</t>
        </is>
      </c>
      <c r="C275" s="2" t="n">
        <v>2005</v>
      </c>
      <c r="D275" s="2" t="n">
        <v>2018</v>
      </c>
      <c r="E275" s="2" t="n">
        <v>-15</v>
      </c>
      <c r="F275" t="inlineStr">
        <is>
          <t>Fiat 1.3 JTD/Multijet (también Ford Ka, Suzuki Splash y Swift): riesgo de rotura del motor por dilución del aceite</t>
        </is>
      </c>
      <c r="G275" t="inlineStr">
        <is>
          <t>Nivel de aceite que SUBE (dilución por gasóleo), regeneraciones del FAP, cambios de aceite frecuentes</t>
        </is>
      </c>
      <c r="H275" t="inlineStr">
        <is>
          <t>confirmado</t>
        </is>
      </c>
      <c r="I275" t="inlineStr">
        <is>
          <t>L'argus, 'Diesel : la liste des pannes récurrentes des moteurs HDi, dCi, TDI...' (28-10-2014): https://www.largus.fr/actualite-automobile/diesel-la-liste-des-pannes-recurrentes-5287380_p_5.html</t>
        </is>
      </c>
    </row>
    <row r="276">
      <c r="A276" s="2" t="inlineStr">
        <is>
          <t>Ford</t>
        </is>
      </c>
      <c r="B276" s="2" t="inlineStr">
        <is>
          <t>1.3 TDCi</t>
        </is>
      </c>
      <c r="C276" s="2" t="n">
        <v>2008</v>
      </c>
      <c r="D276" s="2" t="n">
        <v>2016</v>
      </c>
      <c r="E276" s="2" t="n">
        <v>-15</v>
      </c>
      <c r="F276" t="inlineStr">
        <is>
          <t>Ford Ka 1.3 TDCi = Fiat 1.3 Multijet: riesgo de rotura por dilución del aceite</t>
        </is>
      </c>
      <c r="G276" t="inlineStr">
        <is>
          <t>Igual que 1.3 Multijet</t>
        </is>
      </c>
      <c r="H276" t="inlineStr">
        <is>
          <t>confirmado (la fuente cita el Ford Ka)</t>
        </is>
      </c>
      <c r="I276" t="inlineStr">
        <is>
          <t>L'argus (28-10-2014): https://www.largus.fr/actualite-automobile/diesel-la-liste-des-pannes-recurrentes-5287380_p_5.html</t>
        </is>
      </c>
    </row>
    <row r="277">
      <c r="A277" s="2" t="inlineStr">
        <is>
          <t>(todas)</t>
        </is>
      </c>
      <c r="B277" s="2" t="inlineStr">
        <is>
          <t>1.3 CDTi</t>
        </is>
      </c>
      <c r="C277" s="2" t="n">
        <v>2003</v>
      </c>
      <c r="D277" s="2" t="n">
        <v>2009</v>
      </c>
      <c r="E277" s="2" t="n">
        <v>-5</v>
      </c>
      <c r="F277" t="inlineStr">
        <is>
          <t>Opel 1.3 CDTI: olor a gasóleo por soportes o juntas de inyectores hasta junio de 2009</t>
        </is>
      </c>
      <c r="G277" t="inlineStr">
        <is>
          <t>Olor a gasóleo en el habitáculo, juntas de inyector</t>
        </is>
      </c>
      <c r="H277" t="inlineStr">
        <is>
          <t>confirmado</t>
        </is>
      </c>
      <c r="I277" t="inlineStr">
        <is>
          <t>L'argus, 'Diesel : la liste des pannes récurrentes des moteurs HDi, dCi, TDI...' (28-10-2014): https://www.largus.fr/actualite-automobile/diesel-la-liste-des-pannes-recurrentes-5287380_p_5.html</t>
        </is>
      </c>
    </row>
    <row r="278">
      <c r="A278" s="2" t="inlineStr">
        <is>
          <t>(todas)</t>
        </is>
      </c>
      <c r="B278" s="2" t="inlineStr">
        <is>
          <t>1.6 TDI</t>
        </is>
      </c>
      <c r="C278" s="2" t="n">
        <v>2009</v>
      </c>
      <c r="D278" s="2" t="n">
        <v>2015</v>
      </c>
      <c r="E278" s="2" t="n">
        <v>-10</v>
      </c>
      <c r="F278" t="inlineStr">
        <is>
          <t>VAG EA189: fuga de refrigerante por la bomba de agua (L'argus) y campaña de emisiones (dieselgate) con actualización de software y rectificador de flujo</t>
        </is>
      </c>
      <c r="G278" t="inlineStr">
        <is>
          <t>Nivel de refrigerante; comprobar con el bastidor que la campaña EA189 está hecha (si no, puede afectar a la ITV)</t>
        </is>
      </c>
      <c r="H278" t="inlineStr">
        <is>
          <t>confirmado</t>
        </is>
      </c>
      <c r="I278" t="inlineStr">
        <is>
          <t>L'argus, 'Diesel : la liste des pannes récurrentes des moteurs HDi, dCi, TDI...' (28-10-2014): https://www.largus.fr/actualite-automobile/diesel-la-liste-des-pannes-recurrentes-5287380_p_4.html ; campaña EA189 en España: https://www.autofacil.es/lista-coches-afectados-fraude-volkswagen-asciende-683626-unidades-espana</t>
        </is>
      </c>
    </row>
    <row r="279">
      <c r="A279" s="2" t="inlineStr">
        <is>
          <t>(todas)</t>
        </is>
      </c>
      <c r="B279" s="2" t="inlineStr">
        <is>
          <t>1.2 TDI</t>
        </is>
      </c>
      <c r="C279" s="2" t="n">
        <v>2009</v>
      </c>
      <c r="D279" s="2" t="n">
        <v>2014</v>
      </c>
      <c r="E279" s="2" t="n">
        <v>-5</v>
      </c>
      <c r="F279" t="inlineStr">
        <is>
          <t>VAG 1.2 TDI EA189: incluido en la campaña de emisiones (actualización de software)</t>
        </is>
      </c>
      <c r="G279" t="inlineStr">
        <is>
          <t>Comprobar con el bastidor que la campaña EA189 está hecha; FAP en uso urbano</t>
        </is>
      </c>
      <c r="H279" t="inlineStr">
        <is>
          <t>confirmado (campaña); fiabilidad mecánica PENDIENTE</t>
        </is>
      </c>
      <c r="I279" t="inlineStr">
        <is>
          <t>https://www.motor.es/noticias/deberia-llevar-tdi-revision-dieselgate-201630418.html</t>
        </is>
      </c>
    </row>
    <row r="280">
      <c r="A280" t="inlineStr">
        <is>
          <t>Motores con buena fama: PENDIENTE de fuente de autoridad; sin ajuste positivo.</t>
        </is>
      </c>
    </row>
    <row r="282">
      <c r="A282" s="6" t="inlineStr">
        <is>
          <t>9. Ajustes por combustible</t>
        </is>
      </c>
    </row>
    <row r="283">
      <c r="A283" s="7" t="inlineStr">
        <is>
          <t>Combustible</t>
        </is>
      </c>
      <c r="B283" s="7" t="inlineStr">
        <is>
          <t>Ajuste (puntos)</t>
        </is>
      </c>
      <c r="C283" s="7" t="inlineStr">
        <is>
          <t>Problema</t>
        </is>
      </c>
      <c r="D283" s="7" t="inlineStr">
        <is>
          <t>Qué revisar</t>
        </is>
      </c>
      <c r="E283" s="7" t="inlineStr">
        <is>
          <t>Estado</t>
        </is>
      </c>
      <c r="F283" s="7" t="inlineStr">
        <is>
          <t>Fuente</t>
        </is>
      </c>
    </row>
    <row r="284">
      <c r="A284" s="2" t="inlineStr">
        <is>
          <t>diesel</t>
        </is>
      </c>
      <c r="B284" s="2" t="n">
        <v>-15</v>
      </c>
      <c r="C284" t="inlineStr">
        <is>
          <t>Filtro de partículas (DPF): en uso urbano no regenera y se colmata; sustitución &gt;1.000-1.500 €</t>
        </is>
      </c>
      <c r="D284" t="inlineStr">
        <is>
          <t>Testigo DPF, regeneraciones frecuentes, EGR, si se ha anulado el filtro (ilegal en ITV)</t>
        </is>
      </c>
      <c r="E284" t="inlineStr">
        <is>
          <t>probable</t>
        </is>
      </c>
      <c r="F284" t="inlineStr">
        <is>
          <t>https://www.motor16.com/las-ultimas-noticias/filtro-particulas-diesel-averia-1500/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2026-10-31T11:57:22Z</dcterms:created>
  <dcterms:modified xmlns:dcterms="http://purl.org/dc/terms/" xmlns:xsi="http://www.w3.org/2001/XMLSchema-instance" xsi:type="dcterms:W3CDTF">2026-10-31T11:57:26Z</dcterms:modified>
</cp:coreProperties>
</file>
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uncios" sheetId="1" state="visible" r:id="rId1"/>
    <sheet xmlns:r="http://schemas.openxmlformats.org/officeDocument/2006/relationships" name="Top20" sheetId="2" state="visible" r:id="rId2"/>
    <sheet xmlns:r="http://schemas.openxmlformats.org/officeDocument/2006/relationships" name="Supuestos" sheetId="3" state="visible" r:id="rId3"/>
  </sheets>
  <definedNames>
    <definedName name="W_FIAB">Supuestos!$B$7</definedName>
    <definedName name="W_PRECIO">Supuestos!$B$8</definedName>
    <definedName name="W_KMEDAD">Supuestos!$B$9</definedName>
    <definedName name="W_ANUNCIO">Supuestos!$B$10</definedName>
    <definedName name="W_USO">Supuestos!$B$11</definedName>
    <definedName name="W_SEGURIDAD">Supuestos!$B$12</definedName>
    <definedName name="W_ESTILO">Supuestos!$B$13</definedName>
    <definedName name="W_ETIQUETA">Supuestos!$B$14</definedName>
    <definedName name="W_SUMA">Supuestos!$B$15</definedName>
    <definedName name="ANIO_ACTUAL">Supuestos!$B$19</definedName>
    <definedName name="ANIO_MIN">Supuestos!$B$20</definedName>
    <definedName name="KM_MAX">Supuestos!$B$21</definedName>
    <definedName name="PRECIO_MAX">Supuestos!$B$22</definedName>
    <definedName name="TOTAL_MAX">Supuestos!$B$23</definedName>
    <definedName name="MARGEN_NEG">Supuestos!$B$24</definedName>
    <definedName name="SEG_ANIO">Supuestos!$B$25</definedName>
    <definedName name="SEG_KM">Supuestos!$B$26</definedName>
    <definedName name="MIN_N">Supuestos!$B$27</definedName>
    <definedName name="PRECIO_PEND">Supuestos!$B$28</definedName>
    <definedName name="KM_TOPE_DESDE">Supuestos!$B$29</definedName>
    <definedName name="KM_TOPE_PTS">Supuestos!$B$30</definedName>
    <definedName name="ROB_PEN">Supuestos!$B$31</definedName>
    <definedName name="KMA_IDEAL_MAX">Supuestos!$B$32</definedName>
    <definedName name="KMA_CERO">Supuestos!$B$33</definedName>
    <definedName name="KMA_SOSP">Supuestos!$B$34</definedName>
    <definedName name="KMA_PEN">Supuestos!$B$35</definedName>
    <definedName name="W_KMT">Supuestos!$B$36</definedName>
    <definedName name="W_KMA">Supuestos!$B$37</definedName>
    <definedName name="W_EDAD">Supuestos!$B$38</definedName>
    <definedName name="P_ITV">Supuestos!$B$39</definedName>
    <definedName name="P_LIBRO">Supuestos!$B$40</definedName>
    <definedName name="P_CORREA">Supuestos!$B$41</definedName>
    <definedName name="P_PROP">Supuestos!$B$42</definedName>
    <definedName name="P_GAR">Supuestos!$B$43</definedName>
    <definedName name="P_FOTOS">Supuestos!$B$44</definedName>
    <definedName name="FOTOS_OBJ">Supuestos!$B$45</definedName>
    <definedName name="W_ET">Supuestos!$B$46</definedName>
    <definedName name="W_CONS">Supuestos!$B$47</definedName>
    <definedName name="W_SEG">Supuestos!$B$48</definedName>
    <definedName name="NEUTRO">Supuestos!$B$49</definedName>
    <definedName name="SG_GAR">Supuestos!$B$50</definedName>
    <definedName name="SG_GAR_FULL">Supuestos!$B$51</definedName>
    <definedName name="SG_AMPL">Supuestos!$B$52</definedName>
    <definedName name="SG_KMC">Supuestos!$B$53</definedName>
    <definedName name="SG_REV">Supuestos!$B$54</definedName>
    <definedName name="SG_DEV">Supuestos!$B$55</definedName>
    <definedName name="SG_DEV_FULL">Supuestos!$B$56</definedName>
    <definedName name="SG_HIST">Supuestos!$B$57</definedName>
    <definedName name="SG_LEGAL_ON">Supuestos!$B$58</definedName>
    <definedName name="GAR_LEGAL">Supuestos!$B$59</definedName>
    <definedName name="ITP_TIPO">Supuestos!$B$63</definedName>
    <definedName name="CUOTA_VALOR_MAX">Supuestos!$B$64</definedName>
    <definedName name="TASA_DGT">Supuestos!$B$65</definedName>
    <definedName name="INFORME_DGT">Supuestos!$B$66</definedName>
    <definedName name="ITP_TRAMO_ALTO">Supuestos!$B$67</definedName>
    <definedName name="ITP_TRAMO_BAJO">Supuestos!$B$68</definedName>
    <definedName name="CF_MAS">Supuestos!$A$74:$A$79</definedName>
    <definedName name="CF_CCMIN">Supuestos!$B$74:$B$79</definedName>
    <definedName name="CF_CCMAX">Supuestos!$C$74:$C$79</definedName>
    <definedName name="CF_CUOTA">Supuestos!$D$74:$D$79</definedName>
    <definedName name="GAS_B_YM">Supuestos!$B$86</definedName>
    <definedName name="GAS_C_YM">Supuestos!$B$87</definedName>
    <definedName name="DIE_B_YM">Supuestos!$B$88</definedName>
    <definedName name="DIE_C_YM">Supuestos!$B$89</definedName>
    <definedName name="FR_FUEL">Supuestos!$A$97:$A$101</definedName>
    <definedName name="FR_YEAR">Supuestos!$B$97:$B$101</definedName>
    <definedName name="ETQ_TBL">Supuestos!$A$123:$B$127</definedName>
    <definedName name="ETQ_PEN_DUD">Supuestos!$B$128</definedName>
    <definedName name="ETQ_PEN_REGLA">Supuestos!$B$129</definedName>
    <definedName name="CARR_PEN_TBL">Supuestos!$A$132:$B$133</definedName>
    <definedName name="ESTILO_TBL">Supuestos!$A$136:$B$141</definedName>
    <definedName name="ESTILO_PRIO">Supuestos!$B$142</definedName>
    <definedName name="CONS_REF_MIN">Supuestos!$B$153</definedName>
    <definedName name="CONS_REF_MAX">Supuestos!$B$154</definedName>
    <definedName name="CONS_MOD_TBL">Supuestos!$A$156:$B$160</definedName>
    <definedName name="CONS_SEG_TBL">Supuestos!$A$162:$B$167</definedName>
    <definedName name="SEGURO_TBL">Supuestos!$A$172:$D$175</definedName>
    <definedName name="SEG_REF_MIN">Supuestos!$B$177</definedName>
    <definedName name="SEG_REF_MAX">Supuestos!$B$178</definedName>
    <definedName name="TUV_MEDIAS">Supuestos!$A$182:$B$183</definedName>
    <definedName name="OCU_TBL">Supuestos!$A$187:$B$190</definedName>
    <definedName name="ADAC_TBL">Supuestos!$A$194:$B$280</definedName>
    <definedName name="ADAC_REF">Supuestos!$B$281</definedName>
    <definedName name="MOD_TBL">Supuestos!$A$285:$Q$332</definedName>
    <definedName name="MOT_MARCA">Supuestos!$A$339:$A$369</definedName>
    <definedName name="MOT_MOTOR">Supuestos!$B$339:$B$369</definedName>
    <definedName name="MOT_DESDE">Supuestos!$C$339:$C$369</definedName>
    <definedName name="MOT_HASTA">Supuestos!$D$339:$D$369</definedName>
    <definedName name="MOT_AJUSTE">Supuestos!$E$339:$E$369</definedName>
    <definedName name="COMB_COMB">Supuestos!$A$374:$A$374</definedName>
    <definedName name="COMB_AJUSTE">Supuestos!$B$374:$B$374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2"/>
    </font>
    <font>
      <b val="1"/>
    </font>
    <font>
      <color rgb="000000FF"/>
    </font>
    <font>
      <color rgb="00000000"/>
    </font>
    <font>
      <color rgb="00008000"/>
    </font>
    <font>
      <i val="1"/>
    </font>
  </fonts>
  <fills count="3">
    <fill>
      <patternFill/>
    </fill>
    <fill>
      <patternFill patternType="gray125"/>
    </fill>
    <fill>
      <patternFill patternType="solid">
        <fgColor rgb="00DDE4EE"/>
      </patternFill>
    </fill>
  </fills>
  <borders count="1">
    <border>
      <left/>
      <right/>
      <top/>
      <bottom/>
      <diagonal/>
    </border>
  </borders>
  <cellStyleXfs count="1">
    <xf numFmtId="0" fontId="0" fillId="0" borderId="0"/>
  </cellStyleXfs>
  <cellXfs count="10">
    <xf numFmtId="0" fontId="0" fillId="0" borderId="0" pivotButton="0" quotePrefix="0" xfId="0"/>
    <xf numFmtId="0" fontId="2" fillId="2" borderId="0" applyAlignment="1" pivotButton="0" quotePrefix="0" xfId="0">
      <alignment vertical="top" wrapText="1"/>
    </xf>
    <xf numFmtId="0" fontId="3" fillId="0" borderId="0" pivotButton="0" quotePrefix="0" xfId="0"/>
    <xf numFmtId="0" fontId="5" fillId="0" borderId="0" pivotButton="0" quotePrefix="0" xfId="0"/>
    <xf numFmtId="0" fontId="4" fillId="0" borderId="0" pivotButton="0" quotePrefix="0" xfId="0"/>
    <xf numFmtId="0" fontId="6"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buscador</author>
  </authors>
  <commentList>
    <comment ref="A1" authorId="0" shapeId="0">
      <text>
        <t>Datos de anuncio (azul): scrapeados de la plataforma; fuente exacta en la columna 'Fuente (fichero /raw)'.</t>
      </text>
    </comment>
    <comment ref="E1" authorId="0" shapeId="0">
      <text>
        <t>Normalizada por src/normalize.py a partir del dato scrapeado.</t>
      </text>
    </comment>
    <comment ref="G1" authorId="0" shapeId="0">
      <text>
        <t>Normalizado por src/normalize.py (cilindrada + tecnología).</t>
      </text>
    </comment>
    <comment ref="V1" authorId="0" shapeId="0">
      <text>
        <t>Extraído del texto del anuncio por src/extract.py: sí / no / vacío = no lo menciona.</t>
      </text>
    </comment>
    <comment ref="AT1" authorId="0" shapeId="0">
      <text>
        <t>Año que aparece en la URL o el título y no coincide con la fecha de matriculación.</t>
      </text>
    </comment>
    <comment ref="AV1" authorId="0" shapeId="0">
      <text>
        <t>Detectada en título/versión con el patrón de reliability.yaml → cajas_robotizadas.</t>
      </text>
    </comment>
    <comment ref="AW1" authorId="0" shapeId="0">
      <text>
        <t>Calculado con config.yaml → scoring.estilo.prioritarios (modelo, años, cilindrada y combustible).</t>
      </text>
    </comment>
    <comment ref="AX1" authorId="0" shapeId="0">
      <text>
        <t>Calculada en Python (src/scoring.py: market_medians) con los anuncios vistos en los listados de las plataformas (tabla 'mercado' de data/listings.sqlite), mismo esquema de segmentos.</t>
      </text>
    </comment>
    <comment ref="BM1" authorId="0" shapeId="0">
      <text>
        <t>Si hay MIN_N o más anuncios de mercado del segmento (todos los vistos en los listados, también &gt; precio máx.), usa la mediana de mercado; si no, fórmula matricial con la mediana de esta hoja (modelo+año+km, subiendo de nivel).</t>
      </text>
    </comment>
    <comment ref="CU1" authorId="0" shapeId="0">
      <text>
        <t>Cuota fija CV por antigüedad y cilindrada si valor &lt; CUOTA_VALOR_MAX; si no, tipo porcentual. Profesional: 0.</t>
      </text>
    </comment>
    <comment ref="DB1" authorId="0" shapeId="0">
      <text>
        <t>Desempate por orden de fila.</t>
      </text>
    </comment>
    <comment ref="BT2" authorId="0" shapeId="0">
      <text>
        <t>Fichero oficial DGT de distintivos (código 16TB, matrícula 8611GSH)</t>
      </text>
    </comment>
    <comment ref="BT3" authorId="0" shapeId="0">
      <text>
        <t>Fichero oficial DGT de distintivos (código 16TC, matrícula 8408GBN)</t>
      </text>
    </comment>
    <comment ref="BT4" authorId="0" shapeId="0">
      <text>
        <t>Fichero oficial DGT de distintivos (código 16TC, matrícula 2715GGP)</t>
      </text>
    </comment>
    <comment ref="BT5" authorId="0" shapeId="0">
      <text>
        <t>Publicada en el anuncio (cochesnet): https://www.coches.net/mazda-mazda2-active-14-crtd-5p-diesel-2007-en-valencia-71265682-covo.aspx</t>
      </text>
    </comment>
    <comment ref="BT6" authorId="0" shapeId="0">
      <text>
        <t>Publicada en el anuncio (cochesnet): https://www.coches.net/kia-picanto-10-sohc-concept-5p-gasolina-2010-en-valencia-71817386-covo.aspx</t>
      </text>
    </comment>
    <comment ref="BT7" authorId="0" shapeId="0">
      <text>
        <t>Publicada en el anuncio (cochesnet): https://www.coches.net/hyundai-i10-11-comfort-5p-gasolina-2008-en-valencia-71571543-covo.aspx</t>
      </text>
    </comment>
    <comment ref="BT8" authorId="0" shapeId="0">
      <text>
        <t>Publicada en el anuncio (cochesnet): https://www.coches.net/opel-corsa-10-essentia-3p-gasolina-2011-en-valencia-71625576-covo.aspx</t>
      </text>
    </comment>
    <comment ref="BT9" authorId="0" shapeId="0">
      <text>
        <t>Publicada en el anuncio (cochesnet): https://www.coches.net/opel-astra-gtc-14-16v-essentia-3p-gasolina-2009-en-valencia-71876224-covo.aspx</t>
      </text>
    </comment>
    <comment ref="BT10" authorId="0" shapeId="0">
      <text>
        <t>Publicada en el anuncio (cochesnet): https://www.coches.net/opel-astra-13-ecoflex-ss-selective-5p-diesel-2013-en-valencia-71339047-covo.aspx</t>
      </text>
    </comment>
    <comment ref="BT11" authorId="0" shapeId="0">
      <text>
        <t>Publicada en el anuncio (cochesnet): https://www.coches.net/renault-megane-emotion-2008-14-16v-5p-gasolina-2008-en-valencia-71399209-covo.aspx</t>
      </text>
    </comment>
    <comment ref="BT12" authorId="0" shapeId="0">
      <text>
        <t>Publicada en el anuncio (cochesnet): https://www.coches.net/renault-megane-dynamique-15dci85-eco2-5p-diesel-2008-en-valencia-71622320-covo.aspx</t>
      </text>
    </comment>
    <comment ref="BT13" authorId="0" shapeId="0">
      <text>
        <t>Publicada en el anuncio (cochesnet): https://www.coches.net/renault-megane-dynamique-16-16v-110-e5-5p-gasolina-2010-en-valencia-71224992-covo.aspx</t>
      </text>
    </comment>
    <comment ref="BT14" authorId="0" shapeId="0">
      <text>
        <t>Publicada en el anuncio (cochesnet): https://www.coches.net/dacia-sandero-ambiance-12-75cv-5p-gasolina-2012-en-valencia-70507667-covo.aspx</t>
      </text>
    </comment>
    <comment ref="BT15" authorId="0" shapeId="0">
      <text>
        <t>Publicada en el anuncio (cochesnet): https://www.coches.net/dacia-logan-laureate-14-4p-gasolina-2007-en-valencia-71571620-covo.aspx</t>
      </text>
    </comment>
    <comment ref="BT16" authorId="0" shapeId="0">
      <text>
        <t>Publicada en el anuncio (cochesnet): https://www.coches.net/peugeot-207-confort-14-75-5p-gasolina-2009-en-valencia-71833160-covo.aspx</t>
      </text>
    </comment>
    <comment ref="BT17" authorId="0" shapeId="0">
      <text>
        <t>Publicada en el anuncio (cochesnet): https://www.coches.net/peugeot-208-5p-active-14-hdi-68-5p-diesel-2014-en-valencia-71521071-covo.aspx</t>
      </text>
    </comment>
    <comment ref="BT18" authorId="0" shapeId="0">
      <text>
        <t>Publicada en el anuncio (cochesnet): https://www.coches.net/ford-ka-12-trend-3p-gasolina-2010-en-valencia-71569576-covo.aspx</t>
      </text>
    </comment>
    <comment ref="BT19" authorId="0" shapeId="0">
      <text>
        <t>Publicada en el anuncio (cochesnet): https://www.coches.net/ford-fiesta-14-tdci-trend-5p-diesel-2011-en-valencia-70592187-covo.aspx</t>
      </text>
    </comment>
    <comment ref="BT20" authorId="0" shapeId="0">
      <text>
        <t>Publicada en el anuncio (cochesnet): https://www.coches.net/ford-fiesta-14-tdci-trend-5p-diesel-2011-en-valencia-71146219-covo.aspx</t>
      </text>
    </comment>
    <comment ref="BT21" authorId="0" shapeId="0">
      <text>
        <t>Publicada en el anuncio (cochesnet): https://www.coches.net/fiat-punto-12-active-e5-5p-gasolina-2009-en-valencia-71816544-covo.aspx</t>
      </text>
    </comment>
    <comment ref="BT22" authorId="0" shapeId="0">
      <text>
        <t>Publicada en el anuncio (cochesnet): https://www.coches.net/chevrolet-aveo-14-16v-lt-4p-gasolina-2008-en-valencia-71651301-covo.aspx</t>
      </text>
    </comment>
    <comment ref="BT23" authorId="0" shapeId="0">
      <text>
        <t>Publicada en el anuncio (cochesnet): https://www.coches.net/chevrolet-aveo-14-16v-ls-5p-gasolina-2010-en-valencia-71533850-covo.aspx</t>
      </text>
    </comment>
    <comment ref="BT24" authorId="0" shapeId="0">
      <text>
        <t>Fichero oficial DGT de distintivos (código 16TC, matrícula 8775FTG)</t>
      </text>
    </comment>
    <comment ref="BT25" authorId="0" shapeId="0">
      <text>
        <t>Fichero oficial DGT de distintivos (código 16TC, matrícula 9285FGY)</t>
      </text>
    </comment>
    <comment ref="BT26" authorId="0" shapeId="0">
      <text>
        <t>Fichero oficial DGT de distintivos (código 16TB, matrícula 8191FSH)</t>
      </text>
    </comment>
    <comment ref="BT27" authorId="0" shapeId="0">
      <text>
        <t>Fichero oficial DGT de distintivos (código 16TB, matrícula 8157DVD)</t>
      </text>
    </comment>
    <comment ref="BT28" authorId="0" shapeId="0">
      <text>
        <t>Fichero oficial DGT de distintivos (código 16TC, matrícula 8323DYB)</t>
      </text>
    </comment>
    <comment ref="BT29" authorId="0" shapeId="0">
      <text>
        <t>Fichero oficial DGT de distintivos (código 16TC, matrícula 0220FKN)</t>
      </text>
    </comment>
    <comment ref="BT30" authorId="0" shapeId="0">
      <text>
        <t>Fichero oficial DGT de distintivos (código 16TC, matrícula 9605FDM)</t>
      </text>
    </comment>
    <comment ref="BT31" authorId="0" shapeId="0">
      <text>
        <t>Fichero oficial DGT de distintivos (código 16TB, matrícula 1000KMS)</t>
      </text>
    </comment>
    <comment ref="BT32" authorId="0" shapeId="0">
      <text>
        <t>Publicada en el anuncio (cochesnet): https://www.coches.net/mazda-mazda2-active-14-crtd-5p-diesel-2007-en-valencia-71732041-covo.aspx</t>
      </text>
    </comment>
    <comment ref="BT33" authorId="0" shapeId="0">
      <text>
        <t>Publicada en el anuncio (cochesnet): https://www.coches.net/kia-picanto-11-sohc-lx-5p-gasolina-2007-en-valencia-71778568-covo.aspx</t>
      </text>
    </comment>
    <comment ref="BT34" authorId="0" shapeId="0">
      <text>
        <t>Publicada en el anuncio (cochesnet): https://www.coches.net/kia-picanto-11-sohc-ex-5p-gasolina-2006-en-valencia-71687938-covo.aspx</t>
      </text>
    </comment>
    <comment ref="BT35" authorId="0" shapeId="0">
      <text>
        <t>Publicada en el anuncio (cochesnet): https://www.coches.net/kia-ceed-16-crdi-115cv-emotion-5p-diesel-2009-en-valencia-71704887-covo.aspx</t>
      </text>
    </comment>
    <comment ref="BT36" authorId="0" shapeId="0">
      <text>
        <t>Publicada en el anuncio (cochesnet): https://www.coches.net/skoda-citigo-10-mpi-60cv-ambition-3p-gasolina-2015-en-valencia-71648429-covo.aspx</t>
      </text>
    </comment>
    <comment ref="BT37" authorId="0" shapeId="0">
      <text>
        <t>Publicada en el anuncio (cochesnet): https://www.coches.net/skoda-fabia-sedan-14-tdi-80cv-comfort-4p-diesel-2006-en-valencia-71619015-covo.aspx</t>
      </text>
    </comment>
    <comment ref="BT38" authorId="0" shapeId="0">
      <text>
        <t>Publicada en el anuncio (cochesnet): https://www.coches.net/seat-ibiza-19-tdi-100cv-sport-5p-diesel-2008-en-valencia-71867781-covo.aspx</t>
      </text>
    </comment>
    <comment ref="BT39" authorId="0" shapeId="0">
      <text>
        <t>Publicada en el anuncio (cochesnet): https://www.coches.net/volkswagen-polo-12-edition-70cv-5p-gasolina-2008-en-valencia-71866787-covo.aspx</t>
      </text>
    </comment>
    <comment ref="BT40" authorId="0" shapeId="0">
      <text>
        <t>Publicada en el anuncio (cochesnet): https://www.coches.net/opel-corsa-enjoy-12-5p-gasolina-2008-en-valencia-71806576-covo.aspx</t>
      </text>
    </comment>
    <comment ref="BT41" authorId="0" shapeId="0">
      <text>
        <t>Publicada en el anuncio (cochesnet): https://www.coches.net/opel-corsa-enjoy-12-3p-gasolina-2007-en-valencia-71790451-covo.aspx</t>
      </text>
    </comment>
    <comment ref="BT42" authorId="0" shapeId="0">
      <text>
        <t>Publicada en el anuncio (cochesnet): https://www.coches.net/opel-corsa-13-cdti-color-edition-3p-diesel-2012-en-valencia-71248981-covo.aspx</t>
      </text>
    </comment>
    <comment ref="BT43" authorId="0" shapeId="0">
      <text>
        <t>Fichero oficial DGT de distintivos (código 16TB, matrícula 1000KMS)</t>
      </text>
    </comment>
    <comment ref="BT44" authorId="0" shapeId="0">
      <text>
        <t>Fichero oficial DGT de distintivos (código 16TB, matrícula 1000KMS)</t>
      </text>
    </comment>
    <comment ref="BT45" authorId="0" shapeId="0">
      <text>
        <t>Fichero oficial DGT de distintivos (código 16TB, matrícula 1000KMS)</t>
      </text>
    </comment>
    <comment ref="BT46" authorId="0" shapeId="0">
      <text>
        <t>Fichero oficial DGT de distintivos (código 16TB, matrícula 1000KMS)</t>
      </text>
    </comment>
    <comment ref="BT47" authorId="0" shapeId="0">
      <text>
        <t>Fichero oficial DGT de distintivos (código 16TB, matrícula 1000KMS)</t>
      </text>
    </comment>
    <comment ref="BT48" authorId="0" shapeId="0">
      <text>
        <t>Fichero oficial DGT de distintivos (código 16TB, matrícula 1000KMS)</t>
      </text>
    </comment>
    <comment ref="BT49" authorId="0" shapeId="0">
      <text>
        <t>Publicada en el anuncio (cochesnet): https://www.coches.net/opel-astra-13-cdti-111-years-gtc-3p-diesel-2011-en-valencia-71799024-covo.aspx</t>
      </text>
    </comment>
    <comment ref="BT50" authorId="0" shapeId="0">
      <text>
        <t>Publicada en el anuncio (cochesnet): https://www.coches.net/opel-astra-19-cdti-enjoy-120-cv-5p-diesel-2007-en-valencia-71599225-covo.aspx</t>
      </text>
    </comment>
    <comment ref="BT51" authorId="0" shapeId="0">
      <text>
        <t>Publicada en el anuncio (cochesnet): https://www.coches.net/opel-astra-14-enjoy-5p-gasolina-2006-en-valencia-71722524-covo.aspx</t>
      </text>
    </comment>
    <comment ref="BT52" authorId="0" shapeId="0">
      <text>
        <t>Publicada en el anuncio (cochesnet): https://www.coches.net/opel-astra-17-cdti-enjoy-sw-5p-diesel-2007-en-valencia-71241892-covo.aspx</t>
      </text>
    </comment>
    <comment ref="BT53" authorId="0" shapeId="0">
      <text>
        <t>Publicada en el anuncio (cochesnet): https://www.coches.net/opel-meriva-17-cdti-110-cv-cosmo-5p-diesel-2012-en-valencia-71555949-covo.aspx</t>
      </text>
    </comment>
    <comment ref="BT54" authorId="0" shapeId="0">
      <text>
        <t>Publicada en el anuncio (cochesnet): https://www.coches.net/renault-megane-coupecabrio-dynamique-16-16v-2p-gasolina-2007-en-valencia-71508169-covo.aspx</t>
      </text>
    </comment>
    <comment ref="BT55" authorId="0" shapeId="0">
      <text>
        <t>Publicada en el anuncio (cochesnet): https://www.coches.net/renault-megane-coupecabrio-dynamique-16-16v-2p-gasolina-2007-en-valencia-71662456-covo.aspx</t>
      </text>
    </comment>
    <comment ref="BT56" authorId="0" shapeId="0">
      <text>
        <t>Publicada en el anuncio (cochesnet): https://www.coches.net/renault-clio-grand-tour-tom-tom-ed-15dci-85cv-eco2-5p-diesel-2009-en-valencia-71813489-covo.aspx</t>
      </text>
    </comment>
    <comment ref="BT57" authorId="0" shapeId="0">
      <text>
        <t>Publicada en el anuncio (cochesnet): https://www.coches.net/renault-clio-expression-12-16v-5p-gasolina-2007-en-valencia-71693535-covo.aspx</t>
      </text>
    </comment>
    <comment ref="BT58" authorId="0" shapeId="0">
      <text>
        <t>Publicada en el anuncio (cochesnet): https://www.coches.net/renault-megane-business-dci-110-5p-diesel-2012-en-valencia-71684364-covo.aspx</t>
      </text>
    </comment>
    <comment ref="BT59" authorId="0" shapeId="0">
      <text>
        <t>Publicada en el anuncio (cochesnet): https://www.coches.net/renault-megane-dynamique-energy-dci-110-ss-eco2-3p-diesel-2012-en-valencia-71537820-covo.aspx</t>
      </text>
    </comment>
    <comment ref="BT60" authorId="0" shapeId="0">
      <text>
        <t>Publicada en el anuncio (cochesnet): https://www.coches.net/renault-megane-sport-tourer-dynamique-15dci-105cv-eco2-5p-diesel-2009-en-valencia-71783816-covo.aspx</t>
      </text>
    </comment>
    <comment ref="BT61" authorId="0" shapeId="0">
      <text>
        <t>Publicada en el anuncio (cochesnet): https://www.coches.net/renault-modus-confort-dynamique-14-16v-5p-gasolina-2006-en-valencia-70833355-covo.aspx</t>
      </text>
    </comment>
    <comment ref="BT62" authorId="0" shapeId="0">
      <text>
        <t>Publicada en el anuncio (cochesnet): https://www.coches.net/dacia-sandero-laureate-12-16v-75cv-5p-gasolina-2009-en-valencia-71749298-covo.aspx</t>
      </text>
    </comment>
    <comment ref="BT63" authorId="0" shapeId="0">
      <text>
        <t>Publicada en el anuncio (cochesnet): https://www.coches.net/peugeot-207-confort-14-vti-16v-95-5p-gasolina-2008-en-valencia-71858806-covo.aspx</t>
      </text>
    </comment>
    <comment ref="BT64" authorId="0" shapeId="0">
      <text>
        <t>Publicada en el anuncio (cochesnet): https://www.coches.net/peugeot-207-14-16v-xt-5p-gasolina-2006-en-valencia-71828437-covo.aspx</t>
      </text>
    </comment>
    <comment ref="BT65" authorId="0" shapeId="0">
      <text>
        <t>Publicada en el anuncio (cochesnet): https://www.coches.net/peugeot-207-confort-14-vti-16v-95-5p-gasolina-2008-en-valencia-71618681-covo.aspx</t>
      </text>
    </comment>
    <comment ref="BT66" authorId="0" shapeId="0">
      <text>
        <t>Publicada en el anuncio (cochesnet): https://www.coches.net/citroen-c3-picasso-hdi-110cv-fap-airdream-exclusive-5p-diesel-2009-en-valencia-71733143-covo.aspx</t>
      </text>
    </comment>
    <comment ref="BT67" authorId="0" shapeId="0">
      <text>
        <t>Publicada en el anuncio (cochesnet): https://www.coches.net/citroen-c3-hdi-70-attraction-5p-diesel-2011-en-valencia-71041894-covo.aspx</t>
      </text>
    </comment>
    <comment ref="BT68" authorId="0" shapeId="0">
      <text>
        <t>Publicada en el anuncio (cochesnet): https://www.coches.net/citroen-c3-ehdi-115-exclusive-5p-diesel-2013-en-valencia-71039872-covo.aspx</t>
      </text>
    </comment>
    <comment ref="BT69" authorId="0" shapeId="0">
      <text>
        <t>Publicada en el anuncio (cochesnet): https://www.coches.net/citroen-c-elysee-hdi-90cv-millenium-4p-diesel-2014-en-valencia-71818180-covo.aspx</t>
      </text>
    </comment>
    <comment ref="BT70" authorId="0" shapeId="0">
      <text>
        <t>Publicada en el anuncio (cochesnet): https://www.coches.net/ford-fiesta-14-tdci-trend-5p-diesel-2010-en-valencia-71618923-covo.aspx</t>
      </text>
    </comment>
    <comment ref="BT71" authorId="0" shapeId="0">
      <text>
        <t>Publicada en el anuncio (cochesnet): https://www.coches.net/ford-focus-18-tdci-trend-5p-diesel-2007-en-valencia-71863788-covo.aspx</t>
      </text>
    </comment>
    <comment ref="BT72" authorId="0" shapeId="0">
      <text>
        <t>Publicada en el anuncio (cochesnet): https://www.coches.net/ford-ka-trend-12-duratec-autostartstop-3p-gasolina-2015-en-valencia-71847203-covo.aspx</t>
      </text>
    </comment>
    <comment ref="BT73" authorId="0" shapeId="0">
      <text>
        <t>Publicada en el anuncio (cochesnet): https://www.coches.net/ford-fiesta-13-newport-5p-gasolina-2006-en-valencia-71841456-covo.aspx</t>
      </text>
    </comment>
    <comment ref="BT74" authorId="0" shapeId="0">
      <text>
        <t>Publicada en el anuncio (cochesnet): https://www.coches.net/ford-fiesta-14-tdci-trend-5p-diesel-2012-en-valencia-71654849-covo.aspx</t>
      </text>
    </comment>
    <comment ref="BT75" authorId="0" shapeId="0">
      <text>
        <t>Publicada en el anuncio (cochesnet): https://www.coches.net/ford-fiesta-14-tdci-trend-5p-diesel-2011-en-valencia-71021675-covo.aspx</t>
      </text>
    </comment>
    <comment ref="BT76" authorId="0" shapeId="0">
      <text>
        <t>Publicada en el anuncio (cochesnet): https://www.coches.net/ford-fiesta-14-tdci-ghia-5p-diesel-2009-en-valencia-71579775-covo.aspx</t>
      </text>
    </comment>
    <comment ref="BT77" authorId="0" shapeId="0">
      <text>
        <t>Publicada en el anuncio (cochesnet): https://www.coches.net/ford-focus-18-tdci-ghia-4p-diesel-2007-en-valencia-71753984-covo.aspx</t>
      </text>
    </comment>
    <comment ref="BT78" authorId="0" shapeId="0">
      <text>
        <t>Publicada en el anuncio (cochesnet): https://www.coches.net/ford-focus-18-tdci-ghia-5p-diesel-2007-en-valencia-71021526-covo.aspx</t>
      </text>
    </comment>
    <comment ref="BT79" authorId="0" shapeId="0">
      <text>
        <t>Publicada en el anuncio (cochesnet): https://www.coches.net/ford-fusion-14-tdci-ambiente-5p-diesel-2009-en-valencia-71793171-covo.aspx</t>
      </text>
    </comment>
    <comment ref="BT80" authorId="0" shapeId="0">
      <text>
        <t>Publicada en el anuncio (cochesnet): https://www.coches.net/fiat-linea-14-16v-tjet-120cv-dynamic-4p-gasolina-2007-en-valencia-70514152-covo.aspx</t>
      </text>
    </comment>
    <comment ref="BT81" authorId="0" shapeId="0">
      <text>
        <t>Publicada en el anuncio (cochesnet): https://www.coches.net/fiat-500-12-8v-69-cv-lounge-3p-gasolina-2014-en-valencia-62365434-covo.aspx</t>
      </text>
    </comment>
    <comment ref="BT82" authorId="0" shapeId="0">
      <text>
        <t>Publicada en el anuncio (cochesnet): https://www.coches.net/nissan-pixo-5p-10g-68cv-acenta-pack-safety-5p-gasolina-2011-en-valencia-71849245-covo.aspx</t>
      </text>
    </comment>
    <comment ref="BT83" authorId="0" shapeId="0">
      <text>
        <t>Publicada en el anuncio (cochesnet): https://www.coches.net/suzuki-alto-10-gl-5p-gasolina-2009-en-valencia-71530109-covo.aspx</t>
      </text>
    </comment>
    <comment ref="BT84" authorId="0" shapeId="0">
      <text>
        <t>Publicada en el anuncio (cochesnet): https://www.coches.net/mini-mini-one-3p-gasolina-2009-en-valencia-71332504-covo.aspx</t>
      </text>
    </comment>
    <comment ref="BT85" authorId="0" shapeId="0">
      <text>
        <t>Publicada en el anuncio (cochesnet): https://www.coches.net/chevrolet-aveo-12-16v-ls-5p-gasolina-2010-en-valencia-71527060-covo.aspx</t>
      </text>
    </comment>
    <comment ref="BT86" authorId="0" shapeId="0">
      <text>
        <t>Publicada en el anuncio (cochesnet): https://www.coches.net/chevrolet-cruze-20-vcdi-lt-5p-diesel-2013-en-valencia-71786529-covo.aspx</t>
      </text>
    </comment>
    <comment ref="BT87" authorId="0" shapeId="0">
      <text>
        <t>Publicada en el anuncio (cochesnet): https://www.coches.net/chevrolet-kalos-14-16v-sx-5p-gasolina-2007-en-valencia-71757437-covo.aspx</t>
      </text>
    </comment>
    <comment ref="BT88" authorId="0" shapeId="0">
      <text>
        <t>Publicada en el anuncio (cochesnet): https://www.coches.net/chevrolet-aveo-12-ls-5p-gasolina-2012-en-valencia-71574866-covo.aspx</t>
      </text>
    </comment>
    <comment ref="BT89" authorId="0" shapeId="0">
      <text>
        <t>Publicada en el anuncio (cochesnet): https://www.coches.net/chevrolet-epica-20-vcdi-16v-lt-4p-diesel-2008-en-valencia-71536876-covo.aspx</t>
      </text>
    </comment>
    <comment ref="BT90" authorId="0" shapeId="0">
      <text>
        <t>Publicada en el anuncio (cochesnet): https://www.coches.net/seat-ibiza-19-tdi-100cv-hit-5p-diesel-2007-en-castellon-62641273-covo.aspx</t>
      </text>
    </comment>
    <comment ref="BT91" authorId="0" shapeId="0">
      <text>
        <t>Publicada en el anuncio (cochesnet): https://www.coches.net/opel-corsa-enjoy-12-5p-gasolina-2008-en-castellon-71526255-covo.aspx</t>
      </text>
    </comment>
    <comment ref="BT92" authorId="0" shapeId="0">
      <text>
        <t>Publicada en el anuncio (cochesnet): https://www.coches.net/renault-twingo-authentique-12-eco2-3p-gasolina-2008-en-castellon-70895846-covo.aspx</t>
      </text>
    </comment>
    <comment ref="BT93" authorId="0" shapeId="0">
      <text>
        <t>Publicada en el anuncio (cochesnet): https://www.coches.net/peugeot-207-confort-14-vti-16v-95-5p-gasolina-2009-en-castellon-71576158-covo.aspx</t>
      </text>
    </comment>
    <comment ref="BT94" authorId="0" shapeId="0">
      <text>
        <t>Publicada en el anuncio (cochesnet): https://www.coches.net/fiat-500-09-turbo-twinair-85cv-blackjack-3p-gasolina-2007-en-castellon-70833137-covo.aspx</t>
      </text>
    </comment>
    <comment ref="BT95" authorId="0" shapeId="0">
      <text>
        <t>Publicada en el anuncio (cochesnet): https://www.coches.net/smart-forfour-15-cdi-68cv-pure-5p-diesel-2006-en-castellon-70558216-covo.aspx</t>
      </text>
    </comment>
    <comment ref="BT96" authorId="0" shapeId="0">
      <text>
        <t>Publicada en el anuncio (cochesnet): https://www.coches.net/chevrolet-aveo-12-16v-ls-5p-gasolina-2011-en-castellon-71789822-covo.aspx</t>
      </text>
    </comment>
    <comment ref="BT97" authorId="0" shapeId="0">
      <text>
        <t>Publicada en el anuncio (cochesnet): https://www.coches.net/chevrolet-matiz-10-s-5p-gasolina-2006-en-castellon-71686041-covo.aspx</t>
      </text>
    </comment>
    <comment ref="BT98" authorId="0" shapeId="0">
      <text>
        <t>Publicada en el anuncio (cochesnet): https://www.coches.net/chevrolet-kalos-12-se-3p-gasolina-2006-en-castellon-71319739-covo.aspx</t>
      </text>
    </comment>
    <comment ref="BT99" authorId="0" shapeId="0">
      <text>
        <t>Fichero oficial DGT de distintivos (código 16TB, matrícula 6845CZN)</t>
      </text>
    </comment>
    <comment ref="BT100" authorId="0" shapeId="0">
      <text>
        <t>Fichero oficial DGT de distintivos (código 16TB, matrícula 5931DFD)</t>
      </text>
    </comment>
    <comment ref="BT101" authorId="0" shapeId="0">
      <text>
        <t>Fichero oficial DGT de distintivos (código 16TB, matrícula 6166DKJ)</t>
      </text>
    </comment>
    <comment ref="BT102" authorId="0" shapeId="0">
      <text>
        <t>Fichero oficial DGT de distintivos (código 16TB, matrícula 0751DJL)</t>
      </text>
    </comment>
    <comment ref="BT103" authorId="0" shapeId="0">
      <text>
        <t>Fichero oficial DGT de distintivos (código 16TB, matrícula 1000KMS)</t>
      </text>
    </comment>
    <comment ref="BT104" authorId="0" shapeId="0">
      <text>
        <t>Publicada en el anuncio (cochesnet): https://www.coches.net/kia-rio-15-16v-ls-5p-gasolina-2004-en-valencia-71021641-covo.aspx</t>
      </text>
    </comment>
    <comment ref="BT105" authorId="0" shapeId="0">
      <text>
        <t>Publicada en el anuncio (cochesnet): https://www.coches.net/kia-picanto-11-sohc-lx-5p-gasolina-2006-en-valencia-71596757-covo.aspx</t>
      </text>
    </comment>
    <comment ref="BT106" authorId="0" shapeId="0">
      <text>
        <t>Publicada en el anuncio (cochesnet): https://www.coches.net/kia-rio-13-rs-5p-gasolina-2004-en-valencia-71476718-covo.aspx</t>
      </text>
    </comment>
    <comment ref="BT107" authorId="0" shapeId="0">
      <text>
        <t>Publicada en el anuncio (cochesnet): https://www.coches.net/kia-rio-15-16v-ls-5p-gasolina-2004-en-valencia-71758915-covo.aspx</t>
      </text>
    </comment>
    <comment ref="BT108" authorId="0" shapeId="0">
      <text>
        <t>Publicada en el anuncio (cochesnet): https://www.coches.net/kia-rio-13-rs-5p-gasolina-2004-en-valencia-71659908-covo.aspx</t>
      </text>
    </comment>
    <comment ref="BT109" authorId="0" shapeId="0">
      <text>
        <t>Publicada en el anuncio (cochesnet): https://www.coches.net/volkswagen-golf-16-trendline-3p-gasolina-2005-en-valencia-71783945-covo.aspx</t>
      </text>
    </comment>
    <comment ref="BT110" authorId="0" shapeId="0">
      <text>
        <t>Publicada en el anuncio (cochesnet): https://www.coches.net/opel-astra-22-dti-16v-bertone-edition-2p-diesel-2003-en-valencia-71237695-covo.aspx</t>
      </text>
    </comment>
    <comment ref="BT111" authorId="0" shapeId="0">
      <text>
        <t>Publicada en el anuncio (cochesnet): https://www.coches.net/opel-astra-gtc-16-16v-enjoy-3p-gasolina-2007-en-valencia-71694227-covo.aspx</t>
      </text>
    </comment>
    <comment ref="BT112" authorId="0" shapeId="0">
      <text>
        <t>Publicada en el anuncio (cochesnet): https://www.coches.net/renault-megane-confort-dynamique-14-16v-3p-gasolina-2004-en-valencia-71793733-covo.aspx</t>
      </text>
    </comment>
    <comment ref="BT113" authorId="0" shapeId="0">
      <text>
        <t>Publicada en el anuncio (cochesnet): https://www.coches.net/renault-laguna-dynamique-20-16v-140cv-5p-gasolina-2008-en-valencia-71766881-covo.aspx</t>
      </text>
    </comment>
    <comment ref="BT114" authorId="0" shapeId="0">
      <text>
        <t>Publicada en el anuncio (cochesnet): https://www.coches.net/peugeot-206-xr-refri-75-5p-gasolina-2002-en-valencia-71677639-covo.aspx</t>
      </text>
    </comment>
    <comment ref="BT115" authorId="0" shapeId="0">
      <text>
        <t>Publicada en el anuncio (cochesnet): https://www.coches.net/peugeot-206-xline-75-5p-gasolina-2002-en-valencia-71681078-covo.aspx</t>
      </text>
    </comment>
    <comment ref="BT116" authorId="0" shapeId="0">
      <text>
        <t>Publicada en el anuncio (cochesnet): https://www.coches.net/citroen-c2-11i-audace-3p-gasolina-2005-en-valencia-71730074-covo.aspx</t>
      </text>
    </comment>
    <comment ref="BT117" authorId="0" shapeId="0">
      <text>
        <t>Publicada en el anuncio (cochesnet): https://www.coches.net/citroen-c3-14i-exclusive-5p-gasolina-2005-en-valencia-71405714-covo.aspx</t>
      </text>
    </comment>
    <comment ref="BT118" authorId="0" shapeId="0">
      <text>
        <t>Publicada en el anuncio (cochesnet): https://www.coches.net/ford-fusion-16-16v-elegance-5p-gasolina-2004-en-valencia-71594001-covo.aspx</t>
      </text>
    </comment>
    <comment ref="BT119" authorId="0" shapeId="0">
      <text>
        <t>Publicada en el anuncio (cochesnet): https://www.coches.net/ford-mondeo-20-tdci-futura-5p-diesel-2005-en-valencia-71857690-covo.aspx</t>
      </text>
    </comment>
    <comment ref="BT120" authorId="0" shapeId="0">
      <text>
        <t>Publicada en el anuncio (cochesnet): https://www.coches.net/ford-mondeo-20-tdci-140-ghia-5p-diesel-2008-en-valencia-71830314-covo.aspx</t>
      </text>
    </comment>
    <comment ref="BT121" authorId="0" shapeId="0">
      <text>
        <t>Publicada en el anuncio (cochesnet): https://www.coches.net/ford-mondeo-18-tdci-125-trend-5p-diesel-2007-en-valencia-71545576-covo.aspx</t>
      </text>
    </comment>
    <comment ref="BT122" authorId="0" shapeId="0">
      <text>
        <t>Publicada en el anuncio (cochesnet): https://www.coches.net/audi-a3-16-ambition-3p-gasolina-2005-en-valencia-71492732-covo.aspx</t>
      </text>
    </comment>
    <comment ref="BT123" authorId="0" shapeId="0">
      <text>
        <t>Publicada en el anuncio (cochesnet): https://www.coches.net/mini-mini-one-3p-gasolina-2005-en-valencia-71701564-covo.aspx</t>
      </text>
    </comment>
    <comment ref="BT124" authorId="0" shapeId="0">
      <text>
        <t>Publicada en el anuncio (cochesnet): https://www.coches.net/chevrolet-nubira-16-se-4p-gasolina-2005-en-valencia-70490221-covo.aspx</t>
      </text>
    </comment>
    <comment ref="BT125" authorId="0" shapeId="0">
      <text>
        <t>Publicada en el anuncio (cochesnet): https://www.coches.net/mazda-mazda2-sportive-16-5p-gasolina-2003-en-castellon-71566674-covo.aspx</t>
      </text>
    </comment>
    <comment ref="BT126" authorId="0" shapeId="0">
      <text>
        <t>Publicada en el anuncio (cochesnet): https://www.coches.net/seat-ibiza-14-16v-75-cv-signa-3p-gasolina-2004-en-castellon-71837054-covo.aspx</t>
      </text>
    </comment>
    <comment ref="BT127" authorId="0" shapeId="0">
      <text>
        <t>Publicada en el anuncio (cochesnet): https://www.coches.net/opel-meriva-enjoy-1.4-xep-5p-gasolina-2005-en-castellon-61732430-covo.aspx</t>
      </text>
    </comment>
    <comment ref="BT128" authorId="0" shapeId="0">
      <text>
        <t>Publicada en el anuncio (cochesnet): https://www.coches.net/citroen-c3-14i-exclusive-5p-gasolina-2005-en-castellon-71585987-covo.aspx</t>
      </text>
    </comment>
    <comment ref="BT129" authorId="0" shapeId="0">
      <text>
        <t>Publicada en el anuncio (cochesnet): https://www.coches.net/ford-focus-16-ghia-5p-gasolina-2003-en-castellon-71579420-covo.aspx</t>
      </text>
    </comment>
    <comment ref="BT130" authorId="0" shapeId="0">
      <text>
        <t>Fichero oficial DGT de distintivos (código 16TB, matrícula 1000KMS)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ocasionplus.com/coches-segunda-mano/opel-astra-17-cdti-edition-con-174458km-2009-b9f8hqaq" TargetMode="External" Id="rId1"/><Relationship Type="http://schemas.openxmlformats.org/officeDocument/2006/relationships/hyperlink" Target="https://www.ocasionplus.com/coches-segunda-mano/peugeot-207-14-confort-con-116183km-2008-b9auzqaa" TargetMode="External" Id="rId2"/><Relationship Type="http://schemas.openxmlformats.org/officeDocument/2006/relationships/hyperlink" Target="https://www.ocasionplus.com/coches-segunda-mano/ford-ka-13-collection-con-115071km-2008-saqsyqa5" TargetMode="External" Id="rId3"/><Relationship Type="http://schemas.openxmlformats.org/officeDocument/2006/relationships/hyperlink" Target="https://www.coches.net/mazda-mazda2-active-14-crtd-5p-diesel-2007-en-valencia-71265682-covo.aspx" TargetMode="External" Id="rId4"/><Relationship Type="http://schemas.openxmlformats.org/officeDocument/2006/relationships/hyperlink" Target="https://www.coches.net/kia-picanto-10-sohc-concept-5p-gasolina-2010-en-valencia-71817386-covo.aspx" TargetMode="External" Id="rId5"/><Relationship Type="http://schemas.openxmlformats.org/officeDocument/2006/relationships/hyperlink" Target="https://www.coches.net/hyundai-i10-11-comfort-5p-gasolina-2008-en-valencia-71571543-covo.aspx" TargetMode="External" Id="rId6"/><Relationship Type="http://schemas.openxmlformats.org/officeDocument/2006/relationships/hyperlink" Target="https://www.coches.net/opel-corsa-10-essentia-3p-gasolina-2011-en-valencia-71625576-covo.aspx" TargetMode="External" Id="rId7"/><Relationship Type="http://schemas.openxmlformats.org/officeDocument/2006/relationships/hyperlink" Target="https://www.coches.net/opel-astra-gtc-14-16v-essentia-3p-gasolina-2009-en-valencia-71876224-covo.aspx" TargetMode="External" Id="rId8"/><Relationship Type="http://schemas.openxmlformats.org/officeDocument/2006/relationships/hyperlink" Target="https://www.coches.net/opel-astra-13-ecoflex-ss-selective-5p-diesel-2013-en-valencia-71339047-covo.aspx" TargetMode="External" Id="rId9"/><Relationship Type="http://schemas.openxmlformats.org/officeDocument/2006/relationships/hyperlink" Target="https://www.coches.net/renault-megane-emotion-2008-14-16v-5p-gasolina-2008-en-valencia-71399209-covo.aspx" TargetMode="External" Id="rId10"/><Relationship Type="http://schemas.openxmlformats.org/officeDocument/2006/relationships/hyperlink" Target="https://www.coches.net/renault-megane-dynamique-15dci85-eco2-5p-diesel-2008-en-valencia-71622320-covo.aspx" TargetMode="External" Id="rId11"/><Relationship Type="http://schemas.openxmlformats.org/officeDocument/2006/relationships/hyperlink" Target="https://www.coches.net/renault-megane-dynamique-16-16v-110-e5-5p-gasolina-2010-en-valencia-71224992-covo.aspx" TargetMode="External" Id="rId12"/><Relationship Type="http://schemas.openxmlformats.org/officeDocument/2006/relationships/hyperlink" Target="https://www.coches.net/dacia-sandero-ambiance-12-75cv-5p-gasolina-2012-en-valencia-70507667-covo.aspx" TargetMode="External" Id="rId13"/><Relationship Type="http://schemas.openxmlformats.org/officeDocument/2006/relationships/hyperlink" Target="https://www.coches.net/dacia-logan-laureate-14-4p-gasolina-2007-en-valencia-71571620-covo.aspx" TargetMode="External" Id="rId14"/><Relationship Type="http://schemas.openxmlformats.org/officeDocument/2006/relationships/hyperlink" Target="https://www.coches.net/peugeot-207-confort-14-75-5p-gasolina-2009-en-valencia-71833160-covo.aspx" TargetMode="External" Id="rId15"/><Relationship Type="http://schemas.openxmlformats.org/officeDocument/2006/relationships/hyperlink" Target="https://www.coches.net/peugeot-208-5p-active-14-hdi-68-5p-diesel-2014-en-valencia-71521071-covo.aspx" TargetMode="External" Id="rId16"/><Relationship Type="http://schemas.openxmlformats.org/officeDocument/2006/relationships/hyperlink" Target="https://www.coches.net/ford-ka-12-trend-3p-gasolina-2010-en-valencia-71569576-covo.aspx" TargetMode="External" Id="rId17"/><Relationship Type="http://schemas.openxmlformats.org/officeDocument/2006/relationships/hyperlink" Target="https://www.coches.net/ford-fiesta-14-tdci-trend-5p-diesel-2011-en-valencia-70592187-covo.aspx" TargetMode="External" Id="rId18"/><Relationship Type="http://schemas.openxmlformats.org/officeDocument/2006/relationships/hyperlink" Target="https://www.coches.net/ford-fiesta-14-tdci-trend-5p-diesel-2011-en-valencia-71146219-covo.aspx" TargetMode="External" Id="rId19"/><Relationship Type="http://schemas.openxmlformats.org/officeDocument/2006/relationships/hyperlink" Target="https://www.coches.net/fiat-punto-12-active-e5-5p-gasolina-2009-en-valencia-71816544-covo.aspx" TargetMode="External" Id="rId20"/><Relationship Type="http://schemas.openxmlformats.org/officeDocument/2006/relationships/hyperlink" Target="https://www.coches.net/chevrolet-aveo-14-16v-lt-4p-gasolina-2008-en-valencia-71651301-covo.aspx" TargetMode="External" Id="rId21"/><Relationship Type="http://schemas.openxmlformats.org/officeDocument/2006/relationships/hyperlink" Target="https://www.coches.net/chevrolet-aveo-14-16v-ls-5p-gasolina-2010-en-valencia-71533850-covo.aspx" TargetMode="External" Id="rId22"/><Relationship Type="http://schemas.openxmlformats.org/officeDocument/2006/relationships/hyperlink" Target="https://www.ocasionplus.com/coches-segunda-mano/lancia-ypsilon-14-8v-platino-con-126555km-2007-b1himqaq" TargetMode="External" Id="rId23"/><Relationship Type="http://schemas.openxmlformats.org/officeDocument/2006/relationships/hyperlink" Target="https://www.ocasionplus.com/coches-segunda-mano/renault-clio-14-16v-dynamique-con-106165km-2006-zgabhqan" TargetMode="External" Id="rId24"/><Relationship Type="http://schemas.openxmlformats.org/officeDocument/2006/relationships/hyperlink" Target="https://www.ocasionplus.com/coches-segunda-mano/seat-ibiza-14-tdi-reference-con-140744km-2007-ychajqan" TargetMode="External" Id="rId25"/><Relationship Type="http://schemas.openxmlformats.org/officeDocument/2006/relationships/hyperlink" Target="https://www.ocasionplus.com/coches-segunda-mano/ford-mondeo-20-tdci-ghia-con-142530km-2006-somqeqa3" TargetMode="External" Id="rId26"/><Relationship Type="http://schemas.openxmlformats.org/officeDocument/2006/relationships/hyperlink" Target="https://www.ocasionplus.com/coches-segunda-mano/seat-ibiza-14-16v-reference-con-70908km-2006-azeojqah" TargetMode="External" Id="rId27"/><Relationship Type="http://schemas.openxmlformats.org/officeDocument/2006/relationships/hyperlink" Target="https://www.ocasionplus.com/coches-segunda-mano/opel-corsa-12-enjoy-mta-con-112793km-2007-nu8qgqaj" TargetMode="External" Id="rId28"/><Relationship Type="http://schemas.openxmlformats.org/officeDocument/2006/relationships/hyperlink" Target="https://www.ocasionplus.com/coches-segunda-mano/fiat-panda-12-dynamic-con-213136km-2006" TargetMode="External" Id="rId29"/><Relationship Type="http://schemas.openxmlformats.org/officeDocument/2006/relationships/hyperlink" Target="https://www.coches.net/seat-ibiza-14-16v-75-cv-reference-5p-gasolina-2006-en-castellon-71437236-covo.aspx" TargetMode="External" Id="rId30"/><Relationship Type="http://schemas.openxmlformats.org/officeDocument/2006/relationships/hyperlink" Target="https://www.coches.net/mazda-mazda2-active-14-crtd-5p-diesel-2007-en-valencia-71732041-covo.aspx" TargetMode="External" Id="rId31"/><Relationship Type="http://schemas.openxmlformats.org/officeDocument/2006/relationships/hyperlink" Target="https://www.coches.net/kia-picanto-11-sohc-lx-5p-gasolina-2007-en-valencia-71778568-covo.aspx" TargetMode="External" Id="rId32"/><Relationship Type="http://schemas.openxmlformats.org/officeDocument/2006/relationships/hyperlink" Target="https://www.coches.net/kia-picanto-11-sohc-ex-5p-gasolina-2006-en-valencia-71687938-covo.aspx" TargetMode="External" Id="rId33"/><Relationship Type="http://schemas.openxmlformats.org/officeDocument/2006/relationships/hyperlink" Target="https://www.coches.net/kia-ceed-16-crdi-115cv-emotion-5p-diesel-2009-en-valencia-71704887-covo.aspx" TargetMode="External" Id="rId34"/><Relationship Type="http://schemas.openxmlformats.org/officeDocument/2006/relationships/hyperlink" Target="https://www.coches.net/skoda-citigo-10-mpi-60cv-ambition-3p-gasolina-2015-en-valencia-71648429-covo.aspx" TargetMode="External" Id="rId35"/><Relationship Type="http://schemas.openxmlformats.org/officeDocument/2006/relationships/hyperlink" Target="https://www.coches.net/skoda-fabia-sedan-14-tdi-80cv-comfort-4p-diesel-2006-en-valencia-71619015-covo.aspx" TargetMode="External" Id="rId36"/><Relationship Type="http://schemas.openxmlformats.org/officeDocument/2006/relationships/hyperlink" Target="https://www.coches.net/seat-ibiza-19-tdi-100cv-sport-5p-diesel-2008-en-valencia-71867781-covo.aspx" TargetMode="External" Id="rId37"/><Relationship Type="http://schemas.openxmlformats.org/officeDocument/2006/relationships/hyperlink" Target="https://www.coches.net/volkswagen-polo-12-edition-70cv-5p-gasolina-2008-en-valencia-71866787-covo.aspx" TargetMode="External" Id="rId38"/><Relationship Type="http://schemas.openxmlformats.org/officeDocument/2006/relationships/hyperlink" Target="https://www.coches.net/opel-corsa-enjoy-12-5p-gasolina-2008-en-valencia-71806576-covo.aspx" TargetMode="External" Id="rId39"/><Relationship Type="http://schemas.openxmlformats.org/officeDocument/2006/relationships/hyperlink" Target="https://www.coches.net/opel-corsa-enjoy-12-3p-gasolina-2007-en-valencia-71790451-covo.aspx" TargetMode="External" Id="rId40"/><Relationship Type="http://schemas.openxmlformats.org/officeDocument/2006/relationships/hyperlink" Target="https://www.coches.net/opel-corsa-13-cdti-color-edition-3p-diesel-2012-en-valencia-71248981-covo.aspx" TargetMode="External" Id="rId41"/><Relationship Type="http://schemas.openxmlformats.org/officeDocument/2006/relationships/hyperlink" Target="https://es.wallapop.com/item/kia-picanto-1-1-active-48-kw-65-cv-1286345810" TargetMode="External" Id="rId42"/><Relationship Type="http://schemas.openxmlformats.org/officeDocument/2006/relationships/hyperlink" Target="https://es.wallapop.com/item/opel-corsa-1-2-111-years-63-kw-85-cv-1316246339" TargetMode="External" Id="rId43"/><Relationship Type="http://schemas.openxmlformats.org/officeDocument/2006/relationships/hyperlink" Target="https://es.wallapop.com/item/opel-astra-1-7-cdti-enjoy-74-kw-100-cv-1302134212" TargetMode="External" Id="rId44"/><Relationship Type="http://schemas.openxmlformats.org/officeDocument/2006/relationships/hyperlink" Target="https://www.autoscout24.es/anuncios/renault-clio-1-6-exception2-aut-gasolina-gris-cat_ma60mo1961-5bfc2106-d9ab-4c5d-84d4-6b212cf78574" TargetMode="External" Id="rId45"/><Relationship Type="http://schemas.openxmlformats.org/officeDocument/2006/relationships/hyperlink" Target="https://es.wallapop.com/item/renault-megane-sport-tourer-dynamique-dci-81-kw-110-cv-1283471685" TargetMode="External" Id="rId46"/><Relationship Type="http://schemas.openxmlformats.org/officeDocument/2006/relationships/hyperlink" Target="https://es.wallapop.com/item/fiat-punto-1-4-t-jet-sport-88-kw-120-cv-1305071192" TargetMode="External" Id="rId47"/><Relationship Type="http://schemas.openxmlformats.org/officeDocument/2006/relationships/hyperlink" Target="https://www.coches.net/opel-astra-13-cdti-111-years-gtc-3p-diesel-2011-en-valencia-71799024-covo.aspx" TargetMode="External" Id="rId48"/><Relationship Type="http://schemas.openxmlformats.org/officeDocument/2006/relationships/hyperlink" Target="https://www.coches.net/opel-astra-19-cdti-enjoy-120-cv-5p-diesel-2007-en-valencia-71599225-covo.aspx" TargetMode="External" Id="rId49"/><Relationship Type="http://schemas.openxmlformats.org/officeDocument/2006/relationships/hyperlink" Target="https://www.coches.net/opel-astra-14-enjoy-5p-gasolina-2006-en-valencia-71722524-covo.aspx" TargetMode="External" Id="rId50"/><Relationship Type="http://schemas.openxmlformats.org/officeDocument/2006/relationships/hyperlink" Target="https://www.coches.net/opel-astra-17-cdti-enjoy-sw-5p-diesel-2007-en-valencia-71241892-covo.aspx" TargetMode="External" Id="rId51"/><Relationship Type="http://schemas.openxmlformats.org/officeDocument/2006/relationships/hyperlink" Target="https://www.coches.net/opel-meriva-17-cdti-110-cv-cosmo-5p-diesel-2012-en-valencia-71555949-covo.aspx" TargetMode="External" Id="rId52"/><Relationship Type="http://schemas.openxmlformats.org/officeDocument/2006/relationships/hyperlink" Target="https://www.coches.net/renault-megane-coupecabrio-dynamique-16-16v-2p-gasolina-2007-en-valencia-71508169-covo.aspx" TargetMode="External" Id="rId53"/><Relationship Type="http://schemas.openxmlformats.org/officeDocument/2006/relationships/hyperlink" Target="https://www.coches.net/renault-megane-coupecabrio-dynamique-16-16v-2p-gasolina-2007-en-valencia-71662456-covo.aspx" TargetMode="External" Id="rId54"/><Relationship Type="http://schemas.openxmlformats.org/officeDocument/2006/relationships/hyperlink" Target="https://www.coches.net/renault-clio-grand-tour-tom-tom-ed-15dci-85cv-eco2-5p-diesel-2009-en-valencia-71813489-covo.aspx" TargetMode="External" Id="rId55"/><Relationship Type="http://schemas.openxmlformats.org/officeDocument/2006/relationships/hyperlink" Target="https://www.coches.net/renault-clio-expression-12-16v-5p-gasolina-2007-en-valencia-71693535-covo.aspx" TargetMode="External" Id="rId56"/><Relationship Type="http://schemas.openxmlformats.org/officeDocument/2006/relationships/hyperlink" Target="https://www.coches.net/renault-megane-business-dci-110-5p-diesel-2012-en-valencia-71684364-covo.aspx" TargetMode="External" Id="rId57"/><Relationship Type="http://schemas.openxmlformats.org/officeDocument/2006/relationships/hyperlink" Target="https://www.coches.net/renault-megane-dynamique-energy-dci-110-ss-eco2-3p-diesel-2012-en-valencia-71537820-covo.aspx" TargetMode="External" Id="rId58"/><Relationship Type="http://schemas.openxmlformats.org/officeDocument/2006/relationships/hyperlink" Target="https://www.coches.net/renault-megane-sport-tourer-dynamique-15dci-105cv-eco2-5p-diesel-2009-en-valencia-71783816-covo.aspx" TargetMode="External" Id="rId59"/><Relationship Type="http://schemas.openxmlformats.org/officeDocument/2006/relationships/hyperlink" Target="https://www.coches.net/renault-modus-confort-dynamique-14-16v-5p-gasolina-2006-en-valencia-70833355-covo.aspx" TargetMode="External" Id="rId60"/><Relationship Type="http://schemas.openxmlformats.org/officeDocument/2006/relationships/hyperlink" Target="https://www.coches.net/dacia-sandero-laureate-12-16v-75cv-5p-gasolina-2009-en-valencia-71749298-covo.aspx" TargetMode="External" Id="rId61"/><Relationship Type="http://schemas.openxmlformats.org/officeDocument/2006/relationships/hyperlink" Target="https://www.coches.net/peugeot-207-confort-14-vti-16v-95-5p-gasolina-2008-en-valencia-71858806-covo.aspx" TargetMode="External" Id="rId62"/><Relationship Type="http://schemas.openxmlformats.org/officeDocument/2006/relationships/hyperlink" Target="https://www.coches.net/peugeot-207-14-16v-xt-5p-gasolina-2006-en-valencia-71828437-covo.aspx" TargetMode="External" Id="rId63"/><Relationship Type="http://schemas.openxmlformats.org/officeDocument/2006/relationships/hyperlink" Target="https://www.coches.net/peugeot-207-confort-14-vti-16v-95-5p-gasolina-2008-en-valencia-71618681-covo.aspx" TargetMode="External" Id="rId64"/><Relationship Type="http://schemas.openxmlformats.org/officeDocument/2006/relationships/hyperlink" Target="https://www.coches.net/citroen-c3-picasso-hdi-110cv-fap-airdream-exclusive-5p-diesel-2009-en-valencia-71733143-covo.aspx" TargetMode="External" Id="rId65"/><Relationship Type="http://schemas.openxmlformats.org/officeDocument/2006/relationships/hyperlink" Target="https://www.coches.net/citroen-c3-hdi-70-attraction-5p-diesel-2011-en-valencia-71041894-covo.aspx" TargetMode="External" Id="rId66"/><Relationship Type="http://schemas.openxmlformats.org/officeDocument/2006/relationships/hyperlink" Target="https://www.coches.net/citroen-c3-ehdi-115-exclusive-5p-diesel-2013-en-valencia-71039872-covo.aspx" TargetMode="External" Id="rId67"/><Relationship Type="http://schemas.openxmlformats.org/officeDocument/2006/relationships/hyperlink" Target="https://www.coches.net/citroen-c-elysee-hdi-90cv-millenium-4p-diesel-2014-en-valencia-71818180-covo.aspx" TargetMode="External" Id="rId68"/><Relationship Type="http://schemas.openxmlformats.org/officeDocument/2006/relationships/hyperlink" Target="https://www.coches.net/ford-fiesta-14-tdci-trend-5p-diesel-2010-en-valencia-71618923-covo.aspx" TargetMode="External" Id="rId69"/><Relationship Type="http://schemas.openxmlformats.org/officeDocument/2006/relationships/hyperlink" Target="https://www.coches.net/ford-focus-18-tdci-trend-5p-diesel-2007-en-valencia-71863788-covo.aspx" TargetMode="External" Id="rId70"/><Relationship Type="http://schemas.openxmlformats.org/officeDocument/2006/relationships/hyperlink" Target="https://www.coches.net/ford-ka-trend-12-duratec-autostartstop-3p-gasolina-2015-en-valencia-71847203-covo.aspx" TargetMode="External" Id="rId71"/><Relationship Type="http://schemas.openxmlformats.org/officeDocument/2006/relationships/hyperlink" Target="https://www.coches.net/ford-fiesta-13-newport-5p-gasolina-2006-en-valencia-71841456-covo.aspx" TargetMode="External" Id="rId72"/><Relationship Type="http://schemas.openxmlformats.org/officeDocument/2006/relationships/hyperlink" Target="https://www.coches.net/ford-fiesta-14-tdci-trend-5p-diesel-2012-en-valencia-71654849-covo.aspx" TargetMode="External" Id="rId73"/><Relationship Type="http://schemas.openxmlformats.org/officeDocument/2006/relationships/hyperlink" Target="https://www.coches.net/ford-fiesta-14-tdci-trend-5p-diesel-2011-en-valencia-71021675-covo.aspx" TargetMode="External" Id="rId74"/><Relationship Type="http://schemas.openxmlformats.org/officeDocument/2006/relationships/hyperlink" Target="https://www.coches.net/ford-fiesta-14-tdci-ghia-5p-diesel-2009-en-valencia-71579775-covo.aspx" TargetMode="External" Id="rId75"/><Relationship Type="http://schemas.openxmlformats.org/officeDocument/2006/relationships/hyperlink" Target="https://www.coches.net/ford-focus-18-tdci-ghia-4p-diesel-2007-en-valencia-71753984-covo.aspx" TargetMode="External" Id="rId76"/><Relationship Type="http://schemas.openxmlformats.org/officeDocument/2006/relationships/hyperlink" Target="https://www.coches.net/ford-focus-18-tdci-ghia-5p-diesel-2007-en-valencia-71021526-covo.aspx" TargetMode="External" Id="rId77"/><Relationship Type="http://schemas.openxmlformats.org/officeDocument/2006/relationships/hyperlink" Target="https://www.coches.net/ford-fusion-14-tdci-ambiente-5p-diesel-2009-en-valencia-71793171-covo.aspx" TargetMode="External" Id="rId78"/><Relationship Type="http://schemas.openxmlformats.org/officeDocument/2006/relationships/hyperlink" Target="https://www.coches.net/fiat-linea-14-16v-tjet-120cv-dynamic-4p-gasolina-2007-en-valencia-70514152-covo.aspx" TargetMode="External" Id="rId79"/><Relationship Type="http://schemas.openxmlformats.org/officeDocument/2006/relationships/hyperlink" Target="https://www.coches.net/fiat-500-12-8v-69-cv-lounge-3p-gasolina-2014-en-valencia-62365434-covo.aspx" TargetMode="External" Id="rId80"/><Relationship Type="http://schemas.openxmlformats.org/officeDocument/2006/relationships/hyperlink" Target="https://www.coches.net/nissan-pixo-5p-10g-68cv-acenta-pack-safety-5p-gasolina-2011-en-valencia-71849245-covo.aspx" TargetMode="External" Id="rId81"/><Relationship Type="http://schemas.openxmlformats.org/officeDocument/2006/relationships/hyperlink" Target="https://www.coches.net/suzuki-alto-10-gl-5p-gasolina-2009-en-valencia-71530109-covo.aspx" TargetMode="External" Id="rId82"/><Relationship Type="http://schemas.openxmlformats.org/officeDocument/2006/relationships/hyperlink" Target="https://www.coches.net/mini-mini-one-3p-gasolina-2009-en-valencia-71332504-covo.aspx" TargetMode="External" Id="rId83"/><Relationship Type="http://schemas.openxmlformats.org/officeDocument/2006/relationships/hyperlink" Target="https://www.coches.net/chevrolet-aveo-12-16v-ls-5p-gasolina-2010-en-valencia-71527060-covo.aspx" TargetMode="External" Id="rId84"/><Relationship Type="http://schemas.openxmlformats.org/officeDocument/2006/relationships/hyperlink" Target="https://www.coches.net/chevrolet-cruze-20-vcdi-lt-5p-diesel-2013-en-valencia-71786529-covo.aspx" TargetMode="External" Id="rId85"/><Relationship Type="http://schemas.openxmlformats.org/officeDocument/2006/relationships/hyperlink" Target="https://www.coches.net/chevrolet-kalos-14-16v-sx-5p-gasolina-2007-en-valencia-71757437-covo.aspx" TargetMode="External" Id="rId86"/><Relationship Type="http://schemas.openxmlformats.org/officeDocument/2006/relationships/hyperlink" Target="https://www.coches.net/chevrolet-aveo-12-ls-5p-gasolina-2012-en-valencia-71574866-covo.aspx" TargetMode="External" Id="rId87"/><Relationship Type="http://schemas.openxmlformats.org/officeDocument/2006/relationships/hyperlink" Target="https://www.coches.net/chevrolet-epica-20-vcdi-16v-lt-4p-diesel-2008-en-valencia-71536876-covo.aspx" TargetMode="External" Id="rId88"/><Relationship Type="http://schemas.openxmlformats.org/officeDocument/2006/relationships/hyperlink" Target="https://www.coches.net/seat-ibiza-19-tdi-100cv-hit-5p-diesel-2007-en-castellon-62641273-covo.aspx" TargetMode="External" Id="rId89"/><Relationship Type="http://schemas.openxmlformats.org/officeDocument/2006/relationships/hyperlink" Target="https://www.coches.net/opel-corsa-enjoy-12-5p-gasolina-2008-en-castellon-71526255-covo.aspx" TargetMode="External" Id="rId90"/><Relationship Type="http://schemas.openxmlformats.org/officeDocument/2006/relationships/hyperlink" Target="https://www.coches.net/renault-twingo-authentique-12-eco2-3p-gasolina-2008-en-castellon-70895846-covo.aspx" TargetMode="External" Id="rId91"/><Relationship Type="http://schemas.openxmlformats.org/officeDocument/2006/relationships/hyperlink" Target="https://www.coches.net/peugeot-207-confort-14-vti-16v-95-5p-gasolina-2009-en-castellon-71576158-covo.aspx" TargetMode="External" Id="rId92"/><Relationship Type="http://schemas.openxmlformats.org/officeDocument/2006/relationships/hyperlink" Target="https://www.coches.net/fiat-500-09-turbo-twinair-85cv-blackjack-3p-gasolina-2007-en-castellon-70833137-covo.aspx" TargetMode="External" Id="rId93"/><Relationship Type="http://schemas.openxmlformats.org/officeDocument/2006/relationships/hyperlink" Target="https://www.coches.net/smart-forfour-15-cdi-68cv-pure-5p-diesel-2006-en-castellon-70558216-covo.aspx" TargetMode="External" Id="rId94"/><Relationship Type="http://schemas.openxmlformats.org/officeDocument/2006/relationships/hyperlink" Target="https://www.coches.net/chevrolet-aveo-12-16v-ls-5p-gasolina-2011-en-castellon-71789822-covo.aspx" TargetMode="External" Id="rId95"/><Relationship Type="http://schemas.openxmlformats.org/officeDocument/2006/relationships/hyperlink" Target="https://www.coches.net/chevrolet-matiz-10-s-5p-gasolina-2006-en-castellon-71686041-covo.aspx" TargetMode="External" Id="rId96"/><Relationship Type="http://schemas.openxmlformats.org/officeDocument/2006/relationships/hyperlink" Target="https://www.coches.net/chevrolet-kalos-12-se-3p-gasolina-2006-en-castellon-71319739-covo.aspx" TargetMode="External" Id="rId97"/><Relationship Type="http://schemas.openxmlformats.org/officeDocument/2006/relationships/hyperlink" Target="https://www.ocasionplus.com/coches-segunda-mano/opel-corsa-12-blue-line-con-35977km-2004-yk3xrqat" TargetMode="External" Id="rId98"/><Relationship Type="http://schemas.openxmlformats.org/officeDocument/2006/relationships/hyperlink" Target="https://www.ocasionplus.com/coches-segunda-mano/peugeot-206-75-refri-con-175786km-2004-woyn0qad" TargetMode="External" Id="rId99"/><Relationship Type="http://schemas.openxmlformats.org/officeDocument/2006/relationships/hyperlink" Target="https://www.ocasionplus.com/coches-segunda-mano/ford-focus-16-trend-con-124702km-2005-vvmwmqa1" TargetMode="External" Id="rId100"/><Relationship Type="http://schemas.openxmlformats.org/officeDocument/2006/relationships/hyperlink" Target="https://www.ocasionplus.com/coches-segunda-mano/mercedes-clase-a-a-200-avantgarde-con-133796km-2005-rrsxdqad" TargetMode="External" Id="rId101"/><Relationship Type="http://schemas.openxmlformats.org/officeDocument/2006/relationships/hyperlink" Target="https://www.autoscout24.es/anuncios/peugeot-206-1-4-x-line-gasolina-rojo-cat_ma55mo15401-04d015db-2d48-4b66-9cad-7ee189965ecc" TargetMode="External" Id="rId102"/><Relationship Type="http://schemas.openxmlformats.org/officeDocument/2006/relationships/hyperlink" Target="https://www.coches.net/kia-rio-15-16v-ls-5p-gasolina-2004-en-valencia-71021641-covo.aspx" TargetMode="External" Id="rId103"/><Relationship Type="http://schemas.openxmlformats.org/officeDocument/2006/relationships/hyperlink" Target="https://www.coches.net/kia-picanto-11-sohc-lx-5p-gasolina-2006-en-valencia-71596757-covo.aspx" TargetMode="External" Id="rId104"/><Relationship Type="http://schemas.openxmlformats.org/officeDocument/2006/relationships/hyperlink" Target="https://www.coches.net/kia-rio-13-rs-5p-gasolina-2004-en-valencia-71476718-covo.aspx" TargetMode="External" Id="rId105"/><Relationship Type="http://schemas.openxmlformats.org/officeDocument/2006/relationships/hyperlink" Target="https://www.coches.net/kia-rio-15-16v-ls-5p-gasolina-2004-en-valencia-71758915-covo.aspx" TargetMode="External" Id="rId106"/><Relationship Type="http://schemas.openxmlformats.org/officeDocument/2006/relationships/hyperlink" Target="https://www.coches.net/kia-rio-13-rs-5p-gasolina-2004-en-valencia-71659908-covo.aspx" TargetMode="External" Id="rId107"/><Relationship Type="http://schemas.openxmlformats.org/officeDocument/2006/relationships/hyperlink" Target="https://www.coches.net/volkswagen-golf-16-trendline-3p-gasolina-2005-en-valencia-71783945-covo.aspx" TargetMode="External" Id="rId108"/><Relationship Type="http://schemas.openxmlformats.org/officeDocument/2006/relationships/hyperlink" Target="https://www.coches.net/opel-astra-22-dti-16v-bertone-edition-2p-diesel-2003-en-valencia-71237695-covo.aspx" TargetMode="External" Id="rId109"/><Relationship Type="http://schemas.openxmlformats.org/officeDocument/2006/relationships/hyperlink" Target="https://www.coches.net/opel-astra-gtc-16-16v-enjoy-3p-gasolina-2007-en-valencia-71694227-covo.aspx" TargetMode="External" Id="rId110"/><Relationship Type="http://schemas.openxmlformats.org/officeDocument/2006/relationships/hyperlink" Target="https://www.coches.net/renault-megane-confort-dynamique-14-16v-3p-gasolina-2004-en-valencia-71793733-covo.aspx" TargetMode="External" Id="rId111"/><Relationship Type="http://schemas.openxmlformats.org/officeDocument/2006/relationships/hyperlink" Target="https://www.coches.net/renault-laguna-dynamique-20-16v-140cv-5p-gasolina-2008-en-valencia-71766881-covo.aspx" TargetMode="External" Id="rId112"/><Relationship Type="http://schemas.openxmlformats.org/officeDocument/2006/relationships/hyperlink" Target="https://www.coches.net/peugeot-206-xr-refri-75-5p-gasolina-2002-en-valencia-71677639-covo.aspx" TargetMode="External" Id="rId113"/><Relationship Type="http://schemas.openxmlformats.org/officeDocument/2006/relationships/hyperlink" Target="https://www.coches.net/peugeot-206-xline-75-5p-gasolina-2002-en-valencia-71681078-covo.aspx" TargetMode="External" Id="rId114"/><Relationship Type="http://schemas.openxmlformats.org/officeDocument/2006/relationships/hyperlink" Target="https://www.coches.net/citroen-c2-11i-audace-3p-gasolina-2005-en-valencia-71730074-covo.aspx" TargetMode="External" Id="rId115"/><Relationship Type="http://schemas.openxmlformats.org/officeDocument/2006/relationships/hyperlink" Target="https://www.coches.net/citroen-c3-14i-exclusive-5p-gasolina-2005-en-valencia-71405714-covo.aspx" TargetMode="External" Id="rId116"/><Relationship Type="http://schemas.openxmlformats.org/officeDocument/2006/relationships/hyperlink" Target="https://www.coches.net/ford-fusion-16-16v-elegance-5p-gasolina-2004-en-valencia-71594001-covo.aspx" TargetMode="External" Id="rId117"/><Relationship Type="http://schemas.openxmlformats.org/officeDocument/2006/relationships/hyperlink" Target="https://www.coches.net/ford-mondeo-20-tdci-futura-5p-diesel-2005-en-valencia-71857690-covo.aspx" TargetMode="External" Id="rId118"/><Relationship Type="http://schemas.openxmlformats.org/officeDocument/2006/relationships/hyperlink" Target="https://www.coches.net/ford-mondeo-20-tdci-140-ghia-5p-diesel-2008-en-valencia-71830314-covo.aspx" TargetMode="External" Id="rId119"/><Relationship Type="http://schemas.openxmlformats.org/officeDocument/2006/relationships/hyperlink" Target="https://www.coches.net/ford-mondeo-18-tdci-125-trend-5p-diesel-2007-en-valencia-71545576-covo.aspx" TargetMode="External" Id="rId120"/><Relationship Type="http://schemas.openxmlformats.org/officeDocument/2006/relationships/hyperlink" Target="https://www.coches.net/audi-a3-16-ambition-3p-gasolina-2005-en-valencia-71492732-covo.aspx" TargetMode="External" Id="rId121"/><Relationship Type="http://schemas.openxmlformats.org/officeDocument/2006/relationships/hyperlink" Target="https://www.coches.net/mini-mini-one-3p-gasolina-2005-en-valencia-71701564-covo.aspx" TargetMode="External" Id="rId122"/><Relationship Type="http://schemas.openxmlformats.org/officeDocument/2006/relationships/hyperlink" Target="https://www.coches.net/chevrolet-nubira-16-se-4p-gasolina-2005-en-valencia-70490221-covo.aspx" TargetMode="External" Id="rId123"/><Relationship Type="http://schemas.openxmlformats.org/officeDocument/2006/relationships/hyperlink" Target="https://www.coches.net/mazda-mazda2-sportive-16-5p-gasolina-2003-en-castellon-71566674-covo.aspx" TargetMode="External" Id="rId124"/><Relationship Type="http://schemas.openxmlformats.org/officeDocument/2006/relationships/hyperlink" Target="https://www.coches.net/seat-ibiza-14-16v-75-cv-signa-3p-gasolina-2004-en-castellon-71837054-covo.aspx" TargetMode="External" Id="rId125"/><Relationship Type="http://schemas.openxmlformats.org/officeDocument/2006/relationships/hyperlink" Target="https://www.coches.net/opel-meriva-enjoy-1.4-xep-5p-gasolina-2005-en-castellon-61732430-covo.aspx" TargetMode="External" Id="rId126"/><Relationship Type="http://schemas.openxmlformats.org/officeDocument/2006/relationships/hyperlink" Target="https://www.coches.net/citroen-c3-14i-exclusive-5p-gasolina-2005-en-castellon-71585987-covo.aspx" TargetMode="External" Id="rId127"/><Relationship Type="http://schemas.openxmlformats.org/officeDocument/2006/relationships/hyperlink" Target="https://www.coches.net/ford-focus-16-ghia-5p-gasolina-2003-en-castellon-71579420-covo.aspx" TargetMode="External" Id="rId128"/><Relationship Type="http://schemas.openxmlformats.org/officeDocument/2006/relationships/hyperlink" Target="https://es.wallapop.com/item/dacia-sandero-1-2-16v-base-55-kw-75-cv-1319022976" TargetMode="External" Id="rId12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DB130"/>
  <sheetViews>
    <sheetView workbookViewId="0">
      <selection activeCell="A1" sqref="A1"/>
    </sheetView>
  </sheetViews>
  <sheetFormatPr baseColWidth="8" defaultRowHeight="15"/>
  <cols>
    <col width="13" customWidth="1" min="1" max="1"/>
    <col width="13" customWidth="1" min="2" max="2"/>
    <col width="30" customWidth="1" min="3" max="3"/>
    <col width="40"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30" customWidth="1" min="53" max="53"/>
    <col width="40" customWidth="1" min="54" max="54"/>
    <col width="60" customWidth="1" min="55" max="55"/>
    <col width="30"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s>
  <sheetData>
    <row r="1">
      <c r="A1" s="1" t="inlineStr">
        <is>
          <t>ID</t>
        </is>
      </c>
      <c r="B1" s="1" t="inlineStr">
        <is>
          <t>Plataforma</t>
        </is>
      </c>
      <c r="C1" s="1" t="inlineStr">
        <is>
          <t>URL</t>
        </is>
      </c>
      <c r="D1" s="1" t="inlineStr">
        <is>
          <t>Título</t>
        </is>
      </c>
      <c r="E1" s="1" t="inlineStr">
        <is>
          <t>Marca</t>
        </is>
      </c>
      <c r="F1" s="1" t="inlineStr">
        <is>
          <t>Modelo</t>
        </is>
      </c>
      <c r="G1" s="1" t="inlineStr">
        <is>
          <t>Motor (normalizado)</t>
        </is>
      </c>
      <c r="H1" s="1" t="inlineStr">
        <is>
          <t>Versión</t>
        </is>
      </c>
      <c r="I1" s="1" t="inlineStr">
        <is>
          <t>Cilindrada (cc)</t>
        </is>
      </c>
      <c r="J1" s="1" t="inlineStr">
        <is>
          <t>Potencia (CV)</t>
        </is>
      </c>
      <c r="K1" s="1" t="inlineStr">
        <is>
          <t>Combustible</t>
        </is>
      </c>
      <c r="L1" s="1" t="inlineStr">
        <is>
          <t>Segmento</t>
        </is>
      </c>
      <c r="M1" s="1" t="inlineStr">
        <is>
          <t>Año</t>
        </is>
      </c>
      <c r="N1" s="1" t="inlineStr">
        <is>
          <t>Km</t>
        </is>
      </c>
      <c r="O1" s="1" t="inlineStr">
        <is>
          <t>Precio (€)</t>
        </is>
      </c>
      <c r="P1" s="1" t="inlineStr">
        <is>
          <t>Cambio</t>
        </is>
      </c>
      <c r="Q1" s="1" t="inlineStr">
        <is>
          <t>Automático</t>
        </is>
      </c>
      <c r="R1" s="1" t="inlineStr">
        <is>
          <t>Vendedor</t>
        </is>
      </c>
      <c r="S1" s="1" t="inlineStr">
        <is>
          <t>Ubicación</t>
        </is>
      </c>
      <c r="T1" s="1" t="inlineStr">
        <is>
          <t>Publicado</t>
        </is>
      </c>
      <c r="U1" s="1" t="inlineStr">
        <is>
          <t>Nº fotos</t>
        </is>
      </c>
      <c r="V1" s="1" t="inlineStr">
        <is>
          <t>ITV en vigor</t>
        </is>
      </c>
      <c r="W1" s="1" t="inlineStr">
        <is>
          <t>Libro mantenimiento</t>
        </is>
      </c>
      <c r="X1" s="1" t="inlineStr">
        <is>
          <t>Correa/distrib. cambiada</t>
        </is>
      </c>
      <c r="Y1" s="1" t="inlineStr">
        <is>
          <t>Nº propietarios</t>
        </is>
      </c>
      <c r="Z1" s="1" t="inlineStr">
        <is>
          <t>Garantía</t>
        </is>
      </c>
      <c r="AA1" s="1" t="inlineStr">
        <is>
          <t>Km justificados</t>
        </is>
      </c>
      <c r="AB1" s="1" t="inlineStr">
        <is>
          <t>Garantía incluida (meses)</t>
        </is>
      </c>
      <c r="AC1" s="1" t="inlineStr">
        <is>
          <t>Garantía ampliable</t>
        </is>
      </c>
      <c r="AD1" s="1" t="inlineStr">
        <is>
          <t>Precio ampliación garantía (€)</t>
        </is>
      </c>
      <c r="AE1" s="1" t="inlineStr">
        <is>
          <t>Revisión (puntos)</t>
        </is>
      </c>
      <c r="AF1" s="1" t="inlineStr">
        <is>
          <t>Km certificados</t>
        </is>
      </c>
      <c r="AG1" s="1" t="inlineStr">
        <is>
          <t>Devolución (días)</t>
        </is>
      </c>
      <c r="AH1" s="1" t="inlineStr">
        <is>
          <t>Precio al contado (€)</t>
        </is>
      </c>
      <c r="AI1" s="1" t="inlineStr">
        <is>
          <t>Precio financiado (€)</t>
        </is>
      </c>
      <c r="AJ1" s="1" t="inlineStr">
        <is>
          <t>Precio anunciado solo financiando</t>
        </is>
      </c>
      <c r="AK1" s="1" t="inlineStr">
        <is>
          <t>Gastos de gestión del vendedor (€)</t>
        </is>
      </c>
      <c r="AL1" s="1" t="inlineStr">
        <is>
          <t>Gastos incluyen transferencia</t>
        </is>
      </c>
      <c r="AM1" s="1" t="inlineStr">
        <is>
          <t>Distancia a València (km)</t>
        </is>
      </c>
      <c r="AN1" s="1" t="inlineStr">
        <is>
          <t>Matrícula</t>
        </is>
      </c>
      <c r="AO1" s="1" t="inlineStr">
        <is>
          <t>1.ª matriculación (anuncio)</t>
        </is>
      </c>
      <c r="AP1" s="1" t="inlineStr">
        <is>
          <t>Año 1.ª matric.</t>
        </is>
      </c>
      <c r="AQ1" s="1" t="inlineStr">
        <is>
          <t>Mes 1.ª matric.</t>
        </is>
      </c>
      <c r="AR1" s="1" t="inlineStr">
        <is>
          <t>Etiqueta DGT/anuncio</t>
        </is>
      </c>
      <c r="AS1" s="1" t="inlineStr">
        <is>
          <t>Fuente etiqueta</t>
        </is>
      </c>
      <c r="AT1" s="1" t="inlineStr">
        <is>
          <t>Año en URL/título distinto (a confirmar)</t>
        </is>
      </c>
      <c r="AU1" s="1" t="inlineStr">
        <is>
          <t>Etiqueta dudosa por año</t>
        </is>
      </c>
      <c r="AV1" s="1" t="inlineStr">
        <is>
          <t>Caja robotizada</t>
        </is>
      </c>
      <c r="AW1" s="1" t="inlineStr">
        <is>
          <t>Modelo prioritario (estilo)</t>
        </is>
      </c>
      <c r="AX1" s="1" t="inlineStr">
        <is>
          <t>Mediana de mercado del segmento (€)</t>
        </is>
      </c>
      <c r="AY1" s="1" t="inlineStr">
        <is>
          <t>N mercado</t>
        </is>
      </c>
      <c r="AZ1" s="1" t="inlineStr">
        <is>
          <t>Nivel mediana mercado</t>
        </is>
      </c>
      <c r="BA1" s="1" t="inlineStr">
        <is>
          <t>Duplicados fusionados</t>
        </is>
      </c>
      <c r="BB1" s="1" t="inlineStr">
        <is>
          <t>Avisos</t>
        </is>
      </c>
      <c r="BC1" s="1" t="inlineStr">
        <is>
          <t>Descripción</t>
        </is>
      </c>
      <c r="BD1" s="1" t="inlineStr">
        <is>
          <t>Fuente (fichero /raw)</t>
        </is>
      </c>
      <c r="BE1" s="1" t="inlineStr">
        <is>
          <t>Edad (años)</t>
        </is>
      </c>
      <c r="BF1" s="1" t="inlineStr">
        <is>
          <t>Km/año</t>
        </is>
      </c>
      <c r="BG1" s="1" t="inlineStr">
        <is>
          <t>Seg. modelo</t>
        </is>
      </c>
      <c r="BH1" s="1" t="inlineStr">
        <is>
          <t>Seg. modelo+año</t>
        </is>
      </c>
      <c r="BI1" s="1" t="inlineStr">
        <is>
          <t>Seg. modelo+año+km</t>
        </is>
      </c>
      <c r="BJ1" s="1" t="inlineStr">
        <is>
          <t>N modelo</t>
        </is>
      </c>
      <c r="BK1" s="1" t="inlineStr">
        <is>
          <t>N modelo+año</t>
        </is>
      </c>
      <c r="BL1" s="1" t="inlineStr">
        <is>
          <t>N modelo+año+km</t>
        </is>
      </c>
      <c r="BM1" s="1" t="inlineStr">
        <is>
          <t>Mediana segmento (€)</t>
        </is>
      </c>
      <c r="BN1" s="1" t="inlineStr">
        <is>
          <t>Nivel mediana</t>
        </is>
      </c>
      <c r="BO1" s="1" t="inlineStr">
        <is>
          <t>Descuento vs mediana</t>
        </is>
      </c>
      <c r="BP1" s="1" t="inlineStr">
        <is>
          <t>Año frontera (1/0)</t>
        </is>
      </c>
      <c r="BQ1" s="1" t="inlineStr">
        <is>
          <t>Año anterior frontera (1/0)</t>
        </is>
      </c>
      <c r="BR1" s="1" t="inlineStr">
        <is>
          <t>AAAAMM para la regla</t>
        </is>
      </c>
      <c r="BS1" s="1" t="inlineStr">
        <is>
          <t>Etiqueta por regla</t>
        </is>
      </c>
      <c r="BT1" s="1" t="inlineStr">
        <is>
          <t>ETIQUETA</t>
        </is>
      </c>
      <c r="BU1" s="1" t="inlineStr">
        <is>
          <t>Etiqueta dudosa</t>
        </is>
      </c>
      <c r="BV1" s="1" t="inlineStr">
        <is>
          <t>Fiab. base modelo</t>
        </is>
      </c>
      <c r="BW1" s="1" t="inlineStr">
        <is>
          <t>Ajuste motor</t>
        </is>
      </c>
      <c r="BX1" s="1" t="inlineStr">
        <is>
          <t>Ajuste combustible</t>
        </is>
      </c>
      <c r="BY1" s="1" t="inlineStr">
        <is>
          <t>Motor con fuente (nº entradas)</t>
        </is>
      </c>
      <c r="BZ1" s="1" t="inlineStr">
        <is>
          <t>Fiab. base aplicada</t>
        </is>
      </c>
      <c r="CA1" s="1" t="inlineStr">
        <is>
          <t>P. Fiabilidad</t>
        </is>
      </c>
      <c r="CB1" s="1" t="inlineStr">
        <is>
          <t>Tope nota precio por km</t>
        </is>
      </c>
      <c r="CC1" s="1" t="inlineStr">
        <is>
          <t>P. Precio</t>
        </is>
      </c>
      <c r="CD1" s="1" t="inlineStr">
        <is>
          <t>P. km totales</t>
        </is>
      </c>
      <c r="CE1" s="1" t="inlineStr">
        <is>
          <t>P. km/año</t>
        </is>
      </c>
      <c r="CF1" s="1" t="inlineStr">
        <is>
          <t>P. edad</t>
        </is>
      </c>
      <c r="CG1" s="1" t="inlineStr">
        <is>
          <t>P. Km y edad</t>
        </is>
      </c>
      <c r="CH1" s="1" t="inlineStr">
        <is>
          <t>P. Anuncio</t>
        </is>
      </c>
      <c r="CI1" s="1" t="inlineStr">
        <is>
          <t>P. Etiqueta y ZBE</t>
        </is>
      </c>
      <c r="CJ1" s="1" t="inlineStr">
        <is>
          <t>Consumo estimado l/100 km (aprox.)</t>
        </is>
      </c>
      <c r="CK1" s="1" t="inlineStr">
        <is>
          <t>P. consumo</t>
        </is>
      </c>
      <c r="CL1" s="1" t="inlineStr">
        <is>
          <t>Seguro estimado €/año (aprox.)</t>
        </is>
      </c>
      <c r="CM1" s="1" t="inlineStr">
        <is>
          <t>P. seguro</t>
        </is>
      </c>
      <c r="CN1" s="1" t="inlineStr">
        <is>
          <t>P. Coste uso</t>
        </is>
      </c>
      <c r="CO1" s="1" t="inlineStr">
        <is>
          <t>Garantía efectiva (meses)</t>
        </is>
      </c>
      <c r="CP1" s="1" t="inlineStr">
        <is>
          <t>P. Seguridad compra</t>
        </is>
      </c>
      <c r="CQ1" s="1" t="inlineStr">
        <is>
          <t>P. Preferencia de estilo</t>
        </is>
      </c>
      <c r="CR1" s="1" t="inlineStr">
        <is>
          <t>Penalización carrocería (puntos)</t>
        </is>
      </c>
      <c r="CS1" s="1" t="inlineStr">
        <is>
          <t>PUNTUACIÓN</t>
        </is>
      </c>
      <c r="CT1" s="1" t="inlineStr">
        <is>
          <t>cc para ITP</t>
        </is>
      </c>
      <c r="CU1" s="1" t="inlineStr">
        <is>
          <t>ITP (€)</t>
        </is>
      </c>
      <c r="CV1" s="1" t="inlineStr">
        <is>
          <t>Gastos vendedor en coste (€)</t>
        </is>
      </c>
      <c r="CW1" s="1" t="inlineStr">
        <is>
          <t>Tasa DGT (€)</t>
        </is>
      </c>
      <c r="CX1" s="1" t="inlineStr">
        <is>
          <t>Informe DGT (€)</t>
        </is>
      </c>
      <c r="CY1" s="1" t="inlineStr">
        <is>
          <t>COSTE TOTAL (€)</t>
        </is>
      </c>
      <c r="CZ1" s="1" t="inlineStr">
        <is>
          <t>Coste 1er año con seguro (€)</t>
        </is>
      </c>
      <c r="DA1" s="1" t="inlineStr">
        <is>
          <t>Presupuesto (sí / negociar / no)</t>
        </is>
      </c>
      <c r="DB1" s="1" t="inlineStr">
        <is>
          <t>Puesto</t>
        </is>
      </c>
    </row>
    <row r="2">
      <c r="A2" s="2" t="inlineStr">
        <is>
          <t>ocasionplus:b9f8hqaq</t>
        </is>
      </c>
      <c r="B2" s="2" t="inlineStr">
        <is>
          <t>ocasionplus</t>
        </is>
      </c>
      <c r="C2" s="2" t="inlineStr">
        <is>
          <t>https://www.ocasionplus.com/coches-segunda-mano/opel-astra-17-cdti-edition-con-174458km-2009-b9f8hqaq</t>
        </is>
      </c>
      <c r="D2" s="2" t="inlineStr">
        <is>
          <t>Opel Astra 1.7 CDTI Edition (110 CV)</t>
        </is>
      </c>
      <c r="E2" s="2" t="inlineStr">
        <is>
          <t>Opel</t>
        </is>
      </c>
      <c r="F2" s="2" t="inlineStr">
        <is>
          <t>Opel Astra</t>
        </is>
      </c>
      <c r="G2" s="2" t="inlineStr">
        <is>
          <t>1.7 CDTi</t>
        </is>
      </c>
      <c r="H2" s="2" t="inlineStr">
        <is>
          <t>Opel Astra 1.7 CDTI Edition (110 CV)</t>
        </is>
      </c>
      <c r="I2" s="2" t="n">
        <v>1686</v>
      </c>
      <c r="J2" s="2" t="n">
        <v>110</v>
      </c>
      <c r="K2" s="2" t="inlineStr">
        <is>
          <t>diesel</t>
        </is>
      </c>
      <c r="L2" s="2" t="inlineStr">
        <is>
          <t>compacto</t>
        </is>
      </c>
      <c r="M2" s="2" t="n">
        <v>2009</v>
      </c>
      <c r="N2" s="2" t="n">
        <v>174458</v>
      </c>
      <c r="O2" s="2" t="n">
        <v>4480</v>
      </c>
      <c r="P2" s="2" t="inlineStr">
        <is>
          <t>manual</t>
        </is>
      </c>
      <c r="Q2" s="2" t="inlineStr">
        <is>
          <t>no</t>
        </is>
      </c>
      <c r="R2" s="2" t="inlineStr">
        <is>
          <t>profesional</t>
        </is>
      </c>
      <c r="S2" s="2" t="inlineStr">
        <is>
          <t>Valencia - Gandía (Gandía, 46702)</t>
        </is>
      </c>
      <c r="T2" s="2" t="inlineStr">
        <is>
          <t>2026-10-27T00:00:00.000Z</t>
        </is>
      </c>
      <c r="U2" s="2" t="n">
        <v>103</v>
      </c>
      <c r="V2" s="2" t="inlineStr">
        <is>
          <t>sí</t>
        </is>
      </c>
      <c r="W2" s="2" t="inlineStr">
        <is>
          <t>sí</t>
        </is>
      </c>
      <c r="X2" s="2" t="n"/>
      <c r="Y2" s="2" t="n">
        <v>1</v>
      </c>
      <c r="Z2" s="2" t="inlineStr">
        <is>
          <t>sí</t>
        </is>
      </c>
      <c r="AA2" s="2" t="n"/>
      <c r="AB2" s="2" t="n">
        <v>12</v>
      </c>
      <c r="AC2" s="2" t="inlineStr">
        <is>
          <t>sí</t>
        </is>
      </c>
      <c r="AD2" s="2" t="n">
        <v>600</v>
      </c>
      <c r="AE2" s="2" t="n">
        <v>200</v>
      </c>
      <c r="AF2" s="2" t="inlineStr">
        <is>
          <t>sí</t>
        </is>
      </c>
      <c r="AG2" s="2" t="n"/>
      <c r="AH2" s="2" t="n">
        <v>4480</v>
      </c>
      <c r="AI2" s="2" t="n">
        <v>4480</v>
      </c>
      <c r="AJ2" s="2" t="inlineStr">
        <is>
          <t>no</t>
        </is>
      </c>
      <c r="AK2" s="2" t="n">
        <v>350</v>
      </c>
      <c r="AL2" s="2" t="inlineStr">
        <is>
          <t>sí</t>
        </is>
      </c>
      <c r="AM2" s="2" t="n">
        <v>58.4</v>
      </c>
      <c r="AN2" s="2" t="inlineStr">
        <is>
          <t>8611GSH</t>
        </is>
      </c>
      <c r="AO2" s="2" t="inlineStr">
        <is>
          <t>2009-12-16</t>
        </is>
      </c>
      <c r="AP2" s="2" t="n">
        <v>2009</v>
      </c>
      <c r="AQ2" s="2" t="n">
        <v>12</v>
      </c>
      <c r="AR2" s="2" t="inlineStr">
        <is>
          <t>B</t>
        </is>
      </c>
      <c r="AS2" s="2" t="inlineStr">
        <is>
          <t>DGT</t>
        </is>
      </c>
      <c r="AT2" s="2" t="n"/>
      <c r="AU2" s="2" t="inlineStr">
        <is>
          <t>no</t>
        </is>
      </c>
      <c r="AV2" s="2" t="inlineStr">
        <is>
          <t>no</t>
        </is>
      </c>
      <c r="AW2" s="2" t="inlineStr">
        <is>
          <t>no</t>
        </is>
      </c>
      <c r="AX2" s="2" t="n">
        <v>4300</v>
      </c>
      <c r="AY2" s="2" t="n">
        <v>17</v>
      </c>
      <c r="AZ2" s="2" t="inlineStr">
        <is>
          <t>modelo+año+km</t>
        </is>
      </c>
      <c r="BA2" s="2" t="inlineStr">
        <is>
          <t>cochesnet:71847920 (https://www.coches.net/opel-astra-17-cdti-edition-5p-diesel-2010-en-valencia-71847920-covo.aspx); autoscout24:30a773f6-bab7-4317-b641-5999a4e84b1e (https://www.autoscout24.es/anuncios/opel-astra-1-7cdti-edition-110-diesel-negro-cat_ma54mo1916-30a773f6-bab7-4317-b641-5999a4e84b1e); wallapop:1317875143 (https://es.wallapop.com/item/opel-astra-1-7-cdti-edition-81-kw-110-cv-1317875143)</t>
        </is>
      </c>
      <c r="BB2" s="2" t="inlineStr">
        <is>
          <t>vendedor profesional: sin ITP (operación con IVA/REBU, confirmar en factura); diésel: motor sin fuente de fiabilidad (fiabilidad limitada a neutra); revisar: no menciona la ITV</t>
        </is>
      </c>
      <c r="BC2" s="2" t="inlineStr">
        <is>
          <t>Opel Astra 1.7 CDTI Edition (110 CV)</t>
        </is>
      </c>
      <c r="BD2" s="2" t="inlineStr">
        <is>
          <t>https://www.ocasionplus.com/coches-segunda-mano/opel-astra-17-cdti-edition-con-174458km-2009-b9f8hqaq (payload RSC 'vehicle') /home/user/Alopecia/buscador-coches/raw/ocasionplus/ca754db5993f1a49.json</t>
        </is>
      </c>
      <c r="BE2" s="3">
        <f>MAX(ANIO_ACTUAL-M2,0)</f>
        <v/>
      </c>
      <c r="BF2" s="4">
        <f>N2/MAX(BE2,0.5)</f>
        <v/>
      </c>
      <c r="BG2" s="4">
        <f>F2</f>
        <v/>
      </c>
      <c r="BH2" s="3">
        <f>BG2&amp;"|"&amp;INT(M2/SEG_ANIO)*SEG_ANIO</f>
        <v/>
      </c>
      <c r="BI2" s="3">
        <f>BH2&amp;"|"&amp;INT(N2/SEG_KM)*SEG_KM</f>
        <v/>
      </c>
      <c r="BJ2" s="4">
        <f>COUNTIF($BG$2:$BG$130,BG2)</f>
        <v/>
      </c>
      <c r="BK2" s="4">
        <f>COUNTIF($BH$2:$BH$130,BH2)</f>
        <v/>
      </c>
      <c r="BL2" s="4">
        <f>COUNTIF($BI$2:$BI$130,BI2)</f>
        <v/>
      </c>
      <c r="BM2" s="3">
        <f t="array" ref="BM2">IF(N(AY2)&gt;=MIN_N,AX2,IF(BL2&gt;=MIN_N,MEDIAN(IF($BI$2:$BI$130=BI2,$O$2:$O$130)),IF(BK2&gt;=MIN_N,MEDIAN(IF($BH$2:$BH$130=BH2,$O$2:$O$130)),MEDIAN(IF($BG$2:$BG$130=BG2,$O$2:$O$130)))))</f>
        <v/>
      </c>
      <c r="BN2" s="3">
        <f>IF(N(AY2)&gt;=MIN_N,"mercado "&amp;AZ2,IF(BL2&gt;=MIN_N,"modelo+año+km",IF(BK2&gt;=MIN_N,"modelo+año","modelo")))</f>
        <v/>
      </c>
      <c r="BO2" s="4">
        <f>(BM2-O2)/BM2</f>
        <v/>
      </c>
      <c r="BP2" s="3">
        <f>IF(COUNTIFS(FR_FUEL,K2,FR_YEAR,AP2)&gt;0,1,0)</f>
        <v/>
      </c>
      <c r="BQ2" s="3">
        <f>IF(COUNTIFS(FR_FUEL,K2,FR_YEAR,AP2-1)&gt;0,1,0)</f>
        <v/>
      </c>
      <c r="BR2" s="4">
        <f>IF(N(AQ2)&gt;0,AP2*100+AQ2,IF(AND(BP2=1,BQ2=1),(AP2-1)*100+1,AP2*100+1))</f>
        <v/>
      </c>
      <c r="BS2" s="3">
        <f>IF(OR(K2="hibrido",K2="glp",K2="gnc",K2="phev"),"ECO",IF(K2="electrico","CERO",IF(K2="gasolina",IF(BR2&gt;=GAS_C_YM,"C",IF(BR2&gt;=GAS_B_YM,"B","A")),IF(K2="diesel",IF(BR2&gt;=DIE_C_YM,"C",IF(BR2&gt;=DIE_B_YM,"B","A")),""))))</f>
        <v/>
      </c>
      <c r="BT2" s="2" t="inlineStr">
        <is>
          <t>B</t>
        </is>
      </c>
      <c r="BU2" s="4">
        <f>IF(AU2="sí","sí",IF(AS2="regla",IF(AND(N(AQ2)=0,BP2=1),"sí","no"),"no"))</f>
        <v/>
      </c>
      <c r="BV2" s="3">
        <f>IFERROR(VLOOKUP(F2,MOD_TBL,16,0),IFERROR(VLOOKUP(E2,OCU_TBL,2,0),NEUTRO))</f>
        <v/>
      </c>
      <c r="BW2" s="3">
        <f>SUMIFS(MOT_AJUSTE,MOT_MOTOR,G2,MOT_MARCA,E2,MOT_DESDE,"&lt;="&amp;M2,MOT_HASTA,"&gt;="&amp;M2)+SUMIFS(MOT_AJUSTE,MOT_MOTOR,G2,MOT_MARCA,"(todas)",MOT_DESDE,"&lt;="&amp;M2,MOT_HASTA,"&gt;="&amp;M2)+SUMIFS(MOT_AJUSTE,MOT_MOTOR,"(cualquiera)",MOT_MARCA,E2,MOT_DESDE,"&lt;="&amp;M2,MOT_HASTA,"&gt;="&amp;M2)</f>
        <v/>
      </c>
      <c r="BX2" s="3">
        <f>SUMIFS(COMB_AJUSTE,COMB_COMB,K2)</f>
        <v/>
      </c>
      <c r="BY2" s="3">
        <f>COUNTIFS(MOT_MOTOR,G2,MOT_MARCA,E2,MOT_DESDE,"&lt;="&amp;M2,MOT_HASTA,"&gt;="&amp;M2)+COUNTIFS(MOT_MOTOR,G2,MOT_MARCA,"(todas)",MOT_DESDE,"&lt;="&amp;M2,MOT_HASTA,"&gt;="&amp;M2)+COUNTIFS(MOT_MOTOR,"(cualquiera)",MOT_MARCA,E2,MOT_DESDE,"&lt;="&amp;M2,MOT_HASTA,"&gt;="&amp;M2)</f>
        <v/>
      </c>
      <c r="BZ2" s="3">
        <f>IF(AND(K2="diesel",BY2=0),MIN(BV2,NEUTRO),BV2)</f>
        <v/>
      </c>
      <c r="CA2" s="3">
        <f>MAX(0,MIN(100,BZ2+BW2+BX2-IF(AV2="sí",ROB_PEN,0)))</f>
        <v/>
      </c>
      <c r="CB2" s="3">
        <f>100-MAX(0,N2-KM_TOPE_DESDE)/1000*KM_TOPE_PTS</f>
        <v/>
      </c>
      <c r="CC2" s="3">
        <f>MAX(0,MIN(100,50+BO2*PRECIO_PEND,CB2))</f>
        <v/>
      </c>
      <c r="CD2" s="3">
        <f>MAX(0,100*(1-N2/KM_MAX))</f>
        <v/>
      </c>
      <c r="CE2" s="3">
        <f>IF(BF2&lt;KMA_SOSP,IF(AA2="sí",100,KMA_PEN),IF(BF2&lt;=KMA_IDEAL_MAX,100,MAX(0,100*(KMA_CERO-BF2)/(KMA_CERO-KMA_IDEAL_MAX))))</f>
        <v/>
      </c>
      <c r="CF2" s="3">
        <f>MAX(0,MIN(100,100*(M2-ANIO_MIN)/(ANIO_ACTUAL-ANIO_MIN)))</f>
        <v/>
      </c>
      <c r="CG2" s="3">
        <f>W_KMT*CD2+W_KMA*CE2+W_EDAD*CF2</f>
        <v/>
      </c>
      <c r="CH2" s="3">
        <f>P_ITV*(V2="sí")+P_LIBRO*(W2="sí")+P_CORREA*(X2="sí")+P_PROP*(Y2=1)+P_GAR*(Z2="sí")+P_FOTOS*MIN(1,N(U2)/FOTOS_OBJ)</f>
        <v/>
      </c>
      <c r="CI2" s="3">
        <f>MAX(0,MIN(100,IFERROR(VLOOKUP(BT2,ETQ_TBL,2,0),0)-IF(BU2="sí",ETQ_PEN_DUD,IF(AS2="regla",ETQ_PEN_REGLA,0))))</f>
        <v/>
      </c>
      <c r="CJ2" s="3">
        <f>IF(K2&lt;&gt;"gasolina","",IFERROR(VLOOKUP(F2,CONS_MOD_TBL,2,0),IFERROR(VLOOKUP(L2,CONS_SEG_TBL,2,0),"")))</f>
        <v/>
      </c>
      <c r="CK2" s="3">
        <f>IF(CJ2="",NEUTRO,MAX(0,MIN(100,100*(CONS_REF_MAX-CJ2)/(CONS_REF_MAX-CONS_REF_MIN))))</f>
        <v/>
      </c>
      <c r="CL2" s="3">
        <f>IFERROR(VLOOKUP(L2,SEGURO_TBL,3,0),"")</f>
        <v/>
      </c>
      <c r="CM2" s="3">
        <f>IF(CL2="",NEUTRO,MAX(0,MIN(100,100*(SEG_REF_MAX-CL2)/(SEG_REF_MAX-SEG_REF_MIN))))</f>
        <v/>
      </c>
      <c r="CN2" s="3">
        <f>W_CONS*CK2+W_SEG*CM2</f>
        <v/>
      </c>
      <c r="CO2" s="3">
        <f>IF(N(AB2)&gt;0,AB2,IF(AND(R2="profesional",SG_LEGAL_ON=1),GAR_LEGAL,0))</f>
        <v/>
      </c>
      <c r="CP2" s="3">
        <f>SG_GAR*MIN(1,CO2/SG_GAR_FULL)+SG_AMPL*(AC2="sí")+SG_KMC*(AF2="sí")+SG_REV*(N(AE2)&gt;0)+SG_DEV*MIN(1,N(AG2)/SG_DEV_FULL)+SG_HIST*(W2="sí")</f>
        <v/>
      </c>
      <c r="CQ2" s="3">
        <f>IF(AW2="sí",ESTILO_PRIO,IFERROR(VLOOKUP(L2,ESTILO_TBL,2,0),NEUTRO))</f>
        <v/>
      </c>
      <c r="CR2" s="3">
        <f>IFERROR(VLOOKUP(L2,CARR_PEN_TBL,2,0),0)</f>
        <v/>
      </c>
      <c r="CS2" s="3">
        <f>W_FIAB*CA2+W_PRECIO*CC2+W_KMEDAD*CG2+W_ANUNCIO*CH2+W_USO*CN2+W_SEGURIDAD*CP2+W_ETIQUETA*CI2+W_ESTILO*CQ2-CR2</f>
        <v/>
      </c>
      <c r="CT2" s="4">
        <f>IF(N(I2)&gt;0,I2,IFERROR(ROUND(_xlfn.NUMBERVALUE(LEFT(G2,FIND(" ",G2&amp;" ")-1),".")*1000,0),99999))</f>
        <v/>
      </c>
      <c r="CU2" s="3">
        <f>IF(R2="profesional",0,IF(O2&lt;CUOTA_VALOR_MAX,IF(BE2&gt;ITP_TRAMO_ALTO,SUMIFS(CF_CUOTA,CF_MAS,ITP_TRAMO_ALTO,CF_CCMIN,"&lt;="&amp;CT2,CF_CCMAX,"&gt;="&amp;CT2),IF(BE2&gt;ITP_TRAMO_BAJO,SUMIFS(CF_CUOTA,CF_MAS,ITP_TRAMO_BAJO,CF_CCMIN,"&lt;="&amp;CT2,CF_CCMAX,"&gt;="&amp;CT2),O2*ITP_TIPO)),O2*ITP_TIPO))</f>
        <v/>
      </c>
      <c r="CV2" s="4">
        <f>IF(R2="profesional",N(AK2),0)</f>
        <v/>
      </c>
      <c r="CW2" s="3">
        <f>IF(AND(R2="profesional",ISNUMBER(AK2),AL2="sí"),0,TASA_DGT)</f>
        <v/>
      </c>
      <c r="CX2" s="3">
        <f>INFORME_DGT</f>
        <v/>
      </c>
      <c r="CY2" s="4">
        <f>O2+CV2+CU2+CW2+CX2</f>
        <v/>
      </c>
      <c r="CZ2" s="4">
        <f>CY2+N(CL2)</f>
        <v/>
      </c>
      <c r="DA2" s="3">
        <f>IF(CY2&lt;=TOTAL_MAX,"sí",IF(CY2&lt;=TOTAL_MAX+MARGEN_NEG,"negociar","no"))</f>
        <v/>
      </c>
      <c r="DB2" s="4">
        <f>IF(DA2&lt;&gt;"no",COUNTIFS($DA$2:$DA$130,"&lt;&gt;no",$CS$2:$CS$130,"&gt;"&amp;CS2)+COUNTIFS($DA$2:DA2,"&lt;&gt;no",$CS$2:CS2,CS2),"")</f>
        <v/>
      </c>
    </row>
    <row r="3">
      <c r="A3" s="2" t="inlineStr">
        <is>
          <t>ocasionplus:b9auzqaa</t>
        </is>
      </c>
      <c r="B3" s="2" t="inlineStr">
        <is>
          <t>ocasionplus</t>
        </is>
      </c>
      <c r="C3" s="2" t="inlineStr">
        <is>
          <t>https://www.ocasionplus.com/coches-segunda-mano/peugeot-207-14-confort-con-116183km-2008-b9auzqaa</t>
        </is>
      </c>
      <c r="D3" s="2" t="inlineStr">
        <is>
          <t>Peugeot 207 1.4 Confort (75 CV)</t>
        </is>
      </c>
      <c r="E3" s="2" t="inlineStr">
        <is>
          <t>Peugeot</t>
        </is>
      </c>
      <c r="F3" s="2" t="inlineStr">
        <is>
          <t>Peugeot 207</t>
        </is>
      </c>
      <c r="G3" s="2" t="inlineStr">
        <is>
          <t>1.4</t>
        </is>
      </c>
      <c r="H3" s="2" t="inlineStr">
        <is>
          <t>Peugeot 207 1.4 Confort (75 CV)</t>
        </is>
      </c>
      <c r="I3" s="2" t="n">
        <v>1360</v>
      </c>
      <c r="J3" s="2" t="n">
        <v>75</v>
      </c>
      <c r="K3" s="2" t="inlineStr">
        <is>
          <t>gasolina</t>
        </is>
      </c>
      <c r="L3" s="2" t="inlineStr">
        <is>
          <t>utilitario</t>
        </is>
      </c>
      <c r="M3" s="2" t="n">
        <v>2008</v>
      </c>
      <c r="N3" s="2" t="n">
        <v>116183</v>
      </c>
      <c r="O3" s="2" t="n">
        <v>2900</v>
      </c>
      <c r="P3" s="2" t="inlineStr">
        <is>
          <t>manual</t>
        </is>
      </c>
      <c r="Q3" s="2" t="inlineStr">
        <is>
          <t>no</t>
        </is>
      </c>
      <c r="R3" s="2" t="inlineStr">
        <is>
          <t>profesional</t>
        </is>
      </c>
      <c r="S3" s="2" t="inlineStr">
        <is>
          <t>Valencia - Sagunto (Sagunto, 46500)</t>
        </is>
      </c>
      <c r="T3" s="2" t="inlineStr">
        <is>
          <t>2026-10-27T00:00:00.000Z</t>
        </is>
      </c>
      <c r="U3" s="2" t="n">
        <v>25</v>
      </c>
      <c r="V3" s="2" t="inlineStr">
        <is>
          <t>sí</t>
        </is>
      </c>
      <c r="W3" s="2" t="n"/>
      <c r="X3" s="2" t="n"/>
      <c r="Y3" s="2" t="n">
        <v>0</v>
      </c>
      <c r="Z3" s="2" t="n"/>
      <c r="AA3" s="2" t="n"/>
      <c r="AB3" s="2" t="n"/>
      <c r="AC3" s="2" t="inlineStr">
        <is>
          <t>sí</t>
        </is>
      </c>
      <c r="AD3" s="2" t="n">
        <v>500</v>
      </c>
      <c r="AE3" s="2" t="n"/>
      <c r="AF3" s="2" t="inlineStr">
        <is>
          <t>sí</t>
        </is>
      </c>
      <c r="AG3" s="2" t="n"/>
      <c r="AH3" s="2" t="n">
        <v>2900</v>
      </c>
      <c r="AI3" s="2" t="n">
        <v>2900</v>
      </c>
      <c r="AJ3" s="2" t="inlineStr">
        <is>
          <t>no</t>
        </is>
      </c>
      <c r="AK3" s="2" t="n">
        <v>350</v>
      </c>
      <c r="AL3" s="2" t="inlineStr">
        <is>
          <t>sí</t>
        </is>
      </c>
      <c r="AM3" s="2" t="n">
        <v>25.5</v>
      </c>
      <c r="AN3" s="2" t="inlineStr">
        <is>
          <t>8408GBN</t>
        </is>
      </c>
      <c r="AO3" s="2" t="inlineStr">
        <is>
          <t>2008-03-03</t>
        </is>
      </c>
      <c r="AP3" s="2" t="n">
        <v>2008</v>
      </c>
      <c r="AQ3" s="2" t="n">
        <v>3</v>
      </c>
      <c r="AR3" s="2" t="inlineStr">
        <is>
          <t>C</t>
        </is>
      </c>
      <c r="AS3" s="2" t="inlineStr">
        <is>
          <t>DGT</t>
        </is>
      </c>
      <c r="AT3" s="2" t="n"/>
      <c r="AU3" s="2" t="inlineStr">
        <is>
          <t>no</t>
        </is>
      </c>
      <c r="AV3" s="2" t="inlineStr">
        <is>
          <t>no</t>
        </is>
      </c>
      <c r="AW3" s="2" t="inlineStr">
        <is>
          <t>no</t>
        </is>
      </c>
      <c r="AX3" s="2" t="n">
        <v>3650</v>
      </c>
      <c r="AY3" s="2" t="n">
        <v>28</v>
      </c>
      <c r="AZ3" s="2" t="inlineStr">
        <is>
          <t>modelo+año+km</t>
        </is>
      </c>
      <c r="BA3" s="2" t="n"/>
      <c r="BB3" s="2" t="inlineStr">
        <is>
          <t>vendedor profesional: sin ITP (operación con IVA/REBU, confirmar en factura); revisar: no menciona la ITV; fiabilidad del modelo PENDIENTE de fuente (puntuación neutra)</t>
        </is>
      </c>
      <c r="BC3" s="2" t="inlineStr">
        <is>
          <t>Peugeot 207 1.4 Confort (75 CV)</t>
        </is>
      </c>
      <c r="BD3" s="2" t="inlineStr">
        <is>
          <t>https://www.ocasionplus.com/coches-segunda-mano/peugeot-207-14-confort-con-116183km-2008-b9auzqaa (payload RSC 'vehicle') /home/user/Alopecia/buscador-coches/raw/ocasionplus/fc0eb20181760918.json</t>
        </is>
      </c>
      <c r="BE3" s="3">
        <f>MAX(ANIO_ACTUAL-M3,0)</f>
        <v/>
      </c>
      <c r="BF3" s="4">
        <f>N3/MAX(BE3,0.5)</f>
        <v/>
      </c>
      <c r="BG3" s="4">
        <f>F3</f>
        <v/>
      </c>
      <c r="BH3" s="3">
        <f>BG3&amp;"|"&amp;INT(M3/SEG_ANIO)*SEG_ANIO</f>
        <v/>
      </c>
      <c r="BI3" s="3">
        <f>BH3&amp;"|"&amp;INT(N3/SEG_KM)*SEG_KM</f>
        <v/>
      </c>
      <c r="BJ3" s="4">
        <f>COUNTIF($BG$2:$BG$130,BG3)</f>
        <v/>
      </c>
      <c r="BK3" s="4">
        <f>COUNTIF($BH$2:$BH$130,BH3)</f>
        <v/>
      </c>
      <c r="BL3" s="4">
        <f>COUNTIF($BI$2:$BI$130,BI3)</f>
        <v/>
      </c>
      <c r="BM3" s="3">
        <f t="array" ref="BM3">IF(N(AY3)&gt;=MIN_N,AX3,IF(BL3&gt;=MIN_N,MEDIAN(IF($BI$2:$BI$130=BI3,$O$2:$O$130)),IF(BK3&gt;=MIN_N,MEDIAN(IF($BH$2:$BH$130=BH3,$O$2:$O$130)),MEDIAN(IF($BG$2:$BG$130=BG3,$O$2:$O$130)))))</f>
        <v/>
      </c>
      <c r="BN3" s="3">
        <f>IF(N(AY3)&gt;=MIN_N,"mercado "&amp;AZ3,IF(BL3&gt;=MIN_N,"modelo+año+km",IF(BK3&gt;=MIN_N,"modelo+año","modelo")))</f>
        <v/>
      </c>
      <c r="BO3" s="4">
        <f>(BM3-O3)/BM3</f>
        <v/>
      </c>
      <c r="BP3" s="3">
        <f>IF(COUNTIFS(FR_FUEL,K3,FR_YEAR,AP3)&gt;0,1,0)</f>
        <v/>
      </c>
      <c r="BQ3" s="3">
        <f>IF(COUNTIFS(FR_FUEL,K3,FR_YEAR,AP3-1)&gt;0,1,0)</f>
        <v/>
      </c>
      <c r="BR3" s="4">
        <f>IF(N(AQ3)&gt;0,AP3*100+AQ3,IF(AND(BP3=1,BQ3=1),(AP3-1)*100+1,AP3*100+1))</f>
        <v/>
      </c>
      <c r="BS3" s="3">
        <f>IF(OR(K3="hibrido",K3="glp",K3="gnc",K3="phev"),"ECO",IF(K3="electrico","CERO",IF(K3="gasolina",IF(BR3&gt;=GAS_C_YM,"C",IF(BR3&gt;=GAS_B_YM,"B","A")),IF(K3="diesel",IF(BR3&gt;=DIE_C_YM,"C",IF(BR3&gt;=DIE_B_YM,"B","A")),""))))</f>
        <v/>
      </c>
      <c r="BT3" s="2" t="inlineStr">
        <is>
          <t>C</t>
        </is>
      </c>
      <c r="BU3" s="4">
        <f>IF(AU3="sí","sí",IF(AS3="regla",IF(AND(N(AQ3)=0,BP3=1),"sí","no"),"no"))</f>
        <v/>
      </c>
      <c r="BV3" s="3">
        <f>IFERROR(VLOOKUP(F3,MOD_TBL,16,0),IFERROR(VLOOKUP(E3,OCU_TBL,2,0),NEUTRO))</f>
        <v/>
      </c>
      <c r="BW3" s="3">
        <f>SUMIFS(MOT_AJUSTE,MOT_MOTOR,G3,MOT_MARCA,E3,MOT_DESDE,"&lt;="&amp;M3,MOT_HASTA,"&gt;="&amp;M3)+SUMIFS(MOT_AJUSTE,MOT_MOTOR,G3,MOT_MARCA,"(todas)",MOT_DESDE,"&lt;="&amp;M3,MOT_HASTA,"&gt;="&amp;M3)+SUMIFS(MOT_AJUSTE,MOT_MOTOR,"(cualquiera)",MOT_MARCA,E3,MOT_DESDE,"&lt;="&amp;M3,MOT_HASTA,"&gt;="&amp;M3)</f>
        <v/>
      </c>
      <c r="BX3" s="3">
        <f>SUMIFS(COMB_AJUSTE,COMB_COMB,K3)</f>
        <v/>
      </c>
      <c r="BY3" s="3">
        <f>COUNTIFS(MOT_MOTOR,G3,MOT_MARCA,E3,MOT_DESDE,"&lt;="&amp;M3,MOT_HASTA,"&gt;="&amp;M3)+COUNTIFS(MOT_MOTOR,G3,MOT_MARCA,"(todas)",MOT_DESDE,"&lt;="&amp;M3,MOT_HASTA,"&gt;="&amp;M3)+COUNTIFS(MOT_MOTOR,"(cualquiera)",MOT_MARCA,E3,MOT_DESDE,"&lt;="&amp;M3,MOT_HASTA,"&gt;="&amp;M3)</f>
        <v/>
      </c>
      <c r="BZ3" s="3">
        <f>IF(AND(K3="diesel",BY3=0),MIN(BV3,NEUTRO),BV3)</f>
        <v/>
      </c>
      <c r="CA3" s="3">
        <f>MAX(0,MIN(100,BZ3+BW3+BX3-IF(AV3="sí",ROB_PEN,0)))</f>
        <v/>
      </c>
      <c r="CB3" s="3">
        <f>100-MAX(0,N3-KM_TOPE_DESDE)/1000*KM_TOPE_PTS</f>
        <v/>
      </c>
      <c r="CC3" s="3">
        <f>MAX(0,MIN(100,50+BO3*PRECIO_PEND,CB3))</f>
        <v/>
      </c>
      <c r="CD3" s="3">
        <f>MAX(0,100*(1-N3/KM_MAX))</f>
        <v/>
      </c>
      <c r="CE3" s="3">
        <f>IF(BF3&lt;KMA_SOSP,IF(AA3="sí",100,KMA_PEN),IF(BF3&lt;=KMA_IDEAL_MAX,100,MAX(0,100*(KMA_CERO-BF3)/(KMA_CERO-KMA_IDEAL_MAX))))</f>
        <v/>
      </c>
      <c r="CF3" s="3">
        <f>MAX(0,MIN(100,100*(M3-ANIO_MIN)/(ANIO_ACTUAL-ANIO_MIN)))</f>
        <v/>
      </c>
      <c r="CG3" s="3">
        <f>W_KMT*CD3+W_KMA*CE3+W_EDAD*CF3</f>
        <v/>
      </c>
      <c r="CH3" s="3">
        <f>P_ITV*(V3="sí")+P_LIBRO*(W3="sí")+P_CORREA*(X3="sí")+P_PROP*(Y3=1)+P_GAR*(Z3="sí")+P_FOTOS*MIN(1,N(U3)/FOTOS_OBJ)</f>
        <v/>
      </c>
      <c r="CI3" s="3">
        <f>MAX(0,MIN(100,IFERROR(VLOOKUP(BT3,ETQ_TBL,2,0),0)-IF(BU3="sí",ETQ_PEN_DUD,IF(AS3="regla",ETQ_PEN_REGLA,0))))</f>
        <v/>
      </c>
      <c r="CJ3" s="3">
        <f>IF(K3&lt;&gt;"gasolina","",IFERROR(VLOOKUP(F3,CONS_MOD_TBL,2,0),IFERROR(VLOOKUP(L3,CONS_SEG_TBL,2,0),"")))</f>
        <v/>
      </c>
      <c r="CK3" s="3">
        <f>IF(CJ3="",NEUTRO,MAX(0,MIN(100,100*(CONS_REF_MAX-CJ3)/(CONS_REF_MAX-CONS_REF_MIN))))</f>
        <v/>
      </c>
      <c r="CL3" s="3">
        <f>IFERROR(VLOOKUP(L3,SEGURO_TBL,3,0),"")</f>
        <v/>
      </c>
      <c r="CM3" s="3">
        <f>IF(CL3="",NEUTRO,MAX(0,MIN(100,100*(SEG_REF_MAX-CL3)/(SEG_REF_MAX-SEG_REF_MIN))))</f>
        <v/>
      </c>
      <c r="CN3" s="3">
        <f>W_CONS*CK3+W_SEG*CM3</f>
        <v/>
      </c>
      <c r="CO3" s="3">
        <f>IF(N(AB3)&gt;0,AB3,IF(AND(R3="profesional",SG_LEGAL_ON=1),GAR_LEGAL,0))</f>
        <v/>
      </c>
      <c r="CP3" s="3">
        <f>SG_GAR*MIN(1,CO3/SG_GAR_FULL)+SG_AMPL*(AC3="sí")+SG_KMC*(AF3="sí")+SG_REV*(N(AE3)&gt;0)+SG_DEV*MIN(1,N(AG3)/SG_DEV_FULL)+SG_HIST*(W3="sí")</f>
        <v/>
      </c>
      <c r="CQ3" s="3">
        <f>IF(AW3="sí",ESTILO_PRIO,IFERROR(VLOOKUP(L3,ESTILO_TBL,2,0),NEUTRO))</f>
        <v/>
      </c>
      <c r="CR3" s="3">
        <f>IFERROR(VLOOKUP(L3,CARR_PEN_TBL,2,0),0)</f>
        <v/>
      </c>
      <c r="CS3" s="3">
        <f>W_FIAB*CA3+W_PRECIO*CC3+W_KMEDAD*CG3+W_ANUNCIO*CH3+W_USO*CN3+W_SEGURIDAD*CP3+W_ETIQUETA*CI3+W_ESTILO*CQ3-CR3</f>
        <v/>
      </c>
      <c r="CT3" s="4">
        <f>IF(N(I3)&gt;0,I3,IFERROR(ROUND(_xlfn.NUMBERVALUE(LEFT(G3,FIND(" ",G3&amp;" ")-1),".")*1000,0),99999))</f>
        <v/>
      </c>
      <c r="CU3" s="3">
        <f>IF(R3="profesional",0,IF(O3&lt;CUOTA_VALOR_MAX,IF(BE3&gt;ITP_TRAMO_ALTO,SUMIFS(CF_CUOTA,CF_MAS,ITP_TRAMO_ALTO,CF_CCMIN,"&lt;="&amp;CT3,CF_CCMAX,"&gt;="&amp;CT3),IF(BE3&gt;ITP_TRAMO_BAJO,SUMIFS(CF_CUOTA,CF_MAS,ITP_TRAMO_BAJO,CF_CCMIN,"&lt;="&amp;CT3,CF_CCMAX,"&gt;="&amp;CT3),O3*ITP_TIPO)),O3*ITP_TIPO))</f>
        <v/>
      </c>
      <c r="CV3" s="4">
        <f>IF(R3="profesional",N(AK3),0)</f>
        <v/>
      </c>
      <c r="CW3" s="3">
        <f>IF(AND(R3="profesional",ISNUMBER(AK3),AL3="sí"),0,TASA_DGT)</f>
        <v/>
      </c>
      <c r="CX3" s="3">
        <f>INFORME_DGT</f>
        <v/>
      </c>
      <c r="CY3" s="4">
        <f>O3+CV3+CU3+CW3+CX3</f>
        <v/>
      </c>
      <c r="CZ3" s="4">
        <f>CY3+N(CL3)</f>
        <v/>
      </c>
      <c r="DA3" s="3">
        <f>IF(CY3&lt;=TOTAL_MAX,"sí",IF(CY3&lt;=TOTAL_MAX+MARGEN_NEG,"negociar","no"))</f>
        <v/>
      </c>
      <c r="DB3" s="4">
        <f>IF(DA3&lt;&gt;"no",COUNTIFS($DA$2:$DA$130,"&lt;&gt;no",$CS$2:$CS$130,"&gt;"&amp;CS3)+COUNTIFS($DA$2:DA3,"&lt;&gt;no",$CS$2:CS3,CS3),"")</f>
        <v/>
      </c>
    </row>
    <row r="4">
      <c r="A4" s="2" t="inlineStr">
        <is>
          <t>ocasionplus:saqsyqa5</t>
        </is>
      </c>
      <c r="B4" s="2" t="inlineStr">
        <is>
          <t>ocasionplus</t>
        </is>
      </c>
      <c r="C4" s="2" t="inlineStr">
        <is>
          <t>https://www.ocasionplus.com/coches-segunda-mano/ford-ka-13-collection-con-115071km-2008-saqsyqa5</t>
        </is>
      </c>
      <c r="D4" s="2" t="inlineStr">
        <is>
          <t>Ford Ka 1.3 Collection (70 CV)</t>
        </is>
      </c>
      <c r="E4" s="2" t="inlineStr">
        <is>
          <t>Ford</t>
        </is>
      </c>
      <c r="F4" s="2" t="inlineStr">
        <is>
          <t>Ford Ka</t>
        </is>
      </c>
      <c r="G4" s="2" t="inlineStr">
        <is>
          <t>1.3</t>
        </is>
      </c>
      <c r="H4" s="2" t="inlineStr">
        <is>
          <t>Ford Ka 1.3 Collection (70 CV)</t>
        </is>
      </c>
      <c r="I4" s="2" t="n">
        <v>1299</v>
      </c>
      <c r="J4" s="2" t="n">
        <v>70</v>
      </c>
      <c r="K4" s="2" t="inlineStr">
        <is>
          <t>gasolina</t>
        </is>
      </c>
      <c r="L4" s="2" t="inlineStr">
        <is>
          <t>utilitario</t>
        </is>
      </c>
      <c r="M4" s="2" t="n">
        <v>2008</v>
      </c>
      <c r="N4" s="2" t="n">
        <v>115071</v>
      </c>
      <c r="O4" s="2" t="n">
        <v>3900</v>
      </c>
      <c r="P4" s="2" t="inlineStr">
        <is>
          <t>manual</t>
        </is>
      </c>
      <c r="Q4" s="2" t="inlineStr">
        <is>
          <t>no</t>
        </is>
      </c>
      <c r="R4" s="2" t="inlineStr">
        <is>
          <t>profesional</t>
        </is>
      </c>
      <c r="S4" s="2" t="inlineStr">
        <is>
          <t>Valencia - Gandía (Gandía, 46702)</t>
        </is>
      </c>
      <c r="T4" s="2" t="inlineStr">
        <is>
          <t>2026-05-21T00:00:00.000Z</t>
        </is>
      </c>
      <c r="U4" s="2" t="n">
        <v>22</v>
      </c>
      <c r="V4" s="2" t="inlineStr">
        <is>
          <t>sí</t>
        </is>
      </c>
      <c r="W4" s="2" t="n"/>
      <c r="X4" s="2" t="n"/>
      <c r="Y4" s="2" t="n">
        <v>0</v>
      </c>
      <c r="Z4" s="2" t="n"/>
      <c r="AA4" s="2" t="n"/>
      <c r="AB4" s="2" t="n"/>
      <c r="AC4" s="2" t="inlineStr">
        <is>
          <t>sí</t>
        </is>
      </c>
      <c r="AD4" s="2" t="n">
        <v>500</v>
      </c>
      <c r="AE4" s="2" t="n"/>
      <c r="AF4" s="2" t="inlineStr">
        <is>
          <t>sí</t>
        </is>
      </c>
      <c r="AG4" s="2" t="n"/>
      <c r="AH4" s="2" t="n">
        <v>3900</v>
      </c>
      <c r="AI4" s="2" t="n">
        <v>1700</v>
      </c>
      <c r="AJ4" s="2" t="inlineStr">
        <is>
          <t>sí</t>
        </is>
      </c>
      <c r="AK4" s="2" t="n">
        <v>350</v>
      </c>
      <c r="AL4" s="2" t="inlineStr">
        <is>
          <t>sí</t>
        </is>
      </c>
      <c r="AM4" s="2" t="n">
        <v>58.4</v>
      </c>
      <c r="AN4" s="2" t="inlineStr">
        <is>
          <t>2715GGP</t>
        </is>
      </c>
      <c r="AO4" s="2" t="inlineStr">
        <is>
          <t>2008-07-25</t>
        </is>
      </c>
      <c r="AP4" s="2" t="n">
        <v>2008</v>
      </c>
      <c r="AQ4" s="2" t="n">
        <v>7</v>
      </c>
      <c r="AR4" s="2" t="inlineStr">
        <is>
          <t>C</t>
        </is>
      </c>
      <c r="AS4" s="2" t="inlineStr">
        <is>
          <t>DGT</t>
        </is>
      </c>
      <c r="AT4" s="2" t="n"/>
      <c r="AU4" s="2" t="inlineStr">
        <is>
          <t>no</t>
        </is>
      </c>
      <c r="AV4" s="2" t="inlineStr">
        <is>
          <t>no</t>
        </is>
      </c>
      <c r="AW4" s="2" t="inlineStr">
        <is>
          <t>no</t>
        </is>
      </c>
      <c r="AX4" s="2" t="n"/>
      <c r="AY4" s="2" t="n"/>
      <c r="AZ4" s="2" t="n"/>
      <c r="BA4" s="2" t="n"/>
      <c r="BB4" s="2" t="inlineStr">
        <is>
          <t>vendedor profesional: sin ITP (operación con IVA/REBU, confirmar en factura); el precio anunciado (1.700 €) solo vale financiando; se usa el precio al contado; revisar: no menciona la ITV; fiabilidad del modelo PENDIENTE de fuente (puntuación neutra); mediana con solo 3 anuncio(s)</t>
        </is>
      </c>
      <c r="BC4" s="2" t="inlineStr">
        <is>
          <t>Ford Ka 1.3 Collection (70 CV)</t>
        </is>
      </c>
      <c r="BD4" s="2" t="inlineStr">
        <is>
          <t>https://www.ocasionplus.com/coches-segunda-mano/ford-ka-13-collection-con-115071km-2008-saqsyqa5 (payload RSC 'vehicle') /home/user/Alopecia/buscador-coches/raw/ocasionplus/91b2d0d1fcf52c76.json</t>
        </is>
      </c>
      <c r="BE4" s="3">
        <f>MAX(ANIO_ACTUAL-M4,0)</f>
        <v/>
      </c>
      <c r="BF4" s="4">
        <f>N4/MAX(BE4,0.5)</f>
        <v/>
      </c>
      <c r="BG4" s="4">
        <f>F4</f>
        <v/>
      </c>
      <c r="BH4" s="3">
        <f>BG4&amp;"|"&amp;INT(M4/SEG_ANIO)*SEG_ANIO</f>
        <v/>
      </c>
      <c r="BI4" s="3">
        <f>BH4&amp;"|"&amp;INT(N4/SEG_KM)*SEG_KM</f>
        <v/>
      </c>
      <c r="BJ4" s="4">
        <f>COUNTIF($BG$2:$BG$130,BG4)</f>
        <v/>
      </c>
      <c r="BK4" s="4">
        <f>COUNTIF($BH$2:$BH$130,BH4)</f>
        <v/>
      </c>
      <c r="BL4" s="4">
        <f>COUNTIF($BI$2:$BI$130,BI4)</f>
        <v/>
      </c>
      <c r="BM4" s="3">
        <f t="array" ref="BM4">IF(N(AY4)&gt;=MIN_N,AX4,IF(BL4&gt;=MIN_N,MEDIAN(IF($BI$2:$BI$130=BI4,$O$2:$O$130)),IF(BK4&gt;=MIN_N,MEDIAN(IF($BH$2:$BH$130=BH4,$O$2:$O$130)),MEDIAN(IF($BG$2:$BG$130=BG4,$O$2:$O$130)))))</f>
        <v/>
      </c>
      <c r="BN4" s="3">
        <f>IF(N(AY4)&gt;=MIN_N,"mercado "&amp;AZ4,IF(BL4&gt;=MIN_N,"modelo+año+km",IF(BK4&gt;=MIN_N,"modelo+año","modelo")))</f>
        <v/>
      </c>
      <c r="BO4" s="4">
        <f>(BM4-O4)/BM4</f>
        <v/>
      </c>
      <c r="BP4" s="3">
        <f>IF(COUNTIFS(FR_FUEL,K4,FR_YEAR,AP4)&gt;0,1,0)</f>
        <v/>
      </c>
      <c r="BQ4" s="3">
        <f>IF(COUNTIFS(FR_FUEL,K4,FR_YEAR,AP4-1)&gt;0,1,0)</f>
        <v/>
      </c>
      <c r="BR4" s="4">
        <f>IF(N(AQ4)&gt;0,AP4*100+AQ4,IF(AND(BP4=1,BQ4=1),(AP4-1)*100+1,AP4*100+1))</f>
        <v/>
      </c>
      <c r="BS4" s="3">
        <f>IF(OR(K4="hibrido",K4="glp",K4="gnc",K4="phev"),"ECO",IF(K4="electrico","CERO",IF(K4="gasolina",IF(BR4&gt;=GAS_C_YM,"C",IF(BR4&gt;=GAS_B_YM,"B","A")),IF(K4="diesel",IF(BR4&gt;=DIE_C_YM,"C",IF(BR4&gt;=DIE_B_YM,"B","A")),""))))</f>
        <v/>
      </c>
      <c r="BT4" s="2" t="inlineStr">
        <is>
          <t>C</t>
        </is>
      </c>
      <c r="BU4" s="4">
        <f>IF(AU4="sí","sí",IF(AS4="regla",IF(AND(N(AQ4)=0,BP4=1),"sí","no"),"no"))</f>
        <v/>
      </c>
      <c r="BV4" s="3">
        <f>IFERROR(VLOOKUP(F4,MOD_TBL,16,0),IFERROR(VLOOKUP(E4,OCU_TBL,2,0),NEUTRO))</f>
        <v/>
      </c>
      <c r="BW4" s="3">
        <f>SUMIFS(MOT_AJUSTE,MOT_MOTOR,G4,MOT_MARCA,E4,MOT_DESDE,"&lt;="&amp;M4,MOT_HASTA,"&gt;="&amp;M4)+SUMIFS(MOT_AJUSTE,MOT_MOTOR,G4,MOT_MARCA,"(todas)",MOT_DESDE,"&lt;="&amp;M4,MOT_HASTA,"&gt;="&amp;M4)+SUMIFS(MOT_AJUSTE,MOT_MOTOR,"(cualquiera)",MOT_MARCA,E4,MOT_DESDE,"&lt;="&amp;M4,MOT_HASTA,"&gt;="&amp;M4)</f>
        <v/>
      </c>
      <c r="BX4" s="3">
        <f>SUMIFS(COMB_AJUSTE,COMB_COMB,K4)</f>
        <v/>
      </c>
      <c r="BY4" s="3">
        <f>COUNTIFS(MOT_MOTOR,G4,MOT_MARCA,E4,MOT_DESDE,"&lt;="&amp;M4,MOT_HASTA,"&gt;="&amp;M4)+COUNTIFS(MOT_MOTOR,G4,MOT_MARCA,"(todas)",MOT_DESDE,"&lt;="&amp;M4,MOT_HASTA,"&gt;="&amp;M4)+COUNTIFS(MOT_MOTOR,"(cualquiera)",MOT_MARCA,E4,MOT_DESDE,"&lt;="&amp;M4,MOT_HASTA,"&gt;="&amp;M4)</f>
        <v/>
      </c>
      <c r="BZ4" s="3">
        <f>IF(AND(K4="diesel",BY4=0),MIN(BV4,NEUTRO),BV4)</f>
        <v/>
      </c>
      <c r="CA4" s="3">
        <f>MAX(0,MIN(100,BZ4+BW4+BX4-IF(AV4="sí",ROB_PEN,0)))</f>
        <v/>
      </c>
      <c r="CB4" s="3">
        <f>100-MAX(0,N4-KM_TOPE_DESDE)/1000*KM_TOPE_PTS</f>
        <v/>
      </c>
      <c r="CC4" s="3">
        <f>MAX(0,MIN(100,50+BO4*PRECIO_PEND,CB4))</f>
        <v/>
      </c>
      <c r="CD4" s="3">
        <f>MAX(0,100*(1-N4/KM_MAX))</f>
        <v/>
      </c>
      <c r="CE4" s="3">
        <f>IF(BF4&lt;KMA_SOSP,IF(AA4="sí",100,KMA_PEN),IF(BF4&lt;=KMA_IDEAL_MAX,100,MAX(0,100*(KMA_CERO-BF4)/(KMA_CERO-KMA_IDEAL_MAX))))</f>
        <v/>
      </c>
      <c r="CF4" s="3">
        <f>MAX(0,MIN(100,100*(M4-ANIO_MIN)/(ANIO_ACTUAL-ANIO_MIN)))</f>
        <v/>
      </c>
      <c r="CG4" s="3">
        <f>W_KMT*CD4+W_KMA*CE4+W_EDAD*CF4</f>
        <v/>
      </c>
      <c r="CH4" s="3">
        <f>P_ITV*(V4="sí")+P_LIBRO*(W4="sí")+P_CORREA*(X4="sí")+P_PROP*(Y4=1)+P_GAR*(Z4="sí")+P_FOTOS*MIN(1,N(U4)/FOTOS_OBJ)</f>
        <v/>
      </c>
      <c r="CI4" s="3">
        <f>MAX(0,MIN(100,IFERROR(VLOOKUP(BT4,ETQ_TBL,2,0),0)-IF(BU4="sí",ETQ_PEN_DUD,IF(AS4="regla",ETQ_PEN_REGLA,0))))</f>
        <v/>
      </c>
      <c r="CJ4" s="3">
        <f>IF(K4&lt;&gt;"gasolina","",IFERROR(VLOOKUP(F4,CONS_MOD_TBL,2,0),IFERROR(VLOOKUP(L4,CONS_SEG_TBL,2,0),"")))</f>
        <v/>
      </c>
      <c r="CK4" s="3">
        <f>IF(CJ4="",NEUTRO,MAX(0,MIN(100,100*(CONS_REF_MAX-CJ4)/(CONS_REF_MAX-CONS_REF_MIN))))</f>
        <v/>
      </c>
      <c r="CL4" s="3">
        <f>IFERROR(VLOOKUP(L4,SEGURO_TBL,3,0),"")</f>
        <v/>
      </c>
      <c r="CM4" s="3">
        <f>IF(CL4="",NEUTRO,MAX(0,MIN(100,100*(SEG_REF_MAX-CL4)/(SEG_REF_MAX-SEG_REF_MIN))))</f>
        <v/>
      </c>
      <c r="CN4" s="3">
        <f>W_CONS*CK4+W_SEG*CM4</f>
        <v/>
      </c>
      <c r="CO4" s="3">
        <f>IF(N(AB4)&gt;0,AB4,IF(AND(R4="profesional",SG_LEGAL_ON=1),GAR_LEGAL,0))</f>
        <v/>
      </c>
      <c r="CP4" s="3">
        <f>SG_GAR*MIN(1,CO4/SG_GAR_FULL)+SG_AMPL*(AC4="sí")+SG_KMC*(AF4="sí")+SG_REV*(N(AE4)&gt;0)+SG_DEV*MIN(1,N(AG4)/SG_DEV_FULL)+SG_HIST*(W4="sí")</f>
        <v/>
      </c>
      <c r="CQ4" s="3">
        <f>IF(AW4="sí",ESTILO_PRIO,IFERROR(VLOOKUP(L4,ESTILO_TBL,2,0),NEUTRO))</f>
        <v/>
      </c>
      <c r="CR4" s="3">
        <f>IFERROR(VLOOKUP(L4,CARR_PEN_TBL,2,0),0)</f>
        <v/>
      </c>
      <c r="CS4" s="3">
        <f>W_FIAB*CA4+W_PRECIO*CC4+W_KMEDAD*CG4+W_ANUNCIO*CH4+W_USO*CN4+W_SEGURIDAD*CP4+W_ETIQUETA*CI4+W_ESTILO*CQ4-CR4</f>
        <v/>
      </c>
      <c r="CT4" s="4">
        <f>IF(N(I4)&gt;0,I4,IFERROR(ROUND(_xlfn.NUMBERVALUE(LEFT(G4,FIND(" ",G4&amp;" ")-1),".")*1000,0),99999))</f>
        <v/>
      </c>
      <c r="CU4" s="3">
        <f>IF(R4="profesional",0,IF(O4&lt;CUOTA_VALOR_MAX,IF(BE4&gt;ITP_TRAMO_ALTO,SUMIFS(CF_CUOTA,CF_MAS,ITP_TRAMO_ALTO,CF_CCMIN,"&lt;="&amp;CT4,CF_CCMAX,"&gt;="&amp;CT4),IF(BE4&gt;ITP_TRAMO_BAJO,SUMIFS(CF_CUOTA,CF_MAS,ITP_TRAMO_BAJO,CF_CCMIN,"&lt;="&amp;CT4,CF_CCMAX,"&gt;="&amp;CT4),O4*ITP_TIPO)),O4*ITP_TIPO))</f>
        <v/>
      </c>
      <c r="CV4" s="4">
        <f>IF(R4="profesional",N(AK4),0)</f>
        <v/>
      </c>
      <c r="CW4" s="3">
        <f>IF(AND(R4="profesional",ISNUMBER(AK4),AL4="sí"),0,TASA_DGT)</f>
        <v/>
      </c>
      <c r="CX4" s="3">
        <f>INFORME_DGT</f>
        <v/>
      </c>
      <c r="CY4" s="4">
        <f>O4+CV4+CU4+CW4+CX4</f>
        <v/>
      </c>
      <c r="CZ4" s="4">
        <f>CY4+N(CL4)</f>
        <v/>
      </c>
      <c r="DA4" s="3">
        <f>IF(CY4&lt;=TOTAL_MAX,"sí",IF(CY4&lt;=TOTAL_MAX+MARGEN_NEG,"negociar","no"))</f>
        <v/>
      </c>
      <c r="DB4" s="4">
        <f>IF(DA4&lt;&gt;"no",COUNTIFS($DA$2:$DA$130,"&lt;&gt;no",$CS$2:$CS$130,"&gt;"&amp;CS4)+COUNTIFS($DA$2:DA4,"&lt;&gt;no",$CS$2:CS4,CS4),"")</f>
        <v/>
      </c>
    </row>
    <row r="5">
      <c r="A5" s="2" t="inlineStr">
        <is>
          <t>cochesnet:71265682</t>
        </is>
      </c>
      <c r="B5" s="2" t="inlineStr">
        <is>
          <t>cochesnet</t>
        </is>
      </c>
      <c r="C5" s="2" t="inlineStr">
        <is>
          <t>https://www.coches.net/mazda-mazda2-active-14-crtd-5p-diesel-2007-en-valencia-71265682-covo.aspx</t>
        </is>
      </c>
      <c r="D5" s="2" t="inlineStr">
        <is>
          <t>MAZDA Mazda2 Active 1.4 CRTD</t>
        </is>
      </c>
      <c r="E5" s="2" t="inlineStr">
        <is>
          <t>Mazda</t>
        </is>
      </c>
      <c r="F5" s="2" t="inlineStr">
        <is>
          <t>Mazda 2</t>
        </is>
      </c>
      <c r="G5" s="2" t="inlineStr">
        <is>
          <t>1.4</t>
        </is>
      </c>
      <c r="H5" s="2" t="inlineStr">
        <is>
          <t>Active 1.4 CRTD</t>
        </is>
      </c>
      <c r="I5" s="2" t="n"/>
      <c r="J5" s="2" t="n"/>
      <c r="K5" s="2" t="inlineStr">
        <is>
          <t>diesel</t>
        </is>
      </c>
      <c r="L5" s="2" t="inlineStr">
        <is>
          <t>utilitario</t>
        </is>
      </c>
      <c r="M5" s="2" t="n">
        <v>2008</v>
      </c>
      <c r="N5" s="2" t="n">
        <v>145000</v>
      </c>
      <c r="O5" s="2" t="n">
        <v>4500</v>
      </c>
      <c r="P5" s="2" t="inlineStr">
        <is>
          <t>manual</t>
        </is>
      </c>
      <c r="Q5" s="2" t="inlineStr">
        <is>
          <t>no</t>
        </is>
      </c>
      <c r="R5" s="2" t="inlineStr">
        <is>
          <t>profesional</t>
        </is>
      </c>
      <c r="S5" s="2" t="inlineStr">
        <is>
          <t>Beniparrell</t>
        </is>
      </c>
      <c r="T5" s="2" t="inlineStr">
        <is>
          <t>2026-08-10T16:34:09Z</t>
        </is>
      </c>
      <c r="U5" s="2" t="n">
        <v>13</v>
      </c>
      <c r="V5" s="2" t="n"/>
      <c r="W5" s="2" t="n"/>
      <c r="X5" s="2" t="n"/>
      <c r="Y5" s="2" t="n"/>
      <c r="Z5" s="2" t="inlineStr">
        <is>
          <t>sí</t>
        </is>
      </c>
      <c r="AA5" s="2" t="n"/>
      <c r="AB5" s="2" t="n">
        <v>12</v>
      </c>
      <c r="AC5" s="2" t="n"/>
      <c r="AD5" s="2" t="n"/>
      <c r="AE5" s="2" t="n"/>
      <c r="AF5" s="2" t="n"/>
      <c r="AG5" s="2" t="n"/>
      <c r="AH5" s="2" t="n">
        <v>4500</v>
      </c>
      <c r="AI5" s="2" t="n"/>
      <c r="AJ5" s="2" t="n"/>
      <c r="AK5" s="2" t="n"/>
      <c r="AL5" s="2" t="n"/>
      <c r="AM5" s="2" t="n">
        <v>10.2</v>
      </c>
      <c r="AN5" s="2" t="n"/>
      <c r="AO5" s="2" t="inlineStr">
        <is>
          <t>2008</t>
        </is>
      </c>
      <c r="AP5" s="2" t="n">
        <v>2008</v>
      </c>
      <c r="AQ5" s="2" t="n"/>
      <c r="AR5" s="2" t="inlineStr">
        <is>
          <t>B</t>
        </is>
      </c>
      <c r="AS5" s="2" t="inlineStr">
        <is>
          <t>anuncio</t>
        </is>
      </c>
      <c r="AT5" s="2" t="n">
        <v>2007</v>
      </c>
      <c r="AU5" s="2" t="inlineStr">
        <is>
          <t>no</t>
        </is>
      </c>
      <c r="AV5" s="2" t="inlineStr">
        <is>
          <t>no</t>
        </is>
      </c>
      <c r="AW5" s="2" t="inlineStr">
        <is>
          <t>no</t>
        </is>
      </c>
      <c r="AX5" s="2" t="n">
        <v>5000</v>
      </c>
      <c r="AY5" s="2" t="n">
        <v>11</v>
      </c>
      <c r="AZ5" s="2" t="inlineStr">
        <is>
          <t>modelo+año</t>
        </is>
      </c>
      <c r="BA5" s="2" t="n"/>
      <c r="BB5" s="2" t="inlineStr">
        <is>
          <t>año a confirmar: la URL/título dice 2007; vendedor profesional: sin ITP (operación con IVA/REBU, confirmar en factura); gastos de gestión del vendedor no indicados: se suma la tasa DGT; preguntar el precio final; diésel: motor sin fuente de fiabilidad (fiabilidad limitada a neutra); revisar: no menciona la ITV</t>
        </is>
      </c>
      <c r="BC5" s="2" t="inlineStr">
        <is>
          <t>Este Mazda2 Active 1.4 CRTD es un compacto versátil y eficiente, diseñado para quienes buscan un vehículo manejable en ciudad sin renunciar a la practicidad. Su motor diésel de 1.4 litros ofrece un consumo moderado —4,3 l/100 km en ciclo mixto— con par disponible desde bajas revoluciones, lo que facilita la conducción en tráfico urbano y en carreteras secundarias.
El interior aprovecha bien el espacio disponible con asientos delanteros individuales ajustables en altura y respaldo trasero abatible asimétrico, permitiendo ampliar la capacidad de carga hasta 787 litros con los asientos plegados. La dirección asistida con endurecimiento progresivo y la suspensión independiente delantera proporcionan una respuesta equilibrada en diferentes condiciones de circulación.
En cuanto a equipamiento, este vehículo integra climatizador automático, elevalunas eléctricos en todas las puertas, cierre centralizado con mando a distancia, y un sistema de audio con radio AM/FM, lector de CD para MP3 y mandos en el volante. La seguridad se refuerza con airbags frontales inteligentes, laterales delanteros y de cortina, además de ABS en las cuatro ruedas y preparación Isofix para sistemas de retención infantil.
Los cristales tintados, retrovisores exteriores eléctricos y desempañables, así como los limpiaparabrisas con intermitencia, completan el equipamiento de confort. Este ejemplar cuenta con etiqueta medioambiental B, lo que permite acceso a las ciudades con regulación de zonas de bajas emisi</t>
        </is>
      </c>
      <c r="BD5" s="2" t="inlineStr">
        <is>
          <t>https://www.coches.net/mazda-mazda2-active-14-crtd-5p-diesel-2007-en-valencia-71265682-covo.aspx (window.__INITIAL_PROPS__.ad) /home/user/Alopecia/buscador-coches/raw/cochesnet/5cd5d6b176a66f9b.json</t>
        </is>
      </c>
      <c r="BE5" s="3">
        <f>MAX(ANIO_ACTUAL-M5,0)</f>
        <v/>
      </c>
      <c r="BF5" s="4">
        <f>N5/MAX(BE5,0.5)</f>
        <v/>
      </c>
      <c r="BG5" s="4">
        <f>F5</f>
        <v/>
      </c>
      <c r="BH5" s="3">
        <f>BG5&amp;"|"&amp;INT(M5/SEG_ANIO)*SEG_ANIO</f>
        <v/>
      </c>
      <c r="BI5" s="3">
        <f>BH5&amp;"|"&amp;INT(N5/SEG_KM)*SEG_KM</f>
        <v/>
      </c>
      <c r="BJ5" s="4">
        <f>COUNTIF($BG$2:$BG$130,BG5)</f>
        <v/>
      </c>
      <c r="BK5" s="4">
        <f>COUNTIF($BH$2:$BH$130,BH5)</f>
        <v/>
      </c>
      <c r="BL5" s="4">
        <f>COUNTIF($BI$2:$BI$130,BI5)</f>
        <v/>
      </c>
      <c r="BM5" s="3">
        <f t="array" ref="BM5">IF(N(AY5)&gt;=MIN_N,AX5,IF(BL5&gt;=MIN_N,MEDIAN(IF($BI$2:$BI$130=BI5,$O$2:$O$130)),IF(BK5&gt;=MIN_N,MEDIAN(IF($BH$2:$BH$130=BH5,$O$2:$O$130)),MEDIAN(IF($BG$2:$BG$130=BG5,$O$2:$O$130)))))</f>
        <v/>
      </c>
      <c r="BN5" s="3">
        <f>IF(N(AY5)&gt;=MIN_N,"mercado "&amp;AZ5,IF(BL5&gt;=MIN_N,"modelo+año+km",IF(BK5&gt;=MIN_N,"modelo+año","modelo")))</f>
        <v/>
      </c>
      <c r="BO5" s="4">
        <f>(BM5-O5)/BM5</f>
        <v/>
      </c>
      <c r="BP5" s="3">
        <f>IF(COUNTIFS(FR_FUEL,K5,FR_YEAR,AP5)&gt;0,1,0)</f>
        <v/>
      </c>
      <c r="BQ5" s="3">
        <f>IF(COUNTIFS(FR_FUEL,K5,FR_YEAR,AP5-1)&gt;0,1,0)</f>
        <v/>
      </c>
      <c r="BR5" s="4">
        <f>IF(N(AQ5)&gt;0,AP5*100+AQ5,IF(AND(BP5=1,BQ5=1),(AP5-1)*100+1,AP5*100+1))</f>
        <v/>
      </c>
      <c r="BS5" s="3">
        <f>IF(OR(K5="hibrido",K5="glp",K5="gnc",K5="phev"),"ECO",IF(K5="electrico","CERO",IF(K5="gasolina",IF(BR5&gt;=GAS_C_YM,"C",IF(BR5&gt;=GAS_B_YM,"B","A")),IF(K5="diesel",IF(BR5&gt;=DIE_C_YM,"C",IF(BR5&gt;=DIE_B_YM,"B","A")),""))))</f>
        <v/>
      </c>
      <c r="BT5" s="2" t="inlineStr">
        <is>
          <t>B</t>
        </is>
      </c>
      <c r="BU5" s="4">
        <f>IF(AU5="sí","sí",IF(AS5="regla",IF(AND(N(AQ5)=0,BP5=1),"sí","no"),"no"))</f>
        <v/>
      </c>
      <c r="BV5" s="3">
        <f>IFERROR(VLOOKUP(F5,MOD_TBL,16,0),IFERROR(VLOOKUP(E5,OCU_TBL,2,0),NEUTRO))</f>
        <v/>
      </c>
      <c r="BW5" s="3">
        <f>SUMIFS(MOT_AJUSTE,MOT_MOTOR,G5,MOT_MARCA,E5,MOT_DESDE,"&lt;="&amp;M5,MOT_HASTA,"&gt;="&amp;M5)+SUMIFS(MOT_AJUSTE,MOT_MOTOR,G5,MOT_MARCA,"(todas)",MOT_DESDE,"&lt;="&amp;M5,MOT_HASTA,"&gt;="&amp;M5)+SUMIFS(MOT_AJUSTE,MOT_MOTOR,"(cualquiera)",MOT_MARCA,E5,MOT_DESDE,"&lt;="&amp;M5,MOT_HASTA,"&gt;="&amp;M5)</f>
        <v/>
      </c>
      <c r="BX5" s="3">
        <f>SUMIFS(COMB_AJUSTE,COMB_COMB,K5)</f>
        <v/>
      </c>
      <c r="BY5" s="3">
        <f>COUNTIFS(MOT_MOTOR,G5,MOT_MARCA,E5,MOT_DESDE,"&lt;="&amp;M5,MOT_HASTA,"&gt;="&amp;M5)+COUNTIFS(MOT_MOTOR,G5,MOT_MARCA,"(todas)",MOT_DESDE,"&lt;="&amp;M5,MOT_HASTA,"&gt;="&amp;M5)+COUNTIFS(MOT_MOTOR,"(cualquiera)",MOT_MARCA,E5,MOT_DESDE,"&lt;="&amp;M5,MOT_HASTA,"&gt;="&amp;M5)</f>
        <v/>
      </c>
      <c r="BZ5" s="3">
        <f>IF(AND(K5="diesel",BY5=0),MIN(BV5,NEUTRO),BV5)</f>
        <v/>
      </c>
      <c r="CA5" s="3">
        <f>MAX(0,MIN(100,BZ5+BW5+BX5-IF(AV5="sí",ROB_PEN,0)))</f>
        <v/>
      </c>
      <c r="CB5" s="3">
        <f>100-MAX(0,N5-KM_TOPE_DESDE)/1000*KM_TOPE_PTS</f>
        <v/>
      </c>
      <c r="CC5" s="3">
        <f>MAX(0,MIN(100,50+BO5*PRECIO_PEND,CB5))</f>
        <v/>
      </c>
      <c r="CD5" s="3">
        <f>MAX(0,100*(1-N5/KM_MAX))</f>
        <v/>
      </c>
      <c r="CE5" s="3">
        <f>IF(BF5&lt;KMA_SOSP,IF(AA5="sí",100,KMA_PEN),IF(BF5&lt;=KMA_IDEAL_MAX,100,MAX(0,100*(KMA_CERO-BF5)/(KMA_CERO-KMA_IDEAL_MAX))))</f>
        <v/>
      </c>
      <c r="CF5" s="3">
        <f>MAX(0,MIN(100,100*(M5-ANIO_MIN)/(ANIO_ACTUAL-ANIO_MIN)))</f>
        <v/>
      </c>
      <c r="CG5" s="3">
        <f>W_KMT*CD5+W_KMA*CE5+W_EDAD*CF5</f>
        <v/>
      </c>
      <c r="CH5" s="3">
        <f>P_ITV*(V5="sí")+P_LIBRO*(W5="sí")+P_CORREA*(X5="sí")+P_PROP*(Y5=1)+P_GAR*(Z5="sí")+P_FOTOS*MIN(1,N(U5)/FOTOS_OBJ)</f>
        <v/>
      </c>
      <c r="CI5" s="3">
        <f>MAX(0,MIN(100,IFERROR(VLOOKUP(BT5,ETQ_TBL,2,0),0)-IF(BU5="sí",ETQ_PEN_DUD,IF(AS5="regla",ETQ_PEN_REGLA,0))))</f>
        <v/>
      </c>
      <c r="CJ5" s="3">
        <f>IF(K5&lt;&gt;"gasolina","",IFERROR(VLOOKUP(F5,CONS_MOD_TBL,2,0),IFERROR(VLOOKUP(L5,CONS_SEG_TBL,2,0),"")))</f>
        <v/>
      </c>
      <c r="CK5" s="3">
        <f>IF(CJ5="",NEUTRO,MAX(0,MIN(100,100*(CONS_REF_MAX-CJ5)/(CONS_REF_MAX-CONS_REF_MIN))))</f>
        <v/>
      </c>
      <c r="CL5" s="3">
        <f>IFERROR(VLOOKUP(L5,SEGURO_TBL,3,0),"")</f>
        <v/>
      </c>
      <c r="CM5" s="3">
        <f>IF(CL5="",NEUTRO,MAX(0,MIN(100,100*(SEG_REF_MAX-CL5)/(SEG_REF_MAX-SEG_REF_MIN))))</f>
        <v/>
      </c>
      <c r="CN5" s="3">
        <f>W_CONS*CK5+W_SEG*CM5</f>
        <v/>
      </c>
      <c r="CO5" s="3">
        <f>IF(N(AB5)&gt;0,AB5,IF(AND(R5="profesional",SG_LEGAL_ON=1),GAR_LEGAL,0))</f>
        <v/>
      </c>
      <c r="CP5" s="3">
        <f>SG_GAR*MIN(1,CO5/SG_GAR_FULL)+SG_AMPL*(AC5="sí")+SG_KMC*(AF5="sí")+SG_REV*(N(AE5)&gt;0)+SG_DEV*MIN(1,N(AG5)/SG_DEV_FULL)+SG_HIST*(W5="sí")</f>
        <v/>
      </c>
      <c r="CQ5" s="3">
        <f>IF(AW5="sí",ESTILO_PRIO,IFERROR(VLOOKUP(L5,ESTILO_TBL,2,0),NEUTRO))</f>
        <v/>
      </c>
      <c r="CR5" s="3">
        <f>IFERROR(VLOOKUP(L5,CARR_PEN_TBL,2,0),0)</f>
        <v/>
      </c>
      <c r="CS5" s="3">
        <f>W_FIAB*CA5+W_PRECIO*CC5+W_KMEDAD*CG5+W_ANUNCIO*CH5+W_USO*CN5+W_SEGURIDAD*CP5+W_ETIQUETA*CI5+W_ESTILO*CQ5-CR5</f>
        <v/>
      </c>
      <c r="CT5" s="4">
        <f>IF(N(I5)&gt;0,I5,IFERROR(ROUND(_xlfn.NUMBERVALUE(LEFT(G5,FIND(" ",G5&amp;" ")-1),".")*1000,0),99999))</f>
        <v/>
      </c>
      <c r="CU5" s="3">
        <f>IF(R5="profesional",0,IF(O5&lt;CUOTA_VALOR_MAX,IF(BE5&gt;ITP_TRAMO_ALTO,SUMIFS(CF_CUOTA,CF_MAS,ITP_TRAMO_ALTO,CF_CCMIN,"&lt;="&amp;CT5,CF_CCMAX,"&gt;="&amp;CT5),IF(BE5&gt;ITP_TRAMO_BAJO,SUMIFS(CF_CUOTA,CF_MAS,ITP_TRAMO_BAJO,CF_CCMIN,"&lt;="&amp;CT5,CF_CCMAX,"&gt;="&amp;CT5),O5*ITP_TIPO)),O5*ITP_TIPO))</f>
        <v/>
      </c>
      <c r="CV5" s="4">
        <f>IF(R5="profesional",N(AK5),0)</f>
        <v/>
      </c>
      <c r="CW5" s="3">
        <f>IF(AND(R5="profesional",ISNUMBER(AK5),AL5="sí"),0,TASA_DGT)</f>
        <v/>
      </c>
      <c r="CX5" s="3">
        <f>INFORME_DGT</f>
        <v/>
      </c>
      <c r="CY5" s="4">
        <f>O5+CV5+CU5+CW5+CX5</f>
        <v/>
      </c>
      <c r="CZ5" s="4">
        <f>CY5+N(CL5)</f>
        <v/>
      </c>
      <c r="DA5" s="3">
        <f>IF(CY5&lt;=TOTAL_MAX,"sí",IF(CY5&lt;=TOTAL_MAX+MARGEN_NEG,"negociar","no"))</f>
        <v/>
      </c>
      <c r="DB5" s="4">
        <f>IF(DA5&lt;&gt;"no",COUNTIFS($DA$2:$DA$130,"&lt;&gt;no",$CS$2:$CS$130,"&gt;"&amp;CS5)+COUNTIFS($DA$2:DA5,"&lt;&gt;no",$CS$2:CS5,CS5),"")</f>
        <v/>
      </c>
    </row>
    <row r="6">
      <c r="A6" s="2" t="inlineStr">
        <is>
          <t>cochesnet:71817386</t>
        </is>
      </c>
      <c r="B6" s="2" t="inlineStr">
        <is>
          <t>cochesnet</t>
        </is>
      </c>
      <c r="C6" s="2" t="inlineStr">
        <is>
          <t>https://www.coches.net/kia-picanto-10-sohc-concept-5p-gasolina-2010-en-valencia-71817386-covo.aspx</t>
        </is>
      </c>
      <c r="D6" s="2" t="inlineStr">
        <is>
          <t>KIA Picanto 1.0 SOHC Concept</t>
        </is>
      </c>
      <c r="E6" s="2" t="inlineStr">
        <is>
          <t>Kia</t>
        </is>
      </c>
      <c r="F6" s="2" t="inlineStr">
        <is>
          <t>Kia Picanto</t>
        </is>
      </c>
      <c r="G6" s="2" t="inlineStr">
        <is>
          <t>1.0</t>
        </is>
      </c>
      <c r="H6" s="2" t="inlineStr">
        <is>
          <t>1.0 SOHC Concept</t>
        </is>
      </c>
      <c r="I6" s="2" t="n"/>
      <c r="J6" s="2" t="n"/>
      <c r="K6" s="2" t="inlineStr">
        <is>
          <t>gasolina</t>
        </is>
      </c>
      <c r="L6" s="2" t="inlineStr">
        <is>
          <t>utilitario</t>
        </is>
      </c>
      <c r="M6" s="2" t="n">
        <v>2010</v>
      </c>
      <c r="N6" s="2" t="n">
        <v>99500</v>
      </c>
      <c r="O6" s="2" t="n">
        <v>4490</v>
      </c>
      <c r="P6" s="2" t="inlineStr">
        <is>
          <t>manual</t>
        </is>
      </c>
      <c r="Q6" s="2" t="inlineStr">
        <is>
          <t>no</t>
        </is>
      </c>
      <c r="R6" s="2" t="inlineStr">
        <is>
          <t>profesional</t>
        </is>
      </c>
      <c r="S6" s="2" t="inlineStr">
        <is>
          <t>JM Automóviles Alboraya</t>
        </is>
      </c>
      <c r="T6" s="2" t="inlineStr">
        <is>
          <t>2026-10-23T14:17:23Z</t>
        </is>
      </c>
      <c r="U6" s="2" t="n">
        <v>17</v>
      </c>
      <c r="V6" s="2" t="n"/>
      <c r="W6" s="2" t="n"/>
      <c r="X6" s="2" t="n"/>
      <c r="Y6" s="2" t="n"/>
      <c r="Z6" s="2" t="inlineStr">
        <is>
          <t>sí</t>
        </is>
      </c>
      <c r="AA6" s="2" t="n"/>
      <c r="AB6" s="2" t="n">
        <v>12</v>
      </c>
      <c r="AC6" s="2" t="n"/>
      <c r="AD6" s="2" t="n"/>
      <c r="AE6" s="2" t="n"/>
      <c r="AF6" s="2" t="n"/>
      <c r="AG6" s="2" t="n"/>
      <c r="AH6" s="2" t="n">
        <v>4490</v>
      </c>
      <c r="AI6" s="2" t="n">
        <v>4490</v>
      </c>
      <c r="AJ6" s="2" t="n"/>
      <c r="AK6" s="2" t="n"/>
      <c r="AL6" s="2" t="n"/>
      <c r="AM6" s="2" t="n">
        <v>4</v>
      </c>
      <c r="AN6" s="2" t="n"/>
      <c r="AO6" s="2" t="inlineStr">
        <is>
          <t>2010</t>
        </is>
      </c>
      <c r="AP6" s="2" t="n">
        <v>2010</v>
      </c>
      <c r="AQ6" s="2" t="n"/>
      <c r="AR6" s="2" t="inlineStr">
        <is>
          <t>C</t>
        </is>
      </c>
      <c r="AS6" s="2" t="inlineStr">
        <is>
          <t>anuncio</t>
        </is>
      </c>
      <c r="AT6" s="2" t="n"/>
      <c r="AU6" s="2" t="inlineStr">
        <is>
          <t>no</t>
        </is>
      </c>
      <c r="AV6" s="2" t="inlineStr">
        <is>
          <t>no</t>
        </is>
      </c>
      <c r="AW6" s="2" t="inlineStr">
        <is>
          <t>no</t>
        </is>
      </c>
      <c r="AX6" s="2" t="n"/>
      <c r="AY6" s="2" t="n"/>
      <c r="AZ6" s="2" t="n"/>
      <c r="BA6" s="2" t="n"/>
      <c r="BB6" s="2" t="inlineStr">
        <is>
          <t>vendedor profesional: sin ITP (operación con IVA/REBU, confirmar en factura); gastos de gestión del vendedor no indicados: se suma la tasa DGT; preguntar el precio final; revisar: no menciona la ITV</t>
        </is>
      </c>
      <c r="BC6" s="2" t="inlineStr">
        <is>
          <t>KIA PICANTO GASOLINA – 2010 – 99.500 KM
Kia Picanto del año 2010, con motor de gasolina y 99.500 km. Un vehículo urbano, práctico y económico, ideal para el día a día, con un tamaño perfecto para moverse por ciudad y aparcar fácilmente.
DATOS PRINCIPALES
Año: 2010
Combustible: Gasolina
Kilómetros: 99.500 km
Motor: Gasolina
Cambio: Manual (por confirmar)
EQUIPAMIENTO DESTACADO
Aire acondicionado
Radio
Elevalunas eléctricos
Cierre centralizado
Dirección asistida
ABS
Interior práctico y funcional
LO MEJOR
Solo 99.500 km
Motor de gasolina
Tamaño compacto, ideal para ciudad
Fácil de aparcar
Mantenimiento económico
Vehículo en buen estado, cuidado y preparado para su entrega.</t>
        </is>
      </c>
      <c r="BD6" s="2" t="inlineStr">
        <is>
          <t>https://www.coches.net/kia-picanto-10-sohc-concept-5p-gasolina-2010-en-valencia-71817386-covo.aspx (window.__INITIAL_PROPS__.ad) /home/user/Alopecia/buscador-coches/raw/cochesnet/7d779d6ecf209f81.json</t>
        </is>
      </c>
      <c r="BE6" s="3">
        <f>MAX(ANIO_ACTUAL-M6,0)</f>
        <v/>
      </c>
      <c r="BF6" s="4">
        <f>N6/MAX(BE6,0.5)</f>
        <v/>
      </c>
      <c r="BG6" s="4">
        <f>F6</f>
        <v/>
      </c>
      <c r="BH6" s="3">
        <f>BG6&amp;"|"&amp;INT(M6/SEG_ANIO)*SEG_ANIO</f>
        <v/>
      </c>
      <c r="BI6" s="3">
        <f>BH6&amp;"|"&amp;INT(N6/SEG_KM)*SEG_KM</f>
        <v/>
      </c>
      <c r="BJ6" s="4">
        <f>COUNTIF($BG$2:$BG$130,BG6)</f>
        <v/>
      </c>
      <c r="BK6" s="4">
        <f>COUNTIF($BH$2:$BH$130,BH6)</f>
        <v/>
      </c>
      <c r="BL6" s="4">
        <f>COUNTIF($BI$2:$BI$130,BI6)</f>
        <v/>
      </c>
      <c r="BM6" s="3">
        <f t="array" ref="BM6">IF(N(AY6)&gt;=MIN_N,AX6,IF(BL6&gt;=MIN_N,MEDIAN(IF($BI$2:$BI$130=BI6,$O$2:$O$130)),IF(BK6&gt;=MIN_N,MEDIAN(IF($BH$2:$BH$130=BH6,$O$2:$O$130)),MEDIAN(IF($BG$2:$BG$130=BG6,$O$2:$O$130)))))</f>
        <v/>
      </c>
      <c r="BN6" s="3">
        <f>IF(N(AY6)&gt;=MIN_N,"mercado "&amp;AZ6,IF(BL6&gt;=MIN_N,"modelo+año+km",IF(BK6&gt;=MIN_N,"modelo+año","modelo")))</f>
        <v/>
      </c>
      <c r="BO6" s="4">
        <f>(BM6-O6)/BM6</f>
        <v/>
      </c>
      <c r="BP6" s="3">
        <f>IF(COUNTIFS(FR_FUEL,K6,FR_YEAR,AP6)&gt;0,1,0)</f>
        <v/>
      </c>
      <c r="BQ6" s="3">
        <f>IF(COUNTIFS(FR_FUEL,K6,FR_YEAR,AP6-1)&gt;0,1,0)</f>
        <v/>
      </c>
      <c r="BR6" s="4">
        <f>IF(N(AQ6)&gt;0,AP6*100+AQ6,IF(AND(BP6=1,BQ6=1),(AP6-1)*100+1,AP6*100+1))</f>
        <v/>
      </c>
      <c r="BS6" s="3">
        <f>IF(OR(K6="hibrido",K6="glp",K6="gnc",K6="phev"),"ECO",IF(K6="electrico","CERO",IF(K6="gasolina",IF(BR6&gt;=GAS_C_YM,"C",IF(BR6&gt;=GAS_B_YM,"B","A")),IF(K6="diesel",IF(BR6&gt;=DIE_C_YM,"C",IF(BR6&gt;=DIE_B_YM,"B","A")),""))))</f>
        <v/>
      </c>
      <c r="BT6" s="2" t="inlineStr">
        <is>
          <t>C</t>
        </is>
      </c>
      <c r="BU6" s="4">
        <f>IF(AU6="sí","sí",IF(AS6="regla",IF(AND(N(AQ6)=0,BP6=1),"sí","no"),"no"))</f>
        <v/>
      </c>
      <c r="BV6" s="3">
        <f>IFERROR(VLOOKUP(F6,MOD_TBL,16,0),IFERROR(VLOOKUP(E6,OCU_TBL,2,0),NEUTRO))</f>
        <v/>
      </c>
      <c r="BW6" s="3">
        <f>SUMIFS(MOT_AJUSTE,MOT_MOTOR,G6,MOT_MARCA,E6,MOT_DESDE,"&lt;="&amp;M6,MOT_HASTA,"&gt;="&amp;M6)+SUMIFS(MOT_AJUSTE,MOT_MOTOR,G6,MOT_MARCA,"(todas)",MOT_DESDE,"&lt;="&amp;M6,MOT_HASTA,"&gt;="&amp;M6)+SUMIFS(MOT_AJUSTE,MOT_MOTOR,"(cualquiera)",MOT_MARCA,E6,MOT_DESDE,"&lt;="&amp;M6,MOT_HASTA,"&gt;="&amp;M6)</f>
        <v/>
      </c>
      <c r="BX6" s="3">
        <f>SUMIFS(COMB_AJUSTE,COMB_COMB,K6)</f>
        <v/>
      </c>
      <c r="BY6" s="3">
        <f>COUNTIFS(MOT_MOTOR,G6,MOT_MARCA,E6,MOT_DESDE,"&lt;="&amp;M6,MOT_HASTA,"&gt;="&amp;M6)+COUNTIFS(MOT_MOTOR,G6,MOT_MARCA,"(todas)",MOT_DESDE,"&lt;="&amp;M6,MOT_HASTA,"&gt;="&amp;M6)+COUNTIFS(MOT_MOTOR,"(cualquiera)",MOT_MARCA,E6,MOT_DESDE,"&lt;="&amp;M6,MOT_HASTA,"&gt;="&amp;M6)</f>
        <v/>
      </c>
      <c r="BZ6" s="3">
        <f>IF(AND(K6="diesel",BY6=0),MIN(BV6,NEUTRO),BV6)</f>
        <v/>
      </c>
      <c r="CA6" s="3">
        <f>MAX(0,MIN(100,BZ6+BW6+BX6-IF(AV6="sí",ROB_PEN,0)))</f>
        <v/>
      </c>
      <c r="CB6" s="3">
        <f>100-MAX(0,N6-KM_TOPE_DESDE)/1000*KM_TOPE_PTS</f>
        <v/>
      </c>
      <c r="CC6" s="3">
        <f>MAX(0,MIN(100,50+BO6*PRECIO_PEND,CB6))</f>
        <v/>
      </c>
      <c r="CD6" s="3">
        <f>MAX(0,100*(1-N6/KM_MAX))</f>
        <v/>
      </c>
      <c r="CE6" s="3">
        <f>IF(BF6&lt;KMA_SOSP,IF(AA6="sí",100,KMA_PEN),IF(BF6&lt;=KMA_IDEAL_MAX,100,MAX(0,100*(KMA_CERO-BF6)/(KMA_CERO-KMA_IDEAL_MAX))))</f>
        <v/>
      </c>
      <c r="CF6" s="3">
        <f>MAX(0,MIN(100,100*(M6-ANIO_MIN)/(ANIO_ACTUAL-ANIO_MIN)))</f>
        <v/>
      </c>
      <c r="CG6" s="3">
        <f>W_KMT*CD6+W_KMA*CE6+W_EDAD*CF6</f>
        <v/>
      </c>
      <c r="CH6" s="3">
        <f>P_ITV*(V6="sí")+P_LIBRO*(W6="sí")+P_CORREA*(X6="sí")+P_PROP*(Y6=1)+P_GAR*(Z6="sí")+P_FOTOS*MIN(1,N(U6)/FOTOS_OBJ)</f>
        <v/>
      </c>
      <c r="CI6" s="3">
        <f>MAX(0,MIN(100,IFERROR(VLOOKUP(BT6,ETQ_TBL,2,0),0)-IF(BU6="sí",ETQ_PEN_DUD,IF(AS6="regla",ETQ_PEN_REGLA,0))))</f>
        <v/>
      </c>
      <c r="CJ6" s="3">
        <f>IF(K6&lt;&gt;"gasolina","",IFERROR(VLOOKUP(F6,CONS_MOD_TBL,2,0),IFERROR(VLOOKUP(L6,CONS_SEG_TBL,2,0),"")))</f>
        <v/>
      </c>
      <c r="CK6" s="3">
        <f>IF(CJ6="",NEUTRO,MAX(0,MIN(100,100*(CONS_REF_MAX-CJ6)/(CONS_REF_MAX-CONS_REF_MIN))))</f>
        <v/>
      </c>
      <c r="CL6" s="3">
        <f>IFERROR(VLOOKUP(L6,SEGURO_TBL,3,0),"")</f>
        <v/>
      </c>
      <c r="CM6" s="3">
        <f>IF(CL6="",NEUTRO,MAX(0,MIN(100,100*(SEG_REF_MAX-CL6)/(SEG_REF_MAX-SEG_REF_MIN))))</f>
        <v/>
      </c>
      <c r="CN6" s="3">
        <f>W_CONS*CK6+W_SEG*CM6</f>
        <v/>
      </c>
      <c r="CO6" s="3">
        <f>IF(N(AB6)&gt;0,AB6,IF(AND(R6="profesional",SG_LEGAL_ON=1),GAR_LEGAL,0))</f>
        <v/>
      </c>
      <c r="CP6" s="3">
        <f>SG_GAR*MIN(1,CO6/SG_GAR_FULL)+SG_AMPL*(AC6="sí")+SG_KMC*(AF6="sí")+SG_REV*(N(AE6)&gt;0)+SG_DEV*MIN(1,N(AG6)/SG_DEV_FULL)+SG_HIST*(W6="sí")</f>
        <v/>
      </c>
      <c r="CQ6" s="3">
        <f>IF(AW6="sí",ESTILO_PRIO,IFERROR(VLOOKUP(L6,ESTILO_TBL,2,0),NEUTRO))</f>
        <v/>
      </c>
      <c r="CR6" s="3">
        <f>IFERROR(VLOOKUP(L6,CARR_PEN_TBL,2,0),0)</f>
        <v/>
      </c>
      <c r="CS6" s="3">
        <f>W_FIAB*CA6+W_PRECIO*CC6+W_KMEDAD*CG6+W_ANUNCIO*CH6+W_USO*CN6+W_SEGURIDAD*CP6+W_ETIQUETA*CI6+W_ESTILO*CQ6-CR6</f>
        <v/>
      </c>
      <c r="CT6" s="4">
        <f>IF(N(I6)&gt;0,I6,IFERROR(ROUND(_xlfn.NUMBERVALUE(LEFT(G6,FIND(" ",G6&amp;" ")-1),".")*1000,0),99999))</f>
        <v/>
      </c>
      <c r="CU6" s="3">
        <f>IF(R6="profesional",0,IF(O6&lt;CUOTA_VALOR_MAX,IF(BE6&gt;ITP_TRAMO_ALTO,SUMIFS(CF_CUOTA,CF_MAS,ITP_TRAMO_ALTO,CF_CCMIN,"&lt;="&amp;CT6,CF_CCMAX,"&gt;="&amp;CT6),IF(BE6&gt;ITP_TRAMO_BAJO,SUMIFS(CF_CUOTA,CF_MAS,ITP_TRAMO_BAJO,CF_CCMIN,"&lt;="&amp;CT6,CF_CCMAX,"&gt;="&amp;CT6),O6*ITP_TIPO)),O6*ITP_TIPO))</f>
        <v/>
      </c>
      <c r="CV6" s="4">
        <f>IF(R6="profesional",N(AK6),0)</f>
        <v/>
      </c>
      <c r="CW6" s="3">
        <f>IF(AND(R6="profesional",ISNUMBER(AK6),AL6="sí"),0,TASA_DGT)</f>
        <v/>
      </c>
      <c r="CX6" s="3">
        <f>INFORME_DGT</f>
        <v/>
      </c>
      <c r="CY6" s="4">
        <f>O6+CV6+CU6+CW6+CX6</f>
        <v/>
      </c>
      <c r="CZ6" s="4">
        <f>CY6+N(CL6)</f>
        <v/>
      </c>
      <c r="DA6" s="3">
        <f>IF(CY6&lt;=TOTAL_MAX,"sí",IF(CY6&lt;=TOTAL_MAX+MARGEN_NEG,"negociar","no"))</f>
        <v/>
      </c>
      <c r="DB6" s="4">
        <f>IF(DA6&lt;&gt;"no",COUNTIFS($DA$2:$DA$130,"&lt;&gt;no",$CS$2:$CS$130,"&gt;"&amp;CS6)+COUNTIFS($DA$2:DA6,"&lt;&gt;no",$CS$2:CS6,CS6),"")</f>
        <v/>
      </c>
    </row>
    <row r="7">
      <c r="A7" s="2" t="inlineStr">
        <is>
          <t>cochesnet:71571543</t>
        </is>
      </c>
      <c r="B7" s="2" t="inlineStr">
        <is>
          <t>cochesnet</t>
        </is>
      </c>
      <c r="C7" s="2" t="inlineStr">
        <is>
          <t>https://www.coches.net/hyundai-i10-11-comfort-5p-gasolina-2008-en-valencia-71571543-covo.aspx</t>
        </is>
      </c>
      <c r="D7" s="2" t="inlineStr">
        <is>
          <t>HYUNDAI i10 1.1 Comfort</t>
        </is>
      </c>
      <c r="E7" s="2" t="inlineStr">
        <is>
          <t>Hyundai</t>
        </is>
      </c>
      <c r="F7" s="2" t="inlineStr">
        <is>
          <t>Hyundai i10</t>
        </is>
      </c>
      <c r="G7" s="2" t="inlineStr">
        <is>
          <t>1.1</t>
        </is>
      </c>
      <c r="H7" s="2" t="inlineStr">
        <is>
          <t>1.1 Comfort</t>
        </is>
      </c>
      <c r="I7" s="2" t="n"/>
      <c r="J7" s="2" t="n"/>
      <c r="K7" s="2" t="inlineStr">
        <is>
          <t>gasolina</t>
        </is>
      </c>
      <c r="L7" s="2" t="inlineStr">
        <is>
          <t>utilitario</t>
        </is>
      </c>
      <c r="M7" s="2" t="n">
        <v>2009</v>
      </c>
      <c r="N7" s="2" t="n">
        <v>156200</v>
      </c>
      <c r="O7" s="2" t="n">
        <v>3990</v>
      </c>
      <c r="P7" s="2" t="inlineStr">
        <is>
          <t>manual</t>
        </is>
      </c>
      <c r="Q7" s="2" t="inlineStr">
        <is>
          <t>no</t>
        </is>
      </c>
      <c r="R7" s="2" t="inlineStr">
        <is>
          <t>profesional</t>
        </is>
      </c>
      <c r="S7" s="2" t="inlineStr">
        <is>
          <t>AUTOSCOL Torrent</t>
        </is>
      </c>
      <c r="T7" s="2" t="inlineStr">
        <is>
          <t>2026-09-22T15:23:36Z</t>
        </is>
      </c>
      <c r="U7" s="2" t="n">
        <v>14</v>
      </c>
      <c r="V7" s="2" t="n"/>
      <c r="W7" s="2" t="n"/>
      <c r="X7" s="2" t="n"/>
      <c r="Y7" s="2" t="n"/>
      <c r="Z7" s="2" t="inlineStr">
        <is>
          <t>sí</t>
        </is>
      </c>
      <c r="AA7" s="2" t="n"/>
      <c r="AB7" s="2" t="n">
        <v>12</v>
      </c>
      <c r="AC7" s="2" t="n"/>
      <c r="AD7" s="2" t="n"/>
      <c r="AE7" s="2" t="n"/>
      <c r="AF7" s="2" t="n"/>
      <c r="AG7" s="2" t="n"/>
      <c r="AH7" s="2" t="n">
        <v>3990</v>
      </c>
      <c r="AI7" s="2" t="n"/>
      <c r="AJ7" s="2" t="n"/>
      <c r="AK7" s="2" t="n"/>
      <c r="AL7" s="2" t="n"/>
      <c r="AM7" s="2" t="n">
        <v>8.800000000000001</v>
      </c>
      <c r="AN7" s="2" t="n"/>
      <c r="AO7" s="2" t="inlineStr">
        <is>
          <t>2009</t>
        </is>
      </c>
      <c r="AP7" s="2" t="n">
        <v>2009</v>
      </c>
      <c r="AQ7" s="2" t="n"/>
      <c r="AR7" s="2" t="inlineStr">
        <is>
          <t>C</t>
        </is>
      </c>
      <c r="AS7" s="2" t="inlineStr">
        <is>
          <t>anuncio</t>
        </is>
      </c>
      <c r="AT7" s="2" t="n">
        <v>2008</v>
      </c>
      <c r="AU7" s="2" t="inlineStr">
        <is>
          <t>no</t>
        </is>
      </c>
      <c r="AV7" s="2" t="inlineStr">
        <is>
          <t>no</t>
        </is>
      </c>
      <c r="AW7" s="2" t="inlineStr">
        <is>
          <t>no</t>
        </is>
      </c>
      <c r="AX7" s="2" t="n"/>
      <c r="AY7" s="2" t="n"/>
      <c r="AZ7" s="2" t="n"/>
      <c r="BA7" s="2" t="n"/>
      <c r="BB7" s="2" t="inlineStr">
        <is>
          <t>año a confirmar: la URL/título dice 2008; vendedor profesional: sin ITP (operación con IVA/REBU, confirmar en factura); gastos de gestión del vendedor no indicados: se suma la tasa DGT; preguntar el precio final; revisar: no menciona la ITV; mediana con solo 1 anuncio(s)</t>
        </is>
      </c>
      <c r="BC7" s="2" t="inlineStr">
        <is>
          <t>HYUNDAI i10 1.1 67 CV – AÑO 2009
156.200 km reales
Gasolina | Cambio manual | 5 puertas
Color negro
Distintivo ambiental: Etiqueta C
Sin daños ni accidentes
2 llaves
Coche revisado y preparado en nuestras instalaciones antes de la venta. Motor 1.1 muy económico en consumo, fiable y barato de mantener, con recambios asequibles.
Compacto, fácil de aparcar y muy ágil en ciudad. Ideal como primer coche o para uso diario.
PRECIO: 4.100 €
Garantía de 12 meses
Cambio de nombre: 180 €
Somos profesionales del sector, compraventa de vehículos de ocasión en Valencia. Facturamos y entregamos toda la documentación en regla.
Escríbenos para más fotos o para venir a verlo y probarlo sin compromiso.
También compramos y tasamos tu coche.
Hyundai I10 en Torrent</t>
        </is>
      </c>
      <c r="BD7" s="2" t="inlineStr">
        <is>
          <t>https://www.coches.net/hyundai-i10-11-comfort-5p-gasolina-2008-en-valencia-71571543-covo.aspx (window.__INITIAL_PROPS__.ad) /home/user/Alopecia/buscador-coches/raw/cochesnet/c455b74c0156ef32.json</t>
        </is>
      </c>
      <c r="BE7" s="3">
        <f>MAX(ANIO_ACTUAL-M7,0)</f>
        <v/>
      </c>
      <c r="BF7" s="4">
        <f>N7/MAX(BE7,0.5)</f>
        <v/>
      </c>
      <c r="BG7" s="4">
        <f>F7</f>
        <v/>
      </c>
      <c r="BH7" s="3">
        <f>BG7&amp;"|"&amp;INT(M7/SEG_ANIO)*SEG_ANIO</f>
        <v/>
      </c>
      <c r="BI7" s="3">
        <f>BH7&amp;"|"&amp;INT(N7/SEG_KM)*SEG_KM</f>
        <v/>
      </c>
      <c r="BJ7" s="4">
        <f>COUNTIF($BG$2:$BG$130,BG7)</f>
        <v/>
      </c>
      <c r="BK7" s="4">
        <f>COUNTIF($BH$2:$BH$130,BH7)</f>
        <v/>
      </c>
      <c r="BL7" s="4">
        <f>COUNTIF($BI$2:$BI$130,BI7)</f>
        <v/>
      </c>
      <c r="BM7" s="3">
        <f t="array" ref="BM7">IF(N(AY7)&gt;=MIN_N,AX7,IF(BL7&gt;=MIN_N,MEDIAN(IF($BI$2:$BI$130=BI7,$O$2:$O$130)),IF(BK7&gt;=MIN_N,MEDIAN(IF($BH$2:$BH$130=BH7,$O$2:$O$130)),MEDIAN(IF($BG$2:$BG$130=BG7,$O$2:$O$130)))))</f>
        <v/>
      </c>
      <c r="BN7" s="3">
        <f>IF(N(AY7)&gt;=MIN_N,"mercado "&amp;AZ7,IF(BL7&gt;=MIN_N,"modelo+año+km",IF(BK7&gt;=MIN_N,"modelo+año","modelo")))</f>
        <v/>
      </c>
      <c r="BO7" s="4">
        <f>(BM7-O7)/BM7</f>
        <v/>
      </c>
      <c r="BP7" s="3">
        <f>IF(COUNTIFS(FR_FUEL,K7,FR_YEAR,AP7)&gt;0,1,0)</f>
        <v/>
      </c>
      <c r="BQ7" s="3">
        <f>IF(COUNTIFS(FR_FUEL,K7,FR_YEAR,AP7-1)&gt;0,1,0)</f>
        <v/>
      </c>
      <c r="BR7" s="4">
        <f>IF(N(AQ7)&gt;0,AP7*100+AQ7,IF(AND(BP7=1,BQ7=1),(AP7-1)*100+1,AP7*100+1))</f>
        <v/>
      </c>
      <c r="BS7" s="3">
        <f>IF(OR(K7="hibrido",K7="glp",K7="gnc",K7="phev"),"ECO",IF(K7="electrico","CERO",IF(K7="gasolina",IF(BR7&gt;=GAS_C_YM,"C",IF(BR7&gt;=GAS_B_YM,"B","A")),IF(K7="diesel",IF(BR7&gt;=DIE_C_YM,"C",IF(BR7&gt;=DIE_B_YM,"B","A")),""))))</f>
        <v/>
      </c>
      <c r="BT7" s="2" t="inlineStr">
        <is>
          <t>C</t>
        </is>
      </c>
      <c r="BU7" s="4">
        <f>IF(AU7="sí","sí",IF(AS7="regla",IF(AND(N(AQ7)=0,BP7=1),"sí","no"),"no"))</f>
        <v/>
      </c>
      <c r="BV7" s="3">
        <f>IFERROR(VLOOKUP(F7,MOD_TBL,16,0),IFERROR(VLOOKUP(E7,OCU_TBL,2,0),NEUTRO))</f>
        <v/>
      </c>
      <c r="BW7" s="3">
        <f>SUMIFS(MOT_AJUSTE,MOT_MOTOR,G7,MOT_MARCA,E7,MOT_DESDE,"&lt;="&amp;M7,MOT_HASTA,"&gt;="&amp;M7)+SUMIFS(MOT_AJUSTE,MOT_MOTOR,G7,MOT_MARCA,"(todas)",MOT_DESDE,"&lt;="&amp;M7,MOT_HASTA,"&gt;="&amp;M7)+SUMIFS(MOT_AJUSTE,MOT_MOTOR,"(cualquiera)",MOT_MARCA,E7,MOT_DESDE,"&lt;="&amp;M7,MOT_HASTA,"&gt;="&amp;M7)</f>
        <v/>
      </c>
      <c r="BX7" s="3">
        <f>SUMIFS(COMB_AJUSTE,COMB_COMB,K7)</f>
        <v/>
      </c>
      <c r="BY7" s="3">
        <f>COUNTIFS(MOT_MOTOR,G7,MOT_MARCA,E7,MOT_DESDE,"&lt;="&amp;M7,MOT_HASTA,"&gt;="&amp;M7)+COUNTIFS(MOT_MOTOR,G7,MOT_MARCA,"(todas)",MOT_DESDE,"&lt;="&amp;M7,MOT_HASTA,"&gt;="&amp;M7)+COUNTIFS(MOT_MOTOR,"(cualquiera)",MOT_MARCA,E7,MOT_DESDE,"&lt;="&amp;M7,MOT_HASTA,"&gt;="&amp;M7)</f>
        <v/>
      </c>
      <c r="BZ7" s="3">
        <f>IF(AND(K7="diesel",BY7=0),MIN(BV7,NEUTRO),BV7)</f>
        <v/>
      </c>
      <c r="CA7" s="3">
        <f>MAX(0,MIN(100,BZ7+BW7+BX7-IF(AV7="sí",ROB_PEN,0)))</f>
        <v/>
      </c>
      <c r="CB7" s="3">
        <f>100-MAX(0,N7-KM_TOPE_DESDE)/1000*KM_TOPE_PTS</f>
        <v/>
      </c>
      <c r="CC7" s="3">
        <f>MAX(0,MIN(100,50+BO7*PRECIO_PEND,CB7))</f>
        <v/>
      </c>
      <c r="CD7" s="3">
        <f>MAX(0,100*(1-N7/KM_MAX))</f>
        <v/>
      </c>
      <c r="CE7" s="3">
        <f>IF(BF7&lt;KMA_SOSP,IF(AA7="sí",100,KMA_PEN),IF(BF7&lt;=KMA_IDEAL_MAX,100,MAX(0,100*(KMA_CERO-BF7)/(KMA_CERO-KMA_IDEAL_MAX))))</f>
        <v/>
      </c>
      <c r="CF7" s="3">
        <f>MAX(0,MIN(100,100*(M7-ANIO_MIN)/(ANIO_ACTUAL-ANIO_MIN)))</f>
        <v/>
      </c>
      <c r="CG7" s="3">
        <f>W_KMT*CD7+W_KMA*CE7+W_EDAD*CF7</f>
        <v/>
      </c>
      <c r="CH7" s="3">
        <f>P_ITV*(V7="sí")+P_LIBRO*(W7="sí")+P_CORREA*(X7="sí")+P_PROP*(Y7=1)+P_GAR*(Z7="sí")+P_FOTOS*MIN(1,N(U7)/FOTOS_OBJ)</f>
        <v/>
      </c>
      <c r="CI7" s="3">
        <f>MAX(0,MIN(100,IFERROR(VLOOKUP(BT7,ETQ_TBL,2,0),0)-IF(BU7="sí",ETQ_PEN_DUD,IF(AS7="regla",ETQ_PEN_REGLA,0))))</f>
        <v/>
      </c>
      <c r="CJ7" s="3">
        <f>IF(K7&lt;&gt;"gasolina","",IFERROR(VLOOKUP(F7,CONS_MOD_TBL,2,0),IFERROR(VLOOKUP(L7,CONS_SEG_TBL,2,0),"")))</f>
        <v/>
      </c>
      <c r="CK7" s="3">
        <f>IF(CJ7="",NEUTRO,MAX(0,MIN(100,100*(CONS_REF_MAX-CJ7)/(CONS_REF_MAX-CONS_REF_MIN))))</f>
        <v/>
      </c>
      <c r="CL7" s="3">
        <f>IFERROR(VLOOKUP(L7,SEGURO_TBL,3,0),"")</f>
        <v/>
      </c>
      <c r="CM7" s="3">
        <f>IF(CL7="",NEUTRO,MAX(0,MIN(100,100*(SEG_REF_MAX-CL7)/(SEG_REF_MAX-SEG_REF_MIN))))</f>
        <v/>
      </c>
      <c r="CN7" s="3">
        <f>W_CONS*CK7+W_SEG*CM7</f>
        <v/>
      </c>
      <c r="CO7" s="3">
        <f>IF(N(AB7)&gt;0,AB7,IF(AND(R7="profesional",SG_LEGAL_ON=1),GAR_LEGAL,0))</f>
        <v/>
      </c>
      <c r="CP7" s="3">
        <f>SG_GAR*MIN(1,CO7/SG_GAR_FULL)+SG_AMPL*(AC7="sí")+SG_KMC*(AF7="sí")+SG_REV*(N(AE7)&gt;0)+SG_DEV*MIN(1,N(AG7)/SG_DEV_FULL)+SG_HIST*(W7="sí")</f>
        <v/>
      </c>
      <c r="CQ7" s="3">
        <f>IF(AW7="sí",ESTILO_PRIO,IFERROR(VLOOKUP(L7,ESTILO_TBL,2,0),NEUTRO))</f>
        <v/>
      </c>
      <c r="CR7" s="3">
        <f>IFERROR(VLOOKUP(L7,CARR_PEN_TBL,2,0),0)</f>
        <v/>
      </c>
      <c r="CS7" s="3">
        <f>W_FIAB*CA7+W_PRECIO*CC7+W_KMEDAD*CG7+W_ANUNCIO*CH7+W_USO*CN7+W_SEGURIDAD*CP7+W_ETIQUETA*CI7+W_ESTILO*CQ7-CR7</f>
        <v/>
      </c>
      <c r="CT7" s="4">
        <f>IF(N(I7)&gt;0,I7,IFERROR(ROUND(_xlfn.NUMBERVALUE(LEFT(G7,FIND(" ",G7&amp;" ")-1),".")*1000,0),99999))</f>
        <v/>
      </c>
      <c r="CU7" s="3">
        <f>IF(R7="profesional",0,IF(O7&lt;CUOTA_VALOR_MAX,IF(BE7&gt;ITP_TRAMO_ALTO,SUMIFS(CF_CUOTA,CF_MAS,ITP_TRAMO_ALTO,CF_CCMIN,"&lt;="&amp;CT7,CF_CCMAX,"&gt;="&amp;CT7),IF(BE7&gt;ITP_TRAMO_BAJO,SUMIFS(CF_CUOTA,CF_MAS,ITP_TRAMO_BAJO,CF_CCMIN,"&lt;="&amp;CT7,CF_CCMAX,"&gt;="&amp;CT7),O7*ITP_TIPO)),O7*ITP_TIPO))</f>
        <v/>
      </c>
      <c r="CV7" s="4">
        <f>IF(R7="profesional",N(AK7),0)</f>
        <v/>
      </c>
      <c r="CW7" s="3">
        <f>IF(AND(R7="profesional",ISNUMBER(AK7),AL7="sí"),0,TASA_DGT)</f>
        <v/>
      </c>
      <c r="CX7" s="3">
        <f>INFORME_DGT</f>
        <v/>
      </c>
      <c r="CY7" s="4">
        <f>O7+CV7+CU7+CW7+CX7</f>
        <v/>
      </c>
      <c r="CZ7" s="4">
        <f>CY7+N(CL7)</f>
        <v/>
      </c>
      <c r="DA7" s="3">
        <f>IF(CY7&lt;=TOTAL_MAX,"sí",IF(CY7&lt;=TOTAL_MAX+MARGEN_NEG,"negociar","no"))</f>
        <v/>
      </c>
      <c r="DB7" s="4">
        <f>IF(DA7&lt;&gt;"no",COUNTIFS($DA$2:$DA$130,"&lt;&gt;no",$CS$2:$CS$130,"&gt;"&amp;CS7)+COUNTIFS($DA$2:DA7,"&lt;&gt;no",$CS$2:CS7,CS7),"")</f>
        <v/>
      </c>
    </row>
    <row r="8">
      <c r="A8" s="2" t="inlineStr">
        <is>
          <t>cochesnet:71625576</t>
        </is>
      </c>
      <c r="B8" s="2" t="inlineStr">
        <is>
          <t>cochesnet</t>
        </is>
      </c>
      <c r="C8" s="2" t="inlineStr">
        <is>
          <t>https://www.coches.net/opel-corsa-10-essentia-3p-gasolina-2011-en-valencia-71625576-covo.aspx</t>
        </is>
      </c>
      <c r="D8" s="2" t="inlineStr">
        <is>
          <t>OPEL Corsa 1.0 Essentia</t>
        </is>
      </c>
      <c r="E8" s="2" t="inlineStr">
        <is>
          <t>Opel</t>
        </is>
      </c>
      <c r="F8" s="2" t="inlineStr">
        <is>
          <t>Opel Corsa</t>
        </is>
      </c>
      <c r="G8" s="2" t="inlineStr">
        <is>
          <t>1.0</t>
        </is>
      </c>
      <c r="H8" s="2" t="inlineStr">
        <is>
          <t>1.0 Essentia</t>
        </is>
      </c>
      <c r="I8" s="2" t="n"/>
      <c r="J8" s="2" t="n"/>
      <c r="K8" s="2" t="inlineStr">
        <is>
          <t>gasolina</t>
        </is>
      </c>
      <c r="L8" s="2" t="inlineStr">
        <is>
          <t>utilitario</t>
        </is>
      </c>
      <c r="M8" s="2" t="n">
        <v>2010</v>
      </c>
      <c r="N8" s="2" t="n">
        <v>205000</v>
      </c>
      <c r="O8" s="2" t="n">
        <v>3990</v>
      </c>
      <c r="P8" s="2" t="inlineStr">
        <is>
          <t>manual</t>
        </is>
      </c>
      <c r="Q8" s="2" t="inlineStr">
        <is>
          <t>no</t>
        </is>
      </c>
      <c r="R8" s="2" t="inlineStr">
        <is>
          <t>profesional</t>
        </is>
      </c>
      <c r="S8" s="2" t="inlineStr">
        <is>
          <t>Fos Motor Valencia</t>
        </is>
      </c>
      <c r="T8" s="2" t="inlineStr">
        <is>
          <t>2026-09-29T16:17:21Z</t>
        </is>
      </c>
      <c r="U8" s="2" t="n">
        <v>11</v>
      </c>
      <c r="V8" s="2" t="n"/>
      <c r="W8" s="2" t="n"/>
      <c r="X8" s="2" t="n"/>
      <c r="Y8" s="2" t="n"/>
      <c r="Z8" s="2" t="inlineStr">
        <is>
          <t>sí</t>
        </is>
      </c>
      <c r="AA8" s="2" t="n"/>
      <c r="AB8" s="2" t="n">
        <v>12</v>
      </c>
      <c r="AC8" s="2" t="n"/>
      <c r="AD8" s="2" t="n"/>
      <c r="AE8" s="2" t="n"/>
      <c r="AF8" s="2" t="inlineStr">
        <is>
          <t>sí</t>
        </is>
      </c>
      <c r="AG8" s="2" t="n"/>
      <c r="AH8" s="2" t="n">
        <v>3990</v>
      </c>
      <c r="AI8" s="2" t="n">
        <v>3990</v>
      </c>
      <c r="AJ8" s="2" t="n"/>
      <c r="AK8" s="2" t="n"/>
      <c r="AL8" s="2" t="n"/>
      <c r="AM8" s="2" t="n">
        <v>0.1</v>
      </c>
      <c r="AN8" s="2" t="n"/>
      <c r="AO8" s="2" t="inlineStr">
        <is>
          <t>2010</t>
        </is>
      </c>
      <c r="AP8" s="2" t="n">
        <v>2010</v>
      </c>
      <c r="AQ8" s="2" t="n"/>
      <c r="AR8" s="2" t="inlineStr">
        <is>
          <t>C</t>
        </is>
      </c>
      <c r="AS8" s="2" t="inlineStr">
        <is>
          <t>anuncio</t>
        </is>
      </c>
      <c r="AT8" s="2" t="n">
        <v>2011</v>
      </c>
      <c r="AU8" s="2" t="inlineStr">
        <is>
          <t>no</t>
        </is>
      </c>
      <c r="AV8" s="2" t="inlineStr">
        <is>
          <t>no</t>
        </is>
      </c>
      <c r="AW8" s="2" t="inlineStr">
        <is>
          <t>no</t>
        </is>
      </c>
      <c r="AX8" s="2" t="n">
        <v>2990</v>
      </c>
      <c r="AY8" s="2" t="n">
        <v>4</v>
      </c>
      <c r="AZ8" s="2" t="inlineStr">
        <is>
          <t>modelo+año+km</t>
        </is>
      </c>
      <c r="BA8" s="2" t="n"/>
      <c r="BB8" s="2" t="inlineStr">
        <is>
          <t>año a confirmar: la URL/título dice 2011; vendedor profesional: sin ITP (operación con IVA/REBU, confirmar en factura); gastos de gestión del vendedor no indicados: se suma la tasa DGT; preguntar el precio final; revisar: no menciona la ITV</t>
        </is>
      </c>
      <c r="BC8" s="2" t="inlineStr">
        <is>
          <t>Opel Corsa en la Motorización 1.0i de 60Cv.
Visitas solo con cita previa.
-Kilómetros certificados.
-Nacional.
Equipamiento destacado:
-Volante Multifunción.
-Elevalunas eléctricos
-Aire Acondicionado
-Cierre Centralizado
-Espejos con regulación
-Y mucho más…
Mantenimieto destacado:
-Aceite y filtro.
-Filtro de Habitáculo.
-Filtro de Aire.
En definitiva, una unidad de reestreno lista para disfrutar.
Servicios adicionales:
-Envío a toda España (consultar condiciones)
-Garantía europea adicional y/o ampliada (consultar precios)
-Cambio de titularidad: 150 €
¡Contacta para más información o reservar tu visita!</t>
        </is>
      </c>
      <c r="BD8" s="2" t="inlineStr">
        <is>
          <t>https://www.coches.net/opel-corsa-10-essentia-3p-gasolina-2011-en-valencia-71625576-covo.aspx (window.__INITIAL_PROPS__.ad) /home/user/Alopecia/buscador-coches/raw/cochesnet/25f38d7266968fd1.json</t>
        </is>
      </c>
      <c r="BE8" s="3">
        <f>MAX(ANIO_ACTUAL-M8,0)</f>
        <v/>
      </c>
      <c r="BF8" s="4">
        <f>N8/MAX(BE8,0.5)</f>
        <v/>
      </c>
      <c r="BG8" s="4">
        <f>F8</f>
        <v/>
      </c>
      <c r="BH8" s="3">
        <f>BG8&amp;"|"&amp;INT(M8/SEG_ANIO)*SEG_ANIO</f>
        <v/>
      </c>
      <c r="BI8" s="3">
        <f>BH8&amp;"|"&amp;INT(N8/SEG_KM)*SEG_KM</f>
        <v/>
      </c>
      <c r="BJ8" s="4">
        <f>COUNTIF($BG$2:$BG$130,BG8)</f>
        <v/>
      </c>
      <c r="BK8" s="4">
        <f>COUNTIF($BH$2:$BH$130,BH8)</f>
        <v/>
      </c>
      <c r="BL8" s="4">
        <f>COUNTIF($BI$2:$BI$130,BI8)</f>
        <v/>
      </c>
      <c r="BM8" s="3">
        <f t="array" ref="BM8">IF(N(AY8)&gt;=MIN_N,AX8,IF(BL8&gt;=MIN_N,MEDIAN(IF($BI$2:$BI$130=BI8,$O$2:$O$130)),IF(BK8&gt;=MIN_N,MEDIAN(IF($BH$2:$BH$130=BH8,$O$2:$O$130)),MEDIAN(IF($BG$2:$BG$130=BG8,$O$2:$O$130)))))</f>
        <v/>
      </c>
      <c r="BN8" s="3">
        <f>IF(N(AY8)&gt;=MIN_N,"mercado "&amp;AZ8,IF(BL8&gt;=MIN_N,"modelo+año+km",IF(BK8&gt;=MIN_N,"modelo+año","modelo")))</f>
        <v/>
      </c>
      <c r="BO8" s="4">
        <f>(BM8-O8)/BM8</f>
        <v/>
      </c>
      <c r="BP8" s="3">
        <f>IF(COUNTIFS(FR_FUEL,K8,FR_YEAR,AP8)&gt;0,1,0)</f>
        <v/>
      </c>
      <c r="BQ8" s="3">
        <f>IF(COUNTIFS(FR_FUEL,K8,FR_YEAR,AP8-1)&gt;0,1,0)</f>
        <v/>
      </c>
      <c r="BR8" s="4">
        <f>IF(N(AQ8)&gt;0,AP8*100+AQ8,IF(AND(BP8=1,BQ8=1),(AP8-1)*100+1,AP8*100+1))</f>
        <v/>
      </c>
      <c r="BS8" s="3">
        <f>IF(OR(K8="hibrido",K8="glp",K8="gnc",K8="phev"),"ECO",IF(K8="electrico","CERO",IF(K8="gasolina",IF(BR8&gt;=GAS_C_YM,"C",IF(BR8&gt;=GAS_B_YM,"B","A")),IF(K8="diesel",IF(BR8&gt;=DIE_C_YM,"C",IF(BR8&gt;=DIE_B_YM,"B","A")),""))))</f>
        <v/>
      </c>
      <c r="BT8" s="2" t="inlineStr">
        <is>
          <t>C</t>
        </is>
      </c>
      <c r="BU8" s="4">
        <f>IF(AU8="sí","sí",IF(AS8="regla",IF(AND(N(AQ8)=0,BP8=1),"sí","no"),"no"))</f>
        <v/>
      </c>
      <c r="BV8" s="3">
        <f>IFERROR(VLOOKUP(F8,MOD_TBL,16,0),IFERROR(VLOOKUP(E8,OCU_TBL,2,0),NEUTRO))</f>
        <v/>
      </c>
      <c r="BW8" s="3">
        <f>SUMIFS(MOT_AJUSTE,MOT_MOTOR,G8,MOT_MARCA,E8,MOT_DESDE,"&lt;="&amp;M8,MOT_HASTA,"&gt;="&amp;M8)+SUMIFS(MOT_AJUSTE,MOT_MOTOR,G8,MOT_MARCA,"(todas)",MOT_DESDE,"&lt;="&amp;M8,MOT_HASTA,"&gt;="&amp;M8)+SUMIFS(MOT_AJUSTE,MOT_MOTOR,"(cualquiera)",MOT_MARCA,E8,MOT_DESDE,"&lt;="&amp;M8,MOT_HASTA,"&gt;="&amp;M8)</f>
        <v/>
      </c>
      <c r="BX8" s="3">
        <f>SUMIFS(COMB_AJUSTE,COMB_COMB,K8)</f>
        <v/>
      </c>
      <c r="BY8" s="3">
        <f>COUNTIFS(MOT_MOTOR,G8,MOT_MARCA,E8,MOT_DESDE,"&lt;="&amp;M8,MOT_HASTA,"&gt;="&amp;M8)+COUNTIFS(MOT_MOTOR,G8,MOT_MARCA,"(todas)",MOT_DESDE,"&lt;="&amp;M8,MOT_HASTA,"&gt;="&amp;M8)+COUNTIFS(MOT_MOTOR,"(cualquiera)",MOT_MARCA,E8,MOT_DESDE,"&lt;="&amp;M8,MOT_HASTA,"&gt;="&amp;M8)</f>
        <v/>
      </c>
      <c r="BZ8" s="3">
        <f>IF(AND(K8="diesel",BY8=0),MIN(BV8,NEUTRO),BV8)</f>
        <v/>
      </c>
      <c r="CA8" s="3">
        <f>MAX(0,MIN(100,BZ8+BW8+BX8-IF(AV8="sí",ROB_PEN,0)))</f>
        <v/>
      </c>
      <c r="CB8" s="3">
        <f>100-MAX(0,N8-KM_TOPE_DESDE)/1000*KM_TOPE_PTS</f>
        <v/>
      </c>
      <c r="CC8" s="3">
        <f>MAX(0,MIN(100,50+BO8*PRECIO_PEND,CB8))</f>
        <v/>
      </c>
      <c r="CD8" s="3">
        <f>MAX(0,100*(1-N8/KM_MAX))</f>
        <v/>
      </c>
      <c r="CE8" s="3">
        <f>IF(BF8&lt;KMA_SOSP,IF(AA8="sí",100,KMA_PEN),IF(BF8&lt;=KMA_IDEAL_MAX,100,MAX(0,100*(KMA_CERO-BF8)/(KMA_CERO-KMA_IDEAL_MAX))))</f>
        <v/>
      </c>
      <c r="CF8" s="3">
        <f>MAX(0,MIN(100,100*(M8-ANIO_MIN)/(ANIO_ACTUAL-ANIO_MIN)))</f>
        <v/>
      </c>
      <c r="CG8" s="3">
        <f>W_KMT*CD8+W_KMA*CE8+W_EDAD*CF8</f>
        <v/>
      </c>
      <c r="CH8" s="3">
        <f>P_ITV*(V8="sí")+P_LIBRO*(W8="sí")+P_CORREA*(X8="sí")+P_PROP*(Y8=1)+P_GAR*(Z8="sí")+P_FOTOS*MIN(1,N(U8)/FOTOS_OBJ)</f>
        <v/>
      </c>
      <c r="CI8" s="3">
        <f>MAX(0,MIN(100,IFERROR(VLOOKUP(BT8,ETQ_TBL,2,0),0)-IF(BU8="sí",ETQ_PEN_DUD,IF(AS8="regla",ETQ_PEN_REGLA,0))))</f>
        <v/>
      </c>
      <c r="CJ8" s="3">
        <f>IF(K8&lt;&gt;"gasolina","",IFERROR(VLOOKUP(F8,CONS_MOD_TBL,2,0),IFERROR(VLOOKUP(L8,CONS_SEG_TBL,2,0),"")))</f>
        <v/>
      </c>
      <c r="CK8" s="3">
        <f>IF(CJ8="",NEUTRO,MAX(0,MIN(100,100*(CONS_REF_MAX-CJ8)/(CONS_REF_MAX-CONS_REF_MIN))))</f>
        <v/>
      </c>
      <c r="CL8" s="3">
        <f>IFERROR(VLOOKUP(L8,SEGURO_TBL,3,0),"")</f>
        <v/>
      </c>
      <c r="CM8" s="3">
        <f>IF(CL8="",NEUTRO,MAX(0,MIN(100,100*(SEG_REF_MAX-CL8)/(SEG_REF_MAX-SEG_REF_MIN))))</f>
        <v/>
      </c>
      <c r="CN8" s="3">
        <f>W_CONS*CK8+W_SEG*CM8</f>
        <v/>
      </c>
      <c r="CO8" s="3">
        <f>IF(N(AB8)&gt;0,AB8,IF(AND(R8="profesional",SG_LEGAL_ON=1),GAR_LEGAL,0))</f>
        <v/>
      </c>
      <c r="CP8" s="3">
        <f>SG_GAR*MIN(1,CO8/SG_GAR_FULL)+SG_AMPL*(AC8="sí")+SG_KMC*(AF8="sí")+SG_REV*(N(AE8)&gt;0)+SG_DEV*MIN(1,N(AG8)/SG_DEV_FULL)+SG_HIST*(W8="sí")</f>
        <v/>
      </c>
      <c r="CQ8" s="3">
        <f>IF(AW8="sí",ESTILO_PRIO,IFERROR(VLOOKUP(L8,ESTILO_TBL,2,0),NEUTRO))</f>
        <v/>
      </c>
      <c r="CR8" s="3">
        <f>IFERROR(VLOOKUP(L8,CARR_PEN_TBL,2,0),0)</f>
        <v/>
      </c>
      <c r="CS8" s="3">
        <f>W_FIAB*CA8+W_PRECIO*CC8+W_KMEDAD*CG8+W_ANUNCIO*CH8+W_USO*CN8+W_SEGURIDAD*CP8+W_ETIQUETA*CI8+W_ESTILO*CQ8-CR8</f>
        <v/>
      </c>
      <c r="CT8" s="4">
        <f>IF(N(I8)&gt;0,I8,IFERROR(ROUND(_xlfn.NUMBERVALUE(LEFT(G8,FIND(" ",G8&amp;" ")-1),".")*1000,0),99999))</f>
        <v/>
      </c>
      <c r="CU8" s="3">
        <f>IF(R8="profesional",0,IF(O8&lt;CUOTA_VALOR_MAX,IF(BE8&gt;ITP_TRAMO_ALTO,SUMIFS(CF_CUOTA,CF_MAS,ITP_TRAMO_ALTO,CF_CCMIN,"&lt;="&amp;CT8,CF_CCMAX,"&gt;="&amp;CT8),IF(BE8&gt;ITP_TRAMO_BAJO,SUMIFS(CF_CUOTA,CF_MAS,ITP_TRAMO_BAJO,CF_CCMIN,"&lt;="&amp;CT8,CF_CCMAX,"&gt;="&amp;CT8),O8*ITP_TIPO)),O8*ITP_TIPO))</f>
        <v/>
      </c>
      <c r="CV8" s="4">
        <f>IF(R8="profesional",N(AK8),0)</f>
        <v/>
      </c>
      <c r="CW8" s="3">
        <f>IF(AND(R8="profesional",ISNUMBER(AK8),AL8="sí"),0,TASA_DGT)</f>
        <v/>
      </c>
      <c r="CX8" s="3">
        <f>INFORME_DGT</f>
        <v/>
      </c>
      <c r="CY8" s="4">
        <f>O8+CV8+CU8+CW8+CX8</f>
        <v/>
      </c>
      <c r="CZ8" s="4">
        <f>CY8+N(CL8)</f>
        <v/>
      </c>
      <c r="DA8" s="3">
        <f>IF(CY8&lt;=TOTAL_MAX,"sí",IF(CY8&lt;=TOTAL_MAX+MARGEN_NEG,"negociar","no"))</f>
        <v/>
      </c>
      <c r="DB8" s="4">
        <f>IF(DA8&lt;&gt;"no",COUNTIFS($DA$2:$DA$130,"&lt;&gt;no",$CS$2:$CS$130,"&gt;"&amp;CS8)+COUNTIFS($DA$2:DA8,"&lt;&gt;no",$CS$2:CS8,CS8),"")</f>
        <v/>
      </c>
    </row>
    <row r="9">
      <c r="A9" s="2" t="inlineStr">
        <is>
          <t>cochesnet:71876224</t>
        </is>
      </c>
      <c r="B9" s="2" t="inlineStr">
        <is>
          <t>cochesnet</t>
        </is>
      </c>
      <c r="C9" s="2" t="inlineStr">
        <is>
          <t>https://www.coches.net/opel-astra-gtc-14-16v-essentia-3p-gasolina-2009-en-valencia-71876224-covo.aspx</t>
        </is>
      </c>
      <c r="D9" s="2" t="inlineStr">
        <is>
          <t>OPEL Astra GTC 1.4 16v Essentia</t>
        </is>
      </c>
      <c r="E9" s="2" t="inlineStr">
        <is>
          <t>Opel</t>
        </is>
      </c>
      <c r="F9" s="2" t="inlineStr">
        <is>
          <t>Opel Astra</t>
        </is>
      </c>
      <c r="G9" s="2" t="inlineStr">
        <is>
          <t>1.4</t>
        </is>
      </c>
      <c r="H9" s="2" t="inlineStr">
        <is>
          <t>GTC 1.4 16v Essentia</t>
        </is>
      </c>
      <c r="I9" s="2" t="n"/>
      <c r="J9" s="2" t="n"/>
      <c r="K9" s="2" t="inlineStr">
        <is>
          <t>gasolina</t>
        </is>
      </c>
      <c r="L9" s="2" t="inlineStr">
        <is>
          <t>compacto</t>
        </is>
      </c>
      <c r="M9" s="2" t="n">
        <v>2009</v>
      </c>
      <c r="N9" s="2" t="n">
        <v>121000</v>
      </c>
      <c r="O9" s="2" t="n">
        <v>3990</v>
      </c>
      <c r="P9" s="2" t="inlineStr">
        <is>
          <t>manual</t>
        </is>
      </c>
      <c r="Q9" s="2" t="inlineStr">
        <is>
          <t>no</t>
        </is>
      </c>
      <c r="R9" s="2" t="inlineStr">
        <is>
          <t>profesional</t>
        </is>
      </c>
      <c r="S9" s="2" t="inlineStr">
        <is>
          <t>AutoEco Valencia</t>
        </is>
      </c>
      <c r="T9" s="2" t="inlineStr">
        <is>
          <t>2026-10-31T00:52:16Z</t>
        </is>
      </c>
      <c r="U9" s="2" t="n">
        <v>5</v>
      </c>
      <c r="V9" s="2" t="n"/>
      <c r="W9" s="2" t="inlineStr">
        <is>
          <t>sí</t>
        </is>
      </c>
      <c r="X9" s="2" t="n"/>
      <c r="Y9" s="2" t="n"/>
      <c r="Z9" s="2" t="inlineStr">
        <is>
          <t>sí</t>
        </is>
      </c>
      <c r="AA9" s="2" t="n"/>
      <c r="AB9" s="2" t="n">
        <v>12</v>
      </c>
      <c r="AC9" s="2" t="n"/>
      <c r="AD9" s="2" t="n"/>
      <c r="AE9" s="2" t="n"/>
      <c r="AF9" s="2" t="n"/>
      <c r="AG9" s="2" t="n"/>
      <c r="AH9" s="2" t="n">
        <v>3990</v>
      </c>
      <c r="AI9" s="2" t="n">
        <v>3990</v>
      </c>
      <c r="AJ9" s="2" t="n"/>
      <c r="AK9" s="2" t="n"/>
      <c r="AL9" s="2" t="n"/>
      <c r="AM9" s="2" t="n">
        <v>0.1</v>
      </c>
      <c r="AN9" s="2" t="n"/>
      <c r="AO9" s="2" t="inlineStr">
        <is>
          <t>2009</t>
        </is>
      </c>
      <c r="AP9" s="2" t="n">
        <v>2009</v>
      </c>
      <c r="AQ9" s="2" t="n"/>
      <c r="AR9" s="2" t="inlineStr">
        <is>
          <t>C</t>
        </is>
      </c>
      <c r="AS9" s="2" t="inlineStr">
        <is>
          <t>anuncio</t>
        </is>
      </c>
      <c r="AT9" s="2" t="n"/>
      <c r="AU9" s="2" t="inlineStr">
        <is>
          <t>no</t>
        </is>
      </c>
      <c r="AV9" s="2" t="inlineStr">
        <is>
          <t>no</t>
        </is>
      </c>
      <c r="AW9" s="2" t="inlineStr">
        <is>
          <t>no</t>
        </is>
      </c>
      <c r="AX9" s="2" t="n">
        <v>4445</v>
      </c>
      <c r="AY9" s="2" t="n">
        <v>10</v>
      </c>
      <c r="AZ9" s="2" t="inlineStr">
        <is>
          <t>modelo+año+km</t>
        </is>
      </c>
      <c r="BA9" s="2" t="n"/>
      <c r="BB9" s="2" t="inlineStr">
        <is>
          <t>vendedor profesional: sin ITP (operación con IVA/REBU, confirmar en factura); gastos de gestión del vendedor no indicados: se suma la tasa DGT; preguntar el precio final</t>
        </is>
      </c>
      <c r="BC9" s="2" t="inlineStr">
        <is>
          <t>-AUTOECO- 
*Concesionario Vehículos Ocasión multimarca. 
*Avenida Espioca 193 Silla Valencia 46460, Valencia*
*Lunes a Viernes 9h a 14h y 16h a 20h*
*Sábados 10h a 14h tarde y domingos atendemos con cita previa*
FINANCIACIÓN A SU MEDIDA sin necesidad de entrada, consulte sin compromiso.
DESTACADO: 
-Vehículo nacional.
-Luces xenon.
-Aire acondicionado.
-Pantalla Android táctil con sistema de navegación.
-Llantas de aleación.
-Gran espacio interior y amplitud de maletero.
- 1 año de Garantía incluida en precio con opción de ampliación. 
*Se entrega con ITV y mantenimiento al día, listo para circular.*
Este anuncio puede contener algún error tipográfico o de transcripción. 
Para más información contacten sin compromiso.</t>
        </is>
      </c>
      <c r="BD9" s="2" t="inlineStr">
        <is>
          <t>https://www.coches.net/opel-astra-gtc-14-16v-essentia-3p-gasolina-2009-en-valencia-71876224-covo.aspx (window.__INITIAL_PROPS__.ad) /home/user/Alopecia/buscador-coches/raw/cochesnet/6280a944348bcd0b.json</t>
        </is>
      </c>
      <c r="BE9" s="3">
        <f>MAX(ANIO_ACTUAL-M9,0)</f>
        <v/>
      </c>
      <c r="BF9" s="4">
        <f>N9/MAX(BE9,0.5)</f>
        <v/>
      </c>
      <c r="BG9" s="4">
        <f>F9</f>
        <v/>
      </c>
      <c r="BH9" s="3">
        <f>BG9&amp;"|"&amp;INT(M9/SEG_ANIO)*SEG_ANIO</f>
        <v/>
      </c>
      <c r="BI9" s="3">
        <f>BH9&amp;"|"&amp;INT(N9/SEG_KM)*SEG_KM</f>
        <v/>
      </c>
      <c r="BJ9" s="4">
        <f>COUNTIF($BG$2:$BG$130,BG9)</f>
        <v/>
      </c>
      <c r="BK9" s="4">
        <f>COUNTIF($BH$2:$BH$130,BH9)</f>
        <v/>
      </c>
      <c r="BL9" s="4">
        <f>COUNTIF($BI$2:$BI$130,BI9)</f>
        <v/>
      </c>
      <c r="BM9" s="3">
        <f t="array" ref="BM9">IF(N(AY9)&gt;=MIN_N,AX9,IF(BL9&gt;=MIN_N,MEDIAN(IF($BI$2:$BI$130=BI9,$O$2:$O$130)),IF(BK9&gt;=MIN_N,MEDIAN(IF($BH$2:$BH$130=BH9,$O$2:$O$130)),MEDIAN(IF($BG$2:$BG$130=BG9,$O$2:$O$130)))))</f>
        <v/>
      </c>
      <c r="BN9" s="3">
        <f>IF(N(AY9)&gt;=MIN_N,"mercado "&amp;AZ9,IF(BL9&gt;=MIN_N,"modelo+año+km",IF(BK9&gt;=MIN_N,"modelo+año","modelo")))</f>
        <v/>
      </c>
      <c r="BO9" s="4">
        <f>(BM9-O9)/BM9</f>
        <v/>
      </c>
      <c r="BP9" s="3">
        <f>IF(COUNTIFS(FR_FUEL,K9,FR_YEAR,AP9)&gt;0,1,0)</f>
        <v/>
      </c>
      <c r="BQ9" s="3">
        <f>IF(COUNTIFS(FR_FUEL,K9,FR_YEAR,AP9-1)&gt;0,1,0)</f>
        <v/>
      </c>
      <c r="BR9" s="4">
        <f>IF(N(AQ9)&gt;0,AP9*100+AQ9,IF(AND(BP9=1,BQ9=1),(AP9-1)*100+1,AP9*100+1))</f>
        <v/>
      </c>
      <c r="BS9" s="3">
        <f>IF(OR(K9="hibrido",K9="glp",K9="gnc",K9="phev"),"ECO",IF(K9="electrico","CERO",IF(K9="gasolina",IF(BR9&gt;=GAS_C_YM,"C",IF(BR9&gt;=GAS_B_YM,"B","A")),IF(K9="diesel",IF(BR9&gt;=DIE_C_YM,"C",IF(BR9&gt;=DIE_B_YM,"B","A")),""))))</f>
        <v/>
      </c>
      <c r="BT9" s="2" t="inlineStr">
        <is>
          <t>C</t>
        </is>
      </c>
      <c r="BU9" s="4">
        <f>IF(AU9="sí","sí",IF(AS9="regla",IF(AND(N(AQ9)=0,BP9=1),"sí","no"),"no"))</f>
        <v/>
      </c>
      <c r="BV9" s="3">
        <f>IFERROR(VLOOKUP(F9,MOD_TBL,16,0),IFERROR(VLOOKUP(E9,OCU_TBL,2,0),NEUTRO))</f>
        <v/>
      </c>
      <c r="BW9" s="3">
        <f>SUMIFS(MOT_AJUSTE,MOT_MOTOR,G9,MOT_MARCA,E9,MOT_DESDE,"&lt;="&amp;M9,MOT_HASTA,"&gt;="&amp;M9)+SUMIFS(MOT_AJUSTE,MOT_MOTOR,G9,MOT_MARCA,"(todas)",MOT_DESDE,"&lt;="&amp;M9,MOT_HASTA,"&gt;="&amp;M9)+SUMIFS(MOT_AJUSTE,MOT_MOTOR,"(cualquiera)",MOT_MARCA,E9,MOT_DESDE,"&lt;="&amp;M9,MOT_HASTA,"&gt;="&amp;M9)</f>
        <v/>
      </c>
      <c r="BX9" s="3">
        <f>SUMIFS(COMB_AJUSTE,COMB_COMB,K9)</f>
        <v/>
      </c>
      <c r="BY9" s="3">
        <f>COUNTIFS(MOT_MOTOR,G9,MOT_MARCA,E9,MOT_DESDE,"&lt;="&amp;M9,MOT_HASTA,"&gt;="&amp;M9)+COUNTIFS(MOT_MOTOR,G9,MOT_MARCA,"(todas)",MOT_DESDE,"&lt;="&amp;M9,MOT_HASTA,"&gt;="&amp;M9)+COUNTIFS(MOT_MOTOR,"(cualquiera)",MOT_MARCA,E9,MOT_DESDE,"&lt;="&amp;M9,MOT_HASTA,"&gt;="&amp;M9)</f>
        <v/>
      </c>
      <c r="BZ9" s="3">
        <f>IF(AND(K9="diesel",BY9=0),MIN(BV9,NEUTRO),BV9)</f>
        <v/>
      </c>
      <c r="CA9" s="3">
        <f>MAX(0,MIN(100,BZ9+BW9+BX9-IF(AV9="sí",ROB_PEN,0)))</f>
        <v/>
      </c>
      <c r="CB9" s="3">
        <f>100-MAX(0,N9-KM_TOPE_DESDE)/1000*KM_TOPE_PTS</f>
        <v/>
      </c>
      <c r="CC9" s="3">
        <f>MAX(0,MIN(100,50+BO9*PRECIO_PEND,CB9))</f>
        <v/>
      </c>
      <c r="CD9" s="3">
        <f>MAX(0,100*(1-N9/KM_MAX))</f>
        <v/>
      </c>
      <c r="CE9" s="3">
        <f>IF(BF9&lt;KMA_SOSP,IF(AA9="sí",100,KMA_PEN),IF(BF9&lt;=KMA_IDEAL_MAX,100,MAX(0,100*(KMA_CERO-BF9)/(KMA_CERO-KMA_IDEAL_MAX))))</f>
        <v/>
      </c>
      <c r="CF9" s="3">
        <f>MAX(0,MIN(100,100*(M9-ANIO_MIN)/(ANIO_ACTUAL-ANIO_MIN)))</f>
        <v/>
      </c>
      <c r="CG9" s="3">
        <f>W_KMT*CD9+W_KMA*CE9+W_EDAD*CF9</f>
        <v/>
      </c>
      <c r="CH9" s="3">
        <f>P_ITV*(V9="sí")+P_LIBRO*(W9="sí")+P_CORREA*(X9="sí")+P_PROP*(Y9=1)+P_GAR*(Z9="sí")+P_FOTOS*MIN(1,N(U9)/FOTOS_OBJ)</f>
        <v/>
      </c>
      <c r="CI9" s="3">
        <f>MAX(0,MIN(100,IFERROR(VLOOKUP(BT9,ETQ_TBL,2,0),0)-IF(BU9="sí",ETQ_PEN_DUD,IF(AS9="regla",ETQ_PEN_REGLA,0))))</f>
        <v/>
      </c>
      <c r="CJ9" s="3">
        <f>IF(K9&lt;&gt;"gasolina","",IFERROR(VLOOKUP(F9,CONS_MOD_TBL,2,0),IFERROR(VLOOKUP(L9,CONS_SEG_TBL,2,0),"")))</f>
        <v/>
      </c>
      <c r="CK9" s="3">
        <f>IF(CJ9="",NEUTRO,MAX(0,MIN(100,100*(CONS_REF_MAX-CJ9)/(CONS_REF_MAX-CONS_REF_MIN))))</f>
        <v/>
      </c>
      <c r="CL9" s="3">
        <f>IFERROR(VLOOKUP(L9,SEGURO_TBL,3,0),"")</f>
        <v/>
      </c>
      <c r="CM9" s="3">
        <f>IF(CL9="",NEUTRO,MAX(0,MIN(100,100*(SEG_REF_MAX-CL9)/(SEG_REF_MAX-SEG_REF_MIN))))</f>
        <v/>
      </c>
      <c r="CN9" s="3">
        <f>W_CONS*CK9+W_SEG*CM9</f>
        <v/>
      </c>
      <c r="CO9" s="3">
        <f>IF(N(AB9)&gt;0,AB9,IF(AND(R9="profesional",SG_LEGAL_ON=1),GAR_LEGAL,0))</f>
        <v/>
      </c>
      <c r="CP9" s="3">
        <f>SG_GAR*MIN(1,CO9/SG_GAR_FULL)+SG_AMPL*(AC9="sí")+SG_KMC*(AF9="sí")+SG_REV*(N(AE9)&gt;0)+SG_DEV*MIN(1,N(AG9)/SG_DEV_FULL)+SG_HIST*(W9="sí")</f>
        <v/>
      </c>
      <c r="CQ9" s="3">
        <f>IF(AW9="sí",ESTILO_PRIO,IFERROR(VLOOKUP(L9,ESTILO_TBL,2,0),NEUTRO))</f>
        <v/>
      </c>
      <c r="CR9" s="3">
        <f>IFERROR(VLOOKUP(L9,CARR_PEN_TBL,2,0),0)</f>
        <v/>
      </c>
      <c r="CS9" s="3">
        <f>W_FIAB*CA9+W_PRECIO*CC9+W_KMEDAD*CG9+W_ANUNCIO*CH9+W_USO*CN9+W_SEGURIDAD*CP9+W_ETIQUETA*CI9+W_ESTILO*CQ9-CR9</f>
        <v/>
      </c>
      <c r="CT9" s="4">
        <f>IF(N(I9)&gt;0,I9,IFERROR(ROUND(_xlfn.NUMBERVALUE(LEFT(G9,FIND(" ",G9&amp;" ")-1),".")*1000,0),99999))</f>
        <v/>
      </c>
      <c r="CU9" s="3">
        <f>IF(R9="profesional",0,IF(O9&lt;CUOTA_VALOR_MAX,IF(BE9&gt;ITP_TRAMO_ALTO,SUMIFS(CF_CUOTA,CF_MAS,ITP_TRAMO_ALTO,CF_CCMIN,"&lt;="&amp;CT9,CF_CCMAX,"&gt;="&amp;CT9),IF(BE9&gt;ITP_TRAMO_BAJO,SUMIFS(CF_CUOTA,CF_MAS,ITP_TRAMO_BAJO,CF_CCMIN,"&lt;="&amp;CT9,CF_CCMAX,"&gt;="&amp;CT9),O9*ITP_TIPO)),O9*ITP_TIPO))</f>
        <v/>
      </c>
      <c r="CV9" s="4">
        <f>IF(R9="profesional",N(AK9),0)</f>
        <v/>
      </c>
      <c r="CW9" s="3">
        <f>IF(AND(R9="profesional",ISNUMBER(AK9),AL9="sí"),0,TASA_DGT)</f>
        <v/>
      </c>
      <c r="CX9" s="3">
        <f>INFORME_DGT</f>
        <v/>
      </c>
      <c r="CY9" s="4">
        <f>O9+CV9+CU9+CW9+CX9</f>
        <v/>
      </c>
      <c r="CZ9" s="4">
        <f>CY9+N(CL9)</f>
        <v/>
      </c>
      <c r="DA9" s="3">
        <f>IF(CY9&lt;=TOTAL_MAX,"sí",IF(CY9&lt;=TOTAL_MAX+MARGEN_NEG,"negociar","no"))</f>
        <v/>
      </c>
      <c r="DB9" s="4">
        <f>IF(DA9&lt;&gt;"no",COUNTIFS($DA$2:$DA$130,"&lt;&gt;no",$CS$2:$CS$130,"&gt;"&amp;CS9)+COUNTIFS($DA$2:DA9,"&lt;&gt;no",$CS$2:CS9,CS9),"")</f>
        <v/>
      </c>
    </row>
    <row r="10">
      <c r="A10" s="2" t="inlineStr">
        <is>
          <t>cochesnet:71339047</t>
        </is>
      </c>
      <c r="B10" s="2" t="inlineStr">
        <is>
          <t>cochesnet</t>
        </is>
      </c>
      <c r="C10" s="2" t="inlineStr">
        <is>
          <t>https://www.coches.net/opel-astra-13-ecoflex-ss-selective-5p-diesel-2013-en-valencia-71339047-covo.aspx</t>
        </is>
      </c>
      <c r="D10" s="2" t="inlineStr">
        <is>
          <t>OPEL Astra 1.3 ecoFlex SS Selective</t>
        </is>
      </c>
      <c r="E10" s="2" t="inlineStr">
        <is>
          <t>Opel</t>
        </is>
      </c>
      <c r="F10" s="2" t="inlineStr">
        <is>
          <t>Opel Astra</t>
        </is>
      </c>
      <c r="G10" s="2" t="inlineStr">
        <is>
          <t>1.3</t>
        </is>
      </c>
      <c r="H10" s="2" t="inlineStr">
        <is>
          <t>1.3 ecoFlex SS Selective</t>
        </is>
      </c>
      <c r="I10" s="2" t="n"/>
      <c r="J10" s="2" t="n"/>
      <c r="K10" s="2" t="inlineStr">
        <is>
          <t>diesel</t>
        </is>
      </c>
      <c r="L10" s="2" t="inlineStr">
        <is>
          <t>compacto</t>
        </is>
      </c>
      <c r="M10" s="2" t="n">
        <v>2012</v>
      </c>
      <c r="N10" s="2" t="n">
        <v>215000</v>
      </c>
      <c r="O10" s="2" t="n">
        <v>4490</v>
      </c>
      <c r="P10" s="2" t="inlineStr">
        <is>
          <t>manual</t>
        </is>
      </c>
      <c r="Q10" s="2" t="inlineStr">
        <is>
          <t>no</t>
        </is>
      </c>
      <c r="R10" s="2" t="inlineStr">
        <is>
          <t>profesional</t>
        </is>
      </c>
      <c r="S10" s="2" t="inlineStr">
        <is>
          <t>V.O. Eliana San Antonio de Benagéber</t>
        </is>
      </c>
      <c r="T10" s="2" t="inlineStr">
        <is>
          <t>2026-08-21T14:26:39Z</t>
        </is>
      </c>
      <c r="U10" s="2" t="n">
        <v>16</v>
      </c>
      <c r="V10" s="2" t="n"/>
      <c r="W10" s="2" t="n"/>
      <c r="X10" s="2" t="n"/>
      <c r="Y10" s="2" t="n"/>
      <c r="Z10" s="2" t="inlineStr">
        <is>
          <t>sí</t>
        </is>
      </c>
      <c r="AA10" s="2" t="n"/>
      <c r="AB10" s="2" t="n">
        <v>12</v>
      </c>
      <c r="AC10" s="2" t="n"/>
      <c r="AD10" s="2" t="n"/>
      <c r="AE10" s="2" t="n"/>
      <c r="AF10" s="2" t="n"/>
      <c r="AG10" s="2" t="n"/>
      <c r="AH10" s="2" t="n">
        <v>4490</v>
      </c>
      <c r="AI10" s="2" t="n"/>
      <c r="AJ10" s="2" t="n"/>
      <c r="AK10" s="2" t="n"/>
      <c r="AL10" s="2" t="n"/>
      <c r="AM10" s="2" t="n">
        <v>19.1</v>
      </c>
      <c r="AN10" s="2" t="n"/>
      <c r="AO10" s="2" t="inlineStr">
        <is>
          <t>2012</t>
        </is>
      </c>
      <c r="AP10" s="2" t="n">
        <v>2012</v>
      </c>
      <c r="AQ10" s="2" t="n"/>
      <c r="AR10" s="2" t="inlineStr">
        <is>
          <t>B</t>
        </is>
      </c>
      <c r="AS10" s="2" t="inlineStr">
        <is>
          <t>anuncio</t>
        </is>
      </c>
      <c r="AT10" s="2" t="n">
        <v>2013</v>
      </c>
      <c r="AU10" s="2" t="inlineStr">
        <is>
          <t>no</t>
        </is>
      </c>
      <c r="AV10" s="2" t="inlineStr">
        <is>
          <t>no</t>
        </is>
      </c>
      <c r="AW10" s="2" t="inlineStr">
        <is>
          <t>no</t>
        </is>
      </c>
      <c r="AX10" s="2" t="n">
        <v>4490</v>
      </c>
      <c r="AY10" s="2" t="n">
        <v>7</v>
      </c>
      <c r="AZ10" s="2" t="inlineStr">
        <is>
          <t>modelo+año+km</t>
        </is>
      </c>
      <c r="BA10" s="2" t="n"/>
      <c r="BB10" s="2" t="inlineStr">
        <is>
          <t>año a confirmar: la URL/título dice 2013; vendedor profesional: sin ITP (operación con IVA/REBU, confirmar en factura); gastos de gestión del vendedor no indicados: se suma la tasa DGT; preguntar el precio final; diésel: motor sin fuente de fiabilidad (fiabilidad limitada a neutra); revisar: no menciona la ITV</t>
        </is>
      </c>
      <c r="BC10" s="2" t="inlineStr">
        <is>
          <t>Este Opel Astra Selective combina equipamiento multimedia completo con control de crucero y ordenador de viaje para optimizar cada trayecto. Dirección asistida eléctrica con endurecimiento progresivo, aire acondicionado, asientos delanteros ajustables manualmente y volante multifunción regulable ofrecen confort y practicidad diaria. Cristales tintados, retrovisores eléctricos desempañables y elevalunas con un solo toque completan la experiencia de conducción. Sistema de ventilación con filtros de polen y carbón activo, junto con limpiaparabrisas delantero, garantizan habitabilidad. Etiqueta medioambiental B facilita acceso a zonas de tráfico limitado.</t>
        </is>
      </c>
      <c r="BD10" s="2" t="inlineStr">
        <is>
          <t>https://www.coches.net/opel-astra-13-ecoflex-ss-selective-5p-diesel-2013-en-valencia-71339047-covo.aspx (window.__INITIAL_PROPS__.ad) /home/user/Alopecia/buscador-coches/raw/cochesnet/127119c37c17981d.json</t>
        </is>
      </c>
      <c r="BE10" s="3">
        <f>MAX(ANIO_ACTUAL-M10,0)</f>
        <v/>
      </c>
      <c r="BF10" s="4">
        <f>N10/MAX(BE10,0.5)</f>
        <v/>
      </c>
      <c r="BG10" s="4">
        <f>F10</f>
        <v/>
      </c>
      <c r="BH10" s="3">
        <f>BG10&amp;"|"&amp;INT(M10/SEG_ANIO)*SEG_ANIO</f>
        <v/>
      </c>
      <c r="BI10" s="3">
        <f>BH10&amp;"|"&amp;INT(N10/SEG_KM)*SEG_KM</f>
        <v/>
      </c>
      <c r="BJ10" s="4">
        <f>COUNTIF($BG$2:$BG$130,BG10)</f>
        <v/>
      </c>
      <c r="BK10" s="4">
        <f>COUNTIF($BH$2:$BH$130,BH10)</f>
        <v/>
      </c>
      <c r="BL10" s="4">
        <f>COUNTIF($BI$2:$BI$130,BI10)</f>
        <v/>
      </c>
      <c r="BM10" s="3">
        <f t="array" ref="BM10">IF(N(AY10)&gt;=MIN_N,AX10,IF(BL10&gt;=MIN_N,MEDIAN(IF($BI$2:$BI$130=BI10,$O$2:$O$130)),IF(BK10&gt;=MIN_N,MEDIAN(IF($BH$2:$BH$130=BH10,$O$2:$O$130)),MEDIAN(IF($BG$2:$BG$130=BG10,$O$2:$O$130)))))</f>
        <v/>
      </c>
      <c r="BN10" s="3">
        <f>IF(N(AY10)&gt;=MIN_N,"mercado "&amp;AZ10,IF(BL10&gt;=MIN_N,"modelo+año+km",IF(BK10&gt;=MIN_N,"modelo+año","modelo")))</f>
        <v/>
      </c>
      <c r="BO10" s="4">
        <f>(BM10-O10)/BM10</f>
        <v/>
      </c>
      <c r="BP10" s="3">
        <f>IF(COUNTIFS(FR_FUEL,K10,FR_YEAR,AP10)&gt;0,1,0)</f>
        <v/>
      </c>
      <c r="BQ10" s="3">
        <f>IF(COUNTIFS(FR_FUEL,K10,FR_YEAR,AP10-1)&gt;0,1,0)</f>
        <v/>
      </c>
      <c r="BR10" s="4">
        <f>IF(N(AQ10)&gt;0,AP10*100+AQ10,IF(AND(BP10=1,BQ10=1),(AP10-1)*100+1,AP10*100+1))</f>
        <v/>
      </c>
      <c r="BS10" s="3">
        <f>IF(OR(K10="hibrido",K10="glp",K10="gnc",K10="phev"),"ECO",IF(K10="electrico","CERO",IF(K10="gasolina",IF(BR10&gt;=GAS_C_YM,"C",IF(BR10&gt;=GAS_B_YM,"B","A")),IF(K10="diesel",IF(BR10&gt;=DIE_C_YM,"C",IF(BR10&gt;=DIE_B_YM,"B","A")),""))))</f>
        <v/>
      </c>
      <c r="BT10" s="2" t="inlineStr">
        <is>
          <t>B</t>
        </is>
      </c>
      <c r="BU10" s="4">
        <f>IF(AU10="sí","sí",IF(AS10="regla",IF(AND(N(AQ10)=0,BP10=1),"sí","no"),"no"))</f>
        <v/>
      </c>
      <c r="BV10" s="3">
        <f>IFERROR(VLOOKUP(F10,MOD_TBL,16,0),IFERROR(VLOOKUP(E10,OCU_TBL,2,0),NEUTRO))</f>
        <v/>
      </c>
      <c r="BW10" s="3">
        <f>SUMIFS(MOT_AJUSTE,MOT_MOTOR,G10,MOT_MARCA,E10,MOT_DESDE,"&lt;="&amp;M10,MOT_HASTA,"&gt;="&amp;M10)+SUMIFS(MOT_AJUSTE,MOT_MOTOR,G10,MOT_MARCA,"(todas)",MOT_DESDE,"&lt;="&amp;M10,MOT_HASTA,"&gt;="&amp;M10)+SUMIFS(MOT_AJUSTE,MOT_MOTOR,"(cualquiera)",MOT_MARCA,E10,MOT_DESDE,"&lt;="&amp;M10,MOT_HASTA,"&gt;="&amp;M10)</f>
        <v/>
      </c>
      <c r="BX10" s="3">
        <f>SUMIFS(COMB_AJUSTE,COMB_COMB,K10)</f>
        <v/>
      </c>
      <c r="BY10" s="3">
        <f>COUNTIFS(MOT_MOTOR,G10,MOT_MARCA,E10,MOT_DESDE,"&lt;="&amp;M10,MOT_HASTA,"&gt;="&amp;M10)+COUNTIFS(MOT_MOTOR,G10,MOT_MARCA,"(todas)",MOT_DESDE,"&lt;="&amp;M10,MOT_HASTA,"&gt;="&amp;M10)+COUNTIFS(MOT_MOTOR,"(cualquiera)",MOT_MARCA,E10,MOT_DESDE,"&lt;="&amp;M10,MOT_HASTA,"&gt;="&amp;M10)</f>
        <v/>
      </c>
      <c r="BZ10" s="3">
        <f>IF(AND(K10="diesel",BY10=0),MIN(BV10,NEUTRO),BV10)</f>
        <v/>
      </c>
      <c r="CA10" s="3">
        <f>MAX(0,MIN(100,BZ10+BW10+BX10-IF(AV10="sí",ROB_PEN,0)))</f>
        <v/>
      </c>
      <c r="CB10" s="3">
        <f>100-MAX(0,N10-KM_TOPE_DESDE)/1000*KM_TOPE_PTS</f>
        <v/>
      </c>
      <c r="CC10" s="3">
        <f>MAX(0,MIN(100,50+BO10*PRECIO_PEND,CB10))</f>
        <v/>
      </c>
      <c r="CD10" s="3">
        <f>MAX(0,100*(1-N10/KM_MAX))</f>
        <v/>
      </c>
      <c r="CE10" s="3">
        <f>IF(BF10&lt;KMA_SOSP,IF(AA10="sí",100,KMA_PEN),IF(BF10&lt;=KMA_IDEAL_MAX,100,MAX(0,100*(KMA_CERO-BF10)/(KMA_CERO-KMA_IDEAL_MAX))))</f>
        <v/>
      </c>
      <c r="CF10" s="3">
        <f>MAX(0,MIN(100,100*(M10-ANIO_MIN)/(ANIO_ACTUAL-ANIO_MIN)))</f>
        <v/>
      </c>
      <c r="CG10" s="3">
        <f>W_KMT*CD10+W_KMA*CE10+W_EDAD*CF10</f>
        <v/>
      </c>
      <c r="CH10" s="3">
        <f>P_ITV*(V10="sí")+P_LIBRO*(W10="sí")+P_CORREA*(X10="sí")+P_PROP*(Y10=1)+P_GAR*(Z10="sí")+P_FOTOS*MIN(1,N(U10)/FOTOS_OBJ)</f>
        <v/>
      </c>
      <c r="CI10" s="3">
        <f>MAX(0,MIN(100,IFERROR(VLOOKUP(BT10,ETQ_TBL,2,0),0)-IF(BU10="sí",ETQ_PEN_DUD,IF(AS10="regla",ETQ_PEN_REGLA,0))))</f>
        <v/>
      </c>
      <c r="CJ10" s="3">
        <f>IF(K10&lt;&gt;"gasolina","",IFERROR(VLOOKUP(F10,CONS_MOD_TBL,2,0),IFERROR(VLOOKUP(L10,CONS_SEG_TBL,2,0),"")))</f>
        <v/>
      </c>
      <c r="CK10" s="3">
        <f>IF(CJ10="",NEUTRO,MAX(0,MIN(100,100*(CONS_REF_MAX-CJ10)/(CONS_REF_MAX-CONS_REF_MIN))))</f>
        <v/>
      </c>
      <c r="CL10" s="3">
        <f>IFERROR(VLOOKUP(L10,SEGURO_TBL,3,0),"")</f>
        <v/>
      </c>
      <c r="CM10" s="3">
        <f>IF(CL10="",NEUTRO,MAX(0,MIN(100,100*(SEG_REF_MAX-CL10)/(SEG_REF_MAX-SEG_REF_MIN))))</f>
        <v/>
      </c>
      <c r="CN10" s="3">
        <f>W_CONS*CK10+W_SEG*CM10</f>
        <v/>
      </c>
      <c r="CO10" s="3">
        <f>IF(N(AB10)&gt;0,AB10,IF(AND(R10="profesional",SG_LEGAL_ON=1),GAR_LEGAL,0))</f>
        <v/>
      </c>
      <c r="CP10" s="3">
        <f>SG_GAR*MIN(1,CO10/SG_GAR_FULL)+SG_AMPL*(AC10="sí")+SG_KMC*(AF10="sí")+SG_REV*(N(AE10)&gt;0)+SG_DEV*MIN(1,N(AG10)/SG_DEV_FULL)+SG_HIST*(W10="sí")</f>
        <v/>
      </c>
      <c r="CQ10" s="3">
        <f>IF(AW10="sí",ESTILO_PRIO,IFERROR(VLOOKUP(L10,ESTILO_TBL,2,0),NEUTRO))</f>
        <v/>
      </c>
      <c r="CR10" s="3">
        <f>IFERROR(VLOOKUP(L10,CARR_PEN_TBL,2,0),0)</f>
        <v/>
      </c>
      <c r="CS10" s="3">
        <f>W_FIAB*CA10+W_PRECIO*CC10+W_KMEDAD*CG10+W_ANUNCIO*CH10+W_USO*CN10+W_SEGURIDAD*CP10+W_ETIQUETA*CI10+W_ESTILO*CQ10-CR10</f>
        <v/>
      </c>
      <c r="CT10" s="4">
        <f>IF(N(I10)&gt;0,I10,IFERROR(ROUND(_xlfn.NUMBERVALUE(LEFT(G10,FIND(" ",G10&amp;" ")-1),".")*1000,0),99999))</f>
        <v/>
      </c>
      <c r="CU10" s="3">
        <f>IF(R10="profesional",0,IF(O10&lt;CUOTA_VALOR_MAX,IF(BE10&gt;ITP_TRAMO_ALTO,SUMIFS(CF_CUOTA,CF_MAS,ITP_TRAMO_ALTO,CF_CCMIN,"&lt;="&amp;CT10,CF_CCMAX,"&gt;="&amp;CT10),IF(BE10&gt;ITP_TRAMO_BAJO,SUMIFS(CF_CUOTA,CF_MAS,ITP_TRAMO_BAJO,CF_CCMIN,"&lt;="&amp;CT10,CF_CCMAX,"&gt;="&amp;CT10),O10*ITP_TIPO)),O10*ITP_TIPO))</f>
        <v/>
      </c>
      <c r="CV10" s="4">
        <f>IF(R10="profesional",N(AK10),0)</f>
        <v/>
      </c>
      <c r="CW10" s="3">
        <f>IF(AND(R10="profesional",ISNUMBER(AK10),AL10="sí"),0,TASA_DGT)</f>
        <v/>
      </c>
      <c r="CX10" s="3">
        <f>INFORME_DGT</f>
        <v/>
      </c>
      <c r="CY10" s="4">
        <f>O10+CV10+CU10+CW10+CX10</f>
        <v/>
      </c>
      <c r="CZ10" s="4">
        <f>CY10+N(CL10)</f>
        <v/>
      </c>
      <c r="DA10" s="3">
        <f>IF(CY10&lt;=TOTAL_MAX,"sí",IF(CY10&lt;=TOTAL_MAX+MARGEN_NEG,"negociar","no"))</f>
        <v/>
      </c>
      <c r="DB10" s="4">
        <f>IF(DA10&lt;&gt;"no",COUNTIFS($DA$2:$DA$130,"&lt;&gt;no",$CS$2:$CS$130,"&gt;"&amp;CS10)+COUNTIFS($DA$2:DA10,"&lt;&gt;no",$CS$2:CS10,CS10),"")</f>
        <v/>
      </c>
    </row>
    <row r="11">
      <c r="A11" s="2" t="inlineStr">
        <is>
          <t>cochesnet:71399209</t>
        </is>
      </c>
      <c r="B11" s="2" t="inlineStr">
        <is>
          <t>cochesnet</t>
        </is>
      </c>
      <c r="C11" s="2" t="inlineStr">
        <is>
          <t>https://www.coches.net/renault-megane-emotion-2008-14-16v-5p-gasolina-2008-en-valencia-71399209-covo.aspx</t>
        </is>
      </c>
      <c r="D11" s="2" t="inlineStr">
        <is>
          <t>RENAULT Mégane Emotion 2008 1.4 16V</t>
        </is>
      </c>
      <c r="E11" s="2" t="inlineStr">
        <is>
          <t>Renault</t>
        </is>
      </c>
      <c r="F11" s="2" t="inlineStr">
        <is>
          <t>Renault Mégane</t>
        </is>
      </c>
      <c r="G11" s="2" t="inlineStr">
        <is>
          <t>1.4</t>
        </is>
      </c>
      <c r="H11" s="2" t="inlineStr">
        <is>
          <t>Emotion 2008 1.4 16V</t>
        </is>
      </c>
      <c r="I11" s="2" t="n"/>
      <c r="J11" s="2" t="n"/>
      <c r="K11" s="2" t="inlineStr">
        <is>
          <t>gasolina</t>
        </is>
      </c>
      <c r="L11" s="2" t="inlineStr">
        <is>
          <t>compacto</t>
        </is>
      </c>
      <c r="M11" s="2" t="n">
        <v>2008</v>
      </c>
      <c r="N11" s="2" t="n">
        <v>134000</v>
      </c>
      <c r="O11" s="2" t="n">
        <v>4590</v>
      </c>
      <c r="P11" s="2" t="inlineStr">
        <is>
          <t>manual</t>
        </is>
      </c>
      <c r="Q11" s="2" t="inlineStr">
        <is>
          <t>no</t>
        </is>
      </c>
      <c r="R11" s="2" t="inlineStr">
        <is>
          <t>profesional</t>
        </is>
      </c>
      <c r="S11" s="2" t="inlineStr">
        <is>
          <t>Only Cars Valencia Aldaia</t>
        </is>
      </c>
      <c r="T11" s="2" t="inlineStr">
        <is>
          <t>2026-08-31T12:15:05Z</t>
        </is>
      </c>
      <c r="U11" s="2" t="n">
        <v>11</v>
      </c>
      <c r="V11" s="2" t="n"/>
      <c r="W11" s="2" t="n"/>
      <c r="X11" s="2" t="n"/>
      <c r="Y11" s="2" t="n">
        <v>1</v>
      </c>
      <c r="Z11" s="2" t="inlineStr">
        <is>
          <t>sí</t>
        </is>
      </c>
      <c r="AA11" s="2" t="n"/>
      <c r="AB11" s="2" t="n">
        <v>12</v>
      </c>
      <c r="AC11" s="2" t="n"/>
      <c r="AD11" s="2" t="n"/>
      <c r="AE11" s="2" t="n"/>
      <c r="AF11" s="2" t="n"/>
      <c r="AG11" s="2" t="n"/>
      <c r="AH11" s="2" t="n">
        <v>4590</v>
      </c>
      <c r="AI11" s="2" t="n"/>
      <c r="AJ11" s="2" t="n"/>
      <c r="AK11" s="2" t="n"/>
      <c r="AL11" s="2" t="n"/>
      <c r="AM11" s="2" t="n">
        <v>7.5</v>
      </c>
      <c r="AN11" s="2" t="n"/>
      <c r="AO11" s="2" t="inlineStr">
        <is>
          <t>2008</t>
        </is>
      </c>
      <c r="AP11" s="2" t="n">
        <v>2008</v>
      </c>
      <c r="AQ11" s="2" t="n"/>
      <c r="AR11" s="2" t="inlineStr">
        <is>
          <t>C</t>
        </is>
      </c>
      <c r="AS11" s="2" t="inlineStr">
        <is>
          <t>anuncio</t>
        </is>
      </c>
      <c r="AT11" s="2" t="n"/>
      <c r="AU11" s="2" t="inlineStr">
        <is>
          <t>no</t>
        </is>
      </c>
      <c r="AV11" s="2" t="inlineStr">
        <is>
          <t>no</t>
        </is>
      </c>
      <c r="AW11" s="2" t="inlineStr">
        <is>
          <t>no</t>
        </is>
      </c>
      <c r="AX11" s="2" t="n">
        <v>4500</v>
      </c>
      <c r="AY11" s="2" t="n">
        <v>5</v>
      </c>
      <c r="AZ11" s="2" t="inlineStr">
        <is>
          <t>modelo+año+km</t>
        </is>
      </c>
      <c r="BA11" s="2" t="n"/>
      <c r="BB11" s="2" t="inlineStr">
        <is>
          <t>vendedor profesional: sin ITP (operación con IVA/REBU, confirmar en factura); gastos de gestión del vendedor no indicados: se suma la tasa DGT; preguntar el precio final; revisar: no menciona la ITV</t>
        </is>
      </c>
      <c r="BC11" s="2" t="inlineStr">
        <is>
          <t>Renault Megane 1.4 Emotion año 2008 con 134.000Kms 98CV. ÚNICO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BD11" s="2" t="inlineStr">
        <is>
          <t>https://www.coches.net/renault-megane-emotion-2008-14-16v-5p-gasolina-2008-en-valencia-71399209-covo.aspx (window.__INITIAL_PROPS__.ad) /home/user/Alopecia/buscador-coches/raw/cochesnet/893afa53c262edfe.json</t>
        </is>
      </c>
      <c r="BE11" s="3">
        <f>MAX(ANIO_ACTUAL-M11,0)</f>
        <v/>
      </c>
      <c r="BF11" s="4">
        <f>N11/MAX(BE11,0.5)</f>
        <v/>
      </c>
      <c r="BG11" s="4">
        <f>F11</f>
        <v/>
      </c>
      <c r="BH11" s="3">
        <f>BG11&amp;"|"&amp;INT(M11/SEG_ANIO)*SEG_ANIO</f>
        <v/>
      </c>
      <c r="BI11" s="3">
        <f>BH11&amp;"|"&amp;INT(N11/SEG_KM)*SEG_KM</f>
        <v/>
      </c>
      <c r="BJ11" s="4">
        <f>COUNTIF($BG$2:$BG$130,BG11)</f>
        <v/>
      </c>
      <c r="BK11" s="4">
        <f>COUNTIF($BH$2:$BH$130,BH11)</f>
        <v/>
      </c>
      <c r="BL11" s="4">
        <f>COUNTIF($BI$2:$BI$130,BI11)</f>
        <v/>
      </c>
      <c r="BM11" s="3">
        <f t="array" ref="BM11">IF(N(AY11)&gt;=MIN_N,AX11,IF(BL11&gt;=MIN_N,MEDIAN(IF($BI$2:$BI$130=BI11,$O$2:$O$130)),IF(BK11&gt;=MIN_N,MEDIAN(IF($BH$2:$BH$130=BH11,$O$2:$O$130)),MEDIAN(IF($BG$2:$BG$130=BG11,$O$2:$O$130)))))</f>
        <v/>
      </c>
      <c r="BN11" s="3">
        <f>IF(N(AY11)&gt;=MIN_N,"mercado "&amp;AZ11,IF(BL11&gt;=MIN_N,"modelo+año+km",IF(BK11&gt;=MIN_N,"modelo+año","modelo")))</f>
        <v/>
      </c>
      <c r="BO11" s="4">
        <f>(BM11-O11)/BM11</f>
        <v/>
      </c>
      <c r="BP11" s="3">
        <f>IF(COUNTIFS(FR_FUEL,K11,FR_YEAR,AP11)&gt;0,1,0)</f>
        <v/>
      </c>
      <c r="BQ11" s="3">
        <f>IF(COUNTIFS(FR_FUEL,K11,FR_YEAR,AP11-1)&gt;0,1,0)</f>
        <v/>
      </c>
      <c r="BR11" s="4">
        <f>IF(N(AQ11)&gt;0,AP11*100+AQ11,IF(AND(BP11=1,BQ11=1),(AP11-1)*100+1,AP11*100+1))</f>
        <v/>
      </c>
      <c r="BS11" s="3">
        <f>IF(OR(K11="hibrido",K11="glp",K11="gnc",K11="phev"),"ECO",IF(K11="electrico","CERO",IF(K11="gasolina",IF(BR11&gt;=GAS_C_YM,"C",IF(BR11&gt;=GAS_B_YM,"B","A")),IF(K11="diesel",IF(BR11&gt;=DIE_C_YM,"C",IF(BR11&gt;=DIE_B_YM,"B","A")),""))))</f>
        <v/>
      </c>
      <c r="BT11" s="2" t="inlineStr">
        <is>
          <t>C</t>
        </is>
      </c>
      <c r="BU11" s="4">
        <f>IF(AU11="sí","sí",IF(AS11="regla",IF(AND(N(AQ11)=0,BP11=1),"sí","no"),"no"))</f>
        <v/>
      </c>
      <c r="BV11" s="3">
        <f>IFERROR(VLOOKUP(F11,MOD_TBL,16,0),IFERROR(VLOOKUP(E11,OCU_TBL,2,0),NEUTRO))</f>
        <v/>
      </c>
      <c r="BW11" s="3">
        <f>SUMIFS(MOT_AJUSTE,MOT_MOTOR,G11,MOT_MARCA,E11,MOT_DESDE,"&lt;="&amp;M11,MOT_HASTA,"&gt;="&amp;M11)+SUMIFS(MOT_AJUSTE,MOT_MOTOR,G11,MOT_MARCA,"(todas)",MOT_DESDE,"&lt;="&amp;M11,MOT_HASTA,"&gt;="&amp;M11)+SUMIFS(MOT_AJUSTE,MOT_MOTOR,"(cualquiera)",MOT_MARCA,E11,MOT_DESDE,"&lt;="&amp;M11,MOT_HASTA,"&gt;="&amp;M11)</f>
        <v/>
      </c>
      <c r="BX11" s="3">
        <f>SUMIFS(COMB_AJUSTE,COMB_COMB,K11)</f>
        <v/>
      </c>
      <c r="BY11" s="3">
        <f>COUNTIFS(MOT_MOTOR,G11,MOT_MARCA,E11,MOT_DESDE,"&lt;="&amp;M11,MOT_HASTA,"&gt;="&amp;M11)+COUNTIFS(MOT_MOTOR,G11,MOT_MARCA,"(todas)",MOT_DESDE,"&lt;="&amp;M11,MOT_HASTA,"&gt;="&amp;M11)+COUNTIFS(MOT_MOTOR,"(cualquiera)",MOT_MARCA,E11,MOT_DESDE,"&lt;="&amp;M11,MOT_HASTA,"&gt;="&amp;M11)</f>
        <v/>
      </c>
      <c r="BZ11" s="3">
        <f>IF(AND(K11="diesel",BY11=0),MIN(BV11,NEUTRO),BV11)</f>
        <v/>
      </c>
      <c r="CA11" s="3">
        <f>MAX(0,MIN(100,BZ11+BW11+BX11-IF(AV11="sí",ROB_PEN,0)))</f>
        <v/>
      </c>
      <c r="CB11" s="3">
        <f>100-MAX(0,N11-KM_TOPE_DESDE)/1000*KM_TOPE_PTS</f>
        <v/>
      </c>
      <c r="CC11" s="3">
        <f>MAX(0,MIN(100,50+BO11*PRECIO_PEND,CB11))</f>
        <v/>
      </c>
      <c r="CD11" s="3">
        <f>MAX(0,100*(1-N11/KM_MAX))</f>
        <v/>
      </c>
      <c r="CE11" s="3">
        <f>IF(BF11&lt;KMA_SOSP,IF(AA11="sí",100,KMA_PEN),IF(BF11&lt;=KMA_IDEAL_MAX,100,MAX(0,100*(KMA_CERO-BF11)/(KMA_CERO-KMA_IDEAL_MAX))))</f>
        <v/>
      </c>
      <c r="CF11" s="3">
        <f>MAX(0,MIN(100,100*(M11-ANIO_MIN)/(ANIO_ACTUAL-ANIO_MIN)))</f>
        <v/>
      </c>
      <c r="CG11" s="3">
        <f>W_KMT*CD11+W_KMA*CE11+W_EDAD*CF11</f>
        <v/>
      </c>
      <c r="CH11" s="3">
        <f>P_ITV*(V11="sí")+P_LIBRO*(W11="sí")+P_CORREA*(X11="sí")+P_PROP*(Y11=1)+P_GAR*(Z11="sí")+P_FOTOS*MIN(1,N(U11)/FOTOS_OBJ)</f>
        <v/>
      </c>
      <c r="CI11" s="3">
        <f>MAX(0,MIN(100,IFERROR(VLOOKUP(BT11,ETQ_TBL,2,0),0)-IF(BU11="sí",ETQ_PEN_DUD,IF(AS11="regla",ETQ_PEN_REGLA,0))))</f>
        <v/>
      </c>
      <c r="CJ11" s="3">
        <f>IF(K11&lt;&gt;"gasolina","",IFERROR(VLOOKUP(F11,CONS_MOD_TBL,2,0),IFERROR(VLOOKUP(L11,CONS_SEG_TBL,2,0),"")))</f>
        <v/>
      </c>
      <c r="CK11" s="3">
        <f>IF(CJ11="",NEUTRO,MAX(0,MIN(100,100*(CONS_REF_MAX-CJ11)/(CONS_REF_MAX-CONS_REF_MIN))))</f>
        <v/>
      </c>
      <c r="CL11" s="3">
        <f>IFERROR(VLOOKUP(L11,SEGURO_TBL,3,0),"")</f>
        <v/>
      </c>
      <c r="CM11" s="3">
        <f>IF(CL11="",NEUTRO,MAX(0,MIN(100,100*(SEG_REF_MAX-CL11)/(SEG_REF_MAX-SEG_REF_MIN))))</f>
        <v/>
      </c>
      <c r="CN11" s="3">
        <f>W_CONS*CK11+W_SEG*CM11</f>
        <v/>
      </c>
      <c r="CO11" s="3">
        <f>IF(N(AB11)&gt;0,AB11,IF(AND(R11="profesional",SG_LEGAL_ON=1),GAR_LEGAL,0))</f>
        <v/>
      </c>
      <c r="CP11" s="3">
        <f>SG_GAR*MIN(1,CO11/SG_GAR_FULL)+SG_AMPL*(AC11="sí")+SG_KMC*(AF11="sí")+SG_REV*(N(AE11)&gt;0)+SG_DEV*MIN(1,N(AG11)/SG_DEV_FULL)+SG_HIST*(W11="sí")</f>
        <v/>
      </c>
      <c r="CQ11" s="3">
        <f>IF(AW11="sí",ESTILO_PRIO,IFERROR(VLOOKUP(L11,ESTILO_TBL,2,0),NEUTRO))</f>
        <v/>
      </c>
      <c r="CR11" s="3">
        <f>IFERROR(VLOOKUP(L11,CARR_PEN_TBL,2,0),0)</f>
        <v/>
      </c>
      <c r="CS11" s="3">
        <f>W_FIAB*CA11+W_PRECIO*CC11+W_KMEDAD*CG11+W_ANUNCIO*CH11+W_USO*CN11+W_SEGURIDAD*CP11+W_ETIQUETA*CI11+W_ESTILO*CQ11-CR11</f>
        <v/>
      </c>
      <c r="CT11" s="4">
        <f>IF(N(I11)&gt;0,I11,IFERROR(ROUND(_xlfn.NUMBERVALUE(LEFT(G11,FIND(" ",G11&amp;" ")-1),".")*1000,0),99999))</f>
        <v/>
      </c>
      <c r="CU11" s="3">
        <f>IF(R11="profesional",0,IF(O11&lt;CUOTA_VALOR_MAX,IF(BE11&gt;ITP_TRAMO_ALTO,SUMIFS(CF_CUOTA,CF_MAS,ITP_TRAMO_ALTO,CF_CCMIN,"&lt;="&amp;CT11,CF_CCMAX,"&gt;="&amp;CT11),IF(BE11&gt;ITP_TRAMO_BAJO,SUMIFS(CF_CUOTA,CF_MAS,ITP_TRAMO_BAJO,CF_CCMIN,"&lt;="&amp;CT11,CF_CCMAX,"&gt;="&amp;CT11),O11*ITP_TIPO)),O11*ITP_TIPO))</f>
        <v/>
      </c>
      <c r="CV11" s="4">
        <f>IF(R11="profesional",N(AK11),0)</f>
        <v/>
      </c>
      <c r="CW11" s="3">
        <f>IF(AND(R11="profesional",ISNUMBER(AK11),AL11="sí"),0,TASA_DGT)</f>
        <v/>
      </c>
      <c r="CX11" s="3">
        <f>INFORME_DGT</f>
        <v/>
      </c>
      <c r="CY11" s="4">
        <f>O11+CV11+CU11+CW11+CX11</f>
        <v/>
      </c>
      <c r="CZ11" s="4">
        <f>CY11+N(CL11)</f>
        <v/>
      </c>
      <c r="DA11" s="3">
        <f>IF(CY11&lt;=TOTAL_MAX,"sí",IF(CY11&lt;=TOTAL_MAX+MARGEN_NEG,"negociar","no"))</f>
        <v/>
      </c>
      <c r="DB11" s="4">
        <f>IF(DA11&lt;&gt;"no",COUNTIFS($DA$2:$DA$130,"&lt;&gt;no",$CS$2:$CS$130,"&gt;"&amp;CS11)+COUNTIFS($DA$2:DA11,"&lt;&gt;no",$CS$2:CS11,CS11),"")</f>
        <v/>
      </c>
    </row>
    <row r="12">
      <c r="A12" s="2" t="inlineStr">
        <is>
          <t>cochesnet:71622320</t>
        </is>
      </c>
      <c r="B12" s="2" t="inlineStr">
        <is>
          <t>cochesnet</t>
        </is>
      </c>
      <c r="C12" s="2" t="inlineStr">
        <is>
          <t>https://www.coches.net/renault-megane-dynamique-15dci85-eco2-5p-diesel-2008-en-valencia-71622320-covo.aspx</t>
        </is>
      </c>
      <c r="D12" s="2" t="inlineStr">
        <is>
          <t>RENAULT Mégane Dynamique 1.5dCi85 eco2</t>
        </is>
      </c>
      <c r="E12" s="2" t="inlineStr">
        <is>
          <t>Renault</t>
        </is>
      </c>
      <c r="F12" s="2" t="inlineStr">
        <is>
          <t>Renault Mégane</t>
        </is>
      </c>
      <c r="G12" s="2" t="inlineStr">
        <is>
          <t>1.5</t>
        </is>
      </c>
      <c r="H12" s="2" t="inlineStr">
        <is>
          <t>Dynamique 1.5dCi85 eco2</t>
        </is>
      </c>
      <c r="I12" s="2" t="n"/>
      <c r="J12" s="2" t="n"/>
      <c r="K12" s="2" t="inlineStr">
        <is>
          <t>diesel</t>
        </is>
      </c>
      <c r="L12" s="2" t="inlineStr">
        <is>
          <t>compacto</t>
        </is>
      </c>
      <c r="M12" s="2" t="n">
        <v>2008</v>
      </c>
      <c r="N12" s="2" t="n">
        <v>145000</v>
      </c>
      <c r="O12" s="2" t="n">
        <v>3990</v>
      </c>
      <c r="P12" s="2" t="inlineStr">
        <is>
          <t>manual</t>
        </is>
      </c>
      <c r="Q12" s="2" t="inlineStr">
        <is>
          <t>no</t>
        </is>
      </c>
      <c r="R12" s="2" t="inlineStr">
        <is>
          <t>profesional</t>
        </is>
      </c>
      <c r="S12" s="2" t="inlineStr">
        <is>
          <t>Only Cars Valencia Aldaia</t>
        </is>
      </c>
      <c r="T12" s="2" t="inlineStr">
        <is>
          <t>2026-09-29T10:48:11Z</t>
        </is>
      </c>
      <c r="U12" s="2" t="n">
        <v>11</v>
      </c>
      <c r="V12" s="2" t="n"/>
      <c r="W12" s="2" t="n"/>
      <c r="X12" s="2" t="n"/>
      <c r="Y12" s="2" t="n">
        <v>1</v>
      </c>
      <c r="Z12" s="2" t="inlineStr">
        <is>
          <t>sí</t>
        </is>
      </c>
      <c r="AA12" s="2" t="n"/>
      <c r="AB12" s="2" t="n">
        <v>12</v>
      </c>
      <c r="AC12" s="2" t="n"/>
      <c r="AD12" s="2" t="n"/>
      <c r="AE12" s="2" t="n"/>
      <c r="AF12" s="2" t="n"/>
      <c r="AG12" s="2" t="n"/>
      <c r="AH12" s="2" t="n">
        <v>3990</v>
      </c>
      <c r="AI12" s="2" t="n"/>
      <c r="AJ12" s="2" t="n"/>
      <c r="AK12" s="2" t="n"/>
      <c r="AL12" s="2" t="n"/>
      <c r="AM12" s="2" t="n">
        <v>7.5</v>
      </c>
      <c r="AN12" s="2" t="n"/>
      <c r="AO12" s="2" t="inlineStr">
        <is>
          <t>2008</t>
        </is>
      </c>
      <c r="AP12" s="2" t="n">
        <v>2008</v>
      </c>
      <c r="AQ12" s="2" t="n"/>
      <c r="AR12" s="2" t="inlineStr">
        <is>
          <t>B</t>
        </is>
      </c>
      <c r="AS12" s="2" t="inlineStr">
        <is>
          <t>anuncio</t>
        </is>
      </c>
      <c r="AT12" s="2" t="n"/>
      <c r="AU12" s="2" t="inlineStr">
        <is>
          <t>no</t>
        </is>
      </c>
      <c r="AV12" s="2" t="inlineStr">
        <is>
          <t>no</t>
        </is>
      </c>
      <c r="AW12" s="2" t="inlineStr">
        <is>
          <t>no</t>
        </is>
      </c>
      <c r="AX12" s="2" t="n">
        <v>4500</v>
      </c>
      <c r="AY12" s="2" t="n">
        <v>5</v>
      </c>
      <c r="AZ12" s="2" t="inlineStr">
        <is>
          <t>modelo+año+km</t>
        </is>
      </c>
      <c r="BA12" s="2" t="n"/>
      <c r="BB12" s="2" t="inlineStr">
        <is>
          <t>vendedor profesional: sin ITP (operación con IVA/REBU, confirmar en factura); gastos de gestión del vendedor no indicados: se suma la tasa DGT; preguntar el precio final; diésel: motor sin fuente de fiabilidad (fiabilidad limitada a neutra); revisar: no menciona la ITV</t>
        </is>
      </c>
      <c r="BC12" s="2" t="inlineStr">
        <is>
          <t>Renault Megane 1.5 dCi Dynamique año 2008 con 145.000Kms 85CV. UNICO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BD12" s="2" t="inlineStr">
        <is>
          <t>https://www.coches.net/renault-megane-dynamique-15dci85-eco2-5p-diesel-2008-en-valencia-71622320-covo.aspx (window.__INITIAL_PROPS__.ad) /home/user/Alopecia/buscador-coches/raw/cochesnet/b27e6845a5e23e51.json</t>
        </is>
      </c>
      <c r="BE12" s="3">
        <f>MAX(ANIO_ACTUAL-M12,0)</f>
        <v/>
      </c>
      <c r="BF12" s="4">
        <f>N12/MAX(BE12,0.5)</f>
        <v/>
      </c>
      <c r="BG12" s="4">
        <f>F12</f>
        <v/>
      </c>
      <c r="BH12" s="3">
        <f>BG12&amp;"|"&amp;INT(M12/SEG_ANIO)*SEG_ANIO</f>
        <v/>
      </c>
      <c r="BI12" s="3">
        <f>BH12&amp;"|"&amp;INT(N12/SEG_KM)*SEG_KM</f>
        <v/>
      </c>
      <c r="BJ12" s="4">
        <f>COUNTIF($BG$2:$BG$130,BG12)</f>
        <v/>
      </c>
      <c r="BK12" s="4">
        <f>COUNTIF($BH$2:$BH$130,BH12)</f>
        <v/>
      </c>
      <c r="BL12" s="4">
        <f>COUNTIF($BI$2:$BI$130,BI12)</f>
        <v/>
      </c>
      <c r="BM12" s="3">
        <f t="array" ref="BM12">IF(N(AY12)&gt;=MIN_N,AX12,IF(BL12&gt;=MIN_N,MEDIAN(IF($BI$2:$BI$130=BI12,$O$2:$O$130)),IF(BK12&gt;=MIN_N,MEDIAN(IF($BH$2:$BH$130=BH12,$O$2:$O$130)),MEDIAN(IF($BG$2:$BG$130=BG12,$O$2:$O$130)))))</f>
        <v/>
      </c>
      <c r="BN12" s="3">
        <f>IF(N(AY12)&gt;=MIN_N,"mercado "&amp;AZ12,IF(BL12&gt;=MIN_N,"modelo+año+km",IF(BK12&gt;=MIN_N,"modelo+año","modelo")))</f>
        <v/>
      </c>
      <c r="BO12" s="4">
        <f>(BM12-O12)/BM12</f>
        <v/>
      </c>
      <c r="BP12" s="3">
        <f>IF(COUNTIFS(FR_FUEL,K12,FR_YEAR,AP12)&gt;0,1,0)</f>
        <v/>
      </c>
      <c r="BQ12" s="3">
        <f>IF(COUNTIFS(FR_FUEL,K12,FR_YEAR,AP12-1)&gt;0,1,0)</f>
        <v/>
      </c>
      <c r="BR12" s="4">
        <f>IF(N(AQ12)&gt;0,AP12*100+AQ12,IF(AND(BP12=1,BQ12=1),(AP12-1)*100+1,AP12*100+1))</f>
        <v/>
      </c>
      <c r="BS12" s="3">
        <f>IF(OR(K12="hibrido",K12="glp",K12="gnc",K12="phev"),"ECO",IF(K12="electrico","CERO",IF(K12="gasolina",IF(BR12&gt;=GAS_C_YM,"C",IF(BR12&gt;=GAS_B_YM,"B","A")),IF(K12="diesel",IF(BR12&gt;=DIE_C_YM,"C",IF(BR12&gt;=DIE_B_YM,"B","A")),""))))</f>
        <v/>
      </c>
      <c r="BT12" s="2" t="inlineStr">
        <is>
          <t>B</t>
        </is>
      </c>
      <c r="BU12" s="4">
        <f>IF(AU12="sí","sí",IF(AS12="regla",IF(AND(N(AQ12)=0,BP12=1),"sí","no"),"no"))</f>
        <v/>
      </c>
      <c r="BV12" s="3">
        <f>IFERROR(VLOOKUP(F12,MOD_TBL,16,0),IFERROR(VLOOKUP(E12,OCU_TBL,2,0),NEUTRO))</f>
        <v/>
      </c>
      <c r="BW12" s="3">
        <f>SUMIFS(MOT_AJUSTE,MOT_MOTOR,G12,MOT_MARCA,E12,MOT_DESDE,"&lt;="&amp;M12,MOT_HASTA,"&gt;="&amp;M12)+SUMIFS(MOT_AJUSTE,MOT_MOTOR,G12,MOT_MARCA,"(todas)",MOT_DESDE,"&lt;="&amp;M12,MOT_HASTA,"&gt;="&amp;M12)+SUMIFS(MOT_AJUSTE,MOT_MOTOR,"(cualquiera)",MOT_MARCA,E12,MOT_DESDE,"&lt;="&amp;M12,MOT_HASTA,"&gt;="&amp;M12)</f>
        <v/>
      </c>
      <c r="BX12" s="3">
        <f>SUMIFS(COMB_AJUSTE,COMB_COMB,K12)</f>
        <v/>
      </c>
      <c r="BY12" s="3">
        <f>COUNTIFS(MOT_MOTOR,G12,MOT_MARCA,E12,MOT_DESDE,"&lt;="&amp;M12,MOT_HASTA,"&gt;="&amp;M12)+COUNTIFS(MOT_MOTOR,G12,MOT_MARCA,"(todas)",MOT_DESDE,"&lt;="&amp;M12,MOT_HASTA,"&gt;="&amp;M12)+COUNTIFS(MOT_MOTOR,"(cualquiera)",MOT_MARCA,E12,MOT_DESDE,"&lt;="&amp;M12,MOT_HASTA,"&gt;="&amp;M12)</f>
        <v/>
      </c>
      <c r="BZ12" s="3">
        <f>IF(AND(K12="diesel",BY12=0),MIN(BV12,NEUTRO),BV12)</f>
        <v/>
      </c>
      <c r="CA12" s="3">
        <f>MAX(0,MIN(100,BZ12+BW12+BX12-IF(AV12="sí",ROB_PEN,0)))</f>
        <v/>
      </c>
      <c r="CB12" s="3">
        <f>100-MAX(0,N12-KM_TOPE_DESDE)/1000*KM_TOPE_PTS</f>
        <v/>
      </c>
      <c r="CC12" s="3">
        <f>MAX(0,MIN(100,50+BO12*PRECIO_PEND,CB12))</f>
        <v/>
      </c>
      <c r="CD12" s="3">
        <f>MAX(0,100*(1-N12/KM_MAX))</f>
        <v/>
      </c>
      <c r="CE12" s="3">
        <f>IF(BF12&lt;KMA_SOSP,IF(AA12="sí",100,KMA_PEN),IF(BF12&lt;=KMA_IDEAL_MAX,100,MAX(0,100*(KMA_CERO-BF12)/(KMA_CERO-KMA_IDEAL_MAX))))</f>
        <v/>
      </c>
      <c r="CF12" s="3">
        <f>MAX(0,MIN(100,100*(M12-ANIO_MIN)/(ANIO_ACTUAL-ANIO_MIN)))</f>
        <v/>
      </c>
      <c r="CG12" s="3">
        <f>W_KMT*CD12+W_KMA*CE12+W_EDAD*CF12</f>
        <v/>
      </c>
      <c r="CH12" s="3">
        <f>P_ITV*(V12="sí")+P_LIBRO*(W12="sí")+P_CORREA*(X12="sí")+P_PROP*(Y12=1)+P_GAR*(Z12="sí")+P_FOTOS*MIN(1,N(U12)/FOTOS_OBJ)</f>
        <v/>
      </c>
      <c r="CI12" s="3">
        <f>MAX(0,MIN(100,IFERROR(VLOOKUP(BT12,ETQ_TBL,2,0),0)-IF(BU12="sí",ETQ_PEN_DUD,IF(AS12="regla",ETQ_PEN_REGLA,0))))</f>
        <v/>
      </c>
      <c r="CJ12" s="3">
        <f>IF(K12&lt;&gt;"gasolina","",IFERROR(VLOOKUP(F12,CONS_MOD_TBL,2,0),IFERROR(VLOOKUP(L12,CONS_SEG_TBL,2,0),"")))</f>
        <v/>
      </c>
      <c r="CK12" s="3">
        <f>IF(CJ12="",NEUTRO,MAX(0,MIN(100,100*(CONS_REF_MAX-CJ12)/(CONS_REF_MAX-CONS_REF_MIN))))</f>
        <v/>
      </c>
      <c r="CL12" s="3">
        <f>IFERROR(VLOOKUP(L12,SEGURO_TBL,3,0),"")</f>
        <v/>
      </c>
      <c r="CM12" s="3">
        <f>IF(CL12="",NEUTRO,MAX(0,MIN(100,100*(SEG_REF_MAX-CL12)/(SEG_REF_MAX-SEG_REF_MIN))))</f>
        <v/>
      </c>
      <c r="CN12" s="3">
        <f>W_CONS*CK12+W_SEG*CM12</f>
        <v/>
      </c>
      <c r="CO12" s="3">
        <f>IF(N(AB12)&gt;0,AB12,IF(AND(R12="profesional",SG_LEGAL_ON=1),GAR_LEGAL,0))</f>
        <v/>
      </c>
      <c r="CP12" s="3">
        <f>SG_GAR*MIN(1,CO12/SG_GAR_FULL)+SG_AMPL*(AC12="sí")+SG_KMC*(AF12="sí")+SG_REV*(N(AE12)&gt;0)+SG_DEV*MIN(1,N(AG12)/SG_DEV_FULL)+SG_HIST*(W12="sí")</f>
        <v/>
      </c>
      <c r="CQ12" s="3">
        <f>IF(AW12="sí",ESTILO_PRIO,IFERROR(VLOOKUP(L12,ESTILO_TBL,2,0),NEUTRO))</f>
        <v/>
      </c>
      <c r="CR12" s="3">
        <f>IFERROR(VLOOKUP(L12,CARR_PEN_TBL,2,0),0)</f>
        <v/>
      </c>
      <c r="CS12" s="3">
        <f>W_FIAB*CA12+W_PRECIO*CC12+W_KMEDAD*CG12+W_ANUNCIO*CH12+W_USO*CN12+W_SEGURIDAD*CP12+W_ETIQUETA*CI12+W_ESTILO*CQ12-CR12</f>
        <v/>
      </c>
      <c r="CT12" s="4">
        <f>IF(N(I12)&gt;0,I12,IFERROR(ROUND(_xlfn.NUMBERVALUE(LEFT(G12,FIND(" ",G12&amp;" ")-1),".")*1000,0),99999))</f>
        <v/>
      </c>
      <c r="CU12" s="3">
        <f>IF(R12="profesional",0,IF(O12&lt;CUOTA_VALOR_MAX,IF(BE12&gt;ITP_TRAMO_ALTO,SUMIFS(CF_CUOTA,CF_MAS,ITP_TRAMO_ALTO,CF_CCMIN,"&lt;="&amp;CT12,CF_CCMAX,"&gt;="&amp;CT12),IF(BE12&gt;ITP_TRAMO_BAJO,SUMIFS(CF_CUOTA,CF_MAS,ITP_TRAMO_BAJO,CF_CCMIN,"&lt;="&amp;CT12,CF_CCMAX,"&gt;="&amp;CT12),O12*ITP_TIPO)),O12*ITP_TIPO))</f>
        <v/>
      </c>
      <c r="CV12" s="4">
        <f>IF(R12="profesional",N(AK12),0)</f>
        <v/>
      </c>
      <c r="CW12" s="3">
        <f>IF(AND(R12="profesional",ISNUMBER(AK12),AL12="sí"),0,TASA_DGT)</f>
        <v/>
      </c>
      <c r="CX12" s="3">
        <f>INFORME_DGT</f>
        <v/>
      </c>
      <c r="CY12" s="4">
        <f>O12+CV12+CU12+CW12+CX12</f>
        <v/>
      </c>
      <c r="CZ12" s="4">
        <f>CY12+N(CL12)</f>
        <v/>
      </c>
      <c r="DA12" s="3">
        <f>IF(CY12&lt;=TOTAL_MAX,"sí",IF(CY12&lt;=TOTAL_MAX+MARGEN_NEG,"negociar","no"))</f>
        <v/>
      </c>
      <c r="DB12" s="4">
        <f>IF(DA12&lt;&gt;"no",COUNTIFS($DA$2:$DA$130,"&lt;&gt;no",$CS$2:$CS$130,"&gt;"&amp;CS12)+COUNTIFS($DA$2:DA12,"&lt;&gt;no",$CS$2:CS12,CS12),"")</f>
        <v/>
      </c>
    </row>
    <row r="13">
      <c r="A13" s="2" t="inlineStr">
        <is>
          <t>cochesnet:71224992</t>
        </is>
      </c>
      <c r="B13" s="2" t="inlineStr">
        <is>
          <t>cochesnet</t>
        </is>
      </c>
      <c r="C13" s="2" t="inlineStr">
        <is>
          <t>https://www.coches.net/renault-megane-dynamique-16-16v-110-e5-5p-gasolina-2010-en-valencia-71224992-covo.aspx</t>
        </is>
      </c>
      <c r="D13" s="2" t="inlineStr">
        <is>
          <t>RENAULT Mégane Dynamique 1.6 16v 110 E5</t>
        </is>
      </c>
      <c r="E13" s="2" t="inlineStr">
        <is>
          <t>Renault</t>
        </is>
      </c>
      <c r="F13" s="2" t="inlineStr">
        <is>
          <t>Renault Mégane</t>
        </is>
      </c>
      <c r="G13" s="2" t="inlineStr">
        <is>
          <t>1.6</t>
        </is>
      </c>
      <c r="H13" s="2" t="inlineStr">
        <is>
          <t>Dynamique 1.6 16v 110 E5</t>
        </is>
      </c>
      <c r="I13" s="2" t="n"/>
      <c r="J13" s="2" t="n"/>
      <c r="K13" s="2" t="inlineStr">
        <is>
          <t>gasolina</t>
        </is>
      </c>
      <c r="L13" s="2" t="inlineStr">
        <is>
          <t>compacto</t>
        </is>
      </c>
      <c r="M13" s="2" t="n">
        <v>2011</v>
      </c>
      <c r="N13" s="2" t="n">
        <v>170000</v>
      </c>
      <c r="O13" s="2" t="n">
        <v>4490</v>
      </c>
      <c r="P13" s="2" t="inlineStr">
        <is>
          <t>manual</t>
        </is>
      </c>
      <c r="Q13" s="2" t="inlineStr">
        <is>
          <t>no</t>
        </is>
      </c>
      <c r="R13" s="2" t="inlineStr">
        <is>
          <t>profesional</t>
        </is>
      </c>
      <c r="S13" s="2" t="inlineStr">
        <is>
          <t>Cullera</t>
        </is>
      </c>
      <c r="T13" s="2" t="inlineStr">
        <is>
          <t>2026-08-04T11:55:07Z</t>
        </is>
      </c>
      <c r="U13" s="2" t="n">
        <v>16</v>
      </c>
      <c r="V13" s="2" t="n"/>
      <c r="W13" s="2" t="n"/>
      <c r="X13" s="2" t="n"/>
      <c r="Y13" s="2" t="n"/>
      <c r="Z13" s="2" t="inlineStr">
        <is>
          <t>sí</t>
        </is>
      </c>
      <c r="AA13" s="2" t="n"/>
      <c r="AB13" s="2" t="n">
        <v>12</v>
      </c>
      <c r="AC13" s="2" t="n"/>
      <c r="AD13" s="2" t="n"/>
      <c r="AE13" s="2" t="n"/>
      <c r="AF13" s="2" t="n"/>
      <c r="AG13" s="2" t="n"/>
      <c r="AH13" s="2" t="n">
        <v>4490</v>
      </c>
      <c r="AI13" s="2" t="n"/>
      <c r="AJ13" s="2" t="n"/>
      <c r="AK13" s="2" t="n"/>
      <c r="AL13" s="2" t="n"/>
      <c r="AM13" s="2" t="n">
        <v>35.4</v>
      </c>
      <c r="AN13" s="2" t="n"/>
      <c r="AO13" s="2" t="inlineStr">
        <is>
          <t>2011</t>
        </is>
      </c>
      <c r="AP13" s="2" t="n">
        <v>2011</v>
      </c>
      <c r="AQ13" s="2" t="n"/>
      <c r="AR13" s="2" t="inlineStr">
        <is>
          <t>C</t>
        </is>
      </c>
      <c r="AS13" s="2" t="inlineStr">
        <is>
          <t>anuncio</t>
        </is>
      </c>
      <c r="AT13" s="2" t="n">
        <v>2010</v>
      </c>
      <c r="AU13" s="2" t="inlineStr">
        <is>
          <t>no</t>
        </is>
      </c>
      <c r="AV13" s="2" t="inlineStr">
        <is>
          <t>no</t>
        </is>
      </c>
      <c r="AW13" s="2" t="inlineStr">
        <is>
          <t>no</t>
        </is>
      </c>
      <c r="AX13" s="2" t="n">
        <v>5045</v>
      </c>
      <c r="AY13" s="2" t="n">
        <v>12</v>
      </c>
      <c r="AZ13" s="2" t="inlineStr">
        <is>
          <t>modelo+año+km</t>
        </is>
      </c>
      <c r="BA13" s="2" t="n"/>
      <c r="BB13" s="2" t="inlineStr">
        <is>
          <t>año a confirmar: la URL/título dice 2010; vendedor profesional: sin ITP (operación con IVA/REBU, confirmar en factura); gastos de gestión del vendedor no indicados: se suma la tasa DGT; preguntar el precio final; revisar: no menciona la ITV</t>
        </is>
      </c>
      <c r="BC13" s="2" t="inlineStr">
        <is>
          <t>?VEHÍCULO NACIONAL, 170.000KMS CERTIFICADOS, LIBRE DE ACCIDENTES ESTRUCTURALES  ?1 AÑO DE GARANTÍA INCLUIDO EN EL PRECIO, POSIBILIDAD DE AMPLIAR A 2 AÑOS -ENVÍO A TODA ESPAÑA DESDE 150€, POSIBILIDAD DE COMPRA ONLINE O EN NUESTRA TIENDA EN CORBERA, VALENCIA -ETIQUETA MEDIOAMBIENTAL C VERDE -MOTOR MUY FIABLE Y DE BAJO CONSUMO AIRE ACONDICIONADO, ELEVALUNAS ELECTRICOS, DIRECCIÓN ASISITIDA ETC</t>
        </is>
      </c>
      <c r="BD13" s="2" t="inlineStr">
        <is>
          <t>https://www.coches.net/renault-megane-dynamique-16-16v-110-e5-5p-gasolina-2010-en-valencia-71224992-covo.aspx (window.__INITIAL_PROPS__.ad) /home/user/Alopecia/buscador-coches/raw/cochesnet/b60848ab8e8cf1e1.json</t>
        </is>
      </c>
      <c r="BE13" s="3">
        <f>MAX(ANIO_ACTUAL-M13,0)</f>
        <v/>
      </c>
      <c r="BF13" s="4">
        <f>N13/MAX(BE13,0.5)</f>
        <v/>
      </c>
      <c r="BG13" s="4">
        <f>F13</f>
        <v/>
      </c>
      <c r="BH13" s="3">
        <f>BG13&amp;"|"&amp;INT(M13/SEG_ANIO)*SEG_ANIO</f>
        <v/>
      </c>
      <c r="BI13" s="3">
        <f>BH13&amp;"|"&amp;INT(N13/SEG_KM)*SEG_KM</f>
        <v/>
      </c>
      <c r="BJ13" s="4">
        <f>COUNTIF($BG$2:$BG$130,BG13)</f>
        <v/>
      </c>
      <c r="BK13" s="4">
        <f>COUNTIF($BH$2:$BH$130,BH13)</f>
        <v/>
      </c>
      <c r="BL13" s="4">
        <f>COUNTIF($BI$2:$BI$130,BI13)</f>
        <v/>
      </c>
      <c r="BM13" s="3">
        <f t="array" ref="BM13">IF(N(AY13)&gt;=MIN_N,AX13,IF(BL13&gt;=MIN_N,MEDIAN(IF($BI$2:$BI$130=BI13,$O$2:$O$130)),IF(BK13&gt;=MIN_N,MEDIAN(IF($BH$2:$BH$130=BH13,$O$2:$O$130)),MEDIAN(IF($BG$2:$BG$130=BG13,$O$2:$O$130)))))</f>
        <v/>
      </c>
      <c r="BN13" s="3">
        <f>IF(N(AY13)&gt;=MIN_N,"mercado "&amp;AZ13,IF(BL13&gt;=MIN_N,"modelo+año+km",IF(BK13&gt;=MIN_N,"modelo+año","modelo")))</f>
        <v/>
      </c>
      <c r="BO13" s="4">
        <f>(BM13-O13)/BM13</f>
        <v/>
      </c>
      <c r="BP13" s="3">
        <f>IF(COUNTIFS(FR_FUEL,K13,FR_YEAR,AP13)&gt;0,1,0)</f>
        <v/>
      </c>
      <c r="BQ13" s="3">
        <f>IF(COUNTIFS(FR_FUEL,K13,FR_YEAR,AP13-1)&gt;0,1,0)</f>
        <v/>
      </c>
      <c r="BR13" s="4">
        <f>IF(N(AQ13)&gt;0,AP13*100+AQ13,IF(AND(BP13=1,BQ13=1),(AP13-1)*100+1,AP13*100+1))</f>
        <v/>
      </c>
      <c r="BS13" s="3">
        <f>IF(OR(K13="hibrido",K13="glp",K13="gnc",K13="phev"),"ECO",IF(K13="electrico","CERO",IF(K13="gasolina",IF(BR13&gt;=GAS_C_YM,"C",IF(BR13&gt;=GAS_B_YM,"B","A")),IF(K13="diesel",IF(BR13&gt;=DIE_C_YM,"C",IF(BR13&gt;=DIE_B_YM,"B","A")),""))))</f>
        <v/>
      </c>
      <c r="BT13" s="2" t="inlineStr">
        <is>
          <t>C</t>
        </is>
      </c>
      <c r="BU13" s="4">
        <f>IF(AU13="sí","sí",IF(AS13="regla",IF(AND(N(AQ13)=0,BP13=1),"sí","no"),"no"))</f>
        <v/>
      </c>
      <c r="BV13" s="3">
        <f>IFERROR(VLOOKUP(F13,MOD_TBL,16,0),IFERROR(VLOOKUP(E13,OCU_TBL,2,0),NEUTRO))</f>
        <v/>
      </c>
      <c r="BW13" s="3">
        <f>SUMIFS(MOT_AJUSTE,MOT_MOTOR,G13,MOT_MARCA,E13,MOT_DESDE,"&lt;="&amp;M13,MOT_HASTA,"&gt;="&amp;M13)+SUMIFS(MOT_AJUSTE,MOT_MOTOR,G13,MOT_MARCA,"(todas)",MOT_DESDE,"&lt;="&amp;M13,MOT_HASTA,"&gt;="&amp;M13)+SUMIFS(MOT_AJUSTE,MOT_MOTOR,"(cualquiera)",MOT_MARCA,E13,MOT_DESDE,"&lt;="&amp;M13,MOT_HASTA,"&gt;="&amp;M13)</f>
        <v/>
      </c>
      <c r="BX13" s="3">
        <f>SUMIFS(COMB_AJUSTE,COMB_COMB,K13)</f>
        <v/>
      </c>
      <c r="BY13" s="3">
        <f>COUNTIFS(MOT_MOTOR,G13,MOT_MARCA,E13,MOT_DESDE,"&lt;="&amp;M13,MOT_HASTA,"&gt;="&amp;M13)+COUNTIFS(MOT_MOTOR,G13,MOT_MARCA,"(todas)",MOT_DESDE,"&lt;="&amp;M13,MOT_HASTA,"&gt;="&amp;M13)+COUNTIFS(MOT_MOTOR,"(cualquiera)",MOT_MARCA,E13,MOT_DESDE,"&lt;="&amp;M13,MOT_HASTA,"&gt;="&amp;M13)</f>
        <v/>
      </c>
      <c r="BZ13" s="3">
        <f>IF(AND(K13="diesel",BY13=0),MIN(BV13,NEUTRO),BV13)</f>
        <v/>
      </c>
      <c r="CA13" s="3">
        <f>MAX(0,MIN(100,BZ13+BW13+BX13-IF(AV13="sí",ROB_PEN,0)))</f>
        <v/>
      </c>
      <c r="CB13" s="3">
        <f>100-MAX(0,N13-KM_TOPE_DESDE)/1000*KM_TOPE_PTS</f>
        <v/>
      </c>
      <c r="CC13" s="3">
        <f>MAX(0,MIN(100,50+BO13*PRECIO_PEND,CB13))</f>
        <v/>
      </c>
      <c r="CD13" s="3">
        <f>MAX(0,100*(1-N13/KM_MAX))</f>
        <v/>
      </c>
      <c r="CE13" s="3">
        <f>IF(BF13&lt;KMA_SOSP,IF(AA13="sí",100,KMA_PEN),IF(BF13&lt;=KMA_IDEAL_MAX,100,MAX(0,100*(KMA_CERO-BF13)/(KMA_CERO-KMA_IDEAL_MAX))))</f>
        <v/>
      </c>
      <c r="CF13" s="3">
        <f>MAX(0,MIN(100,100*(M13-ANIO_MIN)/(ANIO_ACTUAL-ANIO_MIN)))</f>
        <v/>
      </c>
      <c r="CG13" s="3">
        <f>W_KMT*CD13+W_KMA*CE13+W_EDAD*CF13</f>
        <v/>
      </c>
      <c r="CH13" s="3">
        <f>P_ITV*(V13="sí")+P_LIBRO*(W13="sí")+P_CORREA*(X13="sí")+P_PROP*(Y13=1)+P_GAR*(Z13="sí")+P_FOTOS*MIN(1,N(U13)/FOTOS_OBJ)</f>
        <v/>
      </c>
      <c r="CI13" s="3">
        <f>MAX(0,MIN(100,IFERROR(VLOOKUP(BT13,ETQ_TBL,2,0),0)-IF(BU13="sí",ETQ_PEN_DUD,IF(AS13="regla",ETQ_PEN_REGLA,0))))</f>
        <v/>
      </c>
      <c r="CJ13" s="3">
        <f>IF(K13&lt;&gt;"gasolina","",IFERROR(VLOOKUP(F13,CONS_MOD_TBL,2,0),IFERROR(VLOOKUP(L13,CONS_SEG_TBL,2,0),"")))</f>
        <v/>
      </c>
      <c r="CK13" s="3">
        <f>IF(CJ13="",NEUTRO,MAX(0,MIN(100,100*(CONS_REF_MAX-CJ13)/(CONS_REF_MAX-CONS_REF_MIN))))</f>
        <v/>
      </c>
      <c r="CL13" s="3">
        <f>IFERROR(VLOOKUP(L13,SEGURO_TBL,3,0),"")</f>
        <v/>
      </c>
      <c r="CM13" s="3">
        <f>IF(CL13="",NEUTRO,MAX(0,MIN(100,100*(SEG_REF_MAX-CL13)/(SEG_REF_MAX-SEG_REF_MIN))))</f>
        <v/>
      </c>
      <c r="CN13" s="3">
        <f>W_CONS*CK13+W_SEG*CM13</f>
        <v/>
      </c>
      <c r="CO13" s="3">
        <f>IF(N(AB13)&gt;0,AB13,IF(AND(R13="profesional",SG_LEGAL_ON=1),GAR_LEGAL,0))</f>
        <v/>
      </c>
      <c r="CP13" s="3">
        <f>SG_GAR*MIN(1,CO13/SG_GAR_FULL)+SG_AMPL*(AC13="sí")+SG_KMC*(AF13="sí")+SG_REV*(N(AE13)&gt;0)+SG_DEV*MIN(1,N(AG13)/SG_DEV_FULL)+SG_HIST*(W13="sí")</f>
        <v/>
      </c>
      <c r="CQ13" s="3">
        <f>IF(AW13="sí",ESTILO_PRIO,IFERROR(VLOOKUP(L13,ESTILO_TBL,2,0),NEUTRO))</f>
        <v/>
      </c>
      <c r="CR13" s="3">
        <f>IFERROR(VLOOKUP(L13,CARR_PEN_TBL,2,0),0)</f>
        <v/>
      </c>
      <c r="CS13" s="3">
        <f>W_FIAB*CA13+W_PRECIO*CC13+W_KMEDAD*CG13+W_ANUNCIO*CH13+W_USO*CN13+W_SEGURIDAD*CP13+W_ETIQUETA*CI13+W_ESTILO*CQ13-CR13</f>
        <v/>
      </c>
      <c r="CT13" s="4">
        <f>IF(N(I13)&gt;0,I13,IFERROR(ROUND(_xlfn.NUMBERVALUE(LEFT(G13,FIND(" ",G13&amp;" ")-1),".")*1000,0),99999))</f>
        <v/>
      </c>
      <c r="CU13" s="3">
        <f>IF(R13="profesional",0,IF(O13&lt;CUOTA_VALOR_MAX,IF(BE13&gt;ITP_TRAMO_ALTO,SUMIFS(CF_CUOTA,CF_MAS,ITP_TRAMO_ALTO,CF_CCMIN,"&lt;="&amp;CT13,CF_CCMAX,"&gt;="&amp;CT13),IF(BE13&gt;ITP_TRAMO_BAJO,SUMIFS(CF_CUOTA,CF_MAS,ITP_TRAMO_BAJO,CF_CCMIN,"&lt;="&amp;CT13,CF_CCMAX,"&gt;="&amp;CT13),O13*ITP_TIPO)),O13*ITP_TIPO))</f>
        <v/>
      </c>
      <c r="CV13" s="4">
        <f>IF(R13="profesional",N(AK13),0)</f>
        <v/>
      </c>
      <c r="CW13" s="3">
        <f>IF(AND(R13="profesional",ISNUMBER(AK13),AL13="sí"),0,TASA_DGT)</f>
        <v/>
      </c>
      <c r="CX13" s="3">
        <f>INFORME_DGT</f>
        <v/>
      </c>
      <c r="CY13" s="4">
        <f>O13+CV13+CU13+CW13+CX13</f>
        <v/>
      </c>
      <c r="CZ13" s="4">
        <f>CY13+N(CL13)</f>
        <v/>
      </c>
      <c r="DA13" s="3">
        <f>IF(CY13&lt;=TOTAL_MAX,"sí",IF(CY13&lt;=TOTAL_MAX+MARGEN_NEG,"negociar","no"))</f>
        <v/>
      </c>
      <c r="DB13" s="4">
        <f>IF(DA13&lt;&gt;"no",COUNTIFS($DA$2:$DA$130,"&lt;&gt;no",$CS$2:$CS$130,"&gt;"&amp;CS13)+COUNTIFS($DA$2:DA13,"&lt;&gt;no",$CS$2:CS13,CS13),"")</f>
        <v/>
      </c>
    </row>
    <row r="14">
      <c r="A14" s="2" t="inlineStr">
        <is>
          <t>cochesnet:70507667</t>
        </is>
      </c>
      <c r="B14" s="2" t="inlineStr">
        <is>
          <t>cochesnet</t>
        </is>
      </c>
      <c r="C14" s="2" t="inlineStr">
        <is>
          <t>https://www.coches.net/dacia-sandero-ambiance-12-75cv-5p-gasolina-2012-en-valencia-70507667-covo.aspx</t>
        </is>
      </c>
      <c r="D14" s="2" t="inlineStr">
        <is>
          <t>DACIA Sandero Ambiance 1.2</t>
        </is>
      </c>
      <c r="E14" s="2" t="inlineStr">
        <is>
          <t>Dacia</t>
        </is>
      </c>
      <c r="F14" s="2" t="inlineStr">
        <is>
          <t>Dacia Sandero</t>
        </is>
      </c>
      <c r="G14" s="2" t="inlineStr">
        <is>
          <t>1.2</t>
        </is>
      </c>
      <c r="H14" s="2" t="inlineStr">
        <is>
          <t>Ambiance 1.2 75cv</t>
        </is>
      </c>
      <c r="I14" s="2" t="n"/>
      <c r="J14" s="2" t="n">
        <v>75</v>
      </c>
      <c r="K14" s="2" t="inlineStr">
        <is>
          <t>gasolina</t>
        </is>
      </c>
      <c r="L14" s="2" t="inlineStr">
        <is>
          <t>utilitario</t>
        </is>
      </c>
      <c r="M14" s="2" t="n">
        <v>2013</v>
      </c>
      <c r="N14" s="2" t="n">
        <v>175000</v>
      </c>
      <c r="O14" s="2" t="n">
        <v>3490</v>
      </c>
      <c r="P14" s="2" t="inlineStr">
        <is>
          <t>manual</t>
        </is>
      </c>
      <c r="Q14" s="2" t="inlineStr">
        <is>
          <t>no</t>
        </is>
      </c>
      <c r="R14" s="2" t="inlineStr">
        <is>
          <t>profesional</t>
        </is>
      </c>
      <c r="S14" s="2" t="inlineStr">
        <is>
          <t>AutoEco Valencia</t>
        </is>
      </c>
      <c r="T14" s="2" t="inlineStr">
        <is>
          <t>2026-10-23T09:34:08Z</t>
        </is>
      </c>
      <c r="U14" s="2" t="n">
        <v>14</v>
      </c>
      <c r="V14" s="2" t="n"/>
      <c r="W14" s="2" t="inlineStr">
        <is>
          <t>sí</t>
        </is>
      </c>
      <c r="X14" s="2" t="n"/>
      <c r="Y14" s="2" t="n"/>
      <c r="Z14" s="2" t="inlineStr">
        <is>
          <t>sí</t>
        </is>
      </c>
      <c r="AA14" s="2" t="n"/>
      <c r="AB14" s="2" t="n">
        <v>12</v>
      </c>
      <c r="AC14" s="2" t="n"/>
      <c r="AD14" s="2" t="n"/>
      <c r="AE14" s="2" t="n"/>
      <c r="AF14" s="2" t="n"/>
      <c r="AG14" s="2" t="n"/>
      <c r="AH14" s="2" t="n">
        <v>3490</v>
      </c>
      <c r="AI14" s="2" t="n">
        <v>3490</v>
      </c>
      <c r="AJ14" s="2" t="n"/>
      <c r="AK14" s="2" t="n"/>
      <c r="AL14" s="2" t="n"/>
      <c r="AM14" s="2" t="n">
        <v>0.1</v>
      </c>
      <c r="AN14" s="2" t="n"/>
      <c r="AO14" s="2" t="inlineStr">
        <is>
          <t>2013</t>
        </is>
      </c>
      <c r="AP14" s="2" t="n">
        <v>2013</v>
      </c>
      <c r="AQ14" s="2" t="n"/>
      <c r="AR14" s="2" t="inlineStr">
        <is>
          <t>C</t>
        </is>
      </c>
      <c r="AS14" s="2" t="inlineStr">
        <is>
          <t>anuncio</t>
        </is>
      </c>
      <c r="AT14" s="2" t="n">
        <v>2012</v>
      </c>
      <c r="AU14" s="2" t="inlineStr">
        <is>
          <t>no</t>
        </is>
      </c>
      <c r="AV14" s="2" t="inlineStr">
        <is>
          <t>no</t>
        </is>
      </c>
      <c r="AW14" s="2" t="inlineStr">
        <is>
          <t>no</t>
        </is>
      </c>
      <c r="AX14" s="2" t="n">
        <v>5300</v>
      </c>
      <c r="AY14" s="2" t="n">
        <v>4</v>
      </c>
      <c r="AZ14" s="2" t="inlineStr">
        <is>
          <t>modelo+año+km</t>
        </is>
      </c>
      <c r="BA14" s="2" t="n"/>
      <c r="BB14" s="2" t="inlineStr">
        <is>
          <t>año a confirmar: la URL/título dice 2012; vendedor profesional: sin ITP (operación con IVA/REBU, confirmar en factura); gastos de gestión del vendedor no indicados: se suma la tasa DGT; preguntar el precio final</t>
        </is>
      </c>
      <c r="BC14" s="2" t="inlineStr">
        <is>
          <t>-AUTOECO- 
*Concesionario Vehículos Ocasión multimarca. 
*C/ Cases de Bárcena N4 Bonrepos/Valencia 46131 Junto a Gasolinera Repsol*
*Lunes a Viernes 9h a 14h y 16h a 20h*
*Sábados 10h a 14h tarde y domingos atendemos con cita previa*
FINANCIACIÓN A SU MEDIDA sin necesidad de entrada, consulte sin compromiso.
DESTACADO: 
-Con algunos desperfectos de chapa, de ahí su precio.
-Vehículo nacional.
-Vehículo sin mucha electrónica, fiable.
-Sin aire acondicionado.
-Muy buen estado interior con desperfectos exteriores de chapa.
-Distintivo medioambiental C.
-Gran espacio de maletero y amplitud interior.
-Radio CD/USB.
-1 año de Garantía incluido en precio con opción de ampliación a Premium. 
*Se entrega con ITV y mantenimiento al día, listo para circular.*
Este anuncio puede contener algún error tipográfico o de transcripción. 
Para más información contacten sin compromiso.</t>
        </is>
      </c>
      <c r="BD14" s="2" t="inlineStr">
        <is>
          <t>https://www.coches.net/dacia-sandero-ambiance-12-75cv-5p-gasolina-2012-en-valencia-70507667-covo.aspx (window.__INITIAL_PROPS__.ad) /home/user/Alopecia/buscador-coches/raw/cochesnet/0b381e23cb5ab3e1.json</t>
        </is>
      </c>
      <c r="BE14" s="3">
        <f>MAX(ANIO_ACTUAL-M14,0)</f>
        <v/>
      </c>
      <c r="BF14" s="4">
        <f>N14/MAX(BE14,0.5)</f>
        <v/>
      </c>
      <c r="BG14" s="4">
        <f>F14</f>
        <v/>
      </c>
      <c r="BH14" s="3">
        <f>BG14&amp;"|"&amp;INT(M14/SEG_ANIO)*SEG_ANIO</f>
        <v/>
      </c>
      <c r="BI14" s="3">
        <f>BH14&amp;"|"&amp;INT(N14/SEG_KM)*SEG_KM</f>
        <v/>
      </c>
      <c r="BJ14" s="4">
        <f>COUNTIF($BG$2:$BG$130,BG14)</f>
        <v/>
      </c>
      <c r="BK14" s="4">
        <f>COUNTIF($BH$2:$BH$130,BH14)</f>
        <v/>
      </c>
      <c r="BL14" s="4">
        <f>COUNTIF($BI$2:$BI$130,BI14)</f>
        <v/>
      </c>
      <c r="BM14" s="3">
        <f t="array" ref="BM14">IF(N(AY14)&gt;=MIN_N,AX14,IF(BL14&gt;=MIN_N,MEDIAN(IF($BI$2:$BI$130=BI14,$O$2:$O$130)),IF(BK14&gt;=MIN_N,MEDIAN(IF($BH$2:$BH$130=BH14,$O$2:$O$130)),MEDIAN(IF($BG$2:$BG$130=BG14,$O$2:$O$130)))))</f>
        <v/>
      </c>
      <c r="BN14" s="3">
        <f>IF(N(AY14)&gt;=MIN_N,"mercado "&amp;AZ14,IF(BL14&gt;=MIN_N,"modelo+año+km",IF(BK14&gt;=MIN_N,"modelo+año","modelo")))</f>
        <v/>
      </c>
      <c r="BO14" s="4">
        <f>(BM14-O14)/BM14</f>
        <v/>
      </c>
      <c r="BP14" s="3">
        <f>IF(COUNTIFS(FR_FUEL,K14,FR_YEAR,AP14)&gt;0,1,0)</f>
        <v/>
      </c>
      <c r="BQ14" s="3">
        <f>IF(COUNTIFS(FR_FUEL,K14,FR_YEAR,AP14-1)&gt;0,1,0)</f>
        <v/>
      </c>
      <c r="BR14" s="4">
        <f>IF(N(AQ14)&gt;0,AP14*100+AQ14,IF(AND(BP14=1,BQ14=1),(AP14-1)*100+1,AP14*100+1))</f>
        <v/>
      </c>
      <c r="BS14" s="3">
        <f>IF(OR(K14="hibrido",K14="glp",K14="gnc",K14="phev"),"ECO",IF(K14="electrico","CERO",IF(K14="gasolina",IF(BR14&gt;=GAS_C_YM,"C",IF(BR14&gt;=GAS_B_YM,"B","A")),IF(K14="diesel",IF(BR14&gt;=DIE_C_YM,"C",IF(BR14&gt;=DIE_B_YM,"B","A")),""))))</f>
        <v/>
      </c>
      <c r="BT14" s="2" t="inlineStr">
        <is>
          <t>C</t>
        </is>
      </c>
      <c r="BU14" s="4">
        <f>IF(AU14="sí","sí",IF(AS14="regla",IF(AND(N(AQ14)=0,BP14=1),"sí","no"),"no"))</f>
        <v/>
      </c>
      <c r="BV14" s="3">
        <f>IFERROR(VLOOKUP(F14,MOD_TBL,16,0),IFERROR(VLOOKUP(E14,OCU_TBL,2,0),NEUTRO))</f>
        <v/>
      </c>
      <c r="BW14" s="3">
        <f>SUMIFS(MOT_AJUSTE,MOT_MOTOR,G14,MOT_MARCA,E14,MOT_DESDE,"&lt;="&amp;M14,MOT_HASTA,"&gt;="&amp;M14)+SUMIFS(MOT_AJUSTE,MOT_MOTOR,G14,MOT_MARCA,"(todas)",MOT_DESDE,"&lt;="&amp;M14,MOT_HASTA,"&gt;="&amp;M14)+SUMIFS(MOT_AJUSTE,MOT_MOTOR,"(cualquiera)",MOT_MARCA,E14,MOT_DESDE,"&lt;="&amp;M14,MOT_HASTA,"&gt;="&amp;M14)</f>
        <v/>
      </c>
      <c r="BX14" s="3">
        <f>SUMIFS(COMB_AJUSTE,COMB_COMB,K14)</f>
        <v/>
      </c>
      <c r="BY14" s="3">
        <f>COUNTIFS(MOT_MOTOR,G14,MOT_MARCA,E14,MOT_DESDE,"&lt;="&amp;M14,MOT_HASTA,"&gt;="&amp;M14)+COUNTIFS(MOT_MOTOR,G14,MOT_MARCA,"(todas)",MOT_DESDE,"&lt;="&amp;M14,MOT_HASTA,"&gt;="&amp;M14)+COUNTIFS(MOT_MOTOR,"(cualquiera)",MOT_MARCA,E14,MOT_DESDE,"&lt;="&amp;M14,MOT_HASTA,"&gt;="&amp;M14)</f>
        <v/>
      </c>
      <c r="BZ14" s="3">
        <f>IF(AND(K14="diesel",BY14=0),MIN(BV14,NEUTRO),BV14)</f>
        <v/>
      </c>
      <c r="CA14" s="3">
        <f>MAX(0,MIN(100,BZ14+BW14+BX14-IF(AV14="sí",ROB_PEN,0)))</f>
        <v/>
      </c>
      <c r="CB14" s="3">
        <f>100-MAX(0,N14-KM_TOPE_DESDE)/1000*KM_TOPE_PTS</f>
        <v/>
      </c>
      <c r="CC14" s="3">
        <f>MAX(0,MIN(100,50+BO14*PRECIO_PEND,CB14))</f>
        <v/>
      </c>
      <c r="CD14" s="3">
        <f>MAX(0,100*(1-N14/KM_MAX))</f>
        <v/>
      </c>
      <c r="CE14" s="3">
        <f>IF(BF14&lt;KMA_SOSP,IF(AA14="sí",100,KMA_PEN),IF(BF14&lt;=KMA_IDEAL_MAX,100,MAX(0,100*(KMA_CERO-BF14)/(KMA_CERO-KMA_IDEAL_MAX))))</f>
        <v/>
      </c>
      <c r="CF14" s="3">
        <f>MAX(0,MIN(100,100*(M14-ANIO_MIN)/(ANIO_ACTUAL-ANIO_MIN)))</f>
        <v/>
      </c>
      <c r="CG14" s="3">
        <f>W_KMT*CD14+W_KMA*CE14+W_EDAD*CF14</f>
        <v/>
      </c>
      <c r="CH14" s="3">
        <f>P_ITV*(V14="sí")+P_LIBRO*(W14="sí")+P_CORREA*(X14="sí")+P_PROP*(Y14=1)+P_GAR*(Z14="sí")+P_FOTOS*MIN(1,N(U14)/FOTOS_OBJ)</f>
        <v/>
      </c>
      <c r="CI14" s="3">
        <f>MAX(0,MIN(100,IFERROR(VLOOKUP(BT14,ETQ_TBL,2,0),0)-IF(BU14="sí",ETQ_PEN_DUD,IF(AS14="regla",ETQ_PEN_REGLA,0))))</f>
        <v/>
      </c>
      <c r="CJ14" s="3">
        <f>IF(K14&lt;&gt;"gasolina","",IFERROR(VLOOKUP(F14,CONS_MOD_TBL,2,0),IFERROR(VLOOKUP(L14,CONS_SEG_TBL,2,0),"")))</f>
        <v/>
      </c>
      <c r="CK14" s="3">
        <f>IF(CJ14="",NEUTRO,MAX(0,MIN(100,100*(CONS_REF_MAX-CJ14)/(CONS_REF_MAX-CONS_REF_MIN))))</f>
        <v/>
      </c>
      <c r="CL14" s="3">
        <f>IFERROR(VLOOKUP(L14,SEGURO_TBL,3,0),"")</f>
        <v/>
      </c>
      <c r="CM14" s="3">
        <f>IF(CL14="",NEUTRO,MAX(0,MIN(100,100*(SEG_REF_MAX-CL14)/(SEG_REF_MAX-SEG_REF_MIN))))</f>
        <v/>
      </c>
      <c r="CN14" s="3">
        <f>W_CONS*CK14+W_SEG*CM14</f>
        <v/>
      </c>
      <c r="CO14" s="3">
        <f>IF(N(AB14)&gt;0,AB14,IF(AND(R14="profesional",SG_LEGAL_ON=1),GAR_LEGAL,0))</f>
        <v/>
      </c>
      <c r="CP14" s="3">
        <f>SG_GAR*MIN(1,CO14/SG_GAR_FULL)+SG_AMPL*(AC14="sí")+SG_KMC*(AF14="sí")+SG_REV*(N(AE14)&gt;0)+SG_DEV*MIN(1,N(AG14)/SG_DEV_FULL)+SG_HIST*(W14="sí")</f>
        <v/>
      </c>
      <c r="CQ14" s="3">
        <f>IF(AW14="sí",ESTILO_PRIO,IFERROR(VLOOKUP(L14,ESTILO_TBL,2,0),NEUTRO))</f>
        <v/>
      </c>
      <c r="CR14" s="3">
        <f>IFERROR(VLOOKUP(L14,CARR_PEN_TBL,2,0),0)</f>
        <v/>
      </c>
      <c r="CS14" s="3">
        <f>W_FIAB*CA14+W_PRECIO*CC14+W_KMEDAD*CG14+W_ANUNCIO*CH14+W_USO*CN14+W_SEGURIDAD*CP14+W_ETIQUETA*CI14+W_ESTILO*CQ14-CR14</f>
        <v/>
      </c>
      <c r="CT14" s="4">
        <f>IF(N(I14)&gt;0,I14,IFERROR(ROUND(_xlfn.NUMBERVALUE(LEFT(G14,FIND(" ",G14&amp;" ")-1),".")*1000,0),99999))</f>
        <v/>
      </c>
      <c r="CU14" s="3">
        <f>IF(R14="profesional",0,IF(O14&lt;CUOTA_VALOR_MAX,IF(BE14&gt;ITP_TRAMO_ALTO,SUMIFS(CF_CUOTA,CF_MAS,ITP_TRAMO_ALTO,CF_CCMIN,"&lt;="&amp;CT14,CF_CCMAX,"&gt;="&amp;CT14),IF(BE14&gt;ITP_TRAMO_BAJO,SUMIFS(CF_CUOTA,CF_MAS,ITP_TRAMO_BAJO,CF_CCMIN,"&lt;="&amp;CT14,CF_CCMAX,"&gt;="&amp;CT14),O14*ITP_TIPO)),O14*ITP_TIPO))</f>
        <v/>
      </c>
      <c r="CV14" s="4">
        <f>IF(R14="profesional",N(AK14),0)</f>
        <v/>
      </c>
      <c r="CW14" s="3">
        <f>IF(AND(R14="profesional",ISNUMBER(AK14),AL14="sí"),0,TASA_DGT)</f>
        <v/>
      </c>
      <c r="CX14" s="3">
        <f>INFORME_DGT</f>
        <v/>
      </c>
      <c r="CY14" s="4">
        <f>O14+CV14+CU14+CW14+CX14</f>
        <v/>
      </c>
      <c r="CZ14" s="4">
        <f>CY14+N(CL14)</f>
        <v/>
      </c>
      <c r="DA14" s="3">
        <f>IF(CY14&lt;=TOTAL_MAX,"sí",IF(CY14&lt;=TOTAL_MAX+MARGEN_NEG,"negociar","no"))</f>
        <v/>
      </c>
      <c r="DB14" s="4">
        <f>IF(DA14&lt;&gt;"no",COUNTIFS($DA$2:$DA$130,"&lt;&gt;no",$CS$2:$CS$130,"&gt;"&amp;CS14)+COUNTIFS($DA$2:DA14,"&lt;&gt;no",$CS$2:CS14,CS14),"")</f>
        <v/>
      </c>
    </row>
    <row r="15">
      <c r="A15" s="2" t="inlineStr">
        <is>
          <t>cochesnet:71571620</t>
        </is>
      </c>
      <c r="B15" s="2" t="inlineStr">
        <is>
          <t>cochesnet</t>
        </is>
      </c>
      <c r="C15" s="2" t="inlineStr">
        <is>
          <t>https://www.coches.net/dacia-logan-laureate-14-4p-gasolina-2007-en-valencia-71571620-covo.aspx</t>
        </is>
      </c>
      <c r="D15" s="2" t="inlineStr">
        <is>
          <t>DACIA Logan Laureate 1.4</t>
        </is>
      </c>
      <c r="E15" s="2" t="inlineStr">
        <is>
          <t>Dacia</t>
        </is>
      </c>
      <c r="F15" s="2" t="inlineStr">
        <is>
          <t>Dacia Logan</t>
        </is>
      </c>
      <c r="G15" s="2" t="inlineStr">
        <is>
          <t>1.4</t>
        </is>
      </c>
      <c r="H15" s="2" t="inlineStr">
        <is>
          <t>Laureate 1.4</t>
        </is>
      </c>
      <c r="I15" s="2" t="n"/>
      <c r="J15" s="2" t="n"/>
      <c r="K15" s="2" t="inlineStr">
        <is>
          <t>gasolina</t>
        </is>
      </c>
      <c r="L15" s="2" t="inlineStr">
        <is>
          <t>berlina</t>
        </is>
      </c>
      <c r="M15" s="2" t="n">
        <v>2008</v>
      </c>
      <c r="N15" s="2" t="n">
        <v>128293</v>
      </c>
      <c r="O15" s="2" t="n">
        <v>3490</v>
      </c>
      <c r="P15" s="2" t="inlineStr">
        <is>
          <t>manual</t>
        </is>
      </c>
      <c r="Q15" s="2" t="inlineStr">
        <is>
          <t>no</t>
        </is>
      </c>
      <c r="R15" s="2" t="inlineStr">
        <is>
          <t>profesional</t>
        </is>
      </c>
      <c r="S15" s="2" t="inlineStr">
        <is>
          <t>AUTOSCOL Torrent</t>
        </is>
      </c>
      <c r="T15" s="2" t="inlineStr">
        <is>
          <t>2026-09-22T15:40:22Z</t>
        </is>
      </c>
      <c r="U15" s="2" t="n">
        <v>18</v>
      </c>
      <c r="V15" s="2" t="n"/>
      <c r="W15" s="2" t="n"/>
      <c r="X15" s="2" t="n"/>
      <c r="Y15" s="2" t="n"/>
      <c r="Z15" s="2" t="inlineStr">
        <is>
          <t>sí</t>
        </is>
      </c>
      <c r="AA15" s="2" t="n"/>
      <c r="AB15" s="2" t="n">
        <v>12</v>
      </c>
      <c r="AC15" s="2" t="n"/>
      <c r="AD15" s="2" t="n"/>
      <c r="AE15" s="2" t="n"/>
      <c r="AF15" s="2" t="n"/>
      <c r="AG15" s="2" t="n"/>
      <c r="AH15" s="2" t="n">
        <v>3490</v>
      </c>
      <c r="AI15" s="2" t="n"/>
      <c r="AJ15" s="2" t="n"/>
      <c r="AK15" s="2" t="n">
        <v>180</v>
      </c>
      <c r="AL15" s="2" t="inlineStr">
        <is>
          <t>sí</t>
        </is>
      </c>
      <c r="AM15" s="2" t="n">
        <v>8.800000000000001</v>
      </c>
      <c r="AN15" s="2" t="n"/>
      <c r="AO15" s="2" t="inlineStr">
        <is>
          <t>2008</t>
        </is>
      </c>
      <c r="AP15" s="2" t="n">
        <v>2008</v>
      </c>
      <c r="AQ15" s="2" t="n"/>
      <c r="AR15" s="2" t="inlineStr">
        <is>
          <t>C</t>
        </is>
      </c>
      <c r="AS15" s="2" t="inlineStr">
        <is>
          <t>anuncio</t>
        </is>
      </c>
      <c r="AT15" s="2" t="n">
        <v>2007</v>
      </c>
      <c r="AU15" s="2" t="inlineStr">
        <is>
          <t>no</t>
        </is>
      </c>
      <c r="AV15" s="2" t="inlineStr">
        <is>
          <t>no</t>
        </is>
      </c>
      <c r="AW15" s="2" t="inlineStr">
        <is>
          <t>no</t>
        </is>
      </c>
      <c r="AX15" s="2" t="n"/>
      <c r="AY15" s="2" t="n"/>
      <c r="AZ15" s="2" t="n"/>
      <c r="BA15" s="2" t="n"/>
      <c r="BB15" s="2" t="inlineStr">
        <is>
          <t>año a confirmar: la URL/título dice 2007; vendedor profesional: sin ITP (operación con IVA/REBU, confirmar en factura); revisar: no menciona la ITV; mediana con solo 1 anuncio(s)</t>
        </is>
      </c>
      <c r="BC15" s="2" t="inlineStr">
        <is>
          <t>DACIA LOGAN 1.4 LAUREATE 75 CV – AÑO 2008
? 128.293 km reales
? Gasolina | Cambio manual | 5 puertas
? Color azul
? Distintivo ambiental: Etiqueta C
Coche revisado y preparado en nuestras instalaciones antes de la venta. Motor 1.4 de mecánica Renault, sencilla y resistente, con recambios muy económicos y barato de mantener.
Maletero muy amplio y mucho espacio interior. Ideal como primer coche, para trabajar o para uso diario.
?? PRECIO: 3.490 €
??? Garantía de 12 meses
?? Transferencia aparte: 180 €
Somos profesionales del sector, compraventa de vehículos de ocasión en Valencia. Facturamos y entregamos toda la documentación en regla.
?? Escríbenos para más fotos o para venir a verlo y probarlo sin compromiso.
?? También compramos y tasamos tu coche.
Dacia Logan Sedan en Torrent</t>
        </is>
      </c>
      <c r="BD15" s="2" t="inlineStr">
        <is>
          <t>https://www.coches.net/dacia-logan-laureate-14-4p-gasolina-2007-en-valencia-71571620-covo.aspx (window.__INITIAL_PROPS__.ad) /home/user/Alopecia/buscador-coches/raw/cochesnet/419db24ec45a6b74.json</t>
        </is>
      </c>
      <c r="BE15" s="3">
        <f>MAX(ANIO_ACTUAL-M15,0)</f>
        <v/>
      </c>
      <c r="BF15" s="4">
        <f>N15/MAX(BE15,0.5)</f>
        <v/>
      </c>
      <c r="BG15" s="4">
        <f>F15</f>
        <v/>
      </c>
      <c r="BH15" s="3">
        <f>BG15&amp;"|"&amp;INT(M15/SEG_ANIO)*SEG_ANIO</f>
        <v/>
      </c>
      <c r="BI15" s="3">
        <f>BH15&amp;"|"&amp;INT(N15/SEG_KM)*SEG_KM</f>
        <v/>
      </c>
      <c r="BJ15" s="4">
        <f>COUNTIF($BG$2:$BG$130,BG15)</f>
        <v/>
      </c>
      <c r="BK15" s="4">
        <f>COUNTIF($BH$2:$BH$130,BH15)</f>
        <v/>
      </c>
      <c r="BL15" s="4">
        <f>COUNTIF($BI$2:$BI$130,BI15)</f>
        <v/>
      </c>
      <c r="BM15" s="3">
        <f t="array" ref="BM15">IF(N(AY15)&gt;=MIN_N,AX15,IF(BL15&gt;=MIN_N,MEDIAN(IF($BI$2:$BI$130=BI15,$O$2:$O$130)),IF(BK15&gt;=MIN_N,MEDIAN(IF($BH$2:$BH$130=BH15,$O$2:$O$130)),MEDIAN(IF($BG$2:$BG$130=BG15,$O$2:$O$130)))))</f>
        <v/>
      </c>
      <c r="BN15" s="3">
        <f>IF(N(AY15)&gt;=MIN_N,"mercado "&amp;AZ15,IF(BL15&gt;=MIN_N,"modelo+año+km",IF(BK15&gt;=MIN_N,"modelo+año","modelo")))</f>
        <v/>
      </c>
      <c r="BO15" s="4">
        <f>(BM15-O15)/BM15</f>
        <v/>
      </c>
      <c r="BP15" s="3">
        <f>IF(COUNTIFS(FR_FUEL,K15,FR_YEAR,AP15)&gt;0,1,0)</f>
        <v/>
      </c>
      <c r="BQ15" s="3">
        <f>IF(COUNTIFS(FR_FUEL,K15,FR_YEAR,AP15-1)&gt;0,1,0)</f>
        <v/>
      </c>
      <c r="BR15" s="4">
        <f>IF(N(AQ15)&gt;0,AP15*100+AQ15,IF(AND(BP15=1,BQ15=1),(AP15-1)*100+1,AP15*100+1))</f>
        <v/>
      </c>
      <c r="BS15" s="3">
        <f>IF(OR(K15="hibrido",K15="glp",K15="gnc",K15="phev"),"ECO",IF(K15="electrico","CERO",IF(K15="gasolina",IF(BR15&gt;=GAS_C_YM,"C",IF(BR15&gt;=GAS_B_YM,"B","A")),IF(K15="diesel",IF(BR15&gt;=DIE_C_YM,"C",IF(BR15&gt;=DIE_B_YM,"B","A")),""))))</f>
        <v/>
      </c>
      <c r="BT15" s="2" t="inlineStr">
        <is>
          <t>C</t>
        </is>
      </c>
      <c r="BU15" s="4">
        <f>IF(AU15="sí","sí",IF(AS15="regla",IF(AND(N(AQ15)=0,BP15=1),"sí","no"),"no"))</f>
        <v/>
      </c>
      <c r="BV15" s="3">
        <f>IFERROR(VLOOKUP(F15,MOD_TBL,16,0),IFERROR(VLOOKUP(E15,OCU_TBL,2,0),NEUTRO))</f>
        <v/>
      </c>
      <c r="BW15" s="3">
        <f>SUMIFS(MOT_AJUSTE,MOT_MOTOR,G15,MOT_MARCA,E15,MOT_DESDE,"&lt;="&amp;M15,MOT_HASTA,"&gt;="&amp;M15)+SUMIFS(MOT_AJUSTE,MOT_MOTOR,G15,MOT_MARCA,"(todas)",MOT_DESDE,"&lt;="&amp;M15,MOT_HASTA,"&gt;="&amp;M15)+SUMIFS(MOT_AJUSTE,MOT_MOTOR,"(cualquiera)",MOT_MARCA,E15,MOT_DESDE,"&lt;="&amp;M15,MOT_HASTA,"&gt;="&amp;M15)</f>
        <v/>
      </c>
      <c r="BX15" s="3">
        <f>SUMIFS(COMB_AJUSTE,COMB_COMB,K15)</f>
        <v/>
      </c>
      <c r="BY15" s="3">
        <f>COUNTIFS(MOT_MOTOR,G15,MOT_MARCA,E15,MOT_DESDE,"&lt;="&amp;M15,MOT_HASTA,"&gt;="&amp;M15)+COUNTIFS(MOT_MOTOR,G15,MOT_MARCA,"(todas)",MOT_DESDE,"&lt;="&amp;M15,MOT_HASTA,"&gt;="&amp;M15)+COUNTIFS(MOT_MOTOR,"(cualquiera)",MOT_MARCA,E15,MOT_DESDE,"&lt;="&amp;M15,MOT_HASTA,"&gt;="&amp;M15)</f>
        <v/>
      </c>
      <c r="BZ15" s="3">
        <f>IF(AND(K15="diesel",BY15=0),MIN(BV15,NEUTRO),BV15)</f>
        <v/>
      </c>
      <c r="CA15" s="3">
        <f>MAX(0,MIN(100,BZ15+BW15+BX15-IF(AV15="sí",ROB_PEN,0)))</f>
        <v/>
      </c>
      <c r="CB15" s="3">
        <f>100-MAX(0,N15-KM_TOPE_DESDE)/1000*KM_TOPE_PTS</f>
        <v/>
      </c>
      <c r="CC15" s="3">
        <f>MAX(0,MIN(100,50+BO15*PRECIO_PEND,CB15))</f>
        <v/>
      </c>
      <c r="CD15" s="3">
        <f>MAX(0,100*(1-N15/KM_MAX))</f>
        <v/>
      </c>
      <c r="CE15" s="3">
        <f>IF(BF15&lt;KMA_SOSP,IF(AA15="sí",100,KMA_PEN),IF(BF15&lt;=KMA_IDEAL_MAX,100,MAX(0,100*(KMA_CERO-BF15)/(KMA_CERO-KMA_IDEAL_MAX))))</f>
        <v/>
      </c>
      <c r="CF15" s="3">
        <f>MAX(0,MIN(100,100*(M15-ANIO_MIN)/(ANIO_ACTUAL-ANIO_MIN)))</f>
        <v/>
      </c>
      <c r="CG15" s="3">
        <f>W_KMT*CD15+W_KMA*CE15+W_EDAD*CF15</f>
        <v/>
      </c>
      <c r="CH15" s="3">
        <f>P_ITV*(V15="sí")+P_LIBRO*(W15="sí")+P_CORREA*(X15="sí")+P_PROP*(Y15=1)+P_GAR*(Z15="sí")+P_FOTOS*MIN(1,N(U15)/FOTOS_OBJ)</f>
        <v/>
      </c>
      <c r="CI15" s="3">
        <f>MAX(0,MIN(100,IFERROR(VLOOKUP(BT15,ETQ_TBL,2,0),0)-IF(BU15="sí",ETQ_PEN_DUD,IF(AS15="regla",ETQ_PEN_REGLA,0))))</f>
        <v/>
      </c>
      <c r="CJ15" s="3">
        <f>IF(K15&lt;&gt;"gasolina","",IFERROR(VLOOKUP(F15,CONS_MOD_TBL,2,0),IFERROR(VLOOKUP(L15,CONS_SEG_TBL,2,0),"")))</f>
        <v/>
      </c>
      <c r="CK15" s="3">
        <f>IF(CJ15="",NEUTRO,MAX(0,MIN(100,100*(CONS_REF_MAX-CJ15)/(CONS_REF_MAX-CONS_REF_MIN))))</f>
        <v/>
      </c>
      <c r="CL15" s="3">
        <f>IFERROR(VLOOKUP(L15,SEGURO_TBL,3,0),"")</f>
        <v/>
      </c>
      <c r="CM15" s="3">
        <f>IF(CL15="",NEUTRO,MAX(0,MIN(100,100*(SEG_REF_MAX-CL15)/(SEG_REF_MAX-SEG_REF_MIN))))</f>
        <v/>
      </c>
      <c r="CN15" s="3">
        <f>W_CONS*CK15+W_SEG*CM15</f>
        <v/>
      </c>
      <c r="CO15" s="3">
        <f>IF(N(AB15)&gt;0,AB15,IF(AND(R15="profesional",SG_LEGAL_ON=1),GAR_LEGAL,0))</f>
        <v/>
      </c>
      <c r="CP15" s="3">
        <f>SG_GAR*MIN(1,CO15/SG_GAR_FULL)+SG_AMPL*(AC15="sí")+SG_KMC*(AF15="sí")+SG_REV*(N(AE15)&gt;0)+SG_DEV*MIN(1,N(AG15)/SG_DEV_FULL)+SG_HIST*(W15="sí")</f>
        <v/>
      </c>
      <c r="CQ15" s="3">
        <f>IF(AW15="sí",ESTILO_PRIO,IFERROR(VLOOKUP(L15,ESTILO_TBL,2,0),NEUTRO))</f>
        <v/>
      </c>
      <c r="CR15" s="3">
        <f>IFERROR(VLOOKUP(L15,CARR_PEN_TBL,2,0),0)</f>
        <v/>
      </c>
      <c r="CS15" s="3">
        <f>W_FIAB*CA15+W_PRECIO*CC15+W_KMEDAD*CG15+W_ANUNCIO*CH15+W_USO*CN15+W_SEGURIDAD*CP15+W_ETIQUETA*CI15+W_ESTILO*CQ15-CR15</f>
        <v/>
      </c>
      <c r="CT15" s="4">
        <f>IF(N(I15)&gt;0,I15,IFERROR(ROUND(_xlfn.NUMBERVALUE(LEFT(G15,FIND(" ",G15&amp;" ")-1),".")*1000,0),99999))</f>
        <v/>
      </c>
      <c r="CU15" s="3">
        <f>IF(R15="profesional",0,IF(O15&lt;CUOTA_VALOR_MAX,IF(BE15&gt;ITP_TRAMO_ALTO,SUMIFS(CF_CUOTA,CF_MAS,ITP_TRAMO_ALTO,CF_CCMIN,"&lt;="&amp;CT15,CF_CCMAX,"&gt;="&amp;CT15),IF(BE15&gt;ITP_TRAMO_BAJO,SUMIFS(CF_CUOTA,CF_MAS,ITP_TRAMO_BAJO,CF_CCMIN,"&lt;="&amp;CT15,CF_CCMAX,"&gt;="&amp;CT15),O15*ITP_TIPO)),O15*ITP_TIPO))</f>
        <v/>
      </c>
      <c r="CV15" s="4">
        <f>IF(R15="profesional",N(AK15),0)</f>
        <v/>
      </c>
      <c r="CW15" s="3">
        <f>IF(AND(R15="profesional",ISNUMBER(AK15),AL15="sí"),0,TASA_DGT)</f>
        <v/>
      </c>
      <c r="CX15" s="3">
        <f>INFORME_DGT</f>
        <v/>
      </c>
      <c r="CY15" s="4">
        <f>O15+CV15+CU15+CW15+CX15</f>
        <v/>
      </c>
      <c r="CZ15" s="4">
        <f>CY15+N(CL15)</f>
        <v/>
      </c>
      <c r="DA15" s="3">
        <f>IF(CY15&lt;=TOTAL_MAX,"sí",IF(CY15&lt;=TOTAL_MAX+MARGEN_NEG,"negociar","no"))</f>
        <v/>
      </c>
      <c r="DB15" s="4">
        <f>IF(DA15&lt;&gt;"no",COUNTIFS($DA$2:$DA$130,"&lt;&gt;no",$CS$2:$CS$130,"&gt;"&amp;CS15)+COUNTIFS($DA$2:DA15,"&lt;&gt;no",$CS$2:CS15,CS15),"")</f>
        <v/>
      </c>
    </row>
    <row r="16">
      <c r="A16" s="2" t="inlineStr">
        <is>
          <t>cochesnet:71833160</t>
        </is>
      </c>
      <c r="B16" s="2" t="inlineStr">
        <is>
          <t>cochesnet</t>
        </is>
      </c>
      <c r="C16" s="2" t="inlineStr">
        <is>
          <t>https://www.coches.net/peugeot-207-confort-14-75-5p-gasolina-2009-en-valencia-71833160-covo.aspx</t>
        </is>
      </c>
      <c r="D16" s="2" t="inlineStr">
        <is>
          <t>PEUGEOT 207 Confort 1.4 75</t>
        </is>
      </c>
      <c r="E16" s="2" t="inlineStr">
        <is>
          <t>Peugeot</t>
        </is>
      </c>
      <c r="F16" s="2" t="inlineStr">
        <is>
          <t>Peugeot 207</t>
        </is>
      </c>
      <c r="G16" s="2" t="inlineStr">
        <is>
          <t>1.4</t>
        </is>
      </c>
      <c r="H16" s="2" t="inlineStr">
        <is>
          <t>Confort 1.4 75</t>
        </is>
      </c>
      <c r="I16" s="2" t="n"/>
      <c r="J16" s="2" t="n"/>
      <c r="K16" s="2" t="inlineStr">
        <is>
          <t>gasolina</t>
        </is>
      </c>
      <c r="L16" s="2" t="inlineStr">
        <is>
          <t>utilitario</t>
        </is>
      </c>
      <c r="M16" s="2" t="n">
        <v>2009</v>
      </c>
      <c r="N16" s="2" t="n">
        <v>95000</v>
      </c>
      <c r="O16" s="2" t="n">
        <v>3990</v>
      </c>
      <c r="P16" s="2" t="inlineStr">
        <is>
          <t>manual</t>
        </is>
      </c>
      <c r="Q16" s="2" t="inlineStr">
        <is>
          <t>no</t>
        </is>
      </c>
      <c r="R16" s="2" t="inlineStr">
        <is>
          <t>profesional</t>
        </is>
      </c>
      <c r="S16" s="2" t="inlineStr">
        <is>
          <t>Prime Cars Alzira Alzira</t>
        </is>
      </c>
      <c r="T16" s="2" t="inlineStr">
        <is>
          <t>2026-10-26T12:09:55Z</t>
        </is>
      </c>
      <c r="U16" s="2" t="n">
        <v>10</v>
      </c>
      <c r="V16" s="2" t="inlineStr">
        <is>
          <t>sí</t>
        </is>
      </c>
      <c r="W16" s="2" t="n"/>
      <c r="X16" s="2" t="inlineStr">
        <is>
          <t>sí</t>
        </is>
      </c>
      <c r="Y16" s="2" t="n"/>
      <c r="Z16" s="2" t="inlineStr">
        <is>
          <t>no</t>
        </is>
      </c>
      <c r="AA16" s="2" t="n"/>
      <c r="AB16" s="2" t="n"/>
      <c r="AC16" s="2" t="n"/>
      <c r="AD16" s="2" t="n"/>
      <c r="AE16" s="2" t="n"/>
      <c r="AF16" s="2" t="n"/>
      <c r="AG16" s="2" t="n"/>
      <c r="AH16" s="2" t="n">
        <v>3990</v>
      </c>
      <c r="AI16" s="2" t="n"/>
      <c r="AJ16" s="2" t="n"/>
      <c r="AK16" s="2" t="n"/>
      <c r="AL16" s="2" t="n"/>
      <c r="AM16" s="2" t="n">
        <v>35.7</v>
      </c>
      <c r="AN16" s="2" t="n"/>
      <c r="AO16" s="2" t="inlineStr">
        <is>
          <t>2009</t>
        </is>
      </c>
      <c r="AP16" s="2" t="n">
        <v>2009</v>
      </c>
      <c r="AQ16" s="2" t="n"/>
      <c r="AR16" s="2" t="inlineStr">
        <is>
          <t>C</t>
        </is>
      </c>
      <c r="AS16" s="2" t="inlineStr">
        <is>
          <t>anuncio</t>
        </is>
      </c>
      <c r="AT16" s="2" t="n"/>
      <c r="AU16" s="2" t="inlineStr">
        <is>
          <t>no</t>
        </is>
      </c>
      <c r="AV16" s="2" t="inlineStr">
        <is>
          <t>no</t>
        </is>
      </c>
      <c r="AW16" s="2" t="inlineStr">
        <is>
          <t>no</t>
        </is>
      </c>
      <c r="AX16" s="2" t="n">
        <v>4625</v>
      </c>
      <c r="AY16" s="2" t="n">
        <v>12</v>
      </c>
      <c r="AZ16" s="2" t="inlineStr">
        <is>
          <t>modelo+año+km</t>
        </is>
      </c>
      <c r="BA16" s="2" t="n"/>
      <c r="BB16" s="2" t="inlineStr">
        <is>
          <t>vendedor profesional: sin ITP (operación con IVA/REBU, confirmar en factura); gastos de gestión del vendedor no indicados: se suma la tasa DGT; preguntar el precio final; fiabilidad del modelo PENDIENTE de fuente (puntuación neutra)</t>
        </is>
      </c>
      <c r="BC16" s="2" t="inlineStr">
        <is>
          <t>Peugeot 207 motor 1.4 gasolina con 75 CV.
Se encuentra en buen estado general, tiene Aire acondicionado, control de velocidad de crucero, fijaciones Isofix, etc.
Se entrega con ITV recién pasada hasta el 10/2027, distribución hecha a los 66.000 kilometros, se acepta prueba mecánica.</t>
        </is>
      </c>
      <c r="BD16" s="2" t="inlineStr">
        <is>
          <t>https://www.coches.net/peugeot-207-confort-14-75-5p-gasolina-2009-en-valencia-71833160-covo.aspx (window.__INITIAL_PROPS__.ad) /home/user/Alopecia/buscador-coches/raw/cochesnet/0b54a76ea589cdf3.json</t>
        </is>
      </c>
      <c r="BE16" s="3">
        <f>MAX(ANIO_ACTUAL-M16,0)</f>
        <v/>
      </c>
      <c r="BF16" s="4">
        <f>N16/MAX(BE16,0.5)</f>
        <v/>
      </c>
      <c r="BG16" s="4">
        <f>F16</f>
        <v/>
      </c>
      <c r="BH16" s="3">
        <f>BG16&amp;"|"&amp;INT(M16/SEG_ANIO)*SEG_ANIO</f>
        <v/>
      </c>
      <c r="BI16" s="3">
        <f>BH16&amp;"|"&amp;INT(N16/SEG_KM)*SEG_KM</f>
        <v/>
      </c>
      <c r="BJ16" s="4">
        <f>COUNTIF($BG$2:$BG$130,BG16)</f>
        <v/>
      </c>
      <c r="BK16" s="4">
        <f>COUNTIF($BH$2:$BH$130,BH16)</f>
        <v/>
      </c>
      <c r="BL16" s="4">
        <f>COUNTIF($BI$2:$BI$130,BI16)</f>
        <v/>
      </c>
      <c r="BM16" s="3">
        <f t="array" ref="BM16">IF(N(AY16)&gt;=MIN_N,AX16,IF(BL16&gt;=MIN_N,MEDIAN(IF($BI$2:$BI$130=BI16,$O$2:$O$130)),IF(BK16&gt;=MIN_N,MEDIAN(IF($BH$2:$BH$130=BH16,$O$2:$O$130)),MEDIAN(IF($BG$2:$BG$130=BG16,$O$2:$O$130)))))</f>
        <v/>
      </c>
      <c r="BN16" s="3">
        <f>IF(N(AY16)&gt;=MIN_N,"mercado "&amp;AZ16,IF(BL16&gt;=MIN_N,"modelo+año+km",IF(BK16&gt;=MIN_N,"modelo+año","modelo")))</f>
        <v/>
      </c>
      <c r="BO16" s="4">
        <f>(BM16-O16)/BM16</f>
        <v/>
      </c>
      <c r="BP16" s="3">
        <f>IF(COUNTIFS(FR_FUEL,K16,FR_YEAR,AP16)&gt;0,1,0)</f>
        <v/>
      </c>
      <c r="BQ16" s="3">
        <f>IF(COUNTIFS(FR_FUEL,K16,FR_YEAR,AP16-1)&gt;0,1,0)</f>
        <v/>
      </c>
      <c r="BR16" s="4">
        <f>IF(N(AQ16)&gt;0,AP16*100+AQ16,IF(AND(BP16=1,BQ16=1),(AP16-1)*100+1,AP16*100+1))</f>
        <v/>
      </c>
      <c r="BS16" s="3">
        <f>IF(OR(K16="hibrido",K16="glp",K16="gnc",K16="phev"),"ECO",IF(K16="electrico","CERO",IF(K16="gasolina",IF(BR16&gt;=GAS_C_YM,"C",IF(BR16&gt;=GAS_B_YM,"B","A")),IF(K16="diesel",IF(BR16&gt;=DIE_C_YM,"C",IF(BR16&gt;=DIE_B_YM,"B","A")),""))))</f>
        <v/>
      </c>
      <c r="BT16" s="2" t="inlineStr">
        <is>
          <t>C</t>
        </is>
      </c>
      <c r="BU16" s="4">
        <f>IF(AU16="sí","sí",IF(AS16="regla",IF(AND(N(AQ16)=0,BP16=1),"sí","no"),"no"))</f>
        <v/>
      </c>
      <c r="BV16" s="3">
        <f>IFERROR(VLOOKUP(F16,MOD_TBL,16,0),IFERROR(VLOOKUP(E16,OCU_TBL,2,0),NEUTRO))</f>
        <v/>
      </c>
      <c r="BW16" s="3">
        <f>SUMIFS(MOT_AJUSTE,MOT_MOTOR,G16,MOT_MARCA,E16,MOT_DESDE,"&lt;="&amp;M16,MOT_HASTA,"&gt;="&amp;M16)+SUMIFS(MOT_AJUSTE,MOT_MOTOR,G16,MOT_MARCA,"(todas)",MOT_DESDE,"&lt;="&amp;M16,MOT_HASTA,"&gt;="&amp;M16)+SUMIFS(MOT_AJUSTE,MOT_MOTOR,"(cualquiera)",MOT_MARCA,E16,MOT_DESDE,"&lt;="&amp;M16,MOT_HASTA,"&gt;="&amp;M16)</f>
        <v/>
      </c>
      <c r="BX16" s="3">
        <f>SUMIFS(COMB_AJUSTE,COMB_COMB,K16)</f>
        <v/>
      </c>
      <c r="BY16" s="3">
        <f>COUNTIFS(MOT_MOTOR,G16,MOT_MARCA,E16,MOT_DESDE,"&lt;="&amp;M16,MOT_HASTA,"&gt;="&amp;M16)+COUNTIFS(MOT_MOTOR,G16,MOT_MARCA,"(todas)",MOT_DESDE,"&lt;="&amp;M16,MOT_HASTA,"&gt;="&amp;M16)+COUNTIFS(MOT_MOTOR,"(cualquiera)",MOT_MARCA,E16,MOT_DESDE,"&lt;="&amp;M16,MOT_HASTA,"&gt;="&amp;M16)</f>
        <v/>
      </c>
      <c r="BZ16" s="3">
        <f>IF(AND(K16="diesel",BY16=0),MIN(BV16,NEUTRO),BV16)</f>
        <v/>
      </c>
      <c r="CA16" s="3">
        <f>MAX(0,MIN(100,BZ16+BW16+BX16-IF(AV16="sí",ROB_PEN,0)))</f>
        <v/>
      </c>
      <c r="CB16" s="3">
        <f>100-MAX(0,N16-KM_TOPE_DESDE)/1000*KM_TOPE_PTS</f>
        <v/>
      </c>
      <c r="CC16" s="3">
        <f>MAX(0,MIN(100,50+BO16*PRECIO_PEND,CB16))</f>
        <v/>
      </c>
      <c r="CD16" s="3">
        <f>MAX(0,100*(1-N16/KM_MAX))</f>
        <v/>
      </c>
      <c r="CE16" s="3">
        <f>IF(BF16&lt;KMA_SOSP,IF(AA16="sí",100,KMA_PEN),IF(BF16&lt;=KMA_IDEAL_MAX,100,MAX(0,100*(KMA_CERO-BF16)/(KMA_CERO-KMA_IDEAL_MAX))))</f>
        <v/>
      </c>
      <c r="CF16" s="3">
        <f>MAX(0,MIN(100,100*(M16-ANIO_MIN)/(ANIO_ACTUAL-ANIO_MIN)))</f>
        <v/>
      </c>
      <c r="CG16" s="3">
        <f>W_KMT*CD16+W_KMA*CE16+W_EDAD*CF16</f>
        <v/>
      </c>
      <c r="CH16" s="3">
        <f>P_ITV*(V16="sí")+P_LIBRO*(W16="sí")+P_CORREA*(X16="sí")+P_PROP*(Y16=1)+P_GAR*(Z16="sí")+P_FOTOS*MIN(1,N(U16)/FOTOS_OBJ)</f>
        <v/>
      </c>
      <c r="CI16" s="3">
        <f>MAX(0,MIN(100,IFERROR(VLOOKUP(BT16,ETQ_TBL,2,0),0)-IF(BU16="sí",ETQ_PEN_DUD,IF(AS16="regla",ETQ_PEN_REGLA,0))))</f>
        <v/>
      </c>
      <c r="CJ16" s="3">
        <f>IF(K16&lt;&gt;"gasolina","",IFERROR(VLOOKUP(F16,CONS_MOD_TBL,2,0),IFERROR(VLOOKUP(L16,CONS_SEG_TBL,2,0),"")))</f>
        <v/>
      </c>
      <c r="CK16" s="3">
        <f>IF(CJ16="",NEUTRO,MAX(0,MIN(100,100*(CONS_REF_MAX-CJ16)/(CONS_REF_MAX-CONS_REF_MIN))))</f>
        <v/>
      </c>
      <c r="CL16" s="3">
        <f>IFERROR(VLOOKUP(L16,SEGURO_TBL,3,0),"")</f>
        <v/>
      </c>
      <c r="CM16" s="3">
        <f>IF(CL16="",NEUTRO,MAX(0,MIN(100,100*(SEG_REF_MAX-CL16)/(SEG_REF_MAX-SEG_REF_MIN))))</f>
        <v/>
      </c>
      <c r="CN16" s="3">
        <f>W_CONS*CK16+W_SEG*CM16</f>
        <v/>
      </c>
      <c r="CO16" s="3">
        <f>IF(N(AB16)&gt;0,AB16,IF(AND(R16="profesional",SG_LEGAL_ON=1),GAR_LEGAL,0))</f>
        <v/>
      </c>
      <c r="CP16" s="3">
        <f>SG_GAR*MIN(1,CO16/SG_GAR_FULL)+SG_AMPL*(AC16="sí")+SG_KMC*(AF16="sí")+SG_REV*(N(AE16)&gt;0)+SG_DEV*MIN(1,N(AG16)/SG_DEV_FULL)+SG_HIST*(W16="sí")</f>
        <v/>
      </c>
      <c r="CQ16" s="3">
        <f>IF(AW16="sí",ESTILO_PRIO,IFERROR(VLOOKUP(L16,ESTILO_TBL,2,0),NEUTRO))</f>
        <v/>
      </c>
      <c r="CR16" s="3">
        <f>IFERROR(VLOOKUP(L16,CARR_PEN_TBL,2,0),0)</f>
        <v/>
      </c>
      <c r="CS16" s="3">
        <f>W_FIAB*CA16+W_PRECIO*CC16+W_KMEDAD*CG16+W_ANUNCIO*CH16+W_USO*CN16+W_SEGURIDAD*CP16+W_ETIQUETA*CI16+W_ESTILO*CQ16-CR16</f>
        <v/>
      </c>
      <c r="CT16" s="4">
        <f>IF(N(I16)&gt;0,I16,IFERROR(ROUND(_xlfn.NUMBERVALUE(LEFT(G16,FIND(" ",G16&amp;" ")-1),".")*1000,0),99999))</f>
        <v/>
      </c>
      <c r="CU16" s="3">
        <f>IF(R16="profesional",0,IF(O16&lt;CUOTA_VALOR_MAX,IF(BE16&gt;ITP_TRAMO_ALTO,SUMIFS(CF_CUOTA,CF_MAS,ITP_TRAMO_ALTO,CF_CCMIN,"&lt;="&amp;CT16,CF_CCMAX,"&gt;="&amp;CT16),IF(BE16&gt;ITP_TRAMO_BAJO,SUMIFS(CF_CUOTA,CF_MAS,ITP_TRAMO_BAJO,CF_CCMIN,"&lt;="&amp;CT16,CF_CCMAX,"&gt;="&amp;CT16),O16*ITP_TIPO)),O16*ITP_TIPO))</f>
        <v/>
      </c>
      <c r="CV16" s="4">
        <f>IF(R16="profesional",N(AK16),0)</f>
        <v/>
      </c>
      <c r="CW16" s="3">
        <f>IF(AND(R16="profesional",ISNUMBER(AK16),AL16="sí"),0,TASA_DGT)</f>
        <v/>
      </c>
      <c r="CX16" s="3">
        <f>INFORME_DGT</f>
        <v/>
      </c>
      <c r="CY16" s="4">
        <f>O16+CV16+CU16+CW16+CX16</f>
        <v/>
      </c>
      <c r="CZ16" s="4">
        <f>CY16+N(CL16)</f>
        <v/>
      </c>
      <c r="DA16" s="3">
        <f>IF(CY16&lt;=TOTAL_MAX,"sí",IF(CY16&lt;=TOTAL_MAX+MARGEN_NEG,"negociar","no"))</f>
        <v/>
      </c>
      <c r="DB16" s="4">
        <f>IF(DA16&lt;&gt;"no",COUNTIFS($DA$2:$DA$130,"&lt;&gt;no",$CS$2:$CS$130,"&gt;"&amp;CS16)+COUNTIFS($DA$2:DA16,"&lt;&gt;no",$CS$2:CS16,CS16),"")</f>
        <v/>
      </c>
    </row>
    <row r="17">
      <c r="A17" s="2" t="inlineStr">
        <is>
          <t>cochesnet:71521071</t>
        </is>
      </c>
      <c r="B17" s="2" t="inlineStr">
        <is>
          <t>cochesnet</t>
        </is>
      </c>
      <c r="C17" s="2" t="inlineStr">
        <is>
          <t>https://www.coches.net/peugeot-208-5p-active-14-hdi-68-5p-diesel-2014-en-valencia-71521071-covo.aspx</t>
        </is>
      </c>
      <c r="D17" s="2" t="inlineStr">
        <is>
          <t>PEUGEOT 208 ACTIVE 1.4 HDi 68</t>
        </is>
      </c>
      <c r="E17" s="2" t="inlineStr">
        <is>
          <t>Peugeot</t>
        </is>
      </c>
      <c r="F17" s="2" t="inlineStr">
        <is>
          <t>Peugeot 208</t>
        </is>
      </c>
      <c r="G17" s="2" t="inlineStr">
        <is>
          <t>1.4 HDi</t>
        </is>
      </c>
      <c r="H17" s="2" t="inlineStr">
        <is>
          <t>5P ACTIVE 1.4 HDi 68</t>
        </is>
      </c>
      <c r="I17" s="2" t="n"/>
      <c r="J17" s="2" t="n"/>
      <c r="K17" s="2" t="inlineStr">
        <is>
          <t>diesel</t>
        </is>
      </c>
      <c r="L17" s="2" t="inlineStr">
        <is>
          <t>utilitario</t>
        </is>
      </c>
      <c r="M17" s="2" t="n">
        <v>2014</v>
      </c>
      <c r="N17" s="2" t="n">
        <v>220000</v>
      </c>
      <c r="O17" s="2" t="n">
        <v>4599</v>
      </c>
      <c r="P17" s="2" t="inlineStr">
        <is>
          <t>manual</t>
        </is>
      </c>
      <c r="Q17" s="2" t="inlineStr">
        <is>
          <t>no</t>
        </is>
      </c>
      <c r="R17" s="2" t="inlineStr">
        <is>
          <t>profesional</t>
        </is>
      </c>
      <c r="S17" s="2" t="inlineStr">
        <is>
          <t>Cars Premium Albal Albal</t>
        </is>
      </c>
      <c r="T17" s="2" t="inlineStr">
        <is>
          <t>2026-09-15T18:35:51Z</t>
        </is>
      </c>
      <c r="U17" s="2" t="n">
        <v>12</v>
      </c>
      <c r="V17" s="2" t="n"/>
      <c r="W17" s="2" t="n"/>
      <c r="X17" s="2" t="n"/>
      <c r="Y17" s="2" t="n"/>
      <c r="Z17" s="2" t="inlineStr">
        <is>
          <t>sí</t>
        </is>
      </c>
      <c r="AA17" s="2" t="n"/>
      <c r="AB17" s="2" t="n">
        <v>12</v>
      </c>
      <c r="AC17" s="2" t="n"/>
      <c r="AD17" s="2" t="n"/>
      <c r="AE17" s="2" t="n"/>
      <c r="AF17" s="2" t="n"/>
      <c r="AG17" s="2" t="n"/>
      <c r="AH17" s="2" t="n">
        <v>4599</v>
      </c>
      <c r="AI17" s="2" t="n">
        <v>4599</v>
      </c>
      <c r="AJ17" s="2" t="n"/>
      <c r="AK17" s="2" t="n"/>
      <c r="AL17" s="2" t="n"/>
      <c r="AM17" s="2" t="n">
        <v>8.699999999999999</v>
      </c>
      <c r="AN17" s="2" t="n"/>
      <c r="AO17" s="2" t="inlineStr">
        <is>
          <t>2014</t>
        </is>
      </c>
      <c r="AP17" s="2" t="n">
        <v>2014</v>
      </c>
      <c r="AQ17" s="2" t="n"/>
      <c r="AR17" s="2" t="inlineStr">
        <is>
          <t>B</t>
        </is>
      </c>
      <c r="AS17" s="2" t="inlineStr">
        <is>
          <t>anuncio</t>
        </is>
      </c>
      <c r="AT17" s="2" t="n"/>
      <c r="AU17" s="2" t="inlineStr">
        <is>
          <t>no</t>
        </is>
      </c>
      <c r="AV17" s="2" t="inlineStr">
        <is>
          <t>no</t>
        </is>
      </c>
      <c r="AW17" s="2" t="inlineStr">
        <is>
          <t>no</t>
        </is>
      </c>
      <c r="AX17" s="2" t="n">
        <v>6200</v>
      </c>
      <c r="AY17" s="2" t="n">
        <v>39</v>
      </c>
      <c r="AZ17" s="2" t="inlineStr">
        <is>
          <t>modelo+año</t>
        </is>
      </c>
      <c r="BA17" s="2" t="n"/>
      <c r="BB17" s="2" t="inlineStr">
        <is>
          <t>vendedor profesional: sin ITP (operación con IVA/REBU, confirmar en factura); gastos de gestión del vendedor no indicados: se suma la tasa DGT; preguntar el precio final; diésel: motor sin fuente de fiabilidad (fiabilidad limitada a neutra)</t>
        </is>
      </c>
      <c r="BC17" s="2" t="inlineStr">
        <is>
          <t>MARCA: Peugeot
MODELO: 208
AÑO: 2014
KM: 220.000
MOTOR: 1.4Hdi 68cv
PEGATINA MEDIO AMBIENTAL: Tipo B
GARANTIA: 12 Meses
ITV: Se entrega en vigor
TIPS: Vehiculo utilitario con un motor fiable y de consumos ridiculos entorno a los 4.5l/100km
EQUIPAMIENTO: Aire acondicionado, RCD, elevalunas electricas, cierre centralizado con llave, airbag etc.
UBICACION: Av padre Carlos Ferris 87, ALBAL, VALENCIA
Para mas info contacten</t>
        </is>
      </c>
      <c r="BD17" s="2" t="inlineStr">
        <is>
          <t>https://www.coches.net/peugeot-208-5p-active-14-hdi-68-5p-diesel-2014-en-valencia-71521071-covo.aspx (window.__INITIAL_PROPS__.ad) /home/user/Alopecia/buscador-coches/raw/cochesnet/56c97e1381d73b00.json</t>
        </is>
      </c>
      <c r="BE17" s="3">
        <f>MAX(ANIO_ACTUAL-M17,0)</f>
        <v/>
      </c>
      <c r="BF17" s="4">
        <f>N17/MAX(BE17,0.5)</f>
        <v/>
      </c>
      <c r="BG17" s="4">
        <f>F17</f>
        <v/>
      </c>
      <c r="BH17" s="3">
        <f>BG17&amp;"|"&amp;INT(M17/SEG_ANIO)*SEG_ANIO</f>
        <v/>
      </c>
      <c r="BI17" s="3">
        <f>BH17&amp;"|"&amp;INT(N17/SEG_KM)*SEG_KM</f>
        <v/>
      </c>
      <c r="BJ17" s="4">
        <f>COUNTIF($BG$2:$BG$130,BG17)</f>
        <v/>
      </c>
      <c r="BK17" s="4">
        <f>COUNTIF($BH$2:$BH$130,BH17)</f>
        <v/>
      </c>
      <c r="BL17" s="4">
        <f>COUNTIF($BI$2:$BI$130,BI17)</f>
        <v/>
      </c>
      <c r="BM17" s="3">
        <f t="array" ref="BM17">IF(N(AY17)&gt;=MIN_N,AX17,IF(BL17&gt;=MIN_N,MEDIAN(IF($BI$2:$BI$130=BI17,$O$2:$O$130)),IF(BK17&gt;=MIN_N,MEDIAN(IF($BH$2:$BH$130=BH17,$O$2:$O$130)),MEDIAN(IF($BG$2:$BG$130=BG17,$O$2:$O$130)))))</f>
        <v/>
      </c>
      <c r="BN17" s="3">
        <f>IF(N(AY17)&gt;=MIN_N,"mercado "&amp;AZ17,IF(BL17&gt;=MIN_N,"modelo+año+km",IF(BK17&gt;=MIN_N,"modelo+año","modelo")))</f>
        <v/>
      </c>
      <c r="BO17" s="4">
        <f>(BM17-O17)/BM17</f>
        <v/>
      </c>
      <c r="BP17" s="3">
        <f>IF(COUNTIFS(FR_FUEL,K17,FR_YEAR,AP17)&gt;0,1,0)</f>
        <v/>
      </c>
      <c r="BQ17" s="3">
        <f>IF(COUNTIFS(FR_FUEL,K17,FR_YEAR,AP17-1)&gt;0,1,0)</f>
        <v/>
      </c>
      <c r="BR17" s="4">
        <f>IF(N(AQ17)&gt;0,AP17*100+AQ17,IF(AND(BP17=1,BQ17=1),(AP17-1)*100+1,AP17*100+1))</f>
        <v/>
      </c>
      <c r="BS17" s="3">
        <f>IF(OR(K17="hibrido",K17="glp",K17="gnc",K17="phev"),"ECO",IF(K17="electrico","CERO",IF(K17="gasolina",IF(BR17&gt;=GAS_C_YM,"C",IF(BR17&gt;=GAS_B_YM,"B","A")),IF(K17="diesel",IF(BR17&gt;=DIE_C_YM,"C",IF(BR17&gt;=DIE_B_YM,"B","A")),""))))</f>
        <v/>
      </c>
      <c r="BT17" s="2" t="inlineStr">
        <is>
          <t>B</t>
        </is>
      </c>
      <c r="BU17" s="4">
        <f>IF(AU17="sí","sí",IF(AS17="regla",IF(AND(N(AQ17)=0,BP17=1),"sí","no"),"no"))</f>
        <v/>
      </c>
      <c r="BV17" s="3">
        <f>IFERROR(VLOOKUP(F17,MOD_TBL,16,0),IFERROR(VLOOKUP(E17,OCU_TBL,2,0),NEUTRO))</f>
        <v/>
      </c>
      <c r="BW17" s="3">
        <f>SUMIFS(MOT_AJUSTE,MOT_MOTOR,G17,MOT_MARCA,E17,MOT_DESDE,"&lt;="&amp;M17,MOT_HASTA,"&gt;="&amp;M17)+SUMIFS(MOT_AJUSTE,MOT_MOTOR,G17,MOT_MARCA,"(todas)",MOT_DESDE,"&lt;="&amp;M17,MOT_HASTA,"&gt;="&amp;M17)+SUMIFS(MOT_AJUSTE,MOT_MOTOR,"(cualquiera)",MOT_MARCA,E17,MOT_DESDE,"&lt;="&amp;M17,MOT_HASTA,"&gt;="&amp;M17)</f>
        <v/>
      </c>
      <c r="BX17" s="3">
        <f>SUMIFS(COMB_AJUSTE,COMB_COMB,K17)</f>
        <v/>
      </c>
      <c r="BY17" s="3">
        <f>COUNTIFS(MOT_MOTOR,G17,MOT_MARCA,E17,MOT_DESDE,"&lt;="&amp;M17,MOT_HASTA,"&gt;="&amp;M17)+COUNTIFS(MOT_MOTOR,G17,MOT_MARCA,"(todas)",MOT_DESDE,"&lt;="&amp;M17,MOT_HASTA,"&gt;="&amp;M17)+COUNTIFS(MOT_MOTOR,"(cualquiera)",MOT_MARCA,E17,MOT_DESDE,"&lt;="&amp;M17,MOT_HASTA,"&gt;="&amp;M17)</f>
        <v/>
      </c>
      <c r="BZ17" s="3">
        <f>IF(AND(K17="diesel",BY17=0),MIN(BV17,NEUTRO),BV17)</f>
        <v/>
      </c>
      <c r="CA17" s="3">
        <f>MAX(0,MIN(100,BZ17+BW17+BX17-IF(AV17="sí",ROB_PEN,0)))</f>
        <v/>
      </c>
      <c r="CB17" s="3">
        <f>100-MAX(0,N17-KM_TOPE_DESDE)/1000*KM_TOPE_PTS</f>
        <v/>
      </c>
      <c r="CC17" s="3">
        <f>MAX(0,MIN(100,50+BO17*PRECIO_PEND,CB17))</f>
        <v/>
      </c>
      <c r="CD17" s="3">
        <f>MAX(0,100*(1-N17/KM_MAX))</f>
        <v/>
      </c>
      <c r="CE17" s="3">
        <f>IF(BF17&lt;KMA_SOSP,IF(AA17="sí",100,KMA_PEN),IF(BF17&lt;=KMA_IDEAL_MAX,100,MAX(0,100*(KMA_CERO-BF17)/(KMA_CERO-KMA_IDEAL_MAX))))</f>
        <v/>
      </c>
      <c r="CF17" s="3">
        <f>MAX(0,MIN(100,100*(M17-ANIO_MIN)/(ANIO_ACTUAL-ANIO_MIN)))</f>
        <v/>
      </c>
      <c r="CG17" s="3">
        <f>W_KMT*CD17+W_KMA*CE17+W_EDAD*CF17</f>
        <v/>
      </c>
      <c r="CH17" s="3">
        <f>P_ITV*(V17="sí")+P_LIBRO*(W17="sí")+P_CORREA*(X17="sí")+P_PROP*(Y17=1)+P_GAR*(Z17="sí")+P_FOTOS*MIN(1,N(U17)/FOTOS_OBJ)</f>
        <v/>
      </c>
      <c r="CI17" s="3">
        <f>MAX(0,MIN(100,IFERROR(VLOOKUP(BT17,ETQ_TBL,2,0),0)-IF(BU17="sí",ETQ_PEN_DUD,IF(AS17="regla",ETQ_PEN_REGLA,0))))</f>
        <v/>
      </c>
      <c r="CJ17" s="3">
        <f>IF(K17&lt;&gt;"gasolina","",IFERROR(VLOOKUP(F17,CONS_MOD_TBL,2,0),IFERROR(VLOOKUP(L17,CONS_SEG_TBL,2,0),"")))</f>
        <v/>
      </c>
      <c r="CK17" s="3">
        <f>IF(CJ17="",NEUTRO,MAX(0,MIN(100,100*(CONS_REF_MAX-CJ17)/(CONS_REF_MAX-CONS_REF_MIN))))</f>
        <v/>
      </c>
      <c r="CL17" s="3">
        <f>IFERROR(VLOOKUP(L17,SEGURO_TBL,3,0),"")</f>
        <v/>
      </c>
      <c r="CM17" s="3">
        <f>IF(CL17="",NEUTRO,MAX(0,MIN(100,100*(SEG_REF_MAX-CL17)/(SEG_REF_MAX-SEG_REF_MIN))))</f>
        <v/>
      </c>
      <c r="CN17" s="3">
        <f>W_CONS*CK17+W_SEG*CM17</f>
        <v/>
      </c>
      <c r="CO17" s="3">
        <f>IF(N(AB17)&gt;0,AB17,IF(AND(R17="profesional",SG_LEGAL_ON=1),GAR_LEGAL,0))</f>
        <v/>
      </c>
      <c r="CP17" s="3">
        <f>SG_GAR*MIN(1,CO17/SG_GAR_FULL)+SG_AMPL*(AC17="sí")+SG_KMC*(AF17="sí")+SG_REV*(N(AE17)&gt;0)+SG_DEV*MIN(1,N(AG17)/SG_DEV_FULL)+SG_HIST*(W17="sí")</f>
        <v/>
      </c>
      <c r="CQ17" s="3">
        <f>IF(AW17="sí",ESTILO_PRIO,IFERROR(VLOOKUP(L17,ESTILO_TBL,2,0),NEUTRO))</f>
        <v/>
      </c>
      <c r="CR17" s="3">
        <f>IFERROR(VLOOKUP(L17,CARR_PEN_TBL,2,0),0)</f>
        <v/>
      </c>
      <c r="CS17" s="3">
        <f>W_FIAB*CA17+W_PRECIO*CC17+W_KMEDAD*CG17+W_ANUNCIO*CH17+W_USO*CN17+W_SEGURIDAD*CP17+W_ETIQUETA*CI17+W_ESTILO*CQ17-CR17</f>
        <v/>
      </c>
      <c r="CT17" s="4">
        <f>IF(N(I17)&gt;0,I17,IFERROR(ROUND(_xlfn.NUMBERVALUE(LEFT(G17,FIND(" ",G17&amp;" ")-1),".")*1000,0),99999))</f>
        <v/>
      </c>
      <c r="CU17" s="3">
        <f>IF(R17="profesional",0,IF(O17&lt;CUOTA_VALOR_MAX,IF(BE17&gt;ITP_TRAMO_ALTO,SUMIFS(CF_CUOTA,CF_MAS,ITP_TRAMO_ALTO,CF_CCMIN,"&lt;="&amp;CT17,CF_CCMAX,"&gt;="&amp;CT17),IF(BE17&gt;ITP_TRAMO_BAJO,SUMIFS(CF_CUOTA,CF_MAS,ITP_TRAMO_BAJO,CF_CCMIN,"&lt;="&amp;CT17,CF_CCMAX,"&gt;="&amp;CT17),O17*ITP_TIPO)),O17*ITP_TIPO))</f>
        <v/>
      </c>
      <c r="CV17" s="4">
        <f>IF(R17="profesional",N(AK17),0)</f>
        <v/>
      </c>
      <c r="CW17" s="3">
        <f>IF(AND(R17="profesional",ISNUMBER(AK17),AL17="sí"),0,TASA_DGT)</f>
        <v/>
      </c>
      <c r="CX17" s="3">
        <f>INFORME_DGT</f>
        <v/>
      </c>
      <c r="CY17" s="4">
        <f>O17+CV17+CU17+CW17+CX17</f>
        <v/>
      </c>
      <c r="CZ17" s="4">
        <f>CY17+N(CL17)</f>
        <v/>
      </c>
      <c r="DA17" s="3">
        <f>IF(CY17&lt;=TOTAL_MAX,"sí",IF(CY17&lt;=TOTAL_MAX+MARGEN_NEG,"negociar","no"))</f>
        <v/>
      </c>
      <c r="DB17" s="4">
        <f>IF(DA17&lt;&gt;"no",COUNTIFS($DA$2:$DA$130,"&lt;&gt;no",$CS$2:$CS$130,"&gt;"&amp;CS17)+COUNTIFS($DA$2:DA17,"&lt;&gt;no",$CS$2:CS17,CS17),"")</f>
        <v/>
      </c>
    </row>
    <row r="18">
      <c r="A18" s="2" t="inlineStr">
        <is>
          <t>cochesnet:71569576</t>
        </is>
      </c>
      <c r="B18" s="2" t="inlineStr">
        <is>
          <t>cochesnet</t>
        </is>
      </c>
      <c r="C18" s="2" t="inlineStr">
        <is>
          <t>https://www.coches.net/ford-ka-12-trend-3p-gasolina-2010-en-valencia-71569576-covo.aspx</t>
        </is>
      </c>
      <c r="D18" s="2" t="inlineStr">
        <is>
          <t>FORD Ka 1.2 Trend</t>
        </is>
      </c>
      <c r="E18" s="2" t="inlineStr">
        <is>
          <t>Ford</t>
        </is>
      </c>
      <c r="F18" s="2" t="inlineStr">
        <is>
          <t>Ford Ka</t>
        </is>
      </c>
      <c r="G18" s="2" t="inlineStr">
        <is>
          <t>1.2</t>
        </is>
      </c>
      <c r="H18" s="2" t="inlineStr">
        <is>
          <t>1.2 Trend</t>
        </is>
      </c>
      <c r="I18" s="2" t="n"/>
      <c r="J18" s="2" t="n"/>
      <c r="K18" s="2" t="inlineStr">
        <is>
          <t>gasolina</t>
        </is>
      </c>
      <c r="L18" s="2" t="inlineStr">
        <is>
          <t>utilitario</t>
        </is>
      </c>
      <c r="M18" s="2" t="n">
        <v>2010</v>
      </c>
      <c r="N18" s="2" t="n">
        <v>157000</v>
      </c>
      <c r="O18" s="2" t="n">
        <v>3500</v>
      </c>
      <c r="P18" s="2" t="inlineStr">
        <is>
          <t>manual</t>
        </is>
      </c>
      <c r="Q18" s="2" t="inlineStr">
        <is>
          <t>no</t>
        </is>
      </c>
      <c r="R18" s="2" t="inlineStr">
        <is>
          <t>profesional</t>
        </is>
      </c>
      <c r="S18" s="2" t="inlineStr">
        <is>
          <t>Beniparrell</t>
        </is>
      </c>
      <c r="T18" s="2" t="inlineStr">
        <is>
          <t>2026-09-22T12:09:29Z</t>
        </is>
      </c>
      <c r="U18" s="2" t="n">
        <v>13</v>
      </c>
      <c r="V18" s="2" t="n"/>
      <c r="W18" s="2" t="n"/>
      <c r="X18" s="2" t="n"/>
      <c r="Y18" s="2" t="n"/>
      <c r="Z18" s="2" t="inlineStr">
        <is>
          <t>sí</t>
        </is>
      </c>
      <c r="AA18" s="2" t="n"/>
      <c r="AB18" s="2" t="n">
        <v>12</v>
      </c>
      <c r="AC18" s="2" t="n"/>
      <c r="AD18" s="2" t="n"/>
      <c r="AE18" s="2" t="n"/>
      <c r="AF18" s="2" t="n"/>
      <c r="AG18" s="2" t="n"/>
      <c r="AH18" s="2" t="n">
        <v>3500</v>
      </c>
      <c r="AI18" s="2" t="n"/>
      <c r="AJ18" s="2" t="n"/>
      <c r="AK18" s="2" t="n"/>
      <c r="AL18" s="2" t="n"/>
      <c r="AM18" s="2" t="n">
        <v>10.2</v>
      </c>
      <c r="AN18" s="2" t="n"/>
      <c r="AO18" s="2" t="inlineStr">
        <is>
          <t>2010</t>
        </is>
      </c>
      <c r="AP18" s="2" t="n">
        <v>2010</v>
      </c>
      <c r="AQ18" s="2" t="n"/>
      <c r="AR18" s="2" t="inlineStr">
        <is>
          <t>C</t>
        </is>
      </c>
      <c r="AS18" s="2" t="inlineStr">
        <is>
          <t>anuncio</t>
        </is>
      </c>
      <c r="AT18" s="2" t="n"/>
      <c r="AU18" s="2" t="inlineStr">
        <is>
          <t>no</t>
        </is>
      </c>
      <c r="AV18" s="2" t="inlineStr">
        <is>
          <t>no</t>
        </is>
      </c>
      <c r="AW18" s="2" t="inlineStr">
        <is>
          <t>no</t>
        </is>
      </c>
      <c r="AX18" s="2" t="n">
        <v>3000</v>
      </c>
      <c r="AY18" s="2" t="n">
        <v>9</v>
      </c>
      <c r="AZ18" s="2" t="inlineStr">
        <is>
          <t>modelo+año</t>
        </is>
      </c>
      <c r="BA18" s="2" t="n"/>
      <c r="BB18" s="2" t="inlineStr">
        <is>
          <t>vendedor profesional: sin ITP (operación con IVA/REBU, confirmar en factura); gastos de gestión del vendedor no indicados: se suma la tasa DGT; preguntar el precio final; revisar: no menciona la ITV; fiabilidad del modelo PENDIENTE de fuente (puntuación neutra)</t>
        </is>
      </c>
      <c r="BC18" s="2" t="inlineStr">
        <is>
          <t>Este Ford Ka Trend+ destaca por su equipamiento práctico orientado al día a día: control de crucero, ordenador de viaje con información de consumo e autonomía, y elevalunas eléctricos delanteros con función de un solo toque. Dispone de dirección asistida, cierre centralizado con mando a distancia de doble cierre, retrovisores exteriores eléctricos y desempañables, además de cristales tintados que mejoran la privacidad. El interior combina asientos ajustables en altura con compartimentos de almacenamiento bajo el asiento del acompañante. Su etiqueta medioambiental C facilita el acceso a zonas de tráfico restringido. Transmisión manual con cambio de marchas directo.</t>
        </is>
      </c>
      <c r="BD18" s="2" t="inlineStr">
        <is>
          <t>https://www.coches.net/ford-ka-12-trend-3p-gasolina-2010-en-valencia-71569576-covo.aspx (window.__INITIAL_PROPS__.ad) /home/user/Alopecia/buscador-coches/raw/cochesnet/f615001a1b31829d.json</t>
        </is>
      </c>
      <c r="BE18" s="3">
        <f>MAX(ANIO_ACTUAL-M18,0)</f>
        <v/>
      </c>
      <c r="BF18" s="4">
        <f>N18/MAX(BE18,0.5)</f>
        <v/>
      </c>
      <c r="BG18" s="4">
        <f>F18</f>
        <v/>
      </c>
      <c r="BH18" s="3">
        <f>BG18&amp;"|"&amp;INT(M18/SEG_ANIO)*SEG_ANIO</f>
        <v/>
      </c>
      <c r="BI18" s="3">
        <f>BH18&amp;"|"&amp;INT(N18/SEG_KM)*SEG_KM</f>
        <v/>
      </c>
      <c r="BJ18" s="4">
        <f>COUNTIF($BG$2:$BG$130,BG18)</f>
        <v/>
      </c>
      <c r="BK18" s="4">
        <f>COUNTIF($BH$2:$BH$130,BH18)</f>
        <v/>
      </c>
      <c r="BL18" s="4">
        <f>COUNTIF($BI$2:$BI$130,BI18)</f>
        <v/>
      </c>
      <c r="BM18" s="3">
        <f t="array" ref="BM18">IF(N(AY18)&gt;=MIN_N,AX18,IF(BL18&gt;=MIN_N,MEDIAN(IF($BI$2:$BI$130=BI18,$O$2:$O$130)),IF(BK18&gt;=MIN_N,MEDIAN(IF($BH$2:$BH$130=BH18,$O$2:$O$130)),MEDIAN(IF($BG$2:$BG$130=BG18,$O$2:$O$130)))))</f>
        <v/>
      </c>
      <c r="BN18" s="3">
        <f>IF(N(AY18)&gt;=MIN_N,"mercado "&amp;AZ18,IF(BL18&gt;=MIN_N,"modelo+año+km",IF(BK18&gt;=MIN_N,"modelo+año","modelo")))</f>
        <v/>
      </c>
      <c r="BO18" s="4">
        <f>(BM18-O18)/BM18</f>
        <v/>
      </c>
      <c r="BP18" s="3">
        <f>IF(COUNTIFS(FR_FUEL,K18,FR_YEAR,AP18)&gt;0,1,0)</f>
        <v/>
      </c>
      <c r="BQ18" s="3">
        <f>IF(COUNTIFS(FR_FUEL,K18,FR_YEAR,AP18-1)&gt;0,1,0)</f>
        <v/>
      </c>
      <c r="BR18" s="4">
        <f>IF(N(AQ18)&gt;0,AP18*100+AQ18,IF(AND(BP18=1,BQ18=1),(AP18-1)*100+1,AP18*100+1))</f>
        <v/>
      </c>
      <c r="BS18" s="3">
        <f>IF(OR(K18="hibrido",K18="glp",K18="gnc",K18="phev"),"ECO",IF(K18="electrico","CERO",IF(K18="gasolina",IF(BR18&gt;=GAS_C_YM,"C",IF(BR18&gt;=GAS_B_YM,"B","A")),IF(K18="diesel",IF(BR18&gt;=DIE_C_YM,"C",IF(BR18&gt;=DIE_B_YM,"B","A")),""))))</f>
        <v/>
      </c>
      <c r="BT18" s="2" t="inlineStr">
        <is>
          <t>C</t>
        </is>
      </c>
      <c r="BU18" s="4">
        <f>IF(AU18="sí","sí",IF(AS18="regla",IF(AND(N(AQ18)=0,BP18=1),"sí","no"),"no"))</f>
        <v/>
      </c>
      <c r="BV18" s="3">
        <f>IFERROR(VLOOKUP(F18,MOD_TBL,16,0),IFERROR(VLOOKUP(E18,OCU_TBL,2,0),NEUTRO))</f>
        <v/>
      </c>
      <c r="BW18" s="3">
        <f>SUMIFS(MOT_AJUSTE,MOT_MOTOR,G18,MOT_MARCA,E18,MOT_DESDE,"&lt;="&amp;M18,MOT_HASTA,"&gt;="&amp;M18)+SUMIFS(MOT_AJUSTE,MOT_MOTOR,G18,MOT_MARCA,"(todas)",MOT_DESDE,"&lt;="&amp;M18,MOT_HASTA,"&gt;="&amp;M18)+SUMIFS(MOT_AJUSTE,MOT_MOTOR,"(cualquiera)",MOT_MARCA,E18,MOT_DESDE,"&lt;="&amp;M18,MOT_HASTA,"&gt;="&amp;M18)</f>
        <v/>
      </c>
      <c r="BX18" s="3">
        <f>SUMIFS(COMB_AJUSTE,COMB_COMB,K18)</f>
        <v/>
      </c>
      <c r="BY18" s="3">
        <f>COUNTIFS(MOT_MOTOR,G18,MOT_MARCA,E18,MOT_DESDE,"&lt;="&amp;M18,MOT_HASTA,"&gt;="&amp;M18)+COUNTIFS(MOT_MOTOR,G18,MOT_MARCA,"(todas)",MOT_DESDE,"&lt;="&amp;M18,MOT_HASTA,"&gt;="&amp;M18)+COUNTIFS(MOT_MOTOR,"(cualquiera)",MOT_MARCA,E18,MOT_DESDE,"&lt;="&amp;M18,MOT_HASTA,"&gt;="&amp;M18)</f>
        <v/>
      </c>
      <c r="BZ18" s="3">
        <f>IF(AND(K18="diesel",BY18=0),MIN(BV18,NEUTRO),BV18)</f>
        <v/>
      </c>
      <c r="CA18" s="3">
        <f>MAX(0,MIN(100,BZ18+BW18+BX18-IF(AV18="sí",ROB_PEN,0)))</f>
        <v/>
      </c>
      <c r="CB18" s="3">
        <f>100-MAX(0,N18-KM_TOPE_DESDE)/1000*KM_TOPE_PTS</f>
        <v/>
      </c>
      <c r="CC18" s="3">
        <f>MAX(0,MIN(100,50+BO18*PRECIO_PEND,CB18))</f>
        <v/>
      </c>
      <c r="CD18" s="3">
        <f>MAX(0,100*(1-N18/KM_MAX))</f>
        <v/>
      </c>
      <c r="CE18" s="3">
        <f>IF(BF18&lt;KMA_SOSP,IF(AA18="sí",100,KMA_PEN),IF(BF18&lt;=KMA_IDEAL_MAX,100,MAX(0,100*(KMA_CERO-BF18)/(KMA_CERO-KMA_IDEAL_MAX))))</f>
        <v/>
      </c>
      <c r="CF18" s="3">
        <f>MAX(0,MIN(100,100*(M18-ANIO_MIN)/(ANIO_ACTUAL-ANIO_MIN)))</f>
        <v/>
      </c>
      <c r="CG18" s="3">
        <f>W_KMT*CD18+W_KMA*CE18+W_EDAD*CF18</f>
        <v/>
      </c>
      <c r="CH18" s="3">
        <f>P_ITV*(V18="sí")+P_LIBRO*(W18="sí")+P_CORREA*(X18="sí")+P_PROP*(Y18=1)+P_GAR*(Z18="sí")+P_FOTOS*MIN(1,N(U18)/FOTOS_OBJ)</f>
        <v/>
      </c>
      <c r="CI18" s="3">
        <f>MAX(0,MIN(100,IFERROR(VLOOKUP(BT18,ETQ_TBL,2,0),0)-IF(BU18="sí",ETQ_PEN_DUD,IF(AS18="regla",ETQ_PEN_REGLA,0))))</f>
        <v/>
      </c>
      <c r="CJ18" s="3">
        <f>IF(K18&lt;&gt;"gasolina","",IFERROR(VLOOKUP(F18,CONS_MOD_TBL,2,0),IFERROR(VLOOKUP(L18,CONS_SEG_TBL,2,0),"")))</f>
        <v/>
      </c>
      <c r="CK18" s="3">
        <f>IF(CJ18="",NEUTRO,MAX(0,MIN(100,100*(CONS_REF_MAX-CJ18)/(CONS_REF_MAX-CONS_REF_MIN))))</f>
        <v/>
      </c>
      <c r="CL18" s="3">
        <f>IFERROR(VLOOKUP(L18,SEGURO_TBL,3,0),"")</f>
        <v/>
      </c>
      <c r="CM18" s="3">
        <f>IF(CL18="",NEUTRO,MAX(0,MIN(100,100*(SEG_REF_MAX-CL18)/(SEG_REF_MAX-SEG_REF_MIN))))</f>
        <v/>
      </c>
      <c r="CN18" s="3">
        <f>W_CONS*CK18+W_SEG*CM18</f>
        <v/>
      </c>
      <c r="CO18" s="3">
        <f>IF(N(AB18)&gt;0,AB18,IF(AND(R18="profesional",SG_LEGAL_ON=1),GAR_LEGAL,0))</f>
        <v/>
      </c>
      <c r="CP18" s="3">
        <f>SG_GAR*MIN(1,CO18/SG_GAR_FULL)+SG_AMPL*(AC18="sí")+SG_KMC*(AF18="sí")+SG_REV*(N(AE18)&gt;0)+SG_DEV*MIN(1,N(AG18)/SG_DEV_FULL)+SG_HIST*(W18="sí")</f>
        <v/>
      </c>
      <c r="CQ18" s="3">
        <f>IF(AW18="sí",ESTILO_PRIO,IFERROR(VLOOKUP(L18,ESTILO_TBL,2,0),NEUTRO))</f>
        <v/>
      </c>
      <c r="CR18" s="3">
        <f>IFERROR(VLOOKUP(L18,CARR_PEN_TBL,2,0),0)</f>
        <v/>
      </c>
      <c r="CS18" s="3">
        <f>W_FIAB*CA18+W_PRECIO*CC18+W_KMEDAD*CG18+W_ANUNCIO*CH18+W_USO*CN18+W_SEGURIDAD*CP18+W_ETIQUETA*CI18+W_ESTILO*CQ18-CR18</f>
        <v/>
      </c>
      <c r="CT18" s="4">
        <f>IF(N(I18)&gt;0,I18,IFERROR(ROUND(_xlfn.NUMBERVALUE(LEFT(G18,FIND(" ",G18&amp;" ")-1),".")*1000,0),99999))</f>
        <v/>
      </c>
      <c r="CU18" s="3">
        <f>IF(R18="profesional",0,IF(O18&lt;CUOTA_VALOR_MAX,IF(BE18&gt;ITP_TRAMO_ALTO,SUMIFS(CF_CUOTA,CF_MAS,ITP_TRAMO_ALTO,CF_CCMIN,"&lt;="&amp;CT18,CF_CCMAX,"&gt;="&amp;CT18),IF(BE18&gt;ITP_TRAMO_BAJO,SUMIFS(CF_CUOTA,CF_MAS,ITP_TRAMO_BAJO,CF_CCMIN,"&lt;="&amp;CT18,CF_CCMAX,"&gt;="&amp;CT18),O18*ITP_TIPO)),O18*ITP_TIPO))</f>
        <v/>
      </c>
      <c r="CV18" s="4">
        <f>IF(R18="profesional",N(AK18),0)</f>
        <v/>
      </c>
      <c r="CW18" s="3">
        <f>IF(AND(R18="profesional",ISNUMBER(AK18),AL18="sí"),0,TASA_DGT)</f>
        <v/>
      </c>
      <c r="CX18" s="3">
        <f>INFORME_DGT</f>
        <v/>
      </c>
      <c r="CY18" s="4">
        <f>O18+CV18+CU18+CW18+CX18</f>
        <v/>
      </c>
      <c r="CZ18" s="4">
        <f>CY18+N(CL18)</f>
        <v/>
      </c>
      <c r="DA18" s="3">
        <f>IF(CY18&lt;=TOTAL_MAX,"sí",IF(CY18&lt;=TOTAL_MAX+MARGEN_NEG,"negociar","no"))</f>
        <v/>
      </c>
      <c r="DB18" s="4">
        <f>IF(DA18&lt;&gt;"no",COUNTIFS($DA$2:$DA$130,"&lt;&gt;no",$CS$2:$CS$130,"&gt;"&amp;CS18)+COUNTIFS($DA$2:DA18,"&lt;&gt;no",$CS$2:CS18,CS18),"")</f>
        <v/>
      </c>
    </row>
    <row r="19">
      <c r="A19" s="2" t="inlineStr">
        <is>
          <t>cochesnet:70592187</t>
        </is>
      </c>
      <c r="B19" s="2" t="inlineStr">
        <is>
          <t>cochesnet</t>
        </is>
      </c>
      <c r="C19" s="2" t="inlineStr">
        <is>
          <t>https://www.coches.net/ford-fiesta-14-tdci-trend-5p-diesel-2011-en-valencia-70592187-covo.aspx</t>
        </is>
      </c>
      <c r="D19" s="2" t="inlineStr">
        <is>
          <t>FORD Fiesta 1.4 TDCi Trend</t>
        </is>
      </c>
      <c r="E19" s="2" t="inlineStr">
        <is>
          <t>Ford</t>
        </is>
      </c>
      <c r="F19" s="2" t="inlineStr">
        <is>
          <t>Ford Fiesta</t>
        </is>
      </c>
      <c r="G19" s="2" t="inlineStr">
        <is>
          <t>1.4 TDCi</t>
        </is>
      </c>
      <c r="H19" s="2" t="inlineStr">
        <is>
          <t>1.4 TDCi Trend</t>
        </is>
      </c>
      <c r="I19" s="2" t="n"/>
      <c r="J19" s="2" t="n"/>
      <c r="K19" s="2" t="inlineStr">
        <is>
          <t>diesel</t>
        </is>
      </c>
      <c r="L19" s="2" t="inlineStr">
        <is>
          <t>utilitario</t>
        </is>
      </c>
      <c r="M19" s="2" t="n">
        <v>2011</v>
      </c>
      <c r="N19" s="2" t="n">
        <v>199000</v>
      </c>
      <c r="O19" s="2" t="n">
        <v>4490</v>
      </c>
      <c r="P19" s="2" t="inlineStr">
        <is>
          <t>manual</t>
        </is>
      </c>
      <c r="Q19" s="2" t="inlineStr">
        <is>
          <t>no</t>
        </is>
      </c>
      <c r="R19" s="2" t="inlineStr">
        <is>
          <t>profesional</t>
        </is>
      </c>
      <c r="S19" s="2" t="inlineStr">
        <is>
          <t>V.O. Eliana San Antonio de Benagéber</t>
        </is>
      </c>
      <c r="T19" s="2" t="inlineStr">
        <is>
          <t>2026-08-05T20:05:58Z</t>
        </is>
      </c>
      <c r="U19" s="2" t="n">
        <v>18</v>
      </c>
      <c r="V19" s="2" t="n"/>
      <c r="W19" s="2" t="n"/>
      <c r="X19" s="2" t="n"/>
      <c r="Y19" s="2" t="n"/>
      <c r="Z19" s="2" t="inlineStr">
        <is>
          <t>sí</t>
        </is>
      </c>
      <c r="AA19" s="2" t="n"/>
      <c r="AB19" s="2" t="n">
        <v>12</v>
      </c>
      <c r="AC19" s="2" t="n"/>
      <c r="AD19" s="2" t="n"/>
      <c r="AE19" s="2" t="n"/>
      <c r="AF19" s="2" t="n"/>
      <c r="AG19" s="2" t="n"/>
      <c r="AH19" s="2" t="n">
        <v>4490</v>
      </c>
      <c r="AI19" s="2" t="n"/>
      <c r="AJ19" s="2" t="n"/>
      <c r="AK19" s="2" t="n"/>
      <c r="AL19" s="2" t="n"/>
      <c r="AM19" s="2" t="n">
        <v>19.1</v>
      </c>
      <c r="AN19" s="2" t="n"/>
      <c r="AO19" s="2" t="inlineStr">
        <is>
          <t>2011</t>
        </is>
      </c>
      <c r="AP19" s="2" t="n">
        <v>2011</v>
      </c>
      <c r="AQ19" s="2" t="n"/>
      <c r="AR19" s="2" t="inlineStr">
        <is>
          <t>B</t>
        </is>
      </c>
      <c r="AS19" s="2" t="inlineStr">
        <is>
          <t>anuncio</t>
        </is>
      </c>
      <c r="AT19" s="2" t="n"/>
      <c r="AU19" s="2" t="inlineStr">
        <is>
          <t>no</t>
        </is>
      </c>
      <c r="AV19" s="2" t="inlineStr">
        <is>
          <t>no</t>
        </is>
      </c>
      <c r="AW19" s="2" t="inlineStr">
        <is>
          <t>no</t>
        </is>
      </c>
      <c r="AX19" s="2" t="n">
        <v>4490</v>
      </c>
      <c r="AY19" s="2" t="n">
        <v>19</v>
      </c>
      <c r="AZ19" s="2" t="inlineStr">
        <is>
          <t>modelo+año+km</t>
        </is>
      </c>
      <c r="BA19" s="2" t="n"/>
      <c r="BB19" s="2" t="inlineStr">
        <is>
          <t>vendedor profesional: sin ITP (operación con IVA/REBU, confirmar en factura); gastos de gestión del vendedor no indicados: se suma la tasa DGT; preguntar el precio final; diésel: motor sin fuente de fiabilidad (fiabilidad limitada a neutra); revisar: no menciona la ITV</t>
        </is>
      </c>
      <c r="BC19" s="2" t="inlineStr">
        <is>
          <t>Este Ford Fiesta 1.4 TDCi Trend es un vehículo compacto y eficiente, particularmente adecuado para uso urbano y desplazamientos diarios. Su motor diésel de 70 CV proporciona un consumo contenido —en torno a 4,1 l/100 km en ciclo mixto— lo que permite una autonomía de casi 1.000 kilómetros con el depósito lleno de 40 litros.
El habitáculo ofrece espacio suficiente para cinco ocupantes con comodidad en los desplazamientos cortos y medios. Los asientos delanteros cuentan con ajuste manual en altura, mientras que la banqueta trasera dispone de respaldo abatible asimétrico, facilitando la versatilidad de carga. El maletero de 295 litros se expande hasta 979 litros con los asientos plegados, una capacidad práctica para compras y pequeños viajes.
En cuanto a equipamiento de confort, este incluye dirección asistida eléctrica con endurecimiento progresivo, elevalunas eléctricos delanteros, cierre centralizado con mando a distancia de doble cierre y apertura remota del maletero. El sistema de ventilación incorpora filtro de pólen. El volante es ajustable en altura y profundidad, y los retrovisores exteriores son eléctricos, desempañables y cuentan con intermitente integrado.
La seguridad está garantizada con airbags frontales inteligentes y laterales delanteros, cinturones de seguridad con pretensores en los asientos delanteros, ABS, control electrónico de tracción y control de estabilidad. Dispone de preparación Isofix para sistemas de retención infantil.
Este modelo cuenta con et</t>
        </is>
      </c>
      <c r="BD19" s="2" t="inlineStr">
        <is>
          <t>https://www.coches.net/ford-fiesta-14-tdci-trend-5p-diesel-2011-en-valencia-70592187-covo.aspx (window.__INITIAL_PROPS__.ad) /home/user/Alopecia/buscador-coches/raw/cochesnet/b52cc027b9556748.json</t>
        </is>
      </c>
      <c r="BE19" s="3">
        <f>MAX(ANIO_ACTUAL-M19,0)</f>
        <v/>
      </c>
      <c r="BF19" s="4">
        <f>N19/MAX(BE19,0.5)</f>
        <v/>
      </c>
      <c r="BG19" s="4">
        <f>F19</f>
        <v/>
      </c>
      <c r="BH19" s="3">
        <f>BG19&amp;"|"&amp;INT(M19/SEG_ANIO)*SEG_ANIO</f>
        <v/>
      </c>
      <c r="BI19" s="3">
        <f>BH19&amp;"|"&amp;INT(N19/SEG_KM)*SEG_KM</f>
        <v/>
      </c>
      <c r="BJ19" s="4">
        <f>COUNTIF($BG$2:$BG$130,BG19)</f>
        <v/>
      </c>
      <c r="BK19" s="4">
        <f>COUNTIF($BH$2:$BH$130,BH19)</f>
        <v/>
      </c>
      <c r="BL19" s="4">
        <f>COUNTIF($BI$2:$BI$130,BI19)</f>
        <v/>
      </c>
      <c r="BM19" s="3">
        <f t="array" ref="BM19">IF(N(AY19)&gt;=MIN_N,AX19,IF(BL19&gt;=MIN_N,MEDIAN(IF($BI$2:$BI$130=BI19,$O$2:$O$130)),IF(BK19&gt;=MIN_N,MEDIAN(IF($BH$2:$BH$130=BH19,$O$2:$O$130)),MEDIAN(IF($BG$2:$BG$130=BG19,$O$2:$O$130)))))</f>
        <v/>
      </c>
      <c r="BN19" s="3">
        <f>IF(N(AY19)&gt;=MIN_N,"mercado "&amp;AZ19,IF(BL19&gt;=MIN_N,"modelo+año+km",IF(BK19&gt;=MIN_N,"modelo+año","modelo")))</f>
        <v/>
      </c>
      <c r="BO19" s="4">
        <f>(BM19-O19)/BM19</f>
        <v/>
      </c>
      <c r="BP19" s="3">
        <f>IF(COUNTIFS(FR_FUEL,K19,FR_YEAR,AP19)&gt;0,1,0)</f>
        <v/>
      </c>
      <c r="BQ19" s="3">
        <f>IF(COUNTIFS(FR_FUEL,K19,FR_YEAR,AP19-1)&gt;0,1,0)</f>
        <v/>
      </c>
      <c r="BR19" s="4">
        <f>IF(N(AQ19)&gt;0,AP19*100+AQ19,IF(AND(BP19=1,BQ19=1),(AP19-1)*100+1,AP19*100+1))</f>
        <v/>
      </c>
      <c r="BS19" s="3">
        <f>IF(OR(K19="hibrido",K19="glp",K19="gnc",K19="phev"),"ECO",IF(K19="electrico","CERO",IF(K19="gasolina",IF(BR19&gt;=GAS_C_YM,"C",IF(BR19&gt;=GAS_B_YM,"B","A")),IF(K19="diesel",IF(BR19&gt;=DIE_C_YM,"C",IF(BR19&gt;=DIE_B_YM,"B","A")),""))))</f>
        <v/>
      </c>
      <c r="BT19" s="2" t="inlineStr">
        <is>
          <t>B</t>
        </is>
      </c>
      <c r="BU19" s="4">
        <f>IF(AU19="sí","sí",IF(AS19="regla",IF(AND(N(AQ19)=0,BP19=1),"sí","no"),"no"))</f>
        <v/>
      </c>
      <c r="BV19" s="3">
        <f>IFERROR(VLOOKUP(F19,MOD_TBL,16,0),IFERROR(VLOOKUP(E19,OCU_TBL,2,0),NEUTRO))</f>
        <v/>
      </c>
      <c r="BW19" s="3">
        <f>SUMIFS(MOT_AJUSTE,MOT_MOTOR,G19,MOT_MARCA,E19,MOT_DESDE,"&lt;="&amp;M19,MOT_HASTA,"&gt;="&amp;M19)+SUMIFS(MOT_AJUSTE,MOT_MOTOR,G19,MOT_MARCA,"(todas)",MOT_DESDE,"&lt;="&amp;M19,MOT_HASTA,"&gt;="&amp;M19)+SUMIFS(MOT_AJUSTE,MOT_MOTOR,"(cualquiera)",MOT_MARCA,E19,MOT_DESDE,"&lt;="&amp;M19,MOT_HASTA,"&gt;="&amp;M19)</f>
        <v/>
      </c>
      <c r="BX19" s="3">
        <f>SUMIFS(COMB_AJUSTE,COMB_COMB,K19)</f>
        <v/>
      </c>
      <c r="BY19" s="3">
        <f>COUNTIFS(MOT_MOTOR,G19,MOT_MARCA,E19,MOT_DESDE,"&lt;="&amp;M19,MOT_HASTA,"&gt;="&amp;M19)+COUNTIFS(MOT_MOTOR,G19,MOT_MARCA,"(todas)",MOT_DESDE,"&lt;="&amp;M19,MOT_HASTA,"&gt;="&amp;M19)+COUNTIFS(MOT_MOTOR,"(cualquiera)",MOT_MARCA,E19,MOT_DESDE,"&lt;="&amp;M19,MOT_HASTA,"&gt;="&amp;M19)</f>
        <v/>
      </c>
      <c r="BZ19" s="3">
        <f>IF(AND(K19="diesel",BY19=0),MIN(BV19,NEUTRO),BV19)</f>
        <v/>
      </c>
      <c r="CA19" s="3">
        <f>MAX(0,MIN(100,BZ19+BW19+BX19-IF(AV19="sí",ROB_PEN,0)))</f>
        <v/>
      </c>
      <c r="CB19" s="3">
        <f>100-MAX(0,N19-KM_TOPE_DESDE)/1000*KM_TOPE_PTS</f>
        <v/>
      </c>
      <c r="CC19" s="3">
        <f>MAX(0,MIN(100,50+BO19*PRECIO_PEND,CB19))</f>
        <v/>
      </c>
      <c r="CD19" s="3">
        <f>MAX(0,100*(1-N19/KM_MAX))</f>
        <v/>
      </c>
      <c r="CE19" s="3">
        <f>IF(BF19&lt;KMA_SOSP,IF(AA19="sí",100,KMA_PEN),IF(BF19&lt;=KMA_IDEAL_MAX,100,MAX(0,100*(KMA_CERO-BF19)/(KMA_CERO-KMA_IDEAL_MAX))))</f>
        <v/>
      </c>
      <c r="CF19" s="3">
        <f>MAX(0,MIN(100,100*(M19-ANIO_MIN)/(ANIO_ACTUAL-ANIO_MIN)))</f>
        <v/>
      </c>
      <c r="CG19" s="3">
        <f>W_KMT*CD19+W_KMA*CE19+W_EDAD*CF19</f>
        <v/>
      </c>
      <c r="CH19" s="3">
        <f>P_ITV*(V19="sí")+P_LIBRO*(W19="sí")+P_CORREA*(X19="sí")+P_PROP*(Y19=1)+P_GAR*(Z19="sí")+P_FOTOS*MIN(1,N(U19)/FOTOS_OBJ)</f>
        <v/>
      </c>
      <c r="CI19" s="3">
        <f>MAX(0,MIN(100,IFERROR(VLOOKUP(BT19,ETQ_TBL,2,0),0)-IF(BU19="sí",ETQ_PEN_DUD,IF(AS19="regla",ETQ_PEN_REGLA,0))))</f>
        <v/>
      </c>
      <c r="CJ19" s="3">
        <f>IF(K19&lt;&gt;"gasolina","",IFERROR(VLOOKUP(F19,CONS_MOD_TBL,2,0),IFERROR(VLOOKUP(L19,CONS_SEG_TBL,2,0),"")))</f>
        <v/>
      </c>
      <c r="CK19" s="3">
        <f>IF(CJ19="",NEUTRO,MAX(0,MIN(100,100*(CONS_REF_MAX-CJ19)/(CONS_REF_MAX-CONS_REF_MIN))))</f>
        <v/>
      </c>
      <c r="CL19" s="3">
        <f>IFERROR(VLOOKUP(L19,SEGURO_TBL,3,0),"")</f>
        <v/>
      </c>
      <c r="CM19" s="3">
        <f>IF(CL19="",NEUTRO,MAX(0,MIN(100,100*(SEG_REF_MAX-CL19)/(SEG_REF_MAX-SEG_REF_MIN))))</f>
        <v/>
      </c>
      <c r="CN19" s="3">
        <f>W_CONS*CK19+W_SEG*CM19</f>
        <v/>
      </c>
      <c r="CO19" s="3">
        <f>IF(N(AB19)&gt;0,AB19,IF(AND(R19="profesional",SG_LEGAL_ON=1),GAR_LEGAL,0))</f>
        <v/>
      </c>
      <c r="CP19" s="3">
        <f>SG_GAR*MIN(1,CO19/SG_GAR_FULL)+SG_AMPL*(AC19="sí")+SG_KMC*(AF19="sí")+SG_REV*(N(AE19)&gt;0)+SG_DEV*MIN(1,N(AG19)/SG_DEV_FULL)+SG_HIST*(W19="sí")</f>
        <v/>
      </c>
      <c r="CQ19" s="3">
        <f>IF(AW19="sí",ESTILO_PRIO,IFERROR(VLOOKUP(L19,ESTILO_TBL,2,0),NEUTRO))</f>
        <v/>
      </c>
      <c r="CR19" s="3">
        <f>IFERROR(VLOOKUP(L19,CARR_PEN_TBL,2,0),0)</f>
        <v/>
      </c>
      <c r="CS19" s="3">
        <f>W_FIAB*CA19+W_PRECIO*CC19+W_KMEDAD*CG19+W_ANUNCIO*CH19+W_USO*CN19+W_SEGURIDAD*CP19+W_ETIQUETA*CI19+W_ESTILO*CQ19-CR19</f>
        <v/>
      </c>
      <c r="CT19" s="4">
        <f>IF(N(I19)&gt;0,I19,IFERROR(ROUND(_xlfn.NUMBERVALUE(LEFT(G19,FIND(" ",G19&amp;" ")-1),".")*1000,0),99999))</f>
        <v/>
      </c>
      <c r="CU19" s="3">
        <f>IF(R19="profesional",0,IF(O19&lt;CUOTA_VALOR_MAX,IF(BE19&gt;ITP_TRAMO_ALTO,SUMIFS(CF_CUOTA,CF_MAS,ITP_TRAMO_ALTO,CF_CCMIN,"&lt;="&amp;CT19,CF_CCMAX,"&gt;="&amp;CT19),IF(BE19&gt;ITP_TRAMO_BAJO,SUMIFS(CF_CUOTA,CF_MAS,ITP_TRAMO_BAJO,CF_CCMIN,"&lt;="&amp;CT19,CF_CCMAX,"&gt;="&amp;CT19),O19*ITP_TIPO)),O19*ITP_TIPO))</f>
        <v/>
      </c>
      <c r="CV19" s="4">
        <f>IF(R19="profesional",N(AK19),0)</f>
        <v/>
      </c>
      <c r="CW19" s="3">
        <f>IF(AND(R19="profesional",ISNUMBER(AK19),AL19="sí"),0,TASA_DGT)</f>
        <v/>
      </c>
      <c r="CX19" s="3">
        <f>INFORME_DGT</f>
        <v/>
      </c>
      <c r="CY19" s="4">
        <f>O19+CV19+CU19+CW19+CX19</f>
        <v/>
      </c>
      <c r="CZ19" s="4">
        <f>CY19+N(CL19)</f>
        <v/>
      </c>
      <c r="DA19" s="3">
        <f>IF(CY19&lt;=TOTAL_MAX,"sí",IF(CY19&lt;=TOTAL_MAX+MARGEN_NEG,"negociar","no"))</f>
        <v/>
      </c>
      <c r="DB19" s="4">
        <f>IF(DA19&lt;&gt;"no",COUNTIFS($DA$2:$DA$130,"&lt;&gt;no",$CS$2:$CS$130,"&gt;"&amp;CS19)+COUNTIFS($DA$2:DA19,"&lt;&gt;no",$CS$2:CS19,CS19),"")</f>
        <v/>
      </c>
    </row>
    <row r="20">
      <c r="A20" s="2" t="inlineStr">
        <is>
          <t>cochesnet:71146219</t>
        </is>
      </c>
      <c r="B20" s="2" t="inlineStr">
        <is>
          <t>cochesnet</t>
        </is>
      </c>
      <c r="C20" s="2" t="inlineStr">
        <is>
          <t>https://www.coches.net/ford-fiesta-14-tdci-trend-5p-diesel-2011-en-valencia-71146219-covo.aspx</t>
        </is>
      </c>
      <c r="D20" s="2" t="inlineStr">
        <is>
          <t>FORD Fiesta 1.4 TDCi Trend</t>
        </is>
      </c>
      <c r="E20" s="2" t="inlineStr">
        <is>
          <t>Ford</t>
        </is>
      </c>
      <c r="F20" s="2" t="inlineStr">
        <is>
          <t>Ford Fiesta</t>
        </is>
      </c>
      <c r="G20" s="2" t="inlineStr">
        <is>
          <t>1.4 TDCi</t>
        </is>
      </c>
      <c r="H20" s="2" t="inlineStr">
        <is>
          <t>1.4 TDCi Trend</t>
        </is>
      </c>
      <c r="I20" s="2" t="n"/>
      <c r="J20" s="2" t="n"/>
      <c r="K20" s="2" t="inlineStr">
        <is>
          <t>diesel</t>
        </is>
      </c>
      <c r="L20" s="2" t="inlineStr">
        <is>
          <t>utilitario</t>
        </is>
      </c>
      <c r="M20" s="2" t="n">
        <v>2010</v>
      </c>
      <c r="N20" s="2" t="n">
        <v>196000</v>
      </c>
      <c r="O20" s="2" t="n">
        <v>4000</v>
      </c>
      <c r="P20" s="2" t="inlineStr">
        <is>
          <t>manual</t>
        </is>
      </c>
      <c r="Q20" s="2" t="inlineStr">
        <is>
          <t>no</t>
        </is>
      </c>
      <c r="R20" s="2" t="inlineStr">
        <is>
          <t>profesional</t>
        </is>
      </c>
      <c r="S20" s="2" t="inlineStr">
        <is>
          <t>Beniparrell</t>
        </is>
      </c>
      <c r="T20" s="2" t="inlineStr">
        <is>
          <t>2026-10-20T18:06:18Z</t>
        </is>
      </c>
      <c r="U20" s="2" t="n">
        <v>13</v>
      </c>
      <c r="V20" s="2" t="n"/>
      <c r="W20" s="2" t="n"/>
      <c r="X20" s="2" t="n"/>
      <c r="Y20" s="2" t="n"/>
      <c r="Z20" s="2" t="inlineStr">
        <is>
          <t>sí</t>
        </is>
      </c>
      <c r="AA20" s="2" t="n"/>
      <c r="AB20" s="2" t="n">
        <v>12</v>
      </c>
      <c r="AC20" s="2" t="n"/>
      <c r="AD20" s="2" t="n"/>
      <c r="AE20" s="2" t="n"/>
      <c r="AF20" s="2" t="n"/>
      <c r="AG20" s="2" t="n"/>
      <c r="AH20" s="2" t="n">
        <v>4000</v>
      </c>
      <c r="AI20" s="2" t="n"/>
      <c r="AJ20" s="2" t="n"/>
      <c r="AK20" s="2" t="n"/>
      <c r="AL20" s="2" t="n"/>
      <c r="AM20" s="2" t="n">
        <v>10.2</v>
      </c>
      <c r="AN20" s="2" t="n"/>
      <c r="AO20" s="2" t="inlineStr">
        <is>
          <t>2010</t>
        </is>
      </c>
      <c r="AP20" s="2" t="n">
        <v>2010</v>
      </c>
      <c r="AQ20" s="2" t="n"/>
      <c r="AR20" s="2" t="inlineStr">
        <is>
          <t>B</t>
        </is>
      </c>
      <c r="AS20" s="2" t="inlineStr">
        <is>
          <t>anuncio</t>
        </is>
      </c>
      <c r="AT20" s="2" t="n">
        <v>2011</v>
      </c>
      <c r="AU20" s="2" t="inlineStr">
        <is>
          <t>no</t>
        </is>
      </c>
      <c r="AV20" s="2" t="inlineStr">
        <is>
          <t>no</t>
        </is>
      </c>
      <c r="AW20" s="2" t="inlineStr">
        <is>
          <t>no</t>
        </is>
      </c>
      <c r="AX20" s="2" t="n">
        <v>4490</v>
      </c>
      <c r="AY20" s="2" t="n">
        <v>19</v>
      </c>
      <c r="AZ20" s="2" t="inlineStr">
        <is>
          <t>modelo+año+km</t>
        </is>
      </c>
      <c r="BA20" s="2" t="n"/>
      <c r="BB20" s="2" t="inlineStr">
        <is>
          <t>año a confirmar: la URL/título dice 2011; vendedor profesional: sin ITP (operación con IVA/REBU, confirmar en factura); gastos de gestión del vendedor no indicados: se suma la tasa DGT; preguntar el precio final; diésel: motor sin fuente de fiabilidad (fiabilidad limitada a neutra); revisar: no menciona la ITV</t>
        </is>
      </c>
      <c r="BC20" s="2" t="inlineStr">
        <is>
          <t>Este Ford Fiesta 1.4 TDCi Trend es un compacto versátil diseñado para quienes buscan eficiencia sin renunciar a la practicidad. Su motor diésel de 70 CV ofrece un consumo contenido —4,1 l/100 km en ciclo mixto— con una autonomía cercana a los 1.000 km, características que lo hacen económico en uso y especialmente adecuado para desplazamientos regulares.
El espacio interior está bien aprovechado: 295 litros de maletero con asientos montados se amplían a 979 litros al abatirlos, lo que permite transportar carga considerable sin perder la versatilidad de cinco plazas. El habitáculo ofrece comodidad suficiente para el día a día, con asientos delanteros ajustables manualmente, dirección asistida eléctrica y volante regulable en altura y profundidad.
En seguridad, este vehículo incluye airbags frontales y laterales delanteros, ABS, control de tracción y de estabilidad, además de cinturones con pretensores en las plazas delanteras. La preparación Isofix facilita la instalación de sistemas de retención infantil.
El equipamiento de serie contempla cierre centralizado con mando a distancia, elevalunas eléctricos delanteros, retrovisores exteriores eléctricos con intermitente integrado, limpiaparabrisas y sistema de ventilación con filtro de pólen. Cuenta con ordenador de viaje que muestra consumo medio y autonomía estimada.
La transmisión manual de cinco velocidades proporciona control directo, mientras que la tracción delantera mejora la estabilidad en curvas. Con etiqueta medioam</t>
        </is>
      </c>
      <c r="BD20" s="2" t="inlineStr">
        <is>
          <t>https://www.coches.net/ford-fiesta-14-tdci-trend-5p-diesel-2011-en-valencia-71146219-covo.aspx (window.__INITIAL_PROPS__.ad) /home/user/Alopecia/buscador-coches/raw/cochesnet/c873a4c39ee94bcd.json</t>
        </is>
      </c>
      <c r="BE20" s="3">
        <f>MAX(ANIO_ACTUAL-M20,0)</f>
        <v/>
      </c>
      <c r="BF20" s="4">
        <f>N20/MAX(BE20,0.5)</f>
        <v/>
      </c>
      <c r="BG20" s="4">
        <f>F20</f>
        <v/>
      </c>
      <c r="BH20" s="3">
        <f>BG20&amp;"|"&amp;INT(M20/SEG_ANIO)*SEG_ANIO</f>
        <v/>
      </c>
      <c r="BI20" s="3">
        <f>BH20&amp;"|"&amp;INT(N20/SEG_KM)*SEG_KM</f>
        <v/>
      </c>
      <c r="BJ20" s="4">
        <f>COUNTIF($BG$2:$BG$130,BG20)</f>
        <v/>
      </c>
      <c r="BK20" s="4">
        <f>COUNTIF($BH$2:$BH$130,BH20)</f>
        <v/>
      </c>
      <c r="BL20" s="4">
        <f>COUNTIF($BI$2:$BI$130,BI20)</f>
        <v/>
      </c>
      <c r="BM20" s="3">
        <f t="array" ref="BM20">IF(N(AY20)&gt;=MIN_N,AX20,IF(BL20&gt;=MIN_N,MEDIAN(IF($BI$2:$BI$130=BI20,$O$2:$O$130)),IF(BK20&gt;=MIN_N,MEDIAN(IF($BH$2:$BH$130=BH20,$O$2:$O$130)),MEDIAN(IF($BG$2:$BG$130=BG20,$O$2:$O$130)))))</f>
        <v/>
      </c>
      <c r="BN20" s="3">
        <f>IF(N(AY20)&gt;=MIN_N,"mercado "&amp;AZ20,IF(BL20&gt;=MIN_N,"modelo+año+km",IF(BK20&gt;=MIN_N,"modelo+año","modelo")))</f>
        <v/>
      </c>
      <c r="BO20" s="4">
        <f>(BM20-O20)/BM20</f>
        <v/>
      </c>
      <c r="BP20" s="3">
        <f>IF(COUNTIFS(FR_FUEL,K20,FR_YEAR,AP20)&gt;0,1,0)</f>
        <v/>
      </c>
      <c r="BQ20" s="3">
        <f>IF(COUNTIFS(FR_FUEL,K20,FR_YEAR,AP20-1)&gt;0,1,0)</f>
        <v/>
      </c>
      <c r="BR20" s="4">
        <f>IF(N(AQ20)&gt;0,AP20*100+AQ20,IF(AND(BP20=1,BQ20=1),(AP20-1)*100+1,AP20*100+1))</f>
        <v/>
      </c>
      <c r="BS20" s="3">
        <f>IF(OR(K20="hibrido",K20="glp",K20="gnc",K20="phev"),"ECO",IF(K20="electrico","CERO",IF(K20="gasolina",IF(BR20&gt;=GAS_C_YM,"C",IF(BR20&gt;=GAS_B_YM,"B","A")),IF(K20="diesel",IF(BR20&gt;=DIE_C_YM,"C",IF(BR20&gt;=DIE_B_YM,"B","A")),""))))</f>
        <v/>
      </c>
      <c r="BT20" s="2" t="inlineStr">
        <is>
          <t>B</t>
        </is>
      </c>
      <c r="BU20" s="4">
        <f>IF(AU20="sí","sí",IF(AS20="regla",IF(AND(N(AQ20)=0,BP20=1),"sí","no"),"no"))</f>
        <v/>
      </c>
      <c r="BV20" s="3">
        <f>IFERROR(VLOOKUP(F20,MOD_TBL,16,0),IFERROR(VLOOKUP(E20,OCU_TBL,2,0),NEUTRO))</f>
        <v/>
      </c>
      <c r="BW20" s="3">
        <f>SUMIFS(MOT_AJUSTE,MOT_MOTOR,G20,MOT_MARCA,E20,MOT_DESDE,"&lt;="&amp;M20,MOT_HASTA,"&gt;="&amp;M20)+SUMIFS(MOT_AJUSTE,MOT_MOTOR,G20,MOT_MARCA,"(todas)",MOT_DESDE,"&lt;="&amp;M20,MOT_HASTA,"&gt;="&amp;M20)+SUMIFS(MOT_AJUSTE,MOT_MOTOR,"(cualquiera)",MOT_MARCA,E20,MOT_DESDE,"&lt;="&amp;M20,MOT_HASTA,"&gt;="&amp;M20)</f>
        <v/>
      </c>
      <c r="BX20" s="3">
        <f>SUMIFS(COMB_AJUSTE,COMB_COMB,K20)</f>
        <v/>
      </c>
      <c r="BY20" s="3">
        <f>COUNTIFS(MOT_MOTOR,G20,MOT_MARCA,E20,MOT_DESDE,"&lt;="&amp;M20,MOT_HASTA,"&gt;="&amp;M20)+COUNTIFS(MOT_MOTOR,G20,MOT_MARCA,"(todas)",MOT_DESDE,"&lt;="&amp;M20,MOT_HASTA,"&gt;="&amp;M20)+COUNTIFS(MOT_MOTOR,"(cualquiera)",MOT_MARCA,E20,MOT_DESDE,"&lt;="&amp;M20,MOT_HASTA,"&gt;="&amp;M20)</f>
        <v/>
      </c>
      <c r="BZ20" s="3">
        <f>IF(AND(K20="diesel",BY20=0),MIN(BV20,NEUTRO),BV20)</f>
        <v/>
      </c>
      <c r="CA20" s="3">
        <f>MAX(0,MIN(100,BZ20+BW20+BX20-IF(AV20="sí",ROB_PEN,0)))</f>
        <v/>
      </c>
      <c r="CB20" s="3">
        <f>100-MAX(0,N20-KM_TOPE_DESDE)/1000*KM_TOPE_PTS</f>
        <v/>
      </c>
      <c r="CC20" s="3">
        <f>MAX(0,MIN(100,50+BO20*PRECIO_PEND,CB20))</f>
        <v/>
      </c>
      <c r="CD20" s="3">
        <f>MAX(0,100*(1-N20/KM_MAX))</f>
        <v/>
      </c>
      <c r="CE20" s="3">
        <f>IF(BF20&lt;KMA_SOSP,IF(AA20="sí",100,KMA_PEN),IF(BF20&lt;=KMA_IDEAL_MAX,100,MAX(0,100*(KMA_CERO-BF20)/(KMA_CERO-KMA_IDEAL_MAX))))</f>
        <v/>
      </c>
      <c r="CF20" s="3">
        <f>MAX(0,MIN(100,100*(M20-ANIO_MIN)/(ANIO_ACTUAL-ANIO_MIN)))</f>
        <v/>
      </c>
      <c r="CG20" s="3">
        <f>W_KMT*CD20+W_KMA*CE20+W_EDAD*CF20</f>
        <v/>
      </c>
      <c r="CH20" s="3">
        <f>P_ITV*(V20="sí")+P_LIBRO*(W20="sí")+P_CORREA*(X20="sí")+P_PROP*(Y20=1)+P_GAR*(Z20="sí")+P_FOTOS*MIN(1,N(U20)/FOTOS_OBJ)</f>
        <v/>
      </c>
      <c r="CI20" s="3">
        <f>MAX(0,MIN(100,IFERROR(VLOOKUP(BT20,ETQ_TBL,2,0),0)-IF(BU20="sí",ETQ_PEN_DUD,IF(AS20="regla",ETQ_PEN_REGLA,0))))</f>
        <v/>
      </c>
      <c r="CJ20" s="3">
        <f>IF(K20&lt;&gt;"gasolina","",IFERROR(VLOOKUP(F20,CONS_MOD_TBL,2,0),IFERROR(VLOOKUP(L20,CONS_SEG_TBL,2,0),"")))</f>
        <v/>
      </c>
      <c r="CK20" s="3">
        <f>IF(CJ20="",NEUTRO,MAX(0,MIN(100,100*(CONS_REF_MAX-CJ20)/(CONS_REF_MAX-CONS_REF_MIN))))</f>
        <v/>
      </c>
      <c r="CL20" s="3">
        <f>IFERROR(VLOOKUP(L20,SEGURO_TBL,3,0),"")</f>
        <v/>
      </c>
      <c r="CM20" s="3">
        <f>IF(CL20="",NEUTRO,MAX(0,MIN(100,100*(SEG_REF_MAX-CL20)/(SEG_REF_MAX-SEG_REF_MIN))))</f>
        <v/>
      </c>
      <c r="CN20" s="3">
        <f>W_CONS*CK20+W_SEG*CM20</f>
        <v/>
      </c>
      <c r="CO20" s="3">
        <f>IF(N(AB20)&gt;0,AB20,IF(AND(R20="profesional",SG_LEGAL_ON=1),GAR_LEGAL,0))</f>
        <v/>
      </c>
      <c r="CP20" s="3">
        <f>SG_GAR*MIN(1,CO20/SG_GAR_FULL)+SG_AMPL*(AC20="sí")+SG_KMC*(AF20="sí")+SG_REV*(N(AE20)&gt;0)+SG_DEV*MIN(1,N(AG20)/SG_DEV_FULL)+SG_HIST*(W20="sí")</f>
        <v/>
      </c>
      <c r="CQ20" s="3">
        <f>IF(AW20="sí",ESTILO_PRIO,IFERROR(VLOOKUP(L20,ESTILO_TBL,2,0),NEUTRO))</f>
        <v/>
      </c>
      <c r="CR20" s="3">
        <f>IFERROR(VLOOKUP(L20,CARR_PEN_TBL,2,0),0)</f>
        <v/>
      </c>
      <c r="CS20" s="3">
        <f>W_FIAB*CA20+W_PRECIO*CC20+W_KMEDAD*CG20+W_ANUNCIO*CH20+W_USO*CN20+W_SEGURIDAD*CP20+W_ETIQUETA*CI20+W_ESTILO*CQ20-CR20</f>
        <v/>
      </c>
      <c r="CT20" s="4">
        <f>IF(N(I20)&gt;0,I20,IFERROR(ROUND(_xlfn.NUMBERVALUE(LEFT(G20,FIND(" ",G20&amp;" ")-1),".")*1000,0),99999))</f>
        <v/>
      </c>
      <c r="CU20" s="3">
        <f>IF(R20="profesional",0,IF(O20&lt;CUOTA_VALOR_MAX,IF(BE20&gt;ITP_TRAMO_ALTO,SUMIFS(CF_CUOTA,CF_MAS,ITP_TRAMO_ALTO,CF_CCMIN,"&lt;="&amp;CT20,CF_CCMAX,"&gt;="&amp;CT20),IF(BE20&gt;ITP_TRAMO_BAJO,SUMIFS(CF_CUOTA,CF_MAS,ITP_TRAMO_BAJO,CF_CCMIN,"&lt;="&amp;CT20,CF_CCMAX,"&gt;="&amp;CT20),O20*ITP_TIPO)),O20*ITP_TIPO))</f>
        <v/>
      </c>
      <c r="CV20" s="4">
        <f>IF(R20="profesional",N(AK20),0)</f>
        <v/>
      </c>
      <c r="CW20" s="3">
        <f>IF(AND(R20="profesional",ISNUMBER(AK20),AL20="sí"),0,TASA_DGT)</f>
        <v/>
      </c>
      <c r="CX20" s="3">
        <f>INFORME_DGT</f>
        <v/>
      </c>
      <c r="CY20" s="4">
        <f>O20+CV20+CU20+CW20+CX20</f>
        <v/>
      </c>
      <c r="CZ20" s="4">
        <f>CY20+N(CL20)</f>
        <v/>
      </c>
      <c r="DA20" s="3">
        <f>IF(CY20&lt;=TOTAL_MAX,"sí",IF(CY20&lt;=TOTAL_MAX+MARGEN_NEG,"negociar","no"))</f>
        <v/>
      </c>
      <c r="DB20" s="4">
        <f>IF(DA20&lt;&gt;"no",COUNTIFS($DA$2:$DA$130,"&lt;&gt;no",$CS$2:$CS$130,"&gt;"&amp;CS20)+COUNTIFS($DA$2:DA20,"&lt;&gt;no",$CS$2:CS20,CS20),"")</f>
        <v/>
      </c>
    </row>
    <row r="21">
      <c r="A21" s="2" t="inlineStr">
        <is>
          <t>cochesnet:71816544</t>
        </is>
      </c>
      <c r="B21" s="2" t="inlineStr">
        <is>
          <t>cochesnet</t>
        </is>
      </c>
      <c r="C21" s="2" t="inlineStr">
        <is>
          <t>https://www.coches.net/fiat-punto-12-active-e5-5p-gasolina-2009-en-valencia-71816544-covo.aspx</t>
        </is>
      </c>
      <c r="D21" s="2" t="inlineStr">
        <is>
          <t>FIAT Punto 1.2 Active E5</t>
        </is>
      </c>
      <c r="E21" s="2" t="inlineStr">
        <is>
          <t>Fiat</t>
        </is>
      </c>
      <c r="F21" s="2" t="inlineStr">
        <is>
          <t>Fiat Punto</t>
        </is>
      </c>
      <c r="G21" s="2" t="inlineStr">
        <is>
          <t>1.2</t>
        </is>
      </c>
      <c r="H21" s="2" t="inlineStr">
        <is>
          <t>1.2 Active E5</t>
        </is>
      </c>
      <c r="I21" s="2" t="n"/>
      <c r="J21" s="2" t="n"/>
      <c r="K21" s="2" t="inlineStr">
        <is>
          <t>gasolina</t>
        </is>
      </c>
      <c r="L21" s="2" t="inlineStr">
        <is>
          <t>utilitario</t>
        </is>
      </c>
      <c r="M21" s="2" t="n">
        <v>2010</v>
      </c>
      <c r="N21" s="2" t="n">
        <v>150000</v>
      </c>
      <c r="O21" s="2" t="n">
        <v>3850</v>
      </c>
      <c r="P21" s="2" t="inlineStr">
        <is>
          <t>manual</t>
        </is>
      </c>
      <c r="Q21" s="2" t="inlineStr">
        <is>
          <t>no</t>
        </is>
      </c>
      <c r="R21" s="2" t="inlineStr">
        <is>
          <t>profesional</t>
        </is>
      </c>
      <c r="S21" s="2" t="inlineStr">
        <is>
          <t>AUTOMOVILES CASTILLO PEPE Manises</t>
        </is>
      </c>
      <c r="T21" s="2" t="inlineStr">
        <is>
          <t>2026-10-23T12:44:12Z</t>
        </is>
      </c>
      <c r="U21" s="2" t="n">
        <v>15</v>
      </c>
      <c r="V21" s="2" t="inlineStr">
        <is>
          <t>sí</t>
        </is>
      </c>
      <c r="W21" s="2" t="n"/>
      <c r="X21" s="2" t="inlineStr">
        <is>
          <t>sí</t>
        </is>
      </c>
      <c r="Y21" s="2" t="n"/>
      <c r="Z21" s="2" t="inlineStr">
        <is>
          <t>sí</t>
        </is>
      </c>
      <c r="AA21" s="2" t="n"/>
      <c r="AB21" s="2" t="n">
        <v>12</v>
      </c>
      <c r="AC21" s="2" t="n"/>
      <c r="AD21" s="2" t="n"/>
      <c r="AE21" s="2" t="n"/>
      <c r="AF21" s="2" t="inlineStr">
        <is>
          <t>sí</t>
        </is>
      </c>
      <c r="AG21" s="2" t="n"/>
      <c r="AH21" s="2" t="n">
        <v>3850</v>
      </c>
      <c r="AI21" s="2" t="n">
        <v>3850</v>
      </c>
      <c r="AJ21" s="2" t="n"/>
      <c r="AK21" s="2" t="n"/>
      <c r="AL21" s="2" t="n"/>
      <c r="AM21" s="2" t="n">
        <v>8.1</v>
      </c>
      <c r="AN21" s="2" t="n"/>
      <c r="AO21" s="2" t="inlineStr">
        <is>
          <t>2010</t>
        </is>
      </c>
      <c r="AP21" s="2" t="n">
        <v>2010</v>
      </c>
      <c r="AQ21" s="2" t="n"/>
      <c r="AR21" s="2" t="inlineStr">
        <is>
          <t>C</t>
        </is>
      </c>
      <c r="AS21" s="2" t="inlineStr">
        <is>
          <t>anuncio</t>
        </is>
      </c>
      <c r="AT21" s="2" t="n">
        <v>2009</v>
      </c>
      <c r="AU21" s="2" t="inlineStr">
        <is>
          <t>no</t>
        </is>
      </c>
      <c r="AV21" s="2" t="inlineStr">
        <is>
          <t>no</t>
        </is>
      </c>
      <c r="AW21" s="2" t="inlineStr">
        <is>
          <t>no</t>
        </is>
      </c>
      <c r="AX21" s="2" t="n">
        <v>3400</v>
      </c>
      <c r="AY21" s="2" t="n">
        <v>12</v>
      </c>
      <c r="AZ21" s="2" t="inlineStr">
        <is>
          <t>modelo+año</t>
        </is>
      </c>
      <c r="BA21" s="2" t="n"/>
      <c r="BB21" s="2" t="inlineStr">
        <is>
          <t>año a confirmar: la URL/título dice 2009; vendedor profesional: sin ITP (operación con IVA/REBU, confirmar en factura); gastos de gestión del vendedor no indicados: se suma la tasa DGT; preguntar el precio final; revisar: detalles «detalles»; fiabilidad del modelo PENDIENTE de fuente (puntuación neutra)</t>
        </is>
      </c>
      <c r="BC21" s="2" t="inlineStr">
        <is>
          <t>ITV HASTA OCTUBRE 2027 RECIEN PASADA 
* KILOMETROS CERTIFICADOS. 
* KIT DE DISTRIBUCION NUEVA, CORREA DE SERVICIO NUEVA 
* ACEITE NUEVO Y FILTRO NUEVO . 
* MOTOR TOTALMENTE REVISADO Y GARANTIZADO, EMBRAGUE REVISADO , AIRE ACONDICIONADO ENFRIA MUY BIEN, CALEFECCION FUNCIONA MUY BIEN. 
* NEUMATICOS DELANTEROS Y TRASEROS 90% DE VIDA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BD21" s="2" t="inlineStr">
        <is>
          <t>https://www.coches.net/fiat-punto-12-active-e5-5p-gasolina-2009-en-valencia-71816544-covo.aspx (window.__INITIAL_PROPS__.ad) /home/user/Alopecia/buscador-coches/raw/cochesnet/b1d6094a69e8be9b.json</t>
        </is>
      </c>
      <c r="BE21" s="3">
        <f>MAX(ANIO_ACTUAL-M21,0)</f>
        <v/>
      </c>
      <c r="BF21" s="4">
        <f>N21/MAX(BE21,0.5)</f>
        <v/>
      </c>
      <c r="BG21" s="4">
        <f>F21</f>
        <v/>
      </c>
      <c r="BH21" s="3">
        <f>BG21&amp;"|"&amp;INT(M21/SEG_ANIO)*SEG_ANIO</f>
        <v/>
      </c>
      <c r="BI21" s="3">
        <f>BH21&amp;"|"&amp;INT(N21/SEG_KM)*SEG_KM</f>
        <v/>
      </c>
      <c r="BJ21" s="4">
        <f>COUNTIF($BG$2:$BG$130,BG21)</f>
        <v/>
      </c>
      <c r="BK21" s="4">
        <f>COUNTIF($BH$2:$BH$130,BH21)</f>
        <v/>
      </c>
      <c r="BL21" s="4">
        <f>COUNTIF($BI$2:$BI$130,BI21)</f>
        <v/>
      </c>
      <c r="BM21" s="3">
        <f t="array" ref="BM21">IF(N(AY21)&gt;=MIN_N,AX21,IF(BL21&gt;=MIN_N,MEDIAN(IF($BI$2:$BI$130=BI21,$O$2:$O$130)),IF(BK21&gt;=MIN_N,MEDIAN(IF($BH$2:$BH$130=BH21,$O$2:$O$130)),MEDIAN(IF($BG$2:$BG$130=BG21,$O$2:$O$130)))))</f>
        <v/>
      </c>
      <c r="BN21" s="3">
        <f>IF(N(AY21)&gt;=MIN_N,"mercado "&amp;AZ21,IF(BL21&gt;=MIN_N,"modelo+año+km",IF(BK21&gt;=MIN_N,"modelo+año","modelo")))</f>
        <v/>
      </c>
      <c r="BO21" s="4">
        <f>(BM21-O21)/BM21</f>
        <v/>
      </c>
      <c r="BP21" s="3">
        <f>IF(COUNTIFS(FR_FUEL,K21,FR_YEAR,AP21)&gt;0,1,0)</f>
        <v/>
      </c>
      <c r="BQ21" s="3">
        <f>IF(COUNTIFS(FR_FUEL,K21,FR_YEAR,AP21-1)&gt;0,1,0)</f>
        <v/>
      </c>
      <c r="BR21" s="4">
        <f>IF(N(AQ21)&gt;0,AP21*100+AQ21,IF(AND(BP21=1,BQ21=1),(AP21-1)*100+1,AP21*100+1))</f>
        <v/>
      </c>
      <c r="BS21" s="3">
        <f>IF(OR(K21="hibrido",K21="glp",K21="gnc",K21="phev"),"ECO",IF(K21="electrico","CERO",IF(K21="gasolina",IF(BR21&gt;=GAS_C_YM,"C",IF(BR21&gt;=GAS_B_YM,"B","A")),IF(K21="diesel",IF(BR21&gt;=DIE_C_YM,"C",IF(BR21&gt;=DIE_B_YM,"B","A")),""))))</f>
        <v/>
      </c>
      <c r="BT21" s="2" t="inlineStr">
        <is>
          <t>C</t>
        </is>
      </c>
      <c r="BU21" s="4">
        <f>IF(AU21="sí","sí",IF(AS21="regla",IF(AND(N(AQ21)=0,BP21=1),"sí","no"),"no"))</f>
        <v/>
      </c>
      <c r="BV21" s="3">
        <f>IFERROR(VLOOKUP(F21,MOD_TBL,16,0),IFERROR(VLOOKUP(E21,OCU_TBL,2,0),NEUTRO))</f>
        <v/>
      </c>
      <c r="BW21" s="3">
        <f>SUMIFS(MOT_AJUSTE,MOT_MOTOR,G21,MOT_MARCA,E21,MOT_DESDE,"&lt;="&amp;M21,MOT_HASTA,"&gt;="&amp;M21)+SUMIFS(MOT_AJUSTE,MOT_MOTOR,G21,MOT_MARCA,"(todas)",MOT_DESDE,"&lt;="&amp;M21,MOT_HASTA,"&gt;="&amp;M21)+SUMIFS(MOT_AJUSTE,MOT_MOTOR,"(cualquiera)",MOT_MARCA,E21,MOT_DESDE,"&lt;="&amp;M21,MOT_HASTA,"&gt;="&amp;M21)</f>
        <v/>
      </c>
      <c r="BX21" s="3">
        <f>SUMIFS(COMB_AJUSTE,COMB_COMB,K21)</f>
        <v/>
      </c>
      <c r="BY21" s="3">
        <f>COUNTIFS(MOT_MOTOR,G21,MOT_MARCA,E21,MOT_DESDE,"&lt;="&amp;M21,MOT_HASTA,"&gt;="&amp;M21)+COUNTIFS(MOT_MOTOR,G21,MOT_MARCA,"(todas)",MOT_DESDE,"&lt;="&amp;M21,MOT_HASTA,"&gt;="&amp;M21)+COUNTIFS(MOT_MOTOR,"(cualquiera)",MOT_MARCA,E21,MOT_DESDE,"&lt;="&amp;M21,MOT_HASTA,"&gt;="&amp;M21)</f>
        <v/>
      </c>
      <c r="BZ21" s="3">
        <f>IF(AND(K21="diesel",BY21=0),MIN(BV21,NEUTRO),BV21)</f>
        <v/>
      </c>
      <c r="CA21" s="3">
        <f>MAX(0,MIN(100,BZ21+BW21+BX21-IF(AV21="sí",ROB_PEN,0)))</f>
        <v/>
      </c>
      <c r="CB21" s="3">
        <f>100-MAX(0,N21-KM_TOPE_DESDE)/1000*KM_TOPE_PTS</f>
        <v/>
      </c>
      <c r="CC21" s="3">
        <f>MAX(0,MIN(100,50+BO21*PRECIO_PEND,CB21))</f>
        <v/>
      </c>
      <c r="CD21" s="3">
        <f>MAX(0,100*(1-N21/KM_MAX))</f>
        <v/>
      </c>
      <c r="CE21" s="3">
        <f>IF(BF21&lt;KMA_SOSP,IF(AA21="sí",100,KMA_PEN),IF(BF21&lt;=KMA_IDEAL_MAX,100,MAX(0,100*(KMA_CERO-BF21)/(KMA_CERO-KMA_IDEAL_MAX))))</f>
        <v/>
      </c>
      <c r="CF21" s="3">
        <f>MAX(0,MIN(100,100*(M21-ANIO_MIN)/(ANIO_ACTUAL-ANIO_MIN)))</f>
        <v/>
      </c>
      <c r="CG21" s="3">
        <f>W_KMT*CD21+W_KMA*CE21+W_EDAD*CF21</f>
        <v/>
      </c>
      <c r="CH21" s="3">
        <f>P_ITV*(V21="sí")+P_LIBRO*(W21="sí")+P_CORREA*(X21="sí")+P_PROP*(Y21=1)+P_GAR*(Z21="sí")+P_FOTOS*MIN(1,N(U21)/FOTOS_OBJ)</f>
        <v/>
      </c>
      <c r="CI21" s="3">
        <f>MAX(0,MIN(100,IFERROR(VLOOKUP(BT21,ETQ_TBL,2,0),0)-IF(BU21="sí",ETQ_PEN_DUD,IF(AS21="regla",ETQ_PEN_REGLA,0))))</f>
        <v/>
      </c>
      <c r="CJ21" s="3">
        <f>IF(K21&lt;&gt;"gasolina","",IFERROR(VLOOKUP(F21,CONS_MOD_TBL,2,0),IFERROR(VLOOKUP(L21,CONS_SEG_TBL,2,0),"")))</f>
        <v/>
      </c>
      <c r="CK21" s="3">
        <f>IF(CJ21="",NEUTRO,MAX(0,MIN(100,100*(CONS_REF_MAX-CJ21)/(CONS_REF_MAX-CONS_REF_MIN))))</f>
        <v/>
      </c>
      <c r="CL21" s="3">
        <f>IFERROR(VLOOKUP(L21,SEGURO_TBL,3,0),"")</f>
        <v/>
      </c>
      <c r="CM21" s="3">
        <f>IF(CL21="",NEUTRO,MAX(0,MIN(100,100*(SEG_REF_MAX-CL21)/(SEG_REF_MAX-SEG_REF_MIN))))</f>
        <v/>
      </c>
      <c r="CN21" s="3">
        <f>W_CONS*CK21+W_SEG*CM21</f>
        <v/>
      </c>
      <c r="CO21" s="3">
        <f>IF(N(AB21)&gt;0,AB21,IF(AND(R21="profesional",SG_LEGAL_ON=1),GAR_LEGAL,0))</f>
        <v/>
      </c>
      <c r="CP21" s="3">
        <f>SG_GAR*MIN(1,CO21/SG_GAR_FULL)+SG_AMPL*(AC21="sí")+SG_KMC*(AF21="sí")+SG_REV*(N(AE21)&gt;0)+SG_DEV*MIN(1,N(AG21)/SG_DEV_FULL)+SG_HIST*(W21="sí")</f>
        <v/>
      </c>
      <c r="CQ21" s="3">
        <f>IF(AW21="sí",ESTILO_PRIO,IFERROR(VLOOKUP(L21,ESTILO_TBL,2,0),NEUTRO))</f>
        <v/>
      </c>
      <c r="CR21" s="3">
        <f>IFERROR(VLOOKUP(L21,CARR_PEN_TBL,2,0),0)</f>
        <v/>
      </c>
      <c r="CS21" s="3">
        <f>W_FIAB*CA21+W_PRECIO*CC21+W_KMEDAD*CG21+W_ANUNCIO*CH21+W_USO*CN21+W_SEGURIDAD*CP21+W_ETIQUETA*CI21+W_ESTILO*CQ21-CR21</f>
        <v/>
      </c>
      <c r="CT21" s="4">
        <f>IF(N(I21)&gt;0,I21,IFERROR(ROUND(_xlfn.NUMBERVALUE(LEFT(G21,FIND(" ",G21&amp;" ")-1),".")*1000,0),99999))</f>
        <v/>
      </c>
      <c r="CU21" s="3">
        <f>IF(R21="profesional",0,IF(O21&lt;CUOTA_VALOR_MAX,IF(BE21&gt;ITP_TRAMO_ALTO,SUMIFS(CF_CUOTA,CF_MAS,ITP_TRAMO_ALTO,CF_CCMIN,"&lt;="&amp;CT21,CF_CCMAX,"&gt;="&amp;CT21),IF(BE21&gt;ITP_TRAMO_BAJO,SUMIFS(CF_CUOTA,CF_MAS,ITP_TRAMO_BAJO,CF_CCMIN,"&lt;="&amp;CT21,CF_CCMAX,"&gt;="&amp;CT21),O21*ITP_TIPO)),O21*ITP_TIPO))</f>
        <v/>
      </c>
      <c r="CV21" s="4">
        <f>IF(R21="profesional",N(AK21),0)</f>
        <v/>
      </c>
      <c r="CW21" s="3">
        <f>IF(AND(R21="profesional",ISNUMBER(AK21),AL21="sí"),0,TASA_DGT)</f>
        <v/>
      </c>
      <c r="CX21" s="3">
        <f>INFORME_DGT</f>
        <v/>
      </c>
      <c r="CY21" s="4">
        <f>O21+CV21+CU21+CW21+CX21</f>
        <v/>
      </c>
      <c r="CZ21" s="4">
        <f>CY21+N(CL21)</f>
        <v/>
      </c>
      <c r="DA21" s="3">
        <f>IF(CY21&lt;=TOTAL_MAX,"sí",IF(CY21&lt;=TOTAL_MAX+MARGEN_NEG,"negociar","no"))</f>
        <v/>
      </c>
      <c r="DB21" s="4">
        <f>IF(DA21&lt;&gt;"no",COUNTIFS($DA$2:$DA$130,"&lt;&gt;no",$CS$2:$CS$130,"&gt;"&amp;CS21)+COUNTIFS($DA$2:DA21,"&lt;&gt;no",$CS$2:CS21,CS21),"")</f>
        <v/>
      </c>
    </row>
    <row r="22">
      <c r="A22" s="2" t="inlineStr">
        <is>
          <t>cochesnet:71651301</t>
        </is>
      </c>
      <c r="B22" s="2" t="inlineStr">
        <is>
          <t>cochesnet</t>
        </is>
      </c>
      <c r="C22" s="2" t="inlineStr">
        <is>
          <t>https://www.coches.net/chevrolet-aveo-14-16v-lt-4p-gasolina-2008-en-valencia-71651301-covo.aspx</t>
        </is>
      </c>
      <c r="D22" s="2" t="inlineStr">
        <is>
          <t>CHEVROLET Aveo 1.4 16v LT</t>
        </is>
      </c>
      <c r="E22" s="2" t="inlineStr">
        <is>
          <t>Chevrolet</t>
        </is>
      </c>
      <c r="F22" s="2" t="inlineStr">
        <is>
          <t>Chevrolet Aveo</t>
        </is>
      </c>
      <c r="G22" s="2" t="inlineStr">
        <is>
          <t>1.4</t>
        </is>
      </c>
      <c r="H22" s="2" t="inlineStr">
        <is>
          <t>1.4 16v LT</t>
        </is>
      </c>
      <c r="I22" s="2" t="n"/>
      <c r="J22" s="2" t="n"/>
      <c r="K22" s="2" t="inlineStr">
        <is>
          <t>gasolina</t>
        </is>
      </c>
      <c r="L22" s="2" t="inlineStr">
        <is>
          <t>utilitario</t>
        </is>
      </c>
      <c r="M22" s="2" t="n">
        <v>2008</v>
      </c>
      <c r="N22" s="2" t="n">
        <v>138000</v>
      </c>
      <c r="O22" s="2" t="n">
        <v>3990</v>
      </c>
      <c r="P22" s="2" t="inlineStr">
        <is>
          <t>manual</t>
        </is>
      </c>
      <c r="Q22" s="2" t="inlineStr">
        <is>
          <t>no</t>
        </is>
      </c>
      <c r="R22" s="2" t="inlineStr">
        <is>
          <t>profesional</t>
        </is>
      </c>
      <c r="S22" s="2" t="inlineStr">
        <is>
          <t>Saga Vehículos Massanassa</t>
        </is>
      </c>
      <c r="T22" s="2" t="inlineStr">
        <is>
          <t>2026-10-01T20:50:03Z</t>
        </is>
      </c>
      <c r="U22" s="2" t="n">
        <v>26</v>
      </c>
      <c r="V22" s="2" t="n"/>
      <c r="W22" s="2" t="n"/>
      <c r="X22" s="2" t="n"/>
      <c r="Y22" s="2" t="n"/>
      <c r="Z22" s="2" t="inlineStr">
        <is>
          <t>sí</t>
        </is>
      </c>
      <c r="AA22" s="2" t="n"/>
      <c r="AB22" s="2" t="n">
        <v>12</v>
      </c>
      <c r="AC22" s="2" t="inlineStr">
        <is>
          <t>sí</t>
        </is>
      </c>
      <c r="AD22" s="2" t="n"/>
      <c r="AE22" s="2" t="n"/>
      <c r="AF22" s="2" t="n"/>
      <c r="AG22" s="2" t="n"/>
      <c r="AH22" s="2" t="n">
        <v>3990</v>
      </c>
      <c r="AI22" s="2" t="n"/>
      <c r="AJ22" s="2" t="n"/>
      <c r="AK22" s="2" t="n">
        <v>350</v>
      </c>
      <c r="AL22" s="2" t="inlineStr">
        <is>
          <t>no</t>
        </is>
      </c>
      <c r="AM22" s="2" t="n">
        <v>6.9</v>
      </c>
      <c r="AN22" s="2" t="n"/>
      <c r="AO22" s="2" t="inlineStr">
        <is>
          <t>2008</t>
        </is>
      </c>
      <c r="AP22" s="2" t="n">
        <v>2008</v>
      </c>
      <c r="AQ22" s="2" t="n"/>
      <c r="AR22" s="2" t="inlineStr">
        <is>
          <t>C</t>
        </is>
      </c>
      <c r="AS22" s="2" t="inlineStr">
        <is>
          <t>anuncio</t>
        </is>
      </c>
      <c r="AT22" s="2" t="n"/>
      <c r="AU22" s="2" t="inlineStr">
        <is>
          <t>no</t>
        </is>
      </c>
      <c r="AV22" s="2" t="inlineStr">
        <is>
          <t>no</t>
        </is>
      </c>
      <c r="AW22" s="2" t="inlineStr">
        <is>
          <t>no</t>
        </is>
      </c>
      <c r="AX22" s="2" t="n">
        <v>3990</v>
      </c>
      <c r="AY22" s="2" t="n">
        <v>4</v>
      </c>
      <c r="AZ22" s="2" t="inlineStr">
        <is>
          <t>modelo+año+km</t>
        </is>
      </c>
      <c r="BA22" s="2" t="n"/>
      <c r="BB22" s="2" t="inlineStr">
        <is>
          <t>vendedor profesional: sin ITP (operación con IVA/REBU, confirmar en factura); gastos del vendedor sin indicar si incluyen la transferencia: se suma la tasa DGT; revisar: no menciona la ITV; fiabilidad del modelo PENDIENTE de fuente (puntuación neutra)</t>
        </is>
      </c>
      <c r="BC22" s="2" t="inlineStr">
        <is>
          <t xml:space="preserve">Chevrolet Aveo LT 1.4 E-TEC ll, 95CV, Gasolina, vehículo muy bien cuidado.
Más de 100 coches en stock, Por favor llámenos para más información, atendemos SOLO CON CITA PREVIA. Gracias!!!!
Financiacíon de hasta el 100% del vehículo!
Gestión documental no incluido 350€ 
Garantía Premium 12 Meses con cobertura a nivel nacional 399€
Saga Vehículos, estamos en C/ Motor Sant Agustí, 41, 46470 Massanassa, Valencia.
Horario: De lunes a viernes de 10:00 a 14:00 y de 16:00 a 19:00.
Sabado de 10:00 a 14:00.
- Aire acondicionado 
- Dirección asistida
- Frenos ABS/EBD
- Airbags
- Ordenador abordo
- Android Auto / Apple CarPlay 
- Sistema multimedia Bluetooth
- GPS navegación 
- Camara trasera 
- Llaves presencial con mandos a distancia y mucho mas....
Este anuncio no es vinculante, se muestra a titulo informativo y no contractual.
</t>
        </is>
      </c>
      <c r="BD22" s="2" t="inlineStr">
        <is>
          <t>https://www.coches.net/chevrolet-aveo-14-16v-lt-4p-gasolina-2008-en-valencia-71651301-covo.aspx (window.__INITIAL_PROPS__.ad) /home/user/Alopecia/buscador-coches/raw/cochesnet/66885b8d297b81d0.json</t>
        </is>
      </c>
      <c r="BE22" s="3">
        <f>MAX(ANIO_ACTUAL-M22,0)</f>
        <v/>
      </c>
      <c r="BF22" s="4">
        <f>N22/MAX(BE22,0.5)</f>
        <v/>
      </c>
      <c r="BG22" s="4">
        <f>F22</f>
        <v/>
      </c>
      <c r="BH22" s="3">
        <f>BG22&amp;"|"&amp;INT(M22/SEG_ANIO)*SEG_ANIO</f>
        <v/>
      </c>
      <c r="BI22" s="3">
        <f>BH22&amp;"|"&amp;INT(N22/SEG_KM)*SEG_KM</f>
        <v/>
      </c>
      <c r="BJ22" s="4">
        <f>COUNTIF($BG$2:$BG$130,BG22)</f>
        <v/>
      </c>
      <c r="BK22" s="4">
        <f>COUNTIF($BH$2:$BH$130,BH22)</f>
        <v/>
      </c>
      <c r="BL22" s="4">
        <f>COUNTIF($BI$2:$BI$130,BI22)</f>
        <v/>
      </c>
      <c r="BM22" s="3">
        <f t="array" ref="BM22">IF(N(AY22)&gt;=MIN_N,AX22,IF(BL22&gt;=MIN_N,MEDIAN(IF($BI$2:$BI$130=BI22,$O$2:$O$130)),IF(BK22&gt;=MIN_N,MEDIAN(IF($BH$2:$BH$130=BH22,$O$2:$O$130)),MEDIAN(IF($BG$2:$BG$130=BG22,$O$2:$O$130)))))</f>
        <v/>
      </c>
      <c r="BN22" s="3">
        <f>IF(N(AY22)&gt;=MIN_N,"mercado "&amp;AZ22,IF(BL22&gt;=MIN_N,"modelo+año+km",IF(BK22&gt;=MIN_N,"modelo+año","modelo")))</f>
        <v/>
      </c>
      <c r="BO22" s="4">
        <f>(BM22-O22)/BM22</f>
        <v/>
      </c>
      <c r="BP22" s="3">
        <f>IF(COUNTIFS(FR_FUEL,K22,FR_YEAR,AP22)&gt;0,1,0)</f>
        <v/>
      </c>
      <c r="BQ22" s="3">
        <f>IF(COUNTIFS(FR_FUEL,K22,FR_YEAR,AP22-1)&gt;0,1,0)</f>
        <v/>
      </c>
      <c r="BR22" s="4">
        <f>IF(N(AQ22)&gt;0,AP22*100+AQ22,IF(AND(BP22=1,BQ22=1),(AP22-1)*100+1,AP22*100+1))</f>
        <v/>
      </c>
      <c r="BS22" s="3">
        <f>IF(OR(K22="hibrido",K22="glp",K22="gnc",K22="phev"),"ECO",IF(K22="electrico","CERO",IF(K22="gasolina",IF(BR22&gt;=GAS_C_YM,"C",IF(BR22&gt;=GAS_B_YM,"B","A")),IF(K22="diesel",IF(BR22&gt;=DIE_C_YM,"C",IF(BR22&gt;=DIE_B_YM,"B","A")),""))))</f>
        <v/>
      </c>
      <c r="BT22" s="2" t="inlineStr">
        <is>
          <t>C</t>
        </is>
      </c>
      <c r="BU22" s="4">
        <f>IF(AU22="sí","sí",IF(AS22="regla",IF(AND(N(AQ22)=0,BP22=1),"sí","no"),"no"))</f>
        <v/>
      </c>
      <c r="BV22" s="3">
        <f>IFERROR(VLOOKUP(F22,MOD_TBL,16,0),IFERROR(VLOOKUP(E22,OCU_TBL,2,0),NEUTRO))</f>
        <v/>
      </c>
      <c r="BW22" s="3">
        <f>SUMIFS(MOT_AJUSTE,MOT_MOTOR,G22,MOT_MARCA,E22,MOT_DESDE,"&lt;="&amp;M22,MOT_HASTA,"&gt;="&amp;M22)+SUMIFS(MOT_AJUSTE,MOT_MOTOR,G22,MOT_MARCA,"(todas)",MOT_DESDE,"&lt;="&amp;M22,MOT_HASTA,"&gt;="&amp;M22)+SUMIFS(MOT_AJUSTE,MOT_MOTOR,"(cualquiera)",MOT_MARCA,E22,MOT_DESDE,"&lt;="&amp;M22,MOT_HASTA,"&gt;="&amp;M22)</f>
        <v/>
      </c>
      <c r="BX22" s="3">
        <f>SUMIFS(COMB_AJUSTE,COMB_COMB,K22)</f>
        <v/>
      </c>
      <c r="BY22" s="3">
        <f>COUNTIFS(MOT_MOTOR,G22,MOT_MARCA,E22,MOT_DESDE,"&lt;="&amp;M22,MOT_HASTA,"&gt;="&amp;M22)+COUNTIFS(MOT_MOTOR,G22,MOT_MARCA,"(todas)",MOT_DESDE,"&lt;="&amp;M22,MOT_HASTA,"&gt;="&amp;M22)+COUNTIFS(MOT_MOTOR,"(cualquiera)",MOT_MARCA,E22,MOT_DESDE,"&lt;="&amp;M22,MOT_HASTA,"&gt;="&amp;M22)</f>
        <v/>
      </c>
      <c r="BZ22" s="3">
        <f>IF(AND(K22="diesel",BY22=0),MIN(BV22,NEUTRO),BV22)</f>
        <v/>
      </c>
      <c r="CA22" s="3">
        <f>MAX(0,MIN(100,BZ22+BW22+BX22-IF(AV22="sí",ROB_PEN,0)))</f>
        <v/>
      </c>
      <c r="CB22" s="3">
        <f>100-MAX(0,N22-KM_TOPE_DESDE)/1000*KM_TOPE_PTS</f>
        <v/>
      </c>
      <c r="CC22" s="3">
        <f>MAX(0,MIN(100,50+BO22*PRECIO_PEND,CB22))</f>
        <v/>
      </c>
      <c r="CD22" s="3">
        <f>MAX(0,100*(1-N22/KM_MAX))</f>
        <v/>
      </c>
      <c r="CE22" s="3">
        <f>IF(BF22&lt;KMA_SOSP,IF(AA22="sí",100,KMA_PEN),IF(BF22&lt;=KMA_IDEAL_MAX,100,MAX(0,100*(KMA_CERO-BF22)/(KMA_CERO-KMA_IDEAL_MAX))))</f>
        <v/>
      </c>
      <c r="CF22" s="3">
        <f>MAX(0,MIN(100,100*(M22-ANIO_MIN)/(ANIO_ACTUAL-ANIO_MIN)))</f>
        <v/>
      </c>
      <c r="CG22" s="3">
        <f>W_KMT*CD22+W_KMA*CE22+W_EDAD*CF22</f>
        <v/>
      </c>
      <c r="CH22" s="3">
        <f>P_ITV*(V22="sí")+P_LIBRO*(W22="sí")+P_CORREA*(X22="sí")+P_PROP*(Y22=1)+P_GAR*(Z22="sí")+P_FOTOS*MIN(1,N(U22)/FOTOS_OBJ)</f>
        <v/>
      </c>
      <c r="CI22" s="3">
        <f>MAX(0,MIN(100,IFERROR(VLOOKUP(BT22,ETQ_TBL,2,0),0)-IF(BU22="sí",ETQ_PEN_DUD,IF(AS22="regla",ETQ_PEN_REGLA,0))))</f>
        <v/>
      </c>
      <c r="CJ22" s="3">
        <f>IF(K22&lt;&gt;"gasolina","",IFERROR(VLOOKUP(F22,CONS_MOD_TBL,2,0),IFERROR(VLOOKUP(L22,CONS_SEG_TBL,2,0),"")))</f>
        <v/>
      </c>
      <c r="CK22" s="3">
        <f>IF(CJ22="",NEUTRO,MAX(0,MIN(100,100*(CONS_REF_MAX-CJ22)/(CONS_REF_MAX-CONS_REF_MIN))))</f>
        <v/>
      </c>
      <c r="CL22" s="3">
        <f>IFERROR(VLOOKUP(L22,SEGURO_TBL,3,0),"")</f>
        <v/>
      </c>
      <c r="CM22" s="3">
        <f>IF(CL22="",NEUTRO,MAX(0,MIN(100,100*(SEG_REF_MAX-CL22)/(SEG_REF_MAX-SEG_REF_MIN))))</f>
        <v/>
      </c>
      <c r="CN22" s="3">
        <f>W_CONS*CK22+W_SEG*CM22</f>
        <v/>
      </c>
      <c r="CO22" s="3">
        <f>IF(N(AB22)&gt;0,AB22,IF(AND(R22="profesional",SG_LEGAL_ON=1),GAR_LEGAL,0))</f>
        <v/>
      </c>
      <c r="CP22" s="3">
        <f>SG_GAR*MIN(1,CO22/SG_GAR_FULL)+SG_AMPL*(AC22="sí")+SG_KMC*(AF22="sí")+SG_REV*(N(AE22)&gt;0)+SG_DEV*MIN(1,N(AG22)/SG_DEV_FULL)+SG_HIST*(W22="sí")</f>
        <v/>
      </c>
      <c r="CQ22" s="3">
        <f>IF(AW22="sí",ESTILO_PRIO,IFERROR(VLOOKUP(L22,ESTILO_TBL,2,0),NEUTRO))</f>
        <v/>
      </c>
      <c r="CR22" s="3">
        <f>IFERROR(VLOOKUP(L22,CARR_PEN_TBL,2,0),0)</f>
        <v/>
      </c>
      <c r="CS22" s="3">
        <f>W_FIAB*CA22+W_PRECIO*CC22+W_KMEDAD*CG22+W_ANUNCIO*CH22+W_USO*CN22+W_SEGURIDAD*CP22+W_ETIQUETA*CI22+W_ESTILO*CQ22-CR22</f>
        <v/>
      </c>
      <c r="CT22" s="4">
        <f>IF(N(I22)&gt;0,I22,IFERROR(ROUND(_xlfn.NUMBERVALUE(LEFT(G22,FIND(" ",G22&amp;" ")-1),".")*1000,0),99999))</f>
        <v/>
      </c>
      <c r="CU22" s="3">
        <f>IF(R22="profesional",0,IF(O22&lt;CUOTA_VALOR_MAX,IF(BE22&gt;ITP_TRAMO_ALTO,SUMIFS(CF_CUOTA,CF_MAS,ITP_TRAMO_ALTO,CF_CCMIN,"&lt;="&amp;CT22,CF_CCMAX,"&gt;="&amp;CT22),IF(BE22&gt;ITP_TRAMO_BAJO,SUMIFS(CF_CUOTA,CF_MAS,ITP_TRAMO_BAJO,CF_CCMIN,"&lt;="&amp;CT22,CF_CCMAX,"&gt;="&amp;CT22),O22*ITP_TIPO)),O22*ITP_TIPO))</f>
        <v/>
      </c>
      <c r="CV22" s="4">
        <f>IF(R22="profesional",N(AK22),0)</f>
        <v/>
      </c>
      <c r="CW22" s="3">
        <f>IF(AND(R22="profesional",ISNUMBER(AK22),AL22="sí"),0,TASA_DGT)</f>
        <v/>
      </c>
      <c r="CX22" s="3">
        <f>INFORME_DGT</f>
        <v/>
      </c>
      <c r="CY22" s="4">
        <f>O22+CV22+CU22+CW22+CX22</f>
        <v/>
      </c>
      <c r="CZ22" s="4">
        <f>CY22+N(CL22)</f>
        <v/>
      </c>
      <c r="DA22" s="3">
        <f>IF(CY22&lt;=TOTAL_MAX,"sí",IF(CY22&lt;=TOTAL_MAX+MARGEN_NEG,"negociar","no"))</f>
        <v/>
      </c>
      <c r="DB22" s="4">
        <f>IF(DA22&lt;&gt;"no",COUNTIFS($DA$2:$DA$130,"&lt;&gt;no",$CS$2:$CS$130,"&gt;"&amp;CS22)+COUNTIFS($DA$2:DA22,"&lt;&gt;no",$CS$2:CS22,CS22),"")</f>
        <v/>
      </c>
    </row>
    <row r="23">
      <c r="A23" s="2" t="inlineStr">
        <is>
          <t>cochesnet:71533850</t>
        </is>
      </c>
      <c r="B23" s="2" t="inlineStr">
        <is>
          <t>cochesnet</t>
        </is>
      </c>
      <c r="C23" s="2" t="inlineStr">
        <is>
          <t>https://www.coches.net/chevrolet-aveo-14-16v-ls-5p-gasolina-2010-en-valencia-71533850-covo.aspx</t>
        </is>
      </c>
      <c r="D23" s="2" t="inlineStr">
        <is>
          <t>CHEVROLET Aveo 1.4 16v LS</t>
        </is>
      </c>
      <c r="E23" s="2" t="inlineStr">
        <is>
          <t>Chevrolet</t>
        </is>
      </c>
      <c r="F23" s="2" t="inlineStr">
        <is>
          <t>Chevrolet Aveo</t>
        </is>
      </c>
      <c r="G23" s="2" t="inlineStr">
        <is>
          <t>1.4</t>
        </is>
      </c>
      <c r="H23" s="2" t="inlineStr">
        <is>
          <t>1.4 16v LS</t>
        </is>
      </c>
      <c r="I23" s="2" t="n"/>
      <c r="J23" s="2" t="n"/>
      <c r="K23" s="2" t="inlineStr">
        <is>
          <t>gasolina</t>
        </is>
      </c>
      <c r="L23" s="2" t="inlineStr">
        <is>
          <t>utilitario</t>
        </is>
      </c>
      <c r="M23" s="2" t="n">
        <v>2009</v>
      </c>
      <c r="N23" s="2" t="n">
        <v>110000</v>
      </c>
      <c r="O23" s="2" t="n">
        <v>4290</v>
      </c>
      <c r="P23" s="2" t="inlineStr">
        <is>
          <t>manual</t>
        </is>
      </c>
      <c r="Q23" s="2" t="inlineStr">
        <is>
          <t>no</t>
        </is>
      </c>
      <c r="R23" s="2" t="inlineStr">
        <is>
          <t>profesional</t>
        </is>
      </c>
      <c r="S23" s="2" t="inlineStr">
        <is>
          <t>Only Cars Valencia Aldaia</t>
        </is>
      </c>
      <c r="T23" s="2" t="inlineStr">
        <is>
          <t>2026-09-17T10:24:43Z</t>
        </is>
      </c>
      <c r="U23" s="2" t="n">
        <v>11</v>
      </c>
      <c r="V23" s="2" t="n"/>
      <c r="W23" s="2" t="n"/>
      <c r="X23" s="2" t="n"/>
      <c r="Y23" s="2" t="n"/>
      <c r="Z23" s="2" t="inlineStr">
        <is>
          <t>sí</t>
        </is>
      </c>
      <c r="AA23" s="2" t="n"/>
      <c r="AB23" s="2" t="n">
        <v>12</v>
      </c>
      <c r="AC23" s="2" t="n"/>
      <c r="AD23" s="2" t="n"/>
      <c r="AE23" s="2" t="n"/>
      <c r="AF23" s="2" t="n"/>
      <c r="AG23" s="2" t="n"/>
      <c r="AH23" s="2" t="n">
        <v>4290</v>
      </c>
      <c r="AI23" s="2" t="n"/>
      <c r="AJ23" s="2" t="n"/>
      <c r="AK23" s="2" t="n"/>
      <c r="AL23" s="2" t="n"/>
      <c r="AM23" s="2" t="n">
        <v>7.5</v>
      </c>
      <c r="AN23" s="2" t="n"/>
      <c r="AO23" s="2" t="inlineStr">
        <is>
          <t>2009</t>
        </is>
      </c>
      <c r="AP23" s="2" t="n">
        <v>2009</v>
      </c>
      <c r="AQ23" s="2" t="n"/>
      <c r="AR23" s="2" t="inlineStr">
        <is>
          <t>C</t>
        </is>
      </c>
      <c r="AS23" s="2" t="inlineStr">
        <is>
          <t>anuncio</t>
        </is>
      </c>
      <c r="AT23" s="2" t="n">
        <v>2010</v>
      </c>
      <c r="AU23" s="2" t="inlineStr">
        <is>
          <t>no</t>
        </is>
      </c>
      <c r="AV23" s="2" t="inlineStr">
        <is>
          <t>no</t>
        </is>
      </c>
      <c r="AW23" s="2" t="inlineStr">
        <is>
          <t>no</t>
        </is>
      </c>
      <c r="AX23" s="2" t="n">
        <v>3990</v>
      </c>
      <c r="AY23" s="2" t="n">
        <v>4</v>
      </c>
      <c r="AZ23" s="2" t="inlineStr">
        <is>
          <t>modelo+año+km</t>
        </is>
      </c>
      <c r="BA23" s="2" t="n"/>
      <c r="BB23" s="2" t="inlineStr">
        <is>
          <t>año a confirmar: la URL/título dice 2010; vendedor profesional: sin ITP (operación con IVA/REBU, confirmar en factura); gastos de gestión del vendedor no indicados: se suma la tasa DGT; preguntar el precio final; revisar: no menciona la ITV; fiabilidad del modelo PENDIENTE de fuente (puntuación neutra)</t>
        </is>
      </c>
      <c r="BC23" s="2" t="inlineStr">
        <is>
          <t>Chevrolet Aveo 1.4 LS año 2009 con 110.000Kms 100CV. 
Equipamiento:
- elevalunas eléctricos 
- Espejos eléctricos 
- Aire acondicionado 
- Dirección asistida
- Mando a distancia 
- Ordenador de abordo
Mantenimiento:
   - cambio de filtro de aire
   - cambio de filtro de aceite
   - cambio de aceite 
   - Dos juegos de llave
   - Alfombrillas</t>
        </is>
      </c>
      <c r="BD23" s="2" t="inlineStr">
        <is>
          <t>https://www.coches.net/chevrolet-aveo-14-16v-ls-5p-gasolina-2010-en-valencia-71533850-covo.aspx (window.__INITIAL_PROPS__.ad) /home/user/Alopecia/buscador-coches/raw/cochesnet/f4665f6b14e63416.json</t>
        </is>
      </c>
      <c r="BE23" s="3">
        <f>MAX(ANIO_ACTUAL-M23,0)</f>
        <v/>
      </c>
      <c r="BF23" s="4">
        <f>N23/MAX(BE23,0.5)</f>
        <v/>
      </c>
      <c r="BG23" s="4">
        <f>F23</f>
        <v/>
      </c>
      <c r="BH23" s="3">
        <f>BG23&amp;"|"&amp;INT(M23/SEG_ANIO)*SEG_ANIO</f>
        <v/>
      </c>
      <c r="BI23" s="3">
        <f>BH23&amp;"|"&amp;INT(N23/SEG_KM)*SEG_KM</f>
        <v/>
      </c>
      <c r="BJ23" s="4">
        <f>COUNTIF($BG$2:$BG$130,BG23)</f>
        <v/>
      </c>
      <c r="BK23" s="4">
        <f>COUNTIF($BH$2:$BH$130,BH23)</f>
        <v/>
      </c>
      <c r="BL23" s="4">
        <f>COUNTIF($BI$2:$BI$130,BI23)</f>
        <v/>
      </c>
      <c r="BM23" s="3">
        <f t="array" ref="BM23">IF(N(AY23)&gt;=MIN_N,AX23,IF(BL23&gt;=MIN_N,MEDIAN(IF($BI$2:$BI$130=BI23,$O$2:$O$130)),IF(BK23&gt;=MIN_N,MEDIAN(IF($BH$2:$BH$130=BH23,$O$2:$O$130)),MEDIAN(IF($BG$2:$BG$130=BG23,$O$2:$O$130)))))</f>
        <v/>
      </c>
      <c r="BN23" s="3">
        <f>IF(N(AY23)&gt;=MIN_N,"mercado "&amp;AZ23,IF(BL23&gt;=MIN_N,"modelo+año+km",IF(BK23&gt;=MIN_N,"modelo+año","modelo")))</f>
        <v/>
      </c>
      <c r="BO23" s="4">
        <f>(BM23-O23)/BM23</f>
        <v/>
      </c>
      <c r="BP23" s="3">
        <f>IF(COUNTIFS(FR_FUEL,K23,FR_YEAR,AP23)&gt;0,1,0)</f>
        <v/>
      </c>
      <c r="BQ23" s="3">
        <f>IF(COUNTIFS(FR_FUEL,K23,FR_YEAR,AP23-1)&gt;0,1,0)</f>
        <v/>
      </c>
      <c r="BR23" s="4">
        <f>IF(N(AQ23)&gt;0,AP23*100+AQ23,IF(AND(BP23=1,BQ23=1),(AP23-1)*100+1,AP23*100+1))</f>
        <v/>
      </c>
      <c r="BS23" s="3">
        <f>IF(OR(K23="hibrido",K23="glp",K23="gnc",K23="phev"),"ECO",IF(K23="electrico","CERO",IF(K23="gasolina",IF(BR23&gt;=GAS_C_YM,"C",IF(BR23&gt;=GAS_B_YM,"B","A")),IF(K23="diesel",IF(BR23&gt;=DIE_C_YM,"C",IF(BR23&gt;=DIE_B_YM,"B","A")),""))))</f>
        <v/>
      </c>
      <c r="BT23" s="2" t="inlineStr">
        <is>
          <t>C</t>
        </is>
      </c>
      <c r="BU23" s="4">
        <f>IF(AU23="sí","sí",IF(AS23="regla",IF(AND(N(AQ23)=0,BP23=1),"sí","no"),"no"))</f>
        <v/>
      </c>
      <c r="BV23" s="3">
        <f>IFERROR(VLOOKUP(F23,MOD_TBL,16,0),IFERROR(VLOOKUP(E23,OCU_TBL,2,0),NEUTRO))</f>
        <v/>
      </c>
      <c r="BW23" s="3">
        <f>SUMIFS(MOT_AJUSTE,MOT_MOTOR,G23,MOT_MARCA,E23,MOT_DESDE,"&lt;="&amp;M23,MOT_HASTA,"&gt;="&amp;M23)+SUMIFS(MOT_AJUSTE,MOT_MOTOR,G23,MOT_MARCA,"(todas)",MOT_DESDE,"&lt;="&amp;M23,MOT_HASTA,"&gt;="&amp;M23)+SUMIFS(MOT_AJUSTE,MOT_MOTOR,"(cualquiera)",MOT_MARCA,E23,MOT_DESDE,"&lt;="&amp;M23,MOT_HASTA,"&gt;="&amp;M23)</f>
        <v/>
      </c>
      <c r="BX23" s="3">
        <f>SUMIFS(COMB_AJUSTE,COMB_COMB,K23)</f>
        <v/>
      </c>
      <c r="BY23" s="3">
        <f>COUNTIFS(MOT_MOTOR,G23,MOT_MARCA,E23,MOT_DESDE,"&lt;="&amp;M23,MOT_HASTA,"&gt;="&amp;M23)+COUNTIFS(MOT_MOTOR,G23,MOT_MARCA,"(todas)",MOT_DESDE,"&lt;="&amp;M23,MOT_HASTA,"&gt;="&amp;M23)+COUNTIFS(MOT_MOTOR,"(cualquiera)",MOT_MARCA,E23,MOT_DESDE,"&lt;="&amp;M23,MOT_HASTA,"&gt;="&amp;M23)</f>
        <v/>
      </c>
      <c r="BZ23" s="3">
        <f>IF(AND(K23="diesel",BY23=0),MIN(BV23,NEUTRO),BV23)</f>
        <v/>
      </c>
      <c r="CA23" s="3">
        <f>MAX(0,MIN(100,BZ23+BW23+BX23-IF(AV23="sí",ROB_PEN,0)))</f>
        <v/>
      </c>
      <c r="CB23" s="3">
        <f>100-MAX(0,N23-KM_TOPE_DESDE)/1000*KM_TOPE_PTS</f>
        <v/>
      </c>
      <c r="CC23" s="3">
        <f>MAX(0,MIN(100,50+BO23*PRECIO_PEND,CB23))</f>
        <v/>
      </c>
      <c r="CD23" s="3">
        <f>MAX(0,100*(1-N23/KM_MAX))</f>
        <v/>
      </c>
      <c r="CE23" s="3">
        <f>IF(BF23&lt;KMA_SOSP,IF(AA23="sí",100,KMA_PEN),IF(BF23&lt;=KMA_IDEAL_MAX,100,MAX(0,100*(KMA_CERO-BF23)/(KMA_CERO-KMA_IDEAL_MAX))))</f>
        <v/>
      </c>
      <c r="CF23" s="3">
        <f>MAX(0,MIN(100,100*(M23-ANIO_MIN)/(ANIO_ACTUAL-ANIO_MIN)))</f>
        <v/>
      </c>
      <c r="CG23" s="3">
        <f>W_KMT*CD23+W_KMA*CE23+W_EDAD*CF23</f>
        <v/>
      </c>
      <c r="CH23" s="3">
        <f>P_ITV*(V23="sí")+P_LIBRO*(W23="sí")+P_CORREA*(X23="sí")+P_PROP*(Y23=1)+P_GAR*(Z23="sí")+P_FOTOS*MIN(1,N(U23)/FOTOS_OBJ)</f>
        <v/>
      </c>
      <c r="CI23" s="3">
        <f>MAX(0,MIN(100,IFERROR(VLOOKUP(BT23,ETQ_TBL,2,0),0)-IF(BU23="sí",ETQ_PEN_DUD,IF(AS23="regla",ETQ_PEN_REGLA,0))))</f>
        <v/>
      </c>
      <c r="CJ23" s="3">
        <f>IF(K23&lt;&gt;"gasolina","",IFERROR(VLOOKUP(F23,CONS_MOD_TBL,2,0),IFERROR(VLOOKUP(L23,CONS_SEG_TBL,2,0),"")))</f>
        <v/>
      </c>
      <c r="CK23" s="3">
        <f>IF(CJ23="",NEUTRO,MAX(0,MIN(100,100*(CONS_REF_MAX-CJ23)/(CONS_REF_MAX-CONS_REF_MIN))))</f>
        <v/>
      </c>
      <c r="CL23" s="3">
        <f>IFERROR(VLOOKUP(L23,SEGURO_TBL,3,0),"")</f>
        <v/>
      </c>
      <c r="CM23" s="3">
        <f>IF(CL23="",NEUTRO,MAX(0,MIN(100,100*(SEG_REF_MAX-CL23)/(SEG_REF_MAX-SEG_REF_MIN))))</f>
        <v/>
      </c>
      <c r="CN23" s="3">
        <f>W_CONS*CK23+W_SEG*CM23</f>
        <v/>
      </c>
      <c r="CO23" s="3">
        <f>IF(N(AB23)&gt;0,AB23,IF(AND(R23="profesional",SG_LEGAL_ON=1),GAR_LEGAL,0))</f>
        <v/>
      </c>
      <c r="CP23" s="3">
        <f>SG_GAR*MIN(1,CO23/SG_GAR_FULL)+SG_AMPL*(AC23="sí")+SG_KMC*(AF23="sí")+SG_REV*(N(AE23)&gt;0)+SG_DEV*MIN(1,N(AG23)/SG_DEV_FULL)+SG_HIST*(W23="sí")</f>
        <v/>
      </c>
      <c r="CQ23" s="3">
        <f>IF(AW23="sí",ESTILO_PRIO,IFERROR(VLOOKUP(L23,ESTILO_TBL,2,0),NEUTRO))</f>
        <v/>
      </c>
      <c r="CR23" s="3">
        <f>IFERROR(VLOOKUP(L23,CARR_PEN_TBL,2,0),0)</f>
        <v/>
      </c>
      <c r="CS23" s="3">
        <f>W_FIAB*CA23+W_PRECIO*CC23+W_KMEDAD*CG23+W_ANUNCIO*CH23+W_USO*CN23+W_SEGURIDAD*CP23+W_ETIQUETA*CI23+W_ESTILO*CQ23-CR23</f>
        <v/>
      </c>
      <c r="CT23" s="4">
        <f>IF(N(I23)&gt;0,I23,IFERROR(ROUND(_xlfn.NUMBERVALUE(LEFT(G23,FIND(" ",G23&amp;" ")-1),".")*1000,0),99999))</f>
        <v/>
      </c>
      <c r="CU23" s="3">
        <f>IF(R23="profesional",0,IF(O23&lt;CUOTA_VALOR_MAX,IF(BE23&gt;ITP_TRAMO_ALTO,SUMIFS(CF_CUOTA,CF_MAS,ITP_TRAMO_ALTO,CF_CCMIN,"&lt;="&amp;CT23,CF_CCMAX,"&gt;="&amp;CT23),IF(BE23&gt;ITP_TRAMO_BAJO,SUMIFS(CF_CUOTA,CF_MAS,ITP_TRAMO_BAJO,CF_CCMIN,"&lt;="&amp;CT23,CF_CCMAX,"&gt;="&amp;CT23),O23*ITP_TIPO)),O23*ITP_TIPO))</f>
        <v/>
      </c>
      <c r="CV23" s="4">
        <f>IF(R23="profesional",N(AK23),0)</f>
        <v/>
      </c>
      <c r="CW23" s="3">
        <f>IF(AND(R23="profesional",ISNUMBER(AK23),AL23="sí"),0,TASA_DGT)</f>
        <v/>
      </c>
      <c r="CX23" s="3">
        <f>INFORME_DGT</f>
        <v/>
      </c>
      <c r="CY23" s="4">
        <f>O23+CV23+CU23+CW23+CX23</f>
        <v/>
      </c>
      <c r="CZ23" s="4">
        <f>CY23+N(CL23)</f>
        <v/>
      </c>
      <c r="DA23" s="3">
        <f>IF(CY23&lt;=TOTAL_MAX,"sí",IF(CY23&lt;=TOTAL_MAX+MARGEN_NEG,"negociar","no"))</f>
        <v/>
      </c>
      <c r="DB23" s="4">
        <f>IF(DA23&lt;&gt;"no",COUNTIFS($DA$2:$DA$130,"&lt;&gt;no",$CS$2:$CS$130,"&gt;"&amp;CS23)+COUNTIFS($DA$2:DA23,"&lt;&gt;no",$CS$2:CS23,CS23),"")</f>
        <v/>
      </c>
    </row>
    <row r="24">
      <c r="A24" s="2" t="inlineStr">
        <is>
          <t>ocasionplus:b1himqaq</t>
        </is>
      </c>
      <c r="B24" s="2" t="inlineStr">
        <is>
          <t>ocasionplus</t>
        </is>
      </c>
      <c r="C24" s="2" t="inlineStr">
        <is>
          <t>https://www.ocasionplus.com/coches-segunda-mano/lancia-ypsilon-14-8v-platino-con-126555km-2007-b1himqaq</t>
        </is>
      </c>
      <c r="D24" s="2" t="inlineStr">
        <is>
          <t>Lancia Ypsilon 1.4 8v Platino (77 CV)</t>
        </is>
      </c>
      <c r="E24" s="2" t="inlineStr">
        <is>
          <t>Lancia</t>
        </is>
      </c>
      <c r="F24" s="2" t="inlineStr">
        <is>
          <t>Lancia Ypsilon</t>
        </is>
      </c>
      <c r="G24" s="2" t="inlineStr">
        <is>
          <t>1.4</t>
        </is>
      </c>
      <c r="H24" s="2" t="inlineStr">
        <is>
          <t>Lancia Ypsilon 1.4 8v Platino (77 CV)</t>
        </is>
      </c>
      <c r="I24" s="2" t="n">
        <v>1368</v>
      </c>
      <c r="J24" s="2" t="n">
        <v>77</v>
      </c>
      <c r="K24" s="2" t="inlineStr">
        <is>
          <t>gasolina</t>
        </is>
      </c>
      <c r="L24" s="2" t="inlineStr">
        <is>
          <t>compacto</t>
        </is>
      </c>
      <c r="M24" s="2" t="n">
        <v>2007</v>
      </c>
      <c r="N24" s="2" t="n">
        <v>126555</v>
      </c>
      <c r="O24" s="2" t="n">
        <v>4490</v>
      </c>
      <c r="P24" s="2" t="inlineStr">
        <is>
          <t>manual</t>
        </is>
      </c>
      <c r="Q24" s="2" t="inlineStr">
        <is>
          <t>no</t>
        </is>
      </c>
      <c r="R24" s="2" t="inlineStr">
        <is>
          <t>profesional</t>
        </is>
      </c>
      <c r="S24" s="2" t="inlineStr">
        <is>
          <t>Valencia - Paterna (Paterna, 46980)</t>
        </is>
      </c>
      <c r="T24" s="2" t="inlineStr">
        <is>
          <t>2026-10-26T00:00:00.000Z</t>
        </is>
      </c>
      <c r="U24" s="2" t="n">
        <v>32</v>
      </c>
      <c r="V24" s="2" t="inlineStr">
        <is>
          <t>sí</t>
        </is>
      </c>
      <c r="W24" s="2" t="inlineStr">
        <is>
          <t>sí</t>
        </is>
      </c>
      <c r="X24" s="2" t="n"/>
      <c r="Y24" s="2" t="n">
        <v>0</v>
      </c>
      <c r="Z24" s="2" t="inlineStr">
        <is>
          <t>sí</t>
        </is>
      </c>
      <c r="AA24" s="2" t="n"/>
      <c r="AB24" s="2" t="n">
        <v>12</v>
      </c>
      <c r="AC24" s="2" t="inlineStr">
        <is>
          <t>sí</t>
        </is>
      </c>
      <c r="AD24" s="2" t="n">
        <v>500</v>
      </c>
      <c r="AE24" s="2" t="n">
        <v>200</v>
      </c>
      <c r="AF24" s="2" t="inlineStr">
        <is>
          <t>sí</t>
        </is>
      </c>
      <c r="AG24" s="2" t="n"/>
      <c r="AH24" s="2" t="n">
        <v>4490</v>
      </c>
      <c r="AI24" s="2" t="n">
        <v>4490</v>
      </c>
      <c r="AJ24" s="2" t="inlineStr">
        <is>
          <t>no</t>
        </is>
      </c>
      <c r="AK24" s="2" t="n">
        <v>350</v>
      </c>
      <c r="AL24" s="2" t="inlineStr">
        <is>
          <t>sí</t>
        </is>
      </c>
      <c r="AM24" s="2" t="n">
        <v>5.9</v>
      </c>
      <c r="AN24" s="2" t="inlineStr">
        <is>
          <t>8775FTG</t>
        </is>
      </c>
      <c r="AO24" s="2" t="inlineStr">
        <is>
          <t>2007-07-26</t>
        </is>
      </c>
      <c r="AP24" s="2" t="n">
        <v>2007</v>
      </c>
      <c r="AQ24" s="2" t="n">
        <v>7</v>
      </c>
      <c r="AR24" s="2" t="inlineStr">
        <is>
          <t>C</t>
        </is>
      </c>
      <c r="AS24" s="2" t="inlineStr">
        <is>
          <t>DGT</t>
        </is>
      </c>
      <c r="AT24" s="2" t="n"/>
      <c r="AU24" s="2" t="inlineStr">
        <is>
          <t>no</t>
        </is>
      </c>
      <c r="AV24" s="2" t="inlineStr">
        <is>
          <t>no</t>
        </is>
      </c>
      <c r="AW24" s="2" t="inlineStr">
        <is>
          <t>no</t>
        </is>
      </c>
      <c r="AX24" s="2" t="n"/>
      <c r="AY24" s="2" t="n"/>
      <c r="AZ24" s="2" t="n"/>
      <c r="BA24" s="2" t="n"/>
      <c r="BB24" s="2" t="inlineStr">
        <is>
          <t>vendedor profesional: sin ITP (operación con IVA/REBU, confirmar en factura); revisar: no menciona la ITV; fiabilidad del modelo PENDIENTE de fuente (puntuación neutra); mediana con solo 1 anuncio(s)</t>
        </is>
      </c>
      <c r="BC24" s="2" t="inlineStr">
        <is>
          <t>Lancia Ypsilon 1.4 8v Platino (77 CV)</t>
        </is>
      </c>
      <c r="BD24" s="2" t="inlineStr">
        <is>
          <t>https://www.ocasionplus.com/coches-segunda-mano/lancia-ypsilon-14-8v-platino-con-126555km-2007-b1himqaq (payload RSC 'vehicle') /home/user/Alopecia/buscador-coches/raw/ocasionplus/3299778c56e8c9aa.json</t>
        </is>
      </c>
      <c r="BE24" s="3">
        <f>MAX(ANIO_ACTUAL-M24,0)</f>
        <v/>
      </c>
      <c r="BF24" s="4">
        <f>N24/MAX(BE24,0.5)</f>
        <v/>
      </c>
      <c r="BG24" s="4">
        <f>F24</f>
        <v/>
      </c>
      <c r="BH24" s="3">
        <f>BG24&amp;"|"&amp;INT(M24/SEG_ANIO)*SEG_ANIO</f>
        <v/>
      </c>
      <c r="BI24" s="3">
        <f>BH24&amp;"|"&amp;INT(N24/SEG_KM)*SEG_KM</f>
        <v/>
      </c>
      <c r="BJ24" s="4">
        <f>COUNTIF($BG$2:$BG$130,BG24)</f>
        <v/>
      </c>
      <c r="BK24" s="4">
        <f>COUNTIF($BH$2:$BH$130,BH24)</f>
        <v/>
      </c>
      <c r="BL24" s="4">
        <f>COUNTIF($BI$2:$BI$130,BI24)</f>
        <v/>
      </c>
      <c r="BM24" s="3">
        <f t="array" ref="BM24">IF(N(AY24)&gt;=MIN_N,AX24,IF(BL24&gt;=MIN_N,MEDIAN(IF($BI$2:$BI$130=BI24,$O$2:$O$130)),IF(BK24&gt;=MIN_N,MEDIAN(IF($BH$2:$BH$130=BH24,$O$2:$O$130)),MEDIAN(IF($BG$2:$BG$130=BG24,$O$2:$O$130)))))</f>
        <v/>
      </c>
      <c r="BN24" s="3">
        <f>IF(N(AY24)&gt;=MIN_N,"mercado "&amp;AZ24,IF(BL24&gt;=MIN_N,"modelo+año+km",IF(BK24&gt;=MIN_N,"modelo+año","modelo")))</f>
        <v/>
      </c>
      <c r="BO24" s="4">
        <f>(BM24-O24)/BM24</f>
        <v/>
      </c>
      <c r="BP24" s="3">
        <f>IF(COUNTIFS(FR_FUEL,K24,FR_YEAR,AP24)&gt;0,1,0)</f>
        <v/>
      </c>
      <c r="BQ24" s="3">
        <f>IF(COUNTIFS(FR_FUEL,K24,FR_YEAR,AP24-1)&gt;0,1,0)</f>
        <v/>
      </c>
      <c r="BR24" s="4">
        <f>IF(N(AQ24)&gt;0,AP24*100+AQ24,IF(AND(BP24=1,BQ24=1),(AP24-1)*100+1,AP24*100+1))</f>
        <v/>
      </c>
      <c r="BS24" s="3">
        <f>IF(OR(K24="hibrido",K24="glp",K24="gnc",K24="phev"),"ECO",IF(K24="electrico","CERO",IF(K24="gasolina",IF(BR24&gt;=GAS_C_YM,"C",IF(BR24&gt;=GAS_B_YM,"B","A")),IF(K24="diesel",IF(BR24&gt;=DIE_C_YM,"C",IF(BR24&gt;=DIE_B_YM,"B","A")),""))))</f>
        <v/>
      </c>
      <c r="BT24" s="2" t="inlineStr">
        <is>
          <t>C</t>
        </is>
      </c>
      <c r="BU24" s="4">
        <f>IF(AU24="sí","sí",IF(AS24="regla",IF(AND(N(AQ24)=0,BP24=1),"sí","no"),"no"))</f>
        <v/>
      </c>
      <c r="BV24" s="3">
        <f>IFERROR(VLOOKUP(F24,MOD_TBL,16,0),IFERROR(VLOOKUP(E24,OCU_TBL,2,0),NEUTRO))</f>
        <v/>
      </c>
      <c r="BW24" s="3">
        <f>SUMIFS(MOT_AJUSTE,MOT_MOTOR,G24,MOT_MARCA,E24,MOT_DESDE,"&lt;="&amp;M24,MOT_HASTA,"&gt;="&amp;M24)+SUMIFS(MOT_AJUSTE,MOT_MOTOR,G24,MOT_MARCA,"(todas)",MOT_DESDE,"&lt;="&amp;M24,MOT_HASTA,"&gt;="&amp;M24)+SUMIFS(MOT_AJUSTE,MOT_MOTOR,"(cualquiera)",MOT_MARCA,E24,MOT_DESDE,"&lt;="&amp;M24,MOT_HASTA,"&gt;="&amp;M24)</f>
        <v/>
      </c>
      <c r="BX24" s="3">
        <f>SUMIFS(COMB_AJUSTE,COMB_COMB,K24)</f>
        <v/>
      </c>
      <c r="BY24" s="3">
        <f>COUNTIFS(MOT_MOTOR,G24,MOT_MARCA,E24,MOT_DESDE,"&lt;="&amp;M24,MOT_HASTA,"&gt;="&amp;M24)+COUNTIFS(MOT_MOTOR,G24,MOT_MARCA,"(todas)",MOT_DESDE,"&lt;="&amp;M24,MOT_HASTA,"&gt;="&amp;M24)+COUNTIFS(MOT_MOTOR,"(cualquiera)",MOT_MARCA,E24,MOT_DESDE,"&lt;="&amp;M24,MOT_HASTA,"&gt;="&amp;M24)</f>
        <v/>
      </c>
      <c r="BZ24" s="3">
        <f>IF(AND(K24="diesel",BY24=0),MIN(BV24,NEUTRO),BV24)</f>
        <v/>
      </c>
      <c r="CA24" s="3">
        <f>MAX(0,MIN(100,BZ24+BW24+BX24-IF(AV24="sí",ROB_PEN,0)))</f>
        <v/>
      </c>
      <c r="CB24" s="3">
        <f>100-MAX(0,N24-KM_TOPE_DESDE)/1000*KM_TOPE_PTS</f>
        <v/>
      </c>
      <c r="CC24" s="3">
        <f>MAX(0,MIN(100,50+BO24*PRECIO_PEND,CB24))</f>
        <v/>
      </c>
      <c r="CD24" s="3">
        <f>MAX(0,100*(1-N24/KM_MAX))</f>
        <v/>
      </c>
      <c r="CE24" s="3">
        <f>IF(BF24&lt;KMA_SOSP,IF(AA24="sí",100,KMA_PEN),IF(BF24&lt;=KMA_IDEAL_MAX,100,MAX(0,100*(KMA_CERO-BF24)/(KMA_CERO-KMA_IDEAL_MAX))))</f>
        <v/>
      </c>
      <c r="CF24" s="3">
        <f>MAX(0,MIN(100,100*(M24-ANIO_MIN)/(ANIO_ACTUAL-ANIO_MIN)))</f>
        <v/>
      </c>
      <c r="CG24" s="3">
        <f>W_KMT*CD24+W_KMA*CE24+W_EDAD*CF24</f>
        <v/>
      </c>
      <c r="CH24" s="3">
        <f>P_ITV*(V24="sí")+P_LIBRO*(W24="sí")+P_CORREA*(X24="sí")+P_PROP*(Y24=1)+P_GAR*(Z24="sí")+P_FOTOS*MIN(1,N(U24)/FOTOS_OBJ)</f>
        <v/>
      </c>
      <c r="CI24" s="3">
        <f>MAX(0,MIN(100,IFERROR(VLOOKUP(BT24,ETQ_TBL,2,0),0)-IF(BU24="sí",ETQ_PEN_DUD,IF(AS24="regla",ETQ_PEN_REGLA,0))))</f>
        <v/>
      </c>
      <c r="CJ24" s="3">
        <f>IF(K24&lt;&gt;"gasolina","",IFERROR(VLOOKUP(F24,CONS_MOD_TBL,2,0),IFERROR(VLOOKUP(L24,CONS_SEG_TBL,2,0),"")))</f>
        <v/>
      </c>
      <c r="CK24" s="3">
        <f>IF(CJ24="",NEUTRO,MAX(0,MIN(100,100*(CONS_REF_MAX-CJ24)/(CONS_REF_MAX-CONS_REF_MIN))))</f>
        <v/>
      </c>
      <c r="CL24" s="3">
        <f>IFERROR(VLOOKUP(L24,SEGURO_TBL,3,0),"")</f>
        <v/>
      </c>
      <c r="CM24" s="3">
        <f>IF(CL24="",NEUTRO,MAX(0,MIN(100,100*(SEG_REF_MAX-CL24)/(SEG_REF_MAX-SEG_REF_MIN))))</f>
        <v/>
      </c>
      <c r="CN24" s="3">
        <f>W_CONS*CK24+W_SEG*CM24</f>
        <v/>
      </c>
      <c r="CO24" s="3">
        <f>IF(N(AB24)&gt;0,AB24,IF(AND(R24="profesional",SG_LEGAL_ON=1),GAR_LEGAL,0))</f>
        <v/>
      </c>
      <c r="CP24" s="3">
        <f>SG_GAR*MIN(1,CO24/SG_GAR_FULL)+SG_AMPL*(AC24="sí")+SG_KMC*(AF24="sí")+SG_REV*(N(AE24)&gt;0)+SG_DEV*MIN(1,N(AG24)/SG_DEV_FULL)+SG_HIST*(W24="sí")</f>
        <v/>
      </c>
      <c r="CQ24" s="3">
        <f>IF(AW24="sí",ESTILO_PRIO,IFERROR(VLOOKUP(L24,ESTILO_TBL,2,0),NEUTRO))</f>
        <v/>
      </c>
      <c r="CR24" s="3">
        <f>IFERROR(VLOOKUP(L24,CARR_PEN_TBL,2,0),0)</f>
        <v/>
      </c>
      <c r="CS24" s="3">
        <f>W_FIAB*CA24+W_PRECIO*CC24+W_KMEDAD*CG24+W_ANUNCIO*CH24+W_USO*CN24+W_SEGURIDAD*CP24+W_ETIQUETA*CI24+W_ESTILO*CQ24-CR24</f>
        <v/>
      </c>
      <c r="CT24" s="4">
        <f>IF(N(I24)&gt;0,I24,IFERROR(ROUND(_xlfn.NUMBERVALUE(LEFT(G24,FIND(" ",G24&amp;" ")-1),".")*1000,0),99999))</f>
        <v/>
      </c>
      <c r="CU24" s="3">
        <f>IF(R24="profesional",0,IF(O24&lt;CUOTA_VALOR_MAX,IF(BE24&gt;ITP_TRAMO_ALTO,SUMIFS(CF_CUOTA,CF_MAS,ITP_TRAMO_ALTO,CF_CCMIN,"&lt;="&amp;CT24,CF_CCMAX,"&gt;="&amp;CT24),IF(BE24&gt;ITP_TRAMO_BAJO,SUMIFS(CF_CUOTA,CF_MAS,ITP_TRAMO_BAJO,CF_CCMIN,"&lt;="&amp;CT24,CF_CCMAX,"&gt;="&amp;CT24),O24*ITP_TIPO)),O24*ITP_TIPO))</f>
        <v/>
      </c>
      <c r="CV24" s="4">
        <f>IF(R24="profesional",N(AK24),0)</f>
        <v/>
      </c>
      <c r="CW24" s="3">
        <f>IF(AND(R24="profesional",ISNUMBER(AK24),AL24="sí"),0,TASA_DGT)</f>
        <v/>
      </c>
      <c r="CX24" s="3">
        <f>INFORME_DGT</f>
        <v/>
      </c>
      <c r="CY24" s="4">
        <f>O24+CV24+CU24+CW24+CX24</f>
        <v/>
      </c>
      <c r="CZ24" s="4">
        <f>CY24+N(CL24)</f>
        <v/>
      </c>
      <c r="DA24" s="3">
        <f>IF(CY24&lt;=TOTAL_MAX,"sí",IF(CY24&lt;=TOTAL_MAX+MARGEN_NEG,"negociar","no"))</f>
        <v/>
      </c>
      <c r="DB24" s="4">
        <f>IF(DA24&lt;&gt;"no",COUNTIFS($DA$2:$DA$130,"&lt;&gt;no",$CS$2:$CS$130,"&gt;"&amp;CS24)+COUNTIFS($DA$2:DA24,"&lt;&gt;no",$CS$2:CS24,CS24),"")</f>
        <v/>
      </c>
    </row>
    <row r="25">
      <c r="A25" s="2" t="inlineStr">
        <is>
          <t>ocasionplus:zgabhqan</t>
        </is>
      </c>
      <c r="B25" s="2" t="inlineStr">
        <is>
          <t>ocasionplus</t>
        </is>
      </c>
      <c r="C25" s="2" t="inlineStr">
        <is>
          <t>https://www.ocasionplus.com/coches-segunda-mano/renault-clio-14-16v-dynamique-con-106165km-2006-zgabhqan</t>
        </is>
      </c>
      <c r="D25" s="2" t="inlineStr">
        <is>
          <t>Renault Clio 1.4 16v Dynamique (100 CV)</t>
        </is>
      </c>
      <c r="E25" s="2" t="inlineStr">
        <is>
          <t>Renault</t>
        </is>
      </c>
      <c r="F25" s="2" t="inlineStr">
        <is>
          <t>Renault Clio</t>
        </is>
      </c>
      <c r="G25" s="2" t="inlineStr">
        <is>
          <t>1.4</t>
        </is>
      </c>
      <c r="H25" s="2" t="inlineStr">
        <is>
          <t>Renault Clio 1.4 16v Dynamique (100 CV)</t>
        </is>
      </c>
      <c r="I25" s="2" t="n">
        <v>1390</v>
      </c>
      <c r="J25" s="2" t="n">
        <v>100</v>
      </c>
      <c r="K25" s="2" t="inlineStr">
        <is>
          <t>gasolina</t>
        </is>
      </c>
      <c r="L25" s="2" t="inlineStr">
        <is>
          <t>utilitario</t>
        </is>
      </c>
      <c r="M25" s="2" t="n">
        <v>2006</v>
      </c>
      <c r="N25" s="2" t="n">
        <v>106165</v>
      </c>
      <c r="O25" s="2" t="n">
        <v>4700</v>
      </c>
      <c r="P25" s="2" t="inlineStr">
        <is>
          <t>manual</t>
        </is>
      </c>
      <c r="Q25" s="2" t="inlineStr">
        <is>
          <t>no</t>
        </is>
      </c>
      <c r="R25" s="2" t="inlineStr">
        <is>
          <t>profesional</t>
        </is>
      </c>
      <c r="S25" s="2" t="inlineStr">
        <is>
          <t>Valencia - Pista de Silla - Macrocentro (Massanassa, 46470)</t>
        </is>
      </c>
      <c r="T25" s="2" t="inlineStr">
        <is>
          <t>2026-09-30T00:00:00.000Z</t>
        </is>
      </c>
      <c r="U25" s="2" t="n">
        <v>35</v>
      </c>
      <c r="V25" s="2" t="inlineStr">
        <is>
          <t>sí</t>
        </is>
      </c>
      <c r="W25" s="2" t="n"/>
      <c r="X25" s="2" t="n"/>
      <c r="Y25" s="2" t="n">
        <v>1</v>
      </c>
      <c r="Z25" s="2" t="inlineStr">
        <is>
          <t>sí</t>
        </is>
      </c>
      <c r="AA25" s="2" t="n"/>
      <c r="AB25" s="2" t="n">
        <v>12</v>
      </c>
      <c r="AC25" s="2" t="inlineStr">
        <is>
          <t>sí</t>
        </is>
      </c>
      <c r="AD25" s="2" t="n">
        <v>600</v>
      </c>
      <c r="AE25" s="2" t="n">
        <v>200</v>
      </c>
      <c r="AF25" s="2" t="inlineStr">
        <is>
          <t>sí</t>
        </is>
      </c>
      <c r="AG25" s="2" t="n"/>
      <c r="AH25" s="2" t="n">
        <v>4700</v>
      </c>
      <c r="AI25" s="2" t="n">
        <v>4500</v>
      </c>
      <c r="AJ25" s="2" t="inlineStr">
        <is>
          <t>sí</t>
        </is>
      </c>
      <c r="AK25" s="2" t="n">
        <v>350</v>
      </c>
      <c r="AL25" s="2" t="inlineStr">
        <is>
          <t>sí</t>
        </is>
      </c>
      <c r="AM25" s="2" t="n">
        <v>7.8</v>
      </c>
      <c r="AN25" s="2" t="inlineStr">
        <is>
          <t>9285FGY</t>
        </is>
      </c>
      <c r="AO25" s="2" t="inlineStr">
        <is>
          <t>2006-10-27</t>
        </is>
      </c>
      <c r="AP25" s="2" t="n">
        <v>2006</v>
      </c>
      <c r="AQ25" s="2" t="n">
        <v>10</v>
      </c>
      <c r="AR25" s="2" t="inlineStr">
        <is>
          <t>C</t>
        </is>
      </c>
      <c r="AS25" s="2" t="inlineStr">
        <is>
          <t>DGT</t>
        </is>
      </c>
      <c r="AT25" s="2" t="n"/>
      <c r="AU25" s="2" t="inlineStr">
        <is>
          <t>no</t>
        </is>
      </c>
      <c r="AV25" s="2" t="inlineStr">
        <is>
          <t>no</t>
        </is>
      </c>
      <c r="AW25" s="2" t="inlineStr">
        <is>
          <t>no</t>
        </is>
      </c>
      <c r="AX25" s="2" t="n">
        <v>2750</v>
      </c>
      <c r="AY25" s="2" t="n">
        <v>18</v>
      </c>
      <c r="AZ25" s="2" t="inlineStr">
        <is>
          <t>modelo+año</t>
        </is>
      </c>
      <c r="BA25" s="2" t="n"/>
      <c r="BB25" s="2" t="inlineStr">
        <is>
          <t>por encima del presupuesto (5059 €), negociar; vendedor profesional: sin ITP (operación con IVA/REBU, confirmar en factura); el precio anunciado (4.500 €) solo vale financiando; se usa el precio al contado; revisar: no menciona la ITV</t>
        </is>
      </c>
      <c r="BC25" s="2" t="inlineStr">
        <is>
          <t>Renault Clio 1.4 16v Dynamique (100 CV)</t>
        </is>
      </c>
      <c r="BD25" s="2" t="inlineStr">
        <is>
          <t>https://www.ocasionplus.com/coches-segunda-mano/renault-clio-14-16v-dynamique-con-106165km-2006-zgabhqan (payload RSC 'vehicle') /home/user/Alopecia/buscador-coches/raw/ocasionplus/f403fe1285048607.json</t>
        </is>
      </c>
      <c r="BE25" s="3">
        <f>MAX(ANIO_ACTUAL-M25,0)</f>
        <v/>
      </c>
      <c r="BF25" s="4">
        <f>N25/MAX(BE25,0.5)</f>
        <v/>
      </c>
      <c r="BG25" s="4">
        <f>F25</f>
        <v/>
      </c>
      <c r="BH25" s="3">
        <f>BG25&amp;"|"&amp;INT(M25/SEG_ANIO)*SEG_ANIO</f>
        <v/>
      </c>
      <c r="BI25" s="3">
        <f>BH25&amp;"|"&amp;INT(N25/SEG_KM)*SEG_KM</f>
        <v/>
      </c>
      <c r="BJ25" s="4">
        <f>COUNTIF($BG$2:$BG$130,BG25)</f>
        <v/>
      </c>
      <c r="BK25" s="4">
        <f>COUNTIF($BH$2:$BH$130,BH25)</f>
        <v/>
      </c>
      <c r="BL25" s="4">
        <f>COUNTIF($BI$2:$BI$130,BI25)</f>
        <v/>
      </c>
      <c r="BM25" s="3">
        <f t="array" ref="BM25">IF(N(AY25)&gt;=MIN_N,AX25,IF(BL25&gt;=MIN_N,MEDIAN(IF($BI$2:$BI$130=BI25,$O$2:$O$130)),IF(BK25&gt;=MIN_N,MEDIAN(IF($BH$2:$BH$130=BH25,$O$2:$O$130)),MEDIAN(IF($BG$2:$BG$130=BG25,$O$2:$O$130)))))</f>
        <v/>
      </c>
      <c r="BN25" s="3">
        <f>IF(N(AY25)&gt;=MIN_N,"mercado "&amp;AZ25,IF(BL25&gt;=MIN_N,"modelo+año+km",IF(BK25&gt;=MIN_N,"modelo+año","modelo")))</f>
        <v/>
      </c>
      <c r="BO25" s="4">
        <f>(BM25-O25)/BM25</f>
        <v/>
      </c>
      <c r="BP25" s="3">
        <f>IF(COUNTIFS(FR_FUEL,K25,FR_YEAR,AP25)&gt;0,1,0)</f>
        <v/>
      </c>
      <c r="BQ25" s="3">
        <f>IF(COUNTIFS(FR_FUEL,K25,FR_YEAR,AP25-1)&gt;0,1,0)</f>
        <v/>
      </c>
      <c r="BR25" s="4">
        <f>IF(N(AQ25)&gt;0,AP25*100+AQ25,IF(AND(BP25=1,BQ25=1),(AP25-1)*100+1,AP25*100+1))</f>
        <v/>
      </c>
      <c r="BS25" s="3">
        <f>IF(OR(K25="hibrido",K25="glp",K25="gnc",K25="phev"),"ECO",IF(K25="electrico","CERO",IF(K25="gasolina",IF(BR25&gt;=GAS_C_YM,"C",IF(BR25&gt;=GAS_B_YM,"B","A")),IF(K25="diesel",IF(BR25&gt;=DIE_C_YM,"C",IF(BR25&gt;=DIE_B_YM,"B","A")),""))))</f>
        <v/>
      </c>
      <c r="BT25" s="2" t="inlineStr">
        <is>
          <t>C</t>
        </is>
      </c>
      <c r="BU25" s="4">
        <f>IF(AU25="sí","sí",IF(AS25="regla",IF(AND(N(AQ25)=0,BP25=1),"sí","no"),"no"))</f>
        <v/>
      </c>
      <c r="BV25" s="3">
        <f>IFERROR(VLOOKUP(F25,MOD_TBL,16,0),IFERROR(VLOOKUP(E25,OCU_TBL,2,0),NEUTRO))</f>
        <v/>
      </c>
      <c r="BW25" s="3">
        <f>SUMIFS(MOT_AJUSTE,MOT_MOTOR,G25,MOT_MARCA,E25,MOT_DESDE,"&lt;="&amp;M25,MOT_HASTA,"&gt;="&amp;M25)+SUMIFS(MOT_AJUSTE,MOT_MOTOR,G25,MOT_MARCA,"(todas)",MOT_DESDE,"&lt;="&amp;M25,MOT_HASTA,"&gt;="&amp;M25)+SUMIFS(MOT_AJUSTE,MOT_MOTOR,"(cualquiera)",MOT_MARCA,E25,MOT_DESDE,"&lt;="&amp;M25,MOT_HASTA,"&gt;="&amp;M25)</f>
        <v/>
      </c>
      <c r="BX25" s="3">
        <f>SUMIFS(COMB_AJUSTE,COMB_COMB,K25)</f>
        <v/>
      </c>
      <c r="BY25" s="3">
        <f>COUNTIFS(MOT_MOTOR,G25,MOT_MARCA,E25,MOT_DESDE,"&lt;="&amp;M25,MOT_HASTA,"&gt;="&amp;M25)+COUNTIFS(MOT_MOTOR,G25,MOT_MARCA,"(todas)",MOT_DESDE,"&lt;="&amp;M25,MOT_HASTA,"&gt;="&amp;M25)+COUNTIFS(MOT_MOTOR,"(cualquiera)",MOT_MARCA,E25,MOT_DESDE,"&lt;="&amp;M25,MOT_HASTA,"&gt;="&amp;M25)</f>
        <v/>
      </c>
      <c r="BZ25" s="3">
        <f>IF(AND(K25="diesel",BY25=0),MIN(BV25,NEUTRO),BV25)</f>
        <v/>
      </c>
      <c r="CA25" s="3">
        <f>MAX(0,MIN(100,BZ25+BW25+BX25-IF(AV25="sí",ROB_PEN,0)))</f>
        <v/>
      </c>
      <c r="CB25" s="3">
        <f>100-MAX(0,N25-KM_TOPE_DESDE)/1000*KM_TOPE_PTS</f>
        <v/>
      </c>
      <c r="CC25" s="3">
        <f>MAX(0,MIN(100,50+BO25*PRECIO_PEND,CB25))</f>
        <v/>
      </c>
      <c r="CD25" s="3">
        <f>MAX(0,100*(1-N25/KM_MAX))</f>
        <v/>
      </c>
      <c r="CE25" s="3">
        <f>IF(BF25&lt;KMA_SOSP,IF(AA25="sí",100,KMA_PEN),IF(BF25&lt;=KMA_IDEAL_MAX,100,MAX(0,100*(KMA_CERO-BF25)/(KMA_CERO-KMA_IDEAL_MAX))))</f>
        <v/>
      </c>
      <c r="CF25" s="3">
        <f>MAX(0,MIN(100,100*(M25-ANIO_MIN)/(ANIO_ACTUAL-ANIO_MIN)))</f>
        <v/>
      </c>
      <c r="CG25" s="3">
        <f>W_KMT*CD25+W_KMA*CE25+W_EDAD*CF25</f>
        <v/>
      </c>
      <c r="CH25" s="3">
        <f>P_ITV*(V25="sí")+P_LIBRO*(W25="sí")+P_CORREA*(X25="sí")+P_PROP*(Y25=1)+P_GAR*(Z25="sí")+P_FOTOS*MIN(1,N(U25)/FOTOS_OBJ)</f>
        <v/>
      </c>
      <c r="CI25" s="3">
        <f>MAX(0,MIN(100,IFERROR(VLOOKUP(BT25,ETQ_TBL,2,0),0)-IF(BU25="sí",ETQ_PEN_DUD,IF(AS25="regla",ETQ_PEN_REGLA,0))))</f>
        <v/>
      </c>
      <c r="CJ25" s="3">
        <f>IF(K25&lt;&gt;"gasolina","",IFERROR(VLOOKUP(F25,CONS_MOD_TBL,2,0),IFERROR(VLOOKUP(L25,CONS_SEG_TBL,2,0),"")))</f>
        <v/>
      </c>
      <c r="CK25" s="3">
        <f>IF(CJ25="",NEUTRO,MAX(0,MIN(100,100*(CONS_REF_MAX-CJ25)/(CONS_REF_MAX-CONS_REF_MIN))))</f>
        <v/>
      </c>
      <c r="CL25" s="3">
        <f>IFERROR(VLOOKUP(L25,SEGURO_TBL,3,0),"")</f>
        <v/>
      </c>
      <c r="CM25" s="3">
        <f>IF(CL25="",NEUTRO,MAX(0,MIN(100,100*(SEG_REF_MAX-CL25)/(SEG_REF_MAX-SEG_REF_MIN))))</f>
        <v/>
      </c>
      <c r="CN25" s="3">
        <f>W_CONS*CK25+W_SEG*CM25</f>
        <v/>
      </c>
      <c r="CO25" s="3">
        <f>IF(N(AB25)&gt;0,AB25,IF(AND(R25="profesional",SG_LEGAL_ON=1),GAR_LEGAL,0))</f>
        <v/>
      </c>
      <c r="CP25" s="3">
        <f>SG_GAR*MIN(1,CO25/SG_GAR_FULL)+SG_AMPL*(AC25="sí")+SG_KMC*(AF25="sí")+SG_REV*(N(AE25)&gt;0)+SG_DEV*MIN(1,N(AG25)/SG_DEV_FULL)+SG_HIST*(W25="sí")</f>
        <v/>
      </c>
      <c r="CQ25" s="3">
        <f>IF(AW25="sí",ESTILO_PRIO,IFERROR(VLOOKUP(L25,ESTILO_TBL,2,0),NEUTRO))</f>
        <v/>
      </c>
      <c r="CR25" s="3">
        <f>IFERROR(VLOOKUP(L25,CARR_PEN_TBL,2,0),0)</f>
        <v/>
      </c>
      <c r="CS25" s="3">
        <f>W_FIAB*CA25+W_PRECIO*CC25+W_KMEDAD*CG25+W_ANUNCIO*CH25+W_USO*CN25+W_SEGURIDAD*CP25+W_ETIQUETA*CI25+W_ESTILO*CQ25-CR25</f>
        <v/>
      </c>
      <c r="CT25" s="4">
        <f>IF(N(I25)&gt;0,I25,IFERROR(ROUND(_xlfn.NUMBERVALUE(LEFT(G25,FIND(" ",G25&amp;" ")-1),".")*1000,0),99999))</f>
        <v/>
      </c>
      <c r="CU25" s="3">
        <f>IF(R25="profesional",0,IF(O25&lt;CUOTA_VALOR_MAX,IF(BE25&gt;ITP_TRAMO_ALTO,SUMIFS(CF_CUOTA,CF_MAS,ITP_TRAMO_ALTO,CF_CCMIN,"&lt;="&amp;CT25,CF_CCMAX,"&gt;="&amp;CT25),IF(BE25&gt;ITP_TRAMO_BAJO,SUMIFS(CF_CUOTA,CF_MAS,ITP_TRAMO_BAJO,CF_CCMIN,"&lt;="&amp;CT25,CF_CCMAX,"&gt;="&amp;CT25),O25*ITP_TIPO)),O25*ITP_TIPO))</f>
        <v/>
      </c>
      <c r="CV25" s="4">
        <f>IF(R25="profesional",N(AK25),0)</f>
        <v/>
      </c>
      <c r="CW25" s="3">
        <f>IF(AND(R25="profesional",ISNUMBER(AK25),AL25="sí"),0,TASA_DGT)</f>
        <v/>
      </c>
      <c r="CX25" s="3">
        <f>INFORME_DGT</f>
        <v/>
      </c>
      <c r="CY25" s="4">
        <f>O25+CV25+CU25+CW25+CX25</f>
        <v/>
      </c>
      <c r="CZ25" s="4">
        <f>CY25+N(CL25)</f>
        <v/>
      </c>
      <c r="DA25" s="3">
        <f>IF(CY25&lt;=TOTAL_MAX,"sí",IF(CY25&lt;=TOTAL_MAX+MARGEN_NEG,"negociar","no"))</f>
        <v/>
      </c>
      <c r="DB25" s="4">
        <f>IF(DA25&lt;&gt;"no",COUNTIFS($DA$2:$DA$130,"&lt;&gt;no",$CS$2:$CS$130,"&gt;"&amp;CS25)+COUNTIFS($DA$2:DA25,"&lt;&gt;no",$CS$2:CS25,CS25),"")</f>
        <v/>
      </c>
    </row>
    <row r="26">
      <c r="A26" s="2" t="inlineStr">
        <is>
          <t>ocasionplus:ychajqan</t>
        </is>
      </c>
      <c r="B26" s="2" t="inlineStr">
        <is>
          <t>ocasionplus</t>
        </is>
      </c>
      <c r="C26" s="2" t="inlineStr">
        <is>
          <t>https://www.ocasionplus.com/coches-segunda-mano/seat-ibiza-14-tdi-reference-con-140744km-2007-ychajqan</t>
        </is>
      </c>
      <c r="D26" s="2" t="inlineStr">
        <is>
          <t>Seat Ibiza 1.4 TDI Reference (80 CV)</t>
        </is>
      </c>
      <c r="E26" s="2" t="inlineStr">
        <is>
          <t>Seat</t>
        </is>
      </c>
      <c r="F26" s="2" t="inlineStr">
        <is>
          <t>Seat Ibiza</t>
        </is>
      </c>
      <c r="G26" s="2" t="inlineStr">
        <is>
          <t>1.4 TDI</t>
        </is>
      </c>
      <c r="H26" s="2" t="inlineStr">
        <is>
          <t>Seat Ibiza 1.4 TDI Reference (80 CV)</t>
        </is>
      </c>
      <c r="I26" s="2" t="n">
        <v>1422</v>
      </c>
      <c r="J26" s="2" t="n">
        <v>80</v>
      </c>
      <c r="K26" s="2" t="inlineStr">
        <is>
          <t>diesel</t>
        </is>
      </c>
      <c r="L26" s="2" t="inlineStr">
        <is>
          <t>utilitario</t>
        </is>
      </c>
      <c r="M26" s="2" t="n">
        <v>2007</v>
      </c>
      <c r="N26" s="2" t="n">
        <v>140744</v>
      </c>
      <c r="O26" s="2" t="n">
        <v>3800</v>
      </c>
      <c r="P26" s="2" t="inlineStr">
        <is>
          <t>manual</t>
        </is>
      </c>
      <c r="Q26" s="2" t="inlineStr">
        <is>
          <t>no</t>
        </is>
      </c>
      <c r="R26" s="2" t="inlineStr">
        <is>
          <t>profesional</t>
        </is>
      </c>
      <c r="S26" s="2" t="inlineStr">
        <is>
          <t>Valencia - Sagunto (Sagunto, 46500)</t>
        </is>
      </c>
      <c r="T26" s="2" t="inlineStr">
        <is>
          <t>2026-09-11T00:00:00.000Z</t>
        </is>
      </c>
      <c r="U26" s="2" t="n">
        <v>25</v>
      </c>
      <c r="V26" s="2" t="inlineStr">
        <is>
          <t>sí</t>
        </is>
      </c>
      <c r="W26" s="2" t="n"/>
      <c r="X26" s="2" t="n"/>
      <c r="Y26" s="2" t="n">
        <v>0</v>
      </c>
      <c r="Z26" s="2" t="n"/>
      <c r="AA26" s="2" t="n"/>
      <c r="AB26" s="2" t="n"/>
      <c r="AC26" s="2" t="inlineStr">
        <is>
          <t>sí</t>
        </is>
      </c>
      <c r="AD26" s="2" t="n">
        <v>500</v>
      </c>
      <c r="AE26" s="2" t="n"/>
      <c r="AF26" s="2" t="inlineStr">
        <is>
          <t>sí</t>
        </is>
      </c>
      <c r="AG26" s="2" t="n"/>
      <c r="AH26" s="2" t="n">
        <v>3800</v>
      </c>
      <c r="AI26" s="2" t="n">
        <v>3800</v>
      </c>
      <c r="AJ26" s="2" t="inlineStr">
        <is>
          <t>no</t>
        </is>
      </c>
      <c r="AK26" s="2" t="n">
        <v>350</v>
      </c>
      <c r="AL26" s="2" t="inlineStr">
        <is>
          <t>sí</t>
        </is>
      </c>
      <c r="AM26" s="2" t="n">
        <v>25.5</v>
      </c>
      <c r="AN26" s="2" t="inlineStr">
        <is>
          <t>8191FSH</t>
        </is>
      </c>
      <c r="AO26" s="2" t="inlineStr">
        <is>
          <t>2007-07-11</t>
        </is>
      </c>
      <c r="AP26" s="2" t="n">
        <v>2007</v>
      </c>
      <c r="AQ26" s="2" t="n">
        <v>7</v>
      </c>
      <c r="AR26" s="2" t="inlineStr">
        <is>
          <t>B</t>
        </is>
      </c>
      <c r="AS26" s="2" t="inlineStr">
        <is>
          <t>DGT</t>
        </is>
      </c>
      <c r="AT26" s="2" t="n"/>
      <c r="AU26" s="2" t="inlineStr">
        <is>
          <t>no</t>
        </is>
      </c>
      <c r="AV26" s="2" t="inlineStr">
        <is>
          <t>no</t>
        </is>
      </c>
      <c r="AW26" s="2" t="inlineStr">
        <is>
          <t>no</t>
        </is>
      </c>
      <c r="AX26" s="2" t="n">
        <v>3850</v>
      </c>
      <c r="AY26" s="2" t="n">
        <v>26</v>
      </c>
      <c r="AZ26" s="2" t="inlineStr">
        <is>
          <t>modelo+año</t>
        </is>
      </c>
      <c r="BA26" s="2" t="n"/>
      <c r="BB26" s="2" t="inlineStr">
        <is>
          <t>vendedor profesional: sin ITP (operación con IVA/REBU, confirmar en factura); diésel: motor sin fuente de fiabilidad (fiabilidad limitada a neutra); revisar: no menciona la ITV</t>
        </is>
      </c>
      <c r="BC26" s="2" t="inlineStr">
        <is>
          <t>Seat Ibiza 1.4 TDI Reference (80 CV)</t>
        </is>
      </c>
      <c r="BD26" s="2" t="inlineStr">
        <is>
          <t>https://www.ocasionplus.com/coches-segunda-mano/seat-ibiza-14-tdi-reference-con-140744km-2007-ychajqan (payload RSC 'vehicle') /home/user/Alopecia/buscador-coches/raw/ocasionplus/f1d7ea20071e9f36.json</t>
        </is>
      </c>
      <c r="BE26" s="3">
        <f>MAX(ANIO_ACTUAL-M26,0)</f>
        <v/>
      </c>
      <c r="BF26" s="4">
        <f>N26/MAX(BE26,0.5)</f>
        <v/>
      </c>
      <c r="BG26" s="4">
        <f>F26</f>
        <v/>
      </c>
      <c r="BH26" s="3">
        <f>BG26&amp;"|"&amp;INT(M26/SEG_ANIO)*SEG_ANIO</f>
        <v/>
      </c>
      <c r="BI26" s="3">
        <f>BH26&amp;"|"&amp;INT(N26/SEG_KM)*SEG_KM</f>
        <v/>
      </c>
      <c r="BJ26" s="4">
        <f>COUNTIF($BG$2:$BG$130,BG26)</f>
        <v/>
      </c>
      <c r="BK26" s="4">
        <f>COUNTIF($BH$2:$BH$130,BH26)</f>
        <v/>
      </c>
      <c r="BL26" s="4">
        <f>COUNTIF($BI$2:$BI$130,BI26)</f>
        <v/>
      </c>
      <c r="BM26" s="3">
        <f t="array" ref="BM26">IF(N(AY26)&gt;=MIN_N,AX26,IF(BL26&gt;=MIN_N,MEDIAN(IF($BI$2:$BI$130=BI26,$O$2:$O$130)),IF(BK26&gt;=MIN_N,MEDIAN(IF($BH$2:$BH$130=BH26,$O$2:$O$130)),MEDIAN(IF($BG$2:$BG$130=BG26,$O$2:$O$130)))))</f>
        <v/>
      </c>
      <c r="BN26" s="3">
        <f>IF(N(AY26)&gt;=MIN_N,"mercado "&amp;AZ26,IF(BL26&gt;=MIN_N,"modelo+año+km",IF(BK26&gt;=MIN_N,"modelo+año","modelo")))</f>
        <v/>
      </c>
      <c r="BO26" s="4">
        <f>(BM26-O26)/BM26</f>
        <v/>
      </c>
      <c r="BP26" s="3">
        <f>IF(COUNTIFS(FR_FUEL,K26,FR_YEAR,AP26)&gt;0,1,0)</f>
        <v/>
      </c>
      <c r="BQ26" s="3">
        <f>IF(COUNTIFS(FR_FUEL,K26,FR_YEAR,AP26-1)&gt;0,1,0)</f>
        <v/>
      </c>
      <c r="BR26" s="4">
        <f>IF(N(AQ26)&gt;0,AP26*100+AQ26,IF(AND(BP26=1,BQ26=1),(AP26-1)*100+1,AP26*100+1))</f>
        <v/>
      </c>
      <c r="BS26" s="3">
        <f>IF(OR(K26="hibrido",K26="glp",K26="gnc",K26="phev"),"ECO",IF(K26="electrico","CERO",IF(K26="gasolina",IF(BR26&gt;=GAS_C_YM,"C",IF(BR26&gt;=GAS_B_YM,"B","A")),IF(K26="diesel",IF(BR26&gt;=DIE_C_YM,"C",IF(BR26&gt;=DIE_B_YM,"B","A")),""))))</f>
        <v/>
      </c>
      <c r="BT26" s="2" t="inlineStr">
        <is>
          <t>B</t>
        </is>
      </c>
      <c r="BU26" s="4">
        <f>IF(AU26="sí","sí",IF(AS26="regla",IF(AND(N(AQ26)=0,BP26=1),"sí","no"),"no"))</f>
        <v/>
      </c>
      <c r="BV26" s="3">
        <f>IFERROR(VLOOKUP(F26,MOD_TBL,16,0),IFERROR(VLOOKUP(E26,OCU_TBL,2,0),NEUTRO))</f>
        <v/>
      </c>
      <c r="BW26" s="3">
        <f>SUMIFS(MOT_AJUSTE,MOT_MOTOR,G26,MOT_MARCA,E26,MOT_DESDE,"&lt;="&amp;M26,MOT_HASTA,"&gt;="&amp;M26)+SUMIFS(MOT_AJUSTE,MOT_MOTOR,G26,MOT_MARCA,"(todas)",MOT_DESDE,"&lt;="&amp;M26,MOT_HASTA,"&gt;="&amp;M26)+SUMIFS(MOT_AJUSTE,MOT_MOTOR,"(cualquiera)",MOT_MARCA,E26,MOT_DESDE,"&lt;="&amp;M26,MOT_HASTA,"&gt;="&amp;M26)</f>
        <v/>
      </c>
      <c r="BX26" s="3">
        <f>SUMIFS(COMB_AJUSTE,COMB_COMB,K26)</f>
        <v/>
      </c>
      <c r="BY26" s="3">
        <f>COUNTIFS(MOT_MOTOR,G26,MOT_MARCA,E26,MOT_DESDE,"&lt;="&amp;M26,MOT_HASTA,"&gt;="&amp;M26)+COUNTIFS(MOT_MOTOR,G26,MOT_MARCA,"(todas)",MOT_DESDE,"&lt;="&amp;M26,MOT_HASTA,"&gt;="&amp;M26)+COUNTIFS(MOT_MOTOR,"(cualquiera)",MOT_MARCA,E26,MOT_DESDE,"&lt;="&amp;M26,MOT_HASTA,"&gt;="&amp;M26)</f>
        <v/>
      </c>
      <c r="BZ26" s="3">
        <f>IF(AND(K26="diesel",BY26=0),MIN(BV26,NEUTRO),BV26)</f>
        <v/>
      </c>
      <c r="CA26" s="3">
        <f>MAX(0,MIN(100,BZ26+BW26+BX26-IF(AV26="sí",ROB_PEN,0)))</f>
        <v/>
      </c>
      <c r="CB26" s="3">
        <f>100-MAX(0,N26-KM_TOPE_DESDE)/1000*KM_TOPE_PTS</f>
        <v/>
      </c>
      <c r="CC26" s="3">
        <f>MAX(0,MIN(100,50+BO26*PRECIO_PEND,CB26))</f>
        <v/>
      </c>
      <c r="CD26" s="3">
        <f>MAX(0,100*(1-N26/KM_MAX))</f>
        <v/>
      </c>
      <c r="CE26" s="3">
        <f>IF(BF26&lt;KMA_SOSP,IF(AA26="sí",100,KMA_PEN),IF(BF26&lt;=KMA_IDEAL_MAX,100,MAX(0,100*(KMA_CERO-BF26)/(KMA_CERO-KMA_IDEAL_MAX))))</f>
        <v/>
      </c>
      <c r="CF26" s="3">
        <f>MAX(0,MIN(100,100*(M26-ANIO_MIN)/(ANIO_ACTUAL-ANIO_MIN)))</f>
        <v/>
      </c>
      <c r="CG26" s="3">
        <f>W_KMT*CD26+W_KMA*CE26+W_EDAD*CF26</f>
        <v/>
      </c>
      <c r="CH26" s="3">
        <f>P_ITV*(V26="sí")+P_LIBRO*(W26="sí")+P_CORREA*(X26="sí")+P_PROP*(Y26=1)+P_GAR*(Z26="sí")+P_FOTOS*MIN(1,N(U26)/FOTOS_OBJ)</f>
        <v/>
      </c>
      <c r="CI26" s="3">
        <f>MAX(0,MIN(100,IFERROR(VLOOKUP(BT26,ETQ_TBL,2,0),0)-IF(BU26="sí",ETQ_PEN_DUD,IF(AS26="regla",ETQ_PEN_REGLA,0))))</f>
        <v/>
      </c>
      <c r="CJ26" s="3">
        <f>IF(K26&lt;&gt;"gasolina","",IFERROR(VLOOKUP(F26,CONS_MOD_TBL,2,0),IFERROR(VLOOKUP(L26,CONS_SEG_TBL,2,0),"")))</f>
        <v/>
      </c>
      <c r="CK26" s="3">
        <f>IF(CJ26="",NEUTRO,MAX(0,MIN(100,100*(CONS_REF_MAX-CJ26)/(CONS_REF_MAX-CONS_REF_MIN))))</f>
        <v/>
      </c>
      <c r="CL26" s="3">
        <f>IFERROR(VLOOKUP(L26,SEGURO_TBL,3,0),"")</f>
        <v/>
      </c>
      <c r="CM26" s="3">
        <f>IF(CL26="",NEUTRO,MAX(0,MIN(100,100*(SEG_REF_MAX-CL26)/(SEG_REF_MAX-SEG_REF_MIN))))</f>
        <v/>
      </c>
      <c r="CN26" s="3">
        <f>W_CONS*CK26+W_SEG*CM26</f>
        <v/>
      </c>
      <c r="CO26" s="3">
        <f>IF(N(AB26)&gt;0,AB26,IF(AND(R26="profesional",SG_LEGAL_ON=1),GAR_LEGAL,0))</f>
        <v/>
      </c>
      <c r="CP26" s="3">
        <f>SG_GAR*MIN(1,CO26/SG_GAR_FULL)+SG_AMPL*(AC26="sí")+SG_KMC*(AF26="sí")+SG_REV*(N(AE26)&gt;0)+SG_DEV*MIN(1,N(AG26)/SG_DEV_FULL)+SG_HIST*(W26="sí")</f>
        <v/>
      </c>
      <c r="CQ26" s="3">
        <f>IF(AW26="sí",ESTILO_PRIO,IFERROR(VLOOKUP(L26,ESTILO_TBL,2,0),NEUTRO))</f>
        <v/>
      </c>
      <c r="CR26" s="3">
        <f>IFERROR(VLOOKUP(L26,CARR_PEN_TBL,2,0),0)</f>
        <v/>
      </c>
      <c r="CS26" s="3">
        <f>W_FIAB*CA26+W_PRECIO*CC26+W_KMEDAD*CG26+W_ANUNCIO*CH26+W_USO*CN26+W_SEGURIDAD*CP26+W_ETIQUETA*CI26+W_ESTILO*CQ26-CR26</f>
        <v/>
      </c>
      <c r="CT26" s="4">
        <f>IF(N(I26)&gt;0,I26,IFERROR(ROUND(_xlfn.NUMBERVALUE(LEFT(G26,FIND(" ",G26&amp;" ")-1),".")*1000,0),99999))</f>
        <v/>
      </c>
      <c r="CU26" s="3">
        <f>IF(R26="profesional",0,IF(O26&lt;CUOTA_VALOR_MAX,IF(BE26&gt;ITP_TRAMO_ALTO,SUMIFS(CF_CUOTA,CF_MAS,ITP_TRAMO_ALTO,CF_CCMIN,"&lt;="&amp;CT26,CF_CCMAX,"&gt;="&amp;CT26),IF(BE26&gt;ITP_TRAMO_BAJO,SUMIFS(CF_CUOTA,CF_MAS,ITP_TRAMO_BAJO,CF_CCMIN,"&lt;="&amp;CT26,CF_CCMAX,"&gt;="&amp;CT26),O26*ITP_TIPO)),O26*ITP_TIPO))</f>
        <v/>
      </c>
      <c r="CV26" s="4">
        <f>IF(R26="profesional",N(AK26),0)</f>
        <v/>
      </c>
      <c r="CW26" s="3">
        <f>IF(AND(R26="profesional",ISNUMBER(AK26),AL26="sí"),0,TASA_DGT)</f>
        <v/>
      </c>
      <c r="CX26" s="3">
        <f>INFORME_DGT</f>
        <v/>
      </c>
      <c r="CY26" s="4">
        <f>O26+CV26+CU26+CW26+CX26</f>
        <v/>
      </c>
      <c r="CZ26" s="4">
        <f>CY26+N(CL26)</f>
        <v/>
      </c>
      <c r="DA26" s="3">
        <f>IF(CY26&lt;=TOTAL_MAX,"sí",IF(CY26&lt;=TOTAL_MAX+MARGEN_NEG,"negociar","no"))</f>
        <v/>
      </c>
      <c r="DB26" s="4">
        <f>IF(DA26&lt;&gt;"no",COUNTIFS($DA$2:$DA$130,"&lt;&gt;no",$CS$2:$CS$130,"&gt;"&amp;CS26)+COUNTIFS($DA$2:DA26,"&lt;&gt;no",$CS$2:CS26,CS26),"")</f>
        <v/>
      </c>
    </row>
    <row r="27">
      <c r="A27" s="2" t="inlineStr">
        <is>
          <t>ocasionplus:somqeqa3</t>
        </is>
      </c>
      <c r="B27" s="2" t="inlineStr">
        <is>
          <t>ocasionplus</t>
        </is>
      </c>
      <c r="C27" s="2" t="inlineStr">
        <is>
          <t>https://www.ocasionplus.com/coches-segunda-mano/ford-mondeo-20-tdci-ghia-con-142530km-2006-somqeqa3</t>
        </is>
      </c>
      <c r="D27" s="2" t="inlineStr">
        <is>
          <t>Ford Mondeo 2.0 TDCI Ghia (130 CV)</t>
        </is>
      </c>
      <c r="E27" s="2" t="inlineStr">
        <is>
          <t>Ford</t>
        </is>
      </c>
      <c r="F27" s="2" t="inlineStr">
        <is>
          <t>Ford Mondeo</t>
        </is>
      </c>
      <c r="G27" s="2" t="inlineStr">
        <is>
          <t>2.0 TDCi</t>
        </is>
      </c>
      <c r="H27" s="2" t="inlineStr">
        <is>
          <t>Ford Mondeo 2.0 TDCI Ghia (130 CV)</t>
        </is>
      </c>
      <c r="I27" s="2" t="n">
        <v>1998</v>
      </c>
      <c r="J27" s="2" t="n">
        <v>130</v>
      </c>
      <c r="K27" s="2" t="inlineStr">
        <is>
          <t>diesel</t>
        </is>
      </c>
      <c r="L27" s="2" t="inlineStr">
        <is>
          <t>berlina_d</t>
        </is>
      </c>
      <c r="M27" s="2" t="n">
        <v>2006</v>
      </c>
      <c r="N27" s="2" t="n">
        <v>142530</v>
      </c>
      <c r="O27" s="2" t="n">
        <v>3700</v>
      </c>
      <c r="P27" s="2" t="inlineStr">
        <is>
          <t>manual</t>
        </is>
      </c>
      <c r="Q27" s="2" t="inlineStr">
        <is>
          <t>no</t>
        </is>
      </c>
      <c r="R27" s="2" t="inlineStr">
        <is>
          <t>profesional</t>
        </is>
      </c>
      <c r="S27" s="2" t="inlineStr">
        <is>
          <t>Valencia - Paterna (Paterna, 46980)</t>
        </is>
      </c>
      <c r="T27" s="2" t="inlineStr">
        <is>
          <t>2026-05-26T00:00:00.000Z</t>
        </is>
      </c>
      <c r="U27" s="2" t="n">
        <v>33</v>
      </c>
      <c r="V27" s="2" t="inlineStr">
        <is>
          <t>sí</t>
        </is>
      </c>
      <c r="W27" s="2" t="n"/>
      <c r="X27" s="2" t="n"/>
      <c r="Y27" s="2" t="n">
        <v>1</v>
      </c>
      <c r="Z27" s="2" t="n"/>
      <c r="AA27" s="2" t="n"/>
      <c r="AB27" s="2" t="n"/>
      <c r="AC27" s="2" t="inlineStr">
        <is>
          <t>sí</t>
        </is>
      </c>
      <c r="AD27" s="2" t="n">
        <v>900</v>
      </c>
      <c r="AE27" s="2" t="n"/>
      <c r="AF27" s="2" t="inlineStr">
        <is>
          <t>sí</t>
        </is>
      </c>
      <c r="AG27" s="2" t="n"/>
      <c r="AH27" s="2" t="n">
        <v>3700</v>
      </c>
      <c r="AI27" s="2" t="n">
        <v>3700</v>
      </c>
      <c r="AJ27" s="2" t="inlineStr">
        <is>
          <t>no</t>
        </is>
      </c>
      <c r="AK27" s="2" t="n">
        <v>350</v>
      </c>
      <c r="AL27" s="2" t="inlineStr">
        <is>
          <t>sí</t>
        </is>
      </c>
      <c r="AM27" s="2" t="n">
        <v>5.9</v>
      </c>
      <c r="AN27" s="2" t="inlineStr">
        <is>
          <t>8157DVD</t>
        </is>
      </c>
      <c r="AO27" s="2" t="inlineStr">
        <is>
          <t>2006-01-05</t>
        </is>
      </c>
      <c r="AP27" s="2" t="n">
        <v>2006</v>
      </c>
      <c r="AQ27" s="2" t="n">
        <v>1</v>
      </c>
      <c r="AR27" s="2" t="inlineStr">
        <is>
          <t>B</t>
        </is>
      </c>
      <c r="AS27" s="2" t="inlineStr">
        <is>
          <t>DGT</t>
        </is>
      </c>
      <c r="AT27" s="2" t="n"/>
      <c r="AU27" s="2" t="inlineStr">
        <is>
          <t>no</t>
        </is>
      </c>
      <c r="AV27" s="2" t="inlineStr">
        <is>
          <t>no</t>
        </is>
      </c>
      <c r="AW27" s="2" t="inlineStr">
        <is>
          <t>no</t>
        </is>
      </c>
      <c r="AX27" s="2" t="n">
        <v>2200</v>
      </c>
      <c r="AY27" s="2" t="n">
        <v>21</v>
      </c>
      <c r="AZ27" s="2" t="inlineStr">
        <is>
          <t>modelo+año</t>
        </is>
      </c>
      <c r="BA27" s="2" t="n"/>
      <c r="BB27" s="2" t="inlineStr">
        <is>
          <t>vendedor profesional: sin ITP (operación con IVA/REBU, confirmar en factura); diésel: motor sin fuente de fiabilidad (fiabilidad limitada a neutra); revisar: no menciona la ITV; fiabilidad del modelo PENDIENTE de fuente (puntuación neutra)</t>
        </is>
      </c>
      <c r="BC27" s="2" t="inlineStr">
        <is>
          <t>Ford Mondeo 2.0 TDCI Ghia (130 CV)</t>
        </is>
      </c>
      <c r="BD27" s="2" t="inlineStr">
        <is>
          <t>https://www.ocasionplus.com/coches-segunda-mano/ford-mondeo-20-tdci-ghia-con-142530km-2006-somqeqa3 (payload RSC 'vehicle') /home/user/Alopecia/buscador-coches/raw/ocasionplus/72f5f2ec09413c7a.json</t>
        </is>
      </c>
      <c r="BE27" s="3">
        <f>MAX(ANIO_ACTUAL-M27,0)</f>
        <v/>
      </c>
      <c r="BF27" s="4">
        <f>N27/MAX(BE27,0.5)</f>
        <v/>
      </c>
      <c r="BG27" s="4">
        <f>F27</f>
        <v/>
      </c>
      <c r="BH27" s="3">
        <f>BG27&amp;"|"&amp;INT(M27/SEG_ANIO)*SEG_ANIO</f>
        <v/>
      </c>
      <c r="BI27" s="3">
        <f>BH27&amp;"|"&amp;INT(N27/SEG_KM)*SEG_KM</f>
        <v/>
      </c>
      <c r="BJ27" s="4">
        <f>COUNTIF($BG$2:$BG$130,BG27)</f>
        <v/>
      </c>
      <c r="BK27" s="4">
        <f>COUNTIF($BH$2:$BH$130,BH27)</f>
        <v/>
      </c>
      <c r="BL27" s="4">
        <f>COUNTIF($BI$2:$BI$130,BI27)</f>
        <v/>
      </c>
      <c r="BM27" s="3">
        <f t="array" ref="BM27">IF(N(AY27)&gt;=MIN_N,AX27,IF(BL27&gt;=MIN_N,MEDIAN(IF($BI$2:$BI$130=BI27,$O$2:$O$130)),IF(BK27&gt;=MIN_N,MEDIAN(IF($BH$2:$BH$130=BH27,$O$2:$O$130)),MEDIAN(IF($BG$2:$BG$130=BG27,$O$2:$O$130)))))</f>
        <v/>
      </c>
      <c r="BN27" s="3">
        <f>IF(N(AY27)&gt;=MIN_N,"mercado "&amp;AZ27,IF(BL27&gt;=MIN_N,"modelo+año+km",IF(BK27&gt;=MIN_N,"modelo+año","modelo")))</f>
        <v/>
      </c>
      <c r="BO27" s="4">
        <f>(BM27-O27)/BM27</f>
        <v/>
      </c>
      <c r="BP27" s="3">
        <f>IF(COUNTIFS(FR_FUEL,K27,FR_YEAR,AP27)&gt;0,1,0)</f>
        <v/>
      </c>
      <c r="BQ27" s="3">
        <f>IF(COUNTIFS(FR_FUEL,K27,FR_YEAR,AP27-1)&gt;0,1,0)</f>
        <v/>
      </c>
      <c r="BR27" s="4">
        <f>IF(N(AQ27)&gt;0,AP27*100+AQ27,IF(AND(BP27=1,BQ27=1),(AP27-1)*100+1,AP27*100+1))</f>
        <v/>
      </c>
      <c r="BS27" s="3">
        <f>IF(OR(K27="hibrido",K27="glp",K27="gnc",K27="phev"),"ECO",IF(K27="electrico","CERO",IF(K27="gasolina",IF(BR27&gt;=GAS_C_YM,"C",IF(BR27&gt;=GAS_B_YM,"B","A")),IF(K27="diesel",IF(BR27&gt;=DIE_C_YM,"C",IF(BR27&gt;=DIE_B_YM,"B","A")),""))))</f>
        <v/>
      </c>
      <c r="BT27" s="2" t="inlineStr">
        <is>
          <t>B</t>
        </is>
      </c>
      <c r="BU27" s="4">
        <f>IF(AU27="sí","sí",IF(AS27="regla",IF(AND(N(AQ27)=0,BP27=1),"sí","no"),"no"))</f>
        <v/>
      </c>
      <c r="BV27" s="3">
        <f>IFERROR(VLOOKUP(F27,MOD_TBL,16,0),IFERROR(VLOOKUP(E27,OCU_TBL,2,0),NEUTRO))</f>
        <v/>
      </c>
      <c r="BW27" s="3">
        <f>SUMIFS(MOT_AJUSTE,MOT_MOTOR,G27,MOT_MARCA,E27,MOT_DESDE,"&lt;="&amp;M27,MOT_HASTA,"&gt;="&amp;M27)+SUMIFS(MOT_AJUSTE,MOT_MOTOR,G27,MOT_MARCA,"(todas)",MOT_DESDE,"&lt;="&amp;M27,MOT_HASTA,"&gt;="&amp;M27)+SUMIFS(MOT_AJUSTE,MOT_MOTOR,"(cualquiera)",MOT_MARCA,E27,MOT_DESDE,"&lt;="&amp;M27,MOT_HASTA,"&gt;="&amp;M27)</f>
        <v/>
      </c>
      <c r="BX27" s="3">
        <f>SUMIFS(COMB_AJUSTE,COMB_COMB,K27)</f>
        <v/>
      </c>
      <c r="BY27" s="3">
        <f>COUNTIFS(MOT_MOTOR,G27,MOT_MARCA,E27,MOT_DESDE,"&lt;="&amp;M27,MOT_HASTA,"&gt;="&amp;M27)+COUNTIFS(MOT_MOTOR,G27,MOT_MARCA,"(todas)",MOT_DESDE,"&lt;="&amp;M27,MOT_HASTA,"&gt;="&amp;M27)+COUNTIFS(MOT_MOTOR,"(cualquiera)",MOT_MARCA,E27,MOT_DESDE,"&lt;="&amp;M27,MOT_HASTA,"&gt;="&amp;M27)</f>
        <v/>
      </c>
      <c r="BZ27" s="3">
        <f>IF(AND(K27="diesel",BY27=0),MIN(BV27,NEUTRO),BV27)</f>
        <v/>
      </c>
      <c r="CA27" s="3">
        <f>MAX(0,MIN(100,BZ27+BW27+BX27-IF(AV27="sí",ROB_PEN,0)))</f>
        <v/>
      </c>
      <c r="CB27" s="3">
        <f>100-MAX(0,N27-KM_TOPE_DESDE)/1000*KM_TOPE_PTS</f>
        <v/>
      </c>
      <c r="CC27" s="3">
        <f>MAX(0,MIN(100,50+BO27*PRECIO_PEND,CB27))</f>
        <v/>
      </c>
      <c r="CD27" s="3">
        <f>MAX(0,100*(1-N27/KM_MAX))</f>
        <v/>
      </c>
      <c r="CE27" s="3">
        <f>IF(BF27&lt;KMA_SOSP,IF(AA27="sí",100,KMA_PEN),IF(BF27&lt;=KMA_IDEAL_MAX,100,MAX(0,100*(KMA_CERO-BF27)/(KMA_CERO-KMA_IDEAL_MAX))))</f>
        <v/>
      </c>
      <c r="CF27" s="3">
        <f>MAX(0,MIN(100,100*(M27-ANIO_MIN)/(ANIO_ACTUAL-ANIO_MIN)))</f>
        <v/>
      </c>
      <c r="CG27" s="3">
        <f>W_KMT*CD27+W_KMA*CE27+W_EDAD*CF27</f>
        <v/>
      </c>
      <c r="CH27" s="3">
        <f>P_ITV*(V27="sí")+P_LIBRO*(W27="sí")+P_CORREA*(X27="sí")+P_PROP*(Y27=1)+P_GAR*(Z27="sí")+P_FOTOS*MIN(1,N(U27)/FOTOS_OBJ)</f>
        <v/>
      </c>
      <c r="CI27" s="3">
        <f>MAX(0,MIN(100,IFERROR(VLOOKUP(BT27,ETQ_TBL,2,0),0)-IF(BU27="sí",ETQ_PEN_DUD,IF(AS27="regla",ETQ_PEN_REGLA,0))))</f>
        <v/>
      </c>
      <c r="CJ27" s="3">
        <f>IF(K27&lt;&gt;"gasolina","",IFERROR(VLOOKUP(F27,CONS_MOD_TBL,2,0),IFERROR(VLOOKUP(L27,CONS_SEG_TBL,2,0),"")))</f>
        <v/>
      </c>
      <c r="CK27" s="3">
        <f>IF(CJ27="",NEUTRO,MAX(0,MIN(100,100*(CONS_REF_MAX-CJ27)/(CONS_REF_MAX-CONS_REF_MIN))))</f>
        <v/>
      </c>
      <c r="CL27" s="3">
        <f>IFERROR(VLOOKUP(L27,SEGURO_TBL,3,0),"")</f>
        <v/>
      </c>
      <c r="CM27" s="3">
        <f>IF(CL27="",NEUTRO,MAX(0,MIN(100,100*(SEG_REF_MAX-CL27)/(SEG_REF_MAX-SEG_REF_MIN))))</f>
        <v/>
      </c>
      <c r="CN27" s="3">
        <f>W_CONS*CK27+W_SEG*CM27</f>
        <v/>
      </c>
      <c r="CO27" s="3">
        <f>IF(N(AB27)&gt;0,AB27,IF(AND(R27="profesional",SG_LEGAL_ON=1),GAR_LEGAL,0))</f>
        <v/>
      </c>
      <c r="CP27" s="3">
        <f>SG_GAR*MIN(1,CO27/SG_GAR_FULL)+SG_AMPL*(AC27="sí")+SG_KMC*(AF27="sí")+SG_REV*(N(AE27)&gt;0)+SG_DEV*MIN(1,N(AG27)/SG_DEV_FULL)+SG_HIST*(W27="sí")</f>
        <v/>
      </c>
      <c r="CQ27" s="3">
        <f>IF(AW27="sí",ESTILO_PRIO,IFERROR(VLOOKUP(L27,ESTILO_TBL,2,0),NEUTRO))</f>
        <v/>
      </c>
      <c r="CR27" s="3">
        <f>IFERROR(VLOOKUP(L27,CARR_PEN_TBL,2,0),0)</f>
        <v/>
      </c>
      <c r="CS27" s="3">
        <f>W_FIAB*CA27+W_PRECIO*CC27+W_KMEDAD*CG27+W_ANUNCIO*CH27+W_USO*CN27+W_SEGURIDAD*CP27+W_ETIQUETA*CI27+W_ESTILO*CQ27-CR27</f>
        <v/>
      </c>
      <c r="CT27" s="4">
        <f>IF(N(I27)&gt;0,I27,IFERROR(ROUND(_xlfn.NUMBERVALUE(LEFT(G27,FIND(" ",G27&amp;" ")-1),".")*1000,0),99999))</f>
        <v/>
      </c>
      <c r="CU27" s="3">
        <f>IF(R27="profesional",0,IF(O27&lt;CUOTA_VALOR_MAX,IF(BE27&gt;ITP_TRAMO_ALTO,SUMIFS(CF_CUOTA,CF_MAS,ITP_TRAMO_ALTO,CF_CCMIN,"&lt;="&amp;CT27,CF_CCMAX,"&gt;="&amp;CT27),IF(BE27&gt;ITP_TRAMO_BAJO,SUMIFS(CF_CUOTA,CF_MAS,ITP_TRAMO_BAJO,CF_CCMIN,"&lt;="&amp;CT27,CF_CCMAX,"&gt;="&amp;CT27),O27*ITP_TIPO)),O27*ITP_TIPO))</f>
        <v/>
      </c>
      <c r="CV27" s="4">
        <f>IF(R27="profesional",N(AK27),0)</f>
        <v/>
      </c>
      <c r="CW27" s="3">
        <f>IF(AND(R27="profesional",ISNUMBER(AK27),AL27="sí"),0,TASA_DGT)</f>
        <v/>
      </c>
      <c r="CX27" s="3">
        <f>INFORME_DGT</f>
        <v/>
      </c>
      <c r="CY27" s="4">
        <f>O27+CV27+CU27+CW27+CX27</f>
        <v/>
      </c>
      <c r="CZ27" s="4">
        <f>CY27+N(CL27)</f>
        <v/>
      </c>
      <c r="DA27" s="3">
        <f>IF(CY27&lt;=TOTAL_MAX,"sí",IF(CY27&lt;=TOTAL_MAX+MARGEN_NEG,"negociar","no"))</f>
        <v/>
      </c>
      <c r="DB27" s="4">
        <f>IF(DA27&lt;&gt;"no",COUNTIFS($DA$2:$DA$130,"&lt;&gt;no",$CS$2:$CS$130,"&gt;"&amp;CS27)+COUNTIFS($DA$2:DA27,"&lt;&gt;no",$CS$2:CS27,CS27),"")</f>
        <v/>
      </c>
    </row>
    <row r="28">
      <c r="A28" s="2" t="inlineStr">
        <is>
          <t>ocasionplus:azeojqah</t>
        </is>
      </c>
      <c r="B28" s="2" t="inlineStr">
        <is>
          <t>ocasionplus</t>
        </is>
      </c>
      <c r="C28" s="2" t="inlineStr">
        <is>
          <t>https://www.ocasionplus.com/coches-segunda-mano/seat-ibiza-14-16v-reference-con-70908km-2006-azeojqah</t>
        </is>
      </c>
      <c r="D28" s="2" t="inlineStr">
        <is>
          <t>Seat Ibiza 1.4 16v Reference (100 CV)</t>
        </is>
      </c>
      <c r="E28" s="2" t="inlineStr">
        <is>
          <t>Seat</t>
        </is>
      </c>
      <c r="F28" s="2" t="inlineStr">
        <is>
          <t>Seat Ibiza</t>
        </is>
      </c>
      <c r="G28" s="2" t="inlineStr">
        <is>
          <t>1.4</t>
        </is>
      </c>
      <c r="H28" s="2" t="inlineStr">
        <is>
          <t>Seat Ibiza 1.4 16v Reference (100 CV)</t>
        </is>
      </c>
      <c r="I28" s="2" t="n">
        <v>1390</v>
      </c>
      <c r="J28" s="2" t="n">
        <v>100</v>
      </c>
      <c r="K28" s="2" t="inlineStr">
        <is>
          <t>gasolina</t>
        </is>
      </c>
      <c r="L28" s="2" t="inlineStr">
        <is>
          <t>utilitario</t>
        </is>
      </c>
      <c r="M28" s="2" t="n">
        <v>2006</v>
      </c>
      <c r="N28" s="2" t="n">
        <v>86371</v>
      </c>
      <c r="O28" s="2" t="n">
        <v>4990</v>
      </c>
      <c r="P28" s="2" t="inlineStr">
        <is>
          <t>manual</t>
        </is>
      </c>
      <c r="Q28" s="2" t="inlineStr">
        <is>
          <t>no</t>
        </is>
      </c>
      <c r="R28" s="2" t="inlineStr">
        <is>
          <t>profesional</t>
        </is>
      </c>
      <c r="S28" s="2" t="inlineStr">
        <is>
          <t>Valencia - Pista de Silla - Macrocentro (Massanassa, 46470)</t>
        </is>
      </c>
      <c r="T28" s="2" t="inlineStr">
        <is>
          <t>2026-05-21T00:00:00.000Z</t>
        </is>
      </c>
      <c r="U28" s="2" t="n">
        <v>32</v>
      </c>
      <c r="V28" s="2" t="inlineStr">
        <is>
          <t>sí</t>
        </is>
      </c>
      <c r="W28" s="2" t="n"/>
      <c r="X28" s="2" t="n"/>
      <c r="Y28" s="2" t="n">
        <v>0</v>
      </c>
      <c r="Z28" s="2" t="n"/>
      <c r="AA28" s="2" t="n"/>
      <c r="AB28" s="2" t="n"/>
      <c r="AC28" s="2" t="inlineStr">
        <is>
          <t>sí</t>
        </is>
      </c>
      <c r="AD28" s="2" t="n">
        <v>600</v>
      </c>
      <c r="AE28" s="2" t="n"/>
      <c r="AF28" s="2" t="inlineStr">
        <is>
          <t>sí</t>
        </is>
      </c>
      <c r="AG28" s="2" t="n"/>
      <c r="AH28" s="2" t="n">
        <v>4990</v>
      </c>
      <c r="AI28" s="2" t="n">
        <v>4990</v>
      </c>
      <c r="AJ28" s="2" t="inlineStr">
        <is>
          <t>no</t>
        </is>
      </c>
      <c r="AK28" s="2" t="n">
        <v>350</v>
      </c>
      <c r="AL28" s="2" t="inlineStr">
        <is>
          <t>sí</t>
        </is>
      </c>
      <c r="AM28" s="2" t="n">
        <v>7.8</v>
      </c>
      <c r="AN28" s="2" t="inlineStr">
        <is>
          <t>8323DYB</t>
        </is>
      </c>
      <c r="AO28" s="2" t="inlineStr">
        <is>
          <t>2006-04-06</t>
        </is>
      </c>
      <c r="AP28" s="2" t="n">
        <v>2006</v>
      </c>
      <c r="AQ28" s="2" t="n">
        <v>4</v>
      </c>
      <c r="AR28" s="2" t="inlineStr">
        <is>
          <t>C</t>
        </is>
      </c>
      <c r="AS28" s="2" t="inlineStr">
        <is>
          <t>DGT</t>
        </is>
      </c>
      <c r="AT28" s="2" t="n"/>
      <c r="AU28" s="2" t="inlineStr">
        <is>
          <t>no</t>
        </is>
      </c>
      <c r="AV28" s="2" t="inlineStr">
        <is>
          <t>no</t>
        </is>
      </c>
      <c r="AW28" s="2" t="inlineStr">
        <is>
          <t>no</t>
        </is>
      </c>
      <c r="AX28" s="2" t="n">
        <v>3000</v>
      </c>
      <c r="AY28" s="2" t="n">
        <v>31</v>
      </c>
      <c r="AZ28" s="2" t="inlineStr">
        <is>
          <t>modelo+año</t>
        </is>
      </c>
      <c r="BA28" s="2" t="n"/>
      <c r="BB28" s="2" t="inlineStr">
        <is>
          <t>vendedor profesional: sin ITP (operación con IVA/REBU, confirmar en factura); revisar: no menciona la ITV</t>
        </is>
      </c>
      <c r="BC28" s="2" t="inlineStr">
        <is>
          <t>Seat Ibiza 1.4 16v Reference (100 CV)</t>
        </is>
      </c>
      <c r="BD28" s="2" t="inlineStr">
        <is>
          <t>https://www.ocasionplus.com/coches-segunda-mano/seat-ibiza-14-16v-reference-con-70908km-2006-azeojqah (payload RSC 'vehicle') /home/user/Alopecia/buscador-coches/raw/ocasionplus/f23441d331de3a98.json</t>
        </is>
      </c>
      <c r="BE28" s="3">
        <f>MAX(ANIO_ACTUAL-M28,0)</f>
        <v/>
      </c>
      <c r="BF28" s="4">
        <f>N28/MAX(BE28,0.5)</f>
        <v/>
      </c>
      <c r="BG28" s="4">
        <f>F28</f>
        <v/>
      </c>
      <c r="BH28" s="3">
        <f>BG28&amp;"|"&amp;INT(M28/SEG_ANIO)*SEG_ANIO</f>
        <v/>
      </c>
      <c r="BI28" s="3">
        <f>BH28&amp;"|"&amp;INT(N28/SEG_KM)*SEG_KM</f>
        <v/>
      </c>
      <c r="BJ28" s="4">
        <f>COUNTIF($BG$2:$BG$130,BG28)</f>
        <v/>
      </c>
      <c r="BK28" s="4">
        <f>COUNTIF($BH$2:$BH$130,BH28)</f>
        <v/>
      </c>
      <c r="BL28" s="4">
        <f>COUNTIF($BI$2:$BI$130,BI28)</f>
        <v/>
      </c>
      <c r="BM28" s="3">
        <f t="array" ref="BM28">IF(N(AY28)&gt;=MIN_N,AX28,IF(BL28&gt;=MIN_N,MEDIAN(IF($BI$2:$BI$130=BI28,$O$2:$O$130)),IF(BK28&gt;=MIN_N,MEDIAN(IF($BH$2:$BH$130=BH28,$O$2:$O$130)),MEDIAN(IF($BG$2:$BG$130=BG28,$O$2:$O$130)))))</f>
        <v/>
      </c>
      <c r="BN28" s="3">
        <f>IF(N(AY28)&gt;=MIN_N,"mercado "&amp;AZ28,IF(BL28&gt;=MIN_N,"modelo+año+km",IF(BK28&gt;=MIN_N,"modelo+año","modelo")))</f>
        <v/>
      </c>
      <c r="BO28" s="4">
        <f>(BM28-O28)/BM28</f>
        <v/>
      </c>
      <c r="BP28" s="3">
        <f>IF(COUNTIFS(FR_FUEL,K28,FR_YEAR,AP28)&gt;0,1,0)</f>
        <v/>
      </c>
      <c r="BQ28" s="3">
        <f>IF(COUNTIFS(FR_FUEL,K28,FR_YEAR,AP28-1)&gt;0,1,0)</f>
        <v/>
      </c>
      <c r="BR28" s="4">
        <f>IF(N(AQ28)&gt;0,AP28*100+AQ28,IF(AND(BP28=1,BQ28=1),(AP28-1)*100+1,AP28*100+1))</f>
        <v/>
      </c>
      <c r="BS28" s="3">
        <f>IF(OR(K28="hibrido",K28="glp",K28="gnc",K28="phev"),"ECO",IF(K28="electrico","CERO",IF(K28="gasolina",IF(BR28&gt;=GAS_C_YM,"C",IF(BR28&gt;=GAS_B_YM,"B","A")),IF(K28="diesel",IF(BR28&gt;=DIE_C_YM,"C",IF(BR28&gt;=DIE_B_YM,"B","A")),""))))</f>
        <v/>
      </c>
      <c r="BT28" s="2" t="inlineStr">
        <is>
          <t>C</t>
        </is>
      </c>
      <c r="BU28" s="4">
        <f>IF(AU28="sí","sí",IF(AS28="regla",IF(AND(N(AQ28)=0,BP28=1),"sí","no"),"no"))</f>
        <v/>
      </c>
      <c r="BV28" s="3">
        <f>IFERROR(VLOOKUP(F28,MOD_TBL,16,0),IFERROR(VLOOKUP(E28,OCU_TBL,2,0),NEUTRO))</f>
        <v/>
      </c>
      <c r="BW28" s="3">
        <f>SUMIFS(MOT_AJUSTE,MOT_MOTOR,G28,MOT_MARCA,E28,MOT_DESDE,"&lt;="&amp;M28,MOT_HASTA,"&gt;="&amp;M28)+SUMIFS(MOT_AJUSTE,MOT_MOTOR,G28,MOT_MARCA,"(todas)",MOT_DESDE,"&lt;="&amp;M28,MOT_HASTA,"&gt;="&amp;M28)+SUMIFS(MOT_AJUSTE,MOT_MOTOR,"(cualquiera)",MOT_MARCA,E28,MOT_DESDE,"&lt;="&amp;M28,MOT_HASTA,"&gt;="&amp;M28)</f>
        <v/>
      </c>
      <c r="BX28" s="3">
        <f>SUMIFS(COMB_AJUSTE,COMB_COMB,K28)</f>
        <v/>
      </c>
      <c r="BY28" s="3">
        <f>COUNTIFS(MOT_MOTOR,G28,MOT_MARCA,E28,MOT_DESDE,"&lt;="&amp;M28,MOT_HASTA,"&gt;="&amp;M28)+COUNTIFS(MOT_MOTOR,G28,MOT_MARCA,"(todas)",MOT_DESDE,"&lt;="&amp;M28,MOT_HASTA,"&gt;="&amp;M28)+COUNTIFS(MOT_MOTOR,"(cualquiera)",MOT_MARCA,E28,MOT_DESDE,"&lt;="&amp;M28,MOT_HASTA,"&gt;="&amp;M28)</f>
        <v/>
      </c>
      <c r="BZ28" s="3">
        <f>IF(AND(K28="diesel",BY28=0),MIN(BV28,NEUTRO),BV28)</f>
        <v/>
      </c>
      <c r="CA28" s="3">
        <f>MAX(0,MIN(100,BZ28+BW28+BX28-IF(AV28="sí",ROB_PEN,0)))</f>
        <v/>
      </c>
      <c r="CB28" s="3">
        <f>100-MAX(0,N28-KM_TOPE_DESDE)/1000*KM_TOPE_PTS</f>
        <v/>
      </c>
      <c r="CC28" s="3">
        <f>MAX(0,MIN(100,50+BO28*PRECIO_PEND,CB28))</f>
        <v/>
      </c>
      <c r="CD28" s="3">
        <f>MAX(0,100*(1-N28/KM_MAX))</f>
        <v/>
      </c>
      <c r="CE28" s="3">
        <f>IF(BF28&lt;KMA_SOSP,IF(AA28="sí",100,KMA_PEN),IF(BF28&lt;=KMA_IDEAL_MAX,100,MAX(0,100*(KMA_CERO-BF28)/(KMA_CERO-KMA_IDEAL_MAX))))</f>
        <v/>
      </c>
      <c r="CF28" s="3">
        <f>MAX(0,MIN(100,100*(M28-ANIO_MIN)/(ANIO_ACTUAL-ANIO_MIN)))</f>
        <v/>
      </c>
      <c r="CG28" s="3">
        <f>W_KMT*CD28+W_KMA*CE28+W_EDAD*CF28</f>
        <v/>
      </c>
      <c r="CH28" s="3">
        <f>P_ITV*(V28="sí")+P_LIBRO*(W28="sí")+P_CORREA*(X28="sí")+P_PROP*(Y28=1)+P_GAR*(Z28="sí")+P_FOTOS*MIN(1,N(U28)/FOTOS_OBJ)</f>
        <v/>
      </c>
      <c r="CI28" s="3">
        <f>MAX(0,MIN(100,IFERROR(VLOOKUP(BT28,ETQ_TBL,2,0),0)-IF(BU28="sí",ETQ_PEN_DUD,IF(AS28="regla",ETQ_PEN_REGLA,0))))</f>
        <v/>
      </c>
      <c r="CJ28" s="3">
        <f>IF(K28&lt;&gt;"gasolina","",IFERROR(VLOOKUP(F28,CONS_MOD_TBL,2,0),IFERROR(VLOOKUP(L28,CONS_SEG_TBL,2,0),"")))</f>
        <v/>
      </c>
      <c r="CK28" s="3">
        <f>IF(CJ28="",NEUTRO,MAX(0,MIN(100,100*(CONS_REF_MAX-CJ28)/(CONS_REF_MAX-CONS_REF_MIN))))</f>
        <v/>
      </c>
      <c r="CL28" s="3">
        <f>IFERROR(VLOOKUP(L28,SEGURO_TBL,3,0),"")</f>
        <v/>
      </c>
      <c r="CM28" s="3">
        <f>IF(CL28="",NEUTRO,MAX(0,MIN(100,100*(SEG_REF_MAX-CL28)/(SEG_REF_MAX-SEG_REF_MIN))))</f>
        <v/>
      </c>
      <c r="CN28" s="3">
        <f>W_CONS*CK28+W_SEG*CM28</f>
        <v/>
      </c>
      <c r="CO28" s="3">
        <f>IF(N(AB28)&gt;0,AB28,IF(AND(R28="profesional",SG_LEGAL_ON=1),GAR_LEGAL,0))</f>
        <v/>
      </c>
      <c r="CP28" s="3">
        <f>SG_GAR*MIN(1,CO28/SG_GAR_FULL)+SG_AMPL*(AC28="sí")+SG_KMC*(AF28="sí")+SG_REV*(N(AE28)&gt;0)+SG_DEV*MIN(1,N(AG28)/SG_DEV_FULL)+SG_HIST*(W28="sí")</f>
        <v/>
      </c>
      <c r="CQ28" s="3">
        <f>IF(AW28="sí",ESTILO_PRIO,IFERROR(VLOOKUP(L28,ESTILO_TBL,2,0),NEUTRO))</f>
        <v/>
      </c>
      <c r="CR28" s="3">
        <f>IFERROR(VLOOKUP(L28,CARR_PEN_TBL,2,0),0)</f>
        <v/>
      </c>
      <c r="CS28" s="3">
        <f>W_FIAB*CA28+W_PRECIO*CC28+W_KMEDAD*CG28+W_ANUNCIO*CH28+W_USO*CN28+W_SEGURIDAD*CP28+W_ETIQUETA*CI28+W_ESTILO*CQ28-CR28</f>
        <v/>
      </c>
      <c r="CT28" s="4">
        <f>IF(N(I28)&gt;0,I28,IFERROR(ROUND(_xlfn.NUMBERVALUE(LEFT(G28,FIND(" ",G28&amp;" ")-1),".")*1000,0),99999))</f>
        <v/>
      </c>
      <c r="CU28" s="3">
        <f>IF(R28="profesional",0,IF(O28&lt;CUOTA_VALOR_MAX,IF(BE28&gt;ITP_TRAMO_ALTO,SUMIFS(CF_CUOTA,CF_MAS,ITP_TRAMO_ALTO,CF_CCMIN,"&lt;="&amp;CT28,CF_CCMAX,"&gt;="&amp;CT28),IF(BE28&gt;ITP_TRAMO_BAJO,SUMIFS(CF_CUOTA,CF_MAS,ITP_TRAMO_BAJO,CF_CCMIN,"&lt;="&amp;CT28,CF_CCMAX,"&gt;="&amp;CT28),O28*ITP_TIPO)),O28*ITP_TIPO))</f>
        <v/>
      </c>
      <c r="CV28" s="4">
        <f>IF(R28="profesional",N(AK28),0)</f>
        <v/>
      </c>
      <c r="CW28" s="3">
        <f>IF(AND(R28="profesional",ISNUMBER(AK28),AL28="sí"),0,TASA_DGT)</f>
        <v/>
      </c>
      <c r="CX28" s="3">
        <f>INFORME_DGT</f>
        <v/>
      </c>
      <c r="CY28" s="4">
        <f>O28+CV28+CU28+CW28+CX28</f>
        <v/>
      </c>
      <c r="CZ28" s="4">
        <f>CY28+N(CL28)</f>
        <v/>
      </c>
      <c r="DA28" s="3">
        <f>IF(CY28&lt;=TOTAL_MAX,"sí",IF(CY28&lt;=TOTAL_MAX+MARGEN_NEG,"negociar","no"))</f>
        <v/>
      </c>
      <c r="DB28" s="4">
        <f>IF(DA28&lt;&gt;"no",COUNTIFS($DA$2:$DA$130,"&lt;&gt;no",$CS$2:$CS$130,"&gt;"&amp;CS28)+COUNTIFS($DA$2:DA28,"&lt;&gt;no",$CS$2:CS28,CS28),"")</f>
        <v/>
      </c>
    </row>
    <row r="29">
      <c r="A29" s="2" t="inlineStr">
        <is>
          <t>ocasionplus:nu8qgqaj</t>
        </is>
      </c>
      <c r="B29" s="2" t="inlineStr">
        <is>
          <t>ocasionplus</t>
        </is>
      </c>
      <c r="C29" s="2" t="inlineStr">
        <is>
          <t>https://www.ocasionplus.com/coches-segunda-mano/opel-corsa-12-enjoy-mta-con-112793km-2007-nu8qgqaj</t>
        </is>
      </c>
      <c r="D29" s="2" t="inlineStr">
        <is>
          <t>Opel Corsa 1.2 Enjoy MTA (80 CV)</t>
        </is>
      </c>
      <c r="E29" s="2" t="inlineStr">
        <is>
          <t>Opel</t>
        </is>
      </c>
      <c r="F29" s="2" t="inlineStr">
        <is>
          <t>Opel Corsa</t>
        </is>
      </c>
      <c r="G29" s="2" t="inlineStr">
        <is>
          <t>1.2</t>
        </is>
      </c>
      <c r="H29" s="2" t="inlineStr">
        <is>
          <t>Opel Corsa 1.2 Enjoy MTA (80 CV)</t>
        </is>
      </c>
      <c r="I29" s="2" t="n">
        <v>1229</v>
      </c>
      <c r="J29" s="2" t="n">
        <v>80</v>
      </c>
      <c r="K29" s="2" t="inlineStr">
        <is>
          <t>gasolina</t>
        </is>
      </c>
      <c r="L29" s="2" t="inlineStr">
        <is>
          <t>utilitario</t>
        </is>
      </c>
      <c r="M29" s="2" t="n">
        <v>2007</v>
      </c>
      <c r="N29" s="2" t="n">
        <v>112793</v>
      </c>
      <c r="O29" s="2" t="n">
        <v>2900</v>
      </c>
      <c r="P29" s="2" t="n"/>
      <c r="Q29" s="2" t="n"/>
      <c r="R29" s="2" t="inlineStr">
        <is>
          <t>profesional</t>
        </is>
      </c>
      <c r="S29" s="2" t="inlineStr">
        <is>
          <t>Valencia - Pista De Silla (Massanassa, 46470)</t>
        </is>
      </c>
      <c r="T29" s="2" t="inlineStr">
        <is>
          <t>2026-02-18T00:00:00.000Z</t>
        </is>
      </c>
      <c r="U29" s="2" t="n">
        <v>33</v>
      </c>
      <c r="V29" s="2" t="inlineStr">
        <is>
          <t>sí</t>
        </is>
      </c>
      <c r="W29" s="2" t="n"/>
      <c r="X29" s="2" t="n"/>
      <c r="Y29" s="2" t="n">
        <v>0</v>
      </c>
      <c r="Z29" s="2" t="n"/>
      <c r="AA29" s="2" t="n"/>
      <c r="AB29" s="2" t="n"/>
      <c r="AC29" s="2" t="inlineStr">
        <is>
          <t>sí</t>
        </is>
      </c>
      <c r="AD29" s="2" t="n">
        <v>500</v>
      </c>
      <c r="AE29" s="2" t="n"/>
      <c r="AF29" s="2" t="inlineStr">
        <is>
          <t>sí</t>
        </is>
      </c>
      <c r="AG29" s="2" t="n"/>
      <c r="AH29" s="2" t="n">
        <v>2900</v>
      </c>
      <c r="AI29" s="2" t="n">
        <v>2300</v>
      </c>
      <c r="AJ29" s="2" t="inlineStr">
        <is>
          <t>sí</t>
        </is>
      </c>
      <c r="AK29" s="2" t="n">
        <v>350</v>
      </c>
      <c r="AL29" s="2" t="inlineStr">
        <is>
          <t>sí</t>
        </is>
      </c>
      <c r="AM29" s="2" t="n">
        <v>7.8</v>
      </c>
      <c r="AN29" s="2" t="inlineStr">
        <is>
          <t>0220FKN</t>
        </is>
      </c>
      <c r="AO29" s="2" t="inlineStr">
        <is>
          <t>2007-01-19</t>
        </is>
      </c>
      <c r="AP29" s="2" t="n">
        <v>2007</v>
      </c>
      <c r="AQ29" s="2" t="n">
        <v>1</v>
      </c>
      <c r="AR29" s="2" t="inlineStr">
        <is>
          <t>C</t>
        </is>
      </c>
      <c r="AS29" s="2" t="inlineStr">
        <is>
          <t>DGT</t>
        </is>
      </c>
      <c r="AT29" s="2" t="n"/>
      <c r="AU29" s="2" t="inlineStr">
        <is>
          <t>no</t>
        </is>
      </c>
      <c r="AV29" s="2" t="inlineStr">
        <is>
          <t>sí</t>
        </is>
      </c>
      <c r="AW29" s="2" t="inlineStr">
        <is>
          <t>no</t>
        </is>
      </c>
      <c r="AX29" s="2" t="n">
        <v>3600</v>
      </c>
      <c r="AY29" s="2" t="n">
        <v>9</v>
      </c>
      <c r="AZ29" s="2" t="inlineStr">
        <is>
          <t>modelo+año+km</t>
        </is>
      </c>
      <c r="BA29" s="2" t="n"/>
      <c r="BB29" s="2" t="inlineStr">
        <is>
          <t>vendedor profesional: sin ITP (operación con IVA/REBU, confirmar en factura); el precio anunciado (2.300 €) solo vale financiando; se usa el precio al contado; caja robotizada (mta): -10 en fiabilidad; revisar: no menciona la ITV</t>
        </is>
      </c>
      <c r="BC29" s="2" t="inlineStr">
        <is>
          <t>Opel Corsa 1.2 Enjoy MTA (80 CV)</t>
        </is>
      </c>
      <c r="BD29" s="2" t="inlineStr">
        <is>
          <t>https://www.ocasionplus.com/coches-segunda-mano/opel-corsa-12-enjoy-mta-con-112793km-2007-nu8qgqaj (payload RSC 'vehicle') /home/user/Alopecia/buscador-coches/raw/ocasionplus/f57149c007dd3ca5.json</t>
        </is>
      </c>
      <c r="BE29" s="3">
        <f>MAX(ANIO_ACTUAL-M29,0)</f>
        <v/>
      </c>
      <c r="BF29" s="4">
        <f>N29/MAX(BE29,0.5)</f>
        <v/>
      </c>
      <c r="BG29" s="4">
        <f>F29</f>
        <v/>
      </c>
      <c r="BH29" s="3">
        <f>BG29&amp;"|"&amp;INT(M29/SEG_ANIO)*SEG_ANIO</f>
        <v/>
      </c>
      <c r="BI29" s="3">
        <f>BH29&amp;"|"&amp;INT(N29/SEG_KM)*SEG_KM</f>
        <v/>
      </c>
      <c r="BJ29" s="4">
        <f>COUNTIF($BG$2:$BG$130,BG29)</f>
        <v/>
      </c>
      <c r="BK29" s="4">
        <f>COUNTIF($BH$2:$BH$130,BH29)</f>
        <v/>
      </c>
      <c r="BL29" s="4">
        <f>COUNTIF($BI$2:$BI$130,BI29)</f>
        <v/>
      </c>
      <c r="BM29" s="3">
        <f t="array" ref="BM29">IF(N(AY29)&gt;=MIN_N,AX29,IF(BL29&gt;=MIN_N,MEDIAN(IF($BI$2:$BI$130=BI29,$O$2:$O$130)),IF(BK29&gt;=MIN_N,MEDIAN(IF($BH$2:$BH$130=BH29,$O$2:$O$130)),MEDIAN(IF($BG$2:$BG$130=BG29,$O$2:$O$130)))))</f>
        <v/>
      </c>
      <c r="BN29" s="3">
        <f>IF(N(AY29)&gt;=MIN_N,"mercado "&amp;AZ29,IF(BL29&gt;=MIN_N,"modelo+año+km",IF(BK29&gt;=MIN_N,"modelo+año","modelo")))</f>
        <v/>
      </c>
      <c r="BO29" s="4">
        <f>(BM29-O29)/BM29</f>
        <v/>
      </c>
      <c r="BP29" s="3">
        <f>IF(COUNTIFS(FR_FUEL,K29,FR_YEAR,AP29)&gt;0,1,0)</f>
        <v/>
      </c>
      <c r="BQ29" s="3">
        <f>IF(COUNTIFS(FR_FUEL,K29,FR_YEAR,AP29-1)&gt;0,1,0)</f>
        <v/>
      </c>
      <c r="BR29" s="4">
        <f>IF(N(AQ29)&gt;0,AP29*100+AQ29,IF(AND(BP29=1,BQ29=1),(AP29-1)*100+1,AP29*100+1))</f>
        <v/>
      </c>
      <c r="BS29" s="3">
        <f>IF(OR(K29="hibrido",K29="glp",K29="gnc",K29="phev"),"ECO",IF(K29="electrico","CERO",IF(K29="gasolina",IF(BR29&gt;=GAS_C_YM,"C",IF(BR29&gt;=GAS_B_YM,"B","A")),IF(K29="diesel",IF(BR29&gt;=DIE_C_YM,"C",IF(BR29&gt;=DIE_B_YM,"B","A")),""))))</f>
        <v/>
      </c>
      <c r="BT29" s="2" t="inlineStr">
        <is>
          <t>C</t>
        </is>
      </c>
      <c r="BU29" s="4">
        <f>IF(AU29="sí","sí",IF(AS29="regla",IF(AND(N(AQ29)=0,BP29=1),"sí","no"),"no"))</f>
        <v/>
      </c>
      <c r="BV29" s="3">
        <f>IFERROR(VLOOKUP(F29,MOD_TBL,16,0),IFERROR(VLOOKUP(E29,OCU_TBL,2,0),NEUTRO))</f>
        <v/>
      </c>
      <c r="BW29" s="3">
        <f>SUMIFS(MOT_AJUSTE,MOT_MOTOR,G29,MOT_MARCA,E29,MOT_DESDE,"&lt;="&amp;M29,MOT_HASTA,"&gt;="&amp;M29)+SUMIFS(MOT_AJUSTE,MOT_MOTOR,G29,MOT_MARCA,"(todas)",MOT_DESDE,"&lt;="&amp;M29,MOT_HASTA,"&gt;="&amp;M29)+SUMIFS(MOT_AJUSTE,MOT_MOTOR,"(cualquiera)",MOT_MARCA,E29,MOT_DESDE,"&lt;="&amp;M29,MOT_HASTA,"&gt;="&amp;M29)</f>
        <v/>
      </c>
      <c r="BX29" s="3">
        <f>SUMIFS(COMB_AJUSTE,COMB_COMB,K29)</f>
        <v/>
      </c>
      <c r="BY29" s="3">
        <f>COUNTIFS(MOT_MOTOR,G29,MOT_MARCA,E29,MOT_DESDE,"&lt;="&amp;M29,MOT_HASTA,"&gt;="&amp;M29)+COUNTIFS(MOT_MOTOR,G29,MOT_MARCA,"(todas)",MOT_DESDE,"&lt;="&amp;M29,MOT_HASTA,"&gt;="&amp;M29)+COUNTIFS(MOT_MOTOR,"(cualquiera)",MOT_MARCA,E29,MOT_DESDE,"&lt;="&amp;M29,MOT_HASTA,"&gt;="&amp;M29)</f>
        <v/>
      </c>
      <c r="BZ29" s="3">
        <f>IF(AND(K29="diesel",BY29=0),MIN(BV29,NEUTRO),BV29)</f>
        <v/>
      </c>
      <c r="CA29" s="3">
        <f>MAX(0,MIN(100,BZ29+BW29+BX29-IF(AV29="sí",ROB_PEN,0)))</f>
        <v/>
      </c>
      <c r="CB29" s="3">
        <f>100-MAX(0,N29-KM_TOPE_DESDE)/1000*KM_TOPE_PTS</f>
        <v/>
      </c>
      <c r="CC29" s="3">
        <f>MAX(0,MIN(100,50+BO29*PRECIO_PEND,CB29))</f>
        <v/>
      </c>
      <c r="CD29" s="3">
        <f>MAX(0,100*(1-N29/KM_MAX))</f>
        <v/>
      </c>
      <c r="CE29" s="3">
        <f>IF(BF29&lt;KMA_SOSP,IF(AA29="sí",100,KMA_PEN),IF(BF29&lt;=KMA_IDEAL_MAX,100,MAX(0,100*(KMA_CERO-BF29)/(KMA_CERO-KMA_IDEAL_MAX))))</f>
        <v/>
      </c>
      <c r="CF29" s="3">
        <f>MAX(0,MIN(100,100*(M29-ANIO_MIN)/(ANIO_ACTUAL-ANIO_MIN)))</f>
        <v/>
      </c>
      <c r="CG29" s="3">
        <f>W_KMT*CD29+W_KMA*CE29+W_EDAD*CF29</f>
        <v/>
      </c>
      <c r="CH29" s="3">
        <f>P_ITV*(V29="sí")+P_LIBRO*(W29="sí")+P_CORREA*(X29="sí")+P_PROP*(Y29=1)+P_GAR*(Z29="sí")+P_FOTOS*MIN(1,N(U29)/FOTOS_OBJ)</f>
        <v/>
      </c>
      <c r="CI29" s="3">
        <f>MAX(0,MIN(100,IFERROR(VLOOKUP(BT29,ETQ_TBL,2,0),0)-IF(BU29="sí",ETQ_PEN_DUD,IF(AS29="regla",ETQ_PEN_REGLA,0))))</f>
        <v/>
      </c>
      <c r="CJ29" s="3">
        <f>IF(K29&lt;&gt;"gasolina","",IFERROR(VLOOKUP(F29,CONS_MOD_TBL,2,0),IFERROR(VLOOKUP(L29,CONS_SEG_TBL,2,0),"")))</f>
        <v/>
      </c>
      <c r="CK29" s="3">
        <f>IF(CJ29="",NEUTRO,MAX(0,MIN(100,100*(CONS_REF_MAX-CJ29)/(CONS_REF_MAX-CONS_REF_MIN))))</f>
        <v/>
      </c>
      <c r="CL29" s="3">
        <f>IFERROR(VLOOKUP(L29,SEGURO_TBL,3,0),"")</f>
        <v/>
      </c>
      <c r="CM29" s="3">
        <f>IF(CL29="",NEUTRO,MAX(0,MIN(100,100*(SEG_REF_MAX-CL29)/(SEG_REF_MAX-SEG_REF_MIN))))</f>
        <v/>
      </c>
      <c r="CN29" s="3">
        <f>W_CONS*CK29+W_SEG*CM29</f>
        <v/>
      </c>
      <c r="CO29" s="3">
        <f>IF(N(AB29)&gt;0,AB29,IF(AND(R29="profesional",SG_LEGAL_ON=1),GAR_LEGAL,0))</f>
        <v/>
      </c>
      <c r="CP29" s="3">
        <f>SG_GAR*MIN(1,CO29/SG_GAR_FULL)+SG_AMPL*(AC29="sí")+SG_KMC*(AF29="sí")+SG_REV*(N(AE29)&gt;0)+SG_DEV*MIN(1,N(AG29)/SG_DEV_FULL)+SG_HIST*(W29="sí")</f>
        <v/>
      </c>
      <c r="CQ29" s="3">
        <f>IF(AW29="sí",ESTILO_PRIO,IFERROR(VLOOKUP(L29,ESTILO_TBL,2,0),NEUTRO))</f>
        <v/>
      </c>
      <c r="CR29" s="3">
        <f>IFERROR(VLOOKUP(L29,CARR_PEN_TBL,2,0),0)</f>
        <v/>
      </c>
      <c r="CS29" s="3">
        <f>W_FIAB*CA29+W_PRECIO*CC29+W_KMEDAD*CG29+W_ANUNCIO*CH29+W_USO*CN29+W_SEGURIDAD*CP29+W_ETIQUETA*CI29+W_ESTILO*CQ29-CR29</f>
        <v/>
      </c>
      <c r="CT29" s="4">
        <f>IF(N(I29)&gt;0,I29,IFERROR(ROUND(_xlfn.NUMBERVALUE(LEFT(G29,FIND(" ",G29&amp;" ")-1),".")*1000,0),99999))</f>
        <v/>
      </c>
      <c r="CU29" s="3">
        <f>IF(R29="profesional",0,IF(O29&lt;CUOTA_VALOR_MAX,IF(BE29&gt;ITP_TRAMO_ALTO,SUMIFS(CF_CUOTA,CF_MAS,ITP_TRAMO_ALTO,CF_CCMIN,"&lt;="&amp;CT29,CF_CCMAX,"&gt;="&amp;CT29),IF(BE29&gt;ITP_TRAMO_BAJO,SUMIFS(CF_CUOTA,CF_MAS,ITP_TRAMO_BAJO,CF_CCMIN,"&lt;="&amp;CT29,CF_CCMAX,"&gt;="&amp;CT29),O29*ITP_TIPO)),O29*ITP_TIPO))</f>
        <v/>
      </c>
      <c r="CV29" s="4">
        <f>IF(R29="profesional",N(AK29),0)</f>
        <v/>
      </c>
      <c r="CW29" s="3">
        <f>IF(AND(R29="profesional",ISNUMBER(AK29),AL29="sí"),0,TASA_DGT)</f>
        <v/>
      </c>
      <c r="CX29" s="3">
        <f>INFORME_DGT</f>
        <v/>
      </c>
      <c r="CY29" s="4">
        <f>O29+CV29+CU29+CW29+CX29</f>
        <v/>
      </c>
      <c r="CZ29" s="4">
        <f>CY29+N(CL29)</f>
        <v/>
      </c>
      <c r="DA29" s="3">
        <f>IF(CY29&lt;=TOTAL_MAX,"sí",IF(CY29&lt;=TOTAL_MAX+MARGEN_NEG,"negociar","no"))</f>
        <v/>
      </c>
      <c r="DB29" s="4">
        <f>IF(DA29&lt;&gt;"no",COUNTIFS($DA$2:$DA$130,"&lt;&gt;no",$CS$2:$CS$130,"&gt;"&amp;CS29)+COUNTIFS($DA$2:DA29,"&lt;&gt;no",$CS$2:CS29,CS29),"")</f>
        <v/>
      </c>
    </row>
    <row r="30">
      <c r="A30" s="2" t="inlineStr">
        <is>
          <t>ocasionplus:2006</t>
        </is>
      </c>
      <c r="B30" s="2" t="inlineStr">
        <is>
          <t>ocasionplus</t>
        </is>
      </c>
      <c r="C30" s="2" t="inlineStr">
        <is>
          <t>https://www.ocasionplus.com/coches-segunda-mano/fiat-panda-12-dynamic-con-213136km-2006</t>
        </is>
      </c>
      <c r="D30" s="2" t="inlineStr">
        <is>
          <t>Fiat Panda 1.2 Dynamic (60 CV)</t>
        </is>
      </c>
      <c r="E30" s="2" t="inlineStr">
        <is>
          <t>Fiat</t>
        </is>
      </c>
      <c r="F30" s="2" t="inlineStr">
        <is>
          <t>Fiat Panda</t>
        </is>
      </c>
      <c r="G30" s="2" t="inlineStr">
        <is>
          <t>1.2</t>
        </is>
      </c>
      <c r="H30" s="2" t="inlineStr">
        <is>
          <t>Fiat Panda 1.2 Dynamic (60 CV)</t>
        </is>
      </c>
      <c r="I30" s="2" t="n">
        <v>1242</v>
      </c>
      <c r="J30" s="2" t="n">
        <v>60</v>
      </c>
      <c r="K30" s="2" t="inlineStr">
        <is>
          <t>gasolina</t>
        </is>
      </c>
      <c r="L30" s="2" t="inlineStr">
        <is>
          <t>utilitario</t>
        </is>
      </c>
      <c r="M30" s="2" t="n">
        <v>2006</v>
      </c>
      <c r="N30" s="2" t="n">
        <v>213136</v>
      </c>
      <c r="O30" s="2" t="n">
        <v>2200</v>
      </c>
      <c r="P30" s="2" t="inlineStr">
        <is>
          <t>manual</t>
        </is>
      </c>
      <c r="Q30" s="2" t="inlineStr">
        <is>
          <t>no</t>
        </is>
      </c>
      <c r="R30" s="2" t="inlineStr">
        <is>
          <t>profesional</t>
        </is>
      </c>
      <c r="S30" s="2" t="inlineStr">
        <is>
          <t>Valencia - Alzira (Alzira, 46600)</t>
        </is>
      </c>
      <c r="T30" s="2" t="inlineStr">
        <is>
          <t>2024-05-07T13:27:20.000Z</t>
        </is>
      </c>
      <c r="U30" s="2" t="n">
        <v>23</v>
      </c>
      <c r="V30" s="2" t="inlineStr">
        <is>
          <t>sí</t>
        </is>
      </c>
      <c r="W30" s="2" t="n"/>
      <c r="X30" s="2" t="n"/>
      <c r="Y30" s="2" t="n">
        <v>0</v>
      </c>
      <c r="Z30" s="2" t="n"/>
      <c r="AA30" s="2" t="n"/>
      <c r="AB30" s="2" t="n"/>
      <c r="AC30" s="2" t="inlineStr">
        <is>
          <t>sí</t>
        </is>
      </c>
      <c r="AD30" s="2" t="n">
        <v>500</v>
      </c>
      <c r="AE30" s="2" t="n"/>
      <c r="AF30" s="2" t="inlineStr">
        <is>
          <t>sí</t>
        </is>
      </c>
      <c r="AG30" s="2" t="n"/>
      <c r="AH30" s="2" t="n">
        <v>2200</v>
      </c>
      <c r="AI30" s="2" t="n">
        <v>2200</v>
      </c>
      <c r="AJ30" s="2" t="inlineStr">
        <is>
          <t>no</t>
        </is>
      </c>
      <c r="AK30" s="2" t="n">
        <v>350</v>
      </c>
      <c r="AL30" s="2" t="inlineStr">
        <is>
          <t>sí</t>
        </is>
      </c>
      <c r="AM30" s="2" t="n">
        <v>35.7</v>
      </c>
      <c r="AN30" s="2" t="inlineStr">
        <is>
          <t>9605FDM</t>
        </is>
      </c>
      <c r="AO30" s="2" t="inlineStr">
        <is>
          <t>2006-07-31</t>
        </is>
      </c>
      <c r="AP30" s="2" t="n">
        <v>2006</v>
      </c>
      <c r="AQ30" s="2" t="n">
        <v>7</v>
      </c>
      <c r="AR30" s="2" t="inlineStr">
        <is>
          <t>C</t>
        </is>
      </c>
      <c r="AS30" s="2" t="inlineStr">
        <is>
          <t>DGT</t>
        </is>
      </c>
      <c r="AT30" s="2" t="n"/>
      <c r="AU30" s="2" t="inlineStr">
        <is>
          <t>no</t>
        </is>
      </c>
      <c r="AV30" s="2" t="inlineStr">
        <is>
          <t>no</t>
        </is>
      </c>
      <c r="AW30" s="2" t="inlineStr">
        <is>
          <t>no</t>
        </is>
      </c>
      <c r="AX30" s="2" t="n"/>
      <c r="AY30" s="2" t="n"/>
      <c r="AZ30" s="2" t="n"/>
      <c r="BA30" s="2" t="n"/>
      <c r="BB30" s="2" t="inlineStr">
        <is>
          <t>vendedor profesional: sin ITP (operación con IVA/REBU, confirmar en factura); revisar: no menciona la ITV; mediana con solo 1 anuncio(s)</t>
        </is>
      </c>
      <c r="BC30" s="2" t="inlineStr">
        <is>
          <t>Fiat Panda 1.2 Dynamic (60 CV)</t>
        </is>
      </c>
      <c r="BD30" s="2" t="inlineStr">
        <is>
          <t>https://www.ocasionplus.com/coches-segunda-mano/fiat-panda-12-dynamic-con-213136km-2006 (payload RSC 'vehicle') /home/user/Alopecia/buscador-coches/raw/ocasionplus/36fb1d575186ed5c.json</t>
        </is>
      </c>
      <c r="BE30" s="3">
        <f>MAX(ANIO_ACTUAL-M30,0)</f>
        <v/>
      </c>
      <c r="BF30" s="4">
        <f>N30/MAX(BE30,0.5)</f>
        <v/>
      </c>
      <c r="BG30" s="4">
        <f>F30</f>
        <v/>
      </c>
      <c r="BH30" s="3">
        <f>BG30&amp;"|"&amp;INT(M30/SEG_ANIO)*SEG_ANIO</f>
        <v/>
      </c>
      <c r="BI30" s="3">
        <f>BH30&amp;"|"&amp;INT(N30/SEG_KM)*SEG_KM</f>
        <v/>
      </c>
      <c r="BJ30" s="4">
        <f>COUNTIF($BG$2:$BG$130,BG30)</f>
        <v/>
      </c>
      <c r="BK30" s="4">
        <f>COUNTIF($BH$2:$BH$130,BH30)</f>
        <v/>
      </c>
      <c r="BL30" s="4">
        <f>COUNTIF($BI$2:$BI$130,BI30)</f>
        <v/>
      </c>
      <c r="BM30" s="3">
        <f t="array" ref="BM30">IF(N(AY30)&gt;=MIN_N,AX30,IF(BL30&gt;=MIN_N,MEDIAN(IF($BI$2:$BI$130=BI30,$O$2:$O$130)),IF(BK30&gt;=MIN_N,MEDIAN(IF($BH$2:$BH$130=BH30,$O$2:$O$130)),MEDIAN(IF($BG$2:$BG$130=BG30,$O$2:$O$130)))))</f>
        <v/>
      </c>
      <c r="BN30" s="3">
        <f>IF(N(AY30)&gt;=MIN_N,"mercado "&amp;AZ30,IF(BL30&gt;=MIN_N,"modelo+año+km",IF(BK30&gt;=MIN_N,"modelo+año","modelo")))</f>
        <v/>
      </c>
      <c r="BO30" s="4">
        <f>(BM30-O30)/BM30</f>
        <v/>
      </c>
      <c r="BP30" s="3">
        <f>IF(COUNTIFS(FR_FUEL,K30,FR_YEAR,AP30)&gt;0,1,0)</f>
        <v/>
      </c>
      <c r="BQ30" s="3">
        <f>IF(COUNTIFS(FR_FUEL,K30,FR_YEAR,AP30-1)&gt;0,1,0)</f>
        <v/>
      </c>
      <c r="BR30" s="4">
        <f>IF(N(AQ30)&gt;0,AP30*100+AQ30,IF(AND(BP30=1,BQ30=1),(AP30-1)*100+1,AP30*100+1))</f>
        <v/>
      </c>
      <c r="BS30" s="3">
        <f>IF(OR(K30="hibrido",K30="glp",K30="gnc",K30="phev"),"ECO",IF(K30="electrico","CERO",IF(K30="gasolina",IF(BR30&gt;=GAS_C_YM,"C",IF(BR30&gt;=GAS_B_YM,"B","A")),IF(K30="diesel",IF(BR30&gt;=DIE_C_YM,"C",IF(BR30&gt;=DIE_B_YM,"B","A")),""))))</f>
        <v/>
      </c>
      <c r="BT30" s="2" t="inlineStr">
        <is>
          <t>C</t>
        </is>
      </c>
      <c r="BU30" s="4">
        <f>IF(AU30="sí","sí",IF(AS30="regla",IF(AND(N(AQ30)=0,BP30=1),"sí","no"),"no"))</f>
        <v/>
      </c>
      <c r="BV30" s="3">
        <f>IFERROR(VLOOKUP(F30,MOD_TBL,16,0),IFERROR(VLOOKUP(E30,OCU_TBL,2,0),NEUTRO))</f>
        <v/>
      </c>
      <c r="BW30" s="3">
        <f>SUMIFS(MOT_AJUSTE,MOT_MOTOR,G30,MOT_MARCA,E30,MOT_DESDE,"&lt;="&amp;M30,MOT_HASTA,"&gt;="&amp;M30)+SUMIFS(MOT_AJUSTE,MOT_MOTOR,G30,MOT_MARCA,"(todas)",MOT_DESDE,"&lt;="&amp;M30,MOT_HASTA,"&gt;="&amp;M30)+SUMIFS(MOT_AJUSTE,MOT_MOTOR,"(cualquiera)",MOT_MARCA,E30,MOT_DESDE,"&lt;="&amp;M30,MOT_HASTA,"&gt;="&amp;M30)</f>
        <v/>
      </c>
      <c r="BX30" s="3">
        <f>SUMIFS(COMB_AJUSTE,COMB_COMB,K30)</f>
        <v/>
      </c>
      <c r="BY30" s="3">
        <f>COUNTIFS(MOT_MOTOR,G30,MOT_MARCA,E30,MOT_DESDE,"&lt;="&amp;M30,MOT_HASTA,"&gt;="&amp;M30)+COUNTIFS(MOT_MOTOR,G30,MOT_MARCA,"(todas)",MOT_DESDE,"&lt;="&amp;M30,MOT_HASTA,"&gt;="&amp;M30)+COUNTIFS(MOT_MOTOR,"(cualquiera)",MOT_MARCA,E30,MOT_DESDE,"&lt;="&amp;M30,MOT_HASTA,"&gt;="&amp;M30)</f>
        <v/>
      </c>
      <c r="BZ30" s="3">
        <f>IF(AND(K30="diesel",BY30=0),MIN(BV30,NEUTRO),BV30)</f>
        <v/>
      </c>
      <c r="CA30" s="3">
        <f>MAX(0,MIN(100,BZ30+BW30+BX30-IF(AV30="sí",ROB_PEN,0)))</f>
        <v/>
      </c>
      <c r="CB30" s="3">
        <f>100-MAX(0,N30-KM_TOPE_DESDE)/1000*KM_TOPE_PTS</f>
        <v/>
      </c>
      <c r="CC30" s="3">
        <f>MAX(0,MIN(100,50+BO30*PRECIO_PEND,CB30))</f>
        <v/>
      </c>
      <c r="CD30" s="3">
        <f>MAX(0,100*(1-N30/KM_MAX))</f>
        <v/>
      </c>
      <c r="CE30" s="3">
        <f>IF(BF30&lt;KMA_SOSP,IF(AA30="sí",100,KMA_PEN),IF(BF30&lt;=KMA_IDEAL_MAX,100,MAX(0,100*(KMA_CERO-BF30)/(KMA_CERO-KMA_IDEAL_MAX))))</f>
        <v/>
      </c>
      <c r="CF30" s="3">
        <f>MAX(0,MIN(100,100*(M30-ANIO_MIN)/(ANIO_ACTUAL-ANIO_MIN)))</f>
        <v/>
      </c>
      <c r="CG30" s="3">
        <f>W_KMT*CD30+W_KMA*CE30+W_EDAD*CF30</f>
        <v/>
      </c>
      <c r="CH30" s="3">
        <f>P_ITV*(V30="sí")+P_LIBRO*(W30="sí")+P_CORREA*(X30="sí")+P_PROP*(Y30=1)+P_GAR*(Z30="sí")+P_FOTOS*MIN(1,N(U30)/FOTOS_OBJ)</f>
        <v/>
      </c>
      <c r="CI30" s="3">
        <f>MAX(0,MIN(100,IFERROR(VLOOKUP(BT30,ETQ_TBL,2,0),0)-IF(BU30="sí",ETQ_PEN_DUD,IF(AS30="regla",ETQ_PEN_REGLA,0))))</f>
        <v/>
      </c>
      <c r="CJ30" s="3">
        <f>IF(K30&lt;&gt;"gasolina","",IFERROR(VLOOKUP(F30,CONS_MOD_TBL,2,0),IFERROR(VLOOKUP(L30,CONS_SEG_TBL,2,0),"")))</f>
        <v/>
      </c>
      <c r="CK30" s="3">
        <f>IF(CJ30="",NEUTRO,MAX(0,MIN(100,100*(CONS_REF_MAX-CJ30)/(CONS_REF_MAX-CONS_REF_MIN))))</f>
        <v/>
      </c>
      <c r="CL30" s="3">
        <f>IFERROR(VLOOKUP(L30,SEGURO_TBL,3,0),"")</f>
        <v/>
      </c>
      <c r="CM30" s="3">
        <f>IF(CL30="",NEUTRO,MAX(0,MIN(100,100*(SEG_REF_MAX-CL30)/(SEG_REF_MAX-SEG_REF_MIN))))</f>
        <v/>
      </c>
      <c r="CN30" s="3">
        <f>W_CONS*CK30+W_SEG*CM30</f>
        <v/>
      </c>
      <c r="CO30" s="3">
        <f>IF(N(AB30)&gt;0,AB30,IF(AND(R30="profesional",SG_LEGAL_ON=1),GAR_LEGAL,0))</f>
        <v/>
      </c>
      <c r="CP30" s="3">
        <f>SG_GAR*MIN(1,CO30/SG_GAR_FULL)+SG_AMPL*(AC30="sí")+SG_KMC*(AF30="sí")+SG_REV*(N(AE30)&gt;0)+SG_DEV*MIN(1,N(AG30)/SG_DEV_FULL)+SG_HIST*(W30="sí")</f>
        <v/>
      </c>
      <c r="CQ30" s="3">
        <f>IF(AW30="sí",ESTILO_PRIO,IFERROR(VLOOKUP(L30,ESTILO_TBL,2,0),NEUTRO))</f>
        <v/>
      </c>
      <c r="CR30" s="3">
        <f>IFERROR(VLOOKUP(L30,CARR_PEN_TBL,2,0),0)</f>
        <v/>
      </c>
      <c r="CS30" s="3">
        <f>W_FIAB*CA30+W_PRECIO*CC30+W_KMEDAD*CG30+W_ANUNCIO*CH30+W_USO*CN30+W_SEGURIDAD*CP30+W_ETIQUETA*CI30+W_ESTILO*CQ30-CR30</f>
        <v/>
      </c>
      <c r="CT30" s="4">
        <f>IF(N(I30)&gt;0,I30,IFERROR(ROUND(_xlfn.NUMBERVALUE(LEFT(G30,FIND(" ",G30&amp;" ")-1),".")*1000,0),99999))</f>
        <v/>
      </c>
      <c r="CU30" s="3">
        <f>IF(R30="profesional",0,IF(O30&lt;CUOTA_VALOR_MAX,IF(BE30&gt;ITP_TRAMO_ALTO,SUMIFS(CF_CUOTA,CF_MAS,ITP_TRAMO_ALTO,CF_CCMIN,"&lt;="&amp;CT30,CF_CCMAX,"&gt;="&amp;CT30),IF(BE30&gt;ITP_TRAMO_BAJO,SUMIFS(CF_CUOTA,CF_MAS,ITP_TRAMO_BAJO,CF_CCMIN,"&lt;="&amp;CT30,CF_CCMAX,"&gt;="&amp;CT30),O30*ITP_TIPO)),O30*ITP_TIPO))</f>
        <v/>
      </c>
      <c r="CV30" s="4">
        <f>IF(R30="profesional",N(AK30),0)</f>
        <v/>
      </c>
      <c r="CW30" s="3">
        <f>IF(AND(R30="profesional",ISNUMBER(AK30),AL30="sí"),0,TASA_DGT)</f>
        <v/>
      </c>
      <c r="CX30" s="3">
        <f>INFORME_DGT</f>
        <v/>
      </c>
      <c r="CY30" s="4">
        <f>O30+CV30+CU30+CW30+CX30</f>
        <v/>
      </c>
      <c r="CZ30" s="4">
        <f>CY30+N(CL30)</f>
        <v/>
      </c>
      <c r="DA30" s="3">
        <f>IF(CY30&lt;=TOTAL_MAX,"sí",IF(CY30&lt;=TOTAL_MAX+MARGEN_NEG,"negociar","no"))</f>
        <v/>
      </c>
      <c r="DB30" s="4">
        <f>IF(DA30&lt;&gt;"no",COUNTIFS($DA$2:$DA$130,"&lt;&gt;no",$CS$2:$CS$130,"&gt;"&amp;CS30)+COUNTIFS($DA$2:DA30,"&lt;&gt;no",$CS$2:CS30,CS30),"")</f>
        <v/>
      </c>
    </row>
    <row r="31">
      <c r="A31" s="2" t="inlineStr">
        <is>
          <t>cochesnet:71437236</t>
        </is>
      </c>
      <c r="B31" s="2" t="inlineStr">
        <is>
          <t>cochesnet</t>
        </is>
      </c>
      <c r="C31" s="2" t="inlineStr">
        <is>
          <t>https://www.coches.net/seat-ibiza-14-16v-75-cv-reference-5p-gasolina-2006-en-castellon-71437236-covo.aspx</t>
        </is>
      </c>
      <c r="D31" s="2" t="inlineStr">
        <is>
          <t>SEAT IBIZA 1.4 16V 75 CV REFERENCE</t>
        </is>
      </c>
      <c r="E31" s="2" t="inlineStr">
        <is>
          <t>Seat</t>
        </is>
      </c>
      <c r="F31" s="2" t="inlineStr">
        <is>
          <t>Seat Ibiza</t>
        </is>
      </c>
      <c r="G31" s="2" t="inlineStr">
        <is>
          <t>1.4</t>
        </is>
      </c>
      <c r="H31" s="2" t="inlineStr">
        <is>
          <t>1.4 16V 75 CV REFERENCE</t>
        </is>
      </c>
      <c r="I31" s="2" t="n"/>
      <c r="J31" s="2" t="n">
        <v>75</v>
      </c>
      <c r="K31" s="2" t="inlineStr">
        <is>
          <t>gasolina</t>
        </is>
      </c>
      <c r="L31" s="2" t="inlineStr">
        <is>
          <t>utilitario</t>
        </is>
      </c>
      <c r="M31" s="2" t="n">
        <v>2006</v>
      </c>
      <c r="N31" s="2" t="n">
        <v>170628</v>
      </c>
      <c r="O31" s="2" t="n">
        <v>4000</v>
      </c>
      <c r="P31" s="2" t="inlineStr">
        <is>
          <t>manual</t>
        </is>
      </c>
      <c r="Q31" s="2" t="inlineStr">
        <is>
          <t>no</t>
        </is>
      </c>
      <c r="R31" s="2" t="inlineStr">
        <is>
          <t>profesional</t>
        </is>
      </c>
      <c r="S31" s="2" t="inlineStr">
        <is>
          <t>Ocasionplus CASTELLÓN Castellón de la Plana / Castelló de la Plana</t>
        </is>
      </c>
      <c r="T31" s="2" t="inlineStr">
        <is>
          <t>2026-09-03T19:59:41Z</t>
        </is>
      </c>
      <c r="U31" s="2" t="n">
        <v>29</v>
      </c>
      <c r="V31" s="2" t="n"/>
      <c r="W31" s="2" t="n"/>
      <c r="X31" s="2" t="n"/>
      <c r="Y31" s="2" t="n"/>
      <c r="Z31" s="2" t="inlineStr">
        <is>
          <t>sí</t>
        </is>
      </c>
      <c r="AA31" s="2" t="n"/>
      <c r="AB31" s="2" t="n">
        <v>12</v>
      </c>
      <c r="AC31" s="2" t="n"/>
      <c r="AD31" s="2" t="n"/>
      <c r="AE31" s="2" t="n"/>
      <c r="AF31" s="2" t="n"/>
      <c r="AG31" s="2" t="n"/>
      <c r="AH31" s="2" t="n">
        <v>4000</v>
      </c>
      <c r="AI31" s="2" t="n">
        <v>4000</v>
      </c>
      <c r="AJ31" s="2" t="n"/>
      <c r="AK31" s="2" t="n"/>
      <c r="AL31" s="2" t="n"/>
      <c r="AM31" s="2" t="n"/>
      <c r="AN31" s="2" t="inlineStr">
        <is>
          <t>1000KMS</t>
        </is>
      </c>
      <c r="AO31" s="2" t="inlineStr">
        <is>
          <t>2006</t>
        </is>
      </c>
      <c r="AP31" s="2" t="n">
        <v>2006</v>
      </c>
      <c r="AQ31" s="2" t="n"/>
      <c r="AR31" s="2" t="inlineStr">
        <is>
          <t>B</t>
        </is>
      </c>
      <c r="AS31" s="2" t="inlineStr">
        <is>
          <t>DGT</t>
        </is>
      </c>
      <c r="AT31" s="2" t="n"/>
      <c r="AU31" s="2" t="inlineStr">
        <is>
          <t>no</t>
        </is>
      </c>
      <c r="AV31" s="2" t="inlineStr">
        <is>
          <t>no</t>
        </is>
      </c>
      <c r="AW31" s="2" t="inlineStr">
        <is>
          <t>no</t>
        </is>
      </c>
      <c r="AX31" s="2" t="n">
        <v>3750</v>
      </c>
      <c r="AY31" s="2" t="n">
        <v>8</v>
      </c>
      <c r="AZ31" s="2" t="inlineStr">
        <is>
          <t>modelo+año+km</t>
        </is>
      </c>
      <c r="BA31" s="2" t="inlineStr">
        <is>
          <t>autoscout24:2247e51d-2d97-4865-a634-64eb5c9e335d (https://www.autoscout24.es/anuncios/seat-ibiza-1-4-16v-reference-gasolina-negro-cat_ma64mo2006-2247e51d-2d97-4865-a634-64eb5c9e335d); wallapop:1273247713 (https://es.wallapop.com/item/seat-ibiza-1-4-16v-reference-55-kw-75-cv-1273247713)</t>
        </is>
      </c>
      <c r="BB31" s="2" t="inlineStr">
        <is>
          <t>vendedor profesional: sin ITP (operación con IVA/REBU, confirmar en factura); gastos de gestión del vendedor no indicados: se suma la tasa DGT; preguntar el precio final; revisar: no menciona la ITV; distancia no verificable (el anuncio solo indica la provincia): confirmar que está a &lt;= 70 km</t>
        </is>
      </c>
      <c r="BC31" s="2" t="inlineStr">
        <is>
          <t xml:space="preserve">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Volante multifunción, Aire Acondicionado (Climatizador), Isofix, Llantas de aleación (15").
                - Coche Nacional.
                COCHE SIN GARANTÍA, Vehículo sin Garantía para uso Profesional o Empresarial (Realizando Actividades Económicas Comerciales, Transportistas, Fontaneros, Albañiles, etc).
            - Sobrevaloramos tu coche en operaciones de cambio. Tásalo ahora en ocasionplus.com
            - Entregamos cualquier coche en cualquier centro
            - Abierto Domingo y Festivos.</t>
        </is>
      </c>
      <c r="BD31" s="2" t="inlineStr">
        <is>
          <t>https://www.coches.net/seat-ibiza-14-16v-75-cv-reference-5p-gasolina-2006-en-castellon-71437236-covo.aspx (window.__INITIAL_PROPS__.ad) /home/user/Alopecia/buscador-coches/raw/cochesnet/08cb7df1b155baac.json</t>
        </is>
      </c>
      <c r="BE31" s="3">
        <f>MAX(ANIO_ACTUAL-M31,0)</f>
        <v/>
      </c>
      <c r="BF31" s="4">
        <f>N31/MAX(BE31,0.5)</f>
        <v/>
      </c>
      <c r="BG31" s="4">
        <f>F31</f>
        <v/>
      </c>
      <c r="BH31" s="3">
        <f>BG31&amp;"|"&amp;INT(M31/SEG_ANIO)*SEG_ANIO</f>
        <v/>
      </c>
      <c r="BI31" s="3">
        <f>BH31&amp;"|"&amp;INT(N31/SEG_KM)*SEG_KM</f>
        <v/>
      </c>
      <c r="BJ31" s="4">
        <f>COUNTIF($BG$2:$BG$130,BG31)</f>
        <v/>
      </c>
      <c r="BK31" s="4">
        <f>COUNTIF($BH$2:$BH$130,BH31)</f>
        <v/>
      </c>
      <c r="BL31" s="4">
        <f>COUNTIF($BI$2:$BI$130,BI31)</f>
        <v/>
      </c>
      <c r="BM31" s="3">
        <f t="array" ref="BM31">IF(N(AY31)&gt;=MIN_N,AX31,IF(BL31&gt;=MIN_N,MEDIAN(IF($BI$2:$BI$130=BI31,$O$2:$O$130)),IF(BK31&gt;=MIN_N,MEDIAN(IF($BH$2:$BH$130=BH31,$O$2:$O$130)),MEDIAN(IF($BG$2:$BG$130=BG31,$O$2:$O$130)))))</f>
        <v/>
      </c>
      <c r="BN31" s="3">
        <f>IF(N(AY31)&gt;=MIN_N,"mercado "&amp;AZ31,IF(BL31&gt;=MIN_N,"modelo+año+km",IF(BK31&gt;=MIN_N,"modelo+año","modelo")))</f>
        <v/>
      </c>
      <c r="BO31" s="4">
        <f>(BM31-O31)/BM31</f>
        <v/>
      </c>
      <c r="BP31" s="3">
        <f>IF(COUNTIFS(FR_FUEL,K31,FR_YEAR,AP31)&gt;0,1,0)</f>
        <v/>
      </c>
      <c r="BQ31" s="3">
        <f>IF(COUNTIFS(FR_FUEL,K31,FR_YEAR,AP31-1)&gt;0,1,0)</f>
        <v/>
      </c>
      <c r="BR31" s="4">
        <f>IF(N(AQ31)&gt;0,AP31*100+AQ31,IF(AND(BP31=1,BQ31=1),(AP31-1)*100+1,AP31*100+1))</f>
        <v/>
      </c>
      <c r="BS31" s="3">
        <f>IF(OR(K31="hibrido",K31="glp",K31="gnc",K31="phev"),"ECO",IF(K31="electrico","CERO",IF(K31="gasolina",IF(BR31&gt;=GAS_C_YM,"C",IF(BR31&gt;=GAS_B_YM,"B","A")),IF(K31="diesel",IF(BR31&gt;=DIE_C_YM,"C",IF(BR31&gt;=DIE_B_YM,"B","A")),""))))</f>
        <v/>
      </c>
      <c r="BT31" s="2" t="inlineStr">
        <is>
          <t>B</t>
        </is>
      </c>
      <c r="BU31" s="4">
        <f>IF(AU31="sí","sí",IF(AS31="regla",IF(AND(N(AQ31)=0,BP31=1),"sí","no"),"no"))</f>
        <v/>
      </c>
      <c r="BV31" s="3">
        <f>IFERROR(VLOOKUP(F31,MOD_TBL,16,0),IFERROR(VLOOKUP(E31,OCU_TBL,2,0),NEUTRO))</f>
        <v/>
      </c>
      <c r="BW31" s="3">
        <f>SUMIFS(MOT_AJUSTE,MOT_MOTOR,G31,MOT_MARCA,E31,MOT_DESDE,"&lt;="&amp;M31,MOT_HASTA,"&gt;="&amp;M31)+SUMIFS(MOT_AJUSTE,MOT_MOTOR,G31,MOT_MARCA,"(todas)",MOT_DESDE,"&lt;="&amp;M31,MOT_HASTA,"&gt;="&amp;M31)+SUMIFS(MOT_AJUSTE,MOT_MOTOR,"(cualquiera)",MOT_MARCA,E31,MOT_DESDE,"&lt;="&amp;M31,MOT_HASTA,"&gt;="&amp;M31)</f>
        <v/>
      </c>
      <c r="BX31" s="3">
        <f>SUMIFS(COMB_AJUSTE,COMB_COMB,K31)</f>
        <v/>
      </c>
      <c r="BY31" s="3">
        <f>COUNTIFS(MOT_MOTOR,G31,MOT_MARCA,E31,MOT_DESDE,"&lt;="&amp;M31,MOT_HASTA,"&gt;="&amp;M31)+COUNTIFS(MOT_MOTOR,G31,MOT_MARCA,"(todas)",MOT_DESDE,"&lt;="&amp;M31,MOT_HASTA,"&gt;="&amp;M31)+COUNTIFS(MOT_MOTOR,"(cualquiera)",MOT_MARCA,E31,MOT_DESDE,"&lt;="&amp;M31,MOT_HASTA,"&gt;="&amp;M31)</f>
        <v/>
      </c>
      <c r="BZ31" s="3">
        <f>IF(AND(K31="diesel",BY31=0),MIN(BV31,NEUTRO),BV31)</f>
        <v/>
      </c>
      <c r="CA31" s="3">
        <f>MAX(0,MIN(100,BZ31+BW31+BX31-IF(AV31="sí",ROB_PEN,0)))</f>
        <v/>
      </c>
      <c r="CB31" s="3">
        <f>100-MAX(0,N31-KM_TOPE_DESDE)/1000*KM_TOPE_PTS</f>
        <v/>
      </c>
      <c r="CC31" s="3">
        <f>MAX(0,MIN(100,50+BO31*PRECIO_PEND,CB31))</f>
        <v/>
      </c>
      <c r="CD31" s="3">
        <f>MAX(0,100*(1-N31/KM_MAX))</f>
        <v/>
      </c>
      <c r="CE31" s="3">
        <f>IF(BF31&lt;KMA_SOSP,IF(AA31="sí",100,KMA_PEN),IF(BF31&lt;=KMA_IDEAL_MAX,100,MAX(0,100*(KMA_CERO-BF31)/(KMA_CERO-KMA_IDEAL_MAX))))</f>
        <v/>
      </c>
      <c r="CF31" s="3">
        <f>MAX(0,MIN(100,100*(M31-ANIO_MIN)/(ANIO_ACTUAL-ANIO_MIN)))</f>
        <v/>
      </c>
      <c r="CG31" s="3">
        <f>W_KMT*CD31+W_KMA*CE31+W_EDAD*CF31</f>
        <v/>
      </c>
      <c r="CH31" s="3">
        <f>P_ITV*(V31="sí")+P_LIBRO*(W31="sí")+P_CORREA*(X31="sí")+P_PROP*(Y31=1)+P_GAR*(Z31="sí")+P_FOTOS*MIN(1,N(U31)/FOTOS_OBJ)</f>
        <v/>
      </c>
      <c r="CI31" s="3">
        <f>MAX(0,MIN(100,IFERROR(VLOOKUP(BT31,ETQ_TBL,2,0),0)-IF(BU31="sí",ETQ_PEN_DUD,IF(AS31="regla",ETQ_PEN_REGLA,0))))</f>
        <v/>
      </c>
      <c r="CJ31" s="3">
        <f>IF(K31&lt;&gt;"gasolina","",IFERROR(VLOOKUP(F31,CONS_MOD_TBL,2,0),IFERROR(VLOOKUP(L31,CONS_SEG_TBL,2,0),"")))</f>
        <v/>
      </c>
      <c r="CK31" s="3">
        <f>IF(CJ31="",NEUTRO,MAX(0,MIN(100,100*(CONS_REF_MAX-CJ31)/(CONS_REF_MAX-CONS_REF_MIN))))</f>
        <v/>
      </c>
      <c r="CL31" s="3">
        <f>IFERROR(VLOOKUP(L31,SEGURO_TBL,3,0),"")</f>
        <v/>
      </c>
      <c r="CM31" s="3">
        <f>IF(CL31="",NEUTRO,MAX(0,MIN(100,100*(SEG_REF_MAX-CL31)/(SEG_REF_MAX-SEG_REF_MIN))))</f>
        <v/>
      </c>
      <c r="CN31" s="3">
        <f>W_CONS*CK31+W_SEG*CM31</f>
        <v/>
      </c>
      <c r="CO31" s="3">
        <f>IF(N(AB31)&gt;0,AB31,IF(AND(R31="profesional",SG_LEGAL_ON=1),GAR_LEGAL,0))</f>
        <v/>
      </c>
      <c r="CP31" s="3">
        <f>SG_GAR*MIN(1,CO31/SG_GAR_FULL)+SG_AMPL*(AC31="sí")+SG_KMC*(AF31="sí")+SG_REV*(N(AE31)&gt;0)+SG_DEV*MIN(1,N(AG31)/SG_DEV_FULL)+SG_HIST*(W31="sí")</f>
        <v/>
      </c>
      <c r="CQ31" s="3">
        <f>IF(AW31="sí",ESTILO_PRIO,IFERROR(VLOOKUP(L31,ESTILO_TBL,2,0),NEUTRO))</f>
        <v/>
      </c>
      <c r="CR31" s="3">
        <f>IFERROR(VLOOKUP(L31,CARR_PEN_TBL,2,0),0)</f>
        <v/>
      </c>
      <c r="CS31" s="3">
        <f>W_FIAB*CA31+W_PRECIO*CC31+W_KMEDAD*CG31+W_ANUNCIO*CH31+W_USO*CN31+W_SEGURIDAD*CP31+W_ETIQUETA*CI31+W_ESTILO*CQ31-CR31</f>
        <v/>
      </c>
      <c r="CT31" s="4">
        <f>IF(N(I31)&gt;0,I31,IFERROR(ROUND(_xlfn.NUMBERVALUE(LEFT(G31,FIND(" ",G31&amp;" ")-1),".")*1000,0),99999))</f>
        <v/>
      </c>
      <c r="CU31" s="3">
        <f>IF(R31="profesional",0,IF(O31&lt;CUOTA_VALOR_MAX,IF(BE31&gt;ITP_TRAMO_ALTO,SUMIFS(CF_CUOTA,CF_MAS,ITP_TRAMO_ALTO,CF_CCMIN,"&lt;="&amp;CT31,CF_CCMAX,"&gt;="&amp;CT31),IF(BE31&gt;ITP_TRAMO_BAJO,SUMIFS(CF_CUOTA,CF_MAS,ITP_TRAMO_BAJO,CF_CCMIN,"&lt;="&amp;CT31,CF_CCMAX,"&gt;="&amp;CT31),O31*ITP_TIPO)),O31*ITP_TIPO))</f>
        <v/>
      </c>
      <c r="CV31" s="4">
        <f>IF(R31="profesional",N(AK31),0)</f>
        <v/>
      </c>
      <c r="CW31" s="3">
        <f>IF(AND(R31="profesional",ISNUMBER(AK31),AL31="sí"),0,TASA_DGT)</f>
        <v/>
      </c>
      <c r="CX31" s="3">
        <f>INFORME_DGT</f>
        <v/>
      </c>
      <c r="CY31" s="4">
        <f>O31+CV31+CU31+CW31+CX31</f>
        <v/>
      </c>
      <c r="CZ31" s="4">
        <f>CY31+N(CL31)</f>
        <v/>
      </c>
      <c r="DA31" s="3">
        <f>IF(CY31&lt;=TOTAL_MAX,"sí",IF(CY31&lt;=TOTAL_MAX+MARGEN_NEG,"negociar","no"))</f>
        <v/>
      </c>
      <c r="DB31" s="4">
        <f>IF(DA31&lt;&gt;"no",COUNTIFS($DA$2:$DA$130,"&lt;&gt;no",$CS$2:$CS$130,"&gt;"&amp;CS31)+COUNTIFS($DA$2:DA31,"&lt;&gt;no",$CS$2:CS31,CS31),"")</f>
        <v/>
      </c>
    </row>
    <row r="32">
      <c r="A32" s="2" t="inlineStr">
        <is>
          <t>cochesnet:71732041</t>
        </is>
      </c>
      <c r="B32" s="2" t="inlineStr">
        <is>
          <t>cochesnet</t>
        </is>
      </c>
      <c r="C32" s="2" t="inlineStr">
        <is>
          <t>https://www.coches.net/mazda-mazda2-active-14-crtd-5p-diesel-2007-en-valencia-71732041-covo.aspx</t>
        </is>
      </c>
      <c r="D32" s="2" t="inlineStr">
        <is>
          <t>MAZDA Mazda2 Active 1.4 CRTD</t>
        </is>
      </c>
      <c r="E32" s="2" t="inlineStr">
        <is>
          <t>Mazda</t>
        </is>
      </c>
      <c r="F32" s="2" t="inlineStr">
        <is>
          <t>Mazda 2</t>
        </is>
      </c>
      <c r="G32" s="2" t="inlineStr">
        <is>
          <t>1.4</t>
        </is>
      </c>
      <c r="H32" s="2" t="inlineStr">
        <is>
          <t>Active 1.4 CRTD</t>
        </is>
      </c>
      <c r="I32" s="2" t="n"/>
      <c r="J32" s="2" t="n"/>
      <c r="K32" s="2" t="inlineStr">
        <is>
          <t>diesel</t>
        </is>
      </c>
      <c r="L32" s="2" t="inlineStr">
        <is>
          <t>utilitario</t>
        </is>
      </c>
      <c r="M32" s="2" t="n">
        <v>2008</v>
      </c>
      <c r="N32" s="2" t="n">
        <v>111000</v>
      </c>
      <c r="O32" s="2" t="n">
        <v>4990</v>
      </c>
      <c r="P32" s="2" t="inlineStr">
        <is>
          <t>manual</t>
        </is>
      </c>
      <c r="Q32" s="2" t="inlineStr">
        <is>
          <t>no</t>
        </is>
      </c>
      <c r="R32" s="2" t="inlineStr">
        <is>
          <t>profesional</t>
        </is>
      </c>
      <c r="S32" s="2" t="inlineStr">
        <is>
          <t>Only Cars Valencia Aldaia</t>
        </is>
      </c>
      <c r="T32" s="2" t="inlineStr">
        <is>
          <t>2026-10-13T12:02:29Z</t>
        </is>
      </c>
      <c r="U32" s="2" t="n">
        <v>10</v>
      </c>
      <c r="V32" s="2" t="n"/>
      <c r="W32" s="2" t="n"/>
      <c r="X32" s="2" t="n"/>
      <c r="Y32" s="2" t="n">
        <v>1</v>
      </c>
      <c r="Z32" s="2" t="inlineStr">
        <is>
          <t>sí</t>
        </is>
      </c>
      <c r="AA32" s="2" t="n"/>
      <c r="AB32" s="2" t="n">
        <v>12</v>
      </c>
      <c r="AC32" s="2" t="n"/>
      <c r="AD32" s="2" t="n"/>
      <c r="AE32" s="2" t="n"/>
      <c r="AF32" s="2" t="n"/>
      <c r="AG32" s="2" t="n"/>
      <c r="AH32" s="2" t="n">
        <v>4990</v>
      </c>
      <c r="AI32" s="2" t="n"/>
      <c r="AJ32" s="2" t="n"/>
      <c r="AK32" s="2" t="n"/>
      <c r="AL32" s="2" t="n"/>
      <c r="AM32" s="2" t="n">
        <v>7.5</v>
      </c>
      <c r="AN32" s="2" t="n"/>
      <c r="AO32" s="2" t="inlineStr">
        <is>
          <t>2008</t>
        </is>
      </c>
      <c r="AP32" s="2" t="n">
        <v>2008</v>
      </c>
      <c r="AQ32" s="2" t="n"/>
      <c r="AR32" s="2" t="inlineStr">
        <is>
          <t>B</t>
        </is>
      </c>
      <c r="AS32" s="2" t="inlineStr">
        <is>
          <t>anuncio</t>
        </is>
      </c>
      <c r="AT32" s="2" t="n">
        <v>2007</v>
      </c>
      <c r="AU32" s="2" t="inlineStr">
        <is>
          <t>no</t>
        </is>
      </c>
      <c r="AV32" s="2" t="inlineStr">
        <is>
          <t>no</t>
        </is>
      </c>
      <c r="AW32" s="2" t="inlineStr">
        <is>
          <t>no</t>
        </is>
      </c>
      <c r="AX32" s="2" t="n">
        <v>5000</v>
      </c>
      <c r="AY32" s="2" t="n">
        <v>11</v>
      </c>
      <c r="AZ32" s="2" t="inlineStr">
        <is>
          <t>modelo+año</t>
        </is>
      </c>
      <c r="BA32" s="2" t="n"/>
      <c r="BB32" s="2" t="inlineStr">
        <is>
          <t>año a confirmar: la URL/título dice 2007; por encima del presupuesto (5054 €), negociar; vendedor profesional: sin ITP (operación con IVA/REBU, confirmar en factura); gastos de gestión del vendedor no indicados: se suma la tasa DGT; preguntar el precio final; diésel: motor sin fuente de fiabilidad (fiabilidad limitada a neutra); revisar: no menciona la ITV</t>
        </is>
      </c>
      <c r="BC32" s="2" t="inlineStr">
        <is>
          <t>Mazda 2 1.4 Diesel CRTD Active año 2008 con 111.000Kms 70CV. UNICO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BD32" s="2" t="inlineStr">
        <is>
          <t>https://www.coches.net/mazda-mazda2-active-14-crtd-5p-diesel-2007-en-valencia-71732041-covo.aspx (window.__INITIAL_PROPS__.ad) /home/user/Alopecia/buscador-coches/raw/cochesnet/787c54b4e793f020.json</t>
        </is>
      </c>
      <c r="BE32" s="3">
        <f>MAX(ANIO_ACTUAL-M32,0)</f>
        <v/>
      </c>
      <c r="BF32" s="4">
        <f>N32/MAX(BE32,0.5)</f>
        <v/>
      </c>
      <c r="BG32" s="4">
        <f>F32</f>
        <v/>
      </c>
      <c r="BH32" s="3">
        <f>BG32&amp;"|"&amp;INT(M32/SEG_ANIO)*SEG_ANIO</f>
        <v/>
      </c>
      <c r="BI32" s="3">
        <f>BH32&amp;"|"&amp;INT(N32/SEG_KM)*SEG_KM</f>
        <v/>
      </c>
      <c r="BJ32" s="4">
        <f>COUNTIF($BG$2:$BG$130,BG32)</f>
        <v/>
      </c>
      <c r="BK32" s="4">
        <f>COUNTIF($BH$2:$BH$130,BH32)</f>
        <v/>
      </c>
      <c r="BL32" s="4">
        <f>COUNTIF($BI$2:$BI$130,BI32)</f>
        <v/>
      </c>
      <c r="BM32" s="3">
        <f t="array" ref="BM32">IF(N(AY32)&gt;=MIN_N,AX32,IF(BL32&gt;=MIN_N,MEDIAN(IF($BI$2:$BI$130=BI32,$O$2:$O$130)),IF(BK32&gt;=MIN_N,MEDIAN(IF($BH$2:$BH$130=BH32,$O$2:$O$130)),MEDIAN(IF($BG$2:$BG$130=BG32,$O$2:$O$130)))))</f>
        <v/>
      </c>
      <c r="BN32" s="3">
        <f>IF(N(AY32)&gt;=MIN_N,"mercado "&amp;AZ32,IF(BL32&gt;=MIN_N,"modelo+año+km",IF(BK32&gt;=MIN_N,"modelo+año","modelo")))</f>
        <v/>
      </c>
      <c r="BO32" s="4">
        <f>(BM32-O32)/BM32</f>
        <v/>
      </c>
      <c r="BP32" s="3">
        <f>IF(COUNTIFS(FR_FUEL,K32,FR_YEAR,AP32)&gt;0,1,0)</f>
        <v/>
      </c>
      <c r="BQ32" s="3">
        <f>IF(COUNTIFS(FR_FUEL,K32,FR_YEAR,AP32-1)&gt;0,1,0)</f>
        <v/>
      </c>
      <c r="BR32" s="4">
        <f>IF(N(AQ32)&gt;0,AP32*100+AQ32,IF(AND(BP32=1,BQ32=1),(AP32-1)*100+1,AP32*100+1))</f>
        <v/>
      </c>
      <c r="BS32" s="3">
        <f>IF(OR(K32="hibrido",K32="glp",K32="gnc",K32="phev"),"ECO",IF(K32="electrico","CERO",IF(K32="gasolina",IF(BR32&gt;=GAS_C_YM,"C",IF(BR32&gt;=GAS_B_YM,"B","A")),IF(K32="diesel",IF(BR32&gt;=DIE_C_YM,"C",IF(BR32&gt;=DIE_B_YM,"B","A")),""))))</f>
        <v/>
      </c>
      <c r="BT32" s="2" t="inlineStr">
        <is>
          <t>B</t>
        </is>
      </c>
      <c r="BU32" s="4">
        <f>IF(AU32="sí","sí",IF(AS32="regla",IF(AND(N(AQ32)=0,BP32=1),"sí","no"),"no"))</f>
        <v/>
      </c>
      <c r="BV32" s="3">
        <f>IFERROR(VLOOKUP(F32,MOD_TBL,16,0),IFERROR(VLOOKUP(E32,OCU_TBL,2,0),NEUTRO))</f>
        <v/>
      </c>
      <c r="BW32" s="3">
        <f>SUMIFS(MOT_AJUSTE,MOT_MOTOR,G32,MOT_MARCA,E32,MOT_DESDE,"&lt;="&amp;M32,MOT_HASTA,"&gt;="&amp;M32)+SUMIFS(MOT_AJUSTE,MOT_MOTOR,G32,MOT_MARCA,"(todas)",MOT_DESDE,"&lt;="&amp;M32,MOT_HASTA,"&gt;="&amp;M32)+SUMIFS(MOT_AJUSTE,MOT_MOTOR,"(cualquiera)",MOT_MARCA,E32,MOT_DESDE,"&lt;="&amp;M32,MOT_HASTA,"&gt;="&amp;M32)</f>
        <v/>
      </c>
      <c r="BX32" s="3">
        <f>SUMIFS(COMB_AJUSTE,COMB_COMB,K32)</f>
        <v/>
      </c>
      <c r="BY32" s="3">
        <f>COUNTIFS(MOT_MOTOR,G32,MOT_MARCA,E32,MOT_DESDE,"&lt;="&amp;M32,MOT_HASTA,"&gt;="&amp;M32)+COUNTIFS(MOT_MOTOR,G32,MOT_MARCA,"(todas)",MOT_DESDE,"&lt;="&amp;M32,MOT_HASTA,"&gt;="&amp;M32)+COUNTIFS(MOT_MOTOR,"(cualquiera)",MOT_MARCA,E32,MOT_DESDE,"&lt;="&amp;M32,MOT_HASTA,"&gt;="&amp;M32)</f>
        <v/>
      </c>
      <c r="BZ32" s="3">
        <f>IF(AND(K32="diesel",BY32=0),MIN(BV32,NEUTRO),BV32)</f>
        <v/>
      </c>
      <c r="CA32" s="3">
        <f>MAX(0,MIN(100,BZ32+BW32+BX32-IF(AV32="sí",ROB_PEN,0)))</f>
        <v/>
      </c>
      <c r="CB32" s="3">
        <f>100-MAX(0,N32-KM_TOPE_DESDE)/1000*KM_TOPE_PTS</f>
        <v/>
      </c>
      <c r="CC32" s="3">
        <f>MAX(0,MIN(100,50+BO32*PRECIO_PEND,CB32))</f>
        <v/>
      </c>
      <c r="CD32" s="3">
        <f>MAX(0,100*(1-N32/KM_MAX))</f>
        <v/>
      </c>
      <c r="CE32" s="3">
        <f>IF(BF32&lt;KMA_SOSP,IF(AA32="sí",100,KMA_PEN),IF(BF32&lt;=KMA_IDEAL_MAX,100,MAX(0,100*(KMA_CERO-BF32)/(KMA_CERO-KMA_IDEAL_MAX))))</f>
        <v/>
      </c>
      <c r="CF32" s="3">
        <f>MAX(0,MIN(100,100*(M32-ANIO_MIN)/(ANIO_ACTUAL-ANIO_MIN)))</f>
        <v/>
      </c>
      <c r="CG32" s="3">
        <f>W_KMT*CD32+W_KMA*CE32+W_EDAD*CF32</f>
        <v/>
      </c>
      <c r="CH32" s="3">
        <f>P_ITV*(V32="sí")+P_LIBRO*(W32="sí")+P_CORREA*(X32="sí")+P_PROP*(Y32=1)+P_GAR*(Z32="sí")+P_FOTOS*MIN(1,N(U32)/FOTOS_OBJ)</f>
        <v/>
      </c>
      <c r="CI32" s="3">
        <f>MAX(0,MIN(100,IFERROR(VLOOKUP(BT32,ETQ_TBL,2,0),0)-IF(BU32="sí",ETQ_PEN_DUD,IF(AS32="regla",ETQ_PEN_REGLA,0))))</f>
        <v/>
      </c>
      <c r="CJ32" s="3">
        <f>IF(K32&lt;&gt;"gasolina","",IFERROR(VLOOKUP(F32,CONS_MOD_TBL,2,0),IFERROR(VLOOKUP(L32,CONS_SEG_TBL,2,0),"")))</f>
        <v/>
      </c>
      <c r="CK32" s="3">
        <f>IF(CJ32="",NEUTRO,MAX(0,MIN(100,100*(CONS_REF_MAX-CJ32)/(CONS_REF_MAX-CONS_REF_MIN))))</f>
        <v/>
      </c>
      <c r="CL32" s="3">
        <f>IFERROR(VLOOKUP(L32,SEGURO_TBL,3,0),"")</f>
        <v/>
      </c>
      <c r="CM32" s="3">
        <f>IF(CL32="",NEUTRO,MAX(0,MIN(100,100*(SEG_REF_MAX-CL32)/(SEG_REF_MAX-SEG_REF_MIN))))</f>
        <v/>
      </c>
      <c r="CN32" s="3">
        <f>W_CONS*CK32+W_SEG*CM32</f>
        <v/>
      </c>
      <c r="CO32" s="3">
        <f>IF(N(AB32)&gt;0,AB32,IF(AND(R32="profesional",SG_LEGAL_ON=1),GAR_LEGAL,0))</f>
        <v/>
      </c>
      <c r="CP32" s="3">
        <f>SG_GAR*MIN(1,CO32/SG_GAR_FULL)+SG_AMPL*(AC32="sí")+SG_KMC*(AF32="sí")+SG_REV*(N(AE32)&gt;0)+SG_DEV*MIN(1,N(AG32)/SG_DEV_FULL)+SG_HIST*(W32="sí")</f>
        <v/>
      </c>
      <c r="CQ32" s="3">
        <f>IF(AW32="sí",ESTILO_PRIO,IFERROR(VLOOKUP(L32,ESTILO_TBL,2,0),NEUTRO))</f>
        <v/>
      </c>
      <c r="CR32" s="3">
        <f>IFERROR(VLOOKUP(L32,CARR_PEN_TBL,2,0),0)</f>
        <v/>
      </c>
      <c r="CS32" s="3">
        <f>W_FIAB*CA32+W_PRECIO*CC32+W_KMEDAD*CG32+W_ANUNCIO*CH32+W_USO*CN32+W_SEGURIDAD*CP32+W_ETIQUETA*CI32+W_ESTILO*CQ32-CR32</f>
        <v/>
      </c>
      <c r="CT32" s="4">
        <f>IF(N(I32)&gt;0,I32,IFERROR(ROUND(_xlfn.NUMBERVALUE(LEFT(G32,FIND(" ",G32&amp;" ")-1),".")*1000,0),99999))</f>
        <v/>
      </c>
      <c r="CU32" s="3">
        <f>IF(R32="profesional",0,IF(O32&lt;CUOTA_VALOR_MAX,IF(BE32&gt;ITP_TRAMO_ALTO,SUMIFS(CF_CUOTA,CF_MAS,ITP_TRAMO_ALTO,CF_CCMIN,"&lt;="&amp;CT32,CF_CCMAX,"&gt;="&amp;CT32),IF(BE32&gt;ITP_TRAMO_BAJO,SUMIFS(CF_CUOTA,CF_MAS,ITP_TRAMO_BAJO,CF_CCMIN,"&lt;="&amp;CT32,CF_CCMAX,"&gt;="&amp;CT32),O32*ITP_TIPO)),O32*ITP_TIPO))</f>
        <v/>
      </c>
      <c r="CV32" s="4">
        <f>IF(R32="profesional",N(AK32),0)</f>
        <v/>
      </c>
      <c r="CW32" s="3">
        <f>IF(AND(R32="profesional",ISNUMBER(AK32),AL32="sí"),0,TASA_DGT)</f>
        <v/>
      </c>
      <c r="CX32" s="3">
        <f>INFORME_DGT</f>
        <v/>
      </c>
      <c r="CY32" s="4">
        <f>O32+CV32+CU32+CW32+CX32</f>
        <v/>
      </c>
      <c r="CZ32" s="4">
        <f>CY32+N(CL32)</f>
        <v/>
      </c>
      <c r="DA32" s="3">
        <f>IF(CY32&lt;=TOTAL_MAX,"sí",IF(CY32&lt;=TOTAL_MAX+MARGEN_NEG,"negociar","no"))</f>
        <v/>
      </c>
      <c r="DB32" s="4">
        <f>IF(DA32&lt;&gt;"no",COUNTIFS($DA$2:$DA$130,"&lt;&gt;no",$CS$2:$CS$130,"&gt;"&amp;CS32)+COUNTIFS($DA$2:DA32,"&lt;&gt;no",$CS$2:CS32,CS32),"")</f>
        <v/>
      </c>
    </row>
    <row r="33">
      <c r="A33" s="2" t="inlineStr">
        <is>
          <t>cochesnet:71778568</t>
        </is>
      </c>
      <c r="B33" s="2" t="inlineStr">
        <is>
          <t>cochesnet</t>
        </is>
      </c>
      <c r="C33" s="2" t="inlineStr">
        <is>
          <t>https://www.coches.net/kia-picanto-11-sohc-lx-5p-gasolina-2007-en-valencia-71778568-covo.aspx</t>
        </is>
      </c>
      <c r="D33" s="2" t="inlineStr">
        <is>
          <t>KIA Picanto 1.1 SOHC LX</t>
        </is>
      </c>
      <c r="E33" s="2" t="inlineStr">
        <is>
          <t>Kia</t>
        </is>
      </c>
      <c r="F33" s="2" t="inlineStr">
        <is>
          <t>Kia Picanto</t>
        </is>
      </c>
      <c r="G33" s="2" t="inlineStr">
        <is>
          <t>1.1</t>
        </is>
      </c>
      <c r="H33" s="2" t="inlineStr">
        <is>
          <t>1.1 SOHC LX</t>
        </is>
      </c>
      <c r="I33" s="2" t="n"/>
      <c r="J33" s="2" t="n"/>
      <c r="K33" s="2" t="inlineStr">
        <is>
          <t>gasolina</t>
        </is>
      </c>
      <c r="L33" s="2" t="inlineStr">
        <is>
          <t>utilitario</t>
        </is>
      </c>
      <c r="M33" s="2" t="n">
        <v>2007</v>
      </c>
      <c r="N33" s="2" t="n">
        <v>200000</v>
      </c>
      <c r="O33" s="2" t="n">
        <v>2480</v>
      </c>
      <c r="P33" s="2" t="inlineStr">
        <is>
          <t>manual</t>
        </is>
      </c>
      <c r="Q33" s="2" t="inlineStr">
        <is>
          <t>no</t>
        </is>
      </c>
      <c r="R33" s="2" t="inlineStr">
        <is>
          <t>profesional</t>
        </is>
      </c>
      <c r="S33" s="2" t="inlineStr">
        <is>
          <t>AUTOMOVILES CASTILLO PEPE Manises</t>
        </is>
      </c>
      <c r="T33" s="2" t="inlineStr">
        <is>
          <t>2026-10-19T10:37:43Z</t>
        </is>
      </c>
      <c r="U33" s="2" t="n">
        <v>19</v>
      </c>
      <c r="V33" s="2" t="inlineStr">
        <is>
          <t>sí</t>
        </is>
      </c>
      <c r="W33" s="2" t="n"/>
      <c r="X33" s="2" t="inlineStr">
        <is>
          <t>sí</t>
        </is>
      </c>
      <c r="Y33" s="2" t="n"/>
      <c r="Z33" s="2" t="inlineStr">
        <is>
          <t>sí</t>
        </is>
      </c>
      <c r="AA33" s="2" t="n"/>
      <c r="AB33" s="2" t="n">
        <v>12</v>
      </c>
      <c r="AC33" s="2" t="n"/>
      <c r="AD33" s="2" t="n"/>
      <c r="AE33" s="2" t="n"/>
      <c r="AF33" s="2" t="inlineStr">
        <is>
          <t>sí</t>
        </is>
      </c>
      <c r="AG33" s="2" t="n"/>
      <c r="AH33" s="2" t="n">
        <v>2480</v>
      </c>
      <c r="AI33" s="2" t="n">
        <v>2480</v>
      </c>
      <c r="AJ33" s="2" t="n"/>
      <c r="AK33" s="2" t="n"/>
      <c r="AL33" s="2" t="n"/>
      <c r="AM33" s="2" t="n">
        <v>8.1</v>
      </c>
      <c r="AN33" s="2" t="n"/>
      <c r="AO33" s="2" t="inlineStr">
        <is>
          <t>2007</t>
        </is>
      </c>
      <c r="AP33" s="2" t="n">
        <v>2007</v>
      </c>
      <c r="AQ33" s="2" t="n"/>
      <c r="AR33" s="2" t="inlineStr">
        <is>
          <t>C</t>
        </is>
      </c>
      <c r="AS33" s="2" t="inlineStr">
        <is>
          <t>anuncio</t>
        </is>
      </c>
      <c r="AT33" s="2" t="n"/>
      <c r="AU33" s="2" t="inlineStr">
        <is>
          <t>no</t>
        </is>
      </c>
      <c r="AV33" s="2" t="inlineStr">
        <is>
          <t>no</t>
        </is>
      </c>
      <c r="AW33" s="2" t="inlineStr">
        <is>
          <t>no</t>
        </is>
      </c>
      <c r="AX33" s="2" t="n">
        <v>2590</v>
      </c>
      <c r="AY33" s="2" t="n">
        <v>4</v>
      </c>
      <c r="AZ33" s="2" t="inlineStr">
        <is>
          <t>modelo+año</t>
        </is>
      </c>
      <c r="BA33" s="2" t="n"/>
      <c r="BB33" s="2" t="inlineStr">
        <is>
          <t>vendedor profesional: sin ITP (operación con IVA/REBU, confirmar en factura); gastos de gestión del vendedor no indicados: se suma la tasa DGT; preguntar el precio final; revisar: detalles «detalles»</t>
        </is>
      </c>
      <c r="BC33" s="2" t="inlineStr">
        <is>
          <t>1. KIT DE DISTRIBUCIÓN NUEVO 
DISCOS DELANTEROS NUEVOS A TRENAR CON LAS PASTILLAS DE FRENO 
2. suspensión revisada y he cambiado piezas como rotula izquierda que estaba en mal estado 
3. Correa servicio nueva 
4. Aceite nuevo 
5. Filtro de aire nuevo
6.bomba de agua nueva 
7. Kit de embrague nuevo completo 
8. Cable de embrague al pedal nuevo
9. Bieletas de suspensión nuevas 
10. Bujías nuevas y cables de bujías nuevos también 
 TODO CON FACTURA DEMOSTRABLE 
ITV HASTA JULIO 2027 RECIEN PASADA 
* KILOMETROS CERTIFICADOS. 
 * AIRE ACONDICIONADO ENFRIA MUY BIEN, CALEFECCION FUNCIONA MUY BIEN. 
* NEUMATICOS DELANTEROS Y TRASEROS 90% DE VIDA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BD33" s="2" t="inlineStr">
        <is>
          <t>https://www.coches.net/kia-picanto-11-sohc-lx-5p-gasolina-2007-en-valencia-71778568-covo.aspx (window.__INITIAL_PROPS__.ad) /home/user/Alopecia/buscador-coches/raw/cochesnet/3d35ecebcd70427d.json</t>
        </is>
      </c>
      <c r="BE33" s="3">
        <f>MAX(ANIO_ACTUAL-M33,0)</f>
        <v/>
      </c>
      <c r="BF33" s="4">
        <f>N33/MAX(BE33,0.5)</f>
        <v/>
      </c>
      <c r="BG33" s="4">
        <f>F33</f>
        <v/>
      </c>
      <c r="BH33" s="3">
        <f>BG33&amp;"|"&amp;INT(M33/SEG_ANIO)*SEG_ANIO</f>
        <v/>
      </c>
      <c r="BI33" s="3">
        <f>BH33&amp;"|"&amp;INT(N33/SEG_KM)*SEG_KM</f>
        <v/>
      </c>
      <c r="BJ33" s="4">
        <f>COUNTIF($BG$2:$BG$130,BG33)</f>
        <v/>
      </c>
      <c r="BK33" s="4">
        <f>COUNTIF($BH$2:$BH$130,BH33)</f>
        <v/>
      </c>
      <c r="BL33" s="4">
        <f>COUNTIF($BI$2:$BI$130,BI33)</f>
        <v/>
      </c>
      <c r="BM33" s="3">
        <f t="array" ref="BM33">IF(N(AY33)&gt;=MIN_N,AX33,IF(BL33&gt;=MIN_N,MEDIAN(IF($BI$2:$BI$130=BI33,$O$2:$O$130)),IF(BK33&gt;=MIN_N,MEDIAN(IF($BH$2:$BH$130=BH33,$O$2:$O$130)),MEDIAN(IF($BG$2:$BG$130=BG33,$O$2:$O$130)))))</f>
        <v/>
      </c>
      <c r="BN33" s="3">
        <f>IF(N(AY33)&gt;=MIN_N,"mercado "&amp;AZ33,IF(BL33&gt;=MIN_N,"modelo+año+km",IF(BK33&gt;=MIN_N,"modelo+año","modelo")))</f>
        <v/>
      </c>
      <c r="BO33" s="4">
        <f>(BM33-O33)/BM33</f>
        <v/>
      </c>
      <c r="BP33" s="3">
        <f>IF(COUNTIFS(FR_FUEL,K33,FR_YEAR,AP33)&gt;0,1,0)</f>
        <v/>
      </c>
      <c r="BQ33" s="3">
        <f>IF(COUNTIFS(FR_FUEL,K33,FR_YEAR,AP33-1)&gt;0,1,0)</f>
        <v/>
      </c>
      <c r="BR33" s="4">
        <f>IF(N(AQ33)&gt;0,AP33*100+AQ33,IF(AND(BP33=1,BQ33=1),(AP33-1)*100+1,AP33*100+1))</f>
        <v/>
      </c>
      <c r="BS33" s="3">
        <f>IF(OR(K33="hibrido",K33="glp",K33="gnc",K33="phev"),"ECO",IF(K33="electrico","CERO",IF(K33="gasolina",IF(BR33&gt;=GAS_C_YM,"C",IF(BR33&gt;=GAS_B_YM,"B","A")),IF(K33="diesel",IF(BR33&gt;=DIE_C_YM,"C",IF(BR33&gt;=DIE_B_YM,"B","A")),""))))</f>
        <v/>
      </c>
      <c r="BT33" s="2" t="inlineStr">
        <is>
          <t>C</t>
        </is>
      </c>
      <c r="BU33" s="4">
        <f>IF(AU33="sí","sí",IF(AS33="regla",IF(AND(N(AQ33)=0,BP33=1),"sí","no"),"no"))</f>
        <v/>
      </c>
      <c r="BV33" s="3">
        <f>IFERROR(VLOOKUP(F33,MOD_TBL,16,0),IFERROR(VLOOKUP(E33,OCU_TBL,2,0),NEUTRO))</f>
        <v/>
      </c>
      <c r="BW33" s="3">
        <f>SUMIFS(MOT_AJUSTE,MOT_MOTOR,G33,MOT_MARCA,E33,MOT_DESDE,"&lt;="&amp;M33,MOT_HASTA,"&gt;="&amp;M33)+SUMIFS(MOT_AJUSTE,MOT_MOTOR,G33,MOT_MARCA,"(todas)",MOT_DESDE,"&lt;="&amp;M33,MOT_HASTA,"&gt;="&amp;M33)+SUMIFS(MOT_AJUSTE,MOT_MOTOR,"(cualquiera)",MOT_MARCA,E33,MOT_DESDE,"&lt;="&amp;M33,MOT_HASTA,"&gt;="&amp;M33)</f>
        <v/>
      </c>
      <c r="BX33" s="3">
        <f>SUMIFS(COMB_AJUSTE,COMB_COMB,K33)</f>
        <v/>
      </c>
      <c r="BY33" s="3">
        <f>COUNTIFS(MOT_MOTOR,G33,MOT_MARCA,E33,MOT_DESDE,"&lt;="&amp;M33,MOT_HASTA,"&gt;="&amp;M33)+COUNTIFS(MOT_MOTOR,G33,MOT_MARCA,"(todas)",MOT_DESDE,"&lt;="&amp;M33,MOT_HASTA,"&gt;="&amp;M33)+COUNTIFS(MOT_MOTOR,"(cualquiera)",MOT_MARCA,E33,MOT_DESDE,"&lt;="&amp;M33,MOT_HASTA,"&gt;="&amp;M33)</f>
        <v/>
      </c>
      <c r="BZ33" s="3">
        <f>IF(AND(K33="diesel",BY33=0),MIN(BV33,NEUTRO),BV33)</f>
        <v/>
      </c>
      <c r="CA33" s="3">
        <f>MAX(0,MIN(100,BZ33+BW33+BX33-IF(AV33="sí",ROB_PEN,0)))</f>
        <v/>
      </c>
      <c r="CB33" s="3">
        <f>100-MAX(0,N33-KM_TOPE_DESDE)/1000*KM_TOPE_PTS</f>
        <v/>
      </c>
      <c r="CC33" s="3">
        <f>MAX(0,MIN(100,50+BO33*PRECIO_PEND,CB33))</f>
        <v/>
      </c>
      <c r="CD33" s="3">
        <f>MAX(0,100*(1-N33/KM_MAX))</f>
        <v/>
      </c>
      <c r="CE33" s="3">
        <f>IF(BF33&lt;KMA_SOSP,IF(AA33="sí",100,KMA_PEN),IF(BF33&lt;=KMA_IDEAL_MAX,100,MAX(0,100*(KMA_CERO-BF33)/(KMA_CERO-KMA_IDEAL_MAX))))</f>
        <v/>
      </c>
      <c r="CF33" s="3">
        <f>MAX(0,MIN(100,100*(M33-ANIO_MIN)/(ANIO_ACTUAL-ANIO_MIN)))</f>
        <v/>
      </c>
      <c r="CG33" s="3">
        <f>W_KMT*CD33+W_KMA*CE33+W_EDAD*CF33</f>
        <v/>
      </c>
      <c r="CH33" s="3">
        <f>P_ITV*(V33="sí")+P_LIBRO*(W33="sí")+P_CORREA*(X33="sí")+P_PROP*(Y33=1)+P_GAR*(Z33="sí")+P_FOTOS*MIN(1,N(U33)/FOTOS_OBJ)</f>
        <v/>
      </c>
      <c r="CI33" s="3">
        <f>MAX(0,MIN(100,IFERROR(VLOOKUP(BT33,ETQ_TBL,2,0),0)-IF(BU33="sí",ETQ_PEN_DUD,IF(AS33="regla",ETQ_PEN_REGLA,0))))</f>
        <v/>
      </c>
      <c r="CJ33" s="3">
        <f>IF(K33&lt;&gt;"gasolina","",IFERROR(VLOOKUP(F33,CONS_MOD_TBL,2,0),IFERROR(VLOOKUP(L33,CONS_SEG_TBL,2,0),"")))</f>
        <v/>
      </c>
      <c r="CK33" s="3">
        <f>IF(CJ33="",NEUTRO,MAX(0,MIN(100,100*(CONS_REF_MAX-CJ33)/(CONS_REF_MAX-CONS_REF_MIN))))</f>
        <v/>
      </c>
      <c r="CL33" s="3">
        <f>IFERROR(VLOOKUP(L33,SEGURO_TBL,3,0),"")</f>
        <v/>
      </c>
      <c r="CM33" s="3">
        <f>IF(CL33="",NEUTRO,MAX(0,MIN(100,100*(SEG_REF_MAX-CL33)/(SEG_REF_MAX-SEG_REF_MIN))))</f>
        <v/>
      </c>
      <c r="CN33" s="3">
        <f>W_CONS*CK33+W_SEG*CM33</f>
        <v/>
      </c>
      <c r="CO33" s="3">
        <f>IF(N(AB33)&gt;0,AB33,IF(AND(R33="profesional",SG_LEGAL_ON=1),GAR_LEGAL,0))</f>
        <v/>
      </c>
      <c r="CP33" s="3">
        <f>SG_GAR*MIN(1,CO33/SG_GAR_FULL)+SG_AMPL*(AC33="sí")+SG_KMC*(AF33="sí")+SG_REV*(N(AE33)&gt;0)+SG_DEV*MIN(1,N(AG33)/SG_DEV_FULL)+SG_HIST*(W33="sí")</f>
        <v/>
      </c>
      <c r="CQ33" s="3">
        <f>IF(AW33="sí",ESTILO_PRIO,IFERROR(VLOOKUP(L33,ESTILO_TBL,2,0),NEUTRO))</f>
        <v/>
      </c>
      <c r="CR33" s="3">
        <f>IFERROR(VLOOKUP(L33,CARR_PEN_TBL,2,0),0)</f>
        <v/>
      </c>
      <c r="CS33" s="3">
        <f>W_FIAB*CA33+W_PRECIO*CC33+W_KMEDAD*CG33+W_ANUNCIO*CH33+W_USO*CN33+W_SEGURIDAD*CP33+W_ETIQUETA*CI33+W_ESTILO*CQ33-CR33</f>
        <v/>
      </c>
      <c r="CT33" s="4">
        <f>IF(N(I33)&gt;0,I33,IFERROR(ROUND(_xlfn.NUMBERVALUE(LEFT(G33,FIND(" ",G33&amp;" ")-1),".")*1000,0),99999))</f>
        <v/>
      </c>
      <c r="CU33" s="3">
        <f>IF(R33="profesional",0,IF(O33&lt;CUOTA_VALOR_MAX,IF(BE33&gt;ITP_TRAMO_ALTO,SUMIFS(CF_CUOTA,CF_MAS,ITP_TRAMO_ALTO,CF_CCMIN,"&lt;="&amp;CT33,CF_CCMAX,"&gt;="&amp;CT33),IF(BE33&gt;ITP_TRAMO_BAJO,SUMIFS(CF_CUOTA,CF_MAS,ITP_TRAMO_BAJO,CF_CCMIN,"&lt;="&amp;CT33,CF_CCMAX,"&gt;="&amp;CT33),O33*ITP_TIPO)),O33*ITP_TIPO))</f>
        <v/>
      </c>
      <c r="CV33" s="4">
        <f>IF(R33="profesional",N(AK33),0)</f>
        <v/>
      </c>
      <c r="CW33" s="3">
        <f>IF(AND(R33="profesional",ISNUMBER(AK33),AL33="sí"),0,TASA_DGT)</f>
        <v/>
      </c>
      <c r="CX33" s="3">
        <f>INFORME_DGT</f>
        <v/>
      </c>
      <c r="CY33" s="4">
        <f>O33+CV33+CU33+CW33+CX33</f>
        <v/>
      </c>
      <c r="CZ33" s="4">
        <f>CY33+N(CL33)</f>
        <v/>
      </c>
      <c r="DA33" s="3">
        <f>IF(CY33&lt;=TOTAL_MAX,"sí",IF(CY33&lt;=TOTAL_MAX+MARGEN_NEG,"negociar","no"))</f>
        <v/>
      </c>
      <c r="DB33" s="4">
        <f>IF(DA33&lt;&gt;"no",COUNTIFS($DA$2:$DA$130,"&lt;&gt;no",$CS$2:$CS$130,"&gt;"&amp;CS33)+COUNTIFS($DA$2:DA33,"&lt;&gt;no",$CS$2:CS33,CS33),"")</f>
        <v/>
      </c>
    </row>
    <row r="34">
      <c r="A34" s="2" t="inlineStr">
        <is>
          <t>cochesnet:71687938</t>
        </is>
      </c>
      <c r="B34" s="2" t="inlineStr">
        <is>
          <t>cochesnet</t>
        </is>
      </c>
      <c r="C34" s="2" t="inlineStr">
        <is>
          <t>https://www.coches.net/kia-picanto-11-sohc-ex-5p-gasolina-2006-en-valencia-71687938-covo.aspx</t>
        </is>
      </c>
      <c r="D34" s="2" t="inlineStr">
        <is>
          <t>KIA Picanto 1.1 SOHC EX</t>
        </is>
      </c>
      <c r="E34" s="2" t="inlineStr">
        <is>
          <t>Kia</t>
        </is>
      </c>
      <c r="F34" s="2" t="inlineStr">
        <is>
          <t>Kia Picanto</t>
        </is>
      </c>
      <c r="G34" s="2" t="inlineStr">
        <is>
          <t>1.1</t>
        </is>
      </c>
      <c r="H34" s="2" t="inlineStr">
        <is>
          <t>1.1 SOHC EX</t>
        </is>
      </c>
      <c r="I34" s="2" t="n"/>
      <c r="J34" s="2" t="n"/>
      <c r="K34" s="2" t="inlineStr">
        <is>
          <t>gasolina</t>
        </is>
      </c>
      <c r="L34" s="2" t="inlineStr">
        <is>
          <t>utilitario</t>
        </is>
      </c>
      <c r="M34" s="2" t="n">
        <v>2006</v>
      </c>
      <c r="N34" s="2" t="n">
        <v>117000</v>
      </c>
      <c r="O34" s="2" t="n">
        <v>3400</v>
      </c>
      <c r="P34" s="2" t="inlineStr">
        <is>
          <t>manual</t>
        </is>
      </c>
      <c r="Q34" s="2" t="inlineStr">
        <is>
          <t>no</t>
        </is>
      </c>
      <c r="R34" s="2" t="inlineStr">
        <is>
          <t>profesional</t>
        </is>
      </c>
      <c r="S34" s="2" t="inlineStr">
        <is>
          <t>FERNANDO SEBASTIAN Valencia</t>
        </is>
      </c>
      <c r="T34" s="2" t="inlineStr">
        <is>
          <t>2026-10-06T17:47:32Z</t>
        </is>
      </c>
      <c r="U34" s="2" t="n">
        <v>17</v>
      </c>
      <c r="V34" s="2" t="n"/>
      <c r="W34" s="2" t="n"/>
      <c r="X34" s="2" t="n"/>
      <c r="Y34" s="2" t="n"/>
      <c r="Z34" s="2" t="inlineStr">
        <is>
          <t>sí</t>
        </is>
      </c>
      <c r="AA34" s="2" t="n"/>
      <c r="AB34" s="2" t="n">
        <v>12</v>
      </c>
      <c r="AC34" s="2" t="n"/>
      <c r="AD34" s="2" t="n"/>
      <c r="AE34" s="2" t="n"/>
      <c r="AF34" s="2" t="n"/>
      <c r="AG34" s="2" t="n"/>
      <c r="AH34" s="2" t="n">
        <v>3400</v>
      </c>
      <c r="AI34" s="2" t="n"/>
      <c r="AJ34" s="2" t="n"/>
      <c r="AK34" s="2" t="n"/>
      <c r="AL34" s="2" t="n"/>
      <c r="AM34" s="2" t="n">
        <v>0.1</v>
      </c>
      <c r="AN34" s="2" t="n"/>
      <c r="AO34" s="2" t="inlineStr">
        <is>
          <t>2006</t>
        </is>
      </c>
      <c r="AP34" s="2" t="n">
        <v>2006</v>
      </c>
      <c r="AQ34" s="2" t="n"/>
      <c r="AR34" s="2" t="inlineStr">
        <is>
          <t>C</t>
        </is>
      </c>
      <c r="AS34" s="2" t="inlineStr">
        <is>
          <t>anuncio</t>
        </is>
      </c>
      <c r="AT34" s="2" t="n"/>
      <c r="AU34" s="2" t="inlineStr">
        <is>
          <t>no</t>
        </is>
      </c>
      <c r="AV34" s="2" t="inlineStr">
        <is>
          <t>no</t>
        </is>
      </c>
      <c r="AW34" s="2" t="inlineStr">
        <is>
          <t>no</t>
        </is>
      </c>
      <c r="AX34" s="2" t="n">
        <v>2800</v>
      </c>
      <c r="AY34" s="2" t="n">
        <v>7</v>
      </c>
      <c r="AZ34" s="2" t="inlineStr">
        <is>
          <t>modelo+año</t>
        </is>
      </c>
      <c r="BA34" s="2" t="n"/>
      <c r="BB34" s="2" t="inlineStr">
        <is>
          <t>vendedor profesional: sin ITP (operación con IVA/REBU, confirmar en factura); gastos de gestión del vendedor no indicados: se suma la tasa DGT; preguntar el precio final</t>
        </is>
      </c>
      <c r="BC34" s="2" t="inlineStr">
        <is>
          <t>Kia Picanto excelente estado general Etiqueta ambiente verde C, ITV vigente, aire acondicionado, elevalunas en las 4 ventanas, retrovisores electrónico. Excelente estado general.</t>
        </is>
      </c>
      <c r="BD34" s="2" t="inlineStr">
        <is>
          <t>https://www.coches.net/kia-picanto-11-sohc-ex-5p-gasolina-2006-en-valencia-71687938-covo.aspx (window.__INITIAL_PROPS__.ad) /home/user/Alopecia/buscador-coches/raw/cochesnet/f992aa3ba941a317.json</t>
        </is>
      </c>
      <c r="BE34" s="3">
        <f>MAX(ANIO_ACTUAL-M34,0)</f>
        <v/>
      </c>
      <c r="BF34" s="4">
        <f>N34/MAX(BE34,0.5)</f>
        <v/>
      </c>
      <c r="BG34" s="4">
        <f>F34</f>
        <v/>
      </c>
      <c r="BH34" s="3">
        <f>BG34&amp;"|"&amp;INT(M34/SEG_ANIO)*SEG_ANIO</f>
        <v/>
      </c>
      <c r="BI34" s="3">
        <f>BH34&amp;"|"&amp;INT(N34/SEG_KM)*SEG_KM</f>
        <v/>
      </c>
      <c r="BJ34" s="4">
        <f>COUNTIF($BG$2:$BG$130,BG34)</f>
        <v/>
      </c>
      <c r="BK34" s="4">
        <f>COUNTIF($BH$2:$BH$130,BH34)</f>
        <v/>
      </c>
      <c r="BL34" s="4">
        <f>COUNTIF($BI$2:$BI$130,BI34)</f>
        <v/>
      </c>
      <c r="BM34" s="3">
        <f t="array" ref="BM34">IF(N(AY34)&gt;=MIN_N,AX34,IF(BL34&gt;=MIN_N,MEDIAN(IF($BI$2:$BI$130=BI34,$O$2:$O$130)),IF(BK34&gt;=MIN_N,MEDIAN(IF($BH$2:$BH$130=BH34,$O$2:$O$130)),MEDIAN(IF($BG$2:$BG$130=BG34,$O$2:$O$130)))))</f>
        <v/>
      </c>
      <c r="BN34" s="3">
        <f>IF(N(AY34)&gt;=MIN_N,"mercado "&amp;AZ34,IF(BL34&gt;=MIN_N,"modelo+año+km",IF(BK34&gt;=MIN_N,"modelo+año","modelo")))</f>
        <v/>
      </c>
      <c r="BO34" s="4">
        <f>(BM34-O34)/BM34</f>
        <v/>
      </c>
      <c r="BP34" s="3">
        <f>IF(COUNTIFS(FR_FUEL,K34,FR_YEAR,AP34)&gt;0,1,0)</f>
        <v/>
      </c>
      <c r="BQ34" s="3">
        <f>IF(COUNTIFS(FR_FUEL,K34,FR_YEAR,AP34-1)&gt;0,1,0)</f>
        <v/>
      </c>
      <c r="BR34" s="4">
        <f>IF(N(AQ34)&gt;0,AP34*100+AQ34,IF(AND(BP34=1,BQ34=1),(AP34-1)*100+1,AP34*100+1))</f>
        <v/>
      </c>
      <c r="BS34" s="3">
        <f>IF(OR(K34="hibrido",K34="glp",K34="gnc",K34="phev"),"ECO",IF(K34="electrico","CERO",IF(K34="gasolina",IF(BR34&gt;=GAS_C_YM,"C",IF(BR34&gt;=GAS_B_YM,"B","A")),IF(K34="diesel",IF(BR34&gt;=DIE_C_YM,"C",IF(BR34&gt;=DIE_B_YM,"B","A")),""))))</f>
        <v/>
      </c>
      <c r="BT34" s="2" t="inlineStr">
        <is>
          <t>C</t>
        </is>
      </c>
      <c r="BU34" s="4">
        <f>IF(AU34="sí","sí",IF(AS34="regla",IF(AND(N(AQ34)=0,BP34=1),"sí","no"),"no"))</f>
        <v/>
      </c>
      <c r="BV34" s="3">
        <f>IFERROR(VLOOKUP(F34,MOD_TBL,16,0),IFERROR(VLOOKUP(E34,OCU_TBL,2,0),NEUTRO))</f>
        <v/>
      </c>
      <c r="BW34" s="3">
        <f>SUMIFS(MOT_AJUSTE,MOT_MOTOR,G34,MOT_MARCA,E34,MOT_DESDE,"&lt;="&amp;M34,MOT_HASTA,"&gt;="&amp;M34)+SUMIFS(MOT_AJUSTE,MOT_MOTOR,G34,MOT_MARCA,"(todas)",MOT_DESDE,"&lt;="&amp;M34,MOT_HASTA,"&gt;="&amp;M34)+SUMIFS(MOT_AJUSTE,MOT_MOTOR,"(cualquiera)",MOT_MARCA,E34,MOT_DESDE,"&lt;="&amp;M34,MOT_HASTA,"&gt;="&amp;M34)</f>
        <v/>
      </c>
      <c r="BX34" s="3">
        <f>SUMIFS(COMB_AJUSTE,COMB_COMB,K34)</f>
        <v/>
      </c>
      <c r="BY34" s="3">
        <f>COUNTIFS(MOT_MOTOR,G34,MOT_MARCA,E34,MOT_DESDE,"&lt;="&amp;M34,MOT_HASTA,"&gt;="&amp;M34)+COUNTIFS(MOT_MOTOR,G34,MOT_MARCA,"(todas)",MOT_DESDE,"&lt;="&amp;M34,MOT_HASTA,"&gt;="&amp;M34)+COUNTIFS(MOT_MOTOR,"(cualquiera)",MOT_MARCA,E34,MOT_DESDE,"&lt;="&amp;M34,MOT_HASTA,"&gt;="&amp;M34)</f>
        <v/>
      </c>
      <c r="BZ34" s="3">
        <f>IF(AND(K34="diesel",BY34=0),MIN(BV34,NEUTRO),BV34)</f>
        <v/>
      </c>
      <c r="CA34" s="3">
        <f>MAX(0,MIN(100,BZ34+BW34+BX34-IF(AV34="sí",ROB_PEN,0)))</f>
        <v/>
      </c>
      <c r="CB34" s="3">
        <f>100-MAX(0,N34-KM_TOPE_DESDE)/1000*KM_TOPE_PTS</f>
        <v/>
      </c>
      <c r="CC34" s="3">
        <f>MAX(0,MIN(100,50+BO34*PRECIO_PEND,CB34))</f>
        <v/>
      </c>
      <c r="CD34" s="3">
        <f>MAX(0,100*(1-N34/KM_MAX))</f>
        <v/>
      </c>
      <c r="CE34" s="3">
        <f>IF(BF34&lt;KMA_SOSP,IF(AA34="sí",100,KMA_PEN),IF(BF34&lt;=KMA_IDEAL_MAX,100,MAX(0,100*(KMA_CERO-BF34)/(KMA_CERO-KMA_IDEAL_MAX))))</f>
        <v/>
      </c>
      <c r="CF34" s="3">
        <f>MAX(0,MIN(100,100*(M34-ANIO_MIN)/(ANIO_ACTUAL-ANIO_MIN)))</f>
        <v/>
      </c>
      <c r="CG34" s="3">
        <f>W_KMT*CD34+W_KMA*CE34+W_EDAD*CF34</f>
        <v/>
      </c>
      <c r="CH34" s="3">
        <f>P_ITV*(V34="sí")+P_LIBRO*(W34="sí")+P_CORREA*(X34="sí")+P_PROP*(Y34=1)+P_GAR*(Z34="sí")+P_FOTOS*MIN(1,N(U34)/FOTOS_OBJ)</f>
        <v/>
      </c>
      <c r="CI34" s="3">
        <f>MAX(0,MIN(100,IFERROR(VLOOKUP(BT34,ETQ_TBL,2,0),0)-IF(BU34="sí",ETQ_PEN_DUD,IF(AS34="regla",ETQ_PEN_REGLA,0))))</f>
        <v/>
      </c>
      <c r="CJ34" s="3">
        <f>IF(K34&lt;&gt;"gasolina","",IFERROR(VLOOKUP(F34,CONS_MOD_TBL,2,0),IFERROR(VLOOKUP(L34,CONS_SEG_TBL,2,0),"")))</f>
        <v/>
      </c>
      <c r="CK34" s="3">
        <f>IF(CJ34="",NEUTRO,MAX(0,MIN(100,100*(CONS_REF_MAX-CJ34)/(CONS_REF_MAX-CONS_REF_MIN))))</f>
        <v/>
      </c>
      <c r="CL34" s="3">
        <f>IFERROR(VLOOKUP(L34,SEGURO_TBL,3,0),"")</f>
        <v/>
      </c>
      <c r="CM34" s="3">
        <f>IF(CL34="",NEUTRO,MAX(0,MIN(100,100*(SEG_REF_MAX-CL34)/(SEG_REF_MAX-SEG_REF_MIN))))</f>
        <v/>
      </c>
      <c r="CN34" s="3">
        <f>W_CONS*CK34+W_SEG*CM34</f>
        <v/>
      </c>
      <c r="CO34" s="3">
        <f>IF(N(AB34)&gt;0,AB34,IF(AND(R34="profesional",SG_LEGAL_ON=1),GAR_LEGAL,0))</f>
        <v/>
      </c>
      <c r="CP34" s="3">
        <f>SG_GAR*MIN(1,CO34/SG_GAR_FULL)+SG_AMPL*(AC34="sí")+SG_KMC*(AF34="sí")+SG_REV*(N(AE34)&gt;0)+SG_DEV*MIN(1,N(AG34)/SG_DEV_FULL)+SG_HIST*(W34="sí")</f>
        <v/>
      </c>
      <c r="CQ34" s="3">
        <f>IF(AW34="sí",ESTILO_PRIO,IFERROR(VLOOKUP(L34,ESTILO_TBL,2,0),NEUTRO))</f>
        <v/>
      </c>
      <c r="CR34" s="3">
        <f>IFERROR(VLOOKUP(L34,CARR_PEN_TBL,2,0),0)</f>
        <v/>
      </c>
      <c r="CS34" s="3">
        <f>W_FIAB*CA34+W_PRECIO*CC34+W_KMEDAD*CG34+W_ANUNCIO*CH34+W_USO*CN34+W_SEGURIDAD*CP34+W_ETIQUETA*CI34+W_ESTILO*CQ34-CR34</f>
        <v/>
      </c>
      <c r="CT34" s="4">
        <f>IF(N(I34)&gt;0,I34,IFERROR(ROUND(_xlfn.NUMBERVALUE(LEFT(G34,FIND(" ",G34&amp;" ")-1),".")*1000,0),99999))</f>
        <v/>
      </c>
      <c r="CU34" s="3">
        <f>IF(R34="profesional",0,IF(O34&lt;CUOTA_VALOR_MAX,IF(BE34&gt;ITP_TRAMO_ALTO,SUMIFS(CF_CUOTA,CF_MAS,ITP_TRAMO_ALTO,CF_CCMIN,"&lt;="&amp;CT34,CF_CCMAX,"&gt;="&amp;CT34),IF(BE34&gt;ITP_TRAMO_BAJO,SUMIFS(CF_CUOTA,CF_MAS,ITP_TRAMO_BAJO,CF_CCMIN,"&lt;="&amp;CT34,CF_CCMAX,"&gt;="&amp;CT34),O34*ITP_TIPO)),O34*ITP_TIPO))</f>
        <v/>
      </c>
      <c r="CV34" s="4">
        <f>IF(R34="profesional",N(AK34),0)</f>
        <v/>
      </c>
      <c r="CW34" s="3">
        <f>IF(AND(R34="profesional",ISNUMBER(AK34),AL34="sí"),0,TASA_DGT)</f>
        <v/>
      </c>
      <c r="CX34" s="3">
        <f>INFORME_DGT</f>
        <v/>
      </c>
      <c r="CY34" s="4">
        <f>O34+CV34+CU34+CW34+CX34</f>
        <v/>
      </c>
      <c r="CZ34" s="4">
        <f>CY34+N(CL34)</f>
        <v/>
      </c>
      <c r="DA34" s="3">
        <f>IF(CY34&lt;=TOTAL_MAX,"sí",IF(CY34&lt;=TOTAL_MAX+MARGEN_NEG,"negociar","no"))</f>
        <v/>
      </c>
      <c r="DB34" s="4">
        <f>IF(DA34&lt;&gt;"no",COUNTIFS($DA$2:$DA$130,"&lt;&gt;no",$CS$2:$CS$130,"&gt;"&amp;CS34)+COUNTIFS($DA$2:DA34,"&lt;&gt;no",$CS$2:CS34,CS34),"")</f>
        <v/>
      </c>
    </row>
    <row r="35">
      <c r="A35" s="2" t="inlineStr">
        <is>
          <t>cochesnet:71704887</t>
        </is>
      </c>
      <c r="B35" s="2" t="inlineStr">
        <is>
          <t>cochesnet</t>
        </is>
      </c>
      <c r="C35" s="2" t="inlineStr">
        <is>
          <t>https://www.coches.net/kia-ceed-16-crdi-115cv-emotion-5p-diesel-2009-en-valencia-71704887-covo.aspx</t>
        </is>
      </c>
      <c r="D35" s="2" t="inlineStr">
        <is>
          <t>KIA cee'd 1.6 CRDi Emotion</t>
        </is>
      </c>
      <c r="E35" s="2" t="inlineStr">
        <is>
          <t>Kia</t>
        </is>
      </c>
      <c r="F35" s="2" t="inlineStr">
        <is>
          <t>Kia Ceed</t>
        </is>
      </c>
      <c r="G35" s="2" t="inlineStr">
        <is>
          <t>1.6 CRDi</t>
        </is>
      </c>
      <c r="H35" s="2" t="inlineStr">
        <is>
          <t>1.6 CRDi 115cv Emotion</t>
        </is>
      </c>
      <c r="I35" s="2" t="n"/>
      <c r="J35" s="2" t="n">
        <v>115</v>
      </c>
      <c r="K35" s="2" t="inlineStr">
        <is>
          <t>diesel</t>
        </is>
      </c>
      <c r="L35" s="2" t="inlineStr">
        <is>
          <t>compacto</t>
        </is>
      </c>
      <c r="M35" s="2" t="n">
        <v>2008</v>
      </c>
      <c r="N35" s="2" t="n">
        <v>110000</v>
      </c>
      <c r="O35" s="2" t="n">
        <v>4990</v>
      </c>
      <c r="P35" s="2" t="inlineStr">
        <is>
          <t>manual</t>
        </is>
      </c>
      <c r="Q35" s="2" t="inlineStr">
        <is>
          <t>no</t>
        </is>
      </c>
      <c r="R35" s="2" t="inlineStr">
        <is>
          <t>profesional</t>
        </is>
      </c>
      <c r="S35" s="2" t="inlineStr">
        <is>
          <t>Autos Solea Alboraya</t>
        </is>
      </c>
      <c r="T35" s="2" t="inlineStr">
        <is>
          <t>2026-10-08T17:37:41Z</t>
        </is>
      </c>
      <c r="U35" s="2" t="n">
        <v>17</v>
      </c>
      <c r="V35" s="2" t="n"/>
      <c r="W35" s="2" t="n"/>
      <c r="X35" s="2" t="n"/>
      <c r="Y35" s="2" t="n"/>
      <c r="Z35" s="2" t="inlineStr">
        <is>
          <t>sí</t>
        </is>
      </c>
      <c r="AA35" s="2" t="n"/>
      <c r="AB35" s="2" t="n">
        <v>12</v>
      </c>
      <c r="AC35" s="2" t="n"/>
      <c r="AD35" s="2" t="n"/>
      <c r="AE35" s="2" t="n"/>
      <c r="AF35" s="2" t="n"/>
      <c r="AG35" s="2" t="n"/>
      <c r="AH35" s="2" t="n">
        <v>4990</v>
      </c>
      <c r="AI35" s="2" t="n">
        <v>4990</v>
      </c>
      <c r="AJ35" s="2" t="n"/>
      <c r="AK35" s="2" t="n"/>
      <c r="AL35" s="2" t="n"/>
      <c r="AM35" s="2" t="n">
        <v>4</v>
      </c>
      <c r="AN35" s="2" t="n"/>
      <c r="AO35" s="2" t="inlineStr">
        <is>
          <t>2008</t>
        </is>
      </c>
      <c r="AP35" s="2" t="n">
        <v>2008</v>
      </c>
      <c r="AQ35" s="2" t="n"/>
      <c r="AR35" s="2" t="inlineStr">
        <is>
          <t>B</t>
        </is>
      </c>
      <c r="AS35" s="2" t="inlineStr">
        <is>
          <t>anuncio</t>
        </is>
      </c>
      <c r="AT35" s="2" t="n">
        <v>2009</v>
      </c>
      <c r="AU35" s="2" t="inlineStr">
        <is>
          <t>no</t>
        </is>
      </c>
      <c r="AV35" s="2" t="inlineStr">
        <is>
          <t>no</t>
        </is>
      </c>
      <c r="AW35" s="2" t="inlineStr">
        <is>
          <t>no</t>
        </is>
      </c>
      <c r="AX35" s="2" t="n"/>
      <c r="AY35" s="2" t="n"/>
      <c r="AZ35" s="2" t="n"/>
      <c r="BA35" s="2" t="n"/>
      <c r="BB35" s="2" t="inlineStr">
        <is>
          <t>año a confirmar: la URL/título dice 2009; por encima del presupuesto (5054 €), negociar; vendedor profesional: sin ITP (operación con IVA/REBU, confirmar en factura); gastos de gestión del vendedor no indicados: se suma la tasa DGT; preguntar el precio final; diésel: motor sin fuente de fiabilidad (fiabilidad limitada a neutra); revisar: no menciona la ITV; mediana con solo 1 anuncio(s)</t>
        </is>
      </c>
      <c r="BC35" s="2" t="inlineStr">
        <is>
          <t>Kia Ceed Pro_Cee’d 1.6 CRDi Diésel – 2008 | 110.000 km | 3 puertas
Se vende Kia Ceed 1.6 CRDi diésel del año 2008, con únicamente 110.000 km y carrocería deportiva de 3 puertas.
Vehículo que destaca por su bajo kilometraje para su antigüedad, su diseño deportivo y su motor 1.6 CRDi diésel, conocido por ofrecer un buen equilibrio entre prestaciones, fiabilidad y consumo de combustible.
Una opción ideal para quien busca un coche económico, práctico y cómodo tanto para ciudad como para carretera.
* Motor 1.6 CRDi turbodiésel
* Año 2008
* Solo 110.000 km
* Carrocería deportiva de 3 puertas
* Cambio manual
* 5 plazas
* Bajo consumo de combustible
* Dirección asistida
* Aire acondicionado / climatizador según equipamiento
* Elevalunas eléctricos
* Cierre centralizado con mando
* Ordenador de a bordo
* Radio / sistema de sonido
* Volante regulable
* Retrovisores eléctricos según versión
* ABS
* Control de estabilidad según equipamiento
* Airbags frontales y laterales
* Anclajes ISOFIX
* Asientos traseros abatibles
* Buen espacio interior
* Maletero amplio para su segmento
Estado
Una unidad especialmente interesante por contar con tan solo 110.000 km, un kilometraje reducido para un vehículo del año 2008.
El Kia Ceed destaca por su comodidad, practicidad y economía de uso. Su carrocería de tres puertas le aporta una estética más deportiva sin renunciar a la funcionalidad de un compacto.
Una excelente oportunidad para adquirir un Kia Ceed 1.6 CRDi diésel con pocos kilómetros y</t>
        </is>
      </c>
      <c r="BD35" s="2" t="inlineStr">
        <is>
          <t>https://www.coches.net/kia-ceed-16-crdi-115cv-emotion-5p-diesel-2009-en-valencia-71704887-covo.aspx (window.__INITIAL_PROPS__.ad) /home/user/Alopecia/buscador-coches/raw/cochesnet/078396f3bbbe76a5.json</t>
        </is>
      </c>
      <c r="BE35" s="3">
        <f>MAX(ANIO_ACTUAL-M35,0)</f>
        <v/>
      </c>
      <c r="BF35" s="4">
        <f>N35/MAX(BE35,0.5)</f>
        <v/>
      </c>
      <c r="BG35" s="4">
        <f>F35</f>
        <v/>
      </c>
      <c r="BH35" s="3">
        <f>BG35&amp;"|"&amp;INT(M35/SEG_ANIO)*SEG_ANIO</f>
        <v/>
      </c>
      <c r="BI35" s="3">
        <f>BH35&amp;"|"&amp;INT(N35/SEG_KM)*SEG_KM</f>
        <v/>
      </c>
      <c r="BJ35" s="4">
        <f>COUNTIF($BG$2:$BG$130,BG35)</f>
        <v/>
      </c>
      <c r="BK35" s="4">
        <f>COUNTIF($BH$2:$BH$130,BH35)</f>
        <v/>
      </c>
      <c r="BL35" s="4">
        <f>COUNTIF($BI$2:$BI$130,BI35)</f>
        <v/>
      </c>
      <c r="BM35" s="3">
        <f t="array" ref="BM35">IF(N(AY35)&gt;=MIN_N,AX35,IF(BL35&gt;=MIN_N,MEDIAN(IF($BI$2:$BI$130=BI35,$O$2:$O$130)),IF(BK35&gt;=MIN_N,MEDIAN(IF($BH$2:$BH$130=BH35,$O$2:$O$130)),MEDIAN(IF($BG$2:$BG$130=BG35,$O$2:$O$130)))))</f>
        <v/>
      </c>
      <c r="BN35" s="3">
        <f>IF(N(AY35)&gt;=MIN_N,"mercado "&amp;AZ35,IF(BL35&gt;=MIN_N,"modelo+año+km",IF(BK35&gt;=MIN_N,"modelo+año","modelo")))</f>
        <v/>
      </c>
      <c r="BO35" s="4">
        <f>(BM35-O35)/BM35</f>
        <v/>
      </c>
      <c r="BP35" s="3">
        <f>IF(COUNTIFS(FR_FUEL,K35,FR_YEAR,AP35)&gt;0,1,0)</f>
        <v/>
      </c>
      <c r="BQ35" s="3">
        <f>IF(COUNTIFS(FR_FUEL,K35,FR_YEAR,AP35-1)&gt;0,1,0)</f>
        <v/>
      </c>
      <c r="BR35" s="4">
        <f>IF(N(AQ35)&gt;0,AP35*100+AQ35,IF(AND(BP35=1,BQ35=1),(AP35-1)*100+1,AP35*100+1))</f>
        <v/>
      </c>
      <c r="BS35" s="3">
        <f>IF(OR(K35="hibrido",K35="glp",K35="gnc",K35="phev"),"ECO",IF(K35="electrico","CERO",IF(K35="gasolina",IF(BR35&gt;=GAS_C_YM,"C",IF(BR35&gt;=GAS_B_YM,"B","A")),IF(K35="diesel",IF(BR35&gt;=DIE_C_YM,"C",IF(BR35&gt;=DIE_B_YM,"B","A")),""))))</f>
        <v/>
      </c>
      <c r="BT35" s="2" t="inlineStr">
        <is>
          <t>B</t>
        </is>
      </c>
      <c r="BU35" s="4">
        <f>IF(AU35="sí","sí",IF(AS35="regla",IF(AND(N(AQ35)=0,BP35=1),"sí","no"),"no"))</f>
        <v/>
      </c>
      <c r="BV35" s="3">
        <f>IFERROR(VLOOKUP(F35,MOD_TBL,16,0),IFERROR(VLOOKUP(E35,OCU_TBL,2,0),NEUTRO))</f>
        <v/>
      </c>
      <c r="BW35" s="3">
        <f>SUMIFS(MOT_AJUSTE,MOT_MOTOR,G35,MOT_MARCA,E35,MOT_DESDE,"&lt;="&amp;M35,MOT_HASTA,"&gt;="&amp;M35)+SUMIFS(MOT_AJUSTE,MOT_MOTOR,G35,MOT_MARCA,"(todas)",MOT_DESDE,"&lt;="&amp;M35,MOT_HASTA,"&gt;="&amp;M35)+SUMIFS(MOT_AJUSTE,MOT_MOTOR,"(cualquiera)",MOT_MARCA,E35,MOT_DESDE,"&lt;="&amp;M35,MOT_HASTA,"&gt;="&amp;M35)</f>
        <v/>
      </c>
      <c r="BX35" s="3">
        <f>SUMIFS(COMB_AJUSTE,COMB_COMB,K35)</f>
        <v/>
      </c>
      <c r="BY35" s="3">
        <f>COUNTIFS(MOT_MOTOR,G35,MOT_MARCA,E35,MOT_DESDE,"&lt;="&amp;M35,MOT_HASTA,"&gt;="&amp;M35)+COUNTIFS(MOT_MOTOR,G35,MOT_MARCA,"(todas)",MOT_DESDE,"&lt;="&amp;M35,MOT_HASTA,"&gt;="&amp;M35)+COUNTIFS(MOT_MOTOR,"(cualquiera)",MOT_MARCA,E35,MOT_DESDE,"&lt;="&amp;M35,MOT_HASTA,"&gt;="&amp;M35)</f>
        <v/>
      </c>
      <c r="BZ35" s="3">
        <f>IF(AND(K35="diesel",BY35=0),MIN(BV35,NEUTRO),BV35)</f>
        <v/>
      </c>
      <c r="CA35" s="3">
        <f>MAX(0,MIN(100,BZ35+BW35+BX35-IF(AV35="sí",ROB_PEN,0)))</f>
        <v/>
      </c>
      <c r="CB35" s="3">
        <f>100-MAX(0,N35-KM_TOPE_DESDE)/1000*KM_TOPE_PTS</f>
        <v/>
      </c>
      <c r="CC35" s="3">
        <f>MAX(0,MIN(100,50+BO35*PRECIO_PEND,CB35))</f>
        <v/>
      </c>
      <c r="CD35" s="3">
        <f>MAX(0,100*(1-N35/KM_MAX))</f>
        <v/>
      </c>
      <c r="CE35" s="3">
        <f>IF(BF35&lt;KMA_SOSP,IF(AA35="sí",100,KMA_PEN),IF(BF35&lt;=KMA_IDEAL_MAX,100,MAX(0,100*(KMA_CERO-BF35)/(KMA_CERO-KMA_IDEAL_MAX))))</f>
        <v/>
      </c>
      <c r="CF35" s="3">
        <f>MAX(0,MIN(100,100*(M35-ANIO_MIN)/(ANIO_ACTUAL-ANIO_MIN)))</f>
        <v/>
      </c>
      <c r="CG35" s="3">
        <f>W_KMT*CD35+W_KMA*CE35+W_EDAD*CF35</f>
        <v/>
      </c>
      <c r="CH35" s="3">
        <f>P_ITV*(V35="sí")+P_LIBRO*(W35="sí")+P_CORREA*(X35="sí")+P_PROP*(Y35=1)+P_GAR*(Z35="sí")+P_FOTOS*MIN(1,N(U35)/FOTOS_OBJ)</f>
        <v/>
      </c>
      <c r="CI35" s="3">
        <f>MAX(0,MIN(100,IFERROR(VLOOKUP(BT35,ETQ_TBL,2,0),0)-IF(BU35="sí",ETQ_PEN_DUD,IF(AS35="regla",ETQ_PEN_REGLA,0))))</f>
        <v/>
      </c>
      <c r="CJ35" s="3">
        <f>IF(K35&lt;&gt;"gasolina","",IFERROR(VLOOKUP(F35,CONS_MOD_TBL,2,0),IFERROR(VLOOKUP(L35,CONS_SEG_TBL,2,0),"")))</f>
        <v/>
      </c>
      <c r="CK35" s="3">
        <f>IF(CJ35="",NEUTRO,MAX(0,MIN(100,100*(CONS_REF_MAX-CJ35)/(CONS_REF_MAX-CONS_REF_MIN))))</f>
        <v/>
      </c>
      <c r="CL35" s="3">
        <f>IFERROR(VLOOKUP(L35,SEGURO_TBL,3,0),"")</f>
        <v/>
      </c>
      <c r="CM35" s="3">
        <f>IF(CL35="",NEUTRO,MAX(0,MIN(100,100*(SEG_REF_MAX-CL35)/(SEG_REF_MAX-SEG_REF_MIN))))</f>
        <v/>
      </c>
      <c r="CN35" s="3">
        <f>W_CONS*CK35+W_SEG*CM35</f>
        <v/>
      </c>
      <c r="CO35" s="3">
        <f>IF(N(AB35)&gt;0,AB35,IF(AND(R35="profesional",SG_LEGAL_ON=1),GAR_LEGAL,0))</f>
        <v/>
      </c>
      <c r="CP35" s="3">
        <f>SG_GAR*MIN(1,CO35/SG_GAR_FULL)+SG_AMPL*(AC35="sí")+SG_KMC*(AF35="sí")+SG_REV*(N(AE35)&gt;0)+SG_DEV*MIN(1,N(AG35)/SG_DEV_FULL)+SG_HIST*(W35="sí")</f>
        <v/>
      </c>
      <c r="CQ35" s="3">
        <f>IF(AW35="sí",ESTILO_PRIO,IFERROR(VLOOKUP(L35,ESTILO_TBL,2,0),NEUTRO))</f>
        <v/>
      </c>
      <c r="CR35" s="3">
        <f>IFERROR(VLOOKUP(L35,CARR_PEN_TBL,2,0),0)</f>
        <v/>
      </c>
      <c r="CS35" s="3">
        <f>W_FIAB*CA35+W_PRECIO*CC35+W_KMEDAD*CG35+W_ANUNCIO*CH35+W_USO*CN35+W_SEGURIDAD*CP35+W_ETIQUETA*CI35+W_ESTILO*CQ35-CR35</f>
        <v/>
      </c>
      <c r="CT35" s="4">
        <f>IF(N(I35)&gt;0,I35,IFERROR(ROUND(_xlfn.NUMBERVALUE(LEFT(G35,FIND(" ",G35&amp;" ")-1),".")*1000,0),99999))</f>
        <v/>
      </c>
      <c r="CU35" s="3">
        <f>IF(R35="profesional",0,IF(O35&lt;CUOTA_VALOR_MAX,IF(BE35&gt;ITP_TRAMO_ALTO,SUMIFS(CF_CUOTA,CF_MAS,ITP_TRAMO_ALTO,CF_CCMIN,"&lt;="&amp;CT35,CF_CCMAX,"&gt;="&amp;CT35),IF(BE35&gt;ITP_TRAMO_BAJO,SUMIFS(CF_CUOTA,CF_MAS,ITP_TRAMO_BAJO,CF_CCMIN,"&lt;="&amp;CT35,CF_CCMAX,"&gt;="&amp;CT35),O35*ITP_TIPO)),O35*ITP_TIPO))</f>
        <v/>
      </c>
      <c r="CV35" s="4">
        <f>IF(R35="profesional",N(AK35),0)</f>
        <v/>
      </c>
      <c r="CW35" s="3">
        <f>IF(AND(R35="profesional",ISNUMBER(AK35),AL35="sí"),0,TASA_DGT)</f>
        <v/>
      </c>
      <c r="CX35" s="3">
        <f>INFORME_DGT</f>
        <v/>
      </c>
      <c r="CY35" s="4">
        <f>O35+CV35+CU35+CW35+CX35</f>
        <v/>
      </c>
      <c r="CZ35" s="4">
        <f>CY35+N(CL35)</f>
        <v/>
      </c>
      <c r="DA35" s="3">
        <f>IF(CY35&lt;=TOTAL_MAX,"sí",IF(CY35&lt;=TOTAL_MAX+MARGEN_NEG,"negociar","no"))</f>
        <v/>
      </c>
      <c r="DB35" s="4">
        <f>IF(DA35&lt;&gt;"no",COUNTIFS($DA$2:$DA$130,"&lt;&gt;no",$CS$2:$CS$130,"&gt;"&amp;CS35)+COUNTIFS($DA$2:DA35,"&lt;&gt;no",$CS$2:CS35,CS35),"")</f>
        <v/>
      </c>
    </row>
    <row r="36">
      <c r="A36" s="2" t="inlineStr">
        <is>
          <t>cochesnet:71648429</t>
        </is>
      </c>
      <c r="B36" s="2" t="inlineStr">
        <is>
          <t>cochesnet</t>
        </is>
      </c>
      <c r="C36" s="2" t="inlineStr">
        <is>
          <t>https://www.coches.net/skoda-citigo-10-mpi-60cv-ambition-3p-gasolina-2015-en-valencia-71648429-covo.aspx</t>
        </is>
      </c>
      <c r="D36" s="2" t="inlineStr">
        <is>
          <t>SKODA Citigo 1.0 MPI Ambition</t>
        </is>
      </c>
      <c r="E36" s="2" t="inlineStr">
        <is>
          <t>Skoda</t>
        </is>
      </c>
      <c r="F36" s="2" t="inlineStr">
        <is>
          <t>Skoda Citigo</t>
        </is>
      </c>
      <c r="G36" s="2" t="inlineStr">
        <is>
          <t>1.0 MPI</t>
        </is>
      </c>
      <c r="H36" s="2" t="inlineStr">
        <is>
          <t>1.0 MPI 60cv Ambition</t>
        </is>
      </c>
      <c r="I36" s="2" t="n"/>
      <c r="J36" s="2" t="n">
        <v>60</v>
      </c>
      <c r="K36" s="2" t="inlineStr">
        <is>
          <t>gasolina</t>
        </is>
      </c>
      <c r="L36" s="2" t="inlineStr">
        <is>
          <t>utilitario</t>
        </is>
      </c>
      <c r="M36" s="2" t="n">
        <v>2014</v>
      </c>
      <c r="N36" s="2" t="n">
        <v>169000</v>
      </c>
      <c r="O36" s="2" t="n">
        <v>4990</v>
      </c>
      <c r="P36" s="2" t="inlineStr">
        <is>
          <t>manual</t>
        </is>
      </c>
      <c r="Q36" s="2" t="inlineStr">
        <is>
          <t>no</t>
        </is>
      </c>
      <c r="R36" s="2" t="inlineStr">
        <is>
          <t>profesional</t>
        </is>
      </c>
      <c r="S36" s="2" t="inlineStr">
        <is>
          <t>APEX MOTOR GALLERY Bétera</t>
        </is>
      </c>
      <c r="T36" s="2" t="inlineStr">
        <is>
          <t>2026-10-01T16:02:53Z</t>
        </is>
      </c>
      <c r="U36" s="2" t="n">
        <v>6</v>
      </c>
      <c r="V36" s="2" t="n"/>
      <c r="W36" s="2" t="n"/>
      <c r="X36" s="2" t="n"/>
      <c r="Y36" s="2" t="n"/>
      <c r="Z36" s="2" t="inlineStr">
        <is>
          <t>sí</t>
        </is>
      </c>
      <c r="AA36" s="2" t="n"/>
      <c r="AB36" s="2" t="n">
        <v>12</v>
      </c>
      <c r="AC36" s="2" t="n"/>
      <c r="AD36" s="2" t="n"/>
      <c r="AE36" s="2" t="n"/>
      <c r="AF36" s="2" t="n"/>
      <c r="AG36" s="2" t="n"/>
      <c r="AH36" s="2" t="n">
        <v>4990</v>
      </c>
      <c r="AI36" s="2" t="n"/>
      <c r="AJ36" s="2" t="n"/>
      <c r="AK36" s="2" t="n"/>
      <c r="AL36" s="2" t="n"/>
      <c r="AM36" s="2" t="n">
        <v>14.1</v>
      </c>
      <c r="AN36" s="2" t="n"/>
      <c r="AO36" s="2" t="inlineStr">
        <is>
          <t>2014</t>
        </is>
      </c>
      <c r="AP36" s="2" t="n">
        <v>2014</v>
      </c>
      <c r="AQ36" s="2" t="n"/>
      <c r="AR36" s="2" t="inlineStr">
        <is>
          <t>C</t>
        </is>
      </c>
      <c r="AS36" s="2" t="inlineStr">
        <is>
          <t>anuncio</t>
        </is>
      </c>
      <c r="AT36" s="2" t="n">
        <v>2015</v>
      </c>
      <c r="AU36" s="2" t="inlineStr">
        <is>
          <t>no</t>
        </is>
      </c>
      <c r="AV36" s="2" t="inlineStr">
        <is>
          <t>no</t>
        </is>
      </c>
      <c r="AW36" s="2" t="inlineStr">
        <is>
          <t>no</t>
        </is>
      </c>
      <c r="AX36" s="2" t="n"/>
      <c r="AY36" s="2" t="n"/>
      <c r="AZ36" s="2" t="n"/>
      <c r="BA36" s="2" t="n"/>
      <c r="BB36" s="2" t="inlineStr">
        <is>
          <t>año a confirmar: la URL/título dice 2015; por encima del presupuesto (5054 €), negociar; vendedor profesional: sin ITP (operación con IVA/REBU, confirmar en factura); gastos de gestión del vendedor no indicados: se suma la tasa DGT; preguntar el precio final; revisar: no menciona la ITV; fiabilidad del modelo PENDIENTE de fuente (puntuación neutra); mediana con solo 1 anuncio(s)</t>
        </is>
      </c>
      <c r="BC36" s="2" t="inlineStr"/>
      <c r="BD36" s="2" t="inlineStr">
        <is>
          <t>https://www.coches.net/skoda-citigo-10-mpi-60cv-ambition-3p-gasolina-2015-en-valencia-71648429-covo.aspx (window.__INITIAL_PROPS__.ad) /home/user/Alopecia/buscador-coches/raw/cochesnet/9df83f74e56aa603.json</t>
        </is>
      </c>
      <c r="BE36" s="3">
        <f>MAX(ANIO_ACTUAL-M36,0)</f>
        <v/>
      </c>
      <c r="BF36" s="4">
        <f>N36/MAX(BE36,0.5)</f>
        <v/>
      </c>
      <c r="BG36" s="4">
        <f>F36</f>
        <v/>
      </c>
      <c r="BH36" s="3">
        <f>BG36&amp;"|"&amp;INT(M36/SEG_ANIO)*SEG_ANIO</f>
        <v/>
      </c>
      <c r="BI36" s="3">
        <f>BH36&amp;"|"&amp;INT(N36/SEG_KM)*SEG_KM</f>
        <v/>
      </c>
      <c r="BJ36" s="4">
        <f>COUNTIF($BG$2:$BG$130,BG36)</f>
        <v/>
      </c>
      <c r="BK36" s="4">
        <f>COUNTIF($BH$2:$BH$130,BH36)</f>
        <v/>
      </c>
      <c r="BL36" s="4">
        <f>COUNTIF($BI$2:$BI$130,BI36)</f>
        <v/>
      </c>
      <c r="BM36" s="3">
        <f t="array" ref="BM36">IF(N(AY36)&gt;=MIN_N,AX36,IF(BL36&gt;=MIN_N,MEDIAN(IF($BI$2:$BI$130=BI36,$O$2:$O$130)),IF(BK36&gt;=MIN_N,MEDIAN(IF($BH$2:$BH$130=BH36,$O$2:$O$130)),MEDIAN(IF($BG$2:$BG$130=BG36,$O$2:$O$130)))))</f>
        <v/>
      </c>
      <c r="BN36" s="3">
        <f>IF(N(AY36)&gt;=MIN_N,"mercado "&amp;AZ36,IF(BL36&gt;=MIN_N,"modelo+año+km",IF(BK36&gt;=MIN_N,"modelo+año","modelo")))</f>
        <v/>
      </c>
      <c r="BO36" s="4">
        <f>(BM36-O36)/BM36</f>
        <v/>
      </c>
      <c r="BP36" s="3">
        <f>IF(COUNTIFS(FR_FUEL,K36,FR_YEAR,AP36)&gt;0,1,0)</f>
        <v/>
      </c>
      <c r="BQ36" s="3">
        <f>IF(COUNTIFS(FR_FUEL,K36,FR_YEAR,AP36-1)&gt;0,1,0)</f>
        <v/>
      </c>
      <c r="BR36" s="4">
        <f>IF(N(AQ36)&gt;0,AP36*100+AQ36,IF(AND(BP36=1,BQ36=1),(AP36-1)*100+1,AP36*100+1))</f>
        <v/>
      </c>
      <c r="BS36" s="3">
        <f>IF(OR(K36="hibrido",K36="glp",K36="gnc",K36="phev"),"ECO",IF(K36="electrico","CERO",IF(K36="gasolina",IF(BR36&gt;=GAS_C_YM,"C",IF(BR36&gt;=GAS_B_YM,"B","A")),IF(K36="diesel",IF(BR36&gt;=DIE_C_YM,"C",IF(BR36&gt;=DIE_B_YM,"B","A")),""))))</f>
        <v/>
      </c>
      <c r="BT36" s="2" t="inlineStr">
        <is>
          <t>C</t>
        </is>
      </c>
      <c r="BU36" s="4">
        <f>IF(AU36="sí","sí",IF(AS36="regla",IF(AND(N(AQ36)=0,BP36=1),"sí","no"),"no"))</f>
        <v/>
      </c>
      <c r="BV36" s="3">
        <f>IFERROR(VLOOKUP(F36,MOD_TBL,16,0),IFERROR(VLOOKUP(E36,OCU_TBL,2,0),NEUTRO))</f>
        <v/>
      </c>
      <c r="BW36" s="3">
        <f>SUMIFS(MOT_AJUSTE,MOT_MOTOR,G36,MOT_MARCA,E36,MOT_DESDE,"&lt;="&amp;M36,MOT_HASTA,"&gt;="&amp;M36)+SUMIFS(MOT_AJUSTE,MOT_MOTOR,G36,MOT_MARCA,"(todas)",MOT_DESDE,"&lt;="&amp;M36,MOT_HASTA,"&gt;="&amp;M36)+SUMIFS(MOT_AJUSTE,MOT_MOTOR,"(cualquiera)",MOT_MARCA,E36,MOT_DESDE,"&lt;="&amp;M36,MOT_HASTA,"&gt;="&amp;M36)</f>
        <v/>
      </c>
      <c r="BX36" s="3">
        <f>SUMIFS(COMB_AJUSTE,COMB_COMB,K36)</f>
        <v/>
      </c>
      <c r="BY36" s="3">
        <f>COUNTIFS(MOT_MOTOR,G36,MOT_MARCA,E36,MOT_DESDE,"&lt;="&amp;M36,MOT_HASTA,"&gt;="&amp;M36)+COUNTIFS(MOT_MOTOR,G36,MOT_MARCA,"(todas)",MOT_DESDE,"&lt;="&amp;M36,MOT_HASTA,"&gt;="&amp;M36)+COUNTIFS(MOT_MOTOR,"(cualquiera)",MOT_MARCA,E36,MOT_DESDE,"&lt;="&amp;M36,MOT_HASTA,"&gt;="&amp;M36)</f>
        <v/>
      </c>
      <c r="BZ36" s="3">
        <f>IF(AND(K36="diesel",BY36=0),MIN(BV36,NEUTRO),BV36)</f>
        <v/>
      </c>
      <c r="CA36" s="3">
        <f>MAX(0,MIN(100,BZ36+BW36+BX36-IF(AV36="sí",ROB_PEN,0)))</f>
        <v/>
      </c>
      <c r="CB36" s="3">
        <f>100-MAX(0,N36-KM_TOPE_DESDE)/1000*KM_TOPE_PTS</f>
        <v/>
      </c>
      <c r="CC36" s="3">
        <f>MAX(0,MIN(100,50+BO36*PRECIO_PEND,CB36))</f>
        <v/>
      </c>
      <c r="CD36" s="3">
        <f>MAX(0,100*(1-N36/KM_MAX))</f>
        <v/>
      </c>
      <c r="CE36" s="3">
        <f>IF(BF36&lt;KMA_SOSP,IF(AA36="sí",100,KMA_PEN),IF(BF36&lt;=KMA_IDEAL_MAX,100,MAX(0,100*(KMA_CERO-BF36)/(KMA_CERO-KMA_IDEAL_MAX))))</f>
        <v/>
      </c>
      <c r="CF36" s="3">
        <f>MAX(0,MIN(100,100*(M36-ANIO_MIN)/(ANIO_ACTUAL-ANIO_MIN)))</f>
        <v/>
      </c>
      <c r="CG36" s="3">
        <f>W_KMT*CD36+W_KMA*CE36+W_EDAD*CF36</f>
        <v/>
      </c>
      <c r="CH36" s="3">
        <f>P_ITV*(V36="sí")+P_LIBRO*(W36="sí")+P_CORREA*(X36="sí")+P_PROP*(Y36=1)+P_GAR*(Z36="sí")+P_FOTOS*MIN(1,N(U36)/FOTOS_OBJ)</f>
        <v/>
      </c>
      <c r="CI36" s="3">
        <f>MAX(0,MIN(100,IFERROR(VLOOKUP(BT36,ETQ_TBL,2,0),0)-IF(BU36="sí",ETQ_PEN_DUD,IF(AS36="regla",ETQ_PEN_REGLA,0))))</f>
        <v/>
      </c>
      <c r="CJ36" s="3">
        <f>IF(K36&lt;&gt;"gasolina","",IFERROR(VLOOKUP(F36,CONS_MOD_TBL,2,0),IFERROR(VLOOKUP(L36,CONS_SEG_TBL,2,0),"")))</f>
        <v/>
      </c>
      <c r="CK36" s="3">
        <f>IF(CJ36="",NEUTRO,MAX(0,MIN(100,100*(CONS_REF_MAX-CJ36)/(CONS_REF_MAX-CONS_REF_MIN))))</f>
        <v/>
      </c>
      <c r="CL36" s="3">
        <f>IFERROR(VLOOKUP(L36,SEGURO_TBL,3,0),"")</f>
        <v/>
      </c>
      <c r="CM36" s="3">
        <f>IF(CL36="",NEUTRO,MAX(0,MIN(100,100*(SEG_REF_MAX-CL36)/(SEG_REF_MAX-SEG_REF_MIN))))</f>
        <v/>
      </c>
      <c r="CN36" s="3">
        <f>W_CONS*CK36+W_SEG*CM36</f>
        <v/>
      </c>
      <c r="CO36" s="3">
        <f>IF(N(AB36)&gt;0,AB36,IF(AND(R36="profesional",SG_LEGAL_ON=1),GAR_LEGAL,0))</f>
        <v/>
      </c>
      <c r="CP36" s="3">
        <f>SG_GAR*MIN(1,CO36/SG_GAR_FULL)+SG_AMPL*(AC36="sí")+SG_KMC*(AF36="sí")+SG_REV*(N(AE36)&gt;0)+SG_DEV*MIN(1,N(AG36)/SG_DEV_FULL)+SG_HIST*(W36="sí")</f>
        <v/>
      </c>
      <c r="CQ36" s="3">
        <f>IF(AW36="sí",ESTILO_PRIO,IFERROR(VLOOKUP(L36,ESTILO_TBL,2,0),NEUTRO))</f>
        <v/>
      </c>
      <c r="CR36" s="3">
        <f>IFERROR(VLOOKUP(L36,CARR_PEN_TBL,2,0),0)</f>
        <v/>
      </c>
      <c r="CS36" s="3">
        <f>W_FIAB*CA36+W_PRECIO*CC36+W_KMEDAD*CG36+W_ANUNCIO*CH36+W_USO*CN36+W_SEGURIDAD*CP36+W_ETIQUETA*CI36+W_ESTILO*CQ36-CR36</f>
        <v/>
      </c>
      <c r="CT36" s="4">
        <f>IF(N(I36)&gt;0,I36,IFERROR(ROUND(_xlfn.NUMBERVALUE(LEFT(G36,FIND(" ",G36&amp;" ")-1),".")*1000,0),99999))</f>
        <v/>
      </c>
      <c r="CU36" s="3">
        <f>IF(R36="profesional",0,IF(O36&lt;CUOTA_VALOR_MAX,IF(BE36&gt;ITP_TRAMO_ALTO,SUMIFS(CF_CUOTA,CF_MAS,ITP_TRAMO_ALTO,CF_CCMIN,"&lt;="&amp;CT36,CF_CCMAX,"&gt;="&amp;CT36),IF(BE36&gt;ITP_TRAMO_BAJO,SUMIFS(CF_CUOTA,CF_MAS,ITP_TRAMO_BAJO,CF_CCMIN,"&lt;="&amp;CT36,CF_CCMAX,"&gt;="&amp;CT36),O36*ITP_TIPO)),O36*ITP_TIPO))</f>
        <v/>
      </c>
      <c r="CV36" s="4">
        <f>IF(R36="profesional",N(AK36),0)</f>
        <v/>
      </c>
      <c r="CW36" s="3">
        <f>IF(AND(R36="profesional",ISNUMBER(AK36),AL36="sí"),0,TASA_DGT)</f>
        <v/>
      </c>
      <c r="CX36" s="3">
        <f>INFORME_DGT</f>
        <v/>
      </c>
      <c r="CY36" s="4">
        <f>O36+CV36+CU36+CW36+CX36</f>
        <v/>
      </c>
      <c r="CZ36" s="4">
        <f>CY36+N(CL36)</f>
        <v/>
      </c>
      <c r="DA36" s="3">
        <f>IF(CY36&lt;=TOTAL_MAX,"sí",IF(CY36&lt;=TOTAL_MAX+MARGEN_NEG,"negociar","no"))</f>
        <v/>
      </c>
      <c r="DB36" s="4">
        <f>IF(DA36&lt;&gt;"no",COUNTIFS($DA$2:$DA$130,"&lt;&gt;no",$CS$2:$CS$130,"&gt;"&amp;CS36)+COUNTIFS($DA$2:DA36,"&lt;&gt;no",$CS$2:CS36,CS36),"")</f>
        <v/>
      </c>
    </row>
    <row r="37">
      <c r="A37" s="2" t="inlineStr">
        <is>
          <t>cochesnet:71619015</t>
        </is>
      </c>
      <c r="B37" s="2" t="inlineStr">
        <is>
          <t>cochesnet</t>
        </is>
      </c>
      <c r="C37" s="2" t="inlineStr">
        <is>
          <t>https://www.coches.net/skoda-fabia-sedan-14-tdi-80cv-comfort-4p-diesel-2006-en-valencia-71619015-covo.aspx</t>
        </is>
      </c>
      <c r="D37" s="2" t="inlineStr">
        <is>
          <t>SKODA Fabia Sedan 1.4 TDi Comfort</t>
        </is>
      </c>
      <c r="E37" s="2" t="inlineStr">
        <is>
          <t>Skoda</t>
        </is>
      </c>
      <c r="F37" s="2" t="inlineStr">
        <is>
          <t>Skoda Fabia</t>
        </is>
      </c>
      <c r="G37" s="2" t="inlineStr">
        <is>
          <t>1.4 TDI</t>
        </is>
      </c>
      <c r="H37" s="2" t="inlineStr">
        <is>
          <t>Sedan 1.4 TDi 80cv Comfort</t>
        </is>
      </c>
      <c r="I37" s="2" t="n"/>
      <c r="J37" s="2" t="n">
        <v>80</v>
      </c>
      <c r="K37" s="2" t="inlineStr">
        <is>
          <t>diesel</t>
        </is>
      </c>
      <c r="L37" s="2" t="inlineStr">
        <is>
          <t>berlina</t>
        </is>
      </c>
      <c r="M37" s="2" t="n">
        <v>2006</v>
      </c>
      <c r="N37" s="2" t="n">
        <v>131000</v>
      </c>
      <c r="O37" s="2" t="n">
        <v>3990</v>
      </c>
      <c r="P37" s="2" t="inlineStr">
        <is>
          <t>manual</t>
        </is>
      </c>
      <c r="Q37" s="2" t="inlineStr">
        <is>
          <t>no</t>
        </is>
      </c>
      <c r="R37" s="2" t="inlineStr">
        <is>
          <t>profesional</t>
        </is>
      </c>
      <c r="S37" s="2" t="inlineStr">
        <is>
          <t>Garageng Foios Foios</t>
        </is>
      </c>
      <c r="T37" s="2" t="inlineStr">
        <is>
          <t>2026-09-28T20:25:59Z</t>
        </is>
      </c>
      <c r="U37" s="2" t="n">
        <v>27</v>
      </c>
      <c r="V37" s="2" t="inlineStr">
        <is>
          <t>sí</t>
        </is>
      </c>
      <c r="W37" s="2" t="n"/>
      <c r="X37" s="2" t="n"/>
      <c r="Y37" s="2" t="n">
        <v>1</v>
      </c>
      <c r="Z37" s="2" t="inlineStr">
        <is>
          <t>no</t>
        </is>
      </c>
      <c r="AA37" s="2" t="n"/>
      <c r="AB37" s="2" t="n"/>
      <c r="AC37" s="2" t="n"/>
      <c r="AD37" s="2" t="n"/>
      <c r="AE37" s="2" t="n"/>
      <c r="AF37" s="2" t="n"/>
      <c r="AG37" s="2" t="n"/>
      <c r="AH37" s="2" t="n">
        <v>3990</v>
      </c>
      <c r="AI37" s="2" t="n"/>
      <c r="AJ37" s="2" t="n"/>
      <c r="AK37" s="2" t="n"/>
      <c r="AL37" s="2" t="n"/>
      <c r="AM37" s="2" t="n">
        <v>7.7</v>
      </c>
      <c r="AN37" s="2" t="n"/>
      <c r="AO37" s="2" t="inlineStr">
        <is>
          <t>2006</t>
        </is>
      </c>
      <c r="AP37" s="2" t="n">
        <v>2006</v>
      </c>
      <c r="AQ37" s="2" t="n"/>
      <c r="AR37" s="2" t="inlineStr">
        <is>
          <t>B</t>
        </is>
      </c>
      <c r="AS37" s="2" t="inlineStr">
        <is>
          <t>anuncio</t>
        </is>
      </c>
      <c r="AT37" s="2" t="n"/>
      <c r="AU37" s="2" t="inlineStr">
        <is>
          <t>no</t>
        </is>
      </c>
      <c r="AV37" s="2" t="inlineStr">
        <is>
          <t>no</t>
        </is>
      </c>
      <c r="AW37" s="2" t="inlineStr">
        <is>
          <t>no</t>
        </is>
      </c>
      <c r="AX37" s="2" t="n">
        <v>3000</v>
      </c>
      <c r="AY37" s="2" t="n">
        <v>5</v>
      </c>
      <c r="AZ37" s="2" t="inlineStr">
        <is>
          <t>modelo+año</t>
        </is>
      </c>
      <c r="BA37" s="2" t="n"/>
      <c r="BB37" s="2" t="inlineStr">
        <is>
          <t>vendedor profesional: sin ITP (operación con IVA/REBU, confirmar en factura); gastos de gestión del vendedor no indicados: se suma la tasa DGT; preguntar el precio final; diésel: motor sin fuente de fiabilidad (fiabilidad limitada a neutra)</t>
        </is>
      </c>
      <c r="BC37" s="2" t="inlineStr">
        <is>
          <t>SKODA MODELO FABIA MOTOR  1.4 TDI CON 80CV  DE POTENCIA Y CONSUMO REDUCIDO.
VEHICULO NACIONAL PROCEDENTE DE UNICO PROPIETARIO CON KILOMETRAJE REAL Y CERTIFICADO.
DISPONE DE DISTINTIVO AMBIENTAL
SE ENTREGA CON MANTENIMIENTO RECIEN HECHO E ITV EN VIGOR 10/26.
CONSERVA LIBROS ORIGINALES.
DESTACADOS:
- CIERRE CENTRALIZADO CON MANDO Y DOS LLAVES
- CLIMATIZADOR A/C
- RADIO ORIGINAL
- ELEVALUNAS ELECTRICOS
- TAPICERIA DE TELA MIXTA MUY CONSERVADA
- POSA-VASOS 
- VEHICULO CON IVA/(REBU) INCLUIDO.
- ACEPTAMOS VEHÍCULOS COMO PARTE DE PAGO, TASACIÓN MÁXIMA Y PAGO INMEDIATO.
- ESTE ANUNCIO PUEDE CONTENER ALGÚN ERROR SE MUESTRA A TITULO INFORMATIVO Y NO CONTRACTUAL, PARA MAS INFORMACIÓN CONTACTE CON NOSOTROS.
- CARRER DE LA HORTA 14, FOIOS, POLIGONO INDUSTRIAL EL MOLI, CAMPA AMARILLA</t>
        </is>
      </c>
      <c r="BD37" s="2" t="inlineStr">
        <is>
          <t>https://www.coches.net/skoda-fabia-sedan-14-tdi-80cv-comfort-4p-diesel-2006-en-valencia-71619015-covo.aspx (window.__INITIAL_PROPS__.ad) /home/user/Alopecia/buscador-coches/raw/cochesnet/3d94a7fdd41195d7.json</t>
        </is>
      </c>
      <c r="BE37" s="3">
        <f>MAX(ANIO_ACTUAL-M37,0)</f>
        <v/>
      </c>
      <c r="BF37" s="4">
        <f>N37/MAX(BE37,0.5)</f>
        <v/>
      </c>
      <c r="BG37" s="4">
        <f>F37</f>
        <v/>
      </c>
      <c r="BH37" s="3">
        <f>BG37&amp;"|"&amp;INT(M37/SEG_ANIO)*SEG_ANIO</f>
        <v/>
      </c>
      <c r="BI37" s="3">
        <f>BH37&amp;"|"&amp;INT(N37/SEG_KM)*SEG_KM</f>
        <v/>
      </c>
      <c r="BJ37" s="4">
        <f>COUNTIF($BG$2:$BG$130,BG37)</f>
        <v/>
      </c>
      <c r="BK37" s="4">
        <f>COUNTIF($BH$2:$BH$130,BH37)</f>
        <v/>
      </c>
      <c r="BL37" s="4">
        <f>COUNTIF($BI$2:$BI$130,BI37)</f>
        <v/>
      </c>
      <c r="BM37" s="3">
        <f t="array" ref="BM37">IF(N(AY37)&gt;=MIN_N,AX37,IF(BL37&gt;=MIN_N,MEDIAN(IF($BI$2:$BI$130=BI37,$O$2:$O$130)),IF(BK37&gt;=MIN_N,MEDIAN(IF($BH$2:$BH$130=BH37,$O$2:$O$130)),MEDIAN(IF($BG$2:$BG$130=BG37,$O$2:$O$130)))))</f>
        <v/>
      </c>
      <c r="BN37" s="3">
        <f>IF(N(AY37)&gt;=MIN_N,"mercado "&amp;AZ37,IF(BL37&gt;=MIN_N,"modelo+año+km",IF(BK37&gt;=MIN_N,"modelo+año","modelo")))</f>
        <v/>
      </c>
      <c r="BO37" s="4">
        <f>(BM37-O37)/BM37</f>
        <v/>
      </c>
      <c r="BP37" s="3">
        <f>IF(COUNTIFS(FR_FUEL,K37,FR_YEAR,AP37)&gt;0,1,0)</f>
        <v/>
      </c>
      <c r="BQ37" s="3">
        <f>IF(COUNTIFS(FR_FUEL,K37,FR_YEAR,AP37-1)&gt;0,1,0)</f>
        <v/>
      </c>
      <c r="BR37" s="4">
        <f>IF(N(AQ37)&gt;0,AP37*100+AQ37,IF(AND(BP37=1,BQ37=1),(AP37-1)*100+1,AP37*100+1))</f>
        <v/>
      </c>
      <c r="BS37" s="3">
        <f>IF(OR(K37="hibrido",K37="glp",K37="gnc",K37="phev"),"ECO",IF(K37="electrico","CERO",IF(K37="gasolina",IF(BR37&gt;=GAS_C_YM,"C",IF(BR37&gt;=GAS_B_YM,"B","A")),IF(K37="diesel",IF(BR37&gt;=DIE_C_YM,"C",IF(BR37&gt;=DIE_B_YM,"B","A")),""))))</f>
        <v/>
      </c>
      <c r="BT37" s="2" t="inlineStr">
        <is>
          <t>B</t>
        </is>
      </c>
      <c r="BU37" s="4">
        <f>IF(AU37="sí","sí",IF(AS37="regla",IF(AND(N(AQ37)=0,BP37=1),"sí","no"),"no"))</f>
        <v/>
      </c>
      <c r="BV37" s="3">
        <f>IFERROR(VLOOKUP(F37,MOD_TBL,16,0),IFERROR(VLOOKUP(E37,OCU_TBL,2,0),NEUTRO))</f>
        <v/>
      </c>
      <c r="BW37" s="3">
        <f>SUMIFS(MOT_AJUSTE,MOT_MOTOR,G37,MOT_MARCA,E37,MOT_DESDE,"&lt;="&amp;M37,MOT_HASTA,"&gt;="&amp;M37)+SUMIFS(MOT_AJUSTE,MOT_MOTOR,G37,MOT_MARCA,"(todas)",MOT_DESDE,"&lt;="&amp;M37,MOT_HASTA,"&gt;="&amp;M37)+SUMIFS(MOT_AJUSTE,MOT_MOTOR,"(cualquiera)",MOT_MARCA,E37,MOT_DESDE,"&lt;="&amp;M37,MOT_HASTA,"&gt;="&amp;M37)</f>
        <v/>
      </c>
      <c r="BX37" s="3">
        <f>SUMIFS(COMB_AJUSTE,COMB_COMB,K37)</f>
        <v/>
      </c>
      <c r="BY37" s="3">
        <f>COUNTIFS(MOT_MOTOR,G37,MOT_MARCA,E37,MOT_DESDE,"&lt;="&amp;M37,MOT_HASTA,"&gt;="&amp;M37)+COUNTIFS(MOT_MOTOR,G37,MOT_MARCA,"(todas)",MOT_DESDE,"&lt;="&amp;M37,MOT_HASTA,"&gt;="&amp;M37)+COUNTIFS(MOT_MOTOR,"(cualquiera)",MOT_MARCA,E37,MOT_DESDE,"&lt;="&amp;M37,MOT_HASTA,"&gt;="&amp;M37)</f>
        <v/>
      </c>
      <c r="BZ37" s="3">
        <f>IF(AND(K37="diesel",BY37=0),MIN(BV37,NEUTRO),BV37)</f>
        <v/>
      </c>
      <c r="CA37" s="3">
        <f>MAX(0,MIN(100,BZ37+BW37+BX37-IF(AV37="sí",ROB_PEN,0)))</f>
        <v/>
      </c>
      <c r="CB37" s="3">
        <f>100-MAX(0,N37-KM_TOPE_DESDE)/1000*KM_TOPE_PTS</f>
        <v/>
      </c>
      <c r="CC37" s="3">
        <f>MAX(0,MIN(100,50+BO37*PRECIO_PEND,CB37))</f>
        <v/>
      </c>
      <c r="CD37" s="3">
        <f>MAX(0,100*(1-N37/KM_MAX))</f>
        <v/>
      </c>
      <c r="CE37" s="3">
        <f>IF(BF37&lt;KMA_SOSP,IF(AA37="sí",100,KMA_PEN),IF(BF37&lt;=KMA_IDEAL_MAX,100,MAX(0,100*(KMA_CERO-BF37)/(KMA_CERO-KMA_IDEAL_MAX))))</f>
        <v/>
      </c>
      <c r="CF37" s="3">
        <f>MAX(0,MIN(100,100*(M37-ANIO_MIN)/(ANIO_ACTUAL-ANIO_MIN)))</f>
        <v/>
      </c>
      <c r="CG37" s="3">
        <f>W_KMT*CD37+W_KMA*CE37+W_EDAD*CF37</f>
        <v/>
      </c>
      <c r="CH37" s="3">
        <f>P_ITV*(V37="sí")+P_LIBRO*(W37="sí")+P_CORREA*(X37="sí")+P_PROP*(Y37=1)+P_GAR*(Z37="sí")+P_FOTOS*MIN(1,N(U37)/FOTOS_OBJ)</f>
        <v/>
      </c>
      <c r="CI37" s="3">
        <f>MAX(0,MIN(100,IFERROR(VLOOKUP(BT37,ETQ_TBL,2,0),0)-IF(BU37="sí",ETQ_PEN_DUD,IF(AS37="regla",ETQ_PEN_REGLA,0))))</f>
        <v/>
      </c>
      <c r="CJ37" s="3">
        <f>IF(K37&lt;&gt;"gasolina","",IFERROR(VLOOKUP(F37,CONS_MOD_TBL,2,0),IFERROR(VLOOKUP(L37,CONS_SEG_TBL,2,0),"")))</f>
        <v/>
      </c>
      <c r="CK37" s="3">
        <f>IF(CJ37="",NEUTRO,MAX(0,MIN(100,100*(CONS_REF_MAX-CJ37)/(CONS_REF_MAX-CONS_REF_MIN))))</f>
        <v/>
      </c>
      <c r="CL37" s="3">
        <f>IFERROR(VLOOKUP(L37,SEGURO_TBL,3,0),"")</f>
        <v/>
      </c>
      <c r="CM37" s="3">
        <f>IF(CL37="",NEUTRO,MAX(0,MIN(100,100*(SEG_REF_MAX-CL37)/(SEG_REF_MAX-SEG_REF_MIN))))</f>
        <v/>
      </c>
      <c r="CN37" s="3">
        <f>W_CONS*CK37+W_SEG*CM37</f>
        <v/>
      </c>
      <c r="CO37" s="3">
        <f>IF(N(AB37)&gt;0,AB37,IF(AND(R37="profesional",SG_LEGAL_ON=1),GAR_LEGAL,0))</f>
        <v/>
      </c>
      <c r="CP37" s="3">
        <f>SG_GAR*MIN(1,CO37/SG_GAR_FULL)+SG_AMPL*(AC37="sí")+SG_KMC*(AF37="sí")+SG_REV*(N(AE37)&gt;0)+SG_DEV*MIN(1,N(AG37)/SG_DEV_FULL)+SG_HIST*(W37="sí")</f>
        <v/>
      </c>
      <c r="CQ37" s="3">
        <f>IF(AW37="sí",ESTILO_PRIO,IFERROR(VLOOKUP(L37,ESTILO_TBL,2,0),NEUTRO))</f>
        <v/>
      </c>
      <c r="CR37" s="3">
        <f>IFERROR(VLOOKUP(L37,CARR_PEN_TBL,2,0),0)</f>
        <v/>
      </c>
      <c r="CS37" s="3">
        <f>W_FIAB*CA37+W_PRECIO*CC37+W_KMEDAD*CG37+W_ANUNCIO*CH37+W_USO*CN37+W_SEGURIDAD*CP37+W_ETIQUETA*CI37+W_ESTILO*CQ37-CR37</f>
        <v/>
      </c>
      <c r="CT37" s="4">
        <f>IF(N(I37)&gt;0,I37,IFERROR(ROUND(_xlfn.NUMBERVALUE(LEFT(G37,FIND(" ",G37&amp;" ")-1),".")*1000,0),99999))</f>
        <v/>
      </c>
      <c r="CU37" s="3">
        <f>IF(R37="profesional",0,IF(O37&lt;CUOTA_VALOR_MAX,IF(BE37&gt;ITP_TRAMO_ALTO,SUMIFS(CF_CUOTA,CF_MAS,ITP_TRAMO_ALTO,CF_CCMIN,"&lt;="&amp;CT37,CF_CCMAX,"&gt;="&amp;CT37),IF(BE37&gt;ITP_TRAMO_BAJO,SUMIFS(CF_CUOTA,CF_MAS,ITP_TRAMO_BAJO,CF_CCMIN,"&lt;="&amp;CT37,CF_CCMAX,"&gt;="&amp;CT37),O37*ITP_TIPO)),O37*ITP_TIPO))</f>
        <v/>
      </c>
      <c r="CV37" s="4">
        <f>IF(R37="profesional",N(AK37),0)</f>
        <v/>
      </c>
      <c r="CW37" s="3">
        <f>IF(AND(R37="profesional",ISNUMBER(AK37),AL37="sí"),0,TASA_DGT)</f>
        <v/>
      </c>
      <c r="CX37" s="3">
        <f>INFORME_DGT</f>
        <v/>
      </c>
      <c r="CY37" s="4">
        <f>O37+CV37+CU37+CW37+CX37</f>
        <v/>
      </c>
      <c r="CZ37" s="4">
        <f>CY37+N(CL37)</f>
        <v/>
      </c>
      <c r="DA37" s="3">
        <f>IF(CY37&lt;=TOTAL_MAX,"sí",IF(CY37&lt;=TOTAL_MAX+MARGEN_NEG,"negociar","no"))</f>
        <v/>
      </c>
      <c r="DB37" s="4">
        <f>IF(DA37&lt;&gt;"no",COUNTIFS($DA$2:$DA$130,"&lt;&gt;no",$CS$2:$CS$130,"&gt;"&amp;CS37)+COUNTIFS($DA$2:DA37,"&lt;&gt;no",$CS$2:CS37,CS37),"")</f>
        <v/>
      </c>
    </row>
    <row r="38">
      <c r="A38" s="2" t="inlineStr">
        <is>
          <t>cochesnet:71867781</t>
        </is>
      </c>
      <c r="B38" s="2" t="inlineStr">
        <is>
          <t>cochesnet</t>
        </is>
      </c>
      <c r="C38" s="2" t="inlineStr">
        <is>
          <t>https://www.coches.net/seat-ibiza-19-tdi-100cv-sport-5p-diesel-2008-en-valencia-71867781-covo.aspx</t>
        </is>
      </c>
      <c r="D38" s="2" t="inlineStr">
        <is>
          <t>SEAT Ibiza 1.9 TDI Sport</t>
        </is>
      </c>
      <c r="E38" s="2" t="inlineStr">
        <is>
          <t>Seat</t>
        </is>
      </c>
      <c r="F38" s="2" t="inlineStr">
        <is>
          <t>Seat Ibiza</t>
        </is>
      </c>
      <c r="G38" s="2" t="inlineStr">
        <is>
          <t>1.9 TDI</t>
        </is>
      </c>
      <c r="H38" s="2" t="inlineStr">
        <is>
          <t>1.9 TDI 100cv Sport</t>
        </is>
      </c>
      <c r="I38" s="2" t="n"/>
      <c r="J38" s="2" t="n">
        <v>100</v>
      </c>
      <c r="K38" s="2" t="inlineStr">
        <is>
          <t>diesel</t>
        </is>
      </c>
      <c r="L38" s="2" t="inlineStr">
        <is>
          <t>utilitario</t>
        </is>
      </c>
      <c r="M38" s="2" t="n">
        <v>2007</v>
      </c>
      <c r="N38" s="2" t="n">
        <v>117000</v>
      </c>
      <c r="O38" s="2" t="n">
        <v>4990</v>
      </c>
      <c r="P38" s="2" t="inlineStr">
        <is>
          <t>manual</t>
        </is>
      </c>
      <c r="Q38" s="2" t="inlineStr">
        <is>
          <t>no</t>
        </is>
      </c>
      <c r="R38" s="2" t="inlineStr">
        <is>
          <t>profesional</t>
        </is>
      </c>
      <c r="S38" s="2" t="inlineStr">
        <is>
          <t>MSG Car 4 Valencia</t>
        </is>
      </c>
      <c r="T38" s="2" t="inlineStr">
        <is>
          <t>2026-10-30T09:30:55Z</t>
        </is>
      </c>
      <c r="U38" s="2" t="n">
        <v>13</v>
      </c>
      <c r="V38" s="2" t="n"/>
      <c r="W38" s="2" t="n"/>
      <c r="X38" s="2" t="n"/>
      <c r="Y38" s="2" t="n"/>
      <c r="Z38" s="2" t="inlineStr">
        <is>
          <t>sí</t>
        </is>
      </c>
      <c r="AA38" s="2" t="inlineStr">
        <is>
          <t>sí</t>
        </is>
      </c>
      <c r="AB38" s="2" t="n">
        <v>12</v>
      </c>
      <c r="AC38" s="2" t="n"/>
      <c r="AD38" s="2" t="n"/>
      <c r="AE38" s="2" t="n"/>
      <c r="AF38" s="2" t="inlineStr">
        <is>
          <t>sí</t>
        </is>
      </c>
      <c r="AG38" s="2" t="n"/>
      <c r="AH38" s="2" t="n">
        <v>4990</v>
      </c>
      <c r="AI38" s="2" t="n"/>
      <c r="AJ38" s="2" t="n"/>
      <c r="AK38" s="2" t="n"/>
      <c r="AL38" s="2" t="n"/>
      <c r="AM38" s="2" t="n">
        <v>0.1</v>
      </c>
      <c r="AN38" s="2" t="n"/>
      <c r="AO38" s="2" t="inlineStr">
        <is>
          <t>2007</t>
        </is>
      </c>
      <c r="AP38" s="2" t="n">
        <v>2007</v>
      </c>
      <c r="AQ38" s="2" t="n"/>
      <c r="AR38" s="2" t="inlineStr">
        <is>
          <t>B</t>
        </is>
      </c>
      <c r="AS38" s="2" t="inlineStr">
        <is>
          <t>anuncio</t>
        </is>
      </c>
      <c r="AT38" s="2" t="n">
        <v>2008</v>
      </c>
      <c r="AU38" s="2" t="inlineStr">
        <is>
          <t>no</t>
        </is>
      </c>
      <c r="AV38" s="2" t="inlineStr">
        <is>
          <t>no</t>
        </is>
      </c>
      <c r="AW38" s="2" t="inlineStr">
        <is>
          <t>no</t>
        </is>
      </c>
      <c r="AX38" s="2" t="n">
        <v>3850</v>
      </c>
      <c r="AY38" s="2" t="n">
        <v>26</v>
      </c>
      <c r="AZ38" s="2" t="inlineStr">
        <is>
          <t>modelo+año</t>
        </is>
      </c>
      <c r="BA38" s="2" t="n"/>
      <c r="BB38" s="2" t="inlineStr">
        <is>
          <t>año a confirmar: la URL/título dice 2008; por encima del presupuesto (5054 €), negociar; vendedor profesional: sin ITP (operación con IVA/REBU, confirmar en factura); gastos de gestión del vendedor no indicados: se suma la tasa DGT; preguntar el precio final; diésel: motor sin fuente de fiabilidad (fiabilidad limitada a neutra); revisar: no menciona la ITV</t>
        </is>
      </c>
      <c r="BC38" s="2" t="inlineStr">
        <is>
          <t>-Nacional-Kilometraje certificado-Etiqueta medioambiental B-Recién revisado-
Extras: climatizador, cierre centralizado...
- Se acepta su vehículo como parte de pago.
- Posibilidad de envío a domicilio dentro de la península.
- Aceptamos prueba mecánica.
*Exposición en Segorbe (CS), en la avda. Mediterráneo, 138*Opción de ver el vehículo en Valencia capital*Consulte disponibilidad antes de visitarnos*
Horario de atención telefónica: Lunes a viernes de 10:00h a 14:00h - 16:00h a 19:00h.</t>
        </is>
      </c>
      <c r="BD38" s="2" t="inlineStr">
        <is>
          <t>https://www.coches.net/seat-ibiza-19-tdi-100cv-sport-5p-diesel-2008-en-valencia-71867781-covo.aspx (window.__INITIAL_PROPS__.ad) /home/user/Alopecia/buscador-coches/raw/cochesnet/04fc7723d9dff820.json</t>
        </is>
      </c>
      <c r="BE38" s="3">
        <f>MAX(ANIO_ACTUAL-M38,0)</f>
        <v/>
      </c>
      <c r="BF38" s="4">
        <f>N38/MAX(BE38,0.5)</f>
        <v/>
      </c>
      <c r="BG38" s="4">
        <f>F38</f>
        <v/>
      </c>
      <c r="BH38" s="3">
        <f>BG38&amp;"|"&amp;INT(M38/SEG_ANIO)*SEG_ANIO</f>
        <v/>
      </c>
      <c r="BI38" s="3">
        <f>BH38&amp;"|"&amp;INT(N38/SEG_KM)*SEG_KM</f>
        <v/>
      </c>
      <c r="BJ38" s="4">
        <f>COUNTIF($BG$2:$BG$130,BG38)</f>
        <v/>
      </c>
      <c r="BK38" s="4">
        <f>COUNTIF($BH$2:$BH$130,BH38)</f>
        <v/>
      </c>
      <c r="BL38" s="4">
        <f>COUNTIF($BI$2:$BI$130,BI38)</f>
        <v/>
      </c>
      <c r="BM38" s="3">
        <f t="array" ref="BM38">IF(N(AY38)&gt;=MIN_N,AX38,IF(BL38&gt;=MIN_N,MEDIAN(IF($BI$2:$BI$130=BI38,$O$2:$O$130)),IF(BK38&gt;=MIN_N,MEDIAN(IF($BH$2:$BH$130=BH38,$O$2:$O$130)),MEDIAN(IF($BG$2:$BG$130=BG38,$O$2:$O$130)))))</f>
        <v/>
      </c>
      <c r="BN38" s="3">
        <f>IF(N(AY38)&gt;=MIN_N,"mercado "&amp;AZ38,IF(BL38&gt;=MIN_N,"modelo+año+km",IF(BK38&gt;=MIN_N,"modelo+año","modelo")))</f>
        <v/>
      </c>
      <c r="BO38" s="4">
        <f>(BM38-O38)/BM38</f>
        <v/>
      </c>
      <c r="BP38" s="3">
        <f>IF(COUNTIFS(FR_FUEL,K38,FR_YEAR,AP38)&gt;0,1,0)</f>
        <v/>
      </c>
      <c r="BQ38" s="3">
        <f>IF(COUNTIFS(FR_FUEL,K38,FR_YEAR,AP38-1)&gt;0,1,0)</f>
        <v/>
      </c>
      <c r="BR38" s="4">
        <f>IF(N(AQ38)&gt;0,AP38*100+AQ38,IF(AND(BP38=1,BQ38=1),(AP38-1)*100+1,AP38*100+1))</f>
        <v/>
      </c>
      <c r="BS38" s="3">
        <f>IF(OR(K38="hibrido",K38="glp",K38="gnc",K38="phev"),"ECO",IF(K38="electrico","CERO",IF(K38="gasolina",IF(BR38&gt;=GAS_C_YM,"C",IF(BR38&gt;=GAS_B_YM,"B","A")),IF(K38="diesel",IF(BR38&gt;=DIE_C_YM,"C",IF(BR38&gt;=DIE_B_YM,"B","A")),""))))</f>
        <v/>
      </c>
      <c r="BT38" s="2" t="inlineStr">
        <is>
          <t>B</t>
        </is>
      </c>
      <c r="BU38" s="4">
        <f>IF(AU38="sí","sí",IF(AS38="regla",IF(AND(N(AQ38)=0,BP38=1),"sí","no"),"no"))</f>
        <v/>
      </c>
      <c r="BV38" s="3">
        <f>IFERROR(VLOOKUP(F38,MOD_TBL,16,0),IFERROR(VLOOKUP(E38,OCU_TBL,2,0),NEUTRO))</f>
        <v/>
      </c>
      <c r="BW38" s="3">
        <f>SUMIFS(MOT_AJUSTE,MOT_MOTOR,G38,MOT_MARCA,E38,MOT_DESDE,"&lt;="&amp;M38,MOT_HASTA,"&gt;="&amp;M38)+SUMIFS(MOT_AJUSTE,MOT_MOTOR,G38,MOT_MARCA,"(todas)",MOT_DESDE,"&lt;="&amp;M38,MOT_HASTA,"&gt;="&amp;M38)+SUMIFS(MOT_AJUSTE,MOT_MOTOR,"(cualquiera)",MOT_MARCA,E38,MOT_DESDE,"&lt;="&amp;M38,MOT_HASTA,"&gt;="&amp;M38)</f>
        <v/>
      </c>
      <c r="BX38" s="3">
        <f>SUMIFS(COMB_AJUSTE,COMB_COMB,K38)</f>
        <v/>
      </c>
      <c r="BY38" s="3">
        <f>COUNTIFS(MOT_MOTOR,G38,MOT_MARCA,E38,MOT_DESDE,"&lt;="&amp;M38,MOT_HASTA,"&gt;="&amp;M38)+COUNTIFS(MOT_MOTOR,G38,MOT_MARCA,"(todas)",MOT_DESDE,"&lt;="&amp;M38,MOT_HASTA,"&gt;="&amp;M38)+COUNTIFS(MOT_MOTOR,"(cualquiera)",MOT_MARCA,E38,MOT_DESDE,"&lt;="&amp;M38,MOT_HASTA,"&gt;="&amp;M38)</f>
        <v/>
      </c>
      <c r="BZ38" s="3">
        <f>IF(AND(K38="diesel",BY38=0),MIN(BV38,NEUTRO),BV38)</f>
        <v/>
      </c>
      <c r="CA38" s="3">
        <f>MAX(0,MIN(100,BZ38+BW38+BX38-IF(AV38="sí",ROB_PEN,0)))</f>
        <v/>
      </c>
      <c r="CB38" s="3">
        <f>100-MAX(0,N38-KM_TOPE_DESDE)/1000*KM_TOPE_PTS</f>
        <v/>
      </c>
      <c r="CC38" s="3">
        <f>MAX(0,MIN(100,50+BO38*PRECIO_PEND,CB38))</f>
        <v/>
      </c>
      <c r="CD38" s="3">
        <f>MAX(0,100*(1-N38/KM_MAX))</f>
        <v/>
      </c>
      <c r="CE38" s="3">
        <f>IF(BF38&lt;KMA_SOSP,IF(AA38="sí",100,KMA_PEN),IF(BF38&lt;=KMA_IDEAL_MAX,100,MAX(0,100*(KMA_CERO-BF38)/(KMA_CERO-KMA_IDEAL_MAX))))</f>
        <v/>
      </c>
      <c r="CF38" s="3">
        <f>MAX(0,MIN(100,100*(M38-ANIO_MIN)/(ANIO_ACTUAL-ANIO_MIN)))</f>
        <v/>
      </c>
      <c r="CG38" s="3">
        <f>W_KMT*CD38+W_KMA*CE38+W_EDAD*CF38</f>
        <v/>
      </c>
      <c r="CH38" s="3">
        <f>P_ITV*(V38="sí")+P_LIBRO*(W38="sí")+P_CORREA*(X38="sí")+P_PROP*(Y38=1)+P_GAR*(Z38="sí")+P_FOTOS*MIN(1,N(U38)/FOTOS_OBJ)</f>
        <v/>
      </c>
      <c r="CI38" s="3">
        <f>MAX(0,MIN(100,IFERROR(VLOOKUP(BT38,ETQ_TBL,2,0),0)-IF(BU38="sí",ETQ_PEN_DUD,IF(AS38="regla",ETQ_PEN_REGLA,0))))</f>
        <v/>
      </c>
      <c r="CJ38" s="3">
        <f>IF(K38&lt;&gt;"gasolina","",IFERROR(VLOOKUP(F38,CONS_MOD_TBL,2,0),IFERROR(VLOOKUP(L38,CONS_SEG_TBL,2,0),"")))</f>
        <v/>
      </c>
      <c r="CK38" s="3">
        <f>IF(CJ38="",NEUTRO,MAX(0,MIN(100,100*(CONS_REF_MAX-CJ38)/(CONS_REF_MAX-CONS_REF_MIN))))</f>
        <v/>
      </c>
      <c r="CL38" s="3">
        <f>IFERROR(VLOOKUP(L38,SEGURO_TBL,3,0),"")</f>
        <v/>
      </c>
      <c r="CM38" s="3">
        <f>IF(CL38="",NEUTRO,MAX(0,MIN(100,100*(SEG_REF_MAX-CL38)/(SEG_REF_MAX-SEG_REF_MIN))))</f>
        <v/>
      </c>
      <c r="CN38" s="3">
        <f>W_CONS*CK38+W_SEG*CM38</f>
        <v/>
      </c>
      <c r="CO38" s="3">
        <f>IF(N(AB38)&gt;0,AB38,IF(AND(R38="profesional",SG_LEGAL_ON=1),GAR_LEGAL,0))</f>
        <v/>
      </c>
      <c r="CP38" s="3">
        <f>SG_GAR*MIN(1,CO38/SG_GAR_FULL)+SG_AMPL*(AC38="sí")+SG_KMC*(AF38="sí")+SG_REV*(N(AE38)&gt;0)+SG_DEV*MIN(1,N(AG38)/SG_DEV_FULL)+SG_HIST*(W38="sí")</f>
        <v/>
      </c>
      <c r="CQ38" s="3">
        <f>IF(AW38="sí",ESTILO_PRIO,IFERROR(VLOOKUP(L38,ESTILO_TBL,2,0),NEUTRO))</f>
        <v/>
      </c>
      <c r="CR38" s="3">
        <f>IFERROR(VLOOKUP(L38,CARR_PEN_TBL,2,0),0)</f>
        <v/>
      </c>
      <c r="CS38" s="3">
        <f>W_FIAB*CA38+W_PRECIO*CC38+W_KMEDAD*CG38+W_ANUNCIO*CH38+W_USO*CN38+W_SEGURIDAD*CP38+W_ETIQUETA*CI38+W_ESTILO*CQ38-CR38</f>
        <v/>
      </c>
      <c r="CT38" s="4">
        <f>IF(N(I38)&gt;0,I38,IFERROR(ROUND(_xlfn.NUMBERVALUE(LEFT(G38,FIND(" ",G38&amp;" ")-1),".")*1000,0),99999))</f>
        <v/>
      </c>
      <c r="CU38" s="3">
        <f>IF(R38="profesional",0,IF(O38&lt;CUOTA_VALOR_MAX,IF(BE38&gt;ITP_TRAMO_ALTO,SUMIFS(CF_CUOTA,CF_MAS,ITP_TRAMO_ALTO,CF_CCMIN,"&lt;="&amp;CT38,CF_CCMAX,"&gt;="&amp;CT38),IF(BE38&gt;ITP_TRAMO_BAJO,SUMIFS(CF_CUOTA,CF_MAS,ITP_TRAMO_BAJO,CF_CCMIN,"&lt;="&amp;CT38,CF_CCMAX,"&gt;="&amp;CT38),O38*ITP_TIPO)),O38*ITP_TIPO))</f>
        <v/>
      </c>
      <c r="CV38" s="4">
        <f>IF(R38="profesional",N(AK38),0)</f>
        <v/>
      </c>
      <c r="CW38" s="3">
        <f>IF(AND(R38="profesional",ISNUMBER(AK38),AL38="sí"),0,TASA_DGT)</f>
        <v/>
      </c>
      <c r="CX38" s="3">
        <f>INFORME_DGT</f>
        <v/>
      </c>
      <c r="CY38" s="4">
        <f>O38+CV38+CU38+CW38+CX38</f>
        <v/>
      </c>
      <c r="CZ38" s="4">
        <f>CY38+N(CL38)</f>
        <v/>
      </c>
      <c r="DA38" s="3">
        <f>IF(CY38&lt;=TOTAL_MAX,"sí",IF(CY38&lt;=TOTAL_MAX+MARGEN_NEG,"negociar","no"))</f>
        <v/>
      </c>
      <c r="DB38" s="4">
        <f>IF(DA38&lt;&gt;"no",COUNTIFS($DA$2:$DA$130,"&lt;&gt;no",$CS$2:$CS$130,"&gt;"&amp;CS38)+COUNTIFS($DA$2:DA38,"&lt;&gt;no",$CS$2:CS38,CS38),"")</f>
        <v/>
      </c>
    </row>
    <row r="39">
      <c r="A39" s="2" t="inlineStr">
        <is>
          <t>cochesnet:71866787</t>
        </is>
      </c>
      <c r="B39" s="2" t="inlineStr">
        <is>
          <t>cochesnet</t>
        </is>
      </c>
      <c r="C39" s="2" t="inlineStr">
        <is>
          <t>https://www.coches.net/volkswagen-polo-12-edition-70cv-5p-gasolina-2008-en-valencia-71866787-covo.aspx</t>
        </is>
      </c>
      <c r="D39" s="2" t="inlineStr">
        <is>
          <t>VOLKSWAGEN Polo 1.2 Edition</t>
        </is>
      </c>
      <c r="E39" s="2" t="inlineStr">
        <is>
          <t>Volkswagen</t>
        </is>
      </c>
      <c r="F39" s="2" t="inlineStr">
        <is>
          <t>Volkswagen Polo</t>
        </is>
      </c>
      <c r="G39" s="2" t="inlineStr">
        <is>
          <t>1.2</t>
        </is>
      </c>
      <c r="H39" s="2" t="inlineStr">
        <is>
          <t>1.2 Edition 70cv</t>
        </is>
      </c>
      <c r="I39" s="2" t="n"/>
      <c r="J39" s="2" t="n">
        <v>70</v>
      </c>
      <c r="K39" s="2" t="inlineStr">
        <is>
          <t>gasolina</t>
        </is>
      </c>
      <c r="L39" s="2" t="inlineStr">
        <is>
          <t>utilitario</t>
        </is>
      </c>
      <c r="M39" s="2" t="n">
        <v>2008</v>
      </c>
      <c r="N39" s="2" t="n">
        <v>134000</v>
      </c>
      <c r="O39" s="2" t="n">
        <v>4990</v>
      </c>
      <c r="P39" s="2" t="inlineStr">
        <is>
          <t>manual</t>
        </is>
      </c>
      <c r="Q39" s="2" t="inlineStr">
        <is>
          <t>no</t>
        </is>
      </c>
      <c r="R39" s="2" t="inlineStr">
        <is>
          <t>profesional</t>
        </is>
      </c>
      <c r="S39" s="2" t="inlineStr">
        <is>
          <t>Alboraya</t>
        </is>
      </c>
      <c r="T39" s="2" t="inlineStr">
        <is>
          <t>2026-10-29T23:22:57Z</t>
        </is>
      </c>
      <c r="U39" s="2" t="n">
        <v>13</v>
      </c>
      <c r="V39" s="2" t="inlineStr">
        <is>
          <t>sí</t>
        </is>
      </c>
      <c r="W39" s="2" t="n"/>
      <c r="X39" s="2" t="n"/>
      <c r="Y39" s="2" t="n"/>
      <c r="Z39" s="2" t="inlineStr">
        <is>
          <t>sí</t>
        </is>
      </c>
      <c r="AA39" s="2" t="n"/>
      <c r="AB39" s="2" t="n">
        <v>12</v>
      </c>
      <c r="AC39" s="2" t="n"/>
      <c r="AD39" s="2" t="n"/>
      <c r="AE39" s="2" t="n"/>
      <c r="AF39" s="2" t="n"/>
      <c r="AG39" s="2" t="n"/>
      <c r="AH39" s="2" t="n">
        <v>4990</v>
      </c>
      <c r="AI39" s="2" t="n">
        <v>4990</v>
      </c>
      <c r="AJ39" s="2" t="n"/>
      <c r="AK39" s="2" t="n"/>
      <c r="AL39" s="2" t="n"/>
      <c r="AM39" s="2" t="n">
        <v>4</v>
      </c>
      <c r="AN39" s="2" t="n"/>
      <c r="AO39" s="2" t="inlineStr">
        <is>
          <t>2008</t>
        </is>
      </c>
      <c r="AP39" s="2" t="n">
        <v>2008</v>
      </c>
      <c r="AQ39" s="2" t="n"/>
      <c r="AR39" s="2" t="inlineStr">
        <is>
          <t>C</t>
        </is>
      </c>
      <c r="AS39" s="2" t="inlineStr">
        <is>
          <t>anuncio</t>
        </is>
      </c>
      <c r="AT39" s="2" t="n"/>
      <c r="AU39" s="2" t="inlineStr">
        <is>
          <t>no</t>
        </is>
      </c>
      <c r="AV39" s="2" t="inlineStr">
        <is>
          <t>no</t>
        </is>
      </c>
      <c r="AW39" s="2" t="inlineStr">
        <is>
          <t>no</t>
        </is>
      </c>
      <c r="AX39" s="2" t="n">
        <v>4990</v>
      </c>
      <c r="AY39" s="2" t="n">
        <v>7</v>
      </c>
      <c r="AZ39" s="2" t="inlineStr">
        <is>
          <t>modelo+año+km</t>
        </is>
      </c>
      <c r="BA39" s="2" t="n"/>
      <c r="BB39" s="2" t="inlineStr">
        <is>
          <t>por encima del presupuesto (5054 €), negociar; vendedor profesional: sin ITP (operación con IVA/REBU, confirmar en factura); gastos de gestión del vendedor no indicados: se suma la tasa DGT; preguntar el precio final</t>
        </is>
      </c>
      <c r="BC39" s="2" t="inlineStr">
        <is>
          <t>VOLKSWAGEN POLO 1.2i GASOLINA · 2008 · 134.000 KM
Un urbano práctico, económico y versátil, ideal para moverse por la ciudad y para el día a día. Este Volkswagen Polo destaca por su motor gasolina 1.2i, su tamaño compacto y su facilidad de conducción y aparcamiento.
??? Estado y mantenimiento:
?? Vehículo nacional.
?? 134.000 km.
?? Se entrega con la ITV en vigor.
?? Revisión recién realizada antes de la entrega.
?? Equipamiento destacado:
?? Confort y conducción: Dirección asistida Servotronic, aire acondicionado y manejo cómodo y sencillo.
?? Tecnología y multimedia: Ordenador de a bordo y equipo de música MP3.
?? Comodidad y funcionalidad: Elevalunas eléctricos y retrovisores eléctricos.
?? Seguridad y familia: Anclajes ISOFIX para sillas infantiles.
? Ventajas exclusivas Lunusa Cars
?? Financiación de hasta el 100% con tu nómina.
?? Garantía de 1 año en motor incluida.
?? Compra 100% online, fácil y segura.
?? Envíos y entrega a domicilio en toda España.
?? ¿Hablamos? Te enviamos más vídeos o la información que necesites para decidirte.
?? LUNUSA CARS | VALENCIA
Expertos en vehículos de ocasión.</t>
        </is>
      </c>
      <c r="BD39" s="2" t="inlineStr">
        <is>
          <t>https://www.coches.net/volkswagen-polo-12-edition-70cv-5p-gasolina-2008-en-valencia-71866787-covo.aspx (window.__INITIAL_PROPS__.ad) /home/user/Alopecia/buscador-coches/raw/cochesnet/b16c9cb1905015d4.json</t>
        </is>
      </c>
      <c r="BE39" s="3">
        <f>MAX(ANIO_ACTUAL-M39,0)</f>
        <v/>
      </c>
      <c r="BF39" s="4">
        <f>N39/MAX(BE39,0.5)</f>
        <v/>
      </c>
      <c r="BG39" s="4">
        <f>F39</f>
        <v/>
      </c>
      <c r="BH39" s="3">
        <f>BG39&amp;"|"&amp;INT(M39/SEG_ANIO)*SEG_ANIO</f>
        <v/>
      </c>
      <c r="BI39" s="3">
        <f>BH39&amp;"|"&amp;INT(N39/SEG_KM)*SEG_KM</f>
        <v/>
      </c>
      <c r="BJ39" s="4">
        <f>COUNTIF($BG$2:$BG$130,BG39)</f>
        <v/>
      </c>
      <c r="BK39" s="4">
        <f>COUNTIF($BH$2:$BH$130,BH39)</f>
        <v/>
      </c>
      <c r="BL39" s="4">
        <f>COUNTIF($BI$2:$BI$130,BI39)</f>
        <v/>
      </c>
      <c r="BM39" s="3">
        <f t="array" ref="BM39">IF(N(AY39)&gt;=MIN_N,AX39,IF(BL39&gt;=MIN_N,MEDIAN(IF($BI$2:$BI$130=BI39,$O$2:$O$130)),IF(BK39&gt;=MIN_N,MEDIAN(IF($BH$2:$BH$130=BH39,$O$2:$O$130)),MEDIAN(IF($BG$2:$BG$130=BG39,$O$2:$O$130)))))</f>
        <v/>
      </c>
      <c r="BN39" s="3">
        <f>IF(N(AY39)&gt;=MIN_N,"mercado "&amp;AZ39,IF(BL39&gt;=MIN_N,"modelo+año+km",IF(BK39&gt;=MIN_N,"modelo+año","modelo")))</f>
        <v/>
      </c>
      <c r="BO39" s="4">
        <f>(BM39-O39)/BM39</f>
        <v/>
      </c>
      <c r="BP39" s="3">
        <f>IF(COUNTIFS(FR_FUEL,K39,FR_YEAR,AP39)&gt;0,1,0)</f>
        <v/>
      </c>
      <c r="BQ39" s="3">
        <f>IF(COUNTIFS(FR_FUEL,K39,FR_YEAR,AP39-1)&gt;0,1,0)</f>
        <v/>
      </c>
      <c r="BR39" s="4">
        <f>IF(N(AQ39)&gt;0,AP39*100+AQ39,IF(AND(BP39=1,BQ39=1),(AP39-1)*100+1,AP39*100+1))</f>
        <v/>
      </c>
      <c r="BS39" s="3">
        <f>IF(OR(K39="hibrido",K39="glp",K39="gnc",K39="phev"),"ECO",IF(K39="electrico","CERO",IF(K39="gasolina",IF(BR39&gt;=GAS_C_YM,"C",IF(BR39&gt;=GAS_B_YM,"B","A")),IF(K39="diesel",IF(BR39&gt;=DIE_C_YM,"C",IF(BR39&gt;=DIE_B_YM,"B","A")),""))))</f>
        <v/>
      </c>
      <c r="BT39" s="2" t="inlineStr">
        <is>
          <t>C</t>
        </is>
      </c>
      <c r="BU39" s="4">
        <f>IF(AU39="sí","sí",IF(AS39="regla",IF(AND(N(AQ39)=0,BP39=1),"sí","no"),"no"))</f>
        <v/>
      </c>
      <c r="BV39" s="3">
        <f>IFERROR(VLOOKUP(F39,MOD_TBL,16,0),IFERROR(VLOOKUP(E39,OCU_TBL,2,0),NEUTRO))</f>
        <v/>
      </c>
      <c r="BW39" s="3">
        <f>SUMIFS(MOT_AJUSTE,MOT_MOTOR,G39,MOT_MARCA,E39,MOT_DESDE,"&lt;="&amp;M39,MOT_HASTA,"&gt;="&amp;M39)+SUMIFS(MOT_AJUSTE,MOT_MOTOR,G39,MOT_MARCA,"(todas)",MOT_DESDE,"&lt;="&amp;M39,MOT_HASTA,"&gt;="&amp;M39)+SUMIFS(MOT_AJUSTE,MOT_MOTOR,"(cualquiera)",MOT_MARCA,E39,MOT_DESDE,"&lt;="&amp;M39,MOT_HASTA,"&gt;="&amp;M39)</f>
        <v/>
      </c>
      <c r="BX39" s="3">
        <f>SUMIFS(COMB_AJUSTE,COMB_COMB,K39)</f>
        <v/>
      </c>
      <c r="BY39" s="3">
        <f>COUNTIFS(MOT_MOTOR,G39,MOT_MARCA,E39,MOT_DESDE,"&lt;="&amp;M39,MOT_HASTA,"&gt;="&amp;M39)+COUNTIFS(MOT_MOTOR,G39,MOT_MARCA,"(todas)",MOT_DESDE,"&lt;="&amp;M39,MOT_HASTA,"&gt;="&amp;M39)+COUNTIFS(MOT_MOTOR,"(cualquiera)",MOT_MARCA,E39,MOT_DESDE,"&lt;="&amp;M39,MOT_HASTA,"&gt;="&amp;M39)</f>
        <v/>
      </c>
      <c r="BZ39" s="3">
        <f>IF(AND(K39="diesel",BY39=0),MIN(BV39,NEUTRO),BV39)</f>
        <v/>
      </c>
      <c r="CA39" s="3">
        <f>MAX(0,MIN(100,BZ39+BW39+BX39-IF(AV39="sí",ROB_PEN,0)))</f>
        <v/>
      </c>
      <c r="CB39" s="3">
        <f>100-MAX(0,N39-KM_TOPE_DESDE)/1000*KM_TOPE_PTS</f>
        <v/>
      </c>
      <c r="CC39" s="3">
        <f>MAX(0,MIN(100,50+BO39*PRECIO_PEND,CB39))</f>
        <v/>
      </c>
      <c r="CD39" s="3">
        <f>MAX(0,100*(1-N39/KM_MAX))</f>
        <v/>
      </c>
      <c r="CE39" s="3">
        <f>IF(BF39&lt;KMA_SOSP,IF(AA39="sí",100,KMA_PEN),IF(BF39&lt;=KMA_IDEAL_MAX,100,MAX(0,100*(KMA_CERO-BF39)/(KMA_CERO-KMA_IDEAL_MAX))))</f>
        <v/>
      </c>
      <c r="CF39" s="3">
        <f>MAX(0,MIN(100,100*(M39-ANIO_MIN)/(ANIO_ACTUAL-ANIO_MIN)))</f>
        <v/>
      </c>
      <c r="CG39" s="3">
        <f>W_KMT*CD39+W_KMA*CE39+W_EDAD*CF39</f>
        <v/>
      </c>
      <c r="CH39" s="3">
        <f>P_ITV*(V39="sí")+P_LIBRO*(W39="sí")+P_CORREA*(X39="sí")+P_PROP*(Y39=1)+P_GAR*(Z39="sí")+P_FOTOS*MIN(1,N(U39)/FOTOS_OBJ)</f>
        <v/>
      </c>
      <c r="CI39" s="3">
        <f>MAX(0,MIN(100,IFERROR(VLOOKUP(BT39,ETQ_TBL,2,0),0)-IF(BU39="sí",ETQ_PEN_DUD,IF(AS39="regla",ETQ_PEN_REGLA,0))))</f>
        <v/>
      </c>
      <c r="CJ39" s="3">
        <f>IF(K39&lt;&gt;"gasolina","",IFERROR(VLOOKUP(F39,CONS_MOD_TBL,2,0),IFERROR(VLOOKUP(L39,CONS_SEG_TBL,2,0),"")))</f>
        <v/>
      </c>
      <c r="CK39" s="3">
        <f>IF(CJ39="",NEUTRO,MAX(0,MIN(100,100*(CONS_REF_MAX-CJ39)/(CONS_REF_MAX-CONS_REF_MIN))))</f>
        <v/>
      </c>
      <c r="CL39" s="3">
        <f>IFERROR(VLOOKUP(L39,SEGURO_TBL,3,0),"")</f>
        <v/>
      </c>
      <c r="CM39" s="3">
        <f>IF(CL39="",NEUTRO,MAX(0,MIN(100,100*(SEG_REF_MAX-CL39)/(SEG_REF_MAX-SEG_REF_MIN))))</f>
        <v/>
      </c>
      <c r="CN39" s="3">
        <f>W_CONS*CK39+W_SEG*CM39</f>
        <v/>
      </c>
      <c r="CO39" s="3">
        <f>IF(N(AB39)&gt;0,AB39,IF(AND(R39="profesional",SG_LEGAL_ON=1),GAR_LEGAL,0))</f>
        <v/>
      </c>
      <c r="CP39" s="3">
        <f>SG_GAR*MIN(1,CO39/SG_GAR_FULL)+SG_AMPL*(AC39="sí")+SG_KMC*(AF39="sí")+SG_REV*(N(AE39)&gt;0)+SG_DEV*MIN(1,N(AG39)/SG_DEV_FULL)+SG_HIST*(W39="sí")</f>
        <v/>
      </c>
      <c r="CQ39" s="3">
        <f>IF(AW39="sí",ESTILO_PRIO,IFERROR(VLOOKUP(L39,ESTILO_TBL,2,0),NEUTRO))</f>
        <v/>
      </c>
      <c r="CR39" s="3">
        <f>IFERROR(VLOOKUP(L39,CARR_PEN_TBL,2,0),0)</f>
        <v/>
      </c>
      <c r="CS39" s="3">
        <f>W_FIAB*CA39+W_PRECIO*CC39+W_KMEDAD*CG39+W_ANUNCIO*CH39+W_USO*CN39+W_SEGURIDAD*CP39+W_ETIQUETA*CI39+W_ESTILO*CQ39-CR39</f>
        <v/>
      </c>
      <c r="CT39" s="4">
        <f>IF(N(I39)&gt;0,I39,IFERROR(ROUND(_xlfn.NUMBERVALUE(LEFT(G39,FIND(" ",G39&amp;" ")-1),".")*1000,0),99999))</f>
        <v/>
      </c>
      <c r="CU39" s="3">
        <f>IF(R39="profesional",0,IF(O39&lt;CUOTA_VALOR_MAX,IF(BE39&gt;ITP_TRAMO_ALTO,SUMIFS(CF_CUOTA,CF_MAS,ITP_TRAMO_ALTO,CF_CCMIN,"&lt;="&amp;CT39,CF_CCMAX,"&gt;="&amp;CT39),IF(BE39&gt;ITP_TRAMO_BAJO,SUMIFS(CF_CUOTA,CF_MAS,ITP_TRAMO_BAJO,CF_CCMIN,"&lt;="&amp;CT39,CF_CCMAX,"&gt;="&amp;CT39),O39*ITP_TIPO)),O39*ITP_TIPO))</f>
        <v/>
      </c>
      <c r="CV39" s="4">
        <f>IF(R39="profesional",N(AK39),0)</f>
        <v/>
      </c>
      <c r="CW39" s="3">
        <f>IF(AND(R39="profesional",ISNUMBER(AK39),AL39="sí"),0,TASA_DGT)</f>
        <v/>
      </c>
      <c r="CX39" s="3">
        <f>INFORME_DGT</f>
        <v/>
      </c>
      <c r="CY39" s="4">
        <f>O39+CV39+CU39+CW39+CX39</f>
        <v/>
      </c>
      <c r="CZ39" s="4">
        <f>CY39+N(CL39)</f>
        <v/>
      </c>
      <c r="DA39" s="3">
        <f>IF(CY39&lt;=TOTAL_MAX,"sí",IF(CY39&lt;=TOTAL_MAX+MARGEN_NEG,"negociar","no"))</f>
        <v/>
      </c>
      <c r="DB39" s="4">
        <f>IF(DA39&lt;&gt;"no",COUNTIFS($DA$2:$DA$130,"&lt;&gt;no",$CS$2:$CS$130,"&gt;"&amp;CS39)+COUNTIFS($DA$2:DA39,"&lt;&gt;no",$CS$2:CS39,CS39),"")</f>
        <v/>
      </c>
    </row>
    <row r="40">
      <c r="A40" s="2" t="inlineStr">
        <is>
          <t>cochesnet:71806576</t>
        </is>
      </c>
      <c r="B40" s="2" t="inlineStr">
        <is>
          <t>cochesnet</t>
        </is>
      </c>
      <c r="C40" s="2" t="inlineStr">
        <is>
          <t>https://www.coches.net/opel-corsa-enjoy-12-5p-gasolina-2008-en-valencia-71806576-covo.aspx</t>
        </is>
      </c>
      <c r="D40" s="2" t="inlineStr">
        <is>
          <t>OPEL Corsa Enjoy 1.2</t>
        </is>
      </c>
      <c r="E40" s="2" t="inlineStr">
        <is>
          <t>Opel</t>
        </is>
      </c>
      <c r="F40" s="2" t="inlineStr">
        <is>
          <t>Opel Corsa</t>
        </is>
      </c>
      <c r="G40" s="2" t="inlineStr">
        <is>
          <t>1.2</t>
        </is>
      </c>
      <c r="H40" s="2" t="inlineStr">
        <is>
          <t>Enjoy 1.2</t>
        </is>
      </c>
      <c r="I40" s="2" t="n"/>
      <c r="J40" s="2" t="n"/>
      <c r="K40" s="2" t="inlineStr">
        <is>
          <t>gasolina</t>
        </is>
      </c>
      <c r="L40" s="2" t="inlineStr">
        <is>
          <t>utilitario</t>
        </is>
      </c>
      <c r="M40" s="2" t="n">
        <v>2008</v>
      </c>
      <c r="N40" s="2" t="n">
        <v>93267</v>
      </c>
      <c r="O40" s="2" t="n">
        <v>4990</v>
      </c>
      <c r="P40" s="2" t="inlineStr">
        <is>
          <t>manual</t>
        </is>
      </c>
      <c r="Q40" s="2" t="inlineStr">
        <is>
          <t>no</t>
        </is>
      </c>
      <c r="R40" s="2" t="inlineStr">
        <is>
          <t>profesional</t>
        </is>
      </c>
      <c r="S40" s="2" t="inlineStr">
        <is>
          <t>Alzira</t>
        </is>
      </c>
      <c r="T40" s="2" t="inlineStr">
        <is>
          <t>2026-10-22T10:45:15Z</t>
        </is>
      </c>
      <c r="U40" s="2" t="n">
        <v>18</v>
      </c>
      <c r="V40" s="2" t="n"/>
      <c r="W40" s="2" t="n"/>
      <c r="X40" s="2" t="n"/>
      <c r="Y40" s="2" t="n"/>
      <c r="Z40" s="2" t="inlineStr">
        <is>
          <t>no</t>
        </is>
      </c>
      <c r="AA40" s="2" t="n"/>
      <c r="AB40" s="2" t="n"/>
      <c r="AC40" s="2" t="n"/>
      <c r="AD40" s="2" t="n"/>
      <c r="AE40" s="2" t="n"/>
      <c r="AF40" s="2" t="n"/>
      <c r="AG40" s="2" t="n"/>
      <c r="AH40" s="2" t="n">
        <v>4990</v>
      </c>
      <c r="AI40" s="2" t="n"/>
      <c r="AJ40" s="2" t="n"/>
      <c r="AK40" s="2" t="n"/>
      <c r="AL40" s="2" t="n"/>
      <c r="AM40" s="2" t="n">
        <v>35.7</v>
      </c>
      <c r="AN40" s="2" t="n"/>
      <c r="AO40" s="2" t="inlineStr">
        <is>
          <t>2008</t>
        </is>
      </c>
      <c r="AP40" s="2" t="n">
        <v>2008</v>
      </c>
      <c r="AQ40" s="2" t="n"/>
      <c r="AR40" s="2" t="inlineStr">
        <is>
          <t>C</t>
        </is>
      </c>
      <c r="AS40" s="2" t="inlineStr">
        <is>
          <t>anuncio</t>
        </is>
      </c>
      <c r="AT40" s="2" t="n"/>
      <c r="AU40" s="2" t="inlineStr">
        <is>
          <t>no</t>
        </is>
      </c>
      <c r="AV40" s="2" t="inlineStr">
        <is>
          <t>no</t>
        </is>
      </c>
      <c r="AW40" s="2" t="inlineStr">
        <is>
          <t>no</t>
        </is>
      </c>
      <c r="AX40" s="2" t="n">
        <v>3000</v>
      </c>
      <c r="AY40" s="2" t="n">
        <v>35</v>
      </c>
      <c r="AZ40" s="2" t="inlineStr">
        <is>
          <t>modelo+año</t>
        </is>
      </c>
      <c r="BA40" s="2" t="n"/>
      <c r="BB40" s="2" t="inlineStr">
        <is>
          <t>por encima del presupuesto (5054 €), negociar; vendedor profesional: sin ITP (operación con IVA/REBU, confirmar en factura); gastos de gestión del vendedor no indicados: se suma la tasa DGT; preguntar el precio final; revisar: no menciona la ITV</t>
        </is>
      </c>
      <c r="BC40" s="2" t="inlineStr">
        <is>
          <t>Con garantía y cambio de nombre 5.500
Lo clave en 5 datos
Motor: 1.2 Gasolina (Fiable, suave y de mantenimiento muy económico)
Año: 2008
Kilómetros: 93.267 km (Certificados, kilometraje muy bajo para su año)
Acabado: Enjoy
Etiqueta DGT: C (Verde)
¿Por qué destaca esta unidad?
Poco rodaje: Menos de 95.000 km acumulados, lo que garantiza un estado mecánico con mucha vida útil por delante.
Mecánica sencilla y duradera: Motor de gasolina atmosférico de baja complejidad, ideal para evitar averías costosas.
Agilidad en ciudad: Tamaño compacto, fácil de aparcar y respuesta ágil en el tráfico urbano.
Acabado Enjoy: Incluye aire acondicionado, elevalunas eléctricos, dirección asistida con modo de maniobra y mandos en el volante.
¿Buscas un coche práctico, duradero y económico de mantener? Contáctanos ahora para consultar opciones de financiación a tu medida o agendar una prueba de conducción sin compromiso.</t>
        </is>
      </c>
      <c r="BD40" s="2" t="inlineStr">
        <is>
          <t>https://www.coches.net/opel-corsa-enjoy-12-5p-gasolina-2008-en-valencia-71806576-covo.aspx (window.__INITIAL_PROPS__.ad) /home/user/Alopecia/buscador-coches/raw/cochesnet/06d5c7ae03c437e7.json</t>
        </is>
      </c>
      <c r="BE40" s="3">
        <f>MAX(ANIO_ACTUAL-M40,0)</f>
        <v/>
      </c>
      <c r="BF40" s="4">
        <f>N40/MAX(BE40,0.5)</f>
        <v/>
      </c>
      <c r="BG40" s="4">
        <f>F40</f>
        <v/>
      </c>
      <c r="BH40" s="3">
        <f>BG40&amp;"|"&amp;INT(M40/SEG_ANIO)*SEG_ANIO</f>
        <v/>
      </c>
      <c r="BI40" s="3">
        <f>BH40&amp;"|"&amp;INT(N40/SEG_KM)*SEG_KM</f>
        <v/>
      </c>
      <c r="BJ40" s="4">
        <f>COUNTIF($BG$2:$BG$130,BG40)</f>
        <v/>
      </c>
      <c r="BK40" s="4">
        <f>COUNTIF($BH$2:$BH$130,BH40)</f>
        <v/>
      </c>
      <c r="BL40" s="4">
        <f>COUNTIF($BI$2:$BI$130,BI40)</f>
        <v/>
      </c>
      <c r="BM40" s="3">
        <f t="array" ref="BM40">IF(N(AY40)&gt;=MIN_N,AX40,IF(BL40&gt;=MIN_N,MEDIAN(IF($BI$2:$BI$130=BI40,$O$2:$O$130)),IF(BK40&gt;=MIN_N,MEDIAN(IF($BH$2:$BH$130=BH40,$O$2:$O$130)),MEDIAN(IF($BG$2:$BG$130=BG40,$O$2:$O$130)))))</f>
        <v/>
      </c>
      <c r="BN40" s="3">
        <f>IF(N(AY40)&gt;=MIN_N,"mercado "&amp;AZ40,IF(BL40&gt;=MIN_N,"modelo+año+km",IF(BK40&gt;=MIN_N,"modelo+año","modelo")))</f>
        <v/>
      </c>
      <c r="BO40" s="4">
        <f>(BM40-O40)/BM40</f>
        <v/>
      </c>
      <c r="BP40" s="3">
        <f>IF(COUNTIFS(FR_FUEL,K40,FR_YEAR,AP40)&gt;0,1,0)</f>
        <v/>
      </c>
      <c r="BQ40" s="3">
        <f>IF(COUNTIFS(FR_FUEL,K40,FR_YEAR,AP40-1)&gt;0,1,0)</f>
        <v/>
      </c>
      <c r="BR40" s="4">
        <f>IF(N(AQ40)&gt;0,AP40*100+AQ40,IF(AND(BP40=1,BQ40=1),(AP40-1)*100+1,AP40*100+1))</f>
        <v/>
      </c>
      <c r="BS40" s="3">
        <f>IF(OR(K40="hibrido",K40="glp",K40="gnc",K40="phev"),"ECO",IF(K40="electrico","CERO",IF(K40="gasolina",IF(BR40&gt;=GAS_C_YM,"C",IF(BR40&gt;=GAS_B_YM,"B","A")),IF(K40="diesel",IF(BR40&gt;=DIE_C_YM,"C",IF(BR40&gt;=DIE_B_YM,"B","A")),""))))</f>
        <v/>
      </c>
      <c r="BT40" s="2" t="inlineStr">
        <is>
          <t>C</t>
        </is>
      </c>
      <c r="BU40" s="4">
        <f>IF(AU40="sí","sí",IF(AS40="regla",IF(AND(N(AQ40)=0,BP40=1),"sí","no"),"no"))</f>
        <v/>
      </c>
      <c r="BV40" s="3">
        <f>IFERROR(VLOOKUP(F40,MOD_TBL,16,0),IFERROR(VLOOKUP(E40,OCU_TBL,2,0),NEUTRO))</f>
        <v/>
      </c>
      <c r="BW40" s="3">
        <f>SUMIFS(MOT_AJUSTE,MOT_MOTOR,G40,MOT_MARCA,E40,MOT_DESDE,"&lt;="&amp;M40,MOT_HASTA,"&gt;="&amp;M40)+SUMIFS(MOT_AJUSTE,MOT_MOTOR,G40,MOT_MARCA,"(todas)",MOT_DESDE,"&lt;="&amp;M40,MOT_HASTA,"&gt;="&amp;M40)+SUMIFS(MOT_AJUSTE,MOT_MOTOR,"(cualquiera)",MOT_MARCA,E40,MOT_DESDE,"&lt;="&amp;M40,MOT_HASTA,"&gt;="&amp;M40)</f>
        <v/>
      </c>
      <c r="BX40" s="3">
        <f>SUMIFS(COMB_AJUSTE,COMB_COMB,K40)</f>
        <v/>
      </c>
      <c r="BY40" s="3">
        <f>COUNTIFS(MOT_MOTOR,G40,MOT_MARCA,E40,MOT_DESDE,"&lt;="&amp;M40,MOT_HASTA,"&gt;="&amp;M40)+COUNTIFS(MOT_MOTOR,G40,MOT_MARCA,"(todas)",MOT_DESDE,"&lt;="&amp;M40,MOT_HASTA,"&gt;="&amp;M40)+COUNTIFS(MOT_MOTOR,"(cualquiera)",MOT_MARCA,E40,MOT_DESDE,"&lt;="&amp;M40,MOT_HASTA,"&gt;="&amp;M40)</f>
        <v/>
      </c>
      <c r="BZ40" s="3">
        <f>IF(AND(K40="diesel",BY40=0),MIN(BV40,NEUTRO),BV40)</f>
        <v/>
      </c>
      <c r="CA40" s="3">
        <f>MAX(0,MIN(100,BZ40+BW40+BX40-IF(AV40="sí",ROB_PEN,0)))</f>
        <v/>
      </c>
      <c r="CB40" s="3">
        <f>100-MAX(0,N40-KM_TOPE_DESDE)/1000*KM_TOPE_PTS</f>
        <v/>
      </c>
      <c r="CC40" s="3">
        <f>MAX(0,MIN(100,50+BO40*PRECIO_PEND,CB40))</f>
        <v/>
      </c>
      <c r="CD40" s="3">
        <f>MAX(0,100*(1-N40/KM_MAX))</f>
        <v/>
      </c>
      <c r="CE40" s="3">
        <f>IF(BF40&lt;KMA_SOSP,IF(AA40="sí",100,KMA_PEN),IF(BF40&lt;=KMA_IDEAL_MAX,100,MAX(0,100*(KMA_CERO-BF40)/(KMA_CERO-KMA_IDEAL_MAX))))</f>
        <v/>
      </c>
      <c r="CF40" s="3">
        <f>MAX(0,MIN(100,100*(M40-ANIO_MIN)/(ANIO_ACTUAL-ANIO_MIN)))</f>
        <v/>
      </c>
      <c r="CG40" s="3">
        <f>W_KMT*CD40+W_KMA*CE40+W_EDAD*CF40</f>
        <v/>
      </c>
      <c r="CH40" s="3">
        <f>P_ITV*(V40="sí")+P_LIBRO*(W40="sí")+P_CORREA*(X40="sí")+P_PROP*(Y40=1)+P_GAR*(Z40="sí")+P_FOTOS*MIN(1,N(U40)/FOTOS_OBJ)</f>
        <v/>
      </c>
      <c r="CI40" s="3">
        <f>MAX(0,MIN(100,IFERROR(VLOOKUP(BT40,ETQ_TBL,2,0),0)-IF(BU40="sí",ETQ_PEN_DUD,IF(AS40="regla",ETQ_PEN_REGLA,0))))</f>
        <v/>
      </c>
      <c r="CJ40" s="3">
        <f>IF(K40&lt;&gt;"gasolina","",IFERROR(VLOOKUP(F40,CONS_MOD_TBL,2,0),IFERROR(VLOOKUP(L40,CONS_SEG_TBL,2,0),"")))</f>
        <v/>
      </c>
      <c r="CK40" s="3">
        <f>IF(CJ40="",NEUTRO,MAX(0,MIN(100,100*(CONS_REF_MAX-CJ40)/(CONS_REF_MAX-CONS_REF_MIN))))</f>
        <v/>
      </c>
      <c r="CL40" s="3">
        <f>IFERROR(VLOOKUP(L40,SEGURO_TBL,3,0),"")</f>
        <v/>
      </c>
      <c r="CM40" s="3">
        <f>IF(CL40="",NEUTRO,MAX(0,MIN(100,100*(SEG_REF_MAX-CL40)/(SEG_REF_MAX-SEG_REF_MIN))))</f>
        <v/>
      </c>
      <c r="CN40" s="3">
        <f>W_CONS*CK40+W_SEG*CM40</f>
        <v/>
      </c>
      <c r="CO40" s="3">
        <f>IF(N(AB40)&gt;0,AB40,IF(AND(R40="profesional",SG_LEGAL_ON=1),GAR_LEGAL,0))</f>
        <v/>
      </c>
      <c r="CP40" s="3">
        <f>SG_GAR*MIN(1,CO40/SG_GAR_FULL)+SG_AMPL*(AC40="sí")+SG_KMC*(AF40="sí")+SG_REV*(N(AE40)&gt;0)+SG_DEV*MIN(1,N(AG40)/SG_DEV_FULL)+SG_HIST*(W40="sí")</f>
        <v/>
      </c>
      <c r="CQ40" s="3">
        <f>IF(AW40="sí",ESTILO_PRIO,IFERROR(VLOOKUP(L40,ESTILO_TBL,2,0),NEUTRO))</f>
        <v/>
      </c>
      <c r="CR40" s="3">
        <f>IFERROR(VLOOKUP(L40,CARR_PEN_TBL,2,0),0)</f>
        <v/>
      </c>
      <c r="CS40" s="3">
        <f>W_FIAB*CA40+W_PRECIO*CC40+W_KMEDAD*CG40+W_ANUNCIO*CH40+W_USO*CN40+W_SEGURIDAD*CP40+W_ETIQUETA*CI40+W_ESTILO*CQ40-CR40</f>
        <v/>
      </c>
      <c r="CT40" s="4">
        <f>IF(N(I40)&gt;0,I40,IFERROR(ROUND(_xlfn.NUMBERVALUE(LEFT(G40,FIND(" ",G40&amp;" ")-1),".")*1000,0),99999))</f>
        <v/>
      </c>
      <c r="CU40" s="3">
        <f>IF(R40="profesional",0,IF(O40&lt;CUOTA_VALOR_MAX,IF(BE40&gt;ITP_TRAMO_ALTO,SUMIFS(CF_CUOTA,CF_MAS,ITP_TRAMO_ALTO,CF_CCMIN,"&lt;="&amp;CT40,CF_CCMAX,"&gt;="&amp;CT40),IF(BE40&gt;ITP_TRAMO_BAJO,SUMIFS(CF_CUOTA,CF_MAS,ITP_TRAMO_BAJO,CF_CCMIN,"&lt;="&amp;CT40,CF_CCMAX,"&gt;="&amp;CT40),O40*ITP_TIPO)),O40*ITP_TIPO))</f>
        <v/>
      </c>
      <c r="CV40" s="4">
        <f>IF(R40="profesional",N(AK40),0)</f>
        <v/>
      </c>
      <c r="CW40" s="3">
        <f>IF(AND(R40="profesional",ISNUMBER(AK40),AL40="sí"),0,TASA_DGT)</f>
        <v/>
      </c>
      <c r="CX40" s="3">
        <f>INFORME_DGT</f>
        <v/>
      </c>
      <c r="CY40" s="4">
        <f>O40+CV40+CU40+CW40+CX40</f>
        <v/>
      </c>
      <c r="CZ40" s="4">
        <f>CY40+N(CL40)</f>
        <v/>
      </c>
      <c r="DA40" s="3">
        <f>IF(CY40&lt;=TOTAL_MAX,"sí",IF(CY40&lt;=TOTAL_MAX+MARGEN_NEG,"negociar","no"))</f>
        <v/>
      </c>
      <c r="DB40" s="4">
        <f>IF(DA40&lt;&gt;"no",COUNTIFS($DA$2:$DA$130,"&lt;&gt;no",$CS$2:$CS$130,"&gt;"&amp;CS40)+COUNTIFS($DA$2:DA40,"&lt;&gt;no",$CS$2:CS40,CS40),"")</f>
        <v/>
      </c>
    </row>
    <row r="41">
      <c r="A41" s="2" t="inlineStr">
        <is>
          <t>cochesnet:71790451</t>
        </is>
      </c>
      <c r="B41" s="2" t="inlineStr">
        <is>
          <t>cochesnet</t>
        </is>
      </c>
      <c r="C41" s="2" t="inlineStr">
        <is>
          <t>https://www.coches.net/opel-corsa-enjoy-12-3p-gasolina-2007-en-valencia-71790451-covo.aspx</t>
        </is>
      </c>
      <c r="D41" s="2" t="inlineStr">
        <is>
          <t>OPEL Corsa Enjoy 1.2</t>
        </is>
      </c>
      <c r="E41" s="2" t="inlineStr">
        <is>
          <t>Opel</t>
        </is>
      </c>
      <c r="F41" s="2" t="inlineStr">
        <is>
          <t>Opel Corsa</t>
        </is>
      </c>
      <c r="G41" s="2" t="inlineStr">
        <is>
          <t>1.2</t>
        </is>
      </c>
      <c r="H41" s="2" t="inlineStr">
        <is>
          <t>Enjoy 1.2</t>
        </is>
      </c>
      <c r="I41" s="2" t="n"/>
      <c r="J41" s="2" t="n"/>
      <c r="K41" s="2" t="inlineStr">
        <is>
          <t>gasolina</t>
        </is>
      </c>
      <c r="L41" s="2" t="inlineStr">
        <is>
          <t>utilitario</t>
        </is>
      </c>
      <c r="M41" s="2" t="n">
        <v>2007</v>
      </c>
      <c r="N41" s="2" t="n">
        <v>206000</v>
      </c>
      <c r="O41" s="2" t="n">
        <v>2990</v>
      </c>
      <c r="P41" s="2" t="inlineStr">
        <is>
          <t>manual</t>
        </is>
      </c>
      <c r="Q41" s="2" t="inlineStr">
        <is>
          <t>no</t>
        </is>
      </c>
      <c r="R41" s="2" t="inlineStr">
        <is>
          <t>profesional</t>
        </is>
      </c>
      <c r="S41" s="2" t="inlineStr">
        <is>
          <t>Blessed drive Torrent</t>
        </is>
      </c>
      <c r="T41" s="2" t="inlineStr">
        <is>
          <t>2026-10-20T13:40:40Z</t>
        </is>
      </c>
      <c r="U41" s="2" t="n">
        <v>18</v>
      </c>
      <c r="V41" s="2" t="n"/>
      <c r="W41" s="2" t="n"/>
      <c r="X41" s="2" t="n"/>
      <c r="Y41" s="2" t="n"/>
      <c r="Z41" s="2" t="inlineStr">
        <is>
          <t>sí</t>
        </is>
      </c>
      <c r="AA41" s="2" t="n"/>
      <c r="AB41" s="2" t="n">
        <v>12</v>
      </c>
      <c r="AC41" s="2" t="n"/>
      <c r="AD41" s="2" t="n"/>
      <c r="AE41" s="2" t="n"/>
      <c r="AF41" s="2" t="n"/>
      <c r="AG41" s="2" t="n"/>
      <c r="AH41" s="2" t="n">
        <v>2990</v>
      </c>
      <c r="AI41" s="2" t="n">
        <v>2999</v>
      </c>
      <c r="AJ41" s="2" t="n"/>
      <c r="AK41" s="2" t="n"/>
      <c r="AL41" s="2" t="n"/>
      <c r="AM41" s="2" t="n">
        <v>8.800000000000001</v>
      </c>
      <c r="AN41" s="2" t="n"/>
      <c r="AO41" s="2" t="inlineStr">
        <is>
          <t>2007</t>
        </is>
      </c>
      <c r="AP41" s="2" t="n">
        <v>2007</v>
      </c>
      <c r="AQ41" s="2" t="n"/>
      <c r="AR41" s="2" t="inlineStr">
        <is>
          <t>C</t>
        </is>
      </c>
      <c r="AS41" s="2" t="inlineStr">
        <is>
          <t>anuncio</t>
        </is>
      </c>
      <c r="AT41" s="2" t="n"/>
      <c r="AU41" s="2" t="inlineStr">
        <is>
          <t>no</t>
        </is>
      </c>
      <c r="AV41" s="2" t="inlineStr">
        <is>
          <t>no</t>
        </is>
      </c>
      <c r="AW41" s="2" t="inlineStr">
        <is>
          <t>no</t>
        </is>
      </c>
      <c r="AX41" s="2" t="n">
        <v>2990</v>
      </c>
      <c r="AY41" s="2" t="n">
        <v>11</v>
      </c>
      <c r="AZ41" s="2" t="inlineStr">
        <is>
          <t>modelo+año+km</t>
        </is>
      </c>
      <c r="BA41" s="2" t="n"/>
      <c r="BB41" s="2" t="inlineStr">
        <is>
          <t>vendedor profesional: sin ITP (operación con IVA/REBU, confirmar en factura); gastos de gestión del vendedor no indicados: se suma la tasa DGT; preguntar el precio final; revisar: no menciona la ITV</t>
        </is>
      </c>
      <c r="BC41" s="2" t="inlineStr">
        <is>
          <t xml:space="preserve">SE VENDE 
CON 1AÑO DE GARANTÍA 
CON POSIBILIDAD DE TRANSPORTAR A CUALQUIER PUNTO 
SE ENTREGA CON TODOS SUS MANTENIMIENTOS HECHOS 
EXTRAS
LLANTAS 
CLIMA
ELEVALUNAS ELÉCTRICOS 
DIRECCIÓN ASISTIDA 
AIRBAG 
ORDENADOR ABORDO 
ABS
VOLANTE MULTIFUNCION 
SISTEMA DE AUDIO 
RETROVISORES ELÉCTRICOS 
ANCLAJES ISOFIX 
CIERRE CENTRALIZADO 
MUCHISIMOS EXTRAS MAS 
</t>
        </is>
      </c>
      <c r="BD41" s="2" t="inlineStr">
        <is>
          <t>https://www.coches.net/opel-corsa-enjoy-12-3p-gasolina-2007-en-valencia-71790451-covo.aspx (window.__INITIAL_PROPS__.ad) /home/user/Alopecia/buscador-coches/raw/cochesnet/e73d25cb95237e9a.json</t>
        </is>
      </c>
      <c r="BE41" s="3">
        <f>MAX(ANIO_ACTUAL-M41,0)</f>
        <v/>
      </c>
      <c r="BF41" s="4">
        <f>N41/MAX(BE41,0.5)</f>
        <v/>
      </c>
      <c r="BG41" s="4">
        <f>F41</f>
        <v/>
      </c>
      <c r="BH41" s="3">
        <f>BG41&amp;"|"&amp;INT(M41/SEG_ANIO)*SEG_ANIO</f>
        <v/>
      </c>
      <c r="BI41" s="3">
        <f>BH41&amp;"|"&amp;INT(N41/SEG_KM)*SEG_KM</f>
        <v/>
      </c>
      <c r="BJ41" s="4">
        <f>COUNTIF($BG$2:$BG$130,BG41)</f>
        <v/>
      </c>
      <c r="BK41" s="4">
        <f>COUNTIF($BH$2:$BH$130,BH41)</f>
        <v/>
      </c>
      <c r="BL41" s="4">
        <f>COUNTIF($BI$2:$BI$130,BI41)</f>
        <v/>
      </c>
      <c r="BM41" s="3">
        <f t="array" ref="BM41">IF(N(AY41)&gt;=MIN_N,AX41,IF(BL41&gt;=MIN_N,MEDIAN(IF($BI$2:$BI$130=BI41,$O$2:$O$130)),IF(BK41&gt;=MIN_N,MEDIAN(IF($BH$2:$BH$130=BH41,$O$2:$O$130)),MEDIAN(IF($BG$2:$BG$130=BG41,$O$2:$O$130)))))</f>
        <v/>
      </c>
      <c r="BN41" s="3">
        <f>IF(N(AY41)&gt;=MIN_N,"mercado "&amp;AZ41,IF(BL41&gt;=MIN_N,"modelo+año+km",IF(BK41&gt;=MIN_N,"modelo+año","modelo")))</f>
        <v/>
      </c>
      <c r="BO41" s="4">
        <f>(BM41-O41)/BM41</f>
        <v/>
      </c>
      <c r="BP41" s="3">
        <f>IF(COUNTIFS(FR_FUEL,K41,FR_YEAR,AP41)&gt;0,1,0)</f>
        <v/>
      </c>
      <c r="BQ41" s="3">
        <f>IF(COUNTIFS(FR_FUEL,K41,FR_YEAR,AP41-1)&gt;0,1,0)</f>
        <v/>
      </c>
      <c r="BR41" s="4">
        <f>IF(N(AQ41)&gt;0,AP41*100+AQ41,IF(AND(BP41=1,BQ41=1),(AP41-1)*100+1,AP41*100+1))</f>
        <v/>
      </c>
      <c r="BS41" s="3">
        <f>IF(OR(K41="hibrido",K41="glp",K41="gnc",K41="phev"),"ECO",IF(K41="electrico","CERO",IF(K41="gasolina",IF(BR41&gt;=GAS_C_YM,"C",IF(BR41&gt;=GAS_B_YM,"B","A")),IF(K41="diesel",IF(BR41&gt;=DIE_C_YM,"C",IF(BR41&gt;=DIE_B_YM,"B","A")),""))))</f>
        <v/>
      </c>
      <c r="BT41" s="2" t="inlineStr">
        <is>
          <t>C</t>
        </is>
      </c>
      <c r="BU41" s="4">
        <f>IF(AU41="sí","sí",IF(AS41="regla",IF(AND(N(AQ41)=0,BP41=1),"sí","no"),"no"))</f>
        <v/>
      </c>
      <c r="BV41" s="3">
        <f>IFERROR(VLOOKUP(F41,MOD_TBL,16,0),IFERROR(VLOOKUP(E41,OCU_TBL,2,0),NEUTRO))</f>
        <v/>
      </c>
      <c r="BW41" s="3">
        <f>SUMIFS(MOT_AJUSTE,MOT_MOTOR,G41,MOT_MARCA,E41,MOT_DESDE,"&lt;="&amp;M41,MOT_HASTA,"&gt;="&amp;M41)+SUMIFS(MOT_AJUSTE,MOT_MOTOR,G41,MOT_MARCA,"(todas)",MOT_DESDE,"&lt;="&amp;M41,MOT_HASTA,"&gt;="&amp;M41)+SUMIFS(MOT_AJUSTE,MOT_MOTOR,"(cualquiera)",MOT_MARCA,E41,MOT_DESDE,"&lt;="&amp;M41,MOT_HASTA,"&gt;="&amp;M41)</f>
        <v/>
      </c>
      <c r="BX41" s="3">
        <f>SUMIFS(COMB_AJUSTE,COMB_COMB,K41)</f>
        <v/>
      </c>
      <c r="BY41" s="3">
        <f>COUNTIFS(MOT_MOTOR,G41,MOT_MARCA,E41,MOT_DESDE,"&lt;="&amp;M41,MOT_HASTA,"&gt;="&amp;M41)+COUNTIFS(MOT_MOTOR,G41,MOT_MARCA,"(todas)",MOT_DESDE,"&lt;="&amp;M41,MOT_HASTA,"&gt;="&amp;M41)+COUNTIFS(MOT_MOTOR,"(cualquiera)",MOT_MARCA,E41,MOT_DESDE,"&lt;="&amp;M41,MOT_HASTA,"&gt;="&amp;M41)</f>
        <v/>
      </c>
      <c r="BZ41" s="3">
        <f>IF(AND(K41="diesel",BY41=0),MIN(BV41,NEUTRO),BV41)</f>
        <v/>
      </c>
      <c r="CA41" s="3">
        <f>MAX(0,MIN(100,BZ41+BW41+BX41-IF(AV41="sí",ROB_PEN,0)))</f>
        <v/>
      </c>
      <c r="CB41" s="3">
        <f>100-MAX(0,N41-KM_TOPE_DESDE)/1000*KM_TOPE_PTS</f>
        <v/>
      </c>
      <c r="CC41" s="3">
        <f>MAX(0,MIN(100,50+BO41*PRECIO_PEND,CB41))</f>
        <v/>
      </c>
      <c r="CD41" s="3">
        <f>MAX(0,100*(1-N41/KM_MAX))</f>
        <v/>
      </c>
      <c r="CE41" s="3">
        <f>IF(BF41&lt;KMA_SOSP,IF(AA41="sí",100,KMA_PEN),IF(BF41&lt;=KMA_IDEAL_MAX,100,MAX(0,100*(KMA_CERO-BF41)/(KMA_CERO-KMA_IDEAL_MAX))))</f>
        <v/>
      </c>
      <c r="CF41" s="3">
        <f>MAX(0,MIN(100,100*(M41-ANIO_MIN)/(ANIO_ACTUAL-ANIO_MIN)))</f>
        <v/>
      </c>
      <c r="CG41" s="3">
        <f>W_KMT*CD41+W_KMA*CE41+W_EDAD*CF41</f>
        <v/>
      </c>
      <c r="CH41" s="3">
        <f>P_ITV*(V41="sí")+P_LIBRO*(W41="sí")+P_CORREA*(X41="sí")+P_PROP*(Y41=1)+P_GAR*(Z41="sí")+P_FOTOS*MIN(1,N(U41)/FOTOS_OBJ)</f>
        <v/>
      </c>
      <c r="CI41" s="3">
        <f>MAX(0,MIN(100,IFERROR(VLOOKUP(BT41,ETQ_TBL,2,0),0)-IF(BU41="sí",ETQ_PEN_DUD,IF(AS41="regla",ETQ_PEN_REGLA,0))))</f>
        <v/>
      </c>
      <c r="CJ41" s="3">
        <f>IF(K41&lt;&gt;"gasolina","",IFERROR(VLOOKUP(F41,CONS_MOD_TBL,2,0),IFERROR(VLOOKUP(L41,CONS_SEG_TBL,2,0),"")))</f>
        <v/>
      </c>
      <c r="CK41" s="3">
        <f>IF(CJ41="",NEUTRO,MAX(0,MIN(100,100*(CONS_REF_MAX-CJ41)/(CONS_REF_MAX-CONS_REF_MIN))))</f>
        <v/>
      </c>
      <c r="CL41" s="3">
        <f>IFERROR(VLOOKUP(L41,SEGURO_TBL,3,0),"")</f>
        <v/>
      </c>
      <c r="CM41" s="3">
        <f>IF(CL41="",NEUTRO,MAX(0,MIN(100,100*(SEG_REF_MAX-CL41)/(SEG_REF_MAX-SEG_REF_MIN))))</f>
        <v/>
      </c>
      <c r="CN41" s="3">
        <f>W_CONS*CK41+W_SEG*CM41</f>
        <v/>
      </c>
      <c r="CO41" s="3">
        <f>IF(N(AB41)&gt;0,AB41,IF(AND(R41="profesional",SG_LEGAL_ON=1),GAR_LEGAL,0))</f>
        <v/>
      </c>
      <c r="CP41" s="3">
        <f>SG_GAR*MIN(1,CO41/SG_GAR_FULL)+SG_AMPL*(AC41="sí")+SG_KMC*(AF41="sí")+SG_REV*(N(AE41)&gt;0)+SG_DEV*MIN(1,N(AG41)/SG_DEV_FULL)+SG_HIST*(W41="sí")</f>
        <v/>
      </c>
      <c r="CQ41" s="3">
        <f>IF(AW41="sí",ESTILO_PRIO,IFERROR(VLOOKUP(L41,ESTILO_TBL,2,0),NEUTRO))</f>
        <v/>
      </c>
      <c r="CR41" s="3">
        <f>IFERROR(VLOOKUP(L41,CARR_PEN_TBL,2,0),0)</f>
        <v/>
      </c>
      <c r="CS41" s="3">
        <f>W_FIAB*CA41+W_PRECIO*CC41+W_KMEDAD*CG41+W_ANUNCIO*CH41+W_USO*CN41+W_SEGURIDAD*CP41+W_ETIQUETA*CI41+W_ESTILO*CQ41-CR41</f>
        <v/>
      </c>
      <c r="CT41" s="4">
        <f>IF(N(I41)&gt;0,I41,IFERROR(ROUND(_xlfn.NUMBERVALUE(LEFT(G41,FIND(" ",G41&amp;" ")-1),".")*1000,0),99999))</f>
        <v/>
      </c>
      <c r="CU41" s="3">
        <f>IF(R41="profesional",0,IF(O41&lt;CUOTA_VALOR_MAX,IF(BE41&gt;ITP_TRAMO_ALTO,SUMIFS(CF_CUOTA,CF_MAS,ITP_TRAMO_ALTO,CF_CCMIN,"&lt;="&amp;CT41,CF_CCMAX,"&gt;="&amp;CT41),IF(BE41&gt;ITP_TRAMO_BAJO,SUMIFS(CF_CUOTA,CF_MAS,ITP_TRAMO_BAJO,CF_CCMIN,"&lt;="&amp;CT41,CF_CCMAX,"&gt;="&amp;CT41),O41*ITP_TIPO)),O41*ITP_TIPO))</f>
        <v/>
      </c>
      <c r="CV41" s="4">
        <f>IF(R41="profesional",N(AK41),0)</f>
        <v/>
      </c>
      <c r="CW41" s="3">
        <f>IF(AND(R41="profesional",ISNUMBER(AK41),AL41="sí"),0,TASA_DGT)</f>
        <v/>
      </c>
      <c r="CX41" s="3">
        <f>INFORME_DGT</f>
        <v/>
      </c>
      <c r="CY41" s="4">
        <f>O41+CV41+CU41+CW41+CX41</f>
        <v/>
      </c>
      <c r="CZ41" s="4">
        <f>CY41+N(CL41)</f>
        <v/>
      </c>
      <c r="DA41" s="3">
        <f>IF(CY41&lt;=TOTAL_MAX,"sí",IF(CY41&lt;=TOTAL_MAX+MARGEN_NEG,"negociar","no"))</f>
        <v/>
      </c>
      <c r="DB41" s="4">
        <f>IF(DA41&lt;&gt;"no",COUNTIFS($DA$2:$DA$130,"&lt;&gt;no",$CS$2:$CS$130,"&gt;"&amp;CS41)+COUNTIFS($DA$2:DA41,"&lt;&gt;no",$CS$2:CS41,CS41),"")</f>
        <v/>
      </c>
    </row>
    <row r="42">
      <c r="A42" s="2" t="inlineStr">
        <is>
          <t>cochesnet:71248981</t>
        </is>
      </c>
      <c r="B42" s="2" t="inlineStr">
        <is>
          <t>cochesnet</t>
        </is>
      </c>
      <c r="C42" s="2" t="inlineStr">
        <is>
          <t>https://www.coches.net/opel-corsa-13-cdti-color-edition-3p-diesel-2012-en-valencia-71248981-covo.aspx</t>
        </is>
      </c>
      <c r="D42" s="2" t="inlineStr">
        <is>
          <t>OPEL Corsa 1.3 CDTi Color Edition</t>
        </is>
      </c>
      <c r="E42" s="2" t="inlineStr">
        <is>
          <t>Opel</t>
        </is>
      </c>
      <c r="F42" s="2" t="inlineStr">
        <is>
          <t>Opel Corsa</t>
        </is>
      </c>
      <c r="G42" s="2" t="inlineStr">
        <is>
          <t>1.3 CDTi</t>
        </is>
      </c>
      <c r="H42" s="2" t="inlineStr">
        <is>
          <t>1.3 CDTi Color Edition</t>
        </is>
      </c>
      <c r="I42" s="2" t="n"/>
      <c r="J42" s="2" t="n"/>
      <c r="K42" s="2" t="inlineStr">
        <is>
          <t>diesel</t>
        </is>
      </c>
      <c r="L42" s="2" t="inlineStr">
        <is>
          <t>utilitario</t>
        </is>
      </c>
      <c r="M42" s="2" t="n">
        <v>2012</v>
      </c>
      <c r="N42" s="2" t="n">
        <v>120000</v>
      </c>
      <c r="O42" s="2" t="n">
        <v>4999</v>
      </c>
      <c r="P42" s="2" t="inlineStr">
        <is>
          <t>manual</t>
        </is>
      </c>
      <c r="Q42" s="2" t="inlineStr">
        <is>
          <t>no</t>
        </is>
      </c>
      <c r="R42" s="2" t="inlineStr">
        <is>
          <t>profesional</t>
        </is>
      </c>
      <c r="S42" s="2" t="inlineStr">
        <is>
          <t>Cars Premium Albal Albal</t>
        </is>
      </c>
      <c r="T42" s="2" t="inlineStr">
        <is>
          <t>2026-08-07T11:56:55Z</t>
        </is>
      </c>
      <c r="U42" s="2" t="n">
        <v>14</v>
      </c>
      <c r="V42" s="2" t="n"/>
      <c r="W42" s="2" t="n"/>
      <c r="X42" s="2" t="n"/>
      <c r="Y42" s="2" t="n"/>
      <c r="Z42" s="2" t="inlineStr">
        <is>
          <t>sí</t>
        </is>
      </c>
      <c r="AA42" s="2" t="n"/>
      <c r="AB42" s="2" t="n">
        <v>12</v>
      </c>
      <c r="AC42" s="2" t="n"/>
      <c r="AD42" s="2" t="n"/>
      <c r="AE42" s="2" t="n"/>
      <c r="AF42" s="2" t="n"/>
      <c r="AG42" s="2" t="n"/>
      <c r="AH42" s="2" t="n">
        <v>4999</v>
      </c>
      <c r="AI42" s="2" t="n">
        <v>4999</v>
      </c>
      <c r="AJ42" s="2" t="n"/>
      <c r="AK42" s="2" t="n"/>
      <c r="AL42" s="2" t="n"/>
      <c r="AM42" s="2" t="n">
        <v>8.699999999999999</v>
      </c>
      <c r="AN42" s="2" t="n"/>
      <c r="AO42" s="2" t="inlineStr">
        <is>
          <t>2012</t>
        </is>
      </c>
      <c r="AP42" s="2" t="n">
        <v>2012</v>
      </c>
      <c r="AQ42" s="2" t="n"/>
      <c r="AR42" s="2" t="inlineStr">
        <is>
          <t>B</t>
        </is>
      </c>
      <c r="AS42" s="2" t="inlineStr">
        <is>
          <t>anuncio</t>
        </is>
      </c>
      <c r="AT42" s="2" t="n"/>
      <c r="AU42" s="2" t="inlineStr">
        <is>
          <t>no</t>
        </is>
      </c>
      <c r="AV42" s="2" t="inlineStr">
        <is>
          <t>no</t>
        </is>
      </c>
      <c r="AW42" s="2" t="inlineStr">
        <is>
          <t>no</t>
        </is>
      </c>
      <c r="AX42" s="2" t="n">
        <v>4625</v>
      </c>
      <c r="AY42" s="2" t="n">
        <v>8</v>
      </c>
      <c r="AZ42" s="2" t="inlineStr">
        <is>
          <t>modelo+año+km</t>
        </is>
      </c>
      <c r="BA42" s="2" t="n"/>
      <c r="BB42" s="2" t="inlineStr">
        <is>
          <t>por encima del presupuesto (5063 €), negociar; vendedor profesional: sin ITP (operación con IVA/REBU, confirmar en factura); gastos de gestión del vendedor no indicados: se suma la tasa DGT; preguntar el precio final; diésel: motor sin fuente de fiabilidad (fiabilidad limitada a neutra)</t>
        </is>
      </c>
      <c r="BC42" s="2" t="inlineStr">
        <is>
          <t>MARCA: Opel
MODELO: Corsa ( version muy equipada)
AÑO: 2012
KM: 120.000
MOTOR: 1.3Cdti 95cv ( motor a cadena )
ETIQUETA MEDIOAMBIENTAL: Tipo B
ITV: Se entregaria recien pasada
GARANTIA: 12 meses
TIPS: Vehiculo deportivo con unas medidas muy practicas tanto para circular como para aparcar con todo el equipamiento necesario.
EQUIPAMIENTO: Llanta aleacion negra, volante multi-funcion, 6 velocidades, Rcd con bluetooth, Navegador, retrovisotes electricos negro, ordenador a bordo, cierre centralizado con llave, elevalunas electricas, etc etc…
DIRECCION: Av padre Carlos Ferris 87, Albal, Valencia
Para mas info contacten</t>
        </is>
      </c>
      <c r="BD42" s="2" t="inlineStr">
        <is>
          <t>https://www.coches.net/opel-corsa-13-cdti-color-edition-3p-diesel-2012-en-valencia-71248981-covo.aspx (window.__INITIAL_PROPS__.ad) /home/user/Alopecia/buscador-coches/raw/cochesnet/bb9e43134c341f33.json</t>
        </is>
      </c>
      <c r="BE42" s="3">
        <f>MAX(ANIO_ACTUAL-M42,0)</f>
        <v/>
      </c>
      <c r="BF42" s="4">
        <f>N42/MAX(BE42,0.5)</f>
        <v/>
      </c>
      <c r="BG42" s="4">
        <f>F42</f>
        <v/>
      </c>
      <c r="BH42" s="3">
        <f>BG42&amp;"|"&amp;INT(M42/SEG_ANIO)*SEG_ANIO</f>
        <v/>
      </c>
      <c r="BI42" s="3">
        <f>BH42&amp;"|"&amp;INT(N42/SEG_KM)*SEG_KM</f>
        <v/>
      </c>
      <c r="BJ42" s="4">
        <f>COUNTIF($BG$2:$BG$130,BG42)</f>
        <v/>
      </c>
      <c r="BK42" s="4">
        <f>COUNTIF($BH$2:$BH$130,BH42)</f>
        <v/>
      </c>
      <c r="BL42" s="4">
        <f>COUNTIF($BI$2:$BI$130,BI42)</f>
        <v/>
      </c>
      <c r="BM42" s="3">
        <f t="array" ref="BM42">IF(N(AY42)&gt;=MIN_N,AX42,IF(BL42&gt;=MIN_N,MEDIAN(IF($BI$2:$BI$130=BI42,$O$2:$O$130)),IF(BK42&gt;=MIN_N,MEDIAN(IF($BH$2:$BH$130=BH42,$O$2:$O$130)),MEDIAN(IF($BG$2:$BG$130=BG42,$O$2:$O$130)))))</f>
        <v/>
      </c>
      <c r="BN42" s="3">
        <f>IF(N(AY42)&gt;=MIN_N,"mercado "&amp;AZ42,IF(BL42&gt;=MIN_N,"modelo+año+km",IF(BK42&gt;=MIN_N,"modelo+año","modelo")))</f>
        <v/>
      </c>
      <c r="BO42" s="4">
        <f>(BM42-O42)/BM42</f>
        <v/>
      </c>
      <c r="BP42" s="3">
        <f>IF(COUNTIFS(FR_FUEL,K42,FR_YEAR,AP42)&gt;0,1,0)</f>
        <v/>
      </c>
      <c r="BQ42" s="3">
        <f>IF(COUNTIFS(FR_FUEL,K42,FR_YEAR,AP42-1)&gt;0,1,0)</f>
        <v/>
      </c>
      <c r="BR42" s="4">
        <f>IF(N(AQ42)&gt;0,AP42*100+AQ42,IF(AND(BP42=1,BQ42=1),(AP42-1)*100+1,AP42*100+1))</f>
        <v/>
      </c>
      <c r="BS42" s="3">
        <f>IF(OR(K42="hibrido",K42="glp",K42="gnc",K42="phev"),"ECO",IF(K42="electrico","CERO",IF(K42="gasolina",IF(BR42&gt;=GAS_C_YM,"C",IF(BR42&gt;=GAS_B_YM,"B","A")),IF(K42="diesel",IF(BR42&gt;=DIE_C_YM,"C",IF(BR42&gt;=DIE_B_YM,"B","A")),""))))</f>
        <v/>
      </c>
      <c r="BT42" s="2" t="inlineStr">
        <is>
          <t>B</t>
        </is>
      </c>
      <c r="BU42" s="4">
        <f>IF(AU42="sí","sí",IF(AS42="regla",IF(AND(N(AQ42)=0,BP42=1),"sí","no"),"no"))</f>
        <v/>
      </c>
      <c r="BV42" s="3">
        <f>IFERROR(VLOOKUP(F42,MOD_TBL,16,0),IFERROR(VLOOKUP(E42,OCU_TBL,2,0),NEUTRO))</f>
        <v/>
      </c>
      <c r="BW42" s="3">
        <f>SUMIFS(MOT_AJUSTE,MOT_MOTOR,G42,MOT_MARCA,E42,MOT_DESDE,"&lt;="&amp;M42,MOT_HASTA,"&gt;="&amp;M42)+SUMIFS(MOT_AJUSTE,MOT_MOTOR,G42,MOT_MARCA,"(todas)",MOT_DESDE,"&lt;="&amp;M42,MOT_HASTA,"&gt;="&amp;M42)+SUMIFS(MOT_AJUSTE,MOT_MOTOR,"(cualquiera)",MOT_MARCA,E42,MOT_DESDE,"&lt;="&amp;M42,MOT_HASTA,"&gt;="&amp;M42)</f>
        <v/>
      </c>
      <c r="BX42" s="3">
        <f>SUMIFS(COMB_AJUSTE,COMB_COMB,K42)</f>
        <v/>
      </c>
      <c r="BY42" s="3">
        <f>COUNTIFS(MOT_MOTOR,G42,MOT_MARCA,E42,MOT_DESDE,"&lt;="&amp;M42,MOT_HASTA,"&gt;="&amp;M42)+COUNTIFS(MOT_MOTOR,G42,MOT_MARCA,"(todas)",MOT_DESDE,"&lt;="&amp;M42,MOT_HASTA,"&gt;="&amp;M42)+COUNTIFS(MOT_MOTOR,"(cualquiera)",MOT_MARCA,E42,MOT_DESDE,"&lt;="&amp;M42,MOT_HASTA,"&gt;="&amp;M42)</f>
        <v/>
      </c>
      <c r="BZ42" s="3">
        <f>IF(AND(K42="diesel",BY42=0),MIN(BV42,NEUTRO),BV42)</f>
        <v/>
      </c>
      <c r="CA42" s="3">
        <f>MAX(0,MIN(100,BZ42+BW42+BX42-IF(AV42="sí",ROB_PEN,0)))</f>
        <v/>
      </c>
      <c r="CB42" s="3">
        <f>100-MAX(0,N42-KM_TOPE_DESDE)/1000*KM_TOPE_PTS</f>
        <v/>
      </c>
      <c r="CC42" s="3">
        <f>MAX(0,MIN(100,50+BO42*PRECIO_PEND,CB42))</f>
        <v/>
      </c>
      <c r="CD42" s="3">
        <f>MAX(0,100*(1-N42/KM_MAX))</f>
        <v/>
      </c>
      <c r="CE42" s="3">
        <f>IF(BF42&lt;KMA_SOSP,IF(AA42="sí",100,KMA_PEN),IF(BF42&lt;=KMA_IDEAL_MAX,100,MAX(0,100*(KMA_CERO-BF42)/(KMA_CERO-KMA_IDEAL_MAX))))</f>
        <v/>
      </c>
      <c r="CF42" s="3">
        <f>MAX(0,MIN(100,100*(M42-ANIO_MIN)/(ANIO_ACTUAL-ANIO_MIN)))</f>
        <v/>
      </c>
      <c r="CG42" s="3">
        <f>W_KMT*CD42+W_KMA*CE42+W_EDAD*CF42</f>
        <v/>
      </c>
      <c r="CH42" s="3">
        <f>P_ITV*(V42="sí")+P_LIBRO*(W42="sí")+P_CORREA*(X42="sí")+P_PROP*(Y42=1)+P_GAR*(Z42="sí")+P_FOTOS*MIN(1,N(U42)/FOTOS_OBJ)</f>
        <v/>
      </c>
      <c r="CI42" s="3">
        <f>MAX(0,MIN(100,IFERROR(VLOOKUP(BT42,ETQ_TBL,2,0),0)-IF(BU42="sí",ETQ_PEN_DUD,IF(AS42="regla",ETQ_PEN_REGLA,0))))</f>
        <v/>
      </c>
      <c r="CJ42" s="3">
        <f>IF(K42&lt;&gt;"gasolina","",IFERROR(VLOOKUP(F42,CONS_MOD_TBL,2,0),IFERROR(VLOOKUP(L42,CONS_SEG_TBL,2,0),"")))</f>
        <v/>
      </c>
      <c r="CK42" s="3">
        <f>IF(CJ42="",NEUTRO,MAX(0,MIN(100,100*(CONS_REF_MAX-CJ42)/(CONS_REF_MAX-CONS_REF_MIN))))</f>
        <v/>
      </c>
      <c r="CL42" s="3">
        <f>IFERROR(VLOOKUP(L42,SEGURO_TBL,3,0),"")</f>
        <v/>
      </c>
      <c r="CM42" s="3">
        <f>IF(CL42="",NEUTRO,MAX(0,MIN(100,100*(SEG_REF_MAX-CL42)/(SEG_REF_MAX-SEG_REF_MIN))))</f>
        <v/>
      </c>
      <c r="CN42" s="3">
        <f>W_CONS*CK42+W_SEG*CM42</f>
        <v/>
      </c>
      <c r="CO42" s="3">
        <f>IF(N(AB42)&gt;0,AB42,IF(AND(R42="profesional",SG_LEGAL_ON=1),GAR_LEGAL,0))</f>
        <v/>
      </c>
      <c r="CP42" s="3">
        <f>SG_GAR*MIN(1,CO42/SG_GAR_FULL)+SG_AMPL*(AC42="sí")+SG_KMC*(AF42="sí")+SG_REV*(N(AE42)&gt;0)+SG_DEV*MIN(1,N(AG42)/SG_DEV_FULL)+SG_HIST*(W42="sí")</f>
        <v/>
      </c>
      <c r="CQ42" s="3">
        <f>IF(AW42="sí",ESTILO_PRIO,IFERROR(VLOOKUP(L42,ESTILO_TBL,2,0),NEUTRO))</f>
        <v/>
      </c>
      <c r="CR42" s="3">
        <f>IFERROR(VLOOKUP(L42,CARR_PEN_TBL,2,0),0)</f>
        <v/>
      </c>
      <c r="CS42" s="3">
        <f>W_FIAB*CA42+W_PRECIO*CC42+W_KMEDAD*CG42+W_ANUNCIO*CH42+W_USO*CN42+W_SEGURIDAD*CP42+W_ETIQUETA*CI42+W_ESTILO*CQ42-CR42</f>
        <v/>
      </c>
      <c r="CT42" s="4">
        <f>IF(N(I42)&gt;0,I42,IFERROR(ROUND(_xlfn.NUMBERVALUE(LEFT(G42,FIND(" ",G42&amp;" ")-1),".")*1000,0),99999))</f>
        <v/>
      </c>
      <c r="CU42" s="3">
        <f>IF(R42="profesional",0,IF(O42&lt;CUOTA_VALOR_MAX,IF(BE42&gt;ITP_TRAMO_ALTO,SUMIFS(CF_CUOTA,CF_MAS,ITP_TRAMO_ALTO,CF_CCMIN,"&lt;="&amp;CT42,CF_CCMAX,"&gt;="&amp;CT42),IF(BE42&gt;ITP_TRAMO_BAJO,SUMIFS(CF_CUOTA,CF_MAS,ITP_TRAMO_BAJO,CF_CCMIN,"&lt;="&amp;CT42,CF_CCMAX,"&gt;="&amp;CT42),O42*ITP_TIPO)),O42*ITP_TIPO))</f>
        <v/>
      </c>
      <c r="CV42" s="4">
        <f>IF(R42="profesional",N(AK42),0)</f>
        <v/>
      </c>
      <c r="CW42" s="3">
        <f>IF(AND(R42="profesional",ISNUMBER(AK42),AL42="sí"),0,TASA_DGT)</f>
        <v/>
      </c>
      <c r="CX42" s="3">
        <f>INFORME_DGT</f>
        <v/>
      </c>
      <c r="CY42" s="4">
        <f>O42+CV42+CU42+CW42+CX42</f>
        <v/>
      </c>
      <c r="CZ42" s="4">
        <f>CY42+N(CL42)</f>
        <v/>
      </c>
      <c r="DA42" s="3">
        <f>IF(CY42&lt;=TOTAL_MAX,"sí",IF(CY42&lt;=TOTAL_MAX+MARGEN_NEG,"negociar","no"))</f>
        <v/>
      </c>
      <c r="DB42" s="4">
        <f>IF(DA42&lt;&gt;"no",COUNTIFS($DA$2:$DA$130,"&lt;&gt;no",$CS$2:$CS$130,"&gt;"&amp;CS42)+COUNTIFS($DA$2:DA42,"&lt;&gt;no",$CS$2:CS42,CS42),"")</f>
        <v/>
      </c>
    </row>
    <row r="43">
      <c r="A43" s="2" t="inlineStr">
        <is>
          <t>wallapop:1286345810</t>
        </is>
      </c>
      <c r="B43" s="2" t="inlineStr">
        <is>
          <t>wallapop</t>
        </is>
      </c>
      <c r="C43" s="2" t="inlineStr">
        <is>
          <t>https://es.wallapop.com/item/kia-picanto-1-1-active-48-kw-65-cv-1286345810</t>
        </is>
      </c>
      <c r="D43" s="2" t="inlineStr">
        <is>
          <t>Kia Picanto 1.1 Active 48 kW (65 CV)</t>
        </is>
      </c>
      <c r="E43" s="2" t="inlineStr">
        <is>
          <t>Kia</t>
        </is>
      </c>
      <c r="F43" s="2" t="inlineStr">
        <is>
          <t>Kia Picanto</t>
        </is>
      </c>
      <c r="G43" s="2" t="inlineStr">
        <is>
          <t>1.1</t>
        </is>
      </c>
      <c r="H43" s="2" t="inlineStr">
        <is>
          <t>1.1 Active 48 kW (65 CV)</t>
        </is>
      </c>
      <c r="I43" s="2" t="n"/>
      <c r="J43" s="2" t="n">
        <v>65</v>
      </c>
      <c r="K43" s="2" t="inlineStr">
        <is>
          <t>gasolina</t>
        </is>
      </c>
      <c r="L43" s="2" t="inlineStr">
        <is>
          <t>utilitario</t>
        </is>
      </c>
      <c r="M43" s="2" t="n">
        <v>2008</v>
      </c>
      <c r="N43" s="2" t="n">
        <v>61608</v>
      </c>
      <c r="O43" s="2" t="n">
        <v>5190</v>
      </c>
      <c r="P43" s="2" t="inlineStr">
        <is>
          <t>manual</t>
        </is>
      </c>
      <c r="Q43" s="2" t="inlineStr">
        <is>
          <t>no</t>
        </is>
      </c>
      <c r="R43" s="2" t="inlineStr">
        <is>
          <t>profesional</t>
        </is>
      </c>
      <c r="S43" s="2" t="inlineStr">
        <is>
          <t>Paterna (46980)</t>
        </is>
      </c>
      <c r="T43" s="2" t="inlineStr">
        <is>
          <t>2026-10-26T15:14:44</t>
        </is>
      </c>
      <c r="U43" s="2" t="n">
        <v>11</v>
      </c>
      <c r="V43" s="2" t="n"/>
      <c r="W43" s="2" t="inlineStr">
        <is>
          <t>sí</t>
        </is>
      </c>
      <c r="X43" s="2" t="n"/>
      <c r="Y43" s="2" t="n"/>
      <c r="Z43" s="2" t="inlineStr">
        <is>
          <t>sí</t>
        </is>
      </c>
      <c r="AA43" s="2" t="n"/>
      <c r="AB43" s="2" t="n"/>
      <c r="AC43" s="2" t="n"/>
      <c r="AD43" s="2" t="n"/>
      <c r="AE43" s="2" t="n"/>
      <c r="AF43" s="2" t="inlineStr">
        <is>
          <t>sí</t>
        </is>
      </c>
      <c r="AG43" s="2" t="n"/>
      <c r="AH43" s="2" t="n"/>
      <c r="AI43" s="2" t="n"/>
      <c r="AJ43" s="2" t="n"/>
      <c r="AK43" s="2" t="n"/>
      <c r="AL43" s="2" t="n"/>
      <c r="AM43" s="2" t="n">
        <v>6.4</v>
      </c>
      <c r="AN43" s="2" t="inlineStr">
        <is>
          <t>1000KMS</t>
        </is>
      </c>
      <c r="AO43" s="2" t="inlineStr">
        <is>
          <t>2008</t>
        </is>
      </c>
      <c r="AP43" s="2" t="n">
        <v>2008</v>
      </c>
      <c r="AQ43" s="2" t="n"/>
      <c r="AR43" s="2" t="inlineStr">
        <is>
          <t>B</t>
        </is>
      </c>
      <c r="AS43" s="2" t="inlineStr">
        <is>
          <t>DGT</t>
        </is>
      </c>
      <c r="AT43" s="2" t="n"/>
      <c r="AU43" s="2" t="inlineStr">
        <is>
          <t>no</t>
        </is>
      </c>
      <c r="AV43" s="2" t="inlineStr">
        <is>
          <t>no</t>
        </is>
      </c>
      <c r="AW43" s="2" t="inlineStr">
        <is>
          <t>no</t>
        </is>
      </c>
      <c r="AX43" s="2" t="n">
        <v>2590</v>
      </c>
      <c r="AY43" s="2" t="n">
        <v>4</v>
      </c>
      <c r="AZ43" s="2" t="inlineStr">
        <is>
          <t>modelo+año</t>
        </is>
      </c>
      <c r="BA43" s="2" t="n"/>
      <c r="BB43" s="2" t="inlineStr">
        <is>
          <t>por encima del presupuesto (5254 €), negociar; vendedor profesional: sin ITP (operación con IVA/REBU, confirmar en factura); gastos de gestión del vendedor no indicados: se suma la tasa DGT; preguntar el precio final; revisar: no menciona la ITV</t>
        </is>
      </c>
      <c r="BC43" s="2" t="inlineStr">
        <is>
          <t>Ref.174158524
¡VILLA TAMBIÉN FICHA POR OCASIONPLUS!
VEN A GANAR. ¡VEN A OCASIONPLUS!
OCASIONPLUS - 20.000 COCHES  - 120 CENTROS
OCASIONPLUS Nº1 CALIDAD - PRECIO
Elige el coche que te guste y te lo llevamos a tu ciudad sólo con reservarlo
15 DÍAS / 1000 KMS DE PRUEBA
Hasta 700€ de descuento en este coche
ADEMÁS, HACEMOS LAS MEJORES FINANCIACIONES DEL MERCADO, PREGÚNTANOS!!
            Equipamiento destacado: Aire Acondicionado.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D43" s="2" t="inlineStr">
        <is>
          <t>https://es.wallapop.com/item/kia-picanto-1-1-active-48-kw-65-cv-1286345810 (__NEXT_DATA__ item) /home/user/Alopecia/buscador-coches/raw/wallapop/7fffdc11438be09e.json</t>
        </is>
      </c>
      <c r="BE43" s="3">
        <f>MAX(ANIO_ACTUAL-M43,0)</f>
        <v/>
      </c>
      <c r="BF43" s="4">
        <f>N43/MAX(BE43,0.5)</f>
        <v/>
      </c>
      <c r="BG43" s="4">
        <f>F43</f>
        <v/>
      </c>
      <c r="BH43" s="3">
        <f>BG43&amp;"|"&amp;INT(M43/SEG_ANIO)*SEG_ANIO</f>
        <v/>
      </c>
      <c r="BI43" s="3">
        <f>BH43&amp;"|"&amp;INT(N43/SEG_KM)*SEG_KM</f>
        <v/>
      </c>
      <c r="BJ43" s="4">
        <f>COUNTIF($BG$2:$BG$130,BG43)</f>
        <v/>
      </c>
      <c r="BK43" s="4">
        <f>COUNTIF($BH$2:$BH$130,BH43)</f>
        <v/>
      </c>
      <c r="BL43" s="4">
        <f>COUNTIF($BI$2:$BI$130,BI43)</f>
        <v/>
      </c>
      <c r="BM43" s="3">
        <f t="array" ref="BM43">IF(N(AY43)&gt;=MIN_N,AX43,IF(BL43&gt;=MIN_N,MEDIAN(IF($BI$2:$BI$130=BI43,$O$2:$O$130)),IF(BK43&gt;=MIN_N,MEDIAN(IF($BH$2:$BH$130=BH43,$O$2:$O$130)),MEDIAN(IF($BG$2:$BG$130=BG43,$O$2:$O$130)))))</f>
        <v/>
      </c>
      <c r="BN43" s="3">
        <f>IF(N(AY43)&gt;=MIN_N,"mercado "&amp;AZ43,IF(BL43&gt;=MIN_N,"modelo+año+km",IF(BK43&gt;=MIN_N,"modelo+año","modelo")))</f>
        <v/>
      </c>
      <c r="BO43" s="4">
        <f>(BM43-O43)/BM43</f>
        <v/>
      </c>
      <c r="BP43" s="3">
        <f>IF(COUNTIFS(FR_FUEL,K43,FR_YEAR,AP43)&gt;0,1,0)</f>
        <v/>
      </c>
      <c r="BQ43" s="3">
        <f>IF(COUNTIFS(FR_FUEL,K43,FR_YEAR,AP43-1)&gt;0,1,0)</f>
        <v/>
      </c>
      <c r="BR43" s="4">
        <f>IF(N(AQ43)&gt;0,AP43*100+AQ43,IF(AND(BP43=1,BQ43=1),(AP43-1)*100+1,AP43*100+1))</f>
        <v/>
      </c>
      <c r="BS43" s="3">
        <f>IF(OR(K43="hibrido",K43="glp",K43="gnc",K43="phev"),"ECO",IF(K43="electrico","CERO",IF(K43="gasolina",IF(BR43&gt;=GAS_C_YM,"C",IF(BR43&gt;=GAS_B_YM,"B","A")),IF(K43="diesel",IF(BR43&gt;=DIE_C_YM,"C",IF(BR43&gt;=DIE_B_YM,"B","A")),""))))</f>
        <v/>
      </c>
      <c r="BT43" s="2" t="inlineStr">
        <is>
          <t>B</t>
        </is>
      </c>
      <c r="BU43" s="4">
        <f>IF(AU43="sí","sí",IF(AS43="regla",IF(AND(N(AQ43)=0,BP43=1),"sí","no"),"no"))</f>
        <v/>
      </c>
      <c r="BV43" s="3">
        <f>IFERROR(VLOOKUP(F43,MOD_TBL,16,0),IFERROR(VLOOKUP(E43,OCU_TBL,2,0),NEUTRO))</f>
        <v/>
      </c>
      <c r="BW43" s="3">
        <f>SUMIFS(MOT_AJUSTE,MOT_MOTOR,G43,MOT_MARCA,E43,MOT_DESDE,"&lt;="&amp;M43,MOT_HASTA,"&gt;="&amp;M43)+SUMIFS(MOT_AJUSTE,MOT_MOTOR,G43,MOT_MARCA,"(todas)",MOT_DESDE,"&lt;="&amp;M43,MOT_HASTA,"&gt;="&amp;M43)+SUMIFS(MOT_AJUSTE,MOT_MOTOR,"(cualquiera)",MOT_MARCA,E43,MOT_DESDE,"&lt;="&amp;M43,MOT_HASTA,"&gt;="&amp;M43)</f>
        <v/>
      </c>
      <c r="BX43" s="3">
        <f>SUMIFS(COMB_AJUSTE,COMB_COMB,K43)</f>
        <v/>
      </c>
      <c r="BY43" s="3">
        <f>COUNTIFS(MOT_MOTOR,G43,MOT_MARCA,E43,MOT_DESDE,"&lt;="&amp;M43,MOT_HASTA,"&gt;="&amp;M43)+COUNTIFS(MOT_MOTOR,G43,MOT_MARCA,"(todas)",MOT_DESDE,"&lt;="&amp;M43,MOT_HASTA,"&gt;="&amp;M43)+COUNTIFS(MOT_MOTOR,"(cualquiera)",MOT_MARCA,E43,MOT_DESDE,"&lt;="&amp;M43,MOT_HASTA,"&gt;="&amp;M43)</f>
        <v/>
      </c>
      <c r="BZ43" s="3">
        <f>IF(AND(K43="diesel",BY43=0),MIN(BV43,NEUTRO),BV43)</f>
        <v/>
      </c>
      <c r="CA43" s="3">
        <f>MAX(0,MIN(100,BZ43+BW43+BX43-IF(AV43="sí",ROB_PEN,0)))</f>
        <v/>
      </c>
      <c r="CB43" s="3">
        <f>100-MAX(0,N43-KM_TOPE_DESDE)/1000*KM_TOPE_PTS</f>
        <v/>
      </c>
      <c r="CC43" s="3">
        <f>MAX(0,MIN(100,50+BO43*PRECIO_PEND,CB43))</f>
        <v/>
      </c>
      <c r="CD43" s="3">
        <f>MAX(0,100*(1-N43/KM_MAX))</f>
        <v/>
      </c>
      <c r="CE43" s="3">
        <f>IF(BF43&lt;KMA_SOSP,IF(AA43="sí",100,KMA_PEN),IF(BF43&lt;=KMA_IDEAL_MAX,100,MAX(0,100*(KMA_CERO-BF43)/(KMA_CERO-KMA_IDEAL_MAX))))</f>
        <v/>
      </c>
      <c r="CF43" s="3">
        <f>MAX(0,MIN(100,100*(M43-ANIO_MIN)/(ANIO_ACTUAL-ANIO_MIN)))</f>
        <v/>
      </c>
      <c r="CG43" s="3">
        <f>W_KMT*CD43+W_KMA*CE43+W_EDAD*CF43</f>
        <v/>
      </c>
      <c r="CH43" s="3">
        <f>P_ITV*(V43="sí")+P_LIBRO*(W43="sí")+P_CORREA*(X43="sí")+P_PROP*(Y43=1)+P_GAR*(Z43="sí")+P_FOTOS*MIN(1,N(U43)/FOTOS_OBJ)</f>
        <v/>
      </c>
      <c r="CI43" s="3">
        <f>MAX(0,MIN(100,IFERROR(VLOOKUP(BT43,ETQ_TBL,2,0),0)-IF(BU43="sí",ETQ_PEN_DUD,IF(AS43="regla",ETQ_PEN_REGLA,0))))</f>
        <v/>
      </c>
      <c r="CJ43" s="3">
        <f>IF(K43&lt;&gt;"gasolina","",IFERROR(VLOOKUP(F43,CONS_MOD_TBL,2,0),IFERROR(VLOOKUP(L43,CONS_SEG_TBL,2,0),"")))</f>
        <v/>
      </c>
      <c r="CK43" s="3">
        <f>IF(CJ43="",NEUTRO,MAX(0,MIN(100,100*(CONS_REF_MAX-CJ43)/(CONS_REF_MAX-CONS_REF_MIN))))</f>
        <v/>
      </c>
      <c r="CL43" s="3">
        <f>IFERROR(VLOOKUP(L43,SEGURO_TBL,3,0),"")</f>
        <v/>
      </c>
      <c r="CM43" s="3">
        <f>IF(CL43="",NEUTRO,MAX(0,MIN(100,100*(SEG_REF_MAX-CL43)/(SEG_REF_MAX-SEG_REF_MIN))))</f>
        <v/>
      </c>
      <c r="CN43" s="3">
        <f>W_CONS*CK43+W_SEG*CM43</f>
        <v/>
      </c>
      <c r="CO43" s="3">
        <f>IF(N(AB43)&gt;0,AB43,IF(AND(R43="profesional",SG_LEGAL_ON=1),GAR_LEGAL,0))</f>
        <v/>
      </c>
      <c r="CP43" s="3">
        <f>SG_GAR*MIN(1,CO43/SG_GAR_FULL)+SG_AMPL*(AC43="sí")+SG_KMC*(AF43="sí")+SG_REV*(N(AE43)&gt;0)+SG_DEV*MIN(1,N(AG43)/SG_DEV_FULL)+SG_HIST*(W43="sí")</f>
        <v/>
      </c>
      <c r="CQ43" s="3">
        <f>IF(AW43="sí",ESTILO_PRIO,IFERROR(VLOOKUP(L43,ESTILO_TBL,2,0),NEUTRO))</f>
        <v/>
      </c>
      <c r="CR43" s="3">
        <f>IFERROR(VLOOKUP(L43,CARR_PEN_TBL,2,0),0)</f>
        <v/>
      </c>
      <c r="CS43" s="3">
        <f>W_FIAB*CA43+W_PRECIO*CC43+W_KMEDAD*CG43+W_ANUNCIO*CH43+W_USO*CN43+W_SEGURIDAD*CP43+W_ETIQUETA*CI43+W_ESTILO*CQ43-CR43</f>
        <v/>
      </c>
      <c r="CT43" s="4">
        <f>IF(N(I43)&gt;0,I43,IFERROR(ROUND(_xlfn.NUMBERVALUE(LEFT(G43,FIND(" ",G43&amp;" ")-1),".")*1000,0),99999))</f>
        <v/>
      </c>
      <c r="CU43" s="3">
        <f>IF(R43="profesional",0,IF(O43&lt;CUOTA_VALOR_MAX,IF(BE43&gt;ITP_TRAMO_ALTO,SUMIFS(CF_CUOTA,CF_MAS,ITP_TRAMO_ALTO,CF_CCMIN,"&lt;="&amp;CT43,CF_CCMAX,"&gt;="&amp;CT43),IF(BE43&gt;ITP_TRAMO_BAJO,SUMIFS(CF_CUOTA,CF_MAS,ITP_TRAMO_BAJO,CF_CCMIN,"&lt;="&amp;CT43,CF_CCMAX,"&gt;="&amp;CT43),O43*ITP_TIPO)),O43*ITP_TIPO))</f>
        <v/>
      </c>
      <c r="CV43" s="4">
        <f>IF(R43="profesional",N(AK43),0)</f>
        <v/>
      </c>
      <c r="CW43" s="3">
        <f>IF(AND(R43="profesional",ISNUMBER(AK43),AL43="sí"),0,TASA_DGT)</f>
        <v/>
      </c>
      <c r="CX43" s="3">
        <f>INFORME_DGT</f>
        <v/>
      </c>
      <c r="CY43" s="4">
        <f>O43+CV43+CU43+CW43+CX43</f>
        <v/>
      </c>
      <c r="CZ43" s="4">
        <f>CY43+N(CL43)</f>
        <v/>
      </c>
      <c r="DA43" s="3">
        <f>IF(CY43&lt;=TOTAL_MAX,"sí",IF(CY43&lt;=TOTAL_MAX+MARGEN_NEG,"negociar","no"))</f>
        <v/>
      </c>
      <c r="DB43" s="4">
        <f>IF(DA43&lt;&gt;"no",COUNTIFS($DA$2:$DA$130,"&lt;&gt;no",$CS$2:$CS$130,"&gt;"&amp;CS43)+COUNTIFS($DA$2:DA43,"&lt;&gt;no",$CS$2:CS43,CS43),"")</f>
        <v/>
      </c>
    </row>
    <row r="44">
      <c r="A44" s="2" t="inlineStr">
        <is>
          <t>wallapop:1316246339</t>
        </is>
      </c>
      <c r="B44" s="2" t="inlineStr">
        <is>
          <t>wallapop</t>
        </is>
      </c>
      <c r="C44" s="2" t="inlineStr">
        <is>
          <t>https://es.wallapop.com/item/opel-corsa-1-2-111-years-63-kw-85-cv-1316246339</t>
        </is>
      </c>
      <c r="D44" s="2" t="inlineStr">
        <is>
          <t>Opel Corsa 1.2 111 Years 63 kW (85 CV)</t>
        </is>
      </c>
      <c r="E44" s="2" t="inlineStr">
        <is>
          <t>Opel</t>
        </is>
      </c>
      <c r="F44" s="2" t="inlineStr">
        <is>
          <t>Opel Corsa</t>
        </is>
      </c>
      <c r="G44" s="2" t="inlineStr">
        <is>
          <t>1.2</t>
        </is>
      </c>
      <c r="H44" s="2" t="inlineStr">
        <is>
          <t>1.2 111 Years 63 kW (85 CV)</t>
        </is>
      </c>
      <c r="I44" s="2" t="n"/>
      <c r="J44" s="2" t="n">
        <v>85</v>
      </c>
      <c r="K44" s="2" t="inlineStr">
        <is>
          <t>gasolina</t>
        </is>
      </c>
      <c r="L44" s="2" t="inlineStr">
        <is>
          <t>utilitario</t>
        </is>
      </c>
      <c r="M44" s="2" t="n">
        <v>2011</v>
      </c>
      <c r="N44" s="2" t="n">
        <v>142307</v>
      </c>
      <c r="O44" s="2" t="n">
        <v>4750</v>
      </c>
      <c r="P44" s="2" t="inlineStr">
        <is>
          <t>manual</t>
        </is>
      </c>
      <c r="Q44" s="2" t="inlineStr">
        <is>
          <t>no</t>
        </is>
      </c>
      <c r="R44" s="2" t="inlineStr">
        <is>
          <t>profesional</t>
        </is>
      </c>
      <c r="S44" s="2" t="inlineStr">
        <is>
          <t>Paterna (46980)</t>
        </is>
      </c>
      <c r="T44" s="2" t="inlineStr">
        <is>
          <t>2026-10-26T19:54:36</t>
        </is>
      </c>
      <c r="U44" s="2" t="n">
        <v>11</v>
      </c>
      <c r="V44" s="2" t="n"/>
      <c r="W44" s="2" t="inlineStr">
        <is>
          <t>sí</t>
        </is>
      </c>
      <c r="X44" s="2" t="n"/>
      <c r="Y44" s="2" t="n"/>
      <c r="Z44" s="2" t="inlineStr">
        <is>
          <t>sí</t>
        </is>
      </c>
      <c r="AA44" s="2" t="n"/>
      <c r="AB44" s="2" t="n"/>
      <c r="AC44" s="2" t="n"/>
      <c r="AD44" s="2" t="n"/>
      <c r="AE44" s="2" t="n"/>
      <c r="AF44" s="2" t="inlineStr">
        <is>
          <t>sí</t>
        </is>
      </c>
      <c r="AG44" s="2" t="n"/>
      <c r="AH44" s="2" t="n"/>
      <c r="AI44" s="2" t="n"/>
      <c r="AJ44" s="2" t="n"/>
      <c r="AK44" s="2" t="n"/>
      <c r="AL44" s="2" t="n"/>
      <c r="AM44" s="2" t="n">
        <v>6.4</v>
      </c>
      <c r="AN44" s="2" t="inlineStr">
        <is>
          <t>1000KMS</t>
        </is>
      </c>
      <c r="AO44" s="2" t="inlineStr">
        <is>
          <t>2011</t>
        </is>
      </c>
      <c r="AP44" s="2" t="n">
        <v>2011</v>
      </c>
      <c r="AQ44" s="2" t="n"/>
      <c r="AR44" s="2" t="inlineStr">
        <is>
          <t>B</t>
        </is>
      </c>
      <c r="AS44" s="2" t="inlineStr">
        <is>
          <t>DGT</t>
        </is>
      </c>
      <c r="AT44" s="2" t="n"/>
      <c r="AU44" s="2" t="inlineStr">
        <is>
          <t>no</t>
        </is>
      </c>
      <c r="AV44" s="2" t="inlineStr">
        <is>
          <t>no</t>
        </is>
      </c>
      <c r="AW44" s="2" t="inlineStr">
        <is>
          <t>no</t>
        </is>
      </c>
      <c r="AX44" s="2" t="n">
        <v>4625</v>
      </c>
      <c r="AY44" s="2" t="n">
        <v>8</v>
      </c>
      <c r="AZ44" s="2" t="inlineStr">
        <is>
          <t>modelo+año+km</t>
        </is>
      </c>
      <c r="BA44" s="2" t="n"/>
      <c r="BB44" s="2" t="inlineStr">
        <is>
          <t>vendedor profesional: sin ITP (operación con IVA/REBU, confirmar en factura); gastos de gestión del vendedor no indicados: se suma la tasa DGT; preguntar el precio final; revisar: no menciona la ITV</t>
        </is>
      </c>
      <c r="BC44" s="2" t="inlineStr">
        <is>
          <t>Ref.126319718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Encendido automático de faros, Control de velocidad, Volante multifunción, Aire Acondicionado, Isofix, Llantas de aleación (16").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D44" s="2" t="inlineStr">
        <is>
          <t>https://es.wallapop.com/item/opel-corsa-1-2-111-years-63-kw-85-cv-1316246339 (__NEXT_DATA__ item) /home/user/Alopecia/buscador-coches/raw/wallapop/7bf69f17a3c2bded.json</t>
        </is>
      </c>
      <c r="BE44" s="3">
        <f>MAX(ANIO_ACTUAL-M44,0)</f>
        <v/>
      </c>
      <c r="BF44" s="4">
        <f>N44/MAX(BE44,0.5)</f>
        <v/>
      </c>
      <c r="BG44" s="4">
        <f>F44</f>
        <v/>
      </c>
      <c r="BH44" s="3">
        <f>BG44&amp;"|"&amp;INT(M44/SEG_ANIO)*SEG_ANIO</f>
        <v/>
      </c>
      <c r="BI44" s="3">
        <f>BH44&amp;"|"&amp;INT(N44/SEG_KM)*SEG_KM</f>
        <v/>
      </c>
      <c r="BJ44" s="4">
        <f>COUNTIF($BG$2:$BG$130,BG44)</f>
        <v/>
      </c>
      <c r="BK44" s="4">
        <f>COUNTIF($BH$2:$BH$130,BH44)</f>
        <v/>
      </c>
      <c r="BL44" s="4">
        <f>COUNTIF($BI$2:$BI$130,BI44)</f>
        <v/>
      </c>
      <c r="BM44" s="3">
        <f t="array" ref="BM44">IF(N(AY44)&gt;=MIN_N,AX44,IF(BL44&gt;=MIN_N,MEDIAN(IF($BI$2:$BI$130=BI44,$O$2:$O$130)),IF(BK44&gt;=MIN_N,MEDIAN(IF($BH$2:$BH$130=BH44,$O$2:$O$130)),MEDIAN(IF($BG$2:$BG$130=BG44,$O$2:$O$130)))))</f>
        <v/>
      </c>
      <c r="BN44" s="3">
        <f>IF(N(AY44)&gt;=MIN_N,"mercado "&amp;AZ44,IF(BL44&gt;=MIN_N,"modelo+año+km",IF(BK44&gt;=MIN_N,"modelo+año","modelo")))</f>
        <v/>
      </c>
      <c r="BO44" s="4">
        <f>(BM44-O44)/BM44</f>
        <v/>
      </c>
      <c r="BP44" s="3">
        <f>IF(COUNTIFS(FR_FUEL,K44,FR_YEAR,AP44)&gt;0,1,0)</f>
        <v/>
      </c>
      <c r="BQ44" s="3">
        <f>IF(COUNTIFS(FR_FUEL,K44,FR_YEAR,AP44-1)&gt;0,1,0)</f>
        <v/>
      </c>
      <c r="BR44" s="4">
        <f>IF(N(AQ44)&gt;0,AP44*100+AQ44,IF(AND(BP44=1,BQ44=1),(AP44-1)*100+1,AP44*100+1))</f>
        <v/>
      </c>
      <c r="BS44" s="3">
        <f>IF(OR(K44="hibrido",K44="glp",K44="gnc",K44="phev"),"ECO",IF(K44="electrico","CERO",IF(K44="gasolina",IF(BR44&gt;=GAS_C_YM,"C",IF(BR44&gt;=GAS_B_YM,"B","A")),IF(K44="diesel",IF(BR44&gt;=DIE_C_YM,"C",IF(BR44&gt;=DIE_B_YM,"B","A")),""))))</f>
        <v/>
      </c>
      <c r="BT44" s="2" t="inlineStr">
        <is>
          <t>B</t>
        </is>
      </c>
      <c r="BU44" s="4">
        <f>IF(AU44="sí","sí",IF(AS44="regla",IF(AND(N(AQ44)=0,BP44=1),"sí","no"),"no"))</f>
        <v/>
      </c>
      <c r="BV44" s="3">
        <f>IFERROR(VLOOKUP(F44,MOD_TBL,16,0),IFERROR(VLOOKUP(E44,OCU_TBL,2,0),NEUTRO))</f>
        <v/>
      </c>
      <c r="BW44" s="3">
        <f>SUMIFS(MOT_AJUSTE,MOT_MOTOR,G44,MOT_MARCA,E44,MOT_DESDE,"&lt;="&amp;M44,MOT_HASTA,"&gt;="&amp;M44)+SUMIFS(MOT_AJUSTE,MOT_MOTOR,G44,MOT_MARCA,"(todas)",MOT_DESDE,"&lt;="&amp;M44,MOT_HASTA,"&gt;="&amp;M44)+SUMIFS(MOT_AJUSTE,MOT_MOTOR,"(cualquiera)",MOT_MARCA,E44,MOT_DESDE,"&lt;="&amp;M44,MOT_HASTA,"&gt;="&amp;M44)</f>
        <v/>
      </c>
      <c r="BX44" s="3">
        <f>SUMIFS(COMB_AJUSTE,COMB_COMB,K44)</f>
        <v/>
      </c>
      <c r="BY44" s="3">
        <f>COUNTIFS(MOT_MOTOR,G44,MOT_MARCA,E44,MOT_DESDE,"&lt;="&amp;M44,MOT_HASTA,"&gt;="&amp;M44)+COUNTIFS(MOT_MOTOR,G44,MOT_MARCA,"(todas)",MOT_DESDE,"&lt;="&amp;M44,MOT_HASTA,"&gt;="&amp;M44)+COUNTIFS(MOT_MOTOR,"(cualquiera)",MOT_MARCA,E44,MOT_DESDE,"&lt;="&amp;M44,MOT_HASTA,"&gt;="&amp;M44)</f>
        <v/>
      </c>
      <c r="BZ44" s="3">
        <f>IF(AND(K44="diesel",BY44=0),MIN(BV44,NEUTRO),BV44)</f>
        <v/>
      </c>
      <c r="CA44" s="3">
        <f>MAX(0,MIN(100,BZ44+BW44+BX44-IF(AV44="sí",ROB_PEN,0)))</f>
        <v/>
      </c>
      <c r="CB44" s="3">
        <f>100-MAX(0,N44-KM_TOPE_DESDE)/1000*KM_TOPE_PTS</f>
        <v/>
      </c>
      <c r="CC44" s="3">
        <f>MAX(0,MIN(100,50+BO44*PRECIO_PEND,CB44))</f>
        <v/>
      </c>
      <c r="CD44" s="3">
        <f>MAX(0,100*(1-N44/KM_MAX))</f>
        <v/>
      </c>
      <c r="CE44" s="3">
        <f>IF(BF44&lt;KMA_SOSP,IF(AA44="sí",100,KMA_PEN),IF(BF44&lt;=KMA_IDEAL_MAX,100,MAX(0,100*(KMA_CERO-BF44)/(KMA_CERO-KMA_IDEAL_MAX))))</f>
        <v/>
      </c>
      <c r="CF44" s="3">
        <f>MAX(0,MIN(100,100*(M44-ANIO_MIN)/(ANIO_ACTUAL-ANIO_MIN)))</f>
        <v/>
      </c>
      <c r="CG44" s="3">
        <f>W_KMT*CD44+W_KMA*CE44+W_EDAD*CF44</f>
        <v/>
      </c>
      <c r="CH44" s="3">
        <f>P_ITV*(V44="sí")+P_LIBRO*(W44="sí")+P_CORREA*(X44="sí")+P_PROP*(Y44=1)+P_GAR*(Z44="sí")+P_FOTOS*MIN(1,N(U44)/FOTOS_OBJ)</f>
        <v/>
      </c>
      <c r="CI44" s="3">
        <f>MAX(0,MIN(100,IFERROR(VLOOKUP(BT44,ETQ_TBL,2,0),0)-IF(BU44="sí",ETQ_PEN_DUD,IF(AS44="regla",ETQ_PEN_REGLA,0))))</f>
        <v/>
      </c>
      <c r="CJ44" s="3">
        <f>IF(K44&lt;&gt;"gasolina","",IFERROR(VLOOKUP(F44,CONS_MOD_TBL,2,0),IFERROR(VLOOKUP(L44,CONS_SEG_TBL,2,0),"")))</f>
        <v/>
      </c>
      <c r="CK44" s="3">
        <f>IF(CJ44="",NEUTRO,MAX(0,MIN(100,100*(CONS_REF_MAX-CJ44)/(CONS_REF_MAX-CONS_REF_MIN))))</f>
        <v/>
      </c>
      <c r="CL44" s="3">
        <f>IFERROR(VLOOKUP(L44,SEGURO_TBL,3,0),"")</f>
        <v/>
      </c>
      <c r="CM44" s="3">
        <f>IF(CL44="",NEUTRO,MAX(0,MIN(100,100*(SEG_REF_MAX-CL44)/(SEG_REF_MAX-SEG_REF_MIN))))</f>
        <v/>
      </c>
      <c r="CN44" s="3">
        <f>W_CONS*CK44+W_SEG*CM44</f>
        <v/>
      </c>
      <c r="CO44" s="3">
        <f>IF(N(AB44)&gt;0,AB44,IF(AND(R44="profesional",SG_LEGAL_ON=1),GAR_LEGAL,0))</f>
        <v/>
      </c>
      <c r="CP44" s="3">
        <f>SG_GAR*MIN(1,CO44/SG_GAR_FULL)+SG_AMPL*(AC44="sí")+SG_KMC*(AF44="sí")+SG_REV*(N(AE44)&gt;0)+SG_DEV*MIN(1,N(AG44)/SG_DEV_FULL)+SG_HIST*(W44="sí")</f>
        <v/>
      </c>
      <c r="CQ44" s="3">
        <f>IF(AW44="sí",ESTILO_PRIO,IFERROR(VLOOKUP(L44,ESTILO_TBL,2,0),NEUTRO))</f>
        <v/>
      </c>
      <c r="CR44" s="3">
        <f>IFERROR(VLOOKUP(L44,CARR_PEN_TBL,2,0),0)</f>
        <v/>
      </c>
      <c r="CS44" s="3">
        <f>W_FIAB*CA44+W_PRECIO*CC44+W_KMEDAD*CG44+W_ANUNCIO*CH44+W_USO*CN44+W_SEGURIDAD*CP44+W_ETIQUETA*CI44+W_ESTILO*CQ44-CR44</f>
        <v/>
      </c>
      <c r="CT44" s="4">
        <f>IF(N(I44)&gt;0,I44,IFERROR(ROUND(_xlfn.NUMBERVALUE(LEFT(G44,FIND(" ",G44&amp;" ")-1),".")*1000,0),99999))</f>
        <v/>
      </c>
      <c r="CU44" s="3">
        <f>IF(R44="profesional",0,IF(O44&lt;CUOTA_VALOR_MAX,IF(BE44&gt;ITP_TRAMO_ALTO,SUMIFS(CF_CUOTA,CF_MAS,ITP_TRAMO_ALTO,CF_CCMIN,"&lt;="&amp;CT44,CF_CCMAX,"&gt;="&amp;CT44),IF(BE44&gt;ITP_TRAMO_BAJO,SUMIFS(CF_CUOTA,CF_MAS,ITP_TRAMO_BAJO,CF_CCMIN,"&lt;="&amp;CT44,CF_CCMAX,"&gt;="&amp;CT44),O44*ITP_TIPO)),O44*ITP_TIPO))</f>
        <v/>
      </c>
      <c r="CV44" s="4">
        <f>IF(R44="profesional",N(AK44),0)</f>
        <v/>
      </c>
      <c r="CW44" s="3">
        <f>IF(AND(R44="profesional",ISNUMBER(AK44),AL44="sí"),0,TASA_DGT)</f>
        <v/>
      </c>
      <c r="CX44" s="3">
        <f>INFORME_DGT</f>
        <v/>
      </c>
      <c r="CY44" s="4">
        <f>O44+CV44+CU44+CW44+CX44</f>
        <v/>
      </c>
      <c r="CZ44" s="4">
        <f>CY44+N(CL44)</f>
        <v/>
      </c>
      <c r="DA44" s="3">
        <f>IF(CY44&lt;=TOTAL_MAX,"sí",IF(CY44&lt;=TOTAL_MAX+MARGEN_NEG,"negociar","no"))</f>
        <v/>
      </c>
      <c r="DB44" s="4">
        <f>IF(DA44&lt;&gt;"no",COUNTIFS($DA$2:$DA$130,"&lt;&gt;no",$CS$2:$CS$130,"&gt;"&amp;CS44)+COUNTIFS($DA$2:DA44,"&lt;&gt;no",$CS$2:CS44,CS44),"")</f>
        <v/>
      </c>
    </row>
    <row r="45">
      <c r="A45" s="2" t="inlineStr">
        <is>
          <t>wallapop:1302134212</t>
        </is>
      </c>
      <c r="B45" s="2" t="inlineStr">
        <is>
          <t>wallapop</t>
        </is>
      </c>
      <c r="C45" s="2" t="inlineStr">
        <is>
          <t>https://es.wallapop.com/item/opel-astra-1-7-cdti-enjoy-74-kw-100-cv-1302134212</t>
        </is>
      </c>
      <c r="D45" s="2" t="inlineStr">
        <is>
          <t>Opel Astra 1.7 CDTI Enjoy 74 kW (100 CV)</t>
        </is>
      </c>
      <c r="E45" s="2" t="inlineStr">
        <is>
          <t>Opel</t>
        </is>
      </c>
      <c r="F45" s="2" t="inlineStr">
        <is>
          <t>Opel Astra</t>
        </is>
      </c>
      <c r="G45" s="2" t="inlineStr">
        <is>
          <t>1.7 CDTi</t>
        </is>
      </c>
      <c r="H45" s="2" t="inlineStr">
        <is>
          <t>1.7 CDTI Enjoy 74 kW (100 CV)</t>
        </is>
      </c>
      <c r="I45" s="2" t="n"/>
      <c r="J45" s="2" t="n">
        <v>100</v>
      </c>
      <c r="K45" s="2" t="inlineStr">
        <is>
          <t>diesel</t>
        </is>
      </c>
      <c r="L45" s="2" t="inlineStr">
        <is>
          <t>compacto</t>
        </is>
      </c>
      <c r="M45" s="2" t="n">
        <v>2007</v>
      </c>
      <c r="N45" s="2" t="n">
        <v>111852</v>
      </c>
      <c r="O45" s="2" t="n">
        <v>5200</v>
      </c>
      <c r="P45" s="2" t="inlineStr">
        <is>
          <t>manual</t>
        </is>
      </c>
      <c r="Q45" s="2" t="inlineStr">
        <is>
          <t>no</t>
        </is>
      </c>
      <c r="R45" s="2" t="inlineStr">
        <is>
          <t>profesional</t>
        </is>
      </c>
      <c r="S45" s="2" t="inlineStr">
        <is>
          <t>Paterna (46980)</t>
        </is>
      </c>
      <c r="T45" s="2" t="inlineStr">
        <is>
          <t>2026-10-26T14:08:26</t>
        </is>
      </c>
      <c r="U45" s="2" t="n">
        <v>11</v>
      </c>
      <c r="V45" s="2" t="n"/>
      <c r="W45" s="2" t="inlineStr">
        <is>
          <t>sí</t>
        </is>
      </c>
      <c r="X45" s="2" t="n"/>
      <c r="Y45" s="2" t="n">
        <v>1</v>
      </c>
      <c r="Z45" s="2" t="inlineStr">
        <is>
          <t>sí</t>
        </is>
      </c>
      <c r="AA45" s="2" t="n"/>
      <c r="AB45" s="2" t="n"/>
      <c r="AC45" s="2" t="n"/>
      <c r="AD45" s="2" t="n"/>
      <c r="AE45" s="2" t="n"/>
      <c r="AF45" s="2" t="inlineStr">
        <is>
          <t>sí</t>
        </is>
      </c>
      <c r="AG45" s="2" t="n"/>
      <c r="AH45" s="2" t="n"/>
      <c r="AI45" s="2" t="n"/>
      <c r="AJ45" s="2" t="n"/>
      <c r="AK45" s="2" t="n"/>
      <c r="AL45" s="2" t="n"/>
      <c r="AM45" s="2" t="n">
        <v>6.4</v>
      </c>
      <c r="AN45" s="2" t="inlineStr">
        <is>
          <t>1000KMS</t>
        </is>
      </c>
      <c r="AO45" s="2" t="inlineStr">
        <is>
          <t>2007</t>
        </is>
      </c>
      <c r="AP45" s="2" t="n">
        <v>2007</v>
      </c>
      <c r="AQ45" s="2" t="n"/>
      <c r="AR45" s="2" t="inlineStr">
        <is>
          <t>B</t>
        </is>
      </c>
      <c r="AS45" s="2" t="inlineStr">
        <is>
          <t>DGT</t>
        </is>
      </c>
      <c r="AT45" s="2" t="n"/>
      <c r="AU45" s="2" t="inlineStr">
        <is>
          <t>no</t>
        </is>
      </c>
      <c r="AV45" s="2" t="inlineStr">
        <is>
          <t>no</t>
        </is>
      </c>
      <c r="AW45" s="2" t="inlineStr">
        <is>
          <t>no</t>
        </is>
      </c>
      <c r="AX45" s="2" t="n">
        <v>4445</v>
      </c>
      <c r="AY45" s="2" t="n">
        <v>10</v>
      </c>
      <c r="AZ45" s="2" t="inlineStr">
        <is>
          <t>modelo+año+km</t>
        </is>
      </c>
      <c r="BA45" s="2" t="inlineStr">
        <is>
          <t>wallapop:1302137427 (https://es.wallapop.com/item/opel-astra-1-7-cdti-enjoy-74-kw-100-cv-1302137427)</t>
        </is>
      </c>
      <c r="BB45" s="2" t="inlineStr">
        <is>
          <t>por encima del presupuesto (5264 €), negociar; vendedor profesional: sin ITP (operación con IVA/REBU, confirmar en factura); gastos de gestión del vendedor no indicados: se suma la tasa DGT; preguntar el precio final; diésel: motor sin fuente de fiabilidad (fiabilidad limitada a neutra); revisar: no menciona la ITV</t>
        </is>
      </c>
      <c r="BC45" s="2" t="inlineStr">
        <is>
          <t>Ref.180623812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Control de velocidad, Volante multifunción, Aire Acondicionado, Isofix, Llantas de aleación (16").
                - Coche Nacional, Historial Mantenimiento, Único propietario.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D45" s="2" t="inlineStr">
        <is>
          <t>https://es.wallapop.com/item/opel-astra-1-7-cdti-enjoy-74-kw-100-cv-1302134212 (__NEXT_DATA__ item) /home/user/Alopecia/buscador-coches/raw/wallapop/76ab7fe3853ffe54.json</t>
        </is>
      </c>
      <c r="BE45" s="3">
        <f>MAX(ANIO_ACTUAL-M45,0)</f>
        <v/>
      </c>
      <c r="BF45" s="4">
        <f>N45/MAX(BE45,0.5)</f>
        <v/>
      </c>
      <c r="BG45" s="4">
        <f>F45</f>
        <v/>
      </c>
      <c r="BH45" s="3">
        <f>BG45&amp;"|"&amp;INT(M45/SEG_ANIO)*SEG_ANIO</f>
        <v/>
      </c>
      <c r="BI45" s="3">
        <f>BH45&amp;"|"&amp;INT(N45/SEG_KM)*SEG_KM</f>
        <v/>
      </c>
      <c r="BJ45" s="4">
        <f>COUNTIF($BG$2:$BG$130,BG45)</f>
        <v/>
      </c>
      <c r="BK45" s="4">
        <f>COUNTIF($BH$2:$BH$130,BH45)</f>
        <v/>
      </c>
      <c r="BL45" s="4">
        <f>COUNTIF($BI$2:$BI$130,BI45)</f>
        <v/>
      </c>
      <c r="BM45" s="3">
        <f t="array" ref="BM45">IF(N(AY45)&gt;=MIN_N,AX45,IF(BL45&gt;=MIN_N,MEDIAN(IF($BI$2:$BI$130=BI45,$O$2:$O$130)),IF(BK45&gt;=MIN_N,MEDIAN(IF($BH$2:$BH$130=BH45,$O$2:$O$130)),MEDIAN(IF($BG$2:$BG$130=BG45,$O$2:$O$130)))))</f>
        <v/>
      </c>
      <c r="BN45" s="3">
        <f>IF(N(AY45)&gt;=MIN_N,"mercado "&amp;AZ45,IF(BL45&gt;=MIN_N,"modelo+año+km",IF(BK45&gt;=MIN_N,"modelo+año","modelo")))</f>
        <v/>
      </c>
      <c r="BO45" s="4">
        <f>(BM45-O45)/BM45</f>
        <v/>
      </c>
      <c r="BP45" s="3">
        <f>IF(COUNTIFS(FR_FUEL,K45,FR_YEAR,AP45)&gt;0,1,0)</f>
        <v/>
      </c>
      <c r="BQ45" s="3">
        <f>IF(COUNTIFS(FR_FUEL,K45,FR_YEAR,AP45-1)&gt;0,1,0)</f>
        <v/>
      </c>
      <c r="BR45" s="4">
        <f>IF(N(AQ45)&gt;0,AP45*100+AQ45,IF(AND(BP45=1,BQ45=1),(AP45-1)*100+1,AP45*100+1))</f>
        <v/>
      </c>
      <c r="BS45" s="3">
        <f>IF(OR(K45="hibrido",K45="glp",K45="gnc",K45="phev"),"ECO",IF(K45="electrico","CERO",IF(K45="gasolina",IF(BR45&gt;=GAS_C_YM,"C",IF(BR45&gt;=GAS_B_YM,"B","A")),IF(K45="diesel",IF(BR45&gt;=DIE_C_YM,"C",IF(BR45&gt;=DIE_B_YM,"B","A")),""))))</f>
        <v/>
      </c>
      <c r="BT45" s="2" t="inlineStr">
        <is>
          <t>B</t>
        </is>
      </c>
      <c r="BU45" s="4">
        <f>IF(AU45="sí","sí",IF(AS45="regla",IF(AND(N(AQ45)=0,BP45=1),"sí","no"),"no"))</f>
        <v/>
      </c>
      <c r="BV45" s="3">
        <f>IFERROR(VLOOKUP(F45,MOD_TBL,16,0),IFERROR(VLOOKUP(E45,OCU_TBL,2,0),NEUTRO))</f>
        <v/>
      </c>
      <c r="BW45" s="3">
        <f>SUMIFS(MOT_AJUSTE,MOT_MOTOR,G45,MOT_MARCA,E45,MOT_DESDE,"&lt;="&amp;M45,MOT_HASTA,"&gt;="&amp;M45)+SUMIFS(MOT_AJUSTE,MOT_MOTOR,G45,MOT_MARCA,"(todas)",MOT_DESDE,"&lt;="&amp;M45,MOT_HASTA,"&gt;="&amp;M45)+SUMIFS(MOT_AJUSTE,MOT_MOTOR,"(cualquiera)",MOT_MARCA,E45,MOT_DESDE,"&lt;="&amp;M45,MOT_HASTA,"&gt;="&amp;M45)</f>
        <v/>
      </c>
      <c r="BX45" s="3">
        <f>SUMIFS(COMB_AJUSTE,COMB_COMB,K45)</f>
        <v/>
      </c>
      <c r="BY45" s="3">
        <f>COUNTIFS(MOT_MOTOR,G45,MOT_MARCA,E45,MOT_DESDE,"&lt;="&amp;M45,MOT_HASTA,"&gt;="&amp;M45)+COUNTIFS(MOT_MOTOR,G45,MOT_MARCA,"(todas)",MOT_DESDE,"&lt;="&amp;M45,MOT_HASTA,"&gt;="&amp;M45)+COUNTIFS(MOT_MOTOR,"(cualquiera)",MOT_MARCA,E45,MOT_DESDE,"&lt;="&amp;M45,MOT_HASTA,"&gt;="&amp;M45)</f>
        <v/>
      </c>
      <c r="BZ45" s="3">
        <f>IF(AND(K45="diesel",BY45=0),MIN(BV45,NEUTRO),BV45)</f>
        <v/>
      </c>
      <c r="CA45" s="3">
        <f>MAX(0,MIN(100,BZ45+BW45+BX45-IF(AV45="sí",ROB_PEN,0)))</f>
        <v/>
      </c>
      <c r="CB45" s="3">
        <f>100-MAX(0,N45-KM_TOPE_DESDE)/1000*KM_TOPE_PTS</f>
        <v/>
      </c>
      <c r="CC45" s="3">
        <f>MAX(0,MIN(100,50+BO45*PRECIO_PEND,CB45))</f>
        <v/>
      </c>
      <c r="CD45" s="3">
        <f>MAX(0,100*(1-N45/KM_MAX))</f>
        <v/>
      </c>
      <c r="CE45" s="3">
        <f>IF(BF45&lt;KMA_SOSP,IF(AA45="sí",100,KMA_PEN),IF(BF45&lt;=KMA_IDEAL_MAX,100,MAX(0,100*(KMA_CERO-BF45)/(KMA_CERO-KMA_IDEAL_MAX))))</f>
        <v/>
      </c>
      <c r="CF45" s="3">
        <f>MAX(0,MIN(100,100*(M45-ANIO_MIN)/(ANIO_ACTUAL-ANIO_MIN)))</f>
        <v/>
      </c>
      <c r="CG45" s="3">
        <f>W_KMT*CD45+W_KMA*CE45+W_EDAD*CF45</f>
        <v/>
      </c>
      <c r="CH45" s="3">
        <f>P_ITV*(V45="sí")+P_LIBRO*(W45="sí")+P_CORREA*(X45="sí")+P_PROP*(Y45=1)+P_GAR*(Z45="sí")+P_FOTOS*MIN(1,N(U45)/FOTOS_OBJ)</f>
        <v/>
      </c>
      <c r="CI45" s="3">
        <f>MAX(0,MIN(100,IFERROR(VLOOKUP(BT45,ETQ_TBL,2,0),0)-IF(BU45="sí",ETQ_PEN_DUD,IF(AS45="regla",ETQ_PEN_REGLA,0))))</f>
        <v/>
      </c>
      <c r="CJ45" s="3">
        <f>IF(K45&lt;&gt;"gasolina","",IFERROR(VLOOKUP(F45,CONS_MOD_TBL,2,0),IFERROR(VLOOKUP(L45,CONS_SEG_TBL,2,0),"")))</f>
        <v/>
      </c>
      <c r="CK45" s="3">
        <f>IF(CJ45="",NEUTRO,MAX(0,MIN(100,100*(CONS_REF_MAX-CJ45)/(CONS_REF_MAX-CONS_REF_MIN))))</f>
        <v/>
      </c>
      <c r="CL45" s="3">
        <f>IFERROR(VLOOKUP(L45,SEGURO_TBL,3,0),"")</f>
        <v/>
      </c>
      <c r="CM45" s="3">
        <f>IF(CL45="",NEUTRO,MAX(0,MIN(100,100*(SEG_REF_MAX-CL45)/(SEG_REF_MAX-SEG_REF_MIN))))</f>
        <v/>
      </c>
      <c r="CN45" s="3">
        <f>W_CONS*CK45+W_SEG*CM45</f>
        <v/>
      </c>
      <c r="CO45" s="3">
        <f>IF(N(AB45)&gt;0,AB45,IF(AND(R45="profesional",SG_LEGAL_ON=1),GAR_LEGAL,0))</f>
        <v/>
      </c>
      <c r="CP45" s="3">
        <f>SG_GAR*MIN(1,CO45/SG_GAR_FULL)+SG_AMPL*(AC45="sí")+SG_KMC*(AF45="sí")+SG_REV*(N(AE45)&gt;0)+SG_DEV*MIN(1,N(AG45)/SG_DEV_FULL)+SG_HIST*(W45="sí")</f>
        <v/>
      </c>
      <c r="CQ45" s="3">
        <f>IF(AW45="sí",ESTILO_PRIO,IFERROR(VLOOKUP(L45,ESTILO_TBL,2,0),NEUTRO))</f>
        <v/>
      </c>
      <c r="CR45" s="3">
        <f>IFERROR(VLOOKUP(L45,CARR_PEN_TBL,2,0),0)</f>
        <v/>
      </c>
      <c r="CS45" s="3">
        <f>W_FIAB*CA45+W_PRECIO*CC45+W_KMEDAD*CG45+W_ANUNCIO*CH45+W_USO*CN45+W_SEGURIDAD*CP45+W_ETIQUETA*CI45+W_ESTILO*CQ45-CR45</f>
        <v/>
      </c>
      <c r="CT45" s="4">
        <f>IF(N(I45)&gt;0,I45,IFERROR(ROUND(_xlfn.NUMBERVALUE(LEFT(G45,FIND(" ",G45&amp;" ")-1),".")*1000,0),99999))</f>
        <v/>
      </c>
      <c r="CU45" s="3">
        <f>IF(R45="profesional",0,IF(O45&lt;CUOTA_VALOR_MAX,IF(BE45&gt;ITP_TRAMO_ALTO,SUMIFS(CF_CUOTA,CF_MAS,ITP_TRAMO_ALTO,CF_CCMIN,"&lt;="&amp;CT45,CF_CCMAX,"&gt;="&amp;CT45),IF(BE45&gt;ITP_TRAMO_BAJO,SUMIFS(CF_CUOTA,CF_MAS,ITP_TRAMO_BAJO,CF_CCMIN,"&lt;="&amp;CT45,CF_CCMAX,"&gt;="&amp;CT45),O45*ITP_TIPO)),O45*ITP_TIPO))</f>
        <v/>
      </c>
      <c r="CV45" s="4">
        <f>IF(R45="profesional",N(AK45),0)</f>
        <v/>
      </c>
      <c r="CW45" s="3">
        <f>IF(AND(R45="profesional",ISNUMBER(AK45),AL45="sí"),0,TASA_DGT)</f>
        <v/>
      </c>
      <c r="CX45" s="3">
        <f>INFORME_DGT</f>
        <v/>
      </c>
      <c r="CY45" s="4">
        <f>O45+CV45+CU45+CW45+CX45</f>
        <v/>
      </c>
      <c r="CZ45" s="4">
        <f>CY45+N(CL45)</f>
        <v/>
      </c>
      <c r="DA45" s="3">
        <f>IF(CY45&lt;=TOTAL_MAX,"sí",IF(CY45&lt;=TOTAL_MAX+MARGEN_NEG,"negociar","no"))</f>
        <v/>
      </c>
      <c r="DB45" s="4">
        <f>IF(DA45&lt;&gt;"no",COUNTIFS($DA$2:$DA$130,"&lt;&gt;no",$CS$2:$CS$130,"&gt;"&amp;CS45)+COUNTIFS($DA$2:DA45,"&lt;&gt;no",$CS$2:CS45,CS45),"")</f>
        <v/>
      </c>
    </row>
    <row r="46">
      <c r="A46" s="2" t="inlineStr">
        <is>
          <t>autoscout24:5bfc2106-d9ab-4c5d-84d4-6b212cf78574</t>
        </is>
      </c>
      <c r="B46" s="2" t="inlineStr">
        <is>
          <t>autoscout24</t>
        </is>
      </c>
      <c r="C46" s="2" t="inlineStr">
        <is>
          <t>https://www.autoscout24.es/anuncios/renault-clio-1-6-exception2-aut-gasolina-gris-cat_ma60mo1961-5bfc2106-d9ab-4c5d-84d4-6b212cf78574</t>
        </is>
      </c>
      <c r="D46" s="2" t="inlineStr">
        <is>
          <t>Renault Clio 1.6 Exception2 Aut.</t>
        </is>
      </c>
      <c r="E46" s="2" t="inlineStr">
        <is>
          <t>Renault</t>
        </is>
      </c>
      <c r="F46" s="2" t="inlineStr">
        <is>
          <t>Renault Clio</t>
        </is>
      </c>
      <c r="G46" s="2" t="inlineStr">
        <is>
          <t>1.6</t>
        </is>
      </c>
      <c r="H46" s="2" t="inlineStr">
        <is>
          <t>1.6 Exception2 Aut. 1.6</t>
        </is>
      </c>
      <c r="I46" s="2" t="n">
        <v>1598</v>
      </c>
      <c r="J46" s="2" t="n">
        <v>111</v>
      </c>
      <c r="K46" s="2" t="inlineStr">
        <is>
          <t>gasolina</t>
        </is>
      </c>
      <c r="L46" s="2" t="inlineStr">
        <is>
          <t>utilitario</t>
        </is>
      </c>
      <c r="M46" s="2" t="n">
        <v>2008</v>
      </c>
      <c r="N46" s="2" t="n">
        <v>131878</v>
      </c>
      <c r="O46" s="2" t="n">
        <v>4200</v>
      </c>
      <c r="P46" s="2" t="inlineStr">
        <is>
          <t>automatico</t>
        </is>
      </c>
      <c r="Q46" s="2" t="inlineStr">
        <is>
          <t>sí</t>
        </is>
      </c>
      <c r="R46" s="2" t="inlineStr">
        <is>
          <t>profesional</t>
        </is>
      </c>
      <c r="S46" s="2" t="inlineStr">
        <is>
          <t>OCASIONPLUS CASTELLÓN - VILLAREAL — ALMASSORA (12550)</t>
        </is>
      </c>
      <c r="T46" s="2" t="n"/>
      <c r="U46" s="2" t="n">
        <v>10</v>
      </c>
      <c r="V46" s="2" t="n"/>
      <c r="W46" s="2" t="n"/>
      <c r="X46" s="2" t="n"/>
      <c r="Y46" s="2" t="n"/>
      <c r="Z46" s="2" t="inlineStr">
        <is>
          <t>sí</t>
        </is>
      </c>
      <c r="AA46" s="2" t="n"/>
      <c r="AB46" s="2" t="n">
        <v>12</v>
      </c>
      <c r="AC46" s="2" t="n"/>
      <c r="AD46" s="2" t="n"/>
      <c r="AE46" s="2" t="n"/>
      <c r="AF46" s="2" t="inlineStr">
        <is>
          <t>sí</t>
        </is>
      </c>
      <c r="AG46" s="2" t="n"/>
      <c r="AH46" s="2" t="n">
        <v>4200</v>
      </c>
      <c r="AI46" s="2" t="n"/>
      <c r="AJ46" s="2" t="n"/>
      <c r="AK46" s="2" t="n"/>
      <c r="AL46" s="2" t="n"/>
      <c r="AM46" s="2" t="n">
        <v>60.5</v>
      </c>
      <c r="AN46" s="2" t="inlineStr">
        <is>
          <t>1000KMS</t>
        </is>
      </c>
      <c r="AO46" s="2" t="inlineStr">
        <is>
          <t>2008-11</t>
        </is>
      </c>
      <c r="AP46" s="2" t="n">
        <v>2008</v>
      </c>
      <c r="AQ46" s="2" t="n">
        <v>11</v>
      </c>
      <c r="AR46" s="2" t="inlineStr">
        <is>
          <t>B</t>
        </is>
      </c>
      <c r="AS46" s="2" t="inlineStr">
        <is>
          <t>DGT</t>
        </is>
      </c>
      <c r="AT46" s="2" t="n"/>
      <c r="AU46" s="2" t="inlineStr">
        <is>
          <t>no</t>
        </is>
      </c>
      <c r="AV46" s="2" t="inlineStr">
        <is>
          <t>no</t>
        </is>
      </c>
      <c r="AW46" s="2" t="inlineStr">
        <is>
          <t>no</t>
        </is>
      </c>
      <c r="AX46" s="2" t="n">
        <v>3800</v>
      </c>
      <c r="AY46" s="2" t="n">
        <v>9</v>
      </c>
      <c r="AZ46" s="2" t="inlineStr">
        <is>
          <t>modelo+año+km</t>
        </is>
      </c>
      <c r="BA46" s="2" t="inlineStr">
        <is>
          <t>wallapop:1314881088 (https://es.wallapop.com/item/renault-clio-1-6-16v-exception2-auto-82-kw-110-cv-1314881088); wallapop:1314880814 (https://es.wallapop.com/item/renault-clio-1-6-16v-exception2-auto-82-kw-110-cv-1314880814); wallapop:1319148606 (https://es.wallapop.com/item/renault-clio-1-6-16v-exception2-auto-82-kw-110-cv-1319148606)</t>
        </is>
      </c>
      <c r="BB46" s="2" t="inlineStr">
        <is>
          <t>vendedor profesional: sin ITP (operación con IVA/REBU, confirmar en factura); gastos de gestión del vendedor no indicados: se suma la tasa DGT; preguntar el precio final; revisar: no menciona la ITV</t>
        </is>
      </c>
      <c r="BC46" s="2" t="inlineStr">
        <is>
          <t>&lt;strong&gt;Precio al contado: 4200 euros&lt;/strong&gt; &lt;br /&gt;&lt;br /&gt;&lt;strong&gt;Condiciones de la financiación&lt;/strong&gt; &lt;br /&gt;&lt;br /&gt;Consultar condiciones de financiación en este anuncio o contactando con el anunciante &lt;br /&gt;&lt;br /&gt;¡VILLA TAMBIÉN FICHA POR OCASIONPLUS!&lt;br /&gt;VEN A GANAR. ¡VEN A OCASIONPLUS!&lt;br /&gt;&lt;br /&gt;OCASIONPLUS - 20.000 COCHES  - 120 CENTROS&lt;br /&gt;OCASIONPLUS Nº1 CALIDAD - PRECIO&lt;br /&gt;&lt;br /&gt;Elige el coche que te guste y te lo llevamos a tu ciudad sólo con reservarlo&lt;br /&gt;15 DÍAS / 1000 KMS DE PRUEBA&lt;br /&gt;&lt;br /&gt;ADEMÁS, HACEMOS LAS MEJORES FINANCIACIONES DEL MERCADO, PREGÚNTANOS!!&lt;br /&gt;&lt;br /&gt;            Equipamiento destacado: Ayuda aparcamiento, Control de velocidad, Limitador de velocidad, Aire Acondicionado (Climatizador), Arranque por botón, Isofix, Llantas de aleación (16&amp;quot;).&lt;br /&gt;&lt;br /&gt;                - Coche Nacional.&lt;br /&gt;                - Garantía total 1 año, con cobertura nacional, ampliable a 24 meses.&lt;br /&gt;                - Certificado de Kilómetros y ausencia de golpes estructurales.&lt;br /&gt;            - Sobrevaloramos tu coche en operaciones de cambio. Tásalo ahora en ocasionplus.com&lt;br /&gt;            - Entregamos cualquier coche en cualquier centro&lt;br /&gt;            - Abierto Domingo y Festivos.&lt;br /&gt; &lt;strong&gt;Extras&lt;/strong&gt; &lt;br /&gt; &lt;strong&gt;Equipamiento destacado seleccionado por el usuario&lt;/strong&gt; &lt;br /&gt; &lt;br /&gt;- Ayuda aparcamiento&lt;br /&gt;-  Control de velocidad&lt;br /&gt;-  Limitador de velocidad&lt;br /&gt;-  Aire Acondicionado&lt;br /&gt;-  Climatizador&lt;br /&gt;-  Arranque por b</t>
        </is>
      </c>
      <c r="BD46" s="2" t="inlineStr">
        <is>
          <t>https://www.autoscout24.es/anuncios/renault-clio-1-6-exception2-aut-gasolina-gris-cat_ma60mo1961-5bfc2106-d9ab-4c5d-84d4-6b212cf78574 (__NEXT_DATA__ listingDetails) /home/user/Alopecia/buscador-coches/raw/autoscout24/957a5d56a52f9275.json</t>
        </is>
      </c>
      <c r="BE46" s="3">
        <f>MAX(ANIO_ACTUAL-M46,0)</f>
        <v/>
      </c>
      <c r="BF46" s="4">
        <f>N46/MAX(BE46,0.5)</f>
        <v/>
      </c>
      <c r="BG46" s="4">
        <f>F46</f>
        <v/>
      </c>
      <c r="BH46" s="3">
        <f>BG46&amp;"|"&amp;INT(M46/SEG_ANIO)*SEG_ANIO</f>
        <v/>
      </c>
      <c r="BI46" s="3">
        <f>BH46&amp;"|"&amp;INT(N46/SEG_KM)*SEG_KM</f>
        <v/>
      </c>
      <c r="BJ46" s="4">
        <f>COUNTIF($BG$2:$BG$130,BG46)</f>
        <v/>
      </c>
      <c r="BK46" s="4">
        <f>COUNTIF($BH$2:$BH$130,BH46)</f>
        <v/>
      </c>
      <c r="BL46" s="4">
        <f>COUNTIF($BI$2:$BI$130,BI46)</f>
        <v/>
      </c>
      <c r="BM46" s="3">
        <f t="array" ref="BM46">IF(N(AY46)&gt;=MIN_N,AX46,IF(BL46&gt;=MIN_N,MEDIAN(IF($BI$2:$BI$130=BI46,$O$2:$O$130)),IF(BK46&gt;=MIN_N,MEDIAN(IF($BH$2:$BH$130=BH46,$O$2:$O$130)),MEDIAN(IF($BG$2:$BG$130=BG46,$O$2:$O$130)))))</f>
        <v/>
      </c>
      <c r="BN46" s="3">
        <f>IF(N(AY46)&gt;=MIN_N,"mercado "&amp;AZ46,IF(BL46&gt;=MIN_N,"modelo+año+km",IF(BK46&gt;=MIN_N,"modelo+año","modelo")))</f>
        <v/>
      </c>
      <c r="BO46" s="4">
        <f>(BM46-O46)/BM46</f>
        <v/>
      </c>
      <c r="BP46" s="3">
        <f>IF(COUNTIFS(FR_FUEL,K46,FR_YEAR,AP46)&gt;0,1,0)</f>
        <v/>
      </c>
      <c r="BQ46" s="3">
        <f>IF(COUNTIFS(FR_FUEL,K46,FR_YEAR,AP46-1)&gt;0,1,0)</f>
        <v/>
      </c>
      <c r="BR46" s="4">
        <f>IF(N(AQ46)&gt;0,AP46*100+AQ46,IF(AND(BP46=1,BQ46=1),(AP46-1)*100+1,AP46*100+1))</f>
        <v/>
      </c>
      <c r="BS46" s="3">
        <f>IF(OR(K46="hibrido",K46="glp",K46="gnc",K46="phev"),"ECO",IF(K46="electrico","CERO",IF(K46="gasolina",IF(BR46&gt;=GAS_C_YM,"C",IF(BR46&gt;=GAS_B_YM,"B","A")),IF(K46="diesel",IF(BR46&gt;=DIE_C_YM,"C",IF(BR46&gt;=DIE_B_YM,"B","A")),""))))</f>
        <v/>
      </c>
      <c r="BT46" s="2" t="inlineStr">
        <is>
          <t>B</t>
        </is>
      </c>
      <c r="BU46" s="4">
        <f>IF(AU46="sí","sí",IF(AS46="regla",IF(AND(N(AQ46)=0,BP46=1),"sí","no"),"no"))</f>
        <v/>
      </c>
      <c r="BV46" s="3">
        <f>IFERROR(VLOOKUP(F46,MOD_TBL,16,0),IFERROR(VLOOKUP(E46,OCU_TBL,2,0),NEUTRO))</f>
        <v/>
      </c>
      <c r="BW46" s="3">
        <f>SUMIFS(MOT_AJUSTE,MOT_MOTOR,G46,MOT_MARCA,E46,MOT_DESDE,"&lt;="&amp;M46,MOT_HASTA,"&gt;="&amp;M46)+SUMIFS(MOT_AJUSTE,MOT_MOTOR,G46,MOT_MARCA,"(todas)",MOT_DESDE,"&lt;="&amp;M46,MOT_HASTA,"&gt;="&amp;M46)+SUMIFS(MOT_AJUSTE,MOT_MOTOR,"(cualquiera)",MOT_MARCA,E46,MOT_DESDE,"&lt;="&amp;M46,MOT_HASTA,"&gt;="&amp;M46)</f>
        <v/>
      </c>
      <c r="BX46" s="3">
        <f>SUMIFS(COMB_AJUSTE,COMB_COMB,K46)</f>
        <v/>
      </c>
      <c r="BY46" s="3">
        <f>COUNTIFS(MOT_MOTOR,G46,MOT_MARCA,E46,MOT_DESDE,"&lt;="&amp;M46,MOT_HASTA,"&gt;="&amp;M46)+COUNTIFS(MOT_MOTOR,G46,MOT_MARCA,"(todas)",MOT_DESDE,"&lt;="&amp;M46,MOT_HASTA,"&gt;="&amp;M46)+COUNTIFS(MOT_MOTOR,"(cualquiera)",MOT_MARCA,E46,MOT_DESDE,"&lt;="&amp;M46,MOT_HASTA,"&gt;="&amp;M46)</f>
        <v/>
      </c>
      <c r="BZ46" s="3">
        <f>IF(AND(K46="diesel",BY46=0),MIN(BV46,NEUTRO),BV46)</f>
        <v/>
      </c>
      <c r="CA46" s="3">
        <f>MAX(0,MIN(100,BZ46+BW46+BX46-IF(AV46="sí",ROB_PEN,0)))</f>
        <v/>
      </c>
      <c r="CB46" s="3">
        <f>100-MAX(0,N46-KM_TOPE_DESDE)/1000*KM_TOPE_PTS</f>
        <v/>
      </c>
      <c r="CC46" s="3">
        <f>MAX(0,MIN(100,50+BO46*PRECIO_PEND,CB46))</f>
        <v/>
      </c>
      <c r="CD46" s="3">
        <f>MAX(0,100*(1-N46/KM_MAX))</f>
        <v/>
      </c>
      <c r="CE46" s="3">
        <f>IF(BF46&lt;KMA_SOSP,IF(AA46="sí",100,KMA_PEN),IF(BF46&lt;=KMA_IDEAL_MAX,100,MAX(0,100*(KMA_CERO-BF46)/(KMA_CERO-KMA_IDEAL_MAX))))</f>
        <v/>
      </c>
      <c r="CF46" s="3">
        <f>MAX(0,MIN(100,100*(M46-ANIO_MIN)/(ANIO_ACTUAL-ANIO_MIN)))</f>
        <v/>
      </c>
      <c r="CG46" s="3">
        <f>W_KMT*CD46+W_KMA*CE46+W_EDAD*CF46</f>
        <v/>
      </c>
      <c r="CH46" s="3">
        <f>P_ITV*(V46="sí")+P_LIBRO*(W46="sí")+P_CORREA*(X46="sí")+P_PROP*(Y46=1)+P_GAR*(Z46="sí")+P_FOTOS*MIN(1,N(U46)/FOTOS_OBJ)</f>
        <v/>
      </c>
      <c r="CI46" s="3">
        <f>MAX(0,MIN(100,IFERROR(VLOOKUP(BT46,ETQ_TBL,2,0),0)-IF(BU46="sí",ETQ_PEN_DUD,IF(AS46="regla",ETQ_PEN_REGLA,0))))</f>
        <v/>
      </c>
      <c r="CJ46" s="3">
        <f>IF(K46&lt;&gt;"gasolina","",IFERROR(VLOOKUP(F46,CONS_MOD_TBL,2,0),IFERROR(VLOOKUP(L46,CONS_SEG_TBL,2,0),"")))</f>
        <v/>
      </c>
      <c r="CK46" s="3">
        <f>IF(CJ46="",NEUTRO,MAX(0,MIN(100,100*(CONS_REF_MAX-CJ46)/(CONS_REF_MAX-CONS_REF_MIN))))</f>
        <v/>
      </c>
      <c r="CL46" s="3">
        <f>IFERROR(VLOOKUP(L46,SEGURO_TBL,3,0),"")</f>
        <v/>
      </c>
      <c r="CM46" s="3">
        <f>IF(CL46="",NEUTRO,MAX(0,MIN(100,100*(SEG_REF_MAX-CL46)/(SEG_REF_MAX-SEG_REF_MIN))))</f>
        <v/>
      </c>
      <c r="CN46" s="3">
        <f>W_CONS*CK46+W_SEG*CM46</f>
        <v/>
      </c>
      <c r="CO46" s="3">
        <f>IF(N(AB46)&gt;0,AB46,IF(AND(R46="profesional",SG_LEGAL_ON=1),GAR_LEGAL,0))</f>
        <v/>
      </c>
      <c r="CP46" s="3">
        <f>SG_GAR*MIN(1,CO46/SG_GAR_FULL)+SG_AMPL*(AC46="sí")+SG_KMC*(AF46="sí")+SG_REV*(N(AE46)&gt;0)+SG_DEV*MIN(1,N(AG46)/SG_DEV_FULL)+SG_HIST*(W46="sí")</f>
        <v/>
      </c>
      <c r="CQ46" s="3">
        <f>IF(AW46="sí",ESTILO_PRIO,IFERROR(VLOOKUP(L46,ESTILO_TBL,2,0),NEUTRO))</f>
        <v/>
      </c>
      <c r="CR46" s="3">
        <f>IFERROR(VLOOKUP(L46,CARR_PEN_TBL,2,0),0)</f>
        <v/>
      </c>
      <c r="CS46" s="3">
        <f>W_FIAB*CA46+W_PRECIO*CC46+W_KMEDAD*CG46+W_ANUNCIO*CH46+W_USO*CN46+W_SEGURIDAD*CP46+W_ETIQUETA*CI46+W_ESTILO*CQ46-CR46</f>
        <v/>
      </c>
      <c r="CT46" s="4">
        <f>IF(N(I46)&gt;0,I46,IFERROR(ROUND(_xlfn.NUMBERVALUE(LEFT(G46,FIND(" ",G46&amp;" ")-1),".")*1000,0),99999))</f>
        <v/>
      </c>
      <c r="CU46" s="3">
        <f>IF(R46="profesional",0,IF(O46&lt;CUOTA_VALOR_MAX,IF(BE46&gt;ITP_TRAMO_ALTO,SUMIFS(CF_CUOTA,CF_MAS,ITP_TRAMO_ALTO,CF_CCMIN,"&lt;="&amp;CT46,CF_CCMAX,"&gt;="&amp;CT46),IF(BE46&gt;ITP_TRAMO_BAJO,SUMIFS(CF_CUOTA,CF_MAS,ITP_TRAMO_BAJO,CF_CCMIN,"&lt;="&amp;CT46,CF_CCMAX,"&gt;="&amp;CT46),O46*ITP_TIPO)),O46*ITP_TIPO))</f>
        <v/>
      </c>
      <c r="CV46" s="4">
        <f>IF(R46="profesional",N(AK46),0)</f>
        <v/>
      </c>
      <c r="CW46" s="3">
        <f>IF(AND(R46="profesional",ISNUMBER(AK46),AL46="sí"),0,TASA_DGT)</f>
        <v/>
      </c>
      <c r="CX46" s="3">
        <f>INFORME_DGT</f>
        <v/>
      </c>
      <c r="CY46" s="4">
        <f>O46+CV46+CU46+CW46+CX46</f>
        <v/>
      </c>
      <c r="CZ46" s="4">
        <f>CY46+N(CL46)</f>
        <v/>
      </c>
      <c r="DA46" s="3">
        <f>IF(CY46&lt;=TOTAL_MAX,"sí",IF(CY46&lt;=TOTAL_MAX+MARGEN_NEG,"negociar","no"))</f>
        <v/>
      </c>
      <c r="DB46" s="4">
        <f>IF(DA46&lt;&gt;"no",COUNTIFS($DA$2:$DA$130,"&lt;&gt;no",$CS$2:$CS$130,"&gt;"&amp;CS46)+COUNTIFS($DA$2:DA46,"&lt;&gt;no",$CS$2:CS46,CS46),"")</f>
        <v/>
      </c>
    </row>
    <row r="47">
      <c r="A47" s="2" t="inlineStr">
        <is>
          <t>wallapop:1283471685</t>
        </is>
      </c>
      <c r="B47" s="2" t="inlineStr">
        <is>
          <t>wallapop</t>
        </is>
      </c>
      <c r="C47" s="2" t="inlineStr">
        <is>
          <t>https://es.wallapop.com/item/renault-megane-sport-tourer-dynamique-dci-81-kw-110-cv-1283471685</t>
        </is>
      </c>
      <c r="D47" s="2" t="inlineStr">
        <is>
          <t>Renault Megane Sport Tourer Dynamique dCi 81 kW (110 CV)</t>
        </is>
      </c>
      <c r="E47" s="2" t="inlineStr">
        <is>
          <t>Renault</t>
        </is>
      </c>
      <c r="F47" s="2" t="inlineStr">
        <is>
          <t>Renault Mégane</t>
        </is>
      </c>
      <c r="G47" s="2" t="inlineStr">
        <is>
          <t>? dCi</t>
        </is>
      </c>
      <c r="H47" s="2" t="inlineStr">
        <is>
          <t>Sport Tourer Dynamique dCi 81 kW (110 CV)</t>
        </is>
      </c>
      <c r="I47" s="2" t="n"/>
      <c r="J47" s="2" t="n">
        <v>110</v>
      </c>
      <c r="K47" s="2" t="inlineStr">
        <is>
          <t>diesel</t>
        </is>
      </c>
      <c r="L47" s="2" t="inlineStr">
        <is>
          <t>familiar</t>
        </is>
      </c>
      <c r="M47" s="2" t="n">
        <v>2011</v>
      </c>
      <c r="N47" s="2" t="n">
        <v>116570</v>
      </c>
      <c r="O47" s="2" t="n">
        <v>4600</v>
      </c>
      <c r="P47" s="2" t="inlineStr">
        <is>
          <t>manual</t>
        </is>
      </c>
      <c r="Q47" s="2" t="inlineStr">
        <is>
          <t>no</t>
        </is>
      </c>
      <c r="R47" s="2" t="inlineStr">
        <is>
          <t>profesional</t>
        </is>
      </c>
      <c r="S47" s="2" t="inlineStr">
        <is>
          <t>Paterna (46980)</t>
        </is>
      </c>
      <c r="T47" s="2" t="inlineStr">
        <is>
          <t>2026-10-31T09:13:38</t>
        </is>
      </c>
      <c r="U47" s="2" t="n">
        <v>11</v>
      </c>
      <c r="V47" s="2" t="n"/>
      <c r="W47" s="2" t="n"/>
      <c r="X47" s="2" t="n"/>
      <c r="Y47" s="2" t="n"/>
      <c r="Z47" s="2" t="inlineStr">
        <is>
          <t>sí</t>
        </is>
      </c>
      <c r="AA47" s="2" t="n"/>
      <c r="AB47" s="2" t="n"/>
      <c r="AC47" s="2" t="n"/>
      <c r="AD47" s="2" t="n"/>
      <c r="AE47" s="2" t="n"/>
      <c r="AF47" s="2" t="inlineStr">
        <is>
          <t>sí</t>
        </is>
      </c>
      <c r="AG47" s="2" t="n"/>
      <c r="AH47" s="2" t="n"/>
      <c r="AI47" s="2" t="n"/>
      <c r="AJ47" s="2" t="n"/>
      <c r="AK47" s="2" t="n"/>
      <c r="AL47" s="2" t="n"/>
      <c r="AM47" s="2" t="n">
        <v>6.4</v>
      </c>
      <c r="AN47" s="2" t="inlineStr">
        <is>
          <t>1000KMS</t>
        </is>
      </c>
      <c r="AO47" s="2" t="inlineStr">
        <is>
          <t>2011</t>
        </is>
      </c>
      <c r="AP47" s="2" t="n">
        <v>2011</v>
      </c>
      <c r="AQ47" s="2" t="n"/>
      <c r="AR47" s="2" t="inlineStr">
        <is>
          <t>B</t>
        </is>
      </c>
      <c r="AS47" s="2" t="inlineStr">
        <is>
          <t>DGT</t>
        </is>
      </c>
      <c r="AT47" s="2" t="n"/>
      <c r="AU47" s="2" t="inlineStr">
        <is>
          <t>no</t>
        </is>
      </c>
      <c r="AV47" s="2" t="inlineStr">
        <is>
          <t>no</t>
        </is>
      </c>
      <c r="AW47" s="2" t="inlineStr">
        <is>
          <t>no</t>
        </is>
      </c>
      <c r="AX47" s="2" t="n">
        <v>5900</v>
      </c>
      <c r="AY47" s="2" t="n">
        <v>5</v>
      </c>
      <c r="AZ47" s="2" t="inlineStr">
        <is>
          <t>modelo+año+km</t>
        </is>
      </c>
      <c r="BA47" s="2" t="n"/>
      <c r="BB47" s="2" t="inlineStr">
        <is>
          <t>vendedor profesional: sin ITP (operación con IVA/REBU, confirmar en factura); gastos de gestión del vendedor no indicados: se suma la tasa DGT; preguntar el precio final; diésel: motor sin fuente de fiabilidad (fiabilidad limitada a neutra); carrocería familiar: -3 puntos; revisar: no menciona la ITV</t>
        </is>
      </c>
      <c r="BC47" s="2" t="inlineStr">
        <is>
          <t>Ref.85015406
¡VILLA TAMBIÉN FICHA POR OCASIONPLUS!
VEN A GANAR. ¡VEN A OCASIONPLUS!
OCASIONPLUS - 20.000 COCHES  - 120 CENTROS
OCASIONPLUS Nº1 CALIDAD - PRECIO
Elige el coche que te guste y te lo llevamos a tu ciudad sólo con reservarlo
15 DÍAS / 1000 KMS DE PRUEBA
Hasta 3300€ de descuento en este coche
ADEMÁS, HACEMOS LAS MEJORES FINANCIACIONES DEL MERCADO, PREGÚNTANOS!!
            Equipamiento destacado: Sensor de lluvia, Control de velocidad, Limitador de velocidad, Volante multifunción, Aire Acondicionado (Climatizador), Bluetooth, Isofix, Llantas de aleación (16").
                - Coche Nacional.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D47" s="2" t="inlineStr">
        <is>
          <t>https://es.wallapop.com/item/renault-megane-sport-tourer-dynamique-dci-81-kw-110-cv-1283471685 (__NEXT_DATA__ item) /home/user/Alopecia/buscador-coches/raw/wallapop/e533e34ac38d4fc7.json</t>
        </is>
      </c>
      <c r="BE47" s="3">
        <f>MAX(ANIO_ACTUAL-M47,0)</f>
        <v/>
      </c>
      <c r="BF47" s="4">
        <f>N47/MAX(BE47,0.5)</f>
        <v/>
      </c>
      <c r="BG47" s="4">
        <f>F47</f>
        <v/>
      </c>
      <c r="BH47" s="3">
        <f>BG47&amp;"|"&amp;INT(M47/SEG_ANIO)*SEG_ANIO</f>
        <v/>
      </c>
      <c r="BI47" s="3">
        <f>BH47&amp;"|"&amp;INT(N47/SEG_KM)*SEG_KM</f>
        <v/>
      </c>
      <c r="BJ47" s="4">
        <f>COUNTIF($BG$2:$BG$130,BG47)</f>
        <v/>
      </c>
      <c r="BK47" s="4">
        <f>COUNTIF($BH$2:$BH$130,BH47)</f>
        <v/>
      </c>
      <c r="BL47" s="4">
        <f>COUNTIF($BI$2:$BI$130,BI47)</f>
        <v/>
      </c>
      <c r="BM47" s="3">
        <f t="array" ref="BM47">IF(N(AY47)&gt;=MIN_N,AX47,IF(BL47&gt;=MIN_N,MEDIAN(IF($BI$2:$BI$130=BI47,$O$2:$O$130)),IF(BK47&gt;=MIN_N,MEDIAN(IF($BH$2:$BH$130=BH47,$O$2:$O$130)),MEDIAN(IF($BG$2:$BG$130=BG47,$O$2:$O$130)))))</f>
        <v/>
      </c>
      <c r="BN47" s="3">
        <f>IF(N(AY47)&gt;=MIN_N,"mercado "&amp;AZ47,IF(BL47&gt;=MIN_N,"modelo+año+km",IF(BK47&gt;=MIN_N,"modelo+año","modelo")))</f>
        <v/>
      </c>
      <c r="BO47" s="4">
        <f>(BM47-O47)/BM47</f>
        <v/>
      </c>
      <c r="BP47" s="3">
        <f>IF(COUNTIFS(FR_FUEL,K47,FR_YEAR,AP47)&gt;0,1,0)</f>
        <v/>
      </c>
      <c r="BQ47" s="3">
        <f>IF(COUNTIFS(FR_FUEL,K47,FR_YEAR,AP47-1)&gt;0,1,0)</f>
        <v/>
      </c>
      <c r="BR47" s="4">
        <f>IF(N(AQ47)&gt;0,AP47*100+AQ47,IF(AND(BP47=1,BQ47=1),(AP47-1)*100+1,AP47*100+1))</f>
        <v/>
      </c>
      <c r="BS47" s="3">
        <f>IF(OR(K47="hibrido",K47="glp",K47="gnc",K47="phev"),"ECO",IF(K47="electrico","CERO",IF(K47="gasolina",IF(BR47&gt;=GAS_C_YM,"C",IF(BR47&gt;=GAS_B_YM,"B","A")),IF(K47="diesel",IF(BR47&gt;=DIE_C_YM,"C",IF(BR47&gt;=DIE_B_YM,"B","A")),""))))</f>
        <v/>
      </c>
      <c r="BT47" s="2" t="inlineStr">
        <is>
          <t>B</t>
        </is>
      </c>
      <c r="BU47" s="4">
        <f>IF(AU47="sí","sí",IF(AS47="regla",IF(AND(N(AQ47)=0,BP47=1),"sí","no"),"no"))</f>
        <v/>
      </c>
      <c r="BV47" s="3">
        <f>IFERROR(VLOOKUP(F47,MOD_TBL,16,0),IFERROR(VLOOKUP(E47,OCU_TBL,2,0),NEUTRO))</f>
        <v/>
      </c>
      <c r="BW47" s="3">
        <f>SUMIFS(MOT_AJUSTE,MOT_MOTOR,G47,MOT_MARCA,E47,MOT_DESDE,"&lt;="&amp;M47,MOT_HASTA,"&gt;="&amp;M47)+SUMIFS(MOT_AJUSTE,MOT_MOTOR,G47,MOT_MARCA,"(todas)",MOT_DESDE,"&lt;="&amp;M47,MOT_HASTA,"&gt;="&amp;M47)+SUMIFS(MOT_AJUSTE,MOT_MOTOR,"(cualquiera)",MOT_MARCA,E47,MOT_DESDE,"&lt;="&amp;M47,MOT_HASTA,"&gt;="&amp;M47)</f>
        <v/>
      </c>
      <c r="BX47" s="3">
        <f>SUMIFS(COMB_AJUSTE,COMB_COMB,K47)</f>
        <v/>
      </c>
      <c r="BY47" s="3">
        <f>COUNTIFS(MOT_MOTOR,G47,MOT_MARCA,E47,MOT_DESDE,"&lt;="&amp;M47,MOT_HASTA,"&gt;="&amp;M47)+COUNTIFS(MOT_MOTOR,G47,MOT_MARCA,"(todas)",MOT_DESDE,"&lt;="&amp;M47,MOT_HASTA,"&gt;="&amp;M47)+COUNTIFS(MOT_MOTOR,"(cualquiera)",MOT_MARCA,E47,MOT_DESDE,"&lt;="&amp;M47,MOT_HASTA,"&gt;="&amp;M47)</f>
        <v/>
      </c>
      <c r="BZ47" s="3">
        <f>IF(AND(K47="diesel",BY47=0),MIN(BV47,NEUTRO),BV47)</f>
        <v/>
      </c>
      <c r="CA47" s="3">
        <f>MAX(0,MIN(100,BZ47+BW47+BX47-IF(AV47="sí",ROB_PEN,0)))</f>
        <v/>
      </c>
      <c r="CB47" s="3">
        <f>100-MAX(0,N47-KM_TOPE_DESDE)/1000*KM_TOPE_PTS</f>
        <v/>
      </c>
      <c r="CC47" s="3">
        <f>MAX(0,MIN(100,50+BO47*PRECIO_PEND,CB47))</f>
        <v/>
      </c>
      <c r="CD47" s="3">
        <f>MAX(0,100*(1-N47/KM_MAX))</f>
        <v/>
      </c>
      <c r="CE47" s="3">
        <f>IF(BF47&lt;KMA_SOSP,IF(AA47="sí",100,KMA_PEN),IF(BF47&lt;=KMA_IDEAL_MAX,100,MAX(0,100*(KMA_CERO-BF47)/(KMA_CERO-KMA_IDEAL_MAX))))</f>
        <v/>
      </c>
      <c r="CF47" s="3">
        <f>MAX(0,MIN(100,100*(M47-ANIO_MIN)/(ANIO_ACTUAL-ANIO_MIN)))</f>
        <v/>
      </c>
      <c r="CG47" s="3">
        <f>W_KMT*CD47+W_KMA*CE47+W_EDAD*CF47</f>
        <v/>
      </c>
      <c r="CH47" s="3">
        <f>P_ITV*(V47="sí")+P_LIBRO*(W47="sí")+P_CORREA*(X47="sí")+P_PROP*(Y47=1)+P_GAR*(Z47="sí")+P_FOTOS*MIN(1,N(U47)/FOTOS_OBJ)</f>
        <v/>
      </c>
      <c r="CI47" s="3">
        <f>MAX(0,MIN(100,IFERROR(VLOOKUP(BT47,ETQ_TBL,2,0),0)-IF(BU47="sí",ETQ_PEN_DUD,IF(AS47="regla",ETQ_PEN_REGLA,0))))</f>
        <v/>
      </c>
      <c r="CJ47" s="3">
        <f>IF(K47&lt;&gt;"gasolina","",IFERROR(VLOOKUP(F47,CONS_MOD_TBL,2,0),IFERROR(VLOOKUP(L47,CONS_SEG_TBL,2,0),"")))</f>
        <v/>
      </c>
      <c r="CK47" s="3">
        <f>IF(CJ47="",NEUTRO,MAX(0,MIN(100,100*(CONS_REF_MAX-CJ47)/(CONS_REF_MAX-CONS_REF_MIN))))</f>
        <v/>
      </c>
      <c r="CL47" s="3">
        <f>IFERROR(VLOOKUP(L47,SEGURO_TBL,3,0),"")</f>
        <v/>
      </c>
      <c r="CM47" s="3">
        <f>IF(CL47="",NEUTRO,MAX(0,MIN(100,100*(SEG_REF_MAX-CL47)/(SEG_REF_MAX-SEG_REF_MIN))))</f>
        <v/>
      </c>
      <c r="CN47" s="3">
        <f>W_CONS*CK47+W_SEG*CM47</f>
        <v/>
      </c>
      <c r="CO47" s="3">
        <f>IF(N(AB47)&gt;0,AB47,IF(AND(R47="profesional",SG_LEGAL_ON=1),GAR_LEGAL,0))</f>
        <v/>
      </c>
      <c r="CP47" s="3">
        <f>SG_GAR*MIN(1,CO47/SG_GAR_FULL)+SG_AMPL*(AC47="sí")+SG_KMC*(AF47="sí")+SG_REV*(N(AE47)&gt;0)+SG_DEV*MIN(1,N(AG47)/SG_DEV_FULL)+SG_HIST*(W47="sí")</f>
        <v/>
      </c>
      <c r="CQ47" s="3">
        <f>IF(AW47="sí",ESTILO_PRIO,IFERROR(VLOOKUP(L47,ESTILO_TBL,2,0),NEUTRO))</f>
        <v/>
      </c>
      <c r="CR47" s="3">
        <f>IFERROR(VLOOKUP(L47,CARR_PEN_TBL,2,0),0)</f>
        <v/>
      </c>
      <c r="CS47" s="3">
        <f>W_FIAB*CA47+W_PRECIO*CC47+W_KMEDAD*CG47+W_ANUNCIO*CH47+W_USO*CN47+W_SEGURIDAD*CP47+W_ETIQUETA*CI47+W_ESTILO*CQ47-CR47</f>
        <v/>
      </c>
      <c r="CT47" s="4">
        <f>IF(N(I47)&gt;0,I47,IFERROR(ROUND(_xlfn.NUMBERVALUE(LEFT(G47,FIND(" ",G47&amp;" ")-1),".")*1000,0),99999))</f>
        <v/>
      </c>
      <c r="CU47" s="3">
        <f>IF(R47="profesional",0,IF(O47&lt;CUOTA_VALOR_MAX,IF(BE47&gt;ITP_TRAMO_ALTO,SUMIFS(CF_CUOTA,CF_MAS,ITP_TRAMO_ALTO,CF_CCMIN,"&lt;="&amp;CT47,CF_CCMAX,"&gt;="&amp;CT47),IF(BE47&gt;ITP_TRAMO_BAJO,SUMIFS(CF_CUOTA,CF_MAS,ITP_TRAMO_BAJO,CF_CCMIN,"&lt;="&amp;CT47,CF_CCMAX,"&gt;="&amp;CT47),O47*ITP_TIPO)),O47*ITP_TIPO))</f>
        <v/>
      </c>
      <c r="CV47" s="4">
        <f>IF(R47="profesional",N(AK47),0)</f>
        <v/>
      </c>
      <c r="CW47" s="3">
        <f>IF(AND(R47="profesional",ISNUMBER(AK47),AL47="sí"),0,TASA_DGT)</f>
        <v/>
      </c>
      <c r="CX47" s="3">
        <f>INFORME_DGT</f>
        <v/>
      </c>
      <c r="CY47" s="4">
        <f>O47+CV47+CU47+CW47+CX47</f>
        <v/>
      </c>
      <c r="CZ47" s="4">
        <f>CY47+N(CL47)</f>
        <v/>
      </c>
      <c r="DA47" s="3">
        <f>IF(CY47&lt;=TOTAL_MAX,"sí",IF(CY47&lt;=TOTAL_MAX+MARGEN_NEG,"negociar","no"))</f>
        <v/>
      </c>
      <c r="DB47" s="4">
        <f>IF(DA47&lt;&gt;"no",COUNTIFS($DA$2:$DA$130,"&lt;&gt;no",$CS$2:$CS$130,"&gt;"&amp;CS47)+COUNTIFS($DA$2:DA47,"&lt;&gt;no",$CS$2:CS47,CS47),"")</f>
        <v/>
      </c>
    </row>
    <row r="48">
      <c r="A48" s="2" t="inlineStr">
        <is>
          <t>wallapop:1305071192</t>
        </is>
      </c>
      <c r="B48" s="2" t="inlineStr">
        <is>
          <t>wallapop</t>
        </is>
      </c>
      <c r="C48" s="2" t="inlineStr">
        <is>
          <t>https://es.wallapop.com/item/fiat-punto-1-4-t-jet-sport-88-kw-120-cv-1305071192</t>
        </is>
      </c>
      <c r="D48" s="2" t="inlineStr">
        <is>
          <t>Fiat Punto 1.4 T-Jet Sport 88 kW (120 CV)</t>
        </is>
      </c>
      <c r="E48" s="2" t="inlineStr">
        <is>
          <t>Fiat</t>
        </is>
      </c>
      <c r="F48" s="2" t="inlineStr">
        <is>
          <t>Fiat Punto</t>
        </is>
      </c>
      <c r="G48" s="2" t="inlineStr">
        <is>
          <t>1.4 T-Jet</t>
        </is>
      </c>
      <c r="H48" s="2" t="inlineStr">
        <is>
          <t>1.4 T-Jet Sport 88 kW (120 CV)</t>
        </is>
      </c>
      <c r="I48" s="2" t="n"/>
      <c r="J48" s="2" t="n">
        <v>120</v>
      </c>
      <c r="K48" s="2" t="inlineStr">
        <is>
          <t>gasolina</t>
        </is>
      </c>
      <c r="L48" s="2" t="inlineStr">
        <is>
          <t>utilitario</t>
        </is>
      </c>
      <c r="M48" s="2" t="n">
        <v>2010</v>
      </c>
      <c r="N48" s="2" t="n">
        <v>135827</v>
      </c>
      <c r="O48" s="2" t="n">
        <v>4990</v>
      </c>
      <c r="P48" s="2" t="inlineStr">
        <is>
          <t>manual</t>
        </is>
      </c>
      <c r="Q48" s="2" t="inlineStr">
        <is>
          <t>no</t>
        </is>
      </c>
      <c r="R48" s="2" t="inlineStr">
        <is>
          <t>profesional</t>
        </is>
      </c>
      <c r="S48" s="2" t="inlineStr">
        <is>
          <t>Paterna (46980)</t>
        </is>
      </c>
      <c r="T48" s="2" t="inlineStr">
        <is>
          <t>2026-10-26T14:33:00</t>
        </is>
      </c>
      <c r="U48" s="2" t="n">
        <v>11</v>
      </c>
      <c r="V48" s="2" t="n"/>
      <c r="W48" s="2" t="inlineStr">
        <is>
          <t>sí</t>
        </is>
      </c>
      <c r="X48" s="2" t="n"/>
      <c r="Y48" s="2" t="n"/>
      <c r="Z48" s="2" t="inlineStr">
        <is>
          <t>sí</t>
        </is>
      </c>
      <c r="AA48" s="2" t="n"/>
      <c r="AB48" s="2" t="n"/>
      <c r="AC48" s="2" t="n"/>
      <c r="AD48" s="2" t="n"/>
      <c r="AE48" s="2" t="n"/>
      <c r="AF48" s="2" t="inlineStr">
        <is>
          <t>sí</t>
        </is>
      </c>
      <c r="AG48" s="2" t="n"/>
      <c r="AH48" s="2" t="n"/>
      <c r="AI48" s="2" t="n"/>
      <c r="AJ48" s="2" t="n"/>
      <c r="AK48" s="2" t="n"/>
      <c r="AL48" s="2" t="n"/>
      <c r="AM48" s="2" t="n">
        <v>6.4</v>
      </c>
      <c r="AN48" s="2" t="inlineStr">
        <is>
          <t>1000KMS</t>
        </is>
      </c>
      <c r="AO48" s="2" t="inlineStr">
        <is>
          <t>2010</t>
        </is>
      </c>
      <c r="AP48" s="2" t="n">
        <v>2010</v>
      </c>
      <c r="AQ48" s="2" t="n"/>
      <c r="AR48" s="2" t="inlineStr">
        <is>
          <t>B</t>
        </is>
      </c>
      <c r="AS48" s="2" t="inlineStr">
        <is>
          <t>DGT</t>
        </is>
      </c>
      <c r="AT48" s="2" t="n"/>
      <c r="AU48" s="2" t="inlineStr">
        <is>
          <t>no</t>
        </is>
      </c>
      <c r="AV48" s="2" t="inlineStr">
        <is>
          <t>no</t>
        </is>
      </c>
      <c r="AW48" s="2" t="inlineStr">
        <is>
          <t>no</t>
        </is>
      </c>
      <c r="AX48" s="2" t="n">
        <v>4990</v>
      </c>
      <c r="AY48" s="2" t="n">
        <v>4</v>
      </c>
      <c r="AZ48" s="2" t="inlineStr">
        <is>
          <t>modelo+año+km</t>
        </is>
      </c>
      <c r="BA48" s="2" t="n"/>
      <c r="BB48" s="2" t="inlineStr">
        <is>
          <t>por encima del presupuesto (5054 €), negociar; vendedor profesional: sin ITP (operación con IVA/REBU, confirmar en factura); gastos de gestión del vendedor no indicados: se suma la tasa DGT; preguntar el precio final; revisar: no menciona la ITV; fiabilidad del modelo PENDIENTE de fuente (puntuación neutra)</t>
        </is>
      </c>
      <c r="BC48" s="2" t="inlineStr">
        <is>
          <t>Ref.195599950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Volante multifunción, Aire Acondicionado (Climatizador), Isofix, Llantas de aleación (17").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D48" s="2" t="inlineStr">
        <is>
          <t>https://es.wallapop.com/item/fiat-punto-1-4-t-jet-sport-88-kw-120-cv-1305071192 (__NEXT_DATA__ item) /home/user/Alopecia/buscador-coches/raw/wallapop/dc1b925771b4a0c9.json</t>
        </is>
      </c>
      <c r="BE48" s="3">
        <f>MAX(ANIO_ACTUAL-M48,0)</f>
        <v/>
      </c>
      <c r="BF48" s="4">
        <f>N48/MAX(BE48,0.5)</f>
        <v/>
      </c>
      <c r="BG48" s="4">
        <f>F48</f>
        <v/>
      </c>
      <c r="BH48" s="3">
        <f>BG48&amp;"|"&amp;INT(M48/SEG_ANIO)*SEG_ANIO</f>
        <v/>
      </c>
      <c r="BI48" s="3">
        <f>BH48&amp;"|"&amp;INT(N48/SEG_KM)*SEG_KM</f>
        <v/>
      </c>
      <c r="BJ48" s="4">
        <f>COUNTIF($BG$2:$BG$130,BG48)</f>
        <v/>
      </c>
      <c r="BK48" s="4">
        <f>COUNTIF($BH$2:$BH$130,BH48)</f>
        <v/>
      </c>
      <c r="BL48" s="4">
        <f>COUNTIF($BI$2:$BI$130,BI48)</f>
        <v/>
      </c>
      <c r="BM48" s="3">
        <f t="array" ref="BM48">IF(N(AY48)&gt;=MIN_N,AX48,IF(BL48&gt;=MIN_N,MEDIAN(IF($BI$2:$BI$130=BI48,$O$2:$O$130)),IF(BK48&gt;=MIN_N,MEDIAN(IF($BH$2:$BH$130=BH48,$O$2:$O$130)),MEDIAN(IF($BG$2:$BG$130=BG48,$O$2:$O$130)))))</f>
        <v/>
      </c>
      <c r="BN48" s="3">
        <f>IF(N(AY48)&gt;=MIN_N,"mercado "&amp;AZ48,IF(BL48&gt;=MIN_N,"modelo+año+km",IF(BK48&gt;=MIN_N,"modelo+año","modelo")))</f>
        <v/>
      </c>
      <c r="BO48" s="4">
        <f>(BM48-O48)/BM48</f>
        <v/>
      </c>
      <c r="BP48" s="3">
        <f>IF(COUNTIFS(FR_FUEL,K48,FR_YEAR,AP48)&gt;0,1,0)</f>
        <v/>
      </c>
      <c r="BQ48" s="3">
        <f>IF(COUNTIFS(FR_FUEL,K48,FR_YEAR,AP48-1)&gt;0,1,0)</f>
        <v/>
      </c>
      <c r="BR48" s="4">
        <f>IF(N(AQ48)&gt;0,AP48*100+AQ48,IF(AND(BP48=1,BQ48=1),(AP48-1)*100+1,AP48*100+1))</f>
        <v/>
      </c>
      <c r="BS48" s="3">
        <f>IF(OR(K48="hibrido",K48="glp",K48="gnc",K48="phev"),"ECO",IF(K48="electrico","CERO",IF(K48="gasolina",IF(BR48&gt;=GAS_C_YM,"C",IF(BR48&gt;=GAS_B_YM,"B","A")),IF(K48="diesel",IF(BR48&gt;=DIE_C_YM,"C",IF(BR48&gt;=DIE_B_YM,"B","A")),""))))</f>
        <v/>
      </c>
      <c r="BT48" s="2" t="inlineStr">
        <is>
          <t>B</t>
        </is>
      </c>
      <c r="BU48" s="4">
        <f>IF(AU48="sí","sí",IF(AS48="regla",IF(AND(N(AQ48)=0,BP48=1),"sí","no"),"no"))</f>
        <v/>
      </c>
      <c r="BV48" s="3">
        <f>IFERROR(VLOOKUP(F48,MOD_TBL,16,0),IFERROR(VLOOKUP(E48,OCU_TBL,2,0),NEUTRO))</f>
        <v/>
      </c>
      <c r="BW48" s="3">
        <f>SUMIFS(MOT_AJUSTE,MOT_MOTOR,G48,MOT_MARCA,E48,MOT_DESDE,"&lt;="&amp;M48,MOT_HASTA,"&gt;="&amp;M48)+SUMIFS(MOT_AJUSTE,MOT_MOTOR,G48,MOT_MARCA,"(todas)",MOT_DESDE,"&lt;="&amp;M48,MOT_HASTA,"&gt;="&amp;M48)+SUMIFS(MOT_AJUSTE,MOT_MOTOR,"(cualquiera)",MOT_MARCA,E48,MOT_DESDE,"&lt;="&amp;M48,MOT_HASTA,"&gt;="&amp;M48)</f>
        <v/>
      </c>
      <c r="BX48" s="3">
        <f>SUMIFS(COMB_AJUSTE,COMB_COMB,K48)</f>
        <v/>
      </c>
      <c r="BY48" s="3">
        <f>COUNTIFS(MOT_MOTOR,G48,MOT_MARCA,E48,MOT_DESDE,"&lt;="&amp;M48,MOT_HASTA,"&gt;="&amp;M48)+COUNTIFS(MOT_MOTOR,G48,MOT_MARCA,"(todas)",MOT_DESDE,"&lt;="&amp;M48,MOT_HASTA,"&gt;="&amp;M48)+COUNTIFS(MOT_MOTOR,"(cualquiera)",MOT_MARCA,E48,MOT_DESDE,"&lt;="&amp;M48,MOT_HASTA,"&gt;="&amp;M48)</f>
        <v/>
      </c>
      <c r="BZ48" s="3">
        <f>IF(AND(K48="diesel",BY48=0),MIN(BV48,NEUTRO),BV48)</f>
        <v/>
      </c>
      <c r="CA48" s="3">
        <f>MAX(0,MIN(100,BZ48+BW48+BX48-IF(AV48="sí",ROB_PEN,0)))</f>
        <v/>
      </c>
      <c r="CB48" s="3">
        <f>100-MAX(0,N48-KM_TOPE_DESDE)/1000*KM_TOPE_PTS</f>
        <v/>
      </c>
      <c r="CC48" s="3">
        <f>MAX(0,MIN(100,50+BO48*PRECIO_PEND,CB48))</f>
        <v/>
      </c>
      <c r="CD48" s="3">
        <f>MAX(0,100*(1-N48/KM_MAX))</f>
        <v/>
      </c>
      <c r="CE48" s="3">
        <f>IF(BF48&lt;KMA_SOSP,IF(AA48="sí",100,KMA_PEN),IF(BF48&lt;=KMA_IDEAL_MAX,100,MAX(0,100*(KMA_CERO-BF48)/(KMA_CERO-KMA_IDEAL_MAX))))</f>
        <v/>
      </c>
      <c r="CF48" s="3">
        <f>MAX(0,MIN(100,100*(M48-ANIO_MIN)/(ANIO_ACTUAL-ANIO_MIN)))</f>
        <v/>
      </c>
      <c r="CG48" s="3">
        <f>W_KMT*CD48+W_KMA*CE48+W_EDAD*CF48</f>
        <v/>
      </c>
      <c r="CH48" s="3">
        <f>P_ITV*(V48="sí")+P_LIBRO*(W48="sí")+P_CORREA*(X48="sí")+P_PROP*(Y48=1)+P_GAR*(Z48="sí")+P_FOTOS*MIN(1,N(U48)/FOTOS_OBJ)</f>
        <v/>
      </c>
      <c r="CI48" s="3">
        <f>MAX(0,MIN(100,IFERROR(VLOOKUP(BT48,ETQ_TBL,2,0),0)-IF(BU48="sí",ETQ_PEN_DUD,IF(AS48="regla",ETQ_PEN_REGLA,0))))</f>
        <v/>
      </c>
      <c r="CJ48" s="3">
        <f>IF(K48&lt;&gt;"gasolina","",IFERROR(VLOOKUP(F48,CONS_MOD_TBL,2,0),IFERROR(VLOOKUP(L48,CONS_SEG_TBL,2,0),"")))</f>
        <v/>
      </c>
      <c r="CK48" s="3">
        <f>IF(CJ48="",NEUTRO,MAX(0,MIN(100,100*(CONS_REF_MAX-CJ48)/(CONS_REF_MAX-CONS_REF_MIN))))</f>
        <v/>
      </c>
      <c r="CL48" s="3">
        <f>IFERROR(VLOOKUP(L48,SEGURO_TBL,3,0),"")</f>
        <v/>
      </c>
      <c r="CM48" s="3">
        <f>IF(CL48="",NEUTRO,MAX(0,MIN(100,100*(SEG_REF_MAX-CL48)/(SEG_REF_MAX-SEG_REF_MIN))))</f>
        <v/>
      </c>
      <c r="CN48" s="3">
        <f>W_CONS*CK48+W_SEG*CM48</f>
        <v/>
      </c>
      <c r="CO48" s="3">
        <f>IF(N(AB48)&gt;0,AB48,IF(AND(R48="profesional",SG_LEGAL_ON=1),GAR_LEGAL,0))</f>
        <v/>
      </c>
      <c r="CP48" s="3">
        <f>SG_GAR*MIN(1,CO48/SG_GAR_FULL)+SG_AMPL*(AC48="sí")+SG_KMC*(AF48="sí")+SG_REV*(N(AE48)&gt;0)+SG_DEV*MIN(1,N(AG48)/SG_DEV_FULL)+SG_HIST*(W48="sí")</f>
        <v/>
      </c>
      <c r="CQ48" s="3">
        <f>IF(AW48="sí",ESTILO_PRIO,IFERROR(VLOOKUP(L48,ESTILO_TBL,2,0),NEUTRO))</f>
        <v/>
      </c>
      <c r="CR48" s="3">
        <f>IFERROR(VLOOKUP(L48,CARR_PEN_TBL,2,0),0)</f>
        <v/>
      </c>
      <c r="CS48" s="3">
        <f>W_FIAB*CA48+W_PRECIO*CC48+W_KMEDAD*CG48+W_ANUNCIO*CH48+W_USO*CN48+W_SEGURIDAD*CP48+W_ETIQUETA*CI48+W_ESTILO*CQ48-CR48</f>
        <v/>
      </c>
      <c r="CT48" s="4">
        <f>IF(N(I48)&gt;0,I48,IFERROR(ROUND(_xlfn.NUMBERVALUE(LEFT(G48,FIND(" ",G48&amp;" ")-1),".")*1000,0),99999))</f>
        <v/>
      </c>
      <c r="CU48" s="3">
        <f>IF(R48="profesional",0,IF(O48&lt;CUOTA_VALOR_MAX,IF(BE48&gt;ITP_TRAMO_ALTO,SUMIFS(CF_CUOTA,CF_MAS,ITP_TRAMO_ALTO,CF_CCMIN,"&lt;="&amp;CT48,CF_CCMAX,"&gt;="&amp;CT48),IF(BE48&gt;ITP_TRAMO_BAJO,SUMIFS(CF_CUOTA,CF_MAS,ITP_TRAMO_BAJO,CF_CCMIN,"&lt;="&amp;CT48,CF_CCMAX,"&gt;="&amp;CT48),O48*ITP_TIPO)),O48*ITP_TIPO))</f>
        <v/>
      </c>
      <c r="CV48" s="4">
        <f>IF(R48="profesional",N(AK48),0)</f>
        <v/>
      </c>
      <c r="CW48" s="3">
        <f>IF(AND(R48="profesional",ISNUMBER(AK48),AL48="sí"),0,TASA_DGT)</f>
        <v/>
      </c>
      <c r="CX48" s="3">
        <f>INFORME_DGT</f>
        <v/>
      </c>
      <c r="CY48" s="4">
        <f>O48+CV48+CU48+CW48+CX48</f>
        <v/>
      </c>
      <c r="CZ48" s="4">
        <f>CY48+N(CL48)</f>
        <v/>
      </c>
      <c r="DA48" s="3">
        <f>IF(CY48&lt;=TOTAL_MAX,"sí",IF(CY48&lt;=TOTAL_MAX+MARGEN_NEG,"negociar","no"))</f>
        <v/>
      </c>
      <c r="DB48" s="4">
        <f>IF(DA48&lt;&gt;"no",COUNTIFS($DA$2:$DA$130,"&lt;&gt;no",$CS$2:$CS$130,"&gt;"&amp;CS48)+COUNTIFS($DA$2:DA48,"&lt;&gt;no",$CS$2:CS48,CS48),"")</f>
        <v/>
      </c>
    </row>
    <row r="49">
      <c r="A49" s="2" t="inlineStr">
        <is>
          <t>cochesnet:71799024</t>
        </is>
      </c>
      <c r="B49" s="2" t="inlineStr">
        <is>
          <t>cochesnet</t>
        </is>
      </c>
      <c r="C49" s="2" t="inlineStr">
        <is>
          <t>https://www.coches.net/opel-astra-13-cdti-111-years-gtc-3p-diesel-2011-en-valencia-71799024-covo.aspx</t>
        </is>
      </c>
      <c r="D49" s="2" t="inlineStr">
        <is>
          <t>OPEL Astra 1.3 CDTi 111 Years GTC</t>
        </is>
      </c>
      <c r="E49" s="2" t="inlineStr">
        <is>
          <t>Opel</t>
        </is>
      </c>
      <c r="F49" s="2" t="inlineStr">
        <is>
          <t>Opel Astra</t>
        </is>
      </c>
      <c r="G49" s="2" t="inlineStr">
        <is>
          <t>1.3 CDTi</t>
        </is>
      </c>
      <c r="H49" s="2" t="inlineStr">
        <is>
          <t>1.3 CDTi 111 Years GTC</t>
        </is>
      </c>
      <c r="I49" s="2" t="n"/>
      <c r="J49" s="2" t="n"/>
      <c r="K49" s="2" t="inlineStr">
        <is>
          <t>diesel</t>
        </is>
      </c>
      <c r="L49" s="2" t="inlineStr">
        <is>
          <t>compacto</t>
        </is>
      </c>
      <c r="M49" s="2" t="n">
        <v>2010</v>
      </c>
      <c r="N49" s="2" t="n">
        <v>114000</v>
      </c>
      <c r="O49" s="2" t="n">
        <v>4990</v>
      </c>
      <c r="P49" s="2" t="inlineStr">
        <is>
          <t>manual</t>
        </is>
      </c>
      <c r="Q49" s="2" t="inlineStr">
        <is>
          <t>no</t>
        </is>
      </c>
      <c r="R49" s="2" t="inlineStr">
        <is>
          <t>profesional</t>
        </is>
      </c>
      <c r="S49" s="2" t="inlineStr">
        <is>
          <t>JM Automóviles Alboraya</t>
        </is>
      </c>
      <c r="T49" s="2" t="inlineStr">
        <is>
          <t>2026-10-21T12:55:24Z</t>
        </is>
      </c>
      <c r="U49" s="2" t="n">
        <v>14</v>
      </c>
      <c r="V49" s="2" t="n"/>
      <c r="W49" s="2" t="n"/>
      <c r="X49" s="2" t="n"/>
      <c r="Y49" s="2" t="n"/>
      <c r="Z49" s="2" t="inlineStr">
        <is>
          <t>sí</t>
        </is>
      </c>
      <c r="AA49" s="2" t="n"/>
      <c r="AB49" s="2" t="n">
        <v>12</v>
      </c>
      <c r="AC49" s="2" t="n"/>
      <c r="AD49" s="2" t="n"/>
      <c r="AE49" s="2" t="n"/>
      <c r="AF49" s="2" t="n"/>
      <c r="AG49" s="2" t="n"/>
      <c r="AH49" s="2" t="n">
        <v>4990</v>
      </c>
      <c r="AI49" s="2" t="n">
        <v>4990</v>
      </c>
      <c r="AJ49" s="2" t="n"/>
      <c r="AK49" s="2" t="n"/>
      <c r="AL49" s="2" t="n"/>
      <c r="AM49" s="2" t="n">
        <v>4</v>
      </c>
      <c r="AN49" s="2" t="n"/>
      <c r="AO49" s="2" t="inlineStr">
        <is>
          <t>2010</t>
        </is>
      </c>
      <c r="AP49" s="2" t="n">
        <v>2010</v>
      </c>
      <c r="AQ49" s="2" t="n"/>
      <c r="AR49" s="2" t="inlineStr">
        <is>
          <t>B</t>
        </is>
      </c>
      <c r="AS49" s="2" t="inlineStr">
        <is>
          <t>anuncio</t>
        </is>
      </c>
      <c r="AT49" s="2" t="n">
        <v>2011</v>
      </c>
      <c r="AU49" s="2" t="inlineStr">
        <is>
          <t>no</t>
        </is>
      </c>
      <c r="AV49" s="2" t="inlineStr">
        <is>
          <t>no</t>
        </is>
      </c>
      <c r="AW49" s="2" t="inlineStr">
        <is>
          <t>no</t>
        </is>
      </c>
      <c r="AX49" s="2" t="n">
        <v>5695</v>
      </c>
      <c r="AY49" s="2" t="n">
        <v>8</v>
      </c>
      <c r="AZ49" s="2" t="inlineStr">
        <is>
          <t>modelo+año+km</t>
        </is>
      </c>
      <c r="BA49" s="2" t="n"/>
      <c r="BB49" s="2" t="inlineStr">
        <is>
          <t>año a confirmar: la URL/título dice 2011; por encima del presupuesto (5054 €), negociar; vendedor profesional: sin ITP (operación con IVA/REBU, confirmar en factura); gastos de gestión del vendedor no indicados: se suma la tasa DGT; preguntar el precio final; diésel: motor sin fuente de fiabilidad (fiabilidad limitada a neutra); revisar: no menciona la ITV</t>
        </is>
      </c>
      <c r="BC49" s="2" t="inlineStr">
        <is>
          <t>OPEL ASTRA GTC 1.3 CDTI 90 CV ESSENTIA – 2010
Opel Astra GTC del año 2010, equipado con motor 1.3 CDTI diésel de 90 CV y acabado Essentia. Un compacto de diseño deportivo, práctico y económico, ideal para el día a día y los desplazamientos por carretera.
DATOS PRINCIPALES
Año: 2010
Motor: 1.3 CDTI diésel
Potencia: 90 CV
Cambio: Manual
Acabado: Essentia
Carrocería: GTC
EQUIPAMIENTO DESTACADO
Aire acondicionado
Radio/CD
Volante multifunción
Elevalunas eléctricos
Cierre centralizado
Luces antiniebla
ABS + ESP
Ordenador de a bordo
LO MEJOR
Motor 1.3 CDTI de 90 CV
Acabado Essentia
Diseño deportivo GTC
Motor diésel de consumo contenido
Compacto y práctico
Ideal para uso diario y carretera
Vehículo en buen estado, cuidado y preparado para su entrega.</t>
        </is>
      </c>
      <c r="BD49" s="2" t="inlineStr">
        <is>
          <t>https://www.coches.net/opel-astra-13-cdti-111-years-gtc-3p-diesel-2011-en-valencia-71799024-covo.aspx (window.__INITIAL_PROPS__.ad) /home/user/Alopecia/buscador-coches/raw/cochesnet/9933ecb8a0c80054.json</t>
        </is>
      </c>
      <c r="BE49" s="3">
        <f>MAX(ANIO_ACTUAL-M49,0)</f>
        <v/>
      </c>
      <c r="BF49" s="4">
        <f>N49/MAX(BE49,0.5)</f>
        <v/>
      </c>
      <c r="BG49" s="4">
        <f>F49</f>
        <v/>
      </c>
      <c r="BH49" s="3">
        <f>BG49&amp;"|"&amp;INT(M49/SEG_ANIO)*SEG_ANIO</f>
        <v/>
      </c>
      <c r="BI49" s="3">
        <f>BH49&amp;"|"&amp;INT(N49/SEG_KM)*SEG_KM</f>
        <v/>
      </c>
      <c r="BJ49" s="4">
        <f>COUNTIF($BG$2:$BG$130,BG49)</f>
        <v/>
      </c>
      <c r="BK49" s="4">
        <f>COUNTIF($BH$2:$BH$130,BH49)</f>
        <v/>
      </c>
      <c r="BL49" s="4">
        <f>COUNTIF($BI$2:$BI$130,BI49)</f>
        <v/>
      </c>
      <c r="BM49" s="3">
        <f t="array" ref="BM49">IF(N(AY49)&gt;=MIN_N,AX49,IF(BL49&gt;=MIN_N,MEDIAN(IF($BI$2:$BI$130=BI49,$O$2:$O$130)),IF(BK49&gt;=MIN_N,MEDIAN(IF($BH$2:$BH$130=BH49,$O$2:$O$130)),MEDIAN(IF($BG$2:$BG$130=BG49,$O$2:$O$130)))))</f>
        <v/>
      </c>
      <c r="BN49" s="3">
        <f>IF(N(AY49)&gt;=MIN_N,"mercado "&amp;AZ49,IF(BL49&gt;=MIN_N,"modelo+año+km",IF(BK49&gt;=MIN_N,"modelo+año","modelo")))</f>
        <v/>
      </c>
      <c r="BO49" s="4">
        <f>(BM49-O49)/BM49</f>
        <v/>
      </c>
      <c r="BP49" s="3">
        <f>IF(COUNTIFS(FR_FUEL,K49,FR_YEAR,AP49)&gt;0,1,0)</f>
        <v/>
      </c>
      <c r="BQ49" s="3">
        <f>IF(COUNTIFS(FR_FUEL,K49,FR_YEAR,AP49-1)&gt;0,1,0)</f>
        <v/>
      </c>
      <c r="BR49" s="4">
        <f>IF(N(AQ49)&gt;0,AP49*100+AQ49,IF(AND(BP49=1,BQ49=1),(AP49-1)*100+1,AP49*100+1))</f>
        <v/>
      </c>
      <c r="BS49" s="3">
        <f>IF(OR(K49="hibrido",K49="glp",K49="gnc",K49="phev"),"ECO",IF(K49="electrico","CERO",IF(K49="gasolina",IF(BR49&gt;=GAS_C_YM,"C",IF(BR49&gt;=GAS_B_YM,"B","A")),IF(K49="diesel",IF(BR49&gt;=DIE_C_YM,"C",IF(BR49&gt;=DIE_B_YM,"B","A")),""))))</f>
        <v/>
      </c>
      <c r="BT49" s="2" t="inlineStr">
        <is>
          <t>B</t>
        </is>
      </c>
      <c r="BU49" s="4">
        <f>IF(AU49="sí","sí",IF(AS49="regla",IF(AND(N(AQ49)=0,BP49=1),"sí","no"),"no"))</f>
        <v/>
      </c>
      <c r="BV49" s="3">
        <f>IFERROR(VLOOKUP(F49,MOD_TBL,16,0),IFERROR(VLOOKUP(E49,OCU_TBL,2,0),NEUTRO))</f>
        <v/>
      </c>
      <c r="BW49" s="3">
        <f>SUMIFS(MOT_AJUSTE,MOT_MOTOR,G49,MOT_MARCA,E49,MOT_DESDE,"&lt;="&amp;M49,MOT_HASTA,"&gt;="&amp;M49)+SUMIFS(MOT_AJUSTE,MOT_MOTOR,G49,MOT_MARCA,"(todas)",MOT_DESDE,"&lt;="&amp;M49,MOT_HASTA,"&gt;="&amp;M49)+SUMIFS(MOT_AJUSTE,MOT_MOTOR,"(cualquiera)",MOT_MARCA,E49,MOT_DESDE,"&lt;="&amp;M49,MOT_HASTA,"&gt;="&amp;M49)</f>
        <v/>
      </c>
      <c r="BX49" s="3">
        <f>SUMIFS(COMB_AJUSTE,COMB_COMB,K49)</f>
        <v/>
      </c>
      <c r="BY49" s="3">
        <f>COUNTIFS(MOT_MOTOR,G49,MOT_MARCA,E49,MOT_DESDE,"&lt;="&amp;M49,MOT_HASTA,"&gt;="&amp;M49)+COUNTIFS(MOT_MOTOR,G49,MOT_MARCA,"(todas)",MOT_DESDE,"&lt;="&amp;M49,MOT_HASTA,"&gt;="&amp;M49)+COUNTIFS(MOT_MOTOR,"(cualquiera)",MOT_MARCA,E49,MOT_DESDE,"&lt;="&amp;M49,MOT_HASTA,"&gt;="&amp;M49)</f>
        <v/>
      </c>
      <c r="BZ49" s="3">
        <f>IF(AND(K49="diesel",BY49=0),MIN(BV49,NEUTRO),BV49)</f>
        <v/>
      </c>
      <c r="CA49" s="3">
        <f>MAX(0,MIN(100,BZ49+BW49+BX49-IF(AV49="sí",ROB_PEN,0)))</f>
        <v/>
      </c>
      <c r="CB49" s="3">
        <f>100-MAX(0,N49-KM_TOPE_DESDE)/1000*KM_TOPE_PTS</f>
        <v/>
      </c>
      <c r="CC49" s="3">
        <f>MAX(0,MIN(100,50+BO49*PRECIO_PEND,CB49))</f>
        <v/>
      </c>
      <c r="CD49" s="3">
        <f>MAX(0,100*(1-N49/KM_MAX))</f>
        <v/>
      </c>
      <c r="CE49" s="3">
        <f>IF(BF49&lt;KMA_SOSP,IF(AA49="sí",100,KMA_PEN),IF(BF49&lt;=KMA_IDEAL_MAX,100,MAX(0,100*(KMA_CERO-BF49)/(KMA_CERO-KMA_IDEAL_MAX))))</f>
        <v/>
      </c>
      <c r="CF49" s="3">
        <f>MAX(0,MIN(100,100*(M49-ANIO_MIN)/(ANIO_ACTUAL-ANIO_MIN)))</f>
        <v/>
      </c>
      <c r="CG49" s="3">
        <f>W_KMT*CD49+W_KMA*CE49+W_EDAD*CF49</f>
        <v/>
      </c>
      <c r="CH49" s="3">
        <f>P_ITV*(V49="sí")+P_LIBRO*(W49="sí")+P_CORREA*(X49="sí")+P_PROP*(Y49=1)+P_GAR*(Z49="sí")+P_FOTOS*MIN(1,N(U49)/FOTOS_OBJ)</f>
        <v/>
      </c>
      <c r="CI49" s="3">
        <f>MAX(0,MIN(100,IFERROR(VLOOKUP(BT49,ETQ_TBL,2,0),0)-IF(BU49="sí",ETQ_PEN_DUD,IF(AS49="regla",ETQ_PEN_REGLA,0))))</f>
        <v/>
      </c>
      <c r="CJ49" s="3">
        <f>IF(K49&lt;&gt;"gasolina","",IFERROR(VLOOKUP(F49,CONS_MOD_TBL,2,0),IFERROR(VLOOKUP(L49,CONS_SEG_TBL,2,0),"")))</f>
        <v/>
      </c>
      <c r="CK49" s="3">
        <f>IF(CJ49="",NEUTRO,MAX(0,MIN(100,100*(CONS_REF_MAX-CJ49)/(CONS_REF_MAX-CONS_REF_MIN))))</f>
        <v/>
      </c>
      <c r="CL49" s="3">
        <f>IFERROR(VLOOKUP(L49,SEGURO_TBL,3,0),"")</f>
        <v/>
      </c>
      <c r="CM49" s="3">
        <f>IF(CL49="",NEUTRO,MAX(0,MIN(100,100*(SEG_REF_MAX-CL49)/(SEG_REF_MAX-SEG_REF_MIN))))</f>
        <v/>
      </c>
      <c r="CN49" s="3">
        <f>W_CONS*CK49+W_SEG*CM49</f>
        <v/>
      </c>
      <c r="CO49" s="3">
        <f>IF(N(AB49)&gt;0,AB49,IF(AND(R49="profesional",SG_LEGAL_ON=1),GAR_LEGAL,0))</f>
        <v/>
      </c>
      <c r="CP49" s="3">
        <f>SG_GAR*MIN(1,CO49/SG_GAR_FULL)+SG_AMPL*(AC49="sí")+SG_KMC*(AF49="sí")+SG_REV*(N(AE49)&gt;0)+SG_DEV*MIN(1,N(AG49)/SG_DEV_FULL)+SG_HIST*(W49="sí")</f>
        <v/>
      </c>
      <c r="CQ49" s="3">
        <f>IF(AW49="sí",ESTILO_PRIO,IFERROR(VLOOKUP(L49,ESTILO_TBL,2,0),NEUTRO))</f>
        <v/>
      </c>
      <c r="CR49" s="3">
        <f>IFERROR(VLOOKUP(L49,CARR_PEN_TBL,2,0),0)</f>
        <v/>
      </c>
      <c r="CS49" s="3">
        <f>W_FIAB*CA49+W_PRECIO*CC49+W_KMEDAD*CG49+W_ANUNCIO*CH49+W_USO*CN49+W_SEGURIDAD*CP49+W_ETIQUETA*CI49+W_ESTILO*CQ49-CR49</f>
        <v/>
      </c>
      <c r="CT49" s="4">
        <f>IF(N(I49)&gt;0,I49,IFERROR(ROUND(_xlfn.NUMBERVALUE(LEFT(G49,FIND(" ",G49&amp;" ")-1),".")*1000,0),99999))</f>
        <v/>
      </c>
      <c r="CU49" s="3">
        <f>IF(R49="profesional",0,IF(O49&lt;CUOTA_VALOR_MAX,IF(BE49&gt;ITP_TRAMO_ALTO,SUMIFS(CF_CUOTA,CF_MAS,ITP_TRAMO_ALTO,CF_CCMIN,"&lt;="&amp;CT49,CF_CCMAX,"&gt;="&amp;CT49),IF(BE49&gt;ITP_TRAMO_BAJO,SUMIFS(CF_CUOTA,CF_MAS,ITP_TRAMO_BAJO,CF_CCMIN,"&lt;="&amp;CT49,CF_CCMAX,"&gt;="&amp;CT49),O49*ITP_TIPO)),O49*ITP_TIPO))</f>
        <v/>
      </c>
      <c r="CV49" s="4">
        <f>IF(R49="profesional",N(AK49),0)</f>
        <v/>
      </c>
      <c r="CW49" s="3">
        <f>IF(AND(R49="profesional",ISNUMBER(AK49),AL49="sí"),0,TASA_DGT)</f>
        <v/>
      </c>
      <c r="CX49" s="3">
        <f>INFORME_DGT</f>
        <v/>
      </c>
      <c r="CY49" s="4">
        <f>O49+CV49+CU49+CW49+CX49</f>
        <v/>
      </c>
      <c r="CZ49" s="4">
        <f>CY49+N(CL49)</f>
        <v/>
      </c>
      <c r="DA49" s="3">
        <f>IF(CY49&lt;=TOTAL_MAX,"sí",IF(CY49&lt;=TOTAL_MAX+MARGEN_NEG,"negociar","no"))</f>
        <v/>
      </c>
      <c r="DB49" s="4">
        <f>IF(DA49&lt;&gt;"no",COUNTIFS($DA$2:$DA$130,"&lt;&gt;no",$CS$2:$CS$130,"&gt;"&amp;CS49)+COUNTIFS($DA$2:DA49,"&lt;&gt;no",$CS$2:CS49,CS49),"")</f>
        <v/>
      </c>
    </row>
    <row r="50">
      <c r="A50" s="2" t="inlineStr">
        <is>
          <t>cochesnet:71599225</t>
        </is>
      </c>
      <c r="B50" s="2" t="inlineStr">
        <is>
          <t>cochesnet</t>
        </is>
      </c>
      <c r="C50" s="2" t="inlineStr">
        <is>
          <t>https://www.coches.net/opel-astra-19-cdti-enjoy-120-cv-5p-diesel-2007-en-valencia-71599225-covo.aspx</t>
        </is>
      </c>
      <c r="D50" s="2" t="inlineStr">
        <is>
          <t>OPEL Astra 1.9 CDTi Enjoy 120 CV</t>
        </is>
      </c>
      <c r="E50" s="2" t="inlineStr">
        <is>
          <t>Opel</t>
        </is>
      </c>
      <c r="F50" s="2" t="inlineStr">
        <is>
          <t>Opel Astra</t>
        </is>
      </c>
      <c r="G50" s="2" t="inlineStr">
        <is>
          <t>1.9 CDTi</t>
        </is>
      </c>
      <c r="H50" s="2" t="inlineStr">
        <is>
          <t>1.9 CDTi Enjoy 120 CV</t>
        </is>
      </c>
      <c r="I50" s="2" t="n"/>
      <c r="J50" s="2" t="n">
        <v>120</v>
      </c>
      <c r="K50" s="2" t="inlineStr">
        <is>
          <t>diesel</t>
        </is>
      </c>
      <c r="L50" s="2" t="inlineStr">
        <is>
          <t>compacto</t>
        </is>
      </c>
      <c r="M50" s="2" t="n">
        <v>2006</v>
      </c>
      <c r="N50" s="2" t="n">
        <v>129000</v>
      </c>
      <c r="O50" s="2" t="n">
        <v>4190</v>
      </c>
      <c r="P50" s="2" t="inlineStr">
        <is>
          <t>manual</t>
        </is>
      </c>
      <c r="Q50" s="2" t="inlineStr">
        <is>
          <t>no</t>
        </is>
      </c>
      <c r="R50" s="2" t="inlineStr">
        <is>
          <t>profesional</t>
        </is>
      </c>
      <c r="S50" s="2" t="inlineStr">
        <is>
          <t>Only Cars Valencia Aldaia</t>
        </is>
      </c>
      <c r="T50" s="2" t="inlineStr">
        <is>
          <t>2026-09-25T16:51:25Z</t>
        </is>
      </c>
      <c r="U50" s="2" t="n">
        <v>11</v>
      </c>
      <c r="V50" s="2" t="n"/>
      <c r="W50" s="2" t="n"/>
      <c r="X50" s="2" t="n"/>
      <c r="Y50" s="2" t="n"/>
      <c r="Z50" s="2" t="inlineStr">
        <is>
          <t>sí</t>
        </is>
      </c>
      <c r="AA50" s="2" t="n"/>
      <c r="AB50" s="2" t="n">
        <v>12</v>
      </c>
      <c r="AC50" s="2" t="n"/>
      <c r="AD50" s="2" t="n"/>
      <c r="AE50" s="2" t="n"/>
      <c r="AF50" s="2" t="n"/>
      <c r="AG50" s="2" t="n"/>
      <c r="AH50" s="2" t="n">
        <v>4190</v>
      </c>
      <c r="AI50" s="2" t="n"/>
      <c r="AJ50" s="2" t="n"/>
      <c r="AK50" s="2" t="n"/>
      <c r="AL50" s="2" t="n"/>
      <c r="AM50" s="2" t="n">
        <v>7.5</v>
      </c>
      <c r="AN50" s="2" t="n"/>
      <c r="AO50" s="2" t="inlineStr">
        <is>
          <t>2006</t>
        </is>
      </c>
      <c r="AP50" s="2" t="n">
        <v>2006</v>
      </c>
      <c r="AQ50" s="2" t="n"/>
      <c r="AR50" s="2" t="inlineStr">
        <is>
          <t>B</t>
        </is>
      </c>
      <c r="AS50" s="2" t="inlineStr">
        <is>
          <t>anuncio</t>
        </is>
      </c>
      <c r="AT50" s="2" t="n">
        <v>2007</v>
      </c>
      <c r="AU50" s="2" t="inlineStr">
        <is>
          <t>no</t>
        </is>
      </c>
      <c r="AV50" s="2" t="inlineStr">
        <is>
          <t>no</t>
        </is>
      </c>
      <c r="AW50" s="2" t="inlineStr">
        <is>
          <t>no</t>
        </is>
      </c>
      <c r="AX50" s="2" t="n">
        <v>3725</v>
      </c>
      <c r="AY50" s="2" t="n">
        <v>12</v>
      </c>
      <c r="AZ50" s="2" t="inlineStr">
        <is>
          <t>modelo+año+km</t>
        </is>
      </c>
      <c r="BA50" s="2" t="n"/>
      <c r="BB50" s="2" t="inlineStr">
        <is>
          <t>año a confirmar: la URL/título dice 2007; vendedor profesional: sin ITP (operación con IVA/REBU, confirmar en factura); gastos de gestión del vendedor no indicados: se suma la tasa DGT; preguntar el precio final; diésel: motor sin fuente de fiabilidad (fiabilidad limitada a neutra); revisar: no menciona la ITV</t>
        </is>
      </c>
      <c r="BC50" s="2" t="inlineStr">
        <is>
          <t>Opel Astra 1.9 CDTI Enjoy año 2006 con 129.000Kms 120CV.
Equipamiento:
- elevalunas eléctricos 
- Espejos eléctricos 
- Aire acondicionado 
- Dirección asistida
- Mando a distancia 
Mantenimiento:
   - cambio de filtro de aire
   - cambio de filtro de aceite
   - cambio de aceite 
   - Dos juegos de llave
   - Alfombrillas</t>
        </is>
      </c>
      <c r="BD50" s="2" t="inlineStr">
        <is>
          <t>https://www.coches.net/opel-astra-19-cdti-enjoy-120-cv-5p-diesel-2007-en-valencia-71599225-covo.aspx (window.__INITIAL_PROPS__.ad) /home/user/Alopecia/buscador-coches/raw/cochesnet/f421bcba4a0c6277.json</t>
        </is>
      </c>
      <c r="BE50" s="3">
        <f>MAX(ANIO_ACTUAL-M50,0)</f>
        <v/>
      </c>
      <c r="BF50" s="4">
        <f>N50/MAX(BE50,0.5)</f>
        <v/>
      </c>
      <c r="BG50" s="4">
        <f>F50</f>
        <v/>
      </c>
      <c r="BH50" s="3">
        <f>BG50&amp;"|"&amp;INT(M50/SEG_ANIO)*SEG_ANIO</f>
        <v/>
      </c>
      <c r="BI50" s="3">
        <f>BH50&amp;"|"&amp;INT(N50/SEG_KM)*SEG_KM</f>
        <v/>
      </c>
      <c r="BJ50" s="4">
        <f>COUNTIF($BG$2:$BG$130,BG50)</f>
        <v/>
      </c>
      <c r="BK50" s="4">
        <f>COUNTIF($BH$2:$BH$130,BH50)</f>
        <v/>
      </c>
      <c r="BL50" s="4">
        <f>COUNTIF($BI$2:$BI$130,BI50)</f>
        <v/>
      </c>
      <c r="BM50" s="3">
        <f t="array" ref="BM50">IF(N(AY50)&gt;=MIN_N,AX50,IF(BL50&gt;=MIN_N,MEDIAN(IF($BI$2:$BI$130=BI50,$O$2:$O$130)),IF(BK50&gt;=MIN_N,MEDIAN(IF($BH$2:$BH$130=BH50,$O$2:$O$130)),MEDIAN(IF($BG$2:$BG$130=BG50,$O$2:$O$130)))))</f>
        <v/>
      </c>
      <c r="BN50" s="3">
        <f>IF(N(AY50)&gt;=MIN_N,"mercado "&amp;AZ50,IF(BL50&gt;=MIN_N,"modelo+año+km",IF(BK50&gt;=MIN_N,"modelo+año","modelo")))</f>
        <v/>
      </c>
      <c r="BO50" s="4">
        <f>(BM50-O50)/BM50</f>
        <v/>
      </c>
      <c r="BP50" s="3">
        <f>IF(COUNTIFS(FR_FUEL,K50,FR_YEAR,AP50)&gt;0,1,0)</f>
        <v/>
      </c>
      <c r="BQ50" s="3">
        <f>IF(COUNTIFS(FR_FUEL,K50,FR_YEAR,AP50-1)&gt;0,1,0)</f>
        <v/>
      </c>
      <c r="BR50" s="4">
        <f>IF(N(AQ50)&gt;0,AP50*100+AQ50,IF(AND(BP50=1,BQ50=1),(AP50-1)*100+1,AP50*100+1))</f>
        <v/>
      </c>
      <c r="BS50" s="3">
        <f>IF(OR(K50="hibrido",K50="glp",K50="gnc",K50="phev"),"ECO",IF(K50="electrico","CERO",IF(K50="gasolina",IF(BR50&gt;=GAS_C_YM,"C",IF(BR50&gt;=GAS_B_YM,"B","A")),IF(K50="diesel",IF(BR50&gt;=DIE_C_YM,"C",IF(BR50&gt;=DIE_B_YM,"B","A")),""))))</f>
        <v/>
      </c>
      <c r="BT50" s="2" t="inlineStr">
        <is>
          <t>B</t>
        </is>
      </c>
      <c r="BU50" s="4">
        <f>IF(AU50="sí","sí",IF(AS50="regla",IF(AND(N(AQ50)=0,BP50=1),"sí","no"),"no"))</f>
        <v/>
      </c>
      <c r="BV50" s="3">
        <f>IFERROR(VLOOKUP(F50,MOD_TBL,16,0),IFERROR(VLOOKUP(E50,OCU_TBL,2,0),NEUTRO))</f>
        <v/>
      </c>
      <c r="BW50" s="3">
        <f>SUMIFS(MOT_AJUSTE,MOT_MOTOR,G50,MOT_MARCA,E50,MOT_DESDE,"&lt;="&amp;M50,MOT_HASTA,"&gt;="&amp;M50)+SUMIFS(MOT_AJUSTE,MOT_MOTOR,G50,MOT_MARCA,"(todas)",MOT_DESDE,"&lt;="&amp;M50,MOT_HASTA,"&gt;="&amp;M50)+SUMIFS(MOT_AJUSTE,MOT_MOTOR,"(cualquiera)",MOT_MARCA,E50,MOT_DESDE,"&lt;="&amp;M50,MOT_HASTA,"&gt;="&amp;M50)</f>
        <v/>
      </c>
      <c r="BX50" s="3">
        <f>SUMIFS(COMB_AJUSTE,COMB_COMB,K50)</f>
        <v/>
      </c>
      <c r="BY50" s="3">
        <f>COUNTIFS(MOT_MOTOR,G50,MOT_MARCA,E50,MOT_DESDE,"&lt;="&amp;M50,MOT_HASTA,"&gt;="&amp;M50)+COUNTIFS(MOT_MOTOR,G50,MOT_MARCA,"(todas)",MOT_DESDE,"&lt;="&amp;M50,MOT_HASTA,"&gt;="&amp;M50)+COUNTIFS(MOT_MOTOR,"(cualquiera)",MOT_MARCA,E50,MOT_DESDE,"&lt;="&amp;M50,MOT_HASTA,"&gt;="&amp;M50)</f>
        <v/>
      </c>
      <c r="BZ50" s="3">
        <f>IF(AND(K50="diesel",BY50=0),MIN(BV50,NEUTRO),BV50)</f>
        <v/>
      </c>
      <c r="CA50" s="3">
        <f>MAX(0,MIN(100,BZ50+BW50+BX50-IF(AV50="sí",ROB_PEN,0)))</f>
        <v/>
      </c>
      <c r="CB50" s="3">
        <f>100-MAX(0,N50-KM_TOPE_DESDE)/1000*KM_TOPE_PTS</f>
        <v/>
      </c>
      <c r="CC50" s="3">
        <f>MAX(0,MIN(100,50+BO50*PRECIO_PEND,CB50))</f>
        <v/>
      </c>
      <c r="CD50" s="3">
        <f>MAX(0,100*(1-N50/KM_MAX))</f>
        <v/>
      </c>
      <c r="CE50" s="3">
        <f>IF(BF50&lt;KMA_SOSP,IF(AA50="sí",100,KMA_PEN),IF(BF50&lt;=KMA_IDEAL_MAX,100,MAX(0,100*(KMA_CERO-BF50)/(KMA_CERO-KMA_IDEAL_MAX))))</f>
        <v/>
      </c>
      <c r="CF50" s="3">
        <f>MAX(0,MIN(100,100*(M50-ANIO_MIN)/(ANIO_ACTUAL-ANIO_MIN)))</f>
        <v/>
      </c>
      <c r="CG50" s="3">
        <f>W_KMT*CD50+W_KMA*CE50+W_EDAD*CF50</f>
        <v/>
      </c>
      <c r="CH50" s="3">
        <f>P_ITV*(V50="sí")+P_LIBRO*(W50="sí")+P_CORREA*(X50="sí")+P_PROP*(Y50=1)+P_GAR*(Z50="sí")+P_FOTOS*MIN(1,N(U50)/FOTOS_OBJ)</f>
        <v/>
      </c>
      <c r="CI50" s="3">
        <f>MAX(0,MIN(100,IFERROR(VLOOKUP(BT50,ETQ_TBL,2,0),0)-IF(BU50="sí",ETQ_PEN_DUD,IF(AS50="regla",ETQ_PEN_REGLA,0))))</f>
        <v/>
      </c>
      <c r="CJ50" s="3">
        <f>IF(K50&lt;&gt;"gasolina","",IFERROR(VLOOKUP(F50,CONS_MOD_TBL,2,0),IFERROR(VLOOKUP(L50,CONS_SEG_TBL,2,0),"")))</f>
        <v/>
      </c>
      <c r="CK50" s="3">
        <f>IF(CJ50="",NEUTRO,MAX(0,MIN(100,100*(CONS_REF_MAX-CJ50)/(CONS_REF_MAX-CONS_REF_MIN))))</f>
        <v/>
      </c>
      <c r="CL50" s="3">
        <f>IFERROR(VLOOKUP(L50,SEGURO_TBL,3,0),"")</f>
        <v/>
      </c>
      <c r="CM50" s="3">
        <f>IF(CL50="",NEUTRO,MAX(0,MIN(100,100*(SEG_REF_MAX-CL50)/(SEG_REF_MAX-SEG_REF_MIN))))</f>
        <v/>
      </c>
      <c r="CN50" s="3">
        <f>W_CONS*CK50+W_SEG*CM50</f>
        <v/>
      </c>
      <c r="CO50" s="3">
        <f>IF(N(AB50)&gt;0,AB50,IF(AND(R50="profesional",SG_LEGAL_ON=1),GAR_LEGAL,0))</f>
        <v/>
      </c>
      <c r="CP50" s="3">
        <f>SG_GAR*MIN(1,CO50/SG_GAR_FULL)+SG_AMPL*(AC50="sí")+SG_KMC*(AF50="sí")+SG_REV*(N(AE50)&gt;0)+SG_DEV*MIN(1,N(AG50)/SG_DEV_FULL)+SG_HIST*(W50="sí")</f>
        <v/>
      </c>
      <c r="CQ50" s="3">
        <f>IF(AW50="sí",ESTILO_PRIO,IFERROR(VLOOKUP(L50,ESTILO_TBL,2,0),NEUTRO))</f>
        <v/>
      </c>
      <c r="CR50" s="3">
        <f>IFERROR(VLOOKUP(L50,CARR_PEN_TBL,2,0),0)</f>
        <v/>
      </c>
      <c r="CS50" s="3">
        <f>W_FIAB*CA50+W_PRECIO*CC50+W_KMEDAD*CG50+W_ANUNCIO*CH50+W_USO*CN50+W_SEGURIDAD*CP50+W_ETIQUETA*CI50+W_ESTILO*CQ50-CR50</f>
        <v/>
      </c>
      <c r="CT50" s="4">
        <f>IF(N(I50)&gt;0,I50,IFERROR(ROUND(_xlfn.NUMBERVALUE(LEFT(G50,FIND(" ",G50&amp;" ")-1),".")*1000,0),99999))</f>
        <v/>
      </c>
      <c r="CU50" s="3">
        <f>IF(R50="profesional",0,IF(O50&lt;CUOTA_VALOR_MAX,IF(BE50&gt;ITP_TRAMO_ALTO,SUMIFS(CF_CUOTA,CF_MAS,ITP_TRAMO_ALTO,CF_CCMIN,"&lt;="&amp;CT50,CF_CCMAX,"&gt;="&amp;CT50),IF(BE50&gt;ITP_TRAMO_BAJO,SUMIFS(CF_CUOTA,CF_MAS,ITP_TRAMO_BAJO,CF_CCMIN,"&lt;="&amp;CT50,CF_CCMAX,"&gt;="&amp;CT50),O50*ITP_TIPO)),O50*ITP_TIPO))</f>
        <v/>
      </c>
      <c r="CV50" s="4">
        <f>IF(R50="profesional",N(AK50),0)</f>
        <v/>
      </c>
      <c r="CW50" s="3">
        <f>IF(AND(R50="profesional",ISNUMBER(AK50),AL50="sí"),0,TASA_DGT)</f>
        <v/>
      </c>
      <c r="CX50" s="3">
        <f>INFORME_DGT</f>
        <v/>
      </c>
      <c r="CY50" s="4">
        <f>O50+CV50+CU50+CW50+CX50</f>
        <v/>
      </c>
      <c r="CZ50" s="4">
        <f>CY50+N(CL50)</f>
        <v/>
      </c>
      <c r="DA50" s="3">
        <f>IF(CY50&lt;=TOTAL_MAX,"sí",IF(CY50&lt;=TOTAL_MAX+MARGEN_NEG,"negociar","no"))</f>
        <v/>
      </c>
      <c r="DB50" s="4">
        <f>IF(DA50&lt;&gt;"no",COUNTIFS($DA$2:$DA$130,"&lt;&gt;no",$CS$2:$CS$130,"&gt;"&amp;CS50)+COUNTIFS($DA$2:DA50,"&lt;&gt;no",$CS$2:CS50,CS50),"")</f>
        <v/>
      </c>
    </row>
    <row r="51">
      <c r="A51" s="2" t="inlineStr">
        <is>
          <t>cochesnet:71722524</t>
        </is>
      </c>
      <c r="B51" s="2" t="inlineStr">
        <is>
          <t>cochesnet</t>
        </is>
      </c>
      <c r="C51" s="2" t="inlineStr">
        <is>
          <t>https://www.coches.net/opel-astra-14-enjoy-5p-gasolina-2006-en-valencia-71722524-covo.aspx</t>
        </is>
      </c>
      <c r="D51" s="2" t="inlineStr">
        <is>
          <t>OPEL Astra 1.4 Enjoy</t>
        </is>
      </c>
      <c r="E51" s="2" t="inlineStr">
        <is>
          <t>Opel</t>
        </is>
      </c>
      <c r="F51" s="2" t="inlineStr">
        <is>
          <t>Opel Astra</t>
        </is>
      </c>
      <c r="G51" s="2" t="inlineStr">
        <is>
          <t>1.4</t>
        </is>
      </c>
      <c r="H51" s="2" t="inlineStr">
        <is>
          <t>1.4 Enjoy</t>
        </is>
      </c>
      <c r="I51" s="2" t="n"/>
      <c r="J51" s="2" t="n"/>
      <c r="K51" s="2" t="inlineStr">
        <is>
          <t>gasolina</t>
        </is>
      </c>
      <c r="L51" s="2" t="inlineStr">
        <is>
          <t>compacto</t>
        </is>
      </c>
      <c r="M51" s="2" t="n">
        <v>2006</v>
      </c>
      <c r="N51" s="2" t="n">
        <v>78450</v>
      </c>
      <c r="O51" s="2" t="n">
        <v>4490</v>
      </c>
      <c r="P51" s="2" t="inlineStr">
        <is>
          <t>manual</t>
        </is>
      </c>
      <c r="Q51" s="2" t="inlineStr">
        <is>
          <t>no</t>
        </is>
      </c>
      <c r="R51" s="2" t="inlineStr">
        <is>
          <t>profesional</t>
        </is>
      </c>
      <c r="S51" s="2" t="inlineStr">
        <is>
          <t>Automóviles OCASIÓN.  Valencia</t>
        </is>
      </c>
      <c r="T51" s="2" t="inlineStr">
        <is>
          <t>2026-10-11T14:37:16Z</t>
        </is>
      </c>
      <c r="U51" s="2" t="n">
        <v>81</v>
      </c>
      <c r="V51" s="2" t="inlineStr">
        <is>
          <t>sí</t>
        </is>
      </c>
      <c r="W51" s="2" t="inlineStr">
        <is>
          <t>sí</t>
        </is>
      </c>
      <c r="X51" s="2" t="n"/>
      <c r="Y51" s="2" t="n">
        <v>1</v>
      </c>
      <c r="Z51" s="2" t="inlineStr">
        <is>
          <t>sí</t>
        </is>
      </c>
      <c r="AA51" s="2" t="n"/>
      <c r="AB51" s="2" t="n">
        <v>12</v>
      </c>
      <c r="AC51" s="2" t="n"/>
      <c r="AD51" s="2" t="n"/>
      <c r="AE51" s="2" t="n"/>
      <c r="AF51" s="2" t="inlineStr">
        <is>
          <t>sí</t>
        </is>
      </c>
      <c r="AG51" s="2" t="n"/>
      <c r="AH51" s="2" t="n">
        <v>4490</v>
      </c>
      <c r="AI51" s="2" t="n"/>
      <c r="AJ51" s="2" t="n"/>
      <c r="AK51" s="2" t="n"/>
      <c r="AL51" s="2" t="n"/>
      <c r="AM51" s="2" t="n">
        <v>0.1</v>
      </c>
      <c r="AN51" s="2" t="n"/>
      <c r="AO51" s="2" t="inlineStr">
        <is>
          <t>2006</t>
        </is>
      </c>
      <c r="AP51" s="2" t="n">
        <v>2006</v>
      </c>
      <c r="AQ51" s="2" t="n"/>
      <c r="AR51" s="2" t="inlineStr">
        <is>
          <t>B</t>
        </is>
      </c>
      <c r="AS51" s="2" t="inlineStr">
        <is>
          <t>anuncio</t>
        </is>
      </c>
      <c r="AT51" s="2" t="n"/>
      <c r="AU51" s="2" t="inlineStr">
        <is>
          <t>no</t>
        </is>
      </c>
      <c r="AV51" s="2" t="inlineStr">
        <is>
          <t>no</t>
        </is>
      </c>
      <c r="AW51" s="2" t="inlineStr">
        <is>
          <t>no</t>
        </is>
      </c>
      <c r="AX51" s="2" t="n">
        <v>2500</v>
      </c>
      <c r="AY51" s="2" t="n">
        <v>64</v>
      </c>
      <c r="AZ51" s="2" t="inlineStr">
        <is>
          <t>modelo+año</t>
        </is>
      </c>
      <c r="BA51" s="2" t="n"/>
      <c r="BB51" s="2" t="inlineStr">
        <is>
          <t>vendedor profesional: sin ITP (operación con IVA/REBU, confirmar en factura); gastos de gestión del vendedor no indicados: se suma la tasa DGT; preguntar el precio final</t>
        </is>
      </c>
      <c r="BC51" s="2" t="inlineStr">
        <is>
          <t>****PARA MAS INFORMACIÓN, SOLO SE ATENDERÁ MEDIANTE LAMADA TELEFÓNICA. NO SE CONTESTARAN MENSAJES POR CHAT. SOLO LLAMADAS****
Vehículo DISPONIBLE - Entrega INMEDIATA (IMPECABLE).
*****Para + información, contactar SOLO por vía telefónica.
Para ver y probar el Vehículo siempre con CITA PREVIA*****.
Vehículo nacional. Único propietario. Historial de Mantenimiento del Vehículo. Kilómetros CERTIFICADOS. ITV en vigor hasta 2027 (Favorable). Revisión de mantenimiento + Kit de Distribución al día. Neumáticos Bridgestone. Dispone de pegatina medio ambiental.
EXTRAS: Acabado ENJOY/SPORT. Con Climatizador digital. Faros deportivos Xenón con óptica negra. Ordenador abordo. Sistema de Audio OPEL. Cierre centralizado. Elevalunas eléctricos. Retrovisores eléctricos. Abs/Esp/Airbargs/Isofix en asientos traseros. Antinieblas delanter/trasero. Gran capacidad de maletero. Pintura metalizada. Dispone de 2 llaves con mando. LLantas de aleación en 16 pulgadas. ETC.
Vehículo económico, amplio, versátil y de bajo consumo.
***Cambio de nombre. Más Seguro Mecánico PLUS de 1 año:  500.-€***.
Para + INFO, contactar solo por vía telefónica...</t>
        </is>
      </c>
      <c r="BD51" s="2" t="inlineStr">
        <is>
          <t>https://www.coches.net/opel-astra-14-enjoy-5p-gasolina-2006-en-valencia-71722524-covo.aspx (window.__INITIAL_PROPS__.ad) /home/user/Alopecia/buscador-coches/raw/cochesnet/30ba241b7773e8c7.json</t>
        </is>
      </c>
      <c r="BE51" s="3">
        <f>MAX(ANIO_ACTUAL-M51,0)</f>
        <v/>
      </c>
      <c r="BF51" s="4">
        <f>N51/MAX(BE51,0.5)</f>
        <v/>
      </c>
      <c r="BG51" s="4">
        <f>F51</f>
        <v/>
      </c>
      <c r="BH51" s="3">
        <f>BG51&amp;"|"&amp;INT(M51/SEG_ANIO)*SEG_ANIO</f>
        <v/>
      </c>
      <c r="BI51" s="3">
        <f>BH51&amp;"|"&amp;INT(N51/SEG_KM)*SEG_KM</f>
        <v/>
      </c>
      <c r="BJ51" s="4">
        <f>COUNTIF($BG$2:$BG$130,BG51)</f>
        <v/>
      </c>
      <c r="BK51" s="4">
        <f>COUNTIF($BH$2:$BH$130,BH51)</f>
        <v/>
      </c>
      <c r="BL51" s="4">
        <f>COUNTIF($BI$2:$BI$130,BI51)</f>
        <v/>
      </c>
      <c r="BM51" s="3">
        <f t="array" ref="BM51">IF(N(AY51)&gt;=MIN_N,AX51,IF(BL51&gt;=MIN_N,MEDIAN(IF($BI$2:$BI$130=BI51,$O$2:$O$130)),IF(BK51&gt;=MIN_N,MEDIAN(IF($BH$2:$BH$130=BH51,$O$2:$O$130)),MEDIAN(IF($BG$2:$BG$130=BG51,$O$2:$O$130)))))</f>
        <v/>
      </c>
      <c r="BN51" s="3">
        <f>IF(N(AY51)&gt;=MIN_N,"mercado "&amp;AZ51,IF(BL51&gt;=MIN_N,"modelo+año+km",IF(BK51&gt;=MIN_N,"modelo+año","modelo")))</f>
        <v/>
      </c>
      <c r="BO51" s="4">
        <f>(BM51-O51)/BM51</f>
        <v/>
      </c>
      <c r="BP51" s="3">
        <f>IF(COUNTIFS(FR_FUEL,K51,FR_YEAR,AP51)&gt;0,1,0)</f>
        <v/>
      </c>
      <c r="BQ51" s="3">
        <f>IF(COUNTIFS(FR_FUEL,K51,FR_YEAR,AP51-1)&gt;0,1,0)</f>
        <v/>
      </c>
      <c r="BR51" s="4">
        <f>IF(N(AQ51)&gt;0,AP51*100+AQ51,IF(AND(BP51=1,BQ51=1),(AP51-1)*100+1,AP51*100+1))</f>
        <v/>
      </c>
      <c r="BS51" s="3">
        <f>IF(OR(K51="hibrido",K51="glp",K51="gnc",K51="phev"),"ECO",IF(K51="electrico","CERO",IF(K51="gasolina",IF(BR51&gt;=GAS_C_YM,"C",IF(BR51&gt;=GAS_B_YM,"B","A")),IF(K51="diesel",IF(BR51&gt;=DIE_C_YM,"C",IF(BR51&gt;=DIE_B_YM,"B","A")),""))))</f>
        <v/>
      </c>
      <c r="BT51" s="2" t="inlineStr">
        <is>
          <t>B</t>
        </is>
      </c>
      <c r="BU51" s="4">
        <f>IF(AU51="sí","sí",IF(AS51="regla",IF(AND(N(AQ51)=0,BP51=1),"sí","no"),"no"))</f>
        <v/>
      </c>
      <c r="BV51" s="3">
        <f>IFERROR(VLOOKUP(F51,MOD_TBL,16,0),IFERROR(VLOOKUP(E51,OCU_TBL,2,0),NEUTRO))</f>
        <v/>
      </c>
      <c r="BW51" s="3">
        <f>SUMIFS(MOT_AJUSTE,MOT_MOTOR,G51,MOT_MARCA,E51,MOT_DESDE,"&lt;="&amp;M51,MOT_HASTA,"&gt;="&amp;M51)+SUMIFS(MOT_AJUSTE,MOT_MOTOR,G51,MOT_MARCA,"(todas)",MOT_DESDE,"&lt;="&amp;M51,MOT_HASTA,"&gt;="&amp;M51)+SUMIFS(MOT_AJUSTE,MOT_MOTOR,"(cualquiera)",MOT_MARCA,E51,MOT_DESDE,"&lt;="&amp;M51,MOT_HASTA,"&gt;="&amp;M51)</f>
        <v/>
      </c>
      <c r="BX51" s="3">
        <f>SUMIFS(COMB_AJUSTE,COMB_COMB,K51)</f>
        <v/>
      </c>
      <c r="BY51" s="3">
        <f>COUNTIFS(MOT_MOTOR,G51,MOT_MARCA,E51,MOT_DESDE,"&lt;="&amp;M51,MOT_HASTA,"&gt;="&amp;M51)+COUNTIFS(MOT_MOTOR,G51,MOT_MARCA,"(todas)",MOT_DESDE,"&lt;="&amp;M51,MOT_HASTA,"&gt;="&amp;M51)+COUNTIFS(MOT_MOTOR,"(cualquiera)",MOT_MARCA,E51,MOT_DESDE,"&lt;="&amp;M51,MOT_HASTA,"&gt;="&amp;M51)</f>
        <v/>
      </c>
      <c r="BZ51" s="3">
        <f>IF(AND(K51="diesel",BY51=0),MIN(BV51,NEUTRO),BV51)</f>
        <v/>
      </c>
      <c r="CA51" s="3">
        <f>MAX(0,MIN(100,BZ51+BW51+BX51-IF(AV51="sí",ROB_PEN,0)))</f>
        <v/>
      </c>
      <c r="CB51" s="3">
        <f>100-MAX(0,N51-KM_TOPE_DESDE)/1000*KM_TOPE_PTS</f>
        <v/>
      </c>
      <c r="CC51" s="3">
        <f>MAX(0,MIN(100,50+BO51*PRECIO_PEND,CB51))</f>
        <v/>
      </c>
      <c r="CD51" s="3">
        <f>MAX(0,100*(1-N51/KM_MAX))</f>
        <v/>
      </c>
      <c r="CE51" s="3">
        <f>IF(BF51&lt;KMA_SOSP,IF(AA51="sí",100,KMA_PEN),IF(BF51&lt;=KMA_IDEAL_MAX,100,MAX(0,100*(KMA_CERO-BF51)/(KMA_CERO-KMA_IDEAL_MAX))))</f>
        <v/>
      </c>
      <c r="CF51" s="3">
        <f>MAX(0,MIN(100,100*(M51-ANIO_MIN)/(ANIO_ACTUAL-ANIO_MIN)))</f>
        <v/>
      </c>
      <c r="CG51" s="3">
        <f>W_KMT*CD51+W_KMA*CE51+W_EDAD*CF51</f>
        <v/>
      </c>
      <c r="CH51" s="3">
        <f>P_ITV*(V51="sí")+P_LIBRO*(W51="sí")+P_CORREA*(X51="sí")+P_PROP*(Y51=1)+P_GAR*(Z51="sí")+P_FOTOS*MIN(1,N(U51)/FOTOS_OBJ)</f>
        <v/>
      </c>
      <c r="CI51" s="3">
        <f>MAX(0,MIN(100,IFERROR(VLOOKUP(BT51,ETQ_TBL,2,0),0)-IF(BU51="sí",ETQ_PEN_DUD,IF(AS51="regla",ETQ_PEN_REGLA,0))))</f>
        <v/>
      </c>
      <c r="CJ51" s="3">
        <f>IF(K51&lt;&gt;"gasolina","",IFERROR(VLOOKUP(F51,CONS_MOD_TBL,2,0),IFERROR(VLOOKUP(L51,CONS_SEG_TBL,2,0),"")))</f>
        <v/>
      </c>
      <c r="CK51" s="3">
        <f>IF(CJ51="",NEUTRO,MAX(0,MIN(100,100*(CONS_REF_MAX-CJ51)/(CONS_REF_MAX-CONS_REF_MIN))))</f>
        <v/>
      </c>
      <c r="CL51" s="3">
        <f>IFERROR(VLOOKUP(L51,SEGURO_TBL,3,0),"")</f>
        <v/>
      </c>
      <c r="CM51" s="3">
        <f>IF(CL51="",NEUTRO,MAX(0,MIN(100,100*(SEG_REF_MAX-CL51)/(SEG_REF_MAX-SEG_REF_MIN))))</f>
        <v/>
      </c>
      <c r="CN51" s="3">
        <f>W_CONS*CK51+W_SEG*CM51</f>
        <v/>
      </c>
      <c r="CO51" s="3">
        <f>IF(N(AB51)&gt;0,AB51,IF(AND(R51="profesional",SG_LEGAL_ON=1),GAR_LEGAL,0))</f>
        <v/>
      </c>
      <c r="CP51" s="3">
        <f>SG_GAR*MIN(1,CO51/SG_GAR_FULL)+SG_AMPL*(AC51="sí")+SG_KMC*(AF51="sí")+SG_REV*(N(AE51)&gt;0)+SG_DEV*MIN(1,N(AG51)/SG_DEV_FULL)+SG_HIST*(W51="sí")</f>
        <v/>
      </c>
      <c r="CQ51" s="3">
        <f>IF(AW51="sí",ESTILO_PRIO,IFERROR(VLOOKUP(L51,ESTILO_TBL,2,0),NEUTRO))</f>
        <v/>
      </c>
      <c r="CR51" s="3">
        <f>IFERROR(VLOOKUP(L51,CARR_PEN_TBL,2,0),0)</f>
        <v/>
      </c>
      <c r="CS51" s="3">
        <f>W_FIAB*CA51+W_PRECIO*CC51+W_KMEDAD*CG51+W_ANUNCIO*CH51+W_USO*CN51+W_SEGURIDAD*CP51+W_ETIQUETA*CI51+W_ESTILO*CQ51-CR51</f>
        <v/>
      </c>
      <c r="CT51" s="4">
        <f>IF(N(I51)&gt;0,I51,IFERROR(ROUND(_xlfn.NUMBERVALUE(LEFT(G51,FIND(" ",G51&amp;" ")-1),".")*1000,0),99999))</f>
        <v/>
      </c>
      <c r="CU51" s="3">
        <f>IF(R51="profesional",0,IF(O51&lt;CUOTA_VALOR_MAX,IF(BE51&gt;ITP_TRAMO_ALTO,SUMIFS(CF_CUOTA,CF_MAS,ITP_TRAMO_ALTO,CF_CCMIN,"&lt;="&amp;CT51,CF_CCMAX,"&gt;="&amp;CT51),IF(BE51&gt;ITP_TRAMO_BAJO,SUMIFS(CF_CUOTA,CF_MAS,ITP_TRAMO_BAJO,CF_CCMIN,"&lt;="&amp;CT51,CF_CCMAX,"&gt;="&amp;CT51),O51*ITP_TIPO)),O51*ITP_TIPO))</f>
        <v/>
      </c>
      <c r="CV51" s="4">
        <f>IF(R51="profesional",N(AK51),0)</f>
        <v/>
      </c>
      <c r="CW51" s="3">
        <f>IF(AND(R51="profesional",ISNUMBER(AK51),AL51="sí"),0,TASA_DGT)</f>
        <v/>
      </c>
      <c r="CX51" s="3">
        <f>INFORME_DGT</f>
        <v/>
      </c>
      <c r="CY51" s="4">
        <f>O51+CV51+CU51+CW51+CX51</f>
        <v/>
      </c>
      <c r="CZ51" s="4">
        <f>CY51+N(CL51)</f>
        <v/>
      </c>
      <c r="DA51" s="3">
        <f>IF(CY51&lt;=TOTAL_MAX,"sí",IF(CY51&lt;=TOTAL_MAX+MARGEN_NEG,"negociar","no"))</f>
        <v/>
      </c>
      <c r="DB51" s="4">
        <f>IF(DA51&lt;&gt;"no",COUNTIFS($DA$2:$DA$130,"&lt;&gt;no",$CS$2:$CS$130,"&gt;"&amp;CS51)+COUNTIFS($DA$2:DA51,"&lt;&gt;no",$CS$2:CS51,CS51),"")</f>
        <v/>
      </c>
    </row>
    <row r="52">
      <c r="A52" s="2" t="inlineStr">
        <is>
          <t>cochesnet:71241892</t>
        </is>
      </c>
      <c r="B52" s="2" t="inlineStr">
        <is>
          <t>cochesnet</t>
        </is>
      </c>
      <c r="C52" s="2" t="inlineStr">
        <is>
          <t>https://www.coches.net/opel-astra-17-cdti-enjoy-sw-5p-diesel-2007-en-valencia-71241892-covo.aspx</t>
        </is>
      </c>
      <c r="D52" s="2" t="inlineStr">
        <is>
          <t>OPEL Astra 1.7 CDTi Enjoy SW</t>
        </is>
      </c>
      <c r="E52" s="2" t="inlineStr">
        <is>
          <t>Opel</t>
        </is>
      </c>
      <c r="F52" s="2" t="inlineStr">
        <is>
          <t>Opel Astra</t>
        </is>
      </c>
      <c r="G52" s="2" t="inlineStr">
        <is>
          <t>1.7 CDTi</t>
        </is>
      </c>
      <c r="H52" s="2" t="inlineStr">
        <is>
          <t>1.7 CDTi Enjoy SW</t>
        </is>
      </c>
      <c r="I52" s="2" t="n"/>
      <c r="J52" s="2" t="n"/>
      <c r="K52" s="2" t="inlineStr">
        <is>
          <t>diesel</t>
        </is>
      </c>
      <c r="L52" s="2" t="inlineStr">
        <is>
          <t>familiar</t>
        </is>
      </c>
      <c r="M52" s="2" t="n">
        <v>2006</v>
      </c>
      <c r="N52" s="2" t="n">
        <v>168488</v>
      </c>
      <c r="O52" s="2" t="n">
        <v>3490</v>
      </c>
      <c r="P52" s="2" t="inlineStr">
        <is>
          <t>manual</t>
        </is>
      </c>
      <c r="Q52" s="2" t="inlineStr">
        <is>
          <t>no</t>
        </is>
      </c>
      <c r="R52" s="2" t="inlineStr">
        <is>
          <t>profesional</t>
        </is>
      </c>
      <c r="S52" s="2" t="inlineStr">
        <is>
          <t>Automóviles Nord Bonrepòs i Mirambell</t>
        </is>
      </c>
      <c r="T52" s="2" t="inlineStr">
        <is>
          <t>2026-08-06T13:08:47Z</t>
        </is>
      </c>
      <c r="U52" s="2" t="n">
        <v>15</v>
      </c>
      <c r="V52" s="2" t="n"/>
      <c r="W52" s="2" t="inlineStr">
        <is>
          <t>sí</t>
        </is>
      </c>
      <c r="X52" s="2" t="n"/>
      <c r="Y52" s="2" t="n">
        <v>1</v>
      </c>
      <c r="Z52" s="2" t="inlineStr">
        <is>
          <t>sí</t>
        </is>
      </c>
      <c r="AA52" s="2" t="n"/>
      <c r="AB52" s="2" t="n">
        <v>12</v>
      </c>
      <c r="AC52" s="2" t="n"/>
      <c r="AD52" s="2" t="n"/>
      <c r="AE52" s="2" t="n"/>
      <c r="AF52" s="2" t="n"/>
      <c r="AG52" s="2" t="n"/>
      <c r="AH52" s="2" t="n">
        <v>3490</v>
      </c>
      <c r="AI52" s="2" t="n"/>
      <c r="AJ52" s="2" t="n"/>
      <c r="AK52" s="2" t="n"/>
      <c r="AL52" s="2" t="n"/>
      <c r="AM52" s="2" t="n">
        <v>5.3</v>
      </c>
      <c r="AN52" s="2" t="n"/>
      <c r="AO52" s="2" t="inlineStr">
        <is>
          <t>2006</t>
        </is>
      </c>
      <c r="AP52" s="2" t="n">
        <v>2006</v>
      </c>
      <c r="AQ52" s="2" t="n"/>
      <c r="AR52" s="2" t="inlineStr">
        <is>
          <t>B</t>
        </is>
      </c>
      <c r="AS52" s="2" t="inlineStr">
        <is>
          <t>anuncio</t>
        </is>
      </c>
      <c r="AT52" s="2" t="n">
        <v>2007</v>
      </c>
      <c r="AU52" s="2" t="inlineStr">
        <is>
          <t>no</t>
        </is>
      </c>
      <c r="AV52" s="2" t="inlineStr">
        <is>
          <t>no</t>
        </is>
      </c>
      <c r="AW52" s="2" t="inlineStr">
        <is>
          <t>no</t>
        </is>
      </c>
      <c r="AX52" s="2" t="n">
        <v>2850</v>
      </c>
      <c r="AY52" s="2" t="n">
        <v>16</v>
      </c>
      <c r="AZ52" s="2" t="inlineStr">
        <is>
          <t>modelo+año+km</t>
        </is>
      </c>
      <c r="BA52" s="2" t="n"/>
      <c r="BB52" s="2" t="inlineStr">
        <is>
          <t>año a confirmar: la URL/título dice 2007; vendedor profesional: sin ITP (operación con IVA/REBU, confirmar en factura); gastos de gestión del vendedor no indicados: se suma la tasa DGT; preguntar el precio final; diésel: motor sin fuente de fiabilidad (fiabilidad limitada a neutra); carrocería familiar: -3 puntos</t>
        </is>
      </c>
      <c r="BC52" s="2" t="inlineStr">
        <is>
          <t>-Automóviles Nord-
Opel Astra SW 1.7CDTi motor diésel de bajo consumo de procedencia nacional y único propietario.
El vehículo dispone de los siguientes extras: 
-Cierre centralizado
-Ordenador de abordo
-Elevalunas delanteros eléctricos
-Asientos confort 
-Radio cd mp3 
-Sistema ABS y control de estabilidad ESP
-Aire acondicionado
-El vehículo se entrega con la ITV y el mantenimiento al día
-Dirección asistida
-Dos llaves
-Ordenador abordo
El anuncio puede contener errores tipográficos y esta sujeto a cambios o variaciones por el vendedor en cualquier momento
Para mas información llamar al teléfono de contacto.
OPEL ASTRA EN SILLA</t>
        </is>
      </c>
      <c r="BD52" s="2" t="inlineStr">
        <is>
          <t>https://www.coches.net/opel-astra-17-cdti-enjoy-sw-5p-diesel-2007-en-valencia-71241892-covo.aspx (window.__INITIAL_PROPS__.ad) /home/user/Alopecia/buscador-coches/raw/cochesnet/dce79a1705535ace.json</t>
        </is>
      </c>
      <c r="BE52" s="3">
        <f>MAX(ANIO_ACTUAL-M52,0)</f>
        <v/>
      </c>
      <c r="BF52" s="4">
        <f>N52/MAX(BE52,0.5)</f>
        <v/>
      </c>
      <c r="BG52" s="4">
        <f>F52</f>
        <v/>
      </c>
      <c r="BH52" s="3">
        <f>BG52&amp;"|"&amp;INT(M52/SEG_ANIO)*SEG_ANIO</f>
        <v/>
      </c>
      <c r="BI52" s="3">
        <f>BH52&amp;"|"&amp;INT(N52/SEG_KM)*SEG_KM</f>
        <v/>
      </c>
      <c r="BJ52" s="4">
        <f>COUNTIF($BG$2:$BG$130,BG52)</f>
        <v/>
      </c>
      <c r="BK52" s="4">
        <f>COUNTIF($BH$2:$BH$130,BH52)</f>
        <v/>
      </c>
      <c r="BL52" s="4">
        <f>COUNTIF($BI$2:$BI$130,BI52)</f>
        <v/>
      </c>
      <c r="BM52" s="3">
        <f t="array" ref="BM52">IF(N(AY52)&gt;=MIN_N,AX52,IF(BL52&gt;=MIN_N,MEDIAN(IF($BI$2:$BI$130=BI52,$O$2:$O$130)),IF(BK52&gt;=MIN_N,MEDIAN(IF($BH$2:$BH$130=BH52,$O$2:$O$130)),MEDIAN(IF($BG$2:$BG$130=BG52,$O$2:$O$130)))))</f>
        <v/>
      </c>
      <c r="BN52" s="3">
        <f>IF(N(AY52)&gt;=MIN_N,"mercado "&amp;AZ52,IF(BL52&gt;=MIN_N,"modelo+año+km",IF(BK52&gt;=MIN_N,"modelo+año","modelo")))</f>
        <v/>
      </c>
      <c r="BO52" s="4">
        <f>(BM52-O52)/BM52</f>
        <v/>
      </c>
      <c r="BP52" s="3">
        <f>IF(COUNTIFS(FR_FUEL,K52,FR_YEAR,AP52)&gt;0,1,0)</f>
        <v/>
      </c>
      <c r="BQ52" s="3">
        <f>IF(COUNTIFS(FR_FUEL,K52,FR_YEAR,AP52-1)&gt;0,1,0)</f>
        <v/>
      </c>
      <c r="BR52" s="4">
        <f>IF(N(AQ52)&gt;0,AP52*100+AQ52,IF(AND(BP52=1,BQ52=1),(AP52-1)*100+1,AP52*100+1))</f>
        <v/>
      </c>
      <c r="BS52" s="3">
        <f>IF(OR(K52="hibrido",K52="glp",K52="gnc",K52="phev"),"ECO",IF(K52="electrico","CERO",IF(K52="gasolina",IF(BR52&gt;=GAS_C_YM,"C",IF(BR52&gt;=GAS_B_YM,"B","A")),IF(K52="diesel",IF(BR52&gt;=DIE_C_YM,"C",IF(BR52&gt;=DIE_B_YM,"B","A")),""))))</f>
        <v/>
      </c>
      <c r="BT52" s="2" t="inlineStr">
        <is>
          <t>B</t>
        </is>
      </c>
      <c r="BU52" s="4">
        <f>IF(AU52="sí","sí",IF(AS52="regla",IF(AND(N(AQ52)=0,BP52=1),"sí","no"),"no"))</f>
        <v/>
      </c>
      <c r="BV52" s="3">
        <f>IFERROR(VLOOKUP(F52,MOD_TBL,16,0),IFERROR(VLOOKUP(E52,OCU_TBL,2,0),NEUTRO))</f>
        <v/>
      </c>
      <c r="BW52" s="3">
        <f>SUMIFS(MOT_AJUSTE,MOT_MOTOR,G52,MOT_MARCA,E52,MOT_DESDE,"&lt;="&amp;M52,MOT_HASTA,"&gt;="&amp;M52)+SUMIFS(MOT_AJUSTE,MOT_MOTOR,G52,MOT_MARCA,"(todas)",MOT_DESDE,"&lt;="&amp;M52,MOT_HASTA,"&gt;="&amp;M52)+SUMIFS(MOT_AJUSTE,MOT_MOTOR,"(cualquiera)",MOT_MARCA,E52,MOT_DESDE,"&lt;="&amp;M52,MOT_HASTA,"&gt;="&amp;M52)</f>
        <v/>
      </c>
      <c r="BX52" s="3">
        <f>SUMIFS(COMB_AJUSTE,COMB_COMB,K52)</f>
        <v/>
      </c>
      <c r="BY52" s="3">
        <f>COUNTIFS(MOT_MOTOR,G52,MOT_MARCA,E52,MOT_DESDE,"&lt;="&amp;M52,MOT_HASTA,"&gt;="&amp;M52)+COUNTIFS(MOT_MOTOR,G52,MOT_MARCA,"(todas)",MOT_DESDE,"&lt;="&amp;M52,MOT_HASTA,"&gt;="&amp;M52)+COUNTIFS(MOT_MOTOR,"(cualquiera)",MOT_MARCA,E52,MOT_DESDE,"&lt;="&amp;M52,MOT_HASTA,"&gt;="&amp;M52)</f>
        <v/>
      </c>
      <c r="BZ52" s="3">
        <f>IF(AND(K52="diesel",BY52=0),MIN(BV52,NEUTRO),BV52)</f>
        <v/>
      </c>
      <c r="CA52" s="3">
        <f>MAX(0,MIN(100,BZ52+BW52+BX52-IF(AV52="sí",ROB_PEN,0)))</f>
        <v/>
      </c>
      <c r="CB52" s="3">
        <f>100-MAX(0,N52-KM_TOPE_DESDE)/1000*KM_TOPE_PTS</f>
        <v/>
      </c>
      <c r="CC52" s="3">
        <f>MAX(0,MIN(100,50+BO52*PRECIO_PEND,CB52))</f>
        <v/>
      </c>
      <c r="CD52" s="3">
        <f>MAX(0,100*(1-N52/KM_MAX))</f>
        <v/>
      </c>
      <c r="CE52" s="3">
        <f>IF(BF52&lt;KMA_SOSP,IF(AA52="sí",100,KMA_PEN),IF(BF52&lt;=KMA_IDEAL_MAX,100,MAX(0,100*(KMA_CERO-BF52)/(KMA_CERO-KMA_IDEAL_MAX))))</f>
        <v/>
      </c>
      <c r="CF52" s="3">
        <f>MAX(0,MIN(100,100*(M52-ANIO_MIN)/(ANIO_ACTUAL-ANIO_MIN)))</f>
        <v/>
      </c>
      <c r="CG52" s="3">
        <f>W_KMT*CD52+W_KMA*CE52+W_EDAD*CF52</f>
        <v/>
      </c>
      <c r="CH52" s="3">
        <f>P_ITV*(V52="sí")+P_LIBRO*(W52="sí")+P_CORREA*(X52="sí")+P_PROP*(Y52=1)+P_GAR*(Z52="sí")+P_FOTOS*MIN(1,N(U52)/FOTOS_OBJ)</f>
        <v/>
      </c>
      <c r="CI52" s="3">
        <f>MAX(0,MIN(100,IFERROR(VLOOKUP(BT52,ETQ_TBL,2,0),0)-IF(BU52="sí",ETQ_PEN_DUD,IF(AS52="regla",ETQ_PEN_REGLA,0))))</f>
        <v/>
      </c>
      <c r="CJ52" s="3">
        <f>IF(K52&lt;&gt;"gasolina","",IFERROR(VLOOKUP(F52,CONS_MOD_TBL,2,0),IFERROR(VLOOKUP(L52,CONS_SEG_TBL,2,0),"")))</f>
        <v/>
      </c>
      <c r="CK52" s="3">
        <f>IF(CJ52="",NEUTRO,MAX(0,MIN(100,100*(CONS_REF_MAX-CJ52)/(CONS_REF_MAX-CONS_REF_MIN))))</f>
        <v/>
      </c>
      <c r="CL52" s="3">
        <f>IFERROR(VLOOKUP(L52,SEGURO_TBL,3,0),"")</f>
        <v/>
      </c>
      <c r="CM52" s="3">
        <f>IF(CL52="",NEUTRO,MAX(0,MIN(100,100*(SEG_REF_MAX-CL52)/(SEG_REF_MAX-SEG_REF_MIN))))</f>
        <v/>
      </c>
      <c r="CN52" s="3">
        <f>W_CONS*CK52+W_SEG*CM52</f>
        <v/>
      </c>
      <c r="CO52" s="3">
        <f>IF(N(AB52)&gt;0,AB52,IF(AND(R52="profesional",SG_LEGAL_ON=1),GAR_LEGAL,0))</f>
        <v/>
      </c>
      <c r="CP52" s="3">
        <f>SG_GAR*MIN(1,CO52/SG_GAR_FULL)+SG_AMPL*(AC52="sí")+SG_KMC*(AF52="sí")+SG_REV*(N(AE52)&gt;0)+SG_DEV*MIN(1,N(AG52)/SG_DEV_FULL)+SG_HIST*(W52="sí")</f>
        <v/>
      </c>
      <c r="CQ52" s="3">
        <f>IF(AW52="sí",ESTILO_PRIO,IFERROR(VLOOKUP(L52,ESTILO_TBL,2,0),NEUTRO))</f>
        <v/>
      </c>
      <c r="CR52" s="3">
        <f>IFERROR(VLOOKUP(L52,CARR_PEN_TBL,2,0),0)</f>
        <v/>
      </c>
      <c r="CS52" s="3">
        <f>W_FIAB*CA52+W_PRECIO*CC52+W_KMEDAD*CG52+W_ANUNCIO*CH52+W_USO*CN52+W_SEGURIDAD*CP52+W_ETIQUETA*CI52+W_ESTILO*CQ52-CR52</f>
        <v/>
      </c>
      <c r="CT52" s="4">
        <f>IF(N(I52)&gt;0,I52,IFERROR(ROUND(_xlfn.NUMBERVALUE(LEFT(G52,FIND(" ",G52&amp;" ")-1),".")*1000,0),99999))</f>
        <v/>
      </c>
      <c r="CU52" s="3">
        <f>IF(R52="profesional",0,IF(O52&lt;CUOTA_VALOR_MAX,IF(BE52&gt;ITP_TRAMO_ALTO,SUMIFS(CF_CUOTA,CF_MAS,ITP_TRAMO_ALTO,CF_CCMIN,"&lt;="&amp;CT52,CF_CCMAX,"&gt;="&amp;CT52),IF(BE52&gt;ITP_TRAMO_BAJO,SUMIFS(CF_CUOTA,CF_MAS,ITP_TRAMO_BAJO,CF_CCMIN,"&lt;="&amp;CT52,CF_CCMAX,"&gt;="&amp;CT52),O52*ITP_TIPO)),O52*ITP_TIPO))</f>
        <v/>
      </c>
      <c r="CV52" s="4">
        <f>IF(R52="profesional",N(AK52),0)</f>
        <v/>
      </c>
      <c r="CW52" s="3">
        <f>IF(AND(R52="profesional",ISNUMBER(AK52),AL52="sí"),0,TASA_DGT)</f>
        <v/>
      </c>
      <c r="CX52" s="3">
        <f>INFORME_DGT</f>
        <v/>
      </c>
      <c r="CY52" s="4">
        <f>O52+CV52+CU52+CW52+CX52</f>
        <v/>
      </c>
      <c r="CZ52" s="4">
        <f>CY52+N(CL52)</f>
        <v/>
      </c>
      <c r="DA52" s="3">
        <f>IF(CY52&lt;=TOTAL_MAX,"sí",IF(CY52&lt;=TOTAL_MAX+MARGEN_NEG,"negociar","no"))</f>
        <v/>
      </c>
      <c r="DB52" s="4">
        <f>IF(DA52&lt;&gt;"no",COUNTIFS($DA$2:$DA$130,"&lt;&gt;no",$CS$2:$CS$130,"&gt;"&amp;CS52)+COUNTIFS($DA$2:DA52,"&lt;&gt;no",$CS$2:CS52,CS52),"")</f>
        <v/>
      </c>
    </row>
    <row r="53">
      <c r="A53" s="2" t="inlineStr">
        <is>
          <t>cochesnet:71555949</t>
        </is>
      </c>
      <c r="B53" s="2" t="inlineStr">
        <is>
          <t>cochesnet</t>
        </is>
      </c>
      <c r="C53" s="2" t="inlineStr">
        <is>
          <t>https://www.coches.net/opel-meriva-17-cdti-110-cv-cosmo-5p-diesel-2012-en-valencia-71555949-covo.aspx</t>
        </is>
      </c>
      <c r="D53" s="2" t="inlineStr">
        <is>
          <t>OPEL Meriva 1.7 CDTI 110 CV Cosmo</t>
        </is>
      </c>
      <c r="E53" s="2" t="inlineStr">
        <is>
          <t>Opel</t>
        </is>
      </c>
      <c r="F53" s="2" t="inlineStr">
        <is>
          <t>Opel Meriva</t>
        </is>
      </c>
      <c r="G53" s="2" t="inlineStr">
        <is>
          <t>1.7 CDTi</t>
        </is>
      </c>
      <c r="H53" s="2" t="inlineStr">
        <is>
          <t>1.7 CDTI 110 CV Cosmo</t>
        </is>
      </c>
      <c r="I53" s="2" t="n"/>
      <c r="J53" s="2" t="n">
        <v>110</v>
      </c>
      <c r="K53" s="2" t="inlineStr">
        <is>
          <t>diesel</t>
        </is>
      </c>
      <c r="L53" s="2" t="inlineStr">
        <is>
          <t>monovolumen_pequeno</t>
        </is>
      </c>
      <c r="M53" s="2" t="n">
        <v>2011</v>
      </c>
      <c r="N53" s="2" t="n">
        <v>173000</v>
      </c>
      <c r="O53" s="2" t="n">
        <v>4990</v>
      </c>
      <c r="P53" s="2" t="inlineStr">
        <is>
          <t>manual</t>
        </is>
      </c>
      <c r="Q53" s="2" t="inlineStr">
        <is>
          <t>no</t>
        </is>
      </c>
      <c r="R53" s="2" t="inlineStr">
        <is>
          <t>profesional</t>
        </is>
      </c>
      <c r="S53" s="2" t="inlineStr">
        <is>
          <t>Saga Vehículos Massanassa</t>
        </is>
      </c>
      <c r="T53" s="2" t="inlineStr">
        <is>
          <t>2026-09-20T14:28:30Z</t>
        </is>
      </c>
      <c r="U53" s="2" t="n">
        <v>32</v>
      </c>
      <c r="V53" s="2" t="n"/>
      <c r="W53" s="2" t="n"/>
      <c r="X53" s="2" t="n"/>
      <c r="Y53" s="2" t="n"/>
      <c r="Z53" s="2" t="inlineStr">
        <is>
          <t>sí</t>
        </is>
      </c>
      <c r="AA53" s="2" t="n"/>
      <c r="AB53" s="2" t="n">
        <v>12</v>
      </c>
      <c r="AC53" s="2" t="inlineStr">
        <is>
          <t>sí</t>
        </is>
      </c>
      <c r="AD53" s="2" t="n"/>
      <c r="AE53" s="2" t="n"/>
      <c r="AF53" s="2" t="n"/>
      <c r="AG53" s="2" t="n"/>
      <c r="AH53" s="2" t="n">
        <v>4990</v>
      </c>
      <c r="AI53" s="2" t="n">
        <v>4990</v>
      </c>
      <c r="AJ53" s="2" t="n"/>
      <c r="AK53" s="2" t="n">
        <v>350</v>
      </c>
      <c r="AL53" s="2" t="inlineStr">
        <is>
          <t>no</t>
        </is>
      </c>
      <c r="AM53" s="2" t="n">
        <v>6.9</v>
      </c>
      <c r="AN53" s="2" t="n"/>
      <c r="AO53" s="2" t="inlineStr">
        <is>
          <t>2011</t>
        </is>
      </c>
      <c r="AP53" s="2" t="n">
        <v>2011</v>
      </c>
      <c r="AQ53" s="2" t="n"/>
      <c r="AR53" s="2" t="inlineStr">
        <is>
          <t>B</t>
        </is>
      </c>
      <c r="AS53" s="2" t="inlineStr">
        <is>
          <t>anuncio</t>
        </is>
      </c>
      <c r="AT53" s="2" t="n">
        <v>2012</v>
      </c>
      <c r="AU53" s="2" t="inlineStr">
        <is>
          <t>no</t>
        </is>
      </c>
      <c r="AV53" s="2" t="inlineStr">
        <is>
          <t>no</t>
        </is>
      </c>
      <c r="AW53" s="2" t="inlineStr">
        <is>
          <t>no</t>
        </is>
      </c>
      <c r="AX53" s="2" t="n">
        <v>4990</v>
      </c>
      <c r="AY53" s="2" t="n">
        <v>4</v>
      </c>
      <c r="AZ53" s="2" t="inlineStr">
        <is>
          <t>modelo+año</t>
        </is>
      </c>
      <c r="BA53" s="2" t="n"/>
      <c r="BB53" s="2" t="inlineStr">
        <is>
          <t>año a confirmar: la URL/título dice 2012; vendedor profesional: sin ITP (operación con IVA/REBU, confirmar en factura); gastos del vendedor sin indicar si incluyen la transferencia: se suma la tasa DGT; diésel: motor sin fuente de fiabilidad (fiabilidad limitada a neutra); carrocería monovolumen_pequeno: -6 puntos; revisar: no menciona la ITV; fiabilidad del modelo PENDIENTE de fuente (puntuación neutra)</t>
        </is>
      </c>
      <c r="BC53" s="2" t="inlineStr">
        <is>
          <t>Opel Meriva Cosmo 1.7 CDTi turbo, 110CV, Diésel, vehículo muy bien cuidado.
Más de 100 coches en stock, Por favor llámenos para más información, atendemos SOLO CON CITA PREVIA. Gracias!!!!
Financiación de hasta el 100% del vehículo!
Gestión documental no incluido 350€ 
Garantía Premium 12 Meses con cobertura a nivel nacional 399€
Saga Vehículos, estamos en C/ Motor Sant Agustí, 41, 46470 Massanassa, Valencia.
Horario: De lunes a viernes de 10:00 a 14:00 y de 16:00 a 19:00.
Sabado de 10:00 a 14:00.
- Aire acondicionado dual zone
- Dirección asistida
- Freno ABS/EBD
- Control de estabilidad ESP
- Airbags
- Control de crucero
- Ordenador abordo
- Sistema multimedia Bluetooth
- Llaves mandos a distancia y mucho mas....
Este anuncio no es vinculante, se muestra a titulo informativo y no contractual.</t>
        </is>
      </c>
      <c r="BD53" s="2" t="inlineStr">
        <is>
          <t>https://www.coches.net/opel-meriva-17-cdti-110-cv-cosmo-5p-diesel-2012-en-valencia-71555949-covo.aspx (window.__INITIAL_PROPS__.ad) /home/user/Alopecia/buscador-coches/raw/cochesnet/62519a7897b3af05.json</t>
        </is>
      </c>
      <c r="BE53" s="3">
        <f>MAX(ANIO_ACTUAL-M53,0)</f>
        <v/>
      </c>
      <c r="BF53" s="4">
        <f>N53/MAX(BE53,0.5)</f>
        <v/>
      </c>
      <c r="BG53" s="4">
        <f>F53</f>
        <v/>
      </c>
      <c r="BH53" s="3">
        <f>BG53&amp;"|"&amp;INT(M53/SEG_ANIO)*SEG_ANIO</f>
        <v/>
      </c>
      <c r="BI53" s="3">
        <f>BH53&amp;"|"&amp;INT(N53/SEG_KM)*SEG_KM</f>
        <v/>
      </c>
      <c r="BJ53" s="4">
        <f>COUNTIF($BG$2:$BG$130,BG53)</f>
        <v/>
      </c>
      <c r="BK53" s="4">
        <f>COUNTIF($BH$2:$BH$130,BH53)</f>
        <v/>
      </c>
      <c r="BL53" s="4">
        <f>COUNTIF($BI$2:$BI$130,BI53)</f>
        <v/>
      </c>
      <c r="BM53" s="3">
        <f t="array" ref="BM53">IF(N(AY53)&gt;=MIN_N,AX53,IF(BL53&gt;=MIN_N,MEDIAN(IF($BI$2:$BI$130=BI53,$O$2:$O$130)),IF(BK53&gt;=MIN_N,MEDIAN(IF($BH$2:$BH$130=BH53,$O$2:$O$130)),MEDIAN(IF($BG$2:$BG$130=BG53,$O$2:$O$130)))))</f>
        <v/>
      </c>
      <c r="BN53" s="3">
        <f>IF(N(AY53)&gt;=MIN_N,"mercado "&amp;AZ53,IF(BL53&gt;=MIN_N,"modelo+año+km",IF(BK53&gt;=MIN_N,"modelo+año","modelo")))</f>
        <v/>
      </c>
      <c r="BO53" s="4">
        <f>(BM53-O53)/BM53</f>
        <v/>
      </c>
      <c r="BP53" s="3">
        <f>IF(COUNTIFS(FR_FUEL,K53,FR_YEAR,AP53)&gt;0,1,0)</f>
        <v/>
      </c>
      <c r="BQ53" s="3">
        <f>IF(COUNTIFS(FR_FUEL,K53,FR_YEAR,AP53-1)&gt;0,1,0)</f>
        <v/>
      </c>
      <c r="BR53" s="4">
        <f>IF(N(AQ53)&gt;0,AP53*100+AQ53,IF(AND(BP53=1,BQ53=1),(AP53-1)*100+1,AP53*100+1))</f>
        <v/>
      </c>
      <c r="BS53" s="3">
        <f>IF(OR(K53="hibrido",K53="glp",K53="gnc",K53="phev"),"ECO",IF(K53="electrico","CERO",IF(K53="gasolina",IF(BR53&gt;=GAS_C_YM,"C",IF(BR53&gt;=GAS_B_YM,"B","A")),IF(K53="diesel",IF(BR53&gt;=DIE_C_YM,"C",IF(BR53&gt;=DIE_B_YM,"B","A")),""))))</f>
        <v/>
      </c>
      <c r="BT53" s="2" t="inlineStr">
        <is>
          <t>B</t>
        </is>
      </c>
      <c r="BU53" s="4">
        <f>IF(AU53="sí","sí",IF(AS53="regla",IF(AND(N(AQ53)=0,BP53=1),"sí","no"),"no"))</f>
        <v/>
      </c>
      <c r="BV53" s="3">
        <f>IFERROR(VLOOKUP(F53,MOD_TBL,16,0),IFERROR(VLOOKUP(E53,OCU_TBL,2,0),NEUTRO))</f>
        <v/>
      </c>
      <c r="BW53" s="3">
        <f>SUMIFS(MOT_AJUSTE,MOT_MOTOR,G53,MOT_MARCA,E53,MOT_DESDE,"&lt;="&amp;M53,MOT_HASTA,"&gt;="&amp;M53)+SUMIFS(MOT_AJUSTE,MOT_MOTOR,G53,MOT_MARCA,"(todas)",MOT_DESDE,"&lt;="&amp;M53,MOT_HASTA,"&gt;="&amp;M53)+SUMIFS(MOT_AJUSTE,MOT_MOTOR,"(cualquiera)",MOT_MARCA,E53,MOT_DESDE,"&lt;="&amp;M53,MOT_HASTA,"&gt;="&amp;M53)</f>
        <v/>
      </c>
      <c r="BX53" s="3">
        <f>SUMIFS(COMB_AJUSTE,COMB_COMB,K53)</f>
        <v/>
      </c>
      <c r="BY53" s="3">
        <f>COUNTIFS(MOT_MOTOR,G53,MOT_MARCA,E53,MOT_DESDE,"&lt;="&amp;M53,MOT_HASTA,"&gt;="&amp;M53)+COUNTIFS(MOT_MOTOR,G53,MOT_MARCA,"(todas)",MOT_DESDE,"&lt;="&amp;M53,MOT_HASTA,"&gt;="&amp;M53)+COUNTIFS(MOT_MOTOR,"(cualquiera)",MOT_MARCA,E53,MOT_DESDE,"&lt;="&amp;M53,MOT_HASTA,"&gt;="&amp;M53)</f>
        <v/>
      </c>
      <c r="BZ53" s="3">
        <f>IF(AND(K53="diesel",BY53=0),MIN(BV53,NEUTRO),BV53)</f>
        <v/>
      </c>
      <c r="CA53" s="3">
        <f>MAX(0,MIN(100,BZ53+BW53+BX53-IF(AV53="sí",ROB_PEN,0)))</f>
        <v/>
      </c>
      <c r="CB53" s="3">
        <f>100-MAX(0,N53-KM_TOPE_DESDE)/1000*KM_TOPE_PTS</f>
        <v/>
      </c>
      <c r="CC53" s="3">
        <f>MAX(0,MIN(100,50+BO53*PRECIO_PEND,CB53))</f>
        <v/>
      </c>
      <c r="CD53" s="3">
        <f>MAX(0,100*(1-N53/KM_MAX))</f>
        <v/>
      </c>
      <c r="CE53" s="3">
        <f>IF(BF53&lt;KMA_SOSP,IF(AA53="sí",100,KMA_PEN),IF(BF53&lt;=KMA_IDEAL_MAX,100,MAX(0,100*(KMA_CERO-BF53)/(KMA_CERO-KMA_IDEAL_MAX))))</f>
        <v/>
      </c>
      <c r="CF53" s="3">
        <f>MAX(0,MIN(100,100*(M53-ANIO_MIN)/(ANIO_ACTUAL-ANIO_MIN)))</f>
        <v/>
      </c>
      <c r="CG53" s="3">
        <f>W_KMT*CD53+W_KMA*CE53+W_EDAD*CF53</f>
        <v/>
      </c>
      <c r="CH53" s="3">
        <f>P_ITV*(V53="sí")+P_LIBRO*(W53="sí")+P_CORREA*(X53="sí")+P_PROP*(Y53=1)+P_GAR*(Z53="sí")+P_FOTOS*MIN(1,N(U53)/FOTOS_OBJ)</f>
        <v/>
      </c>
      <c r="CI53" s="3">
        <f>MAX(0,MIN(100,IFERROR(VLOOKUP(BT53,ETQ_TBL,2,0),0)-IF(BU53="sí",ETQ_PEN_DUD,IF(AS53="regla",ETQ_PEN_REGLA,0))))</f>
        <v/>
      </c>
      <c r="CJ53" s="3">
        <f>IF(K53&lt;&gt;"gasolina","",IFERROR(VLOOKUP(F53,CONS_MOD_TBL,2,0),IFERROR(VLOOKUP(L53,CONS_SEG_TBL,2,0),"")))</f>
        <v/>
      </c>
      <c r="CK53" s="3">
        <f>IF(CJ53="",NEUTRO,MAX(0,MIN(100,100*(CONS_REF_MAX-CJ53)/(CONS_REF_MAX-CONS_REF_MIN))))</f>
        <v/>
      </c>
      <c r="CL53" s="3">
        <f>IFERROR(VLOOKUP(L53,SEGURO_TBL,3,0),"")</f>
        <v/>
      </c>
      <c r="CM53" s="3">
        <f>IF(CL53="",NEUTRO,MAX(0,MIN(100,100*(SEG_REF_MAX-CL53)/(SEG_REF_MAX-SEG_REF_MIN))))</f>
        <v/>
      </c>
      <c r="CN53" s="3">
        <f>W_CONS*CK53+W_SEG*CM53</f>
        <v/>
      </c>
      <c r="CO53" s="3">
        <f>IF(N(AB53)&gt;0,AB53,IF(AND(R53="profesional",SG_LEGAL_ON=1),GAR_LEGAL,0))</f>
        <v/>
      </c>
      <c r="CP53" s="3">
        <f>SG_GAR*MIN(1,CO53/SG_GAR_FULL)+SG_AMPL*(AC53="sí")+SG_KMC*(AF53="sí")+SG_REV*(N(AE53)&gt;0)+SG_DEV*MIN(1,N(AG53)/SG_DEV_FULL)+SG_HIST*(W53="sí")</f>
        <v/>
      </c>
      <c r="CQ53" s="3">
        <f>IF(AW53="sí",ESTILO_PRIO,IFERROR(VLOOKUP(L53,ESTILO_TBL,2,0),NEUTRO))</f>
        <v/>
      </c>
      <c r="CR53" s="3">
        <f>IFERROR(VLOOKUP(L53,CARR_PEN_TBL,2,0),0)</f>
        <v/>
      </c>
      <c r="CS53" s="3">
        <f>W_FIAB*CA53+W_PRECIO*CC53+W_KMEDAD*CG53+W_ANUNCIO*CH53+W_USO*CN53+W_SEGURIDAD*CP53+W_ETIQUETA*CI53+W_ESTILO*CQ53-CR53</f>
        <v/>
      </c>
      <c r="CT53" s="4">
        <f>IF(N(I53)&gt;0,I53,IFERROR(ROUND(_xlfn.NUMBERVALUE(LEFT(G53,FIND(" ",G53&amp;" ")-1),".")*1000,0),99999))</f>
        <v/>
      </c>
      <c r="CU53" s="3">
        <f>IF(R53="profesional",0,IF(O53&lt;CUOTA_VALOR_MAX,IF(BE53&gt;ITP_TRAMO_ALTO,SUMIFS(CF_CUOTA,CF_MAS,ITP_TRAMO_ALTO,CF_CCMIN,"&lt;="&amp;CT53,CF_CCMAX,"&gt;="&amp;CT53),IF(BE53&gt;ITP_TRAMO_BAJO,SUMIFS(CF_CUOTA,CF_MAS,ITP_TRAMO_BAJO,CF_CCMIN,"&lt;="&amp;CT53,CF_CCMAX,"&gt;="&amp;CT53),O53*ITP_TIPO)),O53*ITP_TIPO))</f>
        <v/>
      </c>
      <c r="CV53" s="4">
        <f>IF(R53="profesional",N(AK53),0)</f>
        <v/>
      </c>
      <c r="CW53" s="3">
        <f>IF(AND(R53="profesional",ISNUMBER(AK53),AL53="sí"),0,TASA_DGT)</f>
        <v/>
      </c>
      <c r="CX53" s="3">
        <f>INFORME_DGT</f>
        <v/>
      </c>
      <c r="CY53" s="4">
        <f>O53+CV53+CU53+CW53+CX53</f>
        <v/>
      </c>
      <c r="CZ53" s="4">
        <f>CY53+N(CL53)</f>
        <v/>
      </c>
      <c r="DA53" s="3">
        <f>IF(CY53&lt;=TOTAL_MAX,"sí",IF(CY53&lt;=TOTAL_MAX+MARGEN_NEG,"negociar","no"))</f>
        <v/>
      </c>
      <c r="DB53" s="4">
        <f>IF(DA53&lt;&gt;"no",COUNTIFS($DA$2:$DA$130,"&lt;&gt;no",$CS$2:$CS$130,"&gt;"&amp;CS53)+COUNTIFS($DA$2:DA53,"&lt;&gt;no",$CS$2:CS53,CS53),"")</f>
        <v/>
      </c>
    </row>
    <row r="54">
      <c r="A54" s="2" t="inlineStr">
        <is>
          <t>cochesnet:71508169</t>
        </is>
      </c>
      <c r="B54" s="2" t="inlineStr">
        <is>
          <t>cochesnet</t>
        </is>
      </c>
      <c r="C54" s="2" t="inlineStr">
        <is>
          <t>https://www.coches.net/renault-megane-coupecabrio-dynamique-16-16v-2p-gasolina-2007-en-valencia-71508169-covo.aspx</t>
        </is>
      </c>
      <c r="D54" s="2" t="inlineStr">
        <is>
          <t>RENAULT Mégane Coupecabrio Dynamique 1.6 16v</t>
        </is>
      </c>
      <c r="E54" s="2" t="inlineStr">
        <is>
          <t>Renault</t>
        </is>
      </c>
      <c r="F54" s="2" t="inlineStr">
        <is>
          <t>Renault Mégane</t>
        </is>
      </c>
      <c r="G54" s="2" t="inlineStr">
        <is>
          <t>1.6</t>
        </is>
      </c>
      <c r="H54" s="2" t="inlineStr">
        <is>
          <t>Coupecabrio Dynamique 1.6 16v</t>
        </is>
      </c>
      <c r="I54" s="2" t="n"/>
      <c r="J54" s="2" t="n"/>
      <c r="K54" s="2" t="inlineStr">
        <is>
          <t>gasolina</t>
        </is>
      </c>
      <c r="L54" s="2" t="inlineStr">
        <is>
          <t>compacto</t>
        </is>
      </c>
      <c r="M54" s="2" t="n">
        <v>2007</v>
      </c>
      <c r="N54" s="2" t="n">
        <v>115000</v>
      </c>
      <c r="O54" s="2" t="n">
        <v>4500</v>
      </c>
      <c r="P54" s="2" t="inlineStr">
        <is>
          <t>manual</t>
        </is>
      </c>
      <c r="Q54" s="2" t="inlineStr">
        <is>
          <t>no</t>
        </is>
      </c>
      <c r="R54" s="2" t="inlineStr">
        <is>
          <t>profesional</t>
        </is>
      </c>
      <c r="S54" s="2" t="inlineStr">
        <is>
          <t>JM Automóviles Alboraya</t>
        </is>
      </c>
      <c r="T54" s="2" t="inlineStr">
        <is>
          <t>2026-09-14T12:11:39Z</t>
        </is>
      </c>
      <c r="U54" s="2" t="n">
        <v>11</v>
      </c>
      <c r="V54" s="2" t="n"/>
      <c r="W54" s="2" t="n"/>
      <c r="X54" s="2" t="n"/>
      <c r="Y54" s="2" t="n"/>
      <c r="Z54" s="2" t="inlineStr">
        <is>
          <t>sí</t>
        </is>
      </c>
      <c r="AA54" s="2" t="n"/>
      <c r="AB54" s="2" t="n">
        <v>12</v>
      </c>
      <c r="AC54" s="2" t="n"/>
      <c r="AD54" s="2" t="n"/>
      <c r="AE54" s="2" t="n"/>
      <c r="AF54" s="2" t="n"/>
      <c r="AG54" s="2" t="n"/>
      <c r="AH54" s="2" t="n">
        <v>4500</v>
      </c>
      <c r="AI54" s="2" t="n">
        <v>4500</v>
      </c>
      <c r="AJ54" s="2" t="n"/>
      <c r="AK54" s="2" t="n"/>
      <c r="AL54" s="2" t="n"/>
      <c r="AM54" s="2" t="n">
        <v>4</v>
      </c>
      <c r="AN54" s="2" t="n"/>
      <c r="AO54" s="2" t="inlineStr">
        <is>
          <t>2007</t>
        </is>
      </c>
      <c r="AP54" s="2" t="n">
        <v>2007</v>
      </c>
      <c r="AQ54" s="2" t="n"/>
      <c r="AR54" s="2" t="inlineStr">
        <is>
          <t>C</t>
        </is>
      </c>
      <c r="AS54" s="2" t="inlineStr">
        <is>
          <t>anuncio</t>
        </is>
      </c>
      <c r="AT54" s="2" t="n"/>
      <c r="AU54" s="2" t="inlineStr">
        <is>
          <t>no</t>
        </is>
      </c>
      <c r="AV54" s="2" t="inlineStr">
        <is>
          <t>no</t>
        </is>
      </c>
      <c r="AW54" s="2" t="inlineStr">
        <is>
          <t>no</t>
        </is>
      </c>
      <c r="AX54" s="2" t="n">
        <v>4500</v>
      </c>
      <c r="AY54" s="2" t="n">
        <v>5</v>
      </c>
      <c r="AZ54" s="2" t="inlineStr">
        <is>
          <t>modelo+año+km</t>
        </is>
      </c>
      <c r="BA54" s="2" t="n"/>
      <c r="BB54" s="2" t="inlineStr">
        <is>
          <t>vendedor profesional: sin ITP (operación con IVA/REBU, confirmar en factura); gastos de gestión del vendedor no indicados: se suma la tasa DGT; preguntar el precio final; revisar: no menciona la ITV</t>
        </is>
      </c>
      <c r="BC54" s="2" t="inlineStr">
        <is>
          <t>RENAULT MÉGANE CABRIO 1.6 16V 110 CV DYNAMIQUE – 2007 – 114.000 KM
Renault Mégane Cabrio del 2007, con motor 1.6 gasolina de 110 CV, acabado Dynamique y solo 114.000 km. Un descapotable cómodo y atractivo, ideal para disfrutar de la conducción tanto en ciudad como en carretera.
DATOS PRINCIPALES
* Año: 2007
* Combustible: Gasolina
* Motor: 1.6 16V
* Potencia: 110 CV
* Cambio: Manual
* Kilómetros: 114.000 km
* Acabado: Dynamique
* Listo para entregar
EQUIPAMIENTO DESTACADO
* Techo descapotable
* Climatizador
* Radio CD
* Volante multifunción
* Control de velocidad
* Llantas de aleación
* Elevalunas eléctricos
* Cierre centralizado
* Faros antiniebla
* ABS y control de estabilidad
* ISOFIX
LO MEJOR
* Motor 1.6 gasolina de 110 CV
* Acabado Dynamique
* Solo 114.000 km
* Descapotable
* Diseño atractivo
* Ideal para disfrutar de la conducción
* Cómodo y práctico para el día a día
Vehículo en buen estado general, cuidado y listo para su entrega.</t>
        </is>
      </c>
      <c r="BD54" s="2" t="inlineStr">
        <is>
          <t>https://www.coches.net/renault-megane-coupecabrio-dynamique-16-16v-2p-gasolina-2007-en-valencia-71508169-covo.aspx (window.__INITIAL_PROPS__.ad) /home/user/Alopecia/buscador-coches/raw/cochesnet/ae12582aa857913e.json</t>
        </is>
      </c>
      <c r="BE54" s="3">
        <f>MAX(ANIO_ACTUAL-M54,0)</f>
        <v/>
      </c>
      <c r="BF54" s="4">
        <f>N54/MAX(BE54,0.5)</f>
        <v/>
      </c>
      <c r="BG54" s="4">
        <f>F54</f>
        <v/>
      </c>
      <c r="BH54" s="3">
        <f>BG54&amp;"|"&amp;INT(M54/SEG_ANIO)*SEG_ANIO</f>
        <v/>
      </c>
      <c r="BI54" s="3">
        <f>BH54&amp;"|"&amp;INT(N54/SEG_KM)*SEG_KM</f>
        <v/>
      </c>
      <c r="BJ54" s="4">
        <f>COUNTIF($BG$2:$BG$130,BG54)</f>
        <v/>
      </c>
      <c r="BK54" s="4">
        <f>COUNTIF($BH$2:$BH$130,BH54)</f>
        <v/>
      </c>
      <c r="BL54" s="4">
        <f>COUNTIF($BI$2:$BI$130,BI54)</f>
        <v/>
      </c>
      <c r="BM54" s="3">
        <f t="array" ref="BM54">IF(N(AY54)&gt;=MIN_N,AX54,IF(BL54&gt;=MIN_N,MEDIAN(IF($BI$2:$BI$130=BI54,$O$2:$O$130)),IF(BK54&gt;=MIN_N,MEDIAN(IF($BH$2:$BH$130=BH54,$O$2:$O$130)),MEDIAN(IF($BG$2:$BG$130=BG54,$O$2:$O$130)))))</f>
        <v/>
      </c>
      <c r="BN54" s="3">
        <f>IF(N(AY54)&gt;=MIN_N,"mercado "&amp;AZ54,IF(BL54&gt;=MIN_N,"modelo+año+km",IF(BK54&gt;=MIN_N,"modelo+año","modelo")))</f>
        <v/>
      </c>
      <c r="BO54" s="4">
        <f>(BM54-O54)/BM54</f>
        <v/>
      </c>
      <c r="BP54" s="3">
        <f>IF(COUNTIFS(FR_FUEL,K54,FR_YEAR,AP54)&gt;0,1,0)</f>
        <v/>
      </c>
      <c r="BQ54" s="3">
        <f>IF(COUNTIFS(FR_FUEL,K54,FR_YEAR,AP54-1)&gt;0,1,0)</f>
        <v/>
      </c>
      <c r="BR54" s="4">
        <f>IF(N(AQ54)&gt;0,AP54*100+AQ54,IF(AND(BP54=1,BQ54=1),(AP54-1)*100+1,AP54*100+1))</f>
        <v/>
      </c>
      <c r="BS54" s="3">
        <f>IF(OR(K54="hibrido",K54="glp",K54="gnc",K54="phev"),"ECO",IF(K54="electrico","CERO",IF(K54="gasolina",IF(BR54&gt;=GAS_C_YM,"C",IF(BR54&gt;=GAS_B_YM,"B","A")),IF(K54="diesel",IF(BR54&gt;=DIE_C_YM,"C",IF(BR54&gt;=DIE_B_YM,"B","A")),""))))</f>
        <v/>
      </c>
      <c r="BT54" s="2" t="inlineStr">
        <is>
          <t>C</t>
        </is>
      </c>
      <c r="BU54" s="4">
        <f>IF(AU54="sí","sí",IF(AS54="regla",IF(AND(N(AQ54)=0,BP54=1),"sí","no"),"no"))</f>
        <v/>
      </c>
      <c r="BV54" s="3">
        <f>IFERROR(VLOOKUP(F54,MOD_TBL,16,0),IFERROR(VLOOKUP(E54,OCU_TBL,2,0),NEUTRO))</f>
        <v/>
      </c>
      <c r="BW54" s="3">
        <f>SUMIFS(MOT_AJUSTE,MOT_MOTOR,G54,MOT_MARCA,E54,MOT_DESDE,"&lt;="&amp;M54,MOT_HASTA,"&gt;="&amp;M54)+SUMIFS(MOT_AJUSTE,MOT_MOTOR,G54,MOT_MARCA,"(todas)",MOT_DESDE,"&lt;="&amp;M54,MOT_HASTA,"&gt;="&amp;M54)+SUMIFS(MOT_AJUSTE,MOT_MOTOR,"(cualquiera)",MOT_MARCA,E54,MOT_DESDE,"&lt;="&amp;M54,MOT_HASTA,"&gt;="&amp;M54)</f>
        <v/>
      </c>
      <c r="BX54" s="3">
        <f>SUMIFS(COMB_AJUSTE,COMB_COMB,K54)</f>
        <v/>
      </c>
      <c r="BY54" s="3">
        <f>COUNTIFS(MOT_MOTOR,G54,MOT_MARCA,E54,MOT_DESDE,"&lt;="&amp;M54,MOT_HASTA,"&gt;="&amp;M54)+COUNTIFS(MOT_MOTOR,G54,MOT_MARCA,"(todas)",MOT_DESDE,"&lt;="&amp;M54,MOT_HASTA,"&gt;="&amp;M54)+COUNTIFS(MOT_MOTOR,"(cualquiera)",MOT_MARCA,E54,MOT_DESDE,"&lt;="&amp;M54,MOT_HASTA,"&gt;="&amp;M54)</f>
        <v/>
      </c>
      <c r="BZ54" s="3">
        <f>IF(AND(K54="diesel",BY54=0),MIN(BV54,NEUTRO),BV54)</f>
        <v/>
      </c>
      <c r="CA54" s="3">
        <f>MAX(0,MIN(100,BZ54+BW54+BX54-IF(AV54="sí",ROB_PEN,0)))</f>
        <v/>
      </c>
      <c r="CB54" s="3">
        <f>100-MAX(0,N54-KM_TOPE_DESDE)/1000*KM_TOPE_PTS</f>
        <v/>
      </c>
      <c r="CC54" s="3">
        <f>MAX(0,MIN(100,50+BO54*PRECIO_PEND,CB54))</f>
        <v/>
      </c>
      <c r="CD54" s="3">
        <f>MAX(0,100*(1-N54/KM_MAX))</f>
        <v/>
      </c>
      <c r="CE54" s="3">
        <f>IF(BF54&lt;KMA_SOSP,IF(AA54="sí",100,KMA_PEN),IF(BF54&lt;=KMA_IDEAL_MAX,100,MAX(0,100*(KMA_CERO-BF54)/(KMA_CERO-KMA_IDEAL_MAX))))</f>
        <v/>
      </c>
      <c r="CF54" s="3">
        <f>MAX(0,MIN(100,100*(M54-ANIO_MIN)/(ANIO_ACTUAL-ANIO_MIN)))</f>
        <v/>
      </c>
      <c r="CG54" s="3">
        <f>W_KMT*CD54+W_KMA*CE54+W_EDAD*CF54</f>
        <v/>
      </c>
      <c r="CH54" s="3">
        <f>P_ITV*(V54="sí")+P_LIBRO*(W54="sí")+P_CORREA*(X54="sí")+P_PROP*(Y54=1)+P_GAR*(Z54="sí")+P_FOTOS*MIN(1,N(U54)/FOTOS_OBJ)</f>
        <v/>
      </c>
      <c r="CI54" s="3">
        <f>MAX(0,MIN(100,IFERROR(VLOOKUP(BT54,ETQ_TBL,2,0),0)-IF(BU54="sí",ETQ_PEN_DUD,IF(AS54="regla",ETQ_PEN_REGLA,0))))</f>
        <v/>
      </c>
      <c r="CJ54" s="3">
        <f>IF(K54&lt;&gt;"gasolina","",IFERROR(VLOOKUP(F54,CONS_MOD_TBL,2,0),IFERROR(VLOOKUP(L54,CONS_SEG_TBL,2,0),"")))</f>
        <v/>
      </c>
      <c r="CK54" s="3">
        <f>IF(CJ54="",NEUTRO,MAX(0,MIN(100,100*(CONS_REF_MAX-CJ54)/(CONS_REF_MAX-CONS_REF_MIN))))</f>
        <v/>
      </c>
      <c r="CL54" s="3">
        <f>IFERROR(VLOOKUP(L54,SEGURO_TBL,3,0),"")</f>
        <v/>
      </c>
      <c r="CM54" s="3">
        <f>IF(CL54="",NEUTRO,MAX(0,MIN(100,100*(SEG_REF_MAX-CL54)/(SEG_REF_MAX-SEG_REF_MIN))))</f>
        <v/>
      </c>
      <c r="CN54" s="3">
        <f>W_CONS*CK54+W_SEG*CM54</f>
        <v/>
      </c>
      <c r="CO54" s="3">
        <f>IF(N(AB54)&gt;0,AB54,IF(AND(R54="profesional",SG_LEGAL_ON=1),GAR_LEGAL,0))</f>
        <v/>
      </c>
      <c r="CP54" s="3">
        <f>SG_GAR*MIN(1,CO54/SG_GAR_FULL)+SG_AMPL*(AC54="sí")+SG_KMC*(AF54="sí")+SG_REV*(N(AE54)&gt;0)+SG_DEV*MIN(1,N(AG54)/SG_DEV_FULL)+SG_HIST*(W54="sí")</f>
        <v/>
      </c>
      <c r="CQ54" s="3">
        <f>IF(AW54="sí",ESTILO_PRIO,IFERROR(VLOOKUP(L54,ESTILO_TBL,2,0),NEUTRO))</f>
        <v/>
      </c>
      <c r="CR54" s="3">
        <f>IFERROR(VLOOKUP(L54,CARR_PEN_TBL,2,0),0)</f>
        <v/>
      </c>
      <c r="CS54" s="3">
        <f>W_FIAB*CA54+W_PRECIO*CC54+W_KMEDAD*CG54+W_ANUNCIO*CH54+W_USO*CN54+W_SEGURIDAD*CP54+W_ETIQUETA*CI54+W_ESTILO*CQ54-CR54</f>
        <v/>
      </c>
      <c r="CT54" s="4">
        <f>IF(N(I54)&gt;0,I54,IFERROR(ROUND(_xlfn.NUMBERVALUE(LEFT(G54,FIND(" ",G54&amp;" ")-1),".")*1000,0),99999))</f>
        <v/>
      </c>
      <c r="CU54" s="3">
        <f>IF(R54="profesional",0,IF(O54&lt;CUOTA_VALOR_MAX,IF(BE54&gt;ITP_TRAMO_ALTO,SUMIFS(CF_CUOTA,CF_MAS,ITP_TRAMO_ALTO,CF_CCMIN,"&lt;="&amp;CT54,CF_CCMAX,"&gt;="&amp;CT54),IF(BE54&gt;ITP_TRAMO_BAJO,SUMIFS(CF_CUOTA,CF_MAS,ITP_TRAMO_BAJO,CF_CCMIN,"&lt;="&amp;CT54,CF_CCMAX,"&gt;="&amp;CT54),O54*ITP_TIPO)),O54*ITP_TIPO))</f>
        <v/>
      </c>
      <c r="CV54" s="4">
        <f>IF(R54="profesional",N(AK54),0)</f>
        <v/>
      </c>
      <c r="CW54" s="3">
        <f>IF(AND(R54="profesional",ISNUMBER(AK54),AL54="sí"),0,TASA_DGT)</f>
        <v/>
      </c>
      <c r="CX54" s="3">
        <f>INFORME_DGT</f>
        <v/>
      </c>
      <c r="CY54" s="4">
        <f>O54+CV54+CU54+CW54+CX54</f>
        <v/>
      </c>
      <c r="CZ54" s="4">
        <f>CY54+N(CL54)</f>
        <v/>
      </c>
      <c r="DA54" s="3">
        <f>IF(CY54&lt;=TOTAL_MAX,"sí",IF(CY54&lt;=TOTAL_MAX+MARGEN_NEG,"negociar","no"))</f>
        <v/>
      </c>
      <c r="DB54" s="4">
        <f>IF(DA54&lt;&gt;"no",COUNTIFS($DA$2:$DA$130,"&lt;&gt;no",$CS$2:$CS$130,"&gt;"&amp;CS54)+COUNTIFS($DA$2:DA54,"&lt;&gt;no",$CS$2:CS54,CS54),"")</f>
        <v/>
      </c>
    </row>
    <row r="55">
      <c r="A55" s="2" t="inlineStr">
        <is>
          <t>cochesnet:71662456</t>
        </is>
      </c>
      <c r="B55" s="2" t="inlineStr">
        <is>
          <t>cochesnet</t>
        </is>
      </c>
      <c r="C55" s="2" t="inlineStr">
        <is>
          <t>https://www.coches.net/renault-megane-coupecabrio-dynamique-16-16v-2p-gasolina-2007-en-valencia-71662456-covo.aspx</t>
        </is>
      </c>
      <c r="D55" s="2" t="inlineStr">
        <is>
          <t>RENAULT Mégane Coupecabrio Dynamique 1.6 16v</t>
        </is>
      </c>
      <c r="E55" s="2" t="inlineStr">
        <is>
          <t>Renault</t>
        </is>
      </c>
      <c r="F55" s="2" t="inlineStr">
        <is>
          <t>Renault Mégane</t>
        </is>
      </c>
      <c r="G55" s="2" t="inlineStr">
        <is>
          <t>1.6</t>
        </is>
      </c>
      <c r="H55" s="2" t="inlineStr">
        <is>
          <t>Coupecabrio Dynamique 1.6 16v</t>
        </is>
      </c>
      <c r="I55" s="2" t="n"/>
      <c r="J55" s="2" t="n"/>
      <c r="K55" s="2" t="inlineStr">
        <is>
          <t>gasolina</t>
        </is>
      </c>
      <c r="L55" s="2" t="inlineStr">
        <is>
          <t>compacto</t>
        </is>
      </c>
      <c r="M55" s="2" t="n">
        <v>2007</v>
      </c>
      <c r="N55" s="2" t="n">
        <v>183000</v>
      </c>
      <c r="O55" s="2" t="n">
        <v>4750</v>
      </c>
      <c r="P55" s="2" t="inlineStr">
        <is>
          <t>manual</t>
        </is>
      </c>
      <c r="Q55" s="2" t="inlineStr">
        <is>
          <t>no</t>
        </is>
      </c>
      <c r="R55" s="2" t="inlineStr">
        <is>
          <t>profesional</t>
        </is>
      </c>
      <c r="S55" s="2" t="inlineStr">
        <is>
          <t>JM Automóviles Alboraya</t>
        </is>
      </c>
      <c r="T55" s="2" t="inlineStr">
        <is>
          <t>2026-10-02T23:57:31Z</t>
        </is>
      </c>
      <c r="U55" s="2" t="n">
        <v>10</v>
      </c>
      <c r="V55" s="2" t="n"/>
      <c r="W55" s="2" t="inlineStr">
        <is>
          <t>sí</t>
        </is>
      </c>
      <c r="X55" s="2" t="n"/>
      <c r="Y55" s="2" t="n"/>
      <c r="Z55" s="2" t="inlineStr">
        <is>
          <t>sí</t>
        </is>
      </c>
      <c r="AA55" s="2" t="n"/>
      <c r="AB55" s="2" t="n">
        <v>12</v>
      </c>
      <c r="AC55" s="2" t="n"/>
      <c r="AD55" s="2" t="n"/>
      <c r="AE55" s="2" t="n"/>
      <c r="AF55" s="2" t="n"/>
      <c r="AG55" s="2" t="n"/>
      <c r="AH55" s="2" t="n">
        <v>4750</v>
      </c>
      <c r="AI55" s="2" t="n">
        <v>4750</v>
      </c>
      <c r="AJ55" s="2" t="n"/>
      <c r="AK55" s="2" t="n"/>
      <c r="AL55" s="2" t="n"/>
      <c r="AM55" s="2" t="n">
        <v>4</v>
      </c>
      <c r="AN55" s="2" t="n"/>
      <c r="AO55" s="2" t="inlineStr">
        <is>
          <t>2007</t>
        </is>
      </c>
      <c r="AP55" s="2" t="n">
        <v>2007</v>
      </c>
      <c r="AQ55" s="2" t="n"/>
      <c r="AR55" s="2" t="inlineStr">
        <is>
          <t>C</t>
        </is>
      </c>
      <c r="AS55" s="2" t="inlineStr">
        <is>
          <t>anuncio</t>
        </is>
      </c>
      <c r="AT55" s="2" t="n"/>
      <c r="AU55" s="2" t="inlineStr">
        <is>
          <t>no</t>
        </is>
      </c>
      <c r="AV55" s="2" t="inlineStr">
        <is>
          <t>no</t>
        </is>
      </c>
      <c r="AW55" s="2" t="inlineStr">
        <is>
          <t>no</t>
        </is>
      </c>
      <c r="AX55" s="2" t="n">
        <v>3850</v>
      </c>
      <c r="AY55" s="2" t="n">
        <v>6</v>
      </c>
      <c r="AZ55" s="2" t="inlineStr">
        <is>
          <t>modelo+año+km</t>
        </is>
      </c>
      <c r="BA55" s="2" t="n"/>
      <c r="BB55" s="2" t="inlineStr">
        <is>
          <t>vendedor profesional: sin ITP (operación con IVA/REBU, confirmar en factura); gastos de gestión del vendedor no indicados: se suma la tasa DGT; preguntar el precio final; revisar: no menciona la ITV</t>
        </is>
      </c>
      <c r="BC55" s="2" t="inlineStr">
        <is>
          <t>RENAULT MÉGANE CABRIO 1.6 16V GASOLINA – 2007 – 182.000 KM
Descapotable elegante, cómodo y perfecto para disfrutar de la conducción a cielo abierto. Un coche ideal para quienes buscan estilo y diversión con un mantenimiento contenido.
DATOS PRINCIPALES
Año: 2007
Kilómetros: 182.000 km
Motor: 1.6 Gasolina
Potencia: 110 CV
Cambio manual
Mantenimiento al día
Listo para circular
EQUIPAMIENTO
Techo rígido retráctil eléctrico
Climatizador automático
Radio CD
Volante multifunción
Ordenador de a bordo
Elevalunas eléctricos
Cierre centralizado
Llantas de aleación
ABS + Control de estabilidad
Dirección asistida
LO MEJOR
Descapotable de techo rígido eléctrico
Motor gasolina fiable y de bajo mantenimiento
Cómodo para el día a día y escapadas
Excelente relación calidad-precio
Vehículo en buen estado general, cuidado y listo para su entrega.</t>
        </is>
      </c>
      <c r="BD55" s="2" t="inlineStr">
        <is>
          <t>https://www.coches.net/renault-megane-coupecabrio-dynamique-16-16v-2p-gasolina-2007-en-valencia-71662456-covo.aspx (window.__INITIAL_PROPS__.ad) /home/user/Alopecia/buscador-coches/raw/cochesnet/2e16acfbd04d922b.json</t>
        </is>
      </c>
      <c r="BE55" s="3">
        <f>MAX(ANIO_ACTUAL-M55,0)</f>
        <v/>
      </c>
      <c r="BF55" s="4">
        <f>N55/MAX(BE55,0.5)</f>
        <v/>
      </c>
      <c r="BG55" s="4">
        <f>F55</f>
        <v/>
      </c>
      <c r="BH55" s="3">
        <f>BG55&amp;"|"&amp;INT(M55/SEG_ANIO)*SEG_ANIO</f>
        <v/>
      </c>
      <c r="BI55" s="3">
        <f>BH55&amp;"|"&amp;INT(N55/SEG_KM)*SEG_KM</f>
        <v/>
      </c>
      <c r="BJ55" s="4">
        <f>COUNTIF($BG$2:$BG$130,BG55)</f>
        <v/>
      </c>
      <c r="BK55" s="4">
        <f>COUNTIF($BH$2:$BH$130,BH55)</f>
        <v/>
      </c>
      <c r="BL55" s="4">
        <f>COUNTIF($BI$2:$BI$130,BI55)</f>
        <v/>
      </c>
      <c r="BM55" s="3">
        <f t="array" ref="BM55">IF(N(AY55)&gt;=MIN_N,AX55,IF(BL55&gt;=MIN_N,MEDIAN(IF($BI$2:$BI$130=BI55,$O$2:$O$130)),IF(BK55&gt;=MIN_N,MEDIAN(IF($BH$2:$BH$130=BH55,$O$2:$O$130)),MEDIAN(IF($BG$2:$BG$130=BG55,$O$2:$O$130)))))</f>
        <v/>
      </c>
      <c r="BN55" s="3">
        <f>IF(N(AY55)&gt;=MIN_N,"mercado "&amp;AZ55,IF(BL55&gt;=MIN_N,"modelo+año+km",IF(BK55&gt;=MIN_N,"modelo+año","modelo")))</f>
        <v/>
      </c>
      <c r="BO55" s="4">
        <f>(BM55-O55)/BM55</f>
        <v/>
      </c>
      <c r="BP55" s="3">
        <f>IF(COUNTIFS(FR_FUEL,K55,FR_YEAR,AP55)&gt;0,1,0)</f>
        <v/>
      </c>
      <c r="BQ55" s="3">
        <f>IF(COUNTIFS(FR_FUEL,K55,FR_YEAR,AP55-1)&gt;0,1,0)</f>
        <v/>
      </c>
      <c r="BR55" s="4">
        <f>IF(N(AQ55)&gt;0,AP55*100+AQ55,IF(AND(BP55=1,BQ55=1),(AP55-1)*100+1,AP55*100+1))</f>
        <v/>
      </c>
      <c r="BS55" s="3">
        <f>IF(OR(K55="hibrido",K55="glp",K55="gnc",K55="phev"),"ECO",IF(K55="electrico","CERO",IF(K55="gasolina",IF(BR55&gt;=GAS_C_YM,"C",IF(BR55&gt;=GAS_B_YM,"B","A")),IF(K55="diesel",IF(BR55&gt;=DIE_C_YM,"C",IF(BR55&gt;=DIE_B_YM,"B","A")),""))))</f>
        <v/>
      </c>
      <c r="BT55" s="2" t="inlineStr">
        <is>
          <t>C</t>
        </is>
      </c>
      <c r="BU55" s="4">
        <f>IF(AU55="sí","sí",IF(AS55="regla",IF(AND(N(AQ55)=0,BP55=1),"sí","no"),"no"))</f>
        <v/>
      </c>
      <c r="BV55" s="3">
        <f>IFERROR(VLOOKUP(F55,MOD_TBL,16,0),IFERROR(VLOOKUP(E55,OCU_TBL,2,0),NEUTRO))</f>
        <v/>
      </c>
      <c r="BW55" s="3">
        <f>SUMIFS(MOT_AJUSTE,MOT_MOTOR,G55,MOT_MARCA,E55,MOT_DESDE,"&lt;="&amp;M55,MOT_HASTA,"&gt;="&amp;M55)+SUMIFS(MOT_AJUSTE,MOT_MOTOR,G55,MOT_MARCA,"(todas)",MOT_DESDE,"&lt;="&amp;M55,MOT_HASTA,"&gt;="&amp;M55)+SUMIFS(MOT_AJUSTE,MOT_MOTOR,"(cualquiera)",MOT_MARCA,E55,MOT_DESDE,"&lt;="&amp;M55,MOT_HASTA,"&gt;="&amp;M55)</f>
        <v/>
      </c>
      <c r="BX55" s="3">
        <f>SUMIFS(COMB_AJUSTE,COMB_COMB,K55)</f>
        <v/>
      </c>
      <c r="BY55" s="3">
        <f>COUNTIFS(MOT_MOTOR,G55,MOT_MARCA,E55,MOT_DESDE,"&lt;="&amp;M55,MOT_HASTA,"&gt;="&amp;M55)+COUNTIFS(MOT_MOTOR,G55,MOT_MARCA,"(todas)",MOT_DESDE,"&lt;="&amp;M55,MOT_HASTA,"&gt;="&amp;M55)+COUNTIFS(MOT_MOTOR,"(cualquiera)",MOT_MARCA,E55,MOT_DESDE,"&lt;="&amp;M55,MOT_HASTA,"&gt;="&amp;M55)</f>
        <v/>
      </c>
      <c r="BZ55" s="3">
        <f>IF(AND(K55="diesel",BY55=0),MIN(BV55,NEUTRO),BV55)</f>
        <v/>
      </c>
      <c r="CA55" s="3">
        <f>MAX(0,MIN(100,BZ55+BW55+BX55-IF(AV55="sí",ROB_PEN,0)))</f>
        <v/>
      </c>
      <c r="CB55" s="3">
        <f>100-MAX(0,N55-KM_TOPE_DESDE)/1000*KM_TOPE_PTS</f>
        <v/>
      </c>
      <c r="CC55" s="3">
        <f>MAX(0,MIN(100,50+BO55*PRECIO_PEND,CB55))</f>
        <v/>
      </c>
      <c r="CD55" s="3">
        <f>MAX(0,100*(1-N55/KM_MAX))</f>
        <v/>
      </c>
      <c r="CE55" s="3">
        <f>IF(BF55&lt;KMA_SOSP,IF(AA55="sí",100,KMA_PEN),IF(BF55&lt;=KMA_IDEAL_MAX,100,MAX(0,100*(KMA_CERO-BF55)/(KMA_CERO-KMA_IDEAL_MAX))))</f>
        <v/>
      </c>
      <c r="CF55" s="3">
        <f>MAX(0,MIN(100,100*(M55-ANIO_MIN)/(ANIO_ACTUAL-ANIO_MIN)))</f>
        <v/>
      </c>
      <c r="CG55" s="3">
        <f>W_KMT*CD55+W_KMA*CE55+W_EDAD*CF55</f>
        <v/>
      </c>
      <c r="CH55" s="3">
        <f>P_ITV*(V55="sí")+P_LIBRO*(W55="sí")+P_CORREA*(X55="sí")+P_PROP*(Y55=1)+P_GAR*(Z55="sí")+P_FOTOS*MIN(1,N(U55)/FOTOS_OBJ)</f>
        <v/>
      </c>
      <c r="CI55" s="3">
        <f>MAX(0,MIN(100,IFERROR(VLOOKUP(BT55,ETQ_TBL,2,0),0)-IF(BU55="sí",ETQ_PEN_DUD,IF(AS55="regla",ETQ_PEN_REGLA,0))))</f>
        <v/>
      </c>
      <c r="CJ55" s="3">
        <f>IF(K55&lt;&gt;"gasolina","",IFERROR(VLOOKUP(F55,CONS_MOD_TBL,2,0),IFERROR(VLOOKUP(L55,CONS_SEG_TBL,2,0),"")))</f>
        <v/>
      </c>
      <c r="CK55" s="3">
        <f>IF(CJ55="",NEUTRO,MAX(0,MIN(100,100*(CONS_REF_MAX-CJ55)/(CONS_REF_MAX-CONS_REF_MIN))))</f>
        <v/>
      </c>
      <c r="CL55" s="3">
        <f>IFERROR(VLOOKUP(L55,SEGURO_TBL,3,0),"")</f>
        <v/>
      </c>
      <c r="CM55" s="3">
        <f>IF(CL55="",NEUTRO,MAX(0,MIN(100,100*(SEG_REF_MAX-CL55)/(SEG_REF_MAX-SEG_REF_MIN))))</f>
        <v/>
      </c>
      <c r="CN55" s="3">
        <f>W_CONS*CK55+W_SEG*CM55</f>
        <v/>
      </c>
      <c r="CO55" s="3">
        <f>IF(N(AB55)&gt;0,AB55,IF(AND(R55="profesional",SG_LEGAL_ON=1),GAR_LEGAL,0))</f>
        <v/>
      </c>
      <c r="CP55" s="3">
        <f>SG_GAR*MIN(1,CO55/SG_GAR_FULL)+SG_AMPL*(AC55="sí")+SG_KMC*(AF55="sí")+SG_REV*(N(AE55)&gt;0)+SG_DEV*MIN(1,N(AG55)/SG_DEV_FULL)+SG_HIST*(W55="sí")</f>
        <v/>
      </c>
      <c r="CQ55" s="3">
        <f>IF(AW55="sí",ESTILO_PRIO,IFERROR(VLOOKUP(L55,ESTILO_TBL,2,0),NEUTRO))</f>
        <v/>
      </c>
      <c r="CR55" s="3">
        <f>IFERROR(VLOOKUP(L55,CARR_PEN_TBL,2,0),0)</f>
        <v/>
      </c>
      <c r="CS55" s="3">
        <f>W_FIAB*CA55+W_PRECIO*CC55+W_KMEDAD*CG55+W_ANUNCIO*CH55+W_USO*CN55+W_SEGURIDAD*CP55+W_ETIQUETA*CI55+W_ESTILO*CQ55-CR55</f>
        <v/>
      </c>
      <c r="CT55" s="4">
        <f>IF(N(I55)&gt;0,I55,IFERROR(ROUND(_xlfn.NUMBERVALUE(LEFT(G55,FIND(" ",G55&amp;" ")-1),".")*1000,0),99999))</f>
        <v/>
      </c>
      <c r="CU55" s="3">
        <f>IF(R55="profesional",0,IF(O55&lt;CUOTA_VALOR_MAX,IF(BE55&gt;ITP_TRAMO_ALTO,SUMIFS(CF_CUOTA,CF_MAS,ITP_TRAMO_ALTO,CF_CCMIN,"&lt;="&amp;CT55,CF_CCMAX,"&gt;="&amp;CT55),IF(BE55&gt;ITP_TRAMO_BAJO,SUMIFS(CF_CUOTA,CF_MAS,ITP_TRAMO_BAJO,CF_CCMIN,"&lt;="&amp;CT55,CF_CCMAX,"&gt;="&amp;CT55),O55*ITP_TIPO)),O55*ITP_TIPO))</f>
        <v/>
      </c>
      <c r="CV55" s="4">
        <f>IF(R55="profesional",N(AK55),0)</f>
        <v/>
      </c>
      <c r="CW55" s="3">
        <f>IF(AND(R55="profesional",ISNUMBER(AK55),AL55="sí"),0,TASA_DGT)</f>
        <v/>
      </c>
      <c r="CX55" s="3">
        <f>INFORME_DGT</f>
        <v/>
      </c>
      <c r="CY55" s="4">
        <f>O55+CV55+CU55+CW55+CX55</f>
        <v/>
      </c>
      <c r="CZ55" s="4">
        <f>CY55+N(CL55)</f>
        <v/>
      </c>
      <c r="DA55" s="3">
        <f>IF(CY55&lt;=TOTAL_MAX,"sí",IF(CY55&lt;=TOTAL_MAX+MARGEN_NEG,"negociar","no"))</f>
        <v/>
      </c>
      <c r="DB55" s="4">
        <f>IF(DA55&lt;&gt;"no",COUNTIFS($DA$2:$DA$130,"&lt;&gt;no",$CS$2:$CS$130,"&gt;"&amp;CS55)+COUNTIFS($DA$2:DA55,"&lt;&gt;no",$CS$2:CS55,CS55),"")</f>
        <v/>
      </c>
    </row>
    <row r="56">
      <c r="A56" s="2" t="inlineStr">
        <is>
          <t>cochesnet:71813489</t>
        </is>
      </c>
      <c r="B56" s="2" t="inlineStr">
        <is>
          <t>cochesnet</t>
        </is>
      </c>
      <c r="C56" s="2" t="inlineStr">
        <is>
          <t>https://www.coches.net/renault-clio-grand-tour-tom-tom-ed-15dci-85cv-eco2-5p-diesel-2009-en-valencia-71813489-covo.aspx</t>
        </is>
      </c>
      <c r="D56" s="2" t="inlineStr">
        <is>
          <t>RENAULT Clio Grand Tour Tom Tom Ed. 1.5dCi eco2</t>
        </is>
      </c>
      <c r="E56" s="2" t="inlineStr">
        <is>
          <t>Renault</t>
        </is>
      </c>
      <c r="F56" s="2" t="inlineStr">
        <is>
          <t>Renault Clio</t>
        </is>
      </c>
      <c r="G56" s="2" t="inlineStr">
        <is>
          <t>1.5</t>
        </is>
      </c>
      <c r="H56" s="2" t="inlineStr">
        <is>
          <t>Grand Tour Tom Tom Ed. 1.5dCi 85cv eco2</t>
        </is>
      </c>
      <c r="I56" s="2" t="n"/>
      <c r="J56" s="2" t="n">
        <v>85</v>
      </c>
      <c r="K56" s="2" t="inlineStr">
        <is>
          <t>diesel</t>
        </is>
      </c>
      <c r="L56" s="2" t="inlineStr">
        <is>
          <t>familiar</t>
        </is>
      </c>
      <c r="M56" s="2" t="n">
        <v>2010</v>
      </c>
      <c r="N56" s="2" t="n">
        <v>169000</v>
      </c>
      <c r="O56" s="2" t="n">
        <v>4990</v>
      </c>
      <c r="P56" s="2" t="inlineStr">
        <is>
          <t>manual</t>
        </is>
      </c>
      <c r="Q56" s="2" t="inlineStr">
        <is>
          <t>no</t>
        </is>
      </c>
      <c r="R56" s="2" t="inlineStr">
        <is>
          <t>profesional</t>
        </is>
      </c>
      <c r="S56" s="2" t="inlineStr">
        <is>
          <t>Saga Vehículos Massanassa</t>
        </is>
      </c>
      <c r="T56" s="2" t="inlineStr">
        <is>
          <t>2026-10-22T23:11:41Z</t>
        </is>
      </c>
      <c r="U56" s="2" t="n">
        <v>27</v>
      </c>
      <c r="V56" s="2" t="n"/>
      <c r="W56" s="2" t="n"/>
      <c r="X56" s="2" t="n"/>
      <c r="Y56" s="2" t="n"/>
      <c r="Z56" s="2" t="inlineStr">
        <is>
          <t>sí</t>
        </is>
      </c>
      <c r="AA56" s="2" t="n"/>
      <c r="AB56" s="2" t="n">
        <v>12</v>
      </c>
      <c r="AC56" s="2" t="inlineStr">
        <is>
          <t>sí</t>
        </is>
      </c>
      <c r="AD56" s="2" t="n"/>
      <c r="AE56" s="2" t="n"/>
      <c r="AF56" s="2" t="n"/>
      <c r="AG56" s="2" t="n"/>
      <c r="AH56" s="2" t="n">
        <v>4990</v>
      </c>
      <c r="AI56" s="2" t="n">
        <v>4990</v>
      </c>
      <c r="AJ56" s="2" t="n"/>
      <c r="AK56" s="2" t="n">
        <v>350</v>
      </c>
      <c r="AL56" s="2" t="inlineStr">
        <is>
          <t>no</t>
        </is>
      </c>
      <c r="AM56" s="2" t="n">
        <v>6.9</v>
      </c>
      <c r="AN56" s="2" t="n"/>
      <c r="AO56" s="2" t="inlineStr">
        <is>
          <t>2010</t>
        </is>
      </c>
      <c r="AP56" s="2" t="n">
        <v>2010</v>
      </c>
      <c r="AQ56" s="2" t="n"/>
      <c r="AR56" s="2" t="inlineStr">
        <is>
          <t>B</t>
        </is>
      </c>
      <c r="AS56" s="2" t="inlineStr">
        <is>
          <t>anuncio</t>
        </is>
      </c>
      <c r="AT56" s="2" t="n">
        <v>2009</v>
      </c>
      <c r="AU56" s="2" t="inlineStr">
        <is>
          <t>no</t>
        </is>
      </c>
      <c r="AV56" s="2" t="inlineStr">
        <is>
          <t>no</t>
        </is>
      </c>
      <c r="AW56" s="2" t="inlineStr">
        <is>
          <t>no</t>
        </is>
      </c>
      <c r="AX56" s="2" t="n">
        <v>4200</v>
      </c>
      <c r="AY56" s="2" t="n">
        <v>7</v>
      </c>
      <c r="AZ56" s="2" t="inlineStr">
        <is>
          <t>modelo+año+km</t>
        </is>
      </c>
      <c r="BA56" s="2" t="n"/>
      <c r="BB56" s="2" t="inlineStr">
        <is>
          <t>año a confirmar: la URL/título dice 2009; vendedor profesional: sin ITP (operación con IVA/REBU, confirmar en factura); gastos del vendedor sin indicar si incluyen la transferencia: se suma la tasa DGT; diésel: motor sin fuente de fiabilidad (fiabilidad limitada a neutra); carrocería familiar: -3 puntos; revisar: no menciona la ITV</t>
        </is>
      </c>
      <c r="BC56" s="2" t="inlineStr">
        <is>
          <t xml:space="preserve">Renault Clio Grand Tour TomTom Edition 1.5 dCi, 85CV, diésel, vehículo muy bien cuidado.
Más de 100 coches en stock, Por favor llámenos para más información, atendemos SOLO CON CITA PREVIA. Gracias!!!!
Financiacíon de hasta el 100% del vehículo!
Gestión documental no incluido 350€ 
Garantía Premium 12 Meses con cobertura a nivel nacional 399€
Saga Vehículos, estamos en C/ Motor Sant Agustí, 41, 46470 Massanassa, Valencia.
Horario: De lunes a viernes de 10:00 a 14:00 y de 16:00 a 19:00.
Sabado de 10:00 a 14:00.
- Aire acondicionado dual zone 
- Dirección asistida
- Frenos ABS/EBD
- Control de estabilidad ESP
- Airbags
- Control de crucero
- Ordenador abordo
- GPS navegación
- Sistema multimedia Bluetooth
- Llaves presencial con mandos a distancia y mucho mas....
Este anuncio no es vinculante, se muestra a titulo informativo y no contractual.
</t>
        </is>
      </c>
      <c r="BD56" s="2" t="inlineStr">
        <is>
          <t>https://www.coches.net/renault-clio-grand-tour-tom-tom-ed-15dci-85cv-eco2-5p-diesel-2009-en-valencia-71813489-covo.aspx (window.__INITIAL_PROPS__.ad) /home/user/Alopecia/buscador-coches/raw/cochesnet/7ee0d18bab544b17.json</t>
        </is>
      </c>
      <c r="BE56" s="3">
        <f>MAX(ANIO_ACTUAL-M56,0)</f>
        <v/>
      </c>
      <c r="BF56" s="4">
        <f>N56/MAX(BE56,0.5)</f>
        <v/>
      </c>
      <c r="BG56" s="4">
        <f>F56</f>
        <v/>
      </c>
      <c r="BH56" s="3">
        <f>BG56&amp;"|"&amp;INT(M56/SEG_ANIO)*SEG_ANIO</f>
        <v/>
      </c>
      <c r="BI56" s="3">
        <f>BH56&amp;"|"&amp;INT(N56/SEG_KM)*SEG_KM</f>
        <v/>
      </c>
      <c r="BJ56" s="4">
        <f>COUNTIF($BG$2:$BG$130,BG56)</f>
        <v/>
      </c>
      <c r="BK56" s="4">
        <f>COUNTIF($BH$2:$BH$130,BH56)</f>
        <v/>
      </c>
      <c r="BL56" s="4">
        <f>COUNTIF($BI$2:$BI$130,BI56)</f>
        <v/>
      </c>
      <c r="BM56" s="3">
        <f t="array" ref="BM56">IF(N(AY56)&gt;=MIN_N,AX56,IF(BL56&gt;=MIN_N,MEDIAN(IF($BI$2:$BI$130=BI56,$O$2:$O$130)),IF(BK56&gt;=MIN_N,MEDIAN(IF($BH$2:$BH$130=BH56,$O$2:$O$130)),MEDIAN(IF($BG$2:$BG$130=BG56,$O$2:$O$130)))))</f>
        <v/>
      </c>
      <c r="BN56" s="3">
        <f>IF(N(AY56)&gt;=MIN_N,"mercado "&amp;AZ56,IF(BL56&gt;=MIN_N,"modelo+año+km",IF(BK56&gt;=MIN_N,"modelo+año","modelo")))</f>
        <v/>
      </c>
      <c r="BO56" s="4">
        <f>(BM56-O56)/BM56</f>
        <v/>
      </c>
      <c r="BP56" s="3">
        <f>IF(COUNTIFS(FR_FUEL,K56,FR_YEAR,AP56)&gt;0,1,0)</f>
        <v/>
      </c>
      <c r="BQ56" s="3">
        <f>IF(COUNTIFS(FR_FUEL,K56,FR_YEAR,AP56-1)&gt;0,1,0)</f>
        <v/>
      </c>
      <c r="BR56" s="4">
        <f>IF(N(AQ56)&gt;0,AP56*100+AQ56,IF(AND(BP56=1,BQ56=1),(AP56-1)*100+1,AP56*100+1))</f>
        <v/>
      </c>
      <c r="BS56" s="3">
        <f>IF(OR(K56="hibrido",K56="glp",K56="gnc",K56="phev"),"ECO",IF(K56="electrico","CERO",IF(K56="gasolina",IF(BR56&gt;=GAS_C_YM,"C",IF(BR56&gt;=GAS_B_YM,"B","A")),IF(K56="diesel",IF(BR56&gt;=DIE_C_YM,"C",IF(BR56&gt;=DIE_B_YM,"B","A")),""))))</f>
        <v/>
      </c>
      <c r="BT56" s="2" t="inlineStr">
        <is>
          <t>B</t>
        </is>
      </c>
      <c r="BU56" s="4">
        <f>IF(AU56="sí","sí",IF(AS56="regla",IF(AND(N(AQ56)=0,BP56=1),"sí","no"),"no"))</f>
        <v/>
      </c>
      <c r="BV56" s="3">
        <f>IFERROR(VLOOKUP(F56,MOD_TBL,16,0),IFERROR(VLOOKUP(E56,OCU_TBL,2,0),NEUTRO))</f>
        <v/>
      </c>
      <c r="BW56" s="3">
        <f>SUMIFS(MOT_AJUSTE,MOT_MOTOR,G56,MOT_MARCA,E56,MOT_DESDE,"&lt;="&amp;M56,MOT_HASTA,"&gt;="&amp;M56)+SUMIFS(MOT_AJUSTE,MOT_MOTOR,G56,MOT_MARCA,"(todas)",MOT_DESDE,"&lt;="&amp;M56,MOT_HASTA,"&gt;="&amp;M56)+SUMIFS(MOT_AJUSTE,MOT_MOTOR,"(cualquiera)",MOT_MARCA,E56,MOT_DESDE,"&lt;="&amp;M56,MOT_HASTA,"&gt;="&amp;M56)</f>
        <v/>
      </c>
      <c r="BX56" s="3">
        <f>SUMIFS(COMB_AJUSTE,COMB_COMB,K56)</f>
        <v/>
      </c>
      <c r="BY56" s="3">
        <f>COUNTIFS(MOT_MOTOR,G56,MOT_MARCA,E56,MOT_DESDE,"&lt;="&amp;M56,MOT_HASTA,"&gt;="&amp;M56)+COUNTIFS(MOT_MOTOR,G56,MOT_MARCA,"(todas)",MOT_DESDE,"&lt;="&amp;M56,MOT_HASTA,"&gt;="&amp;M56)+COUNTIFS(MOT_MOTOR,"(cualquiera)",MOT_MARCA,E56,MOT_DESDE,"&lt;="&amp;M56,MOT_HASTA,"&gt;="&amp;M56)</f>
        <v/>
      </c>
      <c r="BZ56" s="3">
        <f>IF(AND(K56="diesel",BY56=0),MIN(BV56,NEUTRO),BV56)</f>
        <v/>
      </c>
      <c r="CA56" s="3">
        <f>MAX(0,MIN(100,BZ56+BW56+BX56-IF(AV56="sí",ROB_PEN,0)))</f>
        <v/>
      </c>
      <c r="CB56" s="3">
        <f>100-MAX(0,N56-KM_TOPE_DESDE)/1000*KM_TOPE_PTS</f>
        <v/>
      </c>
      <c r="CC56" s="3">
        <f>MAX(0,MIN(100,50+BO56*PRECIO_PEND,CB56))</f>
        <v/>
      </c>
      <c r="CD56" s="3">
        <f>MAX(0,100*(1-N56/KM_MAX))</f>
        <v/>
      </c>
      <c r="CE56" s="3">
        <f>IF(BF56&lt;KMA_SOSP,IF(AA56="sí",100,KMA_PEN),IF(BF56&lt;=KMA_IDEAL_MAX,100,MAX(0,100*(KMA_CERO-BF56)/(KMA_CERO-KMA_IDEAL_MAX))))</f>
        <v/>
      </c>
      <c r="CF56" s="3">
        <f>MAX(0,MIN(100,100*(M56-ANIO_MIN)/(ANIO_ACTUAL-ANIO_MIN)))</f>
        <v/>
      </c>
      <c r="CG56" s="3">
        <f>W_KMT*CD56+W_KMA*CE56+W_EDAD*CF56</f>
        <v/>
      </c>
      <c r="CH56" s="3">
        <f>P_ITV*(V56="sí")+P_LIBRO*(W56="sí")+P_CORREA*(X56="sí")+P_PROP*(Y56=1)+P_GAR*(Z56="sí")+P_FOTOS*MIN(1,N(U56)/FOTOS_OBJ)</f>
        <v/>
      </c>
      <c r="CI56" s="3">
        <f>MAX(0,MIN(100,IFERROR(VLOOKUP(BT56,ETQ_TBL,2,0),0)-IF(BU56="sí",ETQ_PEN_DUD,IF(AS56="regla",ETQ_PEN_REGLA,0))))</f>
        <v/>
      </c>
      <c r="CJ56" s="3">
        <f>IF(K56&lt;&gt;"gasolina","",IFERROR(VLOOKUP(F56,CONS_MOD_TBL,2,0),IFERROR(VLOOKUP(L56,CONS_SEG_TBL,2,0),"")))</f>
        <v/>
      </c>
      <c r="CK56" s="3">
        <f>IF(CJ56="",NEUTRO,MAX(0,MIN(100,100*(CONS_REF_MAX-CJ56)/(CONS_REF_MAX-CONS_REF_MIN))))</f>
        <v/>
      </c>
      <c r="CL56" s="3">
        <f>IFERROR(VLOOKUP(L56,SEGURO_TBL,3,0),"")</f>
        <v/>
      </c>
      <c r="CM56" s="3">
        <f>IF(CL56="",NEUTRO,MAX(0,MIN(100,100*(SEG_REF_MAX-CL56)/(SEG_REF_MAX-SEG_REF_MIN))))</f>
        <v/>
      </c>
      <c r="CN56" s="3">
        <f>W_CONS*CK56+W_SEG*CM56</f>
        <v/>
      </c>
      <c r="CO56" s="3">
        <f>IF(N(AB56)&gt;0,AB56,IF(AND(R56="profesional",SG_LEGAL_ON=1),GAR_LEGAL,0))</f>
        <v/>
      </c>
      <c r="CP56" s="3">
        <f>SG_GAR*MIN(1,CO56/SG_GAR_FULL)+SG_AMPL*(AC56="sí")+SG_KMC*(AF56="sí")+SG_REV*(N(AE56)&gt;0)+SG_DEV*MIN(1,N(AG56)/SG_DEV_FULL)+SG_HIST*(W56="sí")</f>
        <v/>
      </c>
      <c r="CQ56" s="3">
        <f>IF(AW56="sí",ESTILO_PRIO,IFERROR(VLOOKUP(L56,ESTILO_TBL,2,0),NEUTRO))</f>
        <v/>
      </c>
      <c r="CR56" s="3">
        <f>IFERROR(VLOOKUP(L56,CARR_PEN_TBL,2,0),0)</f>
        <v/>
      </c>
      <c r="CS56" s="3">
        <f>W_FIAB*CA56+W_PRECIO*CC56+W_KMEDAD*CG56+W_ANUNCIO*CH56+W_USO*CN56+W_SEGURIDAD*CP56+W_ETIQUETA*CI56+W_ESTILO*CQ56-CR56</f>
        <v/>
      </c>
      <c r="CT56" s="4">
        <f>IF(N(I56)&gt;0,I56,IFERROR(ROUND(_xlfn.NUMBERVALUE(LEFT(G56,FIND(" ",G56&amp;" ")-1),".")*1000,0),99999))</f>
        <v/>
      </c>
      <c r="CU56" s="3">
        <f>IF(R56="profesional",0,IF(O56&lt;CUOTA_VALOR_MAX,IF(BE56&gt;ITP_TRAMO_ALTO,SUMIFS(CF_CUOTA,CF_MAS,ITP_TRAMO_ALTO,CF_CCMIN,"&lt;="&amp;CT56,CF_CCMAX,"&gt;="&amp;CT56),IF(BE56&gt;ITP_TRAMO_BAJO,SUMIFS(CF_CUOTA,CF_MAS,ITP_TRAMO_BAJO,CF_CCMIN,"&lt;="&amp;CT56,CF_CCMAX,"&gt;="&amp;CT56),O56*ITP_TIPO)),O56*ITP_TIPO))</f>
        <v/>
      </c>
      <c r="CV56" s="4">
        <f>IF(R56="profesional",N(AK56),0)</f>
        <v/>
      </c>
      <c r="CW56" s="3">
        <f>IF(AND(R56="profesional",ISNUMBER(AK56),AL56="sí"),0,TASA_DGT)</f>
        <v/>
      </c>
      <c r="CX56" s="3">
        <f>INFORME_DGT</f>
        <v/>
      </c>
      <c r="CY56" s="4">
        <f>O56+CV56+CU56+CW56+CX56</f>
        <v/>
      </c>
      <c r="CZ56" s="4">
        <f>CY56+N(CL56)</f>
        <v/>
      </c>
      <c r="DA56" s="3">
        <f>IF(CY56&lt;=TOTAL_MAX,"sí",IF(CY56&lt;=TOTAL_MAX+MARGEN_NEG,"negociar","no"))</f>
        <v/>
      </c>
      <c r="DB56" s="4">
        <f>IF(DA56&lt;&gt;"no",COUNTIFS($DA$2:$DA$130,"&lt;&gt;no",$CS$2:$CS$130,"&gt;"&amp;CS56)+COUNTIFS($DA$2:DA56,"&lt;&gt;no",$CS$2:CS56,CS56),"")</f>
        <v/>
      </c>
    </row>
    <row r="57">
      <c r="A57" s="2" t="inlineStr">
        <is>
          <t>cochesnet:71693535</t>
        </is>
      </c>
      <c r="B57" s="2" t="inlineStr">
        <is>
          <t>cochesnet</t>
        </is>
      </c>
      <c r="C57" s="2" t="inlineStr">
        <is>
          <t>https://www.coches.net/renault-clio-expression-12-16v-5p-gasolina-2007-en-valencia-71693535-covo.aspx</t>
        </is>
      </c>
      <c r="D57" s="2" t="inlineStr">
        <is>
          <t>RENAULT Clio Expression 1.2 16v</t>
        </is>
      </c>
      <c r="E57" s="2" t="inlineStr">
        <is>
          <t>Renault</t>
        </is>
      </c>
      <c r="F57" s="2" t="inlineStr">
        <is>
          <t>Renault Clio</t>
        </is>
      </c>
      <c r="G57" s="2" t="inlineStr">
        <is>
          <t>1.2</t>
        </is>
      </c>
      <c r="H57" s="2" t="inlineStr">
        <is>
          <t>Expression 1.2 16v</t>
        </is>
      </c>
      <c r="I57" s="2" t="n"/>
      <c r="J57" s="2" t="n"/>
      <c r="K57" s="2" t="inlineStr">
        <is>
          <t>gasolina</t>
        </is>
      </c>
      <c r="L57" s="2" t="inlineStr">
        <is>
          <t>utilitario</t>
        </is>
      </c>
      <c r="M57" s="2" t="n">
        <v>2007</v>
      </c>
      <c r="N57" s="2" t="n">
        <v>97000</v>
      </c>
      <c r="O57" s="2" t="n">
        <v>4000</v>
      </c>
      <c r="P57" s="2" t="inlineStr">
        <is>
          <t>manual</t>
        </is>
      </c>
      <c r="Q57" s="2" t="inlineStr">
        <is>
          <t>no</t>
        </is>
      </c>
      <c r="R57" s="2" t="inlineStr">
        <is>
          <t>profesional</t>
        </is>
      </c>
      <c r="S57" s="2" t="inlineStr">
        <is>
          <t>Beniparrell</t>
        </is>
      </c>
      <c r="T57" s="2" t="inlineStr">
        <is>
          <t>2026-10-07T12:15:49Z</t>
        </is>
      </c>
      <c r="U57" s="2" t="n">
        <v>14</v>
      </c>
      <c r="V57" s="2" t="n"/>
      <c r="W57" s="2" t="n"/>
      <c r="X57" s="2" t="n"/>
      <c r="Y57" s="2" t="n"/>
      <c r="Z57" s="2" t="inlineStr">
        <is>
          <t>sí</t>
        </is>
      </c>
      <c r="AA57" s="2" t="n"/>
      <c r="AB57" s="2" t="n">
        <v>12</v>
      </c>
      <c r="AC57" s="2" t="n"/>
      <c r="AD57" s="2" t="n"/>
      <c r="AE57" s="2" t="n"/>
      <c r="AF57" s="2" t="n"/>
      <c r="AG57" s="2" t="n"/>
      <c r="AH57" s="2" t="n">
        <v>4000</v>
      </c>
      <c r="AI57" s="2" t="n"/>
      <c r="AJ57" s="2" t="n"/>
      <c r="AK57" s="2" t="n"/>
      <c r="AL57" s="2" t="n"/>
      <c r="AM57" s="2" t="n">
        <v>10.2</v>
      </c>
      <c r="AN57" s="2" t="n"/>
      <c r="AO57" s="2" t="inlineStr">
        <is>
          <t>2007</t>
        </is>
      </c>
      <c r="AP57" s="2" t="n">
        <v>2007</v>
      </c>
      <c r="AQ57" s="2" t="n"/>
      <c r="AR57" s="2" t="inlineStr">
        <is>
          <t>C</t>
        </is>
      </c>
      <c r="AS57" s="2" t="inlineStr">
        <is>
          <t>anuncio</t>
        </is>
      </c>
      <c r="AT57" s="2" t="n"/>
      <c r="AU57" s="2" t="inlineStr">
        <is>
          <t>no</t>
        </is>
      </c>
      <c r="AV57" s="2" t="inlineStr">
        <is>
          <t>no</t>
        </is>
      </c>
      <c r="AW57" s="2" t="inlineStr">
        <is>
          <t>no</t>
        </is>
      </c>
      <c r="AX57" s="2" t="n">
        <v>3500</v>
      </c>
      <c r="AY57" s="2" t="n">
        <v>24</v>
      </c>
      <c r="AZ57" s="2" t="inlineStr">
        <is>
          <t>modelo+año</t>
        </is>
      </c>
      <c r="BA57" s="2" t="n"/>
      <c r="BB57" s="2" t="inlineStr">
        <is>
          <t>vendedor profesional: sin ITP (operación con IVA/REBU, confirmar en factura); gastos de gestión del vendedor no indicados: se suma la tasa DGT; preguntar el precio final; revisar: no menciona la ITV</t>
        </is>
      </c>
      <c r="BC57" s="2" t="inlineStr">
        <is>
          <t>Este Renault Clio Expression cuenta con dirección asistida eléctrica progresiva, climatización con filtro de partículas y sistema de audio completo con control remoto en volante para máxima comodidad. Equipado con control de crucero, ordenador de viaje multifunción, elevalunas eléctricos delanteros y retrovisores exteriores eléctricos desempañables. Dispone de asientos ajustables en altura con reposacabezas regulables, cristales tintados y limpiaparabrisas con intermitencia variable. Etiqueta medioambiental C que facilita acceso a zonas de circulación restringida en núcleos urbanos.GARANTÍA 12 meses (cobertura de 25 componentes del vehículo )cobertura de reparación hasta 2.000e en cualquier taller)</t>
        </is>
      </c>
      <c r="BD57" s="2" t="inlineStr">
        <is>
          <t>https://www.coches.net/renault-clio-expression-12-16v-5p-gasolina-2007-en-valencia-71693535-covo.aspx (window.__INITIAL_PROPS__.ad) /home/user/Alopecia/buscador-coches/raw/cochesnet/d9d8e1e1790f9a56.json</t>
        </is>
      </c>
      <c r="BE57" s="3">
        <f>MAX(ANIO_ACTUAL-M57,0)</f>
        <v/>
      </c>
      <c r="BF57" s="4">
        <f>N57/MAX(BE57,0.5)</f>
        <v/>
      </c>
      <c r="BG57" s="4">
        <f>F57</f>
        <v/>
      </c>
      <c r="BH57" s="3">
        <f>BG57&amp;"|"&amp;INT(M57/SEG_ANIO)*SEG_ANIO</f>
        <v/>
      </c>
      <c r="BI57" s="3">
        <f>BH57&amp;"|"&amp;INT(N57/SEG_KM)*SEG_KM</f>
        <v/>
      </c>
      <c r="BJ57" s="4">
        <f>COUNTIF($BG$2:$BG$130,BG57)</f>
        <v/>
      </c>
      <c r="BK57" s="4">
        <f>COUNTIF($BH$2:$BH$130,BH57)</f>
        <v/>
      </c>
      <c r="BL57" s="4">
        <f>COUNTIF($BI$2:$BI$130,BI57)</f>
        <v/>
      </c>
      <c r="BM57" s="3">
        <f t="array" ref="BM57">IF(N(AY57)&gt;=MIN_N,AX57,IF(BL57&gt;=MIN_N,MEDIAN(IF($BI$2:$BI$130=BI57,$O$2:$O$130)),IF(BK57&gt;=MIN_N,MEDIAN(IF($BH$2:$BH$130=BH57,$O$2:$O$130)),MEDIAN(IF($BG$2:$BG$130=BG57,$O$2:$O$130)))))</f>
        <v/>
      </c>
      <c r="BN57" s="3">
        <f>IF(N(AY57)&gt;=MIN_N,"mercado "&amp;AZ57,IF(BL57&gt;=MIN_N,"modelo+año+km",IF(BK57&gt;=MIN_N,"modelo+año","modelo")))</f>
        <v/>
      </c>
      <c r="BO57" s="4">
        <f>(BM57-O57)/BM57</f>
        <v/>
      </c>
      <c r="BP57" s="3">
        <f>IF(COUNTIFS(FR_FUEL,K57,FR_YEAR,AP57)&gt;0,1,0)</f>
        <v/>
      </c>
      <c r="BQ57" s="3">
        <f>IF(COUNTIFS(FR_FUEL,K57,FR_YEAR,AP57-1)&gt;0,1,0)</f>
        <v/>
      </c>
      <c r="BR57" s="4">
        <f>IF(N(AQ57)&gt;0,AP57*100+AQ57,IF(AND(BP57=1,BQ57=1),(AP57-1)*100+1,AP57*100+1))</f>
        <v/>
      </c>
      <c r="BS57" s="3">
        <f>IF(OR(K57="hibrido",K57="glp",K57="gnc",K57="phev"),"ECO",IF(K57="electrico","CERO",IF(K57="gasolina",IF(BR57&gt;=GAS_C_YM,"C",IF(BR57&gt;=GAS_B_YM,"B","A")),IF(K57="diesel",IF(BR57&gt;=DIE_C_YM,"C",IF(BR57&gt;=DIE_B_YM,"B","A")),""))))</f>
        <v/>
      </c>
      <c r="BT57" s="2" t="inlineStr">
        <is>
          <t>C</t>
        </is>
      </c>
      <c r="BU57" s="4">
        <f>IF(AU57="sí","sí",IF(AS57="regla",IF(AND(N(AQ57)=0,BP57=1),"sí","no"),"no"))</f>
        <v/>
      </c>
      <c r="BV57" s="3">
        <f>IFERROR(VLOOKUP(F57,MOD_TBL,16,0),IFERROR(VLOOKUP(E57,OCU_TBL,2,0),NEUTRO))</f>
        <v/>
      </c>
      <c r="BW57" s="3">
        <f>SUMIFS(MOT_AJUSTE,MOT_MOTOR,G57,MOT_MARCA,E57,MOT_DESDE,"&lt;="&amp;M57,MOT_HASTA,"&gt;="&amp;M57)+SUMIFS(MOT_AJUSTE,MOT_MOTOR,G57,MOT_MARCA,"(todas)",MOT_DESDE,"&lt;="&amp;M57,MOT_HASTA,"&gt;="&amp;M57)+SUMIFS(MOT_AJUSTE,MOT_MOTOR,"(cualquiera)",MOT_MARCA,E57,MOT_DESDE,"&lt;="&amp;M57,MOT_HASTA,"&gt;="&amp;M57)</f>
        <v/>
      </c>
      <c r="BX57" s="3">
        <f>SUMIFS(COMB_AJUSTE,COMB_COMB,K57)</f>
        <v/>
      </c>
      <c r="BY57" s="3">
        <f>COUNTIFS(MOT_MOTOR,G57,MOT_MARCA,E57,MOT_DESDE,"&lt;="&amp;M57,MOT_HASTA,"&gt;="&amp;M57)+COUNTIFS(MOT_MOTOR,G57,MOT_MARCA,"(todas)",MOT_DESDE,"&lt;="&amp;M57,MOT_HASTA,"&gt;="&amp;M57)+COUNTIFS(MOT_MOTOR,"(cualquiera)",MOT_MARCA,E57,MOT_DESDE,"&lt;="&amp;M57,MOT_HASTA,"&gt;="&amp;M57)</f>
        <v/>
      </c>
      <c r="BZ57" s="3">
        <f>IF(AND(K57="diesel",BY57=0),MIN(BV57,NEUTRO),BV57)</f>
        <v/>
      </c>
      <c r="CA57" s="3">
        <f>MAX(0,MIN(100,BZ57+BW57+BX57-IF(AV57="sí",ROB_PEN,0)))</f>
        <v/>
      </c>
      <c r="CB57" s="3">
        <f>100-MAX(0,N57-KM_TOPE_DESDE)/1000*KM_TOPE_PTS</f>
        <v/>
      </c>
      <c r="CC57" s="3">
        <f>MAX(0,MIN(100,50+BO57*PRECIO_PEND,CB57))</f>
        <v/>
      </c>
      <c r="CD57" s="3">
        <f>MAX(0,100*(1-N57/KM_MAX))</f>
        <v/>
      </c>
      <c r="CE57" s="3">
        <f>IF(BF57&lt;KMA_SOSP,IF(AA57="sí",100,KMA_PEN),IF(BF57&lt;=KMA_IDEAL_MAX,100,MAX(0,100*(KMA_CERO-BF57)/(KMA_CERO-KMA_IDEAL_MAX))))</f>
        <v/>
      </c>
      <c r="CF57" s="3">
        <f>MAX(0,MIN(100,100*(M57-ANIO_MIN)/(ANIO_ACTUAL-ANIO_MIN)))</f>
        <v/>
      </c>
      <c r="CG57" s="3">
        <f>W_KMT*CD57+W_KMA*CE57+W_EDAD*CF57</f>
        <v/>
      </c>
      <c r="CH57" s="3">
        <f>P_ITV*(V57="sí")+P_LIBRO*(W57="sí")+P_CORREA*(X57="sí")+P_PROP*(Y57=1)+P_GAR*(Z57="sí")+P_FOTOS*MIN(1,N(U57)/FOTOS_OBJ)</f>
        <v/>
      </c>
      <c r="CI57" s="3">
        <f>MAX(0,MIN(100,IFERROR(VLOOKUP(BT57,ETQ_TBL,2,0),0)-IF(BU57="sí",ETQ_PEN_DUD,IF(AS57="regla",ETQ_PEN_REGLA,0))))</f>
        <v/>
      </c>
      <c r="CJ57" s="3">
        <f>IF(K57&lt;&gt;"gasolina","",IFERROR(VLOOKUP(F57,CONS_MOD_TBL,2,0),IFERROR(VLOOKUP(L57,CONS_SEG_TBL,2,0),"")))</f>
        <v/>
      </c>
      <c r="CK57" s="3">
        <f>IF(CJ57="",NEUTRO,MAX(0,MIN(100,100*(CONS_REF_MAX-CJ57)/(CONS_REF_MAX-CONS_REF_MIN))))</f>
        <v/>
      </c>
      <c r="CL57" s="3">
        <f>IFERROR(VLOOKUP(L57,SEGURO_TBL,3,0),"")</f>
        <v/>
      </c>
      <c r="CM57" s="3">
        <f>IF(CL57="",NEUTRO,MAX(0,MIN(100,100*(SEG_REF_MAX-CL57)/(SEG_REF_MAX-SEG_REF_MIN))))</f>
        <v/>
      </c>
      <c r="CN57" s="3">
        <f>W_CONS*CK57+W_SEG*CM57</f>
        <v/>
      </c>
      <c r="CO57" s="3">
        <f>IF(N(AB57)&gt;0,AB57,IF(AND(R57="profesional",SG_LEGAL_ON=1),GAR_LEGAL,0))</f>
        <v/>
      </c>
      <c r="CP57" s="3">
        <f>SG_GAR*MIN(1,CO57/SG_GAR_FULL)+SG_AMPL*(AC57="sí")+SG_KMC*(AF57="sí")+SG_REV*(N(AE57)&gt;0)+SG_DEV*MIN(1,N(AG57)/SG_DEV_FULL)+SG_HIST*(W57="sí")</f>
        <v/>
      </c>
      <c r="CQ57" s="3">
        <f>IF(AW57="sí",ESTILO_PRIO,IFERROR(VLOOKUP(L57,ESTILO_TBL,2,0),NEUTRO))</f>
        <v/>
      </c>
      <c r="CR57" s="3">
        <f>IFERROR(VLOOKUP(L57,CARR_PEN_TBL,2,0),0)</f>
        <v/>
      </c>
      <c r="CS57" s="3">
        <f>W_FIAB*CA57+W_PRECIO*CC57+W_KMEDAD*CG57+W_ANUNCIO*CH57+W_USO*CN57+W_SEGURIDAD*CP57+W_ETIQUETA*CI57+W_ESTILO*CQ57-CR57</f>
        <v/>
      </c>
      <c r="CT57" s="4">
        <f>IF(N(I57)&gt;0,I57,IFERROR(ROUND(_xlfn.NUMBERVALUE(LEFT(G57,FIND(" ",G57&amp;" ")-1),".")*1000,0),99999))</f>
        <v/>
      </c>
      <c r="CU57" s="3">
        <f>IF(R57="profesional",0,IF(O57&lt;CUOTA_VALOR_MAX,IF(BE57&gt;ITP_TRAMO_ALTO,SUMIFS(CF_CUOTA,CF_MAS,ITP_TRAMO_ALTO,CF_CCMIN,"&lt;="&amp;CT57,CF_CCMAX,"&gt;="&amp;CT57),IF(BE57&gt;ITP_TRAMO_BAJO,SUMIFS(CF_CUOTA,CF_MAS,ITP_TRAMO_BAJO,CF_CCMIN,"&lt;="&amp;CT57,CF_CCMAX,"&gt;="&amp;CT57),O57*ITP_TIPO)),O57*ITP_TIPO))</f>
        <v/>
      </c>
      <c r="CV57" s="4">
        <f>IF(R57="profesional",N(AK57),0)</f>
        <v/>
      </c>
      <c r="CW57" s="3">
        <f>IF(AND(R57="profesional",ISNUMBER(AK57),AL57="sí"),0,TASA_DGT)</f>
        <v/>
      </c>
      <c r="CX57" s="3">
        <f>INFORME_DGT</f>
        <v/>
      </c>
      <c r="CY57" s="4">
        <f>O57+CV57+CU57+CW57+CX57</f>
        <v/>
      </c>
      <c r="CZ57" s="4">
        <f>CY57+N(CL57)</f>
        <v/>
      </c>
      <c r="DA57" s="3">
        <f>IF(CY57&lt;=TOTAL_MAX,"sí",IF(CY57&lt;=TOTAL_MAX+MARGEN_NEG,"negociar","no"))</f>
        <v/>
      </c>
      <c r="DB57" s="4">
        <f>IF(DA57&lt;&gt;"no",COUNTIFS($DA$2:$DA$130,"&lt;&gt;no",$CS$2:$CS$130,"&gt;"&amp;CS57)+COUNTIFS($DA$2:DA57,"&lt;&gt;no",$CS$2:CS57,CS57),"")</f>
        <v/>
      </c>
    </row>
    <row r="58">
      <c r="A58" s="2" t="inlineStr">
        <is>
          <t>cochesnet:71684364</t>
        </is>
      </c>
      <c r="B58" s="2" t="inlineStr">
        <is>
          <t>cochesnet</t>
        </is>
      </c>
      <c r="C58" s="2" t="inlineStr">
        <is>
          <t>https://www.coches.net/renault-megane-business-dci-110-5p-diesel-2012-en-valencia-71684364-covo.aspx</t>
        </is>
      </c>
      <c r="D58" s="2" t="inlineStr">
        <is>
          <t>RENAULT Mégane Business dCi 110</t>
        </is>
      </c>
      <c r="E58" s="2" t="inlineStr">
        <is>
          <t>Renault</t>
        </is>
      </c>
      <c r="F58" s="2" t="inlineStr">
        <is>
          <t>Renault Mégane</t>
        </is>
      </c>
      <c r="G58" s="2" t="inlineStr">
        <is>
          <t>? dCi</t>
        </is>
      </c>
      <c r="H58" s="2" t="inlineStr">
        <is>
          <t>Business dCi 110</t>
        </is>
      </c>
      <c r="I58" s="2" t="n"/>
      <c r="J58" s="2" t="n"/>
      <c r="K58" s="2" t="inlineStr">
        <is>
          <t>diesel</t>
        </is>
      </c>
      <c r="L58" s="2" t="inlineStr">
        <is>
          <t>compacto</t>
        </is>
      </c>
      <c r="M58" s="2" t="n">
        <v>2012</v>
      </c>
      <c r="N58" s="2" t="n">
        <v>199000</v>
      </c>
      <c r="O58" s="2" t="n">
        <v>4990</v>
      </c>
      <c r="P58" s="2" t="inlineStr">
        <is>
          <t>manual</t>
        </is>
      </c>
      <c r="Q58" s="2" t="inlineStr">
        <is>
          <t>no</t>
        </is>
      </c>
      <c r="R58" s="2" t="inlineStr">
        <is>
          <t>profesional</t>
        </is>
      </c>
      <c r="S58" s="2" t="inlineStr">
        <is>
          <t>V.O. Eliana San Antonio de Benagéber</t>
        </is>
      </c>
      <c r="T58" s="2" t="inlineStr">
        <is>
          <t>2026-10-06T12:23:00Z</t>
        </is>
      </c>
      <c r="U58" s="2" t="n">
        <v>17</v>
      </c>
      <c r="V58" s="2" t="n"/>
      <c r="W58" s="2" t="n"/>
      <c r="X58" s="2" t="n"/>
      <c r="Y58" s="2" t="n"/>
      <c r="Z58" s="2" t="inlineStr">
        <is>
          <t>sí</t>
        </is>
      </c>
      <c r="AA58" s="2" t="n"/>
      <c r="AB58" s="2" t="n">
        <v>12</v>
      </c>
      <c r="AC58" s="2" t="n"/>
      <c r="AD58" s="2" t="n"/>
      <c r="AE58" s="2" t="n"/>
      <c r="AF58" s="2" t="n"/>
      <c r="AG58" s="2" t="n"/>
      <c r="AH58" s="2" t="n">
        <v>4990</v>
      </c>
      <c r="AI58" s="2" t="n"/>
      <c r="AJ58" s="2" t="n"/>
      <c r="AK58" s="2" t="n"/>
      <c r="AL58" s="2" t="n"/>
      <c r="AM58" s="2" t="n">
        <v>19.1</v>
      </c>
      <c r="AN58" s="2" t="n"/>
      <c r="AO58" s="2" t="inlineStr">
        <is>
          <t>2012</t>
        </is>
      </c>
      <c r="AP58" s="2" t="n">
        <v>2012</v>
      </c>
      <c r="AQ58" s="2" t="n"/>
      <c r="AR58" s="2" t="inlineStr">
        <is>
          <t>B</t>
        </is>
      </c>
      <c r="AS58" s="2" t="inlineStr">
        <is>
          <t>anuncio</t>
        </is>
      </c>
      <c r="AT58" s="2" t="n"/>
      <c r="AU58" s="2" t="inlineStr">
        <is>
          <t>no</t>
        </is>
      </c>
      <c r="AV58" s="2" t="inlineStr">
        <is>
          <t>no</t>
        </is>
      </c>
      <c r="AW58" s="2" t="inlineStr">
        <is>
          <t>no</t>
        </is>
      </c>
      <c r="AX58" s="2" t="n">
        <v>5045</v>
      </c>
      <c r="AY58" s="2" t="n">
        <v>12</v>
      </c>
      <c r="AZ58" s="2" t="inlineStr">
        <is>
          <t>modelo+año+km</t>
        </is>
      </c>
      <c r="BA58" s="2" t="n"/>
      <c r="BB58"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 revisar: no menciona la ITV</t>
        </is>
      </c>
      <c r="BC58" s="2" t="inlineStr">
        <is>
          <t>Este Mégane Business dCi combina confort y tecnología con aire acondicionado bizona automático, volante multifunción de cuero ajustable y ordenador de viaje con datos de consumo en tiempo real. Equipado con control de crucero, limpiaparabrisas con sensor de lluvia, faros con regulación automática y sistema de audio con seis altavoces y control remoto en el volante. Dirección asistida eléctrica progresiva, cristales tintados y retrovisores eléctricos desempañables completan una propuesta práctica y versátil para uso diario.</t>
        </is>
      </c>
      <c r="BD58" s="2" t="inlineStr">
        <is>
          <t>https://www.coches.net/renault-megane-business-dci-110-5p-diesel-2012-en-valencia-71684364-covo.aspx (window.__INITIAL_PROPS__.ad) /home/user/Alopecia/buscador-coches/raw/cochesnet/0b83cc2dfa699629.json</t>
        </is>
      </c>
      <c r="BE58" s="3">
        <f>MAX(ANIO_ACTUAL-M58,0)</f>
        <v/>
      </c>
      <c r="BF58" s="4">
        <f>N58/MAX(BE58,0.5)</f>
        <v/>
      </c>
      <c r="BG58" s="4">
        <f>F58</f>
        <v/>
      </c>
      <c r="BH58" s="3">
        <f>BG58&amp;"|"&amp;INT(M58/SEG_ANIO)*SEG_ANIO</f>
        <v/>
      </c>
      <c r="BI58" s="3">
        <f>BH58&amp;"|"&amp;INT(N58/SEG_KM)*SEG_KM</f>
        <v/>
      </c>
      <c r="BJ58" s="4">
        <f>COUNTIF($BG$2:$BG$130,BG58)</f>
        <v/>
      </c>
      <c r="BK58" s="4">
        <f>COUNTIF($BH$2:$BH$130,BH58)</f>
        <v/>
      </c>
      <c r="BL58" s="4">
        <f>COUNTIF($BI$2:$BI$130,BI58)</f>
        <v/>
      </c>
      <c r="BM58" s="3">
        <f t="array" ref="BM58">IF(N(AY58)&gt;=MIN_N,AX58,IF(BL58&gt;=MIN_N,MEDIAN(IF($BI$2:$BI$130=BI58,$O$2:$O$130)),IF(BK58&gt;=MIN_N,MEDIAN(IF($BH$2:$BH$130=BH58,$O$2:$O$130)),MEDIAN(IF($BG$2:$BG$130=BG58,$O$2:$O$130)))))</f>
        <v/>
      </c>
      <c r="BN58" s="3">
        <f>IF(N(AY58)&gt;=MIN_N,"mercado "&amp;AZ58,IF(BL58&gt;=MIN_N,"modelo+año+km",IF(BK58&gt;=MIN_N,"modelo+año","modelo")))</f>
        <v/>
      </c>
      <c r="BO58" s="4">
        <f>(BM58-O58)/BM58</f>
        <v/>
      </c>
      <c r="BP58" s="3">
        <f>IF(COUNTIFS(FR_FUEL,K58,FR_YEAR,AP58)&gt;0,1,0)</f>
        <v/>
      </c>
      <c r="BQ58" s="3">
        <f>IF(COUNTIFS(FR_FUEL,K58,FR_YEAR,AP58-1)&gt;0,1,0)</f>
        <v/>
      </c>
      <c r="BR58" s="4">
        <f>IF(N(AQ58)&gt;0,AP58*100+AQ58,IF(AND(BP58=1,BQ58=1),(AP58-1)*100+1,AP58*100+1))</f>
        <v/>
      </c>
      <c r="BS58" s="3">
        <f>IF(OR(K58="hibrido",K58="glp",K58="gnc",K58="phev"),"ECO",IF(K58="electrico","CERO",IF(K58="gasolina",IF(BR58&gt;=GAS_C_YM,"C",IF(BR58&gt;=GAS_B_YM,"B","A")),IF(K58="diesel",IF(BR58&gt;=DIE_C_YM,"C",IF(BR58&gt;=DIE_B_YM,"B","A")),""))))</f>
        <v/>
      </c>
      <c r="BT58" s="2" t="inlineStr">
        <is>
          <t>B</t>
        </is>
      </c>
      <c r="BU58" s="4">
        <f>IF(AU58="sí","sí",IF(AS58="regla",IF(AND(N(AQ58)=0,BP58=1),"sí","no"),"no"))</f>
        <v/>
      </c>
      <c r="BV58" s="3">
        <f>IFERROR(VLOOKUP(F58,MOD_TBL,16,0),IFERROR(VLOOKUP(E58,OCU_TBL,2,0),NEUTRO))</f>
        <v/>
      </c>
      <c r="BW58" s="3">
        <f>SUMIFS(MOT_AJUSTE,MOT_MOTOR,G58,MOT_MARCA,E58,MOT_DESDE,"&lt;="&amp;M58,MOT_HASTA,"&gt;="&amp;M58)+SUMIFS(MOT_AJUSTE,MOT_MOTOR,G58,MOT_MARCA,"(todas)",MOT_DESDE,"&lt;="&amp;M58,MOT_HASTA,"&gt;="&amp;M58)+SUMIFS(MOT_AJUSTE,MOT_MOTOR,"(cualquiera)",MOT_MARCA,E58,MOT_DESDE,"&lt;="&amp;M58,MOT_HASTA,"&gt;="&amp;M58)</f>
        <v/>
      </c>
      <c r="BX58" s="3">
        <f>SUMIFS(COMB_AJUSTE,COMB_COMB,K58)</f>
        <v/>
      </c>
      <c r="BY58" s="3">
        <f>COUNTIFS(MOT_MOTOR,G58,MOT_MARCA,E58,MOT_DESDE,"&lt;="&amp;M58,MOT_HASTA,"&gt;="&amp;M58)+COUNTIFS(MOT_MOTOR,G58,MOT_MARCA,"(todas)",MOT_DESDE,"&lt;="&amp;M58,MOT_HASTA,"&gt;="&amp;M58)+COUNTIFS(MOT_MOTOR,"(cualquiera)",MOT_MARCA,E58,MOT_DESDE,"&lt;="&amp;M58,MOT_HASTA,"&gt;="&amp;M58)</f>
        <v/>
      </c>
      <c r="BZ58" s="3">
        <f>IF(AND(K58="diesel",BY58=0),MIN(BV58,NEUTRO),BV58)</f>
        <v/>
      </c>
      <c r="CA58" s="3">
        <f>MAX(0,MIN(100,BZ58+BW58+BX58-IF(AV58="sí",ROB_PEN,0)))</f>
        <v/>
      </c>
      <c r="CB58" s="3">
        <f>100-MAX(0,N58-KM_TOPE_DESDE)/1000*KM_TOPE_PTS</f>
        <v/>
      </c>
      <c r="CC58" s="3">
        <f>MAX(0,MIN(100,50+BO58*PRECIO_PEND,CB58))</f>
        <v/>
      </c>
      <c r="CD58" s="3">
        <f>MAX(0,100*(1-N58/KM_MAX))</f>
        <v/>
      </c>
      <c r="CE58" s="3">
        <f>IF(BF58&lt;KMA_SOSP,IF(AA58="sí",100,KMA_PEN),IF(BF58&lt;=KMA_IDEAL_MAX,100,MAX(0,100*(KMA_CERO-BF58)/(KMA_CERO-KMA_IDEAL_MAX))))</f>
        <v/>
      </c>
      <c r="CF58" s="3">
        <f>MAX(0,MIN(100,100*(M58-ANIO_MIN)/(ANIO_ACTUAL-ANIO_MIN)))</f>
        <v/>
      </c>
      <c r="CG58" s="3">
        <f>W_KMT*CD58+W_KMA*CE58+W_EDAD*CF58</f>
        <v/>
      </c>
      <c r="CH58" s="3">
        <f>P_ITV*(V58="sí")+P_LIBRO*(W58="sí")+P_CORREA*(X58="sí")+P_PROP*(Y58=1)+P_GAR*(Z58="sí")+P_FOTOS*MIN(1,N(U58)/FOTOS_OBJ)</f>
        <v/>
      </c>
      <c r="CI58" s="3">
        <f>MAX(0,MIN(100,IFERROR(VLOOKUP(BT58,ETQ_TBL,2,0),0)-IF(BU58="sí",ETQ_PEN_DUD,IF(AS58="regla",ETQ_PEN_REGLA,0))))</f>
        <v/>
      </c>
      <c r="CJ58" s="3">
        <f>IF(K58&lt;&gt;"gasolina","",IFERROR(VLOOKUP(F58,CONS_MOD_TBL,2,0),IFERROR(VLOOKUP(L58,CONS_SEG_TBL,2,0),"")))</f>
        <v/>
      </c>
      <c r="CK58" s="3">
        <f>IF(CJ58="",NEUTRO,MAX(0,MIN(100,100*(CONS_REF_MAX-CJ58)/(CONS_REF_MAX-CONS_REF_MIN))))</f>
        <v/>
      </c>
      <c r="CL58" s="3">
        <f>IFERROR(VLOOKUP(L58,SEGURO_TBL,3,0),"")</f>
        <v/>
      </c>
      <c r="CM58" s="3">
        <f>IF(CL58="",NEUTRO,MAX(0,MIN(100,100*(SEG_REF_MAX-CL58)/(SEG_REF_MAX-SEG_REF_MIN))))</f>
        <v/>
      </c>
      <c r="CN58" s="3">
        <f>W_CONS*CK58+W_SEG*CM58</f>
        <v/>
      </c>
      <c r="CO58" s="3">
        <f>IF(N(AB58)&gt;0,AB58,IF(AND(R58="profesional",SG_LEGAL_ON=1),GAR_LEGAL,0))</f>
        <v/>
      </c>
      <c r="CP58" s="3">
        <f>SG_GAR*MIN(1,CO58/SG_GAR_FULL)+SG_AMPL*(AC58="sí")+SG_KMC*(AF58="sí")+SG_REV*(N(AE58)&gt;0)+SG_DEV*MIN(1,N(AG58)/SG_DEV_FULL)+SG_HIST*(W58="sí")</f>
        <v/>
      </c>
      <c r="CQ58" s="3">
        <f>IF(AW58="sí",ESTILO_PRIO,IFERROR(VLOOKUP(L58,ESTILO_TBL,2,0),NEUTRO))</f>
        <v/>
      </c>
      <c r="CR58" s="3">
        <f>IFERROR(VLOOKUP(L58,CARR_PEN_TBL,2,0),0)</f>
        <v/>
      </c>
      <c r="CS58" s="3">
        <f>W_FIAB*CA58+W_PRECIO*CC58+W_KMEDAD*CG58+W_ANUNCIO*CH58+W_USO*CN58+W_SEGURIDAD*CP58+W_ETIQUETA*CI58+W_ESTILO*CQ58-CR58</f>
        <v/>
      </c>
      <c r="CT58" s="4">
        <f>IF(N(I58)&gt;0,I58,IFERROR(ROUND(_xlfn.NUMBERVALUE(LEFT(G58,FIND(" ",G58&amp;" ")-1),".")*1000,0),99999))</f>
        <v/>
      </c>
      <c r="CU58" s="3">
        <f>IF(R58="profesional",0,IF(O58&lt;CUOTA_VALOR_MAX,IF(BE58&gt;ITP_TRAMO_ALTO,SUMIFS(CF_CUOTA,CF_MAS,ITP_TRAMO_ALTO,CF_CCMIN,"&lt;="&amp;CT58,CF_CCMAX,"&gt;="&amp;CT58),IF(BE58&gt;ITP_TRAMO_BAJO,SUMIFS(CF_CUOTA,CF_MAS,ITP_TRAMO_BAJO,CF_CCMIN,"&lt;="&amp;CT58,CF_CCMAX,"&gt;="&amp;CT58),O58*ITP_TIPO)),O58*ITP_TIPO))</f>
        <v/>
      </c>
      <c r="CV58" s="4">
        <f>IF(R58="profesional",N(AK58),0)</f>
        <v/>
      </c>
      <c r="CW58" s="3">
        <f>IF(AND(R58="profesional",ISNUMBER(AK58),AL58="sí"),0,TASA_DGT)</f>
        <v/>
      </c>
      <c r="CX58" s="3">
        <f>INFORME_DGT</f>
        <v/>
      </c>
      <c r="CY58" s="4">
        <f>O58+CV58+CU58+CW58+CX58</f>
        <v/>
      </c>
      <c r="CZ58" s="4">
        <f>CY58+N(CL58)</f>
        <v/>
      </c>
      <c r="DA58" s="3">
        <f>IF(CY58&lt;=TOTAL_MAX,"sí",IF(CY58&lt;=TOTAL_MAX+MARGEN_NEG,"negociar","no"))</f>
        <v/>
      </c>
      <c r="DB58" s="4">
        <f>IF(DA58&lt;&gt;"no",COUNTIFS($DA$2:$DA$130,"&lt;&gt;no",$CS$2:$CS$130,"&gt;"&amp;CS58)+COUNTIFS($DA$2:DA58,"&lt;&gt;no",$CS$2:CS58,CS58),"")</f>
        <v/>
      </c>
    </row>
    <row r="59">
      <c r="A59" s="2" t="inlineStr">
        <is>
          <t>cochesnet:71537820</t>
        </is>
      </c>
      <c r="B59" s="2" t="inlineStr">
        <is>
          <t>cochesnet</t>
        </is>
      </c>
      <c r="C59" s="2" t="inlineStr">
        <is>
          <t>https://www.coches.net/renault-megane-dynamique-energy-dci-110-ss-eco2-3p-diesel-2012-en-valencia-71537820-covo.aspx</t>
        </is>
      </c>
      <c r="D59" s="2" t="inlineStr">
        <is>
          <t>RENAULT Mégane Dynamique Energy dCi 110 SS eco2</t>
        </is>
      </c>
      <c r="E59" s="2" t="inlineStr">
        <is>
          <t>Renault</t>
        </is>
      </c>
      <c r="F59" s="2" t="inlineStr">
        <is>
          <t>Renault Mégane</t>
        </is>
      </c>
      <c r="G59" s="2" t="inlineStr">
        <is>
          <t>? dCi</t>
        </is>
      </c>
      <c r="H59" s="2" t="inlineStr">
        <is>
          <t>Dynamique Energy dCi 110 SS eco2</t>
        </is>
      </c>
      <c r="I59" s="2" t="n"/>
      <c r="J59" s="2" t="n"/>
      <c r="K59" s="2" t="inlineStr">
        <is>
          <t>diesel</t>
        </is>
      </c>
      <c r="L59" s="2" t="inlineStr">
        <is>
          <t>compacto</t>
        </is>
      </c>
      <c r="M59" s="2" t="n">
        <v>2012</v>
      </c>
      <c r="N59" s="2" t="n">
        <v>120000</v>
      </c>
      <c r="O59" s="2" t="n">
        <v>4999</v>
      </c>
      <c r="P59" s="2" t="inlineStr">
        <is>
          <t>manual</t>
        </is>
      </c>
      <c r="Q59" s="2" t="inlineStr">
        <is>
          <t>no</t>
        </is>
      </c>
      <c r="R59" s="2" t="inlineStr">
        <is>
          <t>profesional</t>
        </is>
      </c>
      <c r="S59" s="2" t="inlineStr">
        <is>
          <t>Automoción Valencia Albal</t>
        </is>
      </c>
      <c r="T59" s="2" t="inlineStr">
        <is>
          <t>2026-09-17T17:16:15Z</t>
        </is>
      </c>
      <c r="U59" s="2" t="n">
        <v>14</v>
      </c>
      <c r="V59" s="2" t="inlineStr">
        <is>
          <t>sí</t>
        </is>
      </c>
      <c r="W59" s="2" t="n"/>
      <c r="X59" s="2" t="n"/>
      <c r="Y59" s="2" t="n"/>
      <c r="Z59" s="2" t="inlineStr">
        <is>
          <t>no</t>
        </is>
      </c>
      <c r="AA59" s="2" t="inlineStr">
        <is>
          <t>sí</t>
        </is>
      </c>
      <c r="AB59" s="2" t="n"/>
      <c r="AC59" s="2" t="n"/>
      <c r="AD59" s="2" t="n"/>
      <c r="AE59" s="2" t="n"/>
      <c r="AF59" s="2" t="inlineStr">
        <is>
          <t>sí</t>
        </is>
      </c>
      <c r="AG59" s="2" t="n"/>
      <c r="AH59" s="2" t="n">
        <v>4999</v>
      </c>
      <c r="AI59" s="2" t="n">
        <v>4999</v>
      </c>
      <c r="AJ59" s="2" t="n"/>
      <c r="AK59" s="2" t="n"/>
      <c r="AL59" s="2" t="n"/>
      <c r="AM59" s="2" t="n">
        <v>8.699999999999999</v>
      </c>
      <c r="AN59" s="2" t="n"/>
      <c r="AO59" s="2" t="inlineStr">
        <is>
          <t>2012</t>
        </is>
      </c>
      <c r="AP59" s="2" t="n">
        <v>2012</v>
      </c>
      <c r="AQ59" s="2" t="n"/>
      <c r="AR59" s="2" t="inlineStr">
        <is>
          <t>B</t>
        </is>
      </c>
      <c r="AS59" s="2" t="inlineStr">
        <is>
          <t>anuncio</t>
        </is>
      </c>
      <c r="AT59" s="2" t="n"/>
      <c r="AU59" s="2" t="inlineStr">
        <is>
          <t>no</t>
        </is>
      </c>
      <c r="AV59" s="2" t="inlineStr">
        <is>
          <t>no</t>
        </is>
      </c>
      <c r="AW59" s="2" t="inlineStr">
        <is>
          <t>no</t>
        </is>
      </c>
      <c r="AX59" s="2" t="n">
        <v>5900</v>
      </c>
      <c r="AY59" s="2" t="n">
        <v>5</v>
      </c>
      <c r="AZ59" s="2" t="inlineStr">
        <is>
          <t>modelo+año+km</t>
        </is>
      </c>
      <c r="BA59" s="2" t="n"/>
      <c r="BB59" s="2" t="inlineStr">
        <is>
          <t>por encima del presupuesto (5063 €), negociar; vendedor profesional: sin ITP (operación con IVA/REBU, confirmar en factura); gastos de gestión del vendedor no indicados: se suma la tasa DGT; preguntar el precio final; diésel: motor sin fuente de fiabilidad (fiabilidad limitada a neutra)</t>
        </is>
      </c>
      <c r="BC59" s="2" t="inlineStr">
        <is>
          <t xml:space="preserve">•RENAUL  MEGANE III 1.5DCI 110CV GT-LINE
•AÑO 2012 123072 KM DISTINTIVO B
•TEL 664506303
 km certificados | ITV en vigor |
Equipamiento destacado:
Climatizador bizona
Control de velocidad (cruise control)
Limitador de velocidad
Sensor de luces y lluvia
Faros antiniebla
Elevalunas eléctricos delanteros y traseros
Retrovisores eléctricos
Llantas de aleación
Cierre centralizado con mando
Ordenador de a bordo
Radio CD/MP3 con mandos en el volante
ISOFIX
ABS, ESP, múltiples airbags
Información adicional:
120.000 km reales (123.072 km certificados)
ITV en vigor
Distintivo ambiental B
Contacto:
Teléfono: 664 506 303
</t>
        </is>
      </c>
      <c r="BD59" s="2" t="inlineStr">
        <is>
          <t>https://www.coches.net/renault-megane-dynamique-energy-dci-110-ss-eco2-3p-diesel-2012-en-valencia-71537820-covo.aspx (window.__INITIAL_PROPS__.ad) /home/user/Alopecia/buscador-coches/raw/cochesnet/1c66f9e703cb9d52.json</t>
        </is>
      </c>
      <c r="BE59" s="3">
        <f>MAX(ANIO_ACTUAL-M59,0)</f>
        <v/>
      </c>
      <c r="BF59" s="4">
        <f>N59/MAX(BE59,0.5)</f>
        <v/>
      </c>
      <c r="BG59" s="4">
        <f>F59</f>
        <v/>
      </c>
      <c r="BH59" s="3">
        <f>BG59&amp;"|"&amp;INT(M59/SEG_ANIO)*SEG_ANIO</f>
        <v/>
      </c>
      <c r="BI59" s="3">
        <f>BH59&amp;"|"&amp;INT(N59/SEG_KM)*SEG_KM</f>
        <v/>
      </c>
      <c r="BJ59" s="4">
        <f>COUNTIF($BG$2:$BG$130,BG59)</f>
        <v/>
      </c>
      <c r="BK59" s="4">
        <f>COUNTIF($BH$2:$BH$130,BH59)</f>
        <v/>
      </c>
      <c r="BL59" s="4">
        <f>COUNTIF($BI$2:$BI$130,BI59)</f>
        <v/>
      </c>
      <c r="BM59" s="3">
        <f t="array" ref="BM59">IF(N(AY59)&gt;=MIN_N,AX59,IF(BL59&gt;=MIN_N,MEDIAN(IF($BI$2:$BI$130=BI59,$O$2:$O$130)),IF(BK59&gt;=MIN_N,MEDIAN(IF($BH$2:$BH$130=BH59,$O$2:$O$130)),MEDIAN(IF($BG$2:$BG$130=BG59,$O$2:$O$130)))))</f>
        <v/>
      </c>
      <c r="BN59" s="3">
        <f>IF(N(AY59)&gt;=MIN_N,"mercado "&amp;AZ59,IF(BL59&gt;=MIN_N,"modelo+año+km",IF(BK59&gt;=MIN_N,"modelo+año","modelo")))</f>
        <v/>
      </c>
      <c r="BO59" s="4">
        <f>(BM59-O59)/BM59</f>
        <v/>
      </c>
      <c r="BP59" s="3">
        <f>IF(COUNTIFS(FR_FUEL,K59,FR_YEAR,AP59)&gt;0,1,0)</f>
        <v/>
      </c>
      <c r="BQ59" s="3">
        <f>IF(COUNTIFS(FR_FUEL,K59,FR_YEAR,AP59-1)&gt;0,1,0)</f>
        <v/>
      </c>
      <c r="BR59" s="4">
        <f>IF(N(AQ59)&gt;0,AP59*100+AQ59,IF(AND(BP59=1,BQ59=1),(AP59-1)*100+1,AP59*100+1))</f>
        <v/>
      </c>
      <c r="BS59" s="3">
        <f>IF(OR(K59="hibrido",K59="glp",K59="gnc",K59="phev"),"ECO",IF(K59="electrico","CERO",IF(K59="gasolina",IF(BR59&gt;=GAS_C_YM,"C",IF(BR59&gt;=GAS_B_YM,"B","A")),IF(K59="diesel",IF(BR59&gt;=DIE_C_YM,"C",IF(BR59&gt;=DIE_B_YM,"B","A")),""))))</f>
        <v/>
      </c>
      <c r="BT59" s="2" t="inlineStr">
        <is>
          <t>B</t>
        </is>
      </c>
      <c r="BU59" s="4">
        <f>IF(AU59="sí","sí",IF(AS59="regla",IF(AND(N(AQ59)=0,BP59=1),"sí","no"),"no"))</f>
        <v/>
      </c>
      <c r="BV59" s="3">
        <f>IFERROR(VLOOKUP(F59,MOD_TBL,16,0),IFERROR(VLOOKUP(E59,OCU_TBL,2,0),NEUTRO))</f>
        <v/>
      </c>
      <c r="BW59" s="3">
        <f>SUMIFS(MOT_AJUSTE,MOT_MOTOR,G59,MOT_MARCA,E59,MOT_DESDE,"&lt;="&amp;M59,MOT_HASTA,"&gt;="&amp;M59)+SUMIFS(MOT_AJUSTE,MOT_MOTOR,G59,MOT_MARCA,"(todas)",MOT_DESDE,"&lt;="&amp;M59,MOT_HASTA,"&gt;="&amp;M59)+SUMIFS(MOT_AJUSTE,MOT_MOTOR,"(cualquiera)",MOT_MARCA,E59,MOT_DESDE,"&lt;="&amp;M59,MOT_HASTA,"&gt;="&amp;M59)</f>
        <v/>
      </c>
      <c r="BX59" s="3">
        <f>SUMIFS(COMB_AJUSTE,COMB_COMB,K59)</f>
        <v/>
      </c>
      <c r="BY59" s="3">
        <f>COUNTIFS(MOT_MOTOR,G59,MOT_MARCA,E59,MOT_DESDE,"&lt;="&amp;M59,MOT_HASTA,"&gt;="&amp;M59)+COUNTIFS(MOT_MOTOR,G59,MOT_MARCA,"(todas)",MOT_DESDE,"&lt;="&amp;M59,MOT_HASTA,"&gt;="&amp;M59)+COUNTIFS(MOT_MOTOR,"(cualquiera)",MOT_MARCA,E59,MOT_DESDE,"&lt;="&amp;M59,MOT_HASTA,"&gt;="&amp;M59)</f>
        <v/>
      </c>
      <c r="BZ59" s="3">
        <f>IF(AND(K59="diesel",BY59=0),MIN(BV59,NEUTRO),BV59)</f>
        <v/>
      </c>
      <c r="CA59" s="3">
        <f>MAX(0,MIN(100,BZ59+BW59+BX59-IF(AV59="sí",ROB_PEN,0)))</f>
        <v/>
      </c>
      <c r="CB59" s="3">
        <f>100-MAX(0,N59-KM_TOPE_DESDE)/1000*KM_TOPE_PTS</f>
        <v/>
      </c>
      <c r="CC59" s="3">
        <f>MAX(0,MIN(100,50+BO59*PRECIO_PEND,CB59))</f>
        <v/>
      </c>
      <c r="CD59" s="3">
        <f>MAX(0,100*(1-N59/KM_MAX))</f>
        <v/>
      </c>
      <c r="CE59" s="3">
        <f>IF(BF59&lt;KMA_SOSP,IF(AA59="sí",100,KMA_PEN),IF(BF59&lt;=KMA_IDEAL_MAX,100,MAX(0,100*(KMA_CERO-BF59)/(KMA_CERO-KMA_IDEAL_MAX))))</f>
        <v/>
      </c>
      <c r="CF59" s="3">
        <f>MAX(0,MIN(100,100*(M59-ANIO_MIN)/(ANIO_ACTUAL-ANIO_MIN)))</f>
        <v/>
      </c>
      <c r="CG59" s="3">
        <f>W_KMT*CD59+W_KMA*CE59+W_EDAD*CF59</f>
        <v/>
      </c>
      <c r="CH59" s="3">
        <f>P_ITV*(V59="sí")+P_LIBRO*(W59="sí")+P_CORREA*(X59="sí")+P_PROP*(Y59=1)+P_GAR*(Z59="sí")+P_FOTOS*MIN(1,N(U59)/FOTOS_OBJ)</f>
        <v/>
      </c>
      <c r="CI59" s="3">
        <f>MAX(0,MIN(100,IFERROR(VLOOKUP(BT59,ETQ_TBL,2,0),0)-IF(BU59="sí",ETQ_PEN_DUD,IF(AS59="regla",ETQ_PEN_REGLA,0))))</f>
        <v/>
      </c>
      <c r="CJ59" s="3">
        <f>IF(K59&lt;&gt;"gasolina","",IFERROR(VLOOKUP(F59,CONS_MOD_TBL,2,0),IFERROR(VLOOKUP(L59,CONS_SEG_TBL,2,0),"")))</f>
        <v/>
      </c>
      <c r="CK59" s="3">
        <f>IF(CJ59="",NEUTRO,MAX(0,MIN(100,100*(CONS_REF_MAX-CJ59)/(CONS_REF_MAX-CONS_REF_MIN))))</f>
        <v/>
      </c>
      <c r="CL59" s="3">
        <f>IFERROR(VLOOKUP(L59,SEGURO_TBL,3,0),"")</f>
        <v/>
      </c>
      <c r="CM59" s="3">
        <f>IF(CL59="",NEUTRO,MAX(0,MIN(100,100*(SEG_REF_MAX-CL59)/(SEG_REF_MAX-SEG_REF_MIN))))</f>
        <v/>
      </c>
      <c r="CN59" s="3">
        <f>W_CONS*CK59+W_SEG*CM59</f>
        <v/>
      </c>
      <c r="CO59" s="3">
        <f>IF(N(AB59)&gt;0,AB59,IF(AND(R59="profesional",SG_LEGAL_ON=1),GAR_LEGAL,0))</f>
        <v/>
      </c>
      <c r="CP59" s="3">
        <f>SG_GAR*MIN(1,CO59/SG_GAR_FULL)+SG_AMPL*(AC59="sí")+SG_KMC*(AF59="sí")+SG_REV*(N(AE59)&gt;0)+SG_DEV*MIN(1,N(AG59)/SG_DEV_FULL)+SG_HIST*(W59="sí")</f>
        <v/>
      </c>
      <c r="CQ59" s="3">
        <f>IF(AW59="sí",ESTILO_PRIO,IFERROR(VLOOKUP(L59,ESTILO_TBL,2,0),NEUTRO))</f>
        <v/>
      </c>
      <c r="CR59" s="3">
        <f>IFERROR(VLOOKUP(L59,CARR_PEN_TBL,2,0),0)</f>
        <v/>
      </c>
      <c r="CS59" s="3">
        <f>W_FIAB*CA59+W_PRECIO*CC59+W_KMEDAD*CG59+W_ANUNCIO*CH59+W_USO*CN59+W_SEGURIDAD*CP59+W_ETIQUETA*CI59+W_ESTILO*CQ59-CR59</f>
        <v/>
      </c>
      <c r="CT59" s="4">
        <f>IF(N(I59)&gt;0,I59,IFERROR(ROUND(_xlfn.NUMBERVALUE(LEFT(G59,FIND(" ",G59&amp;" ")-1),".")*1000,0),99999))</f>
        <v/>
      </c>
      <c r="CU59" s="3">
        <f>IF(R59="profesional",0,IF(O59&lt;CUOTA_VALOR_MAX,IF(BE59&gt;ITP_TRAMO_ALTO,SUMIFS(CF_CUOTA,CF_MAS,ITP_TRAMO_ALTO,CF_CCMIN,"&lt;="&amp;CT59,CF_CCMAX,"&gt;="&amp;CT59),IF(BE59&gt;ITP_TRAMO_BAJO,SUMIFS(CF_CUOTA,CF_MAS,ITP_TRAMO_BAJO,CF_CCMIN,"&lt;="&amp;CT59,CF_CCMAX,"&gt;="&amp;CT59),O59*ITP_TIPO)),O59*ITP_TIPO))</f>
        <v/>
      </c>
      <c r="CV59" s="4">
        <f>IF(R59="profesional",N(AK59),0)</f>
        <v/>
      </c>
      <c r="CW59" s="3">
        <f>IF(AND(R59="profesional",ISNUMBER(AK59),AL59="sí"),0,TASA_DGT)</f>
        <v/>
      </c>
      <c r="CX59" s="3">
        <f>INFORME_DGT</f>
        <v/>
      </c>
      <c r="CY59" s="4">
        <f>O59+CV59+CU59+CW59+CX59</f>
        <v/>
      </c>
      <c r="CZ59" s="4">
        <f>CY59+N(CL59)</f>
        <v/>
      </c>
      <c r="DA59" s="3">
        <f>IF(CY59&lt;=TOTAL_MAX,"sí",IF(CY59&lt;=TOTAL_MAX+MARGEN_NEG,"negociar","no"))</f>
        <v/>
      </c>
      <c r="DB59" s="4">
        <f>IF(DA59&lt;&gt;"no",COUNTIFS($DA$2:$DA$130,"&lt;&gt;no",$CS$2:$CS$130,"&gt;"&amp;CS59)+COUNTIFS($DA$2:DA59,"&lt;&gt;no",$CS$2:CS59,CS59),"")</f>
        <v/>
      </c>
    </row>
    <row r="60">
      <c r="A60" s="2" t="inlineStr">
        <is>
          <t>cochesnet:71783816</t>
        </is>
      </c>
      <c r="B60" s="2" t="inlineStr">
        <is>
          <t>cochesnet</t>
        </is>
      </c>
      <c r="C60" s="2" t="inlineStr">
        <is>
          <t>https://www.coches.net/renault-megane-sport-tourer-dynamique-15dci-105cv-eco2-5p-diesel-2009-en-valencia-71783816-covo.aspx</t>
        </is>
      </c>
      <c r="D60" s="2" t="inlineStr">
        <is>
          <t>RENAULT Mégane Sport Tourer Dynamique 1.5dCi eco2</t>
        </is>
      </c>
      <c r="E60" s="2" t="inlineStr">
        <is>
          <t>Renault</t>
        </is>
      </c>
      <c r="F60" s="2" t="inlineStr">
        <is>
          <t>Renault Mégane</t>
        </is>
      </c>
      <c r="G60" s="2" t="inlineStr">
        <is>
          <t>1.5</t>
        </is>
      </c>
      <c r="H60" s="2" t="inlineStr">
        <is>
          <t>Sport Tourer Dynamique 1.5dCi 105cv eco2</t>
        </is>
      </c>
      <c r="I60" s="2" t="n"/>
      <c r="J60" s="2" t="n">
        <v>105</v>
      </c>
      <c r="K60" s="2" t="inlineStr">
        <is>
          <t>diesel</t>
        </is>
      </c>
      <c r="L60" s="2" t="inlineStr">
        <is>
          <t>familiar</t>
        </is>
      </c>
      <c r="M60" s="2" t="n">
        <v>2010</v>
      </c>
      <c r="N60" s="2" t="n">
        <v>186000</v>
      </c>
      <c r="O60" s="2" t="n">
        <v>4990</v>
      </c>
      <c r="P60" s="2" t="inlineStr">
        <is>
          <t>manual</t>
        </is>
      </c>
      <c r="Q60" s="2" t="inlineStr">
        <is>
          <t>no</t>
        </is>
      </c>
      <c r="R60" s="2" t="inlineStr">
        <is>
          <t>profesional</t>
        </is>
      </c>
      <c r="S60" s="2" t="inlineStr">
        <is>
          <t>PRIM CARS Alboraya</t>
        </is>
      </c>
      <c r="T60" s="2" t="inlineStr">
        <is>
          <t>2026-10-19T18:24:38Z</t>
        </is>
      </c>
      <c r="U60" s="2" t="n">
        <v>23</v>
      </c>
      <c r="V60" s="2" t="inlineStr">
        <is>
          <t>sí</t>
        </is>
      </c>
      <c r="W60" s="2" t="n"/>
      <c r="X60" s="2" t="n"/>
      <c r="Y60" s="2" t="n">
        <v>1</v>
      </c>
      <c r="Z60" s="2" t="inlineStr">
        <is>
          <t>sí</t>
        </is>
      </c>
      <c r="AA60" s="2" t="n"/>
      <c r="AB60" s="2" t="n">
        <v>12</v>
      </c>
      <c r="AC60" s="2" t="n"/>
      <c r="AD60" s="2" t="n"/>
      <c r="AE60" s="2" t="n"/>
      <c r="AF60" s="2" t="n"/>
      <c r="AG60" s="2" t="n"/>
      <c r="AH60" s="2" t="n">
        <v>4990</v>
      </c>
      <c r="AI60" s="2" t="n">
        <v>4990</v>
      </c>
      <c r="AJ60" s="2" t="n"/>
      <c r="AK60" s="2" t="n"/>
      <c r="AL60" s="2" t="n"/>
      <c r="AM60" s="2" t="n">
        <v>4</v>
      </c>
      <c r="AN60" s="2" t="n"/>
      <c r="AO60" s="2" t="inlineStr">
        <is>
          <t>2010</t>
        </is>
      </c>
      <c r="AP60" s="2" t="n">
        <v>2010</v>
      </c>
      <c r="AQ60" s="2" t="n"/>
      <c r="AR60" s="2" t="inlineStr">
        <is>
          <t>B</t>
        </is>
      </c>
      <c r="AS60" s="2" t="inlineStr">
        <is>
          <t>anuncio</t>
        </is>
      </c>
      <c r="AT60" s="2" t="n">
        <v>2009</v>
      </c>
      <c r="AU60" s="2" t="inlineStr">
        <is>
          <t>no</t>
        </is>
      </c>
      <c r="AV60" s="2" t="inlineStr">
        <is>
          <t>no</t>
        </is>
      </c>
      <c r="AW60" s="2" t="inlineStr">
        <is>
          <t>no</t>
        </is>
      </c>
      <c r="AX60" s="2" t="n">
        <v>5045</v>
      </c>
      <c r="AY60" s="2" t="n">
        <v>12</v>
      </c>
      <c r="AZ60" s="2" t="inlineStr">
        <is>
          <t>modelo+año+km</t>
        </is>
      </c>
      <c r="BA60" s="2" t="n"/>
      <c r="BB60" s="2" t="inlineStr">
        <is>
          <t>año a confirmar: la URL/título dice 2009; por encima del presupuesto (5054 €), negociar; vendedor profesional: sin ITP (operación con IVA/REBU, confirmar en factura); gastos de gestión del vendedor no indicados: se suma la tasa DGT; preguntar el precio final; diésel: motor sin fuente de fiabilidad (fiabilidad limitada a neutra); carrocería familiar: -3 puntos</t>
        </is>
      </c>
      <c r="BC60" s="2" t="inlineStr">
        <is>
          <t>RENAULT MÉGANE III ESTATE 1.5 dCi 106 CV – AÑO 2010
Vehículo nacional, procedente de único propietario, en buen estado de conservación, cuidado y listo para circular.
Se entrega con mantenimiento recién realizado e ITV recién pasada.
Dispone de distintivo ambiental B.
Equipamiento destacado:
* Barras de techo
* Aire acondicionado 
* Control de crucero y limitador de velocidad
* Ordenador de a bordo
* Elevalunas eléctricos
* Retrovisores eléctricos
* Cierre centralizado con mando y dos llaves 
* Dirección asistida
* Volante regulable en altura y profundidad
* Asientos traseros abatibles
* Amplio maletero con gran capacidad de carga
* Sistema de audio con radio y CD
* Airbags frontales y laterales
* Sistema antibloqueo de frenos ABS
* Control electrónico de estabilidad ESP
* 
Para más información o concertar una visita, contactar sin compromiso.
Este anuncio tiene carácter informativo y no contractual, pudiendo contener errores tipográficos. El equipamiento concreto puede variar según la versión y debe verificarse en el vehículo.</t>
        </is>
      </c>
      <c r="BD60" s="2" t="inlineStr">
        <is>
          <t>https://www.coches.net/renault-megane-sport-tourer-dynamique-15dci-105cv-eco2-5p-diesel-2009-en-valencia-71783816-covo.aspx (window.__INITIAL_PROPS__.ad) /home/user/Alopecia/buscador-coches/raw/cochesnet/41e7d798cdcad364.json</t>
        </is>
      </c>
      <c r="BE60" s="3">
        <f>MAX(ANIO_ACTUAL-M60,0)</f>
        <v/>
      </c>
      <c r="BF60" s="4">
        <f>N60/MAX(BE60,0.5)</f>
        <v/>
      </c>
      <c r="BG60" s="4">
        <f>F60</f>
        <v/>
      </c>
      <c r="BH60" s="3">
        <f>BG60&amp;"|"&amp;INT(M60/SEG_ANIO)*SEG_ANIO</f>
        <v/>
      </c>
      <c r="BI60" s="3">
        <f>BH60&amp;"|"&amp;INT(N60/SEG_KM)*SEG_KM</f>
        <v/>
      </c>
      <c r="BJ60" s="4">
        <f>COUNTIF($BG$2:$BG$130,BG60)</f>
        <v/>
      </c>
      <c r="BK60" s="4">
        <f>COUNTIF($BH$2:$BH$130,BH60)</f>
        <v/>
      </c>
      <c r="BL60" s="4">
        <f>COUNTIF($BI$2:$BI$130,BI60)</f>
        <v/>
      </c>
      <c r="BM60" s="3">
        <f t="array" ref="BM60">IF(N(AY60)&gt;=MIN_N,AX60,IF(BL60&gt;=MIN_N,MEDIAN(IF($BI$2:$BI$130=BI60,$O$2:$O$130)),IF(BK60&gt;=MIN_N,MEDIAN(IF($BH$2:$BH$130=BH60,$O$2:$O$130)),MEDIAN(IF($BG$2:$BG$130=BG60,$O$2:$O$130)))))</f>
        <v/>
      </c>
      <c r="BN60" s="3">
        <f>IF(N(AY60)&gt;=MIN_N,"mercado "&amp;AZ60,IF(BL60&gt;=MIN_N,"modelo+año+km",IF(BK60&gt;=MIN_N,"modelo+año","modelo")))</f>
        <v/>
      </c>
      <c r="BO60" s="4">
        <f>(BM60-O60)/BM60</f>
        <v/>
      </c>
      <c r="BP60" s="3">
        <f>IF(COUNTIFS(FR_FUEL,K60,FR_YEAR,AP60)&gt;0,1,0)</f>
        <v/>
      </c>
      <c r="BQ60" s="3">
        <f>IF(COUNTIFS(FR_FUEL,K60,FR_YEAR,AP60-1)&gt;0,1,0)</f>
        <v/>
      </c>
      <c r="BR60" s="4">
        <f>IF(N(AQ60)&gt;0,AP60*100+AQ60,IF(AND(BP60=1,BQ60=1),(AP60-1)*100+1,AP60*100+1))</f>
        <v/>
      </c>
      <c r="BS60" s="3">
        <f>IF(OR(K60="hibrido",K60="glp",K60="gnc",K60="phev"),"ECO",IF(K60="electrico","CERO",IF(K60="gasolina",IF(BR60&gt;=GAS_C_YM,"C",IF(BR60&gt;=GAS_B_YM,"B","A")),IF(K60="diesel",IF(BR60&gt;=DIE_C_YM,"C",IF(BR60&gt;=DIE_B_YM,"B","A")),""))))</f>
        <v/>
      </c>
      <c r="BT60" s="2" t="inlineStr">
        <is>
          <t>B</t>
        </is>
      </c>
      <c r="BU60" s="4">
        <f>IF(AU60="sí","sí",IF(AS60="regla",IF(AND(N(AQ60)=0,BP60=1),"sí","no"),"no"))</f>
        <v/>
      </c>
      <c r="BV60" s="3">
        <f>IFERROR(VLOOKUP(F60,MOD_TBL,16,0),IFERROR(VLOOKUP(E60,OCU_TBL,2,0),NEUTRO))</f>
        <v/>
      </c>
      <c r="BW60" s="3">
        <f>SUMIFS(MOT_AJUSTE,MOT_MOTOR,G60,MOT_MARCA,E60,MOT_DESDE,"&lt;="&amp;M60,MOT_HASTA,"&gt;="&amp;M60)+SUMIFS(MOT_AJUSTE,MOT_MOTOR,G60,MOT_MARCA,"(todas)",MOT_DESDE,"&lt;="&amp;M60,MOT_HASTA,"&gt;="&amp;M60)+SUMIFS(MOT_AJUSTE,MOT_MOTOR,"(cualquiera)",MOT_MARCA,E60,MOT_DESDE,"&lt;="&amp;M60,MOT_HASTA,"&gt;="&amp;M60)</f>
        <v/>
      </c>
      <c r="BX60" s="3">
        <f>SUMIFS(COMB_AJUSTE,COMB_COMB,K60)</f>
        <v/>
      </c>
      <c r="BY60" s="3">
        <f>COUNTIFS(MOT_MOTOR,G60,MOT_MARCA,E60,MOT_DESDE,"&lt;="&amp;M60,MOT_HASTA,"&gt;="&amp;M60)+COUNTIFS(MOT_MOTOR,G60,MOT_MARCA,"(todas)",MOT_DESDE,"&lt;="&amp;M60,MOT_HASTA,"&gt;="&amp;M60)+COUNTIFS(MOT_MOTOR,"(cualquiera)",MOT_MARCA,E60,MOT_DESDE,"&lt;="&amp;M60,MOT_HASTA,"&gt;="&amp;M60)</f>
        <v/>
      </c>
      <c r="BZ60" s="3">
        <f>IF(AND(K60="diesel",BY60=0),MIN(BV60,NEUTRO),BV60)</f>
        <v/>
      </c>
      <c r="CA60" s="3">
        <f>MAX(0,MIN(100,BZ60+BW60+BX60-IF(AV60="sí",ROB_PEN,0)))</f>
        <v/>
      </c>
      <c r="CB60" s="3">
        <f>100-MAX(0,N60-KM_TOPE_DESDE)/1000*KM_TOPE_PTS</f>
        <v/>
      </c>
      <c r="CC60" s="3">
        <f>MAX(0,MIN(100,50+BO60*PRECIO_PEND,CB60))</f>
        <v/>
      </c>
      <c r="CD60" s="3">
        <f>MAX(0,100*(1-N60/KM_MAX))</f>
        <v/>
      </c>
      <c r="CE60" s="3">
        <f>IF(BF60&lt;KMA_SOSP,IF(AA60="sí",100,KMA_PEN),IF(BF60&lt;=KMA_IDEAL_MAX,100,MAX(0,100*(KMA_CERO-BF60)/(KMA_CERO-KMA_IDEAL_MAX))))</f>
        <v/>
      </c>
      <c r="CF60" s="3">
        <f>MAX(0,MIN(100,100*(M60-ANIO_MIN)/(ANIO_ACTUAL-ANIO_MIN)))</f>
        <v/>
      </c>
      <c r="CG60" s="3">
        <f>W_KMT*CD60+W_KMA*CE60+W_EDAD*CF60</f>
        <v/>
      </c>
      <c r="CH60" s="3">
        <f>P_ITV*(V60="sí")+P_LIBRO*(W60="sí")+P_CORREA*(X60="sí")+P_PROP*(Y60=1)+P_GAR*(Z60="sí")+P_FOTOS*MIN(1,N(U60)/FOTOS_OBJ)</f>
        <v/>
      </c>
      <c r="CI60" s="3">
        <f>MAX(0,MIN(100,IFERROR(VLOOKUP(BT60,ETQ_TBL,2,0),0)-IF(BU60="sí",ETQ_PEN_DUD,IF(AS60="regla",ETQ_PEN_REGLA,0))))</f>
        <v/>
      </c>
      <c r="CJ60" s="3">
        <f>IF(K60&lt;&gt;"gasolina","",IFERROR(VLOOKUP(F60,CONS_MOD_TBL,2,0),IFERROR(VLOOKUP(L60,CONS_SEG_TBL,2,0),"")))</f>
        <v/>
      </c>
      <c r="CK60" s="3">
        <f>IF(CJ60="",NEUTRO,MAX(0,MIN(100,100*(CONS_REF_MAX-CJ60)/(CONS_REF_MAX-CONS_REF_MIN))))</f>
        <v/>
      </c>
      <c r="CL60" s="3">
        <f>IFERROR(VLOOKUP(L60,SEGURO_TBL,3,0),"")</f>
        <v/>
      </c>
      <c r="CM60" s="3">
        <f>IF(CL60="",NEUTRO,MAX(0,MIN(100,100*(SEG_REF_MAX-CL60)/(SEG_REF_MAX-SEG_REF_MIN))))</f>
        <v/>
      </c>
      <c r="CN60" s="3">
        <f>W_CONS*CK60+W_SEG*CM60</f>
        <v/>
      </c>
      <c r="CO60" s="3">
        <f>IF(N(AB60)&gt;0,AB60,IF(AND(R60="profesional",SG_LEGAL_ON=1),GAR_LEGAL,0))</f>
        <v/>
      </c>
      <c r="CP60" s="3">
        <f>SG_GAR*MIN(1,CO60/SG_GAR_FULL)+SG_AMPL*(AC60="sí")+SG_KMC*(AF60="sí")+SG_REV*(N(AE60)&gt;0)+SG_DEV*MIN(1,N(AG60)/SG_DEV_FULL)+SG_HIST*(W60="sí")</f>
        <v/>
      </c>
      <c r="CQ60" s="3">
        <f>IF(AW60="sí",ESTILO_PRIO,IFERROR(VLOOKUP(L60,ESTILO_TBL,2,0),NEUTRO))</f>
        <v/>
      </c>
      <c r="CR60" s="3">
        <f>IFERROR(VLOOKUP(L60,CARR_PEN_TBL,2,0),0)</f>
        <v/>
      </c>
      <c r="CS60" s="3">
        <f>W_FIAB*CA60+W_PRECIO*CC60+W_KMEDAD*CG60+W_ANUNCIO*CH60+W_USO*CN60+W_SEGURIDAD*CP60+W_ETIQUETA*CI60+W_ESTILO*CQ60-CR60</f>
        <v/>
      </c>
      <c r="CT60" s="4">
        <f>IF(N(I60)&gt;0,I60,IFERROR(ROUND(_xlfn.NUMBERVALUE(LEFT(G60,FIND(" ",G60&amp;" ")-1),".")*1000,0),99999))</f>
        <v/>
      </c>
      <c r="CU60" s="3">
        <f>IF(R60="profesional",0,IF(O60&lt;CUOTA_VALOR_MAX,IF(BE60&gt;ITP_TRAMO_ALTO,SUMIFS(CF_CUOTA,CF_MAS,ITP_TRAMO_ALTO,CF_CCMIN,"&lt;="&amp;CT60,CF_CCMAX,"&gt;="&amp;CT60),IF(BE60&gt;ITP_TRAMO_BAJO,SUMIFS(CF_CUOTA,CF_MAS,ITP_TRAMO_BAJO,CF_CCMIN,"&lt;="&amp;CT60,CF_CCMAX,"&gt;="&amp;CT60),O60*ITP_TIPO)),O60*ITP_TIPO))</f>
        <v/>
      </c>
      <c r="CV60" s="4">
        <f>IF(R60="profesional",N(AK60),0)</f>
        <v/>
      </c>
      <c r="CW60" s="3">
        <f>IF(AND(R60="profesional",ISNUMBER(AK60),AL60="sí"),0,TASA_DGT)</f>
        <v/>
      </c>
      <c r="CX60" s="3">
        <f>INFORME_DGT</f>
        <v/>
      </c>
      <c r="CY60" s="4">
        <f>O60+CV60+CU60+CW60+CX60</f>
        <v/>
      </c>
      <c r="CZ60" s="4">
        <f>CY60+N(CL60)</f>
        <v/>
      </c>
      <c r="DA60" s="3">
        <f>IF(CY60&lt;=TOTAL_MAX,"sí",IF(CY60&lt;=TOTAL_MAX+MARGEN_NEG,"negociar","no"))</f>
        <v/>
      </c>
      <c r="DB60" s="4">
        <f>IF(DA60&lt;&gt;"no",COUNTIFS($DA$2:$DA$130,"&lt;&gt;no",$CS$2:$CS$130,"&gt;"&amp;CS60)+COUNTIFS($DA$2:DA60,"&lt;&gt;no",$CS$2:CS60,CS60),"")</f>
        <v/>
      </c>
    </row>
    <row r="61">
      <c r="A61" s="2" t="inlineStr">
        <is>
          <t>cochesnet:70833355</t>
        </is>
      </c>
      <c r="B61" s="2" t="inlineStr">
        <is>
          <t>cochesnet</t>
        </is>
      </c>
      <c r="C61" s="2" t="inlineStr">
        <is>
          <t>https://www.coches.net/renault-modus-confort-dynamique-14-16v-5p-gasolina-2006-en-valencia-70833355-covo.aspx</t>
        </is>
      </c>
      <c r="D61" s="2" t="inlineStr">
        <is>
          <t>RENAULT Modus Confort Dynamique 1.4 16v</t>
        </is>
      </c>
      <c r="E61" s="2" t="inlineStr">
        <is>
          <t>Renault</t>
        </is>
      </c>
      <c r="F61" s="2" t="inlineStr">
        <is>
          <t>Renault Modus</t>
        </is>
      </c>
      <c r="G61" s="2" t="inlineStr">
        <is>
          <t>1.4</t>
        </is>
      </c>
      <c r="H61" s="2" t="inlineStr">
        <is>
          <t>Confort Dynamique 1.4 16v</t>
        </is>
      </c>
      <c r="I61" s="2" t="n"/>
      <c r="J61" s="2" t="n"/>
      <c r="K61" s="2" t="inlineStr">
        <is>
          <t>gasolina</t>
        </is>
      </c>
      <c r="L61" s="2" t="inlineStr">
        <is>
          <t>monovolumen_pequeno</t>
        </is>
      </c>
      <c r="M61" s="2" t="n">
        <v>2006</v>
      </c>
      <c r="N61" s="2" t="n">
        <v>190000</v>
      </c>
      <c r="O61" s="2" t="n">
        <v>2490</v>
      </c>
      <c r="P61" s="2" t="inlineStr">
        <is>
          <t>manual</t>
        </is>
      </c>
      <c r="Q61" s="2" t="inlineStr">
        <is>
          <t>no</t>
        </is>
      </c>
      <c r="R61" s="2" t="inlineStr">
        <is>
          <t>profesional</t>
        </is>
      </c>
      <c r="S61" s="2" t="inlineStr">
        <is>
          <t>Foios</t>
        </is>
      </c>
      <c r="T61" s="2" t="inlineStr">
        <is>
          <t>2026-09-07T18:54:24Z</t>
        </is>
      </c>
      <c r="U61" s="2" t="n">
        <v>13</v>
      </c>
      <c r="V61" s="2" t="n"/>
      <c r="W61" s="2" t="n"/>
      <c r="X61" s="2" t="n"/>
      <c r="Y61" s="2" t="n"/>
      <c r="Z61" s="2" t="inlineStr">
        <is>
          <t>sí</t>
        </is>
      </c>
      <c r="AA61" s="2" t="n"/>
      <c r="AB61" s="2" t="n">
        <v>12</v>
      </c>
      <c r="AC61" s="2" t="n"/>
      <c r="AD61" s="2" t="n"/>
      <c r="AE61" s="2" t="n"/>
      <c r="AF61" s="2" t="n"/>
      <c r="AG61" s="2" t="n"/>
      <c r="AH61" s="2" t="n">
        <v>2490</v>
      </c>
      <c r="AI61" s="2" t="n">
        <v>2490</v>
      </c>
      <c r="AJ61" s="2" t="n"/>
      <c r="AK61" s="2" t="n"/>
      <c r="AL61" s="2" t="n"/>
      <c r="AM61" s="2" t="n">
        <v>7.7</v>
      </c>
      <c r="AN61" s="2" t="n"/>
      <c r="AO61" s="2" t="inlineStr">
        <is>
          <t>2006</t>
        </is>
      </c>
      <c r="AP61" s="2" t="n">
        <v>2006</v>
      </c>
      <c r="AQ61" s="2" t="n"/>
      <c r="AR61" s="2" t="inlineStr">
        <is>
          <t>C</t>
        </is>
      </c>
      <c r="AS61" s="2" t="inlineStr">
        <is>
          <t>anuncio</t>
        </is>
      </c>
      <c r="AT61" s="2" t="n"/>
      <c r="AU61" s="2" t="inlineStr">
        <is>
          <t>no</t>
        </is>
      </c>
      <c r="AV61" s="2" t="inlineStr">
        <is>
          <t>no</t>
        </is>
      </c>
      <c r="AW61" s="2" t="inlineStr">
        <is>
          <t>no</t>
        </is>
      </c>
      <c r="AX61" s="2" t="n"/>
      <c r="AY61" s="2" t="n"/>
      <c r="AZ61" s="2" t="n"/>
      <c r="BA61" s="2" t="n"/>
      <c r="BB61" s="2" t="inlineStr">
        <is>
          <t>vendedor profesional: sin ITP (operación con IVA/REBU, confirmar en factura); gastos de gestión del vendedor no indicados: se suma la tasa DGT; preguntar el precio final; carrocería monovolumen_pequeno: -6 puntos; revisar: no menciona la ITV; fiabilidad del modelo PENDIENTE de fuente (puntuación neutra); mediana con solo 1 anuncio(s)</t>
        </is>
      </c>
      <c r="BC61" s="2" t="inlineStr">
        <is>
          <t>Este Renault Modus combina practicidad y versatilidad en un formato compacto pensado para la vida urbana y los desplazamientos diarios. Su estructura de monovolumen de cinco puertas ofrece una accesibilidad notable, con un maletero de 274 litros que se expande hasta 1.283 litros al plegar los asientos traseros, proporcionando flexibilidad para adaptar el espacio según las necesidades del momento.
El motor de 1.4 litros de gasolina, con 100 CV, entrega un comportamiento equilibrado en ciudad gracias a su par disponible desde las bajas revoluciones. La transmisión manual de cinco velocidades facilita un manejo directo y eficiente, especialmente apropiado para conductores que valoran el control activo del vehículo. El consumo mixto de 6,7 l/100 km lo posiciona como una opción razonable en términos de eficiencia.
En cuanto a seguridad, este vehículo incorpora airbags frontales y laterales, sistemas de pretensión de cinturones en todas las plazas, ABS en las cuatro ruedas y control de estabilidad, elementos que reflejan los estándares de protección de su época. La dirección asistida con endurecimiento progresivo y la suspensión independiente delantera garantizan una conducción cómoda tanto en carreteras como en entornos urbanos.
El equipamiento de confort incluye climatización, volante regulable en altura revestido de cuero, control de crucero con limitador de velocidad, elevalunas eléctricos delanteros y cierre centralizado con mando a distancia. El sistema de audio cuenta con</t>
        </is>
      </c>
      <c r="BD61" s="2" t="inlineStr">
        <is>
          <t>https://www.coches.net/renault-modus-confort-dynamique-14-16v-5p-gasolina-2006-en-valencia-70833355-covo.aspx (window.__INITIAL_PROPS__.ad) /home/user/Alopecia/buscador-coches/raw/cochesnet/291453f12eb96d2d.json</t>
        </is>
      </c>
      <c r="BE61" s="3">
        <f>MAX(ANIO_ACTUAL-M61,0)</f>
        <v/>
      </c>
      <c r="BF61" s="4">
        <f>N61/MAX(BE61,0.5)</f>
        <v/>
      </c>
      <c r="BG61" s="4">
        <f>F61</f>
        <v/>
      </c>
      <c r="BH61" s="3">
        <f>BG61&amp;"|"&amp;INT(M61/SEG_ANIO)*SEG_ANIO</f>
        <v/>
      </c>
      <c r="BI61" s="3">
        <f>BH61&amp;"|"&amp;INT(N61/SEG_KM)*SEG_KM</f>
        <v/>
      </c>
      <c r="BJ61" s="4">
        <f>COUNTIF($BG$2:$BG$130,BG61)</f>
        <v/>
      </c>
      <c r="BK61" s="4">
        <f>COUNTIF($BH$2:$BH$130,BH61)</f>
        <v/>
      </c>
      <c r="BL61" s="4">
        <f>COUNTIF($BI$2:$BI$130,BI61)</f>
        <v/>
      </c>
      <c r="BM61" s="3">
        <f t="array" ref="BM61">IF(N(AY61)&gt;=MIN_N,AX61,IF(BL61&gt;=MIN_N,MEDIAN(IF($BI$2:$BI$130=BI61,$O$2:$O$130)),IF(BK61&gt;=MIN_N,MEDIAN(IF($BH$2:$BH$130=BH61,$O$2:$O$130)),MEDIAN(IF($BG$2:$BG$130=BG61,$O$2:$O$130)))))</f>
        <v/>
      </c>
      <c r="BN61" s="3">
        <f>IF(N(AY61)&gt;=MIN_N,"mercado "&amp;AZ61,IF(BL61&gt;=MIN_N,"modelo+año+km",IF(BK61&gt;=MIN_N,"modelo+año","modelo")))</f>
        <v/>
      </c>
      <c r="BO61" s="4">
        <f>(BM61-O61)/BM61</f>
        <v/>
      </c>
      <c r="BP61" s="3">
        <f>IF(COUNTIFS(FR_FUEL,K61,FR_YEAR,AP61)&gt;0,1,0)</f>
        <v/>
      </c>
      <c r="BQ61" s="3">
        <f>IF(COUNTIFS(FR_FUEL,K61,FR_YEAR,AP61-1)&gt;0,1,0)</f>
        <v/>
      </c>
      <c r="BR61" s="4">
        <f>IF(N(AQ61)&gt;0,AP61*100+AQ61,IF(AND(BP61=1,BQ61=1),(AP61-1)*100+1,AP61*100+1))</f>
        <v/>
      </c>
      <c r="BS61" s="3">
        <f>IF(OR(K61="hibrido",K61="glp",K61="gnc",K61="phev"),"ECO",IF(K61="electrico","CERO",IF(K61="gasolina",IF(BR61&gt;=GAS_C_YM,"C",IF(BR61&gt;=GAS_B_YM,"B","A")),IF(K61="diesel",IF(BR61&gt;=DIE_C_YM,"C",IF(BR61&gt;=DIE_B_YM,"B","A")),""))))</f>
        <v/>
      </c>
      <c r="BT61" s="2" t="inlineStr">
        <is>
          <t>C</t>
        </is>
      </c>
      <c r="BU61" s="4">
        <f>IF(AU61="sí","sí",IF(AS61="regla",IF(AND(N(AQ61)=0,BP61=1),"sí","no"),"no"))</f>
        <v/>
      </c>
      <c r="BV61" s="3">
        <f>IFERROR(VLOOKUP(F61,MOD_TBL,16,0),IFERROR(VLOOKUP(E61,OCU_TBL,2,0),NEUTRO))</f>
        <v/>
      </c>
      <c r="BW61" s="3">
        <f>SUMIFS(MOT_AJUSTE,MOT_MOTOR,G61,MOT_MARCA,E61,MOT_DESDE,"&lt;="&amp;M61,MOT_HASTA,"&gt;="&amp;M61)+SUMIFS(MOT_AJUSTE,MOT_MOTOR,G61,MOT_MARCA,"(todas)",MOT_DESDE,"&lt;="&amp;M61,MOT_HASTA,"&gt;="&amp;M61)+SUMIFS(MOT_AJUSTE,MOT_MOTOR,"(cualquiera)",MOT_MARCA,E61,MOT_DESDE,"&lt;="&amp;M61,MOT_HASTA,"&gt;="&amp;M61)</f>
        <v/>
      </c>
      <c r="BX61" s="3">
        <f>SUMIFS(COMB_AJUSTE,COMB_COMB,K61)</f>
        <v/>
      </c>
      <c r="BY61" s="3">
        <f>COUNTIFS(MOT_MOTOR,G61,MOT_MARCA,E61,MOT_DESDE,"&lt;="&amp;M61,MOT_HASTA,"&gt;="&amp;M61)+COUNTIFS(MOT_MOTOR,G61,MOT_MARCA,"(todas)",MOT_DESDE,"&lt;="&amp;M61,MOT_HASTA,"&gt;="&amp;M61)+COUNTIFS(MOT_MOTOR,"(cualquiera)",MOT_MARCA,E61,MOT_DESDE,"&lt;="&amp;M61,MOT_HASTA,"&gt;="&amp;M61)</f>
        <v/>
      </c>
      <c r="BZ61" s="3">
        <f>IF(AND(K61="diesel",BY61=0),MIN(BV61,NEUTRO),BV61)</f>
        <v/>
      </c>
      <c r="CA61" s="3">
        <f>MAX(0,MIN(100,BZ61+BW61+BX61-IF(AV61="sí",ROB_PEN,0)))</f>
        <v/>
      </c>
      <c r="CB61" s="3">
        <f>100-MAX(0,N61-KM_TOPE_DESDE)/1000*KM_TOPE_PTS</f>
        <v/>
      </c>
      <c r="CC61" s="3">
        <f>MAX(0,MIN(100,50+BO61*PRECIO_PEND,CB61))</f>
        <v/>
      </c>
      <c r="CD61" s="3">
        <f>MAX(0,100*(1-N61/KM_MAX))</f>
        <v/>
      </c>
      <c r="CE61" s="3">
        <f>IF(BF61&lt;KMA_SOSP,IF(AA61="sí",100,KMA_PEN),IF(BF61&lt;=KMA_IDEAL_MAX,100,MAX(0,100*(KMA_CERO-BF61)/(KMA_CERO-KMA_IDEAL_MAX))))</f>
        <v/>
      </c>
      <c r="CF61" s="3">
        <f>MAX(0,MIN(100,100*(M61-ANIO_MIN)/(ANIO_ACTUAL-ANIO_MIN)))</f>
        <v/>
      </c>
      <c r="CG61" s="3">
        <f>W_KMT*CD61+W_KMA*CE61+W_EDAD*CF61</f>
        <v/>
      </c>
      <c r="CH61" s="3">
        <f>P_ITV*(V61="sí")+P_LIBRO*(W61="sí")+P_CORREA*(X61="sí")+P_PROP*(Y61=1)+P_GAR*(Z61="sí")+P_FOTOS*MIN(1,N(U61)/FOTOS_OBJ)</f>
        <v/>
      </c>
      <c r="CI61" s="3">
        <f>MAX(0,MIN(100,IFERROR(VLOOKUP(BT61,ETQ_TBL,2,0),0)-IF(BU61="sí",ETQ_PEN_DUD,IF(AS61="regla",ETQ_PEN_REGLA,0))))</f>
        <v/>
      </c>
      <c r="CJ61" s="3">
        <f>IF(K61&lt;&gt;"gasolina","",IFERROR(VLOOKUP(F61,CONS_MOD_TBL,2,0),IFERROR(VLOOKUP(L61,CONS_SEG_TBL,2,0),"")))</f>
        <v/>
      </c>
      <c r="CK61" s="3">
        <f>IF(CJ61="",NEUTRO,MAX(0,MIN(100,100*(CONS_REF_MAX-CJ61)/(CONS_REF_MAX-CONS_REF_MIN))))</f>
        <v/>
      </c>
      <c r="CL61" s="3">
        <f>IFERROR(VLOOKUP(L61,SEGURO_TBL,3,0),"")</f>
        <v/>
      </c>
      <c r="CM61" s="3">
        <f>IF(CL61="",NEUTRO,MAX(0,MIN(100,100*(SEG_REF_MAX-CL61)/(SEG_REF_MAX-SEG_REF_MIN))))</f>
        <v/>
      </c>
      <c r="CN61" s="3">
        <f>W_CONS*CK61+W_SEG*CM61</f>
        <v/>
      </c>
      <c r="CO61" s="3">
        <f>IF(N(AB61)&gt;0,AB61,IF(AND(R61="profesional",SG_LEGAL_ON=1),GAR_LEGAL,0))</f>
        <v/>
      </c>
      <c r="CP61" s="3">
        <f>SG_GAR*MIN(1,CO61/SG_GAR_FULL)+SG_AMPL*(AC61="sí")+SG_KMC*(AF61="sí")+SG_REV*(N(AE61)&gt;0)+SG_DEV*MIN(1,N(AG61)/SG_DEV_FULL)+SG_HIST*(W61="sí")</f>
        <v/>
      </c>
      <c r="CQ61" s="3">
        <f>IF(AW61="sí",ESTILO_PRIO,IFERROR(VLOOKUP(L61,ESTILO_TBL,2,0),NEUTRO))</f>
        <v/>
      </c>
      <c r="CR61" s="3">
        <f>IFERROR(VLOOKUP(L61,CARR_PEN_TBL,2,0),0)</f>
        <v/>
      </c>
      <c r="CS61" s="3">
        <f>W_FIAB*CA61+W_PRECIO*CC61+W_KMEDAD*CG61+W_ANUNCIO*CH61+W_USO*CN61+W_SEGURIDAD*CP61+W_ETIQUETA*CI61+W_ESTILO*CQ61-CR61</f>
        <v/>
      </c>
      <c r="CT61" s="4">
        <f>IF(N(I61)&gt;0,I61,IFERROR(ROUND(_xlfn.NUMBERVALUE(LEFT(G61,FIND(" ",G61&amp;" ")-1),".")*1000,0),99999))</f>
        <v/>
      </c>
      <c r="CU61" s="3">
        <f>IF(R61="profesional",0,IF(O61&lt;CUOTA_VALOR_MAX,IF(BE61&gt;ITP_TRAMO_ALTO,SUMIFS(CF_CUOTA,CF_MAS,ITP_TRAMO_ALTO,CF_CCMIN,"&lt;="&amp;CT61,CF_CCMAX,"&gt;="&amp;CT61),IF(BE61&gt;ITP_TRAMO_BAJO,SUMIFS(CF_CUOTA,CF_MAS,ITP_TRAMO_BAJO,CF_CCMIN,"&lt;="&amp;CT61,CF_CCMAX,"&gt;="&amp;CT61),O61*ITP_TIPO)),O61*ITP_TIPO))</f>
        <v/>
      </c>
      <c r="CV61" s="4">
        <f>IF(R61="profesional",N(AK61),0)</f>
        <v/>
      </c>
      <c r="CW61" s="3">
        <f>IF(AND(R61="profesional",ISNUMBER(AK61),AL61="sí"),0,TASA_DGT)</f>
        <v/>
      </c>
      <c r="CX61" s="3">
        <f>INFORME_DGT</f>
        <v/>
      </c>
      <c r="CY61" s="4">
        <f>O61+CV61+CU61+CW61+CX61</f>
        <v/>
      </c>
      <c r="CZ61" s="4">
        <f>CY61+N(CL61)</f>
        <v/>
      </c>
      <c r="DA61" s="3">
        <f>IF(CY61&lt;=TOTAL_MAX,"sí",IF(CY61&lt;=TOTAL_MAX+MARGEN_NEG,"negociar","no"))</f>
        <v/>
      </c>
      <c r="DB61" s="4">
        <f>IF(DA61&lt;&gt;"no",COUNTIFS($DA$2:$DA$130,"&lt;&gt;no",$CS$2:$CS$130,"&gt;"&amp;CS61)+COUNTIFS($DA$2:DA61,"&lt;&gt;no",$CS$2:CS61,CS61),"")</f>
        <v/>
      </c>
    </row>
    <row r="62">
      <c r="A62" s="2" t="inlineStr">
        <is>
          <t>cochesnet:71749298</t>
        </is>
      </c>
      <c r="B62" s="2" t="inlineStr">
        <is>
          <t>cochesnet</t>
        </is>
      </c>
      <c r="C62" s="2" t="inlineStr">
        <is>
          <t>https://www.coches.net/dacia-sandero-laureate-12-16v-75cv-5p-gasolina-2009-en-valencia-71749298-covo.aspx</t>
        </is>
      </c>
      <c r="D62" s="2" t="inlineStr">
        <is>
          <t>DACIA Sandero Laureate 1.2 16v</t>
        </is>
      </c>
      <c r="E62" s="2" t="inlineStr">
        <is>
          <t>Dacia</t>
        </is>
      </c>
      <c r="F62" s="2" t="inlineStr">
        <is>
          <t>Dacia Sandero</t>
        </is>
      </c>
      <c r="G62" s="2" t="inlineStr">
        <is>
          <t>1.2</t>
        </is>
      </c>
      <c r="H62" s="2" t="inlineStr">
        <is>
          <t>Laureate 1.2 16v 75cv</t>
        </is>
      </c>
      <c r="I62" s="2" t="n"/>
      <c r="J62" s="2" t="n">
        <v>75</v>
      </c>
      <c r="K62" s="2" t="inlineStr">
        <is>
          <t>gasolina</t>
        </is>
      </c>
      <c r="L62" s="2" t="inlineStr">
        <is>
          <t>utilitario</t>
        </is>
      </c>
      <c r="M62" s="2" t="n">
        <v>2010</v>
      </c>
      <c r="N62" s="2" t="n">
        <v>115000</v>
      </c>
      <c r="O62" s="2" t="n">
        <v>4690</v>
      </c>
      <c r="P62" s="2" t="inlineStr">
        <is>
          <t>manual</t>
        </is>
      </c>
      <c r="Q62" s="2" t="inlineStr">
        <is>
          <t>no</t>
        </is>
      </c>
      <c r="R62" s="2" t="inlineStr">
        <is>
          <t>profesional</t>
        </is>
      </c>
      <c r="S62" s="2" t="inlineStr">
        <is>
          <t>MM Autos Marín Moreno Godella</t>
        </is>
      </c>
      <c r="T62" s="2" t="inlineStr">
        <is>
          <t>2026-10-15T08:59:44Z</t>
        </is>
      </c>
      <c r="U62" s="2" t="n">
        <v>14</v>
      </c>
      <c r="V62" s="2" t="n"/>
      <c r="W62" s="2" t="n"/>
      <c r="X62" s="2" t="n"/>
      <c r="Y62" s="2" t="n"/>
      <c r="Z62" s="2" t="inlineStr">
        <is>
          <t>sí</t>
        </is>
      </c>
      <c r="AA62" s="2" t="n"/>
      <c r="AB62" s="2" t="n">
        <v>12</v>
      </c>
      <c r="AC62" s="2" t="inlineStr">
        <is>
          <t>sí</t>
        </is>
      </c>
      <c r="AD62" s="2" t="n"/>
      <c r="AE62" s="2" t="n"/>
      <c r="AF62" s="2" t="n"/>
      <c r="AG62" s="2" t="n"/>
      <c r="AH62" s="2" t="n">
        <v>4690</v>
      </c>
      <c r="AI62" s="2" t="n"/>
      <c r="AJ62" s="2" t="n"/>
      <c r="AK62" s="2" t="n"/>
      <c r="AL62" s="2" t="n"/>
      <c r="AM62" s="2" t="n">
        <v>6.7</v>
      </c>
      <c r="AN62" s="2" t="n"/>
      <c r="AO62" s="2" t="inlineStr">
        <is>
          <t>2010</t>
        </is>
      </c>
      <c r="AP62" s="2" t="n">
        <v>2010</v>
      </c>
      <c r="AQ62" s="2" t="n"/>
      <c r="AR62" s="2" t="inlineStr">
        <is>
          <t>C</t>
        </is>
      </c>
      <c r="AS62" s="2" t="inlineStr">
        <is>
          <t>anuncio</t>
        </is>
      </c>
      <c r="AT62" s="2" t="n">
        <v>2009</v>
      </c>
      <c r="AU62" s="2" t="inlineStr">
        <is>
          <t>no</t>
        </is>
      </c>
      <c r="AV62" s="2" t="inlineStr">
        <is>
          <t>no</t>
        </is>
      </c>
      <c r="AW62" s="2" t="inlineStr">
        <is>
          <t>no</t>
        </is>
      </c>
      <c r="AX62" s="2" t="n">
        <v>3800</v>
      </c>
      <c r="AY62" s="2" t="n">
        <v>9</v>
      </c>
      <c r="AZ62" s="2" t="inlineStr">
        <is>
          <t>modelo+año</t>
        </is>
      </c>
      <c r="BA62" s="2" t="n"/>
      <c r="BB62" s="2" t="inlineStr">
        <is>
          <t>año a confirmar: la URL/título dice 2009; vendedor profesional: sin ITP (operación con IVA/REBU, confirmar en factura); gastos de gestión del vendedor no indicados: se suma la tasa DGT; preguntar el precio final; revisar: no menciona la ITV</t>
        </is>
      </c>
      <c r="BC62" s="2" t="inlineStr">
        <is>
          <t>Precio del vehículo financiado: (consultar condiciones)
Gastos de gestoría: 150,00€
GARANTÍA incluida 12 meses. Posibilidad de ampliar GARANTÍA PREMIUM hasta 24 o 36 mes
En nuestro centro multimarca, los vehículos se someten a un riguroso filtro antes de su entrega definitiva: limpieza, taller, reparación, etc… y así conseguir la mejor valoración de nuestros clientes. 
Ofrecemos a todos nuestros clientes un trato personalizado y especializado en el sector de la automoción.
Compramos su vehículo.
Entrega tu VEHÍCULO como parte de pago! Si contacta por e-mail, por favor, incluya su teléfono para un trato más rápido, ágil y personalizado.
El vehículo se entrega tras haber pasado un estricto control de calidad, de manera que puedas adquirirlo online con total tranquilidad. REVISIÓN PREENTREGA incluida.
Podemos realizar todo el proceso online con ENTREGA en toda la Península. Consulta el precio con tu asesor comercial.
Anuncio a título informativo no vinculante, puede contener errores y carece de valor contractual. Consultar condiciones.
Adquiere un coche de segunda mano en buen estado y a precio competitivo, hazlo. Nuestra tienda está a escasos metros de Metro Godella línea 1 amarilla, facil ubicación, cerca del centro de Valencia. Te esperamos!</t>
        </is>
      </c>
      <c r="BD62" s="2" t="inlineStr">
        <is>
          <t>https://www.coches.net/dacia-sandero-laureate-12-16v-75cv-5p-gasolina-2009-en-valencia-71749298-covo.aspx (window.__INITIAL_PROPS__.ad) /home/user/Alopecia/buscador-coches/raw/cochesnet/f0bc83d303744e62.json</t>
        </is>
      </c>
      <c r="BE62" s="3">
        <f>MAX(ANIO_ACTUAL-M62,0)</f>
        <v/>
      </c>
      <c r="BF62" s="4">
        <f>N62/MAX(BE62,0.5)</f>
        <v/>
      </c>
      <c r="BG62" s="4">
        <f>F62</f>
        <v/>
      </c>
      <c r="BH62" s="3">
        <f>BG62&amp;"|"&amp;INT(M62/SEG_ANIO)*SEG_ANIO</f>
        <v/>
      </c>
      <c r="BI62" s="3">
        <f>BH62&amp;"|"&amp;INT(N62/SEG_KM)*SEG_KM</f>
        <v/>
      </c>
      <c r="BJ62" s="4">
        <f>COUNTIF($BG$2:$BG$130,BG62)</f>
        <v/>
      </c>
      <c r="BK62" s="4">
        <f>COUNTIF($BH$2:$BH$130,BH62)</f>
        <v/>
      </c>
      <c r="BL62" s="4">
        <f>COUNTIF($BI$2:$BI$130,BI62)</f>
        <v/>
      </c>
      <c r="BM62" s="3">
        <f t="array" ref="BM62">IF(N(AY62)&gt;=MIN_N,AX62,IF(BL62&gt;=MIN_N,MEDIAN(IF($BI$2:$BI$130=BI62,$O$2:$O$130)),IF(BK62&gt;=MIN_N,MEDIAN(IF($BH$2:$BH$130=BH62,$O$2:$O$130)),MEDIAN(IF($BG$2:$BG$130=BG62,$O$2:$O$130)))))</f>
        <v/>
      </c>
      <c r="BN62" s="3">
        <f>IF(N(AY62)&gt;=MIN_N,"mercado "&amp;AZ62,IF(BL62&gt;=MIN_N,"modelo+año+km",IF(BK62&gt;=MIN_N,"modelo+año","modelo")))</f>
        <v/>
      </c>
      <c r="BO62" s="4">
        <f>(BM62-O62)/BM62</f>
        <v/>
      </c>
      <c r="BP62" s="3">
        <f>IF(COUNTIFS(FR_FUEL,K62,FR_YEAR,AP62)&gt;0,1,0)</f>
        <v/>
      </c>
      <c r="BQ62" s="3">
        <f>IF(COUNTIFS(FR_FUEL,K62,FR_YEAR,AP62-1)&gt;0,1,0)</f>
        <v/>
      </c>
      <c r="BR62" s="4">
        <f>IF(N(AQ62)&gt;0,AP62*100+AQ62,IF(AND(BP62=1,BQ62=1),(AP62-1)*100+1,AP62*100+1))</f>
        <v/>
      </c>
      <c r="BS62" s="3">
        <f>IF(OR(K62="hibrido",K62="glp",K62="gnc",K62="phev"),"ECO",IF(K62="electrico","CERO",IF(K62="gasolina",IF(BR62&gt;=GAS_C_YM,"C",IF(BR62&gt;=GAS_B_YM,"B","A")),IF(K62="diesel",IF(BR62&gt;=DIE_C_YM,"C",IF(BR62&gt;=DIE_B_YM,"B","A")),""))))</f>
        <v/>
      </c>
      <c r="BT62" s="2" t="inlineStr">
        <is>
          <t>C</t>
        </is>
      </c>
      <c r="BU62" s="4">
        <f>IF(AU62="sí","sí",IF(AS62="regla",IF(AND(N(AQ62)=0,BP62=1),"sí","no"),"no"))</f>
        <v/>
      </c>
      <c r="BV62" s="3">
        <f>IFERROR(VLOOKUP(F62,MOD_TBL,16,0),IFERROR(VLOOKUP(E62,OCU_TBL,2,0),NEUTRO))</f>
        <v/>
      </c>
      <c r="BW62" s="3">
        <f>SUMIFS(MOT_AJUSTE,MOT_MOTOR,G62,MOT_MARCA,E62,MOT_DESDE,"&lt;="&amp;M62,MOT_HASTA,"&gt;="&amp;M62)+SUMIFS(MOT_AJUSTE,MOT_MOTOR,G62,MOT_MARCA,"(todas)",MOT_DESDE,"&lt;="&amp;M62,MOT_HASTA,"&gt;="&amp;M62)+SUMIFS(MOT_AJUSTE,MOT_MOTOR,"(cualquiera)",MOT_MARCA,E62,MOT_DESDE,"&lt;="&amp;M62,MOT_HASTA,"&gt;="&amp;M62)</f>
        <v/>
      </c>
      <c r="BX62" s="3">
        <f>SUMIFS(COMB_AJUSTE,COMB_COMB,K62)</f>
        <v/>
      </c>
      <c r="BY62" s="3">
        <f>COUNTIFS(MOT_MOTOR,G62,MOT_MARCA,E62,MOT_DESDE,"&lt;="&amp;M62,MOT_HASTA,"&gt;="&amp;M62)+COUNTIFS(MOT_MOTOR,G62,MOT_MARCA,"(todas)",MOT_DESDE,"&lt;="&amp;M62,MOT_HASTA,"&gt;="&amp;M62)+COUNTIFS(MOT_MOTOR,"(cualquiera)",MOT_MARCA,E62,MOT_DESDE,"&lt;="&amp;M62,MOT_HASTA,"&gt;="&amp;M62)</f>
        <v/>
      </c>
      <c r="BZ62" s="3">
        <f>IF(AND(K62="diesel",BY62=0),MIN(BV62,NEUTRO),BV62)</f>
        <v/>
      </c>
      <c r="CA62" s="3">
        <f>MAX(0,MIN(100,BZ62+BW62+BX62-IF(AV62="sí",ROB_PEN,0)))</f>
        <v/>
      </c>
      <c r="CB62" s="3">
        <f>100-MAX(0,N62-KM_TOPE_DESDE)/1000*KM_TOPE_PTS</f>
        <v/>
      </c>
      <c r="CC62" s="3">
        <f>MAX(0,MIN(100,50+BO62*PRECIO_PEND,CB62))</f>
        <v/>
      </c>
      <c r="CD62" s="3">
        <f>MAX(0,100*(1-N62/KM_MAX))</f>
        <v/>
      </c>
      <c r="CE62" s="3">
        <f>IF(BF62&lt;KMA_SOSP,IF(AA62="sí",100,KMA_PEN),IF(BF62&lt;=KMA_IDEAL_MAX,100,MAX(0,100*(KMA_CERO-BF62)/(KMA_CERO-KMA_IDEAL_MAX))))</f>
        <v/>
      </c>
      <c r="CF62" s="3">
        <f>MAX(0,MIN(100,100*(M62-ANIO_MIN)/(ANIO_ACTUAL-ANIO_MIN)))</f>
        <v/>
      </c>
      <c r="CG62" s="3">
        <f>W_KMT*CD62+W_KMA*CE62+W_EDAD*CF62</f>
        <v/>
      </c>
      <c r="CH62" s="3">
        <f>P_ITV*(V62="sí")+P_LIBRO*(W62="sí")+P_CORREA*(X62="sí")+P_PROP*(Y62=1)+P_GAR*(Z62="sí")+P_FOTOS*MIN(1,N(U62)/FOTOS_OBJ)</f>
        <v/>
      </c>
      <c r="CI62" s="3">
        <f>MAX(0,MIN(100,IFERROR(VLOOKUP(BT62,ETQ_TBL,2,0),0)-IF(BU62="sí",ETQ_PEN_DUD,IF(AS62="regla",ETQ_PEN_REGLA,0))))</f>
        <v/>
      </c>
      <c r="CJ62" s="3">
        <f>IF(K62&lt;&gt;"gasolina","",IFERROR(VLOOKUP(F62,CONS_MOD_TBL,2,0),IFERROR(VLOOKUP(L62,CONS_SEG_TBL,2,0),"")))</f>
        <v/>
      </c>
      <c r="CK62" s="3">
        <f>IF(CJ62="",NEUTRO,MAX(0,MIN(100,100*(CONS_REF_MAX-CJ62)/(CONS_REF_MAX-CONS_REF_MIN))))</f>
        <v/>
      </c>
      <c r="CL62" s="3">
        <f>IFERROR(VLOOKUP(L62,SEGURO_TBL,3,0),"")</f>
        <v/>
      </c>
      <c r="CM62" s="3">
        <f>IF(CL62="",NEUTRO,MAX(0,MIN(100,100*(SEG_REF_MAX-CL62)/(SEG_REF_MAX-SEG_REF_MIN))))</f>
        <v/>
      </c>
      <c r="CN62" s="3">
        <f>W_CONS*CK62+W_SEG*CM62</f>
        <v/>
      </c>
      <c r="CO62" s="3">
        <f>IF(N(AB62)&gt;0,AB62,IF(AND(R62="profesional",SG_LEGAL_ON=1),GAR_LEGAL,0))</f>
        <v/>
      </c>
      <c r="CP62" s="3">
        <f>SG_GAR*MIN(1,CO62/SG_GAR_FULL)+SG_AMPL*(AC62="sí")+SG_KMC*(AF62="sí")+SG_REV*(N(AE62)&gt;0)+SG_DEV*MIN(1,N(AG62)/SG_DEV_FULL)+SG_HIST*(W62="sí")</f>
        <v/>
      </c>
      <c r="CQ62" s="3">
        <f>IF(AW62="sí",ESTILO_PRIO,IFERROR(VLOOKUP(L62,ESTILO_TBL,2,0),NEUTRO))</f>
        <v/>
      </c>
      <c r="CR62" s="3">
        <f>IFERROR(VLOOKUP(L62,CARR_PEN_TBL,2,0),0)</f>
        <v/>
      </c>
      <c r="CS62" s="3">
        <f>W_FIAB*CA62+W_PRECIO*CC62+W_KMEDAD*CG62+W_ANUNCIO*CH62+W_USO*CN62+W_SEGURIDAD*CP62+W_ETIQUETA*CI62+W_ESTILO*CQ62-CR62</f>
        <v/>
      </c>
      <c r="CT62" s="4">
        <f>IF(N(I62)&gt;0,I62,IFERROR(ROUND(_xlfn.NUMBERVALUE(LEFT(G62,FIND(" ",G62&amp;" ")-1),".")*1000,0),99999))</f>
        <v/>
      </c>
      <c r="CU62" s="3">
        <f>IF(R62="profesional",0,IF(O62&lt;CUOTA_VALOR_MAX,IF(BE62&gt;ITP_TRAMO_ALTO,SUMIFS(CF_CUOTA,CF_MAS,ITP_TRAMO_ALTO,CF_CCMIN,"&lt;="&amp;CT62,CF_CCMAX,"&gt;="&amp;CT62),IF(BE62&gt;ITP_TRAMO_BAJO,SUMIFS(CF_CUOTA,CF_MAS,ITP_TRAMO_BAJO,CF_CCMIN,"&lt;="&amp;CT62,CF_CCMAX,"&gt;="&amp;CT62),O62*ITP_TIPO)),O62*ITP_TIPO))</f>
        <v/>
      </c>
      <c r="CV62" s="4">
        <f>IF(R62="profesional",N(AK62),0)</f>
        <v/>
      </c>
      <c r="CW62" s="3">
        <f>IF(AND(R62="profesional",ISNUMBER(AK62),AL62="sí"),0,TASA_DGT)</f>
        <v/>
      </c>
      <c r="CX62" s="3">
        <f>INFORME_DGT</f>
        <v/>
      </c>
      <c r="CY62" s="4">
        <f>O62+CV62+CU62+CW62+CX62</f>
        <v/>
      </c>
      <c r="CZ62" s="4">
        <f>CY62+N(CL62)</f>
        <v/>
      </c>
      <c r="DA62" s="3">
        <f>IF(CY62&lt;=TOTAL_MAX,"sí",IF(CY62&lt;=TOTAL_MAX+MARGEN_NEG,"negociar","no"))</f>
        <v/>
      </c>
      <c r="DB62" s="4">
        <f>IF(DA62&lt;&gt;"no",COUNTIFS($DA$2:$DA$130,"&lt;&gt;no",$CS$2:$CS$130,"&gt;"&amp;CS62)+COUNTIFS($DA$2:DA62,"&lt;&gt;no",$CS$2:CS62,CS62),"")</f>
        <v/>
      </c>
    </row>
    <row r="63">
      <c r="A63" s="2" t="inlineStr">
        <is>
          <t>cochesnet:71858806</t>
        </is>
      </c>
      <c r="B63" s="2" t="inlineStr">
        <is>
          <t>cochesnet</t>
        </is>
      </c>
      <c r="C63" s="2" t="inlineStr">
        <is>
          <t>https://www.coches.net/peugeot-207-confort-14-vti-16v-95-5p-gasolina-2008-en-valencia-71858806-covo.aspx</t>
        </is>
      </c>
      <c r="D63" s="2" t="inlineStr">
        <is>
          <t>PEUGEOT 207 Confort 1.4 VTi 16v 95</t>
        </is>
      </c>
      <c r="E63" s="2" t="inlineStr">
        <is>
          <t>Peugeot</t>
        </is>
      </c>
      <c r="F63" s="2" t="inlineStr">
        <is>
          <t>Peugeot 207</t>
        </is>
      </c>
      <c r="G63" s="2" t="inlineStr">
        <is>
          <t>1.4 VTi</t>
        </is>
      </c>
      <c r="H63" s="2" t="inlineStr">
        <is>
          <t>Confort 1.4 VTi 16v 95</t>
        </is>
      </c>
      <c r="I63" s="2" t="n"/>
      <c r="J63" s="2" t="n"/>
      <c r="K63" s="2" t="inlineStr">
        <is>
          <t>gasolina</t>
        </is>
      </c>
      <c r="L63" s="2" t="inlineStr">
        <is>
          <t>utilitario</t>
        </is>
      </c>
      <c r="M63" s="2" t="n">
        <v>2007</v>
      </c>
      <c r="N63" s="2" t="n">
        <v>144000</v>
      </c>
      <c r="O63" s="2" t="n">
        <v>3500</v>
      </c>
      <c r="P63" s="2" t="inlineStr">
        <is>
          <t>manual</t>
        </is>
      </c>
      <c r="Q63" s="2" t="inlineStr">
        <is>
          <t>no</t>
        </is>
      </c>
      <c r="R63" s="2" t="inlineStr">
        <is>
          <t>profesional</t>
        </is>
      </c>
      <c r="S63" s="2" t="inlineStr">
        <is>
          <t>AUTOMOVILES CASTILLO PEPE Manises</t>
        </is>
      </c>
      <c r="T63" s="2" t="inlineStr">
        <is>
          <t>2026-10-29T09:24:27Z</t>
        </is>
      </c>
      <c r="U63" s="2" t="n">
        <v>14</v>
      </c>
      <c r="V63" s="2" t="inlineStr">
        <is>
          <t>sí</t>
        </is>
      </c>
      <c r="W63" s="2" t="n"/>
      <c r="X63" s="2" t="inlineStr">
        <is>
          <t>sí</t>
        </is>
      </c>
      <c r="Y63" s="2" t="n"/>
      <c r="Z63" s="2" t="inlineStr">
        <is>
          <t>sí</t>
        </is>
      </c>
      <c r="AA63" s="2" t="n"/>
      <c r="AB63" s="2" t="n">
        <v>12</v>
      </c>
      <c r="AC63" s="2" t="n"/>
      <c r="AD63" s="2" t="n"/>
      <c r="AE63" s="2" t="n"/>
      <c r="AF63" s="2" t="inlineStr">
        <is>
          <t>sí</t>
        </is>
      </c>
      <c r="AG63" s="2" t="n"/>
      <c r="AH63" s="2" t="n">
        <v>3500</v>
      </c>
      <c r="AI63" s="2" t="n">
        <v>3500</v>
      </c>
      <c r="AJ63" s="2" t="n"/>
      <c r="AK63" s="2" t="n"/>
      <c r="AL63" s="2" t="n"/>
      <c r="AM63" s="2" t="n">
        <v>8.1</v>
      </c>
      <c r="AN63" s="2" t="n"/>
      <c r="AO63" s="2" t="inlineStr">
        <is>
          <t>2007</t>
        </is>
      </c>
      <c r="AP63" s="2" t="n">
        <v>2007</v>
      </c>
      <c r="AQ63" s="2" t="n"/>
      <c r="AR63" s="2" t="inlineStr">
        <is>
          <t>C</t>
        </is>
      </c>
      <c r="AS63" s="2" t="inlineStr">
        <is>
          <t>anuncio</t>
        </is>
      </c>
      <c r="AT63" s="2" t="n">
        <v>2008</v>
      </c>
      <c r="AU63" s="2" t="inlineStr">
        <is>
          <t>no</t>
        </is>
      </c>
      <c r="AV63" s="2" t="inlineStr">
        <is>
          <t>no</t>
        </is>
      </c>
      <c r="AW63" s="2" t="inlineStr">
        <is>
          <t>no</t>
        </is>
      </c>
      <c r="AX63" s="2" t="n">
        <v>3650</v>
      </c>
      <c r="AY63" s="2" t="n">
        <v>28</v>
      </c>
      <c r="AZ63" s="2" t="inlineStr">
        <is>
          <t>modelo+año+km</t>
        </is>
      </c>
      <c r="BA63" s="2" t="n"/>
      <c r="BB63" s="2" t="inlineStr">
        <is>
          <t>año a confirmar: la URL/título dice 2008; vendedor profesional: sin ITP (operación con IVA/REBU, confirmar en factura); gastos de gestión del vendedor no indicados: se suma la tasa DGT; preguntar el precio final; revisar: detalles «detalles»; fiabilidad del modelo PENDIENTE de fuente (puntuación neutra)</t>
        </is>
      </c>
      <c r="BC63" s="2" t="inlineStr">
        <is>
          <t>ITV HASTA OCTUBRE 2027 RECIEN PASADA 
* KILOMETROS CERTIFICADOS. 
* KIT DE DISTRIBUCION NUEVA, CORREA DE SERVICIO NUEVA 
* ACEITE NUEVO Y FILTRO NUEVO . 
* MOTOR TOTALMENTE REVISADO Y GARANTIZADO, EMBRAGUE REVISADO , AIRE ACONDICIONADO ENFRIA MUY BIEN, CALEFECCION FUNCIONA MUY BIEN. 
* NEUMATICOS DELANTEROS Y TRASEROS 90% DE VIDA
RADIO NUEVA CON BLUETOOTH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BD63" s="2" t="inlineStr">
        <is>
          <t>https://www.coches.net/peugeot-207-confort-14-vti-16v-95-5p-gasolina-2008-en-valencia-71858806-covo.aspx (window.__INITIAL_PROPS__.ad) /home/user/Alopecia/buscador-coches/raw/cochesnet/af75c6dc563ab5a6.json</t>
        </is>
      </c>
      <c r="BE63" s="3">
        <f>MAX(ANIO_ACTUAL-M63,0)</f>
        <v/>
      </c>
      <c r="BF63" s="4">
        <f>N63/MAX(BE63,0.5)</f>
        <v/>
      </c>
      <c r="BG63" s="4">
        <f>F63</f>
        <v/>
      </c>
      <c r="BH63" s="3">
        <f>BG63&amp;"|"&amp;INT(M63/SEG_ANIO)*SEG_ANIO</f>
        <v/>
      </c>
      <c r="BI63" s="3">
        <f>BH63&amp;"|"&amp;INT(N63/SEG_KM)*SEG_KM</f>
        <v/>
      </c>
      <c r="BJ63" s="4">
        <f>COUNTIF($BG$2:$BG$130,BG63)</f>
        <v/>
      </c>
      <c r="BK63" s="4">
        <f>COUNTIF($BH$2:$BH$130,BH63)</f>
        <v/>
      </c>
      <c r="BL63" s="4">
        <f>COUNTIF($BI$2:$BI$130,BI63)</f>
        <v/>
      </c>
      <c r="BM63" s="3">
        <f t="array" ref="BM63">IF(N(AY63)&gt;=MIN_N,AX63,IF(BL63&gt;=MIN_N,MEDIAN(IF($BI$2:$BI$130=BI63,$O$2:$O$130)),IF(BK63&gt;=MIN_N,MEDIAN(IF($BH$2:$BH$130=BH63,$O$2:$O$130)),MEDIAN(IF($BG$2:$BG$130=BG63,$O$2:$O$130)))))</f>
        <v/>
      </c>
      <c r="BN63" s="3">
        <f>IF(N(AY63)&gt;=MIN_N,"mercado "&amp;AZ63,IF(BL63&gt;=MIN_N,"modelo+año+km",IF(BK63&gt;=MIN_N,"modelo+año","modelo")))</f>
        <v/>
      </c>
      <c r="BO63" s="4">
        <f>(BM63-O63)/BM63</f>
        <v/>
      </c>
      <c r="BP63" s="3">
        <f>IF(COUNTIFS(FR_FUEL,K63,FR_YEAR,AP63)&gt;0,1,0)</f>
        <v/>
      </c>
      <c r="BQ63" s="3">
        <f>IF(COUNTIFS(FR_FUEL,K63,FR_YEAR,AP63-1)&gt;0,1,0)</f>
        <v/>
      </c>
      <c r="BR63" s="4">
        <f>IF(N(AQ63)&gt;0,AP63*100+AQ63,IF(AND(BP63=1,BQ63=1),(AP63-1)*100+1,AP63*100+1))</f>
        <v/>
      </c>
      <c r="BS63" s="3">
        <f>IF(OR(K63="hibrido",K63="glp",K63="gnc",K63="phev"),"ECO",IF(K63="electrico","CERO",IF(K63="gasolina",IF(BR63&gt;=GAS_C_YM,"C",IF(BR63&gt;=GAS_B_YM,"B","A")),IF(K63="diesel",IF(BR63&gt;=DIE_C_YM,"C",IF(BR63&gt;=DIE_B_YM,"B","A")),""))))</f>
        <v/>
      </c>
      <c r="BT63" s="2" t="inlineStr">
        <is>
          <t>C</t>
        </is>
      </c>
      <c r="BU63" s="4">
        <f>IF(AU63="sí","sí",IF(AS63="regla",IF(AND(N(AQ63)=0,BP63=1),"sí","no"),"no"))</f>
        <v/>
      </c>
      <c r="BV63" s="3">
        <f>IFERROR(VLOOKUP(F63,MOD_TBL,16,0),IFERROR(VLOOKUP(E63,OCU_TBL,2,0),NEUTRO))</f>
        <v/>
      </c>
      <c r="BW63" s="3">
        <f>SUMIFS(MOT_AJUSTE,MOT_MOTOR,G63,MOT_MARCA,E63,MOT_DESDE,"&lt;="&amp;M63,MOT_HASTA,"&gt;="&amp;M63)+SUMIFS(MOT_AJUSTE,MOT_MOTOR,G63,MOT_MARCA,"(todas)",MOT_DESDE,"&lt;="&amp;M63,MOT_HASTA,"&gt;="&amp;M63)+SUMIFS(MOT_AJUSTE,MOT_MOTOR,"(cualquiera)",MOT_MARCA,E63,MOT_DESDE,"&lt;="&amp;M63,MOT_HASTA,"&gt;="&amp;M63)</f>
        <v/>
      </c>
      <c r="BX63" s="3">
        <f>SUMIFS(COMB_AJUSTE,COMB_COMB,K63)</f>
        <v/>
      </c>
      <c r="BY63" s="3">
        <f>COUNTIFS(MOT_MOTOR,G63,MOT_MARCA,E63,MOT_DESDE,"&lt;="&amp;M63,MOT_HASTA,"&gt;="&amp;M63)+COUNTIFS(MOT_MOTOR,G63,MOT_MARCA,"(todas)",MOT_DESDE,"&lt;="&amp;M63,MOT_HASTA,"&gt;="&amp;M63)+COUNTIFS(MOT_MOTOR,"(cualquiera)",MOT_MARCA,E63,MOT_DESDE,"&lt;="&amp;M63,MOT_HASTA,"&gt;="&amp;M63)</f>
        <v/>
      </c>
      <c r="BZ63" s="3">
        <f>IF(AND(K63="diesel",BY63=0),MIN(BV63,NEUTRO),BV63)</f>
        <v/>
      </c>
      <c r="CA63" s="3">
        <f>MAX(0,MIN(100,BZ63+BW63+BX63-IF(AV63="sí",ROB_PEN,0)))</f>
        <v/>
      </c>
      <c r="CB63" s="3">
        <f>100-MAX(0,N63-KM_TOPE_DESDE)/1000*KM_TOPE_PTS</f>
        <v/>
      </c>
      <c r="CC63" s="3">
        <f>MAX(0,MIN(100,50+BO63*PRECIO_PEND,CB63))</f>
        <v/>
      </c>
      <c r="CD63" s="3">
        <f>MAX(0,100*(1-N63/KM_MAX))</f>
        <v/>
      </c>
      <c r="CE63" s="3">
        <f>IF(BF63&lt;KMA_SOSP,IF(AA63="sí",100,KMA_PEN),IF(BF63&lt;=KMA_IDEAL_MAX,100,MAX(0,100*(KMA_CERO-BF63)/(KMA_CERO-KMA_IDEAL_MAX))))</f>
        <v/>
      </c>
      <c r="CF63" s="3">
        <f>MAX(0,MIN(100,100*(M63-ANIO_MIN)/(ANIO_ACTUAL-ANIO_MIN)))</f>
        <v/>
      </c>
      <c r="CG63" s="3">
        <f>W_KMT*CD63+W_KMA*CE63+W_EDAD*CF63</f>
        <v/>
      </c>
      <c r="CH63" s="3">
        <f>P_ITV*(V63="sí")+P_LIBRO*(W63="sí")+P_CORREA*(X63="sí")+P_PROP*(Y63=1)+P_GAR*(Z63="sí")+P_FOTOS*MIN(1,N(U63)/FOTOS_OBJ)</f>
        <v/>
      </c>
      <c r="CI63" s="3">
        <f>MAX(0,MIN(100,IFERROR(VLOOKUP(BT63,ETQ_TBL,2,0),0)-IF(BU63="sí",ETQ_PEN_DUD,IF(AS63="regla",ETQ_PEN_REGLA,0))))</f>
        <v/>
      </c>
      <c r="CJ63" s="3">
        <f>IF(K63&lt;&gt;"gasolina","",IFERROR(VLOOKUP(F63,CONS_MOD_TBL,2,0),IFERROR(VLOOKUP(L63,CONS_SEG_TBL,2,0),"")))</f>
        <v/>
      </c>
      <c r="CK63" s="3">
        <f>IF(CJ63="",NEUTRO,MAX(0,MIN(100,100*(CONS_REF_MAX-CJ63)/(CONS_REF_MAX-CONS_REF_MIN))))</f>
        <v/>
      </c>
      <c r="CL63" s="3">
        <f>IFERROR(VLOOKUP(L63,SEGURO_TBL,3,0),"")</f>
        <v/>
      </c>
      <c r="CM63" s="3">
        <f>IF(CL63="",NEUTRO,MAX(0,MIN(100,100*(SEG_REF_MAX-CL63)/(SEG_REF_MAX-SEG_REF_MIN))))</f>
        <v/>
      </c>
      <c r="CN63" s="3">
        <f>W_CONS*CK63+W_SEG*CM63</f>
        <v/>
      </c>
      <c r="CO63" s="3">
        <f>IF(N(AB63)&gt;0,AB63,IF(AND(R63="profesional",SG_LEGAL_ON=1),GAR_LEGAL,0))</f>
        <v/>
      </c>
      <c r="CP63" s="3">
        <f>SG_GAR*MIN(1,CO63/SG_GAR_FULL)+SG_AMPL*(AC63="sí")+SG_KMC*(AF63="sí")+SG_REV*(N(AE63)&gt;0)+SG_DEV*MIN(1,N(AG63)/SG_DEV_FULL)+SG_HIST*(W63="sí")</f>
        <v/>
      </c>
      <c r="CQ63" s="3">
        <f>IF(AW63="sí",ESTILO_PRIO,IFERROR(VLOOKUP(L63,ESTILO_TBL,2,0),NEUTRO))</f>
        <v/>
      </c>
      <c r="CR63" s="3">
        <f>IFERROR(VLOOKUP(L63,CARR_PEN_TBL,2,0),0)</f>
        <v/>
      </c>
      <c r="CS63" s="3">
        <f>W_FIAB*CA63+W_PRECIO*CC63+W_KMEDAD*CG63+W_ANUNCIO*CH63+W_USO*CN63+W_SEGURIDAD*CP63+W_ETIQUETA*CI63+W_ESTILO*CQ63-CR63</f>
        <v/>
      </c>
      <c r="CT63" s="4">
        <f>IF(N(I63)&gt;0,I63,IFERROR(ROUND(_xlfn.NUMBERVALUE(LEFT(G63,FIND(" ",G63&amp;" ")-1),".")*1000,0),99999))</f>
        <v/>
      </c>
      <c r="CU63" s="3">
        <f>IF(R63="profesional",0,IF(O63&lt;CUOTA_VALOR_MAX,IF(BE63&gt;ITP_TRAMO_ALTO,SUMIFS(CF_CUOTA,CF_MAS,ITP_TRAMO_ALTO,CF_CCMIN,"&lt;="&amp;CT63,CF_CCMAX,"&gt;="&amp;CT63),IF(BE63&gt;ITP_TRAMO_BAJO,SUMIFS(CF_CUOTA,CF_MAS,ITP_TRAMO_BAJO,CF_CCMIN,"&lt;="&amp;CT63,CF_CCMAX,"&gt;="&amp;CT63),O63*ITP_TIPO)),O63*ITP_TIPO))</f>
        <v/>
      </c>
      <c r="CV63" s="4">
        <f>IF(R63="profesional",N(AK63),0)</f>
        <v/>
      </c>
      <c r="CW63" s="3">
        <f>IF(AND(R63="profesional",ISNUMBER(AK63),AL63="sí"),0,TASA_DGT)</f>
        <v/>
      </c>
      <c r="CX63" s="3">
        <f>INFORME_DGT</f>
        <v/>
      </c>
      <c r="CY63" s="4">
        <f>O63+CV63+CU63+CW63+CX63</f>
        <v/>
      </c>
      <c r="CZ63" s="4">
        <f>CY63+N(CL63)</f>
        <v/>
      </c>
      <c r="DA63" s="3">
        <f>IF(CY63&lt;=TOTAL_MAX,"sí",IF(CY63&lt;=TOTAL_MAX+MARGEN_NEG,"negociar","no"))</f>
        <v/>
      </c>
      <c r="DB63" s="4">
        <f>IF(DA63&lt;&gt;"no",COUNTIFS($DA$2:$DA$130,"&lt;&gt;no",$CS$2:$CS$130,"&gt;"&amp;CS63)+COUNTIFS($DA$2:DA63,"&lt;&gt;no",$CS$2:CS63,CS63),"")</f>
        <v/>
      </c>
    </row>
    <row r="64">
      <c r="A64" s="2" t="inlineStr">
        <is>
          <t>cochesnet:71828437</t>
        </is>
      </c>
      <c r="B64" s="2" t="inlineStr">
        <is>
          <t>cochesnet</t>
        </is>
      </c>
      <c r="C64" s="2" t="inlineStr">
        <is>
          <t>https://www.coches.net/peugeot-207-14-16v-xt-5p-gasolina-2006-en-valencia-71828437-covo.aspx</t>
        </is>
      </c>
      <c r="D64" s="2" t="inlineStr">
        <is>
          <t>PEUGEOT 207 1.4 16v XT</t>
        </is>
      </c>
      <c r="E64" s="2" t="inlineStr">
        <is>
          <t>Peugeot</t>
        </is>
      </c>
      <c r="F64" s="2" t="inlineStr">
        <is>
          <t>Peugeot 207</t>
        </is>
      </c>
      <c r="G64" s="2" t="inlineStr">
        <is>
          <t>1.4</t>
        </is>
      </c>
      <c r="H64" s="2" t="inlineStr">
        <is>
          <t>1.4 16v XT</t>
        </is>
      </c>
      <c r="I64" s="2" t="n"/>
      <c r="J64" s="2" t="n"/>
      <c r="K64" s="2" t="inlineStr">
        <is>
          <t>gasolina</t>
        </is>
      </c>
      <c r="L64" s="2" t="inlineStr">
        <is>
          <t>utilitario</t>
        </is>
      </c>
      <c r="M64" s="2" t="n">
        <v>2007</v>
      </c>
      <c r="N64" s="2" t="n">
        <v>76600</v>
      </c>
      <c r="O64" s="2" t="n">
        <v>3700</v>
      </c>
      <c r="P64" s="2" t="inlineStr">
        <is>
          <t>manual</t>
        </is>
      </c>
      <c r="Q64" s="2" t="inlineStr">
        <is>
          <t>no</t>
        </is>
      </c>
      <c r="R64" s="2" t="inlineStr">
        <is>
          <t>profesional</t>
        </is>
      </c>
      <c r="S64" s="2" t="inlineStr">
        <is>
          <t>Pepe Cars Valencia</t>
        </is>
      </c>
      <c r="T64" s="2" t="inlineStr">
        <is>
          <t>2026-10-25T15:39:29Z</t>
        </is>
      </c>
      <c r="U64" s="2" t="n">
        <v>10</v>
      </c>
      <c r="V64" s="2" t="n"/>
      <c r="W64" s="2" t="n"/>
      <c r="X64" s="2" t="n"/>
      <c r="Y64" s="2" t="n"/>
      <c r="Z64" s="2" t="inlineStr">
        <is>
          <t>sí</t>
        </is>
      </c>
      <c r="AA64" s="2" t="n"/>
      <c r="AB64" s="2" t="n">
        <v>12</v>
      </c>
      <c r="AC64" s="2" t="n"/>
      <c r="AD64" s="2" t="n"/>
      <c r="AE64" s="2" t="n"/>
      <c r="AF64" s="2" t="n"/>
      <c r="AG64" s="2" t="n"/>
      <c r="AH64" s="2" t="n">
        <v>3700</v>
      </c>
      <c r="AI64" s="2" t="n"/>
      <c r="AJ64" s="2" t="n"/>
      <c r="AK64" s="2" t="n"/>
      <c r="AL64" s="2" t="n"/>
      <c r="AM64" s="2" t="n">
        <v>0.1</v>
      </c>
      <c r="AN64" s="2" t="n"/>
      <c r="AO64" s="2" t="inlineStr">
        <is>
          <t>2007</t>
        </is>
      </c>
      <c r="AP64" s="2" t="n">
        <v>2007</v>
      </c>
      <c r="AQ64" s="2" t="n"/>
      <c r="AR64" s="2" t="inlineStr">
        <is>
          <t>C</t>
        </is>
      </c>
      <c r="AS64" s="2" t="inlineStr">
        <is>
          <t>anuncio</t>
        </is>
      </c>
      <c r="AT64" s="2" t="n">
        <v>2006</v>
      </c>
      <c r="AU64" s="2" t="inlineStr">
        <is>
          <t>no</t>
        </is>
      </c>
      <c r="AV64" s="2" t="inlineStr">
        <is>
          <t>no</t>
        </is>
      </c>
      <c r="AW64" s="2" t="inlineStr">
        <is>
          <t>no</t>
        </is>
      </c>
      <c r="AX64" s="2" t="n">
        <v>4625</v>
      </c>
      <c r="AY64" s="2" t="n">
        <v>12</v>
      </c>
      <c r="AZ64" s="2" t="inlineStr">
        <is>
          <t>modelo+año+km</t>
        </is>
      </c>
      <c r="BA64" s="2" t="n"/>
      <c r="BB64" s="2" t="inlineStr">
        <is>
          <t>año a confirmar: la URL/título dice 2006; vendedor profesional: sin ITP (operación con IVA/REBU, confirmar en factura); gastos de gestión del vendedor no indicados: se suma la tasa DGT; preguntar el precio final; revisar: no menciona la ITV; fiabilidad del modelo PENDIENTE de fuente (puntuación neutra)</t>
        </is>
      </c>
      <c r="BC64" s="2" t="inlineStr">
        <is>
          <t>Este Peugeot 207 1.4 16v XT combina funcionalidad y confort con equipamiento multimedia completo: sistema de audio de seis altavoces con radio AM/FM, reproductor de CD y control remoto en volante. Destaca por su climatización bizona automática, dirección asistida eléctrica progresiva y volante de cuero ajustable en altura y profundidad. Dispone de elevalunas eléctricos delanteros, cierre centralizado con mando a distancia, ordenador de viaje con datos de consumo y autonomía, y cristales tintados en toda la cabina. Asientos individuales delanteros con reposacabezas ajustables, apoyabrazos central y banqueta trasera partida abatible. Inmovilizador de serie, luces antiniebla delanteras y faros dobles con regulación de altura. Etiqueta medioambiental C.</t>
        </is>
      </c>
      <c r="BD64" s="2" t="inlineStr">
        <is>
          <t>https://www.coches.net/peugeot-207-14-16v-xt-5p-gasolina-2006-en-valencia-71828437-covo.aspx (window.__INITIAL_PROPS__.ad) /home/user/Alopecia/buscador-coches/raw/cochesnet/1cd765507ac734a9.json</t>
        </is>
      </c>
      <c r="BE64" s="3">
        <f>MAX(ANIO_ACTUAL-M64,0)</f>
        <v/>
      </c>
      <c r="BF64" s="4">
        <f>N64/MAX(BE64,0.5)</f>
        <v/>
      </c>
      <c r="BG64" s="4">
        <f>F64</f>
        <v/>
      </c>
      <c r="BH64" s="3">
        <f>BG64&amp;"|"&amp;INT(M64/SEG_ANIO)*SEG_ANIO</f>
        <v/>
      </c>
      <c r="BI64" s="3">
        <f>BH64&amp;"|"&amp;INT(N64/SEG_KM)*SEG_KM</f>
        <v/>
      </c>
      <c r="BJ64" s="4">
        <f>COUNTIF($BG$2:$BG$130,BG64)</f>
        <v/>
      </c>
      <c r="BK64" s="4">
        <f>COUNTIF($BH$2:$BH$130,BH64)</f>
        <v/>
      </c>
      <c r="BL64" s="4">
        <f>COUNTIF($BI$2:$BI$130,BI64)</f>
        <v/>
      </c>
      <c r="BM64" s="3">
        <f t="array" ref="BM64">IF(N(AY64)&gt;=MIN_N,AX64,IF(BL64&gt;=MIN_N,MEDIAN(IF($BI$2:$BI$130=BI64,$O$2:$O$130)),IF(BK64&gt;=MIN_N,MEDIAN(IF($BH$2:$BH$130=BH64,$O$2:$O$130)),MEDIAN(IF($BG$2:$BG$130=BG64,$O$2:$O$130)))))</f>
        <v/>
      </c>
      <c r="BN64" s="3">
        <f>IF(N(AY64)&gt;=MIN_N,"mercado "&amp;AZ64,IF(BL64&gt;=MIN_N,"modelo+año+km",IF(BK64&gt;=MIN_N,"modelo+año","modelo")))</f>
        <v/>
      </c>
      <c r="BO64" s="4">
        <f>(BM64-O64)/BM64</f>
        <v/>
      </c>
      <c r="BP64" s="3">
        <f>IF(COUNTIFS(FR_FUEL,K64,FR_YEAR,AP64)&gt;0,1,0)</f>
        <v/>
      </c>
      <c r="BQ64" s="3">
        <f>IF(COUNTIFS(FR_FUEL,K64,FR_YEAR,AP64-1)&gt;0,1,0)</f>
        <v/>
      </c>
      <c r="BR64" s="4">
        <f>IF(N(AQ64)&gt;0,AP64*100+AQ64,IF(AND(BP64=1,BQ64=1),(AP64-1)*100+1,AP64*100+1))</f>
        <v/>
      </c>
      <c r="BS64" s="3">
        <f>IF(OR(K64="hibrido",K64="glp",K64="gnc",K64="phev"),"ECO",IF(K64="electrico","CERO",IF(K64="gasolina",IF(BR64&gt;=GAS_C_YM,"C",IF(BR64&gt;=GAS_B_YM,"B","A")),IF(K64="diesel",IF(BR64&gt;=DIE_C_YM,"C",IF(BR64&gt;=DIE_B_YM,"B","A")),""))))</f>
        <v/>
      </c>
      <c r="BT64" s="2" t="inlineStr">
        <is>
          <t>C</t>
        </is>
      </c>
      <c r="BU64" s="4">
        <f>IF(AU64="sí","sí",IF(AS64="regla",IF(AND(N(AQ64)=0,BP64=1),"sí","no"),"no"))</f>
        <v/>
      </c>
      <c r="BV64" s="3">
        <f>IFERROR(VLOOKUP(F64,MOD_TBL,16,0),IFERROR(VLOOKUP(E64,OCU_TBL,2,0),NEUTRO))</f>
        <v/>
      </c>
      <c r="BW64" s="3">
        <f>SUMIFS(MOT_AJUSTE,MOT_MOTOR,G64,MOT_MARCA,E64,MOT_DESDE,"&lt;="&amp;M64,MOT_HASTA,"&gt;="&amp;M64)+SUMIFS(MOT_AJUSTE,MOT_MOTOR,G64,MOT_MARCA,"(todas)",MOT_DESDE,"&lt;="&amp;M64,MOT_HASTA,"&gt;="&amp;M64)+SUMIFS(MOT_AJUSTE,MOT_MOTOR,"(cualquiera)",MOT_MARCA,E64,MOT_DESDE,"&lt;="&amp;M64,MOT_HASTA,"&gt;="&amp;M64)</f>
        <v/>
      </c>
      <c r="BX64" s="3">
        <f>SUMIFS(COMB_AJUSTE,COMB_COMB,K64)</f>
        <v/>
      </c>
      <c r="BY64" s="3">
        <f>COUNTIFS(MOT_MOTOR,G64,MOT_MARCA,E64,MOT_DESDE,"&lt;="&amp;M64,MOT_HASTA,"&gt;="&amp;M64)+COUNTIFS(MOT_MOTOR,G64,MOT_MARCA,"(todas)",MOT_DESDE,"&lt;="&amp;M64,MOT_HASTA,"&gt;="&amp;M64)+COUNTIFS(MOT_MOTOR,"(cualquiera)",MOT_MARCA,E64,MOT_DESDE,"&lt;="&amp;M64,MOT_HASTA,"&gt;="&amp;M64)</f>
        <v/>
      </c>
      <c r="BZ64" s="3">
        <f>IF(AND(K64="diesel",BY64=0),MIN(BV64,NEUTRO),BV64)</f>
        <v/>
      </c>
      <c r="CA64" s="3">
        <f>MAX(0,MIN(100,BZ64+BW64+BX64-IF(AV64="sí",ROB_PEN,0)))</f>
        <v/>
      </c>
      <c r="CB64" s="3">
        <f>100-MAX(0,N64-KM_TOPE_DESDE)/1000*KM_TOPE_PTS</f>
        <v/>
      </c>
      <c r="CC64" s="3">
        <f>MAX(0,MIN(100,50+BO64*PRECIO_PEND,CB64))</f>
        <v/>
      </c>
      <c r="CD64" s="3">
        <f>MAX(0,100*(1-N64/KM_MAX))</f>
        <v/>
      </c>
      <c r="CE64" s="3">
        <f>IF(BF64&lt;KMA_SOSP,IF(AA64="sí",100,KMA_PEN),IF(BF64&lt;=KMA_IDEAL_MAX,100,MAX(0,100*(KMA_CERO-BF64)/(KMA_CERO-KMA_IDEAL_MAX))))</f>
        <v/>
      </c>
      <c r="CF64" s="3">
        <f>MAX(0,MIN(100,100*(M64-ANIO_MIN)/(ANIO_ACTUAL-ANIO_MIN)))</f>
        <v/>
      </c>
      <c r="CG64" s="3">
        <f>W_KMT*CD64+W_KMA*CE64+W_EDAD*CF64</f>
        <v/>
      </c>
      <c r="CH64" s="3">
        <f>P_ITV*(V64="sí")+P_LIBRO*(W64="sí")+P_CORREA*(X64="sí")+P_PROP*(Y64=1)+P_GAR*(Z64="sí")+P_FOTOS*MIN(1,N(U64)/FOTOS_OBJ)</f>
        <v/>
      </c>
      <c r="CI64" s="3">
        <f>MAX(0,MIN(100,IFERROR(VLOOKUP(BT64,ETQ_TBL,2,0),0)-IF(BU64="sí",ETQ_PEN_DUD,IF(AS64="regla",ETQ_PEN_REGLA,0))))</f>
        <v/>
      </c>
      <c r="CJ64" s="3">
        <f>IF(K64&lt;&gt;"gasolina","",IFERROR(VLOOKUP(F64,CONS_MOD_TBL,2,0),IFERROR(VLOOKUP(L64,CONS_SEG_TBL,2,0),"")))</f>
        <v/>
      </c>
      <c r="CK64" s="3">
        <f>IF(CJ64="",NEUTRO,MAX(0,MIN(100,100*(CONS_REF_MAX-CJ64)/(CONS_REF_MAX-CONS_REF_MIN))))</f>
        <v/>
      </c>
      <c r="CL64" s="3">
        <f>IFERROR(VLOOKUP(L64,SEGURO_TBL,3,0),"")</f>
        <v/>
      </c>
      <c r="CM64" s="3">
        <f>IF(CL64="",NEUTRO,MAX(0,MIN(100,100*(SEG_REF_MAX-CL64)/(SEG_REF_MAX-SEG_REF_MIN))))</f>
        <v/>
      </c>
      <c r="CN64" s="3">
        <f>W_CONS*CK64+W_SEG*CM64</f>
        <v/>
      </c>
      <c r="CO64" s="3">
        <f>IF(N(AB64)&gt;0,AB64,IF(AND(R64="profesional",SG_LEGAL_ON=1),GAR_LEGAL,0))</f>
        <v/>
      </c>
      <c r="CP64" s="3">
        <f>SG_GAR*MIN(1,CO64/SG_GAR_FULL)+SG_AMPL*(AC64="sí")+SG_KMC*(AF64="sí")+SG_REV*(N(AE64)&gt;0)+SG_DEV*MIN(1,N(AG64)/SG_DEV_FULL)+SG_HIST*(W64="sí")</f>
        <v/>
      </c>
      <c r="CQ64" s="3">
        <f>IF(AW64="sí",ESTILO_PRIO,IFERROR(VLOOKUP(L64,ESTILO_TBL,2,0),NEUTRO))</f>
        <v/>
      </c>
      <c r="CR64" s="3">
        <f>IFERROR(VLOOKUP(L64,CARR_PEN_TBL,2,0),0)</f>
        <v/>
      </c>
      <c r="CS64" s="3">
        <f>W_FIAB*CA64+W_PRECIO*CC64+W_KMEDAD*CG64+W_ANUNCIO*CH64+W_USO*CN64+W_SEGURIDAD*CP64+W_ETIQUETA*CI64+W_ESTILO*CQ64-CR64</f>
        <v/>
      </c>
      <c r="CT64" s="4">
        <f>IF(N(I64)&gt;0,I64,IFERROR(ROUND(_xlfn.NUMBERVALUE(LEFT(G64,FIND(" ",G64&amp;" ")-1),".")*1000,0),99999))</f>
        <v/>
      </c>
      <c r="CU64" s="3">
        <f>IF(R64="profesional",0,IF(O64&lt;CUOTA_VALOR_MAX,IF(BE64&gt;ITP_TRAMO_ALTO,SUMIFS(CF_CUOTA,CF_MAS,ITP_TRAMO_ALTO,CF_CCMIN,"&lt;="&amp;CT64,CF_CCMAX,"&gt;="&amp;CT64),IF(BE64&gt;ITP_TRAMO_BAJO,SUMIFS(CF_CUOTA,CF_MAS,ITP_TRAMO_BAJO,CF_CCMIN,"&lt;="&amp;CT64,CF_CCMAX,"&gt;="&amp;CT64),O64*ITP_TIPO)),O64*ITP_TIPO))</f>
        <v/>
      </c>
      <c r="CV64" s="4">
        <f>IF(R64="profesional",N(AK64),0)</f>
        <v/>
      </c>
      <c r="CW64" s="3">
        <f>IF(AND(R64="profesional",ISNUMBER(AK64),AL64="sí"),0,TASA_DGT)</f>
        <v/>
      </c>
      <c r="CX64" s="3">
        <f>INFORME_DGT</f>
        <v/>
      </c>
      <c r="CY64" s="4">
        <f>O64+CV64+CU64+CW64+CX64</f>
        <v/>
      </c>
      <c r="CZ64" s="4">
        <f>CY64+N(CL64)</f>
        <v/>
      </c>
      <c r="DA64" s="3">
        <f>IF(CY64&lt;=TOTAL_MAX,"sí",IF(CY64&lt;=TOTAL_MAX+MARGEN_NEG,"negociar","no"))</f>
        <v/>
      </c>
      <c r="DB64" s="4">
        <f>IF(DA64&lt;&gt;"no",COUNTIFS($DA$2:$DA$130,"&lt;&gt;no",$CS$2:$CS$130,"&gt;"&amp;CS64)+COUNTIFS($DA$2:DA64,"&lt;&gt;no",$CS$2:CS64,CS64),"")</f>
        <v/>
      </c>
    </row>
    <row r="65">
      <c r="A65" s="2" t="inlineStr">
        <is>
          <t>cochesnet:71618681</t>
        </is>
      </c>
      <c r="B65" s="2" t="inlineStr">
        <is>
          <t>cochesnet</t>
        </is>
      </c>
      <c r="C65" s="2" t="inlineStr">
        <is>
          <t>https://www.coches.net/peugeot-207-confort-14-vti-16v-95-5p-gasolina-2008-en-valencia-71618681-covo.aspx</t>
        </is>
      </c>
      <c r="D65" s="2" t="inlineStr">
        <is>
          <t>PEUGEOT 207 Confort 1.4 VTi 16v 95</t>
        </is>
      </c>
      <c r="E65" s="2" t="inlineStr">
        <is>
          <t>Peugeot</t>
        </is>
      </c>
      <c r="F65" s="2" t="inlineStr">
        <is>
          <t>Peugeot 207</t>
        </is>
      </c>
      <c r="G65" s="2" t="inlineStr">
        <is>
          <t>1.4 VTi</t>
        </is>
      </c>
      <c r="H65" s="2" t="inlineStr">
        <is>
          <t>Confort 1.4 VTi 16v 95</t>
        </is>
      </c>
      <c r="I65" s="2" t="n"/>
      <c r="J65" s="2" t="n"/>
      <c r="K65" s="2" t="inlineStr">
        <is>
          <t>gasolina</t>
        </is>
      </c>
      <c r="L65" s="2" t="inlineStr">
        <is>
          <t>utilitario</t>
        </is>
      </c>
      <c r="M65" s="2" t="n">
        <v>2008</v>
      </c>
      <c r="N65" s="2" t="n">
        <v>80000</v>
      </c>
      <c r="O65" s="2" t="n">
        <v>4990</v>
      </c>
      <c r="P65" s="2" t="inlineStr">
        <is>
          <t>manual</t>
        </is>
      </c>
      <c r="Q65" s="2" t="inlineStr">
        <is>
          <t>no</t>
        </is>
      </c>
      <c r="R65" s="2" t="inlineStr">
        <is>
          <t>profesional</t>
        </is>
      </c>
      <c r="S65" s="2" t="inlineStr">
        <is>
          <t>Cullera</t>
        </is>
      </c>
      <c r="T65" s="2" t="inlineStr">
        <is>
          <t>2026-09-28T19:59:29Z</t>
        </is>
      </c>
      <c r="U65" s="2" t="n">
        <v>9</v>
      </c>
      <c r="V65" s="2" t="n"/>
      <c r="W65" s="2" t="n"/>
      <c r="X65" s="2" t="n"/>
      <c r="Y65" s="2" t="n"/>
      <c r="Z65" s="2" t="inlineStr">
        <is>
          <t>sí</t>
        </is>
      </c>
      <c r="AA65" s="2" t="n"/>
      <c r="AB65" s="2" t="n">
        <v>12</v>
      </c>
      <c r="AC65" s="2" t="n"/>
      <c r="AD65" s="2" t="n"/>
      <c r="AE65" s="2" t="n"/>
      <c r="AF65" s="2" t="n"/>
      <c r="AG65" s="2" t="n"/>
      <c r="AH65" s="2" t="n">
        <v>4990</v>
      </c>
      <c r="AI65" s="2" t="n"/>
      <c r="AJ65" s="2" t="n"/>
      <c r="AK65" s="2" t="n"/>
      <c r="AL65" s="2" t="n"/>
      <c r="AM65" s="2" t="n">
        <v>35.4</v>
      </c>
      <c r="AN65" s="2" t="n"/>
      <c r="AO65" s="2" t="inlineStr">
        <is>
          <t>2008</t>
        </is>
      </c>
      <c r="AP65" s="2" t="n">
        <v>2008</v>
      </c>
      <c r="AQ65" s="2" t="n"/>
      <c r="AR65" s="2" t="inlineStr">
        <is>
          <t>C</t>
        </is>
      </c>
      <c r="AS65" s="2" t="inlineStr">
        <is>
          <t>anuncio</t>
        </is>
      </c>
      <c r="AT65" s="2" t="n"/>
      <c r="AU65" s="2" t="inlineStr">
        <is>
          <t>no</t>
        </is>
      </c>
      <c r="AV65" s="2" t="inlineStr">
        <is>
          <t>no</t>
        </is>
      </c>
      <c r="AW65" s="2" t="inlineStr">
        <is>
          <t>no</t>
        </is>
      </c>
      <c r="AX65" s="2" t="n">
        <v>4625</v>
      </c>
      <c r="AY65" s="2" t="n">
        <v>12</v>
      </c>
      <c r="AZ65" s="2" t="inlineStr">
        <is>
          <t>modelo+año+km</t>
        </is>
      </c>
      <c r="BA65" s="2" t="n"/>
      <c r="BB65" s="2" t="inlineStr">
        <is>
          <t>por encima del presupuesto (5054 €), negociar; vendedor profesional: sin ITP (operación con IVA/REBU, confirmar en factura); gastos de gestión del vendedor no indicados: se suma la tasa DGT; preguntar el precio final; revisar: no menciona la ITV; fiabilidad del modelo PENDIENTE de fuente (puntuación neutra)</t>
        </is>
      </c>
      <c r="BC65" s="2" t="inlineStr">
        <is>
          <t>?MOTOR 1.4VTI CON CADENA DE DISTRIBUCIÓN, NO ES PURETECH ?VEHÍCULO NACIONAL, KMS Y AUSENCIA DE ACCIDENTES ESTRUCTURALES CERTIFICADOS.  ?1 AÑO DE GARANTÍA INCLUIDO EN EL PRECIO, POSIBILIDAD DE AMPLIAR A 2 AÑOS -ENVÍO A TODA ESPAÑA DESDE 150€, POSIBILIDAD DE COMPRA ONLINE O EN NUESTRA TIENDA FISICA -MOTOR MUY FIABLE Y CON UN CONSUMO MUY BAJO -AIRE ACONDICIONADO, ELEVALUNAS ELECTRICOS, DIRECCIÓN ASISTIDA, ETC...</t>
        </is>
      </c>
      <c r="BD65" s="2" t="inlineStr">
        <is>
          <t>https://www.coches.net/peugeot-207-confort-14-vti-16v-95-5p-gasolina-2008-en-valencia-71618681-covo.aspx (window.__INITIAL_PROPS__.ad) /home/user/Alopecia/buscador-coches/raw/cochesnet/543fe930cfd5068a.json</t>
        </is>
      </c>
      <c r="BE65" s="3">
        <f>MAX(ANIO_ACTUAL-M65,0)</f>
        <v/>
      </c>
      <c r="BF65" s="4">
        <f>N65/MAX(BE65,0.5)</f>
        <v/>
      </c>
      <c r="BG65" s="4">
        <f>F65</f>
        <v/>
      </c>
      <c r="BH65" s="3">
        <f>BG65&amp;"|"&amp;INT(M65/SEG_ANIO)*SEG_ANIO</f>
        <v/>
      </c>
      <c r="BI65" s="3">
        <f>BH65&amp;"|"&amp;INT(N65/SEG_KM)*SEG_KM</f>
        <v/>
      </c>
      <c r="BJ65" s="4">
        <f>COUNTIF($BG$2:$BG$130,BG65)</f>
        <v/>
      </c>
      <c r="BK65" s="4">
        <f>COUNTIF($BH$2:$BH$130,BH65)</f>
        <v/>
      </c>
      <c r="BL65" s="4">
        <f>COUNTIF($BI$2:$BI$130,BI65)</f>
        <v/>
      </c>
      <c r="BM65" s="3">
        <f t="array" ref="BM65">IF(N(AY65)&gt;=MIN_N,AX65,IF(BL65&gt;=MIN_N,MEDIAN(IF($BI$2:$BI$130=BI65,$O$2:$O$130)),IF(BK65&gt;=MIN_N,MEDIAN(IF($BH$2:$BH$130=BH65,$O$2:$O$130)),MEDIAN(IF($BG$2:$BG$130=BG65,$O$2:$O$130)))))</f>
        <v/>
      </c>
      <c r="BN65" s="3">
        <f>IF(N(AY65)&gt;=MIN_N,"mercado "&amp;AZ65,IF(BL65&gt;=MIN_N,"modelo+año+km",IF(BK65&gt;=MIN_N,"modelo+año","modelo")))</f>
        <v/>
      </c>
      <c r="BO65" s="4">
        <f>(BM65-O65)/BM65</f>
        <v/>
      </c>
      <c r="BP65" s="3">
        <f>IF(COUNTIFS(FR_FUEL,K65,FR_YEAR,AP65)&gt;0,1,0)</f>
        <v/>
      </c>
      <c r="BQ65" s="3">
        <f>IF(COUNTIFS(FR_FUEL,K65,FR_YEAR,AP65-1)&gt;0,1,0)</f>
        <v/>
      </c>
      <c r="BR65" s="4">
        <f>IF(N(AQ65)&gt;0,AP65*100+AQ65,IF(AND(BP65=1,BQ65=1),(AP65-1)*100+1,AP65*100+1))</f>
        <v/>
      </c>
      <c r="BS65" s="3">
        <f>IF(OR(K65="hibrido",K65="glp",K65="gnc",K65="phev"),"ECO",IF(K65="electrico","CERO",IF(K65="gasolina",IF(BR65&gt;=GAS_C_YM,"C",IF(BR65&gt;=GAS_B_YM,"B","A")),IF(K65="diesel",IF(BR65&gt;=DIE_C_YM,"C",IF(BR65&gt;=DIE_B_YM,"B","A")),""))))</f>
        <v/>
      </c>
      <c r="BT65" s="2" t="inlineStr">
        <is>
          <t>C</t>
        </is>
      </c>
      <c r="BU65" s="4">
        <f>IF(AU65="sí","sí",IF(AS65="regla",IF(AND(N(AQ65)=0,BP65=1),"sí","no"),"no"))</f>
        <v/>
      </c>
      <c r="BV65" s="3">
        <f>IFERROR(VLOOKUP(F65,MOD_TBL,16,0),IFERROR(VLOOKUP(E65,OCU_TBL,2,0),NEUTRO))</f>
        <v/>
      </c>
      <c r="BW65" s="3">
        <f>SUMIFS(MOT_AJUSTE,MOT_MOTOR,G65,MOT_MARCA,E65,MOT_DESDE,"&lt;="&amp;M65,MOT_HASTA,"&gt;="&amp;M65)+SUMIFS(MOT_AJUSTE,MOT_MOTOR,G65,MOT_MARCA,"(todas)",MOT_DESDE,"&lt;="&amp;M65,MOT_HASTA,"&gt;="&amp;M65)+SUMIFS(MOT_AJUSTE,MOT_MOTOR,"(cualquiera)",MOT_MARCA,E65,MOT_DESDE,"&lt;="&amp;M65,MOT_HASTA,"&gt;="&amp;M65)</f>
        <v/>
      </c>
      <c r="BX65" s="3">
        <f>SUMIFS(COMB_AJUSTE,COMB_COMB,K65)</f>
        <v/>
      </c>
      <c r="BY65" s="3">
        <f>COUNTIFS(MOT_MOTOR,G65,MOT_MARCA,E65,MOT_DESDE,"&lt;="&amp;M65,MOT_HASTA,"&gt;="&amp;M65)+COUNTIFS(MOT_MOTOR,G65,MOT_MARCA,"(todas)",MOT_DESDE,"&lt;="&amp;M65,MOT_HASTA,"&gt;="&amp;M65)+COUNTIFS(MOT_MOTOR,"(cualquiera)",MOT_MARCA,E65,MOT_DESDE,"&lt;="&amp;M65,MOT_HASTA,"&gt;="&amp;M65)</f>
        <v/>
      </c>
      <c r="BZ65" s="3">
        <f>IF(AND(K65="diesel",BY65=0),MIN(BV65,NEUTRO),BV65)</f>
        <v/>
      </c>
      <c r="CA65" s="3">
        <f>MAX(0,MIN(100,BZ65+BW65+BX65-IF(AV65="sí",ROB_PEN,0)))</f>
        <v/>
      </c>
      <c r="CB65" s="3">
        <f>100-MAX(0,N65-KM_TOPE_DESDE)/1000*KM_TOPE_PTS</f>
        <v/>
      </c>
      <c r="CC65" s="3">
        <f>MAX(0,MIN(100,50+BO65*PRECIO_PEND,CB65))</f>
        <v/>
      </c>
      <c r="CD65" s="3">
        <f>MAX(0,100*(1-N65/KM_MAX))</f>
        <v/>
      </c>
      <c r="CE65" s="3">
        <f>IF(BF65&lt;KMA_SOSP,IF(AA65="sí",100,KMA_PEN),IF(BF65&lt;=KMA_IDEAL_MAX,100,MAX(0,100*(KMA_CERO-BF65)/(KMA_CERO-KMA_IDEAL_MAX))))</f>
        <v/>
      </c>
      <c r="CF65" s="3">
        <f>MAX(0,MIN(100,100*(M65-ANIO_MIN)/(ANIO_ACTUAL-ANIO_MIN)))</f>
        <v/>
      </c>
      <c r="CG65" s="3">
        <f>W_KMT*CD65+W_KMA*CE65+W_EDAD*CF65</f>
        <v/>
      </c>
      <c r="CH65" s="3">
        <f>P_ITV*(V65="sí")+P_LIBRO*(W65="sí")+P_CORREA*(X65="sí")+P_PROP*(Y65=1)+P_GAR*(Z65="sí")+P_FOTOS*MIN(1,N(U65)/FOTOS_OBJ)</f>
        <v/>
      </c>
      <c r="CI65" s="3">
        <f>MAX(0,MIN(100,IFERROR(VLOOKUP(BT65,ETQ_TBL,2,0),0)-IF(BU65="sí",ETQ_PEN_DUD,IF(AS65="regla",ETQ_PEN_REGLA,0))))</f>
        <v/>
      </c>
      <c r="CJ65" s="3">
        <f>IF(K65&lt;&gt;"gasolina","",IFERROR(VLOOKUP(F65,CONS_MOD_TBL,2,0),IFERROR(VLOOKUP(L65,CONS_SEG_TBL,2,0),"")))</f>
        <v/>
      </c>
      <c r="CK65" s="3">
        <f>IF(CJ65="",NEUTRO,MAX(0,MIN(100,100*(CONS_REF_MAX-CJ65)/(CONS_REF_MAX-CONS_REF_MIN))))</f>
        <v/>
      </c>
      <c r="CL65" s="3">
        <f>IFERROR(VLOOKUP(L65,SEGURO_TBL,3,0),"")</f>
        <v/>
      </c>
      <c r="CM65" s="3">
        <f>IF(CL65="",NEUTRO,MAX(0,MIN(100,100*(SEG_REF_MAX-CL65)/(SEG_REF_MAX-SEG_REF_MIN))))</f>
        <v/>
      </c>
      <c r="CN65" s="3">
        <f>W_CONS*CK65+W_SEG*CM65</f>
        <v/>
      </c>
      <c r="CO65" s="3">
        <f>IF(N(AB65)&gt;0,AB65,IF(AND(R65="profesional",SG_LEGAL_ON=1),GAR_LEGAL,0))</f>
        <v/>
      </c>
      <c r="CP65" s="3">
        <f>SG_GAR*MIN(1,CO65/SG_GAR_FULL)+SG_AMPL*(AC65="sí")+SG_KMC*(AF65="sí")+SG_REV*(N(AE65)&gt;0)+SG_DEV*MIN(1,N(AG65)/SG_DEV_FULL)+SG_HIST*(W65="sí")</f>
        <v/>
      </c>
      <c r="CQ65" s="3">
        <f>IF(AW65="sí",ESTILO_PRIO,IFERROR(VLOOKUP(L65,ESTILO_TBL,2,0),NEUTRO))</f>
        <v/>
      </c>
      <c r="CR65" s="3">
        <f>IFERROR(VLOOKUP(L65,CARR_PEN_TBL,2,0),0)</f>
        <v/>
      </c>
      <c r="CS65" s="3">
        <f>W_FIAB*CA65+W_PRECIO*CC65+W_KMEDAD*CG65+W_ANUNCIO*CH65+W_USO*CN65+W_SEGURIDAD*CP65+W_ETIQUETA*CI65+W_ESTILO*CQ65-CR65</f>
        <v/>
      </c>
      <c r="CT65" s="4">
        <f>IF(N(I65)&gt;0,I65,IFERROR(ROUND(_xlfn.NUMBERVALUE(LEFT(G65,FIND(" ",G65&amp;" ")-1),".")*1000,0),99999))</f>
        <v/>
      </c>
      <c r="CU65" s="3">
        <f>IF(R65="profesional",0,IF(O65&lt;CUOTA_VALOR_MAX,IF(BE65&gt;ITP_TRAMO_ALTO,SUMIFS(CF_CUOTA,CF_MAS,ITP_TRAMO_ALTO,CF_CCMIN,"&lt;="&amp;CT65,CF_CCMAX,"&gt;="&amp;CT65),IF(BE65&gt;ITP_TRAMO_BAJO,SUMIFS(CF_CUOTA,CF_MAS,ITP_TRAMO_BAJO,CF_CCMIN,"&lt;="&amp;CT65,CF_CCMAX,"&gt;="&amp;CT65),O65*ITP_TIPO)),O65*ITP_TIPO))</f>
        <v/>
      </c>
      <c r="CV65" s="4">
        <f>IF(R65="profesional",N(AK65),0)</f>
        <v/>
      </c>
      <c r="CW65" s="3">
        <f>IF(AND(R65="profesional",ISNUMBER(AK65),AL65="sí"),0,TASA_DGT)</f>
        <v/>
      </c>
      <c r="CX65" s="3">
        <f>INFORME_DGT</f>
        <v/>
      </c>
      <c r="CY65" s="4">
        <f>O65+CV65+CU65+CW65+CX65</f>
        <v/>
      </c>
      <c r="CZ65" s="4">
        <f>CY65+N(CL65)</f>
        <v/>
      </c>
      <c r="DA65" s="3">
        <f>IF(CY65&lt;=TOTAL_MAX,"sí",IF(CY65&lt;=TOTAL_MAX+MARGEN_NEG,"negociar","no"))</f>
        <v/>
      </c>
      <c r="DB65" s="4">
        <f>IF(DA65&lt;&gt;"no",COUNTIFS($DA$2:$DA$130,"&lt;&gt;no",$CS$2:$CS$130,"&gt;"&amp;CS65)+COUNTIFS($DA$2:DA65,"&lt;&gt;no",$CS$2:CS65,CS65),"")</f>
        <v/>
      </c>
    </row>
    <row r="66">
      <c r="A66" s="2" t="inlineStr">
        <is>
          <t>cochesnet:71733143</t>
        </is>
      </c>
      <c r="B66" s="2" t="inlineStr">
        <is>
          <t>cochesnet</t>
        </is>
      </c>
      <c r="C66" s="2" t="inlineStr">
        <is>
          <t>https://www.coches.net/citroen-c3-picasso-hdi-110cv-fap-airdream-exclusive-5p-diesel-2009-en-valencia-71733143-covo.aspx</t>
        </is>
      </c>
      <c r="D66" s="2" t="inlineStr">
        <is>
          <t>CITROEN C3 Picasso HDI FAP Airdream Exclusive</t>
        </is>
      </c>
      <c r="E66" s="2" t="inlineStr">
        <is>
          <t>Citroën</t>
        </is>
      </c>
      <c r="F66" s="2" t="inlineStr">
        <is>
          <t>Citroën C3 Picasso</t>
        </is>
      </c>
      <c r="G66" s="2" t="inlineStr">
        <is>
          <t>? HDi</t>
        </is>
      </c>
      <c r="H66" s="2" t="inlineStr">
        <is>
          <t>HDI 110cv FAP Airdream Exclusive</t>
        </is>
      </c>
      <c r="I66" s="2" t="n"/>
      <c r="J66" s="2" t="n">
        <v>110</v>
      </c>
      <c r="K66" s="2" t="inlineStr">
        <is>
          <t>diesel</t>
        </is>
      </c>
      <c r="L66" s="2" t="inlineStr">
        <is>
          <t>monovolumen_pequeno</t>
        </is>
      </c>
      <c r="M66" s="2" t="n">
        <v>2009</v>
      </c>
      <c r="N66" s="2" t="n">
        <v>160000</v>
      </c>
      <c r="O66" s="2" t="n">
        <v>4990</v>
      </c>
      <c r="P66" s="2" t="inlineStr">
        <is>
          <t>manual</t>
        </is>
      </c>
      <c r="Q66" s="2" t="inlineStr">
        <is>
          <t>no</t>
        </is>
      </c>
      <c r="R66" s="2" t="inlineStr">
        <is>
          <t>profesional</t>
        </is>
      </c>
      <c r="S66" s="2" t="inlineStr">
        <is>
          <t>Alboraya</t>
        </is>
      </c>
      <c r="T66" s="2" t="inlineStr">
        <is>
          <t>2026-10-13T13:11:21Z</t>
        </is>
      </c>
      <c r="U66" s="2" t="n">
        <v>14</v>
      </c>
      <c r="V66" s="2" t="inlineStr">
        <is>
          <t>sí</t>
        </is>
      </c>
      <c r="W66" s="2" t="inlineStr">
        <is>
          <t>sí</t>
        </is>
      </c>
      <c r="X66" s="2" t="n"/>
      <c r="Y66" s="2" t="n"/>
      <c r="Z66" s="2" t="inlineStr">
        <is>
          <t>sí</t>
        </is>
      </c>
      <c r="AA66" s="2" t="n"/>
      <c r="AB66" s="2" t="n">
        <v>12</v>
      </c>
      <c r="AC66" s="2" t="n"/>
      <c r="AD66" s="2" t="n"/>
      <c r="AE66" s="2" t="n"/>
      <c r="AF66" s="2" t="n"/>
      <c r="AG66" s="2" t="n"/>
      <c r="AH66" s="2" t="n">
        <v>4990</v>
      </c>
      <c r="AI66" s="2" t="n">
        <v>4990</v>
      </c>
      <c r="AJ66" s="2" t="n"/>
      <c r="AK66" s="2" t="n"/>
      <c r="AL66" s="2" t="n"/>
      <c r="AM66" s="2" t="n">
        <v>4</v>
      </c>
      <c r="AN66" s="2" t="n"/>
      <c r="AO66" s="2" t="inlineStr">
        <is>
          <t>2009</t>
        </is>
      </c>
      <c r="AP66" s="2" t="n">
        <v>2009</v>
      </c>
      <c r="AQ66" s="2" t="n"/>
      <c r="AR66" s="2" t="inlineStr">
        <is>
          <t>B</t>
        </is>
      </c>
      <c r="AS66" s="2" t="inlineStr">
        <is>
          <t>anuncio</t>
        </is>
      </c>
      <c r="AT66" s="2" t="n"/>
      <c r="AU66" s="2" t="inlineStr">
        <is>
          <t>no</t>
        </is>
      </c>
      <c r="AV66" s="2" t="inlineStr">
        <is>
          <t>no</t>
        </is>
      </c>
      <c r="AW66" s="2" t="inlineStr">
        <is>
          <t>no</t>
        </is>
      </c>
      <c r="AX66" s="2" t="n"/>
      <c r="AY66" s="2" t="n"/>
      <c r="AZ66" s="2" t="n"/>
      <c r="BA66" s="2" t="n"/>
      <c r="BB66"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 carrocería monovolumen_pequeno: -6 puntos; fiabilidad del modelo PENDIENTE de fuente (puntuación neutra); mediana con solo 1 anuncio(s)</t>
        </is>
      </c>
      <c r="BC66" s="2" t="inlineStr">
        <is>
          <t>CITROEN C3 PICASSO 1.6 HDi 110 CV DIÉSEL · 2009 · 160.000 KM
¡Espacio, comodidad y versatilidad en un monovolumen compacto! Este Citroen C3 Picasso destaca por su motor diésel 1.6 HDi de 110 CV, su consumo contenido y su amplio habitáculo. Un vehículo práctico y funcional, con techo solar y un completo equipamiento, ideal para familias y para quienes buscan comodidad tanto en ciudad como en carretera.
??? Estado y mantenimiento:
?? Vehículo nacional.
?? 160.000 km.
?? ITV en vigor.
?? Revisiones y mantenimiento al día.
?? Equipamiento destacado:
?? Confort y conducción: Motor 1.6 HDi de 110 CV, dirección asistida Servotronic, control de crucero y volante multifunción revestido en piel.
?? Diseño y comodidad: Techo solar, asientos confort, aire acondicionado, elevalunas eléctricos y retrovisores eléctricos.
?? Tecnología y multimedia: Ordenador de a bordo y equipo de música MP3 con 6 altavoces.
?? Seguridad y aparcamiento: Sensores de aparcamiento Parktronic, anclajes ISOFIX para sillas infantiles y cierre centralizado.
?? Espacio y funcionalidad: Carrocería monovolumen de 5 puertas, posición de conducción elevada y habitáculo espacioso con gran aprovechamiento interior, ideal para el uso familiar y los viajes.
? Ventajas exclusivas Lunusa Cars
?? Financiación de hasta el 100% con tu nómina.
?? Garantía de 1 año en motor incluida.
?? Compra 100% online, fácil y segura.
?? Envíos y entrega a domicilio en toda España.
?? ¿Hablamos? Te enviamos más vídeos, fotog</t>
        </is>
      </c>
      <c r="BD66" s="2" t="inlineStr">
        <is>
          <t>https://www.coches.net/citroen-c3-picasso-hdi-110cv-fap-airdream-exclusive-5p-diesel-2009-en-valencia-71733143-covo.aspx (window.__INITIAL_PROPS__.ad) /home/user/Alopecia/buscador-coches/raw/cochesnet/d1048337a6adebf4.json</t>
        </is>
      </c>
      <c r="BE66" s="3">
        <f>MAX(ANIO_ACTUAL-M66,0)</f>
        <v/>
      </c>
      <c r="BF66" s="4">
        <f>N66/MAX(BE66,0.5)</f>
        <v/>
      </c>
      <c r="BG66" s="4">
        <f>F66</f>
        <v/>
      </c>
      <c r="BH66" s="3">
        <f>BG66&amp;"|"&amp;INT(M66/SEG_ANIO)*SEG_ANIO</f>
        <v/>
      </c>
      <c r="BI66" s="3">
        <f>BH66&amp;"|"&amp;INT(N66/SEG_KM)*SEG_KM</f>
        <v/>
      </c>
      <c r="BJ66" s="4">
        <f>COUNTIF($BG$2:$BG$130,BG66)</f>
        <v/>
      </c>
      <c r="BK66" s="4">
        <f>COUNTIF($BH$2:$BH$130,BH66)</f>
        <v/>
      </c>
      <c r="BL66" s="4">
        <f>COUNTIF($BI$2:$BI$130,BI66)</f>
        <v/>
      </c>
      <c r="BM66" s="3">
        <f t="array" ref="BM66">IF(N(AY66)&gt;=MIN_N,AX66,IF(BL66&gt;=MIN_N,MEDIAN(IF($BI$2:$BI$130=BI66,$O$2:$O$130)),IF(BK66&gt;=MIN_N,MEDIAN(IF($BH$2:$BH$130=BH66,$O$2:$O$130)),MEDIAN(IF($BG$2:$BG$130=BG66,$O$2:$O$130)))))</f>
        <v/>
      </c>
      <c r="BN66" s="3">
        <f>IF(N(AY66)&gt;=MIN_N,"mercado "&amp;AZ66,IF(BL66&gt;=MIN_N,"modelo+año+km",IF(BK66&gt;=MIN_N,"modelo+año","modelo")))</f>
        <v/>
      </c>
      <c r="BO66" s="4">
        <f>(BM66-O66)/BM66</f>
        <v/>
      </c>
      <c r="BP66" s="3">
        <f>IF(COUNTIFS(FR_FUEL,K66,FR_YEAR,AP66)&gt;0,1,0)</f>
        <v/>
      </c>
      <c r="BQ66" s="3">
        <f>IF(COUNTIFS(FR_FUEL,K66,FR_YEAR,AP66-1)&gt;0,1,0)</f>
        <v/>
      </c>
      <c r="BR66" s="4">
        <f>IF(N(AQ66)&gt;0,AP66*100+AQ66,IF(AND(BP66=1,BQ66=1),(AP66-1)*100+1,AP66*100+1))</f>
        <v/>
      </c>
      <c r="BS66" s="3">
        <f>IF(OR(K66="hibrido",K66="glp",K66="gnc",K66="phev"),"ECO",IF(K66="electrico","CERO",IF(K66="gasolina",IF(BR66&gt;=GAS_C_YM,"C",IF(BR66&gt;=GAS_B_YM,"B","A")),IF(K66="diesel",IF(BR66&gt;=DIE_C_YM,"C",IF(BR66&gt;=DIE_B_YM,"B","A")),""))))</f>
        <v/>
      </c>
      <c r="BT66" s="2" t="inlineStr">
        <is>
          <t>B</t>
        </is>
      </c>
      <c r="BU66" s="4">
        <f>IF(AU66="sí","sí",IF(AS66="regla",IF(AND(N(AQ66)=0,BP66=1),"sí","no"),"no"))</f>
        <v/>
      </c>
      <c r="BV66" s="3">
        <f>IFERROR(VLOOKUP(F66,MOD_TBL,16,0),IFERROR(VLOOKUP(E66,OCU_TBL,2,0),NEUTRO))</f>
        <v/>
      </c>
      <c r="BW66" s="3">
        <f>SUMIFS(MOT_AJUSTE,MOT_MOTOR,G66,MOT_MARCA,E66,MOT_DESDE,"&lt;="&amp;M66,MOT_HASTA,"&gt;="&amp;M66)+SUMIFS(MOT_AJUSTE,MOT_MOTOR,G66,MOT_MARCA,"(todas)",MOT_DESDE,"&lt;="&amp;M66,MOT_HASTA,"&gt;="&amp;M66)+SUMIFS(MOT_AJUSTE,MOT_MOTOR,"(cualquiera)",MOT_MARCA,E66,MOT_DESDE,"&lt;="&amp;M66,MOT_HASTA,"&gt;="&amp;M66)</f>
        <v/>
      </c>
      <c r="BX66" s="3">
        <f>SUMIFS(COMB_AJUSTE,COMB_COMB,K66)</f>
        <v/>
      </c>
      <c r="BY66" s="3">
        <f>COUNTIFS(MOT_MOTOR,G66,MOT_MARCA,E66,MOT_DESDE,"&lt;="&amp;M66,MOT_HASTA,"&gt;="&amp;M66)+COUNTIFS(MOT_MOTOR,G66,MOT_MARCA,"(todas)",MOT_DESDE,"&lt;="&amp;M66,MOT_HASTA,"&gt;="&amp;M66)+COUNTIFS(MOT_MOTOR,"(cualquiera)",MOT_MARCA,E66,MOT_DESDE,"&lt;="&amp;M66,MOT_HASTA,"&gt;="&amp;M66)</f>
        <v/>
      </c>
      <c r="BZ66" s="3">
        <f>IF(AND(K66="diesel",BY66=0),MIN(BV66,NEUTRO),BV66)</f>
        <v/>
      </c>
      <c r="CA66" s="3">
        <f>MAX(0,MIN(100,BZ66+BW66+BX66-IF(AV66="sí",ROB_PEN,0)))</f>
        <v/>
      </c>
      <c r="CB66" s="3">
        <f>100-MAX(0,N66-KM_TOPE_DESDE)/1000*KM_TOPE_PTS</f>
        <v/>
      </c>
      <c r="CC66" s="3">
        <f>MAX(0,MIN(100,50+BO66*PRECIO_PEND,CB66))</f>
        <v/>
      </c>
      <c r="CD66" s="3">
        <f>MAX(0,100*(1-N66/KM_MAX))</f>
        <v/>
      </c>
      <c r="CE66" s="3">
        <f>IF(BF66&lt;KMA_SOSP,IF(AA66="sí",100,KMA_PEN),IF(BF66&lt;=KMA_IDEAL_MAX,100,MAX(0,100*(KMA_CERO-BF66)/(KMA_CERO-KMA_IDEAL_MAX))))</f>
        <v/>
      </c>
      <c r="CF66" s="3">
        <f>MAX(0,MIN(100,100*(M66-ANIO_MIN)/(ANIO_ACTUAL-ANIO_MIN)))</f>
        <v/>
      </c>
      <c r="CG66" s="3">
        <f>W_KMT*CD66+W_KMA*CE66+W_EDAD*CF66</f>
        <v/>
      </c>
      <c r="CH66" s="3">
        <f>P_ITV*(V66="sí")+P_LIBRO*(W66="sí")+P_CORREA*(X66="sí")+P_PROP*(Y66=1)+P_GAR*(Z66="sí")+P_FOTOS*MIN(1,N(U66)/FOTOS_OBJ)</f>
        <v/>
      </c>
      <c r="CI66" s="3">
        <f>MAX(0,MIN(100,IFERROR(VLOOKUP(BT66,ETQ_TBL,2,0),0)-IF(BU66="sí",ETQ_PEN_DUD,IF(AS66="regla",ETQ_PEN_REGLA,0))))</f>
        <v/>
      </c>
      <c r="CJ66" s="3">
        <f>IF(K66&lt;&gt;"gasolina","",IFERROR(VLOOKUP(F66,CONS_MOD_TBL,2,0),IFERROR(VLOOKUP(L66,CONS_SEG_TBL,2,0),"")))</f>
        <v/>
      </c>
      <c r="CK66" s="3">
        <f>IF(CJ66="",NEUTRO,MAX(0,MIN(100,100*(CONS_REF_MAX-CJ66)/(CONS_REF_MAX-CONS_REF_MIN))))</f>
        <v/>
      </c>
      <c r="CL66" s="3">
        <f>IFERROR(VLOOKUP(L66,SEGURO_TBL,3,0),"")</f>
        <v/>
      </c>
      <c r="CM66" s="3">
        <f>IF(CL66="",NEUTRO,MAX(0,MIN(100,100*(SEG_REF_MAX-CL66)/(SEG_REF_MAX-SEG_REF_MIN))))</f>
        <v/>
      </c>
      <c r="CN66" s="3">
        <f>W_CONS*CK66+W_SEG*CM66</f>
        <v/>
      </c>
      <c r="CO66" s="3">
        <f>IF(N(AB66)&gt;0,AB66,IF(AND(R66="profesional",SG_LEGAL_ON=1),GAR_LEGAL,0))</f>
        <v/>
      </c>
      <c r="CP66" s="3">
        <f>SG_GAR*MIN(1,CO66/SG_GAR_FULL)+SG_AMPL*(AC66="sí")+SG_KMC*(AF66="sí")+SG_REV*(N(AE66)&gt;0)+SG_DEV*MIN(1,N(AG66)/SG_DEV_FULL)+SG_HIST*(W66="sí")</f>
        <v/>
      </c>
      <c r="CQ66" s="3">
        <f>IF(AW66="sí",ESTILO_PRIO,IFERROR(VLOOKUP(L66,ESTILO_TBL,2,0),NEUTRO))</f>
        <v/>
      </c>
      <c r="CR66" s="3">
        <f>IFERROR(VLOOKUP(L66,CARR_PEN_TBL,2,0),0)</f>
        <v/>
      </c>
      <c r="CS66" s="3">
        <f>W_FIAB*CA66+W_PRECIO*CC66+W_KMEDAD*CG66+W_ANUNCIO*CH66+W_USO*CN66+W_SEGURIDAD*CP66+W_ETIQUETA*CI66+W_ESTILO*CQ66-CR66</f>
        <v/>
      </c>
      <c r="CT66" s="4">
        <f>IF(N(I66)&gt;0,I66,IFERROR(ROUND(_xlfn.NUMBERVALUE(LEFT(G66,FIND(" ",G66&amp;" ")-1),".")*1000,0),99999))</f>
        <v/>
      </c>
      <c r="CU66" s="3">
        <f>IF(R66="profesional",0,IF(O66&lt;CUOTA_VALOR_MAX,IF(BE66&gt;ITP_TRAMO_ALTO,SUMIFS(CF_CUOTA,CF_MAS,ITP_TRAMO_ALTO,CF_CCMIN,"&lt;="&amp;CT66,CF_CCMAX,"&gt;="&amp;CT66),IF(BE66&gt;ITP_TRAMO_BAJO,SUMIFS(CF_CUOTA,CF_MAS,ITP_TRAMO_BAJO,CF_CCMIN,"&lt;="&amp;CT66,CF_CCMAX,"&gt;="&amp;CT66),O66*ITP_TIPO)),O66*ITP_TIPO))</f>
        <v/>
      </c>
      <c r="CV66" s="4">
        <f>IF(R66="profesional",N(AK66),0)</f>
        <v/>
      </c>
      <c r="CW66" s="3">
        <f>IF(AND(R66="profesional",ISNUMBER(AK66),AL66="sí"),0,TASA_DGT)</f>
        <v/>
      </c>
      <c r="CX66" s="3">
        <f>INFORME_DGT</f>
        <v/>
      </c>
      <c r="CY66" s="4">
        <f>O66+CV66+CU66+CW66+CX66</f>
        <v/>
      </c>
      <c r="CZ66" s="4">
        <f>CY66+N(CL66)</f>
        <v/>
      </c>
      <c r="DA66" s="3">
        <f>IF(CY66&lt;=TOTAL_MAX,"sí",IF(CY66&lt;=TOTAL_MAX+MARGEN_NEG,"negociar","no"))</f>
        <v/>
      </c>
      <c r="DB66" s="4">
        <f>IF(DA66&lt;&gt;"no",COUNTIFS($DA$2:$DA$130,"&lt;&gt;no",$CS$2:$CS$130,"&gt;"&amp;CS66)+COUNTIFS($DA$2:DA66,"&lt;&gt;no",$CS$2:CS66,CS66),"")</f>
        <v/>
      </c>
    </row>
    <row r="67">
      <c r="A67" s="2" t="inlineStr">
        <is>
          <t>cochesnet:71041894</t>
        </is>
      </c>
      <c r="B67" s="2" t="inlineStr">
        <is>
          <t>cochesnet</t>
        </is>
      </c>
      <c r="C67" s="2" t="inlineStr">
        <is>
          <t>https://www.coches.net/citroen-c3-hdi-70-attraction-5p-diesel-2011-en-valencia-71041894-covo.aspx</t>
        </is>
      </c>
      <c r="D67" s="2" t="inlineStr">
        <is>
          <t>CITROEN C3 HDi 70 Attraction</t>
        </is>
      </c>
      <c r="E67" s="2" t="inlineStr">
        <is>
          <t>Citroën</t>
        </is>
      </c>
      <c r="F67" s="2" t="inlineStr">
        <is>
          <t>Citroën C3</t>
        </is>
      </c>
      <c r="G67" s="2" t="inlineStr">
        <is>
          <t>? HDi</t>
        </is>
      </c>
      <c r="H67" s="2" t="inlineStr">
        <is>
          <t>HDi 70 Attraction</t>
        </is>
      </c>
      <c r="I67" s="2" t="n"/>
      <c r="J67" s="2" t="n"/>
      <c r="K67" s="2" t="inlineStr">
        <is>
          <t>diesel</t>
        </is>
      </c>
      <c r="L67" s="2" t="inlineStr">
        <is>
          <t>utilitario</t>
        </is>
      </c>
      <c r="M67" s="2" t="n">
        <v>2011</v>
      </c>
      <c r="N67" s="2" t="n">
        <v>187000</v>
      </c>
      <c r="O67" s="2" t="n">
        <v>4750</v>
      </c>
      <c r="P67" s="2" t="inlineStr">
        <is>
          <t>manual</t>
        </is>
      </c>
      <c r="Q67" s="2" t="inlineStr">
        <is>
          <t>no</t>
        </is>
      </c>
      <c r="R67" s="2" t="inlineStr">
        <is>
          <t>profesional</t>
        </is>
      </c>
      <c r="S67" s="2" t="inlineStr">
        <is>
          <t>Albal</t>
        </is>
      </c>
      <c r="T67" s="2" t="inlineStr">
        <is>
          <t>2026-10-07T14:11:13Z</t>
        </is>
      </c>
      <c r="U67" s="2" t="n">
        <v>10</v>
      </c>
      <c r="V67" s="2" t="n"/>
      <c r="W67" s="2" t="n"/>
      <c r="X67" s="2" t="n"/>
      <c r="Y67" s="2" t="n"/>
      <c r="Z67" s="2" t="inlineStr">
        <is>
          <t>sí</t>
        </is>
      </c>
      <c r="AA67" s="2" t="n"/>
      <c r="AB67" s="2" t="n">
        <v>12</v>
      </c>
      <c r="AC67" s="2" t="n"/>
      <c r="AD67" s="2" t="n"/>
      <c r="AE67" s="2" t="n"/>
      <c r="AF67" s="2" t="n"/>
      <c r="AG67" s="2" t="n"/>
      <c r="AH67" s="2" t="n">
        <v>4750</v>
      </c>
      <c r="AI67" s="2" t="n">
        <v>4750</v>
      </c>
      <c r="AJ67" s="2" t="n"/>
      <c r="AK67" s="2" t="n"/>
      <c r="AL67" s="2" t="n"/>
      <c r="AM67" s="2" t="n">
        <v>8.699999999999999</v>
      </c>
      <c r="AN67" s="2" t="n"/>
      <c r="AO67" s="2" t="inlineStr">
        <is>
          <t>2011</t>
        </is>
      </c>
      <c r="AP67" s="2" t="n">
        <v>2011</v>
      </c>
      <c r="AQ67" s="2" t="n"/>
      <c r="AR67" s="2" t="inlineStr">
        <is>
          <t>B</t>
        </is>
      </c>
      <c r="AS67" s="2" t="inlineStr">
        <is>
          <t>anuncio</t>
        </is>
      </c>
      <c r="AT67" s="2" t="n"/>
      <c r="AU67" s="2" t="inlineStr">
        <is>
          <t>no</t>
        </is>
      </c>
      <c r="AV67" s="2" t="inlineStr">
        <is>
          <t>no</t>
        </is>
      </c>
      <c r="AW67" s="2" t="inlineStr">
        <is>
          <t>no</t>
        </is>
      </c>
      <c r="AX67" s="2" t="n">
        <v>5295</v>
      </c>
      <c r="AY67" s="2" t="n">
        <v>6</v>
      </c>
      <c r="AZ67" s="2" t="inlineStr">
        <is>
          <t>modelo+año</t>
        </is>
      </c>
      <c r="BA67" s="2" t="n"/>
      <c r="BB67" s="2" t="inlineStr">
        <is>
          <t>vendedor profesional: sin ITP (operación con IVA/REBU, confirmar en factura); gastos de gestión del vendedor no indicados: se suma la tasa DGT; preguntar el precio final; diésel: motor sin fuente de fiabilidad (fiabilidad limitada a neutra)</t>
        </is>
      </c>
      <c r="BC67" s="2" t="inlineStr">
        <is>
          <t>CItroën C3 Attraction 1.4 HDi 2011 Diésel
Equipamiento:
Elevalunas eléctricos
Bluetooth
Motor 1.4 HDi
Muy bajo consumo
Kilometraje: 187.000 km
Mantenimiento reciente:
Cambio de aceite y filtros
Embrague nuevo
ITV vigente hasta 07/2027
4 neumáticos en excelente estado
Utilitario económico, cómodo y de muy bajo consumo, ideal para ciudad y uso diario.
Precio: 5.250 €
Entrega inmediata en Valencia / Catarroja
Garantía 12 meses en mecánica
Financiación disponible
Recibimos vehículo a cambio, incluso de menor valor
Citroën C3 Attraction en Valencia
Citroën C3 en Catarroja
Citroen C3 en Catarroja</t>
        </is>
      </c>
      <c r="BD67" s="2" t="inlineStr">
        <is>
          <t>https://www.coches.net/citroen-c3-hdi-70-attraction-5p-diesel-2011-en-valencia-71041894-covo.aspx (window.__INITIAL_PROPS__.ad) /home/user/Alopecia/buscador-coches/raw/cochesnet/b94d1dae5572bd11.json</t>
        </is>
      </c>
      <c r="BE67" s="3">
        <f>MAX(ANIO_ACTUAL-M67,0)</f>
        <v/>
      </c>
      <c r="BF67" s="4">
        <f>N67/MAX(BE67,0.5)</f>
        <v/>
      </c>
      <c r="BG67" s="4">
        <f>F67</f>
        <v/>
      </c>
      <c r="BH67" s="3">
        <f>BG67&amp;"|"&amp;INT(M67/SEG_ANIO)*SEG_ANIO</f>
        <v/>
      </c>
      <c r="BI67" s="3">
        <f>BH67&amp;"|"&amp;INT(N67/SEG_KM)*SEG_KM</f>
        <v/>
      </c>
      <c r="BJ67" s="4">
        <f>COUNTIF($BG$2:$BG$130,BG67)</f>
        <v/>
      </c>
      <c r="BK67" s="4">
        <f>COUNTIF($BH$2:$BH$130,BH67)</f>
        <v/>
      </c>
      <c r="BL67" s="4">
        <f>COUNTIF($BI$2:$BI$130,BI67)</f>
        <v/>
      </c>
      <c r="BM67" s="3">
        <f t="array" ref="BM67">IF(N(AY67)&gt;=MIN_N,AX67,IF(BL67&gt;=MIN_N,MEDIAN(IF($BI$2:$BI$130=BI67,$O$2:$O$130)),IF(BK67&gt;=MIN_N,MEDIAN(IF($BH$2:$BH$130=BH67,$O$2:$O$130)),MEDIAN(IF($BG$2:$BG$130=BG67,$O$2:$O$130)))))</f>
        <v/>
      </c>
      <c r="BN67" s="3">
        <f>IF(N(AY67)&gt;=MIN_N,"mercado "&amp;AZ67,IF(BL67&gt;=MIN_N,"modelo+año+km",IF(BK67&gt;=MIN_N,"modelo+año","modelo")))</f>
        <v/>
      </c>
      <c r="BO67" s="4">
        <f>(BM67-O67)/BM67</f>
        <v/>
      </c>
      <c r="BP67" s="3">
        <f>IF(COUNTIFS(FR_FUEL,K67,FR_YEAR,AP67)&gt;0,1,0)</f>
        <v/>
      </c>
      <c r="BQ67" s="3">
        <f>IF(COUNTIFS(FR_FUEL,K67,FR_YEAR,AP67-1)&gt;0,1,0)</f>
        <v/>
      </c>
      <c r="BR67" s="4">
        <f>IF(N(AQ67)&gt;0,AP67*100+AQ67,IF(AND(BP67=1,BQ67=1),(AP67-1)*100+1,AP67*100+1))</f>
        <v/>
      </c>
      <c r="BS67" s="3">
        <f>IF(OR(K67="hibrido",K67="glp",K67="gnc",K67="phev"),"ECO",IF(K67="electrico","CERO",IF(K67="gasolina",IF(BR67&gt;=GAS_C_YM,"C",IF(BR67&gt;=GAS_B_YM,"B","A")),IF(K67="diesel",IF(BR67&gt;=DIE_C_YM,"C",IF(BR67&gt;=DIE_B_YM,"B","A")),""))))</f>
        <v/>
      </c>
      <c r="BT67" s="2" t="inlineStr">
        <is>
          <t>B</t>
        </is>
      </c>
      <c r="BU67" s="4">
        <f>IF(AU67="sí","sí",IF(AS67="regla",IF(AND(N(AQ67)=0,BP67=1),"sí","no"),"no"))</f>
        <v/>
      </c>
      <c r="BV67" s="3">
        <f>IFERROR(VLOOKUP(F67,MOD_TBL,16,0),IFERROR(VLOOKUP(E67,OCU_TBL,2,0),NEUTRO))</f>
        <v/>
      </c>
      <c r="BW67" s="3">
        <f>SUMIFS(MOT_AJUSTE,MOT_MOTOR,G67,MOT_MARCA,E67,MOT_DESDE,"&lt;="&amp;M67,MOT_HASTA,"&gt;="&amp;M67)+SUMIFS(MOT_AJUSTE,MOT_MOTOR,G67,MOT_MARCA,"(todas)",MOT_DESDE,"&lt;="&amp;M67,MOT_HASTA,"&gt;="&amp;M67)+SUMIFS(MOT_AJUSTE,MOT_MOTOR,"(cualquiera)",MOT_MARCA,E67,MOT_DESDE,"&lt;="&amp;M67,MOT_HASTA,"&gt;="&amp;M67)</f>
        <v/>
      </c>
      <c r="BX67" s="3">
        <f>SUMIFS(COMB_AJUSTE,COMB_COMB,K67)</f>
        <v/>
      </c>
      <c r="BY67" s="3">
        <f>COUNTIFS(MOT_MOTOR,G67,MOT_MARCA,E67,MOT_DESDE,"&lt;="&amp;M67,MOT_HASTA,"&gt;="&amp;M67)+COUNTIFS(MOT_MOTOR,G67,MOT_MARCA,"(todas)",MOT_DESDE,"&lt;="&amp;M67,MOT_HASTA,"&gt;="&amp;M67)+COUNTIFS(MOT_MOTOR,"(cualquiera)",MOT_MARCA,E67,MOT_DESDE,"&lt;="&amp;M67,MOT_HASTA,"&gt;="&amp;M67)</f>
        <v/>
      </c>
      <c r="BZ67" s="3">
        <f>IF(AND(K67="diesel",BY67=0),MIN(BV67,NEUTRO),BV67)</f>
        <v/>
      </c>
      <c r="CA67" s="3">
        <f>MAX(0,MIN(100,BZ67+BW67+BX67-IF(AV67="sí",ROB_PEN,0)))</f>
        <v/>
      </c>
      <c r="CB67" s="3">
        <f>100-MAX(0,N67-KM_TOPE_DESDE)/1000*KM_TOPE_PTS</f>
        <v/>
      </c>
      <c r="CC67" s="3">
        <f>MAX(0,MIN(100,50+BO67*PRECIO_PEND,CB67))</f>
        <v/>
      </c>
      <c r="CD67" s="3">
        <f>MAX(0,100*(1-N67/KM_MAX))</f>
        <v/>
      </c>
      <c r="CE67" s="3">
        <f>IF(BF67&lt;KMA_SOSP,IF(AA67="sí",100,KMA_PEN),IF(BF67&lt;=KMA_IDEAL_MAX,100,MAX(0,100*(KMA_CERO-BF67)/(KMA_CERO-KMA_IDEAL_MAX))))</f>
        <v/>
      </c>
      <c r="CF67" s="3">
        <f>MAX(0,MIN(100,100*(M67-ANIO_MIN)/(ANIO_ACTUAL-ANIO_MIN)))</f>
        <v/>
      </c>
      <c r="CG67" s="3">
        <f>W_KMT*CD67+W_KMA*CE67+W_EDAD*CF67</f>
        <v/>
      </c>
      <c r="CH67" s="3">
        <f>P_ITV*(V67="sí")+P_LIBRO*(W67="sí")+P_CORREA*(X67="sí")+P_PROP*(Y67=1)+P_GAR*(Z67="sí")+P_FOTOS*MIN(1,N(U67)/FOTOS_OBJ)</f>
        <v/>
      </c>
      <c r="CI67" s="3">
        <f>MAX(0,MIN(100,IFERROR(VLOOKUP(BT67,ETQ_TBL,2,0),0)-IF(BU67="sí",ETQ_PEN_DUD,IF(AS67="regla",ETQ_PEN_REGLA,0))))</f>
        <v/>
      </c>
      <c r="CJ67" s="3">
        <f>IF(K67&lt;&gt;"gasolina","",IFERROR(VLOOKUP(F67,CONS_MOD_TBL,2,0),IFERROR(VLOOKUP(L67,CONS_SEG_TBL,2,0),"")))</f>
        <v/>
      </c>
      <c r="CK67" s="3">
        <f>IF(CJ67="",NEUTRO,MAX(0,MIN(100,100*(CONS_REF_MAX-CJ67)/(CONS_REF_MAX-CONS_REF_MIN))))</f>
        <v/>
      </c>
      <c r="CL67" s="3">
        <f>IFERROR(VLOOKUP(L67,SEGURO_TBL,3,0),"")</f>
        <v/>
      </c>
      <c r="CM67" s="3">
        <f>IF(CL67="",NEUTRO,MAX(0,MIN(100,100*(SEG_REF_MAX-CL67)/(SEG_REF_MAX-SEG_REF_MIN))))</f>
        <v/>
      </c>
      <c r="CN67" s="3">
        <f>W_CONS*CK67+W_SEG*CM67</f>
        <v/>
      </c>
      <c r="CO67" s="3">
        <f>IF(N(AB67)&gt;0,AB67,IF(AND(R67="profesional",SG_LEGAL_ON=1),GAR_LEGAL,0))</f>
        <v/>
      </c>
      <c r="CP67" s="3">
        <f>SG_GAR*MIN(1,CO67/SG_GAR_FULL)+SG_AMPL*(AC67="sí")+SG_KMC*(AF67="sí")+SG_REV*(N(AE67)&gt;0)+SG_DEV*MIN(1,N(AG67)/SG_DEV_FULL)+SG_HIST*(W67="sí")</f>
        <v/>
      </c>
      <c r="CQ67" s="3">
        <f>IF(AW67="sí",ESTILO_PRIO,IFERROR(VLOOKUP(L67,ESTILO_TBL,2,0),NEUTRO))</f>
        <v/>
      </c>
      <c r="CR67" s="3">
        <f>IFERROR(VLOOKUP(L67,CARR_PEN_TBL,2,0),0)</f>
        <v/>
      </c>
      <c r="CS67" s="3">
        <f>W_FIAB*CA67+W_PRECIO*CC67+W_KMEDAD*CG67+W_ANUNCIO*CH67+W_USO*CN67+W_SEGURIDAD*CP67+W_ETIQUETA*CI67+W_ESTILO*CQ67-CR67</f>
        <v/>
      </c>
      <c r="CT67" s="4">
        <f>IF(N(I67)&gt;0,I67,IFERROR(ROUND(_xlfn.NUMBERVALUE(LEFT(G67,FIND(" ",G67&amp;" ")-1),".")*1000,0),99999))</f>
        <v/>
      </c>
      <c r="CU67" s="3">
        <f>IF(R67="profesional",0,IF(O67&lt;CUOTA_VALOR_MAX,IF(BE67&gt;ITP_TRAMO_ALTO,SUMIFS(CF_CUOTA,CF_MAS,ITP_TRAMO_ALTO,CF_CCMIN,"&lt;="&amp;CT67,CF_CCMAX,"&gt;="&amp;CT67),IF(BE67&gt;ITP_TRAMO_BAJO,SUMIFS(CF_CUOTA,CF_MAS,ITP_TRAMO_BAJO,CF_CCMIN,"&lt;="&amp;CT67,CF_CCMAX,"&gt;="&amp;CT67),O67*ITP_TIPO)),O67*ITP_TIPO))</f>
        <v/>
      </c>
      <c r="CV67" s="4">
        <f>IF(R67="profesional",N(AK67),0)</f>
        <v/>
      </c>
      <c r="CW67" s="3">
        <f>IF(AND(R67="profesional",ISNUMBER(AK67),AL67="sí"),0,TASA_DGT)</f>
        <v/>
      </c>
      <c r="CX67" s="3">
        <f>INFORME_DGT</f>
        <v/>
      </c>
      <c r="CY67" s="4">
        <f>O67+CV67+CU67+CW67+CX67</f>
        <v/>
      </c>
      <c r="CZ67" s="4">
        <f>CY67+N(CL67)</f>
        <v/>
      </c>
      <c r="DA67" s="3">
        <f>IF(CY67&lt;=TOTAL_MAX,"sí",IF(CY67&lt;=TOTAL_MAX+MARGEN_NEG,"negociar","no"))</f>
        <v/>
      </c>
      <c r="DB67" s="4">
        <f>IF(DA67&lt;&gt;"no",COUNTIFS($DA$2:$DA$130,"&lt;&gt;no",$CS$2:$CS$130,"&gt;"&amp;CS67)+COUNTIFS($DA$2:DA67,"&lt;&gt;no",$CS$2:CS67,CS67),"")</f>
        <v/>
      </c>
    </row>
    <row r="68">
      <c r="A68" s="2" t="inlineStr">
        <is>
          <t>cochesnet:71039872</t>
        </is>
      </c>
      <c r="B68" s="2" t="inlineStr">
        <is>
          <t>cochesnet</t>
        </is>
      </c>
      <c r="C68" s="2" t="inlineStr">
        <is>
          <t>https://www.coches.net/citroen-c3-ehdi-115-exclusive-5p-diesel-2013-en-valencia-71039872-covo.aspx</t>
        </is>
      </c>
      <c r="D68" s="2" t="inlineStr">
        <is>
          <t>CITROEN C3 EHDI 115 Exclusive</t>
        </is>
      </c>
      <c r="E68" s="2" t="inlineStr">
        <is>
          <t>Citroën</t>
        </is>
      </c>
      <c r="F68" s="2" t="inlineStr">
        <is>
          <t>Citroën C3</t>
        </is>
      </c>
      <c r="G68" s="2" t="inlineStr">
        <is>
          <t>? HDi</t>
        </is>
      </c>
      <c r="H68" s="2" t="inlineStr">
        <is>
          <t>EHDI 115 Exclusive</t>
        </is>
      </c>
      <c r="I68" s="2" t="n"/>
      <c r="J68" s="2" t="n"/>
      <c r="K68" s="2" t="inlineStr">
        <is>
          <t>diesel</t>
        </is>
      </c>
      <c r="L68" s="2" t="inlineStr">
        <is>
          <t>utilitario</t>
        </is>
      </c>
      <c r="M68" s="2" t="n">
        <v>2013</v>
      </c>
      <c r="N68" s="2" t="n">
        <v>180000</v>
      </c>
      <c r="O68" s="2" t="n">
        <v>4990</v>
      </c>
      <c r="P68" s="2" t="inlineStr">
        <is>
          <t>manual</t>
        </is>
      </c>
      <c r="Q68" s="2" t="inlineStr">
        <is>
          <t>no</t>
        </is>
      </c>
      <c r="R68" s="2" t="inlineStr">
        <is>
          <t>profesional</t>
        </is>
      </c>
      <c r="S68" s="2" t="inlineStr">
        <is>
          <t>Foios</t>
        </is>
      </c>
      <c r="T68" s="2" t="inlineStr">
        <is>
          <t>2026-10-07T11:07:16Z</t>
        </is>
      </c>
      <c r="U68" s="2" t="n">
        <v>13</v>
      </c>
      <c r="V68" s="2" t="n"/>
      <c r="W68" s="2" t="n"/>
      <c r="X68" s="2" t="n"/>
      <c r="Y68" s="2" t="n"/>
      <c r="Z68" s="2" t="inlineStr">
        <is>
          <t>sí</t>
        </is>
      </c>
      <c r="AA68" s="2" t="n"/>
      <c r="AB68" s="2" t="n">
        <v>12</v>
      </c>
      <c r="AC68" s="2" t="n"/>
      <c r="AD68" s="2" t="n"/>
      <c r="AE68" s="2" t="n"/>
      <c r="AF68" s="2" t="n"/>
      <c r="AG68" s="2" t="n"/>
      <c r="AH68" s="2" t="n">
        <v>4990</v>
      </c>
      <c r="AI68" s="2" t="n">
        <v>4990</v>
      </c>
      <c r="AJ68" s="2" t="n"/>
      <c r="AK68" s="2" t="n"/>
      <c r="AL68" s="2" t="n"/>
      <c r="AM68" s="2" t="n">
        <v>7.7</v>
      </c>
      <c r="AN68" s="2" t="n"/>
      <c r="AO68" s="2" t="inlineStr">
        <is>
          <t>2013</t>
        </is>
      </c>
      <c r="AP68" s="2" t="n">
        <v>2013</v>
      </c>
      <c r="AQ68" s="2" t="n"/>
      <c r="AR68" s="2" t="inlineStr">
        <is>
          <t>C</t>
        </is>
      </c>
      <c r="AS68" s="2" t="inlineStr">
        <is>
          <t>anuncio</t>
        </is>
      </c>
      <c r="AT68" s="2" t="n"/>
      <c r="AU68" s="2" t="inlineStr">
        <is>
          <t>no</t>
        </is>
      </c>
      <c r="AV68" s="2" t="inlineStr">
        <is>
          <t>no</t>
        </is>
      </c>
      <c r="AW68" s="2" t="inlineStr">
        <is>
          <t>no</t>
        </is>
      </c>
      <c r="AX68" s="2" t="n">
        <v>5500</v>
      </c>
      <c r="AY68" s="2" t="n">
        <v>17</v>
      </c>
      <c r="AZ68" s="2" t="inlineStr">
        <is>
          <t>modelo+año</t>
        </is>
      </c>
      <c r="BA68" s="2" t="n"/>
      <c r="BB68"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 revisar: no menciona la ITV</t>
        </is>
      </c>
      <c r="BC68" s="2" t="inlineStr"/>
      <c r="BD68" s="2" t="inlineStr">
        <is>
          <t>https://www.coches.net/citroen-c3-ehdi-115-exclusive-5p-diesel-2013-en-valencia-71039872-covo.aspx (window.__INITIAL_PROPS__.ad) /home/user/Alopecia/buscador-coches/raw/cochesnet/860d9c5e45d2dc6a.json</t>
        </is>
      </c>
      <c r="BE68" s="3">
        <f>MAX(ANIO_ACTUAL-M68,0)</f>
        <v/>
      </c>
      <c r="BF68" s="4">
        <f>N68/MAX(BE68,0.5)</f>
        <v/>
      </c>
      <c r="BG68" s="4">
        <f>F68</f>
        <v/>
      </c>
      <c r="BH68" s="3">
        <f>BG68&amp;"|"&amp;INT(M68/SEG_ANIO)*SEG_ANIO</f>
        <v/>
      </c>
      <c r="BI68" s="3">
        <f>BH68&amp;"|"&amp;INT(N68/SEG_KM)*SEG_KM</f>
        <v/>
      </c>
      <c r="BJ68" s="4">
        <f>COUNTIF($BG$2:$BG$130,BG68)</f>
        <v/>
      </c>
      <c r="BK68" s="4">
        <f>COUNTIF($BH$2:$BH$130,BH68)</f>
        <v/>
      </c>
      <c r="BL68" s="4">
        <f>COUNTIF($BI$2:$BI$130,BI68)</f>
        <v/>
      </c>
      <c r="BM68" s="3">
        <f t="array" ref="BM68">IF(N(AY68)&gt;=MIN_N,AX68,IF(BL68&gt;=MIN_N,MEDIAN(IF($BI$2:$BI$130=BI68,$O$2:$O$130)),IF(BK68&gt;=MIN_N,MEDIAN(IF($BH$2:$BH$130=BH68,$O$2:$O$130)),MEDIAN(IF($BG$2:$BG$130=BG68,$O$2:$O$130)))))</f>
        <v/>
      </c>
      <c r="BN68" s="3">
        <f>IF(N(AY68)&gt;=MIN_N,"mercado "&amp;AZ68,IF(BL68&gt;=MIN_N,"modelo+año+km",IF(BK68&gt;=MIN_N,"modelo+año","modelo")))</f>
        <v/>
      </c>
      <c r="BO68" s="4">
        <f>(BM68-O68)/BM68</f>
        <v/>
      </c>
      <c r="BP68" s="3">
        <f>IF(COUNTIFS(FR_FUEL,K68,FR_YEAR,AP68)&gt;0,1,0)</f>
        <v/>
      </c>
      <c r="BQ68" s="3">
        <f>IF(COUNTIFS(FR_FUEL,K68,FR_YEAR,AP68-1)&gt;0,1,0)</f>
        <v/>
      </c>
      <c r="BR68" s="4">
        <f>IF(N(AQ68)&gt;0,AP68*100+AQ68,IF(AND(BP68=1,BQ68=1),(AP68-1)*100+1,AP68*100+1))</f>
        <v/>
      </c>
      <c r="BS68" s="3">
        <f>IF(OR(K68="hibrido",K68="glp",K68="gnc",K68="phev"),"ECO",IF(K68="electrico","CERO",IF(K68="gasolina",IF(BR68&gt;=GAS_C_YM,"C",IF(BR68&gt;=GAS_B_YM,"B","A")),IF(K68="diesel",IF(BR68&gt;=DIE_C_YM,"C",IF(BR68&gt;=DIE_B_YM,"B","A")),""))))</f>
        <v/>
      </c>
      <c r="BT68" s="2" t="inlineStr">
        <is>
          <t>C</t>
        </is>
      </c>
      <c r="BU68" s="4">
        <f>IF(AU68="sí","sí",IF(AS68="regla",IF(AND(N(AQ68)=0,BP68=1),"sí","no"),"no"))</f>
        <v/>
      </c>
      <c r="BV68" s="3">
        <f>IFERROR(VLOOKUP(F68,MOD_TBL,16,0),IFERROR(VLOOKUP(E68,OCU_TBL,2,0),NEUTRO))</f>
        <v/>
      </c>
      <c r="BW68" s="3">
        <f>SUMIFS(MOT_AJUSTE,MOT_MOTOR,G68,MOT_MARCA,E68,MOT_DESDE,"&lt;="&amp;M68,MOT_HASTA,"&gt;="&amp;M68)+SUMIFS(MOT_AJUSTE,MOT_MOTOR,G68,MOT_MARCA,"(todas)",MOT_DESDE,"&lt;="&amp;M68,MOT_HASTA,"&gt;="&amp;M68)+SUMIFS(MOT_AJUSTE,MOT_MOTOR,"(cualquiera)",MOT_MARCA,E68,MOT_DESDE,"&lt;="&amp;M68,MOT_HASTA,"&gt;="&amp;M68)</f>
        <v/>
      </c>
      <c r="BX68" s="3">
        <f>SUMIFS(COMB_AJUSTE,COMB_COMB,K68)</f>
        <v/>
      </c>
      <c r="BY68" s="3">
        <f>COUNTIFS(MOT_MOTOR,G68,MOT_MARCA,E68,MOT_DESDE,"&lt;="&amp;M68,MOT_HASTA,"&gt;="&amp;M68)+COUNTIFS(MOT_MOTOR,G68,MOT_MARCA,"(todas)",MOT_DESDE,"&lt;="&amp;M68,MOT_HASTA,"&gt;="&amp;M68)+COUNTIFS(MOT_MOTOR,"(cualquiera)",MOT_MARCA,E68,MOT_DESDE,"&lt;="&amp;M68,MOT_HASTA,"&gt;="&amp;M68)</f>
        <v/>
      </c>
      <c r="BZ68" s="3">
        <f>IF(AND(K68="diesel",BY68=0),MIN(BV68,NEUTRO),BV68)</f>
        <v/>
      </c>
      <c r="CA68" s="3">
        <f>MAX(0,MIN(100,BZ68+BW68+BX68-IF(AV68="sí",ROB_PEN,0)))</f>
        <v/>
      </c>
      <c r="CB68" s="3">
        <f>100-MAX(0,N68-KM_TOPE_DESDE)/1000*KM_TOPE_PTS</f>
        <v/>
      </c>
      <c r="CC68" s="3">
        <f>MAX(0,MIN(100,50+BO68*PRECIO_PEND,CB68))</f>
        <v/>
      </c>
      <c r="CD68" s="3">
        <f>MAX(0,100*(1-N68/KM_MAX))</f>
        <v/>
      </c>
      <c r="CE68" s="3">
        <f>IF(BF68&lt;KMA_SOSP,IF(AA68="sí",100,KMA_PEN),IF(BF68&lt;=KMA_IDEAL_MAX,100,MAX(0,100*(KMA_CERO-BF68)/(KMA_CERO-KMA_IDEAL_MAX))))</f>
        <v/>
      </c>
      <c r="CF68" s="3">
        <f>MAX(0,MIN(100,100*(M68-ANIO_MIN)/(ANIO_ACTUAL-ANIO_MIN)))</f>
        <v/>
      </c>
      <c r="CG68" s="3">
        <f>W_KMT*CD68+W_KMA*CE68+W_EDAD*CF68</f>
        <v/>
      </c>
      <c r="CH68" s="3">
        <f>P_ITV*(V68="sí")+P_LIBRO*(W68="sí")+P_CORREA*(X68="sí")+P_PROP*(Y68=1)+P_GAR*(Z68="sí")+P_FOTOS*MIN(1,N(U68)/FOTOS_OBJ)</f>
        <v/>
      </c>
      <c r="CI68" s="3">
        <f>MAX(0,MIN(100,IFERROR(VLOOKUP(BT68,ETQ_TBL,2,0),0)-IF(BU68="sí",ETQ_PEN_DUD,IF(AS68="regla",ETQ_PEN_REGLA,0))))</f>
        <v/>
      </c>
      <c r="CJ68" s="3">
        <f>IF(K68&lt;&gt;"gasolina","",IFERROR(VLOOKUP(F68,CONS_MOD_TBL,2,0),IFERROR(VLOOKUP(L68,CONS_SEG_TBL,2,0),"")))</f>
        <v/>
      </c>
      <c r="CK68" s="3">
        <f>IF(CJ68="",NEUTRO,MAX(0,MIN(100,100*(CONS_REF_MAX-CJ68)/(CONS_REF_MAX-CONS_REF_MIN))))</f>
        <v/>
      </c>
      <c r="CL68" s="3">
        <f>IFERROR(VLOOKUP(L68,SEGURO_TBL,3,0),"")</f>
        <v/>
      </c>
      <c r="CM68" s="3">
        <f>IF(CL68="",NEUTRO,MAX(0,MIN(100,100*(SEG_REF_MAX-CL68)/(SEG_REF_MAX-SEG_REF_MIN))))</f>
        <v/>
      </c>
      <c r="CN68" s="3">
        <f>W_CONS*CK68+W_SEG*CM68</f>
        <v/>
      </c>
      <c r="CO68" s="3">
        <f>IF(N(AB68)&gt;0,AB68,IF(AND(R68="profesional",SG_LEGAL_ON=1),GAR_LEGAL,0))</f>
        <v/>
      </c>
      <c r="CP68" s="3">
        <f>SG_GAR*MIN(1,CO68/SG_GAR_FULL)+SG_AMPL*(AC68="sí")+SG_KMC*(AF68="sí")+SG_REV*(N(AE68)&gt;0)+SG_DEV*MIN(1,N(AG68)/SG_DEV_FULL)+SG_HIST*(W68="sí")</f>
        <v/>
      </c>
      <c r="CQ68" s="3">
        <f>IF(AW68="sí",ESTILO_PRIO,IFERROR(VLOOKUP(L68,ESTILO_TBL,2,0),NEUTRO))</f>
        <v/>
      </c>
      <c r="CR68" s="3">
        <f>IFERROR(VLOOKUP(L68,CARR_PEN_TBL,2,0),0)</f>
        <v/>
      </c>
      <c r="CS68" s="3">
        <f>W_FIAB*CA68+W_PRECIO*CC68+W_KMEDAD*CG68+W_ANUNCIO*CH68+W_USO*CN68+W_SEGURIDAD*CP68+W_ETIQUETA*CI68+W_ESTILO*CQ68-CR68</f>
        <v/>
      </c>
      <c r="CT68" s="4">
        <f>IF(N(I68)&gt;0,I68,IFERROR(ROUND(_xlfn.NUMBERVALUE(LEFT(G68,FIND(" ",G68&amp;" ")-1),".")*1000,0),99999))</f>
        <v/>
      </c>
      <c r="CU68" s="3">
        <f>IF(R68="profesional",0,IF(O68&lt;CUOTA_VALOR_MAX,IF(BE68&gt;ITP_TRAMO_ALTO,SUMIFS(CF_CUOTA,CF_MAS,ITP_TRAMO_ALTO,CF_CCMIN,"&lt;="&amp;CT68,CF_CCMAX,"&gt;="&amp;CT68),IF(BE68&gt;ITP_TRAMO_BAJO,SUMIFS(CF_CUOTA,CF_MAS,ITP_TRAMO_BAJO,CF_CCMIN,"&lt;="&amp;CT68,CF_CCMAX,"&gt;="&amp;CT68),O68*ITP_TIPO)),O68*ITP_TIPO))</f>
        <v/>
      </c>
      <c r="CV68" s="4">
        <f>IF(R68="profesional",N(AK68),0)</f>
        <v/>
      </c>
      <c r="CW68" s="3">
        <f>IF(AND(R68="profesional",ISNUMBER(AK68),AL68="sí"),0,TASA_DGT)</f>
        <v/>
      </c>
      <c r="CX68" s="3">
        <f>INFORME_DGT</f>
        <v/>
      </c>
      <c r="CY68" s="4">
        <f>O68+CV68+CU68+CW68+CX68</f>
        <v/>
      </c>
      <c r="CZ68" s="4">
        <f>CY68+N(CL68)</f>
        <v/>
      </c>
      <c r="DA68" s="3">
        <f>IF(CY68&lt;=TOTAL_MAX,"sí",IF(CY68&lt;=TOTAL_MAX+MARGEN_NEG,"negociar","no"))</f>
        <v/>
      </c>
      <c r="DB68" s="4">
        <f>IF(DA68&lt;&gt;"no",COUNTIFS($DA$2:$DA$130,"&lt;&gt;no",$CS$2:$CS$130,"&gt;"&amp;CS68)+COUNTIFS($DA$2:DA68,"&lt;&gt;no",$CS$2:CS68,CS68),"")</f>
        <v/>
      </c>
    </row>
    <row r="69">
      <c r="A69" s="2" t="inlineStr">
        <is>
          <t>cochesnet:71818180</t>
        </is>
      </c>
      <c r="B69" s="2" t="inlineStr">
        <is>
          <t>cochesnet</t>
        </is>
      </c>
      <c r="C69" s="2" t="inlineStr">
        <is>
          <t>https://www.coches.net/citroen-c-elysee-hdi-90cv-millenium-4p-diesel-2014-en-valencia-71818180-covo.aspx</t>
        </is>
      </c>
      <c r="D69" s="2" t="inlineStr">
        <is>
          <t>CITROEN C-Elysée HDi Millenium</t>
        </is>
      </c>
      <c r="E69" s="2" t="inlineStr">
        <is>
          <t>Citroën</t>
        </is>
      </c>
      <c r="F69" s="2" t="inlineStr">
        <is>
          <t>Citroën C-Elysée</t>
        </is>
      </c>
      <c r="G69" s="2" t="inlineStr">
        <is>
          <t>? HDi</t>
        </is>
      </c>
      <c r="H69" s="2" t="inlineStr">
        <is>
          <t>HDi 90cv Millenium</t>
        </is>
      </c>
      <c r="I69" s="2" t="n"/>
      <c r="J69" s="2" t="n">
        <v>90</v>
      </c>
      <c r="K69" s="2" t="inlineStr">
        <is>
          <t>diesel</t>
        </is>
      </c>
      <c r="L69" s="2" t="inlineStr">
        <is>
          <t>berlina</t>
        </is>
      </c>
      <c r="M69" s="2" t="n">
        <v>2015</v>
      </c>
      <c r="N69" s="2" t="n">
        <v>180000</v>
      </c>
      <c r="O69" s="2" t="n">
        <v>4699</v>
      </c>
      <c r="P69" s="2" t="inlineStr">
        <is>
          <t>manual</t>
        </is>
      </c>
      <c r="Q69" s="2" t="inlineStr">
        <is>
          <t>no</t>
        </is>
      </c>
      <c r="R69" s="2" t="inlineStr">
        <is>
          <t>profesional</t>
        </is>
      </c>
      <c r="S69" s="2" t="inlineStr">
        <is>
          <t>Cars Premium Albal Albal</t>
        </is>
      </c>
      <c r="T69" s="2" t="inlineStr">
        <is>
          <t>2026-10-23T16:33:38Z</t>
        </is>
      </c>
      <c r="U69" s="2" t="n">
        <v>12</v>
      </c>
      <c r="V69" s="2" t="inlineStr">
        <is>
          <t>sí</t>
        </is>
      </c>
      <c r="W69" s="2" t="n"/>
      <c r="X69" s="2" t="n"/>
      <c r="Y69" s="2" t="n"/>
      <c r="Z69" s="2" t="inlineStr">
        <is>
          <t>sí</t>
        </is>
      </c>
      <c r="AA69" s="2" t="n"/>
      <c r="AB69" s="2" t="n">
        <v>12</v>
      </c>
      <c r="AC69" s="2" t="n"/>
      <c r="AD69" s="2" t="n"/>
      <c r="AE69" s="2" t="n"/>
      <c r="AF69" s="2" t="n"/>
      <c r="AG69" s="2" t="n"/>
      <c r="AH69" s="2" t="n">
        <v>4699</v>
      </c>
      <c r="AI69" s="2" t="n">
        <v>4699</v>
      </c>
      <c r="AJ69" s="2" t="n"/>
      <c r="AK69" s="2" t="n"/>
      <c r="AL69" s="2" t="n"/>
      <c r="AM69" s="2" t="n">
        <v>8.699999999999999</v>
      </c>
      <c r="AN69" s="2" t="n"/>
      <c r="AO69" s="2" t="inlineStr">
        <is>
          <t>2015</t>
        </is>
      </c>
      <c r="AP69" s="2" t="n">
        <v>2015</v>
      </c>
      <c r="AQ69" s="2" t="n"/>
      <c r="AR69" s="2" t="inlineStr">
        <is>
          <t>B</t>
        </is>
      </c>
      <c r="AS69" s="2" t="inlineStr">
        <is>
          <t>anuncio</t>
        </is>
      </c>
      <c r="AT69" s="2" t="n">
        <v>2014</v>
      </c>
      <c r="AU69" s="2" t="inlineStr">
        <is>
          <t>no</t>
        </is>
      </c>
      <c r="AV69" s="2" t="inlineStr">
        <is>
          <t>no</t>
        </is>
      </c>
      <c r="AW69" s="2" t="inlineStr">
        <is>
          <t>no</t>
        </is>
      </c>
      <c r="AX69" s="2" t="n">
        <v>5149.5</v>
      </c>
      <c r="AY69" s="2" t="n">
        <v>4</v>
      </c>
      <c r="AZ69" s="2" t="inlineStr">
        <is>
          <t>modelo+año</t>
        </is>
      </c>
      <c r="BA69" s="2" t="n"/>
      <c r="BB69" s="2" t="inlineStr">
        <is>
          <t>año a confirmar: la URL/título dice 2014; vendedor profesional: sin ITP (operación con IVA/REBU, confirmar en factura); gastos de gestión del vendedor no indicados: se suma la tasa DGT; preguntar el precio final; diésel: motor sin fuente de fiabilidad (fiabilidad limitada a neutra); fiabilidad del modelo PENDIENTE de fuente (puntuación neutra)</t>
        </is>
      </c>
      <c r="BC69" s="2" t="inlineStr">
        <is>
          <t>PRECIOSO CITROEN C-ELYSEE AÑO 2015 MOTOR 1.6HDI 92CV DE MUY BUENAS PRESTACIONES Y BAJO CONSUMO CON TAN SOLO 180000 KILOMETROS  VEHICULO TOTALMENTE REVISADO CON 12 MESES DE GARANTIA ITV EN VIGOR OFRECEMOS UNA FINANCIACION  A SU MEDIDA HASTA 48 MESES 
VEHICULO CON MUCHOS EXTRAS: VOLANTE MULTIFUNCION, CONTROL Y LIMITADOR DE VELOCIDAD, CLIMATIZADOR, ORDENADOR ABORDO, AIRBAGS, RDC, CIERRE CENTRALIZADO, RETROVISORES ELECTRICO, LLANTAS DE ALEACION,  ELEVALUNAS ELECTRICAS,,,,, PARA MAS INFORMACION LLAMEN AL 646354408 O VISITEN NUESTRAS INSTALACIONES EN ALBAL VALENCIA AV. PADRE CAELOS FERRIS 87</t>
        </is>
      </c>
      <c r="BD69" s="2" t="inlineStr">
        <is>
          <t>https://www.coches.net/citroen-c-elysee-hdi-90cv-millenium-4p-diesel-2014-en-valencia-71818180-covo.aspx (window.__INITIAL_PROPS__.ad) /home/user/Alopecia/buscador-coches/raw/cochesnet/0b92e55c706342c3.json</t>
        </is>
      </c>
      <c r="BE69" s="3">
        <f>MAX(ANIO_ACTUAL-M69,0)</f>
        <v/>
      </c>
      <c r="BF69" s="4">
        <f>N69/MAX(BE69,0.5)</f>
        <v/>
      </c>
      <c r="BG69" s="4">
        <f>F69</f>
        <v/>
      </c>
      <c r="BH69" s="3">
        <f>BG69&amp;"|"&amp;INT(M69/SEG_ANIO)*SEG_ANIO</f>
        <v/>
      </c>
      <c r="BI69" s="3">
        <f>BH69&amp;"|"&amp;INT(N69/SEG_KM)*SEG_KM</f>
        <v/>
      </c>
      <c r="BJ69" s="4">
        <f>COUNTIF($BG$2:$BG$130,BG69)</f>
        <v/>
      </c>
      <c r="BK69" s="4">
        <f>COUNTIF($BH$2:$BH$130,BH69)</f>
        <v/>
      </c>
      <c r="BL69" s="4">
        <f>COUNTIF($BI$2:$BI$130,BI69)</f>
        <v/>
      </c>
      <c r="BM69" s="3">
        <f t="array" ref="BM69">IF(N(AY69)&gt;=MIN_N,AX69,IF(BL69&gt;=MIN_N,MEDIAN(IF($BI$2:$BI$130=BI69,$O$2:$O$130)),IF(BK69&gt;=MIN_N,MEDIAN(IF($BH$2:$BH$130=BH69,$O$2:$O$130)),MEDIAN(IF($BG$2:$BG$130=BG69,$O$2:$O$130)))))</f>
        <v/>
      </c>
      <c r="BN69" s="3">
        <f>IF(N(AY69)&gt;=MIN_N,"mercado "&amp;AZ69,IF(BL69&gt;=MIN_N,"modelo+año+km",IF(BK69&gt;=MIN_N,"modelo+año","modelo")))</f>
        <v/>
      </c>
      <c r="BO69" s="4">
        <f>(BM69-O69)/BM69</f>
        <v/>
      </c>
      <c r="BP69" s="3">
        <f>IF(COUNTIFS(FR_FUEL,K69,FR_YEAR,AP69)&gt;0,1,0)</f>
        <v/>
      </c>
      <c r="BQ69" s="3">
        <f>IF(COUNTIFS(FR_FUEL,K69,FR_YEAR,AP69-1)&gt;0,1,0)</f>
        <v/>
      </c>
      <c r="BR69" s="4">
        <f>IF(N(AQ69)&gt;0,AP69*100+AQ69,IF(AND(BP69=1,BQ69=1),(AP69-1)*100+1,AP69*100+1))</f>
        <v/>
      </c>
      <c r="BS69" s="3">
        <f>IF(OR(K69="hibrido",K69="glp",K69="gnc",K69="phev"),"ECO",IF(K69="electrico","CERO",IF(K69="gasolina",IF(BR69&gt;=GAS_C_YM,"C",IF(BR69&gt;=GAS_B_YM,"B","A")),IF(K69="diesel",IF(BR69&gt;=DIE_C_YM,"C",IF(BR69&gt;=DIE_B_YM,"B","A")),""))))</f>
        <v/>
      </c>
      <c r="BT69" s="2" t="inlineStr">
        <is>
          <t>B</t>
        </is>
      </c>
      <c r="BU69" s="4">
        <f>IF(AU69="sí","sí",IF(AS69="regla",IF(AND(N(AQ69)=0,BP69=1),"sí","no"),"no"))</f>
        <v/>
      </c>
      <c r="BV69" s="3">
        <f>IFERROR(VLOOKUP(F69,MOD_TBL,16,0),IFERROR(VLOOKUP(E69,OCU_TBL,2,0),NEUTRO))</f>
        <v/>
      </c>
      <c r="BW69" s="3">
        <f>SUMIFS(MOT_AJUSTE,MOT_MOTOR,G69,MOT_MARCA,E69,MOT_DESDE,"&lt;="&amp;M69,MOT_HASTA,"&gt;="&amp;M69)+SUMIFS(MOT_AJUSTE,MOT_MOTOR,G69,MOT_MARCA,"(todas)",MOT_DESDE,"&lt;="&amp;M69,MOT_HASTA,"&gt;="&amp;M69)+SUMIFS(MOT_AJUSTE,MOT_MOTOR,"(cualquiera)",MOT_MARCA,E69,MOT_DESDE,"&lt;="&amp;M69,MOT_HASTA,"&gt;="&amp;M69)</f>
        <v/>
      </c>
      <c r="BX69" s="3">
        <f>SUMIFS(COMB_AJUSTE,COMB_COMB,K69)</f>
        <v/>
      </c>
      <c r="BY69" s="3">
        <f>COUNTIFS(MOT_MOTOR,G69,MOT_MARCA,E69,MOT_DESDE,"&lt;="&amp;M69,MOT_HASTA,"&gt;="&amp;M69)+COUNTIFS(MOT_MOTOR,G69,MOT_MARCA,"(todas)",MOT_DESDE,"&lt;="&amp;M69,MOT_HASTA,"&gt;="&amp;M69)+COUNTIFS(MOT_MOTOR,"(cualquiera)",MOT_MARCA,E69,MOT_DESDE,"&lt;="&amp;M69,MOT_HASTA,"&gt;="&amp;M69)</f>
        <v/>
      </c>
      <c r="BZ69" s="3">
        <f>IF(AND(K69="diesel",BY69=0),MIN(BV69,NEUTRO),BV69)</f>
        <v/>
      </c>
      <c r="CA69" s="3">
        <f>MAX(0,MIN(100,BZ69+BW69+BX69-IF(AV69="sí",ROB_PEN,0)))</f>
        <v/>
      </c>
      <c r="CB69" s="3">
        <f>100-MAX(0,N69-KM_TOPE_DESDE)/1000*KM_TOPE_PTS</f>
        <v/>
      </c>
      <c r="CC69" s="3">
        <f>MAX(0,MIN(100,50+BO69*PRECIO_PEND,CB69))</f>
        <v/>
      </c>
      <c r="CD69" s="3">
        <f>MAX(0,100*(1-N69/KM_MAX))</f>
        <v/>
      </c>
      <c r="CE69" s="3">
        <f>IF(BF69&lt;KMA_SOSP,IF(AA69="sí",100,KMA_PEN),IF(BF69&lt;=KMA_IDEAL_MAX,100,MAX(0,100*(KMA_CERO-BF69)/(KMA_CERO-KMA_IDEAL_MAX))))</f>
        <v/>
      </c>
      <c r="CF69" s="3">
        <f>MAX(0,MIN(100,100*(M69-ANIO_MIN)/(ANIO_ACTUAL-ANIO_MIN)))</f>
        <v/>
      </c>
      <c r="CG69" s="3">
        <f>W_KMT*CD69+W_KMA*CE69+W_EDAD*CF69</f>
        <v/>
      </c>
      <c r="CH69" s="3">
        <f>P_ITV*(V69="sí")+P_LIBRO*(W69="sí")+P_CORREA*(X69="sí")+P_PROP*(Y69=1)+P_GAR*(Z69="sí")+P_FOTOS*MIN(1,N(U69)/FOTOS_OBJ)</f>
        <v/>
      </c>
      <c r="CI69" s="3">
        <f>MAX(0,MIN(100,IFERROR(VLOOKUP(BT69,ETQ_TBL,2,0),0)-IF(BU69="sí",ETQ_PEN_DUD,IF(AS69="regla",ETQ_PEN_REGLA,0))))</f>
        <v/>
      </c>
      <c r="CJ69" s="3">
        <f>IF(K69&lt;&gt;"gasolina","",IFERROR(VLOOKUP(F69,CONS_MOD_TBL,2,0),IFERROR(VLOOKUP(L69,CONS_SEG_TBL,2,0),"")))</f>
        <v/>
      </c>
      <c r="CK69" s="3">
        <f>IF(CJ69="",NEUTRO,MAX(0,MIN(100,100*(CONS_REF_MAX-CJ69)/(CONS_REF_MAX-CONS_REF_MIN))))</f>
        <v/>
      </c>
      <c r="CL69" s="3">
        <f>IFERROR(VLOOKUP(L69,SEGURO_TBL,3,0),"")</f>
        <v/>
      </c>
      <c r="CM69" s="3">
        <f>IF(CL69="",NEUTRO,MAX(0,MIN(100,100*(SEG_REF_MAX-CL69)/(SEG_REF_MAX-SEG_REF_MIN))))</f>
        <v/>
      </c>
      <c r="CN69" s="3">
        <f>W_CONS*CK69+W_SEG*CM69</f>
        <v/>
      </c>
      <c r="CO69" s="3">
        <f>IF(N(AB69)&gt;0,AB69,IF(AND(R69="profesional",SG_LEGAL_ON=1),GAR_LEGAL,0))</f>
        <v/>
      </c>
      <c r="CP69" s="3">
        <f>SG_GAR*MIN(1,CO69/SG_GAR_FULL)+SG_AMPL*(AC69="sí")+SG_KMC*(AF69="sí")+SG_REV*(N(AE69)&gt;0)+SG_DEV*MIN(1,N(AG69)/SG_DEV_FULL)+SG_HIST*(W69="sí")</f>
        <v/>
      </c>
      <c r="CQ69" s="3">
        <f>IF(AW69="sí",ESTILO_PRIO,IFERROR(VLOOKUP(L69,ESTILO_TBL,2,0),NEUTRO))</f>
        <v/>
      </c>
      <c r="CR69" s="3">
        <f>IFERROR(VLOOKUP(L69,CARR_PEN_TBL,2,0),0)</f>
        <v/>
      </c>
      <c r="CS69" s="3">
        <f>W_FIAB*CA69+W_PRECIO*CC69+W_KMEDAD*CG69+W_ANUNCIO*CH69+W_USO*CN69+W_SEGURIDAD*CP69+W_ETIQUETA*CI69+W_ESTILO*CQ69-CR69</f>
        <v/>
      </c>
      <c r="CT69" s="4">
        <f>IF(N(I69)&gt;0,I69,IFERROR(ROUND(_xlfn.NUMBERVALUE(LEFT(G69,FIND(" ",G69&amp;" ")-1),".")*1000,0),99999))</f>
        <v/>
      </c>
      <c r="CU69" s="3">
        <f>IF(R69="profesional",0,IF(O69&lt;CUOTA_VALOR_MAX,IF(BE69&gt;ITP_TRAMO_ALTO,SUMIFS(CF_CUOTA,CF_MAS,ITP_TRAMO_ALTO,CF_CCMIN,"&lt;="&amp;CT69,CF_CCMAX,"&gt;="&amp;CT69),IF(BE69&gt;ITP_TRAMO_BAJO,SUMIFS(CF_CUOTA,CF_MAS,ITP_TRAMO_BAJO,CF_CCMIN,"&lt;="&amp;CT69,CF_CCMAX,"&gt;="&amp;CT69),O69*ITP_TIPO)),O69*ITP_TIPO))</f>
        <v/>
      </c>
      <c r="CV69" s="4">
        <f>IF(R69="profesional",N(AK69),0)</f>
        <v/>
      </c>
      <c r="CW69" s="3">
        <f>IF(AND(R69="profesional",ISNUMBER(AK69),AL69="sí"),0,TASA_DGT)</f>
        <v/>
      </c>
      <c r="CX69" s="3">
        <f>INFORME_DGT</f>
        <v/>
      </c>
      <c r="CY69" s="4">
        <f>O69+CV69+CU69+CW69+CX69</f>
        <v/>
      </c>
      <c r="CZ69" s="4">
        <f>CY69+N(CL69)</f>
        <v/>
      </c>
      <c r="DA69" s="3">
        <f>IF(CY69&lt;=TOTAL_MAX,"sí",IF(CY69&lt;=TOTAL_MAX+MARGEN_NEG,"negociar","no"))</f>
        <v/>
      </c>
      <c r="DB69" s="4">
        <f>IF(DA69&lt;&gt;"no",COUNTIFS($DA$2:$DA$130,"&lt;&gt;no",$CS$2:$CS$130,"&gt;"&amp;CS69)+COUNTIFS($DA$2:DA69,"&lt;&gt;no",$CS$2:CS69,CS69),"")</f>
        <v/>
      </c>
    </row>
    <row r="70">
      <c r="A70" s="2" t="inlineStr">
        <is>
          <t>cochesnet:71618923</t>
        </is>
      </c>
      <c r="B70" s="2" t="inlineStr">
        <is>
          <t>cochesnet</t>
        </is>
      </c>
      <c r="C70" s="2" t="inlineStr">
        <is>
          <t>https://www.coches.net/ford-fiesta-14-tdci-trend-5p-diesel-2010-en-valencia-71618923-covo.aspx</t>
        </is>
      </c>
      <c r="D70" s="2" t="inlineStr">
        <is>
          <t>FORD Fiesta 1.4 TDCi Trend</t>
        </is>
      </c>
      <c r="E70" s="2" t="inlineStr">
        <is>
          <t>Ford</t>
        </is>
      </c>
      <c r="F70" s="2" t="inlineStr">
        <is>
          <t>Ford Fiesta</t>
        </is>
      </c>
      <c r="G70" s="2" t="inlineStr">
        <is>
          <t>1.4 TDCi</t>
        </is>
      </c>
      <c r="H70" s="2" t="inlineStr">
        <is>
          <t>1.4 TDCi Trend</t>
        </is>
      </c>
      <c r="I70" s="2" t="n"/>
      <c r="J70" s="2" t="n"/>
      <c r="K70" s="2" t="inlineStr">
        <is>
          <t>diesel</t>
        </is>
      </c>
      <c r="L70" s="2" t="inlineStr">
        <is>
          <t>utilitario</t>
        </is>
      </c>
      <c r="M70" s="2" t="n">
        <v>2010</v>
      </c>
      <c r="N70" s="2" t="n">
        <v>160000</v>
      </c>
      <c r="O70" s="2" t="n">
        <v>4990</v>
      </c>
      <c r="P70" s="2" t="inlineStr">
        <is>
          <t>manual</t>
        </is>
      </c>
      <c r="Q70" s="2" t="inlineStr">
        <is>
          <t>no</t>
        </is>
      </c>
      <c r="R70" s="2" t="inlineStr">
        <is>
          <t>profesional</t>
        </is>
      </c>
      <c r="S70" s="2" t="inlineStr">
        <is>
          <t>San Antonio de Benagéber</t>
        </is>
      </c>
      <c r="T70" s="2" t="inlineStr">
        <is>
          <t>2026-09-28T20:14:06Z</t>
        </is>
      </c>
      <c r="U70" s="2" t="n">
        <v>18</v>
      </c>
      <c r="V70" s="2" t="n"/>
      <c r="W70" s="2" t="n"/>
      <c r="X70" s="2" t="n"/>
      <c r="Y70" s="2" t="n">
        <v>1</v>
      </c>
      <c r="Z70" s="2" t="inlineStr">
        <is>
          <t>sí</t>
        </is>
      </c>
      <c r="AA70" s="2" t="n"/>
      <c r="AB70" s="2" t="n">
        <v>12</v>
      </c>
      <c r="AC70" s="2" t="n"/>
      <c r="AD70" s="2" t="n"/>
      <c r="AE70" s="2" t="n"/>
      <c r="AF70" s="2" t="inlineStr">
        <is>
          <t>sí</t>
        </is>
      </c>
      <c r="AG70" s="2" t="n"/>
      <c r="AH70" s="2" t="n">
        <v>4990</v>
      </c>
      <c r="AI70" s="2" t="n">
        <v>4990</v>
      </c>
      <c r="AJ70" s="2" t="n"/>
      <c r="AK70" s="2" t="n"/>
      <c r="AL70" s="2" t="n"/>
      <c r="AM70" s="2" t="n">
        <v>19.1</v>
      </c>
      <c r="AN70" s="2" t="n"/>
      <c r="AO70" s="2" t="inlineStr">
        <is>
          <t>2010</t>
        </is>
      </c>
      <c r="AP70" s="2" t="n">
        <v>2010</v>
      </c>
      <c r="AQ70" s="2" t="n"/>
      <c r="AR70" s="2" t="inlineStr">
        <is>
          <t>B</t>
        </is>
      </c>
      <c r="AS70" s="2" t="inlineStr">
        <is>
          <t>anuncio</t>
        </is>
      </c>
      <c r="AT70" s="2" t="n"/>
      <c r="AU70" s="2" t="inlineStr">
        <is>
          <t>no</t>
        </is>
      </c>
      <c r="AV70" s="2" t="inlineStr">
        <is>
          <t>no</t>
        </is>
      </c>
      <c r="AW70" s="2" t="inlineStr">
        <is>
          <t>no</t>
        </is>
      </c>
      <c r="AX70" s="2" t="n">
        <v>4490</v>
      </c>
      <c r="AY70" s="2" t="n">
        <v>19</v>
      </c>
      <c r="AZ70" s="2" t="inlineStr">
        <is>
          <t>modelo+año+km</t>
        </is>
      </c>
      <c r="BA70" s="2" t="n"/>
      <c r="BB70"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 revisar: no menciona la ITV</t>
        </is>
      </c>
      <c r="BC70" s="2" t="inlineStr">
        <is>
          <t>CITA PREVIA
(GARANTIA EN TALLER OFICIAL OPCIONAL)
VEHÍCULO NACIONAL
ÚNICO PROPIETARIO
ASIENTOS DEPORTIVOS TELA
SENSORES DE APARCAMIENTO 
CONTROL POR VOZ
ORDENADOR DE ABORDO
SENSOR DE LUZ Y LLUVIA
BLUETOOTH, AUX, USB...
VOLANTE MULTIFUNCIÓN 
CLIMATIZADOR
ASISTENTES A LA CONDUCCIÓN
ACTUALMENTE 163.000KM
..............
POSIBILIDAD DE TRANSPORTAR A CULAQUIER PARTE DE ESPAÑA(CONSULTAR PRECIOS)
KILOMETROS CERTIFICADOS
CAMBIO DE TITULARIDAD 190€
Este anuncio no es vinculante, se muestra a titulo informativo y no contractual.</t>
        </is>
      </c>
      <c r="BD70" s="2" t="inlineStr">
        <is>
          <t>https://www.coches.net/ford-fiesta-14-tdci-trend-5p-diesel-2010-en-valencia-71618923-covo.aspx (window.__INITIAL_PROPS__.ad) /home/user/Alopecia/buscador-coches/raw/cochesnet/feda380071489907.json</t>
        </is>
      </c>
      <c r="BE70" s="3">
        <f>MAX(ANIO_ACTUAL-M70,0)</f>
        <v/>
      </c>
      <c r="BF70" s="4">
        <f>N70/MAX(BE70,0.5)</f>
        <v/>
      </c>
      <c r="BG70" s="4">
        <f>F70</f>
        <v/>
      </c>
      <c r="BH70" s="3">
        <f>BG70&amp;"|"&amp;INT(M70/SEG_ANIO)*SEG_ANIO</f>
        <v/>
      </c>
      <c r="BI70" s="3">
        <f>BH70&amp;"|"&amp;INT(N70/SEG_KM)*SEG_KM</f>
        <v/>
      </c>
      <c r="BJ70" s="4">
        <f>COUNTIF($BG$2:$BG$130,BG70)</f>
        <v/>
      </c>
      <c r="BK70" s="4">
        <f>COUNTIF($BH$2:$BH$130,BH70)</f>
        <v/>
      </c>
      <c r="BL70" s="4">
        <f>COUNTIF($BI$2:$BI$130,BI70)</f>
        <v/>
      </c>
      <c r="BM70" s="3">
        <f t="array" ref="BM70">IF(N(AY70)&gt;=MIN_N,AX70,IF(BL70&gt;=MIN_N,MEDIAN(IF($BI$2:$BI$130=BI70,$O$2:$O$130)),IF(BK70&gt;=MIN_N,MEDIAN(IF($BH$2:$BH$130=BH70,$O$2:$O$130)),MEDIAN(IF($BG$2:$BG$130=BG70,$O$2:$O$130)))))</f>
        <v/>
      </c>
      <c r="BN70" s="3">
        <f>IF(N(AY70)&gt;=MIN_N,"mercado "&amp;AZ70,IF(BL70&gt;=MIN_N,"modelo+año+km",IF(BK70&gt;=MIN_N,"modelo+año","modelo")))</f>
        <v/>
      </c>
      <c r="BO70" s="4">
        <f>(BM70-O70)/BM70</f>
        <v/>
      </c>
      <c r="BP70" s="3">
        <f>IF(COUNTIFS(FR_FUEL,K70,FR_YEAR,AP70)&gt;0,1,0)</f>
        <v/>
      </c>
      <c r="BQ70" s="3">
        <f>IF(COUNTIFS(FR_FUEL,K70,FR_YEAR,AP70-1)&gt;0,1,0)</f>
        <v/>
      </c>
      <c r="BR70" s="4">
        <f>IF(N(AQ70)&gt;0,AP70*100+AQ70,IF(AND(BP70=1,BQ70=1),(AP70-1)*100+1,AP70*100+1))</f>
        <v/>
      </c>
      <c r="BS70" s="3">
        <f>IF(OR(K70="hibrido",K70="glp",K70="gnc",K70="phev"),"ECO",IF(K70="electrico","CERO",IF(K70="gasolina",IF(BR70&gt;=GAS_C_YM,"C",IF(BR70&gt;=GAS_B_YM,"B","A")),IF(K70="diesel",IF(BR70&gt;=DIE_C_YM,"C",IF(BR70&gt;=DIE_B_YM,"B","A")),""))))</f>
        <v/>
      </c>
      <c r="BT70" s="2" t="inlineStr">
        <is>
          <t>B</t>
        </is>
      </c>
      <c r="BU70" s="4">
        <f>IF(AU70="sí","sí",IF(AS70="regla",IF(AND(N(AQ70)=0,BP70=1),"sí","no"),"no"))</f>
        <v/>
      </c>
      <c r="BV70" s="3">
        <f>IFERROR(VLOOKUP(F70,MOD_TBL,16,0),IFERROR(VLOOKUP(E70,OCU_TBL,2,0),NEUTRO))</f>
        <v/>
      </c>
      <c r="BW70" s="3">
        <f>SUMIFS(MOT_AJUSTE,MOT_MOTOR,G70,MOT_MARCA,E70,MOT_DESDE,"&lt;="&amp;M70,MOT_HASTA,"&gt;="&amp;M70)+SUMIFS(MOT_AJUSTE,MOT_MOTOR,G70,MOT_MARCA,"(todas)",MOT_DESDE,"&lt;="&amp;M70,MOT_HASTA,"&gt;="&amp;M70)+SUMIFS(MOT_AJUSTE,MOT_MOTOR,"(cualquiera)",MOT_MARCA,E70,MOT_DESDE,"&lt;="&amp;M70,MOT_HASTA,"&gt;="&amp;M70)</f>
        <v/>
      </c>
      <c r="BX70" s="3">
        <f>SUMIFS(COMB_AJUSTE,COMB_COMB,K70)</f>
        <v/>
      </c>
      <c r="BY70" s="3">
        <f>COUNTIFS(MOT_MOTOR,G70,MOT_MARCA,E70,MOT_DESDE,"&lt;="&amp;M70,MOT_HASTA,"&gt;="&amp;M70)+COUNTIFS(MOT_MOTOR,G70,MOT_MARCA,"(todas)",MOT_DESDE,"&lt;="&amp;M70,MOT_HASTA,"&gt;="&amp;M70)+COUNTIFS(MOT_MOTOR,"(cualquiera)",MOT_MARCA,E70,MOT_DESDE,"&lt;="&amp;M70,MOT_HASTA,"&gt;="&amp;M70)</f>
        <v/>
      </c>
      <c r="BZ70" s="3">
        <f>IF(AND(K70="diesel",BY70=0),MIN(BV70,NEUTRO),BV70)</f>
        <v/>
      </c>
      <c r="CA70" s="3">
        <f>MAX(0,MIN(100,BZ70+BW70+BX70-IF(AV70="sí",ROB_PEN,0)))</f>
        <v/>
      </c>
      <c r="CB70" s="3">
        <f>100-MAX(0,N70-KM_TOPE_DESDE)/1000*KM_TOPE_PTS</f>
        <v/>
      </c>
      <c r="CC70" s="3">
        <f>MAX(0,MIN(100,50+BO70*PRECIO_PEND,CB70))</f>
        <v/>
      </c>
      <c r="CD70" s="3">
        <f>MAX(0,100*(1-N70/KM_MAX))</f>
        <v/>
      </c>
      <c r="CE70" s="3">
        <f>IF(BF70&lt;KMA_SOSP,IF(AA70="sí",100,KMA_PEN),IF(BF70&lt;=KMA_IDEAL_MAX,100,MAX(0,100*(KMA_CERO-BF70)/(KMA_CERO-KMA_IDEAL_MAX))))</f>
        <v/>
      </c>
      <c r="CF70" s="3">
        <f>MAX(0,MIN(100,100*(M70-ANIO_MIN)/(ANIO_ACTUAL-ANIO_MIN)))</f>
        <v/>
      </c>
      <c r="CG70" s="3">
        <f>W_KMT*CD70+W_KMA*CE70+W_EDAD*CF70</f>
        <v/>
      </c>
      <c r="CH70" s="3">
        <f>P_ITV*(V70="sí")+P_LIBRO*(W70="sí")+P_CORREA*(X70="sí")+P_PROP*(Y70=1)+P_GAR*(Z70="sí")+P_FOTOS*MIN(1,N(U70)/FOTOS_OBJ)</f>
        <v/>
      </c>
      <c r="CI70" s="3">
        <f>MAX(0,MIN(100,IFERROR(VLOOKUP(BT70,ETQ_TBL,2,0),0)-IF(BU70="sí",ETQ_PEN_DUD,IF(AS70="regla",ETQ_PEN_REGLA,0))))</f>
        <v/>
      </c>
      <c r="CJ70" s="3">
        <f>IF(K70&lt;&gt;"gasolina","",IFERROR(VLOOKUP(F70,CONS_MOD_TBL,2,0),IFERROR(VLOOKUP(L70,CONS_SEG_TBL,2,0),"")))</f>
        <v/>
      </c>
      <c r="CK70" s="3">
        <f>IF(CJ70="",NEUTRO,MAX(0,MIN(100,100*(CONS_REF_MAX-CJ70)/(CONS_REF_MAX-CONS_REF_MIN))))</f>
        <v/>
      </c>
      <c r="CL70" s="3">
        <f>IFERROR(VLOOKUP(L70,SEGURO_TBL,3,0),"")</f>
        <v/>
      </c>
      <c r="CM70" s="3">
        <f>IF(CL70="",NEUTRO,MAX(0,MIN(100,100*(SEG_REF_MAX-CL70)/(SEG_REF_MAX-SEG_REF_MIN))))</f>
        <v/>
      </c>
      <c r="CN70" s="3">
        <f>W_CONS*CK70+W_SEG*CM70</f>
        <v/>
      </c>
      <c r="CO70" s="3">
        <f>IF(N(AB70)&gt;0,AB70,IF(AND(R70="profesional",SG_LEGAL_ON=1),GAR_LEGAL,0))</f>
        <v/>
      </c>
      <c r="CP70" s="3">
        <f>SG_GAR*MIN(1,CO70/SG_GAR_FULL)+SG_AMPL*(AC70="sí")+SG_KMC*(AF70="sí")+SG_REV*(N(AE70)&gt;0)+SG_DEV*MIN(1,N(AG70)/SG_DEV_FULL)+SG_HIST*(W70="sí")</f>
        <v/>
      </c>
      <c r="CQ70" s="3">
        <f>IF(AW70="sí",ESTILO_PRIO,IFERROR(VLOOKUP(L70,ESTILO_TBL,2,0),NEUTRO))</f>
        <v/>
      </c>
      <c r="CR70" s="3">
        <f>IFERROR(VLOOKUP(L70,CARR_PEN_TBL,2,0),0)</f>
        <v/>
      </c>
      <c r="CS70" s="3">
        <f>W_FIAB*CA70+W_PRECIO*CC70+W_KMEDAD*CG70+W_ANUNCIO*CH70+W_USO*CN70+W_SEGURIDAD*CP70+W_ETIQUETA*CI70+W_ESTILO*CQ70-CR70</f>
        <v/>
      </c>
      <c r="CT70" s="4">
        <f>IF(N(I70)&gt;0,I70,IFERROR(ROUND(_xlfn.NUMBERVALUE(LEFT(G70,FIND(" ",G70&amp;" ")-1),".")*1000,0),99999))</f>
        <v/>
      </c>
      <c r="CU70" s="3">
        <f>IF(R70="profesional",0,IF(O70&lt;CUOTA_VALOR_MAX,IF(BE70&gt;ITP_TRAMO_ALTO,SUMIFS(CF_CUOTA,CF_MAS,ITP_TRAMO_ALTO,CF_CCMIN,"&lt;="&amp;CT70,CF_CCMAX,"&gt;="&amp;CT70),IF(BE70&gt;ITP_TRAMO_BAJO,SUMIFS(CF_CUOTA,CF_MAS,ITP_TRAMO_BAJO,CF_CCMIN,"&lt;="&amp;CT70,CF_CCMAX,"&gt;="&amp;CT70),O70*ITP_TIPO)),O70*ITP_TIPO))</f>
        <v/>
      </c>
      <c r="CV70" s="4">
        <f>IF(R70="profesional",N(AK70),0)</f>
        <v/>
      </c>
      <c r="CW70" s="3">
        <f>IF(AND(R70="profesional",ISNUMBER(AK70),AL70="sí"),0,TASA_DGT)</f>
        <v/>
      </c>
      <c r="CX70" s="3">
        <f>INFORME_DGT</f>
        <v/>
      </c>
      <c r="CY70" s="4">
        <f>O70+CV70+CU70+CW70+CX70</f>
        <v/>
      </c>
      <c r="CZ70" s="4">
        <f>CY70+N(CL70)</f>
        <v/>
      </c>
      <c r="DA70" s="3">
        <f>IF(CY70&lt;=TOTAL_MAX,"sí",IF(CY70&lt;=TOTAL_MAX+MARGEN_NEG,"negociar","no"))</f>
        <v/>
      </c>
      <c r="DB70" s="4">
        <f>IF(DA70&lt;&gt;"no",COUNTIFS($DA$2:$DA$130,"&lt;&gt;no",$CS$2:$CS$130,"&gt;"&amp;CS70)+COUNTIFS($DA$2:DA70,"&lt;&gt;no",$CS$2:CS70,CS70),"")</f>
        <v/>
      </c>
    </row>
    <row r="71">
      <c r="A71" s="2" t="inlineStr">
        <is>
          <t>cochesnet:71863788</t>
        </is>
      </c>
      <c r="B71" s="2" t="inlineStr">
        <is>
          <t>cochesnet</t>
        </is>
      </c>
      <c r="C71" s="2" t="inlineStr">
        <is>
          <t>https://www.coches.net/ford-focus-18-tdci-trend-5p-diesel-2007-en-valencia-71863788-covo.aspx</t>
        </is>
      </c>
      <c r="D71" s="2" t="inlineStr">
        <is>
          <t>FORD Focus 1.8 TDCi Trend</t>
        </is>
      </c>
      <c r="E71" s="2" t="inlineStr">
        <is>
          <t>Ford</t>
        </is>
      </c>
      <c r="F71" s="2" t="inlineStr">
        <is>
          <t>Ford Focus</t>
        </is>
      </c>
      <c r="G71" s="2" t="inlineStr">
        <is>
          <t>1.8 TDCi</t>
        </is>
      </c>
      <c r="H71" s="2" t="inlineStr">
        <is>
          <t>1.8 TDCi Trend</t>
        </is>
      </c>
      <c r="I71" s="2" t="n"/>
      <c r="J71" s="2" t="n"/>
      <c r="K71" s="2" t="inlineStr">
        <is>
          <t>diesel</t>
        </is>
      </c>
      <c r="L71" s="2" t="inlineStr">
        <is>
          <t>compacto</t>
        </is>
      </c>
      <c r="M71" s="2" t="n">
        <v>2007</v>
      </c>
      <c r="N71" s="2" t="n">
        <v>151000</v>
      </c>
      <c r="O71" s="2" t="n">
        <v>3750</v>
      </c>
      <c r="P71" s="2" t="inlineStr">
        <is>
          <t>manual</t>
        </is>
      </c>
      <c r="Q71" s="2" t="inlineStr">
        <is>
          <t>no</t>
        </is>
      </c>
      <c r="R71" s="2" t="inlineStr">
        <is>
          <t>profesional</t>
        </is>
      </c>
      <c r="S71" s="2" t="inlineStr">
        <is>
          <t>Beniparrell</t>
        </is>
      </c>
      <c r="T71" s="2" t="inlineStr">
        <is>
          <t>2026-10-29T17:13:19Z</t>
        </is>
      </c>
      <c r="U71" s="2" t="n">
        <v>13</v>
      </c>
      <c r="V71" s="2" t="n"/>
      <c r="W71" s="2" t="n"/>
      <c r="X71" s="2" t="n"/>
      <c r="Y71" s="2" t="n"/>
      <c r="Z71" s="2" t="inlineStr">
        <is>
          <t>sí</t>
        </is>
      </c>
      <c r="AA71" s="2" t="n"/>
      <c r="AB71" s="2" t="n">
        <v>12</v>
      </c>
      <c r="AC71" s="2" t="n"/>
      <c r="AD71" s="2" t="n"/>
      <c r="AE71" s="2" t="n"/>
      <c r="AF71" s="2" t="n"/>
      <c r="AG71" s="2" t="n"/>
      <c r="AH71" s="2" t="n">
        <v>3750</v>
      </c>
      <c r="AI71" s="2" t="n"/>
      <c r="AJ71" s="2" t="n"/>
      <c r="AK71" s="2" t="n"/>
      <c r="AL71" s="2" t="n"/>
      <c r="AM71" s="2" t="n">
        <v>10.2</v>
      </c>
      <c r="AN71" s="2" t="n"/>
      <c r="AO71" s="2" t="inlineStr">
        <is>
          <t>2007</t>
        </is>
      </c>
      <c r="AP71" s="2" t="n">
        <v>2007</v>
      </c>
      <c r="AQ71" s="2" t="n"/>
      <c r="AR71" s="2" t="inlineStr">
        <is>
          <t>B</t>
        </is>
      </c>
      <c r="AS71" s="2" t="inlineStr">
        <is>
          <t>anuncio</t>
        </is>
      </c>
      <c r="AT71" s="2" t="n"/>
      <c r="AU71" s="2" t="inlineStr">
        <is>
          <t>no</t>
        </is>
      </c>
      <c r="AV71" s="2" t="inlineStr">
        <is>
          <t>no</t>
        </is>
      </c>
      <c r="AW71" s="2" t="inlineStr">
        <is>
          <t>no</t>
        </is>
      </c>
      <c r="AX71" s="2" t="n">
        <v>3870</v>
      </c>
      <c r="AY71" s="2" t="n">
        <v>10</v>
      </c>
      <c r="AZ71" s="2" t="inlineStr">
        <is>
          <t>modelo+año+km</t>
        </is>
      </c>
      <c r="BA71" s="2" t="n"/>
      <c r="BB71" s="2" t="inlineStr">
        <is>
          <t>vendedor profesional: sin ITP (operación con IVA/REBU, confirmar en factura); gastos de gestión del vendedor no indicados: se suma la tasa DGT; preguntar el precio final; diésel: motor sin fuente de fiabilidad (fiabilidad limitada a neutra); revisar: no menciona la ITV</t>
        </is>
      </c>
      <c r="BC71" s="2" t="inlineStr">
        <is>
          <t>Este Focus destaca por su equipo de audio con reproductor de CD, RDS y mando en el volante, además de apertura del maletero a distancia. Incorpora climatización con filtro de partículas y carbón activo, faros antiniebla delanteros y cristales tintados en toda la cabina. Equipa también cierre centralizado con mando a distancia, elevalunas eléctricos delanteros y ordenador de viaje.GARANTÍA 12 meses (cobertura de 25 componentes del vehículo )cobertura de reparación hasta 2.000e en cualquier taller)</t>
        </is>
      </c>
      <c r="BD71" s="2" t="inlineStr">
        <is>
          <t>https://www.coches.net/ford-focus-18-tdci-trend-5p-diesel-2007-en-valencia-71863788-covo.aspx (window.__INITIAL_PROPS__.ad) /home/user/Alopecia/buscador-coches/raw/cochesnet/b2ca64512f7ef089.json</t>
        </is>
      </c>
      <c r="BE71" s="3">
        <f>MAX(ANIO_ACTUAL-M71,0)</f>
        <v/>
      </c>
      <c r="BF71" s="4">
        <f>N71/MAX(BE71,0.5)</f>
        <v/>
      </c>
      <c r="BG71" s="4">
        <f>F71</f>
        <v/>
      </c>
      <c r="BH71" s="3">
        <f>BG71&amp;"|"&amp;INT(M71/SEG_ANIO)*SEG_ANIO</f>
        <v/>
      </c>
      <c r="BI71" s="3">
        <f>BH71&amp;"|"&amp;INT(N71/SEG_KM)*SEG_KM</f>
        <v/>
      </c>
      <c r="BJ71" s="4">
        <f>COUNTIF($BG$2:$BG$130,BG71)</f>
        <v/>
      </c>
      <c r="BK71" s="4">
        <f>COUNTIF($BH$2:$BH$130,BH71)</f>
        <v/>
      </c>
      <c r="BL71" s="4">
        <f>COUNTIF($BI$2:$BI$130,BI71)</f>
        <v/>
      </c>
      <c r="BM71" s="3">
        <f t="array" ref="BM71">IF(N(AY71)&gt;=MIN_N,AX71,IF(BL71&gt;=MIN_N,MEDIAN(IF($BI$2:$BI$130=BI71,$O$2:$O$130)),IF(BK71&gt;=MIN_N,MEDIAN(IF($BH$2:$BH$130=BH71,$O$2:$O$130)),MEDIAN(IF($BG$2:$BG$130=BG71,$O$2:$O$130)))))</f>
        <v/>
      </c>
      <c r="BN71" s="3">
        <f>IF(N(AY71)&gt;=MIN_N,"mercado "&amp;AZ71,IF(BL71&gt;=MIN_N,"modelo+año+km",IF(BK71&gt;=MIN_N,"modelo+año","modelo")))</f>
        <v/>
      </c>
      <c r="BO71" s="4">
        <f>(BM71-O71)/BM71</f>
        <v/>
      </c>
      <c r="BP71" s="3">
        <f>IF(COUNTIFS(FR_FUEL,K71,FR_YEAR,AP71)&gt;0,1,0)</f>
        <v/>
      </c>
      <c r="BQ71" s="3">
        <f>IF(COUNTIFS(FR_FUEL,K71,FR_YEAR,AP71-1)&gt;0,1,0)</f>
        <v/>
      </c>
      <c r="BR71" s="4">
        <f>IF(N(AQ71)&gt;0,AP71*100+AQ71,IF(AND(BP71=1,BQ71=1),(AP71-1)*100+1,AP71*100+1))</f>
        <v/>
      </c>
      <c r="BS71" s="3">
        <f>IF(OR(K71="hibrido",K71="glp",K71="gnc",K71="phev"),"ECO",IF(K71="electrico","CERO",IF(K71="gasolina",IF(BR71&gt;=GAS_C_YM,"C",IF(BR71&gt;=GAS_B_YM,"B","A")),IF(K71="diesel",IF(BR71&gt;=DIE_C_YM,"C",IF(BR71&gt;=DIE_B_YM,"B","A")),""))))</f>
        <v/>
      </c>
      <c r="BT71" s="2" t="inlineStr">
        <is>
          <t>B</t>
        </is>
      </c>
      <c r="BU71" s="4">
        <f>IF(AU71="sí","sí",IF(AS71="regla",IF(AND(N(AQ71)=0,BP71=1),"sí","no"),"no"))</f>
        <v/>
      </c>
      <c r="BV71" s="3">
        <f>IFERROR(VLOOKUP(F71,MOD_TBL,16,0),IFERROR(VLOOKUP(E71,OCU_TBL,2,0),NEUTRO))</f>
        <v/>
      </c>
      <c r="BW71" s="3">
        <f>SUMIFS(MOT_AJUSTE,MOT_MOTOR,G71,MOT_MARCA,E71,MOT_DESDE,"&lt;="&amp;M71,MOT_HASTA,"&gt;="&amp;M71)+SUMIFS(MOT_AJUSTE,MOT_MOTOR,G71,MOT_MARCA,"(todas)",MOT_DESDE,"&lt;="&amp;M71,MOT_HASTA,"&gt;="&amp;M71)+SUMIFS(MOT_AJUSTE,MOT_MOTOR,"(cualquiera)",MOT_MARCA,E71,MOT_DESDE,"&lt;="&amp;M71,MOT_HASTA,"&gt;="&amp;M71)</f>
        <v/>
      </c>
      <c r="BX71" s="3">
        <f>SUMIFS(COMB_AJUSTE,COMB_COMB,K71)</f>
        <v/>
      </c>
      <c r="BY71" s="3">
        <f>COUNTIFS(MOT_MOTOR,G71,MOT_MARCA,E71,MOT_DESDE,"&lt;="&amp;M71,MOT_HASTA,"&gt;="&amp;M71)+COUNTIFS(MOT_MOTOR,G71,MOT_MARCA,"(todas)",MOT_DESDE,"&lt;="&amp;M71,MOT_HASTA,"&gt;="&amp;M71)+COUNTIFS(MOT_MOTOR,"(cualquiera)",MOT_MARCA,E71,MOT_DESDE,"&lt;="&amp;M71,MOT_HASTA,"&gt;="&amp;M71)</f>
        <v/>
      </c>
      <c r="BZ71" s="3">
        <f>IF(AND(K71="diesel",BY71=0),MIN(BV71,NEUTRO),BV71)</f>
        <v/>
      </c>
      <c r="CA71" s="3">
        <f>MAX(0,MIN(100,BZ71+BW71+BX71-IF(AV71="sí",ROB_PEN,0)))</f>
        <v/>
      </c>
      <c r="CB71" s="3">
        <f>100-MAX(0,N71-KM_TOPE_DESDE)/1000*KM_TOPE_PTS</f>
        <v/>
      </c>
      <c r="CC71" s="3">
        <f>MAX(0,MIN(100,50+BO71*PRECIO_PEND,CB71))</f>
        <v/>
      </c>
      <c r="CD71" s="3">
        <f>MAX(0,100*(1-N71/KM_MAX))</f>
        <v/>
      </c>
      <c r="CE71" s="3">
        <f>IF(BF71&lt;KMA_SOSP,IF(AA71="sí",100,KMA_PEN),IF(BF71&lt;=KMA_IDEAL_MAX,100,MAX(0,100*(KMA_CERO-BF71)/(KMA_CERO-KMA_IDEAL_MAX))))</f>
        <v/>
      </c>
      <c r="CF71" s="3">
        <f>MAX(0,MIN(100,100*(M71-ANIO_MIN)/(ANIO_ACTUAL-ANIO_MIN)))</f>
        <v/>
      </c>
      <c r="CG71" s="3">
        <f>W_KMT*CD71+W_KMA*CE71+W_EDAD*CF71</f>
        <v/>
      </c>
      <c r="CH71" s="3">
        <f>P_ITV*(V71="sí")+P_LIBRO*(W71="sí")+P_CORREA*(X71="sí")+P_PROP*(Y71=1)+P_GAR*(Z71="sí")+P_FOTOS*MIN(1,N(U71)/FOTOS_OBJ)</f>
        <v/>
      </c>
      <c r="CI71" s="3">
        <f>MAX(0,MIN(100,IFERROR(VLOOKUP(BT71,ETQ_TBL,2,0),0)-IF(BU71="sí",ETQ_PEN_DUD,IF(AS71="regla",ETQ_PEN_REGLA,0))))</f>
        <v/>
      </c>
      <c r="CJ71" s="3">
        <f>IF(K71&lt;&gt;"gasolina","",IFERROR(VLOOKUP(F71,CONS_MOD_TBL,2,0),IFERROR(VLOOKUP(L71,CONS_SEG_TBL,2,0),"")))</f>
        <v/>
      </c>
      <c r="CK71" s="3">
        <f>IF(CJ71="",NEUTRO,MAX(0,MIN(100,100*(CONS_REF_MAX-CJ71)/(CONS_REF_MAX-CONS_REF_MIN))))</f>
        <v/>
      </c>
      <c r="CL71" s="3">
        <f>IFERROR(VLOOKUP(L71,SEGURO_TBL,3,0),"")</f>
        <v/>
      </c>
      <c r="CM71" s="3">
        <f>IF(CL71="",NEUTRO,MAX(0,MIN(100,100*(SEG_REF_MAX-CL71)/(SEG_REF_MAX-SEG_REF_MIN))))</f>
        <v/>
      </c>
      <c r="CN71" s="3">
        <f>W_CONS*CK71+W_SEG*CM71</f>
        <v/>
      </c>
      <c r="CO71" s="3">
        <f>IF(N(AB71)&gt;0,AB71,IF(AND(R71="profesional",SG_LEGAL_ON=1),GAR_LEGAL,0))</f>
        <v/>
      </c>
      <c r="CP71" s="3">
        <f>SG_GAR*MIN(1,CO71/SG_GAR_FULL)+SG_AMPL*(AC71="sí")+SG_KMC*(AF71="sí")+SG_REV*(N(AE71)&gt;0)+SG_DEV*MIN(1,N(AG71)/SG_DEV_FULL)+SG_HIST*(W71="sí")</f>
        <v/>
      </c>
      <c r="CQ71" s="3">
        <f>IF(AW71="sí",ESTILO_PRIO,IFERROR(VLOOKUP(L71,ESTILO_TBL,2,0),NEUTRO))</f>
        <v/>
      </c>
      <c r="CR71" s="3">
        <f>IFERROR(VLOOKUP(L71,CARR_PEN_TBL,2,0),0)</f>
        <v/>
      </c>
      <c r="CS71" s="3">
        <f>W_FIAB*CA71+W_PRECIO*CC71+W_KMEDAD*CG71+W_ANUNCIO*CH71+W_USO*CN71+W_SEGURIDAD*CP71+W_ETIQUETA*CI71+W_ESTILO*CQ71-CR71</f>
        <v/>
      </c>
      <c r="CT71" s="4">
        <f>IF(N(I71)&gt;0,I71,IFERROR(ROUND(_xlfn.NUMBERVALUE(LEFT(G71,FIND(" ",G71&amp;" ")-1),".")*1000,0),99999))</f>
        <v/>
      </c>
      <c r="CU71" s="3">
        <f>IF(R71="profesional",0,IF(O71&lt;CUOTA_VALOR_MAX,IF(BE71&gt;ITP_TRAMO_ALTO,SUMIFS(CF_CUOTA,CF_MAS,ITP_TRAMO_ALTO,CF_CCMIN,"&lt;="&amp;CT71,CF_CCMAX,"&gt;="&amp;CT71),IF(BE71&gt;ITP_TRAMO_BAJO,SUMIFS(CF_CUOTA,CF_MAS,ITP_TRAMO_BAJO,CF_CCMIN,"&lt;="&amp;CT71,CF_CCMAX,"&gt;="&amp;CT71),O71*ITP_TIPO)),O71*ITP_TIPO))</f>
        <v/>
      </c>
      <c r="CV71" s="4">
        <f>IF(R71="profesional",N(AK71),0)</f>
        <v/>
      </c>
      <c r="CW71" s="3">
        <f>IF(AND(R71="profesional",ISNUMBER(AK71),AL71="sí"),0,TASA_DGT)</f>
        <v/>
      </c>
      <c r="CX71" s="3">
        <f>INFORME_DGT</f>
        <v/>
      </c>
      <c r="CY71" s="4">
        <f>O71+CV71+CU71+CW71+CX71</f>
        <v/>
      </c>
      <c r="CZ71" s="4">
        <f>CY71+N(CL71)</f>
        <v/>
      </c>
      <c r="DA71" s="3">
        <f>IF(CY71&lt;=TOTAL_MAX,"sí",IF(CY71&lt;=TOTAL_MAX+MARGEN_NEG,"negociar","no"))</f>
        <v/>
      </c>
      <c r="DB71" s="4">
        <f>IF(DA71&lt;&gt;"no",COUNTIFS($DA$2:$DA$130,"&lt;&gt;no",$CS$2:$CS$130,"&gt;"&amp;CS71)+COUNTIFS($DA$2:DA71,"&lt;&gt;no",$CS$2:CS71,CS71),"")</f>
        <v/>
      </c>
    </row>
    <row r="72">
      <c r="A72" s="2" t="inlineStr">
        <is>
          <t>cochesnet:71847203</t>
        </is>
      </c>
      <c r="B72" s="2" t="inlineStr">
        <is>
          <t>cochesnet</t>
        </is>
      </c>
      <c r="C72" s="2" t="inlineStr">
        <is>
          <t>https://www.coches.net/ford-ka-trend-12-duratec-autostartstop-3p-gasolina-2015-en-valencia-71847203-covo.aspx</t>
        </is>
      </c>
      <c r="D72" s="2" t="inlineStr">
        <is>
          <t>FORD Ka Trend 1.2 Duratec AutoStartStop</t>
        </is>
      </c>
      <c r="E72" s="2" t="inlineStr">
        <is>
          <t>Ford</t>
        </is>
      </c>
      <c r="F72" s="2" t="inlineStr">
        <is>
          <t>Ford Ka</t>
        </is>
      </c>
      <c r="G72" s="2" t="inlineStr">
        <is>
          <t>1.2</t>
        </is>
      </c>
      <c r="H72" s="2" t="inlineStr">
        <is>
          <t>Trend 1.2 Duratec AutoStartStop</t>
        </is>
      </c>
      <c r="I72" s="2" t="n"/>
      <c r="J72" s="2" t="n"/>
      <c r="K72" s="2" t="inlineStr">
        <is>
          <t>gasolina</t>
        </is>
      </c>
      <c r="L72" s="2" t="inlineStr">
        <is>
          <t>utilitario</t>
        </is>
      </c>
      <c r="M72" s="2" t="n">
        <v>2015</v>
      </c>
      <c r="N72" s="2" t="n">
        <v>99000</v>
      </c>
      <c r="O72" s="2" t="n">
        <v>4990</v>
      </c>
      <c r="P72" s="2" t="inlineStr">
        <is>
          <t>manual</t>
        </is>
      </c>
      <c r="Q72" s="2" t="inlineStr">
        <is>
          <t>no</t>
        </is>
      </c>
      <c r="R72" s="2" t="inlineStr">
        <is>
          <t>profesional</t>
        </is>
      </c>
      <c r="S72" s="2" t="inlineStr">
        <is>
          <t>FERNANDO SEBASTIAN Valencia</t>
        </is>
      </c>
      <c r="T72" s="2" t="inlineStr">
        <is>
          <t>2026-10-27T18:49:10Z</t>
        </is>
      </c>
      <c r="U72" s="2" t="n">
        <v>20</v>
      </c>
      <c r="V72" s="2" t="inlineStr">
        <is>
          <t>sí</t>
        </is>
      </c>
      <c r="W72" s="2" t="n"/>
      <c r="X72" s="2" t="n"/>
      <c r="Y72" s="2" t="n"/>
      <c r="Z72" s="2" t="inlineStr">
        <is>
          <t>sí</t>
        </is>
      </c>
      <c r="AA72" s="2" t="n"/>
      <c r="AB72" s="2" t="n">
        <v>12</v>
      </c>
      <c r="AC72" s="2" t="n"/>
      <c r="AD72" s="2" t="n"/>
      <c r="AE72" s="2" t="n"/>
      <c r="AF72" s="2" t="n"/>
      <c r="AG72" s="2" t="n"/>
      <c r="AH72" s="2" t="n">
        <v>4990</v>
      </c>
      <c r="AI72" s="2" t="n">
        <v>4990</v>
      </c>
      <c r="AJ72" s="2" t="n"/>
      <c r="AK72" s="2" t="n"/>
      <c r="AL72" s="2" t="n"/>
      <c r="AM72" s="2" t="n">
        <v>0.1</v>
      </c>
      <c r="AN72" s="2" t="n"/>
      <c r="AO72" s="2" t="inlineStr">
        <is>
          <t>2015</t>
        </is>
      </c>
      <c r="AP72" s="2" t="n">
        <v>2015</v>
      </c>
      <c r="AQ72" s="2" t="n"/>
      <c r="AR72" s="2" t="inlineStr">
        <is>
          <t>C</t>
        </is>
      </c>
      <c r="AS72" s="2" t="inlineStr">
        <is>
          <t>anuncio</t>
        </is>
      </c>
      <c r="AT72" s="2" t="n"/>
      <c r="AU72" s="2" t="inlineStr">
        <is>
          <t>no</t>
        </is>
      </c>
      <c r="AV72" s="2" t="inlineStr">
        <is>
          <t>no</t>
        </is>
      </c>
      <c r="AW72" s="2" t="inlineStr">
        <is>
          <t>no</t>
        </is>
      </c>
      <c r="AX72" s="2" t="n">
        <v>5095</v>
      </c>
      <c r="AY72" s="2" t="n">
        <v>4</v>
      </c>
      <c r="AZ72" s="2" t="inlineStr">
        <is>
          <t>modelo+año+km</t>
        </is>
      </c>
      <c r="BA72" s="2" t="n"/>
      <c r="BB72"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BC72" s="2" t="inlineStr">
        <is>
          <t>Excelente Ford ka 2015 con solo 99.000km ITV 07/27,  Etiqueta ambiental verde “C”, aire acondicionado, dirección, start Stop,  elevalunas electrónicos, rueda de repuesto.</t>
        </is>
      </c>
      <c r="BD72" s="2" t="inlineStr">
        <is>
          <t>https://www.coches.net/ford-ka-trend-12-duratec-autostartstop-3p-gasolina-2015-en-valencia-71847203-covo.aspx (window.__INITIAL_PROPS__.ad) /home/user/Alopecia/buscador-coches/raw/cochesnet/86268d8ca74f810e.json</t>
        </is>
      </c>
      <c r="BE72" s="3">
        <f>MAX(ANIO_ACTUAL-M72,0)</f>
        <v/>
      </c>
      <c r="BF72" s="4">
        <f>N72/MAX(BE72,0.5)</f>
        <v/>
      </c>
      <c r="BG72" s="4">
        <f>F72</f>
        <v/>
      </c>
      <c r="BH72" s="3">
        <f>BG72&amp;"|"&amp;INT(M72/SEG_ANIO)*SEG_ANIO</f>
        <v/>
      </c>
      <c r="BI72" s="3">
        <f>BH72&amp;"|"&amp;INT(N72/SEG_KM)*SEG_KM</f>
        <v/>
      </c>
      <c r="BJ72" s="4">
        <f>COUNTIF($BG$2:$BG$130,BG72)</f>
        <v/>
      </c>
      <c r="BK72" s="4">
        <f>COUNTIF($BH$2:$BH$130,BH72)</f>
        <v/>
      </c>
      <c r="BL72" s="4">
        <f>COUNTIF($BI$2:$BI$130,BI72)</f>
        <v/>
      </c>
      <c r="BM72" s="3">
        <f t="array" ref="BM72">IF(N(AY72)&gt;=MIN_N,AX72,IF(BL72&gt;=MIN_N,MEDIAN(IF($BI$2:$BI$130=BI72,$O$2:$O$130)),IF(BK72&gt;=MIN_N,MEDIAN(IF($BH$2:$BH$130=BH72,$O$2:$O$130)),MEDIAN(IF($BG$2:$BG$130=BG72,$O$2:$O$130)))))</f>
        <v/>
      </c>
      <c r="BN72" s="3">
        <f>IF(N(AY72)&gt;=MIN_N,"mercado "&amp;AZ72,IF(BL72&gt;=MIN_N,"modelo+año+km",IF(BK72&gt;=MIN_N,"modelo+año","modelo")))</f>
        <v/>
      </c>
      <c r="BO72" s="4">
        <f>(BM72-O72)/BM72</f>
        <v/>
      </c>
      <c r="BP72" s="3">
        <f>IF(COUNTIFS(FR_FUEL,K72,FR_YEAR,AP72)&gt;0,1,0)</f>
        <v/>
      </c>
      <c r="BQ72" s="3">
        <f>IF(COUNTIFS(FR_FUEL,K72,FR_YEAR,AP72-1)&gt;0,1,0)</f>
        <v/>
      </c>
      <c r="BR72" s="4">
        <f>IF(N(AQ72)&gt;0,AP72*100+AQ72,IF(AND(BP72=1,BQ72=1),(AP72-1)*100+1,AP72*100+1))</f>
        <v/>
      </c>
      <c r="BS72" s="3">
        <f>IF(OR(K72="hibrido",K72="glp",K72="gnc",K72="phev"),"ECO",IF(K72="electrico","CERO",IF(K72="gasolina",IF(BR72&gt;=GAS_C_YM,"C",IF(BR72&gt;=GAS_B_YM,"B","A")),IF(K72="diesel",IF(BR72&gt;=DIE_C_YM,"C",IF(BR72&gt;=DIE_B_YM,"B","A")),""))))</f>
        <v/>
      </c>
      <c r="BT72" s="2" t="inlineStr">
        <is>
          <t>C</t>
        </is>
      </c>
      <c r="BU72" s="4">
        <f>IF(AU72="sí","sí",IF(AS72="regla",IF(AND(N(AQ72)=0,BP72=1),"sí","no"),"no"))</f>
        <v/>
      </c>
      <c r="BV72" s="3">
        <f>IFERROR(VLOOKUP(F72,MOD_TBL,16,0),IFERROR(VLOOKUP(E72,OCU_TBL,2,0),NEUTRO))</f>
        <v/>
      </c>
      <c r="BW72" s="3">
        <f>SUMIFS(MOT_AJUSTE,MOT_MOTOR,G72,MOT_MARCA,E72,MOT_DESDE,"&lt;="&amp;M72,MOT_HASTA,"&gt;="&amp;M72)+SUMIFS(MOT_AJUSTE,MOT_MOTOR,G72,MOT_MARCA,"(todas)",MOT_DESDE,"&lt;="&amp;M72,MOT_HASTA,"&gt;="&amp;M72)+SUMIFS(MOT_AJUSTE,MOT_MOTOR,"(cualquiera)",MOT_MARCA,E72,MOT_DESDE,"&lt;="&amp;M72,MOT_HASTA,"&gt;="&amp;M72)</f>
        <v/>
      </c>
      <c r="BX72" s="3">
        <f>SUMIFS(COMB_AJUSTE,COMB_COMB,K72)</f>
        <v/>
      </c>
      <c r="BY72" s="3">
        <f>COUNTIFS(MOT_MOTOR,G72,MOT_MARCA,E72,MOT_DESDE,"&lt;="&amp;M72,MOT_HASTA,"&gt;="&amp;M72)+COUNTIFS(MOT_MOTOR,G72,MOT_MARCA,"(todas)",MOT_DESDE,"&lt;="&amp;M72,MOT_HASTA,"&gt;="&amp;M72)+COUNTIFS(MOT_MOTOR,"(cualquiera)",MOT_MARCA,E72,MOT_DESDE,"&lt;="&amp;M72,MOT_HASTA,"&gt;="&amp;M72)</f>
        <v/>
      </c>
      <c r="BZ72" s="3">
        <f>IF(AND(K72="diesel",BY72=0),MIN(BV72,NEUTRO),BV72)</f>
        <v/>
      </c>
      <c r="CA72" s="3">
        <f>MAX(0,MIN(100,BZ72+BW72+BX72-IF(AV72="sí",ROB_PEN,0)))</f>
        <v/>
      </c>
      <c r="CB72" s="3">
        <f>100-MAX(0,N72-KM_TOPE_DESDE)/1000*KM_TOPE_PTS</f>
        <v/>
      </c>
      <c r="CC72" s="3">
        <f>MAX(0,MIN(100,50+BO72*PRECIO_PEND,CB72))</f>
        <v/>
      </c>
      <c r="CD72" s="3">
        <f>MAX(0,100*(1-N72/KM_MAX))</f>
        <v/>
      </c>
      <c r="CE72" s="3">
        <f>IF(BF72&lt;KMA_SOSP,IF(AA72="sí",100,KMA_PEN),IF(BF72&lt;=KMA_IDEAL_MAX,100,MAX(0,100*(KMA_CERO-BF72)/(KMA_CERO-KMA_IDEAL_MAX))))</f>
        <v/>
      </c>
      <c r="CF72" s="3">
        <f>MAX(0,MIN(100,100*(M72-ANIO_MIN)/(ANIO_ACTUAL-ANIO_MIN)))</f>
        <v/>
      </c>
      <c r="CG72" s="3">
        <f>W_KMT*CD72+W_KMA*CE72+W_EDAD*CF72</f>
        <v/>
      </c>
      <c r="CH72" s="3">
        <f>P_ITV*(V72="sí")+P_LIBRO*(W72="sí")+P_CORREA*(X72="sí")+P_PROP*(Y72=1)+P_GAR*(Z72="sí")+P_FOTOS*MIN(1,N(U72)/FOTOS_OBJ)</f>
        <v/>
      </c>
      <c r="CI72" s="3">
        <f>MAX(0,MIN(100,IFERROR(VLOOKUP(BT72,ETQ_TBL,2,0),0)-IF(BU72="sí",ETQ_PEN_DUD,IF(AS72="regla",ETQ_PEN_REGLA,0))))</f>
        <v/>
      </c>
      <c r="CJ72" s="3">
        <f>IF(K72&lt;&gt;"gasolina","",IFERROR(VLOOKUP(F72,CONS_MOD_TBL,2,0),IFERROR(VLOOKUP(L72,CONS_SEG_TBL,2,0),"")))</f>
        <v/>
      </c>
      <c r="CK72" s="3">
        <f>IF(CJ72="",NEUTRO,MAX(0,MIN(100,100*(CONS_REF_MAX-CJ72)/(CONS_REF_MAX-CONS_REF_MIN))))</f>
        <v/>
      </c>
      <c r="CL72" s="3">
        <f>IFERROR(VLOOKUP(L72,SEGURO_TBL,3,0),"")</f>
        <v/>
      </c>
      <c r="CM72" s="3">
        <f>IF(CL72="",NEUTRO,MAX(0,MIN(100,100*(SEG_REF_MAX-CL72)/(SEG_REF_MAX-SEG_REF_MIN))))</f>
        <v/>
      </c>
      <c r="CN72" s="3">
        <f>W_CONS*CK72+W_SEG*CM72</f>
        <v/>
      </c>
      <c r="CO72" s="3">
        <f>IF(N(AB72)&gt;0,AB72,IF(AND(R72="profesional",SG_LEGAL_ON=1),GAR_LEGAL,0))</f>
        <v/>
      </c>
      <c r="CP72" s="3">
        <f>SG_GAR*MIN(1,CO72/SG_GAR_FULL)+SG_AMPL*(AC72="sí")+SG_KMC*(AF72="sí")+SG_REV*(N(AE72)&gt;0)+SG_DEV*MIN(1,N(AG72)/SG_DEV_FULL)+SG_HIST*(W72="sí")</f>
        <v/>
      </c>
      <c r="CQ72" s="3">
        <f>IF(AW72="sí",ESTILO_PRIO,IFERROR(VLOOKUP(L72,ESTILO_TBL,2,0),NEUTRO))</f>
        <v/>
      </c>
      <c r="CR72" s="3">
        <f>IFERROR(VLOOKUP(L72,CARR_PEN_TBL,2,0),0)</f>
        <v/>
      </c>
      <c r="CS72" s="3">
        <f>W_FIAB*CA72+W_PRECIO*CC72+W_KMEDAD*CG72+W_ANUNCIO*CH72+W_USO*CN72+W_SEGURIDAD*CP72+W_ETIQUETA*CI72+W_ESTILO*CQ72-CR72</f>
        <v/>
      </c>
      <c r="CT72" s="4">
        <f>IF(N(I72)&gt;0,I72,IFERROR(ROUND(_xlfn.NUMBERVALUE(LEFT(G72,FIND(" ",G72&amp;" ")-1),".")*1000,0),99999))</f>
        <v/>
      </c>
      <c r="CU72" s="3">
        <f>IF(R72="profesional",0,IF(O72&lt;CUOTA_VALOR_MAX,IF(BE72&gt;ITP_TRAMO_ALTO,SUMIFS(CF_CUOTA,CF_MAS,ITP_TRAMO_ALTO,CF_CCMIN,"&lt;="&amp;CT72,CF_CCMAX,"&gt;="&amp;CT72),IF(BE72&gt;ITP_TRAMO_BAJO,SUMIFS(CF_CUOTA,CF_MAS,ITP_TRAMO_BAJO,CF_CCMIN,"&lt;="&amp;CT72,CF_CCMAX,"&gt;="&amp;CT72),O72*ITP_TIPO)),O72*ITP_TIPO))</f>
        <v/>
      </c>
      <c r="CV72" s="4">
        <f>IF(R72="profesional",N(AK72),0)</f>
        <v/>
      </c>
      <c r="CW72" s="3">
        <f>IF(AND(R72="profesional",ISNUMBER(AK72),AL72="sí"),0,TASA_DGT)</f>
        <v/>
      </c>
      <c r="CX72" s="3">
        <f>INFORME_DGT</f>
        <v/>
      </c>
      <c r="CY72" s="4">
        <f>O72+CV72+CU72+CW72+CX72</f>
        <v/>
      </c>
      <c r="CZ72" s="4">
        <f>CY72+N(CL72)</f>
        <v/>
      </c>
      <c r="DA72" s="3">
        <f>IF(CY72&lt;=TOTAL_MAX,"sí",IF(CY72&lt;=TOTAL_MAX+MARGEN_NEG,"negociar","no"))</f>
        <v/>
      </c>
      <c r="DB72" s="4">
        <f>IF(DA72&lt;&gt;"no",COUNTIFS($DA$2:$DA$130,"&lt;&gt;no",$CS$2:$CS$130,"&gt;"&amp;CS72)+COUNTIFS($DA$2:DA72,"&lt;&gt;no",$CS$2:CS72,CS72),"")</f>
        <v/>
      </c>
    </row>
    <row r="73">
      <c r="A73" s="2" t="inlineStr">
        <is>
          <t>cochesnet:71841456</t>
        </is>
      </c>
      <c r="B73" s="2" t="inlineStr">
        <is>
          <t>cochesnet</t>
        </is>
      </c>
      <c r="C73" s="2" t="inlineStr">
        <is>
          <t>https://www.coches.net/ford-fiesta-13-newport-5p-gasolina-2006-en-valencia-71841456-covo.aspx</t>
        </is>
      </c>
      <c r="D73" s="2" t="inlineStr">
        <is>
          <t>FORD Fiesta 1.3 Newport</t>
        </is>
      </c>
      <c r="E73" s="2" t="inlineStr">
        <is>
          <t>Ford</t>
        </is>
      </c>
      <c r="F73" s="2" t="inlineStr">
        <is>
          <t>Ford Fiesta</t>
        </is>
      </c>
      <c r="G73" s="2" t="inlineStr">
        <is>
          <t>1.3</t>
        </is>
      </c>
      <c r="H73" s="2" t="inlineStr">
        <is>
          <t>1.3 Newport</t>
        </is>
      </c>
      <c r="I73" s="2" t="n"/>
      <c r="J73" s="2" t="n"/>
      <c r="K73" s="2" t="inlineStr">
        <is>
          <t>gasolina</t>
        </is>
      </c>
      <c r="L73" s="2" t="inlineStr">
        <is>
          <t>utilitario</t>
        </is>
      </c>
      <c r="M73" s="2" t="n">
        <v>2007</v>
      </c>
      <c r="N73" s="2" t="n">
        <v>108000</v>
      </c>
      <c r="O73" s="2" t="n">
        <v>3750</v>
      </c>
      <c r="P73" s="2" t="inlineStr">
        <is>
          <t>manual</t>
        </is>
      </c>
      <c r="Q73" s="2" t="inlineStr">
        <is>
          <t>no</t>
        </is>
      </c>
      <c r="R73" s="2" t="inlineStr">
        <is>
          <t>profesional</t>
        </is>
      </c>
      <c r="S73" s="2" t="inlineStr">
        <is>
          <t>Beniparrell</t>
        </is>
      </c>
      <c r="T73" s="2" t="inlineStr">
        <is>
          <t>2026-10-27T10:35:28Z</t>
        </is>
      </c>
      <c r="U73" s="2" t="n">
        <v>13</v>
      </c>
      <c r="V73" s="2" t="n"/>
      <c r="W73" s="2" t="n"/>
      <c r="X73" s="2" t="n"/>
      <c r="Y73" s="2" t="n"/>
      <c r="Z73" s="2" t="inlineStr">
        <is>
          <t>sí</t>
        </is>
      </c>
      <c r="AA73" s="2" t="n"/>
      <c r="AB73" s="2" t="n">
        <v>12</v>
      </c>
      <c r="AC73" s="2" t="n"/>
      <c r="AD73" s="2" t="n"/>
      <c r="AE73" s="2" t="n"/>
      <c r="AF73" s="2" t="n"/>
      <c r="AG73" s="2" t="n"/>
      <c r="AH73" s="2" t="n">
        <v>3750</v>
      </c>
      <c r="AI73" s="2" t="n"/>
      <c r="AJ73" s="2" t="n"/>
      <c r="AK73" s="2" t="n"/>
      <c r="AL73" s="2" t="n"/>
      <c r="AM73" s="2" t="n">
        <v>10.2</v>
      </c>
      <c r="AN73" s="2" t="n"/>
      <c r="AO73" s="2" t="inlineStr">
        <is>
          <t>2007</t>
        </is>
      </c>
      <c r="AP73" s="2" t="n">
        <v>2007</v>
      </c>
      <c r="AQ73" s="2" t="n"/>
      <c r="AR73" s="2" t="inlineStr">
        <is>
          <t>C</t>
        </is>
      </c>
      <c r="AS73" s="2" t="inlineStr">
        <is>
          <t>anuncio</t>
        </is>
      </c>
      <c r="AT73" s="2" t="n">
        <v>2006</v>
      </c>
      <c r="AU73" s="2" t="inlineStr">
        <is>
          <t>no</t>
        </is>
      </c>
      <c r="AV73" s="2" t="inlineStr">
        <is>
          <t>no</t>
        </is>
      </c>
      <c r="AW73" s="2" t="inlineStr">
        <is>
          <t>no</t>
        </is>
      </c>
      <c r="AX73" s="2" t="n">
        <v>4990</v>
      </c>
      <c r="AY73" s="2" t="n">
        <v>9</v>
      </c>
      <c r="AZ73" s="2" t="inlineStr">
        <is>
          <t>modelo+año+km</t>
        </is>
      </c>
      <c r="BA73" s="2" t="n"/>
      <c r="BB73" s="2" t="inlineStr">
        <is>
          <t>año a confirmar: la URL/título dice 2006; vendedor profesional: sin ITP (operación con IVA/REBU, confirmar en factura); gastos de gestión del vendedor no indicados: se suma la tasa DGT; preguntar el precio final; revisar: no menciona la ITV</t>
        </is>
      </c>
      <c r="BC73" s="2" t="inlineStr">
        <is>
          <t>Este Fiesta Newport incorpora apertura del maletero a distancia con funcionamiento eléctrico y climatizador automático con controles digitales. Cuenta también con equipo de audio con radio, reproductor de CD y mandos en el volante, cristales tintados en toda la cabina y volante revestido de cuero ajustable en altura. Su etiqueta medioambiental C facilita el acceso a zonas ZBE.GARANTÍA 12 meses (cobertura de 25 componentes del vehículo )cobertura de reparación hasta 2.000e en cualquier taller)</t>
        </is>
      </c>
      <c r="BD73" s="2" t="inlineStr">
        <is>
          <t>https://www.coches.net/ford-fiesta-13-newport-5p-gasolina-2006-en-valencia-71841456-covo.aspx (window.__INITIAL_PROPS__.ad) /home/user/Alopecia/buscador-coches/raw/cochesnet/0f64c41ace196125.json</t>
        </is>
      </c>
      <c r="BE73" s="3">
        <f>MAX(ANIO_ACTUAL-M73,0)</f>
        <v/>
      </c>
      <c r="BF73" s="4">
        <f>N73/MAX(BE73,0.5)</f>
        <v/>
      </c>
      <c r="BG73" s="4">
        <f>F73</f>
        <v/>
      </c>
      <c r="BH73" s="3">
        <f>BG73&amp;"|"&amp;INT(M73/SEG_ANIO)*SEG_ANIO</f>
        <v/>
      </c>
      <c r="BI73" s="3">
        <f>BH73&amp;"|"&amp;INT(N73/SEG_KM)*SEG_KM</f>
        <v/>
      </c>
      <c r="BJ73" s="4">
        <f>COUNTIF($BG$2:$BG$130,BG73)</f>
        <v/>
      </c>
      <c r="BK73" s="4">
        <f>COUNTIF($BH$2:$BH$130,BH73)</f>
        <v/>
      </c>
      <c r="BL73" s="4">
        <f>COUNTIF($BI$2:$BI$130,BI73)</f>
        <v/>
      </c>
      <c r="BM73" s="3">
        <f t="array" ref="BM73">IF(N(AY73)&gt;=MIN_N,AX73,IF(BL73&gt;=MIN_N,MEDIAN(IF($BI$2:$BI$130=BI73,$O$2:$O$130)),IF(BK73&gt;=MIN_N,MEDIAN(IF($BH$2:$BH$130=BH73,$O$2:$O$130)),MEDIAN(IF($BG$2:$BG$130=BG73,$O$2:$O$130)))))</f>
        <v/>
      </c>
      <c r="BN73" s="3">
        <f>IF(N(AY73)&gt;=MIN_N,"mercado "&amp;AZ73,IF(BL73&gt;=MIN_N,"modelo+año+km",IF(BK73&gt;=MIN_N,"modelo+año","modelo")))</f>
        <v/>
      </c>
      <c r="BO73" s="4">
        <f>(BM73-O73)/BM73</f>
        <v/>
      </c>
      <c r="BP73" s="3">
        <f>IF(COUNTIFS(FR_FUEL,K73,FR_YEAR,AP73)&gt;0,1,0)</f>
        <v/>
      </c>
      <c r="BQ73" s="3">
        <f>IF(COUNTIFS(FR_FUEL,K73,FR_YEAR,AP73-1)&gt;0,1,0)</f>
        <v/>
      </c>
      <c r="BR73" s="4">
        <f>IF(N(AQ73)&gt;0,AP73*100+AQ73,IF(AND(BP73=1,BQ73=1),(AP73-1)*100+1,AP73*100+1))</f>
        <v/>
      </c>
      <c r="BS73" s="3">
        <f>IF(OR(K73="hibrido",K73="glp",K73="gnc",K73="phev"),"ECO",IF(K73="electrico","CERO",IF(K73="gasolina",IF(BR73&gt;=GAS_C_YM,"C",IF(BR73&gt;=GAS_B_YM,"B","A")),IF(K73="diesel",IF(BR73&gt;=DIE_C_YM,"C",IF(BR73&gt;=DIE_B_YM,"B","A")),""))))</f>
        <v/>
      </c>
      <c r="BT73" s="2" t="inlineStr">
        <is>
          <t>C</t>
        </is>
      </c>
      <c r="BU73" s="4">
        <f>IF(AU73="sí","sí",IF(AS73="regla",IF(AND(N(AQ73)=0,BP73=1),"sí","no"),"no"))</f>
        <v/>
      </c>
      <c r="BV73" s="3">
        <f>IFERROR(VLOOKUP(F73,MOD_TBL,16,0),IFERROR(VLOOKUP(E73,OCU_TBL,2,0),NEUTRO))</f>
        <v/>
      </c>
      <c r="BW73" s="3">
        <f>SUMIFS(MOT_AJUSTE,MOT_MOTOR,G73,MOT_MARCA,E73,MOT_DESDE,"&lt;="&amp;M73,MOT_HASTA,"&gt;="&amp;M73)+SUMIFS(MOT_AJUSTE,MOT_MOTOR,G73,MOT_MARCA,"(todas)",MOT_DESDE,"&lt;="&amp;M73,MOT_HASTA,"&gt;="&amp;M73)+SUMIFS(MOT_AJUSTE,MOT_MOTOR,"(cualquiera)",MOT_MARCA,E73,MOT_DESDE,"&lt;="&amp;M73,MOT_HASTA,"&gt;="&amp;M73)</f>
        <v/>
      </c>
      <c r="BX73" s="3">
        <f>SUMIFS(COMB_AJUSTE,COMB_COMB,K73)</f>
        <v/>
      </c>
      <c r="BY73" s="3">
        <f>COUNTIFS(MOT_MOTOR,G73,MOT_MARCA,E73,MOT_DESDE,"&lt;="&amp;M73,MOT_HASTA,"&gt;="&amp;M73)+COUNTIFS(MOT_MOTOR,G73,MOT_MARCA,"(todas)",MOT_DESDE,"&lt;="&amp;M73,MOT_HASTA,"&gt;="&amp;M73)+COUNTIFS(MOT_MOTOR,"(cualquiera)",MOT_MARCA,E73,MOT_DESDE,"&lt;="&amp;M73,MOT_HASTA,"&gt;="&amp;M73)</f>
        <v/>
      </c>
      <c r="BZ73" s="3">
        <f>IF(AND(K73="diesel",BY73=0),MIN(BV73,NEUTRO),BV73)</f>
        <v/>
      </c>
      <c r="CA73" s="3">
        <f>MAX(0,MIN(100,BZ73+BW73+BX73-IF(AV73="sí",ROB_PEN,0)))</f>
        <v/>
      </c>
      <c r="CB73" s="3">
        <f>100-MAX(0,N73-KM_TOPE_DESDE)/1000*KM_TOPE_PTS</f>
        <v/>
      </c>
      <c r="CC73" s="3">
        <f>MAX(0,MIN(100,50+BO73*PRECIO_PEND,CB73))</f>
        <v/>
      </c>
      <c r="CD73" s="3">
        <f>MAX(0,100*(1-N73/KM_MAX))</f>
        <v/>
      </c>
      <c r="CE73" s="3">
        <f>IF(BF73&lt;KMA_SOSP,IF(AA73="sí",100,KMA_PEN),IF(BF73&lt;=KMA_IDEAL_MAX,100,MAX(0,100*(KMA_CERO-BF73)/(KMA_CERO-KMA_IDEAL_MAX))))</f>
        <v/>
      </c>
      <c r="CF73" s="3">
        <f>MAX(0,MIN(100,100*(M73-ANIO_MIN)/(ANIO_ACTUAL-ANIO_MIN)))</f>
        <v/>
      </c>
      <c r="CG73" s="3">
        <f>W_KMT*CD73+W_KMA*CE73+W_EDAD*CF73</f>
        <v/>
      </c>
      <c r="CH73" s="3">
        <f>P_ITV*(V73="sí")+P_LIBRO*(W73="sí")+P_CORREA*(X73="sí")+P_PROP*(Y73=1)+P_GAR*(Z73="sí")+P_FOTOS*MIN(1,N(U73)/FOTOS_OBJ)</f>
        <v/>
      </c>
      <c r="CI73" s="3">
        <f>MAX(0,MIN(100,IFERROR(VLOOKUP(BT73,ETQ_TBL,2,0),0)-IF(BU73="sí",ETQ_PEN_DUD,IF(AS73="regla",ETQ_PEN_REGLA,0))))</f>
        <v/>
      </c>
      <c r="CJ73" s="3">
        <f>IF(K73&lt;&gt;"gasolina","",IFERROR(VLOOKUP(F73,CONS_MOD_TBL,2,0),IFERROR(VLOOKUP(L73,CONS_SEG_TBL,2,0),"")))</f>
        <v/>
      </c>
      <c r="CK73" s="3">
        <f>IF(CJ73="",NEUTRO,MAX(0,MIN(100,100*(CONS_REF_MAX-CJ73)/(CONS_REF_MAX-CONS_REF_MIN))))</f>
        <v/>
      </c>
      <c r="CL73" s="3">
        <f>IFERROR(VLOOKUP(L73,SEGURO_TBL,3,0),"")</f>
        <v/>
      </c>
      <c r="CM73" s="3">
        <f>IF(CL73="",NEUTRO,MAX(0,MIN(100,100*(SEG_REF_MAX-CL73)/(SEG_REF_MAX-SEG_REF_MIN))))</f>
        <v/>
      </c>
      <c r="CN73" s="3">
        <f>W_CONS*CK73+W_SEG*CM73</f>
        <v/>
      </c>
      <c r="CO73" s="3">
        <f>IF(N(AB73)&gt;0,AB73,IF(AND(R73="profesional",SG_LEGAL_ON=1),GAR_LEGAL,0))</f>
        <v/>
      </c>
      <c r="CP73" s="3">
        <f>SG_GAR*MIN(1,CO73/SG_GAR_FULL)+SG_AMPL*(AC73="sí")+SG_KMC*(AF73="sí")+SG_REV*(N(AE73)&gt;0)+SG_DEV*MIN(1,N(AG73)/SG_DEV_FULL)+SG_HIST*(W73="sí")</f>
        <v/>
      </c>
      <c r="CQ73" s="3">
        <f>IF(AW73="sí",ESTILO_PRIO,IFERROR(VLOOKUP(L73,ESTILO_TBL,2,0),NEUTRO))</f>
        <v/>
      </c>
      <c r="CR73" s="3">
        <f>IFERROR(VLOOKUP(L73,CARR_PEN_TBL,2,0),0)</f>
        <v/>
      </c>
      <c r="CS73" s="3">
        <f>W_FIAB*CA73+W_PRECIO*CC73+W_KMEDAD*CG73+W_ANUNCIO*CH73+W_USO*CN73+W_SEGURIDAD*CP73+W_ETIQUETA*CI73+W_ESTILO*CQ73-CR73</f>
        <v/>
      </c>
      <c r="CT73" s="4">
        <f>IF(N(I73)&gt;0,I73,IFERROR(ROUND(_xlfn.NUMBERVALUE(LEFT(G73,FIND(" ",G73&amp;" ")-1),".")*1000,0),99999))</f>
        <v/>
      </c>
      <c r="CU73" s="3">
        <f>IF(R73="profesional",0,IF(O73&lt;CUOTA_VALOR_MAX,IF(BE73&gt;ITP_TRAMO_ALTO,SUMIFS(CF_CUOTA,CF_MAS,ITP_TRAMO_ALTO,CF_CCMIN,"&lt;="&amp;CT73,CF_CCMAX,"&gt;="&amp;CT73),IF(BE73&gt;ITP_TRAMO_BAJO,SUMIFS(CF_CUOTA,CF_MAS,ITP_TRAMO_BAJO,CF_CCMIN,"&lt;="&amp;CT73,CF_CCMAX,"&gt;="&amp;CT73),O73*ITP_TIPO)),O73*ITP_TIPO))</f>
        <v/>
      </c>
      <c r="CV73" s="4">
        <f>IF(R73="profesional",N(AK73),0)</f>
        <v/>
      </c>
      <c r="CW73" s="3">
        <f>IF(AND(R73="profesional",ISNUMBER(AK73),AL73="sí"),0,TASA_DGT)</f>
        <v/>
      </c>
      <c r="CX73" s="3">
        <f>INFORME_DGT</f>
        <v/>
      </c>
      <c r="CY73" s="4">
        <f>O73+CV73+CU73+CW73+CX73</f>
        <v/>
      </c>
      <c r="CZ73" s="4">
        <f>CY73+N(CL73)</f>
        <v/>
      </c>
      <c r="DA73" s="3">
        <f>IF(CY73&lt;=TOTAL_MAX,"sí",IF(CY73&lt;=TOTAL_MAX+MARGEN_NEG,"negociar","no"))</f>
        <v/>
      </c>
      <c r="DB73" s="4">
        <f>IF(DA73&lt;&gt;"no",COUNTIFS($DA$2:$DA$130,"&lt;&gt;no",$CS$2:$CS$130,"&gt;"&amp;CS73)+COUNTIFS($DA$2:DA73,"&lt;&gt;no",$CS$2:CS73,CS73),"")</f>
        <v/>
      </c>
    </row>
    <row r="74">
      <c r="A74" s="2" t="inlineStr">
        <is>
          <t>cochesnet:71654849</t>
        </is>
      </c>
      <c r="B74" s="2" t="inlineStr">
        <is>
          <t>cochesnet</t>
        </is>
      </c>
      <c r="C74" s="2" t="inlineStr">
        <is>
          <t>https://www.coches.net/ford-fiesta-14-tdci-trend-5p-diesel-2012-en-valencia-71654849-covo.aspx</t>
        </is>
      </c>
      <c r="D74" s="2" t="inlineStr">
        <is>
          <t>FORD Fiesta 1.4 TDCi Trend</t>
        </is>
      </c>
      <c r="E74" s="2" t="inlineStr">
        <is>
          <t>Ford</t>
        </is>
      </c>
      <c r="F74" s="2" t="inlineStr">
        <is>
          <t>Ford Fiesta</t>
        </is>
      </c>
      <c r="G74" s="2" t="inlineStr">
        <is>
          <t>1.4 TDCi</t>
        </is>
      </c>
      <c r="H74" s="2" t="inlineStr">
        <is>
          <t>1.4 TDCi Trend</t>
        </is>
      </c>
      <c r="I74" s="2" t="n"/>
      <c r="J74" s="2" t="n"/>
      <c r="K74" s="2" t="inlineStr">
        <is>
          <t>diesel</t>
        </is>
      </c>
      <c r="L74" s="2" t="inlineStr">
        <is>
          <t>utilitario</t>
        </is>
      </c>
      <c r="M74" s="2" t="n">
        <v>2013</v>
      </c>
      <c r="N74" s="2" t="n">
        <v>205000</v>
      </c>
      <c r="O74" s="2" t="n">
        <v>4790</v>
      </c>
      <c r="P74" s="2" t="inlineStr">
        <is>
          <t>manual</t>
        </is>
      </c>
      <c r="Q74" s="2" t="inlineStr">
        <is>
          <t>no</t>
        </is>
      </c>
      <c r="R74" s="2" t="inlineStr">
        <is>
          <t>profesional</t>
        </is>
      </c>
      <c r="S74" s="2" t="inlineStr">
        <is>
          <t>V.O. Eliana San Antonio de Benagéber</t>
        </is>
      </c>
      <c r="T74" s="2" t="inlineStr">
        <is>
          <t>2026-10-02T11:14:37Z</t>
        </is>
      </c>
      <c r="U74" s="2" t="n">
        <v>17</v>
      </c>
      <c r="V74" s="2" t="n"/>
      <c r="W74" s="2" t="n"/>
      <c r="X74" s="2" t="n"/>
      <c r="Y74" s="2" t="n"/>
      <c r="Z74" s="2" t="inlineStr">
        <is>
          <t>sí</t>
        </is>
      </c>
      <c r="AA74" s="2" t="n"/>
      <c r="AB74" s="2" t="n">
        <v>12</v>
      </c>
      <c r="AC74" s="2" t="n"/>
      <c r="AD74" s="2" t="n"/>
      <c r="AE74" s="2" t="n"/>
      <c r="AF74" s="2" t="n"/>
      <c r="AG74" s="2" t="n"/>
      <c r="AH74" s="2" t="n">
        <v>4790</v>
      </c>
      <c r="AI74" s="2" t="n"/>
      <c r="AJ74" s="2" t="n"/>
      <c r="AK74" s="2" t="n"/>
      <c r="AL74" s="2" t="n"/>
      <c r="AM74" s="2" t="n">
        <v>19.1</v>
      </c>
      <c r="AN74" s="2" t="n"/>
      <c r="AO74" s="2" t="inlineStr">
        <is>
          <t>2013</t>
        </is>
      </c>
      <c r="AP74" s="2" t="n">
        <v>2013</v>
      </c>
      <c r="AQ74" s="2" t="n"/>
      <c r="AR74" s="2" t="inlineStr">
        <is>
          <t>B</t>
        </is>
      </c>
      <c r="AS74" s="2" t="inlineStr">
        <is>
          <t>anuncio</t>
        </is>
      </c>
      <c r="AT74" s="2" t="n">
        <v>2012</v>
      </c>
      <c r="AU74" s="2" t="inlineStr">
        <is>
          <t>no</t>
        </is>
      </c>
      <c r="AV74" s="2" t="inlineStr">
        <is>
          <t>no</t>
        </is>
      </c>
      <c r="AW74" s="2" t="inlineStr">
        <is>
          <t>no</t>
        </is>
      </c>
      <c r="AX74" s="2" t="n">
        <v>6300</v>
      </c>
      <c r="AY74" s="2" t="n">
        <v>23</v>
      </c>
      <c r="AZ74" s="2" t="inlineStr">
        <is>
          <t>modelo+año</t>
        </is>
      </c>
      <c r="BA74" s="2" t="n"/>
      <c r="BB74" s="2" t="inlineStr">
        <is>
          <t>año a confirmar: la URL/título dice 2012; vendedor profesional: sin ITP (operación con IVA/REBU, confirmar en factura); gastos de gestión del vendedor no indicados: se suma la tasa DGT; preguntar el precio final; diésel: motor sin fuente de fiabilidad (fiabilidad limitada a neutra); revisar: no menciona la ITV</t>
        </is>
      </c>
      <c r="BC74" s="2" t="inlineStr">
        <is>
          <t>Este Ford Fiesta 1.4 TDCi Trend combina eficiencia diésel con equipamiento práctico para el día a día. Destaca por su dirección asistida eléctrica con endurecimiento progresivo, volante ajustable en altura y profundidad, y elevalunas eléctricos delanteros con función de un solo toque. Dispone de cierre centralizado con mando a distancia de doble cierre, apertura remota del maletero, ordenador de viaje con datos de consumo y autonomía, climatización con filtro de pólen, y retrovisores exteriores eléctricos desempañables con intermitente integrado. Los asientos delanteros ofrecen ajuste manual en múltiples direcciones para mayor comodidad, mientras que los traseros cuentan con respaldo abatible asimétrico. Cristales tintados, limpiaparabrisas delantero y pintura sólida completan este vehículo versátil y funcional.</t>
        </is>
      </c>
      <c r="BD74" s="2" t="inlineStr">
        <is>
          <t>https://www.coches.net/ford-fiesta-14-tdci-trend-5p-diesel-2012-en-valencia-71654849-covo.aspx (window.__INITIAL_PROPS__.ad) /home/user/Alopecia/buscador-coches/raw/cochesnet/fa8d9cab8b462a12.json</t>
        </is>
      </c>
      <c r="BE74" s="3">
        <f>MAX(ANIO_ACTUAL-M74,0)</f>
        <v/>
      </c>
      <c r="BF74" s="4">
        <f>N74/MAX(BE74,0.5)</f>
        <v/>
      </c>
      <c r="BG74" s="4">
        <f>F74</f>
        <v/>
      </c>
      <c r="BH74" s="3">
        <f>BG74&amp;"|"&amp;INT(M74/SEG_ANIO)*SEG_ANIO</f>
        <v/>
      </c>
      <c r="BI74" s="3">
        <f>BH74&amp;"|"&amp;INT(N74/SEG_KM)*SEG_KM</f>
        <v/>
      </c>
      <c r="BJ74" s="4">
        <f>COUNTIF($BG$2:$BG$130,BG74)</f>
        <v/>
      </c>
      <c r="BK74" s="4">
        <f>COUNTIF($BH$2:$BH$130,BH74)</f>
        <v/>
      </c>
      <c r="BL74" s="4">
        <f>COUNTIF($BI$2:$BI$130,BI74)</f>
        <v/>
      </c>
      <c r="BM74" s="3">
        <f t="array" ref="BM74">IF(N(AY74)&gt;=MIN_N,AX74,IF(BL74&gt;=MIN_N,MEDIAN(IF($BI$2:$BI$130=BI74,$O$2:$O$130)),IF(BK74&gt;=MIN_N,MEDIAN(IF($BH$2:$BH$130=BH74,$O$2:$O$130)),MEDIAN(IF($BG$2:$BG$130=BG74,$O$2:$O$130)))))</f>
        <v/>
      </c>
      <c r="BN74" s="3">
        <f>IF(N(AY74)&gt;=MIN_N,"mercado "&amp;AZ74,IF(BL74&gt;=MIN_N,"modelo+año+km",IF(BK74&gt;=MIN_N,"modelo+año","modelo")))</f>
        <v/>
      </c>
      <c r="BO74" s="4">
        <f>(BM74-O74)/BM74</f>
        <v/>
      </c>
      <c r="BP74" s="3">
        <f>IF(COUNTIFS(FR_FUEL,K74,FR_YEAR,AP74)&gt;0,1,0)</f>
        <v/>
      </c>
      <c r="BQ74" s="3">
        <f>IF(COUNTIFS(FR_FUEL,K74,FR_YEAR,AP74-1)&gt;0,1,0)</f>
        <v/>
      </c>
      <c r="BR74" s="4">
        <f>IF(N(AQ74)&gt;0,AP74*100+AQ74,IF(AND(BP74=1,BQ74=1),(AP74-1)*100+1,AP74*100+1))</f>
        <v/>
      </c>
      <c r="BS74" s="3">
        <f>IF(OR(K74="hibrido",K74="glp",K74="gnc",K74="phev"),"ECO",IF(K74="electrico","CERO",IF(K74="gasolina",IF(BR74&gt;=GAS_C_YM,"C",IF(BR74&gt;=GAS_B_YM,"B","A")),IF(K74="diesel",IF(BR74&gt;=DIE_C_YM,"C",IF(BR74&gt;=DIE_B_YM,"B","A")),""))))</f>
        <v/>
      </c>
      <c r="BT74" s="2" t="inlineStr">
        <is>
          <t>B</t>
        </is>
      </c>
      <c r="BU74" s="4">
        <f>IF(AU74="sí","sí",IF(AS74="regla",IF(AND(N(AQ74)=0,BP74=1),"sí","no"),"no"))</f>
        <v/>
      </c>
      <c r="BV74" s="3">
        <f>IFERROR(VLOOKUP(F74,MOD_TBL,16,0),IFERROR(VLOOKUP(E74,OCU_TBL,2,0),NEUTRO))</f>
        <v/>
      </c>
      <c r="BW74" s="3">
        <f>SUMIFS(MOT_AJUSTE,MOT_MOTOR,G74,MOT_MARCA,E74,MOT_DESDE,"&lt;="&amp;M74,MOT_HASTA,"&gt;="&amp;M74)+SUMIFS(MOT_AJUSTE,MOT_MOTOR,G74,MOT_MARCA,"(todas)",MOT_DESDE,"&lt;="&amp;M74,MOT_HASTA,"&gt;="&amp;M74)+SUMIFS(MOT_AJUSTE,MOT_MOTOR,"(cualquiera)",MOT_MARCA,E74,MOT_DESDE,"&lt;="&amp;M74,MOT_HASTA,"&gt;="&amp;M74)</f>
        <v/>
      </c>
      <c r="BX74" s="3">
        <f>SUMIFS(COMB_AJUSTE,COMB_COMB,K74)</f>
        <v/>
      </c>
      <c r="BY74" s="3">
        <f>COUNTIFS(MOT_MOTOR,G74,MOT_MARCA,E74,MOT_DESDE,"&lt;="&amp;M74,MOT_HASTA,"&gt;="&amp;M74)+COUNTIFS(MOT_MOTOR,G74,MOT_MARCA,"(todas)",MOT_DESDE,"&lt;="&amp;M74,MOT_HASTA,"&gt;="&amp;M74)+COUNTIFS(MOT_MOTOR,"(cualquiera)",MOT_MARCA,E74,MOT_DESDE,"&lt;="&amp;M74,MOT_HASTA,"&gt;="&amp;M74)</f>
        <v/>
      </c>
      <c r="BZ74" s="3">
        <f>IF(AND(K74="diesel",BY74=0),MIN(BV74,NEUTRO),BV74)</f>
        <v/>
      </c>
      <c r="CA74" s="3">
        <f>MAX(0,MIN(100,BZ74+BW74+BX74-IF(AV74="sí",ROB_PEN,0)))</f>
        <v/>
      </c>
      <c r="CB74" s="3">
        <f>100-MAX(0,N74-KM_TOPE_DESDE)/1000*KM_TOPE_PTS</f>
        <v/>
      </c>
      <c r="CC74" s="3">
        <f>MAX(0,MIN(100,50+BO74*PRECIO_PEND,CB74))</f>
        <v/>
      </c>
      <c r="CD74" s="3">
        <f>MAX(0,100*(1-N74/KM_MAX))</f>
        <v/>
      </c>
      <c r="CE74" s="3">
        <f>IF(BF74&lt;KMA_SOSP,IF(AA74="sí",100,KMA_PEN),IF(BF74&lt;=KMA_IDEAL_MAX,100,MAX(0,100*(KMA_CERO-BF74)/(KMA_CERO-KMA_IDEAL_MAX))))</f>
        <v/>
      </c>
      <c r="CF74" s="3">
        <f>MAX(0,MIN(100,100*(M74-ANIO_MIN)/(ANIO_ACTUAL-ANIO_MIN)))</f>
        <v/>
      </c>
      <c r="CG74" s="3">
        <f>W_KMT*CD74+W_KMA*CE74+W_EDAD*CF74</f>
        <v/>
      </c>
      <c r="CH74" s="3">
        <f>P_ITV*(V74="sí")+P_LIBRO*(W74="sí")+P_CORREA*(X74="sí")+P_PROP*(Y74=1)+P_GAR*(Z74="sí")+P_FOTOS*MIN(1,N(U74)/FOTOS_OBJ)</f>
        <v/>
      </c>
      <c r="CI74" s="3">
        <f>MAX(0,MIN(100,IFERROR(VLOOKUP(BT74,ETQ_TBL,2,0),0)-IF(BU74="sí",ETQ_PEN_DUD,IF(AS74="regla",ETQ_PEN_REGLA,0))))</f>
        <v/>
      </c>
      <c r="CJ74" s="3">
        <f>IF(K74&lt;&gt;"gasolina","",IFERROR(VLOOKUP(F74,CONS_MOD_TBL,2,0),IFERROR(VLOOKUP(L74,CONS_SEG_TBL,2,0),"")))</f>
        <v/>
      </c>
      <c r="CK74" s="3">
        <f>IF(CJ74="",NEUTRO,MAX(0,MIN(100,100*(CONS_REF_MAX-CJ74)/(CONS_REF_MAX-CONS_REF_MIN))))</f>
        <v/>
      </c>
      <c r="CL74" s="3">
        <f>IFERROR(VLOOKUP(L74,SEGURO_TBL,3,0),"")</f>
        <v/>
      </c>
      <c r="CM74" s="3">
        <f>IF(CL74="",NEUTRO,MAX(0,MIN(100,100*(SEG_REF_MAX-CL74)/(SEG_REF_MAX-SEG_REF_MIN))))</f>
        <v/>
      </c>
      <c r="CN74" s="3">
        <f>W_CONS*CK74+W_SEG*CM74</f>
        <v/>
      </c>
      <c r="CO74" s="3">
        <f>IF(N(AB74)&gt;0,AB74,IF(AND(R74="profesional",SG_LEGAL_ON=1),GAR_LEGAL,0))</f>
        <v/>
      </c>
      <c r="CP74" s="3">
        <f>SG_GAR*MIN(1,CO74/SG_GAR_FULL)+SG_AMPL*(AC74="sí")+SG_KMC*(AF74="sí")+SG_REV*(N(AE74)&gt;0)+SG_DEV*MIN(1,N(AG74)/SG_DEV_FULL)+SG_HIST*(W74="sí")</f>
        <v/>
      </c>
      <c r="CQ74" s="3">
        <f>IF(AW74="sí",ESTILO_PRIO,IFERROR(VLOOKUP(L74,ESTILO_TBL,2,0),NEUTRO))</f>
        <v/>
      </c>
      <c r="CR74" s="3">
        <f>IFERROR(VLOOKUP(L74,CARR_PEN_TBL,2,0),0)</f>
        <v/>
      </c>
      <c r="CS74" s="3">
        <f>W_FIAB*CA74+W_PRECIO*CC74+W_KMEDAD*CG74+W_ANUNCIO*CH74+W_USO*CN74+W_SEGURIDAD*CP74+W_ETIQUETA*CI74+W_ESTILO*CQ74-CR74</f>
        <v/>
      </c>
      <c r="CT74" s="4">
        <f>IF(N(I74)&gt;0,I74,IFERROR(ROUND(_xlfn.NUMBERVALUE(LEFT(G74,FIND(" ",G74&amp;" ")-1),".")*1000,0),99999))</f>
        <v/>
      </c>
      <c r="CU74" s="3">
        <f>IF(R74="profesional",0,IF(O74&lt;CUOTA_VALOR_MAX,IF(BE74&gt;ITP_TRAMO_ALTO,SUMIFS(CF_CUOTA,CF_MAS,ITP_TRAMO_ALTO,CF_CCMIN,"&lt;="&amp;CT74,CF_CCMAX,"&gt;="&amp;CT74),IF(BE74&gt;ITP_TRAMO_BAJO,SUMIFS(CF_CUOTA,CF_MAS,ITP_TRAMO_BAJO,CF_CCMIN,"&lt;="&amp;CT74,CF_CCMAX,"&gt;="&amp;CT74),O74*ITP_TIPO)),O74*ITP_TIPO))</f>
        <v/>
      </c>
      <c r="CV74" s="4">
        <f>IF(R74="profesional",N(AK74),0)</f>
        <v/>
      </c>
      <c r="CW74" s="3">
        <f>IF(AND(R74="profesional",ISNUMBER(AK74),AL74="sí"),0,TASA_DGT)</f>
        <v/>
      </c>
      <c r="CX74" s="3">
        <f>INFORME_DGT</f>
        <v/>
      </c>
      <c r="CY74" s="4">
        <f>O74+CV74+CU74+CW74+CX74</f>
        <v/>
      </c>
      <c r="CZ74" s="4">
        <f>CY74+N(CL74)</f>
        <v/>
      </c>
      <c r="DA74" s="3">
        <f>IF(CY74&lt;=TOTAL_MAX,"sí",IF(CY74&lt;=TOTAL_MAX+MARGEN_NEG,"negociar","no"))</f>
        <v/>
      </c>
      <c r="DB74" s="4">
        <f>IF(DA74&lt;&gt;"no",COUNTIFS($DA$2:$DA$130,"&lt;&gt;no",$CS$2:$CS$130,"&gt;"&amp;CS74)+COUNTIFS($DA$2:DA74,"&lt;&gt;no",$CS$2:CS74,CS74),"")</f>
        <v/>
      </c>
    </row>
    <row r="75">
      <c r="A75" s="2" t="inlineStr">
        <is>
          <t>cochesnet:71021675</t>
        </is>
      </c>
      <c r="B75" s="2" t="inlineStr">
        <is>
          <t>cochesnet</t>
        </is>
      </c>
      <c r="C75" s="2" t="inlineStr">
        <is>
          <t>https://www.coches.net/ford-fiesta-14-tdci-trend-5p-diesel-2011-en-valencia-71021675-covo.aspx</t>
        </is>
      </c>
      <c r="D75" s="2" t="inlineStr">
        <is>
          <t>FORD Fiesta 1.4 TDCi Trend</t>
        </is>
      </c>
      <c r="E75" s="2" t="inlineStr">
        <is>
          <t>Ford</t>
        </is>
      </c>
      <c r="F75" s="2" t="inlineStr">
        <is>
          <t>Ford Fiesta</t>
        </is>
      </c>
      <c r="G75" s="2" t="inlineStr">
        <is>
          <t>1.4 TDCi</t>
        </is>
      </c>
      <c r="H75" s="2" t="inlineStr">
        <is>
          <t>1.4 TDCi Trend</t>
        </is>
      </c>
      <c r="I75" s="2" t="n"/>
      <c r="J75" s="2" t="n"/>
      <c r="K75" s="2" t="inlineStr">
        <is>
          <t>diesel</t>
        </is>
      </c>
      <c r="L75" s="2" t="inlineStr">
        <is>
          <t>utilitario</t>
        </is>
      </c>
      <c r="M75" s="2" t="n">
        <v>2011</v>
      </c>
      <c r="N75" s="2" t="n">
        <v>141000</v>
      </c>
      <c r="O75" s="2" t="n">
        <v>5000</v>
      </c>
      <c r="P75" s="2" t="inlineStr">
        <is>
          <t>manual</t>
        </is>
      </c>
      <c r="Q75" s="2" t="inlineStr">
        <is>
          <t>no</t>
        </is>
      </c>
      <c r="R75" s="2" t="inlineStr">
        <is>
          <t>profesional</t>
        </is>
      </c>
      <c r="S75" s="2" t="inlineStr">
        <is>
          <t>Beniparrell</t>
        </is>
      </c>
      <c r="T75" s="2" t="inlineStr">
        <is>
          <t>2026-10-05T12:39:23Z</t>
        </is>
      </c>
      <c r="U75" s="2" t="n">
        <v>13</v>
      </c>
      <c r="V75" s="2" t="n"/>
      <c r="W75" s="2" t="n"/>
      <c r="X75" s="2" t="n"/>
      <c r="Y75" s="2" t="n"/>
      <c r="Z75" s="2" t="inlineStr">
        <is>
          <t>sí</t>
        </is>
      </c>
      <c r="AA75" s="2" t="n"/>
      <c r="AB75" s="2" t="n">
        <v>12</v>
      </c>
      <c r="AC75" s="2" t="n"/>
      <c r="AD75" s="2" t="n"/>
      <c r="AE75" s="2" t="n"/>
      <c r="AF75" s="2" t="n"/>
      <c r="AG75" s="2" t="n"/>
      <c r="AH75" s="2" t="n">
        <v>5000</v>
      </c>
      <c r="AI75" s="2" t="n"/>
      <c r="AJ75" s="2" t="n"/>
      <c r="AK75" s="2" t="n"/>
      <c r="AL75" s="2" t="n"/>
      <c r="AM75" s="2" t="n">
        <v>10.2</v>
      </c>
      <c r="AN75" s="2" t="n"/>
      <c r="AO75" s="2" t="inlineStr">
        <is>
          <t>2011</t>
        </is>
      </c>
      <c r="AP75" s="2" t="n">
        <v>2011</v>
      </c>
      <c r="AQ75" s="2" t="n"/>
      <c r="AR75" s="2" t="inlineStr">
        <is>
          <t>B</t>
        </is>
      </c>
      <c r="AS75" s="2" t="inlineStr">
        <is>
          <t>anuncio</t>
        </is>
      </c>
      <c r="AT75" s="2" t="n"/>
      <c r="AU75" s="2" t="inlineStr">
        <is>
          <t>no</t>
        </is>
      </c>
      <c r="AV75" s="2" t="inlineStr">
        <is>
          <t>no</t>
        </is>
      </c>
      <c r="AW75" s="2" t="inlineStr">
        <is>
          <t>no</t>
        </is>
      </c>
      <c r="AX75" s="2" t="n">
        <v>4700</v>
      </c>
      <c r="AY75" s="2" t="n">
        <v>4</v>
      </c>
      <c r="AZ75" s="2" t="inlineStr">
        <is>
          <t>modelo+año+km</t>
        </is>
      </c>
      <c r="BA75" s="2" t="n"/>
      <c r="BB75" s="2" t="inlineStr">
        <is>
          <t>por encima del presupuesto (5064 €), negociar; vendedor profesional: sin ITP (operación con IVA/REBU, confirmar en factura); gastos de gestión del vendedor no indicados: se suma la tasa DGT; preguntar el precio final; diésel: motor sin fuente de fiabilidad (fiabilidad limitada a neutra); revisar: no menciona la ITV</t>
        </is>
      </c>
      <c r="BC75" s="2" t="inlineStr">
        <is>
          <t>Este Ford Fiesta 1.4 TDCi Trend es un berlina compacto de cinco puertas que destaca por su practicidad y eficiencia en consumo. El motor diésel de 1.4 litros entrega 70 CV con un par de 160 Nm, ofreciendo un comportamiento equilibrado tanto en circulación urbana como en carretera. La transmisión manual de cinco velocidades proporciona un control directo y contribuye a mantener consumos moderados, con una media de 4,1 l/100 km en ciclo mixto.
El espacio interior resulta funcional para el segmento: 295 litros de maletero con asientos montados, ampliables a 979 litros con los respaldos traseros abatidos. Los asientos delanteros incluyen ajuste en altura manual y los traseros cuentan con respaldo abatible asimétrico, lo que facilita la versatilidad de carga. La dirección asistida eléctrica con endurecimiento progresivo y la suspensión independiente delantera tipo McPherson proporcionan una conducción cómoda y controlada.
En cuanto a seguridad, este vehículo incorpora airbags frontales inteligentes y laterales delanteros, cinturones de seguridad con pretensores en los asientos delanteros, ABS y control de estabilidad. Los cristales tintados mejoran la privacidad y el confort térmico.
El equipamiento de confort incluye cierre centralizado con mando a distancia, elevalunas eléctricos delanteros con función de un solo toque, volante ajustable en altura y profundidad, y sistema de ventilación con filtro de pólen. El ordenador de viaje facilita el seguimiento del consumo y la autono</t>
        </is>
      </c>
      <c r="BD75" s="2" t="inlineStr">
        <is>
          <t>https://www.coches.net/ford-fiesta-14-tdci-trend-5p-diesel-2011-en-valencia-71021675-covo.aspx (window.__INITIAL_PROPS__.ad) /home/user/Alopecia/buscador-coches/raw/cochesnet/1f22be94c870808d.json</t>
        </is>
      </c>
      <c r="BE75" s="3">
        <f>MAX(ANIO_ACTUAL-M75,0)</f>
        <v/>
      </c>
      <c r="BF75" s="4">
        <f>N75/MAX(BE75,0.5)</f>
        <v/>
      </c>
      <c r="BG75" s="4">
        <f>F75</f>
        <v/>
      </c>
      <c r="BH75" s="3">
        <f>BG75&amp;"|"&amp;INT(M75/SEG_ANIO)*SEG_ANIO</f>
        <v/>
      </c>
      <c r="BI75" s="3">
        <f>BH75&amp;"|"&amp;INT(N75/SEG_KM)*SEG_KM</f>
        <v/>
      </c>
      <c r="BJ75" s="4">
        <f>COUNTIF($BG$2:$BG$130,BG75)</f>
        <v/>
      </c>
      <c r="BK75" s="4">
        <f>COUNTIF($BH$2:$BH$130,BH75)</f>
        <v/>
      </c>
      <c r="BL75" s="4">
        <f>COUNTIF($BI$2:$BI$130,BI75)</f>
        <v/>
      </c>
      <c r="BM75" s="3">
        <f t="array" ref="BM75">IF(N(AY75)&gt;=MIN_N,AX75,IF(BL75&gt;=MIN_N,MEDIAN(IF($BI$2:$BI$130=BI75,$O$2:$O$130)),IF(BK75&gt;=MIN_N,MEDIAN(IF($BH$2:$BH$130=BH75,$O$2:$O$130)),MEDIAN(IF($BG$2:$BG$130=BG75,$O$2:$O$130)))))</f>
        <v/>
      </c>
      <c r="BN75" s="3">
        <f>IF(N(AY75)&gt;=MIN_N,"mercado "&amp;AZ75,IF(BL75&gt;=MIN_N,"modelo+año+km",IF(BK75&gt;=MIN_N,"modelo+año","modelo")))</f>
        <v/>
      </c>
      <c r="BO75" s="4">
        <f>(BM75-O75)/BM75</f>
        <v/>
      </c>
      <c r="BP75" s="3">
        <f>IF(COUNTIFS(FR_FUEL,K75,FR_YEAR,AP75)&gt;0,1,0)</f>
        <v/>
      </c>
      <c r="BQ75" s="3">
        <f>IF(COUNTIFS(FR_FUEL,K75,FR_YEAR,AP75-1)&gt;0,1,0)</f>
        <v/>
      </c>
      <c r="BR75" s="4">
        <f>IF(N(AQ75)&gt;0,AP75*100+AQ75,IF(AND(BP75=1,BQ75=1),(AP75-1)*100+1,AP75*100+1))</f>
        <v/>
      </c>
      <c r="BS75" s="3">
        <f>IF(OR(K75="hibrido",K75="glp",K75="gnc",K75="phev"),"ECO",IF(K75="electrico","CERO",IF(K75="gasolina",IF(BR75&gt;=GAS_C_YM,"C",IF(BR75&gt;=GAS_B_YM,"B","A")),IF(K75="diesel",IF(BR75&gt;=DIE_C_YM,"C",IF(BR75&gt;=DIE_B_YM,"B","A")),""))))</f>
        <v/>
      </c>
      <c r="BT75" s="2" t="inlineStr">
        <is>
          <t>B</t>
        </is>
      </c>
      <c r="BU75" s="4">
        <f>IF(AU75="sí","sí",IF(AS75="regla",IF(AND(N(AQ75)=0,BP75=1),"sí","no"),"no"))</f>
        <v/>
      </c>
      <c r="BV75" s="3">
        <f>IFERROR(VLOOKUP(F75,MOD_TBL,16,0),IFERROR(VLOOKUP(E75,OCU_TBL,2,0),NEUTRO))</f>
        <v/>
      </c>
      <c r="BW75" s="3">
        <f>SUMIFS(MOT_AJUSTE,MOT_MOTOR,G75,MOT_MARCA,E75,MOT_DESDE,"&lt;="&amp;M75,MOT_HASTA,"&gt;="&amp;M75)+SUMIFS(MOT_AJUSTE,MOT_MOTOR,G75,MOT_MARCA,"(todas)",MOT_DESDE,"&lt;="&amp;M75,MOT_HASTA,"&gt;="&amp;M75)+SUMIFS(MOT_AJUSTE,MOT_MOTOR,"(cualquiera)",MOT_MARCA,E75,MOT_DESDE,"&lt;="&amp;M75,MOT_HASTA,"&gt;="&amp;M75)</f>
        <v/>
      </c>
      <c r="BX75" s="3">
        <f>SUMIFS(COMB_AJUSTE,COMB_COMB,K75)</f>
        <v/>
      </c>
      <c r="BY75" s="3">
        <f>COUNTIFS(MOT_MOTOR,G75,MOT_MARCA,E75,MOT_DESDE,"&lt;="&amp;M75,MOT_HASTA,"&gt;="&amp;M75)+COUNTIFS(MOT_MOTOR,G75,MOT_MARCA,"(todas)",MOT_DESDE,"&lt;="&amp;M75,MOT_HASTA,"&gt;="&amp;M75)+COUNTIFS(MOT_MOTOR,"(cualquiera)",MOT_MARCA,E75,MOT_DESDE,"&lt;="&amp;M75,MOT_HASTA,"&gt;="&amp;M75)</f>
        <v/>
      </c>
      <c r="BZ75" s="3">
        <f>IF(AND(K75="diesel",BY75=0),MIN(BV75,NEUTRO),BV75)</f>
        <v/>
      </c>
      <c r="CA75" s="3">
        <f>MAX(0,MIN(100,BZ75+BW75+BX75-IF(AV75="sí",ROB_PEN,0)))</f>
        <v/>
      </c>
      <c r="CB75" s="3">
        <f>100-MAX(0,N75-KM_TOPE_DESDE)/1000*KM_TOPE_PTS</f>
        <v/>
      </c>
      <c r="CC75" s="3">
        <f>MAX(0,MIN(100,50+BO75*PRECIO_PEND,CB75))</f>
        <v/>
      </c>
      <c r="CD75" s="3">
        <f>MAX(0,100*(1-N75/KM_MAX))</f>
        <v/>
      </c>
      <c r="CE75" s="3">
        <f>IF(BF75&lt;KMA_SOSP,IF(AA75="sí",100,KMA_PEN),IF(BF75&lt;=KMA_IDEAL_MAX,100,MAX(0,100*(KMA_CERO-BF75)/(KMA_CERO-KMA_IDEAL_MAX))))</f>
        <v/>
      </c>
      <c r="CF75" s="3">
        <f>MAX(0,MIN(100,100*(M75-ANIO_MIN)/(ANIO_ACTUAL-ANIO_MIN)))</f>
        <v/>
      </c>
      <c r="CG75" s="3">
        <f>W_KMT*CD75+W_KMA*CE75+W_EDAD*CF75</f>
        <v/>
      </c>
      <c r="CH75" s="3">
        <f>P_ITV*(V75="sí")+P_LIBRO*(W75="sí")+P_CORREA*(X75="sí")+P_PROP*(Y75=1)+P_GAR*(Z75="sí")+P_FOTOS*MIN(1,N(U75)/FOTOS_OBJ)</f>
        <v/>
      </c>
      <c r="CI75" s="3">
        <f>MAX(0,MIN(100,IFERROR(VLOOKUP(BT75,ETQ_TBL,2,0),0)-IF(BU75="sí",ETQ_PEN_DUD,IF(AS75="regla",ETQ_PEN_REGLA,0))))</f>
        <v/>
      </c>
      <c r="CJ75" s="3">
        <f>IF(K75&lt;&gt;"gasolina","",IFERROR(VLOOKUP(F75,CONS_MOD_TBL,2,0),IFERROR(VLOOKUP(L75,CONS_SEG_TBL,2,0),"")))</f>
        <v/>
      </c>
      <c r="CK75" s="3">
        <f>IF(CJ75="",NEUTRO,MAX(0,MIN(100,100*(CONS_REF_MAX-CJ75)/(CONS_REF_MAX-CONS_REF_MIN))))</f>
        <v/>
      </c>
      <c r="CL75" s="3">
        <f>IFERROR(VLOOKUP(L75,SEGURO_TBL,3,0),"")</f>
        <v/>
      </c>
      <c r="CM75" s="3">
        <f>IF(CL75="",NEUTRO,MAX(0,MIN(100,100*(SEG_REF_MAX-CL75)/(SEG_REF_MAX-SEG_REF_MIN))))</f>
        <v/>
      </c>
      <c r="CN75" s="3">
        <f>W_CONS*CK75+W_SEG*CM75</f>
        <v/>
      </c>
      <c r="CO75" s="3">
        <f>IF(N(AB75)&gt;0,AB75,IF(AND(R75="profesional",SG_LEGAL_ON=1),GAR_LEGAL,0))</f>
        <v/>
      </c>
      <c r="CP75" s="3">
        <f>SG_GAR*MIN(1,CO75/SG_GAR_FULL)+SG_AMPL*(AC75="sí")+SG_KMC*(AF75="sí")+SG_REV*(N(AE75)&gt;0)+SG_DEV*MIN(1,N(AG75)/SG_DEV_FULL)+SG_HIST*(W75="sí")</f>
        <v/>
      </c>
      <c r="CQ75" s="3">
        <f>IF(AW75="sí",ESTILO_PRIO,IFERROR(VLOOKUP(L75,ESTILO_TBL,2,0),NEUTRO))</f>
        <v/>
      </c>
      <c r="CR75" s="3">
        <f>IFERROR(VLOOKUP(L75,CARR_PEN_TBL,2,0),0)</f>
        <v/>
      </c>
      <c r="CS75" s="3">
        <f>W_FIAB*CA75+W_PRECIO*CC75+W_KMEDAD*CG75+W_ANUNCIO*CH75+W_USO*CN75+W_SEGURIDAD*CP75+W_ETIQUETA*CI75+W_ESTILO*CQ75-CR75</f>
        <v/>
      </c>
      <c r="CT75" s="4">
        <f>IF(N(I75)&gt;0,I75,IFERROR(ROUND(_xlfn.NUMBERVALUE(LEFT(G75,FIND(" ",G75&amp;" ")-1),".")*1000,0),99999))</f>
        <v/>
      </c>
      <c r="CU75" s="3">
        <f>IF(R75="profesional",0,IF(O75&lt;CUOTA_VALOR_MAX,IF(BE75&gt;ITP_TRAMO_ALTO,SUMIFS(CF_CUOTA,CF_MAS,ITP_TRAMO_ALTO,CF_CCMIN,"&lt;="&amp;CT75,CF_CCMAX,"&gt;="&amp;CT75),IF(BE75&gt;ITP_TRAMO_BAJO,SUMIFS(CF_CUOTA,CF_MAS,ITP_TRAMO_BAJO,CF_CCMIN,"&lt;="&amp;CT75,CF_CCMAX,"&gt;="&amp;CT75),O75*ITP_TIPO)),O75*ITP_TIPO))</f>
        <v/>
      </c>
      <c r="CV75" s="4">
        <f>IF(R75="profesional",N(AK75),0)</f>
        <v/>
      </c>
      <c r="CW75" s="3">
        <f>IF(AND(R75="profesional",ISNUMBER(AK75),AL75="sí"),0,TASA_DGT)</f>
        <v/>
      </c>
      <c r="CX75" s="3">
        <f>INFORME_DGT</f>
        <v/>
      </c>
      <c r="CY75" s="4">
        <f>O75+CV75+CU75+CW75+CX75</f>
        <v/>
      </c>
      <c r="CZ75" s="4">
        <f>CY75+N(CL75)</f>
        <v/>
      </c>
      <c r="DA75" s="3">
        <f>IF(CY75&lt;=TOTAL_MAX,"sí",IF(CY75&lt;=TOTAL_MAX+MARGEN_NEG,"negociar","no"))</f>
        <v/>
      </c>
      <c r="DB75" s="4">
        <f>IF(DA75&lt;&gt;"no",COUNTIFS($DA$2:$DA$130,"&lt;&gt;no",$CS$2:$CS$130,"&gt;"&amp;CS75)+COUNTIFS($DA$2:DA75,"&lt;&gt;no",$CS$2:CS75,CS75),"")</f>
        <v/>
      </c>
    </row>
    <row r="76">
      <c r="A76" s="2" t="inlineStr">
        <is>
          <t>cochesnet:71579775</t>
        </is>
      </c>
      <c r="B76" s="2" t="inlineStr">
        <is>
          <t>cochesnet</t>
        </is>
      </c>
      <c r="C76" s="2" t="inlineStr">
        <is>
          <t>https://www.coches.net/ford-fiesta-14-tdci-ghia-5p-diesel-2009-en-valencia-71579775-covo.aspx</t>
        </is>
      </c>
      <c r="D76" s="2" t="inlineStr">
        <is>
          <t>FORD Fiesta 1.4 TDCi Ghia</t>
        </is>
      </c>
      <c r="E76" s="2" t="inlineStr">
        <is>
          <t>Ford</t>
        </is>
      </c>
      <c r="F76" s="2" t="inlineStr">
        <is>
          <t>Ford Fiesta</t>
        </is>
      </c>
      <c r="G76" s="2" t="inlineStr">
        <is>
          <t>1.4 TDCi</t>
        </is>
      </c>
      <c r="H76" s="2" t="inlineStr">
        <is>
          <t>1.4 TDCi Ghia</t>
        </is>
      </c>
      <c r="I76" s="2" t="n"/>
      <c r="J76" s="2" t="n"/>
      <c r="K76" s="2" t="inlineStr">
        <is>
          <t>diesel</t>
        </is>
      </c>
      <c r="L76" s="2" t="inlineStr">
        <is>
          <t>utilitario</t>
        </is>
      </c>
      <c r="M76" s="2" t="n">
        <v>2009</v>
      </c>
      <c r="N76" s="2" t="n">
        <v>149000</v>
      </c>
      <c r="O76" s="2" t="n">
        <v>4990</v>
      </c>
      <c r="P76" s="2" t="inlineStr">
        <is>
          <t>manual</t>
        </is>
      </c>
      <c r="Q76" s="2" t="inlineStr">
        <is>
          <t>no</t>
        </is>
      </c>
      <c r="R76" s="2" t="inlineStr">
        <is>
          <t>profesional</t>
        </is>
      </c>
      <c r="S76" s="2" t="inlineStr">
        <is>
          <t>IMPER BLUE Bonrepòs i Mirambell</t>
        </is>
      </c>
      <c r="T76" s="2" t="inlineStr">
        <is>
          <t>2026-09-23T12:26:07Z</t>
        </is>
      </c>
      <c r="U76" s="2" t="n">
        <v>17</v>
      </c>
      <c r="V76" s="2" t="inlineStr">
        <is>
          <t>sí</t>
        </is>
      </c>
      <c r="W76" s="2" t="n"/>
      <c r="X76" s="2" t="n"/>
      <c r="Y76" s="2" t="n"/>
      <c r="Z76" s="2" t="inlineStr">
        <is>
          <t>sí</t>
        </is>
      </c>
      <c r="AA76" s="2" t="n"/>
      <c r="AB76" s="2" t="n">
        <v>12</v>
      </c>
      <c r="AC76" s="2" t="n"/>
      <c r="AD76" s="2" t="n"/>
      <c r="AE76" s="2" t="n"/>
      <c r="AF76" s="2" t="n"/>
      <c r="AG76" s="2" t="n"/>
      <c r="AH76" s="2" t="n">
        <v>4990</v>
      </c>
      <c r="AI76" s="2" t="n">
        <v>4990</v>
      </c>
      <c r="AJ76" s="2" t="n"/>
      <c r="AK76" s="2" t="n"/>
      <c r="AL76" s="2" t="n"/>
      <c r="AM76" s="2" t="n">
        <v>5.3</v>
      </c>
      <c r="AN76" s="2" t="n"/>
      <c r="AO76" s="2" t="inlineStr">
        <is>
          <t>2009</t>
        </is>
      </c>
      <c r="AP76" s="2" t="n">
        <v>2009</v>
      </c>
      <c r="AQ76" s="2" t="n"/>
      <c r="AR76" s="2" t="inlineStr">
        <is>
          <t>B</t>
        </is>
      </c>
      <c r="AS76" s="2" t="inlineStr">
        <is>
          <t>anuncio</t>
        </is>
      </c>
      <c r="AT76" s="2" t="n"/>
      <c r="AU76" s="2" t="inlineStr">
        <is>
          <t>no</t>
        </is>
      </c>
      <c r="AV76" s="2" t="inlineStr">
        <is>
          <t>no</t>
        </is>
      </c>
      <c r="AW76" s="2" t="inlineStr">
        <is>
          <t>no</t>
        </is>
      </c>
      <c r="AX76" s="2" t="n">
        <v>4990</v>
      </c>
      <c r="AY76" s="2" t="n">
        <v>9</v>
      </c>
      <c r="AZ76" s="2" t="inlineStr">
        <is>
          <t>modelo+año+km</t>
        </is>
      </c>
      <c r="BA76" s="2" t="n"/>
      <c r="BB76"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BC76" s="2" t="inlineStr">
        <is>
          <t>- IMPER BLUE - 
Concesionario multimarca con mas de 300 vehículos en stock.
Vehículo nacional en perfecto estado de funcionamiento general , cuenta con las 2 llaves originales y se entrega con mantenimiento e ITV al día. 
GARANTIA de 12 meses INCLUIDA en el precio.
Ford fiesta 1.4 Diesel tdci motor super fiable con un consumo muy bajo ideal para el día a día, vehículo bien cuidado con un perfecto funcionamiento total. 
Dispone de paquete deportivo con llantas de aluminio 5 radios
Climatizador digital
Eleva lunas eléctricos
Radio con conexión para el móvil
Cierre centralizado 
Para mas información no dude en contactarnos, el anuncio puede contener errores tipográficos.</t>
        </is>
      </c>
      <c r="BD76" s="2" t="inlineStr">
        <is>
          <t>https://www.coches.net/ford-fiesta-14-tdci-ghia-5p-diesel-2009-en-valencia-71579775-covo.aspx (window.__INITIAL_PROPS__.ad) /home/user/Alopecia/buscador-coches/raw/cochesnet/e6fe16c41392a16e.json</t>
        </is>
      </c>
      <c r="BE76" s="3">
        <f>MAX(ANIO_ACTUAL-M76,0)</f>
        <v/>
      </c>
      <c r="BF76" s="4">
        <f>N76/MAX(BE76,0.5)</f>
        <v/>
      </c>
      <c r="BG76" s="4">
        <f>F76</f>
        <v/>
      </c>
      <c r="BH76" s="3">
        <f>BG76&amp;"|"&amp;INT(M76/SEG_ANIO)*SEG_ANIO</f>
        <v/>
      </c>
      <c r="BI76" s="3">
        <f>BH76&amp;"|"&amp;INT(N76/SEG_KM)*SEG_KM</f>
        <v/>
      </c>
      <c r="BJ76" s="4">
        <f>COUNTIF($BG$2:$BG$130,BG76)</f>
        <v/>
      </c>
      <c r="BK76" s="4">
        <f>COUNTIF($BH$2:$BH$130,BH76)</f>
        <v/>
      </c>
      <c r="BL76" s="4">
        <f>COUNTIF($BI$2:$BI$130,BI76)</f>
        <v/>
      </c>
      <c r="BM76" s="3">
        <f t="array" ref="BM76">IF(N(AY76)&gt;=MIN_N,AX76,IF(BL76&gt;=MIN_N,MEDIAN(IF($BI$2:$BI$130=BI76,$O$2:$O$130)),IF(BK76&gt;=MIN_N,MEDIAN(IF($BH$2:$BH$130=BH76,$O$2:$O$130)),MEDIAN(IF($BG$2:$BG$130=BG76,$O$2:$O$130)))))</f>
        <v/>
      </c>
      <c r="BN76" s="3">
        <f>IF(N(AY76)&gt;=MIN_N,"mercado "&amp;AZ76,IF(BL76&gt;=MIN_N,"modelo+año+km",IF(BK76&gt;=MIN_N,"modelo+año","modelo")))</f>
        <v/>
      </c>
      <c r="BO76" s="4">
        <f>(BM76-O76)/BM76</f>
        <v/>
      </c>
      <c r="BP76" s="3">
        <f>IF(COUNTIFS(FR_FUEL,K76,FR_YEAR,AP76)&gt;0,1,0)</f>
        <v/>
      </c>
      <c r="BQ76" s="3">
        <f>IF(COUNTIFS(FR_FUEL,K76,FR_YEAR,AP76-1)&gt;0,1,0)</f>
        <v/>
      </c>
      <c r="BR76" s="4">
        <f>IF(N(AQ76)&gt;0,AP76*100+AQ76,IF(AND(BP76=1,BQ76=1),(AP76-1)*100+1,AP76*100+1))</f>
        <v/>
      </c>
      <c r="BS76" s="3">
        <f>IF(OR(K76="hibrido",K76="glp",K76="gnc",K76="phev"),"ECO",IF(K76="electrico","CERO",IF(K76="gasolina",IF(BR76&gt;=GAS_C_YM,"C",IF(BR76&gt;=GAS_B_YM,"B","A")),IF(K76="diesel",IF(BR76&gt;=DIE_C_YM,"C",IF(BR76&gt;=DIE_B_YM,"B","A")),""))))</f>
        <v/>
      </c>
      <c r="BT76" s="2" t="inlineStr">
        <is>
          <t>B</t>
        </is>
      </c>
      <c r="BU76" s="4">
        <f>IF(AU76="sí","sí",IF(AS76="regla",IF(AND(N(AQ76)=0,BP76=1),"sí","no"),"no"))</f>
        <v/>
      </c>
      <c r="BV76" s="3">
        <f>IFERROR(VLOOKUP(F76,MOD_TBL,16,0),IFERROR(VLOOKUP(E76,OCU_TBL,2,0),NEUTRO))</f>
        <v/>
      </c>
      <c r="BW76" s="3">
        <f>SUMIFS(MOT_AJUSTE,MOT_MOTOR,G76,MOT_MARCA,E76,MOT_DESDE,"&lt;="&amp;M76,MOT_HASTA,"&gt;="&amp;M76)+SUMIFS(MOT_AJUSTE,MOT_MOTOR,G76,MOT_MARCA,"(todas)",MOT_DESDE,"&lt;="&amp;M76,MOT_HASTA,"&gt;="&amp;M76)+SUMIFS(MOT_AJUSTE,MOT_MOTOR,"(cualquiera)",MOT_MARCA,E76,MOT_DESDE,"&lt;="&amp;M76,MOT_HASTA,"&gt;="&amp;M76)</f>
        <v/>
      </c>
      <c r="BX76" s="3">
        <f>SUMIFS(COMB_AJUSTE,COMB_COMB,K76)</f>
        <v/>
      </c>
      <c r="BY76" s="3">
        <f>COUNTIFS(MOT_MOTOR,G76,MOT_MARCA,E76,MOT_DESDE,"&lt;="&amp;M76,MOT_HASTA,"&gt;="&amp;M76)+COUNTIFS(MOT_MOTOR,G76,MOT_MARCA,"(todas)",MOT_DESDE,"&lt;="&amp;M76,MOT_HASTA,"&gt;="&amp;M76)+COUNTIFS(MOT_MOTOR,"(cualquiera)",MOT_MARCA,E76,MOT_DESDE,"&lt;="&amp;M76,MOT_HASTA,"&gt;="&amp;M76)</f>
        <v/>
      </c>
      <c r="BZ76" s="3">
        <f>IF(AND(K76="diesel",BY76=0),MIN(BV76,NEUTRO),BV76)</f>
        <v/>
      </c>
      <c r="CA76" s="3">
        <f>MAX(0,MIN(100,BZ76+BW76+BX76-IF(AV76="sí",ROB_PEN,0)))</f>
        <v/>
      </c>
      <c r="CB76" s="3">
        <f>100-MAX(0,N76-KM_TOPE_DESDE)/1000*KM_TOPE_PTS</f>
        <v/>
      </c>
      <c r="CC76" s="3">
        <f>MAX(0,MIN(100,50+BO76*PRECIO_PEND,CB76))</f>
        <v/>
      </c>
      <c r="CD76" s="3">
        <f>MAX(0,100*(1-N76/KM_MAX))</f>
        <v/>
      </c>
      <c r="CE76" s="3">
        <f>IF(BF76&lt;KMA_SOSP,IF(AA76="sí",100,KMA_PEN),IF(BF76&lt;=KMA_IDEAL_MAX,100,MAX(0,100*(KMA_CERO-BF76)/(KMA_CERO-KMA_IDEAL_MAX))))</f>
        <v/>
      </c>
      <c r="CF76" s="3">
        <f>MAX(0,MIN(100,100*(M76-ANIO_MIN)/(ANIO_ACTUAL-ANIO_MIN)))</f>
        <v/>
      </c>
      <c r="CG76" s="3">
        <f>W_KMT*CD76+W_KMA*CE76+W_EDAD*CF76</f>
        <v/>
      </c>
      <c r="CH76" s="3">
        <f>P_ITV*(V76="sí")+P_LIBRO*(W76="sí")+P_CORREA*(X76="sí")+P_PROP*(Y76=1)+P_GAR*(Z76="sí")+P_FOTOS*MIN(1,N(U76)/FOTOS_OBJ)</f>
        <v/>
      </c>
      <c r="CI76" s="3">
        <f>MAX(0,MIN(100,IFERROR(VLOOKUP(BT76,ETQ_TBL,2,0),0)-IF(BU76="sí",ETQ_PEN_DUD,IF(AS76="regla",ETQ_PEN_REGLA,0))))</f>
        <v/>
      </c>
      <c r="CJ76" s="3">
        <f>IF(K76&lt;&gt;"gasolina","",IFERROR(VLOOKUP(F76,CONS_MOD_TBL,2,0),IFERROR(VLOOKUP(L76,CONS_SEG_TBL,2,0),"")))</f>
        <v/>
      </c>
      <c r="CK76" s="3">
        <f>IF(CJ76="",NEUTRO,MAX(0,MIN(100,100*(CONS_REF_MAX-CJ76)/(CONS_REF_MAX-CONS_REF_MIN))))</f>
        <v/>
      </c>
      <c r="CL76" s="3">
        <f>IFERROR(VLOOKUP(L76,SEGURO_TBL,3,0),"")</f>
        <v/>
      </c>
      <c r="CM76" s="3">
        <f>IF(CL76="",NEUTRO,MAX(0,MIN(100,100*(SEG_REF_MAX-CL76)/(SEG_REF_MAX-SEG_REF_MIN))))</f>
        <v/>
      </c>
      <c r="CN76" s="3">
        <f>W_CONS*CK76+W_SEG*CM76</f>
        <v/>
      </c>
      <c r="CO76" s="3">
        <f>IF(N(AB76)&gt;0,AB76,IF(AND(R76="profesional",SG_LEGAL_ON=1),GAR_LEGAL,0))</f>
        <v/>
      </c>
      <c r="CP76" s="3">
        <f>SG_GAR*MIN(1,CO76/SG_GAR_FULL)+SG_AMPL*(AC76="sí")+SG_KMC*(AF76="sí")+SG_REV*(N(AE76)&gt;0)+SG_DEV*MIN(1,N(AG76)/SG_DEV_FULL)+SG_HIST*(W76="sí")</f>
        <v/>
      </c>
      <c r="CQ76" s="3">
        <f>IF(AW76="sí",ESTILO_PRIO,IFERROR(VLOOKUP(L76,ESTILO_TBL,2,0),NEUTRO))</f>
        <v/>
      </c>
      <c r="CR76" s="3">
        <f>IFERROR(VLOOKUP(L76,CARR_PEN_TBL,2,0),0)</f>
        <v/>
      </c>
      <c r="CS76" s="3">
        <f>W_FIAB*CA76+W_PRECIO*CC76+W_KMEDAD*CG76+W_ANUNCIO*CH76+W_USO*CN76+W_SEGURIDAD*CP76+W_ETIQUETA*CI76+W_ESTILO*CQ76-CR76</f>
        <v/>
      </c>
      <c r="CT76" s="4">
        <f>IF(N(I76)&gt;0,I76,IFERROR(ROUND(_xlfn.NUMBERVALUE(LEFT(G76,FIND(" ",G76&amp;" ")-1),".")*1000,0),99999))</f>
        <v/>
      </c>
      <c r="CU76" s="3">
        <f>IF(R76="profesional",0,IF(O76&lt;CUOTA_VALOR_MAX,IF(BE76&gt;ITP_TRAMO_ALTO,SUMIFS(CF_CUOTA,CF_MAS,ITP_TRAMO_ALTO,CF_CCMIN,"&lt;="&amp;CT76,CF_CCMAX,"&gt;="&amp;CT76),IF(BE76&gt;ITP_TRAMO_BAJO,SUMIFS(CF_CUOTA,CF_MAS,ITP_TRAMO_BAJO,CF_CCMIN,"&lt;="&amp;CT76,CF_CCMAX,"&gt;="&amp;CT76),O76*ITP_TIPO)),O76*ITP_TIPO))</f>
        <v/>
      </c>
      <c r="CV76" s="4">
        <f>IF(R76="profesional",N(AK76),0)</f>
        <v/>
      </c>
      <c r="CW76" s="3">
        <f>IF(AND(R76="profesional",ISNUMBER(AK76),AL76="sí"),0,TASA_DGT)</f>
        <v/>
      </c>
      <c r="CX76" s="3">
        <f>INFORME_DGT</f>
        <v/>
      </c>
      <c r="CY76" s="4">
        <f>O76+CV76+CU76+CW76+CX76</f>
        <v/>
      </c>
      <c r="CZ76" s="4">
        <f>CY76+N(CL76)</f>
        <v/>
      </c>
      <c r="DA76" s="3">
        <f>IF(CY76&lt;=TOTAL_MAX,"sí",IF(CY76&lt;=TOTAL_MAX+MARGEN_NEG,"negociar","no"))</f>
        <v/>
      </c>
      <c r="DB76" s="4">
        <f>IF(DA76&lt;&gt;"no",COUNTIFS($DA$2:$DA$130,"&lt;&gt;no",$CS$2:$CS$130,"&gt;"&amp;CS76)+COUNTIFS($DA$2:DA76,"&lt;&gt;no",$CS$2:CS76,CS76),"")</f>
        <v/>
      </c>
    </row>
    <row r="77">
      <c r="A77" s="2" t="inlineStr">
        <is>
          <t>cochesnet:71753984</t>
        </is>
      </c>
      <c r="B77" s="2" t="inlineStr">
        <is>
          <t>cochesnet</t>
        </is>
      </c>
      <c r="C77" s="2" t="inlineStr">
        <is>
          <t>https://www.coches.net/ford-focus-18-tdci-ghia-4p-diesel-2007-en-valencia-71753984-covo.aspx</t>
        </is>
      </c>
      <c r="D77" s="2" t="inlineStr">
        <is>
          <t>FORD Focus 1.8 TDCi Ghia</t>
        </is>
      </c>
      <c r="E77" s="2" t="inlineStr">
        <is>
          <t>Ford</t>
        </is>
      </c>
      <c r="F77" s="2" t="inlineStr">
        <is>
          <t>Ford Focus</t>
        </is>
      </c>
      <c r="G77" s="2" t="inlineStr">
        <is>
          <t>1.8 TDCi</t>
        </is>
      </c>
      <c r="H77" s="2" t="inlineStr">
        <is>
          <t>1.8 TDCi Ghia</t>
        </is>
      </c>
      <c r="I77" s="2" t="n"/>
      <c r="J77" s="2" t="n"/>
      <c r="K77" s="2" t="inlineStr">
        <is>
          <t>diesel</t>
        </is>
      </c>
      <c r="L77" s="2" t="inlineStr">
        <is>
          <t>compacto</t>
        </is>
      </c>
      <c r="M77" s="2" t="n">
        <v>2007</v>
      </c>
      <c r="N77" s="2" t="n">
        <v>208000</v>
      </c>
      <c r="O77" s="2" t="n">
        <v>3500</v>
      </c>
      <c r="P77" s="2" t="inlineStr">
        <is>
          <t>manual</t>
        </is>
      </c>
      <c r="Q77" s="2" t="inlineStr">
        <is>
          <t>no</t>
        </is>
      </c>
      <c r="R77" s="2" t="inlineStr">
        <is>
          <t>profesional</t>
        </is>
      </c>
      <c r="S77" s="2" t="inlineStr">
        <is>
          <t>Los autos locos xirivella  Xirivella</t>
        </is>
      </c>
      <c r="T77" s="2" t="inlineStr">
        <is>
          <t>2026-10-15T16:38:59Z</t>
        </is>
      </c>
      <c r="U77" s="2" t="n">
        <v>8</v>
      </c>
      <c r="V77" s="2" t="inlineStr">
        <is>
          <t>sí</t>
        </is>
      </c>
      <c r="W77" s="2" t="n"/>
      <c r="X77" s="2" t="n"/>
      <c r="Y77" s="2" t="n"/>
      <c r="Z77" s="2" t="inlineStr">
        <is>
          <t>sí</t>
        </is>
      </c>
      <c r="AA77" s="2" t="n"/>
      <c r="AB77" s="2" t="n">
        <v>12</v>
      </c>
      <c r="AC77" s="2" t="n"/>
      <c r="AD77" s="2" t="n"/>
      <c r="AE77" s="2" t="n"/>
      <c r="AF77" s="2" t="n"/>
      <c r="AG77" s="2" t="n"/>
      <c r="AH77" s="2" t="n">
        <v>3500</v>
      </c>
      <c r="AI77" s="2" t="n"/>
      <c r="AJ77" s="2" t="n"/>
      <c r="AK77" s="2" t="n"/>
      <c r="AL77" s="2" t="n"/>
      <c r="AM77" s="2" t="n">
        <v>4.7</v>
      </c>
      <c r="AN77" s="2" t="n"/>
      <c r="AO77" s="2" t="inlineStr">
        <is>
          <t>2007</t>
        </is>
      </c>
      <c r="AP77" s="2" t="n">
        <v>2007</v>
      </c>
      <c r="AQ77" s="2" t="n"/>
      <c r="AR77" s="2" t="inlineStr">
        <is>
          <t>B</t>
        </is>
      </c>
      <c r="AS77" s="2" t="inlineStr">
        <is>
          <t>anuncio</t>
        </is>
      </c>
      <c r="AT77" s="2" t="n"/>
      <c r="AU77" s="2" t="inlineStr">
        <is>
          <t>no</t>
        </is>
      </c>
      <c r="AV77" s="2" t="inlineStr">
        <is>
          <t>no</t>
        </is>
      </c>
      <c r="AW77" s="2" t="inlineStr">
        <is>
          <t>no</t>
        </is>
      </c>
      <c r="AX77" s="2" t="n">
        <v>3500</v>
      </c>
      <c r="AY77" s="2" t="n">
        <v>12</v>
      </c>
      <c r="AZ77" s="2" t="inlineStr">
        <is>
          <t>modelo+año+km</t>
        </is>
      </c>
      <c r="BA77" s="2" t="n"/>
      <c r="BB77" s="2" t="inlineStr">
        <is>
          <t>vendedor profesional: sin ITP (operación con IVA/REBU, confirmar en factura); gastos de gestión del vendedor no indicados: se suma la tasa DGT; preguntar el precio final; diésel: motor sin fuente de fiabilidad (fiabilidad limitada a neutra)</t>
        </is>
      </c>
      <c r="BC77" s="2" t="inlineStr">
        <is>
          <t>Este Focus TDCi Ghia destaca por su completo equipamiento de confort y tecnología. Dispone de aire acondicionado bizona automático, volante multifuncional de cuero ajustable, asientos delanteros con regulación lumbar, climatización con filtro de partículas, limpiaparabrisas con sensor de lluvia y retrovisores eléctricos desempañables. El sistema de audio incluye reproductor de CD con control remoto en volante, seis altavoces y ordenador de viaje con datos de consumo e autonomía. Incorpora control de crucero, cierre centralizado con mando a distancia, elevalunas eléctricos en todas las puertas y apertura de maletero eléctrica. La iluminación combina faros dobles halógenos con regulación automática de altura y sensor de luz ambiental, más luces antiniebla delanteras. Cristales tintados en toda la cabina y llantas de aleación completan este equipamiento integral pensado para viajes cómodos y seguros.
12 meses garantia
se entrega con la ITV recién pasada
se entrega con kit distribucion hecho
aceite y filtros
aire acondicionado ok
neumaticos ok
2 llaves
el iva se podra pactar entre ambos</t>
        </is>
      </c>
      <c r="BD77" s="2" t="inlineStr">
        <is>
          <t>https://www.coches.net/ford-focus-18-tdci-ghia-4p-diesel-2007-en-valencia-71753984-covo.aspx (window.__INITIAL_PROPS__.ad) /home/user/Alopecia/buscador-coches/raw/cochesnet/69aa5db4018a61a1.json</t>
        </is>
      </c>
      <c r="BE77" s="3">
        <f>MAX(ANIO_ACTUAL-M77,0)</f>
        <v/>
      </c>
      <c r="BF77" s="4">
        <f>N77/MAX(BE77,0.5)</f>
        <v/>
      </c>
      <c r="BG77" s="4">
        <f>F77</f>
        <v/>
      </c>
      <c r="BH77" s="3">
        <f>BG77&amp;"|"&amp;INT(M77/SEG_ANIO)*SEG_ANIO</f>
        <v/>
      </c>
      <c r="BI77" s="3">
        <f>BH77&amp;"|"&amp;INT(N77/SEG_KM)*SEG_KM</f>
        <v/>
      </c>
      <c r="BJ77" s="4">
        <f>COUNTIF($BG$2:$BG$130,BG77)</f>
        <v/>
      </c>
      <c r="BK77" s="4">
        <f>COUNTIF($BH$2:$BH$130,BH77)</f>
        <v/>
      </c>
      <c r="BL77" s="4">
        <f>COUNTIF($BI$2:$BI$130,BI77)</f>
        <v/>
      </c>
      <c r="BM77" s="3">
        <f t="array" ref="BM77">IF(N(AY77)&gt;=MIN_N,AX77,IF(BL77&gt;=MIN_N,MEDIAN(IF($BI$2:$BI$130=BI77,$O$2:$O$130)),IF(BK77&gt;=MIN_N,MEDIAN(IF($BH$2:$BH$130=BH77,$O$2:$O$130)),MEDIAN(IF($BG$2:$BG$130=BG77,$O$2:$O$130)))))</f>
        <v/>
      </c>
      <c r="BN77" s="3">
        <f>IF(N(AY77)&gt;=MIN_N,"mercado "&amp;AZ77,IF(BL77&gt;=MIN_N,"modelo+año+km",IF(BK77&gt;=MIN_N,"modelo+año","modelo")))</f>
        <v/>
      </c>
      <c r="BO77" s="4">
        <f>(BM77-O77)/BM77</f>
        <v/>
      </c>
      <c r="BP77" s="3">
        <f>IF(COUNTIFS(FR_FUEL,K77,FR_YEAR,AP77)&gt;0,1,0)</f>
        <v/>
      </c>
      <c r="BQ77" s="3">
        <f>IF(COUNTIFS(FR_FUEL,K77,FR_YEAR,AP77-1)&gt;0,1,0)</f>
        <v/>
      </c>
      <c r="BR77" s="4">
        <f>IF(N(AQ77)&gt;0,AP77*100+AQ77,IF(AND(BP77=1,BQ77=1),(AP77-1)*100+1,AP77*100+1))</f>
        <v/>
      </c>
      <c r="BS77" s="3">
        <f>IF(OR(K77="hibrido",K77="glp",K77="gnc",K77="phev"),"ECO",IF(K77="electrico","CERO",IF(K77="gasolina",IF(BR77&gt;=GAS_C_YM,"C",IF(BR77&gt;=GAS_B_YM,"B","A")),IF(K77="diesel",IF(BR77&gt;=DIE_C_YM,"C",IF(BR77&gt;=DIE_B_YM,"B","A")),""))))</f>
        <v/>
      </c>
      <c r="BT77" s="2" t="inlineStr">
        <is>
          <t>B</t>
        </is>
      </c>
      <c r="BU77" s="4">
        <f>IF(AU77="sí","sí",IF(AS77="regla",IF(AND(N(AQ77)=0,BP77=1),"sí","no"),"no"))</f>
        <v/>
      </c>
      <c r="BV77" s="3">
        <f>IFERROR(VLOOKUP(F77,MOD_TBL,16,0),IFERROR(VLOOKUP(E77,OCU_TBL,2,0),NEUTRO))</f>
        <v/>
      </c>
      <c r="BW77" s="3">
        <f>SUMIFS(MOT_AJUSTE,MOT_MOTOR,G77,MOT_MARCA,E77,MOT_DESDE,"&lt;="&amp;M77,MOT_HASTA,"&gt;="&amp;M77)+SUMIFS(MOT_AJUSTE,MOT_MOTOR,G77,MOT_MARCA,"(todas)",MOT_DESDE,"&lt;="&amp;M77,MOT_HASTA,"&gt;="&amp;M77)+SUMIFS(MOT_AJUSTE,MOT_MOTOR,"(cualquiera)",MOT_MARCA,E77,MOT_DESDE,"&lt;="&amp;M77,MOT_HASTA,"&gt;="&amp;M77)</f>
        <v/>
      </c>
      <c r="BX77" s="3">
        <f>SUMIFS(COMB_AJUSTE,COMB_COMB,K77)</f>
        <v/>
      </c>
      <c r="BY77" s="3">
        <f>COUNTIFS(MOT_MOTOR,G77,MOT_MARCA,E77,MOT_DESDE,"&lt;="&amp;M77,MOT_HASTA,"&gt;="&amp;M77)+COUNTIFS(MOT_MOTOR,G77,MOT_MARCA,"(todas)",MOT_DESDE,"&lt;="&amp;M77,MOT_HASTA,"&gt;="&amp;M77)+COUNTIFS(MOT_MOTOR,"(cualquiera)",MOT_MARCA,E77,MOT_DESDE,"&lt;="&amp;M77,MOT_HASTA,"&gt;="&amp;M77)</f>
        <v/>
      </c>
      <c r="BZ77" s="3">
        <f>IF(AND(K77="diesel",BY77=0),MIN(BV77,NEUTRO),BV77)</f>
        <v/>
      </c>
      <c r="CA77" s="3">
        <f>MAX(0,MIN(100,BZ77+BW77+BX77-IF(AV77="sí",ROB_PEN,0)))</f>
        <v/>
      </c>
      <c r="CB77" s="3">
        <f>100-MAX(0,N77-KM_TOPE_DESDE)/1000*KM_TOPE_PTS</f>
        <v/>
      </c>
      <c r="CC77" s="3">
        <f>MAX(0,MIN(100,50+BO77*PRECIO_PEND,CB77))</f>
        <v/>
      </c>
      <c r="CD77" s="3">
        <f>MAX(0,100*(1-N77/KM_MAX))</f>
        <v/>
      </c>
      <c r="CE77" s="3">
        <f>IF(BF77&lt;KMA_SOSP,IF(AA77="sí",100,KMA_PEN),IF(BF77&lt;=KMA_IDEAL_MAX,100,MAX(0,100*(KMA_CERO-BF77)/(KMA_CERO-KMA_IDEAL_MAX))))</f>
        <v/>
      </c>
      <c r="CF77" s="3">
        <f>MAX(0,MIN(100,100*(M77-ANIO_MIN)/(ANIO_ACTUAL-ANIO_MIN)))</f>
        <v/>
      </c>
      <c r="CG77" s="3">
        <f>W_KMT*CD77+W_KMA*CE77+W_EDAD*CF77</f>
        <v/>
      </c>
      <c r="CH77" s="3">
        <f>P_ITV*(V77="sí")+P_LIBRO*(W77="sí")+P_CORREA*(X77="sí")+P_PROP*(Y77=1)+P_GAR*(Z77="sí")+P_FOTOS*MIN(1,N(U77)/FOTOS_OBJ)</f>
        <v/>
      </c>
      <c r="CI77" s="3">
        <f>MAX(0,MIN(100,IFERROR(VLOOKUP(BT77,ETQ_TBL,2,0),0)-IF(BU77="sí",ETQ_PEN_DUD,IF(AS77="regla",ETQ_PEN_REGLA,0))))</f>
        <v/>
      </c>
      <c r="CJ77" s="3">
        <f>IF(K77&lt;&gt;"gasolina","",IFERROR(VLOOKUP(F77,CONS_MOD_TBL,2,0),IFERROR(VLOOKUP(L77,CONS_SEG_TBL,2,0),"")))</f>
        <v/>
      </c>
      <c r="CK77" s="3">
        <f>IF(CJ77="",NEUTRO,MAX(0,MIN(100,100*(CONS_REF_MAX-CJ77)/(CONS_REF_MAX-CONS_REF_MIN))))</f>
        <v/>
      </c>
      <c r="CL77" s="3">
        <f>IFERROR(VLOOKUP(L77,SEGURO_TBL,3,0),"")</f>
        <v/>
      </c>
      <c r="CM77" s="3">
        <f>IF(CL77="",NEUTRO,MAX(0,MIN(100,100*(SEG_REF_MAX-CL77)/(SEG_REF_MAX-SEG_REF_MIN))))</f>
        <v/>
      </c>
      <c r="CN77" s="3">
        <f>W_CONS*CK77+W_SEG*CM77</f>
        <v/>
      </c>
      <c r="CO77" s="3">
        <f>IF(N(AB77)&gt;0,AB77,IF(AND(R77="profesional",SG_LEGAL_ON=1),GAR_LEGAL,0))</f>
        <v/>
      </c>
      <c r="CP77" s="3">
        <f>SG_GAR*MIN(1,CO77/SG_GAR_FULL)+SG_AMPL*(AC77="sí")+SG_KMC*(AF77="sí")+SG_REV*(N(AE77)&gt;0)+SG_DEV*MIN(1,N(AG77)/SG_DEV_FULL)+SG_HIST*(W77="sí")</f>
        <v/>
      </c>
      <c r="CQ77" s="3">
        <f>IF(AW77="sí",ESTILO_PRIO,IFERROR(VLOOKUP(L77,ESTILO_TBL,2,0),NEUTRO))</f>
        <v/>
      </c>
      <c r="CR77" s="3">
        <f>IFERROR(VLOOKUP(L77,CARR_PEN_TBL,2,0),0)</f>
        <v/>
      </c>
      <c r="CS77" s="3">
        <f>W_FIAB*CA77+W_PRECIO*CC77+W_KMEDAD*CG77+W_ANUNCIO*CH77+W_USO*CN77+W_SEGURIDAD*CP77+W_ETIQUETA*CI77+W_ESTILO*CQ77-CR77</f>
        <v/>
      </c>
      <c r="CT77" s="4">
        <f>IF(N(I77)&gt;0,I77,IFERROR(ROUND(_xlfn.NUMBERVALUE(LEFT(G77,FIND(" ",G77&amp;" ")-1),".")*1000,0),99999))</f>
        <v/>
      </c>
      <c r="CU77" s="3">
        <f>IF(R77="profesional",0,IF(O77&lt;CUOTA_VALOR_MAX,IF(BE77&gt;ITP_TRAMO_ALTO,SUMIFS(CF_CUOTA,CF_MAS,ITP_TRAMO_ALTO,CF_CCMIN,"&lt;="&amp;CT77,CF_CCMAX,"&gt;="&amp;CT77),IF(BE77&gt;ITP_TRAMO_BAJO,SUMIFS(CF_CUOTA,CF_MAS,ITP_TRAMO_BAJO,CF_CCMIN,"&lt;="&amp;CT77,CF_CCMAX,"&gt;="&amp;CT77),O77*ITP_TIPO)),O77*ITP_TIPO))</f>
        <v/>
      </c>
      <c r="CV77" s="4">
        <f>IF(R77="profesional",N(AK77),0)</f>
        <v/>
      </c>
      <c r="CW77" s="3">
        <f>IF(AND(R77="profesional",ISNUMBER(AK77),AL77="sí"),0,TASA_DGT)</f>
        <v/>
      </c>
      <c r="CX77" s="3">
        <f>INFORME_DGT</f>
        <v/>
      </c>
      <c r="CY77" s="4">
        <f>O77+CV77+CU77+CW77+CX77</f>
        <v/>
      </c>
      <c r="CZ77" s="4">
        <f>CY77+N(CL77)</f>
        <v/>
      </c>
      <c r="DA77" s="3">
        <f>IF(CY77&lt;=TOTAL_MAX,"sí",IF(CY77&lt;=TOTAL_MAX+MARGEN_NEG,"negociar","no"))</f>
        <v/>
      </c>
      <c r="DB77" s="4">
        <f>IF(DA77&lt;&gt;"no",COUNTIFS($DA$2:$DA$130,"&lt;&gt;no",$CS$2:$CS$130,"&gt;"&amp;CS77)+COUNTIFS($DA$2:DA77,"&lt;&gt;no",$CS$2:CS77,CS77),"")</f>
        <v/>
      </c>
    </row>
    <row r="78">
      <c r="A78" s="2" t="inlineStr">
        <is>
          <t>cochesnet:71021526</t>
        </is>
      </c>
      <c r="B78" s="2" t="inlineStr">
        <is>
          <t>cochesnet</t>
        </is>
      </c>
      <c r="C78" s="2" t="inlineStr">
        <is>
          <t>https://www.coches.net/ford-focus-18-tdci-ghia-5p-diesel-2007-en-valencia-71021526-covo.aspx</t>
        </is>
      </c>
      <c r="D78" s="2" t="inlineStr">
        <is>
          <t>FORD Focus 1.8 TDCi Ghia</t>
        </is>
      </c>
      <c r="E78" s="2" t="inlineStr">
        <is>
          <t>Ford</t>
        </is>
      </c>
      <c r="F78" s="2" t="inlineStr">
        <is>
          <t>Ford Focus</t>
        </is>
      </c>
      <c r="G78" s="2" t="inlineStr">
        <is>
          <t>1.8 TDCi</t>
        </is>
      </c>
      <c r="H78" s="2" t="inlineStr">
        <is>
          <t>1.8 TDCi Ghia</t>
        </is>
      </c>
      <c r="I78" s="2" t="n"/>
      <c r="J78" s="2" t="n"/>
      <c r="K78" s="2" t="inlineStr">
        <is>
          <t>diesel</t>
        </is>
      </c>
      <c r="L78" s="2" t="inlineStr">
        <is>
          <t>compacto</t>
        </is>
      </c>
      <c r="M78" s="2" t="n">
        <v>2006</v>
      </c>
      <c r="N78" s="2" t="n">
        <v>202000</v>
      </c>
      <c r="O78" s="2" t="n">
        <v>3500</v>
      </c>
      <c r="P78" s="2" t="inlineStr">
        <is>
          <t>manual</t>
        </is>
      </c>
      <c r="Q78" s="2" t="inlineStr">
        <is>
          <t>no</t>
        </is>
      </c>
      <c r="R78" s="2" t="inlineStr">
        <is>
          <t>profesional</t>
        </is>
      </c>
      <c r="S78" s="2" t="inlineStr">
        <is>
          <t>Beniparrell</t>
        </is>
      </c>
      <c r="T78" s="2" t="inlineStr">
        <is>
          <t>2026-10-05T12:25:03Z</t>
        </is>
      </c>
      <c r="U78" s="2" t="n">
        <v>13</v>
      </c>
      <c r="V78" s="2" t="n"/>
      <c r="W78" s="2" t="n"/>
      <c r="X78" s="2" t="n"/>
      <c r="Y78" s="2" t="n"/>
      <c r="Z78" s="2" t="inlineStr">
        <is>
          <t>sí</t>
        </is>
      </c>
      <c r="AA78" s="2" t="n"/>
      <c r="AB78" s="2" t="n">
        <v>12</v>
      </c>
      <c r="AC78" s="2" t="n"/>
      <c r="AD78" s="2" t="n"/>
      <c r="AE78" s="2" t="n"/>
      <c r="AF78" s="2" t="n"/>
      <c r="AG78" s="2" t="n"/>
      <c r="AH78" s="2" t="n">
        <v>3500</v>
      </c>
      <c r="AI78" s="2" t="n"/>
      <c r="AJ78" s="2" t="n"/>
      <c r="AK78" s="2" t="n"/>
      <c r="AL78" s="2" t="n"/>
      <c r="AM78" s="2" t="n">
        <v>10.2</v>
      </c>
      <c r="AN78" s="2" t="n"/>
      <c r="AO78" s="2" t="inlineStr">
        <is>
          <t>2006</t>
        </is>
      </c>
      <c r="AP78" s="2" t="n">
        <v>2006</v>
      </c>
      <c r="AQ78" s="2" t="n"/>
      <c r="AR78" s="2" t="inlineStr">
        <is>
          <t>B</t>
        </is>
      </c>
      <c r="AS78" s="2" t="inlineStr">
        <is>
          <t>anuncio</t>
        </is>
      </c>
      <c r="AT78" s="2" t="n">
        <v>2007</v>
      </c>
      <c r="AU78" s="2" t="inlineStr">
        <is>
          <t>no</t>
        </is>
      </c>
      <c r="AV78" s="2" t="inlineStr">
        <is>
          <t>no</t>
        </is>
      </c>
      <c r="AW78" s="2" t="inlineStr">
        <is>
          <t>no</t>
        </is>
      </c>
      <c r="AX78" s="2" t="n">
        <v>2990</v>
      </c>
      <c r="AY78" s="2" t="n">
        <v>17</v>
      </c>
      <c r="AZ78" s="2" t="inlineStr">
        <is>
          <t>modelo+año+km</t>
        </is>
      </c>
      <c r="BA78" s="2" t="n"/>
      <c r="BB78" s="2" t="inlineStr">
        <is>
          <t>año a confirmar: la URL/título dice 2007; vendedor profesional: sin ITP (operación con IVA/REBU, confirmar en factura); gastos de gestión del vendedor no indicados: se suma la tasa DGT; preguntar el precio final; diésel: motor sin fuente de fiabilidad (fiabilidad limitada a neutra); revisar: detalles «detalles», no menciona la ITV</t>
        </is>
      </c>
      <c r="BC78" s="2" t="inlineStr">
        <is>
          <t>Este Ford Focus 1.8 TDCi Ghia representa una berlina compacta versátil, con acabado de lujo que combina practicidad y equipamiento completo para el uso diario. El motor diésel de 1.753 cc proporciona una entrega de potencia eficiente, especialmente en recorridos mixtos y a velocidad de crucero, donde demuestra su fortaleza en par motor.
El espacio interior está bien aprovechado: 385 litros de maletero ampliables a 1.247 con los asientos traseros abatidos, lo que facilita tanto viajes ocasionales como transportes puntuales. Los asientos delanteros cuentan con ajuste lumbar y altura, mientras que la banqueta trasera partida y abatible asimétrica permite flexibilidad en la configuración del habitáculo.
En cuanto a confort, este vehículo integra climatización bizona automática, control de crucero, dirección asistida y volante multifuncional revestido en cuero ajustable. Los elevalunas eléctricos delanteros con un solo toque, cierre centralizado con mando a distancia y apertura eléctrica del maletero son detalles que facilitan el uso cotidiano.
La seguridad está cubierta con airbags frontales inteligentes, laterales delanteros y de cortina, cinturones de tres puntos con pretensores en los asientos delanteros, ABS en las cuatro ruedas y sensores de distancia traseros. El sistema de frenado combina discos ventilados delanteros con ABS.
Equipado con sistema de audio de seis altavoces, radio AM/FM con reproductor de CD, RDS y control remoto en volante, además de ordenador de viaje</t>
        </is>
      </c>
      <c r="BD78" s="2" t="inlineStr">
        <is>
          <t>https://www.coches.net/ford-focus-18-tdci-ghia-5p-diesel-2007-en-valencia-71021526-covo.aspx (window.__INITIAL_PROPS__.ad) /home/user/Alopecia/buscador-coches/raw/cochesnet/be51951326ffd2d8.json</t>
        </is>
      </c>
      <c r="BE78" s="3">
        <f>MAX(ANIO_ACTUAL-M78,0)</f>
        <v/>
      </c>
      <c r="BF78" s="4">
        <f>N78/MAX(BE78,0.5)</f>
        <v/>
      </c>
      <c r="BG78" s="4">
        <f>F78</f>
        <v/>
      </c>
      <c r="BH78" s="3">
        <f>BG78&amp;"|"&amp;INT(M78/SEG_ANIO)*SEG_ANIO</f>
        <v/>
      </c>
      <c r="BI78" s="3">
        <f>BH78&amp;"|"&amp;INT(N78/SEG_KM)*SEG_KM</f>
        <v/>
      </c>
      <c r="BJ78" s="4">
        <f>COUNTIF($BG$2:$BG$130,BG78)</f>
        <v/>
      </c>
      <c r="BK78" s="4">
        <f>COUNTIF($BH$2:$BH$130,BH78)</f>
        <v/>
      </c>
      <c r="BL78" s="4">
        <f>COUNTIF($BI$2:$BI$130,BI78)</f>
        <v/>
      </c>
      <c r="BM78" s="3">
        <f t="array" ref="BM78">IF(N(AY78)&gt;=MIN_N,AX78,IF(BL78&gt;=MIN_N,MEDIAN(IF($BI$2:$BI$130=BI78,$O$2:$O$130)),IF(BK78&gt;=MIN_N,MEDIAN(IF($BH$2:$BH$130=BH78,$O$2:$O$130)),MEDIAN(IF($BG$2:$BG$130=BG78,$O$2:$O$130)))))</f>
        <v/>
      </c>
      <c r="BN78" s="3">
        <f>IF(N(AY78)&gt;=MIN_N,"mercado "&amp;AZ78,IF(BL78&gt;=MIN_N,"modelo+año+km",IF(BK78&gt;=MIN_N,"modelo+año","modelo")))</f>
        <v/>
      </c>
      <c r="BO78" s="4">
        <f>(BM78-O78)/BM78</f>
        <v/>
      </c>
      <c r="BP78" s="3">
        <f>IF(COUNTIFS(FR_FUEL,K78,FR_YEAR,AP78)&gt;0,1,0)</f>
        <v/>
      </c>
      <c r="BQ78" s="3">
        <f>IF(COUNTIFS(FR_FUEL,K78,FR_YEAR,AP78-1)&gt;0,1,0)</f>
        <v/>
      </c>
      <c r="BR78" s="4">
        <f>IF(N(AQ78)&gt;0,AP78*100+AQ78,IF(AND(BP78=1,BQ78=1),(AP78-1)*100+1,AP78*100+1))</f>
        <v/>
      </c>
      <c r="BS78" s="3">
        <f>IF(OR(K78="hibrido",K78="glp",K78="gnc",K78="phev"),"ECO",IF(K78="electrico","CERO",IF(K78="gasolina",IF(BR78&gt;=GAS_C_YM,"C",IF(BR78&gt;=GAS_B_YM,"B","A")),IF(K78="diesel",IF(BR78&gt;=DIE_C_YM,"C",IF(BR78&gt;=DIE_B_YM,"B","A")),""))))</f>
        <v/>
      </c>
      <c r="BT78" s="2" t="inlineStr">
        <is>
          <t>B</t>
        </is>
      </c>
      <c r="BU78" s="4">
        <f>IF(AU78="sí","sí",IF(AS78="regla",IF(AND(N(AQ78)=0,BP78=1),"sí","no"),"no"))</f>
        <v/>
      </c>
      <c r="BV78" s="3">
        <f>IFERROR(VLOOKUP(F78,MOD_TBL,16,0),IFERROR(VLOOKUP(E78,OCU_TBL,2,0),NEUTRO))</f>
        <v/>
      </c>
      <c r="BW78" s="3">
        <f>SUMIFS(MOT_AJUSTE,MOT_MOTOR,G78,MOT_MARCA,E78,MOT_DESDE,"&lt;="&amp;M78,MOT_HASTA,"&gt;="&amp;M78)+SUMIFS(MOT_AJUSTE,MOT_MOTOR,G78,MOT_MARCA,"(todas)",MOT_DESDE,"&lt;="&amp;M78,MOT_HASTA,"&gt;="&amp;M78)+SUMIFS(MOT_AJUSTE,MOT_MOTOR,"(cualquiera)",MOT_MARCA,E78,MOT_DESDE,"&lt;="&amp;M78,MOT_HASTA,"&gt;="&amp;M78)</f>
        <v/>
      </c>
      <c r="BX78" s="3">
        <f>SUMIFS(COMB_AJUSTE,COMB_COMB,K78)</f>
        <v/>
      </c>
      <c r="BY78" s="3">
        <f>COUNTIFS(MOT_MOTOR,G78,MOT_MARCA,E78,MOT_DESDE,"&lt;="&amp;M78,MOT_HASTA,"&gt;="&amp;M78)+COUNTIFS(MOT_MOTOR,G78,MOT_MARCA,"(todas)",MOT_DESDE,"&lt;="&amp;M78,MOT_HASTA,"&gt;="&amp;M78)+COUNTIFS(MOT_MOTOR,"(cualquiera)",MOT_MARCA,E78,MOT_DESDE,"&lt;="&amp;M78,MOT_HASTA,"&gt;="&amp;M78)</f>
        <v/>
      </c>
      <c r="BZ78" s="3">
        <f>IF(AND(K78="diesel",BY78=0),MIN(BV78,NEUTRO),BV78)</f>
        <v/>
      </c>
      <c r="CA78" s="3">
        <f>MAX(0,MIN(100,BZ78+BW78+BX78-IF(AV78="sí",ROB_PEN,0)))</f>
        <v/>
      </c>
      <c r="CB78" s="3">
        <f>100-MAX(0,N78-KM_TOPE_DESDE)/1000*KM_TOPE_PTS</f>
        <v/>
      </c>
      <c r="CC78" s="3">
        <f>MAX(0,MIN(100,50+BO78*PRECIO_PEND,CB78))</f>
        <v/>
      </c>
      <c r="CD78" s="3">
        <f>MAX(0,100*(1-N78/KM_MAX))</f>
        <v/>
      </c>
      <c r="CE78" s="3">
        <f>IF(BF78&lt;KMA_SOSP,IF(AA78="sí",100,KMA_PEN),IF(BF78&lt;=KMA_IDEAL_MAX,100,MAX(0,100*(KMA_CERO-BF78)/(KMA_CERO-KMA_IDEAL_MAX))))</f>
        <v/>
      </c>
      <c r="CF78" s="3">
        <f>MAX(0,MIN(100,100*(M78-ANIO_MIN)/(ANIO_ACTUAL-ANIO_MIN)))</f>
        <v/>
      </c>
      <c r="CG78" s="3">
        <f>W_KMT*CD78+W_KMA*CE78+W_EDAD*CF78</f>
        <v/>
      </c>
      <c r="CH78" s="3">
        <f>P_ITV*(V78="sí")+P_LIBRO*(W78="sí")+P_CORREA*(X78="sí")+P_PROP*(Y78=1)+P_GAR*(Z78="sí")+P_FOTOS*MIN(1,N(U78)/FOTOS_OBJ)</f>
        <v/>
      </c>
      <c r="CI78" s="3">
        <f>MAX(0,MIN(100,IFERROR(VLOOKUP(BT78,ETQ_TBL,2,0),0)-IF(BU78="sí",ETQ_PEN_DUD,IF(AS78="regla",ETQ_PEN_REGLA,0))))</f>
        <v/>
      </c>
      <c r="CJ78" s="3">
        <f>IF(K78&lt;&gt;"gasolina","",IFERROR(VLOOKUP(F78,CONS_MOD_TBL,2,0),IFERROR(VLOOKUP(L78,CONS_SEG_TBL,2,0),"")))</f>
        <v/>
      </c>
      <c r="CK78" s="3">
        <f>IF(CJ78="",NEUTRO,MAX(0,MIN(100,100*(CONS_REF_MAX-CJ78)/(CONS_REF_MAX-CONS_REF_MIN))))</f>
        <v/>
      </c>
      <c r="CL78" s="3">
        <f>IFERROR(VLOOKUP(L78,SEGURO_TBL,3,0),"")</f>
        <v/>
      </c>
      <c r="CM78" s="3">
        <f>IF(CL78="",NEUTRO,MAX(0,MIN(100,100*(SEG_REF_MAX-CL78)/(SEG_REF_MAX-SEG_REF_MIN))))</f>
        <v/>
      </c>
      <c r="CN78" s="3">
        <f>W_CONS*CK78+W_SEG*CM78</f>
        <v/>
      </c>
      <c r="CO78" s="3">
        <f>IF(N(AB78)&gt;0,AB78,IF(AND(R78="profesional",SG_LEGAL_ON=1),GAR_LEGAL,0))</f>
        <v/>
      </c>
      <c r="CP78" s="3">
        <f>SG_GAR*MIN(1,CO78/SG_GAR_FULL)+SG_AMPL*(AC78="sí")+SG_KMC*(AF78="sí")+SG_REV*(N(AE78)&gt;0)+SG_DEV*MIN(1,N(AG78)/SG_DEV_FULL)+SG_HIST*(W78="sí")</f>
        <v/>
      </c>
      <c r="CQ78" s="3">
        <f>IF(AW78="sí",ESTILO_PRIO,IFERROR(VLOOKUP(L78,ESTILO_TBL,2,0),NEUTRO))</f>
        <v/>
      </c>
      <c r="CR78" s="3">
        <f>IFERROR(VLOOKUP(L78,CARR_PEN_TBL,2,0),0)</f>
        <v/>
      </c>
      <c r="CS78" s="3">
        <f>W_FIAB*CA78+W_PRECIO*CC78+W_KMEDAD*CG78+W_ANUNCIO*CH78+W_USO*CN78+W_SEGURIDAD*CP78+W_ETIQUETA*CI78+W_ESTILO*CQ78-CR78</f>
        <v/>
      </c>
      <c r="CT78" s="4">
        <f>IF(N(I78)&gt;0,I78,IFERROR(ROUND(_xlfn.NUMBERVALUE(LEFT(G78,FIND(" ",G78&amp;" ")-1),".")*1000,0),99999))</f>
        <v/>
      </c>
      <c r="CU78" s="3">
        <f>IF(R78="profesional",0,IF(O78&lt;CUOTA_VALOR_MAX,IF(BE78&gt;ITP_TRAMO_ALTO,SUMIFS(CF_CUOTA,CF_MAS,ITP_TRAMO_ALTO,CF_CCMIN,"&lt;="&amp;CT78,CF_CCMAX,"&gt;="&amp;CT78),IF(BE78&gt;ITP_TRAMO_BAJO,SUMIFS(CF_CUOTA,CF_MAS,ITP_TRAMO_BAJO,CF_CCMIN,"&lt;="&amp;CT78,CF_CCMAX,"&gt;="&amp;CT78),O78*ITP_TIPO)),O78*ITP_TIPO))</f>
        <v/>
      </c>
      <c r="CV78" s="4">
        <f>IF(R78="profesional",N(AK78),0)</f>
        <v/>
      </c>
      <c r="CW78" s="3">
        <f>IF(AND(R78="profesional",ISNUMBER(AK78),AL78="sí"),0,TASA_DGT)</f>
        <v/>
      </c>
      <c r="CX78" s="3">
        <f>INFORME_DGT</f>
        <v/>
      </c>
      <c r="CY78" s="4">
        <f>O78+CV78+CU78+CW78+CX78</f>
        <v/>
      </c>
      <c r="CZ78" s="4">
        <f>CY78+N(CL78)</f>
        <v/>
      </c>
      <c r="DA78" s="3">
        <f>IF(CY78&lt;=TOTAL_MAX,"sí",IF(CY78&lt;=TOTAL_MAX+MARGEN_NEG,"negociar","no"))</f>
        <v/>
      </c>
      <c r="DB78" s="4">
        <f>IF(DA78&lt;&gt;"no",COUNTIFS($DA$2:$DA$130,"&lt;&gt;no",$CS$2:$CS$130,"&gt;"&amp;CS78)+COUNTIFS($DA$2:DA78,"&lt;&gt;no",$CS$2:CS78,CS78),"")</f>
        <v/>
      </c>
    </row>
    <row r="79">
      <c r="A79" s="2" t="inlineStr">
        <is>
          <t>cochesnet:71793171</t>
        </is>
      </c>
      <c r="B79" s="2" t="inlineStr">
        <is>
          <t>cochesnet</t>
        </is>
      </c>
      <c r="C79" s="2" t="inlineStr">
        <is>
          <t>https://www.coches.net/ford-fusion-14-tdci-ambiente-5p-diesel-2009-en-valencia-71793171-covo.aspx</t>
        </is>
      </c>
      <c r="D79" s="2" t="inlineStr">
        <is>
          <t>FORD Fusion 1.4 TDCI Ambiente</t>
        </is>
      </c>
      <c r="E79" s="2" t="inlineStr">
        <is>
          <t>Ford</t>
        </is>
      </c>
      <c r="F79" s="2" t="inlineStr">
        <is>
          <t>Ford Fusion</t>
        </is>
      </c>
      <c r="G79" s="2" t="inlineStr">
        <is>
          <t>1.4 TDCi</t>
        </is>
      </c>
      <c r="H79" s="2" t="inlineStr">
        <is>
          <t>1.4 TDCI Ambiente</t>
        </is>
      </c>
      <c r="I79" s="2" t="n"/>
      <c r="J79" s="2" t="n"/>
      <c r="K79" s="2" t="inlineStr">
        <is>
          <t>diesel</t>
        </is>
      </c>
      <c r="L79" s="2" t="inlineStr">
        <is>
          <t>monovolumen_pequeno</t>
        </is>
      </c>
      <c r="M79" s="2" t="n">
        <v>2009</v>
      </c>
      <c r="N79" s="2" t="n">
        <v>180000</v>
      </c>
      <c r="O79" s="2" t="n">
        <v>3490</v>
      </c>
      <c r="P79" s="2" t="inlineStr">
        <is>
          <t>manual</t>
        </is>
      </c>
      <c r="Q79" s="2" t="inlineStr">
        <is>
          <t>no</t>
        </is>
      </c>
      <c r="R79" s="2" t="inlineStr">
        <is>
          <t>profesional</t>
        </is>
      </c>
      <c r="S79" s="2" t="inlineStr">
        <is>
          <t>Foios</t>
        </is>
      </c>
      <c r="T79" s="2" t="inlineStr">
        <is>
          <t>2026-10-20T18:21:58Z</t>
        </is>
      </c>
      <c r="U79" s="2" t="n">
        <v>15</v>
      </c>
      <c r="V79" s="2" t="n"/>
      <c r="W79" s="2" t="n"/>
      <c r="X79" s="2" t="n"/>
      <c r="Y79" s="2" t="n"/>
      <c r="Z79" s="2" t="inlineStr">
        <is>
          <t>sí</t>
        </is>
      </c>
      <c r="AA79" s="2" t="n"/>
      <c r="AB79" s="2" t="n">
        <v>12</v>
      </c>
      <c r="AC79" s="2" t="n"/>
      <c r="AD79" s="2" t="n"/>
      <c r="AE79" s="2" t="n"/>
      <c r="AF79" s="2" t="n"/>
      <c r="AG79" s="2" t="n"/>
      <c r="AH79" s="2" t="n">
        <v>3490</v>
      </c>
      <c r="AI79" s="2" t="n">
        <v>3490</v>
      </c>
      <c r="AJ79" s="2" t="n"/>
      <c r="AK79" s="2" t="n"/>
      <c r="AL79" s="2" t="n"/>
      <c r="AM79" s="2" t="n">
        <v>7.7</v>
      </c>
      <c r="AN79" s="2" t="n"/>
      <c r="AO79" s="2" t="inlineStr">
        <is>
          <t>2009</t>
        </is>
      </c>
      <c r="AP79" s="2" t="n">
        <v>2009</v>
      </c>
      <c r="AQ79" s="2" t="n"/>
      <c r="AR79" s="2" t="inlineStr">
        <is>
          <t>B</t>
        </is>
      </c>
      <c r="AS79" s="2" t="inlineStr">
        <is>
          <t>anuncio</t>
        </is>
      </c>
      <c r="AT79" s="2" t="n"/>
      <c r="AU79" s="2" t="inlineStr">
        <is>
          <t>no</t>
        </is>
      </c>
      <c r="AV79" s="2" t="inlineStr">
        <is>
          <t>no</t>
        </is>
      </c>
      <c r="AW79" s="2" t="inlineStr">
        <is>
          <t>no</t>
        </is>
      </c>
      <c r="AX79" s="2" t="n"/>
      <c r="AY79" s="2" t="n"/>
      <c r="AZ79" s="2" t="n"/>
      <c r="BA79" s="2" t="n"/>
      <c r="BB79" s="2" t="inlineStr">
        <is>
          <t>vendedor profesional: sin ITP (operación con IVA/REBU, confirmar en factura); gastos de gestión del vendedor no indicados: se suma la tasa DGT; preguntar el precio final; diésel: motor sin fuente de fiabilidad (fiabilidad limitada a neutra); carrocería monovolumen_pequeno: -6 puntos; revisar: no menciona la ITV; fiabilidad del modelo PENDIENTE de fuente (puntuación neutra); mediana con solo 2 anuncio(s)</t>
        </is>
      </c>
      <c r="BC79" s="2" t="inlineStr"/>
      <c r="BD79" s="2" t="inlineStr">
        <is>
          <t>https://www.coches.net/ford-fusion-14-tdci-ambiente-5p-diesel-2009-en-valencia-71793171-covo.aspx (window.__INITIAL_PROPS__.ad) /home/user/Alopecia/buscador-coches/raw/cochesnet/934176b6a50ee69e.json</t>
        </is>
      </c>
      <c r="BE79" s="3">
        <f>MAX(ANIO_ACTUAL-M79,0)</f>
        <v/>
      </c>
      <c r="BF79" s="4">
        <f>N79/MAX(BE79,0.5)</f>
        <v/>
      </c>
      <c r="BG79" s="4">
        <f>F79</f>
        <v/>
      </c>
      <c r="BH79" s="3">
        <f>BG79&amp;"|"&amp;INT(M79/SEG_ANIO)*SEG_ANIO</f>
        <v/>
      </c>
      <c r="BI79" s="3">
        <f>BH79&amp;"|"&amp;INT(N79/SEG_KM)*SEG_KM</f>
        <v/>
      </c>
      <c r="BJ79" s="4">
        <f>COUNTIF($BG$2:$BG$130,BG79)</f>
        <v/>
      </c>
      <c r="BK79" s="4">
        <f>COUNTIF($BH$2:$BH$130,BH79)</f>
        <v/>
      </c>
      <c r="BL79" s="4">
        <f>COUNTIF($BI$2:$BI$130,BI79)</f>
        <v/>
      </c>
      <c r="BM79" s="3">
        <f t="array" ref="BM79">IF(N(AY79)&gt;=MIN_N,AX79,IF(BL79&gt;=MIN_N,MEDIAN(IF($BI$2:$BI$130=BI79,$O$2:$O$130)),IF(BK79&gt;=MIN_N,MEDIAN(IF($BH$2:$BH$130=BH79,$O$2:$O$130)),MEDIAN(IF($BG$2:$BG$130=BG79,$O$2:$O$130)))))</f>
        <v/>
      </c>
      <c r="BN79" s="3">
        <f>IF(N(AY79)&gt;=MIN_N,"mercado "&amp;AZ79,IF(BL79&gt;=MIN_N,"modelo+año+km",IF(BK79&gt;=MIN_N,"modelo+año","modelo")))</f>
        <v/>
      </c>
      <c r="BO79" s="4">
        <f>(BM79-O79)/BM79</f>
        <v/>
      </c>
      <c r="BP79" s="3">
        <f>IF(COUNTIFS(FR_FUEL,K79,FR_YEAR,AP79)&gt;0,1,0)</f>
        <v/>
      </c>
      <c r="BQ79" s="3">
        <f>IF(COUNTIFS(FR_FUEL,K79,FR_YEAR,AP79-1)&gt;0,1,0)</f>
        <v/>
      </c>
      <c r="BR79" s="4">
        <f>IF(N(AQ79)&gt;0,AP79*100+AQ79,IF(AND(BP79=1,BQ79=1),(AP79-1)*100+1,AP79*100+1))</f>
        <v/>
      </c>
      <c r="BS79" s="3">
        <f>IF(OR(K79="hibrido",K79="glp",K79="gnc",K79="phev"),"ECO",IF(K79="electrico","CERO",IF(K79="gasolina",IF(BR79&gt;=GAS_C_YM,"C",IF(BR79&gt;=GAS_B_YM,"B","A")),IF(K79="diesel",IF(BR79&gt;=DIE_C_YM,"C",IF(BR79&gt;=DIE_B_YM,"B","A")),""))))</f>
        <v/>
      </c>
      <c r="BT79" s="2" t="inlineStr">
        <is>
          <t>B</t>
        </is>
      </c>
      <c r="BU79" s="4">
        <f>IF(AU79="sí","sí",IF(AS79="regla",IF(AND(N(AQ79)=0,BP79=1),"sí","no"),"no"))</f>
        <v/>
      </c>
      <c r="BV79" s="3">
        <f>IFERROR(VLOOKUP(F79,MOD_TBL,16,0),IFERROR(VLOOKUP(E79,OCU_TBL,2,0),NEUTRO))</f>
        <v/>
      </c>
      <c r="BW79" s="3">
        <f>SUMIFS(MOT_AJUSTE,MOT_MOTOR,G79,MOT_MARCA,E79,MOT_DESDE,"&lt;="&amp;M79,MOT_HASTA,"&gt;="&amp;M79)+SUMIFS(MOT_AJUSTE,MOT_MOTOR,G79,MOT_MARCA,"(todas)",MOT_DESDE,"&lt;="&amp;M79,MOT_HASTA,"&gt;="&amp;M79)+SUMIFS(MOT_AJUSTE,MOT_MOTOR,"(cualquiera)",MOT_MARCA,E79,MOT_DESDE,"&lt;="&amp;M79,MOT_HASTA,"&gt;="&amp;M79)</f>
        <v/>
      </c>
      <c r="BX79" s="3">
        <f>SUMIFS(COMB_AJUSTE,COMB_COMB,K79)</f>
        <v/>
      </c>
      <c r="BY79" s="3">
        <f>COUNTIFS(MOT_MOTOR,G79,MOT_MARCA,E79,MOT_DESDE,"&lt;="&amp;M79,MOT_HASTA,"&gt;="&amp;M79)+COUNTIFS(MOT_MOTOR,G79,MOT_MARCA,"(todas)",MOT_DESDE,"&lt;="&amp;M79,MOT_HASTA,"&gt;="&amp;M79)+COUNTIFS(MOT_MOTOR,"(cualquiera)",MOT_MARCA,E79,MOT_DESDE,"&lt;="&amp;M79,MOT_HASTA,"&gt;="&amp;M79)</f>
        <v/>
      </c>
      <c r="BZ79" s="3">
        <f>IF(AND(K79="diesel",BY79=0),MIN(BV79,NEUTRO),BV79)</f>
        <v/>
      </c>
      <c r="CA79" s="3">
        <f>MAX(0,MIN(100,BZ79+BW79+BX79-IF(AV79="sí",ROB_PEN,0)))</f>
        <v/>
      </c>
      <c r="CB79" s="3">
        <f>100-MAX(0,N79-KM_TOPE_DESDE)/1000*KM_TOPE_PTS</f>
        <v/>
      </c>
      <c r="CC79" s="3">
        <f>MAX(0,MIN(100,50+BO79*PRECIO_PEND,CB79))</f>
        <v/>
      </c>
      <c r="CD79" s="3">
        <f>MAX(0,100*(1-N79/KM_MAX))</f>
        <v/>
      </c>
      <c r="CE79" s="3">
        <f>IF(BF79&lt;KMA_SOSP,IF(AA79="sí",100,KMA_PEN),IF(BF79&lt;=KMA_IDEAL_MAX,100,MAX(0,100*(KMA_CERO-BF79)/(KMA_CERO-KMA_IDEAL_MAX))))</f>
        <v/>
      </c>
      <c r="CF79" s="3">
        <f>MAX(0,MIN(100,100*(M79-ANIO_MIN)/(ANIO_ACTUAL-ANIO_MIN)))</f>
        <v/>
      </c>
      <c r="CG79" s="3">
        <f>W_KMT*CD79+W_KMA*CE79+W_EDAD*CF79</f>
        <v/>
      </c>
      <c r="CH79" s="3">
        <f>P_ITV*(V79="sí")+P_LIBRO*(W79="sí")+P_CORREA*(X79="sí")+P_PROP*(Y79=1)+P_GAR*(Z79="sí")+P_FOTOS*MIN(1,N(U79)/FOTOS_OBJ)</f>
        <v/>
      </c>
      <c r="CI79" s="3">
        <f>MAX(0,MIN(100,IFERROR(VLOOKUP(BT79,ETQ_TBL,2,0),0)-IF(BU79="sí",ETQ_PEN_DUD,IF(AS79="regla",ETQ_PEN_REGLA,0))))</f>
        <v/>
      </c>
      <c r="CJ79" s="3">
        <f>IF(K79&lt;&gt;"gasolina","",IFERROR(VLOOKUP(F79,CONS_MOD_TBL,2,0),IFERROR(VLOOKUP(L79,CONS_SEG_TBL,2,0),"")))</f>
        <v/>
      </c>
      <c r="CK79" s="3">
        <f>IF(CJ79="",NEUTRO,MAX(0,MIN(100,100*(CONS_REF_MAX-CJ79)/(CONS_REF_MAX-CONS_REF_MIN))))</f>
        <v/>
      </c>
      <c r="CL79" s="3">
        <f>IFERROR(VLOOKUP(L79,SEGURO_TBL,3,0),"")</f>
        <v/>
      </c>
      <c r="CM79" s="3">
        <f>IF(CL79="",NEUTRO,MAX(0,MIN(100,100*(SEG_REF_MAX-CL79)/(SEG_REF_MAX-SEG_REF_MIN))))</f>
        <v/>
      </c>
      <c r="CN79" s="3">
        <f>W_CONS*CK79+W_SEG*CM79</f>
        <v/>
      </c>
      <c r="CO79" s="3">
        <f>IF(N(AB79)&gt;0,AB79,IF(AND(R79="profesional",SG_LEGAL_ON=1),GAR_LEGAL,0))</f>
        <v/>
      </c>
      <c r="CP79" s="3">
        <f>SG_GAR*MIN(1,CO79/SG_GAR_FULL)+SG_AMPL*(AC79="sí")+SG_KMC*(AF79="sí")+SG_REV*(N(AE79)&gt;0)+SG_DEV*MIN(1,N(AG79)/SG_DEV_FULL)+SG_HIST*(W79="sí")</f>
        <v/>
      </c>
      <c r="CQ79" s="3">
        <f>IF(AW79="sí",ESTILO_PRIO,IFERROR(VLOOKUP(L79,ESTILO_TBL,2,0),NEUTRO))</f>
        <v/>
      </c>
      <c r="CR79" s="3">
        <f>IFERROR(VLOOKUP(L79,CARR_PEN_TBL,2,0),0)</f>
        <v/>
      </c>
      <c r="CS79" s="3">
        <f>W_FIAB*CA79+W_PRECIO*CC79+W_KMEDAD*CG79+W_ANUNCIO*CH79+W_USO*CN79+W_SEGURIDAD*CP79+W_ETIQUETA*CI79+W_ESTILO*CQ79-CR79</f>
        <v/>
      </c>
      <c r="CT79" s="4">
        <f>IF(N(I79)&gt;0,I79,IFERROR(ROUND(_xlfn.NUMBERVALUE(LEFT(G79,FIND(" ",G79&amp;" ")-1),".")*1000,0),99999))</f>
        <v/>
      </c>
      <c r="CU79" s="3">
        <f>IF(R79="profesional",0,IF(O79&lt;CUOTA_VALOR_MAX,IF(BE79&gt;ITP_TRAMO_ALTO,SUMIFS(CF_CUOTA,CF_MAS,ITP_TRAMO_ALTO,CF_CCMIN,"&lt;="&amp;CT79,CF_CCMAX,"&gt;="&amp;CT79),IF(BE79&gt;ITP_TRAMO_BAJO,SUMIFS(CF_CUOTA,CF_MAS,ITP_TRAMO_BAJO,CF_CCMIN,"&lt;="&amp;CT79,CF_CCMAX,"&gt;="&amp;CT79),O79*ITP_TIPO)),O79*ITP_TIPO))</f>
        <v/>
      </c>
      <c r="CV79" s="4">
        <f>IF(R79="profesional",N(AK79),0)</f>
        <v/>
      </c>
      <c r="CW79" s="3">
        <f>IF(AND(R79="profesional",ISNUMBER(AK79),AL79="sí"),0,TASA_DGT)</f>
        <v/>
      </c>
      <c r="CX79" s="3">
        <f>INFORME_DGT</f>
        <v/>
      </c>
      <c r="CY79" s="4">
        <f>O79+CV79+CU79+CW79+CX79</f>
        <v/>
      </c>
      <c r="CZ79" s="4">
        <f>CY79+N(CL79)</f>
        <v/>
      </c>
      <c r="DA79" s="3">
        <f>IF(CY79&lt;=TOTAL_MAX,"sí",IF(CY79&lt;=TOTAL_MAX+MARGEN_NEG,"negociar","no"))</f>
        <v/>
      </c>
      <c r="DB79" s="4">
        <f>IF(DA79&lt;&gt;"no",COUNTIFS($DA$2:$DA$130,"&lt;&gt;no",$CS$2:$CS$130,"&gt;"&amp;CS79)+COUNTIFS($DA$2:DA79,"&lt;&gt;no",$CS$2:CS79,CS79),"")</f>
        <v/>
      </c>
    </row>
    <row r="80">
      <c r="A80" s="2" t="inlineStr">
        <is>
          <t>cochesnet:70514152</t>
        </is>
      </c>
      <c r="B80" s="2" t="inlineStr">
        <is>
          <t>cochesnet</t>
        </is>
      </c>
      <c r="C80" s="2" t="inlineStr">
        <is>
          <t>https://www.coches.net/fiat-linea-14-16v-tjet-120cv-dynamic-4p-gasolina-2007-en-valencia-70514152-covo.aspx</t>
        </is>
      </c>
      <c r="D80" s="2" t="inlineStr">
        <is>
          <t>FIAT Linea 1.4 16v TJet Dynamic</t>
        </is>
      </c>
      <c r="E80" s="2" t="inlineStr">
        <is>
          <t>Fiat</t>
        </is>
      </c>
      <c r="F80" s="2" t="inlineStr">
        <is>
          <t>Fiat Linea</t>
        </is>
      </c>
      <c r="G80" s="2" t="inlineStr">
        <is>
          <t>1.4 T-Jet</t>
        </is>
      </c>
      <c r="H80" s="2" t="inlineStr">
        <is>
          <t>1.4 16v TJet 120cv Dynamic</t>
        </is>
      </c>
      <c r="I80" s="2" t="n"/>
      <c r="J80" s="2" t="n">
        <v>120</v>
      </c>
      <c r="K80" s="2" t="inlineStr">
        <is>
          <t>gasolina</t>
        </is>
      </c>
      <c r="L80" s="2" t="inlineStr">
        <is>
          <t>berlina</t>
        </is>
      </c>
      <c r="M80" s="2" t="n">
        <v>2009</v>
      </c>
      <c r="N80" s="2" t="n">
        <v>156000</v>
      </c>
      <c r="O80" s="2" t="n">
        <v>3300</v>
      </c>
      <c r="P80" s="2" t="inlineStr">
        <is>
          <t>manual</t>
        </is>
      </c>
      <c r="Q80" s="2" t="inlineStr">
        <is>
          <t>no</t>
        </is>
      </c>
      <c r="R80" s="2" t="inlineStr">
        <is>
          <t>profesional</t>
        </is>
      </c>
      <c r="S80" s="2" t="inlineStr">
        <is>
          <t>Automoción Valencia Albal</t>
        </is>
      </c>
      <c r="T80" s="2" t="inlineStr">
        <is>
          <t>2026-10-23T20:29:41Z</t>
        </is>
      </c>
      <c r="U80" s="2" t="n">
        <v>10</v>
      </c>
      <c r="V80" s="2" t="n"/>
      <c r="W80" s="2" t="n"/>
      <c r="X80" s="2" t="n"/>
      <c r="Y80" s="2" t="n"/>
      <c r="Z80" s="2" t="inlineStr">
        <is>
          <t>no</t>
        </is>
      </c>
      <c r="AA80" s="2" t="n"/>
      <c r="AB80" s="2" t="n"/>
      <c r="AC80" s="2" t="n"/>
      <c r="AD80" s="2" t="n"/>
      <c r="AE80" s="2" t="n"/>
      <c r="AF80" s="2" t="n"/>
      <c r="AG80" s="2" t="n"/>
      <c r="AH80" s="2" t="n">
        <v>3300</v>
      </c>
      <c r="AI80" s="2" t="n">
        <v>3300</v>
      </c>
      <c r="AJ80" s="2" t="n"/>
      <c r="AK80" s="2" t="n"/>
      <c r="AL80" s="2" t="n"/>
      <c r="AM80" s="2" t="n">
        <v>8.699999999999999</v>
      </c>
      <c r="AN80" s="2" t="n"/>
      <c r="AO80" s="2" t="inlineStr">
        <is>
          <t>2009</t>
        </is>
      </c>
      <c r="AP80" s="2" t="n">
        <v>2009</v>
      </c>
      <c r="AQ80" s="2" t="n"/>
      <c r="AR80" s="2" t="inlineStr">
        <is>
          <t>C</t>
        </is>
      </c>
      <c r="AS80" s="2" t="inlineStr">
        <is>
          <t>anuncio</t>
        </is>
      </c>
      <c r="AT80" s="2" t="n">
        <v>2007</v>
      </c>
      <c r="AU80" s="2" t="inlineStr">
        <is>
          <t>no</t>
        </is>
      </c>
      <c r="AV80" s="2" t="inlineStr">
        <is>
          <t>no</t>
        </is>
      </c>
      <c r="AW80" s="2" t="inlineStr">
        <is>
          <t>no</t>
        </is>
      </c>
      <c r="AX80" s="2" t="n"/>
      <c r="AY80" s="2" t="n"/>
      <c r="AZ80" s="2" t="n"/>
      <c r="BA80" s="2" t="n"/>
      <c r="BB80" s="2" t="inlineStr">
        <is>
          <t>año a confirmar: la URL/título dice 2007; vendedor profesional: sin ITP (operación con IVA/REBU, confirmar en factura); gastos de gestión del vendedor no indicados: se suma la tasa DGT; preguntar el precio final; revisar: detalles «detalles», no menciona la ITV; fiabilidad del modelo PENDIENTE de fuente (puntuación neutra); mediana con solo 1 anuncio(s)</t>
        </is>
      </c>
      <c r="BC80" s="2" t="inlineStr">
        <is>
          <t>Fiat Lìnea Dynamic combina practicidad y confort en un sedán compacto de dimensiones contenidas, ideal para la conducción urbana y desplazamientos diarios. El habitáculo ofrece espacio suficiente para cinco ocupantes con maletero de 500 litros, ampliable a 870 litros con los asientos traseros abatidos, lo que facilita tanto viajes familiares como traslados puntuales de carga.
El motor de 1.4 litros proporciona una respuesta ágil en ciudad gracias a su par disponible desde bajas revoluciones, mientras que el consumo moderado (6,7 l/100km en ciclo mixto) lo hace económico en uso. La transmisión manual de cinco velocidades permite un control directo de la conducción. Equipado con la etiqueta ambiental C, este vehículo accede sin restricciones a las zonas de bajas emisiones en ciudades con regulación de tráfico.
En cuanto a seguridad, este dispone de sistema ABS en las cuatro ruedas, airbags múltiples (frontales, laterales y cortina), cinturones con pretensores en los asientos delanteros y preparación Isofix para sistemas de retención infantil. La dirección asistida con endurecimiento progresivo facilita las maniobras sin sacrificar la estabilidad a velocidad de crucero.
El equipamiento de confort incluye climatizador automático, elevalunas eléctricos delanteros, volante regulable en altura y profundidad, y sistema de ventilación con filtro de partículas. Este ejemplar incorpora además asientos delanteros calefactados, cortinas parasol, volante y pomo en piel, y pintura metali</t>
        </is>
      </c>
      <c r="BD80" s="2" t="inlineStr">
        <is>
          <t>https://www.coches.net/fiat-linea-14-16v-tjet-120cv-dynamic-4p-gasolina-2007-en-valencia-70514152-covo.aspx (window.__INITIAL_PROPS__.ad) /home/user/Alopecia/buscador-coches/raw/cochesnet/306a1c8397fb75cd.json</t>
        </is>
      </c>
      <c r="BE80" s="3">
        <f>MAX(ANIO_ACTUAL-M80,0)</f>
        <v/>
      </c>
      <c r="BF80" s="4">
        <f>N80/MAX(BE80,0.5)</f>
        <v/>
      </c>
      <c r="BG80" s="4">
        <f>F80</f>
        <v/>
      </c>
      <c r="BH80" s="3">
        <f>BG80&amp;"|"&amp;INT(M80/SEG_ANIO)*SEG_ANIO</f>
        <v/>
      </c>
      <c r="BI80" s="3">
        <f>BH80&amp;"|"&amp;INT(N80/SEG_KM)*SEG_KM</f>
        <v/>
      </c>
      <c r="BJ80" s="4">
        <f>COUNTIF($BG$2:$BG$130,BG80)</f>
        <v/>
      </c>
      <c r="BK80" s="4">
        <f>COUNTIF($BH$2:$BH$130,BH80)</f>
        <v/>
      </c>
      <c r="BL80" s="4">
        <f>COUNTIF($BI$2:$BI$130,BI80)</f>
        <v/>
      </c>
      <c r="BM80" s="3">
        <f t="array" ref="BM80">IF(N(AY80)&gt;=MIN_N,AX80,IF(BL80&gt;=MIN_N,MEDIAN(IF($BI$2:$BI$130=BI80,$O$2:$O$130)),IF(BK80&gt;=MIN_N,MEDIAN(IF($BH$2:$BH$130=BH80,$O$2:$O$130)),MEDIAN(IF($BG$2:$BG$130=BG80,$O$2:$O$130)))))</f>
        <v/>
      </c>
      <c r="BN80" s="3">
        <f>IF(N(AY80)&gt;=MIN_N,"mercado "&amp;AZ80,IF(BL80&gt;=MIN_N,"modelo+año+km",IF(BK80&gt;=MIN_N,"modelo+año","modelo")))</f>
        <v/>
      </c>
      <c r="BO80" s="4">
        <f>(BM80-O80)/BM80</f>
        <v/>
      </c>
      <c r="BP80" s="3">
        <f>IF(COUNTIFS(FR_FUEL,K80,FR_YEAR,AP80)&gt;0,1,0)</f>
        <v/>
      </c>
      <c r="BQ80" s="3">
        <f>IF(COUNTIFS(FR_FUEL,K80,FR_YEAR,AP80-1)&gt;0,1,0)</f>
        <v/>
      </c>
      <c r="BR80" s="4">
        <f>IF(N(AQ80)&gt;0,AP80*100+AQ80,IF(AND(BP80=1,BQ80=1),(AP80-1)*100+1,AP80*100+1))</f>
        <v/>
      </c>
      <c r="BS80" s="3">
        <f>IF(OR(K80="hibrido",K80="glp",K80="gnc",K80="phev"),"ECO",IF(K80="electrico","CERO",IF(K80="gasolina",IF(BR80&gt;=GAS_C_YM,"C",IF(BR80&gt;=GAS_B_YM,"B","A")),IF(K80="diesel",IF(BR80&gt;=DIE_C_YM,"C",IF(BR80&gt;=DIE_B_YM,"B","A")),""))))</f>
        <v/>
      </c>
      <c r="BT80" s="2" t="inlineStr">
        <is>
          <t>C</t>
        </is>
      </c>
      <c r="BU80" s="4">
        <f>IF(AU80="sí","sí",IF(AS80="regla",IF(AND(N(AQ80)=0,BP80=1),"sí","no"),"no"))</f>
        <v/>
      </c>
      <c r="BV80" s="3">
        <f>IFERROR(VLOOKUP(F80,MOD_TBL,16,0),IFERROR(VLOOKUP(E80,OCU_TBL,2,0),NEUTRO))</f>
        <v/>
      </c>
      <c r="BW80" s="3">
        <f>SUMIFS(MOT_AJUSTE,MOT_MOTOR,G80,MOT_MARCA,E80,MOT_DESDE,"&lt;="&amp;M80,MOT_HASTA,"&gt;="&amp;M80)+SUMIFS(MOT_AJUSTE,MOT_MOTOR,G80,MOT_MARCA,"(todas)",MOT_DESDE,"&lt;="&amp;M80,MOT_HASTA,"&gt;="&amp;M80)+SUMIFS(MOT_AJUSTE,MOT_MOTOR,"(cualquiera)",MOT_MARCA,E80,MOT_DESDE,"&lt;="&amp;M80,MOT_HASTA,"&gt;="&amp;M80)</f>
        <v/>
      </c>
      <c r="BX80" s="3">
        <f>SUMIFS(COMB_AJUSTE,COMB_COMB,K80)</f>
        <v/>
      </c>
      <c r="BY80" s="3">
        <f>COUNTIFS(MOT_MOTOR,G80,MOT_MARCA,E80,MOT_DESDE,"&lt;="&amp;M80,MOT_HASTA,"&gt;="&amp;M80)+COUNTIFS(MOT_MOTOR,G80,MOT_MARCA,"(todas)",MOT_DESDE,"&lt;="&amp;M80,MOT_HASTA,"&gt;="&amp;M80)+COUNTIFS(MOT_MOTOR,"(cualquiera)",MOT_MARCA,E80,MOT_DESDE,"&lt;="&amp;M80,MOT_HASTA,"&gt;="&amp;M80)</f>
        <v/>
      </c>
      <c r="BZ80" s="3">
        <f>IF(AND(K80="diesel",BY80=0),MIN(BV80,NEUTRO),BV80)</f>
        <v/>
      </c>
      <c r="CA80" s="3">
        <f>MAX(0,MIN(100,BZ80+BW80+BX80-IF(AV80="sí",ROB_PEN,0)))</f>
        <v/>
      </c>
      <c r="CB80" s="3">
        <f>100-MAX(0,N80-KM_TOPE_DESDE)/1000*KM_TOPE_PTS</f>
        <v/>
      </c>
      <c r="CC80" s="3">
        <f>MAX(0,MIN(100,50+BO80*PRECIO_PEND,CB80))</f>
        <v/>
      </c>
      <c r="CD80" s="3">
        <f>MAX(0,100*(1-N80/KM_MAX))</f>
        <v/>
      </c>
      <c r="CE80" s="3">
        <f>IF(BF80&lt;KMA_SOSP,IF(AA80="sí",100,KMA_PEN),IF(BF80&lt;=KMA_IDEAL_MAX,100,MAX(0,100*(KMA_CERO-BF80)/(KMA_CERO-KMA_IDEAL_MAX))))</f>
        <v/>
      </c>
      <c r="CF80" s="3">
        <f>MAX(0,MIN(100,100*(M80-ANIO_MIN)/(ANIO_ACTUAL-ANIO_MIN)))</f>
        <v/>
      </c>
      <c r="CG80" s="3">
        <f>W_KMT*CD80+W_KMA*CE80+W_EDAD*CF80</f>
        <v/>
      </c>
      <c r="CH80" s="3">
        <f>P_ITV*(V80="sí")+P_LIBRO*(W80="sí")+P_CORREA*(X80="sí")+P_PROP*(Y80=1)+P_GAR*(Z80="sí")+P_FOTOS*MIN(1,N(U80)/FOTOS_OBJ)</f>
        <v/>
      </c>
      <c r="CI80" s="3">
        <f>MAX(0,MIN(100,IFERROR(VLOOKUP(BT80,ETQ_TBL,2,0),0)-IF(BU80="sí",ETQ_PEN_DUD,IF(AS80="regla",ETQ_PEN_REGLA,0))))</f>
        <v/>
      </c>
      <c r="CJ80" s="3">
        <f>IF(K80&lt;&gt;"gasolina","",IFERROR(VLOOKUP(F80,CONS_MOD_TBL,2,0),IFERROR(VLOOKUP(L80,CONS_SEG_TBL,2,0),"")))</f>
        <v/>
      </c>
      <c r="CK80" s="3">
        <f>IF(CJ80="",NEUTRO,MAX(0,MIN(100,100*(CONS_REF_MAX-CJ80)/(CONS_REF_MAX-CONS_REF_MIN))))</f>
        <v/>
      </c>
      <c r="CL80" s="3">
        <f>IFERROR(VLOOKUP(L80,SEGURO_TBL,3,0),"")</f>
        <v/>
      </c>
      <c r="CM80" s="3">
        <f>IF(CL80="",NEUTRO,MAX(0,MIN(100,100*(SEG_REF_MAX-CL80)/(SEG_REF_MAX-SEG_REF_MIN))))</f>
        <v/>
      </c>
      <c r="CN80" s="3">
        <f>W_CONS*CK80+W_SEG*CM80</f>
        <v/>
      </c>
      <c r="CO80" s="3">
        <f>IF(N(AB80)&gt;0,AB80,IF(AND(R80="profesional",SG_LEGAL_ON=1),GAR_LEGAL,0))</f>
        <v/>
      </c>
      <c r="CP80" s="3">
        <f>SG_GAR*MIN(1,CO80/SG_GAR_FULL)+SG_AMPL*(AC80="sí")+SG_KMC*(AF80="sí")+SG_REV*(N(AE80)&gt;0)+SG_DEV*MIN(1,N(AG80)/SG_DEV_FULL)+SG_HIST*(W80="sí")</f>
        <v/>
      </c>
      <c r="CQ80" s="3">
        <f>IF(AW80="sí",ESTILO_PRIO,IFERROR(VLOOKUP(L80,ESTILO_TBL,2,0),NEUTRO))</f>
        <v/>
      </c>
      <c r="CR80" s="3">
        <f>IFERROR(VLOOKUP(L80,CARR_PEN_TBL,2,0),0)</f>
        <v/>
      </c>
      <c r="CS80" s="3">
        <f>W_FIAB*CA80+W_PRECIO*CC80+W_KMEDAD*CG80+W_ANUNCIO*CH80+W_USO*CN80+W_SEGURIDAD*CP80+W_ETIQUETA*CI80+W_ESTILO*CQ80-CR80</f>
        <v/>
      </c>
      <c r="CT80" s="4">
        <f>IF(N(I80)&gt;0,I80,IFERROR(ROUND(_xlfn.NUMBERVALUE(LEFT(G80,FIND(" ",G80&amp;" ")-1),".")*1000,0),99999))</f>
        <v/>
      </c>
      <c r="CU80" s="3">
        <f>IF(R80="profesional",0,IF(O80&lt;CUOTA_VALOR_MAX,IF(BE80&gt;ITP_TRAMO_ALTO,SUMIFS(CF_CUOTA,CF_MAS,ITP_TRAMO_ALTO,CF_CCMIN,"&lt;="&amp;CT80,CF_CCMAX,"&gt;="&amp;CT80),IF(BE80&gt;ITP_TRAMO_BAJO,SUMIFS(CF_CUOTA,CF_MAS,ITP_TRAMO_BAJO,CF_CCMIN,"&lt;="&amp;CT80,CF_CCMAX,"&gt;="&amp;CT80),O80*ITP_TIPO)),O80*ITP_TIPO))</f>
        <v/>
      </c>
      <c r="CV80" s="4">
        <f>IF(R80="profesional",N(AK80),0)</f>
        <v/>
      </c>
      <c r="CW80" s="3">
        <f>IF(AND(R80="profesional",ISNUMBER(AK80),AL80="sí"),0,TASA_DGT)</f>
        <v/>
      </c>
      <c r="CX80" s="3">
        <f>INFORME_DGT</f>
        <v/>
      </c>
      <c r="CY80" s="4">
        <f>O80+CV80+CU80+CW80+CX80</f>
        <v/>
      </c>
      <c r="CZ80" s="4">
        <f>CY80+N(CL80)</f>
        <v/>
      </c>
      <c r="DA80" s="3">
        <f>IF(CY80&lt;=TOTAL_MAX,"sí",IF(CY80&lt;=TOTAL_MAX+MARGEN_NEG,"negociar","no"))</f>
        <v/>
      </c>
      <c r="DB80" s="4">
        <f>IF(DA80&lt;&gt;"no",COUNTIFS($DA$2:$DA$130,"&lt;&gt;no",$CS$2:$CS$130,"&gt;"&amp;CS80)+COUNTIFS($DA$2:DA80,"&lt;&gt;no",$CS$2:CS80,CS80),"")</f>
        <v/>
      </c>
    </row>
    <row r="81">
      <c r="A81" s="2" t="inlineStr">
        <is>
          <t>cochesnet:62365434</t>
        </is>
      </c>
      <c r="B81" s="2" t="inlineStr">
        <is>
          <t>cochesnet</t>
        </is>
      </c>
      <c r="C81" s="2" t="inlineStr">
        <is>
          <t>https://www.coches.net/fiat-500-12-8v-69-cv-lounge-3p-gasolina-2014-en-valencia-62365434-covo.aspx</t>
        </is>
      </c>
      <c r="D81" s="2" t="inlineStr">
        <is>
          <t>FIAT 500 1.2 8v 69 CV Lounge</t>
        </is>
      </c>
      <c r="E81" s="2" t="inlineStr">
        <is>
          <t>Fiat</t>
        </is>
      </c>
      <c r="F81" s="2" t="inlineStr">
        <is>
          <t>Fiat 500</t>
        </is>
      </c>
      <c r="G81" s="2" t="inlineStr">
        <is>
          <t>1.2</t>
        </is>
      </c>
      <c r="H81" s="2" t="inlineStr">
        <is>
          <t>1.2 8v 69 CV Lounge</t>
        </is>
      </c>
      <c r="I81" s="2" t="n"/>
      <c r="J81" s="2" t="n">
        <v>69</v>
      </c>
      <c r="K81" s="2" t="inlineStr">
        <is>
          <t>gasolina</t>
        </is>
      </c>
      <c r="L81" s="2" t="inlineStr">
        <is>
          <t>utilitario</t>
        </is>
      </c>
      <c r="M81" s="2" t="n">
        <v>2014</v>
      </c>
      <c r="N81" s="2" t="n">
        <v>146000</v>
      </c>
      <c r="O81" s="2" t="n">
        <v>4999</v>
      </c>
      <c r="P81" s="2" t="inlineStr">
        <is>
          <t>manual</t>
        </is>
      </c>
      <c r="Q81" s="2" t="inlineStr">
        <is>
          <t>no</t>
        </is>
      </c>
      <c r="R81" s="2" t="inlineStr">
        <is>
          <t>profesional</t>
        </is>
      </c>
      <c r="S81" s="2" t="inlineStr">
        <is>
          <t>Automoción Valencia Albal</t>
        </is>
      </c>
      <c r="T81" s="2" t="inlineStr">
        <is>
          <t>2026-08-15T17:18:49Z</t>
        </is>
      </c>
      <c r="U81" s="2" t="n">
        <v>22</v>
      </c>
      <c r="V81" s="2" t="n"/>
      <c r="W81" s="2" t="n"/>
      <c r="X81" s="2" t="n"/>
      <c r="Y81" s="2" t="n"/>
      <c r="Z81" s="2" t="inlineStr">
        <is>
          <t>no</t>
        </is>
      </c>
      <c r="AA81" s="2" t="n"/>
      <c r="AB81" s="2" t="n"/>
      <c r="AC81" s="2" t="n"/>
      <c r="AD81" s="2" t="n"/>
      <c r="AE81" s="2" t="n"/>
      <c r="AF81" s="2" t="n"/>
      <c r="AG81" s="2" t="n"/>
      <c r="AH81" s="2" t="n">
        <v>4999</v>
      </c>
      <c r="AI81" s="2" t="n">
        <v>4999</v>
      </c>
      <c r="AJ81" s="2" t="n"/>
      <c r="AK81" s="2" t="n"/>
      <c r="AL81" s="2" t="n"/>
      <c r="AM81" s="2" t="n">
        <v>8.699999999999999</v>
      </c>
      <c r="AN81" s="2" t="n"/>
      <c r="AO81" s="2" t="inlineStr">
        <is>
          <t>2014</t>
        </is>
      </c>
      <c r="AP81" s="2" t="n">
        <v>2014</v>
      </c>
      <c r="AQ81" s="2" t="n"/>
      <c r="AR81" s="2" t="inlineStr">
        <is>
          <t>C</t>
        </is>
      </c>
      <c r="AS81" s="2" t="inlineStr">
        <is>
          <t>anuncio</t>
        </is>
      </c>
      <c r="AT81" s="2" t="n"/>
      <c r="AU81" s="2" t="inlineStr">
        <is>
          <t>no</t>
        </is>
      </c>
      <c r="AV81" s="2" t="inlineStr">
        <is>
          <t>no</t>
        </is>
      </c>
      <c r="AW81" s="2" t="inlineStr">
        <is>
          <t>no</t>
        </is>
      </c>
      <c r="AX81" s="2" t="n">
        <v>6100</v>
      </c>
      <c r="AY81" s="2" t="n">
        <v>8</v>
      </c>
      <c r="AZ81" s="2" t="inlineStr">
        <is>
          <t>modelo+año+km</t>
        </is>
      </c>
      <c r="BA81" s="2" t="n"/>
      <c r="BB81" s="2" t="inlineStr">
        <is>
          <t>por encima del presupuesto (5063 €), negociar; vendedor profesional: sin ITP (operación con IVA/REBU, confirmar en factura); gastos de gestión del vendedor no indicados: se suma la tasa DGT; preguntar el precio final; revisar: no menciona la ITV</t>
        </is>
      </c>
      <c r="BC81" s="2" t="inlineStr">
        <is>
          <t>*¡OFERTA EXCEPCIONAL! SE VENDE FIAT 500 1.2 MPI 70 CV AÑO 2014*
*ETIQUETA AMBIENTAL C
 ¡EL VEHÍCULO  ECONOMICO PARA LA CIUDAD!*
ESTE FIAT 500 ES UN VEHÍCULO COMPACTO Y ECONÓMICO, IDEAL PARA MOVERSÉ POR LA CIUDAD. CON SU MOTOR 1.2 MPI 70 CV, OFRECE UN RENDIMIENTO EFICIENTE Y UNA CONDUCCIÓN SUAVE.
*EQUIPAMIENTO DE SERIE:*
- CLIMATIZADOR
- PANTALLA MULTIFUNCIÓN
- VOLANTE MULTIFUNCIÓN
- LLANTAS DE ALEACIÓN
- CONTROL DE ESTABILIDAD (ESP)
- DIRECCIÓN ASISTIDA
- ELEVALUNAS ELÉCTRICOS
- CIERRE CENTRALIZADO
- SENSOR DE LUCES
- ISOFIX
- SISTEMA DE AUDIO CON BLUETOOTH Y USB
*VENTAJAS:*
- MUY ECONÓMICO Y MANEJABLE
- IDEAL PARA LA CIUDAD
- ETIQUETA AMBIENTAL C
*PRECIO INCREÍBLE:*
*¡NO PIERDAS LA OPORTUNIDAD! CONTACTA CON NOSOTROS:*
- TELÉFONO: 664506303
*¡LLAMA AHORA Y PROGRAMA UNA CITA PARA VER EL VEHÍCULO!*</t>
        </is>
      </c>
      <c r="BD81" s="2" t="inlineStr">
        <is>
          <t>https://www.coches.net/fiat-500-12-8v-69-cv-lounge-3p-gasolina-2014-en-valencia-62365434-covo.aspx (window.__INITIAL_PROPS__.ad) /home/user/Alopecia/buscador-coches/raw/cochesnet/35da72ef6d8b8c75.json</t>
        </is>
      </c>
      <c r="BE81" s="3">
        <f>MAX(ANIO_ACTUAL-M81,0)</f>
        <v/>
      </c>
      <c r="BF81" s="4">
        <f>N81/MAX(BE81,0.5)</f>
        <v/>
      </c>
      <c r="BG81" s="4">
        <f>F81</f>
        <v/>
      </c>
      <c r="BH81" s="3">
        <f>BG81&amp;"|"&amp;INT(M81/SEG_ANIO)*SEG_ANIO</f>
        <v/>
      </c>
      <c r="BI81" s="3">
        <f>BH81&amp;"|"&amp;INT(N81/SEG_KM)*SEG_KM</f>
        <v/>
      </c>
      <c r="BJ81" s="4">
        <f>COUNTIF($BG$2:$BG$130,BG81)</f>
        <v/>
      </c>
      <c r="BK81" s="4">
        <f>COUNTIF($BH$2:$BH$130,BH81)</f>
        <v/>
      </c>
      <c r="BL81" s="4">
        <f>COUNTIF($BI$2:$BI$130,BI81)</f>
        <v/>
      </c>
      <c r="BM81" s="3">
        <f t="array" ref="BM81">IF(N(AY81)&gt;=MIN_N,AX81,IF(BL81&gt;=MIN_N,MEDIAN(IF($BI$2:$BI$130=BI81,$O$2:$O$130)),IF(BK81&gt;=MIN_N,MEDIAN(IF($BH$2:$BH$130=BH81,$O$2:$O$130)),MEDIAN(IF($BG$2:$BG$130=BG81,$O$2:$O$130)))))</f>
        <v/>
      </c>
      <c r="BN81" s="3">
        <f>IF(N(AY81)&gt;=MIN_N,"mercado "&amp;AZ81,IF(BL81&gt;=MIN_N,"modelo+año+km",IF(BK81&gt;=MIN_N,"modelo+año","modelo")))</f>
        <v/>
      </c>
      <c r="BO81" s="4">
        <f>(BM81-O81)/BM81</f>
        <v/>
      </c>
      <c r="BP81" s="3">
        <f>IF(COUNTIFS(FR_FUEL,K81,FR_YEAR,AP81)&gt;0,1,0)</f>
        <v/>
      </c>
      <c r="BQ81" s="3">
        <f>IF(COUNTIFS(FR_FUEL,K81,FR_YEAR,AP81-1)&gt;0,1,0)</f>
        <v/>
      </c>
      <c r="BR81" s="4">
        <f>IF(N(AQ81)&gt;0,AP81*100+AQ81,IF(AND(BP81=1,BQ81=1),(AP81-1)*100+1,AP81*100+1))</f>
        <v/>
      </c>
      <c r="BS81" s="3">
        <f>IF(OR(K81="hibrido",K81="glp",K81="gnc",K81="phev"),"ECO",IF(K81="electrico","CERO",IF(K81="gasolina",IF(BR81&gt;=GAS_C_YM,"C",IF(BR81&gt;=GAS_B_YM,"B","A")),IF(K81="diesel",IF(BR81&gt;=DIE_C_YM,"C",IF(BR81&gt;=DIE_B_YM,"B","A")),""))))</f>
        <v/>
      </c>
      <c r="BT81" s="2" t="inlineStr">
        <is>
          <t>C</t>
        </is>
      </c>
      <c r="BU81" s="4">
        <f>IF(AU81="sí","sí",IF(AS81="regla",IF(AND(N(AQ81)=0,BP81=1),"sí","no"),"no"))</f>
        <v/>
      </c>
      <c r="BV81" s="3">
        <f>IFERROR(VLOOKUP(F81,MOD_TBL,16,0),IFERROR(VLOOKUP(E81,OCU_TBL,2,0),NEUTRO))</f>
        <v/>
      </c>
      <c r="BW81" s="3">
        <f>SUMIFS(MOT_AJUSTE,MOT_MOTOR,G81,MOT_MARCA,E81,MOT_DESDE,"&lt;="&amp;M81,MOT_HASTA,"&gt;="&amp;M81)+SUMIFS(MOT_AJUSTE,MOT_MOTOR,G81,MOT_MARCA,"(todas)",MOT_DESDE,"&lt;="&amp;M81,MOT_HASTA,"&gt;="&amp;M81)+SUMIFS(MOT_AJUSTE,MOT_MOTOR,"(cualquiera)",MOT_MARCA,E81,MOT_DESDE,"&lt;="&amp;M81,MOT_HASTA,"&gt;="&amp;M81)</f>
        <v/>
      </c>
      <c r="BX81" s="3">
        <f>SUMIFS(COMB_AJUSTE,COMB_COMB,K81)</f>
        <v/>
      </c>
      <c r="BY81" s="3">
        <f>COUNTIFS(MOT_MOTOR,G81,MOT_MARCA,E81,MOT_DESDE,"&lt;="&amp;M81,MOT_HASTA,"&gt;="&amp;M81)+COUNTIFS(MOT_MOTOR,G81,MOT_MARCA,"(todas)",MOT_DESDE,"&lt;="&amp;M81,MOT_HASTA,"&gt;="&amp;M81)+COUNTIFS(MOT_MOTOR,"(cualquiera)",MOT_MARCA,E81,MOT_DESDE,"&lt;="&amp;M81,MOT_HASTA,"&gt;="&amp;M81)</f>
        <v/>
      </c>
      <c r="BZ81" s="3">
        <f>IF(AND(K81="diesel",BY81=0),MIN(BV81,NEUTRO),BV81)</f>
        <v/>
      </c>
      <c r="CA81" s="3">
        <f>MAX(0,MIN(100,BZ81+BW81+BX81-IF(AV81="sí",ROB_PEN,0)))</f>
        <v/>
      </c>
      <c r="CB81" s="3">
        <f>100-MAX(0,N81-KM_TOPE_DESDE)/1000*KM_TOPE_PTS</f>
        <v/>
      </c>
      <c r="CC81" s="3">
        <f>MAX(0,MIN(100,50+BO81*PRECIO_PEND,CB81))</f>
        <v/>
      </c>
      <c r="CD81" s="3">
        <f>MAX(0,100*(1-N81/KM_MAX))</f>
        <v/>
      </c>
      <c r="CE81" s="3">
        <f>IF(BF81&lt;KMA_SOSP,IF(AA81="sí",100,KMA_PEN),IF(BF81&lt;=KMA_IDEAL_MAX,100,MAX(0,100*(KMA_CERO-BF81)/(KMA_CERO-KMA_IDEAL_MAX))))</f>
        <v/>
      </c>
      <c r="CF81" s="3">
        <f>MAX(0,MIN(100,100*(M81-ANIO_MIN)/(ANIO_ACTUAL-ANIO_MIN)))</f>
        <v/>
      </c>
      <c r="CG81" s="3">
        <f>W_KMT*CD81+W_KMA*CE81+W_EDAD*CF81</f>
        <v/>
      </c>
      <c r="CH81" s="3">
        <f>P_ITV*(V81="sí")+P_LIBRO*(W81="sí")+P_CORREA*(X81="sí")+P_PROP*(Y81=1)+P_GAR*(Z81="sí")+P_FOTOS*MIN(1,N(U81)/FOTOS_OBJ)</f>
        <v/>
      </c>
      <c r="CI81" s="3">
        <f>MAX(0,MIN(100,IFERROR(VLOOKUP(BT81,ETQ_TBL,2,0),0)-IF(BU81="sí",ETQ_PEN_DUD,IF(AS81="regla",ETQ_PEN_REGLA,0))))</f>
        <v/>
      </c>
      <c r="CJ81" s="3">
        <f>IF(K81&lt;&gt;"gasolina","",IFERROR(VLOOKUP(F81,CONS_MOD_TBL,2,0),IFERROR(VLOOKUP(L81,CONS_SEG_TBL,2,0),"")))</f>
        <v/>
      </c>
      <c r="CK81" s="3">
        <f>IF(CJ81="",NEUTRO,MAX(0,MIN(100,100*(CONS_REF_MAX-CJ81)/(CONS_REF_MAX-CONS_REF_MIN))))</f>
        <v/>
      </c>
      <c r="CL81" s="3">
        <f>IFERROR(VLOOKUP(L81,SEGURO_TBL,3,0),"")</f>
        <v/>
      </c>
      <c r="CM81" s="3">
        <f>IF(CL81="",NEUTRO,MAX(0,MIN(100,100*(SEG_REF_MAX-CL81)/(SEG_REF_MAX-SEG_REF_MIN))))</f>
        <v/>
      </c>
      <c r="CN81" s="3">
        <f>W_CONS*CK81+W_SEG*CM81</f>
        <v/>
      </c>
      <c r="CO81" s="3">
        <f>IF(N(AB81)&gt;0,AB81,IF(AND(R81="profesional",SG_LEGAL_ON=1),GAR_LEGAL,0))</f>
        <v/>
      </c>
      <c r="CP81" s="3">
        <f>SG_GAR*MIN(1,CO81/SG_GAR_FULL)+SG_AMPL*(AC81="sí")+SG_KMC*(AF81="sí")+SG_REV*(N(AE81)&gt;0)+SG_DEV*MIN(1,N(AG81)/SG_DEV_FULL)+SG_HIST*(W81="sí")</f>
        <v/>
      </c>
      <c r="CQ81" s="3">
        <f>IF(AW81="sí",ESTILO_PRIO,IFERROR(VLOOKUP(L81,ESTILO_TBL,2,0),NEUTRO))</f>
        <v/>
      </c>
      <c r="CR81" s="3">
        <f>IFERROR(VLOOKUP(L81,CARR_PEN_TBL,2,0),0)</f>
        <v/>
      </c>
      <c r="CS81" s="3">
        <f>W_FIAB*CA81+W_PRECIO*CC81+W_KMEDAD*CG81+W_ANUNCIO*CH81+W_USO*CN81+W_SEGURIDAD*CP81+W_ETIQUETA*CI81+W_ESTILO*CQ81-CR81</f>
        <v/>
      </c>
      <c r="CT81" s="4">
        <f>IF(N(I81)&gt;0,I81,IFERROR(ROUND(_xlfn.NUMBERVALUE(LEFT(G81,FIND(" ",G81&amp;" ")-1),".")*1000,0),99999))</f>
        <v/>
      </c>
      <c r="CU81" s="3">
        <f>IF(R81="profesional",0,IF(O81&lt;CUOTA_VALOR_MAX,IF(BE81&gt;ITP_TRAMO_ALTO,SUMIFS(CF_CUOTA,CF_MAS,ITP_TRAMO_ALTO,CF_CCMIN,"&lt;="&amp;CT81,CF_CCMAX,"&gt;="&amp;CT81),IF(BE81&gt;ITP_TRAMO_BAJO,SUMIFS(CF_CUOTA,CF_MAS,ITP_TRAMO_BAJO,CF_CCMIN,"&lt;="&amp;CT81,CF_CCMAX,"&gt;="&amp;CT81),O81*ITP_TIPO)),O81*ITP_TIPO))</f>
        <v/>
      </c>
      <c r="CV81" s="4">
        <f>IF(R81="profesional",N(AK81),0)</f>
        <v/>
      </c>
      <c r="CW81" s="3">
        <f>IF(AND(R81="profesional",ISNUMBER(AK81),AL81="sí"),0,TASA_DGT)</f>
        <v/>
      </c>
      <c r="CX81" s="3">
        <f>INFORME_DGT</f>
        <v/>
      </c>
      <c r="CY81" s="4">
        <f>O81+CV81+CU81+CW81+CX81</f>
        <v/>
      </c>
      <c r="CZ81" s="4">
        <f>CY81+N(CL81)</f>
        <v/>
      </c>
      <c r="DA81" s="3">
        <f>IF(CY81&lt;=TOTAL_MAX,"sí",IF(CY81&lt;=TOTAL_MAX+MARGEN_NEG,"negociar","no"))</f>
        <v/>
      </c>
      <c r="DB81" s="4">
        <f>IF(DA81&lt;&gt;"no",COUNTIFS($DA$2:$DA$130,"&lt;&gt;no",$CS$2:$CS$130,"&gt;"&amp;CS81)+COUNTIFS($DA$2:DA81,"&lt;&gt;no",$CS$2:CS81,CS81),"")</f>
        <v/>
      </c>
    </row>
    <row r="82">
      <c r="A82" s="2" t="inlineStr">
        <is>
          <t>cochesnet:71849245</t>
        </is>
      </c>
      <c r="B82" s="2" t="inlineStr">
        <is>
          <t>cochesnet</t>
        </is>
      </c>
      <c r="C82" s="2" t="inlineStr">
        <is>
          <t>https://www.coches.net/nissan-pixo-5p-10g-68cv-acenta-pack-safety-5p-gasolina-2011-en-valencia-71849245-covo.aspx</t>
        </is>
      </c>
      <c r="D82" s="2" t="inlineStr">
        <is>
          <t>NISSAN Pixo 1.0G ACENTA PACK SAFETY</t>
        </is>
      </c>
      <c r="E82" s="2" t="inlineStr">
        <is>
          <t>Nissan</t>
        </is>
      </c>
      <c r="F82" s="2" t="inlineStr">
        <is>
          <t>Nissan Pixo</t>
        </is>
      </c>
      <c r="G82" s="2" t="inlineStr">
        <is>
          <t>1.0</t>
        </is>
      </c>
      <c r="H82" s="2" t="inlineStr">
        <is>
          <t>5p 1.0G 68CV ACENTA PACK SAFETY</t>
        </is>
      </c>
      <c r="I82" s="2" t="n"/>
      <c r="J82" s="2" t="n">
        <v>68</v>
      </c>
      <c r="K82" s="2" t="inlineStr">
        <is>
          <t>gasolina</t>
        </is>
      </c>
      <c r="L82" s="2" t="inlineStr">
        <is>
          <t>utilitario</t>
        </is>
      </c>
      <c r="M82" s="2" t="n">
        <v>2012</v>
      </c>
      <c r="N82" s="2" t="n">
        <v>68000</v>
      </c>
      <c r="O82" s="2" t="n">
        <v>4990</v>
      </c>
      <c r="P82" s="2" t="inlineStr">
        <is>
          <t>manual</t>
        </is>
      </c>
      <c r="Q82" s="2" t="inlineStr">
        <is>
          <t>no</t>
        </is>
      </c>
      <c r="R82" s="2" t="inlineStr">
        <is>
          <t>profesional</t>
        </is>
      </c>
      <c r="S82" s="2" t="inlineStr">
        <is>
          <t>Saga Vehículos Massanassa</t>
        </is>
      </c>
      <c r="T82" s="2" t="inlineStr">
        <is>
          <t>2026-10-27T23:45:43Z</t>
        </is>
      </c>
      <c r="U82" s="2" t="n">
        <v>26</v>
      </c>
      <c r="V82" s="2" t="n"/>
      <c r="W82" s="2" t="n"/>
      <c r="X82" s="2" t="n"/>
      <c r="Y82" s="2" t="n"/>
      <c r="Z82" s="2" t="inlineStr">
        <is>
          <t>sí</t>
        </is>
      </c>
      <c r="AA82" s="2" t="n"/>
      <c r="AB82" s="2" t="n">
        <v>12</v>
      </c>
      <c r="AC82" s="2" t="inlineStr">
        <is>
          <t>sí</t>
        </is>
      </c>
      <c r="AD82" s="2" t="n"/>
      <c r="AE82" s="2" t="n"/>
      <c r="AF82" s="2" t="n"/>
      <c r="AG82" s="2" t="n"/>
      <c r="AH82" s="2" t="n">
        <v>4990</v>
      </c>
      <c r="AI82" s="2" t="n">
        <v>4990</v>
      </c>
      <c r="AJ82" s="2" t="n"/>
      <c r="AK82" s="2" t="n">
        <v>350</v>
      </c>
      <c r="AL82" s="2" t="inlineStr">
        <is>
          <t>no</t>
        </is>
      </c>
      <c r="AM82" s="2" t="n">
        <v>6.9</v>
      </c>
      <c r="AN82" s="2" t="n"/>
      <c r="AO82" s="2" t="inlineStr">
        <is>
          <t>2012</t>
        </is>
      </c>
      <c r="AP82" s="2" t="n">
        <v>2012</v>
      </c>
      <c r="AQ82" s="2" t="n"/>
      <c r="AR82" s="2" t="inlineStr">
        <is>
          <t>C</t>
        </is>
      </c>
      <c r="AS82" s="2" t="inlineStr">
        <is>
          <t>anuncio</t>
        </is>
      </c>
      <c r="AT82" s="2" t="n">
        <v>2011</v>
      </c>
      <c r="AU82" s="2" t="inlineStr">
        <is>
          <t>no</t>
        </is>
      </c>
      <c r="AV82" s="2" t="inlineStr">
        <is>
          <t>no</t>
        </is>
      </c>
      <c r="AW82" s="2" t="inlineStr">
        <is>
          <t>no</t>
        </is>
      </c>
      <c r="AX82" s="2" t="n"/>
      <c r="AY82" s="2" t="n"/>
      <c r="AZ82" s="2" t="n"/>
      <c r="BA82" s="2" t="n"/>
      <c r="BB82" s="2" t="inlineStr">
        <is>
          <t>año a confirmar: la URL/título dice 2011; vendedor profesional: sin ITP (operación con IVA/REBU, confirmar en factura); gastos del vendedor sin indicar si incluyen la transferencia: se suma la tasa DGT; revisar: no menciona la ITV; fiabilidad del modelo PENDIENTE de fuente (puntuación neutra); mediana con solo 1 anuncio(s)</t>
        </is>
      </c>
      <c r="BC82" s="2" t="inlineStr">
        <is>
          <t xml:space="preserve">Nissan Pixo 1.0 Acenta, PACK SAFETY, 68CV, Gasolina, unico proprietario, vehículo muy bien cuidado.
Más de 100 coches en stock, Por favor llámenos para más información, atendemos SOLO CON CITA PREVIA. Gracias!!!!
Financiacíon de hasta el 100% del vehículo!
Gestión documental no incluido 350€ 
Garantía Premium 12 Meses con cobertura a nivel nacional 399€
Saga Vehículos, estamos en C/ Motor Sant Agustí, 41, 46470 Massanassa, Valencia.
Horario: De lunes a viernes de 10:00 a 14:00 y de 16:00 a 19:00.
Sabado de 10:00 a 14:00.
- Aire acondicionado
- Dirección asistida
- Frenos ABS/EBD
- Airbags
- Control de estabilidad 
- Ordenador abordo
- Sistema radio CD/MP3/USB
- Llaves presencial con mandos a distancia y mucho mas....
Este anuncio no es vinculante, se muestra a titulo informativo y no contractual.
</t>
        </is>
      </c>
      <c r="BD82" s="2" t="inlineStr">
        <is>
          <t>https://www.coches.net/nissan-pixo-5p-10g-68cv-acenta-pack-safety-5p-gasolina-2011-en-valencia-71849245-covo.aspx (window.__INITIAL_PROPS__.ad) /home/user/Alopecia/buscador-coches/raw/cochesnet/1836a48cf5398a0d.json</t>
        </is>
      </c>
      <c r="BE82" s="3">
        <f>MAX(ANIO_ACTUAL-M82,0)</f>
        <v/>
      </c>
      <c r="BF82" s="4">
        <f>N82/MAX(BE82,0.5)</f>
        <v/>
      </c>
      <c r="BG82" s="4">
        <f>F82</f>
        <v/>
      </c>
      <c r="BH82" s="3">
        <f>BG82&amp;"|"&amp;INT(M82/SEG_ANIO)*SEG_ANIO</f>
        <v/>
      </c>
      <c r="BI82" s="3">
        <f>BH82&amp;"|"&amp;INT(N82/SEG_KM)*SEG_KM</f>
        <v/>
      </c>
      <c r="BJ82" s="4">
        <f>COUNTIF($BG$2:$BG$130,BG82)</f>
        <v/>
      </c>
      <c r="BK82" s="4">
        <f>COUNTIF($BH$2:$BH$130,BH82)</f>
        <v/>
      </c>
      <c r="BL82" s="4">
        <f>COUNTIF($BI$2:$BI$130,BI82)</f>
        <v/>
      </c>
      <c r="BM82" s="3">
        <f t="array" ref="BM82">IF(N(AY82)&gt;=MIN_N,AX82,IF(BL82&gt;=MIN_N,MEDIAN(IF($BI$2:$BI$130=BI82,$O$2:$O$130)),IF(BK82&gt;=MIN_N,MEDIAN(IF($BH$2:$BH$130=BH82,$O$2:$O$130)),MEDIAN(IF($BG$2:$BG$130=BG82,$O$2:$O$130)))))</f>
        <v/>
      </c>
      <c r="BN82" s="3">
        <f>IF(N(AY82)&gt;=MIN_N,"mercado "&amp;AZ82,IF(BL82&gt;=MIN_N,"modelo+año+km",IF(BK82&gt;=MIN_N,"modelo+año","modelo")))</f>
        <v/>
      </c>
      <c r="BO82" s="4">
        <f>(BM82-O82)/BM82</f>
        <v/>
      </c>
      <c r="BP82" s="3">
        <f>IF(COUNTIFS(FR_FUEL,K82,FR_YEAR,AP82)&gt;0,1,0)</f>
        <v/>
      </c>
      <c r="BQ82" s="3">
        <f>IF(COUNTIFS(FR_FUEL,K82,FR_YEAR,AP82-1)&gt;0,1,0)</f>
        <v/>
      </c>
      <c r="BR82" s="4">
        <f>IF(N(AQ82)&gt;0,AP82*100+AQ82,IF(AND(BP82=1,BQ82=1),(AP82-1)*100+1,AP82*100+1))</f>
        <v/>
      </c>
      <c r="BS82" s="3">
        <f>IF(OR(K82="hibrido",K82="glp",K82="gnc",K82="phev"),"ECO",IF(K82="electrico","CERO",IF(K82="gasolina",IF(BR82&gt;=GAS_C_YM,"C",IF(BR82&gt;=GAS_B_YM,"B","A")),IF(K82="diesel",IF(BR82&gt;=DIE_C_YM,"C",IF(BR82&gt;=DIE_B_YM,"B","A")),""))))</f>
        <v/>
      </c>
      <c r="BT82" s="2" t="inlineStr">
        <is>
          <t>C</t>
        </is>
      </c>
      <c r="BU82" s="4">
        <f>IF(AU82="sí","sí",IF(AS82="regla",IF(AND(N(AQ82)=0,BP82=1),"sí","no"),"no"))</f>
        <v/>
      </c>
      <c r="BV82" s="3">
        <f>IFERROR(VLOOKUP(F82,MOD_TBL,16,0),IFERROR(VLOOKUP(E82,OCU_TBL,2,0),NEUTRO))</f>
        <v/>
      </c>
      <c r="BW82" s="3">
        <f>SUMIFS(MOT_AJUSTE,MOT_MOTOR,G82,MOT_MARCA,E82,MOT_DESDE,"&lt;="&amp;M82,MOT_HASTA,"&gt;="&amp;M82)+SUMIFS(MOT_AJUSTE,MOT_MOTOR,G82,MOT_MARCA,"(todas)",MOT_DESDE,"&lt;="&amp;M82,MOT_HASTA,"&gt;="&amp;M82)+SUMIFS(MOT_AJUSTE,MOT_MOTOR,"(cualquiera)",MOT_MARCA,E82,MOT_DESDE,"&lt;="&amp;M82,MOT_HASTA,"&gt;="&amp;M82)</f>
        <v/>
      </c>
      <c r="BX82" s="3">
        <f>SUMIFS(COMB_AJUSTE,COMB_COMB,K82)</f>
        <v/>
      </c>
      <c r="BY82" s="3">
        <f>COUNTIFS(MOT_MOTOR,G82,MOT_MARCA,E82,MOT_DESDE,"&lt;="&amp;M82,MOT_HASTA,"&gt;="&amp;M82)+COUNTIFS(MOT_MOTOR,G82,MOT_MARCA,"(todas)",MOT_DESDE,"&lt;="&amp;M82,MOT_HASTA,"&gt;="&amp;M82)+COUNTIFS(MOT_MOTOR,"(cualquiera)",MOT_MARCA,E82,MOT_DESDE,"&lt;="&amp;M82,MOT_HASTA,"&gt;="&amp;M82)</f>
        <v/>
      </c>
      <c r="BZ82" s="3">
        <f>IF(AND(K82="diesel",BY82=0),MIN(BV82,NEUTRO),BV82)</f>
        <v/>
      </c>
      <c r="CA82" s="3">
        <f>MAX(0,MIN(100,BZ82+BW82+BX82-IF(AV82="sí",ROB_PEN,0)))</f>
        <v/>
      </c>
      <c r="CB82" s="3">
        <f>100-MAX(0,N82-KM_TOPE_DESDE)/1000*KM_TOPE_PTS</f>
        <v/>
      </c>
      <c r="CC82" s="3">
        <f>MAX(0,MIN(100,50+BO82*PRECIO_PEND,CB82))</f>
        <v/>
      </c>
      <c r="CD82" s="3">
        <f>MAX(0,100*(1-N82/KM_MAX))</f>
        <v/>
      </c>
      <c r="CE82" s="3">
        <f>IF(BF82&lt;KMA_SOSP,IF(AA82="sí",100,KMA_PEN),IF(BF82&lt;=KMA_IDEAL_MAX,100,MAX(0,100*(KMA_CERO-BF82)/(KMA_CERO-KMA_IDEAL_MAX))))</f>
        <v/>
      </c>
      <c r="CF82" s="3">
        <f>MAX(0,MIN(100,100*(M82-ANIO_MIN)/(ANIO_ACTUAL-ANIO_MIN)))</f>
        <v/>
      </c>
      <c r="CG82" s="3">
        <f>W_KMT*CD82+W_KMA*CE82+W_EDAD*CF82</f>
        <v/>
      </c>
      <c r="CH82" s="3">
        <f>P_ITV*(V82="sí")+P_LIBRO*(W82="sí")+P_CORREA*(X82="sí")+P_PROP*(Y82=1)+P_GAR*(Z82="sí")+P_FOTOS*MIN(1,N(U82)/FOTOS_OBJ)</f>
        <v/>
      </c>
      <c r="CI82" s="3">
        <f>MAX(0,MIN(100,IFERROR(VLOOKUP(BT82,ETQ_TBL,2,0),0)-IF(BU82="sí",ETQ_PEN_DUD,IF(AS82="regla",ETQ_PEN_REGLA,0))))</f>
        <v/>
      </c>
      <c r="CJ82" s="3">
        <f>IF(K82&lt;&gt;"gasolina","",IFERROR(VLOOKUP(F82,CONS_MOD_TBL,2,0),IFERROR(VLOOKUP(L82,CONS_SEG_TBL,2,0),"")))</f>
        <v/>
      </c>
      <c r="CK82" s="3">
        <f>IF(CJ82="",NEUTRO,MAX(0,MIN(100,100*(CONS_REF_MAX-CJ82)/(CONS_REF_MAX-CONS_REF_MIN))))</f>
        <v/>
      </c>
      <c r="CL82" s="3">
        <f>IFERROR(VLOOKUP(L82,SEGURO_TBL,3,0),"")</f>
        <v/>
      </c>
      <c r="CM82" s="3">
        <f>IF(CL82="",NEUTRO,MAX(0,MIN(100,100*(SEG_REF_MAX-CL82)/(SEG_REF_MAX-SEG_REF_MIN))))</f>
        <v/>
      </c>
      <c r="CN82" s="3">
        <f>W_CONS*CK82+W_SEG*CM82</f>
        <v/>
      </c>
      <c r="CO82" s="3">
        <f>IF(N(AB82)&gt;0,AB82,IF(AND(R82="profesional",SG_LEGAL_ON=1),GAR_LEGAL,0))</f>
        <v/>
      </c>
      <c r="CP82" s="3">
        <f>SG_GAR*MIN(1,CO82/SG_GAR_FULL)+SG_AMPL*(AC82="sí")+SG_KMC*(AF82="sí")+SG_REV*(N(AE82)&gt;0)+SG_DEV*MIN(1,N(AG82)/SG_DEV_FULL)+SG_HIST*(W82="sí")</f>
        <v/>
      </c>
      <c r="CQ82" s="3">
        <f>IF(AW82="sí",ESTILO_PRIO,IFERROR(VLOOKUP(L82,ESTILO_TBL,2,0),NEUTRO))</f>
        <v/>
      </c>
      <c r="CR82" s="3">
        <f>IFERROR(VLOOKUP(L82,CARR_PEN_TBL,2,0),0)</f>
        <v/>
      </c>
      <c r="CS82" s="3">
        <f>W_FIAB*CA82+W_PRECIO*CC82+W_KMEDAD*CG82+W_ANUNCIO*CH82+W_USO*CN82+W_SEGURIDAD*CP82+W_ETIQUETA*CI82+W_ESTILO*CQ82-CR82</f>
        <v/>
      </c>
      <c r="CT82" s="4">
        <f>IF(N(I82)&gt;0,I82,IFERROR(ROUND(_xlfn.NUMBERVALUE(LEFT(G82,FIND(" ",G82&amp;" ")-1),".")*1000,0),99999))</f>
        <v/>
      </c>
      <c r="CU82" s="3">
        <f>IF(R82="profesional",0,IF(O82&lt;CUOTA_VALOR_MAX,IF(BE82&gt;ITP_TRAMO_ALTO,SUMIFS(CF_CUOTA,CF_MAS,ITP_TRAMO_ALTO,CF_CCMIN,"&lt;="&amp;CT82,CF_CCMAX,"&gt;="&amp;CT82),IF(BE82&gt;ITP_TRAMO_BAJO,SUMIFS(CF_CUOTA,CF_MAS,ITP_TRAMO_BAJO,CF_CCMIN,"&lt;="&amp;CT82,CF_CCMAX,"&gt;="&amp;CT82),O82*ITP_TIPO)),O82*ITP_TIPO))</f>
        <v/>
      </c>
      <c r="CV82" s="4">
        <f>IF(R82="profesional",N(AK82),0)</f>
        <v/>
      </c>
      <c r="CW82" s="3">
        <f>IF(AND(R82="profesional",ISNUMBER(AK82),AL82="sí"),0,TASA_DGT)</f>
        <v/>
      </c>
      <c r="CX82" s="3">
        <f>INFORME_DGT</f>
        <v/>
      </c>
      <c r="CY82" s="4">
        <f>O82+CV82+CU82+CW82+CX82</f>
        <v/>
      </c>
      <c r="CZ82" s="4">
        <f>CY82+N(CL82)</f>
        <v/>
      </c>
      <c r="DA82" s="3">
        <f>IF(CY82&lt;=TOTAL_MAX,"sí",IF(CY82&lt;=TOTAL_MAX+MARGEN_NEG,"negociar","no"))</f>
        <v/>
      </c>
      <c r="DB82" s="4">
        <f>IF(DA82&lt;&gt;"no",COUNTIFS($DA$2:$DA$130,"&lt;&gt;no",$CS$2:$CS$130,"&gt;"&amp;CS82)+COUNTIFS($DA$2:DA82,"&lt;&gt;no",$CS$2:CS82,CS82),"")</f>
        <v/>
      </c>
    </row>
    <row r="83">
      <c r="A83" s="2" t="inlineStr">
        <is>
          <t>cochesnet:71530109</t>
        </is>
      </c>
      <c r="B83" s="2" t="inlineStr">
        <is>
          <t>cochesnet</t>
        </is>
      </c>
      <c r="C83" s="2" t="inlineStr">
        <is>
          <t>https://www.coches.net/suzuki-alto-10-gl-5p-gasolina-2009-en-valencia-71530109-covo.aspx</t>
        </is>
      </c>
      <c r="D83" s="2" t="inlineStr">
        <is>
          <t>SUZUKI Alto 1.0 GL</t>
        </is>
      </c>
      <c r="E83" s="2" t="inlineStr">
        <is>
          <t>Suzuki</t>
        </is>
      </c>
      <c r="F83" s="2" t="inlineStr">
        <is>
          <t>Suzuki Alto</t>
        </is>
      </c>
      <c r="G83" s="2" t="inlineStr">
        <is>
          <t>1.0</t>
        </is>
      </c>
      <c r="H83" s="2" t="inlineStr">
        <is>
          <t>1.0 GL</t>
        </is>
      </c>
      <c r="I83" s="2" t="n"/>
      <c r="J83" s="2" t="n"/>
      <c r="K83" s="2" t="inlineStr">
        <is>
          <t>gasolina</t>
        </is>
      </c>
      <c r="L83" s="2" t="inlineStr">
        <is>
          <t>utilitario</t>
        </is>
      </c>
      <c r="M83" s="2" t="n">
        <v>2009</v>
      </c>
      <c r="N83" s="2" t="n">
        <v>55500</v>
      </c>
      <c r="O83" s="2" t="n">
        <v>5000</v>
      </c>
      <c r="P83" s="2" t="inlineStr">
        <is>
          <t>manual</t>
        </is>
      </c>
      <c r="Q83" s="2" t="inlineStr">
        <is>
          <t>no</t>
        </is>
      </c>
      <c r="R83" s="2" t="inlineStr">
        <is>
          <t>profesional</t>
        </is>
      </c>
      <c r="S83" s="2" t="inlineStr">
        <is>
          <t>Safor Auto Palmera</t>
        </is>
      </c>
      <c r="T83" s="2" t="inlineStr">
        <is>
          <t>2026-09-16T18:35:14Z</t>
        </is>
      </c>
      <c r="U83" s="2" t="n">
        <v>4</v>
      </c>
      <c r="V83" s="2" t="n"/>
      <c r="W83" s="2" t="n"/>
      <c r="X83" s="2" t="n"/>
      <c r="Y83" s="2" t="n">
        <v>1</v>
      </c>
      <c r="Z83" s="2" t="inlineStr">
        <is>
          <t>sí</t>
        </is>
      </c>
      <c r="AA83" s="2" t="inlineStr">
        <is>
          <t>sí</t>
        </is>
      </c>
      <c r="AB83" s="2" t="n">
        <v>12</v>
      </c>
      <c r="AC83" s="2" t="n"/>
      <c r="AD83" s="2" t="n"/>
      <c r="AE83" s="2" t="n"/>
      <c r="AF83" s="2" t="inlineStr">
        <is>
          <t>sí</t>
        </is>
      </c>
      <c r="AG83" s="2" t="n"/>
      <c r="AH83" s="2" t="n">
        <v>5000</v>
      </c>
      <c r="AI83" s="2" t="n"/>
      <c r="AJ83" s="2" t="n"/>
      <c r="AK83" s="2" t="n"/>
      <c r="AL83" s="2" t="n"/>
      <c r="AM83" s="2" t="n">
        <v>61.8</v>
      </c>
      <c r="AN83" s="2" t="n"/>
      <c r="AO83" s="2" t="inlineStr">
        <is>
          <t>2009</t>
        </is>
      </c>
      <c r="AP83" s="2" t="n">
        <v>2009</v>
      </c>
      <c r="AQ83" s="2" t="n"/>
      <c r="AR83" s="2" t="inlineStr">
        <is>
          <t>C</t>
        </is>
      </c>
      <c r="AS83" s="2" t="inlineStr">
        <is>
          <t>anuncio</t>
        </is>
      </c>
      <c r="AT83" s="2" t="n"/>
      <c r="AU83" s="2" t="inlineStr">
        <is>
          <t>no</t>
        </is>
      </c>
      <c r="AV83" s="2" t="inlineStr">
        <is>
          <t>no</t>
        </is>
      </c>
      <c r="AW83" s="2" t="inlineStr">
        <is>
          <t>no</t>
        </is>
      </c>
      <c r="AX83" s="2" t="n"/>
      <c r="AY83" s="2" t="n"/>
      <c r="AZ83" s="2" t="n"/>
      <c r="BA83" s="2" t="n"/>
      <c r="BB83" s="2" t="inlineStr">
        <is>
          <t>por encima del presupuesto (5064 €), negociar; vendedor profesional: sin ITP (operación con IVA/REBU, confirmar en factura); gastos de gestión del vendedor no indicados: se suma la tasa DGT; preguntar el precio final; revisar: no menciona la ITV; mediana con solo 1 anuncio(s)</t>
        </is>
      </c>
      <c r="BC83" s="2" t="inlineStr">
        <is>
          <t xml:space="preserve">- VEHÍCULO NACIONAL CON KM CERTIFICADOS
- UN SOLO DUEÑO UNIDAD MUY CUIDADA
- SE ENTREGA TOTALMENTE REVISADA Y CON TODO EL MANTENIMIENTO HECHO
- ACEPTAMOS PRUEBA MECÁNICA
- GARANTÍA DE 12 MESES INCLUIDA EN EL PRECIO
- POSIBILIDAD DE FINANCIAR SIN ENTRADA DESDE 181,23€ AL MES
- LAS GARANTÍAS SE CUBREN EN CUALQUIER PUNTO DE ESPAÑA
- PROMOCIÓN 20 ANIVERSARIO ENTREGA GRATUITA EN SU DOMICILIO 
- ACEPTAMOS VEHÍCULO COMO PARTE DEL PAGO
- VEHÍCULO EN MANTENIMIENTO EN BREVE INSERTAMOS MAS FOTOGRAFÍAS 
- PARA VER Y PROBAR EL VEHÍCULO HAY QUE CONCERTAR CITA PREVIA
   ( EL DÍA Y LA HORA LO DECIDE USTED )
</t>
        </is>
      </c>
      <c r="BD83" s="2" t="inlineStr">
        <is>
          <t>https://www.coches.net/suzuki-alto-10-gl-5p-gasolina-2009-en-valencia-71530109-covo.aspx (window.__INITIAL_PROPS__.ad) /home/user/Alopecia/buscador-coches/raw/cochesnet/ddee7fb118c34811.json</t>
        </is>
      </c>
      <c r="BE83" s="3">
        <f>MAX(ANIO_ACTUAL-M83,0)</f>
        <v/>
      </c>
      <c r="BF83" s="4">
        <f>N83/MAX(BE83,0.5)</f>
        <v/>
      </c>
      <c r="BG83" s="4">
        <f>F83</f>
        <v/>
      </c>
      <c r="BH83" s="3">
        <f>BG83&amp;"|"&amp;INT(M83/SEG_ANIO)*SEG_ANIO</f>
        <v/>
      </c>
      <c r="BI83" s="3">
        <f>BH83&amp;"|"&amp;INT(N83/SEG_KM)*SEG_KM</f>
        <v/>
      </c>
      <c r="BJ83" s="4">
        <f>COUNTIF($BG$2:$BG$130,BG83)</f>
        <v/>
      </c>
      <c r="BK83" s="4">
        <f>COUNTIF($BH$2:$BH$130,BH83)</f>
        <v/>
      </c>
      <c r="BL83" s="4">
        <f>COUNTIF($BI$2:$BI$130,BI83)</f>
        <v/>
      </c>
      <c r="BM83" s="3">
        <f t="array" ref="BM83">IF(N(AY83)&gt;=MIN_N,AX83,IF(BL83&gt;=MIN_N,MEDIAN(IF($BI$2:$BI$130=BI83,$O$2:$O$130)),IF(BK83&gt;=MIN_N,MEDIAN(IF($BH$2:$BH$130=BH83,$O$2:$O$130)),MEDIAN(IF($BG$2:$BG$130=BG83,$O$2:$O$130)))))</f>
        <v/>
      </c>
      <c r="BN83" s="3">
        <f>IF(N(AY83)&gt;=MIN_N,"mercado "&amp;AZ83,IF(BL83&gt;=MIN_N,"modelo+año+km",IF(BK83&gt;=MIN_N,"modelo+año","modelo")))</f>
        <v/>
      </c>
      <c r="BO83" s="4">
        <f>(BM83-O83)/BM83</f>
        <v/>
      </c>
      <c r="BP83" s="3">
        <f>IF(COUNTIFS(FR_FUEL,K83,FR_YEAR,AP83)&gt;0,1,0)</f>
        <v/>
      </c>
      <c r="BQ83" s="3">
        <f>IF(COUNTIFS(FR_FUEL,K83,FR_YEAR,AP83-1)&gt;0,1,0)</f>
        <v/>
      </c>
      <c r="BR83" s="4">
        <f>IF(N(AQ83)&gt;0,AP83*100+AQ83,IF(AND(BP83=1,BQ83=1),(AP83-1)*100+1,AP83*100+1))</f>
        <v/>
      </c>
      <c r="BS83" s="3">
        <f>IF(OR(K83="hibrido",K83="glp",K83="gnc",K83="phev"),"ECO",IF(K83="electrico","CERO",IF(K83="gasolina",IF(BR83&gt;=GAS_C_YM,"C",IF(BR83&gt;=GAS_B_YM,"B","A")),IF(K83="diesel",IF(BR83&gt;=DIE_C_YM,"C",IF(BR83&gt;=DIE_B_YM,"B","A")),""))))</f>
        <v/>
      </c>
      <c r="BT83" s="2" t="inlineStr">
        <is>
          <t>C</t>
        </is>
      </c>
      <c r="BU83" s="4">
        <f>IF(AU83="sí","sí",IF(AS83="regla",IF(AND(N(AQ83)=0,BP83=1),"sí","no"),"no"))</f>
        <v/>
      </c>
      <c r="BV83" s="3">
        <f>IFERROR(VLOOKUP(F83,MOD_TBL,16,0),IFERROR(VLOOKUP(E83,OCU_TBL,2,0),NEUTRO))</f>
        <v/>
      </c>
      <c r="BW83" s="3">
        <f>SUMIFS(MOT_AJUSTE,MOT_MOTOR,G83,MOT_MARCA,E83,MOT_DESDE,"&lt;="&amp;M83,MOT_HASTA,"&gt;="&amp;M83)+SUMIFS(MOT_AJUSTE,MOT_MOTOR,G83,MOT_MARCA,"(todas)",MOT_DESDE,"&lt;="&amp;M83,MOT_HASTA,"&gt;="&amp;M83)+SUMIFS(MOT_AJUSTE,MOT_MOTOR,"(cualquiera)",MOT_MARCA,E83,MOT_DESDE,"&lt;="&amp;M83,MOT_HASTA,"&gt;="&amp;M83)</f>
        <v/>
      </c>
      <c r="BX83" s="3">
        <f>SUMIFS(COMB_AJUSTE,COMB_COMB,K83)</f>
        <v/>
      </c>
      <c r="BY83" s="3">
        <f>COUNTIFS(MOT_MOTOR,G83,MOT_MARCA,E83,MOT_DESDE,"&lt;="&amp;M83,MOT_HASTA,"&gt;="&amp;M83)+COUNTIFS(MOT_MOTOR,G83,MOT_MARCA,"(todas)",MOT_DESDE,"&lt;="&amp;M83,MOT_HASTA,"&gt;="&amp;M83)+COUNTIFS(MOT_MOTOR,"(cualquiera)",MOT_MARCA,E83,MOT_DESDE,"&lt;="&amp;M83,MOT_HASTA,"&gt;="&amp;M83)</f>
        <v/>
      </c>
      <c r="BZ83" s="3">
        <f>IF(AND(K83="diesel",BY83=0),MIN(BV83,NEUTRO),BV83)</f>
        <v/>
      </c>
      <c r="CA83" s="3">
        <f>MAX(0,MIN(100,BZ83+BW83+BX83-IF(AV83="sí",ROB_PEN,0)))</f>
        <v/>
      </c>
      <c r="CB83" s="3">
        <f>100-MAX(0,N83-KM_TOPE_DESDE)/1000*KM_TOPE_PTS</f>
        <v/>
      </c>
      <c r="CC83" s="3">
        <f>MAX(0,MIN(100,50+BO83*PRECIO_PEND,CB83))</f>
        <v/>
      </c>
      <c r="CD83" s="3">
        <f>MAX(0,100*(1-N83/KM_MAX))</f>
        <v/>
      </c>
      <c r="CE83" s="3">
        <f>IF(BF83&lt;KMA_SOSP,IF(AA83="sí",100,KMA_PEN),IF(BF83&lt;=KMA_IDEAL_MAX,100,MAX(0,100*(KMA_CERO-BF83)/(KMA_CERO-KMA_IDEAL_MAX))))</f>
        <v/>
      </c>
      <c r="CF83" s="3">
        <f>MAX(0,MIN(100,100*(M83-ANIO_MIN)/(ANIO_ACTUAL-ANIO_MIN)))</f>
        <v/>
      </c>
      <c r="CG83" s="3">
        <f>W_KMT*CD83+W_KMA*CE83+W_EDAD*CF83</f>
        <v/>
      </c>
      <c r="CH83" s="3">
        <f>P_ITV*(V83="sí")+P_LIBRO*(W83="sí")+P_CORREA*(X83="sí")+P_PROP*(Y83=1)+P_GAR*(Z83="sí")+P_FOTOS*MIN(1,N(U83)/FOTOS_OBJ)</f>
        <v/>
      </c>
      <c r="CI83" s="3">
        <f>MAX(0,MIN(100,IFERROR(VLOOKUP(BT83,ETQ_TBL,2,0),0)-IF(BU83="sí",ETQ_PEN_DUD,IF(AS83="regla",ETQ_PEN_REGLA,0))))</f>
        <v/>
      </c>
      <c r="CJ83" s="3">
        <f>IF(K83&lt;&gt;"gasolina","",IFERROR(VLOOKUP(F83,CONS_MOD_TBL,2,0),IFERROR(VLOOKUP(L83,CONS_SEG_TBL,2,0),"")))</f>
        <v/>
      </c>
      <c r="CK83" s="3">
        <f>IF(CJ83="",NEUTRO,MAX(0,MIN(100,100*(CONS_REF_MAX-CJ83)/(CONS_REF_MAX-CONS_REF_MIN))))</f>
        <v/>
      </c>
      <c r="CL83" s="3">
        <f>IFERROR(VLOOKUP(L83,SEGURO_TBL,3,0),"")</f>
        <v/>
      </c>
      <c r="CM83" s="3">
        <f>IF(CL83="",NEUTRO,MAX(0,MIN(100,100*(SEG_REF_MAX-CL83)/(SEG_REF_MAX-SEG_REF_MIN))))</f>
        <v/>
      </c>
      <c r="CN83" s="3">
        <f>W_CONS*CK83+W_SEG*CM83</f>
        <v/>
      </c>
      <c r="CO83" s="3">
        <f>IF(N(AB83)&gt;0,AB83,IF(AND(R83="profesional",SG_LEGAL_ON=1),GAR_LEGAL,0))</f>
        <v/>
      </c>
      <c r="CP83" s="3">
        <f>SG_GAR*MIN(1,CO83/SG_GAR_FULL)+SG_AMPL*(AC83="sí")+SG_KMC*(AF83="sí")+SG_REV*(N(AE83)&gt;0)+SG_DEV*MIN(1,N(AG83)/SG_DEV_FULL)+SG_HIST*(W83="sí")</f>
        <v/>
      </c>
      <c r="CQ83" s="3">
        <f>IF(AW83="sí",ESTILO_PRIO,IFERROR(VLOOKUP(L83,ESTILO_TBL,2,0),NEUTRO))</f>
        <v/>
      </c>
      <c r="CR83" s="3">
        <f>IFERROR(VLOOKUP(L83,CARR_PEN_TBL,2,0),0)</f>
        <v/>
      </c>
      <c r="CS83" s="3">
        <f>W_FIAB*CA83+W_PRECIO*CC83+W_KMEDAD*CG83+W_ANUNCIO*CH83+W_USO*CN83+W_SEGURIDAD*CP83+W_ETIQUETA*CI83+W_ESTILO*CQ83-CR83</f>
        <v/>
      </c>
      <c r="CT83" s="4">
        <f>IF(N(I83)&gt;0,I83,IFERROR(ROUND(_xlfn.NUMBERVALUE(LEFT(G83,FIND(" ",G83&amp;" ")-1),".")*1000,0),99999))</f>
        <v/>
      </c>
      <c r="CU83" s="3">
        <f>IF(R83="profesional",0,IF(O83&lt;CUOTA_VALOR_MAX,IF(BE83&gt;ITP_TRAMO_ALTO,SUMIFS(CF_CUOTA,CF_MAS,ITP_TRAMO_ALTO,CF_CCMIN,"&lt;="&amp;CT83,CF_CCMAX,"&gt;="&amp;CT83),IF(BE83&gt;ITP_TRAMO_BAJO,SUMIFS(CF_CUOTA,CF_MAS,ITP_TRAMO_BAJO,CF_CCMIN,"&lt;="&amp;CT83,CF_CCMAX,"&gt;="&amp;CT83),O83*ITP_TIPO)),O83*ITP_TIPO))</f>
        <v/>
      </c>
      <c r="CV83" s="4">
        <f>IF(R83="profesional",N(AK83),0)</f>
        <v/>
      </c>
      <c r="CW83" s="3">
        <f>IF(AND(R83="profesional",ISNUMBER(AK83),AL83="sí"),0,TASA_DGT)</f>
        <v/>
      </c>
      <c r="CX83" s="3">
        <f>INFORME_DGT</f>
        <v/>
      </c>
      <c r="CY83" s="4">
        <f>O83+CV83+CU83+CW83+CX83</f>
        <v/>
      </c>
      <c r="CZ83" s="4">
        <f>CY83+N(CL83)</f>
        <v/>
      </c>
      <c r="DA83" s="3">
        <f>IF(CY83&lt;=TOTAL_MAX,"sí",IF(CY83&lt;=TOTAL_MAX+MARGEN_NEG,"negociar","no"))</f>
        <v/>
      </c>
      <c r="DB83" s="4">
        <f>IF(DA83&lt;&gt;"no",COUNTIFS($DA$2:$DA$130,"&lt;&gt;no",$CS$2:$CS$130,"&gt;"&amp;CS83)+COUNTIFS($DA$2:DA83,"&lt;&gt;no",$CS$2:CS83,CS83),"")</f>
        <v/>
      </c>
    </row>
    <row r="84">
      <c r="A84" s="2" t="inlineStr">
        <is>
          <t>cochesnet:71332504</t>
        </is>
      </c>
      <c r="B84" s="2" t="inlineStr">
        <is>
          <t>cochesnet</t>
        </is>
      </c>
      <c r="C84" s="2" t="inlineStr">
        <is>
          <t>https://www.coches.net/mini-mini-one-3p-gasolina-2009-en-valencia-71332504-covo.aspx</t>
        </is>
      </c>
      <c r="D84" s="2" t="inlineStr">
        <is>
          <t>MINI MINI One</t>
        </is>
      </c>
      <c r="E84" s="2" t="inlineStr">
        <is>
          <t>MINI</t>
        </is>
      </c>
      <c r="F84" s="2" t="inlineStr">
        <is>
          <t>MINI MINI</t>
        </is>
      </c>
      <c r="G84" s="2" t="n"/>
      <c r="H84" s="2" t="inlineStr">
        <is>
          <t>One</t>
        </is>
      </c>
      <c r="I84" s="2" t="n"/>
      <c r="J84" s="2" t="n"/>
      <c r="K84" s="2" t="inlineStr">
        <is>
          <t>gasolina</t>
        </is>
      </c>
      <c r="L84" s="2" t="inlineStr">
        <is>
          <t>utilitario</t>
        </is>
      </c>
      <c r="M84" s="2" t="n">
        <v>2009</v>
      </c>
      <c r="N84" s="2" t="n">
        <v>116000</v>
      </c>
      <c r="O84" s="2" t="n">
        <v>4990</v>
      </c>
      <c r="P84" s="2" t="inlineStr">
        <is>
          <t>manual</t>
        </is>
      </c>
      <c r="Q84" s="2" t="inlineStr">
        <is>
          <t>no</t>
        </is>
      </c>
      <c r="R84" s="2" t="inlineStr">
        <is>
          <t>profesional</t>
        </is>
      </c>
      <c r="S84" s="2" t="inlineStr">
        <is>
          <t>Asatryan Motors Godelleta</t>
        </is>
      </c>
      <c r="T84" s="2" t="inlineStr">
        <is>
          <t>2026-08-20T16:10:22Z</t>
        </is>
      </c>
      <c r="U84" s="2" t="n">
        <v>8</v>
      </c>
      <c r="V84" s="2" t="inlineStr">
        <is>
          <t>sí</t>
        </is>
      </c>
      <c r="W84" s="2" t="n"/>
      <c r="X84" s="2" t="n"/>
      <c r="Y84" s="2" t="n"/>
      <c r="Z84" s="2" t="inlineStr">
        <is>
          <t>sí</t>
        </is>
      </c>
      <c r="AA84" s="2" t="n"/>
      <c r="AB84" s="2" t="n">
        <v>12</v>
      </c>
      <c r="AC84" s="2" t="n"/>
      <c r="AD84" s="2" t="n"/>
      <c r="AE84" s="2" t="n"/>
      <c r="AF84" s="2" t="n"/>
      <c r="AG84" s="2" t="n"/>
      <c r="AH84" s="2" t="n">
        <v>4990</v>
      </c>
      <c r="AI84" s="2" t="n"/>
      <c r="AJ84" s="2" t="n"/>
      <c r="AK84" s="2" t="n"/>
      <c r="AL84" s="2" t="n"/>
      <c r="AM84" s="2" t="n">
        <v>27.2</v>
      </c>
      <c r="AN84" s="2" t="n"/>
      <c r="AO84" s="2" t="inlineStr">
        <is>
          <t>2009</t>
        </is>
      </c>
      <c r="AP84" s="2" t="n">
        <v>2009</v>
      </c>
      <c r="AQ84" s="2" t="n"/>
      <c r="AR84" s="2" t="inlineStr">
        <is>
          <t>C</t>
        </is>
      </c>
      <c r="AS84" s="2" t="inlineStr">
        <is>
          <t>anuncio</t>
        </is>
      </c>
      <c r="AT84" s="2" t="n"/>
      <c r="AU84" s="2" t="inlineStr">
        <is>
          <t>no</t>
        </is>
      </c>
      <c r="AV84" s="2" t="inlineStr">
        <is>
          <t>no</t>
        </is>
      </c>
      <c r="AW84" s="2" t="inlineStr">
        <is>
          <t>no</t>
        </is>
      </c>
      <c r="AX84" s="2" t="n">
        <v>6150</v>
      </c>
      <c r="AY84" s="2" t="n">
        <v>20</v>
      </c>
      <c r="AZ84" s="2" t="inlineStr">
        <is>
          <t>modelo+año+km</t>
        </is>
      </c>
      <c r="BA84" s="2" t="n"/>
      <c r="BB84"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BC84" s="2" t="inlineStr">
        <is>
          <t>MINI One | Año 2009 | 119.000 km | 75 CV
Vehículo en buen estado tanto interior como exterior, con 119.000 km e ITV recién pasada.
Equipa motor de 75 CV, una configuración ideal para el uso diario, especialmente en ciudad, gracias a su tamaño compacto, facilidad de conducción y consumo contenido.
Un MINI práctico, ágil y con el diseño característico de la marca, perfecto para quienes buscan un vehículo pequeño, cómodo y fácil de manejar.
Se aceptan cualquier tipo de pruebas mecánicas.
Solo para personas seriamente interesadas!
Instagram: @Asatryan_motors
TikTok: @AsatryanMotors</t>
        </is>
      </c>
      <c r="BD84" s="2" t="inlineStr">
        <is>
          <t>https://www.coches.net/mini-mini-one-3p-gasolina-2009-en-valencia-71332504-covo.aspx (window.__INITIAL_PROPS__.ad) /home/user/Alopecia/buscador-coches/raw/cochesnet/31604d79e7744ebf.json</t>
        </is>
      </c>
      <c r="BE84" s="3">
        <f>MAX(ANIO_ACTUAL-M84,0)</f>
        <v/>
      </c>
      <c r="BF84" s="4">
        <f>N84/MAX(BE84,0.5)</f>
        <v/>
      </c>
      <c r="BG84" s="4">
        <f>F84</f>
        <v/>
      </c>
      <c r="BH84" s="3">
        <f>BG84&amp;"|"&amp;INT(M84/SEG_ANIO)*SEG_ANIO</f>
        <v/>
      </c>
      <c r="BI84" s="3">
        <f>BH84&amp;"|"&amp;INT(N84/SEG_KM)*SEG_KM</f>
        <v/>
      </c>
      <c r="BJ84" s="4">
        <f>COUNTIF($BG$2:$BG$130,BG84)</f>
        <v/>
      </c>
      <c r="BK84" s="4">
        <f>COUNTIF($BH$2:$BH$130,BH84)</f>
        <v/>
      </c>
      <c r="BL84" s="4">
        <f>COUNTIF($BI$2:$BI$130,BI84)</f>
        <v/>
      </c>
      <c r="BM84" s="3">
        <f t="array" ref="BM84">IF(N(AY84)&gt;=MIN_N,AX84,IF(BL84&gt;=MIN_N,MEDIAN(IF($BI$2:$BI$130=BI84,$O$2:$O$130)),IF(BK84&gt;=MIN_N,MEDIAN(IF($BH$2:$BH$130=BH84,$O$2:$O$130)),MEDIAN(IF($BG$2:$BG$130=BG84,$O$2:$O$130)))))</f>
        <v/>
      </c>
      <c r="BN84" s="3">
        <f>IF(N(AY84)&gt;=MIN_N,"mercado "&amp;AZ84,IF(BL84&gt;=MIN_N,"modelo+año+km",IF(BK84&gt;=MIN_N,"modelo+año","modelo")))</f>
        <v/>
      </c>
      <c r="BO84" s="4">
        <f>(BM84-O84)/BM84</f>
        <v/>
      </c>
      <c r="BP84" s="3">
        <f>IF(COUNTIFS(FR_FUEL,K84,FR_YEAR,AP84)&gt;0,1,0)</f>
        <v/>
      </c>
      <c r="BQ84" s="3">
        <f>IF(COUNTIFS(FR_FUEL,K84,FR_YEAR,AP84-1)&gt;0,1,0)</f>
        <v/>
      </c>
      <c r="BR84" s="4">
        <f>IF(N(AQ84)&gt;0,AP84*100+AQ84,IF(AND(BP84=1,BQ84=1),(AP84-1)*100+1,AP84*100+1))</f>
        <v/>
      </c>
      <c r="BS84" s="3">
        <f>IF(OR(K84="hibrido",K84="glp",K84="gnc",K84="phev"),"ECO",IF(K84="electrico","CERO",IF(K84="gasolina",IF(BR84&gt;=GAS_C_YM,"C",IF(BR84&gt;=GAS_B_YM,"B","A")),IF(K84="diesel",IF(BR84&gt;=DIE_C_YM,"C",IF(BR84&gt;=DIE_B_YM,"B","A")),""))))</f>
        <v/>
      </c>
      <c r="BT84" s="2" t="inlineStr">
        <is>
          <t>C</t>
        </is>
      </c>
      <c r="BU84" s="4">
        <f>IF(AU84="sí","sí",IF(AS84="regla",IF(AND(N(AQ84)=0,BP84=1),"sí","no"),"no"))</f>
        <v/>
      </c>
      <c r="BV84" s="3">
        <f>IFERROR(VLOOKUP(F84,MOD_TBL,16,0),IFERROR(VLOOKUP(E84,OCU_TBL,2,0),NEUTRO))</f>
        <v/>
      </c>
      <c r="BW84" s="3">
        <f>SUMIFS(MOT_AJUSTE,MOT_MOTOR,G84,MOT_MARCA,E84,MOT_DESDE,"&lt;="&amp;M84,MOT_HASTA,"&gt;="&amp;M84)+SUMIFS(MOT_AJUSTE,MOT_MOTOR,G84,MOT_MARCA,"(todas)",MOT_DESDE,"&lt;="&amp;M84,MOT_HASTA,"&gt;="&amp;M84)+SUMIFS(MOT_AJUSTE,MOT_MOTOR,"(cualquiera)",MOT_MARCA,E84,MOT_DESDE,"&lt;="&amp;M84,MOT_HASTA,"&gt;="&amp;M84)</f>
        <v/>
      </c>
      <c r="BX84" s="3">
        <f>SUMIFS(COMB_AJUSTE,COMB_COMB,K84)</f>
        <v/>
      </c>
      <c r="BY84" s="3">
        <f>COUNTIFS(MOT_MOTOR,G84,MOT_MARCA,E84,MOT_DESDE,"&lt;="&amp;M84,MOT_HASTA,"&gt;="&amp;M84)+COUNTIFS(MOT_MOTOR,G84,MOT_MARCA,"(todas)",MOT_DESDE,"&lt;="&amp;M84,MOT_HASTA,"&gt;="&amp;M84)+COUNTIFS(MOT_MOTOR,"(cualquiera)",MOT_MARCA,E84,MOT_DESDE,"&lt;="&amp;M84,MOT_HASTA,"&gt;="&amp;M84)</f>
        <v/>
      </c>
      <c r="BZ84" s="3">
        <f>IF(AND(K84="diesel",BY84=0),MIN(BV84,NEUTRO),BV84)</f>
        <v/>
      </c>
      <c r="CA84" s="3">
        <f>MAX(0,MIN(100,BZ84+BW84+BX84-IF(AV84="sí",ROB_PEN,0)))</f>
        <v/>
      </c>
      <c r="CB84" s="3">
        <f>100-MAX(0,N84-KM_TOPE_DESDE)/1000*KM_TOPE_PTS</f>
        <v/>
      </c>
      <c r="CC84" s="3">
        <f>MAX(0,MIN(100,50+BO84*PRECIO_PEND,CB84))</f>
        <v/>
      </c>
      <c r="CD84" s="3">
        <f>MAX(0,100*(1-N84/KM_MAX))</f>
        <v/>
      </c>
      <c r="CE84" s="3">
        <f>IF(BF84&lt;KMA_SOSP,IF(AA84="sí",100,KMA_PEN),IF(BF84&lt;=KMA_IDEAL_MAX,100,MAX(0,100*(KMA_CERO-BF84)/(KMA_CERO-KMA_IDEAL_MAX))))</f>
        <v/>
      </c>
      <c r="CF84" s="3">
        <f>MAX(0,MIN(100,100*(M84-ANIO_MIN)/(ANIO_ACTUAL-ANIO_MIN)))</f>
        <v/>
      </c>
      <c r="CG84" s="3">
        <f>W_KMT*CD84+W_KMA*CE84+W_EDAD*CF84</f>
        <v/>
      </c>
      <c r="CH84" s="3">
        <f>P_ITV*(V84="sí")+P_LIBRO*(W84="sí")+P_CORREA*(X84="sí")+P_PROP*(Y84=1)+P_GAR*(Z84="sí")+P_FOTOS*MIN(1,N(U84)/FOTOS_OBJ)</f>
        <v/>
      </c>
      <c r="CI84" s="3">
        <f>MAX(0,MIN(100,IFERROR(VLOOKUP(BT84,ETQ_TBL,2,0),0)-IF(BU84="sí",ETQ_PEN_DUD,IF(AS84="regla",ETQ_PEN_REGLA,0))))</f>
        <v/>
      </c>
      <c r="CJ84" s="3">
        <f>IF(K84&lt;&gt;"gasolina","",IFERROR(VLOOKUP(F84,CONS_MOD_TBL,2,0),IFERROR(VLOOKUP(L84,CONS_SEG_TBL,2,0),"")))</f>
        <v/>
      </c>
      <c r="CK84" s="3">
        <f>IF(CJ84="",NEUTRO,MAX(0,MIN(100,100*(CONS_REF_MAX-CJ84)/(CONS_REF_MAX-CONS_REF_MIN))))</f>
        <v/>
      </c>
      <c r="CL84" s="3">
        <f>IFERROR(VLOOKUP(L84,SEGURO_TBL,3,0),"")</f>
        <v/>
      </c>
      <c r="CM84" s="3">
        <f>IF(CL84="",NEUTRO,MAX(0,MIN(100,100*(SEG_REF_MAX-CL84)/(SEG_REF_MAX-SEG_REF_MIN))))</f>
        <v/>
      </c>
      <c r="CN84" s="3">
        <f>W_CONS*CK84+W_SEG*CM84</f>
        <v/>
      </c>
      <c r="CO84" s="3">
        <f>IF(N(AB84)&gt;0,AB84,IF(AND(R84="profesional",SG_LEGAL_ON=1),GAR_LEGAL,0))</f>
        <v/>
      </c>
      <c r="CP84" s="3">
        <f>SG_GAR*MIN(1,CO84/SG_GAR_FULL)+SG_AMPL*(AC84="sí")+SG_KMC*(AF84="sí")+SG_REV*(N(AE84)&gt;0)+SG_DEV*MIN(1,N(AG84)/SG_DEV_FULL)+SG_HIST*(W84="sí")</f>
        <v/>
      </c>
      <c r="CQ84" s="3">
        <f>IF(AW84="sí",ESTILO_PRIO,IFERROR(VLOOKUP(L84,ESTILO_TBL,2,0),NEUTRO))</f>
        <v/>
      </c>
      <c r="CR84" s="3">
        <f>IFERROR(VLOOKUP(L84,CARR_PEN_TBL,2,0),0)</f>
        <v/>
      </c>
      <c r="CS84" s="3">
        <f>W_FIAB*CA84+W_PRECIO*CC84+W_KMEDAD*CG84+W_ANUNCIO*CH84+W_USO*CN84+W_SEGURIDAD*CP84+W_ETIQUETA*CI84+W_ESTILO*CQ84-CR84</f>
        <v/>
      </c>
      <c r="CT84" s="4">
        <f>IF(N(I84)&gt;0,I84,IFERROR(ROUND(_xlfn.NUMBERVALUE(LEFT(G84,FIND(" ",G84&amp;" ")-1),".")*1000,0),99999))</f>
        <v/>
      </c>
      <c r="CU84" s="3">
        <f>IF(R84="profesional",0,IF(O84&lt;CUOTA_VALOR_MAX,IF(BE84&gt;ITP_TRAMO_ALTO,SUMIFS(CF_CUOTA,CF_MAS,ITP_TRAMO_ALTO,CF_CCMIN,"&lt;="&amp;CT84,CF_CCMAX,"&gt;="&amp;CT84),IF(BE84&gt;ITP_TRAMO_BAJO,SUMIFS(CF_CUOTA,CF_MAS,ITP_TRAMO_BAJO,CF_CCMIN,"&lt;="&amp;CT84,CF_CCMAX,"&gt;="&amp;CT84),O84*ITP_TIPO)),O84*ITP_TIPO))</f>
        <v/>
      </c>
      <c r="CV84" s="4">
        <f>IF(R84="profesional",N(AK84),0)</f>
        <v/>
      </c>
      <c r="CW84" s="3">
        <f>IF(AND(R84="profesional",ISNUMBER(AK84),AL84="sí"),0,TASA_DGT)</f>
        <v/>
      </c>
      <c r="CX84" s="3">
        <f>INFORME_DGT</f>
        <v/>
      </c>
      <c r="CY84" s="4">
        <f>O84+CV84+CU84+CW84+CX84</f>
        <v/>
      </c>
      <c r="CZ84" s="4">
        <f>CY84+N(CL84)</f>
        <v/>
      </c>
      <c r="DA84" s="3">
        <f>IF(CY84&lt;=TOTAL_MAX,"sí",IF(CY84&lt;=TOTAL_MAX+MARGEN_NEG,"negociar","no"))</f>
        <v/>
      </c>
      <c r="DB84" s="4">
        <f>IF(DA84&lt;&gt;"no",COUNTIFS($DA$2:$DA$130,"&lt;&gt;no",$CS$2:$CS$130,"&gt;"&amp;CS84)+COUNTIFS($DA$2:DA84,"&lt;&gt;no",$CS$2:CS84,CS84),"")</f>
        <v/>
      </c>
    </row>
    <row r="85">
      <c r="A85" s="2" t="inlineStr">
        <is>
          <t>cochesnet:71527060</t>
        </is>
      </c>
      <c r="B85" s="2" t="inlineStr">
        <is>
          <t>cochesnet</t>
        </is>
      </c>
      <c r="C85" s="2" t="inlineStr">
        <is>
          <t>https://www.coches.net/chevrolet-aveo-12-16v-ls-5p-gasolina-2010-en-valencia-71527060-covo.aspx</t>
        </is>
      </c>
      <c r="D85" s="2" t="inlineStr">
        <is>
          <t>CHEVROLET Aveo 1.2 16v LS</t>
        </is>
      </c>
      <c r="E85" s="2" t="inlineStr">
        <is>
          <t>Chevrolet</t>
        </is>
      </c>
      <c r="F85" s="2" t="inlineStr">
        <is>
          <t>Chevrolet Aveo</t>
        </is>
      </c>
      <c r="G85" s="2" t="inlineStr">
        <is>
          <t>1.2</t>
        </is>
      </c>
      <c r="H85" s="2" t="inlineStr">
        <is>
          <t>1.2 16v LS</t>
        </is>
      </c>
      <c r="I85" s="2" t="n"/>
      <c r="J85" s="2" t="n"/>
      <c r="K85" s="2" t="inlineStr">
        <is>
          <t>gasolina</t>
        </is>
      </c>
      <c r="L85" s="2" t="inlineStr">
        <is>
          <t>utilitario</t>
        </is>
      </c>
      <c r="M85" s="2" t="n">
        <v>2010</v>
      </c>
      <c r="N85" s="2" t="n">
        <v>68000</v>
      </c>
      <c r="O85" s="2" t="n">
        <v>4990</v>
      </c>
      <c r="P85" s="2" t="inlineStr">
        <is>
          <t>manual</t>
        </is>
      </c>
      <c r="Q85" s="2" t="inlineStr">
        <is>
          <t>no</t>
        </is>
      </c>
      <c r="R85" s="2" t="inlineStr">
        <is>
          <t>profesional</t>
        </is>
      </c>
      <c r="S85" s="2" t="inlineStr">
        <is>
          <t>JM Automóviles Alboraya</t>
        </is>
      </c>
      <c r="T85" s="2" t="inlineStr">
        <is>
          <t>2026-09-16T13:30:54Z</t>
        </is>
      </c>
      <c r="U85" s="2" t="n">
        <v>11</v>
      </c>
      <c r="V85" s="2" t="n"/>
      <c r="W85" s="2" t="n"/>
      <c r="X85" s="2" t="n"/>
      <c r="Y85" s="2" t="n"/>
      <c r="Z85" s="2" t="inlineStr">
        <is>
          <t>sí</t>
        </is>
      </c>
      <c r="AA85" s="2" t="n"/>
      <c r="AB85" s="2" t="n">
        <v>12</v>
      </c>
      <c r="AC85" s="2" t="n"/>
      <c r="AD85" s="2" t="n"/>
      <c r="AE85" s="2" t="n"/>
      <c r="AF85" s="2" t="n"/>
      <c r="AG85" s="2" t="n"/>
      <c r="AH85" s="2" t="n">
        <v>4990</v>
      </c>
      <c r="AI85" s="2" t="n">
        <v>4990</v>
      </c>
      <c r="AJ85" s="2" t="n"/>
      <c r="AK85" s="2" t="n"/>
      <c r="AL85" s="2" t="n"/>
      <c r="AM85" s="2" t="n">
        <v>4</v>
      </c>
      <c r="AN85" s="2" t="n"/>
      <c r="AO85" s="2" t="inlineStr">
        <is>
          <t>2010</t>
        </is>
      </c>
      <c r="AP85" s="2" t="n">
        <v>2010</v>
      </c>
      <c r="AQ85" s="2" t="n"/>
      <c r="AR85" s="2" t="inlineStr">
        <is>
          <t>C</t>
        </is>
      </c>
      <c r="AS85" s="2" t="inlineStr">
        <is>
          <t>anuncio</t>
        </is>
      </c>
      <c r="AT85" s="2" t="n"/>
      <c r="AU85" s="2" t="inlineStr">
        <is>
          <t>no</t>
        </is>
      </c>
      <c r="AV85" s="2" t="inlineStr">
        <is>
          <t>no</t>
        </is>
      </c>
      <c r="AW85" s="2" t="inlineStr">
        <is>
          <t>no</t>
        </is>
      </c>
      <c r="AX85" s="2" t="n">
        <v>4990</v>
      </c>
      <c r="AY85" s="2" t="n">
        <v>5</v>
      </c>
      <c r="AZ85" s="2" t="inlineStr">
        <is>
          <t>modelo+año+km</t>
        </is>
      </c>
      <c r="BA85" s="2" t="n"/>
      <c r="BB85" s="2" t="inlineStr">
        <is>
          <t>por encima del presupuesto (5054 €), negociar; vendedor profesional: sin ITP (operación con IVA/REBU, confirmar en factura); gastos de gestión del vendedor no indicados: se suma la tasa DGT; preguntar el precio final; revisar: no menciona la ITV; fiabilidad del modelo PENDIENTE de fuente (puntuación neutra)</t>
        </is>
      </c>
      <c r="BC85" s="2" t="inlineStr">
        <is>
          <t>CHEVROLET AVEO 1.2 LS – 2010 – 68.000 KM
Chevrolet Aveo del 2010, con motor 1.2 gasolina y tan solo 68.000 km. Un utilitario práctico, económico y sencillo, ideal para el día a día y especialmente cómodo para moverse por ciudad.
DATOS PRINCIPALES
* Año: 2010
* Combustible: Gasolina
* Motor: 1.2
* Kilómetros: 68.000 km
* Acabado: LS
* Cambio: Manual
* Listo para entregar
EQUIPAMIENTO DESTACADO
* Aire acondicionado
* Radio CD
* Volante multifunción
* Elevalunas eléctricos
* Cierre centralizado
* Dirección asistida
* Faros antiniebla
* ABS
* ISOFIX
LO MEJOR
* Solo 68.000 km
* Motor 1.2 gasolina
* Acabado LS
* Año 2010
* Utilitario práctico y económico
* Ideal para ciudad
* Bajo coste de mantenimiento
Vehículo en buen estado general, cuidado y listo para su entrega.</t>
        </is>
      </c>
      <c r="BD85" s="2" t="inlineStr">
        <is>
          <t>https://www.coches.net/chevrolet-aveo-12-16v-ls-5p-gasolina-2010-en-valencia-71527060-covo.aspx (window.__INITIAL_PROPS__.ad) /home/user/Alopecia/buscador-coches/raw/cochesnet/4458a67ba758ba74.json</t>
        </is>
      </c>
      <c r="BE85" s="3">
        <f>MAX(ANIO_ACTUAL-M85,0)</f>
        <v/>
      </c>
      <c r="BF85" s="4">
        <f>N85/MAX(BE85,0.5)</f>
        <v/>
      </c>
      <c r="BG85" s="4">
        <f>F85</f>
        <v/>
      </c>
      <c r="BH85" s="3">
        <f>BG85&amp;"|"&amp;INT(M85/SEG_ANIO)*SEG_ANIO</f>
        <v/>
      </c>
      <c r="BI85" s="3">
        <f>BH85&amp;"|"&amp;INT(N85/SEG_KM)*SEG_KM</f>
        <v/>
      </c>
      <c r="BJ85" s="4">
        <f>COUNTIF($BG$2:$BG$130,BG85)</f>
        <v/>
      </c>
      <c r="BK85" s="4">
        <f>COUNTIF($BH$2:$BH$130,BH85)</f>
        <v/>
      </c>
      <c r="BL85" s="4">
        <f>COUNTIF($BI$2:$BI$130,BI85)</f>
        <v/>
      </c>
      <c r="BM85" s="3">
        <f t="array" ref="BM85">IF(N(AY85)&gt;=MIN_N,AX85,IF(BL85&gt;=MIN_N,MEDIAN(IF($BI$2:$BI$130=BI85,$O$2:$O$130)),IF(BK85&gt;=MIN_N,MEDIAN(IF($BH$2:$BH$130=BH85,$O$2:$O$130)),MEDIAN(IF($BG$2:$BG$130=BG85,$O$2:$O$130)))))</f>
        <v/>
      </c>
      <c r="BN85" s="3">
        <f>IF(N(AY85)&gt;=MIN_N,"mercado "&amp;AZ85,IF(BL85&gt;=MIN_N,"modelo+año+km",IF(BK85&gt;=MIN_N,"modelo+año","modelo")))</f>
        <v/>
      </c>
      <c r="BO85" s="4">
        <f>(BM85-O85)/BM85</f>
        <v/>
      </c>
      <c r="BP85" s="3">
        <f>IF(COUNTIFS(FR_FUEL,K85,FR_YEAR,AP85)&gt;0,1,0)</f>
        <v/>
      </c>
      <c r="BQ85" s="3">
        <f>IF(COUNTIFS(FR_FUEL,K85,FR_YEAR,AP85-1)&gt;0,1,0)</f>
        <v/>
      </c>
      <c r="BR85" s="4">
        <f>IF(N(AQ85)&gt;0,AP85*100+AQ85,IF(AND(BP85=1,BQ85=1),(AP85-1)*100+1,AP85*100+1))</f>
        <v/>
      </c>
      <c r="BS85" s="3">
        <f>IF(OR(K85="hibrido",K85="glp",K85="gnc",K85="phev"),"ECO",IF(K85="electrico","CERO",IF(K85="gasolina",IF(BR85&gt;=GAS_C_YM,"C",IF(BR85&gt;=GAS_B_YM,"B","A")),IF(K85="diesel",IF(BR85&gt;=DIE_C_YM,"C",IF(BR85&gt;=DIE_B_YM,"B","A")),""))))</f>
        <v/>
      </c>
      <c r="BT85" s="2" t="inlineStr">
        <is>
          <t>C</t>
        </is>
      </c>
      <c r="BU85" s="4">
        <f>IF(AU85="sí","sí",IF(AS85="regla",IF(AND(N(AQ85)=0,BP85=1),"sí","no"),"no"))</f>
        <v/>
      </c>
      <c r="BV85" s="3">
        <f>IFERROR(VLOOKUP(F85,MOD_TBL,16,0),IFERROR(VLOOKUP(E85,OCU_TBL,2,0),NEUTRO))</f>
        <v/>
      </c>
      <c r="BW85" s="3">
        <f>SUMIFS(MOT_AJUSTE,MOT_MOTOR,G85,MOT_MARCA,E85,MOT_DESDE,"&lt;="&amp;M85,MOT_HASTA,"&gt;="&amp;M85)+SUMIFS(MOT_AJUSTE,MOT_MOTOR,G85,MOT_MARCA,"(todas)",MOT_DESDE,"&lt;="&amp;M85,MOT_HASTA,"&gt;="&amp;M85)+SUMIFS(MOT_AJUSTE,MOT_MOTOR,"(cualquiera)",MOT_MARCA,E85,MOT_DESDE,"&lt;="&amp;M85,MOT_HASTA,"&gt;="&amp;M85)</f>
        <v/>
      </c>
      <c r="BX85" s="3">
        <f>SUMIFS(COMB_AJUSTE,COMB_COMB,K85)</f>
        <v/>
      </c>
      <c r="BY85" s="3">
        <f>COUNTIFS(MOT_MOTOR,G85,MOT_MARCA,E85,MOT_DESDE,"&lt;="&amp;M85,MOT_HASTA,"&gt;="&amp;M85)+COUNTIFS(MOT_MOTOR,G85,MOT_MARCA,"(todas)",MOT_DESDE,"&lt;="&amp;M85,MOT_HASTA,"&gt;="&amp;M85)+COUNTIFS(MOT_MOTOR,"(cualquiera)",MOT_MARCA,E85,MOT_DESDE,"&lt;="&amp;M85,MOT_HASTA,"&gt;="&amp;M85)</f>
        <v/>
      </c>
      <c r="BZ85" s="3">
        <f>IF(AND(K85="diesel",BY85=0),MIN(BV85,NEUTRO),BV85)</f>
        <v/>
      </c>
      <c r="CA85" s="3">
        <f>MAX(0,MIN(100,BZ85+BW85+BX85-IF(AV85="sí",ROB_PEN,0)))</f>
        <v/>
      </c>
      <c r="CB85" s="3">
        <f>100-MAX(0,N85-KM_TOPE_DESDE)/1000*KM_TOPE_PTS</f>
        <v/>
      </c>
      <c r="CC85" s="3">
        <f>MAX(0,MIN(100,50+BO85*PRECIO_PEND,CB85))</f>
        <v/>
      </c>
      <c r="CD85" s="3">
        <f>MAX(0,100*(1-N85/KM_MAX))</f>
        <v/>
      </c>
      <c r="CE85" s="3">
        <f>IF(BF85&lt;KMA_SOSP,IF(AA85="sí",100,KMA_PEN),IF(BF85&lt;=KMA_IDEAL_MAX,100,MAX(0,100*(KMA_CERO-BF85)/(KMA_CERO-KMA_IDEAL_MAX))))</f>
        <v/>
      </c>
      <c r="CF85" s="3">
        <f>MAX(0,MIN(100,100*(M85-ANIO_MIN)/(ANIO_ACTUAL-ANIO_MIN)))</f>
        <v/>
      </c>
      <c r="CG85" s="3">
        <f>W_KMT*CD85+W_KMA*CE85+W_EDAD*CF85</f>
        <v/>
      </c>
      <c r="CH85" s="3">
        <f>P_ITV*(V85="sí")+P_LIBRO*(W85="sí")+P_CORREA*(X85="sí")+P_PROP*(Y85=1)+P_GAR*(Z85="sí")+P_FOTOS*MIN(1,N(U85)/FOTOS_OBJ)</f>
        <v/>
      </c>
      <c r="CI85" s="3">
        <f>MAX(0,MIN(100,IFERROR(VLOOKUP(BT85,ETQ_TBL,2,0),0)-IF(BU85="sí",ETQ_PEN_DUD,IF(AS85="regla",ETQ_PEN_REGLA,0))))</f>
        <v/>
      </c>
      <c r="CJ85" s="3">
        <f>IF(K85&lt;&gt;"gasolina","",IFERROR(VLOOKUP(F85,CONS_MOD_TBL,2,0),IFERROR(VLOOKUP(L85,CONS_SEG_TBL,2,0),"")))</f>
        <v/>
      </c>
      <c r="CK85" s="3">
        <f>IF(CJ85="",NEUTRO,MAX(0,MIN(100,100*(CONS_REF_MAX-CJ85)/(CONS_REF_MAX-CONS_REF_MIN))))</f>
        <v/>
      </c>
      <c r="CL85" s="3">
        <f>IFERROR(VLOOKUP(L85,SEGURO_TBL,3,0),"")</f>
        <v/>
      </c>
      <c r="CM85" s="3">
        <f>IF(CL85="",NEUTRO,MAX(0,MIN(100,100*(SEG_REF_MAX-CL85)/(SEG_REF_MAX-SEG_REF_MIN))))</f>
        <v/>
      </c>
      <c r="CN85" s="3">
        <f>W_CONS*CK85+W_SEG*CM85</f>
        <v/>
      </c>
      <c r="CO85" s="3">
        <f>IF(N(AB85)&gt;0,AB85,IF(AND(R85="profesional",SG_LEGAL_ON=1),GAR_LEGAL,0))</f>
        <v/>
      </c>
      <c r="CP85" s="3">
        <f>SG_GAR*MIN(1,CO85/SG_GAR_FULL)+SG_AMPL*(AC85="sí")+SG_KMC*(AF85="sí")+SG_REV*(N(AE85)&gt;0)+SG_DEV*MIN(1,N(AG85)/SG_DEV_FULL)+SG_HIST*(W85="sí")</f>
        <v/>
      </c>
      <c r="CQ85" s="3">
        <f>IF(AW85="sí",ESTILO_PRIO,IFERROR(VLOOKUP(L85,ESTILO_TBL,2,0),NEUTRO))</f>
        <v/>
      </c>
      <c r="CR85" s="3">
        <f>IFERROR(VLOOKUP(L85,CARR_PEN_TBL,2,0),0)</f>
        <v/>
      </c>
      <c r="CS85" s="3">
        <f>W_FIAB*CA85+W_PRECIO*CC85+W_KMEDAD*CG85+W_ANUNCIO*CH85+W_USO*CN85+W_SEGURIDAD*CP85+W_ETIQUETA*CI85+W_ESTILO*CQ85-CR85</f>
        <v/>
      </c>
      <c r="CT85" s="4">
        <f>IF(N(I85)&gt;0,I85,IFERROR(ROUND(_xlfn.NUMBERVALUE(LEFT(G85,FIND(" ",G85&amp;" ")-1),".")*1000,0),99999))</f>
        <v/>
      </c>
      <c r="CU85" s="3">
        <f>IF(R85="profesional",0,IF(O85&lt;CUOTA_VALOR_MAX,IF(BE85&gt;ITP_TRAMO_ALTO,SUMIFS(CF_CUOTA,CF_MAS,ITP_TRAMO_ALTO,CF_CCMIN,"&lt;="&amp;CT85,CF_CCMAX,"&gt;="&amp;CT85),IF(BE85&gt;ITP_TRAMO_BAJO,SUMIFS(CF_CUOTA,CF_MAS,ITP_TRAMO_BAJO,CF_CCMIN,"&lt;="&amp;CT85,CF_CCMAX,"&gt;="&amp;CT85),O85*ITP_TIPO)),O85*ITP_TIPO))</f>
        <v/>
      </c>
      <c r="CV85" s="4">
        <f>IF(R85="profesional",N(AK85),0)</f>
        <v/>
      </c>
      <c r="CW85" s="3">
        <f>IF(AND(R85="profesional",ISNUMBER(AK85),AL85="sí"),0,TASA_DGT)</f>
        <v/>
      </c>
      <c r="CX85" s="3">
        <f>INFORME_DGT</f>
        <v/>
      </c>
      <c r="CY85" s="4">
        <f>O85+CV85+CU85+CW85+CX85</f>
        <v/>
      </c>
      <c r="CZ85" s="4">
        <f>CY85+N(CL85)</f>
        <v/>
      </c>
      <c r="DA85" s="3">
        <f>IF(CY85&lt;=TOTAL_MAX,"sí",IF(CY85&lt;=TOTAL_MAX+MARGEN_NEG,"negociar","no"))</f>
        <v/>
      </c>
      <c r="DB85" s="4">
        <f>IF(DA85&lt;&gt;"no",COUNTIFS($DA$2:$DA$130,"&lt;&gt;no",$CS$2:$CS$130,"&gt;"&amp;CS85)+COUNTIFS($DA$2:DA85,"&lt;&gt;no",$CS$2:CS85,CS85),"")</f>
        <v/>
      </c>
    </row>
    <row r="86">
      <c r="A86" s="2" t="inlineStr">
        <is>
          <t>cochesnet:71786529</t>
        </is>
      </c>
      <c r="B86" s="2" t="inlineStr">
        <is>
          <t>cochesnet</t>
        </is>
      </c>
      <c r="C86" s="2" t="inlineStr">
        <is>
          <t>https://www.coches.net/chevrolet-cruze-20-vcdi-lt-5p-diesel-2013-en-valencia-71786529-covo.aspx</t>
        </is>
      </c>
      <c r="D86" s="2" t="inlineStr">
        <is>
          <t>CHEVROLET Cruze 2.0 VCDi LT</t>
        </is>
      </c>
      <c r="E86" s="2" t="inlineStr">
        <is>
          <t>Chevrolet</t>
        </is>
      </c>
      <c r="F86" s="2" t="inlineStr">
        <is>
          <t>Chevrolet Cruze</t>
        </is>
      </c>
      <c r="G86" s="2" t="inlineStr">
        <is>
          <t>2.0</t>
        </is>
      </c>
      <c r="H86" s="2" t="inlineStr">
        <is>
          <t>2.0 VCDi LT</t>
        </is>
      </c>
      <c r="I86" s="2" t="n"/>
      <c r="J86" s="2" t="n"/>
      <c r="K86" s="2" t="inlineStr">
        <is>
          <t>diesel</t>
        </is>
      </c>
      <c r="L86" s="2" t="inlineStr">
        <is>
          <t>compacto</t>
        </is>
      </c>
      <c r="M86" s="2" t="n">
        <v>2012</v>
      </c>
      <c r="N86" s="2" t="n">
        <v>176000</v>
      </c>
      <c r="O86" s="2" t="n">
        <v>4990</v>
      </c>
      <c r="P86" s="2" t="inlineStr">
        <is>
          <t>manual</t>
        </is>
      </c>
      <c r="Q86" s="2" t="inlineStr">
        <is>
          <t>no</t>
        </is>
      </c>
      <c r="R86" s="2" t="inlineStr">
        <is>
          <t>profesional</t>
        </is>
      </c>
      <c r="S86" s="2" t="inlineStr">
        <is>
          <t>Saga Vehículos Massanassa</t>
        </is>
      </c>
      <c r="T86" s="2" t="inlineStr">
        <is>
          <t>2026-10-20T00:08:42Z</t>
        </is>
      </c>
      <c r="U86" s="2" t="n">
        <v>26</v>
      </c>
      <c r="V86" s="2" t="n"/>
      <c r="W86" s="2" t="n"/>
      <c r="X86" s="2" t="n"/>
      <c r="Y86" s="2" t="n"/>
      <c r="Z86" s="2" t="inlineStr">
        <is>
          <t>sí</t>
        </is>
      </c>
      <c r="AA86" s="2" t="n"/>
      <c r="AB86" s="2" t="n">
        <v>12</v>
      </c>
      <c r="AC86" s="2" t="inlineStr">
        <is>
          <t>sí</t>
        </is>
      </c>
      <c r="AD86" s="2" t="n"/>
      <c r="AE86" s="2" t="n"/>
      <c r="AF86" s="2" t="n"/>
      <c r="AG86" s="2" t="n"/>
      <c r="AH86" s="2" t="n">
        <v>4990</v>
      </c>
      <c r="AI86" s="2" t="n">
        <v>4990</v>
      </c>
      <c r="AJ86" s="2" t="n"/>
      <c r="AK86" s="2" t="n">
        <v>350</v>
      </c>
      <c r="AL86" s="2" t="inlineStr">
        <is>
          <t>no</t>
        </is>
      </c>
      <c r="AM86" s="2" t="n">
        <v>6.9</v>
      </c>
      <c r="AN86" s="2" t="n"/>
      <c r="AO86" s="2" t="inlineStr">
        <is>
          <t>2012</t>
        </is>
      </c>
      <c r="AP86" s="2" t="n">
        <v>2012</v>
      </c>
      <c r="AQ86" s="2" t="n"/>
      <c r="AR86" s="2" t="inlineStr">
        <is>
          <t>B</t>
        </is>
      </c>
      <c r="AS86" s="2" t="inlineStr">
        <is>
          <t>anuncio</t>
        </is>
      </c>
      <c r="AT86" s="2" t="n">
        <v>2013</v>
      </c>
      <c r="AU86" s="2" t="inlineStr">
        <is>
          <t>no</t>
        </is>
      </c>
      <c r="AV86" s="2" t="inlineStr">
        <is>
          <t>no</t>
        </is>
      </c>
      <c r="AW86" s="2" t="inlineStr">
        <is>
          <t>no</t>
        </is>
      </c>
      <c r="AX86" s="2" t="n">
        <v>4990</v>
      </c>
      <c r="AY86" s="2" t="n">
        <v>4</v>
      </c>
      <c r="AZ86" s="2" t="inlineStr">
        <is>
          <t>modelo+año+km</t>
        </is>
      </c>
      <c r="BA86" s="2" t="n"/>
      <c r="BB86" s="2" t="inlineStr">
        <is>
          <t>año a confirmar: la URL/título dice 2013; vendedor profesional: sin ITP (operación con IVA/REBU, confirmar en factura); gastos del vendedor sin indicar si incluyen la transferencia: se suma la tasa DGT; diésel: motor sin fuente de fiabilidad (fiabilidad limitada a neutra); revisar: no menciona la ITV; fiabilidad del modelo PENDIENTE de fuente (puntuación neutra)</t>
        </is>
      </c>
      <c r="BC86" s="2" t="inlineStr">
        <is>
          <t xml:space="preserve">Chevrolet Cruze LT+ 2.0, Diésel, 163CV, vehículo muy bien cuidado.
Más de 100 coches en stock, Por favor llámenos para más información, atendemos SOLO CON CITA PREVIA. Gracias!!!!
Financiacíon de hasta el 100% del vehículo!
Gestión documental no incluido 350€ 
Garantía Premium 12 Meses con cobertura a nivel nacional 399€
Saga Vehículos, estamos en C/ Motor Sant Agustí, 41, 46470 Massanassa, Valencia.
Horario: De lunes a viernes de 10:00 a 14:00 y de 16:00 a 19:00.
Sabado de 10:00 a 14:00.
- Aire acondicionado
- Dirección asistida
- Frenos ABS/EBD
- Control de estabilidad ESP
- Airbags
- Control de crucero
- Ordenador abordo
- Sistema multimedia Bluetooth
- Sensores Park-Distance-Control (PDC)
- Llaves con mandos a distancia y mucho mas....
Este anuncio no es vinculante, se muestra a titulo informativo y no contractual.
</t>
        </is>
      </c>
      <c r="BD86" s="2" t="inlineStr">
        <is>
          <t>https://www.coches.net/chevrolet-cruze-20-vcdi-lt-5p-diesel-2013-en-valencia-71786529-covo.aspx (window.__INITIAL_PROPS__.ad) /home/user/Alopecia/buscador-coches/raw/cochesnet/c8160b146f06767f.json</t>
        </is>
      </c>
      <c r="BE86" s="3">
        <f>MAX(ANIO_ACTUAL-M86,0)</f>
        <v/>
      </c>
      <c r="BF86" s="4">
        <f>N86/MAX(BE86,0.5)</f>
        <v/>
      </c>
      <c r="BG86" s="4">
        <f>F86</f>
        <v/>
      </c>
      <c r="BH86" s="3">
        <f>BG86&amp;"|"&amp;INT(M86/SEG_ANIO)*SEG_ANIO</f>
        <v/>
      </c>
      <c r="BI86" s="3">
        <f>BH86&amp;"|"&amp;INT(N86/SEG_KM)*SEG_KM</f>
        <v/>
      </c>
      <c r="BJ86" s="4">
        <f>COUNTIF($BG$2:$BG$130,BG86)</f>
        <v/>
      </c>
      <c r="BK86" s="4">
        <f>COUNTIF($BH$2:$BH$130,BH86)</f>
        <v/>
      </c>
      <c r="BL86" s="4">
        <f>COUNTIF($BI$2:$BI$130,BI86)</f>
        <v/>
      </c>
      <c r="BM86" s="3">
        <f t="array" ref="BM86">IF(N(AY86)&gt;=MIN_N,AX86,IF(BL86&gt;=MIN_N,MEDIAN(IF($BI$2:$BI$130=BI86,$O$2:$O$130)),IF(BK86&gt;=MIN_N,MEDIAN(IF($BH$2:$BH$130=BH86,$O$2:$O$130)),MEDIAN(IF($BG$2:$BG$130=BG86,$O$2:$O$130)))))</f>
        <v/>
      </c>
      <c r="BN86" s="3">
        <f>IF(N(AY86)&gt;=MIN_N,"mercado "&amp;AZ86,IF(BL86&gt;=MIN_N,"modelo+año+km",IF(BK86&gt;=MIN_N,"modelo+año","modelo")))</f>
        <v/>
      </c>
      <c r="BO86" s="4">
        <f>(BM86-O86)/BM86</f>
        <v/>
      </c>
      <c r="BP86" s="3">
        <f>IF(COUNTIFS(FR_FUEL,K86,FR_YEAR,AP86)&gt;0,1,0)</f>
        <v/>
      </c>
      <c r="BQ86" s="3">
        <f>IF(COUNTIFS(FR_FUEL,K86,FR_YEAR,AP86-1)&gt;0,1,0)</f>
        <v/>
      </c>
      <c r="BR86" s="4">
        <f>IF(N(AQ86)&gt;0,AP86*100+AQ86,IF(AND(BP86=1,BQ86=1),(AP86-1)*100+1,AP86*100+1))</f>
        <v/>
      </c>
      <c r="BS86" s="3">
        <f>IF(OR(K86="hibrido",K86="glp",K86="gnc",K86="phev"),"ECO",IF(K86="electrico","CERO",IF(K86="gasolina",IF(BR86&gt;=GAS_C_YM,"C",IF(BR86&gt;=GAS_B_YM,"B","A")),IF(K86="diesel",IF(BR86&gt;=DIE_C_YM,"C",IF(BR86&gt;=DIE_B_YM,"B","A")),""))))</f>
        <v/>
      </c>
      <c r="BT86" s="2" t="inlineStr">
        <is>
          <t>B</t>
        </is>
      </c>
      <c r="BU86" s="4">
        <f>IF(AU86="sí","sí",IF(AS86="regla",IF(AND(N(AQ86)=0,BP86=1),"sí","no"),"no"))</f>
        <v/>
      </c>
      <c r="BV86" s="3">
        <f>IFERROR(VLOOKUP(F86,MOD_TBL,16,0),IFERROR(VLOOKUP(E86,OCU_TBL,2,0),NEUTRO))</f>
        <v/>
      </c>
      <c r="BW86" s="3">
        <f>SUMIFS(MOT_AJUSTE,MOT_MOTOR,G86,MOT_MARCA,E86,MOT_DESDE,"&lt;="&amp;M86,MOT_HASTA,"&gt;="&amp;M86)+SUMIFS(MOT_AJUSTE,MOT_MOTOR,G86,MOT_MARCA,"(todas)",MOT_DESDE,"&lt;="&amp;M86,MOT_HASTA,"&gt;="&amp;M86)+SUMIFS(MOT_AJUSTE,MOT_MOTOR,"(cualquiera)",MOT_MARCA,E86,MOT_DESDE,"&lt;="&amp;M86,MOT_HASTA,"&gt;="&amp;M86)</f>
        <v/>
      </c>
      <c r="BX86" s="3">
        <f>SUMIFS(COMB_AJUSTE,COMB_COMB,K86)</f>
        <v/>
      </c>
      <c r="BY86" s="3">
        <f>COUNTIFS(MOT_MOTOR,G86,MOT_MARCA,E86,MOT_DESDE,"&lt;="&amp;M86,MOT_HASTA,"&gt;="&amp;M86)+COUNTIFS(MOT_MOTOR,G86,MOT_MARCA,"(todas)",MOT_DESDE,"&lt;="&amp;M86,MOT_HASTA,"&gt;="&amp;M86)+COUNTIFS(MOT_MOTOR,"(cualquiera)",MOT_MARCA,E86,MOT_DESDE,"&lt;="&amp;M86,MOT_HASTA,"&gt;="&amp;M86)</f>
        <v/>
      </c>
      <c r="BZ86" s="3">
        <f>IF(AND(K86="diesel",BY86=0),MIN(BV86,NEUTRO),BV86)</f>
        <v/>
      </c>
      <c r="CA86" s="3">
        <f>MAX(0,MIN(100,BZ86+BW86+BX86-IF(AV86="sí",ROB_PEN,0)))</f>
        <v/>
      </c>
      <c r="CB86" s="3">
        <f>100-MAX(0,N86-KM_TOPE_DESDE)/1000*KM_TOPE_PTS</f>
        <v/>
      </c>
      <c r="CC86" s="3">
        <f>MAX(0,MIN(100,50+BO86*PRECIO_PEND,CB86))</f>
        <v/>
      </c>
      <c r="CD86" s="3">
        <f>MAX(0,100*(1-N86/KM_MAX))</f>
        <v/>
      </c>
      <c r="CE86" s="3">
        <f>IF(BF86&lt;KMA_SOSP,IF(AA86="sí",100,KMA_PEN),IF(BF86&lt;=KMA_IDEAL_MAX,100,MAX(0,100*(KMA_CERO-BF86)/(KMA_CERO-KMA_IDEAL_MAX))))</f>
        <v/>
      </c>
      <c r="CF86" s="3">
        <f>MAX(0,MIN(100,100*(M86-ANIO_MIN)/(ANIO_ACTUAL-ANIO_MIN)))</f>
        <v/>
      </c>
      <c r="CG86" s="3">
        <f>W_KMT*CD86+W_KMA*CE86+W_EDAD*CF86</f>
        <v/>
      </c>
      <c r="CH86" s="3">
        <f>P_ITV*(V86="sí")+P_LIBRO*(W86="sí")+P_CORREA*(X86="sí")+P_PROP*(Y86=1)+P_GAR*(Z86="sí")+P_FOTOS*MIN(1,N(U86)/FOTOS_OBJ)</f>
        <v/>
      </c>
      <c r="CI86" s="3">
        <f>MAX(0,MIN(100,IFERROR(VLOOKUP(BT86,ETQ_TBL,2,0),0)-IF(BU86="sí",ETQ_PEN_DUD,IF(AS86="regla",ETQ_PEN_REGLA,0))))</f>
        <v/>
      </c>
      <c r="CJ86" s="3">
        <f>IF(K86&lt;&gt;"gasolina","",IFERROR(VLOOKUP(F86,CONS_MOD_TBL,2,0),IFERROR(VLOOKUP(L86,CONS_SEG_TBL,2,0),"")))</f>
        <v/>
      </c>
      <c r="CK86" s="3">
        <f>IF(CJ86="",NEUTRO,MAX(0,MIN(100,100*(CONS_REF_MAX-CJ86)/(CONS_REF_MAX-CONS_REF_MIN))))</f>
        <v/>
      </c>
      <c r="CL86" s="3">
        <f>IFERROR(VLOOKUP(L86,SEGURO_TBL,3,0),"")</f>
        <v/>
      </c>
      <c r="CM86" s="3">
        <f>IF(CL86="",NEUTRO,MAX(0,MIN(100,100*(SEG_REF_MAX-CL86)/(SEG_REF_MAX-SEG_REF_MIN))))</f>
        <v/>
      </c>
      <c r="CN86" s="3">
        <f>W_CONS*CK86+W_SEG*CM86</f>
        <v/>
      </c>
      <c r="CO86" s="3">
        <f>IF(N(AB86)&gt;0,AB86,IF(AND(R86="profesional",SG_LEGAL_ON=1),GAR_LEGAL,0))</f>
        <v/>
      </c>
      <c r="CP86" s="3">
        <f>SG_GAR*MIN(1,CO86/SG_GAR_FULL)+SG_AMPL*(AC86="sí")+SG_KMC*(AF86="sí")+SG_REV*(N(AE86)&gt;0)+SG_DEV*MIN(1,N(AG86)/SG_DEV_FULL)+SG_HIST*(W86="sí")</f>
        <v/>
      </c>
      <c r="CQ86" s="3">
        <f>IF(AW86="sí",ESTILO_PRIO,IFERROR(VLOOKUP(L86,ESTILO_TBL,2,0),NEUTRO))</f>
        <v/>
      </c>
      <c r="CR86" s="3">
        <f>IFERROR(VLOOKUP(L86,CARR_PEN_TBL,2,0),0)</f>
        <v/>
      </c>
      <c r="CS86" s="3">
        <f>W_FIAB*CA86+W_PRECIO*CC86+W_KMEDAD*CG86+W_ANUNCIO*CH86+W_USO*CN86+W_SEGURIDAD*CP86+W_ETIQUETA*CI86+W_ESTILO*CQ86-CR86</f>
        <v/>
      </c>
      <c r="CT86" s="4">
        <f>IF(N(I86)&gt;0,I86,IFERROR(ROUND(_xlfn.NUMBERVALUE(LEFT(G86,FIND(" ",G86&amp;" ")-1),".")*1000,0),99999))</f>
        <v/>
      </c>
      <c r="CU86" s="3">
        <f>IF(R86="profesional",0,IF(O86&lt;CUOTA_VALOR_MAX,IF(BE86&gt;ITP_TRAMO_ALTO,SUMIFS(CF_CUOTA,CF_MAS,ITP_TRAMO_ALTO,CF_CCMIN,"&lt;="&amp;CT86,CF_CCMAX,"&gt;="&amp;CT86),IF(BE86&gt;ITP_TRAMO_BAJO,SUMIFS(CF_CUOTA,CF_MAS,ITP_TRAMO_BAJO,CF_CCMIN,"&lt;="&amp;CT86,CF_CCMAX,"&gt;="&amp;CT86),O86*ITP_TIPO)),O86*ITP_TIPO))</f>
        <v/>
      </c>
      <c r="CV86" s="4">
        <f>IF(R86="profesional",N(AK86),0)</f>
        <v/>
      </c>
      <c r="CW86" s="3">
        <f>IF(AND(R86="profesional",ISNUMBER(AK86),AL86="sí"),0,TASA_DGT)</f>
        <v/>
      </c>
      <c r="CX86" s="3">
        <f>INFORME_DGT</f>
        <v/>
      </c>
      <c r="CY86" s="4">
        <f>O86+CV86+CU86+CW86+CX86</f>
        <v/>
      </c>
      <c r="CZ86" s="4">
        <f>CY86+N(CL86)</f>
        <v/>
      </c>
      <c r="DA86" s="3">
        <f>IF(CY86&lt;=TOTAL_MAX,"sí",IF(CY86&lt;=TOTAL_MAX+MARGEN_NEG,"negociar","no"))</f>
        <v/>
      </c>
      <c r="DB86" s="4">
        <f>IF(DA86&lt;&gt;"no",COUNTIFS($DA$2:$DA$130,"&lt;&gt;no",$CS$2:$CS$130,"&gt;"&amp;CS86)+COUNTIFS($DA$2:DA86,"&lt;&gt;no",$CS$2:CS86,CS86),"")</f>
        <v/>
      </c>
    </row>
    <row r="87">
      <c r="A87" s="2" t="inlineStr">
        <is>
          <t>cochesnet:71757437</t>
        </is>
      </c>
      <c r="B87" s="2" t="inlineStr">
        <is>
          <t>cochesnet</t>
        </is>
      </c>
      <c r="C87" s="2" t="inlineStr">
        <is>
          <t>https://www.coches.net/chevrolet-kalos-14-16v-sx-5p-gasolina-2007-en-valencia-71757437-covo.aspx</t>
        </is>
      </c>
      <c r="D87" s="2" t="inlineStr">
        <is>
          <t>CHEVROLET Kalos 1.4 16v SX</t>
        </is>
      </c>
      <c r="E87" s="2" t="inlineStr">
        <is>
          <t>Chevrolet</t>
        </is>
      </c>
      <c r="F87" s="2" t="inlineStr">
        <is>
          <t>Chevrolet Kalos</t>
        </is>
      </c>
      <c r="G87" s="2" t="inlineStr">
        <is>
          <t>1.4</t>
        </is>
      </c>
      <c r="H87" s="2" t="inlineStr">
        <is>
          <t>1.4 16v SX</t>
        </is>
      </c>
      <c r="I87" s="2" t="n"/>
      <c r="J87" s="2" t="n"/>
      <c r="K87" s="2" t="inlineStr">
        <is>
          <t>gasolina</t>
        </is>
      </c>
      <c r="L87" s="2" t="inlineStr">
        <is>
          <t>utilitario</t>
        </is>
      </c>
      <c r="M87" s="2" t="n">
        <v>2006</v>
      </c>
      <c r="N87" s="2" t="n">
        <v>100200</v>
      </c>
      <c r="O87" s="2" t="n">
        <v>3990</v>
      </c>
      <c r="P87" s="2" t="inlineStr">
        <is>
          <t>manual</t>
        </is>
      </c>
      <c r="Q87" s="2" t="inlineStr">
        <is>
          <t>no</t>
        </is>
      </c>
      <c r="R87" s="2" t="inlineStr">
        <is>
          <t>profesional</t>
        </is>
      </c>
      <c r="S87" s="2" t="inlineStr">
        <is>
          <t>Saga Vehículos Massanassa</t>
        </is>
      </c>
      <c r="T87" s="2" t="inlineStr">
        <is>
          <t>2026-10-15T20:24:18Z</t>
        </is>
      </c>
      <c r="U87" s="2" t="n">
        <v>27</v>
      </c>
      <c r="V87" s="2" t="n"/>
      <c r="W87" s="2" t="n"/>
      <c r="X87" s="2" t="n"/>
      <c r="Y87" s="2" t="n"/>
      <c r="Z87" s="2" t="inlineStr">
        <is>
          <t>sí</t>
        </is>
      </c>
      <c r="AA87" s="2" t="n"/>
      <c r="AB87" s="2" t="n">
        <v>12</v>
      </c>
      <c r="AC87" s="2" t="inlineStr">
        <is>
          <t>sí</t>
        </is>
      </c>
      <c r="AD87" s="2" t="n"/>
      <c r="AE87" s="2" t="n"/>
      <c r="AF87" s="2" t="n"/>
      <c r="AG87" s="2" t="n"/>
      <c r="AH87" s="2" t="n">
        <v>3990</v>
      </c>
      <c r="AI87" s="2" t="n"/>
      <c r="AJ87" s="2" t="n"/>
      <c r="AK87" s="2" t="n">
        <v>350</v>
      </c>
      <c r="AL87" s="2" t="inlineStr">
        <is>
          <t>no</t>
        </is>
      </c>
      <c r="AM87" s="2" t="n">
        <v>6.9</v>
      </c>
      <c r="AN87" s="2" t="n"/>
      <c r="AO87" s="2" t="inlineStr">
        <is>
          <t>2006</t>
        </is>
      </c>
      <c r="AP87" s="2" t="n">
        <v>2006</v>
      </c>
      <c r="AQ87" s="2" t="n"/>
      <c r="AR87" s="2" t="inlineStr">
        <is>
          <t>C</t>
        </is>
      </c>
      <c r="AS87" s="2" t="inlineStr">
        <is>
          <t>anuncio</t>
        </is>
      </c>
      <c r="AT87" s="2" t="n">
        <v>2007</v>
      </c>
      <c r="AU87" s="2" t="inlineStr">
        <is>
          <t>no</t>
        </is>
      </c>
      <c r="AV87" s="2" t="inlineStr">
        <is>
          <t>no</t>
        </is>
      </c>
      <c r="AW87" s="2" t="inlineStr">
        <is>
          <t>no</t>
        </is>
      </c>
      <c r="AX87" s="2" t="n">
        <v>3195</v>
      </c>
      <c r="AY87" s="2" t="n">
        <v>4</v>
      </c>
      <c r="AZ87" s="2" t="inlineStr">
        <is>
          <t>modelo+año+km</t>
        </is>
      </c>
      <c r="BA87" s="2" t="n"/>
      <c r="BB87" s="2" t="inlineStr">
        <is>
          <t>año a confirmar: la URL/título dice 2007; vendedor profesional: sin ITP (operación con IVA/REBU, confirmar en factura); gastos del vendedor sin indicar si incluyen la transferencia: se suma la tasa DGT; revisar: no menciona la ITV; fiabilidad del modelo PENDIENTE de fuente (puntuación neutra)</t>
        </is>
      </c>
      <c r="BC87" s="2" t="inlineStr">
        <is>
          <t xml:space="preserve">Chevrolet Kalos 1.4 SX, 95CV, Gasolina, unico proprietario, vehículo muy bien cuidado.
Más de 100 coches en stock, Por favor llámenos para más información, atendemos SOLO CON CITA PREVIA. Gracias!!!!
Financiacíon de hasta el 100% del vehículo!
Gestión documental no incluido 350€ 
Garantía Premium 12 Meses con cobertura a nivel nacional 399€
Saga Vehículos, estamos en C/ Motor Sant Agustí, 41, 46470 Massanassa, Valencia.
Horario: De lunes a viernes de 10:00 a 14:00 y de 16:00 a 19:00.
Sabado de 10:00 a 14:00.
- Aire acondicionado
- Dirección asistida
- Frenos ABS/EBD
- Airbags
- Ordenador abordo
- Sistema radio CD/MP3/USB
- Llaves presencial con mandos a distancia y mucho mas....
Este anuncio no es vinculante, se muestra a titulo informativo y no contractual.
</t>
        </is>
      </c>
      <c r="BD87" s="2" t="inlineStr">
        <is>
          <t>https://www.coches.net/chevrolet-kalos-14-16v-sx-5p-gasolina-2007-en-valencia-71757437-covo.aspx (window.__INITIAL_PROPS__.ad) /home/user/Alopecia/buscador-coches/raw/cochesnet/afe43bd5bb8532e7.json</t>
        </is>
      </c>
      <c r="BE87" s="3">
        <f>MAX(ANIO_ACTUAL-M87,0)</f>
        <v/>
      </c>
      <c r="BF87" s="4">
        <f>N87/MAX(BE87,0.5)</f>
        <v/>
      </c>
      <c r="BG87" s="4">
        <f>F87</f>
        <v/>
      </c>
      <c r="BH87" s="3">
        <f>BG87&amp;"|"&amp;INT(M87/SEG_ANIO)*SEG_ANIO</f>
        <v/>
      </c>
      <c r="BI87" s="3">
        <f>BH87&amp;"|"&amp;INT(N87/SEG_KM)*SEG_KM</f>
        <v/>
      </c>
      <c r="BJ87" s="4">
        <f>COUNTIF($BG$2:$BG$130,BG87)</f>
        <v/>
      </c>
      <c r="BK87" s="4">
        <f>COUNTIF($BH$2:$BH$130,BH87)</f>
        <v/>
      </c>
      <c r="BL87" s="4">
        <f>COUNTIF($BI$2:$BI$130,BI87)</f>
        <v/>
      </c>
      <c r="BM87" s="3">
        <f t="array" ref="BM87">IF(N(AY87)&gt;=MIN_N,AX87,IF(BL87&gt;=MIN_N,MEDIAN(IF($BI$2:$BI$130=BI87,$O$2:$O$130)),IF(BK87&gt;=MIN_N,MEDIAN(IF($BH$2:$BH$130=BH87,$O$2:$O$130)),MEDIAN(IF($BG$2:$BG$130=BG87,$O$2:$O$130)))))</f>
        <v/>
      </c>
      <c r="BN87" s="3">
        <f>IF(N(AY87)&gt;=MIN_N,"mercado "&amp;AZ87,IF(BL87&gt;=MIN_N,"modelo+año+km",IF(BK87&gt;=MIN_N,"modelo+año","modelo")))</f>
        <v/>
      </c>
      <c r="BO87" s="4">
        <f>(BM87-O87)/BM87</f>
        <v/>
      </c>
      <c r="BP87" s="3">
        <f>IF(COUNTIFS(FR_FUEL,K87,FR_YEAR,AP87)&gt;0,1,0)</f>
        <v/>
      </c>
      <c r="BQ87" s="3">
        <f>IF(COUNTIFS(FR_FUEL,K87,FR_YEAR,AP87-1)&gt;0,1,0)</f>
        <v/>
      </c>
      <c r="BR87" s="4">
        <f>IF(N(AQ87)&gt;0,AP87*100+AQ87,IF(AND(BP87=1,BQ87=1),(AP87-1)*100+1,AP87*100+1))</f>
        <v/>
      </c>
      <c r="BS87" s="3">
        <f>IF(OR(K87="hibrido",K87="glp",K87="gnc",K87="phev"),"ECO",IF(K87="electrico","CERO",IF(K87="gasolina",IF(BR87&gt;=GAS_C_YM,"C",IF(BR87&gt;=GAS_B_YM,"B","A")),IF(K87="diesel",IF(BR87&gt;=DIE_C_YM,"C",IF(BR87&gt;=DIE_B_YM,"B","A")),""))))</f>
        <v/>
      </c>
      <c r="BT87" s="2" t="inlineStr">
        <is>
          <t>C</t>
        </is>
      </c>
      <c r="BU87" s="4">
        <f>IF(AU87="sí","sí",IF(AS87="regla",IF(AND(N(AQ87)=0,BP87=1),"sí","no"),"no"))</f>
        <v/>
      </c>
      <c r="BV87" s="3">
        <f>IFERROR(VLOOKUP(F87,MOD_TBL,16,0),IFERROR(VLOOKUP(E87,OCU_TBL,2,0),NEUTRO))</f>
        <v/>
      </c>
      <c r="BW87" s="3">
        <f>SUMIFS(MOT_AJUSTE,MOT_MOTOR,G87,MOT_MARCA,E87,MOT_DESDE,"&lt;="&amp;M87,MOT_HASTA,"&gt;="&amp;M87)+SUMIFS(MOT_AJUSTE,MOT_MOTOR,G87,MOT_MARCA,"(todas)",MOT_DESDE,"&lt;="&amp;M87,MOT_HASTA,"&gt;="&amp;M87)+SUMIFS(MOT_AJUSTE,MOT_MOTOR,"(cualquiera)",MOT_MARCA,E87,MOT_DESDE,"&lt;="&amp;M87,MOT_HASTA,"&gt;="&amp;M87)</f>
        <v/>
      </c>
      <c r="BX87" s="3">
        <f>SUMIFS(COMB_AJUSTE,COMB_COMB,K87)</f>
        <v/>
      </c>
      <c r="BY87" s="3">
        <f>COUNTIFS(MOT_MOTOR,G87,MOT_MARCA,E87,MOT_DESDE,"&lt;="&amp;M87,MOT_HASTA,"&gt;="&amp;M87)+COUNTIFS(MOT_MOTOR,G87,MOT_MARCA,"(todas)",MOT_DESDE,"&lt;="&amp;M87,MOT_HASTA,"&gt;="&amp;M87)+COUNTIFS(MOT_MOTOR,"(cualquiera)",MOT_MARCA,E87,MOT_DESDE,"&lt;="&amp;M87,MOT_HASTA,"&gt;="&amp;M87)</f>
        <v/>
      </c>
      <c r="BZ87" s="3">
        <f>IF(AND(K87="diesel",BY87=0),MIN(BV87,NEUTRO),BV87)</f>
        <v/>
      </c>
      <c r="CA87" s="3">
        <f>MAX(0,MIN(100,BZ87+BW87+BX87-IF(AV87="sí",ROB_PEN,0)))</f>
        <v/>
      </c>
      <c r="CB87" s="3">
        <f>100-MAX(0,N87-KM_TOPE_DESDE)/1000*KM_TOPE_PTS</f>
        <v/>
      </c>
      <c r="CC87" s="3">
        <f>MAX(0,MIN(100,50+BO87*PRECIO_PEND,CB87))</f>
        <v/>
      </c>
      <c r="CD87" s="3">
        <f>MAX(0,100*(1-N87/KM_MAX))</f>
        <v/>
      </c>
      <c r="CE87" s="3">
        <f>IF(BF87&lt;KMA_SOSP,IF(AA87="sí",100,KMA_PEN),IF(BF87&lt;=KMA_IDEAL_MAX,100,MAX(0,100*(KMA_CERO-BF87)/(KMA_CERO-KMA_IDEAL_MAX))))</f>
        <v/>
      </c>
      <c r="CF87" s="3">
        <f>MAX(0,MIN(100,100*(M87-ANIO_MIN)/(ANIO_ACTUAL-ANIO_MIN)))</f>
        <v/>
      </c>
      <c r="CG87" s="3">
        <f>W_KMT*CD87+W_KMA*CE87+W_EDAD*CF87</f>
        <v/>
      </c>
      <c r="CH87" s="3">
        <f>P_ITV*(V87="sí")+P_LIBRO*(W87="sí")+P_CORREA*(X87="sí")+P_PROP*(Y87=1)+P_GAR*(Z87="sí")+P_FOTOS*MIN(1,N(U87)/FOTOS_OBJ)</f>
        <v/>
      </c>
      <c r="CI87" s="3">
        <f>MAX(0,MIN(100,IFERROR(VLOOKUP(BT87,ETQ_TBL,2,0),0)-IF(BU87="sí",ETQ_PEN_DUD,IF(AS87="regla",ETQ_PEN_REGLA,0))))</f>
        <v/>
      </c>
      <c r="CJ87" s="3">
        <f>IF(K87&lt;&gt;"gasolina","",IFERROR(VLOOKUP(F87,CONS_MOD_TBL,2,0),IFERROR(VLOOKUP(L87,CONS_SEG_TBL,2,0),"")))</f>
        <v/>
      </c>
      <c r="CK87" s="3">
        <f>IF(CJ87="",NEUTRO,MAX(0,MIN(100,100*(CONS_REF_MAX-CJ87)/(CONS_REF_MAX-CONS_REF_MIN))))</f>
        <v/>
      </c>
      <c r="CL87" s="3">
        <f>IFERROR(VLOOKUP(L87,SEGURO_TBL,3,0),"")</f>
        <v/>
      </c>
      <c r="CM87" s="3">
        <f>IF(CL87="",NEUTRO,MAX(0,MIN(100,100*(SEG_REF_MAX-CL87)/(SEG_REF_MAX-SEG_REF_MIN))))</f>
        <v/>
      </c>
      <c r="CN87" s="3">
        <f>W_CONS*CK87+W_SEG*CM87</f>
        <v/>
      </c>
      <c r="CO87" s="3">
        <f>IF(N(AB87)&gt;0,AB87,IF(AND(R87="profesional",SG_LEGAL_ON=1),GAR_LEGAL,0))</f>
        <v/>
      </c>
      <c r="CP87" s="3">
        <f>SG_GAR*MIN(1,CO87/SG_GAR_FULL)+SG_AMPL*(AC87="sí")+SG_KMC*(AF87="sí")+SG_REV*(N(AE87)&gt;0)+SG_DEV*MIN(1,N(AG87)/SG_DEV_FULL)+SG_HIST*(W87="sí")</f>
        <v/>
      </c>
      <c r="CQ87" s="3">
        <f>IF(AW87="sí",ESTILO_PRIO,IFERROR(VLOOKUP(L87,ESTILO_TBL,2,0),NEUTRO))</f>
        <v/>
      </c>
      <c r="CR87" s="3">
        <f>IFERROR(VLOOKUP(L87,CARR_PEN_TBL,2,0),0)</f>
        <v/>
      </c>
      <c r="CS87" s="3">
        <f>W_FIAB*CA87+W_PRECIO*CC87+W_KMEDAD*CG87+W_ANUNCIO*CH87+W_USO*CN87+W_SEGURIDAD*CP87+W_ETIQUETA*CI87+W_ESTILO*CQ87-CR87</f>
        <v/>
      </c>
      <c r="CT87" s="4">
        <f>IF(N(I87)&gt;0,I87,IFERROR(ROUND(_xlfn.NUMBERVALUE(LEFT(G87,FIND(" ",G87&amp;" ")-1),".")*1000,0),99999))</f>
        <v/>
      </c>
      <c r="CU87" s="3">
        <f>IF(R87="profesional",0,IF(O87&lt;CUOTA_VALOR_MAX,IF(BE87&gt;ITP_TRAMO_ALTO,SUMIFS(CF_CUOTA,CF_MAS,ITP_TRAMO_ALTO,CF_CCMIN,"&lt;="&amp;CT87,CF_CCMAX,"&gt;="&amp;CT87),IF(BE87&gt;ITP_TRAMO_BAJO,SUMIFS(CF_CUOTA,CF_MAS,ITP_TRAMO_BAJO,CF_CCMIN,"&lt;="&amp;CT87,CF_CCMAX,"&gt;="&amp;CT87),O87*ITP_TIPO)),O87*ITP_TIPO))</f>
        <v/>
      </c>
      <c r="CV87" s="4">
        <f>IF(R87="profesional",N(AK87),0)</f>
        <v/>
      </c>
      <c r="CW87" s="3">
        <f>IF(AND(R87="profesional",ISNUMBER(AK87),AL87="sí"),0,TASA_DGT)</f>
        <v/>
      </c>
      <c r="CX87" s="3">
        <f>INFORME_DGT</f>
        <v/>
      </c>
      <c r="CY87" s="4">
        <f>O87+CV87+CU87+CW87+CX87</f>
        <v/>
      </c>
      <c r="CZ87" s="4">
        <f>CY87+N(CL87)</f>
        <v/>
      </c>
      <c r="DA87" s="3">
        <f>IF(CY87&lt;=TOTAL_MAX,"sí",IF(CY87&lt;=TOTAL_MAX+MARGEN_NEG,"negociar","no"))</f>
        <v/>
      </c>
      <c r="DB87" s="4">
        <f>IF(DA87&lt;&gt;"no",COUNTIFS($DA$2:$DA$130,"&lt;&gt;no",$CS$2:$CS$130,"&gt;"&amp;CS87)+COUNTIFS($DA$2:DA87,"&lt;&gt;no",$CS$2:CS87,CS87),"")</f>
        <v/>
      </c>
    </row>
    <row r="88">
      <c r="A88" s="2" t="inlineStr">
        <is>
          <t>cochesnet:71574866</t>
        </is>
      </c>
      <c r="B88" s="2" t="inlineStr">
        <is>
          <t>cochesnet</t>
        </is>
      </c>
      <c r="C88" s="2" t="inlineStr">
        <is>
          <t>https://www.coches.net/chevrolet-aveo-12-ls-5p-gasolina-2012-en-valencia-71574866-covo.aspx</t>
        </is>
      </c>
      <c r="D88" s="2" t="inlineStr">
        <is>
          <t>CHEVROLET Aveo 1.2 LS</t>
        </is>
      </c>
      <c r="E88" s="2" t="inlineStr">
        <is>
          <t>Chevrolet</t>
        </is>
      </c>
      <c r="F88" s="2" t="inlineStr">
        <is>
          <t>Chevrolet Aveo</t>
        </is>
      </c>
      <c r="G88" s="2" t="inlineStr">
        <is>
          <t>1.2</t>
        </is>
      </c>
      <c r="H88" s="2" t="inlineStr">
        <is>
          <t>1.2 LS</t>
        </is>
      </c>
      <c r="I88" s="2" t="n"/>
      <c r="J88" s="2" t="n"/>
      <c r="K88" s="2" t="inlineStr">
        <is>
          <t>gasolina</t>
        </is>
      </c>
      <c r="L88" s="2" t="inlineStr">
        <is>
          <t>utilitario</t>
        </is>
      </c>
      <c r="M88" s="2" t="n">
        <v>2011</v>
      </c>
      <c r="N88" s="2" t="n">
        <v>66000</v>
      </c>
      <c r="O88" s="2" t="n">
        <v>4990</v>
      </c>
      <c r="P88" s="2" t="inlineStr">
        <is>
          <t>manual</t>
        </is>
      </c>
      <c r="Q88" s="2" t="inlineStr">
        <is>
          <t>no</t>
        </is>
      </c>
      <c r="R88" s="2" t="inlineStr">
        <is>
          <t>profesional</t>
        </is>
      </c>
      <c r="S88" s="2" t="inlineStr">
        <is>
          <t>Saga Vehículos Massanassa</t>
        </is>
      </c>
      <c r="T88" s="2" t="inlineStr">
        <is>
          <t>2026-09-22T19:20:36Z</t>
        </is>
      </c>
      <c r="U88" s="2" t="n">
        <v>24</v>
      </c>
      <c r="V88" s="2" t="n"/>
      <c r="W88" s="2" t="n"/>
      <c r="X88" s="2" t="n"/>
      <c r="Y88" s="2" t="n"/>
      <c r="Z88" s="2" t="inlineStr">
        <is>
          <t>sí</t>
        </is>
      </c>
      <c r="AA88" s="2" t="n"/>
      <c r="AB88" s="2" t="n">
        <v>12</v>
      </c>
      <c r="AC88" s="2" t="inlineStr">
        <is>
          <t>sí</t>
        </is>
      </c>
      <c r="AD88" s="2" t="n"/>
      <c r="AE88" s="2" t="n"/>
      <c r="AF88" s="2" t="n"/>
      <c r="AG88" s="2" t="n"/>
      <c r="AH88" s="2" t="n">
        <v>4990</v>
      </c>
      <c r="AI88" s="2" t="n">
        <v>4990</v>
      </c>
      <c r="AJ88" s="2" t="n"/>
      <c r="AK88" s="2" t="n">
        <v>350</v>
      </c>
      <c r="AL88" s="2" t="inlineStr">
        <is>
          <t>no</t>
        </is>
      </c>
      <c r="AM88" s="2" t="n">
        <v>6.9</v>
      </c>
      <c r="AN88" s="2" t="n"/>
      <c r="AO88" s="2" t="inlineStr">
        <is>
          <t>2011</t>
        </is>
      </c>
      <c r="AP88" s="2" t="n">
        <v>2011</v>
      </c>
      <c r="AQ88" s="2" t="n"/>
      <c r="AR88" s="2" t="inlineStr">
        <is>
          <t>C</t>
        </is>
      </c>
      <c r="AS88" s="2" t="inlineStr">
        <is>
          <t>anuncio</t>
        </is>
      </c>
      <c r="AT88" s="2" t="n">
        <v>2012</v>
      </c>
      <c r="AU88" s="2" t="inlineStr">
        <is>
          <t>no</t>
        </is>
      </c>
      <c r="AV88" s="2" t="inlineStr">
        <is>
          <t>no</t>
        </is>
      </c>
      <c r="AW88" s="2" t="inlineStr">
        <is>
          <t>no</t>
        </is>
      </c>
      <c r="AX88" s="2" t="n">
        <v>4990</v>
      </c>
      <c r="AY88" s="2" t="n">
        <v>5</v>
      </c>
      <c r="AZ88" s="2" t="inlineStr">
        <is>
          <t>modelo+año+km</t>
        </is>
      </c>
      <c r="BA88" s="2" t="n"/>
      <c r="BB88" s="2" t="inlineStr">
        <is>
          <t>año a confirmar: la URL/título dice 2012; vendedor profesional: sin ITP (operación con IVA/REBU, confirmar en factura); gastos del vendedor sin indicar si incluyen la transferencia: se suma la tasa DGT; revisar: no menciona la ITV; fiabilidad del modelo PENDIENTE de fuente (puntuación neutra)</t>
        </is>
      </c>
      <c r="BC88" s="2" t="inlineStr">
        <is>
          <t xml:space="preserve">Chevrolet Aveo 1.2 LS, 85CV, Gasolina, unico proprietario, vehículo muy bien cuidado.
Más de 100 coches en stock, Por favor llámenos para más información, atendemos SOLO CON CITA PREVIA. Gracias!!!!
Financiacíon de hasta el 100% del vehículo!
Gestión documental no incluido 350€ 
Garantía Premium 12 Meses con cobertura a nivel nacional 399€
Saga Vehículos, estamos en C/ Motor Sant Agustí, 41, 46470 Massanassa, Valencia.
Horario: De lunes a viernes de 10:00 a 14:00 y de 16:00 a 19:00.
Sabado de 10:00 a 14:00.
- Aire acondicionado
- Dirección asistida
- Frenos ABS/EBD
- Airbags
- Ordenador abordo
- Sistema radio CD/MP3/USB
- Llaves presencial con mandos a distancia y mucho mas....
Este anuncio no es vinculante, se muestra a titulo informativo y no contractual.
</t>
        </is>
      </c>
      <c r="BD88" s="2" t="inlineStr">
        <is>
          <t>https://www.coches.net/chevrolet-aveo-12-ls-5p-gasolina-2012-en-valencia-71574866-covo.aspx (window.__INITIAL_PROPS__.ad) /home/user/Alopecia/buscador-coches/raw/cochesnet/d5e89d737cbacf24.json</t>
        </is>
      </c>
      <c r="BE88" s="3">
        <f>MAX(ANIO_ACTUAL-M88,0)</f>
        <v/>
      </c>
      <c r="BF88" s="4">
        <f>N88/MAX(BE88,0.5)</f>
        <v/>
      </c>
      <c r="BG88" s="4">
        <f>F88</f>
        <v/>
      </c>
      <c r="BH88" s="3">
        <f>BG88&amp;"|"&amp;INT(M88/SEG_ANIO)*SEG_ANIO</f>
        <v/>
      </c>
      <c r="BI88" s="3">
        <f>BH88&amp;"|"&amp;INT(N88/SEG_KM)*SEG_KM</f>
        <v/>
      </c>
      <c r="BJ88" s="4">
        <f>COUNTIF($BG$2:$BG$130,BG88)</f>
        <v/>
      </c>
      <c r="BK88" s="4">
        <f>COUNTIF($BH$2:$BH$130,BH88)</f>
        <v/>
      </c>
      <c r="BL88" s="4">
        <f>COUNTIF($BI$2:$BI$130,BI88)</f>
        <v/>
      </c>
      <c r="BM88" s="3">
        <f t="array" ref="BM88">IF(N(AY88)&gt;=MIN_N,AX88,IF(BL88&gt;=MIN_N,MEDIAN(IF($BI$2:$BI$130=BI88,$O$2:$O$130)),IF(BK88&gt;=MIN_N,MEDIAN(IF($BH$2:$BH$130=BH88,$O$2:$O$130)),MEDIAN(IF($BG$2:$BG$130=BG88,$O$2:$O$130)))))</f>
        <v/>
      </c>
      <c r="BN88" s="3">
        <f>IF(N(AY88)&gt;=MIN_N,"mercado "&amp;AZ88,IF(BL88&gt;=MIN_N,"modelo+año+km",IF(BK88&gt;=MIN_N,"modelo+año","modelo")))</f>
        <v/>
      </c>
      <c r="BO88" s="4">
        <f>(BM88-O88)/BM88</f>
        <v/>
      </c>
      <c r="BP88" s="3">
        <f>IF(COUNTIFS(FR_FUEL,K88,FR_YEAR,AP88)&gt;0,1,0)</f>
        <v/>
      </c>
      <c r="BQ88" s="3">
        <f>IF(COUNTIFS(FR_FUEL,K88,FR_YEAR,AP88-1)&gt;0,1,0)</f>
        <v/>
      </c>
      <c r="BR88" s="4">
        <f>IF(N(AQ88)&gt;0,AP88*100+AQ88,IF(AND(BP88=1,BQ88=1),(AP88-1)*100+1,AP88*100+1))</f>
        <v/>
      </c>
      <c r="BS88" s="3">
        <f>IF(OR(K88="hibrido",K88="glp",K88="gnc",K88="phev"),"ECO",IF(K88="electrico","CERO",IF(K88="gasolina",IF(BR88&gt;=GAS_C_YM,"C",IF(BR88&gt;=GAS_B_YM,"B","A")),IF(K88="diesel",IF(BR88&gt;=DIE_C_YM,"C",IF(BR88&gt;=DIE_B_YM,"B","A")),""))))</f>
        <v/>
      </c>
      <c r="BT88" s="2" t="inlineStr">
        <is>
          <t>C</t>
        </is>
      </c>
      <c r="BU88" s="4">
        <f>IF(AU88="sí","sí",IF(AS88="regla",IF(AND(N(AQ88)=0,BP88=1),"sí","no"),"no"))</f>
        <v/>
      </c>
      <c r="BV88" s="3">
        <f>IFERROR(VLOOKUP(F88,MOD_TBL,16,0),IFERROR(VLOOKUP(E88,OCU_TBL,2,0),NEUTRO))</f>
        <v/>
      </c>
      <c r="BW88" s="3">
        <f>SUMIFS(MOT_AJUSTE,MOT_MOTOR,G88,MOT_MARCA,E88,MOT_DESDE,"&lt;="&amp;M88,MOT_HASTA,"&gt;="&amp;M88)+SUMIFS(MOT_AJUSTE,MOT_MOTOR,G88,MOT_MARCA,"(todas)",MOT_DESDE,"&lt;="&amp;M88,MOT_HASTA,"&gt;="&amp;M88)+SUMIFS(MOT_AJUSTE,MOT_MOTOR,"(cualquiera)",MOT_MARCA,E88,MOT_DESDE,"&lt;="&amp;M88,MOT_HASTA,"&gt;="&amp;M88)</f>
        <v/>
      </c>
      <c r="BX88" s="3">
        <f>SUMIFS(COMB_AJUSTE,COMB_COMB,K88)</f>
        <v/>
      </c>
      <c r="BY88" s="3">
        <f>COUNTIFS(MOT_MOTOR,G88,MOT_MARCA,E88,MOT_DESDE,"&lt;="&amp;M88,MOT_HASTA,"&gt;="&amp;M88)+COUNTIFS(MOT_MOTOR,G88,MOT_MARCA,"(todas)",MOT_DESDE,"&lt;="&amp;M88,MOT_HASTA,"&gt;="&amp;M88)+COUNTIFS(MOT_MOTOR,"(cualquiera)",MOT_MARCA,E88,MOT_DESDE,"&lt;="&amp;M88,MOT_HASTA,"&gt;="&amp;M88)</f>
        <v/>
      </c>
      <c r="BZ88" s="3">
        <f>IF(AND(K88="diesel",BY88=0),MIN(BV88,NEUTRO),BV88)</f>
        <v/>
      </c>
      <c r="CA88" s="3">
        <f>MAX(0,MIN(100,BZ88+BW88+BX88-IF(AV88="sí",ROB_PEN,0)))</f>
        <v/>
      </c>
      <c r="CB88" s="3">
        <f>100-MAX(0,N88-KM_TOPE_DESDE)/1000*KM_TOPE_PTS</f>
        <v/>
      </c>
      <c r="CC88" s="3">
        <f>MAX(0,MIN(100,50+BO88*PRECIO_PEND,CB88))</f>
        <v/>
      </c>
      <c r="CD88" s="3">
        <f>MAX(0,100*(1-N88/KM_MAX))</f>
        <v/>
      </c>
      <c r="CE88" s="3">
        <f>IF(BF88&lt;KMA_SOSP,IF(AA88="sí",100,KMA_PEN),IF(BF88&lt;=KMA_IDEAL_MAX,100,MAX(0,100*(KMA_CERO-BF88)/(KMA_CERO-KMA_IDEAL_MAX))))</f>
        <v/>
      </c>
      <c r="CF88" s="3">
        <f>MAX(0,MIN(100,100*(M88-ANIO_MIN)/(ANIO_ACTUAL-ANIO_MIN)))</f>
        <v/>
      </c>
      <c r="CG88" s="3">
        <f>W_KMT*CD88+W_KMA*CE88+W_EDAD*CF88</f>
        <v/>
      </c>
      <c r="CH88" s="3">
        <f>P_ITV*(V88="sí")+P_LIBRO*(W88="sí")+P_CORREA*(X88="sí")+P_PROP*(Y88=1)+P_GAR*(Z88="sí")+P_FOTOS*MIN(1,N(U88)/FOTOS_OBJ)</f>
        <v/>
      </c>
      <c r="CI88" s="3">
        <f>MAX(0,MIN(100,IFERROR(VLOOKUP(BT88,ETQ_TBL,2,0),0)-IF(BU88="sí",ETQ_PEN_DUD,IF(AS88="regla",ETQ_PEN_REGLA,0))))</f>
        <v/>
      </c>
      <c r="CJ88" s="3">
        <f>IF(K88&lt;&gt;"gasolina","",IFERROR(VLOOKUP(F88,CONS_MOD_TBL,2,0),IFERROR(VLOOKUP(L88,CONS_SEG_TBL,2,0),"")))</f>
        <v/>
      </c>
      <c r="CK88" s="3">
        <f>IF(CJ88="",NEUTRO,MAX(0,MIN(100,100*(CONS_REF_MAX-CJ88)/(CONS_REF_MAX-CONS_REF_MIN))))</f>
        <v/>
      </c>
      <c r="CL88" s="3">
        <f>IFERROR(VLOOKUP(L88,SEGURO_TBL,3,0),"")</f>
        <v/>
      </c>
      <c r="CM88" s="3">
        <f>IF(CL88="",NEUTRO,MAX(0,MIN(100,100*(SEG_REF_MAX-CL88)/(SEG_REF_MAX-SEG_REF_MIN))))</f>
        <v/>
      </c>
      <c r="CN88" s="3">
        <f>W_CONS*CK88+W_SEG*CM88</f>
        <v/>
      </c>
      <c r="CO88" s="3">
        <f>IF(N(AB88)&gt;0,AB88,IF(AND(R88="profesional",SG_LEGAL_ON=1),GAR_LEGAL,0))</f>
        <v/>
      </c>
      <c r="CP88" s="3">
        <f>SG_GAR*MIN(1,CO88/SG_GAR_FULL)+SG_AMPL*(AC88="sí")+SG_KMC*(AF88="sí")+SG_REV*(N(AE88)&gt;0)+SG_DEV*MIN(1,N(AG88)/SG_DEV_FULL)+SG_HIST*(W88="sí")</f>
        <v/>
      </c>
      <c r="CQ88" s="3">
        <f>IF(AW88="sí",ESTILO_PRIO,IFERROR(VLOOKUP(L88,ESTILO_TBL,2,0),NEUTRO))</f>
        <v/>
      </c>
      <c r="CR88" s="3">
        <f>IFERROR(VLOOKUP(L88,CARR_PEN_TBL,2,0),0)</f>
        <v/>
      </c>
      <c r="CS88" s="3">
        <f>W_FIAB*CA88+W_PRECIO*CC88+W_KMEDAD*CG88+W_ANUNCIO*CH88+W_USO*CN88+W_SEGURIDAD*CP88+W_ETIQUETA*CI88+W_ESTILO*CQ88-CR88</f>
        <v/>
      </c>
      <c r="CT88" s="4">
        <f>IF(N(I88)&gt;0,I88,IFERROR(ROUND(_xlfn.NUMBERVALUE(LEFT(G88,FIND(" ",G88&amp;" ")-1),".")*1000,0),99999))</f>
        <v/>
      </c>
      <c r="CU88" s="3">
        <f>IF(R88="profesional",0,IF(O88&lt;CUOTA_VALOR_MAX,IF(BE88&gt;ITP_TRAMO_ALTO,SUMIFS(CF_CUOTA,CF_MAS,ITP_TRAMO_ALTO,CF_CCMIN,"&lt;="&amp;CT88,CF_CCMAX,"&gt;="&amp;CT88),IF(BE88&gt;ITP_TRAMO_BAJO,SUMIFS(CF_CUOTA,CF_MAS,ITP_TRAMO_BAJO,CF_CCMIN,"&lt;="&amp;CT88,CF_CCMAX,"&gt;="&amp;CT88),O88*ITP_TIPO)),O88*ITP_TIPO))</f>
        <v/>
      </c>
      <c r="CV88" s="4">
        <f>IF(R88="profesional",N(AK88),0)</f>
        <v/>
      </c>
      <c r="CW88" s="3">
        <f>IF(AND(R88="profesional",ISNUMBER(AK88),AL88="sí"),0,TASA_DGT)</f>
        <v/>
      </c>
      <c r="CX88" s="3">
        <f>INFORME_DGT</f>
        <v/>
      </c>
      <c r="CY88" s="4">
        <f>O88+CV88+CU88+CW88+CX88</f>
        <v/>
      </c>
      <c r="CZ88" s="4">
        <f>CY88+N(CL88)</f>
        <v/>
      </c>
      <c r="DA88" s="3">
        <f>IF(CY88&lt;=TOTAL_MAX,"sí",IF(CY88&lt;=TOTAL_MAX+MARGEN_NEG,"negociar","no"))</f>
        <v/>
      </c>
      <c r="DB88" s="4">
        <f>IF(DA88&lt;&gt;"no",COUNTIFS($DA$2:$DA$130,"&lt;&gt;no",$CS$2:$CS$130,"&gt;"&amp;CS88)+COUNTIFS($DA$2:DA88,"&lt;&gt;no",$CS$2:CS88,CS88),"")</f>
        <v/>
      </c>
    </row>
    <row r="89">
      <c r="A89" s="2" t="inlineStr">
        <is>
          <t>cochesnet:71536876</t>
        </is>
      </c>
      <c r="B89" s="2" t="inlineStr">
        <is>
          <t>cochesnet</t>
        </is>
      </c>
      <c r="C89" s="2" t="inlineStr">
        <is>
          <t>https://www.coches.net/chevrolet-epica-20-vcdi-16v-lt-4p-diesel-2008-en-valencia-71536876-covo.aspx</t>
        </is>
      </c>
      <c r="D89" s="2" t="inlineStr">
        <is>
          <t>CHEVROLET Epica 2.0 VCDI 16v LT</t>
        </is>
      </c>
      <c r="E89" s="2" t="inlineStr">
        <is>
          <t>Chevrolet</t>
        </is>
      </c>
      <c r="F89" s="2" t="inlineStr">
        <is>
          <t>Chevrolet Epica</t>
        </is>
      </c>
      <c r="G89" s="2" t="inlineStr">
        <is>
          <t>2.0</t>
        </is>
      </c>
      <c r="H89" s="2" t="inlineStr">
        <is>
          <t>2.0 VCDI 16v LT</t>
        </is>
      </c>
      <c r="I89" s="2" t="n"/>
      <c r="J89" s="2" t="n"/>
      <c r="K89" s="2" t="inlineStr">
        <is>
          <t>diesel</t>
        </is>
      </c>
      <c r="L89" s="2" t="inlineStr">
        <is>
          <t>berlina_d</t>
        </is>
      </c>
      <c r="M89" s="2" t="n">
        <v>2009</v>
      </c>
      <c r="N89" s="2" t="n">
        <v>83000</v>
      </c>
      <c r="O89" s="2" t="n">
        <v>3500</v>
      </c>
      <c r="P89" s="2" t="inlineStr">
        <is>
          <t>manual</t>
        </is>
      </c>
      <c r="Q89" s="2" t="inlineStr">
        <is>
          <t>no</t>
        </is>
      </c>
      <c r="R89" s="2" t="inlineStr">
        <is>
          <t>profesional</t>
        </is>
      </c>
      <c r="S89" s="2" t="inlineStr">
        <is>
          <t>Automoción Valencia Albal</t>
        </is>
      </c>
      <c r="T89" s="2" t="inlineStr">
        <is>
          <t>2026-09-17T15:17:03Z</t>
        </is>
      </c>
      <c r="U89" s="2" t="n">
        <v>12</v>
      </c>
      <c r="V89" s="2" t="n"/>
      <c r="W89" s="2" t="n"/>
      <c r="X89" s="2" t="n"/>
      <c r="Y89" s="2" t="n"/>
      <c r="Z89" s="2" t="inlineStr">
        <is>
          <t>no</t>
        </is>
      </c>
      <c r="AA89" s="2" t="n"/>
      <c r="AB89" s="2" t="n"/>
      <c r="AC89" s="2" t="n"/>
      <c r="AD89" s="2" t="n"/>
      <c r="AE89" s="2" t="n"/>
      <c r="AF89" s="2" t="n"/>
      <c r="AG89" s="2" t="n"/>
      <c r="AH89" s="2" t="n">
        <v>3500</v>
      </c>
      <c r="AI89" s="2" t="n">
        <v>3500</v>
      </c>
      <c r="AJ89" s="2" t="n"/>
      <c r="AK89" s="2" t="n"/>
      <c r="AL89" s="2" t="n"/>
      <c r="AM89" s="2" t="n">
        <v>8.699999999999999</v>
      </c>
      <c r="AN89" s="2" t="n"/>
      <c r="AO89" s="2" t="inlineStr">
        <is>
          <t>2009</t>
        </is>
      </c>
      <c r="AP89" s="2" t="n">
        <v>2009</v>
      </c>
      <c r="AQ89" s="2" t="n"/>
      <c r="AR89" s="2" t="inlineStr">
        <is>
          <t>B</t>
        </is>
      </c>
      <c r="AS89" s="2" t="inlineStr">
        <is>
          <t>anuncio</t>
        </is>
      </c>
      <c r="AT89" s="2" t="n">
        <v>2008</v>
      </c>
      <c r="AU89" s="2" t="inlineStr">
        <is>
          <t>no</t>
        </is>
      </c>
      <c r="AV89" s="2" t="inlineStr">
        <is>
          <t>no</t>
        </is>
      </c>
      <c r="AW89" s="2" t="inlineStr">
        <is>
          <t>no</t>
        </is>
      </c>
      <c r="AX89" s="2" t="n">
        <v>3600</v>
      </c>
      <c r="AY89" s="2" t="n">
        <v>8</v>
      </c>
      <c r="AZ89" s="2" t="inlineStr">
        <is>
          <t>modelo+año</t>
        </is>
      </c>
      <c r="BA89" s="2" t="n"/>
      <c r="BB89" s="2" t="inlineStr">
        <is>
          <t>año a confirmar: la URL/título dice 2008; vendedor profesional: sin ITP (operación con IVA/REBU, confirmar en factura); gastos de gestión del vendedor no indicados: se suma la tasa DGT; preguntar el precio final; diésel: motor sin fuente de fiabilidad (fiabilidad limitada a neutra); revisar: no menciona la ITV; fiabilidad del modelo PENDIENTE de fuente (puntuación neutra)</t>
        </is>
      </c>
      <c r="BC89" s="2" t="inlineStr">
        <is>
          <t>Chevrolet Epica 2.0 VCDI  150CVdestaca por su completo equipamiento multimedia con ocho altavoces, radio AM/FM, reproductor de CD y mandos en el volante para máximo confort al conducir. Dispone de dirección asistida progresiva, climatizador automático, limpiaparabrisas con sensor de lluvia y control de crucero. Los asientos térmicos del conductor con ajuste lumbar, volante multifuncional de cuero ajustable y retrovisores eléctricos desempañables garantizan una experiencia versátil. Incluye ordenador de viaje, protección antirrobo perimétrica, cierre centralizado con mando a distancia y apertura remota del maletero. Llantas de aleación de dieciséis pulgadas, cristales tintados y etiqueta medioambiental B completan este sedán familiar práctico y bien equipado.</t>
        </is>
      </c>
      <c r="BD89" s="2" t="inlineStr">
        <is>
          <t>https://www.coches.net/chevrolet-epica-20-vcdi-16v-lt-4p-diesel-2008-en-valencia-71536876-covo.aspx (window.__INITIAL_PROPS__.ad) /home/user/Alopecia/buscador-coches/raw/cochesnet/d843838227c2907f.json</t>
        </is>
      </c>
      <c r="BE89" s="3">
        <f>MAX(ANIO_ACTUAL-M89,0)</f>
        <v/>
      </c>
      <c r="BF89" s="4">
        <f>N89/MAX(BE89,0.5)</f>
        <v/>
      </c>
      <c r="BG89" s="4">
        <f>F89</f>
        <v/>
      </c>
      <c r="BH89" s="3">
        <f>BG89&amp;"|"&amp;INT(M89/SEG_ANIO)*SEG_ANIO</f>
        <v/>
      </c>
      <c r="BI89" s="3">
        <f>BH89&amp;"|"&amp;INT(N89/SEG_KM)*SEG_KM</f>
        <v/>
      </c>
      <c r="BJ89" s="4">
        <f>COUNTIF($BG$2:$BG$130,BG89)</f>
        <v/>
      </c>
      <c r="BK89" s="4">
        <f>COUNTIF($BH$2:$BH$130,BH89)</f>
        <v/>
      </c>
      <c r="BL89" s="4">
        <f>COUNTIF($BI$2:$BI$130,BI89)</f>
        <v/>
      </c>
      <c r="BM89" s="3">
        <f t="array" ref="BM89">IF(N(AY89)&gt;=MIN_N,AX89,IF(BL89&gt;=MIN_N,MEDIAN(IF($BI$2:$BI$130=BI89,$O$2:$O$130)),IF(BK89&gt;=MIN_N,MEDIAN(IF($BH$2:$BH$130=BH89,$O$2:$O$130)),MEDIAN(IF($BG$2:$BG$130=BG89,$O$2:$O$130)))))</f>
        <v/>
      </c>
      <c r="BN89" s="3">
        <f>IF(N(AY89)&gt;=MIN_N,"mercado "&amp;AZ89,IF(BL89&gt;=MIN_N,"modelo+año+km",IF(BK89&gt;=MIN_N,"modelo+año","modelo")))</f>
        <v/>
      </c>
      <c r="BO89" s="4">
        <f>(BM89-O89)/BM89</f>
        <v/>
      </c>
      <c r="BP89" s="3">
        <f>IF(COUNTIFS(FR_FUEL,K89,FR_YEAR,AP89)&gt;0,1,0)</f>
        <v/>
      </c>
      <c r="BQ89" s="3">
        <f>IF(COUNTIFS(FR_FUEL,K89,FR_YEAR,AP89-1)&gt;0,1,0)</f>
        <v/>
      </c>
      <c r="BR89" s="4">
        <f>IF(N(AQ89)&gt;0,AP89*100+AQ89,IF(AND(BP89=1,BQ89=1),(AP89-1)*100+1,AP89*100+1))</f>
        <v/>
      </c>
      <c r="BS89" s="3">
        <f>IF(OR(K89="hibrido",K89="glp",K89="gnc",K89="phev"),"ECO",IF(K89="electrico","CERO",IF(K89="gasolina",IF(BR89&gt;=GAS_C_YM,"C",IF(BR89&gt;=GAS_B_YM,"B","A")),IF(K89="diesel",IF(BR89&gt;=DIE_C_YM,"C",IF(BR89&gt;=DIE_B_YM,"B","A")),""))))</f>
        <v/>
      </c>
      <c r="BT89" s="2" t="inlineStr">
        <is>
          <t>B</t>
        </is>
      </c>
      <c r="BU89" s="4">
        <f>IF(AU89="sí","sí",IF(AS89="regla",IF(AND(N(AQ89)=0,BP89=1),"sí","no"),"no"))</f>
        <v/>
      </c>
      <c r="BV89" s="3">
        <f>IFERROR(VLOOKUP(F89,MOD_TBL,16,0),IFERROR(VLOOKUP(E89,OCU_TBL,2,0),NEUTRO))</f>
        <v/>
      </c>
      <c r="BW89" s="3">
        <f>SUMIFS(MOT_AJUSTE,MOT_MOTOR,G89,MOT_MARCA,E89,MOT_DESDE,"&lt;="&amp;M89,MOT_HASTA,"&gt;="&amp;M89)+SUMIFS(MOT_AJUSTE,MOT_MOTOR,G89,MOT_MARCA,"(todas)",MOT_DESDE,"&lt;="&amp;M89,MOT_HASTA,"&gt;="&amp;M89)+SUMIFS(MOT_AJUSTE,MOT_MOTOR,"(cualquiera)",MOT_MARCA,E89,MOT_DESDE,"&lt;="&amp;M89,MOT_HASTA,"&gt;="&amp;M89)</f>
        <v/>
      </c>
      <c r="BX89" s="3">
        <f>SUMIFS(COMB_AJUSTE,COMB_COMB,K89)</f>
        <v/>
      </c>
      <c r="BY89" s="3">
        <f>COUNTIFS(MOT_MOTOR,G89,MOT_MARCA,E89,MOT_DESDE,"&lt;="&amp;M89,MOT_HASTA,"&gt;="&amp;M89)+COUNTIFS(MOT_MOTOR,G89,MOT_MARCA,"(todas)",MOT_DESDE,"&lt;="&amp;M89,MOT_HASTA,"&gt;="&amp;M89)+COUNTIFS(MOT_MOTOR,"(cualquiera)",MOT_MARCA,E89,MOT_DESDE,"&lt;="&amp;M89,MOT_HASTA,"&gt;="&amp;M89)</f>
        <v/>
      </c>
      <c r="BZ89" s="3">
        <f>IF(AND(K89="diesel",BY89=0),MIN(BV89,NEUTRO),BV89)</f>
        <v/>
      </c>
      <c r="CA89" s="3">
        <f>MAX(0,MIN(100,BZ89+BW89+BX89-IF(AV89="sí",ROB_PEN,0)))</f>
        <v/>
      </c>
      <c r="CB89" s="3">
        <f>100-MAX(0,N89-KM_TOPE_DESDE)/1000*KM_TOPE_PTS</f>
        <v/>
      </c>
      <c r="CC89" s="3">
        <f>MAX(0,MIN(100,50+BO89*PRECIO_PEND,CB89))</f>
        <v/>
      </c>
      <c r="CD89" s="3">
        <f>MAX(0,100*(1-N89/KM_MAX))</f>
        <v/>
      </c>
      <c r="CE89" s="3">
        <f>IF(BF89&lt;KMA_SOSP,IF(AA89="sí",100,KMA_PEN),IF(BF89&lt;=KMA_IDEAL_MAX,100,MAX(0,100*(KMA_CERO-BF89)/(KMA_CERO-KMA_IDEAL_MAX))))</f>
        <v/>
      </c>
      <c r="CF89" s="3">
        <f>MAX(0,MIN(100,100*(M89-ANIO_MIN)/(ANIO_ACTUAL-ANIO_MIN)))</f>
        <v/>
      </c>
      <c r="CG89" s="3">
        <f>W_KMT*CD89+W_KMA*CE89+W_EDAD*CF89</f>
        <v/>
      </c>
      <c r="CH89" s="3">
        <f>P_ITV*(V89="sí")+P_LIBRO*(W89="sí")+P_CORREA*(X89="sí")+P_PROP*(Y89=1)+P_GAR*(Z89="sí")+P_FOTOS*MIN(1,N(U89)/FOTOS_OBJ)</f>
        <v/>
      </c>
      <c r="CI89" s="3">
        <f>MAX(0,MIN(100,IFERROR(VLOOKUP(BT89,ETQ_TBL,2,0),0)-IF(BU89="sí",ETQ_PEN_DUD,IF(AS89="regla",ETQ_PEN_REGLA,0))))</f>
        <v/>
      </c>
      <c r="CJ89" s="3">
        <f>IF(K89&lt;&gt;"gasolina","",IFERROR(VLOOKUP(F89,CONS_MOD_TBL,2,0),IFERROR(VLOOKUP(L89,CONS_SEG_TBL,2,0),"")))</f>
        <v/>
      </c>
      <c r="CK89" s="3">
        <f>IF(CJ89="",NEUTRO,MAX(0,MIN(100,100*(CONS_REF_MAX-CJ89)/(CONS_REF_MAX-CONS_REF_MIN))))</f>
        <v/>
      </c>
      <c r="CL89" s="3">
        <f>IFERROR(VLOOKUP(L89,SEGURO_TBL,3,0),"")</f>
        <v/>
      </c>
      <c r="CM89" s="3">
        <f>IF(CL89="",NEUTRO,MAX(0,MIN(100,100*(SEG_REF_MAX-CL89)/(SEG_REF_MAX-SEG_REF_MIN))))</f>
        <v/>
      </c>
      <c r="CN89" s="3">
        <f>W_CONS*CK89+W_SEG*CM89</f>
        <v/>
      </c>
      <c r="CO89" s="3">
        <f>IF(N(AB89)&gt;0,AB89,IF(AND(R89="profesional",SG_LEGAL_ON=1),GAR_LEGAL,0))</f>
        <v/>
      </c>
      <c r="CP89" s="3">
        <f>SG_GAR*MIN(1,CO89/SG_GAR_FULL)+SG_AMPL*(AC89="sí")+SG_KMC*(AF89="sí")+SG_REV*(N(AE89)&gt;0)+SG_DEV*MIN(1,N(AG89)/SG_DEV_FULL)+SG_HIST*(W89="sí")</f>
        <v/>
      </c>
      <c r="CQ89" s="3">
        <f>IF(AW89="sí",ESTILO_PRIO,IFERROR(VLOOKUP(L89,ESTILO_TBL,2,0),NEUTRO))</f>
        <v/>
      </c>
      <c r="CR89" s="3">
        <f>IFERROR(VLOOKUP(L89,CARR_PEN_TBL,2,0),0)</f>
        <v/>
      </c>
      <c r="CS89" s="3">
        <f>W_FIAB*CA89+W_PRECIO*CC89+W_KMEDAD*CG89+W_ANUNCIO*CH89+W_USO*CN89+W_SEGURIDAD*CP89+W_ETIQUETA*CI89+W_ESTILO*CQ89-CR89</f>
        <v/>
      </c>
      <c r="CT89" s="4">
        <f>IF(N(I89)&gt;0,I89,IFERROR(ROUND(_xlfn.NUMBERVALUE(LEFT(G89,FIND(" ",G89&amp;" ")-1),".")*1000,0),99999))</f>
        <v/>
      </c>
      <c r="CU89" s="3">
        <f>IF(R89="profesional",0,IF(O89&lt;CUOTA_VALOR_MAX,IF(BE89&gt;ITP_TRAMO_ALTO,SUMIFS(CF_CUOTA,CF_MAS,ITP_TRAMO_ALTO,CF_CCMIN,"&lt;="&amp;CT89,CF_CCMAX,"&gt;="&amp;CT89),IF(BE89&gt;ITP_TRAMO_BAJO,SUMIFS(CF_CUOTA,CF_MAS,ITP_TRAMO_BAJO,CF_CCMIN,"&lt;="&amp;CT89,CF_CCMAX,"&gt;="&amp;CT89),O89*ITP_TIPO)),O89*ITP_TIPO))</f>
        <v/>
      </c>
      <c r="CV89" s="4">
        <f>IF(R89="profesional",N(AK89),0)</f>
        <v/>
      </c>
      <c r="CW89" s="3">
        <f>IF(AND(R89="profesional",ISNUMBER(AK89),AL89="sí"),0,TASA_DGT)</f>
        <v/>
      </c>
      <c r="CX89" s="3">
        <f>INFORME_DGT</f>
        <v/>
      </c>
      <c r="CY89" s="4">
        <f>O89+CV89+CU89+CW89+CX89</f>
        <v/>
      </c>
      <c r="CZ89" s="4">
        <f>CY89+N(CL89)</f>
        <v/>
      </c>
      <c r="DA89" s="3">
        <f>IF(CY89&lt;=TOTAL_MAX,"sí",IF(CY89&lt;=TOTAL_MAX+MARGEN_NEG,"negociar","no"))</f>
        <v/>
      </c>
      <c r="DB89" s="4">
        <f>IF(DA89&lt;&gt;"no",COUNTIFS($DA$2:$DA$130,"&lt;&gt;no",$CS$2:$CS$130,"&gt;"&amp;CS89)+COUNTIFS($DA$2:DA89,"&lt;&gt;no",$CS$2:CS89,CS89),"")</f>
        <v/>
      </c>
    </row>
    <row r="90">
      <c r="A90" s="2" t="inlineStr">
        <is>
          <t>cochesnet:62641273</t>
        </is>
      </c>
      <c r="B90" s="2" t="inlineStr">
        <is>
          <t>cochesnet</t>
        </is>
      </c>
      <c r="C90" s="2" t="inlineStr">
        <is>
          <t>https://www.coches.net/seat-ibiza-19-tdi-100cv-hit-5p-diesel-2007-en-castellon-62641273-covo.aspx</t>
        </is>
      </c>
      <c r="D90" s="2" t="inlineStr">
        <is>
          <t>SEAT Ibiza 1.9 TDI Hit</t>
        </is>
      </c>
      <c r="E90" s="2" t="inlineStr">
        <is>
          <t>Seat</t>
        </is>
      </c>
      <c r="F90" s="2" t="inlineStr">
        <is>
          <t>Seat Ibiza</t>
        </is>
      </c>
      <c r="G90" s="2" t="inlineStr">
        <is>
          <t>1.9 TDI</t>
        </is>
      </c>
      <c r="H90" s="2" t="inlineStr">
        <is>
          <t>1.9 TDI 100cv Hit</t>
        </is>
      </c>
      <c r="I90" s="2" t="n"/>
      <c r="J90" s="2" t="n">
        <v>100</v>
      </c>
      <c r="K90" s="2" t="inlineStr">
        <is>
          <t>diesel</t>
        </is>
      </c>
      <c r="L90" s="2" t="inlineStr">
        <is>
          <t>utilitario</t>
        </is>
      </c>
      <c r="M90" s="2" t="n">
        <v>2006</v>
      </c>
      <c r="N90" s="2" t="n">
        <v>151600</v>
      </c>
      <c r="O90" s="2" t="n">
        <v>4500</v>
      </c>
      <c r="P90" s="2" t="inlineStr">
        <is>
          <t>manual</t>
        </is>
      </c>
      <c r="Q90" s="2" t="inlineStr">
        <is>
          <t>no</t>
        </is>
      </c>
      <c r="R90" s="2" t="inlineStr">
        <is>
          <t>profesional</t>
        </is>
      </c>
      <c r="S90" s="2" t="inlineStr">
        <is>
          <t>Comprartuauto.com Vila-real</t>
        </is>
      </c>
      <c r="T90" s="2" t="inlineStr">
        <is>
          <t>2026-08-10T20:41:38Z</t>
        </is>
      </c>
      <c r="U90" s="2" t="n">
        <v>13</v>
      </c>
      <c r="V90" s="2" t="n"/>
      <c r="W90" s="2" t="n"/>
      <c r="X90" s="2" t="n"/>
      <c r="Y90" s="2" t="n">
        <v>2</v>
      </c>
      <c r="Z90" s="2" t="inlineStr">
        <is>
          <t>no</t>
        </is>
      </c>
      <c r="AA90" s="2" t="n"/>
      <c r="AB90" s="2" t="n"/>
      <c r="AC90" s="2" t="n"/>
      <c r="AD90" s="2" t="n"/>
      <c r="AE90" s="2" t="n"/>
      <c r="AF90" s="2" t="n"/>
      <c r="AG90" s="2" t="n"/>
      <c r="AH90" s="2" t="n">
        <v>4500</v>
      </c>
      <c r="AI90" s="2" t="n">
        <v>4500</v>
      </c>
      <c r="AJ90" s="2" t="n"/>
      <c r="AK90" s="2" t="n"/>
      <c r="AL90" s="2" t="n"/>
      <c r="AM90" s="2" t="n"/>
      <c r="AN90" s="2" t="n"/>
      <c r="AO90" s="2" t="inlineStr">
        <is>
          <t>2006</t>
        </is>
      </c>
      <c r="AP90" s="2" t="n">
        <v>2006</v>
      </c>
      <c r="AQ90" s="2" t="n"/>
      <c r="AR90" s="2" t="inlineStr">
        <is>
          <t>B</t>
        </is>
      </c>
      <c r="AS90" s="2" t="inlineStr">
        <is>
          <t>anuncio</t>
        </is>
      </c>
      <c r="AT90" s="2" t="n">
        <v>2007</v>
      </c>
      <c r="AU90" s="2" t="inlineStr">
        <is>
          <t>no</t>
        </is>
      </c>
      <c r="AV90" s="2" t="inlineStr">
        <is>
          <t>no</t>
        </is>
      </c>
      <c r="AW90" s="2" t="inlineStr">
        <is>
          <t>no</t>
        </is>
      </c>
      <c r="AX90" s="2" t="n">
        <v>3750</v>
      </c>
      <c r="AY90" s="2" t="n">
        <v>8</v>
      </c>
      <c r="AZ90" s="2" t="inlineStr">
        <is>
          <t>modelo+año+km</t>
        </is>
      </c>
      <c r="BA90" s="2" t="n"/>
      <c r="BB90" s="2" t="inlineStr">
        <is>
          <t>año a confirmar: la URL/título dice 2007; vendedor profesional: sin ITP (operación con IVA/REBU, confirmar en factura); gastos de gestión del vendedor no indicados: se suma la tasa DGT; preguntar el precio final; diésel: motor sin fuente de fiabilidad (fiabilidad limitada a neutra); distancia no verificable (el anuncio solo indica la provincia): confirmar que está a &lt;= 70 km</t>
        </is>
      </c>
      <c r="BC90" s="2" t="inlineStr">
        <is>
          <t>Seat Ibiza motor 1.9cc 100cv Diesel, manual 5 velocidades, año 3/2006, 151.600kms, solo 2 propietarios, etiqueta medioambiental B.
Extras: Cierre centralizado a distancia, cristales eléctricos, climatizador, Radio/CD/Mp3, manos libres Parrot, llantas de aleación, ABS, control de tracción y estabilidad, airbags, etc. 
Se entrega con ITV, niveles y fluidos correctos, neumáticos correctos, batería nueva. 
El vehículo esta en perfectas condiciones.
El cambio de nombre se cobra a parte y son 200 Euros.
Aceptamos su vehículo como parte de pago.
Mas vehículos en comprartuauto,com 
Estamos en Villareal, Av. Francesc Tarrega 263. 
Horarios de Lunes a Viernes de 10 a 14 y de 17 a 20. 
Sábados mediante cita previa de 10 a 13.
Se habla Español, Ingles, Ucraniano y Ruso.</t>
        </is>
      </c>
      <c r="BD90" s="2" t="inlineStr">
        <is>
          <t>https://www.coches.net/seat-ibiza-19-tdi-100cv-hit-5p-diesel-2007-en-castellon-62641273-covo.aspx (window.__INITIAL_PROPS__.ad) /home/user/Alopecia/buscador-coches/raw/cochesnet/a6721eecf8725f18.json</t>
        </is>
      </c>
      <c r="BE90" s="3">
        <f>MAX(ANIO_ACTUAL-M90,0)</f>
        <v/>
      </c>
      <c r="BF90" s="4">
        <f>N90/MAX(BE90,0.5)</f>
        <v/>
      </c>
      <c r="BG90" s="4">
        <f>F90</f>
        <v/>
      </c>
      <c r="BH90" s="3">
        <f>BG90&amp;"|"&amp;INT(M90/SEG_ANIO)*SEG_ANIO</f>
        <v/>
      </c>
      <c r="BI90" s="3">
        <f>BH90&amp;"|"&amp;INT(N90/SEG_KM)*SEG_KM</f>
        <v/>
      </c>
      <c r="BJ90" s="4">
        <f>COUNTIF($BG$2:$BG$130,BG90)</f>
        <v/>
      </c>
      <c r="BK90" s="4">
        <f>COUNTIF($BH$2:$BH$130,BH90)</f>
        <v/>
      </c>
      <c r="BL90" s="4">
        <f>COUNTIF($BI$2:$BI$130,BI90)</f>
        <v/>
      </c>
      <c r="BM90" s="3">
        <f t="array" ref="BM90">IF(N(AY90)&gt;=MIN_N,AX90,IF(BL90&gt;=MIN_N,MEDIAN(IF($BI$2:$BI$130=BI90,$O$2:$O$130)),IF(BK90&gt;=MIN_N,MEDIAN(IF($BH$2:$BH$130=BH90,$O$2:$O$130)),MEDIAN(IF($BG$2:$BG$130=BG90,$O$2:$O$130)))))</f>
        <v/>
      </c>
      <c r="BN90" s="3">
        <f>IF(N(AY90)&gt;=MIN_N,"mercado "&amp;AZ90,IF(BL90&gt;=MIN_N,"modelo+año+km",IF(BK90&gt;=MIN_N,"modelo+año","modelo")))</f>
        <v/>
      </c>
      <c r="BO90" s="4">
        <f>(BM90-O90)/BM90</f>
        <v/>
      </c>
      <c r="BP90" s="3">
        <f>IF(COUNTIFS(FR_FUEL,K90,FR_YEAR,AP90)&gt;0,1,0)</f>
        <v/>
      </c>
      <c r="BQ90" s="3">
        <f>IF(COUNTIFS(FR_FUEL,K90,FR_YEAR,AP90-1)&gt;0,1,0)</f>
        <v/>
      </c>
      <c r="BR90" s="4">
        <f>IF(N(AQ90)&gt;0,AP90*100+AQ90,IF(AND(BP90=1,BQ90=1),(AP90-1)*100+1,AP90*100+1))</f>
        <v/>
      </c>
      <c r="BS90" s="3">
        <f>IF(OR(K90="hibrido",K90="glp",K90="gnc",K90="phev"),"ECO",IF(K90="electrico","CERO",IF(K90="gasolina",IF(BR90&gt;=GAS_C_YM,"C",IF(BR90&gt;=GAS_B_YM,"B","A")),IF(K90="diesel",IF(BR90&gt;=DIE_C_YM,"C",IF(BR90&gt;=DIE_B_YM,"B","A")),""))))</f>
        <v/>
      </c>
      <c r="BT90" s="2" t="inlineStr">
        <is>
          <t>B</t>
        </is>
      </c>
      <c r="BU90" s="4">
        <f>IF(AU90="sí","sí",IF(AS90="regla",IF(AND(N(AQ90)=0,BP90=1),"sí","no"),"no"))</f>
        <v/>
      </c>
      <c r="BV90" s="3">
        <f>IFERROR(VLOOKUP(F90,MOD_TBL,16,0),IFERROR(VLOOKUP(E90,OCU_TBL,2,0),NEUTRO))</f>
        <v/>
      </c>
      <c r="BW90" s="3">
        <f>SUMIFS(MOT_AJUSTE,MOT_MOTOR,G90,MOT_MARCA,E90,MOT_DESDE,"&lt;="&amp;M90,MOT_HASTA,"&gt;="&amp;M90)+SUMIFS(MOT_AJUSTE,MOT_MOTOR,G90,MOT_MARCA,"(todas)",MOT_DESDE,"&lt;="&amp;M90,MOT_HASTA,"&gt;="&amp;M90)+SUMIFS(MOT_AJUSTE,MOT_MOTOR,"(cualquiera)",MOT_MARCA,E90,MOT_DESDE,"&lt;="&amp;M90,MOT_HASTA,"&gt;="&amp;M90)</f>
        <v/>
      </c>
      <c r="BX90" s="3">
        <f>SUMIFS(COMB_AJUSTE,COMB_COMB,K90)</f>
        <v/>
      </c>
      <c r="BY90" s="3">
        <f>COUNTIFS(MOT_MOTOR,G90,MOT_MARCA,E90,MOT_DESDE,"&lt;="&amp;M90,MOT_HASTA,"&gt;="&amp;M90)+COUNTIFS(MOT_MOTOR,G90,MOT_MARCA,"(todas)",MOT_DESDE,"&lt;="&amp;M90,MOT_HASTA,"&gt;="&amp;M90)+COUNTIFS(MOT_MOTOR,"(cualquiera)",MOT_MARCA,E90,MOT_DESDE,"&lt;="&amp;M90,MOT_HASTA,"&gt;="&amp;M90)</f>
        <v/>
      </c>
      <c r="BZ90" s="3">
        <f>IF(AND(K90="diesel",BY90=0),MIN(BV90,NEUTRO),BV90)</f>
        <v/>
      </c>
      <c r="CA90" s="3">
        <f>MAX(0,MIN(100,BZ90+BW90+BX90-IF(AV90="sí",ROB_PEN,0)))</f>
        <v/>
      </c>
      <c r="CB90" s="3">
        <f>100-MAX(0,N90-KM_TOPE_DESDE)/1000*KM_TOPE_PTS</f>
        <v/>
      </c>
      <c r="CC90" s="3">
        <f>MAX(0,MIN(100,50+BO90*PRECIO_PEND,CB90))</f>
        <v/>
      </c>
      <c r="CD90" s="3">
        <f>MAX(0,100*(1-N90/KM_MAX))</f>
        <v/>
      </c>
      <c r="CE90" s="3">
        <f>IF(BF90&lt;KMA_SOSP,IF(AA90="sí",100,KMA_PEN),IF(BF90&lt;=KMA_IDEAL_MAX,100,MAX(0,100*(KMA_CERO-BF90)/(KMA_CERO-KMA_IDEAL_MAX))))</f>
        <v/>
      </c>
      <c r="CF90" s="3">
        <f>MAX(0,MIN(100,100*(M90-ANIO_MIN)/(ANIO_ACTUAL-ANIO_MIN)))</f>
        <v/>
      </c>
      <c r="CG90" s="3">
        <f>W_KMT*CD90+W_KMA*CE90+W_EDAD*CF90</f>
        <v/>
      </c>
      <c r="CH90" s="3">
        <f>P_ITV*(V90="sí")+P_LIBRO*(W90="sí")+P_CORREA*(X90="sí")+P_PROP*(Y90=1)+P_GAR*(Z90="sí")+P_FOTOS*MIN(1,N(U90)/FOTOS_OBJ)</f>
        <v/>
      </c>
      <c r="CI90" s="3">
        <f>MAX(0,MIN(100,IFERROR(VLOOKUP(BT90,ETQ_TBL,2,0),0)-IF(BU90="sí",ETQ_PEN_DUD,IF(AS90="regla",ETQ_PEN_REGLA,0))))</f>
        <v/>
      </c>
      <c r="CJ90" s="3">
        <f>IF(K90&lt;&gt;"gasolina","",IFERROR(VLOOKUP(F90,CONS_MOD_TBL,2,0),IFERROR(VLOOKUP(L90,CONS_SEG_TBL,2,0),"")))</f>
        <v/>
      </c>
      <c r="CK90" s="3">
        <f>IF(CJ90="",NEUTRO,MAX(0,MIN(100,100*(CONS_REF_MAX-CJ90)/(CONS_REF_MAX-CONS_REF_MIN))))</f>
        <v/>
      </c>
      <c r="CL90" s="3">
        <f>IFERROR(VLOOKUP(L90,SEGURO_TBL,3,0),"")</f>
        <v/>
      </c>
      <c r="CM90" s="3">
        <f>IF(CL90="",NEUTRO,MAX(0,MIN(100,100*(SEG_REF_MAX-CL90)/(SEG_REF_MAX-SEG_REF_MIN))))</f>
        <v/>
      </c>
      <c r="CN90" s="3">
        <f>W_CONS*CK90+W_SEG*CM90</f>
        <v/>
      </c>
      <c r="CO90" s="3">
        <f>IF(N(AB90)&gt;0,AB90,IF(AND(R90="profesional",SG_LEGAL_ON=1),GAR_LEGAL,0))</f>
        <v/>
      </c>
      <c r="CP90" s="3">
        <f>SG_GAR*MIN(1,CO90/SG_GAR_FULL)+SG_AMPL*(AC90="sí")+SG_KMC*(AF90="sí")+SG_REV*(N(AE90)&gt;0)+SG_DEV*MIN(1,N(AG90)/SG_DEV_FULL)+SG_HIST*(W90="sí")</f>
        <v/>
      </c>
      <c r="CQ90" s="3">
        <f>IF(AW90="sí",ESTILO_PRIO,IFERROR(VLOOKUP(L90,ESTILO_TBL,2,0),NEUTRO))</f>
        <v/>
      </c>
      <c r="CR90" s="3">
        <f>IFERROR(VLOOKUP(L90,CARR_PEN_TBL,2,0),0)</f>
        <v/>
      </c>
      <c r="CS90" s="3">
        <f>W_FIAB*CA90+W_PRECIO*CC90+W_KMEDAD*CG90+W_ANUNCIO*CH90+W_USO*CN90+W_SEGURIDAD*CP90+W_ETIQUETA*CI90+W_ESTILO*CQ90-CR90</f>
        <v/>
      </c>
      <c r="CT90" s="4">
        <f>IF(N(I90)&gt;0,I90,IFERROR(ROUND(_xlfn.NUMBERVALUE(LEFT(G90,FIND(" ",G90&amp;" ")-1),".")*1000,0),99999))</f>
        <v/>
      </c>
      <c r="CU90" s="3">
        <f>IF(R90="profesional",0,IF(O90&lt;CUOTA_VALOR_MAX,IF(BE90&gt;ITP_TRAMO_ALTO,SUMIFS(CF_CUOTA,CF_MAS,ITP_TRAMO_ALTO,CF_CCMIN,"&lt;="&amp;CT90,CF_CCMAX,"&gt;="&amp;CT90),IF(BE90&gt;ITP_TRAMO_BAJO,SUMIFS(CF_CUOTA,CF_MAS,ITP_TRAMO_BAJO,CF_CCMIN,"&lt;="&amp;CT90,CF_CCMAX,"&gt;="&amp;CT90),O90*ITP_TIPO)),O90*ITP_TIPO))</f>
        <v/>
      </c>
      <c r="CV90" s="4">
        <f>IF(R90="profesional",N(AK90),0)</f>
        <v/>
      </c>
      <c r="CW90" s="3">
        <f>IF(AND(R90="profesional",ISNUMBER(AK90),AL90="sí"),0,TASA_DGT)</f>
        <v/>
      </c>
      <c r="CX90" s="3">
        <f>INFORME_DGT</f>
        <v/>
      </c>
      <c r="CY90" s="4">
        <f>O90+CV90+CU90+CW90+CX90</f>
        <v/>
      </c>
      <c r="CZ90" s="4">
        <f>CY90+N(CL90)</f>
        <v/>
      </c>
      <c r="DA90" s="3">
        <f>IF(CY90&lt;=TOTAL_MAX,"sí",IF(CY90&lt;=TOTAL_MAX+MARGEN_NEG,"negociar","no"))</f>
        <v/>
      </c>
      <c r="DB90" s="4">
        <f>IF(DA90&lt;&gt;"no",COUNTIFS($DA$2:$DA$130,"&lt;&gt;no",$CS$2:$CS$130,"&gt;"&amp;CS90)+COUNTIFS($DA$2:DA90,"&lt;&gt;no",$CS$2:CS90,CS90),"")</f>
        <v/>
      </c>
    </row>
    <row r="91">
      <c r="A91" s="2" t="inlineStr">
        <is>
          <t>cochesnet:71526255</t>
        </is>
      </c>
      <c r="B91" s="2" t="inlineStr">
        <is>
          <t>cochesnet</t>
        </is>
      </c>
      <c r="C91" s="2" t="inlineStr">
        <is>
          <t>https://www.coches.net/opel-corsa-enjoy-12-5p-gasolina-2008-en-castellon-71526255-covo.aspx</t>
        </is>
      </c>
      <c r="D91" s="2" t="inlineStr">
        <is>
          <t>OPEL Corsa Enjoy 1.2</t>
        </is>
      </c>
      <c r="E91" s="2" t="inlineStr">
        <is>
          <t>Opel</t>
        </is>
      </c>
      <c r="F91" s="2" t="inlineStr">
        <is>
          <t>Opel Corsa</t>
        </is>
      </c>
      <c r="G91" s="2" t="inlineStr">
        <is>
          <t>1.2</t>
        </is>
      </c>
      <c r="H91" s="2" t="inlineStr">
        <is>
          <t>Enjoy 1.2</t>
        </is>
      </c>
      <c r="I91" s="2" t="n"/>
      <c r="J91" s="2" t="n"/>
      <c r="K91" s="2" t="inlineStr">
        <is>
          <t>gasolina</t>
        </is>
      </c>
      <c r="L91" s="2" t="inlineStr">
        <is>
          <t>utilitario</t>
        </is>
      </c>
      <c r="M91" s="2" t="n">
        <v>2008</v>
      </c>
      <c r="N91" s="2" t="n">
        <v>170000</v>
      </c>
      <c r="O91" s="2" t="n">
        <v>4350</v>
      </c>
      <c r="P91" s="2" t="inlineStr">
        <is>
          <t>manual</t>
        </is>
      </c>
      <c r="Q91" s="2" t="inlineStr">
        <is>
          <t>no</t>
        </is>
      </c>
      <c r="R91" s="2" t="inlineStr">
        <is>
          <t>profesional</t>
        </is>
      </c>
      <c r="S91" s="2" t="inlineStr">
        <is>
          <t>Andrés Cars Castellón de la Plana / Castelló de la Plana</t>
        </is>
      </c>
      <c r="T91" s="2" t="inlineStr">
        <is>
          <t>2026-09-16T12:12:25Z</t>
        </is>
      </c>
      <c r="U91" s="2" t="n">
        <v>40</v>
      </c>
      <c r="V91" s="2" t="n"/>
      <c r="W91" s="2" t="n"/>
      <c r="X91" s="2" t="n"/>
      <c r="Y91" s="2" t="n">
        <v>1</v>
      </c>
      <c r="Z91" s="2" t="inlineStr">
        <is>
          <t>sí</t>
        </is>
      </c>
      <c r="AA91" s="2" t="n"/>
      <c r="AB91" s="2" t="n">
        <v>12</v>
      </c>
      <c r="AC91" s="2" t="n"/>
      <c r="AD91" s="2" t="n"/>
      <c r="AE91" s="2" t="n"/>
      <c r="AF91" s="2" t="n"/>
      <c r="AG91" s="2" t="n"/>
      <c r="AH91" s="2" t="n">
        <v>4350</v>
      </c>
      <c r="AI91" s="2" t="n"/>
      <c r="AJ91" s="2" t="n"/>
      <c r="AK91" s="2" t="n"/>
      <c r="AL91" s="2" t="n"/>
      <c r="AM91" s="2" t="n"/>
      <c r="AN91" s="2" t="n"/>
      <c r="AO91" s="2" t="inlineStr">
        <is>
          <t>2008</t>
        </is>
      </c>
      <c r="AP91" s="2" t="n">
        <v>2008</v>
      </c>
      <c r="AQ91" s="2" t="n"/>
      <c r="AR91" s="2" t="inlineStr">
        <is>
          <t>C</t>
        </is>
      </c>
      <c r="AS91" s="2" t="inlineStr">
        <is>
          <t>anuncio</t>
        </is>
      </c>
      <c r="AT91" s="2" t="n"/>
      <c r="AU91" s="2" t="inlineStr">
        <is>
          <t>no</t>
        </is>
      </c>
      <c r="AV91" s="2" t="inlineStr">
        <is>
          <t>no</t>
        </is>
      </c>
      <c r="AW91" s="2" t="inlineStr">
        <is>
          <t>no</t>
        </is>
      </c>
      <c r="AX91" s="2" t="n">
        <v>3150</v>
      </c>
      <c r="AY91" s="2" t="n">
        <v>8</v>
      </c>
      <c r="AZ91" s="2" t="inlineStr">
        <is>
          <t>modelo+año+km</t>
        </is>
      </c>
      <c r="BA91" s="2" t="n"/>
      <c r="BB91"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BC91" s="2" t="inlineStr">
        <is>
          <t xml:space="preserve">Etiqueta medio ambiental C.
Se vende Opel corsa C , vehículo nacional procedente de primera mano
Lleva motor 1,2 ECOTEC gasolina,con 80 CV de potencia y distribución por cadena.
Es el acabado enjoy y cuenta con : 
aire acondicionado, elevalunas eléctricos, control y limitador de velocidad , ordenador al bordo........
Admito prueba de taller.
ITV y documentación al día.
Cambio de nombre aparte 150 euros
Precio No negociable.. 
Anuncio  con titulo informativo y no contractual.
GRACIAS. 
Se puede recibir vehiculo como forma de pago.
</t>
        </is>
      </c>
      <c r="BD91" s="2" t="inlineStr">
        <is>
          <t>https://www.coches.net/opel-corsa-enjoy-12-5p-gasolina-2008-en-castellon-71526255-covo.aspx (window.__INITIAL_PROPS__.ad) /home/user/Alopecia/buscador-coches/raw/cochesnet/78a790bd19edaa5e.json</t>
        </is>
      </c>
      <c r="BE91" s="3">
        <f>MAX(ANIO_ACTUAL-M91,0)</f>
        <v/>
      </c>
      <c r="BF91" s="4">
        <f>N91/MAX(BE91,0.5)</f>
        <v/>
      </c>
      <c r="BG91" s="4">
        <f>F91</f>
        <v/>
      </c>
      <c r="BH91" s="3">
        <f>BG91&amp;"|"&amp;INT(M91/SEG_ANIO)*SEG_ANIO</f>
        <v/>
      </c>
      <c r="BI91" s="3">
        <f>BH91&amp;"|"&amp;INT(N91/SEG_KM)*SEG_KM</f>
        <v/>
      </c>
      <c r="BJ91" s="4">
        <f>COUNTIF($BG$2:$BG$130,BG91)</f>
        <v/>
      </c>
      <c r="BK91" s="4">
        <f>COUNTIF($BH$2:$BH$130,BH91)</f>
        <v/>
      </c>
      <c r="BL91" s="4">
        <f>COUNTIF($BI$2:$BI$130,BI91)</f>
        <v/>
      </c>
      <c r="BM91" s="3">
        <f t="array" ref="BM91">IF(N(AY91)&gt;=MIN_N,AX91,IF(BL91&gt;=MIN_N,MEDIAN(IF($BI$2:$BI$130=BI91,$O$2:$O$130)),IF(BK91&gt;=MIN_N,MEDIAN(IF($BH$2:$BH$130=BH91,$O$2:$O$130)),MEDIAN(IF($BG$2:$BG$130=BG91,$O$2:$O$130)))))</f>
        <v/>
      </c>
      <c r="BN91" s="3">
        <f>IF(N(AY91)&gt;=MIN_N,"mercado "&amp;AZ91,IF(BL91&gt;=MIN_N,"modelo+año+km",IF(BK91&gt;=MIN_N,"modelo+año","modelo")))</f>
        <v/>
      </c>
      <c r="BO91" s="4">
        <f>(BM91-O91)/BM91</f>
        <v/>
      </c>
      <c r="BP91" s="3">
        <f>IF(COUNTIFS(FR_FUEL,K91,FR_YEAR,AP91)&gt;0,1,0)</f>
        <v/>
      </c>
      <c r="BQ91" s="3">
        <f>IF(COUNTIFS(FR_FUEL,K91,FR_YEAR,AP91-1)&gt;0,1,0)</f>
        <v/>
      </c>
      <c r="BR91" s="4">
        <f>IF(N(AQ91)&gt;0,AP91*100+AQ91,IF(AND(BP91=1,BQ91=1),(AP91-1)*100+1,AP91*100+1))</f>
        <v/>
      </c>
      <c r="BS91" s="3">
        <f>IF(OR(K91="hibrido",K91="glp",K91="gnc",K91="phev"),"ECO",IF(K91="electrico","CERO",IF(K91="gasolina",IF(BR91&gt;=GAS_C_YM,"C",IF(BR91&gt;=GAS_B_YM,"B","A")),IF(K91="diesel",IF(BR91&gt;=DIE_C_YM,"C",IF(BR91&gt;=DIE_B_YM,"B","A")),""))))</f>
        <v/>
      </c>
      <c r="BT91" s="2" t="inlineStr">
        <is>
          <t>C</t>
        </is>
      </c>
      <c r="BU91" s="4">
        <f>IF(AU91="sí","sí",IF(AS91="regla",IF(AND(N(AQ91)=0,BP91=1),"sí","no"),"no"))</f>
        <v/>
      </c>
      <c r="BV91" s="3">
        <f>IFERROR(VLOOKUP(F91,MOD_TBL,16,0),IFERROR(VLOOKUP(E91,OCU_TBL,2,0),NEUTRO))</f>
        <v/>
      </c>
      <c r="BW91" s="3">
        <f>SUMIFS(MOT_AJUSTE,MOT_MOTOR,G91,MOT_MARCA,E91,MOT_DESDE,"&lt;="&amp;M91,MOT_HASTA,"&gt;="&amp;M91)+SUMIFS(MOT_AJUSTE,MOT_MOTOR,G91,MOT_MARCA,"(todas)",MOT_DESDE,"&lt;="&amp;M91,MOT_HASTA,"&gt;="&amp;M91)+SUMIFS(MOT_AJUSTE,MOT_MOTOR,"(cualquiera)",MOT_MARCA,E91,MOT_DESDE,"&lt;="&amp;M91,MOT_HASTA,"&gt;="&amp;M91)</f>
        <v/>
      </c>
      <c r="BX91" s="3">
        <f>SUMIFS(COMB_AJUSTE,COMB_COMB,K91)</f>
        <v/>
      </c>
      <c r="BY91" s="3">
        <f>COUNTIFS(MOT_MOTOR,G91,MOT_MARCA,E91,MOT_DESDE,"&lt;="&amp;M91,MOT_HASTA,"&gt;="&amp;M91)+COUNTIFS(MOT_MOTOR,G91,MOT_MARCA,"(todas)",MOT_DESDE,"&lt;="&amp;M91,MOT_HASTA,"&gt;="&amp;M91)+COUNTIFS(MOT_MOTOR,"(cualquiera)",MOT_MARCA,E91,MOT_DESDE,"&lt;="&amp;M91,MOT_HASTA,"&gt;="&amp;M91)</f>
        <v/>
      </c>
      <c r="BZ91" s="3">
        <f>IF(AND(K91="diesel",BY91=0),MIN(BV91,NEUTRO),BV91)</f>
        <v/>
      </c>
      <c r="CA91" s="3">
        <f>MAX(0,MIN(100,BZ91+BW91+BX91-IF(AV91="sí",ROB_PEN,0)))</f>
        <v/>
      </c>
      <c r="CB91" s="3">
        <f>100-MAX(0,N91-KM_TOPE_DESDE)/1000*KM_TOPE_PTS</f>
        <v/>
      </c>
      <c r="CC91" s="3">
        <f>MAX(0,MIN(100,50+BO91*PRECIO_PEND,CB91))</f>
        <v/>
      </c>
      <c r="CD91" s="3">
        <f>MAX(0,100*(1-N91/KM_MAX))</f>
        <v/>
      </c>
      <c r="CE91" s="3">
        <f>IF(BF91&lt;KMA_SOSP,IF(AA91="sí",100,KMA_PEN),IF(BF91&lt;=KMA_IDEAL_MAX,100,MAX(0,100*(KMA_CERO-BF91)/(KMA_CERO-KMA_IDEAL_MAX))))</f>
        <v/>
      </c>
      <c r="CF91" s="3">
        <f>MAX(0,MIN(100,100*(M91-ANIO_MIN)/(ANIO_ACTUAL-ANIO_MIN)))</f>
        <v/>
      </c>
      <c r="CG91" s="3">
        <f>W_KMT*CD91+W_KMA*CE91+W_EDAD*CF91</f>
        <v/>
      </c>
      <c r="CH91" s="3">
        <f>P_ITV*(V91="sí")+P_LIBRO*(W91="sí")+P_CORREA*(X91="sí")+P_PROP*(Y91=1)+P_GAR*(Z91="sí")+P_FOTOS*MIN(1,N(U91)/FOTOS_OBJ)</f>
        <v/>
      </c>
      <c r="CI91" s="3">
        <f>MAX(0,MIN(100,IFERROR(VLOOKUP(BT91,ETQ_TBL,2,0),0)-IF(BU91="sí",ETQ_PEN_DUD,IF(AS91="regla",ETQ_PEN_REGLA,0))))</f>
        <v/>
      </c>
      <c r="CJ91" s="3">
        <f>IF(K91&lt;&gt;"gasolina","",IFERROR(VLOOKUP(F91,CONS_MOD_TBL,2,0),IFERROR(VLOOKUP(L91,CONS_SEG_TBL,2,0),"")))</f>
        <v/>
      </c>
      <c r="CK91" s="3">
        <f>IF(CJ91="",NEUTRO,MAX(0,MIN(100,100*(CONS_REF_MAX-CJ91)/(CONS_REF_MAX-CONS_REF_MIN))))</f>
        <v/>
      </c>
      <c r="CL91" s="3">
        <f>IFERROR(VLOOKUP(L91,SEGURO_TBL,3,0),"")</f>
        <v/>
      </c>
      <c r="CM91" s="3">
        <f>IF(CL91="",NEUTRO,MAX(0,MIN(100,100*(SEG_REF_MAX-CL91)/(SEG_REF_MAX-SEG_REF_MIN))))</f>
        <v/>
      </c>
      <c r="CN91" s="3">
        <f>W_CONS*CK91+W_SEG*CM91</f>
        <v/>
      </c>
      <c r="CO91" s="3">
        <f>IF(N(AB91)&gt;0,AB91,IF(AND(R91="profesional",SG_LEGAL_ON=1),GAR_LEGAL,0))</f>
        <v/>
      </c>
      <c r="CP91" s="3">
        <f>SG_GAR*MIN(1,CO91/SG_GAR_FULL)+SG_AMPL*(AC91="sí")+SG_KMC*(AF91="sí")+SG_REV*(N(AE91)&gt;0)+SG_DEV*MIN(1,N(AG91)/SG_DEV_FULL)+SG_HIST*(W91="sí")</f>
        <v/>
      </c>
      <c r="CQ91" s="3">
        <f>IF(AW91="sí",ESTILO_PRIO,IFERROR(VLOOKUP(L91,ESTILO_TBL,2,0),NEUTRO))</f>
        <v/>
      </c>
      <c r="CR91" s="3">
        <f>IFERROR(VLOOKUP(L91,CARR_PEN_TBL,2,0),0)</f>
        <v/>
      </c>
      <c r="CS91" s="3">
        <f>W_FIAB*CA91+W_PRECIO*CC91+W_KMEDAD*CG91+W_ANUNCIO*CH91+W_USO*CN91+W_SEGURIDAD*CP91+W_ETIQUETA*CI91+W_ESTILO*CQ91-CR91</f>
        <v/>
      </c>
      <c r="CT91" s="4">
        <f>IF(N(I91)&gt;0,I91,IFERROR(ROUND(_xlfn.NUMBERVALUE(LEFT(G91,FIND(" ",G91&amp;" ")-1),".")*1000,0),99999))</f>
        <v/>
      </c>
      <c r="CU91" s="3">
        <f>IF(R91="profesional",0,IF(O91&lt;CUOTA_VALOR_MAX,IF(BE91&gt;ITP_TRAMO_ALTO,SUMIFS(CF_CUOTA,CF_MAS,ITP_TRAMO_ALTO,CF_CCMIN,"&lt;="&amp;CT91,CF_CCMAX,"&gt;="&amp;CT91),IF(BE91&gt;ITP_TRAMO_BAJO,SUMIFS(CF_CUOTA,CF_MAS,ITP_TRAMO_BAJO,CF_CCMIN,"&lt;="&amp;CT91,CF_CCMAX,"&gt;="&amp;CT91),O91*ITP_TIPO)),O91*ITP_TIPO))</f>
        <v/>
      </c>
      <c r="CV91" s="4">
        <f>IF(R91="profesional",N(AK91),0)</f>
        <v/>
      </c>
      <c r="CW91" s="3">
        <f>IF(AND(R91="profesional",ISNUMBER(AK91),AL91="sí"),0,TASA_DGT)</f>
        <v/>
      </c>
      <c r="CX91" s="3">
        <f>INFORME_DGT</f>
        <v/>
      </c>
      <c r="CY91" s="4">
        <f>O91+CV91+CU91+CW91+CX91</f>
        <v/>
      </c>
      <c r="CZ91" s="4">
        <f>CY91+N(CL91)</f>
        <v/>
      </c>
      <c r="DA91" s="3">
        <f>IF(CY91&lt;=TOTAL_MAX,"sí",IF(CY91&lt;=TOTAL_MAX+MARGEN_NEG,"negociar","no"))</f>
        <v/>
      </c>
      <c r="DB91" s="4">
        <f>IF(DA91&lt;&gt;"no",COUNTIFS($DA$2:$DA$130,"&lt;&gt;no",$CS$2:$CS$130,"&gt;"&amp;CS91)+COUNTIFS($DA$2:DA91,"&lt;&gt;no",$CS$2:CS91,CS91),"")</f>
        <v/>
      </c>
    </row>
    <row r="92">
      <c r="A92" s="2" t="inlineStr">
        <is>
          <t>cochesnet:70895846</t>
        </is>
      </c>
      <c r="B92" s="2" t="inlineStr">
        <is>
          <t>cochesnet</t>
        </is>
      </c>
      <c r="C92" s="2" t="inlineStr">
        <is>
          <t>https://www.coches.net/renault-twingo-authentique-12-eco2-3p-gasolina-2008-en-castellon-70895846-covo.aspx</t>
        </is>
      </c>
      <c r="D92" s="2" t="inlineStr">
        <is>
          <t>RENAULT Twingo Authentique 1.2 eco2</t>
        </is>
      </c>
      <c r="E92" s="2" t="inlineStr">
        <is>
          <t>Renault</t>
        </is>
      </c>
      <c r="F92" s="2" t="inlineStr">
        <is>
          <t>Renault Twingo</t>
        </is>
      </c>
      <c r="G92" s="2" t="inlineStr">
        <is>
          <t>1.2</t>
        </is>
      </c>
      <c r="H92" s="2" t="inlineStr">
        <is>
          <t>Authentique 1.2 eco2</t>
        </is>
      </c>
      <c r="I92" s="2" t="n"/>
      <c r="J92" s="2" t="n"/>
      <c r="K92" s="2" t="inlineStr">
        <is>
          <t>gasolina</t>
        </is>
      </c>
      <c r="L92" s="2" t="inlineStr">
        <is>
          <t>utilitario</t>
        </is>
      </c>
      <c r="M92" s="2" t="n">
        <v>2008</v>
      </c>
      <c r="N92" s="2" t="n">
        <v>34100</v>
      </c>
      <c r="O92" s="2" t="n">
        <v>4900</v>
      </c>
      <c r="P92" s="2" t="inlineStr">
        <is>
          <t>manual</t>
        </is>
      </c>
      <c r="Q92" s="2" t="inlineStr">
        <is>
          <t>no</t>
        </is>
      </c>
      <c r="R92" s="2" t="inlineStr">
        <is>
          <t>profesional</t>
        </is>
      </c>
      <c r="S92" s="2" t="inlineStr">
        <is>
          <t>Comprartuauto.com Vila-real</t>
        </is>
      </c>
      <c r="T92" s="2" t="inlineStr">
        <is>
          <t>2026-09-16T19:33:12Z</t>
        </is>
      </c>
      <c r="U92" s="2" t="n">
        <v>12</v>
      </c>
      <c r="V92" s="2" t="inlineStr">
        <is>
          <t>sí</t>
        </is>
      </c>
      <c r="W92" s="2" t="n"/>
      <c r="X92" s="2" t="n"/>
      <c r="Y92" s="2" t="n">
        <v>1</v>
      </c>
      <c r="Z92" s="2" t="inlineStr">
        <is>
          <t>no</t>
        </is>
      </c>
      <c r="AA92" s="2" t="n"/>
      <c r="AB92" s="2" t="n"/>
      <c r="AC92" s="2" t="n"/>
      <c r="AD92" s="2" t="n"/>
      <c r="AE92" s="2" t="n"/>
      <c r="AF92" s="2" t="n"/>
      <c r="AG92" s="2" t="n"/>
      <c r="AH92" s="2" t="n">
        <v>4900</v>
      </c>
      <c r="AI92" s="2" t="n"/>
      <c r="AJ92" s="2" t="n"/>
      <c r="AK92" s="2" t="n"/>
      <c r="AL92" s="2" t="n"/>
      <c r="AM92" s="2" t="n"/>
      <c r="AN92" s="2" t="n"/>
      <c r="AO92" s="2" t="inlineStr">
        <is>
          <t>2008</t>
        </is>
      </c>
      <c r="AP92" s="2" t="n">
        <v>2008</v>
      </c>
      <c r="AQ92" s="2" t="n"/>
      <c r="AR92" s="2" t="inlineStr">
        <is>
          <t>C</t>
        </is>
      </c>
      <c r="AS92" s="2" t="inlineStr">
        <is>
          <t>anuncio</t>
        </is>
      </c>
      <c r="AT92" s="2" t="n"/>
      <c r="AU92" s="2" t="inlineStr">
        <is>
          <t>no</t>
        </is>
      </c>
      <c r="AV92" s="2" t="inlineStr">
        <is>
          <t>no</t>
        </is>
      </c>
      <c r="AW92" s="2" t="inlineStr">
        <is>
          <t>no</t>
        </is>
      </c>
      <c r="AX92" s="2" t="n"/>
      <c r="AY92" s="2" t="n"/>
      <c r="AZ92" s="2" t="n"/>
      <c r="BA92" s="2" t="n"/>
      <c r="BB92"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 mediana con solo 1 anuncio(s)</t>
        </is>
      </c>
      <c r="BC92" s="2" t="inlineStr">
        <is>
          <t>Renault Twingo motor 1.2cc 60cv Gasolina, manual 5 velocidades, año 2008, 34.100kms, único propietario, etiqueta medioambiental C.
Extras: Cierre centralizado a distancia, cristales eléctricos, aire acondicionado, ordenador de abordo, Radio/CD/Mp3/USB/Aux/Bluetooth, ABS, control de tracción, control de estabilidad, airbags, etc.
ITV hasta el 9/2026, neumáticos correctos, el ultimo mantenimiento de aceite y filtros se realizo a los 25.000kms.
El vehículo esta en perfectas condiciones.
El cambio de nombre se cobra a parte y son 200 Euros. 
Aceptamos su vehículo como parte de pago. 
Mas vehículos en comprartuauto,com 
Se habla Español, Ingles, Ucraniano y Ruso
Estamos en Villareal, Av. Francesc Tarrega 263. 
Horarios de Lunes a Viernes de 10 a 14 y de 17 a 20. 
Sábados mediante cita previa de 10 a 13.</t>
        </is>
      </c>
      <c r="BD92" s="2" t="inlineStr">
        <is>
          <t>https://www.coches.net/renault-twingo-authentique-12-eco2-3p-gasolina-2008-en-castellon-70895846-covo.aspx (window.__INITIAL_PROPS__.ad) /home/user/Alopecia/buscador-coches/raw/cochesnet/eec6c7107140ffda.json</t>
        </is>
      </c>
      <c r="BE92" s="3">
        <f>MAX(ANIO_ACTUAL-M92,0)</f>
        <v/>
      </c>
      <c r="BF92" s="4">
        <f>N92/MAX(BE92,0.5)</f>
        <v/>
      </c>
      <c r="BG92" s="4">
        <f>F92</f>
        <v/>
      </c>
      <c r="BH92" s="3">
        <f>BG92&amp;"|"&amp;INT(M92/SEG_ANIO)*SEG_ANIO</f>
        <v/>
      </c>
      <c r="BI92" s="3">
        <f>BH92&amp;"|"&amp;INT(N92/SEG_KM)*SEG_KM</f>
        <v/>
      </c>
      <c r="BJ92" s="4">
        <f>COUNTIF($BG$2:$BG$130,BG92)</f>
        <v/>
      </c>
      <c r="BK92" s="4">
        <f>COUNTIF($BH$2:$BH$130,BH92)</f>
        <v/>
      </c>
      <c r="BL92" s="4">
        <f>COUNTIF($BI$2:$BI$130,BI92)</f>
        <v/>
      </c>
      <c r="BM92" s="3">
        <f t="array" ref="BM92">IF(N(AY92)&gt;=MIN_N,AX92,IF(BL92&gt;=MIN_N,MEDIAN(IF($BI$2:$BI$130=BI92,$O$2:$O$130)),IF(BK92&gt;=MIN_N,MEDIAN(IF($BH$2:$BH$130=BH92,$O$2:$O$130)),MEDIAN(IF($BG$2:$BG$130=BG92,$O$2:$O$130)))))</f>
        <v/>
      </c>
      <c r="BN92" s="3">
        <f>IF(N(AY92)&gt;=MIN_N,"mercado "&amp;AZ92,IF(BL92&gt;=MIN_N,"modelo+año+km",IF(BK92&gt;=MIN_N,"modelo+año","modelo")))</f>
        <v/>
      </c>
      <c r="BO92" s="4">
        <f>(BM92-O92)/BM92</f>
        <v/>
      </c>
      <c r="BP92" s="3">
        <f>IF(COUNTIFS(FR_FUEL,K92,FR_YEAR,AP92)&gt;0,1,0)</f>
        <v/>
      </c>
      <c r="BQ92" s="3">
        <f>IF(COUNTIFS(FR_FUEL,K92,FR_YEAR,AP92-1)&gt;0,1,0)</f>
        <v/>
      </c>
      <c r="BR92" s="4">
        <f>IF(N(AQ92)&gt;0,AP92*100+AQ92,IF(AND(BP92=1,BQ92=1),(AP92-1)*100+1,AP92*100+1))</f>
        <v/>
      </c>
      <c r="BS92" s="3">
        <f>IF(OR(K92="hibrido",K92="glp",K92="gnc",K92="phev"),"ECO",IF(K92="electrico","CERO",IF(K92="gasolina",IF(BR92&gt;=GAS_C_YM,"C",IF(BR92&gt;=GAS_B_YM,"B","A")),IF(K92="diesel",IF(BR92&gt;=DIE_C_YM,"C",IF(BR92&gt;=DIE_B_YM,"B","A")),""))))</f>
        <v/>
      </c>
      <c r="BT92" s="2" t="inlineStr">
        <is>
          <t>C</t>
        </is>
      </c>
      <c r="BU92" s="4">
        <f>IF(AU92="sí","sí",IF(AS92="regla",IF(AND(N(AQ92)=0,BP92=1),"sí","no"),"no"))</f>
        <v/>
      </c>
      <c r="BV92" s="3">
        <f>IFERROR(VLOOKUP(F92,MOD_TBL,16,0),IFERROR(VLOOKUP(E92,OCU_TBL,2,0),NEUTRO))</f>
        <v/>
      </c>
      <c r="BW92" s="3">
        <f>SUMIFS(MOT_AJUSTE,MOT_MOTOR,G92,MOT_MARCA,E92,MOT_DESDE,"&lt;="&amp;M92,MOT_HASTA,"&gt;="&amp;M92)+SUMIFS(MOT_AJUSTE,MOT_MOTOR,G92,MOT_MARCA,"(todas)",MOT_DESDE,"&lt;="&amp;M92,MOT_HASTA,"&gt;="&amp;M92)+SUMIFS(MOT_AJUSTE,MOT_MOTOR,"(cualquiera)",MOT_MARCA,E92,MOT_DESDE,"&lt;="&amp;M92,MOT_HASTA,"&gt;="&amp;M92)</f>
        <v/>
      </c>
      <c r="BX92" s="3">
        <f>SUMIFS(COMB_AJUSTE,COMB_COMB,K92)</f>
        <v/>
      </c>
      <c r="BY92" s="3">
        <f>COUNTIFS(MOT_MOTOR,G92,MOT_MARCA,E92,MOT_DESDE,"&lt;="&amp;M92,MOT_HASTA,"&gt;="&amp;M92)+COUNTIFS(MOT_MOTOR,G92,MOT_MARCA,"(todas)",MOT_DESDE,"&lt;="&amp;M92,MOT_HASTA,"&gt;="&amp;M92)+COUNTIFS(MOT_MOTOR,"(cualquiera)",MOT_MARCA,E92,MOT_DESDE,"&lt;="&amp;M92,MOT_HASTA,"&gt;="&amp;M92)</f>
        <v/>
      </c>
      <c r="BZ92" s="3">
        <f>IF(AND(K92="diesel",BY92=0),MIN(BV92,NEUTRO),BV92)</f>
        <v/>
      </c>
      <c r="CA92" s="3">
        <f>MAX(0,MIN(100,BZ92+BW92+BX92-IF(AV92="sí",ROB_PEN,0)))</f>
        <v/>
      </c>
      <c r="CB92" s="3">
        <f>100-MAX(0,N92-KM_TOPE_DESDE)/1000*KM_TOPE_PTS</f>
        <v/>
      </c>
      <c r="CC92" s="3">
        <f>MAX(0,MIN(100,50+BO92*PRECIO_PEND,CB92))</f>
        <v/>
      </c>
      <c r="CD92" s="3">
        <f>MAX(0,100*(1-N92/KM_MAX))</f>
        <v/>
      </c>
      <c r="CE92" s="3">
        <f>IF(BF92&lt;KMA_SOSP,IF(AA92="sí",100,KMA_PEN),IF(BF92&lt;=KMA_IDEAL_MAX,100,MAX(0,100*(KMA_CERO-BF92)/(KMA_CERO-KMA_IDEAL_MAX))))</f>
        <v/>
      </c>
      <c r="CF92" s="3">
        <f>MAX(0,MIN(100,100*(M92-ANIO_MIN)/(ANIO_ACTUAL-ANIO_MIN)))</f>
        <v/>
      </c>
      <c r="CG92" s="3">
        <f>W_KMT*CD92+W_KMA*CE92+W_EDAD*CF92</f>
        <v/>
      </c>
      <c r="CH92" s="3">
        <f>P_ITV*(V92="sí")+P_LIBRO*(W92="sí")+P_CORREA*(X92="sí")+P_PROP*(Y92=1)+P_GAR*(Z92="sí")+P_FOTOS*MIN(1,N(U92)/FOTOS_OBJ)</f>
        <v/>
      </c>
      <c r="CI92" s="3">
        <f>MAX(0,MIN(100,IFERROR(VLOOKUP(BT92,ETQ_TBL,2,0),0)-IF(BU92="sí",ETQ_PEN_DUD,IF(AS92="regla",ETQ_PEN_REGLA,0))))</f>
        <v/>
      </c>
      <c r="CJ92" s="3">
        <f>IF(K92&lt;&gt;"gasolina","",IFERROR(VLOOKUP(F92,CONS_MOD_TBL,2,0),IFERROR(VLOOKUP(L92,CONS_SEG_TBL,2,0),"")))</f>
        <v/>
      </c>
      <c r="CK92" s="3">
        <f>IF(CJ92="",NEUTRO,MAX(0,MIN(100,100*(CONS_REF_MAX-CJ92)/(CONS_REF_MAX-CONS_REF_MIN))))</f>
        <v/>
      </c>
      <c r="CL92" s="3">
        <f>IFERROR(VLOOKUP(L92,SEGURO_TBL,3,0),"")</f>
        <v/>
      </c>
      <c r="CM92" s="3">
        <f>IF(CL92="",NEUTRO,MAX(0,MIN(100,100*(SEG_REF_MAX-CL92)/(SEG_REF_MAX-SEG_REF_MIN))))</f>
        <v/>
      </c>
      <c r="CN92" s="3">
        <f>W_CONS*CK92+W_SEG*CM92</f>
        <v/>
      </c>
      <c r="CO92" s="3">
        <f>IF(N(AB92)&gt;0,AB92,IF(AND(R92="profesional",SG_LEGAL_ON=1),GAR_LEGAL,0))</f>
        <v/>
      </c>
      <c r="CP92" s="3">
        <f>SG_GAR*MIN(1,CO92/SG_GAR_FULL)+SG_AMPL*(AC92="sí")+SG_KMC*(AF92="sí")+SG_REV*(N(AE92)&gt;0)+SG_DEV*MIN(1,N(AG92)/SG_DEV_FULL)+SG_HIST*(W92="sí")</f>
        <v/>
      </c>
      <c r="CQ92" s="3">
        <f>IF(AW92="sí",ESTILO_PRIO,IFERROR(VLOOKUP(L92,ESTILO_TBL,2,0),NEUTRO))</f>
        <v/>
      </c>
      <c r="CR92" s="3">
        <f>IFERROR(VLOOKUP(L92,CARR_PEN_TBL,2,0),0)</f>
        <v/>
      </c>
      <c r="CS92" s="3">
        <f>W_FIAB*CA92+W_PRECIO*CC92+W_KMEDAD*CG92+W_ANUNCIO*CH92+W_USO*CN92+W_SEGURIDAD*CP92+W_ETIQUETA*CI92+W_ESTILO*CQ92-CR92</f>
        <v/>
      </c>
      <c r="CT92" s="4">
        <f>IF(N(I92)&gt;0,I92,IFERROR(ROUND(_xlfn.NUMBERVALUE(LEFT(G92,FIND(" ",G92&amp;" ")-1),".")*1000,0),99999))</f>
        <v/>
      </c>
      <c r="CU92" s="3">
        <f>IF(R92="profesional",0,IF(O92&lt;CUOTA_VALOR_MAX,IF(BE92&gt;ITP_TRAMO_ALTO,SUMIFS(CF_CUOTA,CF_MAS,ITP_TRAMO_ALTO,CF_CCMIN,"&lt;="&amp;CT92,CF_CCMAX,"&gt;="&amp;CT92),IF(BE92&gt;ITP_TRAMO_BAJO,SUMIFS(CF_CUOTA,CF_MAS,ITP_TRAMO_BAJO,CF_CCMIN,"&lt;="&amp;CT92,CF_CCMAX,"&gt;="&amp;CT92),O92*ITP_TIPO)),O92*ITP_TIPO))</f>
        <v/>
      </c>
      <c r="CV92" s="4">
        <f>IF(R92="profesional",N(AK92),0)</f>
        <v/>
      </c>
      <c r="CW92" s="3">
        <f>IF(AND(R92="profesional",ISNUMBER(AK92),AL92="sí"),0,TASA_DGT)</f>
        <v/>
      </c>
      <c r="CX92" s="3">
        <f>INFORME_DGT</f>
        <v/>
      </c>
      <c r="CY92" s="4">
        <f>O92+CV92+CU92+CW92+CX92</f>
        <v/>
      </c>
      <c r="CZ92" s="4">
        <f>CY92+N(CL92)</f>
        <v/>
      </c>
      <c r="DA92" s="3">
        <f>IF(CY92&lt;=TOTAL_MAX,"sí",IF(CY92&lt;=TOTAL_MAX+MARGEN_NEG,"negociar","no"))</f>
        <v/>
      </c>
      <c r="DB92" s="4">
        <f>IF(DA92&lt;&gt;"no",COUNTIFS($DA$2:$DA$130,"&lt;&gt;no",$CS$2:$CS$130,"&gt;"&amp;CS92)+COUNTIFS($DA$2:DA92,"&lt;&gt;no",$CS$2:CS92,CS92),"")</f>
        <v/>
      </c>
    </row>
    <row r="93">
      <c r="A93" s="2" t="inlineStr">
        <is>
          <t>cochesnet:71576158</t>
        </is>
      </c>
      <c r="B93" s="2" t="inlineStr">
        <is>
          <t>cochesnet</t>
        </is>
      </c>
      <c r="C93" s="2" t="inlineStr">
        <is>
          <t>https://www.coches.net/peugeot-207-confort-14-vti-16v-95-5p-gasolina-2009-en-castellon-71576158-covo.aspx</t>
        </is>
      </c>
      <c r="D93" s="2" t="inlineStr">
        <is>
          <t>PEUGEOT 207 Confort 1.4 VTi 16v 95</t>
        </is>
      </c>
      <c r="E93" s="2" t="inlineStr">
        <is>
          <t>Peugeot</t>
        </is>
      </c>
      <c r="F93" s="2" t="inlineStr">
        <is>
          <t>Peugeot 207</t>
        </is>
      </c>
      <c r="G93" s="2" t="inlineStr">
        <is>
          <t>1.4 VTi</t>
        </is>
      </c>
      <c r="H93" s="2" t="inlineStr">
        <is>
          <t>Confort 1.4 VTi 16v 95</t>
        </is>
      </c>
      <c r="I93" s="2" t="n"/>
      <c r="J93" s="2" t="n"/>
      <c r="K93" s="2" t="inlineStr">
        <is>
          <t>gasolina</t>
        </is>
      </c>
      <c r="L93" s="2" t="inlineStr">
        <is>
          <t>utilitario</t>
        </is>
      </c>
      <c r="M93" s="2" t="n">
        <v>2009</v>
      </c>
      <c r="N93" s="2" t="n">
        <v>134000</v>
      </c>
      <c r="O93" s="2" t="n">
        <v>4990</v>
      </c>
      <c r="P93" s="2" t="inlineStr">
        <is>
          <t>manual</t>
        </is>
      </c>
      <c r="Q93" s="2" t="inlineStr">
        <is>
          <t>no</t>
        </is>
      </c>
      <c r="R93" s="2" t="inlineStr">
        <is>
          <t>profesional</t>
        </is>
      </c>
      <c r="S93" s="2" t="inlineStr">
        <is>
          <t>Car Point Castellon Castellón de la Plana / Castelló de la Plana</t>
        </is>
      </c>
      <c r="T93" s="2" t="inlineStr">
        <is>
          <t>2026-09-22T22:04:09Z</t>
        </is>
      </c>
      <c r="U93" s="2" t="n">
        <v>13</v>
      </c>
      <c r="V93" s="2" t="n"/>
      <c r="W93" s="2" t="n"/>
      <c r="X93" s="2" t="n"/>
      <c r="Y93" s="2" t="n">
        <v>2</v>
      </c>
      <c r="Z93" s="2" t="inlineStr">
        <is>
          <t>sí</t>
        </is>
      </c>
      <c r="AA93" s="2" t="inlineStr">
        <is>
          <t>sí</t>
        </is>
      </c>
      <c r="AB93" s="2" t="n">
        <v>12</v>
      </c>
      <c r="AC93" s="2" t="n"/>
      <c r="AD93" s="2" t="n"/>
      <c r="AE93" s="2" t="n"/>
      <c r="AF93" s="2" t="inlineStr">
        <is>
          <t>sí</t>
        </is>
      </c>
      <c r="AG93" s="2" t="n"/>
      <c r="AH93" s="2" t="n">
        <v>4990</v>
      </c>
      <c r="AI93" s="2" t="n">
        <v>4990</v>
      </c>
      <c r="AJ93" s="2" t="n"/>
      <c r="AK93" s="2" t="n"/>
      <c r="AL93" s="2" t="n"/>
      <c r="AM93" s="2" t="n"/>
      <c r="AN93" s="2" t="n"/>
      <c r="AO93" s="2" t="inlineStr">
        <is>
          <t>2009</t>
        </is>
      </c>
      <c r="AP93" s="2" t="n">
        <v>2009</v>
      </c>
      <c r="AQ93" s="2" t="n"/>
      <c r="AR93" s="2" t="inlineStr">
        <is>
          <t>C</t>
        </is>
      </c>
      <c r="AS93" s="2" t="inlineStr">
        <is>
          <t>anuncio</t>
        </is>
      </c>
      <c r="AT93" s="2" t="n"/>
      <c r="AU93" s="2" t="inlineStr">
        <is>
          <t>no</t>
        </is>
      </c>
      <c r="AV93" s="2" t="inlineStr">
        <is>
          <t>no</t>
        </is>
      </c>
      <c r="AW93" s="2" t="inlineStr">
        <is>
          <t>no</t>
        </is>
      </c>
      <c r="AX93" s="2" t="n">
        <v>3650</v>
      </c>
      <c r="AY93" s="2" t="n">
        <v>28</v>
      </c>
      <c r="AZ93" s="2" t="inlineStr">
        <is>
          <t>modelo+año+km</t>
        </is>
      </c>
      <c r="BA93" s="2" t="n"/>
      <c r="BB93" s="2" t="inlineStr">
        <is>
          <t>por encima del presupuesto (5054 €), negociar; vendedor profesional: sin ITP (operación con IVA/REBU, confirmar en factura); gastos de gestión del vendedor no indicados: se suma la tasa DGT; preguntar el precio final; revisar: no menciona la ITV; distancia no verificable (el anuncio solo indica la provincia): confirmar que está a &lt;= 70 km; fiabilidad del modelo PENDIENTE de fuente (puntuación neutra)</t>
        </is>
      </c>
      <c r="BC93" s="2" t="inlineStr">
        <is>
          <t>PEUGEOT 207 1.4 16V GASOLINA 95 CV
ETIQUETA C
SOLO 134.000 KMS
2 PROPIETARIOS
CAR POINT - Vehículos de ocasión
* Financiación a medida del cliente, con o sin entrada
* Recibimos tu coche como parte de pago
* Vehiculos garantizados, con opcion a 5 años de garantia
* Kilometraje certificado
* Te lo entregamos a domicilio si no puedes venir a visitarnos
Estamos en Castellon de la Plana, a 1 minuto del Acceso Sur de la AP7
C. Suiza 41 - Poligono Sur - 12006 - Castellon de la Plana
+ de 20 años de experiencia en el rubro garantizan CONFIANZA - TRANSPARENCIA - SERIEDAD
ANUNCIO NO VINCULANTE
**EL ANUNCIO PUEDE CONTENER ERRORES INVOLUNTARIOS</t>
        </is>
      </c>
      <c r="BD93" s="2" t="inlineStr">
        <is>
          <t>https://www.coches.net/peugeot-207-confort-14-vti-16v-95-5p-gasolina-2009-en-castellon-71576158-covo.aspx (window.__INITIAL_PROPS__.ad) /home/user/Alopecia/buscador-coches/raw/cochesnet/69ad177154c860d3.json</t>
        </is>
      </c>
      <c r="BE93" s="3">
        <f>MAX(ANIO_ACTUAL-M93,0)</f>
        <v/>
      </c>
      <c r="BF93" s="4">
        <f>N93/MAX(BE93,0.5)</f>
        <v/>
      </c>
      <c r="BG93" s="4">
        <f>F93</f>
        <v/>
      </c>
      <c r="BH93" s="3">
        <f>BG93&amp;"|"&amp;INT(M93/SEG_ANIO)*SEG_ANIO</f>
        <v/>
      </c>
      <c r="BI93" s="3">
        <f>BH93&amp;"|"&amp;INT(N93/SEG_KM)*SEG_KM</f>
        <v/>
      </c>
      <c r="BJ93" s="4">
        <f>COUNTIF($BG$2:$BG$130,BG93)</f>
        <v/>
      </c>
      <c r="BK93" s="4">
        <f>COUNTIF($BH$2:$BH$130,BH93)</f>
        <v/>
      </c>
      <c r="BL93" s="4">
        <f>COUNTIF($BI$2:$BI$130,BI93)</f>
        <v/>
      </c>
      <c r="BM93" s="3">
        <f t="array" ref="BM93">IF(N(AY93)&gt;=MIN_N,AX93,IF(BL93&gt;=MIN_N,MEDIAN(IF($BI$2:$BI$130=BI93,$O$2:$O$130)),IF(BK93&gt;=MIN_N,MEDIAN(IF($BH$2:$BH$130=BH93,$O$2:$O$130)),MEDIAN(IF($BG$2:$BG$130=BG93,$O$2:$O$130)))))</f>
        <v/>
      </c>
      <c r="BN93" s="3">
        <f>IF(N(AY93)&gt;=MIN_N,"mercado "&amp;AZ93,IF(BL93&gt;=MIN_N,"modelo+año+km",IF(BK93&gt;=MIN_N,"modelo+año","modelo")))</f>
        <v/>
      </c>
      <c r="BO93" s="4">
        <f>(BM93-O93)/BM93</f>
        <v/>
      </c>
      <c r="BP93" s="3">
        <f>IF(COUNTIFS(FR_FUEL,K93,FR_YEAR,AP93)&gt;0,1,0)</f>
        <v/>
      </c>
      <c r="BQ93" s="3">
        <f>IF(COUNTIFS(FR_FUEL,K93,FR_YEAR,AP93-1)&gt;0,1,0)</f>
        <v/>
      </c>
      <c r="BR93" s="4">
        <f>IF(N(AQ93)&gt;0,AP93*100+AQ93,IF(AND(BP93=1,BQ93=1),(AP93-1)*100+1,AP93*100+1))</f>
        <v/>
      </c>
      <c r="BS93" s="3">
        <f>IF(OR(K93="hibrido",K93="glp",K93="gnc",K93="phev"),"ECO",IF(K93="electrico","CERO",IF(K93="gasolina",IF(BR93&gt;=GAS_C_YM,"C",IF(BR93&gt;=GAS_B_YM,"B","A")),IF(K93="diesel",IF(BR93&gt;=DIE_C_YM,"C",IF(BR93&gt;=DIE_B_YM,"B","A")),""))))</f>
        <v/>
      </c>
      <c r="BT93" s="2" t="inlineStr">
        <is>
          <t>C</t>
        </is>
      </c>
      <c r="BU93" s="4">
        <f>IF(AU93="sí","sí",IF(AS93="regla",IF(AND(N(AQ93)=0,BP93=1),"sí","no"),"no"))</f>
        <v/>
      </c>
      <c r="BV93" s="3">
        <f>IFERROR(VLOOKUP(F93,MOD_TBL,16,0),IFERROR(VLOOKUP(E93,OCU_TBL,2,0),NEUTRO))</f>
        <v/>
      </c>
      <c r="BW93" s="3">
        <f>SUMIFS(MOT_AJUSTE,MOT_MOTOR,G93,MOT_MARCA,E93,MOT_DESDE,"&lt;="&amp;M93,MOT_HASTA,"&gt;="&amp;M93)+SUMIFS(MOT_AJUSTE,MOT_MOTOR,G93,MOT_MARCA,"(todas)",MOT_DESDE,"&lt;="&amp;M93,MOT_HASTA,"&gt;="&amp;M93)+SUMIFS(MOT_AJUSTE,MOT_MOTOR,"(cualquiera)",MOT_MARCA,E93,MOT_DESDE,"&lt;="&amp;M93,MOT_HASTA,"&gt;="&amp;M93)</f>
        <v/>
      </c>
      <c r="BX93" s="3">
        <f>SUMIFS(COMB_AJUSTE,COMB_COMB,K93)</f>
        <v/>
      </c>
      <c r="BY93" s="3">
        <f>COUNTIFS(MOT_MOTOR,G93,MOT_MARCA,E93,MOT_DESDE,"&lt;="&amp;M93,MOT_HASTA,"&gt;="&amp;M93)+COUNTIFS(MOT_MOTOR,G93,MOT_MARCA,"(todas)",MOT_DESDE,"&lt;="&amp;M93,MOT_HASTA,"&gt;="&amp;M93)+COUNTIFS(MOT_MOTOR,"(cualquiera)",MOT_MARCA,E93,MOT_DESDE,"&lt;="&amp;M93,MOT_HASTA,"&gt;="&amp;M93)</f>
        <v/>
      </c>
      <c r="BZ93" s="3">
        <f>IF(AND(K93="diesel",BY93=0),MIN(BV93,NEUTRO),BV93)</f>
        <v/>
      </c>
      <c r="CA93" s="3">
        <f>MAX(0,MIN(100,BZ93+BW93+BX93-IF(AV93="sí",ROB_PEN,0)))</f>
        <v/>
      </c>
      <c r="CB93" s="3">
        <f>100-MAX(0,N93-KM_TOPE_DESDE)/1000*KM_TOPE_PTS</f>
        <v/>
      </c>
      <c r="CC93" s="3">
        <f>MAX(0,MIN(100,50+BO93*PRECIO_PEND,CB93))</f>
        <v/>
      </c>
      <c r="CD93" s="3">
        <f>MAX(0,100*(1-N93/KM_MAX))</f>
        <v/>
      </c>
      <c r="CE93" s="3">
        <f>IF(BF93&lt;KMA_SOSP,IF(AA93="sí",100,KMA_PEN),IF(BF93&lt;=KMA_IDEAL_MAX,100,MAX(0,100*(KMA_CERO-BF93)/(KMA_CERO-KMA_IDEAL_MAX))))</f>
        <v/>
      </c>
      <c r="CF93" s="3">
        <f>MAX(0,MIN(100,100*(M93-ANIO_MIN)/(ANIO_ACTUAL-ANIO_MIN)))</f>
        <v/>
      </c>
      <c r="CG93" s="3">
        <f>W_KMT*CD93+W_KMA*CE93+W_EDAD*CF93</f>
        <v/>
      </c>
      <c r="CH93" s="3">
        <f>P_ITV*(V93="sí")+P_LIBRO*(W93="sí")+P_CORREA*(X93="sí")+P_PROP*(Y93=1)+P_GAR*(Z93="sí")+P_FOTOS*MIN(1,N(U93)/FOTOS_OBJ)</f>
        <v/>
      </c>
      <c r="CI93" s="3">
        <f>MAX(0,MIN(100,IFERROR(VLOOKUP(BT93,ETQ_TBL,2,0),0)-IF(BU93="sí",ETQ_PEN_DUD,IF(AS93="regla",ETQ_PEN_REGLA,0))))</f>
        <v/>
      </c>
      <c r="CJ93" s="3">
        <f>IF(K93&lt;&gt;"gasolina","",IFERROR(VLOOKUP(F93,CONS_MOD_TBL,2,0),IFERROR(VLOOKUP(L93,CONS_SEG_TBL,2,0),"")))</f>
        <v/>
      </c>
      <c r="CK93" s="3">
        <f>IF(CJ93="",NEUTRO,MAX(0,MIN(100,100*(CONS_REF_MAX-CJ93)/(CONS_REF_MAX-CONS_REF_MIN))))</f>
        <v/>
      </c>
      <c r="CL93" s="3">
        <f>IFERROR(VLOOKUP(L93,SEGURO_TBL,3,0),"")</f>
        <v/>
      </c>
      <c r="CM93" s="3">
        <f>IF(CL93="",NEUTRO,MAX(0,MIN(100,100*(SEG_REF_MAX-CL93)/(SEG_REF_MAX-SEG_REF_MIN))))</f>
        <v/>
      </c>
      <c r="CN93" s="3">
        <f>W_CONS*CK93+W_SEG*CM93</f>
        <v/>
      </c>
      <c r="CO93" s="3">
        <f>IF(N(AB93)&gt;0,AB93,IF(AND(R93="profesional",SG_LEGAL_ON=1),GAR_LEGAL,0))</f>
        <v/>
      </c>
      <c r="CP93" s="3">
        <f>SG_GAR*MIN(1,CO93/SG_GAR_FULL)+SG_AMPL*(AC93="sí")+SG_KMC*(AF93="sí")+SG_REV*(N(AE93)&gt;0)+SG_DEV*MIN(1,N(AG93)/SG_DEV_FULL)+SG_HIST*(W93="sí")</f>
        <v/>
      </c>
      <c r="CQ93" s="3">
        <f>IF(AW93="sí",ESTILO_PRIO,IFERROR(VLOOKUP(L93,ESTILO_TBL,2,0),NEUTRO))</f>
        <v/>
      </c>
      <c r="CR93" s="3">
        <f>IFERROR(VLOOKUP(L93,CARR_PEN_TBL,2,0),0)</f>
        <v/>
      </c>
      <c r="CS93" s="3">
        <f>W_FIAB*CA93+W_PRECIO*CC93+W_KMEDAD*CG93+W_ANUNCIO*CH93+W_USO*CN93+W_SEGURIDAD*CP93+W_ETIQUETA*CI93+W_ESTILO*CQ93-CR93</f>
        <v/>
      </c>
      <c r="CT93" s="4">
        <f>IF(N(I93)&gt;0,I93,IFERROR(ROUND(_xlfn.NUMBERVALUE(LEFT(G93,FIND(" ",G93&amp;" ")-1),".")*1000,0),99999))</f>
        <v/>
      </c>
      <c r="CU93" s="3">
        <f>IF(R93="profesional",0,IF(O93&lt;CUOTA_VALOR_MAX,IF(BE93&gt;ITP_TRAMO_ALTO,SUMIFS(CF_CUOTA,CF_MAS,ITP_TRAMO_ALTO,CF_CCMIN,"&lt;="&amp;CT93,CF_CCMAX,"&gt;="&amp;CT93),IF(BE93&gt;ITP_TRAMO_BAJO,SUMIFS(CF_CUOTA,CF_MAS,ITP_TRAMO_BAJO,CF_CCMIN,"&lt;="&amp;CT93,CF_CCMAX,"&gt;="&amp;CT93),O93*ITP_TIPO)),O93*ITP_TIPO))</f>
        <v/>
      </c>
      <c r="CV93" s="4">
        <f>IF(R93="profesional",N(AK93),0)</f>
        <v/>
      </c>
      <c r="CW93" s="3">
        <f>IF(AND(R93="profesional",ISNUMBER(AK93),AL93="sí"),0,TASA_DGT)</f>
        <v/>
      </c>
      <c r="CX93" s="3">
        <f>INFORME_DGT</f>
        <v/>
      </c>
      <c r="CY93" s="4">
        <f>O93+CV93+CU93+CW93+CX93</f>
        <v/>
      </c>
      <c r="CZ93" s="4">
        <f>CY93+N(CL93)</f>
        <v/>
      </c>
      <c r="DA93" s="3">
        <f>IF(CY93&lt;=TOTAL_MAX,"sí",IF(CY93&lt;=TOTAL_MAX+MARGEN_NEG,"negociar","no"))</f>
        <v/>
      </c>
      <c r="DB93" s="4">
        <f>IF(DA93&lt;&gt;"no",COUNTIFS($DA$2:$DA$130,"&lt;&gt;no",$CS$2:$CS$130,"&gt;"&amp;CS93)+COUNTIFS($DA$2:DA93,"&lt;&gt;no",$CS$2:CS93,CS93),"")</f>
        <v/>
      </c>
    </row>
    <row r="94">
      <c r="A94" s="2" t="inlineStr">
        <is>
          <t>cochesnet:70833137</t>
        </is>
      </c>
      <c r="B94" s="2" t="inlineStr">
        <is>
          <t>cochesnet</t>
        </is>
      </c>
      <c r="C94" s="2" t="inlineStr">
        <is>
          <t>https://www.coches.net/fiat-500-09-turbo-twinair-85cv-blackjack-3p-gasolina-2007-en-castellon-70833137-covo.aspx</t>
        </is>
      </c>
      <c r="D94" s="2" t="inlineStr">
        <is>
          <t>FIAT 500 0.9 Turbo TwinAir Blackjack</t>
        </is>
      </c>
      <c r="E94" s="2" t="inlineStr">
        <is>
          <t>Fiat</t>
        </is>
      </c>
      <c r="F94" s="2" t="inlineStr">
        <is>
          <t>Fiat 500</t>
        </is>
      </c>
      <c r="G94" s="2" t="inlineStr">
        <is>
          <t>0.9 Turbo</t>
        </is>
      </c>
      <c r="H94" s="2" t="inlineStr">
        <is>
          <t>0.9 Turbo TwinAir 85cv Blackjack</t>
        </is>
      </c>
      <c r="I94" s="2" t="n"/>
      <c r="J94" s="2" t="n">
        <v>85</v>
      </c>
      <c r="K94" s="2" t="inlineStr">
        <is>
          <t>gasolina</t>
        </is>
      </c>
      <c r="L94" s="2" t="inlineStr">
        <is>
          <t>utilitario</t>
        </is>
      </c>
      <c r="M94" s="2" t="n">
        <v>2011</v>
      </c>
      <c r="N94" s="2" t="n">
        <v>131000</v>
      </c>
      <c r="O94" s="2" t="n">
        <v>5200</v>
      </c>
      <c r="P94" s="2" t="inlineStr">
        <is>
          <t>manual</t>
        </is>
      </c>
      <c r="Q94" s="2" t="inlineStr">
        <is>
          <t>no</t>
        </is>
      </c>
      <c r="R94" s="2" t="inlineStr">
        <is>
          <t>profesional</t>
        </is>
      </c>
      <c r="S94" s="2" t="inlineStr">
        <is>
          <t>Automoviles Llorens  Almazora</t>
        </is>
      </c>
      <c r="T94" s="2" t="inlineStr">
        <is>
          <t>2026-09-07T18:31:01Z</t>
        </is>
      </c>
      <c r="U94" s="2" t="n">
        <v>17</v>
      </c>
      <c r="V94" s="2" t="inlineStr">
        <is>
          <t>sí</t>
        </is>
      </c>
      <c r="W94" s="2" t="inlineStr">
        <is>
          <t>sí</t>
        </is>
      </c>
      <c r="X94" s="2" t="n"/>
      <c r="Y94" s="2" t="n"/>
      <c r="Z94" s="2" t="inlineStr">
        <is>
          <t>sí</t>
        </is>
      </c>
      <c r="AA94" s="2" t="n"/>
      <c r="AB94" s="2" t="n">
        <v>12</v>
      </c>
      <c r="AC94" s="2" t="n"/>
      <c r="AD94" s="2" t="n"/>
      <c r="AE94" s="2" t="n"/>
      <c r="AF94" s="2" t="n"/>
      <c r="AG94" s="2" t="n"/>
      <c r="AH94" s="2" t="n">
        <v>5200</v>
      </c>
      <c r="AI94" s="2" t="n"/>
      <c r="AJ94" s="2" t="n"/>
      <c r="AK94" s="2" t="n"/>
      <c r="AL94" s="2" t="n"/>
      <c r="AM94" s="2" t="n"/>
      <c r="AN94" s="2" t="n"/>
      <c r="AO94" s="2" t="inlineStr">
        <is>
          <t>2011</t>
        </is>
      </c>
      <c r="AP94" s="2" t="n">
        <v>2011</v>
      </c>
      <c r="AQ94" s="2" t="n"/>
      <c r="AR94" s="2" t="inlineStr">
        <is>
          <t>C</t>
        </is>
      </c>
      <c r="AS94" s="2" t="inlineStr">
        <is>
          <t>anuncio</t>
        </is>
      </c>
      <c r="AT94" s="2" t="n">
        <v>2007</v>
      </c>
      <c r="AU94" s="2" t="inlineStr">
        <is>
          <t>no</t>
        </is>
      </c>
      <c r="AV94" s="2" t="inlineStr">
        <is>
          <t>no</t>
        </is>
      </c>
      <c r="AW94" s="2" t="inlineStr">
        <is>
          <t>no</t>
        </is>
      </c>
      <c r="AX94" s="2" t="n">
        <v>5500</v>
      </c>
      <c r="AY94" s="2" t="n">
        <v>7</v>
      </c>
      <c r="AZ94" s="2" t="inlineStr">
        <is>
          <t>modelo+año+km</t>
        </is>
      </c>
      <c r="BA94" s="2" t="n"/>
      <c r="BB94" s="2" t="inlineStr">
        <is>
          <t>año a confirmar: la URL/título dice 2007; por encima del presupuesto (5264 €), negociar; vendedor profesional: sin ITP (operación con IVA/REBU, confirmar en factura); gastos de gestión del vendedor no indicados: se suma la tasa DGT; preguntar el precio final; distancia no verificable (el anuncio solo indica la provincia): confirmar que está a &lt;= 70 km</t>
        </is>
      </c>
      <c r="BC94" s="2" t="inlineStr">
        <is>
          <t>FIAT 500 .AÑO 2011.
SUPER PRECIO.
Llantas de aluminio.2 juegos de llaves.cierre.elevalunas.A/A.itv en vigor.
Impecable estado.mantenimiento al dia.
Garantia un año.contacte con nosotros para confirmar disponibilidad.
Transferencia/gestoria/no incluido en el precio.
Aceptamos tu vehiculo como parte del pago.
QUIERES VENDER TU COCHE.PONTE EN CONTACTO CON NOSOTROS Y TE LO TASAREMOS SIN COMPROMISO.</t>
        </is>
      </c>
      <c r="BD94" s="2" t="inlineStr">
        <is>
          <t>https://www.coches.net/fiat-500-09-turbo-twinair-85cv-blackjack-3p-gasolina-2007-en-castellon-70833137-covo.aspx (window.__INITIAL_PROPS__.ad) /home/user/Alopecia/buscador-coches/raw/cochesnet/2b91e3171b4f1026.json</t>
        </is>
      </c>
      <c r="BE94" s="3">
        <f>MAX(ANIO_ACTUAL-M94,0)</f>
        <v/>
      </c>
      <c r="BF94" s="4">
        <f>N94/MAX(BE94,0.5)</f>
        <v/>
      </c>
      <c r="BG94" s="4">
        <f>F94</f>
        <v/>
      </c>
      <c r="BH94" s="3">
        <f>BG94&amp;"|"&amp;INT(M94/SEG_ANIO)*SEG_ANIO</f>
        <v/>
      </c>
      <c r="BI94" s="3">
        <f>BH94&amp;"|"&amp;INT(N94/SEG_KM)*SEG_KM</f>
        <v/>
      </c>
      <c r="BJ94" s="4">
        <f>COUNTIF($BG$2:$BG$130,BG94)</f>
        <v/>
      </c>
      <c r="BK94" s="4">
        <f>COUNTIF($BH$2:$BH$130,BH94)</f>
        <v/>
      </c>
      <c r="BL94" s="4">
        <f>COUNTIF($BI$2:$BI$130,BI94)</f>
        <v/>
      </c>
      <c r="BM94" s="3">
        <f t="array" ref="BM94">IF(N(AY94)&gt;=MIN_N,AX94,IF(BL94&gt;=MIN_N,MEDIAN(IF($BI$2:$BI$130=BI94,$O$2:$O$130)),IF(BK94&gt;=MIN_N,MEDIAN(IF($BH$2:$BH$130=BH94,$O$2:$O$130)),MEDIAN(IF($BG$2:$BG$130=BG94,$O$2:$O$130)))))</f>
        <v/>
      </c>
      <c r="BN94" s="3">
        <f>IF(N(AY94)&gt;=MIN_N,"mercado "&amp;AZ94,IF(BL94&gt;=MIN_N,"modelo+año+km",IF(BK94&gt;=MIN_N,"modelo+año","modelo")))</f>
        <v/>
      </c>
      <c r="BO94" s="4">
        <f>(BM94-O94)/BM94</f>
        <v/>
      </c>
      <c r="BP94" s="3">
        <f>IF(COUNTIFS(FR_FUEL,K94,FR_YEAR,AP94)&gt;0,1,0)</f>
        <v/>
      </c>
      <c r="BQ94" s="3">
        <f>IF(COUNTIFS(FR_FUEL,K94,FR_YEAR,AP94-1)&gt;0,1,0)</f>
        <v/>
      </c>
      <c r="BR94" s="4">
        <f>IF(N(AQ94)&gt;0,AP94*100+AQ94,IF(AND(BP94=1,BQ94=1),(AP94-1)*100+1,AP94*100+1))</f>
        <v/>
      </c>
      <c r="BS94" s="3">
        <f>IF(OR(K94="hibrido",K94="glp",K94="gnc",K94="phev"),"ECO",IF(K94="electrico","CERO",IF(K94="gasolina",IF(BR94&gt;=GAS_C_YM,"C",IF(BR94&gt;=GAS_B_YM,"B","A")),IF(K94="diesel",IF(BR94&gt;=DIE_C_YM,"C",IF(BR94&gt;=DIE_B_YM,"B","A")),""))))</f>
        <v/>
      </c>
      <c r="BT94" s="2" t="inlineStr">
        <is>
          <t>C</t>
        </is>
      </c>
      <c r="BU94" s="4">
        <f>IF(AU94="sí","sí",IF(AS94="regla",IF(AND(N(AQ94)=0,BP94=1),"sí","no"),"no"))</f>
        <v/>
      </c>
      <c r="BV94" s="3">
        <f>IFERROR(VLOOKUP(F94,MOD_TBL,16,0),IFERROR(VLOOKUP(E94,OCU_TBL,2,0),NEUTRO))</f>
        <v/>
      </c>
      <c r="BW94" s="3">
        <f>SUMIFS(MOT_AJUSTE,MOT_MOTOR,G94,MOT_MARCA,E94,MOT_DESDE,"&lt;="&amp;M94,MOT_HASTA,"&gt;="&amp;M94)+SUMIFS(MOT_AJUSTE,MOT_MOTOR,G94,MOT_MARCA,"(todas)",MOT_DESDE,"&lt;="&amp;M94,MOT_HASTA,"&gt;="&amp;M94)+SUMIFS(MOT_AJUSTE,MOT_MOTOR,"(cualquiera)",MOT_MARCA,E94,MOT_DESDE,"&lt;="&amp;M94,MOT_HASTA,"&gt;="&amp;M94)</f>
        <v/>
      </c>
      <c r="BX94" s="3">
        <f>SUMIFS(COMB_AJUSTE,COMB_COMB,K94)</f>
        <v/>
      </c>
      <c r="BY94" s="3">
        <f>COUNTIFS(MOT_MOTOR,G94,MOT_MARCA,E94,MOT_DESDE,"&lt;="&amp;M94,MOT_HASTA,"&gt;="&amp;M94)+COUNTIFS(MOT_MOTOR,G94,MOT_MARCA,"(todas)",MOT_DESDE,"&lt;="&amp;M94,MOT_HASTA,"&gt;="&amp;M94)+COUNTIFS(MOT_MOTOR,"(cualquiera)",MOT_MARCA,E94,MOT_DESDE,"&lt;="&amp;M94,MOT_HASTA,"&gt;="&amp;M94)</f>
        <v/>
      </c>
      <c r="BZ94" s="3">
        <f>IF(AND(K94="diesel",BY94=0),MIN(BV94,NEUTRO),BV94)</f>
        <v/>
      </c>
      <c r="CA94" s="3">
        <f>MAX(0,MIN(100,BZ94+BW94+BX94-IF(AV94="sí",ROB_PEN,0)))</f>
        <v/>
      </c>
      <c r="CB94" s="3">
        <f>100-MAX(0,N94-KM_TOPE_DESDE)/1000*KM_TOPE_PTS</f>
        <v/>
      </c>
      <c r="CC94" s="3">
        <f>MAX(0,MIN(100,50+BO94*PRECIO_PEND,CB94))</f>
        <v/>
      </c>
      <c r="CD94" s="3">
        <f>MAX(0,100*(1-N94/KM_MAX))</f>
        <v/>
      </c>
      <c r="CE94" s="3">
        <f>IF(BF94&lt;KMA_SOSP,IF(AA94="sí",100,KMA_PEN),IF(BF94&lt;=KMA_IDEAL_MAX,100,MAX(0,100*(KMA_CERO-BF94)/(KMA_CERO-KMA_IDEAL_MAX))))</f>
        <v/>
      </c>
      <c r="CF94" s="3">
        <f>MAX(0,MIN(100,100*(M94-ANIO_MIN)/(ANIO_ACTUAL-ANIO_MIN)))</f>
        <v/>
      </c>
      <c r="CG94" s="3">
        <f>W_KMT*CD94+W_KMA*CE94+W_EDAD*CF94</f>
        <v/>
      </c>
      <c r="CH94" s="3">
        <f>P_ITV*(V94="sí")+P_LIBRO*(W94="sí")+P_CORREA*(X94="sí")+P_PROP*(Y94=1)+P_GAR*(Z94="sí")+P_FOTOS*MIN(1,N(U94)/FOTOS_OBJ)</f>
        <v/>
      </c>
      <c r="CI94" s="3">
        <f>MAX(0,MIN(100,IFERROR(VLOOKUP(BT94,ETQ_TBL,2,0),0)-IF(BU94="sí",ETQ_PEN_DUD,IF(AS94="regla",ETQ_PEN_REGLA,0))))</f>
        <v/>
      </c>
      <c r="CJ94" s="3">
        <f>IF(K94&lt;&gt;"gasolina","",IFERROR(VLOOKUP(F94,CONS_MOD_TBL,2,0),IFERROR(VLOOKUP(L94,CONS_SEG_TBL,2,0),"")))</f>
        <v/>
      </c>
      <c r="CK94" s="3">
        <f>IF(CJ94="",NEUTRO,MAX(0,MIN(100,100*(CONS_REF_MAX-CJ94)/(CONS_REF_MAX-CONS_REF_MIN))))</f>
        <v/>
      </c>
      <c r="CL94" s="3">
        <f>IFERROR(VLOOKUP(L94,SEGURO_TBL,3,0),"")</f>
        <v/>
      </c>
      <c r="CM94" s="3">
        <f>IF(CL94="",NEUTRO,MAX(0,MIN(100,100*(SEG_REF_MAX-CL94)/(SEG_REF_MAX-SEG_REF_MIN))))</f>
        <v/>
      </c>
      <c r="CN94" s="3">
        <f>W_CONS*CK94+W_SEG*CM94</f>
        <v/>
      </c>
      <c r="CO94" s="3">
        <f>IF(N(AB94)&gt;0,AB94,IF(AND(R94="profesional",SG_LEGAL_ON=1),GAR_LEGAL,0))</f>
        <v/>
      </c>
      <c r="CP94" s="3">
        <f>SG_GAR*MIN(1,CO94/SG_GAR_FULL)+SG_AMPL*(AC94="sí")+SG_KMC*(AF94="sí")+SG_REV*(N(AE94)&gt;0)+SG_DEV*MIN(1,N(AG94)/SG_DEV_FULL)+SG_HIST*(W94="sí")</f>
        <v/>
      </c>
      <c r="CQ94" s="3">
        <f>IF(AW94="sí",ESTILO_PRIO,IFERROR(VLOOKUP(L94,ESTILO_TBL,2,0),NEUTRO))</f>
        <v/>
      </c>
      <c r="CR94" s="3">
        <f>IFERROR(VLOOKUP(L94,CARR_PEN_TBL,2,0),0)</f>
        <v/>
      </c>
      <c r="CS94" s="3">
        <f>W_FIAB*CA94+W_PRECIO*CC94+W_KMEDAD*CG94+W_ANUNCIO*CH94+W_USO*CN94+W_SEGURIDAD*CP94+W_ETIQUETA*CI94+W_ESTILO*CQ94-CR94</f>
        <v/>
      </c>
      <c r="CT94" s="4">
        <f>IF(N(I94)&gt;0,I94,IFERROR(ROUND(_xlfn.NUMBERVALUE(LEFT(G94,FIND(" ",G94&amp;" ")-1),".")*1000,0),99999))</f>
        <v/>
      </c>
      <c r="CU94" s="3">
        <f>IF(R94="profesional",0,IF(O94&lt;CUOTA_VALOR_MAX,IF(BE94&gt;ITP_TRAMO_ALTO,SUMIFS(CF_CUOTA,CF_MAS,ITP_TRAMO_ALTO,CF_CCMIN,"&lt;="&amp;CT94,CF_CCMAX,"&gt;="&amp;CT94),IF(BE94&gt;ITP_TRAMO_BAJO,SUMIFS(CF_CUOTA,CF_MAS,ITP_TRAMO_BAJO,CF_CCMIN,"&lt;="&amp;CT94,CF_CCMAX,"&gt;="&amp;CT94),O94*ITP_TIPO)),O94*ITP_TIPO))</f>
        <v/>
      </c>
      <c r="CV94" s="4">
        <f>IF(R94="profesional",N(AK94),0)</f>
        <v/>
      </c>
      <c r="CW94" s="3">
        <f>IF(AND(R94="profesional",ISNUMBER(AK94),AL94="sí"),0,TASA_DGT)</f>
        <v/>
      </c>
      <c r="CX94" s="3">
        <f>INFORME_DGT</f>
        <v/>
      </c>
      <c r="CY94" s="4">
        <f>O94+CV94+CU94+CW94+CX94</f>
        <v/>
      </c>
      <c r="CZ94" s="4">
        <f>CY94+N(CL94)</f>
        <v/>
      </c>
      <c r="DA94" s="3">
        <f>IF(CY94&lt;=TOTAL_MAX,"sí",IF(CY94&lt;=TOTAL_MAX+MARGEN_NEG,"negociar","no"))</f>
        <v/>
      </c>
      <c r="DB94" s="4">
        <f>IF(DA94&lt;&gt;"no",COUNTIFS($DA$2:$DA$130,"&lt;&gt;no",$CS$2:$CS$130,"&gt;"&amp;CS94)+COUNTIFS($DA$2:DA94,"&lt;&gt;no",$CS$2:CS94,CS94),"")</f>
        <v/>
      </c>
    </row>
    <row r="95">
      <c r="A95" s="2" t="inlineStr">
        <is>
          <t>cochesnet:70558216</t>
        </is>
      </c>
      <c r="B95" s="2" t="inlineStr">
        <is>
          <t>cochesnet</t>
        </is>
      </c>
      <c r="C95" s="2" t="inlineStr">
        <is>
          <t>https://www.coches.net/smart-forfour-15-cdi-68cv-pure-5p-diesel-2006-en-castellon-70558216-covo.aspx</t>
        </is>
      </c>
      <c r="D95" s="2" t="inlineStr">
        <is>
          <t>SMART forfour 1.5 cdi pure</t>
        </is>
      </c>
      <c r="E95" s="2" t="inlineStr">
        <is>
          <t>smart</t>
        </is>
      </c>
      <c r="F95" s="2" t="inlineStr">
        <is>
          <t>smart forfour</t>
        </is>
      </c>
      <c r="G95" s="2" t="inlineStr">
        <is>
          <t>1.5</t>
        </is>
      </c>
      <c r="H95" s="2" t="inlineStr">
        <is>
          <t>1.5 cdi 68cv pure</t>
        </is>
      </c>
      <c r="I95" s="2" t="n"/>
      <c r="J95" s="2" t="n">
        <v>68</v>
      </c>
      <c r="K95" s="2" t="inlineStr">
        <is>
          <t>diesel</t>
        </is>
      </c>
      <c r="L95" s="2" t="inlineStr">
        <is>
          <t>utilitario</t>
        </is>
      </c>
      <c r="M95" s="2" t="n">
        <v>2006</v>
      </c>
      <c r="N95" s="2" t="n">
        <v>130000</v>
      </c>
      <c r="O95" s="2" t="n">
        <v>3500</v>
      </c>
      <c r="P95" s="2" t="inlineStr">
        <is>
          <t>manual</t>
        </is>
      </c>
      <c r="Q95" s="2" t="inlineStr">
        <is>
          <t>no</t>
        </is>
      </c>
      <c r="R95" s="2" t="inlineStr">
        <is>
          <t>profesional</t>
        </is>
      </c>
      <c r="S95" s="2" t="inlineStr">
        <is>
          <t>Andrés Cars Castellón de la Plana / Castelló de la Plana</t>
        </is>
      </c>
      <c r="T95" s="2" t="inlineStr">
        <is>
          <t>2026-10-29T22:05:48Z</t>
        </is>
      </c>
      <c r="U95" s="2" t="n">
        <v>43</v>
      </c>
      <c r="V95" s="2" t="n"/>
      <c r="W95" s="2" t="n"/>
      <c r="X95" s="2" t="n"/>
      <c r="Y95" s="2" t="n"/>
      <c r="Z95" s="2" t="inlineStr">
        <is>
          <t>sí</t>
        </is>
      </c>
      <c r="AA95" s="2" t="n"/>
      <c r="AB95" s="2" t="n">
        <v>12</v>
      </c>
      <c r="AC95" s="2" t="n"/>
      <c r="AD95" s="2" t="n"/>
      <c r="AE95" s="2" t="n"/>
      <c r="AF95" s="2" t="n"/>
      <c r="AG95" s="2" t="n"/>
      <c r="AH95" s="2" t="n">
        <v>3500</v>
      </c>
      <c r="AI95" s="2" t="n"/>
      <c r="AJ95" s="2" t="n"/>
      <c r="AK95" s="2" t="n"/>
      <c r="AL95" s="2" t="n"/>
      <c r="AM95" s="2" t="n"/>
      <c r="AN95" s="2" t="n"/>
      <c r="AO95" s="2" t="inlineStr">
        <is>
          <t>2006</t>
        </is>
      </c>
      <c r="AP95" s="2" t="n">
        <v>2006</v>
      </c>
      <c r="AQ95" s="2" t="n"/>
      <c r="AR95" s="2" t="inlineStr">
        <is>
          <t>B</t>
        </is>
      </c>
      <c r="AS95" s="2" t="inlineStr">
        <is>
          <t>anuncio</t>
        </is>
      </c>
      <c r="AT95" s="2" t="n"/>
      <c r="AU95" s="2" t="inlineStr">
        <is>
          <t>no</t>
        </is>
      </c>
      <c r="AV95" s="2" t="inlineStr">
        <is>
          <t>no</t>
        </is>
      </c>
      <c r="AW95" s="2" t="inlineStr">
        <is>
          <t>no</t>
        </is>
      </c>
      <c r="AX95" s="2" t="n">
        <v>2500</v>
      </c>
      <c r="AY95" s="2" t="n">
        <v>11</v>
      </c>
      <c r="AZ95" s="2" t="inlineStr">
        <is>
          <t>modelo+año</t>
        </is>
      </c>
      <c r="BA95" s="2" t="n"/>
      <c r="BB95" s="2" t="inlineStr">
        <is>
          <t>vendedor profesional: sin ITP (operación con IVA/REBU, confirmar en factura); gastos de gestión del vendedor no indicados: se suma la tasa DGT; preguntar el precio final; diésel: motor sin fuente de fiabilidad (fiabilidad limitada a neutra); revisar: no menciona la ITV; distancia no verificable (el anuncio solo indica la provincia): confirmar que está a &lt;= 70 km; fiabilidad del modelo PENDIENTE de fuente (puntuación neutra)</t>
        </is>
      </c>
      <c r="BC95" s="2" t="inlineStr">
        <is>
          <t xml:space="preserve">Etiqueta medio ambiental B.
SMART FORFOUR  5 PUERTAS 68 CV .
Lleva motor mercedes con distribución por cadena.
Consumo muy bajo de un 4,2 litros a los 100 kilometros.
Como extras lleva:aire acondicionado, cierre centralizado, elevalunas,abs,esp, ordenador al bordo.....
Admitió prueba de taller.
Precio no negociable.
Cambio de nombre aparte 150 euros.
1 AÑO DE GARANTIA.
Anuncio  con titulo informativo y no contractual.
</t>
        </is>
      </c>
      <c r="BD95" s="2" t="inlineStr">
        <is>
          <t>https://www.coches.net/smart-forfour-15-cdi-68cv-pure-5p-diesel-2006-en-castellon-70558216-covo.aspx (window.__INITIAL_PROPS__.ad) /home/user/Alopecia/buscador-coches/raw/cochesnet/cf1538095842b0d8.json</t>
        </is>
      </c>
      <c r="BE95" s="3">
        <f>MAX(ANIO_ACTUAL-M95,0)</f>
        <v/>
      </c>
      <c r="BF95" s="4">
        <f>N95/MAX(BE95,0.5)</f>
        <v/>
      </c>
      <c r="BG95" s="4">
        <f>F95</f>
        <v/>
      </c>
      <c r="BH95" s="3">
        <f>BG95&amp;"|"&amp;INT(M95/SEG_ANIO)*SEG_ANIO</f>
        <v/>
      </c>
      <c r="BI95" s="3">
        <f>BH95&amp;"|"&amp;INT(N95/SEG_KM)*SEG_KM</f>
        <v/>
      </c>
      <c r="BJ95" s="4">
        <f>COUNTIF($BG$2:$BG$130,BG95)</f>
        <v/>
      </c>
      <c r="BK95" s="4">
        <f>COUNTIF($BH$2:$BH$130,BH95)</f>
        <v/>
      </c>
      <c r="BL95" s="4">
        <f>COUNTIF($BI$2:$BI$130,BI95)</f>
        <v/>
      </c>
      <c r="BM95" s="3">
        <f t="array" ref="BM95">IF(N(AY95)&gt;=MIN_N,AX95,IF(BL95&gt;=MIN_N,MEDIAN(IF($BI$2:$BI$130=BI95,$O$2:$O$130)),IF(BK95&gt;=MIN_N,MEDIAN(IF($BH$2:$BH$130=BH95,$O$2:$O$130)),MEDIAN(IF($BG$2:$BG$130=BG95,$O$2:$O$130)))))</f>
        <v/>
      </c>
      <c r="BN95" s="3">
        <f>IF(N(AY95)&gt;=MIN_N,"mercado "&amp;AZ95,IF(BL95&gt;=MIN_N,"modelo+año+km",IF(BK95&gt;=MIN_N,"modelo+año","modelo")))</f>
        <v/>
      </c>
      <c r="BO95" s="4">
        <f>(BM95-O95)/BM95</f>
        <v/>
      </c>
      <c r="BP95" s="3">
        <f>IF(COUNTIFS(FR_FUEL,K95,FR_YEAR,AP95)&gt;0,1,0)</f>
        <v/>
      </c>
      <c r="BQ95" s="3">
        <f>IF(COUNTIFS(FR_FUEL,K95,FR_YEAR,AP95-1)&gt;0,1,0)</f>
        <v/>
      </c>
      <c r="BR95" s="4">
        <f>IF(N(AQ95)&gt;0,AP95*100+AQ95,IF(AND(BP95=1,BQ95=1),(AP95-1)*100+1,AP95*100+1))</f>
        <v/>
      </c>
      <c r="BS95" s="3">
        <f>IF(OR(K95="hibrido",K95="glp",K95="gnc",K95="phev"),"ECO",IF(K95="electrico","CERO",IF(K95="gasolina",IF(BR95&gt;=GAS_C_YM,"C",IF(BR95&gt;=GAS_B_YM,"B","A")),IF(K95="diesel",IF(BR95&gt;=DIE_C_YM,"C",IF(BR95&gt;=DIE_B_YM,"B","A")),""))))</f>
        <v/>
      </c>
      <c r="BT95" s="2" t="inlineStr">
        <is>
          <t>B</t>
        </is>
      </c>
      <c r="BU95" s="4">
        <f>IF(AU95="sí","sí",IF(AS95="regla",IF(AND(N(AQ95)=0,BP95=1),"sí","no"),"no"))</f>
        <v/>
      </c>
      <c r="BV95" s="3">
        <f>IFERROR(VLOOKUP(F95,MOD_TBL,16,0),IFERROR(VLOOKUP(E95,OCU_TBL,2,0),NEUTRO))</f>
        <v/>
      </c>
      <c r="BW95" s="3">
        <f>SUMIFS(MOT_AJUSTE,MOT_MOTOR,G95,MOT_MARCA,E95,MOT_DESDE,"&lt;="&amp;M95,MOT_HASTA,"&gt;="&amp;M95)+SUMIFS(MOT_AJUSTE,MOT_MOTOR,G95,MOT_MARCA,"(todas)",MOT_DESDE,"&lt;="&amp;M95,MOT_HASTA,"&gt;="&amp;M95)+SUMIFS(MOT_AJUSTE,MOT_MOTOR,"(cualquiera)",MOT_MARCA,E95,MOT_DESDE,"&lt;="&amp;M95,MOT_HASTA,"&gt;="&amp;M95)</f>
        <v/>
      </c>
      <c r="BX95" s="3">
        <f>SUMIFS(COMB_AJUSTE,COMB_COMB,K95)</f>
        <v/>
      </c>
      <c r="BY95" s="3">
        <f>COUNTIFS(MOT_MOTOR,G95,MOT_MARCA,E95,MOT_DESDE,"&lt;="&amp;M95,MOT_HASTA,"&gt;="&amp;M95)+COUNTIFS(MOT_MOTOR,G95,MOT_MARCA,"(todas)",MOT_DESDE,"&lt;="&amp;M95,MOT_HASTA,"&gt;="&amp;M95)+COUNTIFS(MOT_MOTOR,"(cualquiera)",MOT_MARCA,E95,MOT_DESDE,"&lt;="&amp;M95,MOT_HASTA,"&gt;="&amp;M95)</f>
        <v/>
      </c>
      <c r="BZ95" s="3">
        <f>IF(AND(K95="diesel",BY95=0),MIN(BV95,NEUTRO),BV95)</f>
        <v/>
      </c>
      <c r="CA95" s="3">
        <f>MAX(0,MIN(100,BZ95+BW95+BX95-IF(AV95="sí",ROB_PEN,0)))</f>
        <v/>
      </c>
      <c r="CB95" s="3">
        <f>100-MAX(0,N95-KM_TOPE_DESDE)/1000*KM_TOPE_PTS</f>
        <v/>
      </c>
      <c r="CC95" s="3">
        <f>MAX(0,MIN(100,50+BO95*PRECIO_PEND,CB95))</f>
        <v/>
      </c>
      <c r="CD95" s="3">
        <f>MAX(0,100*(1-N95/KM_MAX))</f>
        <v/>
      </c>
      <c r="CE95" s="3">
        <f>IF(BF95&lt;KMA_SOSP,IF(AA95="sí",100,KMA_PEN),IF(BF95&lt;=KMA_IDEAL_MAX,100,MAX(0,100*(KMA_CERO-BF95)/(KMA_CERO-KMA_IDEAL_MAX))))</f>
        <v/>
      </c>
      <c r="CF95" s="3">
        <f>MAX(0,MIN(100,100*(M95-ANIO_MIN)/(ANIO_ACTUAL-ANIO_MIN)))</f>
        <v/>
      </c>
      <c r="CG95" s="3">
        <f>W_KMT*CD95+W_KMA*CE95+W_EDAD*CF95</f>
        <v/>
      </c>
      <c r="CH95" s="3">
        <f>P_ITV*(V95="sí")+P_LIBRO*(W95="sí")+P_CORREA*(X95="sí")+P_PROP*(Y95=1)+P_GAR*(Z95="sí")+P_FOTOS*MIN(1,N(U95)/FOTOS_OBJ)</f>
        <v/>
      </c>
      <c r="CI95" s="3">
        <f>MAX(0,MIN(100,IFERROR(VLOOKUP(BT95,ETQ_TBL,2,0),0)-IF(BU95="sí",ETQ_PEN_DUD,IF(AS95="regla",ETQ_PEN_REGLA,0))))</f>
        <v/>
      </c>
      <c r="CJ95" s="3">
        <f>IF(K95&lt;&gt;"gasolina","",IFERROR(VLOOKUP(F95,CONS_MOD_TBL,2,0),IFERROR(VLOOKUP(L95,CONS_SEG_TBL,2,0),"")))</f>
        <v/>
      </c>
      <c r="CK95" s="3">
        <f>IF(CJ95="",NEUTRO,MAX(0,MIN(100,100*(CONS_REF_MAX-CJ95)/(CONS_REF_MAX-CONS_REF_MIN))))</f>
        <v/>
      </c>
      <c r="CL95" s="3">
        <f>IFERROR(VLOOKUP(L95,SEGURO_TBL,3,0),"")</f>
        <v/>
      </c>
      <c r="CM95" s="3">
        <f>IF(CL95="",NEUTRO,MAX(0,MIN(100,100*(SEG_REF_MAX-CL95)/(SEG_REF_MAX-SEG_REF_MIN))))</f>
        <v/>
      </c>
      <c r="CN95" s="3">
        <f>W_CONS*CK95+W_SEG*CM95</f>
        <v/>
      </c>
      <c r="CO95" s="3">
        <f>IF(N(AB95)&gt;0,AB95,IF(AND(R95="profesional",SG_LEGAL_ON=1),GAR_LEGAL,0))</f>
        <v/>
      </c>
      <c r="CP95" s="3">
        <f>SG_GAR*MIN(1,CO95/SG_GAR_FULL)+SG_AMPL*(AC95="sí")+SG_KMC*(AF95="sí")+SG_REV*(N(AE95)&gt;0)+SG_DEV*MIN(1,N(AG95)/SG_DEV_FULL)+SG_HIST*(W95="sí")</f>
        <v/>
      </c>
      <c r="CQ95" s="3">
        <f>IF(AW95="sí",ESTILO_PRIO,IFERROR(VLOOKUP(L95,ESTILO_TBL,2,0),NEUTRO))</f>
        <v/>
      </c>
      <c r="CR95" s="3">
        <f>IFERROR(VLOOKUP(L95,CARR_PEN_TBL,2,0),0)</f>
        <v/>
      </c>
      <c r="CS95" s="3">
        <f>W_FIAB*CA95+W_PRECIO*CC95+W_KMEDAD*CG95+W_ANUNCIO*CH95+W_USO*CN95+W_SEGURIDAD*CP95+W_ETIQUETA*CI95+W_ESTILO*CQ95-CR95</f>
        <v/>
      </c>
      <c r="CT95" s="4">
        <f>IF(N(I95)&gt;0,I95,IFERROR(ROUND(_xlfn.NUMBERVALUE(LEFT(G95,FIND(" ",G95&amp;" ")-1),".")*1000,0),99999))</f>
        <v/>
      </c>
      <c r="CU95" s="3">
        <f>IF(R95="profesional",0,IF(O95&lt;CUOTA_VALOR_MAX,IF(BE95&gt;ITP_TRAMO_ALTO,SUMIFS(CF_CUOTA,CF_MAS,ITP_TRAMO_ALTO,CF_CCMIN,"&lt;="&amp;CT95,CF_CCMAX,"&gt;="&amp;CT95),IF(BE95&gt;ITP_TRAMO_BAJO,SUMIFS(CF_CUOTA,CF_MAS,ITP_TRAMO_BAJO,CF_CCMIN,"&lt;="&amp;CT95,CF_CCMAX,"&gt;="&amp;CT95),O95*ITP_TIPO)),O95*ITP_TIPO))</f>
        <v/>
      </c>
      <c r="CV95" s="4">
        <f>IF(R95="profesional",N(AK95),0)</f>
        <v/>
      </c>
      <c r="CW95" s="3">
        <f>IF(AND(R95="profesional",ISNUMBER(AK95),AL95="sí"),0,TASA_DGT)</f>
        <v/>
      </c>
      <c r="CX95" s="3">
        <f>INFORME_DGT</f>
        <v/>
      </c>
      <c r="CY95" s="4">
        <f>O95+CV95+CU95+CW95+CX95</f>
        <v/>
      </c>
      <c r="CZ95" s="4">
        <f>CY95+N(CL95)</f>
        <v/>
      </c>
      <c r="DA95" s="3">
        <f>IF(CY95&lt;=TOTAL_MAX,"sí",IF(CY95&lt;=TOTAL_MAX+MARGEN_NEG,"negociar","no"))</f>
        <v/>
      </c>
      <c r="DB95" s="4">
        <f>IF(DA95&lt;&gt;"no",COUNTIFS($DA$2:$DA$130,"&lt;&gt;no",$CS$2:$CS$130,"&gt;"&amp;CS95)+COUNTIFS($DA$2:DA95,"&lt;&gt;no",$CS$2:CS95,CS95),"")</f>
        <v/>
      </c>
    </row>
    <row r="96">
      <c r="A96" s="2" t="inlineStr">
        <is>
          <t>cochesnet:71789822</t>
        </is>
      </c>
      <c r="B96" s="2" t="inlineStr">
        <is>
          <t>cochesnet</t>
        </is>
      </c>
      <c r="C96" s="2" t="inlineStr">
        <is>
          <t>https://www.coches.net/chevrolet-aveo-12-16v-ls-5p-gasolina-2011-en-castellon-71789822-covo.aspx</t>
        </is>
      </c>
      <c r="D96" s="2" t="inlineStr">
        <is>
          <t>CHEVROLET Aveo 1.2 16v LS</t>
        </is>
      </c>
      <c r="E96" s="2" t="inlineStr">
        <is>
          <t>Chevrolet</t>
        </is>
      </c>
      <c r="F96" s="2" t="inlineStr">
        <is>
          <t>Chevrolet Aveo</t>
        </is>
      </c>
      <c r="G96" s="2" t="inlineStr">
        <is>
          <t>1.2</t>
        </is>
      </c>
      <c r="H96" s="2" t="inlineStr">
        <is>
          <t>1.2 16v LS</t>
        </is>
      </c>
      <c r="I96" s="2" t="n"/>
      <c r="J96" s="2" t="n"/>
      <c r="K96" s="2" t="inlineStr">
        <is>
          <t>gasolina</t>
        </is>
      </c>
      <c r="L96" s="2" t="inlineStr">
        <is>
          <t>utilitario</t>
        </is>
      </c>
      <c r="M96" s="2" t="n">
        <v>2011</v>
      </c>
      <c r="N96" s="2" t="n">
        <v>80000</v>
      </c>
      <c r="O96" s="2" t="n">
        <v>5100</v>
      </c>
      <c r="P96" s="2" t="inlineStr">
        <is>
          <t>manual</t>
        </is>
      </c>
      <c r="Q96" s="2" t="inlineStr">
        <is>
          <t>no</t>
        </is>
      </c>
      <c r="R96" s="2" t="inlineStr">
        <is>
          <t>profesional</t>
        </is>
      </c>
      <c r="S96" s="2" t="inlineStr">
        <is>
          <t>Zapra Motor Almazora / Almassora</t>
        </is>
      </c>
      <c r="T96" s="2" t="inlineStr">
        <is>
          <t>2026-10-20T12:46:17Z</t>
        </is>
      </c>
      <c r="U96" s="2" t="n">
        <v>17</v>
      </c>
      <c r="V96" s="2" t="n"/>
      <c r="W96" s="2" t="n"/>
      <c r="X96" s="2" t="n"/>
      <c r="Y96" s="2" t="n"/>
      <c r="Z96" s="2" t="inlineStr">
        <is>
          <t>sí</t>
        </is>
      </c>
      <c r="AA96" s="2" t="n"/>
      <c r="AB96" s="2" t="n">
        <v>12</v>
      </c>
      <c r="AC96" s="2" t="n"/>
      <c r="AD96" s="2" t="n"/>
      <c r="AE96" s="2" t="n"/>
      <c r="AF96" s="2" t="n"/>
      <c r="AG96" s="2" t="n"/>
      <c r="AH96" s="2" t="n">
        <v>5100</v>
      </c>
      <c r="AI96" s="2" t="n">
        <v>5100</v>
      </c>
      <c r="AJ96" s="2" t="n"/>
      <c r="AK96" s="2" t="n"/>
      <c r="AL96" s="2" t="n"/>
      <c r="AM96" s="2" t="n"/>
      <c r="AN96" s="2" t="n"/>
      <c r="AO96" s="2" t="inlineStr">
        <is>
          <t>2011</t>
        </is>
      </c>
      <c r="AP96" s="2" t="n">
        <v>2011</v>
      </c>
      <c r="AQ96" s="2" t="n"/>
      <c r="AR96" s="2" t="inlineStr">
        <is>
          <t>C</t>
        </is>
      </c>
      <c r="AS96" s="2" t="inlineStr">
        <is>
          <t>anuncio</t>
        </is>
      </c>
      <c r="AT96" s="2" t="n"/>
      <c r="AU96" s="2" t="inlineStr">
        <is>
          <t>no</t>
        </is>
      </c>
      <c r="AV96" s="2" t="inlineStr">
        <is>
          <t>no</t>
        </is>
      </c>
      <c r="AW96" s="2" t="inlineStr">
        <is>
          <t>no</t>
        </is>
      </c>
      <c r="AX96" s="2" t="n">
        <v>4990</v>
      </c>
      <c r="AY96" s="2" t="n">
        <v>5</v>
      </c>
      <c r="AZ96" s="2" t="inlineStr">
        <is>
          <t>modelo+año+km</t>
        </is>
      </c>
      <c r="BA96" s="2" t="n"/>
      <c r="BB96" s="2" t="inlineStr">
        <is>
          <t>por encima del presupuesto (5164 €), negociar; vendedor profesional: sin ITP (operación con IVA/REBU, confirmar en factura); gastos de gestión del vendedor no indicados: se suma la tasa DGT; preguntar el precio final; revisar: no menciona la ITV; distancia no verificable (el anuncio solo indica la provincia): confirmar que está a &lt;= 70 km; fiabilidad del modelo PENDIENTE de fuente (puntuación neutra)</t>
        </is>
      </c>
      <c r="BC96" s="2" t="inlineStr">
        <is>
          <t xml:space="preserve">CAMBIO DE NOMBRE 200€
CAMARA DE VISION TRASERA
AIRE ACONDICIONADO
DIRECCION ASISTIDA
CIERRE CENTRALIZADO
Este Chevrolet Aveo se presenta como un berlina compacta de cinco puertas con tracción delantera, equipado con un motor de 1.2 litros de gasolina que ofrece un comportamiento ágil en ciudad gracias a su tamaño contenido y su dirección asistida. Con 84 CV de potencia y cambio manual de cinco marchas, proporciona una conducción directa y controlable, especialmente apropiada para quienes valoran la simplicidad mecánica y el manejo intuitivo.
El espacio interior resulta funcional para el uso diario, con capacidad para cinco ocupantes y un maletero de 220 litros que se amplía a 980 litros con los asientos traseros plegados, permitiendo una versatilidad razonable en desplazamientos cotidianos y viajes ocasionales. Los asientos traseros disponen de respaldo abatible asimétrico, facilitando la combinación entre pasajeros y carga.
En materia de seguridad, este vehículo incorpora airbags frontales y laterales delanteros, cinturones de seguridad con pretensores en los asientos delanteros y preparación Isofix para sistemas de retención infantil. El sistema de frenado combina discos ventilados delanteros con ABS, proporcionando una buena capacidad de detención.
El equipamiento de confort incluye cierre centralizado con mando a distancia, elevalunas eléctricos delanteros, retrovisores exteriores eléctricos y desempañables, dirección asistida y volante regulable en altura. El sistema </t>
        </is>
      </c>
      <c r="BD96" s="2" t="inlineStr">
        <is>
          <t>https://www.coches.net/chevrolet-aveo-12-16v-ls-5p-gasolina-2011-en-castellon-71789822-covo.aspx (window.__INITIAL_PROPS__.ad) /home/user/Alopecia/buscador-coches/raw/cochesnet/2ae76fad9ca2d05b.json</t>
        </is>
      </c>
      <c r="BE96" s="3">
        <f>MAX(ANIO_ACTUAL-M96,0)</f>
        <v/>
      </c>
      <c r="BF96" s="4">
        <f>N96/MAX(BE96,0.5)</f>
        <v/>
      </c>
      <c r="BG96" s="4">
        <f>F96</f>
        <v/>
      </c>
      <c r="BH96" s="3">
        <f>BG96&amp;"|"&amp;INT(M96/SEG_ANIO)*SEG_ANIO</f>
        <v/>
      </c>
      <c r="BI96" s="3">
        <f>BH96&amp;"|"&amp;INT(N96/SEG_KM)*SEG_KM</f>
        <v/>
      </c>
      <c r="BJ96" s="4">
        <f>COUNTIF($BG$2:$BG$130,BG96)</f>
        <v/>
      </c>
      <c r="BK96" s="4">
        <f>COUNTIF($BH$2:$BH$130,BH96)</f>
        <v/>
      </c>
      <c r="BL96" s="4">
        <f>COUNTIF($BI$2:$BI$130,BI96)</f>
        <v/>
      </c>
      <c r="BM96" s="3">
        <f t="array" ref="BM96">IF(N(AY96)&gt;=MIN_N,AX96,IF(BL96&gt;=MIN_N,MEDIAN(IF($BI$2:$BI$130=BI96,$O$2:$O$130)),IF(BK96&gt;=MIN_N,MEDIAN(IF($BH$2:$BH$130=BH96,$O$2:$O$130)),MEDIAN(IF($BG$2:$BG$130=BG96,$O$2:$O$130)))))</f>
        <v/>
      </c>
      <c r="BN96" s="3">
        <f>IF(N(AY96)&gt;=MIN_N,"mercado "&amp;AZ96,IF(BL96&gt;=MIN_N,"modelo+año+km",IF(BK96&gt;=MIN_N,"modelo+año","modelo")))</f>
        <v/>
      </c>
      <c r="BO96" s="4">
        <f>(BM96-O96)/BM96</f>
        <v/>
      </c>
      <c r="BP96" s="3">
        <f>IF(COUNTIFS(FR_FUEL,K96,FR_YEAR,AP96)&gt;0,1,0)</f>
        <v/>
      </c>
      <c r="BQ96" s="3">
        <f>IF(COUNTIFS(FR_FUEL,K96,FR_YEAR,AP96-1)&gt;0,1,0)</f>
        <v/>
      </c>
      <c r="BR96" s="4">
        <f>IF(N(AQ96)&gt;0,AP96*100+AQ96,IF(AND(BP96=1,BQ96=1),(AP96-1)*100+1,AP96*100+1))</f>
        <v/>
      </c>
      <c r="BS96" s="3">
        <f>IF(OR(K96="hibrido",K96="glp",K96="gnc",K96="phev"),"ECO",IF(K96="electrico","CERO",IF(K96="gasolina",IF(BR96&gt;=GAS_C_YM,"C",IF(BR96&gt;=GAS_B_YM,"B","A")),IF(K96="diesel",IF(BR96&gt;=DIE_C_YM,"C",IF(BR96&gt;=DIE_B_YM,"B","A")),""))))</f>
        <v/>
      </c>
      <c r="BT96" s="2" t="inlineStr">
        <is>
          <t>C</t>
        </is>
      </c>
      <c r="BU96" s="4">
        <f>IF(AU96="sí","sí",IF(AS96="regla",IF(AND(N(AQ96)=0,BP96=1),"sí","no"),"no"))</f>
        <v/>
      </c>
      <c r="BV96" s="3">
        <f>IFERROR(VLOOKUP(F96,MOD_TBL,16,0),IFERROR(VLOOKUP(E96,OCU_TBL,2,0),NEUTRO))</f>
        <v/>
      </c>
      <c r="BW96" s="3">
        <f>SUMIFS(MOT_AJUSTE,MOT_MOTOR,G96,MOT_MARCA,E96,MOT_DESDE,"&lt;="&amp;M96,MOT_HASTA,"&gt;="&amp;M96)+SUMIFS(MOT_AJUSTE,MOT_MOTOR,G96,MOT_MARCA,"(todas)",MOT_DESDE,"&lt;="&amp;M96,MOT_HASTA,"&gt;="&amp;M96)+SUMIFS(MOT_AJUSTE,MOT_MOTOR,"(cualquiera)",MOT_MARCA,E96,MOT_DESDE,"&lt;="&amp;M96,MOT_HASTA,"&gt;="&amp;M96)</f>
        <v/>
      </c>
      <c r="BX96" s="3">
        <f>SUMIFS(COMB_AJUSTE,COMB_COMB,K96)</f>
        <v/>
      </c>
      <c r="BY96" s="3">
        <f>COUNTIFS(MOT_MOTOR,G96,MOT_MARCA,E96,MOT_DESDE,"&lt;="&amp;M96,MOT_HASTA,"&gt;="&amp;M96)+COUNTIFS(MOT_MOTOR,G96,MOT_MARCA,"(todas)",MOT_DESDE,"&lt;="&amp;M96,MOT_HASTA,"&gt;="&amp;M96)+COUNTIFS(MOT_MOTOR,"(cualquiera)",MOT_MARCA,E96,MOT_DESDE,"&lt;="&amp;M96,MOT_HASTA,"&gt;="&amp;M96)</f>
        <v/>
      </c>
      <c r="BZ96" s="3">
        <f>IF(AND(K96="diesel",BY96=0),MIN(BV96,NEUTRO),BV96)</f>
        <v/>
      </c>
      <c r="CA96" s="3">
        <f>MAX(0,MIN(100,BZ96+BW96+BX96-IF(AV96="sí",ROB_PEN,0)))</f>
        <v/>
      </c>
      <c r="CB96" s="3">
        <f>100-MAX(0,N96-KM_TOPE_DESDE)/1000*KM_TOPE_PTS</f>
        <v/>
      </c>
      <c r="CC96" s="3">
        <f>MAX(0,MIN(100,50+BO96*PRECIO_PEND,CB96))</f>
        <v/>
      </c>
      <c r="CD96" s="3">
        <f>MAX(0,100*(1-N96/KM_MAX))</f>
        <v/>
      </c>
      <c r="CE96" s="3">
        <f>IF(BF96&lt;KMA_SOSP,IF(AA96="sí",100,KMA_PEN),IF(BF96&lt;=KMA_IDEAL_MAX,100,MAX(0,100*(KMA_CERO-BF96)/(KMA_CERO-KMA_IDEAL_MAX))))</f>
        <v/>
      </c>
      <c r="CF96" s="3">
        <f>MAX(0,MIN(100,100*(M96-ANIO_MIN)/(ANIO_ACTUAL-ANIO_MIN)))</f>
        <v/>
      </c>
      <c r="CG96" s="3">
        <f>W_KMT*CD96+W_KMA*CE96+W_EDAD*CF96</f>
        <v/>
      </c>
      <c r="CH96" s="3">
        <f>P_ITV*(V96="sí")+P_LIBRO*(W96="sí")+P_CORREA*(X96="sí")+P_PROP*(Y96=1)+P_GAR*(Z96="sí")+P_FOTOS*MIN(1,N(U96)/FOTOS_OBJ)</f>
        <v/>
      </c>
      <c r="CI96" s="3">
        <f>MAX(0,MIN(100,IFERROR(VLOOKUP(BT96,ETQ_TBL,2,0),0)-IF(BU96="sí",ETQ_PEN_DUD,IF(AS96="regla",ETQ_PEN_REGLA,0))))</f>
        <v/>
      </c>
      <c r="CJ96" s="3">
        <f>IF(K96&lt;&gt;"gasolina","",IFERROR(VLOOKUP(F96,CONS_MOD_TBL,2,0),IFERROR(VLOOKUP(L96,CONS_SEG_TBL,2,0),"")))</f>
        <v/>
      </c>
      <c r="CK96" s="3">
        <f>IF(CJ96="",NEUTRO,MAX(0,MIN(100,100*(CONS_REF_MAX-CJ96)/(CONS_REF_MAX-CONS_REF_MIN))))</f>
        <v/>
      </c>
      <c r="CL96" s="3">
        <f>IFERROR(VLOOKUP(L96,SEGURO_TBL,3,0),"")</f>
        <v/>
      </c>
      <c r="CM96" s="3">
        <f>IF(CL96="",NEUTRO,MAX(0,MIN(100,100*(SEG_REF_MAX-CL96)/(SEG_REF_MAX-SEG_REF_MIN))))</f>
        <v/>
      </c>
      <c r="CN96" s="3">
        <f>W_CONS*CK96+W_SEG*CM96</f>
        <v/>
      </c>
      <c r="CO96" s="3">
        <f>IF(N(AB96)&gt;0,AB96,IF(AND(R96="profesional",SG_LEGAL_ON=1),GAR_LEGAL,0))</f>
        <v/>
      </c>
      <c r="CP96" s="3">
        <f>SG_GAR*MIN(1,CO96/SG_GAR_FULL)+SG_AMPL*(AC96="sí")+SG_KMC*(AF96="sí")+SG_REV*(N(AE96)&gt;0)+SG_DEV*MIN(1,N(AG96)/SG_DEV_FULL)+SG_HIST*(W96="sí")</f>
        <v/>
      </c>
      <c r="CQ96" s="3">
        <f>IF(AW96="sí",ESTILO_PRIO,IFERROR(VLOOKUP(L96,ESTILO_TBL,2,0),NEUTRO))</f>
        <v/>
      </c>
      <c r="CR96" s="3">
        <f>IFERROR(VLOOKUP(L96,CARR_PEN_TBL,2,0),0)</f>
        <v/>
      </c>
      <c r="CS96" s="3">
        <f>W_FIAB*CA96+W_PRECIO*CC96+W_KMEDAD*CG96+W_ANUNCIO*CH96+W_USO*CN96+W_SEGURIDAD*CP96+W_ETIQUETA*CI96+W_ESTILO*CQ96-CR96</f>
        <v/>
      </c>
      <c r="CT96" s="4">
        <f>IF(N(I96)&gt;0,I96,IFERROR(ROUND(_xlfn.NUMBERVALUE(LEFT(G96,FIND(" ",G96&amp;" ")-1),".")*1000,0),99999))</f>
        <v/>
      </c>
      <c r="CU96" s="3">
        <f>IF(R96="profesional",0,IF(O96&lt;CUOTA_VALOR_MAX,IF(BE96&gt;ITP_TRAMO_ALTO,SUMIFS(CF_CUOTA,CF_MAS,ITP_TRAMO_ALTO,CF_CCMIN,"&lt;="&amp;CT96,CF_CCMAX,"&gt;="&amp;CT96),IF(BE96&gt;ITP_TRAMO_BAJO,SUMIFS(CF_CUOTA,CF_MAS,ITP_TRAMO_BAJO,CF_CCMIN,"&lt;="&amp;CT96,CF_CCMAX,"&gt;="&amp;CT96),O96*ITP_TIPO)),O96*ITP_TIPO))</f>
        <v/>
      </c>
      <c r="CV96" s="4">
        <f>IF(R96="profesional",N(AK96),0)</f>
        <v/>
      </c>
      <c r="CW96" s="3">
        <f>IF(AND(R96="profesional",ISNUMBER(AK96),AL96="sí"),0,TASA_DGT)</f>
        <v/>
      </c>
      <c r="CX96" s="3">
        <f>INFORME_DGT</f>
        <v/>
      </c>
      <c r="CY96" s="4">
        <f>O96+CV96+CU96+CW96+CX96</f>
        <v/>
      </c>
      <c r="CZ96" s="4">
        <f>CY96+N(CL96)</f>
        <v/>
      </c>
      <c r="DA96" s="3">
        <f>IF(CY96&lt;=TOTAL_MAX,"sí",IF(CY96&lt;=TOTAL_MAX+MARGEN_NEG,"negociar","no"))</f>
        <v/>
      </c>
      <c r="DB96" s="4">
        <f>IF(DA96&lt;&gt;"no",COUNTIFS($DA$2:$DA$130,"&lt;&gt;no",$CS$2:$CS$130,"&gt;"&amp;CS96)+COUNTIFS($DA$2:DA96,"&lt;&gt;no",$CS$2:CS96,CS96),"")</f>
        <v/>
      </c>
    </row>
    <row r="97">
      <c r="A97" s="2" t="inlineStr">
        <is>
          <t>cochesnet:71686041</t>
        </is>
      </c>
      <c r="B97" s="2" t="inlineStr">
        <is>
          <t>cochesnet</t>
        </is>
      </c>
      <c r="C97" s="2" t="inlineStr">
        <is>
          <t>https://www.coches.net/chevrolet-matiz-10-s-5p-gasolina-2006-en-castellon-71686041-covo.aspx</t>
        </is>
      </c>
      <c r="D97" s="2" t="inlineStr">
        <is>
          <t>CHEVROLET Matiz 1.0 S</t>
        </is>
      </c>
      <c r="E97" s="2" t="inlineStr">
        <is>
          <t>Chevrolet</t>
        </is>
      </c>
      <c r="F97" s="2" t="inlineStr">
        <is>
          <t>Chevrolet Matiz</t>
        </is>
      </c>
      <c r="G97" s="2" t="inlineStr">
        <is>
          <t>1.0</t>
        </is>
      </c>
      <c r="H97" s="2" t="inlineStr">
        <is>
          <t>1.0 S</t>
        </is>
      </c>
      <c r="I97" s="2" t="n"/>
      <c r="J97" s="2" t="n"/>
      <c r="K97" s="2" t="inlineStr">
        <is>
          <t>gasolina</t>
        </is>
      </c>
      <c r="L97" s="2" t="inlineStr">
        <is>
          <t>utilitario</t>
        </is>
      </c>
      <c r="M97" s="2" t="n">
        <v>2006</v>
      </c>
      <c r="N97" s="2" t="n">
        <v>61400</v>
      </c>
      <c r="O97" s="2" t="n">
        <v>3750</v>
      </c>
      <c r="P97" s="2" t="inlineStr">
        <is>
          <t>manual</t>
        </is>
      </c>
      <c r="Q97" s="2" t="inlineStr">
        <is>
          <t>no</t>
        </is>
      </c>
      <c r="R97" s="2" t="inlineStr">
        <is>
          <t>profesional</t>
        </is>
      </c>
      <c r="S97" s="2" t="inlineStr">
        <is>
          <t>Andrés Cars Castellón de la Plana / Castelló de la Plana</t>
        </is>
      </c>
      <c r="T97" s="2" t="inlineStr">
        <is>
          <t>2026-10-06T14:49:48Z</t>
        </is>
      </c>
      <c r="U97" s="2" t="n">
        <v>44</v>
      </c>
      <c r="V97" s="2" t="n"/>
      <c r="W97" s="2" t="n"/>
      <c r="X97" s="2" t="n"/>
      <c r="Y97" s="2" t="n"/>
      <c r="Z97" s="2" t="inlineStr">
        <is>
          <t>sí</t>
        </is>
      </c>
      <c r="AA97" s="2" t="n"/>
      <c r="AB97" s="2" t="n">
        <v>12</v>
      </c>
      <c r="AC97" s="2" t="n"/>
      <c r="AD97" s="2" t="n"/>
      <c r="AE97" s="2" t="n"/>
      <c r="AF97" s="2" t="n"/>
      <c r="AG97" s="2" t="n"/>
      <c r="AH97" s="2" t="n">
        <v>3750</v>
      </c>
      <c r="AI97" s="2" t="n"/>
      <c r="AJ97" s="2" t="n"/>
      <c r="AK97" s="2" t="n"/>
      <c r="AL97" s="2" t="n"/>
      <c r="AM97" s="2" t="n"/>
      <c r="AN97" s="2" t="n"/>
      <c r="AO97" s="2" t="inlineStr">
        <is>
          <t>2006</t>
        </is>
      </c>
      <c r="AP97" s="2" t="n">
        <v>2006</v>
      </c>
      <c r="AQ97" s="2" t="n"/>
      <c r="AR97" s="2" t="inlineStr">
        <is>
          <t>B</t>
        </is>
      </c>
      <c r="AS97" s="2" t="inlineStr">
        <is>
          <t>anuncio</t>
        </is>
      </c>
      <c r="AT97" s="2" t="n"/>
      <c r="AU97" s="2" t="inlineStr">
        <is>
          <t>no</t>
        </is>
      </c>
      <c r="AV97" s="2" t="inlineStr">
        <is>
          <t>no</t>
        </is>
      </c>
      <c r="AW97" s="2" t="inlineStr">
        <is>
          <t>no</t>
        </is>
      </c>
      <c r="AX97" s="2" t="n"/>
      <c r="AY97" s="2" t="n"/>
      <c r="AZ97" s="2" t="n"/>
      <c r="BA97" s="2" t="n"/>
      <c r="BB97"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 mediana con solo 1 anuncio(s)</t>
        </is>
      </c>
      <c r="BC97" s="2" t="inlineStr">
        <is>
          <t xml:space="preserve">      ----- POCOS KILÓMETROS ----
      Etiqueta medio ambiental B.
   Vehículo nacional con muy pocos kilómetros , ideal para la ciudad  , de dia a dia por su tamaño pequeño y el consumo reducido 4,5 por % .
  Vehículo en perfecto estado , con las 4 ruedas al 90 % ,prácticamente un reestreno de vehículo.
Lleva motor 1,0 con 65 CV de potencia.
Itv y documentación al dia.
No hay que hacerle nada.
Admitió prueba de taller.
Precio NO negociable.
Cambio de nombre aparte 150 euros.
Puedo recibir vehículo como forma de pago .
</t>
        </is>
      </c>
      <c r="BD97" s="2" t="inlineStr">
        <is>
          <t>https://www.coches.net/chevrolet-matiz-10-s-5p-gasolina-2006-en-castellon-71686041-covo.aspx (window.__INITIAL_PROPS__.ad) /home/user/Alopecia/buscador-coches/raw/cochesnet/aa809b0e3f8323da.json</t>
        </is>
      </c>
      <c r="BE97" s="3">
        <f>MAX(ANIO_ACTUAL-M97,0)</f>
        <v/>
      </c>
      <c r="BF97" s="4">
        <f>N97/MAX(BE97,0.5)</f>
        <v/>
      </c>
      <c r="BG97" s="4">
        <f>F97</f>
        <v/>
      </c>
      <c r="BH97" s="3">
        <f>BG97&amp;"|"&amp;INT(M97/SEG_ANIO)*SEG_ANIO</f>
        <v/>
      </c>
      <c r="BI97" s="3">
        <f>BH97&amp;"|"&amp;INT(N97/SEG_KM)*SEG_KM</f>
        <v/>
      </c>
      <c r="BJ97" s="4">
        <f>COUNTIF($BG$2:$BG$130,BG97)</f>
        <v/>
      </c>
      <c r="BK97" s="4">
        <f>COUNTIF($BH$2:$BH$130,BH97)</f>
        <v/>
      </c>
      <c r="BL97" s="4">
        <f>COUNTIF($BI$2:$BI$130,BI97)</f>
        <v/>
      </c>
      <c r="BM97" s="3">
        <f t="array" ref="BM97">IF(N(AY97)&gt;=MIN_N,AX97,IF(BL97&gt;=MIN_N,MEDIAN(IF($BI$2:$BI$130=BI97,$O$2:$O$130)),IF(BK97&gt;=MIN_N,MEDIAN(IF($BH$2:$BH$130=BH97,$O$2:$O$130)),MEDIAN(IF($BG$2:$BG$130=BG97,$O$2:$O$130)))))</f>
        <v/>
      </c>
      <c r="BN97" s="3">
        <f>IF(N(AY97)&gt;=MIN_N,"mercado "&amp;AZ97,IF(BL97&gt;=MIN_N,"modelo+año+km",IF(BK97&gt;=MIN_N,"modelo+año","modelo")))</f>
        <v/>
      </c>
      <c r="BO97" s="4">
        <f>(BM97-O97)/BM97</f>
        <v/>
      </c>
      <c r="BP97" s="3">
        <f>IF(COUNTIFS(FR_FUEL,K97,FR_YEAR,AP97)&gt;0,1,0)</f>
        <v/>
      </c>
      <c r="BQ97" s="3">
        <f>IF(COUNTIFS(FR_FUEL,K97,FR_YEAR,AP97-1)&gt;0,1,0)</f>
        <v/>
      </c>
      <c r="BR97" s="4">
        <f>IF(N(AQ97)&gt;0,AP97*100+AQ97,IF(AND(BP97=1,BQ97=1),(AP97-1)*100+1,AP97*100+1))</f>
        <v/>
      </c>
      <c r="BS97" s="3">
        <f>IF(OR(K97="hibrido",K97="glp",K97="gnc",K97="phev"),"ECO",IF(K97="electrico","CERO",IF(K97="gasolina",IF(BR97&gt;=GAS_C_YM,"C",IF(BR97&gt;=GAS_B_YM,"B","A")),IF(K97="diesel",IF(BR97&gt;=DIE_C_YM,"C",IF(BR97&gt;=DIE_B_YM,"B","A")),""))))</f>
        <v/>
      </c>
      <c r="BT97" s="2" t="inlineStr">
        <is>
          <t>B</t>
        </is>
      </c>
      <c r="BU97" s="4">
        <f>IF(AU97="sí","sí",IF(AS97="regla",IF(AND(N(AQ97)=0,BP97=1),"sí","no"),"no"))</f>
        <v/>
      </c>
      <c r="BV97" s="3">
        <f>IFERROR(VLOOKUP(F97,MOD_TBL,16,0),IFERROR(VLOOKUP(E97,OCU_TBL,2,0),NEUTRO))</f>
        <v/>
      </c>
      <c r="BW97" s="3">
        <f>SUMIFS(MOT_AJUSTE,MOT_MOTOR,G97,MOT_MARCA,E97,MOT_DESDE,"&lt;="&amp;M97,MOT_HASTA,"&gt;="&amp;M97)+SUMIFS(MOT_AJUSTE,MOT_MOTOR,G97,MOT_MARCA,"(todas)",MOT_DESDE,"&lt;="&amp;M97,MOT_HASTA,"&gt;="&amp;M97)+SUMIFS(MOT_AJUSTE,MOT_MOTOR,"(cualquiera)",MOT_MARCA,E97,MOT_DESDE,"&lt;="&amp;M97,MOT_HASTA,"&gt;="&amp;M97)</f>
        <v/>
      </c>
      <c r="BX97" s="3">
        <f>SUMIFS(COMB_AJUSTE,COMB_COMB,K97)</f>
        <v/>
      </c>
      <c r="BY97" s="3">
        <f>COUNTIFS(MOT_MOTOR,G97,MOT_MARCA,E97,MOT_DESDE,"&lt;="&amp;M97,MOT_HASTA,"&gt;="&amp;M97)+COUNTIFS(MOT_MOTOR,G97,MOT_MARCA,"(todas)",MOT_DESDE,"&lt;="&amp;M97,MOT_HASTA,"&gt;="&amp;M97)+COUNTIFS(MOT_MOTOR,"(cualquiera)",MOT_MARCA,E97,MOT_DESDE,"&lt;="&amp;M97,MOT_HASTA,"&gt;="&amp;M97)</f>
        <v/>
      </c>
      <c r="BZ97" s="3">
        <f>IF(AND(K97="diesel",BY97=0),MIN(BV97,NEUTRO),BV97)</f>
        <v/>
      </c>
      <c r="CA97" s="3">
        <f>MAX(0,MIN(100,BZ97+BW97+BX97-IF(AV97="sí",ROB_PEN,0)))</f>
        <v/>
      </c>
      <c r="CB97" s="3">
        <f>100-MAX(0,N97-KM_TOPE_DESDE)/1000*KM_TOPE_PTS</f>
        <v/>
      </c>
      <c r="CC97" s="3">
        <f>MAX(0,MIN(100,50+BO97*PRECIO_PEND,CB97))</f>
        <v/>
      </c>
      <c r="CD97" s="3">
        <f>MAX(0,100*(1-N97/KM_MAX))</f>
        <v/>
      </c>
      <c r="CE97" s="3">
        <f>IF(BF97&lt;KMA_SOSP,IF(AA97="sí",100,KMA_PEN),IF(BF97&lt;=KMA_IDEAL_MAX,100,MAX(0,100*(KMA_CERO-BF97)/(KMA_CERO-KMA_IDEAL_MAX))))</f>
        <v/>
      </c>
      <c r="CF97" s="3">
        <f>MAX(0,MIN(100,100*(M97-ANIO_MIN)/(ANIO_ACTUAL-ANIO_MIN)))</f>
        <v/>
      </c>
      <c r="CG97" s="3">
        <f>W_KMT*CD97+W_KMA*CE97+W_EDAD*CF97</f>
        <v/>
      </c>
      <c r="CH97" s="3">
        <f>P_ITV*(V97="sí")+P_LIBRO*(W97="sí")+P_CORREA*(X97="sí")+P_PROP*(Y97=1)+P_GAR*(Z97="sí")+P_FOTOS*MIN(1,N(U97)/FOTOS_OBJ)</f>
        <v/>
      </c>
      <c r="CI97" s="3">
        <f>MAX(0,MIN(100,IFERROR(VLOOKUP(BT97,ETQ_TBL,2,0),0)-IF(BU97="sí",ETQ_PEN_DUD,IF(AS97="regla",ETQ_PEN_REGLA,0))))</f>
        <v/>
      </c>
      <c r="CJ97" s="3">
        <f>IF(K97&lt;&gt;"gasolina","",IFERROR(VLOOKUP(F97,CONS_MOD_TBL,2,0),IFERROR(VLOOKUP(L97,CONS_SEG_TBL,2,0),"")))</f>
        <v/>
      </c>
      <c r="CK97" s="3">
        <f>IF(CJ97="",NEUTRO,MAX(0,MIN(100,100*(CONS_REF_MAX-CJ97)/(CONS_REF_MAX-CONS_REF_MIN))))</f>
        <v/>
      </c>
      <c r="CL97" s="3">
        <f>IFERROR(VLOOKUP(L97,SEGURO_TBL,3,0),"")</f>
        <v/>
      </c>
      <c r="CM97" s="3">
        <f>IF(CL97="",NEUTRO,MAX(0,MIN(100,100*(SEG_REF_MAX-CL97)/(SEG_REF_MAX-SEG_REF_MIN))))</f>
        <v/>
      </c>
      <c r="CN97" s="3">
        <f>W_CONS*CK97+W_SEG*CM97</f>
        <v/>
      </c>
      <c r="CO97" s="3">
        <f>IF(N(AB97)&gt;0,AB97,IF(AND(R97="profesional",SG_LEGAL_ON=1),GAR_LEGAL,0))</f>
        <v/>
      </c>
      <c r="CP97" s="3">
        <f>SG_GAR*MIN(1,CO97/SG_GAR_FULL)+SG_AMPL*(AC97="sí")+SG_KMC*(AF97="sí")+SG_REV*(N(AE97)&gt;0)+SG_DEV*MIN(1,N(AG97)/SG_DEV_FULL)+SG_HIST*(W97="sí")</f>
        <v/>
      </c>
      <c r="CQ97" s="3">
        <f>IF(AW97="sí",ESTILO_PRIO,IFERROR(VLOOKUP(L97,ESTILO_TBL,2,0),NEUTRO))</f>
        <v/>
      </c>
      <c r="CR97" s="3">
        <f>IFERROR(VLOOKUP(L97,CARR_PEN_TBL,2,0),0)</f>
        <v/>
      </c>
      <c r="CS97" s="3">
        <f>W_FIAB*CA97+W_PRECIO*CC97+W_KMEDAD*CG97+W_ANUNCIO*CH97+W_USO*CN97+W_SEGURIDAD*CP97+W_ETIQUETA*CI97+W_ESTILO*CQ97-CR97</f>
        <v/>
      </c>
      <c r="CT97" s="4">
        <f>IF(N(I97)&gt;0,I97,IFERROR(ROUND(_xlfn.NUMBERVALUE(LEFT(G97,FIND(" ",G97&amp;" ")-1),".")*1000,0),99999))</f>
        <v/>
      </c>
      <c r="CU97" s="3">
        <f>IF(R97="profesional",0,IF(O97&lt;CUOTA_VALOR_MAX,IF(BE97&gt;ITP_TRAMO_ALTO,SUMIFS(CF_CUOTA,CF_MAS,ITP_TRAMO_ALTO,CF_CCMIN,"&lt;="&amp;CT97,CF_CCMAX,"&gt;="&amp;CT97),IF(BE97&gt;ITP_TRAMO_BAJO,SUMIFS(CF_CUOTA,CF_MAS,ITP_TRAMO_BAJO,CF_CCMIN,"&lt;="&amp;CT97,CF_CCMAX,"&gt;="&amp;CT97),O97*ITP_TIPO)),O97*ITP_TIPO))</f>
        <v/>
      </c>
      <c r="CV97" s="4">
        <f>IF(R97="profesional",N(AK97),0)</f>
        <v/>
      </c>
      <c r="CW97" s="3">
        <f>IF(AND(R97="profesional",ISNUMBER(AK97),AL97="sí"),0,TASA_DGT)</f>
        <v/>
      </c>
      <c r="CX97" s="3">
        <f>INFORME_DGT</f>
        <v/>
      </c>
      <c r="CY97" s="4">
        <f>O97+CV97+CU97+CW97+CX97</f>
        <v/>
      </c>
      <c r="CZ97" s="4">
        <f>CY97+N(CL97)</f>
        <v/>
      </c>
      <c r="DA97" s="3">
        <f>IF(CY97&lt;=TOTAL_MAX,"sí",IF(CY97&lt;=TOTAL_MAX+MARGEN_NEG,"negociar","no"))</f>
        <v/>
      </c>
      <c r="DB97" s="4">
        <f>IF(DA97&lt;&gt;"no",COUNTIFS($DA$2:$DA$130,"&lt;&gt;no",$CS$2:$CS$130,"&gt;"&amp;CS97)+COUNTIFS($DA$2:DA97,"&lt;&gt;no",$CS$2:CS97,CS97),"")</f>
        <v/>
      </c>
    </row>
    <row r="98">
      <c r="A98" s="2" t="inlineStr">
        <is>
          <t>cochesnet:71319739</t>
        </is>
      </c>
      <c r="B98" s="2" t="inlineStr">
        <is>
          <t>cochesnet</t>
        </is>
      </c>
      <c r="C98" s="2" t="inlineStr">
        <is>
          <t>https://www.coches.net/chevrolet-kalos-12-se-3p-gasolina-2006-en-castellon-71319739-covo.aspx</t>
        </is>
      </c>
      <c r="D98" s="2" t="inlineStr">
        <is>
          <t>CHEVROLET Kalos 1.2 SE</t>
        </is>
      </c>
      <c r="E98" s="2" t="inlineStr">
        <is>
          <t>Chevrolet</t>
        </is>
      </c>
      <c r="F98" s="2" t="inlineStr">
        <is>
          <t>Chevrolet Kalos</t>
        </is>
      </c>
      <c r="G98" s="2" t="inlineStr">
        <is>
          <t>1.2</t>
        </is>
      </c>
      <c r="H98" s="2" t="inlineStr">
        <is>
          <t>1.2 SE</t>
        </is>
      </c>
      <c r="I98" s="2" t="n"/>
      <c r="J98" s="2" t="n"/>
      <c r="K98" s="2" t="inlineStr">
        <is>
          <t>gasolina</t>
        </is>
      </c>
      <c r="L98" s="2" t="inlineStr">
        <is>
          <t>utilitario</t>
        </is>
      </c>
      <c r="M98" s="2" t="n">
        <v>2007</v>
      </c>
      <c r="N98" s="2" t="n">
        <v>99000</v>
      </c>
      <c r="O98" s="2" t="n">
        <v>3350</v>
      </c>
      <c r="P98" s="2" t="inlineStr">
        <is>
          <t>manual</t>
        </is>
      </c>
      <c r="Q98" s="2" t="inlineStr">
        <is>
          <t>no</t>
        </is>
      </c>
      <c r="R98" s="2" t="inlineStr">
        <is>
          <t>profesional</t>
        </is>
      </c>
      <c r="S98" s="2" t="inlineStr">
        <is>
          <t>Andrés Cars Castellón de la Plana / Castelló de la Plana</t>
        </is>
      </c>
      <c r="T98" s="2" t="inlineStr">
        <is>
          <t>2026-08-19T10:36:35Z</t>
        </is>
      </c>
      <c r="U98" s="2" t="n">
        <v>34</v>
      </c>
      <c r="V98" s="2" t="inlineStr">
        <is>
          <t>sí</t>
        </is>
      </c>
      <c r="W98" s="2" t="inlineStr">
        <is>
          <t>sí</t>
        </is>
      </c>
      <c r="X98" s="2" t="inlineStr">
        <is>
          <t>sí</t>
        </is>
      </c>
      <c r="Y98" s="2" t="n">
        <v>1</v>
      </c>
      <c r="Z98" s="2" t="inlineStr">
        <is>
          <t>sí</t>
        </is>
      </c>
      <c r="AA98" s="2" t="n"/>
      <c r="AB98" s="2" t="n">
        <v>12</v>
      </c>
      <c r="AC98" s="2" t="n"/>
      <c r="AD98" s="2" t="n"/>
      <c r="AE98" s="2" t="n"/>
      <c r="AF98" s="2" t="n"/>
      <c r="AG98" s="2" t="n"/>
      <c r="AH98" s="2" t="n">
        <v>3350</v>
      </c>
      <c r="AI98" s="2" t="n"/>
      <c r="AJ98" s="2" t="n"/>
      <c r="AK98" s="2" t="n"/>
      <c r="AL98" s="2" t="n"/>
      <c r="AM98" s="2" t="n"/>
      <c r="AN98" s="2" t="n"/>
      <c r="AO98" s="2" t="inlineStr">
        <is>
          <t>2007</t>
        </is>
      </c>
      <c r="AP98" s="2" t="n">
        <v>2007</v>
      </c>
      <c r="AQ98" s="2" t="n"/>
      <c r="AR98" s="2" t="inlineStr">
        <is>
          <t>C</t>
        </is>
      </c>
      <c r="AS98" s="2" t="inlineStr">
        <is>
          <t>anuncio</t>
        </is>
      </c>
      <c r="AT98" s="2" t="n">
        <v>2006</v>
      </c>
      <c r="AU98" s="2" t="inlineStr">
        <is>
          <t>no</t>
        </is>
      </c>
      <c r="AV98" s="2" t="inlineStr">
        <is>
          <t>no</t>
        </is>
      </c>
      <c r="AW98" s="2" t="inlineStr">
        <is>
          <t>no</t>
        </is>
      </c>
      <c r="AX98" s="2" t="n">
        <v>2999</v>
      </c>
      <c r="AY98" s="2" t="n">
        <v>6</v>
      </c>
      <c r="AZ98" s="2" t="inlineStr">
        <is>
          <t>modelo+año</t>
        </is>
      </c>
      <c r="BA98" s="2" t="n"/>
      <c r="BB98" s="2" t="inlineStr">
        <is>
          <t>año a confirmar: la URL/título dice 2006; 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BC98" s="2" t="inlineStr">
        <is>
          <t>Etiqueta medioambiental C.
 Puede entrar en las grandes ciudades. 
Vehículo procedente de primera mano, con tan solo 100 mil kilómetros y en perfecto estado tanto de chapa como de mecanica. 
Lleva motor 1,2 gasolina con 65 cv de potencia, consumo muy bajo. 
Mantenimiento al día, con el kit de distribución recién cambiado, todo con factura y garantía.
Se entrega con itv recien pasada .
Admito prueba de taller.
Cambio de nombre aparte 150 €. 
Precio no negociable.
Anuncio  con titulo informativo y no contractual.
GRACIAS.</t>
        </is>
      </c>
      <c r="BD98" s="2" t="inlineStr">
        <is>
          <t>https://www.coches.net/chevrolet-kalos-12-se-3p-gasolina-2006-en-castellon-71319739-covo.aspx (window.__INITIAL_PROPS__.ad) /home/user/Alopecia/buscador-coches/raw/cochesnet/77f0948f945de291.json</t>
        </is>
      </c>
      <c r="BE98" s="3">
        <f>MAX(ANIO_ACTUAL-M98,0)</f>
        <v/>
      </c>
      <c r="BF98" s="4">
        <f>N98/MAX(BE98,0.5)</f>
        <v/>
      </c>
      <c r="BG98" s="4">
        <f>F98</f>
        <v/>
      </c>
      <c r="BH98" s="3">
        <f>BG98&amp;"|"&amp;INT(M98/SEG_ANIO)*SEG_ANIO</f>
        <v/>
      </c>
      <c r="BI98" s="3">
        <f>BH98&amp;"|"&amp;INT(N98/SEG_KM)*SEG_KM</f>
        <v/>
      </c>
      <c r="BJ98" s="4">
        <f>COUNTIF($BG$2:$BG$130,BG98)</f>
        <v/>
      </c>
      <c r="BK98" s="4">
        <f>COUNTIF($BH$2:$BH$130,BH98)</f>
        <v/>
      </c>
      <c r="BL98" s="4">
        <f>COUNTIF($BI$2:$BI$130,BI98)</f>
        <v/>
      </c>
      <c r="BM98" s="3">
        <f t="array" ref="BM98">IF(N(AY98)&gt;=MIN_N,AX98,IF(BL98&gt;=MIN_N,MEDIAN(IF($BI$2:$BI$130=BI98,$O$2:$O$130)),IF(BK98&gt;=MIN_N,MEDIAN(IF($BH$2:$BH$130=BH98,$O$2:$O$130)),MEDIAN(IF($BG$2:$BG$130=BG98,$O$2:$O$130)))))</f>
        <v/>
      </c>
      <c r="BN98" s="3">
        <f>IF(N(AY98)&gt;=MIN_N,"mercado "&amp;AZ98,IF(BL98&gt;=MIN_N,"modelo+año+km",IF(BK98&gt;=MIN_N,"modelo+año","modelo")))</f>
        <v/>
      </c>
      <c r="BO98" s="4">
        <f>(BM98-O98)/BM98</f>
        <v/>
      </c>
      <c r="BP98" s="3">
        <f>IF(COUNTIFS(FR_FUEL,K98,FR_YEAR,AP98)&gt;0,1,0)</f>
        <v/>
      </c>
      <c r="BQ98" s="3">
        <f>IF(COUNTIFS(FR_FUEL,K98,FR_YEAR,AP98-1)&gt;0,1,0)</f>
        <v/>
      </c>
      <c r="BR98" s="4">
        <f>IF(N(AQ98)&gt;0,AP98*100+AQ98,IF(AND(BP98=1,BQ98=1),(AP98-1)*100+1,AP98*100+1))</f>
        <v/>
      </c>
      <c r="BS98" s="3">
        <f>IF(OR(K98="hibrido",K98="glp",K98="gnc",K98="phev"),"ECO",IF(K98="electrico","CERO",IF(K98="gasolina",IF(BR98&gt;=GAS_C_YM,"C",IF(BR98&gt;=GAS_B_YM,"B","A")),IF(K98="diesel",IF(BR98&gt;=DIE_C_YM,"C",IF(BR98&gt;=DIE_B_YM,"B","A")),""))))</f>
        <v/>
      </c>
      <c r="BT98" s="2" t="inlineStr">
        <is>
          <t>C</t>
        </is>
      </c>
      <c r="BU98" s="4">
        <f>IF(AU98="sí","sí",IF(AS98="regla",IF(AND(N(AQ98)=0,BP98=1),"sí","no"),"no"))</f>
        <v/>
      </c>
      <c r="BV98" s="3">
        <f>IFERROR(VLOOKUP(F98,MOD_TBL,16,0),IFERROR(VLOOKUP(E98,OCU_TBL,2,0),NEUTRO))</f>
        <v/>
      </c>
      <c r="BW98" s="3">
        <f>SUMIFS(MOT_AJUSTE,MOT_MOTOR,G98,MOT_MARCA,E98,MOT_DESDE,"&lt;="&amp;M98,MOT_HASTA,"&gt;="&amp;M98)+SUMIFS(MOT_AJUSTE,MOT_MOTOR,G98,MOT_MARCA,"(todas)",MOT_DESDE,"&lt;="&amp;M98,MOT_HASTA,"&gt;="&amp;M98)+SUMIFS(MOT_AJUSTE,MOT_MOTOR,"(cualquiera)",MOT_MARCA,E98,MOT_DESDE,"&lt;="&amp;M98,MOT_HASTA,"&gt;="&amp;M98)</f>
        <v/>
      </c>
      <c r="BX98" s="3">
        <f>SUMIFS(COMB_AJUSTE,COMB_COMB,K98)</f>
        <v/>
      </c>
      <c r="BY98" s="3">
        <f>COUNTIFS(MOT_MOTOR,G98,MOT_MARCA,E98,MOT_DESDE,"&lt;="&amp;M98,MOT_HASTA,"&gt;="&amp;M98)+COUNTIFS(MOT_MOTOR,G98,MOT_MARCA,"(todas)",MOT_DESDE,"&lt;="&amp;M98,MOT_HASTA,"&gt;="&amp;M98)+COUNTIFS(MOT_MOTOR,"(cualquiera)",MOT_MARCA,E98,MOT_DESDE,"&lt;="&amp;M98,MOT_HASTA,"&gt;="&amp;M98)</f>
        <v/>
      </c>
      <c r="BZ98" s="3">
        <f>IF(AND(K98="diesel",BY98=0),MIN(BV98,NEUTRO),BV98)</f>
        <v/>
      </c>
      <c r="CA98" s="3">
        <f>MAX(0,MIN(100,BZ98+BW98+BX98-IF(AV98="sí",ROB_PEN,0)))</f>
        <v/>
      </c>
      <c r="CB98" s="3">
        <f>100-MAX(0,N98-KM_TOPE_DESDE)/1000*KM_TOPE_PTS</f>
        <v/>
      </c>
      <c r="CC98" s="3">
        <f>MAX(0,MIN(100,50+BO98*PRECIO_PEND,CB98))</f>
        <v/>
      </c>
      <c r="CD98" s="3">
        <f>MAX(0,100*(1-N98/KM_MAX))</f>
        <v/>
      </c>
      <c r="CE98" s="3">
        <f>IF(BF98&lt;KMA_SOSP,IF(AA98="sí",100,KMA_PEN),IF(BF98&lt;=KMA_IDEAL_MAX,100,MAX(0,100*(KMA_CERO-BF98)/(KMA_CERO-KMA_IDEAL_MAX))))</f>
        <v/>
      </c>
      <c r="CF98" s="3">
        <f>MAX(0,MIN(100,100*(M98-ANIO_MIN)/(ANIO_ACTUAL-ANIO_MIN)))</f>
        <v/>
      </c>
      <c r="CG98" s="3">
        <f>W_KMT*CD98+W_KMA*CE98+W_EDAD*CF98</f>
        <v/>
      </c>
      <c r="CH98" s="3">
        <f>P_ITV*(V98="sí")+P_LIBRO*(W98="sí")+P_CORREA*(X98="sí")+P_PROP*(Y98=1)+P_GAR*(Z98="sí")+P_FOTOS*MIN(1,N(U98)/FOTOS_OBJ)</f>
        <v/>
      </c>
      <c r="CI98" s="3">
        <f>MAX(0,MIN(100,IFERROR(VLOOKUP(BT98,ETQ_TBL,2,0),0)-IF(BU98="sí",ETQ_PEN_DUD,IF(AS98="regla",ETQ_PEN_REGLA,0))))</f>
        <v/>
      </c>
      <c r="CJ98" s="3">
        <f>IF(K98&lt;&gt;"gasolina","",IFERROR(VLOOKUP(F98,CONS_MOD_TBL,2,0),IFERROR(VLOOKUP(L98,CONS_SEG_TBL,2,0),"")))</f>
        <v/>
      </c>
      <c r="CK98" s="3">
        <f>IF(CJ98="",NEUTRO,MAX(0,MIN(100,100*(CONS_REF_MAX-CJ98)/(CONS_REF_MAX-CONS_REF_MIN))))</f>
        <v/>
      </c>
      <c r="CL98" s="3">
        <f>IFERROR(VLOOKUP(L98,SEGURO_TBL,3,0),"")</f>
        <v/>
      </c>
      <c r="CM98" s="3">
        <f>IF(CL98="",NEUTRO,MAX(0,MIN(100,100*(SEG_REF_MAX-CL98)/(SEG_REF_MAX-SEG_REF_MIN))))</f>
        <v/>
      </c>
      <c r="CN98" s="3">
        <f>W_CONS*CK98+W_SEG*CM98</f>
        <v/>
      </c>
      <c r="CO98" s="3">
        <f>IF(N(AB98)&gt;0,AB98,IF(AND(R98="profesional",SG_LEGAL_ON=1),GAR_LEGAL,0))</f>
        <v/>
      </c>
      <c r="CP98" s="3">
        <f>SG_GAR*MIN(1,CO98/SG_GAR_FULL)+SG_AMPL*(AC98="sí")+SG_KMC*(AF98="sí")+SG_REV*(N(AE98)&gt;0)+SG_DEV*MIN(1,N(AG98)/SG_DEV_FULL)+SG_HIST*(W98="sí")</f>
        <v/>
      </c>
      <c r="CQ98" s="3">
        <f>IF(AW98="sí",ESTILO_PRIO,IFERROR(VLOOKUP(L98,ESTILO_TBL,2,0),NEUTRO))</f>
        <v/>
      </c>
      <c r="CR98" s="3">
        <f>IFERROR(VLOOKUP(L98,CARR_PEN_TBL,2,0),0)</f>
        <v/>
      </c>
      <c r="CS98" s="3">
        <f>W_FIAB*CA98+W_PRECIO*CC98+W_KMEDAD*CG98+W_ANUNCIO*CH98+W_USO*CN98+W_SEGURIDAD*CP98+W_ETIQUETA*CI98+W_ESTILO*CQ98-CR98</f>
        <v/>
      </c>
      <c r="CT98" s="4">
        <f>IF(N(I98)&gt;0,I98,IFERROR(ROUND(_xlfn.NUMBERVALUE(LEFT(G98,FIND(" ",G98&amp;" ")-1),".")*1000,0),99999))</f>
        <v/>
      </c>
      <c r="CU98" s="3">
        <f>IF(R98="profesional",0,IF(O98&lt;CUOTA_VALOR_MAX,IF(BE98&gt;ITP_TRAMO_ALTO,SUMIFS(CF_CUOTA,CF_MAS,ITP_TRAMO_ALTO,CF_CCMIN,"&lt;="&amp;CT98,CF_CCMAX,"&gt;="&amp;CT98),IF(BE98&gt;ITP_TRAMO_BAJO,SUMIFS(CF_CUOTA,CF_MAS,ITP_TRAMO_BAJO,CF_CCMIN,"&lt;="&amp;CT98,CF_CCMAX,"&gt;="&amp;CT98),O98*ITP_TIPO)),O98*ITP_TIPO))</f>
        <v/>
      </c>
      <c r="CV98" s="4">
        <f>IF(R98="profesional",N(AK98),0)</f>
        <v/>
      </c>
      <c r="CW98" s="3">
        <f>IF(AND(R98="profesional",ISNUMBER(AK98),AL98="sí"),0,TASA_DGT)</f>
        <v/>
      </c>
      <c r="CX98" s="3">
        <f>INFORME_DGT</f>
        <v/>
      </c>
      <c r="CY98" s="4">
        <f>O98+CV98+CU98+CW98+CX98</f>
        <v/>
      </c>
      <c r="CZ98" s="4">
        <f>CY98+N(CL98)</f>
        <v/>
      </c>
      <c r="DA98" s="3">
        <f>IF(CY98&lt;=TOTAL_MAX,"sí",IF(CY98&lt;=TOTAL_MAX+MARGEN_NEG,"negociar","no"))</f>
        <v/>
      </c>
      <c r="DB98" s="4">
        <f>IF(DA98&lt;&gt;"no",COUNTIFS($DA$2:$DA$130,"&lt;&gt;no",$CS$2:$CS$130,"&gt;"&amp;CS98)+COUNTIFS($DA$2:DA98,"&lt;&gt;no",$CS$2:CS98,CS98),"")</f>
        <v/>
      </c>
    </row>
    <row r="99">
      <c r="A99" s="2" t="inlineStr">
        <is>
          <t>ocasionplus:yk3xrqat</t>
        </is>
      </c>
      <c r="B99" s="2" t="inlineStr">
        <is>
          <t>ocasionplus</t>
        </is>
      </c>
      <c r="C99" s="2" t="inlineStr">
        <is>
          <t>https://www.ocasionplus.com/coches-segunda-mano/opel-corsa-12-blue-line-con-35977km-2004-yk3xrqat</t>
        </is>
      </c>
      <c r="D99" s="2" t="inlineStr">
        <is>
          <t>Opel Corsa 1.2 Blue Line (75 CV)</t>
        </is>
      </c>
      <c r="E99" s="2" t="inlineStr">
        <is>
          <t>Opel</t>
        </is>
      </c>
      <c r="F99" s="2" t="inlineStr">
        <is>
          <t>Opel Corsa</t>
        </is>
      </c>
      <c r="G99" s="2" t="inlineStr">
        <is>
          <t>1.2</t>
        </is>
      </c>
      <c r="H99" s="2" t="inlineStr">
        <is>
          <t>Opel Corsa 1.2 Blue Line (75 CV)</t>
        </is>
      </c>
      <c r="I99" s="2" t="n">
        <v>1199</v>
      </c>
      <c r="J99" s="2" t="n">
        <v>75</v>
      </c>
      <c r="K99" s="2" t="inlineStr">
        <is>
          <t>gasolina</t>
        </is>
      </c>
      <c r="L99" s="2" t="inlineStr">
        <is>
          <t>utilitario</t>
        </is>
      </c>
      <c r="M99" s="2" t="n">
        <v>2004</v>
      </c>
      <c r="N99" s="2" t="n">
        <v>35977</v>
      </c>
      <c r="O99" s="2" t="n">
        <v>3999</v>
      </c>
      <c r="P99" s="2" t="inlineStr">
        <is>
          <t>manual</t>
        </is>
      </c>
      <c r="Q99" s="2" t="inlineStr">
        <is>
          <t>no</t>
        </is>
      </c>
      <c r="R99" s="2" t="inlineStr">
        <is>
          <t>profesional</t>
        </is>
      </c>
      <c r="S99" s="2" t="inlineStr">
        <is>
          <t>Valencia - Paterna (Paterna, 46980)</t>
        </is>
      </c>
      <c r="T99" s="2" t="inlineStr">
        <is>
          <t>2026-09-15T00:00:00.000Z</t>
        </is>
      </c>
      <c r="U99" s="2" t="n">
        <v>23</v>
      </c>
      <c r="V99" s="2" t="inlineStr">
        <is>
          <t>sí</t>
        </is>
      </c>
      <c r="W99" s="2" t="inlineStr">
        <is>
          <t>sí</t>
        </is>
      </c>
      <c r="X99" s="2" t="n"/>
      <c r="Y99" s="2" t="n">
        <v>0</v>
      </c>
      <c r="Z99" s="2" t="n"/>
      <c r="AA99" s="2" t="n"/>
      <c r="AB99" s="2" t="n"/>
      <c r="AC99" s="2" t="inlineStr">
        <is>
          <t>sí</t>
        </is>
      </c>
      <c r="AD99" s="2" t="n">
        <v>500</v>
      </c>
      <c r="AE99" s="2" t="n"/>
      <c r="AF99" s="2" t="inlineStr">
        <is>
          <t>sí</t>
        </is>
      </c>
      <c r="AG99" s="2" t="n"/>
      <c r="AH99" s="2" t="n">
        <v>3999</v>
      </c>
      <c r="AI99" s="2" t="n">
        <v>3990</v>
      </c>
      <c r="AJ99" s="2" t="inlineStr">
        <is>
          <t>sí</t>
        </is>
      </c>
      <c r="AK99" s="2" t="n">
        <v>350</v>
      </c>
      <c r="AL99" s="2" t="inlineStr">
        <is>
          <t>sí</t>
        </is>
      </c>
      <c r="AM99" s="2" t="n">
        <v>5.9</v>
      </c>
      <c r="AN99" s="2" t="inlineStr">
        <is>
          <t>6845CZN</t>
        </is>
      </c>
      <c r="AO99" s="2" t="inlineStr">
        <is>
          <t>2004-08-31</t>
        </is>
      </c>
      <c r="AP99" s="2" t="n">
        <v>2004</v>
      </c>
      <c r="AQ99" s="2" t="n">
        <v>8</v>
      </c>
      <c r="AR99" s="2" t="inlineStr">
        <is>
          <t>B</t>
        </is>
      </c>
      <c r="AS99" s="2" t="inlineStr">
        <is>
          <t>DGT</t>
        </is>
      </c>
      <c r="AT99" s="2" t="n"/>
      <c r="AU99" s="2" t="inlineStr">
        <is>
          <t>no</t>
        </is>
      </c>
      <c r="AV99" s="2" t="inlineStr">
        <is>
          <t>no</t>
        </is>
      </c>
      <c r="AW99" s="2" t="inlineStr">
        <is>
          <t>no</t>
        </is>
      </c>
      <c r="AX99" s="2" t="n">
        <v>2000</v>
      </c>
      <c r="AY99" s="2" t="n">
        <v>19</v>
      </c>
      <c r="AZ99" s="2" t="inlineStr">
        <is>
          <t>modelo+año</t>
        </is>
      </c>
      <c r="BA99" s="2" t="n"/>
      <c r="BB99" s="2" t="inlineStr">
        <is>
          <t>vendedor profesional: sin ITP (operación con IVA/REBU, confirmar en factura); el precio anunciado (3.990 €) solo vale financiando; se usa el precio al contado; revisar: no menciona la ITV</t>
        </is>
      </c>
      <c r="BC99" s="2" t="inlineStr">
        <is>
          <t>Opel Corsa 1.2 Blue Line (75 CV)</t>
        </is>
      </c>
      <c r="BD99" s="2" t="inlineStr">
        <is>
          <t>https://www.ocasionplus.com/coches-segunda-mano/opel-corsa-12-blue-line-con-35977km-2004-yk3xrqat (payload RSC 'vehicle') /home/user/Alopecia/buscador-coches/raw/ocasionplus/8cab64ac774c00a3.json</t>
        </is>
      </c>
      <c r="BE99" s="3">
        <f>MAX(ANIO_ACTUAL-M99,0)</f>
        <v/>
      </c>
      <c r="BF99" s="4">
        <f>N99/MAX(BE99,0.5)</f>
        <v/>
      </c>
      <c r="BG99" s="4">
        <f>F99</f>
        <v/>
      </c>
      <c r="BH99" s="3">
        <f>BG99&amp;"|"&amp;INT(M99/SEG_ANIO)*SEG_ANIO</f>
        <v/>
      </c>
      <c r="BI99" s="3">
        <f>BH99&amp;"|"&amp;INT(N99/SEG_KM)*SEG_KM</f>
        <v/>
      </c>
      <c r="BJ99" s="4">
        <f>COUNTIF($BG$2:$BG$130,BG99)</f>
        <v/>
      </c>
      <c r="BK99" s="4">
        <f>COUNTIF($BH$2:$BH$130,BH99)</f>
        <v/>
      </c>
      <c r="BL99" s="4">
        <f>COUNTIF($BI$2:$BI$130,BI99)</f>
        <v/>
      </c>
      <c r="BM99" s="3">
        <f t="array" ref="BM99">IF(N(AY99)&gt;=MIN_N,AX99,IF(BL99&gt;=MIN_N,MEDIAN(IF($BI$2:$BI$130=BI99,$O$2:$O$130)),IF(BK99&gt;=MIN_N,MEDIAN(IF($BH$2:$BH$130=BH99,$O$2:$O$130)),MEDIAN(IF($BG$2:$BG$130=BG99,$O$2:$O$130)))))</f>
        <v/>
      </c>
      <c r="BN99" s="3">
        <f>IF(N(AY99)&gt;=MIN_N,"mercado "&amp;AZ99,IF(BL99&gt;=MIN_N,"modelo+año+km",IF(BK99&gt;=MIN_N,"modelo+año","modelo")))</f>
        <v/>
      </c>
      <c r="BO99" s="4">
        <f>(BM99-O99)/BM99</f>
        <v/>
      </c>
      <c r="BP99" s="3">
        <f>IF(COUNTIFS(FR_FUEL,K99,FR_YEAR,AP99)&gt;0,1,0)</f>
        <v/>
      </c>
      <c r="BQ99" s="3">
        <f>IF(COUNTIFS(FR_FUEL,K99,FR_YEAR,AP99-1)&gt;0,1,0)</f>
        <v/>
      </c>
      <c r="BR99" s="4">
        <f>IF(N(AQ99)&gt;0,AP99*100+AQ99,IF(AND(BP99=1,BQ99=1),(AP99-1)*100+1,AP99*100+1))</f>
        <v/>
      </c>
      <c r="BS99" s="3">
        <f>IF(OR(K99="hibrido",K99="glp",K99="gnc",K99="phev"),"ECO",IF(K99="electrico","CERO",IF(K99="gasolina",IF(BR99&gt;=GAS_C_YM,"C",IF(BR99&gt;=GAS_B_YM,"B","A")),IF(K99="diesel",IF(BR99&gt;=DIE_C_YM,"C",IF(BR99&gt;=DIE_B_YM,"B","A")),""))))</f>
        <v/>
      </c>
      <c r="BT99" s="2" t="inlineStr">
        <is>
          <t>B</t>
        </is>
      </c>
      <c r="BU99" s="4">
        <f>IF(AU99="sí","sí",IF(AS99="regla",IF(AND(N(AQ99)=0,BP99=1),"sí","no"),"no"))</f>
        <v/>
      </c>
      <c r="BV99" s="3">
        <f>IFERROR(VLOOKUP(F99,MOD_TBL,16,0),IFERROR(VLOOKUP(E99,OCU_TBL,2,0),NEUTRO))</f>
        <v/>
      </c>
      <c r="BW99" s="3">
        <f>SUMIFS(MOT_AJUSTE,MOT_MOTOR,G99,MOT_MARCA,E99,MOT_DESDE,"&lt;="&amp;M99,MOT_HASTA,"&gt;="&amp;M99)+SUMIFS(MOT_AJUSTE,MOT_MOTOR,G99,MOT_MARCA,"(todas)",MOT_DESDE,"&lt;="&amp;M99,MOT_HASTA,"&gt;="&amp;M99)+SUMIFS(MOT_AJUSTE,MOT_MOTOR,"(cualquiera)",MOT_MARCA,E99,MOT_DESDE,"&lt;="&amp;M99,MOT_HASTA,"&gt;="&amp;M99)</f>
        <v/>
      </c>
      <c r="BX99" s="3">
        <f>SUMIFS(COMB_AJUSTE,COMB_COMB,K99)</f>
        <v/>
      </c>
      <c r="BY99" s="3">
        <f>COUNTIFS(MOT_MOTOR,G99,MOT_MARCA,E99,MOT_DESDE,"&lt;="&amp;M99,MOT_HASTA,"&gt;="&amp;M99)+COUNTIFS(MOT_MOTOR,G99,MOT_MARCA,"(todas)",MOT_DESDE,"&lt;="&amp;M99,MOT_HASTA,"&gt;="&amp;M99)+COUNTIFS(MOT_MOTOR,"(cualquiera)",MOT_MARCA,E99,MOT_DESDE,"&lt;="&amp;M99,MOT_HASTA,"&gt;="&amp;M99)</f>
        <v/>
      </c>
      <c r="BZ99" s="3">
        <f>IF(AND(K99="diesel",BY99=0),MIN(BV99,NEUTRO),BV99)</f>
        <v/>
      </c>
      <c r="CA99" s="3">
        <f>MAX(0,MIN(100,BZ99+BW99+BX99-IF(AV99="sí",ROB_PEN,0)))</f>
        <v/>
      </c>
      <c r="CB99" s="3">
        <f>100-MAX(0,N99-KM_TOPE_DESDE)/1000*KM_TOPE_PTS</f>
        <v/>
      </c>
      <c r="CC99" s="3">
        <f>MAX(0,MIN(100,50+BO99*PRECIO_PEND,CB99))</f>
        <v/>
      </c>
      <c r="CD99" s="3">
        <f>MAX(0,100*(1-N99/KM_MAX))</f>
        <v/>
      </c>
      <c r="CE99" s="3">
        <f>IF(BF99&lt;KMA_SOSP,IF(AA99="sí",100,KMA_PEN),IF(BF99&lt;=KMA_IDEAL_MAX,100,MAX(0,100*(KMA_CERO-BF99)/(KMA_CERO-KMA_IDEAL_MAX))))</f>
        <v/>
      </c>
      <c r="CF99" s="3">
        <f>MAX(0,MIN(100,100*(M99-ANIO_MIN)/(ANIO_ACTUAL-ANIO_MIN)))</f>
        <v/>
      </c>
      <c r="CG99" s="3">
        <f>W_KMT*CD99+W_KMA*CE99+W_EDAD*CF99</f>
        <v/>
      </c>
      <c r="CH99" s="3">
        <f>P_ITV*(V99="sí")+P_LIBRO*(W99="sí")+P_CORREA*(X99="sí")+P_PROP*(Y99=1)+P_GAR*(Z99="sí")+P_FOTOS*MIN(1,N(U99)/FOTOS_OBJ)</f>
        <v/>
      </c>
      <c r="CI99" s="3">
        <f>MAX(0,MIN(100,IFERROR(VLOOKUP(BT99,ETQ_TBL,2,0),0)-IF(BU99="sí",ETQ_PEN_DUD,IF(AS99="regla",ETQ_PEN_REGLA,0))))</f>
        <v/>
      </c>
      <c r="CJ99" s="3">
        <f>IF(K99&lt;&gt;"gasolina","",IFERROR(VLOOKUP(F99,CONS_MOD_TBL,2,0),IFERROR(VLOOKUP(L99,CONS_SEG_TBL,2,0),"")))</f>
        <v/>
      </c>
      <c r="CK99" s="3">
        <f>IF(CJ99="",NEUTRO,MAX(0,MIN(100,100*(CONS_REF_MAX-CJ99)/(CONS_REF_MAX-CONS_REF_MIN))))</f>
        <v/>
      </c>
      <c r="CL99" s="3">
        <f>IFERROR(VLOOKUP(L99,SEGURO_TBL,3,0),"")</f>
        <v/>
      </c>
      <c r="CM99" s="3">
        <f>IF(CL99="",NEUTRO,MAX(0,MIN(100,100*(SEG_REF_MAX-CL99)/(SEG_REF_MAX-SEG_REF_MIN))))</f>
        <v/>
      </c>
      <c r="CN99" s="3">
        <f>W_CONS*CK99+W_SEG*CM99</f>
        <v/>
      </c>
      <c r="CO99" s="3">
        <f>IF(N(AB99)&gt;0,AB99,IF(AND(R99="profesional",SG_LEGAL_ON=1),GAR_LEGAL,0))</f>
        <v/>
      </c>
      <c r="CP99" s="3">
        <f>SG_GAR*MIN(1,CO99/SG_GAR_FULL)+SG_AMPL*(AC99="sí")+SG_KMC*(AF99="sí")+SG_REV*(N(AE99)&gt;0)+SG_DEV*MIN(1,N(AG99)/SG_DEV_FULL)+SG_HIST*(W99="sí")</f>
        <v/>
      </c>
      <c r="CQ99" s="3">
        <f>IF(AW99="sí",ESTILO_PRIO,IFERROR(VLOOKUP(L99,ESTILO_TBL,2,0),NEUTRO))</f>
        <v/>
      </c>
      <c r="CR99" s="3">
        <f>IFERROR(VLOOKUP(L99,CARR_PEN_TBL,2,0),0)</f>
        <v/>
      </c>
      <c r="CS99" s="3">
        <f>W_FIAB*CA99+W_PRECIO*CC99+W_KMEDAD*CG99+W_ANUNCIO*CH99+W_USO*CN99+W_SEGURIDAD*CP99+W_ETIQUETA*CI99+W_ESTILO*CQ99-CR99</f>
        <v/>
      </c>
      <c r="CT99" s="4">
        <f>IF(N(I99)&gt;0,I99,IFERROR(ROUND(_xlfn.NUMBERVALUE(LEFT(G99,FIND(" ",G99&amp;" ")-1),".")*1000,0),99999))</f>
        <v/>
      </c>
      <c r="CU99" s="3">
        <f>IF(R99="profesional",0,IF(O99&lt;CUOTA_VALOR_MAX,IF(BE99&gt;ITP_TRAMO_ALTO,SUMIFS(CF_CUOTA,CF_MAS,ITP_TRAMO_ALTO,CF_CCMIN,"&lt;="&amp;CT99,CF_CCMAX,"&gt;="&amp;CT99),IF(BE99&gt;ITP_TRAMO_BAJO,SUMIFS(CF_CUOTA,CF_MAS,ITP_TRAMO_BAJO,CF_CCMIN,"&lt;="&amp;CT99,CF_CCMAX,"&gt;="&amp;CT99),O99*ITP_TIPO)),O99*ITP_TIPO))</f>
        <v/>
      </c>
      <c r="CV99" s="4">
        <f>IF(R99="profesional",N(AK99),0)</f>
        <v/>
      </c>
      <c r="CW99" s="3">
        <f>IF(AND(R99="profesional",ISNUMBER(AK99),AL99="sí"),0,TASA_DGT)</f>
        <v/>
      </c>
      <c r="CX99" s="3">
        <f>INFORME_DGT</f>
        <v/>
      </c>
      <c r="CY99" s="4">
        <f>O99+CV99+CU99+CW99+CX99</f>
        <v/>
      </c>
      <c r="CZ99" s="4">
        <f>CY99+N(CL99)</f>
        <v/>
      </c>
      <c r="DA99" s="3">
        <f>IF(CY99&lt;=TOTAL_MAX,"sí",IF(CY99&lt;=TOTAL_MAX+MARGEN_NEG,"negociar","no"))</f>
        <v/>
      </c>
      <c r="DB99" s="4">
        <f>IF(DA99&lt;&gt;"no",COUNTIFS($DA$2:$DA$130,"&lt;&gt;no",$CS$2:$CS$130,"&gt;"&amp;CS99)+COUNTIFS($DA$2:DA99,"&lt;&gt;no",$CS$2:CS99,CS99),"")</f>
        <v/>
      </c>
    </row>
    <row r="100">
      <c r="A100" s="2" t="inlineStr">
        <is>
          <t>ocasionplus:woyn0qad</t>
        </is>
      </c>
      <c r="B100" s="2" t="inlineStr">
        <is>
          <t>ocasionplus</t>
        </is>
      </c>
      <c r="C100" s="2" t="inlineStr">
        <is>
          <t>https://www.ocasionplus.com/coches-segunda-mano/peugeot-206-75-refri-con-175786km-2004-woyn0qad</t>
        </is>
      </c>
      <c r="D100" s="2" t="inlineStr">
        <is>
          <t>Peugeot 206 75 Refri (75 CV)</t>
        </is>
      </c>
      <c r="E100" s="2" t="inlineStr">
        <is>
          <t>Peugeot</t>
        </is>
      </c>
      <c r="F100" s="2" t="inlineStr">
        <is>
          <t>Peugeot 206</t>
        </is>
      </c>
      <c r="G100" s="2" t="inlineStr">
        <is>
          <t>1.4</t>
        </is>
      </c>
      <c r="H100" s="2" t="inlineStr">
        <is>
          <t>Peugeot 206 75 Refri (75 CV)</t>
        </is>
      </c>
      <c r="I100" s="2" t="n">
        <v>1360</v>
      </c>
      <c r="J100" s="2" t="n">
        <v>75</v>
      </c>
      <c r="K100" s="2" t="inlineStr">
        <is>
          <t>gasolina</t>
        </is>
      </c>
      <c r="L100" s="2" t="inlineStr">
        <is>
          <t>utilitario</t>
        </is>
      </c>
      <c r="M100" s="2" t="n">
        <v>2004</v>
      </c>
      <c r="N100" s="2" t="n">
        <v>175786</v>
      </c>
      <c r="O100" s="2" t="n">
        <v>4190</v>
      </c>
      <c r="P100" s="2" t="inlineStr">
        <is>
          <t>manual</t>
        </is>
      </c>
      <c r="Q100" s="2" t="inlineStr">
        <is>
          <t>no</t>
        </is>
      </c>
      <c r="R100" s="2" t="inlineStr">
        <is>
          <t>profesional</t>
        </is>
      </c>
      <c r="S100" s="2" t="inlineStr">
        <is>
          <t>Valencia - Sagunto (Sagunto, 46500)</t>
        </is>
      </c>
      <c r="T100" s="2" t="inlineStr">
        <is>
          <t>2026-07-27T00:00:00.000Z</t>
        </is>
      </c>
      <c r="U100" s="2" t="n">
        <v>28</v>
      </c>
      <c r="V100" s="2" t="inlineStr">
        <is>
          <t>sí</t>
        </is>
      </c>
      <c r="W100" s="2" t="inlineStr">
        <is>
          <t>sí</t>
        </is>
      </c>
      <c r="X100" s="2" t="n"/>
      <c r="Y100" s="2" t="n">
        <v>0</v>
      </c>
      <c r="Z100" s="2" t="inlineStr">
        <is>
          <t>sí</t>
        </is>
      </c>
      <c r="AA100" s="2" t="n"/>
      <c r="AB100" s="2" t="n">
        <v>12</v>
      </c>
      <c r="AC100" s="2" t="inlineStr">
        <is>
          <t>sí</t>
        </is>
      </c>
      <c r="AD100" s="2" t="n">
        <v>500</v>
      </c>
      <c r="AE100" s="2" t="n">
        <v>200</v>
      </c>
      <c r="AF100" s="2" t="inlineStr">
        <is>
          <t>sí</t>
        </is>
      </c>
      <c r="AG100" s="2" t="n"/>
      <c r="AH100" s="2" t="n">
        <v>4190</v>
      </c>
      <c r="AI100" s="2" t="n">
        <v>3700</v>
      </c>
      <c r="AJ100" s="2" t="inlineStr">
        <is>
          <t>sí</t>
        </is>
      </c>
      <c r="AK100" s="2" t="n">
        <v>350</v>
      </c>
      <c r="AL100" s="2" t="inlineStr">
        <is>
          <t>sí</t>
        </is>
      </c>
      <c r="AM100" s="2" t="n">
        <v>25.5</v>
      </c>
      <c r="AN100" s="2" t="inlineStr">
        <is>
          <t>5931DFD</t>
        </is>
      </c>
      <c r="AO100" s="2" t="inlineStr">
        <is>
          <t>2004-12-30</t>
        </is>
      </c>
      <c r="AP100" s="2" t="n">
        <v>2004</v>
      </c>
      <c r="AQ100" s="2" t="n">
        <v>12</v>
      </c>
      <c r="AR100" s="2" t="inlineStr">
        <is>
          <t>B</t>
        </is>
      </c>
      <c r="AS100" s="2" t="inlineStr">
        <is>
          <t>DGT</t>
        </is>
      </c>
      <c r="AT100" s="2" t="n"/>
      <c r="AU100" s="2" t="inlineStr">
        <is>
          <t>no</t>
        </is>
      </c>
      <c r="AV100" s="2" t="inlineStr">
        <is>
          <t>no</t>
        </is>
      </c>
      <c r="AW100" s="2" t="inlineStr">
        <is>
          <t>no</t>
        </is>
      </c>
      <c r="AX100" s="2" t="n">
        <v>3575</v>
      </c>
      <c r="AY100" s="2" t="n">
        <v>10</v>
      </c>
      <c r="AZ100" s="2" t="inlineStr">
        <is>
          <t>modelo+año+km</t>
        </is>
      </c>
      <c r="BA100" s="2" t="n"/>
      <c r="BB100" s="2" t="inlineStr">
        <is>
          <t>vendedor profesional: sin ITP (operación con IVA/REBU, confirmar en factura); el precio anunciado (3.700 €) solo vale financiando; se usa el precio al contado; revisar: no menciona la ITV; fiabilidad del modelo PENDIENTE de fuente (puntuación neutra)</t>
        </is>
      </c>
      <c r="BC100" s="2" t="inlineStr">
        <is>
          <t>Peugeot 206 75 Refri (75 CV)</t>
        </is>
      </c>
      <c r="BD100" s="2" t="inlineStr">
        <is>
          <t>https://www.ocasionplus.com/coches-segunda-mano/peugeot-206-75-refri-con-175786km-2004-woyn0qad (payload RSC 'vehicle') /home/user/Alopecia/buscador-coches/raw/ocasionplus/6c2878e70486e016.json</t>
        </is>
      </c>
      <c r="BE100" s="3">
        <f>MAX(ANIO_ACTUAL-M100,0)</f>
        <v/>
      </c>
      <c r="BF100" s="4">
        <f>N100/MAX(BE100,0.5)</f>
        <v/>
      </c>
      <c r="BG100" s="4">
        <f>F100</f>
        <v/>
      </c>
      <c r="BH100" s="3">
        <f>BG100&amp;"|"&amp;INT(M100/SEG_ANIO)*SEG_ANIO</f>
        <v/>
      </c>
      <c r="BI100" s="3">
        <f>BH100&amp;"|"&amp;INT(N100/SEG_KM)*SEG_KM</f>
        <v/>
      </c>
      <c r="BJ100" s="4">
        <f>COUNTIF($BG$2:$BG$130,BG100)</f>
        <v/>
      </c>
      <c r="BK100" s="4">
        <f>COUNTIF($BH$2:$BH$130,BH100)</f>
        <v/>
      </c>
      <c r="BL100" s="4">
        <f>COUNTIF($BI$2:$BI$130,BI100)</f>
        <v/>
      </c>
      <c r="BM100" s="3">
        <f t="array" ref="BM100">IF(N(AY100)&gt;=MIN_N,AX100,IF(BL100&gt;=MIN_N,MEDIAN(IF($BI$2:$BI$130=BI100,$O$2:$O$130)),IF(BK100&gt;=MIN_N,MEDIAN(IF($BH$2:$BH$130=BH100,$O$2:$O$130)),MEDIAN(IF($BG$2:$BG$130=BG100,$O$2:$O$130)))))</f>
        <v/>
      </c>
      <c r="BN100" s="3">
        <f>IF(N(AY100)&gt;=MIN_N,"mercado "&amp;AZ100,IF(BL100&gt;=MIN_N,"modelo+año+km",IF(BK100&gt;=MIN_N,"modelo+año","modelo")))</f>
        <v/>
      </c>
      <c r="BO100" s="4">
        <f>(BM100-O100)/BM100</f>
        <v/>
      </c>
      <c r="BP100" s="3">
        <f>IF(COUNTIFS(FR_FUEL,K100,FR_YEAR,AP100)&gt;0,1,0)</f>
        <v/>
      </c>
      <c r="BQ100" s="3">
        <f>IF(COUNTIFS(FR_FUEL,K100,FR_YEAR,AP100-1)&gt;0,1,0)</f>
        <v/>
      </c>
      <c r="BR100" s="4">
        <f>IF(N(AQ100)&gt;0,AP100*100+AQ100,IF(AND(BP100=1,BQ100=1),(AP100-1)*100+1,AP100*100+1))</f>
        <v/>
      </c>
      <c r="BS100" s="3">
        <f>IF(OR(K100="hibrido",K100="glp",K100="gnc",K100="phev"),"ECO",IF(K100="electrico","CERO",IF(K100="gasolina",IF(BR100&gt;=GAS_C_YM,"C",IF(BR100&gt;=GAS_B_YM,"B","A")),IF(K100="diesel",IF(BR100&gt;=DIE_C_YM,"C",IF(BR100&gt;=DIE_B_YM,"B","A")),""))))</f>
        <v/>
      </c>
      <c r="BT100" s="2" t="inlineStr">
        <is>
          <t>B</t>
        </is>
      </c>
      <c r="BU100" s="4">
        <f>IF(AU100="sí","sí",IF(AS100="regla",IF(AND(N(AQ100)=0,BP100=1),"sí","no"),"no"))</f>
        <v/>
      </c>
      <c r="BV100" s="3">
        <f>IFERROR(VLOOKUP(F100,MOD_TBL,16,0),IFERROR(VLOOKUP(E100,OCU_TBL,2,0),NEUTRO))</f>
        <v/>
      </c>
      <c r="BW100" s="3">
        <f>SUMIFS(MOT_AJUSTE,MOT_MOTOR,G100,MOT_MARCA,E100,MOT_DESDE,"&lt;="&amp;M100,MOT_HASTA,"&gt;="&amp;M100)+SUMIFS(MOT_AJUSTE,MOT_MOTOR,G100,MOT_MARCA,"(todas)",MOT_DESDE,"&lt;="&amp;M100,MOT_HASTA,"&gt;="&amp;M100)+SUMIFS(MOT_AJUSTE,MOT_MOTOR,"(cualquiera)",MOT_MARCA,E100,MOT_DESDE,"&lt;="&amp;M100,MOT_HASTA,"&gt;="&amp;M100)</f>
        <v/>
      </c>
      <c r="BX100" s="3">
        <f>SUMIFS(COMB_AJUSTE,COMB_COMB,K100)</f>
        <v/>
      </c>
      <c r="BY100" s="3">
        <f>COUNTIFS(MOT_MOTOR,G100,MOT_MARCA,E100,MOT_DESDE,"&lt;="&amp;M100,MOT_HASTA,"&gt;="&amp;M100)+COUNTIFS(MOT_MOTOR,G100,MOT_MARCA,"(todas)",MOT_DESDE,"&lt;="&amp;M100,MOT_HASTA,"&gt;="&amp;M100)+COUNTIFS(MOT_MOTOR,"(cualquiera)",MOT_MARCA,E100,MOT_DESDE,"&lt;="&amp;M100,MOT_HASTA,"&gt;="&amp;M100)</f>
        <v/>
      </c>
      <c r="BZ100" s="3">
        <f>IF(AND(K100="diesel",BY100=0),MIN(BV100,NEUTRO),BV100)</f>
        <v/>
      </c>
      <c r="CA100" s="3">
        <f>MAX(0,MIN(100,BZ100+BW100+BX100-IF(AV100="sí",ROB_PEN,0)))</f>
        <v/>
      </c>
      <c r="CB100" s="3">
        <f>100-MAX(0,N100-KM_TOPE_DESDE)/1000*KM_TOPE_PTS</f>
        <v/>
      </c>
      <c r="CC100" s="3">
        <f>MAX(0,MIN(100,50+BO100*PRECIO_PEND,CB100))</f>
        <v/>
      </c>
      <c r="CD100" s="3">
        <f>MAX(0,100*(1-N100/KM_MAX))</f>
        <v/>
      </c>
      <c r="CE100" s="3">
        <f>IF(BF100&lt;KMA_SOSP,IF(AA100="sí",100,KMA_PEN),IF(BF100&lt;=KMA_IDEAL_MAX,100,MAX(0,100*(KMA_CERO-BF100)/(KMA_CERO-KMA_IDEAL_MAX))))</f>
        <v/>
      </c>
      <c r="CF100" s="3">
        <f>MAX(0,MIN(100,100*(M100-ANIO_MIN)/(ANIO_ACTUAL-ANIO_MIN)))</f>
        <v/>
      </c>
      <c r="CG100" s="3">
        <f>W_KMT*CD100+W_KMA*CE100+W_EDAD*CF100</f>
        <v/>
      </c>
      <c r="CH100" s="3">
        <f>P_ITV*(V100="sí")+P_LIBRO*(W100="sí")+P_CORREA*(X100="sí")+P_PROP*(Y100=1)+P_GAR*(Z100="sí")+P_FOTOS*MIN(1,N(U100)/FOTOS_OBJ)</f>
        <v/>
      </c>
      <c r="CI100" s="3">
        <f>MAX(0,MIN(100,IFERROR(VLOOKUP(BT100,ETQ_TBL,2,0),0)-IF(BU100="sí",ETQ_PEN_DUD,IF(AS100="regla",ETQ_PEN_REGLA,0))))</f>
        <v/>
      </c>
      <c r="CJ100" s="3">
        <f>IF(K100&lt;&gt;"gasolina","",IFERROR(VLOOKUP(F100,CONS_MOD_TBL,2,0),IFERROR(VLOOKUP(L100,CONS_SEG_TBL,2,0),"")))</f>
        <v/>
      </c>
      <c r="CK100" s="3">
        <f>IF(CJ100="",NEUTRO,MAX(0,MIN(100,100*(CONS_REF_MAX-CJ100)/(CONS_REF_MAX-CONS_REF_MIN))))</f>
        <v/>
      </c>
      <c r="CL100" s="3">
        <f>IFERROR(VLOOKUP(L100,SEGURO_TBL,3,0),"")</f>
        <v/>
      </c>
      <c r="CM100" s="3">
        <f>IF(CL100="",NEUTRO,MAX(0,MIN(100,100*(SEG_REF_MAX-CL100)/(SEG_REF_MAX-SEG_REF_MIN))))</f>
        <v/>
      </c>
      <c r="CN100" s="3">
        <f>W_CONS*CK100+W_SEG*CM100</f>
        <v/>
      </c>
      <c r="CO100" s="3">
        <f>IF(N(AB100)&gt;0,AB100,IF(AND(R100="profesional",SG_LEGAL_ON=1),GAR_LEGAL,0))</f>
        <v/>
      </c>
      <c r="CP100" s="3">
        <f>SG_GAR*MIN(1,CO100/SG_GAR_FULL)+SG_AMPL*(AC100="sí")+SG_KMC*(AF100="sí")+SG_REV*(N(AE100)&gt;0)+SG_DEV*MIN(1,N(AG100)/SG_DEV_FULL)+SG_HIST*(W100="sí")</f>
        <v/>
      </c>
      <c r="CQ100" s="3">
        <f>IF(AW100="sí",ESTILO_PRIO,IFERROR(VLOOKUP(L100,ESTILO_TBL,2,0),NEUTRO))</f>
        <v/>
      </c>
      <c r="CR100" s="3">
        <f>IFERROR(VLOOKUP(L100,CARR_PEN_TBL,2,0),0)</f>
        <v/>
      </c>
      <c r="CS100" s="3">
        <f>W_FIAB*CA100+W_PRECIO*CC100+W_KMEDAD*CG100+W_ANUNCIO*CH100+W_USO*CN100+W_SEGURIDAD*CP100+W_ETIQUETA*CI100+W_ESTILO*CQ100-CR100</f>
        <v/>
      </c>
      <c r="CT100" s="4">
        <f>IF(N(I100)&gt;0,I100,IFERROR(ROUND(_xlfn.NUMBERVALUE(LEFT(G100,FIND(" ",G100&amp;" ")-1),".")*1000,0),99999))</f>
        <v/>
      </c>
      <c r="CU100" s="3">
        <f>IF(R100="profesional",0,IF(O100&lt;CUOTA_VALOR_MAX,IF(BE100&gt;ITP_TRAMO_ALTO,SUMIFS(CF_CUOTA,CF_MAS,ITP_TRAMO_ALTO,CF_CCMIN,"&lt;="&amp;CT100,CF_CCMAX,"&gt;="&amp;CT100),IF(BE100&gt;ITP_TRAMO_BAJO,SUMIFS(CF_CUOTA,CF_MAS,ITP_TRAMO_BAJO,CF_CCMIN,"&lt;="&amp;CT100,CF_CCMAX,"&gt;="&amp;CT100),O100*ITP_TIPO)),O100*ITP_TIPO))</f>
        <v/>
      </c>
      <c r="CV100" s="4">
        <f>IF(R100="profesional",N(AK100),0)</f>
        <v/>
      </c>
      <c r="CW100" s="3">
        <f>IF(AND(R100="profesional",ISNUMBER(AK100),AL100="sí"),0,TASA_DGT)</f>
        <v/>
      </c>
      <c r="CX100" s="3">
        <f>INFORME_DGT</f>
        <v/>
      </c>
      <c r="CY100" s="4">
        <f>O100+CV100+CU100+CW100+CX100</f>
        <v/>
      </c>
      <c r="CZ100" s="4">
        <f>CY100+N(CL100)</f>
        <v/>
      </c>
      <c r="DA100" s="3">
        <f>IF(CY100&lt;=TOTAL_MAX,"sí",IF(CY100&lt;=TOTAL_MAX+MARGEN_NEG,"negociar","no"))</f>
        <v/>
      </c>
      <c r="DB100" s="4">
        <f>IF(DA100&lt;&gt;"no",COUNTIFS($DA$2:$DA$130,"&lt;&gt;no",$CS$2:$CS$130,"&gt;"&amp;CS100)+COUNTIFS($DA$2:DA100,"&lt;&gt;no",$CS$2:CS100,CS100),"")</f>
        <v/>
      </c>
    </row>
    <row r="101">
      <c r="A101" s="2" t="inlineStr">
        <is>
          <t>ocasionplus:vvmwmqa1</t>
        </is>
      </c>
      <c r="B101" s="2" t="inlineStr">
        <is>
          <t>ocasionplus</t>
        </is>
      </c>
      <c r="C101" s="2" t="inlineStr">
        <is>
          <t>https://www.ocasionplus.com/coches-segunda-mano/ford-focus-16-trend-con-124702km-2005-vvmwmqa1</t>
        </is>
      </c>
      <c r="D101" s="2" t="inlineStr">
        <is>
          <t>Ford Focus 1.6 Trend (100 CV)</t>
        </is>
      </c>
      <c r="E101" s="2" t="inlineStr">
        <is>
          <t>Ford</t>
        </is>
      </c>
      <c r="F101" s="2" t="inlineStr">
        <is>
          <t>Ford Focus</t>
        </is>
      </c>
      <c r="G101" s="2" t="inlineStr">
        <is>
          <t>1.6</t>
        </is>
      </c>
      <c r="H101" s="2" t="inlineStr">
        <is>
          <t>Ford Focus 1.6 Trend (100 CV)</t>
        </is>
      </c>
      <c r="I101" s="2" t="n">
        <v>1596</v>
      </c>
      <c r="J101" s="2" t="n">
        <v>100</v>
      </c>
      <c r="K101" s="2" t="inlineStr">
        <is>
          <t>gasolina</t>
        </is>
      </c>
      <c r="L101" s="2" t="inlineStr">
        <is>
          <t>compacto</t>
        </is>
      </c>
      <c r="M101" s="2" t="n">
        <v>2005</v>
      </c>
      <c r="N101" s="2" t="n">
        <v>124702</v>
      </c>
      <c r="O101" s="2" t="n">
        <v>4790</v>
      </c>
      <c r="P101" s="2" t="inlineStr">
        <is>
          <t>manual</t>
        </is>
      </c>
      <c r="Q101" s="2" t="inlineStr">
        <is>
          <t>no</t>
        </is>
      </c>
      <c r="R101" s="2" t="inlineStr">
        <is>
          <t>profesional</t>
        </is>
      </c>
      <c r="S101" s="2" t="inlineStr">
        <is>
          <t>Valencia - Paterna (Paterna, 46980)</t>
        </is>
      </c>
      <c r="T101" s="2" t="inlineStr">
        <is>
          <t>2026-07-09T00:00:00.000Z</t>
        </is>
      </c>
      <c r="U101" s="2" t="n">
        <v>27</v>
      </c>
      <c r="V101" s="2" t="inlineStr">
        <is>
          <t>sí</t>
        </is>
      </c>
      <c r="W101" s="2" t="n"/>
      <c r="X101" s="2" t="n"/>
      <c r="Y101" s="2" t="n">
        <v>0</v>
      </c>
      <c r="Z101" s="2" t="inlineStr">
        <is>
          <t>sí</t>
        </is>
      </c>
      <c r="AA101" s="2" t="n"/>
      <c r="AB101" s="2" t="n">
        <v>12</v>
      </c>
      <c r="AC101" s="2" t="inlineStr">
        <is>
          <t>sí</t>
        </is>
      </c>
      <c r="AD101" s="2" t="n">
        <v>600</v>
      </c>
      <c r="AE101" s="2" t="n">
        <v>200</v>
      </c>
      <c r="AF101" s="2" t="inlineStr">
        <is>
          <t>sí</t>
        </is>
      </c>
      <c r="AG101" s="2" t="n"/>
      <c r="AH101" s="2" t="n">
        <v>4790</v>
      </c>
      <c r="AI101" s="2" t="n">
        <v>4140</v>
      </c>
      <c r="AJ101" s="2" t="inlineStr">
        <is>
          <t>sí</t>
        </is>
      </c>
      <c r="AK101" s="2" t="n">
        <v>350</v>
      </c>
      <c r="AL101" s="2" t="inlineStr">
        <is>
          <t>sí</t>
        </is>
      </c>
      <c r="AM101" s="2" t="n">
        <v>5.9</v>
      </c>
      <c r="AN101" s="2" t="inlineStr">
        <is>
          <t>6166DKJ</t>
        </is>
      </c>
      <c r="AO101" s="2" t="inlineStr">
        <is>
          <t>2005-05-12</t>
        </is>
      </c>
      <c r="AP101" s="2" t="n">
        <v>2005</v>
      </c>
      <c r="AQ101" s="2" t="n">
        <v>5</v>
      </c>
      <c r="AR101" s="2" t="inlineStr">
        <is>
          <t>B</t>
        </is>
      </c>
      <c r="AS101" s="2" t="inlineStr">
        <is>
          <t>DGT</t>
        </is>
      </c>
      <c r="AT101" s="2" t="n"/>
      <c r="AU101" s="2" t="inlineStr">
        <is>
          <t>no</t>
        </is>
      </c>
      <c r="AV101" s="2" t="inlineStr">
        <is>
          <t>no</t>
        </is>
      </c>
      <c r="AW101" s="2" t="inlineStr">
        <is>
          <t>no</t>
        </is>
      </c>
      <c r="AX101" s="2" t="n">
        <v>4295</v>
      </c>
      <c r="AY101" s="2" t="n">
        <v>4</v>
      </c>
      <c r="AZ101" s="2" t="inlineStr">
        <is>
          <t>modelo+año+km</t>
        </is>
      </c>
      <c r="BA101" s="2" t="n"/>
      <c r="BB101" s="2" t="inlineStr">
        <is>
          <t>por encima del presupuesto (5149 €), negociar; vendedor profesional: sin ITP (operación con IVA/REBU, confirmar en factura); el precio anunciado (4.140 €) solo vale financiando; se usa el precio al contado; revisar: no menciona la ITV</t>
        </is>
      </c>
      <c r="BC101" s="2" t="inlineStr">
        <is>
          <t>Ford Focus 1.6 Trend (100 CV)</t>
        </is>
      </c>
      <c r="BD101" s="2" t="inlineStr">
        <is>
          <t>https://www.ocasionplus.com/coches-segunda-mano/ford-focus-16-trend-con-124702km-2005-vvmwmqa1 (payload RSC 'vehicle') /home/user/Alopecia/buscador-coches/raw/ocasionplus/50e81a123b3be9d0.json</t>
        </is>
      </c>
      <c r="BE101" s="3">
        <f>MAX(ANIO_ACTUAL-M101,0)</f>
        <v/>
      </c>
      <c r="BF101" s="4">
        <f>N101/MAX(BE101,0.5)</f>
        <v/>
      </c>
      <c r="BG101" s="4">
        <f>F101</f>
        <v/>
      </c>
      <c r="BH101" s="3">
        <f>BG101&amp;"|"&amp;INT(M101/SEG_ANIO)*SEG_ANIO</f>
        <v/>
      </c>
      <c r="BI101" s="3">
        <f>BH101&amp;"|"&amp;INT(N101/SEG_KM)*SEG_KM</f>
        <v/>
      </c>
      <c r="BJ101" s="4">
        <f>COUNTIF($BG$2:$BG$130,BG101)</f>
        <v/>
      </c>
      <c r="BK101" s="4">
        <f>COUNTIF($BH$2:$BH$130,BH101)</f>
        <v/>
      </c>
      <c r="BL101" s="4">
        <f>COUNTIF($BI$2:$BI$130,BI101)</f>
        <v/>
      </c>
      <c r="BM101" s="3">
        <f t="array" ref="BM101">IF(N(AY101)&gt;=MIN_N,AX101,IF(BL101&gt;=MIN_N,MEDIAN(IF($BI$2:$BI$130=BI101,$O$2:$O$130)),IF(BK101&gt;=MIN_N,MEDIAN(IF($BH$2:$BH$130=BH101,$O$2:$O$130)),MEDIAN(IF($BG$2:$BG$130=BG101,$O$2:$O$130)))))</f>
        <v/>
      </c>
      <c r="BN101" s="3">
        <f>IF(N(AY101)&gt;=MIN_N,"mercado "&amp;AZ101,IF(BL101&gt;=MIN_N,"modelo+año+km",IF(BK101&gt;=MIN_N,"modelo+año","modelo")))</f>
        <v/>
      </c>
      <c r="BO101" s="4">
        <f>(BM101-O101)/BM101</f>
        <v/>
      </c>
      <c r="BP101" s="3">
        <f>IF(COUNTIFS(FR_FUEL,K101,FR_YEAR,AP101)&gt;0,1,0)</f>
        <v/>
      </c>
      <c r="BQ101" s="3">
        <f>IF(COUNTIFS(FR_FUEL,K101,FR_YEAR,AP101-1)&gt;0,1,0)</f>
        <v/>
      </c>
      <c r="BR101" s="4">
        <f>IF(N(AQ101)&gt;0,AP101*100+AQ101,IF(AND(BP101=1,BQ101=1),(AP101-1)*100+1,AP101*100+1))</f>
        <v/>
      </c>
      <c r="BS101" s="3">
        <f>IF(OR(K101="hibrido",K101="glp",K101="gnc",K101="phev"),"ECO",IF(K101="electrico","CERO",IF(K101="gasolina",IF(BR101&gt;=GAS_C_YM,"C",IF(BR101&gt;=GAS_B_YM,"B","A")),IF(K101="diesel",IF(BR101&gt;=DIE_C_YM,"C",IF(BR101&gt;=DIE_B_YM,"B","A")),""))))</f>
        <v/>
      </c>
      <c r="BT101" s="2" t="inlineStr">
        <is>
          <t>B</t>
        </is>
      </c>
      <c r="BU101" s="4">
        <f>IF(AU101="sí","sí",IF(AS101="regla",IF(AND(N(AQ101)=0,BP101=1),"sí","no"),"no"))</f>
        <v/>
      </c>
      <c r="BV101" s="3">
        <f>IFERROR(VLOOKUP(F101,MOD_TBL,16,0),IFERROR(VLOOKUP(E101,OCU_TBL,2,0),NEUTRO))</f>
        <v/>
      </c>
      <c r="BW101" s="3">
        <f>SUMIFS(MOT_AJUSTE,MOT_MOTOR,G101,MOT_MARCA,E101,MOT_DESDE,"&lt;="&amp;M101,MOT_HASTA,"&gt;="&amp;M101)+SUMIFS(MOT_AJUSTE,MOT_MOTOR,G101,MOT_MARCA,"(todas)",MOT_DESDE,"&lt;="&amp;M101,MOT_HASTA,"&gt;="&amp;M101)+SUMIFS(MOT_AJUSTE,MOT_MOTOR,"(cualquiera)",MOT_MARCA,E101,MOT_DESDE,"&lt;="&amp;M101,MOT_HASTA,"&gt;="&amp;M101)</f>
        <v/>
      </c>
      <c r="BX101" s="3">
        <f>SUMIFS(COMB_AJUSTE,COMB_COMB,K101)</f>
        <v/>
      </c>
      <c r="BY101" s="3">
        <f>COUNTIFS(MOT_MOTOR,G101,MOT_MARCA,E101,MOT_DESDE,"&lt;="&amp;M101,MOT_HASTA,"&gt;="&amp;M101)+COUNTIFS(MOT_MOTOR,G101,MOT_MARCA,"(todas)",MOT_DESDE,"&lt;="&amp;M101,MOT_HASTA,"&gt;="&amp;M101)+COUNTIFS(MOT_MOTOR,"(cualquiera)",MOT_MARCA,E101,MOT_DESDE,"&lt;="&amp;M101,MOT_HASTA,"&gt;="&amp;M101)</f>
        <v/>
      </c>
      <c r="BZ101" s="3">
        <f>IF(AND(K101="diesel",BY101=0),MIN(BV101,NEUTRO),BV101)</f>
        <v/>
      </c>
      <c r="CA101" s="3">
        <f>MAX(0,MIN(100,BZ101+BW101+BX101-IF(AV101="sí",ROB_PEN,0)))</f>
        <v/>
      </c>
      <c r="CB101" s="3">
        <f>100-MAX(0,N101-KM_TOPE_DESDE)/1000*KM_TOPE_PTS</f>
        <v/>
      </c>
      <c r="CC101" s="3">
        <f>MAX(0,MIN(100,50+BO101*PRECIO_PEND,CB101))</f>
        <v/>
      </c>
      <c r="CD101" s="3">
        <f>MAX(0,100*(1-N101/KM_MAX))</f>
        <v/>
      </c>
      <c r="CE101" s="3">
        <f>IF(BF101&lt;KMA_SOSP,IF(AA101="sí",100,KMA_PEN),IF(BF101&lt;=KMA_IDEAL_MAX,100,MAX(0,100*(KMA_CERO-BF101)/(KMA_CERO-KMA_IDEAL_MAX))))</f>
        <v/>
      </c>
      <c r="CF101" s="3">
        <f>MAX(0,MIN(100,100*(M101-ANIO_MIN)/(ANIO_ACTUAL-ANIO_MIN)))</f>
        <v/>
      </c>
      <c r="CG101" s="3">
        <f>W_KMT*CD101+W_KMA*CE101+W_EDAD*CF101</f>
        <v/>
      </c>
      <c r="CH101" s="3">
        <f>P_ITV*(V101="sí")+P_LIBRO*(W101="sí")+P_CORREA*(X101="sí")+P_PROP*(Y101=1)+P_GAR*(Z101="sí")+P_FOTOS*MIN(1,N(U101)/FOTOS_OBJ)</f>
        <v/>
      </c>
      <c r="CI101" s="3">
        <f>MAX(0,MIN(100,IFERROR(VLOOKUP(BT101,ETQ_TBL,2,0),0)-IF(BU101="sí",ETQ_PEN_DUD,IF(AS101="regla",ETQ_PEN_REGLA,0))))</f>
        <v/>
      </c>
      <c r="CJ101" s="3">
        <f>IF(K101&lt;&gt;"gasolina","",IFERROR(VLOOKUP(F101,CONS_MOD_TBL,2,0),IFERROR(VLOOKUP(L101,CONS_SEG_TBL,2,0),"")))</f>
        <v/>
      </c>
      <c r="CK101" s="3">
        <f>IF(CJ101="",NEUTRO,MAX(0,MIN(100,100*(CONS_REF_MAX-CJ101)/(CONS_REF_MAX-CONS_REF_MIN))))</f>
        <v/>
      </c>
      <c r="CL101" s="3">
        <f>IFERROR(VLOOKUP(L101,SEGURO_TBL,3,0),"")</f>
        <v/>
      </c>
      <c r="CM101" s="3">
        <f>IF(CL101="",NEUTRO,MAX(0,MIN(100,100*(SEG_REF_MAX-CL101)/(SEG_REF_MAX-SEG_REF_MIN))))</f>
        <v/>
      </c>
      <c r="CN101" s="3">
        <f>W_CONS*CK101+W_SEG*CM101</f>
        <v/>
      </c>
      <c r="CO101" s="3">
        <f>IF(N(AB101)&gt;0,AB101,IF(AND(R101="profesional",SG_LEGAL_ON=1),GAR_LEGAL,0))</f>
        <v/>
      </c>
      <c r="CP101" s="3">
        <f>SG_GAR*MIN(1,CO101/SG_GAR_FULL)+SG_AMPL*(AC101="sí")+SG_KMC*(AF101="sí")+SG_REV*(N(AE101)&gt;0)+SG_DEV*MIN(1,N(AG101)/SG_DEV_FULL)+SG_HIST*(W101="sí")</f>
        <v/>
      </c>
      <c r="CQ101" s="3">
        <f>IF(AW101="sí",ESTILO_PRIO,IFERROR(VLOOKUP(L101,ESTILO_TBL,2,0),NEUTRO))</f>
        <v/>
      </c>
      <c r="CR101" s="3">
        <f>IFERROR(VLOOKUP(L101,CARR_PEN_TBL,2,0),0)</f>
        <v/>
      </c>
      <c r="CS101" s="3">
        <f>W_FIAB*CA101+W_PRECIO*CC101+W_KMEDAD*CG101+W_ANUNCIO*CH101+W_USO*CN101+W_SEGURIDAD*CP101+W_ETIQUETA*CI101+W_ESTILO*CQ101-CR101</f>
        <v/>
      </c>
      <c r="CT101" s="4">
        <f>IF(N(I101)&gt;0,I101,IFERROR(ROUND(_xlfn.NUMBERVALUE(LEFT(G101,FIND(" ",G101&amp;" ")-1),".")*1000,0),99999))</f>
        <v/>
      </c>
      <c r="CU101" s="3">
        <f>IF(R101="profesional",0,IF(O101&lt;CUOTA_VALOR_MAX,IF(BE101&gt;ITP_TRAMO_ALTO,SUMIFS(CF_CUOTA,CF_MAS,ITP_TRAMO_ALTO,CF_CCMIN,"&lt;="&amp;CT101,CF_CCMAX,"&gt;="&amp;CT101),IF(BE101&gt;ITP_TRAMO_BAJO,SUMIFS(CF_CUOTA,CF_MAS,ITP_TRAMO_BAJO,CF_CCMIN,"&lt;="&amp;CT101,CF_CCMAX,"&gt;="&amp;CT101),O101*ITP_TIPO)),O101*ITP_TIPO))</f>
        <v/>
      </c>
      <c r="CV101" s="4">
        <f>IF(R101="profesional",N(AK101),0)</f>
        <v/>
      </c>
      <c r="CW101" s="3">
        <f>IF(AND(R101="profesional",ISNUMBER(AK101),AL101="sí"),0,TASA_DGT)</f>
        <v/>
      </c>
      <c r="CX101" s="3">
        <f>INFORME_DGT</f>
        <v/>
      </c>
      <c r="CY101" s="4">
        <f>O101+CV101+CU101+CW101+CX101</f>
        <v/>
      </c>
      <c r="CZ101" s="4">
        <f>CY101+N(CL101)</f>
        <v/>
      </c>
      <c r="DA101" s="3">
        <f>IF(CY101&lt;=TOTAL_MAX,"sí",IF(CY101&lt;=TOTAL_MAX+MARGEN_NEG,"negociar","no"))</f>
        <v/>
      </c>
      <c r="DB101" s="4">
        <f>IF(DA101&lt;&gt;"no",COUNTIFS($DA$2:$DA$130,"&lt;&gt;no",$CS$2:$CS$130,"&gt;"&amp;CS101)+COUNTIFS($DA$2:DA101,"&lt;&gt;no",$CS$2:CS101,CS101),"")</f>
        <v/>
      </c>
    </row>
    <row r="102">
      <c r="A102" s="2" t="inlineStr">
        <is>
          <t>ocasionplus:rrsxdqad</t>
        </is>
      </c>
      <c r="B102" s="2" t="inlineStr">
        <is>
          <t>ocasionplus</t>
        </is>
      </c>
      <c r="C102" s="2" t="inlineStr">
        <is>
          <t>https://www.ocasionplus.com/coches-segunda-mano/mercedes-clase-a-a-200-avantgarde-con-133796km-2005-rrsxdqad</t>
        </is>
      </c>
      <c r="D102" s="2" t="inlineStr">
        <is>
          <t>Mercedes Clase A A 200 Avantgarde</t>
        </is>
      </c>
      <c r="E102" s="2" t="inlineStr">
        <is>
          <t>Mercedes-Benz</t>
        </is>
      </c>
      <c r="F102" s="2" t="inlineStr">
        <is>
          <t>Mercedes-Benz Clase A</t>
        </is>
      </c>
      <c r="G102" s="2" t="inlineStr">
        <is>
          <t>2.0</t>
        </is>
      </c>
      <c r="H102" s="2" t="inlineStr">
        <is>
          <t>Mercedes Clase A A 200 Avantgarde</t>
        </is>
      </c>
      <c r="I102" s="2" t="n">
        <v>2034</v>
      </c>
      <c r="J102" s="2" t="n">
        <v>136</v>
      </c>
      <c r="K102" s="2" t="inlineStr">
        <is>
          <t>gasolina</t>
        </is>
      </c>
      <c r="L102" s="2" t="inlineStr">
        <is>
          <t>compacto</t>
        </is>
      </c>
      <c r="M102" s="2" t="n">
        <v>2005</v>
      </c>
      <c r="N102" s="2" t="n">
        <v>133796</v>
      </c>
      <c r="O102" s="2" t="n">
        <v>3900</v>
      </c>
      <c r="P102" s="2" t="n"/>
      <c r="Q102" s="2" t="n"/>
      <c r="R102" s="2" t="inlineStr">
        <is>
          <t>profesional</t>
        </is>
      </c>
      <c r="S102" s="2" t="inlineStr">
        <is>
          <t>Valencia - Pista De Silla (Massanassa, 46470)</t>
        </is>
      </c>
      <c r="T102" s="2" t="inlineStr">
        <is>
          <t>2026-04-29T00:00:00.000Z</t>
        </is>
      </c>
      <c r="U102" s="2" t="n">
        <v>35</v>
      </c>
      <c r="V102" s="2" t="inlineStr">
        <is>
          <t>sí</t>
        </is>
      </c>
      <c r="W102" s="2" t="n"/>
      <c r="X102" s="2" t="n"/>
      <c r="Y102" s="2" t="n">
        <v>0</v>
      </c>
      <c r="Z102" s="2" t="n"/>
      <c r="AA102" s="2" t="n"/>
      <c r="AB102" s="2" t="n"/>
      <c r="AC102" s="2" t="inlineStr">
        <is>
          <t>sí</t>
        </is>
      </c>
      <c r="AD102" s="2" t="n">
        <v>900</v>
      </c>
      <c r="AE102" s="2" t="n"/>
      <c r="AF102" s="2" t="inlineStr">
        <is>
          <t>sí</t>
        </is>
      </c>
      <c r="AG102" s="2" t="n"/>
      <c r="AH102" s="2" t="n">
        <v>3900</v>
      </c>
      <c r="AI102" s="2" t="n">
        <v>3200</v>
      </c>
      <c r="AJ102" s="2" t="inlineStr">
        <is>
          <t>sí</t>
        </is>
      </c>
      <c r="AK102" s="2" t="n">
        <v>350</v>
      </c>
      <c r="AL102" s="2" t="inlineStr">
        <is>
          <t>sí</t>
        </is>
      </c>
      <c r="AM102" s="2" t="n">
        <v>7.8</v>
      </c>
      <c r="AN102" s="2" t="inlineStr">
        <is>
          <t>0751DJL</t>
        </is>
      </c>
      <c r="AO102" s="2" t="inlineStr">
        <is>
          <t>2005-04-15</t>
        </is>
      </c>
      <c r="AP102" s="2" t="n">
        <v>2005</v>
      </c>
      <c r="AQ102" s="2" t="n">
        <v>4</v>
      </c>
      <c r="AR102" s="2" t="inlineStr">
        <is>
          <t>B</t>
        </is>
      </c>
      <c r="AS102" s="2" t="inlineStr">
        <is>
          <t>DGT</t>
        </is>
      </c>
      <c r="AT102" s="2" t="n"/>
      <c r="AU102" s="2" t="inlineStr">
        <is>
          <t>no</t>
        </is>
      </c>
      <c r="AV102" s="2" t="inlineStr">
        <is>
          <t>no</t>
        </is>
      </c>
      <c r="AW102" s="2" t="inlineStr">
        <is>
          <t>no</t>
        </is>
      </c>
      <c r="AX102" s="2" t="n"/>
      <c r="AY102" s="2" t="n"/>
      <c r="AZ102" s="2" t="n"/>
      <c r="BA102" s="2" t="n"/>
      <c r="BB102" s="2" t="inlineStr">
        <is>
          <t>vendedor profesional: sin ITP (operación con IVA/REBU, confirmar en factura); el precio anunciado (3.200 €) solo vale financiando; se usa el precio al contado; revisar: no menciona la ITV; fiabilidad del modelo PENDIENTE de fuente (puntuación neutra); mediana con solo 1 anuncio(s)</t>
        </is>
      </c>
      <c r="BC102" s="2" t="inlineStr">
        <is>
          <t>Mercedes Clase A A 200 Avantgarde</t>
        </is>
      </c>
      <c r="BD102" s="2" t="inlineStr">
        <is>
          <t>https://www.ocasionplus.com/coches-segunda-mano/mercedes-clase-a-a-200-avantgarde-con-133796km-2005-rrsxdqad (payload RSC 'vehicle') /home/user/Alopecia/buscador-coches/raw/ocasionplus/86fe5876e99df3b0.json</t>
        </is>
      </c>
      <c r="BE102" s="3">
        <f>MAX(ANIO_ACTUAL-M102,0)</f>
        <v/>
      </c>
      <c r="BF102" s="4">
        <f>N102/MAX(BE102,0.5)</f>
        <v/>
      </c>
      <c r="BG102" s="4">
        <f>F102</f>
        <v/>
      </c>
      <c r="BH102" s="3">
        <f>BG102&amp;"|"&amp;INT(M102/SEG_ANIO)*SEG_ANIO</f>
        <v/>
      </c>
      <c r="BI102" s="3">
        <f>BH102&amp;"|"&amp;INT(N102/SEG_KM)*SEG_KM</f>
        <v/>
      </c>
      <c r="BJ102" s="4">
        <f>COUNTIF($BG$2:$BG$130,BG102)</f>
        <v/>
      </c>
      <c r="BK102" s="4">
        <f>COUNTIF($BH$2:$BH$130,BH102)</f>
        <v/>
      </c>
      <c r="BL102" s="4">
        <f>COUNTIF($BI$2:$BI$130,BI102)</f>
        <v/>
      </c>
      <c r="BM102" s="3">
        <f t="array" ref="BM102">IF(N(AY102)&gt;=MIN_N,AX102,IF(BL102&gt;=MIN_N,MEDIAN(IF($BI$2:$BI$130=BI102,$O$2:$O$130)),IF(BK102&gt;=MIN_N,MEDIAN(IF($BH$2:$BH$130=BH102,$O$2:$O$130)),MEDIAN(IF($BG$2:$BG$130=BG102,$O$2:$O$130)))))</f>
        <v/>
      </c>
      <c r="BN102" s="3">
        <f>IF(N(AY102)&gt;=MIN_N,"mercado "&amp;AZ102,IF(BL102&gt;=MIN_N,"modelo+año+km",IF(BK102&gt;=MIN_N,"modelo+año","modelo")))</f>
        <v/>
      </c>
      <c r="BO102" s="4">
        <f>(BM102-O102)/BM102</f>
        <v/>
      </c>
      <c r="BP102" s="3">
        <f>IF(COUNTIFS(FR_FUEL,K102,FR_YEAR,AP102)&gt;0,1,0)</f>
        <v/>
      </c>
      <c r="BQ102" s="3">
        <f>IF(COUNTIFS(FR_FUEL,K102,FR_YEAR,AP102-1)&gt;0,1,0)</f>
        <v/>
      </c>
      <c r="BR102" s="4">
        <f>IF(N(AQ102)&gt;0,AP102*100+AQ102,IF(AND(BP102=1,BQ102=1),(AP102-1)*100+1,AP102*100+1))</f>
        <v/>
      </c>
      <c r="BS102" s="3">
        <f>IF(OR(K102="hibrido",K102="glp",K102="gnc",K102="phev"),"ECO",IF(K102="electrico","CERO",IF(K102="gasolina",IF(BR102&gt;=GAS_C_YM,"C",IF(BR102&gt;=GAS_B_YM,"B","A")),IF(K102="diesel",IF(BR102&gt;=DIE_C_YM,"C",IF(BR102&gt;=DIE_B_YM,"B","A")),""))))</f>
        <v/>
      </c>
      <c r="BT102" s="2" t="inlineStr">
        <is>
          <t>B</t>
        </is>
      </c>
      <c r="BU102" s="4">
        <f>IF(AU102="sí","sí",IF(AS102="regla",IF(AND(N(AQ102)=0,BP102=1),"sí","no"),"no"))</f>
        <v/>
      </c>
      <c r="BV102" s="3">
        <f>IFERROR(VLOOKUP(F102,MOD_TBL,16,0),IFERROR(VLOOKUP(E102,OCU_TBL,2,0),NEUTRO))</f>
        <v/>
      </c>
      <c r="BW102" s="3">
        <f>SUMIFS(MOT_AJUSTE,MOT_MOTOR,G102,MOT_MARCA,E102,MOT_DESDE,"&lt;="&amp;M102,MOT_HASTA,"&gt;="&amp;M102)+SUMIFS(MOT_AJUSTE,MOT_MOTOR,G102,MOT_MARCA,"(todas)",MOT_DESDE,"&lt;="&amp;M102,MOT_HASTA,"&gt;="&amp;M102)+SUMIFS(MOT_AJUSTE,MOT_MOTOR,"(cualquiera)",MOT_MARCA,E102,MOT_DESDE,"&lt;="&amp;M102,MOT_HASTA,"&gt;="&amp;M102)</f>
        <v/>
      </c>
      <c r="BX102" s="3">
        <f>SUMIFS(COMB_AJUSTE,COMB_COMB,K102)</f>
        <v/>
      </c>
      <c r="BY102" s="3">
        <f>COUNTIFS(MOT_MOTOR,G102,MOT_MARCA,E102,MOT_DESDE,"&lt;="&amp;M102,MOT_HASTA,"&gt;="&amp;M102)+COUNTIFS(MOT_MOTOR,G102,MOT_MARCA,"(todas)",MOT_DESDE,"&lt;="&amp;M102,MOT_HASTA,"&gt;="&amp;M102)+COUNTIFS(MOT_MOTOR,"(cualquiera)",MOT_MARCA,E102,MOT_DESDE,"&lt;="&amp;M102,MOT_HASTA,"&gt;="&amp;M102)</f>
        <v/>
      </c>
      <c r="BZ102" s="3">
        <f>IF(AND(K102="diesel",BY102=0),MIN(BV102,NEUTRO),BV102)</f>
        <v/>
      </c>
      <c r="CA102" s="3">
        <f>MAX(0,MIN(100,BZ102+BW102+BX102-IF(AV102="sí",ROB_PEN,0)))</f>
        <v/>
      </c>
      <c r="CB102" s="3">
        <f>100-MAX(0,N102-KM_TOPE_DESDE)/1000*KM_TOPE_PTS</f>
        <v/>
      </c>
      <c r="CC102" s="3">
        <f>MAX(0,MIN(100,50+BO102*PRECIO_PEND,CB102))</f>
        <v/>
      </c>
      <c r="CD102" s="3">
        <f>MAX(0,100*(1-N102/KM_MAX))</f>
        <v/>
      </c>
      <c r="CE102" s="3">
        <f>IF(BF102&lt;KMA_SOSP,IF(AA102="sí",100,KMA_PEN),IF(BF102&lt;=KMA_IDEAL_MAX,100,MAX(0,100*(KMA_CERO-BF102)/(KMA_CERO-KMA_IDEAL_MAX))))</f>
        <v/>
      </c>
      <c r="CF102" s="3">
        <f>MAX(0,MIN(100,100*(M102-ANIO_MIN)/(ANIO_ACTUAL-ANIO_MIN)))</f>
        <v/>
      </c>
      <c r="CG102" s="3">
        <f>W_KMT*CD102+W_KMA*CE102+W_EDAD*CF102</f>
        <v/>
      </c>
      <c r="CH102" s="3">
        <f>P_ITV*(V102="sí")+P_LIBRO*(W102="sí")+P_CORREA*(X102="sí")+P_PROP*(Y102=1)+P_GAR*(Z102="sí")+P_FOTOS*MIN(1,N(U102)/FOTOS_OBJ)</f>
        <v/>
      </c>
      <c r="CI102" s="3">
        <f>MAX(0,MIN(100,IFERROR(VLOOKUP(BT102,ETQ_TBL,2,0),0)-IF(BU102="sí",ETQ_PEN_DUD,IF(AS102="regla",ETQ_PEN_REGLA,0))))</f>
        <v/>
      </c>
      <c r="CJ102" s="3">
        <f>IF(K102&lt;&gt;"gasolina","",IFERROR(VLOOKUP(F102,CONS_MOD_TBL,2,0),IFERROR(VLOOKUP(L102,CONS_SEG_TBL,2,0),"")))</f>
        <v/>
      </c>
      <c r="CK102" s="3">
        <f>IF(CJ102="",NEUTRO,MAX(0,MIN(100,100*(CONS_REF_MAX-CJ102)/(CONS_REF_MAX-CONS_REF_MIN))))</f>
        <v/>
      </c>
      <c r="CL102" s="3">
        <f>IFERROR(VLOOKUP(L102,SEGURO_TBL,3,0),"")</f>
        <v/>
      </c>
      <c r="CM102" s="3">
        <f>IF(CL102="",NEUTRO,MAX(0,MIN(100,100*(SEG_REF_MAX-CL102)/(SEG_REF_MAX-SEG_REF_MIN))))</f>
        <v/>
      </c>
      <c r="CN102" s="3">
        <f>W_CONS*CK102+W_SEG*CM102</f>
        <v/>
      </c>
      <c r="CO102" s="3">
        <f>IF(N(AB102)&gt;0,AB102,IF(AND(R102="profesional",SG_LEGAL_ON=1),GAR_LEGAL,0))</f>
        <v/>
      </c>
      <c r="CP102" s="3">
        <f>SG_GAR*MIN(1,CO102/SG_GAR_FULL)+SG_AMPL*(AC102="sí")+SG_KMC*(AF102="sí")+SG_REV*(N(AE102)&gt;0)+SG_DEV*MIN(1,N(AG102)/SG_DEV_FULL)+SG_HIST*(W102="sí")</f>
        <v/>
      </c>
      <c r="CQ102" s="3">
        <f>IF(AW102="sí",ESTILO_PRIO,IFERROR(VLOOKUP(L102,ESTILO_TBL,2,0),NEUTRO))</f>
        <v/>
      </c>
      <c r="CR102" s="3">
        <f>IFERROR(VLOOKUP(L102,CARR_PEN_TBL,2,0),0)</f>
        <v/>
      </c>
      <c r="CS102" s="3">
        <f>W_FIAB*CA102+W_PRECIO*CC102+W_KMEDAD*CG102+W_ANUNCIO*CH102+W_USO*CN102+W_SEGURIDAD*CP102+W_ETIQUETA*CI102+W_ESTILO*CQ102-CR102</f>
        <v/>
      </c>
      <c r="CT102" s="4">
        <f>IF(N(I102)&gt;0,I102,IFERROR(ROUND(_xlfn.NUMBERVALUE(LEFT(G102,FIND(" ",G102&amp;" ")-1),".")*1000,0),99999))</f>
        <v/>
      </c>
      <c r="CU102" s="3">
        <f>IF(R102="profesional",0,IF(O102&lt;CUOTA_VALOR_MAX,IF(BE102&gt;ITP_TRAMO_ALTO,SUMIFS(CF_CUOTA,CF_MAS,ITP_TRAMO_ALTO,CF_CCMIN,"&lt;="&amp;CT102,CF_CCMAX,"&gt;="&amp;CT102),IF(BE102&gt;ITP_TRAMO_BAJO,SUMIFS(CF_CUOTA,CF_MAS,ITP_TRAMO_BAJO,CF_CCMIN,"&lt;="&amp;CT102,CF_CCMAX,"&gt;="&amp;CT102),O102*ITP_TIPO)),O102*ITP_TIPO))</f>
        <v/>
      </c>
      <c r="CV102" s="4">
        <f>IF(R102="profesional",N(AK102),0)</f>
        <v/>
      </c>
      <c r="CW102" s="3">
        <f>IF(AND(R102="profesional",ISNUMBER(AK102),AL102="sí"),0,TASA_DGT)</f>
        <v/>
      </c>
      <c r="CX102" s="3">
        <f>INFORME_DGT</f>
        <v/>
      </c>
      <c r="CY102" s="4">
        <f>O102+CV102+CU102+CW102+CX102</f>
        <v/>
      </c>
      <c r="CZ102" s="4">
        <f>CY102+N(CL102)</f>
        <v/>
      </c>
      <c r="DA102" s="3">
        <f>IF(CY102&lt;=TOTAL_MAX,"sí",IF(CY102&lt;=TOTAL_MAX+MARGEN_NEG,"negociar","no"))</f>
        <v/>
      </c>
      <c r="DB102" s="4">
        <f>IF(DA102&lt;&gt;"no",COUNTIFS($DA$2:$DA$130,"&lt;&gt;no",$CS$2:$CS$130,"&gt;"&amp;CS102)+COUNTIFS($DA$2:DA102,"&lt;&gt;no",$CS$2:CS102,CS102),"")</f>
        <v/>
      </c>
    </row>
    <row r="103">
      <c r="A103" s="2" t="inlineStr">
        <is>
          <t>autoscout24:04d015db-2d48-4b66-9cad-7ee189965ecc</t>
        </is>
      </c>
      <c r="B103" s="2" t="inlineStr">
        <is>
          <t>autoscout24</t>
        </is>
      </c>
      <c r="C103" s="2" t="inlineStr">
        <is>
          <t>https://www.autoscout24.es/anuncios/peugeot-206-1-4-x-line-gasolina-rojo-cat_ma55mo15401-04d015db-2d48-4b66-9cad-7ee189965ecc</t>
        </is>
      </c>
      <c r="D103" s="2" t="inlineStr">
        <is>
          <t>Peugeot 206 1.4 X-Line</t>
        </is>
      </c>
      <c r="E103" s="2" t="inlineStr">
        <is>
          <t>Peugeot</t>
        </is>
      </c>
      <c r="F103" s="2" t="inlineStr">
        <is>
          <t>Peugeot 206</t>
        </is>
      </c>
      <c r="G103" s="2" t="inlineStr">
        <is>
          <t>1.4</t>
        </is>
      </c>
      <c r="H103" s="2" t="inlineStr">
        <is>
          <t>1.4 X-Line 75</t>
        </is>
      </c>
      <c r="I103" s="2" t="n">
        <v>1360</v>
      </c>
      <c r="J103" s="2" t="n">
        <v>75</v>
      </c>
      <c r="K103" s="2" t="inlineStr">
        <is>
          <t>gasolina</t>
        </is>
      </c>
      <c r="L103" s="2" t="inlineStr">
        <is>
          <t>utilitario</t>
        </is>
      </c>
      <c r="M103" s="2" t="n">
        <v>2004</v>
      </c>
      <c r="N103" s="2" t="n">
        <v>175786</v>
      </c>
      <c r="O103" s="2" t="n">
        <v>3700</v>
      </c>
      <c r="P103" s="2" t="inlineStr">
        <is>
          <t>manual</t>
        </is>
      </c>
      <c r="Q103" s="2" t="inlineStr">
        <is>
          <t>no</t>
        </is>
      </c>
      <c r="R103" s="2" t="inlineStr">
        <is>
          <t>profesional</t>
        </is>
      </c>
      <c r="S103" s="2" t="inlineStr">
        <is>
          <t>OCASIONPLUS SAGUNTO — SAGUNTO (46500)</t>
        </is>
      </c>
      <c r="T103" s="2" t="n"/>
      <c r="U103" s="2" t="n">
        <v>10</v>
      </c>
      <c r="V103" s="2" t="n"/>
      <c r="W103" s="2" t="inlineStr">
        <is>
          <t>sí</t>
        </is>
      </c>
      <c r="X103" s="2" t="n"/>
      <c r="Y103" s="2" t="n"/>
      <c r="Z103" s="2" t="inlineStr">
        <is>
          <t>sí</t>
        </is>
      </c>
      <c r="AA103" s="2" t="n"/>
      <c r="AB103" s="2" t="n">
        <v>12</v>
      </c>
      <c r="AC103" s="2" t="n"/>
      <c r="AD103" s="2" t="n"/>
      <c r="AE103" s="2" t="n"/>
      <c r="AF103" s="2" t="inlineStr">
        <is>
          <t>sí</t>
        </is>
      </c>
      <c r="AG103" s="2" t="n"/>
      <c r="AH103" s="2" t="n">
        <v>3700</v>
      </c>
      <c r="AI103" s="2" t="n"/>
      <c r="AJ103" s="2" t="n"/>
      <c r="AK103" s="2" t="n"/>
      <c r="AL103" s="2" t="n"/>
      <c r="AM103" s="2" t="n">
        <v>25</v>
      </c>
      <c r="AN103" s="2" t="inlineStr">
        <is>
          <t>1000KMS</t>
        </is>
      </c>
      <c r="AO103" s="2" t="inlineStr">
        <is>
          <t>2004-12</t>
        </is>
      </c>
      <c r="AP103" s="2" t="n">
        <v>2004</v>
      </c>
      <c r="AQ103" s="2" t="n">
        <v>12</v>
      </c>
      <c r="AR103" s="2" t="inlineStr">
        <is>
          <t>B</t>
        </is>
      </c>
      <c r="AS103" s="2" t="inlineStr">
        <is>
          <t>DGT</t>
        </is>
      </c>
      <c r="AT103" s="2" t="n"/>
      <c r="AU103" s="2" t="inlineStr">
        <is>
          <t>no</t>
        </is>
      </c>
      <c r="AV103" s="2" t="inlineStr">
        <is>
          <t>no</t>
        </is>
      </c>
      <c r="AW103" s="2" t="inlineStr">
        <is>
          <t>no</t>
        </is>
      </c>
      <c r="AX103" s="2" t="n">
        <v>3575</v>
      </c>
      <c r="AY103" s="2" t="n">
        <v>10</v>
      </c>
      <c r="AZ103" s="2" t="inlineStr">
        <is>
          <t>modelo+año+km</t>
        </is>
      </c>
      <c r="BA103" s="2" t="inlineStr">
        <is>
          <t>cochesnet:71170656 (https://www.coches.net/peugeot-206-xline-75-refri-3p-gasolina-2005-en-valencia-71170656-covo.aspx)</t>
        </is>
      </c>
      <c r="BB103" s="2" t="inlineStr">
        <is>
          <t>vendedor profesional: sin ITP (operación con IVA/REBU, confirmar en factura); gastos de gestión del vendedor no indicados: se suma la tasa DGT; preguntar el precio final; revisar: no menciona la ITV; fiabilidad del modelo PENDIENTE de fuente (puntuación neutra)</t>
        </is>
      </c>
      <c r="BC103" s="2" t="inlineStr">
        <is>
          <t>&lt;strong&gt;Precio al contado: 3700 euros&lt;/strong&gt; &lt;br /&gt;&lt;br /&gt;&lt;strong&gt;Condiciones de la financiación&lt;/strong&gt; &lt;br /&gt;&lt;br /&gt;Consultar condiciones de financiación en este anuncio o contactando con el anunciante &lt;br /&gt;&lt;br /&gt;¡VILLA TAMBIÉN FICHA POR OCASIONPLUS!&lt;br /&gt;VEN A GANAR. ¡VEN A OCASIONPLUS!&lt;br /&gt;&lt;br /&gt;OCASIONPLUS - 20.000 COCHES  - 120 CENTROS&lt;br /&gt;OCASIONPLUS Nº1 CALIDAD - PRECIO&lt;br /&gt;&lt;br /&gt;Elige el coche que te guste y te lo llevamos a tu ciudad sólo con reservarlo&lt;br /&gt;15 DÍAS / 1000 KMS DE PRUEBA&lt;br /&gt;&lt;br /&gt;Hasta 490€ de descuento en este coche&lt;br /&gt;&lt;br /&gt;ADEMÁS, HACEMOS LAS MEJORES FINANCIACIONES DEL MERCADO, PREGÚNTANOS!!&lt;br /&gt;&lt;br /&gt;            Equipamiento destacado: Aire Acondicionado, Radio, Llantas de aleación (15&amp;quot;).&lt;br /&gt;&lt;br /&gt;                - Coche Nacional, Historial Mantenimiento.&lt;br /&gt;                - Garantía total 1 año, con cobertura nacional, ampliable a 24 meses.&lt;br /&gt;                - Certificado de Kilómetros y ausencia de golpes estructurales.&lt;br /&gt;            - Sobrevaloramos tu coche en operaciones de cambio. Tásalo ahora en ocasionplus.com&lt;br /&gt;            - Entregamos cualquier coche en cualquier centro&lt;br /&gt;            - Abierto Domingo y Festivos.&lt;br /&gt; &lt;strong&gt;Extras&lt;/strong&gt; &lt;br /&gt; &lt;strong&gt;Equipamiento destacado seleccionado por el usuario&lt;/strong&gt; &lt;br /&gt; &lt;br /&gt;- Aire Acondicionado&lt;br /&gt;-  Radio&lt;br /&gt;-  Llantas de aleación&lt;br /&gt;-  15&amp;quot;&lt;br /&gt;</t>
        </is>
      </c>
      <c r="BD103" s="2" t="inlineStr">
        <is>
          <t>https://www.autoscout24.es/anuncios/peugeot-206-1-4-x-line-gasolina-rojo-cat_ma55mo15401-04d015db-2d48-4b66-9cad-7ee189965ecc (__NEXT_DATA__ listingDetails) /home/user/Alopecia/buscador-coches/raw/autoscout24/c3f962d27b174fe9.json</t>
        </is>
      </c>
      <c r="BE103" s="3">
        <f>MAX(ANIO_ACTUAL-M103,0)</f>
        <v/>
      </c>
      <c r="BF103" s="4">
        <f>N103/MAX(BE103,0.5)</f>
        <v/>
      </c>
      <c r="BG103" s="4">
        <f>F103</f>
        <v/>
      </c>
      <c r="BH103" s="3">
        <f>BG103&amp;"|"&amp;INT(M103/SEG_ANIO)*SEG_ANIO</f>
        <v/>
      </c>
      <c r="BI103" s="3">
        <f>BH103&amp;"|"&amp;INT(N103/SEG_KM)*SEG_KM</f>
        <v/>
      </c>
      <c r="BJ103" s="4">
        <f>COUNTIF($BG$2:$BG$130,BG103)</f>
        <v/>
      </c>
      <c r="BK103" s="4">
        <f>COUNTIF($BH$2:$BH$130,BH103)</f>
        <v/>
      </c>
      <c r="BL103" s="4">
        <f>COUNTIF($BI$2:$BI$130,BI103)</f>
        <v/>
      </c>
      <c r="BM103" s="3">
        <f t="array" ref="BM103">IF(N(AY103)&gt;=MIN_N,AX103,IF(BL103&gt;=MIN_N,MEDIAN(IF($BI$2:$BI$130=BI103,$O$2:$O$130)),IF(BK103&gt;=MIN_N,MEDIAN(IF($BH$2:$BH$130=BH103,$O$2:$O$130)),MEDIAN(IF($BG$2:$BG$130=BG103,$O$2:$O$130)))))</f>
        <v/>
      </c>
      <c r="BN103" s="3">
        <f>IF(N(AY103)&gt;=MIN_N,"mercado "&amp;AZ103,IF(BL103&gt;=MIN_N,"modelo+año+km",IF(BK103&gt;=MIN_N,"modelo+año","modelo")))</f>
        <v/>
      </c>
      <c r="BO103" s="4">
        <f>(BM103-O103)/BM103</f>
        <v/>
      </c>
      <c r="BP103" s="3">
        <f>IF(COUNTIFS(FR_FUEL,K103,FR_YEAR,AP103)&gt;0,1,0)</f>
        <v/>
      </c>
      <c r="BQ103" s="3">
        <f>IF(COUNTIFS(FR_FUEL,K103,FR_YEAR,AP103-1)&gt;0,1,0)</f>
        <v/>
      </c>
      <c r="BR103" s="4">
        <f>IF(N(AQ103)&gt;0,AP103*100+AQ103,IF(AND(BP103=1,BQ103=1),(AP103-1)*100+1,AP103*100+1))</f>
        <v/>
      </c>
      <c r="BS103" s="3">
        <f>IF(OR(K103="hibrido",K103="glp",K103="gnc",K103="phev"),"ECO",IF(K103="electrico","CERO",IF(K103="gasolina",IF(BR103&gt;=GAS_C_YM,"C",IF(BR103&gt;=GAS_B_YM,"B","A")),IF(K103="diesel",IF(BR103&gt;=DIE_C_YM,"C",IF(BR103&gt;=DIE_B_YM,"B","A")),""))))</f>
        <v/>
      </c>
      <c r="BT103" s="2" t="inlineStr">
        <is>
          <t>B</t>
        </is>
      </c>
      <c r="BU103" s="4">
        <f>IF(AU103="sí","sí",IF(AS103="regla",IF(AND(N(AQ103)=0,BP103=1),"sí","no"),"no"))</f>
        <v/>
      </c>
      <c r="BV103" s="3">
        <f>IFERROR(VLOOKUP(F103,MOD_TBL,16,0),IFERROR(VLOOKUP(E103,OCU_TBL,2,0),NEUTRO))</f>
        <v/>
      </c>
      <c r="BW103" s="3">
        <f>SUMIFS(MOT_AJUSTE,MOT_MOTOR,G103,MOT_MARCA,E103,MOT_DESDE,"&lt;="&amp;M103,MOT_HASTA,"&gt;="&amp;M103)+SUMIFS(MOT_AJUSTE,MOT_MOTOR,G103,MOT_MARCA,"(todas)",MOT_DESDE,"&lt;="&amp;M103,MOT_HASTA,"&gt;="&amp;M103)+SUMIFS(MOT_AJUSTE,MOT_MOTOR,"(cualquiera)",MOT_MARCA,E103,MOT_DESDE,"&lt;="&amp;M103,MOT_HASTA,"&gt;="&amp;M103)</f>
        <v/>
      </c>
      <c r="BX103" s="3">
        <f>SUMIFS(COMB_AJUSTE,COMB_COMB,K103)</f>
        <v/>
      </c>
      <c r="BY103" s="3">
        <f>COUNTIFS(MOT_MOTOR,G103,MOT_MARCA,E103,MOT_DESDE,"&lt;="&amp;M103,MOT_HASTA,"&gt;="&amp;M103)+COUNTIFS(MOT_MOTOR,G103,MOT_MARCA,"(todas)",MOT_DESDE,"&lt;="&amp;M103,MOT_HASTA,"&gt;="&amp;M103)+COUNTIFS(MOT_MOTOR,"(cualquiera)",MOT_MARCA,E103,MOT_DESDE,"&lt;="&amp;M103,MOT_HASTA,"&gt;="&amp;M103)</f>
        <v/>
      </c>
      <c r="BZ103" s="3">
        <f>IF(AND(K103="diesel",BY103=0),MIN(BV103,NEUTRO),BV103)</f>
        <v/>
      </c>
      <c r="CA103" s="3">
        <f>MAX(0,MIN(100,BZ103+BW103+BX103-IF(AV103="sí",ROB_PEN,0)))</f>
        <v/>
      </c>
      <c r="CB103" s="3">
        <f>100-MAX(0,N103-KM_TOPE_DESDE)/1000*KM_TOPE_PTS</f>
        <v/>
      </c>
      <c r="CC103" s="3">
        <f>MAX(0,MIN(100,50+BO103*PRECIO_PEND,CB103))</f>
        <v/>
      </c>
      <c r="CD103" s="3">
        <f>MAX(0,100*(1-N103/KM_MAX))</f>
        <v/>
      </c>
      <c r="CE103" s="3">
        <f>IF(BF103&lt;KMA_SOSP,IF(AA103="sí",100,KMA_PEN),IF(BF103&lt;=KMA_IDEAL_MAX,100,MAX(0,100*(KMA_CERO-BF103)/(KMA_CERO-KMA_IDEAL_MAX))))</f>
        <v/>
      </c>
      <c r="CF103" s="3">
        <f>MAX(0,MIN(100,100*(M103-ANIO_MIN)/(ANIO_ACTUAL-ANIO_MIN)))</f>
        <v/>
      </c>
      <c r="CG103" s="3">
        <f>W_KMT*CD103+W_KMA*CE103+W_EDAD*CF103</f>
        <v/>
      </c>
      <c r="CH103" s="3">
        <f>P_ITV*(V103="sí")+P_LIBRO*(W103="sí")+P_CORREA*(X103="sí")+P_PROP*(Y103=1)+P_GAR*(Z103="sí")+P_FOTOS*MIN(1,N(U103)/FOTOS_OBJ)</f>
        <v/>
      </c>
      <c r="CI103" s="3">
        <f>MAX(0,MIN(100,IFERROR(VLOOKUP(BT103,ETQ_TBL,2,0),0)-IF(BU103="sí",ETQ_PEN_DUD,IF(AS103="regla",ETQ_PEN_REGLA,0))))</f>
        <v/>
      </c>
      <c r="CJ103" s="3">
        <f>IF(K103&lt;&gt;"gasolina","",IFERROR(VLOOKUP(F103,CONS_MOD_TBL,2,0),IFERROR(VLOOKUP(L103,CONS_SEG_TBL,2,0),"")))</f>
        <v/>
      </c>
      <c r="CK103" s="3">
        <f>IF(CJ103="",NEUTRO,MAX(0,MIN(100,100*(CONS_REF_MAX-CJ103)/(CONS_REF_MAX-CONS_REF_MIN))))</f>
        <v/>
      </c>
      <c r="CL103" s="3">
        <f>IFERROR(VLOOKUP(L103,SEGURO_TBL,3,0),"")</f>
        <v/>
      </c>
      <c r="CM103" s="3">
        <f>IF(CL103="",NEUTRO,MAX(0,MIN(100,100*(SEG_REF_MAX-CL103)/(SEG_REF_MAX-SEG_REF_MIN))))</f>
        <v/>
      </c>
      <c r="CN103" s="3">
        <f>W_CONS*CK103+W_SEG*CM103</f>
        <v/>
      </c>
      <c r="CO103" s="3">
        <f>IF(N(AB103)&gt;0,AB103,IF(AND(R103="profesional",SG_LEGAL_ON=1),GAR_LEGAL,0))</f>
        <v/>
      </c>
      <c r="CP103" s="3">
        <f>SG_GAR*MIN(1,CO103/SG_GAR_FULL)+SG_AMPL*(AC103="sí")+SG_KMC*(AF103="sí")+SG_REV*(N(AE103)&gt;0)+SG_DEV*MIN(1,N(AG103)/SG_DEV_FULL)+SG_HIST*(W103="sí")</f>
        <v/>
      </c>
      <c r="CQ103" s="3">
        <f>IF(AW103="sí",ESTILO_PRIO,IFERROR(VLOOKUP(L103,ESTILO_TBL,2,0),NEUTRO))</f>
        <v/>
      </c>
      <c r="CR103" s="3">
        <f>IFERROR(VLOOKUP(L103,CARR_PEN_TBL,2,0),0)</f>
        <v/>
      </c>
      <c r="CS103" s="3">
        <f>W_FIAB*CA103+W_PRECIO*CC103+W_KMEDAD*CG103+W_ANUNCIO*CH103+W_USO*CN103+W_SEGURIDAD*CP103+W_ETIQUETA*CI103+W_ESTILO*CQ103-CR103</f>
        <v/>
      </c>
      <c r="CT103" s="4">
        <f>IF(N(I103)&gt;0,I103,IFERROR(ROUND(_xlfn.NUMBERVALUE(LEFT(G103,FIND(" ",G103&amp;" ")-1),".")*1000,0),99999))</f>
        <v/>
      </c>
      <c r="CU103" s="3">
        <f>IF(R103="profesional",0,IF(O103&lt;CUOTA_VALOR_MAX,IF(BE103&gt;ITP_TRAMO_ALTO,SUMIFS(CF_CUOTA,CF_MAS,ITP_TRAMO_ALTO,CF_CCMIN,"&lt;="&amp;CT103,CF_CCMAX,"&gt;="&amp;CT103),IF(BE103&gt;ITP_TRAMO_BAJO,SUMIFS(CF_CUOTA,CF_MAS,ITP_TRAMO_BAJO,CF_CCMIN,"&lt;="&amp;CT103,CF_CCMAX,"&gt;="&amp;CT103),O103*ITP_TIPO)),O103*ITP_TIPO))</f>
        <v/>
      </c>
      <c r="CV103" s="4">
        <f>IF(R103="profesional",N(AK103),0)</f>
        <v/>
      </c>
      <c r="CW103" s="3">
        <f>IF(AND(R103="profesional",ISNUMBER(AK103),AL103="sí"),0,TASA_DGT)</f>
        <v/>
      </c>
      <c r="CX103" s="3">
        <f>INFORME_DGT</f>
        <v/>
      </c>
      <c r="CY103" s="4">
        <f>O103+CV103+CU103+CW103+CX103</f>
        <v/>
      </c>
      <c r="CZ103" s="4">
        <f>CY103+N(CL103)</f>
        <v/>
      </c>
      <c r="DA103" s="3">
        <f>IF(CY103&lt;=TOTAL_MAX,"sí",IF(CY103&lt;=TOTAL_MAX+MARGEN_NEG,"negociar","no"))</f>
        <v/>
      </c>
      <c r="DB103" s="4">
        <f>IF(DA103&lt;&gt;"no",COUNTIFS($DA$2:$DA$130,"&lt;&gt;no",$CS$2:$CS$130,"&gt;"&amp;CS103)+COUNTIFS($DA$2:DA103,"&lt;&gt;no",$CS$2:CS103,CS103),"")</f>
        <v/>
      </c>
    </row>
    <row r="104">
      <c r="A104" s="2" t="inlineStr">
        <is>
          <t>cochesnet:71021641</t>
        </is>
      </c>
      <c r="B104" s="2" t="inlineStr">
        <is>
          <t>cochesnet</t>
        </is>
      </c>
      <c r="C104" s="2" t="inlineStr">
        <is>
          <t>https://www.coches.net/kia-rio-15-16v-ls-5p-gasolina-2004-en-valencia-71021641-covo.aspx</t>
        </is>
      </c>
      <c r="D104" s="2" t="inlineStr">
        <is>
          <t>KIA Rio 1.5 16v LS</t>
        </is>
      </c>
      <c r="E104" s="2" t="inlineStr">
        <is>
          <t>Kia</t>
        </is>
      </c>
      <c r="F104" s="2" t="inlineStr">
        <is>
          <t>Kia Rio</t>
        </is>
      </c>
      <c r="G104" s="2" t="inlineStr">
        <is>
          <t>1.5</t>
        </is>
      </c>
      <c r="H104" s="2" t="inlineStr">
        <is>
          <t>1.5 16v LS</t>
        </is>
      </c>
      <c r="I104" s="2" t="n"/>
      <c r="J104" s="2" t="n"/>
      <c r="K104" s="2" t="inlineStr">
        <is>
          <t>gasolina</t>
        </is>
      </c>
      <c r="L104" s="2" t="inlineStr">
        <is>
          <t>utilitario</t>
        </is>
      </c>
      <c r="M104" s="2" t="n">
        <v>2004</v>
      </c>
      <c r="N104" s="2" t="n">
        <v>119000</v>
      </c>
      <c r="O104" s="2" t="n">
        <v>2500</v>
      </c>
      <c r="P104" s="2" t="inlineStr">
        <is>
          <t>manual</t>
        </is>
      </c>
      <c r="Q104" s="2" t="inlineStr">
        <is>
          <t>no</t>
        </is>
      </c>
      <c r="R104" s="2" t="inlineStr">
        <is>
          <t>profesional</t>
        </is>
      </c>
      <c r="S104" s="2" t="inlineStr">
        <is>
          <t>Beniparrell</t>
        </is>
      </c>
      <c r="T104" s="2" t="inlineStr">
        <is>
          <t>2026-10-05T12:34:52Z</t>
        </is>
      </c>
      <c r="U104" s="2" t="n">
        <v>13</v>
      </c>
      <c r="V104" s="2" t="n"/>
      <c r="W104" s="2" t="n"/>
      <c r="X104" s="2" t="n"/>
      <c r="Y104" s="2" t="n"/>
      <c r="Z104" s="2" t="inlineStr">
        <is>
          <t>sí</t>
        </is>
      </c>
      <c r="AA104" s="2" t="n"/>
      <c r="AB104" s="2" t="n">
        <v>12</v>
      </c>
      <c r="AC104" s="2" t="n"/>
      <c r="AD104" s="2" t="n"/>
      <c r="AE104" s="2" t="n"/>
      <c r="AF104" s="2" t="n"/>
      <c r="AG104" s="2" t="n"/>
      <c r="AH104" s="2" t="n">
        <v>2500</v>
      </c>
      <c r="AI104" s="2" t="n"/>
      <c r="AJ104" s="2" t="n"/>
      <c r="AK104" s="2" t="n"/>
      <c r="AL104" s="2" t="n"/>
      <c r="AM104" s="2" t="n">
        <v>10.2</v>
      </c>
      <c r="AN104" s="2" t="n"/>
      <c r="AO104" s="2" t="inlineStr">
        <is>
          <t>2004</t>
        </is>
      </c>
      <c r="AP104" s="2" t="n">
        <v>2004</v>
      </c>
      <c r="AQ104" s="2" t="n"/>
      <c r="AR104" s="2" t="inlineStr">
        <is>
          <t>B</t>
        </is>
      </c>
      <c r="AS104" s="2" t="inlineStr">
        <is>
          <t>anuncio</t>
        </is>
      </c>
      <c r="AT104" s="2" t="n"/>
      <c r="AU104" s="2" t="inlineStr">
        <is>
          <t>no</t>
        </is>
      </c>
      <c r="AV104" s="2" t="inlineStr">
        <is>
          <t>no</t>
        </is>
      </c>
      <c r="AW104" s="2" t="inlineStr">
        <is>
          <t>no</t>
        </is>
      </c>
      <c r="AX104" s="2" t="n">
        <v>2950</v>
      </c>
      <c r="AY104" s="2" t="n">
        <v>4</v>
      </c>
      <c r="AZ104" s="2" t="inlineStr">
        <is>
          <t>modelo+año</t>
        </is>
      </c>
      <c r="BA104" s="2" t="n"/>
      <c r="BB104" s="2" t="inlineStr">
        <is>
          <t>vendedor profesional: sin ITP (operación con IVA/REBU, confirmar en factura); gastos de gestión del vendedor no indicados: se suma la tasa DGT; preguntar el precio final; revisar: no menciona la ITV; fiabilidad del modelo PENDIENTE de fuente (puntuación neutra)</t>
        </is>
      </c>
      <c r="BC104" s="2" t="inlineStr">
        <is>
          <t>Este Kia Rio es un berlina compacto de cinco puertas con tracción delantera, equipado con un motor de 1,5 litros y transmisión manual que ofrece un comportamiento ágil en ciudad. Con 97 CV de potencia y un consumo combinado de 7,3 litros cada 100 kilómetros, resulta eficiente para desplazamientos diarios tanto en entornos urbanos como en carretera.
El interior aprovecha bien el espacio disponible con asientos delanteros individuales —el del conductor con ajuste lumbar— y una banqueta trasera de tres plazas con respaldo abatible asimétrico. El maletero ofrece 449 litros de capacidad, ampliables a 870 litros con los asientos traseros plegados, lo que lo hace versátil para diferentes necesidades de carga.
En cuanto a seguridad, este vehículo incorpora airbags frontales, ABS en las cuatro ruedas, cinturones de seguridad de tres puntos en todas las posiciones y un sistema de check control. La dirección asistida y la suspensión independiente delantera tipo McPherson proporcionan una conducción cómoda y controlada.
El equipamiento incluye climatización, cierre centralizado con mando a distancia y apertura del maletero, elevalunas eléctricos delanteros y traseros, retrovisores exteriores eléctricos desempañables, y cristales tintados. Los faros cuentan con lentes de superficie compleja y luces antiniebla delanteras. El volante es ajustable en altura y está revestido de cuero.
Posee etiqueta medioambiental B, que facilita el acceso a zonas de circulación restringida en ciudades co</t>
        </is>
      </c>
      <c r="BD104" s="2" t="inlineStr">
        <is>
          <t>https://www.coches.net/kia-rio-15-16v-ls-5p-gasolina-2004-en-valencia-71021641-covo.aspx (window.__INITIAL_PROPS__.ad) /home/user/Alopecia/buscador-coches/raw/cochesnet/fba6c8a68a2b5012.json</t>
        </is>
      </c>
      <c r="BE104" s="3">
        <f>MAX(ANIO_ACTUAL-M104,0)</f>
        <v/>
      </c>
      <c r="BF104" s="4">
        <f>N104/MAX(BE104,0.5)</f>
        <v/>
      </c>
      <c r="BG104" s="4">
        <f>F104</f>
        <v/>
      </c>
      <c r="BH104" s="3">
        <f>BG104&amp;"|"&amp;INT(M104/SEG_ANIO)*SEG_ANIO</f>
        <v/>
      </c>
      <c r="BI104" s="3">
        <f>BH104&amp;"|"&amp;INT(N104/SEG_KM)*SEG_KM</f>
        <v/>
      </c>
      <c r="BJ104" s="4">
        <f>COUNTIF($BG$2:$BG$130,BG104)</f>
        <v/>
      </c>
      <c r="BK104" s="4">
        <f>COUNTIF($BH$2:$BH$130,BH104)</f>
        <v/>
      </c>
      <c r="BL104" s="4">
        <f>COUNTIF($BI$2:$BI$130,BI104)</f>
        <v/>
      </c>
      <c r="BM104" s="3">
        <f t="array" ref="BM104">IF(N(AY104)&gt;=MIN_N,AX104,IF(BL104&gt;=MIN_N,MEDIAN(IF($BI$2:$BI$130=BI104,$O$2:$O$130)),IF(BK104&gt;=MIN_N,MEDIAN(IF($BH$2:$BH$130=BH104,$O$2:$O$130)),MEDIAN(IF($BG$2:$BG$130=BG104,$O$2:$O$130)))))</f>
        <v/>
      </c>
      <c r="BN104" s="3">
        <f>IF(N(AY104)&gt;=MIN_N,"mercado "&amp;AZ104,IF(BL104&gt;=MIN_N,"modelo+año+km",IF(BK104&gt;=MIN_N,"modelo+año","modelo")))</f>
        <v/>
      </c>
      <c r="BO104" s="4">
        <f>(BM104-O104)/BM104</f>
        <v/>
      </c>
      <c r="BP104" s="3">
        <f>IF(COUNTIFS(FR_FUEL,K104,FR_YEAR,AP104)&gt;0,1,0)</f>
        <v/>
      </c>
      <c r="BQ104" s="3">
        <f>IF(COUNTIFS(FR_FUEL,K104,FR_YEAR,AP104-1)&gt;0,1,0)</f>
        <v/>
      </c>
      <c r="BR104" s="4">
        <f>IF(N(AQ104)&gt;0,AP104*100+AQ104,IF(AND(BP104=1,BQ104=1),(AP104-1)*100+1,AP104*100+1))</f>
        <v/>
      </c>
      <c r="BS104" s="3">
        <f>IF(OR(K104="hibrido",K104="glp",K104="gnc",K104="phev"),"ECO",IF(K104="electrico","CERO",IF(K104="gasolina",IF(BR104&gt;=GAS_C_YM,"C",IF(BR104&gt;=GAS_B_YM,"B","A")),IF(K104="diesel",IF(BR104&gt;=DIE_C_YM,"C",IF(BR104&gt;=DIE_B_YM,"B","A")),""))))</f>
        <v/>
      </c>
      <c r="BT104" s="2" t="inlineStr">
        <is>
          <t>B</t>
        </is>
      </c>
      <c r="BU104" s="4">
        <f>IF(AU104="sí","sí",IF(AS104="regla",IF(AND(N(AQ104)=0,BP104=1),"sí","no"),"no"))</f>
        <v/>
      </c>
      <c r="BV104" s="3">
        <f>IFERROR(VLOOKUP(F104,MOD_TBL,16,0),IFERROR(VLOOKUP(E104,OCU_TBL,2,0),NEUTRO))</f>
        <v/>
      </c>
      <c r="BW104" s="3">
        <f>SUMIFS(MOT_AJUSTE,MOT_MOTOR,G104,MOT_MARCA,E104,MOT_DESDE,"&lt;="&amp;M104,MOT_HASTA,"&gt;="&amp;M104)+SUMIFS(MOT_AJUSTE,MOT_MOTOR,G104,MOT_MARCA,"(todas)",MOT_DESDE,"&lt;="&amp;M104,MOT_HASTA,"&gt;="&amp;M104)+SUMIFS(MOT_AJUSTE,MOT_MOTOR,"(cualquiera)",MOT_MARCA,E104,MOT_DESDE,"&lt;="&amp;M104,MOT_HASTA,"&gt;="&amp;M104)</f>
        <v/>
      </c>
      <c r="BX104" s="3">
        <f>SUMIFS(COMB_AJUSTE,COMB_COMB,K104)</f>
        <v/>
      </c>
      <c r="BY104" s="3">
        <f>COUNTIFS(MOT_MOTOR,G104,MOT_MARCA,E104,MOT_DESDE,"&lt;="&amp;M104,MOT_HASTA,"&gt;="&amp;M104)+COUNTIFS(MOT_MOTOR,G104,MOT_MARCA,"(todas)",MOT_DESDE,"&lt;="&amp;M104,MOT_HASTA,"&gt;="&amp;M104)+COUNTIFS(MOT_MOTOR,"(cualquiera)",MOT_MARCA,E104,MOT_DESDE,"&lt;="&amp;M104,MOT_HASTA,"&gt;="&amp;M104)</f>
        <v/>
      </c>
      <c r="BZ104" s="3">
        <f>IF(AND(K104="diesel",BY104=0),MIN(BV104,NEUTRO),BV104)</f>
        <v/>
      </c>
      <c r="CA104" s="3">
        <f>MAX(0,MIN(100,BZ104+BW104+BX104-IF(AV104="sí",ROB_PEN,0)))</f>
        <v/>
      </c>
      <c r="CB104" s="3">
        <f>100-MAX(0,N104-KM_TOPE_DESDE)/1000*KM_TOPE_PTS</f>
        <v/>
      </c>
      <c r="CC104" s="3">
        <f>MAX(0,MIN(100,50+BO104*PRECIO_PEND,CB104))</f>
        <v/>
      </c>
      <c r="CD104" s="3">
        <f>MAX(0,100*(1-N104/KM_MAX))</f>
        <v/>
      </c>
      <c r="CE104" s="3">
        <f>IF(BF104&lt;KMA_SOSP,IF(AA104="sí",100,KMA_PEN),IF(BF104&lt;=KMA_IDEAL_MAX,100,MAX(0,100*(KMA_CERO-BF104)/(KMA_CERO-KMA_IDEAL_MAX))))</f>
        <v/>
      </c>
      <c r="CF104" s="3">
        <f>MAX(0,MIN(100,100*(M104-ANIO_MIN)/(ANIO_ACTUAL-ANIO_MIN)))</f>
        <v/>
      </c>
      <c r="CG104" s="3">
        <f>W_KMT*CD104+W_KMA*CE104+W_EDAD*CF104</f>
        <v/>
      </c>
      <c r="CH104" s="3">
        <f>P_ITV*(V104="sí")+P_LIBRO*(W104="sí")+P_CORREA*(X104="sí")+P_PROP*(Y104=1)+P_GAR*(Z104="sí")+P_FOTOS*MIN(1,N(U104)/FOTOS_OBJ)</f>
        <v/>
      </c>
      <c r="CI104" s="3">
        <f>MAX(0,MIN(100,IFERROR(VLOOKUP(BT104,ETQ_TBL,2,0),0)-IF(BU104="sí",ETQ_PEN_DUD,IF(AS104="regla",ETQ_PEN_REGLA,0))))</f>
        <v/>
      </c>
      <c r="CJ104" s="3">
        <f>IF(K104&lt;&gt;"gasolina","",IFERROR(VLOOKUP(F104,CONS_MOD_TBL,2,0),IFERROR(VLOOKUP(L104,CONS_SEG_TBL,2,0),"")))</f>
        <v/>
      </c>
      <c r="CK104" s="3">
        <f>IF(CJ104="",NEUTRO,MAX(0,MIN(100,100*(CONS_REF_MAX-CJ104)/(CONS_REF_MAX-CONS_REF_MIN))))</f>
        <v/>
      </c>
      <c r="CL104" s="3">
        <f>IFERROR(VLOOKUP(L104,SEGURO_TBL,3,0),"")</f>
        <v/>
      </c>
      <c r="CM104" s="3">
        <f>IF(CL104="",NEUTRO,MAX(0,MIN(100,100*(SEG_REF_MAX-CL104)/(SEG_REF_MAX-SEG_REF_MIN))))</f>
        <v/>
      </c>
      <c r="CN104" s="3">
        <f>W_CONS*CK104+W_SEG*CM104</f>
        <v/>
      </c>
      <c r="CO104" s="3">
        <f>IF(N(AB104)&gt;0,AB104,IF(AND(R104="profesional",SG_LEGAL_ON=1),GAR_LEGAL,0))</f>
        <v/>
      </c>
      <c r="CP104" s="3">
        <f>SG_GAR*MIN(1,CO104/SG_GAR_FULL)+SG_AMPL*(AC104="sí")+SG_KMC*(AF104="sí")+SG_REV*(N(AE104)&gt;0)+SG_DEV*MIN(1,N(AG104)/SG_DEV_FULL)+SG_HIST*(W104="sí")</f>
        <v/>
      </c>
      <c r="CQ104" s="3">
        <f>IF(AW104="sí",ESTILO_PRIO,IFERROR(VLOOKUP(L104,ESTILO_TBL,2,0),NEUTRO))</f>
        <v/>
      </c>
      <c r="CR104" s="3">
        <f>IFERROR(VLOOKUP(L104,CARR_PEN_TBL,2,0),0)</f>
        <v/>
      </c>
      <c r="CS104" s="3">
        <f>W_FIAB*CA104+W_PRECIO*CC104+W_KMEDAD*CG104+W_ANUNCIO*CH104+W_USO*CN104+W_SEGURIDAD*CP104+W_ETIQUETA*CI104+W_ESTILO*CQ104-CR104</f>
        <v/>
      </c>
      <c r="CT104" s="4">
        <f>IF(N(I104)&gt;0,I104,IFERROR(ROUND(_xlfn.NUMBERVALUE(LEFT(G104,FIND(" ",G104&amp;" ")-1),".")*1000,0),99999))</f>
        <v/>
      </c>
      <c r="CU104" s="3">
        <f>IF(R104="profesional",0,IF(O104&lt;CUOTA_VALOR_MAX,IF(BE104&gt;ITP_TRAMO_ALTO,SUMIFS(CF_CUOTA,CF_MAS,ITP_TRAMO_ALTO,CF_CCMIN,"&lt;="&amp;CT104,CF_CCMAX,"&gt;="&amp;CT104),IF(BE104&gt;ITP_TRAMO_BAJO,SUMIFS(CF_CUOTA,CF_MAS,ITP_TRAMO_BAJO,CF_CCMIN,"&lt;="&amp;CT104,CF_CCMAX,"&gt;="&amp;CT104),O104*ITP_TIPO)),O104*ITP_TIPO))</f>
        <v/>
      </c>
      <c r="CV104" s="4">
        <f>IF(R104="profesional",N(AK104),0)</f>
        <v/>
      </c>
      <c r="CW104" s="3">
        <f>IF(AND(R104="profesional",ISNUMBER(AK104),AL104="sí"),0,TASA_DGT)</f>
        <v/>
      </c>
      <c r="CX104" s="3">
        <f>INFORME_DGT</f>
        <v/>
      </c>
      <c r="CY104" s="4">
        <f>O104+CV104+CU104+CW104+CX104</f>
        <v/>
      </c>
      <c r="CZ104" s="4">
        <f>CY104+N(CL104)</f>
        <v/>
      </c>
      <c r="DA104" s="3">
        <f>IF(CY104&lt;=TOTAL_MAX,"sí",IF(CY104&lt;=TOTAL_MAX+MARGEN_NEG,"negociar","no"))</f>
        <v/>
      </c>
      <c r="DB104" s="4">
        <f>IF(DA104&lt;&gt;"no",COUNTIFS($DA$2:$DA$130,"&lt;&gt;no",$CS$2:$CS$130,"&gt;"&amp;CS104)+COUNTIFS($DA$2:DA104,"&lt;&gt;no",$CS$2:CS104,CS104),"")</f>
        <v/>
      </c>
    </row>
    <row r="105">
      <c r="A105" s="2" t="inlineStr">
        <is>
          <t>cochesnet:71596757</t>
        </is>
      </c>
      <c r="B105" s="2" t="inlineStr">
        <is>
          <t>cochesnet</t>
        </is>
      </c>
      <c r="C105" s="2" t="inlineStr">
        <is>
          <t>https://www.coches.net/kia-picanto-11-sohc-lx-5p-gasolina-2006-en-valencia-71596757-covo.aspx</t>
        </is>
      </c>
      <c r="D105" s="2" t="inlineStr">
        <is>
          <t>KIA Picanto 1.1 SOHC LX</t>
        </is>
      </c>
      <c r="E105" s="2" t="inlineStr">
        <is>
          <t>Kia</t>
        </is>
      </c>
      <c r="F105" s="2" t="inlineStr">
        <is>
          <t>Kia Picanto</t>
        </is>
      </c>
      <c r="G105" s="2" t="inlineStr">
        <is>
          <t>1.1</t>
        </is>
      </c>
      <c r="H105" s="2" t="inlineStr">
        <is>
          <t>1.1 SOHC LX</t>
        </is>
      </c>
      <c r="I105" s="2" t="n"/>
      <c r="J105" s="2" t="n"/>
      <c r="K105" s="2" t="inlineStr">
        <is>
          <t>gasolina</t>
        </is>
      </c>
      <c r="L105" s="2" t="inlineStr">
        <is>
          <t>utilitario</t>
        </is>
      </c>
      <c r="M105" s="2" t="n">
        <v>2005</v>
      </c>
      <c r="N105" s="2" t="n">
        <v>121495</v>
      </c>
      <c r="O105" s="2" t="n">
        <v>3490</v>
      </c>
      <c r="P105" s="2" t="inlineStr">
        <is>
          <t>manual</t>
        </is>
      </c>
      <c r="Q105" s="2" t="inlineStr">
        <is>
          <t>no</t>
        </is>
      </c>
      <c r="R105" s="2" t="inlineStr">
        <is>
          <t>profesional</t>
        </is>
      </c>
      <c r="S105" s="2" t="inlineStr">
        <is>
          <t>Autofira Picanya-Torrent Torrent</t>
        </is>
      </c>
      <c r="T105" s="2" t="inlineStr">
        <is>
          <t>2026-09-25T11:59:33Z</t>
        </is>
      </c>
      <c r="U105" s="2" t="n">
        <v>25</v>
      </c>
      <c r="V105" s="2" t="n"/>
      <c r="W105" s="2" t="n"/>
      <c r="X105" s="2" t="n"/>
      <c r="Y105" s="2" t="n">
        <v>1</v>
      </c>
      <c r="Z105" s="2" t="inlineStr">
        <is>
          <t>sí</t>
        </is>
      </c>
      <c r="AA105" s="2" t="n"/>
      <c r="AB105" s="2" t="n">
        <v>12</v>
      </c>
      <c r="AC105" s="2" t="n"/>
      <c r="AD105" s="2" t="n"/>
      <c r="AE105" s="2" t="n"/>
      <c r="AF105" s="2" t="inlineStr">
        <is>
          <t>sí</t>
        </is>
      </c>
      <c r="AG105" s="2" t="n"/>
      <c r="AH105" s="2" t="n">
        <v>3490</v>
      </c>
      <c r="AI105" s="2" t="n"/>
      <c r="AJ105" s="2" t="n"/>
      <c r="AK105" s="2" t="n"/>
      <c r="AL105" s="2" t="n"/>
      <c r="AM105" s="2" t="n">
        <v>8.800000000000001</v>
      </c>
      <c r="AN105" s="2" t="n"/>
      <c r="AO105" s="2" t="inlineStr">
        <is>
          <t>2005</t>
        </is>
      </c>
      <c r="AP105" s="2" t="n">
        <v>2005</v>
      </c>
      <c r="AQ105" s="2" t="n"/>
      <c r="AR105" s="2" t="inlineStr">
        <is>
          <t>C</t>
        </is>
      </c>
      <c r="AS105" s="2" t="inlineStr">
        <is>
          <t>anuncio</t>
        </is>
      </c>
      <c r="AT105" s="2" t="n">
        <v>2006</v>
      </c>
      <c r="AU105" s="2" t="inlineStr">
        <is>
          <t>no</t>
        </is>
      </c>
      <c r="AV105" s="2" t="inlineStr">
        <is>
          <t>no</t>
        </is>
      </c>
      <c r="AW105" s="2" t="inlineStr">
        <is>
          <t>no</t>
        </is>
      </c>
      <c r="AX105" s="2" t="n">
        <v>2800</v>
      </c>
      <c r="AY105" s="2" t="n">
        <v>7</v>
      </c>
      <c r="AZ105" s="2" t="inlineStr">
        <is>
          <t>modelo+año</t>
        </is>
      </c>
      <c r="BA105" s="2" t="n"/>
      <c r="BB105" s="2" t="inlineStr">
        <is>
          <t>año a confirmar: la URL/título dice 2006; vendedor profesional: sin ITP (operación con IVA/REBU, confirmar en factura); gastos de gestión del vendedor no indicados: se suma la tasa DGT; preguntar el precio final</t>
        </is>
      </c>
      <c r="BC105" s="2" t="inlineStr">
        <is>
          <t xml:space="preserve">Vehiculo de un unico propietario, en muy buen estado y con pocos kilometros.
Extras Significativos:
-MOTOR GASOLINA MUY EFCICIENTE Y ROBUSTO 
-AIRE ACONDICIONADO
-DIRECCION ASISTIDA
-CIERRE CENTRALIZADO
-ETC...........
VEHICULO TOTALMENTE REVISADO (se entrega con cambio de aceite, filtro de aceite, filtro de aire, filtro de gasolina y correa de distribucion) , KILOMETROS GARANTIZADOS. PRECIO CON CAMBIO DE NOMBRE E IMPUESTOS
INCLUIDO+GARANTIA+ITV+REVISION PARA 10000 KMS. SE ADMITE COCHE A CAMBIO COMO PARTE DEL PRECIO. 
En nuestra empresa encontrara los mejores vehiculos de ocasión ,totalmente resvisados y garantizados , a precios inmejorables. Le recomendamos que vean nuestros vehiculos, con descuentos de hasta un 30% en algunos modelos Disponemos de un amplio stock de todo tipo de vehiculos. Garantia incluida en nuestros talleres, si la venta se efectua fuera de la comunidad Valenciana ira aparte del p.v.p. final del anuncio, la cual se contratara con una empresa de exclusiva de garantias mecanicas.
</t>
        </is>
      </c>
      <c r="BD105" s="2" t="inlineStr">
        <is>
          <t>https://www.coches.net/kia-picanto-11-sohc-lx-5p-gasolina-2006-en-valencia-71596757-covo.aspx (window.__INITIAL_PROPS__.ad) /home/user/Alopecia/buscador-coches/raw/cochesnet/9dc20671137a7b2a.json</t>
        </is>
      </c>
      <c r="BE105" s="3">
        <f>MAX(ANIO_ACTUAL-M105,0)</f>
        <v/>
      </c>
      <c r="BF105" s="4">
        <f>N105/MAX(BE105,0.5)</f>
        <v/>
      </c>
      <c r="BG105" s="4">
        <f>F105</f>
        <v/>
      </c>
      <c r="BH105" s="3">
        <f>BG105&amp;"|"&amp;INT(M105/SEG_ANIO)*SEG_ANIO</f>
        <v/>
      </c>
      <c r="BI105" s="3">
        <f>BH105&amp;"|"&amp;INT(N105/SEG_KM)*SEG_KM</f>
        <v/>
      </c>
      <c r="BJ105" s="4">
        <f>COUNTIF($BG$2:$BG$130,BG105)</f>
        <v/>
      </c>
      <c r="BK105" s="4">
        <f>COUNTIF($BH$2:$BH$130,BH105)</f>
        <v/>
      </c>
      <c r="BL105" s="4">
        <f>COUNTIF($BI$2:$BI$130,BI105)</f>
        <v/>
      </c>
      <c r="BM105" s="3">
        <f t="array" ref="BM105">IF(N(AY105)&gt;=MIN_N,AX105,IF(BL105&gt;=MIN_N,MEDIAN(IF($BI$2:$BI$130=BI105,$O$2:$O$130)),IF(BK105&gt;=MIN_N,MEDIAN(IF($BH$2:$BH$130=BH105,$O$2:$O$130)),MEDIAN(IF($BG$2:$BG$130=BG105,$O$2:$O$130)))))</f>
        <v/>
      </c>
      <c r="BN105" s="3">
        <f>IF(N(AY105)&gt;=MIN_N,"mercado "&amp;AZ105,IF(BL105&gt;=MIN_N,"modelo+año+km",IF(BK105&gt;=MIN_N,"modelo+año","modelo")))</f>
        <v/>
      </c>
      <c r="BO105" s="4">
        <f>(BM105-O105)/BM105</f>
        <v/>
      </c>
      <c r="BP105" s="3">
        <f>IF(COUNTIFS(FR_FUEL,K105,FR_YEAR,AP105)&gt;0,1,0)</f>
        <v/>
      </c>
      <c r="BQ105" s="3">
        <f>IF(COUNTIFS(FR_FUEL,K105,FR_YEAR,AP105-1)&gt;0,1,0)</f>
        <v/>
      </c>
      <c r="BR105" s="4">
        <f>IF(N(AQ105)&gt;0,AP105*100+AQ105,IF(AND(BP105=1,BQ105=1),(AP105-1)*100+1,AP105*100+1))</f>
        <v/>
      </c>
      <c r="BS105" s="3">
        <f>IF(OR(K105="hibrido",K105="glp",K105="gnc",K105="phev"),"ECO",IF(K105="electrico","CERO",IF(K105="gasolina",IF(BR105&gt;=GAS_C_YM,"C",IF(BR105&gt;=GAS_B_YM,"B","A")),IF(K105="diesel",IF(BR105&gt;=DIE_C_YM,"C",IF(BR105&gt;=DIE_B_YM,"B","A")),""))))</f>
        <v/>
      </c>
      <c r="BT105" s="2" t="inlineStr">
        <is>
          <t>C</t>
        </is>
      </c>
      <c r="BU105" s="4">
        <f>IF(AU105="sí","sí",IF(AS105="regla",IF(AND(N(AQ105)=0,BP105=1),"sí","no"),"no"))</f>
        <v/>
      </c>
      <c r="BV105" s="3">
        <f>IFERROR(VLOOKUP(F105,MOD_TBL,16,0),IFERROR(VLOOKUP(E105,OCU_TBL,2,0),NEUTRO))</f>
        <v/>
      </c>
      <c r="BW105" s="3">
        <f>SUMIFS(MOT_AJUSTE,MOT_MOTOR,G105,MOT_MARCA,E105,MOT_DESDE,"&lt;="&amp;M105,MOT_HASTA,"&gt;="&amp;M105)+SUMIFS(MOT_AJUSTE,MOT_MOTOR,G105,MOT_MARCA,"(todas)",MOT_DESDE,"&lt;="&amp;M105,MOT_HASTA,"&gt;="&amp;M105)+SUMIFS(MOT_AJUSTE,MOT_MOTOR,"(cualquiera)",MOT_MARCA,E105,MOT_DESDE,"&lt;="&amp;M105,MOT_HASTA,"&gt;="&amp;M105)</f>
        <v/>
      </c>
      <c r="BX105" s="3">
        <f>SUMIFS(COMB_AJUSTE,COMB_COMB,K105)</f>
        <v/>
      </c>
      <c r="BY105" s="3">
        <f>COUNTIFS(MOT_MOTOR,G105,MOT_MARCA,E105,MOT_DESDE,"&lt;="&amp;M105,MOT_HASTA,"&gt;="&amp;M105)+COUNTIFS(MOT_MOTOR,G105,MOT_MARCA,"(todas)",MOT_DESDE,"&lt;="&amp;M105,MOT_HASTA,"&gt;="&amp;M105)+COUNTIFS(MOT_MOTOR,"(cualquiera)",MOT_MARCA,E105,MOT_DESDE,"&lt;="&amp;M105,MOT_HASTA,"&gt;="&amp;M105)</f>
        <v/>
      </c>
      <c r="BZ105" s="3">
        <f>IF(AND(K105="diesel",BY105=0),MIN(BV105,NEUTRO),BV105)</f>
        <v/>
      </c>
      <c r="CA105" s="3">
        <f>MAX(0,MIN(100,BZ105+BW105+BX105-IF(AV105="sí",ROB_PEN,0)))</f>
        <v/>
      </c>
      <c r="CB105" s="3">
        <f>100-MAX(0,N105-KM_TOPE_DESDE)/1000*KM_TOPE_PTS</f>
        <v/>
      </c>
      <c r="CC105" s="3">
        <f>MAX(0,MIN(100,50+BO105*PRECIO_PEND,CB105))</f>
        <v/>
      </c>
      <c r="CD105" s="3">
        <f>MAX(0,100*(1-N105/KM_MAX))</f>
        <v/>
      </c>
      <c r="CE105" s="3">
        <f>IF(BF105&lt;KMA_SOSP,IF(AA105="sí",100,KMA_PEN),IF(BF105&lt;=KMA_IDEAL_MAX,100,MAX(0,100*(KMA_CERO-BF105)/(KMA_CERO-KMA_IDEAL_MAX))))</f>
        <v/>
      </c>
      <c r="CF105" s="3">
        <f>MAX(0,MIN(100,100*(M105-ANIO_MIN)/(ANIO_ACTUAL-ANIO_MIN)))</f>
        <v/>
      </c>
      <c r="CG105" s="3">
        <f>W_KMT*CD105+W_KMA*CE105+W_EDAD*CF105</f>
        <v/>
      </c>
      <c r="CH105" s="3">
        <f>P_ITV*(V105="sí")+P_LIBRO*(W105="sí")+P_CORREA*(X105="sí")+P_PROP*(Y105=1)+P_GAR*(Z105="sí")+P_FOTOS*MIN(1,N(U105)/FOTOS_OBJ)</f>
        <v/>
      </c>
      <c r="CI105" s="3">
        <f>MAX(0,MIN(100,IFERROR(VLOOKUP(BT105,ETQ_TBL,2,0),0)-IF(BU105="sí",ETQ_PEN_DUD,IF(AS105="regla",ETQ_PEN_REGLA,0))))</f>
        <v/>
      </c>
      <c r="CJ105" s="3">
        <f>IF(K105&lt;&gt;"gasolina","",IFERROR(VLOOKUP(F105,CONS_MOD_TBL,2,0),IFERROR(VLOOKUP(L105,CONS_SEG_TBL,2,0),"")))</f>
        <v/>
      </c>
      <c r="CK105" s="3">
        <f>IF(CJ105="",NEUTRO,MAX(0,MIN(100,100*(CONS_REF_MAX-CJ105)/(CONS_REF_MAX-CONS_REF_MIN))))</f>
        <v/>
      </c>
      <c r="CL105" s="3">
        <f>IFERROR(VLOOKUP(L105,SEGURO_TBL,3,0),"")</f>
        <v/>
      </c>
      <c r="CM105" s="3">
        <f>IF(CL105="",NEUTRO,MAX(0,MIN(100,100*(SEG_REF_MAX-CL105)/(SEG_REF_MAX-SEG_REF_MIN))))</f>
        <v/>
      </c>
      <c r="CN105" s="3">
        <f>W_CONS*CK105+W_SEG*CM105</f>
        <v/>
      </c>
      <c r="CO105" s="3">
        <f>IF(N(AB105)&gt;0,AB105,IF(AND(R105="profesional",SG_LEGAL_ON=1),GAR_LEGAL,0))</f>
        <v/>
      </c>
      <c r="CP105" s="3">
        <f>SG_GAR*MIN(1,CO105/SG_GAR_FULL)+SG_AMPL*(AC105="sí")+SG_KMC*(AF105="sí")+SG_REV*(N(AE105)&gt;0)+SG_DEV*MIN(1,N(AG105)/SG_DEV_FULL)+SG_HIST*(W105="sí")</f>
        <v/>
      </c>
      <c r="CQ105" s="3">
        <f>IF(AW105="sí",ESTILO_PRIO,IFERROR(VLOOKUP(L105,ESTILO_TBL,2,0),NEUTRO))</f>
        <v/>
      </c>
      <c r="CR105" s="3">
        <f>IFERROR(VLOOKUP(L105,CARR_PEN_TBL,2,0),0)</f>
        <v/>
      </c>
      <c r="CS105" s="3">
        <f>W_FIAB*CA105+W_PRECIO*CC105+W_KMEDAD*CG105+W_ANUNCIO*CH105+W_USO*CN105+W_SEGURIDAD*CP105+W_ETIQUETA*CI105+W_ESTILO*CQ105-CR105</f>
        <v/>
      </c>
      <c r="CT105" s="4">
        <f>IF(N(I105)&gt;0,I105,IFERROR(ROUND(_xlfn.NUMBERVALUE(LEFT(G105,FIND(" ",G105&amp;" ")-1),".")*1000,0),99999))</f>
        <v/>
      </c>
      <c r="CU105" s="3">
        <f>IF(R105="profesional",0,IF(O105&lt;CUOTA_VALOR_MAX,IF(BE105&gt;ITP_TRAMO_ALTO,SUMIFS(CF_CUOTA,CF_MAS,ITP_TRAMO_ALTO,CF_CCMIN,"&lt;="&amp;CT105,CF_CCMAX,"&gt;="&amp;CT105),IF(BE105&gt;ITP_TRAMO_BAJO,SUMIFS(CF_CUOTA,CF_MAS,ITP_TRAMO_BAJO,CF_CCMIN,"&lt;="&amp;CT105,CF_CCMAX,"&gt;="&amp;CT105),O105*ITP_TIPO)),O105*ITP_TIPO))</f>
        <v/>
      </c>
      <c r="CV105" s="4">
        <f>IF(R105="profesional",N(AK105),0)</f>
        <v/>
      </c>
      <c r="CW105" s="3">
        <f>IF(AND(R105="profesional",ISNUMBER(AK105),AL105="sí"),0,TASA_DGT)</f>
        <v/>
      </c>
      <c r="CX105" s="3">
        <f>INFORME_DGT</f>
        <v/>
      </c>
      <c r="CY105" s="4">
        <f>O105+CV105+CU105+CW105+CX105</f>
        <v/>
      </c>
      <c r="CZ105" s="4">
        <f>CY105+N(CL105)</f>
        <v/>
      </c>
      <c r="DA105" s="3">
        <f>IF(CY105&lt;=TOTAL_MAX,"sí",IF(CY105&lt;=TOTAL_MAX+MARGEN_NEG,"negociar","no"))</f>
        <v/>
      </c>
      <c r="DB105" s="4">
        <f>IF(DA105&lt;&gt;"no",COUNTIFS($DA$2:$DA$130,"&lt;&gt;no",$CS$2:$CS$130,"&gt;"&amp;CS105)+COUNTIFS($DA$2:DA105,"&lt;&gt;no",$CS$2:CS105,CS105),"")</f>
        <v/>
      </c>
    </row>
    <row r="106">
      <c r="A106" s="2" t="inlineStr">
        <is>
          <t>cochesnet:71476718</t>
        </is>
      </c>
      <c r="B106" s="2" t="inlineStr">
        <is>
          <t>cochesnet</t>
        </is>
      </c>
      <c r="C106" s="2" t="inlineStr">
        <is>
          <t>https://www.coches.net/kia-rio-13-rs-5p-gasolina-2004-en-valencia-71476718-covo.aspx</t>
        </is>
      </c>
      <c r="D106" s="2" t="inlineStr">
        <is>
          <t>KIA Rio 1.3 RS</t>
        </is>
      </c>
      <c r="E106" s="2" t="inlineStr">
        <is>
          <t>Kia</t>
        </is>
      </c>
      <c r="F106" s="2" t="inlineStr">
        <is>
          <t>Kia Rio</t>
        </is>
      </c>
      <c r="G106" s="2" t="inlineStr">
        <is>
          <t>1.3</t>
        </is>
      </c>
      <c r="H106" s="2" t="inlineStr">
        <is>
          <t>1.3 RS</t>
        </is>
      </c>
      <c r="I106" s="2" t="n"/>
      <c r="J106" s="2" t="n"/>
      <c r="K106" s="2" t="inlineStr">
        <is>
          <t>gasolina</t>
        </is>
      </c>
      <c r="L106" s="2" t="inlineStr">
        <is>
          <t>utilitario</t>
        </is>
      </c>
      <c r="M106" s="2" t="n">
        <v>2004</v>
      </c>
      <c r="N106" s="2" t="n">
        <v>72000</v>
      </c>
      <c r="O106" s="2" t="n">
        <v>3000</v>
      </c>
      <c r="P106" s="2" t="inlineStr">
        <is>
          <t>manual</t>
        </is>
      </c>
      <c r="Q106" s="2" t="inlineStr">
        <is>
          <t>no</t>
        </is>
      </c>
      <c r="R106" s="2" t="inlineStr">
        <is>
          <t>profesional</t>
        </is>
      </c>
      <c r="S106" s="2" t="inlineStr">
        <is>
          <t>Beniparrell</t>
        </is>
      </c>
      <c r="T106" s="2" t="inlineStr">
        <is>
          <t>2026-09-09T15:52:29Z</t>
        </is>
      </c>
      <c r="U106" s="2" t="n">
        <v>13</v>
      </c>
      <c r="V106" s="2" t="n"/>
      <c r="W106" s="2" t="n"/>
      <c r="X106" s="2" t="n"/>
      <c r="Y106" s="2" t="n"/>
      <c r="Z106" s="2" t="inlineStr">
        <is>
          <t>sí</t>
        </is>
      </c>
      <c r="AA106" s="2" t="n"/>
      <c r="AB106" s="2" t="n">
        <v>12</v>
      </c>
      <c r="AC106" s="2" t="n"/>
      <c r="AD106" s="2" t="n"/>
      <c r="AE106" s="2" t="n"/>
      <c r="AF106" s="2" t="n"/>
      <c r="AG106" s="2" t="n"/>
      <c r="AH106" s="2" t="n">
        <v>3000</v>
      </c>
      <c r="AI106" s="2" t="n"/>
      <c r="AJ106" s="2" t="n"/>
      <c r="AK106" s="2" t="n"/>
      <c r="AL106" s="2" t="n"/>
      <c r="AM106" s="2" t="n">
        <v>10.2</v>
      </c>
      <c r="AN106" s="2" t="n"/>
      <c r="AO106" s="2" t="inlineStr">
        <is>
          <t>2004</t>
        </is>
      </c>
      <c r="AP106" s="2" t="n">
        <v>2004</v>
      </c>
      <c r="AQ106" s="2" t="n"/>
      <c r="AR106" s="2" t="inlineStr">
        <is>
          <t>B</t>
        </is>
      </c>
      <c r="AS106" s="2" t="inlineStr">
        <is>
          <t>anuncio</t>
        </is>
      </c>
      <c r="AT106" s="2" t="n"/>
      <c r="AU106" s="2" t="inlineStr">
        <is>
          <t>no</t>
        </is>
      </c>
      <c r="AV106" s="2" t="inlineStr">
        <is>
          <t>no</t>
        </is>
      </c>
      <c r="AW106" s="2" t="inlineStr">
        <is>
          <t>no</t>
        </is>
      </c>
      <c r="AX106" s="2" t="n">
        <v>2950</v>
      </c>
      <c r="AY106" s="2" t="n">
        <v>4</v>
      </c>
      <c r="AZ106" s="2" t="inlineStr">
        <is>
          <t>modelo+año</t>
        </is>
      </c>
      <c r="BA106" s="2" t="n"/>
      <c r="BB106" s="2" t="inlineStr">
        <is>
          <t>vendedor profesional: sin ITP (operación con IVA/REBU, confirmar en factura); gastos de gestión del vendedor no indicados: se suma la tasa DGT; preguntar el precio final; revisar: no menciona la ITV; fiabilidad del modelo PENDIENTE de fuente (puntuación neutra)</t>
        </is>
      </c>
      <c r="BC106" s="2" t="inlineStr">
        <is>
          <t>Este Kia Rio RS combina practicidad y confort con dirección asistida, climatización y elevalunas eléctricos en todas las puertas. Dispone de asientos delanteros con ajuste lumbar, reposacabezas ajustables en toda la cabina y volante regulable en altura. Los retrovisores exteriores eléctricos, cristales tintados y limpiaparabrisas delantero completan el equipamiento. Con etiqueta medioambiental B, este modelo ofrece acceso favorable a zonas de tráfico restringido. Cierre centralizado, inmovilizador y sistema de audio de cuatro altavoces integrado. GARANTÍA 12 meses (cobertura de 25 componentes del vehículo )cobertura de reparación hasta 2.000e en cualquier taller)</t>
        </is>
      </c>
      <c r="BD106" s="2" t="inlineStr">
        <is>
          <t>https://www.coches.net/kia-rio-13-rs-5p-gasolina-2004-en-valencia-71476718-covo.aspx (window.__INITIAL_PROPS__.ad) /home/user/Alopecia/buscador-coches/raw/cochesnet/605eec47f9bcff5f.json</t>
        </is>
      </c>
      <c r="BE106" s="3">
        <f>MAX(ANIO_ACTUAL-M106,0)</f>
        <v/>
      </c>
      <c r="BF106" s="4">
        <f>N106/MAX(BE106,0.5)</f>
        <v/>
      </c>
      <c r="BG106" s="4">
        <f>F106</f>
        <v/>
      </c>
      <c r="BH106" s="3">
        <f>BG106&amp;"|"&amp;INT(M106/SEG_ANIO)*SEG_ANIO</f>
        <v/>
      </c>
      <c r="BI106" s="3">
        <f>BH106&amp;"|"&amp;INT(N106/SEG_KM)*SEG_KM</f>
        <v/>
      </c>
      <c r="BJ106" s="4">
        <f>COUNTIF($BG$2:$BG$130,BG106)</f>
        <v/>
      </c>
      <c r="BK106" s="4">
        <f>COUNTIF($BH$2:$BH$130,BH106)</f>
        <v/>
      </c>
      <c r="BL106" s="4">
        <f>COUNTIF($BI$2:$BI$130,BI106)</f>
        <v/>
      </c>
      <c r="BM106" s="3">
        <f t="array" ref="BM106">IF(N(AY106)&gt;=MIN_N,AX106,IF(BL106&gt;=MIN_N,MEDIAN(IF($BI$2:$BI$130=BI106,$O$2:$O$130)),IF(BK106&gt;=MIN_N,MEDIAN(IF($BH$2:$BH$130=BH106,$O$2:$O$130)),MEDIAN(IF($BG$2:$BG$130=BG106,$O$2:$O$130)))))</f>
        <v/>
      </c>
      <c r="BN106" s="3">
        <f>IF(N(AY106)&gt;=MIN_N,"mercado "&amp;AZ106,IF(BL106&gt;=MIN_N,"modelo+año+km",IF(BK106&gt;=MIN_N,"modelo+año","modelo")))</f>
        <v/>
      </c>
      <c r="BO106" s="4">
        <f>(BM106-O106)/BM106</f>
        <v/>
      </c>
      <c r="BP106" s="3">
        <f>IF(COUNTIFS(FR_FUEL,K106,FR_YEAR,AP106)&gt;0,1,0)</f>
        <v/>
      </c>
      <c r="BQ106" s="3">
        <f>IF(COUNTIFS(FR_FUEL,K106,FR_YEAR,AP106-1)&gt;0,1,0)</f>
        <v/>
      </c>
      <c r="BR106" s="4">
        <f>IF(N(AQ106)&gt;0,AP106*100+AQ106,IF(AND(BP106=1,BQ106=1),(AP106-1)*100+1,AP106*100+1))</f>
        <v/>
      </c>
      <c r="BS106" s="3">
        <f>IF(OR(K106="hibrido",K106="glp",K106="gnc",K106="phev"),"ECO",IF(K106="electrico","CERO",IF(K106="gasolina",IF(BR106&gt;=GAS_C_YM,"C",IF(BR106&gt;=GAS_B_YM,"B","A")),IF(K106="diesel",IF(BR106&gt;=DIE_C_YM,"C",IF(BR106&gt;=DIE_B_YM,"B","A")),""))))</f>
        <v/>
      </c>
      <c r="BT106" s="2" t="inlineStr">
        <is>
          <t>B</t>
        </is>
      </c>
      <c r="BU106" s="4">
        <f>IF(AU106="sí","sí",IF(AS106="regla",IF(AND(N(AQ106)=0,BP106=1),"sí","no"),"no"))</f>
        <v/>
      </c>
      <c r="BV106" s="3">
        <f>IFERROR(VLOOKUP(F106,MOD_TBL,16,0),IFERROR(VLOOKUP(E106,OCU_TBL,2,0),NEUTRO))</f>
        <v/>
      </c>
      <c r="BW106" s="3">
        <f>SUMIFS(MOT_AJUSTE,MOT_MOTOR,G106,MOT_MARCA,E106,MOT_DESDE,"&lt;="&amp;M106,MOT_HASTA,"&gt;="&amp;M106)+SUMIFS(MOT_AJUSTE,MOT_MOTOR,G106,MOT_MARCA,"(todas)",MOT_DESDE,"&lt;="&amp;M106,MOT_HASTA,"&gt;="&amp;M106)+SUMIFS(MOT_AJUSTE,MOT_MOTOR,"(cualquiera)",MOT_MARCA,E106,MOT_DESDE,"&lt;="&amp;M106,MOT_HASTA,"&gt;="&amp;M106)</f>
        <v/>
      </c>
      <c r="BX106" s="3">
        <f>SUMIFS(COMB_AJUSTE,COMB_COMB,K106)</f>
        <v/>
      </c>
      <c r="BY106" s="3">
        <f>COUNTIFS(MOT_MOTOR,G106,MOT_MARCA,E106,MOT_DESDE,"&lt;="&amp;M106,MOT_HASTA,"&gt;="&amp;M106)+COUNTIFS(MOT_MOTOR,G106,MOT_MARCA,"(todas)",MOT_DESDE,"&lt;="&amp;M106,MOT_HASTA,"&gt;="&amp;M106)+COUNTIFS(MOT_MOTOR,"(cualquiera)",MOT_MARCA,E106,MOT_DESDE,"&lt;="&amp;M106,MOT_HASTA,"&gt;="&amp;M106)</f>
        <v/>
      </c>
      <c r="BZ106" s="3">
        <f>IF(AND(K106="diesel",BY106=0),MIN(BV106,NEUTRO),BV106)</f>
        <v/>
      </c>
      <c r="CA106" s="3">
        <f>MAX(0,MIN(100,BZ106+BW106+BX106-IF(AV106="sí",ROB_PEN,0)))</f>
        <v/>
      </c>
      <c r="CB106" s="3">
        <f>100-MAX(0,N106-KM_TOPE_DESDE)/1000*KM_TOPE_PTS</f>
        <v/>
      </c>
      <c r="CC106" s="3">
        <f>MAX(0,MIN(100,50+BO106*PRECIO_PEND,CB106))</f>
        <v/>
      </c>
      <c r="CD106" s="3">
        <f>MAX(0,100*(1-N106/KM_MAX))</f>
        <v/>
      </c>
      <c r="CE106" s="3">
        <f>IF(BF106&lt;KMA_SOSP,IF(AA106="sí",100,KMA_PEN),IF(BF106&lt;=KMA_IDEAL_MAX,100,MAX(0,100*(KMA_CERO-BF106)/(KMA_CERO-KMA_IDEAL_MAX))))</f>
        <v/>
      </c>
      <c r="CF106" s="3">
        <f>MAX(0,MIN(100,100*(M106-ANIO_MIN)/(ANIO_ACTUAL-ANIO_MIN)))</f>
        <v/>
      </c>
      <c r="CG106" s="3">
        <f>W_KMT*CD106+W_KMA*CE106+W_EDAD*CF106</f>
        <v/>
      </c>
      <c r="CH106" s="3">
        <f>P_ITV*(V106="sí")+P_LIBRO*(W106="sí")+P_CORREA*(X106="sí")+P_PROP*(Y106=1)+P_GAR*(Z106="sí")+P_FOTOS*MIN(1,N(U106)/FOTOS_OBJ)</f>
        <v/>
      </c>
      <c r="CI106" s="3">
        <f>MAX(0,MIN(100,IFERROR(VLOOKUP(BT106,ETQ_TBL,2,0),0)-IF(BU106="sí",ETQ_PEN_DUD,IF(AS106="regla",ETQ_PEN_REGLA,0))))</f>
        <v/>
      </c>
      <c r="CJ106" s="3">
        <f>IF(K106&lt;&gt;"gasolina","",IFERROR(VLOOKUP(F106,CONS_MOD_TBL,2,0),IFERROR(VLOOKUP(L106,CONS_SEG_TBL,2,0),"")))</f>
        <v/>
      </c>
      <c r="CK106" s="3">
        <f>IF(CJ106="",NEUTRO,MAX(0,MIN(100,100*(CONS_REF_MAX-CJ106)/(CONS_REF_MAX-CONS_REF_MIN))))</f>
        <v/>
      </c>
      <c r="CL106" s="3">
        <f>IFERROR(VLOOKUP(L106,SEGURO_TBL,3,0),"")</f>
        <v/>
      </c>
      <c r="CM106" s="3">
        <f>IF(CL106="",NEUTRO,MAX(0,MIN(100,100*(SEG_REF_MAX-CL106)/(SEG_REF_MAX-SEG_REF_MIN))))</f>
        <v/>
      </c>
      <c r="CN106" s="3">
        <f>W_CONS*CK106+W_SEG*CM106</f>
        <v/>
      </c>
      <c r="CO106" s="3">
        <f>IF(N(AB106)&gt;0,AB106,IF(AND(R106="profesional",SG_LEGAL_ON=1),GAR_LEGAL,0))</f>
        <v/>
      </c>
      <c r="CP106" s="3">
        <f>SG_GAR*MIN(1,CO106/SG_GAR_FULL)+SG_AMPL*(AC106="sí")+SG_KMC*(AF106="sí")+SG_REV*(N(AE106)&gt;0)+SG_DEV*MIN(1,N(AG106)/SG_DEV_FULL)+SG_HIST*(W106="sí")</f>
        <v/>
      </c>
      <c r="CQ106" s="3">
        <f>IF(AW106="sí",ESTILO_PRIO,IFERROR(VLOOKUP(L106,ESTILO_TBL,2,0),NEUTRO))</f>
        <v/>
      </c>
      <c r="CR106" s="3">
        <f>IFERROR(VLOOKUP(L106,CARR_PEN_TBL,2,0),0)</f>
        <v/>
      </c>
      <c r="CS106" s="3">
        <f>W_FIAB*CA106+W_PRECIO*CC106+W_KMEDAD*CG106+W_ANUNCIO*CH106+W_USO*CN106+W_SEGURIDAD*CP106+W_ETIQUETA*CI106+W_ESTILO*CQ106-CR106</f>
        <v/>
      </c>
      <c r="CT106" s="4">
        <f>IF(N(I106)&gt;0,I106,IFERROR(ROUND(_xlfn.NUMBERVALUE(LEFT(G106,FIND(" ",G106&amp;" ")-1),".")*1000,0),99999))</f>
        <v/>
      </c>
      <c r="CU106" s="3">
        <f>IF(R106="profesional",0,IF(O106&lt;CUOTA_VALOR_MAX,IF(BE106&gt;ITP_TRAMO_ALTO,SUMIFS(CF_CUOTA,CF_MAS,ITP_TRAMO_ALTO,CF_CCMIN,"&lt;="&amp;CT106,CF_CCMAX,"&gt;="&amp;CT106),IF(BE106&gt;ITP_TRAMO_BAJO,SUMIFS(CF_CUOTA,CF_MAS,ITP_TRAMO_BAJO,CF_CCMIN,"&lt;="&amp;CT106,CF_CCMAX,"&gt;="&amp;CT106),O106*ITP_TIPO)),O106*ITP_TIPO))</f>
        <v/>
      </c>
      <c r="CV106" s="4">
        <f>IF(R106="profesional",N(AK106),0)</f>
        <v/>
      </c>
      <c r="CW106" s="3">
        <f>IF(AND(R106="profesional",ISNUMBER(AK106),AL106="sí"),0,TASA_DGT)</f>
        <v/>
      </c>
      <c r="CX106" s="3">
        <f>INFORME_DGT</f>
        <v/>
      </c>
      <c r="CY106" s="4">
        <f>O106+CV106+CU106+CW106+CX106</f>
        <v/>
      </c>
      <c r="CZ106" s="4">
        <f>CY106+N(CL106)</f>
        <v/>
      </c>
      <c r="DA106" s="3">
        <f>IF(CY106&lt;=TOTAL_MAX,"sí",IF(CY106&lt;=TOTAL_MAX+MARGEN_NEG,"negociar","no"))</f>
        <v/>
      </c>
      <c r="DB106" s="4">
        <f>IF(DA106&lt;&gt;"no",COUNTIFS($DA$2:$DA$130,"&lt;&gt;no",$CS$2:$CS$130,"&gt;"&amp;CS106)+COUNTIFS($DA$2:DA106,"&lt;&gt;no",$CS$2:CS106,CS106),"")</f>
        <v/>
      </c>
    </row>
    <row r="107">
      <c r="A107" s="2" t="inlineStr">
        <is>
          <t>cochesnet:71758915</t>
        </is>
      </c>
      <c r="B107" s="2" t="inlineStr">
        <is>
          <t>cochesnet</t>
        </is>
      </c>
      <c r="C107" s="2" t="inlineStr">
        <is>
          <t>https://www.coches.net/kia-rio-15-16v-ls-5p-gasolina-2004-en-valencia-71758915-covo.aspx</t>
        </is>
      </c>
      <c r="D107" s="2" t="inlineStr">
        <is>
          <t>KIA Rio 1.5 16v LS</t>
        </is>
      </c>
      <c r="E107" s="2" t="inlineStr">
        <is>
          <t>Kia</t>
        </is>
      </c>
      <c r="F107" s="2" t="inlineStr">
        <is>
          <t>Kia Rio</t>
        </is>
      </c>
      <c r="G107" s="2" t="inlineStr">
        <is>
          <t>1.5</t>
        </is>
      </c>
      <c r="H107" s="2" t="inlineStr">
        <is>
          <t>1.5 16v LS</t>
        </is>
      </c>
      <c r="I107" s="2" t="n"/>
      <c r="J107" s="2" t="n"/>
      <c r="K107" s="2" t="inlineStr">
        <is>
          <t>gasolina</t>
        </is>
      </c>
      <c r="L107" s="2" t="inlineStr">
        <is>
          <t>utilitario</t>
        </is>
      </c>
      <c r="M107" s="2" t="n">
        <v>2005</v>
      </c>
      <c r="N107" s="2" t="n">
        <v>120000</v>
      </c>
      <c r="O107" s="2" t="n">
        <v>3000</v>
      </c>
      <c r="P107" s="2" t="inlineStr">
        <is>
          <t>manual</t>
        </is>
      </c>
      <c r="Q107" s="2" t="inlineStr">
        <is>
          <t>no</t>
        </is>
      </c>
      <c r="R107" s="2" t="inlineStr">
        <is>
          <t>profesional</t>
        </is>
      </c>
      <c r="S107" s="2" t="inlineStr">
        <is>
          <t>Pozas Autos Guadassuar</t>
        </is>
      </c>
      <c r="T107" s="2" t="inlineStr">
        <is>
          <t>2026-10-16T08:26:23Z</t>
        </is>
      </c>
      <c r="U107" s="2" t="n">
        <v>7</v>
      </c>
      <c r="V107" s="2" t="inlineStr">
        <is>
          <t>sí</t>
        </is>
      </c>
      <c r="W107" s="2" t="n"/>
      <c r="X107" s="2" t="n"/>
      <c r="Y107" s="2" t="n"/>
      <c r="Z107" s="2" t="inlineStr">
        <is>
          <t>sí</t>
        </is>
      </c>
      <c r="AA107" s="2" t="n"/>
      <c r="AB107" s="2" t="n">
        <v>12</v>
      </c>
      <c r="AC107" s="2" t="n"/>
      <c r="AD107" s="2" t="n"/>
      <c r="AE107" s="2" t="n"/>
      <c r="AF107" s="2" t="n"/>
      <c r="AG107" s="2" t="n"/>
      <c r="AH107" s="2" t="n">
        <v>3000</v>
      </c>
      <c r="AI107" s="2" t="n"/>
      <c r="AJ107" s="2" t="n"/>
      <c r="AK107" s="2" t="n"/>
      <c r="AL107" s="2" t="n"/>
      <c r="AM107" s="2" t="n">
        <v>32.7</v>
      </c>
      <c r="AN107" s="2" t="n"/>
      <c r="AO107" s="2" t="inlineStr">
        <is>
          <t>2005</t>
        </is>
      </c>
      <c r="AP107" s="2" t="n">
        <v>2005</v>
      </c>
      <c r="AQ107" s="2" t="n"/>
      <c r="AR107" s="2" t="inlineStr">
        <is>
          <t>B</t>
        </is>
      </c>
      <c r="AS107" s="2" t="inlineStr">
        <is>
          <t>anuncio</t>
        </is>
      </c>
      <c r="AT107" s="2" t="n">
        <v>2004</v>
      </c>
      <c r="AU107" s="2" t="inlineStr">
        <is>
          <t>no</t>
        </is>
      </c>
      <c r="AV107" s="2" t="inlineStr">
        <is>
          <t>no</t>
        </is>
      </c>
      <c r="AW107" s="2" t="inlineStr">
        <is>
          <t>no</t>
        </is>
      </c>
      <c r="AX107" s="2" t="n">
        <v>2950</v>
      </c>
      <c r="AY107" s="2" t="n">
        <v>4</v>
      </c>
      <c r="AZ107" s="2" t="inlineStr">
        <is>
          <t>modelo+año</t>
        </is>
      </c>
      <c r="BA107" s="2" t="n"/>
      <c r="BB107" s="2" t="inlineStr">
        <is>
          <t>año a confirmar: la URL/título dice 2004; vendedor profesional: sin ITP (operación con IVA/REBU, confirmar en factura); gastos de gestión del vendedor no indicados: se suma la tasa DGT; preguntar el precio final; fiabilidad del modelo PENDIENTE de fuente (puntuación neutra)</t>
        </is>
      </c>
      <c r="BC107" s="2" t="inlineStr">
        <is>
          <t xml:space="preserve">Kia Río Coche en perfecto estado de interior, exterior y motor, filtros y aceite recién cambiado todo revisado, itv en vigor, neumaticos en buen estado. aire acondicionado, cierre centralizado, elevalunas electricos, airbag, abs, radio CD  mp3 asientos comodos  al igual que el Bolante  5 velocidades, etc, mejor ver y probar. </t>
        </is>
      </c>
      <c r="BD107" s="2" t="inlineStr">
        <is>
          <t>https://www.coches.net/kia-rio-15-16v-ls-5p-gasolina-2004-en-valencia-71758915-covo.aspx (window.__INITIAL_PROPS__.ad) /home/user/Alopecia/buscador-coches/raw/cochesnet/d065ed1953002a92.json</t>
        </is>
      </c>
      <c r="BE107" s="3">
        <f>MAX(ANIO_ACTUAL-M107,0)</f>
        <v/>
      </c>
      <c r="BF107" s="4">
        <f>N107/MAX(BE107,0.5)</f>
        <v/>
      </c>
      <c r="BG107" s="4">
        <f>F107</f>
        <v/>
      </c>
      <c r="BH107" s="3">
        <f>BG107&amp;"|"&amp;INT(M107/SEG_ANIO)*SEG_ANIO</f>
        <v/>
      </c>
      <c r="BI107" s="3">
        <f>BH107&amp;"|"&amp;INT(N107/SEG_KM)*SEG_KM</f>
        <v/>
      </c>
      <c r="BJ107" s="4">
        <f>COUNTIF($BG$2:$BG$130,BG107)</f>
        <v/>
      </c>
      <c r="BK107" s="4">
        <f>COUNTIF($BH$2:$BH$130,BH107)</f>
        <v/>
      </c>
      <c r="BL107" s="4">
        <f>COUNTIF($BI$2:$BI$130,BI107)</f>
        <v/>
      </c>
      <c r="BM107" s="3">
        <f t="array" ref="BM107">IF(N(AY107)&gt;=MIN_N,AX107,IF(BL107&gt;=MIN_N,MEDIAN(IF($BI$2:$BI$130=BI107,$O$2:$O$130)),IF(BK107&gt;=MIN_N,MEDIAN(IF($BH$2:$BH$130=BH107,$O$2:$O$130)),MEDIAN(IF($BG$2:$BG$130=BG107,$O$2:$O$130)))))</f>
        <v/>
      </c>
      <c r="BN107" s="3">
        <f>IF(N(AY107)&gt;=MIN_N,"mercado "&amp;AZ107,IF(BL107&gt;=MIN_N,"modelo+año+km",IF(BK107&gt;=MIN_N,"modelo+año","modelo")))</f>
        <v/>
      </c>
      <c r="BO107" s="4">
        <f>(BM107-O107)/BM107</f>
        <v/>
      </c>
      <c r="BP107" s="3">
        <f>IF(COUNTIFS(FR_FUEL,K107,FR_YEAR,AP107)&gt;0,1,0)</f>
        <v/>
      </c>
      <c r="BQ107" s="3">
        <f>IF(COUNTIFS(FR_FUEL,K107,FR_YEAR,AP107-1)&gt;0,1,0)</f>
        <v/>
      </c>
      <c r="BR107" s="4">
        <f>IF(N(AQ107)&gt;0,AP107*100+AQ107,IF(AND(BP107=1,BQ107=1),(AP107-1)*100+1,AP107*100+1))</f>
        <v/>
      </c>
      <c r="BS107" s="3">
        <f>IF(OR(K107="hibrido",K107="glp",K107="gnc",K107="phev"),"ECO",IF(K107="electrico","CERO",IF(K107="gasolina",IF(BR107&gt;=GAS_C_YM,"C",IF(BR107&gt;=GAS_B_YM,"B","A")),IF(K107="diesel",IF(BR107&gt;=DIE_C_YM,"C",IF(BR107&gt;=DIE_B_YM,"B","A")),""))))</f>
        <v/>
      </c>
      <c r="BT107" s="2" t="inlineStr">
        <is>
          <t>B</t>
        </is>
      </c>
      <c r="BU107" s="4">
        <f>IF(AU107="sí","sí",IF(AS107="regla",IF(AND(N(AQ107)=0,BP107=1),"sí","no"),"no"))</f>
        <v/>
      </c>
      <c r="BV107" s="3">
        <f>IFERROR(VLOOKUP(F107,MOD_TBL,16,0),IFERROR(VLOOKUP(E107,OCU_TBL,2,0),NEUTRO))</f>
        <v/>
      </c>
      <c r="BW107" s="3">
        <f>SUMIFS(MOT_AJUSTE,MOT_MOTOR,G107,MOT_MARCA,E107,MOT_DESDE,"&lt;="&amp;M107,MOT_HASTA,"&gt;="&amp;M107)+SUMIFS(MOT_AJUSTE,MOT_MOTOR,G107,MOT_MARCA,"(todas)",MOT_DESDE,"&lt;="&amp;M107,MOT_HASTA,"&gt;="&amp;M107)+SUMIFS(MOT_AJUSTE,MOT_MOTOR,"(cualquiera)",MOT_MARCA,E107,MOT_DESDE,"&lt;="&amp;M107,MOT_HASTA,"&gt;="&amp;M107)</f>
        <v/>
      </c>
      <c r="BX107" s="3">
        <f>SUMIFS(COMB_AJUSTE,COMB_COMB,K107)</f>
        <v/>
      </c>
      <c r="BY107" s="3">
        <f>COUNTIFS(MOT_MOTOR,G107,MOT_MARCA,E107,MOT_DESDE,"&lt;="&amp;M107,MOT_HASTA,"&gt;="&amp;M107)+COUNTIFS(MOT_MOTOR,G107,MOT_MARCA,"(todas)",MOT_DESDE,"&lt;="&amp;M107,MOT_HASTA,"&gt;="&amp;M107)+COUNTIFS(MOT_MOTOR,"(cualquiera)",MOT_MARCA,E107,MOT_DESDE,"&lt;="&amp;M107,MOT_HASTA,"&gt;="&amp;M107)</f>
        <v/>
      </c>
      <c r="BZ107" s="3">
        <f>IF(AND(K107="diesel",BY107=0),MIN(BV107,NEUTRO),BV107)</f>
        <v/>
      </c>
      <c r="CA107" s="3">
        <f>MAX(0,MIN(100,BZ107+BW107+BX107-IF(AV107="sí",ROB_PEN,0)))</f>
        <v/>
      </c>
      <c r="CB107" s="3">
        <f>100-MAX(0,N107-KM_TOPE_DESDE)/1000*KM_TOPE_PTS</f>
        <v/>
      </c>
      <c r="CC107" s="3">
        <f>MAX(0,MIN(100,50+BO107*PRECIO_PEND,CB107))</f>
        <v/>
      </c>
      <c r="CD107" s="3">
        <f>MAX(0,100*(1-N107/KM_MAX))</f>
        <v/>
      </c>
      <c r="CE107" s="3">
        <f>IF(BF107&lt;KMA_SOSP,IF(AA107="sí",100,KMA_PEN),IF(BF107&lt;=KMA_IDEAL_MAX,100,MAX(0,100*(KMA_CERO-BF107)/(KMA_CERO-KMA_IDEAL_MAX))))</f>
        <v/>
      </c>
      <c r="CF107" s="3">
        <f>MAX(0,MIN(100,100*(M107-ANIO_MIN)/(ANIO_ACTUAL-ANIO_MIN)))</f>
        <v/>
      </c>
      <c r="CG107" s="3">
        <f>W_KMT*CD107+W_KMA*CE107+W_EDAD*CF107</f>
        <v/>
      </c>
      <c r="CH107" s="3">
        <f>P_ITV*(V107="sí")+P_LIBRO*(W107="sí")+P_CORREA*(X107="sí")+P_PROP*(Y107=1)+P_GAR*(Z107="sí")+P_FOTOS*MIN(1,N(U107)/FOTOS_OBJ)</f>
        <v/>
      </c>
      <c r="CI107" s="3">
        <f>MAX(0,MIN(100,IFERROR(VLOOKUP(BT107,ETQ_TBL,2,0),0)-IF(BU107="sí",ETQ_PEN_DUD,IF(AS107="regla",ETQ_PEN_REGLA,0))))</f>
        <v/>
      </c>
      <c r="CJ107" s="3">
        <f>IF(K107&lt;&gt;"gasolina","",IFERROR(VLOOKUP(F107,CONS_MOD_TBL,2,0),IFERROR(VLOOKUP(L107,CONS_SEG_TBL,2,0),"")))</f>
        <v/>
      </c>
      <c r="CK107" s="3">
        <f>IF(CJ107="",NEUTRO,MAX(0,MIN(100,100*(CONS_REF_MAX-CJ107)/(CONS_REF_MAX-CONS_REF_MIN))))</f>
        <v/>
      </c>
      <c r="CL107" s="3">
        <f>IFERROR(VLOOKUP(L107,SEGURO_TBL,3,0),"")</f>
        <v/>
      </c>
      <c r="CM107" s="3">
        <f>IF(CL107="",NEUTRO,MAX(0,MIN(100,100*(SEG_REF_MAX-CL107)/(SEG_REF_MAX-SEG_REF_MIN))))</f>
        <v/>
      </c>
      <c r="CN107" s="3">
        <f>W_CONS*CK107+W_SEG*CM107</f>
        <v/>
      </c>
      <c r="CO107" s="3">
        <f>IF(N(AB107)&gt;0,AB107,IF(AND(R107="profesional",SG_LEGAL_ON=1),GAR_LEGAL,0))</f>
        <v/>
      </c>
      <c r="CP107" s="3">
        <f>SG_GAR*MIN(1,CO107/SG_GAR_FULL)+SG_AMPL*(AC107="sí")+SG_KMC*(AF107="sí")+SG_REV*(N(AE107)&gt;0)+SG_DEV*MIN(1,N(AG107)/SG_DEV_FULL)+SG_HIST*(W107="sí")</f>
        <v/>
      </c>
      <c r="CQ107" s="3">
        <f>IF(AW107="sí",ESTILO_PRIO,IFERROR(VLOOKUP(L107,ESTILO_TBL,2,0),NEUTRO))</f>
        <v/>
      </c>
      <c r="CR107" s="3">
        <f>IFERROR(VLOOKUP(L107,CARR_PEN_TBL,2,0),0)</f>
        <v/>
      </c>
      <c r="CS107" s="3">
        <f>W_FIAB*CA107+W_PRECIO*CC107+W_KMEDAD*CG107+W_ANUNCIO*CH107+W_USO*CN107+W_SEGURIDAD*CP107+W_ETIQUETA*CI107+W_ESTILO*CQ107-CR107</f>
        <v/>
      </c>
      <c r="CT107" s="4">
        <f>IF(N(I107)&gt;0,I107,IFERROR(ROUND(_xlfn.NUMBERVALUE(LEFT(G107,FIND(" ",G107&amp;" ")-1),".")*1000,0),99999))</f>
        <v/>
      </c>
      <c r="CU107" s="3">
        <f>IF(R107="profesional",0,IF(O107&lt;CUOTA_VALOR_MAX,IF(BE107&gt;ITP_TRAMO_ALTO,SUMIFS(CF_CUOTA,CF_MAS,ITP_TRAMO_ALTO,CF_CCMIN,"&lt;="&amp;CT107,CF_CCMAX,"&gt;="&amp;CT107),IF(BE107&gt;ITP_TRAMO_BAJO,SUMIFS(CF_CUOTA,CF_MAS,ITP_TRAMO_BAJO,CF_CCMIN,"&lt;="&amp;CT107,CF_CCMAX,"&gt;="&amp;CT107),O107*ITP_TIPO)),O107*ITP_TIPO))</f>
        <v/>
      </c>
      <c r="CV107" s="4">
        <f>IF(R107="profesional",N(AK107),0)</f>
        <v/>
      </c>
      <c r="CW107" s="3">
        <f>IF(AND(R107="profesional",ISNUMBER(AK107),AL107="sí"),0,TASA_DGT)</f>
        <v/>
      </c>
      <c r="CX107" s="3">
        <f>INFORME_DGT</f>
        <v/>
      </c>
      <c r="CY107" s="4">
        <f>O107+CV107+CU107+CW107+CX107</f>
        <v/>
      </c>
      <c r="CZ107" s="4">
        <f>CY107+N(CL107)</f>
        <v/>
      </c>
      <c r="DA107" s="3">
        <f>IF(CY107&lt;=TOTAL_MAX,"sí",IF(CY107&lt;=TOTAL_MAX+MARGEN_NEG,"negociar","no"))</f>
        <v/>
      </c>
      <c r="DB107" s="4">
        <f>IF(DA107&lt;&gt;"no",COUNTIFS($DA$2:$DA$130,"&lt;&gt;no",$CS$2:$CS$130,"&gt;"&amp;CS107)+COUNTIFS($DA$2:DA107,"&lt;&gt;no",$CS$2:CS107,CS107),"")</f>
        <v/>
      </c>
    </row>
    <row r="108">
      <c r="A108" s="2" t="inlineStr">
        <is>
          <t>cochesnet:71659908</t>
        </is>
      </c>
      <c r="B108" s="2" t="inlineStr">
        <is>
          <t>cochesnet</t>
        </is>
      </c>
      <c r="C108" s="2" t="inlineStr">
        <is>
          <t>https://www.coches.net/kia-rio-13-rs-5p-gasolina-2004-en-valencia-71659908-covo.aspx</t>
        </is>
      </c>
      <c r="D108" s="2" t="inlineStr">
        <is>
          <t>KIA Rio 1.3 RS</t>
        </is>
      </c>
      <c r="E108" s="2" t="inlineStr">
        <is>
          <t>Kia</t>
        </is>
      </c>
      <c r="F108" s="2" t="inlineStr">
        <is>
          <t>Kia Rio</t>
        </is>
      </c>
      <c r="G108" s="2" t="inlineStr">
        <is>
          <t>1.3</t>
        </is>
      </c>
      <c r="H108" s="2" t="inlineStr">
        <is>
          <t>1.3 RS</t>
        </is>
      </c>
      <c r="I108" s="2" t="n"/>
      <c r="J108" s="2" t="n"/>
      <c r="K108" s="2" t="inlineStr">
        <is>
          <t>gasolina</t>
        </is>
      </c>
      <c r="L108" s="2" t="inlineStr">
        <is>
          <t>utilitario</t>
        </is>
      </c>
      <c r="M108" s="2" t="n">
        <v>2003</v>
      </c>
      <c r="N108" s="2" t="n">
        <v>109000</v>
      </c>
      <c r="O108" s="2" t="n">
        <v>3490</v>
      </c>
      <c r="P108" s="2" t="inlineStr">
        <is>
          <t>manual</t>
        </is>
      </c>
      <c r="Q108" s="2" t="inlineStr">
        <is>
          <t>no</t>
        </is>
      </c>
      <c r="R108" s="2" t="inlineStr">
        <is>
          <t>profesional</t>
        </is>
      </c>
      <c r="S108" s="2" t="inlineStr">
        <is>
          <t>FERNANDO SEBASTIAN Valencia</t>
        </is>
      </c>
      <c r="T108" s="2" t="inlineStr">
        <is>
          <t>2026-10-02T19:25:23Z</t>
        </is>
      </c>
      <c r="U108" s="2" t="n">
        <v>13</v>
      </c>
      <c r="V108" s="2" t="n"/>
      <c r="W108" s="2" t="n"/>
      <c r="X108" s="2" t="n"/>
      <c r="Y108" s="2" t="n"/>
      <c r="Z108" s="2" t="inlineStr">
        <is>
          <t>sí</t>
        </is>
      </c>
      <c r="AA108" s="2" t="n"/>
      <c r="AB108" s="2" t="n">
        <v>12</v>
      </c>
      <c r="AC108" s="2" t="n"/>
      <c r="AD108" s="2" t="n"/>
      <c r="AE108" s="2" t="n"/>
      <c r="AF108" s="2" t="n"/>
      <c r="AG108" s="2" t="n"/>
      <c r="AH108" s="2" t="n">
        <v>3490</v>
      </c>
      <c r="AI108" s="2" t="n"/>
      <c r="AJ108" s="2" t="n"/>
      <c r="AK108" s="2" t="n"/>
      <c r="AL108" s="2" t="n"/>
      <c r="AM108" s="2" t="n">
        <v>0.1</v>
      </c>
      <c r="AN108" s="2" t="n"/>
      <c r="AO108" s="2" t="inlineStr">
        <is>
          <t>2003</t>
        </is>
      </c>
      <c r="AP108" s="2" t="n">
        <v>2003</v>
      </c>
      <c r="AQ108" s="2" t="n"/>
      <c r="AR108" s="2" t="inlineStr">
        <is>
          <t>B</t>
        </is>
      </c>
      <c r="AS108" s="2" t="inlineStr">
        <is>
          <t>anuncio</t>
        </is>
      </c>
      <c r="AT108" s="2" t="n">
        <v>2004</v>
      </c>
      <c r="AU108" s="2" t="inlineStr">
        <is>
          <t>no</t>
        </is>
      </c>
      <c r="AV108" s="2" t="inlineStr">
        <is>
          <t>no</t>
        </is>
      </c>
      <c r="AW108" s="2" t="inlineStr">
        <is>
          <t>no</t>
        </is>
      </c>
      <c r="AX108" s="2" t="n"/>
      <c r="AY108" s="2" t="n"/>
      <c r="AZ108" s="2" t="n"/>
      <c r="BA108" s="2" t="n"/>
      <c r="BB108" s="2" t="inlineStr">
        <is>
          <t>año a confirmar: la URL/título dice 2004; vendedor profesional: sin ITP (operación con IVA/REBU, confirmar en factura); gastos de gestión del vendedor no indicados: se suma la tasa DGT; preguntar el precio final; fiabilidad del modelo PENDIENTE de fuente (puntuación neutra)</t>
        </is>
      </c>
      <c r="BC108" s="2" t="inlineStr">
        <is>
          <t>Impecable- 12 meses de Garantía 
Kia Río RS con solo 108000km Etiqueta ambiental B, ITV vigente 02/27, aire acondicionado, radio, elevalunas electrónicos en las 4 ventanas, excelente estado general .</t>
        </is>
      </c>
      <c r="BD108" s="2" t="inlineStr">
        <is>
          <t>https://www.coches.net/kia-rio-13-rs-5p-gasolina-2004-en-valencia-71659908-covo.aspx (window.__INITIAL_PROPS__.ad) /home/user/Alopecia/buscador-coches/raw/cochesnet/f7a49b980c5ace1e.json</t>
        </is>
      </c>
      <c r="BE108" s="3">
        <f>MAX(ANIO_ACTUAL-M108,0)</f>
        <v/>
      </c>
      <c r="BF108" s="4">
        <f>N108/MAX(BE108,0.5)</f>
        <v/>
      </c>
      <c r="BG108" s="4">
        <f>F108</f>
        <v/>
      </c>
      <c r="BH108" s="3">
        <f>BG108&amp;"|"&amp;INT(M108/SEG_ANIO)*SEG_ANIO</f>
        <v/>
      </c>
      <c r="BI108" s="3">
        <f>BH108&amp;"|"&amp;INT(N108/SEG_KM)*SEG_KM</f>
        <v/>
      </c>
      <c r="BJ108" s="4">
        <f>COUNTIF($BG$2:$BG$130,BG108)</f>
        <v/>
      </c>
      <c r="BK108" s="4">
        <f>COUNTIF($BH$2:$BH$130,BH108)</f>
        <v/>
      </c>
      <c r="BL108" s="4">
        <f>COUNTIF($BI$2:$BI$130,BI108)</f>
        <v/>
      </c>
      <c r="BM108" s="3">
        <f t="array" ref="BM108">IF(N(AY108)&gt;=MIN_N,AX108,IF(BL108&gt;=MIN_N,MEDIAN(IF($BI$2:$BI$130=BI108,$O$2:$O$130)),IF(BK108&gt;=MIN_N,MEDIAN(IF($BH$2:$BH$130=BH108,$O$2:$O$130)),MEDIAN(IF($BG$2:$BG$130=BG108,$O$2:$O$130)))))</f>
        <v/>
      </c>
      <c r="BN108" s="3">
        <f>IF(N(AY108)&gt;=MIN_N,"mercado "&amp;AZ108,IF(BL108&gt;=MIN_N,"modelo+año+km",IF(BK108&gt;=MIN_N,"modelo+año","modelo")))</f>
        <v/>
      </c>
      <c r="BO108" s="4">
        <f>(BM108-O108)/BM108</f>
        <v/>
      </c>
      <c r="BP108" s="3">
        <f>IF(COUNTIFS(FR_FUEL,K108,FR_YEAR,AP108)&gt;0,1,0)</f>
        <v/>
      </c>
      <c r="BQ108" s="3">
        <f>IF(COUNTIFS(FR_FUEL,K108,FR_YEAR,AP108-1)&gt;0,1,0)</f>
        <v/>
      </c>
      <c r="BR108" s="4">
        <f>IF(N(AQ108)&gt;0,AP108*100+AQ108,IF(AND(BP108=1,BQ108=1),(AP108-1)*100+1,AP108*100+1))</f>
        <v/>
      </c>
      <c r="BS108" s="3">
        <f>IF(OR(K108="hibrido",K108="glp",K108="gnc",K108="phev"),"ECO",IF(K108="electrico","CERO",IF(K108="gasolina",IF(BR108&gt;=GAS_C_YM,"C",IF(BR108&gt;=GAS_B_YM,"B","A")),IF(K108="diesel",IF(BR108&gt;=DIE_C_YM,"C",IF(BR108&gt;=DIE_B_YM,"B","A")),""))))</f>
        <v/>
      </c>
      <c r="BT108" s="2" t="inlineStr">
        <is>
          <t>B</t>
        </is>
      </c>
      <c r="BU108" s="4">
        <f>IF(AU108="sí","sí",IF(AS108="regla",IF(AND(N(AQ108)=0,BP108=1),"sí","no"),"no"))</f>
        <v/>
      </c>
      <c r="BV108" s="3">
        <f>IFERROR(VLOOKUP(F108,MOD_TBL,16,0),IFERROR(VLOOKUP(E108,OCU_TBL,2,0),NEUTRO))</f>
        <v/>
      </c>
      <c r="BW108" s="3">
        <f>SUMIFS(MOT_AJUSTE,MOT_MOTOR,G108,MOT_MARCA,E108,MOT_DESDE,"&lt;="&amp;M108,MOT_HASTA,"&gt;="&amp;M108)+SUMIFS(MOT_AJUSTE,MOT_MOTOR,G108,MOT_MARCA,"(todas)",MOT_DESDE,"&lt;="&amp;M108,MOT_HASTA,"&gt;="&amp;M108)+SUMIFS(MOT_AJUSTE,MOT_MOTOR,"(cualquiera)",MOT_MARCA,E108,MOT_DESDE,"&lt;="&amp;M108,MOT_HASTA,"&gt;="&amp;M108)</f>
        <v/>
      </c>
      <c r="BX108" s="3">
        <f>SUMIFS(COMB_AJUSTE,COMB_COMB,K108)</f>
        <v/>
      </c>
      <c r="BY108" s="3">
        <f>COUNTIFS(MOT_MOTOR,G108,MOT_MARCA,E108,MOT_DESDE,"&lt;="&amp;M108,MOT_HASTA,"&gt;="&amp;M108)+COUNTIFS(MOT_MOTOR,G108,MOT_MARCA,"(todas)",MOT_DESDE,"&lt;="&amp;M108,MOT_HASTA,"&gt;="&amp;M108)+COUNTIFS(MOT_MOTOR,"(cualquiera)",MOT_MARCA,E108,MOT_DESDE,"&lt;="&amp;M108,MOT_HASTA,"&gt;="&amp;M108)</f>
        <v/>
      </c>
      <c r="BZ108" s="3">
        <f>IF(AND(K108="diesel",BY108=0),MIN(BV108,NEUTRO),BV108)</f>
        <v/>
      </c>
      <c r="CA108" s="3">
        <f>MAX(0,MIN(100,BZ108+BW108+BX108-IF(AV108="sí",ROB_PEN,0)))</f>
        <v/>
      </c>
      <c r="CB108" s="3">
        <f>100-MAX(0,N108-KM_TOPE_DESDE)/1000*KM_TOPE_PTS</f>
        <v/>
      </c>
      <c r="CC108" s="3">
        <f>MAX(0,MIN(100,50+BO108*PRECIO_PEND,CB108))</f>
        <v/>
      </c>
      <c r="CD108" s="3">
        <f>MAX(0,100*(1-N108/KM_MAX))</f>
        <v/>
      </c>
      <c r="CE108" s="3">
        <f>IF(BF108&lt;KMA_SOSP,IF(AA108="sí",100,KMA_PEN),IF(BF108&lt;=KMA_IDEAL_MAX,100,MAX(0,100*(KMA_CERO-BF108)/(KMA_CERO-KMA_IDEAL_MAX))))</f>
        <v/>
      </c>
      <c r="CF108" s="3">
        <f>MAX(0,MIN(100,100*(M108-ANIO_MIN)/(ANIO_ACTUAL-ANIO_MIN)))</f>
        <v/>
      </c>
      <c r="CG108" s="3">
        <f>W_KMT*CD108+W_KMA*CE108+W_EDAD*CF108</f>
        <v/>
      </c>
      <c r="CH108" s="3">
        <f>P_ITV*(V108="sí")+P_LIBRO*(W108="sí")+P_CORREA*(X108="sí")+P_PROP*(Y108=1)+P_GAR*(Z108="sí")+P_FOTOS*MIN(1,N(U108)/FOTOS_OBJ)</f>
        <v/>
      </c>
      <c r="CI108" s="3">
        <f>MAX(0,MIN(100,IFERROR(VLOOKUP(BT108,ETQ_TBL,2,0),0)-IF(BU108="sí",ETQ_PEN_DUD,IF(AS108="regla",ETQ_PEN_REGLA,0))))</f>
        <v/>
      </c>
      <c r="CJ108" s="3">
        <f>IF(K108&lt;&gt;"gasolina","",IFERROR(VLOOKUP(F108,CONS_MOD_TBL,2,0),IFERROR(VLOOKUP(L108,CONS_SEG_TBL,2,0),"")))</f>
        <v/>
      </c>
      <c r="CK108" s="3">
        <f>IF(CJ108="",NEUTRO,MAX(0,MIN(100,100*(CONS_REF_MAX-CJ108)/(CONS_REF_MAX-CONS_REF_MIN))))</f>
        <v/>
      </c>
      <c r="CL108" s="3">
        <f>IFERROR(VLOOKUP(L108,SEGURO_TBL,3,0),"")</f>
        <v/>
      </c>
      <c r="CM108" s="3">
        <f>IF(CL108="",NEUTRO,MAX(0,MIN(100,100*(SEG_REF_MAX-CL108)/(SEG_REF_MAX-SEG_REF_MIN))))</f>
        <v/>
      </c>
      <c r="CN108" s="3">
        <f>W_CONS*CK108+W_SEG*CM108</f>
        <v/>
      </c>
      <c r="CO108" s="3">
        <f>IF(N(AB108)&gt;0,AB108,IF(AND(R108="profesional",SG_LEGAL_ON=1),GAR_LEGAL,0))</f>
        <v/>
      </c>
      <c r="CP108" s="3">
        <f>SG_GAR*MIN(1,CO108/SG_GAR_FULL)+SG_AMPL*(AC108="sí")+SG_KMC*(AF108="sí")+SG_REV*(N(AE108)&gt;0)+SG_DEV*MIN(1,N(AG108)/SG_DEV_FULL)+SG_HIST*(W108="sí")</f>
        <v/>
      </c>
      <c r="CQ108" s="3">
        <f>IF(AW108="sí",ESTILO_PRIO,IFERROR(VLOOKUP(L108,ESTILO_TBL,2,0),NEUTRO))</f>
        <v/>
      </c>
      <c r="CR108" s="3">
        <f>IFERROR(VLOOKUP(L108,CARR_PEN_TBL,2,0),0)</f>
        <v/>
      </c>
      <c r="CS108" s="3">
        <f>W_FIAB*CA108+W_PRECIO*CC108+W_KMEDAD*CG108+W_ANUNCIO*CH108+W_USO*CN108+W_SEGURIDAD*CP108+W_ETIQUETA*CI108+W_ESTILO*CQ108-CR108</f>
        <v/>
      </c>
      <c r="CT108" s="4">
        <f>IF(N(I108)&gt;0,I108,IFERROR(ROUND(_xlfn.NUMBERVALUE(LEFT(G108,FIND(" ",G108&amp;" ")-1),".")*1000,0),99999))</f>
        <v/>
      </c>
      <c r="CU108" s="3">
        <f>IF(R108="profesional",0,IF(O108&lt;CUOTA_VALOR_MAX,IF(BE108&gt;ITP_TRAMO_ALTO,SUMIFS(CF_CUOTA,CF_MAS,ITP_TRAMO_ALTO,CF_CCMIN,"&lt;="&amp;CT108,CF_CCMAX,"&gt;="&amp;CT108),IF(BE108&gt;ITP_TRAMO_BAJO,SUMIFS(CF_CUOTA,CF_MAS,ITP_TRAMO_BAJO,CF_CCMIN,"&lt;="&amp;CT108,CF_CCMAX,"&gt;="&amp;CT108),O108*ITP_TIPO)),O108*ITP_TIPO))</f>
        <v/>
      </c>
      <c r="CV108" s="4">
        <f>IF(R108="profesional",N(AK108),0)</f>
        <v/>
      </c>
      <c r="CW108" s="3">
        <f>IF(AND(R108="profesional",ISNUMBER(AK108),AL108="sí"),0,TASA_DGT)</f>
        <v/>
      </c>
      <c r="CX108" s="3">
        <f>INFORME_DGT</f>
        <v/>
      </c>
      <c r="CY108" s="4">
        <f>O108+CV108+CU108+CW108+CX108</f>
        <v/>
      </c>
      <c r="CZ108" s="4">
        <f>CY108+N(CL108)</f>
        <v/>
      </c>
      <c r="DA108" s="3">
        <f>IF(CY108&lt;=TOTAL_MAX,"sí",IF(CY108&lt;=TOTAL_MAX+MARGEN_NEG,"negociar","no"))</f>
        <v/>
      </c>
      <c r="DB108" s="4">
        <f>IF(DA108&lt;&gt;"no",COUNTIFS($DA$2:$DA$130,"&lt;&gt;no",$CS$2:$CS$130,"&gt;"&amp;CS108)+COUNTIFS($DA$2:DA108,"&lt;&gt;no",$CS$2:CS108,CS108),"")</f>
        <v/>
      </c>
    </row>
    <row r="109">
      <c r="A109" s="2" t="inlineStr">
        <is>
          <t>cochesnet:71783945</t>
        </is>
      </c>
      <c r="B109" s="2" t="inlineStr">
        <is>
          <t>cochesnet</t>
        </is>
      </c>
      <c r="C109" s="2" t="inlineStr">
        <is>
          <t>https://www.coches.net/volkswagen-golf-16-trendline-3p-gasolina-2005-en-valencia-71783945-covo.aspx</t>
        </is>
      </c>
      <c r="D109" s="2" t="inlineStr">
        <is>
          <t>VOLKSWAGEN Golf 1.6 Trendline</t>
        </is>
      </c>
      <c r="E109" s="2" t="inlineStr">
        <is>
          <t>Volkswagen</t>
        </is>
      </c>
      <c r="F109" s="2" t="inlineStr">
        <is>
          <t>Volkswagen Golf</t>
        </is>
      </c>
      <c r="G109" s="2" t="inlineStr">
        <is>
          <t>1.6</t>
        </is>
      </c>
      <c r="H109" s="2" t="inlineStr">
        <is>
          <t>1.6 Trendline</t>
        </is>
      </c>
      <c r="I109" s="2" t="n"/>
      <c r="J109" s="2" t="n"/>
      <c r="K109" s="2" t="inlineStr">
        <is>
          <t>gasolina</t>
        </is>
      </c>
      <c r="L109" s="2" t="inlineStr">
        <is>
          <t>compacto</t>
        </is>
      </c>
      <c r="M109" s="2" t="n">
        <v>2005</v>
      </c>
      <c r="N109" s="2" t="n">
        <v>216000</v>
      </c>
      <c r="O109" s="2" t="n">
        <v>3990</v>
      </c>
      <c r="P109" s="2" t="inlineStr">
        <is>
          <t>manual</t>
        </is>
      </c>
      <c r="Q109" s="2" t="inlineStr">
        <is>
          <t>no</t>
        </is>
      </c>
      <c r="R109" s="2" t="inlineStr">
        <is>
          <t>profesional</t>
        </is>
      </c>
      <c r="S109" s="2" t="inlineStr">
        <is>
          <t>Bonrepòs i Mirambell</t>
        </is>
      </c>
      <c r="T109" s="2" t="inlineStr">
        <is>
          <t>2026-10-19T18:35:03Z</t>
        </is>
      </c>
      <c r="U109" s="2" t="n">
        <v>15</v>
      </c>
      <c r="V109" s="2" t="inlineStr">
        <is>
          <t>sí</t>
        </is>
      </c>
      <c r="W109" s="2" t="n"/>
      <c r="X109" s="2" t="n"/>
      <c r="Y109" s="2" t="n"/>
      <c r="Z109" s="2" t="inlineStr">
        <is>
          <t>sí</t>
        </is>
      </c>
      <c r="AA109" s="2" t="n"/>
      <c r="AB109" s="2" t="n">
        <v>12</v>
      </c>
      <c r="AC109" s="2" t="n"/>
      <c r="AD109" s="2" t="n"/>
      <c r="AE109" s="2" t="n"/>
      <c r="AF109" s="2" t="inlineStr">
        <is>
          <t>sí</t>
        </is>
      </c>
      <c r="AG109" s="2" t="n"/>
      <c r="AH109" s="2" t="n">
        <v>3990</v>
      </c>
      <c r="AI109" s="2" t="n"/>
      <c r="AJ109" s="2" t="n"/>
      <c r="AK109" s="2" t="n"/>
      <c r="AL109" s="2" t="n"/>
      <c r="AM109" s="2" t="n">
        <v>5.3</v>
      </c>
      <c r="AN109" s="2" t="n"/>
      <c r="AO109" s="2" t="inlineStr">
        <is>
          <t>2005</t>
        </is>
      </c>
      <c r="AP109" s="2" t="n">
        <v>2005</v>
      </c>
      <c r="AQ109" s="2" t="n"/>
      <c r="AR109" s="2" t="inlineStr">
        <is>
          <t>B</t>
        </is>
      </c>
      <c r="AS109" s="2" t="inlineStr">
        <is>
          <t>anuncio</t>
        </is>
      </c>
      <c r="AT109" s="2" t="n"/>
      <c r="AU109" s="2" t="inlineStr">
        <is>
          <t>no</t>
        </is>
      </c>
      <c r="AV109" s="2" t="inlineStr">
        <is>
          <t>no</t>
        </is>
      </c>
      <c r="AW109" s="2" t="inlineStr">
        <is>
          <t>no</t>
        </is>
      </c>
      <c r="AX109" s="2" t="n">
        <v>4700</v>
      </c>
      <c r="AY109" s="2" t="n">
        <v>6</v>
      </c>
      <c r="AZ109" s="2" t="inlineStr">
        <is>
          <t>modelo+año+km</t>
        </is>
      </c>
      <c r="BA109" s="2" t="n"/>
      <c r="BB109" s="2" t="inlineStr">
        <is>
          <t>vendedor profesional: sin ITP (operación con IVA/REBU, confirmar en factura); gastos de gestión del vendedor no indicados: se suma la tasa DGT; preguntar el precio final; revisar: detalles «detalles»</t>
        </is>
      </c>
      <c r="BC109" s="2" t="inlineStr">
        <is>
          <t>ELEGANZA AUTOMOVILES 
Destacado:
	•	Vehículo nacional
	•	Kilómetros certificados
	•	ITV en vigor
	•	5 plazas
Equipamiento:
	•	Climatización bizona
	•	Volante deportivo 
	•	Sistema de audio profesional
	•	Tapicería en muy buen estado
	•	Anclajes ISOFIX
	•	Posavasos
	•	Sistema antirrobo
	•	Radio
	•	Ordenador de a bordo
Otros detalles:
	•	Posibilidad de recoger vehículo como parte de pago
	•	Más información disponible bajo consulta, sin compromiso</t>
        </is>
      </c>
      <c r="BD109" s="2" t="inlineStr">
        <is>
          <t>https://www.coches.net/volkswagen-golf-16-trendline-3p-gasolina-2005-en-valencia-71783945-covo.aspx (window.__INITIAL_PROPS__.ad) /home/user/Alopecia/buscador-coches/raw/cochesnet/4c10d60408ccf070.json</t>
        </is>
      </c>
      <c r="BE109" s="3">
        <f>MAX(ANIO_ACTUAL-M109,0)</f>
        <v/>
      </c>
      <c r="BF109" s="4">
        <f>N109/MAX(BE109,0.5)</f>
        <v/>
      </c>
      <c r="BG109" s="4">
        <f>F109</f>
        <v/>
      </c>
      <c r="BH109" s="3">
        <f>BG109&amp;"|"&amp;INT(M109/SEG_ANIO)*SEG_ANIO</f>
        <v/>
      </c>
      <c r="BI109" s="3">
        <f>BH109&amp;"|"&amp;INT(N109/SEG_KM)*SEG_KM</f>
        <v/>
      </c>
      <c r="BJ109" s="4">
        <f>COUNTIF($BG$2:$BG$130,BG109)</f>
        <v/>
      </c>
      <c r="BK109" s="4">
        <f>COUNTIF($BH$2:$BH$130,BH109)</f>
        <v/>
      </c>
      <c r="BL109" s="4">
        <f>COUNTIF($BI$2:$BI$130,BI109)</f>
        <v/>
      </c>
      <c r="BM109" s="3">
        <f t="array" ref="BM109">IF(N(AY109)&gt;=MIN_N,AX109,IF(BL109&gt;=MIN_N,MEDIAN(IF($BI$2:$BI$130=BI109,$O$2:$O$130)),IF(BK109&gt;=MIN_N,MEDIAN(IF($BH$2:$BH$130=BH109,$O$2:$O$130)),MEDIAN(IF($BG$2:$BG$130=BG109,$O$2:$O$130)))))</f>
        <v/>
      </c>
      <c r="BN109" s="3">
        <f>IF(N(AY109)&gt;=MIN_N,"mercado "&amp;AZ109,IF(BL109&gt;=MIN_N,"modelo+año+km",IF(BK109&gt;=MIN_N,"modelo+año","modelo")))</f>
        <v/>
      </c>
      <c r="BO109" s="4">
        <f>(BM109-O109)/BM109</f>
        <v/>
      </c>
      <c r="BP109" s="3">
        <f>IF(COUNTIFS(FR_FUEL,K109,FR_YEAR,AP109)&gt;0,1,0)</f>
        <v/>
      </c>
      <c r="BQ109" s="3">
        <f>IF(COUNTIFS(FR_FUEL,K109,FR_YEAR,AP109-1)&gt;0,1,0)</f>
        <v/>
      </c>
      <c r="BR109" s="4">
        <f>IF(N(AQ109)&gt;0,AP109*100+AQ109,IF(AND(BP109=1,BQ109=1),(AP109-1)*100+1,AP109*100+1))</f>
        <v/>
      </c>
      <c r="BS109" s="3">
        <f>IF(OR(K109="hibrido",K109="glp",K109="gnc",K109="phev"),"ECO",IF(K109="electrico","CERO",IF(K109="gasolina",IF(BR109&gt;=GAS_C_YM,"C",IF(BR109&gt;=GAS_B_YM,"B","A")),IF(K109="diesel",IF(BR109&gt;=DIE_C_YM,"C",IF(BR109&gt;=DIE_B_YM,"B","A")),""))))</f>
        <v/>
      </c>
      <c r="BT109" s="2" t="inlineStr">
        <is>
          <t>B</t>
        </is>
      </c>
      <c r="BU109" s="4">
        <f>IF(AU109="sí","sí",IF(AS109="regla",IF(AND(N(AQ109)=0,BP109=1),"sí","no"),"no"))</f>
        <v/>
      </c>
      <c r="BV109" s="3">
        <f>IFERROR(VLOOKUP(F109,MOD_TBL,16,0),IFERROR(VLOOKUP(E109,OCU_TBL,2,0),NEUTRO))</f>
        <v/>
      </c>
      <c r="BW109" s="3">
        <f>SUMIFS(MOT_AJUSTE,MOT_MOTOR,G109,MOT_MARCA,E109,MOT_DESDE,"&lt;="&amp;M109,MOT_HASTA,"&gt;="&amp;M109)+SUMIFS(MOT_AJUSTE,MOT_MOTOR,G109,MOT_MARCA,"(todas)",MOT_DESDE,"&lt;="&amp;M109,MOT_HASTA,"&gt;="&amp;M109)+SUMIFS(MOT_AJUSTE,MOT_MOTOR,"(cualquiera)",MOT_MARCA,E109,MOT_DESDE,"&lt;="&amp;M109,MOT_HASTA,"&gt;="&amp;M109)</f>
        <v/>
      </c>
      <c r="BX109" s="3">
        <f>SUMIFS(COMB_AJUSTE,COMB_COMB,K109)</f>
        <v/>
      </c>
      <c r="BY109" s="3">
        <f>COUNTIFS(MOT_MOTOR,G109,MOT_MARCA,E109,MOT_DESDE,"&lt;="&amp;M109,MOT_HASTA,"&gt;="&amp;M109)+COUNTIFS(MOT_MOTOR,G109,MOT_MARCA,"(todas)",MOT_DESDE,"&lt;="&amp;M109,MOT_HASTA,"&gt;="&amp;M109)+COUNTIFS(MOT_MOTOR,"(cualquiera)",MOT_MARCA,E109,MOT_DESDE,"&lt;="&amp;M109,MOT_HASTA,"&gt;="&amp;M109)</f>
        <v/>
      </c>
      <c r="BZ109" s="3">
        <f>IF(AND(K109="diesel",BY109=0),MIN(BV109,NEUTRO),BV109)</f>
        <v/>
      </c>
      <c r="CA109" s="3">
        <f>MAX(0,MIN(100,BZ109+BW109+BX109-IF(AV109="sí",ROB_PEN,0)))</f>
        <v/>
      </c>
      <c r="CB109" s="3">
        <f>100-MAX(0,N109-KM_TOPE_DESDE)/1000*KM_TOPE_PTS</f>
        <v/>
      </c>
      <c r="CC109" s="3">
        <f>MAX(0,MIN(100,50+BO109*PRECIO_PEND,CB109))</f>
        <v/>
      </c>
      <c r="CD109" s="3">
        <f>MAX(0,100*(1-N109/KM_MAX))</f>
        <v/>
      </c>
      <c r="CE109" s="3">
        <f>IF(BF109&lt;KMA_SOSP,IF(AA109="sí",100,KMA_PEN),IF(BF109&lt;=KMA_IDEAL_MAX,100,MAX(0,100*(KMA_CERO-BF109)/(KMA_CERO-KMA_IDEAL_MAX))))</f>
        <v/>
      </c>
      <c r="CF109" s="3">
        <f>MAX(0,MIN(100,100*(M109-ANIO_MIN)/(ANIO_ACTUAL-ANIO_MIN)))</f>
        <v/>
      </c>
      <c r="CG109" s="3">
        <f>W_KMT*CD109+W_KMA*CE109+W_EDAD*CF109</f>
        <v/>
      </c>
      <c r="CH109" s="3">
        <f>P_ITV*(V109="sí")+P_LIBRO*(W109="sí")+P_CORREA*(X109="sí")+P_PROP*(Y109=1)+P_GAR*(Z109="sí")+P_FOTOS*MIN(1,N(U109)/FOTOS_OBJ)</f>
        <v/>
      </c>
      <c r="CI109" s="3">
        <f>MAX(0,MIN(100,IFERROR(VLOOKUP(BT109,ETQ_TBL,2,0),0)-IF(BU109="sí",ETQ_PEN_DUD,IF(AS109="regla",ETQ_PEN_REGLA,0))))</f>
        <v/>
      </c>
      <c r="CJ109" s="3">
        <f>IF(K109&lt;&gt;"gasolina","",IFERROR(VLOOKUP(F109,CONS_MOD_TBL,2,0),IFERROR(VLOOKUP(L109,CONS_SEG_TBL,2,0),"")))</f>
        <v/>
      </c>
      <c r="CK109" s="3">
        <f>IF(CJ109="",NEUTRO,MAX(0,MIN(100,100*(CONS_REF_MAX-CJ109)/(CONS_REF_MAX-CONS_REF_MIN))))</f>
        <v/>
      </c>
      <c r="CL109" s="3">
        <f>IFERROR(VLOOKUP(L109,SEGURO_TBL,3,0),"")</f>
        <v/>
      </c>
      <c r="CM109" s="3">
        <f>IF(CL109="",NEUTRO,MAX(0,MIN(100,100*(SEG_REF_MAX-CL109)/(SEG_REF_MAX-SEG_REF_MIN))))</f>
        <v/>
      </c>
      <c r="CN109" s="3">
        <f>W_CONS*CK109+W_SEG*CM109</f>
        <v/>
      </c>
      <c r="CO109" s="3">
        <f>IF(N(AB109)&gt;0,AB109,IF(AND(R109="profesional",SG_LEGAL_ON=1),GAR_LEGAL,0))</f>
        <v/>
      </c>
      <c r="CP109" s="3">
        <f>SG_GAR*MIN(1,CO109/SG_GAR_FULL)+SG_AMPL*(AC109="sí")+SG_KMC*(AF109="sí")+SG_REV*(N(AE109)&gt;0)+SG_DEV*MIN(1,N(AG109)/SG_DEV_FULL)+SG_HIST*(W109="sí")</f>
        <v/>
      </c>
      <c r="CQ109" s="3">
        <f>IF(AW109="sí",ESTILO_PRIO,IFERROR(VLOOKUP(L109,ESTILO_TBL,2,0),NEUTRO))</f>
        <v/>
      </c>
      <c r="CR109" s="3">
        <f>IFERROR(VLOOKUP(L109,CARR_PEN_TBL,2,0),0)</f>
        <v/>
      </c>
      <c r="CS109" s="3">
        <f>W_FIAB*CA109+W_PRECIO*CC109+W_KMEDAD*CG109+W_ANUNCIO*CH109+W_USO*CN109+W_SEGURIDAD*CP109+W_ETIQUETA*CI109+W_ESTILO*CQ109-CR109</f>
        <v/>
      </c>
      <c r="CT109" s="4">
        <f>IF(N(I109)&gt;0,I109,IFERROR(ROUND(_xlfn.NUMBERVALUE(LEFT(G109,FIND(" ",G109&amp;" ")-1),".")*1000,0),99999))</f>
        <v/>
      </c>
      <c r="CU109" s="3">
        <f>IF(R109="profesional",0,IF(O109&lt;CUOTA_VALOR_MAX,IF(BE109&gt;ITP_TRAMO_ALTO,SUMIFS(CF_CUOTA,CF_MAS,ITP_TRAMO_ALTO,CF_CCMIN,"&lt;="&amp;CT109,CF_CCMAX,"&gt;="&amp;CT109),IF(BE109&gt;ITP_TRAMO_BAJO,SUMIFS(CF_CUOTA,CF_MAS,ITP_TRAMO_BAJO,CF_CCMIN,"&lt;="&amp;CT109,CF_CCMAX,"&gt;="&amp;CT109),O109*ITP_TIPO)),O109*ITP_TIPO))</f>
        <v/>
      </c>
      <c r="CV109" s="4">
        <f>IF(R109="profesional",N(AK109),0)</f>
        <v/>
      </c>
      <c r="CW109" s="3">
        <f>IF(AND(R109="profesional",ISNUMBER(AK109),AL109="sí"),0,TASA_DGT)</f>
        <v/>
      </c>
      <c r="CX109" s="3">
        <f>INFORME_DGT</f>
        <v/>
      </c>
      <c r="CY109" s="4">
        <f>O109+CV109+CU109+CW109+CX109</f>
        <v/>
      </c>
      <c r="CZ109" s="4">
        <f>CY109+N(CL109)</f>
        <v/>
      </c>
      <c r="DA109" s="3">
        <f>IF(CY109&lt;=TOTAL_MAX,"sí",IF(CY109&lt;=TOTAL_MAX+MARGEN_NEG,"negociar","no"))</f>
        <v/>
      </c>
      <c r="DB109" s="4">
        <f>IF(DA109&lt;&gt;"no",COUNTIFS($DA$2:$DA$130,"&lt;&gt;no",$CS$2:$CS$130,"&gt;"&amp;CS109)+COUNTIFS($DA$2:DA109,"&lt;&gt;no",$CS$2:CS109,CS109),"")</f>
        <v/>
      </c>
    </row>
    <row r="110">
      <c r="A110" s="2" t="inlineStr">
        <is>
          <t>cochesnet:71237695</t>
        </is>
      </c>
      <c r="B110" s="2" t="inlineStr">
        <is>
          <t>cochesnet</t>
        </is>
      </c>
      <c r="C110" s="2" t="inlineStr">
        <is>
          <t>https://www.coches.net/opel-astra-22-dti-16v-bertone-edition-2p-diesel-2003-en-valencia-71237695-covo.aspx</t>
        </is>
      </c>
      <c r="D110" s="2" t="inlineStr">
        <is>
          <t>OPEL Astra 2.2 Dti 16v Bertone Edition</t>
        </is>
      </c>
      <c r="E110" s="2" t="inlineStr">
        <is>
          <t>Opel</t>
        </is>
      </c>
      <c r="F110" s="2" t="inlineStr">
        <is>
          <t>Opel Astra</t>
        </is>
      </c>
      <c r="G110" s="2" t="inlineStr">
        <is>
          <t>2.2</t>
        </is>
      </c>
      <c r="H110" s="2" t="inlineStr">
        <is>
          <t>2.2 Dti 16v Bertone Edition</t>
        </is>
      </c>
      <c r="I110" s="2" t="n"/>
      <c r="J110" s="2" t="n"/>
      <c r="K110" s="2" t="inlineStr">
        <is>
          <t>diesel</t>
        </is>
      </c>
      <c r="L110" s="2" t="inlineStr">
        <is>
          <t>compacto</t>
        </is>
      </c>
      <c r="M110" s="2" t="n">
        <v>2003</v>
      </c>
      <c r="N110" s="2" t="n">
        <v>95000</v>
      </c>
      <c r="O110" s="2" t="n">
        <v>3990</v>
      </c>
      <c r="P110" s="2" t="inlineStr">
        <is>
          <t>manual</t>
        </is>
      </c>
      <c r="Q110" s="2" t="inlineStr">
        <is>
          <t>no</t>
        </is>
      </c>
      <c r="R110" s="2" t="inlineStr">
        <is>
          <t>profesional</t>
        </is>
      </c>
      <c r="S110" s="2" t="inlineStr">
        <is>
          <t>Valencia</t>
        </is>
      </c>
      <c r="T110" s="2" t="inlineStr">
        <is>
          <t>2026-08-05T19:49:58Z</t>
        </is>
      </c>
      <c r="U110" s="2" t="n">
        <v>15</v>
      </c>
      <c r="V110" s="2" t="n"/>
      <c r="W110" s="2" t="n"/>
      <c r="X110" s="2" t="n"/>
      <c r="Y110" s="2" t="n"/>
      <c r="Z110" s="2" t="inlineStr">
        <is>
          <t>sí</t>
        </is>
      </c>
      <c r="AA110" s="2" t="n"/>
      <c r="AB110" s="2" t="n">
        <v>12</v>
      </c>
      <c r="AC110" s="2" t="n"/>
      <c r="AD110" s="2" t="n"/>
      <c r="AE110" s="2" t="n"/>
      <c r="AF110" s="2" t="inlineStr">
        <is>
          <t>sí</t>
        </is>
      </c>
      <c r="AG110" s="2" t="n"/>
      <c r="AH110" s="2" t="n">
        <v>3990</v>
      </c>
      <c r="AI110" s="2" t="n"/>
      <c r="AJ110" s="2" t="n"/>
      <c r="AK110" s="2" t="n"/>
      <c r="AL110" s="2" t="n"/>
      <c r="AM110" s="2" t="n">
        <v>0.1</v>
      </c>
      <c r="AN110" s="2" t="n"/>
      <c r="AO110" s="2" t="inlineStr">
        <is>
          <t>2003</t>
        </is>
      </c>
      <c r="AP110" s="2" t="n">
        <v>2003</v>
      </c>
      <c r="AQ110" s="2" t="n"/>
      <c r="AR110" s="2" t="inlineStr">
        <is>
          <t>B</t>
        </is>
      </c>
      <c r="AS110" s="2" t="inlineStr">
        <is>
          <t>anuncio</t>
        </is>
      </c>
      <c r="AT110" s="2" t="n"/>
      <c r="AU110" s="2" t="inlineStr">
        <is>
          <t>no</t>
        </is>
      </c>
      <c r="AV110" s="2" t="inlineStr">
        <is>
          <t>no</t>
        </is>
      </c>
      <c r="AW110" s="2" t="inlineStr">
        <is>
          <t>no</t>
        </is>
      </c>
      <c r="AX110" s="2" t="n">
        <v>1999</v>
      </c>
      <c r="AY110" s="2" t="n">
        <v>15</v>
      </c>
      <c r="AZ110" s="2" t="inlineStr">
        <is>
          <t>modelo+año</t>
        </is>
      </c>
      <c r="BA110" s="2" t="n"/>
      <c r="BB110" s="2" t="inlineStr">
        <is>
          <t>vendedor profesional: sin ITP (operación con IVA/REBU, confirmar en factura); gastos de gestión del vendedor no indicados: se suma la tasa DGT; preguntar el precio final; diésel: motor sin fuente de fiabilidad (fiabilidad limitada a neutra); revisar: no menciona la ITV</t>
        </is>
      </c>
      <c r="BC110" s="2" t="inlineStr">
        <is>
          <t xml:space="preserve">VISITAS CON CITA PREVIA
KM EXACTOS: 97.741 km
OPEL Astra 2.2 Dti 16v Bertone Edition
Kilómetros Certificados.
Cuenta con extras como: 
- Frenos ABS con repartidor electrónico de frenada (EBD)
- Dirección asistida
- Airbags
- Climatizador
- Control Crucero
- Elevalunas eléctricos
Cambio de titularidad 190€.
Posibilidad de envío a cualquier parte de España (consultar precios).
Garantía Europea adicional y/o ampliada (consultar precios)
Este anuncio no es vinculante, se muestra a titulo informativo y no contractual.
OPEL Astra 2.2 Dti 16v Bertone Edition en Quart de Poblet, Valencia
</t>
        </is>
      </c>
      <c r="BD110" s="2" t="inlineStr">
        <is>
          <t>https://www.coches.net/opel-astra-22-dti-16v-bertone-edition-2p-diesel-2003-en-valencia-71237695-covo.aspx (window.__INITIAL_PROPS__.ad) /home/user/Alopecia/buscador-coches/raw/cochesnet/e4179d76c9bdab92.json</t>
        </is>
      </c>
      <c r="BE110" s="3">
        <f>MAX(ANIO_ACTUAL-M110,0)</f>
        <v/>
      </c>
      <c r="BF110" s="4">
        <f>N110/MAX(BE110,0.5)</f>
        <v/>
      </c>
      <c r="BG110" s="4">
        <f>F110</f>
        <v/>
      </c>
      <c r="BH110" s="3">
        <f>BG110&amp;"|"&amp;INT(M110/SEG_ANIO)*SEG_ANIO</f>
        <v/>
      </c>
      <c r="BI110" s="3">
        <f>BH110&amp;"|"&amp;INT(N110/SEG_KM)*SEG_KM</f>
        <v/>
      </c>
      <c r="BJ110" s="4">
        <f>COUNTIF($BG$2:$BG$130,BG110)</f>
        <v/>
      </c>
      <c r="BK110" s="4">
        <f>COUNTIF($BH$2:$BH$130,BH110)</f>
        <v/>
      </c>
      <c r="BL110" s="4">
        <f>COUNTIF($BI$2:$BI$130,BI110)</f>
        <v/>
      </c>
      <c r="BM110" s="3">
        <f t="array" ref="BM110">IF(N(AY110)&gt;=MIN_N,AX110,IF(BL110&gt;=MIN_N,MEDIAN(IF($BI$2:$BI$130=BI110,$O$2:$O$130)),IF(BK110&gt;=MIN_N,MEDIAN(IF($BH$2:$BH$130=BH110,$O$2:$O$130)),MEDIAN(IF($BG$2:$BG$130=BG110,$O$2:$O$130)))))</f>
        <v/>
      </c>
      <c r="BN110" s="3">
        <f>IF(N(AY110)&gt;=MIN_N,"mercado "&amp;AZ110,IF(BL110&gt;=MIN_N,"modelo+año+km",IF(BK110&gt;=MIN_N,"modelo+año","modelo")))</f>
        <v/>
      </c>
      <c r="BO110" s="4">
        <f>(BM110-O110)/BM110</f>
        <v/>
      </c>
      <c r="BP110" s="3">
        <f>IF(COUNTIFS(FR_FUEL,K110,FR_YEAR,AP110)&gt;0,1,0)</f>
        <v/>
      </c>
      <c r="BQ110" s="3">
        <f>IF(COUNTIFS(FR_FUEL,K110,FR_YEAR,AP110-1)&gt;0,1,0)</f>
        <v/>
      </c>
      <c r="BR110" s="4">
        <f>IF(N(AQ110)&gt;0,AP110*100+AQ110,IF(AND(BP110=1,BQ110=1),(AP110-1)*100+1,AP110*100+1))</f>
        <v/>
      </c>
      <c r="BS110" s="3">
        <f>IF(OR(K110="hibrido",K110="glp",K110="gnc",K110="phev"),"ECO",IF(K110="electrico","CERO",IF(K110="gasolina",IF(BR110&gt;=GAS_C_YM,"C",IF(BR110&gt;=GAS_B_YM,"B","A")),IF(K110="diesel",IF(BR110&gt;=DIE_C_YM,"C",IF(BR110&gt;=DIE_B_YM,"B","A")),""))))</f>
        <v/>
      </c>
      <c r="BT110" s="2" t="inlineStr">
        <is>
          <t>B</t>
        </is>
      </c>
      <c r="BU110" s="4">
        <f>IF(AU110="sí","sí",IF(AS110="regla",IF(AND(N(AQ110)=0,BP110=1),"sí","no"),"no"))</f>
        <v/>
      </c>
      <c r="BV110" s="3">
        <f>IFERROR(VLOOKUP(F110,MOD_TBL,16,0),IFERROR(VLOOKUP(E110,OCU_TBL,2,0),NEUTRO))</f>
        <v/>
      </c>
      <c r="BW110" s="3">
        <f>SUMIFS(MOT_AJUSTE,MOT_MOTOR,G110,MOT_MARCA,E110,MOT_DESDE,"&lt;="&amp;M110,MOT_HASTA,"&gt;="&amp;M110)+SUMIFS(MOT_AJUSTE,MOT_MOTOR,G110,MOT_MARCA,"(todas)",MOT_DESDE,"&lt;="&amp;M110,MOT_HASTA,"&gt;="&amp;M110)+SUMIFS(MOT_AJUSTE,MOT_MOTOR,"(cualquiera)",MOT_MARCA,E110,MOT_DESDE,"&lt;="&amp;M110,MOT_HASTA,"&gt;="&amp;M110)</f>
        <v/>
      </c>
      <c r="BX110" s="3">
        <f>SUMIFS(COMB_AJUSTE,COMB_COMB,K110)</f>
        <v/>
      </c>
      <c r="BY110" s="3">
        <f>COUNTIFS(MOT_MOTOR,G110,MOT_MARCA,E110,MOT_DESDE,"&lt;="&amp;M110,MOT_HASTA,"&gt;="&amp;M110)+COUNTIFS(MOT_MOTOR,G110,MOT_MARCA,"(todas)",MOT_DESDE,"&lt;="&amp;M110,MOT_HASTA,"&gt;="&amp;M110)+COUNTIFS(MOT_MOTOR,"(cualquiera)",MOT_MARCA,E110,MOT_DESDE,"&lt;="&amp;M110,MOT_HASTA,"&gt;="&amp;M110)</f>
        <v/>
      </c>
      <c r="BZ110" s="3">
        <f>IF(AND(K110="diesel",BY110=0),MIN(BV110,NEUTRO),BV110)</f>
        <v/>
      </c>
      <c r="CA110" s="3">
        <f>MAX(0,MIN(100,BZ110+BW110+BX110-IF(AV110="sí",ROB_PEN,0)))</f>
        <v/>
      </c>
      <c r="CB110" s="3">
        <f>100-MAX(0,N110-KM_TOPE_DESDE)/1000*KM_TOPE_PTS</f>
        <v/>
      </c>
      <c r="CC110" s="3">
        <f>MAX(0,MIN(100,50+BO110*PRECIO_PEND,CB110))</f>
        <v/>
      </c>
      <c r="CD110" s="3">
        <f>MAX(0,100*(1-N110/KM_MAX))</f>
        <v/>
      </c>
      <c r="CE110" s="3">
        <f>IF(BF110&lt;KMA_SOSP,IF(AA110="sí",100,KMA_PEN),IF(BF110&lt;=KMA_IDEAL_MAX,100,MAX(0,100*(KMA_CERO-BF110)/(KMA_CERO-KMA_IDEAL_MAX))))</f>
        <v/>
      </c>
      <c r="CF110" s="3">
        <f>MAX(0,MIN(100,100*(M110-ANIO_MIN)/(ANIO_ACTUAL-ANIO_MIN)))</f>
        <v/>
      </c>
      <c r="CG110" s="3">
        <f>W_KMT*CD110+W_KMA*CE110+W_EDAD*CF110</f>
        <v/>
      </c>
      <c r="CH110" s="3">
        <f>P_ITV*(V110="sí")+P_LIBRO*(W110="sí")+P_CORREA*(X110="sí")+P_PROP*(Y110=1)+P_GAR*(Z110="sí")+P_FOTOS*MIN(1,N(U110)/FOTOS_OBJ)</f>
        <v/>
      </c>
      <c r="CI110" s="3">
        <f>MAX(0,MIN(100,IFERROR(VLOOKUP(BT110,ETQ_TBL,2,0),0)-IF(BU110="sí",ETQ_PEN_DUD,IF(AS110="regla",ETQ_PEN_REGLA,0))))</f>
        <v/>
      </c>
      <c r="CJ110" s="3">
        <f>IF(K110&lt;&gt;"gasolina","",IFERROR(VLOOKUP(F110,CONS_MOD_TBL,2,0),IFERROR(VLOOKUP(L110,CONS_SEG_TBL,2,0),"")))</f>
        <v/>
      </c>
      <c r="CK110" s="3">
        <f>IF(CJ110="",NEUTRO,MAX(0,MIN(100,100*(CONS_REF_MAX-CJ110)/(CONS_REF_MAX-CONS_REF_MIN))))</f>
        <v/>
      </c>
      <c r="CL110" s="3">
        <f>IFERROR(VLOOKUP(L110,SEGURO_TBL,3,0),"")</f>
        <v/>
      </c>
      <c r="CM110" s="3">
        <f>IF(CL110="",NEUTRO,MAX(0,MIN(100,100*(SEG_REF_MAX-CL110)/(SEG_REF_MAX-SEG_REF_MIN))))</f>
        <v/>
      </c>
      <c r="CN110" s="3">
        <f>W_CONS*CK110+W_SEG*CM110</f>
        <v/>
      </c>
      <c r="CO110" s="3">
        <f>IF(N(AB110)&gt;0,AB110,IF(AND(R110="profesional",SG_LEGAL_ON=1),GAR_LEGAL,0))</f>
        <v/>
      </c>
      <c r="CP110" s="3">
        <f>SG_GAR*MIN(1,CO110/SG_GAR_FULL)+SG_AMPL*(AC110="sí")+SG_KMC*(AF110="sí")+SG_REV*(N(AE110)&gt;0)+SG_DEV*MIN(1,N(AG110)/SG_DEV_FULL)+SG_HIST*(W110="sí")</f>
        <v/>
      </c>
      <c r="CQ110" s="3">
        <f>IF(AW110="sí",ESTILO_PRIO,IFERROR(VLOOKUP(L110,ESTILO_TBL,2,0),NEUTRO))</f>
        <v/>
      </c>
      <c r="CR110" s="3">
        <f>IFERROR(VLOOKUP(L110,CARR_PEN_TBL,2,0),0)</f>
        <v/>
      </c>
      <c r="CS110" s="3">
        <f>W_FIAB*CA110+W_PRECIO*CC110+W_KMEDAD*CG110+W_ANUNCIO*CH110+W_USO*CN110+W_SEGURIDAD*CP110+W_ETIQUETA*CI110+W_ESTILO*CQ110-CR110</f>
        <v/>
      </c>
      <c r="CT110" s="4">
        <f>IF(N(I110)&gt;0,I110,IFERROR(ROUND(_xlfn.NUMBERVALUE(LEFT(G110,FIND(" ",G110&amp;" ")-1),".")*1000,0),99999))</f>
        <v/>
      </c>
      <c r="CU110" s="3">
        <f>IF(R110="profesional",0,IF(O110&lt;CUOTA_VALOR_MAX,IF(BE110&gt;ITP_TRAMO_ALTO,SUMIFS(CF_CUOTA,CF_MAS,ITP_TRAMO_ALTO,CF_CCMIN,"&lt;="&amp;CT110,CF_CCMAX,"&gt;="&amp;CT110),IF(BE110&gt;ITP_TRAMO_BAJO,SUMIFS(CF_CUOTA,CF_MAS,ITP_TRAMO_BAJO,CF_CCMIN,"&lt;="&amp;CT110,CF_CCMAX,"&gt;="&amp;CT110),O110*ITP_TIPO)),O110*ITP_TIPO))</f>
        <v/>
      </c>
      <c r="CV110" s="4">
        <f>IF(R110="profesional",N(AK110),0)</f>
        <v/>
      </c>
      <c r="CW110" s="3">
        <f>IF(AND(R110="profesional",ISNUMBER(AK110),AL110="sí"),0,TASA_DGT)</f>
        <v/>
      </c>
      <c r="CX110" s="3">
        <f>INFORME_DGT</f>
        <v/>
      </c>
      <c r="CY110" s="4">
        <f>O110+CV110+CU110+CW110+CX110</f>
        <v/>
      </c>
      <c r="CZ110" s="4">
        <f>CY110+N(CL110)</f>
        <v/>
      </c>
      <c r="DA110" s="3">
        <f>IF(CY110&lt;=TOTAL_MAX,"sí",IF(CY110&lt;=TOTAL_MAX+MARGEN_NEG,"negociar","no"))</f>
        <v/>
      </c>
      <c r="DB110" s="4">
        <f>IF(DA110&lt;&gt;"no",COUNTIFS($DA$2:$DA$130,"&lt;&gt;no",$CS$2:$CS$130,"&gt;"&amp;CS110)+COUNTIFS($DA$2:DA110,"&lt;&gt;no",$CS$2:CS110,CS110),"")</f>
        <v/>
      </c>
    </row>
    <row r="111">
      <c r="A111" s="2" t="inlineStr">
        <is>
          <t>cochesnet:71694227</t>
        </is>
      </c>
      <c r="B111" s="2" t="inlineStr">
        <is>
          <t>cochesnet</t>
        </is>
      </c>
      <c r="C111" s="2" t="inlineStr">
        <is>
          <t>https://www.coches.net/opel-astra-gtc-16-16v-enjoy-3p-gasolina-2007-en-valencia-71694227-covo.aspx</t>
        </is>
      </c>
      <c r="D111" s="2" t="inlineStr">
        <is>
          <t>OPEL Astra GTC 1.6 16v Enjoy</t>
        </is>
      </c>
      <c r="E111" s="2" t="inlineStr">
        <is>
          <t>Opel</t>
        </is>
      </c>
      <c r="F111" s="2" t="inlineStr">
        <is>
          <t>Opel Astra</t>
        </is>
      </c>
      <c r="G111" s="2" t="inlineStr">
        <is>
          <t>1.6</t>
        </is>
      </c>
      <c r="H111" s="2" t="inlineStr">
        <is>
          <t>GTC 1.6 16v Enjoy</t>
        </is>
      </c>
      <c r="I111" s="2" t="n"/>
      <c r="J111" s="2" t="n"/>
      <c r="K111" s="2" t="inlineStr">
        <is>
          <t>gasolina</t>
        </is>
      </c>
      <c r="L111" s="2" t="inlineStr">
        <is>
          <t>compacto</t>
        </is>
      </c>
      <c r="M111" s="2" t="n">
        <v>2004</v>
      </c>
      <c r="N111" s="2" t="n">
        <v>183000</v>
      </c>
      <c r="O111" s="2" t="n">
        <v>3490</v>
      </c>
      <c r="P111" s="2" t="inlineStr">
        <is>
          <t>manual</t>
        </is>
      </c>
      <c r="Q111" s="2" t="inlineStr">
        <is>
          <t>no</t>
        </is>
      </c>
      <c r="R111" s="2" t="inlineStr">
        <is>
          <t>profesional</t>
        </is>
      </c>
      <c r="S111" s="2" t="inlineStr">
        <is>
          <t>Garageng Foios Foios</t>
        </is>
      </c>
      <c r="T111" s="2" t="inlineStr">
        <is>
          <t>2026-10-07T13:30:36Z</t>
        </is>
      </c>
      <c r="U111" s="2" t="n">
        <v>31</v>
      </c>
      <c r="V111" s="2" t="inlineStr">
        <is>
          <t>sí</t>
        </is>
      </c>
      <c r="W111" s="2" t="n"/>
      <c r="X111" s="2" t="n"/>
      <c r="Y111" s="2" t="n"/>
      <c r="Z111" s="2" t="inlineStr">
        <is>
          <t>no</t>
        </is>
      </c>
      <c r="AA111" s="2" t="n"/>
      <c r="AB111" s="2" t="n"/>
      <c r="AC111" s="2" t="n"/>
      <c r="AD111" s="2" t="n"/>
      <c r="AE111" s="2" t="n"/>
      <c r="AF111" s="2" t="n"/>
      <c r="AG111" s="2" t="n"/>
      <c r="AH111" s="2" t="n">
        <v>3490</v>
      </c>
      <c r="AI111" s="2" t="n"/>
      <c r="AJ111" s="2" t="n"/>
      <c r="AK111" s="2" t="n"/>
      <c r="AL111" s="2" t="n"/>
      <c r="AM111" s="2" t="n">
        <v>7.7</v>
      </c>
      <c r="AN111" s="2" t="n"/>
      <c r="AO111" s="2" t="inlineStr">
        <is>
          <t>2004</t>
        </is>
      </c>
      <c r="AP111" s="2" t="n">
        <v>2004</v>
      </c>
      <c r="AQ111" s="2" t="n"/>
      <c r="AR111" s="2" t="inlineStr">
        <is>
          <t>C</t>
        </is>
      </c>
      <c r="AS111" s="2" t="inlineStr">
        <is>
          <t>anuncio</t>
        </is>
      </c>
      <c r="AT111" s="2" t="n">
        <v>2007</v>
      </c>
      <c r="AU111" s="2" t="inlineStr">
        <is>
          <t>no</t>
        </is>
      </c>
      <c r="AV111" s="2" t="inlineStr">
        <is>
          <t>no</t>
        </is>
      </c>
      <c r="AW111" s="2" t="inlineStr">
        <is>
          <t>no</t>
        </is>
      </c>
      <c r="AX111" s="2" t="n">
        <v>2850</v>
      </c>
      <c r="AY111" s="2" t="n">
        <v>16</v>
      </c>
      <c r="AZ111" s="2" t="inlineStr">
        <is>
          <t>modelo+año+km</t>
        </is>
      </c>
      <c r="BA111" s="2" t="n"/>
      <c r="BB111" s="2" t="inlineStr">
        <is>
          <t>año a confirmar: la URL/título dice 2007; vendedor profesional: sin ITP (operación con IVA/REBU, confirmar en factura); gastos de gestión del vendedor no indicados: se suma la tasa DGT; preguntar el precio final</t>
        </is>
      </c>
      <c r="BC111" s="2" t="inlineStr">
        <is>
          <t xml:space="preserve">OPEL MODELO ASTRA MOTOR 1.6 I CON 105 CV DE POTENCIA Y CONSUMO REDUCIDO.
VEHÍCULO NACIONAL CON KILOMETRAJE REAL Y CERTIFICADO.
DISPONE DE DISTINTIVO AMBIENTAL C.
SE ENTREGA CON MANTENIMIENTO RECIEN HECHO E ITV EN VIGOR.
CONSERVA LIBROS ORIGINALES.
DESTACADOS:
- CIERRE CENTRALIZADO CON MANDO Y DOS LLAVES
- VELOCIDAD DE CRUCERO CON LIMITADOR
- CLIMATIZADOR DIGITAL A/C
- RADIO ORIGINAL OPEL 
- ELEVALUNAS ELECTRICOS
- RETROVISORES ELECTRICOS
- TAPICERIA DE TELA MIXTA 
- LLANTAS DE ALUMINIO
- POSA-VASOS
- VEHICULO SUJETO A IVA/REBU.
- ESTE ANUNCIO PUEDE CONTENER ALGÚN ERROR SE MUESTRA A TITULO INFORMATIVO Y NO CONTRACTUAL, PARA MAS INFORMACIÓN CONTACTE CON NOSOTROS.
- ACEPTAMOS COCHES COMO PARTE DE PAGO, TASACION MAXIMA Y PAGO INMEDIATO.
- CARRER DE LA HORTA 14, FOIOS, POLÍGONO INDUSTRIAL EL MOLI, CAMPA AMARILLA.
</t>
        </is>
      </c>
      <c r="BD111" s="2" t="inlineStr">
        <is>
          <t>https://www.coches.net/opel-astra-gtc-16-16v-enjoy-3p-gasolina-2007-en-valencia-71694227-covo.aspx (window.__INITIAL_PROPS__.ad) /home/user/Alopecia/buscador-coches/raw/cochesnet/a622f6207a524336.json</t>
        </is>
      </c>
      <c r="BE111" s="3">
        <f>MAX(ANIO_ACTUAL-M111,0)</f>
        <v/>
      </c>
      <c r="BF111" s="4">
        <f>N111/MAX(BE111,0.5)</f>
        <v/>
      </c>
      <c r="BG111" s="4">
        <f>F111</f>
        <v/>
      </c>
      <c r="BH111" s="3">
        <f>BG111&amp;"|"&amp;INT(M111/SEG_ANIO)*SEG_ANIO</f>
        <v/>
      </c>
      <c r="BI111" s="3">
        <f>BH111&amp;"|"&amp;INT(N111/SEG_KM)*SEG_KM</f>
        <v/>
      </c>
      <c r="BJ111" s="4">
        <f>COUNTIF($BG$2:$BG$130,BG111)</f>
        <v/>
      </c>
      <c r="BK111" s="4">
        <f>COUNTIF($BH$2:$BH$130,BH111)</f>
        <v/>
      </c>
      <c r="BL111" s="4">
        <f>COUNTIF($BI$2:$BI$130,BI111)</f>
        <v/>
      </c>
      <c r="BM111" s="3">
        <f t="array" ref="BM111">IF(N(AY111)&gt;=MIN_N,AX111,IF(BL111&gt;=MIN_N,MEDIAN(IF($BI$2:$BI$130=BI111,$O$2:$O$130)),IF(BK111&gt;=MIN_N,MEDIAN(IF($BH$2:$BH$130=BH111,$O$2:$O$130)),MEDIAN(IF($BG$2:$BG$130=BG111,$O$2:$O$130)))))</f>
        <v/>
      </c>
      <c r="BN111" s="3">
        <f>IF(N(AY111)&gt;=MIN_N,"mercado "&amp;AZ111,IF(BL111&gt;=MIN_N,"modelo+año+km",IF(BK111&gt;=MIN_N,"modelo+año","modelo")))</f>
        <v/>
      </c>
      <c r="BO111" s="4">
        <f>(BM111-O111)/BM111</f>
        <v/>
      </c>
      <c r="BP111" s="3">
        <f>IF(COUNTIFS(FR_FUEL,K111,FR_YEAR,AP111)&gt;0,1,0)</f>
        <v/>
      </c>
      <c r="BQ111" s="3">
        <f>IF(COUNTIFS(FR_FUEL,K111,FR_YEAR,AP111-1)&gt;0,1,0)</f>
        <v/>
      </c>
      <c r="BR111" s="4">
        <f>IF(N(AQ111)&gt;0,AP111*100+AQ111,IF(AND(BP111=1,BQ111=1),(AP111-1)*100+1,AP111*100+1))</f>
        <v/>
      </c>
      <c r="BS111" s="3">
        <f>IF(OR(K111="hibrido",K111="glp",K111="gnc",K111="phev"),"ECO",IF(K111="electrico","CERO",IF(K111="gasolina",IF(BR111&gt;=GAS_C_YM,"C",IF(BR111&gt;=GAS_B_YM,"B","A")),IF(K111="diesel",IF(BR111&gt;=DIE_C_YM,"C",IF(BR111&gt;=DIE_B_YM,"B","A")),""))))</f>
        <v/>
      </c>
      <c r="BT111" s="2" t="inlineStr">
        <is>
          <t>C</t>
        </is>
      </c>
      <c r="BU111" s="4">
        <f>IF(AU111="sí","sí",IF(AS111="regla",IF(AND(N(AQ111)=0,BP111=1),"sí","no"),"no"))</f>
        <v/>
      </c>
      <c r="BV111" s="3">
        <f>IFERROR(VLOOKUP(F111,MOD_TBL,16,0),IFERROR(VLOOKUP(E111,OCU_TBL,2,0),NEUTRO))</f>
        <v/>
      </c>
      <c r="BW111" s="3">
        <f>SUMIFS(MOT_AJUSTE,MOT_MOTOR,G111,MOT_MARCA,E111,MOT_DESDE,"&lt;="&amp;M111,MOT_HASTA,"&gt;="&amp;M111)+SUMIFS(MOT_AJUSTE,MOT_MOTOR,G111,MOT_MARCA,"(todas)",MOT_DESDE,"&lt;="&amp;M111,MOT_HASTA,"&gt;="&amp;M111)+SUMIFS(MOT_AJUSTE,MOT_MOTOR,"(cualquiera)",MOT_MARCA,E111,MOT_DESDE,"&lt;="&amp;M111,MOT_HASTA,"&gt;="&amp;M111)</f>
        <v/>
      </c>
      <c r="BX111" s="3">
        <f>SUMIFS(COMB_AJUSTE,COMB_COMB,K111)</f>
        <v/>
      </c>
      <c r="BY111" s="3">
        <f>COUNTIFS(MOT_MOTOR,G111,MOT_MARCA,E111,MOT_DESDE,"&lt;="&amp;M111,MOT_HASTA,"&gt;="&amp;M111)+COUNTIFS(MOT_MOTOR,G111,MOT_MARCA,"(todas)",MOT_DESDE,"&lt;="&amp;M111,MOT_HASTA,"&gt;="&amp;M111)+COUNTIFS(MOT_MOTOR,"(cualquiera)",MOT_MARCA,E111,MOT_DESDE,"&lt;="&amp;M111,MOT_HASTA,"&gt;="&amp;M111)</f>
        <v/>
      </c>
      <c r="BZ111" s="3">
        <f>IF(AND(K111="diesel",BY111=0),MIN(BV111,NEUTRO),BV111)</f>
        <v/>
      </c>
      <c r="CA111" s="3">
        <f>MAX(0,MIN(100,BZ111+BW111+BX111-IF(AV111="sí",ROB_PEN,0)))</f>
        <v/>
      </c>
      <c r="CB111" s="3">
        <f>100-MAX(0,N111-KM_TOPE_DESDE)/1000*KM_TOPE_PTS</f>
        <v/>
      </c>
      <c r="CC111" s="3">
        <f>MAX(0,MIN(100,50+BO111*PRECIO_PEND,CB111))</f>
        <v/>
      </c>
      <c r="CD111" s="3">
        <f>MAX(0,100*(1-N111/KM_MAX))</f>
        <v/>
      </c>
      <c r="CE111" s="3">
        <f>IF(BF111&lt;KMA_SOSP,IF(AA111="sí",100,KMA_PEN),IF(BF111&lt;=KMA_IDEAL_MAX,100,MAX(0,100*(KMA_CERO-BF111)/(KMA_CERO-KMA_IDEAL_MAX))))</f>
        <v/>
      </c>
      <c r="CF111" s="3">
        <f>MAX(0,MIN(100,100*(M111-ANIO_MIN)/(ANIO_ACTUAL-ANIO_MIN)))</f>
        <v/>
      </c>
      <c r="CG111" s="3">
        <f>W_KMT*CD111+W_KMA*CE111+W_EDAD*CF111</f>
        <v/>
      </c>
      <c r="CH111" s="3">
        <f>P_ITV*(V111="sí")+P_LIBRO*(W111="sí")+P_CORREA*(X111="sí")+P_PROP*(Y111=1)+P_GAR*(Z111="sí")+P_FOTOS*MIN(1,N(U111)/FOTOS_OBJ)</f>
        <v/>
      </c>
      <c r="CI111" s="3">
        <f>MAX(0,MIN(100,IFERROR(VLOOKUP(BT111,ETQ_TBL,2,0),0)-IF(BU111="sí",ETQ_PEN_DUD,IF(AS111="regla",ETQ_PEN_REGLA,0))))</f>
        <v/>
      </c>
      <c r="CJ111" s="3">
        <f>IF(K111&lt;&gt;"gasolina","",IFERROR(VLOOKUP(F111,CONS_MOD_TBL,2,0),IFERROR(VLOOKUP(L111,CONS_SEG_TBL,2,0),"")))</f>
        <v/>
      </c>
      <c r="CK111" s="3">
        <f>IF(CJ111="",NEUTRO,MAX(0,MIN(100,100*(CONS_REF_MAX-CJ111)/(CONS_REF_MAX-CONS_REF_MIN))))</f>
        <v/>
      </c>
      <c r="CL111" s="3">
        <f>IFERROR(VLOOKUP(L111,SEGURO_TBL,3,0),"")</f>
        <v/>
      </c>
      <c r="CM111" s="3">
        <f>IF(CL111="",NEUTRO,MAX(0,MIN(100,100*(SEG_REF_MAX-CL111)/(SEG_REF_MAX-SEG_REF_MIN))))</f>
        <v/>
      </c>
      <c r="CN111" s="3">
        <f>W_CONS*CK111+W_SEG*CM111</f>
        <v/>
      </c>
      <c r="CO111" s="3">
        <f>IF(N(AB111)&gt;0,AB111,IF(AND(R111="profesional",SG_LEGAL_ON=1),GAR_LEGAL,0))</f>
        <v/>
      </c>
      <c r="CP111" s="3">
        <f>SG_GAR*MIN(1,CO111/SG_GAR_FULL)+SG_AMPL*(AC111="sí")+SG_KMC*(AF111="sí")+SG_REV*(N(AE111)&gt;0)+SG_DEV*MIN(1,N(AG111)/SG_DEV_FULL)+SG_HIST*(W111="sí")</f>
        <v/>
      </c>
      <c r="CQ111" s="3">
        <f>IF(AW111="sí",ESTILO_PRIO,IFERROR(VLOOKUP(L111,ESTILO_TBL,2,0),NEUTRO))</f>
        <v/>
      </c>
      <c r="CR111" s="3">
        <f>IFERROR(VLOOKUP(L111,CARR_PEN_TBL,2,0),0)</f>
        <v/>
      </c>
      <c r="CS111" s="3">
        <f>W_FIAB*CA111+W_PRECIO*CC111+W_KMEDAD*CG111+W_ANUNCIO*CH111+W_USO*CN111+W_SEGURIDAD*CP111+W_ETIQUETA*CI111+W_ESTILO*CQ111-CR111</f>
        <v/>
      </c>
      <c r="CT111" s="4">
        <f>IF(N(I111)&gt;0,I111,IFERROR(ROUND(_xlfn.NUMBERVALUE(LEFT(G111,FIND(" ",G111&amp;" ")-1),".")*1000,0),99999))</f>
        <v/>
      </c>
      <c r="CU111" s="3">
        <f>IF(R111="profesional",0,IF(O111&lt;CUOTA_VALOR_MAX,IF(BE111&gt;ITP_TRAMO_ALTO,SUMIFS(CF_CUOTA,CF_MAS,ITP_TRAMO_ALTO,CF_CCMIN,"&lt;="&amp;CT111,CF_CCMAX,"&gt;="&amp;CT111),IF(BE111&gt;ITP_TRAMO_BAJO,SUMIFS(CF_CUOTA,CF_MAS,ITP_TRAMO_BAJO,CF_CCMIN,"&lt;="&amp;CT111,CF_CCMAX,"&gt;="&amp;CT111),O111*ITP_TIPO)),O111*ITP_TIPO))</f>
        <v/>
      </c>
      <c r="CV111" s="4">
        <f>IF(R111="profesional",N(AK111),0)</f>
        <v/>
      </c>
      <c r="CW111" s="3">
        <f>IF(AND(R111="profesional",ISNUMBER(AK111),AL111="sí"),0,TASA_DGT)</f>
        <v/>
      </c>
      <c r="CX111" s="3">
        <f>INFORME_DGT</f>
        <v/>
      </c>
      <c r="CY111" s="4">
        <f>O111+CV111+CU111+CW111+CX111</f>
        <v/>
      </c>
      <c r="CZ111" s="4">
        <f>CY111+N(CL111)</f>
        <v/>
      </c>
      <c r="DA111" s="3">
        <f>IF(CY111&lt;=TOTAL_MAX,"sí",IF(CY111&lt;=TOTAL_MAX+MARGEN_NEG,"negociar","no"))</f>
        <v/>
      </c>
      <c r="DB111" s="4">
        <f>IF(DA111&lt;&gt;"no",COUNTIFS($DA$2:$DA$130,"&lt;&gt;no",$CS$2:$CS$130,"&gt;"&amp;CS111)+COUNTIFS($DA$2:DA111,"&lt;&gt;no",$CS$2:CS111,CS111),"")</f>
        <v/>
      </c>
    </row>
    <row r="112">
      <c r="A112" s="2" t="inlineStr">
        <is>
          <t>cochesnet:71793733</t>
        </is>
      </c>
      <c r="B112" s="2" t="inlineStr">
        <is>
          <t>cochesnet</t>
        </is>
      </c>
      <c r="C112" s="2" t="inlineStr">
        <is>
          <t>https://www.coches.net/renault-megane-confort-dynamique-14-16v-3p-gasolina-2004-en-valencia-71793733-covo.aspx</t>
        </is>
      </c>
      <c r="D112" s="2" t="inlineStr">
        <is>
          <t>RENAULT Mégane CONFORT DYNAMIQUE 1.4 16v</t>
        </is>
      </c>
      <c r="E112" s="2" t="inlineStr">
        <is>
          <t>Renault</t>
        </is>
      </c>
      <c r="F112" s="2" t="inlineStr">
        <is>
          <t>Renault Mégane</t>
        </is>
      </c>
      <c r="G112" s="2" t="inlineStr">
        <is>
          <t>1.4</t>
        </is>
      </c>
      <c r="H112" s="2" t="inlineStr">
        <is>
          <t>CONFORT DYNAMIQUE 1.4 16v</t>
        </is>
      </c>
      <c r="I112" s="2" t="n"/>
      <c r="J112" s="2" t="n"/>
      <c r="K112" s="2" t="inlineStr">
        <is>
          <t>gasolina</t>
        </is>
      </c>
      <c r="L112" s="2" t="inlineStr">
        <is>
          <t>compacto</t>
        </is>
      </c>
      <c r="M112" s="2" t="n">
        <v>2005</v>
      </c>
      <c r="N112" s="2" t="n">
        <v>108000</v>
      </c>
      <c r="O112" s="2" t="n">
        <v>3700</v>
      </c>
      <c r="P112" s="2" t="inlineStr">
        <is>
          <t>manual</t>
        </is>
      </c>
      <c r="Q112" s="2" t="inlineStr">
        <is>
          <t>no</t>
        </is>
      </c>
      <c r="R112" s="2" t="inlineStr">
        <is>
          <t>profesional</t>
        </is>
      </c>
      <c r="S112" s="2" t="inlineStr">
        <is>
          <t>FERNANDO SEBASTIAN Valencia</t>
        </is>
      </c>
      <c r="T112" s="2" t="inlineStr">
        <is>
          <t>2026-10-20T19:07:52Z</t>
        </is>
      </c>
      <c r="U112" s="2" t="n">
        <v>16</v>
      </c>
      <c r="V112" s="2" t="n"/>
      <c r="W112" s="2" t="n"/>
      <c r="X112" s="2" t="n"/>
      <c r="Y112" s="2" t="n"/>
      <c r="Z112" s="2" t="inlineStr">
        <is>
          <t>sí</t>
        </is>
      </c>
      <c r="AA112" s="2" t="n"/>
      <c r="AB112" s="2" t="n">
        <v>12</v>
      </c>
      <c r="AC112" s="2" t="n"/>
      <c r="AD112" s="2" t="n"/>
      <c r="AE112" s="2" t="n"/>
      <c r="AF112" s="2" t="n"/>
      <c r="AG112" s="2" t="n"/>
      <c r="AH112" s="2" t="n">
        <v>3700</v>
      </c>
      <c r="AI112" s="2" t="n"/>
      <c r="AJ112" s="2" t="n"/>
      <c r="AK112" s="2" t="n"/>
      <c r="AL112" s="2" t="n"/>
      <c r="AM112" s="2" t="n">
        <v>0.1</v>
      </c>
      <c r="AN112" s="2" t="n"/>
      <c r="AO112" s="2" t="inlineStr">
        <is>
          <t>2005</t>
        </is>
      </c>
      <c r="AP112" s="2" t="n">
        <v>2005</v>
      </c>
      <c r="AQ112" s="2" t="n"/>
      <c r="AR112" s="2" t="inlineStr">
        <is>
          <t>B</t>
        </is>
      </c>
      <c r="AS112" s="2" t="inlineStr">
        <is>
          <t>anuncio</t>
        </is>
      </c>
      <c r="AT112" s="2" t="n">
        <v>2004</v>
      </c>
      <c r="AU112" s="2" t="inlineStr">
        <is>
          <t>no</t>
        </is>
      </c>
      <c r="AV112" s="2" t="inlineStr">
        <is>
          <t>no</t>
        </is>
      </c>
      <c r="AW112" s="2" t="inlineStr">
        <is>
          <t>no</t>
        </is>
      </c>
      <c r="AX112" s="2" t="n">
        <v>3700</v>
      </c>
      <c r="AY112" s="2" t="n">
        <v>10</v>
      </c>
      <c r="AZ112" s="2" t="inlineStr">
        <is>
          <t>modelo+año+km</t>
        </is>
      </c>
      <c r="BA112" s="2" t="n"/>
      <c r="BB112" s="2" t="inlineStr">
        <is>
          <t>año a confirmar: la URL/título dice 2004; vendedor profesional: sin ITP (operación con IVA/REBU, confirmar en factura); gastos de gestión del vendedor no indicados: se suma la tasa DGT; preguntar el precio final</t>
        </is>
      </c>
      <c r="BC112" s="2" t="inlineStr">
        <is>
          <t>Megane con 108000  ITV vigente 10/27, etiqueta ambiental B, aire acondicionado,  elevalunas electrónicos, faros antinieblas, llantas de fábrica rueda de respuesta sin uso .</t>
        </is>
      </c>
      <c r="BD112" s="2" t="inlineStr">
        <is>
          <t>https://www.coches.net/renault-megane-confort-dynamique-14-16v-3p-gasolina-2004-en-valencia-71793733-covo.aspx (window.__INITIAL_PROPS__.ad) /home/user/Alopecia/buscador-coches/raw/cochesnet/f4108e9e44140832.json</t>
        </is>
      </c>
      <c r="BE112" s="3">
        <f>MAX(ANIO_ACTUAL-M112,0)</f>
        <v/>
      </c>
      <c r="BF112" s="4">
        <f>N112/MAX(BE112,0.5)</f>
        <v/>
      </c>
      <c r="BG112" s="4">
        <f>F112</f>
        <v/>
      </c>
      <c r="BH112" s="3">
        <f>BG112&amp;"|"&amp;INT(M112/SEG_ANIO)*SEG_ANIO</f>
        <v/>
      </c>
      <c r="BI112" s="3">
        <f>BH112&amp;"|"&amp;INT(N112/SEG_KM)*SEG_KM</f>
        <v/>
      </c>
      <c r="BJ112" s="4">
        <f>COUNTIF($BG$2:$BG$130,BG112)</f>
        <v/>
      </c>
      <c r="BK112" s="4">
        <f>COUNTIF($BH$2:$BH$130,BH112)</f>
        <v/>
      </c>
      <c r="BL112" s="4">
        <f>COUNTIF($BI$2:$BI$130,BI112)</f>
        <v/>
      </c>
      <c r="BM112" s="3">
        <f t="array" ref="BM112">IF(N(AY112)&gt;=MIN_N,AX112,IF(BL112&gt;=MIN_N,MEDIAN(IF($BI$2:$BI$130=BI112,$O$2:$O$130)),IF(BK112&gt;=MIN_N,MEDIAN(IF($BH$2:$BH$130=BH112,$O$2:$O$130)),MEDIAN(IF($BG$2:$BG$130=BG112,$O$2:$O$130)))))</f>
        <v/>
      </c>
      <c r="BN112" s="3">
        <f>IF(N(AY112)&gt;=MIN_N,"mercado "&amp;AZ112,IF(BL112&gt;=MIN_N,"modelo+año+km",IF(BK112&gt;=MIN_N,"modelo+año","modelo")))</f>
        <v/>
      </c>
      <c r="BO112" s="4">
        <f>(BM112-O112)/BM112</f>
        <v/>
      </c>
      <c r="BP112" s="3">
        <f>IF(COUNTIFS(FR_FUEL,K112,FR_YEAR,AP112)&gt;0,1,0)</f>
        <v/>
      </c>
      <c r="BQ112" s="3">
        <f>IF(COUNTIFS(FR_FUEL,K112,FR_YEAR,AP112-1)&gt;0,1,0)</f>
        <v/>
      </c>
      <c r="BR112" s="4">
        <f>IF(N(AQ112)&gt;0,AP112*100+AQ112,IF(AND(BP112=1,BQ112=1),(AP112-1)*100+1,AP112*100+1))</f>
        <v/>
      </c>
      <c r="BS112" s="3">
        <f>IF(OR(K112="hibrido",K112="glp",K112="gnc",K112="phev"),"ECO",IF(K112="electrico","CERO",IF(K112="gasolina",IF(BR112&gt;=GAS_C_YM,"C",IF(BR112&gt;=GAS_B_YM,"B","A")),IF(K112="diesel",IF(BR112&gt;=DIE_C_YM,"C",IF(BR112&gt;=DIE_B_YM,"B","A")),""))))</f>
        <v/>
      </c>
      <c r="BT112" s="2" t="inlineStr">
        <is>
          <t>B</t>
        </is>
      </c>
      <c r="BU112" s="4">
        <f>IF(AU112="sí","sí",IF(AS112="regla",IF(AND(N(AQ112)=0,BP112=1),"sí","no"),"no"))</f>
        <v/>
      </c>
      <c r="BV112" s="3">
        <f>IFERROR(VLOOKUP(F112,MOD_TBL,16,0),IFERROR(VLOOKUP(E112,OCU_TBL,2,0),NEUTRO))</f>
        <v/>
      </c>
      <c r="BW112" s="3">
        <f>SUMIFS(MOT_AJUSTE,MOT_MOTOR,G112,MOT_MARCA,E112,MOT_DESDE,"&lt;="&amp;M112,MOT_HASTA,"&gt;="&amp;M112)+SUMIFS(MOT_AJUSTE,MOT_MOTOR,G112,MOT_MARCA,"(todas)",MOT_DESDE,"&lt;="&amp;M112,MOT_HASTA,"&gt;="&amp;M112)+SUMIFS(MOT_AJUSTE,MOT_MOTOR,"(cualquiera)",MOT_MARCA,E112,MOT_DESDE,"&lt;="&amp;M112,MOT_HASTA,"&gt;="&amp;M112)</f>
        <v/>
      </c>
      <c r="BX112" s="3">
        <f>SUMIFS(COMB_AJUSTE,COMB_COMB,K112)</f>
        <v/>
      </c>
      <c r="BY112" s="3">
        <f>COUNTIFS(MOT_MOTOR,G112,MOT_MARCA,E112,MOT_DESDE,"&lt;="&amp;M112,MOT_HASTA,"&gt;="&amp;M112)+COUNTIFS(MOT_MOTOR,G112,MOT_MARCA,"(todas)",MOT_DESDE,"&lt;="&amp;M112,MOT_HASTA,"&gt;="&amp;M112)+COUNTIFS(MOT_MOTOR,"(cualquiera)",MOT_MARCA,E112,MOT_DESDE,"&lt;="&amp;M112,MOT_HASTA,"&gt;="&amp;M112)</f>
        <v/>
      </c>
      <c r="BZ112" s="3">
        <f>IF(AND(K112="diesel",BY112=0),MIN(BV112,NEUTRO),BV112)</f>
        <v/>
      </c>
      <c r="CA112" s="3">
        <f>MAX(0,MIN(100,BZ112+BW112+BX112-IF(AV112="sí",ROB_PEN,0)))</f>
        <v/>
      </c>
      <c r="CB112" s="3">
        <f>100-MAX(0,N112-KM_TOPE_DESDE)/1000*KM_TOPE_PTS</f>
        <v/>
      </c>
      <c r="CC112" s="3">
        <f>MAX(0,MIN(100,50+BO112*PRECIO_PEND,CB112))</f>
        <v/>
      </c>
      <c r="CD112" s="3">
        <f>MAX(0,100*(1-N112/KM_MAX))</f>
        <v/>
      </c>
      <c r="CE112" s="3">
        <f>IF(BF112&lt;KMA_SOSP,IF(AA112="sí",100,KMA_PEN),IF(BF112&lt;=KMA_IDEAL_MAX,100,MAX(0,100*(KMA_CERO-BF112)/(KMA_CERO-KMA_IDEAL_MAX))))</f>
        <v/>
      </c>
      <c r="CF112" s="3">
        <f>MAX(0,MIN(100,100*(M112-ANIO_MIN)/(ANIO_ACTUAL-ANIO_MIN)))</f>
        <v/>
      </c>
      <c r="CG112" s="3">
        <f>W_KMT*CD112+W_KMA*CE112+W_EDAD*CF112</f>
        <v/>
      </c>
      <c r="CH112" s="3">
        <f>P_ITV*(V112="sí")+P_LIBRO*(W112="sí")+P_CORREA*(X112="sí")+P_PROP*(Y112=1)+P_GAR*(Z112="sí")+P_FOTOS*MIN(1,N(U112)/FOTOS_OBJ)</f>
        <v/>
      </c>
      <c r="CI112" s="3">
        <f>MAX(0,MIN(100,IFERROR(VLOOKUP(BT112,ETQ_TBL,2,0),0)-IF(BU112="sí",ETQ_PEN_DUD,IF(AS112="regla",ETQ_PEN_REGLA,0))))</f>
        <v/>
      </c>
      <c r="CJ112" s="3">
        <f>IF(K112&lt;&gt;"gasolina","",IFERROR(VLOOKUP(F112,CONS_MOD_TBL,2,0),IFERROR(VLOOKUP(L112,CONS_SEG_TBL,2,0),"")))</f>
        <v/>
      </c>
      <c r="CK112" s="3">
        <f>IF(CJ112="",NEUTRO,MAX(0,MIN(100,100*(CONS_REF_MAX-CJ112)/(CONS_REF_MAX-CONS_REF_MIN))))</f>
        <v/>
      </c>
      <c r="CL112" s="3">
        <f>IFERROR(VLOOKUP(L112,SEGURO_TBL,3,0),"")</f>
        <v/>
      </c>
      <c r="CM112" s="3">
        <f>IF(CL112="",NEUTRO,MAX(0,MIN(100,100*(SEG_REF_MAX-CL112)/(SEG_REF_MAX-SEG_REF_MIN))))</f>
        <v/>
      </c>
      <c r="CN112" s="3">
        <f>W_CONS*CK112+W_SEG*CM112</f>
        <v/>
      </c>
      <c r="CO112" s="3">
        <f>IF(N(AB112)&gt;0,AB112,IF(AND(R112="profesional",SG_LEGAL_ON=1),GAR_LEGAL,0))</f>
        <v/>
      </c>
      <c r="CP112" s="3">
        <f>SG_GAR*MIN(1,CO112/SG_GAR_FULL)+SG_AMPL*(AC112="sí")+SG_KMC*(AF112="sí")+SG_REV*(N(AE112)&gt;0)+SG_DEV*MIN(1,N(AG112)/SG_DEV_FULL)+SG_HIST*(W112="sí")</f>
        <v/>
      </c>
      <c r="CQ112" s="3">
        <f>IF(AW112="sí",ESTILO_PRIO,IFERROR(VLOOKUP(L112,ESTILO_TBL,2,0),NEUTRO))</f>
        <v/>
      </c>
      <c r="CR112" s="3">
        <f>IFERROR(VLOOKUP(L112,CARR_PEN_TBL,2,0),0)</f>
        <v/>
      </c>
      <c r="CS112" s="3">
        <f>W_FIAB*CA112+W_PRECIO*CC112+W_KMEDAD*CG112+W_ANUNCIO*CH112+W_USO*CN112+W_SEGURIDAD*CP112+W_ETIQUETA*CI112+W_ESTILO*CQ112-CR112</f>
        <v/>
      </c>
      <c r="CT112" s="4">
        <f>IF(N(I112)&gt;0,I112,IFERROR(ROUND(_xlfn.NUMBERVALUE(LEFT(G112,FIND(" ",G112&amp;" ")-1),".")*1000,0),99999))</f>
        <v/>
      </c>
      <c r="CU112" s="3">
        <f>IF(R112="profesional",0,IF(O112&lt;CUOTA_VALOR_MAX,IF(BE112&gt;ITP_TRAMO_ALTO,SUMIFS(CF_CUOTA,CF_MAS,ITP_TRAMO_ALTO,CF_CCMIN,"&lt;="&amp;CT112,CF_CCMAX,"&gt;="&amp;CT112),IF(BE112&gt;ITP_TRAMO_BAJO,SUMIFS(CF_CUOTA,CF_MAS,ITP_TRAMO_BAJO,CF_CCMIN,"&lt;="&amp;CT112,CF_CCMAX,"&gt;="&amp;CT112),O112*ITP_TIPO)),O112*ITP_TIPO))</f>
        <v/>
      </c>
      <c r="CV112" s="4">
        <f>IF(R112="profesional",N(AK112),0)</f>
        <v/>
      </c>
      <c r="CW112" s="3">
        <f>IF(AND(R112="profesional",ISNUMBER(AK112),AL112="sí"),0,TASA_DGT)</f>
        <v/>
      </c>
      <c r="CX112" s="3">
        <f>INFORME_DGT</f>
        <v/>
      </c>
      <c r="CY112" s="4">
        <f>O112+CV112+CU112+CW112+CX112</f>
        <v/>
      </c>
      <c r="CZ112" s="4">
        <f>CY112+N(CL112)</f>
        <v/>
      </c>
      <c r="DA112" s="3">
        <f>IF(CY112&lt;=TOTAL_MAX,"sí",IF(CY112&lt;=TOTAL_MAX+MARGEN_NEG,"negociar","no"))</f>
        <v/>
      </c>
      <c r="DB112" s="4">
        <f>IF(DA112&lt;&gt;"no",COUNTIFS($DA$2:$DA$130,"&lt;&gt;no",$CS$2:$CS$130,"&gt;"&amp;CS112)+COUNTIFS($DA$2:DA112,"&lt;&gt;no",$CS$2:CS112,CS112),"")</f>
        <v/>
      </c>
    </row>
    <row r="113">
      <c r="A113" s="2" t="inlineStr">
        <is>
          <t>cochesnet:71766881</t>
        </is>
      </c>
      <c r="B113" s="2" t="inlineStr">
        <is>
          <t>cochesnet</t>
        </is>
      </c>
      <c r="C113" s="2" t="inlineStr">
        <is>
          <t>https://www.coches.net/renault-laguna-dynamique-20-16v-140cv-5p-gasolina-2008-en-valencia-71766881-covo.aspx</t>
        </is>
      </c>
      <c r="D113" s="2" t="inlineStr">
        <is>
          <t>RENAULT Laguna Dynamique 2.0 16V</t>
        </is>
      </c>
      <c r="E113" s="2" t="inlineStr">
        <is>
          <t>Renault</t>
        </is>
      </c>
      <c r="F113" s="2" t="inlineStr">
        <is>
          <t>Renault Laguna</t>
        </is>
      </c>
      <c r="G113" s="2" t="inlineStr">
        <is>
          <t>2.0</t>
        </is>
      </c>
      <c r="H113" s="2" t="inlineStr">
        <is>
          <t>Dynamique 2.0 16V 140CV</t>
        </is>
      </c>
      <c r="I113" s="2" t="n"/>
      <c r="J113" s="2" t="n">
        <v>140</v>
      </c>
      <c r="K113" s="2" t="inlineStr">
        <is>
          <t>gasolina</t>
        </is>
      </c>
      <c r="L113" s="2" t="inlineStr">
        <is>
          <t>berlina_d</t>
        </is>
      </c>
      <c r="M113" s="2" t="n">
        <v>2007</v>
      </c>
      <c r="N113" s="2" t="n">
        <v>149100</v>
      </c>
      <c r="O113" s="2" t="n">
        <v>2990</v>
      </c>
      <c r="P113" s="2" t="inlineStr">
        <is>
          <t>automatico</t>
        </is>
      </c>
      <c r="Q113" s="2" t="inlineStr">
        <is>
          <t>sí</t>
        </is>
      </c>
      <c r="R113" s="2" t="inlineStr">
        <is>
          <t>profesional</t>
        </is>
      </c>
      <c r="S113" s="2" t="inlineStr">
        <is>
          <t>AutoEco Valencia</t>
        </is>
      </c>
      <c r="T113" s="2" t="inlineStr">
        <is>
          <t>2026-10-16T20:18:24Z</t>
        </is>
      </c>
      <c r="U113" s="2" t="n">
        <v>13</v>
      </c>
      <c r="V113" s="2" t="n"/>
      <c r="W113" s="2" t="inlineStr">
        <is>
          <t>sí</t>
        </is>
      </c>
      <c r="X113" s="2" t="n"/>
      <c r="Y113" s="2" t="n"/>
      <c r="Z113" s="2" t="inlineStr">
        <is>
          <t>sí</t>
        </is>
      </c>
      <c r="AA113" s="2" t="n"/>
      <c r="AB113" s="2" t="n">
        <v>12</v>
      </c>
      <c r="AC113" s="2" t="n"/>
      <c r="AD113" s="2" t="n"/>
      <c r="AE113" s="2" t="n"/>
      <c r="AF113" s="2" t="n"/>
      <c r="AG113" s="2" t="n"/>
      <c r="AH113" s="2" t="n">
        <v>2990</v>
      </c>
      <c r="AI113" s="2" t="n">
        <v>2990</v>
      </c>
      <c r="AJ113" s="2" t="n"/>
      <c r="AK113" s="2" t="n"/>
      <c r="AL113" s="2" t="n"/>
      <c r="AM113" s="2" t="n">
        <v>0.1</v>
      </c>
      <c r="AN113" s="2" t="n"/>
      <c r="AO113" s="2" t="inlineStr">
        <is>
          <t>2007</t>
        </is>
      </c>
      <c r="AP113" s="2" t="n">
        <v>2007</v>
      </c>
      <c r="AQ113" s="2" t="n"/>
      <c r="AR113" s="2" t="inlineStr">
        <is>
          <t>C</t>
        </is>
      </c>
      <c r="AS113" s="2" t="inlineStr">
        <is>
          <t>anuncio</t>
        </is>
      </c>
      <c r="AT113" s="2" t="n">
        <v>2008</v>
      </c>
      <c r="AU113" s="2" t="inlineStr">
        <is>
          <t>no</t>
        </is>
      </c>
      <c r="AV113" s="2" t="inlineStr">
        <is>
          <t>no</t>
        </is>
      </c>
      <c r="AW113" s="2" t="inlineStr">
        <is>
          <t>no</t>
        </is>
      </c>
      <c r="AX113" s="2" t="n">
        <v>3245</v>
      </c>
      <c r="AY113" s="2" t="n">
        <v>6</v>
      </c>
      <c r="AZ113" s="2" t="inlineStr">
        <is>
          <t>modelo+año+km</t>
        </is>
      </c>
      <c r="BA113" s="2" t="n"/>
      <c r="BB113" s="2" t="inlineStr">
        <is>
          <t>año a confirmar: la URL/título dice 2008; vendedor profesional: sin ITP (operación con IVA/REBU, confirmar en factura); gastos de gestión del vendedor no indicados: se suma la tasa DGT; preguntar el precio final; fiabilidad del modelo PENDIENTE de fuente (puntuación neutra)</t>
        </is>
      </c>
      <c r="BC113" s="2" t="inlineStr">
        <is>
          <t>-AUTOECO- 
*Concesionario Vehículos Ocasión multimarca. 
*C/ Cases de Bárcena N4 Bonrepós/Valencia 46131 Junto a Gasolinera Repsol*
*Lunes a Viernes 9h a 14h y 16h a 20h*
*Sábados 10h a 14h tarde y domingos atendemos con cita previa*
FINANCIACIÓN A SU MEDIDA sin necesidad de entrada, consulte sin compromiso.
DESTACADO: 
-Vehículo económico, tiene algun desgaste interior y exterior como se aprecia en la imágenes.
-Motor perfecto, se acepta prueba de conducción.
-Vehículo Manual.
-6 Velocidades.
-Climarizador.
-Limitador y velocidad de crucero. 
-Volante en madera.
-Asiento de piel mixta.
-Llantas de aleación 17 pulgadas.
- 1 año de Garantía incluida en precio con opción de ampliación. 
*Se entrega con ITV y mantenimiento al día, listo para circular.*
Este anuncio puede contener algún error tipográfico o de transcripción. 
Para más información contacten sin compromiso.</t>
        </is>
      </c>
      <c r="BD113" s="2" t="inlineStr">
        <is>
          <t>https://www.coches.net/renault-laguna-dynamique-20-16v-140cv-5p-gasolina-2008-en-valencia-71766881-covo.aspx (window.__INITIAL_PROPS__.ad) /home/user/Alopecia/buscador-coches/raw/cochesnet/3b98ff9540f89ce6.json</t>
        </is>
      </c>
      <c r="BE113" s="3">
        <f>MAX(ANIO_ACTUAL-M113,0)</f>
        <v/>
      </c>
      <c r="BF113" s="4">
        <f>N113/MAX(BE113,0.5)</f>
        <v/>
      </c>
      <c r="BG113" s="4">
        <f>F113</f>
        <v/>
      </c>
      <c r="BH113" s="3">
        <f>BG113&amp;"|"&amp;INT(M113/SEG_ANIO)*SEG_ANIO</f>
        <v/>
      </c>
      <c r="BI113" s="3">
        <f>BH113&amp;"|"&amp;INT(N113/SEG_KM)*SEG_KM</f>
        <v/>
      </c>
      <c r="BJ113" s="4">
        <f>COUNTIF($BG$2:$BG$130,BG113)</f>
        <v/>
      </c>
      <c r="BK113" s="4">
        <f>COUNTIF($BH$2:$BH$130,BH113)</f>
        <v/>
      </c>
      <c r="BL113" s="4">
        <f>COUNTIF($BI$2:$BI$130,BI113)</f>
        <v/>
      </c>
      <c r="BM113" s="3">
        <f t="array" ref="BM113">IF(N(AY113)&gt;=MIN_N,AX113,IF(BL113&gt;=MIN_N,MEDIAN(IF($BI$2:$BI$130=BI113,$O$2:$O$130)),IF(BK113&gt;=MIN_N,MEDIAN(IF($BH$2:$BH$130=BH113,$O$2:$O$130)),MEDIAN(IF($BG$2:$BG$130=BG113,$O$2:$O$130)))))</f>
        <v/>
      </c>
      <c r="BN113" s="3">
        <f>IF(N(AY113)&gt;=MIN_N,"mercado "&amp;AZ113,IF(BL113&gt;=MIN_N,"modelo+año+km",IF(BK113&gt;=MIN_N,"modelo+año","modelo")))</f>
        <v/>
      </c>
      <c r="BO113" s="4">
        <f>(BM113-O113)/BM113</f>
        <v/>
      </c>
      <c r="BP113" s="3">
        <f>IF(COUNTIFS(FR_FUEL,K113,FR_YEAR,AP113)&gt;0,1,0)</f>
        <v/>
      </c>
      <c r="BQ113" s="3">
        <f>IF(COUNTIFS(FR_FUEL,K113,FR_YEAR,AP113-1)&gt;0,1,0)</f>
        <v/>
      </c>
      <c r="BR113" s="4">
        <f>IF(N(AQ113)&gt;0,AP113*100+AQ113,IF(AND(BP113=1,BQ113=1),(AP113-1)*100+1,AP113*100+1))</f>
        <v/>
      </c>
      <c r="BS113" s="3">
        <f>IF(OR(K113="hibrido",K113="glp",K113="gnc",K113="phev"),"ECO",IF(K113="electrico","CERO",IF(K113="gasolina",IF(BR113&gt;=GAS_C_YM,"C",IF(BR113&gt;=GAS_B_YM,"B","A")),IF(K113="diesel",IF(BR113&gt;=DIE_C_YM,"C",IF(BR113&gt;=DIE_B_YM,"B","A")),""))))</f>
        <v/>
      </c>
      <c r="BT113" s="2" t="inlineStr">
        <is>
          <t>C</t>
        </is>
      </c>
      <c r="BU113" s="4">
        <f>IF(AU113="sí","sí",IF(AS113="regla",IF(AND(N(AQ113)=0,BP113=1),"sí","no"),"no"))</f>
        <v/>
      </c>
      <c r="BV113" s="3">
        <f>IFERROR(VLOOKUP(F113,MOD_TBL,16,0),IFERROR(VLOOKUP(E113,OCU_TBL,2,0),NEUTRO))</f>
        <v/>
      </c>
      <c r="BW113" s="3">
        <f>SUMIFS(MOT_AJUSTE,MOT_MOTOR,G113,MOT_MARCA,E113,MOT_DESDE,"&lt;="&amp;M113,MOT_HASTA,"&gt;="&amp;M113)+SUMIFS(MOT_AJUSTE,MOT_MOTOR,G113,MOT_MARCA,"(todas)",MOT_DESDE,"&lt;="&amp;M113,MOT_HASTA,"&gt;="&amp;M113)+SUMIFS(MOT_AJUSTE,MOT_MOTOR,"(cualquiera)",MOT_MARCA,E113,MOT_DESDE,"&lt;="&amp;M113,MOT_HASTA,"&gt;="&amp;M113)</f>
        <v/>
      </c>
      <c r="BX113" s="3">
        <f>SUMIFS(COMB_AJUSTE,COMB_COMB,K113)</f>
        <v/>
      </c>
      <c r="BY113" s="3">
        <f>COUNTIFS(MOT_MOTOR,G113,MOT_MARCA,E113,MOT_DESDE,"&lt;="&amp;M113,MOT_HASTA,"&gt;="&amp;M113)+COUNTIFS(MOT_MOTOR,G113,MOT_MARCA,"(todas)",MOT_DESDE,"&lt;="&amp;M113,MOT_HASTA,"&gt;="&amp;M113)+COUNTIFS(MOT_MOTOR,"(cualquiera)",MOT_MARCA,E113,MOT_DESDE,"&lt;="&amp;M113,MOT_HASTA,"&gt;="&amp;M113)</f>
        <v/>
      </c>
      <c r="BZ113" s="3">
        <f>IF(AND(K113="diesel",BY113=0),MIN(BV113,NEUTRO),BV113)</f>
        <v/>
      </c>
      <c r="CA113" s="3">
        <f>MAX(0,MIN(100,BZ113+BW113+BX113-IF(AV113="sí",ROB_PEN,0)))</f>
        <v/>
      </c>
      <c r="CB113" s="3">
        <f>100-MAX(0,N113-KM_TOPE_DESDE)/1000*KM_TOPE_PTS</f>
        <v/>
      </c>
      <c r="CC113" s="3">
        <f>MAX(0,MIN(100,50+BO113*PRECIO_PEND,CB113))</f>
        <v/>
      </c>
      <c r="CD113" s="3">
        <f>MAX(0,100*(1-N113/KM_MAX))</f>
        <v/>
      </c>
      <c r="CE113" s="3">
        <f>IF(BF113&lt;KMA_SOSP,IF(AA113="sí",100,KMA_PEN),IF(BF113&lt;=KMA_IDEAL_MAX,100,MAX(0,100*(KMA_CERO-BF113)/(KMA_CERO-KMA_IDEAL_MAX))))</f>
        <v/>
      </c>
      <c r="CF113" s="3">
        <f>MAX(0,MIN(100,100*(M113-ANIO_MIN)/(ANIO_ACTUAL-ANIO_MIN)))</f>
        <v/>
      </c>
      <c r="CG113" s="3">
        <f>W_KMT*CD113+W_KMA*CE113+W_EDAD*CF113</f>
        <v/>
      </c>
      <c r="CH113" s="3">
        <f>P_ITV*(V113="sí")+P_LIBRO*(W113="sí")+P_CORREA*(X113="sí")+P_PROP*(Y113=1)+P_GAR*(Z113="sí")+P_FOTOS*MIN(1,N(U113)/FOTOS_OBJ)</f>
        <v/>
      </c>
      <c r="CI113" s="3">
        <f>MAX(0,MIN(100,IFERROR(VLOOKUP(BT113,ETQ_TBL,2,0),0)-IF(BU113="sí",ETQ_PEN_DUD,IF(AS113="regla",ETQ_PEN_REGLA,0))))</f>
        <v/>
      </c>
      <c r="CJ113" s="3">
        <f>IF(K113&lt;&gt;"gasolina","",IFERROR(VLOOKUP(F113,CONS_MOD_TBL,2,0),IFERROR(VLOOKUP(L113,CONS_SEG_TBL,2,0),"")))</f>
        <v/>
      </c>
      <c r="CK113" s="3">
        <f>IF(CJ113="",NEUTRO,MAX(0,MIN(100,100*(CONS_REF_MAX-CJ113)/(CONS_REF_MAX-CONS_REF_MIN))))</f>
        <v/>
      </c>
      <c r="CL113" s="3">
        <f>IFERROR(VLOOKUP(L113,SEGURO_TBL,3,0),"")</f>
        <v/>
      </c>
      <c r="CM113" s="3">
        <f>IF(CL113="",NEUTRO,MAX(0,MIN(100,100*(SEG_REF_MAX-CL113)/(SEG_REF_MAX-SEG_REF_MIN))))</f>
        <v/>
      </c>
      <c r="CN113" s="3">
        <f>W_CONS*CK113+W_SEG*CM113</f>
        <v/>
      </c>
      <c r="CO113" s="3">
        <f>IF(N(AB113)&gt;0,AB113,IF(AND(R113="profesional",SG_LEGAL_ON=1),GAR_LEGAL,0))</f>
        <v/>
      </c>
      <c r="CP113" s="3">
        <f>SG_GAR*MIN(1,CO113/SG_GAR_FULL)+SG_AMPL*(AC113="sí")+SG_KMC*(AF113="sí")+SG_REV*(N(AE113)&gt;0)+SG_DEV*MIN(1,N(AG113)/SG_DEV_FULL)+SG_HIST*(W113="sí")</f>
        <v/>
      </c>
      <c r="CQ113" s="3">
        <f>IF(AW113="sí",ESTILO_PRIO,IFERROR(VLOOKUP(L113,ESTILO_TBL,2,0),NEUTRO))</f>
        <v/>
      </c>
      <c r="CR113" s="3">
        <f>IFERROR(VLOOKUP(L113,CARR_PEN_TBL,2,0),0)</f>
        <v/>
      </c>
      <c r="CS113" s="3">
        <f>W_FIAB*CA113+W_PRECIO*CC113+W_KMEDAD*CG113+W_ANUNCIO*CH113+W_USO*CN113+W_SEGURIDAD*CP113+W_ETIQUETA*CI113+W_ESTILO*CQ113-CR113</f>
        <v/>
      </c>
      <c r="CT113" s="4">
        <f>IF(N(I113)&gt;0,I113,IFERROR(ROUND(_xlfn.NUMBERVALUE(LEFT(G113,FIND(" ",G113&amp;" ")-1),".")*1000,0),99999))</f>
        <v/>
      </c>
      <c r="CU113" s="3">
        <f>IF(R113="profesional",0,IF(O113&lt;CUOTA_VALOR_MAX,IF(BE113&gt;ITP_TRAMO_ALTO,SUMIFS(CF_CUOTA,CF_MAS,ITP_TRAMO_ALTO,CF_CCMIN,"&lt;="&amp;CT113,CF_CCMAX,"&gt;="&amp;CT113),IF(BE113&gt;ITP_TRAMO_BAJO,SUMIFS(CF_CUOTA,CF_MAS,ITP_TRAMO_BAJO,CF_CCMIN,"&lt;="&amp;CT113,CF_CCMAX,"&gt;="&amp;CT113),O113*ITP_TIPO)),O113*ITP_TIPO))</f>
        <v/>
      </c>
      <c r="CV113" s="4">
        <f>IF(R113="profesional",N(AK113),0)</f>
        <v/>
      </c>
      <c r="CW113" s="3">
        <f>IF(AND(R113="profesional",ISNUMBER(AK113),AL113="sí"),0,TASA_DGT)</f>
        <v/>
      </c>
      <c r="CX113" s="3">
        <f>INFORME_DGT</f>
        <v/>
      </c>
      <c r="CY113" s="4">
        <f>O113+CV113+CU113+CW113+CX113</f>
        <v/>
      </c>
      <c r="CZ113" s="4">
        <f>CY113+N(CL113)</f>
        <v/>
      </c>
      <c r="DA113" s="3">
        <f>IF(CY113&lt;=TOTAL_MAX,"sí",IF(CY113&lt;=TOTAL_MAX+MARGEN_NEG,"negociar","no"))</f>
        <v/>
      </c>
      <c r="DB113" s="4">
        <f>IF(DA113&lt;&gt;"no",COUNTIFS($DA$2:$DA$130,"&lt;&gt;no",$CS$2:$CS$130,"&gt;"&amp;CS113)+COUNTIFS($DA$2:DA113,"&lt;&gt;no",$CS$2:CS113,CS113),"")</f>
        <v/>
      </c>
    </row>
    <row r="114">
      <c r="A114" s="2" t="inlineStr">
        <is>
          <t>cochesnet:71677639</t>
        </is>
      </c>
      <c r="B114" s="2" t="inlineStr">
        <is>
          <t>cochesnet</t>
        </is>
      </c>
      <c r="C114" s="2" t="inlineStr">
        <is>
          <t>https://www.coches.net/peugeot-206-xr-refri-75-5p-gasolina-2002-en-valencia-71677639-covo.aspx</t>
        </is>
      </c>
      <c r="D114" s="2" t="inlineStr">
        <is>
          <t>PEUGEOT 206 XR Refri 75</t>
        </is>
      </c>
      <c r="E114" s="2" t="inlineStr">
        <is>
          <t>Peugeot</t>
        </is>
      </c>
      <c r="F114" s="2" t="inlineStr">
        <is>
          <t>Peugeot 206</t>
        </is>
      </c>
      <c r="G114" s="2" t="n"/>
      <c r="H114" s="2" t="inlineStr">
        <is>
          <t>XR Refri 75</t>
        </is>
      </c>
      <c r="I114" s="2" t="n"/>
      <c r="J114" s="2" t="n"/>
      <c r="K114" s="2" t="inlineStr">
        <is>
          <t>gasolina</t>
        </is>
      </c>
      <c r="L114" s="2" t="inlineStr">
        <is>
          <t>utilitario</t>
        </is>
      </c>
      <c r="M114" s="2" t="n">
        <v>2002</v>
      </c>
      <c r="N114" s="2" t="n">
        <v>82000</v>
      </c>
      <c r="O114" s="2" t="n">
        <v>3500</v>
      </c>
      <c r="P114" s="2" t="inlineStr">
        <is>
          <t>manual</t>
        </is>
      </c>
      <c r="Q114" s="2" t="inlineStr">
        <is>
          <t>no</t>
        </is>
      </c>
      <c r="R114" s="2" t="inlineStr">
        <is>
          <t>profesional</t>
        </is>
      </c>
      <c r="S114" s="2" t="inlineStr">
        <is>
          <t>Beniparrell</t>
        </is>
      </c>
      <c r="T114" s="2" t="inlineStr">
        <is>
          <t>2026-10-05T16:46:41Z</t>
        </is>
      </c>
      <c r="U114" s="2" t="n">
        <v>15</v>
      </c>
      <c r="V114" s="2" t="n"/>
      <c r="W114" s="2" t="n"/>
      <c r="X114" s="2" t="n"/>
      <c r="Y114" s="2" t="n"/>
      <c r="Z114" s="2" t="inlineStr">
        <is>
          <t>sí</t>
        </is>
      </c>
      <c r="AA114" s="2" t="n"/>
      <c r="AB114" s="2" t="n">
        <v>12</v>
      </c>
      <c r="AC114" s="2" t="n"/>
      <c r="AD114" s="2" t="n"/>
      <c r="AE114" s="2" t="n"/>
      <c r="AF114" s="2" t="n"/>
      <c r="AG114" s="2" t="n"/>
      <c r="AH114" s="2" t="n">
        <v>3500</v>
      </c>
      <c r="AI114" s="2" t="n"/>
      <c r="AJ114" s="2" t="n"/>
      <c r="AK114" s="2" t="n"/>
      <c r="AL114" s="2" t="n"/>
      <c r="AM114" s="2" t="n">
        <v>10.2</v>
      </c>
      <c r="AN114" s="2" t="n"/>
      <c r="AO114" s="2" t="inlineStr">
        <is>
          <t>2002</t>
        </is>
      </c>
      <c r="AP114" s="2" t="n">
        <v>2002</v>
      </c>
      <c r="AQ114" s="2" t="n"/>
      <c r="AR114" s="2" t="inlineStr">
        <is>
          <t>B</t>
        </is>
      </c>
      <c r="AS114" s="2" t="inlineStr">
        <is>
          <t>anuncio</t>
        </is>
      </c>
      <c r="AT114" s="2" t="n"/>
      <c r="AU114" s="2" t="inlineStr">
        <is>
          <t>no</t>
        </is>
      </c>
      <c r="AV114" s="2" t="inlineStr">
        <is>
          <t>no</t>
        </is>
      </c>
      <c r="AW114" s="2" t="inlineStr">
        <is>
          <t>no</t>
        </is>
      </c>
      <c r="AX114" s="2" t="n">
        <v>3500</v>
      </c>
      <c r="AY114" s="2" t="n">
        <v>5</v>
      </c>
      <c r="AZ114" s="2" t="inlineStr">
        <is>
          <t>modelo+año+km</t>
        </is>
      </c>
      <c r="BA114" s="2" t="n"/>
      <c r="BB114" s="2" t="inlineStr">
        <is>
          <t>vendedor profesional: sin ITP (operación con IVA/REBU, confirmar en factura); gastos de gestión del vendedor no indicados: se suma la tasa DGT; preguntar el precio final; revisar: no menciona la ITV; fiabilidad del modelo PENDIENTE de fuente (puntuación neutra)</t>
        </is>
      </c>
      <c r="BC114" s="2" t="inlineStr">
        <is>
          <t>Este Peugeot 206 XR Refri destaca por su completo equipamiento de confort y tecnología, incluyendo aire acondicionado, dirección asistida, cierre centralizado con mando a distancia y sistema de climatización con filtro de partículas. Dispone de equipo de audio con radio AM/FM, reproductor de CD y control remoto en volante, seis altavoces, elevalunas eléctricos delanteros y cristales tintados. Los asientos delanteros son individuales ajustables en altura, con reposacabezas regulables, mientras que la trasera ofrece banco de tres plazas con respaldo abatible. Su etiqueta medioambiental B facilita el acceso a zonas de tráfico restringido.GARANTÍA 12 meses (cobertura de 25 componentes del vehículo )cobertura de reparación hasta 2.000e en cualquier taller)</t>
        </is>
      </c>
      <c r="BD114" s="2" t="inlineStr">
        <is>
          <t>https://www.coches.net/peugeot-206-xr-refri-75-5p-gasolina-2002-en-valencia-71677639-covo.aspx (window.__INITIAL_PROPS__.ad) /home/user/Alopecia/buscador-coches/raw/cochesnet/df2e56a381107cee.json</t>
        </is>
      </c>
      <c r="BE114" s="3">
        <f>MAX(ANIO_ACTUAL-M114,0)</f>
        <v/>
      </c>
      <c r="BF114" s="4">
        <f>N114/MAX(BE114,0.5)</f>
        <v/>
      </c>
      <c r="BG114" s="4">
        <f>F114</f>
        <v/>
      </c>
      <c r="BH114" s="3">
        <f>BG114&amp;"|"&amp;INT(M114/SEG_ANIO)*SEG_ANIO</f>
        <v/>
      </c>
      <c r="BI114" s="3">
        <f>BH114&amp;"|"&amp;INT(N114/SEG_KM)*SEG_KM</f>
        <v/>
      </c>
      <c r="BJ114" s="4">
        <f>COUNTIF($BG$2:$BG$130,BG114)</f>
        <v/>
      </c>
      <c r="BK114" s="4">
        <f>COUNTIF($BH$2:$BH$130,BH114)</f>
        <v/>
      </c>
      <c r="BL114" s="4">
        <f>COUNTIF($BI$2:$BI$130,BI114)</f>
        <v/>
      </c>
      <c r="BM114" s="3">
        <f t="array" ref="BM114">IF(N(AY114)&gt;=MIN_N,AX114,IF(BL114&gt;=MIN_N,MEDIAN(IF($BI$2:$BI$130=BI114,$O$2:$O$130)),IF(BK114&gt;=MIN_N,MEDIAN(IF($BH$2:$BH$130=BH114,$O$2:$O$130)),MEDIAN(IF($BG$2:$BG$130=BG114,$O$2:$O$130)))))</f>
        <v/>
      </c>
      <c r="BN114" s="3">
        <f>IF(N(AY114)&gt;=MIN_N,"mercado "&amp;AZ114,IF(BL114&gt;=MIN_N,"modelo+año+km",IF(BK114&gt;=MIN_N,"modelo+año","modelo")))</f>
        <v/>
      </c>
      <c r="BO114" s="4">
        <f>(BM114-O114)/BM114</f>
        <v/>
      </c>
      <c r="BP114" s="3">
        <f>IF(COUNTIFS(FR_FUEL,K114,FR_YEAR,AP114)&gt;0,1,0)</f>
        <v/>
      </c>
      <c r="BQ114" s="3">
        <f>IF(COUNTIFS(FR_FUEL,K114,FR_YEAR,AP114-1)&gt;0,1,0)</f>
        <v/>
      </c>
      <c r="BR114" s="4">
        <f>IF(N(AQ114)&gt;0,AP114*100+AQ114,IF(AND(BP114=1,BQ114=1),(AP114-1)*100+1,AP114*100+1))</f>
        <v/>
      </c>
      <c r="BS114" s="3">
        <f>IF(OR(K114="hibrido",K114="glp",K114="gnc",K114="phev"),"ECO",IF(K114="electrico","CERO",IF(K114="gasolina",IF(BR114&gt;=GAS_C_YM,"C",IF(BR114&gt;=GAS_B_YM,"B","A")),IF(K114="diesel",IF(BR114&gt;=DIE_C_YM,"C",IF(BR114&gt;=DIE_B_YM,"B","A")),""))))</f>
        <v/>
      </c>
      <c r="BT114" s="2" t="inlineStr">
        <is>
          <t>B</t>
        </is>
      </c>
      <c r="BU114" s="4">
        <f>IF(AU114="sí","sí",IF(AS114="regla",IF(AND(N(AQ114)=0,BP114=1),"sí","no"),"no"))</f>
        <v/>
      </c>
      <c r="BV114" s="3">
        <f>IFERROR(VLOOKUP(F114,MOD_TBL,16,0),IFERROR(VLOOKUP(E114,OCU_TBL,2,0),NEUTRO))</f>
        <v/>
      </c>
      <c r="BW114" s="3">
        <f>SUMIFS(MOT_AJUSTE,MOT_MOTOR,G114,MOT_MARCA,E114,MOT_DESDE,"&lt;="&amp;M114,MOT_HASTA,"&gt;="&amp;M114)+SUMIFS(MOT_AJUSTE,MOT_MOTOR,G114,MOT_MARCA,"(todas)",MOT_DESDE,"&lt;="&amp;M114,MOT_HASTA,"&gt;="&amp;M114)+SUMIFS(MOT_AJUSTE,MOT_MOTOR,"(cualquiera)",MOT_MARCA,E114,MOT_DESDE,"&lt;="&amp;M114,MOT_HASTA,"&gt;="&amp;M114)</f>
        <v/>
      </c>
      <c r="BX114" s="3">
        <f>SUMIFS(COMB_AJUSTE,COMB_COMB,K114)</f>
        <v/>
      </c>
      <c r="BY114" s="3">
        <f>COUNTIFS(MOT_MOTOR,G114,MOT_MARCA,E114,MOT_DESDE,"&lt;="&amp;M114,MOT_HASTA,"&gt;="&amp;M114)+COUNTIFS(MOT_MOTOR,G114,MOT_MARCA,"(todas)",MOT_DESDE,"&lt;="&amp;M114,MOT_HASTA,"&gt;="&amp;M114)+COUNTIFS(MOT_MOTOR,"(cualquiera)",MOT_MARCA,E114,MOT_DESDE,"&lt;="&amp;M114,MOT_HASTA,"&gt;="&amp;M114)</f>
        <v/>
      </c>
      <c r="BZ114" s="3">
        <f>IF(AND(K114="diesel",BY114=0),MIN(BV114,NEUTRO),BV114)</f>
        <v/>
      </c>
      <c r="CA114" s="3">
        <f>MAX(0,MIN(100,BZ114+BW114+BX114-IF(AV114="sí",ROB_PEN,0)))</f>
        <v/>
      </c>
      <c r="CB114" s="3">
        <f>100-MAX(0,N114-KM_TOPE_DESDE)/1000*KM_TOPE_PTS</f>
        <v/>
      </c>
      <c r="CC114" s="3">
        <f>MAX(0,MIN(100,50+BO114*PRECIO_PEND,CB114))</f>
        <v/>
      </c>
      <c r="CD114" s="3">
        <f>MAX(0,100*(1-N114/KM_MAX))</f>
        <v/>
      </c>
      <c r="CE114" s="3">
        <f>IF(BF114&lt;KMA_SOSP,IF(AA114="sí",100,KMA_PEN),IF(BF114&lt;=KMA_IDEAL_MAX,100,MAX(0,100*(KMA_CERO-BF114)/(KMA_CERO-KMA_IDEAL_MAX))))</f>
        <v/>
      </c>
      <c r="CF114" s="3">
        <f>MAX(0,MIN(100,100*(M114-ANIO_MIN)/(ANIO_ACTUAL-ANIO_MIN)))</f>
        <v/>
      </c>
      <c r="CG114" s="3">
        <f>W_KMT*CD114+W_KMA*CE114+W_EDAD*CF114</f>
        <v/>
      </c>
      <c r="CH114" s="3">
        <f>P_ITV*(V114="sí")+P_LIBRO*(W114="sí")+P_CORREA*(X114="sí")+P_PROP*(Y114=1)+P_GAR*(Z114="sí")+P_FOTOS*MIN(1,N(U114)/FOTOS_OBJ)</f>
        <v/>
      </c>
      <c r="CI114" s="3">
        <f>MAX(0,MIN(100,IFERROR(VLOOKUP(BT114,ETQ_TBL,2,0),0)-IF(BU114="sí",ETQ_PEN_DUD,IF(AS114="regla",ETQ_PEN_REGLA,0))))</f>
        <v/>
      </c>
      <c r="CJ114" s="3">
        <f>IF(K114&lt;&gt;"gasolina","",IFERROR(VLOOKUP(F114,CONS_MOD_TBL,2,0),IFERROR(VLOOKUP(L114,CONS_SEG_TBL,2,0),"")))</f>
        <v/>
      </c>
      <c r="CK114" s="3">
        <f>IF(CJ114="",NEUTRO,MAX(0,MIN(100,100*(CONS_REF_MAX-CJ114)/(CONS_REF_MAX-CONS_REF_MIN))))</f>
        <v/>
      </c>
      <c r="CL114" s="3">
        <f>IFERROR(VLOOKUP(L114,SEGURO_TBL,3,0),"")</f>
        <v/>
      </c>
      <c r="CM114" s="3">
        <f>IF(CL114="",NEUTRO,MAX(0,MIN(100,100*(SEG_REF_MAX-CL114)/(SEG_REF_MAX-SEG_REF_MIN))))</f>
        <v/>
      </c>
      <c r="CN114" s="3">
        <f>W_CONS*CK114+W_SEG*CM114</f>
        <v/>
      </c>
      <c r="CO114" s="3">
        <f>IF(N(AB114)&gt;0,AB114,IF(AND(R114="profesional",SG_LEGAL_ON=1),GAR_LEGAL,0))</f>
        <v/>
      </c>
      <c r="CP114" s="3">
        <f>SG_GAR*MIN(1,CO114/SG_GAR_FULL)+SG_AMPL*(AC114="sí")+SG_KMC*(AF114="sí")+SG_REV*(N(AE114)&gt;0)+SG_DEV*MIN(1,N(AG114)/SG_DEV_FULL)+SG_HIST*(W114="sí")</f>
        <v/>
      </c>
      <c r="CQ114" s="3">
        <f>IF(AW114="sí",ESTILO_PRIO,IFERROR(VLOOKUP(L114,ESTILO_TBL,2,0),NEUTRO))</f>
        <v/>
      </c>
      <c r="CR114" s="3">
        <f>IFERROR(VLOOKUP(L114,CARR_PEN_TBL,2,0),0)</f>
        <v/>
      </c>
      <c r="CS114" s="3">
        <f>W_FIAB*CA114+W_PRECIO*CC114+W_KMEDAD*CG114+W_ANUNCIO*CH114+W_USO*CN114+W_SEGURIDAD*CP114+W_ETIQUETA*CI114+W_ESTILO*CQ114-CR114</f>
        <v/>
      </c>
      <c r="CT114" s="4">
        <f>IF(N(I114)&gt;0,I114,IFERROR(ROUND(_xlfn.NUMBERVALUE(LEFT(G114,FIND(" ",G114&amp;" ")-1),".")*1000,0),99999))</f>
        <v/>
      </c>
      <c r="CU114" s="3">
        <f>IF(R114="profesional",0,IF(O114&lt;CUOTA_VALOR_MAX,IF(BE114&gt;ITP_TRAMO_ALTO,SUMIFS(CF_CUOTA,CF_MAS,ITP_TRAMO_ALTO,CF_CCMIN,"&lt;="&amp;CT114,CF_CCMAX,"&gt;="&amp;CT114),IF(BE114&gt;ITP_TRAMO_BAJO,SUMIFS(CF_CUOTA,CF_MAS,ITP_TRAMO_BAJO,CF_CCMIN,"&lt;="&amp;CT114,CF_CCMAX,"&gt;="&amp;CT114),O114*ITP_TIPO)),O114*ITP_TIPO))</f>
        <v/>
      </c>
      <c r="CV114" s="4">
        <f>IF(R114="profesional",N(AK114),0)</f>
        <v/>
      </c>
      <c r="CW114" s="3">
        <f>IF(AND(R114="profesional",ISNUMBER(AK114),AL114="sí"),0,TASA_DGT)</f>
        <v/>
      </c>
      <c r="CX114" s="3">
        <f>INFORME_DGT</f>
        <v/>
      </c>
      <c r="CY114" s="4">
        <f>O114+CV114+CU114+CW114+CX114</f>
        <v/>
      </c>
      <c r="CZ114" s="4">
        <f>CY114+N(CL114)</f>
        <v/>
      </c>
      <c r="DA114" s="3">
        <f>IF(CY114&lt;=TOTAL_MAX,"sí",IF(CY114&lt;=TOTAL_MAX+MARGEN_NEG,"negociar","no"))</f>
        <v/>
      </c>
      <c r="DB114" s="4">
        <f>IF(DA114&lt;&gt;"no",COUNTIFS($DA$2:$DA$130,"&lt;&gt;no",$CS$2:$CS$130,"&gt;"&amp;CS114)+COUNTIFS($DA$2:DA114,"&lt;&gt;no",$CS$2:CS114,CS114),"")</f>
        <v/>
      </c>
    </row>
    <row r="115">
      <c r="A115" s="2" t="inlineStr">
        <is>
          <t>cochesnet:71681078</t>
        </is>
      </c>
      <c r="B115" s="2" t="inlineStr">
        <is>
          <t>cochesnet</t>
        </is>
      </c>
      <c r="C115" s="2" t="inlineStr">
        <is>
          <t>https://www.coches.net/peugeot-206-xline-75-5p-gasolina-2002-en-valencia-71681078-covo.aspx</t>
        </is>
      </c>
      <c r="D115" s="2" t="inlineStr">
        <is>
          <t>PEUGEOT 206 XLine 75</t>
        </is>
      </c>
      <c r="E115" s="2" t="inlineStr">
        <is>
          <t>Peugeot</t>
        </is>
      </c>
      <c r="F115" s="2" t="inlineStr">
        <is>
          <t>Peugeot 206</t>
        </is>
      </c>
      <c r="G115" s="2" t="n"/>
      <c r="H115" s="2" t="inlineStr">
        <is>
          <t>XLine 75</t>
        </is>
      </c>
      <c r="I115" s="2" t="n"/>
      <c r="J115" s="2" t="n"/>
      <c r="K115" s="2" t="inlineStr">
        <is>
          <t>gasolina</t>
        </is>
      </c>
      <c r="L115" s="2" t="inlineStr">
        <is>
          <t>utilitario</t>
        </is>
      </c>
      <c r="M115" s="2" t="n">
        <v>2003</v>
      </c>
      <c r="N115" s="2" t="n">
        <v>83500</v>
      </c>
      <c r="O115" s="2" t="n">
        <v>4490</v>
      </c>
      <c r="P115" s="2" t="inlineStr">
        <is>
          <t>manual</t>
        </is>
      </c>
      <c r="Q115" s="2" t="inlineStr">
        <is>
          <t>no</t>
        </is>
      </c>
      <c r="R115" s="2" t="inlineStr">
        <is>
          <t>profesional</t>
        </is>
      </c>
      <c r="S115" s="2" t="inlineStr">
        <is>
          <t>Vlc detailing Cars Valencia</t>
        </is>
      </c>
      <c r="T115" s="2" t="inlineStr">
        <is>
          <t>2026-10-05T22:50:52Z</t>
        </is>
      </c>
      <c r="U115" s="2" t="n">
        <v>28</v>
      </c>
      <c r="V115" s="2" t="inlineStr">
        <is>
          <t>sí</t>
        </is>
      </c>
      <c r="W115" s="2" t="n"/>
      <c r="X115" s="2" t="n"/>
      <c r="Y115" s="2" t="n"/>
      <c r="Z115" s="2" t="inlineStr">
        <is>
          <t>sí</t>
        </is>
      </c>
      <c r="AA115" s="2" t="n"/>
      <c r="AB115" s="2" t="n">
        <v>12</v>
      </c>
      <c r="AC115" s="2" t="n"/>
      <c r="AD115" s="2" t="n"/>
      <c r="AE115" s="2" t="n"/>
      <c r="AF115" s="2" t="n"/>
      <c r="AG115" s="2" t="n"/>
      <c r="AH115" s="2" t="n">
        <v>4490</v>
      </c>
      <c r="AI115" s="2" t="n"/>
      <c r="AJ115" s="2" t="n"/>
      <c r="AK115" s="2" t="n"/>
      <c r="AL115" s="2" t="n"/>
      <c r="AM115" s="2" t="n">
        <v>0.1</v>
      </c>
      <c r="AN115" s="2" t="n"/>
      <c r="AO115" s="2" t="inlineStr">
        <is>
          <t>2003</t>
        </is>
      </c>
      <c r="AP115" s="2" t="n">
        <v>2003</v>
      </c>
      <c r="AQ115" s="2" t="n"/>
      <c r="AR115" s="2" t="inlineStr">
        <is>
          <t>B</t>
        </is>
      </c>
      <c r="AS115" s="2" t="inlineStr">
        <is>
          <t>anuncio</t>
        </is>
      </c>
      <c r="AT115" s="2" t="n">
        <v>2002</v>
      </c>
      <c r="AU115" s="2" t="inlineStr">
        <is>
          <t>no</t>
        </is>
      </c>
      <c r="AV115" s="2" t="inlineStr">
        <is>
          <t>no</t>
        </is>
      </c>
      <c r="AW115" s="2" t="inlineStr">
        <is>
          <t>no</t>
        </is>
      </c>
      <c r="AX115" s="2" t="n">
        <v>3500</v>
      </c>
      <c r="AY115" s="2" t="n">
        <v>5</v>
      </c>
      <c r="AZ115" s="2" t="inlineStr">
        <is>
          <t>modelo+año+km</t>
        </is>
      </c>
      <c r="BA115" s="2" t="n"/>
      <c r="BB115" s="2" t="inlineStr">
        <is>
          <t>año a confirmar: la URL/título dice 2002; vendedor profesional: sin ITP (operación con IVA/REBU, confirmar en factura); gastos de gestión del vendedor no indicados: se suma la tasa DGT; preguntar el precio final; fiabilidad del modelo PENDIENTE de fuente (puntuación neutra)</t>
        </is>
      </c>
      <c r="BC115" s="2" t="inlineStr">
        <is>
          <t xml:space="preserve">?? PEUGEOT 206 X-LINE 1.4 GASOLINA – 2004
? ¡SOLO 83.500 KM! | 1 AÑO DE GARANTÍA
Se vende precioso Peugeot 206 X-Line 1.4 gasolina, matriculado en 2004, con únicamente 83.500 km.
Una unidad realmente difícil de encontrar con este kilometraje y en el estado de conservación que presenta.
?? MECÁNICA Y MANTENIMIENTO
? Motor 1.4 gasolina
? 83.500 km
? Distribución realizada a los 54.000 km
? Mantenimiento recién realizado
? Mecánica en excelente estado
? Funcionamiento perfecto
? Listo para utilizar desde el primer día
? ESTADO DE CONSERVACIÓN
El vehículo se encuentra en un estado excepcional para sus años, tanto mecánicamente como de pintura e interior.
?? Interior muy cuidado
?? Pintura en excelente estado
?? Motor y funcionamiento perfectos
?? EQUIPAMIENTO
?? Aire acondicionado
?? Dirección asistida
? Elevalunas eléctricos
?? Cierre centralizado
??? Airbags
?? 3 juegos de llaves
?? ITV hasta 02/2027
?? Distintivo ambiental B de la DGT
??? VENTA PROFESIONAL
? 1 AÑO DE GARANTÍA
? Vehículo revisado y preparado para su entrega
? Mantenimiento recién realizado
? Se entrega en perfecto estado de funcionamiento
Un Peugeot 206 con solo 83.500 km, muy cuidado y con un equipamiento completo para su época. Ideal como primer coche, vehículo para diario o segundo coche.
?? Se puede ver y probar sin compromiso.
Comprueba tú mismo el estado del vehículo, su interior, pintura, mecánica y funcionamiento.
</t>
        </is>
      </c>
      <c r="BD115" s="2" t="inlineStr">
        <is>
          <t>https://www.coches.net/peugeot-206-xline-75-5p-gasolina-2002-en-valencia-71681078-covo.aspx (window.__INITIAL_PROPS__.ad) /home/user/Alopecia/buscador-coches/raw/cochesnet/b6afe90b1fe04ac7.json</t>
        </is>
      </c>
      <c r="BE115" s="3">
        <f>MAX(ANIO_ACTUAL-M115,0)</f>
        <v/>
      </c>
      <c r="BF115" s="4">
        <f>N115/MAX(BE115,0.5)</f>
        <v/>
      </c>
      <c r="BG115" s="4">
        <f>F115</f>
        <v/>
      </c>
      <c r="BH115" s="3">
        <f>BG115&amp;"|"&amp;INT(M115/SEG_ANIO)*SEG_ANIO</f>
        <v/>
      </c>
      <c r="BI115" s="3">
        <f>BH115&amp;"|"&amp;INT(N115/SEG_KM)*SEG_KM</f>
        <v/>
      </c>
      <c r="BJ115" s="4">
        <f>COUNTIF($BG$2:$BG$130,BG115)</f>
        <v/>
      </c>
      <c r="BK115" s="4">
        <f>COUNTIF($BH$2:$BH$130,BH115)</f>
        <v/>
      </c>
      <c r="BL115" s="4">
        <f>COUNTIF($BI$2:$BI$130,BI115)</f>
        <v/>
      </c>
      <c r="BM115" s="3">
        <f t="array" ref="BM115">IF(N(AY115)&gt;=MIN_N,AX115,IF(BL115&gt;=MIN_N,MEDIAN(IF($BI$2:$BI$130=BI115,$O$2:$O$130)),IF(BK115&gt;=MIN_N,MEDIAN(IF($BH$2:$BH$130=BH115,$O$2:$O$130)),MEDIAN(IF($BG$2:$BG$130=BG115,$O$2:$O$130)))))</f>
        <v/>
      </c>
      <c r="BN115" s="3">
        <f>IF(N(AY115)&gt;=MIN_N,"mercado "&amp;AZ115,IF(BL115&gt;=MIN_N,"modelo+año+km",IF(BK115&gt;=MIN_N,"modelo+año","modelo")))</f>
        <v/>
      </c>
      <c r="BO115" s="4">
        <f>(BM115-O115)/BM115</f>
        <v/>
      </c>
      <c r="BP115" s="3">
        <f>IF(COUNTIFS(FR_FUEL,K115,FR_YEAR,AP115)&gt;0,1,0)</f>
        <v/>
      </c>
      <c r="BQ115" s="3">
        <f>IF(COUNTIFS(FR_FUEL,K115,FR_YEAR,AP115-1)&gt;0,1,0)</f>
        <v/>
      </c>
      <c r="BR115" s="4">
        <f>IF(N(AQ115)&gt;0,AP115*100+AQ115,IF(AND(BP115=1,BQ115=1),(AP115-1)*100+1,AP115*100+1))</f>
        <v/>
      </c>
      <c r="BS115" s="3">
        <f>IF(OR(K115="hibrido",K115="glp",K115="gnc",K115="phev"),"ECO",IF(K115="electrico","CERO",IF(K115="gasolina",IF(BR115&gt;=GAS_C_YM,"C",IF(BR115&gt;=GAS_B_YM,"B","A")),IF(K115="diesel",IF(BR115&gt;=DIE_C_YM,"C",IF(BR115&gt;=DIE_B_YM,"B","A")),""))))</f>
        <v/>
      </c>
      <c r="BT115" s="2" t="inlineStr">
        <is>
          <t>B</t>
        </is>
      </c>
      <c r="BU115" s="4">
        <f>IF(AU115="sí","sí",IF(AS115="regla",IF(AND(N(AQ115)=0,BP115=1),"sí","no"),"no"))</f>
        <v/>
      </c>
      <c r="BV115" s="3">
        <f>IFERROR(VLOOKUP(F115,MOD_TBL,16,0),IFERROR(VLOOKUP(E115,OCU_TBL,2,0),NEUTRO))</f>
        <v/>
      </c>
      <c r="BW115" s="3">
        <f>SUMIFS(MOT_AJUSTE,MOT_MOTOR,G115,MOT_MARCA,E115,MOT_DESDE,"&lt;="&amp;M115,MOT_HASTA,"&gt;="&amp;M115)+SUMIFS(MOT_AJUSTE,MOT_MOTOR,G115,MOT_MARCA,"(todas)",MOT_DESDE,"&lt;="&amp;M115,MOT_HASTA,"&gt;="&amp;M115)+SUMIFS(MOT_AJUSTE,MOT_MOTOR,"(cualquiera)",MOT_MARCA,E115,MOT_DESDE,"&lt;="&amp;M115,MOT_HASTA,"&gt;="&amp;M115)</f>
        <v/>
      </c>
      <c r="BX115" s="3">
        <f>SUMIFS(COMB_AJUSTE,COMB_COMB,K115)</f>
        <v/>
      </c>
      <c r="BY115" s="3">
        <f>COUNTIFS(MOT_MOTOR,G115,MOT_MARCA,E115,MOT_DESDE,"&lt;="&amp;M115,MOT_HASTA,"&gt;="&amp;M115)+COUNTIFS(MOT_MOTOR,G115,MOT_MARCA,"(todas)",MOT_DESDE,"&lt;="&amp;M115,MOT_HASTA,"&gt;="&amp;M115)+COUNTIFS(MOT_MOTOR,"(cualquiera)",MOT_MARCA,E115,MOT_DESDE,"&lt;="&amp;M115,MOT_HASTA,"&gt;="&amp;M115)</f>
        <v/>
      </c>
      <c r="BZ115" s="3">
        <f>IF(AND(K115="diesel",BY115=0),MIN(BV115,NEUTRO),BV115)</f>
        <v/>
      </c>
      <c r="CA115" s="3">
        <f>MAX(0,MIN(100,BZ115+BW115+BX115-IF(AV115="sí",ROB_PEN,0)))</f>
        <v/>
      </c>
      <c r="CB115" s="3">
        <f>100-MAX(0,N115-KM_TOPE_DESDE)/1000*KM_TOPE_PTS</f>
        <v/>
      </c>
      <c r="CC115" s="3">
        <f>MAX(0,MIN(100,50+BO115*PRECIO_PEND,CB115))</f>
        <v/>
      </c>
      <c r="CD115" s="3">
        <f>MAX(0,100*(1-N115/KM_MAX))</f>
        <v/>
      </c>
      <c r="CE115" s="3">
        <f>IF(BF115&lt;KMA_SOSP,IF(AA115="sí",100,KMA_PEN),IF(BF115&lt;=KMA_IDEAL_MAX,100,MAX(0,100*(KMA_CERO-BF115)/(KMA_CERO-KMA_IDEAL_MAX))))</f>
        <v/>
      </c>
      <c r="CF115" s="3">
        <f>MAX(0,MIN(100,100*(M115-ANIO_MIN)/(ANIO_ACTUAL-ANIO_MIN)))</f>
        <v/>
      </c>
      <c r="CG115" s="3">
        <f>W_KMT*CD115+W_KMA*CE115+W_EDAD*CF115</f>
        <v/>
      </c>
      <c r="CH115" s="3">
        <f>P_ITV*(V115="sí")+P_LIBRO*(W115="sí")+P_CORREA*(X115="sí")+P_PROP*(Y115=1)+P_GAR*(Z115="sí")+P_FOTOS*MIN(1,N(U115)/FOTOS_OBJ)</f>
        <v/>
      </c>
      <c r="CI115" s="3">
        <f>MAX(0,MIN(100,IFERROR(VLOOKUP(BT115,ETQ_TBL,2,0),0)-IF(BU115="sí",ETQ_PEN_DUD,IF(AS115="regla",ETQ_PEN_REGLA,0))))</f>
        <v/>
      </c>
      <c r="CJ115" s="3">
        <f>IF(K115&lt;&gt;"gasolina","",IFERROR(VLOOKUP(F115,CONS_MOD_TBL,2,0),IFERROR(VLOOKUP(L115,CONS_SEG_TBL,2,0),"")))</f>
        <v/>
      </c>
      <c r="CK115" s="3">
        <f>IF(CJ115="",NEUTRO,MAX(0,MIN(100,100*(CONS_REF_MAX-CJ115)/(CONS_REF_MAX-CONS_REF_MIN))))</f>
        <v/>
      </c>
      <c r="CL115" s="3">
        <f>IFERROR(VLOOKUP(L115,SEGURO_TBL,3,0),"")</f>
        <v/>
      </c>
      <c r="CM115" s="3">
        <f>IF(CL115="",NEUTRO,MAX(0,MIN(100,100*(SEG_REF_MAX-CL115)/(SEG_REF_MAX-SEG_REF_MIN))))</f>
        <v/>
      </c>
      <c r="CN115" s="3">
        <f>W_CONS*CK115+W_SEG*CM115</f>
        <v/>
      </c>
      <c r="CO115" s="3">
        <f>IF(N(AB115)&gt;0,AB115,IF(AND(R115="profesional",SG_LEGAL_ON=1),GAR_LEGAL,0))</f>
        <v/>
      </c>
      <c r="CP115" s="3">
        <f>SG_GAR*MIN(1,CO115/SG_GAR_FULL)+SG_AMPL*(AC115="sí")+SG_KMC*(AF115="sí")+SG_REV*(N(AE115)&gt;0)+SG_DEV*MIN(1,N(AG115)/SG_DEV_FULL)+SG_HIST*(W115="sí")</f>
        <v/>
      </c>
      <c r="CQ115" s="3">
        <f>IF(AW115="sí",ESTILO_PRIO,IFERROR(VLOOKUP(L115,ESTILO_TBL,2,0),NEUTRO))</f>
        <v/>
      </c>
      <c r="CR115" s="3">
        <f>IFERROR(VLOOKUP(L115,CARR_PEN_TBL,2,0),0)</f>
        <v/>
      </c>
      <c r="CS115" s="3">
        <f>W_FIAB*CA115+W_PRECIO*CC115+W_KMEDAD*CG115+W_ANUNCIO*CH115+W_USO*CN115+W_SEGURIDAD*CP115+W_ETIQUETA*CI115+W_ESTILO*CQ115-CR115</f>
        <v/>
      </c>
      <c r="CT115" s="4">
        <f>IF(N(I115)&gt;0,I115,IFERROR(ROUND(_xlfn.NUMBERVALUE(LEFT(G115,FIND(" ",G115&amp;" ")-1),".")*1000,0),99999))</f>
        <v/>
      </c>
      <c r="CU115" s="3">
        <f>IF(R115="profesional",0,IF(O115&lt;CUOTA_VALOR_MAX,IF(BE115&gt;ITP_TRAMO_ALTO,SUMIFS(CF_CUOTA,CF_MAS,ITP_TRAMO_ALTO,CF_CCMIN,"&lt;="&amp;CT115,CF_CCMAX,"&gt;="&amp;CT115),IF(BE115&gt;ITP_TRAMO_BAJO,SUMIFS(CF_CUOTA,CF_MAS,ITP_TRAMO_BAJO,CF_CCMIN,"&lt;="&amp;CT115,CF_CCMAX,"&gt;="&amp;CT115),O115*ITP_TIPO)),O115*ITP_TIPO))</f>
        <v/>
      </c>
      <c r="CV115" s="4">
        <f>IF(R115="profesional",N(AK115),0)</f>
        <v/>
      </c>
      <c r="CW115" s="3">
        <f>IF(AND(R115="profesional",ISNUMBER(AK115),AL115="sí"),0,TASA_DGT)</f>
        <v/>
      </c>
      <c r="CX115" s="3">
        <f>INFORME_DGT</f>
        <v/>
      </c>
      <c r="CY115" s="4">
        <f>O115+CV115+CU115+CW115+CX115</f>
        <v/>
      </c>
      <c r="CZ115" s="4">
        <f>CY115+N(CL115)</f>
        <v/>
      </c>
      <c r="DA115" s="3">
        <f>IF(CY115&lt;=TOTAL_MAX,"sí",IF(CY115&lt;=TOTAL_MAX+MARGEN_NEG,"negociar","no"))</f>
        <v/>
      </c>
      <c r="DB115" s="4">
        <f>IF(DA115&lt;&gt;"no",COUNTIFS($DA$2:$DA$130,"&lt;&gt;no",$CS$2:$CS$130,"&gt;"&amp;CS115)+COUNTIFS($DA$2:DA115,"&lt;&gt;no",$CS$2:CS115,CS115),"")</f>
        <v/>
      </c>
    </row>
    <row r="116">
      <c r="A116" s="2" t="inlineStr">
        <is>
          <t>cochesnet:71730074</t>
        </is>
      </c>
      <c r="B116" s="2" t="inlineStr">
        <is>
          <t>cochesnet</t>
        </is>
      </c>
      <c r="C116" s="2" t="inlineStr">
        <is>
          <t>https://www.coches.net/citroen-c2-11i-audace-3p-gasolina-2005-en-valencia-71730074-covo.aspx</t>
        </is>
      </c>
      <c r="D116" s="2" t="inlineStr">
        <is>
          <t>CITROEN C2 1.1I Audace</t>
        </is>
      </c>
      <c r="E116" s="2" t="inlineStr">
        <is>
          <t>Citroën</t>
        </is>
      </c>
      <c r="F116" s="2" t="inlineStr">
        <is>
          <t>Citroën C2</t>
        </is>
      </c>
      <c r="G116" s="2" t="inlineStr">
        <is>
          <t>1.1</t>
        </is>
      </c>
      <c r="H116" s="2" t="inlineStr">
        <is>
          <t>1.1I Audace</t>
        </is>
      </c>
      <c r="I116" s="2" t="n"/>
      <c r="J116" s="2" t="n"/>
      <c r="K116" s="2" t="inlineStr">
        <is>
          <t>gasolina</t>
        </is>
      </c>
      <c r="L116" s="2" t="inlineStr">
        <is>
          <t>utilitario</t>
        </is>
      </c>
      <c r="M116" s="2" t="n">
        <v>2008</v>
      </c>
      <c r="N116" s="2" t="n">
        <v>154000</v>
      </c>
      <c r="O116" s="2" t="n">
        <v>2500</v>
      </c>
      <c r="P116" s="2" t="inlineStr">
        <is>
          <t>manual</t>
        </is>
      </c>
      <c r="Q116" s="2" t="inlineStr">
        <is>
          <t>no</t>
        </is>
      </c>
      <c r="R116" s="2" t="inlineStr">
        <is>
          <t>profesional</t>
        </is>
      </c>
      <c r="S116" s="2" t="inlineStr">
        <is>
          <t>Pozas Autos Guadassuar</t>
        </is>
      </c>
      <c r="T116" s="2" t="inlineStr">
        <is>
          <t>2026-10-13T08:58:45Z</t>
        </is>
      </c>
      <c r="U116" s="2" t="n">
        <v>8</v>
      </c>
      <c r="V116" s="2" t="inlineStr">
        <is>
          <t>sí</t>
        </is>
      </c>
      <c r="W116" s="2" t="n"/>
      <c r="X116" s="2" t="n"/>
      <c r="Y116" s="2" t="n"/>
      <c r="Z116" s="2" t="inlineStr">
        <is>
          <t>sí</t>
        </is>
      </c>
      <c r="AA116" s="2" t="n"/>
      <c r="AB116" s="2" t="n">
        <v>12</v>
      </c>
      <c r="AC116" s="2" t="n"/>
      <c r="AD116" s="2" t="n"/>
      <c r="AE116" s="2" t="n"/>
      <c r="AF116" s="2" t="n"/>
      <c r="AG116" s="2" t="n"/>
      <c r="AH116" s="2" t="n">
        <v>2500</v>
      </c>
      <c r="AI116" s="2" t="n">
        <v>2500</v>
      </c>
      <c r="AJ116" s="2" t="n"/>
      <c r="AK116" s="2" t="n"/>
      <c r="AL116" s="2" t="n"/>
      <c r="AM116" s="2" t="n">
        <v>32.7</v>
      </c>
      <c r="AN116" s="2" t="n"/>
      <c r="AO116" s="2" t="inlineStr">
        <is>
          <t>2008</t>
        </is>
      </c>
      <c r="AP116" s="2" t="n">
        <v>2008</v>
      </c>
      <c r="AQ116" s="2" t="n"/>
      <c r="AR116" s="2" t="inlineStr">
        <is>
          <t>B</t>
        </is>
      </c>
      <c r="AS116" s="2" t="inlineStr">
        <is>
          <t>anuncio</t>
        </is>
      </c>
      <c r="AT116" s="2" t="n">
        <v>2005</v>
      </c>
      <c r="AU116" s="2" t="inlineStr">
        <is>
          <t>no</t>
        </is>
      </c>
      <c r="AV116" s="2" t="inlineStr">
        <is>
          <t>no</t>
        </is>
      </c>
      <c r="AW116" s="2" t="inlineStr">
        <is>
          <t>no</t>
        </is>
      </c>
      <c r="AX116" s="2" t="n">
        <v>3444.5</v>
      </c>
      <c r="AY116" s="2" t="n">
        <v>6</v>
      </c>
      <c r="AZ116" s="2" t="inlineStr">
        <is>
          <t>modelo+año</t>
        </is>
      </c>
      <c r="BA116" s="2" t="n"/>
      <c r="BB116" s="2" t="inlineStr">
        <is>
          <t>año a confirmar: la URL/título dice 2005; vendedor profesional: sin ITP (operación con IVA/REBU, confirmar en factura); gastos de gestión del vendedor no indicados: se suma la tasa DGT; preguntar el precio final; fiabilidad del modelo PENDIENTE de fuente (puntuación neutra)</t>
        </is>
      </c>
      <c r="BC116" s="2" t="inlineStr">
        <is>
          <t xml:space="preserve">C2  1.1I  Coche en muy buen estado muy bajo consumo con  los extras. probarlo sin compromiso, , cierre centralizado, dirección asistida, airbag, radio cd  , no fumador, itv recién pasada, aceite y filtros recién cambiado.  llama sin compromiso. </t>
        </is>
      </c>
      <c r="BD116" s="2" t="inlineStr">
        <is>
          <t>https://www.coches.net/citroen-c2-11i-audace-3p-gasolina-2005-en-valencia-71730074-covo.aspx (window.__INITIAL_PROPS__.ad) /home/user/Alopecia/buscador-coches/raw/cochesnet/bd44c810ba3f01ea.json</t>
        </is>
      </c>
      <c r="BE116" s="3">
        <f>MAX(ANIO_ACTUAL-M116,0)</f>
        <v/>
      </c>
      <c r="BF116" s="4">
        <f>N116/MAX(BE116,0.5)</f>
        <v/>
      </c>
      <c r="BG116" s="4">
        <f>F116</f>
        <v/>
      </c>
      <c r="BH116" s="3">
        <f>BG116&amp;"|"&amp;INT(M116/SEG_ANIO)*SEG_ANIO</f>
        <v/>
      </c>
      <c r="BI116" s="3">
        <f>BH116&amp;"|"&amp;INT(N116/SEG_KM)*SEG_KM</f>
        <v/>
      </c>
      <c r="BJ116" s="4">
        <f>COUNTIF($BG$2:$BG$130,BG116)</f>
        <v/>
      </c>
      <c r="BK116" s="4">
        <f>COUNTIF($BH$2:$BH$130,BH116)</f>
        <v/>
      </c>
      <c r="BL116" s="4">
        <f>COUNTIF($BI$2:$BI$130,BI116)</f>
        <v/>
      </c>
      <c r="BM116" s="3">
        <f t="array" ref="BM116">IF(N(AY116)&gt;=MIN_N,AX116,IF(BL116&gt;=MIN_N,MEDIAN(IF($BI$2:$BI$130=BI116,$O$2:$O$130)),IF(BK116&gt;=MIN_N,MEDIAN(IF($BH$2:$BH$130=BH116,$O$2:$O$130)),MEDIAN(IF($BG$2:$BG$130=BG116,$O$2:$O$130)))))</f>
        <v/>
      </c>
      <c r="BN116" s="3">
        <f>IF(N(AY116)&gt;=MIN_N,"mercado "&amp;AZ116,IF(BL116&gt;=MIN_N,"modelo+año+km",IF(BK116&gt;=MIN_N,"modelo+año","modelo")))</f>
        <v/>
      </c>
      <c r="BO116" s="4">
        <f>(BM116-O116)/BM116</f>
        <v/>
      </c>
      <c r="BP116" s="3">
        <f>IF(COUNTIFS(FR_FUEL,K116,FR_YEAR,AP116)&gt;0,1,0)</f>
        <v/>
      </c>
      <c r="BQ116" s="3">
        <f>IF(COUNTIFS(FR_FUEL,K116,FR_YEAR,AP116-1)&gt;0,1,0)</f>
        <v/>
      </c>
      <c r="BR116" s="4">
        <f>IF(N(AQ116)&gt;0,AP116*100+AQ116,IF(AND(BP116=1,BQ116=1),(AP116-1)*100+1,AP116*100+1))</f>
        <v/>
      </c>
      <c r="BS116" s="3">
        <f>IF(OR(K116="hibrido",K116="glp",K116="gnc",K116="phev"),"ECO",IF(K116="electrico","CERO",IF(K116="gasolina",IF(BR116&gt;=GAS_C_YM,"C",IF(BR116&gt;=GAS_B_YM,"B","A")),IF(K116="diesel",IF(BR116&gt;=DIE_C_YM,"C",IF(BR116&gt;=DIE_B_YM,"B","A")),""))))</f>
        <v/>
      </c>
      <c r="BT116" s="2" t="inlineStr">
        <is>
          <t>B</t>
        </is>
      </c>
      <c r="BU116" s="4">
        <f>IF(AU116="sí","sí",IF(AS116="regla",IF(AND(N(AQ116)=0,BP116=1),"sí","no"),"no"))</f>
        <v/>
      </c>
      <c r="BV116" s="3">
        <f>IFERROR(VLOOKUP(F116,MOD_TBL,16,0),IFERROR(VLOOKUP(E116,OCU_TBL,2,0),NEUTRO))</f>
        <v/>
      </c>
      <c r="BW116" s="3">
        <f>SUMIFS(MOT_AJUSTE,MOT_MOTOR,G116,MOT_MARCA,E116,MOT_DESDE,"&lt;="&amp;M116,MOT_HASTA,"&gt;="&amp;M116)+SUMIFS(MOT_AJUSTE,MOT_MOTOR,G116,MOT_MARCA,"(todas)",MOT_DESDE,"&lt;="&amp;M116,MOT_HASTA,"&gt;="&amp;M116)+SUMIFS(MOT_AJUSTE,MOT_MOTOR,"(cualquiera)",MOT_MARCA,E116,MOT_DESDE,"&lt;="&amp;M116,MOT_HASTA,"&gt;="&amp;M116)</f>
        <v/>
      </c>
      <c r="BX116" s="3">
        <f>SUMIFS(COMB_AJUSTE,COMB_COMB,K116)</f>
        <v/>
      </c>
      <c r="BY116" s="3">
        <f>COUNTIFS(MOT_MOTOR,G116,MOT_MARCA,E116,MOT_DESDE,"&lt;="&amp;M116,MOT_HASTA,"&gt;="&amp;M116)+COUNTIFS(MOT_MOTOR,G116,MOT_MARCA,"(todas)",MOT_DESDE,"&lt;="&amp;M116,MOT_HASTA,"&gt;="&amp;M116)+COUNTIFS(MOT_MOTOR,"(cualquiera)",MOT_MARCA,E116,MOT_DESDE,"&lt;="&amp;M116,MOT_HASTA,"&gt;="&amp;M116)</f>
        <v/>
      </c>
      <c r="BZ116" s="3">
        <f>IF(AND(K116="diesel",BY116=0),MIN(BV116,NEUTRO),BV116)</f>
        <v/>
      </c>
      <c r="CA116" s="3">
        <f>MAX(0,MIN(100,BZ116+BW116+BX116-IF(AV116="sí",ROB_PEN,0)))</f>
        <v/>
      </c>
      <c r="CB116" s="3">
        <f>100-MAX(0,N116-KM_TOPE_DESDE)/1000*KM_TOPE_PTS</f>
        <v/>
      </c>
      <c r="CC116" s="3">
        <f>MAX(0,MIN(100,50+BO116*PRECIO_PEND,CB116))</f>
        <v/>
      </c>
      <c r="CD116" s="3">
        <f>MAX(0,100*(1-N116/KM_MAX))</f>
        <v/>
      </c>
      <c r="CE116" s="3">
        <f>IF(BF116&lt;KMA_SOSP,IF(AA116="sí",100,KMA_PEN),IF(BF116&lt;=KMA_IDEAL_MAX,100,MAX(0,100*(KMA_CERO-BF116)/(KMA_CERO-KMA_IDEAL_MAX))))</f>
        <v/>
      </c>
      <c r="CF116" s="3">
        <f>MAX(0,MIN(100,100*(M116-ANIO_MIN)/(ANIO_ACTUAL-ANIO_MIN)))</f>
        <v/>
      </c>
      <c r="CG116" s="3">
        <f>W_KMT*CD116+W_KMA*CE116+W_EDAD*CF116</f>
        <v/>
      </c>
      <c r="CH116" s="3">
        <f>P_ITV*(V116="sí")+P_LIBRO*(W116="sí")+P_CORREA*(X116="sí")+P_PROP*(Y116=1)+P_GAR*(Z116="sí")+P_FOTOS*MIN(1,N(U116)/FOTOS_OBJ)</f>
        <v/>
      </c>
      <c r="CI116" s="3">
        <f>MAX(0,MIN(100,IFERROR(VLOOKUP(BT116,ETQ_TBL,2,0),0)-IF(BU116="sí",ETQ_PEN_DUD,IF(AS116="regla",ETQ_PEN_REGLA,0))))</f>
        <v/>
      </c>
      <c r="CJ116" s="3">
        <f>IF(K116&lt;&gt;"gasolina","",IFERROR(VLOOKUP(F116,CONS_MOD_TBL,2,0),IFERROR(VLOOKUP(L116,CONS_SEG_TBL,2,0),"")))</f>
        <v/>
      </c>
      <c r="CK116" s="3">
        <f>IF(CJ116="",NEUTRO,MAX(0,MIN(100,100*(CONS_REF_MAX-CJ116)/(CONS_REF_MAX-CONS_REF_MIN))))</f>
        <v/>
      </c>
      <c r="CL116" s="3">
        <f>IFERROR(VLOOKUP(L116,SEGURO_TBL,3,0),"")</f>
        <v/>
      </c>
      <c r="CM116" s="3">
        <f>IF(CL116="",NEUTRO,MAX(0,MIN(100,100*(SEG_REF_MAX-CL116)/(SEG_REF_MAX-SEG_REF_MIN))))</f>
        <v/>
      </c>
      <c r="CN116" s="3">
        <f>W_CONS*CK116+W_SEG*CM116</f>
        <v/>
      </c>
      <c r="CO116" s="3">
        <f>IF(N(AB116)&gt;0,AB116,IF(AND(R116="profesional",SG_LEGAL_ON=1),GAR_LEGAL,0))</f>
        <v/>
      </c>
      <c r="CP116" s="3">
        <f>SG_GAR*MIN(1,CO116/SG_GAR_FULL)+SG_AMPL*(AC116="sí")+SG_KMC*(AF116="sí")+SG_REV*(N(AE116)&gt;0)+SG_DEV*MIN(1,N(AG116)/SG_DEV_FULL)+SG_HIST*(W116="sí")</f>
        <v/>
      </c>
      <c r="CQ116" s="3">
        <f>IF(AW116="sí",ESTILO_PRIO,IFERROR(VLOOKUP(L116,ESTILO_TBL,2,0),NEUTRO))</f>
        <v/>
      </c>
      <c r="CR116" s="3">
        <f>IFERROR(VLOOKUP(L116,CARR_PEN_TBL,2,0),0)</f>
        <v/>
      </c>
      <c r="CS116" s="3">
        <f>W_FIAB*CA116+W_PRECIO*CC116+W_KMEDAD*CG116+W_ANUNCIO*CH116+W_USO*CN116+W_SEGURIDAD*CP116+W_ETIQUETA*CI116+W_ESTILO*CQ116-CR116</f>
        <v/>
      </c>
      <c r="CT116" s="4">
        <f>IF(N(I116)&gt;0,I116,IFERROR(ROUND(_xlfn.NUMBERVALUE(LEFT(G116,FIND(" ",G116&amp;" ")-1),".")*1000,0),99999))</f>
        <v/>
      </c>
      <c r="CU116" s="3">
        <f>IF(R116="profesional",0,IF(O116&lt;CUOTA_VALOR_MAX,IF(BE116&gt;ITP_TRAMO_ALTO,SUMIFS(CF_CUOTA,CF_MAS,ITP_TRAMO_ALTO,CF_CCMIN,"&lt;="&amp;CT116,CF_CCMAX,"&gt;="&amp;CT116),IF(BE116&gt;ITP_TRAMO_BAJO,SUMIFS(CF_CUOTA,CF_MAS,ITP_TRAMO_BAJO,CF_CCMIN,"&lt;="&amp;CT116,CF_CCMAX,"&gt;="&amp;CT116),O116*ITP_TIPO)),O116*ITP_TIPO))</f>
        <v/>
      </c>
      <c r="CV116" s="4">
        <f>IF(R116="profesional",N(AK116),0)</f>
        <v/>
      </c>
      <c r="CW116" s="3">
        <f>IF(AND(R116="profesional",ISNUMBER(AK116),AL116="sí"),0,TASA_DGT)</f>
        <v/>
      </c>
      <c r="CX116" s="3">
        <f>INFORME_DGT</f>
        <v/>
      </c>
      <c r="CY116" s="4">
        <f>O116+CV116+CU116+CW116+CX116</f>
        <v/>
      </c>
      <c r="CZ116" s="4">
        <f>CY116+N(CL116)</f>
        <v/>
      </c>
      <c r="DA116" s="3">
        <f>IF(CY116&lt;=TOTAL_MAX,"sí",IF(CY116&lt;=TOTAL_MAX+MARGEN_NEG,"negociar","no"))</f>
        <v/>
      </c>
      <c r="DB116" s="4">
        <f>IF(DA116&lt;&gt;"no",COUNTIFS($DA$2:$DA$130,"&lt;&gt;no",$CS$2:$CS$130,"&gt;"&amp;CS116)+COUNTIFS($DA$2:DA116,"&lt;&gt;no",$CS$2:CS116,CS116),"")</f>
        <v/>
      </c>
    </row>
    <row r="117">
      <c r="A117" s="2" t="inlineStr">
        <is>
          <t>cochesnet:71405714</t>
        </is>
      </c>
      <c r="B117" s="2" t="inlineStr">
        <is>
          <t>cochesnet</t>
        </is>
      </c>
      <c r="C117" s="2" t="inlineStr">
        <is>
          <t>https://www.coches.net/citroen-c3-14i-exclusive-5p-gasolina-2005-en-valencia-71405714-covo.aspx</t>
        </is>
      </c>
      <c r="D117" s="2" t="inlineStr">
        <is>
          <t>CITROEN C3 1.4i Exclusive</t>
        </is>
      </c>
      <c r="E117" s="2" t="inlineStr">
        <is>
          <t>Citroën</t>
        </is>
      </c>
      <c r="F117" s="2" t="inlineStr">
        <is>
          <t>Citroën C3</t>
        </is>
      </c>
      <c r="G117" s="2" t="inlineStr">
        <is>
          <t>1.4</t>
        </is>
      </c>
      <c r="H117" s="2" t="inlineStr">
        <is>
          <t>1.4i Exclusive</t>
        </is>
      </c>
      <c r="I117" s="2" t="n"/>
      <c r="J117" s="2" t="n"/>
      <c r="K117" s="2" t="inlineStr">
        <is>
          <t>gasolina</t>
        </is>
      </c>
      <c r="L117" s="2" t="inlineStr">
        <is>
          <t>utilitario</t>
        </is>
      </c>
      <c r="M117" s="2" t="n">
        <v>2005</v>
      </c>
      <c r="N117" s="2" t="n">
        <v>47000</v>
      </c>
      <c r="O117" s="2" t="n">
        <v>3990</v>
      </c>
      <c r="P117" s="2" t="inlineStr">
        <is>
          <t>manual</t>
        </is>
      </c>
      <c r="Q117" s="2" t="inlineStr">
        <is>
          <t>no</t>
        </is>
      </c>
      <c r="R117" s="2" t="inlineStr">
        <is>
          <t>profesional</t>
        </is>
      </c>
      <c r="S117" s="2" t="inlineStr">
        <is>
          <t>PNG MotorSport Valencia</t>
        </is>
      </c>
      <c r="T117" s="2" t="inlineStr">
        <is>
          <t>2026-08-31T20:23:26Z</t>
        </is>
      </c>
      <c r="U117" s="2" t="n">
        <v>31</v>
      </c>
      <c r="V117" s="2" t="n"/>
      <c r="W117" s="2" t="n"/>
      <c r="X117" s="2" t="n"/>
      <c r="Y117" s="2" t="n"/>
      <c r="Z117" s="2" t="inlineStr">
        <is>
          <t>sí</t>
        </is>
      </c>
      <c r="AA117" s="2" t="n"/>
      <c r="AB117" s="2" t="n">
        <v>12</v>
      </c>
      <c r="AC117" s="2" t="n"/>
      <c r="AD117" s="2" t="n"/>
      <c r="AE117" s="2" t="n"/>
      <c r="AF117" s="2" t="n"/>
      <c r="AG117" s="2" t="n"/>
      <c r="AH117" s="2" t="n">
        <v>3990</v>
      </c>
      <c r="AI117" s="2" t="n"/>
      <c r="AJ117" s="2" t="n"/>
      <c r="AK117" s="2" t="n"/>
      <c r="AL117" s="2" t="n"/>
      <c r="AM117" s="2" t="n">
        <v>0.1</v>
      </c>
      <c r="AN117" s="2" t="n"/>
      <c r="AO117" s="2" t="inlineStr">
        <is>
          <t>2005</t>
        </is>
      </c>
      <c r="AP117" s="2" t="n">
        <v>2005</v>
      </c>
      <c r="AQ117" s="2" t="n"/>
      <c r="AR117" s="2" t="inlineStr">
        <is>
          <t>B</t>
        </is>
      </c>
      <c r="AS117" s="2" t="inlineStr">
        <is>
          <t>anuncio</t>
        </is>
      </c>
      <c r="AT117" s="2" t="n"/>
      <c r="AU117" s="2" t="inlineStr">
        <is>
          <t>no</t>
        </is>
      </c>
      <c r="AV117" s="2" t="inlineStr">
        <is>
          <t>no</t>
        </is>
      </c>
      <c r="AW117" s="2" t="inlineStr">
        <is>
          <t>no</t>
        </is>
      </c>
      <c r="AX117" s="2" t="n">
        <v>2750</v>
      </c>
      <c r="AY117" s="2" t="n">
        <v>42</v>
      </c>
      <c r="AZ117" s="2" t="inlineStr">
        <is>
          <t>modelo+año</t>
        </is>
      </c>
      <c r="BA117" s="2" t="n"/>
      <c r="BB117" s="2" t="inlineStr">
        <is>
          <t>vendedor profesional: sin ITP (operación con IVA/REBU, confirmar en factura); gastos de gestión del vendedor no indicados: se suma la tasa DGT; preguntar el precio final</t>
        </is>
      </c>
      <c r="BC117" s="2" t="inlineStr">
        <is>
          <t xml:space="preserve">Citroen C3 1.4 Gasolina 75CV , año 2005 con 47.000km reales.
Vehículo en perfecto estado, tanto interior como exterior.
Ideal para quienes buscan el utilitario perfecto , eficiente, con muy buen equipamiento, cómodo y con muy poco consumo.
Ofrece un equilibrio perfecto entre comodidad y eficiencia 
Características:
-Motor 1.4 Gasolina con 75 CV
-Año de matriculación 2005
-Transmisión Manual 
-Consumo medio 6.5L/ 100
-Color Verde
-Etiqueta B
-En perfecto estado 
Extras:
-Asientos tela
-Radio CD 
-Climatizador
-Cierre centralizado
-Llantas de aluminio 
-Elevalunas eléctricos  
-Aire acondicionado
-Retrovisores eléctricos 
Y mucho más 
Estado:
-Garantía 1 año
-En perfecto estado de carrocería 
-Perfecto estado de interior 
-Neumáticos en perfecto estado
-Revisión recién hecha
-Con ITV
Condiciones:
-Entrega a domicilio
-Cambio de titularidad 
-Valoramos tu vehículo como parte de pago
El anuncio puede contener errores
</t>
        </is>
      </c>
      <c r="BD117" s="2" t="inlineStr">
        <is>
          <t>https://www.coches.net/citroen-c3-14i-exclusive-5p-gasolina-2005-en-valencia-71405714-covo.aspx (window.__INITIAL_PROPS__.ad) /home/user/Alopecia/buscador-coches/raw/cochesnet/2d713e3e8da09f4b.json</t>
        </is>
      </c>
      <c r="BE117" s="3">
        <f>MAX(ANIO_ACTUAL-M117,0)</f>
        <v/>
      </c>
      <c r="BF117" s="4">
        <f>N117/MAX(BE117,0.5)</f>
        <v/>
      </c>
      <c r="BG117" s="4">
        <f>F117</f>
        <v/>
      </c>
      <c r="BH117" s="3">
        <f>BG117&amp;"|"&amp;INT(M117/SEG_ANIO)*SEG_ANIO</f>
        <v/>
      </c>
      <c r="BI117" s="3">
        <f>BH117&amp;"|"&amp;INT(N117/SEG_KM)*SEG_KM</f>
        <v/>
      </c>
      <c r="BJ117" s="4">
        <f>COUNTIF($BG$2:$BG$130,BG117)</f>
        <v/>
      </c>
      <c r="BK117" s="4">
        <f>COUNTIF($BH$2:$BH$130,BH117)</f>
        <v/>
      </c>
      <c r="BL117" s="4">
        <f>COUNTIF($BI$2:$BI$130,BI117)</f>
        <v/>
      </c>
      <c r="BM117" s="3">
        <f t="array" ref="BM117">IF(N(AY117)&gt;=MIN_N,AX117,IF(BL117&gt;=MIN_N,MEDIAN(IF($BI$2:$BI$130=BI117,$O$2:$O$130)),IF(BK117&gt;=MIN_N,MEDIAN(IF($BH$2:$BH$130=BH117,$O$2:$O$130)),MEDIAN(IF($BG$2:$BG$130=BG117,$O$2:$O$130)))))</f>
        <v/>
      </c>
      <c r="BN117" s="3">
        <f>IF(N(AY117)&gt;=MIN_N,"mercado "&amp;AZ117,IF(BL117&gt;=MIN_N,"modelo+año+km",IF(BK117&gt;=MIN_N,"modelo+año","modelo")))</f>
        <v/>
      </c>
      <c r="BO117" s="4">
        <f>(BM117-O117)/BM117</f>
        <v/>
      </c>
      <c r="BP117" s="3">
        <f>IF(COUNTIFS(FR_FUEL,K117,FR_YEAR,AP117)&gt;0,1,0)</f>
        <v/>
      </c>
      <c r="BQ117" s="3">
        <f>IF(COUNTIFS(FR_FUEL,K117,FR_YEAR,AP117-1)&gt;0,1,0)</f>
        <v/>
      </c>
      <c r="BR117" s="4">
        <f>IF(N(AQ117)&gt;0,AP117*100+AQ117,IF(AND(BP117=1,BQ117=1),(AP117-1)*100+1,AP117*100+1))</f>
        <v/>
      </c>
      <c r="BS117" s="3">
        <f>IF(OR(K117="hibrido",K117="glp",K117="gnc",K117="phev"),"ECO",IF(K117="electrico","CERO",IF(K117="gasolina",IF(BR117&gt;=GAS_C_YM,"C",IF(BR117&gt;=GAS_B_YM,"B","A")),IF(K117="diesel",IF(BR117&gt;=DIE_C_YM,"C",IF(BR117&gt;=DIE_B_YM,"B","A")),""))))</f>
        <v/>
      </c>
      <c r="BT117" s="2" t="inlineStr">
        <is>
          <t>B</t>
        </is>
      </c>
      <c r="BU117" s="4">
        <f>IF(AU117="sí","sí",IF(AS117="regla",IF(AND(N(AQ117)=0,BP117=1),"sí","no"),"no"))</f>
        <v/>
      </c>
      <c r="BV117" s="3">
        <f>IFERROR(VLOOKUP(F117,MOD_TBL,16,0),IFERROR(VLOOKUP(E117,OCU_TBL,2,0),NEUTRO))</f>
        <v/>
      </c>
      <c r="BW117" s="3">
        <f>SUMIFS(MOT_AJUSTE,MOT_MOTOR,G117,MOT_MARCA,E117,MOT_DESDE,"&lt;="&amp;M117,MOT_HASTA,"&gt;="&amp;M117)+SUMIFS(MOT_AJUSTE,MOT_MOTOR,G117,MOT_MARCA,"(todas)",MOT_DESDE,"&lt;="&amp;M117,MOT_HASTA,"&gt;="&amp;M117)+SUMIFS(MOT_AJUSTE,MOT_MOTOR,"(cualquiera)",MOT_MARCA,E117,MOT_DESDE,"&lt;="&amp;M117,MOT_HASTA,"&gt;="&amp;M117)</f>
        <v/>
      </c>
      <c r="BX117" s="3">
        <f>SUMIFS(COMB_AJUSTE,COMB_COMB,K117)</f>
        <v/>
      </c>
      <c r="BY117" s="3">
        <f>COUNTIFS(MOT_MOTOR,G117,MOT_MARCA,E117,MOT_DESDE,"&lt;="&amp;M117,MOT_HASTA,"&gt;="&amp;M117)+COUNTIFS(MOT_MOTOR,G117,MOT_MARCA,"(todas)",MOT_DESDE,"&lt;="&amp;M117,MOT_HASTA,"&gt;="&amp;M117)+COUNTIFS(MOT_MOTOR,"(cualquiera)",MOT_MARCA,E117,MOT_DESDE,"&lt;="&amp;M117,MOT_HASTA,"&gt;="&amp;M117)</f>
        <v/>
      </c>
      <c r="BZ117" s="3">
        <f>IF(AND(K117="diesel",BY117=0),MIN(BV117,NEUTRO),BV117)</f>
        <v/>
      </c>
      <c r="CA117" s="3">
        <f>MAX(0,MIN(100,BZ117+BW117+BX117-IF(AV117="sí",ROB_PEN,0)))</f>
        <v/>
      </c>
      <c r="CB117" s="3">
        <f>100-MAX(0,N117-KM_TOPE_DESDE)/1000*KM_TOPE_PTS</f>
        <v/>
      </c>
      <c r="CC117" s="3">
        <f>MAX(0,MIN(100,50+BO117*PRECIO_PEND,CB117))</f>
        <v/>
      </c>
      <c r="CD117" s="3">
        <f>MAX(0,100*(1-N117/KM_MAX))</f>
        <v/>
      </c>
      <c r="CE117" s="3">
        <f>IF(BF117&lt;KMA_SOSP,IF(AA117="sí",100,KMA_PEN),IF(BF117&lt;=KMA_IDEAL_MAX,100,MAX(0,100*(KMA_CERO-BF117)/(KMA_CERO-KMA_IDEAL_MAX))))</f>
        <v/>
      </c>
      <c r="CF117" s="3">
        <f>MAX(0,MIN(100,100*(M117-ANIO_MIN)/(ANIO_ACTUAL-ANIO_MIN)))</f>
        <v/>
      </c>
      <c r="CG117" s="3">
        <f>W_KMT*CD117+W_KMA*CE117+W_EDAD*CF117</f>
        <v/>
      </c>
      <c r="CH117" s="3">
        <f>P_ITV*(V117="sí")+P_LIBRO*(W117="sí")+P_CORREA*(X117="sí")+P_PROP*(Y117=1)+P_GAR*(Z117="sí")+P_FOTOS*MIN(1,N(U117)/FOTOS_OBJ)</f>
        <v/>
      </c>
      <c r="CI117" s="3">
        <f>MAX(0,MIN(100,IFERROR(VLOOKUP(BT117,ETQ_TBL,2,0),0)-IF(BU117="sí",ETQ_PEN_DUD,IF(AS117="regla",ETQ_PEN_REGLA,0))))</f>
        <v/>
      </c>
      <c r="CJ117" s="3">
        <f>IF(K117&lt;&gt;"gasolina","",IFERROR(VLOOKUP(F117,CONS_MOD_TBL,2,0),IFERROR(VLOOKUP(L117,CONS_SEG_TBL,2,0),"")))</f>
        <v/>
      </c>
      <c r="CK117" s="3">
        <f>IF(CJ117="",NEUTRO,MAX(0,MIN(100,100*(CONS_REF_MAX-CJ117)/(CONS_REF_MAX-CONS_REF_MIN))))</f>
        <v/>
      </c>
      <c r="CL117" s="3">
        <f>IFERROR(VLOOKUP(L117,SEGURO_TBL,3,0),"")</f>
        <v/>
      </c>
      <c r="CM117" s="3">
        <f>IF(CL117="",NEUTRO,MAX(0,MIN(100,100*(SEG_REF_MAX-CL117)/(SEG_REF_MAX-SEG_REF_MIN))))</f>
        <v/>
      </c>
      <c r="CN117" s="3">
        <f>W_CONS*CK117+W_SEG*CM117</f>
        <v/>
      </c>
      <c r="CO117" s="3">
        <f>IF(N(AB117)&gt;0,AB117,IF(AND(R117="profesional",SG_LEGAL_ON=1),GAR_LEGAL,0))</f>
        <v/>
      </c>
      <c r="CP117" s="3">
        <f>SG_GAR*MIN(1,CO117/SG_GAR_FULL)+SG_AMPL*(AC117="sí")+SG_KMC*(AF117="sí")+SG_REV*(N(AE117)&gt;0)+SG_DEV*MIN(1,N(AG117)/SG_DEV_FULL)+SG_HIST*(W117="sí")</f>
        <v/>
      </c>
      <c r="CQ117" s="3">
        <f>IF(AW117="sí",ESTILO_PRIO,IFERROR(VLOOKUP(L117,ESTILO_TBL,2,0),NEUTRO))</f>
        <v/>
      </c>
      <c r="CR117" s="3">
        <f>IFERROR(VLOOKUP(L117,CARR_PEN_TBL,2,0),0)</f>
        <v/>
      </c>
      <c r="CS117" s="3">
        <f>W_FIAB*CA117+W_PRECIO*CC117+W_KMEDAD*CG117+W_ANUNCIO*CH117+W_USO*CN117+W_SEGURIDAD*CP117+W_ETIQUETA*CI117+W_ESTILO*CQ117-CR117</f>
        <v/>
      </c>
      <c r="CT117" s="4">
        <f>IF(N(I117)&gt;0,I117,IFERROR(ROUND(_xlfn.NUMBERVALUE(LEFT(G117,FIND(" ",G117&amp;" ")-1),".")*1000,0),99999))</f>
        <v/>
      </c>
      <c r="CU117" s="3">
        <f>IF(R117="profesional",0,IF(O117&lt;CUOTA_VALOR_MAX,IF(BE117&gt;ITP_TRAMO_ALTO,SUMIFS(CF_CUOTA,CF_MAS,ITP_TRAMO_ALTO,CF_CCMIN,"&lt;="&amp;CT117,CF_CCMAX,"&gt;="&amp;CT117),IF(BE117&gt;ITP_TRAMO_BAJO,SUMIFS(CF_CUOTA,CF_MAS,ITP_TRAMO_BAJO,CF_CCMIN,"&lt;="&amp;CT117,CF_CCMAX,"&gt;="&amp;CT117),O117*ITP_TIPO)),O117*ITP_TIPO))</f>
        <v/>
      </c>
      <c r="CV117" s="4">
        <f>IF(R117="profesional",N(AK117),0)</f>
        <v/>
      </c>
      <c r="CW117" s="3">
        <f>IF(AND(R117="profesional",ISNUMBER(AK117),AL117="sí"),0,TASA_DGT)</f>
        <v/>
      </c>
      <c r="CX117" s="3">
        <f>INFORME_DGT</f>
        <v/>
      </c>
      <c r="CY117" s="4">
        <f>O117+CV117+CU117+CW117+CX117</f>
        <v/>
      </c>
      <c r="CZ117" s="4">
        <f>CY117+N(CL117)</f>
        <v/>
      </c>
      <c r="DA117" s="3">
        <f>IF(CY117&lt;=TOTAL_MAX,"sí",IF(CY117&lt;=TOTAL_MAX+MARGEN_NEG,"negociar","no"))</f>
        <v/>
      </c>
      <c r="DB117" s="4">
        <f>IF(DA117&lt;&gt;"no",COUNTIFS($DA$2:$DA$130,"&lt;&gt;no",$CS$2:$CS$130,"&gt;"&amp;CS117)+COUNTIFS($DA$2:DA117,"&lt;&gt;no",$CS$2:CS117,CS117),"")</f>
        <v/>
      </c>
    </row>
    <row r="118">
      <c r="A118" s="2" t="inlineStr">
        <is>
          <t>cochesnet:71594001</t>
        </is>
      </c>
      <c r="B118" s="2" t="inlineStr">
        <is>
          <t>cochesnet</t>
        </is>
      </c>
      <c r="C118" s="2" t="inlineStr">
        <is>
          <t>https://www.coches.net/ford-fusion-16-16v-elegance-5p-gasolina-2004-en-valencia-71594001-covo.aspx</t>
        </is>
      </c>
      <c r="D118" s="2" t="inlineStr">
        <is>
          <t>FORD Fusion 1.6 16v Elegance</t>
        </is>
      </c>
      <c r="E118" s="2" t="inlineStr">
        <is>
          <t>Ford</t>
        </is>
      </c>
      <c r="F118" s="2" t="inlineStr">
        <is>
          <t>Ford Fusion</t>
        </is>
      </c>
      <c r="G118" s="2" t="inlineStr">
        <is>
          <t>1.6</t>
        </is>
      </c>
      <c r="H118" s="2" t="inlineStr">
        <is>
          <t>1.6 16v Elegance</t>
        </is>
      </c>
      <c r="I118" s="2" t="n"/>
      <c r="J118" s="2" t="n"/>
      <c r="K118" s="2" t="inlineStr">
        <is>
          <t>gasolina</t>
        </is>
      </c>
      <c r="L118" s="2" t="inlineStr">
        <is>
          <t>monovolumen_pequeno</t>
        </is>
      </c>
      <c r="M118" s="2" t="n">
        <v>2003</v>
      </c>
      <c r="N118" s="2" t="n">
        <v>120000</v>
      </c>
      <c r="O118" s="2" t="n">
        <v>4700</v>
      </c>
      <c r="P118" s="2" t="inlineStr">
        <is>
          <t>manual</t>
        </is>
      </c>
      <c r="Q118" s="2" t="inlineStr">
        <is>
          <t>no</t>
        </is>
      </c>
      <c r="R118" s="2" t="inlineStr">
        <is>
          <t>profesional</t>
        </is>
      </c>
      <c r="S118" s="2" t="inlineStr">
        <is>
          <t>Vlc detailing Cars Valencia</t>
        </is>
      </c>
      <c r="T118" s="2" t="inlineStr">
        <is>
          <t>2026-09-24T22:48:11Z</t>
        </is>
      </c>
      <c r="U118" s="2" t="n">
        <v>22</v>
      </c>
      <c r="V118" s="2" t="inlineStr">
        <is>
          <t>sí</t>
        </is>
      </c>
      <c r="W118" s="2" t="n"/>
      <c r="X118" s="2" t="inlineStr">
        <is>
          <t>sí</t>
        </is>
      </c>
      <c r="Y118" s="2" t="n">
        <v>1</v>
      </c>
      <c r="Z118" s="2" t="inlineStr">
        <is>
          <t>sí</t>
        </is>
      </c>
      <c r="AA118" s="2" t="n"/>
      <c r="AB118" s="2" t="n">
        <v>12</v>
      </c>
      <c r="AC118" s="2" t="n"/>
      <c r="AD118" s="2" t="n"/>
      <c r="AE118" s="2" t="n"/>
      <c r="AF118" s="2" t="n"/>
      <c r="AG118" s="2" t="n"/>
      <c r="AH118" s="2" t="n">
        <v>4700</v>
      </c>
      <c r="AI118" s="2" t="n"/>
      <c r="AJ118" s="2" t="n"/>
      <c r="AK118" s="2" t="n"/>
      <c r="AL118" s="2" t="n"/>
      <c r="AM118" s="2" t="n">
        <v>0.1</v>
      </c>
      <c r="AN118" s="2" t="n"/>
      <c r="AO118" s="2" t="inlineStr">
        <is>
          <t>2003</t>
        </is>
      </c>
      <c r="AP118" s="2" t="n">
        <v>2003</v>
      </c>
      <c r="AQ118" s="2" t="n"/>
      <c r="AR118" s="2" t="inlineStr">
        <is>
          <t>B</t>
        </is>
      </c>
      <c r="AS118" s="2" t="inlineStr">
        <is>
          <t>anuncio</t>
        </is>
      </c>
      <c r="AT118" s="2" t="n">
        <v>2004</v>
      </c>
      <c r="AU118" s="2" t="inlineStr">
        <is>
          <t>no</t>
        </is>
      </c>
      <c r="AV118" s="2" t="inlineStr">
        <is>
          <t>no</t>
        </is>
      </c>
      <c r="AW118" s="2" t="inlineStr">
        <is>
          <t>no</t>
        </is>
      </c>
      <c r="AX118" s="2" t="n"/>
      <c r="AY118" s="2" t="n"/>
      <c r="AZ118" s="2" t="n"/>
      <c r="BA118" s="2" t="n"/>
      <c r="BB118" s="2" t="inlineStr">
        <is>
          <t>año a confirmar: la URL/título dice 2004; vendedor profesional: sin ITP (operación con IVA/REBU, confirmar en factura); gastos de gestión del vendedor no indicados: se suma la tasa DGT; preguntar el precio final; carrocería monovolumen_pequeno: -6 puntos; fiabilidad del modelo PENDIENTE de fuente (puntuación neutra); mediana con solo 2 anuncio(s)</t>
        </is>
      </c>
      <c r="BC118" s="2" t="inlineStr">
        <is>
          <t>??FORD FUSION 1.6 Gasolina 16v Elegance   Año 2003 manual 5 velocidades 100CV  SOLAMENTE 120.000 Kms UNICO  DUEÑO!
?Etiqueta B
?CAMBIO DE NOMBRE INCLUIDO 
? 12 MESES DE GARANTÍA 
?ITV 9/2027 Recién pasada
?120.000kms
?1 Propietario
?Matriculación 10/2003
?2 llaves
?Mantenimiento de aceite y filtros recién hecho
?Distribución hecha en 2022 
?4 Ruedas nuevas 
?Batería nueva 
?Aire acondicionado 
?Espejos eléctricos  
Motor 1.6 gasolina 16V – 100 CV (FYJA). Motor atmosférico, sencillo y fiable, con distribución por correa. Destaca por su mantenimiento relativamente económico y buena durabilidad, ideal para uso diario.</t>
        </is>
      </c>
      <c r="BD118" s="2" t="inlineStr">
        <is>
          <t>https://www.coches.net/ford-fusion-16-16v-elegance-5p-gasolina-2004-en-valencia-71594001-covo.aspx (window.__INITIAL_PROPS__.ad) /home/user/Alopecia/buscador-coches/raw/cochesnet/7c6f67f04ed0a392.json</t>
        </is>
      </c>
      <c r="BE118" s="3">
        <f>MAX(ANIO_ACTUAL-M118,0)</f>
        <v/>
      </c>
      <c r="BF118" s="4">
        <f>N118/MAX(BE118,0.5)</f>
        <v/>
      </c>
      <c r="BG118" s="4">
        <f>F118</f>
        <v/>
      </c>
      <c r="BH118" s="3">
        <f>BG118&amp;"|"&amp;INT(M118/SEG_ANIO)*SEG_ANIO</f>
        <v/>
      </c>
      <c r="BI118" s="3">
        <f>BH118&amp;"|"&amp;INT(N118/SEG_KM)*SEG_KM</f>
        <v/>
      </c>
      <c r="BJ118" s="4">
        <f>COUNTIF($BG$2:$BG$130,BG118)</f>
        <v/>
      </c>
      <c r="BK118" s="4">
        <f>COUNTIF($BH$2:$BH$130,BH118)</f>
        <v/>
      </c>
      <c r="BL118" s="4">
        <f>COUNTIF($BI$2:$BI$130,BI118)</f>
        <v/>
      </c>
      <c r="BM118" s="3">
        <f t="array" ref="BM118">IF(N(AY118)&gt;=MIN_N,AX118,IF(BL118&gt;=MIN_N,MEDIAN(IF($BI$2:$BI$130=BI118,$O$2:$O$130)),IF(BK118&gt;=MIN_N,MEDIAN(IF($BH$2:$BH$130=BH118,$O$2:$O$130)),MEDIAN(IF($BG$2:$BG$130=BG118,$O$2:$O$130)))))</f>
        <v/>
      </c>
      <c r="BN118" s="3">
        <f>IF(N(AY118)&gt;=MIN_N,"mercado "&amp;AZ118,IF(BL118&gt;=MIN_N,"modelo+año+km",IF(BK118&gt;=MIN_N,"modelo+año","modelo")))</f>
        <v/>
      </c>
      <c r="BO118" s="4">
        <f>(BM118-O118)/BM118</f>
        <v/>
      </c>
      <c r="BP118" s="3">
        <f>IF(COUNTIFS(FR_FUEL,K118,FR_YEAR,AP118)&gt;0,1,0)</f>
        <v/>
      </c>
      <c r="BQ118" s="3">
        <f>IF(COUNTIFS(FR_FUEL,K118,FR_YEAR,AP118-1)&gt;0,1,0)</f>
        <v/>
      </c>
      <c r="BR118" s="4">
        <f>IF(N(AQ118)&gt;0,AP118*100+AQ118,IF(AND(BP118=1,BQ118=1),(AP118-1)*100+1,AP118*100+1))</f>
        <v/>
      </c>
      <c r="BS118" s="3">
        <f>IF(OR(K118="hibrido",K118="glp",K118="gnc",K118="phev"),"ECO",IF(K118="electrico","CERO",IF(K118="gasolina",IF(BR118&gt;=GAS_C_YM,"C",IF(BR118&gt;=GAS_B_YM,"B","A")),IF(K118="diesel",IF(BR118&gt;=DIE_C_YM,"C",IF(BR118&gt;=DIE_B_YM,"B","A")),""))))</f>
        <v/>
      </c>
      <c r="BT118" s="2" t="inlineStr">
        <is>
          <t>B</t>
        </is>
      </c>
      <c r="BU118" s="4">
        <f>IF(AU118="sí","sí",IF(AS118="regla",IF(AND(N(AQ118)=0,BP118=1),"sí","no"),"no"))</f>
        <v/>
      </c>
      <c r="BV118" s="3">
        <f>IFERROR(VLOOKUP(F118,MOD_TBL,16,0),IFERROR(VLOOKUP(E118,OCU_TBL,2,0),NEUTRO))</f>
        <v/>
      </c>
      <c r="BW118" s="3">
        <f>SUMIFS(MOT_AJUSTE,MOT_MOTOR,G118,MOT_MARCA,E118,MOT_DESDE,"&lt;="&amp;M118,MOT_HASTA,"&gt;="&amp;M118)+SUMIFS(MOT_AJUSTE,MOT_MOTOR,G118,MOT_MARCA,"(todas)",MOT_DESDE,"&lt;="&amp;M118,MOT_HASTA,"&gt;="&amp;M118)+SUMIFS(MOT_AJUSTE,MOT_MOTOR,"(cualquiera)",MOT_MARCA,E118,MOT_DESDE,"&lt;="&amp;M118,MOT_HASTA,"&gt;="&amp;M118)</f>
        <v/>
      </c>
      <c r="BX118" s="3">
        <f>SUMIFS(COMB_AJUSTE,COMB_COMB,K118)</f>
        <v/>
      </c>
      <c r="BY118" s="3">
        <f>COUNTIFS(MOT_MOTOR,G118,MOT_MARCA,E118,MOT_DESDE,"&lt;="&amp;M118,MOT_HASTA,"&gt;="&amp;M118)+COUNTIFS(MOT_MOTOR,G118,MOT_MARCA,"(todas)",MOT_DESDE,"&lt;="&amp;M118,MOT_HASTA,"&gt;="&amp;M118)+COUNTIFS(MOT_MOTOR,"(cualquiera)",MOT_MARCA,E118,MOT_DESDE,"&lt;="&amp;M118,MOT_HASTA,"&gt;="&amp;M118)</f>
        <v/>
      </c>
      <c r="BZ118" s="3">
        <f>IF(AND(K118="diesel",BY118=0),MIN(BV118,NEUTRO),BV118)</f>
        <v/>
      </c>
      <c r="CA118" s="3">
        <f>MAX(0,MIN(100,BZ118+BW118+BX118-IF(AV118="sí",ROB_PEN,0)))</f>
        <v/>
      </c>
      <c r="CB118" s="3">
        <f>100-MAX(0,N118-KM_TOPE_DESDE)/1000*KM_TOPE_PTS</f>
        <v/>
      </c>
      <c r="CC118" s="3">
        <f>MAX(0,MIN(100,50+BO118*PRECIO_PEND,CB118))</f>
        <v/>
      </c>
      <c r="CD118" s="3">
        <f>MAX(0,100*(1-N118/KM_MAX))</f>
        <v/>
      </c>
      <c r="CE118" s="3">
        <f>IF(BF118&lt;KMA_SOSP,IF(AA118="sí",100,KMA_PEN),IF(BF118&lt;=KMA_IDEAL_MAX,100,MAX(0,100*(KMA_CERO-BF118)/(KMA_CERO-KMA_IDEAL_MAX))))</f>
        <v/>
      </c>
      <c r="CF118" s="3">
        <f>MAX(0,MIN(100,100*(M118-ANIO_MIN)/(ANIO_ACTUAL-ANIO_MIN)))</f>
        <v/>
      </c>
      <c r="CG118" s="3">
        <f>W_KMT*CD118+W_KMA*CE118+W_EDAD*CF118</f>
        <v/>
      </c>
      <c r="CH118" s="3">
        <f>P_ITV*(V118="sí")+P_LIBRO*(W118="sí")+P_CORREA*(X118="sí")+P_PROP*(Y118=1)+P_GAR*(Z118="sí")+P_FOTOS*MIN(1,N(U118)/FOTOS_OBJ)</f>
        <v/>
      </c>
      <c r="CI118" s="3">
        <f>MAX(0,MIN(100,IFERROR(VLOOKUP(BT118,ETQ_TBL,2,0),0)-IF(BU118="sí",ETQ_PEN_DUD,IF(AS118="regla",ETQ_PEN_REGLA,0))))</f>
        <v/>
      </c>
      <c r="CJ118" s="3">
        <f>IF(K118&lt;&gt;"gasolina","",IFERROR(VLOOKUP(F118,CONS_MOD_TBL,2,0),IFERROR(VLOOKUP(L118,CONS_SEG_TBL,2,0),"")))</f>
        <v/>
      </c>
      <c r="CK118" s="3">
        <f>IF(CJ118="",NEUTRO,MAX(0,MIN(100,100*(CONS_REF_MAX-CJ118)/(CONS_REF_MAX-CONS_REF_MIN))))</f>
        <v/>
      </c>
      <c r="CL118" s="3">
        <f>IFERROR(VLOOKUP(L118,SEGURO_TBL,3,0),"")</f>
        <v/>
      </c>
      <c r="CM118" s="3">
        <f>IF(CL118="",NEUTRO,MAX(0,MIN(100,100*(SEG_REF_MAX-CL118)/(SEG_REF_MAX-SEG_REF_MIN))))</f>
        <v/>
      </c>
      <c r="CN118" s="3">
        <f>W_CONS*CK118+W_SEG*CM118</f>
        <v/>
      </c>
      <c r="CO118" s="3">
        <f>IF(N(AB118)&gt;0,AB118,IF(AND(R118="profesional",SG_LEGAL_ON=1),GAR_LEGAL,0))</f>
        <v/>
      </c>
      <c r="CP118" s="3">
        <f>SG_GAR*MIN(1,CO118/SG_GAR_FULL)+SG_AMPL*(AC118="sí")+SG_KMC*(AF118="sí")+SG_REV*(N(AE118)&gt;0)+SG_DEV*MIN(1,N(AG118)/SG_DEV_FULL)+SG_HIST*(W118="sí")</f>
        <v/>
      </c>
      <c r="CQ118" s="3">
        <f>IF(AW118="sí",ESTILO_PRIO,IFERROR(VLOOKUP(L118,ESTILO_TBL,2,0),NEUTRO))</f>
        <v/>
      </c>
      <c r="CR118" s="3">
        <f>IFERROR(VLOOKUP(L118,CARR_PEN_TBL,2,0),0)</f>
        <v/>
      </c>
      <c r="CS118" s="3">
        <f>W_FIAB*CA118+W_PRECIO*CC118+W_KMEDAD*CG118+W_ANUNCIO*CH118+W_USO*CN118+W_SEGURIDAD*CP118+W_ETIQUETA*CI118+W_ESTILO*CQ118-CR118</f>
        <v/>
      </c>
      <c r="CT118" s="4">
        <f>IF(N(I118)&gt;0,I118,IFERROR(ROUND(_xlfn.NUMBERVALUE(LEFT(G118,FIND(" ",G118&amp;" ")-1),".")*1000,0),99999))</f>
        <v/>
      </c>
      <c r="CU118" s="3">
        <f>IF(R118="profesional",0,IF(O118&lt;CUOTA_VALOR_MAX,IF(BE118&gt;ITP_TRAMO_ALTO,SUMIFS(CF_CUOTA,CF_MAS,ITP_TRAMO_ALTO,CF_CCMIN,"&lt;="&amp;CT118,CF_CCMAX,"&gt;="&amp;CT118),IF(BE118&gt;ITP_TRAMO_BAJO,SUMIFS(CF_CUOTA,CF_MAS,ITP_TRAMO_BAJO,CF_CCMIN,"&lt;="&amp;CT118,CF_CCMAX,"&gt;="&amp;CT118),O118*ITP_TIPO)),O118*ITP_TIPO))</f>
        <v/>
      </c>
      <c r="CV118" s="4">
        <f>IF(R118="profesional",N(AK118),0)</f>
        <v/>
      </c>
      <c r="CW118" s="3">
        <f>IF(AND(R118="profesional",ISNUMBER(AK118),AL118="sí"),0,TASA_DGT)</f>
        <v/>
      </c>
      <c r="CX118" s="3">
        <f>INFORME_DGT</f>
        <v/>
      </c>
      <c r="CY118" s="4">
        <f>O118+CV118+CU118+CW118+CX118</f>
        <v/>
      </c>
      <c r="CZ118" s="4">
        <f>CY118+N(CL118)</f>
        <v/>
      </c>
      <c r="DA118" s="3">
        <f>IF(CY118&lt;=TOTAL_MAX,"sí",IF(CY118&lt;=TOTAL_MAX+MARGEN_NEG,"negociar","no"))</f>
        <v/>
      </c>
      <c r="DB118" s="4">
        <f>IF(DA118&lt;&gt;"no",COUNTIFS($DA$2:$DA$130,"&lt;&gt;no",$CS$2:$CS$130,"&gt;"&amp;CS118)+COUNTIFS($DA$2:DA118,"&lt;&gt;no",$CS$2:CS118,CS118),"")</f>
        <v/>
      </c>
    </row>
    <row r="119">
      <c r="A119" s="2" t="inlineStr">
        <is>
          <t>cochesnet:71857690</t>
        </is>
      </c>
      <c r="B119" s="2" t="inlineStr">
        <is>
          <t>cochesnet</t>
        </is>
      </c>
      <c r="C119" s="2" t="inlineStr">
        <is>
          <t>https://www.coches.net/ford-mondeo-20-tdci-futura-5p-diesel-2005-en-valencia-71857690-covo.aspx</t>
        </is>
      </c>
      <c r="D119" s="2" t="inlineStr">
        <is>
          <t>FORD Mondeo 2.0 TDCi Futura</t>
        </is>
      </c>
      <c r="E119" s="2" t="inlineStr">
        <is>
          <t>Ford</t>
        </is>
      </c>
      <c r="F119" s="2" t="inlineStr">
        <is>
          <t>Ford Mondeo</t>
        </is>
      </c>
      <c r="G119" s="2" t="inlineStr">
        <is>
          <t>2.0 TDCi</t>
        </is>
      </c>
      <c r="H119" s="2" t="inlineStr">
        <is>
          <t>2.0 TDCi Futura</t>
        </is>
      </c>
      <c r="I119" s="2" t="n"/>
      <c r="J119" s="2" t="n"/>
      <c r="K119" s="2" t="inlineStr">
        <is>
          <t>diesel</t>
        </is>
      </c>
      <c r="L119" s="2" t="inlineStr">
        <is>
          <t>berlina_d</t>
        </is>
      </c>
      <c r="M119" s="2" t="n">
        <v>2005</v>
      </c>
      <c r="N119" s="2" t="n">
        <v>100000</v>
      </c>
      <c r="O119" s="2" t="n">
        <v>4990</v>
      </c>
      <c r="P119" s="2" t="inlineStr">
        <is>
          <t>manual</t>
        </is>
      </c>
      <c r="Q119" s="2" t="inlineStr">
        <is>
          <t>no</t>
        </is>
      </c>
      <c r="R119" s="2" t="inlineStr">
        <is>
          <t>profesional</t>
        </is>
      </c>
      <c r="S119" s="2" t="inlineStr">
        <is>
          <t>AutoEco Valencia</t>
        </is>
      </c>
      <c r="T119" s="2" t="inlineStr">
        <is>
          <t>2026-10-28T22:14:02Z</t>
        </is>
      </c>
      <c r="U119" s="2" t="n">
        <v>14</v>
      </c>
      <c r="V119" s="2" t="n"/>
      <c r="W119" s="2" t="inlineStr">
        <is>
          <t>sí</t>
        </is>
      </c>
      <c r="X119" s="2" t="n"/>
      <c r="Y119" s="2" t="n">
        <v>1</v>
      </c>
      <c r="Z119" s="2" t="inlineStr">
        <is>
          <t>sí</t>
        </is>
      </c>
      <c r="AA119" s="2" t="inlineStr">
        <is>
          <t>sí</t>
        </is>
      </c>
      <c r="AB119" s="2" t="n">
        <v>12</v>
      </c>
      <c r="AC119" s="2" t="n"/>
      <c r="AD119" s="2" t="n"/>
      <c r="AE119" s="2" t="n"/>
      <c r="AF119" s="2" t="inlineStr">
        <is>
          <t>sí</t>
        </is>
      </c>
      <c r="AG119" s="2" t="n"/>
      <c r="AH119" s="2" t="n">
        <v>4990</v>
      </c>
      <c r="AI119" s="2" t="n">
        <v>4490</v>
      </c>
      <c r="AJ119" s="2" t="n"/>
      <c r="AK119" s="2" t="n"/>
      <c r="AL119" s="2" t="n"/>
      <c r="AM119" s="2" t="n">
        <v>0.1</v>
      </c>
      <c r="AN119" s="2" t="n"/>
      <c r="AO119" s="2" t="inlineStr">
        <is>
          <t>2005</t>
        </is>
      </c>
      <c r="AP119" s="2" t="n">
        <v>2005</v>
      </c>
      <c r="AQ119" s="2" t="n"/>
      <c r="AR119" s="2" t="inlineStr">
        <is>
          <t>B</t>
        </is>
      </c>
      <c r="AS119" s="2" t="inlineStr">
        <is>
          <t>anuncio</t>
        </is>
      </c>
      <c r="AT119" s="2" t="n"/>
      <c r="AU119" s="2" t="inlineStr">
        <is>
          <t>no</t>
        </is>
      </c>
      <c r="AV119" s="2" t="inlineStr">
        <is>
          <t>no</t>
        </is>
      </c>
      <c r="AW119" s="2" t="inlineStr">
        <is>
          <t>no</t>
        </is>
      </c>
      <c r="AX119" s="2" t="n">
        <v>2200</v>
      </c>
      <c r="AY119" s="2" t="n">
        <v>21</v>
      </c>
      <c r="AZ119" s="2" t="inlineStr">
        <is>
          <t>modelo+año</t>
        </is>
      </c>
      <c r="BA119" s="2" t="n"/>
      <c r="BB119"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 fiabilidad del modelo PENDIENTE de fuente (puntuación neutra)</t>
        </is>
      </c>
      <c r="BC119" s="2" t="inlineStr">
        <is>
          <t xml:space="preserve">-AUTOECO- 
*Concesionario Vehículos Ocasión multimarca. 
*Avenida Espioca 193 Silla Valencia 46460, Valencia*
*Lunes a Viernes 9h a 14h y 16h a 20h*
*Sábados 10h a 14h tarde y domingos atendemos con cita previa*
FINANCIACIÓN A SU MEDIDA sin necesidad de entrada, consulte sin compromiso.
DESTACADO: 
-Vehículo nacional.
-Único propietario con tan solo 100,000Km certificados.
-Motor 2.0TDCi 130cv 6velocidades sin duda el mejor de la marca.
-Dispone de uno de los acabados más altos de la gama.
-Llantas de aleación 17 pulgadas.
-Sensor de luces automáticos.
-Asientos de piel mixta.
-Radio CD/AUX.
-Climatizador digital bi-zona.
-Gran espacio interior y amplitud de maletero.
- 1 año de Garantía incluida en precio con opción de ampliación. 
*Se entrega con ITV y mantenimiento al día, listo para circular.*
Este anuncio puede contener algún error tipográfico o de transcripción. 
Para más información contacten sin compromiso.
</t>
        </is>
      </c>
      <c r="BD119" s="2" t="inlineStr">
        <is>
          <t>https://www.coches.net/ford-mondeo-20-tdci-futura-5p-diesel-2005-en-valencia-71857690-covo.aspx (window.__INITIAL_PROPS__.ad) /home/user/Alopecia/buscador-coches/raw/cochesnet/50514dcb27dd2fe9.json</t>
        </is>
      </c>
      <c r="BE119" s="3">
        <f>MAX(ANIO_ACTUAL-M119,0)</f>
        <v/>
      </c>
      <c r="BF119" s="4">
        <f>N119/MAX(BE119,0.5)</f>
        <v/>
      </c>
      <c r="BG119" s="4">
        <f>F119</f>
        <v/>
      </c>
      <c r="BH119" s="3">
        <f>BG119&amp;"|"&amp;INT(M119/SEG_ANIO)*SEG_ANIO</f>
        <v/>
      </c>
      <c r="BI119" s="3">
        <f>BH119&amp;"|"&amp;INT(N119/SEG_KM)*SEG_KM</f>
        <v/>
      </c>
      <c r="BJ119" s="4">
        <f>COUNTIF($BG$2:$BG$130,BG119)</f>
        <v/>
      </c>
      <c r="BK119" s="4">
        <f>COUNTIF($BH$2:$BH$130,BH119)</f>
        <v/>
      </c>
      <c r="BL119" s="4">
        <f>COUNTIF($BI$2:$BI$130,BI119)</f>
        <v/>
      </c>
      <c r="BM119" s="3">
        <f t="array" ref="BM119">IF(N(AY119)&gt;=MIN_N,AX119,IF(BL119&gt;=MIN_N,MEDIAN(IF($BI$2:$BI$130=BI119,$O$2:$O$130)),IF(BK119&gt;=MIN_N,MEDIAN(IF($BH$2:$BH$130=BH119,$O$2:$O$130)),MEDIAN(IF($BG$2:$BG$130=BG119,$O$2:$O$130)))))</f>
        <v/>
      </c>
      <c r="BN119" s="3">
        <f>IF(N(AY119)&gt;=MIN_N,"mercado "&amp;AZ119,IF(BL119&gt;=MIN_N,"modelo+año+km",IF(BK119&gt;=MIN_N,"modelo+año","modelo")))</f>
        <v/>
      </c>
      <c r="BO119" s="4">
        <f>(BM119-O119)/BM119</f>
        <v/>
      </c>
      <c r="BP119" s="3">
        <f>IF(COUNTIFS(FR_FUEL,K119,FR_YEAR,AP119)&gt;0,1,0)</f>
        <v/>
      </c>
      <c r="BQ119" s="3">
        <f>IF(COUNTIFS(FR_FUEL,K119,FR_YEAR,AP119-1)&gt;0,1,0)</f>
        <v/>
      </c>
      <c r="BR119" s="4">
        <f>IF(N(AQ119)&gt;0,AP119*100+AQ119,IF(AND(BP119=1,BQ119=1),(AP119-1)*100+1,AP119*100+1))</f>
        <v/>
      </c>
      <c r="BS119" s="3">
        <f>IF(OR(K119="hibrido",K119="glp",K119="gnc",K119="phev"),"ECO",IF(K119="electrico","CERO",IF(K119="gasolina",IF(BR119&gt;=GAS_C_YM,"C",IF(BR119&gt;=GAS_B_YM,"B","A")),IF(K119="diesel",IF(BR119&gt;=DIE_C_YM,"C",IF(BR119&gt;=DIE_B_YM,"B","A")),""))))</f>
        <v/>
      </c>
      <c r="BT119" s="2" t="inlineStr">
        <is>
          <t>B</t>
        </is>
      </c>
      <c r="BU119" s="4">
        <f>IF(AU119="sí","sí",IF(AS119="regla",IF(AND(N(AQ119)=0,BP119=1),"sí","no"),"no"))</f>
        <v/>
      </c>
      <c r="BV119" s="3">
        <f>IFERROR(VLOOKUP(F119,MOD_TBL,16,0),IFERROR(VLOOKUP(E119,OCU_TBL,2,0),NEUTRO))</f>
        <v/>
      </c>
      <c r="BW119" s="3">
        <f>SUMIFS(MOT_AJUSTE,MOT_MOTOR,G119,MOT_MARCA,E119,MOT_DESDE,"&lt;="&amp;M119,MOT_HASTA,"&gt;="&amp;M119)+SUMIFS(MOT_AJUSTE,MOT_MOTOR,G119,MOT_MARCA,"(todas)",MOT_DESDE,"&lt;="&amp;M119,MOT_HASTA,"&gt;="&amp;M119)+SUMIFS(MOT_AJUSTE,MOT_MOTOR,"(cualquiera)",MOT_MARCA,E119,MOT_DESDE,"&lt;="&amp;M119,MOT_HASTA,"&gt;="&amp;M119)</f>
        <v/>
      </c>
      <c r="BX119" s="3">
        <f>SUMIFS(COMB_AJUSTE,COMB_COMB,K119)</f>
        <v/>
      </c>
      <c r="BY119" s="3">
        <f>COUNTIFS(MOT_MOTOR,G119,MOT_MARCA,E119,MOT_DESDE,"&lt;="&amp;M119,MOT_HASTA,"&gt;="&amp;M119)+COUNTIFS(MOT_MOTOR,G119,MOT_MARCA,"(todas)",MOT_DESDE,"&lt;="&amp;M119,MOT_HASTA,"&gt;="&amp;M119)+COUNTIFS(MOT_MOTOR,"(cualquiera)",MOT_MARCA,E119,MOT_DESDE,"&lt;="&amp;M119,MOT_HASTA,"&gt;="&amp;M119)</f>
        <v/>
      </c>
      <c r="BZ119" s="3">
        <f>IF(AND(K119="diesel",BY119=0),MIN(BV119,NEUTRO),BV119)</f>
        <v/>
      </c>
      <c r="CA119" s="3">
        <f>MAX(0,MIN(100,BZ119+BW119+BX119-IF(AV119="sí",ROB_PEN,0)))</f>
        <v/>
      </c>
      <c r="CB119" s="3">
        <f>100-MAX(0,N119-KM_TOPE_DESDE)/1000*KM_TOPE_PTS</f>
        <v/>
      </c>
      <c r="CC119" s="3">
        <f>MAX(0,MIN(100,50+BO119*PRECIO_PEND,CB119))</f>
        <v/>
      </c>
      <c r="CD119" s="3">
        <f>MAX(0,100*(1-N119/KM_MAX))</f>
        <v/>
      </c>
      <c r="CE119" s="3">
        <f>IF(BF119&lt;KMA_SOSP,IF(AA119="sí",100,KMA_PEN),IF(BF119&lt;=KMA_IDEAL_MAX,100,MAX(0,100*(KMA_CERO-BF119)/(KMA_CERO-KMA_IDEAL_MAX))))</f>
        <v/>
      </c>
      <c r="CF119" s="3">
        <f>MAX(0,MIN(100,100*(M119-ANIO_MIN)/(ANIO_ACTUAL-ANIO_MIN)))</f>
        <v/>
      </c>
      <c r="CG119" s="3">
        <f>W_KMT*CD119+W_KMA*CE119+W_EDAD*CF119</f>
        <v/>
      </c>
      <c r="CH119" s="3">
        <f>P_ITV*(V119="sí")+P_LIBRO*(W119="sí")+P_CORREA*(X119="sí")+P_PROP*(Y119=1)+P_GAR*(Z119="sí")+P_FOTOS*MIN(1,N(U119)/FOTOS_OBJ)</f>
        <v/>
      </c>
      <c r="CI119" s="3">
        <f>MAX(0,MIN(100,IFERROR(VLOOKUP(BT119,ETQ_TBL,2,0),0)-IF(BU119="sí",ETQ_PEN_DUD,IF(AS119="regla",ETQ_PEN_REGLA,0))))</f>
        <v/>
      </c>
      <c r="CJ119" s="3">
        <f>IF(K119&lt;&gt;"gasolina","",IFERROR(VLOOKUP(F119,CONS_MOD_TBL,2,0),IFERROR(VLOOKUP(L119,CONS_SEG_TBL,2,0),"")))</f>
        <v/>
      </c>
      <c r="CK119" s="3">
        <f>IF(CJ119="",NEUTRO,MAX(0,MIN(100,100*(CONS_REF_MAX-CJ119)/(CONS_REF_MAX-CONS_REF_MIN))))</f>
        <v/>
      </c>
      <c r="CL119" s="3">
        <f>IFERROR(VLOOKUP(L119,SEGURO_TBL,3,0),"")</f>
        <v/>
      </c>
      <c r="CM119" s="3">
        <f>IF(CL119="",NEUTRO,MAX(0,MIN(100,100*(SEG_REF_MAX-CL119)/(SEG_REF_MAX-SEG_REF_MIN))))</f>
        <v/>
      </c>
      <c r="CN119" s="3">
        <f>W_CONS*CK119+W_SEG*CM119</f>
        <v/>
      </c>
      <c r="CO119" s="3">
        <f>IF(N(AB119)&gt;0,AB119,IF(AND(R119="profesional",SG_LEGAL_ON=1),GAR_LEGAL,0))</f>
        <v/>
      </c>
      <c r="CP119" s="3">
        <f>SG_GAR*MIN(1,CO119/SG_GAR_FULL)+SG_AMPL*(AC119="sí")+SG_KMC*(AF119="sí")+SG_REV*(N(AE119)&gt;0)+SG_DEV*MIN(1,N(AG119)/SG_DEV_FULL)+SG_HIST*(W119="sí")</f>
        <v/>
      </c>
      <c r="CQ119" s="3">
        <f>IF(AW119="sí",ESTILO_PRIO,IFERROR(VLOOKUP(L119,ESTILO_TBL,2,0),NEUTRO))</f>
        <v/>
      </c>
      <c r="CR119" s="3">
        <f>IFERROR(VLOOKUP(L119,CARR_PEN_TBL,2,0),0)</f>
        <v/>
      </c>
      <c r="CS119" s="3">
        <f>W_FIAB*CA119+W_PRECIO*CC119+W_KMEDAD*CG119+W_ANUNCIO*CH119+W_USO*CN119+W_SEGURIDAD*CP119+W_ETIQUETA*CI119+W_ESTILO*CQ119-CR119</f>
        <v/>
      </c>
      <c r="CT119" s="4">
        <f>IF(N(I119)&gt;0,I119,IFERROR(ROUND(_xlfn.NUMBERVALUE(LEFT(G119,FIND(" ",G119&amp;" ")-1),".")*1000,0),99999))</f>
        <v/>
      </c>
      <c r="CU119" s="3">
        <f>IF(R119="profesional",0,IF(O119&lt;CUOTA_VALOR_MAX,IF(BE119&gt;ITP_TRAMO_ALTO,SUMIFS(CF_CUOTA,CF_MAS,ITP_TRAMO_ALTO,CF_CCMIN,"&lt;="&amp;CT119,CF_CCMAX,"&gt;="&amp;CT119),IF(BE119&gt;ITP_TRAMO_BAJO,SUMIFS(CF_CUOTA,CF_MAS,ITP_TRAMO_BAJO,CF_CCMIN,"&lt;="&amp;CT119,CF_CCMAX,"&gt;="&amp;CT119),O119*ITP_TIPO)),O119*ITP_TIPO))</f>
        <v/>
      </c>
      <c r="CV119" s="4">
        <f>IF(R119="profesional",N(AK119),0)</f>
        <v/>
      </c>
      <c r="CW119" s="3">
        <f>IF(AND(R119="profesional",ISNUMBER(AK119),AL119="sí"),0,TASA_DGT)</f>
        <v/>
      </c>
      <c r="CX119" s="3">
        <f>INFORME_DGT</f>
        <v/>
      </c>
      <c r="CY119" s="4">
        <f>O119+CV119+CU119+CW119+CX119</f>
        <v/>
      </c>
      <c r="CZ119" s="4">
        <f>CY119+N(CL119)</f>
        <v/>
      </c>
      <c r="DA119" s="3">
        <f>IF(CY119&lt;=TOTAL_MAX,"sí",IF(CY119&lt;=TOTAL_MAX+MARGEN_NEG,"negociar","no"))</f>
        <v/>
      </c>
      <c r="DB119" s="4">
        <f>IF(DA119&lt;&gt;"no",COUNTIFS($DA$2:$DA$130,"&lt;&gt;no",$CS$2:$CS$130,"&gt;"&amp;CS119)+COUNTIFS($DA$2:DA119,"&lt;&gt;no",$CS$2:CS119,CS119),"")</f>
        <v/>
      </c>
    </row>
    <row r="120">
      <c r="A120" s="2" t="inlineStr">
        <is>
          <t>cochesnet:71830314</t>
        </is>
      </c>
      <c r="B120" s="2" t="inlineStr">
        <is>
          <t>cochesnet</t>
        </is>
      </c>
      <c r="C120" s="2" t="inlineStr">
        <is>
          <t>https://www.coches.net/ford-mondeo-20-tdci-140-ghia-5p-diesel-2008-en-valencia-71830314-covo.aspx</t>
        </is>
      </c>
      <c r="D120" s="2" t="inlineStr">
        <is>
          <t>FORD Mondeo 2.0 TDCi 140 Ghia</t>
        </is>
      </c>
      <c r="E120" s="2" t="inlineStr">
        <is>
          <t>Ford</t>
        </is>
      </c>
      <c r="F120" s="2" t="inlineStr">
        <is>
          <t>Ford Mondeo</t>
        </is>
      </c>
      <c r="G120" s="2" t="inlineStr">
        <is>
          <t>2.0 TDCi</t>
        </is>
      </c>
      <c r="H120" s="2" t="inlineStr">
        <is>
          <t>2.0 TDCi 140 Ghia</t>
        </is>
      </c>
      <c r="I120" s="2" t="n"/>
      <c r="J120" s="2" t="n"/>
      <c r="K120" s="2" t="inlineStr">
        <is>
          <t>diesel</t>
        </is>
      </c>
      <c r="L120" s="2" t="inlineStr">
        <is>
          <t>berlina_d</t>
        </is>
      </c>
      <c r="M120" s="2" t="n">
        <v>2008</v>
      </c>
      <c r="N120" s="2" t="n">
        <v>160000</v>
      </c>
      <c r="O120" s="2" t="n">
        <v>3990</v>
      </c>
      <c r="P120" s="2" t="inlineStr">
        <is>
          <t>manual</t>
        </is>
      </c>
      <c r="Q120" s="2" t="inlineStr">
        <is>
          <t>no</t>
        </is>
      </c>
      <c r="R120" s="2" t="inlineStr">
        <is>
          <t>profesional</t>
        </is>
      </c>
      <c r="S120" s="2" t="inlineStr">
        <is>
          <t>Foios</t>
        </is>
      </c>
      <c r="T120" s="2" t="inlineStr">
        <is>
          <t>2026-10-25T22:33:38Z</t>
        </is>
      </c>
      <c r="U120" s="2" t="n">
        <v>15</v>
      </c>
      <c r="V120" s="2" t="n"/>
      <c r="W120" s="2" t="n"/>
      <c r="X120" s="2" t="n"/>
      <c r="Y120" s="2" t="n"/>
      <c r="Z120" s="2" t="inlineStr">
        <is>
          <t>sí</t>
        </is>
      </c>
      <c r="AA120" s="2" t="n"/>
      <c r="AB120" s="2" t="n">
        <v>12</v>
      </c>
      <c r="AC120" s="2" t="n"/>
      <c r="AD120" s="2" t="n"/>
      <c r="AE120" s="2" t="n"/>
      <c r="AF120" s="2" t="n"/>
      <c r="AG120" s="2" t="n"/>
      <c r="AH120" s="2" t="n">
        <v>3990</v>
      </c>
      <c r="AI120" s="2" t="n">
        <v>3990</v>
      </c>
      <c r="AJ120" s="2" t="n"/>
      <c r="AK120" s="2" t="n"/>
      <c r="AL120" s="2" t="n"/>
      <c r="AM120" s="2" t="n">
        <v>7.7</v>
      </c>
      <c r="AN120" s="2" t="n"/>
      <c r="AO120" s="2" t="inlineStr">
        <is>
          <t>2008</t>
        </is>
      </c>
      <c r="AP120" s="2" t="n">
        <v>2008</v>
      </c>
      <c r="AQ120" s="2" t="n"/>
      <c r="AR120" s="2" t="inlineStr">
        <is>
          <t>B</t>
        </is>
      </c>
      <c r="AS120" s="2" t="inlineStr">
        <is>
          <t>anuncio</t>
        </is>
      </c>
      <c r="AT120" s="2" t="n"/>
      <c r="AU120" s="2" t="inlineStr">
        <is>
          <t>no</t>
        </is>
      </c>
      <c r="AV120" s="2" t="inlineStr">
        <is>
          <t>no</t>
        </is>
      </c>
      <c r="AW120" s="2" t="inlineStr">
        <is>
          <t>no</t>
        </is>
      </c>
      <c r="AX120" s="2" t="n">
        <v>4700</v>
      </c>
      <c r="AY120" s="2" t="n">
        <v>5</v>
      </c>
      <c r="AZ120" s="2" t="inlineStr">
        <is>
          <t>modelo+año+km</t>
        </is>
      </c>
      <c r="BA120" s="2" t="n"/>
      <c r="BB120" s="2" t="inlineStr">
        <is>
          <t>vendedor profesional: sin ITP (operación con IVA/REBU, confirmar en factura); gastos de gestión del vendedor no indicados: se suma la tasa DGT; preguntar el precio final; diésel: motor sin fuente de fiabilidad (fiabilidad limitada a neutra); revisar: no menciona la ITV; fiabilidad del modelo PENDIENTE de fuente (puntuación neutra)</t>
        </is>
      </c>
      <c r="BC120" s="2" t="inlineStr"/>
      <c r="BD120" s="2" t="inlineStr">
        <is>
          <t>https://www.coches.net/ford-mondeo-20-tdci-140-ghia-5p-diesel-2008-en-valencia-71830314-covo.aspx (window.__INITIAL_PROPS__.ad) /home/user/Alopecia/buscador-coches/raw/cochesnet/4c3c138a9203197a.json</t>
        </is>
      </c>
      <c r="BE120" s="3">
        <f>MAX(ANIO_ACTUAL-M120,0)</f>
        <v/>
      </c>
      <c r="BF120" s="4">
        <f>N120/MAX(BE120,0.5)</f>
        <v/>
      </c>
      <c r="BG120" s="4">
        <f>F120</f>
        <v/>
      </c>
      <c r="BH120" s="3">
        <f>BG120&amp;"|"&amp;INT(M120/SEG_ANIO)*SEG_ANIO</f>
        <v/>
      </c>
      <c r="BI120" s="3">
        <f>BH120&amp;"|"&amp;INT(N120/SEG_KM)*SEG_KM</f>
        <v/>
      </c>
      <c r="BJ120" s="4">
        <f>COUNTIF($BG$2:$BG$130,BG120)</f>
        <v/>
      </c>
      <c r="BK120" s="4">
        <f>COUNTIF($BH$2:$BH$130,BH120)</f>
        <v/>
      </c>
      <c r="BL120" s="4">
        <f>COUNTIF($BI$2:$BI$130,BI120)</f>
        <v/>
      </c>
      <c r="BM120" s="3">
        <f t="array" ref="BM120">IF(N(AY120)&gt;=MIN_N,AX120,IF(BL120&gt;=MIN_N,MEDIAN(IF($BI$2:$BI$130=BI120,$O$2:$O$130)),IF(BK120&gt;=MIN_N,MEDIAN(IF($BH$2:$BH$130=BH120,$O$2:$O$130)),MEDIAN(IF($BG$2:$BG$130=BG120,$O$2:$O$130)))))</f>
        <v/>
      </c>
      <c r="BN120" s="3">
        <f>IF(N(AY120)&gt;=MIN_N,"mercado "&amp;AZ120,IF(BL120&gt;=MIN_N,"modelo+año+km",IF(BK120&gt;=MIN_N,"modelo+año","modelo")))</f>
        <v/>
      </c>
      <c r="BO120" s="4">
        <f>(BM120-O120)/BM120</f>
        <v/>
      </c>
      <c r="BP120" s="3">
        <f>IF(COUNTIFS(FR_FUEL,K120,FR_YEAR,AP120)&gt;0,1,0)</f>
        <v/>
      </c>
      <c r="BQ120" s="3">
        <f>IF(COUNTIFS(FR_FUEL,K120,FR_YEAR,AP120-1)&gt;0,1,0)</f>
        <v/>
      </c>
      <c r="BR120" s="4">
        <f>IF(N(AQ120)&gt;0,AP120*100+AQ120,IF(AND(BP120=1,BQ120=1),(AP120-1)*100+1,AP120*100+1))</f>
        <v/>
      </c>
      <c r="BS120" s="3">
        <f>IF(OR(K120="hibrido",K120="glp",K120="gnc",K120="phev"),"ECO",IF(K120="electrico","CERO",IF(K120="gasolina",IF(BR120&gt;=GAS_C_YM,"C",IF(BR120&gt;=GAS_B_YM,"B","A")),IF(K120="diesel",IF(BR120&gt;=DIE_C_YM,"C",IF(BR120&gt;=DIE_B_YM,"B","A")),""))))</f>
        <v/>
      </c>
      <c r="BT120" s="2" t="inlineStr">
        <is>
          <t>B</t>
        </is>
      </c>
      <c r="BU120" s="4">
        <f>IF(AU120="sí","sí",IF(AS120="regla",IF(AND(N(AQ120)=0,BP120=1),"sí","no"),"no"))</f>
        <v/>
      </c>
      <c r="BV120" s="3">
        <f>IFERROR(VLOOKUP(F120,MOD_TBL,16,0),IFERROR(VLOOKUP(E120,OCU_TBL,2,0),NEUTRO))</f>
        <v/>
      </c>
      <c r="BW120" s="3">
        <f>SUMIFS(MOT_AJUSTE,MOT_MOTOR,G120,MOT_MARCA,E120,MOT_DESDE,"&lt;="&amp;M120,MOT_HASTA,"&gt;="&amp;M120)+SUMIFS(MOT_AJUSTE,MOT_MOTOR,G120,MOT_MARCA,"(todas)",MOT_DESDE,"&lt;="&amp;M120,MOT_HASTA,"&gt;="&amp;M120)+SUMIFS(MOT_AJUSTE,MOT_MOTOR,"(cualquiera)",MOT_MARCA,E120,MOT_DESDE,"&lt;="&amp;M120,MOT_HASTA,"&gt;="&amp;M120)</f>
        <v/>
      </c>
      <c r="BX120" s="3">
        <f>SUMIFS(COMB_AJUSTE,COMB_COMB,K120)</f>
        <v/>
      </c>
      <c r="BY120" s="3">
        <f>COUNTIFS(MOT_MOTOR,G120,MOT_MARCA,E120,MOT_DESDE,"&lt;="&amp;M120,MOT_HASTA,"&gt;="&amp;M120)+COUNTIFS(MOT_MOTOR,G120,MOT_MARCA,"(todas)",MOT_DESDE,"&lt;="&amp;M120,MOT_HASTA,"&gt;="&amp;M120)+COUNTIFS(MOT_MOTOR,"(cualquiera)",MOT_MARCA,E120,MOT_DESDE,"&lt;="&amp;M120,MOT_HASTA,"&gt;="&amp;M120)</f>
        <v/>
      </c>
      <c r="BZ120" s="3">
        <f>IF(AND(K120="diesel",BY120=0),MIN(BV120,NEUTRO),BV120)</f>
        <v/>
      </c>
      <c r="CA120" s="3">
        <f>MAX(0,MIN(100,BZ120+BW120+BX120-IF(AV120="sí",ROB_PEN,0)))</f>
        <v/>
      </c>
      <c r="CB120" s="3">
        <f>100-MAX(0,N120-KM_TOPE_DESDE)/1000*KM_TOPE_PTS</f>
        <v/>
      </c>
      <c r="CC120" s="3">
        <f>MAX(0,MIN(100,50+BO120*PRECIO_PEND,CB120))</f>
        <v/>
      </c>
      <c r="CD120" s="3">
        <f>MAX(0,100*(1-N120/KM_MAX))</f>
        <v/>
      </c>
      <c r="CE120" s="3">
        <f>IF(BF120&lt;KMA_SOSP,IF(AA120="sí",100,KMA_PEN),IF(BF120&lt;=KMA_IDEAL_MAX,100,MAX(0,100*(KMA_CERO-BF120)/(KMA_CERO-KMA_IDEAL_MAX))))</f>
        <v/>
      </c>
      <c r="CF120" s="3">
        <f>MAX(0,MIN(100,100*(M120-ANIO_MIN)/(ANIO_ACTUAL-ANIO_MIN)))</f>
        <v/>
      </c>
      <c r="CG120" s="3">
        <f>W_KMT*CD120+W_KMA*CE120+W_EDAD*CF120</f>
        <v/>
      </c>
      <c r="CH120" s="3">
        <f>P_ITV*(V120="sí")+P_LIBRO*(W120="sí")+P_CORREA*(X120="sí")+P_PROP*(Y120=1)+P_GAR*(Z120="sí")+P_FOTOS*MIN(1,N(U120)/FOTOS_OBJ)</f>
        <v/>
      </c>
      <c r="CI120" s="3">
        <f>MAX(0,MIN(100,IFERROR(VLOOKUP(BT120,ETQ_TBL,2,0),0)-IF(BU120="sí",ETQ_PEN_DUD,IF(AS120="regla",ETQ_PEN_REGLA,0))))</f>
        <v/>
      </c>
      <c r="CJ120" s="3">
        <f>IF(K120&lt;&gt;"gasolina","",IFERROR(VLOOKUP(F120,CONS_MOD_TBL,2,0),IFERROR(VLOOKUP(L120,CONS_SEG_TBL,2,0),"")))</f>
        <v/>
      </c>
      <c r="CK120" s="3">
        <f>IF(CJ120="",NEUTRO,MAX(0,MIN(100,100*(CONS_REF_MAX-CJ120)/(CONS_REF_MAX-CONS_REF_MIN))))</f>
        <v/>
      </c>
      <c r="CL120" s="3">
        <f>IFERROR(VLOOKUP(L120,SEGURO_TBL,3,0),"")</f>
        <v/>
      </c>
      <c r="CM120" s="3">
        <f>IF(CL120="",NEUTRO,MAX(0,MIN(100,100*(SEG_REF_MAX-CL120)/(SEG_REF_MAX-SEG_REF_MIN))))</f>
        <v/>
      </c>
      <c r="CN120" s="3">
        <f>W_CONS*CK120+W_SEG*CM120</f>
        <v/>
      </c>
      <c r="CO120" s="3">
        <f>IF(N(AB120)&gt;0,AB120,IF(AND(R120="profesional",SG_LEGAL_ON=1),GAR_LEGAL,0))</f>
        <v/>
      </c>
      <c r="CP120" s="3">
        <f>SG_GAR*MIN(1,CO120/SG_GAR_FULL)+SG_AMPL*(AC120="sí")+SG_KMC*(AF120="sí")+SG_REV*(N(AE120)&gt;0)+SG_DEV*MIN(1,N(AG120)/SG_DEV_FULL)+SG_HIST*(W120="sí")</f>
        <v/>
      </c>
      <c r="CQ120" s="3">
        <f>IF(AW120="sí",ESTILO_PRIO,IFERROR(VLOOKUP(L120,ESTILO_TBL,2,0),NEUTRO))</f>
        <v/>
      </c>
      <c r="CR120" s="3">
        <f>IFERROR(VLOOKUP(L120,CARR_PEN_TBL,2,0),0)</f>
        <v/>
      </c>
      <c r="CS120" s="3">
        <f>W_FIAB*CA120+W_PRECIO*CC120+W_KMEDAD*CG120+W_ANUNCIO*CH120+W_USO*CN120+W_SEGURIDAD*CP120+W_ETIQUETA*CI120+W_ESTILO*CQ120-CR120</f>
        <v/>
      </c>
      <c r="CT120" s="4">
        <f>IF(N(I120)&gt;0,I120,IFERROR(ROUND(_xlfn.NUMBERVALUE(LEFT(G120,FIND(" ",G120&amp;" ")-1),".")*1000,0),99999))</f>
        <v/>
      </c>
      <c r="CU120" s="3">
        <f>IF(R120="profesional",0,IF(O120&lt;CUOTA_VALOR_MAX,IF(BE120&gt;ITP_TRAMO_ALTO,SUMIFS(CF_CUOTA,CF_MAS,ITP_TRAMO_ALTO,CF_CCMIN,"&lt;="&amp;CT120,CF_CCMAX,"&gt;="&amp;CT120),IF(BE120&gt;ITP_TRAMO_BAJO,SUMIFS(CF_CUOTA,CF_MAS,ITP_TRAMO_BAJO,CF_CCMIN,"&lt;="&amp;CT120,CF_CCMAX,"&gt;="&amp;CT120),O120*ITP_TIPO)),O120*ITP_TIPO))</f>
        <v/>
      </c>
      <c r="CV120" s="4">
        <f>IF(R120="profesional",N(AK120),0)</f>
        <v/>
      </c>
      <c r="CW120" s="3">
        <f>IF(AND(R120="profesional",ISNUMBER(AK120),AL120="sí"),0,TASA_DGT)</f>
        <v/>
      </c>
      <c r="CX120" s="3">
        <f>INFORME_DGT</f>
        <v/>
      </c>
      <c r="CY120" s="4">
        <f>O120+CV120+CU120+CW120+CX120</f>
        <v/>
      </c>
      <c r="CZ120" s="4">
        <f>CY120+N(CL120)</f>
        <v/>
      </c>
      <c r="DA120" s="3">
        <f>IF(CY120&lt;=TOTAL_MAX,"sí",IF(CY120&lt;=TOTAL_MAX+MARGEN_NEG,"negociar","no"))</f>
        <v/>
      </c>
      <c r="DB120" s="4">
        <f>IF(DA120&lt;&gt;"no",COUNTIFS($DA$2:$DA$130,"&lt;&gt;no",$CS$2:$CS$130,"&gt;"&amp;CS120)+COUNTIFS($DA$2:DA120,"&lt;&gt;no",$CS$2:CS120,CS120),"")</f>
        <v/>
      </c>
    </row>
    <row r="121">
      <c r="A121" s="2" t="inlineStr">
        <is>
          <t>cochesnet:71545576</t>
        </is>
      </c>
      <c r="B121" s="2" t="inlineStr">
        <is>
          <t>cochesnet</t>
        </is>
      </c>
      <c r="C121" s="2" t="inlineStr">
        <is>
          <t>https://www.coches.net/ford-mondeo-18-tdci-125-trend-5p-diesel-2007-en-valencia-71545576-covo.aspx</t>
        </is>
      </c>
      <c r="D121" s="2" t="inlineStr">
        <is>
          <t>FORD Mondeo 1.8 TDCi 125 Trend</t>
        </is>
      </c>
      <c r="E121" s="2" t="inlineStr">
        <is>
          <t>Ford</t>
        </is>
      </c>
      <c r="F121" s="2" t="inlineStr">
        <is>
          <t>Ford Mondeo</t>
        </is>
      </c>
      <c r="G121" s="2" t="inlineStr">
        <is>
          <t>1.8 TDCi</t>
        </is>
      </c>
      <c r="H121" s="2" t="inlineStr">
        <is>
          <t>1.8 TDCi 125 Trend</t>
        </is>
      </c>
      <c r="I121" s="2" t="n"/>
      <c r="J121" s="2" t="n"/>
      <c r="K121" s="2" t="inlineStr">
        <is>
          <t>diesel</t>
        </is>
      </c>
      <c r="L121" s="2" t="inlineStr">
        <is>
          <t>berlina_d</t>
        </is>
      </c>
      <c r="M121" s="2" t="n">
        <v>2007</v>
      </c>
      <c r="N121" s="2" t="n">
        <v>160000</v>
      </c>
      <c r="O121" s="2" t="n">
        <v>4700</v>
      </c>
      <c r="P121" s="2" t="inlineStr">
        <is>
          <t>manual</t>
        </is>
      </c>
      <c r="Q121" s="2" t="inlineStr">
        <is>
          <t>no</t>
        </is>
      </c>
      <c r="R121" s="2" t="inlineStr">
        <is>
          <t>profesional</t>
        </is>
      </c>
      <c r="S121" s="2" t="inlineStr">
        <is>
          <t>Valencia</t>
        </is>
      </c>
      <c r="T121" s="2" t="inlineStr">
        <is>
          <t>2026-09-18T14:56:35Z</t>
        </is>
      </c>
      <c r="U121" s="2" t="n">
        <v>17</v>
      </c>
      <c r="V121" s="2" t="n"/>
      <c r="W121" s="2" t="n"/>
      <c r="X121" s="2" t="n"/>
      <c r="Y121" s="2" t="n"/>
      <c r="Z121" s="2" t="inlineStr">
        <is>
          <t>sí</t>
        </is>
      </c>
      <c r="AA121" s="2" t="n"/>
      <c r="AB121" s="2" t="n">
        <v>12</v>
      </c>
      <c r="AC121" s="2" t="n"/>
      <c r="AD121" s="2" t="n"/>
      <c r="AE121" s="2" t="n"/>
      <c r="AF121" s="2" t="n"/>
      <c r="AG121" s="2" t="n"/>
      <c r="AH121" s="2" t="n">
        <v>4700</v>
      </c>
      <c r="AI121" s="2" t="n">
        <v>4500</v>
      </c>
      <c r="AJ121" s="2" t="n"/>
      <c r="AK121" s="2" t="n"/>
      <c r="AL121" s="2" t="n"/>
      <c r="AM121" s="2" t="n">
        <v>0.1</v>
      </c>
      <c r="AN121" s="2" t="n"/>
      <c r="AO121" s="2" t="inlineStr">
        <is>
          <t>2007</t>
        </is>
      </c>
      <c r="AP121" s="2" t="n">
        <v>2007</v>
      </c>
      <c r="AQ121" s="2" t="n"/>
      <c r="AR121" s="2" t="inlineStr">
        <is>
          <t>B</t>
        </is>
      </c>
      <c r="AS121" s="2" t="inlineStr">
        <is>
          <t>anuncio</t>
        </is>
      </c>
      <c r="AT121" s="2" t="n"/>
      <c r="AU121" s="2" t="inlineStr">
        <is>
          <t>no</t>
        </is>
      </c>
      <c r="AV121" s="2" t="inlineStr">
        <is>
          <t>no</t>
        </is>
      </c>
      <c r="AW121" s="2" t="inlineStr">
        <is>
          <t>no</t>
        </is>
      </c>
      <c r="AX121" s="2" t="n">
        <v>4700</v>
      </c>
      <c r="AY121" s="2" t="n">
        <v>5</v>
      </c>
      <c r="AZ121" s="2" t="inlineStr">
        <is>
          <t>modelo+año+km</t>
        </is>
      </c>
      <c r="BA121" s="2" t="n"/>
      <c r="BB121" s="2" t="inlineStr">
        <is>
          <t>vendedor profesional: sin ITP (operación con IVA/REBU, confirmar en factura); gastos de gestión del vendedor no indicados: se suma la tasa DGT; preguntar el precio final; diésel: motor sin fuente de fiabilidad (fiabilidad limitada a neutra); fiabilidad del modelo PENDIENTE de fuente (puntuación neutra)</t>
        </is>
      </c>
      <c r="BC121" s="2" t="inlineStr">
        <is>
          <t xml:space="preserve">En venta Ford Mondeo. Motor 1.8 tdci. 125/cv ..vehículo revisado .. posibilidad de financiar. . entrega inmediata ...clima ...llantas especiales ...se entrega con ITV. Al día </t>
        </is>
      </c>
      <c r="BD121" s="2" t="inlineStr">
        <is>
          <t>https://www.coches.net/ford-mondeo-18-tdci-125-trend-5p-diesel-2007-en-valencia-71545576-covo.aspx (window.__INITIAL_PROPS__.ad) /home/user/Alopecia/buscador-coches/raw/cochesnet/9dd9877259c47795.json</t>
        </is>
      </c>
      <c r="BE121" s="3">
        <f>MAX(ANIO_ACTUAL-M121,0)</f>
        <v/>
      </c>
      <c r="BF121" s="4">
        <f>N121/MAX(BE121,0.5)</f>
        <v/>
      </c>
      <c r="BG121" s="4">
        <f>F121</f>
        <v/>
      </c>
      <c r="BH121" s="3">
        <f>BG121&amp;"|"&amp;INT(M121/SEG_ANIO)*SEG_ANIO</f>
        <v/>
      </c>
      <c r="BI121" s="3">
        <f>BH121&amp;"|"&amp;INT(N121/SEG_KM)*SEG_KM</f>
        <v/>
      </c>
      <c r="BJ121" s="4">
        <f>COUNTIF($BG$2:$BG$130,BG121)</f>
        <v/>
      </c>
      <c r="BK121" s="4">
        <f>COUNTIF($BH$2:$BH$130,BH121)</f>
        <v/>
      </c>
      <c r="BL121" s="4">
        <f>COUNTIF($BI$2:$BI$130,BI121)</f>
        <v/>
      </c>
      <c r="BM121" s="3">
        <f t="array" ref="BM121">IF(N(AY121)&gt;=MIN_N,AX121,IF(BL121&gt;=MIN_N,MEDIAN(IF($BI$2:$BI$130=BI121,$O$2:$O$130)),IF(BK121&gt;=MIN_N,MEDIAN(IF($BH$2:$BH$130=BH121,$O$2:$O$130)),MEDIAN(IF($BG$2:$BG$130=BG121,$O$2:$O$130)))))</f>
        <v/>
      </c>
      <c r="BN121" s="3">
        <f>IF(N(AY121)&gt;=MIN_N,"mercado "&amp;AZ121,IF(BL121&gt;=MIN_N,"modelo+año+km",IF(BK121&gt;=MIN_N,"modelo+año","modelo")))</f>
        <v/>
      </c>
      <c r="BO121" s="4">
        <f>(BM121-O121)/BM121</f>
        <v/>
      </c>
      <c r="BP121" s="3">
        <f>IF(COUNTIFS(FR_FUEL,K121,FR_YEAR,AP121)&gt;0,1,0)</f>
        <v/>
      </c>
      <c r="BQ121" s="3">
        <f>IF(COUNTIFS(FR_FUEL,K121,FR_YEAR,AP121-1)&gt;0,1,0)</f>
        <v/>
      </c>
      <c r="BR121" s="4">
        <f>IF(N(AQ121)&gt;0,AP121*100+AQ121,IF(AND(BP121=1,BQ121=1),(AP121-1)*100+1,AP121*100+1))</f>
        <v/>
      </c>
      <c r="BS121" s="3">
        <f>IF(OR(K121="hibrido",K121="glp",K121="gnc",K121="phev"),"ECO",IF(K121="electrico","CERO",IF(K121="gasolina",IF(BR121&gt;=GAS_C_YM,"C",IF(BR121&gt;=GAS_B_YM,"B","A")),IF(K121="diesel",IF(BR121&gt;=DIE_C_YM,"C",IF(BR121&gt;=DIE_B_YM,"B","A")),""))))</f>
        <v/>
      </c>
      <c r="BT121" s="2" t="inlineStr">
        <is>
          <t>B</t>
        </is>
      </c>
      <c r="BU121" s="4">
        <f>IF(AU121="sí","sí",IF(AS121="regla",IF(AND(N(AQ121)=0,BP121=1),"sí","no"),"no"))</f>
        <v/>
      </c>
      <c r="BV121" s="3">
        <f>IFERROR(VLOOKUP(F121,MOD_TBL,16,0),IFERROR(VLOOKUP(E121,OCU_TBL,2,0),NEUTRO))</f>
        <v/>
      </c>
      <c r="BW121" s="3">
        <f>SUMIFS(MOT_AJUSTE,MOT_MOTOR,G121,MOT_MARCA,E121,MOT_DESDE,"&lt;="&amp;M121,MOT_HASTA,"&gt;="&amp;M121)+SUMIFS(MOT_AJUSTE,MOT_MOTOR,G121,MOT_MARCA,"(todas)",MOT_DESDE,"&lt;="&amp;M121,MOT_HASTA,"&gt;="&amp;M121)+SUMIFS(MOT_AJUSTE,MOT_MOTOR,"(cualquiera)",MOT_MARCA,E121,MOT_DESDE,"&lt;="&amp;M121,MOT_HASTA,"&gt;="&amp;M121)</f>
        <v/>
      </c>
      <c r="BX121" s="3">
        <f>SUMIFS(COMB_AJUSTE,COMB_COMB,K121)</f>
        <v/>
      </c>
      <c r="BY121" s="3">
        <f>COUNTIFS(MOT_MOTOR,G121,MOT_MARCA,E121,MOT_DESDE,"&lt;="&amp;M121,MOT_HASTA,"&gt;="&amp;M121)+COUNTIFS(MOT_MOTOR,G121,MOT_MARCA,"(todas)",MOT_DESDE,"&lt;="&amp;M121,MOT_HASTA,"&gt;="&amp;M121)+COUNTIFS(MOT_MOTOR,"(cualquiera)",MOT_MARCA,E121,MOT_DESDE,"&lt;="&amp;M121,MOT_HASTA,"&gt;="&amp;M121)</f>
        <v/>
      </c>
      <c r="BZ121" s="3">
        <f>IF(AND(K121="diesel",BY121=0),MIN(BV121,NEUTRO),BV121)</f>
        <v/>
      </c>
      <c r="CA121" s="3">
        <f>MAX(0,MIN(100,BZ121+BW121+BX121-IF(AV121="sí",ROB_PEN,0)))</f>
        <v/>
      </c>
      <c r="CB121" s="3">
        <f>100-MAX(0,N121-KM_TOPE_DESDE)/1000*KM_TOPE_PTS</f>
        <v/>
      </c>
      <c r="CC121" s="3">
        <f>MAX(0,MIN(100,50+BO121*PRECIO_PEND,CB121))</f>
        <v/>
      </c>
      <c r="CD121" s="3">
        <f>MAX(0,100*(1-N121/KM_MAX))</f>
        <v/>
      </c>
      <c r="CE121" s="3">
        <f>IF(BF121&lt;KMA_SOSP,IF(AA121="sí",100,KMA_PEN),IF(BF121&lt;=KMA_IDEAL_MAX,100,MAX(0,100*(KMA_CERO-BF121)/(KMA_CERO-KMA_IDEAL_MAX))))</f>
        <v/>
      </c>
      <c r="CF121" s="3">
        <f>MAX(0,MIN(100,100*(M121-ANIO_MIN)/(ANIO_ACTUAL-ANIO_MIN)))</f>
        <v/>
      </c>
      <c r="CG121" s="3">
        <f>W_KMT*CD121+W_KMA*CE121+W_EDAD*CF121</f>
        <v/>
      </c>
      <c r="CH121" s="3">
        <f>P_ITV*(V121="sí")+P_LIBRO*(W121="sí")+P_CORREA*(X121="sí")+P_PROP*(Y121=1)+P_GAR*(Z121="sí")+P_FOTOS*MIN(1,N(U121)/FOTOS_OBJ)</f>
        <v/>
      </c>
      <c r="CI121" s="3">
        <f>MAX(0,MIN(100,IFERROR(VLOOKUP(BT121,ETQ_TBL,2,0),0)-IF(BU121="sí",ETQ_PEN_DUD,IF(AS121="regla",ETQ_PEN_REGLA,0))))</f>
        <v/>
      </c>
      <c r="CJ121" s="3">
        <f>IF(K121&lt;&gt;"gasolina","",IFERROR(VLOOKUP(F121,CONS_MOD_TBL,2,0),IFERROR(VLOOKUP(L121,CONS_SEG_TBL,2,0),"")))</f>
        <v/>
      </c>
      <c r="CK121" s="3">
        <f>IF(CJ121="",NEUTRO,MAX(0,MIN(100,100*(CONS_REF_MAX-CJ121)/(CONS_REF_MAX-CONS_REF_MIN))))</f>
        <v/>
      </c>
      <c r="CL121" s="3">
        <f>IFERROR(VLOOKUP(L121,SEGURO_TBL,3,0),"")</f>
        <v/>
      </c>
      <c r="CM121" s="3">
        <f>IF(CL121="",NEUTRO,MAX(0,MIN(100,100*(SEG_REF_MAX-CL121)/(SEG_REF_MAX-SEG_REF_MIN))))</f>
        <v/>
      </c>
      <c r="CN121" s="3">
        <f>W_CONS*CK121+W_SEG*CM121</f>
        <v/>
      </c>
      <c r="CO121" s="3">
        <f>IF(N(AB121)&gt;0,AB121,IF(AND(R121="profesional",SG_LEGAL_ON=1),GAR_LEGAL,0))</f>
        <v/>
      </c>
      <c r="CP121" s="3">
        <f>SG_GAR*MIN(1,CO121/SG_GAR_FULL)+SG_AMPL*(AC121="sí")+SG_KMC*(AF121="sí")+SG_REV*(N(AE121)&gt;0)+SG_DEV*MIN(1,N(AG121)/SG_DEV_FULL)+SG_HIST*(W121="sí")</f>
        <v/>
      </c>
      <c r="CQ121" s="3">
        <f>IF(AW121="sí",ESTILO_PRIO,IFERROR(VLOOKUP(L121,ESTILO_TBL,2,0),NEUTRO))</f>
        <v/>
      </c>
      <c r="CR121" s="3">
        <f>IFERROR(VLOOKUP(L121,CARR_PEN_TBL,2,0),0)</f>
        <v/>
      </c>
      <c r="CS121" s="3">
        <f>W_FIAB*CA121+W_PRECIO*CC121+W_KMEDAD*CG121+W_ANUNCIO*CH121+W_USO*CN121+W_SEGURIDAD*CP121+W_ETIQUETA*CI121+W_ESTILO*CQ121-CR121</f>
        <v/>
      </c>
      <c r="CT121" s="4">
        <f>IF(N(I121)&gt;0,I121,IFERROR(ROUND(_xlfn.NUMBERVALUE(LEFT(G121,FIND(" ",G121&amp;" ")-1),".")*1000,0),99999))</f>
        <v/>
      </c>
      <c r="CU121" s="3">
        <f>IF(R121="profesional",0,IF(O121&lt;CUOTA_VALOR_MAX,IF(BE121&gt;ITP_TRAMO_ALTO,SUMIFS(CF_CUOTA,CF_MAS,ITP_TRAMO_ALTO,CF_CCMIN,"&lt;="&amp;CT121,CF_CCMAX,"&gt;="&amp;CT121),IF(BE121&gt;ITP_TRAMO_BAJO,SUMIFS(CF_CUOTA,CF_MAS,ITP_TRAMO_BAJO,CF_CCMIN,"&lt;="&amp;CT121,CF_CCMAX,"&gt;="&amp;CT121),O121*ITP_TIPO)),O121*ITP_TIPO))</f>
        <v/>
      </c>
      <c r="CV121" s="4">
        <f>IF(R121="profesional",N(AK121),0)</f>
        <v/>
      </c>
      <c r="CW121" s="3">
        <f>IF(AND(R121="profesional",ISNUMBER(AK121),AL121="sí"),0,TASA_DGT)</f>
        <v/>
      </c>
      <c r="CX121" s="3">
        <f>INFORME_DGT</f>
        <v/>
      </c>
      <c r="CY121" s="4">
        <f>O121+CV121+CU121+CW121+CX121</f>
        <v/>
      </c>
      <c r="CZ121" s="4">
        <f>CY121+N(CL121)</f>
        <v/>
      </c>
      <c r="DA121" s="3">
        <f>IF(CY121&lt;=TOTAL_MAX,"sí",IF(CY121&lt;=TOTAL_MAX+MARGEN_NEG,"negociar","no"))</f>
        <v/>
      </c>
      <c r="DB121" s="4">
        <f>IF(DA121&lt;&gt;"no",COUNTIFS($DA$2:$DA$130,"&lt;&gt;no",$CS$2:$CS$130,"&gt;"&amp;CS121)+COUNTIFS($DA$2:DA121,"&lt;&gt;no",$CS$2:CS121,CS121),"")</f>
        <v/>
      </c>
    </row>
    <row r="122">
      <c r="A122" s="2" t="inlineStr">
        <is>
          <t>cochesnet:71492732</t>
        </is>
      </c>
      <c r="B122" s="2" t="inlineStr">
        <is>
          <t>cochesnet</t>
        </is>
      </c>
      <c r="C122" s="2" t="inlineStr">
        <is>
          <t>https://www.coches.net/audi-a3-16-ambition-3p-gasolina-2005-en-valencia-71492732-covo.aspx</t>
        </is>
      </c>
      <c r="D122" s="2" t="inlineStr">
        <is>
          <t>AUDI A3 1.6 Ambition</t>
        </is>
      </c>
      <c r="E122" s="2" t="inlineStr">
        <is>
          <t>Audi</t>
        </is>
      </c>
      <c r="F122" s="2" t="inlineStr">
        <is>
          <t>Audi A3</t>
        </is>
      </c>
      <c r="G122" s="2" t="inlineStr">
        <is>
          <t>1.6</t>
        </is>
      </c>
      <c r="H122" s="2" t="inlineStr">
        <is>
          <t>1.6 Ambition</t>
        </is>
      </c>
      <c r="I122" s="2" t="n"/>
      <c r="J122" s="2" t="n"/>
      <c r="K122" s="2" t="inlineStr">
        <is>
          <t>gasolina</t>
        </is>
      </c>
      <c r="L122" s="2" t="inlineStr">
        <is>
          <t>compacto</t>
        </is>
      </c>
      <c r="M122" s="2" t="n">
        <v>2004</v>
      </c>
      <c r="N122" s="2" t="n">
        <v>113685</v>
      </c>
      <c r="O122" s="2" t="n">
        <v>4800</v>
      </c>
      <c r="P122" s="2" t="inlineStr">
        <is>
          <t>manual</t>
        </is>
      </c>
      <c r="Q122" s="2" t="inlineStr">
        <is>
          <t>no</t>
        </is>
      </c>
      <c r="R122" s="2" t="inlineStr">
        <is>
          <t>profesional</t>
        </is>
      </c>
      <c r="S122" s="2" t="inlineStr">
        <is>
          <t>jmmgenius sl Valencia</t>
        </is>
      </c>
      <c r="T122" s="2" t="inlineStr">
        <is>
          <t>2026-09-11T13:09:13Z</t>
        </is>
      </c>
      <c r="U122" s="2" t="n">
        <v>12</v>
      </c>
      <c r="V122" s="2" t="n"/>
      <c r="W122" s="2" t="n"/>
      <c r="X122" s="2" t="n"/>
      <c r="Y122" s="2" t="n"/>
      <c r="Z122" s="2" t="inlineStr">
        <is>
          <t>sí</t>
        </is>
      </c>
      <c r="AA122" s="2" t="n"/>
      <c r="AB122" s="2" t="n">
        <v>12</v>
      </c>
      <c r="AC122" s="2" t="n"/>
      <c r="AD122" s="2" t="n"/>
      <c r="AE122" s="2" t="n"/>
      <c r="AF122" s="2" t="n"/>
      <c r="AG122" s="2" t="n"/>
      <c r="AH122" s="2" t="n">
        <v>4800</v>
      </c>
      <c r="AI122" s="2" t="n"/>
      <c r="AJ122" s="2" t="n"/>
      <c r="AK122" s="2" t="n"/>
      <c r="AL122" s="2" t="n"/>
      <c r="AM122" s="2" t="n">
        <v>0.1</v>
      </c>
      <c r="AN122" s="2" t="n"/>
      <c r="AO122" s="2" t="inlineStr">
        <is>
          <t>2004</t>
        </is>
      </c>
      <c r="AP122" s="2" t="n">
        <v>2004</v>
      </c>
      <c r="AQ122" s="2" t="n"/>
      <c r="AR122" s="2" t="inlineStr">
        <is>
          <t>B</t>
        </is>
      </c>
      <c r="AS122" s="2" t="inlineStr">
        <is>
          <t>anuncio</t>
        </is>
      </c>
      <c r="AT122" s="2" t="n">
        <v>2005</v>
      </c>
      <c r="AU122" s="2" t="inlineStr">
        <is>
          <t>no</t>
        </is>
      </c>
      <c r="AV122" s="2" t="inlineStr">
        <is>
          <t>no</t>
        </is>
      </c>
      <c r="AW122" s="2" t="inlineStr">
        <is>
          <t>no</t>
        </is>
      </c>
      <c r="AX122" s="2" t="n">
        <v>4150</v>
      </c>
      <c r="AY122" s="2" t="n">
        <v>4</v>
      </c>
      <c r="AZ122" s="2" t="inlineStr">
        <is>
          <t>modelo+año+km</t>
        </is>
      </c>
      <c r="BA122" s="2" t="n"/>
      <c r="BB122" s="2" t="inlineStr">
        <is>
          <t>año a confirmar: la URL/título dice 2005; vendedor profesional: sin ITP (operación con IVA/REBU, confirmar en factura); gastos de gestión del vendedor no indicados: se suma la tasa DGT; preguntar el precio final; revisar: no menciona la ITV; fiabilidad del modelo PENDIENTE de fuente (puntuación neutra)</t>
        </is>
      </c>
      <c r="BC122" s="2" t="inlineStr">
        <is>
          <t>Este Audi A3 Ambition combina confort y tecnología con aire acondicionado bizona automático, asientos deportivos ajustables en altura y volante de cuero regulable. Dispone de sistema de audio con ocho altavoces, ordenador de viaje con datos de consumo e instantáneo, faros dobles con lentes complejas y luces antiniebla. Climatización con filtro de partículas y carbón activo, retrovisores eléctricos con eliminación de ángulo muerto, elevalunas de un solo toque y cierre centralizado con mando a distancia. Etiqueta ecológica B que facilita acceso a zonas de tráfico restringido.</t>
        </is>
      </c>
      <c r="BD122" s="2" t="inlineStr">
        <is>
          <t>https://www.coches.net/audi-a3-16-ambition-3p-gasolina-2005-en-valencia-71492732-covo.aspx (window.__INITIAL_PROPS__.ad) /home/user/Alopecia/buscador-coches/raw/cochesnet/0ec95dd119f5a810.json</t>
        </is>
      </c>
      <c r="BE122" s="3">
        <f>MAX(ANIO_ACTUAL-M122,0)</f>
        <v/>
      </c>
      <c r="BF122" s="4">
        <f>N122/MAX(BE122,0.5)</f>
        <v/>
      </c>
      <c r="BG122" s="4">
        <f>F122</f>
        <v/>
      </c>
      <c r="BH122" s="3">
        <f>BG122&amp;"|"&amp;INT(M122/SEG_ANIO)*SEG_ANIO</f>
        <v/>
      </c>
      <c r="BI122" s="3">
        <f>BH122&amp;"|"&amp;INT(N122/SEG_KM)*SEG_KM</f>
        <v/>
      </c>
      <c r="BJ122" s="4">
        <f>COUNTIF($BG$2:$BG$130,BG122)</f>
        <v/>
      </c>
      <c r="BK122" s="4">
        <f>COUNTIF($BH$2:$BH$130,BH122)</f>
        <v/>
      </c>
      <c r="BL122" s="4">
        <f>COUNTIF($BI$2:$BI$130,BI122)</f>
        <v/>
      </c>
      <c r="BM122" s="3">
        <f t="array" ref="BM122">IF(N(AY122)&gt;=MIN_N,AX122,IF(BL122&gt;=MIN_N,MEDIAN(IF($BI$2:$BI$130=BI122,$O$2:$O$130)),IF(BK122&gt;=MIN_N,MEDIAN(IF($BH$2:$BH$130=BH122,$O$2:$O$130)),MEDIAN(IF($BG$2:$BG$130=BG122,$O$2:$O$130)))))</f>
        <v/>
      </c>
      <c r="BN122" s="3">
        <f>IF(N(AY122)&gt;=MIN_N,"mercado "&amp;AZ122,IF(BL122&gt;=MIN_N,"modelo+año+km",IF(BK122&gt;=MIN_N,"modelo+año","modelo")))</f>
        <v/>
      </c>
      <c r="BO122" s="4">
        <f>(BM122-O122)/BM122</f>
        <v/>
      </c>
      <c r="BP122" s="3">
        <f>IF(COUNTIFS(FR_FUEL,K122,FR_YEAR,AP122)&gt;0,1,0)</f>
        <v/>
      </c>
      <c r="BQ122" s="3">
        <f>IF(COUNTIFS(FR_FUEL,K122,FR_YEAR,AP122-1)&gt;0,1,0)</f>
        <v/>
      </c>
      <c r="BR122" s="4">
        <f>IF(N(AQ122)&gt;0,AP122*100+AQ122,IF(AND(BP122=1,BQ122=1),(AP122-1)*100+1,AP122*100+1))</f>
        <v/>
      </c>
      <c r="BS122" s="3">
        <f>IF(OR(K122="hibrido",K122="glp",K122="gnc",K122="phev"),"ECO",IF(K122="electrico","CERO",IF(K122="gasolina",IF(BR122&gt;=GAS_C_YM,"C",IF(BR122&gt;=GAS_B_YM,"B","A")),IF(K122="diesel",IF(BR122&gt;=DIE_C_YM,"C",IF(BR122&gt;=DIE_B_YM,"B","A")),""))))</f>
        <v/>
      </c>
      <c r="BT122" s="2" t="inlineStr">
        <is>
          <t>B</t>
        </is>
      </c>
      <c r="BU122" s="4">
        <f>IF(AU122="sí","sí",IF(AS122="regla",IF(AND(N(AQ122)=0,BP122=1),"sí","no"),"no"))</f>
        <v/>
      </c>
      <c r="BV122" s="3">
        <f>IFERROR(VLOOKUP(F122,MOD_TBL,16,0),IFERROR(VLOOKUP(E122,OCU_TBL,2,0),NEUTRO))</f>
        <v/>
      </c>
      <c r="BW122" s="3">
        <f>SUMIFS(MOT_AJUSTE,MOT_MOTOR,G122,MOT_MARCA,E122,MOT_DESDE,"&lt;="&amp;M122,MOT_HASTA,"&gt;="&amp;M122)+SUMIFS(MOT_AJUSTE,MOT_MOTOR,G122,MOT_MARCA,"(todas)",MOT_DESDE,"&lt;="&amp;M122,MOT_HASTA,"&gt;="&amp;M122)+SUMIFS(MOT_AJUSTE,MOT_MOTOR,"(cualquiera)",MOT_MARCA,E122,MOT_DESDE,"&lt;="&amp;M122,MOT_HASTA,"&gt;="&amp;M122)</f>
        <v/>
      </c>
      <c r="BX122" s="3">
        <f>SUMIFS(COMB_AJUSTE,COMB_COMB,K122)</f>
        <v/>
      </c>
      <c r="BY122" s="3">
        <f>COUNTIFS(MOT_MOTOR,G122,MOT_MARCA,E122,MOT_DESDE,"&lt;="&amp;M122,MOT_HASTA,"&gt;="&amp;M122)+COUNTIFS(MOT_MOTOR,G122,MOT_MARCA,"(todas)",MOT_DESDE,"&lt;="&amp;M122,MOT_HASTA,"&gt;="&amp;M122)+COUNTIFS(MOT_MOTOR,"(cualquiera)",MOT_MARCA,E122,MOT_DESDE,"&lt;="&amp;M122,MOT_HASTA,"&gt;="&amp;M122)</f>
        <v/>
      </c>
      <c r="BZ122" s="3">
        <f>IF(AND(K122="diesel",BY122=0),MIN(BV122,NEUTRO),BV122)</f>
        <v/>
      </c>
      <c r="CA122" s="3">
        <f>MAX(0,MIN(100,BZ122+BW122+BX122-IF(AV122="sí",ROB_PEN,0)))</f>
        <v/>
      </c>
      <c r="CB122" s="3">
        <f>100-MAX(0,N122-KM_TOPE_DESDE)/1000*KM_TOPE_PTS</f>
        <v/>
      </c>
      <c r="CC122" s="3">
        <f>MAX(0,MIN(100,50+BO122*PRECIO_PEND,CB122))</f>
        <v/>
      </c>
      <c r="CD122" s="3">
        <f>MAX(0,100*(1-N122/KM_MAX))</f>
        <v/>
      </c>
      <c r="CE122" s="3">
        <f>IF(BF122&lt;KMA_SOSP,IF(AA122="sí",100,KMA_PEN),IF(BF122&lt;=KMA_IDEAL_MAX,100,MAX(0,100*(KMA_CERO-BF122)/(KMA_CERO-KMA_IDEAL_MAX))))</f>
        <v/>
      </c>
      <c r="CF122" s="3">
        <f>MAX(0,MIN(100,100*(M122-ANIO_MIN)/(ANIO_ACTUAL-ANIO_MIN)))</f>
        <v/>
      </c>
      <c r="CG122" s="3">
        <f>W_KMT*CD122+W_KMA*CE122+W_EDAD*CF122</f>
        <v/>
      </c>
      <c r="CH122" s="3">
        <f>P_ITV*(V122="sí")+P_LIBRO*(W122="sí")+P_CORREA*(X122="sí")+P_PROP*(Y122=1)+P_GAR*(Z122="sí")+P_FOTOS*MIN(1,N(U122)/FOTOS_OBJ)</f>
        <v/>
      </c>
      <c r="CI122" s="3">
        <f>MAX(0,MIN(100,IFERROR(VLOOKUP(BT122,ETQ_TBL,2,0),0)-IF(BU122="sí",ETQ_PEN_DUD,IF(AS122="regla",ETQ_PEN_REGLA,0))))</f>
        <v/>
      </c>
      <c r="CJ122" s="3">
        <f>IF(K122&lt;&gt;"gasolina","",IFERROR(VLOOKUP(F122,CONS_MOD_TBL,2,0),IFERROR(VLOOKUP(L122,CONS_SEG_TBL,2,0),"")))</f>
        <v/>
      </c>
      <c r="CK122" s="3">
        <f>IF(CJ122="",NEUTRO,MAX(0,MIN(100,100*(CONS_REF_MAX-CJ122)/(CONS_REF_MAX-CONS_REF_MIN))))</f>
        <v/>
      </c>
      <c r="CL122" s="3">
        <f>IFERROR(VLOOKUP(L122,SEGURO_TBL,3,0),"")</f>
        <v/>
      </c>
      <c r="CM122" s="3">
        <f>IF(CL122="",NEUTRO,MAX(0,MIN(100,100*(SEG_REF_MAX-CL122)/(SEG_REF_MAX-SEG_REF_MIN))))</f>
        <v/>
      </c>
      <c r="CN122" s="3">
        <f>W_CONS*CK122+W_SEG*CM122</f>
        <v/>
      </c>
      <c r="CO122" s="3">
        <f>IF(N(AB122)&gt;0,AB122,IF(AND(R122="profesional",SG_LEGAL_ON=1),GAR_LEGAL,0))</f>
        <v/>
      </c>
      <c r="CP122" s="3">
        <f>SG_GAR*MIN(1,CO122/SG_GAR_FULL)+SG_AMPL*(AC122="sí")+SG_KMC*(AF122="sí")+SG_REV*(N(AE122)&gt;0)+SG_DEV*MIN(1,N(AG122)/SG_DEV_FULL)+SG_HIST*(W122="sí")</f>
        <v/>
      </c>
      <c r="CQ122" s="3">
        <f>IF(AW122="sí",ESTILO_PRIO,IFERROR(VLOOKUP(L122,ESTILO_TBL,2,0),NEUTRO))</f>
        <v/>
      </c>
      <c r="CR122" s="3">
        <f>IFERROR(VLOOKUP(L122,CARR_PEN_TBL,2,0),0)</f>
        <v/>
      </c>
      <c r="CS122" s="3">
        <f>W_FIAB*CA122+W_PRECIO*CC122+W_KMEDAD*CG122+W_ANUNCIO*CH122+W_USO*CN122+W_SEGURIDAD*CP122+W_ETIQUETA*CI122+W_ESTILO*CQ122-CR122</f>
        <v/>
      </c>
      <c r="CT122" s="4">
        <f>IF(N(I122)&gt;0,I122,IFERROR(ROUND(_xlfn.NUMBERVALUE(LEFT(G122,FIND(" ",G122&amp;" ")-1),".")*1000,0),99999))</f>
        <v/>
      </c>
      <c r="CU122" s="3">
        <f>IF(R122="profesional",0,IF(O122&lt;CUOTA_VALOR_MAX,IF(BE122&gt;ITP_TRAMO_ALTO,SUMIFS(CF_CUOTA,CF_MAS,ITP_TRAMO_ALTO,CF_CCMIN,"&lt;="&amp;CT122,CF_CCMAX,"&gt;="&amp;CT122),IF(BE122&gt;ITP_TRAMO_BAJO,SUMIFS(CF_CUOTA,CF_MAS,ITP_TRAMO_BAJO,CF_CCMIN,"&lt;="&amp;CT122,CF_CCMAX,"&gt;="&amp;CT122),O122*ITP_TIPO)),O122*ITP_TIPO))</f>
        <v/>
      </c>
      <c r="CV122" s="4">
        <f>IF(R122="profesional",N(AK122),0)</f>
        <v/>
      </c>
      <c r="CW122" s="3">
        <f>IF(AND(R122="profesional",ISNUMBER(AK122),AL122="sí"),0,TASA_DGT)</f>
        <v/>
      </c>
      <c r="CX122" s="3">
        <f>INFORME_DGT</f>
        <v/>
      </c>
      <c r="CY122" s="4">
        <f>O122+CV122+CU122+CW122+CX122</f>
        <v/>
      </c>
      <c r="CZ122" s="4">
        <f>CY122+N(CL122)</f>
        <v/>
      </c>
      <c r="DA122" s="3">
        <f>IF(CY122&lt;=TOTAL_MAX,"sí",IF(CY122&lt;=TOTAL_MAX+MARGEN_NEG,"negociar","no"))</f>
        <v/>
      </c>
      <c r="DB122" s="4">
        <f>IF(DA122&lt;&gt;"no",COUNTIFS($DA$2:$DA$130,"&lt;&gt;no",$CS$2:$CS$130,"&gt;"&amp;CS122)+COUNTIFS($DA$2:DA122,"&lt;&gt;no",$CS$2:CS122,CS122),"")</f>
        <v/>
      </c>
    </row>
    <row r="123">
      <c r="A123" s="2" t="inlineStr">
        <is>
          <t>cochesnet:71701564</t>
        </is>
      </c>
      <c r="B123" s="2" t="inlineStr">
        <is>
          <t>cochesnet</t>
        </is>
      </c>
      <c r="C123" s="2" t="inlineStr">
        <is>
          <t>https://www.coches.net/mini-mini-one-3p-gasolina-2005-en-valencia-71701564-covo.aspx</t>
        </is>
      </c>
      <c r="D123" s="2" t="inlineStr">
        <is>
          <t>MINI MINI One</t>
        </is>
      </c>
      <c r="E123" s="2" t="inlineStr">
        <is>
          <t>MINI</t>
        </is>
      </c>
      <c r="F123" s="2" t="inlineStr">
        <is>
          <t>MINI MINI</t>
        </is>
      </c>
      <c r="G123" s="2" t="n"/>
      <c r="H123" s="2" t="inlineStr">
        <is>
          <t>One</t>
        </is>
      </c>
      <c r="I123" s="2" t="n"/>
      <c r="J123" s="2" t="n"/>
      <c r="K123" s="2" t="inlineStr">
        <is>
          <t>gasolina</t>
        </is>
      </c>
      <c r="L123" s="2" t="inlineStr">
        <is>
          <t>utilitario</t>
        </is>
      </c>
      <c r="M123" s="2" t="n">
        <v>2005</v>
      </c>
      <c r="N123" s="2" t="n">
        <v>139000</v>
      </c>
      <c r="O123" s="2" t="n">
        <v>4990</v>
      </c>
      <c r="P123" s="2" t="inlineStr">
        <is>
          <t>manual</t>
        </is>
      </c>
      <c r="Q123" s="2" t="inlineStr">
        <is>
          <t>no</t>
        </is>
      </c>
      <c r="R123" s="2" t="inlineStr">
        <is>
          <t>profesional</t>
        </is>
      </c>
      <c r="S123" s="2" t="inlineStr">
        <is>
          <t>Valencia</t>
        </is>
      </c>
      <c r="T123" s="2" t="inlineStr">
        <is>
          <t>2026-10-08T11:33:25Z</t>
        </is>
      </c>
      <c r="U123" s="2" t="n">
        <v>13</v>
      </c>
      <c r="V123" s="2" t="n"/>
      <c r="W123" s="2" t="n"/>
      <c r="X123" s="2" t="n"/>
      <c r="Y123" s="2" t="n"/>
      <c r="Z123" s="2" t="inlineStr">
        <is>
          <t>sí</t>
        </is>
      </c>
      <c r="AA123" s="2" t="n"/>
      <c r="AB123" s="2" t="n">
        <v>12</v>
      </c>
      <c r="AC123" s="2" t="n"/>
      <c r="AD123" s="2" t="n"/>
      <c r="AE123" s="2" t="n"/>
      <c r="AF123" s="2" t="inlineStr">
        <is>
          <t>sí</t>
        </is>
      </c>
      <c r="AG123" s="2" t="n"/>
      <c r="AH123" s="2" t="n">
        <v>4990</v>
      </c>
      <c r="AI123" s="2" t="n"/>
      <c r="AJ123" s="2" t="n"/>
      <c r="AK123" s="2" t="n"/>
      <c r="AL123" s="2" t="n"/>
      <c r="AM123" s="2" t="n">
        <v>0.1</v>
      </c>
      <c r="AN123" s="2" t="n"/>
      <c r="AO123" s="2" t="inlineStr">
        <is>
          <t>2005</t>
        </is>
      </c>
      <c r="AP123" s="2" t="n">
        <v>2005</v>
      </c>
      <c r="AQ123" s="2" t="n"/>
      <c r="AR123" s="2" t="inlineStr">
        <is>
          <t>C</t>
        </is>
      </c>
      <c r="AS123" s="2" t="inlineStr">
        <is>
          <t>anuncio</t>
        </is>
      </c>
      <c r="AT123" s="2" t="n"/>
      <c r="AU123" s="2" t="inlineStr">
        <is>
          <t>no</t>
        </is>
      </c>
      <c r="AV123" s="2" t="inlineStr">
        <is>
          <t>no</t>
        </is>
      </c>
      <c r="AW123" s="2" t="inlineStr">
        <is>
          <t>no</t>
        </is>
      </c>
      <c r="AX123" s="2" t="n">
        <v>4990</v>
      </c>
      <c r="AY123" s="2" t="n">
        <v>5</v>
      </c>
      <c r="AZ123" s="2" t="inlineStr">
        <is>
          <t>modelo+año+km</t>
        </is>
      </c>
      <c r="BA123" s="2" t="n"/>
      <c r="BB123" s="2" t="inlineStr">
        <is>
          <t>por encima del presupuesto (5054 €), negociar; vendedor profesional: sin ITP (operación con IVA/REBU, confirmar en factura); gastos de gestión del vendedor no indicados: se suma la tasa DGT; preguntar el precio final; revisar: no menciona la ITV; fiabilidad del modelo PENDIENTE de fuente (puntuación neutra)</t>
        </is>
      </c>
      <c r="BC123" s="2" t="inlineStr">
        <is>
          <t>VISITAS CON CITA PREVIA.
KM EXACTOS: 144.643
MINI MINI ONE
Kilómetros Certificados. Nacional.
Cuenta con extras como:
- Asientos deportivos
- Sistema de audio Wave (Radio/CD)
- Airbag
- Aire acondicionado
- Ordenador de a bordo
- ABS
- Elevalunas eléctricos 
Cambio de titularidad 190€.
Posibilidad de envío a cualquier parte de España (consultar precios).
Garantía Europea adicional y/o ampliada (consultar precios)
Este anuncio no es vinculante, se muestra a titulo informativo y no contractual.
MINI MINI ONE en Bétera.
MINI ONE en Quart de Poblet.</t>
        </is>
      </c>
      <c r="BD123" s="2" t="inlineStr">
        <is>
          <t>https://www.coches.net/mini-mini-one-3p-gasolina-2005-en-valencia-71701564-covo.aspx (window.__INITIAL_PROPS__.ad) /home/user/Alopecia/buscador-coches/raw/cochesnet/216b96aaa0ecf3fa.json</t>
        </is>
      </c>
      <c r="BE123" s="3">
        <f>MAX(ANIO_ACTUAL-M123,0)</f>
        <v/>
      </c>
      <c r="BF123" s="4">
        <f>N123/MAX(BE123,0.5)</f>
        <v/>
      </c>
      <c r="BG123" s="4">
        <f>F123</f>
        <v/>
      </c>
      <c r="BH123" s="3">
        <f>BG123&amp;"|"&amp;INT(M123/SEG_ANIO)*SEG_ANIO</f>
        <v/>
      </c>
      <c r="BI123" s="3">
        <f>BH123&amp;"|"&amp;INT(N123/SEG_KM)*SEG_KM</f>
        <v/>
      </c>
      <c r="BJ123" s="4">
        <f>COUNTIF($BG$2:$BG$130,BG123)</f>
        <v/>
      </c>
      <c r="BK123" s="4">
        <f>COUNTIF($BH$2:$BH$130,BH123)</f>
        <v/>
      </c>
      <c r="BL123" s="4">
        <f>COUNTIF($BI$2:$BI$130,BI123)</f>
        <v/>
      </c>
      <c r="BM123" s="3">
        <f t="array" ref="BM123">IF(N(AY123)&gt;=MIN_N,AX123,IF(BL123&gt;=MIN_N,MEDIAN(IF($BI$2:$BI$130=BI123,$O$2:$O$130)),IF(BK123&gt;=MIN_N,MEDIAN(IF($BH$2:$BH$130=BH123,$O$2:$O$130)),MEDIAN(IF($BG$2:$BG$130=BG123,$O$2:$O$130)))))</f>
        <v/>
      </c>
      <c r="BN123" s="3">
        <f>IF(N(AY123)&gt;=MIN_N,"mercado "&amp;AZ123,IF(BL123&gt;=MIN_N,"modelo+año+km",IF(BK123&gt;=MIN_N,"modelo+año","modelo")))</f>
        <v/>
      </c>
      <c r="BO123" s="4">
        <f>(BM123-O123)/BM123</f>
        <v/>
      </c>
      <c r="BP123" s="3">
        <f>IF(COUNTIFS(FR_FUEL,K123,FR_YEAR,AP123)&gt;0,1,0)</f>
        <v/>
      </c>
      <c r="BQ123" s="3">
        <f>IF(COUNTIFS(FR_FUEL,K123,FR_YEAR,AP123-1)&gt;0,1,0)</f>
        <v/>
      </c>
      <c r="BR123" s="4">
        <f>IF(N(AQ123)&gt;0,AP123*100+AQ123,IF(AND(BP123=1,BQ123=1),(AP123-1)*100+1,AP123*100+1))</f>
        <v/>
      </c>
      <c r="BS123" s="3">
        <f>IF(OR(K123="hibrido",K123="glp",K123="gnc",K123="phev"),"ECO",IF(K123="electrico","CERO",IF(K123="gasolina",IF(BR123&gt;=GAS_C_YM,"C",IF(BR123&gt;=GAS_B_YM,"B","A")),IF(K123="diesel",IF(BR123&gt;=DIE_C_YM,"C",IF(BR123&gt;=DIE_B_YM,"B","A")),""))))</f>
        <v/>
      </c>
      <c r="BT123" s="2" t="inlineStr">
        <is>
          <t>C</t>
        </is>
      </c>
      <c r="BU123" s="4">
        <f>IF(AU123="sí","sí",IF(AS123="regla",IF(AND(N(AQ123)=0,BP123=1),"sí","no"),"no"))</f>
        <v/>
      </c>
      <c r="BV123" s="3">
        <f>IFERROR(VLOOKUP(F123,MOD_TBL,16,0),IFERROR(VLOOKUP(E123,OCU_TBL,2,0),NEUTRO))</f>
        <v/>
      </c>
      <c r="BW123" s="3">
        <f>SUMIFS(MOT_AJUSTE,MOT_MOTOR,G123,MOT_MARCA,E123,MOT_DESDE,"&lt;="&amp;M123,MOT_HASTA,"&gt;="&amp;M123)+SUMIFS(MOT_AJUSTE,MOT_MOTOR,G123,MOT_MARCA,"(todas)",MOT_DESDE,"&lt;="&amp;M123,MOT_HASTA,"&gt;="&amp;M123)+SUMIFS(MOT_AJUSTE,MOT_MOTOR,"(cualquiera)",MOT_MARCA,E123,MOT_DESDE,"&lt;="&amp;M123,MOT_HASTA,"&gt;="&amp;M123)</f>
        <v/>
      </c>
      <c r="BX123" s="3">
        <f>SUMIFS(COMB_AJUSTE,COMB_COMB,K123)</f>
        <v/>
      </c>
      <c r="BY123" s="3">
        <f>COUNTIFS(MOT_MOTOR,G123,MOT_MARCA,E123,MOT_DESDE,"&lt;="&amp;M123,MOT_HASTA,"&gt;="&amp;M123)+COUNTIFS(MOT_MOTOR,G123,MOT_MARCA,"(todas)",MOT_DESDE,"&lt;="&amp;M123,MOT_HASTA,"&gt;="&amp;M123)+COUNTIFS(MOT_MOTOR,"(cualquiera)",MOT_MARCA,E123,MOT_DESDE,"&lt;="&amp;M123,MOT_HASTA,"&gt;="&amp;M123)</f>
        <v/>
      </c>
      <c r="BZ123" s="3">
        <f>IF(AND(K123="diesel",BY123=0),MIN(BV123,NEUTRO),BV123)</f>
        <v/>
      </c>
      <c r="CA123" s="3">
        <f>MAX(0,MIN(100,BZ123+BW123+BX123-IF(AV123="sí",ROB_PEN,0)))</f>
        <v/>
      </c>
      <c r="CB123" s="3">
        <f>100-MAX(0,N123-KM_TOPE_DESDE)/1000*KM_TOPE_PTS</f>
        <v/>
      </c>
      <c r="CC123" s="3">
        <f>MAX(0,MIN(100,50+BO123*PRECIO_PEND,CB123))</f>
        <v/>
      </c>
      <c r="CD123" s="3">
        <f>MAX(0,100*(1-N123/KM_MAX))</f>
        <v/>
      </c>
      <c r="CE123" s="3">
        <f>IF(BF123&lt;KMA_SOSP,IF(AA123="sí",100,KMA_PEN),IF(BF123&lt;=KMA_IDEAL_MAX,100,MAX(0,100*(KMA_CERO-BF123)/(KMA_CERO-KMA_IDEAL_MAX))))</f>
        <v/>
      </c>
      <c r="CF123" s="3">
        <f>MAX(0,MIN(100,100*(M123-ANIO_MIN)/(ANIO_ACTUAL-ANIO_MIN)))</f>
        <v/>
      </c>
      <c r="CG123" s="3">
        <f>W_KMT*CD123+W_KMA*CE123+W_EDAD*CF123</f>
        <v/>
      </c>
      <c r="CH123" s="3">
        <f>P_ITV*(V123="sí")+P_LIBRO*(W123="sí")+P_CORREA*(X123="sí")+P_PROP*(Y123=1)+P_GAR*(Z123="sí")+P_FOTOS*MIN(1,N(U123)/FOTOS_OBJ)</f>
        <v/>
      </c>
      <c r="CI123" s="3">
        <f>MAX(0,MIN(100,IFERROR(VLOOKUP(BT123,ETQ_TBL,2,0),0)-IF(BU123="sí",ETQ_PEN_DUD,IF(AS123="regla",ETQ_PEN_REGLA,0))))</f>
        <v/>
      </c>
      <c r="CJ123" s="3">
        <f>IF(K123&lt;&gt;"gasolina","",IFERROR(VLOOKUP(F123,CONS_MOD_TBL,2,0),IFERROR(VLOOKUP(L123,CONS_SEG_TBL,2,0),"")))</f>
        <v/>
      </c>
      <c r="CK123" s="3">
        <f>IF(CJ123="",NEUTRO,MAX(0,MIN(100,100*(CONS_REF_MAX-CJ123)/(CONS_REF_MAX-CONS_REF_MIN))))</f>
        <v/>
      </c>
      <c r="CL123" s="3">
        <f>IFERROR(VLOOKUP(L123,SEGURO_TBL,3,0),"")</f>
        <v/>
      </c>
      <c r="CM123" s="3">
        <f>IF(CL123="",NEUTRO,MAX(0,MIN(100,100*(SEG_REF_MAX-CL123)/(SEG_REF_MAX-SEG_REF_MIN))))</f>
        <v/>
      </c>
      <c r="CN123" s="3">
        <f>W_CONS*CK123+W_SEG*CM123</f>
        <v/>
      </c>
      <c r="CO123" s="3">
        <f>IF(N(AB123)&gt;0,AB123,IF(AND(R123="profesional",SG_LEGAL_ON=1),GAR_LEGAL,0))</f>
        <v/>
      </c>
      <c r="CP123" s="3">
        <f>SG_GAR*MIN(1,CO123/SG_GAR_FULL)+SG_AMPL*(AC123="sí")+SG_KMC*(AF123="sí")+SG_REV*(N(AE123)&gt;0)+SG_DEV*MIN(1,N(AG123)/SG_DEV_FULL)+SG_HIST*(W123="sí")</f>
        <v/>
      </c>
      <c r="CQ123" s="3">
        <f>IF(AW123="sí",ESTILO_PRIO,IFERROR(VLOOKUP(L123,ESTILO_TBL,2,0),NEUTRO))</f>
        <v/>
      </c>
      <c r="CR123" s="3">
        <f>IFERROR(VLOOKUP(L123,CARR_PEN_TBL,2,0),0)</f>
        <v/>
      </c>
      <c r="CS123" s="3">
        <f>W_FIAB*CA123+W_PRECIO*CC123+W_KMEDAD*CG123+W_ANUNCIO*CH123+W_USO*CN123+W_SEGURIDAD*CP123+W_ETIQUETA*CI123+W_ESTILO*CQ123-CR123</f>
        <v/>
      </c>
      <c r="CT123" s="4">
        <f>IF(N(I123)&gt;0,I123,IFERROR(ROUND(_xlfn.NUMBERVALUE(LEFT(G123,FIND(" ",G123&amp;" ")-1),".")*1000,0),99999))</f>
        <v/>
      </c>
      <c r="CU123" s="3">
        <f>IF(R123="profesional",0,IF(O123&lt;CUOTA_VALOR_MAX,IF(BE123&gt;ITP_TRAMO_ALTO,SUMIFS(CF_CUOTA,CF_MAS,ITP_TRAMO_ALTO,CF_CCMIN,"&lt;="&amp;CT123,CF_CCMAX,"&gt;="&amp;CT123),IF(BE123&gt;ITP_TRAMO_BAJO,SUMIFS(CF_CUOTA,CF_MAS,ITP_TRAMO_BAJO,CF_CCMIN,"&lt;="&amp;CT123,CF_CCMAX,"&gt;="&amp;CT123),O123*ITP_TIPO)),O123*ITP_TIPO))</f>
        <v/>
      </c>
      <c r="CV123" s="4">
        <f>IF(R123="profesional",N(AK123),0)</f>
        <v/>
      </c>
      <c r="CW123" s="3">
        <f>IF(AND(R123="profesional",ISNUMBER(AK123),AL123="sí"),0,TASA_DGT)</f>
        <v/>
      </c>
      <c r="CX123" s="3">
        <f>INFORME_DGT</f>
        <v/>
      </c>
      <c r="CY123" s="4">
        <f>O123+CV123+CU123+CW123+CX123</f>
        <v/>
      </c>
      <c r="CZ123" s="4">
        <f>CY123+N(CL123)</f>
        <v/>
      </c>
      <c r="DA123" s="3">
        <f>IF(CY123&lt;=TOTAL_MAX,"sí",IF(CY123&lt;=TOTAL_MAX+MARGEN_NEG,"negociar","no"))</f>
        <v/>
      </c>
      <c r="DB123" s="4">
        <f>IF(DA123&lt;&gt;"no",COUNTIFS($DA$2:$DA$130,"&lt;&gt;no",$CS$2:$CS$130,"&gt;"&amp;CS123)+COUNTIFS($DA$2:DA123,"&lt;&gt;no",$CS$2:CS123,CS123),"")</f>
        <v/>
      </c>
    </row>
    <row r="124">
      <c r="A124" s="2" t="inlineStr">
        <is>
          <t>cochesnet:70490221</t>
        </is>
      </c>
      <c r="B124" s="2" t="inlineStr">
        <is>
          <t>cochesnet</t>
        </is>
      </c>
      <c r="C124" s="2" t="inlineStr">
        <is>
          <t>https://www.coches.net/chevrolet-nubira-16-se-4p-gasolina-2005-en-valencia-70490221-covo.aspx</t>
        </is>
      </c>
      <c r="D124" s="2" t="inlineStr">
        <is>
          <t>CHEVROLET Nubira 1.6 SE</t>
        </is>
      </c>
      <c r="E124" s="2" t="inlineStr">
        <is>
          <t>Chevrolet</t>
        </is>
      </c>
      <c r="F124" s="2" t="inlineStr">
        <is>
          <t>Chevrolet Nubira</t>
        </is>
      </c>
      <c r="G124" s="2" t="inlineStr">
        <is>
          <t>1.6</t>
        </is>
      </c>
      <c r="H124" s="2" t="inlineStr">
        <is>
          <t>1.6 SE</t>
        </is>
      </c>
      <c r="I124" s="2" t="n"/>
      <c r="J124" s="2" t="n"/>
      <c r="K124" s="2" t="inlineStr">
        <is>
          <t>gasolina</t>
        </is>
      </c>
      <c r="L124" s="2" t="inlineStr">
        <is>
          <t>compacto</t>
        </is>
      </c>
      <c r="M124" s="2" t="n">
        <v>2005</v>
      </c>
      <c r="N124" s="2" t="n">
        <v>102000</v>
      </c>
      <c r="O124" s="2" t="n">
        <v>4300</v>
      </c>
      <c r="P124" s="2" t="inlineStr">
        <is>
          <t>manual</t>
        </is>
      </c>
      <c r="Q124" s="2" t="inlineStr">
        <is>
          <t>no</t>
        </is>
      </c>
      <c r="R124" s="2" t="inlineStr">
        <is>
          <t>profesional</t>
        </is>
      </c>
      <c r="S124" s="2" t="inlineStr">
        <is>
          <t>SMART CAR Valencia</t>
        </is>
      </c>
      <c r="T124" s="2" t="inlineStr">
        <is>
          <t>2026-10-20T13:16:43Z</t>
        </is>
      </c>
      <c r="U124" s="2" t="n">
        <v>9</v>
      </c>
      <c r="V124" s="2" t="n"/>
      <c r="W124" s="2" t="n"/>
      <c r="X124" s="2" t="n"/>
      <c r="Y124" s="2" t="n"/>
      <c r="Z124" s="2" t="inlineStr">
        <is>
          <t>sí</t>
        </is>
      </c>
      <c r="AA124" s="2" t="n"/>
      <c r="AB124" s="2" t="n">
        <v>12</v>
      </c>
      <c r="AC124" s="2" t="n"/>
      <c r="AD124" s="2" t="n"/>
      <c r="AE124" s="2" t="n"/>
      <c r="AF124" s="2" t="n"/>
      <c r="AG124" s="2" t="n"/>
      <c r="AH124" s="2" t="n">
        <v>4300</v>
      </c>
      <c r="AI124" s="2" t="n"/>
      <c r="AJ124" s="2" t="n"/>
      <c r="AK124" s="2" t="n"/>
      <c r="AL124" s="2" t="n"/>
      <c r="AM124" s="2" t="n">
        <v>0.1</v>
      </c>
      <c r="AN124" s="2" t="n"/>
      <c r="AO124" s="2" t="inlineStr">
        <is>
          <t>2005</t>
        </is>
      </c>
      <c r="AP124" s="2" t="n">
        <v>2005</v>
      </c>
      <c r="AQ124" s="2" t="n"/>
      <c r="AR124" s="2" t="inlineStr">
        <is>
          <t>C</t>
        </is>
      </c>
      <c r="AS124" s="2" t="inlineStr">
        <is>
          <t>anuncio</t>
        </is>
      </c>
      <c r="AT124" s="2" t="n"/>
      <c r="AU124" s="2" t="inlineStr">
        <is>
          <t>no</t>
        </is>
      </c>
      <c r="AV124" s="2" t="inlineStr">
        <is>
          <t>no</t>
        </is>
      </c>
      <c r="AW124" s="2" t="inlineStr">
        <is>
          <t>no</t>
        </is>
      </c>
      <c r="AX124" s="2" t="n">
        <v>3099.5</v>
      </c>
      <c r="AY124" s="2" t="n">
        <v>4</v>
      </c>
      <c r="AZ124" s="2" t="inlineStr">
        <is>
          <t>modelo+año+km</t>
        </is>
      </c>
      <c r="BA124" s="2" t="n"/>
      <c r="BB124" s="2" t="inlineStr">
        <is>
          <t>vendedor profesional: sin ITP (operación con IVA/REBU, confirmar en factura); gastos de gestión del vendedor no indicados: se suma la tasa DGT; preguntar el precio final; revisar: no menciona la ITV; fiabilidad del modelo PENDIENTE de fuente (puntuación neutra)</t>
        </is>
      </c>
      <c r="BC124" s="2" t="inlineStr">
        <is>
          <t>Coche en muy buen estado tanto Exterior como Interior, se entrega revisado y con cambio de nombre incluido en el precio.
No dejes pasar esta oportunidad y pasa por nuestro concesionario, estaremos encantados de atenderte.
Algunas característica: Cierre centralizado elevalunas eléctricos delanteros y traseros, climatizador, etc.
Este anuncio se muestra a nivel informativo , no tiene carácter contractual puede contener errores.</t>
        </is>
      </c>
      <c r="BD124" s="2" t="inlineStr">
        <is>
          <t>https://www.coches.net/chevrolet-nubira-16-se-4p-gasolina-2005-en-valencia-70490221-covo.aspx (window.__INITIAL_PROPS__.ad) /home/user/Alopecia/buscador-coches/raw/cochesnet/c7aab827f1b44856.json</t>
        </is>
      </c>
      <c r="BE124" s="3">
        <f>MAX(ANIO_ACTUAL-M124,0)</f>
        <v/>
      </c>
      <c r="BF124" s="4">
        <f>N124/MAX(BE124,0.5)</f>
        <v/>
      </c>
      <c r="BG124" s="4">
        <f>F124</f>
        <v/>
      </c>
      <c r="BH124" s="3">
        <f>BG124&amp;"|"&amp;INT(M124/SEG_ANIO)*SEG_ANIO</f>
        <v/>
      </c>
      <c r="BI124" s="3">
        <f>BH124&amp;"|"&amp;INT(N124/SEG_KM)*SEG_KM</f>
        <v/>
      </c>
      <c r="BJ124" s="4">
        <f>COUNTIF($BG$2:$BG$130,BG124)</f>
        <v/>
      </c>
      <c r="BK124" s="4">
        <f>COUNTIF($BH$2:$BH$130,BH124)</f>
        <v/>
      </c>
      <c r="BL124" s="4">
        <f>COUNTIF($BI$2:$BI$130,BI124)</f>
        <v/>
      </c>
      <c r="BM124" s="3">
        <f t="array" ref="BM124">IF(N(AY124)&gt;=MIN_N,AX124,IF(BL124&gt;=MIN_N,MEDIAN(IF($BI$2:$BI$130=BI124,$O$2:$O$130)),IF(BK124&gt;=MIN_N,MEDIAN(IF($BH$2:$BH$130=BH124,$O$2:$O$130)),MEDIAN(IF($BG$2:$BG$130=BG124,$O$2:$O$130)))))</f>
        <v/>
      </c>
      <c r="BN124" s="3">
        <f>IF(N(AY124)&gt;=MIN_N,"mercado "&amp;AZ124,IF(BL124&gt;=MIN_N,"modelo+año+km",IF(BK124&gt;=MIN_N,"modelo+año","modelo")))</f>
        <v/>
      </c>
      <c r="BO124" s="4">
        <f>(BM124-O124)/BM124</f>
        <v/>
      </c>
      <c r="BP124" s="3">
        <f>IF(COUNTIFS(FR_FUEL,K124,FR_YEAR,AP124)&gt;0,1,0)</f>
        <v/>
      </c>
      <c r="BQ124" s="3">
        <f>IF(COUNTIFS(FR_FUEL,K124,FR_YEAR,AP124-1)&gt;0,1,0)</f>
        <v/>
      </c>
      <c r="BR124" s="4">
        <f>IF(N(AQ124)&gt;0,AP124*100+AQ124,IF(AND(BP124=1,BQ124=1),(AP124-1)*100+1,AP124*100+1))</f>
        <v/>
      </c>
      <c r="BS124" s="3">
        <f>IF(OR(K124="hibrido",K124="glp",K124="gnc",K124="phev"),"ECO",IF(K124="electrico","CERO",IF(K124="gasolina",IF(BR124&gt;=GAS_C_YM,"C",IF(BR124&gt;=GAS_B_YM,"B","A")),IF(K124="diesel",IF(BR124&gt;=DIE_C_YM,"C",IF(BR124&gt;=DIE_B_YM,"B","A")),""))))</f>
        <v/>
      </c>
      <c r="BT124" s="2" t="inlineStr">
        <is>
          <t>C</t>
        </is>
      </c>
      <c r="BU124" s="4">
        <f>IF(AU124="sí","sí",IF(AS124="regla",IF(AND(N(AQ124)=0,BP124=1),"sí","no"),"no"))</f>
        <v/>
      </c>
      <c r="BV124" s="3">
        <f>IFERROR(VLOOKUP(F124,MOD_TBL,16,0),IFERROR(VLOOKUP(E124,OCU_TBL,2,0),NEUTRO))</f>
        <v/>
      </c>
      <c r="BW124" s="3">
        <f>SUMIFS(MOT_AJUSTE,MOT_MOTOR,G124,MOT_MARCA,E124,MOT_DESDE,"&lt;="&amp;M124,MOT_HASTA,"&gt;="&amp;M124)+SUMIFS(MOT_AJUSTE,MOT_MOTOR,G124,MOT_MARCA,"(todas)",MOT_DESDE,"&lt;="&amp;M124,MOT_HASTA,"&gt;="&amp;M124)+SUMIFS(MOT_AJUSTE,MOT_MOTOR,"(cualquiera)",MOT_MARCA,E124,MOT_DESDE,"&lt;="&amp;M124,MOT_HASTA,"&gt;="&amp;M124)</f>
        <v/>
      </c>
      <c r="BX124" s="3">
        <f>SUMIFS(COMB_AJUSTE,COMB_COMB,K124)</f>
        <v/>
      </c>
      <c r="BY124" s="3">
        <f>COUNTIFS(MOT_MOTOR,G124,MOT_MARCA,E124,MOT_DESDE,"&lt;="&amp;M124,MOT_HASTA,"&gt;="&amp;M124)+COUNTIFS(MOT_MOTOR,G124,MOT_MARCA,"(todas)",MOT_DESDE,"&lt;="&amp;M124,MOT_HASTA,"&gt;="&amp;M124)+COUNTIFS(MOT_MOTOR,"(cualquiera)",MOT_MARCA,E124,MOT_DESDE,"&lt;="&amp;M124,MOT_HASTA,"&gt;="&amp;M124)</f>
        <v/>
      </c>
      <c r="BZ124" s="3">
        <f>IF(AND(K124="diesel",BY124=0),MIN(BV124,NEUTRO),BV124)</f>
        <v/>
      </c>
      <c r="CA124" s="3">
        <f>MAX(0,MIN(100,BZ124+BW124+BX124-IF(AV124="sí",ROB_PEN,0)))</f>
        <v/>
      </c>
      <c r="CB124" s="3">
        <f>100-MAX(0,N124-KM_TOPE_DESDE)/1000*KM_TOPE_PTS</f>
        <v/>
      </c>
      <c r="CC124" s="3">
        <f>MAX(0,MIN(100,50+BO124*PRECIO_PEND,CB124))</f>
        <v/>
      </c>
      <c r="CD124" s="3">
        <f>MAX(0,100*(1-N124/KM_MAX))</f>
        <v/>
      </c>
      <c r="CE124" s="3">
        <f>IF(BF124&lt;KMA_SOSP,IF(AA124="sí",100,KMA_PEN),IF(BF124&lt;=KMA_IDEAL_MAX,100,MAX(0,100*(KMA_CERO-BF124)/(KMA_CERO-KMA_IDEAL_MAX))))</f>
        <v/>
      </c>
      <c r="CF124" s="3">
        <f>MAX(0,MIN(100,100*(M124-ANIO_MIN)/(ANIO_ACTUAL-ANIO_MIN)))</f>
        <v/>
      </c>
      <c r="CG124" s="3">
        <f>W_KMT*CD124+W_KMA*CE124+W_EDAD*CF124</f>
        <v/>
      </c>
      <c r="CH124" s="3">
        <f>P_ITV*(V124="sí")+P_LIBRO*(W124="sí")+P_CORREA*(X124="sí")+P_PROP*(Y124=1)+P_GAR*(Z124="sí")+P_FOTOS*MIN(1,N(U124)/FOTOS_OBJ)</f>
        <v/>
      </c>
      <c r="CI124" s="3">
        <f>MAX(0,MIN(100,IFERROR(VLOOKUP(BT124,ETQ_TBL,2,0),0)-IF(BU124="sí",ETQ_PEN_DUD,IF(AS124="regla",ETQ_PEN_REGLA,0))))</f>
        <v/>
      </c>
      <c r="CJ124" s="3">
        <f>IF(K124&lt;&gt;"gasolina","",IFERROR(VLOOKUP(F124,CONS_MOD_TBL,2,0),IFERROR(VLOOKUP(L124,CONS_SEG_TBL,2,0),"")))</f>
        <v/>
      </c>
      <c r="CK124" s="3">
        <f>IF(CJ124="",NEUTRO,MAX(0,MIN(100,100*(CONS_REF_MAX-CJ124)/(CONS_REF_MAX-CONS_REF_MIN))))</f>
        <v/>
      </c>
      <c r="CL124" s="3">
        <f>IFERROR(VLOOKUP(L124,SEGURO_TBL,3,0),"")</f>
        <v/>
      </c>
      <c r="CM124" s="3">
        <f>IF(CL124="",NEUTRO,MAX(0,MIN(100,100*(SEG_REF_MAX-CL124)/(SEG_REF_MAX-SEG_REF_MIN))))</f>
        <v/>
      </c>
      <c r="CN124" s="3">
        <f>W_CONS*CK124+W_SEG*CM124</f>
        <v/>
      </c>
      <c r="CO124" s="3">
        <f>IF(N(AB124)&gt;0,AB124,IF(AND(R124="profesional",SG_LEGAL_ON=1),GAR_LEGAL,0))</f>
        <v/>
      </c>
      <c r="CP124" s="3">
        <f>SG_GAR*MIN(1,CO124/SG_GAR_FULL)+SG_AMPL*(AC124="sí")+SG_KMC*(AF124="sí")+SG_REV*(N(AE124)&gt;0)+SG_DEV*MIN(1,N(AG124)/SG_DEV_FULL)+SG_HIST*(W124="sí")</f>
        <v/>
      </c>
      <c r="CQ124" s="3">
        <f>IF(AW124="sí",ESTILO_PRIO,IFERROR(VLOOKUP(L124,ESTILO_TBL,2,0),NEUTRO))</f>
        <v/>
      </c>
      <c r="CR124" s="3">
        <f>IFERROR(VLOOKUP(L124,CARR_PEN_TBL,2,0),0)</f>
        <v/>
      </c>
      <c r="CS124" s="3">
        <f>W_FIAB*CA124+W_PRECIO*CC124+W_KMEDAD*CG124+W_ANUNCIO*CH124+W_USO*CN124+W_SEGURIDAD*CP124+W_ETIQUETA*CI124+W_ESTILO*CQ124-CR124</f>
        <v/>
      </c>
      <c r="CT124" s="4">
        <f>IF(N(I124)&gt;0,I124,IFERROR(ROUND(_xlfn.NUMBERVALUE(LEFT(G124,FIND(" ",G124&amp;" ")-1),".")*1000,0),99999))</f>
        <v/>
      </c>
      <c r="CU124" s="3">
        <f>IF(R124="profesional",0,IF(O124&lt;CUOTA_VALOR_MAX,IF(BE124&gt;ITP_TRAMO_ALTO,SUMIFS(CF_CUOTA,CF_MAS,ITP_TRAMO_ALTO,CF_CCMIN,"&lt;="&amp;CT124,CF_CCMAX,"&gt;="&amp;CT124),IF(BE124&gt;ITP_TRAMO_BAJO,SUMIFS(CF_CUOTA,CF_MAS,ITP_TRAMO_BAJO,CF_CCMIN,"&lt;="&amp;CT124,CF_CCMAX,"&gt;="&amp;CT124),O124*ITP_TIPO)),O124*ITP_TIPO))</f>
        <v/>
      </c>
      <c r="CV124" s="4">
        <f>IF(R124="profesional",N(AK124),0)</f>
        <v/>
      </c>
      <c r="CW124" s="3">
        <f>IF(AND(R124="profesional",ISNUMBER(AK124),AL124="sí"),0,TASA_DGT)</f>
        <v/>
      </c>
      <c r="CX124" s="3">
        <f>INFORME_DGT</f>
        <v/>
      </c>
      <c r="CY124" s="4">
        <f>O124+CV124+CU124+CW124+CX124</f>
        <v/>
      </c>
      <c r="CZ124" s="4">
        <f>CY124+N(CL124)</f>
        <v/>
      </c>
      <c r="DA124" s="3">
        <f>IF(CY124&lt;=TOTAL_MAX,"sí",IF(CY124&lt;=TOTAL_MAX+MARGEN_NEG,"negociar","no"))</f>
        <v/>
      </c>
      <c r="DB124" s="4">
        <f>IF(DA124&lt;&gt;"no",COUNTIFS($DA$2:$DA$130,"&lt;&gt;no",$CS$2:$CS$130,"&gt;"&amp;CS124)+COUNTIFS($DA$2:DA124,"&lt;&gt;no",$CS$2:CS124,CS124),"")</f>
        <v/>
      </c>
    </row>
    <row r="125">
      <c r="A125" s="2" t="inlineStr">
        <is>
          <t>cochesnet:71566674</t>
        </is>
      </c>
      <c r="B125" s="2" t="inlineStr">
        <is>
          <t>cochesnet</t>
        </is>
      </c>
      <c r="C125" s="2" t="inlineStr">
        <is>
          <t>https://www.coches.net/mazda-mazda2-sportive-16-5p-gasolina-2003-en-castellon-71566674-covo.aspx</t>
        </is>
      </c>
      <c r="D125" s="2" t="inlineStr">
        <is>
          <t>MAZDA Mazda2 Sportive 1.6</t>
        </is>
      </c>
      <c r="E125" s="2" t="inlineStr">
        <is>
          <t>Mazda</t>
        </is>
      </c>
      <c r="F125" s="2" t="inlineStr">
        <is>
          <t>Mazda 2</t>
        </is>
      </c>
      <c r="G125" s="2" t="inlineStr">
        <is>
          <t>1.6</t>
        </is>
      </c>
      <c r="H125" s="2" t="inlineStr">
        <is>
          <t>Sportive 1.6</t>
        </is>
      </c>
      <c r="I125" s="2" t="n"/>
      <c r="J125" s="2" t="n"/>
      <c r="K125" s="2" t="inlineStr">
        <is>
          <t>gasolina</t>
        </is>
      </c>
      <c r="L125" s="2" t="inlineStr">
        <is>
          <t>utilitario</t>
        </is>
      </c>
      <c r="M125" s="2" t="n">
        <v>2005</v>
      </c>
      <c r="N125" s="2" t="n">
        <v>120000</v>
      </c>
      <c r="O125" s="2" t="n">
        <v>4350</v>
      </c>
      <c r="P125" s="2" t="inlineStr">
        <is>
          <t>manual</t>
        </is>
      </c>
      <c r="Q125" s="2" t="inlineStr">
        <is>
          <t>no</t>
        </is>
      </c>
      <c r="R125" s="2" t="inlineStr">
        <is>
          <t>profesional</t>
        </is>
      </c>
      <c r="S125" s="2" t="inlineStr">
        <is>
          <t>Andrés Cars Castellón de la Plana / Castelló de la Plana</t>
        </is>
      </c>
      <c r="T125" s="2" t="inlineStr">
        <is>
          <t>2026-09-21T22:20:44Z</t>
        </is>
      </c>
      <c r="U125" s="2" t="n">
        <v>37</v>
      </c>
      <c r="V125" s="2" t="n"/>
      <c r="W125" s="2" t="n"/>
      <c r="X125" s="2" t="n"/>
      <c r="Y125" s="2" t="n">
        <v>1</v>
      </c>
      <c r="Z125" s="2" t="inlineStr">
        <is>
          <t>sí</t>
        </is>
      </c>
      <c r="AA125" s="2" t="n"/>
      <c r="AB125" s="2" t="n">
        <v>12</v>
      </c>
      <c r="AC125" s="2" t="n"/>
      <c r="AD125" s="2" t="n"/>
      <c r="AE125" s="2" t="n"/>
      <c r="AF125" s="2" t="n"/>
      <c r="AG125" s="2" t="n"/>
      <c r="AH125" s="2" t="n">
        <v>4350</v>
      </c>
      <c r="AI125" s="2" t="n"/>
      <c r="AJ125" s="2" t="n"/>
      <c r="AK125" s="2" t="n"/>
      <c r="AL125" s="2" t="n"/>
      <c r="AM125" s="2" t="n"/>
      <c r="AN125" s="2" t="n"/>
      <c r="AO125" s="2" t="inlineStr">
        <is>
          <t>2005</t>
        </is>
      </c>
      <c r="AP125" s="2" t="n">
        <v>2005</v>
      </c>
      <c r="AQ125" s="2" t="n"/>
      <c r="AR125" s="2" t="inlineStr">
        <is>
          <t>B</t>
        </is>
      </c>
      <c r="AS125" s="2" t="inlineStr">
        <is>
          <t>anuncio</t>
        </is>
      </c>
      <c r="AT125" s="2" t="n">
        <v>2003</v>
      </c>
      <c r="AU125" s="2" t="inlineStr">
        <is>
          <t>no</t>
        </is>
      </c>
      <c r="AV125" s="2" t="inlineStr">
        <is>
          <t>no</t>
        </is>
      </c>
      <c r="AW125" s="2" t="inlineStr">
        <is>
          <t>no</t>
        </is>
      </c>
      <c r="AX125" s="2" t="n"/>
      <c r="AY125" s="2" t="n"/>
      <c r="AZ125" s="2" t="n"/>
      <c r="BA125" s="2" t="n"/>
      <c r="BB125" s="2" t="inlineStr">
        <is>
          <t>año a confirmar: la URL/título dice 2003; vendedor profesional: sin ITP (operación con IVA/REBU, confirmar en factura); gastos de gestión del vendedor no indicados: se suma la tasa DGT; preguntar el precio final; distancia no verificable (el anuncio solo indica la provincia): confirmar que está a &lt;= 70 km; mediana con solo 3 anuncio(s)</t>
        </is>
      </c>
      <c r="BC125" s="2" t="inlineStr">
        <is>
          <t xml:space="preserve">Etiqueta medio ambiental B .
Se vende precioso mazda 2 , nacional, procedente de primera mano y siempre en garaje.
Lleva motor 1,6 gasolina con 100 CV de potencia y distribución por cadena.
Es el acabado sportive y lleva : aire acondicionado , elevalunas eléctricos , ordenador al bordo , cierre , ABS......
Vehículo en perfecto estado.
Admito prueba de taller.
ITV y documentación al día.
Cambio de nombre aparte 150 euros
Precio No negociable.. 
Anuncio  con titulo informativo y no contractual.
GRACIAS. 
Se puede recibir vehiculo como forma de pago.
</t>
        </is>
      </c>
      <c r="BD125" s="2" t="inlineStr">
        <is>
          <t>https://www.coches.net/mazda-mazda2-sportive-16-5p-gasolina-2003-en-castellon-71566674-covo.aspx (window.__INITIAL_PROPS__.ad) /home/user/Alopecia/buscador-coches/raw/cochesnet/46d8e99f6649c20d.json</t>
        </is>
      </c>
      <c r="BE125" s="3">
        <f>MAX(ANIO_ACTUAL-M125,0)</f>
        <v/>
      </c>
      <c r="BF125" s="4">
        <f>N125/MAX(BE125,0.5)</f>
        <v/>
      </c>
      <c r="BG125" s="4">
        <f>F125</f>
        <v/>
      </c>
      <c r="BH125" s="3">
        <f>BG125&amp;"|"&amp;INT(M125/SEG_ANIO)*SEG_ANIO</f>
        <v/>
      </c>
      <c r="BI125" s="3">
        <f>BH125&amp;"|"&amp;INT(N125/SEG_KM)*SEG_KM</f>
        <v/>
      </c>
      <c r="BJ125" s="4">
        <f>COUNTIF($BG$2:$BG$130,BG125)</f>
        <v/>
      </c>
      <c r="BK125" s="4">
        <f>COUNTIF($BH$2:$BH$130,BH125)</f>
        <v/>
      </c>
      <c r="BL125" s="4">
        <f>COUNTIF($BI$2:$BI$130,BI125)</f>
        <v/>
      </c>
      <c r="BM125" s="3">
        <f t="array" ref="BM125">IF(N(AY125)&gt;=MIN_N,AX125,IF(BL125&gt;=MIN_N,MEDIAN(IF($BI$2:$BI$130=BI125,$O$2:$O$130)),IF(BK125&gt;=MIN_N,MEDIAN(IF($BH$2:$BH$130=BH125,$O$2:$O$130)),MEDIAN(IF($BG$2:$BG$130=BG125,$O$2:$O$130)))))</f>
        <v/>
      </c>
      <c r="BN125" s="3">
        <f>IF(N(AY125)&gt;=MIN_N,"mercado "&amp;AZ125,IF(BL125&gt;=MIN_N,"modelo+año+km",IF(BK125&gt;=MIN_N,"modelo+año","modelo")))</f>
        <v/>
      </c>
      <c r="BO125" s="4">
        <f>(BM125-O125)/BM125</f>
        <v/>
      </c>
      <c r="BP125" s="3">
        <f>IF(COUNTIFS(FR_FUEL,K125,FR_YEAR,AP125)&gt;0,1,0)</f>
        <v/>
      </c>
      <c r="BQ125" s="3">
        <f>IF(COUNTIFS(FR_FUEL,K125,FR_YEAR,AP125-1)&gt;0,1,0)</f>
        <v/>
      </c>
      <c r="BR125" s="4">
        <f>IF(N(AQ125)&gt;0,AP125*100+AQ125,IF(AND(BP125=1,BQ125=1),(AP125-1)*100+1,AP125*100+1))</f>
        <v/>
      </c>
      <c r="BS125" s="3">
        <f>IF(OR(K125="hibrido",K125="glp",K125="gnc",K125="phev"),"ECO",IF(K125="electrico","CERO",IF(K125="gasolina",IF(BR125&gt;=GAS_C_YM,"C",IF(BR125&gt;=GAS_B_YM,"B","A")),IF(K125="diesel",IF(BR125&gt;=DIE_C_YM,"C",IF(BR125&gt;=DIE_B_YM,"B","A")),""))))</f>
        <v/>
      </c>
      <c r="BT125" s="2" t="inlineStr">
        <is>
          <t>B</t>
        </is>
      </c>
      <c r="BU125" s="4">
        <f>IF(AU125="sí","sí",IF(AS125="regla",IF(AND(N(AQ125)=0,BP125=1),"sí","no"),"no"))</f>
        <v/>
      </c>
      <c r="BV125" s="3">
        <f>IFERROR(VLOOKUP(F125,MOD_TBL,16,0),IFERROR(VLOOKUP(E125,OCU_TBL,2,0),NEUTRO))</f>
        <v/>
      </c>
      <c r="BW125" s="3">
        <f>SUMIFS(MOT_AJUSTE,MOT_MOTOR,G125,MOT_MARCA,E125,MOT_DESDE,"&lt;="&amp;M125,MOT_HASTA,"&gt;="&amp;M125)+SUMIFS(MOT_AJUSTE,MOT_MOTOR,G125,MOT_MARCA,"(todas)",MOT_DESDE,"&lt;="&amp;M125,MOT_HASTA,"&gt;="&amp;M125)+SUMIFS(MOT_AJUSTE,MOT_MOTOR,"(cualquiera)",MOT_MARCA,E125,MOT_DESDE,"&lt;="&amp;M125,MOT_HASTA,"&gt;="&amp;M125)</f>
        <v/>
      </c>
      <c r="BX125" s="3">
        <f>SUMIFS(COMB_AJUSTE,COMB_COMB,K125)</f>
        <v/>
      </c>
      <c r="BY125" s="3">
        <f>COUNTIFS(MOT_MOTOR,G125,MOT_MARCA,E125,MOT_DESDE,"&lt;="&amp;M125,MOT_HASTA,"&gt;="&amp;M125)+COUNTIFS(MOT_MOTOR,G125,MOT_MARCA,"(todas)",MOT_DESDE,"&lt;="&amp;M125,MOT_HASTA,"&gt;="&amp;M125)+COUNTIFS(MOT_MOTOR,"(cualquiera)",MOT_MARCA,E125,MOT_DESDE,"&lt;="&amp;M125,MOT_HASTA,"&gt;="&amp;M125)</f>
        <v/>
      </c>
      <c r="BZ125" s="3">
        <f>IF(AND(K125="diesel",BY125=0),MIN(BV125,NEUTRO),BV125)</f>
        <v/>
      </c>
      <c r="CA125" s="3">
        <f>MAX(0,MIN(100,BZ125+BW125+BX125-IF(AV125="sí",ROB_PEN,0)))</f>
        <v/>
      </c>
      <c r="CB125" s="3">
        <f>100-MAX(0,N125-KM_TOPE_DESDE)/1000*KM_TOPE_PTS</f>
        <v/>
      </c>
      <c r="CC125" s="3">
        <f>MAX(0,MIN(100,50+BO125*PRECIO_PEND,CB125))</f>
        <v/>
      </c>
      <c r="CD125" s="3">
        <f>MAX(0,100*(1-N125/KM_MAX))</f>
        <v/>
      </c>
      <c r="CE125" s="3">
        <f>IF(BF125&lt;KMA_SOSP,IF(AA125="sí",100,KMA_PEN),IF(BF125&lt;=KMA_IDEAL_MAX,100,MAX(0,100*(KMA_CERO-BF125)/(KMA_CERO-KMA_IDEAL_MAX))))</f>
        <v/>
      </c>
      <c r="CF125" s="3">
        <f>MAX(0,MIN(100,100*(M125-ANIO_MIN)/(ANIO_ACTUAL-ANIO_MIN)))</f>
        <v/>
      </c>
      <c r="CG125" s="3">
        <f>W_KMT*CD125+W_KMA*CE125+W_EDAD*CF125</f>
        <v/>
      </c>
      <c r="CH125" s="3">
        <f>P_ITV*(V125="sí")+P_LIBRO*(W125="sí")+P_CORREA*(X125="sí")+P_PROP*(Y125=1)+P_GAR*(Z125="sí")+P_FOTOS*MIN(1,N(U125)/FOTOS_OBJ)</f>
        <v/>
      </c>
      <c r="CI125" s="3">
        <f>MAX(0,MIN(100,IFERROR(VLOOKUP(BT125,ETQ_TBL,2,0),0)-IF(BU125="sí",ETQ_PEN_DUD,IF(AS125="regla",ETQ_PEN_REGLA,0))))</f>
        <v/>
      </c>
      <c r="CJ125" s="3">
        <f>IF(K125&lt;&gt;"gasolina","",IFERROR(VLOOKUP(F125,CONS_MOD_TBL,2,0),IFERROR(VLOOKUP(L125,CONS_SEG_TBL,2,0),"")))</f>
        <v/>
      </c>
      <c r="CK125" s="3">
        <f>IF(CJ125="",NEUTRO,MAX(0,MIN(100,100*(CONS_REF_MAX-CJ125)/(CONS_REF_MAX-CONS_REF_MIN))))</f>
        <v/>
      </c>
      <c r="CL125" s="3">
        <f>IFERROR(VLOOKUP(L125,SEGURO_TBL,3,0),"")</f>
        <v/>
      </c>
      <c r="CM125" s="3">
        <f>IF(CL125="",NEUTRO,MAX(0,MIN(100,100*(SEG_REF_MAX-CL125)/(SEG_REF_MAX-SEG_REF_MIN))))</f>
        <v/>
      </c>
      <c r="CN125" s="3">
        <f>W_CONS*CK125+W_SEG*CM125</f>
        <v/>
      </c>
      <c r="CO125" s="3">
        <f>IF(N(AB125)&gt;0,AB125,IF(AND(R125="profesional",SG_LEGAL_ON=1),GAR_LEGAL,0))</f>
        <v/>
      </c>
      <c r="CP125" s="3">
        <f>SG_GAR*MIN(1,CO125/SG_GAR_FULL)+SG_AMPL*(AC125="sí")+SG_KMC*(AF125="sí")+SG_REV*(N(AE125)&gt;0)+SG_DEV*MIN(1,N(AG125)/SG_DEV_FULL)+SG_HIST*(W125="sí")</f>
        <v/>
      </c>
      <c r="CQ125" s="3">
        <f>IF(AW125="sí",ESTILO_PRIO,IFERROR(VLOOKUP(L125,ESTILO_TBL,2,0),NEUTRO))</f>
        <v/>
      </c>
      <c r="CR125" s="3">
        <f>IFERROR(VLOOKUP(L125,CARR_PEN_TBL,2,0),0)</f>
        <v/>
      </c>
      <c r="CS125" s="3">
        <f>W_FIAB*CA125+W_PRECIO*CC125+W_KMEDAD*CG125+W_ANUNCIO*CH125+W_USO*CN125+W_SEGURIDAD*CP125+W_ETIQUETA*CI125+W_ESTILO*CQ125-CR125</f>
        <v/>
      </c>
      <c r="CT125" s="4">
        <f>IF(N(I125)&gt;0,I125,IFERROR(ROUND(_xlfn.NUMBERVALUE(LEFT(G125,FIND(" ",G125&amp;" ")-1),".")*1000,0),99999))</f>
        <v/>
      </c>
      <c r="CU125" s="3">
        <f>IF(R125="profesional",0,IF(O125&lt;CUOTA_VALOR_MAX,IF(BE125&gt;ITP_TRAMO_ALTO,SUMIFS(CF_CUOTA,CF_MAS,ITP_TRAMO_ALTO,CF_CCMIN,"&lt;="&amp;CT125,CF_CCMAX,"&gt;="&amp;CT125),IF(BE125&gt;ITP_TRAMO_BAJO,SUMIFS(CF_CUOTA,CF_MAS,ITP_TRAMO_BAJO,CF_CCMIN,"&lt;="&amp;CT125,CF_CCMAX,"&gt;="&amp;CT125),O125*ITP_TIPO)),O125*ITP_TIPO))</f>
        <v/>
      </c>
      <c r="CV125" s="4">
        <f>IF(R125="profesional",N(AK125),0)</f>
        <v/>
      </c>
      <c r="CW125" s="3">
        <f>IF(AND(R125="profesional",ISNUMBER(AK125),AL125="sí"),0,TASA_DGT)</f>
        <v/>
      </c>
      <c r="CX125" s="3">
        <f>INFORME_DGT</f>
        <v/>
      </c>
      <c r="CY125" s="4">
        <f>O125+CV125+CU125+CW125+CX125</f>
        <v/>
      </c>
      <c r="CZ125" s="4">
        <f>CY125+N(CL125)</f>
        <v/>
      </c>
      <c r="DA125" s="3">
        <f>IF(CY125&lt;=TOTAL_MAX,"sí",IF(CY125&lt;=TOTAL_MAX+MARGEN_NEG,"negociar","no"))</f>
        <v/>
      </c>
      <c r="DB125" s="4">
        <f>IF(DA125&lt;&gt;"no",COUNTIFS($DA$2:$DA$130,"&lt;&gt;no",$CS$2:$CS$130,"&gt;"&amp;CS125)+COUNTIFS($DA$2:DA125,"&lt;&gt;no",$CS$2:CS125,CS125),"")</f>
        <v/>
      </c>
    </row>
    <row r="126">
      <c r="A126" s="2" t="inlineStr">
        <is>
          <t>cochesnet:71837054</t>
        </is>
      </c>
      <c r="B126" s="2" t="inlineStr">
        <is>
          <t>cochesnet</t>
        </is>
      </c>
      <c r="C126" s="2" t="inlineStr">
        <is>
          <t>https://www.coches.net/seat-ibiza-14-16v-75-cv-signa-3p-gasolina-2004-en-castellon-71837054-covo.aspx</t>
        </is>
      </c>
      <c r="D126" s="2" t="inlineStr">
        <is>
          <t>SEAT Ibiza 1.4 16V 75 CV SIGNA</t>
        </is>
      </c>
      <c r="E126" s="2" t="inlineStr">
        <is>
          <t>Seat</t>
        </is>
      </c>
      <c r="F126" s="2" t="inlineStr">
        <is>
          <t>Seat Ibiza</t>
        </is>
      </c>
      <c r="G126" s="2" t="inlineStr">
        <is>
          <t>1.4</t>
        </is>
      </c>
      <c r="H126" s="2" t="inlineStr">
        <is>
          <t>1.4 16V 75 CV SIGNA</t>
        </is>
      </c>
      <c r="I126" s="2" t="n"/>
      <c r="J126" s="2" t="n">
        <v>75</v>
      </c>
      <c r="K126" s="2" t="inlineStr">
        <is>
          <t>gasolina</t>
        </is>
      </c>
      <c r="L126" s="2" t="inlineStr">
        <is>
          <t>utilitario</t>
        </is>
      </c>
      <c r="M126" s="2" t="n">
        <v>2004</v>
      </c>
      <c r="N126" s="2" t="n">
        <v>146000</v>
      </c>
      <c r="O126" s="2" t="n">
        <v>3400</v>
      </c>
      <c r="P126" s="2" t="inlineStr">
        <is>
          <t>manual</t>
        </is>
      </c>
      <c r="Q126" s="2" t="inlineStr">
        <is>
          <t>no</t>
        </is>
      </c>
      <c r="R126" s="2" t="inlineStr">
        <is>
          <t>profesional</t>
        </is>
      </c>
      <c r="S126" s="2" t="inlineStr">
        <is>
          <t>Jack Garage Oropesa del Mar / Orpesa</t>
        </is>
      </c>
      <c r="T126" s="2" t="inlineStr">
        <is>
          <t>2026-10-26T18:27:34Z</t>
        </is>
      </c>
      <c r="U126" s="2" t="n">
        <v>7</v>
      </c>
      <c r="V126" s="2" t="inlineStr">
        <is>
          <t>sí</t>
        </is>
      </c>
      <c r="W126" s="2" t="n"/>
      <c r="X126" s="2" t="n"/>
      <c r="Y126" s="2" t="n"/>
      <c r="Z126" s="2" t="inlineStr">
        <is>
          <t>sí</t>
        </is>
      </c>
      <c r="AA126" s="2" t="n"/>
      <c r="AB126" s="2" t="n">
        <v>12</v>
      </c>
      <c r="AC126" s="2" t="n"/>
      <c r="AD126" s="2" t="n"/>
      <c r="AE126" s="2" t="n"/>
      <c r="AF126" s="2" t="n"/>
      <c r="AG126" s="2" t="n"/>
      <c r="AH126" s="2" t="n">
        <v>3400</v>
      </c>
      <c r="AI126" s="2" t="n"/>
      <c r="AJ126" s="2" t="n"/>
      <c r="AK126" s="2" t="n"/>
      <c r="AL126" s="2" t="n"/>
      <c r="AM126" s="2" t="n"/>
      <c r="AN126" s="2" t="n"/>
      <c r="AO126" s="2" t="inlineStr">
        <is>
          <t>2004</t>
        </is>
      </c>
      <c r="AP126" s="2" t="n">
        <v>2004</v>
      </c>
      <c r="AQ126" s="2" t="n"/>
      <c r="AR126" s="2" t="inlineStr">
        <is>
          <t>B</t>
        </is>
      </c>
      <c r="AS126" s="2" t="inlineStr">
        <is>
          <t>anuncio</t>
        </is>
      </c>
      <c r="AT126" s="2" t="n"/>
      <c r="AU126" s="2" t="inlineStr">
        <is>
          <t>no</t>
        </is>
      </c>
      <c r="AV126" s="2" t="inlineStr">
        <is>
          <t>no</t>
        </is>
      </c>
      <c r="AW126" s="2" t="inlineStr">
        <is>
          <t>no</t>
        </is>
      </c>
      <c r="AX126" s="2" t="n">
        <v>3000</v>
      </c>
      <c r="AY126" s="2" t="n">
        <v>31</v>
      </c>
      <c r="AZ126" s="2" t="inlineStr">
        <is>
          <t>modelo+año</t>
        </is>
      </c>
      <c r="BA126" s="2" t="n"/>
      <c r="BB126"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BC126" s="2" t="inlineStr">
        <is>
          <t>?? SEAT IBIZA 1.4 GASOLINA | 2004 | 146.000 KM
?? Precio: 3.200 €
Se vende SEAT Ibiza 1.4 gasolina del año 2004, con tan solo 146.000 kilómetros.
Vehículo económico, fiable y de mantenimiento sencillo. Ideal tanto para uso diario como para primer coche.
? 146.000 km
? ITV recién pasada
? Mecánica revisada en nuestro taller
? Estado de pintura bastante bueno para sus años.
? Motor 1.4 gasolina, económico de mantener.
? Bajo coste de mantenimiento y recambios.
? Se acepta cualquier prueba mecánica.
?? Vehículo revisado por profesionales del sector de la automoción.
Coche práctico, cómodo y con una mecánica sencilla y conocida por su fiabilidad.
?? Para más información o concertar una visita, contactar sin compromiso.
PRECIO: 3.400</t>
        </is>
      </c>
      <c r="BD126" s="2" t="inlineStr">
        <is>
          <t>https://www.coches.net/seat-ibiza-14-16v-75-cv-signa-3p-gasolina-2004-en-castellon-71837054-covo.aspx (window.__INITIAL_PROPS__.ad) /home/user/Alopecia/buscador-coches/raw/cochesnet/fa2434c0179be68a.json</t>
        </is>
      </c>
      <c r="BE126" s="3">
        <f>MAX(ANIO_ACTUAL-M126,0)</f>
        <v/>
      </c>
      <c r="BF126" s="4">
        <f>N126/MAX(BE126,0.5)</f>
        <v/>
      </c>
      <c r="BG126" s="4">
        <f>F126</f>
        <v/>
      </c>
      <c r="BH126" s="3">
        <f>BG126&amp;"|"&amp;INT(M126/SEG_ANIO)*SEG_ANIO</f>
        <v/>
      </c>
      <c r="BI126" s="3">
        <f>BH126&amp;"|"&amp;INT(N126/SEG_KM)*SEG_KM</f>
        <v/>
      </c>
      <c r="BJ126" s="4">
        <f>COUNTIF($BG$2:$BG$130,BG126)</f>
        <v/>
      </c>
      <c r="BK126" s="4">
        <f>COUNTIF($BH$2:$BH$130,BH126)</f>
        <v/>
      </c>
      <c r="BL126" s="4">
        <f>COUNTIF($BI$2:$BI$130,BI126)</f>
        <v/>
      </c>
      <c r="BM126" s="3">
        <f t="array" ref="BM126">IF(N(AY126)&gt;=MIN_N,AX126,IF(BL126&gt;=MIN_N,MEDIAN(IF($BI$2:$BI$130=BI126,$O$2:$O$130)),IF(BK126&gt;=MIN_N,MEDIAN(IF($BH$2:$BH$130=BH126,$O$2:$O$130)),MEDIAN(IF($BG$2:$BG$130=BG126,$O$2:$O$130)))))</f>
        <v/>
      </c>
      <c r="BN126" s="3">
        <f>IF(N(AY126)&gt;=MIN_N,"mercado "&amp;AZ126,IF(BL126&gt;=MIN_N,"modelo+año+km",IF(BK126&gt;=MIN_N,"modelo+año","modelo")))</f>
        <v/>
      </c>
      <c r="BO126" s="4">
        <f>(BM126-O126)/BM126</f>
        <v/>
      </c>
      <c r="BP126" s="3">
        <f>IF(COUNTIFS(FR_FUEL,K126,FR_YEAR,AP126)&gt;0,1,0)</f>
        <v/>
      </c>
      <c r="BQ126" s="3">
        <f>IF(COUNTIFS(FR_FUEL,K126,FR_YEAR,AP126-1)&gt;0,1,0)</f>
        <v/>
      </c>
      <c r="BR126" s="4">
        <f>IF(N(AQ126)&gt;0,AP126*100+AQ126,IF(AND(BP126=1,BQ126=1),(AP126-1)*100+1,AP126*100+1))</f>
        <v/>
      </c>
      <c r="BS126" s="3">
        <f>IF(OR(K126="hibrido",K126="glp",K126="gnc",K126="phev"),"ECO",IF(K126="electrico","CERO",IF(K126="gasolina",IF(BR126&gt;=GAS_C_YM,"C",IF(BR126&gt;=GAS_B_YM,"B","A")),IF(K126="diesel",IF(BR126&gt;=DIE_C_YM,"C",IF(BR126&gt;=DIE_B_YM,"B","A")),""))))</f>
        <v/>
      </c>
      <c r="BT126" s="2" t="inlineStr">
        <is>
          <t>B</t>
        </is>
      </c>
      <c r="BU126" s="4">
        <f>IF(AU126="sí","sí",IF(AS126="regla",IF(AND(N(AQ126)=0,BP126=1),"sí","no"),"no"))</f>
        <v/>
      </c>
      <c r="BV126" s="3">
        <f>IFERROR(VLOOKUP(F126,MOD_TBL,16,0),IFERROR(VLOOKUP(E126,OCU_TBL,2,0),NEUTRO))</f>
        <v/>
      </c>
      <c r="BW126" s="3">
        <f>SUMIFS(MOT_AJUSTE,MOT_MOTOR,G126,MOT_MARCA,E126,MOT_DESDE,"&lt;="&amp;M126,MOT_HASTA,"&gt;="&amp;M126)+SUMIFS(MOT_AJUSTE,MOT_MOTOR,G126,MOT_MARCA,"(todas)",MOT_DESDE,"&lt;="&amp;M126,MOT_HASTA,"&gt;="&amp;M126)+SUMIFS(MOT_AJUSTE,MOT_MOTOR,"(cualquiera)",MOT_MARCA,E126,MOT_DESDE,"&lt;="&amp;M126,MOT_HASTA,"&gt;="&amp;M126)</f>
        <v/>
      </c>
      <c r="BX126" s="3">
        <f>SUMIFS(COMB_AJUSTE,COMB_COMB,K126)</f>
        <v/>
      </c>
      <c r="BY126" s="3">
        <f>COUNTIFS(MOT_MOTOR,G126,MOT_MARCA,E126,MOT_DESDE,"&lt;="&amp;M126,MOT_HASTA,"&gt;="&amp;M126)+COUNTIFS(MOT_MOTOR,G126,MOT_MARCA,"(todas)",MOT_DESDE,"&lt;="&amp;M126,MOT_HASTA,"&gt;="&amp;M126)+COUNTIFS(MOT_MOTOR,"(cualquiera)",MOT_MARCA,E126,MOT_DESDE,"&lt;="&amp;M126,MOT_HASTA,"&gt;="&amp;M126)</f>
        <v/>
      </c>
      <c r="BZ126" s="3">
        <f>IF(AND(K126="diesel",BY126=0),MIN(BV126,NEUTRO),BV126)</f>
        <v/>
      </c>
      <c r="CA126" s="3">
        <f>MAX(0,MIN(100,BZ126+BW126+BX126-IF(AV126="sí",ROB_PEN,0)))</f>
        <v/>
      </c>
      <c r="CB126" s="3">
        <f>100-MAX(0,N126-KM_TOPE_DESDE)/1000*KM_TOPE_PTS</f>
        <v/>
      </c>
      <c r="CC126" s="3">
        <f>MAX(0,MIN(100,50+BO126*PRECIO_PEND,CB126))</f>
        <v/>
      </c>
      <c r="CD126" s="3">
        <f>MAX(0,100*(1-N126/KM_MAX))</f>
        <v/>
      </c>
      <c r="CE126" s="3">
        <f>IF(BF126&lt;KMA_SOSP,IF(AA126="sí",100,KMA_PEN),IF(BF126&lt;=KMA_IDEAL_MAX,100,MAX(0,100*(KMA_CERO-BF126)/(KMA_CERO-KMA_IDEAL_MAX))))</f>
        <v/>
      </c>
      <c r="CF126" s="3">
        <f>MAX(0,MIN(100,100*(M126-ANIO_MIN)/(ANIO_ACTUAL-ANIO_MIN)))</f>
        <v/>
      </c>
      <c r="CG126" s="3">
        <f>W_KMT*CD126+W_KMA*CE126+W_EDAD*CF126</f>
        <v/>
      </c>
      <c r="CH126" s="3">
        <f>P_ITV*(V126="sí")+P_LIBRO*(W126="sí")+P_CORREA*(X126="sí")+P_PROP*(Y126=1)+P_GAR*(Z126="sí")+P_FOTOS*MIN(1,N(U126)/FOTOS_OBJ)</f>
        <v/>
      </c>
      <c r="CI126" s="3">
        <f>MAX(0,MIN(100,IFERROR(VLOOKUP(BT126,ETQ_TBL,2,0),0)-IF(BU126="sí",ETQ_PEN_DUD,IF(AS126="regla",ETQ_PEN_REGLA,0))))</f>
        <v/>
      </c>
      <c r="CJ126" s="3">
        <f>IF(K126&lt;&gt;"gasolina","",IFERROR(VLOOKUP(F126,CONS_MOD_TBL,2,0),IFERROR(VLOOKUP(L126,CONS_SEG_TBL,2,0),"")))</f>
        <v/>
      </c>
      <c r="CK126" s="3">
        <f>IF(CJ126="",NEUTRO,MAX(0,MIN(100,100*(CONS_REF_MAX-CJ126)/(CONS_REF_MAX-CONS_REF_MIN))))</f>
        <v/>
      </c>
      <c r="CL126" s="3">
        <f>IFERROR(VLOOKUP(L126,SEGURO_TBL,3,0),"")</f>
        <v/>
      </c>
      <c r="CM126" s="3">
        <f>IF(CL126="",NEUTRO,MAX(0,MIN(100,100*(SEG_REF_MAX-CL126)/(SEG_REF_MAX-SEG_REF_MIN))))</f>
        <v/>
      </c>
      <c r="CN126" s="3">
        <f>W_CONS*CK126+W_SEG*CM126</f>
        <v/>
      </c>
      <c r="CO126" s="3">
        <f>IF(N(AB126)&gt;0,AB126,IF(AND(R126="profesional",SG_LEGAL_ON=1),GAR_LEGAL,0))</f>
        <v/>
      </c>
      <c r="CP126" s="3">
        <f>SG_GAR*MIN(1,CO126/SG_GAR_FULL)+SG_AMPL*(AC126="sí")+SG_KMC*(AF126="sí")+SG_REV*(N(AE126)&gt;0)+SG_DEV*MIN(1,N(AG126)/SG_DEV_FULL)+SG_HIST*(W126="sí")</f>
        <v/>
      </c>
      <c r="CQ126" s="3">
        <f>IF(AW126="sí",ESTILO_PRIO,IFERROR(VLOOKUP(L126,ESTILO_TBL,2,0),NEUTRO))</f>
        <v/>
      </c>
      <c r="CR126" s="3">
        <f>IFERROR(VLOOKUP(L126,CARR_PEN_TBL,2,0),0)</f>
        <v/>
      </c>
      <c r="CS126" s="3">
        <f>W_FIAB*CA126+W_PRECIO*CC126+W_KMEDAD*CG126+W_ANUNCIO*CH126+W_USO*CN126+W_SEGURIDAD*CP126+W_ETIQUETA*CI126+W_ESTILO*CQ126-CR126</f>
        <v/>
      </c>
      <c r="CT126" s="4">
        <f>IF(N(I126)&gt;0,I126,IFERROR(ROUND(_xlfn.NUMBERVALUE(LEFT(G126,FIND(" ",G126&amp;" ")-1),".")*1000,0),99999))</f>
        <v/>
      </c>
      <c r="CU126" s="3">
        <f>IF(R126="profesional",0,IF(O126&lt;CUOTA_VALOR_MAX,IF(BE126&gt;ITP_TRAMO_ALTO,SUMIFS(CF_CUOTA,CF_MAS,ITP_TRAMO_ALTO,CF_CCMIN,"&lt;="&amp;CT126,CF_CCMAX,"&gt;="&amp;CT126),IF(BE126&gt;ITP_TRAMO_BAJO,SUMIFS(CF_CUOTA,CF_MAS,ITP_TRAMO_BAJO,CF_CCMIN,"&lt;="&amp;CT126,CF_CCMAX,"&gt;="&amp;CT126),O126*ITP_TIPO)),O126*ITP_TIPO))</f>
        <v/>
      </c>
      <c r="CV126" s="4">
        <f>IF(R126="profesional",N(AK126),0)</f>
        <v/>
      </c>
      <c r="CW126" s="3">
        <f>IF(AND(R126="profesional",ISNUMBER(AK126),AL126="sí"),0,TASA_DGT)</f>
        <v/>
      </c>
      <c r="CX126" s="3">
        <f>INFORME_DGT</f>
        <v/>
      </c>
      <c r="CY126" s="4">
        <f>O126+CV126+CU126+CW126+CX126</f>
        <v/>
      </c>
      <c r="CZ126" s="4">
        <f>CY126+N(CL126)</f>
        <v/>
      </c>
      <c r="DA126" s="3">
        <f>IF(CY126&lt;=TOTAL_MAX,"sí",IF(CY126&lt;=TOTAL_MAX+MARGEN_NEG,"negociar","no"))</f>
        <v/>
      </c>
      <c r="DB126" s="4">
        <f>IF(DA126&lt;&gt;"no",COUNTIFS($DA$2:$DA$130,"&lt;&gt;no",$CS$2:$CS$130,"&gt;"&amp;CS126)+COUNTIFS($DA$2:DA126,"&lt;&gt;no",$CS$2:CS126,CS126),"")</f>
        <v/>
      </c>
    </row>
    <row r="127">
      <c r="A127" s="2" t="inlineStr">
        <is>
          <t>cochesnet:61732430</t>
        </is>
      </c>
      <c r="B127" s="2" t="inlineStr">
        <is>
          <t>cochesnet</t>
        </is>
      </c>
      <c r="C127" s="2" t="inlineStr">
        <is>
          <t>https://www.coches.net/opel-meriva-enjoy-1.4-xep-5p-gasolina-2005-en-castellon-61732430-covo.aspx</t>
        </is>
      </c>
      <c r="D127" s="2" t="inlineStr">
        <is>
          <t>OPEL Meriva Enjoy 1.4 XEP</t>
        </is>
      </c>
      <c r="E127" s="2" t="inlineStr">
        <is>
          <t>Opel</t>
        </is>
      </c>
      <c r="F127" s="2" t="inlineStr">
        <is>
          <t>Opel Meriva</t>
        </is>
      </c>
      <c r="G127" s="2" t="inlineStr">
        <is>
          <t>1.4</t>
        </is>
      </c>
      <c r="H127" s="2" t="inlineStr">
        <is>
          <t>Enjoy 1.4 XEP</t>
        </is>
      </c>
      <c r="I127" s="2" t="n"/>
      <c r="J127" s="2" t="n"/>
      <c r="K127" s="2" t="inlineStr">
        <is>
          <t>gasolina</t>
        </is>
      </c>
      <c r="L127" s="2" t="inlineStr">
        <is>
          <t>monovolumen_pequeno</t>
        </is>
      </c>
      <c r="M127" s="2" t="n">
        <v>2005</v>
      </c>
      <c r="N127" s="2" t="n">
        <v>140000</v>
      </c>
      <c r="O127" s="2" t="n">
        <v>4290</v>
      </c>
      <c r="P127" s="2" t="inlineStr">
        <is>
          <t>manual</t>
        </is>
      </c>
      <c r="Q127" s="2" t="inlineStr">
        <is>
          <t>no</t>
        </is>
      </c>
      <c r="R127" s="2" t="inlineStr">
        <is>
          <t>profesional</t>
        </is>
      </c>
      <c r="S127" s="2" t="inlineStr">
        <is>
          <t>Car Point Castellon Castellón de la Plana / Castelló de la Plana</t>
        </is>
      </c>
      <c r="T127" s="2" t="inlineStr">
        <is>
          <t>2026-10-05T19:25:35Z</t>
        </is>
      </c>
      <c r="U127" s="2" t="n">
        <v>11</v>
      </c>
      <c r="V127" s="2" t="n"/>
      <c r="W127" s="2" t="n"/>
      <c r="X127" s="2" t="n"/>
      <c r="Y127" s="2" t="n"/>
      <c r="Z127" s="2" t="inlineStr">
        <is>
          <t>sí</t>
        </is>
      </c>
      <c r="AA127" s="2" t="inlineStr">
        <is>
          <t>sí</t>
        </is>
      </c>
      <c r="AB127" s="2" t="n">
        <v>12</v>
      </c>
      <c r="AC127" s="2" t="n"/>
      <c r="AD127" s="2" t="n"/>
      <c r="AE127" s="2" t="n"/>
      <c r="AF127" s="2" t="inlineStr">
        <is>
          <t>sí</t>
        </is>
      </c>
      <c r="AG127" s="2" t="n"/>
      <c r="AH127" s="2" t="n">
        <v>4290</v>
      </c>
      <c r="AI127" s="2" t="n">
        <v>4290</v>
      </c>
      <c r="AJ127" s="2" t="n"/>
      <c r="AK127" s="2" t="n"/>
      <c r="AL127" s="2" t="n"/>
      <c r="AM127" s="2" t="n"/>
      <c r="AN127" s="2" t="n"/>
      <c r="AO127" s="2" t="inlineStr">
        <is>
          <t>2005</t>
        </is>
      </c>
      <c r="AP127" s="2" t="n">
        <v>2005</v>
      </c>
      <c r="AQ127" s="2" t="n"/>
      <c r="AR127" s="2" t="inlineStr">
        <is>
          <t>B</t>
        </is>
      </c>
      <c r="AS127" s="2" t="inlineStr">
        <is>
          <t>anuncio</t>
        </is>
      </c>
      <c r="AT127" s="2" t="n"/>
      <c r="AU127" s="2" t="inlineStr">
        <is>
          <t>no</t>
        </is>
      </c>
      <c r="AV127" s="2" t="inlineStr">
        <is>
          <t>no</t>
        </is>
      </c>
      <c r="AW127" s="2" t="inlineStr">
        <is>
          <t>no</t>
        </is>
      </c>
      <c r="AX127" s="2" t="n">
        <v>2500</v>
      </c>
      <c r="AY127" s="2" t="n">
        <v>5</v>
      </c>
      <c r="AZ127" s="2" t="inlineStr">
        <is>
          <t>modelo+año+km</t>
        </is>
      </c>
      <c r="BA127" s="2" t="n"/>
      <c r="BB127" s="2" t="inlineStr">
        <is>
          <t>vendedor profesional: sin ITP (operación con IVA/REBU, confirmar en factura); gastos de gestión del vendedor no indicados: se suma la tasa DGT; preguntar el precio final; carrocería monovolumen_pequeno: -6 puntos; revisar: no menciona la ITV; distancia no verificable (el anuncio solo indica la provincia): confirmar que está a &lt;= 70 km; fiabilidad del modelo PENDIENTE de fuente (puntuación neutra)</t>
        </is>
      </c>
      <c r="BC127" s="2" t="inlineStr">
        <is>
          <t>Opel Meriva 1.4 Gasolina
Solo 140.000 kms
Impecable estado
CAR POINT - Vehiculos de ocasión
* Financiacion a medida del cliente, con o sin entrada
* Recibimos tu coche como parte de pago
* Vehiculos garantizados, con opcion a 5 años de garantia
* Kilometraje certificado
* Te lo entregamos a domicilio si no puedes venir a visitarnos
Estamos en Castellon de la Plana, a 1 minuto del Acceso Sur de la AP7
C. Suiza 41 - Poligono Sur - 12006 - Castellon de la Plana
+ de 20 años de experiencia en el rubro garantizan CONFIANZA - TRANSPARENCIA - SERIEDAD
**El anuncio puede contener errores involuntarios</t>
        </is>
      </c>
      <c r="BD127" s="2" t="inlineStr">
        <is>
          <t>https://www.coches.net/opel-meriva-enjoy-1.4-xep-5p-gasolina-2005-en-castellon-61732430-covo.aspx (window.__INITIAL_PROPS__.ad) /home/user/Alopecia/buscador-coches/raw/cochesnet/ae9b804b3c7ea1ad.json</t>
        </is>
      </c>
      <c r="BE127" s="3">
        <f>MAX(ANIO_ACTUAL-M127,0)</f>
        <v/>
      </c>
      <c r="BF127" s="4">
        <f>N127/MAX(BE127,0.5)</f>
        <v/>
      </c>
      <c r="BG127" s="4">
        <f>F127</f>
        <v/>
      </c>
      <c r="BH127" s="3">
        <f>BG127&amp;"|"&amp;INT(M127/SEG_ANIO)*SEG_ANIO</f>
        <v/>
      </c>
      <c r="BI127" s="3">
        <f>BH127&amp;"|"&amp;INT(N127/SEG_KM)*SEG_KM</f>
        <v/>
      </c>
      <c r="BJ127" s="4">
        <f>COUNTIF($BG$2:$BG$130,BG127)</f>
        <v/>
      </c>
      <c r="BK127" s="4">
        <f>COUNTIF($BH$2:$BH$130,BH127)</f>
        <v/>
      </c>
      <c r="BL127" s="4">
        <f>COUNTIF($BI$2:$BI$130,BI127)</f>
        <v/>
      </c>
      <c r="BM127" s="3">
        <f t="array" ref="BM127">IF(N(AY127)&gt;=MIN_N,AX127,IF(BL127&gt;=MIN_N,MEDIAN(IF($BI$2:$BI$130=BI127,$O$2:$O$130)),IF(BK127&gt;=MIN_N,MEDIAN(IF($BH$2:$BH$130=BH127,$O$2:$O$130)),MEDIAN(IF($BG$2:$BG$130=BG127,$O$2:$O$130)))))</f>
        <v/>
      </c>
      <c r="BN127" s="3">
        <f>IF(N(AY127)&gt;=MIN_N,"mercado "&amp;AZ127,IF(BL127&gt;=MIN_N,"modelo+año+km",IF(BK127&gt;=MIN_N,"modelo+año","modelo")))</f>
        <v/>
      </c>
      <c r="BO127" s="4">
        <f>(BM127-O127)/BM127</f>
        <v/>
      </c>
      <c r="BP127" s="3">
        <f>IF(COUNTIFS(FR_FUEL,K127,FR_YEAR,AP127)&gt;0,1,0)</f>
        <v/>
      </c>
      <c r="BQ127" s="3">
        <f>IF(COUNTIFS(FR_FUEL,K127,FR_YEAR,AP127-1)&gt;0,1,0)</f>
        <v/>
      </c>
      <c r="BR127" s="4">
        <f>IF(N(AQ127)&gt;0,AP127*100+AQ127,IF(AND(BP127=1,BQ127=1),(AP127-1)*100+1,AP127*100+1))</f>
        <v/>
      </c>
      <c r="BS127" s="3">
        <f>IF(OR(K127="hibrido",K127="glp",K127="gnc",K127="phev"),"ECO",IF(K127="electrico","CERO",IF(K127="gasolina",IF(BR127&gt;=GAS_C_YM,"C",IF(BR127&gt;=GAS_B_YM,"B","A")),IF(K127="diesel",IF(BR127&gt;=DIE_C_YM,"C",IF(BR127&gt;=DIE_B_YM,"B","A")),""))))</f>
        <v/>
      </c>
      <c r="BT127" s="2" t="inlineStr">
        <is>
          <t>B</t>
        </is>
      </c>
      <c r="BU127" s="4">
        <f>IF(AU127="sí","sí",IF(AS127="regla",IF(AND(N(AQ127)=0,BP127=1),"sí","no"),"no"))</f>
        <v/>
      </c>
      <c r="BV127" s="3">
        <f>IFERROR(VLOOKUP(F127,MOD_TBL,16,0),IFERROR(VLOOKUP(E127,OCU_TBL,2,0),NEUTRO))</f>
        <v/>
      </c>
      <c r="BW127" s="3">
        <f>SUMIFS(MOT_AJUSTE,MOT_MOTOR,G127,MOT_MARCA,E127,MOT_DESDE,"&lt;="&amp;M127,MOT_HASTA,"&gt;="&amp;M127)+SUMIFS(MOT_AJUSTE,MOT_MOTOR,G127,MOT_MARCA,"(todas)",MOT_DESDE,"&lt;="&amp;M127,MOT_HASTA,"&gt;="&amp;M127)+SUMIFS(MOT_AJUSTE,MOT_MOTOR,"(cualquiera)",MOT_MARCA,E127,MOT_DESDE,"&lt;="&amp;M127,MOT_HASTA,"&gt;="&amp;M127)</f>
        <v/>
      </c>
      <c r="BX127" s="3">
        <f>SUMIFS(COMB_AJUSTE,COMB_COMB,K127)</f>
        <v/>
      </c>
      <c r="BY127" s="3">
        <f>COUNTIFS(MOT_MOTOR,G127,MOT_MARCA,E127,MOT_DESDE,"&lt;="&amp;M127,MOT_HASTA,"&gt;="&amp;M127)+COUNTIFS(MOT_MOTOR,G127,MOT_MARCA,"(todas)",MOT_DESDE,"&lt;="&amp;M127,MOT_HASTA,"&gt;="&amp;M127)+COUNTIFS(MOT_MOTOR,"(cualquiera)",MOT_MARCA,E127,MOT_DESDE,"&lt;="&amp;M127,MOT_HASTA,"&gt;="&amp;M127)</f>
        <v/>
      </c>
      <c r="BZ127" s="3">
        <f>IF(AND(K127="diesel",BY127=0),MIN(BV127,NEUTRO),BV127)</f>
        <v/>
      </c>
      <c r="CA127" s="3">
        <f>MAX(0,MIN(100,BZ127+BW127+BX127-IF(AV127="sí",ROB_PEN,0)))</f>
        <v/>
      </c>
      <c r="CB127" s="3">
        <f>100-MAX(0,N127-KM_TOPE_DESDE)/1000*KM_TOPE_PTS</f>
        <v/>
      </c>
      <c r="CC127" s="3">
        <f>MAX(0,MIN(100,50+BO127*PRECIO_PEND,CB127))</f>
        <v/>
      </c>
      <c r="CD127" s="3">
        <f>MAX(0,100*(1-N127/KM_MAX))</f>
        <v/>
      </c>
      <c r="CE127" s="3">
        <f>IF(BF127&lt;KMA_SOSP,IF(AA127="sí",100,KMA_PEN),IF(BF127&lt;=KMA_IDEAL_MAX,100,MAX(0,100*(KMA_CERO-BF127)/(KMA_CERO-KMA_IDEAL_MAX))))</f>
        <v/>
      </c>
      <c r="CF127" s="3">
        <f>MAX(0,MIN(100,100*(M127-ANIO_MIN)/(ANIO_ACTUAL-ANIO_MIN)))</f>
        <v/>
      </c>
      <c r="CG127" s="3">
        <f>W_KMT*CD127+W_KMA*CE127+W_EDAD*CF127</f>
        <v/>
      </c>
      <c r="CH127" s="3">
        <f>P_ITV*(V127="sí")+P_LIBRO*(W127="sí")+P_CORREA*(X127="sí")+P_PROP*(Y127=1)+P_GAR*(Z127="sí")+P_FOTOS*MIN(1,N(U127)/FOTOS_OBJ)</f>
        <v/>
      </c>
      <c r="CI127" s="3">
        <f>MAX(0,MIN(100,IFERROR(VLOOKUP(BT127,ETQ_TBL,2,0),0)-IF(BU127="sí",ETQ_PEN_DUD,IF(AS127="regla",ETQ_PEN_REGLA,0))))</f>
        <v/>
      </c>
      <c r="CJ127" s="3">
        <f>IF(K127&lt;&gt;"gasolina","",IFERROR(VLOOKUP(F127,CONS_MOD_TBL,2,0),IFERROR(VLOOKUP(L127,CONS_SEG_TBL,2,0),"")))</f>
        <v/>
      </c>
      <c r="CK127" s="3">
        <f>IF(CJ127="",NEUTRO,MAX(0,MIN(100,100*(CONS_REF_MAX-CJ127)/(CONS_REF_MAX-CONS_REF_MIN))))</f>
        <v/>
      </c>
      <c r="CL127" s="3">
        <f>IFERROR(VLOOKUP(L127,SEGURO_TBL,3,0),"")</f>
        <v/>
      </c>
      <c r="CM127" s="3">
        <f>IF(CL127="",NEUTRO,MAX(0,MIN(100,100*(SEG_REF_MAX-CL127)/(SEG_REF_MAX-SEG_REF_MIN))))</f>
        <v/>
      </c>
      <c r="CN127" s="3">
        <f>W_CONS*CK127+W_SEG*CM127</f>
        <v/>
      </c>
      <c r="CO127" s="3">
        <f>IF(N(AB127)&gt;0,AB127,IF(AND(R127="profesional",SG_LEGAL_ON=1),GAR_LEGAL,0))</f>
        <v/>
      </c>
      <c r="CP127" s="3">
        <f>SG_GAR*MIN(1,CO127/SG_GAR_FULL)+SG_AMPL*(AC127="sí")+SG_KMC*(AF127="sí")+SG_REV*(N(AE127)&gt;0)+SG_DEV*MIN(1,N(AG127)/SG_DEV_FULL)+SG_HIST*(W127="sí")</f>
        <v/>
      </c>
      <c r="CQ127" s="3">
        <f>IF(AW127="sí",ESTILO_PRIO,IFERROR(VLOOKUP(L127,ESTILO_TBL,2,0),NEUTRO))</f>
        <v/>
      </c>
      <c r="CR127" s="3">
        <f>IFERROR(VLOOKUP(L127,CARR_PEN_TBL,2,0),0)</f>
        <v/>
      </c>
      <c r="CS127" s="3">
        <f>W_FIAB*CA127+W_PRECIO*CC127+W_KMEDAD*CG127+W_ANUNCIO*CH127+W_USO*CN127+W_SEGURIDAD*CP127+W_ETIQUETA*CI127+W_ESTILO*CQ127-CR127</f>
        <v/>
      </c>
      <c r="CT127" s="4">
        <f>IF(N(I127)&gt;0,I127,IFERROR(ROUND(_xlfn.NUMBERVALUE(LEFT(G127,FIND(" ",G127&amp;" ")-1),".")*1000,0),99999))</f>
        <v/>
      </c>
      <c r="CU127" s="3">
        <f>IF(R127="profesional",0,IF(O127&lt;CUOTA_VALOR_MAX,IF(BE127&gt;ITP_TRAMO_ALTO,SUMIFS(CF_CUOTA,CF_MAS,ITP_TRAMO_ALTO,CF_CCMIN,"&lt;="&amp;CT127,CF_CCMAX,"&gt;="&amp;CT127),IF(BE127&gt;ITP_TRAMO_BAJO,SUMIFS(CF_CUOTA,CF_MAS,ITP_TRAMO_BAJO,CF_CCMIN,"&lt;="&amp;CT127,CF_CCMAX,"&gt;="&amp;CT127),O127*ITP_TIPO)),O127*ITP_TIPO))</f>
        <v/>
      </c>
      <c r="CV127" s="4">
        <f>IF(R127="profesional",N(AK127),0)</f>
        <v/>
      </c>
      <c r="CW127" s="3">
        <f>IF(AND(R127="profesional",ISNUMBER(AK127),AL127="sí"),0,TASA_DGT)</f>
        <v/>
      </c>
      <c r="CX127" s="3">
        <f>INFORME_DGT</f>
        <v/>
      </c>
      <c r="CY127" s="4">
        <f>O127+CV127+CU127+CW127+CX127</f>
        <v/>
      </c>
      <c r="CZ127" s="4">
        <f>CY127+N(CL127)</f>
        <v/>
      </c>
      <c r="DA127" s="3">
        <f>IF(CY127&lt;=TOTAL_MAX,"sí",IF(CY127&lt;=TOTAL_MAX+MARGEN_NEG,"negociar","no"))</f>
        <v/>
      </c>
      <c r="DB127" s="4">
        <f>IF(DA127&lt;&gt;"no",COUNTIFS($DA$2:$DA$130,"&lt;&gt;no",$CS$2:$CS$130,"&gt;"&amp;CS127)+COUNTIFS($DA$2:DA127,"&lt;&gt;no",$CS$2:CS127,CS127),"")</f>
        <v/>
      </c>
    </row>
    <row r="128">
      <c r="A128" s="2" t="inlineStr">
        <is>
          <t>cochesnet:71585987</t>
        </is>
      </c>
      <c r="B128" s="2" t="inlineStr">
        <is>
          <t>cochesnet</t>
        </is>
      </c>
      <c r="C128" s="2" t="inlineStr">
        <is>
          <t>https://www.coches.net/citroen-c3-14i-exclusive-5p-gasolina-2005-en-castellon-71585987-covo.aspx</t>
        </is>
      </c>
      <c r="D128" s="2" t="inlineStr">
        <is>
          <t>CITROEN C3 1.4i Exclusive</t>
        </is>
      </c>
      <c r="E128" s="2" t="inlineStr">
        <is>
          <t>Citroën</t>
        </is>
      </c>
      <c r="F128" s="2" t="inlineStr">
        <is>
          <t>Citroën C3</t>
        </is>
      </c>
      <c r="G128" s="2" t="inlineStr">
        <is>
          <t>1.4</t>
        </is>
      </c>
      <c r="H128" s="2" t="n"/>
      <c r="I128" s="2" t="n"/>
      <c r="J128" s="2" t="n"/>
      <c r="K128" s="2" t="inlineStr">
        <is>
          <t>gasolina</t>
        </is>
      </c>
      <c r="L128" s="2" t="inlineStr">
        <is>
          <t>utilitario</t>
        </is>
      </c>
      <c r="M128" s="2" t="n">
        <v>2005</v>
      </c>
      <c r="N128" s="2" t="n">
        <v>169000</v>
      </c>
      <c r="O128" s="2" t="n">
        <v>3300</v>
      </c>
      <c r="P128" s="2" t="n"/>
      <c r="Q128" s="2" t="n"/>
      <c r="R128" s="2" t="inlineStr">
        <is>
          <t>profesional</t>
        </is>
      </c>
      <c r="S128" s="2" t="inlineStr">
        <is>
          <t>Benicarló</t>
        </is>
      </c>
      <c r="T128" s="2" t="inlineStr">
        <is>
          <t>2026-09-24T08:13:47Z</t>
        </is>
      </c>
      <c r="U128" s="2" t="n">
        <v>14</v>
      </c>
      <c r="V128" s="2" t="n"/>
      <c r="W128" s="2" t="n"/>
      <c r="X128" s="2" t="n"/>
      <c r="Y128" s="2" t="n"/>
      <c r="Z128" s="2" t="inlineStr">
        <is>
          <t>sí</t>
        </is>
      </c>
      <c r="AA128" s="2" t="n"/>
      <c r="AB128" s="2" t="n">
        <v>12</v>
      </c>
      <c r="AC128" s="2" t="n"/>
      <c r="AD128" s="2" t="n"/>
      <c r="AE128" s="2" t="n"/>
      <c r="AF128" s="2" t="n"/>
      <c r="AG128" s="2" t="n"/>
      <c r="AH128" s="2" t="n">
        <v>3300</v>
      </c>
      <c r="AI128" s="2" t="n"/>
      <c r="AJ128" s="2" t="n"/>
      <c r="AK128" s="2" t="n"/>
      <c r="AL128" s="2" t="n"/>
      <c r="AM128" s="2" t="n"/>
      <c r="AN128" s="2" t="n"/>
      <c r="AO128" s="2" t="inlineStr">
        <is>
          <t>2005</t>
        </is>
      </c>
      <c r="AP128" s="2" t="n">
        <v>2005</v>
      </c>
      <c r="AQ128" s="2" t="n"/>
      <c r="AR128" s="2" t="inlineStr">
        <is>
          <t>B</t>
        </is>
      </c>
      <c r="AS128" s="2" t="inlineStr">
        <is>
          <t>anuncio</t>
        </is>
      </c>
      <c r="AT128" s="2" t="n"/>
      <c r="AU128" s="2" t="inlineStr">
        <is>
          <t>no</t>
        </is>
      </c>
      <c r="AV128" s="2" t="inlineStr">
        <is>
          <t>no</t>
        </is>
      </c>
      <c r="AW128" s="2" t="inlineStr">
        <is>
          <t>no</t>
        </is>
      </c>
      <c r="AX128" s="2" t="n">
        <v>2500</v>
      </c>
      <c r="AY128" s="2" t="n">
        <v>15</v>
      </c>
      <c r="AZ128" s="2" t="inlineStr">
        <is>
          <t>modelo+año+km</t>
        </is>
      </c>
      <c r="BA128" s="2" t="n"/>
      <c r="BB128" s="2" t="inlineStr">
        <is>
          <t>vendedor profesional: sin ITP (operación con IVA/REBU, confirmar en factura); gastos de gestión del vendedor no indicados: se suma la tasa DGT; preguntar el precio final; revisar: no menciona la ITV; distancia no verificable (el anuncio solo indica la provincia): confirmar que está a &lt;= 70 km</t>
        </is>
      </c>
      <c r="BC128" s="2" t="inlineStr"/>
      <c r="BD128" s="2" t="inlineStr">
        <is>
          <t>https://www.coches.net/citroen/segunda-mano/castellon/?pg=4 /home/user/Alopecia/buscador-coches/raw/cochesnet/7c960809c15af364.json</t>
        </is>
      </c>
      <c r="BE128" s="3">
        <f>MAX(ANIO_ACTUAL-M128,0)</f>
        <v/>
      </c>
      <c r="BF128" s="4">
        <f>N128/MAX(BE128,0.5)</f>
        <v/>
      </c>
      <c r="BG128" s="4">
        <f>F128</f>
        <v/>
      </c>
      <c r="BH128" s="3">
        <f>BG128&amp;"|"&amp;INT(M128/SEG_ANIO)*SEG_ANIO</f>
        <v/>
      </c>
      <c r="BI128" s="3">
        <f>BH128&amp;"|"&amp;INT(N128/SEG_KM)*SEG_KM</f>
        <v/>
      </c>
      <c r="BJ128" s="4">
        <f>COUNTIF($BG$2:$BG$130,BG128)</f>
        <v/>
      </c>
      <c r="BK128" s="4">
        <f>COUNTIF($BH$2:$BH$130,BH128)</f>
        <v/>
      </c>
      <c r="BL128" s="4">
        <f>COUNTIF($BI$2:$BI$130,BI128)</f>
        <v/>
      </c>
      <c r="BM128" s="3">
        <f t="array" ref="BM128">IF(N(AY128)&gt;=MIN_N,AX128,IF(BL128&gt;=MIN_N,MEDIAN(IF($BI$2:$BI$130=BI128,$O$2:$O$130)),IF(BK128&gt;=MIN_N,MEDIAN(IF($BH$2:$BH$130=BH128,$O$2:$O$130)),MEDIAN(IF($BG$2:$BG$130=BG128,$O$2:$O$130)))))</f>
        <v/>
      </c>
      <c r="BN128" s="3">
        <f>IF(N(AY128)&gt;=MIN_N,"mercado "&amp;AZ128,IF(BL128&gt;=MIN_N,"modelo+año+km",IF(BK128&gt;=MIN_N,"modelo+año","modelo")))</f>
        <v/>
      </c>
      <c r="BO128" s="4">
        <f>(BM128-O128)/BM128</f>
        <v/>
      </c>
      <c r="BP128" s="3">
        <f>IF(COUNTIFS(FR_FUEL,K128,FR_YEAR,AP128)&gt;0,1,0)</f>
        <v/>
      </c>
      <c r="BQ128" s="3">
        <f>IF(COUNTIFS(FR_FUEL,K128,FR_YEAR,AP128-1)&gt;0,1,0)</f>
        <v/>
      </c>
      <c r="BR128" s="4">
        <f>IF(N(AQ128)&gt;0,AP128*100+AQ128,IF(AND(BP128=1,BQ128=1),(AP128-1)*100+1,AP128*100+1))</f>
        <v/>
      </c>
      <c r="BS128" s="3">
        <f>IF(OR(K128="hibrido",K128="glp",K128="gnc",K128="phev"),"ECO",IF(K128="electrico","CERO",IF(K128="gasolina",IF(BR128&gt;=GAS_C_YM,"C",IF(BR128&gt;=GAS_B_YM,"B","A")),IF(K128="diesel",IF(BR128&gt;=DIE_C_YM,"C",IF(BR128&gt;=DIE_B_YM,"B","A")),""))))</f>
        <v/>
      </c>
      <c r="BT128" s="2" t="inlineStr">
        <is>
          <t>B</t>
        </is>
      </c>
      <c r="BU128" s="4">
        <f>IF(AU128="sí","sí",IF(AS128="regla",IF(AND(N(AQ128)=0,BP128=1),"sí","no"),"no"))</f>
        <v/>
      </c>
      <c r="BV128" s="3">
        <f>IFERROR(VLOOKUP(F128,MOD_TBL,16,0),IFERROR(VLOOKUP(E128,OCU_TBL,2,0),NEUTRO))</f>
        <v/>
      </c>
      <c r="BW128" s="3">
        <f>SUMIFS(MOT_AJUSTE,MOT_MOTOR,G128,MOT_MARCA,E128,MOT_DESDE,"&lt;="&amp;M128,MOT_HASTA,"&gt;="&amp;M128)+SUMIFS(MOT_AJUSTE,MOT_MOTOR,G128,MOT_MARCA,"(todas)",MOT_DESDE,"&lt;="&amp;M128,MOT_HASTA,"&gt;="&amp;M128)+SUMIFS(MOT_AJUSTE,MOT_MOTOR,"(cualquiera)",MOT_MARCA,E128,MOT_DESDE,"&lt;="&amp;M128,MOT_HASTA,"&gt;="&amp;M128)</f>
        <v/>
      </c>
      <c r="BX128" s="3">
        <f>SUMIFS(COMB_AJUSTE,COMB_COMB,K128)</f>
        <v/>
      </c>
      <c r="BY128" s="3">
        <f>COUNTIFS(MOT_MOTOR,G128,MOT_MARCA,E128,MOT_DESDE,"&lt;="&amp;M128,MOT_HASTA,"&gt;="&amp;M128)+COUNTIFS(MOT_MOTOR,G128,MOT_MARCA,"(todas)",MOT_DESDE,"&lt;="&amp;M128,MOT_HASTA,"&gt;="&amp;M128)+COUNTIFS(MOT_MOTOR,"(cualquiera)",MOT_MARCA,E128,MOT_DESDE,"&lt;="&amp;M128,MOT_HASTA,"&gt;="&amp;M128)</f>
        <v/>
      </c>
      <c r="BZ128" s="3">
        <f>IF(AND(K128="diesel",BY128=0),MIN(BV128,NEUTRO),BV128)</f>
        <v/>
      </c>
      <c r="CA128" s="3">
        <f>MAX(0,MIN(100,BZ128+BW128+BX128-IF(AV128="sí",ROB_PEN,0)))</f>
        <v/>
      </c>
      <c r="CB128" s="3">
        <f>100-MAX(0,N128-KM_TOPE_DESDE)/1000*KM_TOPE_PTS</f>
        <v/>
      </c>
      <c r="CC128" s="3">
        <f>MAX(0,MIN(100,50+BO128*PRECIO_PEND,CB128))</f>
        <v/>
      </c>
      <c r="CD128" s="3">
        <f>MAX(0,100*(1-N128/KM_MAX))</f>
        <v/>
      </c>
      <c r="CE128" s="3">
        <f>IF(BF128&lt;KMA_SOSP,IF(AA128="sí",100,KMA_PEN),IF(BF128&lt;=KMA_IDEAL_MAX,100,MAX(0,100*(KMA_CERO-BF128)/(KMA_CERO-KMA_IDEAL_MAX))))</f>
        <v/>
      </c>
      <c r="CF128" s="3">
        <f>MAX(0,MIN(100,100*(M128-ANIO_MIN)/(ANIO_ACTUAL-ANIO_MIN)))</f>
        <v/>
      </c>
      <c r="CG128" s="3">
        <f>W_KMT*CD128+W_KMA*CE128+W_EDAD*CF128</f>
        <v/>
      </c>
      <c r="CH128" s="3">
        <f>P_ITV*(V128="sí")+P_LIBRO*(W128="sí")+P_CORREA*(X128="sí")+P_PROP*(Y128=1)+P_GAR*(Z128="sí")+P_FOTOS*MIN(1,N(U128)/FOTOS_OBJ)</f>
        <v/>
      </c>
      <c r="CI128" s="3">
        <f>MAX(0,MIN(100,IFERROR(VLOOKUP(BT128,ETQ_TBL,2,0),0)-IF(BU128="sí",ETQ_PEN_DUD,IF(AS128="regla",ETQ_PEN_REGLA,0))))</f>
        <v/>
      </c>
      <c r="CJ128" s="3">
        <f>IF(K128&lt;&gt;"gasolina","",IFERROR(VLOOKUP(F128,CONS_MOD_TBL,2,0),IFERROR(VLOOKUP(L128,CONS_SEG_TBL,2,0),"")))</f>
        <v/>
      </c>
      <c r="CK128" s="3">
        <f>IF(CJ128="",NEUTRO,MAX(0,MIN(100,100*(CONS_REF_MAX-CJ128)/(CONS_REF_MAX-CONS_REF_MIN))))</f>
        <v/>
      </c>
      <c r="CL128" s="3">
        <f>IFERROR(VLOOKUP(L128,SEGURO_TBL,3,0),"")</f>
        <v/>
      </c>
      <c r="CM128" s="3">
        <f>IF(CL128="",NEUTRO,MAX(0,MIN(100,100*(SEG_REF_MAX-CL128)/(SEG_REF_MAX-SEG_REF_MIN))))</f>
        <v/>
      </c>
      <c r="CN128" s="3">
        <f>W_CONS*CK128+W_SEG*CM128</f>
        <v/>
      </c>
      <c r="CO128" s="3">
        <f>IF(N(AB128)&gt;0,AB128,IF(AND(R128="profesional",SG_LEGAL_ON=1),GAR_LEGAL,0))</f>
        <v/>
      </c>
      <c r="CP128" s="3">
        <f>SG_GAR*MIN(1,CO128/SG_GAR_FULL)+SG_AMPL*(AC128="sí")+SG_KMC*(AF128="sí")+SG_REV*(N(AE128)&gt;0)+SG_DEV*MIN(1,N(AG128)/SG_DEV_FULL)+SG_HIST*(W128="sí")</f>
        <v/>
      </c>
      <c r="CQ128" s="3">
        <f>IF(AW128="sí",ESTILO_PRIO,IFERROR(VLOOKUP(L128,ESTILO_TBL,2,0),NEUTRO))</f>
        <v/>
      </c>
      <c r="CR128" s="3">
        <f>IFERROR(VLOOKUP(L128,CARR_PEN_TBL,2,0),0)</f>
        <v/>
      </c>
      <c r="CS128" s="3">
        <f>W_FIAB*CA128+W_PRECIO*CC128+W_KMEDAD*CG128+W_ANUNCIO*CH128+W_USO*CN128+W_SEGURIDAD*CP128+W_ETIQUETA*CI128+W_ESTILO*CQ128-CR128</f>
        <v/>
      </c>
      <c r="CT128" s="4">
        <f>IF(N(I128)&gt;0,I128,IFERROR(ROUND(_xlfn.NUMBERVALUE(LEFT(G128,FIND(" ",G128&amp;" ")-1),".")*1000,0),99999))</f>
        <v/>
      </c>
      <c r="CU128" s="3">
        <f>IF(R128="profesional",0,IF(O128&lt;CUOTA_VALOR_MAX,IF(BE128&gt;ITP_TRAMO_ALTO,SUMIFS(CF_CUOTA,CF_MAS,ITP_TRAMO_ALTO,CF_CCMIN,"&lt;="&amp;CT128,CF_CCMAX,"&gt;="&amp;CT128),IF(BE128&gt;ITP_TRAMO_BAJO,SUMIFS(CF_CUOTA,CF_MAS,ITP_TRAMO_BAJO,CF_CCMIN,"&lt;="&amp;CT128,CF_CCMAX,"&gt;="&amp;CT128),O128*ITP_TIPO)),O128*ITP_TIPO))</f>
        <v/>
      </c>
      <c r="CV128" s="4">
        <f>IF(R128="profesional",N(AK128),0)</f>
        <v/>
      </c>
      <c r="CW128" s="3">
        <f>IF(AND(R128="profesional",ISNUMBER(AK128),AL128="sí"),0,TASA_DGT)</f>
        <v/>
      </c>
      <c r="CX128" s="3">
        <f>INFORME_DGT</f>
        <v/>
      </c>
      <c r="CY128" s="4">
        <f>O128+CV128+CU128+CW128+CX128</f>
        <v/>
      </c>
      <c r="CZ128" s="4">
        <f>CY128+N(CL128)</f>
        <v/>
      </c>
      <c r="DA128" s="3">
        <f>IF(CY128&lt;=TOTAL_MAX,"sí",IF(CY128&lt;=TOTAL_MAX+MARGEN_NEG,"negociar","no"))</f>
        <v/>
      </c>
      <c r="DB128" s="4">
        <f>IF(DA128&lt;&gt;"no",COUNTIFS($DA$2:$DA$130,"&lt;&gt;no",$CS$2:$CS$130,"&gt;"&amp;CS128)+COUNTIFS($DA$2:DA128,"&lt;&gt;no",$CS$2:CS128,CS128),"")</f>
        <v/>
      </c>
    </row>
    <row r="129">
      <c r="A129" s="2" t="inlineStr">
        <is>
          <t>cochesnet:71579420</t>
        </is>
      </c>
      <c r="B129" s="2" t="inlineStr">
        <is>
          <t>cochesnet</t>
        </is>
      </c>
      <c r="C129" s="2" t="inlineStr">
        <is>
          <t>https://www.coches.net/ford-focus-16-ghia-5p-gasolina-2003-en-castellon-71579420-covo.aspx</t>
        </is>
      </c>
      <c r="D129" s="2" t="inlineStr">
        <is>
          <t>FORD Focus 1.6 Ghia</t>
        </is>
      </c>
      <c r="E129" s="2" t="inlineStr">
        <is>
          <t>Ford</t>
        </is>
      </c>
      <c r="F129" s="2" t="inlineStr">
        <is>
          <t>Ford Focus</t>
        </is>
      </c>
      <c r="G129" s="2" t="inlineStr">
        <is>
          <t>1.6</t>
        </is>
      </c>
      <c r="H129" s="2" t="inlineStr">
        <is>
          <t>1.6 Ghia</t>
        </is>
      </c>
      <c r="I129" s="2" t="n"/>
      <c r="J129" s="2" t="n"/>
      <c r="K129" s="2" t="inlineStr">
        <is>
          <t>gasolina</t>
        </is>
      </c>
      <c r="L129" s="2" t="inlineStr">
        <is>
          <t>compacto</t>
        </is>
      </c>
      <c r="M129" s="2" t="n">
        <v>2003</v>
      </c>
      <c r="N129" s="2" t="n">
        <v>173000</v>
      </c>
      <c r="O129" s="2" t="n">
        <v>3300</v>
      </c>
      <c r="P129" s="2" t="inlineStr">
        <is>
          <t>manual</t>
        </is>
      </c>
      <c r="Q129" s="2" t="inlineStr">
        <is>
          <t>no</t>
        </is>
      </c>
      <c r="R129" s="2" t="inlineStr">
        <is>
          <t>profesional</t>
        </is>
      </c>
      <c r="S129" s="2" t="inlineStr">
        <is>
          <t>Automoviles Gual Castellón de la Plana / Castelló de la Plana</t>
        </is>
      </c>
      <c r="T129" s="2" t="inlineStr">
        <is>
          <t>2026-09-23T11:52:24Z</t>
        </is>
      </c>
      <c r="U129" s="2" t="n">
        <v>10</v>
      </c>
      <c r="V129" s="2" t="n"/>
      <c r="W129" s="2" t="n"/>
      <c r="X129" s="2" t="n"/>
      <c r="Y129" s="2" t="n"/>
      <c r="Z129" s="2" t="inlineStr">
        <is>
          <t>sí</t>
        </is>
      </c>
      <c r="AA129" s="2" t="n"/>
      <c r="AB129" s="2" t="n">
        <v>12</v>
      </c>
      <c r="AC129" s="2" t="n"/>
      <c r="AD129" s="2" t="n"/>
      <c r="AE129" s="2" t="n"/>
      <c r="AF129" s="2" t="n"/>
      <c r="AG129" s="2" t="n"/>
      <c r="AH129" s="2" t="n">
        <v>3300</v>
      </c>
      <c r="AI129" s="2" t="n"/>
      <c r="AJ129" s="2" t="n"/>
      <c r="AK129" s="2" t="n"/>
      <c r="AL129" s="2" t="n"/>
      <c r="AM129" s="2" t="n"/>
      <c r="AN129" s="2" t="n"/>
      <c r="AO129" s="2" t="inlineStr">
        <is>
          <t>2003</t>
        </is>
      </c>
      <c r="AP129" s="2" t="n">
        <v>2003</v>
      </c>
      <c r="AQ129" s="2" t="n"/>
      <c r="AR129" s="2" t="inlineStr">
        <is>
          <t>B</t>
        </is>
      </c>
      <c r="AS129" s="2" t="inlineStr">
        <is>
          <t>anuncio</t>
        </is>
      </c>
      <c r="AT129" s="2" t="n"/>
      <c r="AU129" s="2" t="inlineStr">
        <is>
          <t>no</t>
        </is>
      </c>
      <c r="AV129" s="2" t="inlineStr">
        <is>
          <t>no</t>
        </is>
      </c>
      <c r="AW129" s="2" t="inlineStr">
        <is>
          <t>no</t>
        </is>
      </c>
      <c r="AX129" s="2" t="n">
        <v>2600</v>
      </c>
      <c r="AY129" s="2" t="n">
        <v>4</v>
      </c>
      <c r="AZ129" s="2" t="inlineStr">
        <is>
          <t>modelo+año+km</t>
        </is>
      </c>
      <c r="BA129" s="2" t="n"/>
      <c r="BB129" s="2" t="inlineStr">
        <is>
          <t>vendedor profesional: sin ITP (operación con IVA/REBU, confirmar en factura); gastos de gestión del vendedor no indicados: se suma la tasa DGT; preguntar el precio final; revisar: no menciona la ITV; distancia no verificable (el anuncio solo indica la provincia): confirmar que está a &lt;= 70 km</t>
        </is>
      </c>
      <c r="BC129" s="2" t="inlineStr">
        <is>
          <t xml:space="preserve">Vehículo con aire acondicionado ,dirección asistida , elevalunas eléctricos ,cierre centralizado , airbag de conductor.
 </t>
        </is>
      </c>
      <c r="BD129" s="2" t="inlineStr">
        <is>
          <t>https://www.coches.net/ford-focus-16-ghia-5p-gasolina-2003-en-castellon-71579420-covo.aspx (window.__INITIAL_PROPS__.ad) /home/user/Alopecia/buscador-coches/raw/cochesnet/9ba333c70dd1dab4.json</t>
        </is>
      </c>
      <c r="BE129" s="3">
        <f>MAX(ANIO_ACTUAL-M129,0)</f>
        <v/>
      </c>
      <c r="BF129" s="4">
        <f>N129/MAX(BE129,0.5)</f>
        <v/>
      </c>
      <c r="BG129" s="4">
        <f>F129</f>
        <v/>
      </c>
      <c r="BH129" s="3">
        <f>BG129&amp;"|"&amp;INT(M129/SEG_ANIO)*SEG_ANIO</f>
        <v/>
      </c>
      <c r="BI129" s="3">
        <f>BH129&amp;"|"&amp;INT(N129/SEG_KM)*SEG_KM</f>
        <v/>
      </c>
      <c r="BJ129" s="4">
        <f>COUNTIF($BG$2:$BG$130,BG129)</f>
        <v/>
      </c>
      <c r="BK129" s="4">
        <f>COUNTIF($BH$2:$BH$130,BH129)</f>
        <v/>
      </c>
      <c r="BL129" s="4">
        <f>COUNTIF($BI$2:$BI$130,BI129)</f>
        <v/>
      </c>
      <c r="BM129" s="3">
        <f t="array" ref="BM129">IF(N(AY129)&gt;=MIN_N,AX129,IF(BL129&gt;=MIN_N,MEDIAN(IF($BI$2:$BI$130=BI129,$O$2:$O$130)),IF(BK129&gt;=MIN_N,MEDIAN(IF($BH$2:$BH$130=BH129,$O$2:$O$130)),MEDIAN(IF($BG$2:$BG$130=BG129,$O$2:$O$130)))))</f>
        <v/>
      </c>
      <c r="BN129" s="3">
        <f>IF(N(AY129)&gt;=MIN_N,"mercado "&amp;AZ129,IF(BL129&gt;=MIN_N,"modelo+año+km",IF(BK129&gt;=MIN_N,"modelo+año","modelo")))</f>
        <v/>
      </c>
      <c r="BO129" s="4">
        <f>(BM129-O129)/BM129</f>
        <v/>
      </c>
      <c r="BP129" s="3">
        <f>IF(COUNTIFS(FR_FUEL,K129,FR_YEAR,AP129)&gt;0,1,0)</f>
        <v/>
      </c>
      <c r="BQ129" s="3">
        <f>IF(COUNTIFS(FR_FUEL,K129,FR_YEAR,AP129-1)&gt;0,1,0)</f>
        <v/>
      </c>
      <c r="BR129" s="4">
        <f>IF(N(AQ129)&gt;0,AP129*100+AQ129,IF(AND(BP129=1,BQ129=1),(AP129-1)*100+1,AP129*100+1))</f>
        <v/>
      </c>
      <c r="BS129" s="3">
        <f>IF(OR(K129="hibrido",K129="glp",K129="gnc",K129="phev"),"ECO",IF(K129="electrico","CERO",IF(K129="gasolina",IF(BR129&gt;=GAS_C_YM,"C",IF(BR129&gt;=GAS_B_YM,"B","A")),IF(K129="diesel",IF(BR129&gt;=DIE_C_YM,"C",IF(BR129&gt;=DIE_B_YM,"B","A")),""))))</f>
        <v/>
      </c>
      <c r="BT129" s="2" t="inlineStr">
        <is>
          <t>B</t>
        </is>
      </c>
      <c r="BU129" s="4">
        <f>IF(AU129="sí","sí",IF(AS129="regla",IF(AND(N(AQ129)=0,BP129=1),"sí","no"),"no"))</f>
        <v/>
      </c>
      <c r="BV129" s="3">
        <f>IFERROR(VLOOKUP(F129,MOD_TBL,16,0),IFERROR(VLOOKUP(E129,OCU_TBL,2,0),NEUTRO))</f>
        <v/>
      </c>
      <c r="BW129" s="3">
        <f>SUMIFS(MOT_AJUSTE,MOT_MOTOR,G129,MOT_MARCA,E129,MOT_DESDE,"&lt;="&amp;M129,MOT_HASTA,"&gt;="&amp;M129)+SUMIFS(MOT_AJUSTE,MOT_MOTOR,G129,MOT_MARCA,"(todas)",MOT_DESDE,"&lt;="&amp;M129,MOT_HASTA,"&gt;="&amp;M129)+SUMIFS(MOT_AJUSTE,MOT_MOTOR,"(cualquiera)",MOT_MARCA,E129,MOT_DESDE,"&lt;="&amp;M129,MOT_HASTA,"&gt;="&amp;M129)</f>
        <v/>
      </c>
      <c r="BX129" s="3">
        <f>SUMIFS(COMB_AJUSTE,COMB_COMB,K129)</f>
        <v/>
      </c>
      <c r="BY129" s="3">
        <f>COUNTIFS(MOT_MOTOR,G129,MOT_MARCA,E129,MOT_DESDE,"&lt;="&amp;M129,MOT_HASTA,"&gt;="&amp;M129)+COUNTIFS(MOT_MOTOR,G129,MOT_MARCA,"(todas)",MOT_DESDE,"&lt;="&amp;M129,MOT_HASTA,"&gt;="&amp;M129)+COUNTIFS(MOT_MOTOR,"(cualquiera)",MOT_MARCA,E129,MOT_DESDE,"&lt;="&amp;M129,MOT_HASTA,"&gt;="&amp;M129)</f>
        <v/>
      </c>
      <c r="BZ129" s="3">
        <f>IF(AND(K129="diesel",BY129=0),MIN(BV129,NEUTRO),BV129)</f>
        <v/>
      </c>
      <c r="CA129" s="3">
        <f>MAX(0,MIN(100,BZ129+BW129+BX129-IF(AV129="sí",ROB_PEN,0)))</f>
        <v/>
      </c>
      <c r="CB129" s="3">
        <f>100-MAX(0,N129-KM_TOPE_DESDE)/1000*KM_TOPE_PTS</f>
        <v/>
      </c>
      <c r="CC129" s="3">
        <f>MAX(0,MIN(100,50+BO129*PRECIO_PEND,CB129))</f>
        <v/>
      </c>
      <c r="CD129" s="3">
        <f>MAX(0,100*(1-N129/KM_MAX))</f>
        <v/>
      </c>
      <c r="CE129" s="3">
        <f>IF(BF129&lt;KMA_SOSP,IF(AA129="sí",100,KMA_PEN),IF(BF129&lt;=KMA_IDEAL_MAX,100,MAX(0,100*(KMA_CERO-BF129)/(KMA_CERO-KMA_IDEAL_MAX))))</f>
        <v/>
      </c>
      <c r="CF129" s="3">
        <f>MAX(0,MIN(100,100*(M129-ANIO_MIN)/(ANIO_ACTUAL-ANIO_MIN)))</f>
        <v/>
      </c>
      <c r="CG129" s="3">
        <f>W_KMT*CD129+W_KMA*CE129+W_EDAD*CF129</f>
        <v/>
      </c>
      <c r="CH129" s="3">
        <f>P_ITV*(V129="sí")+P_LIBRO*(W129="sí")+P_CORREA*(X129="sí")+P_PROP*(Y129=1)+P_GAR*(Z129="sí")+P_FOTOS*MIN(1,N(U129)/FOTOS_OBJ)</f>
        <v/>
      </c>
      <c r="CI129" s="3">
        <f>MAX(0,MIN(100,IFERROR(VLOOKUP(BT129,ETQ_TBL,2,0),0)-IF(BU129="sí",ETQ_PEN_DUD,IF(AS129="regla",ETQ_PEN_REGLA,0))))</f>
        <v/>
      </c>
      <c r="CJ129" s="3">
        <f>IF(K129&lt;&gt;"gasolina","",IFERROR(VLOOKUP(F129,CONS_MOD_TBL,2,0),IFERROR(VLOOKUP(L129,CONS_SEG_TBL,2,0),"")))</f>
        <v/>
      </c>
      <c r="CK129" s="3">
        <f>IF(CJ129="",NEUTRO,MAX(0,MIN(100,100*(CONS_REF_MAX-CJ129)/(CONS_REF_MAX-CONS_REF_MIN))))</f>
        <v/>
      </c>
      <c r="CL129" s="3">
        <f>IFERROR(VLOOKUP(L129,SEGURO_TBL,3,0),"")</f>
        <v/>
      </c>
      <c r="CM129" s="3">
        <f>IF(CL129="",NEUTRO,MAX(0,MIN(100,100*(SEG_REF_MAX-CL129)/(SEG_REF_MAX-SEG_REF_MIN))))</f>
        <v/>
      </c>
      <c r="CN129" s="3">
        <f>W_CONS*CK129+W_SEG*CM129</f>
        <v/>
      </c>
      <c r="CO129" s="3">
        <f>IF(N(AB129)&gt;0,AB129,IF(AND(R129="profesional",SG_LEGAL_ON=1),GAR_LEGAL,0))</f>
        <v/>
      </c>
      <c r="CP129" s="3">
        <f>SG_GAR*MIN(1,CO129/SG_GAR_FULL)+SG_AMPL*(AC129="sí")+SG_KMC*(AF129="sí")+SG_REV*(N(AE129)&gt;0)+SG_DEV*MIN(1,N(AG129)/SG_DEV_FULL)+SG_HIST*(W129="sí")</f>
        <v/>
      </c>
      <c r="CQ129" s="3">
        <f>IF(AW129="sí",ESTILO_PRIO,IFERROR(VLOOKUP(L129,ESTILO_TBL,2,0),NEUTRO))</f>
        <v/>
      </c>
      <c r="CR129" s="3">
        <f>IFERROR(VLOOKUP(L129,CARR_PEN_TBL,2,0),0)</f>
        <v/>
      </c>
      <c r="CS129" s="3">
        <f>W_FIAB*CA129+W_PRECIO*CC129+W_KMEDAD*CG129+W_ANUNCIO*CH129+W_USO*CN129+W_SEGURIDAD*CP129+W_ETIQUETA*CI129+W_ESTILO*CQ129-CR129</f>
        <v/>
      </c>
      <c r="CT129" s="4">
        <f>IF(N(I129)&gt;0,I129,IFERROR(ROUND(_xlfn.NUMBERVALUE(LEFT(G129,FIND(" ",G129&amp;" ")-1),".")*1000,0),99999))</f>
        <v/>
      </c>
      <c r="CU129" s="3">
        <f>IF(R129="profesional",0,IF(O129&lt;CUOTA_VALOR_MAX,IF(BE129&gt;ITP_TRAMO_ALTO,SUMIFS(CF_CUOTA,CF_MAS,ITP_TRAMO_ALTO,CF_CCMIN,"&lt;="&amp;CT129,CF_CCMAX,"&gt;="&amp;CT129),IF(BE129&gt;ITP_TRAMO_BAJO,SUMIFS(CF_CUOTA,CF_MAS,ITP_TRAMO_BAJO,CF_CCMIN,"&lt;="&amp;CT129,CF_CCMAX,"&gt;="&amp;CT129),O129*ITP_TIPO)),O129*ITP_TIPO))</f>
        <v/>
      </c>
      <c r="CV129" s="4">
        <f>IF(R129="profesional",N(AK129),0)</f>
        <v/>
      </c>
      <c r="CW129" s="3">
        <f>IF(AND(R129="profesional",ISNUMBER(AK129),AL129="sí"),0,TASA_DGT)</f>
        <v/>
      </c>
      <c r="CX129" s="3">
        <f>INFORME_DGT</f>
        <v/>
      </c>
      <c r="CY129" s="4">
        <f>O129+CV129+CU129+CW129+CX129</f>
        <v/>
      </c>
      <c r="CZ129" s="4">
        <f>CY129+N(CL129)</f>
        <v/>
      </c>
      <c r="DA129" s="3">
        <f>IF(CY129&lt;=TOTAL_MAX,"sí",IF(CY129&lt;=TOTAL_MAX+MARGEN_NEG,"negociar","no"))</f>
        <v/>
      </c>
      <c r="DB129" s="4">
        <f>IF(DA129&lt;&gt;"no",COUNTIFS($DA$2:$DA$130,"&lt;&gt;no",$CS$2:$CS$130,"&gt;"&amp;CS129)+COUNTIFS($DA$2:DA129,"&lt;&gt;no",$CS$2:CS129,CS129),"")</f>
        <v/>
      </c>
    </row>
    <row r="130">
      <c r="A130" s="2" t="inlineStr">
        <is>
          <t>wallapop:1319022976</t>
        </is>
      </c>
      <c r="B130" s="2" t="inlineStr">
        <is>
          <t>wallapop</t>
        </is>
      </c>
      <c r="C130" s="2" t="inlineStr">
        <is>
          <t>https://es.wallapop.com/item/dacia-sandero-1-2-16v-base-55-kw-75-cv-1319022976</t>
        </is>
      </c>
      <c r="D130" s="2" t="inlineStr">
        <is>
          <t>Dacia Sandero 1.2 16v Base 55 kW (75 CV)</t>
        </is>
      </c>
      <c r="E130" s="2" t="inlineStr">
        <is>
          <t>Dacia</t>
        </is>
      </c>
      <c r="F130" s="2" t="inlineStr">
        <is>
          <t>Dacia Sandero</t>
        </is>
      </c>
      <c r="G130" s="2" t="inlineStr">
        <is>
          <t>1.2</t>
        </is>
      </c>
      <c r="H130" s="2" t="inlineStr">
        <is>
          <t>1.2 16v Base 55 kW (75 CV)</t>
        </is>
      </c>
      <c r="I130" s="2" t="n"/>
      <c r="J130" s="2" t="n">
        <v>75</v>
      </c>
      <c r="K130" s="2" t="inlineStr">
        <is>
          <t>gasolina</t>
        </is>
      </c>
      <c r="L130" s="2" t="inlineStr">
        <is>
          <t>utilitario</t>
        </is>
      </c>
      <c r="M130" s="2" t="n">
        <v>2010</v>
      </c>
      <c r="N130" s="2" t="n">
        <v>106960</v>
      </c>
      <c r="O130" s="2" t="n">
        <v>4750</v>
      </c>
      <c r="P130" s="2" t="inlineStr">
        <is>
          <t>manual</t>
        </is>
      </c>
      <c r="Q130" s="2" t="inlineStr">
        <is>
          <t>no</t>
        </is>
      </c>
      <c r="R130" s="2" t="inlineStr">
        <is>
          <t>profesional</t>
        </is>
      </c>
      <c r="S130" s="2" t="inlineStr">
        <is>
          <t>Paterna (46980)</t>
        </is>
      </c>
      <c r="T130" s="2" t="inlineStr">
        <is>
          <t>2026-10-31T11:02:57</t>
        </is>
      </c>
      <c r="U130" s="2" t="n">
        <v>11</v>
      </c>
      <c r="V130" s="2" t="n"/>
      <c r="W130" s="2" t="n"/>
      <c r="X130" s="2" t="n"/>
      <c r="Y130" s="2" t="n"/>
      <c r="Z130" s="2" t="inlineStr">
        <is>
          <t>sí</t>
        </is>
      </c>
      <c r="AA130" s="2" t="n"/>
      <c r="AB130" s="2" t="n"/>
      <c r="AC130" s="2" t="n"/>
      <c r="AD130" s="2" t="n"/>
      <c r="AE130" s="2" t="n"/>
      <c r="AF130" s="2" t="inlineStr">
        <is>
          <t>sí</t>
        </is>
      </c>
      <c r="AG130" s="2" t="n"/>
      <c r="AH130" s="2" t="n"/>
      <c r="AI130" s="2" t="n"/>
      <c r="AJ130" s="2" t="n"/>
      <c r="AK130" s="2" t="n"/>
      <c r="AL130" s="2" t="n"/>
      <c r="AM130" s="2" t="n">
        <v>6.4</v>
      </c>
      <c r="AN130" s="2" t="inlineStr">
        <is>
          <t>1000KMS</t>
        </is>
      </c>
      <c r="AO130" s="2" t="n"/>
      <c r="AP130" s="2" t="n">
        <v>2010</v>
      </c>
      <c r="AQ130" s="2" t="n"/>
      <c r="AR130" s="2" t="inlineStr">
        <is>
          <t>B</t>
        </is>
      </c>
      <c r="AS130" s="2" t="inlineStr">
        <is>
          <t>DGT</t>
        </is>
      </c>
      <c r="AT130" s="2" t="n"/>
      <c r="AU130" s="2" t="inlineStr">
        <is>
          <t>no</t>
        </is>
      </c>
      <c r="AV130" s="2" t="inlineStr">
        <is>
          <t>no</t>
        </is>
      </c>
      <c r="AW130" s="2" t="inlineStr">
        <is>
          <t>no</t>
        </is>
      </c>
      <c r="AX130" s="2" t="n">
        <v>3800</v>
      </c>
      <c r="AY130" s="2" t="n">
        <v>9</v>
      </c>
      <c r="AZ130" s="2" t="inlineStr">
        <is>
          <t>modelo+año</t>
        </is>
      </c>
      <c r="BA130" s="2" t="n"/>
      <c r="BB130" s="2" t="inlineStr">
        <is>
          <t>vendedor profesional: sin ITP (operación con IVA/REBU, confirmar en factura); gastos de gestión del vendedor no indicados: se suma la tasa DGT; preguntar el precio final; revisar: no menciona la ITV</t>
        </is>
      </c>
      <c r="BC130" s="2" t="inlineStr">
        <is>
          <t>Ref.196575718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 Coche Nacional.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D130" s="2" t="inlineStr">
        <is>
          <t>https://es.wallapop.com/item/dacia-sandero-1-2-16v-base-55-kw-75-cv-1319022976 (__NEXT_DATA__ item) /home/user/Alopecia/buscador-coches/raw/wallapop/f8706f822d87b0f9.json</t>
        </is>
      </c>
      <c r="BE130" s="3">
        <f>MAX(ANIO_ACTUAL-M130,0)</f>
        <v/>
      </c>
      <c r="BF130" s="4">
        <f>N130/MAX(BE130,0.5)</f>
        <v/>
      </c>
      <c r="BG130" s="4">
        <f>F130</f>
        <v/>
      </c>
      <c r="BH130" s="3">
        <f>BG130&amp;"|"&amp;INT(M130/SEG_ANIO)*SEG_ANIO</f>
        <v/>
      </c>
      <c r="BI130" s="3">
        <f>BH130&amp;"|"&amp;INT(N130/SEG_KM)*SEG_KM</f>
        <v/>
      </c>
      <c r="BJ130" s="4">
        <f>COUNTIF($BG$2:$BG$130,BG130)</f>
        <v/>
      </c>
      <c r="BK130" s="4">
        <f>COUNTIF($BH$2:$BH$130,BH130)</f>
        <v/>
      </c>
      <c r="BL130" s="4">
        <f>COUNTIF($BI$2:$BI$130,BI130)</f>
        <v/>
      </c>
      <c r="BM130" s="3">
        <f t="array" ref="BM130">IF(N(AY130)&gt;=MIN_N,AX130,IF(BL130&gt;=MIN_N,MEDIAN(IF($BI$2:$BI$130=BI130,$O$2:$O$130)),IF(BK130&gt;=MIN_N,MEDIAN(IF($BH$2:$BH$130=BH130,$O$2:$O$130)),MEDIAN(IF($BG$2:$BG$130=BG130,$O$2:$O$130)))))</f>
        <v/>
      </c>
      <c r="BN130" s="3">
        <f>IF(N(AY130)&gt;=MIN_N,"mercado "&amp;AZ130,IF(BL130&gt;=MIN_N,"modelo+año+km",IF(BK130&gt;=MIN_N,"modelo+año","modelo")))</f>
        <v/>
      </c>
      <c r="BO130" s="4">
        <f>(BM130-O130)/BM130</f>
        <v/>
      </c>
      <c r="BP130" s="3">
        <f>IF(COUNTIFS(FR_FUEL,K130,FR_YEAR,AP130)&gt;0,1,0)</f>
        <v/>
      </c>
      <c r="BQ130" s="3">
        <f>IF(COUNTIFS(FR_FUEL,K130,FR_YEAR,AP130-1)&gt;0,1,0)</f>
        <v/>
      </c>
      <c r="BR130" s="4">
        <f>IF(N(AQ130)&gt;0,AP130*100+AQ130,IF(AND(BP130=1,BQ130=1),(AP130-1)*100+1,AP130*100+1))</f>
        <v/>
      </c>
      <c r="BS130" s="3">
        <f>IF(OR(K130="hibrido",K130="glp",K130="gnc",K130="phev"),"ECO",IF(K130="electrico","CERO",IF(K130="gasolina",IF(BR130&gt;=GAS_C_YM,"C",IF(BR130&gt;=GAS_B_YM,"B","A")),IF(K130="diesel",IF(BR130&gt;=DIE_C_YM,"C",IF(BR130&gt;=DIE_B_YM,"B","A")),""))))</f>
        <v/>
      </c>
      <c r="BT130" s="2" t="inlineStr">
        <is>
          <t>B</t>
        </is>
      </c>
      <c r="BU130" s="4">
        <f>IF(AU130="sí","sí",IF(AS130="regla",IF(AND(N(AQ130)=0,BP130=1),"sí","no"),"no"))</f>
        <v/>
      </c>
      <c r="BV130" s="3">
        <f>IFERROR(VLOOKUP(F130,MOD_TBL,16,0),IFERROR(VLOOKUP(E130,OCU_TBL,2,0),NEUTRO))</f>
        <v/>
      </c>
      <c r="BW130" s="3">
        <f>SUMIFS(MOT_AJUSTE,MOT_MOTOR,G130,MOT_MARCA,E130,MOT_DESDE,"&lt;="&amp;M130,MOT_HASTA,"&gt;="&amp;M130)+SUMIFS(MOT_AJUSTE,MOT_MOTOR,G130,MOT_MARCA,"(todas)",MOT_DESDE,"&lt;="&amp;M130,MOT_HASTA,"&gt;="&amp;M130)+SUMIFS(MOT_AJUSTE,MOT_MOTOR,"(cualquiera)",MOT_MARCA,E130,MOT_DESDE,"&lt;="&amp;M130,MOT_HASTA,"&gt;="&amp;M130)</f>
        <v/>
      </c>
      <c r="BX130" s="3">
        <f>SUMIFS(COMB_AJUSTE,COMB_COMB,K130)</f>
        <v/>
      </c>
      <c r="BY130" s="3">
        <f>COUNTIFS(MOT_MOTOR,G130,MOT_MARCA,E130,MOT_DESDE,"&lt;="&amp;M130,MOT_HASTA,"&gt;="&amp;M130)+COUNTIFS(MOT_MOTOR,G130,MOT_MARCA,"(todas)",MOT_DESDE,"&lt;="&amp;M130,MOT_HASTA,"&gt;="&amp;M130)+COUNTIFS(MOT_MOTOR,"(cualquiera)",MOT_MARCA,E130,MOT_DESDE,"&lt;="&amp;M130,MOT_HASTA,"&gt;="&amp;M130)</f>
        <v/>
      </c>
      <c r="BZ130" s="3">
        <f>IF(AND(K130="diesel",BY130=0),MIN(BV130,NEUTRO),BV130)</f>
        <v/>
      </c>
      <c r="CA130" s="3">
        <f>MAX(0,MIN(100,BZ130+BW130+BX130-IF(AV130="sí",ROB_PEN,0)))</f>
        <v/>
      </c>
      <c r="CB130" s="3">
        <f>100-MAX(0,N130-KM_TOPE_DESDE)/1000*KM_TOPE_PTS</f>
        <v/>
      </c>
      <c r="CC130" s="3">
        <f>MAX(0,MIN(100,50+BO130*PRECIO_PEND,CB130))</f>
        <v/>
      </c>
      <c r="CD130" s="3">
        <f>MAX(0,100*(1-N130/KM_MAX))</f>
        <v/>
      </c>
      <c r="CE130" s="3">
        <f>IF(BF130&lt;KMA_SOSP,IF(AA130="sí",100,KMA_PEN),IF(BF130&lt;=KMA_IDEAL_MAX,100,MAX(0,100*(KMA_CERO-BF130)/(KMA_CERO-KMA_IDEAL_MAX))))</f>
        <v/>
      </c>
      <c r="CF130" s="3">
        <f>MAX(0,MIN(100,100*(M130-ANIO_MIN)/(ANIO_ACTUAL-ANIO_MIN)))</f>
        <v/>
      </c>
      <c r="CG130" s="3">
        <f>W_KMT*CD130+W_KMA*CE130+W_EDAD*CF130</f>
        <v/>
      </c>
      <c r="CH130" s="3">
        <f>P_ITV*(V130="sí")+P_LIBRO*(W130="sí")+P_CORREA*(X130="sí")+P_PROP*(Y130=1)+P_GAR*(Z130="sí")+P_FOTOS*MIN(1,N(U130)/FOTOS_OBJ)</f>
        <v/>
      </c>
      <c r="CI130" s="3">
        <f>MAX(0,MIN(100,IFERROR(VLOOKUP(BT130,ETQ_TBL,2,0),0)-IF(BU130="sí",ETQ_PEN_DUD,IF(AS130="regla",ETQ_PEN_REGLA,0))))</f>
        <v/>
      </c>
      <c r="CJ130" s="3">
        <f>IF(K130&lt;&gt;"gasolina","",IFERROR(VLOOKUP(F130,CONS_MOD_TBL,2,0),IFERROR(VLOOKUP(L130,CONS_SEG_TBL,2,0),"")))</f>
        <v/>
      </c>
      <c r="CK130" s="3">
        <f>IF(CJ130="",NEUTRO,MAX(0,MIN(100,100*(CONS_REF_MAX-CJ130)/(CONS_REF_MAX-CONS_REF_MIN))))</f>
        <v/>
      </c>
      <c r="CL130" s="3">
        <f>IFERROR(VLOOKUP(L130,SEGURO_TBL,3,0),"")</f>
        <v/>
      </c>
      <c r="CM130" s="3">
        <f>IF(CL130="",NEUTRO,MAX(0,MIN(100,100*(SEG_REF_MAX-CL130)/(SEG_REF_MAX-SEG_REF_MIN))))</f>
        <v/>
      </c>
      <c r="CN130" s="3">
        <f>W_CONS*CK130+W_SEG*CM130</f>
        <v/>
      </c>
      <c r="CO130" s="3">
        <f>IF(N(AB130)&gt;0,AB130,IF(AND(R130="profesional",SG_LEGAL_ON=1),GAR_LEGAL,0))</f>
        <v/>
      </c>
      <c r="CP130" s="3">
        <f>SG_GAR*MIN(1,CO130/SG_GAR_FULL)+SG_AMPL*(AC130="sí")+SG_KMC*(AF130="sí")+SG_REV*(N(AE130)&gt;0)+SG_DEV*MIN(1,N(AG130)/SG_DEV_FULL)+SG_HIST*(W130="sí")</f>
        <v/>
      </c>
      <c r="CQ130" s="3">
        <f>IF(AW130="sí",ESTILO_PRIO,IFERROR(VLOOKUP(L130,ESTILO_TBL,2,0),NEUTRO))</f>
        <v/>
      </c>
      <c r="CR130" s="3">
        <f>IFERROR(VLOOKUP(L130,CARR_PEN_TBL,2,0),0)</f>
        <v/>
      </c>
      <c r="CS130" s="3">
        <f>W_FIAB*CA130+W_PRECIO*CC130+W_KMEDAD*CG130+W_ANUNCIO*CH130+W_USO*CN130+W_SEGURIDAD*CP130+W_ETIQUETA*CI130+W_ESTILO*CQ130-CR130</f>
        <v/>
      </c>
      <c r="CT130" s="4">
        <f>IF(N(I130)&gt;0,I130,IFERROR(ROUND(_xlfn.NUMBERVALUE(LEFT(G130,FIND(" ",G130&amp;" ")-1),".")*1000,0),99999))</f>
        <v/>
      </c>
      <c r="CU130" s="3">
        <f>IF(R130="profesional",0,IF(O130&lt;CUOTA_VALOR_MAX,IF(BE130&gt;ITP_TRAMO_ALTO,SUMIFS(CF_CUOTA,CF_MAS,ITP_TRAMO_ALTO,CF_CCMIN,"&lt;="&amp;CT130,CF_CCMAX,"&gt;="&amp;CT130),IF(BE130&gt;ITP_TRAMO_BAJO,SUMIFS(CF_CUOTA,CF_MAS,ITP_TRAMO_BAJO,CF_CCMIN,"&lt;="&amp;CT130,CF_CCMAX,"&gt;="&amp;CT130),O130*ITP_TIPO)),O130*ITP_TIPO))</f>
        <v/>
      </c>
      <c r="CV130" s="4">
        <f>IF(R130="profesional",N(AK130),0)</f>
        <v/>
      </c>
      <c r="CW130" s="3">
        <f>IF(AND(R130="profesional",ISNUMBER(AK130),AL130="sí"),0,TASA_DGT)</f>
        <v/>
      </c>
      <c r="CX130" s="3">
        <f>INFORME_DGT</f>
        <v/>
      </c>
      <c r="CY130" s="4">
        <f>O130+CV130+CU130+CW130+CX130</f>
        <v/>
      </c>
      <c r="CZ130" s="4">
        <f>CY130+N(CL130)</f>
        <v/>
      </c>
      <c r="DA130" s="3">
        <f>IF(CY130&lt;=TOTAL_MAX,"sí",IF(CY130&lt;=TOTAL_MAX+MARGEN_NEG,"negociar","no"))</f>
        <v/>
      </c>
      <c r="DB130" s="4">
        <f>IF(DA130&lt;&gt;"no",COUNTIFS($DA$2:$DA$130,"&lt;&gt;no",$CS$2:$CS$130,"&gt;"&amp;CS130)+COUNTIFS($DA$2:DA130,"&lt;&gt;no",$CS$2:CS130,CS130),"")</f>
        <v/>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 xmlns:r="http://schemas.openxmlformats.org/officeDocument/2006/relationships" ref="C102" r:id="rId101"/>
    <hyperlink xmlns:r="http://schemas.openxmlformats.org/officeDocument/2006/relationships" ref="C103" r:id="rId102"/>
    <hyperlink xmlns:r="http://schemas.openxmlformats.org/officeDocument/2006/relationships" ref="C104" r:id="rId103"/>
    <hyperlink xmlns:r="http://schemas.openxmlformats.org/officeDocument/2006/relationships" ref="C105" r:id="rId104"/>
    <hyperlink xmlns:r="http://schemas.openxmlformats.org/officeDocument/2006/relationships" ref="C106" r:id="rId105"/>
    <hyperlink xmlns:r="http://schemas.openxmlformats.org/officeDocument/2006/relationships" ref="C107" r:id="rId106"/>
    <hyperlink xmlns:r="http://schemas.openxmlformats.org/officeDocument/2006/relationships" ref="C108" r:id="rId107"/>
    <hyperlink xmlns:r="http://schemas.openxmlformats.org/officeDocument/2006/relationships" ref="C109" r:id="rId108"/>
    <hyperlink xmlns:r="http://schemas.openxmlformats.org/officeDocument/2006/relationships" ref="C110" r:id="rId109"/>
    <hyperlink xmlns:r="http://schemas.openxmlformats.org/officeDocument/2006/relationships" ref="C111" r:id="rId110"/>
    <hyperlink xmlns:r="http://schemas.openxmlformats.org/officeDocument/2006/relationships" ref="C112" r:id="rId111"/>
    <hyperlink xmlns:r="http://schemas.openxmlformats.org/officeDocument/2006/relationships" ref="C113" r:id="rId112"/>
    <hyperlink xmlns:r="http://schemas.openxmlformats.org/officeDocument/2006/relationships" ref="C114" r:id="rId113"/>
    <hyperlink xmlns:r="http://schemas.openxmlformats.org/officeDocument/2006/relationships" ref="C115" r:id="rId114"/>
    <hyperlink xmlns:r="http://schemas.openxmlformats.org/officeDocument/2006/relationships" ref="C116" r:id="rId115"/>
    <hyperlink xmlns:r="http://schemas.openxmlformats.org/officeDocument/2006/relationships" ref="C117" r:id="rId116"/>
    <hyperlink xmlns:r="http://schemas.openxmlformats.org/officeDocument/2006/relationships" ref="C118" r:id="rId117"/>
    <hyperlink xmlns:r="http://schemas.openxmlformats.org/officeDocument/2006/relationships" ref="C119" r:id="rId118"/>
    <hyperlink xmlns:r="http://schemas.openxmlformats.org/officeDocument/2006/relationships" ref="C120" r:id="rId119"/>
    <hyperlink xmlns:r="http://schemas.openxmlformats.org/officeDocument/2006/relationships" ref="C121" r:id="rId120"/>
    <hyperlink xmlns:r="http://schemas.openxmlformats.org/officeDocument/2006/relationships" ref="C122" r:id="rId121"/>
    <hyperlink xmlns:r="http://schemas.openxmlformats.org/officeDocument/2006/relationships" ref="C123" r:id="rId122"/>
    <hyperlink xmlns:r="http://schemas.openxmlformats.org/officeDocument/2006/relationships" ref="C124" r:id="rId123"/>
    <hyperlink xmlns:r="http://schemas.openxmlformats.org/officeDocument/2006/relationships" ref="C125" r:id="rId124"/>
    <hyperlink xmlns:r="http://schemas.openxmlformats.org/officeDocument/2006/relationships" ref="C126" r:id="rId125"/>
    <hyperlink xmlns:r="http://schemas.openxmlformats.org/officeDocument/2006/relationships" ref="C127" r:id="rId126"/>
    <hyperlink xmlns:r="http://schemas.openxmlformats.org/officeDocument/2006/relationships" ref="C128" r:id="rId127"/>
    <hyperlink xmlns:r="http://schemas.openxmlformats.org/officeDocument/2006/relationships" ref="C129" r:id="rId128"/>
    <hyperlink xmlns:r="http://schemas.openxmlformats.org/officeDocument/2006/relationships" ref="C130" r:id="rId129"/>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R23"/>
  <sheetViews>
    <sheetView workbookViewId="0">
      <selection activeCell="A1" sqref="A1"/>
    </sheetView>
  </sheetViews>
  <sheetFormatPr baseColWidth="8" defaultRowHeight="15"/>
  <cols>
    <col width="14" customWidth="1" min="1" max="1"/>
    <col width="14" customWidth="1" min="2" max="2"/>
    <col width="14" customWidth="1" min="3" max="3"/>
    <col width="40"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s>
  <sheetData>
    <row r="1">
      <c r="A1" s="1" t="inlineStr">
        <is>
          <t>Puesto</t>
        </is>
      </c>
      <c r="B1" s="1" t="inlineStr">
        <is>
          <t>Fila en Anuncios</t>
        </is>
      </c>
      <c r="C1" s="1" t="inlineStr">
        <is>
          <t>Enlace</t>
        </is>
      </c>
      <c r="D1" s="1" t="inlineStr">
        <is>
          <t>Título</t>
        </is>
      </c>
      <c r="E1" s="1" t="inlineStr">
        <is>
          <t>Plataforma</t>
        </is>
      </c>
      <c r="F1" s="1" t="inlineStr">
        <is>
          <t>Marca</t>
        </is>
      </c>
      <c r="G1" s="1" t="inlineStr">
        <is>
          <t>Modelo</t>
        </is>
      </c>
      <c r="H1" s="1" t="inlineStr">
        <is>
          <t>Motor</t>
        </is>
      </c>
      <c r="I1" s="1" t="inlineStr">
        <is>
          <t>Combustible</t>
        </is>
      </c>
      <c r="J1" s="1" t="inlineStr">
        <is>
          <t>Año</t>
        </is>
      </c>
      <c r="K1" s="1" t="inlineStr">
        <is>
          <t>Km</t>
        </is>
      </c>
      <c r="L1" s="1" t="inlineStr">
        <is>
          <t>Automático</t>
        </is>
      </c>
      <c r="M1" s="1" t="inlineStr">
        <is>
          <t>Vendedor</t>
        </is>
      </c>
      <c r="N1" s="1" t="inlineStr">
        <is>
          <t>Precio contado (€)</t>
        </is>
      </c>
      <c r="O1" s="1" t="inlineStr">
        <is>
          <t>Solo financiando</t>
        </is>
      </c>
      <c r="P1" s="1" t="inlineStr">
        <is>
          <t>Precio financiado (€)</t>
        </is>
      </c>
      <c r="Q1" s="1" t="inlineStr">
        <is>
          <t>Garantía efectiva (meses)</t>
        </is>
      </c>
      <c r="R1" s="1" t="inlineStr">
        <is>
          <t>Gastos vendedor (€)</t>
        </is>
      </c>
      <c r="S1" s="1" t="inlineStr">
        <is>
          <t>ITP (€)</t>
        </is>
      </c>
      <c r="T1" s="1" t="inlineStr">
        <is>
          <t>Coste total (€)</t>
        </is>
      </c>
      <c r="U1" s="1" t="inlineStr">
        <is>
          <t>Mediana segmento (€)</t>
        </is>
      </c>
      <c r="V1" s="1" t="inlineStr">
        <is>
          <t>Descuento</t>
        </is>
      </c>
      <c r="W1" s="1" t="inlineStr">
        <is>
          <t>Etiqueta</t>
        </is>
      </c>
      <c r="X1" s="1" t="inlineStr">
        <is>
          <t>Fuente etiqueta</t>
        </is>
      </c>
      <c r="Y1" s="1" t="inlineStr">
        <is>
          <t>Etiqueta dudosa</t>
        </is>
      </c>
      <c r="Z1" s="1" t="inlineStr">
        <is>
          <t>P. Fiabilidad</t>
        </is>
      </c>
      <c r="AA1" s="1" t="inlineStr">
        <is>
          <t>P. Precio</t>
        </is>
      </c>
      <c r="AB1" s="1" t="inlineStr">
        <is>
          <t>P. Km y edad</t>
        </is>
      </c>
      <c r="AC1" s="1" t="inlineStr">
        <is>
          <t>P. Anuncio</t>
        </is>
      </c>
      <c r="AD1" s="1" t="inlineStr">
        <is>
          <t>P. Coste uso</t>
        </is>
      </c>
      <c r="AE1" s="1" t="inlineStr">
        <is>
          <t>P. Seguridad compra</t>
        </is>
      </c>
      <c r="AF1" s="1" t="inlineStr">
        <is>
          <t>P. Etiqueta y ZBE</t>
        </is>
      </c>
      <c r="AG1" s="1" t="inlineStr">
        <is>
          <t>P. Estilo</t>
        </is>
      </c>
      <c r="AH1" s="1" t="inlineStr">
        <is>
          <t>Prioritario</t>
        </is>
      </c>
      <c r="AI1" s="1" t="inlineStr">
        <is>
          <t>PUNTUACIÓN</t>
        </is>
      </c>
      <c r="AJ1" s="1" t="inlineStr">
        <is>
          <t>Avisos</t>
        </is>
      </c>
      <c r="AK1" s="1" t="inlineStr">
        <is>
          <t>Aport. fiabilidad</t>
        </is>
      </c>
      <c r="AL1" s="1" t="inlineStr">
        <is>
          <t>Aport. precio</t>
        </is>
      </c>
      <c r="AM1" s="1" t="inlineStr">
        <is>
          <t>Aport. km/edad</t>
        </is>
      </c>
      <c r="AN1" s="1" t="inlineStr">
        <is>
          <t>Aport. anuncio</t>
        </is>
      </c>
      <c r="AO1" s="1" t="inlineStr">
        <is>
          <t>Aport. uso</t>
        </is>
      </c>
      <c r="AP1" s="1" t="inlineStr">
        <is>
          <t>Aport. seguridad</t>
        </is>
      </c>
      <c r="AQ1" s="1" t="inlineStr">
        <is>
          <t>Aport. etiqueta</t>
        </is>
      </c>
      <c r="AR1" s="1" t="inlineStr">
        <is>
          <t>Aport. estilo</t>
        </is>
      </c>
    </row>
    <row r="2">
      <c r="A2" s="2" t="n">
        <v>1</v>
      </c>
      <c r="B2" s="3">
        <f>IFERROR(MATCH(A2,Anuncios!$DB$2:$DB$130,0),"")</f>
        <v/>
      </c>
      <c r="C2" s="3">
        <f>IF(B2="","",HYPERLINK(INDEX(Anuncios!$C$2:$C$130,B2),"Abrir anuncio"))</f>
        <v/>
      </c>
      <c r="D2" s="3">
        <f>IF($B2="","",INDEX(Anuncios!$D$2:$D$130,$B2))</f>
        <v/>
      </c>
      <c r="E2" s="3">
        <f>IF($B2="","",INDEX(Anuncios!$B$2:$B$130,$B2))</f>
        <v/>
      </c>
      <c r="F2" s="3">
        <f>IF($B2="","",INDEX(Anuncios!$E$2:$E$130,$B2))</f>
        <v/>
      </c>
      <c r="G2" s="3">
        <f>IF($B2="","",INDEX(Anuncios!$F$2:$F$130,$B2))</f>
        <v/>
      </c>
      <c r="H2" s="3">
        <f>IF($B2="","",INDEX(Anuncios!$G$2:$G$130,$B2))</f>
        <v/>
      </c>
      <c r="I2" s="3">
        <f>IF($B2="","",INDEX(Anuncios!$K$2:$K$130,$B2))</f>
        <v/>
      </c>
      <c r="J2" s="3">
        <f>IF($B2="","",INDEX(Anuncios!$M$2:$M$130,$B2))</f>
        <v/>
      </c>
      <c r="K2" s="3">
        <f>IF($B2="","",INDEX(Anuncios!$N$2:$N$130,$B2))</f>
        <v/>
      </c>
      <c r="L2" s="3">
        <f>IF($B2="","",INDEX(Anuncios!$Q$2:$Q$130,$B2))</f>
        <v/>
      </c>
      <c r="M2" s="3">
        <f>IF($B2="","",INDEX(Anuncios!$R$2:$R$130,$B2))</f>
        <v/>
      </c>
      <c r="N2" s="3">
        <f>IF($B2="","",INDEX(Anuncios!$O$2:$O$130,$B2))</f>
        <v/>
      </c>
      <c r="O2" s="3">
        <f>IF($B2="","",INDEX(Anuncios!$AJ$2:$AJ$130,$B2))</f>
        <v/>
      </c>
      <c r="P2" s="3">
        <f>IF($B2="","",INDEX(Anuncios!$AI$2:$AI$130,$B2))</f>
        <v/>
      </c>
      <c r="Q2" s="3">
        <f>IF($B2="","",INDEX(Anuncios!$CO$2:$CO$130,$B2))</f>
        <v/>
      </c>
      <c r="R2" s="3">
        <f>IF($B2="","",INDEX(Anuncios!$CV$2:$CV$130,$B2))</f>
        <v/>
      </c>
      <c r="S2" s="3">
        <f>IF($B2="","",INDEX(Anuncios!$CU$2:$CU$130,$B2))</f>
        <v/>
      </c>
      <c r="T2" s="3">
        <f>IF($B2="","",INDEX(Anuncios!$CY$2:$CY$130,$B2))</f>
        <v/>
      </c>
      <c r="U2" s="3">
        <f>IF($B2="","",INDEX(Anuncios!$BM$2:$BM$130,$B2))</f>
        <v/>
      </c>
      <c r="V2" s="3">
        <f>IF($B2="","",INDEX(Anuncios!$BO$2:$BO$130,$B2))</f>
        <v/>
      </c>
      <c r="W2" s="3">
        <f>IF($B2="","",INDEX(Anuncios!$BT$2:$BT$130,$B2))</f>
        <v/>
      </c>
      <c r="X2" s="3">
        <f>IF($B2="","",INDEX(Anuncios!$AS$2:$AS$130,$B2))</f>
        <v/>
      </c>
      <c r="Y2" s="3">
        <f>IF($B2="","",INDEX(Anuncios!$BU$2:$BU$130,$B2))</f>
        <v/>
      </c>
      <c r="Z2" s="3">
        <f>IF($B2="","",INDEX(Anuncios!$CA$2:$CA$130,$B2))</f>
        <v/>
      </c>
      <c r="AA2" s="3">
        <f>IF($B2="","",INDEX(Anuncios!$CC$2:$CC$130,$B2))</f>
        <v/>
      </c>
      <c r="AB2" s="3">
        <f>IF($B2="","",INDEX(Anuncios!$CG$2:$CG$130,$B2))</f>
        <v/>
      </c>
      <c r="AC2" s="3">
        <f>IF($B2="","",INDEX(Anuncios!$CH$2:$CH$130,$B2))</f>
        <v/>
      </c>
      <c r="AD2" s="3">
        <f>IF($B2="","",INDEX(Anuncios!$CN$2:$CN$130,$B2))</f>
        <v/>
      </c>
      <c r="AE2" s="3">
        <f>IF($B2="","",INDEX(Anuncios!$CP$2:$CP$130,$B2))</f>
        <v/>
      </c>
      <c r="AF2" s="3">
        <f>IF($B2="","",INDEX(Anuncios!$CI$2:$CI$130,$B2))</f>
        <v/>
      </c>
      <c r="AG2" s="3">
        <f>IF($B2="","",INDEX(Anuncios!$CQ$2:$CQ$130,$B2))</f>
        <v/>
      </c>
      <c r="AH2" s="3">
        <f>IF($B2="","",INDEX(Anuncios!$AW$2:$AW$130,$B2))</f>
        <v/>
      </c>
      <c r="AI2" s="3">
        <f>IF($B2="","",INDEX(Anuncios!$CS$2:$CS$130,$B2))</f>
        <v/>
      </c>
      <c r="AJ2" s="3">
        <f>IF($B2="","",INDEX(Anuncios!$BB$2:$BB$130,$B2))</f>
        <v/>
      </c>
      <c r="AK2" s="3">
        <f>IF($B2="","",Z2*W_FIAB)</f>
        <v/>
      </c>
      <c r="AL2" s="3">
        <f>IF($B2="","",AA2*W_PRECIO)</f>
        <v/>
      </c>
      <c r="AM2" s="3">
        <f>IF($B2="","",AB2*W_KMEDAD)</f>
        <v/>
      </c>
      <c r="AN2" s="3">
        <f>IF($B2="","",AC2*W_ANUNCIO)</f>
        <v/>
      </c>
      <c r="AO2" s="3">
        <f>IF($B2="","",AD2*W_USO)</f>
        <v/>
      </c>
      <c r="AP2" s="3">
        <f>IF($B2="","",AE2*W_SEGURIDAD)</f>
        <v/>
      </c>
      <c r="AQ2" s="3">
        <f>IF($B2="","",AF2*W_ETIQUETA)</f>
        <v/>
      </c>
      <c r="AR2" s="3">
        <f>IF($B2="","",AG2*W_ESTILO)</f>
        <v/>
      </c>
    </row>
    <row r="3">
      <c r="A3" s="2" t="n">
        <v>2</v>
      </c>
      <c r="B3" s="3">
        <f>IFERROR(MATCH(A3,Anuncios!$DB$2:$DB$130,0),"")</f>
        <v/>
      </c>
      <c r="C3" s="3">
        <f>IF(B3="","",HYPERLINK(INDEX(Anuncios!$C$2:$C$130,B3),"Abrir anuncio"))</f>
        <v/>
      </c>
      <c r="D3" s="3">
        <f>IF($B3="","",INDEX(Anuncios!$D$2:$D$130,$B3))</f>
        <v/>
      </c>
      <c r="E3" s="3">
        <f>IF($B3="","",INDEX(Anuncios!$B$2:$B$130,$B3))</f>
        <v/>
      </c>
      <c r="F3" s="3">
        <f>IF($B3="","",INDEX(Anuncios!$E$2:$E$130,$B3))</f>
        <v/>
      </c>
      <c r="G3" s="3">
        <f>IF($B3="","",INDEX(Anuncios!$F$2:$F$130,$B3))</f>
        <v/>
      </c>
      <c r="H3" s="3">
        <f>IF($B3="","",INDEX(Anuncios!$G$2:$G$130,$B3))</f>
        <v/>
      </c>
      <c r="I3" s="3">
        <f>IF($B3="","",INDEX(Anuncios!$K$2:$K$130,$B3))</f>
        <v/>
      </c>
      <c r="J3" s="3">
        <f>IF($B3="","",INDEX(Anuncios!$M$2:$M$130,$B3))</f>
        <v/>
      </c>
      <c r="K3" s="3">
        <f>IF($B3="","",INDEX(Anuncios!$N$2:$N$130,$B3))</f>
        <v/>
      </c>
      <c r="L3" s="3">
        <f>IF($B3="","",INDEX(Anuncios!$Q$2:$Q$130,$B3))</f>
        <v/>
      </c>
      <c r="M3" s="3">
        <f>IF($B3="","",INDEX(Anuncios!$R$2:$R$130,$B3))</f>
        <v/>
      </c>
      <c r="N3" s="3">
        <f>IF($B3="","",INDEX(Anuncios!$O$2:$O$130,$B3))</f>
        <v/>
      </c>
      <c r="O3" s="3">
        <f>IF($B3="","",INDEX(Anuncios!$AJ$2:$AJ$130,$B3))</f>
        <v/>
      </c>
      <c r="P3" s="3">
        <f>IF($B3="","",INDEX(Anuncios!$AI$2:$AI$130,$B3))</f>
        <v/>
      </c>
      <c r="Q3" s="3">
        <f>IF($B3="","",INDEX(Anuncios!$CO$2:$CO$130,$B3))</f>
        <v/>
      </c>
      <c r="R3" s="3">
        <f>IF($B3="","",INDEX(Anuncios!$CV$2:$CV$130,$B3))</f>
        <v/>
      </c>
      <c r="S3" s="3">
        <f>IF($B3="","",INDEX(Anuncios!$CU$2:$CU$130,$B3))</f>
        <v/>
      </c>
      <c r="T3" s="3">
        <f>IF($B3="","",INDEX(Anuncios!$CY$2:$CY$130,$B3))</f>
        <v/>
      </c>
      <c r="U3" s="3">
        <f>IF($B3="","",INDEX(Anuncios!$BM$2:$BM$130,$B3))</f>
        <v/>
      </c>
      <c r="V3" s="3">
        <f>IF($B3="","",INDEX(Anuncios!$BO$2:$BO$130,$B3))</f>
        <v/>
      </c>
      <c r="W3" s="3">
        <f>IF($B3="","",INDEX(Anuncios!$BT$2:$BT$130,$B3))</f>
        <v/>
      </c>
      <c r="X3" s="3">
        <f>IF($B3="","",INDEX(Anuncios!$AS$2:$AS$130,$B3))</f>
        <v/>
      </c>
      <c r="Y3" s="3">
        <f>IF($B3="","",INDEX(Anuncios!$BU$2:$BU$130,$B3))</f>
        <v/>
      </c>
      <c r="Z3" s="3">
        <f>IF($B3="","",INDEX(Anuncios!$CA$2:$CA$130,$B3))</f>
        <v/>
      </c>
      <c r="AA3" s="3">
        <f>IF($B3="","",INDEX(Anuncios!$CC$2:$CC$130,$B3))</f>
        <v/>
      </c>
      <c r="AB3" s="3">
        <f>IF($B3="","",INDEX(Anuncios!$CG$2:$CG$130,$B3))</f>
        <v/>
      </c>
      <c r="AC3" s="3">
        <f>IF($B3="","",INDEX(Anuncios!$CH$2:$CH$130,$B3))</f>
        <v/>
      </c>
      <c r="AD3" s="3">
        <f>IF($B3="","",INDEX(Anuncios!$CN$2:$CN$130,$B3))</f>
        <v/>
      </c>
      <c r="AE3" s="3">
        <f>IF($B3="","",INDEX(Anuncios!$CP$2:$CP$130,$B3))</f>
        <v/>
      </c>
      <c r="AF3" s="3">
        <f>IF($B3="","",INDEX(Anuncios!$CI$2:$CI$130,$B3))</f>
        <v/>
      </c>
      <c r="AG3" s="3">
        <f>IF($B3="","",INDEX(Anuncios!$CQ$2:$CQ$130,$B3))</f>
        <v/>
      </c>
      <c r="AH3" s="3">
        <f>IF($B3="","",INDEX(Anuncios!$AW$2:$AW$130,$B3))</f>
        <v/>
      </c>
      <c r="AI3" s="3">
        <f>IF($B3="","",INDEX(Anuncios!$CS$2:$CS$130,$B3))</f>
        <v/>
      </c>
      <c r="AJ3" s="3">
        <f>IF($B3="","",INDEX(Anuncios!$BB$2:$BB$130,$B3))</f>
        <v/>
      </c>
      <c r="AK3" s="3">
        <f>IF($B3="","",Z3*W_FIAB)</f>
        <v/>
      </c>
      <c r="AL3" s="3">
        <f>IF($B3="","",AA3*W_PRECIO)</f>
        <v/>
      </c>
      <c r="AM3" s="3">
        <f>IF($B3="","",AB3*W_KMEDAD)</f>
        <v/>
      </c>
      <c r="AN3" s="3">
        <f>IF($B3="","",AC3*W_ANUNCIO)</f>
        <v/>
      </c>
      <c r="AO3" s="3">
        <f>IF($B3="","",AD3*W_USO)</f>
        <v/>
      </c>
      <c r="AP3" s="3">
        <f>IF($B3="","",AE3*W_SEGURIDAD)</f>
        <v/>
      </c>
      <c r="AQ3" s="3">
        <f>IF($B3="","",AF3*W_ETIQUETA)</f>
        <v/>
      </c>
      <c r="AR3" s="3">
        <f>IF($B3="","",AG3*W_ESTILO)</f>
        <v/>
      </c>
    </row>
    <row r="4">
      <c r="A4" s="2" t="n">
        <v>3</v>
      </c>
      <c r="B4" s="3">
        <f>IFERROR(MATCH(A4,Anuncios!$DB$2:$DB$130,0),"")</f>
        <v/>
      </c>
      <c r="C4" s="3">
        <f>IF(B4="","",HYPERLINK(INDEX(Anuncios!$C$2:$C$130,B4),"Abrir anuncio"))</f>
        <v/>
      </c>
      <c r="D4" s="3">
        <f>IF($B4="","",INDEX(Anuncios!$D$2:$D$130,$B4))</f>
        <v/>
      </c>
      <c r="E4" s="3">
        <f>IF($B4="","",INDEX(Anuncios!$B$2:$B$130,$B4))</f>
        <v/>
      </c>
      <c r="F4" s="3">
        <f>IF($B4="","",INDEX(Anuncios!$E$2:$E$130,$B4))</f>
        <v/>
      </c>
      <c r="G4" s="3">
        <f>IF($B4="","",INDEX(Anuncios!$F$2:$F$130,$B4))</f>
        <v/>
      </c>
      <c r="H4" s="3">
        <f>IF($B4="","",INDEX(Anuncios!$G$2:$G$130,$B4))</f>
        <v/>
      </c>
      <c r="I4" s="3">
        <f>IF($B4="","",INDEX(Anuncios!$K$2:$K$130,$B4))</f>
        <v/>
      </c>
      <c r="J4" s="3">
        <f>IF($B4="","",INDEX(Anuncios!$M$2:$M$130,$B4))</f>
        <v/>
      </c>
      <c r="K4" s="3">
        <f>IF($B4="","",INDEX(Anuncios!$N$2:$N$130,$B4))</f>
        <v/>
      </c>
      <c r="L4" s="3">
        <f>IF($B4="","",INDEX(Anuncios!$Q$2:$Q$130,$B4))</f>
        <v/>
      </c>
      <c r="M4" s="3">
        <f>IF($B4="","",INDEX(Anuncios!$R$2:$R$130,$B4))</f>
        <v/>
      </c>
      <c r="N4" s="3">
        <f>IF($B4="","",INDEX(Anuncios!$O$2:$O$130,$B4))</f>
        <v/>
      </c>
      <c r="O4" s="3">
        <f>IF($B4="","",INDEX(Anuncios!$AJ$2:$AJ$130,$B4))</f>
        <v/>
      </c>
      <c r="P4" s="3">
        <f>IF($B4="","",INDEX(Anuncios!$AI$2:$AI$130,$B4))</f>
        <v/>
      </c>
      <c r="Q4" s="3">
        <f>IF($B4="","",INDEX(Anuncios!$CO$2:$CO$130,$B4))</f>
        <v/>
      </c>
      <c r="R4" s="3">
        <f>IF($B4="","",INDEX(Anuncios!$CV$2:$CV$130,$B4))</f>
        <v/>
      </c>
      <c r="S4" s="3">
        <f>IF($B4="","",INDEX(Anuncios!$CU$2:$CU$130,$B4))</f>
        <v/>
      </c>
      <c r="T4" s="3">
        <f>IF($B4="","",INDEX(Anuncios!$CY$2:$CY$130,$B4))</f>
        <v/>
      </c>
      <c r="U4" s="3">
        <f>IF($B4="","",INDEX(Anuncios!$BM$2:$BM$130,$B4))</f>
        <v/>
      </c>
      <c r="V4" s="3">
        <f>IF($B4="","",INDEX(Anuncios!$BO$2:$BO$130,$B4))</f>
        <v/>
      </c>
      <c r="W4" s="3">
        <f>IF($B4="","",INDEX(Anuncios!$BT$2:$BT$130,$B4))</f>
        <v/>
      </c>
      <c r="X4" s="3">
        <f>IF($B4="","",INDEX(Anuncios!$AS$2:$AS$130,$B4))</f>
        <v/>
      </c>
      <c r="Y4" s="3">
        <f>IF($B4="","",INDEX(Anuncios!$BU$2:$BU$130,$B4))</f>
        <v/>
      </c>
      <c r="Z4" s="3">
        <f>IF($B4="","",INDEX(Anuncios!$CA$2:$CA$130,$B4))</f>
        <v/>
      </c>
      <c r="AA4" s="3">
        <f>IF($B4="","",INDEX(Anuncios!$CC$2:$CC$130,$B4))</f>
        <v/>
      </c>
      <c r="AB4" s="3">
        <f>IF($B4="","",INDEX(Anuncios!$CG$2:$CG$130,$B4))</f>
        <v/>
      </c>
      <c r="AC4" s="3">
        <f>IF($B4="","",INDEX(Anuncios!$CH$2:$CH$130,$B4))</f>
        <v/>
      </c>
      <c r="AD4" s="3">
        <f>IF($B4="","",INDEX(Anuncios!$CN$2:$CN$130,$B4))</f>
        <v/>
      </c>
      <c r="AE4" s="3">
        <f>IF($B4="","",INDEX(Anuncios!$CP$2:$CP$130,$B4))</f>
        <v/>
      </c>
      <c r="AF4" s="3">
        <f>IF($B4="","",INDEX(Anuncios!$CI$2:$CI$130,$B4))</f>
        <v/>
      </c>
      <c r="AG4" s="3">
        <f>IF($B4="","",INDEX(Anuncios!$CQ$2:$CQ$130,$B4))</f>
        <v/>
      </c>
      <c r="AH4" s="3">
        <f>IF($B4="","",INDEX(Anuncios!$AW$2:$AW$130,$B4))</f>
        <v/>
      </c>
      <c r="AI4" s="3">
        <f>IF($B4="","",INDEX(Anuncios!$CS$2:$CS$130,$B4))</f>
        <v/>
      </c>
      <c r="AJ4" s="3">
        <f>IF($B4="","",INDEX(Anuncios!$BB$2:$BB$130,$B4))</f>
        <v/>
      </c>
      <c r="AK4" s="3">
        <f>IF($B4="","",Z4*W_FIAB)</f>
        <v/>
      </c>
      <c r="AL4" s="3">
        <f>IF($B4="","",AA4*W_PRECIO)</f>
        <v/>
      </c>
      <c r="AM4" s="3">
        <f>IF($B4="","",AB4*W_KMEDAD)</f>
        <v/>
      </c>
      <c r="AN4" s="3">
        <f>IF($B4="","",AC4*W_ANUNCIO)</f>
        <v/>
      </c>
      <c r="AO4" s="3">
        <f>IF($B4="","",AD4*W_USO)</f>
        <v/>
      </c>
      <c r="AP4" s="3">
        <f>IF($B4="","",AE4*W_SEGURIDAD)</f>
        <v/>
      </c>
      <c r="AQ4" s="3">
        <f>IF($B4="","",AF4*W_ETIQUETA)</f>
        <v/>
      </c>
      <c r="AR4" s="3">
        <f>IF($B4="","",AG4*W_ESTILO)</f>
        <v/>
      </c>
    </row>
    <row r="5">
      <c r="A5" s="2" t="n">
        <v>4</v>
      </c>
      <c r="B5" s="3">
        <f>IFERROR(MATCH(A5,Anuncios!$DB$2:$DB$130,0),"")</f>
        <v/>
      </c>
      <c r="C5" s="3">
        <f>IF(B5="","",HYPERLINK(INDEX(Anuncios!$C$2:$C$130,B5),"Abrir anuncio"))</f>
        <v/>
      </c>
      <c r="D5" s="3">
        <f>IF($B5="","",INDEX(Anuncios!$D$2:$D$130,$B5))</f>
        <v/>
      </c>
      <c r="E5" s="3">
        <f>IF($B5="","",INDEX(Anuncios!$B$2:$B$130,$B5))</f>
        <v/>
      </c>
      <c r="F5" s="3">
        <f>IF($B5="","",INDEX(Anuncios!$E$2:$E$130,$B5))</f>
        <v/>
      </c>
      <c r="G5" s="3">
        <f>IF($B5="","",INDEX(Anuncios!$F$2:$F$130,$B5))</f>
        <v/>
      </c>
      <c r="H5" s="3">
        <f>IF($B5="","",INDEX(Anuncios!$G$2:$G$130,$B5))</f>
        <v/>
      </c>
      <c r="I5" s="3">
        <f>IF($B5="","",INDEX(Anuncios!$K$2:$K$130,$B5))</f>
        <v/>
      </c>
      <c r="J5" s="3">
        <f>IF($B5="","",INDEX(Anuncios!$M$2:$M$130,$B5))</f>
        <v/>
      </c>
      <c r="K5" s="3">
        <f>IF($B5="","",INDEX(Anuncios!$N$2:$N$130,$B5))</f>
        <v/>
      </c>
      <c r="L5" s="3">
        <f>IF($B5="","",INDEX(Anuncios!$Q$2:$Q$130,$B5))</f>
        <v/>
      </c>
      <c r="M5" s="3">
        <f>IF($B5="","",INDEX(Anuncios!$R$2:$R$130,$B5))</f>
        <v/>
      </c>
      <c r="N5" s="3">
        <f>IF($B5="","",INDEX(Anuncios!$O$2:$O$130,$B5))</f>
        <v/>
      </c>
      <c r="O5" s="3">
        <f>IF($B5="","",INDEX(Anuncios!$AJ$2:$AJ$130,$B5))</f>
        <v/>
      </c>
      <c r="P5" s="3">
        <f>IF($B5="","",INDEX(Anuncios!$AI$2:$AI$130,$B5))</f>
        <v/>
      </c>
      <c r="Q5" s="3">
        <f>IF($B5="","",INDEX(Anuncios!$CO$2:$CO$130,$B5))</f>
        <v/>
      </c>
      <c r="R5" s="3">
        <f>IF($B5="","",INDEX(Anuncios!$CV$2:$CV$130,$B5))</f>
        <v/>
      </c>
      <c r="S5" s="3">
        <f>IF($B5="","",INDEX(Anuncios!$CU$2:$CU$130,$B5))</f>
        <v/>
      </c>
      <c r="T5" s="3">
        <f>IF($B5="","",INDEX(Anuncios!$CY$2:$CY$130,$B5))</f>
        <v/>
      </c>
      <c r="U5" s="3">
        <f>IF($B5="","",INDEX(Anuncios!$BM$2:$BM$130,$B5))</f>
        <v/>
      </c>
      <c r="V5" s="3">
        <f>IF($B5="","",INDEX(Anuncios!$BO$2:$BO$130,$B5))</f>
        <v/>
      </c>
      <c r="W5" s="3">
        <f>IF($B5="","",INDEX(Anuncios!$BT$2:$BT$130,$B5))</f>
        <v/>
      </c>
      <c r="X5" s="3">
        <f>IF($B5="","",INDEX(Anuncios!$AS$2:$AS$130,$B5))</f>
        <v/>
      </c>
      <c r="Y5" s="3">
        <f>IF($B5="","",INDEX(Anuncios!$BU$2:$BU$130,$B5))</f>
        <v/>
      </c>
      <c r="Z5" s="3">
        <f>IF($B5="","",INDEX(Anuncios!$CA$2:$CA$130,$B5))</f>
        <v/>
      </c>
      <c r="AA5" s="3">
        <f>IF($B5="","",INDEX(Anuncios!$CC$2:$CC$130,$B5))</f>
        <v/>
      </c>
      <c r="AB5" s="3">
        <f>IF($B5="","",INDEX(Anuncios!$CG$2:$CG$130,$B5))</f>
        <v/>
      </c>
      <c r="AC5" s="3">
        <f>IF($B5="","",INDEX(Anuncios!$CH$2:$CH$130,$B5))</f>
        <v/>
      </c>
      <c r="AD5" s="3">
        <f>IF($B5="","",INDEX(Anuncios!$CN$2:$CN$130,$B5))</f>
        <v/>
      </c>
      <c r="AE5" s="3">
        <f>IF($B5="","",INDEX(Anuncios!$CP$2:$CP$130,$B5))</f>
        <v/>
      </c>
      <c r="AF5" s="3">
        <f>IF($B5="","",INDEX(Anuncios!$CI$2:$CI$130,$B5))</f>
        <v/>
      </c>
      <c r="AG5" s="3">
        <f>IF($B5="","",INDEX(Anuncios!$CQ$2:$CQ$130,$B5))</f>
        <v/>
      </c>
      <c r="AH5" s="3">
        <f>IF($B5="","",INDEX(Anuncios!$AW$2:$AW$130,$B5))</f>
        <v/>
      </c>
      <c r="AI5" s="3">
        <f>IF($B5="","",INDEX(Anuncios!$CS$2:$CS$130,$B5))</f>
        <v/>
      </c>
      <c r="AJ5" s="3">
        <f>IF($B5="","",INDEX(Anuncios!$BB$2:$BB$130,$B5))</f>
        <v/>
      </c>
      <c r="AK5" s="3">
        <f>IF($B5="","",Z5*W_FIAB)</f>
        <v/>
      </c>
      <c r="AL5" s="3">
        <f>IF($B5="","",AA5*W_PRECIO)</f>
        <v/>
      </c>
      <c r="AM5" s="3">
        <f>IF($B5="","",AB5*W_KMEDAD)</f>
        <v/>
      </c>
      <c r="AN5" s="3">
        <f>IF($B5="","",AC5*W_ANUNCIO)</f>
        <v/>
      </c>
      <c r="AO5" s="3">
        <f>IF($B5="","",AD5*W_USO)</f>
        <v/>
      </c>
      <c r="AP5" s="3">
        <f>IF($B5="","",AE5*W_SEGURIDAD)</f>
        <v/>
      </c>
      <c r="AQ5" s="3">
        <f>IF($B5="","",AF5*W_ETIQUETA)</f>
        <v/>
      </c>
      <c r="AR5" s="3">
        <f>IF($B5="","",AG5*W_ESTILO)</f>
        <v/>
      </c>
    </row>
    <row r="6">
      <c r="A6" s="2" t="n">
        <v>5</v>
      </c>
      <c r="B6" s="3">
        <f>IFERROR(MATCH(A6,Anuncios!$DB$2:$DB$130,0),"")</f>
        <v/>
      </c>
      <c r="C6" s="3">
        <f>IF(B6="","",HYPERLINK(INDEX(Anuncios!$C$2:$C$130,B6),"Abrir anuncio"))</f>
        <v/>
      </c>
      <c r="D6" s="3">
        <f>IF($B6="","",INDEX(Anuncios!$D$2:$D$130,$B6))</f>
        <v/>
      </c>
      <c r="E6" s="3">
        <f>IF($B6="","",INDEX(Anuncios!$B$2:$B$130,$B6))</f>
        <v/>
      </c>
      <c r="F6" s="3">
        <f>IF($B6="","",INDEX(Anuncios!$E$2:$E$130,$B6))</f>
        <v/>
      </c>
      <c r="G6" s="3">
        <f>IF($B6="","",INDEX(Anuncios!$F$2:$F$130,$B6))</f>
        <v/>
      </c>
      <c r="H6" s="3">
        <f>IF($B6="","",INDEX(Anuncios!$G$2:$G$130,$B6))</f>
        <v/>
      </c>
      <c r="I6" s="3">
        <f>IF($B6="","",INDEX(Anuncios!$K$2:$K$130,$B6))</f>
        <v/>
      </c>
      <c r="J6" s="3">
        <f>IF($B6="","",INDEX(Anuncios!$M$2:$M$130,$B6))</f>
        <v/>
      </c>
      <c r="K6" s="3">
        <f>IF($B6="","",INDEX(Anuncios!$N$2:$N$130,$B6))</f>
        <v/>
      </c>
      <c r="L6" s="3">
        <f>IF($B6="","",INDEX(Anuncios!$Q$2:$Q$130,$B6))</f>
        <v/>
      </c>
      <c r="M6" s="3">
        <f>IF($B6="","",INDEX(Anuncios!$R$2:$R$130,$B6))</f>
        <v/>
      </c>
      <c r="N6" s="3">
        <f>IF($B6="","",INDEX(Anuncios!$O$2:$O$130,$B6))</f>
        <v/>
      </c>
      <c r="O6" s="3">
        <f>IF($B6="","",INDEX(Anuncios!$AJ$2:$AJ$130,$B6))</f>
        <v/>
      </c>
      <c r="P6" s="3">
        <f>IF($B6="","",INDEX(Anuncios!$AI$2:$AI$130,$B6))</f>
        <v/>
      </c>
      <c r="Q6" s="3">
        <f>IF($B6="","",INDEX(Anuncios!$CO$2:$CO$130,$B6))</f>
        <v/>
      </c>
      <c r="R6" s="3">
        <f>IF($B6="","",INDEX(Anuncios!$CV$2:$CV$130,$B6))</f>
        <v/>
      </c>
      <c r="S6" s="3">
        <f>IF($B6="","",INDEX(Anuncios!$CU$2:$CU$130,$B6))</f>
        <v/>
      </c>
      <c r="T6" s="3">
        <f>IF($B6="","",INDEX(Anuncios!$CY$2:$CY$130,$B6))</f>
        <v/>
      </c>
      <c r="U6" s="3">
        <f>IF($B6="","",INDEX(Anuncios!$BM$2:$BM$130,$B6))</f>
        <v/>
      </c>
      <c r="V6" s="3">
        <f>IF($B6="","",INDEX(Anuncios!$BO$2:$BO$130,$B6))</f>
        <v/>
      </c>
      <c r="W6" s="3">
        <f>IF($B6="","",INDEX(Anuncios!$BT$2:$BT$130,$B6))</f>
        <v/>
      </c>
      <c r="X6" s="3">
        <f>IF($B6="","",INDEX(Anuncios!$AS$2:$AS$130,$B6))</f>
        <v/>
      </c>
      <c r="Y6" s="3">
        <f>IF($B6="","",INDEX(Anuncios!$BU$2:$BU$130,$B6))</f>
        <v/>
      </c>
      <c r="Z6" s="3">
        <f>IF($B6="","",INDEX(Anuncios!$CA$2:$CA$130,$B6))</f>
        <v/>
      </c>
      <c r="AA6" s="3">
        <f>IF($B6="","",INDEX(Anuncios!$CC$2:$CC$130,$B6))</f>
        <v/>
      </c>
      <c r="AB6" s="3">
        <f>IF($B6="","",INDEX(Anuncios!$CG$2:$CG$130,$B6))</f>
        <v/>
      </c>
      <c r="AC6" s="3">
        <f>IF($B6="","",INDEX(Anuncios!$CH$2:$CH$130,$B6))</f>
        <v/>
      </c>
      <c r="AD6" s="3">
        <f>IF($B6="","",INDEX(Anuncios!$CN$2:$CN$130,$B6))</f>
        <v/>
      </c>
      <c r="AE6" s="3">
        <f>IF($B6="","",INDEX(Anuncios!$CP$2:$CP$130,$B6))</f>
        <v/>
      </c>
      <c r="AF6" s="3">
        <f>IF($B6="","",INDEX(Anuncios!$CI$2:$CI$130,$B6))</f>
        <v/>
      </c>
      <c r="AG6" s="3">
        <f>IF($B6="","",INDEX(Anuncios!$CQ$2:$CQ$130,$B6))</f>
        <v/>
      </c>
      <c r="AH6" s="3">
        <f>IF($B6="","",INDEX(Anuncios!$AW$2:$AW$130,$B6))</f>
        <v/>
      </c>
      <c r="AI6" s="3">
        <f>IF($B6="","",INDEX(Anuncios!$CS$2:$CS$130,$B6))</f>
        <v/>
      </c>
      <c r="AJ6" s="3">
        <f>IF($B6="","",INDEX(Anuncios!$BB$2:$BB$130,$B6))</f>
        <v/>
      </c>
      <c r="AK6" s="3">
        <f>IF($B6="","",Z6*W_FIAB)</f>
        <v/>
      </c>
      <c r="AL6" s="3">
        <f>IF($B6="","",AA6*W_PRECIO)</f>
        <v/>
      </c>
      <c r="AM6" s="3">
        <f>IF($B6="","",AB6*W_KMEDAD)</f>
        <v/>
      </c>
      <c r="AN6" s="3">
        <f>IF($B6="","",AC6*W_ANUNCIO)</f>
        <v/>
      </c>
      <c r="AO6" s="3">
        <f>IF($B6="","",AD6*W_USO)</f>
        <v/>
      </c>
      <c r="AP6" s="3">
        <f>IF($B6="","",AE6*W_SEGURIDAD)</f>
        <v/>
      </c>
      <c r="AQ6" s="3">
        <f>IF($B6="","",AF6*W_ETIQUETA)</f>
        <v/>
      </c>
      <c r="AR6" s="3">
        <f>IF($B6="","",AG6*W_ESTILO)</f>
        <v/>
      </c>
    </row>
    <row r="7">
      <c r="A7" s="2" t="n">
        <v>6</v>
      </c>
      <c r="B7" s="3">
        <f>IFERROR(MATCH(A7,Anuncios!$DB$2:$DB$130,0),"")</f>
        <v/>
      </c>
      <c r="C7" s="3">
        <f>IF(B7="","",HYPERLINK(INDEX(Anuncios!$C$2:$C$130,B7),"Abrir anuncio"))</f>
        <v/>
      </c>
      <c r="D7" s="3">
        <f>IF($B7="","",INDEX(Anuncios!$D$2:$D$130,$B7))</f>
        <v/>
      </c>
      <c r="E7" s="3">
        <f>IF($B7="","",INDEX(Anuncios!$B$2:$B$130,$B7))</f>
        <v/>
      </c>
      <c r="F7" s="3">
        <f>IF($B7="","",INDEX(Anuncios!$E$2:$E$130,$B7))</f>
        <v/>
      </c>
      <c r="G7" s="3">
        <f>IF($B7="","",INDEX(Anuncios!$F$2:$F$130,$B7))</f>
        <v/>
      </c>
      <c r="H7" s="3">
        <f>IF($B7="","",INDEX(Anuncios!$G$2:$G$130,$B7))</f>
        <v/>
      </c>
      <c r="I7" s="3">
        <f>IF($B7="","",INDEX(Anuncios!$K$2:$K$130,$B7))</f>
        <v/>
      </c>
      <c r="J7" s="3">
        <f>IF($B7="","",INDEX(Anuncios!$M$2:$M$130,$B7))</f>
        <v/>
      </c>
      <c r="K7" s="3">
        <f>IF($B7="","",INDEX(Anuncios!$N$2:$N$130,$B7))</f>
        <v/>
      </c>
      <c r="L7" s="3">
        <f>IF($B7="","",INDEX(Anuncios!$Q$2:$Q$130,$B7))</f>
        <v/>
      </c>
      <c r="M7" s="3">
        <f>IF($B7="","",INDEX(Anuncios!$R$2:$R$130,$B7))</f>
        <v/>
      </c>
      <c r="N7" s="3">
        <f>IF($B7="","",INDEX(Anuncios!$O$2:$O$130,$B7))</f>
        <v/>
      </c>
      <c r="O7" s="3">
        <f>IF($B7="","",INDEX(Anuncios!$AJ$2:$AJ$130,$B7))</f>
        <v/>
      </c>
      <c r="P7" s="3">
        <f>IF($B7="","",INDEX(Anuncios!$AI$2:$AI$130,$B7))</f>
        <v/>
      </c>
      <c r="Q7" s="3">
        <f>IF($B7="","",INDEX(Anuncios!$CO$2:$CO$130,$B7))</f>
        <v/>
      </c>
      <c r="R7" s="3">
        <f>IF($B7="","",INDEX(Anuncios!$CV$2:$CV$130,$B7))</f>
        <v/>
      </c>
      <c r="S7" s="3">
        <f>IF($B7="","",INDEX(Anuncios!$CU$2:$CU$130,$B7))</f>
        <v/>
      </c>
      <c r="T7" s="3">
        <f>IF($B7="","",INDEX(Anuncios!$CY$2:$CY$130,$B7))</f>
        <v/>
      </c>
      <c r="U7" s="3">
        <f>IF($B7="","",INDEX(Anuncios!$BM$2:$BM$130,$B7))</f>
        <v/>
      </c>
      <c r="V7" s="3">
        <f>IF($B7="","",INDEX(Anuncios!$BO$2:$BO$130,$B7))</f>
        <v/>
      </c>
      <c r="W7" s="3">
        <f>IF($B7="","",INDEX(Anuncios!$BT$2:$BT$130,$B7))</f>
        <v/>
      </c>
      <c r="X7" s="3">
        <f>IF($B7="","",INDEX(Anuncios!$AS$2:$AS$130,$B7))</f>
        <v/>
      </c>
      <c r="Y7" s="3">
        <f>IF($B7="","",INDEX(Anuncios!$BU$2:$BU$130,$B7))</f>
        <v/>
      </c>
      <c r="Z7" s="3">
        <f>IF($B7="","",INDEX(Anuncios!$CA$2:$CA$130,$B7))</f>
        <v/>
      </c>
      <c r="AA7" s="3">
        <f>IF($B7="","",INDEX(Anuncios!$CC$2:$CC$130,$B7))</f>
        <v/>
      </c>
      <c r="AB7" s="3">
        <f>IF($B7="","",INDEX(Anuncios!$CG$2:$CG$130,$B7))</f>
        <v/>
      </c>
      <c r="AC7" s="3">
        <f>IF($B7="","",INDEX(Anuncios!$CH$2:$CH$130,$B7))</f>
        <v/>
      </c>
      <c r="AD7" s="3">
        <f>IF($B7="","",INDEX(Anuncios!$CN$2:$CN$130,$B7))</f>
        <v/>
      </c>
      <c r="AE7" s="3">
        <f>IF($B7="","",INDEX(Anuncios!$CP$2:$CP$130,$B7))</f>
        <v/>
      </c>
      <c r="AF7" s="3">
        <f>IF($B7="","",INDEX(Anuncios!$CI$2:$CI$130,$B7))</f>
        <v/>
      </c>
      <c r="AG7" s="3">
        <f>IF($B7="","",INDEX(Anuncios!$CQ$2:$CQ$130,$B7))</f>
        <v/>
      </c>
      <c r="AH7" s="3">
        <f>IF($B7="","",INDEX(Anuncios!$AW$2:$AW$130,$B7))</f>
        <v/>
      </c>
      <c r="AI7" s="3">
        <f>IF($B7="","",INDEX(Anuncios!$CS$2:$CS$130,$B7))</f>
        <v/>
      </c>
      <c r="AJ7" s="3">
        <f>IF($B7="","",INDEX(Anuncios!$BB$2:$BB$130,$B7))</f>
        <v/>
      </c>
      <c r="AK7" s="3">
        <f>IF($B7="","",Z7*W_FIAB)</f>
        <v/>
      </c>
      <c r="AL7" s="3">
        <f>IF($B7="","",AA7*W_PRECIO)</f>
        <v/>
      </c>
      <c r="AM7" s="3">
        <f>IF($B7="","",AB7*W_KMEDAD)</f>
        <v/>
      </c>
      <c r="AN7" s="3">
        <f>IF($B7="","",AC7*W_ANUNCIO)</f>
        <v/>
      </c>
      <c r="AO7" s="3">
        <f>IF($B7="","",AD7*W_USO)</f>
        <v/>
      </c>
      <c r="AP7" s="3">
        <f>IF($B7="","",AE7*W_SEGURIDAD)</f>
        <v/>
      </c>
      <c r="AQ7" s="3">
        <f>IF($B7="","",AF7*W_ETIQUETA)</f>
        <v/>
      </c>
      <c r="AR7" s="3">
        <f>IF($B7="","",AG7*W_ESTILO)</f>
        <v/>
      </c>
    </row>
    <row r="8">
      <c r="A8" s="2" t="n">
        <v>7</v>
      </c>
      <c r="B8" s="3">
        <f>IFERROR(MATCH(A8,Anuncios!$DB$2:$DB$130,0),"")</f>
        <v/>
      </c>
      <c r="C8" s="3">
        <f>IF(B8="","",HYPERLINK(INDEX(Anuncios!$C$2:$C$130,B8),"Abrir anuncio"))</f>
        <v/>
      </c>
      <c r="D8" s="3">
        <f>IF($B8="","",INDEX(Anuncios!$D$2:$D$130,$B8))</f>
        <v/>
      </c>
      <c r="E8" s="3">
        <f>IF($B8="","",INDEX(Anuncios!$B$2:$B$130,$B8))</f>
        <v/>
      </c>
      <c r="F8" s="3">
        <f>IF($B8="","",INDEX(Anuncios!$E$2:$E$130,$B8))</f>
        <v/>
      </c>
      <c r="G8" s="3">
        <f>IF($B8="","",INDEX(Anuncios!$F$2:$F$130,$B8))</f>
        <v/>
      </c>
      <c r="H8" s="3">
        <f>IF($B8="","",INDEX(Anuncios!$G$2:$G$130,$B8))</f>
        <v/>
      </c>
      <c r="I8" s="3">
        <f>IF($B8="","",INDEX(Anuncios!$K$2:$K$130,$B8))</f>
        <v/>
      </c>
      <c r="J8" s="3">
        <f>IF($B8="","",INDEX(Anuncios!$M$2:$M$130,$B8))</f>
        <v/>
      </c>
      <c r="K8" s="3">
        <f>IF($B8="","",INDEX(Anuncios!$N$2:$N$130,$B8))</f>
        <v/>
      </c>
      <c r="L8" s="3">
        <f>IF($B8="","",INDEX(Anuncios!$Q$2:$Q$130,$B8))</f>
        <v/>
      </c>
      <c r="M8" s="3">
        <f>IF($B8="","",INDEX(Anuncios!$R$2:$R$130,$B8))</f>
        <v/>
      </c>
      <c r="N8" s="3">
        <f>IF($B8="","",INDEX(Anuncios!$O$2:$O$130,$B8))</f>
        <v/>
      </c>
      <c r="O8" s="3">
        <f>IF($B8="","",INDEX(Anuncios!$AJ$2:$AJ$130,$B8))</f>
        <v/>
      </c>
      <c r="P8" s="3">
        <f>IF($B8="","",INDEX(Anuncios!$AI$2:$AI$130,$B8))</f>
        <v/>
      </c>
      <c r="Q8" s="3">
        <f>IF($B8="","",INDEX(Anuncios!$CO$2:$CO$130,$B8))</f>
        <v/>
      </c>
      <c r="R8" s="3">
        <f>IF($B8="","",INDEX(Anuncios!$CV$2:$CV$130,$B8))</f>
        <v/>
      </c>
      <c r="S8" s="3">
        <f>IF($B8="","",INDEX(Anuncios!$CU$2:$CU$130,$B8))</f>
        <v/>
      </c>
      <c r="T8" s="3">
        <f>IF($B8="","",INDEX(Anuncios!$CY$2:$CY$130,$B8))</f>
        <v/>
      </c>
      <c r="U8" s="3">
        <f>IF($B8="","",INDEX(Anuncios!$BM$2:$BM$130,$B8))</f>
        <v/>
      </c>
      <c r="V8" s="3">
        <f>IF($B8="","",INDEX(Anuncios!$BO$2:$BO$130,$B8))</f>
        <v/>
      </c>
      <c r="W8" s="3">
        <f>IF($B8="","",INDEX(Anuncios!$BT$2:$BT$130,$B8))</f>
        <v/>
      </c>
      <c r="X8" s="3">
        <f>IF($B8="","",INDEX(Anuncios!$AS$2:$AS$130,$B8))</f>
        <v/>
      </c>
      <c r="Y8" s="3">
        <f>IF($B8="","",INDEX(Anuncios!$BU$2:$BU$130,$B8))</f>
        <v/>
      </c>
      <c r="Z8" s="3">
        <f>IF($B8="","",INDEX(Anuncios!$CA$2:$CA$130,$B8))</f>
        <v/>
      </c>
      <c r="AA8" s="3">
        <f>IF($B8="","",INDEX(Anuncios!$CC$2:$CC$130,$B8))</f>
        <v/>
      </c>
      <c r="AB8" s="3">
        <f>IF($B8="","",INDEX(Anuncios!$CG$2:$CG$130,$B8))</f>
        <v/>
      </c>
      <c r="AC8" s="3">
        <f>IF($B8="","",INDEX(Anuncios!$CH$2:$CH$130,$B8))</f>
        <v/>
      </c>
      <c r="AD8" s="3">
        <f>IF($B8="","",INDEX(Anuncios!$CN$2:$CN$130,$B8))</f>
        <v/>
      </c>
      <c r="AE8" s="3">
        <f>IF($B8="","",INDEX(Anuncios!$CP$2:$CP$130,$B8))</f>
        <v/>
      </c>
      <c r="AF8" s="3">
        <f>IF($B8="","",INDEX(Anuncios!$CI$2:$CI$130,$B8))</f>
        <v/>
      </c>
      <c r="AG8" s="3">
        <f>IF($B8="","",INDEX(Anuncios!$CQ$2:$CQ$130,$B8))</f>
        <v/>
      </c>
      <c r="AH8" s="3">
        <f>IF($B8="","",INDEX(Anuncios!$AW$2:$AW$130,$B8))</f>
        <v/>
      </c>
      <c r="AI8" s="3">
        <f>IF($B8="","",INDEX(Anuncios!$CS$2:$CS$130,$B8))</f>
        <v/>
      </c>
      <c r="AJ8" s="3">
        <f>IF($B8="","",INDEX(Anuncios!$BB$2:$BB$130,$B8))</f>
        <v/>
      </c>
      <c r="AK8" s="3">
        <f>IF($B8="","",Z8*W_FIAB)</f>
        <v/>
      </c>
      <c r="AL8" s="3">
        <f>IF($B8="","",AA8*W_PRECIO)</f>
        <v/>
      </c>
      <c r="AM8" s="3">
        <f>IF($B8="","",AB8*W_KMEDAD)</f>
        <v/>
      </c>
      <c r="AN8" s="3">
        <f>IF($B8="","",AC8*W_ANUNCIO)</f>
        <v/>
      </c>
      <c r="AO8" s="3">
        <f>IF($B8="","",AD8*W_USO)</f>
        <v/>
      </c>
      <c r="AP8" s="3">
        <f>IF($B8="","",AE8*W_SEGURIDAD)</f>
        <v/>
      </c>
      <c r="AQ8" s="3">
        <f>IF($B8="","",AF8*W_ETIQUETA)</f>
        <v/>
      </c>
      <c r="AR8" s="3">
        <f>IF($B8="","",AG8*W_ESTILO)</f>
        <v/>
      </c>
    </row>
    <row r="9">
      <c r="A9" s="2" t="n">
        <v>8</v>
      </c>
      <c r="B9" s="3">
        <f>IFERROR(MATCH(A9,Anuncios!$DB$2:$DB$130,0),"")</f>
        <v/>
      </c>
      <c r="C9" s="3">
        <f>IF(B9="","",HYPERLINK(INDEX(Anuncios!$C$2:$C$130,B9),"Abrir anuncio"))</f>
        <v/>
      </c>
      <c r="D9" s="3">
        <f>IF($B9="","",INDEX(Anuncios!$D$2:$D$130,$B9))</f>
        <v/>
      </c>
      <c r="E9" s="3">
        <f>IF($B9="","",INDEX(Anuncios!$B$2:$B$130,$B9))</f>
        <v/>
      </c>
      <c r="F9" s="3">
        <f>IF($B9="","",INDEX(Anuncios!$E$2:$E$130,$B9))</f>
        <v/>
      </c>
      <c r="G9" s="3">
        <f>IF($B9="","",INDEX(Anuncios!$F$2:$F$130,$B9))</f>
        <v/>
      </c>
      <c r="H9" s="3">
        <f>IF($B9="","",INDEX(Anuncios!$G$2:$G$130,$B9))</f>
        <v/>
      </c>
      <c r="I9" s="3">
        <f>IF($B9="","",INDEX(Anuncios!$K$2:$K$130,$B9))</f>
        <v/>
      </c>
      <c r="J9" s="3">
        <f>IF($B9="","",INDEX(Anuncios!$M$2:$M$130,$B9))</f>
        <v/>
      </c>
      <c r="K9" s="3">
        <f>IF($B9="","",INDEX(Anuncios!$N$2:$N$130,$B9))</f>
        <v/>
      </c>
      <c r="L9" s="3">
        <f>IF($B9="","",INDEX(Anuncios!$Q$2:$Q$130,$B9))</f>
        <v/>
      </c>
      <c r="M9" s="3">
        <f>IF($B9="","",INDEX(Anuncios!$R$2:$R$130,$B9))</f>
        <v/>
      </c>
      <c r="N9" s="3">
        <f>IF($B9="","",INDEX(Anuncios!$O$2:$O$130,$B9))</f>
        <v/>
      </c>
      <c r="O9" s="3">
        <f>IF($B9="","",INDEX(Anuncios!$AJ$2:$AJ$130,$B9))</f>
        <v/>
      </c>
      <c r="P9" s="3">
        <f>IF($B9="","",INDEX(Anuncios!$AI$2:$AI$130,$B9))</f>
        <v/>
      </c>
      <c r="Q9" s="3">
        <f>IF($B9="","",INDEX(Anuncios!$CO$2:$CO$130,$B9))</f>
        <v/>
      </c>
      <c r="R9" s="3">
        <f>IF($B9="","",INDEX(Anuncios!$CV$2:$CV$130,$B9))</f>
        <v/>
      </c>
      <c r="S9" s="3">
        <f>IF($B9="","",INDEX(Anuncios!$CU$2:$CU$130,$B9))</f>
        <v/>
      </c>
      <c r="T9" s="3">
        <f>IF($B9="","",INDEX(Anuncios!$CY$2:$CY$130,$B9))</f>
        <v/>
      </c>
      <c r="U9" s="3">
        <f>IF($B9="","",INDEX(Anuncios!$BM$2:$BM$130,$B9))</f>
        <v/>
      </c>
      <c r="V9" s="3">
        <f>IF($B9="","",INDEX(Anuncios!$BO$2:$BO$130,$B9))</f>
        <v/>
      </c>
      <c r="W9" s="3">
        <f>IF($B9="","",INDEX(Anuncios!$BT$2:$BT$130,$B9))</f>
        <v/>
      </c>
      <c r="X9" s="3">
        <f>IF($B9="","",INDEX(Anuncios!$AS$2:$AS$130,$B9))</f>
        <v/>
      </c>
      <c r="Y9" s="3">
        <f>IF($B9="","",INDEX(Anuncios!$BU$2:$BU$130,$B9))</f>
        <v/>
      </c>
      <c r="Z9" s="3">
        <f>IF($B9="","",INDEX(Anuncios!$CA$2:$CA$130,$B9))</f>
        <v/>
      </c>
      <c r="AA9" s="3">
        <f>IF($B9="","",INDEX(Anuncios!$CC$2:$CC$130,$B9))</f>
        <v/>
      </c>
      <c r="AB9" s="3">
        <f>IF($B9="","",INDEX(Anuncios!$CG$2:$CG$130,$B9))</f>
        <v/>
      </c>
      <c r="AC9" s="3">
        <f>IF($B9="","",INDEX(Anuncios!$CH$2:$CH$130,$B9))</f>
        <v/>
      </c>
      <c r="AD9" s="3">
        <f>IF($B9="","",INDEX(Anuncios!$CN$2:$CN$130,$B9))</f>
        <v/>
      </c>
      <c r="AE9" s="3">
        <f>IF($B9="","",INDEX(Anuncios!$CP$2:$CP$130,$B9))</f>
        <v/>
      </c>
      <c r="AF9" s="3">
        <f>IF($B9="","",INDEX(Anuncios!$CI$2:$CI$130,$B9))</f>
        <v/>
      </c>
      <c r="AG9" s="3">
        <f>IF($B9="","",INDEX(Anuncios!$CQ$2:$CQ$130,$B9))</f>
        <v/>
      </c>
      <c r="AH9" s="3">
        <f>IF($B9="","",INDEX(Anuncios!$AW$2:$AW$130,$B9))</f>
        <v/>
      </c>
      <c r="AI9" s="3">
        <f>IF($B9="","",INDEX(Anuncios!$CS$2:$CS$130,$B9))</f>
        <v/>
      </c>
      <c r="AJ9" s="3">
        <f>IF($B9="","",INDEX(Anuncios!$BB$2:$BB$130,$B9))</f>
        <v/>
      </c>
      <c r="AK9" s="3">
        <f>IF($B9="","",Z9*W_FIAB)</f>
        <v/>
      </c>
      <c r="AL9" s="3">
        <f>IF($B9="","",AA9*W_PRECIO)</f>
        <v/>
      </c>
      <c r="AM9" s="3">
        <f>IF($B9="","",AB9*W_KMEDAD)</f>
        <v/>
      </c>
      <c r="AN9" s="3">
        <f>IF($B9="","",AC9*W_ANUNCIO)</f>
        <v/>
      </c>
      <c r="AO9" s="3">
        <f>IF($B9="","",AD9*W_USO)</f>
        <v/>
      </c>
      <c r="AP9" s="3">
        <f>IF($B9="","",AE9*W_SEGURIDAD)</f>
        <v/>
      </c>
      <c r="AQ9" s="3">
        <f>IF($B9="","",AF9*W_ETIQUETA)</f>
        <v/>
      </c>
      <c r="AR9" s="3">
        <f>IF($B9="","",AG9*W_ESTILO)</f>
        <v/>
      </c>
    </row>
    <row r="10">
      <c r="A10" s="2" t="n">
        <v>9</v>
      </c>
      <c r="B10" s="3">
        <f>IFERROR(MATCH(A10,Anuncios!$DB$2:$DB$130,0),"")</f>
        <v/>
      </c>
      <c r="C10" s="3">
        <f>IF(B10="","",HYPERLINK(INDEX(Anuncios!$C$2:$C$130,B10),"Abrir anuncio"))</f>
        <v/>
      </c>
      <c r="D10" s="3">
        <f>IF($B10="","",INDEX(Anuncios!$D$2:$D$130,$B10))</f>
        <v/>
      </c>
      <c r="E10" s="3">
        <f>IF($B10="","",INDEX(Anuncios!$B$2:$B$130,$B10))</f>
        <v/>
      </c>
      <c r="F10" s="3">
        <f>IF($B10="","",INDEX(Anuncios!$E$2:$E$130,$B10))</f>
        <v/>
      </c>
      <c r="G10" s="3">
        <f>IF($B10="","",INDEX(Anuncios!$F$2:$F$130,$B10))</f>
        <v/>
      </c>
      <c r="H10" s="3">
        <f>IF($B10="","",INDEX(Anuncios!$G$2:$G$130,$B10))</f>
        <v/>
      </c>
      <c r="I10" s="3">
        <f>IF($B10="","",INDEX(Anuncios!$K$2:$K$130,$B10))</f>
        <v/>
      </c>
      <c r="J10" s="3">
        <f>IF($B10="","",INDEX(Anuncios!$M$2:$M$130,$B10))</f>
        <v/>
      </c>
      <c r="K10" s="3">
        <f>IF($B10="","",INDEX(Anuncios!$N$2:$N$130,$B10))</f>
        <v/>
      </c>
      <c r="L10" s="3">
        <f>IF($B10="","",INDEX(Anuncios!$Q$2:$Q$130,$B10))</f>
        <v/>
      </c>
      <c r="M10" s="3">
        <f>IF($B10="","",INDEX(Anuncios!$R$2:$R$130,$B10))</f>
        <v/>
      </c>
      <c r="N10" s="3">
        <f>IF($B10="","",INDEX(Anuncios!$O$2:$O$130,$B10))</f>
        <v/>
      </c>
      <c r="O10" s="3">
        <f>IF($B10="","",INDEX(Anuncios!$AJ$2:$AJ$130,$B10))</f>
        <v/>
      </c>
      <c r="P10" s="3">
        <f>IF($B10="","",INDEX(Anuncios!$AI$2:$AI$130,$B10))</f>
        <v/>
      </c>
      <c r="Q10" s="3">
        <f>IF($B10="","",INDEX(Anuncios!$CO$2:$CO$130,$B10))</f>
        <v/>
      </c>
      <c r="R10" s="3">
        <f>IF($B10="","",INDEX(Anuncios!$CV$2:$CV$130,$B10))</f>
        <v/>
      </c>
      <c r="S10" s="3">
        <f>IF($B10="","",INDEX(Anuncios!$CU$2:$CU$130,$B10))</f>
        <v/>
      </c>
      <c r="T10" s="3">
        <f>IF($B10="","",INDEX(Anuncios!$CY$2:$CY$130,$B10))</f>
        <v/>
      </c>
      <c r="U10" s="3">
        <f>IF($B10="","",INDEX(Anuncios!$BM$2:$BM$130,$B10))</f>
        <v/>
      </c>
      <c r="V10" s="3">
        <f>IF($B10="","",INDEX(Anuncios!$BO$2:$BO$130,$B10))</f>
        <v/>
      </c>
      <c r="W10" s="3">
        <f>IF($B10="","",INDEX(Anuncios!$BT$2:$BT$130,$B10))</f>
        <v/>
      </c>
      <c r="X10" s="3">
        <f>IF($B10="","",INDEX(Anuncios!$AS$2:$AS$130,$B10))</f>
        <v/>
      </c>
      <c r="Y10" s="3">
        <f>IF($B10="","",INDEX(Anuncios!$BU$2:$BU$130,$B10))</f>
        <v/>
      </c>
      <c r="Z10" s="3">
        <f>IF($B10="","",INDEX(Anuncios!$CA$2:$CA$130,$B10))</f>
        <v/>
      </c>
      <c r="AA10" s="3">
        <f>IF($B10="","",INDEX(Anuncios!$CC$2:$CC$130,$B10))</f>
        <v/>
      </c>
      <c r="AB10" s="3">
        <f>IF($B10="","",INDEX(Anuncios!$CG$2:$CG$130,$B10))</f>
        <v/>
      </c>
      <c r="AC10" s="3">
        <f>IF($B10="","",INDEX(Anuncios!$CH$2:$CH$130,$B10))</f>
        <v/>
      </c>
      <c r="AD10" s="3">
        <f>IF($B10="","",INDEX(Anuncios!$CN$2:$CN$130,$B10))</f>
        <v/>
      </c>
      <c r="AE10" s="3">
        <f>IF($B10="","",INDEX(Anuncios!$CP$2:$CP$130,$B10))</f>
        <v/>
      </c>
      <c r="AF10" s="3">
        <f>IF($B10="","",INDEX(Anuncios!$CI$2:$CI$130,$B10))</f>
        <v/>
      </c>
      <c r="AG10" s="3">
        <f>IF($B10="","",INDEX(Anuncios!$CQ$2:$CQ$130,$B10))</f>
        <v/>
      </c>
      <c r="AH10" s="3">
        <f>IF($B10="","",INDEX(Anuncios!$AW$2:$AW$130,$B10))</f>
        <v/>
      </c>
      <c r="AI10" s="3">
        <f>IF($B10="","",INDEX(Anuncios!$CS$2:$CS$130,$B10))</f>
        <v/>
      </c>
      <c r="AJ10" s="3">
        <f>IF($B10="","",INDEX(Anuncios!$BB$2:$BB$130,$B10))</f>
        <v/>
      </c>
      <c r="AK10" s="3">
        <f>IF($B10="","",Z10*W_FIAB)</f>
        <v/>
      </c>
      <c r="AL10" s="3">
        <f>IF($B10="","",AA10*W_PRECIO)</f>
        <v/>
      </c>
      <c r="AM10" s="3">
        <f>IF($B10="","",AB10*W_KMEDAD)</f>
        <v/>
      </c>
      <c r="AN10" s="3">
        <f>IF($B10="","",AC10*W_ANUNCIO)</f>
        <v/>
      </c>
      <c r="AO10" s="3">
        <f>IF($B10="","",AD10*W_USO)</f>
        <v/>
      </c>
      <c r="AP10" s="3">
        <f>IF($B10="","",AE10*W_SEGURIDAD)</f>
        <v/>
      </c>
      <c r="AQ10" s="3">
        <f>IF($B10="","",AF10*W_ETIQUETA)</f>
        <v/>
      </c>
      <c r="AR10" s="3">
        <f>IF($B10="","",AG10*W_ESTILO)</f>
        <v/>
      </c>
    </row>
    <row r="11">
      <c r="A11" s="2" t="n">
        <v>10</v>
      </c>
      <c r="B11" s="3">
        <f>IFERROR(MATCH(A11,Anuncios!$DB$2:$DB$130,0),"")</f>
        <v/>
      </c>
      <c r="C11" s="3">
        <f>IF(B11="","",HYPERLINK(INDEX(Anuncios!$C$2:$C$130,B11),"Abrir anuncio"))</f>
        <v/>
      </c>
      <c r="D11" s="3">
        <f>IF($B11="","",INDEX(Anuncios!$D$2:$D$130,$B11))</f>
        <v/>
      </c>
      <c r="E11" s="3">
        <f>IF($B11="","",INDEX(Anuncios!$B$2:$B$130,$B11))</f>
        <v/>
      </c>
      <c r="F11" s="3">
        <f>IF($B11="","",INDEX(Anuncios!$E$2:$E$130,$B11))</f>
        <v/>
      </c>
      <c r="G11" s="3">
        <f>IF($B11="","",INDEX(Anuncios!$F$2:$F$130,$B11))</f>
        <v/>
      </c>
      <c r="H11" s="3">
        <f>IF($B11="","",INDEX(Anuncios!$G$2:$G$130,$B11))</f>
        <v/>
      </c>
      <c r="I11" s="3">
        <f>IF($B11="","",INDEX(Anuncios!$K$2:$K$130,$B11))</f>
        <v/>
      </c>
      <c r="J11" s="3">
        <f>IF($B11="","",INDEX(Anuncios!$M$2:$M$130,$B11))</f>
        <v/>
      </c>
      <c r="K11" s="3">
        <f>IF($B11="","",INDEX(Anuncios!$N$2:$N$130,$B11))</f>
        <v/>
      </c>
      <c r="L11" s="3">
        <f>IF($B11="","",INDEX(Anuncios!$Q$2:$Q$130,$B11))</f>
        <v/>
      </c>
      <c r="M11" s="3">
        <f>IF($B11="","",INDEX(Anuncios!$R$2:$R$130,$B11))</f>
        <v/>
      </c>
      <c r="N11" s="3">
        <f>IF($B11="","",INDEX(Anuncios!$O$2:$O$130,$B11))</f>
        <v/>
      </c>
      <c r="O11" s="3">
        <f>IF($B11="","",INDEX(Anuncios!$AJ$2:$AJ$130,$B11))</f>
        <v/>
      </c>
      <c r="P11" s="3">
        <f>IF($B11="","",INDEX(Anuncios!$AI$2:$AI$130,$B11))</f>
        <v/>
      </c>
      <c r="Q11" s="3">
        <f>IF($B11="","",INDEX(Anuncios!$CO$2:$CO$130,$B11))</f>
        <v/>
      </c>
      <c r="R11" s="3">
        <f>IF($B11="","",INDEX(Anuncios!$CV$2:$CV$130,$B11))</f>
        <v/>
      </c>
      <c r="S11" s="3">
        <f>IF($B11="","",INDEX(Anuncios!$CU$2:$CU$130,$B11))</f>
        <v/>
      </c>
      <c r="T11" s="3">
        <f>IF($B11="","",INDEX(Anuncios!$CY$2:$CY$130,$B11))</f>
        <v/>
      </c>
      <c r="U11" s="3">
        <f>IF($B11="","",INDEX(Anuncios!$BM$2:$BM$130,$B11))</f>
        <v/>
      </c>
      <c r="V11" s="3">
        <f>IF($B11="","",INDEX(Anuncios!$BO$2:$BO$130,$B11))</f>
        <v/>
      </c>
      <c r="W11" s="3">
        <f>IF($B11="","",INDEX(Anuncios!$BT$2:$BT$130,$B11))</f>
        <v/>
      </c>
      <c r="X11" s="3">
        <f>IF($B11="","",INDEX(Anuncios!$AS$2:$AS$130,$B11))</f>
        <v/>
      </c>
      <c r="Y11" s="3">
        <f>IF($B11="","",INDEX(Anuncios!$BU$2:$BU$130,$B11))</f>
        <v/>
      </c>
      <c r="Z11" s="3">
        <f>IF($B11="","",INDEX(Anuncios!$CA$2:$CA$130,$B11))</f>
        <v/>
      </c>
      <c r="AA11" s="3">
        <f>IF($B11="","",INDEX(Anuncios!$CC$2:$CC$130,$B11))</f>
        <v/>
      </c>
      <c r="AB11" s="3">
        <f>IF($B11="","",INDEX(Anuncios!$CG$2:$CG$130,$B11))</f>
        <v/>
      </c>
      <c r="AC11" s="3">
        <f>IF($B11="","",INDEX(Anuncios!$CH$2:$CH$130,$B11))</f>
        <v/>
      </c>
      <c r="AD11" s="3">
        <f>IF($B11="","",INDEX(Anuncios!$CN$2:$CN$130,$B11))</f>
        <v/>
      </c>
      <c r="AE11" s="3">
        <f>IF($B11="","",INDEX(Anuncios!$CP$2:$CP$130,$B11))</f>
        <v/>
      </c>
      <c r="AF11" s="3">
        <f>IF($B11="","",INDEX(Anuncios!$CI$2:$CI$130,$B11))</f>
        <v/>
      </c>
      <c r="AG11" s="3">
        <f>IF($B11="","",INDEX(Anuncios!$CQ$2:$CQ$130,$B11))</f>
        <v/>
      </c>
      <c r="AH11" s="3">
        <f>IF($B11="","",INDEX(Anuncios!$AW$2:$AW$130,$B11))</f>
        <v/>
      </c>
      <c r="AI11" s="3">
        <f>IF($B11="","",INDEX(Anuncios!$CS$2:$CS$130,$B11))</f>
        <v/>
      </c>
      <c r="AJ11" s="3">
        <f>IF($B11="","",INDEX(Anuncios!$BB$2:$BB$130,$B11))</f>
        <v/>
      </c>
      <c r="AK11" s="3">
        <f>IF($B11="","",Z11*W_FIAB)</f>
        <v/>
      </c>
      <c r="AL11" s="3">
        <f>IF($B11="","",AA11*W_PRECIO)</f>
        <v/>
      </c>
      <c r="AM11" s="3">
        <f>IF($B11="","",AB11*W_KMEDAD)</f>
        <v/>
      </c>
      <c r="AN11" s="3">
        <f>IF($B11="","",AC11*W_ANUNCIO)</f>
        <v/>
      </c>
      <c r="AO11" s="3">
        <f>IF($B11="","",AD11*W_USO)</f>
        <v/>
      </c>
      <c r="AP11" s="3">
        <f>IF($B11="","",AE11*W_SEGURIDAD)</f>
        <v/>
      </c>
      <c r="AQ11" s="3">
        <f>IF($B11="","",AF11*W_ETIQUETA)</f>
        <v/>
      </c>
      <c r="AR11" s="3">
        <f>IF($B11="","",AG11*W_ESTILO)</f>
        <v/>
      </c>
    </row>
    <row r="12">
      <c r="A12" s="2" t="n">
        <v>11</v>
      </c>
      <c r="B12" s="3">
        <f>IFERROR(MATCH(A12,Anuncios!$DB$2:$DB$130,0),"")</f>
        <v/>
      </c>
      <c r="C12" s="3">
        <f>IF(B12="","",HYPERLINK(INDEX(Anuncios!$C$2:$C$130,B12),"Abrir anuncio"))</f>
        <v/>
      </c>
      <c r="D12" s="3">
        <f>IF($B12="","",INDEX(Anuncios!$D$2:$D$130,$B12))</f>
        <v/>
      </c>
      <c r="E12" s="3">
        <f>IF($B12="","",INDEX(Anuncios!$B$2:$B$130,$B12))</f>
        <v/>
      </c>
      <c r="F12" s="3">
        <f>IF($B12="","",INDEX(Anuncios!$E$2:$E$130,$B12))</f>
        <v/>
      </c>
      <c r="G12" s="3">
        <f>IF($B12="","",INDEX(Anuncios!$F$2:$F$130,$B12))</f>
        <v/>
      </c>
      <c r="H12" s="3">
        <f>IF($B12="","",INDEX(Anuncios!$G$2:$G$130,$B12))</f>
        <v/>
      </c>
      <c r="I12" s="3">
        <f>IF($B12="","",INDEX(Anuncios!$K$2:$K$130,$B12))</f>
        <v/>
      </c>
      <c r="J12" s="3">
        <f>IF($B12="","",INDEX(Anuncios!$M$2:$M$130,$B12))</f>
        <v/>
      </c>
      <c r="K12" s="3">
        <f>IF($B12="","",INDEX(Anuncios!$N$2:$N$130,$B12))</f>
        <v/>
      </c>
      <c r="L12" s="3">
        <f>IF($B12="","",INDEX(Anuncios!$Q$2:$Q$130,$B12))</f>
        <v/>
      </c>
      <c r="M12" s="3">
        <f>IF($B12="","",INDEX(Anuncios!$R$2:$R$130,$B12))</f>
        <v/>
      </c>
      <c r="N12" s="3">
        <f>IF($B12="","",INDEX(Anuncios!$O$2:$O$130,$B12))</f>
        <v/>
      </c>
      <c r="O12" s="3">
        <f>IF($B12="","",INDEX(Anuncios!$AJ$2:$AJ$130,$B12))</f>
        <v/>
      </c>
      <c r="P12" s="3">
        <f>IF($B12="","",INDEX(Anuncios!$AI$2:$AI$130,$B12))</f>
        <v/>
      </c>
      <c r="Q12" s="3">
        <f>IF($B12="","",INDEX(Anuncios!$CO$2:$CO$130,$B12))</f>
        <v/>
      </c>
      <c r="R12" s="3">
        <f>IF($B12="","",INDEX(Anuncios!$CV$2:$CV$130,$B12))</f>
        <v/>
      </c>
      <c r="S12" s="3">
        <f>IF($B12="","",INDEX(Anuncios!$CU$2:$CU$130,$B12))</f>
        <v/>
      </c>
      <c r="T12" s="3">
        <f>IF($B12="","",INDEX(Anuncios!$CY$2:$CY$130,$B12))</f>
        <v/>
      </c>
      <c r="U12" s="3">
        <f>IF($B12="","",INDEX(Anuncios!$BM$2:$BM$130,$B12))</f>
        <v/>
      </c>
      <c r="V12" s="3">
        <f>IF($B12="","",INDEX(Anuncios!$BO$2:$BO$130,$B12))</f>
        <v/>
      </c>
      <c r="W12" s="3">
        <f>IF($B12="","",INDEX(Anuncios!$BT$2:$BT$130,$B12))</f>
        <v/>
      </c>
      <c r="X12" s="3">
        <f>IF($B12="","",INDEX(Anuncios!$AS$2:$AS$130,$B12))</f>
        <v/>
      </c>
      <c r="Y12" s="3">
        <f>IF($B12="","",INDEX(Anuncios!$BU$2:$BU$130,$B12))</f>
        <v/>
      </c>
      <c r="Z12" s="3">
        <f>IF($B12="","",INDEX(Anuncios!$CA$2:$CA$130,$B12))</f>
        <v/>
      </c>
      <c r="AA12" s="3">
        <f>IF($B12="","",INDEX(Anuncios!$CC$2:$CC$130,$B12))</f>
        <v/>
      </c>
      <c r="AB12" s="3">
        <f>IF($B12="","",INDEX(Anuncios!$CG$2:$CG$130,$B12))</f>
        <v/>
      </c>
      <c r="AC12" s="3">
        <f>IF($B12="","",INDEX(Anuncios!$CH$2:$CH$130,$B12))</f>
        <v/>
      </c>
      <c r="AD12" s="3">
        <f>IF($B12="","",INDEX(Anuncios!$CN$2:$CN$130,$B12))</f>
        <v/>
      </c>
      <c r="AE12" s="3">
        <f>IF($B12="","",INDEX(Anuncios!$CP$2:$CP$130,$B12))</f>
        <v/>
      </c>
      <c r="AF12" s="3">
        <f>IF($B12="","",INDEX(Anuncios!$CI$2:$CI$130,$B12))</f>
        <v/>
      </c>
      <c r="AG12" s="3">
        <f>IF($B12="","",INDEX(Anuncios!$CQ$2:$CQ$130,$B12))</f>
        <v/>
      </c>
      <c r="AH12" s="3">
        <f>IF($B12="","",INDEX(Anuncios!$AW$2:$AW$130,$B12))</f>
        <v/>
      </c>
      <c r="AI12" s="3">
        <f>IF($B12="","",INDEX(Anuncios!$CS$2:$CS$130,$B12))</f>
        <v/>
      </c>
      <c r="AJ12" s="3">
        <f>IF($B12="","",INDEX(Anuncios!$BB$2:$BB$130,$B12))</f>
        <v/>
      </c>
      <c r="AK12" s="3">
        <f>IF($B12="","",Z12*W_FIAB)</f>
        <v/>
      </c>
      <c r="AL12" s="3">
        <f>IF($B12="","",AA12*W_PRECIO)</f>
        <v/>
      </c>
      <c r="AM12" s="3">
        <f>IF($B12="","",AB12*W_KMEDAD)</f>
        <v/>
      </c>
      <c r="AN12" s="3">
        <f>IF($B12="","",AC12*W_ANUNCIO)</f>
        <v/>
      </c>
      <c r="AO12" s="3">
        <f>IF($B12="","",AD12*W_USO)</f>
        <v/>
      </c>
      <c r="AP12" s="3">
        <f>IF($B12="","",AE12*W_SEGURIDAD)</f>
        <v/>
      </c>
      <c r="AQ12" s="3">
        <f>IF($B12="","",AF12*W_ETIQUETA)</f>
        <v/>
      </c>
      <c r="AR12" s="3">
        <f>IF($B12="","",AG12*W_ESTILO)</f>
        <v/>
      </c>
    </row>
    <row r="13">
      <c r="A13" s="2" t="n">
        <v>12</v>
      </c>
      <c r="B13" s="3">
        <f>IFERROR(MATCH(A13,Anuncios!$DB$2:$DB$130,0),"")</f>
        <v/>
      </c>
      <c r="C13" s="3">
        <f>IF(B13="","",HYPERLINK(INDEX(Anuncios!$C$2:$C$130,B13),"Abrir anuncio"))</f>
        <v/>
      </c>
      <c r="D13" s="3">
        <f>IF($B13="","",INDEX(Anuncios!$D$2:$D$130,$B13))</f>
        <v/>
      </c>
      <c r="E13" s="3">
        <f>IF($B13="","",INDEX(Anuncios!$B$2:$B$130,$B13))</f>
        <v/>
      </c>
      <c r="F13" s="3">
        <f>IF($B13="","",INDEX(Anuncios!$E$2:$E$130,$B13))</f>
        <v/>
      </c>
      <c r="G13" s="3">
        <f>IF($B13="","",INDEX(Anuncios!$F$2:$F$130,$B13))</f>
        <v/>
      </c>
      <c r="H13" s="3">
        <f>IF($B13="","",INDEX(Anuncios!$G$2:$G$130,$B13))</f>
        <v/>
      </c>
      <c r="I13" s="3">
        <f>IF($B13="","",INDEX(Anuncios!$K$2:$K$130,$B13))</f>
        <v/>
      </c>
      <c r="J13" s="3">
        <f>IF($B13="","",INDEX(Anuncios!$M$2:$M$130,$B13))</f>
        <v/>
      </c>
      <c r="K13" s="3">
        <f>IF($B13="","",INDEX(Anuncios!$N$2:$N$130,$B13))</f>
        <v/>
      </c>
      <c r="L13" s="3">
        <f>IF($B13="","",INDEX(Anuncios!$Q$2:$Q$130,$B13))</f>
        <v/>
      </c>
      <c r="M13" s="3">
        <f>IF($B13="","",INDEX(Anuncios!$R$2:$R$130,$B13))</f>
        <v/>
      </c>
      <c r="N13" s="3">
        <f>IF($B13="","",INDEX(Anuncios!$O$2:$O$130,$B13))</f>
        <v/>
      </c>
      <c r="O13" s="3">
        <f>IF($B13="","",INDEX(Anuncios!$AJ$2:$AJ$130,$B13))</f>
        <v/>
      </c>
      <c r="P13" s="3">
        <f>IF($B13="","",INDEX(Anuncios!$AI$2:$AI$130,$B13))</f>
        <v/>
      </c>
      <c r="Q13" s="3">
        <f>IF($B13="","",INDEX(Anuncios!$CO$2:$CO$130,$B13))</f>
        <v/>
      </c>
      <c r="R13" s="3">
        <f>IF($B13="","",INDEX(Anuncios!$CV$2:$CV$130,$B13))</f>
        <v/>
      </c>
      <c r="S13" s="3">
        <f>IF($B13="","",INDEX(Anuncios!$CU$2:$CU$130,$B13))</f>
        <v/>
      </c>
      <c r="T13" s="3">
        <f>IF($B13="","",INDEX(Anuncios!$CY$2:$CY$130,$B13))</f>
        <v/>
      </c>
      <c r="U13" s="3">
        <f>IF($B13="","",INDEX(Anuncios!$BM$2:$BM$130,$B13))</f>
        <v/>
      </c>
      <c r="V13" s="3">
        <f>IF($B13="","",INDEX(Anuncios!$BO$2:$BO$130,$B13))</f>
        <v/>
      </c>
      <c r="W13" s="3">
        <f>IF($B13="","",INDEX(Anuncios!$BT$2:$BT$130,$B13))</f>
        <v/>
      </c>
      <c r="X13" s="3">
        <f>IF($B13="","",INDEX(Anuncios!$AS$2:$AS$130,$B13))</f>
        <v/>
      </c>
      <c r="Y13" s="3">
        <f>IF($B13="","",INDEX(Anuncios!$BU$2:$BU$130,$B13))</f>
        <v/>
      </c>
      <c r="Z13" s="3">
        <f>IF($B13="","",INDEX(Anuncios!$CA$2:$CA$130,$B13))</f>
        <v/>
      </c>
      <c r="AA13" s="3">
        <f>IF($B13="","",INDEX(Anuncios!$CC$2:$CC$130,$B13))</f>
        <v/>
      </c>
      <c r="AB13" s="3">
        <f>IF($B13="","",INDEX(Anuncios!$CG$2:$CG$130,$B13))</f>
        <v/>
      </c>
      <c r="AC13" s="3">
        <f>IF($B13="","",INDEX(Anuncios!$CH$2:$CH$130,$B13))</f>
        <v/>
      </c>
      <c r="AD13" s="3">
        <f>IF($B13="","",INDEX(Anuncios!$CN$2:$CN$130,$B13))</f>
        <v/>
      </c>
      <c r="AE13" s="3">
        <f>IF($B13="","",INDEX(Anuncios!$CP$2:$CP$130,$B13))</f>
        <v/>
      </c>
      <c r="AF13" s="3">
        <f>IF($B13="","",INDEX(Anuncios!$CI$2:$CI$130,$B13))</f>
        <v/>
      </c>
      <c r="AG13" s="3">
        <f>IF($B13="","",INDEX(Anuncios!$CQ$2:$CQ$130,$B13))</f>
        <v/>
      </c>
      <c r="AH13" s="3">
        <f>IF($B13="","",INDEX(Anuncios!$AW$2:$AW$130,$B13))</f>
        <v/>
      </c>
      <c r="AI13" s="3">
        <f>IF($B13="","",INDEX(Anuncios!$CS$2:$CS$130,$B13))</f>
        <v/>
      </c>
      <c r="AJ13" s="3">
        <f>IF($B13="","",INDEX(Anuncios!$BB$2:$BB$130,$B13))</f>
        <v/>
      </c>
      <c r="AK13" s="3">
        <f>IF($B13="","",Z13*W_FIAB)</f>
        <v/>
      </c>
      <c r="AL13" s="3">
        <f>IF($B13="","",AA13*W_PRECIO)</f>
        <v/>
      </c>
      <c r="AM13" s="3">
        <f>IF($B13="","",AB13*W_KMEDAD)</f>
        <v/>
      </c>
      <c r="AN13" s="3">
        <f>IF($B13="","",AC13*W_ANUNCIO)</f>
        <v/>
      </c>
      <c r="AO13" s="3">
        <f>IF($B13="","",AD13*W_USO)</f>
        <v/>
      </c>
      <c r="AP13" s="3">
        <f>IF($B13="","",AE13*W_SEGURIDAD)</f>
        <v/>
      </c>
      <c r="AQ13" s="3">
        <f>IF($B13="","",AF13*W_ETIQUETA)</f>
        <v/>
      </c>
      <c r="AR13" s="3">
        <f>IF($B13="","",AG13*W_ESTILO)</f>
        <v/>
      </c>
    </row>
    <row r="14">
      <c r="A14" s="2" t="n">
        <v>13</v>
      </c>
      <c r="B14" s="3">
        <f>IFERROR(MATCH(A14,Anuncios!$DB$2:$DB$130,0),"")</f>
        <v/>
      </c>
      <c r="C14" s="3">
        <f>IF(B14="","",HYPERLINK(INDEX(Anuncios!$C$2:$C$130,B14),"Abrir anuncio"))</f>
        <v/>
      </c>
      <c r="D14" s="3">
        <f>IF($B14="","",INDEX(Anuncios!$D$2:$D$130,$B14))</f>
        <v/>
      </c>
      <c r="E14" s="3">
        <f>IF($B14="","",INDEX(Anuncios!$B$2:$B$130,$B14))</f>
        <v/>
      </c>
      <c r="F14" s="3">
        <f>IF($B14="","",INDEX(Anuncios!$E$2:$E$130,$B14))</f>
        <v/>
      </c>
      <c r="G14" s="3">
        <f>IF($B14="","",INDEX(Anuncios!$F$2:$F$130,$B14))</f>
        <v/>
      </c>
      <c r="H14" s="3">
        <f>IF($B14="","",INDEX(Anuncios!$G$2:$G$130,$B14))</f>
        <v/>
      </c>
      <c r="I14" s="3">
        <f>IF($B14="","",INDEX(Anuncios!$K$2:$K$130,$B14))</f>
        <v/>
      </c>
      <c r="J14" s="3">
        <f>IF($B14="","",INDEX(Anuncios!$M$2:$M$130,$B14))</f>
        <v/>
      </c>
      <c r="K14" s="3">
        <f>IF($B14="","",INDEX(Anuncios!$N$2:$N$130,$B14))</f>
        <v/>
      </c>
      <c r="L14" s="3">
        <f>IF($B14="","",INDEX(Anuncios!$Q$2:$Q$130,$B14))</f>
        <v/>
      </c>
      <c r="M14" s="3">
        <f>IF($B14="","",INDEX(Anuncios!$R$2:$R$130,$B14))</f>
        <v/>
      </c>
      <c r="N14" s="3">
        <f>IF($B14="","",INDEX(Anuncios!$O$2:$O$130,$B14))</f>
        <v/>
      </c>
      <c r="O14" s="3">
        <f>IF($B14="","",INDEX(Anuncios!$AJ$2:$AJ$130,$B14))</f>
        <v/>
      </c>
      <c r="P14" s="3">
        <f>IF($B14="","",INDEX(Anuncios!$AI$2:$AI$130,$B14))</f>
        <v/>
      </c>
      <c r="Q14" s="3">
        <f>IF($B14="","",INDEX(Anuncios!$CO$2:$CO$130,$B14))</f>
        <v/>
      </c>
      <c r="R14" s="3">
        <f>IF($B14="","",INDEX(Anuncios!$CV$2:$CV$130,$B14))</f>
        <v/>
      </c>
      <c r="S14" s="3">
        <f>IF($B14="","",INDEX(Anuncios!$CU$2:$CU$130,$B14))</f>
        <v/>
      </c>
      <c r="T14" s="3">
        <f>IF($B14="","",INDEX(Anuncios!$CY$2:$CY$130,$B14))</f>
        <v/>
      </c>
      <c r="U14" s="3">
        <f>IF($B14="","",INDEX(Anuncios!$BM$2:$BM$130,$B14))</f>
        <v/>
      </c>
      <c r="V14" s="3">
        <f>IF($B14="","",INDEX(Anuncios!$BO$2:$BO$130,$B14))</f>
        <v/>
      </c>
      <c r="W14" s="3">
        <f>IF($B14="","",INDEX(Anuncios!$BT$2:$BT$130,$B14))</f>
        <v/>
      </c>
      <c r="X14" s="3">
        <f>IF($B14="","",INDEX(Anuncios!$AS$2:$AS$130,$B14))</f>
        <v/>
      </c>
      <c r="Y14" s="3">
        <f>IF($B14="","",INDEX(Anuncios!$BU$2:$BU$130,$B14))</f>
        <v/>
      </c>
      <c r="Z14" s="3">
        <f>IF($B14="","",INDEX(Anuncios!$CA$2:$CA$130,$B14))</f>
        <v/>
      </c>
      <c r="AA14" s="3">
        <f>IF($B14="","",INDEX(Anuncios!$CC$2:$CC$130,$B14))</f>
        <v/>
      </c>
      <c r="AB14" s="3">
        <f>IF($B14="","",INDEX(Anuncios!$CG$2:$CG$130,$B14))</f>
        <v/>
      </c>
      <c r="AC14" s="3">
        <f>IF($B14="","",INDEX(Anuncios!$CH$2:$CH$130,$B14))</f>
        <v/>
      </c>
      <c r="AD14" s="3">
        <f>IF($B14="","",INDEX(Anuncios!$CN$2:$CN$130,$B14))</f>
        <v/>
      </c>
      <c r="AE14" s="3">
        <f>IF($B14="","",INDEX(Anuncios!$CP$2:$CP$130,$B14))</f>
        <v/>
      </c>
      <c r="AF14" s="3">
        <f>IF($B14="","",INDEX(Anuncios!$CI$2:$CI$130,$B14))</f>
        <v/>
      </c>
      <c r="AG14" s="3">
        <f>IF($B14="","",INDEX(Anuncios!$CQ$2:$CQ$130,$B14))</f>
        <v/>
      </c>
      <c r="AH14" s="3">
        <f>IF($B14="","",INDEX(Anuncios!$AW$2:$AW$130,$B14))</f>
        <v/>
      </c>
      <c r="AI14" s="3">
        <f>IF($B14="","",INDEX(Anuncios!$CS$2:$CS$130,$B14))</f>
        <v/>
      </c>
      <c r="AJ14" s="3">
        <f>IF($B14="","",INDEX(Anuncios!$BB$2:$BB$130,$B14))</f>
        <v/>
      </c>
      <c r="AK14" s="3">
        <f>IF($B14="","",Z14*W_FIAB)</f>
        <v/>
      </c>
      <c r="AL14" s="3">
        <f>IF($B14="","",AA14*W_PRECIO)</f>
        <v/>
      </c>
      <c r="AM14" s="3">
        <f>IF($B14="","",AB14*W_KMEDAD)</f>
        <v/>
      </c>
      <c r="AN14" s="3">
        <f>IF($B14="","",AC14*W_ANUNCIO)</f>
        <v/>
      </c>
      <c r="AO14" s="3">
        <f>IF($B14="","",AD14*W_USO)</f>
        <v/>
      </c>
      <c r="AP14" s="3">
        <f>IF($B14="","",AE14*W_SEGURIDAD)</f>
        <v/>
      </c>
      <c r="AQ14" s="3">
        <f>IF($B14="","",AF14*W_ETIQUETA)</f>
        <v/>
      </c>
      <c r="AR14" s="3">
        <f>IF($B14="","",AG14*W_ESTILO)</f>
        <v/>
      </c>
    </row>
    <row r="15">
      <c r="A15" s="2" t="n">
        <v>14</v>
      </c>
      <c r="B15" s="3">
        <f>IFERROR(MATCH(A15,Anuncios!$DB$2:$DB$130,0),"")</f>
        <v/>
      </c>
      <c r="C15" s="3">
        <f>IF(B15="","",HYPERLINK(INDEX(Anuncios!$C$2:$C$130,B15),"Abrir anuncio"))</f>
        <v/>
      </c>
      <c r="D15" s="3">
        <f>IF($B15="","",INDEX(Anuncios!$D$2:$D$130,$B15))</f>
        <v/>
      </c>
      <c r="E15" s="3">
        <f>IF($B15="","",INDEX(Anuncios!$B$2:$B$130,$B15))</f>
        <v/>
      </c>
      <c r="F15" s="3">
        <f>IF($B15="","",INDEX(Anuncios!$E$2:$E$130,$B15))</f>
        <v/>
      </c>
      <c r="G15" s="3">
        <f>IF($B15="","",INDEX(Anuncios!$F$2:$F$130,$B15))</f>
        <v/>
      </c>
      <c r="H15" s="3">
        <f>IF($B15="","",INDEX(Anuncios!$G$2:$G$130,$B15))</f>
        <v/>
      </c>
      <c r="I15" s="3">
        <f>IF($B15="","",INDEX(Anuncios!$K$2:$K$130,$B15))</f>
        <v/>
      </c>
      <c r="J15" s="3">
        <f>IF($B15="","",INDEX(Anuncios!$M$2:$M$130,$B15))</f>
        <v/>
      </c>
      <c r="K15" s="3">
        <f>IF($B15="","",INDEX(Anuncios!$N$2:$N$130,$B15))</f>
        <v/>
      </c>
      <c r="L15" s="3">
        <f>IF($B15="","",INDEX(Anuncios!$Q$2:$Q$130,$B15))</f>
        <v/>
      </c>
      <c r="M15" s="3">
        <f>IF($B15="","",INDEX(Anuncios!$R$2:$R$130,$B15))</f>
        <v/>
      </c>
      <c r="N15" s="3">
        <f>IF($B15="","",INDEX(Anuncios!$O$2:$O$130,$B15))</f>
        <v/>
      </c>
      <c r="O15" s="3">
        <f>IF($B15="","",INDEX(Anuncios!$AJ$2:$AJ$130,$B15))</f>
        <v/>
      </c>
      <c r="P15" s="3">
        <f>IF($B15="","",INDEX(Anuncios!$AI$2:$AI$130,$B15))</f>
        <v/>
      </c>
      <c r="Q15" s="3">
        <f>IF($B15="","",INDEX(Anuncios!$CO$2:$CO$130,$B15))</f>
        <v/>
      </c>
      <c r="R15" s="3">
        <f>IF($B15="","",INDEX(Anuncios!$CV$2:$CV$130,$B15))</f>
        <v/>
      </c>
      <c r="S15" s="3">
        <f>IF($B15="","",INDEX(Anuncios!$CU$2:$CU$130,$B15))</f>
        <v/>
      </c>
      <c r="T15" s="3">
        <f>IF($B15="","",INDEX(Anuncios!$CY$2:$CY$130,$B15))</f>
        <v/>
      </c>
      <c r="U15" s="3">
        <f>IF($B15="","",INDEX(Anuncios!$BM$2:$BM$130,$B15))</f>
        <v/>
      </c>
      <c r="V15" s="3">
        <f>IF($B15="","",INDEX(Anuncios!$BO$2:$BO$130,$B15))</f>
        <v/>
      </c>
      <c r="W15" s="3">
        <f>IF($B15="","",INDEX(Anuncios!$BT$2:$BT$130,$B15))</f>
        <v/>
      </c>
      <c r="X15" s="3">
        <f>IF($B15="","",INDEX(Anuncios!$AS$2:$AS$130,$B15))</f>
        <v/>
      </c>
      <c r="Y15" s="3">
        <f>IF($B15="","",INDEX(Anuncios!$BU$2:$BU$130,$B15))</f>
        <v/>
      </c>
      <c r="Z15" s="3">
        <f>IF($B15="","",INDEX(Anuncios!$CA$2:$CA$130,$B15))</f>
        <v/>
      </c>
      <c r="AA15" s="3">
        <f>IF($B15="","",INDEX(Anuncios!$CC$2:$CC$130,$B15))</f>
        <v/>
      </c>
      <c r="AB15" s="3">
        <f>IF($B15="","",INDEX(Anuncios!$CG$2:$CG$130,$B15))</f>
        <v/>
      </c>
      <c r="AC15" s="3">
        <f>IF($B15="","",INDEX(Anuncios!$CH$2:$CH$130,$B15))</f>
        <v/>
      </c>
      <c r="AD15" s="3">
        <f>IF($B15="","",INDEX(Anuncios!$CN$2:$CN$130,$B15))</f>
        <v/>
      </c>
      <c r="AE15" s="3">
        <f>IF($B15="","",INDEX(Anuncios!$CP$2:$CP$130,$B15))</f>
        <v/>
      </c>
      <c r="AF15" s="3">
        <f>IF($B15="","",INDEX(Anuncios!$CI$2:$CI$130,$B15))</f>
        <v/>
      </c>
      <c r="AG15" s="3">
        <f>IF($B15="","",INDEX(Anuncios!$CQ$2:$CQ$130,$B15))</f>
        <v/>
      </c>
      <c r="AH15" s="3">
        <f>IF($B15="","",INDEX(Anuncios!$AW$2:$AW$130,$B15))</f>
        <v/>
      </c>
      <c r="AI15" s="3">
        <f>IF($B15="","",INDEX(Anuncios!$CS$2:$CS$130,$B15))</f>
        <v/>
      </c>
      <c r="AJ15" s="3">
        <f>IF($B15="","",INDEX(Anuncios!$BB$2:$BB$130,$B15))</f>
        <v/>
      </c>
      <c r="AK15" s="3">
        <f>IF($B15="","",Z15*W_FIAB)</f>
        <v/>
      </c>
      <c r="AL15" s="3">
        <f>IF($B15="","",AA15*W_PRECIO)</f>
        <v/>
      </c>
      <c r="AM15" s="3">
        <f>IF($B15="","",AB15*W_KMEDAD)</f>
        <v/>
      </c>
      <c r="AN15" s="3">
        <f>IF($B15="","",AC15*W_ANUNCIO)</f>
        <v/>
      </c>
      <c r="AO15" s="3">
        <f>IF($B15="","",AD15*W_USO)</f>
        <v/>
      </c>
      <c r="AP15" s="3">
        <f>IF($B15="","",AE15*W_SEGURIDAD)</f>
        <v/>
      </c>
      <c r="AQ15" s="3">
        <f>IF($B15="","",AF15*W_ETIQUETA)</f>
        <v/>
      </c>
      <c r="AR15" s="3">
        <f>IF($B15="","",AG15*W_ESTILO)</f>
        <v/>
      </c>
    </row>
    <row r="16">
      <c r="A16" s="2" t="n">
        <v>15</v>
      </c>
      <c r="B16" s="3">
        <f>IFERROR(MATCH(A16,Anuncios!$DB$2:$DB$130,0),"")</f>
        <v/>
      </c>
      <c r="C16" s="3">
        <f>IF(B16="","",HYPERLINK(INDEX(Anuncios!$C$2:$C$130,B16),"Abrir anuncio"))</f>
        <v/>
      </c>
      <c r="D16" s="3">
        <f>IF($B16="","",INDEX(Anuncios!$D$2:$D$130,$B16))</f>
        <v/>
      </c>
      <c r="E16" s="3">
        <f>IF($B16="","",INDEX(Anuncios!$B$2:$B$130,$B16))</f>
        <v/>
      </c>
      <c r="F16" s="3">
        <f>IF($B16="","",INDEX(Anuncios!$E$2:$E$130,$B16))</f>
        <v/>
      </c>
      <c r="G16" s="3">
        <f>IF($B16="","",INDEX(Anuncios!$F$2:$F$130,$B16))</f>
        <v/>
      </c>
      <c r="H16" s="3">
        <f>IF($B16="","",INDEX(Anuncios!$G$2:$G$130,$B16))</f>
        <v/>
      </c>
      <c r="I16" s="3">
        <f>IF($B16="","",INDEX(Anuncios!$K$2:$K$130,$B16))</f>
        <v/>
      </c>
      <c r="J16" s="3">
        <f>IF($B16="","",INDEX(Anuncios!$M$2:$M$130,$B16))</f>
        <v/>
      </c>
      <c r="K16" s="3">
        <f>IF($B16="","",INDEX(Anuncios!$N$2:$N$130,$B16))</f>
        <v/>
      </c>
      <c r="L16" s="3">
        <f>IF($B16="","",INDEX(Anuncios!$Q$2:$Q$130,$B16))</f>
        <v/>
      </c>
      <c r="M16" s="3">
        <f>IF($B16="","",INDEX(Anuncios!$R$2:$R$130,$B16))</f>
        <v/>
      </c>
      <c r="N16" s="3">
        <f>IF($B16="","",INDEX(Anuncios!$O$2:$O$130,$B16))</f>
        <v/>
      </c>
      <c r="O16" s="3">
        <f>IF($B16="","",INDEX(Anuncios!$AJ$2:$AJ$130,$B16))</f>
        <v/>
      </c>
      <c r="P16" s="3">
        <f>IF($B16="","",INDEX(Anuncios!$AI$2:$AI$130,$B16))</f>
        <v/>
      </c>
      <c r="Q16" s="3">
        <f>IF($B16="","",INDEX(Anuncios!$CO$2:$CO$130,$B16))</f>
        <v/>
      </c>
      <c r="R16" s="3">
        <f>IF($B16="","",INDEX(Anuncios!$CV$2:$CV$130,$B16))</f>
        <v/>
      </c>
      <c r="S16" s="3">
        <f>IF($B16="","",INDEX(Anuncios!$CU$2:$CU$130,$B16))</f>
        <v/>
      </c>
      <c r="T16" s="3">
        <f>IF($B16="","",INDEX(Anuncios!$CY$2:$CY$130,$B16))</f>
        <v/>
      </c>
      <c r="U16" s="3">
        <f>IF($B16="","",INDEX(Anuncios!$BM$2:$BM$130,$B16))</f>
        <v/>
      </c>
      <c r="V16" s="3">
        <f>IF($B16="","",INDEX(Anuncios!$BO$2:$BO$130,$B16))</f>
        <v/>
      </c>
      <c r="W16" s="3">
        <f>IF($B16="","",INDEX(Anuncios!$BT$2:$BT$130,$B16))</f>
        <v/>
      </c>
      <c r="X16" s="3">
        <f>IF($B16="","",INDEX(Anuncios!$AS$2:$AS$130,$B16))</f>
        <v/>
      </c>
      <c r="Y16" s="3">
        <f>IF($B16="","",INDEX(Anuncios!$BU$2:$BU$130,$B16))</f>
        <v/>
      </c>
      <c r="Z16" s="3">
        <f>IF($B16="","",INDEX(Anuncios!$CA$2:$CA$130,$B16))</f>
        <v/>
      </c>
      <c r="AA16" s="3">
        <f>IF($B16="","",INDEX(Anuncios!$CC$2:$CC$130,$B16))</f>
        <v/>
      </c>
      <c r="AB16" s="3">
        <f>IF($B16="","",INDEX(Anuncios!$CG$2:$CG$130,$B16))</f>
        <v/>
      </c>
      <c r="AC16" s="3">
        <f>IF($B16="","",INDEX(Anuncios!$CH$2:$CH$130,$B16))</f>
        <v/>
      </c>
      <c r="AD16" s="3">
        <f>IF($B16="","",INDEX(Anuncios!$CN$2:$CN$130,$B16))</f>
        <v/>
      </c>
      <c r="AE16" s="3">
        <f>IF($B16="","",INDEX(Anuncios!$CP$2:$CP$130,$B16))</f>
        <v/>
      </c>
      <c r="AF16" s="3">
        <f>IF($B16="","",INDEX(Anuncios!$CI$2:$CI$130,$B16))</f>
        <v/>
      </c>
      <c r="AG16" s="3">
        <f>IF($B16="","",INDEX(Anuncios!$CQ$2:$CQ$130,$B16))</f>
        <v/>
      </c>
      <c r="AH16" s="3">
        <f>IF($B16="","",INDEX(Anuncios!$AW$2:$AW$130,$B16))</f>
        <v/>
      </c>
      <c r="AI16" s="3">
        <f>IF($B16="","",INDEX(Anuncios!$CS$2:$CS$130,$B16))</f>
        <v/>
      </c>
      <c r="AJ16" s="3">
        <f>IF($B16="","",INDEX(Anuncios!$BB$2:$BB$130,$B16))</f>
        <v/>
      </c>
      <c r="AK16" s="3">
        <f>IF($B16="","",Z16*W_FIAB)</f>
        <v/>
      </c>
      <c r="AL16" s="3">
        <f>IF($B16="","",AA16*W_PRECIO)</f>
        <v/>
      </c>
      <c r="AM16" s="3">
        <f>IF($B16="","",AB16*W_KMEDAD)</f>
        <v/>
      </c>
      <c r="AN16" s="3">
        <f>IF($B16="","",AC16*W_ANUNCIO)</f>
        <v/>
      </c>
      <c r="AO16" s="3">
        <f>IF($B16="","",AD16*W_USO)</f>
        <v/>
      </c>
      <c r="AP16" s="3">
        <f>IF($B16="","",AE16*W_SEGURIDAD)</f>
        <v/>
      </c>
      <c r="AQ16" s="3">
        <f>IF($B16="","",AF16*W_ETIQUETA)</f>
        <v/>
      </c>
      <c r="AR16" s="3">
        <f>IF($B16="","",AG16*W_ESTILO)</f>
        <v/>
      </c>
    </row>
    <row r="17">
      <c r="A17" s="2" t="n">
        <v>16</v>
      </c>
      <c r="B17" s="3">
        <f>IFERROR(MATCH(A17,Anuncios!$DB$2:$DB$130,0),"")</f>
        <v/>
      </c>
      <c r="C17" s="3">
        <f>IF(B17="","",HYPERLINK(INDEX(Anuncios!$C$2:$C$130,B17),"Abrir anuncio"))</f>
        <v/>
      </c>
      <c r="D17" s="3">
        <f>IF($B17="","",INDEX(Anuncios!$D$2:$D$130,$B17))</f>
        <v/>
      </c>
      <c r="E17" s="3">
        <f>IF($B17="","",INDEX(Anuncios!$B$2:$B$130,$B17))</f>
        <v/>
      </c>
      <c r="F17" s="3">
        <f>IF($B17="","",INDEX(Anuncios!$E$2:$E$130,$B17))</f>
        <v/>
      </c>
      <c r="G17" s="3">
        <f>IF($B17="","",INDEX(Anuncios!$F$2:$F$130,$B17))</f>
        <v/>
      </c>
      <c r="H17" s="3">
        <f>IF($B17="","",INDEX(Anuncios!$G$2:$G$130,$B17))</f>
        <v/>
      </c>
      <c r="I17" s="3">
        <f>IF($B17="","",INDEX(Anuncios!$K$2:$K$130,$B17))</f>
        <v/>
      </c>
      <c r="J17" s="3">
        <f>IF($B17="","",INDEX(Anuncios!$M$2:$M$130,$B17))</f>
        <v/>
      </c>
      <c r="K17" s="3">
        <f>IF($B17="","",INDEX(Anuncios!$N$2:$N$130,$B17))</f>
        <v/>
      </c>
      <c r="L17" s="3">
        <f>IF($B17="","",INDEX(Anuncios!$Q$2:$Q$130,$B17))</f>
        <v/>
      </c>
      <c r="M17" s="3">
        <f>IF($B17="","",INDEX(Anuncios!$R$2:$R$130,$B17))</f>
        <v/>
      </c>
      <c r="N17" s="3">
        <f>IF($B17="","",INDEX(Anuncios!$O$2:$O$130,$B17))</f>
        <v/>
      </c>
      <c r="O17" s="3">
        <f>IF($B17="","",INDEX(Anuncios!$AJ$2:$AJ$130,$B17))</f>
        <v/>
      </c>
      <c r="P17" s="3">
        <f>IF($B17="","",INDEX(Anuncios!$AI$2:$AI$130,$B17))</f>
        <v/>
      </c>
      <c r="Q17" s="3">
        <f>IF($B17="","",INDEX(Anuncios!$CO$2:$CO$130,$B17))</f>
        <v/>
      </c>
      <c r="R17" s="3">
        <f>IF($B17="","",INDEX(Anuncios!$CV$2:$CV$130,$B17))</f>
        <v/>
      </c>
      <c r="S17" s="3">
        <f>IF($B17="","",INDEX(Anuncios!$CU$2:$CU$130,$B17))</f>
        <v/>
      </c>
      <c r="T17" s="3">
        <f>IF($B17="","",INDEX(Anuncios!$CY$2:$CY$130,$B17))</f>
        <v/>
      </c>
      <c r="U17" s="3">
        <f>IF($B17="","",INDEX(Anuncios!$BM$2:$BM$130,$B17))</f>
        <v/>
      </c>
      <c r="V17" s="3">
        <f>IF($B17="","",INDEX(Anuncios!$BO$2:$BO$130,$B17))</f>
        <v/>
      </c>
      <c r="W17" s="3">
        <f>IF($B17="","",INDEX(Anuncios!$BT$2:$BT$130,$B17))</f>
        <v/>
      </c>
      <c r="X17" s="3">
        <f>IF($B17="","",INDEX(Anuncios!$AS$2:$AS$130,$B17))</f>
        <v/>
      </c>
      <c r="Y17" s="3">
        <f>IF($B17="","",INDEX(Anuncios!$BU$2:$BU$130,$B17))</f>
        <v/>
      </c>
      <c r="Z17" s="3">
        <f>IF($B17="","",INDEX(Anuncios!$CA$2:$CA$130,$B17))</f>
        <v/>
      </c>
      <c r="AA17" s="3">
        <f>IF($B17="","",INDEX(Anuncios!$CC$2:$CC$130,$B17))</f>
        <v/>
      </c>
      <c r="AB17" s="3">
        <f>IF($B17="","",INDEX(Anuncios!$CG$2:$CG$130,$B17))</f>
        <v/>
      </c>
      <c r="AC17" s="3">
        <f>IF($B17="","",INDEX(Anuncios!$CH$2:$CH$130,$B17))</f>
        <v/>
      </c>
      <c r="AD17" s="3">
        <f>IF($B17="","",INDEX(Anuncios!$CN$2:$CN$130,$B17))</f>
        <v/>
      </c>
      <c r="AE17" s="3">
        <f>IF($B17="","",INDEX(Anuncios!$CP$2:$CP$130,$B17))</f>
        <v/>
      </c>
      <c r="AF17" s="3">
        <f>IF($B17="","",INDEX(Anuncios!$CI$2:$CI$130,$B17))</f>
        <v/>
      </c>
      <c r="AG17" s="3">
        <f>IF($B17="","",INDEX(Anuncios!$CQ$2:$CQ$130,$B17))</f>
        <v/>
      </c>
      <c r="AH17" s="3">
        <f>IF($B17="","",INDEX(Anuncios!$AW$2:$AW$130,$B17))</f>
        <v/>
      </c>
      <c r="AI17" s="3">
        <f>IF($B17="","",INDEX(Anuncios!$CS$2:$CS$130,$B17))</f>
        <v/>
      </c>
      <c r="AJ17" s="3">
        <f>IF($B17="","",INDEX(Anuncios!$BB$2:$BB$130,$B17))</f>
        <v/>
      </c>
      <c r="AK17" s="3">
        <f>IF($B17="","",Z17*W_FIAB)</f>
        <v/>
      </c>
      <c r="AL17" s="3">
        <f>IF($B17="","",AA17*W_PRECIO)</f>
        <v/>
      </c>
      <c r="AM17" s="3">
        <f>IF($B17="","",AB17*W_KMEDAD)</f>
        <v/>
      </c>
      <c r="AN17" s="3">
        <f>IF($B17="","",AC17*W_ANUNCIO)</f>
        <v/>
      </c>
      <c r="AO17" s="3">
        <f>IF($B17="","",AD17*W_USO)</f>
        <v/>
      </c>
      <c r="AP17" s="3">
        <f>IF($B17="","",AE17*W_SEGURIDAD)</f>
        <v/>
      </c>
      <c r="AQ17" s="3">
        <f>IF($B17="","",AF17*W_ETIQUETA)</f>
        <v/>
      </c>
      <c r="AR17" s="3">
        <f>IF($B17="","",AG17*W_ESTILO)</f>
        <v/>
      </c>
    </row>
    <row r="18">
      <c r="A18" s="2" t="n">
        <v>17</v>
      </c>
      <c r="B18" s="3">
        <f>IFERROR(MATCH(A18,Anuncios!$DB$2:$DB$130,0),"")</f>
        <v/>
      </c>
      <c r="C18" s="3">
        <f>IF(B18="","",HYPERLINK(INDEX(Anuncios!$C$2:$C$130,B18),"Abrir anuncio"))</f>
        <v/>
      </c>
      <c r="D18" s="3">
        <f>IF($B18="","",INDEX(Anuncios!$D$2:$D$130,$B18))</f>
        <v/>
      </c>
      <c r="E18" s="3">
        <f>IF($B18="","",INDEX(Anuncios!$B$2:$B$130,$B18))</f>
        <v/>
      </c>
      <c r="F18" s="3">
        <f>IF($B18="","",INDEX(Anuncios!$E$2:$E$130,$B18))</f>
        <v/>
      </c>
      <c r="G18" s="3">
        <f>IF($B18="","",INDEX(Anuncios!$F$2:$F$130,$B18))</f>
        <v/>
      </c>
      <c r="H18" s="3">
        <f>IF($B18="","",INDEX(Anuncios!$G$2:$G$130,$B18))</f>
        <v/>
      </c>
      <c r="I18" s="3">
        <f>IF($B18="","",INDEX(Anuncios!$K$2:$K$130,$B18))</f>
        <v/>
      </c>
      <c r="J18" s="3">
        <f>IF($B18="","",INDEX(Anuncios!$M$2:$M$130,$B18))</f>
        <v/>
      </c>
      <c r="K18" s="3">
        <f>IF($B18="","",INDEX(Anuncios!$N$2:$N$130,$B18))</f>
        <v/>
      </c>
      <c r="L18" s="3">
        <f>IF($B18="","",INDEX(Anuncios!$Q$2:$Q$130,$B18))</f>
        <v/>
      </c>
      <c r="M18" s="3">
        <f>IF($B18="","",INDEX(Anuncios!$R$2:$R$130,$B18))</f>
        <v/>
      </c>
      <c r="N18" s="3">
        <f>IF($B18="","",INDEX(Anuncios!$O$2:$O$130,$B18))</f>
        <v/>
      </c>
      <c r="O18" s="3">
        <f>IF($B18="","",INDEX(Anuncios!$AJ$2:$AJ$130,$B18))</f>
        <v/>
      </c>
      <c r="P18" s="3">
        <f>IF($B18="","",INDEX(Anuncios!$AI$2:$AI$130,$B18))</f>
        <v/>
      </c>
      <c r="Q18" s="3">
        <f>IF($B18="","",INDEX(Anuncios!$CO$2:$CO$130,$B18))</f>
        <v/>
      </c>
      <c r="R18" s="3">
        <f>IF($B18="","",INDEX(Anuncios!$CV$2:$CV$130,$B18))</f>
        <v/>
      </c>
      <c r="S18" s="3">
        <f>IF($B18="","",INDEX(Anuncios!$CU$2:$CU$130,$B18))</f>
        <v/>
      </c>
      <c r="T18" s="3">
        <f>IF($B18="","",INDEX(Anuncios!$CY$2:$CY$130,$B18))</f>
        <v/>
      </c>
      <c r="U18" s="3">
        <f>IF($B18="","",INDEX(Anuncios!$BM$2:$BM$130,$B18))</f>
        <v/>
      </c>
      <c r="V18" s="3">
        <f>IF($B18="","",INDEX(Anuncios!$BO$2:$BO$130,$B18))</f>
        <v/>
      </c>
      <c r="W18" s="3">
        <f>IF($B18="","",INDEX(Anuncios!$BT$2:$BT$130,$B18))</f>
        <v/>
      </c>
      <c r="X18" s="3">
        <f>IF($B18="","",INDEX(Anuncios!$AS$2:$AS$130,$B18))</f>
        <v/>
      </c>
      <c r="Y18" s="3">
        <f>IF($B18="","",INDEX(Anuncios!$BU$2:$BU$130,$B18))</f>
        <v/>
      </c>
      <c r="Z18" s="3">
        <f>IF($B18="","",INDEX(Anuncios!$CA$2:$CA$130,$B18))</f>
        <v/>
      </c>
      <c r="AA18" s="3">
        <f>IF($B18="","",INDEX(Anuncios!$CC$2:$CC$130,$B18))</f>
        <v/>
      </c>
      <c r="AB18" s="3">
        <f>IF($B18="","",INDEX(Anuncios!$CG$2:$CG$130,$B18))</f>
        <v/>
      </c>
      <c r="AC18" s="3">
        <f>IF($B18="","",INDEX(Anuncios!$CH$2:$CH$130,$B18))</f>
        <v/>
      </c>
      <c r="AD18" s="3">
        <f>IF($B18="","",INDEX(Anuncios!$CN$2:$CN$130,$B18))</f>
        <v/>
      </c>
      <c r="AE18" s="3">
        <f>IF($B18="","",INDEX(Anuncios!$CP$2:$CP$130,$B18))</f>
        <v/>
      </c>
      <c r="AF18" s="3">
        <f>IF($B18="","",INDEX(Anuncios!$CI$2:$CI$130,$B18))</f>
        <v/>
      </c>
      <c r="AG18" s="3">
        <f>IF($B18="","",INDEX(Anuncios!$CQ$2:$CQ$130,$B18))</f>
        <v/>
      </c>
      <c r="AH18" s="3">
        <f>IF($B18="","",INDEX(Anuncios!$AW$2:$AW$130,$B18))</f>
        <v/>
      </c>
      <c r="AI18" s="3">
        <f>IF($B18="","",INDEX(Anuncios!$CS$2:$CS$130,$B18))</f>
        <v/>
      </c>
      <c r="AJ18" s="3">
        <f>IF($B18="","",INDEX(Anuncios!$BB$2:$BB$130,$B18))</f>
        <v/>
      </c>
      <c r="AK18" s="3">
        <f>IF($B18="","",Z18*W_FIAB)</f>
        <v/>
      </c>
      <c r="AL18" s="3">
        <f>IF($B18="","",AA18*W_PRECIO)</f>
        <v/>
      </c>
      <c r="AM18" s="3">
        <f>IF($B18="","",AB18*W_KMEDAD)</f>
        <v/>
      </c>
      <c r="AN18" s="3">
        <f>IF($B18="","",AC18*W_ANUNCIO)</f>
        <v/>
      </c>
      <c r="AO18" s="3">
        <f>IF($B18="","",AD18*W_USO)</f>
        <v/>
      </c>
      <c r="AP18" s="3">
        <f>IF($B18="","",AE18*W_SEGURIDAD)</f>
        <v/>
      </c>
      <c r="AQ18" s="3">
        <f>IF($B18="","",AF18*W_ETIQUETA)</f>
        <v/>
      </c>
      <c r="AR18" s="3">
        <f>IF($B18="","",AG18*W_ESTILO)</f>
        <v/>
      </c>
    </row>
    <row r="19">
      <c r="A19" s="2" t="n">
        <v>18</v>
      </c>
      <c r="B19" s="3">
        <f>IFERROR(MATCH(A19,Anuncios!$DB$2:$DB$130,0),"")</f>
        <v/>
      </c>
      <c r="C19" s="3">
        <f>IF(B19="","",HYPERLINK(INDEX(Anuncios!$C$2:$C$130,B19),"Abrir anuncio"))</f>
        <v/>
      </c>
      <c r="D19" s="3">
        <f>IF($B19="","",INDEX(Anuncios!$D$2:$D$130,$B19))</f>
        <v/>
      </c>
      <c r="E19" s="3">
        <f>IF($B19="","",INDEX(Anuncios!$B$2:$B$130,$B19))</f>
        <v/>
      </c>
      <c r="F19" s="3">
        <f>IF($B19="","",INDEX(Anuncios!$E$2:$E$130,$B19))</f>
        <v/>
      </c>
      <c r="G19" s="3">
        <f>IF($B19="","",INDEX(Anuncios!$F$2:$F$130,$B19))</f>
        <v/>
      </c>
      <c r="H19" s="3">
        <f>IF($B19="","",INDEX(Anuncios!$G$2:$G$130,$B19))</f>
        <v/>
      </c>
      <c r="I19" s="3">
        <f>IF($B19="","",INDEX(Anuncios!$K$2:$K$130,$B19))</f>
        <v/>
      </c>
      <c r="J19" s="3">
        <f>IF($B19="","",INDEX(Anuncios!$M$2:$M$130,$B19))</f>
        <v/>
      </c>
      <c r="K19" s="3">
        <f>IF($B19="","",INDEX(Anuncios!$N$2:$N$130,$B19))</f>
        <v/>
      </c>
      <c r="L19" s="3">
        <f>IF($B19="","",INDEX(Anuncios!$Q$2:$Q$130,$B19))</f>
        <v/>
      </c>
      <c r="M19" s="3">
        <f>IF($B19="","",INDEX(Anuncios!$R$2:$R$130,$B19))</f>
        <v/>
      </c>
      <c r="N19" s="3">
        <f>IF($B19="","",INDEX(Anuncios!$O$2:$O$130,$B19))</f>
        <v/>
      </c>
      <c r="O19" s="3">
        <f>IF($B19="","",INDEX(Anuncios!$AJ$2:$AJ$130,$B19))</f>
        <v/>
      </c>
      <c r="P19" s="3">
        <f>IF($B19="","",INDEX(Anuncios!$AI$2:$AI$130,$B19))</f>
        <v/>
      </c>
      <c r="Q19" s="3">
        <f>IF($B19="","",INDEX(Anuncios!$CO$2:$CO$130,$B19))</f>
        <v/>
      </c>
      <c r="R19" s="3">
        <f>IF($B19="","",INDEX(Anuncios!$CV$2:$CV$130,$B19))</f>
        <v/>
      </c>
      <c r="S19" s="3">
        <f>IF($B19="","",INDEX(Anuncios!$CU$2:$CU$130,$B19))</f>
        <v/>
      </c>
      <c r="T19" s="3">
        <f>IF($B19="","",INDEX(Anuncios!$CY$2:$CY$130,$B19))</f>
        <v/>
      </c>
      <c r="U19" s="3">
        <f>IF($B19="","",INDEX(Anuncios!$BM$2:$BM$130,$B19))</f>
        <v/>
      </c>
      <c r="V19" s="3">
        <f>IF($B19="","",INDEX(Anuncios!$BO$2:$BO$130,$B19))</f>
        <v/>
      </c>
      <c r="W19" s="3">
        <f>IF($B19="","",INDEX(Anuncios!$BT$2:$BT$130,$B19))</f>
        <v/>
      </c>
      <c r="X19" s="3">
        <f>IF($B19="","",INDEX(Anuncios!$AS$2:$AS$130,$B19))</f>
        <v/>
      </c>
      <c r="Y19" s="3">
        <f>IF($B19="","",INDEX(Anuncios!$BU$2:$BU$130,$B19))</f>
        <v/>
      </c>
      <c r="Z19" s="3">
        <f>IF($B19="","",INDEX(Anuncios!$CA$2:$CA$130,$B19))</f>
        <v/>
      </c>
      <c r="AA19" s="3">
        <f>IF($B19="","",INDEX(Anuncios!$CC$2:$CC$130,$B19))</f>
        <v/>
      </c>
      <c r="AB19" s="3">
        <f>IF($B19="","",INDEX(Anuncios!$CG$2:$CG$130,$B19))</f>
        <v/>
      </c>
      <c r="AC19" s="3">
        <f>IF($B19="","",INDEX(Anuncios!$CH$2:$CH$130,$B19))</f>
        <v/>
      </c>
      <c r="AD19" s="3">
        <f>IF($B19="","",INDEX(Anuncios!$CN$2:$CN$130,$B19))</f>
        <v/>
      </c>
      <c r="AE19" s="3">
        <f>IF($B19="","",INDEX(Anuncios!$CP$2:$CP$130,$B19))</f>
        <v/>
      </c>
      <c r="AF19" s="3">
        <f>IF($B19="","",INDEX(Anuncios!$CI$2:$CI$130,$B19))</f>
        <v/>
      </c>
      <c r="AG19" s="3">
        <f>IF($B19="","",INDEX(Anuncios!$CQ$2:$CQ$130,$B19))</f>
        <v/>
      </c>
      <c r="AH19" s="3">
        <f>IF($B19="","",INDEX(Anuncios!$AW$2:$AW$130,$B19))</f>
        <v/>
      </c>
      <c r="AI19" s="3">
        <f>IF($B19="","",INDEX(Anuncios!$CS$2:$CS$130,$B19))</f>
        <v/>
      </c>
      <c r="AJ19" s="3">
        <f>IF($B19="","",INDEX(Anuncios!$BB$2:$BB$130,$B19))</f>
        <v/>
      </c>
      <c r="AK19" s="3">
        <f>IF($B19="","",Z19*W_FIAB)</f>
        <v/>
      </c>
      <c r="AL19" s="3">
        <f>IF($B19="","",AA19*W_PRECIO)</f>
        <v/>
      </c>
      <c r="AM19" s="3">
        <f>IF($B19="","",AB19*W_KMEDAD)</f>
        <v/>
      </c>
      <c r="AN19" s="3">
        <f>IF($B19="","",AC19*W_ANUNCIO)</f>
        <v/>
      </c>
      <c r="AO19" s="3">
        <f>IF($B19="","",AD19*W_USO)</f>
        <v/>
      </c>
      <c r="AP19" s="3">
        <f>IF($B19="","",AE19*W_SEGURIDAD)</f>
        <v/>
      </c>
      <c r="AQ19" s="3">
        <f>IF($B19="","",AF19*W_ETIQUETA)</f>
        <v/>
      </c>
      <c r="AR19" s="3">
        <f>IF($B19="","",AG19*W_ESTILO)</f>
        <v/>
      </c>
    </row>
    <row r="20">
      <c r="A20" s="2" t="n">
        <v>19</v>
      </c>
      <c r="B20" s="3">
        <f>IFERROR(MATCH(A20,Anuncios!$DB$2:$DB$130,0),"")</f>
        <v/>
      </c>
      <c r="C20" s="3">
        <f>IF(B20="","",HYPERLINK(INDEX(Anuncios!$C$2:$C$130,B20),"Abrir anuncio"))</f>
        <v/>
      </c>
      <c r="D20" s="3">
        <f>IF($B20="","",INDEX(Anuncios!$D$2:$D$130,$B20))</f>
        <v/>
      </c>
      <c r="E20" s="3">
        <f>IF($B20="","",INDEX(Anuncios!$B$2:$B$130,$B20))</f>
        <v/>
      </c>
      <c r="F20" s="3">
        <f>IF($B20="","",INDEX(Anuncios!$E$2:$E$130,$B20))</f>
        <v/>
      </c>
      <c r="G20" s="3">
        <f>IF($B20="","",INDEX(Anuncios!$F$2:$F$130,$B20))</f>
        <v/>
      </c>
      <c r="H20" s="3">
        <f>IF($B20="","",INDEX(Anuncios!$G$2:$G$130,$B20))</f>
        <v/>
      </c>
      <c r="I20" s="3">
        <f>IF($B20="","",INDEX(Anuncios!$K$2:$K$130,$B20))</f>
        <v/>
      </c>
      <c r="J20" s="3">
        <f>IF($B20="","",INDEX(Anuncios!$M$2:$M$130,$B20))</f>
        <v/>
      </c>
      <c r="K20" s="3">
        <f>IF($B20="","",INDEX(Anuncios!$N$2:$N$130,$B20))</f>
        <v/>
      </c>
      <c r="L20" s="3">
        <f>IF($B20="","",INDEX(Anuncios!$Q$2:$Q$130,$B20))</f>
        <v/>
      </c>
      <c r="M20" s="3">
        <f>IF($B20="","",INDEX(Anuncios!$R$2:$R$130,$B20))</f>
        <v/>
      </c>
      <c r="N20" s="3">
        <f>IF($B20="","",INDEX(Anuncios!$O$2:$O$130,$B20))</f>
        <v/>
      </c>
      <c r="O20" s="3">
        <f>IF($B20="","",INDEX(Anuncios!$AJ$2:$AJ$130,$B20))</f>
        <v/>
      </c>
      <c r="P20" s="3">
        <f>IF($B20="","",INDEX(Anuncios!$AI$2:$AI$130,$B20))</f>
        <v/>
      </c>
      <c r="Q20" s="3">
        <f>IF($B20="","",INDEX(Anuncios!$CO$2:$CO$130,$B20))</f>
        <v/>
      </c>
      <c r="R20" s="3">
        <f>IF($B20="","",INDEX(Anuncios!$CV$2:$CV$130,$B20))</f>
        <v/>
      </c>
      <c r="S20" s="3">
        <f>IF($B20="","",INDEX(Anuncios!$CU$2:$CU$130,$B20))</f>
        <v/>
      </c>
      <c r="T20" s="3">
        <f>IF($B20="","",INDEX(Anuncios!$CY$2:$CY$130,$B20))</f>
        <v/>
      </c>
      <c r="U20" s="3">
        <f>IF($B20="","",INDEX(Anuncios!$BM$2:$BM$130,$B20))</f>
        <v/>
      </c>
      <c r="V20" s="3">
        <f>IF($B20="","",INDEX(Anuncios!$BO$2:$BO$130,$B20))</f>
        <v/>
      </c>
      <c r="W20" s="3">
        <f>IF($B20="","",INDEX(Anuncios!$BT$2:$BT$130,$B20))</f>
        <v/>
      </c>
      <c r="X20" s="3">
        <f>IF($B20="","",INDEX(Anuncios!$AS$2:$AS$130,$B20))</f>
        <v/>
      </c>
      <c r="Y20" s="3">
        <f>IF($B20="","",INDEX(Anuncios!$BU$2:$BU$130,$B20))</f>
        <v/>
      </c>
      <c r="Z20" s="3">
        <f>IF($B20="","",INDEX(Anuncios!$CA$2:$CA$130,$B20))</f>
        <v/>
      </c>
      <c r="AA20" s="3">
        <f>IF($B20="","",INDEX(Anuncios!$CC$2:$CC$130,$B20))</f>
        <v/>
      </c>
      <c r="AB20" s="3">
        <f>IF($B20="","",INDEX(Anuncios!$CG$2:$CG$130,$B20))</f>
        <v/>
      </c>
      <c r="AC20" s="3">
        <f>IF($B20="","",INDEX(Anuncios!$CH$2:$CH$130,$B20))</f>
        <v/>
      </c>
      <c r="AD20" s="3">
        <f>IF($B20="","",INDEX(Anuncios!$CN$2:$CN$130,$B20))</f>
        <v/>
      </c>
      <c r="AE20" s="3">
        <f>IF($B20="","",INDEX(Anuncios!$CP$2:$CP$130,$B20))</f>
        <v/>
      </c>
      <c r="AF20" s="3">
        <f>IF($B20="","",INDEX(Anuncios!$CI$2:$CI$130,$B20))</f>
        <v/>
      </c>
      <c r="AG20" s="3">
        <f>IF($B20="","",INDEX(Anuncios!$CQ$2:$CQ$130,$B20))</f>
        <v/>
      </c>
      <c r="AH20" s="3">
        <f>IF($B20="","",INDEX(Anuncios!$AW$2:$AW$130,$B20))</f>
        <v/>
      </c>
      <c r="AI20" s="3">
        <f>IF($B20="","",INDEX(Anuncios!$CS$2:$CS$130,$B20))</f>
        <v/>
      </c>
      <c r="AJ20" s="3">
        <f>IF($B20="","",INDEX(Anuncios!$BB$2:$BB$130,$B20))</f>
        <v/>
      </c>
      <c r="AK20" s="3">
        <f>IF($B20="","",Z20*W_FIAB)</f>
        <v/>
      </c>
      <c r="AL20" s="3">
        <f>IF($B20="","",AA20*W_PRECIO)</f>
        <v/>
      </c>
      <c r="AM20" s="3">
        <f>IF($B20="","",AB20*W_KMEDAD)</f>
        <v/>
      </c>
      <c r="AN20" s="3">
        <f>IF($B20="","",AC20*W_ANUNCIO)</f>
        <v/>
      </c>
      <c r="AO20" s="3">
        <f>IF($B20="","",AD20*W_USO)</f>
        <v/>
      </c>
      <c r="AP20" s="3">
        <f>IF($B20="","",AE20*W_SEGURIDAD)</f>
        <v/>
      </c>
      <c r="AQ20" s="3">
        <f>IF($B20="","",AF20*W_ETIQUETA)</f>
        <v/>
      </c>
      <c r="AR20" s="3">
        <f>IF($B20="","",AG20*W_ESTILO)</f>
        <v/>
      </c>
    </row>
    <row r="21">
      <c r="A21" s="2" t="n">
        <v>20</v>
      </c>
      <c r="B21" s="3">
        <f>IFERROR(MATCH(A21,Anuncios!$DB$2:$DB$130,0),"")</f>
        <v/>
      </c>
      <c r="C21" s="3">
        <f>IF(B21="","",HYPERLINK(INDEX(Anuncios!$C$2:$C$130,B21),"Abrir anuncio"))</f>
        <v/>
      </c>
      <c r="D21" s="3">
        <f>IF($B21="","",INDEX(Anuncios!$D$2:$D$130,$B21))</f>
        <v/>
      </c>
      <c r="E21" s="3">
        <f>IF($B21="","",INDEX(Anuncios!$B$2:$B$130,$B21))</f>
        <v/>
      </c>
      <c r="F21" s="3">
        <f>IF($B21="","",INDEX(Anuncios!$E$2:$E$130,$B21))</f>
        <v/>
      </c>
      <c r="G21" s="3">
        <f>IF($B21="","",INDEX(Anuncios!$F$2:$F$130,$B21))</f>
        <v/>
      </c>
      <c r="H21" s="3">
        <f>IF($B21="","",INDEX(Anuncios!$G$2:$G$130,$B21))</f>
        <v/>
      </c>
      <c r="I21" s="3">
        <f>IF($B21="","",INDEX(Anuncios!$K$2:$K$130,$B21))</f>
        <v/>
      </c>
      <c r="J21" s="3">
        <f>IF($B21="","",INDEX(Anuncios!$M$2:$M$130,$B21))</f>
        <v/>
      </c>
      <c r="K21" s="3">
        <f>IF($B21="","",INDEX(Anuncios!$N$2:$N$130,$B21))</f>
        <v/>
      </c>
      <c r="L21" s="3">
        <f>IF($B21="","",INDEX(Anuncios!$Q$2:$Q$130,$B21))</f>
        <v/>
      </c>
      <c r="M21" s="3">
        <f>IF($B21="","",INDEX(Anuncios!$R$2:$R$130,$B21))</f>
        <v/>
      </c>
      <c r="N21" s="3">
        <f>IF($B21="","",INDEX(Anuncios!$O$2:$O$130,$B21))</f>
        <v/>
      </c>
      <c r="O21" s="3">
        <f>IF($B21="","",INDEX(Anuncios!$AJ$2:$AJ$130,$B21))</f>
        <v/>
      </c>
      <c r="P21" s="3">
        <f>IF($B21="","",INDEX(Anuncios!$AI$2:$AI$130,$B21))</f>
        <v/>
      </c>
      <c r="Q21" s="3">
        <f>IF($B21="","",INDEX(Anuncios!$CO$2:$CO$130,$B21))</f>
        <v/>
      </c>
      <c r="R21" s="3">
        <f>IF($B21="","",INDEX(Anuncios!$CV$2:$CV$130,$B21))</f>
        <v/>
      </c>
      <c r="S21" s="3">
        <f>IF($B21="","",INDEX(Anuncios!$CU$2:$CU$130,$B21))</f>
        <v/>
      </c>
      <c r="T21" s="3">
        <f>IF($B21="","",INDEX(Anuncios!$CY$2:$CY$130,$B21))</f>
        <v/>
      </c>
      <c r="U21" s="3">
        <f>IF($B21="","",INDEX(Anuncios!$BM$2:$BM$130,$B21))</f>
        <v/>
      </c>
      <c r="V21" s="3">
        <f>IF($B21="","",INDEX(Anuncios!$BO$2:$BO$130,$B21))</f>
        <v/>
      </c>
      <c r="W21" s="3">
        <f>IF($B21="","",INDEX(Anuncios!$BT$2:$BT$130,$B21))</f>
        <v/>
      </c>
      <c r="X21" s="3">
        <f>IF($B21="","",INDEX(Anuncios!$AS$2:$AS$130,$B21))</f>
        <v/>
      </c>
      <c r="Y21" s="3">
        <f>IF($B21="","",INDEX(Anuncios!$BU$2:$BU$130,$B21))</f>
        <v/>
      </c>
      <c r="Z21" s="3">
        <f>IF($B21="","",INDEX(Anuncios!$CA$2:$CA$130,$B21))</f>
        <v/>
      </c>
      <c r="AA21" s="3">
        <f>IF($B21="","",INDEX(Anuncios!$CC$2:$CC$130,$B21))</f>
        <v/>
      </c>
      <c r="AB21" s="3">
        <f>IF($B21="","",INDEX(Anuncios!$CG$2:$CG$130,$B21))</f>
        <v/>
      </c>
      <c r="AC21" s="3">
        <f>IF($B21="","",INDEX(Anuncios!$CH$2:$CH$130,$B21))</f>
        <v/>
      </c>
      <c r="AD21" s="3">
        <f>IF($B21="","",INDEX(Anuncios!$CN$2:$CN$130,$B21))</f>
        <v/>
      </c>
      <c r="AE21" s="3">
        <f>IF($B21="","",INDEX(Anuncios!$CP$2:$CP$130,$B21))</f>
        <v/>
      </c>
      <c r="AF21" s="3">
        <f>IF($B21="","",INDEX(Anuncios!$CI$2:$CI$130,$B21))</f>
        <v/>
      </c>
      <c r="AG21" s="3">
        <f>IF($B21="","",INDEX(Anuncios!$CQ$2:$CQ$130,$B21))</f>
        <v/>
      </c>
      <c r="AH21" s="3">
        <f>IF($B21="","",INDEX(Anuncios!$AW$2:$AW$130,$B21))</f>
        <v/>
      </c>
      <c r="AI21" s="3">
        <f>IF($B21="","",INDEX(Anuncios!$CS$2:$CS$130,$B21))</f>
        <v/>
      </c>
      <c r="AJ21" s="3">
        <f>IF($B21="","",INDEX(Anuncios!$BB$2:$BB$130,$B21))</f>
        <v/>
      </c>
      <c r="AK21" s="3">
        <f>IF($B21="","",Z21*W_FIAB)</f>
        <v/>
      </c>
      <c r="AL21" s="3">
        <f>IF($B21="","",AA21*W_PRECIO)</f>
        <v/>
      </c>
      <c r="AM21" s="3">
        <f>IF($B21="","",AB21*W_KMEDAD)</f>
        <v/>
      </c>
      <c r="AN21" s="3">
        <f>IF($B21="","",AC21*W_ANUNCIO)</f>
        <v/>
      </c>
      <c r="AO21" s="3">
        <f>IF($B21="","",AD21*W_USO)</f>
        <v/>
      </c>
      <c r="AP21" s="3">
        <f>IF($B21="","",AE21*W_SEGURIDAD)</f>
        <v/>
      </c>
      <c r="AQ21" s="3">
        <f>IF($B21="","",AF21*W_ETIQUETA)</f>
        <v/>
      </c>
      <c r="AR21" s="3">
        <f>IF($B21="","",AG21*W_ESTILO)</f>
        <v/>
      </c>
    </row>
    <row r="23">
      <c r="A23" s="5" t="inlineStr">
        <is>
          <t>Todo se calcula con fórmulas a partir de 'Anuncios' (verde) y 'Supuestos'. Aportación = puntuación del criterio × peso. Suma de aportaciones = PUNTUACIÓN.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74"/>
  <sheetViews>
    <sheetView workbookViewId="0">
      <selection activeCell="A1" sqref="A1"/>
    </sheetView>
  </sheetViews>
  <sheetFormatPr baseColWidth="8" defaultRowHeight="15"/>
  <cols>
    <col width="44" customWidth="1" min="1" max="1"/>
    <col width="18" customWidth="1" min="2" max="2"/>
    <col width="22" customWidth="1" min="3" max="3"/>
    <col width="22" customWidth="1" min="4" max="4"/>
    <col width="18" customWidth="1" min="5" max="5"/>
    <col width="40" customWidth="1" min="6" max="6"/>
    <col width="40" customWidth="1" min="7" max="7"/>
    <col width="14" customWidth="1" min="8" max="8"/>
    <col width="12" customWidth="1" min="9" max="9"/>
    <col width="30" customWidth="1" min="10" max="10"/>
    <col width="60" customWidth="1" min="11" max="11"/>
  </cols>
  <sheetData>
    <row r="1">
      <c r="A1" s="6" t="inlineStr">
        <is>
          <t>Supuestos: pesos, parámetros, fiscalidad y fiabilidad (cada dato con su estado y fuente)</t>
        </is>
      </c>
    </row>
    <row r="2">
      <c r="A2" t="inlineStr">
        <is>
          <t>Azul = dato introducido/fuente externa · Negro = calculado en esta hoja · Verde = viene de otra hoja. Estado: confirmado / probable (verificar en la fuente) / PENDIENTE (no se usa como cierto).</t>
        </is>
      </c>
    </row>
    <row r="5">
      <c r="A5" s="6" t="inlineStr">
        <is>
          <t>1. Pesos del scoring (deben sumar 1)</t>
        </is>
      </c>
    </row>
    <row r="6">
      <c r="A6" s="7" t="inlineStr">
        <is>
          <t>Criterio</t>
        </is>
      </c>
      <c r="B6" s="7" t="inlineStr">
        <is>
          <t>Peso</t>
        </is>
      </c>
      <c r="C6" s="7" t="inlineStr">
        <is>
          <t>Estado</t>
        </is>
      </c>
      <c r="D6" s="7" t="inlineStr">
        <is>
          <t>Fuente</t>
        </is>
      </c>
    </row>
    <row r="7">
      <c r="A7" t="inlineStr">
        <is>
          <t>Fiabilidad modelo/motor</t>
        </is>
      </c>
      <c r="B7" s="2" t="n">
        <v>0.26</v>
      </c>
      <c r="C7" t="inlineStr">
        <is>
          <t>criterio (config.yaml)</t>
        </is>
      </c>
      <c r="D7" t="inlineStr">
        <is>
          <t>config.yaml</t>
        </is>
      </c>
    </row>
    <row r="8">
      <c r="A8" t="inlineStr">
        <is>
          <t>Precio frente al mercado</t>
        </is>
      </c>
      <c r="B8" s="2" t="n">
        <v>0.22</v>
      </c>
      <c r="C8" t="inlineStr">
        <is>
          <t>criterio (config.yaml)</t>
        </is>
      </c>
      <c r="D8" t="inlineStr">
        <is>
          <t>config.yaml</t>
        </is>
      </c>
    </row>
    <row r="9">
      <c r="A9" t="inlineStr">
        <is>
          <t>Km y edad</t>
        </is>
      </c>
      <c r="B9" s="2" t="n">
        <v>0.11</v>
      </c>
      <c r="C9" t="inlineStr">
        <is>
          <t>criterio (config.yaml)</t>
        </is>
      </c>
      <c r="D9" t="inlineStr">
        <is>
          <t>config.yaml</t>
        </is>
      </c>
    </row>
    <row r="10">
      <c r="A10" t="inlineStr">
        <is>
          <t>Calidad del anuncio / mantenimiento</t>
        </is>
      </c>
      <c r="B10" s="2" t="n">
        <v>0.08</v>
      </c>
      <c r="C10" t="inlineStr">
        <is>
          <t>criterio (config.yaml)</t>
        </is>
      </c>
      <c r="D10" t="inlineStr">
        <is>
          <t>config.yaml</t>
        </is>
      </c>
    </row>
    <row r="11">
      <c r="A11" t="inlineStr">
        <is>
          <t>Coste de uso en Valencia</t>
        </is>
      </c>
      <c r="B11" s="2" t="n">
        <v>0.04</v>
      </c>
      <c r="C11" t="inlineStr">
        <is>
          <t>criterio (config.yaml)</t>
        </is>
      </c>
      <c r="D11" t="inlineStr">
        <is>
          <t>config.yaml</t>
        </is>
      </c>
    </row>
    <row r="12">
      <c r="A12" t="inlineStr">
        <is>
          <t>Seguridad de compra (garantía, km certificados, revisión, devolución, historial)</t>
        </is>
      </c>
      <c r="B12" s="2" t="n">
        <v>0.14</v>
      </c>
      <c r="C12" t="inlineStr">
        <is>
          <t>criterio (config.yaml)</t>
        </is>
      </c>
      <c r="D12" t="inlineStr">
        <is>
          <t>config.yaml: añadido el 31-10-2026; los 5 pesos anteriores × 0,85 redondeados</t>
        </is>
      </c>
    </row>
    <row r="13">
      <c r="A13" t="inlineStr">
        <is>
          <t>Preferencia de estilo (berlinas medianas sobrias)</t>
        </is>
      </c>
      <c r="B13" s="2" t="n">
        <v>0.1</v>
      </c>
      <c r="C13" t="inlineStr">
        <is>
          <t>criterio (config.yaml)</t>
        </is>
      </c>
      <c r="D13" t="inlineStr">
        <is>
          <t>config.yaml: añadido el 01-11-2026; los demás pesos × 0,9 redondeados</t>
        </is>
      </c>
    </row>
    <row r="14">
      <c r="A14" t="inlineStr">
        <is>
          <t>Etiqueta y ZBE</t>
        </is>
      </c>
      <c r="B14" s="2" t="n">
        <v>0.05</v>
      </c>
      <c r="C14" t="inlineStr">
        <is>
          <t>criterio (config.yaml)</t>
        </is>
      </c>
      <c r="D14" t="inlineStr">
        <is>
          <t>config.yaml: añadido el 01-11-2026; sale de Coste de uso (9→5) y 1 punto de fiabilidad y de precio</t>
        </is>
      </c>
    </row>
    <row r="15">
      <c r="A15" t="inlineStr">
        <is>
          <t>Suma de pesos (control)</t>
        </is>
      </c>
      <c r="B15" s="4">
        <f>SUM(B7:B14)</f>
        <v/>
      </c>
      <c r="C15" t="inlineStr">
        <is>
          <t>calculado</t>
        </is>
      </c>
      <c r="D15" t="inlineStr"/>
    </row>
    <row r="17">
      <c r="A17" s="6" t="inlineStr">
        <is>
          <t>2. Parámetros de búsqueda y de puntuación</t>
        </is>
      </c>
    </row>
    <row r="18">
      <c r="A18" s="7" t="inlineStr">
        <is>
          <t>Parámetro</t>
        </is>
      </c>
      <c r="B18" s="7" t="inlineStr">
        <is>
          <t>Valor</t>
        </is>
      </c>
      <c r="C18" s="7" t="inlineStr">
        <is>
          <t>Estado</t>
        </is>
      </c>
      <c r="D18" s="7" t="inlineStr">
        <is>
          <t>Fuente</t>
        </is>
      </c>
    </row>
    <row r="19">
      <c r="A19" t="inlineStr">
        <is>
          <t>Año de referencia</t>
        </is>
      </c>
      <c r="B19" s="2" t="n">
        <v>2026</v>
      </c>
      <c r="C19" t="inlineStr">
        <is>
          <t>dato</t>
        </is>
      </c>
      <c r="D19" t="inlineStr">
        <is>
          <t>fiscal.yaml</t>
        </is>
      </c>
    </row>
    <row r="20">
      <c r="A20" t="inlineStr">
        <is>
          <t>Año mínimo</t>
        </is>
      </c>
      <c r="B20" s="2" t="n">
        <v>2002</v>
      </c>
      <c r="C20" t="inlineStr">
        <is>
          <t>criterio (config.yaml)</t>
        </is>
      </c>
      <c r="D20" t="inlineStr">
        <is>
          <t>config.yaml</t>
        </is>
      </c>
    </row>
    <row r="21">
      <c r="A21" t="inlineStr">
        <is>
          <t>Km máximos</t>
        </is>
      </c>
      <c r="B21" s="2" t="n">
        <v>220000</v>
      </c>
      <c r="C21" t="inlineStr">
        <is>
          <t>criterio (config.yaml)</t>
        </is>
      </c>
      <c r="D21" t="inlineStr">
        <is>
          <t>config.yaml</t>
        </is>
      </c>
    </row>
    <row r="22">
      <c r="A22" t="inlineStr">
        <is>
          <t>Precio anuncio máximo (€)</t>
        </is>
      </c>
      <c r="B22" s="2" t="n">
        <v>5200</v>
      </c>
      <c r="C22" t="inlineStr">
        <is>
          <t>criterio (config.yaml)</t>
        </is>
      </c>
      <c r="D22" t="inlineStr">
        <is>
          <t>config.yaml</t>
        </is>
      </c>
    </row>
    <row r="23">
      <c r="A23" t="inlineStr">
        <is>
          <t>Coste total máximo (€)</t>
        </is>
      </c>
      <c r="B23" s="2" t="n">
        <v>5000</v>
      </c>
      <c r="C23" t="inlineStr">
        <is>
          <t>criterio (config.yaml)</t>
        </is>
      </c>
      <c r="D23" t="inlineStr">
        <is>
          <t>config.yaml</t>
        </is>
      </c>
    </row>
    <row r="24">
      <c r="A24" t="inlineStr">
        <is>
          <t>Margen de negociación sobre el coste total (€): entra marcado 'negociar'</t>
        </is>
      </c>
      <c r="B24" s="2" t="n">
        <v>300</v>
      </c>
      <c r="C24" t="inlineStr">
        <is>
          <t>criterio (config.yaml)</t>
        </is>
      </c>
      <c r="D24" t="inlineStr">
        <is>
          <t>config.yaml</t>
        </is>
      </c>
    </row>
    <row r="25">
      <c r="A25" t="inlineStr">
        <is>
          <t>Tramo de años para mediana</t>
        </is>
      </c>
      <c r="B25" s="2" t="n">
        <v>3</v>
      </c>
      <c r="C25" t="inlineStr">
        <is>
          <t>criterio (config.yaml)</t>
        </is>
      </c>
      <c r="D25" t="inlineStr">
        <is>
          <t>config.yaml</t>
        </is>
      </c>
    </row>
    <row r="26">
      <c r="A26" t="inlineStr">
        <is>
          <t>Tramo de km para mediana</t>
        </is>
      </c>
      <c r="B26" s="2" t="n">
        <v>50000</v>
      </c>
      <c r="C26" t="inlineStr">
        <is>
          <t>criterio (config.yaml)</t>
        </is>
      </c>
      <c r="D26" t="inlineStr">
        <is>
          <t>config.yaml</t>
        </is>
      </c>
    </row>
    <row r="27">
      <c r="A27" t="inlineStr">
        <is>
          <t>Mín. anuncios por segmento (si no, se sube de nivel)</t>
        </is>
      </c>
      <c r="B27" s="2" t="n">
        <v>4</v>
      </c>
      <c r="C27" t="inlineStr">
        <is>
          <t>criterio (config.yaml)</t>
        </is>
      </c>
      <c r="D27" t="inlineStr">
        <is>
          <t>config.yaml</t>
        </is>
      </c>
    </row>
    <row r="28">
      <c r="A28" t="inlineStr">
        <is>
          <t>Puntos por unidad de descuento (50 + desc·k)</t>
        </is>
      </c>
      <c r="B28" s="2" t="n">
        <v>250</v>
      </c>
      <c r="C28" t="inlineStr">
        <is>
          <t>criterio (config.yaml)</t>
        </is>
      </c>
      <c r="D28" t="inlineStr">
        <is>
          <t>config.yaml</t>
        </is>
      </c>
    </row>
    <row r="29">
      <c r="A29" t="inlineStr">
        <is>
          <t>Precio: km a partir de los que la nota tiene tope decreciente</t>
        </is>
      </c>
      <c r="B29" s="2" t="n">
        <v>180000</v>
      </c>
      <c r="C29" t="inlineStr">
        <is>
          <t>criterio (config.yaml)</t>
        </is>
      </c>
      <c r="D29" t="inlineStr">
        <is>
          <t>config.yaml</t>
        </is>
      </c>
    </row>
    <row r="30">
      <c r="A30" t="inlineStr">
        <is>
          <t>Precio: puntos de tope perdidos por cada 1.000 km por encima</t>
        </is>
      </c>
      <c r="B30" s="2" t="n">
        <v>2</v>
      </c>
      <c r="C30" t="inlineStr">
        <is>
          <t>criterio (config.yaml)</t>
        </is>
      </c>
      <c r="D30" t="inlineStr">
        <is>
          <t>config.yaml</t>
        </is>
      </c>
    </row>
    <row r="31">
      <c r="A31" t="inlineStr">
        <is>
          <t>Fiabilidad: puntos menos por caja robotizada (Easytronic/MTA, Dualogic, MMT, 2-Tronic/ETG…)</t>
        </is>
      </c>
      <c r="B31" s="2" t="n">
        <v>10</v>
      </c>
      <c r="C31" t="inlineStr">
        <is>
          <t>criterio sin fuente seria de fiabilidad (no hay datos ADAC/TÜV/OCU por tipo de caja)</t>
        </is>
      </c>
      <c r="D31" t="inlineStr">
        <is>
          <t>km77 sobre la mala fama de las cajas robotizadas por lentitud, imprecisión y brusquedad (no es un dato de averías): https://www.km77.com/revista/?p=14315</t>
        </is>
      </c>
    </row>
    <row r="32">
      <c r="A32" t="inlineStr">
        <is>
          <t>Km/año ideal máximo (100 puntos hasta aquí)</t>
        </is>
      </c>
      <c r="B32" s="2" t="n">
        <v>18000</v>
      </c>
      <c r="C32" t="inlineStr">
        <is>
          <t>criterio (config.yaml)</t>
        </is>
      </c>
      <c r="D32" t="inlineStr">
        <is>
          <t>config.yaml</t>
        </is>
      </c>
    </row>
    <row r="33">
      <c r="A33" t="inlineStr">
        <is>
          <t>Km/año con 0 puntos</t>
        </is>
      </c>
      <c r="B33" s="2" t="n">
        <v>35000</v>
      </c>
      <c r="C33" t="inlineStr">
        <is>
          <t>criterio (config.yaml)</t>
        </is>
      </c>
      <c r="D33" t="inlineStr">
        <is>
          <t>config.yaml</t>
        </is>
      </c>
    </row>
    <row r="34">
      <c r="A34" t="inlineStr">
        <is>
          <t>Km/año sospechosamente bajo</t>
        </is>
      </c>
      <c r="B34" s="2" t="n">
        <v>4000</v>
      </c>
      <c r="C34" t="inlineStr">
        <is>
          <t>criterio (config.yaml)</t>
        </is>
      </c>
      <c r="D34" t="inlineStr">
        <is>
          <t>config.yaml</t>
        </is>
      </c>
    </row>
    <row r="35">
      <c r="A35" t="inlineStr">
        <is>
          <t>Puntos km/año si es sospechoso y no justificado</t>
        </is>
      </c>
      <c r="B35" s="2" t="n">
        <v>40</v>
      </c>
      <c r="C35" t="inlineStr">
        <is>
          <t>criterio (config.yaml)</t>
        </is>
      </c>
      <c r="D35" t="inlineStr">
        <is>
          <t>config.yaml</t>
        </is>
      </c>
    </row>
    <row r="36">
      <c r="A36" t="inlineStr">
        <is>
          <t>Peso km totales dentro de Km y edad</t>
        </is>
      </c>
      <c r="B36" s="2" t="n">
        <v>0.4</v>
      </c>
      <c r="C36" t="inlineStr">
        <is>
          <t>criterio (config.yaml)</t>
        </is>
      </c>
      <c r="D36" t="inlineStr">
        <is>
          <t>config.yaml</t>
        </is>
      </c>
    </row>
    <row r="37">
      <c r="A37" t="inlineStr">
        <is>
          <t>Peso km/año dentro de Km y edad</t>
        </is>
      </c>
      <c r="B37" s="2" t="n">
        <v>0.3</v>
      </c>
      <c r="C37" t="inlineStr">
        <is>
          <t>criterio (config.yaml)</t>
        </is>
      </c>
      <c r="D37" t="inlineStr">
        <is>
          <t>config.yaml</t>
        </is>
      </c>
    </row>
    <row r="38">
      <c r="A38" t="inlineStr">
        <is>
          <t>Peso edad dentro de Km y edad</t>
        </is>
      </c>
      <c r="B38" s="2" t="n">
        <v>0.3</v>
      </c>
      <c r="C38" t="inlineStr">
        <is>
          <t>criterio (config.yaml)</t>
        </is>
      </c>
      <c r="D38" t="inlineStr">
        <is>
          <t>config.yaml</t>
        </is>
      </c>
    </row>
    <row r="39">
      <c r="A39" t="inlineStr">
        <is>
          <t>Puntos: ITV en vigor</t>
        </is>
      </c>
      <c r="B39" s="2" t="n">
        <v>20</v>
      </c>
      <c r="C39" t="inlineStr">
        <is>
          <t>criterio (config.yaml)</t>
        </is>
      </c>
      <c r="D39" t="inlineStr">
        <is>
          <t>config.yaml</t>
        </is>
      </c>
    </row>
    <row r="40">
      <c r="A40" t="inlineStr">
        <is>
          <t>Puntos: libro de mantenimiento</t>
        </is>
      </c>
      <c r="B40" s="2" t="n">
        <v>25</v>
      </c>
      <c r="C40" t="inlineStr">
        <is>
          <t>criterio (config.yaml)</t>
        </is>
      </c>
      <c r="D40" t="inlineStr">
        <is>
          <t>config.yaml</t>
        </is>
      </c>
    </row>
    <row r="41">
      <c r="A41" t="inlineStr">
        <is>
          <t>Puntos: correa/distribución cambiada</t>
        </is>
      </c>
      <c r="B41" s="2" t="n">
        <v>25</v>
      </c>
      <c r="C41" t="inlineStr">
        <is>
          <t>criterio (config.yaml)</t>
        </is>
      </c>
      <c r="D41" t="inlineStr">
        <is>
          <t>config.yaml</t>
        </is>
      </c>
    </row>
    <row r="42">
      <c r="A42" t="inlineStr">
        <is>
          <t>Puntos: un solo propietario</t>
        </is>
      </c>
      <c r="B42" s="2" t="n">
        <v>15</v>
      </c>
      <c r="C42" t="inlineStr">
        <is>
          <t>criterio (config.yaml)</t>
        </is>
      </c>
      <c r="D42" t="inlineStr">
        <is>
          <t>config.yaml</t>
        </is>
      </c>
    </row>
    <row r="43">
      <c r="A43" t="inlineStr">
        <is>
          <t>Puntos: garantía</t>
        </is>
      </c>
      <c r="B43" s="2" t="n">
        <v>0</v>
      </c>
      <c r="C43" t="inlineStr">
        <is>
          <t>criterio (config.yaml)</t>
        </is>
      </c>
      <c r="D43" t="inlineStr">
        <is>
          <t>config.yaml</t>
        </is>
      </c>
    </row>
    <row r="44">
      <c r="A44" t="inlineStr">
        <is>
          <t>Puntos: fotos (proporcional)</t>
        </is>
      </c>
      <c r="B44" s="2" t="n">
        <v>15</v>
      </c>
      <c r="C44" t="inlineStr">
        <is>
          <t>criterio (config.yaml)</t>
        </is>
      </c>
      <c r="D44" t="inlineStr">
        <is>
          <t>config.yaml</t>
        </is>
      </c>
    </row>
    <row r="45">
      <c r="A45" t="inlineStr">
        <is>
          <t>Fotos para puntuación completa</t>
        </is>
      </c>
      <c r="B45" s="2" t="n">
        <v>10</v>
      </c>
      <c r="C45" t="inlineStr">
        <is>
          <t>criterio (config.yaml)</t>
        </is>
      </c>
      <c r="D45" t="inlineStr">
        <is>
          <t>config.yaml</t>
        </is>
      </c>
    </row>
    <row r="46">
      <c r="A46" t="inlineStr">
        <is>
          <t>Peso etiqueta dentro de Coste de uso</t>
        </is>
      </c>
      <c r="B46" s="2" t="n">
        <v>0</v>
      </c>
      <c r="C46" t="inlineStr">
        <is>
          <t>criterio (config.yaml)</t>
        </is>
      </c>
      <c r="D46" t="inlineStr">
        <is>
          <t>config.yaml</t>
        </is>
      </c>
    </row>
    <row r="47">
      <c r="A47" t="inlineStr">
        <is>
          <t>Peso consumo dentro de Coste de uso</t>
        </is>
      </c>
      <c r="B47" s="2" t="n">
        <v>0.5</v>
      </c>
      <c r="C47" t="inlineStr">
        <is>
          <t>criterio (config.yaml)</t>
        </is>
      </c>
      <c r="D47" t="inlineStr">
        <is>
          <t>config.yaml</t>
        </is>
      </c>
    </row>
    <row r="48">
      <c r="A48" t="inlineStr">
        <is>
          <t>Peso seguro dentro de Coste de uso</t>
        </is>
      </c>
      <c r="B48" s="2" t="n">
        <v>0.5</v>
      </c>
      <c r="C48" t="inlineStr">
        <is>
          <t>criterio (config.yaml)</t>
        </is>
      </c>
      <c r="D48" t="inlineStr">
        <is>
          <t>config.yaml</t>
        </is>
      </c>
    </row>
    <row r="49">
      <c r="A49" t="inlineStr">
        <is>
          <t>Puntuación neutra cuando el dato está PENDIENTE</t>
        </is>
      </c>
      <c r="B49" s="2" t="n">
        <v>50</v>
      </c>
      <c r="C49" t="inlineStr">
        <is>
          <t>criterio (config.yaml)</t>
        </is>
      </c>
      <c r="D49" t="inlineStr">
        <is>
          <t>config.yaml</t>
        </is>
      </c>
    </row>
    <row r="50">
      <c r="A50" t="inlineStr">
        <is>
          <t>Seguridad: puntos por garantía (proporcional a meses)</t>
        </is>
      </c>
      <c r="B50" s="2" t="n">
        <v>35</v>
      </c>
      <c r="C50" t="inlineStr">
        <is>
          <t>criterio (config.yaml)</t>
        </is>
      </c>
      <c r="D50" t="inlineStr">
        <is>
          <t>config.yaml</t>
        </is>
      </c>
    </row>
    <row r="51">
      <c r="A51" t="inlineStr">
        <is>
          <t>Seguridad: meses de garantía para puntuación completa</t>
        </is>
      </c>
      <c r="B51" s="2" t="n">
        <v>24</v>
      </c>
      <c r="C51" t="inlineStr">
        <is>
          <t>criterio (config.yaml)</t>
        </is>
      </c>
      <c r="D51" t="inlineStr">
        <is>
          <t>config.yaml</t>
        </is>
      </c>
    </row>
    <row r="52">
      <c r="A52" t="inlineStr">
        <is>
          <t>Seguridad: puntos si la garantía es ampliable</t>
        </is>
      </c>
      <c r="B52" s="2" t="n">
        <v>10</v>
      </c>
      <c r="C52" t="inlineStr">
        <is>
          <t>criterio (config.yaml)</t>
        </is>
      </c>
      <c r="D52" t="inlineStr">
        <is>
          <t>config.yaml</t>
        </is>
      </c>
    </row>
    <row r="53">
      <c r="A53" t="inlineStr">
        <is>
          <t>Seguridad: puntos por km certificados</t>
        </is>
      </c>
      <c r="B53" s="2" t="n">
        <v>15</v>
      </c>
      <c r="C53" t="inlineStr">
        <is>
          <t>criterio (config.yaml)</t>
        </is>
      </c>
      <c r="D53" t="inlineStr">
        <is>
          <t>config.yaml</t>
        </is>
      </c>
    </row>
    <row r="54">
      <c r="A54" t="inlineStr">
        <is>
          <t>Seguridad: puntos por revisión documentada</t>
        </is>
      </c>
      <c r="B54" s="2" t="n">
        <v>15</v>
      </c>
      <c r="C54" t="inlineStr">
        <is>
          <t>criterio (config.yaml)</t>
        </is>
      </c>
      <c r="D54" t="inlineStr">
        <is>
          <t>config.yaml</t>
        </is>
      </c>
    </row>
    <row r="55">
      <c r="A55" t="inlineStr">
        <is>
          <t>Seguridad: puntos por derecho de devolución (proporcional a días)</t>
        </is>
      </c>
      <c r="B55" s="2" t="n">
        <v>15</v>
      </c>
      <c r="C55" t="inlineStr">
        <is>
          <t>criterio (config.yaml)</t>
        </is>
      </c>
      <c r="D55" t="inlineStr">
        <is>
          <t>config.yaml</t>
        </is>
      </c>
    </row>
    <row r="56">
      <c r="A56" t="inlineStr">
        <is>
          <t>Seguridad: días de devolución para puntuación completa</t>
        </is>
      </c>
      <c r="B56" s="2" t="n">
        <v>15</v>
      </c>
      <c r="C56" t="inlineStr">
        <is>
          <t>criterio (config.yaml)</t>
        </is>
      </c>
      <c r="D56" t="inlineStr">
        <is>
          <t>config.yaml</t>
        </is>
      </c>
    </row>
    <row r="57">
      <c r="A57" t="inlineStr">
        <is>
          <t>Seguridad: puntos por historial/libro de mantenimiento</t>
        </is>
      </c>
      <c r="B57" s="2" t="n">
        <v>10</v>
      </c>
      <c r="C57" t="inlineStr">
        <is>
          <t>criterio (config.yaml)</t>
        </is>
      </c>
      <c r="D57" t="inlineStr">
        <is>
          <t>config.yaml</t>
        </is>
      </c>
    </row>
    <row r="58">
      <c r="A58" t="inlineStr">
        <is>
          <t>Aplicar mínimo legal a profesionales sin garantía declarada (1 = sí)</t>
        </is>
      </c>
      <c r="B58" s="2" t="n">
        <v>1</v>
      </c>
      <c r="C58" t="inlineStr">
        <is>
          <t>criterio (config.yaml)</t>
        </is>
      </c>
      <c r="D58" t="inlineStr">
        <is>
          <t>config.yaml</t>
        </is>
      </c>
    </row>
    <row r="59">
      <c r="A59" t="inlineStr">
        <is>
          <t>Garantía legal mínima en usados de vendedor profesional (meses)</t>
        </is>
      </c>
      <c r="B59" s="2" t="n">
        <v>12</v>
      </c>
      <c r="C59" t="inlineStr">
        <is>
          <t>confirmado</t>
        </is>
      </c>
      <c r="D59" t="inlineStr">
        <is>
          <t>TRLGDCU (RDLeg. 1/2007), art. 120.1, en la redacción del Real Decreto-ley 7/2021, de 27 de abril — https://www.boe.es/buscar/act.php?id=BOE-A-2007-20555</t>
        </is>
      </c>
    </row>
    <row r="61">
      <c r="A61" s="6" t="inlineStr">
        <is>
          <t>3. Coste de compra: ITP (Comunitat Valenciana) y tasas DGT</t>
        </is>
      </c>
    </row>
    <row r="62">
      <c r="A62" s="7" t="inlineStr">
        <is>
          <t>Concepto</t>
        </is>
      </c>
      <c r="B62" s="7" t="inlineStr">
        <is>
          <t>Valor</t>
        </is>
      </c>
      <c r="C62" s="7" t="inlineStr">
        <is>
          <t>Estado</t>
        </is>
      </c>
      <c r="D62" s="7" t="inlineStr">
        <is>
          <t>Fuente</t>
        </is>
      </c>
    </row>
    <row r="63">
      <c r="A63" t="inlineStr">
        <is>
          <t>ITP tipo general (si no aplica cuota fija)</t>
        </is>
      </c>
      <c r="B63" s="2" t="n">
        <v>0.06</v>
      </c>
      <c r="C63" t="inlineStr">
        <is>
          <t>confirmado (cuadro resumen art. 13.Tres Ley 13/1997 en atv.gva.es/es/vehiculos-faq, leído 31-10-2026: 6 % hasta 5 años y &lt;= 2.000 cc)</t>
        </is>
      </c>
      <c r="D63" t="inlineStr">
        <is>
          <t>https://atv.gva.es/es/tarifes-itpajd ; https://atv.gva.es/es/compraventa-de-vehiculos</t>
        </is>
      </c>
    </row>
    <row r="64">
      <c r="A64" t="inlineStr">
        <is>
          <t>Cuota fija solo si valor &lt; (€)</t>
        </is>
      </c>
      <c r="B64" s="2" t="n">
        <v>20000</v>
      </c>
      <c r="C64" t="inlineStr">
        <is>
          <t>confirmado (cuadro resumen de la ATV, https://atv.gva.es/es/vehiculos-faq, leído 31-10-2026)</t>
        </is>
      </c>
      <c r="D64" t="inlineStr">
        <is>
          <t>https://atv.gva.es/es/vehiculos-faq ; Ley 13/1997 consolidada https://www.boe.es/buscar/act.php?id=BOE-A-1998-8202</t>
        </is>
      </c>
    </row>
    <row r="65">
      <c r="A65" t="inlineStr">
        <is>
          <t>Tasa DGT transferencia 1.5 (€)</t>
        </is>
      </c>
      <c r="B65" s="2" t="n">
        <v>55.7</v>
      </c>
      <c r="C65" t="inlineStr">
        <is>
          <t>probable: la sede web DGT indica 55,70 €; el PDF oficial de importes (creado 21-12-2020) da 55,15 €, desactualizado. Se usa el más reciente.</t>
        </is>
      </c>
      <c r="D65" t="inlineStr">
        <is>
          <t>https://sede.dgt.gob.es/es/vehiculos/transferencias-de-vehiculos/</t>
        </is>
      </c>
    </row>
    <row r="66">
      <c r="A66" t="inlineStr">
        <is>
          <t>Informe DGT 4.1 (€)</t>
        </is>
      </c>
      <c r="B66" s="2" t="n">
        <v>8.67</v>
      </c>
      <c r="C66" t="inlineStr">
        <is>
          <t>probable: sede web DGT 8,67 €; el PDF de 2020 da 8,59 € (tasa 4.1)</t>
        </is>
      </c>
      <c r="D66" t="inlineStr">
        <is>
          <t>https://sede.dgt.gob.es/es/vehiculos/informacion-de-vehiculos/informe-de-un-vehiculo/</t>
        </is>
      </c>
    </row>
    <row r="67">
      <c r="A67" t="inlineStr">
        <is>
          <t>Cuota fija: tramo 'más de N años' (alto)</t>
        </is>
      </c>
      <c r="B67" s="2" t="n">
        <v>12</v>
      </c>
      <c r="C67" t="inlineStr">
        <is>
          <t>confirmado (cuadro resumen de la ATV, https://atv.gva.es/es/vehiculos-faq, leído 31-10-2026)</t>
        </is>
      </c>
      <c r="D67" t="inlineStr">
        <is>
          <t>https://atv.gva.es/es/vehiculos-faq ; Ley 13/1997 consolidada https://www.boe.es/buscar/act.php?id=BOE-A-1998-8202</t>
        </is>
      </c>
    </row>
    <row r="68">
      <c r="A68" t="inlineStr">
        <is>
          <t>Cuota fija: tramo 'más de N años' (bajo)</t>
        </is>
      </c>
      <c r="B68" s="2" t="n">
        <v>5</v>
      </c>
      <c r="C68" t="inlineStr">
        <is>
          <t>confirmado (cuadro resumen de la ATV, https://atv.gva.es/es/vehiculos-faq, leído 31-10-2026)</t>
        </is>
      </c>
      <c r="D68" t="inlineStr">
        <is>
          <t>https://atv.gva.es/es/vehiculos-faq ; Ley 13/1997 consolidada https://www.boe.es/buscar/act.php?id=BOE-A-1998-8202</t>
        </is>
      </c>
    </row>
    <row r="69">
      <c r="A69" t="inlineStr">
        <is>
          <t>Vendedor profesional: sin ITP (IVA/REBU incluido); se suman sus gastos de gestión y la tasa DGT solo si esos gastos no incluyen la transferencia o no constan — PENDIENTE de cita oficial (práctica habitual; confirmar en la factura)</t>
        </is>
      </c>
    </row>
    <row r="70">
      <c r="A70" t="inlineStr">
        <is>
          <t>Nota: Ley 5/2025 de 30 de mayo modifica tipos de ITP; parece afectar a inmuebles. Efecto sobre vehículos PENDIENTE de verificar.</t>
        </is>
      </c>
    </row>
    <row r="72">
      <c r="A72" s="8" t="inlineStr">
        <is>
          <t>Tabla de cuotas fijas de ITP</t>
        </is>
      </c>
    </row>
    <row r="73">
      <c r="A73" s="7" t="inlineStr">
        <is>
          <t>Más de (años)</t>
        </is>
      </c>
      <c r="B73" s="7" t="inlineStr">
        <is>
          <t>cc desde</t>
        </is>
      </c>
      <c r="C73" s="7" t="inlineStr">
        <is>
          <t>cc hasta</t>
        </is>
      </c>
      <c r="D73" s="7" t="inlineStr">
        <is>
          <t>Cuota (€)</t>
        </is>
      </c>
      <c r="E73" s="7" t="inlineStr">
        <is>
          <t>Descripción</t>
        </is>
      </c>
      <c r="F73" s="7" t="inlineStr">
        <is>
          <t>Estado</t>
        </is>
      </c>
      <c r="G73" s="7" t="inlineStr">
        <is>
          <t>Fuente</t>
        </is>
      </c>
    </row>
    <row r="74">
      <c r="A74" s="2" t="n">
        <v>12</v>
      </c>
      <c r="B74" s="2" t="n">
        <v>0</v>
      </c>
      <c r="C74" s="2" t="n">
        <v>1500</v>
      </c>
      <c r="D74" s="2" t="n">
        <v>40</v>
      </c>
      <c r="E74" t="inlineStr">
        <is>
          <t>&gt;12 años, hasta 1.500 cc</t>
        </is>
      </c>
      <c r="F74" t="inlineStr">
        <is>
          <t>confirmado (cuadro resumen de la ATV, https://atv.gva.es/es/vehiculos-faq, leído 31-10-2026)</t>
        </is>
      </c>
      <c r="G74" t="inlineStr">
        <is>
          <t>https://atv.gva.es/es/vehiculos-faq ; Ley 13/1997 consolidada https://www.boe.es/buscar/act.php?id=BOE-A-1998-8202</t>
        </is>
      </c>
    </row>
    <row r="75">
      <c r="A75" s="2" t="n">
        <v>12</v>
      </c>
      <c r="B75" s="2" t="n">
        <v>1501</v>
      </c>
      <c r="C75" s="2" t="n">
        <v>2000</v>
      </c>
      <c r="D75" s="2" t="n">
        <v>60</v>
      </c>
      <c r="E75" t="inlineStr">
        <is>
          <t>&gt;12 años, 1.501-2.000 cc</t>
        </is>
      </c>
      <c r="F75" t="inlineStr">
        <is>
          <t>confirmado (cuadro resumen de la ATV, https://atv.gva.es/es/vehiculos-faq, leído 31-10-2026)</t>
        </is>
      </c>
      <c r="G75" t="inlineStr">
        <is>
          <t>https://atv.gva.es/es/vehiculos-faq ; Ley 13/1997 consolidada https://www.boe.es/buscar/act.php?id=BOE-A-1998-8202</t>
        </is>
      </c>
    </row>
    <row r="76">
      <c r="A76" s="2" t="n">
        <v>12</v>
      </c>
      <c r="B76" s="2" t="n">
        <v>2001</v>
      </c>
      <c r="C76" s="2" t="n">
        <v>99999</v>
      </c>
      <c r="D76" s="2" t="n">
        <v>140</v>
      </c>
      <c r="E76" t="inlineStr">
        <is>
          <t>&gt;12 años, más de 2.000 cc</t>
        </is>
      </c>
      <c r="F76" t="inlineStr">
        <is>
          <t>confirmado (cuadro resumen de la ATV, https://atv.gva.es/es/vehiculos-faq, leído 31-10-2026)</t>
        </is>
      </c>
      <c r="G76" t="inlineStr">
        <is>
          <t>https://atv.gva.es/es/vehiculos-faq ; Ley 13/1997 consolidada https://www.boe.es/buscar/act.php?id=BOE-A-1998-8202</t>
        </is>
      </c>
    </row>
    <row r="77">
      <c r="A77" s="2" t="n">
        <v>5</v>
      </c>
      <c r="B77" s="2" t="n">
        <v>0</v>
      </c>
      <c r="C77" s="2" t="n">
        <v>1500</v>
      </c>
      <c r="D77" s="2" t="n">
        <v>120</v>
      </c>
      <c r="E77" t="inlineStr">
        <is>
          <t>&gt;5 y &lt;=12 años, hasta 1.500 cc</t>
        </is>
      </c>
      <c r="F77" t="inlineStr">
        <is>
          <t>confirmado (cuadro resumen de la ATV, https://atv.gva.es/es/vehiculos-faq, leído 31-10-2026)</t>
        </is>
      </c>
      <c r="G77" t="inlineStr">
        <is>
          <t>https://atv.gva.es/es/vehiculos-faq ; Ley 13/1997 consolidada https://www.boe.es/buscar/act.php?id=BOE-A-1998-8202</t>
        </is>
      </c>
    </row>
    <row r="78">
      <c r="A78" s="2" t="n">
        <v>5</v>
      </c>
      <c r="B78" s="2" t="n">
        <v>1501</v>
      </c>
      <c r="C78" s="2" t="n">
        <v>2000</v>
      </c>
      <c r="D78" s="2" t="n">
        <v>180</v>
      </c>
      <c r="E78" t="inlineStr">
        <is>
          <t>&gt;5 y &lt;=12 años, 1.501-2.000 cc</t>
        </is>
      </c>
      <c r="F78" t="inlineStr">
        <is>
          <t>confirmado (cuadro resumen de la ATV, https://atv.gva.es/es/vehiculos-faq, leído 31-10-2026)</t>
        </is>
      </c>
      <c r="G78" t="inlineStr">
        <is>
          <t>https://atv.gva.es/es/vehiculos-faq ; Ley 13/1997 consolidada https://www.boe.es/buscar/act.php?id=BOE-A-1998-8202</t>
        </is>
      </c>
    </row>
    <row r="79">
      <c r="A79" s="2" t="n">
        <v>5</v>
      </c>
      <c r="B79" s="2" t="n">
        <v>2001</v>
      </c>
      <c r="C79" s="2" t="n">
        <v>99999</v>
      </c>
      <c r="D79" s="2" t="n">
        <v>280</v>
      </c>
      <c r="E79" t="inlineStr">
        <is>
          <t>&gt;5 y &lt;=12 años, más de 2.000 cc</t>
        </is>
      </c>
      <c r="F79" t="inlineStr">
        <is>
          <t>confirmado (cuadro resumen de la ATV, https://atv.gva.es/es/vehiculos-faq, leído 31-10-2026)</t>
        </is>
      </c>
      <c r="G79" t="inlineStr">
        <is>
          <t>https://atv.gva.es/es/vehiculos-faq ; Ley 13/1997 consolidada https://www.boe.es/buscar/act.php?id=BOE-A-1998-8202</t>
        </is>
      </c>
    </row>
    <row r="80">
      <c r="A80" t="inlineStr">
        <is>
          <t>cc hasta 99999 = sin límite superior. Cilindrada desconocida -&gt; se usa 99999 (tramo más caro).</t>
        </is>
      </c>
    </row>
    <row r="81">
      <c r="A81" t="inlineStr">
        <is>
          <t>Valores fiscales de Hacienda: Orden HAC/1501/2025, de 17 de diciembre (BOE núm. 308, 23-12-2025), vigente desde 01-01-2026 (https://www.boe.es/diario_boe/txt.php?id=BOE-A-2025-26357). Estado: confirmado (datos de publicación); valores por modelo PENDIENTES (PDF no accesible desde este entorno). Solo afectan a coches de 5 años o menos (tipo porcentual).</t>
        </is>
      </c>
    </row>
    <row r="83">
      <c r="A83" s="6" t="inlineStr">
        <is>
          <t>4. Distintivo ambiental (DGT) y ZBE de València</t>
        </is>
      </c>
    </row>
    <row r="84">
      <c r="A84" t="inlineStr">
        <is>
          <t>Orden de fiabilidad: 1) fichero oficial de la DGT por matrícula; 2) etiqueta publicada en el anuncio; 3) regla por combustible y fecha de primera matriculación. Año frontera sin mes = 'dudosa' (la peor posible).</t>
        </is>
      </c>
    </row>
    <row r="85">
      <c r="A85" s="7" t="inlineStr">
        <is>
          <t>Criterio (fecha de primera matriculación, AAAAMM)</t>
        </is>
      </c>
      <c r="B85" s="7" t="inlineStr">
        <is>
          <t>Valor</t>
        </is>
      </c>
      <c r="C85" s="7" t="inlineStr">
        <is>
          <t>Estado</t>
        </is>
      </c>
      <c r="D85" s="7" t="inlineStr">
        <is>
          <t>Fuente</t>
        </is>
      </c>
    </row>
    <row r="86">
      <c r="A86" t="inlineStr">
        <is>
          <t>Gasolina: B desde (AAAAMM)</t>
        </is>
      </c>
      <c r="B86" s="2" t="n">
        <v>200101</v>
      </c>
      <c r="C86" t="inlineStr">
        <is>
          <t>confirmado</t>
        </is>
      </c>
      <c r="D86" t="inlineStr">
        <is>
          <t>https://www.dgt.es/nuestros-servicios/tu-vehiculo/tus-vehiculos/distintivo-ambiental/ (consultado 2026-10-31 17:20 UTC)</t>
        </is>
      </c>
    </row>
    <row r="87">
      <c r="A87" t="inlineStr">
        <is>
          <t>Gasolina: C desde (AAAAMM)</t>
        </is>
      </c>
      <c r="B87" s="2" t="n">
        <v>200601</v>
      </c>
      <c r="C87" t="inlineStr">
        <is>
          <t>confirmado</t>
        </is>
      </c>
      <c r="D87" t="inlineStr">
        <is>
          <t>https://www.dgt.es/nuestros-servicios/tu-vehiculo/tus-vehiculos/distintivo-ambiental/ (consultado 2026-10-31 17:20 UTC)</t>
        </is>
      </c>
    </row>
    <row r="88">
      <c r="A88" t="inlineStr">
        <is>
          <t>Diésel: B desde (AAAAMM)</t>
        </is>
      </c>
      <c r="B88" s="2" t="n">
        <v>200601</v>
      </c>
      <c r="C88" t="inlineStr">
        <is>
          <t>confirmado</t>
        </is>
      </c>
      <c r="D88" t="inlineStr">
        <is>
          <t>https://www.dgt.es/nuestros-servicios/tu-vehiculo/tus-vehiculos/distintivo-ambiental/ (consultado 2026-10-31 17:20 UTC)</t>
        </is>
      </c>
    </row>
    <row r="89">
      <c r="A89" t="inlineStr">
        <is>
          <t>Diésel: C desde (AAAAMM)</t>
        </is>
      </c>
      <c r="B89" s="2" t="n">
        <v>201509</v>
      </c>
      <c r="C89" t="inlineStr">
        <is>
          <t>confirmado</t>
        </is>
      </c>
      <c r="D89" t="inlineStr">
        <is>
          <t>https://www.dgt.es/nuestros-servicios/tu-vehiculo/tus-vehiculos/distintivo-ambiental/ (consultado 2026-10-31 17:20 UTC)</t>
        </is>
      </c>
    </row>
    <row r="90">
      <c r="A90" t="inlineStr">
        <is>
          <t>Etiqueta CERO (texto DGT)</t>
        </is>
      </c>
      <c r="B90" s="9" t="inlineStr">
        <is>
          <t>eléctricos de batería (BEV), eléctricos de autonomía extendida (REEV), eléctricos híbridos enchufables (PHEV) con una autonomía de 40 km o vehículos de pila de combustible</t>
        </is>
      </c>
      <c r="C90" t="inlineStr">
        <is>
          <t>confirmado</t>
        </is>
      </c>
      <c r="D90" t="inlineStr">
        <is>
          <t>https://www.dgt.es/nuestros-servicios/tu-vehiculo/tus-vehiculos/distintivo-ambiental/ (consultado 2026-10-31 17:20 UTC)</t>
        </is>
      </c>
    </row>
    <row r="91">
      <c r="A91" t="inlineStr">
        <is>
          <t>Etiqueta ECO (texto DGT)</t>
        </is>
      </c>
      <c r="B91" s="9" t="inlineStr">
        <is>
          <t>eléctricos enchufables con autonomía inferior a 40 km, híbridos no enchufables (HEV), vehículos propulsados por gas natural y gas (GNC y GNL) o gas licuado del petróleo (GLP)</t>
        </is>
      </c>
      <c r="C91" t="inlineStr">
        <is>
          <t>confirmado</t>
        </is>
      </c>
      <c r="D91" t="inlineStr">
        <is>
          <t>https://www.dgt.es/nuestros-servicios/tu-vehiculo/tus-vehiculos/distintivo-ambiental/ (consultado 2026-10-31 17:20 UTC)</t>
        </is>
      </c>
    </row>
    <row r="92">
      <c r="A92" t="inlineStr">
        <is>
          <t>Etiqueta C (texto DGT)</t>
        </is>
      </c>
      <c r="B92" s="9" t="inlineStr">
        <is>
          <t>turismos y furgonetas ligeras de gasolina matriculadas a partir de enero de 2006 y diésel a partir de septiembre de 2015</t>
        </is>
      </c>
      <c r="C92" t="inlineStr">
        <is>
          <t>confirmado</t>
        </is>
      </c>
      <c r="D92" t="inlineStr">
        <is>
          <t>https://www.dgt.es/nuestros-servicios/tu-vehiculo/tus-vehiculos/distintivo-ambiental/ (consultado 2026-10-31 17:20 UTC)</t>
        </is>
      </c>
    </row>
    <row r="93">
      <c r="A93" t="inlineStr">
        <is>
          <t>Etiqueta B (texto DGT)</t>
        </is>
      </c>
      <c r="B93" s="9" t="inlineStr">
        <is>
          <t>turismos y furgonetas ligeras de gasolina matriculadas desde el 1 de enero de 2001 y diésel a partir de 2006</t>
        </is>
      </c>
      <c r="C93" t="inlineStr">
        <is>
          <t>confirmado</t>
        </is>
      </c>
      <c r="D93" t="inlineStr">
        <is>
          <t>https://www.dgt.es/nuestros-servicios/tu-vehiculo/tus-vehiculos/distintivo-ambiental/ (consultado 2026-10-31 17:20 UTC)</t>
        </is>
      </c>
    </row>
    <row r="94">
      <c r="A94" t="inlineStr">
        <is>
          <t>Híbridos (HEV), GLP, GNC/GNL → ECO; eléctricos → CERO; enchufables sin autonomía conocida → ECO (conservador).</t>
        </is>
      </c>
    </row>
    <row r="96">
      <c r="A96" s="7" t="inlineStr">
        <is>
          <t>Combustible (año frontera)</t>
        </is>
      </c>
      <c r="B96" s="7" t="inlineStr">
        <is>
          <t>Año</t>
        </is>
      </c>
      <c r="C96" s="7" t="inlineStr">
        <is>
          <t>Estado</t>
        </is>
      </c>
      <c r="D96" s="7" t="inlineStr">
        <is>
          <t>Fuente</t>
        </is>
      </c>
    </row>
    <row r="97">
      <c r="A97" s="2" t="inlineStr">
        <is>
          <t>gasolina</t>
        </is>
      </c>
      <c r="B97" s="2" t="n">
        <v>2000</v>
      </c>
      <c r="C97" t="inlineStr">
        <is>
          <t>criterio (zbe.yaml)</t>
        </is>
      </c>
      <c r="D97" t="inlineStr">
        <is>
          <t>Sin mes de matriculación → etiqueta dudosa = la peor del par de años</t>
        </is>
      </c>
    </row>
    <row r="98">
      <c r="A98" s="2" t="inlineStr">
        <is>
          <t>gasolina</t>
        </is>
      </c>
      <c r="B98" s="2" t="n">
        <v>2001</v>
      </c>
      <c r="C98" t="inlineStr">
        <is>
          <t>criterio (zbe.yaml)</t>
        </is>
      </c>
      <c r="D98" t="inlineStr">
        <is>
          <t>Sin mes de matriculación → etiqueta dudosa = la peor del par de años</t>
        </is>
      </c>
    </row>
    <row r="99">
      <c r="A99" s="2" t="inlineStr">
        <is>
          <t>diesel</t>
        </is>
      </c>
      <c r="B99" s="2" t="n">
        <v>2005</v>
      </c>
      <c r="C99" t="inlineStr">
        <is>
          <t>criterio (zbe.yaml)</t>
        </is>
      </c>
      <c r="D99" t="inlineStr">
        <is>
          <t>Sin mes de matriculación → etiqueta dudosa = la peor del par de años</t>
        </is>
      </c>
    </row>
    <row r="100">
      <c r="A100" s="2" t="inlineStr">
        <is>
          <t>diesel</t>
        </is>
      </c>
      <c r="B100" s="2" t="n">
        <v>2006</v>
      </c>
      <c r="C100" t="inlineStr">
        <is>
          <t>criterio (zbe.yaml)</t>
        </is>
      </c>
      <c r="D100" t="inlineStr">
        <is>
          <t>Sin mes de matriculación → etiqueta dudosa = la peor del par de años</t>
        </is>
      </c>
    </row>
    <row r="101">
      <c r="A101" s="2" t="inlineStr">
        <is>
          <t>diesel</t>
        </is>
      </c>
      <c r="B101" s="2" t="n">
        <v>2015</v>
      </c>
      <c r="C101" t="inlineStr">
        <is>
          <t>criterio (zbe.yaml)</t>
        </is>
      </c>
      <c r="D101" t="inlineStr">
        <is>
          <t>Sin mes de matriculación → etiqueta dudosa = la peor del par de años</t>
        </is>
      </c>
    </row>
    <row r="103">
      <c r="A103" s="7" t="inlineStr">
        <is>
          <t>Código fichero DGT</t>
        </is>
      </c>
      <c r="B103" s="7" t="inlineStr">
        <is>
          <t>Etiqueta</t>
        </is>
      </c>
      <c r="C103" s="7" t="inlineStr">
        <is>
          <t>Estado</t>
        </is>
      </c>
      <c r="D103" s="7" t="inlineStr">
        <is>
          <t>Fuente</t>
        </is>
      </c>
    </row>
    <row r="104">
      <c r="A104" s="2" t="inlineStr">
        <is>
          <t>16TB</t>
        </is>
      </c>
      <c r="B104" s="2" t="inlineStr">
        <is>
          <t>B</t>
        </is>
      </c>
      <c r="C104" t="inlineStr">
        <is>
          <t>verificado (843 matrículas cruzadas)</t>
        </is>
      </c>
      <c r="D104" t="inlineStr">
        <is>
          <t>https://www.dgt.es/microdatos/salida/distintivoAmbiental/export_dist_ambiental.zip</t>
        </is>
      </c>
    </row>
    <row r="105">
      <c r="A105" s="2" t="inlineStr">
        <is>
          <t>16TC</t>
        </is>
      </c>
      <c r="B105" s="2" t="inlineStr">
        <is>
          <t>C</t>
        </is>
      </c>
      <c r="C105" t="inlineStr">
        <is>
          <t>verificado (843 matrículas cruzadas)</t>
        </is>
      </c>
      <c r="D105" t="inlineStr">
        <is>
          <t>https://www.dgt.es/microdatos/salida/distintivoAmbiental/export_dist_ambiental.zip</t>
        </is>
      </c>
    </row>
    <row r="106">
      <c r="A106" s="2" t="inlineStr">
        <is>
          <t>16TE</t>
        </is>
      </c>
      <c r="B106" s="2" t="inlineStr">
        <is>
          <t>ECO</t>
        </is>
      </c>
      <c r="C106" t="inlineStr">
        <is>
          <t>verificado (843 matrículas cruzadas)</t>
        </is>
      </c>
      <c r="D106" t="inlineStr">
        <is>
          <t>https://www.dgt.es/microdatos/salida/distintivoAmbiental/export_dist_ambiental.zip</t>
        </is>
      </c>
    </row>
    <row r="107">
      <c r="A107" s="2" t="inlineStr">
        <is>
          <t>16T0</t>
        </is>
      </c>
      <c r="B107" s="2" t="inlineStr">
        <is>
          <t>CERO</t>
        </is>
      </c>
      <c r="C107" t="inlineStr">
        <is>
          <t>verificado (843 matrículas cruzadas)</t>
        </is>
      </c>
      <c r="D107" t="inlineStr">
        <is>
          <t>https://www.dgt.es/microdatos/salida/distintivoAmbiental/export_dist_ambiental.zip</t>
        </is>
      </c>
    </row>
    <row r="108">
      <c r="A108" s="2" t="inlineStr">
        <is>
          <t>16MB</t>
        </is>
      </c>
      <c r="B108" s="2" t="inlineStr">
        <is>
          <t>B</t>
        </is>
      </c>
      <c r="C108" t="inlineStr">
        <is>
          <t>verificado (843 matrículas cruzadas)</t>
        </is>
      </c>
      <c r="D108" t="inlineStr">
        <is>
          <t>https://www.dgt.es/microdatos/salida/distintivoAmbiental/export_dist_ambiental.zip</t>
        </is>
      </c>
    </row>
    <row r="109">
      <c r="A109" s="2" t="inlineStr">
        <is>
          <t>16MC</t>
        </is>
      </c>
      <c r="B109" s="2" t="inlineStr">
        <is>
          <t>C</t>
        </is>
      </c>
      <c r="C109" t="inlineStr">
        <is>
          <t>verificado (843 matrículas cruzadas)</t>
        </is>
      </c>
      <c r="D109" t="inlineStr">
        <is>
          <t>https://www.dgt.es/microdatos/salida/distintivoAmbiental/export_dist_ambiental.zip</t>
        </is>
      </c>
    </row>
    <row r="110">
      <c r="A110" s="2" t="inlineStr">
        <is>
          <t>16ME</t>
        </is>
      </c>
      <c r="B110" s="2" t="inlineStr">
        <is>
          <t>ECO</t>
        </is>
      </c>
      <c r="C110" t="inlineStr">
        <is>
          <t>verificado (843 matrículas cruzadas)</t>
        </is>
      </c>
      <c r="D110" t="inlineStr">
        <is>
          <t>https://www.dgt.es/microdatos/salida/distintivoAmbiental/export_dist_ambiental.zip</t>
        </is>
      </c>
    </row>
    <row r="111">
      <c r="A111" s="2" t="inlineStr">
        <is>
          <t>16M0</t>
        </is>
      </c>
      <c r="B111" s="2" t="inlineStr">
        <is>
          <t>CERO</t>
        </is>
      </c>
      <c r="C111" t="inlineStr">
        <is>
          <t>verificado (843 matrículas cruzadas)</t>
        </is>
      </c>
      <c r="D111" t="inlineStr">
        <is>
          <t>https://www.dgt.es/microdatos/salida/distintivoAmbiental/export_dist_ambiental.zip</t>
        </is>
      </c>
    </row>
    <row r="112">
      <c r="A112" s="2" t="inlineStr">
        <is>
          <t>SIN DISTINTIVO</t>
        </is>
      </c>
      <c r="B112" s="2" t="inlineStr">
        <is>
          <t>A</t>
        </is>
      </c>
      <c r="C112" t="inlineStr">
        <is>
          <t>verificado (843 matrículas cruzadas)</t>
        </is>
      </c>
      <c r="D112" t="inlineStr">
        <is>
          <t>https://www.dgt.es/microdatos/salida/distintivoAmbiental/export_dist_ambiental.zip</t>
        </is>
      </c>
    </row>
    <row r="113">
      <c r="A113" t="inlineStr">
        <is>
          <t>Validación: No hay diccionario publicado para el fichero diario (el de parque anual usa "DISTINTIVO B/C, ECO, CERO, SIN DISTINTIVO"). Se ha verificado la equivalencia cruzando 843 matrículas con la etiqueta publicada por OcasionPlus (tools/dgt_check.py): 16TC↔C 656, 16TE↔ECO 95, 16TB↔B 67, 16T0/16M0↔CERO 22; 2 discrepancias (OcasionPlus decía C y la DGT B; ECO y la DGT C), en las que se toma el dato de la DGT. Todos los ECO son híbridos, GLP o GNC y todos los CERO, eléctricos o enchufables.</t>
        </is>
      </c>
    </row>
    <row r="115">
      <c r="A115" s="7" t="inlineStr">
        <is>
          <t>ZBE València: desde</t>
        </is>
      </c>
      <c r="B115" s="7" t="inlineStr">
        <is>
          <t>Hasta</t>
        </is>
      </c>
      <c r="C115" s="7" t="inlineStr">
        <is>
          <t>Restringidos</t>
        </is>
      </c>
      <c r="D115" s="7" t="inlineStr">
        <is>
          <t>Estado / fuente</t>
        </is>
      </c>
    </row>
    <row r="116">
      <c r="A116" s="2" t="inlineStr">
        <is>
          <t>2025-12-01</t>
        </is>
      </c>
      <c r="B116" s="2" t="inlineStr">
        <is>
          <t>2026-12-31</t>
        </is>
      </c>
      <c r="C116" s="2" t="inlineStr">
        <is>
          <t>A matriculados fuera de la provincia de València</t>
        </is>
      </c>
      <c r="D116" t="inlineStr">
        <is>
          <t>calendario PREVISTO, no definitivo (ordenanza pendiente de aprobación definitiva) — https://www.valencia.es/cas/actualidad/-/content/val%C3%A8ncia-aprueba-la-ordenanza-de-zona-de-bajas-emisiones (nota municipal 21-10-2025: calendario) (consultado 2026-10-31)</t>
        </is>
      </c>
    </row>
    <row r="117">
      <c r="A117" s="2" t="inlineStr">
        <is>
          <t>2027-01-01</t>
        </is>
      </c>
      <c r="B117" s="2" t="inlineStr">
        <is>
          <t>2027-12-31</t>
        </is>
      </c>
      <c r="C117" s="2" t="inlineStr">
        <is>
          <t>A matriculados fuera del municipio de València (incluida la provincia)</t>
        </is>
      </c>
      <c r="D117" t="inlineStr">
        <is>
          <t>calendario PREVISTO, no definitivo (ordenanza pendiente de aprobación definitiva) — https://www.valencia.es/cas/actualidad/-/content/val%C3%A8ncia-aprueba-la-ordenanza-de-zona-de-bajas-emisiones (nota municipal 21-10-2025: calendario) (consultado 2026-10-31)</t>
        </is>
      </c>
    </row>
    <row r="118">
      <c r="A118" s="2" t="inlineStr">
        <is>
          <t>2028-01-01</t>
        </is>
      </c>
      <c r="B118" s="2" t="inlineStr">
        <is>
          <t>—</t>
        </is>
      </c>
      <c r="C118" s="2" t="inlineStr">
        <is>
          <t>todos los A, incluidos los de vecinos de València</t>
        </is>
      </c>
      <c r="D118" t="inlineStr">
        <is>
          <t>calendario PREVISTO, no definitivo (ordenanza pendiente de aprobación definitiva) — https://www.valencia.es/cas/actualidad/-/content/val%C3%A8ncia-aprueba-la-ordenanza-de-zona-de-bajas-emisiones (nota municipal 21-10-2025: calendario) (consultado 2026-10-31)</t>
        </is>
      </c>
    </row>
    <row r="119">
      <c r="A119" t="inlineStr">
        <is>
          <t>Estado de la ordenanza: Aprobación INICIAL por el Pleno el 25-02-2025; "pendiente el acuerdo plenario de aprobación definitiva" (página municipal de la ZBE, consultada el 31-10-2026). La ZBE se puso en marcha el 01-12-2025 "de acuerdo con el calendario de implantación previsto en la Ordenanza aprobada provisionalmente". Las preguntas frecuentes municipales de enero de 2026 dicen que, al estar pendiente la aprobación definitiva, "no es posible concretar el inicio de las restricciones previstas".</t>
        </is>
      </c>
    </row>
    <row r="120">
      <c r="A120" t="inlineStr">
        <is>
          <t>Etiqueta B: Sin restricciones en la ordenanza (ni prevista con fecha). Que vaya a ser la siguiente es una expectativa razonable (Ley 7/2021 y otras ZBE), pero NO consta en ninguna fuente oficial de València: no se usa como dato.</t>
        </is>
      </c>
    </row>
    <row r="122">
      <c r="A122" s="7" t="inlineStr">
        <is>
          <t>Etiqueta (criterio 'Etiqueta y ZBE')</t>
        </is>
      </c>
      <c r="B122" s="7" t="inlineStr">
        <is>
          <t>Puntos</t>
        </is>
      </c>
      <c r="C122" s="7" t="inlineStr">
        <is>
          <t>Estado</t>
        </is>
      </c>
      <c r="D122" s="7" t="inlineStr">
        <is>
          <t>Fuente</t>
        </is>
      </c>
    </row>
    <row r="123">
      <c r="A123" s="2" t="inlineStr">
        <is>
          <t>B</t>
        </is>
      </c>
      <c r="B123" s="2" t="n">
        <v>40</v>
      </c>
      <c r="C123" t="inlineStr">
        <is>
          <t>criterio (config.yaml)</t>
        </is>
      </c>
      <c r="D123" t="inlineStr">
        <is>
          <t>config.yaml → scoring.etiqueta.puntos (B base, C +, ECO/CERO ++)</t>
        </is>
      </c>
    </row>
    <row r="124">
      <c r="A124" s="2" t="inlineStr">
        <is>
          <t>C</t>
        </is>
      </c>
      <c r="B124" s="2" t="n">
        <v>70</v>
      </c>
      <c r="C124" t="inlineStr">
        <is>
          <t>criterio (config.yaml)</t>
        </is>
      </c>
      <c r="D124" t="inlineStr">
        <is>
          <t>config.yaml → scoring.etiqueta.puntos (B base, C +, ECO/CERO ++)</t>
        </is>
      </c>
    </row>
    <row r="125">
      <c r="A125" s="2" t="inlineStr">
        <is>
          <t>ECO</t>
        </is>
      </c>
      <c r="B125" s="2" t="n">
        <v>100</v>
      </c>
      <c r="C125" t="inlineStr">
        <is>
          <t>criterio (config.yaml)</t>
        </is>
      </c>
      <c r="D125" t="inlineStr">
        <is>
          <t>config.yaml → scoring.etiqueta.puntos (B base, C +, ECO/CERO ++)</t>
        </is>
      </c>
    </row>
    <row r="126">
      <c r="A126" s="2" t="inlineStr">
        <is>
          <t>CERO</t>
        </is>
      </c>
      <c r="B126" s="2" t="n">
        <v>100</v>
      </c>
      <c r="C126" t="inlineStr">
        <is>
          <t>criterio (config.yaml)</t>
        </is>
      </c>
      <c r="D126" t="inlineStr">
        <is>
          <t>config.yaml → scoring.etiqueta.puntos (B base, C +, ECO/CERO ++)</t>
        </is>
      </c>
    </row>
    <row r="127">
      <c r="A127" s="2" t="inlineStr">
        <is>
          <t>A</t>
        </is>
      </c>
      <c r="B127" s="2" t="n">
        <v>0</v>
      </c>
      <c r="C127" t="inlineStr">
        <is>
          <t>criterio (config.yaml)</t>
        </is>
      </c>
      <c r="D127" t="inlineStr">
        <is>
          <t>config.yaml → scoring.etiqueta.puntos (B base, C +, ECO/CERO ++)</t>
        </is>
      </c>
    </row>
    <row r="128">
      <c r="A128" t="inlineStr">
        <is>
          <t>Penalización si la etiqueta es dudosa (puntos)</t>
        </is>
      </c>
      <c r="B128" s="2" t="n">
        <v>15</v>
      </c>
      <c r="C128" t="inlineStr">
        <is>
          <t>criterio (config.yaml)</t>
        </is>
      </c>
      <c r="D128" t="inlineStr">
        <is>
          <t>config.yaml</t>
        </is>
      </c>
    </row>
    <row r="129">
      <c r="A129" t="inlineStr">
        <is>
          <t>Penalización si la etiqueta sale solo de la regla (puntos)</t>
        </is>
      </c>
      <c r="B129" s="2" t="n">
        <v>5</v>
      </c>
      <c r="C129" t="inlineStr">
        <is>
          <t>criterio (config.yaml)</t>
        </is>
      </c>
      <c r="D129" t="inlineStr">
        <is>
          <t>config.yaml</t>
        </is>
      </c>
    </row>
    <row r="131">
      <c r="A131" s="7" t="inlineStr">
        <is>
          <t>Carrocería admitida con penalización</t>
        </is>
      </c>
      <c r="B131" s="7" t="inlineStr">
        <is>
          <t>Puntos restados a la PUNTUACIÓN</t>
        </is>
      </c>
      <c r="C131" s="7" t="inlineStr">
        <is>
          <t>Estado</t>
        </is>
      </c>
      <c r="D131" s="7" t="inlineStr">
        <is>
          <t>Fuente</t>
        </is>
      </c>
    </row>
    <row r="132">
      <c r="A132" s="2" t="inlineStr">
        <is>
          <t>familiar</t>
        </is>
      </c>
      <c r="B132" s="2" t="n">
        <v>3</v>
      </c>
      <c r="C132" t="inlineStr">
        <is>
          <t>criterio (config.yaml)</t>
        </is>
      </c>
      <c r="D132" t="inlineStr">
        <is>
          <t>config.yaml → scoring.penalizaciones.carroceria</t>
        </is>
      </c>
    </row>
    <row r="133">
      <c r="A133" s="2" t="inlineStr">
        <is>
          <t>monovolumen_pequeno</t>
        </is>
      </c>
      <c r="B133" s="2" t="n">
        <v>6</v>
      </c>
      <c r="C133" t="inlineStr">
        <is>
          <t>criterio (config.yaml)</t>
        </is>
      </c>
      <c r="D133" t="inlineStr">
        <is>
          <t>config.yaml → scoring.penalizaciones.carroceria</t>
        </is>
      </c>
    </row>
    <row r="135">
      <c r="A135" s="7" t="inlineStr">
        <is>
          <t>Preferencia de estilo: segmento</t>
        </is>
      </c>
      <c r="B135" s="7" t="inlineStr">
        <is>
          <t>Puntos</t>
        </is>
      </c>
      <c r="C135" s="7" t="inlineStr">
        <is>
          <t>Estado</t>
        </is>
      </c>
      <c r="D135" s="7" t="inlineStr">
        <is>
          <t>Fuente</t>
        </is>
      </c>
    </row>
    <row r="136">
      <c r="A136" s="2" t="inlineStr">
        <is>
          <t>berlina_d</t>
        </is>
      </c>
      <c r="B136" s="2" t="n">
        <v>80</v>
      </c>
      <c r="C136" t="inlineStr">
        <is>
          <t>criterio (config.yaml)</t>
        </is>
      </c>
      <c r="D136" t="inlineStr">
        <is>
          <t>config.yaml → scoring.estilo.por_segmento</t>
        </is>
      </c>
    </row>
    <row r="137">
      <c r="A137" s="2" t="inlineStr">
        <is>
          <t>berlina</t>
        </is>
      </c>
      <c r="B137" s="2" t="n">
        <v>60</v>
      </c>
      <c r="C137" t="inlineStr">
        <is>
          <t>criterio (config.yaml)</t>
        </is>
      </c>
      <c r="D137" t="inlineStr">
        <is>
          <t>config.yaml → scoring.estilo.por_segmento</t>
        </is>
      </c>
    </row>
    <row r="138">
      <c r="A138" s="2" t="inlineStr">
        <is>
          <t>compacto</t>
        </is>
      </c>
      <c r="B138" s="2" t="n">
        <v>50</v>
      </c>
      <c r="C138" t="inlineStr">
        <is>
          <t>criterio (config.yaml)</t>
        </is>
      </c>
      <c r="D138" t="inlineStr">
        <is>
          <t>config.yaml → scoring.estilo.por_segmento</t>
        </is>
      </c>
    </row>
    <row r="139">
      <c r="A139" s="2" t="inlineStr">
        <is>
          <t>familiar</t>
        </is>
      </c>
      <c r="B139" s="2" t="n">
        <v>50</v>
      </c>
      <c r="C139" t="inlineStr">
        <is>
          <t>criterio (config.yaml)</t>
        </is>
      </c>
      <c r="D139" t="inlineStr">
        <is>
          <t>config.yaml → scoring.estilo.por_segmento</t>
        </is>
      </c>
    </row>
    <row r="140">
      <c r="A140" s="2" t="inlineStr">
        <is>
          <t>utilitario</t>
        </is>
      </c>
      <c r="B140" s="2" t="n">
        <v>15</v>
      </c>
      <c r="C140" t="inlineStr">
        <is>
          <t>criterio (config.yaml)</t>
        </is>
      </c>
      <c r="D140" t="inlineStr">
        <is>
          <t>config.yaml → scoring.estilo.por_segmento</t>
        </is>
      </c>
    </row>
    <row r="141">
      <c r="A141" s="2" t="inlineStr">
        <is>
          <t>monovolumen_pequeno</t>
        </is>
      </c>
      <c r="B141" s="2" t="n">
        <v>15</v>
      </c>
      <c r="C141" t="inlineStr">
        <is>
          <t>criterio (config.yaml)</t>
        </is>
      </c>
      <c r="D141" t="inlineStr">
        <is>
          <t>config.yaml → scoring.estilo.por_segmento</t>
        </is>
      </c>
    </row>
    <row r="142">
      <c r="A142" t="inlineStr">
        <is>
          <t>Preferencia de estilo: puntos de un modelo prioritario</t>
        </is>
      </c>
      <c r="B142" s="2" t="n">
        <v>100</v>
      </c>
      <c r="C142" t="inlineStr">
        <is>
          <t>criterio (config.yaml)</t>
        </is>
      </c>
      <c r="D142" t="inlineStr">
        <is>
          <t>config.yaml</t>
        </is>
      </c>
    </row>
    <row r="143">
      <c r="A143" t="inlineStr">
        <is>
          <t>Prioritario: Honda Accord 2003-2008</t>
        </is>
      </c>
      <c r="B143" t="inlineStr">
        <is>
          <t>2.0</t>
        </is>
      </c>
      <c r="C143" t="inlineStr">
        <is>
          <t>gasolina</t>
        </is>
      </c>
      <c r="D143" t="inlineStr">
        <is>
          <t>config.yaml → scoring.estilo.prioritarios (la columna 'Prioritario' de Anuncios se calcula con esta lista)</t>
        </is>
      </c>
    </row>
    <row r="144">
      <c r="A144" t="inlineStr">
        <is>
          <t>Prioritario: Toyota Avensis 2003-2008</t>
        </is>
      </c>
      <c r="B144" t="inlineStr">
        <is>
          <t>1.8</t>
        </is>
      </c>
      <c r="C144" t="inlineStr">
        <is>
          <t>gasolina</t>
        </is>
      </c>
      <c r="D144" t="inlineStr">
        <is>
          <t>config.yaml → scoring.estilo.prioritarios (la columna 'Prioritario' de Anuncios se calcula con esta lista)</t>
        </is>
      </c>
    </row>
    <row r="145">
      <c r="A145" t="inlineStr">
        <is>
          <t>Prioritario: Mazda 6 2002-2008</t>
        </is>
      </c>
      <c r="B145" t="inlineStr">
        <is>
          <t>1.8, 2.0</t>
        </is>
      </c>
      <c r="C145" t="inlineStr">
        <is>
          <t>gasolina</t>
        </is>
      </c>
      <c r="D145" t="inlineStr">
        <is>
          <t>config.yaml → scoring.estilo.prioritarios (la columna 'Prioritario' de Anuncios se calcula con esta lista)</t>
        </is>
      </c>
    </row>
    <row r="146">
      <c r="A146" t="inlineStr">
        <is>
          <t>Prioritario: Skoda Octavia 2004-2013</t>
        </is>
      </c>
      <c r="B146" t="inlineStr">
        <is>
          <t>1.6</t>
        </is>
      </c>
      <c r="C146" t="inlineStr">
        <is>
          <t>gasolina</t>
        </is>
      </c>
      <c r="D146" t="inlineStr">
        <is>
          <t>config.yaml → scoring.estilo.prioritarios (la columna 'Prioritario' de Anuncios se calcula con esta lista)</t>
        </is>
      </c>
    </row>
    <row r="147">
      <c r="A147" t="inlineStr">
        <is>
          <t>Prioritario: Volkswagen Jetta 2005-2010</t>
        </is>
      </c>
      <c r="B147" t="inlineStr">
        <is>
          <t>1.6</t>
        </is>
      </c>
      <c r="C147" t="inlineStr">
        <is>
          <t>gasolina</t>
        </is>
      </c>
      <c r="D147" t="inlineStr">
        <is>
          <t>config.yaml → scoring.estilo.prioritarios (la columna 'Prioritario' de Anuncios se calcula con esta lista)</t>
        </is>
      </c>
    </row>
    <row r="148">
      <c r="A148" t="inlineStr">
        <is>
          <t>Prioritario: Audi A4 2004-2008</t>
        </is>
      </c>
      <c r="B148" t="inlineStr">
        <is>
          <t>2.0, 1.8</t>
        </is>
      </c>
      <c r="C148" t="inlineStr">
        <is>
          <t>gasolina</t>
        </is>
      </c>
      <c r="D148" t="inlineStr">
        <is>
          <t>config.yaml → scoring.estilo.prioritarios (la columna 'Prioritario' de Anuncios se calcula con esta lista)</t>
        </is>
      </c>
    </row>
    <row r="149">
      <c r="A149" t="inlineStr">
        <is>
          <t>Prioritario: Seat Exeo 2008-2013</t>
        </is>
      </c>
      <c r="B149" t="inlineStr">
        <is>
          <t>cualquier motor</t>
        </is>
      </c>
      <c r="C149" t="inlineStr">
        <is>
          <t>gasolina</t>
        </is>
      </c>
      <c r="D149" t="inlineStr">
        <is>
          <t>config.yaml → scoring.estilo.prioritarios (la columna 'Prioritario' de Anuncios se calcula con esta lista)</t>
        </is>
      </c>
    </row>
    <row r="150">
      <c r="A150" t="inlineStr">
        <is>
          <t>Diésel sin fuente de fiabilidad del motor (Mot. con fuente = 0): la fiabilidad del modelo se limita a NEUTRO (tratamiento de dato pendiente); además se aplica el ajuste por combustible (DPF).</t>
        </is>
      </c>
    </row>
    <row r="152">
      <c r="A152" s="8" t="inlineStr">
        <is>
          <t>Consumo real de gasolina (l/100 km) — aproximado (registros individuales de Spritmonitor/Autokostencheck vistos en resúmenes de búsqueda; no hay media oficial por modelo). IDAE: PENDIENTE</t>
        </is>
      </c>
    </row>
    <row r="153">
      <c r="A153" t="inlineStr">
        <is>
          <t>Consumo: referencia para 100 puntos (l/100 km)</t>
        </is>
      </c>
      <c r="B153" s="2" t="n">
        <v>5.5</v>
      </c>
      <c r="C153" t="inlineStr">
        <is>
          <t>criterio</t>
        </is>
      </c>
      <c r="D153" t="inlineStr">
        <is>
          <t>fiscal.yaml → consumo_estimado</t>
        </is>
      </c>
    </row>
    <row r="154">
      <c r="A154" t="inlineStr">
        <is>
          <t>Consumo: referencia para 0 puntos (l/100 km)</t>
        </is>
      </c>
      <c r="B154" s="2" t="n">
        <v>9</v>
      </c>
      <c r="C154" t="inlineStr">
        <is>
          <t>criterio</t>
        </is>
      </c>
      <c r="D154" t="inlineStr">
        <is>
          <t>fiscal.yaml → consumo_estimado</t>
        </is>
      </c>
    </row>
    <row r="155">
      <c r="A155" s="7" t="inlineStr">
        <is>
          <t>Modelo</t>
        </is>
      </c>
      <c r="B155" s="7" t="inlineStr">
        <is>
          <t>l/100 km</t>
        </is>
      </c>
      <c r="C155" s="7" t="inlineStr">
        <is>
          <t>Estado</t>
        </is>
      </c>
      <c r="D155" s="7" t="inlineStr">
        <is>
          <t>Fuente</t>
        </is>
      </c>
    </row>
    <row r="156">
      <c r="A156" s="2" t="inlineStr">
        <is>
          <t>Toyota Avensis</t>
        </is>
      </c>
      <c r="B156" s="2" t="n">
        <v>7</v>
      </c>
      <c r="C156" t="inlineStr">
        <is>
          <t>aproximado</t>
        </is>
      </c>
      <c r="D156" t="inlineStr">
        <is>
          <t>Spritmonitor 1.8 2003-06: 6,52 (177.281 km) y 7,38 https://www.spritmonitor.de/de/detailansicht/712367.html</t>
        </is>
      </c>
    </row>
    <row r="157">
      <c r="A157" s="2" t="inlineStr">
        <is>
          <t>Mazda 6</t>
        </is>
      </c>
      <c r="B157" s="2" t="n">
        <v>7.8</v>
      </c>
      <c r="C157" t="inlineStr">
        <is>
          <t>aproximado</t>
        </is>
      </c>
      <c r="D157" t="inlineStr">
        <is>
          <t>Spritmonitor 2.0 GG/GY: 7,74 / 8,18 / 7,62 https://www.spritmonitor.de/de/detailansicht/532407.html</t>
        </is>
      </c>
    </row>
    <row r="158">
      <c r="A158" s="2" t="inlineStr">
        <is>
          <t>Honda Accord</t>
        </is>
      </c>
      <c r="B158" s="2" t="n">
        <v>8.300000000000001</v>
      </c>
      <c r="C158" t="inlineStr">
        <is>
          <t>aproximado</t>
        </is>
      </c>
      <c r="D158" t="inlineStr">
        <is>
          <t>Spritmonitor 2.0 manual 2005-07: 8,23-8,42 (automático 8,65-10,0) https://www.spritmonitor.de/de/detailansicht/1417606.html</t>
        </is>
      </c>
    </row>
    <row r="159">
      <c r="A159" s="2" t="inlineStr">
        <is>
          <t>Audi A4</t>
        </is>
      </c>
      <c r="B159" s="2" t="n">
        <v>8.4</v>
      </c>
      <c r="C159" t="inlineStr">
        <is>
          <t>aproximado</t>
        </is>
      </c>
      <c r="D159" t="inlineStr">
        <is>
          <t>Spritmonitor 2.0 TFSI B7: 7,91 / 8,86 / 8,39 https://www.spritmonitor.de/de/detailansicht/655121.html (2.0 atmosférico 130 CV: PENDIENTE)</t>
        </is>
      </c>
    </row>
    <row r="160">
      <c r="A160" s="2" t="inlineStr">
        <is>
          <t>Skoda Octavia</t>
        </is>
      </c>
      <c r="B160" s="2" t="n">
        <v>6.9</v>
      </c>
      <c r="C160" t="inlineStr">
        <is>
          <t>aproximado</t>
        </is>
      </c>
      <c r="D160" t="inlineStr">
        <is>
          <t>Spritmonitor 1.6 MPI: 6,41 / 6,92 / 7,41 https://www.spritmonitor.de/de/detailansicht/669392.html</t>
        </is>
      </c>
    </row>
    <row r="161">
      <c r="A161" s="7" t="inlineStr">
        <is>
          <t>Segmento</t>
        </is>
      </c>
      <c r="B161" s="7" t="inlineStr">
        <is>
          <t>l/100 km</t>
        </is>
      </c>
      <c r="C161" s="7" t="inlineStr">
        <is>
          <t>Estado</t>
        </is>
      </c>
      <c r="D161" s="7" t="inlineStr">
        <is>
          <t>Fuente</t>
        </is>
      </c>
    </row>
    <row r="162">
      <c r="A162" s="2" t="inlineStr">
        <is>
          <t>utilitario</t>
        </is>
      </c>
      <c r="B162" s="2" t="n">
        <v>6.3</v>
      </c>
      <c r="C162" t="inlineStr">
        <is>
          <t>aproximado</t>
        </is>
      </c>
      <c r="D162" t="inlineStr">
        <is>
          <t>Spritmonitor Ibiza 1.4 16V 5,93-6,41 (https://www.spritmonitor.de/en/detail/957697.html); Yaris 1.3 6,56-7,61 (https://www.spritmonitor.de/de/detailansicht/628459.html)</t>
        </is>
      </c>
    </row>
    <row r="163">
      <c r="A163" s="2" t="inlineStr">
        <is>
          <t>compacto</t>
        </is>
      </c>
      <c r="B163" s="2" t="n">
        <v>7.4</v>
      </c>
      <c r="C163" t="inlineStr">
        <is>
          <t>aproximado</t>
        </is>
      </c>
      <c r="D163" t="inlineStr">
        <is>
          <t>Spritmonitor León 1P 1.6 6,99-7,72; Autokostencheck 7,90 (https://www.autokostencheck.de/Seat/Seat-Leon/Leon/leon-1-6-1p_20752/verbrauch/)</t>
        </is>
      </c>
    </row>
    <row r="164">
      <c r="A164" s="2" t="inlineStr">
        <is>
          <t>berlina</t>
        </is>
      </c>
      <c r="B164" s="2" t="n">
        <v>7.4</v>
      </c>
      <c r="C164" t="inlineStr">
        <is>
          <t>aproximado</t>
        </is>
      </c>
      <c r="D164" t="inlineStr">
        <is>
          <t>Igual que compacto (misma mecánica en versión de 4 puertas): supuesto</t>
        </is>
      </c>
    </row>
    <row r="165">
      <c r="A165" s="2" t="inlineStr">
        <is>
          <t>berlina_d</t>
        </is>
      </c>
      <c r="B165" s="2" t="n">
        <v>8</v>
      </c>
      <c r="C165" t="inlineStr">
        <is>
          <t>aproximado</t>
        </is>
      </c>
      <c r="D165" t="inlineStr">
        <is>
          <t>Media aproximada de Avensis 1.8 (~6,5-7,4), Mazda 6 2.0 (7,6-8,2), Accord 2.0 (8,2-8,4) y A4 2.0 TFSI (7,9-8,9), ver 'modelos'</t>
        </is>
      </c>
    </row>
    <row r="166">
      <c r="A166" s="2" t="inlineStr">
        <is>
          <t>familiar</t>
        </is>
      </c>
      <c r="B166" s="2" t="n">
        <v>7.6</v>
      </c>
      <c r="C166" t="inlineStr">
        <is>
          <t>aproximado</t>
        </is>
      </c>
      <c r="D166" t="inlineStr">
        <is>
          <t>Supuesto: compacto + 0,2</t>
        </is>
      </c>
    </row>
    <row r="167">
      <c r="A167" s="2" t="inlineStr">
        <is>
          <t>monovolumen_pequeno</t>
        </is>
      </c>
      <c r="B167" s="2" t="n">
        <v>7.6</v>
      </c>
      <c r="C167" t="inlineStr">
        <is>
          <t>aproximado</t>
        </is>
      </c>
      <c r="D167" t="inlineStr">
        <is>
          <t>Supuesto: compacto + 0,2</t>
        </is>
      </c>
    </row>
    <row r="168">
      <c r="A168" t="inlineStr">
        <is>
          <t>Solo gasolina: diésel, híbridos y GLP sin dato -&gt; NEUTRO. Primero se busca el modelo y, si no está, el segmento.</t>
        </is>
      </c>
    </row>
    <row r="170">
      <c r="A170" s="8" t="inlineStr">
        <is>
          <t>Seguro estimado (€/año) — Terceros ampliado, conductor de 29 años, Mislata (46920), sin siniestros, coche en la calle, valor &lt; 5.000 €</t>
        </is>
      </c>
    </row>
    <row r="171">
      <c r="A171" s="7" t="inlineStr">
        <is>
          <t>Segmento</t>
        </is>
      </c>
      <c r="B171" s="7" t="inlineStr">
        <is>
          <t>Mínimo</t>
        </is>
      </c>
      <c r="C171" s="7" t="inlineStr">
        <is>
          <t>Estimación central</t>
        </is>
      </c>
      <c r="D171" s="7" t="inlineStr">
        <is>
          <t>Máximo</t>
        </is>
      </c>
      <c r="E171" s="7" t="inlineStr">
        <is>
          <t>Estado</t>
        </is>
      </c>
      <c r="F171" s="7" t="inlineStr">
        <is>
          <t>Fuentes</t>
        </is>
      </c>
    </row>
    <row r="172">
      <c r="A172" s="2" t="inlineStr">
        <is>
          <t>utilitario</t>
        </is>
      </c>
      <c r="B172" s="2" t="n">
        <v>170</v>
      </c>
      <c r="C172" s="2" t="n">
        <v>300</v>
      </c>
      <c r="D172" s="2" t="n">
        <v>420</v>
      </c>
      <c r="E172" t="inlineStr">
        <is>
          <t>aproximado (estimación por segmento; no se han pedido presupuestos con datos personales)</t>
        </is>
      </c>
      <c r="F172"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173">
      <c r="A173" s="2" t="inlineStr">
        <is>
          <t>compacto</t>
        </is>
      </c>
      <c r="B173" s="2" t="n">
        <v>190</v>
      </c>
      <c r="C173" s="2" t="n">
        <v>340</v>
      </c>
      <c r="D173" s="2" t="n">
        <v>480</v>
      </c>
      <c r="E173" t="inlineStr">
        <is>
          <t>aproximado (estimación por segmento; no se han pedido presupuestos con datos personales)</t>
        </is>
      </c>
      <c r="F173"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174">
      <c r="A174" s="2" t="inlineStr">
        <is>
          <t>berlina</t>
        </is>
      </c>
      <c r="B174" s="2" t="n">
        <v>190</v>
      </c>
      <c r="C174" s="2" t="n">
        <v>350</v>
      </c>
      <c r="D174" s="2" t="n">
        <v>500</v>
      </c>
      <c r="E174" t="inlineStr">
        <is>
          <t>aproximado (estimación por segmento; no se han pedido presupuestos con datos personales)</t>
        </is>
      </c>
      <c r="F174"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175">
      <c r="A175" s="2" t="inlineStr">
        <is>
          <t>berlina_d</t>
        </is>
      </c>
      <c r="B175" s="2" t="n">
        <v>200</v>
      </c>
      <c r="C175" s="2" t="n">
        <v>380</v>
      </c>
      <c r="D175" s="2" t="n">
        <v>540</v>
      </c>
      <c r="E175" t="inlineStr">
        <is>
          <t>aproximado (estimación por segmento; no se han pedido presupuestos con datos personales)</t>
        </is>
      </c>
      <c r="F175"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176">
      <c r="A176" t="inlineStr">
        <is>
          <t>Nota: A los 29 años el precio debería quedar entre la media de 25-34 (378 €, que incluye recargos de jóvenes) y la de 35-44 (302 €): inferencia, no cifra publicada. La diferencia utilitario/compacto y el efecto de aparcar en la calle no están cuantificados en ninguna fuente encontrada (PENDIENTE): el +40 € del compacto es un supuesto. Cifras por modelo: no fiables/antiguas, no se usan.</t>
        </is>
      </c>
    </row>
    <row r="177">
      <c r="A177" t="inlineStr">
        <is>
          <t>Seguro: referencia para 100 puntos (mínimo de la tabla)</t>
        </is>
      </c>
      <c r="B177" s="4">
        <f>MIN(B172:B175)</f>
        <v/>
      </c>
      <c r="C177" t="inlineStr">
        <is>
          <t>calculado</t>
        </is>
      </c>
      <c r="D177" t="inlineStr"/>
    </row>
    <row r="178">
      <c r="A178" t="inlineStr">
        <is>
          <t>Seguro: referencia para 0 puntos (máximo de la tabla)</t>
        </is>
      </c>
      <c r="B178" s="4">
        <f>MAX(D172:D175)</f>
        <v/>
      </c>
      <c r="C178" t="inlineStr">
        <is>
          <t>calculado</t>
        </is>
      </c>
      <c r="D178" t="inlineStr"/>
    </row>
    <row r="180">
      <c r="A180" s="6" t="inlineStr">
        <is>
          <t>5. Fiabilidad: medias TÜV por franja de edad</t>
        </is>
      </c>
    </row>
    <row r="181">
      <c r="A181" s="7" t="inlineStr">
        <is>
          <t>Franja</t>
        </is>
      </c>
      <c r="B181" s="7" t="inlineStr">
        <is>
          <t>Mängelquote media (%)</t>
        </is>
      </c>
      <c r="C181" s="7" t="inlineStr">
        <is>
          <t>Estado</t>
        </is>
      </c>
      <c r="D181" s="7" t="inlineStr">
        <is>
          <t>Fuente</t>
        </is>
      </c>
    </row>
    <row r="182">
      <c r="A182" s="2" t="inlineStr">
        <is>
          <t>10-11</t>
        </is>
      </c>
      <c r="B182" s="2" t="n">
        <v>22.9</v>
      </c>
      <c r="C182" t="inlineStr">
        <is>
          <t>probable</t>
        </is>
      </c>
      <c r="D182" t="inlineStr">
        <is>
          <t>https://www.tuev-verband.de/presse/publikationen/reporte/tuev-report-autobild</t>
        </is>
      </c>
    </row>
    <row r="183">
      <c r="A183" s="2" t="inlineStr">
        <is>
          <t>12-13</t>
        </is>
      </c>
      <c r="B183" s="2" t="n">
        <v>28.4</v>
      </c>
      <c r="C183" t="inlineStr">
        <is>
          <t>probable</t>
        </is>
      </c>
      <c r="D183" t="inlineStr">
        <is>
          <t>https://www.tuev-verband.de/presse/publikationen/reporte/tuev-report-autobild</t>
        </is>
      </c>
    </row>
    <row r="185">
      <c r="A185" s="6" t="inlineStr">
        <is>
          <t>6. Fiabilidad: índice OCU 2026 por marca</t>
        </is>
      </c>
    </row>
    <row r="186">
      <c r="A186" s="7" t="inlineStr">
        <is>
          <t>Marca</t>
        </is>
      </c>
      <c r="B186" s="7" t="inlineStr">
        <is>
          <t>Índice OCU (0-100)</t>
        </is>
      </c>
      <c r="C186" s="7" t="inlineStr">
        <is>
          <t>Estado</t>
        </is>
      </c>
      <c r="D186" s="7" t="inlineStr">
        <is>
          <t>Fuente</t>
        </is>
      </c>
    </row>
    <row r="187">
      <c r="A187" s="2" t="inlineStr">
        <is>
          <t>Lexus</t>
        </is>
      </c>
      <c r="B187" s="2" t="n">
        <v>93</v>
      </c>
      <c r="C187" t="inlineStr">
        <is>
          <t>probable</t>
        </is>
      </c>
      <c r="D187" t="inlineStr">
        <is>
          <t>https://www.ocu.org/organizacion/prensa/notas-de-prensa/2026/fiabcoches020326 ; https://es.motor1.com/news/789821/ocu-fiabilidad-2026-japoneses-tesla/</t>
        </is>
      </c>
    </row>
    <row r="188">
      <c r="A188" s="2" t="inlineStr">
        <is>
          <t>Subaru</t>
        </is>
      </c>
      <c r="B188" s="2" t="n">
        <v>91</v>
      </c>
      <c r="C188" t="inlineStr">
        <is>
          <t>probable</t>
        </is>
      </c>
      <c r="D188" t="inlineStr">
        <is>
          <t>https://www.ocu.org/organizacion/prensa/notas-de-prensa/2026/fiabcoches020326 ; https://es.motor1.com/news/789821/ocu-fiabilidad-2026-japoneses-tesla/</t>
        </is>
      </c>
    </row>
    <row r="189">
      <c r="A189" s="2" t="inlineStr">
        <is>
          <t>Toyota</t>
        </is>
      </c>
      <c r="B189" s="2" t="n">
        <v>91</v>
      </c>
      <c r="C189" t="inlineStr">
        <is>
          <t>probable</t>
        </is>
      </c>
      <c r="D189" t="inlineStr">
        <is>
          <t>https://www.ocu.org/organizacion/prensa/notas-de-prensa/2026/fiabcoches020326 ; https://es.motor1.com/news/789821/ocu-fiabilidad-2026-japoneses-tesla/</t>
        </is>
      </c>
    </row>
    <row r="190">
      <c r="A190" s="2" t="inlineStr">
        <is>
          <t>Suzuki</t>
        </is>
      </c>
      <c r="B190" s="2" t="n">
        <v>91</v>
      </c>
      <c r="C190" t="inlineStr">
        <is>
          <t>probable</t>
        </is>
      </c>
      <c r="D190" t="inlineStr">
        <is>
          <t>https://www.ocu.org/organizacion/prensa/notas-de-prensa/2026/fiabcoches020326 ; https://es.motor1.com/news/789821/ocu-fiabilidad-2026-japoneses-tesla/</t>
        </is>
      </c>
    </row>
    <row r="192">
      <c r="A192" s="6" t="inlineStr">
        <is>
          <t>6b. Fiabilidad: ADAC Pannenstatistik 2025 — averías por 1.000 vehículos, matriculación 2015</t>
        </is>
      </c>
    </row>
    <row r="193">
      <c r="A193" s="7" t="inlineStr">
        <is>
          <t>Fila ADAC</t>
        </is>
      </c>
      <c r="B193" s="7" t="inlineStr">
        <is>
          <t>Pannenkennziffer EZ 2015</t>
        </is>
      </c>
      <c r="C193" s="7" t="inlineStr">
        <is>
          <t>Estado</t>
        </is>
      </c>
      <c r="D193" s="7" t="inlineStr">
        <is>
          <t>Fuente</t>
        </is>
      </c>
    </row>
    <row r="194">
      <c r="A194" s="2" t="inlineStr">
        <is>
          <t>Audi A1</t>
        </is>
      </c>
      <c r="B194" s="2" t="n">
        <v>6</v>
      </c>
      <c r="C194" t="inlineStr">
        <is>
          <t>confirmado (PDF original descargado el 31-10-2026; extraído con tools/adac_extract.py, último valor de cada fila; C3/DS3 y Mégane revisados a mano)</t>
        </is>
      </c>
      <c r="D194" t="inlineStr">
        <is>
          <t>https://assets.adac.de/image/upload/v1744279730/ADAC-eV/KOR/Text/PDF/Pannenstatistik_2025_final_nrmvls.pdf</t>
        </is>
      </c>
    </row>
    <row r="195">
      <c r="A195" s="2" t="inlineStr">
        <is>
          <t>Audi A4</t>
        </is>
      </c>
      <c r="B195" s="2" t="n">
        <v>7.6</v>
      </c>
      <c r="C195" t="inlineStr"/>
      <c r="D195" t="inlineStr"/>
    </row>
    <row r="196">
      <c r="A196" s="2" t="inlineStr">
        <is>
          <t>Audi A5</t>
        </is>
      </c>
      <c r="B196" s="2" t="n">
        <v>11.1</v>
      </c>
      <c r="C196" t="inlineStr"/>
      <c r="D196" t="inlineStr"/>
    </row>
    <row r="197">
      <c r="A197" s="2" t="inlineStr">
        <is>
          <t>Audi Q5</t>
        </is>
      </c>
      <c r="B197" s="2" t="n">
        <v>13.8</v>
      </c>
      <c r="C197" t="inlineStr"/>
      <c r="D197" t="inlineStr"/>
    </row>
    <row r="198">
      <c r="A198" s="2" t="inlineStr">
        <is>
          <t>BMW 3er-Reihe</t>
        </is>
      </c>
      <c r="B198" s="2" t="n">
        <v>9.1</v>
      </c>
      <c r="C198" t="inlineStr"/>
      <c r="D198" t="inlineStr"/>
    </row>
    <row r="199">
      <c r="A199" s="2" t="inlineStr">
        <is>
          <t>BMW 4er-Reihe</t>
        </is>
      </c>
      <c r="B199" s="2" t="n">
        <v>7.5</v>
      </c>
      <c r="C199" t="inlineStr"/>
      <c r="D199" t="inlineStr"/>
    </row>
    <row r="200">
      <c r="A200" s="2" t="inlineStr">
        <is>
          <t>BMW 5er-Reihe</t>
        </is>
      </c>
      <c r="B200" s="2" t="n">
        <v>10.3</v>
      </c>
      <c r="C200" t="inlineStr"/>
      <c r="D200" t="inlineStr"/>
    </row>
    <row r="201">
      <c r="A201" s="2" t="inlineStr">
        <is>
          <t>BMW X1</t>
        </is>
      </c>
      <c r="B201" s="2" t="n">
        <v>14.2</v>
      </c>
      <c r="C201" t="inlineStr"/>
      <c r="D201" t="inlineStr"/>
    </row>
    <row r="202">
      <c r="A202" s="2" t="inlineStr">
        <is>
          <t>BMW X3</t>
        </is>
      </c>
      <c r="B202" s="2" t="n">
        <v>4.2</v>
      </c>
      <c r="C202" t="inlineStr"/>
      <c r="D202" t="inlineStr"/>
    </row>
    <row r="203">
      <c r="A203" s="2" t="inlineStr">
        <is>
          <t>BMW X5</t>
        </is>
      </c>
      <c r="B203" s="2" t="n">
        <v>14.1</v>
      </c>
      <c r="C203" t="inlineStr"/>
      <c r="D203" t="inlineStr"/>
    </row>
    <row r="204">
      <c r="A204" s="2" t="inlineStr">
        <is>
          <t>Citroen Berlingo, Fiat Doblò, Peugeot Partner/Rifter</t>
        </is>
      </c>
      <c r="B204" s="2" t="n">
        <v>19.5</v>
      </c>
      <c r="C204" t="inlineStr"/>
      <c r="D204" t="inlineStr"/>
    </row>
    <row r="205">
      <c r="A205" s="2" t="inlineStr">
        <is>
          <t>Citroen C3/DS 3</t>
        </is>
      </c>
      <c r="B205" s="2" t="n">
        <v>23.7</v>
      </c>
      <c r="C205" t="inlineStr"/>
      <c r="D205" t="inlineStr"/>
    </row>
    <row r="206">
      <c r="A206" s="2" t="inlineStr">
        <is>
          <t>DS Automobiles DS3, Citroen C3/DS 3</t>
        </is>
      </c>
      <c r="B206" s="2" t="n">
        <v>23.7</v>
      </c>
      <c r="C206" t="inlineStr"/>
      <c r="D206" t="inlineStr"/>
    </row>
    <row r="207">
      <c r="A207" s="2" t="inlineStr">
        <is>
          <t>Dacia Dokker</t>
        </is>
      </c>
      <c r="B207" s="2" t="n">
        <v>7.5</v>
      </c>
      <c r="C207" t="inlineStr"/>
      <c r="D207" t="inlineStr"/>
    </row>
    <row r="208">
      <c r="A208" s="2" t="inlineStr">
        <is>
          <t>Dacia Duster</t>
        </is>
      </c>
      <c r="B208" s="2" t="n">
        <v>22.9</v>
      </c>
      <c r="C208" t="inlineStr"/>
      <c r="D208" t="inlineStr"/>
    </row>
    <row r="209">
      <c r="A209" s="2" t="inlineStr">
        <is>
          <t>Dacia Logan</t>
        </is>
      </c>
      <c r="B209" s="2" t="n">
        <v>23.1</v>
      </c>
      <c r="C209" t="inlineStr"/>
      <c r="D209" t="inlineStr"/>
    </row>
    <row r="210">
      <c r="A210" s="2" t="inlineStr">
        <is>
          <t>Dacia Sandero</t>
        </is>
      </c>
      <c r="B210" s="2" t="n">
        <v>14.1</v>
      </c>
      <c r="C210" t="inlineStr"/>
      <c r="D210" t="inlineStr"/>
    </row>
    <row r="211">
      <c r="A211" s="2" t="inlineStr">
        <is>
          <t>Fiat 500</t>
        </is>
      </c>
      <c r="B211" s="2" t="n">
        <v>23.6</v>
      </c>
      <c r="C211" t="inlineStr"/>
      <c r="D211" t="inlineStr"/>
    </row>
    <row r="212">
      <c r="A212" s="2" t="inlineStr">
        <is>
          <t>Fiat Ducato</t>
        </is>
      </c>
      <c r="B212" s="2" t="n">
        <v>45.6</v>
      </c>
      <c r="C212" t="inlineStr"/>
      <c r="D212" t="inlineStr"/>
    </row>
    <row r="213">
      <c r="A213" s="2" t="inlineStr">
        <is>
          <t>Fiat Panda</t>
        </is>
      </c>
      <c r="B213" s="2" t="n">
        <v>16.5</v>
      </c>
      <c r="C213" t="inlineStr"/>
      <c r="D213" t="inlineStr"/>
    </row>
    <row r="214">
      <c r="A214" s="2" t="inlineStr">
        <is>
          <t>Ford B-MAX</t>
        </is>
      </c>
      <c r="B214" s="2" t="n">
        <v>17.7</v>
      </c>
      <c r="C214" t="inlineStr"/>
      <c r="D214" t="inlineStr"/>
    </row>
    <row r="215">
      <c r="A215" s="2" t="inlineStr">
        <is>
          <t>Ford C-MAX</t>
        </is>
      </c>
      <c r="B215" s="2" t="n">
        <v>25</v>
      </c>
      <c r="C215" t="inlineStr"/>
      <c r="D215" t="inlineStr"/>
    </row>
    <row r="216">
      <c r="A216" s="2" t="inlineStr">
        <is>
          <t>Ford Fiesta (Courier)</t>
        </is>
      </c>
      <c r="B216" s="2" t="n">
        <v>20.4</v>
      </c>
      <c r="C216" t="inlineStr"/>
      <c r="D216" t="inlineStr"/>
    </row>
    <row r="217">
      <c r="A217" s="2" t="inlineStr">
        <is>
          <t>Ford Focus</t>
        </is>
      </c>
      <c r="B217" s="2" t="n">
        <v>25.2</v>
      </c>
      <c r="C217" t="inlineStr"/>
      <c r="D217" t="inlineStr"/>
    </row>
    <row r="218">
      <c r="A218" s="2" t="inlineStr">
        <is>
          <t>Ford Kuga</t>
        </is>
      </c>
      <c r="B218" s="2" t="n">
        <v>23.6</v>
      </c>
      <c r="C218" t="inlineStr"/>
      <c r="D218" t="inlineStr"/>
    </row>
    <row r="219">
      <c r="A219" s="2" t="inlineStr">
        <is>
          <t>Ford Ranger</t>
        </is>
      </c>
      <c r="B219" s="2" t="n">
        <v>16.7</v>
      </c>
      <c r="C219" t="inlineStr"/>
      <c r="D219" t="inlineStr"/>
    </row>
    <row r="220">
      <c r="A220" s="2" t="inlineStr">
        <is>
          <t>Ford Tourneo/Transit Connect</t>
        </is>
      </c>
      <c r="B220" s="2" t="n">
        <v>23.5</v>
      </c>
      <c r="C220" t="inlineStr"/>
      <c r="D220" t="inlineStr"/>
    </row>
    <row r="221">
      <c r="A221" s="2" t="inlineStr">
        <is>
          <t>Ford Tourneo/Transit Custom</t>
        </is>
      </c>
      <c r="B221" s="2" t="n">
        <v>18.6</v>
      </c>
      <c r="C221" t="inlineStr"/>
      <c r="D221" t="inlineStr"/>
    </row>
    <row r="222">
      <c r="A222" s="2" t="inlineStr">
        <is>
          <t>Hyundai Tucson</t>
        </is>
      </c>
      <c r="B222" s="2" t="n">
        <v>18.2</v>
      </c>
      <c r="C222" t="inlineStr"/>
      <c r="D222" t="inlineStr"/>
    </row>
    <row r="223">
      <c r="A223" s="2" t="inlineStr">
        <is>
          <t>Hyundai i10</t>
        </is>
      </c>
      <c r="B223" s="2" t="n">
        <v>18.6</v>
      </c>
      <c r="C223" t="inlineStr"/>
      <c r="D223" t="inlineStr"/>
    </row>
    <row r="224">
      <c r="A224" s="2" t="inlineStr">
        <is>
          <t>Hyundai i20</t>
        </is>
      </c>
      <c r="B224" s="2" t="n">
        <v>21.1</v>
      </c>
      <c r="C224" t="inlineStr"/>
      <c r="D224" t="inlineStr"/>
    </row>
    <row r="225">
      <c r="A225" s="2" t="inlineStr">
        <is>
          <t>Hyundai i30</t>
        </is>
      </c>
      <c r="B225" s="2" t="n">
        <v>16.8</v>
      </c>
      <c r="C225" t="inlineStr"/>
      <c r="D225" t="inlineStr"/>
    </row>
    <row r="226">
      <c r="A226" s="2" t="inlineStr">
        <is>
          <t>Hyundai ix20</t>
        </is>
      </c>
      <c r="B226" s="2" t="n">
        <v>21.1</v>
      </c>
      <c r="C226" t="inlineStr"/>
      <c r="D226" t="inlineStr"/>
    </row>
    <row r="227">
      <c r="A227" s="2" t="inlineStr">
        <is>
          <t>KIA Ceed/XCeed</t>
        </is>
      </c>
      <c r="B227" s="2" t="n">
        <v>15.4</v>
      </c>
      <c r="C227" t="inlineStr"/>
      <c r="D227" t="inlineStr"/>
    </row>
    <row r="228">
      <c r="A228" s="2" t="inlineStr">
        <is>
          <t>Kia Picanto</t>
        </is>
      </c>
      <c r="B228" s="2" t="n">
        <v>24.4</v>
      </c>
      <c r="C228" t="inlineStr"/>
      <c r="D228" t="inlineStr"/>
    </row>
    <row r="229">
      <c r="A229" s="2" t="inlineStr">
        <is>
          <t>Kia Sportage</t>
        </is>
      </c>
      <c r="B229" s="2" t="n">
        <v>19.7</v>
      </c>
      <c r="C229" t="inlineStr"/>
      <c r="D229" t="inlineStr"/>
    </row>
    <row r="230">
      <c r="A230" s="2" t="inlineStr">
        <is>
          <t>MINI MINI</t>
        </is>
      </c>
      <c r="B230" s="2" t="n">
        <v>11.6</v>
      </c>
      <c r="C230" t="inlineStr"/>
      <c r="D230" t="inlineStr"/>
    </row>
    <row r="231">
      <c r="A231" s="2" t="inlineStr">
        <is>
          <t>Mazda 2</t>
        </is>
      </c>
      <c r="B231" s="2" t="n">
        <v>6.6</v>
      </c>
      <c r="C231" t="inlineStr"/>
      <c r="D231" t="inlineStr"/>
    </row>
    <row r="232">
      <c r="A232" s="2" t="inlineStr">
        <is>
          <t>Mazda 3</t>
        </is>
      </c>
      <c r="B232" s="2" t="n">
        <v>12.3</v>
      </c>
      <c r="C232" t="inlineStr"/>
      <c r="D232" t="inlineStr"/>
    </row>
    <row r="233">
      <c r="A233" s="2" t="inlineStr">
        <is>
          <t>Mazda CX-3</t>
        </is>
      </c>
      <c r="B233" s="2" t="n">
        <v>9.1</v>
      </c>
      <c r="C233" t="inlineStr"/>
      <c r="D233" t="inlineStr"/>
    </row>
    <row r="234">
      <c r="A234" s="2" t="inlineStr">
        <is>
          <t>Mazda CX-5</t>
        </is>
      </c>
      <c r="B234" s="2" t="n">
        <v>15.1</v>
      </c>
      <c r="C234" t="inlineStr"/>
      <c r="D234" t="inlineStr"/>
    </row>
    <row r="235">
      <c r="A235" s="2" t="inlineStr">
        <is>
          <t>Mercedes-Benz A-Klasse</t>
        </is>
      </c>
      <c r="B235" s="2" t="n">
        <v>13.9</v>
      </c>
      <c r="C235" t="inlineStr"/>
      <c r="D235" t="inlineStr"/>
    </row>
    <row r="236">
      <c r="A236" s="2" t="inlineStr">
        <is>
          <t>Mercedes-Benz B-Klasse</t>
        </is>
      </c>
      <c r="B236" s="2" t="n">
        <v>12.8</v>
      </c>
      <c r="C236" t="inlineStr"/>
      <c r="D236" t="inlineStr"/>
    </row>
    <row r="237">
      <c r="A237" s="2" t="inlineStr">
        <is>
          <t>Mercedes-Benz C-Klasse</t>
        </is>
      </c>
      <c r="B237" s="2" t="n">
        <v>11.4</v>
      </c>
      <c r="C237" t="inlineStr"/>
      <c r="D237" t="inlineStr"/>
    </row>
    <row r="238">
      <c r="A238" s="2" t="inlineStr">
        <is>
          <t>Mercedes-Benz CLA</t>
        </is>
      </c>
      <c r="B238" s="2" t="n">
        <v>19.3</v>
      </c>
      <c r="C238" t="inlineStr"/>
      <c r="D238" t="inlineStr"/>
    </row>
    <row r="239">
      <c r="A239" s="2" t="inlineStr">
        <is>
          <t>Mercedes-Benz Citan</t>
        </is>
      </c>
      <c r="B239" s="2" t="n">
        <v>21.9</v>
      </c>
      <c r="C239" t="inlineStr"/>
      <c r="D239" t="inlineStr"/>
    </row>
    <row r="240">
      <c r="A240" s="2" t="inlineStr">
        <is>
          <t>Mercedes-Benz E-Klasse</t>
        </is>
      </c>
      <c r="B240" s="2" t="n">
        <v>19.5</v>
      </c>
      <c r="C240" t="inlineStr"/>
      <c r="D240" t="inlineStr"/>
    </row>
    <row r="241">
      <c r="A241" s="2" t="inlineStr">
        <is>
          <t>Mercedes-Benz GLA</t>
        </is>
      </c>
      <c r="B241" s="2" t="n">
        <v>10.7</v>
      </c>
      <c r="C241" t="inlineStr"/>
      <c r="D241" t="inlineStr"/>
    </row>
    <row r="242">
      <c r="A242" s="2" t="inlineStr">
        <is>
          <t>Mercedes-Benz GLE</t>
        </is>
      </c>
      <c r="B242" s="2" t="n">
        <v>13</v>
      </c>
      <c r="C242" t="inlineStr"/>
      <c r="D242" t="inlineStr"/>
    </row>
    <row r="243">
      <c r="A243" s="2" t="inlineStr">
        <is>
          <t>Mitsubishi ASX</t>
        </is>
      </c>
      <c r="B243" s="2" t="n">
        <v>8.800000000000001</v>
      </c>
      <c r="C243" t="inlineStr"/>
      <c r="D243" t="inlineStr"/>
    </row>
    <row r="244">
      <c r="A244" s="2" t="inlineStr">
        <is>
          <t>Mitsubishi Space Star</t>
        </is>
      </c>
      <c r="B244" s="2" t="n">
        <v>25.9</v>
      </c>
      <c r="C244" t="inlineStr"/>
      <c r="D244" t="inlineStr"/>
    </row>
    <row r="245">
      <c r="A245" s="2" t="inlineStr">
        <is>
          <t>Nissan Micra</t>
        </is>
      </c>
      <c r="B245" s="2" t="n">
        <v>18.4</v>
      </c>
      <c r="C245" t="inlineStr"/>
      <c r="D245" t="inlineStr"/>
    </row>
    <row r="246">
      <c r="A246" s="2" t="inlineStr">
        <is>
          <t>Nissan Qashqai</t>
        </is>
      </c>
      <c r="B246" s="2" t="n">
        <v>24.9</v>
      </c>
      <c r="C246" t="inlineStr"/>
      <c r="D246" t="inlineStr"/>
    </row>
    <row r="247">
      <c r="A247" s="2" t="inlineStr">
        <is>
          <t>Opel ADAM</t>
        </is>
      </c>
      <c r="B247" s="2" t="n">
        <v>21</v>
      </c>
      <c r="C247" t="inlineStr"/>
      <c r="D247" t="inlineStr"/>
    </row>
    <row r="248">
      <c r="A248" s="2" t="inlineStr">
        <is>
          <t>Opel Astra</t>
        </is>
      </c>
      <c r="B248" s="2" t="n">
        <v>22.2</v>
      </c>
      <c r="C248" t="inlineStr"/>
      <c r="D248" t="inlineStr"/>
    </row>
    <row r="249">
      <c r="A249" s="2" t="inlineStr">
        <is>
          <t>Opel Corsa</t>
        </is>
      </c>
      <c r="B249" s="2" t="n">
        <v>20.2</v>
      </c>
      <c r="C249" t="inlineStr"/>
      <c r="D249" t="inlineStr"/>
    </row>
    <row r="250">
      <c r="A250" s="2" t="inlineStr">
        <is>
          <t>Opel KARL</t>
        </is>
      </c>
      <c r="B250" s="2" t="n">
        <v>20.4</v>
      </c>
      <c r="C250" t="inlineStr"/>
      <c r="D250" t="inlineStr"/>
    </row>
    <row r="251">
      <c r="A251" s="2" t="inlineStr">
        <is>
          <t>Opel Meriva</t>
        </is>
      </c>
      <c r="B251" s="2" t="n">
        <v>26.2</v>
      </c>
      <c r="C251" t="inlineStr"/>
      <c r="D251" t="inlineStr"/>
    </row>
    <row r="252">
      <c r="A252" s="2" t="inlineStr">
        <is>
          <t>Opel Mokka</t>
        </is>
      </c>
      <c r="B252" s="2" t="n">
        <v>20.4</v>
      </c>
      <c r="C252" t="inlineStr"/>
      <c r="D252" t="inlineStr"/>
    </row>
    <row r="253">
      <c r="A253" s="2" t="inlineStr">
        <is>
          <t>Opel Zafira</t>
        </is>
      </c>
      <c r="B253" s="2" t="n">
        <v>30.2</v>
      </c>
      <c r="C253" t="inlineStr"/>
      <c r="D253" t="inlineStr"/>
    </row>
    <row r="254">
      <c r="A254" s="2" t="inlineStr">
        <is>
          <t>Peugeot 2008</t>
        </is>
      </c>
      <c r="B254" s="2" t="n">
        <v>13.4</v>
      </c>
      <c r="C254" t="inlineStr"/>
      <c r="D254" t="inlineStr"/>
    </row>
    <row r="255">
      <c r="A255" s="2" t="inlineStr">
        <is>
          <t>Peugeot 208</t>
        </is>
      </c>
      <c r="B255" s="2" t="n">
        <v>20.4</v>
      </c>
      <c r="C255" t="inlineStr"/>
      <c r="D255" t="inlineStr"/>
    </row>
    <row r="256">
      <c r="A256" s="2" t="inlineStr">
        <is>
          <t>Peugeot 308</t>
        </is>
      </c>
      <c r="B256" s="2" t="n">
        <v>25.6</v>
      </c>
      <c r="C256" t="inlineStr"/>
      <c r="D256" t="inlineStr"/>
    </row>
    <row r="257">
      <c r="A257" s="2" t="inlineStr">
        <is>
          <t>Renault Clio/Captur</t>
        </is>
      </c>
      <c r="B257" s="2" t="n">
        <v>26</v>
      </c>
      <c r="C257" t="inlineStr"/>
      <c r="D257" t="inlineStr"/>
    </row>
    <row r="258">
      <c r="A258" s="2" t="inlineStr">
        <is>
          <t>Renault Kangoo/Rapid</t>
        </is>
      </c>
      <c r="B258" s="2" t="n">
        <v>26.8</v>
      </c>
      <c r="C258" t="inlineStr"/>
      <c r="D258" t="inlineStr"/>
    </row>
    <row r="259">
      <c r="A259" s="2" t="inlineStr">
        <is>
          <t>Renault Master</t>
        </is>
      </c>
      <c r="B259" s="2" t="n">
        <v>19.5</v>
      </c>
      <c r="C259" t="inlineStr"/>
      <c r="D259" t="inlineStr"/>
    </row>
    <row r="260">
      <c r="A260" s="2" t="inlineStr">
        <is>
          <t>Renault Mégane</t>
        </is>
      </c>
      <c r="B260" s="2" t="n">
        <v>28.1</v>
      </c>
      <c r="C260" t="inlineStr"/>
      <c r="D260" t="inlineStr"/>
    </row>
    <row r="261">
      <c r="A261" s="2" t="inlineStr">
        <is>
          <t>Renault Scénic</t>
        </is>
      </c>
      <c r="B261" s="2" t="n">
        <v>29.1</v>
      </c>
      <c r="C261" t="inlineStr"/>
      <c r="D261" t="inlineStr"/>
    </row>
    <row r="262">
      <c r="A262" s="2" t="inlineStr">
        <is>
          <t>Renault Twingo</t>
        </is>
      </c>
      <c r="B262" s="2" t="n">
        <v>20.7</v>
      </c>
      <c r="C262" t="inlineStr"/>
      <c r="D262" t="inlineStr"/>
    </row>
    <row r="263">
      <c r="A263" s="2" t="inlineStr">
        <is>
          <t>SEAT Ibiza</t>
        </is>
      </c>
      <c r="B263" s="2" t="n">
        <v>16.8</v>
      </c>
      <c r="C263" t="inlineStr"/>
      <c r="D263" t="inlineStr"/>
    </row>
    <row r="264">
      <c r="A264" s="2" t="inlineStr">
        <is>
          <t>SEAT Leon</t>
        </is>
      </c>
      <c r="B264" s="2" t="n">
        <v>10</v>
      </c>
      <c r="C264" t="inlineStr"/>
      <c r="D264" t="inlineStr"/>
    </row>
    <row r="265">
      <c r="A265" s="2" t="inlineStr">
        <is>
          <t>Skoda Fabia</t>
        </is>
      </c>
      <c r="B265" s="2" t="n">
        <v>12.8</v>
      </c>
      <c r="C265" t="inlineStr"/>
      <c r="D265" t="inlineStr"/>
    </row>
    <row r="266">
      <c r="A266" s="2" t="inlineStr">
        <is>
          <t>Skoda Octavia</t>
        </is>
      </c>
      <c r="B266" s="2" t="n">
        <v>10.4</v>
      </c>
      <c r="C266" t="inlineStr"/>
      <c r="D266" t="inlineStr"/>
    </row>
    <row r="267">
      <c r="A267" s="2" t="inlineStr">
        <is>
          <t>Skoda Rapid</t>
        </is>
      </c>
      <c r="B267" s="2" t="n">
        <v>15.1</v>
      </c>
      <c r="C267" t="inlineStr"/>
      <c r="D267" t="inlineStr"/>
    </row>
    <row r="268">
      <c r="A268" s="2" t="inlineStr">
        <is>
          <t>Skoda Yeti</t>
        </is>
      </c>
      <c r="B268" s="2" t="n">
        <v>14</v>
      </c>
      <c r="C268" t="inlineStr"/>
      <c r="D268" t="inlineStr"/>
    </row>
    <row r="269">
      <c r="A269" s="2" t="inlineStr">
        <is>
          <t>Suzuki Swift</t>
        </is>
      </c>
      <c r="B269" s="2" t="n">
        <v>12</v>
      </c>
      <c r="C269" t="inlineStr"/>
      <c r="D269" t="inlineStr"/>
    </row>
    <row r="270">
      <c r="A270" s="2" t="inlineStr">
        <is>
          <t>Toyota Auris</t>
        </is>
      </c>
      <c r="B270" s="2" t="n">
        <v>19.3</v>
      </c>
      <c r="C270" t="inlineStr"/>
      <c r="D270" t="inlineStr"/>
    </row>
    <row r="271">
      <c r="A271" s="2" t="inlineStr">
        <is>
          <t>Toyota Aygo</t>
        </is>
      </c>
      <c r="B271" s="2" t="n">
        <v>12</v>
      </c>
      <c r="C271" t="inlineStr"/>
      <c r="D271" t="inlineStr"/>
    </row>
    <row r="272">
      <c r="A272" s="2" t="inlineStr">
        <is>
          <t>Toyota Yaris</t>
        </is>
      </c>
      <c r="B272" s="2" t="n">
        <v>22.8</v>
      </c>
      <c r="C272" t="inlineStr"/>
      <c r="D272" t="inlineStr"/>
    </row>
    <row r="273">
      <c r="A273" s="2" t="inlineStr">
        <is>
          <t>VW Beetle</t>
        </is>
      </c>
      <c r="B273" s="2" t="n">
        <v>11.8</v>
      </c>
      <c r="C273" t="inlineStr"/>
      <c r="D273" t="inlineStr"/>
    </row>
    <row r="274">
      <c r="A274" s="2" t="inlineStr">
        <is>
          <t>VW Golf</t>
        </is>
      </c>
      <c r="B274" s="2" t="n">
        <v>10.5</v>
      </c>
      <c r="C274" t="inlineStr"/>
      <c r="D274" t="inlineStr"/>
    </row>
    <row r="275">
      <c r="A275" s="2" t="inlineStr">
        <is>
          <t>VW Nutzfahrzeuge Caddy</t>
        </is>
      </c>
      <c r="B275" s="2" t="n">
        <v>16.4</v>
      </c>
      <c r="C275" t="inlineStr"/>
      <c r="D275" t="inlineStr"/>
    </row>
    <row r="276">
      <c r="A276" s="2" t="inlineStr">
        <is>
          <t>VW Polo</t>
        </is>
      </c>
      <c r="B276" s="2" t="n">
        <v>14.9</v>
      </c>
      <c r="C276" t="inlineStr"/>
      <c r="D276" t="inlineStr"/>
    </row>
    <row r="277">
      <c r="A277" s="2" t="inlineStr">
        <is>
          <t>VW Tiguan</t>
        </is>
      </c>
      <c r="B277" s="2" t="n">
        <v>11.4</v>
      </c>
      <c r="C277" t="inlineStr"/>
      <c r="D277" t="inlineStr"/>
    </row>
    <row r="278">
      <c r="A278" s="2" t="inlineStr">
        <is>
          <t>VW Touran</t>
        </is>
      </c>
      <c r="B278" s="2" t="n">
        <v>20.3</v>
      </c>
      <c r="C278" t="inlineStr"/>
      <c r="D278" t="inlineStr"/>
    </row>
    <row r="279">
      <c r="A279" s="2" t="inlineStr">
        <is>
          <t>smart forfour</t>
        </is>
      </c>
      <c r="B279" s="2" t="n">
        <v>27.5</v>
      </c>
      <c r="C279" t="inlineStr"/>
      <c r="D279" t="inlineStr"/>
    </row>
    <row r="280">
      <c r="A280" s="2" t="inlineStr">
        <is>
          <t>smart fortwo</t>
        </is>
      </c>
      <c r="B280" s="2" t="n">
        <v>21</v>
      </c>
      <c r="C280" t="inlineStr"/>
      <c r="D280" t="inlineStr"/>
    </row>
    <row r="281">
      <c r="A281" t="inlineStr">
        <is>
          <t>ADAC: mediana de la tabla (referencia 50 puntos)</t>
        </is>
      </c>
      <c r="B281" s="4">
        <f>MEDIAN(B194:B280)</f>
        <v/>
      </c>
      <c r="C281" t="inlineStr">
        <is>
          <t>calculado</t>
        </is>
      </c>
      <c r="D281" t="inlineStr">
        <is>
          <t>punt_ADAC = 50 + 100·(mediana − PKZ)/mediana, acotado 0-100; mediana de todas las filas de la tabla</t>
        </is>
      </c>
    </row>
    <row r="283">
      <c r="A283" s="6" t="inlineStr">
        <is>
          <t>7. Fiabilidad por modelo (punt. TÜV = 50 + 100·(media − MQ)/media; punt. ADAC = 50 + 100·(ref − PKZ)/ref; punt. modelo = media de TÜV, ADAC y OCU marca)</t>
        </is>
      </c>
    </row>
    <row r="284">
      <c r="A284" s="7" t="inlineStr">
        <is>
          <t>Modelo</t>
        </is>
      </c>
      <c r="B284" s="7" t="inlineStr">
        <is>
          <t>Marca</t>
        </is>
      </c>
      <c r="C284" s="7" t="inlineStr">
        <is>
          <t>TÜV Mängelquote (%)</t>
        </is>
      </c>
      <c r="D284" s="7" t="inlineStr">
        <is>
          <t>Franja</t>
        </is>
      </c>
      <c r="E284" s="7" t="inlineStr">
        <is>
          <t>Media franja (%)</t>
        </is>
      </c>
      <c r="F284" s="7" t="inlineStr">
        <is>
          <t>Punt. TÜV</t>
        </is>
      </c>
      <c r="G284" s="7" t="inlineStr">
        <is>
          <t>Fila ADAC</t>
        </is>
      </c>
      <c r="H284" s="7" t="inlineStr">
        <is>
          <t>ADAC PKZ 2015</t>
        </is>
      </c>
      <c r="I284" s="7" t="inlineStr">
        <is>
          <t>Punt. ADAC</t>
        </is>
      </c>
      <c r="J284" s="7" t="inlineStr">
        <is>
          <t>Punt. OCU marca</t>
        </is>
      </c>
      <c r="K284" s="7" t="inlineStr">
        <is>
          <t>Punt. modelo</t>
        </is>
      </c>
      <c r="L284" s="7" t="inlineStr">
        <is>
          <t>Pendiente</t>
        </is>
      </c>
      <c r="M284" s="7" t="inlineStr">
        <is>
          <t>Estado</t>
        </is>
      </c>
      <c r="N284" s="7" t="inlineStr">
        <is>
          <t>Fuente</t>
        </is>
      </c>
      <c r="O284" s="7" t="inlineStr">
        <is>
          <t>Gemelo de plataforma</t>
        </is>
      </c>
      <c r="P284" s="7" t="inlineStr">
        <is>
          <t>Punt. efectiva</t>
        </is>
      </c>
      <c r="Q284" s="7" t="inlineStr">
        <is>
          <t>Por plataforma</t>
        </is>
      </c>
    </row>
    <row r="285">
      <c r="A285" s="2" t="inlineStr">
        <is>
          <t>Renault Clio</t>
        </is>
      </c>
      <c r="B285" s="2" t="inlineStr">
        <is>
          <t>Renault</t>
        </is>
      </c>
      <c r="C285" s="2" t="n">
        <v>40.4</v>
      </c>
      <c r="D285" s="2" t="inlineStr">
        <is>
          <t>12-13</t>
        </is>
      </c>
      <c r="E285" s="4">
        <f>VLOOKUP(D285,TUV_MEDIAS,2,0)</f>
        <v/>
      </c>
      <c r="F285" s="4">
        <f>IF(C285="","",MAX(0,MIN(100,50+100*(E285-C285)/E285)))</f>
        <v/>
      </c>
      <c r="G285" s="2" t="inlineStr">
        <is>
          <t>Renault Clio/Captur</t>
        </is>
      </c>
      <c r="H285" s="4">
        <f>IF(G285="","",IFERROR(VLOOKUP(G285,ADAC_TBL,2,0),""))</f>
        <v/>
      </c>
      <c r="I285" s="4">
        <f>IF(H285="","",MAX(0,MIN(100,50+100*(ADAC_REF-H285)/ADAC_REF)))</f>
        <v/>
      </c>
      <c r="J285" s="4">
        <f>IFERROR(VLOOKUP(B285,OCU_TBL,2,0),"")</f>
        <v/>
      </c>
      <c r="K285" s="4">
        <f>IF(COUNT(F285,I285,J285)=0,NEUTRO,AVERAGE(F285,I285,J285))</f>
        <v/>
      </c>
      <c r="L285" s="4">
        <f>IF(COUNT(F285,I285,J285)=0,"PENDIENTE","")</f>
        <v/>
      </c>
      <c r="M285" t="inlineStr">
        <is>
          <t>probable</t>
        </is>
      </c>
      <c r="N285" t="inlineStr">
        <is>
          <t>TÜV Report 2026 vía https://www.autobild.de/artikel/tuev-report-2026-gewinner-verlierer-28424531.html (peor de su franja)</t>
        </is>
      </c>
      <c r="P285" s="4">
        <f>IF(AND(L285="PENDIENTE",O285&lt;&gt;""),IFERROR(IF(VLOOKUP(O285,$A$285:$L$332,12,0)="",VLOOKUP(O285,$A$285:$L$332,11,0),K285),K285),K285)</f>
        <v/>
      </c>
      <c r="Q285" s="4">
        <f>IF(AND(L285="PENDIENTE",O285&lt;&gt;""),IFERROR(IF(VLOOKUP(O285,$A$285:$L$332,12,0)="","sí","no"),"no"),"no")</f>
        <v/>
      </c>
    </row>
    <row r="286">
      <c r="A286" s="2" t="inlineStr">
        <is>
          <t>Dacia Sandero</t>
        </is>
      </c>
      <c r="B286" s="2" t="inlineStr">
        <is>
          <t>Dacia</t>
        </is>
      </c>
      <c r="C286" s="2" t="n">
        <v>31.5</v>
      </c>
      <c r="D286" s="2" t="inlineStr">
        <is>
          <t>10-11</t>
        </is>
      </c>
      <c r="E286" s="4">
        <f>VLOOKUP(D286,TUV_MEDIAS,2,0)</f>
        <v/>
      </c>
      <c r="F286" s="4">
        <f>IF(C286="","",MAX(0,MIN(100,50+100*(E286-C286)/E286)))</f>
        <v/>
      </c>
      <c r="G286" s="2" t="inlineStr">
        <is>
          <t>Dacia Sandero</t>
        </is>
      </c>
      <c r="H286" s="4">
        <f>IF(G286="","",IFERROR(VLOOKUP(G286,ADAC_TBL,2,0),""))</f>
        <v/>
      </c>
      <c r="I286" s="4">
        <f>IF(H286="","",MAX(0,MIN(100,50+100*(ADAC_REF-H286)/ADAC_REF)))</f>
        <v/>
      </c>
      <c r="J286" s="4">
        <f>IFERROR(VLOOKUP(B286,OCU_TBL,2,0),"")</f>
        <v/>
      </c>
      <c r="K286" s="4">
        <f>IF(COUNT(F286,I286,J286)=0,NEUTRO,AVERAGE(F286,I286,J286))</f>
        <v/>
      </c>
      <c r="L286" s="4">
        <f>IF(COUNT(F286,I286,J286)=0,"PENDIENTE","")</f>
        <v/>
      </c>
      <c r="M286" t="inlineStr">
        <is>
          <t>probable (edición no fechada en el resumen)</t>
        </is>
      </c>
      <c r="N286" t="inlineStr">
        <is>
          <t>https://www.tuev-verband.de/presse/publikationen/reporte/tuev-report-autobild</t>
        </is>
      </c>
      <c r="P286" s="4">
        <f>IF(AND(L286="PENDIENTE",O286&lt;&gt;""),IFERROR(IF(VLOOKUP(O286,$A$285:$L$332,12,0)="",VLOOKUP(O286,$A$285:$L$332,11,0),K286),K286),K286)</f>
        <v/>
      </c>
      <c r="Q286" s="4">
        <f>IF(AND(L286="PENDIENTE",O286&lt;&gt;""),IFERROR(IF(VLOOKUP(O286,$A$285:$L$332,12,0)="","sí","no"),"no"),"no")</f>
        <v/>
      </c>
    </row>
    <row r="287">
      <c r="A287" s="2" t="inlineStr">
        <is>
          <t>Renault Mégane</t>
        </is>
      </c>
      <c r="B287" s="2" t="inlineStr">
        <is>
          <t>Renault</t>
        </is>
      </c>
      <c r="C287" s="2" t="n">
        <v>31.7</v>
      </c>
      <c r="D287" s="2" t="inlineStr">
        <is>
          <t>10-11</t>
        </is>
      </c>
      <c r="E287" s="4">
        <f>VLOOKUP(D287,TUV_MEDIAS,2,0)</f>
        <v/>
      </c>
      <c r="F287" s="4">
        <f>IF(C287="","",MAX(0,MIN(100,50+100*(E287-C287)/E287)))</f>
        <v/>
      </c>
      <c r="G287" s="2" t="inlineStr">
        <is>
          <t>Renault Mégane</t>
        </is>
      </c>
      <c r="H287" s="4">
        <f>IF(G287="","",IFERROR(VLOOKUP(G287,ADAC_TBL,2,0),""))</f>
        <v/>
      </c>
      <c r="I287" s="4">
        <f>IF(H287="","",MAX(0,MIN(100,50+100*(ADAC_REF-H287)/ADAC_REF)))</f>
        <v/>
      </c>
      <c r="J287" s="4">
        <f>IFERROR(VLOOKUP(B287,OCU_TBL,2,0),"")</f>
        <v/>
      </c>
      <c r="K287" s="4">
        <f>IF(COUNT(F287,I287,J287)=0,NEUTRO,AVERAGE(F287,I287,J287))</f>
        <v/>
      </c>
      <c r="L287" s="4">
        <f>IF(COUNT(F287,I287,J287)=0,"PENDIENTE","")</f>
        <v/>
      </c>
      <c r="M287" t="inlineStr">
        <is>
          <t>probable (edición no fechada en el resumen)</t>
        </is>
      </c>
      <c r="N287" t="inlineStr">
        <is>
          <t>https://www.tuev-verband.de/presse/publikationen/reporte/tuev-report-autobild</t>
        </is>
      </c>
      <c r="P287" s="4">
        <f>IF(AND(L287="PENDIENTE",O287&lt;&gt;""),IFERROR(IF(VLOOKUP(O287,$A$285:$L$332,12,0)="",VLOOKUP(O287,$A$285:$L$332,11,0),K287),K287),K287)</f>
        <v/>
      </c>
      <c r="Q287" s="4">
        <f>IF(AND(L287="PENDIENTE",O287&lt;&gt;""),IFERROR(IF(VLOOKUP(O287,$A$285:$L$332,12,0)="","sí","no"),"no"),"no")</f>
        <v/>
      </c>
    </row>
    <row r="288">
      <c r="A288" s="2" t="inlineStr">
        <is>
          <t>Ford Focus</t>
        </is>
      </c>
      <c r="B288" s="2" t="inlineStr">
        <is>
          <t>Ford</t>
        </is>
      </c>
      <c r="C288" s="2" t="n">
        <v>34.8</v>
      </c>
      <c r="D288" s="2" t="inlineStr">
        <is>
          <t>12-13</t>
        </is>
      </c>
      <c r="E288" s="2" t="n">
        <v>28.1</v>
      </c>
      <c r="F288" s="4">
        <f>IF(C288="","",MAX(0,MIN(100,50+100*(E288-C288)/E288)))</f>
        <v/>
      </c>
      <c r="G288" s="2" t="inlineStr">
        <is>
          <t>Ford Focus</t>
        </is>
      </c>
      <c r="H288" s="4">
        <f>IF(G288="","",IFERROR(VLOOKUP(G288,ADAC_TBL,2,0),""))</f>
        <v/>
      </c>
      <c r="I288" s="4">
        <f>IF(H288="","",MAX(0,MIN(100,50+100*(ADAC_REF-H288)/ADAC_REF)))</f>
        <v/>
      </c>
      <c r="J288" s="4">
        <f>IFERROR(VLOOKUP(B288,OCU_TBL,2,0),"")</f>
        <v/>
      </c>
      <c r="K288" s="4">
        <f>IF(COUNT(F288,I288,J288)=0,NEUTRO,AVERAGE(F288,I288,J288))</f>
        <v/>
      </c>
      <c r="L288" s="4">
        <f>IF(COUNT(F288,I288,J288)=0,"PENDIENTE","")</f>
        <v/>
      </c>
      <c r="M288" t="inlineStr">
        <is>
          <t>probable (TÜV 2025; media de franja 28,1 % en esa edición)</t>
        </is>
      </c>
      <c r="N288" t="inlineStr">
        <is>
          <t>https://www.t-online.de/mobilitaet/aktuelles/id_100543260/tuev-report-das-sind-die-schlechtesten-kompakten-gebrauchten.html</t>
        </is>
      </c>
      <c r="P288" s="4">
        <f>IF(AND(L288="PENDIENTE",O288&lt;&gt;""),IFERROR(IF(VLOOKUP(O288,$A$285:$L$332,12,0)="",VLOOKUP(O288,$A$285:$L$332,11,0),K288),K288),K288)</f>
        <v/>
      </c>
      <c r="Q288" s="4">
        <f>IF(AND(L288="PENDIENTE",O288&lt;&gt;""),IFERROR(IF(VLOOKUP(O288,$A$285:$L$332,12,0)="","sí","no"),"no"),"no")</f>
        <v/>
      </c>
    </row>
    <row r="289">
      <c r="A289" s="2" t="inlineStr">
        <is>
          <t>Volkswagen Golf</t>
        </is>
      </c>
      <c r="B289" s="2" t="inlineStr">
        <is>
          <t>Volkswagen</t>
        </is>
      </c>
      <c r="C289" s="2" t="n">
        <v>17.4</v>
      </c>
      <c r="D289" s="2" t="inlineStr">
        <is>
          <t>10-11</t>
        </is>
      </c>
      <c r="E289" s="4">
        <f>VLOOKUP(D289,TUV_MEDIAS,2,0)</f>
        <v/>
      </c>
      <c r="F289" s="4">
        <f>IF(C289="","",MAX(0,MIN(100,50+100*(E289-C289)/E289)))</f>
        <v/>
      </c>
      <c r="G289" s="2" t="inlineStr">
        <is>
          <t>VW Golf</t>
        </is>
      </c>
      <c r="H289" s="4">
        <f>IF(G289="","",IFERROR(VLOOKUP(G289,ADAC_TBL,2,0),""))</f>
        <v/>
      </c>
      <c r="I289" s="4">
        <f>IF(H289="","",MAX(0,MIN(100,50+100*(ADAC_REF-H289)/ADAC_REF)))</f>
        <v/>
      </c>
      <c r="J289" s="4">
        <f>IFERROR(VLOOKUP(B289,OCU_TBL,2,0),"")</f>
        <v/>
      </c>
      <c r="K289" s="4">
        <f>IF(COUNT(F289,I289,J289)=0,NEUTRO,AVERAGE(F289,I289,J289))</f>
        <v/>
      </c>
      <c r="L289" s="4">
        <f>IF(COUNT(F289,I289,J289)=0,"PENDIENTE","")</f>
        <v/>
      </c>
      <c r="M289" t="inlineStr">
        <is>
          <t>probable (el resumen lo marcó dudoso)</t>
        </is>
      </c>
      <c r="N289" t="inlineStr">
        <is>
          <t>https://www.tuvsud.com/de-de/publikationen/tuev-report/maengelzwerge-und-fehlerriesen</t>
        </is>
      </c>
      <c r="P289" s="4">
        <f>IF(AND(L289="PENDIENTE",O289&lt;&gt;""),IFERROR(IF(VLOOKUP(O289,$A$285:$L$332,12,0)="",VLOOKUP(O289,$A$285:$L$332,11,0),K289),K289),K289)</f>
        <v/>
      </c>
      <c r="Q289" s="4">
        <f>IF(AND(L289="PENDIENTE",O289&lt;&gt;""),IFERROR(IF(VLOOKUP(O289,$A$285:$L$332,12,0)="","sí","no"),"no"),"no")</f>
        <v/>
      </c>
    </row>
    <row r="290">
      <c r="A290" s="2" t="inlineStr">
        <is>
          <t>Mazda 3</t>
        </is>
      </c>
      <c r="B290" s="2" t="inlineStr">
        <is>
          <t>Mazda</t>
        </is>
      </c>
      <c r="C290" s="2" t="n">
        <v>20.9</v>
      </c>
      <c r="D290" s="2" t="inlineStr">
        <is>
          <t>12-13</t>
        </is>
      </c>
      <c r="E290" s="4">
        <f>VLOOKUP(D290,TUV_MEDIAS,2,0)</f>
        <v/>
      </c>
      <c r="F290" s="4">
        <f>IF(C290="","",MAX(0,MIN(100,50+100*(E290-C290)/E290)))</f>
        <v/>
      </c>
      <c r="G290" s="2" t="inlineStr">
        <is>
          <t>Mazda 3</t>
        </is>
      </c>
      <c r="H290" s="4">
        <f>IF(G290="","",IFERROR(VLOOKUP(G290,ADAC_TBL,2,0),""))</f>
        <v/>
      </c>
      <c r="I290" s="4">
        <f>IF(H290="","",MAX(0,MIN(100,50+100*(ADAC_REF-H290)/ADAC_REF)))</f>
        <v/>
      </c>
      <c r="J290" s="4">
        <f>IFERROR(VLOOKUP(B290,OCU_TBL,2,0),"")</f>
        <v/>
      </c>
      <c r="K290" s="4">
        <f>IF(COUNT(F290,I290,J290)=0,NEUTRO,AVERAGE(F290,I290,J290))</f>
        <v/>
      </c>
      <c r="L290" s="4">
        <f>IF(COUNT(F290,I290,J290)=0,"PENDIENTE","")</f>
        <v/>
      </c>
      <c r="M290" t="inlineStr">
        <is>
          <t>probable (sin verificar)</t>
        </is>
      </c>
      <c r="N290" t="inlineStr">
        <is>
          <t>https://www.tuvsud.com/de-de/publikationen/tuev-report/maengelzwerge-und-fehlerriesen</t>
        </is>
      </c>
      <c r="P290" s="4">
        <f>IF(AND(L290="PENDIENTE",O290&lt;&gt;""),IFERROR(IF(VLOOKUP(O290,$A$285:$L$332,12,0)="",VLOOKUP(O290,$A$285:$L$332,11,0),K290),K290),K290)</f>
        <v/>
      </c>
      <c r="Q290" s="4">
        <f>IF(AND(L290="PENDIENTE",O290&lt;&gt;""),IFERROR(IF(VLOOKUP(O290,$A$285:$L$332,12,0)="","sí","no"),"no"),"no")</f>
        <v/>
      </c>
    </row>
    <row r="291">
      <c r="A291" s="2" t="inlineStr">
        <is>
          <t>Mitsubishi Space Star</t>
        </is>
      </c>
      <c r="B291" s="2" t="inlineStr">
        <is>
          <t>Mitsubishi</t>
        </is>
      </c>
      <c r="F291" s="4">
        <f>IF(C291="","",MAX(0,MIN(100,50+100*(E291-C291)/E291)))</f>
        <v/>
      </c>
      <c r="G291" s="2" t="inlineStr">
        <is>
          <t>Mitsubishi Space Star</t>
        </is>
      </c>
      <c r="H291" s="4">
        <f>IF(G291="","",IFERROR(VLOOKUP(G291,ADAC_TBL,2,0),""))</f>
        <v/>
      </c>
      <c r="I291" s="4">
        <f>IF(H291="","",MAX(0,MIN(100,50+100*(ADAC_REF-H291)/ADAC_REF)))</f>
        <v/>
      </c>
      <c r="J291" s="4">
        <f>IFERROR(VLOOKUP(B291,OCU_TBL,2,0),"")</f>
        <v/>
      </c>
      <c r="K291" s="4">
        <f>IF(COUNT(F291,I291,J291)=0,NEUTRO,AVERAGE(F291,I291,J291))</f>
        <v/>
      </c>
      <c r="L291" s="4">
        <f>IF(COUNT(F291,I291,J291)=0,"PENDIENTE","")</f>
        <v/>
      </c>
      <c r="M291" t="inlineStr">
        <is>
          <t>solo ADAC</t>
        </is>
      </c>
      <c r="N291" t="inlineStr"/>
      <c r="P291" s="4">
        <f>IF(AND(L291="PENDIENTE",O291&lt;&gt;""),IFERROR(IF(VLOOKUP(O291,$A$285:$L$332,12,0)="",VLOOKUP(O291,$A$285:$L$332,11,0),K291),K291),K291)</f>
        <v/>
      </c>
      <c r="Q291" s="4">
        <f>IF(AND(L291="PENDIENTE",O291&lt;&gt;""),IFERROR(IF(VLOOKUP(O291,$A$285:$L$332,12,0)="","sí","no"),"no"),"no")</f>
        <v/>
      </c>
    </row>
    <row r="292">
      <c r="A292" s="2" t="inlineStr">
        <is>
          <t>Toyota Aygo</t>
        </is>
      </c>
      <c r="B292" s="2" t="inlineStr">
        <is>
          <t>Toyota</t>
        </is>
      </c>
      <c r="F292" s="4">
        <f>IF(C292="","",MAX(0,MIN(100,50+100*(E292-C292)/E292)))</f>
        <v/>
      </c>
      <c r="G292" s="2" t="inlineStr">
        <is>
          <t>Toyota Aygo</t>
        </is>
      </c>
      <c r="H292" s="4">
        <f>IF(G292="","",IFERROR(VLOOKUP(G292,ADAC_TBL,2,0),""))</f>
        <v/>
      </c>
      <c r="I292" s="4">
        <f>IF(H292="","",MAX(0,MIN(100,50+100*(ADAC_REF-H292)/ADAC_REF)))</f>
        <v/>
      </c>
      <c r="J292" s="4">
        <f>IFERROR(VLOOKUP(B292,OCU_TBL,2,0),"")</f>
        <v/>
      </c>
      <c r="K292" s="4">
        <f>IF(COUNT(F292,I292,J292)=0,NEUTRO,AVERAGE(F292,I292,J292))</f>
        <v/>
      </c>
      <c r="L292" s="4">
        <f>IF(COUNT(F292,I292,J292)=0,"PENDIENTE","")</f>
        <v/>
      </c>
      <c r="M292" t="inlineStr">
        <is>
          <t>solo ADAC</t>
        </is>
      </c>
      <c r="N292" t="inlineStr"/>
      <c r="P292" s="4">
        <f>IF(AND(L292="PENDIENTE",O292&lt;&gt;""),IFERROR(IF(VLOOKUP(O292,$A$285:$L$332,12,0)="",VLOOKUP(O292,$A$285:$L$332,11,0),K292),K292),K292)</f>
        <v/>
      </c>
      <c r="Q292" s="4">
        <f>IF(AND(L292="PENDIENTE",O292&lt;&gt;""),IFERROR(IF(VLOOKUP(O292,$A$285:$L$332,12,0)="","sí","no"),"no"),"no")</f>
        <v/>
      </c>
    </row>
    <row r="293">
      <c r="A293" s="2" t="inlineStr">
        <is>
          <t>Fiat Panda</t>
        </is>
      </c>
      <c r="B293" s="2" t="inlineStr">
        <is>
          <t>Fiat</t>
        </is>
      </c>
      <c r="F293" s="4">
        <f>IF(C293="","",MAX(0,MIN(100,50+100*(E293-C293)/E293)))</f>
        <v/>
      </c>
      <c r="G293" s="2" t="inlineStr">
        <is>
          <t>Fiat Panda</t>
        </is>
      </c>
      <c r="H293" s="4">
        <f>IF(G293="","",IFERROR(VLOOKUP(G293,ADAC_TBL,2,0),""))</f>
        <v/>
      </c>
      <c r="I293" s="4">
        <f>IF(H293="","",MAX(0,MIN(100,50+100*(ADAC_REF-H293)/ADAC_REF)))</f>
        <v/>
      </c>
      <c r="J293" s="4">
        <f>IFERROR(VLOOKUP(B293,OCU_TBL,2,0),"")</f>
        <v/>
      </c>
      <c r="K293" s="4">
        <f>IF(COUNT(F293,I293,J293)=0,NEUTRO,AVERAGE(F293,I293,J293))</f>
        <v/>
      </c>
      <c r="L293" s="4">
        <f>IF(COUNT(F293,I293,J293)=0,"PENDIENTE","")</f>
        <v/>
      </c>
      <c r="M293" t="inlineStr">
        <is>
          <t>solo ADAC</t>
        </is>
      </c>
      <c r="N293" t="inlineStr"/>
      <c r="P293" s="4">
        <f>IF(AND(L293="PENDIENTE",O293&lt;&gt;""),IFERROR(IF(VLOOKUP(O293,$A$285:$L$332,12,0)="",VLOOKUP(O293,$A$285:$L$332,11,0),K293),K293),K293)</f>
        <v/>
      </c>
      <c r="Q293" s="4">
        <f>IF(AND(L293="PENDIENTE",O293&lt;&gt;""),IFERROR(IF(VLOOKUP(O293,$A$285:$L$332,12,0)="","sí","no"),"no"),"no")</f>
        <v/>
      </c>
    </row>
    <row r="294">
      <c r="A294" s="2" t="inlineStr">
        <is>
          <t>Dacia Logan</t>
        </is>
      </c>
      <c r="B294" s="2" t="inlineStr">
        <is>
          <t>Dacia</t>
        </is>
      </c>
      <c r="F294" s="4">
        <f>IF(C294="","",MAX(0,MIN(100,50+100*(E294-C294)/E294)))</f>
        <v/>
      </c>
      <c r="G294" s="2" t="inlineStr">
        <is>
          <t>Dacia Logan</t>
        </is>
      </c>
      <c r="H294" s="4">
        <f>IF(G294="","",IFERROR(VLOOKUP(G294,ADAC_TBL,2,0),""))</f>
        <v/>
      </c>
      <c r="I294" s="4">
        <f>IF(H294="","",MAX(0,MIN(100,50+100*(ADAC_REF-H294)/ADAC_REF)))</f>
        <v/>
      </c>
      <c r="J294" s="4">
        <f>IFERROR(VLOOKUP(B294,OCU_TBL,2,0),"")</f>
        <v/>
      </c>
      <c r="K294" s="4">
        <f>IF(COUNT(F294,I294,J294)=0,NEUTRO,AVERAGE(F294,I294,J294))</f>
        <v/>
      </c>
      <c r="L294" s="4">
        <f>IF(COUNT(F294,I294,J294)=0,"PENDIENTE","")</f>
        <v/>
      </c>
      <c r="M294" t="inlineStr">
        <is>
          <t>solo ADAC</t>
        </is>
      </c>
      <c r="N294" t="inlineStr"/>
      <c r="P294" s="4">
        <f>IF(AND(L294="PENDIENTE",O294&lt;&gt;""),IFERROR(IF(VLOOKUP(O294,$A$285:$L$332,12,0)="",VLOOKUP(O294,$A$285:$L$332,11,0),K294),K294),K294)</f>
        <v/>
      </c>
      <c r="Q294" s="4">
        <f>IF(AND(L294="PENDIENTE",O294&lt;&gt;""),IFERROR(IF(VLOOKUP(O294,$A$285:$L$332,12,0)="","sí","no"),"no"),"no")</f>
        <v/>
      </c>
    </row>
    <row r="295">
      <c r="A295" s="2" t="inlineStr">
        <is>
          <t>Toyota Yaris</t>
        </is>
      </c>
      <c r="B295" s="2" t="inlineStr">
        <is>
          <t>Toyota</t>
        </is>
      </c>
      <c r="F295" s="4">
        <f>IF(C295="","",MAX(0,MIN(100,50+100*(E295-C295)/E295)))</f>
        <v/>
      </c>
      <c r="G295" s="2" t="inlineStr">
        <is>
          <t>Toyota Yaris</t>
        </is>
      </c>
      <c r="H295" s="4">
        <f>IF(G295="","",IFERROR(VLOOKUP(G295,ADAC_TBL,2,0),""))</f>
        <v/>
      </c>
      <c r="I295" s="4">
        <f>IF(H295="","",MAX(0,MIN(100,50+100*(ADAC_REF-H295)/ADAC_REF)))</f>
        <v/>
      </c>
      <c r="J295" s="4">
        <f>IFERROR(VLOOKUP(B295,OCU_TBL,2,0),"")</f>
        <v/>
      </c>
      <c r="K295" s="4">
        <f>IF(COUNT(F295,I295,J295)=0,NEUTRO,AVERAGE(F295,I295,J295))</f>
        <v/>
      </c>
      <c r="L295" s="4">
        <f>IF(COUNT(F295,I295,J295)=0,"PENDIENTE","")</f>
        <v/>
      </c>
      <c r="M295" t="inlineStr">
        <is>
          <t>PENDIENTE</t>
        </is>
      </c>
      <c r="N295" t="inlineStr"/>
      <c r="P295" s="4">
        <f>IF(AND(L295="PENDIENTE",O295&lt;&gt;""),IFERROR(IF(VLOOKUP(O295,$A$285:$L$332,12,0)="",VLOOKUP(O295,$A$285:$L$332,11,0),K295),K295),K295)</f>
        <v/>
      </c>
      <c r="Q295" s="4">
        <f>IF(AND(L295="PENDIENTE",O295&lt;&gt;""),IFERROR(IF(VLOOKUP(O295,$A$285:$L$332,12,0)="","sí","no"),"no"),"no")</f>
        <v/>
      </c>
    </row>
    <row r="296">
      <c r="A296" s="2" t="inlineStr">
        <is>
          <t>Toyota Auris</t>
        </is>
      </c>
      <c r="B296" s="2" t="inlineStr">
        <is>
          <t>Toyota</t>
        </is>
      </c>
      <c r="F296" s="4">
        <f>IF(C296="","",MAX(0,MIN(100,50+100*(E296-C296)/E296)))</f>
        <v/>
      </c>
      <c r="G296" s="2" t="inlineStr">
        <is>
          <t>Toyota Auris</t>
        </is>
      </c>
      <c r="H296" s="4">
        <f>IF(G296="","",IFERROR(VLOOKUP(G296,ADAC_TBL,2,0),""))</f>
        <v/>
      </c>
      <c r="I296" s="4">
        <f>IF(H296="","",MAX(0,MIN(100,50+100*(ADAC_REF-H296)/ADAC_REF)))</f>
        <v/>
      </c>
      <c r="J296" s="4">
        <f>IFERROR(VLOOKUP(B296,OCU_TBL,2,0),"")</f>
        <v/>
      </c>
      <c r="K296" s="4">
        <f>IF(COUNT(F296,I296,J296)=0,NEUTRO,AVERAGE(F296,I296,J296))</f>
        <v/>
      </c>
      <c r="L296" s="4">
        <f>IF(COUNT(F296,I296,J296)=0,"PENDIENTE","")</f>
        <v/>
      </c>
      <c r="M296" t="inlineStr">
        <is>
          <t>PENDIENTE</t>
        </is>
      </c>
      <c r="N296" t="inlineStr"/>
      <c r="P296" s="4">
        <f>IF(AND(L296="PENDIENTE",O296&lt;&gt;""),IFERROR(IF(VLOOKUP(O296,$A$285:$L$332,12,0)="",VLOOKUP(O296,$A$285:$L$332,11,0),K296),K296),K296)</f>
        <v/>
      </c>
      <c r="Q296" s="4">
        <f>IF(AND(L296="PENDIENTE",O296&lt;&gt;""),IFERROR(IF(VLOOKUP(O296,$A$285:$L$332,12,0)="","sí","no"),"no"),"no")</f>
        <v/>
      </c>
    </row>
    <row r="297">
      <c r="A297" s="2" t="inlineStr">
        <is>
          <t>Toyota Corolla</t>
        </is>
      </c>
      <c r="B297" s="2" t="inlineStr">
        <is>
          <t>Toyota</t>
        </is>
      </c>
      <c r="F297" s="4">
        <f>IF(C297="","",MAX(0,MIN(100,50+100*(E297-C297)/E297)))</f>
        <v/>
      </c>
      <c r="H297" s="4">
        <f>IF(G297="","",IFERROR(VLOOKUP(G297,ADAC_TBL,2,0),""))</f>
        <v/>
      </c>
      <c r="I297" s="4">
        <f>IF(H297="","",MAX(0,MIN(100,50+100*(ADAC_REF-H297)/ADAC_REF)))</f>
        <v/>
      </c>
      <c r="J297" s="4">
        <f>IFERROR(VLOOKUP(B297,OCU_TBL,2,0),"")</f>
        <v/>
      </c>
      <c r="K297" s="4">
        <f>IF(COUNT(F297,I297,J297)=0,NEUTRO,AVERAGE(F297,I297,J297))</f>
        <v/>
      </c>
      <c r="L297" s="4">
        <f>IF(COUNT(F297,I297,J297)=0,"PENDIENTE","")</f>
        <v/>
      </c>
      <c r="M297" t="inlineStr">
        <is>
          <t>PENDIENTE</t>
        </is>
      </c>
      <c r="N297" t="inlineStr"/>
      <c r="P297" s="4">
        <f>IF(AND(L297="PENDIENTE",O297&lt;&gt;""),IFERROR(IF(VLOOKUP(O297,$A$285:$L$332,12,0)="",VLOOKUP(O297,$A$285:$L$332,11,0),K297),K297),K297)</f>
        <v/>
      </c>
      <c r="Q297" s="4">
        <f>IF(AND(L297="PENDIENTE",O297&lt;&gt;""),IFERROR(IF(VLOOKUP(O297,$A$285:$L$332,12,0)="","sí","no"),"no"),"no")</f>
        <v/>
      </c>
    </row>
    <row r="298">
      <c r="A298" s="2" t="inlineStr">
        <is>
          <t>Honda Jazz</t>
        </is>
      </c>
      <c r="B298" s="2" t="inlineStr">
        <is>
          <t>Honda</t>
        </is>
      </c>
      <c r="F298" s="4">
        <f>IF(C298="","",MAX(0,MIN(100,50+100*(E298-C298)/E298)))</f>
        <v/>
      </c>
      <c r="H298" s="4">
        <f>IF(G298="","",IFERROR(VLOOKUP(G298,ADAC_TBL,2,0),""))</f>
        <v/>
      </c>
      <c r="I298" s="4">
        <f>IF(H298="","",MAX(0,MIN(100,50+100*(ADAC_REF-H298)/ADAC_REF)))</f>
        <v/>
      </c>
      <c r="J298" s="4">
        <f>IFERROR(VLOOKUP(B298,OCU_TBL,2,0),"")</f>
        <v/>
      </c>
      <c r="K298" s="4">
        <f>IF(COUNT(F298,I298,J298)=0,NEUTRO,AVERAGE(F298,I298,J298))</f>
        <v/>
      </c>
      <c r="L298" s="4">
        <f>IF(COUNT(F298,I298,J298)=0,"PENDIENTE","")</f>
        <v/>
      </c>
      <c r="M298" t="inlineStr">
        <is>
          <t>PENDIENTE</t>
        </is>
      </c>
      <c r="N298" t="inlineStr"/>
      <c r="P298" s="4">
        <f>IF(AND(L298="PENDIENTE",O298&lt;&gt;""),IFERROR(IF(VLOOKUP(O298,$A$285:$L$332,12,0)="",VLOOKUP(O298,$A$285:$L$332,11,0),K298),K298),K298)</f>
        <v/>
      </c>
      <c r="Q298" s="4">
        <f>IF(AND(L298="PENDIENTE",O298&lt;&gt;""),IFERROR(IF(VLOOKUP(O298,$A$285:$L$332,12,0)="","sí","no"),"no"),"no")</f>
        <v/>
      </c>
    </row>
    <row r="299">
      <c r="A299" s="2" t="inlineStr">
        <is>
          <t>Honda Civic</t>
        </is>
      </c>
      <c r="B299" s="2" t="inlineStr">
        <is>
          <t>Honda</t>
        </is>
      </c>
      <c r="F299" s="4">
        <f>IF(C299="","",MAX(0,MIN(100,50+100*(E299-C299)/E299)))</f>
        <v/>
      </c>
      <c r="H299" s="4">
        <f>IF(G299="","",IFERROR(VLOOKUP(G299,ADAC_TBL,2,0),""))</f>
        <v/>
      </c>
      <c r="I299" s="4">
        <f>IF(H299="","",MAX(0,MIN(100,50+100*(ADAC_REF-H299)/ADAC_REF)))</f>
        <v/>
      </c>
      <c r="J299" s="4">
        <f>IFERROR(VLOOKUP(B299,OCU_TBL,2,0),"")</f>
        <v/>
      </c>
      <c r="K299" s="4">
        <f>IF(COUNT(F299,I299,J299)=0,NEUTRO,AVERAGE(F299,I299,J299))</f>
        <v/>
      </c>
      <c r="L299" s="4">
        <f>IF(COUNT(F299,I299,J299)=0,"PENDIENTE","")</f>
        <v/>
      </c>
      <c r="M299" t="inlineStr">
        <is>
          <t>PENDIENTE</t>
        </is>
      </c>
      <c r="N299" t="inlineStr"/>
      <c r="P299" s="4">
        <f>IF(AND(L299="PENDIENTE",O299&lt;&gt;""),IFERROR(IF(VLOOKUP(O299,$A$285:$L$332,12,0)="",VLOOKUP(O299,$A$285:$L$332,11,0),K299),K299),K299)</f>
        <v/>
      </c>
      <c r="Q299" s="4">
        <f>IF(AND(L299="PENDIENTE",O299&lt;&gt;""),IFERROR(IF(VLOOKUP(O299,$A$285:$L$332,12,0)="","sí","no"),"no"),"no")</f>
        <v/>
      </c>
    </row>
    <row r="300">
      <c r="A300" s="2" t="inlineStr">
        <is>
          <t>Mazda 2</t>
        </is>
      </c>
      <c r="B300" s="2" t="inlineStr">
        <is>
          <t>Mazda</t>
        </is>
      </c>
      <c r="F300" s="4">
        <f>IF(C300="","",MAX(0,MIN(100,50+100*(E300-C300)/E300)))</f>
        <v/>
      </c>
      <c r="G300" s="2" t="inlineStr">
        <is>
          <t>Mazda 2</t>
        </is>
      </c>
      <c r="H300" s="4">
        <f>IF(G300="","",IFERROR(VLOOKUP(G300,ADAC_TBL,2,0),""))</f>
        <v/>
      </c>
      <c r="I300" s="4">
        <f>IF(H300="","",MAX(0,MIN(100,50+100*(ADAC_REF-H300)/ADAC_REF)))</f>
        <v/>
      </c>
      <c r="J300" s="4">
        <f>IFERROR(VLOOKUP(B300,OCU_TBL,2,0),"")</f>
        <v/>
      </c>
      <c r="K300" s="4">
        <f>IF(COUNT(F300,I300,J300)=0,NEUTRO,AVERAGE(F300,I300,J300))</f>
        <v/>
      </c>
      <c r="L300" s="4">
        <f>IF(COUNT(F300,I300,J300)=0,"PENDIENTE","")</f>
        <v/>
      </c>
      <c r="M300" t="inlineStr">
        <is>
          <t>PENDIENTE (TÜV 2026 solo da franjas jóvenes: 2,9 % a 2-3 años; ADAC 2026 lo pone entre los mejores Kleinwagen 2016-2023)</t>
        </is>
      </c>
      <c r="N300" t="inlineStr"/>
      <c r="P300" s="4">
        <f>IF(AND(L300="PENDIENTE",O300&lt;&gt;""),IFERROR(IF(VLOOKUP(O300,$A$285:$L$332,12,0)="",VLOOKUP(O300,$A$285:$L$332,11,0),K300),K300),K300)</f>
        <v/>
      </c>
      <c r="Q300" s="4">
        <f>IF(AND(L300="PENDIENTE",O300&lt;&gt;""),IFERROR(IF(VLOOKUP(O300,$A$285:$L$332,12,0)="","sí","no"),"no"),"no")</f>
        <v/>
      </c>
    </row>
    <row r="301">
      <c r="A301" s="2" t="inlineStr">
        <is>
          <t>Kia Rio</t>
        </is>
      </c>
      <c r="B301" s="2" t="inlineStr">
        <is>
          <t>Kia</t>
        </is>
      </c>
      <c r="F301" s="4">
        <f>IF(C301="","",MAX(0,MIN(100,50+100*(E301-C301)/E301)))</f>
        <v/>
      </c>
      <c r="H301" s="4">
        <f>IF(G301="","",IFERROR(VLOOKUP(G301,ADAC_TBL,2,0),""))</f>
        <v/>
      </c>
      <c r="I301" s="4">
        <f>IF(H301="","",MAX(0,MIN(100,50+100*(ADAC_REF-H301)/ADAC_REF)))</f>
        <v/>
      </c>
      <c r="J301" s="4">
        <f>IFERROR(VLOOKUP(B301,OCU_TBL,2,0),"")</f>
        <v/>
      </c>
      <c r="K301" s="4">
        <f>IF(COUNT(F301,I301,J301)=0,NEUTRO,AVERAGE(F301,I301,J301))</f>
        <v/>
      </c>
      <c r="L301" s="4">
        <f>IF(COUNT(F301,I301,J301)=0,"PENDIENTE","")</f>
        <v/>
      </c>
      <c r="M301" t="inlineStr">
        <is>
          <t>PENDIENTE</t>
        </is>
      </c>
      <c r="N301" t="inlineStr"/>
      <c r="P301" s="4">
        <f>IF(AND(L301="PENDIENTE",O301&lt;&gt;""),IFERROR(IF(VLOOKUP(O301,$A$285:$L$332,12,0)="",VLOOKUP(O301,$A$285:$L$332,11,0),K301),K301),K301)</f>
        <v/>
      </c>
      <c r="Q301" s="4">
        <f>IF(AND(L301="PENDIENTE",O301&lt;&gt;""),IFERROR(IF(VLOOKUP(O301,$A$285:$L$332,12,0)="","sí","no"),"no"),"no")</f>
        <v/>
      </c>
    </row>
    <row r="302">
      <c r="A302" s="2" t="inlineStr">
        <is>
          <t>Kia Ceed</t>
        </is>
      </c>
      <c r="B302" s="2" t="inlineStr">
        <is>
          <t>Kia</t>
        </is>
      </c>
      <c r="F302" s="4">
        <f>IF(C302="","",MAX(0,MIN(100,50+100*(E302-C302)/E302)))</f>
        <v/>
      </c>
      <c r="G302" s="2" t="inlineStr">
        <is>
          <t>KIA Ceed/XCeed</t>
        </is>
      </c>
      <c r="H302" s="4">
        <f>IF(G302="","",IFERROR(VLOOKUP(G302,ADAC_TBL,2,0),""))</f>
        <v/>
      </c>
      <c r="I302" s="4">
        <f>IF(H302="","",MAX(0,MIN(100,50+100*(ADAC_REF-H302)/ADAC_REF)))</f>
        <v/>
      </c>
      <c r="J302" s="4">
        <f>IFERROR(VLOOKUP(B302,OCU_TBL,2,0),"")</f>
        <v/>
      </c>
      <c r="K302" s="4">
        <f>IF(COUNT(F302,I302,J302)=0,NEUTRO,AVERAGE(F302,I302,J302))</f>
        <v/>
      </c>
      <c r="L302" s="4">
        <f>IF(COUNT(F302,I302,J302)=0,"PENDIENTE","")</f>
        <v/>
      </c>
      <c r="M302" t="inlineStr">
        <is>
          <t>PENDIENTE</t>
        </is>
      </c>
      <c r="N302" t="inlineStr"/>
      <c r="P302" s="4">
        <f>IF(AND(L302="PENDIENTE",O302&lt;&gt;""),IFERROR(IF(VLOOKUP(O302,$A$285:$L$332,12,0)="",VLOOKUP(O302,$A$285:$L$332,11,0),K302),K302),K302)</f>
        <v/>
      </c>
      <c r="Q302" s="4">
        <f>IF(AND(L302="PENDIENTE",O302&lt;&gt;""),IFERROR(IF(VLOOKUP(O302,$A$285:$L$332,12,0)="","sí","no"),"no"),"no")</f>
        <v/>
      </c>
    </row>
    <row r="303">
      <c r="A303" s="2" t="inlineStr">
        <is>
          <t>Kia Picanto</t>
        </is>
      </c>
      <c r="B303" s="2" t="inlineStr">
        <is>
          <t>Kia</t>
        </is>
      </c>
      <c r="F303" s="4">
        <f>IF(C303="","",MAX(0,MIN(100,50+100*(E303-C303)/E303)))</f>
        <v/>
      </c>
      <c r="G303" s="2" t="inlineStr">
        <is>
          <t>Kia Picanto</t>
        </is>
      </c>
      <c r="H303" s="4">
        <f>IF(G303="","",IFERROR(VLOOKUP(G303,ADAC_TBL,2,0),""))</f>
        <v/>
      </c>
      <c r="I303" s="4">
        <f>IF(H303="","",MAX(0,MIN(100,50+100*(ADAC_REF-H303)/ADAC_REF)))</f>
        <v/>
      </c>
      <c r="J303" s="4">
        <f>IFERROR(VLOOKUP(B303,OCU_TBL,2,0),"")</f>
        <v/>
      </c>
      <c r="K303" s="4">
        <f>IF(COUNT(F303,I303,J303)=0,NEUTRO,AVERAGE(F303,I303,J303))</f>
        <v/>
      </c>
      <c r="L303" s="4">
        <f>IF(COUNT(F303,I303,J303)=0,"PENDIENTE","")</f>
        <v/>
      </c>
      <c r="M303" t="inlineStr">
        <is>
          <t>PENDIENTE</t>
        </is>
      </c>
      <c r="N303" t="inlineStr"/>
      <c r="P303" s="4">
        <f>IF(AND(L303="PENDIENTE",O303&lt;&gt;""),IFERROR(IF(VLOOKUP(O303,$A$285:$L$332,12,0)="",VLOOKUP(O303,$A$285:$L$332,11,0),K303),K303),K303)</f>
        <v/>
      </c>
      <c r="Q303" s="4">
        <f>IF(AND(L303="PENDIENTE",O303&lt;&gt;""),IFERROR(IF(VLOOKUP(O303,$A$285:$L$332,12,0)="","sí","no"),"no"),"no")</f>
        <v/>
      </c>
    </row>
    <row r="304">
      <c r="A304" s="2" t="inlineStr">
        <is>
          <t>Honda Accord</t>
        </is>
      </c>
      <c r="B304" s="2" t="inlineStr">
        <is>
          <t>Honda</t>
        </is>
      </c>
      <c r="F304" s="4">
        <f>IF(C304="","",MAX(0,MIN(100,50+100*(E304-C304)/E304)))</f>
        <v/>
      </c>
      <c r="H304" s="4">
        <f>IF(G304="","",IFERROR(VLOOKUP(G304,ADAC_TBL,2,0),""))</f>
        <v/>
      </c>
      <c r="I304" s="4">
        <f>IF(H304="","",MAX(0,MIN(100,50+100*(ADAC_REF-H304)/ADAC_REF)))</f>
        <v/>
      </c>
      <c r="J304" s="4">
        <f>IFERROR(VLOOKUP(B304,OCU_TBL,2,0),"")</f>
        <v/>
      </c>
      <c r="K304" s="4">
        <f>IF(COUNT(F304,I304,J304)=0,NEUTRO,AVERAGE(F304,I304,J304))</f>
        <v/>
      </c>
      <c r="L304" s="4">
        <f>IF(COUNT(F304,I304,J304)=0,"PENDIENTE","")</f>
        <v/>
      </c>
      <c r="M304" t="inlineStr">
        <is>
          <t>PENDIENTE (TÜV 2014/2016: cualitativo 'fiable'; rótulas y muelles por encima de la media desde ~9-11 años; sin cifra por franja)</t>
        </is>
      </c>
      <c r="N304" t="inlineStr">
        <is>
          <t>https://www.handelsblatt.com/mobilitaet/motor/der-honda-accord-als-gebrauchter-solide-aber-selten-/14733658.html ; https://www.wz.de/auto/gebrauchtwagen/purer-durchschnitt-tuev-report-zu-honda-accord_aid-29389651</t>
        </is>
      </c>
      <c r="P304" s="4">
        <f>IF(AND(L304="PENDIENTE",O304&lt;&gt;""),IFERROR(IF(VLOOKUP(O304,$A$285:$L$332,12,0)="",VLOOKUP(O304,$A$285:$L$332,11,0),K304),K304),K304)</f>
        <v/>
      </c>
      <c r="Q304" s="4">
        <f>IF(AND(L304="PENDIENTE",O304&lt;&gt;""),IFERROR(IF(VLOOKUP(O304,$A$285:$L$332,12,0)="","sí","no"),"no"),"no")</f>
        <v/>
      </c>
    </row>
    <row r="305">
      <c r="A305" s="2" t="inlineStr">
        <is>
          <t>Toyota Avensis</t>
        </is>
      </c>
      <c r="B305" s="2" t="inlineStr">
        <is>
          <t>Toyota</t>
        </is>
      </c>
      <c r="F305" s="4">
        <f>IF(C305="","",MAX(0,MIN(100,50+100*(E305-C305)/E305)))</f>
        <v/>
      </c>
      <c r="H305" s="4">
        <f>IF(G305="","",IFERROR(VLOOKUP(G305,ADAC_TBL,2,0),""))</f>
        <v/>
      </c>
      <c r="I305" s="4">
        <f>IF(H305="","",MAX(0,MIN(100,50+100*(ADAC_REF-H305)/ADAC_REF)))</f>
        <v/>
      </c>
      <c r="J305" s="4">
        <f>IFERROR(VLOOKUP(B305,OCU_TBL,2,0),"")</f>
        <v/>
      </c>
      <c r="K305" s="4">
        <f>IF(COUNT(F305,I305,J305)=0,NEUTRO,AVERAGE(F305,I305,J305))</f>
        <v/>
      </c>
      <c r="L305" s="4">
        <f>IF(COUNT(F305,I305,J305)=0,"PENDIENTE","")</f>
        <v/>
      </c>
      <c r="M305" t="inlineStr">
        <is>
          <t>PENDIENTE (T25: 2.º de su franja 8-9 años en el TÜV 2013, sin porcentaje; puntúa por el índice OCU de Toyota)</t>
        </is>
      </c>
      <c r="N305" t="inlineStr">
        <is>
          <t>https://autocreative.wordpress.com/2012/12/07/toyota-beim-tuv-report-ganz-vorne/</t>
        </is>
      </c>
      <c r="P305" s="4">
        <f>IF(AND(L305="PENDIENTE",O305&lt;&gt;""),IFERROR(IF(VLOOKUP(O305,$A$285:$L$332,12,0)="",VLOOKUP(O305,$A$285:$L$332,11,0),K305),K305),K305)</f>
        <v/>
      </c>
      <c r="Q305" s="4">
        <f>IF(AND(L305="PENDIENTE",O305&lt;&gt;""),IFERROR(IF(VLOOKUP(O305,$A$285:$L$332,12,0)="","sí","no"),"no"),"no")</f>
        <v/>
      </c>
    </row>
    <row r="306">
      <c r="A306" s="2" t="inlineStr">
        <is>
          <t>Mazda 6</t>
        </is>
      </c>
      <c r="B306" s="2" t="inlineStr">
        <is>
          <t>Mazda</t>
        </is>
      </c>
      <c r="F306" s="4">
        <f>IF(C306="","",MAX(0,MIN(100,50+100*(E306-C306)/E306)))</f>
        <v/>
      </c>
      <c r="H306" s="4">
        <f>IF(G306="","",IFERROR(VLOOKUP(G306,ADAC_TBL,2,0),""))</f>
        <v/>
      </c>
      <c r="I306" s="4">
        <f>IF(H306="","",MAX(0,MIN(100,50+100*(ADAC_REF-H306)/ADAC_REF)))</f>
        <v/>
      </c>
      <c r="J306" s="4">
        <f>IFERROR(VLOOKUP(B306,OCU_TBL,2,0),"")</f>
        <v/>
      </c>
      <c r="K306" s="4">
        <f>IF(COUNT(F306,I306,J306)=0,NEUTRO,AVERAGE(F306,I306,J306))</f>
        <v/>
      </c>
      <c r="L306" s="4">
        <f>IF(COUNT(F306,I306,J306)=0,"PENDIENTE","")</f>
        <v/>
      </c>
      <c r="M306" t="inlineStr">
        <is>
          <t>PENDIENTE (GG/GY 2002-2008: sin cifra TÜV/ADAC encontrada)</t>
        </is>
      </c>
      <c r="N306" t="inlineStr"/>
      <c r="P306" s="4">
        <f>IF(AND(L306="PENDIENTE",O306&lt;&gt;""),IFERROR(IF(VLOOKUP(O306,$A$285:$L$332,12,0)="",VLOOKUP(O306,$A$285:$L$332,11,0),K306),K306),K306)</f>
        <v/>
      </c>
      <c r="Q306" s="4">
        <f>IF(AND(L306="PENDIENTE",O306&lt;&gt;""),IFERROR(IF(VLOOKUP(O306,$A$285:$L$332,12,0)="","sí","no"),"no"),"no")</f>
        <v/>
      </c>
    </row>
    <row r="307">
      <c r="A307" s="2" t="inlineStr">
        <is>
          <t>Volkswagen Jetta</t>
        </is>
      </c>
      <c r="B307" s="2" t="inlineStr">
        <is>
          <t>Volkswagen</t>
        </is>
      </c>
      <c r="F307" s="4">
        <f>IF(C307="","",MAX(0,MIN(100,50+100*(E307-C307)/E307)))</f>
        <v/>
      </c>
      <c r="H307" s="4">
        <f>IF(G307="","",IFERROR(VLOOKUP(G307,ADAC_TBL,2,0),""))</f>
        <v/>
      </c>
      <c r="I307" s="4">
        <f>IF(H307="","",MAX(0,MIN(100,50+100*(ADAC_REF-H307)/ADAC_REF)))</f>
        <v/>
      </c>
      <c r="J307" s="4">
        <f>IFERROR(VLOOKUP(B307,OCU_TBL,2,0),"")</f>
        <v/>
      </c>
      <c r="K307" s="4">
        <f>IF(COUNT(F307,I307,J307)=0,NEUTRO,AVERAGE(F307,I307,J307))</f>
        <v/>
      </c>
      <c r="L307" s="4">
        <f>IF(COUNT(F307,I307,J307)=0,"PENDIENTE","")</f>
        <v/>
      </c>
      <c r="M307" t="inlineStr">
        <is>
          <t>PENDIENTE (Jetta V: sin dato TÜV/ADAC/OCU)</t>
        </is>
      </c>
      <c r="N307" t="inlineStr"/>
      <c r="P307" s="4">
        <f>IF(AND(L307="PENDIENTE",O307&lt;&gt;""),IFERROR(IF(VLOOKUP(O307,$A$285:$L$332,12,0)="",VLOOKUP(O307,$A$285:$L$332,11,0),K307),K307),K307)</f>
        <v/>
      </c>
      <c r="Q307" s="4">
        <f>IF(AND(L307="PENDIENTE",O307&lt;&gt;""),IFERROR(IF(VLOOKUP(O307,$A$285:$L$332,12,0)="","sí","no"),"no"),"no")</f>
        <v/>
      </c>
    </row>
    <row r="308">
      <c r="A308" s="2" t="inlineStr">
        <is>
          <t>Audi A4</t>
        </is>
      </c>
      <c r="B308" s="2" t="inlineStr">
        <is>
          <t>Audi</t>
        </is>
      </c>
      <c r="F308" s="4">
        <f>IF(C308="","",MAX(0,MIN(100,50+100*(E308-C308)/E308)))</f>
        <v/>
      </c>
      <c r="H308" s="4">
        <f>IF(G308="","",IFERROR(VLOOKUP(G308,ADAC_TBL,2,0),""))</f>
        <v/>
      </c>
      <c r="I308" s="4">
        <f>IF(H308="","",MAX(0,MIN(100,50+100*(ADAC_REF-H308)/ADAC_REF)))</f>
        <v/>
      </c>
      <c r="J308" s="4">
        <f>IFERROR(VLOOKUP(B308,OCU_TBL,2,0),"")</f>
        <v/>
      </c>
      <c r="K308" s="4">
        <f>IF(COUNT(F308,I308,J308)=0,NEUTRO,AVERAGE(F308,I308,J308))</f>
        <v/>
      </c>
      <c r="L308" s="4">
        <f>IF(COUNT(F308,I308,J308)=0,"PENDIENTE","")</f>
        <v/>
      </c>
      <c r="M308" t="inlineStr">
        <is>
          <t>PENDIENTE (B7 2004-2008: el TÜV 2026 de Auto Bild (20,8 % a 8-9 años) es del B9; no se usa. El dato ADAC 'Audi A4' es de matriculaciones 2015 y no se aplica al B7)</t>
        </is>
      </c>
      <c r="N308" t="inlineStr">
        <is>
          <t>https://www.autobild.de/artikel/audi-a4-a5-schwachstellen-maengel-staerken-28217247.html</t>
        </is>
      </c>
      <c r="P308" s="4">
        <f>IF(AND(L308="PENDIENTE",O308&lt;&gt;""),IFERROR(IF(VLOOKUP(O308,$A$285:$L$332,12,0)="",VLOOKUP(O308,$A$285:$L$332,11,0),K308),K308),K308)</f>
        <v/>
      </c>
      <c r="Q308" s="4">
        <f>IF(AND(L308="PENDIENTE",O308&lt;&gt;""),IFERROR(IF(VLOOKUP(O308,$A$285:$L$332,12,0)="","sí","no"),"no"),"no")</f>
        <v/>
      </c>
    </row>
    <row r="309">
      <c r="A309" s="2" t="inlineStr">
        <is>
          <t>Seat Exeo</t>
        </is>
      </c>
      <c r="B309" s="2" t="inlineStr">
        <is>
          <t>Seat</t>
        </is>
      </c>
      <c r="F309" s="4">
        <f>IF(C309="","",MAX(0,MIN(100,50+100*(E309-C309)/E309)))</f>
        <v/>
      </c>
      <c r="H309" s="4">
        <f>IF(G309="","",IFERROR(VLOOKUP(G309,ADAC_TBL,2,0),""))</f>
        <v/>
      </c>
      <c r="I309" s="4">
        <f>IF(H309="","",MAX(0,MIN(100,50+100*(ADAC_REF-H309)/ADAC_REF)))</f>
        <v/>
      </c>
      <c r="J309" s="4">
        <f>IFERROR(VLOOKUP(B309,OCU_TBL,2,0),"")</f>
        <v/>
      </c>
      <c r="K309" s="4">
        <f>IF(COUNT(F309,I309,J309)=0,NEUTRO,AVERAGE(F309,I309,J309))</f>
        <v/>
      </c>
      <c r="L309" s="4">
        <f>IF(COUNT(F309,I309,J309)=0,"PENDIENTE","")</f>
        <v/>
      </c>
      <c r="M309" t="inlineStr">
        <is>
          <t>PENDIENTE (gemelo del Audi A4 B7, que tampoco tiene cifra)</t>
        </is>
      </c>
      <c r="N309" t="inlineStr"/>
      <c r="P309" s="4">
        <f>IF(AND(L309="PENDIENTE",O309&lt;&gt;""),IFERROR(IF(VLOOKUP(O309,$A$285:$L$332,12,0)="",VLOOKUP(O309,$A$285:$L$332,11,0),K309),K309),K309)</f>
        <v/>
      </c>
      <c r="Q309" s="4">
        <f>IF(AND(L309="PENDIENTE",O309&lt;&gt;""),IFERROR(IF(VLOOKUP(O309,$A$285:$L$332,12,0)="","sí","no"),"no"),"no")</f>
        <v/>
      </c>
    </row>
    <row r="310">
      <c r="A310" s="2" t="inlineStr">
        <is>
          <t>Hyundai i10</t>
        </is>
      </c>
      <c r="B310" s="2" t="inlineStr">
        <is>
          <t>Hyundai</t>
        </is>
      </c>
      <c r="F310" s="4">
        <f>IF(C310="","",MAX(0,MIN(100,50+100*(E310-C310)/E310)))</f>
        <v/>
      </c>
      <c r="G310" s="2" t="inlineStr">
        <is>
          <t>Hyundai i10</t>
        </is>
      </c>
      <c r="H310" s="4">
        <f>IF(G310="","",IFERROR(VLOOKUP(G310,ADAC_TBL,2,0),""))</f>
        <v/>
      </c>
      <c r="I310" s="4">
        <f>IF(H310="","",MAX(0,MIN(100,50+100*(ADAC_REF-H310)/ADAC_REF)))</f>
        <v/>
      </c>
      <c r="J310" s="4">
        <f>IFERROR(VLOOKUP(B310,OCU_TBL,2,0),"")</f>
        <v/>
      </c>
      <c r="K310" s="4">
        <f>IF(COUNT(F310,I310,J310)=0,NEUTRO,AVERAGE(F310,I310,J310))</f>
        <v/>
      </c>
      <c r="L310" s="4">
        <f>IF(COUNT(F310,I310,J310)=0,"PENDIENTE","")</f>
        <v/>
      </c>
      <c r="M310" t="inlineStr">
        <is>
          <t>PENDIENTE</t>
        </is>
      </c>
      <c r="N310" t="inlineStr"/>
      <c r="P310" s="4">
        <f>IF(AND(L310="PENDIENTE",O310&lt;&gt;""),IFERROR(IF(VLOOKUP(O310,$A$285:$L$332,12,0)="",VLOOKUP(O310,$A$285:$L$332,11,0),K310),K310),K310)</f>
        <v/>
      </c>
      <c r="Q310" s="4">
        <f>IF(AND(L310="PENDIENTE",O310&lt;&gt;""),IFERROR(IF(VLOOKUP(O310,$A$285:$L$332,12,0)="","sí","no"),"no"),"no")</f>
        <v/>
      </c>
    </row>
    <row r="311">
      <c r="A311" s="2" t="inlineStr">
        <is>
          <t>Hyundai i20</t>
        </is>
      </c>
      <c r="B311" s="2" t="inlineStr">
        <is>
          <t>Hyundai</t>
        </is>
      </c>
      <c r="F311" s="4">
        <f>IF(C311="","",MAX(0,MIN(100,50+100*(E311-C311)/E311)))</f>
        <v/>
      </c>
      <c r="G311" s="2" t="inlineStr">
        <is>
          <t>Hyundai i20</t>
        </is>
      </c>
      <c r="H311" s="4">
        <f>IF(G311="","",IFERROR(VLOOKUP(G311,ADAC_TBL,2,0),""))</f>
        <v/>
      </c>
      <c r="I311" s="4">
        <f>IF(H311="","",MAX(0,MIN(100,50+100*(ADAC_REF-H311)/ADAC_REF)))</f>
        <v/>
      </c>
      <c r="J311" s="4">
        <f>IFERROR(VLOOKUP(B311,OCU_TBL,2,0),"")</f>
        <v/>
      </c>
      <c r="K311" s="4">
        <f>IF(COUNT(F311,I311,J311)=0,NEUTRO,AVERAGE(F311,I311,J311))</f>
        <v/>
      </c>
      <c r="L311" s="4">
        <f>IF(COUNT(F311,I311,J311)=0,"PENDIENTE","")</f>
        <v/>
      </c>
      <c r="M311" t="inlineStr">
        <is>
          <t>PENDIENTE</t>
        </is>
      </c>
      <c r="N311" t="inlineStr"/>
      <c r="P311" s="4">
        <f>IF(AND(L311="PENDIENTE",O311&lt;&gt;""),IFERROR(IF(VLOOKUP(O311,$A$285:$L$332,12,0)="",VLOOKUP(O311,$A$285:$L$332,11,0),K311),K311),K311)</f>
        <v/>
      </c>
      <c r="Q311" s="4">
        <f>IF(AND(L311="PENDIENTE",O311&lt;&gt;""),IFERROR(IF(VLOOKUP(O311,$A$285:$L$332,12,0)="","sí","no"),"no"),"no")</f>
        <v/>
      </c>
    </row>
    <row r="312">
      <c r="A312" s="2" t="inlineStr">
        <is>
          <t>Hyundai i30</t>
        </is>
      </c>
      <c r="B312" s="2" t="inlineStr">
        <is>
          <t>Hyundai</t>
        </is>
      </c>
      <c r="F312" s="4">
        <f>IF(C312="","",MAX(0,MIN(100,50+100*(E312-C312)/E312)))</f>
        <v/>
      </c>
      <c r="G312" s="2" t="inlineStr">
        <is>
          <t>Hyundai i30</t>
        </is>
      </c>
      <c r="H312" s="4">
        <f>IF(G312="","",IFERROR(VLOOKUP(G312,ADAC_TBL,2,0),""))</f>
        <v/>
      </c>
      <c r="I312" s="4">
        <f>IF(H312="","",MAX(0,MIN(100,50+100*(ADAC_REF-H312)/ADAC_REF)))</f>
        <v/>
      </c>
      <c r="J312" s="4">
        <f>IFERROR(VLOOKUP(B312,OCU_TBL,2,0),"")</f>
        <v/>
      </c>
      <c r="K312" s="4">
        <f>IF(COUNT(F312,I312,J312)=0,NEUTRO,AVERAGE(F312,I312,J312))</f>
        <v/>
      </c>
      <c r="L312" s="4">
        <f>IF(COUNT(F312,I312,J312)=0,"PENDIENTE","")</f>
        <v/>
      </c>
      <c r="M312" t="inlineStr">
        <is>
          <t>PENDIENTE</t>
        </is>
      </c>
      <c r="N312" t="inlineStr"/>
      <c r="P312" s="4">
        <f>IF(AND(L312="PENDIENTE",O312&lt;&gt;""),IFERROR(IF(VLOOKUP(O312,$A$285:$L$332,12,0)="",VLOOKUP(O312,$A$285:$L$332,11,0),K312),K312),K312)</f>
        <v/>
      </c>
      <c r="Q312" s="4">
        <f>IF(AND(L312="PENDIENTE",O312&lt;&gt;""),IFERROR(IF(VLOOKUP(O312,$A$285:$L$332,12,0)="","sí","no"),"no"),"no")</f>
        <v/>
      </c>
    </row>
    <row r="313">
      <c r="A313" s="2" t="inlineStr">
        <is>
          <t>Skoda Fabia</t>
        </is>
      </c>
      <c r="B313" s="2" t="inlineStr">
        <is>
          <t>Skoda</t>
        </is>
      </c>
      <c r="F313" s="4">
        <f>IF(C313="","",MAX(0,MIN(100,50+100*(E313-C313)/E313)))</f>
        <v/>
      </c>
      <c r="G313" s="2" t="inlineStr">
        <is>
          <t>Skoda Fabia</t>
        </is>
      </c>
      <c r="H313" s="4">
        <f>IF(G313="","",IFERROR(VLOOKUP(G313,ADAC_TBL,2,0),""))</f>
        <v/>
      </c>
      <c r="I313" s="4">
        <f>IF(H313="","",MAX(0,MIN(100,50+100*(ADAC_REF-H313)/ADAC_REF)))</f>
        <v/>
      </c>
      <c r="J313" s="4">
        <f>IFERROR(VLOOKUP(B313,OCU_TBL,2,0),"")</f>
        <v/>
      </c>
      <c r="K313" s="4">
        <f>IF(COUNT(F313,I313,J313)=0,NEUTRO,AVERAGE(F313,I313,J313))</f>
        <v/>
      </c>
      <c r="L313" s="4">
        <f>IF(COUNT(F313,I313,J313)=0,"PENDIENTE","")</f>
        <v/>
      </c>
      <c r="M313" t="inlineStr">
        <is>
          <t>PENDIENTE (ADAC 2026 entre los mejores Kleinwagen 2016-2023, sin cifra)</t>
        </is>
      </c>
      <c r="N313" t="inlineStr"/>
      <c r="P313" s="4">
        <f>IF(AND(L313="PENDIENTE",O313&lt;&gt;""),IFERROR(IF(VLOOKUP(O313,$A$285:$L$332,12,0)="",VLOOKUP(O313,$A$285:$L$332,11,0),K313),K313),K313)</f>
        <v/>
      </c>
      <c r="Q313" s="4">
        <f>IF(AND(L313="PENDIENTE",O313&lt;&gt;""),IFERROR(IF(VLOOKUP(O313,$A$285:$L$332,12,0)="","sí","no"),"no"),"no")</f>
        <v/>
      </c>
    </row>
    <row r="314">
      <c r="A314" s="2" t="inlineStr">
        <is>
          <t>Skoda Octavia</t>
        </is>
      </c>
      <c r="B314" s="2" t="inlineStr">
        <is>
          <t>Skoda</t>
        </is>
      </c>
      <c r="F314" s="4">
        <f>IF(C314="","",MAX(0,MIN(100,50+100*(E314-C314)/E314)))</f>
        <v/>
      </c>
      <c r="G314" s="2" t="inlineStr">
        <is>
          <t>Skoda Octavia</t>
        </is>
      </c>
      <c r="H314" s="4">
        <f>IF(G314="","",IFERROR(VLOOKUP(G314,ADAC_TBL,2,0),""))</f>
        <v/>
      </c>
      <c r="I314" s="4">
        <f>IF(H314="","",MAX(0,MIN(100,50+100*(ADAC_REF-H314)/ADAC_REF)))</f>
        <v/>
      </c>
      <c r="J314" s="4">
        <f>IFERROR(VLOOKUP(B314,OCU_TBL,2,0),"")</f>
        <v/>
      </c>
      <c r="K314" s="4">
        <f>IF(COUNT(F314,I314,J314)=0,NEUTRO,AVERAGE(F314,I314,J314))</f>
        <v/>
      </c>
      <c r="L314" s="4">
        <f>IF(COUNT(F314,I314,J314)=0,"PENDIENTE","")</f>
        <v/>
      </c>
      <c r="M314" t="inlineStr">
        <is>
          <t>PENDIENTE</t>
        </is>
      </c>
      <c r="N314" t="inlineStr"/>
      <c r="P314" s="4">
        <f>IF(AND(L314="PENDIENTE",O314&lt;&gt;""),IFERROR(IF(VLOOKUP(O314,$A$285:$L$332,12,0)="",VLOOKUP(O314,$A$285:$L$332,11,0),K314),K314),K314)</f>
        <v/>
      </c>
      <c r="Q314" s="4">
        <f>IF(AND(L314="PENDIENTE",O314&lt;&gt;""),IFERROR(IF(VLOOKUP(O314,$A$285:$L$332,12,0)="","sí","no"),"no"),"no")</f>
        <v/>
      </c>
    </row>
    <row r="315">
      <c r="A315" s="2" t="inlineStr">
        <is>
          <t>Seat Ibiza</t>
        </is>
      </c>
      <c r="B315" s="2" t="inlineStr">
        <is>
          <t>Seat</t>
        </is>
      </c>
      <c r="F315" s="4">
        <f>IF(C315="","",MAX(0,MIN(100,50+100*(E315-C315)/E315)))</f>
        <v/>
      </c>
      <c r="G315" s="2" t="inlineStr">
        <is>
          <t>SEAT Ibiza</t>
        </is>
      </c>
      <c r="H315" s="4">
        <f>IF(G315="","",IFERROR(VLOOKUP(G315,ADAC_TBL,2,0),""))</f>
        <v/>
      </c>
      <c r="I315" s="4">
        <f>IF(H315="","",MAX(0,MIN(100,50+100*(ADAC_REF-H315)/ADAC_REF)))</f>
        <v/>
      </c>
      <c r="J315" s="4">
        <f>IFERROR(VLOOKUP(B315,OCU_TBL,2,0),"")</f>
        <v/>
      </c>
      <c r="K315" s="4">
        <f>IF(COUNT(F315,I315,J315)=0,NEUTRO,AVERAGE(F315,I315,J315))</f>
        <v/>
      </c>
      <c r="L315" s="4">
        <f>IF(COUNT(F315,I315,J315)=0,"PENDIENTE","")</f>
        <v/>
      </c>
      <c r="M315" t="inlineStr">
        <is>
          <t>PENDIENTE (ADAC 2026 entre los mejores Kleinwagen 2016-2023, sin cifra)</t>
        </is>
      </c>
      <c r="N315" t="inlineStr"/>
      <c r="P315" s="4">
        <f>IF(AND(L315="PENDIENTE",O315&lt;&gt;""),IFERROR(IF(VLOOKUP(O315,$A$285:$L$332,12,0)="",VLOOKUP(O315,$A$285:$L$332,11,0),K315),K315),K315)</f>
        <v/>
      </c>
      <c r="Q315" s="4">
        <f>IF(AND(L315="PENDIENTE",O315&lt;&gt;""),IFERROR(IF(VLOOKUP(O315,$A$285:$L$332,12,0)="","sí","no"),"no"),"no")</f>
        <v/>
      </c>
    </row>
    <row r="316">
      <c r="A316" s="2" t="inlineStr">
        <is>
          <t>Seat León</t>
        </is>
      </c>
      <c r="B316" s="2" t="inlineStr">
        <is>
          <t>Seat</t>
        </is>
      </c>
      <c r="F316" s="4">
        <f>IF(C316="","",MAX(0,MIN(100,50+100*(E316-C316)/E316)))</f>
        <v/>
      </c>
      <c r="G316" s="2" t="inlineStr">
        <is>
          <t>SEAT Leon</t>
        </is>
      </c>
      <c r="H316" s="4">
        <f>IF(G316="","",IFERROR(VLOOKUP(G316,ADAC_TBL,2,0),""))</f>
        <v/>
      </c>
      <c r="I316" s="4">
        <f>IF(H316="","",MAX(0,MIN(100,50+100*(ADAC_REF-H316)/ADAC_REF)))</f>
        <v/>
      </c>
      <c r="J316" s="4">
        <f>IFERROR(VLOOKUP(B316,OCU_TBL,2,0),"")</f>
        <v/>
      </c>
      <c r="K316" s="4">
        <f>IF(COUNT(F316,I316,J316)=0,NEUTRO,AVERAGE(F316,I316,J316))</f>
        <v/>
      </c>
      <c r="L316" s="4">
        <f>IF(COUNT(F316,I316,J316)=0,"PENDIENTE","")</f>
        <v/>
      </c>
      <c r="M316" t="inlineStr">
        <is>
          <t>PENDIENTE</t>
        </is>
      </c>
      <c r="N316" t="inlineStr"/>
      <c r="P316" s="4">
        <f>IF(AND(L316="PENDIENTE",O316&lt;&gt;""),IFERROR(IF(VLOOKUP(O316,$A$285:$L$332,12,0)="",VLOOKUP(O316,$A$285:$L$332,11,0),K316),K316),K316)</f>
        <v/>
      </c>
      <c r="Q316" s="4">
        <f>IF(AND(L316="PENDIENTE",O316&lt;&gt;""),IFERROR(IF(VLOOKUP(O316,$A$285:$L$332,12,0)="","sí","no"),"no"),"no")</f>
        <v/>
      </c>
    </row>
    <row r="317">
      <c r="A317" s="2" t="inlineStr">
        <is>
          <t>Volkswagen Polo</t>
        </is>
      </c>
      <c r="B317" s="2" t="inlineStr">
        <is>
          <t>Volkswagen</t>
        </is>
      </c>
      <c r="F317" s="4">
        <f>IF(C317="","",MAX(0,MIN(100,50+100*(E317-C317)/E317)))</f>
        <v/>
      </c>
      <c r="G317" s="2" t="inlineStr">
        <is>
          <t>VW Polo</t>
        </is>
      </c>
      <c r="H317" s="4">
        <f>IF(G317="","",IFERROR(VLOOKUP(G317,ADAC_TBL,2,0),""))</f>
        <v/>
      </c>
      <c r="I317" s="4">
        <f>IF(H317="","",MAX(0,MIN(100,50+100*(ADAC_REF-H317)/ADAC_REF)))</f>
        <v/>
      </c>
      <c r="J317" s="4">
        <f>IFERROR(VLOOKUP(B317,OCU_TBL,2,0),"")</f>
        <v/>
      </c>
      <c r="K317" s="4">
        <f>IF(COUNT(F317,I317,J317)=0,NEUTRO,AVERAGE(F317,I317,J317))</f>
        <v/>
      </c>
      <c r="L317" s="4">
        <f>IF(COUNT(F317,I317,J317)=0,"PENDIENTE","")</f>
        <v/>
      </c>
      <c r="M317" t="inlineStr">
        <is>
          <t>PENDIENTE (ADAC 2026 entre los mejores Kleinwagen 2016-2023, sin cifra)</t>
        </is>
      </c>
      <c r="N317" t="inlineStr"/>
      <c r="P317" s="4">
        <f>IF(AND(L317="PENDIENTE",O317&lt;&gt;""),IFERROR(IF(VLOOKUP(O317,$A$285:$L$332,12,0)="",VLOOKUP(O317,$A$285:$L$332,11,0),K317),K317),K317)</f>
        <v/>
      </c>
      <c r="Q317" s="4">
        <f>IF(AND(L317="PENDIENTE",O317&lt;&gt;""),IFERROR(IF(VLOOKUP(O317,$A$285:$L$332,12,0)="","sí","no"),"no"),"no")</f>
        <v/>
      </c>
    </row>
    <row r="318">
      <c r="A318" s="2" t="inlineStr">
        <is>
          <t>Opel Corsa</t>
        </is>
      </c>
      <c r="B318" s="2" t="inlineStr">
        <is>
          <t>Opel</t>
        </is>
      </c>
      <c r="F318" s="4">
        <f>IF(C318="","",MAX(0,MIN(100,50+100*(E318-C318)/E318)))</f>
        <v/>
      </c>
      <c r="G318" s="2" t="inlineStr">
        <is>
          <t>Opel Corsa</t>
        </is>
      </c>
      <c r="H318" s="4">
        <f>IF(G318="","",IFERROR(VLOOKUP(G318,ADAC_TBL,2,0),""))</f>
        <v/>
      </c>
      <c r="I318" s="4">
        <f>IF(H318="","",MAX(0,MIN(100,50+100*(ADAC_REF-H318)/ADAC_REF)))</f>
        <v/>
      </c>
      <c r="J318" s="4">
        <f>IFERROR(VLOOKUP(B318,OCU_TBL,2,0),"")</f>
        <v/>
      </c>
      <c r="K318" s="4">
        <f>IF(COUNT(F318,I318,J318)=0,NEUTRO,AVERAGE(F318,I318,J318))</f>
        <v/>
      </c>
      <c r="L318" s="4">
        <f>IF(COUNT(F318,I318,J318)=0,"PENDIENTE","")</f>
        <v/>
      </c>
      <c r="M318" t="inlineStr">
        <is>
          <t>PENDIENTE</t>
        </is>
      </c>
      <c r="N318" t="inlineStr"/>
      <c r="P318" s="4">
        <f>IF(AND(L318="PENDIENTE",O318&lt;&gt;""),IFERROR(IF(VLOOKUP(O318,$A$285:$L$332,12,0)="",VLOOKUP(O318,$A$285:$L$332,11,0),K318),K318),K318)</f>
        <v/>
      </c>
      <c r="Q318" s="4">
        <f>IF(AND(L318="PENDIENTE",O318&lt;&gt;""),IFERROR(IF(VLOOKUP(O318,$A$285:$L$332,12,0)="","sí","no"),"no"),"no")</f>
        <v/>
      </c>
    </row>
    <row r="319">
      <c r="A319" s="2" t="inlineStr">
        <is>
          <t>Opel Astra</t>
        </is>
      </c>
      <c r="B319" s="2" t="inlineStr">
        <is>
          <t>Opel</t>
        </is>
      </c>
      <c r="F319" s="4">
        <f>IF(C319="","",MAX(0,MIN(100,50+100*(E319-C319)/E319)))</f>
        <v/>
      </c>
      <c r="G319" s="2" t="inlineStr">
        <is>
          <t>Opel Astra</t>
        </is>
      </c>
      <c r="H319" s="4">
        <f>IF(G319="","",IFERROR(VLOOKUP(G319,ADAC_TBL,2,0),""))</f>
        <v/>
      </c>
      <c r="I319" s="4">
        <f>IF(H319="","",MAX(0,MIN(100,50+100*(ADAC_REF-H319)/ADAC_REF)))</f>
        <v/>
      </c>
      <c r="J319" s="4">
        <f>IFERROR(VLOOKUP(B319,OCU_TBL,2,0),"")</f>
        <v/>
      </c>
      <c r="K319" s="4">
        <f>IF(COUNT(F319,I319,J319)=0,NEUTRO,AVERAGE(F319,I319,J319))</f>
        <v/>
      </c>
      <c r="L319" s="4">
        <f>IF(COUNT(F319,I319,J319)=0,"PENDIENTE","")</f>
        <v/>
      </c>
      <c r="M319" t="inlineStr">
        <is>
          <t>PENDIENTE</t>
        </is>
      </c>
      <c r="N319" t="inlineStr"/>
      <c r="P319" s="4">
        <f>IF(AND(L319="PENDIENTE",O319&lt;&gt;""),IFERROR(IF(VLOOKUP(O319,$A$285:$L$332,12,0)="",VLOOKUP(O319,$A$285:$L$332,11,0),K319),K319),K319)</f>
        <v/>
      </c>
      <c r="Q319" s="4">
        <f>IF(AND(L319="PENDIENTE",O319&lt;&gt;""),IFERROR(IF(VLOOKUP(O319,$A$285:$L$332,12,0)="","sí","no"),"no"),"no")</f>
        <v/>
      </c>
    </row>
    <row r="320">
      <c r="A320" s="2" t="inlineStr">
        <is>
          <t>Peugeot 107</t>
        </is>
      </c>
      <c r="B320" s="2" t="inlineStr">
        <is>
          <t>Peugeot</t>
        </is>
      </c>
      <c r="F320" s="4">
        <f>IF(C320="","",MAX(0,MIN(100,50+100*(E320-C320)/E320)))</f>
        <v/>
      </c>
      <c r="H320" s="4">
        <f>IF(G320="","",IFERROR(VLOOKUP(G320,ADAC_TBL,2,0),""))</f>
        <v/>
      </c>
      <c r="I320" s="4">
        <f>IF(H320="","",MAX(0,MIN(100,50+100*(ADAC_REF-H320)/ADAC_REF)))</f>
        <v/>
      </c>
      <c r="J320" s="4">
        <f>IFERROR(VLOOKUP(B320,OCU_TBL,2,0),"")</f>
        <v/>
      </c>
      <c r="K320" s="4">
        <f>IF(COUNT(F320,I320,J320)=0,NEUTRO,AVERAGE(F320,I320,J320))</f>
        <v/>
      </c>
      <c r="L320" s="4">
        <f>IF(COUNT(F320,I320,J320)=0,"PENDIENTE","")</f>
        <v/>
      </c>
      <c r="M320" t="inlineStr">
        <is>
          <t>PENDIENTE</t>
        </is>
      </c>
      <c r="N320" t="inlineStr"/>
      <c r="O320" s="2" t="inlineStr">
        <is>
          <t>Toyota Aygo</t>
        </is>
      </c>
      <c r="P320" s="4">
        <f>IF(AND(L320="PENDIENTE",O320&lt;&gt;""),IFERROR(IF(VLOOKUP(O320,$A$285:$L$332,12,0)="",VLOOKUP(O320,$A$285:$L$332,11,0),K320),K320),K320)</f>
        <v/>
      </c>
      <c r="Q320" s="4">
        <f>IF(AND(L320="PENDIENTE",O320&lt;&gt;""),IFERROR(IF(VLOOKUP(O320,$A$285:$L$332,12,0)="","sí","no"),"no"),"no")</f>
        <v/>
      </c>
    </row>
    <row r="321">
      <c r="A321" s="2" t="inlineStr">
        <is>
          <t>Citroën C1</t>
        </is>
      </c>
      <c r="B321" s="2" t="inlineStr">
        <is>
          <t>Citroën</t>
        </is>
      </c>
      <c r="F321" s="4">
        <f>IF(C321="","",MAX(0,MIN(100,50+100*(E321-C321)/E321)))</f>
        <v/>
      </c>
      <c r="H321" s="4">
        <f>IF(G321="","",IFERROR(VLOOKUP(G321,ADAC_TBL,2,0),""))</f>
        <v/>
      </c>
      <c r="I321" s="4">
        <f>IF(H321="","",MAX(0,MIN(100,50+100*(ADAC_REF-H321)/ADAC_REF)))</f>
        <v/>
      </c>
      <c r="J321" s="4">
        <f>IFERROR(VLOOKUP(B321,OCU_TBL,2,0),"")</f>
        <v/>
      </c>
      <c r="K321" s="4">
        <f>IF(COUNT(F321,I321,J321)=0,NEUTRO,AVERAGE(F321,I321,J321))</f>
        <v/>
      </c>
      <c r="L321" s="4">
        <f>IF(COUNT(F321,I321,J321)=0,"PENDIENTE","")</f>
        <v/>
      </c>
      <c r="M321" t="inlineStr">
        <is>
          <t>PENDIENTE</t>
        </is>
      </c>
      <c r="N321" t="inlineStr"/>
      <c r="O321" s="2" t="inlineStr">
        <is>
          <t>Toyota Aygo</t>
        </is>
      </c>
      <c r="P321" s="4">
        <f>IF(AND(L321="PENDIENTE",O321&lt;&gt;""),IFERROR(IF(VLOOKUP(O321,$A$285:$L$332,12,0)="",VLOOKUP(O321,$A$285:$L$332,11,0),K321),K321),K321)</f>
        <v/>
      </c>
      <c r="Q321" s="4">
        <f>IF(AND(L321="PENDIENTE",O321&lt;&gt;""),IFERROR(IF(VLOOKUP(O321,$A$285:$L$332,12,0)="","sí","no"),"no"),"no")</f>
        <v/>
      </c>
    </row>
    <row r="322">
      <c r="A322" s="2" t="inlineStr">
        <is>
          <t>Seat Córdoba</t>
        </is>
      </c>
      <c r="B322" s="2" t="inlineStr">
        <is>
          <t>Seat</t>
        </is>
      </c>
      <c r="F322" s="4">
        <f>IF(C322="","",MAX(0,MIN(100,50+100*(E322-C322)/E322)))</f>
        <v/>
      </c>
      <c r="H322" s="4">
        <f>IF(G322="","",IFERROR(VLOOKUP(G322,ADAC_TBL,2,0),""))</f>
        <v/>
      </c>
      <c r="I322" s="4">
        <f>IF(H322="","",MAX(0,MIN(100,50+100*(ADAC_REF-H322)/ADAC_REF)))</f>
        <v/>
      </c>
      <c r="J322" s="4">
        <f>IFERROR(VLOOKUP(B322,OCU_TBL,2,0),"")</f>
        <v/>
      </c>
      <c r="K322" s="4">
        <f>IF(COUNT(F322,I322,J322)=0,NEUTRO,AVERAGE(F322,I322,J322))</f>
        <v/>
      </c>
      <c r="L322" s="4">
        <f>IF(COUNT(F322,I322,J322)=0,"PENDIENTE","")</f>
        <v/>
      </c>
      <c r="M322" t="inlineStr">
        <is>
          <t>PENDIENTE</t>
        </is>
      </c>
      <c r="N322" t="inlineStr"/>
      <c r="O322" s="2" t="inlineStr">
        <is>
          <t>Seat Ibiza</t>
        </is>
      </c>
      <c r="P322" s="4">
        <f>IF(AND(L322="PENDIENTE",O322&lt;&gt;""),IFERROR(IF(VLOOKUP(O322,$A$285:$L$332,12,0)="",VLOOKUP(O322,$A$285:$L$332,11,0),K322),K322),K322)</f>
        <v/>
      </c>
      <c r="Q322" s="4">
        <f>IF(AND(L322="PENDIENTE",O322&lt;&gt;""),IFERROR(IF(VLOOKUP(O322,$A$285:$L$332,12,0)="","sí","no"),"no"),"no")</f>
        <v/>
      </c>
    </row>
    <row r="323">
      <c r="A323" s="2" t="inlineStr">
        <is>
          <t>Peugeot 208</t>
        </is>
      </c>
      <c r="B323" s="2" t="inlineStr">
        <is>
          <t>Peugeot</t>
        </is>
      </c>
      <c r="F323" s="4">
        <f>IF(C323="","",MAX(0,MIN(100,50+100*(E323-C323)/E323)))</f>
        <v/>
      </c>
      <c r="G323" s="2" t="inlineStr">
        <is>
          <t>Peugeot 208</t>
        </is>
      </c>
      <c r="H323" s="4">
        <f>IF(G323="","",IFERROR(VLOOKUP(G323,ADAC_TBL,2,0),""))</f>
        <v/>
      </c>
      <c r="I323" s="4">
        <f>IF(H323="","",MAX(0,MIN(100,50+100*(ADAC_REF-H323)/ADAC_REF)))</f>
        <v/>
      </c>
      <c r="J323" s="4">
        <f>IFERROR(VLOOKUP(B323,OCU_TBL,2,0),"")</f>
        <v/>
      </c>
      <c r="K323" s="4">
        <f>IF(COUNT(F323,I323,J323)=0,NEUTRO,AVERAGE(F323,I323,J323))</f>
        <v/>
      </c>
      <c r="L323" s="4">
        <f>IF(COUNT(F323,I323,J323)=0,"PENDIENTE","")</f>
        <v/>
      </c>
      <c r="M323" t="inlineStr">
        <is>
          <t>PENDIENTE</t>
        </is>
      </c>
      <c r="N323" t="inlineStr"/>
      <c r="P323" s="4">
        <f>IF(AND(L323="PENDIENTE",O323&lt;&gt;""),IFERROR(IF(VLOOKUP(O323,$A$285:$L$332,12,0)="",VLOOKUP(O323,$A$285:$L$332,11,0),K323),K323),K323)</f>
        <v/>
      </c>
      <c r="Q323" s="4">
        <f>IF(AND(L323="PENDIENTE",O323&lt;&gt;""),IFERROR(IF(VLOOKUP(O323,$A$285:$L$332,12,0)="","sí","no"),"no"),"no")</f>
        <v/>
      </c>
    </row>
    <row r="324">
      <c r="A324" s="2" t="inlineStr">
        <is>
          <t>Peugeot 308</t>
        </is>
      </c>
      <c r="B324" s="2" t="inlineStr">
        <is>
          <t>Peugeot</t>
        </is>
      </c>
      <c r="F324" s="4">
        <f>IF(C324="","",MAX(0,MIN(100,50+100*(E324-C324)/E324)))</f>
        <v/>
      </c>
      <c r="G324" s="2" t="inlineStr">
        <is>
          <t>Peugeot 308</t>
        </is>
      </c>
      <c r="H324" s="4">
        <f>IF(G324="","",IFERROR(VLOOKUP(G324,ADAC_TBL,2,0),""))</f>
        <v/>
      </c>
      <c r="I324" s="4">
        <f>IF(H324="","",MAX(0,MIN(100,50+100*(ADAC_REF-H324)/ADAC_REF)))</f>
        <v/>
      </c>
      <c r="J324" s="4">
        <f>IFERROR(VLOOKUP(B324,OCU_TBL,2,0),"")</f>
        <v/>
      </c>
      <c r="K324" s="4">
        <f>IF(COUNT(F324,I324,J324)=0,NEUTRO,AVERAGE(F324,I324,J324))</f>
        <v/>
      </c>
      <c r="L324" s="4">
        <f>IF(COUNT(F324,I324,J324)=0,"PENDIENTE","")</f>
        <v/>
      </c>
      <c r="M324" t="inlineStr">
        <is>
          <t>PENDIENTE</t>
        </is>
      </c>
      <c r="N324" t="inlineStr"/>
      <c r="P324" s="4">
        <f>IF(AND(L324="PENDIENTE",O324&lt;&gt;""),IFERROR(IF(VLOOKUP(O324,$A$285:$L$332,12,0)="",VLOOKUP(O324,$A$285:$L$332,11,0),K324),K324),K324)</f>
        <v/>
      </c>
      <c r="Q324" s="4">
        <f>IF(AND(L324="PENDIENTE",O324&lt;&gt;""),IFERROR(IF(VLOOKUP(O324,$A$285:$L$332,12,0)="","sí","no"),"no"),"no")</f>
        <v/>
      </c>
    </row>
    <row r="325">
      <c r="A325" s="2" t="inlineStr">
        <is>
          <t>Citroën C3</t>
        </is>
      </c>
      <c r="B325" s="2" t="inlineStr">
        <is>
          <t>Citroën</t>
        </is>
      </c>
      <c r="F325" s="4">
        <f>IF(C325="","",MAX(0,MIN(100,50+100*(E325-C325)/E325)))</f>
        <v/>
      </c>
      <c r="G325" s="2" t="inlineStr">
        <is>
          <t>Citroen C3/DS 3</t>
        </is>
      </c>
      <c r="H325" s="4">
        <f>IF(G325="","",IFERROR(VLOOKUP(G325,ADAC_TBL,2,0),""))</f>
        <v/>
      </c>
      <c r="I325" s="4">
        <f>IF(H325="","",MAX(0,MIN(100,50+100*(ADAC_REF-H325)/ADAC_REF)))</f>
        <v/>
      </c>
      <c r="J325" s="4">
        <f>IFERROR(VLOOKUP(B325,OCU_TBL,2,0),"")</f>
        <v/>
      </c>
      <c r="K325" s="4">
        <f>IF(COUNT(F325,I325,J325)=0,NEUTRO,AVERAGE(F325,I325,J325))</f>
        <v/>
      </c>
      <c r="L325" s="4">
        <f>IF(COUNT(F325,I325,J325)=0,"PENDIENTE","")</f>
        <v/>
      </c>
      <c r="M325" t="inlineStr">
        <is>
          <t>PENDIENTE</t>
        </is>
      </c>
      <c r="N325" t="inlineStr"/>
      <c r="P325" s="4">
        <f>IF(AND(L325="PENDIENTE",O325&lt;&gt;""),IFERROR(IF(VLOOKUP(O325,$A$285:$L$332,12,0)="",VLOOKUP(O325,$A$285:$L$332,11,0),K325),K325),K325)</f>
        <v/>
      </c>
      <c r="Q325" s="4">
        <f>IF(AND(L325="PENDIENTE",O325&lt;&gt;""),IFERROR(IF(VLOOKUP(O325,$A$285:$L$332,12,0)="","sí","no"),"no"),"no")</f>
        <v/>
      </c>
    </row>
    <row r="326">
      <c r="A326" s="2" t="inlineStr">
        <is>
          <t>Citroën C4</t>
        </is>
      </c>
      <c r="B326" s="2" t="inlineStr">
        <is>
          <t>Citroën</t>
        </is>
      </c>
      <c r="F326" s="4">
        <f>IF(C326="","",MAX(0,MIN(100,50+100*(E326-C326)/E326)))</f>
        <v/>
      </c>
      <c r="H326" s="4">
        <f>IF(G326="","",IFERROR(VLOOKUP(G326,ADAC_TBL,2,0),""))</f>
        <v/>
      </c>
      <c r="I326" s="4">
        <f>IF(H326="","",MAX(0,MIN(100,50+100*(ADAC_REF-H326)/ADAC_REF)))</f>
        <v/>
      </c>
      <c r="J326" s="4">
        <f>IFERROR(VLOOKUP(B326,OCU_TBL,2,0),"")</f>
        <v/>
      </c>
      <c r="K326" s="4">
        <f>IF(COUNT(F326,I326,J326)=0,NEUTRO,AVERAGE(F326,I326,J326))</f>
        <v/>
      </c>
      <c r="L326" s="4">
        <f>IF(COUNT(F326,I326,J326)=0,"PENDIENTE","")</f>
        <v/>
      </c>
      <c r="M326" t="inlineStr">
        <is>
          <t>PENDIENTE</t>
        </is>
      </c>
      <c r="N326" t="inlineStr"/>
      <c r="P326" s="4">
        <f>IF(AND(L326="PENDIENTE",O326&lt;&gt;""),IFERROR(IF(VLOOKUP(O326,$A$285:$L$332,12,0)="",VLOOKUP(O326,$A$285:$L$332,11,0),K326),K326),K326)</f>
        <v/>
      </c>
      <c r="Q326" s="4">
        <f>IF(AND(L326="PENDIENTE",O326&lt;&gt;""),IFERROR(IF(VLOOKUP(O326,$A$285:$L$332,12,0)="","sí","no"),"no"),"no")</f>
        <v/>
      </c>
    </row>
    <row r="327">
      <c r="A327" s="2" t="inlineStr">
        <is>
          <t>Ford Fiesta</t>
        </is>
      </c>
      <c r="B327" s="2" t="inlineStr">
        <is>
          <t>Ford</t>
        </is>
      </c>
      <c r="F327" s="4">
        <f>IF(C327="","",MAX(0,MIN(100,50+100*(E327-C327)/E327)))</f>
        <v/>
      </c>
      <c r="G327" s="2" t="inlineStr">
        <is>
          <t>Ford Fiesta (Courier)</t>
        </is>
      </c>
      <c r="H327" s="4">
        <f>IF(G327="","",IFERROR(VLOOKUP(G327,ADAC_TBL,2,0),""))</f>
        <v/>
      </c>
      <c r="I327" s="4">
        <f>IF(H327="","",MAX(0,MIN(100,50+100*(ADAC_REF-H327)/ADAC_REF)))</f>
        <v/>
      </c>
      <c r="J327" s="4">
        <f>IFERROR(VLOOKUP(B327,OCU_TBL,2,0),"")</f>
        <v/>
      </c>
      <c r="K327" s="4">
        <f>IF(COUNT(F327,I327,J327)=0,NEUTRO,AVERAGE(F327,I327,J327))</f>
        <v/>
      </c>
      <c r="L327" s="4">
        <f>IF(COUNT(F327,I327,J327)=0,"PENDIENTE","")</f>
        <v/>
      </c>
      <c r="M327" t="inlineStr">
        <is>
          <t>PENDIENTE</t>
        </is>
      </c>
      <c r="N327" t="inlineStr"/>
      <c r="P327" s="4">
        <f>IF(AND(L327="PENDIENTE",O327&lt;&gt;""),IFERROR(IF(VLOOKUP(O327,$A$285:$L$332,12,0)="",VLOOKUP(O327,$A$285:$L$332,11,0),K327),K327),K327)</f>
        <v/>
      </c>
      <c r="Q327" s="4">
        <f>IF(AND(L327="PENDIENTE",O327&lt;&gt;""),IFERROR(IF(VLOOKUP(O327,$A$285:$L$332,12,0)="","sí","no"),"no"),"no")</f>
        <v/>
      </c>
    </row>
    <row r="328">
      <c r="A328" s="2" t="inlineStr">
        <is>
          <t>Fiat Punto</t>
        </is>
      </c>
      <c r="B328" s="2" t="inlineStr">
        <is>
          <t>Fiat</t>
        </is>
      </c>
      <c r="F328" s="4">
        <f>IF(C328="","",MAX(0,MIN(100,50+100*(E328-C328)/E328)))</f>
        <v/>
      </c>
      <c r="H328" s="4">
        <f>IF(G328="","",IFERROR(VLOOKUP(G328,ADAC_TBL,2,0),""))</f>
        <v/>
      </c>
      <c r="I328" s="4">
        <f>IF(H328="","",MAX(0,MIN(100,50+100*(ADAC_REF-H328)/ADAC_REF)))</f>
        <v/>
      </c>
      <c r="J328" s="4">
        <f>IFERROR(VLOOKUP(B328,OCU_TBL,2,0),"")</f>
        <v/>
      </c>
      <c r="K328" s="4">
        <f>IF(COUNT(F328,I328,J328)=0,NEUTRO,AVERAGE(F328,I328,J328))</f>
        <v/>
      </c>
      <c r="L328" s="4">
        <f>IF(COUNT(F328,I328,J328)=0,"PENDIENTE","")</f>
        <v/>
      </c>
      <c r="M328" t="inlineStr">
        <is>
          <t>PENDIENTE</t>
        </is>
      </c>
      <c r="N328" t="inlineStr"/>
      <c r="P328" s="4">
        <f>IF(AND(L328="PENDIENTE",O328&lt;&gt;""),IFERROR(IF(VLOOKUP(O328,$A$285:$L$332,12,0)="",VLOOKUP(O328,$A$285:$L$332,11,0),K328),K328),K328)</f>
        <v/>
      </c>
      <c r="Q328" s="4">
        <f>IF(AND(L328="PENDIENTE",O328&lt;&gt;""),IFERROR(IF(VLOOKUP(O328,$A$285:$L$332,12,0)="","sí","no"),"no"),"no")</f>
        <v/>
      </c>
    </row>
    <row r="329">
      <c r="A329" s="2" t="inlineStr">
        <is>
          <t>Fiat 500</t>
        </is>
      </c>
      <c r="B329" s="2" t="inlineStr">
        <is>
          <t>Fiat</t>
        </is>
      </c>
      <c r="F329" s="4">
        <f>IF(C329="","",MAX(0,MIN(100,50+100*(E329-C329)/E329)))</f>
        <v/>
      </c>
      <c r="G329" s="2" t="inlineStr">
        <is>
          <t>Fiat 500</t>
        </is>
      </c>
      <c r="H329" s="4">
        <f>IF(G329="","",IFERROR(VLOOKUP(G329,ADAC_TBL,2,0),""))</f>
        <v/>
      </c>
      <c r="I329" s="4">
        <f>IF(H329="","",MAX(0,MIN(100,50+100*(ADAC_REF-H329)/ADAC_REF)))</f>
        <v/>
      </c>
      <c r="J329" s="4">
        <f>IFERROR(VLOOKUP(B329,OCU_TBL,2,0),"")</f>
        <v/>
      </c>
      <c r="K329" s="4">
        <f>IF(COUNT(F329,I329,J329)=0,NEUTRO,AVERAGE(F329,I329,J329))</f>
        <v/>
      </c>
      <c r="L329" s="4">
        <f>IF(COUNT(F329,I329,J329)=0,"PENDIENTE","")</f>
        <v/>
      </c>
      <c r="M329" t="inlineStr">
        <is>
          <t>PENDIENTE</t>
        </is>
      </c>
      <c r="N329" t="inlineStr"/>
      <c r="P329" s="4">
        <f>IF(AND(L329="PENDIENTE",O329&lt;&gt;""),IFERROR(IF(VLOOKUP(O329,$A$285:$L$332,12,0)="",VLOOKUP(O329,$A$285:$L$332,11,0),K329),K329),K329)</f>
        <v/>
      </c>
      <c r="Q329" s="4">
        <f>IF(AND(L329="PENDIENTE",O329&lt;&gt;""),IFERROR(IF(VLOOKUP(O329,$A$285:$L$332,12,0)="","sí","no"),"no"),"no")</f>
        <v/>
      </c>
    </row>
    <row r="330">
      <c r="A330" s="2" t="inlineStr">
        <is>
          <t>Nissan Micra</t>
        </is>
      </c>
      <c r="B330" s="2" t="inlineStr">
        <is>
          <t>Nissan</t>
        </is>
      </c>
      <c r="F330" s="4">
        <f>IF(C330="","",MAX(0,MIN(100,50+100*(E330-C330)/E330)))</f>
        <v/>
      </c>
      <c r="G330" s="2" t="inlineStr">
        <is>
          <t>Nissan Micra</t>
        </is>
      </c>
      <c r="H330" s="4">
        <f>IF(G330="","",IFERROR(VLOOKUP(G330,ADAC_TBL,2,0),""))</f>
        <v/>
      </c>
      <c r="I330" s="4">
        <f>IF(H330="","",MAX(0,MIN(100,50+100*(ADAC_REF-H330)/ADAC_REF)))</f>
        <v/>
      </c>
      <c r="J330" s="4">
        <f>IFERROR(VLOOKUP(B330,OCU_TBL,2,0),"")</f>
        <v/>
      </c>
      <c r="K330" s="4">
        <f>IF(COUNT(F330,I330,J330)=0,NEUTRO,AVERAGE(F330,I330,J330))</f>
        <v/>
      </c>
      <c r="L330" s="4">
        <f>IF(COUNT(F330,I330,J330)=0,"PENDIENTE","")</f>
        <v/>
      </c>
      <c r="M330" t="inlineStr">
        <is>
          <t>PENDIENTE</t>
        </is>
      </c>
      <c r="N330" t="inlineStr"/>
      <c r="P330" s="4">
        <f>IF(AND(L330="PENDIENTE",O330&lt;&gt;""),IFERROR(IF(VLOOKUP(O330,$A$285:$L$332,12,0)="",VLOOKUP(O330,$A$285:$L$332,11,0),K330),K330),K330)</f>
        <v/>
      </c>
      <c r="Q330" s="4">
        <f>IF(AND(L330="PENDIENTE",O330&lt;&gt;""),IFERROR(IF(VLOOKUP(O330,$A$285:$L$332,12,0)="","sí","no"),"no"),"no")</f>
        <v/>
      </c>
    </row>
    <row r="331">
      <c r="A331" s="2" t="inlineStr">
        <is>
          <t>Suzuki Swift</t>
        </is>
      </c>
      <c r="B331" s="2" t="inlineStr">
        <is>
          <t>Suzuki</t>
        </is>
      </c>
      <c r="F331" s="4">
        <f>IF(C331="","",MAX(0,MIN(100,50+100*(E331-C331)/E331)))</f>
        <v/>
      </c>
      <c r="G331" s="2" t="inlineStr">
        <is>
          <t>Suzuki Swift</t>
        </is>
      </c>
      <c r="H331" s="4">
        <f>IF(G331="","",IFERROR(VLOOKUP(G331,ADAC_TBL,2,0),""))</f>
        <v/>
      </c>
      <c r="I331" s="4">
        <f>IF(H331="","",MAX(0,MIN(100,50+100*(ADAC_REF-H331)/ADAC_REF)))</f>
        <v/>
      </c>
      <c r="J331" s="4">
        <f>IFERROR(VLOOKUP(B331,OCU_TBL,2,0),"")</f>
        <v/>
      </c>
      <c r="K331" s="4">
        <f>IF(COUNT(F331,I331,J331)=0,NEUTRO,AVERAGE(F331,I331,J331))</f>
        <v/>
      </c>
      <c r="L331" s="4">
        <f>IF(COUNT(F331,I331,J331)=0,"PENDIENTE","")</f>
        <v/>
      </c>
      <c r="M331" t="inlineStr">
        <is>
          <t>PENDIENTE (ADAC 2026 entre los mejores Kleinwagen 2016-2023, sin cifra)</t>
        </is>
      </c>
      <c r="N331" t="inlineStr"/>
      <c r="P331" s="4">
        <f>IF(AND(L331="PENDIENTE",O331&lt;&gt;""),IFERROR(IF(VLOOKUP(O331,$A$285:$L$332,12,0)="",VLOOKUP(O331,$A$285:$L$332,11,0),K331),K331),K331)</f>
        <v/>
      </c>
      <c r="Q331" s="4">
        <f>IF(AND(L331="PENDIENTE",O331&lt;&gt;""),IFERROR(IF(VLOOKUP(O331,$A$285:$L$332,12,0)="","sí","no"),"no"),"no")</f>
        <v/>
      </c>
    </row>
    <row r="332">
      <c r="A332" s="2" t="inlineStr">
        <is>
          <t>Mitsubishi Colt</t>
        </is>
      </c>
      <c r="B332" s="2" t="inlineStr">
        <is>
          <t>Mitsubishi</t>
        </is>
      </c>
      <c r="F332" s="4">
        <f>IF(C332="","",MAX(0,MIN(100,50+100*(E332-C332)/E332)))</f>
        <v/>
      </c>
      <c r="H332" s="4">
        <f>IF(G332="","",IFERROR(VLOOKUP(G332,ADAC_TBL,2,0),""))</f>
        <v/>
      </c>
      <c r="I332" s="4">
        <f>IF(H332="","",MAX(0,MIN(100,50+100*(ADAC_REF-H332)/ADAC_REF)))</f>
        <v/>
      </c>
      <c r="J332" s="4">
        <f>IFERROR(VLOOKUP(B332,OCU_TBL,2,0),"")</f>
        <v/>
      </c>
      <c r="K332" s="4">
        <f>IF(COUNT(F332,I332,J332)=0,NEUTRO,AVERAGE(F332,I332,J332))</f>
        <v/>
      </c>
      <c r="L332" s="4">
        <f>IF(COUNT(F332,I332,J332)=0,"PENDIENTE","")</f>
        <v/>
      </c>
      <c r="M332" t="inlineStr">
        <is>
          <t>PENDIENTE</t>
        </is>
      </c>
      <c r="N332" t="inlineStr"/>
      <c r="P332" s="4">
        <f>IF(AND(L332="PENDIENTE",O332&lt;&gt;""),IFERROR(IF(VLOOKUP(O332,$A$285:$L$332,12,0)="",VLOOKUP(O332,$A$285:$L$332,11,0),K332),K332),K332)</f>
        <v/>
      </c>
      <c r="Q332" s="4">
        <f>IF(AND(L332="PENDIENTE",O332&lt;&gt;""),IFERROR(IF(VLOOKUP(O332,$A$285:$L$332,12,0)="","sí","no"),"no"),"no")</f>
        <v/>
      </c>
    </row>
    <row r="333">
      <c r="A333" t="inlineStr">
        <is>
          <t>Plataforma: Toyota Aygo, Peugeot 107, Citroën C1</t>
        </is>
      </c>
      <c r="B333" t="inlineStr">
        <is>
          <t>Proyecto B-Zero de Toyota y PSA: plataforma común, fabricados en TPCA Kolín desde 2005; mismo motor de gasolina 1.0 (1KR)</t>
        </is>
      </c>
      <c r="C333" t="inlineStr">
        <is>
          <t>confirmado</t>
        </is>
      </c>
      <c r="D333" t="inlineStr">
        <is>
          <t>Nota de prensa de Toyota, 01-12-2004: https://global.toyota/en/detail/221659 ("Developed on a common platform, all three cars will begin rolling off the line at the TPCA plant in Kolín")</t>
        </is>
      </c>
    </row>
    <row r="334">
      <c r="A334" t="inlineStr">
        <is>
          <t>Plataforma: Seat Ibiza, Seat Córdoba, Volkswagen Polo, Skoda Fabia</t>
        </is>
      </c>
      <c r="B334" t="inlineStr">
        <is>
          <t>Ibiza 6L (2002-2008), Córdoba 6L (2002-2009), Polo 9N (2001-2009) y Fabia I: plataforma PQ24 del grupo VW</t>
        </is>
      </c>
      <c r="C334" t="inlineStr">
        <is>
          <t>confirmado (Ibiza 6L-Polo 9N-Fabia); probable (Córdoba = Ibiza 6L berlina)</t>
        </is>
      </c>
      <c r="D334" t="inlineStr">
        <is>
          <t>Auto Bild, 'Gebrauchtwagen Seat Ibiza (ab 2002)': https://www.autobild.de/artikel/gebrauchtwagen-seat-ibiza-ab-2002--53502.html ("Teilt sich der Ibiza ... 6L ... seine Plattform mit dem Polo 9N und dem Skoda Fabia")</t>
        </is>
      </c>
    </row>
    <row r="335">
      <c r="A335" t="inlineStr">
        <is>
          <t>Plataforma: Audi A4, Seat Exeo</t>
        </is>
      </c>
      <c r="B335" t="inlineStr">
        <is>
          <t>Seat Exeo (2008-2013) = Audi A4 B7 (plataforma PL46, motores 2.0 TFSI/TDI del A4); la línea de montaje del B7 se trasladó de Ingolstadt a Martorell</t>
        </is>
      </c>
      <c r="C335" t="inlineStr">
        <is>
          <t>confirmado</t>
        </is>
      </c>
      <c r="D335" t="inlineStr">
        <is>
          <t>Nota de prensa de SEAT (02-10-2008) reproducida en https://www2020.theautochannel.com/news/2008/10/02/146068.html ; Auto Bild (10-2008): https://www.autobild.de/artikel/seat-exeo-in-paris-789600.html ; https://paultan.org/2008/10/06/seat-exeo-official-photos-and-details/</t>
        </is>
      </c>
    </row>
    <row r="337">
      <c r="A337" s="6" t="inlineStr">
        <is>
          <t>8. Ajustes por motor con problemas conocidos (el problema tiene fuente; la magnitud es criterio)</t>
        </is>
      </c>
    </row>
    <row r="338">
      <c r="A338" s="7" t="inlineStr">
        <is>
          <t>Marca</t>
        </is>
      </c>
      <c r="B338" s="7" t="inlineStr">
        <is>
          <t>Motor</t>
        </is>
      </c>
      <c r="C338" s="7" t="inlineStr">
        <is>
          <t>Año desde</t>
        </is>
      </c>
      <c r="D338" s="7" t="inlineStr">
        <is>
          <t>Año hasta</t>
        </is>
      </c>
      <c r="E338" s="7" t="inlineStr">
        <is>
          <t>Ajuste (puntos)</t>
        </is>
      </c>
      <c r="F338" s="7" t="inlineStr">
        <is>
          <t>Problema</t>
        </is>
      </c>
      <c r="G338" s="7" t="inlineStr">
        <is>
          <t>Qué revisar</t>
        </is>
      </c>
      <c r="H338" s="7" t="inlineStr">
        <is>
          <t>Estado</t>
        </is>
      </c>
      <c r="I338" s="7" t="inlineStr">
        <is>
          <t>Fuente</t>
        </is>
      </c>
    </row>
    <row r="339">
      <c r="A339" s="2" t="inlineStr">
        <is>
          <t>(todas)</t>
        </is>
      </c>
      <c r="B339" s="2" t="inlineStr">
        <is>
          <t>1.2 PureTech</t>
        </is>
      </c>
      <c r="C339" s="2" t="n">
        <v>2012</v>
      </c>
      <c r="D339" s="2" t="n">
        <v>2022</v>
      </c>
      <c r="E339" s="2" t="n">
        <v>-25</v>
      </c>
      <c r="F339" t="inlineStr">
        <is>
          <t>Correa de distribución húmeda que se degrada y consumo de aceite; Stellantis amplió garantía a 10 años/175.000 km con condiciones</t>
        </is>
      </c>
      <c r="G339" t="inlineStr">
        <is>
          <t>Factura de cambio de correa y del tamiz/bomba de aceite; nivel de aceite; testigo de presión; si entra en la ampliación de garantía Stellantis</t>
        </is>
      </c>
      <c r="H339" t="inlineStr">
        <is>
          <t>probable</t>
        </is>
      </c>
      <c r="I339" t="inlineStr">
        <is>
          <t>https://www.km77.com/revista/engendro-mecanico/stellantis-compensacion-afectados-puretech/ ; https://www.motorpasion.com/industria/stellantis-fin-responde-al-problema-motores-puretech-10-anos-garantia-retroactiva</t>
        </is>
      </c>
    </row>
    <row r="340">
      <c r="A340" s="2" t="inlineStr">
        <is>
          <t>(todas)</t>
        </is>
      </c>
      <c r="B340" s="2" t="inlineStr">
        <is>
          <t>1.0 PureTech</t>
        </is>
      </c>
      <c r="C340" s="2" t="n">
        <v>2012</v>
      </c>
      <c r="D340" s="2" t="n">
        <v>2022</v>
      </c>
      <c r="E340" s="2" t="n">
        <v>-25</v>
      </c>
      <c r="F340" t="inlineStr">
        <is>
          <t>Igual que 1.2 PureTech (familia EB)</t>
        </is>
      </c>
      <c r="G340" t="inlineStr">
        <is>
          <t>Igual que 1.2 PureTech</t>
        </is>
      </c>
      <c r="H340" t="inlineStr">
        <is>
          <t>probable</t>
        </is>
      </c>
      <c r="I340" t="inlineStr">
        <is>
          <t>https://www.km77.com/revista/engendro-mecanico/stellantis-compensacion-afectados-puretech/</t>
        </is>
      </c>
    </row>
    <row r="341">
      <c r="A341" s="2" t="inlineStr">
        <is>
          <t>(todas)</t>
        </is>
      </c>
      <c r="B341" s="2" t="inlineStr">
        <is>
          <t>1.2 VTi</t>
        </is>
      </c>
      <c r="C341" s="2" t="n">
        <v>2012</v>
      </c>
      <c r="D341" s="2" t="n">
        <v>2022</v>
      </c>
      <c r="E341" s="2" t="n">
        <v>-25</v>
      </c>
      <c r="F341" t="inlineStr">
        <is>
          <t>1.2 VTi atmosférico = PureTech EB2 (correa húmeda)</t>
        </is>
      </c>
      <c r="G341" t="inlineStr">
        <is>
          <t>Igual que 1.2 PureTech</t>
        </is>
      </c>
      <c r="H341" t="inlineStr">
        <is>
          <t>probable</t>
        </is>
      </c>
      <c r="I341" t="inlineStr">
        <is>
          <t>https://www.km77.com/revista/engendro-mecanico/stellantis-compensacion-afectados-puretech/</t>
        </is>
      </c>
    </row>
    <row r="342">
      <c r="A342" s="2" t="inlineStr">
        <is>
          <t>(todas)</t>
        </is>
      </c>
      <c r="B342" s="2" t="inlineStr">
        <is>
          <t>1.2 TSI</t>
        </is>
      </c>
      <c r="C342" s="2" t="n">
        <v>2008</v>
      </c>
      <c r="D342" s="2" t="n">
        <v>2012</v>
      </c>
      <c r="E342" s="2" t="n">
        <v>-20</v>
      </c>
      <c r="F342" t="inlineStr">
        <is>
          <t>EA111: cadena de distribución que se alarga y tensor que falla; puede saltar y romper el motor</t>
        </is>
      </c>
      <c r="G342" t="inlineStr">
        <is>
          <t>Ruido metálico en arranque en frío (primeros segundos); factura de cambio de cadena y tensor</t>
        </is>
      </c>
      <c r="H342" t="inlineStr">
        <is>
          <t>probable</t>
        </is>
      </c>
      <c r="I342" t="inlineStr">
        <is>
          <t>https://www.autobild.de/artikel/vw-steuerketten-kulanz-2892135.html</t>
        </is>
      </c>
    </row>
    <row r="343">
      <c r="A343" s="2" t="inlineStr">
        <is>
          <t>(todas)</t>
        </is>
      </c>
      <c r="B343" s="2" t="inlineStr">
        <is>
          <t>1.4 TSI</t>
        </is>
      </c>
      <c r="C343" s="2" t="n">
        <v>2008</v>
      </c>
      <c r="D343" s="2" t="n">
        <v>2012</v>
      </c>
      <c r="E343" s="2" t="n">
        <v>-20</v>
      </c>
      <c r="F343" t="inlineStr">
        <is>
          <t>EA111: cadena de distribución que se alarga y tensor que falla</t>
        </is>
      </c>
      <c r="G343" t="inlineStr">
        <is>
          <t>Ruido de cadena en frío; factura de cadena/tensor; consumo de aceite</t>
        </is>
      </c>
      <c r="H343" t="inlineStr">
        <is>
          <t>probable</t>
        </is>
      </c>
      <c r="I343" t="inlineStr">
        <is>
          <t>https://www.autobild.de/artikel/vw-steuerketten-kulanz-2892135.html</t>
        </is>
      </c>
    </row>
    <row r="344">
      <c r="A344" s="2" t="inlineStr">
        <is>
          <t>(todas)</t>
        </is>
      </c>
      <c r="B344" s="2" t="inlineStr">
        <is>
          <t>1.0 EcoBoost</t>
        </is>
      </c>
      <c r="C344" s="2" t="n">
        <v>2012</v>
      </c>
      <c r="D344" s="2" t="n">
        <v>2018</v>
      </c>
      <c r="E344" s="2" t="n">
        <v>-20</v>
      </c>
      <c r="F344" t="inlineStr">
        <is>
          <t>Correa bañada en aceite que se degrada; fallos de refrigeración y sobrecalentamiento (≈2012-2014)</t>
        </is>
      </c>
      <c r="G344" t="inlineStr">
        <is>
          <t>Fugas y nivel de refrigerante, manguitos, historial de sobrecalentamiento, factura de correa</t>
        </is>
      </c>
      <c r="H344" t="inlineStr">
        <is>
          <t>probable</t>
        </is>
      </c>
      <c r="I344" t="inlineStr">
        <is>
          <t>https://www.motor.es/noticias/ford-10-ecoboost-tricilindricos-correas-banadas-2026115650.html ; https://www.whatcar.com/news/ford-ecoboost-engine-recall-%E2%80%93-what-you-need-to-know/n17972</t>
        </is>
      </c>
    </row>
    <row r="345">
      <c r="A345" s="2" t="inlineStr">
        <is>
          <t>(todas)</t>
        </is>
      </c>
      <c r="B345" s="2" t="inlineStr">
        <is>
          <t>1.2 TCe</t>
        </is>
      </c>
      <c r="C345" s="2" t="n">
        <v>2012</v>
      </c>
      <c r="D345" s="2" t="n">
        <v>2016</v>
      </c>
      <c r="E345" s="2" t="n">
        <v>-20</v>
      </c>
      <c r="F345" t="inlineStr">
        <is>
          <t>H5Ft: consumo excesivo de aceite (fabricados 10/2012-07/2016); recalibración desde 06/2015</t>
        </is>
      </c>
      <c r="G345" t="inlineStr">
        <is>
          <t>Consumo de aceite, humo azul, si se le hizo la actualización de software/campaña</t>
        </is>
      </c>
      <c r="H345" t="inlineStr">
        <is>
          <t>probable</t>
        </is>
      </c>
      <c r="I345" t="inlineStr">
        <is>
          <t>https://questions.assemblee-nationale.fr/dyn/15/questions/QANR5L15QOSD963.pdf</t>
        </is>
      </c>
    </row>
    <row r="346">
      <c r="A346" s="2" t="inlineStr">
        <is>
          <t>Opel</t>
        </is>
      </c>
      <c r="B346" s="2" t="inlineStr">
        <is>
          <t>1.4 Turbo</t>
        </is>
      </c>
      <c r="C346" s="2" t="n">
        <v>2010</v>
      </c>
      <c r="D346" s="2" t="n">
        <v>2018</v>
      </c>
      <c r="E346" s="2" t="n">
        <v>-10</v>
      </c>
      <c r="F346" t="inlineStr">
        <is>
          <t>A14NET: pistones/segmentos (consumo de aceite, preencendido), ventilación del cárter, cadena. Fuentes secundarias</t>
        </is>
      </c>
      <c r="G346" t="inlineStr">
        <is>
          <t>Consumo de aceite, tirones, ruido de cadena</t>
        </is>
      </c>
      <c r="H346" t="inlineStr">
        <is>
          <t>probable (fuente secundaria)</t>
        </is>
      </c>
      <c r="I346" t="inlineStr">
        <is>
          <t>https://carwiki.de/opel-a14net-motor</t>
        </is>
      </c>
    </row>
    <row r="347">
      <c r="A347" s="2" t="inlineStr">
        <is>
          <t>(todas)</t>
        </is>
      </c>
      <c r="B347" s="2" t="inlineStr">
        <is>
          <t>1.6 THP</t>
        </is>
      </c>
      <c r="C347" s="2" t="n">
        <v>2007</v>
      </c>
      <c r="D347" s="2" t="n">
        <v>2018</v>
      </c>
      <c r="E347" s="2" t="n">
        <v>-10</v>
      </c>
      <c r="F347" t="inlineStr">
        <is>
          <t>Familia Prince EP6 turbo (PSA/BMW): estiramiento de la cadena de distribución, consumo de aceite y carbonilla en admisión. Solo fuentes secundarias</t>
        </is>
      </c>
      <c r="G347" t="inlineStr">
        <is>
          <t>Traqueteo de cadena en arranque en frío, consumo de aceite, facturas de cadena/tensor</t>
        </is>
      </c>
      <c r="H347" t="inlineStr">
        <is>
          <t>probable (fuente secundaria)</t>
        </is>
      </c>
      <c r="I347" t="inlineStr">
        <is>
          <t>https://autoscore.pro/engine/1.6-thp-ep6</t>
        </is>
      </c>
    </row>
    <row r="348">
      <c r="A348" s="2" t="inlineStr">
        <is>
          <t>(todas)</t>
        </is>
      </c>
      <c r="B348" s="2" t="inlineStr">
        <is>
          <t>1.6 VTi</t>
        </is>
      </c>
      <c r="C348" s="2" t="n">
        <v>2006</v>
      </c>
      <c r="D348" s="2" t="n">
        <v>2015</v>
      </c>
      <c r="E348" s="2" t="n">
        <v>-10</v>
      </c>
      <c r="F348" t="inlineStr">
        <is>
          <t>Familia Prince EP6 atmosférico (= MINI N12/N16): tensor y guías de la cadena de distribución; los boletines de MINI (SI M11 03 11) cubren también los atmosféricos producidos hasta 11-2011</t>
        </is>
      </c>
      <c r="G348" t="inlineStr">
        <is>
          <t>Ruido de cadena en arranque en frío (primeros segundos), consumo de aceite, factura de cadena/tensor</t>
        </is>
      </c>
      <c r="H348" t="inlineStr">
        <is>
          <t>probable (boletines de servicio MINI recogidos por australiancar.reviews)</t>
        </is>
      </c>
      <c r="I348" t="inlineStr">
        <is>
          <t>https://australiancar.reviews/recalls-faults-mini-r56-cooper-2007-13/</t>
        </is>
      </c>
    </row>
    <row r="349">
      <c r="A349" s="2" t="inlineStr">
        <is>
          <t>(todas)</t>
        </is>
      </c>
      <c r="B349" s="2" t="inlineStr">
        <is>
          <t>1.4 VTi</t>
        </is>
      </c>
      <c r="C349" s="2" t="n">
        <v>2006</v>
      </c>
      <c r="D349" s="2" t="n">
        <v>2015</v>
      </c>
      <c r="E349" s="2" t="n">
        <v>-10</v>
      </c>
      <c r="F349" t="inlineStr">
        <is>
          <t>PSA 1.4 VTi (EP3) = familia Prince (como el MINI 1.4 N12B14): tensor y guías de la cadena de distribución</t>
        </is>
      </c>
      <c r="G349" t="inlineStr">
        <is>
          <t>Ruido de cadena en arranque en frío, consumo de aceite, factura de cadena/tensor</t>
        </is>
      </c>
      <c r="H349" t="inlineStr">
        <is>
          <t>probable (boletines de servicio MINI de la familia Prince recogidos por australiancar.reviews)</t>
        </is>
      </c>
      <c r="I349" t="inlineStr">
        <is>
          <t>https://australiancar.reviews/recalls-faults-mini-r56-cooper-2007-13/</t>
        </is>
      </c>
    </row>
    <row r="350">
      <c r="A350" s="2" t="inlineStr">
        <is>
          <t>MINI</t>
        </is>
      </c>
      <c r="B350" s="2" t="inlineStr">
        <is>
          <t>(cualquiera)</t>
        </is>
      </c>
      <c r="C350" s="2" t="n">
        <v>2006</v>
      </c>
      <c r="D350" s="2" t="n">
        <v>2013</v>
      </c>
      <c r="E350" s="2" t="n">
        <v>-10</v>
      </c>
      <c r="F350" t="inlineStr">
        <is>
          <t>MINI R56 1.4/1.6 con motores Prince (N12/N16 atmosféricos, N14/N18 turbo): tensor de la cadena de distribución (boletines SI M11 02 07 y SI M11 03 11; producidos antes de 11-2011)</t>
        </is>
      </c>
      <c r="G350" t="inlineStr">
        <is>
          <t>Cascabeleo de cadena en frío, historial de cambio de tensor/cadena, consumo de aceite (N14)</t>
        </is>
      </c>
      <c r="H350" t="inlineStr">
        <is>
          <t>probable (boletines de servicio MINI recogidos por australiancar.reviews)</t>
        </is>
      </c>
      <c r="I350" t="inlineStr">
        <is>
          <t>https://australiancar.reviews/recalls-faults-mini-r56-cooper-2007-13/</t>
        </is>
      </c>
    </row>
    <row r="351">
      <c r="A351" s="2" t="inlineStr">
        <is>
          <t>(todas)</t>
        </is>
      </c>
      <c r="B351" s="2" t="inlineStr">
        <is>
          <t>1.8 TFSI</t>
        </is>
      </c>
      <c r="C351" s="2" t="n">
        <v>2007</v>
      </c>
      <c r="D351" s="2" t="n">
        <v>2012</v>
      </c>
      <c r="E351" s="2" t="n">
        <v>-20</v>
      </c>
      <c r="F351" t="inlineStr">
        <is>
          <t>EA888 de 1.ª generación (CDHA/CDAB...): consumo excesivo de aceite por segmentos rascadores demasiado estrechos; la solución suele ser cambiar pistones y segmentos (Auto Bild: ~1 l/1.000 km). Sin programa europeo oficial de Kulanz</t>
        </is>
      </c>
      <c r="G351" t="inlineStr">
        <is>
          <t>Consumo de aceite (pedir registro o prueba de consumo), humo azul, factura de pistones/segmentos o de la ventilación del cárter</t>
        </is>
      </c>
      <c r="H351" t="inlineStr">
        <is>
          <t>probable (Auto Bild; boletín Audi 11-24 del 11-11-2011)</t>
        </is>
      </c>
      <c r="I351" t="inlineStr">
        <is>
          <t>https://www.autobild.de/artikel/oel-saufende-tfsi-motoren-11525331.html ; https://static.nhtsa.gov/odi/tsbs/2013/MC-10121325-9999.pdf</t>
        </is>
      </c>
    </row>
    <row r="352">
      <c r="A352" s="2" t="inlineStr">
        <is>
          <t>(todas)</t>
        </is>
      </c>
      <c r="B352" s="2" t="inlineStr">
        <is>
          <t>1.8 TSI</t>
        </is>
      </c>
      <c r="C352" s="2" t="n">
        <v>2007</v>
      </c>
      <c r="D352" s="2" t="n">
        <v>2012</v>
      </c>
      <c r="E352" s="2" t="n">
        <v>-20</v>
      </c>
      <c r="F352" t="inlineStr">
        <is>
          <t>Mismo motor que el 1.8 TFSI (EA888 de 1.ª generación): consumo excesivo de aceite (segmentos)</t>
        </is>
      </c>
      <c r="G352" t="inlineStr">
        <is>
          <t>Igual que 1.8 TFSI</t>
        </is>
      </c>
      <c r="H352" t="inlineStr">
        <is>
          <t>probable (mismo motor)</t>
        </is>
      </c>
      <c r="I352" t="inlineStr">
        <is>
          <t>https://www.autobild.de/artikel/oel-saufende-tfsi-motoren-11525331.html</t>
        </is>
      </c>
    </row>
    <row r="353">
      <c r="A353" s="2" t="inlineStr">
        <is>
          <t>Audi</t>
        </is>
      </c>
      <c r="B353" s="2" t="inlineStr">
        <is>
          <t>2.0 TFSI</t>
        </is>
      </c>
      <c r="C353" s="2" t="n">
        <v>2009</v>
      </c>
      <c r="D353" s="2" t="n">
        <v>2012</v>
      </c>
      <c r="E353" s="2" t="n">
        <v>-20</v>
      </c>
      <c r="F353" t="inlineStr">
        <is>
          <t>EA888 2.0 TFSI (CAEB/CDNC, A4 B8/A5/Q5): consumo excesivo de aceite. En EE. UU., demanda Asghari v. Volkswagen (sentencia final 29-05-2015): garantía ampliada a 8 años/80.000 millas para el CAEB (A4 2009-11, A5 2010-11, Q5 2011). Boletín Audi 11-24 (11-11-2011): presión del cárter, corregido en producción desde el MY2012. El A4 B7 2.0 TFSI (EA113, BGB/BWE) NO es EA888 y no tiene este ajuste</t>
        </is>
      </c>
      <c r="G353" t="inlineStr">
        <is>
          <t>Consumo de aceite, humo azul, si se hizo el cambio de pistones/segmentos o la válvula PCV; en un A4 de 2008 confirmar si es B7 (EA113) o B8 (EA888)</t>
        </is>
      </c>
      <c r="H353" t="inlineStr">
        <is>
          <t>confirmado (EE. UU.); probable (Europa, Auto Bild)</t>
        </is>
      </c>
      <c r="I353" t="inlineStr">
        <is>
          <t>https://cases.justia.com/federal/district-courts/california/cacdce/2:2013cv02529/559084/186/0.pdf (29-05-2015) ; https://static.nhtsa.gov/odi/tsbs/2013/MC-10121325-9999.pdf ; https://www.autobild.de/artikel/oel-saufende-tfsi-motoren-11525331.html</t>
        </is>
      </c>
    </row>
    <row r="354">
      <c r="A354" s="2" t="inlineStr">
        <is>
          <t>(todas)</t>
        </is>
      </c>
      <c r="B354" s="2" t="inlineStr">
        <is>
          <t>1.4 TSI Twincharger</t>
        </is>
      </c>
      <c r="C354" s="2" t="n">
        <v>2005</v>
      </c>
      <c r="D354" s="2" t="n">
        <v>2014</v>
      </c>
      <c r="E354" s="2" t="n">
        <v>-25</v>
      </c>
      <c r="F354" t="inlineStr">
        <is>
          <t>1.4 TSI con turbo + compresor (BMY, BLG, CAVD, CAVE): familia EA111 con estiramiento y salto de la cadena de distribución reconocido por VW (casos de Kulanz). Rotura/fisura de pistones por carga térmica: solo fuentes de taller (baja confianza). Embrague del compresor: PENDIENTE</t>
        </is>
      </c>
      <c r="G354" t="inlineStr">
        <is>
          <t>Ruido de cadena en frío, factura de cadena/tensor, compresión de cilindros, consumo de aceite, tirones o ruido del compresor</t>
        </is>
      </c>
      <c r="H354" t="inlineStr">
        <is>
          <t>probable (cadena, Auto Bild); pistones: fuente secundaria</t>
        </is>
      </c>
      <c r="I354" t="inlineStr">
        <is>
          <t>https://www.autobild.de/artikel/vw-steuerketten-kulanz-2892135.html ; pistones: https://gebrauchtwagenberater.de/probleme-beim-tsi/</t>
        </is>
      </c>
    </row>
    <row r="355">
      <c r="A355" s="2" t="inlineStr">
        <is>
          <t>(todas)</t>
        </is>
      </c>
      <c r="B355" s="2" t="inlineStr">
        <is>
          <t>1.6 HDi</t>
        </is>
      </c>
      <c r="C355" s="2" t="n">
        <v>2004</v>
      </c>
      <c r="D355" s="2" t="n">
        <v>2010</v>
      </c>
      <c r="E355" s="2" t="n">
        <v>-20</v>
      </c>
      <c r="F355" t="inlineStr">
        <is>
          <t>PSA DV6 16v (producido hasta 2010): fallos de inyectores, volante motor, turbo y embrague</t>
        </is>
      </c>
      <c r="G355" t="inlineStr">
        <is>
          <t>Humo y silbido de turbo, juntas de inyector (carbonilla), volante bimasa (vibración al ralentí), factura de turbo/embrague</t>
        </is>
      </c>
      <c r="H355" t="inlineStr">
        <is>
          <t>confirmado</t>
        </is>
      </c>
      <c r="I355" t="inlineStr">
        <is>
          <t>L'argus, 'Diesel : la liste des pannes récurrentes des moteurs HDi, dCi, TDI...' (28-10-2014): https://www.largus.fr/actualite-automobile/diesel-la-liste-des-pannes-recurrentes-5287380_p_2.html</t>
        </is>
      </c>
    </row>
    <row r="356">
      <c r="A356" s="2" t="inlineStr">
        <is>
          <t>(todas)</t>
        </is>
      </c>
      <c r="B356" s="2" t="inlineStr">
        <is>
          <t>1.6 HDi</t>
        </is>
      </c>
      <c r="C356" s="2" t="n">
        <v>2011</v>
      </c>
      <c r="D356" s="2" t="n">
        <v>2014</v>
      </c>
      <c r="E356" s="2" t="n">
        <v>-10</v>
      </c>
      <c r="F356" t="inlineStr">
        <is>
          <t>PSA DV6 8v: inyectores Continental con tirones hasta abril de 2014; la polea del cigüeñal desgasta la correa de distribución</t>
        </is>
      </c>
      <c r="G356" t="inlineStr">
        <is>
          <t>Tirones en aceleración, estado de la correa y de la polea del cigüeñal, factura de distribución</t>
        </is>
      </c>
      <c r="H356" t="inlineStr">
        <is>
          <t>confirmado</t>
        </is>
      </c>
      <c r="I356" t="inlineStr">
        <is>
          <t>L'argus, 'Diesel : la liste des pannes récurrentes des moteurs HDi, dCi, TDI...' (28-10-2014): https://www.largus.fr/actualite-automobile/diesel-la-liste-des-pannes-recurrentes-5287380_p_2.html</t>
        </is>
      </c>
    </row>
    <row r="357">
      <c r="A357" s="2" t="inlineStr">
        <is>
          <t>(todas)</t>
        </is>
      </c>
      <c r="B357" s="2" t="inlineStr">
        <is>
          <t>1.6 HDi</t>
        </is>
      </c>
      <c r="C357" s="2" t="n">
        <v>2015</v>
      </c>
      <c r="D357" s="2" t="n">
        <v>2020</v>
      </c>
      <c r="E357" s="2" t="n">
        <v>-5</v>
      </c>
      <c r="F357" t="inlineStr">
        <is>
          <t>1.6 BlueHDi: depósito de AdBlue defectuoso; Stellantis amplió la garantía de sustitución a 8 años (acuerdo OCU/BEUC)</t>
        </is>
      </c>
      <c r="G357" t="inlineStr">
        <is>
          <t>Testigo de AdBlue/anticontaminación; si se cambió el depósito, factura o si entra en la ampliación</t>
        </is>
      </c>
      <c r="H357" t="inlineStr">
        <is>
          <t>confirmado</t>
        </is>
      </c>
      <c r="I357" t="inlineStr">
        <is>
          <t>OCU, nota de prensa 27-12-2024: https://www.ocu.org/organizacion/prensa/notas-de-prensa/2024/adblue271224</t>
        </is>
      </c>
    </row>
    <row r="358">
      <c r="A358" s="2" t="inlineStr">
        <is>
          <t>(todas)</t>
        </is>
      </c>
      <c r="B358" s="2" t="inlineStr">
        <is>
          <t>1.6 TDCi</t>
        </is>
      </c>
      <c r="C358" s="2" t="n">
        <v>2004</v>
      </c>
      <c r="D358" s="2" t="n">
        <v>2010</v>
      </c>
      <c r="E358" s="2" t="n">
        <v>-20</v>
      </c>
      <c r="F358" t="inlineStr">
        <is>
          <t>Ford 1.6 TDCi = PSA DV6 16v: mismos fallos de inyectores, turbo y volante motor</t>
        </is>
      </c>
      <c r="G358" t="inlineStr">
        <is>
          <t>Igual que 1.6 HDi 16v</t>
        </is>
      </c>
      <c r="H358" t="inlineStr">
        <is>
          <t>probable (mismo motor que el 1.6 HDi; la fuente habla de PSA)</t>
        </is>
      </c>
      <c r="I358" t="inlineStr">
        <is>
          <t>L'argus, 'Diesel : la liste des pannes récurrentes des moteurs HDi, dCi, TDI...' (28-10-2014): https://www.largus.fr/actualite-automobile/diesel-la-liste-des-pannes-recurrentes-5287380_p_2.html</t>
        </is>
      </c>
    </row>
    <row r="359">
      <c r="A359" s="2" t="inlineStr">
        <is>
          <t>(todas)</t>
        </is>
      </c>
      <c r="B359" s="2" t="inlineStr">
        <is>
          <t>1.6 TDCi</t>
        </is>
      </c>
      <c r="C359" s="2" t="n">
        <v>2011</v>
      </c>
      <c r="D359" s="2" t="n">
        <v>2014</v>
      </c>
      <c r="E359" s="2" t="n">
        <v>-10</v>
      </c>
      <c r="F359" t="inlineStr">
        <is>
          <t>Ford 1.6 TDCi = PSA DV6 8v: inyectores y desgaste de la correa por la polea</t>
        </is>
      </c>
      <c r="G359" t="inlineStr">
        <is>
          <t>Igual que 1.6 HDi 8v</t>
        </is>
      </c>
      <c r="H359" t="inlineStr">
        <is>
          <t>probable (mismo motor)</t>
        </is>
      </c>
      <c r="I359" t="inlineStr">
        <is>
          <t>L'argus, 'Diesel : la liste des pannes récurrentes des moteurs HDi, dCi, TDI...' (28-10-2014): https://www.largus.fr/actualite-automobile/diesel-la-liste-des-pannes-recurrentes-5287380_p_2.html</t>
        </is>
      </c>
    </row>
    <row r="360">
      <c r="A360" s="2" t="inlineStr">
        <is>
          <t>(todas)</t>
        </is>
      </c>
      <c r="B360" s="2" t="inlineStr">
        <is>
          <t>1.4 HDi</t>
        </is>
      </c>
      <c r="C360" s="2" t="n">
        <v>2001</v>
      </c>
      <c r="D360" s="2" t="n">
        <v>2008</v>
      </c>
      <c r="E360" s="2" t="n">
        <v>-10</v>
      </c>
      <c r="F360" t="inlineStr">
        <is>
          <t>PSA DV4: fugas en inyectores (juntas hasta 01-04-2004, tubos rígidos hasta 31-01-2008)</t>
        </is>
      </c>
      <c r="G360" t="inlineStr">
        <is>
          <t>Olor a gasóleo, fugas en inyectores, arranque en caliente</t>
        </is>
      </c>
      <c r="H360" t="inlineStr">
        <is>
          <t>confirmado</t>
        </is>
      </c>
      <c r="I360" t="inlineStr">
        <is>
          <t>L'argus, 'Diesel : la liste des pannes récurrentes des moteurs HDi, dCi, TDI...' (28-10-2014): https://www.largus.fr/actualite-automobile/diesel-la-liste-des-pannes-recurrentes-5287380_p_2.html</t>
        </is>
      </c>
    </row>
    <row r="361">
      <c r="A361" s="2" t="inlineStr">
        <is>
          <t>(todas)</t>
        </is>
      </c>
      <c r="B361" s="2" t="inlineStr">
        <is>
          <t>1.4 HDi</t>
        </is>
      </c>
      <c r="C361" s="2" t="n">
        <v>2009</v>
      </c>
      <c r="D361" s="2" t="n">
        <v>2013</v>
      </c>
      <c r="E361" s="2" t="n">
        <v>-5</v>
      </c>
      <c r="F361" t="inlineStr">
        <is>
          <t>1.4 HDi 68 FAP Euro 5: riesgo de obstrucción del filtro de partículas hasta julio de 2013 (regeneración)</t>
        </is>
      </c>
      <c r="G361" t="inlineStr">
        <is>
          <t>Testigo de FAP, regeneraciones frecuentes</t>
        </is>
      </c>
      <c r="H361" t="inlineStr">
        <is>
          <t>confirmado</t>
        </is>
      </c>
      <c r="I361" t="inlineStr">
        <is>
          <t>L'argus, 'Diesel : la liste des pannes récurrentes des moteurs HDi, dCi, TDI...' (28-10-2014): https://www.largus.fr/actualite-automobile/diesel-la-liste-des-pannes-recurrentes-5287380_p_2.html</t>
        </is>
      </c>
    </row>
    <row r="362">
      <c r="A362" s="2" t="inlineStr">
        <is>
          <t>(todas)</t>
        </is>
      </c>
      <c r="B362" s="2" t="inlineStr">
        <is>
          <t>1.4 TDCi</t>
        </is>
      </c>
      <c r="C362" s="2" t="n">
        <v>2001</v>
      </c>
      <c r="D362" s="2" t="n">
        <v>2008</v>
      </c>
      <c r="E362" s="2" t="n">
        <v>-10</v>
      </c>
      <c r="F362" t="inlineStr">
        <is>
          <t>Ford 1.4 TDCi = PSA DV4: fugas en inyectores</t>
        </is>
      </c>
      <c r="G362" t="inlineStr">
        <is>
          <t>Igual que 1.4 HDi</t>
        </is>
      </c>
      <c r="H362" t="inlineStr">
        <is>
          <t>probable (mismo motor)</t>
        </is>
      </c>
      <c r="I362" t="inlineStr">
        <is>
          <t>L'argus, 'Diesel : la liste des pannes récurrentes des moteurs HDi, dCi, TDI...' (28-10-2014): https://www.largus.fr/actualite-automobile/diesel-la-liste-des-pannes-recurrentes-5287380_p_2.html</t>
        </is>
      </c>
    </row>
    <row r="363">
      <c r="A363" s="2" t="inlineStr">
        <is>
          <t>(todas)</t>
        </is>
      </c>
      <c r="B363" s="2" t="inlineStr">
        <is>
          <t>1.5 dCi</t>
        </is>
      </c>
      <c r="C363" s="2" t="n">
        <v>2001</v>
      </c>
      <c r="D363" s="2" t="n">
        <v>2007</v>
      </c>
      <c r="E363" s="2" t="n">
        <v>-25</v>
      </c>
      <c r="F363" t="inlineStr">
        <is>
          <t>Renault K9K: desgaste anormal de los cojinetes de biela que puede acabar en rotura del motor (afectó a cerca del 1 % hasta 2007)</t>
        </is>
      </c>
      <c r="G363" t="inlineStr">
        <is>
          <t>Ruido de bielas en caliente, presión de aceite, facturas de cambio de aceite cada 10-15.000 km; si se cambiaron cojinetes</t>
        </is>
      </c>
      <c r="H363" t="inlineStr">
        <is>
          <t>confirmado</t>
        </is>
      </c>
      <c r="I363" t="inlineStr">
        <is>
          <t>L'argus, 'Diesel : la liste des pannes récurrentes des moteurs HDi, dCi, TDI...' (28-10-2014): https://www.largus.fr/actualite-automobile/diesel-la-liste-des-pannes-recurrentes-5287380_p_3.html</t>
        </is>
      </c>
    </row>
    <row r="364">
      <c r="A364" s="2" t="inlineStr">
        <is>
          <t>(todas)</t>
        </is>
      </c>
      <c r="B364" s="2" t="inlineStr">
        <is>
          <t>1.5 dCi</t>
        </is>
      </c>
      <c r="C364" s="2" t="n">
        <v>2008</v>
      </c>
      <c r="D364" s="2" t="n">
        <v>2018</v>
      </c>
      <c r="E364" s="2" t="n">
        <v>0</v>
      </c>
      <c r="F364" t="inlineStr">
        <is>
          <t>La fuente sitúa el problema de los cojinetes hasta 2007; después no señala fallos graves específicos</t>
        </is>
      </c>
      <c r="G364" t="inlineStr">
        <is>
          <t>Historial de cambios de aceite, EGR y FAP en uso urbano</t>
        </is>
      </c>
      <c r="H364" t="inlineStr">
        <is>
          <t>probable</t>
        </is>
      </c>
      <c r="I364" t="inlineStr">
        <is>
          <t>L'argus, 'Diesel : la liste des pannes récurrentes des moteurs HDi, dCi, TDI...' (28-10-2014): https://www.largus.fr/actualite-automobile/diesel-la-liste-des-pannes-recurrentes-5287380_p_3.html</t>
        </is>
      </c>
    </row>
    <row r="365">
      <c r="A365" s="2" t="inlineStr">
        <is>
          <t>(todas)</t>
        </is>
      </c>
      <c r="B365" s="2" t="inlineStr">
        <is>
          <t>1.3 Multijet</t>
        </is>
      </c>
      <c r="C365" s="2" t="n">
        <v>2005</v>
      </c>
      <c r="D365" s="2" t="n">
        <v>2018</v>
      </c>
      <c r="E365" s="2" t="n">
        <v>-15</v>
      </c>
      <c r="F365" t="inlineStr">
        <is>
          <t>Fiat 1.3 JTD/Multijet (también Ford Ka, Suzuki Splash y Swift): riesgo de rotura del motor por dilución del aceite</t>
        </is>
      </c>
      <c r="G365" t="inlineStr">
        <is>
          <t>Nivel de aceite que SUBE (dilución por gasóleo), regeneraciones del FAP, cambios de aceite frecuentes</t>
        </is>
      </c>
      <c r="H365" t="inlineStr">
        <is>
          <t>confirmado</t>
        </is>
      </c>
      <c r="I365" t="inlineStr">
        <is>
          <t>L'argus, 'Diesel : la liste des pannes récurrentes des moteurs HDi, dCi, TDI...' (28-10-2014): https://www.largus.fr/actualite-automobile/diesel-la-liste-des-pannes-recurrentes-5287380_p_5.html</t>
        </is>
      </c>
    </row>
    <row r="366">
      <c r="A366" s="2" t="inlineStr">
        <is>
          <t>Ford</t>
        </is>
      </c>
      <c r="B366" s="2" t="inlineStr">
        <is>
          <t>1.3 TDCi</t>
        </is>
      </c>
      <c r="C366" s="2" t="n">
        <v>2008</v>
      </c>
      <c r="D366" s="2" t="n">
        <v>2016</v>
      </c>
      <c r="E366" s="2" t="n">
        <v>-15</v>
      </c>
      <c r="F366" t="inlineStr">
        <is>
          <t>Ford Ka 1.3 TDCi = Fiat 1.3 Multijet: riesgo de rotura por dilución del aceite</t>
        </is>
      </c>
      <c r="G366" t="inlineStr">
        <is>
          <t>Igual que 1.3 Multijet</t>
        </is>
      </c>
      <c r="H366" t="inlineStr">
        <is>
          <t>confirmado (la fuente cita el Ford Ka)</t>
        </is>
      </c>
      <c r="I366" t="inlineStr">
        <is>
          <t>L'argus (28-10-2014): https://www.largus.fr/actualite-automobile/diesel-la-liste-des-pannes-recurrentes-5287380_p_5.html</t>
        </is>
      </c>
    </row>
    <row r="367">
      <c r="A367" s="2" t="inlineStr">
        <is>
          <t>(todas)</t>
        </is>
      </c>
      <c r="B367" s="2" t="inlineStr">
        <is>
          <t>1.3 CDTi</t>
        </is>
      </c>
      <c r="C367" s="2" t="n">
        <v>2003</v>
      </c>
      <c r="D367" s="2" t="n">
        <v>2009</v>
      </c>
      <c r="E367" s="2" t="n">
        <v>-5</v>
      </c>
      <c r="F367" t="inlineStr">
        <is>
          <t>Opel 1.3 CDTI: olor a gasóleo por soportes o juntas de inyectores hasta junio de 2009</t>
        </is>
      </c>
      <c r="G367" t="inlineStr">
        <is>
          <t>Olor a gasóleo en el habitáculo, juntas de inyector</t>
        </is>
      </c>
      <c r="H367" t="inlineStr">
        <is>
          <t>confirmado</t>
        </is>
      </c>
      <c r="I367" t="inlineStr">
        <is>
          <t>L'argus, 'Diesel : la liste des pannes récurrentes des moteurs HDi, dCi, TDI...' (28-10-2014): https://www.largus.fr/actualite-automobile/diesel-la-liste-des-pannes-recurrentes-5287380_p_5.html</t>
        </is>
      </c>
    </row>
    <row r="368">
      <c r="A368" s="2" t="inlineStr">
        <is>
          <t>(todas)</t>
        </is>
      </c>
      <c r="B368" s="2" t="inlineStr">
        <is>
          <t>1.6 TDI</t>
        </is>
      </c>
      <c r="C368" s="2" t="n">
        <v>2009</v>
      </c>
      <c r="D368" s="2" t="n">
        <v>2015</v>
      </c>
      <c r="E368" s="2" t="n">
        <v>-10</v>
      </c>
      <c r="F368" t="inlineStr">
        <is>
          <t>VAG EA189: fuga de refrigerante por la bomba de agua (L'argus) y campaña de emisiones (dieselgate) con actualización de software y rectificador de flujo</t>
        </is>
      </c>
      <c r="G368" t="inlineStr">
        <is>
          <t>Nivel de refrigerante; comprobar con el bastidor que la campaña EA189 está hecha (si no, puede afectar a la ITV)</t>
        </is>
      </c>
      <c r="H368" t="inlineStr">
        <is>
          <t>confirmado</t>
        </is>
      </c>
      <c r="I368" t="inlineStr">
        <is>
          <t>L'argus, 'Diesel : la liste des pannes récurrentes des moteurs HDi, dCi, TDI...' (28-10-2014): https://www.largus.fr/actualite-automobile/diesel-la-liste-des-pannes-recurrentes-5287380_p_4.html ; campaña EA189 en España: https://www.autofacil.es/lista-coches-afectados-fraude-volkswagen-asciende-683626-unidades-espana</t>
        </is>
      </c>
    </row>
    <row r="369">
      <c r="A369" s="2" t="inlineStr">
        <is>
          <t>(todas)</t>
        </is>
      </c>
      <c r="B369" s="2" t="inlineStr">
        <is>
          <t>1.2 TDI</t>
        </is>
      </c>
      <c r="C369" s="2" t="n">
        <v>2009</v>
      </c>
      <c r="D369" s="2" t="n">
        <v>2014</v>
      </c>
      <c r="E369" s="2" t="n">
        <v>-5</v>
      </c>
      <c r="F369" t="inlineStr">
        <is>
          <t>VAG 1.2 TDI EA189: incluido en la campaña de emisiones (actualización de software)</t>
        </is>
      </c>
      <c r="G369" t="inlineStr">
        <is>
          <t>Comprobar con el bastidor que la campaña EA189 está hecha; FAP en uso urbano</t>
        </is>
      </c>
      <c r="H369" t="inlineStr">
        <is>
          <t>confirmado (campaña); fiabilidad mecánica PENDIENTE</t>
        </is>
      </c>
      <c r="I369" t="inlineStr">
        <is>
          <t>https://www.motor.es/noticias/deberia-llevar-tdi-revision-dieselgate-201630418.html</t>
        </is>
      </c>
    </row>
    <row r="370">
      <c r="A370" t="inlineStr">
        <is>
          <t>Motores con buena fama: PENDIENTE de fuente de autoridad; sin ajuste positivo.</t>
        </is>
      </c>
    </row>
    <row r="372">
      <c r="A372" s="6" t="inlineStr">
        <is>
          <t>9. Ajustes por combustible</t>
        </is>
      </c>
    </row>
    <row r="373">
      <c r="A373" s="7" t="inlineStr">
        <is>
          <t>Combustible</t>
        </is>
      </c>
      <c r="B373" s="7" t="inlineStr">
        <is>
          <t>Ajuste (puntos)</t>
        </is>
      </c>
      <c r="C373" s="7" t="inlineStr">
        <is>
          <t>Problema</t>
        </is>
      </c>
      <c r="D373" s="7" t="inlineStr">
        <is>
          <t>Qué revisar</t>
        </is>
      </c>
      <c r="E373" s="7" t="inlineStr">
        <is>
          <t>Estado</t>
        </is>
      </c>
      <c r="F373" s="7" t="inlineStr">
        <is>
          <t>Fuente</t>
        </is>
      </c>
    </row>
    <row r="374">
      <c r="A374" s="2" t="inlineStr">
        <is>
          <t>diesel</t>
        </is>
      </c>
      <c r="B374" s="2" t="n">
        <v>-15</v>
      </c>
      <c r="C374" t="inlineStr">
        <is>
          <t>Filtro de partículas (DPF): en uso urbano no regenera y se colmata; sustitución &gt;1.000-1.500 €</t>
        </is>
      </c>
      <c r="D374" t="inlineStr">
        <is>
          <t>Testigo DPF, regeneraciones frecuentes, EGR, si se ha anulado el filtro (ilegal en ITV)</t>
        </is>
      </c>
      <c r="E374" t="inlineStr">
        <is>
          <t>probable</t>
        </is>
      </c>
      <c r="F374" t="inlineStr">
        <is>
          <t>https://www.motor16.com/las-ultimas-noticias/filtro-particulas-diesel-averia-1500/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2026-10-31T19:17:28Z</dcterms:created>
  <dcterms:modified xmlns:dcterms="http://purl.org/dc/terms/" xmlns:xsi="http://www.w3.org/2001/XMLSchema-instance" xsi:type="dcterms:W3CDTF">2026-10-31T19:17:30Z</dcterms:modified>
</cp:coreProperties>
</file>
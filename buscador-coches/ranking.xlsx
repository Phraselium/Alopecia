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uncios" sheetId="1" state="visible" r:id="rId1"/>
    <sheet xmlns:r="http://schemas.openxmlformats.org/officeDocument/2006/relationships" name="Top20" sheetId="2" state="visible" r:id="rId2"/>
    <sheet xmlns:r="http://schemas.openxmlformats.org/officeDocument/2006/relationships" name="Supuestos" sheetId="3" state="visible" r:id="rId3"/>
  </sheets>
  <definedNames>
    <definedName name="W_FIAB">Supuestos!$B$7</definedName>
    <definedName name="W_PRECIO">Supuestos!$B$8</definedName>
    <definedName name="W_KMEDAD">Supuestos!$B$9</definedName>
    <definedName name="W_ANUNCIO">Supuestos!$B$10</definedName>
    <definedName name="W_USO">Supuestos!$B$11</definedName>
    <definedName name="W_SEGURIDAD">Supuestos!$B$12</definedName>
    <definedName name="W_SUMA">Supuestos!$B$13</definedName>
    <definedName name="ANIO_ACTUAL">Supuestos!$B$17</definedName>
    <definedName name="ANIO_MIN">Supuestos!$B$18</definedName>
    <definedName name="KM_MAX">Supuestos!$B$19</definedName>
    <definedName name="PRECIO_MAX">Supuestos!$B$20</definedName>
    <definedName name="TOTAL_MAX">Supuestos!$B$21</definedName>
    <definedName name="SEG_ANIO">Supuestos!$B$22</definedName>
    <definedName name="SEG_KM">Supuestos!$B$23</definedName>
    <definedName name="MIN_N">Supuestos!$B$24</definedName>
    <definedName name="PRECIO_PEND">Supuestos!$B$25</definedName>
    <definedName name="KMA_IDEAL_MAX">Supuestos!$B$26</definedName>
    <definedName name="KMA_CERO">Supuestos!$B$27</definedName>
    <definedName name="KMA_SOSP">Supuestos!$B$28</definedName>
    <definedName name="KMA_PEN">Supuestos!$B$29</definedName>
    <definedName name="W_KMT">Supuestos!$B$30</definedName>
    <definedName name="W_KMA">Supuestos!$B$31</definedName>
    <definedName name="W_EDAD">Supuestos!$B$32</definedName>
    <definedName name="P_ITV">Supuestos!$B$33</definedName>
    <definedName name="P_LIBRO">Supuestos!$B$34</definedName>
    <definedName name="P_CORREA">Supuestos!$B$35</definedName>
    <definedName name="P_PROP">Supuestos!$B$36</definedName>
    <definedName name="P_GAR">Supuestos!$B$37</definedName>
    <definedName name="P_FOTOS">Supuestos!$B$38</definedName>
    <definedName name="FOTOS_OBJ">Supuestos!$B$39</definedName>
    <definedName name="W_ET">Supuestos!$B$40</definedName>
    <definedName name="W_CONS">Supuestos!$B$41</definedName>
    <definedName name="W_SEG">Supuestos!$B$42</definedName>
    <definedName name="NEUTRO">Supuestos!$B$43</definedName>
    <definedName name="SG_GAR">Supuestos!$B$44</definedName>
    <definedName name="SG_GAR_FULL">Supuestos!$B$45</definedName>
    <definedName name="SG_AMPL">Supuestos!$B$46</definedName>
    <definedName name="SG_KMC">Supuestos!$B$47</definedName>
    <definedName name="SG_REV">Supuestos!$B$48</definedName>
    <definedName name="SG_DEV">Supuestos!$B$49</definedName>
    <definedName name="SG_DEV_FULL">Supuestos!$B$50</definedName>
    <definedName name="SG_HIST">Supuestos!$B$51</definedName>
    <definedName name="SG_LEGAL_ON">Supuestos!$B$52</definedName>
    <definedName name="GAR_LEGAL">Supuestos!$B$53</definedName>
    <definedName name="ITP_TIPO">Supuestos!$B$57</definedName>
    <definedName name="CUOTA_VALOR_MAX">Supuestos!$B$58</definedName>
    <definedName name="TASA_DGT">Supuestos!$B$59</definedName>
    <definedName name="INFORME_DGT">Supuestos!$B$60</definedName>
    <definedName name="ITP_TRAMO_ALTO">Supuestos!$B$61</definedName>
    <definedName name="ITP_TRAMO_BAJO">Supuestos!$B$62</definedName>
    <definedName name="CF_MAS">Supuestos!$A$68:$A$73</definedName>
    <definedName name="CF_CCMIN">Supuestos!$B$68:$B$73</definedName>
    <definedName name="CF_CCMAX">Supuestos!$C$68:$C$73</definedName>
    <definedName name="CF_CUOTA">Supuestos!$D$68:$D$73</definedName>
    <definedName name="GAS_C">Supuestos!$B$79</definedName>
    <definedName name="GAS_B">Supuestos!$B$80</definedName>
    <definedName name="DIE_C">Supuestos!$B$81</definedName>
    <definedName name="DIE_B">Supuestos!$B$82</definedName>
    <definedName name="ETQ_TBL">Supuestos!$A$86:$B$90</definedName>
    <definedName name="SEGURO_TBL">Supuestos!$A$95:$D$96</definedName>
    <definedName name="SEG_REF_MIN">Supuestos!$B$98</definedName>
    <definedName name="SEG_REF_MAX">Supuestos!$B$99</definedName>
    <definedName name="TUV_MEDIAS">Supuestos!$A$103:$B$104</definedName>
    <definedName name="OCU_TBL">Supuestos!$A$108:$B$111</definedName>
    <definedName name="ADAC_TBL">Supuestos!$A$115:$B$201</definedName>
    <definedName name="ADAC_REF">Supuestos!$B$202</definedName>
    <definedName name="MOD_TBL">Supuestos!$A$206:$N$244</definedName>
    <definedName name="MOT_MARCA">Supuestos!$A$248:$A$257</definedName>
    <definedName name="MOT_MOTOR">Supuestos!$B$248:$B$257</definedName>
    <definedName name="MOT_DESDE">Supuestos!$C$248:$C$257</definedName>
    <definedName name="MOT_HASTA">Supuestos!$D$248:$D$257</definedName>
    <definedName name="MOT_AJUSTE">Supuestos!$E$248:$E$257</definedName>
    <definedName name="COMB_COMB">Supuestos!$A$262:$A$262</definedName>
    <definedName name="COMB_AJUSTE">Supuestos!$B$262:$B$262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2"/>
    </font>
    <font>
      <b val="1"/>
    </font>
    <font>
      <color rgb="000000FF"/>
    </font>
    <font>
      <color rgb="00000000"/>
    </font>
    <font>
      <color rgb="00008000"/>
    </font>
    <font>
      <i val="1"/>
    </font>
  </fonts>
  <fills count="3">
    <fill>
      <patternFill/>
    </fill>
    <fill>
      <patternFill patternType="gray125"/>
    </fill>
    <fill>
      <patternFill patternType="solid">
        <fgColor rgb="00DDE4EE"/>
      </patternFill>
    </fill>
  </fills>
  <borders count="1">
    <border>
      <left/>
      <right/>
      <top/>
      <bottom/>
      <diagonal/>
    </border>
  </borders>
  <cellStyleXfs count="1">
    <xf numFmtId="0" fontId="0" fillId="0" borderId="0"/>
  </cellStyleXfs>
  <cellXfs count="10">
    <xf numFmtId="0" fontId="0" fillId="0" borderId="0" pivotButton="0" quotePrefix="0" xfId="0"/>
    <xf numFmtId="0" fontId="2" fillId="2" borderId="0" applyAlignment="1" pivotButton="0" quotePrefix="0" xfId="0">
      <alignment vertical="top" wrapText="1"/>
    </xf>
    <xf numFmtId="0" fontId="3" fillId="0" borderId="0" pivotButton="0" quotePrefix="0" xfId="0"/>
    <xf numFmtId="0" fontId="5" fillId="0" borderId="0" pivotButton="0" quotePrefix="0" xfId="0"/>
    <xf numFmtId="0" fontId="4" fillId="0" borderId="0" pivotButton="0" quotePrefix="0" xfId="0"/>
    <xf numFmtId="0" fontId="6"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buscador</author>
  </authors>
  <commentList>
    <comment ref="A1" authorId="0" shapeId="0">
      <text>
        <t>Datos de anuncio (azul): scrapeados de la plataforma; fuente exacta en la columna 'Fuente (fichero /raw)'.</t>
      </text>
    </comment>
    <comment ref="E1" authorId="0" shapeId="0">
      <text>
        <t>Normalizada por src/normalize.py a partir del dato scrapeado.</t>
      </text>
    </comment>
    <comment ref="G1" authorId="0" shapeId="0">
      <text>
        <t>Normalizado por src/normalize.py (cilindrada + tecnología).</t>
      </text>
    </comment>
    <comment ref="V1" authorId="0" shapeId="0">
      <text>
        <t>Extraído del texto del anuncio por src/extract.py: sí / no / vacío = no lo menciona.</t>
      </text>
    </comment>
    <comment ref="AZ1" authorId="0" shapeId="0">
      <text>
        <t>Fórmula matricial: mediana de precio del segmento (modelo+año+km; si hay menos de MIN_N, sube de nivel).</t>
      </text>
    </comment>
    <comment ref="BW1" authorId="0" shapeId="0">
      <text>
        <t>Cuota fija CV por antigüedad y cilindrada si valor &lt; CUOTA_VALOR_MAX; si no, tipo porcentual. Profesional: 0.</t>
      </text>
    </comment>
    <comment ref="CD1" authorId="0" shapeId="0">
      <text>
        <t>Desempate por orden de fila.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ocasionplus.com/coches-segunda-mano/peugeot-207-14-confort-con-116183km-2008-b9auzqaa" TargetMode="External" Id="rId1"/><Relationship Type="http://schemas.openxmlformats.org/officeDocument/2006/relationships/hyperlink" Target="https://www.autoscout24.es/anuncios/seat-ibiza-1-4-sport-gasolina-cat_ma64mo2006-e82e2b46-304d-45e7-b319-e5896690fc01" TargetMode="External" Id="rId2"/><Relationship Type="http://schemas.openxmlformats.org/officeDocument/2006/relationships/hyperlink" Target="https://www.autoscout24.es/anuncios/volkswagen-polo-1-2-advance-bmt-gasolina-gris-cat_ma74mo2090-827f958f-8688-4b6d-8737-916b285573e8" TargetMode="External" Id="rId3"/><Relationship Type="http://schemas.openxmlformats.org/officeDocument/2006/relationships/hyperlink" Target="https://www.autoscout24.es/anuncios/opel-corsa-1-2-essentia-gasolina-cat_ma54mo1918-eedca07e-c241-4b5e-92f9-ca201479b1f6" TargetMode="External" Id="rId4"/><Relationship Type="http://schemas.openxmlformats.org/officeDocument/2006/relationships/hyperlink" Target="https://www.autoscout24.es/anuncios/opel-corsa-1-4-c-mon-139co2-gasolina-gris-cat_ma54mo1918-530a78a6-41a7-4caa-9407-81ae2c44ad35" TargetMode="External" Id="rId5"/><Relationship Type="http://schemas.openxmlformats.org/officeDocument/2006/relationships/hyperlink" Target="https://www.autoscout24.es/anuncios/opel-corsa-gasolina-cat_ma54mo1918-98e81ab3-945a-4a40-a02e-686a76c720ea" TargetMode="External" Id="rId6"/><Relationship Type="http://schemas.openxmlformats.org/officeDocument/2006/relationships/hyperlink" Target="https://www.autoscout24.es/anuncios/peugeot-207-207-1-4i-confort-75-confort-gasolina-negro-cat_ma55mo18797-a9f25c00-f19e-4e5c-80ed-f8556168c772" TargetMode="External" Id="rId7"/><Relationship Type="http://schemas.openxmlformats.org/officeDocument/2006/relationships/hyperlink" Target="https://www.autoscout24.es/anuncios/ford-fiesta-1-3-ambiente-gasolina-gris-cat_ma29mo1758-cb47557d-00cb-449b-8153-e5de1e64bdaf" TargetMode="External" Id="rId8"/><Relationship Type="http://schemas.openxmlformats.org/officeDocument/2006/relationships/hyperlink" Target="https://www.autoscout24.es/anuncios/fiat-punto-punto-1-2-feel-classic-feel-classic-gasolina-rojo-cat_ma28mo1747-c0e51c94-8ec0-4a36-8134-caae0331b183" TargetMode="External" Id="rId9"/><Relationship Type="http://schemas.openxmlformats.org/officeDocument/2006/relationships/hyperlink" Target="https://www.autoscout24.es/anuncios/fiat-500-500-0-9-t-twinair-pop-85-pop-gasolina-azul-cat_ma28mo15160-8b610c99-c37b-4f70-8870-40b71f5c62f6" TargetMode="External" Id="rId10"/><Relationship Type="http://schemas.openxmlformats.org/officeDocument/2006/relationships/hyperlink" Target="https://www.autoscout24.es/anuncios/chevrolet-aveo-sedan-1-4-16v-lt-gasolina-gris-cat_ma19mo18685-5df9bdd9-27ce-4647-b70f-976633b13f7a" TargetMode="External" Id="rId11"/><Relationship Type="http://schemas.openxmlformats.org/officeDocument/2006/relationships/hyperlink" Target="https://www.autoscout24.es/anuncios/chevrolet-aveo-aveo-1-4-16v-ls-ls-gasolina-blanco-cat_ma19mo18685-10ad7f0c-c270-4daf-8b53-d4973d7d0201" TargetMode="External" Id="rId12"/><Relationship Type="http://schemas.openxmlformats.org/officeDocument/2006/relationships/hyperlink" Target="https://es.wallapop.com/item/toyota-prius-2009-1254410344" TargetMode="External" Id="rId13"/><Relationship Type="http://schemas.openxmlformats.org/officeDocument/2006/relationships/hyperlink" Target="https://es.wallapop.com/item/hyundai-i10-2008-1306889282" TargetMode="External" Id="rId14"/><Relationship Type="http://schemas.openxmlformats.org/officeDocument/2006/relationships/hyperlink" Target="https://es.wallapop.com/item/hyundai-i30-2009-1303258356" TargetMode="External" Id="rId15"/><Relationship Type="http://schemas.openxmlformats.org/officeDocument/2006/relationships/hyperlink" Target="https://es.wallapop.com/item/opel-corsa-2008-1310385297" TargetMode="External" Id="rId16"/><Relationship Type="http://schemas.openxmlformats.org/officeDocument/2006/relationships/hyperlink" Target="https://es.wallapop.com/item/opel-corsa-2009-1318223085" TargetMode="External" Id="rId17"/><Relationship Type="http://schemas.openxmlformats.org/officeDocument/2006/relationships/hyperlink" Target="https://es.wallapop.com/item/opel-corsa-d-2013-1316461365" TargetMode="External" Id="rId18"/><Relationship Type="http://schemas.openxmlformats.org/officeDocument/2006/relationships/hyperlink" Target="https://es.wallapop.com/item/opel-corsa-2013-1313130432" TargetMode="External" Id="rId19"/><Relationship Type="http://schemas.openxmlformats.org/officeDocument/2006/relationships/hyperlink" Target="https://es.wallapop.com/item/opel-agila-2009-1282088556" TargetMode="External" Id="rId20"/><Relationship Type="http://schemas.openxmlformats.org/officeDocument/2006/relationships/hyperlink" Target="https://es.wallapop.com/item/renault-twingo-2009-1311131743" TargetMode="External" Id="rId21"/><Relationship Type="http://schemas.openxmlformats.org/officeDocument/2006/relationships/hyperlink" Target="https://es.wallapop.com/item/dacia-sandero-2009-1310485042" TargetMode="External" Id="rId22"/><Relationship Type="http://schemas.openxmlformats.org/officeDocument/2006/relationships/hyperlink" Target="https://es.wallapop.com/item/peugeot-207-2008-1318790630" TargetMode="External" Id="rId23"/><Relationship Type="http://schemas.openxmlformats.org/officeDocument/2006/relationships/hyperlink" Target="https://es.wallapop.com/item/peugeot-207-2012-1309416714" TargetMode="External" Id="rId24"/><Relationship Type="http://schemas.openxmlformats.org/officeDocument/2006/relationships/hyperlink" Target="https://es.wallapop.com/item/peugeot-207-2010-1295140251" TargetMode="External" Id="rId25"/><Relationship Type="http://schemas.openxmlformats.org/officeDocument/2006/relationships/hyperlink" Target="https://es.wallapop.com/item/peugeot-207-2008-1288549890" TargetMode="External" Id="rId26"/><Relationship Type="http://schemas.openxmlformats.org/officeDocument/2006/relationships/hyperlink" Target="https://es.wallapop.com/item/peugeot-207-2008-1280300367" TargetMode="External" Id="rId27"/><Relationship Type="http://schemas.openxmlformats.org/officeDocument/2006/relationships/hyperlink" Target="https://es.wallapop.com/item/peugeot-207-2008-1266639855" TargetMode="External" Id="rId28"/><Relationship Type="http://schemas.openxmlformats.org/officeDocument/2006/relationships/hyperlink" Target="https://es.wallapop.com/item/peugeot-207-2009-1303500233" TargetMode="External" Id="rId29"/><Relationship Type="http://schemas.openxmlformats.org/officeDocument/2006/relationships/hyperlink" Target="https://es.wallapop.com/item/peugeot-308-2008-1318834980" TargetMode="External" Id="rId30"/><Relationship Type="http://schemas.openxmlformats.org/officeDocument/2006/relationships/hyperlink" Target="https://es.wallapop.com/item/peugeot-308-1-6-vti-120cv-solo-126-000-km-itv-1313565029" TargetMode="External" Id="rId31"/><Relationship Type="http://schemas.openxmlformats.org/officeDocument/2006/relationships/hyperlink" Target="https://es.wallapop.com/item/ford-ka-2014-1311163176" TargetMode="External" Id="rId32"/><Relationship Type="http://schemas.openxmlformats.org/officeDocument/2006/relationships/hyperlink" Target="https://es.wallapop.com/item/ford-ka-2010-en-muy-buen-estado-1294034931" TargetMode="External" Id="rId33"/><Relationship Type="http://schemas.openxmlformats.org/officeDocument/2006/relationships/hyperlink" Target="https://es.wallapop.com/item/ford-fiesta-2009-1299179562" TargetMode="External" Id="rId34"/><Relationship Type="http://schemas.openxmlformats.org/officeDocument/2006/relationships/hyperlink" Target="https://es.wallapop.com/item/chevrolet-aveo-2009-1312378329" TargetMode="External" Id="rId35"/><Relationship Type="http://schemas.openxmlformats.org/officeDocument/2006/relationships/hyperlink" Target="https://es.wallapop.com/item/chevrolet-aveo-2009-1308111570" TargetMode="External" Id="rId36"/><Relationship Type="http://schemas.openxmlformats.org/officeDocument/2006/relationships/hyperlink" Target="https://es.wallapop.com/item/chevrolet-aveo-2012-1290605393" TargetMode="External" Id="rId37"/><Relationship Type="http://schemas.openxmlformats.org/officeDocument/2006/relationships/hyperlink" Target="https://es.wallapop.com/item/chevrolet-cruze-2012-1235670974" TargetMode="External" Id="rId3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D39"/>
  <sheetViews>
    <sheetView workbookViewId="0">
      <selection activeCell="A1" sqref="A1"/>
    </sheetView>
  </sheetViews>
  <sheetFormatPr baseColWidth="8" defaultRowHeight="15"/>
  <cols>
    <col width="13" customWidth="1" min="1" max="1"/>
    <col width="13" customWidth="1" min="2" max="2"/>
    <col width="30" customWidth="1" min="3" max="3"/>
    <col width="40"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30" customWidth="1" min="40" max="40"/>
    <col width="40" customWidth="1" min="41" max="41"/>
    <col width="60" customWidth="1" min="42" max="42"/>
    <col width="30"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s>
  <sheetData>
    <row r="1">
      <c r="A1" s="1" t="inlineStr">
        <is>
          <t>ID</t>
        </is>
      </c>
      <c r="B1" s="1" t="inlineStr">
        <is>
          <t>Plataforma</t>
        </is>
      </c>
      <c r="C1" s="1" t="inlineStr">
        <is>
          <t>URL</t>
        </is>
      </c>
      <c r="D1" s="1" t="inlineStr">
        <is>
          <t>Título</t>
        </is>
      </c>
      <c r="E1" s="1" t="inlineStr">
        <is>
          <t>Marca</t>
        </is>
      </c>
      <c r="F1" s="1" t="inlineStr">
        <is>
          <t>Modelo</t>
        </is>
      </c>
      <c r="G1" s="1" t="inlineStr">
        <is>
          <t>Motor (normalizado)</t>
        </is>
      </c>
      <c r="H1" s="1" t="inlineStr">
        <is>
          <t>Versión</t>
        </is>
      </c>
      <c r="I1" s="1" t="inlineStr">
        <is>
          <t>Cilindrada (cc)</t>
        </is>
      </c>
      <c r="J1" s="1" t="inlineStr">
        <is>
          <t>Potencia (CV)</t>
        </is>
      </c>
      <c r="K1" s="1" t="inlineStr">
        <is>
          <t>Combustible</t>
        </is>
      </c>
      <c r="L1" s="1" t="inlineStr">
        <is>
          <t>Segmento</t>
        </is>
      </c>
      <c r="M1" s="1" t="inlineStr">
        <is>
          <t>Año</t>
        </is>
      </c>
      <c r="N1" s="1" t="inlineStr">
        <is>
          <t>Km</t>
        </is>
      </c>
      <c r="O1" s="1" t="inlineStr">
        <is>
          <t>Precio (€)</t>
        </is>
      </c>
      <c r="P1" s="1" t="inlineStr">
        <is>
          <t>Cambio</t>
        </is>
      </c>
      <c r="Q1" s="1" t="inlineStr">
        <is>
          <t>Automático</t>
        </is>
      </c>
      <c r="R1" s="1" t="inlineStr">
        <is>
          <t>Vendedor</t>
        </is>
      </c>
      <c r="S1" s="1" t="inlineStr">
        <is>
          <t>Ubicación</t>
        </is>
      </c>
      <c r="T1" s="1" t="inlineStr">
        <is>
          <t>Publicado</t>
        </is>
      </c>
      <c r="U1" s="1" t="inlineStr">
        <is>
          <t>Nº fotos</t>
        </is>
      </c>
      <c r="V1" s="1" t="inlineStr">
        <is>
          <t>ITV en vigor</t>
        </is>
      </c>
      <c r="W1" s="1" t="inlineStr">
        <is>
          <t>Libro mantenimiento</t>
        </is>
      </c>
      <c r="X1" s="1" t="inlineStr">
        <is>
          <t>Correa/distrib. cambiada</t>
        </is>
      </c>
      <c r="Y1" s="1" t="inlineStr">
        <is>
          <t>Nº propietarios</t>
        </is>
      </c>
      <c r="Z1" s="1" t="inlineStr">
        <is>
          <t>Garantía</t>
        </is>
      </c>
      <c r="AA1" s="1" t="inlineStr">
        <is>
          <t>Km justificados</t>
        </is>
      </c>
      <c r="AB1" s="1" t="inlineStr">
        <is>
          <t>Garantía incluida (meses)</t>
        </is>
      </c>
      <c r="AC1" s="1" t="inlineStr">
        <is>
          <t>Garantía ampliable</t>
        </is>
      </c>
      <c r="AD1" s="1" t="inlineStr">
        <is>
          <t>Precio ampliación garantía (€)</t>
        </is>
      </c>
      <c r="AE1" s="1" t="inlineStr">
        <is>
          <t>Revisión (puntos)</t>
        </is>
      </c>
      <c r="AF1" s="1" t="inlineStr">
        <is>
          <t>Km certificados</t>
        </is>
      </c>
      <c r="AG1" s="1" t="inlineStr">
        <is>
          <t>Devolución (días)</t>
        </is>
      </c>
      <c r="AH1" s="1" t="inlineStr">
        <is>
          <t>Precio al contado (€)</t>
        </is>
      </c>
      <c r="AI1" s="1" t="inlineStr">
        <is>
          <t>Precio financiado (€)</t>
        </is>
      </c>
      <c r="AJ1" s="1" t="inlineStr">
        <is>
          <t>Precio anunciado solo financiando</t>
        </is>
      </c>
      <c r="AK1" s="1" t="inlineStr">
        <is>
          <t>Gastos de gestión del vendedor (€)</t>
        </is>
      </c>
      <c r="AL1" s="1" t="inlineStr">
        <is>
          <t>Gastos incluyen transferencia</t>
        </is>
      </c>
      <c r="AM1" s="1" t="inlineStr">
        <is>
          <t>Distancia a València (km)</t>
        </is>
      </c>
      <c r="AN1" s="1" t="inlineStr">
        <is>
          <t>Duplicados fusionados</t>
        </is>
      </c>
      <c r="AO1" s="1" t="inlineStr">
        <is>
          <t>Avisos</t>
        </is>
      </c>
      <c r="AP1" s="1" t="inlineStr">
        <is>
          <t>Descripción</t>
        </is>
      </c>
      <c r="AQ1" s="1" t="inlineStr">
        <is>
          <t>Fuente (fichero /raw)</t>
        </is>
      </c>
      <c r="AR1" s="1" t="inlineStr">
        <is>
          <t>Edad (años)</t>
        </is>
      </c>
      <c r="AS1" s="1" t="inlineStr">
        <is>
          <t>Km/año</t>
        </is>
      </c>
      <c r="AT1" s="1" t="inlineStr">
        <is>
          <t>Seg. modelo</t>
        </is>
      </c>
      <c r="AU1" s="1" t="inlineStr">
        <is>
          <t>Seg. modelo+año</t>
        </is>
      </c>
      <c r="AV1" s="1" t="inlineStr">
        <is>
          <t>Seg. modelo+año+km</t>
        </is>
      </c>
      <c r="AW1" s="1" t="inlineStr">
        <is>
          <t>N modelo</t>
        </is>
      </c>
      <c r="AX1" s="1" t="inlineStr">
        <is>
          <t>N modelo+año</t>
        </is>
      </c>
      <c r="AY1" s="1" t="inlineStr">
        <is>
          <t>N modelo+año+km</t>
        </is>
      </c>
      <c r="AZ1" s="1" t="inlineStr">
        <is>
          <t>Mediana segmento (€)</t>
        </is>
      </c>
      <c r="BA1" s="1" t="inlineStr">
        <is>
          <t>Nivel mediana</t>
        </is>
      </c>
      <c r="BB1" s="1" t="inlineStr">
        <is>
          <t>Descuento vs mediana</t>
        </is>
      </c>
      <c r="BC1" s="1" t="inlineStr">
        <is>
          <t>Etiqueta DGT</t>
        </is>
      </c>
      <c r="BD1" s="1" t="inlineStr">
        <is>
          <t>Fiab. base modelo</t>
        </is>
      </c>
      <c r="BE1" s="1" t="inlineStr">
        <is>
          <t>Ajuste motor</t>
        </is>
      </c>
      <c r="BF1" s="1" t="inlineStr">
        <is>
          <t>Ajuste combustible</t>
        </is>
      </c>
      <c r="BG1" s="1" t="inlineStr">
        <is>
          <t>P. Fiabilidad</t>
        </is>
      </c>
      <c r="BH1" s="1" t="inlineStr">
        <is>
          <t>P. Precio</t>
        </is>
      </c>
      <c r="BI1" s="1" t="inlineStr">
        <is>
          <t>P. km totales</t>
        </is>
      </c>
      <c r="BJ1" s="1" t="inlineStr">
        <is>
          <t>P. km/año</t>
        </is>
      </c>
      <c r="BK1" s="1" t="inlineStr">
        <is>
          <t>P. edad</t>
        </is>
      </c>
      <c r="BL1" s="1" t="inlineStr">
        <is>
          <t>P. Km y edad</t>
        </is>
      </c>
      <c r="BM1" s="1" t="inlineStr">
        <is>
          <t>P. Anuncio</t>
        </is>
      </c>
      <c r="BN1" s="1" t="inlineStr">
        <is>
          <t>P. etiqueta</t>
        </is>
      </c>
      <c r="BO1" s="1" t="inlineStr">
        <is>
          <t>P. consumo (PENDIENTE)</t>
        </is>
      </c>
      <c r="BP1" s="1" t="inlineStr">
        <is>
          <t>Seguro estimado €/año (aprox.)</t>
        </is>
      </c>
      <c r="BQ1" s="1" t="inlineStr">
        <is>
          <t>P. seguro</t>
        </is>
      </c>
      <c r="BR1" s="1" t="inlineStr">
        <is>
          <t>P. Coste uso</t>
        </is>
      </c>
      <c r="BS1" s="1" t="inlineStr">
        <is>
          <t>Garantía efectiva (meses)</t>
        </is>
      </c>
      <c r="BT1" s="1" t="inlineStr">
        <is>
          <t>P. Seguridad compra</t>
        </is>
      </c>
      <c r="BU1" s="1" t="inlineStr">
        <is>
          <t>PUNTUACIÓN</t>
        </is>
      </c>
      <c r="BV1" s="1" t="inlineStr">
        <is>
          <t>cc para ITP</t>
        </is>
      </c>
      <c r="BW1" s="1" t="inlineStr">
        <is>
          <t>ITP (€)</t>
        </is>
      </c>
      <c r="BX1" s="1" t="inlineStr">
        <is>
          <t>Gastos vendedor en coste (€)</t>
        </is>
      </c>
      <c r="BY1" s="1" t="inlineStr">
        <is>
          <t>Tasa DGT (€)</t>
        </is>
      </c>
      <c r="BZ1" s="1" t="inlineStr">
        <is>
          <t>Informe DGT (€)</t>
        </is>
      </c>
      <c r="CA1" s="1" t="inlineStr">
        <is>
          <t>COSTE TOTAL (€)</t>
        </is>
      </c>
      <c r="CB1" s="1" t="inlineStr">
        <is>
          <t>Coste 1er año con seguro (€)</t>
        </is>
      </c>
      <c r="CC1" s="1" t="inlineStr">
        <is>
          <t>Dentro de presupuesto</t>
        </is>
      </c>
      <c r="CD1" s="1" t="inlineStr">
        <is>
          <t>Puesto</t>
        </is>
      </c>
    </row>
    <row r="2">
      <c r="A2" s="2" t="inlineStr">
        <is>
          <t>ocasionplus:b9auzqaa</t>
        </is>
      </c>
      <c r="B2" s="2" t="inlineStr">
        <is>
          <t>ocasionplus</t>
        </is>
      </c>
      <c r="C2" s="2" t="inlineStr">
        <is>
          <t>https://www.ocasionplus.com/coches-segunda-mano/peugeot-207-14-confort-con-116183km-2008-b9auzqaa</t>
        </is>
      </c>
      <c r="D2" s="2" t="inlineStr">
        <is>
          <t>Peugeot 207 1.4 Confort (75 CV)</t>
        </is>
      </c>
      <c r="E2" s="2" t="inlineStr">
        <is>
          <t>Peugeot</t>
        </is>
      </c>
      <c r="F2" s="2" t="inlineStr">
        <is>
          <t>Peugeot 207</t>
        </is>
      </c>
      <c r="G2" s="2" t="inlineStr">
        <is>
          <t>1.4</t>
        </is>
      </c>
      <c r="H2" s="2" t="inlineStr">
        <is>
          <t>Peugeot 207 1.4 Confort (75 CV)</t>
        </is>
      </c>
      <c r="I2" s="2" t="n">
        <v>1360</v>
      </c>
      <c r="J2" s="2" t="n">
        <v>75</v>
      </c>
      <c r="K2" s="2" t="inlineStr">
        <is>
          <t>gasolina</t>
        </is>
      </c>
      <c r="L2" s="2" t="inlineStr">
        <is>
          <t>utilitario</t>
        </is>
      </c>
      <c r="M2" s="2" t="n">
        <v>2008</v>
      </c>
      <c r="N2" s="2" t="n">
        <v>116183</v>
      </c>
      <c r="O2" s="2" t="n">
        <v>2900</v>
      </c>
      <c r="P2" s="2" t="inlineStr">
        <is>
          <t>manual</t>
        </is>
      </c>
      <c r="Q2" s="2" t="inlineStr">
        <is>
          <t>no</t>
        </is>
      </c>
      <c r="R2" s="2" t="inlineStr">
        <is>
          <t>profesional</t>
        </is>
      </c>
      <c r="S2" s="2" t="inlineStr">
        <is>
          <t>Valencia - Sagunto (Sagunto, 46500)</t>
        </is>
      </c>
      <c r="T2" s="2" t="inlineStr">
        <is>
          <t>2026-10-27T00:00:00.000Z</t>
        </is>
      </c>
      <c r="U2" s="2" t="n">
        <v>25</v>
      </c>
      <c r="V2" s="2" t="inlineStr">
        <is>
          <t>sí</t>
        </is>
      </c>
      <c r="W2" s="2" t="n"/>
      <c r="X2" s="2" t="n"/>
      <c r="Y2" s="2" t="n">
        <v>0</v>
      </c>
      <c r="Z2" s="2" t="n"/>
      <c r="AA2" s="2" t="n"/>
      <c r="AB2" s="2" t="n"/>
      <c r="AC2" s="2" t="inlineStr">
        <is>
          <t>sí</t>
        </is>
      </c>
      <c r="AD2" s="2" t="n">
        <v>500</v>
      </c>
      <c r="AE2" s="2" t="n"/>
      <c r="AF2" s="2" t="inlineStr">
        <is>
          <t>sí</t>
        </is>
      </c>
      <c r="AG2" s="2" t="n"/>
      <c r="AH2" s="2" t="n">
        <v>2900</v>
      </c>
      <c r="AI2" s="2" t="n">
        <v>2900</v>
      </c>
      <c r="AJ2" s="2" t="inlineStr">
        <is>
          <t>no</t>
        </is>
      </c>
      <c r="AK2" s="2" t="n">
        <v>350</v>
      </c>
      <c r="AL2" s="2" t="inlineStr">
        <is>
          <t>sí</t>
        </is>
      </c>
      <c r="AM2" s="2" t="n">
        <v>25.5</v>
      </c>
      <c r="AN2" s="2" t="n"/>
      <c r="AO2" s="2" t="inlineStr">
        <is>
          <t>vendedor profesional: sin ITP (operación con IVA/REBU, confirmar en factura); fiabilidad del modelo PENDIENTE de fuente (puntuación neutra)</t>
        </is>
      </c>
      <c r="AP2" s="2" t="inlineStr">
        <is>
          <t>Peugeot 207 1.4 Confort (75 CV)</t>
        </is>
      </c>
      <c r="AQ2" s="2" t="inlineStr">
        <is>
          <t>https://www.ocasionplus.com/coches-segunda-mano/peugeot-207-14-confort-con-116183km-2008-b9auzqaa (payload RSC 'vehicle') /home/user/Alopecia/buscador-coches/raw/ocasionplus/fc0eb20181760918.json</t>
        </is>
      </c>
      <c r="AR2" s="3">
        <f>MAX(ANIO_ACTUAL-M2,0)</f>
        <v/>
      </c>
      <c r="AS2" s="4">
        <f>N2/MAX(AR2,0.5)</f>
        <v/>
      </c>
      <c r="AT2" s="4">
        <f>F2</f>
        <v/>
      </c>
      <c r="AU2" s="3">
        <f>AT2&amp;"|"&amp;INT(M2/SEG_ANIO)*SEG_ANIO</f>
        <v/>
      </c>
      <c r="AV2" s="3">
        <f>AU2&amp;"|"&amp;INT(N2/SEG_KM)*SEG_KM</f>
        <v/>
      </c>
      <c r="AW2" s="4">
        <f>COUNTIF($AT$2:$AT$39,AT2)</f>
        <v/>
      </c>
      <c r="AX2" s="4">
        <f>COUNTIF($AU$2:$AU$39,AU2)</f>
        <v/>
      </c>
      <c r="AY2" s="4">
        <f>COUNTIF($AV$2:$AV$39,AV2)</f>
        <v/>
      </c>
      <c r="AZ2" s="3">
        <f t="array" ref="AZ2">IF(AY2&gt;=MIN_N,MEDIAN(IF($AV$2:$AV$39=AV2,$O$2:$O$39)),IF(AX2&gt;=MIN_N,MEDIAN(IF($AU$2:$AU$39=AU2,$O$2:$O$39)),MEDIAN(IF($AT$2:$AT$39=AT2,$O$2:$O$39))))</f>
        <v/>
      </c>
      <c r="BA2" s="3">
        <f>IF(AY2&gt;=MIN_N,"modelo+año+km",IF(AX2&gt;=MIN_N,"modelo+año","modelo"))</f>
        <v/>
      </c>
      <c r="BB2" s="4">
        <f>(AZ2-O2)/AZ2</f>
        <v/>
      </c>
      <c r="BC2" s="3">
        <f>IF(OR(K2="hibrido",K2="glp"),"ECO",IF(K2="electrico","CERO",IF(K2="gasolina",IF(M2&gt;=GAS_C,"C",IF(M2&gt;=GAS_B,"B","A")),IF(K2="diesel",IF(M2&gt;=DIE_C,"C",IF(M2&gt;=DIE_B,"B","A")),""))))</f>
        <v/>
      </c>
      <c r="BD2" s="3">
        <f>IFERROR(VLOOKUP(F2,MOD_TBL,11,0),IFERROR(VLOOKUP(E2,OCU_TBL,2,0),NEUTRO))</f>
        <v/>
      </c>
      <c r="BE2" s="3">
        <f>SUMIFS(MOT_AJUSTE,MOT_MOTOR,G2,MOT_MARCA,E2,MOT_DESDE,"&lt;="&amp;M2,MOT_HASTA,"&gt;="&amp;M2)+SUMIFS(MOT_AJUSTE,MOT_MOTOR,G2,MOT_MARCA,"(todas)",MOT_DESDE,"&lt;="&amp;M2,MOT_HASTA,"&gt;="&amp;M2)</f>
        <v/>
      </c>
      <c r="BF2" s="3">
        <f>SUMIFS(COMB_AJUSTE,COMB_COMB,K2)</f>
        <v/>
      </c>
      <c r="BG2" s="4">
        <f>MAX(0,MIN(100,BD2+BE2+BF2))</f>
        <v/>
      </c>
      <c r="BH2" s="3">
        <f>MAX(0,MIN(100,50+BB2*PRECIO_PEND))</f>
        <v/>
      </c>
      <c r="BI2" s="3">
        <f>MAX(0,100*(1-N2/KM_MAX))</f>
        <v/>
      </c>
      <c r="BJ2" s="3">
        <f>IF(AS2&lt;KMA_SOSP,IF(AA2="sí",100,KMA_PEN),IF(AS2&lt;=KMA_IDEAL_MAX,100,MAX(0,100*(KMA_CERO-AS2)/(KMA_CERO-KMA_IDEAL_MAX))))</f>
        <v/>
      </c>
      <c r="BK2" s="3">
        <f>MAX(0,MIN(100,100*(M2-ANIO_MIN)/(ANIO_ACTUAL-ANIO_MIN)))</f>
        <v/>
      </c>
      <c r="BL2" s="3">
        <f>W_KMT*BI2+W_KMA*BJ2+W_EDAD*BK2</f>
        <v/>
      </c>
      <c r="BM2" s="3">
        <f>P_ITV*(V2="sí")+P_LIBRO*(W2="sí")+P_CORREA*(X2="sí")+P_PROP*(Y2=1)+P_GAR*(Z2="sí")+P_FOTOS*MIN(1,N(U2)/FOTOS_OBJ)</f>
        <v/>
      </c>
      <c r="BN2" s="3">
        <f>IFERROR(VLOOKUP(BC2,ETQ_TBL,2,0),NEUTRO)</f>
        <v/>
      </c>
      <c r="BO2" s="3">
        <f>NEUTRO</f>
        <v/>
      </c>
      <c r="BP2" s="3">
        <f>IFERROR(VLOOKUP(L2,SEGURO_TBL,3,0),"")</f>
        <v/>
      </c>
      <c r="BQ2" s="3">
        <f>IF(BP2="",NEUTRO,MAX(0,MIN(100,100*(SEG_REF_MAX-BP2)/(SEG_REF_MAX-SEG_REF_MIN))))</f>
        <v/>
      </c>
      <c r="BR2" s="3">
        <f>W_ET*BN2+W_CONS*BO2+W_SEG*BQ2</f>
        <v/>
      </c>
      <c r="BS2" s="3">
        <f>IF(N(AB2)&gt;0,AB2,IF(AND(R2="profesional",SG_LEGAL_ON=1),GAR_LEGAL,0))</f>
        <v/>
      </c>
      <c r="BT2" s="3">
        <f>SG_GAR*MIN(1,BS2/SG_GAR_FULL)+SG_AMPL*(AC2="sí")+SG_KMC*(AF2="sí")+SG_REV*(N(AE2)&gt;0)+SG_DEV*MIN(1,N(AG2)/SG_DEV_FULL)+SG_HIST*(W2="sí")</f>
        <v/>
      </c>
      <c r="BU2" s="3">
        <f>W_FIAB*BG2+W_PRECIO*BH2+W_KMEDAD*BL2+W_ANUNCIO*BM2+W_USO*BR2+W_SEGURIDAD*BT2</f>
        <v/>
      </c>
      <c r="BV2" s="4">
        <f>IF(N(I2)&gt;0,I2,IFERROR(ROUND(_xlfn.NUMBERVALUE(LEFT(G2,FIND(" ",G2&amp;" ")-1),".")*1000,0),99999))</f>
        <v/>
      </c>
      <c r="BW2" s="3">
        <f>IF(R2="profesional",0,IF(O2&lt;CUOTA_VALOR_MAX,IF(AR2&gt;ITP_TRAMO_ALTO,SUMIFS(CF_CUOTA,CF_MAS,ITP_TRAMO_ALTO,CF_CCMIN,"&lt;="&amp;BV2,CF_CCMAX,"&gt;="&amp;BV2),IF(AR2&gt;ITP_TRAMO_BAJO,SUMIFS(CF_CUOTA,CF_MAS,ITP_TRAMO_BAJO,CF_CCMIN,"&lt;="&amp;BV2,CF_CCMAX,"&gt;="&amp;BV2),O2*ITP_TIPO)),O2*ITP_TIPO))</f>
        <v/>
      </c>
      <c r="BX2" s="4">
        <f>IF(R2="profesional",N(AK2),0)</f>
        <v/>
      </c>
      <c r="BY2" s="3">
        <f>IF(AND(R2="profesional",ISNUMBER(AK2),AL2="sí"),0,TASA_DGT)</f>
        <v/>
      </c>
      <c r="BZ2" s="3">
        <f>INFORME_DGT</f>
        <v/>
      </c>
      <c r="CA2" s="4">
        <f>O2+BX2+BW2+BY2+BZ2</f>
        <v/>
      </c>
      <c r="CB2" s="4">
        <f>CA2+N(BP2)</f>
        <v/>
      </c>
      <c r="CC2" s="3">
        <f>IF(CA2&lt;=TOTAL_MAX,"sí","no")</f>
        <v/>
      </c>
      <c r="CD2" s="4">
        <f>IF(CC2="sí",COUNTIFS($CC$2:$CC$39,"sí",$BU$2:$BU$39,"&gt;"&amp;BU2)+COUNTIFS($CC$2:CC2,"sí",$BU$2:BU2,BU2),"")</f>
        <v/>
      </c>
    </row>
    <row r="3">
      <c r="A3" s="2" t="inlineStr">
        <is>
          <t>autoscout24:e82e2b46-304d-45e7-b319-e5896690fc01</t>
        </is>
      </c>
      <c r="B3" s="2" t="inlineStr">
        <is>
          <t>autoscout24</t>
        </is>
      </c>
      <c r="C3" s="2" t="inlineStr">
        <is>
          <t>https://www.autoscout24.es/anuncios/seat-ibiza-1-4-sport-gasolina-cat_ma64mo2006-e82e2b46-304d-45e7-b319-e5896690fc01</t>
        </is>
      </c>
      <c r="D3" s="2" t="inlineStr">
        <is>
          <t>SEAT Ibiza 1.4 Sport</t>
        </is>
      </c>
      <c r="E3" s="2" t="inlineStr">
        <is>
          <t>Seat</t>
        </is>
      </c>
      <c r="F3" s="2" t="inlineStr">
        <is>
          <t>Seat Ibiza</t>
        </is>
      </c>
      <c r="G3" s="2" t="inlineStr">
        <is>
          <t>1.4</t>
        </is>
      </c>
      <c r="H3" s="2" t="inlineStr">
        <is>
          <t>1.4 Sport 1.4</t>
        </is>
      </c>
      <c r="I3" s="2" t="n">
        <v>1390</v>
      </c>
      <c r="J3" s="2" t="n">
        <v>86</v>
      </c>
      <c r="K3" s="2" t="inlineStr">
        <is>
          <t>gasolina</t>
        </is>
      </c>
      <c r="L3" s="2" t="inlineStr">
        <is>
          <t>utilitario</t>
        </is>
      </c>
      <c r="M3" s="2" t="n">
        <v>2009</v>
      </c>
      <c r="N3" s="2" t="n">
        <v>180000</v>
      </c>
      <c r="O3" s="2" t="n">
        <v>4400</v>
      </c>
      <c r="P3" s="2" t="inlineStr">
        <is>
          <t>manual</t>
        </is>
      </c>
      <c r="Q3" s="2" t="inlineStr">
        <is>
          <t>no</t>
        </is>
      </c>
      <c r="R3" s="2" t="inlineStr">
        <is>
          <t>particular</t>
        </is>
      </c>
      <c r="S3" s="2" t="inlineStr">
        <is>
          <t>Vinalesa (46114)</t>
        </is>
      </c>
      <c r="T3" s="2" t="n"/>
      <c r="U3" s="2" t="n">
        <v>1</v>
      </c>
      <c r="V3" s="2" t="inlineStr">
        <is>
          <t>sí</t>
        </is>
      </c>
      <c r="W3" s="2" t="n"/>
      <c r="X3" s="2" t="inlineStr">
        <is>
          <t>sí</t>
        </is>
      </c>
      <c r="Y3" s="2" t="n"/>
      <c r="Z3" s="2" t="n"/>
      <c r="AA3" s="2" t="n"/>
      <c r="AB3" s="2" t="n"/>
      <c r="AC3" s="2" t="n"/>
      <c r="AD3" s="2" t="n"/>
      <c r="AE3" s="2" t="n"/>
      <c r="AF3" s="2" t="n"/>
      <c r="AG3" s="2" t="n"/>
      <c r="AH3" s="2" t="n"/>
      <c r="AI3" s="2" t="n"/>
      <c r="AJ3" s="2" t="n"/>
      <c r="AK3" s="2" t="n"/>
      <c r="AL3" s="2" t="n"/>
      <c r="AM3" s="2" t="n">
        <v>7.8</v>
      </c>
      <c r="AN3" s="2" t="n"/>
      <c r="AO3" s="2" t="inlineStr">
        <is>
          <t>cuota fija ITP: &gt;12 años, hasta 1.500 cc; mediana con solo 1 anuncio(s)</t>
        </is>
      </c>
      <c r="AP3" s="2" t="inlineStr">
        <is>
          <t>🚗 SE VENDE SEAT IBIZA 1.4 SPORT – GASOLINA&lt;br /&gt;&lt;br /&gt;📅 Año: 2009&lt;br /&gt;⛽ Motor: Gasolina 1.4&lt;br /&gt;🏁 Versión: Sport&lt;br /&gt;📍 Kilómetros: 180.000 km&lt;br /&gt;✅ ITV pasada en mayo de 2026&lt;br /&gt;✅ Sin accidentes&lt;br /&gt;✅ Sin reparaciones graves&lt;br /&gt;✅ Buen estado general&lt;br /&gt;✅ Sistema multimedia Android instalado&lt;br /&gt;📱 Pantalla tipo tablet con Bluetooth y navegador GPS&lt;br /&gt;&lt;br /&gt;Coche ideal para uso diario, económico de mantener y con motor fiable.&lt;br /&gt;Se vende por cambio de vehículo.&lt;br /&gt;&lt;br /&gt;Caja de cambios y correa cambiados a los 140.000 kms por desgaste.</t>
        </is>
      </c>
      <c r="AQ3" s="2" t="inlineStr">
        <is>
          <t>https://www.autoscout24.es/anuncios/seat-ibiza-1-4-sport-gasolina-cat_ma64mo2006-e82e2b46-304d-45e7-b319-e5896690fc01 (__NEXT_DATA__ listingDetails) /home/user/Alopecia/buscador-coches/raw/autoscout24/3b8e903b836218fd.json</t>
        </is>
      </c>
      <c r="AR3" s="3">
        <f>MAX(ANIO_ACTUAL-M3,0)</f>
        <v/>
      </c>
      <c r="AS3" s="4">
        <f>N3/MAX(AR3,0.5)</f>
        <v/>
      </c>
      <c r="AT3" s="4">
        <f>F3</f>
        <v/>
      </c>
      <c r="AU3" s="3">
        <f>AT3&amp;"|"&amp;INT(M3/SEG_ANIO)*SEG_ANIO</f>
        <v/>
      </c>
      <c r="AV3" s="3">
        <f>AU3&amp;"|"&amp;INT(N3/SEG_KM)*SEG_KM</f>
        <v/>
      </c>
      <c r="AW3" s="4">
        <f>COUNTIF($AT$2:$AT$39,AT3)</f>
        <v/>
      </c>
      <c r="AX3" s="4">
        <f>COUNTIF($AU$2:$AU$39,AU3)</f>
        <v/>
      </c>
      <c r="AY3" s="4">
        <f>COUNTIF($AV$2:$AV$39,AV3)</f>
        <v/>
      </c>
      <c r="AZ3" s="3">
        <f t="array" ref="AZ3">IF(AY3&gt;=MIN_N,MEDIAN(IF($AV$2:$AV$39=AV3,$O$2:$O$39)),IF(AX3&gt;=MIN_N,MEDIAN(IF($AU$2:$AU$39=AU3,$O$2:$O$39)),MEDIAN(IF($AT$2:$AT$39=AT3,$O$2:$O$39))))</f>
        <v/>
      </c>
      <c r="BA3" s="3">
        <f>IF(AY3&gt;=MIN_N,"modelo+año+km",IF(AX3&gt;=MIN_N,"modelo+año","modelo"))</f>
        <v/>
      </c>
      <c r="BB3" s="4">
        <f>(AZ3-O3)/AZ3</f>
        <v/>
      </c>
      <c r="BC3" s="3">
        <f>IF(OR(K3="hibrido",K3="glp"),"ECO",IF(K3="electrico","CERO",IF(K3="gasolina",IF(M3&gt;=GAS_C,"C",IF(M3&gt;=GAS_B,"B","A")),IF(K3="diesel",IF(M3&gt;=DIE_C,"C",IF(M3&gt;=DIE_B,"B","A")),""))))</f>
        <v/>
      </c>
      <c r="BD3" s="3">
        <f>IFERROR(VLOOKUP(F3,MOD_TBL,11,0),IFERROR(VLOOKUP(E3,OCU_TBL,2,0),NEUTRO))</f>
        <v/>
      </c>
      <c r="BE3" s="3">
        <f>SUMIFS(MOT_AJUSTE,MOT_MOTOR,G3,MOT_MARCA,E3,MOT_DESDE,"&lt;="&amp;M3,MOT_HASTA,"&gt;="&amp;M3)+SUMIFS(MOT_AJUSTE,MOT_MOTOR,G3,MOT_MARCA,"(todas)",MOT_DESDE,"&lt;="&amp;M3,MOT_HASTA,"&gt;="&amp;M3)</f>
        <v/>
      </c>
      <c r="BF3" s="3">
        <f>SUMIFS(COMB_AJUSTE,COMB_COMB,K3)</f>
        <v/>
      </c>
      <c r="BG3" s="4">
        <f>MAX(0,MIN(100,BD3+BE3+BF3))</f>
        <v/>
      </c>
      <c r="BH3" s="3">
        <f>MAX(0,MIN(100,50+BB3*PRECIO_PEND))</f>
        <v/>
      </c>
      <c r="BI3" s="3">
        <f>MAX(0,100*(1-N3/KM_MAX))</f>
        <v/>
      </c>
      <c r="BJ3" s="3">
        <f>IF(AS3&lt;KMA_SOSP,IF(AA3="sí",100,KMA_PEN),IF(AS3&lt;=KMA_IDEAL_MAX,100,MAX(0,100*(KMA_CERO-AS3)/(KMA_CERO-KMA_IDEAL_MAX))))</f>
        <v/>
      </c>
      <c r="BK3" s="3">
        <f>MAX(0,MIN(100,100*(M3-ANIO_MIN)/(ANIO_ACTUAL-ANIO_MIN)))</f>
        <v/>
      </c>
      <c r="BL3" s="3">
        <f>W_KMT*BI3+W_KMA*BJ3+W_EDAD*BK3</f>
        <v/>
      </c>
      <c r="BM3" s="3">
        <f>P_ITV*(V3="sí")+P_LIBRO*(W3="sí")+P_CORREA*(X3="sí")+P_PROP*(Y3=1)+P_GAR*(Z3="sí")+P_FOTOS*MIN(1,N(U3)/FOTOS_OBJ)</f>
        <v/>
      </c>
      <c r="BN3" s="3">
        <f>IFERROR(VLOOKUP(BC3,ETQ_TBL,2,0),NEUTRO)</f>
        <v/>
      </c>
      <c r="BO3" s="3">
        <f>NEUTRO</f>
        <v/>
      </c>
      <c r="BP3" s="3">
        <f>IFERROR(VLOOKUP(L3,SEGURO_TBL,3,0),"")</f>
        <v/>
      </c>
      <c r="BQ3" s="3">
        <f>IF(BP3="",NEUTRO,MAX(0,MIN(100,100*(SEG_REF_MAX-BP3)/(SEG_REF_MAX-SEG_REF_MIN))))</f>
        <v/>
      </c>
      <c r="BR3" s="3">
        <f>W_ET*BN3+W_CONS*BO3+W_SEG*BQ3</f>
        <v/>
      </c>
      <c r="BS3" s="3">
        <f>IF(N(AB3)&gt;0,AB3,IF(AND(R3="profesional",SG_LEGAL_ON=1),GAR_LEGAL,0))</f>
        <v/>
      </c>
      <c r="BT3" s="3">
        <f>SG_GAR*MIN(1,BS3/SG_GAR_FULL)+SG_AMPL*(AC3="sí")+SG_KMC*(AF3="sí")+SG_REV*(N(AE3)&gt;0)+SG_DEV*MIN(1,N(AG3)/SG_DEV_FULL)+SG_HIST*(W3="sí")</f>
        <v/>
      </c>
      <c r="BU3" s="3">
        <f>W_FIAB*BG3+W_PRECIO*BH3+W_KMEDAD*BL3+W_ANUNCIO*BM3+W_USO*BR3+W_SEGURIDAD*BT3</f>
        <v/>
      </c>
      <c r="BV3" s="4">
        <f>IF(N(I3)&gt;0,I3,IFERROR(ROUND(_xlfn.NUMBERVALUE(LEFT(G3,FIND(" ",G3&amp;" ")-1),".")*1000,0),99999))</f>
        <v/>
      </c>
      <c r="BW3" s="3">
        <f>IF(R3="profesional",0,IF(O3&lt;CUOTA_VALOR_MAX,IF(AR3&gt;ITP_TRAMO_ALTO,SUMIFS(CF_CUOTA,CF_MAS,ITP_TRAMO_ALTO,CF_CCMIN,"&lt;="&amp;BV3,CF_CCMAX,"&gt;="&amp;BV3),IF(AR3&gt;ITP_TRAMO_BAJO,SUMIFS(CF_CUOTA,CF_MAS,ITP_TRAMO_BAJO,CF_CCMIN,"&lt;="&amp;BV3,CF_CCMAX,"&gt;="&amp;BV3),O3*ITP_TIPO)),O3*ITP_TIPO))</f>
        <v/>
      </c>
      <c r="BX3" s="4">
        <f>IF(R3="profesional",N(AK3),0)</f>
        <v/>
      </c>
      <c r="BY3" s="3">
        <f>IF(AND(R3="profesional",ISNUMBER(AK3),AL3="sí"),0,TASA_DGT)</f>
        <v/>
      </c>
      <c r="BZ3" s="3">
        <f>INFORME_DGT</f>
        <v/>
      </c>
      <c r="CA3" s="4">
        <f>O3+BX3+BW3+BY3+BZ3</f>
        <v/>
      </c>
      <c r="CB3" s="4">
        <f>CA3+N(BP3)</f>
        <v/>
      </c>
      <c r="CC3" s="3">
        <f>IF(CA3&lt;=TOTAL_MAX,"sí","no")</f>
        <v/>
      </c>
      <c r="CD3" s="4">
        <f>IF(CC3="sí",COUNTIFS($CC$2:$CC$39,"sí",$BU$2:$BU$39,"&gt;"&amp;BU3)+COUNTIFS($CC$2:CC3,"sí",$BU$2:BU3,BU3),"")</f>
        <v/>
      </c>
    </row>
    <row r="4">
      <c r="A4" s="2" t="inlineStr">
        <is>
          <t>autoscout24:827f958f-8688-4b6d-8737-916b285573e8</t>
        </is>
      </c>
      <c r="B4" s="2" t="inlineStr">
        <is>
          <t>autoscout24</t>
        </is>
      </c>
      <c r="C4" s="2" t="inlineStr">
        <is>
          <t>https://www.autoscout24.es/anuncios/volkswagen-polo-1-2-advance-bmt-gasolina-gris-cat_ma74mo2090-827f958f-8688-4b6d-8737-916b285573e8</t>
        </is>
      </c>
      <c r="D4" s="2" t="inlineStr">
        <is>
          <t>Volkswagen Polo 1.2 Advance BMT</t>
        </is>
      </c>
      <c r="E4" s="2" t="inlineStr">
        <is>
          <t>Volkswagen</t>
        </is>
      </c>
      <c r="F4" s="2" t="inlineStr">
        <is>
          <t>Volkswagen Polo</t>
        </is>
      </c>
      <c r="G4" s="2" t="inlineStr">
        <is>
          <t>1.2</t>
        </is>
      </c>
      <c r="H4" s="2" t="inlineStr">
        <is>
          <t>1.2 Advance BMT 1.2</t>
        </is>
      </c>
      <c r="I4" s="2" t="n">
        <v>1198</v>
      </c>
      <c r="J4" s="2" t="n">
        <v>69</v>
      </c>
      <c r="K4" s="2" t="inlineStr">
        <is>
          <t>gasolina</t>
        </is>
      </c>
      <c r="L4" s="2" t="inlineStr">
        <is>
          <t>utilitario</t>
        </is>
      </c>
      <c r="M4" s="2" t="n">
        <v>2011</v>
      </c>
      <c r="N4" s="2" t="n">
        <v>211000</v>
      </c>
      <c r="O4" s="2" t="n">
        <v>4400</v>
      </c>
      <c r="P4" s="2" t="inlineStr">
        <is>
          <t>manual</t>
        </is>
      </c>
      <c r="Q4" s="2" t="inlineStr">
        <is>
          <t>no</t>
        </is>
      </c>
      <c r="R4" s="2" t="inlineStr">
        <is>
          <t>profesional</t>
        </is>
      </c>
      <c r="S4" s="2" t="inlineStr">
        <is>
          <t>Star Car Valencia — ALDAIA (46960)</t>
        </is>
      </c>
      <c r="T4" s="2" t="n"/>
      <c r="U4" s="2" t="n">
        <v>8</v>
      </c>
      <c r="V4" s="2" t="n"/>
      <c r="W4" s="2" t="n"/>
      <c r="X4" s="2" t="n"/>
      <c r="Y4" s="2" t="n"/>
      <c r="Z4" s="2" t="inlineStr">
        <is>
          <t>sí</t>
        </is>
      </c>
      <c r="AA4" s="2" t="n"/>
      <c r="AB4" s="2" t="n">
        <v>24</v>
      </c>
      <c r="AC4" s="2" t="n"/>
      <c r="AD4" s="2" t="n"/>
      <c r="AE4" s="2" t="n"/>
      <c r="AF4" s="2" t="n"/>
      <c r="AG4" s="2" t="n"/>
      <c r="AH4" s="2" t="n">
        <v>4400</v>
      </c>
      <c r="AI4" s="2" t="n"/>
      <c r="AJ4" s="2" t="n"/>
      <c r="AK4" s="2" t="n"/>
      <c r="AL4" s="2" t="n"/>
      <c r="AM4" s="2" t="n">
        <v>6.8</v>
      </c>
      <c r="AN4" s="2" t="n"/>
      <c r="AO4" s="2" t="inlineStr">
        <is>
          <t>vendedor profesional: sin ITP (operación con IVA/REBU, confirmar en factura); gastos de gestión del vendedor no indicados: se suma la tasa DGT; preguntar el precio final; mediana con solo 1 anuncio(s)</t>
        </is>
      </c>
      <c r="AP4" s="2" t="inlineStr">
        <is>
          <t>&lt;strong&gt;Precio al contado: 4400 euros&lt;/strong&gt; &lt;br /&gt;&lt;br /&gt;&lt;strong&gt;Condiciones de la financiación&lt;/strong&gt; &lt;br /&gt;&lt;br /&gt;REQUISITOS&lt;br /&gt;LTIMA NOMINA&lt;br /&gt;TITULARIDAD BANCARIA&lt;br /&gt;DNI&lt;br /&gt;TELEFONO&lt;br /&gt;⅕&lt;br /&gt; &lt;br /&gt;&lt;br /&gt;1 AÑO DE GARANTÍA  o 2 AÑOS DE GARANTÍA DE MOTOR&lt;br /&gt;POSIBILIDAD DE FINANCIACION 100%&lt;br /&gt;MANTENIMIENTO REALIZADO&lt;br /&gt;ENTREGA INMEDIATA&lt;br /&gt;1ª Matriculación:	02/2011&lt;br /&gt;Lectura cuentakilómetros:	211.407 km&lt;br /&gt;Combustible:	Gasolina&lt;br /&gt;Potencia:	51 KW / 70 CV&lt;br /&gt;Cilindrada:	1.198 cc&lt;br /&gt;Caja de cambios:	Cambio tipo manual&lt;br /&gt;Fecha de vencimiento ITV:	01/2027&lt;br /&gt; Si necesitas cualquier coche — modelo, color, año y kilómetros — te lo traemos.&lt;br /&gt;Dinos qué necesitas y lo tendrás. &lt;br /&gt;&lt;br /&gt; El anuncio puede contener errores.&lt;br /&gt;&lt;br /&gt;</t>
        </is>
      </c>
      <c r="AQ4" s="2" t="inlineStr">
        <is>
          <t>https://www.autoscout24.es/anuncios/volkswagen-polo-1-2-advance-bmt-gasolina-gris-cat_ma74mo2090-827f958f-8688-4b6d-8737-916b285573e8 (__NEXT_DATA__ listingDetails) /home/user/Alopecia/buscador-coches/raw/autoscout24/d6fff8df76fd308b.json</t>
        </is>
      </c>
      <c r="AR4" s="3">
        <f>MAX(ANIO_ACTUAL-M4,0)</f>
        <v/>
      </c>
      <c r="AS4" s="4">
        <f>N4/MAX(AR4,0.5)</f>
        <v/>
      </c>
      <c r="AT4" s="4">
        <f>F4</f>
        <v/>
      </c>
      <c r="AU4" s="3">
        <f>AT4&amp;"|"&amp;INT(M4/SEG_ANIO)*SEG_ANIO</f>
        <v/>
      </c>
      <c r="AV4" s="3">
        <f>AU4&amp;"|"&amp;INT(N4/SEG_KM)*SEG_KM</f>
        <v/>
      </c>
      <c r="AW4" s="4">
        <f>COUNTIF($AT$2:$AT$39,AT4)</f>
        <v/>
      </c>
      <c r="AX4" s="4">
        <f>COUNTIF($AU$2:$AU$39,AU4)</f>
        <v/>
      </c>
      <c r="AY4" s="4">
        <f>COUNTIF($AV$2:$AV$39,AV4)</f>
        <v/>
      </c>
      <c r="AZ4" s="3">
        <f t="array" ref="AZ4">IF(AY4&gt;=MIN_N,MEDIAN(IF($AV$2:$AV$39=AV4,$O$2:$O$39)),IF(AX4&gt;=MIN_N,MEDIAN(IF($AU$2:$AU$39=AU4,$O$2:$O$39)),MEDIAN(IF($AT$2:$AT$39=AT4,$O$2:$O$39))))</f>
        <v/>
      </c>
      <c r="BA4" s="3">
        <f>IF(AY4&gt;=MIN_N,"modelo+año+km",IF(AX4&gt;=MIN_N,"modelo+año","modelo"))</f>
        <v/>
      </c>
      <c r="BB4" s="4">
        <f>(AZ4-O4)/AZ4</f>
        <v/>
      </c>
      <c r="BC4" s="3">
        <f>IF(OR(K4="hibrido",K4="glp"),"ECO",IF(K4="electrico","CERO",IF(K4="gasolina",IF(M4&gt;=GAS_C,"C",IF(M4&gt;=GAS_B,"B","A")),IF(K4="diesel",IF(M4&gt;=DIE_C,"C",IF(M4&gt;=DIE_B,"B","A")),""))))</f>
        <v/>
      </c>
      <c r="BD4" s="3">
        <f>IFERROR(VLOOKUP(F4,MOD_TBL,11,0),IFERROR(VLOOKUP(E4,OCU_TBL,2,0),NEUTRO))</f>
        <v/>
      </c>
      <c r="BE4" s="3">
        <f>SUMIFS(MOT_AJUSTE,MOT_MOTOR,G4,MOT_MARCA,E4,MOT_DESDE,"&lt;="&amp;M4,MOT_HASTA,"&gt;="&amp;M4)+SUMIFS(MOT_AJUSTE,MOT_MOTOR,G4,MOT_MARCA,"(todas)",MOT_DESDE,"&lt;="&amp;M4,MOT_HASTA,"&gt;="&amp;M4)</f>
        <v/>
      </c>
      <c r="BF4" s="3">
        <f>SUMIFS(COMB_AJUSTE,COMB_COMB,K4)</f>
        <v/>
      </c>
      <c r="BG4" s="4">
        <f>MAX(0,MIN(100,BD4+BE4+BF4))</f>
        <v/>
      </c>
      <c r="BH4" s="3">
        <f>MAX(0,MIN(100,50+BB4*PRECIO_PEND))</f>
        <v/>
      </c>
      <c r="BI4" s="3">
        <f>MAX(0,100*(1-N4/KM_MAX))</f>
        <v/>
      </c>
      <c r="BJ4" s="3">
        <f>IF(AS4&lt;KMA_SOSP,IF(AA4="sí",100,KMA_PEN),IF(AS4&lt;=KMA_IDEAL_MAX,100,MAX(0,100*(KMA_CERO-AS4)/(KMA_CERO-KMA_IDEAL_MAX))))</f>
        <v/>
      </c>
      <c r="BK4" s="3">
        <f>MAX(0,MIN(100,100*(M4-ANIO_MIN)/(ANIO_ACTUAL-ANIO_MIN)))</f>
        <v/>
      </c>
      <c r="BL4" s="3">
        <f>W_KMT*BI4+W_KMA*BJ4+W_EDAD*BK4</f>
        <v/>
      </c>
      <c r="BM4" s="3">
        <f>P_ITV*(V4="sí")+P_LIBRO*(W4="sí")+P_CORREA*(X4="sí")+P_PROP*(Y4=1)+P_GAR*(Z4="sí")+P_FOTOS*MIN(1,N(U4)/FOTOS_OBJ)</f>
        <v/>
      </c>
      <c r="BN4" s="3">
        <f>IFERROR(VLOOKUP(BC4,ETQ_TBL,2,0),NEUTRO)</f>
        <v/>
      </c>
      <c r="BO4" s="3">
        <f>NEUTRO</f>
        <v/>
      </c>
      <c r="BP4" s="3">
        <f>IFERROR(VLOOKUP(L4,SEGURO_TBL,3,0),"")</f>
        <v/>
      </c>
      <c r="BQ4" s="3">
        <f>IF(BP4="",NEUTRO,MAX(0,MIN(100,100*(SEG_REF_MAX-BP4)/(SEG_REF_MAX-SEG_REF_MIN))))</f>
        <v/>
      </c>
      <c r="BR4" s="3">
        <f>W_ET*BN4+W_CONS*BO4+W_SEG*BQ4</f>
        <v/>
      </c>
      <c r="BS4" s="3">
        <f>IF(N(AB4)&gt;0,AB4,IF(AND(R4="profesional",SG_LEGAL_ON=1),GAR_LEGAL,0))</f>
        <v/>
      </c>
      <c r="BT4" s="3">
        <f>SG_GAR*MIN(1,BS4/SG_GAR_FULL)+SG_AMPL*(AC4="sí")+SG_KMC*(AF4="sí")+SG_REV*(N(AE4)&gt;0)+SG_DEV*MIN(1,N(AG4)/SG_DEV_FULL)+SG_HIST*(W4="sí")</f>
        <v/>
      </c>
      <c r="BU4" s="3">
        <f>W_FIAB*BG4+W_PRECIO*BH4+W_KMEDAD*BL4+W_ANUNCIO*BM4+W_USO*BR4+W_SEGURIDAD*BT4</f>
        <v/>
      </c>
      <c r="BV4" s="4">
        <f>IF(N(I4)&gt;0,I4,IFERROR(ROUND(_xlfn.NUMBERVALUE(LEFT(G4,FIND(" ",G4&amp;" ")-1),".")*1000,0),99999))</f>
        <v/>
      </c>
      <c r="BW4" s="3">
        <f>IF(R4="profesional",0,IF(O4&lt;CUOTA_VALOR_MAX,IF(AR4&gt;ITP_TRAMO_ALTO,SUMIFS(CF_CUOTA,CF_MAS,ITP_TRAMO_ALTO,CF_CCMIN,"&lt;="&amp;BV4,CF_CCMAX,"&gt;="&amp;BV4),IF(AR4&gt;ITP_TRAMO_BAJO,SUMIFS(CF_CUOTA,CF_MAS,ITP_TRAMO_BAJO,CF_CCMIN,"&lt;="&amp;BV4,CF_CCMAX,"&gt;="&amp;BV4),O4*ITP_TIPO)),O4*ITP_TIPO))</f>
        <v/>
      </c>
      <c r="BX4" s="4">
        <f>IF(R4="profesional",N(AK4),0)</f>
        <v/>
      </c>
      <c r="BY4" s="3">
        <f>IF(AND(R4="profesional",ISNUMBER(AK4),AL4="sí"),0,TASA_DGT)</f>
        <v/>
      </c>
      <c r="BZ4" s="3">
        <f>INFORME_DGT</f>
        <v/>
      </c>
      <c r="CA4" s="4">
        <f>O4+BX4+BW4+BY4+BZ4</f>
        <v/>
      </c>
      <c r="CB4" s="4">
        <f>CA4+N(BP4)</f>
        <v/>
      </c>
      <c r="CC4" s="3">
        <f>IF(CA4&lt;=TOTAL_MAX,"sí","no")</f>
        <v/>
      </c>
      <c r="CD4" s="4">
        <f>IF(CC4="sí",COUNTIFS($CC$2:$CC$39,"sí",$BU$2:$BU$39,"&gt;"&amp;BU4)+COUNTIFS($CC$2:CC4,"sí",$BU$2:BU4,BU4),"")</f>
        <v/>
      </c>
    </row>
    <row r="5">
      <c r="A5" s="2" t="inlineStr">
        <is>
          <t>autoscout24:eedca07e-c241-4b5e-92f9-ca201479b1f6</t>
        </is>
      </c>
      <c r="B5" s="2" t="inlineStr">
        <is>
          <t>autoscout24</t>
        </is>
      </c>
      <c r="C5" s="2" t="inlineStr">
        <is>
          <t>https://www.autoscout24.es/anuncios/opel-corsa-1-2-essentia-gasolina-cat_ma54mo1918-eedca07e-c241-4b5e-92f9-ca201479b1f6</t>
        </is>
      </c>
      <c r="D5" s="2" t="inlineStr">
        <is>
          <t>Opel Corsa 1.2 Essentia</t>
        </is>
      </c>
      <c r="E5" s="2" t="inlineStr">
        <is>
          <t>Opel</t>
        </is>
      </c>
      <c r="F5" s="2" t="inlineStr">
        <is>
          <t>Opel Corsa</t>
        </is>
      </c>
      <c r="G5" s="2" t="inlineStr">
        <is>
          <t>1.2</t>
        </is>
      </c>
      <c r="H5" s="2" t="inlineStr">
        <is>
          <t>1.2 Essentia 1.2</t>
        </is>
      </c>
      <c r="I5" s="2" t="n">
        <v>1229</v>
      </c>
      <c r="J5" s="2" t="n">
        <v>86</v>
      </c>
      <c r="K5" s="2" t="inlineStr">
        <is>
          <t>gasolina</t>
        </is>
      </c>
      <c r="L5" s="2" t="inlineStr">
        <is>
          <t>utilitario</t>
        </is>
      </c>
      <c r="M5" s="2" t="n">
        <v>2010</v>
      </c>
      <c r="N5" s="2" t="n">
        <v>163000</v>
      </c>
      <c r="O5" s="2" t="n">
        <v>3490</v>
      </c>
      <c r="P5" s="2" t="inlineStr">
        <is>
          <t>manual</t>
        </is>
      </c>
      <c r="Q5" s="2" t="inlineStr">
        <is>
          <t>no</t>
        </is>
      </c>
      <c r="R5" s="2" t="inlineStr">
        <is>
          <t>particular</t>
        </is>
      </c>
      <c r="S5" s="2" t="inlineStr">
        <is>
          <t>València (46007)</t>
        </is>
      </c>
      <c r="T5" s="2" t="n"/>
      <c r="U5" s="2" t="n">
        <v>14</v>
      </c>
      <c r="V5" s="2" t="n"/>
      <c r="W5" s="2" t="n"/>
      <c r="X5" s="2" t="n"/>
      <c r="Y5" s="2" t="n"/>
      <c r="Z5" s="2" t="n"/>
      <c r="AA5" s="2" t="n"/>
      <c r="AB5" s="2" t="n"/>
      <c r="AC5" s="2" t="n"/>
      <c r="AD5" s="2" t="n"/>
      <c r="AE5" s="2" t="n"/>
      <c r="AF5" s="2" t="n"/>
      <c r="AG5" s="2" t="n"/>
      <c r="AH5" s="2" t="n"/>
      <c r="AI5" s="2" t="n"/>
      <c r="AJ5" s="2" t="n"/>
      <c r="AK5" s="2" t="n"/>
      <c r="AL5" s="2" t="n"/>
      <c r="AM5" s="2" t="n">
        <v>1.2</v>
      </c>
      <c r="AN5" s="2" t="inlineStr">
        <is>
          <t>wallapop:1318387590 (https://es.wallapop.com/item/opel-corsa-2010-1318387590)</t>
        </is>
      </c>
      <c r="AO5" s="2" t="inlineStr">
        <is>
          <t>cuota fija ITP: &gt;12 años, hasta 1.500 cc</t>
        </is>
      </c>
      <c r="AP5" s="2" t="inlineStr">
        <is>
          <t>Vendo mi Opel Corsa 1.2 gasolina con 163.000 km.&lt;br /&gt;&lt;br /&gt;Es un coche que está súper cuidado y muy bien conservado. Tiene motor con cadena de distribución, por lo que no hay que preocuparse de cambiar la correa.&lt;br /&gt;&lt;br /&gt;Es muy cómodo de conducir, consume poquito y tiene un mantenimiento económico. Ideal para el día a día, para ir a trabajar o como primer coche.&lt;br /&gt;&lt;br /&gt;Es un coche sencillo, práctico y que da muy buen servicio.&lt;br /&gt;&lt;br /&gt;Se puede venir a ver y probar sin ningún compromiso.&lt;br /&gt;&lt;br /&gt;Cualquier duda, preguntadme sin problema, estaré encantado de responder.</t>
        </is>
      </c>
      <c r="AQ5" s="2" t="inlineStr">
        <is>
          <t>https://www.autoscout24.es/anuncios/opel-corsa-1-2-essentia-gasolina-cat_ma54mo1918-eedca07e-c241-4b5e-92f9-ca201479b1f6 (__NEXT_DATA__ listingDetails) /home/user/Alopecia/buscador-coches/raw/autoscout24/316e205209890238.json</t>
        </is>
      </c>
      <c r="AR5" s="3">
        <f>MAX(ANIO_ACTUAL-M5,0)</f>
        <v/>
      </c>
      <c r="AS5" s="4">
        <f>N5/MAX(AR5,0.5)</f>
        <v/>
      </c>
      <c r="AT5" s="4">
        <f>F5</f>
        <v/>
      </c>
      <c r="AU5" s="3">
        <f>AT5&amp;"|"&amp;INT(M5/SEG_ANIO)*SEG_ANIO</f>
        <v/>
      </c>
      <c r="AV5" s="3">
        <f>AU5&amp;"|"&amp;INT(N5/SEG_KM)*SEG_KM</f>
        <v/>
      </c>
      <c r="AW5" s="4">
        <f>COUNTIF($AT$2:$AT$39,AT5)</f>
        <v/>
      </c>
      <c r="AX5" s="4">
        <f>COUNTIF($AU$2:$AU$39,AU5)</f>
        <v/>
      </c>
      <c r="AY5" s="4">
        <f>COUNTIF($AV$2:$AV$39,AV5)</f>
        <v/>
      </c>
      <c r="AZ5" s="3">
        <f t="array" ref="AZ5">IF(AY5&gt;=MIN_N,MEDIAN(IF($AV$2:$AV$39=AV5,$O$2:$O$39)),IF(AX5&gt;=MIN_N,MEDIAN(IF($AU$2:$AU$39=AU5,$O$2:$O$39)),MEDIAN(IF($AT$2:$AT$39=AT5,$O$2:$O$39))))</f>
        <v/>
      </c>
      <c r="BA5" s="3">
        <f>IF(AY5&gt;=MIN_N,"modelo+año+km",IF(AX5&gt;=MIN_N,"modelo+año","modelo"))</f>
        <v/>
      </c>
      <c r="BB5" s="4">
        <f>(AZ5-O5)/AZ5</f>
        <v/>
      </c>
      <c r="BC5" s="3">
        <f>IF(OR(K5="hibrido",K5="glp"),"ECO",IF(K5="electrico","CERO",IF(K5="gasolina",IF(M5&gt;=GAS_C,"C",IF(M5&gt;=GAS_B,"B","A")),IF(K5="diesel",IF(M5&gt;=DIE_C,"C",IF(M5&gt;=DIE_B,"B","A")),""))))</f>
        <v/>
      </c>
      <c r="BD5" s="3">
        <f>IFERROR(VLOOKUP(F5,MOD_TBL,11,0),IFERROR(VLOOKUP(E5,OCU_TBL,2,0),NEUTRO))</f>
        <v/>
      </c>
      <c r="BE5" s="3">
        <f>SUMIFS(MOT_AJUSTE,MOT_MOTOR,G5,MOT_MARCA,E5,MOT_DESDE,"&lt;="&amp;M5,MOT_HASTA,"&gt;="&amp;M5)+SUMIFS(MOT_AJUSTE,MOT_MOTOR,G5,MOT_MARCA,"(todas)",MOT_DESDE,"&lt;="&amp;M5,MOT_HASTA,"&gt;="&amp;M5)</f>
        <v/>
      </c>
      <c r="BF5" s="3">
        <f>SUMIFS(COMB_AJUSTE,COMB_COMB,K5)</f>
        <v/>
      </c>
      <c r="BG5" s="4">
        <f>MAX(0,MIN(100,BD5+BE5+BF5))</f>
        <v/>
      </c>
      <c r="BH5" s="3">
        <f>MAX(0,MIN(100,50+BB5*PRECIO_PEND))</f>
        <v/>
      </c>
      <c r="BI5" s="3">
        <f>MAX(0,100*(1-N5/KM_MAX))</f>
        <v/>
      </c>
      <c r="BJ5" s="3">
        <f>IF(AS5&lt;KMA_SOSP,IF(AA5="sí",100,KMA_PEN),IF(AS5&lt;=KMA_IDEAL_MAX,100,MAX(0,100*(KMA_CERO-AS5)/(KMA_CERO-KMA_IDEAL_MAX))))</f>
        <v/>
      </c>
      <c r="BK5" s="3">
        <f>MAX(0,MIN(100,100*(M5-ANIO_MIN)/(ANIO_ACTUAL-ANIO_MIN)))</f>
        <v/>
      </c>
      <c r="BL5" s="3">
        <f>W_KMT*BI5+W_KMA*BJ5+W_EDAD*BK5</f>
        <v/>
      </c>
      <c r="BM5" s="3">
        <f>P_ITV*(V5="sí")+P_LIBRO*(W5="sí")+P_CORREA*(X5="sí")+P_PROP*(Y5=1)+P_GAR*(Z5="sí")+P_FOTOS*MIN(1,N(U5)/FOTOS_OBJ)</f>
        <v/>
      </c>
      <c r="BN5" s="3">
        <f>IFERROR(VLOOKUP(BC5,ETQ_TBL,2,0),NEUTRO)</f>
        <v/>
      </c>
      <c r="BO5" s="3">
        <f>NEUTRO</f>
        <v/>
      </c>
      <c r="BP5" s="3">
        <f>IFERROR(VLOOKUP(L5,SEGURO_TBL,3,0),"")</f>
        <v/>
      </c>
      <c r="BQ5" s="3">
        <f>IF(BP5="",NEUTRO,MAX(0,MIN(100,100*(SEG_REF_MAX-BP5)/(SEG_REF_MAX-SEG_REF_MIN))))</f>
        <v/>
      </c>
      <c r="BR5" s="3">
        <f>W_ET*BN5+W_CONS*BO5+W_SEG*BQ5</f>
        <v/>
      </c>
      <c r="BS5" s="3">
        <f>IF(N(AB5)&gt;0,AB5,IF(AND(R5="profesional",SG_LEGAL_ON=1),GAR_LEGAL,0))</f>
        <v/>
      </c>
      <c r="BT5" s="3">
        <f>SG_GAR*MIN(1,BS5/SG_GAR_FULL)+SG_AMPL*(AC5="sí")+SG_KMC*(AF5="sí")+SG_REV*(N(AE5)&gt;0)+SG_DEV*MIN(1,N(AG5)/SG_DEV_FULL)+SG_HIST*(W5="sí")</f>
        <v/>
      </c>
      <c r="BU5" s="3">
        <f>W_FIAB*BG5+W_PRECIO*BH5+W_KMEDAD*BL5+W_ANUNCIO*BM5+W_USO*BR5+W_SEGURIDAD*BT5</f>
        <v/>
      </c>
      <c r="BV5" s="4">
        <f>IF(N(I5)&gt;0,I5,IFERROR(ROUND(_xlfn.NUMBERVALUE(LEFT(G5,FIND(" ",G5&amp;" ")-1),".")*1000,0),99999))</f>
        <v/>
      </c>
      <c r="BW5" s="3">
        <f>IF(R5="profesional",0,IF(O5&lt;CUOTA_VALOR_MAX,IF(AR5&gt;ITP_TRAMO_ALTO,SUMIFS(CF_CUOTA,CF_MAS,ITP_TRAMO_ALTO,CF_CCMIN,"&lt;="&amp;BV5,CF_CCMAX,"&gt;="&amp;BV5),IF(AR5&gt;ITP_TRAMO_BAJO,SUMIFS(CF_CUOTA,CF_MAS,ITP_TRAMO_BAJO,CF_CCMIN,"&lt;="&amp;BV5,CF_CCMAX,"&gt;="&amp;BV5),O5*ITP_TIPO)),O5*ITP_TIPO))</f>
        <v/>
      </c>
      <c r="BX5" s="4">
        <f>IF(R5="profesional",N(AK5),0)</f>
        <v/>
      </c>
      <c r="BY5" s="3">
        <f>IF(AND(R5="profesional",ISNUMBER(AK5),AL5="sí"),0,TASA_DGT)</f>
        <v/>
      </c>
      <c r="BZ5" s="3">
        <f>INFORME_DGT</f>
        <v/>
      </c>
      <c r="CA5" s="4">
        <f>O5+BX5+BW5+BY5+BZ5</f>
        <v/>
      </c>
      <c r="CB5" s="4">
        <f>CA5+N(BP5)</f>
        <v/>
      </c>
      <c r="CC5" s="3">
        <f>IF(CA5&lt;=TOTAL_MAX,"sí","no")</f>
        <v/>
      </c>
      <c r="CD5" s="4">
        <f>IF(CC5="sí",COUNTIFS($CC$2:$CC$39,"sí",$BU$2:$BU$39,"&gt;"&amp;BU5)+COUNTIFS($CC$2:CC5,"sí",$BU$2:BU5,BU5),"")</f>
        <v/>
      </c>
    </row>
    <row r="6">
      <c r="A6" s="2" t="inlineStr">
        <is>
          <t>autoscout24:530a78a6-41a7-4caa-9407-81ae2c44ad35</t>
        </is>
      </c>
      <c r="B6" s="2" t="inlineStr">
        <is>
          <t>autoscout24</t>
        </is>
      </c>
      <c r="C6" s="2" t="inlineStr">
        <is>
          <t>https://www.autoscout24.es/anuncios/opel-corsa-1-4-c-mon-139co2-gasolina-gris-cat_ma54mo1918-530a78a6-41a7-4caa-9407-81ae2c44ad35</t>
        </is>
      </c>
      <c r="D6" s="2" t="inlineStr">
        <is>
          <t>Opel Corsa 1.4 C Mon (139CO2)</t>
        </is>
      </c>
      <c r="E6" s="2" t="inlineStr">
        <is>
          <t>Opel</t>
        </is>
      </c>
      <c r="F6" s="2" t="inlineStr">
        <is>
          <t>Opel Corsa</t>
        </is>
      </c>
      <c r="G6" s="2" t="inlineStr">
        <is>
          <t>1.4</t>
        </is>
      </c>
      <c r="H6" s="2" t="inlineStr">
        <is>
          <t>1.4 C Mon (139CO2) 1.4</t>
        </is>
      </c>
      <c r="I6" s="2" t="n">
        <v>1364</v>
      </c>
      <c r="J6" s="2" t="n">
        <v>90</v>
      </c>
      <c r="K6" s="2" t="inlineStr">
        <is>
          <t>gasolina</t>
        </is>
      </c>
      <c r="L6" s="2" t="inlineStr">
        <is>
          <t>utilitario</t>
        </is>
      </c>
      <c r="M6" s="2" t="n">
        <v>2009</v>
      </c>
      <c r="N6" s="2" t="n">
        <v>136000</v>
      </c>
      <c r="O6" s="2" t="n">
        <v>4500</v>
      </c>
      <c r="P6" s="2" t="inlineStr">
        <is>
          <t>manual</t>
        </is>
      </c>
      <c r="Q6" s="2" t="inlineStr">
        <is>
          <t>no</t>
        </is>
      </c>
      <c r="R6" s="2" t="inlineStr">
        <is>
          <t>profesional</t>
        </is>
      </c>
      <c r="S6" s="2" t="inlineStr">
        <is>
          <t>EUROREPAR AUTOS MERCHAN — MASANASSA (46470)</t>
        </is>
      </c>
      <c r="T6" s="2" t="n"/>
      <c r="U6" s="2" t="n">
        <v>8</v>
      </c>
      <c r="V6" s="2" t="inlineStr">
        <is>
          <t>sí</t>
        </is>
      </c>
      <c r="W6" s="2" t="n"/>
      <c r="X6" s="2" t="n"/>
      <c r="Y6" s="2" t="n"/>
      <c r="Z6" s="2" t="inlineStr">
        <is>
          <t>sí</t>
        </is>
      </c>
      <c r="AA6" s="2" t="n"/>
      <c r="AB6" s="2" t="n">
        <v>12</v>
      </c>
      <c r="AC6" s="2" t="n"/>
      <c r="AD6" s="2" t="n"/>
      <c r="AE6" s="2" t="n"/>
      <c r="AF6" s="2" t="n"/>
      <c r="AG6" s="2" t="n"/>
      <c r="AH6" s="2" t="n"/>
      <c r="AI6" s="2" t="n"/>
      <c r="AJ6" s="2" t="n"/>
      <c r="AK6" s="2" t="n"/>
      <c r="AL6" s="2" t="n"/>
      <c r="AM6" s="2" t="n">
        <v>6.7</v>
      </c>
      <c r="AN6" s="2" t="n"/>
      <c r="AO6" s="2" t="inlineStr">
        <is>
          <t>vendedor profesional: sin ITP (operación con IVA/REBU, confirmar en factura); gastos de gestión del vendedor no indicados: se suma la tasa DGT; preguntar el precio final</t>
        </is>
      </c>
      <c r="AP6" s="2" t="inlineStr">
        <is>
          <t>Se vende Opel Corsa 1.4 Gasolina (90CV) y fecha matriculación Enero 2009. Vehiculo muy bien cuidado tanto interior como exterior y motor . Se entrega con revisión completa aceite y filtros, bujías , 4 neumáticos nuevos, 2 llaves e itv recién pasada.&lt;br /&gt;&lt;br /&gt;</t>
        </is>
      </c>
      <c r="AQ6" s="2" t="inlineStr">
        <is>
          <t>https://www.autoscout24.es/anuncios/opel-corsa-1-4-c-mon-139co2-gasolina-gris-cat_ma54mo1918-530a78a6-41a7-4caa-9407-81ae2c44ad35 (__NEXT_DATA__ listingDetails) /home/user/Alopecia/buscador-coches/raw/autoscout24/ea1df8b55d5dba3e.json</t>
        </is>
      </c>
      <c r="AR6" s="3">
        <f>MAX(ANIO_ACTUAL-M6,0)</f>
        <v/>
      </c>
      <c r="AS6" s="4">
        <f>N6/MAX(AR6,0.5)</f>
        <v/>
      </c>
      <c r="AT6" s="4">
        <f>F6</f>
        <v/>
      </c>
      <c r="AU6" s="3">
        <f>AT6&amp;"|"&amp;INT(M6/SEG_ANIO)*SEG_ANIO</f>
        <v/>
      </c>
      <c r="AV6" s="3">
        <f>AU6&amp;"|"&amp;INT(N6/SEG_KM)*SEG_KM</f>
        <v/>
      </c>
      <c r="AW6" s="4">
        <f>COUNTIF($AT$2:$AT$39,AT6)</f>
        <v/>
      </c>
      <c r="AX6" s="4">
        <f>COUNTIF($AU$2:$AU$39,AU6)</f>
        <v/>
      </c>
      <c r="AY6" s="4">
        <f>COUNTIF($AV$2:$AV$39,AV6)</f>
        <v/>
      </c>
      <c r="AZ6" s="3">
        <f t="array" ref="AZ6">IF(AY6&gt;=MIN_N,MEDIAN(IF($AV$2:$AV$39=AV6,$O$2:$O$39)),IF(AX6&gt;=MIN_N,MEDIAN(IF($AU$2:$AU$39=AU6,$O$2:$O$39)),MEDIAN(IF($AT$2:$AT$39=AT6,$O$2:$O$39))))</f>
        <v/>
      </c>
      <c r="BA6" s="3">
        <f>IF(AY6&gt;=MIN_N,"modelo+año+km",IF(AX6&gt;=MIN_N,"modelo+año","modelo"))</f>
        <v/>
      </c>
      <c r="BB6" s="4">
        <f>(AZ6-O6)/AZ6</f>
        <v/>
      </c>
      <c r="BC6" s="3">
        <f>IF(OR(K6="hibrido",K6="glp"),"ECO",IF(K6="electrico","CERO",IF(K6="gasolina",IF(M6&gt;=GAS_C,"C",IF(M6&gt;=GAS_B,"B","A")),IF(K6="diesel",IF(M6&gt;=DIE_C,"C",IF(M6&gt;=DIE_B,"B","A")),""))))</f>
        <v/>
      </c>
      <c r="BD6" s="3">
        <f>IFERROR(VLOOKUP(F6,MOD_TBL,11,0),IFERROR(VLOOKUP(E6,OCU_TBL,2,0),NEUTRO))</f>
        <v/>
      </c>
      <c r="BE6" s="3">
        <f>SUMIFS(MOT_AJUSTE,MOT_MOTOR,G6,MOT_MARCA,E6,MOT_DESDE,"&lt;="&amp;M6,MOT_HASTA,"&gt;="&amp;M6)+SUMIFS(MOT_AJUSTE,MOT_MOTOR,G6,MOT_MARCA,"(todas)",MOT_DESDE,"&lt;="&amp;M6,MOT_HASTA,"&gt;="&amp;M6)</f>
        <v/>
      </c>
      <c r="BF6" s="3">
        <f>SUMIFS(COMB_AJUSTE,COMB_COMB,K6)</f>
        <v/>
      </c>
      <c r="BG6" s="4">
        <f>MAX(0,MIN(100,BD6+BE6+BF6))</f>
        <v/>
      </c>
      <c r="BH6" s="3">
        <f>MAX(0,MIN(100,50+BB6*PRECIO_PEND))</f>
        <v/>
      </c>
      <c r="BI6" s="3">
        <f>MAX(0,100*(1-N6/KM_MAX))</f>
        <v/>
      </c>
      <c r="BJ6" s="3">
        <f>IF(AS6&lt;KMA_SOSP,IF(AA6="sí",100,KMA_PEN),IF(AS6&lt;=KMA_IDEAL_MAX,100,MAX(0,100*(KMA_CERO-AS6)/(KMA_CERO-KMA_IDEAL_MAX))))</f>
        <v/>
      </c>
      <c r="BK6" s="3">
        <f>MAX(0,MIN(100,100*(M6-ANIO_MIN)/(ANIO_ACTUAL-ANIO_MIN)))</f>
        <v/>
      </c>
      <c r="BL6" s="3">
        <f>W_KMT*BI6+W_KMA*BJ6+W_EDAD*BK6</f>
        <v/>
      </c>
      <c r="BM6" s="3">
        <f>P_ITV*(V6="sí")+P_LIBRO*(W6="sí")+P_CORREA*(X6="sí")+P_PROP*(Y6=1)+P_GAR*(Z6="sí")+P_FOTOS*MIN(1,N(U6)/FOTOS_OBJ)</f>
        <v/>
      </c>
      <c r="BN6" s="3">
        <f>IFERROR(VLOOKUP(BC6,ETQ_TBL,2,0),NEUTRO)</f>
        <v/>
      </c>
      <c r="BO6" s="3">
        <f>NEUTRO</f>
        <v/>
      </c>
      <c r="BP6" s="3">
        <f>IFERROR(VLOOKUP(L6,SEGURO_TBL,3,0),"")</f>
        <v/>
      </c>
      <c r="BQ6" s="3">
        <f>IF(BP6="",NEUTRO,MAX(0,MIN(100,100*(SEG_REF_MAX-BP6)/(SEG_REF_MAX-SEG_REF_MIN))))</f>
        <v/>
      </c>
      <c r="BR6" s="3">
        <f>W_ET*BN6+W_CONS*BO6+W_SEG*BQ6</f>
        <v/>
      </c>
      <c r="BS6" s="3">
        <f>IF(N(AB6)&gt;0,AB6,IF(AND(R6="profesional",SG_LEGAL_ON=1),GAR_LEGAL,0))</f>
        <v/>
      </c>
      <c r="BT6" s="3">
        <f>SG_GAR*MIN(1,BS6/SG_GAR_FULL)+SG_AMPL*(AC6="sí")+SG_KMC*(AF6="sí")+SG_REV*(N(AE6)&gt;0)+SG_DEV*MIN(1,N(AG6)/SG_DEV_FULL)+SG_HIST*(W6="sí")</f>
        <v/>
      </c>
      <c r="BU6" s="3">
        <f>W_FIAB*BG6+W_PRECIO*BH6+W_KMEDAD*BL6+W_ANUNCIO*BM6+W_USO*BR6+W_SEGURIDAD*BT6</f>
        <v/>
      </c>
      <c r="BV6" s="4">
        <f>IF(N(I6)&gt;0,I6,IFERROR(ROUND(_xlfn.NUMBERVALUE(LEFT(G6,FIND(" ",G6&amp;" ")-1),".")*1000,0),99999))</f>
        <v/>
      </c>
      <c r="BW6" s="3">
        <f>IF(R6="profesional",0,IF(O6&lt;CUOTA_VALOR_MAX,IF(AR6&gt;ITP_TRAMO_ALTO,SUMIFS(CF_CUOTA,CF_MAS,ITP_TRAMO_ALTO,CF_CCMIN,"&lt;="&amp;BV6,CF_CCMAX,"&gt;="&amp;BV6),IF(AR6&gt;ITP_TRAMO_BAJO,SUMIFS(CF_CUOTA,CF_MAS,ITP_TRAMO_BAJO,CF_CCMIN,"&lt;="&amp;BV6,CF_CCMAX,"&gt;="&amp;BV6),O6*ITP_TIPO)),O6*ITP_TIPO))</f>
        <v/>
      </c>
      <c r="BX6" s="4">
        <f>IF(R6="profesional",N(AK6),0)</f>
        <v/>
      </c>
      <c r="BY6" s="3">
        <f>IF(AND(R6="profesional",ISNUMBER(AK6),AL6="sí"),0,TASA_DGT)</f>
        <v/>
      </c>
      <c r="BZ6" s="3">
        <f>INFORME_DGT</f>
        <v/>
      </c>
      <c r="CA6" s="4">
        <f>O6+BX6+BW6+BY6+BZ6</f>
        <v/>
      </c>
      <c r="CB6" s="4">
        <f>CA6+N(BP6)</f>
        <v/>
      </c>
      <c r="CC6" s="3">
        <f>IF(CA6&lt;=TOTAL_MAX,"sí","no")</f>
        <v/>
      </c>
      <c r="CD6" s="4">
        <f>IF(CC6="sí",COUNTIFS($CC$2:$CC$39,"sí",$BU$2:$BU$39,"&gt;"&amp;BU6)+COUNTIFS($CC$2:CC6,"sí",$BU$2:BU6,BU6),"")</f>
        <v/>
      </c>
    </row>
    <row r="7">
      <c r="A7" s="2" t="inlineStr">
        <is>
          <t>autoscout24:98e81ab3-945a-4a40-a02e-686a76c720ea</t>
        </is>
      </c>
      <c r="B7" s="2" t="inlineStr">
        <is>
          <t>autoscout24</t>
        </is>
      </c>
      <c r="C7" s="2" t="inlineStr">
        <is>
          <t>https://www.autoscout24.es/anuncios/opel-corsa-gasolina-cat_ma54mo1918-98e81ab3-945a-4a40-a02e-686a76c720ea</t>
        </is>
      </c>
      <c r="D7" s="2" t="inlineStr">
        <is>
          <t>Opel Corsa</t>
        </is>
      </c>
      <c r="E7" s="2" t="inlineStr">
        <is>
          <t>Opel</t>
        </is>
      </c>
      <c r="F7" s="2" t="inlineStr">
        <is>
          <t>Opel Corsa</t>
        </is>
      </c>
      <c r="G7" s="2" t="inlineStr">
        <is>
          <t>1.6</t>
        </is>
      </c>
      <c r="H7" s="2" t="inlineStr">
        <is>
          <t>1.4</t>
        </is>
      </c>
      <c r="I7" s="2" t="n">
        <v>1598</v>
      </c>
      <c r="J7" s="2" t="n">
        <v>109</v>
      </c>
      <c r="K7" s="2" t="inlineStr">
        <is>
          <t>gasolina</t>
        </is>
      </c>
      <c r="L7" s="2" t="inlineStr">
        <is>
          <t>utilitario</t>
        </is>
      </c>
      <c r="M7" s="2" t="n">
        <v>2014</v>
      </c>
      <c r="N7" s="2" t="n">
        <v>160000</v>
      </c>
      <c r="O7" s="2" t="n">
        <v>4500</v>
      </c>
      <c r="P7" s="2" t="inlineStr">
        <is>
          <t>manual</t>
        </is>
      </c>
      <c r="Q7" s="2" t="inlineStr">
        <is>
          <t>no</t>
        </is>
      </c>
      <c r="R7" s="2" t="inlineStr">
        <is>
          <t>particular</t>
        </is>
      </c>
      <c r="S7" s="2" t="inlineStr">
        <is>
          <t>Alzira (46600)</t>
        </is>
      </c>
      <c r="T7" s="2" t="n"/>
      <c r="U7" s="2" t="n">
        <v>7</v>
      </c>
      <c r="V7" s="2" t="n"/>
      <c r="W7" s="2" t="n"/>
      <c r="X7" s="2" t="n"/>
      <c r="Y7" s="2" t="n"/>
      <c r="Z7" s="2" t="n"/>
      <c r="AA7" s="2" t="n"/>
      <c r="AB7" s="2" t="n"/>
      <c r="AC7" s="2" t="n"/>
      <c r="AD7" s="2" t="n"/>
      <c r="AE7" s="2" t="n"/>
      <c r="AF7" s="2" t="n"/>
      <c r="AG7" s="2" t="n"/>
      <c r="AH7" s="2" t="n"/>
      <c r="AI7" s="2" t="n"/>
      <c r="AJ7" s="2" t="n"/>
      <c r="AK7" s="2" t="n"/>
      <c r="AL7" s="2" t="n"/>
      <c r="AM7" s="2" t="n">
        <v>35.8</v>
      </c>
      <c r="AN7" s="2" t="n"/>
      <c r="AO7" s="2" t="inlineStr">
        <is>
          <t>cuota fija ITP: &gt;5 y &lt;=12 años, 1.501-2.000 cc</t>
        </is>
      </c>
      <c r="AP7" s="2" t="inlineStr"/>
      <c r="AQ7" s="2" t="inlineStr">
        <is>
          <t>https://www.autoscout24.es/anuncios/opel-corsa-gasolina-cat_ma54mo1918-98e81ab3-945a-4a40-a02e-686a76c720ea (__NEXT_DATA__ listingDetails) /home/user/Alopecia/buscador-coches/raw/autoscout24/91af491fffed3c36.json</t>
        </is>
      </c>
      <c r="AR7" s="3">
        <f>MAX(ANIO_ACTUAL-M7,0)</f>
        <v/>
      </c>
      <c r="AS7" s="4">
        <f>N7/MAX(AR7,0.5)</f>
        <v/>
      </c>
      <c r="AT7" s="4">
        <f>F7</f>
        <v/>
      </c>
      <c r="AU7" s="3">
        <f>AT7&amp;"|"&amp;INT(M7/SEG_ANIO)*SEG_ANIO</f>
        <v/>
      </c>
      <c r="AV7" s="3">
        <f>AU7&amp;"|"&amp;INT(N7/SEG_KM)*SEG_KM</f>
        <v/>
      </c>
      <c r="AW7" s="4">
        <f>COUNTIF($AT$2:$AT$39,AT7)</f>
        <v/>
      </c>
      <c r="AX7" s="4">
        <f>COUNTIF($AU$2:$AU$39,AU7)</f>
        <v/>
      </c>
      <c r="AY7" s="4">
        <f>COUNTIF($AV$2:$AV$39,AV7)</f>
        <v/>
      </c>
      <c r="AZ7" s="3">
        <f t="array" ref="AZ7">IF(AY7&gt;=MIN_N,MEDIAN(IF($AV$2:$AV$39=AV7,$O$2:$O$39)),IF(AX7&gt;=MIN_N,MEDIAN(IF($AU$2:$AU$39=AU7,$O$2:$O$39)),MEDIAN(IF($AT$2:$AT$39=AT7,$O$2:$O$39))))</f>
        <v/>
      </c>
      <c r="BA7" s="3">
        <f>IF(AY7&gt;=MIN_N,"modelo+año+km",IF(AX7&gt;=MIN_N,"modelo+año","modelo"))</f>
        <v/>
      </c>
      <c r="BB7" s="4">
        <f>(AZ7-O7)/AZ7</f>
        <v/>
      </c>
      <c r="BC7" s="3">
        <f>IF(OR(K7="hibrido",K7="glp"),"ECO",IF(K7="electrico","CERO",IF(K7="gasolina",IF(M7&gt;=GAS_C,"C",IF(M7&gt;=GAS_B,"B","A")),IF(K7="diesel",IF(M7&gt;=DIE_C,"C",IF(M7&gt;=DIE_B,"B","A")),""))))</f>
        <v/>
      </c>
      <c r="BD7" s="3">
        <f>IFERROR(VLOOKUP(F7,MOD_TBL,11,0),IFERROR(VLOOKUP(E7,OCU_TBL,2,0),NEUTRO))</f>
        <v/>
      </c>
      <c r="BE7" s="3">
        <f>SUMIFS(MOT_AJUSTE,MOT_MOTOR,G7,MOT_MARCA,E7,MOT_DESDE,"&lt;="&amp;M7,MOT_HASTA,"&gt;="&amp;M7)+SUMIFS(MOT_AJUSTE,MOT_MOTOR,G7,MOT_MARCA,"(todas)",MOT_DESDE,"&lt;="&amp;M7,MOT_HASTA,"&gt;="&amp;M7)</f>
        <v/>
      </c>
      <c r="BF7" s="3">
        <f>SUMIFS(COMB_AJUSTE,COMB_COMB,K7)</f>
        <v/>
      </c>
      <c r="BG7" s="4">
        <f>MAX(0,MIN(100,BD7+BE7+BF7))</f>
        <v/>
      </c>
      <c r="BH7" s="3">
        <f>MAX(0,MIN(100,50+BB7*PRECIO_PEND))</f>
        <v/>
      </c>
      <c r="BI7" s="3">
        <f>MAX(0,100*(1-N7/KM_MAX))</f>
        <v/>
      </c>
      <c r="BJ7" s="3">
        <f>IF(AS7&lt;KMA_SOSP,IF(AA7="sí",100,KMA_PEN),IF(AS7&lt;=KMA_IDEAL_MAX,100,MAX(0,100*(KMA_CERO-AS7)/(KMA_CERO-KMA_IDEAL_MAX))))</f>
        <v/>
      </c>
      <c r="BK7" s="3">
        <f>MAX(0,MIN(100,100*(M7-ANIO_MIN)/(ANIO_ACTUAL-ANIO_MIN)))</f>
        <v/>
      </c>
      <c r="BL7" s="3">
        <f>W_KMT*BI7+W_KMA*BJ7+W_EDAD*BK7</f>
        <v/>
      </c>
      <c r="BM7" s="3">
        <f>P_ITV*(V7="sí")+P_LIBRO*(W7="sí")+P_CORREA*(X7="sí")+P_PROP*(Y7=1)+P_GAR*(Z7="sí")+P_FOTOS*MIN(1,N(U7)/FOTOS_OBJ)</f>
        <v/>
      </c>
      <c r="BN7" s="3">
        <f>IFERROR(VLOOKUP(BC7,ETQ_TBL,2,0),NEUTRO)</f>
        <v/>
      </c>
      <c r="BO7" s="3">
        <f>NEUTRO</f>
        <v/>
      </c>
      <c r="BP7" s="3">
        <f>IFERROR(VLOOKUP(L7,SEGURO_TBL,3,0),"")</f>
        <v/>
      </c>
      <c r="BQ7" s="3">
        <f>IF(BP7="",NEUTRO,MAX(0,MIN(100,100*(SEG_REF_MAX-BP7)/(SEG_REF_MAX-SEG_REF_MIN))))</f>
        <v/>
      </c>
      <c r="BR7" s="3">
        <f>W_ET*BN7+W_CONS*BO7+W_SEG*BQ7</f>
        <v/>
      </c>
      <c r="BS7" s="3">
        <f>IF(N(AB7)&gt;0,AB7,IF(AND(R7="profesional",SG_LEGAL_ON=1),GAR_LEGAL,0))</f>
        <v/>
      </c>
      <c r="BT7" s="3">
        <f>SG_GAR*MIN(1,BS7/SG_GAR_FULL)+SG_AMPL*(AC7="sí")+SG_KMC*(AF7="sí")+SG_REV*(N(AE7)&gt;0)+SG_DEV*MIN(1,N(AG7)/SG_DEV_FULL)+SG_HIST*(W7="sí")</f>
        <v/>
      </c>
      <c r="BU7" s="3">
        <f>W_FIAB*BG7+W_PRECIO*BH7+W_KMEDAD*BL7+W_ANUNCIO*BM7+W_USO*BR7+W_SEGURIDAD*BT7</f>
        <v/>
      </c>
      <c r="BV7" s="4">
        <f>IF(N(I7)&gt;0,I7,IFERROR(ROUND(_xlfn.NUMBERVALUE(LEFT(G7,FIND(" ",G7&amp;" ")-1),".")*1000,0),99999))</f>
        <v/>
      </c>
      <c r="BW7" s="3">
        <f>IF(R7="profesional",0,IF(O7&lt;CUOTA_VALOR_MAX,IF(AR7&gt;ITP_TRAMO_ALTO,SUMIFS(CF_CUOTA,CF_MAS,ITP_TRAMO_ALTO,CF_CCMIN,"&lt;="&amp;BV7,CF_CCMAX,"&gt;="&amp;BV7),IF(AR7&gt;ITP_TRAMO_BAJO,SUMIFS(CF_CUOTA,CF_MAS,ITP_TRAMO_BAJO,CF_CCMIN,"&lt;="&amp;BV7,CF_CCMAX,"&gt;="&amp;BV7),O7*ITP_TIPO)),O7*ITP_TIPO))</f>
        <v/>
      </c>
      <c r="BX7" s="4">
        <f>IF(R7="profesional",N(AK7),0)</f>
        <v/>
      </c>
      <c r="BY7" s="3">
        <f>IF(AND(R7="profesional",ISNUMBER(AK7),AL7="sí"),0,TASA_DGT)</f>
        <v/>
      </c>
      <c r="BZ7" s="3">
        <f>INFORME_DGT</f>
        <v/>
      </c>
      <c r="CA7" s="4">
        <f>O7+BX7+BW7+BY7+BZ7</f>
        <v/>
      </c>
      <c r="CB7" s="4">
        <f>CA7+N(BP7)</f>
        <v/>
      </c>
      <c r="CC7" s="3">
        <f>IF(CA7&lt;=TOTAL_MAX,"sí","no")</f>
        <v/>
      </c>
      <c r="CD7" s="4">
        <f>IF(CC7="sí",COUNTIFS($CC$2:$CC$39,"sí",$BU$2:$BU$39,"&gt;"&amp;BU7)+COUNTIFS($CC$2:CC7,"sí",$BU$2:BU7,BU7),"")</f>
        <v/>
      </c>
    </row>
    <row r="8">
      <c r="A8" s="2" t="inlineStr">
        <is>
          <t>autoscout24:a9f25c00-f19e-4e5c-80ed-f8556168c772</t>
        </is>
      </c>
      <c r="B8" s="2" t="inlineStr">
        <is>
          <t>autoscout24</t>
        </is>
      </c>
      <c r="C8" s="2" t="inlineStr">
        <is>
          <t>https://www.autoscout24.es/anuncios/peugeot-207-207-1-4i-confort-75-confort-gasolina-negro-cat_ma55mo18797-a9f25c00-f19e-4e5c-80ed-f8556168c772</t>
        </is>
      </c>
      <c r="D8" s="2" t="inlineStr">
        <is>
          <t>Peugeot 207 207 1.4i Confort 75 Confort</t>
        </is>
      </c>
      <c r="E8" s="2" t="inlineStr">
        <is>
          <t>Peugeot</t>
        </is>
      </c>
      <c r="F8" s="2" t="inlineStr">
        <is>
          <t>Peugeot 207</t>
        </is>
      </c>
      <c r="G8" s="2" t="inlineStr">
        <is>
          <t>1.4</t>
        </is>
      </c>
      <c r="H8" s="2" t="inlineStr">
        <is>
          <t>207 1.4i Confort 75 Confort 75</t>
        </is>
      </c>
      <c r="I8" s="2" t="n">
        <v>1360</v>
      </c>
      <c r="J8" s="2" t="n">
        <v>75</v>
      </c>
      <c r="K8" s="2" t="inlineStr">
        <is>
          <t>gasolina</t>
        </is>
      </c>
      <c r="L8" s="2" t="inlineStr">
        <is>
          <t>utilitario</t>
        </is>
      </c>
      <c r="M8" s="2" t="n">
        <v>2008</v>
      </c>
      <c r="N8" s="2" t="n">
        <v>218000</v>
      </c>
      <c r="O8" s="2" t="n">
        <v>2600</v>
      </c>
      <c r="P8" s="2" t="inlineStr">
        <is>
          <t>manual</t>
        </is>
      </c>
      <c r="Q8" s="2" t="inlineStr">
        <is>
          <t>no</t>
        </is>
      </c>
      <c r="R8" s="2" t="inlineStr">
        <is>
          <t>particular</t>
        </is>
      </c>
      <c r="S8" s="2" t="inlineStr">
        <is>
          <t>València (46022)</t>
        </is>
      </c>
      <c r="T8" s="2" t="n"/>
      <c r="U8" s="2" t="n">
        <v>14</v>
      </c>
      <c r="V8" s="2" t="n"/>
      <c r="W8" s="2" t="n"/>
      <c r="X8" s="2" t="n"/>
      <c r="Y8" s="2" t="n"/>
      <c r="Z8" s="2" t="n"/>
      <c r="AA8" s="2" t="n"/>
      <c r="AB8" s="2" t="n"/>
      <c r="AC8" s="2" t="n"/>
      <c r="AD8" s="2" t="n"/>
      <c r="AE8" s="2" t="n"/>
      <c r="AF8" s="2" t="n"/>
      <c r="AG8" s="2" t="n"/>
      <c r="AH8" s="2" t="n"/>
      <c r="AI8" s="2" t="n"/>
      <c r="AJ8" s="2" t="n"/>
      <c r="AK8" s="2" t="n"/>
      <c r="AL8" s="2" t="n"/>
      <c r="AM8" s="2" t="n">
        <v>3.1</v>
      </c>
      <c r="AN8" s="2" t="n"/>
      <c r="AO8" s="2" t="inlineStr">
        <is>
          <t>cuota fija ITP: &gt;12 años, hasta 1.500 cc; fiabilidad del modelo PENDIENTE de fuente (puntuación neutra)</t>
        </is>
      </c>
      <c r="AP8" s="2" t="inlineStr"/>
      <c r="AQ8" s="2" t="inlineStr">
        <is>
          <t>https://www.autoscout24.es/anuncios/peugeot-207-207-1-4i-confort-75-confort-gasolina-negro-cat_ma55mo18797-a9f25c00-f19e-4e5c-80ed-f8556168c772 (__NEXT_DATA__ listingDetails) /home/user/Alopecia/buscador-coches/raw/autoscout24/db9e1974065f04e5.json</t>
        </is>
      </c>
      <c r="AR8" s="3">
        <f>MAX(ANIO_ACTUAL-M8,0)</f>
        <v/>
      </c>
      <c r="AS8" s="4">
        <f>N8/MAX(AR8,0.5)</f>
        <v/>
      </c>
      <c r="AT8" s="4">
        <f>F8</f>
        <v/>
      </c>
      <c r="AU8" s="3">
        <f>AT8&amp;"|"&amp;INT(M8/SEG_ANIO)*SEG_ANIO</f>
        <v/>
      </c>
      <c r="AV8" s="3">
        <f>AU8&amp;"|"&amp;INT(N8/SEG_KM)*SEG_KM</f>
        <v/>
      </c>
      <c r="AW8" s="4">
        <f>COUNTIF($AT$2:$AT$39,AT8)</f>
        <v/>
      </c>
      <c r="AX8" s="4">
        <f>COUNTIF($AU$2:$AU$39,AU8)</f>
        <v/>
      </c>
      <c r="AY8" s="4">
        <f>COUNTIF($AV$2:$AV$39,AV8)</f>
        <v/>
      </c>
      <c r="AZ8" s="3">
        <f t="array" ref="AZ8">IF(AY8&gt;=MIN_N,MEDIAN(IF($AV$2:$AV$39=AV8,$O$2:$O$39)),IF(AX8&gt;=MIN_N,MEDIAN(IF($AU$2:$AU$39=AU8,$O$2:$O$39)),MEDIAN(IF($AT$2:$AT$39=AT8,$O$2:$O$39))))</f>
        <v/>
      </c>
      <c r="BA8" s="3">
        <f>IF(AY8&gt;=MIN_N,"modelo+año+km",IF(AX8&gt;=MIN_N,"modelo+año","modelo"))</f>
        <v/>
      </c>
      <c r="BB8" s="4">
        <f>(AZ8-O8)/AZ8</f>
        <v/>
      </c>
      <c r="BC8" s="3">
        <f>IF(OR(K8="hibrido",K8="glp"),"ECO",IF(K8="electrico","CERO",IF(K8="gasolina",IF(M8&gt;=GAS_C,"C",IF(M8&gt;=GAS_B,"B","A")),IF(K8="diesel",IF(M8&gt;=DIE_C,"C",IF(M8&gt;=DIE_B,"B","A")),""))))</f>
        <v/>
      </c>
      <c r="BD8" s="3">
        <f>IFERROR(VLOOKUP(F8,MOD_TBL,11,0),IFERROR(VLOOKUP(E8,OCU_TBL,2,0),NEUTRO))</f>
        <v/>
      </c>
      <c r="BE8" s="3">
        <f>SUMIFS(MOT_AJUSTE,MOT_MOTOR,G8,MOT_MARCA,E8,MOT_DESDE,"&lt;="&amp;M8,MOT_HASTA,"&gt;="&amp;M8)+SUMIFS(MOT_AJUSTE,MOT_MOTOR,G8,MOT_MARCA,"(todas)",MOT_DESDE,"&lt;="&amp;M8,MOT_HASTA,"&gt;="&amp;M8)</f>
        <v/>
      </c>
      <c r="BF8" s="3">
        <f>SUMIFS(COMB_AJUSTE,COMB_COMB,K8)</f>
        <v/>
      </c>
      <c r="BG8" s="4">
        <f>MAX(0,MIN(100,BD8+BE8+BF8))</f>
        <v/>
      </c>
      <c r="BH8" s="3">
        <f>MAX(0,MIN(100,50+BB8*PRECIO_PEND))</f>
        <v/>
      </c>
      <c r="BI8" s="3">
        <f>MAX(0,100*(1-N8/KM_MAX))</f>
        <v/>
      </c>
      <c r="BJ8" s="3">
        <f>IF(AS8&lt;KMA_SOSP,IF(AA8="sí",100,KMA_PEN),IF(AS8&lt;=KMA_IDEAL_MAX,100,MAX(0,100*(KMA_CERO-AS8)/(KMA_CERO-KMA_IDEAL_MAX))))</f>
        <v/>
      </c>
      <c r="BK8" s="3">
        <f>MAX(0,MIN(100,100*(M8-ANIO_MIN)/(ANIO_ACTUAL-ANIO_MIN)))</f>
        <v/>
      </c>
      <c r="BL8" s="3">
        <f>W_KMT*BI8+W_KMA*BJ8+W_EDAD*BK8</f>
        <v/>
      </c>
      <c r="BM8" s="3">
        <f>P_ITV*(V8="sí")+P_LIBRO*(W8="sí")+P_CORREA*(X8="sí")+P_PROP*(Y8=1)+P_GAR*(Z8="sí")+P_FOTOS*MIN(1,N(U8)/FOTOS_OBJ)</f>
        <v/>
      </c>
      <c r="BN8" s="3">
        <f>IFERROR(VLOOKUP(BC8,ETQ_TBL,2,0),NEUTRO)</f>
        <v/>
      </c>
      <c r="BO8" s="3">
        <f>NEUTRO</f>
        <v/>
      </c>
      <c r="BP8" s="3">
        <f>IFERROR(VLOOKUP(L8,SEGURO_TBL,3,0),"")</f>
        <v/>
      </c>
      <c r="BQ8" s="3">
        <f>IF(BP8="",NEUTRO,MAX(0,MIN(100,100*(SEG_REF_MAX-BP8)/(SEG_REF_MAX-SEG_REF_MIN))))</f>
        <v/>
      </c>
      <c r="BR8" s="3">
        <f>W_ET*BN8+W_CONS*BO8+W_SEG*BQ8</f>
        <v/>
      </c>
      <c r="BS8" s="3">
        <f>IF(N(AB8)&gt;0,AB8,IF(AND(R8="profesional",SG_LEGAL_ON=1),GAR_LEGAL,0))</f>
        <v/>
      </c>
      <c r="BT8" s="3">
        <f>SG_GAR*MIN(1,BS8/SG_GAR_FULL)+SG_AMPL*(AC8="sí")+SG_KMC*(AF8="sí")+SG_REV*(N(AE8)&gt;0)+SG_DEV*MIN(1,N(AG8)/SG_DEV_FULL)+SG_HIST*(W8="sí")</f>
        <v/>
      </c>
      <c r="BU8" s="3">
        <f>W_FIAB*BG8+W_PRECIO*BH8+W_KMEDAD*BL8+W_ANUNCIO*BM8+W_USO*BR8+W_SEGURIDAD*BT8</f>
        <v/>
      </c>
      <c r="BV8" s="4">
        <f>IF(N(I8)&gt;0,I8,IFERROR(ROUND(_xlfn.NUMBERVALUE(LEFT(G8,FIND(" ",G8&amp;" ")-1),".")*1000,0),99999))</f>
        <v/>
      </c>
      <c r="BW8" s="3">
        <f>IF(R8="profesional",0,IF(O8&lt;CUOTA_VALOR_MAX,IF(AR8&gt;ITP_TRAMO_ALTO,SUMIFS(CF_CUOTA,CF_MAS,ITP_TRAMO_ALTO,CF_CCMIN,"&lt;="&amp;BV8,CF_CCMAX,"&gt;="&amp;BV8),IF(AR8&gt;ITP_TRAMO_BAJO,SUMIFS(CF_CUOTA,CF_MAS,ITP_TRAMO_BAJO,CF_CCMIN,"&lt;="&amp;BV8,CF_CCMAX,"&gt;="&amp;BV8),O8*ITP_TIPO)),O8*ITP_TIPO))</f>
        <v/>
      </c>
      <c r="BX8" s="4">
        <f>IF(R8="profesional",N(AK8),0)</f>
        <v/>
      </c>
      <c r="BY8" s="3">
        <f>IF(AND(R8="profesional",ISNUMBER(AK8),AL8="sí"),0,TASA_DGT)</f>
        <v/>
      </c>
      <c r="BZ8" s="3">
        <f>INFORME_DGT</f>
        <v/>
      </c>
      <c r="CA8" s="4">
        <f>O8+BX8+BW8+BY8+BZ8</f>
        <v/>
      </c>
      <c r="CB8" s="4">
        <f>CA8+N(BP8)</f>
        <v/>
      </c>
      <c r="CC8" s="3">
        <f>IF(CA8&lt;=TOTAL_MAX,"sí","no")</f>
        <v/>
      </c>
      <c r="CD8" s="4">
        <f>IF(CC8="sí",COUNTIFS($CC$2:$CC$39,"sí",$BU$2:$BU$39,"&gt;"&amp;BU8)+COUNTIFS($CC$2:CC8,"sí",$BU$2:BU8,BU8),"")</f>
        <v/>
      </c>
    </row>
    <row r="9">
      <c r="A9" s="2" t="inlineStr">
        <is>
          <t>autoscout24:cb47557d-00cb-449b-8153-e5de1e64bdaf</t>
        </is>
      </c>
      <c r="B9" s="2" t="inlineStr">
        <is>
          <t>autoscout24</t>
        </is>
      </c>
      <c r="C9" s="2" t="inlineStr">
        <is>
          <t>https://www.autoscout24.es/anuncios/ford-fiesta-1-3-ambiente-gasolina-gris-cat_ma29mo1758-cb47557d-00cb-449b-8153-e5de1e64bdaf</t>
        </is>
      </c>
      <c r="D9" s="2" t="inlineStr">
        <is>
          <t>Ford Fiesta 1.3 Ambiente</t>
        </is>
      </c>
      <c r="E9" s="2" t="inlineStr">
        <is>
          <t>Ford</t>
        </is>
      </c>
      <c r="F9" s="2" t="inlineStr">
        <is>
          <t>Ford Fiesta</t>
        </is>
      </c>
      <c r="G9" s="2" t="inlineStr">
        <is>
          <t>1.3</t>
        </is>
      </c>
      <c r="H9" s="2" t="inlineStr">
        <is>
          <t>1.3 Ambiente 1.3</t>
        </is>
      </c>
      <c r="I9" s="2" t="n">
        <v>1299</v>
      </c>
      <c r="J9" s="2" t="n">
        <v>69</v>
      </c>
      <c r="K9" s="2" t="inlineStr">
        <is>
          <t>gasolina</t>
        </is>
      </c>
      <c r="L9" s="2" t="inlineStr">
        <is>
          <t>utilitario</t>
        </is>
      </c>
      <c r="M9" s="2" t="n">
        <v>2008</v>
      </c>
      <c r="N9" s="2" t="n">
        <v>82000</v>
      </c>
      <c r="O9" s="2" t="n">
        <v>3500</v>
      </c>
      <c r="P9" s="2" t="inlineStr">
        <is>
          <t>manual</t>
        </is>
      </c>
      <c r="Q9" s="2" t="inlineStr">
        <is>
          <t>no</t>
        </is>
      </c>
      <c r="R9" s="2" t="inlineStr">
        <is>
          <t>profesional</t>
        </is>
      </c>
      <c r="S9" s="2" t="inlineStr">
        <is>
          <t>EUROCOCHES MANIVAL — MANISES (46940)</t>
        </is>
      </c>
      <c r="T9" s="2" t="n"/>
      <c r="U9" s="2" t="n">
        <v>9</v>
      </c>
      <c r="V9" s="2" t="n"/>
      <c r="W9" s="2" t="n"/>
      <c r="X9" s="2" t="n"/>
      <c r="Y9" s="2" t="n"/>
      <c r="Z9" s="2" t="inlineStr">
        <is>
          <t>sí</t>
        </is>
      </c>
      <c r="AA9" s="2" t="n"/>
      <c r="AB9" s="2" t="n">
        <v>12</v>
      </c>
      <c r="AC9" s="2" t="n"/>
      <c r="AD9" s="2" t="n"/>
      <c r="AE9" s="2" t="n"/>
      <c r="AF9" s="2" t="n"/>
      <c r="AG9" s="2" t="n"/>
      <c r="AH9" s="2" t="n"/>
      <c r="AI9" s="2" t="n"/>
      <c r="AJ9" s="2" t="n"/>
      <c r="AK9" s="2" t="n"/>
      <c r="AL9" s="2" t="n"/>
      <c r="AM9" s="2" t="n">
        <v>8.199999999999999</v>
      </c>
      <c r="AN9" s="2" t="n"/>
      <c r="AO9" s="2" t="inlineStr">
        <is>
          <t>vendedor profesional: sin ITP (operación con IVA/REBU, confirmar en factura); gastos de gestión del vendedor no indicados: se suma la tasa DGT; preguntar el precio final; mediana con solo 2 anuncio(s)</t>
        </is>
      </c>
      <c r="AP9" s="2" t="inlineStr">
        <is>
          <t>- con posibilidad de financiar desde 79€ al mes-</t>
        </is>
      </c>
      <c r="AQ9" s="2" t="inlineStr">
        <is>
          <t>https://www.autoscout24.es/anuncios/ford-fiesta-1-3-ambiente-gasolina-gris-cat_ma29mo1758-cb47557d-00cb-449b-8153-e5de1e64bdaf (__NEXT_DATA__ listingDetails) /home/user/Alopecia/buscador-coches/raw/autoscout24/c41479ee6268044f.json</t>
        </is>
      </c>
      <c r="AR9" s="3">
        <f>MAX(ANIO_ACTUAL-M9,0)</f>
        <v/>
      </c>
      <c r="AS9" s="4">
        <f>N9/MAX(AR9,0.5)</f>
        <v/>
      </c>
      <c r="AT9" s="4">
        <f>F9</f>
        <v/>
      </c>
      <c r="AU9" s="3">
        <f>AT9&amp;"|"&amp;INT(M9/SEG_ANIO)*SEG_ANIO</f>
        <v/>
      </c>
      <c r="AV9" s="3">
        <f>AU9&amp;"|"&amp;INT(N9/SEG_KM)*SEG_KM</f>
        <v/>
      </c>
      <c r="AW9" s="4">
        <f>COUNTIF($AT$2:$AT$39,AT9)</f>
        <v/>
      </c>
      <c r="AX9" s="4">
        <f>COUNTIF($AU$2:$AU$39,AU9)</f>
        <v/>
      </c>
      <c r="AY9" s="4">
        <f>COUNTIF($AV$2:$AV$39,AV9)</f>
        <v/>
      </c>
      <c r="AZ9" s="3">
        <f t="array" ref="AZ9">IF(AY9&gt;=MIN_N,MEDIAN(IF($AV$2:$AV$39=AV9,$O$2:$O$39)),IF(AX9&gt;=MIN_N,MEDIAN(IF($AU$2:$AU$39=AU9,$O$2:$O$39)),MEDIAN(IF($AT$2:$AT$39=AT9,$O$2:$O$39))))</f>
        <v/>
      </c>
      <c r="BA9" s="3">
        <f>IF(AY9&gt;=MIN_N,"modelo+año+km",IF(AX9&gt;=MIN_N,"modelo+año","modelo"))</f>
        <v/>
      </c>
      <c r="BB9" s="4">
        <f>(AZ9-O9)/AZ9</f>
        <v/>
      </c>
      <c r="BC9" s="3">
        <f>IF(OR(K9="hibrido",K9="glp"),"ECO",IF(K9="electrico","CERO",IF(K9="gasolina",IF(M9&gt;=GAS_C,"C",IF(M9&gt;=GAS_B,"B","A")),IF(K9="diesel",IF(M9&gt;=DIE_C,"C",IF(M9&gt;=DIE_B,"B","A")),""))))</f>
        <v/>
      </c>
      <c r="BD9" s="3">
        <f>IFERROR(VLOOKUP(F9,MOD_TBL,11,0),IFERROR(VLOOKUP(E9,OCU_TBL,2,0),NEUTRO))</f>
        <v/>
      </c>
      <c r="BE9" s="3">
        <f>SUMIFS(MOT_AJUSTE,MOT_MOTOR,G9,MOT_MARCA,E9,MOT_DESDE,"&lt;="&amp;M9,MOT_HASTA,"&gt;="&amp;M9)+SUMIFS(MOT_AJUSTE,MOT_MOTOR,G9,MOT_MARCA,"(todas)",MOT_DESDE,"&lt;="&amp;M9,MOT_HASTA,"&gt;="&amp;M9)</f>
        <v/>
      </c>
      <c r="BF9" s="3">
        <f>SUMIFS(COMB_AJUSTE,COMB_COMB,K9)</f>
        <v/>
      </c>
      <c r="BG9" s="4">
        <f>MAX(0,MIN(100,BD9+BE9+BF9))</f>
        <v/>
      </c>
      <c r="BH9" s="3">
        <f>MAX(0,MIN(100,50+BB9*PRECIO_PEND))</f>
        <v/>
      </c>
      <c r="BI9" s="3">
        <f>MAX(0,100*(1-N9/KM_MAX))</f>
        <v/>
      </c>
      <c r="BJ9" s="3">
        <f>IF(AS9&lt;KMA_SOSP,IF(AA9="sí",100,KMA_PEN),IF(AS9&lt;=KMA_IDEAL_MAX,100,MAX(0,100*(KMA_CERO-AS9)/(KMA_CERO-KMA_IDEAL_MAX))))</f>
        <v/>
      </c>
      <c r="BK9" s="3">
        <f>MAX(0,MIN(100,100*(M9-ANIO_MIN)/(ANIO_ACTUAL-ANIO_MIN)))</f>
        <v/>
      </c>
      <c r="BL9" s="3">
        <f>W_KMT*BI9+W_KMA*BJ9+W_EDAD*BK9</f>
        <v/>
      </c>
      <c r="BM9" s="3">
        <f>P_ITV*(V9="sí")+P_LIBRO*(W9="sí")+P_CORREA*(X9="sí")+P_PROP*(Y9=1)+P_GAR*(Z9="sí")+P_FOTOS*MIN(1,N(U9)/FOTOS_OBJ)</f>
        <v/>
      </c>
      <c r="BN9" s="3">
        <f>IFERROR(VLOOKUP(BC9,ETQ_TBL,2,0),NEUTRO)</f>
        <v/>
      </c>
      <c r="BO9" s="3">
        <f>NEUTRO</f>
        <v/>
      </c>
      <c r="BP9" s="3">
        <f>IFERROR(VLOOKUP(L9,SEGURO_TBL,3,0),"")</f>
        <v/>
      </c>
      <c r="BQ9" s="3">
        <f>IF(BP9="",NEUTRO,MAX(0,MIN(100,100*(SEG_REF_MAX-BP9)/(SEG_REF_MAX-SEG_REF_MIN))))</f>
        <v/>
      </c>
      <c r="BR9" s="3">
        <f>W_ET*BN9+W_CONS*BO9+W_SEG*BQ9</f>
        <v/>
      </c>
      <c r="BS9" s="3">
        <f>IF(N(AB9)&gt;0,AB9,IF(AND(R9="profesional",SG_LEGAL_ON=1),GAR_LEGAL,0))</f>
        <v/>
      </c>
      <c r="BT9" s="3">
        <f>SG_GAR*MIN(1,BS9/SG_GAR_FULL)+SG_AMPL*(AC9="sí")+SG_KMC*(AF9="sí")+SG_REV*(N(AE9)&gt;0)+SG_DEV*MIN(1,N(AG9)/SG_DEV_FULL)+SG_HIST*(W9="sí")</f>
        <v/>
      </c>
      <c r="BU9" s="3">
        <f>W_FIAB*BG9+W_PRECIO*BH9+W_KMEDAD*BL9+W_ANUNCIO*BM9+W_USO*BR9+W_SEGURIDAD*BT9</f>
        <v/>
      </c>
      <c r="BV9" s="4">
        <f>IF(N(I9)&gt;0,I9,IFERROR(ROUND(_xlfn.NUMBERVALUE(LEFT(G9,FIND(" ",G9&amp;" ")-1),".")*1000,0),99999))</f>
        <v/>
      </c>
      <c r="BW9" s="3">
        <f>IF(R9="profesional",0,IF(O9&lt;CUOTA_VALOR_MAX,IF(AR9&gt;ITP_TRAMO_ALTO,SUMIFS(CF_CUOTA,CF_MAS,ITP_TRAMO_ALTO,CF_CCMIN,"&lt;="&amp;BV9,CF_CCMAX,"&gt;="&amp;BV9),IF(AR9&gt;ITP_TRAMO_BAJO,SUMIFS(CF_CUOTA,CF_MAS,ITP_TRAMO_BAJO,CF_CCMIN,"&lt;="&amp;BV9,CF_CCMAX,"&gt;="&amp;BV9),O9*ITP_TIPO)),O9*ITP_TIPO))</f>
        <v/>
      </c>
      <c r="BX9" s="4">
        <f>IF(R9="profesional",N(AK9),0)</f>
        <v/>
      </c>
      <c r="BY9" s="3">
        <f>IF(AND(R9="profesional",ISNUMBER(AK9),AL9="sí"),0,TASA_DGT)</f>
        <v/>
      </c>
      <c r="BZ9" s="3">
        <f>INFORME_DGT</f>
        <v/>
      </c>
      <c r="CA9" s="4">
        <f>O9+BX9+BW9+BY9+BZ9</f>
        <v/>
      </c>
      <c r="CB9" s="4">
        <f>CA9+N(BP9)</f>
        <v/>
      </c>
      <c r="CC9" s="3">
        <f>IF(CA9&lt;=TOTAL_MAX,"sí","no")</f>
        <v/>
      </c>
      <c r="CD9" s="4">
        <f>IF(CC9="sí",COUNTIFS($CC$2:$CC$39,"sí",$BU$2:$BU$39,"&gt;"&amp;BU9)+COUNTIFS($CC$2:CC9,"sí",$BU$2:BU9,BU9),"")</f>
        <v/>
      </c>
    </row>
    <row r="10">
      <c r="A10" s="2" t="inlineStr">
        <is>
          <t>autoscout24:c0e51c94-8ec0-4a36-8134-caae0331b183</t>
        </is>
      </c>
      <c r="B10" s="2" t="inlineStr">
        <is>
          <t>autoscout24</t>
        </is>
      </c>
      <c r="C10" s="2" t="inlineStr">
        <is>
          <t>https://www.autoscout24.es/anuncios/fiat-punto-punto-1-2-feel-classic-feel-classic-gasolina-rojo-cat_ma28mo1747-c0e51c94-8ec0-4a36-8134-caae0331b183</t>
        </is>
      </c>
      <c r="D10" s="2" t="inlineStr">
        <is>
          <t>Fiat Punto Punto 1.2 Feel/Classic Feel/Classic</t>
        </is>
      </c>
      <c r="E10" s="2" t="inlineStr">
        <is>
          <t>Fiat</t>
        </is>
      </c>
      <c r="F10" s="2" t="inlineStr">
        <is>
          <t>Fiat Punto</t>
        </is>
      </c>
      <c r="G10" s="2" t="inlineStr">
        <is>
          <t>1.2</t>
        </is>
      </c>
      <c r="H10" s="2" t="inlineStr">
        <is>
          <t>Punto 1.2 Feel/Classic Feel/Classic 1.2 8V</t>
        </is>
      </c>
      <c r="I10" s="2" t="n">
        <v>1242</v>
      </c>
      <c r="J10" s="2" t="n">
        <v>60</v>
      </c>
      <c r="K10" s="2" t="inlineStr">
        <is>
          <t>gasolina</t>
        </is>
      </c>
      <c r="L10" s="2" t="inlineStr">
        <is>
          <t>utilitario</t>
        </is>
      </c>
      <c r="M10" s="2" t="n">
        <v>2009</v>
      </c>
      <c r="N10" s="2" t="n">
        <v>114000</v>
      </c>
      <c r="O10" s="2" t="n">
        <v>3900</v>
      </c>
      <c r="P10" s="2" t="inlineStr">
        <is>
          <t>manual</t>
        </is>
      </c>
      <c r="Q10" s="2" t="inlineStr">
        <is>
          <t>no</t>
        </is>
      </c>
      <c r="R10" s="2" t="inlineStr">
        <is>
          <t>particular</t>
        </is>
      </c>
      <c r="S10" s="2" t="inlineStr">
        <is>
          <t>Vilamarxant (46191)</t>
        </is>
      </c>
      <c r="T10" s="2" t="n"/>
      <c r="U10" s="2" t="n">
        <v>5</v>
      </c>
      <c r="V10" s="2" t="inlineStr">
        <is>
          <t>sí</t>
        </is>
      </c>
      <c r="W10" s="2" t="n"/>
      <c r="X10" s="2" t="n"/>
      <c r="Y10" s="2" t="n"/>
      <c r="Z10" s="2" t="n"/>
      <c r="AA10" s="2" t="n"/>
      <c r="AB10" s="2" t="n"/>
      <c r="AC10" s="2" t="n"/>
      <c r="AD10" s="2" t="n"/>
      <c r="AE10" s="2" t="n"/>
      <c r="AF10" s="2" t="n"/>
      <c r="AG10" s="2" t="n"/>
      <c r="AH10" s="2" t="n"/>
      <c r="AI10" s="2" t="n"/>
      <c r="AJ10" s="2" t="n"/>
      <c r="AK10" s="2" t="n"/>
      <c r="AL10" s="2" t="n"/>
      <c r="AM10" s="2" t="n">
        <v>20.6</v>
      </c>
      <c r="AN10" s="2" t="n"/>
      <c r="AO10" s="2" t="inlineStr">
        <is>
          <t>cuota fija ITP: &gt;12 años, hasta 1.500 cc; fiabilidad del modelo PENDIENTE de fuente (puntuación neutra); mediana con solo 1 anuncio(s)</t>
        </is>
      </c>
      <c r="AP10" s="2" t="inlineStr">
        <is>
          <t>Vendo Fiat Punto gasolina del año 2009, con 114. 000km por cambio a coche eléctrico . Coche cuidado y en buen estado general, ideal como coche urbano o segundo vehículo.&lt;br /&gt;- Etiqueta C&lt;br /&gt;- ITV hasta noviembre de 2026.&lt;br /&gt;- Aire Acondicionado&lt;br /&gt;- Mantenimiento realizado regularmente, con facturas disponibles.&lt;br /&gt;-Pastillas de freno delanteras sustituidas.&lt;br /&gt;- Batería nueva.&lt;br /&gt;- Bujías nuevas.&lt;br /&gt;- 4 neumáticos sustituidos: traseros en noviembre y delanteros recientemente .&lt;br /&gt;- 2 llaves&lt;br /&gt;Se puede ver y probar sin compromiso&lt;br /&gt;€ Precio negociable&lt;br /&gt;Se escuchan ofertas razonables una vez visto el vehículo.&lt;br /&gt;</t>
        </is>
      </c>
      <c r="AQ10" s="2" t="inlineStr">
        <is>
          <t>https://www.autoscout24.es/anuncios/fiat-punto-punto-1-2-feel-classic-feel-classic-gasolina-rojo-cat_ma28mo1747-c0e51c94-8ec0-4a36-8134-caae0331b183 (__NEXT_DATA__ listingDetails) /home/user/Alopecia/buscador-coches/raw/autoscout24/4d7631f2559e0d7b.json</t>
        </is>
      </c>
      <c r="AR10" s="3">
        <f>MAX(ANIO_ACTUAL-M10,0)</f>
        <v/>
      </c>
      <c r="AS10" s="4">
        <f>N10/MAX(AR10,0.5)</f>
        <v/>
      </c>
      <c r="AT10" s="4">
        <f>F10</f>
        <v/>
      </c>
      <c r="AU10" s="3">
        <f>AT10&amp;"|"&amp;INT(M10/SEG_ANIO)*SEG_ANIO</f>
        <v/>
      </c>
      <c r="AV10" s="3">
        <f>AU10&amp;"|"&amp;INT(N10/SEG_KM)*SEG_KM</f>
        <v/>
      </c>
      <c r="AW10" s="4">
        <f>COUNTIF($AT$2:$AT$39,AT10)</f>
        <v/>
      </c>
      <c r="AX10" s="4">
        <f>COUNTIF($AU$2:$AU$39,AU10)</f>
        <v/>
      </c>
      <c r="AY10" s="4">
        <f>COUNTIF($AV$2:$AV$39,AV10)</f>
        <v/>
      </c>
      <c r="AZ10" s="3">
        <f t="array" ref="AZ10">IF(AY10&gt;=MIN_N,MEDIAN(IF($AV$2:$AV$39=AV10,$O$2:$O$39)),IF(AX10&gt;=MIN_N,MEDIAN(IF($AU$2:$AU$39=AU10,$O$2:$O$39)),MEDIAN(IF($AT$2:$AT$39=AT10,$O$2:$O$39))))</f>
        <v/>
      </c>
      <c r="BA10" s="3">
        <f>IF(AY10&gt;=MIN_N,"modelo+año+km",IF(AX10&gt;=MIN_N,"modelo+año","modelo"))</f>
        <v/>
      </c>
      <c r="BB10" s="4">
        <f>(AZ10-O10)/AZ10</f>
        <v/>
      </c>
      <c r="BC10" s="3">
        <f>IF(OR(K10="hibrido",K10="glp"),"ECO",IF(K10="electrico","CERO",IF(K10="gasolina",IF(M10&gt;=GAS_C,"C",IF(M10&gt;=GAS_B,"B","A")),IF(K10="diesel",IF(M10&gt;=DIE_C,"C",IF(M10&gt;=DIE_B,"B","A")),""))))</f>
        <v/>
      </c>
      <c r="BD10" s="3">
        <f>IFERROR(VLOOKUP(F10,MOD_TBL,11,0),IFERROR(VLOOKUP(E10,OCU_TBL,2,0),NEUTRO))</f>
        <v/>
      </c>
      <c r="BE10" s="3">
        <f>SUMIFS(MOT_AJUSTE,MOT_MOTOR,G10,MOT_MARCA,E10,MOT_DESDE,"&lt;="&amp;M10,MOT_HASTA,"&gt;="&amp;M10)+SUMIFS(MOT_AJUSTE,MOT_MOTOR,G10,MOT_MARCA,"(todas)",MOT_DESDE,"&lt;="&amp;M10,MOT_HASTA,"&gt;="&amp;M10)</f>
        <v/>
      </c>
      <c r="BF10" s="3">
        <f>SUMIFS(COMB_AJUSTE,COMB_COMB,K10)</f>
        <v/>
      </c>
      <c r="BG10" s="4">
        <f>MAX(0,MIN(100,BD10+BE10+BF10))</f>
        <v/>
      </c>
      <c r="BH10" s="3">
        <f>MAX(0,MIN(100,50+BB10*PRECIO_PEND))</f>
        <v/>
      </c>
      <c r="BI10" s="3">
        <f>MAX(0,100*(1-N10/KM_MAX))</f>
        <v/>
      </c>
      <c r="BJ10" s="3">
        <f>IF(AS10&lt;KMA_SOSP,IF(AA10="sí",100,KMA_PEN),IF(AS10&lt;=KMA_IDEAL_MAX,100,MAX(0,100*(KMA_CERO-AS10)/(KMA_CERO-KMA_IDEAL_MAX))))</f>
        <v/>
      </c>
      <c r="BK10" s="3">
        <f>MAX(0,MIN(100,100*(M10-ANIO_MIN)/(ANIO_ACTUAL-ANIO_MIN)))</f>
        <v/>
      </c>
      <c r="BL10" s="3">
        <f>W_KMT*BI10+W_KMA*BJ10+W_EDAD*BK10</f>
        <v/>
      </c>
      <c r="BM10" s="3">
        <f>P_ITV*(V10="sí")+P_LIBRO*(W10="sí")+P_CORREA*(X10="sí")+P_PROP*(Y10=1)+P_GAR*(Z10="sí")+P_FOTOS*MIN(1,N(U10)/FOTOS_OBJ)</f>
        <v/>
      </c>
      <c r="BN10" s="3">
        <f>IFERROR(VLOOKUP(BC10,ETQ_TBL,2,0),NEUTRO)</f>
        <v/>
      </c>
      <c r="BO10" s="3">
        <f>NEUTRO</f>
        <v/>
      </c>
      <c r="BP10" s="3">
        <f>IFERROR(VLOOKUP(L10,SEGURO_TBL,3,0),"")</f>
        <v/>
      </c>
      <c r="BQ10" s="3">
        <f>IF(BP10="",NEUTRO,MAX(0,MIN(100,100*(SEG_REF_MAX-BP10)/(SEG_REF_MAX-SEG_REF_MIN))))</f>
        <v/>
      </c>
      <c r="BR10" s="3">
        <f>W_ET*BN10+W_CONS*BO10+W_SEG*BQ10</f>
        <v/>
      </c>
      <c r="BS10" s="3">
        <f>IF(N(AB10)&gt;0,AB10,IF(AND(R10="profesional",SG_LEGAL_ON=1),GAR_LEGAL,0))</f>
        <v/>
      </c>
      <c r="BT10" s="3">
        <f>SG_GAR*MIN(1,BS10/SG_GAR_FULL)+SG_AMPL*(AC10="sí")+SG_KMC*(AF10="sí")+SG_REV*(N(AE10)&gt;0)+SG_DEV*MIN(1,N(AG10)/SG_DEV_FULL)+SG_HIST*(W10="sí")</f>
        <v/>
      </c>
      <c r="BU10" s="3">
        <f>W_FIAB*BG10+W_PRECIO*BH10+W_KMEDAD*BL10+W_ANUNCIO*BM10+W_USO*BR10+W_SEGURIDAD*BT10</f>
        <v/>
      </c>
      <c r="BV10" s="4">
        <f>IF(N(I10)&gt;0,I10,IFERROR(ROUND(_xlfn.NUMBERVALUE(LEFT(G10,FIND(" ",G10&amp;" ")-1),".")*1000,0),99999))</f>
        <v/>
      </c>
      <c r="BW10" s="3">
        <f>IF(R10="profesional",0,IF(O10&lt;CUOTA_VALOR_MAX,IF(AR10&gt;ITP_TRAMO_ALTO,SUMIFS(CF_CUOTA,CF_MAS,ITP_TRAMO_ALTO,CF_CCMIN,"&lt;="&amp;BV10,CF_CCMAX,"&gt;="&amp;BV10),IF(AR10&gt;ITP_TRAMO_BAJO,SUMIFS(CF_CUOTA,CF_MAS,ITP_TRAMO_BAJO,CF_CCMIN,"&lt;="&amp;BV10,CF_CCMAX,"&gt;="&amp;BV10),O10*ITP_TIPO)),O10*ITP_TIPO))</f>
        <v/>
      </c>
      <c r="BX10" s="4">
        <f>IF(R10="profesional",N(AK10),0)</f>
        <v/>
      </c>
      <c r="BY10" s="3">
        <f>IF(AND(R10="profesional",ISNUMBER(AK10),AL10="sí"),0,TASA_DGT)</f>
        <v/>
      </c>
      <c r="BZ10" s="3">
        <f>INFORME_DGT</f>
        <v/>
      </c>
      <c r="CA10" s="4">
        <f>O10+BX10+BW10+BY10+BZ10</f>
        <v/>
      </c>
      <c r="CB10" s="4">
        <f>CA10+N(BP10)</f>
        <v/>
      </c>
      <c r="CC10" s="3">
        <f>IF(CA10&lt;=TOTAL_MAX,"sí","no")</f>
        <v/>
      </c>
      <c r="CD10" s="4">
        <f>IF(CC10="sí",COUNTIFS($CC$2:$CC$39,"sí",$BU$2:$BU$39,"&gt;"&amp;BU10)+COUNTIFS($CC$2:CC10,"sí",$BU$2:BU10,BU10),"")</f>
        <v/>
      </c>
    </row>
    <row r="11">
      <c r="A11" s="2" t="inlineStr">
        <is>
          <t>autoscout24:8b610c99-c37b-4f70-8870-40b71f5c62f6</t>
        </is>
      </c>
      <c r="B11" s="2" t="inlineStr">
        <is>
          <t>autoscout24</t>
        </is>
      </c>
      <c r="C11" s="2" t="inlineStr">
        <is>
          <t>https://www.autoscout24.es/anuncios/fiat-500-500-0-9-t-twinair-pop-85-pop-gasolina-azul-cat_ma28mo15160-8b610c99-c37b-4f70-8870-40b71f5c62f6</t>
        </is>
      </c>
      <c r="D11" s="2" t="inlineStr">
        <is>
          <t>Fiat 500 500 0.9 T TwinAir Pop 85 Pop</t>
        </is>
      </c>
      <c r="E11" s="2" t="inlineStr">
        <is>
          <t>Fiat</t>
        </is>
      </c>
      <c r="F11" s="2" t="inlineStr">
        <is>
          <t>Fiat 500</t>
        </is>
      </c>
      <c r="G11" s="2" t="inlineStr">
        <is>
          <t>0.9</t>
        </is>
      </c>
      <c r="H11" s="2" t="inlineStr">
        <is>
          <t>500 0.9 T TwinAir Pop 85 Pop 0.9</t>
        </is>
      </c>
      <c r="I11" s="2" t="n">
        <v>875</v>
      </c>
      <c r="J11" s="2" t="n">
        <v>84</v>
      </c>
      <c r="K11" s="2" t="inlineStr">
        <is>
          <t>gasolina</t>
        </is>
      </c>
      <c r="L11" s="2" t="inlineStr">
        <is>
          <t>utilitario</t>
        </is>
      </c>
      <c r="M11" s="2" t="n">
        <v>2010</v>
      </c>
      <c r="N11" s="2" t="n">
        <v>133218</v>
      </c>
      <c r="O11" s="2" t="n">
        <v>4200</v>
      </c>
      <c r="P11" s="2" t="inlineStr">
        <is>
          <t>manual</t>
        </is>
      </c>
      <c r="Q11" s="2" t="inlineStr">
        <is>
          <t>no</t>
        </is>
      </c>
      <c r="R11" s="2" t="inlineStr">
        <is>
          <t>particular</t>
        </is>
      </c>
      <c r="S11" s="2" t="inlineStr">
        <is>
          <t>València (46006)</t>
        </is>
      </c>
      <c r="T11" s="2" t="n"/>
      <c r="U11" s="2" t="n">
        <v>19</v>
      </c>
      <c r="V11" s="2" t="n"/>
      <c r="W11" s="2" t="n"/>
      <c r="X11" s="2" t="n"/>
      <c r="Y11" s="2" t="n"/>
      <c r="Z11" s="2" t="n"/>
      <c r="AA11" s="2" t="n"/>
      <c r="AB11" s="2" t="n"/>
      <c r="AC11" s="2" t="n"/>
      <c r="AD11" s="2" t="n"/>
      <c r="AE11" s="2" t="n"/>
      <c r="AF11" s="2" t="n"/>
      <c r="AG11" s="2" t="n"/>
      <c r="AH11" s="2" t="n"/>
      <c r="AI11" s="2" t="n"/>
      <c r="AJ11" s="2" t="n"/>
      <c r="AK11" s="2" t="n"/>
      <c r="AL11" s="2" t="n"/>
      <c r="AM11" s="2" t="n">
        <v>1.4</v>
      </c>
      <c r="AN11" s="2" t="n"/>
      <c r="AO11" s="2" t="inlineStr">
        <is>
          <t>cuota fija ITP: &gt;12 años, hasta 1.500 cc; mediana con solo 1 anuncio(s)</t>
        </is>
      </c>
      <c r="AP11" s="2" t="inlineStr">
        <is>
          <t>Se vende Fiat 500 1.2 de 69 CV, un vehículo fiable, económico y perfecto tanto para ciudad como para carretera. Destaca por su bajo consumo, facilidad de aparcamiento y mantenimiento asequible.&lt;br /&gt;El coche cuenta con 133.218 km y se encuentra en buen estado, listo para seguir circulando. Se puede ver y probar sin compromiso en Valencia.&lt;br /&gt;Características&lt;br /&gt;* Motor 1.2 Gasolina (1.242 cc)&lt;br /&gt;* 69 CV (51 kW)&lt;br /&gt;* Cambio manual&lt;br /&gt;* 4 plazas&lt;br /&gt;* 133.218 km&lt;br /&gt;* Bajo consumo&lt;br /&gt;* Mantenimiento económico&lt;br /&gt;* Documentación al día&lt;br /&gt;Ideal como primer coche, para desplazamientos diarios o como vehículo urbano.</t>
        </is>
      </c>
      <c r="AQ11" s="2" t="inlineStr">
        <is>
          <t>https://www.autoscout24.es/anuncios/fiat-500-500-0-9-t-twinair-pop-85-pop-gasolina-azul-cat_ma28mo15160-8b610c99-c37b-4f70-8870-40b71f5c62f6 (__NEXT_DATA__ listingDetails) /home/user/Alopecia/buscador-coches/raw/autoscout24/8c6a9964f7b01d4a.json</t>
        </is>
      </c>
      <c r="AR11" s="3">
        <f>MAX(ANIO_ACTUAL-M11,0)</f>
        <v/>
      </c>
      <c r="AS11" s="4">
        <f>N11/MAX(AR11,0.5)</f>
        <v/>
      </c>
      <c r="AT11" s="4">
        <f>F11</f>
        <v/>
      </c>
      <c r="AU11" s="3">
        <f>AT11&amp;"|"&amp;INT(M11/SEG_ANIO)*SEG_ANIO</f>
        <v/>
      </c>
      <c r="AV11" s="3">
        <f>AU11&amp;"|"&amp;INT(N11/SEG_KM)*SEG_KM</f>
        <v/>
      </c>
      <c r="AW11" s="4">
        <f>COUNTIF($AT$2:$AT$39,AT11)</f>
        <v/>
      </c>
      <c r="AX11" s="4">
        <f>COUNTIF($AU$2:$AU$39,AU11)</f>
        <v/>
      </c>
      <c r="AY11" s="4">
        <f>COUNTIF($AV$2:$AV$39,AV11)</f>
        <v/>
      </c>
      <c r="AZ11" s="3">
        <f t="array" ref="AZ11">IF(AY11&gt;=MIN_N,MEDIAN(IF($AV$2:$AV$39=AV11,$O$2:$O$39)),IF(AX11&gt;=MIN_N,MEDIAN(IF($AU$2:$AU$39=AU11,$O$2:$O$39)),MEDIAN(IF($AT$2:$AT$39=AT11,$O$2:$O$39))))</f>
        <v/>
      </c>
      <c r="BA11" s="3">
        <f>IF(AY11&gt;=MIN_N,"modelo+año+km",IF(AX11&gt;=MIN_N,"modelo+año","modelo"))</f>
        <v/>
      </c>
      <c r="BB11" s="4">
        <f>(AZ11-O11)/AZ11</f>
        <v/>
      </c>
      <c r="BC11" s="3">
        <f>IF(OR(K11="hibrido",K11="glp"),"ECO",IF(K11="electrico","CERO",IF(K11="gasolina",IF(M11&gt;=GAS_C,"C",IF(M11&gt;=GAS_B,"B","A")),IF(K11="diesel",IF(M11&gt;=DIE_C,"C",IF(M11&gt;=DIE_B,"B","A")),""))))</f>
        <v/>
      </c>
      <c r="BD11" s="3">
        <f>IFERROR(VLOOKUP(F11,MOD_TBL,11,0),IFERROR(VLOOKUP(E11,OCU_TBL,2,0),NEUTRO))</f>
        <v/>
      </c>
      <c r="BE11" s="3">
        <f>SUMIFS(MOT_AJUSTE,MOT_MOTOR,G11,MOT_MARCA,E11,MOT_DESDE,"&lt;="&amp;M11,MOT_HASTA,"&gt;="&amp;M11)+SUMIFS(MOT_AJUSTE,MOT_MOTOR,G11,MOT_MARCA,"(todas)",MOT_DESDE,"&lt;="&amp;M11,MOT_HASTA,"&gt;="&amp;M11)</f>
        <v/>
      </c>
      <c r="BF11" s="3">
        <f>SUMIFS(COMB_AJUSTE,COMB_COMB,K11)</f>
        <v/>
      </c>
      <c r="BG11" s="4">
        <f>MAX(0,MIN(100,BD11+BE11+BF11))</f>
        <v/>
      </c>
      <c r="BH11" s="3">
        <f>MAX(0,MIN(100,50+BB11*PRECIO_PEND))</f>
        <v/>
      </c>
      <c r="BI11" s="3">
        <f>MAX(0,100*(1-N11/KM_MAX))</f>
        <v/>
      </c>
      <c r="BJ11" s="3">
        <f>IF(AS11&lt;KMA_SOSP,IF(AA11="sí",100,KMA_PEN),IF(AS11&lt;=KMA_IDEAL_MAX,100,MAX(0,100*(KMA_CERO-AS11)/(KMA_CERO-KMA_IDEAL_MAX))))</f>
        <v/>
      </c>
      <c r="BK11" s="3">
        <f>MAX(0,MIN(100,100*(M11-ANIO_MIN)/(ANIO_ACTUAL-ANIO_MIN)))</f>
        <v/>
      </c>
      <c r="BL11" s="3">
        <f>W_KMT*BI11+W_KMA*BJ11+W_EDAD*BK11</f>
        <v/>
      </c>
      <c r="BM11" s="3">
        <f>P_ITV*(V11="sí")+P_LIBRO*(W11="sí")+P_CORREA*(X11="sí")+P_PROP*(Y11=1)+P_GAR*(Z11="sí")+P_FOTOS*MIN(1,N(U11)/FOTOS_OBJ)</f>
        <v/>
      </c>
      <c r="BN11" s="3">
        <f>IFERROR(VLOOKUP(BC11,ETQ_TBL,2,0),NEUTRO)</f>
        <v/>
      </c>
      <c r="BO11" s="3">
        <f>NEUTRO</f>
        <v/>
      </c>
      <c r="BP11" s="3">
        <f>IFERROR(VLOOKUP(L11,SEGURO_TBL,3,0),"")</f>
        <v/>
      </c>
      <c r="BQ11" s="3">
        <f>IF(BP11="",NEUTRO,MAX(0,MIN(100,100*(SEG_REF_MAX-BP11)/(SEG_REF_MAX-SEG_REF_MIN))))</f>
        <v/>
      </c>
      <c r="BR11" s="3">
        <f>W_ET*BN11+W_CONS*BO11+W_SEG*BQ11</f>
        <v/>
      </c>
      <c r="BS11" s="3">
        <f>IF(N(AB11)&gt;0,AB11,IF(AND(R11="profesional",SG_LEGAL_ON=1),GAR_LEGAL,0))</f>
        <v/>
      </c>
      <c r="BT11" s="3">
        <f>SG_GAR*MIN(1,BS11/SG_GAR_FULL)+SG_AMPL*(AC11="sí")+SG_KMC*(AF11="sí")+SG_REV*(N(AE11)&gt;0)+SG_DEV*MIN(1,N(AG11)/SG_DEV_FULL)+SG_HIST*(W11="sí")</f>
        <v/>
      </c>
      <c r="BU11" s="3">
        <f>W_FIAB*BG11+W_PRECIO*BH11+W_KMEDAD*BL11+W_ANUNCIO*BM11+W_USO*BR11+W_SEGURIDAD*BT11</f>
        <v/>
      </c>
      <c r="BV11" s="4">
        <f>IF(N(I11)&gt;0,I11,IFERROR(ROUND(_xlfn.NUMBERVALUE(LEFT(G11,FIND(" ",G11&amp;" ")-1),".")*1000,0),99999))</f>
        <v/>
      </c>
      <c r="BW11" s="3">
        <f>IF(R11="profesional",0,IF(O11&lt;CUOTA_VALOR_MAX,IF(AR11&gt;ITP_TRAMO_ALTO,SUMIFS(CF_CUOTA,CF_MAS,ITP_TRAMO_ALTO,CF_CCMIN,"&lt;="&amp;BV11,CF_CCMAX,"&gt;="&amp;BV11),IF(AR11&gt;ITP_TRAMO_BAJO,SUMIFS(CF_CUOTA,CF_MAS,ITP_TRAMO_BAJO,CF_CCMIN,"&lt;="&amp;BV11,CF_CCMAX,"&gt;="&amp;BV11),O11*ITP_TIPO)),O11*ITP_TIPO))</f>
        <v/>
      </c>
      <c r="BX11" s="4">
        <f>IF(R11="profesional",N(AK11),0)</f>
        <v/>
      </c>
      <c r="BY11" s="3">
        <f>IF(AND(R11="profesional",ISNUMBER(AK11),AL11="sí"),0,TASA_DGT)</f>
        <v/>
      </c>
      <c r="BZ11" s="3">
        <f>INFORME_DGT</f>
        <v/>
      </c>
      <c r="CA11" s="4">
        <f>O11+BX11+BW11+BY11+BZ11</f>
        <v/>
      </c>
      <c r="CB11" s="4">
        <f>CA11+N(BP11)</f>
        <v/>
      </c>
      <c r="CC11" s="3">
        <f>IF(CA11&lt;=TOTAL_MAX,"sí","no")</f>
        <v/>
      </c>
      <c r="CD11" s="4">
        <f>IF(CC11="sí",COUNTIFS($CC$2:$CC$39,"sí",$BU$2:$BU$39,"&gt;"&amp;BU11)+COUNTIFS($CC$2:CC11,"sí",$BU$2:BU11,BU11),"")</f>
        <v/>
      </c>
    </row>
    <row r="12">
      <c r="A12" s="2" t="inlineStr">
        <is>
          <t>autoscout24:5df9bdd9-27ce-4647-b70f-976633b13f7a</t>
        </is>
      </c>
      <c r="B12" s="2" t="inlineStr">
        <is>
          <t>autoscout24</t>
        </is>
      </c>
      <c r="C12" s="2" t="inlineStr">
        <is>
          <t>https://www.autoscout24.es/anuncios/chevrolet-aveo-sedan-1-4-16v-lt-gasolina-gris-cat_ma19mo18685-5df9bdd9-27ce-4647-b70f-976633b13f7a</t>
        </is>
      </c>
      <c r="D12" s="2" t="inlineStr">
        <is>
          <t>Chevrolet Aveo Sedán 1.4 16v LT</t>
        </is>
      </c>
      <c r="E12" s="2" t="inlineStr">
        <is>
          <t>Chevrolet</t>
        </is>
      </c>
      <c r="F12" s="2" t="inlineStr">
        <is>
          <t>Chevrolet Aveo</t>
        </is>
      </c>
      <c r="G12" s="2" t="inlineStr">
        <is>
          <t>1.4</t>
        </is>
      </c>
      <c r="H12" s="2" t="inlineStr">
        <is>
          <t>Sedán 1.4 16v LT 1.4</t>
        </is>
      </c>
      <c r="I12" s="2" t="n">
        <v>1399</v>
      </c>
      <c r="J12" s="2" t="n">
        <v>94</v>
      </c>
      <c r="K12" s="2" t="inlineStr">
        <is>
          <t>gasolina</t>
        </is>
      </c>
      <c r="L12" s="2" t="inlineStr">
        <is>
          <t>utilitario</t>
        </is>
      </c>
      <c r="M12" s="2" t="n">
        <v>2008</v>
      </c>
      <c r="N12" s="2" t="n">
        <v>138000</v>
      </c>
      <c r="O12" s="2" t="n">
        <v>3990</v>
      </c>
      <c r="P12" s="2" t="inlineStr">
        <is>
          <t>manual</t>
        </is>
      </c>
      <c r="Q12" s="2" t="inlineStr">
        <is>
          <t>no</t>
        </is>
      </c>
      <c r="R12" s="2" t="inlineStr">
        <is>
          <t>profesional</t>
        </is>
      </c>
      <c r="S12" s="2" t="inlineStr">
        <is>
          <t>SAGA VEHICULOS — MASSANASSA (46470)</t>
        </is>
      </c>
      <c r="T12" s="2" t="n"/>
      <c r="U12" s="2" t="n">
        <v>26</v>
      </c>
      <c r="V12" s="2" t="n"/>
      <c r="W12" s="2" t="n"/>
      <c r="X12" s="2" t="n"/>
      <c r="Y12" s="2" t="n"/>
      <c r="Z12" s="2" t="inlineStr">
        <is>
          <t>sí</t>
        </is>
      </c>
      <c r="AA12" s="2" t="n"/>
      <c r="AB12" s="2" t="n">
        <v>12</v>
      </c>
      <c r="AC12" s="2" t="inlineStr">
        <is>
          <t>sí</t>
        </is>
      </c>
      <c r="AD12" s="2" t="n"/>
      <c r="AE12" s="2" t="n"/>
      <c r="AF12" s="2" t="n"/>
      <c r="AG12" s="2" t="n"/>
      <c r="AH12" s="2" t="n"/>
      <c r="AI12" s="2" t="n"/>
      <c r="AJ12" s="2" t="n"/>
      <c r="AK12" s="2" t="n">
        <v>350</v>
      </c>
      <c r="AL12" s="2" t="inlineStr">
        <is>
          <t>no</t>
        </is>
      </c>
      <c r="AM12" s="2" t="n">
        <v>7.1</v>
      </c>
      <c r="AN12" s="2" t="n"/>
      <c r="AO12" s="2" t="inlineStr">
        <is>
          <t>vendedor profesional: sin ITP (operación con IVA/REBU, confirmar en factura); gastos del vendedor sin indicar si incluyen la transferencia: se suma la tasa DGT; fiabilidad del modelo PENDIENTE de fuente (puntuación neutra)</t>
        </is>
      </c>
      <c r="AP12" s="2" t="inlineStr">
        <is>
          <t>Chevrolet Aveo LT 1.4 E-TEC ll, 95CV, Gasolina,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 &lt;br /&gt;- Dirección asistida&lt;br /&gt;- Frenos ABS/EBD&lt;br /&gt;- Airbags&lt;br /&gt;- Ordenador abordo&lt;br /&gt;- Android Auto / Apple CarPlay &lt;br /&gt;- Sistema multimedia Bluetooth&lt;br /&gt;- GPS navegación &lt;br /&gt;- Camara trasera &lt;br /&gt;- Llaves presencial con mandos a distancia y mucho mas....&lt;br /&gt;Este anuncio no es vinculante, se muestra a titulo informativo y no contractual.&lt;br /&gt;&lt;br /&gt;&lt;br /&gt;&lt;br /&gt; &lt;strong&gt;Extras&lt;/strong&gt; &lt;br /&gt; &lt;strong&gt;Equipamiento destacado seleccionado por el usuario&lt;/strong&gt; &lt;br /&gt; &lt;br /&gt;- Pintura metalizada&lt;br /&gt;</t>
        </is>
      </c>
      <c r="AQ12" s="2" t="inlineStr">
        <is>
          <t>https://www.autoscout24.es/anuncios/chevrolet-aveo-sedan-1-4-16v-lt-gasolina-gris-cat_ma19mo18685-5df9bdd9-27ce-4647-b70f-976633b13f7a (__NEXT_DATA__ listingDetails) /home/user/Alopecia/buscador-coches/raw/autoscout24/b2dc71ccfcad6c3c.json</t>
        </is>
      </c>
      <c r="AR12" s="3">
        <f>MAX(ANIO_ACTUAL-M12,0)</f>
        <v/>
      </c>
      <c r="AS12" s="4">
        <f>N12/MAX(AR12,0.5)</f>
        <v/>
      </c>
      <c r="AT12" s="4">
        <f>F12</f>
        <v/>
      </c>
      <c r="AU12" s="3">
        <f>AT12&amp;"|"&amp;INT(M12/SEG_ANIO)*SEG_ANIO</f>
        <v/>
      </c>
      <c r="AV12" s="3">
        <f>AU12&amp;"|"&amp;INT(N12/SEG_KM)*SEG_KM</f>
        <v/>
      </c>
      <c r="AW12" s="4">
        <f>COUNTIF($AT$2:$AT$39,AT12)</f>
        <v/>
      </c>
      <c r="AX12" s="4">
        <f>COUNTIF($AU$2:$AU$39,AU12)</f>
        <v/>
      </c>
      <c r="AY12" s="4">
        <f>COUNTIF($AV$2:$AV$39,AV12)</f>
        <v/>
      </c>
      <c r="AZ12" s="3">
        <f t="array" ref="AZ12">IF(AY12&gt;=MIN_N,MEDIAN(IF($AV$2:$AV$39=AV12,$O$2:$O$39)),IF(AX12&gt;=MIN_N,MEDIAN(IF($AU$2:$AU$39=AU12,$O$2:$O$39)),MEDIAN(IF($AT$2:$AT$39=AT12,$O$2:$O$39))))</f>
        <v/>
      </c>
      <c r="BA12" s="3">
        <f>IF(AY12&gt;=MIN_N,"modelo+año+km",IF(AX12&gt;=MIN_N,"modelo+año","modelo"))</f>
        <v/>
      </c>
      <c r="BB12" s="4">
        <f>(AZ12-O12)/AZ12</f>
        <v/>
      </c>
      <c r="BC12" s="3">
        <f>IF(OR(K12="hibrido",K12="glp"),"ECO",IF(K12="electrico","CERO",IF(K12="gasolina",IF(M12&gt;=GAS_C,"C",IF(M12&gt;=GAS_B,"B","A")),IF(K12="diesel",IF(M12&gt;=DIE_C,"C",IF(M12&gt;=DIE_B,"B","A")),""))))</f>
        <v/>
      </c>
      <c r="BD12" s="3">
        <f>IFERROR(VLOOKUP(F12,MOD_TBL,11,0),IFERROR(VLOOKUP(E12,OCU_TBL,2,0),NEUTRO))</f>
        <v/>
      </c>
      <c r="BE12" s="3">
        <f>SUMIFS(MOT_AJUSTE,MOT_MOTOR,G12,MOT_MARCA,E12,MOT_DESDE,"&lt;="&amp;M12,MOT_HASTA,"&gt;="&amp;M12)+SUMIFS(MOT_AJUSTE,MOT_MOTOR,G12,MOT_MARCA,"(todas)",MOT_DESDE,"&lt;="&amp;M12,MOT_HASTA,"&gt;="&amp;M12)</f>
        <v/>
      </c>
      <c r="BF12" s="3">
        <f>SUMIFS(COMB_AJUSTE,COMB_COMB,K12)</f>
        <v/>
      </c>
      <c r="BG12" s="4">
        <f>MAX(0,MIN(100,BD12+BE12+BF12))</f>
        <v/>
      </c>
      <c r="BH12" s="3">
        <f>MAX(0,MIN(100,50+BB12*PRECIO_PEND))</f>
        <v/>
      </c>
      <c r="BI12" s="3">
        <f>MAX(0,100*(1-N12/KM_MAX))</f>
        <v/>
      </c>
      <c r="BJ12" s="3">
        <f>IF(AS12&lt;KMA_SOSP,IF(AA12="sí",100,KMA_PEN),IF(AS12&lt;=KMA_IDEAL_MAX,100,MAX(0,100*(KMA_CERO-AS12)/(KMA_CERO-KMA_IDEAL_MAX))))</f>
        <v/>
      </c>
      <c r="BK12" s="3">
        <f>MAX(0,MIN(100,100*(M12-ANIO_MIN)/(ANIO_ACTUAL-ANIO_MIN)))</f>
        <v/>
      </c>
      <c r="BL12" s="3">
        <f>W_KMT*BI12+W_KMA*BJ12+W_EDAD*BK12</f>
        <v/>
      </c>
      <c r="BM12" s="3">
        <f>P_ITV*(V12="sí")+P_LIBRO*(W12="sí")+P_CORREA*(X12="sí")+P_PROP*(Y12=1)+P_GAR*(Z12="sí")+P_FOTOS*MIN(1,N(U12)/FOTOS_OBJ)</f>
        <v/>
      </c>
      <c r="BN12" s="3">
        <f>IFERROR(VLOOKUP(BC12,ETQ_TBL,2,0),NEUTRO)</f>
        <v/>
      </c>
      <c r="BO12" s="3">
        <f>NEUTRO</f>
        <v/>
      </c>
      <c r="BP12" s="3">
        <f>IFERROR(VLOOKUP(L12,SEGURO_TBL,3,0),"")</f>
        <v/>
      </c>
      <c r="BQ12" s="3">
        <f>IF(BP12="",NEUTRO,MAX(0,MIN(100,100*(SEG_REF_MAX-BP12)/(SEG_REF_MAX-SEG_REF_MIN))))</f>
        <v/>
      </c>
      <c r="BR12" s="3">
        <f>W_ET*BN12+W_CONS*BO12+W_SEG*BQ12</f>
        <v/>
      </c>
      <c r="BS12" s="3">
        <f>IF(N(AB12)&gt;0,AB12,IF(AND(R12="profesional",SG_LEGAL_ON=1),GAR_LEGAL,0))</f>
        <v/>
      </c>
      <c r="BT12" s="3">
        <f>SG_GAR*MIN(1,BS12/SG_GAR_FULL)+SG_AMPL*(AC12="sí")+SG_KMC*(AF12="sí")+SG_REV*(N(AE12)&gt;0)+SG_DEV*MIN(1,N(AG12)/SG_DEV_FULL)+SG_HIST*(W12="sí")</f>
        <v/>
      </c>
      <c r="BU12" s="3">
        <f>W_FIAB*BG12+W_PRECIO*BH12+W_KMEDAD*BL12+W_ANUNCIO*BM12+W_USO*BR12+W_SEGURIDAD*BT12</f>
        <v/>
      </c>
      <c r="BV12" s="4">
        <f>IF(N(I12)&gt;0,I12,IFERROR(ROUND(_xlfn.NUMBERVALUE(LEFT(G12,FIND(" ",G12&amp;" ")-1),".")*1000,0),99999))</f>
        <v/>
      </c>
      <c r="BW12" s="3">
        <f>IF(R12="profesional",0,IF(O12&lt;CUOTA_VALOR_MAX,IF(AR12&gt;ITP_TRAMO_ALTO,SUMIFS(CF_CUOTA,CF_MAS,ITP_TRAMO_ALTO,CF_CCMIN,"&lt;="&amp;BV12,CF_CCMAX,"&gt;="&amp;BV12),IF(AR12&gt;ITP_TRAMO_BAJO,SUMIFS(CF_CUOTA,CF_MAS,ITP_TRAMO_BAJO,CF_CCMIN,"&lt;="&amp;BV12,CF_CCMAX,"&gt;="&amp;BV12),O12*ITP_TIPO)),O12*ITP_TIPO))</f>
        <v/>
      </c>
      <c r="BX12" s="4">
        <f>IF(R12="profesional",N(AK12),0)</f>
        <v/>
      </c>
      <c r="BY12" s="3">
        <f>IF(AND(R12="profesional",ISNUMBER(AK12),AL12="sí"),0,TASA_DGT)</f>
        <v/>
      </c>
      <c r="BZ12" s="3">
        <f>INFORME_DGT</f>
        <v/>
      </c>
      <c r="CA12" s="4">
        <f>O12+BX12+BW12+BY12+BZ12</f>
        <v/>
      </c>
      <c r="CB12" s="4">
        <f>CA12+N(BP12)</f>
        <v/>
      </c>
      <c r="CC12" s="3">
        <f>IF(CA12&lt;=TOTAL_MAX,"sí","no")</f>
        <v/>
      </c>
      <c r="CD12" s="4">
        <f>IF(CC12="sí",COUNTIFS($CC$2:$CC$39,"sí",$BU$2:$BU$39,"&gt;"&amp;BU12)+COUNTIFS($CC$2:CC12,"sí",$BU$2:BU12,BU12),"")</f>
        <v/>
      </c>
    </row>
    <row r="13">
      <c r="A13" s="2" t="inlineStr">
        <is>
          <t>autoscout24:10ad7f0c-c270-4daf-8b53-d4973d7d0201</t>
        </is>
      </c>
      <c r="B13" s="2" t="inlineStr">
        <is>
          <t>autoscout24</t>
        </is>
      </c>
      <c r="C13" s="2" t="inlineStr">
        <is>
          <t>https://www.autoscout24.es/anuncios/chevrolet-aveo-aveo-1-4-16v-ls-ls-gasolina-blanco-cat_ma19mo18685-10ad7f0c-c270-4daf-8b53-d4973d7d0201</t>
        </is>
      </c>
      <c r="D13" s="2" t="inlineStr">
        <is>
          <t>Chevrolet Aveo Aveo 1.4 16v LS LS</t>
        </is>
      </c>
      <c r="E13" s="2" t="inlineStr">
        <is>
          <t>Chevrolet</t>
        </is>
      </c>
      <c r="F13" s="2" t="inlineStr">
        <is>
          <t>Chevrolet Aveo</t>
        </is>
      </c>
      <c r="G13" s="2" t="inlineStr">
        <is>
          <t>1.4</t>
        </is>
      </c>
      <c r="H13" s="2" t="inlineStr">
        <is>
          <t>Aveo 1.4 16v LS LS 1.4</t>
        </is>
      </c>
      <c r="I13" s="2" t="n">
        <v>1399</v>
      </c>
      <c r="J13" s="2" t="n">
        <v>101</v>
      </c>
      <c r="K13" s="2" t="inlineStr">
        <is>
          <t>gasolina</t>
        </is>
      </c>
      <c r="L13" s="2" t="inlineStr">
        <is>
          <t>utilitario</t>
        </is>
      </c>
      <c r="M13" s="2" t="n">
        <v>2009</v>
      </c>
      <c r="N13" s="2" t="n">
        <v>121000</v>
      </c>
      <c r="O13" s="2" t="n">
        <v>3800</v>
      </c>
      <c r="P13" s="2" t="inlineStr">
        <is>
          <t>manual</t>
        </is>
      </c>
      <c r="Q13" s="2" t="inlineStr">
        <is>
          <t>no</t>
        </is>
      </c>
      <c r="R13" s="2" t="inlineStr">
        <is>
          <t>particular</t>
        </is>
      </c>
      <c r="S13" s="2" t="inlineStr">
        <is>
          <t>València (46006)</t>
        </is>
      </c>
      <c r="T13" s="2" t="n"/>
      <c r="U13" s="2" t="n">
        <v>5</v>
      </c>
      <c r="V13" s="2" t="inlineStr">
        <is>
          <t>sí</t>
        </is>
      </c>
      <c r="W13" s="2" t="inlineStr">
        <is>
          <t>sí</t>
        </is>
      </c>
      <c r="X13" s="2" t="n"/>
      <c r="Y13" s="2" t="n"/>
      <c r="Z13" s="2" t="n"/>
      <c r="AA13" s="2" t="n"/>
      <c r="AB13" s="2" t="n"/>
      <c r="AC13" s="2" t="n"/>
      <c r="AD13" s="2" t="n"/>
      <c r="AE13" s="2" t="n"/>
      <c r="AF13" s="2" t="n"/>
      <c r="AG13" s="2" t="n"/>
      <c r="AH13" s="2" t="n"/>
      <c r="AI13" s="2" t="n"/>
      <c r="AJ13" s="2" t="n"/>
      <c r="AK13" s="2" t="n"/>
      <c r="AL13" s="2" t="n"/>
      <c r="AM13" s="2" t="n">
        <v>1.4</v>
      </c>
      <c r="AN13" s="2" t="n"/>
      <c r="AO13" s="2" t="inlineStr">
        <is>
          <t>cuota fija ITP: &gt;12 años, hasta 1.500 cc; fiabilidad del modelo PENDIENTE de fuente (puntuación neutra)</t>
        </is>
      </c>
      <c r="AP13" s="2" t="inlineStr">
        <is>
          <t>ITV hasta enero del 2027, mantenimiento al día, impecable de todo tanto de pintura como de mecánica</t>
        </is>
      </c>
      <c r="AQ13" s="2" t="inlineStr">
        <is>
          <t>https://www.autoscout24.es/anuncios/chevrolet-aveo-aveo-1-4-16v-ls-ls-gasolina-blanco-cat_ma19mo18685-10ad7f0c-c270-4daf-8b53-d4973d7d0201 (__NEXT_DATA__ listingDetails) /home/user/Alopecia/buscador-coches/raw/autoscout24/06ab9d01a2dbe980.json</t>
        </is>
      </c>
      <c r="AR13" s="3">
        <f>MAX(ANIO_ACTUAL-M13,0)</f>
        <v/>
      </c>
      <c r="AS13" s="4">
        <f>N13/MAX(AR13,0.5)</f>
        <v/>
      </c>
      <c r="AT13" s="4">
        <f>F13</f>
        <v/>
      </c>
      <c r="AU13" s="3">
        <f>AT13&amp;"|"&amp;INT(M13/SEG_ANIO)*SEG_ANIO</f>
        <v/>
      </c>
      <c r="AV13" s="3">
        <f>AU13&amp;"|"&amp;INT(N13/SEG_KM)*SEG_KM</f>
        <v/>
      </c>
      <c r="AW13" s="4">
        <f>COUNTIF($AT$2:$AT$39,AT13)</f>
        <v/>
      </c>
      <c r="AX13" s="4">
        <f>COUNTIF($AU$2:$AU$39,AU13)</f>
        <v/>
      </c>
      <c r="AY13" s="4">
        <f>COUNTIF($AV$2:$AV$39,AV13)</f>
        <v/>
      </c>
      <c r="AZ13" s="3">
        <f t="array" ref="AZ13">IF(AY13&gt;=MIN_N,MEDIAN(IF($AV$2:$AV$39=AV13,$O$2:$O$39)),IF(AX13&gt;=MIN_N,MEDIAN(IF($AU$2:$AU$39=AU13,$O$2:$O$39)),MEDIAN(IF($AT$2:$AT$39=AT13,$O$2:$O$39))))</f>
        <v/>
      </c>
      <c r="BA13" s="3">
        <f>IF(AY13&gt;=MIN_N,"modelo+año+km",IF(AX13&gt;=MIN_N,"modelo+año","modelo"))</f>
        <v/>
      </c>
      <c r="BB13" s="4">
        <f>(AZ13-O13)/AZ13</f>
        <v/>
      </c>
      <c r="BC13" s="3">
        <f>IF(OR(K13="hibrido",K13="glp"),"ECO",IF(K13="electrico","CERO",IF(K13="gasolina",IF(M13&gt;=GAS_C,"C",IF(M13&gt;=GAS_B,"B","A")),IF(K13="diesel",IF(M13&gt;=DIE_C,"C",IF(M13&gt;=DIE_B,"B","A")),""))))</f>
        <v/>
      </c>
      <c r="BD13" s="3">
        <f>IFERROR(VLOOKUP(F13,MOD_TBL,11,0),IFERROR(VLOOKUP(E13,OCU_TBL,2,0),NEUTRO))</f>
        <v/>
      </c>
      <c r="BE13" s="3">
        <f>SUMIFS(MOT_AJUSTE,MOT_MOTOR,G13,MOT_MARCA,E13,MOT_DESDE,"&lt;="&amp;M13,MOT_HASTA,"&gt;="&amp;M13)+SUMIFS(MOT_AJUSTE,MOT_MOTOR,G13,MOT_MARCA,"(todas)",MOT_DESDE,"&lt;="&amp;M13,MOT_HASTA,"&gt;="&amp;M13)</f>
        <v/>
      </c>
      <c r="BF13" s="3">
        <f>SUMIFS(COMB_AJUSTE,COMB_COMB,K13)</f>
        <v/>
      </c>
      <c r="BG13" s="4">
        <f>MAX(0,MIN(100,BD13+BE13+BF13))</f>
        <v/>
      </c>
      <c r="BH13" s="3">
        <f>MAX(0,MIN(100,50+BB13*PRECIO_PEND))</f>
        <v/>
      </c>
      <c r="BI13" s="3">
        <f>MAX(0,100*(1-N13/KM_MAX))</f>
        <v/>
      </c>
      <c r="BJ13" s="3">
        <f>IF(AS13&lt;KMA_SOSP,IF(AA13="sí",100,KMA_PEN),IF(AS13&lt;=KMA_IDEAL_MAX,100,MAX(0,100*(KMA_CERO-AS13)/(KMA_CERO-KMA_IDEAL_MAX))))</f>
        <v/>
      </c>
      <c r="BK13" s="3">
        <f>MAX(0,MIN(100,100*(M13-ANIO_MIN)/(ANIO_ACTUAL-ANIO_MIN)))</f>
        <v/>
      </c>
      <c r="BL13" s="3">
        <f>W_KMT*BI13+W_KMA*BJ13+W_EDAD*BK13</f>
        <v/>
      </c>
      <c r="BM13" s="3">
        <f>P_ITV*(V13="sí")+P_LIBRO*(W13="sí")+P_CORREA*(X13="sí")+P_PROP*(Y13=1)+P_GAR*(Z13="sí")+P_FOTOS*MIN(1,N(U13)/FOTOS_OBJ)</f>
        <v/>
      </c>
      <c r="BN13" s="3">
        <f>IFERROR(VLOOKUP(BC13,ETQ_TBL,2,0),NEUTRO)</f>
        <v/>
      </c>
      <c r="BO13" s="3">
        <f>NEUTRO</f>
        <v/>
      </c>
      <c r="BP13" s="3">
        <f>IFERROR(VLOOKUP(L13,SEGURO_TBL,3,0),"")</f>
        <v/>
      </c>
      <c r="BQ13" s="3">
        <f>IF(BP13="",NEUTRO,MAX(0,MIN(100,100*(SEG_REF_MAX-BP13)/(SEG_REF_MAX-SEG_REF_MIN))))</f>
        <v/>
      </c>
      <c r="BR13" s="3">
        <f>W_ET*BN13+W_CONS*BO13+W_SEG*BQ13</f>
        <v/>
      </c>
      <c r="BS13" s="3">
        <f>IF(N(AB13)&gt;0,AB13,IF(AND(R13="profesional",SG_LEGAL_ON=1),GAR_LEGAL,0))</f>
        <v/>
      </c>
      <c r="BT13" s="3">
        <f>SG_GAR*MIN(1,BS13/SG_GAR_FULL)+SG_AMPL*(AC13="sí")+SG_KMC*(AF13="sí")+SG_REV*(N(AE13)&gt;0)+SG_DEV*MIN(1,N(AG13)/SG_DEV_FULL)+SG_HIST*(W13="sí")</f>
        <v/>
      </c>
      <c r="BU13" s="3">
        <f>W_FIAB*BG13+W_PRECIO*BH13+W_KMEDAD*BL13+W_ANUNCIO*BM13+W_USO*BR13+W_SEGURIDAD*BT13</f>
        <v/>
      </c>
      <c r="BV13" s="4">
        <f>IF(N(I13)&gt;0,I13,IFERROR(ROUND(_xlfn.NUMBERVALUE(LEFT(G13,FIND(" ",G13&amp;" ")-1),".")*1000,0),99999))</f>
        <v/>
      </c>
      <c r="BW13" s="3">
        <f>IF(R13="profesional",0,IF(O13&lt;CUOTA_VALOR_MAX,IF(AR13&gt;ITP_TRAMO_ALTO,SUMIFS(CF_CUOTA,CF_MAS,ITP_TRAMO_ALTO,CF_CCMIN,"&lt;="&amp;BV13,CF_CCMAX,"&gt;="&amp;BV13),IF(AR13&gt;ITP_TRAMO_BAJO,SUMIFS(CF_CUOTA,CF_MAS,ITP_TRAMO_BAJO,CF_CCMIN,"&lt;="&amp;BV13,CF_CCMAX,"&gt;="&amp;BV13),O13*ITP_TIPO)),O13*ITP_TIPO))</f>
        <v/>
      </c>
      <c r="BX13" s="4">
        <f>IF(R13="profesional",N(AK13),0)</f>
        <v/>
      </c>
      <c r="BY13" s="3">
        <f>IF(AND(R13="profesional",ISNUMBER(AK13),AL13="sí"),0,TASA_DGT)</f>
        <v/>
      </c>
      <c r="BZ13" s="3">
        <f>INFORME_DGT</f>
        <v/>
      </c>
      <c r="CA13" s="4">
        <f>O13+BX13+BW13+BY13+BZ13</f>
        <v/>
      </c>
      <c r="CB13" s="4">
        <f>CA13+N(BP13)</f>
        <v/>
      </c>
      <c r="CC13" s="3">
        <f>IF(CA13&lt;=TOTAL_MAX,"sí","no")</f>
        <v/>
      </c>
      <c r="CD13" s="4">
        <f>IF(CC13="sí",COUNTIFS($CC$2:$CC$39,"sí",$BU$2:$BU$39,"&gt;"&amp;BU13)+COUNTIFS($CC$2:CC13,"sí",$BU$2:BU13,BU13),"")</f>
        <v/>
      </c>
    </row>
    <row r="14">
      <c r="A14" s="2" t="inlineStr">
        <is>
          <t>wallapop:1254410344</t>
        </is>
      </c>
      <c r="B14" s="2" t="inlineStr">
        <is>
          <t>wallapop</t>
        </is>
      </c>
      <c r="C14" s="2" t="inlineStr">
        <is>
          <t>https://es.wallapop.com/item/toyota-prius-2009-1254410344</t>
        </is>
      </c>
      <c r="D14" s="2" t="inlineStr">
        <is>
          <t>Toyota Prius 2009</t>
        </is>
      </c>
      <c r="E14" s="2" t="inlineStr">
        <is>
          <t>Toyota</t>
        </is>
      </c>
      <c r="F14" s="2" t="inlineStr">
        <is>
          <t>Toyota Prius</t>
        </is>
      </c>
      <c r="G14" s="2" t="inlineStr">
        <is>
          <t>1.8 Hybrid</t>
        </is>
      </c>
      <c r="H14" s="2" t="inlineStr">
        <is>
          <t>1.8 136 HSD Advance 5p</t>
        </is>
      </c>
      <c r="I14" s="2" t="n"/>
      <c r="J14" s="2" t="n">
        <v>136</v>
      </c>
      <c r="K14" s="2" t="inlineStr">
        <is>
          <t>hibrido</t>
        </is>
      </c>
      <c r="L14" s="2" t="inlineStr">
        <is>
          <t>compacto</t>
        </is>
      </c>
      <c r="M14" s="2" t="n">
        <v>2009</v>
      </c>
      <c r="N14" s="2" t="n">
        <v>70000</v>
      </c>
      <c r="O14" s="2" t="n">
        <v>3999</v>
      </c>
      <c r="P14" s="2" t="inlineStr">
        <is>
          <t>automatico</t>
        </is>
      </c>
      <c r="Q14" s="2" t="inlineStr">
        <is>
          <t>sí</t>
        </is>
      </c>
      <c r="R14" s="2" t="inlineStr">
        <is>
          <t>particular</t>
        </is>
      </c>
      <c r="S14" s="2" t="inlineStr">
        <is>
          <t>Valencia (46002)</t>
        </is>
      </c>
      <c r="T14" s="2" t="inlineStr">
        <is>
          <t>2026-10-08T19:28:02</t>
        </is>
      </c>
      <c r="U14" s="2" t="n">
        <v>8</v>
      </c>
      <c r="V14" s="2" t="n"/>
      <c r="W14" s="2" t="n"/>
      <c r="X14" s="2" t="n"/>
      <c r="Y14" s="2" t="n"/>
      <c r="Z14" s="2" t="n"/>
      <c r="AA14" s="2" t="n"/>
      <c r="AB14" s="2" t="n"/>
      <c r="AC14" s="2" t="n"/>
      <c r="AD14" s="2" t="n"/>
      <c r="AE14" s="2" t="n"/>
      <c r="AF14" s="2" t="n"/>
      <c r="AG14" s="2" t="n"/>
      <c r="AH14" s="2" t="n"/>
      <c r="AI14" s="2" t="n"/>
      <c r="AJ14" s="2" t="n"/>
      <c r="AK14" s="2" t="n"/>
      <c r="AL14" s="2" t="n"/>
      <c r="AM14" s="2" t="n">
        <v>0.9</v>
      </c>
      <c r="AN14" s="2" t="n"/>
      <c r="AO14" s="2" t="inlineStr">
        <is>
          <t>cuota fija ITP: &gt;12 años, 1.501-2.000 cc; mediana con solo 1 anuncio(s)</t>
        </is>
      </c>
      <c r="AP14" s="2" t="inlineStr">
        <is>
          <t xml:space="preserve">Sin catalizador.(350€ en desguace) Le falta la marca toyota delantera como se ve en la foto y parachoques delantero para reparar o cambiar de ( desguace 150€ )Por lo demás en perfecto estado. Sin problemas, con motor cambiado de 70.000 km carroceria 490.000 km y bateria hibrida cambiada. Fue taxi. Muy bien cuidado
</t>
        </is>
      </c>
      <c r="AQ14" s="2" t="inlineStr">
        <is>
          <t>https://es.wallapop.com/item/toyota-prius-2009-1254410344 (__NEXT_DATA__ item) /home/user/Alopecia/buscador-coches/raw/wallapop/830f984b89666fd2.json</t>
        </is>
      </c>
      <c r="AR14" s="3">
        <f>MAX(ANIO_ACTUAL-M14,0)</f>
        <v/>
      </c>
      <c r="AS14" s="4">
        <f>N14/MAX(AR14,0.5)</f>
        <v/>
      </c>
      <c r="AT14" s="4">
        <f>F14</f>
        <v/>
      </c>
      <c r="AU14" s="3">
        <f>AT14&amp;"|"&amp;INT(M14/SEG_ANIO)*SEG_ANIO</f>
        <v/>
      </c>
      <c r="AV14" s="3">
        <f>AU14&amp;"|"&amp;INT(N14/SEG_KM)*SEG_KM</f>
        <v/>
      </c>
      <c r="AW14" s="4">
        <f>COUNTIF($AT$2:$AT$39,AT14)</f>
        <v/>
      </c>
      <c r="AX14" s="4">
        <f>COUNTIF($AU$2:$AU$39,AU14)</f>
        <v/>
      </c>
      <c r="AY14" s="4">
        <f>COUNTIF($AV$2:$AV$39,AV14)</f>
        <v/>
      </c>
      <c r="AZ14" s="3">
        <f t="array" ref="AZ14">IF(AY14&gt;=MIN_N,MEDIAN(IF($AV$2:$AV$39=AV14,$O$2:$O$39)),IF(AX14&gt;=MIN_N,MEDIAN(IF($AU$2:$AU$39=AU14,$O$2:$O$39)),MEDIAN(IF($AT$2:$AT$39=AT14,$O$2:$O$39))))</f>
        <v/>
      </c>
      <c r="BA14" s="3">
        <f>IF(AY14&gt;=MIN_N,"modelo+año+km",IF(AX14&gt;=MIN_N,"modelo+año","modelo"))</f>
        <v/>
      </c>
      <c r="BB14" s="4">
        <f>(AZ14-O14)/AZ14</f>
        <v/>
      </c>
      <c r="BC14" s="3">
        <f>IF(OR(K14="hibrido",K14="glp"),"ECO",IF(K14="electrico","CERO",IF(K14="gasolina",IF(M14&gt;=GAS_C,"C",IF(M14&gt;=GAS_B,"B","A")),IF(K14="diesel",IF(M14&gt;=DIE_C,"C",IF(M14&gt;=DIE_B,"B","A")),""))))</f>
        <v/>
      </c>
      <c r="BD14" s="3">
        <f>IFERROR(VLOOKUP(F14,MOD_TBL,11,0),IFERROR(VLOOKUP(E14,OCU_TBL,2,0),NEUTRO))</f>
        <v/>
      </c>
      <c r="BE14" s="3">
        <f>SUMIFS(MOT_AJUSTE,MOT_MOTOR,G14,MOT_MARCA,E14,MOT_DESDE,"&lt;="&amp;M14,MOT_HASTA,"&gt;="&amp;M14)+SUMIFS(MOT_AJUSTE,MOT_MOTOR,G14,MOT_MARCA,"(todas)",MOT_DESDE,"&lt;="&amp;M14,MOT_HASTA,"&gt;="&amp;M14)</f>
        <v/>
      </c>
      <c r="BF14" s="3">
        <f>SUMIFS(COMB_AJUSTE,COMB_COMB,K14)</f>
        <v/>
      </c>
      <c r="BG14" s="4">
        <f>MAX(0,MIN(100,BD14+BE14+BF14))</f>
        <v/>
      </c>
      <c r="BH14" s="3">
        <f>MAX(0,MIN(100,50+BB14*PRECIO_PEND))</f>
        <v/>
      </c>
      <c r="BI14" s="3">
        <f>MAX(0,100*(1-N14/KM_MAX))</f>
        <v/>
      </c>
      <c r="BJ14" s="3">
        <f>IF(AS14&lt;KMA_SOSP,IF(AA14="sí",100,KMA_PEN),IF(AS14&lt;=KMA_IDEAL_MAX,100,MAX(0,100*(KMA_CERO-AS14)/(KMA_CERO-KMA_IDEAL_MAX))))</f>
        <v/>
      </c>
      <c r="BK14" s="3">
        <f>MAX(0,MIN(100,100*(M14-ANIO_MIN)/(ANIO_ACTUAL-ANIO_MIN)))</f>
        <v/>
      </c>
      <c r="BL14" s="3">
        <f>W_KMT*BI14+W_KMA*BJ14+W_EDAD*BK14</f>
        <v/>
      </c>
      <c r="BM14" s="3">
        <f>P_ITV*(V14="sí")+P_LIBRO*(W14="sí")+P_CORREA*(X14="sí")+P_PROP*(Y14=1)+P_GAR*(Z14="sí")+P_FOTOS*MIN(1,N(U14)/FOTOS_OBJ)</f>
        <v/>
      </c>
      <c r="BN14" s="3">
        <f>IFERROR(VLOOKUP(BC14,ETQ_TBL,2,0),NEUTRO)</f>
        <v/>
      </c>
      <c r="BO14" s="3">
        <f>NEUTRO</f>
        <v/>
      </c>
      <c r="BP14" s="3">
        <f>IFERROR(VLOOKUP(L14,SEGURO_TBL,3,0),"")</f>
        <v/>
      </c>
      <c r="BQ14" s="3">
        <f>IF(BP14="",NEUTRO,MAX(0,MIN(100,100*(SEG_REF_MAX-BP14)/(SEG_REF_MAX-SEG_REF_MIN))))</f>
        <v/>
      </c>
      <c r="BR14" s="3">
        <f>W_ET*BN14+W_CONS*BO14+W_SEG*BQ14</f>
        <v/>
      </c>
      <c r="BS14" s="3">
        <f>IF(N(AB14)&gt;0,AB14,IF(AND(R14="profesional",SG_LEGAL_ON=1),GAR_LEGAL,0))</f>
        <v/>
      </c>
      <c r="BT14" s="3">
        <f>SG_GAR*MIN(1,BS14/SG_GAR_FULL)+SG_AMPL*(AC14="sí")+SG_KMC*(AF14="sí")+SG_REV*(N(AE14)&gt;0)+SG_DEV*MIN(1,N(AG14)/SG_DEV_FULL)+SG_HIST*(W14="sí")</f>
        <v/>
      </c>
      <c r="BU14" s="3">
        <f>W_FIAB*BG14+W_PRECIO*BH14+W_KMEDAD*BL14+W_ANUNCIO*BM14+W_USO*BR14+W_SEGURIDAD*BT14</f>
        <v/>
      </c>
      <c r="BV14" s="4">
        <f>IF(N(I14)&gt;0,I14,IFERROR(ROUND(_xlfn.NUMBERVALUE(LEFT(G14,FIND(" ",G14&amp;" ")-1),".")*1000,0),99999))</f>
        <v/>
      </c>
      <c r="BW14" s="3">
        <f>IF(R14="profesional",0,IF(O14&lt;CUOTA_VALOR_MAX,IF(AR14&gt;ITP_TRAMO_ALTO,SUMIFS(CF_CUOTA,CF_MAS,ITP_TRAMO_ALTO,CF_CCMIN,"&lt;="&amp;BV14,CF_CCMAX,"&gt;="&amp;BV14),IF(AR14&gt;ITP_TRAMO_BAJO,SUMIFS(CF_CUOTA,CF_MAS,ITP_TRAMO_BAJO,CF_CCMIN,"&lt;="&amp;BV14,CF_CCMAX,"&gt;="&amp;BV14),O14*ITP_TIPO)),O14*ITP_TIPO))</f>
        <v/>
      </c>
      <c r="BX14" s="4">
        <f>IF(R14="profesional",N(AK14),0)</f>
        <v/>
      </c>
      <c r="BY14" s="3">
        <f>IF(AND(R14="profesional",ISNUMBER(AK14),AL14="sí"),0,TASA_DGT)</f>
        <v/>
      </c>
      <c r="BZ14" s="3">
        <f>INFORME_DGT</f>
        <v/>
      </c>
      <c r="CA14" s="4">
        <f>O14+BX14+BW14+BY14+BZ14</f>
        <v/>
      </c>
      <c r="CB14" s="4">
        <f>CA14+N(BP14)</f>
        <v/>
      </c>
      <c r="CC14" s="3">
        <f>IF(CA14&lt;=TOTAL_MAX,"sí","no")</f>
        <v/>
      </c>
      <c r="CD14" s="4">
        <f>IF(CC14="sí",COUNTIFS($CC$2:$CC$39,"sí",$BU$2:$BU$39,"&gt;"&amp;BU14)+COUNTIFS($CC$2:CC14,"sí",$BU$2:BU14,BU14),"")</f>
        <v/>
      </c>
    </row>
    <row r="15">
      <c r="A15" s="2" t="inlineStr">
        <is>
          <t>wallapop:1306889282</t>
        </is>
      </c>
      <c r="B15" s="2" t="inlineStr">
        <is>
          <t>wallapop</t>
        </is>
      </c>
      <c r="C15" s="2" t="inlineStr">
        <is>
          <t>https://es.wallapop.com/item/hyundai-i10-2008-1306889282</t>
        </is>
      </c>
      <c r="D15" s="2" t="inlineStr">
        <is>
          <t>Hyundai i10 2008</t>
        </is>
      </c>
      <c r="E15" s="2" t="inlineStr">
        <is>
          <t>Hyundai</t>
        </is>
      </c>
      <c r="F15" s="2" t="inlineStr">
        <is>
          <t>Hyundai i10</t>
        </is>
      </c>
      <c r="G15" s="2" t="inlineStr">
        <is>
          <t>1.1</t>
        </is>
      </c>
      <c r="H15" s="2" t="inlineStr">
        <is>
          <t>1.1 66 Classic 5p</t>
        </is>
      </c>
      <c r="I15" s="2" t="n"/>
      <c r="J15" s="2" t="n">
        <v>66</v>
      </c>
      <c r="K15" s="2" t="inlineStr">
        <is>
          <t>gasolina</t>
        </is>
      </c>
      <c r="L15" s="2" t="inlineStr">
        <is>
          <t>utilitario</t>
        </is>
      </c>
      <c r="M15" s="2" t="n">
        <v>2008</v>
      </c>
      <c r="N15" s="2" t="n">
        <v>133000</v>
      </c>
      <c r="O15" s="2" t="n">
        <v>3300</v>
      </c>
      <c r="P15" s="2" t="inlineStr">
        <is>
          <t>manual</t>
        </is>
      </c>
      <c r="Q15" s="2" t="inlineStr">
        <is>
          <t>no</t>
        </is>
      </c>
      <c r="R15" s="2" t="inlineStr">
        <is>
          <t>particular</t>
        </is>
      </c>
      <c r="S15" s="2" t="inlineStr">
        <is>
          <t>Valencia (46002)</t>
        </is>
      </c>
      <c r="T15" s="2" t="inlineStr">
        <is>
          <t>2026-10-22T18:44:25</t>
        </is>
      </c>
      <c r="U15" s="2" t="n">
        <v>4</v>
      </c>
      <c r="V15" s="2" t="n"/>
      <c r="W15" s="2" t="n"/>
      <c r="X15" s="2" t="inlineStr">
        <is>
          <t>sí</t>
        </is>
      </c>
      <c r="Y15" s="2" t="n"/>
      <c r="Z15" s="2" t="n"/>
      <c r="AA15" s="2" t="n"/>
      <c r="AB15" s="2" t="n"/>
      <c r="AC15" s="2" t="n"/>
      <c r="AD15" s="2" t="n"/>
      <c r="AE15" s="2" t="n"/>
      <c r="AF15" s="2" t="n"/>
      <c r="AG15" s="2" t="n"/>
      <c r="AH15" s="2" t="n"/>
      <c r="AI15" s="2" t="n"/>
      <c r="AJ15" s="2" t="n"/>
      <c r="AK15" s="2" t="n"/>
      <c r="AL15" s="2" t="n"/>
      <c r="AM15" s="2" t="n">
        <v>0.3</v>
      </c>
      <c r="AN15" s="2" t="n"/>
      <c r="AO15" s="2" t="inlineStr">
        <is>
          <t>cuota fija ITP: &gt;12 años, hasta 1.500 cc; mediana con solo 1 anuncio(s)</t>
        </is>
      </c>
      <c r="AP15" s="2" t="inlineStr">
        <is>
          <t xml:space="preserve">Coche muy cuco, recién pasada la ITV, mecánica en perfecto estado. Correa distribución cambiada a los 130000km. Precio negociable, razonable. </t>
        </is>
      </c>
      <c r="AQ15" s="2" t="inlineStr">
        <is>
          <t>https://es.wallapop.com/item/hyundai-i10-2008-1306889282 (__NEXT_DATA__ item) /home/user/Alopecia/buscador-coches/raw/wallapop/4d32262f32fcc6c8.json</t>
        </is>
      </c>
      <c r="AR15" s="3">
        <f>MAX(ANIO_ACTUAL-M15,0)</f>
        <v/>
      </c>
      <c r="AS15" s="4">
        <f>N15/MAX(AR15,0.5)</f>
        <v/>
      </c>
      <c r="AT15" s="4">
        <f>F15</f>
        <v/>
      </c>
      <c r="AU15" s="3">
        <f>AT15&amp;"|"&amp;INT(M15/SEG_ANIO)*SEG_ANIO</f>
        <v/>
      </c>
      <c r="AV15" s="3">
        <f>AU15&amp;"|"&amp;INT(N15/SEG_KM)*SEG_KM</f>
        <v/>
      </c>
      <c r="AW15" s="4">
        <f>COUNTIF($AT$2:$AT$39,AT15)</f>
        <v/>
      </c>
      <c r="AX15" s="4">
        <f>COUNTIF($AU$2:$AU$39,AU15)</f>
        <v/>
      </c>
      <c r="AY15" s="4">
        <f>COUNTIF($AV$2:$AV$39,AV15)</f>
        <v/>
      </c>
      <c r="AZ15" s="3">
        <f t="array" ref="AZ15">IF(AY15&gt;=MIN_N,MEDIAN(IF($AV$2:$AV$39=AV15,$O$2:$O$39)),IF(AX15&gt;=MIN_N,MEDIAN(IF($AU$2:$AU$39=AU15,$O$2:$O$39)),MEDIAN(IF($AT$2:$AT$39=AT15,$O$2:$O$39))))</f>
        <v/>
      </c>
      <c r="BA15" s="3">
        <f>IF(AY15&gt;=MIN_N,"modelo+año+km",IF(AX15&gt;=MIN_N,"modelo+año","modelo"))</f>
        <v/>
      </c>
      <c r="BB15" s="4">
        <f>(AZ15-O15)/AZ15</f>
        <v/>
      </c>
      <c r="BC15" s="3">
        <f>IF(OR(K15="hibrido",K15="glp"),"ECO",IF(K15="electrico","CERO",IF(K15="gasolina",IF(M15&gt;=GAS_C,"C",IF(M15&gt;=GAS_B,"B","A")),IF(K15="diesel",IF(M15&gt;=DIE_C,"C",IF(M15&gt;=DIE_B,"B","A")),""))))</f>
        <v/>
      </c>
      <c r="BD15" s="3">
        <f>IFERROR(VLOOKUP(F15,MOD_TBL,11,0),IFERROR(VLOOKUP(E15,OCU_TBL,2,0),NEUTRO))</f>
        <v/>
      </c>
      <c r="BE15" s="3">
        <f>SUMIFS(MOT_AJUSTE,MOT_MOTOR,G15,MOT_MARCA,E15,MOT_DESDE,"&lt;="&amp;M15,MOT_HASTA,"&gt;="&amp;M15)+SUMIFS(MOT_AJUSTE,MOT_MOTOR,G15,MOT_MARCA,"(todas)",MOT_DESDE,"&lt;="&amp;M15,MOT_HASTA,"&gt;="&amp;M15)</f>
        <v/>
      </c>
      <c r="BF15" s="3">
        <f>SUMIFS(COMB_AJUSTE,COMB_COMB,K15)</f>
        <v/>
      </c>
      <c r="BG15" s="4">
        <f>MAX(0,MIN(100,BD15+BE15+BF15))</f>
        <v/>
      </c>
      <c r="BH15" s="3">
        <f>MAX(0,MIN(100,50+BB15*PRECIO_PEND))</f>
        <v/>
      </c>
      <c r="BI15" s="3">
        <f>MAX(0,100*(1-N15/KM_MAX))</f>
        <v/>
      </c>
      <c r="BJ15" s="3">
        <f>IF(AS15&lt;KMA_SOSP,IF(AA15="sí",100,KMA_PEN),IF(AS15&lt;=KMA_IDEAL_MAX,100,MAX(0,100*(KMA_CERO-AS15)/(KMA_CERO-KMA_IDEAL_MAX))))</f>
        <v/>
      </c>
      <c r="BK15" s="3">
        <f>MAX(0,MIN(100,100*(M15-ANIO_MIN)/(ANIO_ACTUAL-ANIO_MIN)))</f>
        <v/>
      </c>
      <c r="BL15" s="3">
        <f>W_KMT*BI15+W_KMA*BJ15+W_EDAD*BK15</f>
        <v/>
      </c>
      <c r="BM15" s="3">
        <f>P_ITV*(V15="sí")+P_LIBRO*(W15="sí")+P_CORREA*(X15="sí")+P_PROP*(Y15=1)+P_GAR*(Z15="sí")+P_FOTOS*MIN(1,N(U15)/FOTOS_OBJ)</f>
        <v/>
      </c>
      <c r="BN15" s="3">
        <f>IFERROR(VLOOKUP(BC15,ETQ_TBL,2,0),NEUTRO)</f>
        <v/>
      </c>
      <c r="BO15" s="3">
        <f>NEUTRO</f>
        <v/>
      </c>
      <c r="BP15" s="3">
        <f>IFERROR(VLOOKUP(L15,SEGURO_TBL,3,0),"")</f>
        <v/>
      </c>
      <c r="BQ15" s="3">
        <f>IF(BP15="",NEUTRO,MAX(0,MIN(100,100*(SEG_REF_MAX-BP15)/(SEG_REF_MAX-SEG_REF_MIN))))</f>
        <v/>
      </c>
      <c r="BR15" s="3">
        <f>W_ET*BN15+W_CONS*BO15+W_SEG*BQ15</f>
        <v/>
      </c>
      <c r="BS15" s="3">
        <f>IF(N(AB15)&gt;0,AB15,IF(AND(R15="profesional",SG_LEGAL_ON=1),GAR_LEGAL,0))</f>
        <v/>
      </c>
      <c r="BT15" s="3">
        <f>SG_GAR*MIN(1,BS15/SG_GAR_FULL)+SG_AMPL*(AC15="sí")+SG_KMC*(AF15="sí")+SG_REV*(N(AE15)&gt;0)+SG_DEV*MIN(1,N(AG15)/SG_DEV_FULL)+SG_HIST*(W15="sí")</f>
        <v/>
      </c>
      <c r="BU15" s="3">
        <f>W_FIAB*BG15+W_PRECIO*BH15+W_KMEDAD*BL15+W_ANUNCIO*BM15+W_USO*BR15+W_SEGURIDAD*BT15</f>
        <v/>
      </c>
      <c r="BV15" s="4">
        <f>IF(N(I15)&gt;0,I15,IFERROR(ROUND(_xlfn.NUMBERVALUE(LEFT(G15,FIND(" ",G15&amp;" ")-1),".")*1000,0),99999))</f>
        <v/>
      </c>
      <c r="BW15" s="3">
        <f>IF(R15="profesional",0,IF(O15&lt;CUOTA_VALOR_MAX,IF(AR15&gt;ITP_TRAMO_ALTO,SUMIFS(CF_CUOTA,CF_MAS,ITP_TRAMO_ALTO,CF_CCMIN,"&lt;="&amp;BV15,CF_CCMAX,"&gt;="&amp;BV15),IF(AR15&gt;ITP_TRAMO_BAJO,SUMIFS(CF_CUOTA,CF_MAS,ITP_TRAMO_BAJO,CF_CCMIN,"&lt;="&amp;BV15,CF_CCMAX,"&gt;="&amp;BV15),O15*ITP_TIPO)),O15*ITP_TIPO))</f>
        <v/>
      </c>
      <c r="BX15" s="4">
        <f>IF(R15="profesional",N(AK15),0)</f>
        <v/>
      </c>
      <c r="BY15" s="3">
        <f>IF(AND(R15="profesional",ISNUMBER(AK15),AL15="sí"),0,TASA_DGT)</f>
        <v/>
      </c>
      <c r="BZ15" s="3">
        <f>INFORME_DGT</f>
        <v/>
      </c>
      <c r="CA15" s="4">
        <f>O15+BX15+BW15+BY15+BZ15</f>
        <v/>
      </c>
      <c r="CB15" s="4">
        <f>CA15+N(BP15)</f>
        <v/>
      </c>
      <c r="CC15" s="3">
        <f>IF(CA15&lt;=TOTAL_MAX,"sí","no")</f>
        <v/>
      </c>
      <c r="CD15" s="4">
        <f>IF(CC15="sí",COUNTIFS($CC$2:$CC$39,"sí",$BU$2:$BU$39,"&gt;"&amp;BU15)+COUNTIFS($CC$2:CC15,"sí",$BU$2:BU15,BU15),"")</f>
        <v/>
      </c>
    </row>
    <row r="16">
      <c r="A16" s="2" t="inlineStr">
        <is>
          <t>wallapop:1303258356</t>
        </is>
      </c>
      <c r="B16" s="2" t="inlineStr">
        <is>
          <t>wallapop</t>
        </is>
      </c>
      <c r="C16" s="2" t="inlineStr">
        <is>
          <t>https://es.wallapop.com/item/hyundai-i30-2009-1303258356</t>
        </is>
      </c>
      <c r="D16" s="2" t="inlineStr">
        <is>
          <t>Hyundai i30 2009</t>
        </is>
      </c>
      <c r="E16" s="2" t="inlineStr">
        <is>
          <t>Hyundai</t>
        </is>
      </c>
      <c r="F16" s="2" t="inlineStr">
        <is>
          <t>Hyundai i30</t>
        </is>
      </c>
      <c r="G16" s="2" t="inlineStr">
        <is>
          <t>1.4</t>
        </is>
      </c>
      <c r="H16" s="2" t="inlineStr">
        <is>
          <t>1.4 109 Classic 5p</t>
        </is>
      </c>
      <c r="I16" s="2" t="n"/>
      <c r="J16" s="2" t="n">
        <v>109</v>
      </c>
      <c r="K16" s="2" t="inlineStr">
        <is>
          <t>gasolina</t>
        </is>
      </c>
      <c r="L16" s="2" t="inlineStr">
        <is>
          <t>compacto</t>
        </is>
      </c>
      <c r="M16" s="2" t="n">
        <v>2009</v>
      </c>
      <c r="N16" s="2" t="n">
        <v>177000</v>
      </c>
      <c r="O16" s="2" t="n">
        <v>4000</v>
      </c>
      <c r="P16" s="2" t="inlineStr">
        <is>
          <t>manual</t>
        </is>
      </c>
      <c r="Q16" s="2" t="inlineStr">
        <is>
          <t>no</t>
        </is>
      </c>
      <c r="R16" s="2" t="inlineStr">
        <is>
          <t>particular</t>
        </is>
      </c>
      <c r="S16" s="2" t="inlineStr">
        <is>
          <t>Valencia (46018)</t>
        </is>
      </c>
      <c r="T16" s="2" t="inlineStr">
        <is>
          <t>2026-10-21T07:05:34</t>
        </is>
      </c>
      <c r="U16" s="2" t="n">
        <v>3</v>
      </c>
      <c r="V16" s="2" t="n"/>
      <c r="W16" s="2" t="n"/>
      <c r="X16" s="2" t="n"/>
      <c r="Y16" s="2" t="n"/>
      <c r="Z16" s="2" t="n"/>
      <c r="AA16" s="2" t="n"/>
      <c r="AB16" s="2" t="n"/>
      <c r="AC16" s="2" t="n"/>
      <c r="AD16" s="2" t="n"/>
      <c r="AE16" s="2" t="n"/>
      <c r="AF16" s="2" t="n"/>
      <c r="AG16" s="2" t="n"/>
      <c r="AH16" s="2" t="n"/>
      <c r="AI16" s="2" t="n"/>
      <c r="AJ16" s="2" t="n"/>
      <c r="AK16" s="2" t="n"/>
      <c r="AL16" s="2" t="n"/>
      <c r="AM16" s="2" t="n">
        <v>1.2</v>
      </c>
      <c r="AN16" s="2" t="n"/>
      <c r="AO16" s="2" t="inlineStr">
        <is>
          <t>cuota fija ITP: &gt;12 años, hasta 1.500 cc; mediana con solo 1 anuncio(s)</t>
        </is>
      </c>
      <c r="AP16" s="2" t="inlineStr">
        <is>
          <t xml:space="preserve">
Hyundai I30 en Valencia</t>
        </is>
      </c>
      <c r="AQ16" s="2" t="inlineStr">
        <is>
          <t>https://es.wallapop.com/item/hyundai-i30-2009-1303258356 (__NEXT_DATA__ item) /home/user/Alopecia/buscador-coches/raw/wallapop/275a620999c29339.json</t>
        </is>
      </c>
      <c r="AR16" s="3">
        <f>MAX(ANIO_ACTUAL-M16,0)</f>
        <v/>
      </c>
      <c r="AS16" s="4">
        <f>N16/MAX(AR16,0.5)</f>
        <v/>
      </c>
      <c r="AT16" s="4">
        <f>F16</f>
        <v/>
      </c>
      <c r="AU16" s="3">
        <f>AT16&amp;"|"&amp;INT(M16/SEG_ANIO)*SEG_ANIO</f>
        <v/>
      </c>
      <c r="AV16" s="3">
        <f>AU16&amp;"|"&amp;INT(N16/SEG_KM)*SEG_KM</f>
        <v/>
      </c>
      <c r="AW16" s="4">
        <f>COUNTIF($AT$2:$AT$39,AT16)</f>
        <v/>
      </c>
      <c r="AX16" s="4">
        <f>COUNTIF($AU$2:$AU$39,AU16)</f>
        <v/>
      </c>
      <c r="AY16" s="4">
        <f>COUNTIF($AV$2:$AV$39,AV16)</f>
        <v/>
      </c>
      <c r="AZ16" s="3">
        <f t="array" ref="AZ16">IF(AY16&gt;=MIN_N,MEDIAN(IF($AV$2:$AV$39=AV16,$O$2:$O$39)),IF(AX16&gt;=MIN_N,MEDIAN(IF($AU$2:$AU$39=AU16,$O$2:$O$39)),MEDIAN(IF($AT$2:$AT$39=AT16,$O$2:$O$39))))</f>
        <v/>
      </c>
      <c r="BA16" s="3">
        <f>IF(AY16&gt;=MIN_N,"modelo+año+km",IF(AX16&gt;=MIN_N,"modelo+año","modelo"))</f>
        <v/>
      </c>
      <c r="BB16" s="4">
        <f>(AZ16-O16)/AZ16</f>
        <v/>
      </c>
      <c r="BC16" s="3">
        <f>IF(OR(K16="hibrido",K16="glp"),"ECO",IF(K16="electrico","CERO",IF(K16="gasolina",IF(M16&gt;=GAS_C,"C",IF(M16&gt;=GAS_B,"B","A")),IF(K16="diesel",IF(M16&gt;=DIE_C,"C",IF(M16&gt;=DIE_B,"B","A")),""))))</f>
        <v/>
      </c>
      <c r="BD16" s="3">
        <f>IFERROR(VLOOKUP(F16,MOD_TBL,11,0),IFERROR(VLOOKUP(E16,OCU_TBL,2,0),NEUTRO))</f>
        <v/>
      </c>
      <c r="BE16" s="3">
        <f>SUMIFS(MOT_AJUSTE,MOT_MOTOR,G16,MOT_MARCA,E16,MOT_DESDE,"&lt;="&amp;M16,MOT_HASTA,"&gt;="&amp;M16)+SUMIFS(MOT_AJUSTE,MOT_MOTOR,G16,MOT_MARCA,"(todas)",MOT_DESDE,"&lt;="&amp;M16,MOT_HASTA,"&gt;="&amp;M16)</f>
        <v/>
      </c>
      <c r="BF16" s="3">
        <f>SUMIFS(COMB_AJUSTE,COMB_COMB,K16)</f>
        <v/>
      </c>
      <c r="BG16" s="4">
        <f>MAX(0,MIN(100,BD16+BE16+BF16))</f>
        <v/>
      </c>
      <c r="BH16" s="3">
        <f>MAX(0,MIN(100,50+BB16*PRECIO_PEND))</f>
        <v/>
      </c>
      <c r="BI16" s="3">
        <f>MAX(0,100*(1-N16/KM_MAX))</f>
        <v/>
      </c>
      <c r="BJ16" s="3">
        <f>IF(AS16&lt;KMA_SOSP,IF(AA16="sí",100,KMA_PEN),IF(AS16&lt;=KMA_IDEAL_MAX,100,MAX(0,100*(KMA_CERO-AS16)/(KMA_CERO-KMA_IDEAL_MAX))))</f>
        <v/>
      </c>
      <c r="BK16" s="3">
        <f>MAX(0,MIN(100,100*(M16-ANIO_MIN)/(ANIO_ACTUAL-ANIO_MIN)))</f>
        <v/>
      </c>
      <c r="BL16" s="3">
        <f>W_KMT*BI16+W_KMA*BJ16+W_EDAD*BK16</f>
        <v/>
      </c>
      <c r="BM16" s="3">
        <f>P_ITV*(V16="sí")+P_LIBRO*(W16="sí")+P_CORREA*(X16="sí")+P_PROP*(Y16=1)+P_GAR*(Z16="sí")+P_FOTOS*MIN(1,N(U16)/FOTOS_OBJ)</f>
        <v/>
      </c>
      <c r="BN16" s="3">
        <f>IFERROR(VLOOKUP(BC16,ETQ_TBL,2,0),NEUTRO)</f>
        <v/>
      </c>
      <c r="BO16" s="3">
        <f>NEUTRO</f>
        <v/>
      </c>
      <c r="BP16" s="3">
        <f>IFERROR(VLOOKUP(L16,SEGURO_TBL,3,0),"")</f>
        <v/>
      </c>
      <c r="BQ16" s="3">
        <f>IF(BP16="",NEUTRO,MAX(0,MIN(100,100*(SEG_REF_MAX-BP16)/(SEG_REF_MAX-SEG_REF_MIN))))</f>
        <v/>
      </c>
      <c r="BR16" s="3">
        <f>W_ET*BN16+W_CONS*BO16+W_SEG*BQ16</f>
        <v/>
      </c>
      <c r="BS16" s="3">
        <f>IF(N(AB16)&gt;0,AB16,IF(AND(R16="profesional",SG_LEGAL_ON=1),GAR_LEGAL,0))</f>
        <v/>
      </c>
      <c r="BT16" s="3">
        <f>SG_GAR*MIN(1,BS16/SG_GAR_FULL)+SG_AMPL*(AC16="sí")+SG_KMC*(AF16="sí")+SG_REV*(N(AE16)&gt;0)+SG_DEV*MIN(1,N(AG16)/SG_DEV_FULL)+SG_HIST*(W16="sí")</f>
        <v/>
      </c>
      <c r="BU16" s="3">
        <f>W_FIAB*BG16+W_PRECIO*BH16+W_KMEDAD*BL16+W_ANUNCIO*BM16+W_USO*BR16+W_SEGURIDAD*BT16</f>
        <v/>
      </c>
      <c r="BV16" s="4">
        <f>IF(N(I16)&gt;0,I16,IFERROR(ROUND(_xlfn.NUMBERVALUE(LEFT(G16,FIND(" ",G16&amp;" ")-1),".")*1000,0),99999))</f>
        <v/>
      </c>
      <c r="BW16" s="3">
        <f>IF(R16="profesional",0,IF(O16&lt;CUOTA_VALOR_MAX,IF(AR16&gt;ITP_TRAMO_ALTO,SUMIFS(CF_CUOTA,CF_MAS,ITP_TRAMO_ALTO,CF_CCMIN,"&lt;="&amp;BV16,CF_CCMAX,"&gt;="&amp;BV16),IF(AR16&gt;ITP_TRAMO_BAJO,SUMIFS(CF_CUOTA,CF_MAS,ITP_TRAMO_BAJO,CF_CCMIN,"&lt;="&amp;BV16,CF_CCMAX,"&gt;="&amp;BV16),O16*ITP_TIPO)),O16*ITP_TIPO))</f>
        <v/>
      </c>
      <c r="BX16" s="4">
        <f>IF(R16="profesional",N(AK16),0)</f>
        <v/>
      </c>
      <c r="BY16" s="3">
        <f>IF(AND(R16="profesional",ISNUMBER(AK16),AL16="sí"),0,TASA_DGT)</f>
        <v/>
      </c>
      <c r="BZ16" s="3">
        <f>INFORME_DGT</f>
        <v/>
      </c>
      <c r="CA16" s="4">
        <f>O16+BX16+BW16+BY16+BZ16</f>
        <v/>
      </c>
      <c r="CB16" s="4">
        <f>CA16+N(BP16)</f>
        <v/>
      </c>
      <c r="CC16" s="3">
        <f>IF(CA16&lt;=TOTAL_MAX,"sí","no")</f>
        <v/>
      </c>
      <c r="CD16" s="4">
        <f>IF(CC16="sí",COUNTIFS($CC$2:$CC$39,"sí",$BU$2:$BU$39,"&gt;"&amp;BU16)+COUNTIFS($CC$2:CC16,"sí",$BU$2:BU16,BU16),"")</f>
        <v/>
      </c>
    </row>
    <row r="17">
      <c r="A17" s="2" t="inlineStr">
        <is>
          <t>wallapop:1310385297</t>
        </is>
      </c>
      <c r="B17" s="2" t="inlineStr">
        <is>
          <t>wallapop</t>
        </is>
      </c>
      <c r="C17" s="2" t="inlineStr">
        <is>
          <t>https://es.wallapop.com/item/opel-corsa-2008-1310385297</t>
        </is>
      </c>
      <c r="D17" s="2" t="inlineStr">
        <is>
          <t>Opel Corsa 2008</t>
        </is>
      </c>
      <c r="E17" s="2" t="inlineStr">
        <is>
          <t>Opel</t>
        </is>
      </c>
      <c r="F17" s="2" t="inlineStr">
        <is>
          <t>Opel Corsa</t>
        </is>
      </c>
      <c r="G17" s="2" t="inlineStr">
        <is>
          <t>1.4</t>
        </is>
      </c>
      <c r="H17" s="2" t="inlineStr">
        <is>
          <t>1.4 90 C Mon 3p</t>
        </is>
      </c>
      <c r="I17" s="2" t="n"/>
      <c r="J17" s="2" t="n">
        <v>90</v>
      </c>
      <c r="K17" s="2" t="inlineStr">
        <is>
          <t>gasolina</t>
        </is>
      </c>
      <c r="L17" s="2" t="inlineStr">
        <is>
          <t>utilitario</t>
        </is>
      </c>
      <c r="M17" s="2" t="n">
        <v>2008</v>
      </c>
      <c r="N17" s="2" t="n">
        <v>185000</v>
      </c>
      <c r="O17" s="2" t="n">
        <v>2399</v>
      </c>
      <c r="P17" s="2" t="inlineStr">
        <is>
          <t>manual</t>
        </is>
      </c>
      <c r="Q17" s="2" t="inlineStr">
        <is>
          <t>no</t>
        </is>
      </c>
      <c r="R17" s="2" t="inlineStr">
        <is>
          <t>particular</t>
        </is>
      </c>
      <c r="S17" s="2" t="inlineStr">
        <is>
          <t>Valencia (46002)</t>
        </is>
      </c>
      <c r="T17" s="2" t="inlineStr">
        <is>
          <t>2026-10-13T09:25:00</t>
        </is>
      </c>
      <c r="U17" s="2" t="n">
        <v>10</v>
      </c>
      <c r="V17" s="2" t="inlineStr">
        <is>
          <t>sí</t>
        </is>
      </c>
      <c r="W17" s="2" t="n"/>
      <c r="X17" s="2" t="n"/>
      <c r="Y17" s="2" t="n"/>
      <c r="Z17" s="2" t="n"/>
      <c r="AA17" s="2" t="n"/>
      <c r="AB17" s="2" t="n"/>
      <c r="AC17" s="2" t="n"/>
      <c r="AD17" s="2" t="n"/>
      <c r="AE17" s="2" t="n"/>
      <c r="AF17" s="2" t="n"/>
      <c r="AG17" s="2" t="n"/>
      <c r="AH17" s="2" t="n"/>
      <c r="AI17" s="2" t="n"/>
      <c r="AJ17" s="2" t="n"/>
      <c r="AK17" s="2" t="n"/>
      <c r="AL17" s="2" t="n"/>
      <c r="AM17" s="2" t="n">
        <v>0</v>
      </c>
      <c r="AN17" s="2" t="n"/>
      <c r="AO17" s="2" t="inlineStr">
        <is>
          <t>cuota fija ITP: &gt;12 años, hasta 1.500 cc</t>
        </is>
      </c>
      <c r="AP17" s="2" t="inlineStr">
        <is>
          <t xml:space="preserve">Se vende opel corsa 1.4i coche fiable y robusto, itv hasta julio de 27 un utilitario para el dia dia, ya que tiene un consumo contenido y no tiene tendencia a las averias. 
Tiene techo solar, aire acondicionado, elevalunas electricos, control cruzero cierre centralizado. No es un coche de alta gama pero si un coche funcional.
Se encuentra en la poblacion de benifaio, cambio de nombre incluido en el precio.
Cualquier duda la respondere encantado.
Gancho:
Golf focus ford mondeo audi diesel gasolina dci tdi sdi cdti 1.9 2.0 meriva astra lupo polo clio megane a3 a4 fiesta </t>
        </is>
      </c>
      <c r="AQ17" s="2" t="inlineStr">
        <is>
          <t>https://es.wallapop.com/item/opel-corsa-2008-1310385297 (__NEXT_DATA__ item) /home/user/Alopecia/buscador-coches/raw/wallapop/01eab1cf519f8463.json</t>
        </is>
      </c>
      <c r="AR17" s="3">
        <f>MAX(ANIO_ACTUAL-M17,0)</f>
        <v/>
      </c>
      <c r="AS17" s="4">
        <f>N17/MAX(AR17,0.5)</f>
        <v/>
      </c>
      <c r="AT17" s="4">
        <f>F17</f>
        <v/>
      </c>
      <c r="AU17" s="3">
        <f>AT17&amp;"|"&amp;INT(M17/SEG_ANIO)*SEG_ANIO</f>
        <v/>
      </c>
      <c r="AV17" s="3">
        <f>AU17&amp;"|"&amp;INT(N17/SEG_KM)*SEG_KM</f>
        <v/>
      </c>
      <c r="AW17" s="4">
        <f>COUNTIF($AT$2:$AT$39,AT17)</f>
        <v/>
      </c>
      <c r="AX17" s="4">
        <f>COUNTIF($AU$2:$AU$39,AU17)</f>
        <v/>
      </c>
      <c r="AY17" s="4">
        <f>COUNTIF($AV$2:$AV$39,AV17)</f>
        <v/>
      </c>
      <c r="AZ17" s="3">
        <f t="array" ref="AZ17">IF(AY17&gt;=MIN_N,MEDIAN(IF($AV$2:$AV$39=AV17,$O$2:$O$39)),IF(AX17&gt;=MIN_N,MEDIAN(IF($AU$2:$AU$39=AU17,$O$2:$O$39)),MEDIAN(IF($AT$2:$AT$39=AT17,$O$2:$O$39))))</f>
        <v/>
      </c>
      <c r="BA17" s="3">
        <f>IF(AY17&gt;=MIN_N,"modelo+año+km",IF(AX17&gt;=MIN_N,"modelo+año","modelo"))</f>
        <v/>
      </c>
      <c r="BB17" s="4">
        <f>(AZ17-O17)/AZ17</f>
        <v/>
      </c>
      <c r="BC17" s="3">
        <f>IF(OR(K17="hibrido",K17="glp"),"ECO",IF(K17="electrico","CERO",IF(K17="gasolina",IF(M17&gt;=GAS_C,"C",IF(M17&gt;=GAS_B,"B","A")),IF(K17="diesel",IF(M17&gt;=DIE_C,"C",IF(M17&gt;=DIE_B,"B","A")),""))))</f>
        <v/>
      </c>
      <c r="BD17" s="3">
        <f>IFERROR(VLOOKUP(F17,MOD_TBL,11,0),IFERROR(VLOOKUP(E17,OCU_TBL,2,0),NEUTRO))</f>
        <v/>
      </c>
      <c r="BE17" s="3">
        <f>SUMIFS(MOT_AJUSTE,MOT_MOTOR,G17,MOT_MARCA,E17,MOT_DESDE,"&lt;="&amp;M17,MOT_HASTA,"&gt;="&amp;M17)+SUMIFS(MOT_AJUSTE,MOT_MOTOR,G17,MOT_MARCA,"(todas)",MOT_DESDE,"&lt;="&amp;M17,MOT_HASTA,"&gt;="&amp;M17)</f>
        <v/>
      </c>
      <c r="BF17" s="3">
        <f>SUMIFS(COMB_AJUSTE,COMB_COMB,K17)</f>
        <v/>
      </c>
      <c r="BG17" s="4">
        <f>MAX(0,MIN(100,BD17+BE17+BF17))</f>
        <v/>
      </c>
      <c r="BH17" s="3">
        <f>MAX(0,MIN(100,50+BB17*PRECIO_PEND))</f>
        <v/>
      </c>
      <c r="BI17" s="3">
        <f>MAX(0,100*(1-N17/KM_MAX))</f>
        <v/>
      </c>
      <c r="BJ17" s="3">
        <f>IF(AS17&lt;KMA_SOSP,IF(AA17="sí",100,KMA_PEN),IF(AS17&lt;=KMA_IDEAL_MAX,100,MAX(0,100*(KMA_CERO-AS17)/(KMA_CERO-KMA_IDEAL_MAX))))</f>
        <v/>
      </c>
      <c r="BK17" s="3">
        <f>MAX(0,MIN(100,100*(M17-ANIO_MIN)/(ANIO_ACTUAL-ANIO_MIN)))</f>
        <v/>
      </c>
      <c r="BL17" s="3">
        <f>W_KMT*BI17+W_KMA*BJ17+W_EDAD*BK17</f>
        <v/>
      </c>
      <c r="BM17" s="3">
        <f>P_ITV*(V17="sí")+P_LIBRO*(W17="sí")+P_CORREA*(X17="sí")+P_PROP*(Y17=1)+P_GAR*(Z17="sí")+P_FOTOS*MIN(1,N(U17)/FOTOS_OBJ)</f>
        <v/>
      </c>
      <c r="BN17" s="3">
        <f>IFERROR(VLOOKUP(BC17,ETQ_TBL,2,0),NEUTRO)</f>
        <v/>
      </c>
      <c r="BO17" s="3">
        <f>NEUTRO</f>
        <v/>
      </c>
      <c r="BP17" s="3">
        <f>IFERROR(VLOOKUP(L17,SEGURO_TBL,3,0),"")</f>
        <v/>
      </c>
      <c r="BQ17" s="3">
        <f>IF(BP17="",NEUTRO,MAX(0,MIN(100,100*(SEG_REF_MAX-BP17)/(SEG_REF_MAX-SEG_REF_MIN))))</f>
        <v/>
      </c>
      <c r="BR17" s="3">
        <f>W_ET*BN17+W_CONS*BO17+W_SEG*BQ17</f>
        <v/>
      </c>
      <c r="BS17" s="3">
        <f>IF(N(AB17)&gt;0,AB17,IF(AND(R17="profesional",SG_LEGAL_ON=1),GAR_LEGAL,0))</f>
        <v/>
      </c>
      <c r="BT17" s="3">
        <f>SG_GAR*MIN(1,BS17/SG_GAR_FULL)+SG_AMPL*(AC17="sí")+SG_KMC*(AF17="sí")+SG_REV*(N(AE17)&gt;0)+SG_DEV*MIN(1,N(AG17)/SG_DEV_FULL)+SG_HIST*(W17="sí")</f>
        <v/>
      </c>
      <c r="BU17" s="3">
        <f>W_FIAB*BG17+W_PRECIO*BH17+W_KMEDAD*BL17+W_ANUNCIO*BM17+W_USO*BR17+W_SEGURIDAD*BT17</f>
        <v/>
      </c>
      <c r="BV17" s="4">
        <f>IF(N(I17)&gt;0,I17,IFERROR(ROUND(_xlfn.NUMBERVALUE(LEFT(G17,FIND(" ",G17&amp;" ")-1),".")*1000,0),99999))</f>
        <v/>
      </c>
      <c r="BW17" s="3">
        <f>IF(R17="profesional",0,IF(O17&lt;CUOTA_VALOR_MAX,IF(AR17&gt;ITP_TRAMO_ALTO,SUMIFS(CF_CUOTA,CF_MAS,ITP_TRAMO_ALTO,CF_CCMIN,"&lt;="&amp;BV17,CF_CCMAX,"&gt;="&amp;BV17),IF(AR17&gt;ITP_TRAMO_BAJO,SUMIFS(CF_CUOTA,CF_MAS,ITP_TRAMO_BAJO,CF_CCMIN,"&lt;="&amp;BV17,CF_CCMAX,"&gt;="&amp;BV17),O17*ITP_TIPO)),O17*ITP_TIPO))</f>
        <v/>
      </c>
      <c r="BX17" s="4">
        <f>IF(R17="profesional",N(AK17),0)</f>
        <v/>
      </c>
      <c r="BY17" s="3">
        <f>IF(AND(R17="profesional",ISNUMBER(AK17),AL17="sí"),0,TASA_DGT)</f>
        <v/>
      </c>
      <c r="BZ17" s="3">
        <f>INFORME_DGT</f>
        <v/>
      </c>
      <c r="CA17" s="4">
        <f>O17+BX17+BW17+BY17+BZ17</f>
        <v/>
      </c>
      <c r="CB17" s="4">
        <f>CA17+N(BP17)</f>
        <v/>
      </c>
      <c r="CC17" s="3">
        <f>IF(CA17&lt;=TOTAL_MAX,"sí","no")</f>
        <v/>
      </c>
      <c r="CD17" s="4">
        <f>IF(CC17="sí",COUNTIFS($CC$2:$CC$39,"sí",$BU$2:$BU$39,"&gt;"&amp;BU17)+COUNTIFS($CC$2:CC17,"sí",$BU$2:BU17,BU17),"")</f>
        <v/>
      </c>
    </row>
    <row r="18">
      <c r="A18" s="2" t="inlineStr">
        <is>
          <t>wallapop:1318223085</t>
        </is>
      </c>
      <c r="B18" s="2" t="inlineStr">
        <is>
          <t>wallapop</t>
        </is>
      </c>
      <c r="C18" s="2" t="inlineStr">
        <is>
          <t>https://es.wallapop.com/item/opel-corsa-2009-1318223085</t>
        </is>
      </c>
      <c r="D18" s="2" t="inlineStr">
        <is>
          <t>Opel  Corsa 2009</t>
        </is>
      </c>
      <c r="E18" s="2" t="inlineStr">
        <is>
          <t>Opel</t>
        </is>
      </c>
      <c r="F18" s="2" t="inlineStr">
        <is>
          <t>Opel Corsa</t>
        </is>
      </c>
      <c r="G18" s="2" t="n"/>
      <c r="H18" s="2" t="n"/>
      <c r="I18" s="2" t="n"/>
      <c r="J18" s="2" t="n">
        <v>90</v>
      </c>
      <c r="K18" s="2" t="inlineStr">
        <is>
          <t>gasolina</t>
        </is>
      </c>
      <c r="L18" s="2" t="inlineStr">
        <is>
          <t>utilitario</t>
        </is>
      </c>
      <c r="M18" s="2" t="n">
        <v>2009</v>
      </c>
      <c r="N18" s="2" t="n">
        <v>118857</v>
      </c>
      <c r="O18" s="2" t="n">
        <v>3600</v>
      </c>
      <c r="P18" s="2" t="inlineStr">
        <is>
          <t>manual</t>
        </is>
      </c>
      <c r="Q18" s="2" t="inlineStr">
        <is>
          <t>no</t>
        </is>
      </c>
      <c r="R18" s="2" t="inlineStr">
        <is>
          <t>particular</t>
        </is>
      </c>
      <c r="S18" s="2" t="inlineStr">
        <is>
          <t>Valencia (46026)</t>
        </is>
      </c>
      <c r="T18" s="2" t="inlineStr">
        <is>
          <t>2026-10-28T18:33:29</t>
        </is>
      </c>
      <c r="U18" s="2" t="n">
        <v>8</v>
      </c>
      <c r="V18" s="2" t="n"/>
      <c r="W18" s="2" t="n"/>
      <c r="X18" s="2" t="n"/>
      <c r="Y18" s="2" t="n"/>
      <c r="Z18" s="2" t="n"/>
      <c r="AA18" s="2" t="n"/>
      <c r="AB18" s="2" t="n"/>
      <c r="AC18" s="2" t="n"/>
      <c r="AD18" s="2" t="n"/>
      <c r="AE18" s="2" t="n"/>
      <c r="AF18" s="2" t="n"/>
      <c r="AG18" s="2" t="n"/>
      <c r="AH18" s="2" t="n"/>
      <c r="AI18" s="2" t="n"/>
      <c r="AJ18" s="2" t="n"/>
      <c r="AK18" s="2" t="n"/>
      <c r="AL18" s="2" t="n"/>
      <c r="AM18" s="2" t="n">
        <v>2.8</v>
      </c>
      <c r="AN18" s="2" t="n"/>
      <c r="AO18" s="2" t="inlineStr">
        <is>
          <t>cilindrada desconocida: se aplica el tramo de cuota fija más alto; cuota fija ITP: &gt;12 años, más de 2.000 cc</t>
        </is>
      </c>
      <c r="AP18" s="2" t="inlineStr">
        <is>
          <t xml:space="preserve">Tiene bloqueo de volante, parrot para llamadas y control crucero </t>
        </is>
      </c>
      <c r="AQ18" s="2" t="inlineStr">
        <is>
          <t>https://es.wallapop.com/item/opel-corsa-2009-1318223085 (__NEXT_DATA__ item) /home/user/Alopecia/buscador-coches/raw/wallapop/2a391b383404390b.json</t>
        </is>
      </c>
      <c r="AR18" s="3">
        <f>MAX(ANIO_ACTUAL-M18,0)</f>
        <v/>
      </c>
      <c r="AS18" s="4">
        <f>N18/MAX(AR18,0.5)</f>
        <v/>
      </c>
      <c r="AT18" s="4">
        <f>F18</f>
        <v/>
      </c>
      <c r="AU18" s="3">
        <f>AT18&amp;"|"&amp;INT(M18/SEG_ANIO)*SEG_ANIO</f>
        <v/>
      </c>
      <c r="AV18" s="3">
        <f>AU18&amp;"|"&amp;INT(N18/SEG_KM)*SEG_KM</f>
        <v/>
      </c>
      <c r="AW18" s="4">
        <f>COUNTIF($AT$2:$AT$39,AT18)</f>
        <v/>
      </c>
      <c r="AX18" s="4">
        <f>COUNTIF($AU$2:$AU$39,AU18)</f>
        <v/>
      </c>
      <c r="AY18" s="4">
        <f>COUNTIF($AV$2:$AV$39,AV18)</f>
        <v/>
      </c>
      <c r="AZ18" s="3">
        <f t="array" ref="AZ18">IF(AY18&gt;=MIN_N,MEDIAN(IF($AV$2:$AV$39=AV18,$O$2:$O$39)),IF(AX18&gt;=MIN_N,MEDIAN(IF($AU$2:$AU$39=AU18,$O$2:$O$39)),MEDIAN(IF($AT$2:$AT$39=AT18,$O$2:$O$39))))</f>
        <v/>
      </c>
      <c r="BA18" s="3">
        <f>IF(AY18&gt;=MIN_N,"modelo+año+km",IF(AX18&gt;=MIN_N,"modelo+año","modelo"))</f>
        <v/>
      </c>
      <c r="BB18" s="4">
        <f>(AZ18-O18)/AZ18</f>
        <v/>
      </c>
      <c r="BC18" s="3">
        <f>IF(OR(K18="hibrido",K18="glp"),"ECO",IF(K18="electrico","CERO",IF(K18="gasolina",IF(M18&gt;=GAS_C,"C",IF(M18&gt;=GAS_B,"B","A")),IF(K18="diesel",IF(M18&gt;=DIE_C,"C",IF(M18&gt;=DIE_B,"B","A")),""))))</f>
        <v/>
      </c>
      <c r="BD18" s="3">
        <f>IFERROR(VLOOKUP(F18,MOD_TBL,11,0),IFERROR(VLOOKUP(E18,OCU_TBL,2,0),NEUTRO))</f>
        <v/>
      </c>
      <c r="BE18" s="3">
        <f>SUMIFS(MOT_AJUSTE,MOT_MOTOR,G18,MOT_MARCA,E18,MOT_DESDE,"&lt;="&amp;M18,MOT_HASTA,"&gt;="&amp;M18)+SUMIFS(MOT_AJUSTE,MOT_MOTOR,G18,MOT_MARCA,"(todas)",MOT_DESDE,"&lt;="&amp;M18,MOT_HASTA,"&gt;="&amp;M18)</f>
        <v/>
      </c>
      <c r="BF18" s="3">
        <f>SUMIFS(COMB_AJUSTE,COMB_COMB,K18)</f>
        <v/>
      </c>
      <c r="BG18" s="4">
        <f>MAX(0,MIN(100,BD18+BE18+BF18))</f>
        <v/>
      </c>
      <c r="BH18" s="3">
        <f>MAX(0,MIN(100,50+BB18*PRECIO_PEND))</f>
        <v/>
      </c>
      <c r="BI18" s="3">
        <f>MAX(0,100*(1-N18/KM_MAX))</f>
        <v/>
      </c>
      <c r="BJ18" s="3">
        <f>IF(AS18&lt;KMA_SOSP,IF(AA18="sí",100,KMA_PEN),IF(AS18&lt;=KMA_IDEAL_MAX,100,MAX(0,100*(KMA_CERO-AS18)/(KMA_CERO-KMA_IDEAL_MAX))))</f>
        <v/>
      </c>
      <c r="BK18" s="3">
        <f>MAX(0,MIN(100,100*(M18-ANIO_MIN)/(ANIO_ACTUAL-ANIO_MIN)))</f>
        <v/>
      </c>
      <c r="BL18" s="3">
        <f>W_KMT*BI18+W_KMA*BJ18+W_EDAD*BK18</f>
        <v/>
      </c>
      <c r="BM18" s="3">
        <f>P_ITV*(V18="sí")+P_LIBRO*(W18="sí")+P_CORREA*(X18="sí")+P_PROP*(Y18=1)+P_GAR*(Z18="sí")+P_FOTOS*MIN(1,N(U18)/FOTOS_OBJ)</f>
        <v/>
      </c>
      <c r="BN18" s="3">
        <f>IFERROR(VLOOKUP(BC18,ETQ_TBL,2,0),NEUTRO)</f>
        <v/>
      </c>
      <c r="BO18" s="3">
        <f>NEUTRO</f>
        <v/>
      </c>
      <c r="BP18" s="3">
        <f>IFERROR(VLOOKUP(L18,SEGURO_TBL,3,0),"")</f>
        <v/>
      </c>
      <c r="BQ18" s="3">
        <f>IF(BP18="",NEUTRO,MAX(0,MIN(100,100*(SEG_REF_MAX-BP18)/(SEG_REF_MAX-SEG_REF_MIN))))</f>
        <v/>
      </c>
      <c r="BR18" s="3">
        <f>W_ET*BN18+W_CONS*BO18+W_SEG*BQ18</f>
        <v/>
      </c>
      <c r="BS18" s="3">
        <f>IF(N(AB18)&gt;0,AB18,IF(AND(R18="profesional",SG_LEGAL_ON=1),GAR_LEGAL,0))</f>
        <v/>
      </c>
      <c r="BT18" s="3">
        <f>SG_GAR*MIN(1,BS18/SG_GAR_FULL)+SG_AMPL*(AC18="sí")+SG_KMC*(AF18="sí")+SG_REV*(N(AE18)&gt;0)+SG_DEV*MIN(1,N(AG18)/SG_DEV_FULL)+SG_HIST*(W18="sí")</f>
        <v/>
      </c>
      <c r="BU18" s="3">
        <f>W_FIAB*BG18+W_PRECIO*BH18+W_KMEDAD*BL18+W_ANUNCIO*BM18+W_USO*BR18+W_SEGURIDAD*BT18</f>
        <v/>
      </c>
      <c r="BV18" s="4">
        <f>IF(N(I18)&gt;0,I18,IFERROR(ROUND(_xlfn.NUMBERVALUE(LEFT(G18,FIND(" ",G18&amp;" ")-1),".")*1000,0),99999))</f>
        <v/>
      </c>
      <c r="BW18" s="3">
        <f>IF(R18="profesional",0,IF(O18&lt;CUOTA_VALOR_MAX,IF(AR18&gt;ITP_TRAMO_ALTO,SUMIFS(CF_CUOTA,CF_MAS,ITP_TRAMO_ALTO,CF_CCMIN,"&lt;="&amp;BV18,CF_CCMAX,"&gt;="&amp;BV18),IF(AR18&gt;ITP_TRAMO_BAJO,SUMIFS(CF_CUOTA,CF_MAS,ITP_TRAMO_BAJO,CF_CCMIN,"&lt;="&amp;BV18,CF_CCMAX,"&gt;="&amp;BV18),O18*ITP_TIPO)),O18*ITP_TIPO))</f>
        <v/>
      </c>
      <c r="BX18" s="4">
        <f>IF(R18="profesional",N(AK18),0)</f>
        <v/>
      </c>
      <c r="BY18" s="3">
        <f>IF(AND(R18="profesional",ISNUMBER(AK18),AL18="sí"),0,TASA_DGT)</f>
        <v/>
      </c>
      <c r="BZ18" s="3">
        <f>INFORME_DGT</f>
        <v/>
      </c>
      <c r="CA18" s="4">
        <f>O18+BX18+BW18+BY18+BZ18</f>
        <v/>
      </c>
      <c r="CB18" s="4">
        <f>CA18+N(BP18)</f>
        <v/>
      </c>
      <c r="CC18" s="3">
        <f>IF(CA18&lt;=TOTAL_MAX,"sí","no")</f>
        <v/>
      </c>
      <c r="CD18" s="4">
        <f>IF(CC18="sí",COUNTIFS($CC$2:$CC$39,"sí",$BU$2:$BU$39,"&gt;"&amp;BU18)+COUNTIFS($CC$2:CC18,"sí",$BU$2:BU18,BU18),"")</f>
        <v/>
      </c>
    </row>
    <row r="19">
      <c r="A19" s="2" t="inlineStr">
        <is>
          <t>wallapop:1316461365</t>
        </is>
      </c>
      <c r="B19" s="2" t="inlineStr">
        <is>
          <t>wallapop</t>
        </is>
      </c>
      <c r="C19" s="2" t="inlineStr">
        <is>
          <t>https://es.wallapop.com/item/opel-corsa-d-2013-1316461365</t>
        </is>
      </c>
      <c r="D19" s="2" t="inlineStr">
        <is>
          <t>Opel corsa d 2013</t>
        </is>
      </c>
      <c r="E19" s="2" t="inlineStr">
        <is>
          <t>Opel</t>
        </is>
      </c>
      <c r="F19" s="2" t="inlineStr">
        <is>
          <t>Opel Corsa</t>
        </is>
      </c>
      <c r="G19" s="2" t="n"/>
      <c r="H19" s="2" t="n"/>
      <c r="I19" s="2" t="n"/>
      <c r="J19" s="2" t="n">
        <v>90</v>
      </c>
      <c r="K19" s="2" t="inlineStr">
        <is>
          <t>gasolina</t>
        </is>
      </c>
      <c r="L19" s="2" t="inlineStr">
        <is>
          <t>utilitario</t>
        </is>
      </c>
      <c r="M19" s="2" t="n">
        <v>2013</v>
      </c>
      <c r="N19" s="2" t="n">
        <v>208000</v>
      </c>
      <c r="O19" s="2" t="n">
        <v>4000</v>
      </c>
      <c r="P19" s="2" t="inlineStr">
        <is>
          <t>manual</t>
        </is>
      </c>
      <c r="Q19" s="2" t="inlineStr">
        <is>
          <t>no</t>
        </is>
      </c>
      <c r="R19" s="2" t="inlineStr">
        <is>
          <t>particular</t>
        </is>
      </c>
      <c r="S19" s="2" t="inlineStr">
        <is>
          <t>Valencia (46002)</t>
        </is>
      </c>
      <c r="T19" s="2" t="inlineStr">
        <is>
          <t>2026-10-27T19:35:38</t>
        </is>
      </c>
      <c r="U19" s="2" t="n">
        <v>10</v>
      </c>
      <c r="V19" s="2" t="n"/>
      <c r="W19" s="2" t="n"/>
      <c r="X19" s="2" t="n"/>
      <c r="Y19" s="2" t="n"/>
      <c r="Z19" s="2" t="n"/>
      <c r="AA19" s="2" t="n"/>
      <c r="AB19" s="2" t="n"/>
      <c r="AC19" s="2" t="n"/>
      <c r="AD19" s="2" t="n"/>
      <c r="AE19" s="2" t="n"/>
      <c r="AF19" s="2" t="n"/>
      <c r="AG19" s="2" t="n"/>
      <c r="AH19" s="2" t="n"/>
      <c r="AI19" s="2" t="n"/>
      <c r="AJ19" s="2" t="n"/>
      <c r="AK19" s="2" t="n"/>
      <c r="AL19" s="2" t="n"/>
      <c r="AM19" s="2" t="n">
        <v>0.4</v>
      </c>
      <c r="AN19" s="2" t="n"/>
      <c r="AO19" s="2" t="inlineStr">
        <is>
          <t>cilindrada desconocida: se aplica el tramo de cuota fija más alto; antigüedad en el límite del tramo: depende de la fecha exacta de matriculación; cuota fija ITP: &gt;12 años, más de 2.000 cc</t>
        </is>
      </c>
      <c r="AP19" s="2" t="inlineStr">
        <is>
          <t>Vendo Opel corsa D del año 2013 , cuenta con 208.300 km , tiene recién cambiado el aceite , filtro de aire , filtro de aceite y filtro de habitáculo, se le cambiaron las 2 bieletas, el embrague lo cambié hace 5 meses más o menos unos 4.500 km de ruedas está bien , motor a cadena impuestos al día , algún que otro detalle por algún roce, no hay que hacerle nada , mejor ver y probar , precio negociable .</t>
        </is>
      </c>
      <c r="AQ19" s="2" t="inlineStr">
        <is>
          <t>https://es.wallapop.com/item/opel-corsa-d-2013-1316461365 (__NEXT_DATA__ item) /home/user/Alopecia/buscador-coches/raw/wallapop/15045070d8c7f62b.json</t>
        </is>
      </c>
      <c r="AR19" s="3">
        <f>MAX(ANIO_ACTUAL-M19,0)</f>
        <v/>
      </c>
      <c r="AS19" s="4">
        <f>N19/MAX(AR19,0.5)</f>
        <v/>
      </c>
      <c r="AT19" s="4">
        <f>F19</f>
        <v/>
      </c>
      <c r="AU19" s="3">
        <f>AT19&amp;"|"&amp;INT(M19/SEG_ANIO)*SEG_ANIO</f>
        <v/>
      </c>
      <c r="AV19" s="3">
        <f>AU19&amp;"|"&amp;INT(N19/SEG_KM)*SEG_KM</f>
        <v/>
      </c>
      <c r="AW19" s="4">
        <f>COUNTIF($AT$2:$AT$39,AT19)</f>
        <v/>
      </c>
      <c r="AX19" s="4">
        <f>COUNTIF($AU$2:$AU$39,AU19)</f>
        <v/>
      </c>
      <c r="AY19" s="4">
        <f>COUNTIF($AV$2:$AV$39,AV19)</f>
        <v/>
      </c>
      <c r="AZ19" s="3">
        <f t="array" ref="AZ19">IF(AY19&gt;=MIN_N,MEDIAN(IF($AV$2:$AV$39=AV19,$O$2:$O$39)),IF(AX19&gt;=MIN_N,MEDIAN(IF($AU$2:$AU$39=AU19,$O$2:$O$39)),MEDIAN(IF($AT$2:$AT$39=AT19,$O$2:$O$39))))</f>
        <v/>
      </c>
      <c r="BA19" s="3">
        <f>IF(AY19&gt;=MIN_N,"modelo+año+km",IF(AX19&gt;=MIN_N,"modelo+año","modelo"))</f>
        <v/>
      </c>
      <c r="BB19" s="4">
        <f>(AZ19-O19)/AZ19</f>
        <v/>
      </c>
      <c r="BC19" s="3">
        <f>IF(OR(K19="hibrido",K19="glp"),"ECO",IF(K19="electrico","CERO",IF(K19="gasolina",IF(M19&gt;=GAS_C,"C",IF(M19&gt;=GAS_B,"B","A")),IF(K19="diesel",IF(M19&gt;=DIE_C,"C",IF(M19&gt;=DIE_B,"B","A")),""))))</f>
        <v/>
      </c>
      <c r="BD19" s="3">
        <f>IFERROR(VLOOKUP(F19,MOD_TBL,11,0),IFERROR(VLOOKUP(E19,OCU_TBL,2,0),NEUTRO))</f>
        <v/>
      </c>
      <c r="BE19" s="3">
        <f>SUMIFS(MOT_AJUSTE,MOT_MOTOR,G19,MOT_MARCA,E19,MOT_DESDE,"&lt;="&amp;M19,MOT_HASTA,"&gt;="&amp;M19)+SUMIFS(MOT_AJUSTE,MOT_MOTOR,G19,MOT_MARCA,"(todas)",MOT_DESDE,"&lt;="&amp;M19,MOT_HASTA,"&gt;="&amp;M19)</f>
        <v/>
      </c>
      <c r="BF19" s="3">
        <f>SUMIFS(COMB_AJUSTE,COMB_COMB,K19)</f>
        <v/>
      </c>
      <c r="BG19" s="4">
        <f>MAX(0,MIN(100,BD19+BE19+BF19))</f>
        <v/>
      </c>
      <c r="BH19" s="3">
        <f>MAX(0,MIN(100,50+BB19*PRECIO_PEND))</f>
        <v/>
      </c>
      <c r="BI19" s="3">
        <f>MAX(0,100*(1-N19/KM_MAX))</f>
        <v/>
      </c>
      <c r="BJ19" s="3">
        <f>IF(AS19&lt;KMA_SOSP,IF(AA19="sí",100,KMA_PEN),IF(AS19&lt;=KMA_IDEAL_MAX,100,MAX(0,100*(KMA_CERO-AS19)/(KMA_CERO-KMA_IDEAL_MAX))))</f>
        <v/>
      </c>
      <c r="BK19" s="3">
        <f>MAX(0,MIN(100,100*(M19-ANIO_MIN)/(ANIO_ACTUAL-ANIO_MIN)))</f>
        <v/>
      </c>
      <c r="BL19" s="3">
        <f>W_KMT*BI19+W_KMA*BJ19+W_EDAD*BK19</f>
        <v/>
      </c>
      <c r="BM19" s="3">
        <f>P_ITV*(V19="sí")+P_LIBRO*(W19="sí")+P_CORREA*(X19="sí")+P_PROP*(Y19=1)+P_GAR*(Z19="sí")+P_FOTOS*MIN(1,N(U19)/FOTOS_OBJ)</f>
        <v/>
      </c>
      <c r="BN19" s="3">
        <f>IFERROR(VLOOKUP(BC19,ETQ_TBL,2,0),NEUTRO)</f>
        <v/>
      </c>
      <c r="BO19" s="3">
        <f>NEUTRO</f>
        <v/>
      </c>
      <c r="BP19" s="3">
        <f>IFERROR(VLOOKUP(L19,SEGURO_TBL,3,0),"")</f>
        <v/>
      </c>
      <c r="BQ19" s="3">
        <f>IF(BP19="",NEUTRO,MAX(0,MIN(100,100*(SEG_REF_MAX-BP19)/(SEG_REF_MAX-SEG_REF_MIN))))</f>
        <v/>
      </c>
      <c r="BR19" s="3">
        <f>W_ET*BN19+W_CONS*BO19+W_SEG*BQ19</f>
        <v/>
      </c>
      <c r="BS19" s="3">
        <f>IF(N(AB19)&gt;0,AB19,IF(AND(R19="profesional",SG_LEGAL_ON=1),GAR_LEGAL,0))</f>
        <v/>
      </c>
      <c r="BT19" s="3">
        <f>SG_GAR*MIN(1,BS19/SG_GAR_FULL)+SG_AMPL*(AC19="sí")+SG_KMC*(AF19="sí")+SG_REV*(N(AE19)&gt;0)+SG_DEV*MIN(1,N(AG19)/SG_DEV_FULL)+SG_HIST*(W19="sí")</f>
        <v/>
      </c>
      <c r="BU19" s="3">
        <f>W_FIAB*BG19+W_PRECIO*BH19+W_KMEDAD*BL19+W_ANUNCIO*BM19+W_USO*BR19+W_SEGURIDAD*BT19</f>
        <v/>
      </c>
      <c r="BV19" s="4">
        <f>IF(N(I19)&gt;0,I19,IFERROR(ROUND(_xlfn.NUMBERVALUE(LEFT(G19,FIND(" ",G19&amp;" ")-1),".")*1000,0),99999))</f>
        <v/>
      </c>
      <c r="BW19" s="3">
        <f>IF(R19="profesional",0,IF(O19&lt;CUOTA_VALOR_MAX,IF(AR19&gt;ITP_TRAMO_ALTO,SUMIFS(CF_CUOTA,CF_MAS,ITP_TRAMO_ALTO,CF_CCMIN,"&lt;="&amp;BV19,CF_CCMAX,"&gt;="&amp;BV19),IF(AR19&gt;ITP_TRAMO_BAJO,SUMIFS(CF_CUOTA,CF_MAS,ITP_TRAMO_BAJO,CF_CCMIN,"&lt;="&amp;BV19,CF_CCMAX,"&gt;="&amp;BV19),O19*ITP_TIPO)),O19*ITP_TIPO))</f>
        <v/>
      </c>
      <c r="BX19" s="4">
        <f>IF(R19="profesional",N(AK19),0)</f>
        <v/>
      </c>
      <c r="BY19" s="3">
        <f>IF(AND(R19="profesional",ISNUMBER(AK19),AL19="sí"),0,TASA_DGT)</f>
        <v/>
      </c>
      <c r="BZ19" s="3">
        <f>INFORME_DGT</f>
        <v/>
      </c>
      <c r="CA19" s="4">
        <f>O19+BX19+BW19+BY19+BZ19</f>
        <v/>
      </c>
      <c r="CB19" s="4">
        <f>CA19+N(BP19)</f>
        <v/>
      </c>
      <c r="CC19" s="3">
        <f>IF(CA19&lt;=TOTAL_MAX,"sí","no")</f>
        <v/>
      </c>
      <c r="CD19" s="4">
        <f>IF(CC19="sí",COUNTIFS($CC$2:$CC$39,"sí",$BU$2:$BU$39,"&gt;"&amp;BU19)+COUNTIFS($CC$2:CC19,"sí",$BU$2:BU19,BU19),"")</f>
        <v/>
      </c>
    </row>
    <row r="20">
      <c r="A20" s="2" t="inlineStr">
        <is>
          <t>wallapop:1313130432</t>
        </is>
      </c>
      <c r="B20" s="2" t="inlineStr">
        <is>
          <t>wallapop</t>
        </is>
      </c>
      <c r="C20" s="2" t="inlineStr">
        <is>
          <t>https://es.wallapop.com/item/opel-corsa-2013-1313130432</t>
        </is>
      </c>
      <c r="D20" s="2" t="inlineStr">
        <is>
          <t>Opel Corsa 2013</t>
        </is>
      </c>
      <c r="E20" s="2" t="inlineStr">
        <is>
          <t>Opel</t>
        </is>
      </c>
      <c r="F20" s="2" t="inlineStr">
        <is>
          <t>Opel Corsa</t>
        </is>
      </c>
      <c r="G20" s="2" t="inlineStr">
        <is>
          <t>1.3</t>
        </is>
      </c>
      <c r="H20" s="2" t="inlineStr">
        <is>
          <t>1.3 75 ecoFLEX Expression 3p</t>
        </is>
      </c>
      <c r="I20" s="2" t="n"/>
      <c r="J20" s="2" t="n">
        <v>75</v>
      </c>
      <c r="K20" s="2" t="inlineStr">
        <is>
          <t>gasolina</t>
        </is>
      </c>
      <c r="L20" s="2" t="inlineStr">
        <is>
          <t>utilitario</t>
        </is>
      </c>
      <c r="M20" s="2" t="n">
        <v>2013</v>
      </c>
      <c r="N20" s="2" t="n">
        <v>102000</v>
      </c>
      <c r="O20" s="2" t="n">
        <v>3290</v>
      </c>
      <c r="P20" s="2" t="inlineStr">
        <is>
          <t>manual</t>
        </is>
      </c>
      <c r="Q20" s="2" t="inlineStr">
        <is>
          <t>no</t>
        </is>
      </c>
      <c r="R20" s="2" t="inlineStr">
        <is>
          <t>particular</t>
        </is>
      </c>
      <c r="S20" s="2" t="inlineStr">
        <is>
          <t>Valencia (46018)</t>
        </is>
      </c>
      <c r="T20" s="2" t="inlineStr">
        <is>
          <t>2026-10-14T17:29:50</t>
        </is>
      </c>
      <c r="U20" s="2" t="n">
        <v>10</v>
      </c>
      <c r="V20" s="2" t="inlineStr">
        <is>
          <t>sí</t>
        </is>
      </c>
      <c r="W20" s="2" t="n"/>
      <c r="X20" s="2" t="n"/>
      <c r="Y20" s="2" t="n"/>
      <c r="Z20" s="2" t="n"/>
      <c r="AA20" s="2" t="n"/>
      <c r="AB20" s="2" t="n"/>
      <c r="AC20" s="2" t="n"/>
      <c r="AD20" s="2" t="n"/>
      <c r="AE20" s="2" t="n"/>
      <c r="AF20" s="2" t="n"/>
      <c r="AG20" s="2" t="n"/>
      <c r="AH20" s="2" t="n"/>
      <c r="AI20" s="2" t="n"/>
      <c r="AJ20" s="2" t="n"/>
      <c r="AK20" s="2" t="n"/>
      <c r="AL20" s="2" t="n"/>
      <c r="AM20" s="2" t="n">
        <v>2.5</v>
      </c>
      <c r="AN20" s="2" t="n"/>
      <c r="AO20" s="2" t="inlineStr">
        <is>
          <t>antigüedad en el límite del tramo: depende de la fecha exacta de matriculación; cuota fija ITP: &gt;12 años, hasta 1.500 cc</t>
        </is>
      </c>
      <c r="AP20" s="2" t="inlineStr">
        <is>
          <t xml:space="preserve">Vendo vehículo utilitario por necesidad de un vehículo más grande, ya que se nos ha quedado pequeño para la familia.
El coche cuenta con un mantenimiento reciente. Se han sustituido la bobina de encendido y las bujías, y se realizó la última revisión en verano de 2026, con 99.000 km
✅ ITV en vigor hasta julio de 2027.
✅ Bobina de encendido y bujías recién cambiadas.
✅ Mantenimiento realizado en verano de 2026.
En cuanto al exterior, presenta algunas marcas y pequeños desperfectos estéticos en la carrocería, propios del uso y de haber estado aparcado en la calle. Son detalles que ya se han tenido en cuenta a la hora de establecer el precio de venta.
Precio ajustado teniendo en cuenta su estado general.
El cambio de titularidad no está incluido en el precio.
</t>
        </is>
      </c>
      <c r="AQ20" s="2" t="inlineStr">
        <is>
          <t>https://es.wallapop.com/item/opel-corsa-2013-1313130432 (__NEXT_DATA__ item) /home/user/Alopecia/buscador-coches/raw/wallapop/ce01879ce67c23e7.json</t>
        </is>
      </c>
      <c r="AR20" s="3">
        <f>MAX(ANIO_ACTUAL-M20,0)</f>
        <v/>
      </c>
      <c r="AS20" s="4">
        <f>N20/MAX(AR20,0.5)</f>
        <v/>
      </c>
      <c r="AT20" s="4">
        <f>F20</f>
        <v/>
      </c>
      <c r="AU20" s="3">
        <f>AT20&amp;"|"&amp;INT(M20/SEG_ANIO)*SEG_ANIO</f>
        <v/>
      </c>
      <c r="AV20" s="3">
        <f>AU20&amp;"|"&amp;INT(N20/SEG_KM)*SEG_KM</f>
        <v/>
      </c>
      <c r="AW20" s="4">
        <f>COUNTIF($AT$2:$AT$39,AT20)</f>
        <v/>
      </c>
      <c r="AX20" s="4">
        <f>COUNTIF($AU$2:$AU$39,AU20)</f>
        <v/>
      </c>
      <c r="AY20" s="4">
        <f>COUNTIF($AV$2:$AV$39,AV20)</f>
        <v/>
      </c>
      <c r="AZ20" s="3">
        <f t="array" ref="AZ20">IF(AY20&gt;=MIN_N,MEDIAN(IF($AV$2:$AV$39=AV20,$O$2:$O$39)),IF(AX20&gt;=MIN_N,MEDIAN(IF($AU$2:$AU$39=AU20,$O$2:$O$39)),MEDIAN(IF($AT$2:$AT$39=AT20,$O$2:$O$39))))</f>
        <v/>
      </c>
      <c r="BA20" s="3">
        <f>IF(AY20&gt;=MIN_N,"modelo+año+km",IF(AX20&gt;=MIN_N,"modelo+año","modelo"))</f>
        <v/>
      </c>
      <c r="BB20" s="4">
        <f>(AZ20-O20)/AZ20</f>
        <v/>
      </c>
      <c r="BC20" s="3">
        <f>IF(OR(K20="hibrido",K20="glp"),"ECO",IF(K20="electrico","CERO",IF(K20="gasolina",IF(M20&gt;=GAS_C,"C",IF(M20&gt;=GAS_B,"B","A")),IF(K20="diesel",IF(M20&gt;=DIE_C,"C",IF(M20&gt;=DIE_B,"B","A")),""))))</f>
        <v/>
      </c>
      <c r="BD20" s="3">
        <f>IFERROR(VLOOKUP(F20,MOD_TBL,11,0),IFERROR(VLOOKUP(E20,OCU_TBL,2,0),NEUTRO))</f>
        <v/>
      </c>
      <c r="BE20" s="3">
        <f>SUMIFS(MOT_AJUSTE,MOT_MOTOR,G20,MOT_MARCA,E20,MOT_DESDE,"&lt;="&amp;M20,MOT_HASTA,"&gt;="&amp;M20)+SUMIFS(MOT_AJUSTE,MOT_MOTOR,G20,MOT_MARCA,"(todas)",MOT_DESDE,"&lt;="&amp;M20,MOT_HASTA,"&gt;="&amp;M20)</f>
        <v/>
      </c>
      <c r="BF20" s="3">
        <f>SUMIFS(COMB_AJUSTE,COMB_COMB,K20)</f>
        <v/>
      </c>
      <c r="BG20" s="4">
        <f>MAX(0,MIN(100,BD20+BE20+BF20))</f>
        <v/>
      </c>
      <c r="BH20" s="3">
        <f>MAX(0,MIN(100,50+BB20*PRECIO_PEND))</f>
        <v/>
      </c>
      <c r="BI20" s="3">
        <f>MAX(0,100*(1-N20/KM_MAX))</f>
        <v/>
      </c>
      <c r="BJ20" s="3">
        <f>IF(AS20&lt;KMA_SOSP,IF(AA20="sí",100,KMA_PEN),IF(AS20&lt;=KMA_IDEAL_MAX,100,MAX(0,100*(KMA_CERO-AS20)/(KMA_CERO-KMA_IDEAL_MAX))))</f>
        <v/>
      </c>
      <c r="BK20" s="3">
        <f>MAX(0,MIN(100,100*(M20-ANIO_MIN)/(ANIO_ACTUAL-ANIO_MIN)))</f>
        <v/>
      </c>
      <c r="BL20" s="3">
        <f>W_KMT*BI20+W_KMA*BJ20+W_EDAD*BK20</f>
        <v/>
      </c>
      <c r="BM20" s="3">
        <f>P_ITV*(V20="sí")+P_LIBRO*(W20="sí")+P_CORREA*(X20="sí")+P_PROP*(Y20=1)+P_GAR*(Z20="sí")+P_FOTOS*MIN(1,N(U20)/FOTOS_OBJ)</f>
        <v/>
      </c>
      <c r="BN20" s="3">
        <f>IFERROR(VLOOKUP(BC20,ETQ_TBL,2,0),NEUTRO)</f>
        <v/>
      </c>
      <c r="BO20" s="3">
        <f>NEUTRO</f>
        <v/>
      </c>
      <c r="BP20" s="3">
        <f>IFERROR(VLOOKUP(L20,SEGURO_TBL,3,0),"")</f>
        <v/>
      </c>
      <c r="BQ20" s="3">
        <f>IF(BP20="",NEUTRO,MAX(0,MIN(100,100*(SEG_REF_MAX-BP20)/(SEG_REF_MAX-SEG_REF_MIN))))</f>
        <v/>
      </c>
      <c r="BR20" s="3">
        <f>W_ET*BN20+W_CONS*BO20+W_SEG*BQ20</f>
        <v/>
      </c>
      <c r="BS20" s="3">
        <f>IF(N(AB20)&gt;0,AB20,IF(AND(R20="profesional",SG_LEGAL_ON=1),GAR_LEGAL,0))</f>
        <v/>
      </c>
      <c r="BT20" s="3">
        <f>SG_GAR*MIN(1,BS20/SG_GAR_FULL)+SG_AMPL*(AC20="sí")+SG_KMC*(AF20="sí")+SG_REV*(N(AE20)&gt;0)+SG_DEV*MIN(1,N(AG20)/SG_DEV_FULL)+SG_HIST*(W20="sí")</f>
        <v/>
      </c>
      <c r="BU20" s="3">
        <f>W_FIAB*BG20+W_PRECIO*BH20+W_KMEDAD*BL20+W_ANUNCIO*BM20+W_USO*BR20+W_SEGURIDAD*BT20</f>
        <v/>
      </c>
      <c r="BV20" s="4">
        <f>IF(N(I20)&gt;0,I20,IFERROR(ROUND(_xlfn.NUMBERVALUE(LEFT(G20,FIND(" ",G20&amp;" ")-1),".")*1000,0),99999))</f>
        <v/>
      </c>
      <c r="BW20" s="3">
        <f>IF(R20="profesional",0,IF(O20&lt;CUOTA_VALOR_MAX,IF(AR20&gt;ITP_TRAMO_ALTO,SUMIFS(CF_CUOTA,CF_MAS,ITP_TRAMO_ALTO,CF_CCMIN,"&lt;="&amp;BV20,CF_CCMAX,"&gt;="&amp;BV20),IF(AR20&gt;ITP_TRAMO_BAJO,SUMIFS(CF_CUOTA,CF_MAS,ITP_TRAMO_BAJO,CF_CCMIN,"&lt;="&amp;BV20,CF_CCMAX,"&gt;="&amp;BV20),O20*ITP_TIPO)),O20*ITP_TIPO))</f>
        <v/>
      </c>
      <c r="BX20" s="4">
        <f>IF(R20="profesional",N(AK20),0)</f>
        <v/>
      </c>
      <c r="BY20" s="3">
        <f>IF(AND(R20="profesional",ISNUMBER(AK20),AL20="sí"),0,TASA_DGT)</f>
        <v/>
      </c>
      <c r="BZ20" s="3">
        <f>INFORME_DGT</f>
        <v/>
      </c>
      <c r="CA20" s="4">
        <f>O20+BX20+BW20+BY20+BZ20</f>
        <v/>
      </c>
      <c r="CB20" s="4">
        <f>CA20+N(BP20)</f>
        <v/>
      </c>
      <c r="CC20" s="3">
        <f>IF(CA20&lt;=TOTAL_MAX,"sí","no")</f>
        <v/>
      </c>
      <c r="CD20" s="4">
        <f>IF(CC20="sí",COUNTIFS($CC$2:$CC$39,"sí",$BU$2:$BU$39,"&gt;"&amp;BU20)+COUNTIFS($CC$2:CC20,"sí",$BU$2:BU20,BU20),"")</f>
        <v/>
      </c>
    </row>
    <row r="21">
      <c r="A21" s="2" t="inlineStr">
        <is>
          <t>wallapop:1282088556</t>
        </is>
      </c>
      <c r="B21" s="2" t="inlineStr">
        <is>
          <t>wallapop</t>
        </is>
      </c>
      <c r="C21" s="2" t="inlineStr">
        <is>
          <t>https://es.wallapop.com/item/opel-agila-2009-1282088556</t>
        </is>
      </c>
      <c r="D21" s="2" t="inlineStr">
        <is>
          <t>Opel Agila 2009</t>
        </is>
      </c>
      <c r="E21" s="2" t="inlineStr">
        <is>
          <t>Opel</t>
        </is>
      </c>
      <c r="F21" s="2" t="inlineStr">
        <is>
          <t>Opel Agila</t>
        </is>
      </c>
      <c r="G21" s="2" t="inlineStr">
        <is>
          <t>1.0</t>
        </is>
      </c>
      <c r="H21" s="2" t="inlineStr">
        <is>
          <t>1.0 12v 65 Enjoy 5p</t>
        </is>
      </c>
      <c r="I21" s="2" t="n"/>
      <c r="J21" s="2" t="n">
        <v>65</v>
      </c>
      <c r="K21" s="2" t="inlineStr">
        <is>
          <t>gasolina</t>
        </is>
      </c>
      <c r="L21" s="2" t="inlineStr">
        <is>
          <t>utilitario</t>
        </is>
      </c>
      <c r="M21" s="2" t="n">
        <v>2009</v>
      </c>
      <c r="N21" s="2" t="n">
        <v>134000</v>
      </c>
      <c r="O21" s="2" t="n">
        <v>3300</v>
      </c>
      <c r="P21" s="2" t="inlineStr">
        <is>
          <t>manual</t>
        </is>
      </c>
      <c r="Q21" s="2" t="inlineStr">
        <is>
          <t>no</t>
        </is>
      </c>
      <c r="R21" s="2" t="inlineStr">
        <is>
          <t>particular</t>
        </is>
      </c>
      <c r="S21" s="2" t="inlineStr">
        <is>
          <t>Valencia (46018)</t>
        </is>
      </c>
      <c r="T21" s="2" t="inlineStr">
        <is>
          <t>2026-10-06T12:43:20</t>
        </is>
      </c>
      <c r="U21" s="2" t="n">
        <v>9</v>
      </c>
      <c r="V21" s="2" t="inlineStr">
        <is>
          <t>sí</t>
        </is>
      </c>
      <c r="W21" s="2" t="n"/>
      <c r="X21" s="2" t="n"/>
      <c r="Y21" s="2" t="n"/>
      <c r="Z21" s="2" t="n"/>
      <c r="AA21" s="2" t="n"/>
      <c r="AB21" s="2" t="n"/>
      <c r="AC21" s="2" t="n"/>
      <c r="AD21" s="2" t="n"/>
      <c r="AE21" s="2" t="n"/>
      <c r="AF21" s="2" t="n"/>
      <c r="AG21" s="2" t="n"/>
      <c r="AH21" s="2" t="n"/>
      <c r="AI21" s="2" t="n"/>
      <c r="AJ21" s="2" t="n"/>
      <c r="AK21" s="2" t="n"/>
      <c r="AL21" s="2" t="n"/>
      <c r="AM21" s="2" t="n">
        <v>1.5</v>
      </c>
      <c r="AN21" s="2" t="n"/>
      <c r="AO21" s="2" t="inlineStr">
        <is>
          <t>cuota fija ITP: &gt;12 años, hasta 1.500 cc; fiabilidad del modelo PENDIENTE de fuente (puntuación neutra); mediana con solo 1 anuncio(s)</t>
        </is>
      </c>
      <c r="AP21" s="2" t="inlineStr">
        <is>
          <t>Opel Agila con tan solo 134.000km
Itv recien pasada y con todos los mantenimientos al dia
El coche se encuentra en buen estado pero con algunos roces por el paso de los años
Mecánicamente revisado y sin ningun problema 
Coche ideal para el dia a dia con etiqueta C</t>
        </is>
      </c>
      <c r="AQ21" s="2" t="inlineStr">
        <is>
          <t>https://es.wallapop.com/item/opel-agila-2009-1282088556 (__NEXT_DATA__ item) /home/user/Alopecia/buscador-coches/raw/wallapop/1758bdcff44eb808.json</t>
        </is>
      </c>
      <c r="AR21" s="3">
        <f>MAX(ANIO_ACTUAL-M21,0)</f>
        <v/>
      </c>
      <c r="AS21" s="4">
        <f>N21/MAX(AR21,0.5)</f>
        <v/>
      </c>
      <c r="AT21" s="4">
        <f>F21</f>
        <v/>
      </c>
      <c r="AU21" s="3">
        <f>AT21&amp;"|"&amp;INT(M21/SEG_ANIO)*SEG_ANIO</f>
        <v/>
      </c>
      <c r="AV21" s="3">
        <f>AU21&amp;"|"&amp;INT(N21/SEG_KM)*SEG_KM</f>
        <v/>
      </c>
      <c r="AW21" s="4">
        <f>COUNTIF($AT$2:$AT$39,AT21)</f>
        <v/>
      </c>
      <c r="AX21" s="4">
        <f>COUNTIF($AU$2:$AU$39,AU21)</f>
        <v/>
      </c>
      <c r="AY21" s="4">
        <f>COUNTIF($AV$2:$AV$39,AV21)</f>
        <v/>
      </c>
      <c r="AZ21" s="3">
        <f t="array" ref="AZ21">IF(AY21&gt;=MIN_N,MEDIAN(IF($AV$2:$AV$39=AV21,$O$2:$O$39)),IF(AX21&gt;=MIN_N,MEDIAN(IF($AU$2:$AU$39=AU21,$O$2:$O$39)),MEDIAN(IF($AT$2:$AT$39=AT21,$O$2:$O$39))))</f>
        <v/>
      </c>
      <c r="BA21" s="3">
        <f>IF(AY21&gt;=MIN_N,"modelo+año+km",IF(AX21&gt;=MIN_N,"modelo+año","modelo"))</f>
        <v/>
      </c>
      <c r="BB21" s="4">
        <f>(AZ21-O21)/AZ21</f>
        <v/>
      </c>
      <c r="BC21" s="3">
        <f>IF(OR(K21="hibrido",K21="glp"),"ECO",IF(K21="electrico","CERO",IF(K21="gasolina",IF(M21&gt;=GAS_C,"C",IF(M21&gt;=GAS_B,"B","A")),IF(K21="diesel",IF(M21&gt;=DIE_C,"C",IF(M21&gt;=DIE_B,"B","A")),""))))</f>
        <v/>
      </c>
      <c r="BD21" s="3">
        <f>IFERROR(VLOOKUP(F21,MOD_TBL,11,0),IFERROR(VLOOKUP(E21,OCU_TBL,2,0),NEUTRO))</f>
        <v/>
      </c>
      <c r="BE21" s="3">
        <f>SUMIFS(MOT_AJUSTE,MOT_MOTOR,G21,MOT_MARCA,E21,MOT_DESDE,"&lt;="&amp;M21,MOT_HASTA,"&gt;="&amp;M21)+SUMIFS(MOT_AJUSTE,MOT_MOTOR,G21,MOT_MARCA,"(todas)",MOT_DESDE,"&lt;="&amp;M21,MOT_HASTA,"&gt;="&amp;M21)</f>
        <v/>
      </c>
      <c r="BF21" s="3">
        <f>SUMIFS(COMB_AJUSTE,COMB_COMB,K21)</f>
        <v/>
      </c>
      <c r="BG21" s="4">
        <f>MAX(0,MIN(100,BD21+BE21+BF21))</f>
        <v/>
      </c>
      <c r="BH21" s="3">
        <f>MAX(0,MIN(100,50+BB21*PRECIO_PEND))</f>
        <v/>
      </c>
      <c r="BI21" s="3">
        <f>MAX(0,100*(1-N21/KM_MAX))</f>
        <v/>
      </c>
      <c r="BJ21" s="3">
        <f>IF(AS21&lt;KMA_SOSP,IF(AA21="sí",100,KMA_PEN),IF(AS21&lt;=KMA_IDEAL_MAX,100,MAX(0,100*(KMA_CERO-AS21)/(KMA_CERO-KMA_IDEAL_MAX))))</f>
        <v/>
      </c>
      <c r="BK21" s="3">
        <f>MAX(0,MIN(100,100*(M21-ANIO_MIN)/(ANIO_ACTUAL-ANIO_MIN)))</f>
        <v/>
      </c>
      <c r="BL21" s="3">
        <f>W_KMT*BI21+W_KMA*BJ21+W_EDAD*BK21</f>
        <v/>
      </c>
      <c r="BM21" s="3">
        <f>P_ITV*(V21="sí")+P_LIBRO*(W21="sí")+P_CORREA*(X21="sí")+P_PROP*(Y21=1)+P_GAR*(Z21="sí")+P_FOTOS*MIN(1,N(U21)/FOTOS_OBJ)</f>
        <v/>
      </c>
      <c r="BN21" s="3">
        <f>IFERROR(VLOOKUP(BC21,ETQ_TBL,2,0),NEUTRO)</f>
        <v/>
      </c>
      <c r="BO21" s="3">
        <f>NEUTRO</f>
        <v/>
      </c>
      <c r="BP21" s="3">
        <f>IFERROR(VLOOKUP(L21,SEGURO_TBL,3,0),"")</f>
        <v/>
      </c>
      <c r="BQ21" s="3">
        <f>IF(BP21="",NEUTRO,MAX(0,MIN(100,100*(SEG_REF_MAX-BP21)/(SEG_REF_MAX-SEG_REF_MIN))))</f>
        <v/>
      </c>
      <c r="BR21" s="3">
        <f>W_ET*BN21+W_CONS*BO21+W_SEG*BQ21</f>
        <v/>
      </c>
      <c r="BS21" s="3">
        <f>IF(N(AB21)&gt;0,AB21,IF(AND(R21="profesional",SG_LEGAL_ON=1),GAR_LEGAL,0))</f>
        <v/>
      </c>
      <c r="BT21" s="3">
        <f>SG_GAR*MIN(1,BS21/SG_GAR_FULL)+SG_AMPL*(AC21="sí")+SG_KMC*(AF21="sí")+SG_REV*(N(AE21)&gt;0)+SG_DEV*MIN(1,N(AG21)/SG_DEV_FULL)+SG_HIST*(W21="sí")</f>
        <v/>
      </c>
      <c r="BU21" s="3">
        <f>W_FIAB*BG21+W_PRECIO*BH21+W_KMEDAD*BL21+W_ANUNCIO*BM21+W_USO*BR21+W_SEGURIDAD*BT21</f>
        <v/>
      </c>
      <c r="BV21" s="4">
        <f>IF(N(I21)&gt;0,I21,IFERROR(ROUND(_xlfn.NUMBERVALUE(LEFT(G21,FIND(" ",G21&amp;" ")-1),".")*1000,0),99999))</f>
        <v/>
      </c>
      <c r="BW21" s="3">
        <f>IF(R21="profesional",0,IF(O21&lt;CUOTA_VALOR_MAX,IF(AR21&gt;ITP_TRAMO_ALTO,SUMIFS(CF_CUOTA,CF_MAS,ITP_TRAMO_ALTO,CF_CCMIN,"&lt;="&amp;BV21,CF_CCMAX,"&gt;="&amp;BV21),IF(AR21&gt;ITP_TRAMO_BAJO,SUMIFS(CF_CUOTA,CF_MAS,ITP_TRAMO_BAJO,CF_CCMIN,"&lt;="&amp;BV21,CF_CCMAX,"&gt;="&amp;BV21),O21*ITP_TIPO)),O21*ITP_TIPO))</f>
        <v/>
      </c>
      <c r="BX21" s="4">
        <f>IF(R21="profesional",N(AK21),0)</f>
        <v/>
      </c>
      <c r="BY21" s="3">
        <f>IF(AND(R21="profesional",ISNUMBER(AK21),AL21="sí"),0,TASA_DGT)</f>
        <v/>
      </c>
      <c r="BZ21" s="3">
        <f>INFORME_DGT</f>
        <v/>
      </c>
      <c r="CA21" s="4">
        <f>O21+BX21+BW21+BY21+BZ21</f>
        <v/>
      </c>
      <c r="CB21" s="4">
        <f>CA21+N(BP21)</f>
        <v/>
      </c>
      <c r="CC21" s="3">
        <f>IF(CA21&lt;=TOTAL_MAX,"sí","no")</f>
        <v/>
      </c>
      <c r="CD21" s="4">
        <f>IF(CC21="sí",COUNTIFS($CC$2:$CC$39,"sí",$BU$2:$BU$39,"&gt;"&amp;BU21)+COUNTIFS($CC$2:CC21,"sí",$BU$2:BU21,BU21),"")</f>
        <v/>
      </c>
    </row>
    <row r="22">
      <c r="A22" s="2" t="inlineStr">
        <is>
          <t>wallapop:1311131743</t>
        </is>
      </c>
      <c r="B22" s="2" t="inlineStr">
        <is>
          <t>wallapop</t>
        </is>
      </c>
      <c r="C22" s="2" t="inlineStr">
        <is>
          <t>https://es.wallapop.com/item/renault-twingo-2009-1311131743</t>
        </is>
      </c>
      <c r="D22" s="2" t="inlineStr">
        <is>
          <t>Renault Twingo 2009</t>
        </is>
      </c>
      <c r="E22" s="2" t="inlineStr">
        <is>
          <t>Renault</t>
        </is>
      </c>
      <c r="F22" s="2" t="inlineStr">
        <is>
          <t>Renault Twingo</t>
        </is>
      </c>
      <c r="G22" s="2" t="inlineStr">
        <is>
          <t>1.2</t>
        </is>
      </c>
      <c r="H22" s="2" t="inlineStr">
        <is>
          <t>1.2 16v 75 eco2 dynamique 3p quickshift</t>
        </is>
      </c>
      <c r="I22" s="2" t="n"/>
      <c r="J22" s="2" t="n">
        <v>75</v>
      </c>
      <c r="K22" s="2" t="inlineStr">
        <is>
          <t>gasolina</t>
        </is>
      </c>
      <c r="L22" s="2" t="inlineStr">
        <is>
          <t>utilitario</t>
        </is>
      </c>
      <c r="M22" s="2" t="n">
        <v>2009</v>
      </c>
      <c r="N22" s="2" t="n">
        <v>85000</v>
      </c>
      <c r="O22" s="2" t="n">
        <v>4500</v>
      </c>
      <c r="P22" s="2" t="inlineStr">
        <is>
          <t>automatico</t>
        </is>
      </c>
      <c r="Q22" s="2" t="inlineStr">
        <is>
          <t>sí</t>
        </is>
      </c>
      <c r="R22" s="2" t="inlineStr">
        <is>
          <t>particular</t>
        </is>
      </c>
      <c r="S22" s="2" t="inlineStr">
        <is>
          <t>Valencia (46003)</t>
        </is>
      </c>
      <c r="T22" s="2" t="inlineStr">
        <is>
          <t>2026-10-09T21:15:55</t>
        </is>
      </c>
      <c r="U22" s="2" t="n">
        <v>9</v>
      </c>
      <c r="V22" s="2" t="n"/>
      <c r="W22" s="2" t="n"/>
      <c r="X22" s="2" t="n"/>
      <c r="Y22" s="2" t="n"/>
      <c r="Z22" s="2" t="n"/>
      <c r="AA22" s="2" t="n"/>
      <c r="AB22" s="2" t="n"/>
      <c r="AC22" s="2" t="n"/>
      <c r="AD22" s="2" t="n"/>
      <c r="AE22" s="2" t="n"/>
      <c r="AF22" s="2" t="n"/>
      <c r="AG22" s="2" t="n"/>
      <c r="AH22" s="2" t="n"/>
      <c r="AI22" s="2" t="n"/>
      <c r="AJ22" s="2" t="n"/>
      <c r="AK22" s="2" t="n"/>
      <c r="AL22" s="2" t="n"/>
      <c r="AM22" s="2" t="n">
        <v>1.6</v>
      </c>
      <c r="AN22" s="2" t="n"/>
      <c r="AO22" s="2" t="inlineStr">
        <is>
          <t>cuota fija ITP: &gt;12 años, hasta 1.500 cc; fiabilidad del modelo PENDIENTE de fuente (puntuación neutra); mediana con solo 1 anuncio(s)</t>
        </is>
      </c>
      <c r="AP22" s="2" t="inlineStr">
        <is>
          <t xml:space="preserve">Se vende recién revisado </t>
        </is>
      </c>
      <c r="AQ22" s="2" t="inlineStr">
        <is>
          <t>https://es.wallapop.com/item/renault-twingo-2009-1311131743 (__NEXT_DATA__ item) /home/user/Alopecia/buscador-coches/raw/wallapop/0cb3d92209fa0e19.json</t>
        </is>
      </c>
      <c r="AR22" s="3">
        <f>MAX(ANIO_ACTUAL-M22,0)</f>
        <v/>
      </c>
      <c r="AS22" s="4">
        <f>N22/MAX(AR22,0.5)</f>
        <v/>
      </c>
      <c r="AT22" s="4">
        <f>F22</f>
        <v/>
      </c>
      <c r="AU22" s="3">
        <f>AT22&amp;"|"&amp;INT(M22/SEG_ANIO)*SEG_ANIO</f>
        <v/>
      </c>
      <c r="AV22" s="3">
        <f>AU22&amp;"|"&amp;INT(N22/SEG_KM)*SEG_KM</f>
        <v/>
      </c>
      <c r="AW22" s="4">
        <f>COUNTIF($AT$2:$AT$39,AT22)</f>
        <v/>
      </c>
      <c r="AX22" s="4">
        <f>COUNTIF($AU$2:$AU$39,AU22)</f>
        <v/>
      </c>
      <c r="AY22" s="4">
        <f>COUNTIF($AV$2:$AV$39,AV22)</f>
        <v/>
      </c>
      <c r="AZ22" s="3">
        <f t="array" ref="AZ22">IF(AY22&gt;=MIN_N,MEDIAN(IF($AV$2:$AV$39=AV22,$O$2:$O$39)),IF(AX22&gt;=MIN_N,MEDIAN(IF($AU$2:$AU$39=AU22,$O$2:$O$39)),MEDIAN(IF($AT$2:$AT$39=AT22,$O$2:$O$39))))</f>
        <v/>
      </c>
      <c r="BA22" s="3">
        <f>IF(AY22&gt;=MIN_N,"modelo+año+km",IF(AX22&gt;=MIN_N,"modelo+año","modelo"))</f>
        <v/>
      </c>
      <c r="BB22" s="4">
        <f>(AZ22-O22)/AZ22</f>
        <v/>
      </c>
      <c r="BC22" s="3">
        <f>IF(OR(K22="hibrido",K22="glp"),"ECO",IF(K22="electrico","CERO",IF(K22="gasolina",IF(M22&gt;=GAS_C,"C",IF(M22&gt;=GAS_B,"B","A")),IF(K22="diesel",IF(M22&gt;=DIE_C,"C",IF(M22&gt;=DIE_B,"B","A")),""))))</f>
        <v/>
      </c>
      <c r="BD22" s="3">
        <f>IFERROR(VLOOKUP(F22,MOD_TBL,11,0),IFERROR(VLOOKUP(E22,OCU_TBL,2,0),NEUTRO))</f>
        <v/>
      </c>
      <c r="BE22" s="3">
        <f>SUMIFS(MOT_AJUSTE,MOT_MOTOR,G22,MOT_MARCA,E22,MOT_DESDE,"&lt;="&amp;M22,MOT_HASTA,"&gt;="&amp;M22)+SUMIFS(MOT_AJUSTE,MOT_MOTOR,G22,MOT_MARCA,"(todas)",MOT_DESDE,"&lt;="&amp;M22,MOT_HASTA,"&gt;="&amp;M22)</f>
        <v/>
      </c>
      <c r="BF22" s="3">
        <f>SUMIFS(COMB_AJUSTE,COMB_COMB,K22)</f>
        <v/>
      </c>
      <c r="BG22" s="4">
        <f>MAX(0,MIN(100,BD22+BE22+BF22))</f>
        <v/>
      </c>
      <c r="BH22" s="3">
        <f>MAX(0,MIN(100,50+BB22*PRECIO_PEND))</f>
        <v/>
      </c>
      <c r="BI22" s="3">
        <f>MAX(0,100*(1-N22/KM_MAX))</f>
        <v/>
      </c>
      <c r="BJ22" s="3">
        <f>IF(AS22&lt;KMA_SOSP,IF(AA22="sí",100,KMA_PEN),IF(AS22&lt;=KMA_IDEAL_MAX,100,MAX(0,100*(KMA_CERO-AS22)/(KMA_CERO-KMA_IDEAL_MAX))))</f>
        <v/>
      </c>
      <c r="BK22" s="3">
        <f>MAX(0,MIN(100,100*(M22-ANIO_MIN)/(ANIO_ACTUAL-ANIO_MIN)))</f>
        <v/>
      </c>
      <c r="BL22" s="3">
        <f>W_KMT*BI22+W_KMA*BJ22+W_EDAD*BK22</f>
        <v/>
      </c>
      <c r="BM22" s="3">
        <f>P_ITV*(V22="sí")+P_LIBRO*(W22="sí")+P_CORREA*(X22="sí")+P_PROP*(Y22=1)+P_GAR*(Z22="sí")+P_FOTOS*MIN(1,N(U22)/FOTOS_OBJ)</f>
        <v/>
      </c>
      <c r="BN22" s="3">
        <f>IFERROR(VLOOKUP(BC22,ETQ_TBL,2,0),NEUTRO)</f>
        <v/>
      </c>
      <c r="BO22" s="3">
        <f>NEUTRO</f>
        <v/>
      </c>
      <c r="BP22" s="3">
        <f>IFERROR(VLOOKUP(L22,SEGURO_TBL,3,0),"")</f>
        <v/>
      </c>
      <c r="BQ22" s="3">
        <f>IF(BP22="",NEUTRO,MAX(0,MIN(100,100*(SEG_REF_MAX-BP22)/(SEG_REF_MAX-SEG_REF_MIN))))</f>
        <v/>
      </c>
      <c r="BR22" s="3">
        <f>W_ET*BN22+W_CONS*BO22+W_SEG*BQ22</f>
        <v/>
      </c>
      <c r="BS22" s="3">
        <f>IF(N(AB22)&gt;0,AB22,IF(AND(R22="profesional",SG_LEGAL_ON=1),GAR_LEGAL,0))</f>
        <v/>
      </c>
      <c r="BT22" s="3">
        <f>SG_GAR*MIN(1,BS22/SG_GAR_FULL)+SG_AMPL*(AC22="sí")+SG_KMC*(AF22="sí")+SG_REV*(N(AE22)&gt;0)+SG_DEV*MIN(1,N(AG22)/SG_DEV_FULL)+SG_HIST*(W22="sí")</f>
        <v/>
      </c>
      <c r="BU22" s="3">
        <f>W_FIAB*BG22+W_PRECIO*BH22+W_KMEDAD*BL22+W_ANUNCIO*BM22+W_USO*BR22+W_SEGURIDAD*BT22</f>
        <v/>
      </c>
      <c r="BV22" s="4">
        <f>IF(N(I22)&gt;0,I22,IFERROR(ROUND(_xlfn.NUMBERVALUE(LEFT(G22,FIND(" ",G22&amp;" ")-1),".")*1000,0),99999))</f>
        <v/>
      </c>
      <c r="BW22" s="3">
        <f>IF(R22="profesional",0,IF(O22&lt;CUOTA_VALOR_MAX,IF(AR22&gt;ITP_TRAMO_ALTO,SUMIFS(CF_CUOTA,CF_MAS,ITP_TRAMO_ALTO,CF_CCMIN,"&lt;="&amp;BV22,CF_CCMAX,"&gt;="&amp;BV22),IF(AR22&gt;ITP_TRAMO_BAJO,SUMIFS(CF_CUOTA,CF_MAS,ITP_TRAMO_BAJO,CF_CCMIN,"&lt;="&amp;BV22,CF_CCMAX,"&gt;="&amp;BV22),O22*ITP_TIPO)),O22*ITP_TIPO))</f>
        <v/>
      </c>
      <c r="BX22" s="4">
        <f>IF(R22="profesional",N(AK22),0)</f>
        <v/>
      </c>
      <c r="BY22" s="3">
        <f>IF(AND(R22="profesional",ISNUMBER(AK22),AL22="sí"),0,TASA_DGT)</f>
        <v/>
      </c>
      <c r="BZ22" s="3">
        <f>INFORME_DGT</f>
        <v/>
      </c>
      <c r="CA22" s="4">
        <f>O22+BX22+BW22+BY22+BZ22</f>
        <v/>
      </c>
      <c r="CB22" s="4">
        <f>CA22+N(BP22)</f>
        <v/>
      </c>
      <c r="CC22" s="3">
        <f>IF(CA22&lt;=TOTAL_MAX,"sí","no")</f>
        <v/>
      </c>
      <c r="CD22" s="4">
        <f>IF(CC22="sí",COUNTIFS($CC$2:$CC$39,"sí",$BU$2:$BU$39,"&gt;"&amp;BU22)+COUNTIFS($CC$2:CC22,"sí",$BU$2:BU22,BU22),"")</f>
        <v/>
      </c>
    </row>
    <row r="23">
      <c r="A23" s="2" t="inlineStr">
        <is>
          <t>wallapop:1310485042</t>
        </is>
      </c>
      <c r="B23" s="2" t="inlineStr">
        <is>
          <t>wallapop</t>
        </is>
      </c>
      <c r="C23" s="2" t="inlineStr">
        <is>
          <t>https://es.wallapop.com/item/dacia-sandero-2009-1310485042</t>
        </is>
      </c>
      <c r="D23" s="2" t="inlineStr">
        <is>
          <t>Dacia Sandero 2009</t>
        </is>
      </c>
      <c r="E23" s="2" t="inlineStr">
        <is>
          <t>Dacia</t>
        </is>
      </c>
      <c r="F23" s="2" t="inlineStr">
        <is>
          <t>Dacia Sandero</t>
        </is>
      </c>
      <c r="G23" s="2" t="inlineStr">
        <is>
          <t>1.4</t>
        </is>
      </c>
      <c r="H23" s="2" t="inlineStr">
        <is>
          <t>1.4 75 Base 5p</t>
        </is>
      </c>
      <c r="I23" s="2" t="n"/>
      <c r="J23" s="2" t="n">
        <v>75</v>
      </c>
      <c r="K23" s="2" t="inlineStr">
        <is>
          <t>gasolina</t>
        </is>
      </c>
      <c r="L23" s="2" t="inlineStr">
        <is>
          <t>utilitario</t>
        </is>
      </c>
      <c r="M23" s="2" t="n">
        <v>2009</v>
      </c>
      <c r="N23" s="2" t="n">
        <v>183000</v>
      </c>
      <c r="O23" s="2" t="n">
        <v>3800</v>
      </c>
      <c r="P23" s="2" t="inlineStr">
        <is>
          <t>manual</t>
        </is>
      </c>
      <c r="Q23" s="2" t="inlineStr">
        <is>
          <t>no</t>
        </is>
      </c>
      <c r="R23" s="2" t="inlineStr">
        <is>
          <t>particular</t>
        </is>
      </c>
      <c r="S23" s="2" t="inlineStr">
        <is>
          <t>Valencia (46014)</t>
        </is>
      </c>
      <c r="T23" s="2" t="inlineStr">
        <is>
          <t>2026-10-07T18:41:29</t>
        </is>
      </c>
      <c r="U23" s="2" t="n">
        <v>10</v>
      </c>
      <c r="V23" s="2" t="n"/>
      <c r="W23" s="2" t="n"/>
      <c r="X23" s="2" t="n"/>
      <c r="Y23" s="2" t="n"/>
      <c r="Z23" s="2" t="n"/>
      <c r="AA23" s="2" t="n"/>
      <c r="AB23" s="2" t="n"/>
      <c r="AC23" s="2" t="n"/>
      <c r="AD23" s="2" t="n"/>
      <c r="AE23" s="2" t="n"/>
      <c r="AF23" s="2" t="n"/>
      <c r="AG23" s="2" t="n"/>
      <c r="AH23" s="2" t="n"/>
      <c r="AI23" s="2" t="n"/>
      <c r="AJ23" s="2" t="n"/>
      <c r="AK23" s="2" t="n"/>
      <c r="AL23" s="2" t="n"/>
      <c r="AM23" s="2" t="n">
        <v>2.8</v>
      </c>
      <c r="AN23" s="2" t="n"/>
      <c r="AO23" s="2" t="inlineStr">
        <is>
          <t>cuota fija ITP: &gt;12 años, hasta 1.500 cc; mediana con solo 1 anuncio(s)</t>
        </is>
      </c>
      <c r="AP23" s="2" t="inlineStr">
        <is>
          <t xml:space="preserve">Dacia sandero en muy buen estado se le cambio correa de distribución y bomba de agua embrague en buen estado aire funcionando la itv la tiene para marzo del próximo año coche en muy buena condiciones listo para usar discos y pastillas delanteras cambiadas </t>
        </is>
      </c>
      <c r="AQ23" s="2" t="inlineStr">
        <is>
          <t>https://es.wallapop.com/item/dacia-sandero-2009-1310485042 (__NEXT_DATA__ item) /home/user/Alopecia/buscador-coches/raw/wallapop/33f6bc963392d242.json</t>
        </is>
      </c>
      <c r="AR23" s="3">
        <f>MAX(ANIO_ACTUAL-M23,0)</f>
        <v/>
      </c>
      <c r="AS23" s="4">
        <f>N23/MAX(AR23,0.5)</f>
        <v/>
      </c>
      <c r="AT23" s="4">
        <f>F23</f>
        <v/>
      </c>
      <c r="AU23" s="3">
        <f>AT23&amp;"|"&amp;INT(M23/SEG_ANIO)*SEG_ANIO</f>
        <v/>
      </c>
      <c r="AV23" s="3">
        <f>AU23&amp;"|"&amp;INT(N23/SEG_KM)*SEG_KM</f>
        <v/>
      </c>
      <c r="AW23" s="4">
        <f>COUNTIF($AT$2:$AT$39,AT23)</f>
        <v/>
      </c>
      <c r="AX23" s="4">
        <f>COUNTIF($AU$2:$AU$39,AU23)</f>
        <v/>
      </c>
      <c r="AY23" s="4">
        <f>COUNTIF($AV$2:$AV$39,AV23)</f>
        <v/>
      </c>
      <c r="AZ23" s="3">
        <f t="array" ref="AZ23">IF(AY23&gt;=MIN_N,MEDIAN(IF($AV$2:$AV$39=AV23,$O$2:$O$39)),IF(AX23&gt;=MIN_N,MEDIAN(IF($AU$2:$AU$39=AU23,$O$2:$O$39)),MEDIAN(IF($AT$2:$AT$39=AT23,$O$2:$O$39))))</f>
        <v/>
      </c>
      <c r="BA23" s="3">
        <f>IF(AY23&gt;=MIN_N,"modelo+año+km",IF(AX23&gt;=MIN_N,"modelo+año","modelo"))</f>
        <v/>
      </c>
      <c r="BB23" s="4">
        <f>(AZ23-O23)/AZ23</f>
        <v/>
      </c>
      <c r="BC23" s="3">
        <f>IF(OR(K23="hibrido",K23="glp"),"ECO",IF(K23="electrico","CERO",IF(K23="gasolina",IF(M23&gt;=GAS_C,"C",IF(M23&gt;=GAS_B,"B","A")),IF(K23="diesel",IF(M23&gt;=DIE_C,"C",IF(M23&gt;=DIE_B,"B","A")),""))))</f>
        <v/>
      </c>
      <c r="BD23" s="3">
        <f>IFERROR(VLOOKUP(F23,MOD_TBL,11,0),IFERROR(VLOOKUP(E23,OCU_TBL,2,0),NEUTRO))</f>
        <v/>
      </c>
      <c r="BE23" s="3">
        <f>SUMIFS(MOT_AJUSTE,MOT_MOTOR,G23,MOT_MARCA,E23,MOT_DESDE,"&lt;="&amp;M23,MOT_HASTA,"&gt;="&amp;M23)+SUMIFS(MOT_AJUSTE,MOT_MOTOR,G23,MOT_MARCA,"(todas)",MOT_DESDE,"&lt;="&amp;M23,MOT_HASTA,"&gt;="&amp;M23)</f>
        <v/>
      </c>
      <c r="BF23" s="3">
        <f>SUMIFS(COMB_AJUSTE,COMB_COMB,K23)</f>
        <v/>
      </c>
      <c r="BG23" s="4">
        <f>MAX(0,MIN(100,BD23+BE23+BF23))</f>
        <v/>
      </c>
      <c r="BH23" s="3">
        <f>MAX(0,MIN(100,50+BB23*PRECIO_PEND))</f>
        <v/>
      </c>
      <c r="BI23" s="3">
        <f>MAX(0,100*(1-N23/KM_MAX))</f>
        <v/>
      </c>
      <c r="BJ23" s="3">
        <f>IF(AS23&lt;KMA_SOSP,IF(AA23="sí",100,KMA_PEN),IF(AS23&lt;=KMA_IDEAL_MAX,100,MAX(0,100*(KMA_CERO-AS23)/(KMA_CERO-KMA_IDEAL_MAX))))</f>
        <v/>
      </c>
      <c r="BK23" s="3">
        <f>MAX(0,MIN(100,100*(M23-ANIO_MIN)/(ANIO_ACTUAL-ANIO_MIN)))</f>
        <v/>
      </c>
      <c r="BL23" s="3">
        <f>W_KMT*BI23+W_KMA*BJ23+W_EDAD*BK23</f>
        <v/>
      </c>
      <c r="BM23" s="3">
        <f>P_ITV*(V23="sí")+P_LIBRO*(W23="sí")+P_CORREA*(X23="sí")+P_PROP*(Y23=1)+P_GAR*(Z23="sí")+P_FOTOS*MIN(1,N(U23)/FOTOS_OBJ)</f>
        <v/>
      </c>
      <c r="BN23" s="3">
        <f>IFERROR(VLOOKUP(BC23,ETQ_TBL,2,0),NEUTRO)</f>
        <v/>
      </c>
      <c r="BO23" s="3">
        <f>NEUTRO</f>
        <v/>
      </c>
      <c r="BP23" s="3">
        <f>IFERROR(VLOOKUP(L23,SEGURO_TBL,3,0),"")</f>
        <v/>
      </c>
      <c r="BQ23" s="3">
        <f>IF(BP23="",NEUTRO,MAX(0,MIN(100,100*(SEG_REF_MAX-BP23)/(SEG_REF_MAX-SEG_REF_MIN))))</f>
        <v/>
      </c>
      <c r="BR23" s="3">
        <f>W_ET*BN23+W_CONS*BO23+W_SEG*BQ23</f>
        <v/>
      </c>
      <c r="BS23" s="3">
        <f>IF(N(AB23)&gt;0,AB23,IF(AND(R23="profesional",SG_LEGAL_ON=1),GAR_LEGAL,0))</f>
        <v/>
      </c>
      <c r="BT23" s="3">
        <f>SG_GAR*MIN(1,BS23/SG_GAR_FULL)+SG_AMPL*(AC23="sí")+SG_KMC*(AF23="sí")+SG_REV*(N(AE23)&gt;0)+SG_DEV*MIN(1,N(AG23)/SG_DEV_FULL)+SG_HIST*(W23="sí")</f>
        <v/>
      </c>
      <c r="BU23" s="3">
        <f>W_FIAB*BG23+W_PRECIO*BH23+W_KMEDAD*BL23+W_ANUNCIO*BM23+W_USO*BR23+W_SEGURIDAD*BT23</f>
        <v/>
      </c>
      <c r="BV23" s="4">
        <f>IF(N(I23)&gt;0,I23,IFERROR(ROUND(_xlfn.NUMBERVALUE(LEFT(G23,FIND(" ",G23&amp;" ")-1),".")*1000,0),99999))</f>
        <v/>
      </c>
      <c r="BW23" s="3">
        <f>IF(R23="profesional",0,IF(O23&lt;CUOTA_VALOR_MAX,IF(AR23&gt;ITP_TRAMO_ALTO,SUMIFS(CF_CUOTA,CF_MAS,ITP_TRAMO_ALTO,CF_CCMIN,"&lt;="&amp;BV23,CF_CCMAX,"&gt;="&amp;BV23),IF(AR23&gt;ITP_TRAMO_BAJO,SUMIFS(CF_CUOTA,CF_MAS,ITP_TRAMO_BAJO,CF_CCMIN,"&lt;="&amp;BV23,CF_CCMAX,"&gt;="&amp;BV23),O23*ITP_TIPO)),O23*ITP_TIPO))</f>
        <v/>
      </c>
      <c r="BX23" s="4">
        <f>IF(R23="profesional",N(AK23),0)</f>
        <v/>
      </c>
      <c r="BY23" s="3">
        <f>IF(AND(R23="profesional",ISNUMBER(AK23),AL23="sí"),0,TASA_DGT)</f>
        <v/>
      </c>
      <c r="BZ23" s="3">
        <f>INFORME_DGT</f>
        <v/>
      </c>
      <c r="CA23" s="4">
        <f>O23+BX23+BW23+BY23+BZ23</f>
        <v/>
      </c>
      <c r="CB23" s="4">
        <f>CA23+N(BP23)</f>
        <v/>
      </c>
      <c r="CC23" s="3">
        <f>IF(CA23&lt;=TOTAL_MAX,"sí","no")</f>
        <v/>
      </c>
      <c r="CD23" s="4">
        <f>IF(CC23="sí",COUNTIFS($CC$2:$CC$39,"sí",$BU$2:$BU$39,"&gt;"&amp;BU23)+COUNTIFS($CC$2:CC23,"sí",$BU$2:BU23,BU23),"")</f>
        <v/>
      </c>
    </row>
    <row r="24">
      <c r="A24" s="2" t="inlineStr">
        <is>
          <t>wallapop:1318790630</t>
        </is>
      </c>
      <c r="B24" s="2" t="inlineStr">
        <is>
          <t>wallapop</t>
        </is>
      </c>
      <c r="C24" s="2" t="inlineStr">
        <is>
          <t>https://es.wallapop.com/item/peugeot-207-2008-1318790630</t>
        </is>
      </c>
      <c r="D24" s="2" t="inlineStr">
        <is>
          <t>Peugeot 207 2008</t>
        </is>
      </c>
      <c r="E24" s="2" t="inlineStr">
        <is>
          <t>Peugeot</t>
        </is>
      </c>
      <c r="F24" s="2" t="inlineStr">
        <is>
          <t>Peugeot 207</t>
        </is>
      </c>
      <c r="G24" s="2" t="n"/>
      <c r="H24" s="2" t="n"/>
      <c r="I24" s="2" t="n"/>
      <c r="J24" s="2" t="n"/>
      <c r="K24" s="2" t="inlineStr">
        <is>
          <t>gasolina</t>
        </is>
      </c>
      <c r="L24" s="2" t="inlineStr">
        <is>
          <t>utilitario</t>
        </is>
      </c>
      <c r="M24" s="2" t="n">
        <v>2008</v>
      </c>
      <c r="N24" s="2" t="n">
        <v>107433</v>
      </c>
      <c r="O24" s="2" t="n">
        <v>3000</v>
      </c>
      <c r="P24" s="2" t="inlineStr">
        <is>
          <t>manual</t>
        </is>
      </c>
      <c r="Q24" s="2" t="inlineStr">
        <is>
          <t>no</t>
        </is>
      </c>
      <c r="R24" s="2" t="inlineStr">
        <is>
          <t>particular</t>
        </is>
      </c>
      <c r="S24" s="2" t="inlineStr">
        <is>
          <t>Valencia (46003)</t>
        </is>
      </c>
      <c r="T24" s="2" t="inlineStr">
        <is>
          <t>2026-10-31T06:34:24</t>
        </is>
      </c>
      <c r="U24" s="2" t="n">
        <v>1</v>
      </c>
      <c r="V24" s="2" t="inlineStr">
        <is>
          <t>sí</t>
        </is>
      </c>
      <c r="W24" s="2" t="n"/>
      <c r="X24" s="2" t="n"/>
      <c r="Y24" s="2" t="n"/>
      <c r="Z24" s="2" t="n"/>
      <c r="AA24" s="2" t="n"/>
      <c r="AB24" s="2" t="n"/>
      <c r="AC24" s="2" t="n"/>
      <c r="AD24" s="2" t="n"/>
      <c r="AE24" s="2" t="n"/>
      <c r="AF24" s="2" t="n"/>
      <c r="AG24" s="2" t="n"/>
      <c r="AH24" s="2" t="n"/>
      <c r="AI24" s="2" t="n"/>
      <c r="AJ24" s="2" t="n"/>
      <c r="AK24" s="2" t="n"/>
      <c r="AL24" s="2" t="n"/>
      <c r="AM24" s="2" t="n">
        <v>0.9</v>
      </c>
      <c r="AN24" s="2" t="n"/>
      <c r="AO24" s="2" t="inlineStr">
        <is>
          <t>cilindrada desconocida: se aplica el tramo de cuota fija más alto; cuota fija ITP: &gt;12 años, más de 2.000 cc; fiabilidad del modelo PENDIENTE de fuente (puntuación neutra)</t>
        </is>
      </c>
      <c r="AP24" s="2" t="inlineStr">
        <is>
          <t>Se vende coche por 3000€ con fallo en el cilindro 4 baja compresión. Embrague nuevo ,caja de cambios nueva, filtros recién cambiados y las 4 bobinas nuevas . ITV hasta mayo.</t>
        </is>
      </c>
      <c r="AQ24" s="2" t="inlineStr">
        <is>
          <t>https://es.wallapop.com/item/peugeot-207-2008-1318790630 (__NEXT_DATA__ item) /home/user/Alopecia/buscador-coches/raw/wallapop/2849de789c65555b.json</t>
        </is>
      </c>
      <c r="AR24" s="3">
        <f>MAX(ANIO_ACTUAL-M24,0)</f>
        <v/>
      </c>
      <c r="AS24" s="4">
        <f>N24/MAX(AR24,0.5)</f>
        <v/>
      </c>
      <c r="AT24" s="4">
        <f>F24</f>
        <v/>
      </c>
      <c r="AU24" s="3">
        <f>AT24&amp;"|"&amp;INT(M24/SEG_ANIO)*SEG_ANIO</f>
        <v/>
      </c>
      <c r="AV24" s="3">
        <f>AU24&amp;"|"&amp;INT(N24/SEG_KM)*SEG_KM</f>
        <v/>
      </c>
      <c r="AW24" s="4">
        <f>COUNTIF($AT$2:$AT$39,AT24)</f>
        <v/>
      </c>
      <c r="AX24" s="4">
        <f>COUNTIF($AU$2:$AU$39,AU24)</f>
        <v/>
      </c>
      <c r="AY24" s="4">
        <f>COUNTIF($AV$2:$AV$39,AV24)</f>
        <v/>
      </c>
      <c r="AZ24" s="3">
        <f t="array" ref="AZ24">IF(AY24&gt;=MIN_N,MEDIAN(IF($AV$2:$AV$39=AV24,$O$2:$O$39)),IF(AX24&gt;=MIN_N,MEDIAN(IF($AU$2:$AU$39=AU24,$O$2:$O$39)),MEDIAN(IF($AT$2:$AT$39=AT24,$O$2:$O$39))))</f>
        <v/>
      </c>
      <c r="BA24" s="3">
        <f>IF(AY24&gt;=MIN_N,"modelo+año+km",IF(AX24&gt;=MIN_N,"modelo+año","modelo"))</f>
        <v/>
      </c>
      <c r="BB24" s="4">
        <f>(AZ24-O24)/AZ24</f>
        <v/>
      </c>
      <c r="BC24" s="3">
        <f>IF(OR(K24="hibrido",K24="glp"),"ECO",IF(K24="electrico","CERO",IF(K24="gasolina",IF(M24&gt;=GAS_C,"C",IF(M24&gt;=GAS_B,"B","A")),IF(K24="diesel",IF(M24&gt;=DIE_C,"C",IF(M24&gt;=DIE_B,"B","A")),""))))</f>
        <v/>
      </c>
      <c r="BD24" s="3">
        <f>IFERROR(VLOOKUP(F24,MOD_TBL,11,0),IFERROR(VLOOKUP(E24,OCU_TBL,2,0),NEUTRO))</f>
        <v/>
      </c>
      <c r="BE24" s="3">
        <f>SUMIFS(MOT_AJUSTE,MOT_MOTOR,G24,MOT_MARCA,E24,MOT_DESDE,"&lt;="&amp;M24,MOT_HASTA,"&gt;="&amp;M24)+SUMIFS(MOT_AJUSTE,MOT_MOTOR,G24,MOT_MARCA,"(todas)",MOT_DESDE,"&lt;="&amp;M24,MOT_HASTA,"&gt;="&amp;M24)</f>
        <v/>
      </c>
      <c r="BF24" s="3">
        <f>SUMIFS(COMB_AJUSTE,COMB_COMB,K24)</f>
        <v/>
      </c>
      <c r="BG24" s="4">
        <f>MAX(0,MIN(100,BD24+BE24+BF24))</f>
        <v/>
      </c>
      <c r="BH24" s="3">
        <f>MAX(0,MIN(100,50+BB24*PRECIO_PEND))</f>
        <v/>
      </c>
      <c r="BI24" s="3">
        <f>MAX(0,100*(1-N24/KM_MAX))</f>
        <v/>
      </c>
      <c r="BJ24" s="3">
        <f>IF(AS24&lt;KMA_SOSP,IF(AA24="sí",100,KMA_PEN),IF(AS24&lt;=KMA_IDEAL_MAX,100,MAX(0,100*(KMA_CERO-AS24)/(KMA_CERO-KMA_IDEAL_MAX))))</f>
        <v/>
      </c>
      <c r="BK24" s="3">
        <f>MAX(0,MIN(100,100*(M24-ANIO_MIN)/(ANIO_ACTUAL-ANIO_MIN)))</f>
        <v/>
      </c>
      <c r="BL24" s="3">
        <f>W_KMT*BI24+W_KMA*BJ24+W_EDAD*BK24</f>
        <v/>
      </c>
      <c r="BM24" s="3">
        <f>P_ITV*(V24="sí")+P_LIBRO*(W24="sí")+P_CORREA*(X24="sí")+P_PROP*(Y24=1)+P_GAR*(Z24="sí")+P_FOTOS*MIN(1,N(U24)/FOTOS_OBJ)</f>
        <v/>
      </c>
      <c r="BN24" s="3">
        <f>IFERROR(VLOOKUP(BC24,ETQ_TBL,2,0),NEUTRO)</f>
        <v/>
      </c>
      <c r="BO24" s="3">
        <f>NEUTRO</f>
        <v/>
      </c>
      <c r="BP24" s="3">
        <f>IFERROR(VLOOKUP(L24,SEGURO_TBL,3,0),"")</f>
        <v/>
      </c>
      <c r="BQ24" s="3">
        <f>IF(BP24="",NEUTRO,MAX(0,MIN(100,100*(SEG_REF_MAX-BP24)/(SEG_REF_MAX-SEG_REF_MIN))))</f>
        <v/>
      </c>
      <c r="BR24" s="3">
        <f>W_ET*BN24+W_CONS*BO24+W_SEG*BQ24</f>
        <v/>
      </c>
      <c r="BS24" s="3">
        <f>IF(N(AB24)&gt;0,AB24,IF(AND(R24="profesional",SG_LEGAL_ON=1),GAR_LEGAL,0))</f>
        <v/>
      </c>
      <c r="BT24" s="3">
        <f>SG_GAR*MIN(1,BS24/SG_GAR_FULL)+SG_AMPL*(AC24="sí")+SG_KMC*(AF24="sí")+SG_REV*(N(AE24)&gt;0)+SG_DEV*MIN(1,N(AG24)/SG_DEV_FULL)+SG_HIST*(W24="sí")</f>
        <v/>
      </c>
      <c r="BU24" s="3">
        <f>W_FIAB*BG24+W_PRECIO*BH24+W_KMEDAD*BL24+W_ANUNCIO*BM24+W_USO*BR24+W_SEGURIDAD*BT24</f>
        <v/>
      </c>
      <c r="BV24" s="4">
        <f>IF(N(I24)&gt;0,I24,IFERROR(ROUND(_xlfn.NUMBERVALUE(LEFT(G24,FIND(" ",G24&amp;" ")-1),".")*1000,0),99999))</f>
        <v/>
      </c>
      <c r="BW24" s="3">
        <f>IF(R24="profesional",0,IF(O24&lt;CUOTA_VALOR_MAX,IF(AR24&gt;ITP_TRAMO_ALTO,SUMIFS(CF_CUOTA,CF_MAS,ITP_TRAMO_ALTO,CF_CCMIN,"&lt;="&amp;BV24,CF_CCMAX,"&gt;="&amp;BV24),IF(AR24&gt;ITP_TRAMO_BAJO,SUMIFS(CF_CUOTA,CF_MAS,ITP_TRAMO_BAJO,CF_CCMIN,"&lt;="&amp;BV24,CF_CCMAX,"&gt;="&amp;BV24),O24*ITP_TIPO)),O24*ITP_TIPO))</f>
        <v/>
      </c>
      <c r="BX24" s="4">
        <f>IF(R24="profesional",N(AK24),0)</f>
        <v/>
      </c>
      <c r="BY24" s="3">
        <f>IF(AND(R24="profesional",ISNUMBER(AK24),AL24="sí"),0,TASA_DGT)</f>
        <v/>
      </c>
      <c r="BZ24" s="3">
        <f>INFORME_DGT</f>
        <v/>
      </c>
      <c r="CA24" s="4">
        <f>O24+BX24+BW24+BY24+BZ24</f>
        <v/>
      </c>
      <c r="CB24" s="4">
        <f>CA24+N(BP24)</f>
        <v/>
      </c>
      <c r="CC24" s="3">
        <f>IF(CA24&lt;=TOTAL_MAX,"sí","no")</f>
        <v/>
      </c>
      <c r="CD24" s="4">
        <f>IF(CC24="sí",COUNTIFS($CC$2:$CC$39,"sí",$BU$2:$BU$39,"&gt;"&amp;BU24)+COUNTIFS($CC$2:CC24,"sí",$BU$2:BU24,BU24),"")</f>
        <v/>
      </c>
    </row>
    <row r="25">
      <c r="A25" s="2" t="inlineStr">
        <is>
          <t>wallapop:1309416714</t>
        </is>
      </c>
      <c r="B25" s="2" t="inlineStr">
        <is>
          <t>wallapop</t>
        </is>
      </c>
      <c r="C25" s="2" t="inlineStr">
        <is>
          <t>https://es.wallapop.com/item/peugeot-207-2012-1309416714</t>
        </is>
      </c>
      <c r="D25" s="2" t="inlineStr">
        <is>
          <t>Peugeot 207 2012 pocos KM</t>
        </is>
      </c>
      <c r="E25" s="2" t="inlineStr">
        <is>
          <t>Peugeot</t>
        </is>
      </c>
      <c r="F25" s="2" t="inlineStr">
        <is>
          <t>Peugeot 207</t>
        </is>
      </c>
      <c r="G25" s="2" t="inlineStr">
        <is>
          <t>1.4</t>
        </is>
      </c>
      <c r="H25" s="2" t="inlineStr">
        <is>
          <t>1.4i 75 Access 5p AM80</t>
        </is>
      </c>
      <c r="I25" s="2" t="n"/>
      <c r="J25" s="2" t="n">
        <v>75</v>
      </c>
      <c r="K25" s="2" t="inlineStr">
        <is>
          <t>gasolina</t>
        </is>
      </c>
      <c r="L25" s="2" t="inlineStr">
        <is>
          <t>utilitario</t>
        </is>
      </c>
      <c r="M25" s="2" t="n">
        <v>2012</v>
      </c>
      <c r="N25" s="2" t="n">
        <v>145000</v>
      </c>
      <c r="O25" s="2" t="n">
        <v>4200</v>
      </c>
      <c r="P25" s="2" t="inlineStr">
        <is>
          <t>manual</t>
        </is>
      </c>
      <c r="Q25" s="2" t="inlineStr">
        <is>
          <t>no</t>
        </is>
      </c>
      <c r="R25" s="2" t="inlineStr">
        <is>
          <t>particular</t>
        </is>
      </c>
      <c r="S25" s="2" t="inlineStr">
        <is>
          <t>Valencia (46002)</t>
        </is>
      </c>
      <c r="T25" s="2" t="inlineStr">
        <is>
          <t>2026-10-26T10:28:41</t>
        </is>
      </c>
      <c r="U25" s="2" t="n">
        <v>7</v>
      </c>
      <c r="V25" s="2" t="inlineStr">
        <is>
          <t>sí</t>
        </is>
      </c>
      <c r="W25" s="2" t="n"/>
      <c r="X25" s="2" t="inlineStr">
        <is>
          <t>sí</t>
        </is>
      </c>
      <c r="Y25" s="2" t="n"/>
      <c r="Z25" s="2" t="n"/>
      <c r="AA25" s="2" t="n"/>
      <c r="AB25" s="2" t="n"/>
      <c r="AC25" s="2" t="n"/>
      <c r="AD25" s="2" t="n"/>
      <c r="AE25" s="2" t="n"/>
      <c r="AF25" s="2" t="n"/>
      <c r="AG25" s="2" t="n"/>
      <c r="AH25" s="2" t="n"/>
      <c r="AI25" s="2" t="n"/>
      <c r="AJ25" s="2" t="n"/>
      <c r="AK25" s="2" t="n"/>
      <c r="AL25" s="2" t="n"/>
      <c r="AM25" s="2" t="n">
        <v>0</v>
      </c>
      <c r="AN25" s="2" t="n"/>
      <c r="AO25" s="2" t="inlineStr">
        <is>
          <t>cuota fija ITP: &gt;12 años, hasta 1.500 cc; fiabilidad del modelo PENDIENTE de fuente (puntuación neutra)</t>
        </is>
      </c>
      <c r="AP25" s="2" t="inlineStr">
        <is>
          <t>Se vende Peugeot 207 del año 2012 y con tan solo 145.000 km. Motor 1.4i  poco consumo.
Distribución cambiada.
El coche esta cuidado y va fino.
Itv hasta junio 27.
Revisión de aceite y filtros reciente.
2 llaves.
Se puede ver y probar</t>
        </is>
      </c>
      <c r="AQ25" s="2" t="inlineStr">
        <is>
          <t>https://es.wallapop.com/item/peugeot-207-2012-1309416714 (__NEXT_DATA__ item) /home/user/Alopecia/buscador-coches/raw/wallapop/65f9534ea3b1df77.json</t>
        </is>
      </c>
      <c r="AR25" s="3">
        <f>MAX(ANIO_ACTUAL-M25,0)</f>
        <v/>
      </c>
      <c r="AS25" s="4">
        <f>N25/MAX(AR25,0.5)</f>
        <v/>
      </c>
      <c r="AT25" s="4">
        <f>F25</f>
        <v/>
      </c>
      <c r="AU25" s="3">
        <f>AT25&amp;"|"&amp;INT(M25/SEG_ANIO)*SEG_ANIO</f>
        <v/>
      </c>
      <c r="AV25" s="3">
        <f>AU25&amp;"|"&amp;INT(N25/SEG_KM)*SEG_KM</f>
        <v/>
      </c>
      <c r="AW25" s="4">
        <f>COUNTIF($AT$2:$AT$39,AT25)</f>
        <v/>
      </c>
      <c r="AX25" s="4">
        <f>COUNTIF($AU$2:$AU$39,AU25)</f>
        <v/>
      </c>
      <c r="AY25" s="4">
        <f>COUNTIF($AV$2:$AV$39,AV25)</f>
        <v/>
      </c>
      <c r="AZ25" s="3">
        <f t="array" ref="AZ25">IF(AY25&gt;=MIN_N,MEDIAN(IF($AV$2:$AV$39=AV25,$O$2:$O$39)),IF(AX25&gt;=MIN_N,MEDIAN(IF($AU$2:$AU$39=AU25,$O$2:$O$39)),MEDIAN(IF($AT$2:$AT$39=AT25,$O$2:$O$39))))</f>
        <v/>
      </c>
      <c r="BA25" s="3">
        <f>IF(AY25&gt;=MIN_N,"modelo+año+km",IF(AX25&gt;=MIN_N,"modelo+año","modelo"))</f>
        <v/>
      </c>
      <c r="BB25" s="4">
        <f>(AZ25-O25)/AZ25</f>
        <v/>
      </c>
      <c r="BC25" s="3">
        <f>IF(OR(K25="hibrido",K25="glp"),"ECO",IF(K25="electrico","CERO",IF(K25="gasolina",IF(M25&gt;=GAS_C,"C",IF(M25&gt;=GAS_B,"B","A")),IF(K25="diesel",IF(M25&gt;=DIE_C,"C",IF(M25&gt;=DIE_B,"B","A")),""))))</f>
        <v/>
      </c>
      <c r="BD25" s="3">
        <f>IFERROR(VLOOKUP(F25,MOD_TBL,11,0),IFERROR(VLOOKUP(E25,OCU_TBL,2,0),NEUTRO))</f>
        <v/>
      </c>
      <c r="BE25" s="3">
        <f>SUMIFS(MOT_AJUSTE,MOT_MOTOR,G25,MOT_MARCA,E25,MOT_DESDE,"&lt;="&amp;M25,MOT_HASTA,"&gt;="&amp;M25)+SUMIFS(MOT_AJUSTE,MOT_MOTOR,G25,MOT_MARCA,"(todas)",MOT_DESDE,"&lt;="&amp;M25,MOT_HASTA,"&gt;="&amp;M25)</f>
        <v/>
      </c>
      <c r="BF25" s="3">
        <f>SUMIFS(COMB_AJUSTE,COMB_COMB,K25)</f>
        <v/>
      </c>
      <c r="BG25" s="4">
        <f>MAX(0,MIN(100,BD25+BE25+BF25))</f>
        <v/>
      </c>
      <c r="BH25" s="3">
        <f>MAX(0,MIN(100,50+BB25*PRECIO_PEND))</f>
        <v/>
      </c>
      <c r="BI25" s="3">
        <f>MAX(0,100*(1-N25/KM_MAX))</f>
        <v/>
      </c>
      <c r="BJ25" s="3">
        <f>IF(AS25&lt;KMA_SOSP,IF(AA25="sí",100,KMA_PEN),IF(AS25&lt;=KMA_IDEAL_MAX,100,MAX(0,100*(KMA_CERO-AS25)/(KMA_CERO-KMA_IDEAL_MAX))))</f>
        <v/>
      </c>
      <c r="BK25" s="3">
        <f>MAX(0,MIN(100,100*(M25-ANIO_MIN)/(ANIO_ACTUAL-ANIO_MIN)))</f>
        <v/>
      </c>
      <c r="BL25" s="3">
        <f>W_KMT*BI25+W_KMA*BJ25+W_EDAD*BK25</f>
        <v/>
      </c>
      <c r="BM25" s="3">
        <f>P_ITV*(V25="sí")+P_LIBRO*(W25="sí")+P_CORREA*(X25="sí")+P_PROP*(Y25=1)+P_GAR*(Z25="sí")+P_FOTOS*MIN(1,N(U25)/FOTOS_OBJ)</f>
        <v/>
      </c>
      <c r="BN25" s="3">
        <f>IFERROR(VLOOKUP(BC25,ETQ_TBL,2,0),NEUTRO)</f>
        <v/>
      </c>
      <c r="BO25" s="3">
        <f>NEUTRO</f>
        <v/>
      </c>
      <c r="BP25" s="3">
        <f>IFERROR(VLOOKUP(L25,SEGURO_TBL,3,0),"")</f>
        <v/>
      </c>
      <c r="BQ25" s="3">
        <f>IF(BP25="",NEUTRO,MAX(0,MIN(100,100*(SEG_REF_MAX-BP25)/(SEG_REF_MAX-SEG_REF_MIN))))</f>
        <v/>
      </c>
      <c r="BR25" s="3">
        <f>W_ET*BN25+W_CONS*BO25+W_SEG*BQ25</f>
        <v/>
      </c>
      <c r="BS25" s="3">
        <f>IF(N(AB25)&gt;0,AB25,IF(AND(R25="profesional",SG_LEGAL_ON=1),GAR_LEGAL,0))</f>
        <v/>
      </c>
      <c r="BT25" s="3">
        <f>SG_GAR*MIN(1,BS25/SG_GAR_FULL)+SG_AMPL*(AC25="sí")+SG_KMC*(AF25="sí")+SG_REV*(N(AE25)&gt;0)+SG_DEV*MIN(1,N(AG25)/SG_DEV_FULL)+SG_HIST*(W25="sí")</f>
        <v/>
      </c>
      <c r="BU25" s="3">
        <f>W_FIAB*BG25+W_PRECIO*BH25+W_KMEDAD*BL25+W_ANUNCIO*BM25+W_USO*BR25+W_SEGURIDAD*BT25</f>
        <v/>
      </c>
      <c r="BV25" s="4">
        <f>IF(N(I25)&gt;0,I25,IFERROR(ROUND(_xlfn.NUMBERVALUE(LEFT(G25,FIND(" ",G25&amp;" ")-1),".")*1000,0),99999))</f>
        <v/>
      </c>
      <c r="BW25" s="3">
        <f>IF(R25="profesional",0,IF(O25&lt;CUOTA_VALOR_MAX,IF(AR25&gt;ITP_TRAMO_ALTO,SUMIFS(CF_CUOTA,CF_MAS,ITP_TRAMO_ALTO,CF_CCMIN,"&lt;="&amp;BV25,CF_CCMAX,"&gt;="&amp;BV25),IF(AR25&gt;ITP_TRAMO_BAJO,SUMIFS(CF_CUOTA,CF_MAS,ITP_TRAMO_BAJO,CF_CCMIN,"&lt;="&amp;BV25,CF_CCMAX,"&gt;="&amp;BV25),O25*ITP_TIPO)),O25*ITP_TIPO))</f>
        <v/>
      </c>
      <c r="BX25" s="4">
        <f>IF(R25="profesional",N(AK25),0)</f>
        <v/>
      </c>
      <c r="BY25" s="3">
        <f>IF(AND(R25="profesional",ISNUMBER(AK25),AL25="sí"),0,TASA_DGT)</f>
        <v/>
      </c>
      <c r="BZ25" s="3">
        <f>INFORME_DGT</f>
        <v/>
      </c>
      <c r="CA25" s="4">
        <f>O25+BX25+BW25+BY25+BZ25</f>
        <v/>
      </c>
      <c r="CB25" s="4">
        <f>CA25+N(BP25)</f>
        <v/>
      </c>
      <c r="CC25" s="3">
        <f>IF(CA25&lt;=TOTAL_MAX,"sí","no")</f>
        <v/>
      </c>
      <c r="CD25" s="4">
        <f>IF(CC25="sí",COUNTIFS($CC$2:$CC$39,"sí",$BU$2:$BU$39,"&gt;"&amp;BU25)+COUNTIFS($CC$2:CC25,"sí",$BU$2:BU25,BU25),"")</f>
        <v/>
      </c>
    </row>
    <row r="26">
      <c r="A26" s="2" t="inlineStr">
        <is>
          <t>wallapop:1295140251</t>
        </is>
      </c>
      <c r="B26" s="2" t="inlineStr">
        <is>
          <t>wallapop</t>
        </is>
      </c>
      <c r="C26" s="2" t="inlineStr">
        <is>
          <t>https://es.wallapop.com/item/peugeot-207-2010-1295140251</t>
        </is>
      </c>
      <c r="D26" s="2" t="inlineStr">
        <is>
          <t>Peugeot 207 2010</t>
        </is>
      </c>
      <c r="E26" s="2" t="inlineStr">
        <is>
          <t>Peugeot</t>
        </is>
      </c>
      <c r="F26" s="2" t="inlineStr">
        <is>
          <t>Peugeot 207</t>
        </is>
      </c>
      <c r="G26" s="2" t="inlineStr">
        <is>
          <t>1.4 VTi</t>
        </is>
      </c>
      <c r="H26" s="2" t="inlineStr">
        <is>
          <t>1.4 VTi 95 Confort 5p AM70</t>
        </is>
      </c>
      <c r="I26" s="2" t="n"/>
      <c r="J26" s="2" t="n">
        <v>95</v>
      </c>
      <c r="K26" s="2" t="inlineStr">
        <is>
          <t>gasolina</t>
        </is>
      </c>
      <c r="L26" s="2" t="inlineStr">
        <is>
          <t>utilitario</t>
        </is>
      </c>
      <c r="M26" s="2" t="n">
        <v>2010</v>
      </c>
      <c r="N26" s="2" t="n">
        <v>140000</v>
      </c>
      <c r="O26" s="2" t="n">
        <v>3200</v>
      </c>
      <c r="P26" s="2" t="inlineStr">
        <is>
          <t>manual</t>
        </is>
      </c>
      <c r="Q26" s="2" t="inlineStr">
        <is>
          <t>no</t>
        </is>
      </c>
      <c r="R26" s="2" t="inlineStr">
        <is>
          <t>particular</t>
        </is>
      </c>
      <c r="S26" s="2" t="inlineStr">
        <is>
          <t>Valencia (46002)</t>
        </is>
      </c>
      <c r="T26" s="2" t="inlineStr">
        <is>
          <t>2026-09-24T08:57:29</t>
        </is>
      </c>
      <c r="U26" s="2" t="n">
        <v>5</v>
      </c>
      <c r="V26" s="2" t="n"/>
      <c r="W26" s="2" t="n"/>
      <c r="X26" s="2" t="n"/>
      <c r="Y26" s="2" t="n"/>
      <c r="Z26" s="2" t="n"/>
      <c r="AA26" s="2" t="n"/>
      <c r="AB26" s="2" t="n"/>
      <c r="AC26" s="2" t="n"/>
      <c r="AD26" s="2" t="n"/>
      <c r="AE26" s="2" t="n"/>
      <c r="AF26" s="2" t="n"/>
      <c r="AG26" s="2" t="n"/>
      <c r="AH26" s="2" t="n"/>
      <c r="AI26" s="2" t="n"/>
      <c r="AJ26" s="2" t="n"/>
      <c r="AK26" s="2" t="n"/>
      <c r="AL26" s="2" t="n"/>
      <c r="AM26" s="2" t="n">
        <v>0.5</v>
      </c>
      <c r="AN26" s="2" t="n"/>
      <c r="AO26" s="2" t="inlineStr">
        <is>
          <t>cuota fija ITP: &gt;12 años, hasta 1.500 cc; fiabilidad del modelo PENDIENTE de fuente (puntuación neutra)</t>
        </is>
      </c>
      <c r="AP26" s="2" t="inlineStr">
        <is>
          <t xml:space="preserve">Se le acaba de hacer distribución, aceite y filtros, bujías, junta de culata nueva, válvulas nuevas, 
Lo probáis y sacáis conclusión.  </t>
        </is>
      </c>
      <c r="AQ26" s="2" t="inlineStr">
        <is>
          <t>https://es.wallapop.com/item/peugeot-207-2010-1295140251 (__NEXT_DATA__ item) /home/user/Alopecia/buscador-coches/raw/wallapop/4e14ec4c538561fc.json</t>
        </is>
      </c>
      <c r="AR26" s="3">
        <f>MAX(ANIO_ACTUAL-M26,0)</f>
        <v/>
      </c>
      <c r="AS26" s="4">
        <f>N26/MAX(AR26,0.5)</f>
        <v/>
      </c>
      <c r="AT26" s="4">
        <f>F26</f>
        <v/>
      </c>
      <c r="AU26" s="3">
        <f>AT26&amp;"|"&amp;INT(M26/SEG_ANIO)*SEG_ANIO</f>
        <v/>
      </c>
      <c r="AV26" s="3">
        <f>AU26&amp;"|"&amp;INT(N26/SEG_KM)*SEG_KM</f>
        <v/>
      </c>
      <c r="AW26" s="4">
        <f>COUNTIF($AT$2:$AT$39,AT26)</f>
        <v/>
      </c>
      <c r="AX26" s="4">
        <f>COUNTIF($AU$2:$AU$39,AU26)</f>
        <v/>
      </c>
      <c r="AY26" s="4">
        <f>COUNTIF($AV$2:$AV$39,AV26)</f>
        <v/>
      </c>
      <c r="AZ26" s="3">
        <f t="array" ref="AZ26">IF(AY26&gt;=MIN_N,MEDIAN(IF($AV$2:$AV$39=AV26,$O$2:$O$39)),IF(AX26&gt;=MIN_N,MEDIAN(IF($AU$2:$AU$39=AU26,$O$2:$O$39)),MEDIAN(IF($AT$2:$AT$39=AT26,$O$2:$O$39))))</f>
        <v/>
      </c>
      <c r="BA26" s="3">
        <f>IF(AY26&gt;=MIN_N,"modelo+año+km",IF(AX26&gt;=MIN_N,"modelo+año","modelo"))</f>
        <v/>
      </c>
      <c r="BB26" s="4">
        <f>(AZ26-O26)/AZ26</f>
        <v/>
      </c>
      <c r="BC26" s="3">
        <f>IF(OR(K26="hibrido",K26="glp"),"ECO",IF(K26="electrico","CERO",IF(K26="gasolina",IF(M26&gt;=GAS_C,"C",IF(M26&gt;=GAS_B,"B","A")),IF(K26="diesel",IF(M26&gt;=DIE_C,"C",IF(M26&gt;=DIE_B,"B","A")),""))))</f>
        <v/>
      </c>
      <c r="BD26" s="3">
        <f>IFERROR(VLOOKUP(F26,MOD_TBL,11,0),IFERROR(VLOOKUP(E26,OCU_TBL,2,0),NEUTRO))</f>
        <v/>
      </c>
      <c r="BE26" s="3">
        <f>SUMIFS(MOT_AJUSTE,MOT_MOTOR,G26,MOT_MARCA,E26,MOT_DESDE,"&lt;="&amp;M26,MOT_HASTA,"&gt;="&amp;M26)+SUMIFS(MOT_AJUSTE,MOT_MOTOR,G26,MOT_MARCA,"(todas)",MOT_DESDE,"&lt;="&amp;M26,MOT_HASTA,"&gt;="&amp;M26)</f>
        <v/>
      </c>
      <c r="BF26" s="3">
        <f>SUMIFS(COMB_AJUSTE,COMB_COMB,K26)</f>
        <v/>
      </c>
      <c r="BG26" s="4">
        <f>MAX(0,MIN(100,BD26+BE26+BF26))</f>
        <v/>
      </c>
      <c r="BH26" s="3">
        <f>MAX(0,MIN(100,50+BB26*PRECIO_PEND))</f>
        <v/>
      </c>
      <c r="BI26" s="3">
        <f>MAX(0,100*(1-N26/KM_MAX))</f>
        <v/>
      </c>
      <c r="BJ26" s="3">
        <f>IF(AS26&lt;KMA_SOSP,IF(AA26="sí",100,KMA_PEN),IF(AS26&lt;=KMA_IDEAL_MAX,100,MAX(0,100*(KMA_CERO-AS26)/(KMA_CERO-KMA_IDEAL_MAX))))</f>
        <v/>
      </c>
      <c r="BK26" s="3">
        <f>MAX(0,MIN(100,100*(M26-ANIO_MIN)/(ANIO_ACTUAL-ANIO_MIN)))</f>
        <v/>
      </c>
      <c r="BL26" s="3">
        <f>W_KMT*BI26+W_KMA*BJ26+W_EDAD*BK26</f>
        <v/>
      </c>
      <c r="BM26" s="3">
        <f>P_ITV*(V26="sí")+P_LIBRO*(W26="sí")+P_CORREA*(X26="sí")+P_PROP*(Y26=1)+P_GAR*(Z26="sí")+P_FOTOS*MIN(1,N(U26)/FOTOS_OBJ)</f>
        <v/>
      </c>
      <c r="BN26" s="3">
        <f>IFERROR(VLOOKUP(BC26,ETQ_TBL,2,0),NEUTRO)</f>
        <v/>
      </c>
      <c r="BO26" s="3">
        <f>NEUTRO</f>
        <v/>
      </c>
      <c r="BP26" s="3">
        <f>IFERROR(VLOOKUP(L26,SEGURO_TBL,3,0),"")</f>
        <v/>
      </c>
      <c r="BQ26" s="3">
        <f>IF(BP26="",NEUTRO,MAX(0,MIN(100,100*(SEG_REF_MAX-BP26)/(SEG_REF_MAX-SEG_REF_MIN))))</f>
        <v/>
      </c>
      <c r="BR26" s="3">
        <f>W_ET*BN26+W_CONS*BO26+W_SEG*BQ26</f>
        <v/>
      </c>
      <c r="BS26" s="3">
        <f>IF(N(AB26)&gt;0,AB26,IF(AND(R26="profesional",SG_LEGAL_ON=1),GAR_LEGAL,0))</f>
        <v/>
      </c>
      <c r="BT26" s="3">
        <f>SG_GAR*MIN(1,BS26/SG_GAR_FULL)+SG_AMPL*(AC26="sí")+SG_KMC*(AF26="sí")+SG_REV*(N(AE26)&gt;0)+SG_DEV*MIN(1,N(AG26)/SG_DEV_FULL)+SG_HIST*(W26="sí")</f>
        <v/>
      </c>
      <c r="BU26" s="3">
        <f>W_FIAB*BG26+W_PRECIO*BH26+W_KMEDAD*BL26+W_ANUNCIO*BM26+W_USO*BR26+W_SEGURIDAD*BT26</f>
        <v/>
      </c>
      <c r="BV26" s="4">
        <f>IF(N(I26)&gt;0,I26,IFERROR(ROUND(_xlfn.NUMBERVALUE(LEFT(G26,FIND(" ",G26&amp;" ")-1),".")*1000,0),99999))</f>
        <v/>
      </c>
      <c r="BW26" s="3">
        <f>IF(R26="profesional",0,IF(O26&lt;CUOTA_VALOR_MAX,IF(AR26&gt;ITP_TRAMO_ALTO,SUMIFS(CF_CUOTA,CF_MAS,ITP_TRAMO_ALTO,CF_CCMIN,"&lt;="&amp;BV26,CF_CCMAX,"&gt;="&amp;BV26),IF(AR26&gt;ITP_TRAMO_BAJO,SUMIFS(CF_CUOTA,CF_MAS,ITP_TRAMO_BAJO,CF_CCMIN,"&lt;="&amp;BV26,CF_CCMAX,"&gt;="&amp;BV26),O26*ITP_TIPO)),O26*ITP_TIPO))</f>
        <v/>
      </c>
      <c r="BX26" s="4">
        <f>IF(R26="profesional",N(AK26),0)</f>
        <v/>
      </c>
      <c r="BY26" s="3">
        <f>IF(AND(R26="profesional",ISNUMBER(AK26),AL26="sí"),0,TASA_DGT)</f>
        <v/>
      </c>
      <c r="BZ26" s="3">
        <f>INFORME_DGT</f>
        <v/>
      </c>
      <c r="CA26" s="4">
        <f>O26+BX26+BW26+BY26+BZ26</f>
        <v/>
      </c>
      <c r="CB26" s="4">
        <f>CA26+N(BP26)</f>
        <v/>
      </c>
      <c r="CC26" s="3">
        <f>IF(CA26&lt;=TOTAL_MAX,"sí","no")</f>
        <v/>
      </c>
      <c r="CD26" s="4">
        <f>IF(CC26="sí",COUNTIFS($CC$2:$CC$39,"sí",$BU$2:$BU$39,"&gt;"&amp;BU26)+COUNTIFS($CC$2:CC26,"sí",$BU$2:BU26,BU26),"")</f>
        <v/>
      </c>
    </row>
    <row r="27">
      <c r="A27" s="2" t="inlineStr">
        <is>
          <t>wallapop:1288549890</t>
        </is>
      </c>
      <c r="B27" s="2" t="inlineStr">
        <is>
          <t>wallapop</t>
        </is>
      </c>
      <c r="C27" s="2" t="inlineStr">
        <is>
          <t>https://es.wallapop.com/item/peugeot-207-2008-1288549890</t>
        </is>
      </c>
      <c r="D27" s="2" t="inlineStr">
        <is>
          <t>Peugeot 207 2008</t>
        </is>
      </c>
      <c r="E27" s="2" t="inlineStr">
        <is>
          <t>Peugeot</t>
        </is>
      </c>
      <c r="F27" s="2" t="inlineStr">
        <is>
          <t>Peugeot 207</t>
        </is>
      </c>
      <c r="G27" s="2" t="inlineStr">
        <is>
          <t>1.6 THP</t>
        </is>
      </c>
      <c r="H27" s="2" t="inlineStr">
        <is>
          <t>1.6 THP 175 RC 3p AM62</t>
        </is>
      </c>
      <c r="I27" s="2" t="n"/>
      <c r="J27" s="2" t="n">
        <v>175</v>
      </c>
      <c r="K27" s="2" t="inlineStr">
        <is>
          <t>gasolina</t>
        </is>
      </c>
      <c r="L27" s="2" t="inlineStr">
        <is>
          <t>utilitario</t>
        </is>
      </c>
      <c r="M27" s="2" t="n">
        <v>2008</v>
      </c>
      <c r="N27" s="2" t="n">
        <v>195400</v>
      </c>
      <c r="O27" s="2" t="n">
        <v>3900</v>
      </c>
      <c r="P27" s="2" t="inlineStr">
        <is>
          <t>manual</t>
        </is>
      </c>
      <c r="Q27" s="2" t="inlineStr">
        <is>
          <t>no</t>
        </is>
      </c>
      <c r="R27" s="2" t="inlineStr">
        <is>
          <t>particular</t>
        </is>
      </c>
      <c r="S27" s="2" t="inlineStr">
        <is>
          <t>Valencia (46002)</t>
        </is>
      </c>
      <c r="T27" s="2" t="inlineStr">
        <is>
          <t>2026-10-13T12:48:33</t>
        </is>
      </c>
      <c r="U27" s="2" t="n">
        <v>10</v>
      </c>
      <c r="V27" s="2" t="n"/>
      <c r="W27" s="2" t="n"/>
      <c r="X27" s="2" t="n"/>
      <c r="Y27" s="2" t="n"/>
      <c r="Z27" s="2" t="n"/>
      <c r="AA27" s="2" t="n"/>
      <c r="AB27" s="2" t="n"/>
      <c r="AC27" s="2" t="n"/>
      <c r="AD27" s="2" t="n"/>
      <c r="AE27" s="2" t="n"/>
      <c r="AF27" s="2" t="n"/>
      <c r="AG27" s="2" t="n"/>
      <c r="AH27" s="2" t="n"/>
      <c r="AI27" s="2" t="n"/>
      <c r="AJ27" s="2" t="n"/>
      <c r="AK27" s="2" t="n"/>
      <c r="AL27" s="2" t="n"/>
      <c r="AM27" s="2" t="n">
        <v>0.5</v>
      </c>
      <c r="AN27" s="2" t="n"/>
      <c r="AO27" s="2" t="inlineStr">
        <is>
          <t>cuota fija ITP: &gt;12 años, 1.501-2.000 cc; fiabilidad del modelo PENDIENTE de fuente (puntuación neutra)</t>
        </is>
      </c>
      <c r="AP27" s="2" t="inlineStr">
        <is>
          <t xml:space="preserve">PEUGEOT 207, TECHO SOLAR, ASIENTOS DE CUERO. 5 PLAZAS 175 CV COLOR NEGRO, 3 PUERTAS.  PARA MÁS INFO MI NÚMERO ES 691623801 </t>
        </is>
      </c>
      <c r="AQ27" s="2" t="inlineStr">
        <is>
          <t>https://es.wallapop.com/item/peugeot-207-2008-1288549890 (__NEXT_DATA__ item) /home/user/Alopecia/buscador-coches/raw/wallapop/9eb03b1c190a17fe.json</t>
        </is>
      </c>
      <c r="AR27" s="3">
        <f>MAX(ANIO_ACTUAL-M27,0)</f>
        <v/>
      </c>
      <c r="AS27" s="4">
        <f>N27/MAX(AR27,0.5)</f>
        <v/>
      </c>
      <c r="AT27" s="4">
        <f>F27</f>
        <v/>
      </c>
      <c r="AU27" s="3">
        <f>AT27&amp;"|"&amp;INT(M27/SEG_ANIO)*SEG_ANIO</f>
        <v/>
      </c>
      <c r="AV27" s="3">
        <f>AU27&amp;"|"&amp;INT(N27/SEG_KM)*SEG_KM</f>
        <v/>
      </c>
      <c r="AW27" s="4">
        <f>COUNTIF($AT$2:$AT$39,AT27)</f>
        <v/>
      </c>
      <c r="AX27" s="4">
        <f>COUNTIF($AU$2:$AU$39,AU27)</f>
        <v/>
      </c>
      <c r="AY27" s="4">
        <f>COUNTIF($AV$2:$AV$39,AV27)</f>
        <v/>
      </c>
      <c r="AZ27" s="3">
        <f t="array" ref="AZ27">IF(AY27&gt;=MIN_N,MEDIAN(IF($AV$2:$AV$39=AV27,$O$2:$O$39)),IF(AX27&gt;=MIN_N,MEDIAN(IF($AU$2:$AU$39=AU27,$O$2:$O$39)),MEDIAN(IF($AT$2:$AT$39=AT27,$O$2:$O$39))))</f>
        <v/>
      </c>
      <c r="BA27" s="3">
        <f>IF(AY27&gt;=MIN_N,"modelo+año+km",IF(AX27&gt;=MIN_N,"modelo+año","modelo"))</f>
        <v/>
      </c>
      <c r="BB27" s="4">
        <f>(AZ27-O27)/AZ27</f>
        <v/>
      </c>
      <c r="BC27" s="3">
        <f>IF(OR(K27="hibrido",K27="glp"),"ECO",IF(K27="electrico","CERO",IF(K27="gasolina",IF(M27&gt;=GAS_C,"C",IF(M27&gt;=GAS_B,"B","A")),IF(K27="diesel",IF(M27&gt;=DIE_C,"C",IF(M27&gt;=DIE_B,"B","A")),""))))</f>
        <v/>
      </c>
      <c r="BD27" s="3">
        <f>IFERROR(VLOOKUP(F27,MOD_TBL,11,0),IFERROR(VLOOKUP(E27,OCU_TBL,2,0),NEUTRO))</f>
        <v/>
      </c>
      <c r="BE27" s="3">
        <f>SUMIFS(MOT_AJUSTE,MOT_MOTOR,G27,MOT_MARCA,E27,MOT_DESDE,"&lt;="&amp;M27,MOT_HASTA,"&gt;="&amp;M27)+SUMIFS(MOT_AJUSTE,MOT_MOTOR,G27,MOT_MARCA,"(todas)",MOT_DESDE,"&lt;="&amp;M27,MOT_HASTA,"&gt;="&amp;M27)</f>
        <v/>
      </c>
      <c r="BF27" s="3">
        <f>SUMIFS(COMB_AJUSTE,COMB_COMB,K27)</f>
        <v/>
      </c>
      <c r="BG27" s="4">
        <f>MAX(0,MIN(100,BD27+BE27+BF27))</f>
        <v/>
      </c>
      <c r="BH27" s="3">
        <f>MAX(0,MIN(100,50+BB27*PRECIO_PEND))</f>
        <v/>
      </c>
      <c r="BI27" s="3">
        <f>MAX(0,100*(1-N27/KM_MAX))</f>
        <v/>
      </c>
      <c r="BJ27" s="3">
        <f>IF(AS27&lt;KMA_SOSP,IF(AA27="sí",100,KMA_PEN),IF(AS27&lt;=KMA_IDEAL_MAX,100,MAX(0,100*(KMA_CERO-AS27)/(KMA_CERO-KMA_IDEAL_MAX))))</f>
        <v/>
      </c>
      <c r="BK27" s="3">
        <f>MAX(0,MIN(100,100*(M27-ANIO_MIN)/(ANIO_ACTUAL-ANIO_MIN)))</f>
        <v/>
      </c>
      <c r="BL27" s="3">
        <f>W_KMT*BI27+W_KMA*BJ27+W_EDAD*BK27</f>
        <v/>
      </c>
      <c r="BM27" s="3">
        <f>P_ITV*(V27="sí")+P_LIBRO*(W27="sí")+P_CORREA*(X27="sí")+P_PROP*(Y27=1)+P_GAR*(Z27="sí")+P_FOTOS*MIN(1,N(U27)/FOTOS_OBJ)</f>
        <v/>
      </c>
      <c r="BN27" s="3">
        <f>IFERROR(VLOOKUP(BC27,ETQ_TBL,2,0),NEUTRO)</f>
        <v/>
      </c>
      <c r="BO27" s="3">
        <f>NEUTRO</f>
        <v/>
      </c>
      <c r="BP27" s="3">
        <f>IFERROR(VLOOKUP(L27,SEGURO_TBL,3,0),"")</f>
        <v/>
      </c>
      <c r="BQ27" s="3">
        <f>IF(BP27="",NEUTRO,MAX(0,MIN(100,100*(SEG_REF_MAX-BP27)/(SEG_REF_MAX-SEG_REF_MIN))))</f>
        <v/>
      </c>
      <c r="BR27" s="3">
        <f>W_ET*BN27+W_CONS*BO27+W_SEG*BQ27</f>
        <v/>
      </c>
      <c r="BS27" s="3">
        <f>IF(N(AB27)&gt;0,AB27,IF(AND(R27="profesional",SG_LEGAL_ON=1),GAR_LEGAL,0))</f>
        <v/>
      </c>
      <c r="BT27" s="3">
        <f>SG_GAR*MIN(1,BS27/SG_GAR_FULL)+SG_AMPL*(AC27="sí")+SG_KMC*(AF27="sí")+SG_REV*(N(AE27)&gt;0)+SG_DEV*MIN(1,N(AG27)/SG_DEV_FULL)+SG_HIST*(W27="sí")</f>
        <v/>
      </c>
      <c r="BU27" s="3">
        <f>W_FIAB*BG27+W_PRECIO*BH27+W_KMEDAD*BL27+W_ANUNCIO*BM27+W_USO*BR27+W_SEGURIDAD*BT27</f>
        <v/>
      </c>
      <c r="BV27" s="4">
        <f>IF(N(I27)&gt;0,I27,IFERROR(ROUND(_xlfn.NUMBERVALUE(LEFT(G27,FIND(" ",G27&amp;" ")-1),".")*1000,0),99999))</f>
        <v/>
      </c>
      <c r="BW27" s="3">
        <f>IF(R27="profesional",0,IF(O27&lt;CUOTA_VALOR_MAX,IF(AR27&gt;ITP_TRAMO_ALTO,SUMIFS(CF_CUOTA,CF_MAS,ITP_TRAMO_ALTO,CF_CCMIN,"&lt;="&amp;BV27,CF_CCMAX,"&gt;="&amp;BV27),IF(AR27&gt;ITP_TRAMO_BAJO,SUMIFS(CF_CUOTA,CF_MAS,ITP_TRAMO_BAJO,CF_CCMIN,"&lt;="&amp;BV27,CF_CCMAX,"&gt;="&amp;BV27),O27*ITP_TIPO)),O27*ITP_TIPO))</f>
        <v/>
      </c>
      <c r="BX27" s="4">
        <f>IF(R27="profesional",N(AK27),0)</f>
        <v/>
      </c>
      <c r="BY27" s="3">
        <f>IF(AND(R27="profesional",ISNUMBER(AK27),AL27="sí"),0,TASA_DGT)</f>
        <v/>
      </c>
      <c r="BZ27" s="3">
        <f>INFORME_DGT</f>
        <v/>
      </c>
      <c r="CA27" s="4">
        <f>O27+BX27+BW27+BY27+BZ27</f>
        <v/>
      </c>
      <c r="CB27" s="4">
        <f>CA27+N(BP27)</f>
        <v/>
      </c>
      <c r="CC27" s="3">
        <f>IF(CA27&lt;=TOTAL_MAX,"sí","no")</f>
        <v/>
      </c>
      <c r="CD27" s="4">
        <f>IF(CC27="sí",COUNTIFS($CC$2:$CC$39,"sí",$BU$2:$BU$39,"&gt;"&amp;BU27)+COUNTIFS($CC$2:CC27,"sí",$BU$2:BU27,BU27),"")</f>
        <v/>
      </c>
    </row>
    <row r="28">
      <c r="A28" s="2" t="inlineStr">
        <is>
          <t>wallapop:1280300367</t>
        </is>
      </c>
      <c r="B28" s="2" t="inlineStr">
        <is>
          <t>wallapop</t>
        </is>
      </c>
      <c r="C28" s="2" t="inlineStr">
        <is>
          <t>https://es.wallapop.com/item/peugeot-207-2008-1280300367</t>
        </is>
      </c>
      <c r="D28" s="2" t="inlineStr">
        <is>
          <t>Peugeot 207 2008</t>
        </is>
      </c>
      <c r="E28" s="2" t="inlineStr">
        <is>
          <t>Peugeot</t>
        </is>
      </c>
      <c r="F28" s="2" t="inlineStr">
        <is>
          <t>Peugeot 207</t>
        </is>
      </c>
      <c r="G28" s="2" t="inlineStr">
        <is>
          <t>1.6 HDi</t>
        </is>
      </c>
      <c r="H28" s="2" t="inlineStr">
        <is>
          <t>1.6 HDi 110 Sport 5p</t>
        </is>
      </c>
      <c r="I28" s="2" t="n"/>
      <c r="J28" s="2" t="n">
        <v>110</v>
      </c>
      <c r="K28" s="2" t="inlineStr">
        <is>
          <t>gasolina</t>
        </is>
      </c>
      <c r="L28" s="2" t="inlineStr">
        <is>
          <t>utilitario</t>
        </is>
      </c>
      <c r="M28" s="2" t="n">
        <v>2008</v>
      </c>
      <c r="N28" s="2" t="n">
        <v>207000</v>
      </c>
      <c r="O28" s="2" t="n">
        <v>2950</v>
      </c>
      <c r="P28" s="2" t="inlineStr">
        <is>
          <t>manual</t>
        </is>
      </c>
      <c r="Q28" s="2" t="inlineStr">
        <is>
          <t>no</t>
        </is>
      </c>
      <c r="R28" s="2" t="inlineStr">
        <is>
          <t>particular</t>
        </is>
      </c>
      <c r="S28" s="2" t="inlineStr">
        <is>
          <t>Valencia (46002)</t>
        </is>
      </c>
      <c r="T28" s="2" t="inlineStr">
        <is>
          <t>2026-10-29T08:27:38</t>
        </is>
      </c>
      <c r="U28" s="2" t="n">
        <v>7</v>
      </c>
      <c r="V28" s="2" t="inlineStr">
        <is>
          <t>sí</t>
        </is>
      </c>
      <c r="W28" s="2" t="n"/>
      <c r="X28" s="2" t="n"/>
      <c r="Y28" s="2" t="n"/>
      <c r="Z28" s="2" t="n"/>
      <c r="AA28" s="2" t="n"/>
      <c r="AB28" s="2" t="n"/>
      <c r="AC28" s="2" t="n"/>
      <c r="AD28" s="2" t="n"/>
      <c r="AE28" s="2" t="n"/>
      <c r="AF28" s="2" t="n"/>
      <c r="AG28" s="2" t="n"/>
      <c r="AH28" s="2" t="n"/>
      <c r="AI28" s="2" t="n"/>
      <c r="AJ28" s="2" t="n"/>
      <c r="AK28" s="2" t="n"/>
      <c r="AL28" s="2" t="n"/>
      <c r="AM28" s="2" t="n">
        <v>0.6</v>
      </c>
      <c r="AN28" s="2" t="n"/>
      <c r="AO28" s="2" t="inlineStr">
        <is>
          <t>cuota fija ITP: &gt;12 años, 1.501-2.000 cc; fiabilidad del modelo PENDIENTE de fuente (puntuación neutra)</t>
        </is>
      </c>
      <c r="AP28" s="2" t="inlineStr">
        <is>
          <t>Muy buen estado, todas la evalunas son eléctricas, funcionando todas . Cambio de aceite reciente. Ver sin Compromiso 
ITV hasta sept 2027</t>
        </is>
      </c>
      <c r="AQ28" s="2" t="inlineStr">
        <is>
          <t>https://es.wallapop.com/item/peugeot-207-2008-1280300367 (__NEXT_DATA__ item) /home/user/Alopecia/buscador-coches/raw/wallapop/e1785a7cbe3be93c.json</t>
        </is>
      </c>
      <c r="AR28" s="3">
        <f>MAX(ANIO_ACTUAL-M28,0)</f>
        <v/>
      </c>
      <c r="AS28" s="4">
        <f>N28/MAX(AR28,0.5)</f>
        <v/>
      </c>
      <c r="AT28" s="4">
        <f>F28</f>
        <v/>
      </c>
      <c r="AU28" s="3">
        <f>AT28&amp;"|"&amp;INT(M28/SEG_ANIO)*SEG_ANIO</f>
        <v/>
      </c>
      <c r="AV28" s="3">
        <f>AU28&amp;"|"&amp;INT(N28/SEG_KM)*SEG_KM</f>
        <v/>
      </c>
      <c r="AW28" s="4">
        <f>COUNTIF($AT$2:$AT$39,AT28)</f>
        <v/>
      </c>
      <c r="AX28" s="4">
        <f>COUNTIF($AU$2:$AU$39,AU28)</f>
        <v/>
      </c>
      <c r="AY28" s="4">
        <f>COUNTIF($AV$2:$AV$39,AV28)</f>
        <v/>
      </c>
      <c r="AZ28" s="3">
        <f t="array" ref="AZ28">IF(AY28&gt;=MIN_N,MEDIAN(IF($AV$2:$AV$39=AV28,$O$2:$O$39)),IF(AX28&gt;=MIN_N,MEDIAN(IF($AU$2:$AU$39=AU28,$O$2:$O$39)),MEDIAN(IF($AT$2:$AT$39=AT28,$O$2:$O$39))))</f>
        <v/>
      </c>
      <c r="BA28" s="3">
        <f>IF(AY28&gt;=MIN_N,"modelo+año+km",IF(AX28&gt;=MIN_N,"modelo+año","modelo"))</f>
        <v/>
      </c>
      <c r="BB28" s="4">
        <f>(AZ28-O28)/AZ28</f>
        <v/>
      </c>
      <c r="BC28" s="3">
        <f>IF(OR(K28="hibrido",K28="glp"),"ECO",IF(K28="electrico","CERO",IF(K28="gasolina",IF(M28&gt;=GAS_C,"C",IF(M28&gt;=GAS_B,"B","A")),IF(K28="diesel",IF(M28&gt;=DIE_C,"C",IF(M28&gt;=DIE_B,"B","A")),""))))</f>
        <v/>
      </c>
      <c r="BD28" s="3">
        <f>IFERROR(VLOOKUP(F28,MOD_TBL,11,0),IFERROR(VLOOKUP(E28,OCU_TBL,2,0),NEUTRO))</f>
        <v/>
      </c>
      <c r="BE28" s="3">
        <f>SUMIFS(MOT_AJUSTE,MOT_MOTOR,G28,MOT_MARCA,E28,MOT_DESDE,"&lt;="&amp;M28,MOT_HASTA,"&gt;="&amp;M28)+SUMIFS(MOT_AJUSTE,MOT_MOTOR,G28,MOT_MARCA,"(todas)",MOT_DESDE,"&lt;="&amp;M28,MOT_HASTA,"&gt;="&amp;M28)</f>
        <v/>
      </c>
      <c r="BF28" s="3">
        <f>SUMIFS(COMB_AJUSTE,COMB_COMB,K28)</f>
        <v/>
      </c>
      <c r="BG28" s="4">
        <f>MAX(0,MIN(100,BD28+BE28+BF28))</f>
        <v/>
      </c>
      <c r="BH28" s="3">
        <f>MAX(0,MIN(100,50+BB28*PRECIO_PEND))</f>
        <v/>
      </c>
      <c r="BI28" s="3">
        <f>MAX(0,100*(1-N28/KM_MAX))</f>
        <v/>
      </c>
      <c r="BJ28" s="3">
        <f>IF(AS28&lt;KMA_SOSP,IF(AA28="sí",100,KMA_PEN),IF(AS28&lt;=KMA_IDEAL_MAX,100,MAX(0,100*(KMA_CERO-AS28)/(KMA_CERO-KMA_IDEAL_MAX))))</f>
        <v/>
      </c>
      <c r="BK28" s="3">
        <f>MAX(0,MIN(100,100*(M28-ANIO_MIN)/(ANIO_ACTUAL-ANIO_MIN)))</f>
        <v/>
      </c>
      <c r="BL28" s="3">
        <f>W_KMT*BI28+W_KMA*BJ28+W_EDAD*BK28</f>
        <v/>
      </c>
      <c r="BM28" s="3">
        <f>P_ITV*(V28="sí")+P_LIBRO*(W28="sí")+P_CORREA*(X28="sí")+P_PROP*(Y28=1)+P_GAR*(Z28="sí")+P_FOTOS*MIN(1,N(U28)/FOTOS_OBJ)</f>
        <v/>
      </c>
      <c r="BN28" s="3">
        <f>IFERROR(VLOOKUP(BC28,ETQ_TBL,2,0),NEUTRO)</f>
        <v/>
      </c>
      <c r="BO28" s="3">
        <f>NEUTRO</f>
        <v/>
      </c>
      <c r="BP28" s="3">
        <f>IFERROR(VLOOKUP(L28,SEGURO_TBL,3,0),"")</f>
        <v/>
      </c>
      <c r="BQ28" s="3">
        <f>IF(BP28="",NEUTRO,MAX(0,MIN(100,100*(SEG_REF_MAX-BP28)/(SEG_REF_MAX-SEG_REF_MIN))))</f>
        <v/>
      </c>
      <c r="BR28" s="3">
        <f>W_ET*BN28+W_CONS*BO28+W_SEG*BQ28</f>
        <v/>
      </c>
      <c r="BS28" s="3">
        <f>IF(N(AB28)&gt;0,AB28,IF(AND(R28="profesional",SG_LEGAL_ON=1),GAR_LEGAL,0))</f>
        <v/>
      </c>
      <c r="BT28" s="3">
        <f>SG_GAR*MIN(1,BS28/SG_GAR_FULL)+SG_AMPL*(AC28="sí")+SG_KMC*(AF28="sí")+SG_REV*(N(AE28)&gt;0)+SG_DEV*MIN(1,N(AG28)/SG_DEV_FULL)+SG_HIST*(W28="sí")</f>
        <v/>
      </c>
      <c r="BU28" s="3">
        <f>W_FIAB*BG28+W_PRECIO*BH28+W_KMEDAD*BL28+W_ANUNCIO*BM28+W_USO*BR28+W_SEGURIDAD*BT28</f>
        <v/>
      </c>
      <c r="BV28" s="4">
        <f>IF(N(I28)&gt;0,I28,IFERROR(ROUND(_xlfn.NUMBERVALUE(LEFT(G28,FIND(" ",G28&amp;" ")-1),".")*1000,0),99999))</f>
        <v/>
      </c>
      <c r="BW28" s="3">
        <f>IF(R28="profesional",0,IF(O28&lt;CUOTA_VALOR_MAX,IF(AR28&gt;ITP_TRAMO_ALTO,SUMIFS(CF_CUOTA,CF_MAS,ITP_TRAMO_ALTO,CF_CCMIN,"&lt;="&amp;BV28,CF_CCMAX,"&gt;="&amp;BV28),IF(AR28&gt;ITP_TRAMO_BAJO,SUMIFS(CF_CUOTA,CF_MAS,ITP_TRAMO_BAJO,CF_CCMIN,"&lt;="&amp;BV28,CF_CCMAX,"&gt;="&amp;BV28),O28*ITP_TIPO)),O28*ITP_TIPO))</f>
        <v/>
      </c>
      <c r="BX28" s="4">
        <f>IF(R28="profesional",N(AK28),0)</f>
        <v/>
      </c>
      <c r="BY28" s="3">
        <f>IF(AND(R28="profesional",ISNUMBER(AK28),AL28="sí"),0,TASA_DGT)</f>
        <v/>
      </c>
      <c r="BZ28" s="3">
        <f>INFORME_DGT</f>
        <v/>
      </c>
      <c r="CA28" s="4">
        <f>O28+BX28+BW28+BY28+BZ28</f>
        <v/>
      </c>
      <c r="CB28" s="4">
        <f>CA28+N(BP28)</f>
        <v/>
      </c>
      <c r="CC28" s="3">
        <f>IF(CA28&lt;=TOTAL_MAX,"sí","no")</f>
        <v/>
      </c>
      <c r="CD28" s="4">
        <f>IF(CC28="sí",COUNTIFS($CC$2:$CC$39,"sí",$BU$2:$BU$39,"&gt;"&amp;BU28)+COUNTIFS($CC$2:CC28,"sí",$BU$2:BU28,BU28),"")</f>
        <v/>
      </c>
    </row>
    <row r="29">
      <c r="A29" s="2" t="inlineStr">
        <is>
          <t>wallapop:1266639855</t>
        </is>
      </c>
      <c r="B29" s="2" t="inlineStr">
        <is>
          <t>wallapop</t>
        </is>
      </c>
      <c r="C29" s="2" t="inlineStr">
        <is>
          <t>https://es.wallapop.com/item/peugeot-207-2008-1266639855</t>
        </is>
      </c>
      <c r="D29" s="2" t="inlineStr">
        <is>
          <t>Peugeot 207 2008</t>
        </is>
      </c>
      <c r="E29" s="2" t="inlineStr">
        <is>
          <t>Peugeot</t>
        </is>
      </c>
      <c r="F29" s="2" t="inlineStr">
        <is>
          <t>Peugeot 207</t>
        </is>
      </c>
      <c r="G29" s="2" t="inlineStr">
        <is>
          <t>1.4 HDi</t>
        </is>
      </c>
      <c r="H29" s="2" t="inlineStr">
        <is>
          <t>1.4 HDi 70 Urban 5p</t>
        </is>
      </c>
      <c r="I29" s="2" t="n"/>
      <c r="J29" s="2" t="n">
        <v>70</v>
      </c>
      <c r="K29" s="2" t="inlineStr">
        <is>
          <t>gasolina</t>
        </is>
      </c>
      <c r="L29" s="2" t="inlineStr">
        <is>
          <t>utilitario</t>
        </is>
      </c>
      <c r="M29" s="2" t="n">
        <v>2008</v>
      </c>
      <c r="N29" s="2" t="n">
        <v>143000</v>
      </c>
      <c r="O29" s="2" t="n">
        <v>3000</v>
      </c>
      <c r="P29" s="2" t="inlineStr">
        <is>
          <t>manual</t>
        </is>
      </c>
      <c r="Q29" s="2" t="inlineStr">
        <is>
          <t>no</t>
        </is>
      </c>
      <c r="R29" s="2" t="inlineStr">
        <is>
          <t>particular</t>
        </is>
      </c>
      <c r="S29" s="2" t="inlineStr">
        <is>
          <t>Valencia (46002)</t>
        </is>
      </c>
      <c r="T29" s="2" t="inlineStr">
        <is>
          <t>2026-09-30T21:36:51</t>
        </is>
      </c>
      <c r="U29" s="2" t="n">
        <v>7</v>
      </c>
      <c r="V29" s="2" t="n"/>
      <c r="W29" s="2" t="n"/>
      <c r="X29" s="2" t="n"/>
      <c r="Y29" s="2" t="n"/>
      <c r="Z29" s="2" t="n"/>
      <c r="AA29" s="2" t="n"/>
      <c r="AB29" s="2" t="n"/>
      <c r="AC29" s="2" t="n"/>
      <c r="AD29" s="2" t="n"/>
      <c r="AE29" s="2" t="n"/>
      <c r="AF29" s="2" t="n"/>
      <c r="AG29" s="2" t="n"/>
      <c r="AH29" s="2" t="n"/>
      <c r="AI29" s="2" t="n"/>
      <c r="AJ29" s="2" t="n"/>
      <c r="AK29" s="2" t="n"/>
      <c r="AL29" s="2" t="n"/>
      <c r="AM29" s="2" t="n">
        <v>0.7</v>
      </c>
      <c r="AN29" s="2" t="n"/>
      <c r="AO29" s="2" t="inlineStr">
        <is>
          <t>cuota fija ITP: &gt;12 años, hasta 1.500 cc; fiabilidad del modelo PENDIENTE de fuente (puntuación neutra)</t>
        </is>
      </c>
      <c r="AP29" s="2" t="inlineStr">
        <is>
          <t xml:space="preserve">Se vende Peugeot 207 1.4 gasolina 70 CV.
Se encuentra en excelente estado , tanto el interior como el exterior . 
Coche perfecto y cómodo para uso diario por carretera . 
Dispone de distribución mediante cadena .
</t>
        </is>
      </c>
      <c r="AQ29" s="2" t="inlineStr">
        <is>
          <t>https://es.wallapop.com/item/peugeot-207-2008-1266639855 (__NEXT_DATA__ item) /home/user/Alopecia/buscador-coches/raw/wallapop/938350f1b3e3ae0b.json</t>
        </is>
      </c>
      <c r="AR29" s="3">
        <f>MAX(ANIO_ACTUAL-M29,0)</f>
        <v/>
      </c>
      <c r="AS29" s="4">
        <f>N29/MAX(AR29,0.5)</f>
        <v/>
      </c>
      <c r="AT29" s="4">
        <f>F29</f>
        <v/>
      </c>
      <c r="AU29" s="3">
        <f>AT29&amp;"|"&amp;INT(M29/SEG_ANIO)*SEG_ANIO</f>
        <v/>
      </c>
      <c r="AV29" s="3">
        <f>AU29&amp;"|"&amp;INT(N29/SEG_KM)*SEG_KM</f>
        <v/>
      </c>
      <c r="AW29" s="4">
        <f>COUNTIF($AT$2:$AT$39,AT29)</f>
        <v/>
      </c>
      <c r="AX29" s="4">
        <f>COUNTIF($AU$2:$AU$39,AU29)</f>
        <v/>
      </c>
      <c r="AY29" s="4">
        <f>COUNTIF($AV$2:$AV$39,AV29)</f>
        <v/>
      </c>
      <c r="AZ29" s="3">
        <f t="array" ref="AZ29">IF(AY29&gt;=MIN_N,MEDIAN(IF($AV$2:$AV$39=AV29,$O$2:$O$39)),IF(AX29&gt;=MIN_N,MEDIAN(IF($AU$2:$AU$39=AU29,$O$2:$O$39)),MEDIAN(IF($AT$2:$AT$39=AT29,$O$2:$O$39))))</f>
        <v/>
      </c>
      <c r="BA29" s="3">
        <f>IF(AY29&gt;=MIN_N,"modelo+año+km",IF(AX29&gt;=MIN_N,"modelo+año","modelo"))</f>
        <v/>
      </c>
      <c r="BB29" s="4">
        <f>(AZ29-O29)/AZ29</f>
        <v/>
      </c>
      <c r="BC29" s="3">
        <f>IF(OR(K29="hibrido",K29="glp"),"ECO",IF(K29="electrico","CERO",IF(K29="gasolina",IF(M29&gt;=GAS_C,"C",IF(M29&gt;=GAS_B,"B","A")),IF(K29="diesel",IF(M29&gt;=DIE_C,"C",IF(M29&gt;=DIE_B,"B","A")),""))))</f>
        <v/>
      </c>
      <c r="BD29" s="3">
        <f>IFERROR(VLOOKUP(F29,MOD_TBL,11,0),IFERROR(VLOOKUP(E29,OCU_TBL,2,0),NEUTRO))</f>
        <v/>
      </c>
      <c r="BE29" s="3">
        <f>SUMIFS(MOT_AJUSTE,MOT_MOTOR,G29,MOT_MARCA,E29,MOT_DESDE,"&lt;="&amp;M29,MOT_HASTA,"&gt;="&amp;M29)+SUMIFS(MOT_AJUSTE,MOT_MOTOR,G29,MOT_MARCA,"(todas)",MOT_DESDE,"&lt;="&amp;M29,MOT_HASTA,"&gt;="&amp;M29)</f>
        <v/>
      </c>
      <c r="BF29" s="3">
        <f>SUMIFS(COMB_AJUSTE,COMB_COMB,K29)</f>
        <v/>
      </c>
      <c r="BG29" s="4">
        <f>MAX(0,MIN(100,BD29+BE29+BF29))</f>
        <v/>
      </c>
      <c r="BH29" s="3">
        <f>MAX(0,MIN(100,50+BB29*PRECIO_PEND))</f>
        <v/>
      </c>
      <c r="BI29" s="3">
        <f>MAX(0,100*(1-N29/KM_MAX))</f>
        <v/>
      </c>
      <c r="BJ29" s="3">
        <f>IF(AS29&lt;KMA_SOSP,IF(AA29="sí",100,KMA_PEN),IF(AS29&lt;=KMA_IDEAL_MAX,100,MAX(0,100*(KMA_CERO-AS29)/(KMA_CERO-KMA_IDEAL_MAX))))</f>
        <v/>
      </c>
      <c r="BK29" s="3">
        <f>MAX(0,MIN(100,100*(M29-ANIO_MIN)/(ANIO_ACTUAL-ANIO_MIN)))</f>
        <v/>
      </c>
      <c r="BL29" s="3">
        <f>W_KMT*BI29+W_KMA*BJ29+W_EDAD*BK29</f>
        <v/>
      </c>
      <c r="BM29" s="3">
        <f>P_ITV*(V29="sí")+P_LIBRO*(W29="sí")+P_CORREA*(X29="sí")+P_PROP*(Y29=1)+P_GAR*(Z29="sí")+P_FOTOS*MIN(1,N(U29)/FOTOS_OBJ)</f>
        <v/>
      </c>
      <c r="BN29" s="3">
        <f>IFERROR(VLOOKUP(BC29,ETQ_TBL,2,0),NEUTRO)</f>
        <v/>
      </c>
      <c r="BO29" s="3">
        <f>NEUTRO</f>
        <v/>
      </c>
      <c r="BP29" s="3">
        <f>IFERROR(VLOOKUP(L29,SEGURO_TBL,3,0),"")</f>
        <v/>
      </c>
      <c r="BQ29" s="3">
        <f>IF(BP29="",NEUTRO,MAX(0,MIN(100,100*(SEG_REF_MAX-BP29)/(SEG_REF_MAX-SEG_REF_MIN))))</f>
        <v/>
      </c>
      <c r="BR29" s="3">
        <f>W_ET*BN29+W_CONS*BO29+W_SEG*BQ29</f>
        <v/>
      </c>
      <c r="BS29" s="3">
        <f>IF(N(AB29)&gt;0,AB29,IF(AND(R29="profesional",SG_LEGAL_ON=1),GAR_LEGAL,0))</f>
        <v/>
      </c>
      <c r="BT29" s="3">
        <f>SG_GAR*MIN(1,BS29/SG_GAR_FULL)+SG_AMPL*(AC29="sí")+SG_KMC*(AF29="sí")+SG_REV*(N(AE29)&gt;0)+SG_DEV*MIN(1,N(AG29)/SG_DEV_FULL)+SG_HIST*(W29="sí")</f>
        <v/>
      </c>
      <c r="BU29" s="3">
        <f>W_FIAB*BG29+W_PRECIO*BH29+W_KMEDAD*BL29+W_ANUNCIO*BM29+W_USO*BR29+W_SEGURIDAD*BT29</f>
        <v/>
      </c>
      <c r="BV29" s="4">
        <f>IF(N(I29)&gt;0,I29,IFERROR(ROUND(_xlfn.NUMBERVALUE(LEFT(G29,FIND(" ",G29&amp;" ")-1),".")*1000,0),99999))</f>
        <v/>
      </c>
      <c r="BW29" s="3">
        <f>IF(R29="profesional",0,IF(O29&lt;CUOTA_VALOR_MAX,IF(AR29&gt;ITP_TRAMO_ALTO,SUMIFS(CF_CUOTA,CF_MAS,ITP_TRAMO_ALTO,CF_CCMIN,"&lt;="&amp;BV29,CF_CCMAX,"&gt;="&amp;BV29),IF(AR29&gt;ITP_TRAMO_BAJO,SUMIFS(CF_CUOTA,CF_MAS,ITP_TRAMO_BAJO,CF_CCMIN,"&lt;="&amp;BV29,CF_CCMAX,"&gt;="&amp;BV29),O29*ITP_TIPO)),O29*ITP_TIPO))</f>
        <v/>
      </c>
      <c r="BX29" s="4">
        <f>IF(R29="profesional",N(AK29),0)</f>
        <v/>
      </c>
      <c r="BY29" s="3">
        <f>IF(AND(R29="profesional",ISNUMBER(AK29),AL29="sí"),0,TASA_DGT)</f>
        <v/>
      </c>
      <c r="BZ29" s="3">
        <f>INFORME_DGT</f>
        <v/>
      </c>
      <c r="CA29" s="4">
        <f>O29+BX29+BW29+BY29+BZ29</f>
        <v/>
      </c>
      <c r="CB29" s="4">
        <f>CA29+N(BP29)</f>
        <v/>
      </c>
      <c r="CC29" s="3">
        <f>IF(CA29&lt;=TOTAL_MAX,"sí","no")</f>
        <v/>
      </c>
      <c r="CD29" s="4">
        <f>IF(CC29="sí",COUNTIFS($CC$2:$CC$39,"sí",$BU$2:$BU$39,"&gt;"&amp;BU29)+COUNTIFS($CC$2:CC29,"sí",$BU$2:BU29,BU29),"")</f>
        <v/>
      </c>
    </row>
    <row r="30">
      <c r="A30" s="2" t="inlineStr">
        <is>
          <t>wallapop:1303500233</t>
        </is>
      </c>
      <c r="B30" s="2" t="inlineStr">
        <is>
          <t>wallapop</t>
        </is>
      </c>
      <c r="C30" s="2" t="inlineStr">
        <is>
          <t>https://es.wallapop.com/item/peugeot-207-2009-1303500233</t>
        </is>
      </c>
      <c r="D30" s="2" t="inlineStr">
        <is>
          <t>Peugeot 207 2009</t>
        </is>
      </c>
      <c r="E30" s="2" t="inlineStr">
        <is>
          <t>Peugeot</t>
        </is>
      </c>
      <c r="F30" s="2" t="inlineStr">
        <is>
          <t>Peugeot 207</t>
        </is>
      </c>
      <c r="G30" s="2" t="inlineStr">
        <is>
          <t>1.4 VTi</t>
        </is>
      </c>
      <c r="H30" s="2" t="inlineStr">
        <is>
          <t>1.4 VTi 95 Confort 5p AM61</t>
        </is>
      </c>
      <c r="I30" s="2" t="n"/>
      <c r="J30" s="2" t="n">
        <v>95</v>
      </c>
      <c r="K30" s="2" t="inlineStr">
        <is>
          <t>gasolina</t>
        </is>
      </c>
      <c r="L30" s="2" t="inlineStr">
        <is>
          <t>utilitario</t>
        </is>
      </c>
      <c r="M30" s="2" t="n">
        <v>2009</v>
      </c>
      <c r="N30" s="2" t="n">
        <v>92750</v>
      </c>
      <c r="O30" s="2" t="n">
        <v>4500</v>
      </c>
      <c r="P30" s="2" t="inlineStr">
        <is>
          <t>manual</t>
        </is>
      </c>
      <c r="Q30" s="2" t="inlineStr">
        <is>
          <t>no</t>
        </is>
      </c>
      <c r="R30" s="2" t="inlineStr">
        <is>
          <t>particular</t>
        </is>
      </c>
      <c r="S30" s="2" t="inlineStr">
        <is>
          <t>Valencia (46010)</t>
        </is>
      </c>
      <c r="T30" s="2" t="inlineStr">
        <is>
          <t>2026-09-19T21:49:25</t>
        </is>
      </c>
      <c r="U30" s="2" t="n">
        <v>8</v>
      </c>
      <c r="V30" s="2" t="n"/>
      <c r="W30" s="2" t="inlineStr">
        <is>
          <t>sí</t>
        </is>
      </c>
      <c r="X30" s="2" t="n"/>
      <c r="Y30" s="2" t="n"/>
      <c r="Z30" s="2" t="n"/>
      <c r="AA30" s="2" t="n"/>
      <c r="AB30" s="2" t="n"/>
      <c r="AC30" s="2" t="n"/>
      <c r="AD30" s="2" t="n"/>
      <c r="AE30" s="2" t="n"/>
      <c r="AF30" s="2" t="n"/>
      <c r="AG30" s="2" t="n"/>
      <c r="AH30" s="2" t="n"/>
      <c r="AI30" s="2" t="n"/>
      <c r="AJ30" s="2" t="n"/>
      <c r="AK30" s="2" t="n"/>
      <c r="AL30" s="2" t="n"/>
      <c r="AM30" s="2" t="n">
        <v>1.1</v>
      </c>
      <c r="AN30" s="2" t="n"/>
      <c r="AO30" s="2" t="inlineStr">
        <is>
          <t>cuota fija ITP: &gt;12 años, hasta 1.500 cc; fiabilidad del modelo PENDIENTE de fuente (puntuación neutra)</t>
        </is>
      </c>
      <c r="AP30" s="2" t="inlineStr">
        <is>
          <t>Coche en buenas condiciones , mantenimiento al dia 
Itv para Diciembre</t>
        </is>
      </c>
      <c r="AQ30" s="2" t="inlineStr">
        <is>
          <t>https://es.wallapop.com/item/peugeot-207-2009-1303500233 (__NEXT_DATA__ item) /home/user/Alopecia/buscador-coches/raw/wallapop/5e5123f265e8bc99.json</t>
        </is>
      </c>
      <c r="AR30" s="3">
        <f>MAX(ANIO_ACTUAL-M30,0)</f>
        <v/>
      </c>
      <c r="AS30" s="4">
        <f>N30/MAX(AR30,0.5)</f>
        <v/>
      </c>
      <c r="AT30" s="4">
        <f>F30</f>
        <v/>
      </c>
      <c r="AU30" s="3">
        <f>AT30&amp;"|"&amp;INT(M30/SEG_ANIO)*SEG_ANIO</f>
        <v/>
      </c>
      <c r="AV30" s="3">
        <f>AU30&amp;"|"&amp;INT(N30/SEG_KM)*SEG_KM</f>
        <v/>
      </c>
      <c r="AW30" s="4">
        <f>COUNTIF($AT$2:$AT$39,AT30)</f>
        <v/>
      </c>
      <c r="AX30" s="4">
        <f>COUNTIF($AU$2:$AU$39,AU30)</f>
        <v/>
      </c>
      <c r="AY30" s="4">
        <f>COUNTIF($AV$2:$AV$39,AV30)</f>
        <v/>
      </c>
      <c r="AZ30" s="3">
        <f t="array" ref="AZ30">IF(AY30&gt;=MIN_N,MEDIAN(IF($AV$2:$AV$39=AV30,$O$2:$O$39)),IF(AX30&gt;=MIN_N,MEDIAN(IF($AU$2:$AU$39=AU30,$O$2:$O$39)),MEDIAN(IF($AT$2:$AT$39=AT30,$O$2:$O$39))))</f>
        <v/>
      </c>
      <c r="BA30" s="3">
        <f>IF(AY30&gt;=MIN_N,"modelo+año+km",IF(AX30&gt;=MIN_N,"modelo+año","modelo"))</f>
        <v/>
      </c>
      <c r="BB30" s="4">
        <f>(AZ30-O30)/AZ30</f>
        <v/>
      </c>
      <c r="BC30" s="3">
        <f>IF(OR(K30="hibrido",K30="glp"),"ECO",IF(K30="electrico","CERO",IF(K30="gasolina",IF(M30&gt;=GAS_C,"C",IF(M30&gt;=GAS_B,"B","A")),IF(K30="diesel",IF(M30&gt;=DIE_C,"C",IF(M30&gt;=DIE_B,"B","A")),""))))</f>
        <v/>
      </c>
      <c r="BD30" s="3">
        <f>IFERROR(VLOOKUP(F30,MOD_TBL,11,0),IFERROR(VLOOKUP(E30,OCU_TBL,2,0),NEUTRO))</f>
        <v/>
      </c>
      <c r="BE30" s="3">
        <f>SUMIFS(MOT_AJUSTE,MOT_MOTOR,G30,MOT_MARCA,E30,MOT_DESDE,"&lt;="&amp;M30,MOT_HASTA,"&gt;="&amp;M30)+SUMIFS(MOT_AJUSTE,MOT_MOTOR,G30,MOT_MARCA,"(todas)",MOT_DESDE,"&lt;="&amp;M30,MOT_HASTA,"&gt;="&amp;M30)</f>
        <v/>
      </c>
      <c r="BF30" s="3">
        <f>SUMIFS(COMB_AJUSTE,COMB_COMB,K30)</f>
        <v/>
      </c>
      <c r="BG30" s="4">
        <f>MAX(0,MIN(100,BD30+BE30+BF30))</f>
        <v/>
      </c>
      <c r="BH30" s="3">
        <f>MAX(0,MIN(100,50+BB30*PRECIO_PEND))</f>
        <v/>
      </c>
      <c r="BI30" s="3">
        <f>MAX(0,100*(1-N30/KM_MAX))</f>
        <v/>
      </c>
      <c r="BJ30" s="3">
        <f>IF(AS30&lt;KMA_SOSP,IF(AA30="sí",100,KMA_PEN),IF(AS30&lt;=KMA_IDEAL_MAX,100,MAX(0,100*(KMA_CERO-AS30)/(KMA_CERO-KMA_IDEAL_MAX))))</f>
        <v/>
      </c>
      <c r="BK30" s="3">
        <f>MAX(0,MIN(100,100*(M30-ANIO_MIN)/(ANIO_ACTUAL-ANIO_MIN)))</f>
        <v/>
      </c>
      <c r="BL30" s="3">
        <f>W_KMT*BI30+W_KMA*BJ30+W_EDAD*BK30</f>
        <v/>
      </c>
      <c r="BM30" s="3">
        <f>P_ITV*(V30="sí")+P_LIBRO*(W30="sí")+P_CORREA*(X30="sí")+P_PROP*(Y30=1)+P_GAR*(Z30="sí")+P_FOTOS*MIN(1,N(U30)/FOTOS_OBJ)</f>
        <v/>
      </c>
      <c r="BN30" s="3">
        <f>IFERROR(VLOOKUP(BC30,ETQ_TBL,2,0),NEUTRO)</f>
        <v/>
      </c>
      <c r="BO30" s="3">
        <f>NEUTRO</f>
        <v/>
      </c>
      <c r="BP30" s="3">
        <f>IFERROR(VLOOKUP(L30,SEGURO_TBL,3,0),"")</f>
        <v/>
      </c>
      <c r="BQ30" s="3">
        <f>IF(BP30="",NEUTRO,MAX(0,MIN(100,100*(SEG_REF_MAX-BP30)/(SEG_REF_MAX-SEG_REF_MIN))))</f>
        <v/>
      </c>
      <c r="BR30" s="3">
        <f>W_ET*BN30+W_CONS*BO30+W_SEG*BQ30</f>
        <v/>
      </c>
      <c r="BS30" s="3">
        <f>IF(N(AB30)&gt;0,AB30,IF(AND(R30="profesional",SG_LEGAL_ON=1),GAR_LEGAL,0))</f>
        <v/>
      </c>
      <c r="BT30" s="3">
        <f>SG_GAR*MIN(1,BS30/SG_GAR_FULL)+SG_AMPL*(AC30="sí")+SG_KMC*(AF30="sí")+SG_REV*(N(AE30)&gt;0)+SG_DEV*MIN(1,N(AG30)/SG_DEV_FULL)+SG_HIST*(W30="sí")</f>
        <v/>
      </c>
      <c r="BU30" s="3">
        <f>W_FIAB*BG30+W_PRECIO*BH30+W_KMEDAD*BL30+W_ANUNCIO*BM30+W_USO*BR30+W_SEGURIDAD*BT30</f>
        <v/>
      </c>
      <c r="BV30" s="4">
        <f>IF(N(I30)&gt;0,I30,IFERROR(ROUND(_xlfn.NUMBERVALUE(LEFT(G30,FIND(" ",G30&amp;" ")-1),".")*1000,0),99999))</f>
        <v/>
      </c>
      <c r="BW30" s="3">
        <f>IF(R30="profesional",0,IF(O30&lt;CUOTA_VALOR_MAX,IF(AR30&gt;ITP_TRAMO_ALTO,SUMIFS(CF_CUOTA,CF_MAS,ITP_TRAMO_ALTO,CF_CCMIN,"&lt;="&amp;BV30,CF_CCMAX,"&gt;="&amp;BV30),IF(AR30&gt;ITP_TRAMO_BAJO,SUMIFS(CF_CUOTA,CF_MAS,ITP_TRAMO_BAJO,CF_CCMIN,"&lt;="&amp;BV30,CF_CCMAX,"&gt;="&amp;BV30),O30*ITP_TIPO)),O30*ITP_TIPO))</f>
        <v/>
      </c>
      <c r="BX30" s="4">
        <f>IF(R30="profesional",N(AK30),0)</f>
        <v/>
      </c>
      <c r="BY30" s="3">
        <f>IF(AND(R30="profesional",ISNUMBER(AK30),AL30="sí"),0,TASA_DGT)</f>
        <v/>
      </c>
      <c r="BZ30" s="3">
        <f>INFORME_DGT</f>
        <v/>
      </c>
      <c r="CA30" s="4">
        <f>O30+BX30+BW30+BY30+BZ30</f>
        <v/>
      </c>
      <c r="CB30" s="4">
        <f>CA30+N(BP30)</f>
        <v/>
      </c>
      <c r="CC30" s="3">
        <f>IF(CA30&lt;=TOTAL_MAX,"sí","no")</f>
        <v/>
      </c>
      <c r="CD30" s="4">
        <f>IF(CC30="sí",COUNTIFS($CC$2:$CC$39,"sí",$BU$2:$BU$39,"&gt;"&amp;BU30)+COUNTIFS($CC$2:CC30,"sí",$BU$2:BU30,BU30),"")</f>
        <v/>
      </c>
    </row>
    <row r="31">
      <c r="A31" s="2" t="inlineStr">
        <is>
          <t>wallapop:1318834980</t>
        </is>
      </c>
      <c r="B31" s="2" t="inlineStr">
        <is>
          <t>wallapop</t>
        </is>
      </c>
      <c r="C31" s="2" t="inlineStr">
        <is>
          <t>https://es.wallapop.com/item/peugeot-308-2008-1318834980</t>
        </is>
      </c>
      <c r="D31" s="2" t="inlineStr">
        <is>
          <t>Peugeot 308 2008</t>
        </is>
      </c>
      <c r="E31" s="2" t="inlineStr">
        <is>
          <t>Peugeot</t>
        </is>
      </c>
      <c r="F31" s="2" t="inlineStr">
        <is>
          <t>Peugeot 308</t>
        </is>
      </c>
      <c r="G31" s="2" t="inlineStr">
        <is>
          <t>1.6 VTi</t>
        </is>
      </c>
      <c r="H31" s="2" t="inlineStr">
        <is>
          <t>1.6 VTi 120 Sport 5p</t>
        </is>
      </c>
      <c r="I31" s="2" t="n"/>
      <c r="J31" s="2" t="n">
        <v>120</v>
      </c>
      <c r="K31" s="2" t="inlineStr">
        <is>
          <t>gasolina</t>
        </is>
      </c>
      <c r="L31" s="2" t="inlineStr">
        <is>
          <t>compacto</t>
        </is>
      </c>
      <c r="M31" s="2" t="n">
        <v>2008</v>
      </c>
      <c r="N31" s="2" t="n">
        <v>140000</v>
      </c>
      <c r="O31" s="2" t="n">
        <v>3500</v>
      </c>
      <c r="P31" s="2" t="inlineStr">
        <is>
          <t>manual</t>
        </is>
      </c>
      <c r="Q31" s="2" t="inlineStr">
        <is>
          <t>no</t>
        </is>
      </c>
      <c r="R31" s="2" t="inlineStr">
        <is>
          <t>profesional</t>
        </is>
      </c>
      <c r="S31" s="2" t="inlineStr">
        <is>
          <t>Valencia (46014)</t>
        </is>
      </c>
      <c r="T31" s="2" t="inlineStr">
        <is>
          <t>2026-10-30T17:14:43</t>
        </is>
      </c>
      <c r="U31" s="2" t="n">
        <v>14</v>
      </c>
      <c r="V31" s="2" t="n"/>
      <c r="W31" s="2" t="n"/>
      <c r="X31" s="2" t="n"/>
      <c r="Y31" s="2" t="n">
        <v>1</v>
      </c>
      <c r="Z31" s="2" t="n"/>
      <c r="AA31" s="2" t="n"/>
      <c r="AB31" s="2" t="n"/>
      <c r="AC31" s="2" t="n"/>
      <c r="AD31" s="2" t="n"/>
      <c r="AE31" s="2" t="n"/>
      <c r="AF31" s="2" t="n"/>
      <c r="AG31" s="2" t="n"/>
      <c r="AH31" s="2" t="n"/>
      <c r="AI31" s="2" t="n"/>
      <c r="AJ31" s="2" t="n"/>
      <c r="AK31" s="2" t="n"/>
      <c r="AL31" s="2" t="n"/>
      <c r="AM31" s="2" t="n">
        <v>3.3</v>
      </c>
      <c r="AN31" s="2" t="n"/>
      <c r="AO31" s="2" t="inlineStr">
        <is>
          <t>vendedor profesional: sin ITP (operación con IVA/REBU, confirmar en factura); gastos de gestión del vendedor no indicados: se suma la tasa DGT; preguntar el precio final; mediana con solo 2 anuncio(s)</t>
        </is>
      </c>
      <c r="AP31" s="2" t="inlineStr">
        <is>
          <t xml:space="preserve">Hermoso 308 sport muy cuidado y con mantenimientos al día
Motor potente de 120cv 1.6cc gasolina sin turbo y con distribución por cadena, tan solo con 140mil kms, etiqueta C , único propietario 2 llaves, batería nueva </t>
        </is>
      </c>
      <c r="AQ31" s="2" t="inlineStr">
        <is>
          <t>https://es.wallapop.com/item/peugeot-308-2008-1318834980 (__NEXT_DATA__ item) /home/user/Alopecia/buscador-coches/raw/wallapop/3b63e46021db0664.json</t>
        </is>
      </c>
      <c r="AR31" s="3">
        <f>MAX(ANIO_ACTUAL-M31,0)</f>
        <v/>
      </c>
      <c r="AS31" s="4">
        <f>N31/MAX(AR31,0.5)</f>
        <v/>
      </c>
      <c r="AT31" s="4">
        <f>F31</f>
        <v/>
      </c>
      <c r="AU31" s="3">
        <f>AT31&amp;"|"&amp;INT(M31/SEG_ANIO)*SEG_ANIO</f>
        <v/>
      </c>
      <c r="AV31" s="3">
        <f>AU31&amp;"|"&amp;INT(N31/SEG_KM)*SEG_KM</f>
        <v/>
      </c>
      <c r="AW31" s="4">
        <f>COUNTIF($AT$2:$AT$39,AT31)</f>
        <v/>
      </c>
      <c r="AX31" s="4">
        <f>COUNTIF($AU$2:$AU$39,AU31)</f>
        <v/>
      </c>
      <c r="AY31" s="4">
        <f>COUNTIF($AV$2:$AV$39,AV31)</f>
        <v/>
      </c>
      <c r="AZ31" s="3">
        <f t="array" ref="AZ31">IF(AY31&gt;=MIN_N,MEDIAN(IF($AV$2:$AV$39=AV31,$O$2:$O$39)),IF(AX31&gt;=MIN_N,MEDIAN(IF($AU$2:$AU$39=AU31,$O$2:$O$39)),MEDIAN(IF($AT$2:$AT$39=AT31,$O$2:$O$39))))</f>
        <v/>
      </c>
      <c r="BA31" s="3">
        <f>IF(AY31&gt;=MIN_N,"modelo+año+km",IF(AX31&gt;=MIN_N,"modelo+año","modelo"))</f>
        <v/>
      </c>
      <c r="BB31" s="4">
        <f>(AZ31-O31)/AZ31</f>
        <v/>
      </c>
      <c r="BC31" s="3">
        <f>IF(OR(K31="hibrido",K31="glp"),"ECO",IF(K31="electrico","CERO",IF(K31="gasolina",IF(M31&gt;=GAS_C,"C",IF(M31&gt;=GAS_B,"B","A")),IF(K31="diesel",IF(M31&gt;=DIE_C,"C",IF(M31&gt;=DIE_B,"B","A")),""))))</f>
        <v/>
      </c>
      <c r="BD31" s="3">
        <f>IFERROR(VLOOKUP(F31,MOD_TBL,11,0),IFERROR(VLOOKUP(E31,OCU_TBL,2,0),NEUTRO))</f>
        <v/>
      </c>
      <c r="BE31" s="3">
        <f>SUMIFS(MOT_AJUSTE,MOT_MOTOR,G31,MOT_MARCA,E31,MOT_DESDE,"&lt;="&amp;M31,MOT_HASTA,"&gt;="&amp;M31)+SUMIFS(MOT_AJUSTE,MOT_MOTOR,G31,MOT_MARCA,"(todas)",MOT_DESDE,"&lt;="&amp;M31,MOT_HASTA,"&gt;="&amp;M31)</f>
        <v/>
      </c>
      <c r="BF31" s="3">
        <f>SUMIFS(COMB_AJUSTE,COMB_COMB,K31)</f>
        <v/>
      </c>
      <c r="BG31" s="4">
        <f>MAX(0,MIN(100,BD31+BE31+BF31))</f>
        <v/>
      </c>
      <c r="BH31" s="3">
        <f>MAX(0,MIN(100,50+BB31*PRECIO_PEND))</f>
        <v/>
      </c>
      <c r="BI31" s="3">
        <f>MAX(0,100*(1-N31/KM_MAX))</f>
        <v/>
      </c>
      <c r="BJ31" s="3">
        <f>IF(AS31&lt;KMA_SOSP,IF(AA31="sí",100,KMA_PEN),IF(AS31&lt;=KMA_IDEAL_MAX,100,MAX(0,100*(KMA_CERO-AS31)/(KMA_CERO-KMA_IDEAL_MAX))))</f>
        <v/>
      </c>
      <c r="BK31" s="3">
        <f>MAX(0,MIN(100,100*(M31-ANIO_MIN)/(ANIO_ACTUAL-ANIO_MIN)))</f>
        <v/>
      </c>
      <c r="BL31" s="3">
        <f>W_KMT*BI31+W_KMA*BJ31+W_EDAD*BK31</f>
        <v/>
      </c>
      <c r="BM31" s="3">
        <f>P_ITV*(V31="sí")+P_LIBRO*(W31="sí")+P_CORREA*(X31="sí")+P_PROP*(Y31=1)+P_GAR*(Z31="sí")+P_FOTOS*MIN(1,N(U31)/FOTOS_OBJ)</f>
        <v/>
      </c>
      <c r="BN31" s="3">
        <f>IFERROR(VLOOKUP(BC31,ETQ_TBL,2,0),NEUTRO)</f>
        <v/>
      </c>
      <c r="BO31" s="3">
        <f>NEUTRO</f>
        <v/>
      </c>
      <c r="BP31" s="3">
        <f>IFERROR(VLOOKUP(L31,SEGURO_TBL,3,0),"")</f>
        <v/>
      </c>
      <c r="BQ31" s="3">
        <f>IF(BP31="",NEUTRO,MAX(0,MIN(100,100*(SEG_REF_MAX-BP31)/(SEG_REF_MAX-SEG_REF_MIN))))</f>
        <v/>
      </c>
      <c r="BR31" s="3">
        <f>W_ET*BN31+W_CONS*BO31+W_SEG*BQ31</f>
        <v/>
      </c>
      <c r="BS31" s="3">
        <f>IF(N(AB31)&gt;0,AB31,IF(AND(R31="profesional",SG_LEGAL_ON=1),GAR_LEGAL,0))</f>
        <v/>
      </c>
      <c r="BT31" s="3">
        <f>SG_GAR*MIN(1,BS31/SG_GAR_FULL)+SG_AMPL*(AC31="sí")+SG_KMC*(AF31="sí")+SG_REV*(N(AE31)&gt;0)+SG_DEV*MIN(1,N(AG31)/SG_DEV_FULL)+SG_HIST*(W31="sí")</f>
        <v/>
      </c>
      <c r="BU31" s="3">
        <f>W_FIAB*BG31+W_PRECIO*BH31+W_KMEDAD*BL31+W_ANUNCIO*BM31+W_USO*BR31+W_SEGURIDAD*BT31</f>
        <v/>
      </c>
      <c r="BV31" s="4">
        <f>IF(N(I31)&gt;0,I31,IFERROR(ROUND(_xlfn.NUMBERVALUE(LEFT(G31,FIND(" ",G31&amp;" ")-1),".")*1000,0),99999))</f>
        <v/>
      </c>
      <c r="BW31" s="3">
        <f>IF(R31="profesional",0,IF(O31&lt;CUOTA_VALOR_MAX,IF(AR31&gt;ITP_TRAMO_ALTO,SUMIFS(CF_CUOTA,CF_MAS,ITP_TRAMO_ALTO,CF_CCMIN,"&lt;="&amp;BV31,CF_CCMAX,"&gt;="&amp;BV31),IF(AR31&gt;ITP_TRAMO_BAJO,SUMIFS(CF_CUOTA,CF_MAS,ITP_TRAMO_BAJO,CF_CCMIN,"&lt;="&amp;BV31,CF_CCMAX,"&gt;="&amp;BV31),O31*ITP_TIPO)),O31*ITP_TIPO))</f>
        <v/>
      </c>
      <c r="BX31" s="4">
        <f>IF(R31="profesional",N(AK31),0)</f>
        <v/>
      </c>
      <c r="BY31" s="3">
        <f>IF(AND(R31="profesional",ISNUMBER(AK31),AL31="sí"),0,TASA_DGT)</f>
        <v/>
      </c>
      <c r="BZ31" s="3">
        <f>INFORME_DGT</f>
        <v/>
      </c>
      <c r="CA31" s="4">
        <f>O31+BX31+BW31+BY31+BZ31</f>
        <v/>
      </c>
      <c r="CB31" s="4">
        <f>CA31+N(BP31)</f>
        <v/>
      </c>
      <c r="CC31" s="3">
        <f>IF(CA31&lt;=TOTAL_MAX,"sí","no")</f>
        <v/>
      </c>
      <c r="CD31" s="4">
        <f>IF(CC31="sí",COUNTIFS($CC$2:$CC$39,"sí",$BU$2:$BU$39,"&gt;"&amp;BU31)+COUNTIFS($CC$2:CC31,"sí",$BU$2:BU31,BU31),"")</f>
        <v/>
      </c>
    </row>
    <row r="32">
      <c r="A32" s="2" t="inlineStr">
        <is>
          <t>wallapop:1313565029</t>
        </is>
      </c>
      <c r="B32" s="2" t="inlineStr">
        <is>
          <t>wallapop</t>
        </is>
      </c>
      <c r="C32" s="2" t="inlineStr">
        <is>
          <t>https://es.wallapop.com/item/peugeot-308-1-6-vti-120cv-solo-126-000-km-itv-1313565029</t>
        </is>
      </c>
      <c r="D32" s="2" t="inlineStr">
        <is>
          <t>Peugeot 308 1.6 VTi 120cv | ¡Solo 126.000 km! ITV</t>
        </is>
      </c>
      <c r="E32" s="2" t="inlineStr">
        <is>
          <t>Peugeot</t>
        </is>
      </c>
      <c r="F32" s="2" t="inlineStr">
        <is>
          <t>Peugeot 308</t>
        </is>
      </c>
      <c r="G32" s="2" t="inlineStr">
        <is>
          <t>1.6 VTi</t>
        </is>
      </c>
      <c r="H32" s="2" t="inlineStr">
        <is>
          <t>1.6 VTi 120 Confort 5p</t>
        </is>
      </c>
      <c r="I32" s="2" t="n"/>
      <c r="J32" s="2" t="n">
        <v>120</v>
      </c>
      <c r="K32" s="2" t="inlineStr">
        <is>
          <t>gasolina</t>
        </is>
      </c>
      <c r="L32" s="2" t="inlineStr">
        <is>
          <t>compacto</t>
        </is>
      </c>
      <c r="M32" s="2" t="n">
        <v>2008</v>
      </c>
      <c r="N32" s="2" t="n">
        <v>126000</v>
      </c>
      <c r="O32" s="2" t="n">
        <v>2999</v>
      </c>
      <c r="P32" s="2" t="inlineStr">
        <is>
          <t>manual</t>
        </is>
      </c>
      <c r="Q32" s="2" t="inlineStr">
        <is>
          <t>no</t>
        </is>
      </c>
      <c r="R32" s="2" t="inlineStr">
        <is>
          <t>particular</t>
        </is>
      </c>
      <c r="S32" s="2" t="inlineStr">
        <is>
          <t>Valencia (46021)</t>
        </is>
      </c>
      <c r="T32" s="2" t="inlineStr">
        <is>
          <t>2026-10-29T09:07:31</t>
        </is>
      </c>
      <c r="U32" s="2" t="n">
        <v>10</v>
      </c>
      <c r="V32" s="2" t="inlineStr">
        <is>
          <t>sí</t>
        </is>
      </c>
      <c r="W32" s="2" t="n"/>
      <c r="X32" s="2" t="n"/>
      <c r="Y32" s="2" t="n"/>
      <c r="Z32" s="2" t="n"/>
      <c r="AA32" s="2" t="n"/>
      <c r="AB32" s="2" t="n"/>
      <c r="AC32" s="2" t="n"/>
      <c r="AD32" s="2" t="n"/>
      <c r="AE32" s="2" t="n"/>
      <c r="AF32" s="2" t="n"/>
      <c r="AG32" s="2" t="n"/>
      <c r="AH32" s="2" t="n"/>
      <c r="AI32" s="2" t="n"/>
      <c r="AJ32" s="2" t="n"/>
      <c r="AK32" s="2" t="n"/>
      <c r="AL32" s="2" t="n"/>
      <c r="AM32" s="2" t="n">
        <v>2.5</v>
      </c>
      <c r="AN32" s="2" t="n"/>
      <c r="AO32" s="2" t="inlineStr">
        <is>
          <t>cuota fija ITP: &gt;12 años, 1.501-2.000 cc; mediana con solo 2 anuncio(s)</t>
        </is>
      </c>
      <c r="AP32" s="2" t="inlineStr">
        <is>
          <t xml:space="preserve">Vendo Peugeot 308 1.6 VTi de gasolina con 120 cv y solo 120.000 kilómetros reales y certificados. Yo soy segundo propietario. ITV hasta marzo de 2026. Neumaticos delanteros de marzo 2026 y traseros en excelente estado. El coche mecánicamente está impecable, va finísimo y tiene los mantenimientos totalmente al día. Lleva motor con distribución por cadena (muy fiable, te olvidas de cambiar la correa).
Coche totalmente libre de inundaciones o siniestros (DANA). Siempre resguardado.
* Etiqueta C (Verde): Sin restricciones para circular por la ZBE de Valencia.
* Kilometraje: 120.000 km reales. Año 2008 (Matrícula GBS).
* Estado mecánico: ITV en vigor, neumáticos en buen estado y revisiones al día. Listo para llevar y usar desde el primer día sin gastar nada.
* Estado estético: El interior está muy limpio y cuidado. Por fuera tiene algunos rayones típicos del uso diario y de aparcar (nada grave, se ve en las fotos), de ahí que el precio esté ajustado.
* Equipamiento: Climatizador, control de crucero/velocidad, elevalunas eléctricos, ordenador de a bordo.
Se puede ver en Valencia capital y acepto cualquier tipo de prueba mecánica para verificar su excelente estado de motor. Disponibilidad inmediata para transferir. No cambios. </t>
        </is>
      </c>
      <c r="AQ32" s="2" t="inlineStr">
        <is>
          <t>https://es.wallapop.com/item/peugeot-308-1-6-vti-120cv-solo-126-000-km-itv-1313565029 (__NEXT_DATA__ item) /home/user/Alopecia/buscador-coches/raw/wallapop/ffa1b5093b40cc76.json</t>
        </is>
      </c>
      <c r="AR32" s="3">
        <f>MAX(ANIO_ACTUAL-M32,0)</f>
        <v/>
      </c>
      <c r="AS32" s="4">
        <f>N32/MAX(AR32,0.5)</f>
        <v/>
      </c>
      <c r="AT32" s="4">
        <f>F32</f>
        <v/>
      </c>
      <c r="AU32" s="3">
        <f>AT32&amp;"|"&amp;INT(M32/SEG_ANIO)*SEG_ANIO</f>
        <v/>
      </c>
      <c r="AV32" s="3">
        <f>AU32&amp;"|"&amp;INT(N32/SEG_KM)*SEG_KM</f>
        <v/>
      </c>
      <c r="AW32" s="4">
        <f>COUNTIF($AT$2:$AT$39,AT32)</f>
        <v/>
      </c>
      <c r="AX32" s="4">
        <f>COUNTIF($AU$2:$AU$39,AU32)</f>
        <v/>
      </c>
      <c r="AY32" s="4">
        <f>COUNTIF($AV$2:$AV$39,AV32)</f>
        <v/>
      </c>
      <c r="AZ32" s="3">
        <f t="array" ref="AZ32">IF(AY32&gt;=MIN_N,MEDIAN(IF($AV$2:$AV$39=AV32,$O$2:$O$39)),IF(AX32&gt;=MIN_N,MEDIAN(IF($AU$2:$AU$39=AU32,$O$2:$O$39)),MEDIAN(IF($AT$2:$AT$39=AT32,$O$2:$O$39))))</f>
        <v/>
      </c>
      <c r="BA32" s="3">
        <f>IF(AY32&gt;=MIN_N,"modelo+año+km",IF(AX32&gt;=MIN_N,"modelo+año","modelo"))</f>
        <v/>
      </c>
      <c r="BB32" s="4">
        <f>(AZ32-O32)/AZ32</f>
        <v/>
      </c>
      <c r="BC32" s="3">
        <f>IF(OR(K32="hibrido",K32="glp"),"ECO",IF(K32="electrico","CERO",IF(K32="gasolina",IF(M32&gt;=GAS_C,"C",IF(M32&gt;=GAS_B,"B","A")),IF(K32="diesel",IF(M32&gt;=DIE_C,"C",IF(M32&gt;=DIE_B,"B","A")),""))))</f>
        <v/>
      </c>
      <c r="BD32" s="3">
        <f>IFERROR(VLOOKUP(F32,MOD_TBL,11,0),IFERROR(VLOOKUP(E32,OCU_TBL,2,0),NEUTRO))</f>
        <v/>
      </c>
      <c r="BE32" s="3">
        <f>SUMIFS(MOT_AJUSTE,MOT_MOTOR,G32,MOT_MARCA,E32,MOT_DESDE,"&lt;="&amp;M32,MOT_HASTA,"&gt;="&amp;M32)+SUMIFS(MOT_AJUSTE,MOT_MOTOR,G32,MOT_MARCA,"(todas)",MOT_DESDE,"&lt;="&amp;M32,MOT_HASTA,"&gt;="&amp;M32)</f>
        <v/>
      </c>
      <c r="BF32" s="3">
        <f>SUMIFS(COMB_AJUSTE,COMB_COMB,K32)</f>
        <v/>
      </c>
      <c r="BG32" s="4">
        <f>MAX(0,MIN(100,BD32+BE32+BF32))</f>
        <v/>
      </c>
      <c r="BH32" s="3">
        <f>MAX(0,MIN(100,50+BB32*PRECIO_PEND))</f>
        <v/>
      </c>
      <c r="BI32" s="3">
        <f>MAX(0,100*(1-N32/KM_MAX))</f>
        <v/>
      </c>
      <c r="BJ32" s="3">
        <f>IF(AS32&lt;KMA_SOSP,IF(AA32="sí",100,KMA_PEN),IF(AS32&lt;=KMA_IDEAL_MAX,100,MAX(0,100*(KMA_CERO-AS32)/(KMA_CERO-KMA_IDEAL_MAX))))</f>
        <v/>
      </c>
      <c r="BK32" s="3">
        <f>MAX(0,MIN(100,100*(M32-ANIO_MIN)/(ANIO_ACTUAL-ANIO_MIN)))</f>
        <v/>
      </c>
      <c r="BL32" s="3">
        <f>W_KMT*BI32+W_KMA*BJ32+W_EDAD*BK32</f>
        <v/>
      </c>
      <c r="BM32" s="3">
        <f>P_ITV*(V32="sí")+P_LIBRO*(W32="sí")+P_CORREA*(X32="sí")+P_PROP*(Y32=1)+P_GAR*(Z32="sí")+P_FOTOS*MIN(1,N(U32)/FOTOS_OBJ)</f>
        <v/>
      </c>
      <c r="BN32" s="3">
        <f>IFERROR(VLOOKUP(BC32,ETQ_TBL,2,0),NEUTRO)</f>
        <v/>
      </c>
      <c r="BO32" s="3">
        <f>NEUTRO</f>
        <v/>
      </c>
      <c r="BP32" s="3">
        <f>IFERROR(VLOOKUP(L32,SEGURO_TBL,3,0),"")</f>
        <v/>
      </c>
      <c r="BQ32" s="3">
        <f>IF(BP32="",NEUTRO,MAX(0,MIN(100,100*(SEG_REF_MAX-BP32)/(SEG_REF_MAX-SEG_REF_MIN))))</f>
        <v/>
      </c>
      <c r="BR32" s="3">
        <f>W_ET*BN32+W_CONS*BO32+W_SEG*BQ32</f>
        <v/>
      </c>
      <c r="BS32" s="3">
        <f>IF(N(AB32)&gt;0,AB32,IF(AND(R32="profesional",SG_LEGAL_ON=1),GAR_LEGAL,0))</f>
        <v/>
      </c>
      <c r="BT32" s="3">
        <f>SG_GAR*MIN(1,BS32/SG_GAR_FULL)+SG_AMPL*(AC32="sí")+SG_KMC*(AF32="sí")+SG_REV*(N(AE32)&gt;0)+SG_DEV*MIN(1,N(AG32)/SG_DEV_FULL)+SG_HIST*(W32="sí")</f>
        <v/>
      </c>
      <c r="BU32" s="3">
        <f>W_FIAB*BG32+W_PRECIO*BH32+W_KMEDAD*BL32+W_ANUNCIO*BM32+W_USO*BR32+W_SEGURIDAD*BT32</f>
        <v/>
      </c>
      <c r="BV32" s="4">
        <f>IF(N(I32)&gt;0,I32,IFERROR(ROUND(_xlfn.NUMBERVALUE(LEFT(G32,FIND(" ",G32&amp;" ")-1),".")*1000,0),99999))</f>
        <v/>
      </c>
      <c r="BW32" s="3">
        <f>IF(R32="profesional",0,IF(O32&lt;CUOTA_VALOR_MAX,IF(AR32&gt;ITP_TRAMO_ALTO,SUMIFS(CF_CUOTA,CF_MAS,ITP_TRAMO_ALTO,CF_CCMIN,"&lt;="&amp;BV32,CF_CCMAX,"&gt;="&amp;BV32),IF(AR32&gt;ITP_TRAMO_BAJO,SUMIFS(CF_CUOTA,CF_MAS,ITP_TRAMO_BAJO,CF_CCMIN,"&lt;="&amp;BV32,CF_CCMAX,"&gt;="&amp;BV32),O32*ITP_TIPO)),O32*ITP_TIPO))</f>
        <v/>
      </c>
      <c r="BX32" s="4">
        <f>IF(R32="profesional",N(AK32),0)</f>
        <v/>
      </c>
      <c r="BY32" s="3">
        <f>IF(AND(R32="profesional",ISNUMBER(AK32),AL32="sí"),0,TASA_DGT)</f>
        <v/>
      </c>
      <c r="BZ32" s="3">
        <f>INFORME_DGT</f>
        <v/>
      </c>
      <c r="CA32" s="4">
        <f>O32+BX32+BW32+BY32+BZ32</f>
        <v/>
      </c>
      <c r="CB32" s="4">
        <f>CA32+N(BP32)</f>
        <v/>
      </c>
      <c r="CC32" s="3">
        <f>IF(CA32&lt;=TOTAL_MAX,"sí","no")</f>
        <v/>
      </c>
      <c r="CD32" s="4">
        <f>IF(CC32="sí",COUNTIFS($CC$2:$CC$39,"sí",$BU$2:$BU$39,"&gt;"&amp;BU32)+COUNTIFS($CC$2:CC32,"sí",$BU$2:BU32,BU32),"")</f>
        <v/>
      </c>
    </row>
    <row r="33">
      <c r="A33" s="2" t="inlineStr">
        <is>
          <t>wallapop:1311163176</t>
        </is>
      </c>
      <c r="B33" s="2" t="inlineStr">
        <is>
          <t>wallapop</t>
        </is>
      </c>
      <c r="C33" s="2" t="inlineStr">
        <is>
          <t>https://es.wallapop.com/item/ford-ka-2014-1311163176</t>
        </is>
      </c>
      <c r="D33" s="2" t="inlineStr">
        <is>
          <t>Ford Ka 2014</t>
        </is>
      </c>
      <c r="E33" s="2" t="inlineStr">
        <is>
          <t>Ford</t>
        </is>
      </c>
      <c r="F33" s="2" t="inlineStr">
        <is>
          <t>Ford Ka</t>
        </is>
      </c>
      <c r="G33" s="2" t="inlineStr">
        <is>
          <t>1.2</t>
        </is>
      </c>
      <c r="H33" s="2" t="inlineStr">
        <is>
          <t>1.2 69 Urban 3p S/S</t>
        </is>
      </c>
      <c r="I33" s="2" t="n"/>
      <c r="J33" s="2" t="n">
        <v>69</v>
      </c>
      <c r="K33" s="2" t="inlineStr">
        <is>
          <t>gasolina</t>
        </is>
      </c>
      <c r="L33" s="2" t="inlineStr">
        <is>
          <t>utilitario</t>
        </is>
      </c>
      <c r="M33" s="2" t="n">
        <v>2014</v>
      </c>
      <c r="N33" s="2" t="n">
        <v>177000</v>
      </c>
      <c r="O33" s="2" t="n">
        <v>4200</v>
      </c>
      <c r="P33" s="2" t="inlineStr">
        <is>
          <t>manual</t>
        </is>
      </c>
      <c r="Q33" s="2" t="inlineStr">
        <is>
          <t>no</t>
        </is>
      </c>
      <c r="R33" s="2" t="inlineStr">
        <is>
          <t>particular</t>
        </is>
      </c>
      <c r="S33" s="2" t="inlineStr">
        <is>
          <t>Valencia (46002)</t>
        </is>
      </c>
      <c r="T33" s="2" t="inlineStr">
        <is>
          <t>2026-10-13T00:21:09</t>
        </is>
      </c>
      <c r="U33" s="2" t="n">
        <v>7</v>
      </c>
      <c r="V33" s="2" t="inlineStr">
        <is>
          <t>sí</t>
        </is>
      </c>
      <c r="W33" s="2" t="n"/>
      <c r="X33" s="2" t="inlineStr">
        <is>
          <t>sí</t>
        </is>
      </c>
      <c r="Y33" s="2" t="n"/>
      <c r="Z33" s="2" t="n"/>
      <c r="AA33" s="2" t="n"/>
      <c r="AB33" s="2" t="n"/>
      <c r="AC33" s="2" t="n"/>
      <c r="AD33" s="2" t="n"/>
      <c r="AE33" s="2" t="n"/>
      <c r="AF33" s="2" t="n"/>
      <c r="AG33" s="2" t="n"/>
      <c r="AH33" s="2" t="n"/>
      <c r="AI33" s="2" t="n"/>
      <c r="AJ33" s="2" t="n"/>
      <c r="AK33" s="2" t="n"/>
      <c r="AL33" s="2" t="n"/>
      <c r="AM33" s="2" t="n">
        <v>0.8</v>
      </c>
      <c r="AN33" s="2" t="n"/>
      <c r="AO33" s="2" t="inlineStr">
        <is>
          <t>cuota fija ITP: &gt;5 y &lt;=12 años, hasta 1.500 cc; fiabilidad del modelo PENDIENTE de fuente (puntuación neutra); mediana con solo 2 anuncio(s)</t>
        </is>
      </c>
      <c r="AP33" s="2" t="inlineStr">
        <is>
          <t xml:space="preserve">Coche en perfecto estado, ITV al dia, funciona todo, aire acondicionado, Navegador GPS, elevalunas eléctrico, star and stop, se usa todos los días, gasta poco, el seguro es barato y se aparca fácil, muy bien de chapa y pintura. Ruedas traser nuevas hace 2.000 kms, delanteras bastante nuevas, aceite y mantenimientos todo al dia, correa distribucion hecha hace 30.0000 kms, listo para rodar muchos Kilometros. </t>
        </is>
      </c>
      <c r="AQ33" s="2" t="inlineStr">
        <is>
          <t>https://es.wallapop.com/item/ford-ka-2014-1311163176 (__NEXT_DATA__ item) /home/user/Alopecia/buscador-coches/raw/wallapop/ab3adf6bda39cb9c.json</t>
        </is>
      </c>
      <c r="AR33" s="3">
        <f>MAX(ANIO_ACTUAL-M33,0)</f>
        <v/>
      </c>
      <c r="AS33" s="4">
        <f>N33/MAX(AR33,0.5)</f>
        <v/>
      </c>
      <c r="AT33" s="4">
        <f>F33</f>
        <v/>
      </c>
      <c r="AU33" s="3">
        <f>AT33&amp;"|"&amp;INT(M33/SEG_ANIO)*SEG_ANIO</f>
        <v/>
      </c>
      <c r="AV33" s="3">
        <f>AU33&amp;"|"&amp;INT(N33/SEG_KM)*SEG_KM</f>
        <v/>
      </c>
      <c r="AW33" s="4">
        <f>COUNTIF($AT$2:$AT$39,AT33)</f>
        <v/>
      </c>
      <c r="AX33" s="4">
        <f>COUNTIF($AU$2:$AU$39,AU33)</f>
        <v/>
      </c>
      <c r="AY33" s="4">
        <f>COUNTIF($AV$2:$AV$39,AV33)</f>
        <v/>
      </c>
      <c r="AZ33" s="3">
        <f t="array" ref="AZ33">IF(AY33&gt;=MIN_N,MEDIAN(IF($AV$2:$AV$39=AV33,$O$2:$O$39)),IF(AX33&gt;=MIN_N,MEDIAN(IF($AU$2:$AU$39=AU33,$O$2:$O$39)),MEDIAN(IF($AT$2:$AT$39=AT33,$O$2:$O$39))))</f>
        <v/>
      </c>
      <c r="BA33" s="3">
        <f>IF(AY33&gt;=MIN_N,"modelo+año+km",IF(AX33&gt;=MIN_N,"modelo+año","modelo"))</f>
        <v/>
      </c>
      <c r="BB33" s="4">
        <f>(AZ33-O33)/AZ33</f>
        <v/>
      </c>
      <c r="BC33" s="3">
        <f>IF(OR(K33="hibrido",K33="glp"),"ECO",IF(K33="electrico","CERO",IF(K33="gasolina",IF(M33&gt;=GAS_C,"C",IF(M33&gt;=GAS_B,"B","A")),IF(K33="diesel",IF(M33&gt;=DIE_C,"C",IF(M33&gt;=DIE_B,"B","A")),""))))</f>
        <v/>
      </c>
      <c r="BD33" s="3">
        <f>IFERROR(VLOOKUP(F33,MOD_TBL,11,0),IFERROR(VLOOKUP(E33,OCU_TBL,2,0),NEUTRO))</f>
        <v/>
      </c>
      <c r="BE33" s="3">
        <f>SUMIFS(MOT_AJUSTE,MOT_MOTOR,G33,MOT_MARCA,E33,MOT_DESDE,"&lt;="&amp;M33,MOT_HASTA,"&gt;="&amp;M33)+SUMIFS(MOT_AJUSTE,MOT_MOTOR,G33,MOT_MARCA,"(todas)",MOT_DESDE,"&lt;="&amp;M33,MOT_HASTA,"&gt;="&amp;M33)</f>
        <v/>
      </c>
      <c r="BF33" s="3">
        <f>SUMIFS(COMB_AJUSTE,COMB_COMB,K33)</f>
        <v/>
      </c>
      <c r="BG33" s="4">
        <f>MAX(0,MIN(100,BD33+BE33+BF33))</f>
        <v/>
      </c>
      <c r="BH33" s="3">
        <f>MAX(0,MIN(100,50+BB33*PRECIO_PEND))</f>
        <v/>
      </c>
      <c r="BI33" s="3">
        <f>MAX(0,100*(1-N33/KM_MAX))</f>
        <v/>
      </c>
      <c r="BJ33" s="3">
        <f>IF(AS33&lt;KMA_SOSP,IF(AA33="sí",100,KMA_PEN),IF(AS33&lt;=KMA_IDEAL_MAX,100,MAX(0,100*(KMA_CERO-AS33)/(KMA_CERO-KMA_IDEAL_MAX))))</f>
        <v/>
      </c>
      <c r="BK33" s="3">
        <f>MAX(0,MIN(100,100*(M33-ANIO_MIN)/(ANIO_ACTUAL-ANIO_MIN)))</f>
        <v/>
      </c>
      <c r="BL33" s="3">
        <f>W_KMT*BI33+W_KMA*BJ33+W_EDAD*BK33</f>
        <v/>
      </c>
      <c r="BM33" s="3">
        <f>P_ITV*(V33="sí")+P_LIBRO*(W33="sí")+P_CORREA*(X33="sí")+P_PROP*(Y33=1)+P_GAR*(Z33="sí")+P_FOTOS*MIN(1,N(U33)/FOTOS_OBJ)</f>
        <v/>
      </c>
      <c r="BN33" s="3">
        <f>IFERROR(VLOOKUP(BC33,ETQ_TBL,2,0),NEUTRO)</f>
        <v/>
      </c>
      <c r="BO33" s="3">
        <f>NEUTRO</f>
        <v/>
      </c>
      <c r="BP33" s="3">
        <f>IFERROR(VLOOKUP(L33,SEGURO_TBL,3,0),"")</f>
        <v/>
      </c>
      <c r="BQ33" s="3">
        <f>IF(BP33="",NEUTRO,MAX(0,MIN(100,100*(SEG_REF_MAX-BP33)/(SEG_REF_MAX-SEG_REF_MIN))))</f>
        <v/>
      </c>
      <c r="BR33" s="3">
        <f>W_ET*BN33+W_CONS*BO33+W_SEG*BQ33</f>
        <v/>
      </c>
      <c r="BS33" s="3">
        <f>IF(N(AB33)&gt;0,AB33,IF(AND(R33="profesional",SG_LEGAL_ON=1),GAR_LEGAL,0))</f>
        <v/>
      </c>
      <c r="BT33" s="3">
        <f>SG_GAR*MIN(1,BS33/SG_GAR_FULL)+SG_AMPL*(AC33="sí")+SG_KMC*(AF33="sí")+SG_REV*(N(AE33)&gt;0)+SG_DEV*MIN(1,N(AG33)/SG_DEV_FULL)+SG_HIST*(W33="sí")</f>
        <v/>
      </c>
      <c r="BU33" s="3">
        <f>W_FIAB*BG33+W_PRECIO*BH33+W_KMEDAD*BL33+W_ANUNCIO*BM33+W_USO*BR33+W_SEGURIDAD*BT33</f>
        <v/>
      </c>
      <c r="BV33" s="4">
        <f>IF(N(I33)&gt;0,I33,IFERROR(ROUND(_xlfn.NUMBERVALUE(LEFT(G33,FIND(" ",G33&amp;" ")-1),".")*1000,0),99999))</f>
        <v/>
      </c>
      <c r="BW33" s="3">
        <f>IF(R33="profesional",0,IF(O33&lt;CUOTA_VALOR_MAX,IF(AR33&gt;ITP_TRAMO_ALTO,SUMIFS(CF_CUOTA,CF_MAS,ITP_TRAMO_ALTO,CF_CCMIN,"&lt;="&amp;BV33,CF_CCMAX,"&gt;="&amp;BV33),IF(AR33&gt;ITP_TRAMO_BAJO,SUMIFS(CF_CUOTA,CF_MAS,ITP_TRAMO_BAJO,CF_CCMIN,"&lt;="&amp;BV33,CF_CCMAX,"&gt;="&amp;BV33),O33*ITP_TIPO)),O33*ITP_TIPO))</f>
        <v/>
      </c>
      <c r="BX33" s="4">
        <f>IF(R33="profesional",N(AK33),0)</f>
        <v/>
      </c>
      <c r="BY33" s="3">
        <f>IF(AND(R33="profesional",ISNUMBER(AK33),AL33="sí"),0,TASA_DGT)</f>
        <v/>
      </c>
      <c r="BZ33" s="3">
        <f>INFORME_DGT</f>
        <v/>
      </c>
      <c r="CA33" s="4">
        <f>O33+BX33+BW33+BY33+BZ33</f>
        <v/>
      </c>
      <c r="CB33" s="4">
        <f>CA33+N(BP33)</f>
        <v/>
      </c>
      <c r="CC33" s="3">
        <f>IF(CA33&lt;=TOTAL_MAX,"sí","no")</f>
        <v/>
      </c>
      <c r="CD33" s="4">
        <f>IF(CC33="sí",COUNTIFS($CC$2:$CC$39,"sí",$BU$2:$BU$39,"&gt;"&amp;BU33)+COUNTIFS($CC$2:CC33,"sí",$BU$2:BU33,BU33),"")</f>
        <v/>
      </c>
    </row>
    <row r="34">
      <c r="A34" s="2" t="inlineStr">
        <is>
          <t>wallapop:1294034931</t>
        </is>
      </c>
      <c r="B34" s="2" t="inlineStr">
        <is>
          <t>wallapop</t>
        </is>
      </c>
      <c r="C34" s="2" t="inlineStr">
        <is>
          <t>https://es.wallapop.com/item/ford-ka-2010-en-muy-buen-estado-1294034931</t>
        </is>
      </c>
      <c r="D34" s="2" t="inlineStr">
        <is>
          <t>Ford Ka 2010 en muy buen estado</t>
        </is>
      </c>
      <c r="E34" s="2" t="inlineStr">
        <is>
          <t>Ford</t>
        </is>
      </c>
      <c r="F34" s="2" t="inlineStr">
        <is>
          <t>Ford Ka</t>
        </is>
      </c>
      <c r="G34" s="2" t="inlineStr">
        <is>
          <t>1.2</t>
        </is>
      </c>
      <c r="H34" s="2" t="inlineStr">
        <is>
          <t>1.2 69 Trend+ 3p</t>
        </is>
      </c>
      <c r="I34" s="2" t="n"/>
      <c r="J34" s="2" t="n">
        <v>69</v>
      </c>
      <c r="K34" s="2" t="inlineStr">
        <is>
          <t>gasolina</t>
        </is>
      </c>
      <c r="L34" s="2" t="inlineStr">
        <is>
          <t>utilitario</t>
        </is>
      </c>
      <c r="M34" s="2" t="n">
        <v>2010</v>
      </c>
      <c r="N34" s="2" t="n">
        <v>159000</v>
      </c>
      <c r="O34" s="2" t="n">
        <v>2500</v>
      </c>
      <c r="P34" s="2" t="inlineStr">
        <is>
          <t>manual</t>
        </is>
      </c>
      <c r="Q34" s="2" t="inlineStr">
        <is>
          <t>no</t>
        </is>
      </c>
      <c r="R34" s="2" t="inlineStr">
        <is>
          <t>particular</t>
        </is>
      </c>
      <c r="S34" s="2" t="inlineStr">
        <is>
          <t>Valencia (46025)</t>
        </is>
      </c>
      <c r="T34" s="2" t="inlineStr">
        <is>
          <t>2026-10-08T20:08:31</t>
        </is>
      </c>
      <c r="U34" s="2" t="n">
        <v>6</v>
      </c>
      <c r="V34" s="2" t="inlineStr">
        <is>
          <t>sí</t>
        </is>
      </c>
      <c r="W34" s="2" t="n"/>
      <c r="X34" s="2" t="n"/>
      <c r="Y34" s="2" t="n"/>
      <c r="Z34" s="2" t="n"/>
      <c r="AA34" s="2" t="n"/>
      <c r="AB34" s="2" t="n"/>
      <c r="AC34" s="2" t="n"/>
      <c r="AD34" s="2" t="n"/>
      <c r="AE34" s="2" t="n"/>
      <c r="AF34" s="2" t="n"/>
      <c r="AG34" s="2" t="n"/>
      <c r="AH34" s="2" t="n"/>
      <c r="AI34" s="2" t="n"/>
      <c r="AJ34" s="2" t="n"/>
      <c r="AK34" s="2" t="n"/>
      <c r="AL34" s="2" t="n"/>
      <c r="AM34" s="2" t="n">
        <v>3.1</v>
      </c>
      <c r="AN34" s="2" t="n"/>
      <c r="AO34" s="2" t="inlineStr">
        <is>
          <t>cuota fija ITP: &gt;12 años, hasta 1.500 cc; fiabilidad del modelo PENDIENTE de fuente (puntuación neutra); mediana con solo 2 anuncio(s)</t>
        </is>
      </c>
      <c r="AP34" s="2" t="inlineStr">
        <is>
          <t>ITV pasada
Neumáticos cambiados
Revisión pasada
Correa distribución y kit de correa de servicio cambiada
Interior y exterior en muy buen estado (ver fotos)</t>
        </is>
      </c>
      <c r="AQ34" s="2" t="inlineStr">
        <is>
          <t>https://es.wallapop.com/item/ford-ka-2010-en-muy-buen-estado-1294034931 (__NEXT_DATA__ item) /home/user/Alopecia/buscador-coches/raw/wallapop/ddaaf5d76c445008.json</t>
        </is>
      </c>
      <c r="AR34" s="3">
        <f>MAX(ANIO_ACTUAL-M34,0)</f>
        <v/>
      </c>
      <c r="AS34" s="4">
        <f>N34/MAX(AR34,0.5)</f>
        <v/>
      </c>
      <c r="AT34" s="4">
        <f>F34</f>
        <v/>
      </c>
      <c r="AU34" s="3">
        <f>AT34&amp;"|"&amp;INT(M34/SEG_ANIO)*SEG_ANIO</f>
        <v/>
      </c>
      <c r="AV34" s="3">
        <f>AU34&amp;"|"&amp;INT(N34/SEG_KM)*SEG_KM</f>
        <v/>
      </c>
      <c r="AW34" s="4">
        <f>COUNTIF($AT$2:$AT$39,AT34)</f>
        <v/>
      </c>
      <c r="AX34" s="4">
        <f>COUNTIF($AU$2:$AU$39,AU34)</f>
        <v/>
      </c>
      <c r="AY34" s="4">
        <f>COUNTIF($AV$2:$AV$39,AV34)</f>
        <v/>
      </c>
      <c r="AZ34" s="3">
        <f t="array" ref="AZ34">IF(AY34&gt;=MIN_N,MEDIAN(IF($AV$2:$AV$39=AV34,$O$2:$O$39)),IF(AX34&gt;=MIN_N,MEDIAN(IF($AU$2:$AU$39=AU34,$O$2:$O$39)),MEDIAN(IF($AT$2:$AT$39=AT34,$O$2:$O$39))))</f>
        <v/>
      </c>
      <c r="BA34" s="3">
        <f>IF(AY34&gt;=MIN_N,"modelo+año+km",IF(AX34&gt;=MIN_N,"modelo+año","modelo"))</f>
        <v/>
      </c>
      <c r="BB34" s="4">
        <f>(AZ34-O34)/AZ34</f>
        <v/>
      </c>
      <c r="BC34" s="3">
        <f>IF(OR(K34="hibrido",K34="glp"),"ECO",IF(K34="electrico","CERO",IF(K34="gasolina",IF(M34&gt;=GAS_C,"C",IF(M34&gt;=GAS_B,"B","A")),IF(K34="diesel",IF(M34&gt;=DIE_C,"C",IF(M34&gt;=DIE_B,"B","A")),""))))</f>
        <v/>
      </c>
      <c r="BD34" s="3">
        <f>IFERROR(VLOOKUP(F34,MOD_TBL,11,0),IFERROR(VLOOKUP(E34,OCU_TBL,2,0),NEUTRO))</f>
        <v/>
      </c>
      <c r="BE34" s="3">
        <f>SUMIFS(MOT_AJUSTE,MOT_MOTOR,G34,MOT_MARCA,E34,MOT_DESDE,"&lt;="&amp;M34,MOT_HASTA,"&gt;="&amp;M34)+SUMIFS(MOT_AJUSTE,MOT_MOTOR,G34,MOT_MARCA,"(todas)",MOT_DESDE,"&lt;="&amp;M34,MOT_HASTA,"&gt;="&amp;M34)</f>
        <v/>
      </c>
      <c r="BF34" s="3">
        <f>SUMIFS(COMB_AJUSTE,COMB_COMB,K34)</f>
        <v/>
      </c>
      <c r="BG34" s="4">
        <f>MAX(0,MIN(100,BD34+BE34+BF34))</f>
        <v/>
      </c>
      <c r="BH34" s="3">
        <f>MAX(0,MIN(100,50+BB34*PRECIO_PEND))</f>
        <v/>
      </c>
      <c r="BI34" s="3">
        <f>MAX(0,100*(1-N34/KM_MAX))</f>
        <v/>
      </c>
      <c r="BJ34" s="3">
        <f>IF(AS34&lt;KMA_SOSP,IF(AA34="sí",100,KMA_PEN),IF(AS34&lt;=KMA_IDEAL_MAX,100,MAX(0,100*(KMA_CERO-AS34)/(KMA_CERO-KMA_IDEAL_MAX))))</f>
        <v/>
      </c>
      <c r="BK34" s="3">
        <f>MAX(0,MIN(100,100*(M34-ANIO_MIN)/(ANIO_ACTUAL-ANIO_MIN)))</f>
        <v/>
      </c>
      <c r="BL34" s="3">
        <f>W_KMT*BI34+W_KMA*BJ34+W_EDAD*BK34</f>
        <v/>
      </c>
      <c r="BM34" s="3">
        <f>P_ITV*(V34="sí")+P_LIBRO*(W34="sí")+P_CORREA*(X34="sí")+P_PROP*(Y34=1)+P_GAR*(Z34="sí")+P_FOTOS*MIN(1,N(U34)/FOTOS_OBJ)</f>
        <v/>
      </c>
      <c r="BN34" s="3">
        <f>IFERROR(VLOOKUP(BC34,ETQ_TBL,2,0),NEUTRO)</f>
        <v/>
      </c>
      <c r="BO34" s="3">
        <f>NEUTRO</f>
        <v/>
      </c>
      <c r="BP34" s="3">
        <f>IFERROR(VLOOKUP(L34,SEGURO_TBL,3,0),"")</f>
        <v/>
      </c>
      <c r="BQ34" s="3">
        <f>IF(BP34="",NEUTRO,MAX(0,MIN(100,100*(SEG_REF_MAX-BP34)/(SEG_REF_MAX-SEG_REF_MIN))))</f>
        <v/>
      </c>
      <c r="BR34" s="3">
        <f>W_ET*BN34+W_CONS*BO34+W_SEG*BQ34</f>
        <v/>
      </c>
      <c r="BS34" s="3">
        <f>IF(N(AB34)&gt;0,AB34,IF(AND(R34="profesional",SG_LEGAL_ON=1),GAR_LEGAL,0))</f>
        <v/>
      </c>
      <c r="BT34" s="3">
        <f>SG_GAR*MIN(1,BS34/SG_GAR_FULL)+SG_AMPL*(AC34="sí")+SG_KMC*(AF34="sí")+SG_REV*(N(AE34)&gt;0)+SG_DEV*MIN(1,N(AG34)/SG_DEV_FULL)+SG_HIST*(W34="sí")</f>
        <v/>
      </c>
      <c r="BU34" s="3">
        <f>W_FIAB*BG34+W_PRECIO*BH34+W_KMEDAD*BL34+W_ANUNCIO*BM34+W_USO*BR34+W_SEGURIDAD*BT34</f>
        <v/>
      </c>
      <c r="BV34" s="4">
        <f>IF(N(I34)&gt;0,I34,IFERROR(ROUND(_xlfn.NUMBERVALUE(LEFT(G34,FIND(" ",G34&amp;" ")-1),".")*1000,0),99999))</f>
        <v/>
      </c>
      <c r="BW34" s="3">
        <f>IF(R34="profesional",0,IF(O34&lt;CUOTA_VALOR_MAX,IF(AR34&gt;ITP_TRAMO_ALTO,SUMIFS(CF_CUOTA,CF_MAS,ITP_TRAMO_ALTO,CF_CCMIN,"&lt;="&amp;BV34,CF_CCMAX,"&gt;="&amp;BV34),IF(AR34&gt;ITP_TRAMO_BAJO,SUMIFS(CF_CUOTA,CF_MAS,ITP_TRAMO_BAJO,CF_CCMIN,"&lt;="&amp;BV34,CF_CCMAX,"&gt;="&amp;BV34),O34*ITP_TIPO)),O34*ITP_TIPO))</f>
        <v/>
      </c>
      <c r="BX34" s="4">
        <f>IF(R34="profesional",N(AK34),0)</f>
        <v/>
      </c>
      <c r="BY34" s="3">
        <f>IF(AND(R34="profesional",ISNUMBER(AK34),AL34="sí"),0,TASA_DGT)</f>
        <v/>
      </c>
      <c r="BZ34" s="3">
        <f>INFORME_DGT</f>
        <v/>
      </c>
      <c r="CA34" s="4">
        <f>O34+BX34+BW34+BY34+BZ34</f>
        <v/>
      </c>
      <c r="CB34" s="4">
        <f>CA34+N(BP34)</f>
        <v/>
      </c>
      <c r="CC34" s="3">
        <f>IF(CA34&lt;=TOTAL_MAX,"sí","no")</f>
        <v/>
      </c>
      <c r="CD34" s="4">
        <f>IF(CC34="sí",COUNTIFS($CC$2:$CC$39,"sí",$BU$2:$BU$39,"&gt;"&amp;BU34)+COUNTIFS($CC$2:CC34,"sí",$BU$2:BU34,BU34),"")</f>
        <v/>
      </c>
    </row>
    <row r="35">
      <c r="A35" s="2" t="inlineStr">
        <is>
          <t>wallapop:1299179562</t>
        </is>
      </c>
      <c r="B35" s="2" t="inlineStr">
        <is>
          <t>wallapop</t>
        </is>
      </c>
      <c r="C35" s="2" t="inlineStr">
        <is>
          <t>https://es.wallapop.com/item/ford-fiesta-2009-1299179562</t>
        </is>
      </c>
      <c r="D35" s="2" t="inlineStr">
        <is>
          <t>Ford Fiesta 2009</t>
        </is>
      </c>
      <c r="E35" s="2" t="inlineStr">
        <is>
          <t>Ford</t>
        </is>
      </c>
      <c r="F35" s="2" t="inlineStr">
        <is>
          <t>Ford Fiesta</t>
        </is>
      </c>
      <c r="G35" s="2" t="inlineStr">
        <is>
          <t>1.2</t>
        </is>
      </c>
      <c r="H35" s="2" t="inlineStr">
        <is>
          <t>1.25 82 Trend 5p</t>
        </is>
      </c>
      <c r="I35" s="2" t="n"/>
      <c r="J35" s="2" t="n">
        <v>82</v>
      </c>
      <c r="K35" s="2" t="inlineStr">
        <is>
          <t>gasolina</t>
        </is>
      </c>
      <c r="L35" s="2" t="inlineStr">
        <is>
          <t>utilitario</t>
        </is>
      </c>
      <c r="M35" s="2" t="n">
        <v>2009</v>
      </c>
      <c r="N35" s="2" t="n">
        <v>175000</v>
      </c>
      <c r="O35" s="2" t="n">
        <v>3449</v>
      </c>
      <c r="P35" s="2" t="inlineStr">
        <is>
          <t>manual</t>
        </is>
      </c>
      <c r="Q35" s="2" t="inlineStr">
        <is>
          <t>no</t>
        </is>
      </c>
      <c r="R35" s="2" t="inlineStr">
        <is>
          <t>particular</t>
        </is>
      </c>
      <c r="S35" s="2" t="inlineStr">
        <is>
          <t>Valencia (46003)</t>
        </is>
      </c>
      <c r="T35" s="2" t="inlineStr">
        <is>
          <t>2026-10-30T13:25:02</t>
        </is>
      </c>
      <c r="U35" s="2" t="n">
        <v>10</v>
      </c>
      <c r="V35" s="2" t="inlineStr">
        <is>
          <t>sí</t>
        </is>
      </c>
      <c r="W35" s="2" t="n"/>
      <c r="X35" s="2" t="n"/>
      <c r="Y35" s="2" t="n"/>
      <c r="Z35" s="2" t="n"/>
      <c r="AA35" s="2" t="n"/>
      <c r="AB35" s="2" t="n"/>
      <c r="AC35" s="2" t="n"/>
      <c r="AD35" s="2" t="n"/>
      <c r="AE35" s="2" t="n"/>
      <c r="AF35" s="2" t="n"/>
      <c r="AG35" s="2" t="n"/>
      <c r="AH35" s="2" t="n"/>
      <c r="AI35" s="2" t="n"/>
      <c r="AJ35" s="2" t="n"/>
      <c r="AK35" s="2" t="n"/>
      <c r="AL35" s="2" t="n"/>
      <c r="AM35" s="2" t="n">
        <v>0.2</v>
      </c>
      <c r="AN35" s="2" t="n"/>
      <c r="AO35" s="2" t="inlineStr">
        <is>
          <t>cuota fija ITP: &gt;12 años, hasta 1.500 cc; mediana con solo 2 anuncio(s)</t>
        </is>
      </c>
      <c r="AP35" s="2" t="inlineStr">
        <is>
          <t>Los gastos de cambio de nombre corren a mi cargo. ITV en vigor hasta Noviembre de 2026. Funciona perfectamente, se puede probar sin problema. Tiene los dos juegos de llaves. El interior está muy bien cuidado. Lo vendo porque ya no lo necesito.
Cualquier foto o información adicional consultar sin problema.</t>
        </is>
      </c>
      <c r="AQ35" s="2" t="inlineStr">
        <is>
          <t>https://es.wallapop.com/item/ford-fiesta-2009-1299179562 (__NEXT_DATA__ item) /home/user/Alopecia/buscador-coches/raw/wallapop/56b4c3f695254080.json</t>
        </is>
      </c>
      <c r="AR35" s="3">
        <f>MAX(ANIO_ACTUAL-M35,0)</f>
        <v/>
      </c>
      <c r="AS35" s="4">
        <f>N35/MAX(AR35,0.5)</f>
        <v/>
      </c>
      <c r="AT35" s="4">
        <f>F35</f>
        <v/>
      </c>
      <c r="AU35" s="3">
        <f>AT35&amp;"|"&amp;INT(M35/SEG_ANIO)*SEG_ANIO</f>
        <v/>
      </c>
      <c r="AV35" s="3">
        <f>AU35&amp;"|"&amp;INT(N35/SEG_KM)*SEG_KM</f>
        <v/>
      </c>
      <c r="AW35" s="4">
        <f>COUNTIF($AT$2:$AT$39,AT35)</f>
        <v/>
      </c>
      <c r="AX35" s="4">
        <f>COUNTIF($AU$2:$AU$39,AU35)</f>
        <v/>
      </c>
      <c r="AY35" s="4">
        <f>COUNTIF($AV$2:$AV$39,AV35)</f>
        <v/>
      </c>
      <c r="AZ35" s="3">
        <f t="array" ref="AZ35">IF(AY35&gt;=MIN_N,MEDIAN(IF($AV$2:$AV$39=AV35,$O$2:$O$39)),IF(AX35&gt;=MIN_N,MEDIAN(IF($AU$2:$AU$39=AU35,$O$2:$O$39)),MEDIAN(IF($AT$2:$AT$39=AT35,$O$2:$O$39))))</f>
        <v/>
      </c>
      <c r="BA35" s="3">
        <f>IF(AY35&gt;=MIN_N,"modelo+año+km",IF(AX35&gt;=MIN_N,"modelo+año","modelo"))</f>
        <v/>
      </c>
      <c r="BB35" s="4">
        <f>(AZ35-O35)/AZ35</f>
        <v/>
      </c>
      <c r="BC35" s="3">
        <f>IF(OR(K35="hibrido",K35="glp"),"ECO",IF(K35="electrico","CERO",IF(K35="gasolina",IF(M35&gt;=GAS_C,"C",IF(M35&gt;=GAS_B,"B","A")),IF(K35="diesel",IF(M35&gt;=DIE_C,"C",IF(M35&gt;=DIE_B,"B","A")),""))))</f>
        <v/>
      </c>
      <c r="BD35" s="3">
        <f>IFERROR(VLOOKUP(F35,MOD_TBL,11,0),IFERROR(VLOOKUP(E35,OCU_TBL,2,0),NEUTRO))</f>
        <v/>
      </c>
      <c r="BE35" s="3">
        <f>SUMIFS(MOT_AJUSTE,MOT_MOTOR,G35,MOT_MARCA,E35,MOT_DESDE,"&lt;="&amp;M35,MOT_HASTA,"&gt;="&amp;M35)+SUMIFS(MOT_AJUSTE,MOT_MOTOR,G35,MOT_MARCA,"(todas)",MOT_DESDE,"&lt;="&amp;M35,MOT_HASTA,"&gt;="&amp;M35)</f>
        <v/>
      </c>
      <c r="BF35" s="3">
        <f>SUMIFS(COMB_AJUSTE,COMB_COMB,K35)</f>
        <v/>
      </c>
      <c r="BG35" s="4">
        <f>MAX(0,MIN(100,BD35+BE35+BF35))</f>
        <v/>
      </c>
      <c r="BH35" s="3">
        <f>MAX(0,MIN(100,50+BB35*PRECIO_PEND))</f>
        <v/>
      </c>
      <c r="BI35" s="3">
        <f>MAX(0,100*(1-N35/KM_MAX))</f>
        <v/>
      </c>
      <c r="BJ35" s="3">
        <f>IF(AS35&lt;KMA_SOSP,IF(AA35="sí",100,KMA_PEN),IF(AS35&lt;=KMA_IDEAL_MAX,100,MAX(0,100*(KMA_CERO-AS35)/(KMA_CERO-KMA_IDEAL_MAX))))</f>
        <v/>
      </c>
      <c r="BK35" s="3">
        <f>MAX(0,MIN(100,100*(M35-ANIO_MIN)/(ANIO_ACTUAL-ANIO_MIN)))</f>
        <v/>
      </c>
      <c r="BL35" s="3">
        <f>W_KMT*BI35+W_KMA*BJ35+W_EDAD*BK35</f>
        <v/>
      </c>
      <c r="BM35" s="3">
        <f>P_ITV*(V35="sí")+P_LIBRO*(W35="sí")+P_CORREA*(X35="sí")+P_PROP*(Y35=1)+P_GAR*(Z35="sí")+P_FOTOS*MIN(1,N(U35)/FOTOS_OBJ)</f>
        <v/>
      </c>
      <c r="BN35" s="3">
        <f>IFERROR(VLOOKUP(BC35,ETQ_TBL,2,0),NEUTRO)</f>
        <v/>
      </c>
      <c r="BO35" s="3">
        <f>NEUTRO</f>
        <v/>
      </c>
      <c r="BP35" s="3">
        <f>IFERROR(VLOOKUP(L35,SEGURO_TBL,3,0),"")</f>
        <v/>
      </c>
      <c r="BQ35" s="3">
        <f>IF(BP35="",NEUTRO,MAX(0,MIN(100,100*(SEG_REF_MAX-BP35)/(SEG_REF_MAX-SEG_REF_MIN))))</f>
        <v/>
      </c>
      <c r="BR35" s="3">
        <f>W_ET*BN35+W_CONS*BO35+W_SEG*BQ35</f>
        <v/>
      </c>
      <c r="BS35" s="3">
        <f>IF(N(AB35)&gt;0,AB35,IF(AND(R35="profesional",SG_LEGAL_ON=1),GAR_LEGAL,0))</f>
        <v/>
      </c>
      <c r="BT35" s="3">
        <f>SG_GAR*MIN(1,BS35/SG_GAR_FULL)+SG_AMPL*(AC35="sí")+SG_KMC*(AF35="sí")+SG_REV*(N(AE35)&gt;0)+SG_DEV*MIN(1,N(AG35)/SG_DEV_FULL)+SG_HIST*(W35="sí")</f>
        <v/>
      </c>
      <c r="BU35" s="3">
        <f>W_FIAB*BG35+W_PRECIO*BH35+W_KMEDAD*BL35+W_ANUNCIO*BM35+W_USO*BR35+W_SEGURIDAD*BT35</f>
        <v/>
      </c>
      <c r="BV35" s="4">
        <f>IF(N(I35)&gt;0,I35,IFERROR(ROUND(_xlfn.NUMBERVALUE(LEFT(G35,FIND(" ",G35&amp;" ")-1),".")*1000,0),99999))</f>
        <v/>
      </c>
      <c r="BW35" s="3">
        <f>IF(R35="profesional",0,IF(O35&lt;CUOTA_VALOR_MAX,IF(AR35&gt;ITP_TRAMO_ALTO,SUMIFS(CF_CUOTA,CF_MAS,ITP_TRAMO_ALTO,CF_CCMIN,"&lt;="&amp;BV35,CF_CCMAX,"&gt;="&amp;BV35),IF(AR35&gt;ITP_TRAMO_BAJO,SUMIFS(CF_CUOTA,CF_MAS,ITP_TRAMO_BAJO,CF_CCMIN,"&lt;="&amp;BV35,CF_CCMAX,"&gt;="&amp;BV35),O35*ITP_TIPO)),O35*ITP_TIPO))</f>
        <v/>
      </c>
      <c r="BX35" s="4">
        <f>IF(R35="profesional",N(AK35),0)</f>
        <v/>
      </c>
      <c r="BY35" s="3">
        <f>IF(AND(R35="profesional",ISNUMBER(AK35),AL35="sí"),0,TASA_DGT)</f>
        <v/>
      </c>
      <c r="BZ35" s="3">
        <f>INFORME_DGT</f>
        <v/>
      </c>
      <c r="CA35" s="4">
        <f>O35+BX35+BW35+BY35+BZ35</f>
        <v/>
      </c>
      <c r="CB35" s="4">
        <f>CA35+N(BP35)</f>
        <v/>
      </c>
      <c r="CC35" s="3">
        <f>IF(CA35&lt;=TOTAL_MAX,"sí","no")</f>
        <v/>
      </c>
      <c r="CD35" s="4">
        <f>IF(CC35="sí",COUNTIFS($CC$2:$CC$39,"sí",$BU$2:$BU$39,"&gt;"&amp;BU35)+COUNTIFS($CC$2:CC35,"sí",$BU$2:BU35,BU35),"")</f>
        <v/>
      </c>
    </row>
    <row r="36">
      <c r="A36" s="2" t="inlineStr">
        <is>
          <t>wallapop:1312378329</t>
        </is>
      </c>
      <c r="B36" s="2" t="inlineStr">
        <is>
          <t>wallapop</t>
        </is>
      </c>
      <c r="C36" s="2" t="inlineStr">
        <is>
          <t>https://es.wallapop.com/item/chevrolet-aveo-2009-1312378329</t>
        </is>
      </c>
      <c r="D36" s="2" t="inlineStr">
        <is>
          <t>Chevrolet Aveo 2009</t>
        </is>
      </c>
      <c r="E36" s="2" t="inlineStr">
        <is>
          <t>Chevrolet</t>
        </is>
      </c>
      <c r="F36" s="2" t="inlineStr">
        <is>
          <t>Chevrolet Aveo</t>
        </is>
      </c>
      <c r="G36" s="2" t="inlineStr">
        <is>
          <t>1.4</t>
        </is>
      </c>
      <c r="H36" s="2" t="inlineStr">
        <is>
          <t>1.4 16v 100 LS 4p MY09</t>
        </is>
      </c>
      <c r="I36" s="2" t="n"/>
      <c r="J36" s="2" t="n">
        <v>100</v>
      </c>
      <c r="K36" s="2" t="inlineStr">
        <is>
          <t>gasolina</t>
        </is>
      </c>
      <c r="L36" s="2" t="inlineStr">
        <is>
          <t>utilitario</t>
        </is>
      </c>
      <c r="M36" s="2" t="n">
        <v>2009</v>
      </c>
      <c r="N36" s="2" t="n">
        <v>124</v>
      </c>
      <c r="O36" s="2" t="n">
        <v>3500</v>
      </c>
      <c r="P36" s="2" t="inlineStr">
        <is>
          <t>manual</t>
        </is>
      </c>
      <c r="Q36" s="2" t="inlineStr">
        <is>
          <t>no</t>
        </is>
      </c>
      <c r="R36" s="2" t="inlineStr">
        <is>
          <t>particular</t>
        </is>
      </c>
      <c r="S36" s="2" t="inlineStr">
        <is>
          <t>Valencia (46010)</t>
        </is>
      </c>
      <c r="T36" s="2" t="inlineStr">
        <is>
          <t>2026-10-12T16:21:22</t>
        </is>
      </c>
      <c r="U36" s="2" t="n">
        <v>1</v>
      </c>
      <c r="V36" s="2" t="n"/>
      <c r="W36" s="2" t="n"/>
      <c r="X36" s="2" t="n"/>
      <c r="Y36" s="2" t="n"/>
      <c r="Z36" s="2" t="n"/>
      <c r="AA36" s="2" t="n"/>
      <c r="AB36" s="2" t="n"/>
      <c r="AC36" s="2" t="n"/>
      <c r="AD36" s="2" t="n"/>
      <c r="AE36" s="2" t="n"/>
      <c r="AF36" s="2" t="n"/>
      <c r="AG36" s="2" t="n"/>
      <c r="AH36" s="2" t="n"/>
      <c r="AI36" s="2" t="n"/>
      <c r="AJ36" s="2" t="n"/>
      <c r="AK36" s="2" t="n"/>
      <c r="AL36" s="2" t="n"/>
      <c r="AM36" s="2" t="n">
        <v>1.6</v>
      </c>
      <c r="AN36" s="2" t="n"/>
      <c r="AO36" s="2" t="inlineStr">
        <is>
          <t>cuota fija ITP: &gt;12 años, hasta 1.500 cc; fiabilidad del modelo PENDIENTE de fuente (puntuación neutra)</t>
        </is>
      </c>
      <c r="AP36" s="2" t="inlineStr">
        <is>
          <t xml:space="preserve">Con cambio de motor, factura demostrable </t>
        </is>
      </c>
      <c r="AQ36" s="2" t="inlineStr">
        <is>
          <t>https://es.wallapop.com/item/chevrolet-aveo-2009-1312378329 (__NEXT_DATA__ item) /home/user/Alopecia/buscador-coches/raw/wallapop/ae81fb9c9faf351a.json</t>
        </is>
      </c>
      <c r="AR36" s="3">
        <f>MAX(ANIO_ACTUAL-M36,0)</f>
        <v/>
      </c>
      <c r="AS36" s="4">
        <f>N36/MAX(AR36,0.5)</f>
        <v/>
      </c>
      <c r="AT36" s="4">
        <f>F36</f>
        <v/>
      </c>
      <c r="AU36" s="3">
        <f>AT36&amp;"|"&amp;INT(M36/SEG_ANIO)*SEG_ANIO</f>
        <v/>
      </c>
      <c r="AV36" s="3">
        <f>AU36&amp;"|"&amp;INT(N36/SEG_KM)*SEG_KM</f>
        <v/>
      </c>
      <c r="AW36" s="4">
        <f>COUNTIF($AT$2:$AT$39,AT36)</f>
        <v/>
      </c>
      <c r="AX36" s="4">
        <f>COUNTIF($AU$2:$AU$39,AU36)</f>
        <v/>
      </c>
      <c r="AY36" s="4">
        <f>COUNTIF($AV$2:$AV$39,AV36)</f>
        <v/>
      </c>
      <c r="AZ36" s="3">
        <f t="array" ref="AZ36">IF(AY36&gt;=MIN_N,MEDIAN(IF($AV$2:$AV$39=AV36,$O$2:$O$39)),IF(AX36&gt;=MIN_N,MEDIAN(IF($AU$2:$AU$39=AU36,$O$2:$O$39)),MEDIAN(IF($AT$2:$AT$39=AT36,$O$2:$O$39))))</f>
        <v/>
      </c>
      <c r="BA36" s="3">
        <f>IF(AY36&gt;=MIN_N,"modelo+año+km",IF(AX36&gt;=MIN_N,"modelo+año","modelo"))</f>
        <v/>
      </c>
      <c r="BB36" s="4">
        <f>(AZ36-O36)/AZ36</f>
        <v/>
      </c>
      <c r="BC36" s="3">
        <f>IF(OR(K36="hibrido",K36="glp"),"ECO",IF(K36="electrico","CERO",IF(K36="gasolina",IF(M36&gt;=GAS_C,"C",IF(M36&gt;=GAS_B,"B","A")),IF(K36="diesel",IF(M36&gt;=DIE_C,"C",IF(M36&gt;=DIE_B,"B","A")),""))))</f>
        <v/>
      </c>
      <c r="BD36" s="3">
        <f>IFERROR(VLOOKUP(F36,MOD_TBL,11,0),IFERROR(VLOOKUP(E36,OCU_TBL,2,0),NEUTRO))</f>
        <v/>
      </c>
      <c r="BE36" s="3">
        <f>SUMIFS(MOT_AJUSTE,MOT_MOTOR,G36,MOT_MARCA,E36,MOT_DESDE,"&lt;="&amp;M36,MOT_HASTA,"&gt;="&amp;M36)+SUMIFS(MOT_AJUSTE,MOT_MOTOR,G36,MOT_MARCA,"(todas)",MOT_DESDE,"&lt;="&amp;M36,MOT_HASTA,"&gt;="&amp;M36)</f>
        <v/>
      </c>
      <c r="BF36" s="3">
        <f>SUMIFS(COMB_AJUSTE,COMB_COMB,K36)</f>
        <v/>
      </c>
      <c r="BG36" s="4">
        <f>MAX(0,MIN(100,BD36+BE36+BF36))</f>
        <v/>
      </c>
      <c r="BH36" s="3">
        <f>MAX(0,MIN(100,50+BB36*PRECIO_PEND))</f>
        <v/>
      </c>
      <c r="BI36" s="3">
        <f>MAX(0,100*(1-N36/KM_MAX))</f>
        <v/>
      </c>
      <c r="BJ36" s="3">
        <f>IF(AS36&lt;KMA_SOSP,IF(AA36="sí",100,KMA_PEN),IF(AS36&lt;=KMA_IDEAL_MAX,100,MAX(0,100*(KMA_CERO-AS36)/(KMA_CERO-KMA_IDEAL_MAX))))</f>
        <v/>
      </c>
      <c r="BK36" s="3">
        <f>MAX(0,MIN(100,100*(M36-ANIO_MIN)/(ANIO_ACTUAL-ANIO_MIN)))</f>
        <v/>
      </c>
      <c r="BL36" s="3">
        <f>W_KMT*BI36+W_KMA*BJ36+W_EDAD*BK36</f>
        <v/>
      </c>
      <c r="BM36" s="3">
        <f>P_ITV*(V36="sí")+P_LIBRO*(W36="sí")+P_CORREA*(X36="sí")+P_PROP*(Y36=1)+P_GAR*(Z36="sí")+P_FOTOS*MIN(1,N(U36)/FOTOS_OBJ)</f>
        <v/>
      </c>
      <c r="BN36" s="3">
        <f>IFERROR(VLOOKUP(BC36,ETQ_TBL,2,0),NEUTRO)</f>
        <v/>
      </c>
      <c r="BO36" s="3">
        <f>NEUTRO</f>
        <v/>
      </c>
      <c r="BP36" s="3">
        <f>IFERROR(VLOOKUP(L36,SEGURO_TBL,3,0),"")</f>
        <v/>
      </c>
      <c r="BQ36" s="3">
        <f>IF(BP36="",NEUTRO,MAX(0,MIN(100,100*(SEG_REF_MAX-BP36)/(SEG_REF_MAX-SEG_REF_MIN))))</f>
        <v/>
      </c>
      <c r="BR36" s="3">
        <f>W_ET*BN36+W_CONS*BO36+W_SEG*BQ36</f>
        <v/>
      </c>
      <c r="BS36" s="3">
        <f>IF(N(AB36)&gt;0,AB36,IF(AND(R36="profesional",SG_LEGAL_ON=1),GAR_LEGAL,0))</f>
        <v/>
      </c>
      <c r="BT36" s="3">
        <f>SG_GAR*MIN(1,BS36/SG_GAR_FULL)+SG_AMPL*(AC36="sí")+SG_KMC*(AF36="sí")+SG_REV*(N(AE36)&gt;0)+SG_DEV*MIN(1,N(AG36)/SG_DEV_FULL)+SG_HIST*(W36="sí")</f>
        <v/>
      </c>
      <c r="BU36" s="3">
        <f>W_FIAB*BG36+W_PRECIO*BH36+W_KMEDAD*BL36+W_ANUNCIO*BM36+W_USO*BR36+W_SEGURIDAD*BT36</f>
        <v/>
      </c>
      <c r="BV36" s="4">
        <f>IF(N(I36)&gt;0,I36,IFERROR(ROUND(_xlfn.NUMBERVALUE(LEFT(G36,FIND(" ",G36&amp;" ")-1),".")*1000,0),99999))</f>
        <v/>
      </c>
      <c r="BW36" s="3">
        <f>IF(R36="profesional",0,IF(O36&lt;CUOTA_VALOR_MAX,IF(AR36&gt;ITP_TRAMO_ALTO,SUMIFS(CF_CUOTA,CF_MAS,ITP_TRAMO_ALTO,CF_CCMIN,"&lt;="&amp;BV36,CF_CCMAX,"&gt;="&amp;BV36),IF(AR36&gt;ITP_TRAMO_BAJO,SUMIFS(CF_CUOTA,CF_MAS,ITP_TRAMO_BAJO,CF_CCMIN,"&lt;="&amp;BV36,CF_CCMAX,"&gt;="&amp;BV36),O36*ITP_TIPO)),O36*ITP_TIPO))</f>
        <v/>
      </c>
      <c r="BX36" s="4">
        <f>IF(R36="profesional",N(AK36),0)</f>
        <v/>
      </c>
      <c r="BY36" s="3">
        <f>IF(AND(R36="profesional",ISNUMBER(AK36),AL36="sí"),0,TASA_DGT)</f>
        <v/>
      </c>
      <c r="BZ36" s="3">
        <f>INFORME_DGT</f>
        <v/>
      </c>
      <c r="CA36" s="4">
        <f>O36+BX36+BW36+BY36+BZ36</f>
        <v/>
      </c>
      <c r="CB36" s="4">
        <f>CA36+N(BP36)</f>
        <v/>
      </c>
      <c r="CC36" s="3">
        <f>IF(CA36&lt;=TOTAL_MAX,"sí","no")</f>
        <v/>
      </c>
      <c r="CD36" s="4">
        <f>IF(CC36="sí",COUNTIFS($CC$2:$CC$39,"sí",$BU$2:$BU$39,"&gt;"&amp;BU36)+COUNTIFS($CC$2:CC36,"sí",$BU$2:BU36,BU36),"")</f>
        <v/>
      </c>
    </row>
    <row r="37">
      <c r="A37" s="2" t="inlineStr">
        <is>
          <t>wallapop:1308111570</t>
        </is>
      </c>
      <c r="B37" s="2" t="inlineStr">
        <is>
          <t>wallapop</t>
        </is>
      </c>
      <c r="C37" s="2" t="inlineStr">
        <is>
          <t>https://es.wallapop.com/item/chevrolet-aveo-2009-1308111570</t>
        </is>
      </c>
      <c r="D37" s="2" t="inlineStr">
        <is>
          <t>Chevrolet Aveo 2009</t>
        </is>
      </c>
      <c r="E37" s="2" t="inlineStr">
        <is>
          <t>Chevrolet</t>
        </is>
      </c>
      <c r="F37" s="2" t="inlineStr">
        <is>
          <t>Chevrolet Aveo</t>
        </is>
      </c>
      <c r="G37" s="2" t="inlineStr">
        <is>
          <t>1.4</t>
        </is>
      </c>
      <c r="H37" s="2" t="inlineStr">
        <is>
          <t>1.4 16v 101 LS 5p MY08</t>
        </is>
      </c>
      <c r="I37" s="2" t="n"/>
      <c r="J37" s="2" t="n">
        <v>101</v>
      </c>
      <c r="K37" s="2" t="inlineStr">
        <is>
          <t>gasolina</t>
        </is>
      </c>
      <c r="L37" s="2" t="inlineStr">
        <is>
          <t>utilitario</t>
        </is>
      </c>
      <c r="M37" s="2" t="n">
        <v>2009</v>
      </c>
      <c r="N37" s="2" t="n">
        <v>124</v>
      </c>
      <c r="O37" s="2" t="n">
        <v>3800</v>
      </c>
      <c r="P37" s="2" t="inlineStr">
        <is>
          <t>manual</t>
        </is>
      </c>
      <c r="Q37" s="2" t="inlineStr">
        <is>
          <t>no</t>
        </is>
      </c>
      <c r="R37" s="2" t="inlineStr">
        <is>
          <t>particular</t>
        </is>
      </c>
      <c r="S37" s="2" t="inlineStr">
        <is>
          <t>Valencia (46010)</t>
        </is>
      </c>
      <c r="T37" s="2" t="inlineStr">
        <is>
          <t>2026-10-12T16:21:22</t>
        </is>
      </c>
      <c r="U37" s="2" t="n">
        <v>1</v>
      </c>
      <c r="V37" s="2" t="n"/>
      <c r="W37" s="2" t="n"/>
      <c r="X37" s="2" t="n"/>
      <c r="Y37" s="2" t="n"/>
      <c r="Z37" s="2" t="n"/>
      <c r="AA37" s="2" t="n"/>
      <c r="AB37" s="2" t="n"/>
      <c r="AC37" s="2" t="n"/>
      <c r="AD37" s="2" t="n"/>
      <c r="AE37" s="2" t="n"/>
      <c r="AF37" s="2" t="n"/>
      <c r="AG37" s="2" t="n"/>
      <c r="AH37" s="2" t="n"/>
      <c r="AI37" s="2" t="n"/>
      <c r="AJ37" s="2" t="n"/>
      <c r="AK37" s="2" t="n"/>
      <c r="AL37" s="2" t="n"/>
      <c r="AM37" s="2" t="n">
        <v>1.6</v>
      </c>
      <c r="AN37" s="2" t="n"/>
      <c r="AO37" s="2" t="inlineStr">
        <is>
          <t>cuota fija ITP: &gt;12 años, hasta 1.500 cc; fiabilidad del modelo PENDIENTE de fuente (puntuación neutra)</t>
        </is>
      </c>
      <c r="AP37" s="2" t="inlineStr">
        <is>
          <t>Lo vendo por no usar, cambio motor completo con factura.
Buen estado
El precio no incluye el traspaso.</t>
        </is>
      </c>
      <c r="AQ37" s="2" t="inlineStr">
        <is>
          <t>https://es.wallapop.com/item/chevrolet-aveo-2009-1308111570 (__NEXT_DATA__ item) /home/user/Alopecia/buscador-coches/raw/wallapop/6103f5261139217f.json</t>
        </is>
      </c>
      <c r="AR37" s="3">
        <f>MAX(ANIO_ACTUAL-M37,0)</f>
        <v/>
      </c>
      <c r="AS37" s="4">
        <f>N37/MAX(AR37,0.5)</f>
        <v/>
      </c>
      <c r="AT37" s="4">
        <f>F37</f>
        <v/>
      </c>
      <c r="AU37" s="3">
        <f>AT37&amp;"|"&amp;INT(M37/SEG_ANIO)*SEG_ANIO</f>
        <v/>
      </c>
      <c r="AV37" s="3">
        <f>AU37&amp;"|"&amp;INT(N37/SEG_KM)*SEG_KM</f>
        <v/>
      </c>
      <c r="AW37" s="4">
        <f>COUNTIF($AT$2:$AT$39,AT37)</f>
        <v/>
      </c>
      <c r="AX37" s="4">
        <f>COUNTIF($AU$2:$AU$39,AU37)</f>
        <v/>
      </c>
      <c r="AY37" s="4">
        <f>COUNTIF($AV$2:$AV$39,AV37)</f>
        <v/>
      </c>
      <c r="AZ37" s="3">
        <f t="array" ref="AZ37">IF(AY37&gt;=MIN_N,MEDIAN(IF($AV$2:$AV$39=AV37,$O$2:$O$39)),IF(AX37&gt;=MIN_N,MEDIAN(IF($AU$2:$AU$39=AU37,$O$2:$O$39)),MEDIAN(IF($AT$2:$AT$39=AT37,$O$2:$O$39))))</f>
        <v/>
      </c>
      <c r="BA37" s="3">
        <f>IF(AY37&gt;=MIN_N,"modelo+año+km",IF(AX37&gt;=MIN_N,"modelo+año","modelo"))</f>
        <v/>
      </c>
      <c r="BB37" s="4">
        <f>(AZ37-O37)/AZ37</f>
        <v/>
      </c>
      <c r="BC37" s="3">
        <f>IF(OR(K37="hibrido",K37="glp"),"ECO",IF(K37="electrico","CERO",IF(K37="gasolina",IF(M37&gt;=GAS_C,"C",IF(M37&gt;=GAS_B,"B","A")),IF(K37="diesel",IF(M37&gt;=DIE_C,"C",IF(M37&gt;=DIE_B,"B","A")),""))))</f>
        <v/>
      </c>
      <c r="BD37" s="3">
        <f>IFERROR(VLOOKUP(F37,MOD_TBL,11,0),IFERROR(VLOOKUP(E37,OCU_TBL,2,0),NEUTRO))</f>
        <v/>
      </c>
      <c r="BE37" s="3">
        <f>SUMIFS(MOT_AJUSTE,MOT_MOTOR,G37,MOT_MARCA,E37,MOT_DESDE,"&lt;="&amp;M37,MOT_HASTA,"&gt;="&amp;M37)+SUMIFS(MOT_AJUSTE,MOT_MOTOR,G37,MOT_MARCA,"(todas)",MOT_DESDE,"&lt;="&amp;M37,MOT_HASTA,"&gt;="&amp;M37)</f>
        <v/>
      </c>
      <c r="BF37" s="3">
        <f>SUMIFS(COMB_AJUSTE,COMB_COMB,K37)</f>
        <v/>
      </c>
      <c r="BG37" s="4">
        <f>MAX(0,MIN(100,BD37+BE37+BF37))</f>
        <v/>
      </c>
      <c r="BH37" s="3">
        <f>MAX(0,MIN(100,50+BB37*PRECIO_PEND))</f>
        <v/>
      </c>
      <c r="BI37" s="3">
        <f>MAX(0,100*(1-N37/KM_MAX))</f>
        <v/>
      </c>
      <c r="BJ37" s="3">
        <f>IF(AS37&lt;KMA_SOSP,IF(AA37="sí",100,KMA_PEN),IF(AS37&lt;=KMA_IDEAL_MAX,100,MAX(0,100*(KMA_CERO-AS37)/(KMA_CERO-KMA_IDEAL_MAX))))</f>
        <v/>
      </c>
      <c r="BK37" s="3">
        <f>MAX(0,MIN(100,100*(M37-ANIO_MIN)/(ANIO_ACTUAL-ANIO_MIN)))</f>
        <v/>
      </c>
      <c r="BL37" s="3">
        <f>W_KMT*BI37+W_KMA*BJ37+W_EDAD*BK37</f>
        <v/>
      </c>
      <c r="BM37" s="3">
        <f>P_ITV*(V37="sí")+P_LIBRO*(W37="sí")+P_CORREA*(X37="sí")+P_PROP*(Y37=1)+P_GAR*(Z37="sí")+P_FOTOS*MIN(1,N(U37)/FOTOS_OBJ)</f>
        <v/>
      </c>
      <c r="BN37" s="3">
        <f>IFERROR(VLOOKUP(BC37,ETQ_TBL,2,0),NEUTRO)</f>
        <v/>
      </c>
      <c r="BO37" s="3">
        <f>NEUTRO</f>
        <v/>
      </c>
      <c r="BP37" s="3">
        <f>IFERROR(VLOOKUP(L37,SEGURO_TBL,3,0),"")</f>
        <v/>
      </c>
      <c r="BQ37" s="3">
        <f>IF(BP37="",NEUTRO,MAX(0,MIN(100,100*(SEG_REF_MAX-BP37)/(SEG_REF_MAX-SEG_REF_MIN))))</f>
        <v/>
      </c>
      <c r="BR37" s="3">
        <f>W_ET*BN37+W_CONS*BO37+W_SEG*BQ37</f>
        <v/>
      </c>
      <c r="BS37" s="3">
        <f>IF(N(AB37)&gt;0,AB37,IF(AND(R37="profesional",SG_LEGAL_ON=1),GAR_LEGAL,0))</f>
        <v/>
      </c>
      <c r="BT37" s="3">
        <f>SG_GAR*MIN(1,BS37/SG_GAR_FULL)+SG_AMPL*(AC37="sí")+SG_KMC*(AF37="sí")+SG_REV*(N(AE37)&gt;0)+SG_DEV*MIN(1,N(AG37)/SG_DEV_FULL)+SG_HIST*(W37="sí")</f>
        <v/>
      </c>
      <c r="BU37" s="3">
        <f>W_FIAB*BG37+W_PRECIO*BH37+W_KMEDAD*BL37+W_ANUNCIO*BM37+W_USO*BR37+W_SEGURIDAD*BT37</f>
        <v/>
      </c>
      <c r="BV37" s="4">
        <f>IF(N(I37)&gt;0,I37,IFERROR(ROUND(_xlfn.NUMBERVALUE(LEFT(G37,FIND(" ",G37&amp;" ")-1),".")*1000,0),99999))</f>
        <v/>
      </c>
      <c r="BW37" s="3">
        <f>IF(R37="profesional",0,IF(O37&lt;CUOTA_VALOR_MAX,IF(AR37&gt;ITP_TRAMO_ALTO,SUMIFS(CF_CUOTA,CF_MAS,ITP_TRAMO_ALTO,CF_CCMIN,"&lt;="&amp;BV37,CF_CCMAX,"&gt;="&amp;BV37),IF(AR37&gt;ITP_TRAMO_BAJO,SUMIFS(CF_CUOTA,CF_MAS,ITP_TRAMO_BAJO,CF_CCMIN,"&lt;="&amp;BV37,CF_CCMAX,"&gt;="&amp;BV37),O37*ITP_TIPO)),O37*ITP_TIPO))</f>
        <v/>
      </c>
      <c r="BX37" s="4">
        <f>IF(R37="profesional",N(AK37),0)</f>
        <v/>
      </c>
      <c r="BY37" s="3">
        <f>IF(AND(R37="profesional",ISNUMBER(AK37),AL37="sí"),0,TASA_DGT)</f>
        <v/>
      </c>
      <c r="BZ37" s="3">
        <f>INFORME_DGT</f>
        <v/>
      </c>
      <c r="CA37" s="4">
        <f>O37+BX37+BW37+BY37+BZ37</f>
        <v/>
      </c>
      <c r="CB37" s="4">
        <f>CA37+N(BP37)</f>
        <v/>
      </c>
      <c r="CC37" s="3">
        <f>IF(CA37&lt;=TOTAL_MAX,"sí","no")</f>
        <v/>
      </c>
      <c r="CD37" s="4">
        <f>IF(CC37="sí",COUNTIFS($CC$2:$CC$39,"sí",$BU$2:$BU$39,"&gt;"&amp;BU37)+COUNTIFS($CC$2:CC37,"sí",$BU$2:BU37,BU37),"")</f>
        <v/>
      </c>
    </row>
    <row r="38">
      <c r="A38" s="2" t="inlineStr">
        <is>
          <t>wallapop:1290605393</t>
        </is>
      </c>
      <c r="B38" s="2" t="inlineStr">
        <is>
          <t>wallapop</t>
        </is>
      </c>
      <c r="C38" s="2" t="inlineStr">
        <is>
          <t>https://es.wallapop.com/item/chevrolet-aveo-2012-1290605393</t>
        </is>
      </c>
      <c r="D38" s="2" t="inlineStr">
        <is>
          <t>SE VENDE Chevrolet Aveo 1.4 2012 - Etiqueta C</t>
        </is>
      </c>
      <c r="E38" s="2" t="inlineStr">
        <is>
          <t>Chevrolet</t>
        </is>
      </c>
      <c r="F38" s="2" t="inlineStr">
        <is>
          <t>Chevrolet Aveo</t>
        </is>
      </c>
      <c r="G38" s="2" t="inlineStr">
        <is>
          <t>1.4</t>
        </is>
      </c>
      <c r="H38" s="2" t="inlineStr">
        <is>
          <t>1.4 100 LT+ 5p MY12</t>
        </is>
      </c>
      <c r="I38" s="2" t="n"/>
      <c r="J38" s="2" t="n">
        <v>100</v>
      </c>
      <c r="K38" s="2" t="inlineStr">
        <is>
          <t>gasolina</t>
        </is>
      </c>
      <c r="L38" s="2" t="inlineStr">
        <is>
          <t>utilitario</t>
        </is>
      </c>
      <c r="M38" s="2" t="n">
        <v>2012</v>
      </c>
      <c r="N38" s="2" t="n">
        <v>211000</v>
      </c>
      <c r="O38" s="2" t="n">
        <v>4000</v>
      </c>
      <c r="P38" s="2" t="inlineStr">
        <is>
          <t>manual</t>
        </is>
      </c>
      <c r="Q38" s="2" t="inlineStr">
        <is>
          <t>no</t>
        </is>
      </c>
      <c r="R38" s="2" t="inlineStr">
        <is>
          <t>particular</t>
        </is>
      </c>
      <c r="S38" s="2" t="inlineStr">
        <is>
          <t>Valencia (46007)</t>
        </is>
      </c>
      <c r="T38" s="2" t="inlineStr">
        <is>
          <t>2026-09-10T11:16:51</t>
        </is>
      </c>
      <c r="U38" s="2" t="n">
        <v>10</v>
      </c>
      <c r="V38" s="2" t="n"/>
      <c r="W38" s="2" t="n"/>
      <c r="X38" s="2" t="n"/>
      <c r="Y38" s="2" t="n"/>
      <c r="Z38" s="2" t="n"/>
      <c r="AA38" s="2" t="n"/>
      <c r="AB38" s="2" t="n"/>
      <c r="AC38" s="2" t="n"/>
      <c r="AD38" s="2" t="n"/>
      <c r="AE38" s="2" t="n"/>
      <c r="AF38" s="2" t="n"/>
      <c r="AG38" s="2" t="n"/>
      <c r="AH38" s="2" t="n"/>
      <c r="AI38" s="2" t="n"/>
      <c r="AJ38" s="2" t="n"/>
      <c r="AK38" s="2" t="n"/>
      <c r="AL38" s="2" t="n"/>
      <c r="AM38" s="2" t="n">
        <v>1</v>
      </c>
      <c r="AN38" s="2" t="n"/>
      <c r="AO38" s="2" t="inlineStr">
        <is>
          <t>cuota fija ITP: &gt;12 años, hasta 1.500 cc; fiabilidad del modelo PENDIENTE de fuente (puntuación neutra)</t>
        </is>
      </c>
      <c r="AP38" s="2" t="inlineStr">
        <is>
          <t>Vendo mi Chevrolet Aveo 1.4 gasolina del año 2012 itv 2027 todos los impuestos pagados.
Un coche muy fiable y súper económico, ideal para diario. Se aceptan cambios por moto y oro...</t>
        </is>
      </c>
      <c r="AQ38" s="2" t="inlineStr">
        <is>
          <t>https://es.wallapop.com/item/chevrolet-aveo-2012-1290605393 (__NEXT_DATA__ item) /home/user/Alopecia/buscador-coches/raw/wallapop/10a13ec19628f129.json</t>
        </is>
      </c>
      <c r="AR38" s="3">
        <f>MAX(ANIO_ACTUAL-M38,0)</f>
        <v/>
      </c>
      <c r="AS38" s="4">
        <f>N38/MAX(AR38,0.5)</f>
        <v/>
      </c>
      <c r="AT38" s="4">
        <f>F38</f>
        <v/>
      </c>
      <c r="AU38" s="3">
        <f>AT38&amp;"|"&amp;INT(M38/SEG_ANIO)*SEG_ANIO</f>
        <v/>
      </c>
      <c r="AV38" s="3">
        <f>AU38&amp;"|"&amp;INT(N38/SEG_KM)*SEG_KM</f>
        <v/>
      </c>
      <c r="AW38" s="4">
        <f>COUNTIF($AT$2:$AT$39,AT38)</f>
        <v/>
      </c>
      <c r="AX38" s="4">
        <f>COUNTIF($AU$2:$AU$39,AU38)</f>
        <v/>
      </c>
      <c r="AY38" s="4">
        <f>COUNTIF($AV$2:$AV$39,AV38)</f>
        <v/>
      </c>
      <c r="AZ38" s="3">
        <f t="array" ref="AZ38">IF(AY38&gt;=MIN_N,MEDIAN(IF($AV$2:$AV$39=AV38,$O$2:$O$39)),IF(AX38&gt;=MIN_N,MEDIAN(IF($AU$2:$AU$39=AU38,$O$2:$O$39)),MEDIAN(IF($AT$2:$AT$39=AT38,$O$2:$O$39))))</f>
        <v/>
      </c>
      <c r="BA38" s="3">
        <f>IF(AY38&gt;=MIN_N,"modelo+año+km",IF(AX38&gt;=MIN_N,"modelo+año","modelo"))</f>
        <v/>
      </c>
      <c r="BB38" s="4">
        <f>(AZ38-O38)/AZ38</f>
        <v/>
      </c>
      <c r="BC38" s="3">
        <f>IF(OR(K38="hibrido",K38="glp"),"ECO",IF(K38="electrico","CERO",IF(K38="gasolina",IF(M38&gt;=GAS_C,"C",IF(M38&gt;=GAS_B,"B","A")),IF(K38="diesel",IF(M38&gt;=DIE_C,"C",IF(M38&gt;=DIE_B,"B","A")),""))))</f>
        <v/>
      </c>
      <c r="BD38" s="3">
        <f>IFERROR(VLOOKUP(F38,MOD_TBL,11,0),IFERROR(VLOOKUP(E38,OCU_TBL,2,0),NEUTRO))</f>
        <v/>
      </c>
      <c r="BE38" s="3">
        <f>SUMIFS(MOT_AJUSTE,MOT_MOTOR,G38,MOT_MARCA,E38,MOT_DESDE,"&lt;="&amp;M38,MOT_HASTA,"&gt;="&amp;M38)+SUMIFS(MOT_AJUSTE,MOT_MOTOR,G38,MOT_MARCA,"(todas)",MOT_DESDE,"&lt;="&amp;M38,MOT_HASTA,"&gt;="&amp;M38)</f>
        <v/>
      </c>
      <c r="BF38" s="3">
        <f>SUMIFS(COMB_AJUSTE,COMB_COMB,K38)</f>
        <v/>
      </c>
      <c r="BG38" s="4">
        <f>MAX(0,MIN(100,BD38+BE38+BF38))</f>
        <v/>
      </c>
      <c r="BH38" s="3">
        <f>MAX(0,MIN(100,50+BB38*PRECIO_PEND))</f>
        <v/>
      </c>
      <c r="BI38" s="3">
        <f>MAX(0,100*(1-N38/KM_MAX))</f>
        <v/>
      </c>
      <c r="BJ38" s="3">
        <f>IF(AS38&lt;KMA_SOSP,IF(AA38="sí",100,KMA_PEN),IF(AS38&lt;=KMA_IDEAL_MAX,100,MAX(0,100*(KMA_CERO-AS38)/(KMA_CERO-KMA_IDEAL_MAX))))</f>
        <v/>
      </c>
      <c r="BK38" s="3">
        <f>MAX(0,MIN(100,100*(M38-ANIO_MIN)/(ANIO_ACTUAL-ANIO_MIN)))</f>
        <v/>
      </c>
      <c r="BL38" s="3">
        <f>W_KMT*BI38+W_KMA*BJ38+W_EDAD*BK38</f>
        <v/>
      </c>
      <c r="BM38" s="3">
        <f>P_ITV*(V38="sí")+P_LIBRO*(W38="sí")+P_CORREA*(X38="sí")+P_PROP*(Y38=1)+P_GAR*(Z38="sí")+P_FOTOS*MIN(1,N(U38)/FOTOS_OBJ)</f>
        <v/>
      </c>
      <c r="BN38" s="3">
        <f>IFERROR(VLOOKUP(BC38,ETQ_TBL,2,0),NEUTRO)</f>
        <v/>
      </c>
      <c r="BO38" s="3">
        <f>NEUTRO</f>
        <v/>
      </c>
      <c r="BP38" s="3">
        <f>IFERROR(VLOOKUP(L38,SEGURO_TBL,3,0),"")</f>
        <v/>
      </c>
      <c r="BQ38" s="3">
        <f>IF(BP38="",NEUTRO,MAX(0,MIN(100,100*(SEG_REF_MAX-BP38)/(SEG_REF_MAX-SEG_REF_MIN))))</f>
        <v/>
      </c>
      <c r="BR38" s="3">
        <f>W_ET*BN38+W_CONS*BO38+W_SEG*BQ38</f>
        <v/>
      </c>
      <c r="BS38" s="3">
        <f>IF(N(AB38)&gt;0,AB38,IF(AND(R38="profesional",SG_LEGAL_ON=1),GAR_LEGAL,0))</f>
        <v/>
      </c>
      <c r="BT38" s="3">
        <f>SG_GAR*MIN(1,BS38/SG_GAR_FULL)+SG_AMPL*(AC38="sí")+SG_KMC*(AF38="sí")+SG_REV*(N(AE38)&gt;0)+SG_DEV*MIN(1,N(AG38)/SG_DEV_FULL)+SG_HIST*(W38="sí")</f>
        <v/>
      </c>
      <c r="BU38" s="3">
        <f>W_FIAB*BG38+W_PRECIO*BH38+W_KMEDAD*BL38+W_ANUNCIO*BM38+W_USO*BR38+W_SEGURIDAD*BT38</f>
        <v/>
      </c>
      <c r="BV38" s="4">
        <f>IF(N(I38)&gt;0,I38,IFERROR(ROUND(_xlfn.NUMBERVALUE(LEFT(G38,FIND(" ",G38&amp;" ")-1),".")*1000,0),99999))</f>
        <v/>
      </c>
      <c r="BW38" s="3">
        <f>IF(R38="profesional",0,IF(O38&lt;CUOTA_VALOR_MAX,IF(AR38&gt;ITP_TRAMO_ALTO,SUMIFS(CF_CUOTA,CF_MAS,ITP_TRAMO_ALTO,CF_CCMIN,"&lt;="&amp;BV38,CF_CCMAX,"&gt;="&amp;BV38),IF(AR38&gt;ITP_TRAMO_BAJO,SUMIFS(CF_CUOTA,CF_MAS,ITP_TRAMO_BAJO,CF_CCMIN,"&lt;="&amp;BV38,CF_CCMAX,"&gt;="&amp;BV38),O38*ITP_TIPO)),O38*ITP_TIPO))</f>
        <v/>
      </c>
      <c r="BX38" s="4">
        <f>IF(R38="profesional",N(AK38),0)</f>
        <v/>
      </c>
      <c r="BY38" s="3">
        <f>IF(AND(R38="profesional",ISNUMBER(AK38),AL38="sí"),0,TASA_DGT)</f>
        <v/>
      </c>
      <c r="BZ38" s="3">
        <f>INFORME_DGT</f>
        <v/>
      </c>
      <c r="CA38" s="4">
        <f>O38+BX38+BW38+BY38+BZ38</f>
        <v/>
      </c>
      <c r="CB38" s="4">
        <f>CA38+N(BP38)</f>
        <v/>
      </c>
      <c r="CC38" s="3">
        <f>IF(CA38&lt;=TOTAL_MAX,"sí","no")</f>
        <v/>
      </c>
      <c r="CD38" s="4">
        <f>IF(CC38="sí",COUNTIFS($CC$2:$CC$39,"sí",$BU$2:$BU$39,"&gt;"&amp;BU38)+COUNTIFS($CC$2:CC38,"sí",$BU$2:BU38,BU38),"")</f>
        <v/>
      </c>
    </row>
    <row r="39">
      <c r="A39" s="2" t="inlineStr">
        <is>
          <t>wallapop:1235670974</t>
        </is>
      </c>
      <c r="B39" s="2" t="inlineStr">
        <is>
          <t>wallapop</t>
        </is>
      </c>
      <c r="C39" s="2" t="inlineStr">
        <is>
          <t>https://es.wallapop.com/item/chevrolet-cruze-2012-1235670974</t>
        </is>
      </c>
      <c r="D39" s="2" t="inlineStr">
        <is>
          <t>Chevrolet Cruze 2012</t>
        </is>
      </c>
      <c r="E39" s="2" t="inlineStr">
        <is>
          <t>Chevrolet</t>
        </is>
      </c>
      <c r="F39" s="2" t="inlineStr">
        <is>
          <t>Chevrolet Cruze</t>
        </is>
      </c>
      <c r="G39" s="2" t="inlineStr">
        <is>
          <t>1.6</t>
        </is>
      </c>
      <c r="H39" s="2" t="inlineStr">
        <is>
          <t>1.6 16v 124 LS+ A/A 5p MY12</t>
        </is>
      </c>
      <c r="I39" s="2" t="n"/>
      <c r="J39" s="2" t="n">
        <v>124</v>
      </c>
      <c r="K39" s="2" t="inlineStr">
        <is>
          <t>gasolina</t>
        </is>
      </c>
      <c r="L39" s="2" t="inlineStr">
        <is>
          <t>compacto</t>
        </is>
      </c>
      <c r="M39" s="2" t="n">
        <v>2012</v>
      </c>
      <c r="N39" s="2" t="n">
        <v>210000</v>
      </c>
      <c r="O39" s="2" t="n">
        <v>2800</v>
      </c>
      <c r="P39" s="2" t="inlineStr">
        <is>
          <t>manual</t>
        </is>
      </c>
      <c r="Q39" s="2" t="inlineStr">
        <is>
          <t>no</t>
        </is>
      </c>
      <c r="R39" s="2" t="inlineStr">
        <is>
          <t>particular</t>
        </is>
      </c>
      <c r="S39" s="2" t="inlineStr">
        <is>
          <t>Valencia (46002)</t>
        </is>
      </c>
      <c r="T39" s="2" t="inlineStr">
        <is>
          <t>2026-10-06T11:49:40</t>
        </is>
      </c>
      <c r="U39" s="2" t="n">
        <v>9</v>
      </c>
      <c r="V39" s="2" t="n"/>
      <c r="W39" s="2" t="n"/>
      <c r="X39" s="2" t="n"/>
      <c r="Y39" s="2" t="n"/>
      <c r="Z39" s="2" t="n"/>
      <c r="AA39" s="2" t="n"/>
      <c r="AB39" s="2" t="n"/>
      <c r="AC39" s="2" t="n"/>
      <c r="AD39" s="2" t="n"/>
      <c r="AE39" s="2" t="n"/>
      <c r="AF39" s="2" t="n"/>
      <c r="AG39" s="2" t="n"/>
      <c r="AH39" s="2" t="n"/>
      <c r="AI39" s="2" t="n"/>
      <c r="AJ39" s="2" t="n"/>
      <c r="AK39" s="2" t="n"/>
      <c r="AL39" s="2" t="n"/>
      <c r="AM39" s="2" t="n">
        <v>0.5</v>
      </c>
      <c r="AN39" s="2" t="n"/>
      <c r="AO39" s="2" t="inlineStr">
        <is>
          <t>cuota fija ITP: &gt;12 años, 1.501-2.000 cc; fiabilidad del modelo PENDIENTE de fuente (puntuación neutra); mediana con solo 1 anuncio(s)</t>
        </is>
      </c>
      <c r="AP39" s="2" t="inlineStr">
        <is>
          <t xml:space="preserve">Chevrolet cruz en buen estado, con desgaste de sus años </t>
        </is>
      </c>
      <c r="AQ39" s="2" t="inlineStr">
        <is>
          <t>https://es.wallapop.com/item/chevrolet-cruze-2012-1235670974 (__NEXT_DATA__ item) /home/user/Alopecia/buscador-coches/raw/wallapop/4875f2fdeb0eb4fc.json</t>
        </is>
      </c>
      <c r="AR39" s="3">
        <f>MAX(ANIO_ACTUAL-M39,0)</f>
        <v/>
      </c>
      <c r="AS39" s="4">
        <f>N39/MAX(AR39,0.5)</f>
        <v/>
      </c>
      <c r="AT39" s="4">
        <f>F39</f>
        <v/>
      </c>
      <c r="AU39" s="3">
        <f>AT39&amp;"|"&amp;INT(M39/SEG_ANIO)*SEG_ANIO</f>
        <v/>
      </c>
      <c r="AV39" s="3">
        <f>AU39&amp;"|"&amp;INT(N39/SEG_KM)*SEG_KM</f>
        <v/>
      </c>
      <c r="AW39" s="4">
        <f>COUNTIF($AT$2:$AT$39,AT39)</f>
        <v/>
      </c>
      <c r="AX39" s="4">
        <f>COUNTIF($AU$2:$AU$39,AU39)</f>
        <v/>
      </c>
      <c r="AY39" s="4">
        <f>COUNTIF($AV$2:$AV$39,AV39)</f>
        <v/>
      </c>
      <c r="AZ39" s="3">
        <f t="array" ref="AZ39">IF(AY39&gt;=MIN_N,MEDIAN(IF($AV$2:$AV$39=AV39,$O$2:$O$39)),IF(AX39&gt;=MIN_N,MEDIAN(IF($AU$2:$AU$39=AU39,$O$2:$O$39)),MEDIAN(IF($AT$2:$AT$39=AT39,$O$2:$O$39))))</f>
        <v/>
      </c>
      <c r="BA39" s="3">
        <f>IF(AY39&gt;=MIN_N,"modelo+año+km",IF(AX39&gt;=MIN_N,"modelo+año","modelo"))</f>
        <v/>
      </c>
      <c r="BB39" s="4">
        <f>(AZ39-O39)/AZ39</f>
        <v/>
      </c>
      <c r="BC39" s="3">
        <f>IF(OR(K39="hibrido",K39="glp"),"ECO",IF(K39="electrico","CERO",IF(K39="gasolina",IF(M39&gt;=GAS_C,"C",IF(M39&gt;=GAS_B,"B","A")),IF(K39="diesel",IF(M39&gt;=DIE_C,"C",IF(M39&gt;=DIE_B,"B","A")),""))))</f>
        <v/>
      </c>
      <c r="BD39" s="3">
        <f>IFERROR(VLOOKUP(F39,MOD_TBL,11,0),IFERROR(VLOOKUP(E39,OCU_TBL,2,0),NEUTRO))</f>
        <v/>
      </c>
      <c r="BE39" s="3">
        <f>SUMIFS(MOT_AJUSTE,MOT_MOTOR,G39,MOT_MARCA,E39,MOT_DESDE,"&lt;="&amp;M39,MOT_HASTA,"&gt;="&amp;M39)+SUMIFS(MOT_AJUSTE,MOT_MOTOR,G39,MOT_MARCA,"(todas)",MOT_DESDE,"&lt;="&amp;M39,MOT_HASTA,"&gt;="&amp;M39)</f>
        <v/>
      </c>
      <c r="BF39" s="3">
        <f>SUMIFS(COMB_AJUSTE,COMB_COMB,K39)</f>
        <v/>
      </c>
      <c r="BG39" s="4">
        <f>MAX(0,MIN(100,BD39+BE39+BF39))</f>
        <v/>
      </c>
      <c r="BH39" s="3">
        <f>MAX(0,MIN(100,50+BB39*PRECIO_PEND))</f>
        <v/>
      </c>
      <c r="BI39" s="3">
        <f>MAX(0,100*(1-N39/KM_MAX))</f>
        <v/>
      </c>
      <c r="BJ39" s="3">
        <f>IF(AS39&lt;KMA_SOSP,IF(AA39="sí",100,KMA_PEN),IF(AS39&lt;=KMA_IDEAL_MAX,100,MAX(0,100*(KMA_CERO-AS39)/(KMA_CERO-KMA_IDEAL_MAX))))</f>
        <v/>
      </c>
      <c r="BK39" s="3">
        <f>MAX(0,MIN(100,100*(M39-ANIO_MIN)/(ANIO_ACTUAL-ANIO_MIN)))</f>
        <v/>
      </c>
      <c r="BL39" s="3">
        <f>W_KMT*BI39+W_KMA*BJ39+W_EDAD*BK39</f>
        <v/>
      </c>
      <c r="BM39" s="3">
        <f>P_ITV*(V39="sí")+P_LIBRO*(W39="sí")+P_CORREA*(X39="sí")+P_PROP*(Y39=1)+P_GAR*(Z39="sí")+P_FOTOS*MIN(1,N(U39)/FOTOS_OBJ)</f>
        <v/>
      </c>
      <c r="BN39" s="3">
        <f>IFERROR(VLOOKUP(BC39,ETQ_TBL,2,0),NEUTRO)</f>
        <v/>
      </c>
      <c r="BO39" s="3">
        <f>NEUTRO</f>
        <v/>
      </c>
      <c r="BP39" s="3">
        <f>IFERROR(VLOOKUP(L39,SEGURO_TBL,3,0),"")</f>
        <v/>
      </c>
      <c r="BQ39" s="3">
        <f>IF(BP39="",NEUTRO,MAX(0,MIN(100,100*(SEG_REF_MAX-BP39)/(SEG_REF_MAX-SEG_REF_MIN))))</f>
        <v/>
      </c>
      <c r="BR39" s="3">
        <f>W_ET*BN39+W_CONS*BO39+W_SEG*BQ39</f>
        <v/>
      </c>
      <c r="BS39" s="3">
        <f>IF(N(AB39)&gt;0,AB39,IF(AND(R39="profesional",SG_LEGAL_ON=1),GAR_LEGAL,0))</f>
        <v/>
      </c>
      <c r="BT39" s="3">
        <f>SG_GAR*MIN(1,BS39/SG_GAR_FULL)+SG_AMPL*(AC39="sí")+SG_KMC*(AF39="sí")+SG_REV*(N(AE39)&gt;0)+SG_DEV*MIN(1,N(AG39)/SG_DEV_FULL)+SG_HIST*(W39="sí")</f>
        <v/>
      </c>
      <c r="BU39" s="3">
        <f>W_FIAB*BG39+W_PRECIO*BH39+W_KMEDAD*BL39+W_ANUNCIO*BM39+W_USO*BR39+W_SEGURIDAD*BT39</f>
        <v/>
      </c>
      <c r="BV39" s="4">
        <f>IF(N(I39)&gt;0,I39,IFERROR(ROUND(_xlfn.NUMBERVALUE(LEFT(G39,FIND(" ",G39&amp;" ")-1),".")*1000,0),99999))</f>
        <v/>
      </c>
      <c r="BW39" s="3">
        <f>IF(R39="profesional",0,IF(O39&lt;CUOTA_VALOR_MAX,IF(AR39&gt;ITP_TRAMO_ALTO,SUMIFS(CF_CUOTA,CF_MAS,ITP_TRAMO_ALTO,CF_CCMIN,"&lt;="&amp;BV39,CF_CCMAX,"&gt;="&amp;BV39),IF(AR39&gt;ITP_TRAMO_BAJO,SUMIFS(CF_CUOTA,CF_MAS,ITP_TRAMO_BAJO,CF_CCMIN,"&lt;="&amp;BV39,CF_CCMAX,"&gt;="&amp;BV39),O39*ITP_TIPO)),O39*ITP_TIPO))</f>
        <v/>
      </c>
      <c r="BX39" s="4">
        <f>IF(R39="profesional",N(AK39),0)</f>
        <v/>
      </c>
      <c r="BY39" s="3">
        <f>IF(AND(R39="profesional",ISNUMBER(AK39),AL39="sí"),0,TASA_DGT)</f>
        <v/>
      </c>
      <c r="BZ39" s="3">
        <f>INFORME_DGT</f>
        <v/>
      </c>
      <c r="CA39" s="4">
        <f>O39+BX39+BW39+BY39+BZ39</f>
        <v/>
      </c>
      <c r="CB39" s="4">
        <f>CA39+N(BP39)</f>
        <v/>
      </c>
      <c r="CC39" s="3">
        <f>IF(CA39&lt;=TOTAL_MAX,"sí","no")</f>
        <v/>
      </c>
      <c r="CD39" s="4">
        <f>IF(CC39="sí",COUNTIFS($CC$2:$CC$39,"sí",$BU$2:$BU$39,"&gt;"&amp;BU39)+COUNTIFS($CC$2:CC39,"sí",$BU$2:BU39,BU39),"")</f>
        <v/>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K23"/>
  <sheetViews>
    <sheetView workbookViewId="0">
      <selection activeCell="A1" sqref="A1"/>
    </sheetView>
  </sheetViews>
  <sheetFormatPr baseColWidth="8" defaultRowHeight="15"/>
  <cols>
    <col width="14" customWidth="1" min="1" max="1"/>
    <col width="14" customWidth="1" min="2" max="2"/>
    <col width="14" customWidth="1" min="3" max="3"/>
    <col width="40"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s>
  <sheetData>
    <row r="1">
      <c r="A1" s="1" t="inlineStr">
        <is>
          <t>Puesto</t>
        </is>
      </c>
      <c r="B1" s="1" t="inlineStr">
        <is>
          <t>Fila en Anuncios</t>
        </is>
      </c>
      <c r="C1" s="1" t="inlineStr">
        <is>
          <t>Enlace</t>
        </is>
      </c>
      <c r="D1" s="1" t="inlineStr">
        <is>
          <t>Título</t>
        </is>
      </c>
      <c r="E1" s="1" t="inlineStr">
        <is>
          <t>Plataforma</t>
        </is>
      </c>
      <c r="F1" s="1" t="inlineStr">
        <is>
          <t>Marca</t>
        </is>
      </c>
      <c r="G1" s="1" t="inlineStr">
        <is>
          <t>Modelo</t>
        </is>
      </c>
      <c r="H1" s="1" t="inlineStr">
        <is>
          <t>Motor</t>
        </is>
      </c>
      <c r="I1" s="1" t="inlineStr">
        <is>
          <t>Combustible</t>
        </is>
      </c>
      <c r="J1" s="1" t="inlineStr">
        <is>
          <t>Año</t>
        </is>
      </c>
      <c r="K1" s="1" t="inlineStr">
        <is>
          <t>Km</t>
        </is>
      </c>
      <c r="L1" s="1" t="inlineStr">
        <is>
          <t>Automático</t>
        </is>
      </c>
      <c r="M1" s="1" t="inlineStr">
        <is>
          <t>Vendedor</t>
        </is>
      </c>
      <c r="N1" s="1" t="inlineStr">
        <is>
          <t>Precio contado (€)</t>
        </is>
      </c>
      <c r="O1" s="1" t="inlineStr">
        <is>
          <t>Solo financiando</t>
        </is>
      </c>
      <c r="P1" s="1" t="inlineStr">
        <is>
          <t>Precio financiado (€)</t>
        </is>
      </c>
      <c r="Q1" s="1" t="inlineStr">
        <is>
          <t>Garantía efectiva (meses)</t>
        </is>
      </c>
      <c r="R1" s="1" t="inlineStr">
        <is>
          <t>Gastos vendedor (€)</t>
        </is>
      </c>
      <c r="S1" s="1" t="inlineStr">
        <is>
          <t>ITP (€)</t>
        </is>
      </c>
      <c r="T1" s="1" t="inlineStr">
        <is>
          <t>Coste total (€)</t>
        </is>
      </c>
      <c r="U1" s="1" t="inlineStr">
        <is>
          <t>Mediana segmento (€)</t>
        </is>
      </c>
      <c r="V1" s="1" t="inlineStr">
        <is>
          <t>Descuento</t>
        </is>
      </c>
      <c r="W1" s="1" t="inlineStr">
        <is>
          <t>Etiqueta</t>
        </is>
      </c>
      <c r="X1" s="1" t="inlineStr">
        <is>
          <t>P. Fiabilidad</t>
        </is>
      </c>
      <c r="Y1" s="1" t="inlineStr">
        <is>
          <t>P. Precio</t>
        </is>
      </c>
      <c r="Z1" s="1" t="inlineStr">
        <is>
          <t>P. Km y edad</t>
        </is>
      </c>
      <c r="AA1" s="1" t="inlineStr">
        <is>
          <t>P. Anuncio</t>
        </is>
      </c>
      <c r="AB1" s="1" t="inlineStr">
        <is>
          <t>P. Coste uso</t>
        </is>
      </c>
      <c r="AC1" s="1" t="inlineStr">
        <is>
          <t>P. Seguridad compra</t>
        </is>
      </c>
      <c r="AD1" s="1" t="inlineStr">
        <is>
          <t>PUNTUACIÓN</t>
        </is>
      </c>
      <c r="AE1" s="1" t="inlineStr">
        <is>
          <t>Avisos</t>
        </is>
      </c>
      <c r="AF1" s="1" t="inlineStr">
        <is>
          <t>Aport. fiabilidad</t>
        </is>
      </c>
      <c r="AG1" s="1" t="inlineStr">
        <is>
          <t>Aport. precio</t>
        </is>
      </c>
      <c r="AH1" s="1" t="inlineStr">
        <is>
          <t>Aport. km/edad</t>
        </is>
      </c>
      <c r="AI1" s="1" t="inlineStr">
        <is>
          <t>Aport. anuncio</t>
        </is>
      </c>
      <c r="AJ1" s="1" t="inlineStr">
        <is>
          <t>Aport. uso</t>
        </is>
      </c>
      <c r="AK1" s="1" t="inlineStr">
        <is>
          <t>Aport. seguridad</t>
        </is>
      </c>
    </row>
    <row r="2">
      <c r="A2" s="2" t="n">
        <v>1</v>
      </c>
      <c r="B2" s="3">
        <f>IFERROR(MATCH(A2,Anuncios!$CD$2:$CD$39,0),"")</f>
        <v/>
      </c>
      <c r="C2" s="3">
        <f>IF(B2="","",HYPERLINK(INDEX(Anuncios!$C$2:$C$39,B2),"Abrir anuncio"))</f>
        <v/>
      </c>
      <c r="D2" s="3">
        <f>IF($B2="","",INDEX(Anuncios!$D$2:$D$39,$B2))</f>
        <v/>
      </c>
      <c r="E2" s="3">
        <f>IF($B2="","",INDEX(Anuncios!$B$2:$B$39,$B2))</f>
        <v/>
      </c>
      <c r="F2" s="3">
        <f>IF($B2="","",INDEX(Anuncios!$E$2:$E$39,$B2))</f>
        <v/>
      </c>
      <c r="G2" s="3">
        <f>IF($B2="","",INDEX(Anuncios!$F$2:$F$39,$B2))</f>
        <v/>
      </c>
      <c r="H2" s="3">
        <f>IF($B2="","",INDEX(Anuncios!$G$2:$G$39,$B2))</f>
        <v/>
      </c>
      <c r="I2" s="3">
        <f>IF($B2="","",INDEX(Anuncios!$K$2:$K$39,$B2))</f>
        <v/>
      </c>
      <c r="J2" s="3">
        <f>IF($B2="","",INDEX(Anuncios!$M$2:$M$39,$B2))</f>
        <v/>
      </c>
      <c r="K2" s="3">
        <f>IF($B2="","",INDEX(Anuncios!$N$2:$N$39,$B2))</f>
        <v/>
      </c>
      <c r="L2" s="3">
        <f>IF($B2="","",INDEX(Anuncios!$Q$2:$Q$39,$B2))</f>
        <v/>
      </c>
      <c r="M2" s="3">
        <f>IF($B2="","",INDEX(Anuncios!$R$2:$R$39,$B2))</f>
        <v/>
      </c>
      <c r="N2" s="3">
        <f>IF($B2="","",INDEX(Anuncios!$O$2:$O$39,$B2))</f>
        <v/>
      </c>
      <c r="O2" s="3">
        <f>IF($B2="","",INDEX(Anuncios!$AJ$2:$AJ$39,$B2))</f>
        <v/>
      </c>
      <c r="P2" s="3">
        <f>IF($B2="","",INDEX(Anuncios!$AI$2:$AI$39,$B2))</f>
        <v/>
      </c>
      <c r="Q2" s="3">
        <f>IF($B2="","",INDEX(Anuncios!$BS$2:$BS$39,$B2))</f>
        <v/>
      </c>
      <c r="R2" s="3">
        <f>IF($B2="","",INDEX(Anuncios!$BX$2:$BX$39,$B2))</f>
        <v/>
      </c>
      <c r="S2" s="3">
        <f>IF($B2="","",INDEX(Anuncios!$BW$2:$BW$39,$B2))</f>
        <v/>
      </c>
      <c r="T2" s="3">
        <f>IF($B2="","",INDEX(Anuncios!$CA$2:$CA$39,$B2))</f>
        <v/>
      </c>
      <c r="U2" s="3">
        <f>IF($B2="","",INDEX(Anuncios!$AZ$2:$AZ$39,$B2))</f>
        <v/>
      </c>
      <c r="V2" s="3">
        <f>IF($B2="","",INDEX(Anuncios!$BB$2:$BB$39,$B2))</f>
        <v/>
      </c>
      <c r="W2" s="3">
        <f>IF($B2="","",INDEX(Anuncios!$BC$2:$BC$39,$B2))</f>
        <v/>
      </c>
      <c r="X2" s="3">
        <f>IF($B2="","",INDEX(Anuncios!$BG$2:$BG$39,$B2))</f>
        <v/>
      </c>
      <c r="Y2" s="3">
        <f>IF($B2="","",INDEX(Anuncios!$BH$2:$BH$39,$B2))</f>
        <v/>
      </c>
      <c r="Z2" s="3">
        <f>IF($B2="","",INDEX(Anuncios!$BL$2:$BL$39,$B2))</f>
        <v/>
      </c>
      <c r="AA2" s="3">
        <f>IF($B2="","",INDEX(Anuncios!$BM$2:$BM$39,$B2))</f>
        <v/>
      </c>
      <c r="AB2" s="3">
        <f>IF($B2="","",INDEX(Anuncios!$BR$2:$BR$39,$B2))</f>
        <v/>
      </c>
      <c r="AC2" s="3">
        <f>IF($B2="","",INDEX(Anuncios!$BT$2:$BT$39,$B2))</f>
        <v/>
      </c>
      <c r="AD2" s="3">
        <f>IF($B2="","",INDEX(Anuncios!$BU$2:$BU$39,$B2))</f>
        <v/>
      </c>
      <c r="AE2" s="3">
        <f>IF($B2="","",INDEX(Anuncios!$AO$2:$AO$39,$B2))</f>
        <v/>
      </c>
      <c r="AF2" s="3">
        <f>IF($B2="","",X2*W_FIAB)</f>
        <v/>
      </c>
      <c r="AG2" s="3">
        <f>IF($B2="","",Y2*W_PRECIO)</f>
        <v/>
      </c>
      <c r="AH2" s="3">
        <f>IF($B2="","",Z2*W_KMEDAD)</f>
        <v/>
      </c>
      <c r="AI2" s="3">
        <f>IF($B2="","",AA2*W_ANUNCIO)</f>
        <v/>
      </c>
      <c r="AJ2" s="3">
        <f>IF($B2="","",AB2*W_USO)</f>
        <v/>
      </c>
      <c r="AK2" s="3">
        <f>IF($B2="","",AC2*W_SEGURIDAD)</f>
        <v/>
      </c>
    </row>
    <row r="3">
      <c r="A3" s="2" t="n">
        <v>2</v>
      </c>
      <c r="B3" s="3">
        <f>IFERROR(MATCH(A3,Anuncios!$CD$2:$CD$39,0),"")</f>
        <v/>
      </c>
      <c r="C3" s="3">
        <f>IF(B3="","",HYPERLINK(INDEX(Anuncios!$C$2:$C$39,B3),"Abrir anuncio"))</f>
        <v/>
      </c>
      <c r="D3" s="3">
        <f>IF($B3="","",INDEX(Anuncios!$D$2:$D$39,$B3))</f>
        <v/>
      </c>
      <c r="E3" s="3">
        <f>IF($B3="","",INDEX(Anuncios!$B$2:$B$39,$B3))</f>
        <v/>
      </c>
      <c r="F3" s="3">
        <f>IF($B3="","",INDEX(Anuncios!$E$2:$E$39,$B3))</f>
        <v/>
      </c>
      <c r="G3" s="3">
        <f>IF($B3="","",INDEX(Anuncios!$F$2:$F$39,$B3))</f>
        <v/>
      </c>
      <c r="H3" s="3">
        <f>IF($B3="","",INDEX(Anuncios!$G$2:$G$39,$B3))</f>
        <v/>
      </c>
      <c r="I3" s="3">
        <f>IF($B3="","",INDEX(Anuncios!$K$2:$K$39,$B3))</f>
        <v/>
      </c>
      <c r="J3" s="3">
        <f>IF($B3="","",INDEX(Anuncios!$M$2:$M$39,$B3))</f>
        <v/>
      </c>
      <c r="K3" s="3">
        <f>IF($B3="","",INDEX(Anuncios!$N$2:$N$39,$B3))</f>
        <v/>
      </c>
      <c r="L3" s="3">
        <f>IF($B3="","",INDEX(Anuncios!$Q$2:$Q$39,$B3))</f>
        <v/>
      </c>
      <c r="M3" s="3">
        <f>IF($B3="","",INDEX(Anuncios!$R$2:$R$39,$B3))</f>
        <v/>
      </c>
      <c r="N3" s="3">
        <f>IF($B3="","",INDEX(Anuncios!$O$2:$O$39,$B3))</f>
        <v/>
      </c>
      <c r="O3" s="3">
        <f>IF($B3="","",INDEX(Anuncios!$AJ$2:$AJ$39,$B3))</f>
        <v/>
      </c>
      <c r="P3" s="3">
        <f>IF($B3="","",INDEX(Anuncios!$AI$2:$AI$39,$B3))</f>
        <v/>
      </c>
      <c r="Q3" s="3">
        <f>IF($B3="","",INDEX(Anuncios!$BS$2:$BS$39,$B3))</f>
        <v/>
      </c>
      <c r="R3" s="3">
        <f>IF($B3="","",INDEX(Anuncios!$BX$2:$BX$39,$B3))</f>
        <v/>
      </c>
      <c r="S3" s="3">
        <f>IF($B3="","",INDEX(Anuncios!$BW$2:$BW$39,$B3))</f>
        <v/>
      </c>
      <c r="T3" s="3">
        <f>IF($B3="","",INDEX(Anuncios!$CA$2:$CA$39,$B3))</f>
        <v/>
      </c>
      <c r="U3" s="3">
        <f>IF($B3="","",INDEX(Anuncios!$AZ$2:$AZ$39,$B3))</f>
        <v/>
      </c>
      <c r="V3" s="3">
        <f>IF($B3="","",INDEX(Anuncios!$BB$2:$BB$39,$B3))</f>
        <v/>
      </c>
      <c r="W3" s="3">
        <f>IF($B3="","",INDEX(Anuncios!$BC$2:$BC$39,$B3))</f>
        <v/>
      </c>
      <c r="X3" s="3">
        <f>IF($B3="","",INDEX(Anuncios!$BG$2:$BG$39,$B3))</f>
        <v/>
      </c>
      <c r="Y3" s="3">
        <f>IF($B3="","",INDEX(Anuncios!$BH$2:$BH$39,$B3))</f>
        <v/>
      </c>
      <c r="Z3" s="3">
        <f>IF($B3="","",INDEX(Anuncios!$BL$2:$BL$39,$B3))</f>
        <v/>
      </c>
      <c r="AA3" s="3">
        <f>IF($B3="","",INDEX(Anuncios!$BM$2:$BM$39,$B3))</f>
        <v/>
      </c>
      <c r="AB3" s="3">
        <f>IF($B3="","",INDEX(Anuncios!$BR$2:$BR$39,$B3))</f>
        <v/>
      </c>
      <c r="AC3" s="3">
        <f>IF($B3="","",INDEX(Anuncios!$BT$2:$BT$39,$B3))</f>
        <v/>
      </c>
      <c r="AD3" s="3">
        <f>IF($B3="","",INDEX(Anuncios!$BU$2:$BU$39,$B3))</f>
        <v/>
      </c>
      <c r="AE3" s="3">
        <f>IF($B3="","",INDEX(Anuncios!$AO$2:$AO$39,$B3))</f>
        <v/>
      </c>
      <c r="AF3" s="3">
        <f>IF($B3="","",X3*W_FIAB)</f>
        <v/>
      </c>
      <c r="AG3" s="3">
        <f>IF($B3="","",Y3*W_PRECIO)</f>
        <v/>
      </c>
      <c r="AH3" s="3">
        <f>IF($B3="","",Z3*W_KMEDAD)</f>
        <v/>
      </c>
      <c r="AI3" s="3">
        <f>IF($B3="","",AA3*W_ANUNCIO)</f>
        <v/>
      </c>
      <c r="AJ3" s="3">
        <f>IF($B3="","",AB3*W_USO)</f>
        <v/>
      </c>
      <c r="AK3" s="3">
        <f>IF($B3="","",AC3*W_SEGURIDAD)</f>
        <v/>
      </c>
    </row>
    <row r="4">
      <c r="A4" s="2" t="n">
        <v>3</v>
      </c>
      <c r="B4" s="3">
        <f>IFERROR(MATCH(A4,Anuncios!$CD$2:$CD$39,0),"")</f>
        <v/>
      </c>
      <c r="C4" s="3">
        <f>IF(B4="","",HYPERLINK(INDEX(Anuncios!$C$2:$C$39,B4),"Abrir anuncio"))</f>
        <v/>
      </c>
      <c r="D4" s="3">
        <f>IF($B4="","",INDEX(Anuncios!$D$2:$D$39,$B4))</f>
        <v/>
      </c>
      <c r="E4" s="3">
        <f>IF($B4="","",INDEX(Anuncios!$B$2:$B$39,$B4))</f>
        <v/>
      </c>
      <c r="F4" s="3">
        <f>IF($B4="","",INDEX(Anuncios!$E$2:$E$39,$B4))</f>
        <v/>
      </c>
      <c r="G4" s="3">
        <f>IF($B4="","",INDEX(Anuncios!$F$2:$F$39,$B4))</f>
        <v/>
      </c>
      <c r="H4" s="3">
        <f>IF($B4="","",INDEX(Anuncios!$G$2:$G$39,$B4))</f>
        <v/>
      </c>
      <c r="I4" s="3">
        <f>IF($B4="","",INDEX(Anuncios!$K$2:$K$39,$B4))</f>
        <v/>
      </c>
      <c r="J4" s="3">
        <f>IF($B4="","",INDEX(Anuncios!$M$2:$M$39,$B4))</f>
        <v/>
      </c>
      <c r="K4" s="3">
        <f>IF($B4="","",INDEX(Anuncios!$N$2:$N$39,$B4))</f>
        <v/>
      </c>
      <c r="L4" s="3">
        <f>IF($B4="","",INDEX(Anuncios!$Q$2:$Q$39,$B4))</f>
        <v/>
      </c>
      <c r="M4" s="3">
        <f>IF($B4="","",INDEX(Anuncios!$R$2:$R$39,$B4))</f>
        <v/>
      </c>
      <c r="N4" s="3">
        <f>IF($B4="","",INDEX(Anuncios!$O$2:$O$39,$B4))</f>
        <v/>
      </c>
      <c r="O4" s="3">
        <f>IF($B4="","",INDEX(Anuncios!$AJ$2:$AJ$39,$B4))</f>
        <v/>
      </c>
      <c r="P4" s="3">
        <f>IF($B4="","",INDEX(Anuncios!$AI$2:$AI$39,$B4))</f>
        <v/>
      </c>
      <c r="Q4" s="3">
        <f>IF($B4="","",INDEX(Anuncios!$BS$2:$BS$39,$B4))</f>
        <v/>
      </c>
      <c r="R4" s="3">
        <f>IF($B4="","",INDEX(Anuncios!$BX$2:$BX$39,$B4))</f>
        <v/>
      </c>
      <c r="S4" s="3">
        <f>IF($B4="","",INDEX(Anuncios!$BW$2:$BW$39,$B4))</f>
        <v/>
      </c>
      <c r="T4" s="3">
        <f>IF($B4="","",INDEX(Anuncios!$CA$2:$CA$39,$B4))</f>
        <v/>
      </c>
      <c r="U4" s="3">
        <f>IF($B4="","",INDEX(Anuncios!$AZ$2:$AZ$39,$B4))</f>
        <v/>
      </c>
      <c r="V4" s="3">
        <f>IF($B4="","",INDEX(Anuncios!$BB$2:$BB$39,$B4))</f>
        <v/>
      </c>
      <c r="W4" s="3">
        <f>IF($B4="","",INDEX(Anuncios!$BC$2:$BC$39,$B4))</f>
        <v/>
      </c>
      <c r="X4" s="3">
        <f>IF($B4="","",INDEX(Anuncios!$BG$2:$BG$39,$B4))</f>
        <v/>
      </c>
      <c r="Y4" s="3">
        <f>IF($B4="","",INDEX(Anuncios!$BH$2:$BH$39,$B4))</f>
        <v/>
      </c>
      <c r="Z4" s="3">
        <f>IF($B4="","",INDEX(Anuncios!$BL$2:$BL$39,$B4))</f>
        <v/>
      </c>
      <c r="AA4" s="3">
        <f>IF($B4="","",INDEX(Anuncios!$BM$2:$BM$39,$B4))</f>
        <v/>
      </c>
      <c r="AB4" s="3">
        <f>IF($B4="","",INDEX(Anuncios!$BR$2:$BR$39,$B4))</f>
        <v/>
      </c>
      <c r="AC4" s="3">
        <f>IF($B4="","",INDEX(Anuncios!$BT$2:$BT$39,$B4))</f>
        <v/>
      </c>
      <c r="AD4" s="3">
        <f>IF($B4="","",INDEX(Anuncios!$BU$2:$BU$39,$B4))</f>
        <v/>
      </c>
      <c r="AE4" s="3">
        <f>IF($B4="","",INDEX(Anuncios!$AO$2:$AO$39,$B4))</f>
        <v/>
      </c>
      <c r="AF4" s="3">
        <f>IF($B4="","",X4*W_FIAB)</f>
        <v/>
      </c>
      <c r="AG4" s="3">
        <f>IF($B4="","",Y4*W_PRECIO)</f>
        <v/>
      </c>
      <c r="AH4" s="3">
        <f>IF($B4="","",Z4*W_KMEDAD)</f>
        <v/>
      </c>
      <c r="AI4" s="3">
        <f>IF($B4="","",AA4*W_ANUNCIO)</f>
        <v/>
      </c>
      <c r="AJ4" s="3">
        <f>IF($B4="","",AB4*W_USO)</f>
        <v/>
      </c>
      <c r="AK4" s="3">
        <f>IF($B4="","",AC4*W_SEGURIDAD)</f>
        <v/>
      </c>
    </row>
    <row r="5">
      <c r="A5" s="2" t="n">
        <v>4</v>
      </c>
      <c r="B5" s="3">
        <f>IFERROR(MATCH(A5,Anuncios!$CD$2:$CD$39,0),"")</f>
        <v/>
      </c>
      <c r="C5" s="3">
        <f>IF(B5="","",HYPERLINK(INDEX(Anuncios!$C$2:$C$39,B5),"Abrir anuncio"))</f>
        <v/>
      </c>
      <c r="D5" s="3">
        <f>IF($B5="","",INDEX(Anuncios!$D$2:$D$39,$B5))</f>
        <v/>
      </c>
      <c r="E5" s="3">
        <f>IF($B5="","",INDEX(Anuncios!$B$2:$B$39,$B5))</f>
        <v/>
      </c>
      <c r="F5" s="3">
        <f>IF($B5="","",INDEX(Anuncios!$E$2:$E$39,$B5))</f>
        <v/>
      </c>
      <c r="G5" s="3">
        <f>IF($B5="","",INDEX(Anuncios!$F$2:$F$39,$B5))</f>
        <v/>
      </c>
      <c r="H5" s="3">
        <f>IF($B5="","",INDEX(Anuncios!$G$2:$G$39,$B5))</f>
        <v/>
      </c>
      <c r="I5" s="3">
        <f>IF($B5="","",INDEX(Anuncios!$K$2:$K$39,$B5))</f>
        <v/>
      </c>
      <c r="J5" s="3">
        <f>IF($B5="","",INDEX(Anuncios!$M$2:$M$39,$B5))</f>
        <v/>
      </c>
      <c r="K5" s="3">
        <f>IF($B5="","",INDEX(Anuncios!$N$2:$N$39,$B5))</f>
        <v/>
      </c>
      <c r="L5" s="3">
        <f>IF($B5="","",INDEX(Anuncios!$Q$2:$Q$39,$B5))</f>
        <v/>
      </c>
      <c r="M5" s="3">
        <f>IF($B5="","",INDEX(Anuncios!$R$2:$R$39,$B5))</f>
        <v/>
      </c>
      <c r="N5" s="3">
        <f>IF($B5="","",INDEX(Anuncios!$O$2:$O$39,$B5))</f>
        <v/>
      </c>
      <c r="O5" s="3">
        <f>IF($B5="","",INDEX(Anuncios!$AJ$2:$AJ$39,$B5))</f>
        <v/>
      </c>
      <c r="P5" s="3">
        <f>IF($B5="","",INDEX(Anuncios!$AI$2:$AI$39,$B5))</f>
        <v/>
      </c>
      <c r="Q5" s="3">
        <f>IF($B5="","",INDEX(Anuncios!$BS$2:$BS$39,$B5))</f>
        <v/>
      </c>
      <c r="R5" s="3">
        <f>IF($B5="","",INDEX(Anuncios!$BX$2:$BX$39,$B5))</f>
        <v/>
      </c>
      <c r="S5" s="3">
        <f>IF($B5="","",INDEX(Anuncios!$BW$2:$BW$39,$B5))</f>
        <v/>
      </c>
      <c r="T5" s="3">
        <f>IF($B5="","",INDEX(Anuncios!$CA$2:$CA$39,$B5))</f>
        <v/>
      </c>
      <c r="U5" s="3">
        <f>IF($B5="","",INDEX(Anuncios!$AZ$2:$AZ$39,$B5))</f>
        <v/>
      </c>
      <c r="V5" s="3">
        <f>IF($B5="","",INDEX(Anuncios!$BB$2:$BB$39,$B5))</f>
        <v/>
      </c>
      <c r="W5" s="3">
        <f>IF($B5="","",INDEX(Anuncios!$BC$2:$BC$39,$B5))</f>
        <v/>
      </c>
      <c r="X5" s="3">
        <f>IF($B5="","",INDEX(Anuncios!$BG$2:$BG$39,$B5))</f>
        <v/>
      </c>
      <c r="Y5" s="3">
        <f>IF($B5="","",INDEX(Anuncios!$BH$2:$BH$39,$B5))</f>
        <v/>
      </c>
      <c r="Z5" s="3">
        <f>IF($B5="","",INDEX(Anuncios!$BL$2:$BL$39,$B5))</f>
        <v/>
      </c>
      <c r="AA5" s="3">
        <f>IF($B5="","",INDEX(Anuncios!$BM$2:$BM$39,$B5))</f>
        <v/>
      </c>
      <c r="AB5" s="3">
        <f>IF($B5="","",INDEX(Anuncios!$BR$2:$BR$39,$B5))</f>
        <v/>
      </c>
      <c r="AC5" s="3">
        <f>IF($B5="","",INDEX(Anuncios!$BT$2:$BT$39,$B5))</f>
        <v/>
      </c>
      <c r="AD5" s="3">
        <f>IF($B5="","",INDEX(Anuncios!$BU$2:$BU$39,$B5))</f>
        <v/>
      </c>
      <c r="AE5" s="3">
        <f>IF($B5="","",INDEX(Anuncios!$AO$2:$AO$39,$B5))</f>
        <v/>
      </c>
      <c r="AF5" s="3">
        <f>IF($B5="","",X5*W_FIAB)</f>
        <v/>
      </c>
      <c r="AG5" s="3">
        <f>IF($B5="","",Y5*W_PRECIO)</f>
        <v/>
      </c>
      <c r="AH5" s="3">
        <f>IF($B5="","",Z5*W_KMEDAD)</f>
        <v/>
      </c>
      <c r="AI5" s="3">
        <f>IF($B5="","",AA5*W_ANUNCIO)</f>
        <v/>
      </c>
      <c r="AJ5" s="3">
        <f>IF($B5="","",AB5*W_USO)</f>
        <v/>
      </c>
      <c r="AK5" s="3">
        <f>IF($B5="","",AC5*W_SEGURIDAD)</f>
        <v/>
      </c>
    </row>
    <row r="6">
      <c r="A6" s="2" t="n">
        <v>5</v>
      </c>
      <c r="B6" s="3">
        <f>IFERROR(MATCH(A6,Anuncios!$CD$2:$CD$39,0),"")</f>
        <v/>
      </c>
      <c r="C6" s="3">
        <f>IF(B6="","",HYPERLINK(INDEX(Anuncios!$C$2:$C$39,B6),"Abrir anuncio"))</f>
        <v/>
      </c>
      <c r="D6" s="3">
        <f>IF($B6="","",INDEX(Anuncios!$D$2:$D$39,$B6))</f>
        <v/>
      </c>
      <c r="E6" s="3">
        <f>IF($B6="","",INDEX(Anuncios!$B$2:$B$39,$B6))</f>
        <v/>
      </c>
      <c r="F6" s="3">
        <f>IF($B6="","",INDEX(Anuncios!$E$2:$E$39,$B6))</f>
        <v/>
      </c>
      <c r="G6" s="3">
        <f>IF($B6="","",INDEX(Anuncios!$F$2:$F$39,$B6))</f>
        <v/>
      </c>
      <c r="H6" s="3">
        <f>IF($B6="","",INDEX(Anuncios!$G$2:$G$39,$B6))</f>
        <v/>
      </c>
      <c r="I6" s="3">
        <f>IF($B6="","",INDEX(Anuncios!$K$2:$K$39,$B6))</f>
        <v/>
      </c>
      <c r="J6" s="3">
        <f>IF($B6="","",INDEX(Anuncios!$M$2:$M$39,$B6))</f>
        <v/>
      </c>
      <c r="K6" s="3">
        <f>IF($B6="","",INDEX(Anuncios!$N$2:$N$39,$B6))</f>
        <v/>
      </c>
      <c r="L6" s="3">
        <f>IF($B6="","",INDEX(Anuncios!$Q$2:$Q$39,$B6))</f>
        <v/>
      </c>
      <c r="M6" s="3">
        <f>IF($B6="","",INDEX(Anuncios!$R$2:$R$39,$B6))</f>
        <v/>
      </c>
      <c r="N6" s="3">
        <f>IF($B6="","",INDEX(Anuncios!$O$2:$O$39,$B6))</f>
        <v/>
      </c>
      <c r="O6" s="3">
        <f>IF($B6="","",INDEX(Anuncios!$AJ$2:$AJ$39,$B6))</f>
        <v/>
      </c>
      <c r="P6" s="3">
        <f>IF($B6="","",INDEX(Anuncios!$AI$2:$AI$39,$B6))</f>
        <v/>
      </c>
      <c r="Q6" s="3">
        <f>IF($B6="","",INDEX(Anuncios!$BS$2:$BS$39,$B6))</f>
        <v/>
      </c>
      <c r="R6" s="3">
        <f>IF($B6="","",INDEX(Anuncios!$BX$2:$BX$39,$B6))</f>
        <v/>
      </c>
      <c r="S6" s="3">
        <f>IF($B6="","",INDEX(Anuncios!$BW$2:$BW$39,$B6))</f>
        <v/>
      </c>
      <c r="T6" s="3">
        <f>IF($B6="","",INDEX(Anuncios!$CA$2:$CA$39,$B6))</f>
        <v/>
      </c>
      <c r="U6" s="3">
        <f>IF($B6="","",INDEX(Anuncios!$AZ$2:$AZ$39,$B6))</f>
        <v/>
      </c>
      <c r="V6" s="3">
        <f>IF($B6="","",INDEX(Anuncios!$BB$2:$BB$39,$B6))</f>
        <v/>
      </c>
      <c r="W6" s="3">
        <f>IF($B6="","",INDEX(Anuncios!$BC$2:$BC$39,$B6))</f>
        <v/>
      </c>
      <c r="X6" s="3">
        <f>IF($B6="","",INDEX(Anuncios!$BG$2:$BG$39,$B6))</f>
        <v/>
      </c>
      <c r="Y6" s="3">
        <f>IF($B6="","",INDEX(Anuncios!$BH$2:$BH$39,$B6))</f>
        <v/>
      </c>
      <c r="Z6" s="3">
        <f>IF($B6="","",INDEX(Anuncios!$BL$2:$BL$39,$B6))</f>
        <v/>
      </c>
      <c r="AA6" s="3">
        <f>IF($B6="","",INDEX(Anuncios!$BM$2:$BM$39,$B6))</f>
        <v/>
      </c>
      <c r="AB6" s="3">
        <f>IF($B6="","",INDEX(Anuncios!$BR$2:$BR$39,$B6))</f>
        <v/>
      </c>
      <c r="AC6" s="3">
        <f>IF($B6="","",INDEX(Anuncios!$BT$2:$BT$39,$B6))</f>
        <v/>
      </c>
      <c r="AD6" s="3">
        <f>IF($B6="","",INDEX(Anuncios!$BU$2:$BU$39,$B6))</f>
        <v/>
      </c>
      <c r="AE6" s="3">
        <f>IF($B6="","",INDEX(Anuncios!$AO$2:$AO$39,$B6))</f>
        <v/>
      </c>
      <c r="AF6" s="3">
        <f>IF($B6="","",X6*W_FIAB)</f>
        <v/>
      </c>
      <c r="AG6" s="3">
        <f>IF($B6="","",Y6*W_PRECIO)</f>
        <v/>
      </c>
      <c r="AH6" s="3">
        <f>IF($B6="","",Z6*W_KMEDAD)</f>
        <v/>
      </c>
      <c r="AI6" s="3">
        <f>IF($B6="","",AA6*W_ANUNCIO)</f>
        <v/>
      </c>
      <c r="AJ6" s="3">
        <f>IF($B6="","",AB6*W_USO)</f>
        <v/>
      </c>
      <c r="AK6" s="3">
        <f>IF($B6="","",AC6*W_SEGURIDAD)</f>
        <v/>
      </c>
    </row>
    <row r="7">
      <c r="A7" s="2" t="n">
        <v>6</v>
      </c>
      <c r="B7" s="3">
        <f>IFERROR(MATCH(A7,Anuncios!$CD$2:$CD$39,0),"")</f>
        <v/>
      </c>
      <c r="C7" s="3">
        <f>IF(B7="","",HYPERLINK(INDEX(Anuncios!$C$2:$C$39,B7),"Abrir anuncio"))</f>
        <v/>
      </c>
      <c r="D7" s="3">
        <f>IF($B7="","",INDEX(Anuncios!$D$2:$D$39,$B7))</f>
        <v/>
      </c>
      <c r="E7" s="3">
        <f>IF($B7="","",INDEX(Anuncios!$B$2:$B$39,$B7))</f>
        <v/>
      </c>
      <c r="F7" s="3">
        <f>IF($B7="","",INDEX(Anuncios!$E$2:$E$39,$B7))</f>
        <v/>
      </c>
      <c r="G7" s="3">
        <f>IF($B7="","",INDEX(Anuncios!$F$2:$F$39,$B7))</f>
        <v/>
      </c>
      <c r="H7" s="3">
        <f>IF($B7="","",INDEX(Anuncios!$G$2:$G$39,$B7))</f>
        <v/>
      </c>
      <c r="I7" s="3">
        <f>IF($B7="","",INDEX(Anuncios!$K$2:$K$39,$B7))</f>
        <v/>
      </c>
      <c r="J7" s="3">
        <f>IF($B7="","",INDEX(Anuncios!$M$2:$M$39,$B7))</f>
        <v/>
      </c>
      <c r="K7" s="3">
        <f>IF($B7="","",INDEX(Anuncios!$N$2:$N$39,$B7))</f>
        <v/>
      </c>
      <c r="L7" s="3">
        <f>IF($B7="","",INDEX(Anuncios!$Q$2:$Q$39,$B7))</f>
        <v/>
      </c>
      <c r="M7" s="3">
        <f>IF($B7="","",INDEX(Anuncios!$R$2:$R$39,$B7))</f>
        <v/>
      </c>
      <c r="N7" s="3">
        <f>IF($B7="","",INDEX(Anuncios!$O$2:$O$39,$B7))</f>
        <v/>
      </c>
      <c r="O7" s="3">
        <f>IF($B7="","",INDEX(Anuncios!$AJ$2:$AJ$39,$B7))</f>
        <v/>
      </c>
      <c r="P7" s="3">
        <f>IF($B7="","",INDEX(Anuncios!$AI$2:$AI$39,$B7))</f>
        <v/>
      </c>
      <c r="Q7" s="3">
        <f>IF($B7="","",INDEX(Anuncios!$BS$2:$BS$39,$B7))</f>
        <v/>
      </c>
      <c r="R7" s="3">
        <f>IF($B7="","",INDEX(Anuncios!$BX$2:$BX$39,$B7))</f>
        <v/>
      </c>
      <c r="S7" s="3">
        <f>IF($B7="","",INDEX(Anuncios!$BW$2:$BW$39,$B7))</f>
        <v/>
      </c>
      <c r="T7" s="3">
        <f>IF($B7="","",INDEX(Anuncios!$CA$2:$CA$39,$B7))</f>
        <v/>
      </c>
      <c r="U7" s="3">
        <f>IF($B7="","",INDEX(Anuncios!$AZ$2:$AZ$39,$B7))</f>
        <v/>
      </c>
      <c r="V7" s="3">
        <f>IF($B7="","",INDEX(Anuncios!$BB$2:$BB$39,$B7))</f>
        <v/>
      </c>
      <c r="W7" s="3">
        <f>IF($B7="","",INDEX(Anuncios!$BC$2:$BC$39,$B7))</f>
        <v/>
      </c>
      <c r="X7" s="3">
        <f>IF($B7="","",INDEX(Anuncios!$BG$2:$BG$39,$B7))</f>
        <v/>
      </c>
      <c r="Y7" s="3">
        <f>IF($B7="","",INDEX(Anuncios!$BH$2:$BH$39,$B7))</f>
        <v/>
      </c>
      <c r="Z7" s="3">
        <f>IF($B7="","",INDEX(Anuncios!$BL$2:$BL$39,$B7))</f>
        <v/>
      </c>
      <c r="AA7" s="3">
        <f>IF($B7="","",INDEX(Anuncios!$BM$2:$BM$39,$B7))</f>
        <v/>
      </c>
      <c r="AB7" s="3">
        <f>IF($B7="","",INDEX(Anuncios!$BR$2:$BR$39,$B7))</f>
        <v/>
      </c>
      <c r="AC7" s="3">
        <f>IF($B7="","",INDEX(Anuncios!$BT$2:$BT$39,$B7))</f>
        <v/>
      </c>
      <c r="AD7" s="3">
        <f>IF($B7="","",INDEX(Anuncios!$BU$2:$BU$39,$B7))</f>
        <v/>
      </c>
      <c r="AE7" s="3">
        <f>IF($B7="","",INDEX(Anuncios!$AO$2:$AO$39,$B7))</f>
        <v/>
      </c>
      <c r="AF7" s="3">
        <f>IF($B7="","",X7*W_FIAB)</f>
        <v/>
      </c>
      <c r="AG7" s="3">
        <f>IF($B7="","",Y7*W_PRECIO)</f>
        <v/>
      </c>
      <c r="AH7" s="3">
        <f>IF($B7="","",Z7*W_KMEDAD)</f>
        <v/>
      </c>
      <c r="AI7" s="3">
        <f>IF($B7="","",AA7*W_ANUNCIO)</f>
        <v/>
      </c>
      <c r="AJ7" s="3">
        <f>IF($B7="","",AB7*W_USO)</f>
        <v/>
      </c>
      <c r="AK7" s="3">
        <f>IF($B7="","",AC7*W_SEGURIDAD)</f>
        <v/>
      </c>
    </row>
    <row r="8">
      <c r="A8" s="2" t="n">
        <v>7</v>
      </c>
      <c r="B8" s="3">
        <f>IFERROR(MATCH(A8,Anuncios!$CD$2:$CD$39,0),"")</f>
        <v/>
      </c>
      <c r="C8" s="3">
        <f>IF(B8="","",HYPERLINK(INDEX(Anuncios!$C$2:$C$39,B8),"Abrir anuncio"))</f>
        <v/>
      </c>
      <c r="D8" s="3">
        <f>IF($B8="","",INDEX(Anuncios!$D$2:$D$39,$B8))</f>
        <v/>
      </c>
      <c r="E8" s="3">
        <f>IF($B8="","",INDEX(Anuncios!$B$2:$B$39,$B8))</f>
        <v/>
      </c>
      <c r="F8" s="3">
        <f>IF($B8="","",INDEX(Anuncios!$E$2:$E$39,$B8))</f>
        <v/>
      </c>
      <c r="G8" s="3">
        <f>IF($B8="","",INDEX(Anuncios!$F$2:$F$39,$B8))</f>
        <v/>
      </c>
      <c r="H8" s="3">
        <f>IF($B8="","",INDEX(Anuncios!$G$2:$G$39,$B8))</f>
        <v/>
      </c>
      <c r="I8" s="3">
        <f>IF($B8="","",INDEX(Anuncios!$K$2:$K$39,$B8))</f>
        <v/>
      </c>
      <c r="J8" s="3">
        <f>IF($B8="","",INDEX(Anuncios!$M$2:$M$39,$B8))</f>
        <v/>
      </c>
      <c r="K8" s="3">
        <f>IF($B8="","",INDEX(Anuncios!$N$2:$N$39,$B8))</f>
        <v/>
      </c>
      <c r="L8" s="3">
        <f>IF($B8="","",INDEX(Anuncios!$Q$2:$Q$39,$B8))</f>
        <v/>
      </c>
      <c r="M8" s="3">
        <f>IF($B8="","",INDEX(Anuncios!$R$2:$R$39,$B8))</f>
        <v/>
      </c>
      <c r="N8" s="3">
        <f>IF($B8="","",INDEX(Anuncios!$O$2:$O$39,$B8))</f>
        <v/>
      </c>
      <c r="O8" s="3">
        <f>IF($B8="","",INDEX(Anuncios!$AJ$2:$AJ$39,$B8))</f>
        <v/>
      </c>
      <c r="P8" s="3">
        <f>IF($B8="","",INDEX(Anuncios!$AI$2:$AI$39,$B8))</f>
        <v/>
      </c>
      <c r="Q8" s="3">
        <f>IF($B8="","",INDEX(Anuncios!$BS$2:$BS$39,$B8))</f>
        <v/>
      </c>
      <c r="R8" s="3">
        <f>IF($B8="","",INDEX(Anuncios!$BX$2:$BX$39,$B8))</f>
        <v/>
      </c>
      <c r="S8" s="3">
        <f>IF($B8="","",INDEX(Anuncios!$BW$2:$BW$39,$B8))</f>
        <v/>
      </c>
      <c r="T8" s="3">
        <f>IF($B8="","",INDEX(Anuncios!$CA$2:$CA$39,$B8))</f>
        <v/>
      </c>
      <c r="U8" s="3">
        <f>IF($B8="","",INDEX(Anuncios!$AZ$2:$AZ$39,$B8))</f>
        <v/>
      </c>
      <c r="V8" s="3">
        <f>IF($B8="","",INDEX(Anuncios!$BB$2:$BB$39,$B8))</f>
        <v/>
      </c>
      <c r="W8" s="3">
        <f>IF($B8="","",INDEX(Anuncios!$BC$2:$BC$39,$B8))</f>
        <v/>
      </c>
      <c r="X8" s="3">
        <f>IF($B8="","",INDEX(Anuncios!$BG$2:$BG$39,$B8))</f>
        <v/>
      </c>
      <c r="Y8" s="3">
        <f>IF($B8="","",INDEX(Anuncios!$BH$2:$BH$39,$B8))</f>
        <v/>
      </c>
      <c r="Z8" s="3">
        <f>IF($B8="","",INDEX(Anuncios!$BL$2:$BL$39,$B8))</f>
        <v/>
      </c>
      <c r="AA8" s="3">
        <f>IF($B8="","",INDEX(Anuncios!$BM$2:$BM$39,$B8))</f>
        <v/>
      </c>
      <c r="AB8" s="3">
        <f>IF($B8="","",INDEX(Anuncios!$BR$2:$BR$39,$B8))</f>
        <v/>
      </c>
      <c r="AC8" s="3">
        <f>IF($B8="","",INDEX(Anuncios!$BT$2:$BT$39,$B8))</f>
        <v/>
      </c>
      <c r="AD8" s="3">
        <f>IF($B8="","",INDEX(Anuncios!$BU$2:$BU$39,$B8))</f>
        <v/>
      </c>
      <c r="AE8" s="3">
        <f>IF($B8="","",INDEX(Anuncios!$AO$2:$AO$39,$B8))</f>
        <v/>
      </c>
      <c r="AF8" s="3">
        <f>IF($B8="","",X8*W_FIAB)</f>
        <v/>
      </c>
      <c r="AG8" s="3">
        <f>IF($B8="","",Y8*W_PRECIO)</f>
        <v/>
      </c>
      <c r="AH8" s="3">
        <f>IF($B8="","",Z8*W_KMEDAD)</f>
        <v/>
      </c>
      <c r="AI8" s="3">
        <f>IF($B8="","",AA8*W_ANUNCIO)</f>
        <v/>
      </c>
      <c r="AJ8" s="3">
        <f>IF($B8="","",AB8*W_USO)</f>
        <v/>
      </c>
      <c r="AK8" s="3">
        <f>IF($B8="","",AC8*W_SEGURIDAD)</f>
        <v/>
      </c>
    </row>
    <row r="9">
      <c r="A9" s="2" t="n">
        <v>8</v>
      </c>
      <c r="B9" s="3">
        <f>IFERROR(MATCH(A9,Anuncios!$CD$2:$CD$39,0),"")</f>
        <v/>
      </c>
      <c r="C9" s="3">
        <f>IF(B9="","",HYPERLINK(INDEX(Anuncios!$C$2:$C$39,B9),"Abrir anuncio"))</f>
        <v/>
      </c>
      <c r="D9" s="3">
        <f>IF($B9="","",INDEX(Anuncios!$D$2:$D$39,$B9))</f>
        <v/>
      </c>
      <c r="E9" s="3">
        <f>IF($B9="","",INDEX(Anuncios!$B$2:$B$39,$B9))</f>
        <v/>
      </c>
      <c r="F9" s="3">
        <f>IF($B9="","",INDEX(Anuncios!$E$2:$E$39,$B9))</f>
        <v/>
      </c>
      <c r="G9" s="3">
        <f>IF($B9="","",INDEX(Anuncios!$F$2:$F$39,$B9))</f>
        <v/>
      </c>
      <c r="H9" s="3">
        <f>IF($B9="","",INDEX(Anuncios!$G$2:$G$39,$B9))</f>
        <v/>
      </c>
      <c r="I9" s="3">
        <f>IF($B9="","",INDEX(Anuncios!$K$2:$K$39,$B9))</f>
        <v/>
      </c>
      <c r="J9" s="3">
        <f>IF($B9="","",INDEX(Anuncios!$M$2:$M$39,$B9))</f>
        <v/>
      </c>
      <c r="K9" s="3">
        <f>IF($B9="","",INDEX(Anuncios!$N$2:$N$39,$B9))</f>
        <v/>
      </c>
      <c r="L9" s="3">
        <f>IF($B9="","",INDEX(Anuncios!$Q$2:$Q$39,$B9))</f>
        <v/>
      </c>
      <c r="M9" s="3">
        <f>IF($B9="","",INDEX(Anuncios!$R$2:$R$39,$B9))</f>
        <v/>
      </c>
      <c r="N9" s="3">
        <f>IF($B9="","",INDEX(Anuncios!$O$2:$O$39,$B9))</f>
        <v/>
      </c>
      <c r="O9" s="3">
        <f>IF($B9="","",INDEX(Anuncios!$AJ$2:$AJ$39,$B9))</f>
        <v/>
      </c>
      <c r="P9" s="3">
        <f>IF($B9="","",INDEX(Anuncios!$AI$2:$AI$39,$B9))</f>
        <v/>
      </c>
      <c r="Q9" s="3">
        <f>IF($B9="","",INDEX(Anuncios!$BS$2:$BS$39,$B9))</f>
        <v/>
      </c>
      <c r="R9" s="3">
        <f>IF($B9="","",INDEX(Anuncios!$BX$2:$BX$39,$B9))</f>
        <v/>
      </c>
      <c r="S9" s="3">
        <f>IF($B9="","",INDEX(Anuncios!$BW$2:$BW$39,$B9))</f>
        <v/>
      </c>
      <c r="T9" s="3">
        <f>IF($B9="","",INDEX(Anuncios!$CA$2:$CA$39,$B9))</f>
        <v/>
      </c>
      <c r="U9" s="3">
        <f>IF($B9="","",INDEX(Anuncios!$AZ$2:$AZ$39,$B9))</f>
        <v/>
      </c>
      <c r="V9" s="3">
        <f>IF($B9="","",INDEX(Anuncios!$BB$2:$BB$39,$B9))</f>
        <v/>
      </c>
      <c r="W9" s="3">
        <f>IF($B9="","",INDEX(Anuncios!$BC$2:$BC$39,$B9))</f>
        <v/>
      </c>
      <c r="X9" s="3">
        <f>IF($B9="","",INDEX(Anuncios!$BG$2:$BG$39,$B9))</f>
        <v/>
      </c>
      <c r="Y9" s="3">
        <f>IF($B9="","",INDEX(Anuncios!$BH$2:$BH$39,$B9))</f>
        <v/>
      </c>
      <c r="Z9" s="3">
        <f>IF($B9="","",INDEX(Anuncios!$BL$2:$BL$39,$B9))</f>
        <v/>
      </c>
      <c r="AA9" s="3">
        <f>IF($B9="","",INDEX(Anuncios!$BM$2:$BM$39,$B9))</f>
        <v/>
      </c>
      <c r="AB9" s="3">
        <f>IF($B9="","",INDEX(Anuncios!$BR$2:$BR$39,$B9))</f>
        <v/>
      </c>
      <c r="AC9" s="3">
        <f>IF($B9="","",INDEX(Anuncios!$BT$2:$BT$39,$B9))</f>
        <v/>
      </c>
      <c r="AD9" s="3">
        <f>IF($B9="","",INDEX(Anuncios!$BU$2:$BU$39,$B9))</f>
        <v/>
      </c>
      <c r="AE9" s="3">
        <f>IF($B9="","",INDEX(Anuncios!$AO$2:$AO$39,$B9))</f>
        <v/>
      </c>
      <c r="AF9" s="3">
        <f>IF($B9="","",X9*W_FIAB)</f>
        <v/>
      </c>
      <c r="AG9" s="3">
        <f>IF($B9="","",Y9*W_PRECIO)</f>
        <v/>
      </c>
      <c r="AH9" s="3">
        <f>IF($B9="","",Z9*W_KMEDAD)</f>
        <v/>
      </c>
      <c r="AI9" s="3">
        <f>IF($B9="","",AA9*W_ANUNCIO)</f>
        <v/>
      </c>
      <c r="AJ9" s="3">
        <f>IF($B9="","",AB9*W_USO)</f>
        <v/>
      </c>
      <c r="AK9" s="3">
        <f>IF($B9="","",AC9*W_SEGURIDAD)</f>
        <v/>
      </c>
    </row>
    <row r="10">
      <c r="A10" s="2" t="n">
        <v>9</v>
      </c>
      <c r="B10" s="3">
        <f>IFERROR(MATCH(A10,Anuncios!$CD$2:$CD$39,0),"")</f>
        <v/>
      </c>
      <c r="C10" s="3">
        <f>IF(B10="","",HYPERLINK(INDEX(Anuncios!$C$2:$C$39,B10),"Abrir anuncio"))</f>
        <v/>
      </c>
      <c r="D10" s="3">
        <f>IF($B10="","",INDEX(Anuncios!$D$2:$D$39,$B10))</f>
        <v/>
      </c>
      <c r="E10" s="3">
        <f>IF($B10="","",INDEX(Anuncios!$B$2:$B$39,$B10))</f>
        <v/>
      </c>
      <c r="F10" s="3">
        <f>IF($B10="","",INDEX(Anuncios!$E$2:$E$39,$B10))</f>
        <v/>
      </c>
      <c r="G10" s="3">
        <f>IF($B10="","",INDEX(Anuncios!$F$2:$F$39,$B10))</f>
        <v/>
      </c>
      <c r="H10" s="3">
        <f>IF($B10="","",INDEX(Anuncios!$G$2:$G$39,$B10))</f>
        <v/>
      </c>
      <c r="I10" s="3">
        <f>IF($B10="","",INDEX(Anuncios!$K$2:$K$39,$B10))</f>
        <v/>
      </c>
      <c r="J10" s="3">
        <f>IF($B10="","",INDEX(Anuncios!$M$2:$M$39,$B10))</f>
        <v/>
      </c>
      <c r="K10" s="3">
        <f>IF($B10="","",INDEX(Anuncios!$N$2:$N$39,$B10))</f>
        <v/>
      </c>
      <c r="L10" s="3">
        <f>IF($B10="","",INDEX(Anuncios!$Q$2:$Q$39,$B10))</f>
        <v/>
      </c>
      <c r="M10" s="3">
        <f>IF($B10="","",INDEX(Anuncios!$R$2:$R$39,$B10))</f>
        <v/>
      </c>
      <c r="N10" s="3">
        <f>IF($B10="","",INDEX(Anuncios!$O$2:$O$39,$B10))</f>
        <v/>
      </c>
      <c r="O10" s="3">
        <f>IF($B10="","",INDEX(Anuncios!$AJ$2:$AJ$39,$B10))</f>
        <v/>
      </c>
      <c r="P10" s="3">
        <f>IF($B10="","",INDEX(Anuncios!$AI$2:$AI$39,$B10))</f>
        <v/>
      </c>
      <c r="Q10" s="3">
        <f>IF($B10="","",INDEX(Anuncios!$BS$2:$BS$39,$B10))</f>
        <v/>
      </c>
      <c r="R10" s="3">
        <f>IF($B10="","",INDEX(Anuncios!$BX$2:$BX$39,$B10))</f>
        <v/>
      </c>
      <c r="S10" s="3">
        <f>IF($B10="","",INDEX(Anuncios!$BW$2:$BW$39,$B10))</f>
        <v/>
      </c>
      <c r="T10" s="3">
        <f>IF($B10="","",INDEX(Anuncios!$CA$2:$CA$39,$B10))</f>
        <v/>
      </c>
      <c r="U10" s="3">
        <f>IF($B10="","",INDEX(Anuncios!$AZ$2:$AZ$39,$B10))</f>
        <v/>
      </c>
      <c r="V10" s="3">
        <f>IF($B10="","",INDEX(Anuncios!$BB$2:$BB$39,$B10))</f>
        <v/>
      </c>
      <c r="W10" s="3">
        <f>IF($B10="","",INDEX(Anuncios!$BC$2:$BC$39,$B10))</f>
        <v/>
      </c>
      <c r="X10" s="3">
        <f>IF($B10="","",INDEX(Anuncios!$BG$2:$BG$39,$B10))</f>
        <v/>
      </c>
      <c r="Y10" s="3">
        <f>IF($B10="","",INDEX(Anuncios!$BH$2:$BH$39,$B10))</f>
        <v/>
      </c>
      <c r="Z10" s="3">
        <f>IF($B10="","",INDEX(Anuncios!$BL$2:$BL$39,$B10))</f>
        <v/>
      </c>
      <c r="AA10" s="3">
        <f>IF($B10="","",INDEX(Anuncios!$BM$2:$BM$39,$B10))</f>
        <v/>
      </c>
      <c r="AB10" s="3">
        <f>IF($B10="","",INDEX(Anuncios!$BR$2:$BR$39,$B10))</f>
        <v/>
      </c>
      <c r="AC10" s="3">
        <f>IF($B10="","",INDEX(Anuncios!$BT$2:$BT$39,$B10))</f>
        <v/>
      </c>
      <c r="AD10" s="3">
        <f>IF($B10="","",INDEX(Anuncios!$BU$2:$BU$39,$B10))</f>
        <v/>
      </c>
      <c r="AE10" s="3">
        <f>IF($B10="","",INDEX(Anuncios!$AO$2:$AO$39,$B10))</f>
        <v/>
      </c>
      <c r="AF10" s="3">
        <f>IF($B10="","",X10*W_FIAB)</f>
        <v/>
      </c>
      <c r="AG10" s="3">
        <f>IF($B10="","",Y10*W_PRECIO)</f>
        <v/>
      </c>
      <c r="AH10" s="3">
        <f>IF($B10="","",Z10*W_KMEDAD)</f>
        <v/>
      </c>
      <c r="AI10" s="3">
        <f>IF($B10="","",AA10*W_ANUNCIO)</f>
        <v/>
      </c>
      <c r="AJ10" s="3">
        <f>IF($B10="","",AB10*W_USO)</f>
        <v/>
      </c>
      <c r="AK10" s="3">
        <f>IF($B10="","",AC10*W_SEGURIDAD)</f>
        <v/>
      </c>
    </row>
    <row r="11">
      <c r="A11" s="2" t="n">
        <v>10</v>
      </c>
      <c r="B11" s="3">
        <f>IFERROR(MATCH(A11,Anuncios!$CD$2:$CD$39,0),"")</f>
        <v/>
      </c>
      <c r="C11" s="3">
        <f>IF(B11="","",HYPERLINK(INDEX(Anuncios!$C$2:$C$39,B11),"Abrir anuncio"))</f>
        <v/>
      </c>
      <c r="D11" s="3">
        <f>IF($B11="","",INDEX(Anuncios!$D$2:$D$39,$B11))</f>
        <v/>
      </c>
      <c r="E11" s="3">
        <f>IF($B11="","",INDEX(Anuncios!$B$2:$B$39,$B11))</f>
        <v/>
      </c>
      <c r="F11" s="3">
        <f>IF($B11="","",INDEX(Anuncios!$E$2:$E$39,$B11))</f>
        <v/>
      </c>
      <c r="G11" s="3">
        <f>IF($B11="","",INDEX(Anuncios!$F$2:$F$39,$B11))</f>
        <v/>
      </c>
      <c r="H11" s="3">
        <f>IF($B11="","",INDEX(Anuncios!$G$2:$G$39,$B11))</f>
        <v/>
      </c>
      <c r="I11" s="3">
        <f>IF($B11="","",INDEX(Anuncios!$K$2:$K$39,$B11))</f>
        <v/>
      </c>
      <c r="J11" s="3">
        <f>IF($B11="","",INDEX(Anuncios!$M$2:$M$39,$B11))</f>
        <v/>
      </c>
      <c r="K11" s="3">
        <f>IF($B11="","",INDEX(Anuncios!$N$2:$N$39,$B11))</f>
        <v/>
      </c>
      <c r="L11" s="3">
        <f>IF($B11="","",INDEX(Anuncios!$Q$2:$Q$39,$B11))</f>
        <v/>
      </c>
      <c r="M11" s="3">
        <f>IF($B11="","",INDEX(Anuncios!$R$2:$R$39,$B11))</f>
        <v/>
      </c>
      <c r="N11" s="3">
        <f>IF($B11="","",INDEX(Anuncios!$O$2:$O$39,$B11))</f>
        <v/>
      </c>
      <c r="O11" s="3">
        <f>IF($B11="","",INDEX(Anuncios!$AJ$2:$AJ$39,$B11))</f>
        <v/>
      </c>
      <c r="P11" s="3">
        <f>IF($B11="","",INDEX(Anuncios!$AI$2:$AI$39,$B11))</f>
        <v/>
      </c>
      <c r="Q11" s="3">
        <f>IF($B11="","",INDEX(Anuncios!$BS$2:$BS$39,$B11))</f>
        <v/>
      </c>
      <c r="R11" s="3">
        <f>IF($B11="","",INDEX(Anuncios!$BX$2:$BX$39,$B11))</f>
        <v/>
      </c>
      <c r="S11" s="3">
        <f>IF($B11="","",INDEX(Anuncios!$BW$2:$BW$39,$B11))</f>
        <v/>
      </c>
      <c r="T11" s="3">
        <f>IF($B11="","",INDEX(Anuncios!$CA$2:$CA$39,$B11))</f>
        <v/>
      </c>
      <c r="U11" s="3">
        <f>IF($B11="","",INDEX(Anuncios!$AZ$2:$AZ$39,$B11))</f>
        <v/>
      </c>
      <c r="V11" s="3">
        <f>IF($B11="","",INDEX(Anuncios!$BB$2:$BB$39,$B11))</f>
        <v/>
      </c>
      <c r="W11" s="3">
        <f>IF($B11="","",INDEX(Anuncios!$BC$2:$BC$39,$B11))</f>
        <v/>
      </c>
      <c r="X11" s="3">
        <f>IF($B11="","",INDEX(Anuncios!$BG$2:$BG$39,$B11))</f>
        <v/>
      </c>
      <c r="Y11" s="3">
        <f>IF($B11="","",INDEX(Anuncios!$BH$2:$BH$39,$B11))</f>
        <v/>
      </c>
      <c r="Z11" s="3">
        <f>IF($B11="","",INDEX(Anuncios!$BL$2:$BL$39,$B11))</f>
        <v/>
      </c>
      <c r="AA11" s="3">
        <f>IF($B11="","",INDEX(Anuncios!$BM$2:$BM$39,$B11))</f>
        <v/>
      </c>
      <c r="AB11" s="3">
        <f>IF($B11="","",INDEX(Anuncios!$BR$2:$BR$39,$B11))</f>
        <v/>
      </c>
      <c r="AC11" s="3">
        <f>IF($B11="","",INDEX(Anuncios!$BT$2:$BT$39,$B11))</f>
        <v/>
      </c>
      <c r="AD11" s="3">
        <f>IF($B11="","",INDEX(Anuncios!$BU$2:$BU$39,$B11))</f>
        <v/>
      </c>
      <c r="AE11" s="3">
        <f>IF($B11="","",INDEX(Anuncios!$AO$2:$AO$39,$B11))</f>
        <v/>
      </c>
      <c r="AF11" s="3">
        <f>IF($B11="","",X11*W_FIAB)</f>
        <v/>
      </c>
      <c r="AG11" s="3">
        <f>IF($B11="","",Y11*W_PRECIO)</f>
        <v/>
      </c>
      <c r="AH11" s="3">
        <f>IF($B11="","",Z11*W_KMEDAD)</f>
        <v/>
      </c>
      <c r="AI11" s="3">
        <f>IF($B11="","",AA11*W_ANUNCIO)</f>
        <v/>
      </c>
      <c r="AJ11" s="3">
        <f>IF($B11="","",AB11*W_USO)</f>
        <v/>
      </c>
      <c r="AK11" s="3">
        <f>IF($B11="","",AC11*W_SEGURIDAD)</f>
        <v/>
      </c>
    </row>
    <row r="12">
      <c r="A12" s="2" t="n">
        <v>11</v>
      </c>
      <c r="B12" s="3">
        <f>IFERROR(MATCH(A12,Anuncios!$CD$2:$CD$39,0),"")</f>
        <v/>
      </c>
      <c r="C12" s="3">
        <f>IF(B12="","",HYPERLINK(INDEX(Anuncios!$C$2:$C$39,B12),"Abrir anuncio"))</f>
        <v/>
      </c>
      <c r="D12" s="3">
        <f>IF($B12="","",INDEX(Anuncios!$D$2:$D$39,$B12))</f>
        <v/>
      </c>
      <c r="E12" s="3">
        <f>IF($B12="","",INDEX(Anuncios!$B$2:$B$39,$B12))</f>
        <v/>
      </c>
      <c r="F12" s="3">
        <f>IF($B12="","",INDEX(Anuncios!$E$2:$E$39,$B12))</f>
        <v/>
      </c>
      <c r="G12" s="3">
        <f>IF($B12="","",INDEX(Anuncios!$F$2:$F$39,$B12))</f>
        <v/>
      </c>
      <c r="H12" s="3">
        <f>IF($B12="","",INDEX(Anuncios!$G$2:$G$39,$B12))</f>
        <v/>
      </c>
      <c r="I12" s="3">
        <f>IF($B12="","",INDEX(Anuncios!$K$2:$K$39,$B12))</f>
        <v/>
      </c>
      <c r="J12" s="3">
        <f>IF($B12="","",INDEX(Anuncios!$M$2:$M$39,$B12))</f>
        <v/>
      </c>
      <c r="K12" s="3">
        <f>IF($B12="","",INDEX(Anuncios!$N$2:$N$39,$B12))</f>
        <v/>
      </c>
      <c r="L12" s="3">
        <f>IF($B12="","",INDEX(Anuncios!$Q$2:$Q$39,$B12))</f>
        <v/>
      </c>
      <c r="M12" s="3">
        <f>IF($B12="","",INDEX(Anuncios!$R$2:$R$39,$B12))</f>
        <v/>
      </c>
      <c r="N12" s="3">
        <f>IF($B12="","",INDEX(Anuncios!$O$2:$O$39,$B12))</f>
        <v/>
      </c>
      <c r="O12" s="3">
        <f>IF($B12="","",INDEX(Anuncios!$AJ$2:$AJ$39,$B12))</f>
        <v/>
      </c>
      <c r="P12" s="3">
        <f>IF($B12="","",INDEX(Anuncios!$AI$2:$AI$39,$B12))</f>
        <v/>
      </c>
      <c r="Q12" s="3">
        <f>IF($B12="","",INDEX(Anuncios!$BS$2:$BS$39,$B12))</f>
        <v/>
      </c>
      <c r="R12" s="3">
        <f>IF($B12="","",INDEX(Anuncios!$BX$2:$BX$39,$B12))</f>
        <v/>
      </c>
      <c r="S12" s="3">
        <f>IF($B12="","",INDEX(Anuncios!$BW$2:$BW$39,$B12))</f>
        <v/>
      </c>
      <c r="T12" s="3">
        <f>IF($B12="","",INDEX(Anuncios!$CA$2:$CA$39,$B12))</f>
        <v/>
      </c>
      <c r="U12" s="3">
        <f>IF($B12="","",INDEX(Anuncios!$AZ$2:$AZ$39,$B12))</f>
        <v/>
      </c>
      <c r="V12" s="3">
        <f>IF($B12="","",INDEX(Anuncios!$BB$2:$BB$39,$B12))</f>
        <v/>
      </c>
      <c r="W12" s="3">
        <f>IF($B12="","",INDEX(Anuncios!$BC$2:$BC$39,$B12))</f>
        <v/>
      </c>
      <c r="X12" s="3">
        <f>IF($B12="","",INDEX(Anuncios!$BG$2:$BG$39,$B12))</f>
        <v/>
      </c>
      <c r="Y12" s="3">
        <f>IF($B12="","",INDEX(Anuncios!$BH$2:$BH$39,$B12))</f>
        <v/>
      </c>
      <c r="Z12" s="3">
        <f>IF($B12="","",INDEX(Anuncios!$BL$2:$BL$39,$B12))</f>
        <v/>
      </c>
      <c r="AA12" s="3">
        <f>IF($B12="","",INDEX(Anuncios!$BM$2:$BM$39,$B12))</f>
        <v/>
      </c>
      <c r="AB12" s="3">
        <f>IF($B12="","",INDEX(Anuncios!$BR$2:$BR$39,$B12))</f>
        <v/>
      </c>
      <c r="AC12" s="3">
        <f>IF($B12="","",INDEX(Anuncios!$BT$2:$BT$39,$B12))</f>
        <v/>
      </c>
      <c r="AD12" s="3">
        <f>IF($B12="","",INDEX(Anuncios!$BU$2:$BU$39,$B12))</f>
        <v/>
      </c>
      <c r="AE12" s="3">
        <f>IF($B12="","",INDEX(Anuncios!$AO$2:$AO$39,$B12))</f>
        <v/>
      </c>
      <c r="AF12" s="3">
        <f>IF($B12="","",X12*W_FIAB)</f>
        <v/>
      </c>
      <c r="AG12" s="3">
        <f>IF($B12="","",Y12*W_PRECIO)</f>
        <v/>
      </c>
      <c r="AH12" s="3">
        <f>IF($B12="","",Z12*W_KMEDAD)</f>
        <v/>
      </c>
      <c r="AI12" s="3">
        <f>IF($B12="","",AA12*W_ANUNCIO)</f>
        <v/>
      </c>
      <c r="AJ12" s="3">
        <f>IF($B12="","",AB12*W_USO)</f>
        <v/>
      </c>
      <c r="AK12" s="3">
        <f>IF($B12="","",AC12*W_SEGURIDAD)</f>
        <v/>
      </c>
    </row>
    <row r="13">
      <c r="A13" s="2" t="n">
        <v>12</v>
      </c>
      <c r="B13" s="3">
        <f>IFERROR(MATCH(A13,Anuncios!$CD$2:$CD$39,0),"")</f>
        <v/>
      </c>
      <c r="C13" s="3">
        <f>IF(B13="","",HYPERLINK(INDEX(Anuncios!$C$2:$C$39,B13),"Abrir anuncio"))</f>
        <v/>
      </c>
      <c r="D13" s="3">
        <f>IF($B13="","",INDEX(Anuncios!$D$2:$D$39,$B13))</f>
        <v/>
      </c>
      <c r="E13" s="3">
        <f>IF($B13="","",INDEX(Anuncios!$B$2:$B$39,$B13))</f>
        <v/>
      </c>
      <c r="F13" s="3">
        <f>IF($B13="","",INDEX(Anuncios!$E$2:$E$39,$B13))</f>
        <v/>
      </c>
      <c r="G13" s="3">
        <f>IF($B13="","",INDEX(Anuncios!$F$2:$F$39,$B13))</f>
        <v/>
      </c>
      <c r="H13" s="3">
        <f>IF($B13="","",INDEX(Anuncios!$G$2:$G$39,$B13))</f>
        <v/>
      </c>
      <c r="I13" s="3">
        <f>IF($B13="","",INDEX(Anuncios!$K$2:$K$39,$B13))</f>
        <v/>
      </c>
      <c r="J13" s="3">
        <f>IF($B13="","",INDEX(Anuncios!$M$2:$M$39,$B13))</f>
        <v/>
      </c>
      <c r="K13" s="3">
        <f>IF($B13="","",INDEX(Anuncios!$N$2:$N$39,$B13))</f>
        <v/>
      </c>
      <c r="L13" s="3">
        <f>IF($B13="","",INDEX(Anuncios!$Q$2:$Q$39,$B13))</f>
        <v/>
      </c>
      <c r="M13" s="3">
        <f>IF($B13="","",INDEX(Anuncios!$R$2:$R$39,$B13))</f>
        <v/>
      </c>
      <c r="N13" s="3">
        <f>IF($B13="","",INDEX(Anuncios!$O$2:$O$39,$B13))</f>
        <v/>
      </c>
      <c r="O13" s="3">
        <f>IF($B13="","",INDEX(Anuncios!$AJ$2:$AJ$39,$B13))</f>
        <v/>
      </c>
      <c r="P13" s="3">
        <f>IF($B13="","",INDEX(Anuncios!$AI$2:$AI$39,$B13))</f>
        <v/>
      </c>
      <c r="Q13" s="3">
        <f>IF($B13="","",INDEX(Anuncios!$BS$2:$BS$39,$B13))</f>
        <v/>
      </c>
      <c r="R13" s="3">
        <f>IF($B13="","",INDEX(Anuncios!$BX$2:$BX$39,$B13))</f>
        <v/>
      </c>
      <c r="S13" s="3">
        <f>IF($B13="","",INDEX(Anuncios!$BW$2:$BW$39,$B13))</f>
        <v/>
      </c>
      <c r="T13" s="3">
        <f>IF($B13="","",INDEX(Anuncios!$CA$2:$CA$39,$B13))</f>
        <v/>
      </c>
      <c r="U13" s="3">
        <f>IF($B13="","",INDEX(Anuncios!$AZ$2:$AZ$39,$B13))</f>
        <v/>
      </c>
      <c r="V13" s="3">
        <f>IF($B13="","",INDEX(Anuncios!$BB$2:$BB$39,$B13))</f>
        <v/>
      </c>
      <c r="W13" s="3">
        <f>IF($B13="","",INDEX(Anuncios!$BC$2:$BC$39,$B13))</f>
        <v/>
      </c>
      <c r="X13" s="3">
        <f>IF($B13="","",INDEX(Anuncios!$BG$2:$BG$39,$B13))</f>
        <v/>
      </c>
      <c r="Y13" s="3">
        <f>IF($B13="","",INDEX(Anuncios!$BH$2:$BH$39,$B13))</f>
        <v/>
      </c>
      <c r="Z13" s="3">
        <f>IF($B13="","",INDEX(Anuncios!$BL$2:$BL$39,$B13))</f>
        <v/>
      </c>
      <c r="AA13" s="3">
        <f>IF($B13="","",INDEX(Anuncios!$BM$2:$BM$39,$B13))</f>
        <v/>
      </c>
      <c r="AB13" s="3">
        <f>IF($B13="","",INDEX(Anuncios!$BR$2:$BR$39,$B13))</f>
        <v/>
      </c>
      <c r="AC13" s="3">
        <f>IF($B13="","",INDEX(Anuncios!$BT$2:$BT$39,$B13))</f>
        <v/>
      </c>
      <c r="AD13" s="3">
        <f>IF($B13="","",INDEX(Anuncios!$BU$2:$BU$39,$B13))</f>
        <v/>
      </c>
      <c r="AE13" s="3">
        <f>IF($B13="","",INDEX(Anuncios!$AO$2:$AO$39,$B13))</f>
        <v/>
      </c>
      <c r="AF13" s="3">
        <f>IF($B13="","",X13*W_FIAB)</f>
        <v/>
      </c>
      <c r="AG13" s="3">
        <f>IF($B13="","",Y13*W_PRECIO)</f>
        <v/>
      </c>
      <c r="AH13" s="3">
        <f>IF($B13="","",Z13*W_KMEDAD)</f>
        <v/>
      </c>
      <c r="AI13" s="3">
        <f>IF($B13="","",AA13*W_ANUNCIO)</f>
        <v/>
      </c>
      <c r="AJ13" s="3">
        <f>IF($B13="","",AB13*W_USO)</f>
        <v/>
      </c>
      <c r="AK13" s="3">
        <f>IF($B13="","",AC13*W_SEGURIDAD)</f>
        <v/>
      </c>
    </row>
    <row r="14">
      <c r="A14" s="2" t="n">
        <v>13</v>
      </c>
      <c r="B14" s="3">
        <f>IFERROR(MATCH(A14,Anuncios!$CD$2:$CD$39,0),"")</f>
        <v/>
      </c>
      <c r="C14" s="3">
        <f>IF(B14="","",HYPERLINK(INDEX(Anuncios!$C$2:$C$39,B14),"Abrir anuncio"))</f>
        <v/>
      </c>
      <c r="D14" s="3">
        <f>IF($B14="","",INDEX(Anuncios!$D$2:$D$39,$B14))</f>
        <v/>
      </c>
      <c r="E14" s="3">
        <f>IF($B14="","",INDEX(Anuncios!$B$2:$B$39,$B14))</f>
        <v/>
      </c>
      <c r="F14" s="3">
        <f>IF($B14="","",INDEX(Anuncios!$E$2:$E$39,$B14))</f>
        <v/>
      </c>
      <c r="G14" s="3">
        <f>IF($B14="","",INDEX(Anuncios!$F$2:$F$39,$B14))</f>
        <v/>
      </c>
      <c r="H14" s="3">
        <f>IF($B14="","",INDEX(Anuncios!$G$2:$G$39,$B14))</f>
        <v/>
      </c>
      <c r="I14" s="3">
        <f>IF($B14="","",INDEX(Anuncios!$K$2:$K$39,$B14))</f>
        <v/>
      </c>
      <c r="J14" s="3">
        <f>IF($B14="","",INDEX(Anuncios!$M$2:$M$39,$B14))</f>
        <v/>
      </c>
      <c r="K14" s="3">
        <f>IF($B14="","",INDEX(Anuncios!$N$2:$N$39,$B14))</f>
        <v/>
      </c>
      <c r="L14" s="3">
        <f>IF($B14="","",INDEX(Anuncios!$Q$2:$Q$39,$B14))</f>
        <v/>
      </c>
      <c r="M14" s="3">
        <f>IF($B14="","",INDEX(Anuncios!$R$2:$R$39,$B14))</f>
        <v/>
      </c>
      <c r="N14" s="3">
        <f>IF($B14="","",INDEX(Anuncios!$O$2:$O$39,$B14))</f>
        <v/>
      </c>
      <c r="O14" s="3">
        <f>IF($B14="","",INDEX(Anuncios!$AJ$2:$AJ$39,$B14))</f>
        <v/>
      </c>
      <c r="P14" s="3">
        <f>IF($B14="","",INDEX(Anuncios!$AI$2:$AI$39,$B14))</f>
        <v/>
      </c>
      <c r="Q14" s="3">
        <f>IF($B14="","",INDEX(Anuncios!$BS$2:$BS$39,$B14))</f>
        <v/>
      </c>
      <c r="R14" s="3">
        <f>IF($B14="","",INDEX(Anuncios!$BX$2:$BX$39,$B14))</f>
        <v/>
      </c>
      <c r="S14" s="3">
        <f>IF($B14="","",INDEX(Anuncios!$BW$2:$BW$39,$B14))</f>
        <v/>
      </c>
      <c r="T14" s="3">
        <f>IF($B14="","",INDEX(Anuncios!$CA$2:$CA$39,$B14))</f>
        <v/>
      </c>
      <c r="U14" s="3">
        <f>IF($B14="","",INDEX(Anuncios!$AZ$2:$AZ$39,$B14))</f>
        <v/>
      </c>
      <c r="V14" s="3">
        <f>IF($B14="","",INDEX(Anuncios!$BB$2:$BB$39,$B14))</f>
        <v/>
      </c>
      <c r="W14" s="3">
        <f>IF($B14="","",INDEX(Anuncios!$BC$2:$BC$39,$B14))</f>
        <v/>
      </c>
      <c r="X14" s="3">
        <f>IF($B14="","",INDEX(Anuncios!$BG$2:$BG$39,$B14))</f>
        <v/>
      </c>
      <c r="Y14" s="3">
        <f>IF($B14="","",INDEX(Anuncios!$BH$2:$BH$39,$B14))</f>
        <v/>
      </c>
      <c r="Z14" s="3">
        <f>IF($B14="","",INDEX(Anuncios!$BL$2:$BL$39,$B14))</f>
        <v/>
      </c>
      <c r="AA14" s="3">
        <f>IF($B14="","",INDEX(Anuncios!$BM$2:$BM$39,$B14))</f>
        <v/>
      </c>
      <c r="AB14" s="3">
        <f>IF($B14="","",INDEX(Anuncios!$BR$2:$BR$39,$B14))</f>
        <v/>
      </c>
      <c r="AC14" s="3">
        <f>IF($B14="","",INDEX(Anuncios!$BT$2:$BT$39,$B14))</f>
        <v/>
      </c>
      <c r="AD14" s="3">
        <f>IF($B14="","",INDEX(Anuncios!$BU$2:$BU$39,$B14))</f>
        <v/>
      </c>
      <c r="AE14" s="3">
        <f>IF($B14="","",INDEX(Anuncios!$AO$2:$AO$39,$B14))</f>
        <v/>
      </c>
      <c r="AF14" s="3">
        <f>IF($B14="","",X14*W_FIAB)</f>
        <v/>
      </c>
      <c r="AG14" s="3">
        <f>IF($B14="","",Y14*W_PRECIO)</f>
        <v/>
      </c>
      <c r="AH14" s="3">
        <f>IF($B14="","",Z14*W_KMEDAD)</f>
        <v/>
      </c>
      <c r="AI14" s="3">
        <f>IF($B14="","",AA14*W_ANUNCIO)</f>
        <v/>
      </c>
      <c r="AJ14" s="3">
        <f>IF($B14="","",AB14*W_USO)</f>
        <v/>
      </c>
      <c r="AK14" s="3">
        <f>IF($B14="","",AC14*W_SEGURIDAD)</f>
        <v/>
      </c>
    </row>
    <row r="15">
      <c r="A15" s="2" t="n">
        <v>14</v>
      </c>
      <c r="B15" s="3">
        <f>IFERROR(MATCH(A15,Anuncios!$CD$2:$CD$39,0),"")</f>
        <v/>
      </c>
      <c r="C15" s="3">
        <f>IF(B15="","",HYPERLINK(INDEX(Anuncios!$C$2:$C$39,B15),"Abrir anuncio"))</f>
        <v/>
      </c>
      <c r="D15" s="3">
        <f>IF($B15="","",INDEX(Anuncios!$D$2:$D$39,$B15))</f>
        <v/>
      </c>
      <c r="E15" s="3">
        <f>IF($B15="","",INDEX(Anuncios!$B$2:$B$39,$B15))</f>
        <v/>
      </c>
      <c r="F15" s="3">
        <f>IF($B15="","",INDEX(Anuncios!$E$2:$E$39,$B15))</f>
        <v/>
      </c>
      <c r="G15" s="3">
        <f>IF($B15="","",INDEX(Anuncios!$F$2:$F$39,$B15))</f>
        <v/>
      </c>
      <c r="H15" s="3">
        <f>IF($B15="","",INDEX(Anuncios!$G$2:$G$39,$B15))</f>
        <v/>
      </c>
      <c r="I15" s="3">
        <f>IF($B15="","",INDEX(Anuncios!$K$2:$K$39,$B15))</f>
        <v/>
      </c>
      <c r="J15" s="3">
        <f>IF($B15="","",INDEX(Anuncios!$M$2:$M$39,$B15))</f>
        <v/>
      </c>
      <c r="K15" s="3">
        <f>IF($B15="","",INDEX(Anuncios!$N$2:$N$39,$B15))</f>
        <v/>
      </c>
      <c r="L15" s="3">
        <f>IF($B15="","",INDEX(Anuncios!$Q$2:$Q$39,$B15))</f>
        <v/>
      </c>
      <c r="M15" s="3">
        <f>IF($B15="","",INDEX(Anuncios!$R$2:$R$39,$B15))</f>
        <v/>
      </c>
      <c r="N15" s="3">
        <f>IF($B15="","",INDEX(Anuncios!$O$2:$O$39,$B15))</f>
        <v/>
      </c>
      <c r="O15" s="3">
        <f>IF($B15="","",INDEX(Anuncios!$AJ$2:$AJ$39,$B15))</f>
        <v/>
      </c>
      <c r="P15" s="3">
        <f>IF($B15="","",INDEX(Anuncios!$AI$2:$AI$39,$B15))</f>
        <v/>
      </c>
      <c r="Q15" s="3">
        <f>IF($B15="","",INDEX(Anuncios!$BS$2:$BS$39,$B15))</f>
        <v/>
      </c>
      <c r="R15" s="3">
        <f>IF($B15="","",INDEX(Anuncios!$BX$2:$BX$39,$B15))</f>
        <v/>
      </c>
      <c r="S15" s="3">
        <f>IF($B15="","",INDEX(Anuncios!$BW$2:$BW$39,$B15))</f>
        <v/>
      </c>
      <c r="T15" s="3">
        <f>IF($B15="","",INDEX(Anuncios!$CA$2:$CA$39,$B15))</f>
        <v/>
      </c>
      <c r="U15" s="3">
        <f>IF($B15="","",INDEX(Anuncios!$AZ$2:$AZ$39,$B15))</f>
        <v/>
      </c>
      <c r="V15" s="3">
        <f>IF($B15="","",INDEX(Anuncios!$BB$2:$BB$39,$B15))</f>
        <v/>
      </c>
      <c r="W15" s="3">
        <f>IF($B15="","",INDEX(Anuncios!$BC$2:$BC$39,$B15))</f>
        <v/>
      </c>
      <c r="X15" s="3">
        <f>IF($B15="","",INDEX(Anuncios!$BG$2:$BG$39,$B15))</f>
        <v/>
      </c>
      <c r="Y15" s="3">
        <f>IF($B15="","",INDEX(Anuncios!$BH$2:$BH$39,$B15))</f>
        <v/>
      </c>
      <c r="Z15" s="3">
        <f>IF($B15="","",INDEX(Anuncios!$BL$2:$BL$39,$B15))</f>
        <v/>
      </c>
      <c r="AA15" s="3">
        <f>IF($B15="","",INDEX(Anuncios!$BM$2:$BM$39,$B15))</f>
        <v/>
      </c>
      <c r="AB15" s="3">
        <f>IF($B15="","",INDEX(Anuncios!$BR$2:$BR$39,$B15))</f>
        <v/>
      </c>
      <c r="AC15" s="3">
        <f>IF($B15="","",INDEX(Anuncios!$BT$2:$BT$39,$B15))</f>
        <v/>
      </c>
      <c r="AD15" s="3">
        <f>IF($B15="","",INDEX(Anuncios!$BU$2:$BU$39,$B15))</f>
        <v/>
      </c>
      <c r="AE15" s="3">
        <f>IF($B15="","",INDEX(Anuncios!$AO$2:$AO$39,$B15))</f>
        <v/>
      </c>
      <c r="AF15" s="3">
        <f>IF($B15="","",X15*W_FIAB)</f>
        <v/>
      </c>
      <c r="AG15" s="3">
        <f>IF($B15="","",Y15*W_PRECIO)</f>
        <v/>
      </c>
      <c r="AH15" s="3">
        <f>IF($B15="","",Z15*W_KMEDAD)</f>
        <v/>
      </c>
      <c r="AI15" s="3">
        <f>IF($B15="","",AA15*W_ANUNCIO)</f>
        <v/>
      </c>
      <c r="AJ15" s="3">
        <f>IF($B15="","",AB15*W_USO)</f>
        <v/>
      </c>
      <c r="AK15" s="3">
        <f>IF($B15="","",AC15*W_SEGURIDAD)</f>
        <v/>
      </c>
    </row>
    <row r="16">
      <c r="A16" s="2" t="n">
        <v>15</v>
      </c>
      <c r="B16" s="3">
        <f>IFERROR(MATCH(A16,Anuncios!$CD$2:$CD$39,0),"")</f>
        <v/>
      </c>
      <c r="C16" s="3">
        <f>IF(B16="","",HYPERLINK(INDEX(Anuncios!$C$2:$C$39,B16),"Abrir anuncio"))</f>
        <v/>
      </c>
      <c r="D16" s="3">
        <f>IF($B16="","",INDEX(Anuncios!$D$2:$D$39,$B16))</f>
        <v/>
      </c>
      <c r="E16" s="3">
        <f>IF($B16="","",INDEX(Anuncios!$B$2:$B$39,$B16))</f>
        <v/>
      </c>
      <c r="F16" s="3">
        <f>IF($B16="","",INDEX(Anuncios!$E$2:$E$39,$B16))</f>
        <v/>
      </c>
      <c r="G16" s="3">
        <f>IF($B16="","",INDEX(Anuncios!$F$2:$F$39,$B16))</f>
        <v/>
      </c>
      <c r="H16" s="3">
        <f>IF($B16="","",INDEX(Anuncios!$G$2:$G$39,$B16))</f>
        <v/>
      </c>
      <c r="I16" s="3">
        <f>IF($B16="","",INDEX(Anuncios!$K$2:$K$39,$B16))</f>
        <v/>
      </c>
      <c r="J16" s="3">
        <f>IF($B16="","",INDEX(Anuncios!$M$2:$M$39,$B16))</f>
        <v/>
      </c>
      <c r="K16" s="3">
        <f>IF($B16="","",INDEX(Anuncios!$N$2:$N$39,$B16))</f>
        <v/>
      </c>
      <c r="L16" s="3">
        <f>IF($B16="","",INDEX(Anuncios!$Q$2:$Q$39,$B16))</f>
        <v/>
      </c>
      <c r="M16" s="3">
        <f>IF($B16="","",INDEX(Anuncios!$R$2:$R$39,$B16))</f>
        <v/>
      </c>
      <c r="N16" s="3">
        <f>IF($B16="","",INDEX(Anuncios!$O$2:$O$39,$B16))</f>
        <v/>
      </c>
      <c r="O16" s="3">
        <f>IF($B16="","",INDEX(Anuncios!$AJ$2:$AJ$39,$B16))</f>
        <v/>
      </c>
      <c r="P16" s="3">
        <f>IF($B16="","",INDEX(Anuncios!$AI$2:$AI$39,$B16))</f>
        <v/>
      </c>
      <c r="Q16" s="3">
        <f>IF($B16="","",INDEX(Anuncios!$BS$2:$BS$39,$B16))</f>
        <v/>
      </c>
      <c r="R16" s="3">
        <f>IF($B16="","",INDEX(Anuncios!$BX$2:$BX$39,$B16))</f>
        <v/>
      </c>
      <c r="S16" s="3">
        <f>IF($B16="","",INDEX(Anuncios!$BW$2:$BW$39,$B16))</f>
        <v/>
      </c>
      <c r="T16" s="3">
        <f>IF($B16="","",INDEX(Anuncios!$CA$2:$CA$39,$B16))</f>
        <v/>
      </c>
      <c r="U16" s="3">
        <f>IF($B16="","",INDEX(Anuncios!$AZ$2:$AZ$39,$B16))</f>
        <v/>
      </c>
      <c r="V16" s="3">
        <f>IF($B16="","",INDEX(Anuncios!$BB$2:$BB$39,$B16))</f>
        <v/>
      </c>
      <c r="W16" s="3">
        <f>IF($B16="","",INDEX(Anuncios!$BC$2:$BC$39,$B16))</f>
        <v/>
      </c>
      <c r="X16" s="3">
        <f>IF($B16="","",INDEX(Anuncios!$BG$2:$BG$39,$B16))</f>
        <v/>
      </c>
      <c r="Y16" s="3">
        <f>IF($B16="","",INDEX(Anuncios!$BH$2:$BH$39,$B16))</f>
        <v/>
      </c>
      <c r="Z16" s="3">
        <f>IF($B16="","",INDEX(Anuncios!$BL$2:$BL$39,$B16))</f>
        <v/>
      </c>
      <c r="AA16" s="3">
        <f>IF($B16="","",INDEX(Anuncios!$BM$2:$BM$39,$B16))</f>
        <v/>
      </c>
      <c r="AB16" s="3">
        <f>IF($B16="","",INDEX(Anuncios!$BR$2:$BR$39,$B16))</f>
        <v/>
      </c>
      <c r="AC16" s="3">
        <f>IF($B16="","",INDEX(Anuncios!$BT$2:$BT$39,$B16))</f>
        <v/>
      </c>
      <c r="AD16" s="3">
        <f>IF($B16="","",INDEX(Anuncios!$BU$2:$BU$39,$B16))</f>
        <v/>
      </c>
      <c r="AE16" s="3">
        <f>IF($B16="","",INDEX(Anuncios!$AO$2:$AO$39,$B16))</f>
        <v/>
      </c>
      <c r="AF16" s="3">
        <f>IF($B16="","",X16*W_FIAB)</f>
        <v/>
      </c>
      <c r="AG16" s="3">
        <f>IF($B16="","",Y16*W_PRECIO)</f>
        <v/>
      </c>
      <c r="AH16" s="3">
        <f>IF($B16="","",Z16*W_KMEDAD)</f>
        <v/>
      </c>
      <c r="AI16" s="3">
        <f>IF($B16="","",AA16*W_ANUNCIO)</f>
        <v/>
      </c>
      <c r="AJ16" s="3">
        <f>IF($B16="","",AB16*W_USO)</f>
        <v/>
      </c>
      <c r="AK16" s="3">
        <f>IF($B16="","",AC16*W_SEGURIDAD)</f>
        <v/>
      </c>
    </row>
    <row r="17">
      <c r="A17" s="2" t="n">
        <v>16</v>
      </c>
      <c r="B17" s="3">
        <f>IFERROR(MATCH(A17,Anuncios!$CD$2:$CD$39,0),"")</f>
        <v/>
      </c>
      <c r="C17" s="3">
        <f>IF(B17="","",HYPERLINK(INDEX(Anuncios!$C$2:$C$39,B17),"Abrir anuncio"))</f>
        <v/>
      </c>
      <c r="D17" s="3">
        <f>IF($B17="","",INDEX(Anuncios!$D$2:$D$39,$B17))</f>
        <v/>
      </c>
      <c r="E17" s="3">
        <f>IF($B17="","",INDEX(Anuncios!$B$2:$B$39,$B17))</f>
        <v/>
      </c>
      <c r="F17" s="3">
        <f>IF($B17="","",INDEX(Anuncios!$E$2:$E$39,$B17))</f>
        <v/>
      </c>
      <c r="G17" s="3">
        <f>IF($B17="","",INDEX(Anuncios!$F$2:$F$39,$B17))</f>
        <v/>
      </c>
      <c r="H17" s="3">
        <f>IF($B17="","",INDEX(Anuncios!$G$2:$G$39,$B17))</f>
        <v/>
      </c>
      <c r="I17" s="3">
        <f>IF($B17="","",INDEX(Anuncios!$K$2:$K$39,$B17))</f>
        <v/>
      </c>
      <c r="J17" s="3">
        <f>IF($B17="","",INDEX(Anuncios!$M$2:$M$39,$B17))</f>
        <v/>
      </c>
      <c r="K17" s="3">
        <f>IF($B17="","",INDEX(Anuncios!$N$2:$N$39,$B17))</f>
        <v/>
      </c>
      <c r="L17" s="3">
        <f>IF($B17="","",INDEX(Anuncios!$Q$2:$Q$39,$B17))</f>
        <v/>
      </c>
      <c r="M17" s="3">
        <f>IF($B17="","",INDEX(Anuncios!$R$2:$R$39,$B17))</f>
        <v/>
      </c>
      <c r="N17" s="3">
        <f>IF($B17="","",INDEX(Anuncios!$O$2:$O$39,$B17))</f>
        <v/>
      </c>
      <c r="O17" s="3">
        <f>IF($B17="","",INDEX(Anuncios!$AJ$2:$AJ$39,$B17))</f>
        <v/>
      </c>
      <c r="P17" s="3">
        <f>IF($B17="","",INDEX(Anuncios!$AI$2:$AI$39,$B17))</f>
        <v/>
      </c>
      <c r="Q17" s="3">
        <f>IF($B17="","",INDEX(Anuncios!$BS$2:$BS$39,$B17))</f>
        <v/>
      </c>
      <c r="R17" s="3">
        <f>IF($B17="","",INDEX(Anuncios!$BX$2:$BX$39,$B17))</f>
        <v/>
      </c>
      <c r="S17" s="3">
        <f>IF($B17="","",INDEX(Anuncios!$BW$2:$BW$39,$B17))</f>
        <v/>
      </c>
      <c r="T17" s="3">
        <f>IF($B17="","",INDEX(Anuncios!$CA$2:$CA$39,$B17))</f>
        <v/>
      </c>
      <c r="U17" s="3">
        <f>IF($B17="","",INDEX(Anuncios!$AZ$2:$AZ$39,$B17))</f>
        <v/>
      </c>
      <c r="V17" s="3">
        <f>IF($B17="","",INDEX(Anuncios!$BB$2:$BB$39,$B17))</f>
        <v/>
      </c>
      <c r="W17" s="3">
        <f>IF($B17="","",INDEX(Anuncios!$BC$2:$BC$39,$B17))</f>
        <v/>
      </c>
      <c r="X17" s="3">
        <f>IF($B17="","",INDEX(Anuncios!$BG$2:$BG$39,$B17))</f>
        <v/>
      </c>
      <c r="Y17" s="3">
        <f>IF($B17="","",INDEX(Anuncios!$BH$2:$BH$39,$B17))</f>
        <v/>
      </c>
      <c r="Z17" s="3">
        <f>IF($B17="","",INDEX(Anuncios!$BL$2:$BL$39,$B17))</f>
        <v/>
      </c>
      <c r="AA17" s="3">
        <f>IF($B17="","",INDEX(Anuncios!$BM$2:$BM$39,$B17))</f>
        <v/>
      </c>
      <c r="AB17" s="3">
        <f>IF($B17="","",INDEX(Anuncios!$BR$2:$BR$39,$B17))</f>
        <v/>
      </c>
      <c r="AC17" s="3">
        <f>IF($B17="","",INDEX(Anuncios!$BT$2:$BT$39,$B17))</f>
        <v/>
      </c>
      <c r="AD17" s="3">
        <f>IF($B17="","",INDEX(Anuncios!$BU$2:$BU$39,$B17))</f>
        <v/>
      </c>
      <c r="AE17" s="3">
        <f>IF($B17="","",INDEX(Anuncios!$AO$2:$AO$39,$B17))</f>
        <v/>
      </c>
      <c r="AF17" s="3">
        <f>IF($B17="","",X17*W_FIAB)</f>
        <v/>
      </c>
      <c r="AG17" s="3">
        <f>IF($B17="","",Y17*W_PRECIO)</f>
        <v/>
      </c>
      <c r="AH17" s="3">
        <f>IF($B17="","",Z17*W_KMEDAD)</f>
        <v/>
      </c>
      <c r="AI17" s="3">
        <f>IF($B17="","",AA17*W_ANUNCIO)</f>
        <v/>
      </c>
      <c r="AJ17" s="3">
        <f>IF($B17="","",AB17*W_USO)</f>
        <v/>
      </c>
      <c r="AK17" s="3">
        <f>IF($B17="","",AC17*W_SEGURIDAD)</f>
        <v/>
      </c>
    </row>
    <row r="18">
      <c r="A18" s="2" t="n">
        <v>17</v>
      </c>
      <c r="B18" s="3">
        <f>IFERROR(MATCH(A18,Anuncios!$CD$2:$CD$39,0),"")</f>
        <v/>
      </c>
      <c r="C18" s="3">
        <f>IF(B18="","",HYPERLINK(INDEX(Anuncios!$C$2:$C$39,B18),"Abrir anuncio"))</f>
        <v/>
      </c>
      <c r="D18" s="3">
        <f>IF($B18="","",INDEX(Anuncios!$D$2:$D$39,$B18))</f>
        <v/>
      </c>
      <c r="E18" s="3">
        <f>IF($B18="","",INDEX(Anuncios!$B$2:$B$39,$B18))</f>
        <v/>
      </c>
      <c r="F18" s="3">
        <f>IF($B18="","",INDEX(Anuncios!$E$2:$E$39,$B18))</f>
        <v/>
      </c>
      <c r="G18" s="3">
        <f>IF($B18="","",INDEX(Anuncios!$F$2:$F$39,$B18))</f>
        <v/>
      </c>
      <c r="H18" s="3">
        <f>IF($B18="","",INDEX(Anuncios!$G$2:$G$39,$B18))</f>
        <v/>
      </c>
      <c r="I18" s="3">
        <f>IF($B18="","",INDEX(Anuncios!$K$2:$K$39,$B18))</f>
        <v/>
      </c>
      <c r="J18" s="3">
        <f>IF($B18="","",INDEX(Anuncios!$M$2:$M$39,$B18))</f>
        <v/>
      </c>
      <c r="K18" s="3">
        <f>IF($B18="","",INDEX(Anuncios!$N$2:$N$39,$B18))</f>
        <v/>
      </c>
      <c r="L18" s="3">
        <f>IF($B18="","",INDEX(Anuncios!$Q$2:$Q$39,$B18))</f>
        <v/>
      </c>
      <c r="M18" s="3">
        <f>IF($B18="","",INDEX(Anuncios!$R$2:$R$39,$B18))</f>
        <v/>
      </c>
      <c r="N18" s="3">
        <f>IF($B18="","",INDEX(Anuncios!$O$2:$O$39,$B18))</f>
        <v/>
      </c>
      <c r="O18" s="3">
        <f>IF($B18="","",INDEX(Anuncios!$AJ$2:$AJ$39,$B18))</f>
        <v/>
      </c>
      <c r="P18" s="3">
        <f>IF($B18="","",INDEX(Anuncios!$AI$2:$AI$39,$B18))</f>
        <v/>
      </c>
      <c r="Q18" s="3">
        <f>IF($B18="","",INDEX(Anuncios!$BS$2:$BS$39,$B18))</f>
        <v/>
      </c>
      <c r="R18" s="3">
        <f>IF($B18="","",INDEX(Anuncios!$BX$2:$BX$39,$B18))</f>
        <v/>
      </c>
      <c r="S18" s="3">
        <f>IF($B18="","",INDEX(Anuncios!$BW$2:$BW$39,$B18))</f>
        <v/>
      </c>
      <c r="T18" s="3">
        <f>IF($B18="","",INDEX(Anuncios!$CA$2:$CA$39,$B18))</f>
        <v/>
      </c>
      <c r="U18" s="3">
        <f>IF($B18="","",INDEX(Anuncios!$AZ$2:$AZ$39,$B18))</f>
        <v/>
      </c>
      <c r="V18" s="3">
        <f>IF($B18="","",INDEX(Anuncios!$BB$2:$BB$39,$B18))</f>
        <v/>
      </c>
      <c r="W18" s="3">
        <f>IF($B18="","",INDEX(Anuncios!$BC$2:$BC$39,$B18))</f>
        <v/>
      </c>
      <c r="X18" s="3">
        <f>IF($B18="","",INDEX(Anuncios!$BG$2:$BG$39,$B18))</f>
        <v/>
      </c>
      <c r="Y18" s="3">
        <f>IF($B18="","",INDEX(Anuncios!$BH$2:$BH$39,$B18))</f>
        <v/>
      </c>
      <c r="Z18" s="3">
        <f>IF($B18="","",INDEX(Anuncios!$BL$2:$BL$39,$B18))</f>
        <v/>
      </c>
      <c r="AA18" s="3">
        <f>IF($B18="","",INDEX(Anuncios!$BM$2:$BM$39,$B18))</f>
        <v/>
      </c>
      <c r="AB18" s="3">
        <f>IF($B18="","",INDEX(Anuncios!$BR$2:$BR$39,$B18))</f>
        <v/>
      </c>
      <c r="AC18" s="3">
        <f>IF($B18="","",INDEX(Anuncios!$BT$2:$BT$39,$B18))</f>
        <v/>
      </c>
      <c r="AD18" s="3">
        <f>IF($B18="","",INDEX(Anuncios!$BU$2:$BU$39,$B18))</f>
        <v/>
      </c>
      <c r="AE18" s="3">
        <f>IF($B18="","",INDEX(Anuncios!$AO$2:$AO$39,$B18))</f>
        <v/>
      </c>
      <c r="AF18" s="3">
        <f>IF($B18="","",X18*W_FIAB)</f>
        <v/>
      </c>
      <c r="AG18" s="3">
        <f>IF($B18="","",Y18*W_PRECIO)</f>
        <v/>
      </c>
      <c r="AH18" s="3">
        <f>IF($B18="","",Z18*W_KMEDAD)</f>
        <v/>
      </c>
      <c r="AI18" s="3">
        <f>IF($B18="","",AA18*W_ANUNCIO)</f>
        <v/>
      </c>
      <c r="AJ18" s="3">
        <f>IF($B18="","",AB18*W_USO)</f>
        <v/>
      </c>
      <c r="AK18" s="3">
        <f>IF($B18="","",AC18*W_SEGURIDAD)</f>
        <v/>
      </c>
    </row>
    <row r="19">
      <c r="A19" s="2" t="n">
        <v>18</v>
      </c>
      <c r="B19" s="3">
        <f>IFERROR(MATCH(A19,Anuncios!$CD$2:$CD$39,0),"")</f>
        <v/>
      </c>
      <c r="C19" s="3">
        <f>IF(B19="","",HYPERLINK(INDEX(Anuncios!$C$2:$C$39,B19),"Abrir anuncio"))</f>
        <v/>
      </c>
      <c r="D19" s="3">
        <f>IF($B19="","",INDEX(Anuncios!$D$2:$D$39,$B19))</f>
        <v/>
      </c>
      <c r="E19" s="3">
        <f>IF($B19="","",INDEX(Anuncios!$B$2:$B$39,$B19))</f>
        <v/>
      </c>
      <c r="F19" s="3">
        <f>IF($B19="","",INDEX(Anuncios!$E$2:$E$39,$B19))</f>
        <v/>
      </c>
      <c r="G19" s="3">
        <f>IF($B19="","",INDEX(Anuncios!$F$2:$F$39,$B19))</f>
        <v/>
      </c>
      <c r="H19" s="3">
        <f>IF($B19="","",INDEX(Anuncios!$G$2:$G$39,$B19))</f>
        <v/>
      </c>
      <c r="I19" s="3">
        <f>IF($B19="","",INDEX(Anuncios!$K$2:$K$39,$B19))</f>
        <v/>
      </c>
      <c r="J19" s="3">
        <f>IF($B19="","",INDEX(Anuncios!$M$2:$M$39,$B19))</f>
        <v/>
      </c>
      <c r="K19" s="3">
        <f>IF($B19="","",INDEX(Anuncios!$N$2:$N$39,$B19))</f>
        <v/>
      </c>
      <c r="L19" s="3">
        <f>IF($B19="","",INDEX(Anuncios!$Q$2:$Q$39,$B19))</f>
        <v/>
      </c>
      <c r="M19" s="3">
        <f>IF($B19="","",INDEX(Anuncios!$R$2:$R$39,$B19))</f>
        <v/>
      </c>
      <c r="N19" s="3">
        <f>IF($B19="","",INDEX(Anuncios!$O$2:$O$39,$B19))</f>
        <v/>
      </c>
      <c r="O19" s="3">
        <f>IF($B19="","",INDEX(Anuncios!$AJ$2:$AJ$39,$B19))</f>
        <v/>
      </c>
      <c r="P19" s="3">
        <f>IF($B19="","",INDEX(Anuncios!$AI$2:$AI$39,$B19))</f>
        <v/>
      </c>
      <c r="Q19" s="3">
        <f>IF($B19="","",INDEX(Anuncios!$BS$2:$BS$39,$B19))</f>
        <v/>
      </c>
      <c r="R19" s="3">
        <f>IF($B19="","",INDEX(Anuncios!$BX$2:$BX$39,$B19))</f>
        <v/>
      </c>
      <c r="S19" s="3">
        <f>IF($B19="","",INDEX(Anuncios!$BW$2:$BW$39,$B19))</f>
        <v/>
      </c>
      <c r="T19" s="3">
        <f>IF($B19="","",INDEX(Anuncios!$CA$2:$CA$39,$B19))</f>
        <v/>
      </c>
      <c r="U19" s="3">
        <f>IF($B19="","",INDEX(Anuncios!$AZ$2:$AZ$39,$B19))</f>
        <v/>
      </c>
      <c r="V19" s="3">
        <f>IF($B19="","",INDEX(Anuncios!$BB$2:$BB$39,$B19))</f>
        <v/>
      </c>
      <c r="W19" s="3">
        <f>IF($B19="","",INDEX(Anuncios!$BC$2:$BC$39,$B19))</f>
        <v/>
      </c>
      <c r="X19" s="3">
        <f>IF($B19="","",INDEX(Anuncios!$BG$2:$BG$39,$B19))</f>
        <v/>
      </c>
      <c r="Y19" s="3">
        <f>IF($B19="","",INDEX(Anuncios!$BH$2:$BH$39,$B19))</f>
        <v/>
      </c>
      <c r="Z19" s="3">
        <f>IF($B19="","",INDEX(Anuncios!$BL$2:$BL$39,$B19))</f>
        <v/>
      </c>
      <c r="AA19" s="3">
        <f>IF($B19="","",INDEX(Anuncios!$BM$2:$BM$39,$B19))</f>
        <v/>
      </c>
      <c r="AB19" s="3">
        <f>IF($B19="","",INDEX(Anuncios!$BR$2:$BR$39,$B19))</f>
        <v/>
      </c>
      <c r="AC19" s="3">
        <f>IF($B19="","",INDEX(Anuncios!$BT$2:$BT$39,$B19))</f>
        <v/>
      </c>
      <c r="AD19" s="3">
        <f>IF($B19="","",INDEX(Anuncios!$BU$2:$BU$39,$B19))</f>
        <v/>
      </c>
      <c r="AE19" s="3">
        <f>IF($B19="","",INDEX(Anuncios!$AO$2:$AO$39,$B19))</f>
        <v/>
      </c>
      <c r="AF19" s="3">
        <f>IF($B19="","",X19*W_FIAB)</f>
        <v/>
      </c>
      <c r="AG19" s="3">
        <f>IF($B19="","",Y19*W_PRECIO)</f>
        <v/>
      </c>
      <c r="AH19" s="3">
        <f>IF($B19="","",Z19*W_KMEDAD)</f>
        <v/>
      </c>
      <c r="AI19" s="3">
        <f>IF($B19="","",AA19*W_ANUNCIO)</f>
        <v/>
      </c>
      <c r="AJ19" s="3">
        <f>IF($B19="","",AB19*W_USO)</f>
        <v/>
      </c>
      <c r="AK19" s="3">
        <f>IF($B19="","",AC19*W_SEGURIDAD)</f>
        <v/>
      </c>
    </row>
    <row r="20">
      <c r="A20" s="2" t="n">
        <v>19</v>
      </c>
      <c r="B20" s="3">
        <f>IFERROR(MATCH(A20,Anuncios!$CD$2:$CD$39,0),"")</f>
        <v/>
      </c>
      <c r="C20" s="3">
        <f>IF(B20="","",HYPERLINK(INDEX(Anuncios!$C$2:$C$39,B20),"Abrir anuncio"))</f>
        <v/>
      </c>
      <c r="D20" s="3">
        <f>IF($B20="","",INDEX(Anuncios!$D$2:$D$39,$B20))</f>
        <v/>
      </c>
      <c r="E20" s="3">
        <f>IF($B20="","",INDEX(Anuncios!$B$2:$B$39,$B20))</f>
        <v/>
      </c>
      <c r="F20" s="3">
        <f>IF($B20="","",INDEX(Anuncios!$E$2:$E$39,$B20))</f>
        <v/>
      </c>
      <c r="G20" s="3">
        <f>IF($B20="","",INDEX(Anuncios!$F$2:$F$39,$B20))</f>
        <v/>
      </c>
      <c r="H20" s="3">
        <f>IF($B20="","",INDEX(Anuncios!$G$2:$G$39,$B20))</f>
        <v/>
      </c>
      <c r="I20" s="3">
        <f>IF($B20="","",INDEX(Anuncios!$K$2:$K$39,$B20))</f>
        <v/>
      </c>
      <c r="J20" s="3">
        <f>IF($B20="","",INDEX(Anuncios!$M$2:$M$39,$B20))</f>
        <v/>
      </c>
      <c r="K20" s="3">
        <f>IF($B20="","",INDEX(Anuncios!$N$2:$N$39,$B20))</f>
        <v/>
      </c>
      <c r="L20" s="3">
        <f>IF($B20="","",INDEX(Anuncios!$Q$2:$Q$39,$B20))</f>
        <v/>
      </c>
      <c r="M20" s="3">
        <f>IF($B20="","",INDEX(Anuncios!$R$2:$R$39,$B20))</f>
        <v/>
      </c>
      <c r="N20" s="3">
        <f>IF($B20="","",INDEX(Anuncios!$O$2:$O$39,$B20))</f>
        <v/>
      </c>
      <c r="O20" s="3">
        <f>IF($B20="","",INDEX(Anuncios!$AJ$2:$AJ$39,$B20))</f>
        <v/>
      </c>
      <c r="P20" s="3">
        <f>IF($B20="","",INDEX(Anuncios!$AI$2:$AI$39,$B20))</f>
        <v/>
      </c>
      <c r="Q20" s="3">
        <f>IF($B20="","",INDEX(Anuncios!$BS$2:$BS$39,$B20))</f>
        <v/>
      </c>
      <c r="R20" s="3">
        <f>IF($B20="","",INDEX(Anuncios!$BX$2:$BX$39,$B20))</f>
        <v/>
      </c>
      <c r="S20" s="3">
        <f>IF($B20="","",INDEX(Anuncios!$BW$2:$BW$39,$B20))</f>
        <v/>
      </c>
      <c r="T20" s="3">
        <f>IF($B20="","",INDEX(Anuncios!$CA$2:$CA$39,$B20))</f>
        <v/>
      </c>
      <c r="U20" s="3">
        <f>IF($B20="","",INDEX(Anuncios!$AZ$2:$AZ$39,$B20))</f>
        <v/>
      </c>
      <c r="V20" s="3">
        <f>IF($B20="","",INDEX(Anuncios!$BB$2:$BB$39,$B20))</f>
        <v/>
      </c>
      <c r="W20" s="3">
        <f>IF($B20="","",INDEX(Anuncios!$BC$2:$BC$39,$B20))</f>
        <v/>
      </c>
      <c r="X20" s="3">
        <f>IF($B20="","",INDEX(Anuncios!$BG$2:$BG$39,$B20))</f>
        <v/>
      </c>
      <c r="Y20" s="3">
        <f>IF($B20="","",INDEX(Anuncios!$BH$2:$BH$39,$B20))</f>
        <v/>
      </c>
      <c r="Z20" s="3">
        <f>IF($B20="","",INDEX(Anuncios!$BL$2:$BL$39,$B20))</f>
        <v/>
      </c>
      <c r="AA20" s="3">
        <f>IF($B20="","",INDEX(Anuncios!$BM$2:$BM$39,$B20))</f>
        <v/>
      </c>
      <c r="AB20" s="3">
        <f>IF($B20="","",INDEX(Anuncios!$BR$2:$BR$39,$B20))</f>
        <v/>
      </c>
      <c r="AC20" s="3">
        <f>IF($B20="","",INDEX(Anuncios!$BT$2:$BT$39,$B20))</f>
        <v/>
      </c>
      <c r="AD20" s="3">
        <f>IF($B20="","",INDEX(Anuncios!$BU$2:$BU$39,$B20))</f>
        <v/>
      </c>
      <c r="AE20" s="3">
        <f>IF($B20="","",INDEX(Anuncios!$AO$2:$AO$39,$B20))</f>
        <v/>
      </c>
      <c r="AF20" s="3">
        <f>IF($B20="","",X20*W_FIAB)</f>
        <v/>
      </c>
      <c r="AG20" s="3">
        <f>IF($B20="","",Y20*W_PRECIO)</f>
        <v/>
      </c>
      <c r="AH20" s="3">
        <f>IF($B20="","",Z20*W_KMEDAD)</f>
        <v/>
      </c>
      <c r="AI20" s="3">
        <f>IF($B20="","",AA20*W_ANUNCIO)</f>
        <v/>
      </c>
      <c r="AJ20" s="3">
        <f>IF($B20="","",AB20*W_USO)</f>
        <v/>
      </c>
      <c r="AK20" s="3">
        <f>IF($B20="","",AC20*W_SEGURIDAD)</f>
        <v/>
      </c>
    </row>
    <row r="21">
      <c r="A21" s="2" t="n">
        <v>20</v>
      </c>
      <c r="B21" s="3">
        <f>IFERROR(MATCH(A21,Anuncios!$CD$2:$CD$39,0),"")</f>
        <v/>
      </c>
      <c r="C21" s="3">
        <f>IF(B21="","",HYPERLINK(INDEX(Anuncios!$C$2:$C$39,B21),"Abrir anuncio"))</f>
        <v/>
      </c>
      <c r="D21" s="3">
        <f>IF($B21="","",INDEX(Anuncios!$D$2:$D$39,$B21))</f>
        <v/>
      </c>
      <c r="E21" s="3">
        <f>IF($B21="","",INDEX(Anuncios!$B$2:$B$39,$B21))</f>
        <v/>
      </c>
      <c r="F21" s="3">
        <f>IF($B21="","",INDEX(Anuncios!$E$2:$E$39,$B21))</f>
        <v/>
      </c>
      <c r="G21" s="3">
        <f>IF($B21="","",INDEX(Anuncios!$F$2:$F$39,$B21))</f>
        <v/>
      </c>
      <c r="H21" s="3">
        <f>IF($B21="","",INDEX(Anuncios!$G$2:$G$39,$B21))</f>
        <v/>
      </c>
      <c r="I21" s="3">
        <f>IF($B21="","",INDEX(Anuncios!$K$2:$K$39,$B21))</f>
        <v/>
      </c>
      <c r="J21" s="3">
        <f>IF($B21="","",INDEX(Anuncios!$M$2:$M$39,$B21))</f>
        <v/>
      </c>
      <c r="K21" s="3">
        <f>IF($B21="","",INDEX(Anuncios!$N$2:$N$39,$B21))</f>
        <v/>
      </c>
      <c r="L21" s="3">
        <f>IF($B21="","",INDEX(Anuncios!$Q$2:$Q$39,$B21))</f>
        <v/>
      </c>
      <c r="M21" s="3">
        <f>IF($B21="","",INDEX(Anuncios!$R$2:$R$39,$B21))</f>
        <v/>
      </c>
      <c r="N21" s="3">
        <f>IF($B21="","",INDEX(Anuncios!$O$2:$O$39,$B21))</f>
        <v/>
      </c>
      <c r="O21" s="3">
        <f>IF($B21="","",INDEX(Anuncios!$AJ$2:$AJ$39,$B21))</f>
        <v/>
      </c>
      <c r="P21" s="3">
        <f>IF($B21="","",INDEX(Anuncios!$AI$2:$AI$39,$B21))</f>
        <v/>
      </c>
      <c r="Q21" s="3">
        <f>IF($B21="","",INDEX(Anuncios!$BS$2:$BS$39,$B21))</f>
        <v/>
      </c>
      <c r="R21" s="3">
        <f>IF($B21="","",INDEX(Anuncios!$BX$2:$BX$39,$B21))</f>
        <v/>
      </c>
      <c r="S21" s="3">
        <f>IF($B21="","",INDEX(Anuncios!$BW$2:$BW$39,$B21))</f>
        <v/>
      </c>
      <c r="T21" s="3">
        <f>IF($B21="","",INDEX(Anuncios!$CA$2:$CA$39,$B21))</f>
        <v/>
      </c>
      <c r="U21" s="3">
        <f>IF($B21="","",INDEX(Anuncios!$AZ$2:$AZ$39,$B21))</f>
        <v/>
      </c>
      <c r="V21" s="3">
        <f>IF($B21="","",INDEX(Anuncios!$BB$2:$BB$39,$B21))</f>
        <v/>
      </c>
      <c r="W21" s="3">
        <f>IF($B21="","",INDEX(Anuncios!$BC$2:$BC$39,$B21))</f>
        <v/>
      </c>
      <c r="X21" s="3">
        <f>IF($B21="","",INDEX(Anuncios!$BG$2:$BG$39,$B21))</f>
        <v/>
      </c>
      <c r="Y21" s="3">
        <f>IF($B21="","",INDEX(Anuncios!$BH$2:$BH$39,$B21))</f>
        <v/>
      </c>
      <c r="Z21" s="3">
        <f>IF($B21="","",INDEX(Anuncios!$BL$2:$BL$39,$B21))</f>
        <v/>
      </c>
      <c r="AA21" s="3">
        <f>IF($B21="","",INDEX(Anuncios!$BM$2:$BM$39,$B21))</f>
        <v/>
      </c>
      <c r="AB21" s="3">
        <f>IF($B21="","",INDEX(Anuncios!$BR$2:$BR$39,$B21))</f>
        <v/>
      </c>
      <c r="AC21" s="3">
        <f>IF($B21="","",INDEX(Anuncios!$BT$2:$BT$39,$B21))</f>
        <v/>
      </c>
      <c r="AD21" s="3">
        <f>IF($B21="","",INDEX(Anuncios!$BU$2:$BU$39,$B21))</f>
        <v/>
      </c>
      <c r="AE21" s="3">
        <f>IF($B21="","",INDEX(Anuncios!$AO$2:$AO$39,$B21))</f>
        <v/>
      </c>
      <c r="AF21" s="3">
        <f>IF($B21="","",X21*W_FIAB)</f>
        <v/>
      </c>
      <c r="AG21" s="3">
        <f>IF($B21="","",Y21*W_PRECIO)</f>
        <v/>
      </c>
      <c r="AH21" s="3">
        <f>IF($B21="","",Z21*W_KMEDAD)</f>
        <v/>
      </c>
      <c r="AI21" s="3">
        <f>IF($B21="","",AA21*W_ANUNCIO)</f>
        <v/>
      </c>
      <c r="AJ21" s="3">
        <f>IF($B21="","",AB21*W_USO)</f>
        <v/>
      </c>
      <c r="AK21" s="3">
        <f>IF($B21="","",AC21*W_SEGURIDAD)</f>
        <v/>
      </c>
    </row>
    <row r="23">
      <c r="A23" s="5" t="inlineStr">
        <is>
          <t>Todo se calcula con fórmulas a partir de 'Anuncios' (verde) y 'Supuestos'. Aportación = puntuación del criterio × peso. Suma de aportaciones = PUNTUACIÓN.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62"/>
  <sheetViews>
    <sheetView workbookViewId="0">
      <selection activeCell="A1" sqref="A1"/>
    </sheetView>
  </sheetViews>
  <sheetFormatPr baseColWidth="8" defaultRowHeight="15"/>
  <cols>
    <col width="44" customWidth="1" min="1" max="1"/>
    <col width="18" customWidth="1" min="2" max="2"/>
    <col width="22" customWidth="1" min="3" max="3"/>
    <col width="22" customWidth="1" min="4" max="4"/>
    <col width="18" customWidth="1" min="5" max="5"/>
    <col width="40" customWidth="1" min="6" max="6"/>
    <col width="40" customWidth="1" min="7" max="7"/>
    <col width="14" customWidth="1" min="8" max="8"/>
    <col width="12" customWidth="1" min="9" max="9"/>
    <col width="30" customWidth="1" min="10" max="10"/>
    <col width="60" customWidth="1" min="11" max="11"/>
  </cols>
  <sheetData>
    <row r="1">
      <c r="A1" s="6" t="inlineStr">
        <is>
          <t>Supuestos: pesos, parámetros, fiscalidad y fiabilidad (cada dato con su estado y fuente)</t>
        </is>
      </c>
    </row>
    <row r="2">
      <c r="A2" t="inlineStr">
        <is>
          <t>Azul = dato introducido/fuente externa · Negro = calculado en esta hoja · Verde = viene de otra hoja. Estado: confirmado / probable (verificar en la fuente) / PENDIENTE (no se usa como cierto).</t>
        </is>
      </c>
    </row>
    <row r="5">
      <c r="A5" s="6" t="inlineStr">
        <is>
          <t>1. Pesos del scoring (deben sumar 1)</t>
        </is>
      </c>
    </row>
    <row r="6">
      <c r="A6" s="7" t="inlineStr">
        <is>
          <t>Criterio</t>
        </is>
      </c>
      <c r="B6" s="7" t="inlineStr">
        <is>
          <t>Peso</t>
        </is>
      </c>
      <c r="C6" s="7" t="inlineStr">
        <is>
          <t>Estado</t>
        </is>
      </c>
      <c r="D6" s="7" t="inlineStr">
        <is>
          <t>Fuente</t>
        </is>
      </c>
    </row>
    <row r="7">
      <c r="A7" t="inlineStr">
        <is>
          <t>Fiabilidad modelo/motor</t>
        </is>
      </c>
      <c r="B7" s="2" t="n">
        <v>0.3</v>
      </c>
      <c r="C7" t="inlineStr">
        <is>
          <t>criterio (config.yaml)</t>
        </is>
      </c>
      <c r="D7" t="inlineStr">
        <is>
          <t>config.yaml</t>
        </is>
      </c>
    </row>
    <row r="8">
      <c r="A8" t="inlineStr">
        <is>
          <t>Precio frente al mercado</t>
        </is>
      </c>
      <c r="B8" s="2" t="n">
        <v>0.25</v>
      </c>
      <c r="C8" t="inlineStr">
        <is>
          <t>criterio (config.yaml)</t>
        </is>
      </c>
      <c r="D8" t="inlineStr">
        <is>
          <t>config.yaml</t>
        </is>
      </c>
    </row>
    <row r="9">
      <c r="A9" t="inlineStr">
        <is>
          <t>Km y edad</t>
        </is>
      </c>
      <c r="B9" s="2" t="n">
        <v>0.12</v>
      </c>
      <c r="C9" t="inlineStr">
        <is>
          <t>criterio (config.yaml)</t>
        </is>
      </c>
      <c r="D9" t="inlineStr">
        <is>
          <t>config.yaml</t>
        </is>
      </c>
    </row>
    <row r="10">
      <c r="A10" t="inlineStr">
        <is>
          <t>Calidad del anuncio / mantenimiento</t>
        </is>
      </c>
      <c r="B10" s="2" t="n">
        <v>0.09</v>
      </c>
      <c r="C10" t="inlineStr">
        <is>
          <t>criterio (config.yaml)</t>
        </is>
      </c>
      <c r="D10" t="inlineStr">
        <is>
          <t>config.yaml</t>
        </is>
      </c>
    </row>
    <row r="11">
      <c r="A11" t="inlineStr">
        <is>
          <t>Coste de uso en Valencia</t>
        </is>
      </c>
      <c r="B11" s="2" t="n">
        <v>0.09</v>
      </c>
      <c r="C11" t="inlineStr">
        <is>
          <t>criterio (config.yaml)</t>
        </is>
      </c>
      <c r="D11" t="inlineStr">
        <is>
          <t>config.yaml</t>
        </is>
      </c>
    </row>
    <row r="12">
      <c r="A12" t="inlineStr">
        <is>
          <t>Seguridad de compra (garantía, km certificados, revisión, devolución, historial)</t>
        </is>
      </c>
      <c r="B12" s="2" t="n">
        <v>0.15</v>
      </c>
      <c r="C12" t="inlineStr">
        <is>
          <t>criterio (config.yaml)</t>
        </is>
      </c>
      <c r="D12" t="inlineStr">
        <is>
          <t>config.yaml: añadido el 31-10-2026; los 5 pesos anteriores × 0,85 redondeados</t>
        </is>
      </c>
    </row>
    <row r="13">
      <c r="A13" t="inlineStr">
        <is>
          <t>Suma de pesos (control)</t>
        </is>
      </c>
      <c r="B13" s="4">
        <f>SUM(B7:B12)</f>
        <v/>
      </c>
      <c r="C13" t="inlineStr">
        <is>
          <t>calculado</t>
        </is>
      </c>
      <c r="D13" t="inlineStr"/>
    </row>
    <row r="15">
      <c r="A15" s="6" t="inlineStr">
        <is>
          <t>2. Parámetros de búsqueda y de puntuación</t>
        </is>
      </c>
    </row>
    <row r="16">
      <c r="A16" s="7" t="inlineStr">
        <is>
          <t>Parámetro</t>
        </is>
      </c>
      <c r="B16" s="7" t="inlineStr">
        <is>
          <t>Valor</t>
        </is>
      </c>
      <c r="C16" s="7" t="inlineStr">
        <is>
          <t>Estado</t>
        </is>
      </c>
      <c r="D16" s="7" t="inlineStr">
        <is>
          <t>Fuente</t>
        </is>
      </c>
    </row>
    <row r="17">
      <c r="A17" t="inlineStr">
        <is>
          <t>Año de referencia</t>
        </is>
      </c>
      <c r="B17" s="2" t="n">
        <v>2026</v>
      </c>
      <c r="C17" t="inlineStr">
        <is>
          <t>dato</t>
        </is>
      </c>
      <c r="D17" t="inlineStr">
        <is>
          <t>fiscal.yaml</t>
        </is>
      </c>
    </row>
    <row r="18">
      <c r="A18" t="inlineStr">
        <is>
          <t>Año mínimo</t>
        </is>
      </c>
      <c r="B18" s="2" t="n">
        <v>2008</v>
      </c>
      <c r="C18" t="inlineStr">
        <is>
          <t>criterio (config.yaml)</t>
        </is>
      </c>
      <c r="D18" t="inlineStr">
        <is>
          <t>config.yaml</t>
        </is>
      </c>
    </row>
    <row r="19">
      <c r="A19" t="inlineStr">
        <is>
          <t>Km máximos</t>
        </is>
      </c>
      <c r="B19" s="2" t="n">
        <v>220000</v>
      </c>
      <c r="C19" t="inlineStr">
        <is>
          <t>criterio (config.yaml)</t>
        </is>
      </c>
      <c r="D19" t="inlineStr">
        <is>
          <t>config.yaml</t>
        </is>
      </c>
    </row>
    <row r="20">
      <c r="A20" t="inlineStr">
        <is>
          <t>Precio anuncio máximo (€)</t>
        </is>
      </c>
      <c r="B20" s="2" t="n">
        <v>4600</v>
      </c>
      <c r="C20" t="inlineStr">
        <is>
          <t>criterio (config.yaml)</t>
        </is>
      </c>
      <c r="D20" t="inlineStr">
        <is>
          <t>config.yaml</t>
        </is>
      </c>
    </row>
    <row r="21">
      <c r="A21" t="inlineStr">
        <is>
          <t>Coste total máximo (€)</t>
        </is>
      </c>
      <c r="B21" s="2" t="n">
        <v>5000</v>
      </c>
      <c r="C21" t="inlineStr">
        <is>
          <t>criterio (config.yaml)</t>
        </is>
      </c>
      <c r="D21" t="inlineStr">
        <is>
          <t>config.yaml</t>
        </is>
      </c>
    </row>
    <row r="22">
      <c r="A22" t="inlineStr">
        <is>
          <t>Tramo de años para mediana</t>
        </is>
      </c>
      <c r="B22" s="2" t="n">
        <v>3</v>
      </c>
      <c r="C22" t="inlineStr">
        <is>
          <t>criterio (config.yaml)</t>
        </is>
      </c>
      <c r="D22" t="inlineStr">
        <is>
          <t>config.yaml</t>
        </is>
      </c>
    </row>
    <row r="23">
      <c r="A23" t="inlineStr">
        <is>
          <t>Tramo de km para mediana</t>
        </is>
      </c>
      <c r="B23" s="2" t="n">
        <v>50000</v>
      </c>
      <c r="C23" t="inlineStr">
        <is>
          <t>criterio (config.yaml)</t>
        </is>
      </c>
      <c r="D23" t="inlineStr">
        <is>
          <t>config.yaml</t>
        </is>
      </c>
    </row>
    <row r="24">
      <c r="A24" t="inlineStr">
        <is>
          <t>Mín. anuncios por segmento (si no, se sube de nivel)</t>
        </is>
      </c>
      <c r="B24" s="2" t="n">
        <v>4</v>
      </c>
      <c r="C24" t="inlineStr">
        <is>
          <t>criterio (config.yaml)</t>
        </is>
      </c>
      <c r="D24" t="inlineStr">
        <is>
          <t>config.yaml</t>
        </is>
      </c>
    </row>
    <row r="25">
      <c r="A25" t="inlineStr">
        <is>
          <t>Puntos por unidad de descuento (50 + desc·k)</t>
        </is>
      </c>
      <c r="B25" s="2" t="n">
        <v>250</v>
      </c>
      <c r="C25" t="inlineStr">
        <is>
          <t>criterio (config.yaml)</t>
        </is>
      </c>
      <c r="D25" t="inlineStr">
        <is>
          <t>config.yaml</t>
        </is>
      </c>
    </row>
    <row r="26">
      <c r="A26" t="inlineStr">
        <is>
          <t>Km/año ideal máximo (100 puntos hasta aquí)</t>
        </is>
      </c>
      <c r="B26" s="2" t="n">
        <v>18000</v>
      </c>
      <c r="C26" t="inlineStr">
        <is>
          <t>criterio (config.yaml)</t>
        </is>
      </c>
      <c r="D26" t="inlineStr">
        <is>
          <t>config.yaml</t>
        </is>
      </c>
    </row>
    <row r="27">
      <c r="A27" t="inlineStr">
        <is>
          <t>Km/año con 0 puntos</t>
        </is>
      </c>
      <c r="B27" s="2" t="n">
        <v>35000</v>
      </c>
      <c r="C27" t="inlineStr">
        <is>
          <t>criterio (config.yaml)</t>
        </is>
      </c>
      <c r="D27" t="inlineStr">
        <is>
          <t>config.yaml</t>
        </is>
      </c>
    </row>
    <row r="28">
      <c r="A28" t="inlineStr">
        <is>
          <t>Km/año sospechosamente bajo</t>
        </is>
      </c>
      <c r="B28" s="2" t="n">
        <v>4000</v>
      </c>
      <c r="C28" t="inlineStr">
        <is>
          <t>criterio (config.yaml)</t>
        </is>
      </c>
      <c r="D28" t="inlineStr">
        <is>
          <t>config.yaml</t>
        </is>
      </c>
    </row>
    <row r="29">
      <c r="A29" t="inlineStr">
        <is>
          <t>Puntos km/año si es sospechoso y no justificado</t>
        </is>
      </c>
      <c r="B29" s="2" t="n">
        <v>40</v>
      </c>
      <c r="C29" t="inlineStr">
        <is>
          <t>criterio (config.yaml)</t>
        </is>
      </c>
      <c r="D29" t="inlineStr">
        <is>
          <t>config.yaml</t>
        </is>
      </c>
    </row>
    <row r="30">
      <c r="A30" t="inlineStr">
        <is>
          <t>Peso km totales dentro de Km y edad</t>
        </is>
      </c>
      <c r="B30" s="2" t="n">
        <v>0.4</v>
      </c>
      <c r="C30" t="inlineStr">
        <is>
          <t>criterio (config.yaml)</t>
        </is>
      </c>
      <c r="D30" t="inlineStr">
        <is>
          <t>config.yaml</t>
        </is>
      </c>
    </row>
    <row r="31">
      <c r="A31" t="inlineStr">
        <is>
          <t>Peso km/año dentro de Km y edad</t>
        </is>
      </c>
      <c r="B31" s="2" t="n">
        <v>0.3</v>
      </c>
      <c r="C31" t="inlineStr">
        <is>
          <t>criterio (config.yaml)</t>
        </is>
      </c>
      <c r="D31" t="inlineStr">
        <is>
          <t>config.yaml</t>
        </is>
      </c>
    </row>
    <row r="32">
      <c r="A32" t="inlineStr">
        <is>
          <t>Peso edad dentro de Km y edad</t>
        </is>
      </c>
      <c r="B32" s="2" t="n">
        <v>0.3</v>
      </c>
      <c r="C32" t="inlineStr">
        <is>
          <t>criterio (config.yaml)</t>
        </is>
      </c>
      <c r="D32" t="inlineStr">
        <is>
          <t>config.yaml</t>
        </is>
      </c>
    </row>
    <row r="33">
      <c r="A33" t="inlineStr">
        <is>
          <t>Puntos: ITV en vigor</t>
        </is>
      </c>
      <c r="B33" s="2" t="n">
        <v>20</v>
      </c>
      <c r="C33" t="inlineStr">
        <is>
          <t>criterio (config.yaml)</t>
        </is>
      </c>
      <c r="D33" t="inlineStr">
        <is>
          <t>config.yaml</t>
        </is>
      </c>
    </row>
    <row r="34">
      <c r="A34" t="inlineStr">
        <is>
          <t>Puntos: libro de mantenimiento</t>
        </is>
      </c>
      <c r="B34" s="2" t="n">
        <v>25</v>
      </c>
      <c r="C34" t="inlineStr">
        <is>
          <t>criterio (config.yaml)</t>
        </is>
      </c>
      <c r="D34" t="inlineStr">
        <is>
          <t>config.yaml</t>
        </is>
      </c>
    </row>
    <row r="35">
      <c r="A35" t="inlineStr">
        <is>
          <t>Puntos: correa/distribución cambiada</t>
        </is>
      </c>
      <c r="B35" s="2" t="n">
        <v>25</v>
      </c>
      <c r="C35" t="inlineStr">
        <is>
          <t>criterio (config.yaml)</t>
        </is>
      </c>
      <c r="D35" t="inlineStr">
        <is>
          <t>config.yaml</t>
        </is>
      </c>
    </row>
    <row r="36">
      <c r="A36" t="inlineStr">
        <is>
          <t>Puntos: un solo propietario</t>
        </is>
      </c>
      <c r="B36" s="2" t="n">
        <v>15</v>
      </c>
      <c r="C36" t="inlineStr">
        <is>
          <t>criterio (config.yaml)</t>
        </is>
      </c>
      <c r="D36" t="inlineStr">
        <is>
          <t>config.yaml</t>
        </is>
      </c>
    </row>
    <row r="37">
      <c r="A37" t="inlineStr">
        <is>
          <t>Puntos: garantía</t>
        </is>
      </c>
      <c r="B37" s="2" t="n">
        <v>0</v>
      </c>
      <c r="C37" t="inlineStr">
        <is>
          <t>criterio (config.yaml)</t>
        </is>
      </c>
      <c r="D37" t="inlineStr">
        <is>
          <t>config.yaml</t>
        </is>
      </c>
    </row>
    <row r="38">
      <c r="A38" t="inlineStr">
        <is>
          <t>Puntos: fotos (proporcional)</t>
        </is>
      </c>
      <c r="B38" s="2" t="n">
        <v>15</v>
      </c>
      <c r="C38" t="inlineStr">
        <is>
          <t>criterio (config.yaml)</t>
        </is>
      </c>
      <c r="D38" t="inlineStr">
        <is>
          <t>config.yaml</t>
        </is>
      </c>
    </row>
    <row r="39">
      <c r="A39" t="inlineStr">
        <is>
          <t>Fotos para puntuación completa</t>
        </is>
      </c>
      <c r="B39" s="2" t="n">
        <v>10</v>
      </c>
      <c r="C39" t="inlineStr">
        <is>
          <t>criterio (config.yaml)</t>
        </is>
      </c>
      <c r="D39" t="inlineStr">
        <is>
          <t>config.yaml</t>
        </is>
      </c>
    </row>
    <row r="40">
      <c r="A40" t="inlineStr">
        <is>
          <t>Peso etiqueta dentro de Coste de uso</t>
        </is>
      </c>
      <c r="B40" s="2" t="n">
        <v>0.5</v>
      </c>
      <c r="C40" t="inlineStr">
        <is>
          <t>criterio (config.yaml)</t>
        </is>
      </c>
      <c r="D40" t="inlineStr">
        <is>
          <t>config.yaml</t>
        </is>
      </c>
    </row>
    <row r="41">
      <c r="A41" t="inlineStr">
        <is>
          <t>Peso consumo dentro de Coste de uso</t>
        </is>
      </c>
      <c r="B41" s="2" t="n">
        <v>0.3</v>
      </c>
      <c r="C41" t="inlineStr">
        <is>
          <t>criterio (config.yaml)</t>
        </is>
      </c>
      <c r="D41" t="inlineStr">
        <is>
          <t>config.yaml</t>
        </is>
      </c>
    </row>
    <row r="42">
      <c r="A42" t="inlineStr">
        <is>
          <t>Peso seguro dentro de Coste de uso</t>
        </is>
      </c>
      <c r="B42" s="2" t="n">
        <v>0.2</v>
      </c>
      <c r="C42" t="inlineStr">
        <is>
          <t>criterio (config.yaml)</t>
        </is>
      </c>
      <c r="D42" t="inlineStr">
        <is>
          <t>config.yaml</t>
        </is>
      </c>
    </row>
    <row r="43">
      <c r="A43" t="inlineStr">
        <is>
          <t>Puntuación neutra cuando el dato está PENDIENTE</t>
        </is>
      </c>
      <c r="B43" s="2" t="n">
        <v>50</v>
      </c>
      <c r="C43" t="inlineStr">
        <is>
          <t>criterio (config.yaml)</t>
        </is>
      </c>
      <c r="D43" t="inlineStr">
        <is>
          <t>config.yaml</t>
        </is>
      </c>
    </row>
    <row r="44">
      <c r="A44" t="inlineStr">
        <is>
          <t>Seguridad: puntos por garantía (proporcional a meses)</t>
        </is>
      </c>
      <c r="B44" s="2" t="n">
        <v>35</v>
      </c>
      <c r="C44" t="inlineStr">
        <is>
          <t>criterio (config.yaml)</t>
        </is>
      </c>
      <c r="D44" t="inlineStr">
        <is>
          <t>config.yaml</t>
        </is>
      </c>
    </row>
    <row r="45">
      <c r="A45" t="inlineStr">
        <is>
          <t>Seguridad: meses de garantía para puntuación completa</t>
        </is>
      </c>
      <c r="B45" s="2" t="n">
        <v>24</v>
      </c>
      <c r="C45" t="inlineStr">
        <is>
          <t>criterio (config.yaml)</t>
        </is>
      </c>
      <c r="D45" t="inlineStr">
        <is>
          <t>config.yaml</t>
        </is>
      </c>
    </row>
    <row r="46">
      <c r="A46" t="inlineStr">
        <is>
          <t>Seguridad: puntos si la garantía es ampliable</t>
        </is>
      </c>
      <c r="B46" s="2" t="n">
        <v>10</v>
      </c>
      <c r="C46" t="inlineStr">
        <is>
          <t>criterio (config.yaml)</t>
        </is>
      </c>
      <c r="D46" t="inlineStr">
        <is>
          <t>config.yaml</t>
        </is>
      </c>
    </row>
    <row r="47">
      <c r="A47" t="inlineStr">
        <is>
          <t>Seguridad: puntos por km certificados</t>
        </is>
      </c>
      <c r="B47" s="2" t="n">
        <v>15</v>
      </c>
      <c r="C47" t="inlineStr">
        <is>
          <t>criterio (config.yaml)</t>
        </is>
      </c>
      <c r="D47" t="inlineStr">
        <is>
          <t>config.yaml</t>
        </is>
      </c>
    </row>
    <row r="48">
      <c r="A48" t="inlineStr">
        <is>
          <t>Seguridad: puntos por revisión documentada</t>
        </is>
      </c>
      <c r="B48" s="2" t="n">
        <v>15</v>
      </c>
      <c r="C48" t="inlineStr">
        <is>
          <t>criterio (config.yaml)</t>
        </is>
      </c>
      <c r="D48" t="inlineStr">
        <is>
          <t>config.yaml</t>
        </is>
      </c>
    </row>
    <row r="49">
      <c r="A49" t="inlineStr">
        <is>
          <t>Seguridad: puntos por derecho de devolución (proporcional a días)</t>
        </is>
      </c>
      <c r="B49" s="2" t="n">
        <v>15</v>
      </c>
      <c r="C49" t="inlineStr">
        <is>
          <t>criterio (config.yaml)</t>
        </is>
      </c>
      <c r="D49" t="inlineStr">
        <is>
          <t>config.yaml</t>
        </is>
      </c>
    </row>
    <row r="50">
      <c r="A50" t="inlineStr">
        <is>
          <t>Seguridad: días de devolución para puntuación completa</t>
        </is>
      </c>
      <c r="B50" s="2" t="n">
        <v>15</v>
      </c>
      <c r="C50" t="inlineStr">
        <is>
          <t>criterio (config.yaml)</t>
        </is>
      </c>
      <c r="D50" t="inlineStr">
        <is>
          <t>config.yaml</t>
        </is>
      </c>
    </row>
    <row r="51">
      <c r="A51" t="inlineStr">
        <is>
          <t>Seguridad: puntos por historial/libro de mantenimiento</t>
        </is>
      </c>
      <c r="B51" s="2" t="n">
        <v>10</v>
      </c>
      <c r="C51" t="inlineStr">
        <is>
          <t>criterio (config.yaml)</t>
        </is>
      </c>
      <c r="D51" t="inlineStr">
        <is>
          <t>config.yaml</t>
        </is>
      </c>
    </row>
    <row r="52">
      <c r="A52" t="inlineStr">
        <is>
          <t>Aplicar mínimo legal a profesionales sin garantía declarada (1 = sí)</t>
        </is>
      </c>
      <c r="B52" s="2" t="n">
        <v>1</v>
      </c>
      <c r="C52" t="inlineStr">
        <is>
          <t>criterio (config.yaml)</t>
        </is>
      </c>
      <c r="D52" t="inlineStr">
        <is>
          <t>config.yaml</t>
        </is>
      </c>
    </row>
    <row r="53">
      <c r="A53" t="inlineStr">
        <is>
          <t>Garantía legal mínima en usados de vendedor profesional (meses)</t>
        </is>
      </c>
      <c r="B53" s="2" t="n">
        <v>12</v>
      </c>
      <c r="C53" t="inlineStr">
        <is>
          <t>confirmado</t>
        </is>
      </c>
      <c r="D53" t="inlineStr">
        <is>
          <t>TRLGDCU (RDLeg. 1/2007), art. 120.1, en la redacción del Real Decreto-ley 7/2021, de 27 de abril — https://www.boe.es/buscar/act.php?id=BOE-A-2007-20555</t>
        </is>
      </c>
    </row>
    <row r="55">
      <c r="A55" s="6" t="inlineStr">
        <is>
          <t>3. Coste de compra: ITP (Comunitat Valenciana) y tasas DGT</t>
        </is>
      </c>
    </row>
    <row r="56">
      <c r="A56" s="7" t="inlineStr">
        <is>
          <t>Concepto</t>
        </is>
      </c>
      <c r="B56" s="7" t="inlineStr">
        <is>
          <t>Valor</t>
        </is>
      </c>
      <c r="C56" s="7" t="inlineStr">
        <is>
          <t>Estado</t>
        </is>
      </c>
      <c r="D56" s="7" t="inlineStr">
        <is>
          <t>Fuente</t>
        </is>
      </c>
    </row>
    <row r="57">
      <c r="A57" t="inlineStr">
        <is>
          <t>ITP tipo general (si no aplica cuota fija)</t>
        </is>
      </c>
      <c r="B57" s="2" t="n">
        <v>0.06</v>
      </c>
      <c r="C57" t="inlineStr">
        <is>
          <t>confirmado (cuadro resumen art. 13.Tres Ley 13/1997 en atv.gva.es/es/vehiculos-faq, leído 31-10-2026: 6 % hasta 5 años y &lt;= 2.000 cc)</t>
        </is>
      </c>
      <c r="D57" t="inlineStr">
        <is>
          <t>https://atv.gva.es/es/tarifes-itpajd ; https://atv.gva.es/es/compraventa-de-vehiculos</t>
        </is>
      </c>
    </row>
    <row r="58">
      <c r="A58" t="inlineStr">
        <is>
          <t>Cuota fija solo si valor &lt; (€)</t>
        </is>
      </c>
      <c r="B58" s="2" t="n">
        <v>20000</v>
      </c>
      <c r="C58" t="inlineStr">
        <is>
          <t>confirmado (cuadro resumen de la ATV, https://atv.gva.es/es/vehiculos-faq, leído 31-10-2026)</t>
        </is>
      </c>
      <c r="D58" t="inlineStr">
        <is>
          <t>https://atv.gva.es/es/vehiculos-faq ; Ley 13/1997 consolidada https://www.boe.es/buscar/act.php?id=BOE-A-1998-8202</t>
        </is>
      </c>
    </row>
    <row r="59">
      <c r="A59" t="inlineStr">
        <is>
          <t>Tasa DGT transferencia 1.5 (€)</t>
        </is>
      </c>
      <c r="B59" s="2" t="n">
        <v>55.7</v>
      </c>
      <c r="C59" t="inlineStr">
        <is>
          <t>probable: la sede web DGT indica 55,70 €; el PDF oficial de importes (creado 21-12-2020) da 55,15 €, desactualizado. Se usa el más reciente.</t>
        </is>
      </c>
      <c r="D59" t="inlineStr">
        <is>
          <t>https://sede.dgt.gob.es/es/vehiculos/transferencias-de-vehiculos/</t>
        </is>
      </c>
    </row>
    <row r="60">
      <c r="A60" t="inlineStr">
        <is>
          <t>Informe DGT 4.1 (€)</t>
        </is>
      </c>
      <c r="B60" s="2" t="n">
        <v>8.67</v>
      </c>
      <c r="C60" t="inlineStr">
        <is>
          <t>probable: sede web DGT 8,67 €; el PDF de 2020 da 8,59 € (tasa 4.1)</t>
        </is>
      </c>
      <c r="D60" t="inlineStr">
        <is>
          <t>https://sede.dgt.gob.es/es/vehiculos/informacion-de-vehiculos/informe-de-un-vehiculo/</t>
        </is>
      </c>
    </row>
    <row r="61">
      <c r="A61" t="inlineStr">
        <is>
          <t>Cuota fija: tramo 'más de N años' (alto)</t>
        </is>
      </c>
      <c r="B61" s="2" t="n">
        <v>12</v>
      </c>
      <c r="C61" t="inlineStr">
        <is>
          <t>confirmado (cuadro resumen de la ATV, https://atv.gva.es/es/vehiculos-faq, leído 31-10-2026)</t>
        </is>
      </c>
      <c r="D61" t="inlineStr">
        <is>
          <t>https://atv.gva.es/es/vehiculos-faq ; Ley 13/1997 consolidada https://www.boe.es/buscar/act.php?id=BOE-A-1998-8202</t>
        </is>
      </c>
    </row>
    <row r="62">
      <c r="A62" t="inlineStr">
        <is>
          <t>Cuota fija: tramo 'más de N años' (bajo)</t>
        </is>
      </c>
      <c r="B62" s="2" t="n">
        <v>5</v>
      </c>
      <c r="C62" t="inlineStr">
        <is>
          <t>confirmado (cuadro resumen de la ATV, https://atv.gva.es/es/vehiculos-faq, leído 31-10-2026)</t>
        </is>
      </c>
      <c r="D62" t="inlineStr">
        <is>
          <t>https://atv.gva.es/es/vehiculos-faq ; Ley 13/1997 consolidada https://www.boe.es/buscar/act.php?id=BOE-A-1998-8202</t>
        </is>
      </c>
    </row>
    <row r="63">
      <c r="A63" t="inlineStr">
        <is>
          <t>Vendedor profesional: sin ITP (IVA/REBU incluido); se suman sus gastos de gestión y la tasa DGT solo si esos gastos no incluyen la transferencia o no constan — PENDIENTE de cita oficial (práctica habitual; confirmar en la factura)</t>
        </is>
      </c>
    </row>
    <row r="64">
      <c r="A64" t="inlineStr">
        <is>
          <t>Nota: Ley 5/2025 de 30 de mayo modifica tipos de ITP; parece afectar a inmuebles. Efecto sobre vehículos PENDIENTE de verificar.</t>
        </is>
      </c>
    </row>
    <row r="66">
      <c r="A66" s="8" t="inlineStr">
        <is>
          <t>Tabla de cuotas fijas de ITP</t>
        </is>
      </c>
    </row>
    <row r="67">
      <c r="A67" s="7" t="inlineStr">
        <is>
          <t>Más de (años)</t>
        </is>
      </c>
      <c r="B67" s="7" t="inlineStr">
        <is>
          <t>cc desde</t>
        </is>
      </c>
      <c r="C67" s="7" t="inlineStr">
        <is>
          <t>cc hasta</t>
        </is>
      </c>
      <c r="D67" s="7" t="inlineStr">
        <is>
          <t>Cuota (€)</t>
        </is>
      </c>
      <c r="E67" s="7" t="inlineStr">
        <is>
          <t>Descripción</t>
        </is>
      </c>
      <c r="F67" s="7" t="inlineStr">
        <is>
          <t>Estado</t>
        </is>
      </c>
      <c r="G67" s="7" t="inlineStr">
        <is>
          <t>Fuente</t>
        </is>
      </c>
    </row>
    <row r="68">
      <c r="A68" s="2" t="n">
        <v>12</v>
      </c>
      <c r="B68" s="2" t="n">
        <v>0</v>
      </c>
      <c r="C68" s="2" t="n">
        <v>1500</v>
      </c>
      <c r="D68" s="2" t="n">
        <v>40</v>
      </c>
      <c r="E68" t="inlineStr">
        <is>
          <t>&gt;12 años, hasta 1.500 cc</t>
        </is>
      </c>
      <c r="F68" t="inlineStr">
        <is>
          <t>confirmado (cuadro resumen de la ATV, https://atv.gva.es/es/vehiculos-faq, leído 31-10-2026)</t>
        </is>
      </c>
      <c r="G68" t="inlineStr">
        <is>
          <t>https://atv.gva.es/es/vehiculos-faq ; Ley 13/1997 consolidada https://www.boe.es/buscar/act.php?id=BOE-A-1998-8202</t>
        </is>
      </c>
    </row>
    <row r="69">
      <c r="A69" s="2" t="n">
        <v>12</v>
      </c>
      <c r="B69" s="2" t="n">
        <v>1501</v>
      </c>
      <c r="C69" s="2" t="n">
        <v>2000</v>
      </c>
      <c r="D69" s="2" t="n">
        <v>60</v>
      </c>
      <c r="E69" t="inlineStr">
        <is>
          <t>&gt;12 años, 1.501-2.000 cc</t>
        </is>
      </c>
      <c r="F69" t="inlineStr">
        <is>
          <t>confirmado (cuadro resumen de la ATV, https://atv.gva.es/es/vehiculos-faq, leído 31-10-2026)</t>
        </is>
      </c>
      <c r="G69" t="inlineStr">
        <is>
          <t>https://atv.gva.es/es/vehiculos-faq ; Ley 13/1997 consolidada https://www.boe.es/buscar/act.php?id=BOE-A-1998-8202</t>
        </is>
      </c>
    </row>
    <row r="70">
      <c r="A70" s="2" t="n">
        <v>12</v>
      </c>
      <c r="B70" s="2" t="n">
        <v>2001</v>
      </c>
      <c r="C70" s="2" t="n">
        <v>99999</v>
      </c>
      <c r="D70" s="2" t="n">
        <v>140</v>
      </c>
      <c r="E70" t="inlineStr">
        <is>
          <t>&gt;12 años, más de 2.000 cc</t>
        </is>
      </c>
      <c r="F70" t="inlineStr">
        <is>
          <t>confirmado (cuadro resumen de la ATV, https://atv.gva.es/es/vehiculos-faq, leído 31-10-2026)</t>
        </is>
      </c>
      <c r="G70" t="inlineStr">
        <is>
          <t>https://atv.gva.es/es/vehiculos-faq ; Ley 13/1997 consolidada https://www.boe.es/buscar/act.php?id=BOE-A-1998-8202</t>
        </is>
      </c>
    </row>
    <row r="71">
      <c r="A71" s="2" t="n">
        <v>5</v>
      </c>
      <c r="B71" s="2" t="n">
        <v>0</v>
      </c>
      <c r="C71" s="2" t="n">
        <v>1500</v>
      </c>
      <c r="D71" s="2" t="n">
        <v>120</v>
      </c>
      <c r="E71" t="inlineStr">
        <is>
          <t>&gt;5 y &lt;=12 años, hasta 1.500 cc</t>
        </is>
      </c>
      <c r="F71" t="inlineStr">
        <is>
          <t>confirmado (cuadro resumen de la ATV, https://atv.gva.es/es/vehiculos-faq, leído 31-10-2026)</t>
        </is>
      </c>
      <c r="G71" t="inlineStr">
        <is>
          <t>https://atv.gva.es/es/vehiculos-faq ; Ley 13/1997 consolidada https://www.boe.es/buscar/act.php?id=BOE-A-1998-8202</t>
        </is>
      </c>
    </row>
    <row r="72">
      <c r="A72" s="2" t="n">
        <v>5</v>
      </c>
      <c r="B72" s="2" t="n">
        <v>1501</v>
      </c>
      <c r="C72" s="2" t="n">
        <v>2000</v>
      </c>
      <c r="D72" s="2" t="n">
        <v>180</v>
      </c>
      <c r="E72" t="inlineStr">
        <is>
          <t>&gt;5 y &lt;=12 años, 1.501-2.000 cc</t>
        </is>
      </c>
      <c r="F72" t="inlineStr">
        <is>
          <t>confirmado (cuadro resumen de la ATV, https://atv.gva.es/es/vehiculos-faq, leído 31-10-2026)</t>
        </is>
      </c>
      <c r="G72" t="inlineStr">
        <is>
          <t>https://atv.gva.es/es/vehiculos-faq ; Ley 13/1997 consolidada https://www.boe.es/buscar/act.php?id=BOE-A-1998-8202</t>
        </is>
      </c>
    </row>
    <row r="73">
      <c r="A73" s="2" t="n">
        <v>5</v>
      </c>
      <c r="B73" s="2" t="n">
        <v>2001</v>
      </c>
      <c r="C73" s="2" t="n">
        <v>99999</v>
      </c>
      <c r="D73" s="2" t="n">
        <v>280</v>
      </c>
      <c r="E73" t="inlineStr">
        <is>
          <t>&gt;5 y &lt;=12 años, más de 2.000 cc</t>
        </is>
      </c>
      <c r="F73" t="inlineStr">
        <is>
          <t>confirmado (cuadro resumen de la ATV, https://atv.gva.es/es/vehiculos-faq, leído 31-10-2026)</t>
        </is>
      </c>
      <c r="G73" t="inlineStr">
        <is>
          <t>https://atv.gva.es/es/vehiculos-faq ; Ley 13/1997 consolidada https://www.boe.es/buscar/act.php?id=BOE-A-1998-8202</t>
        </is>
      </c>
    </row>
    <row r="74">
      <c r="A74" t="inlineStr">
        <is>
          <t>cc hasta 99999 = sin límite superior. Cilindrada desconocida -&gt; se usa 99999 (tramo más caro).</t>
        </is>
      </c>
    </row>
    <row r="75">
      <c r="A75" t="inlineStr">
        <is>
          <t>Valores fiscales de Hacienda: Orden HAC/1501/2025, de 17 de diciembre (BOE núm. 308, 23-12-2025), vigente desde 01-01-2026 (https://www.boe.es/diario_boe/txt.php?id=BOE-A-2025-26357). Estado: confirmado (datos de publicación); valores por modelo PENDIENTES (PDF no accesible desde este entorno). Solo afectan a coches de 5 años o menos (tipo porcentual).</t>
        </is>
      </c>
    </row>
    <row r="77">
      <c r="A77" s="6" t="inlineStr">
        <is>
          <t>4. Etiqueta DGT y ZBE de València</t>
        </is>
      </c>
    </row>
    <row r="78">
      <c r="A78" s="7" t="inlineStr">
        <is>
          <t>Concepto</t>
        </is>
      </c>
      <c r="B78" s="7" t="inlineStr">
        <is>
          <t>Valor</t>
        </is>
      </c>
      <c r="C78" s="7" t="inlineStr">
        <is>
          <t>Estado</t>
        </is>
      </c>
      <c r="D78" s="7" t="inlineStr">
        <is>
          <t>Fuente</t>
        </is>
      </c>
    </row>
    <row r="79">
      <c r="A79" t="inlineStr">
        <is>
          <t>Gasolina etiqueta C desde (año)</t>
        </is>
      </c>
      <c r="B79" s="2" t="n">
        <v>2006</v>
      </c>
      <c r="C79" t="inlineStr">
        <is>
          <t>confirmado (leído 31-10-2026): C = gasolina desde 01-2006, diésel desde 09-2015; B = gasolina desde 01-2001, diésel desde 2006. Con solo el año, el diésel de 2015 se trata como B (conservador)</t>
        </is>
      </c>
      <c r="D79" t="inlineStr">
        <is>
          <t>https://www.dgt.es/nuestros-servicios/tu-vehiculo/tus-vehiculos/distintivo-ambiental/</t>
        </is>
      </c>
    </row>
    <row r="80">
      <c r="A80" t="inlineStr">
        <is>
          <t>Gasolina etiqueta B desde (año)</t>
        </is>
      </c>
      <c r="B80" s="2" t="n">
        <v>2001</v>
      </c>
      <c r="C80" t="inlineStr">
        <is>
          <t>confirmado (leído 31-10-2026): C = gasolina desde 01-2006, diésel desde 09-2015; B = gasolina desde 01-2001, diésel desde 2006. Con solo el año, el diésel de 2015 se trata como B (conservador)</t>
        </is>
      </c>
      <c r="D80" t="inlineStr">
        <is>
          <t>https://www.dgt.es/nuestros-servicios/tu-vehiculo/tus-vehiculos/distintivo-ambiental/</t>
        </is>
      </c>
    </row>
    <row r="81">
      <c r="A81" t="inlineStr">
        <is>
          <t>Diésel etiqueta C desde (año)</t>
        </is>
      </c>
      <c r="B81" s="2" t="n">
        <v>2016</v>
      </c>
      <c r="C81" t="inlineStr">
        <is>
          <t>confirmado (leído 31-10-2026): C = gasolina desde 01-2006, diésel desde 09-2015; B = gasolina desde 01-2001, diésel desde 2006. Con solo el año, el diésel de 2015 se trata como B (conservador)</t>
        </is>
      </c>
      <c r="D81" t="inlineStr">
        <is>
          <t>https://www.dgt.es/nuestros-servicios/tu-vehiculo/tus-vehiculos/distintivo-ambiental/</t>
        </is>
      </c>
    </row>
    <row r="82">
      <c r="A82" t="inlineStr">
        <is>
          <t>Diésel etiqueta B desde (año)</t>
        </is>
      </c>
      <c r="B82" s="2" t="n">
        <v>2006</v>
      </c>
      <c r="C82" t="inlineStr">
        <is>
          <t>confirmado (leído 31-10-2026): C = gasolina desde 01-2006, diésel desde 09-2015; B = gasolina desde 01-2001, diésel desde 2006. Con solo el año, el diésel de 2015 se trata como B (conservador)</t>
        </is>
      </c>
      <c r="D82" t="inlineStr">
        <is>
          <t>https://www.dgt.es/nuestros-servicios/tu-vehiculo/tus-vehiculos/distintivo-ambiental/</t>
        </is>
      </c>
    </row>
    <row r="83">
      <c r="A83" t="inlineStr">
        <is>
          <t>ZBE València</t>
        </is>
      </c>
      <c r="B83" s="9" t="inlineStr">
        <is>
          <t>Solo restringe vehículos SIN etiqueta (A). Desde dic-2025/ene-2026 los de fuera de la provincia; desde 01-01-2027 también los de la provincia salvo los de la ciudad; desde 01-01-2028 todos. B, C, ECO y CERO sin restricción en el calendario aprobado. Perímetro y posible moratoria PENDIENTES.</t>
        </is>
      </c>
      <c r="C83" t="inlineStr">
        <is>
          <t>confirmado</t>
        </is>
      </c>
      <c r="D83" t="inlineStr">
        <is>
          <t>https://www.valencia.es/cas/actualidad/-/content/zona-bajas-emisiones-val%C3%A8ncia.-aprobaci%C3%B3n-por-el-pleno ; https://www.valencia.es/-/c%C3%A1maras-zbe</t>
        </is>
      </c>
    </row>
    <row r="85">
      <c r="A85" s="7" t="inlineStr">
        <is>
          <t>Etiqueta</t>
        </is>
      </c>
      <c r="B85" s="7" t="inlineStr">
        <is>
          <t>Puntos (criterio)</t>
        </is>
      </c>
      <c r="C85" s="7" t="inlineStr">
        <is>
          <t>Estado</t>
        </is>
      </c>
      <c r="D85" s="7" t="inlineStr">
        <is>
          <t>Fuente</t>
        </is>
      </c>
    </row>
    <row r="86">
      <c r="A86" s="2" t="inlineStr">
        <is>
          <t>CERO</t>
        </is>
      </c>
      <c r="B86" s="2" t="n">
        <v>100</v>
      </c>
      <c r="C86" t="inlineStr">
        <is>
          <t>criterio (config.yaml)</t>
        </is>
      </c>
      <c r="D86" t="inlineStr">
        <is>
          <t>config.yaml; la ZBE solo restringe sin etiqueta (A), ver fila ZBE</t>
        </is>
      </c>
    </row>
    <row r="87">
      <c r="A87" s="2" t="inlineStr">
        <is>
          <t>ECO</t>
        </is>
      </c>
      <c r="B87" s="2" t="n">
        <v>100</v>
      </c>
      <c r="C87" t="inlineStr">
        <is>
          <t>criterio (config.yaml)</t>
        </is>
      </c>
      <c r="D87" t="inlineStr">
        <is>
          <t>config.yaml; la ZBE solo restringe sin etiqueta (A), ver fila ZBE</t>
        </is>
      </c>
    </row>
    <row r="88">
      <c r="A88" s="2" t="inlineStr">
        <is>
          <t>C</t>
        </is>
      </c>
      <c r="B88" s="2" t="n">
        <v>80</v>
      </c>
      <c r="C88" t="inlineStr">
        <is>
          <t>criterio (config.yaml)</t>
        </is>
      </c>
      <c r="D88" t="inlineStr">
        <is>
          <t>config.yaml; la ZBE solo restringe sin etiqueta (A), ver fila ZBE</t>
        </is>
      </c>
    </row>
    <row r="89">
      <c r="A89" s="2" t="inlineStr">
        <is>
          <t>B</t>
        </is>
      </c>
      <c r="B89" s="2" t="n">
        <v>45</v>
      </c>
      <c r="C89" t="inlineStr">
        <is>
          <t>criterio (config.yaml)</t>
        </is>
      </c>
      <c r="D89" t="inlineStr">
        <is>
          <t>config.yaml; la ZBE solo restringe sin etiqueta (A), ver fila ZBE</t>
        </is>
      </c>
    </row>
    <row r="90">
      <c r="A90" s="2" t="inlineStr">
        <is>
          <t>A</t>
        </is>
      </c>
      <c r="B90" s="2" t="n">
        <v>0</v>
      </c>
      <c r="C90" t="inlineStr">
        <is>
          <t>criterio (config.yaml)</t>
        </is>
      </c>
      <c r="D90" t="inlineStr">
        <is>
          <t>config.yaml; la ZBE solo restringe sin etiqueta (A), ver fila ZBE</t>
        </is>
      </c>
    </row>
    <row r="91">
      <c r="A91" t="inlineStr">
        <is>
          <t>Consumo (l/100 km): PENDIENTE de fuente -&gt; se puntúa con NEUTRO.</t>
        </is>
      </c>
    </row>
    <row r="93">
      <c r="A93" s="8" t="inlineStr">
        <is>
          <t>Seguro estimado (€/año) — Terceros ampliado, conductor de 29 años, Mislata (46920), sin siniestros, coche en la calle, valor &lt; 5.000 €</t>
        </is>
      </c>
    </row>
    <row r="94">
      <c r="A94" s="7" t="inlineStr">
        <is>
          <t>Segmento</t>
        </is>
      </c>
      <c r="B94" s="7" t="inlineStr">
        <is>
          <t>Mínimo</t>
        </is>
      </c>
      <c r="C94" s="7" t="inlineStr">
        <is>
          <t>Estimación central</t>
        </is>
      </c>
      <c r="D94" s="7" t="inlineStr">
        <is>
          <t>Máximo</t>
        </is>
      </c>
      <c r="E94" s="7" t="inlineStr">
        <is>
          <t>Estado</t>
        </is>
      </c>
      <c r="F94" s="7" t="inlineStr">
        <is>
          <t>Fuentes</t>
        </is>
      </c>
    </row>
    <row r="95">
      <c r="A95" s="2" t="inlineStr">
        <is>
          <t>utilitario</t>
        </is>
      </c>
      <c r="B95" s="2" t="n">
        <v>170</v>
      </c>
      <c r="C95" s="2" t="n">
        <v>300</v>
      </c>
      <c r="D95" s="2" t="n">
        <v>420</v>
      </c>
      <c r="E95" t="inlineStr">
        <is>
          <t>aproximado (estimación por segmento; no se han pedido presupuestos con datos personales)</t>
        </is>
      </c>
      <c r="F95"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96">
      <c r="A96" s="2" t="inlineStr">
        <is>
          <t>compacto</t>
        </is>
      </c>
      <c r="B96" s="2" t="n">
        <v>190</v>
      </c>
      <c r="C96" s="2" t="n">
        <v>340</v>
      </c>
      <c r="D96" s="2" t="n">
        <v>480</v>
      </c>
      <c r="E96" t="inlineStr">
        <is>
          <t>aproximado (estimación por segmento; no se han pedido presupuestos con datos personales)</t>
        </is>
      </c>
      <c r="F96"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97">
      <c r="A97" t="inlineStr">
        <is>
          <t>Nota: A los 29 años el precio debería quedar entre la media de 25-34 (378 €, que incluye recargos de jóvenes) y la de 35-44 (302 €): inferencia, no cifra publicada. La diferencia utilitario/compacto y el efecto de aparcar en la calle no están cuantificados en ninguna fuente encontrada (PENDIENTE): el +40 € del compacto es un supuesto. Cifras por modelo: no fiables/antiguas, no se usan.</t>
        </is>
      </c>
    </row>
    <row r="98">
      <c r="A98" t="inlineStr">
        <is>
          <t>Seguro: referencia para 100 puntos (mínimo de la tabla)</t>
        </is>
      </c>
      <c r="B98" s="4">
        <f>MIN(B95:B96)</f>
        <v/>
      </c>
      <c r="C98" t="inlineStr">
        <is>
          <t>calculado</t>
        </is>
      </c>
      <c r="D98" t="inlineStr"/>
    </row>
    <row r="99">
      <c r="A99" t="inlineStr">
        <is>
          <t>Seguro: referencia para 0 puntos (máximo de la tabla)</t>
        </is>
      </c>
      <c r="B99" s="4">
        <f>MAX(D95:D96)</f>
        <v/>
      </c>
      <c r="C99" t="inlineStr">
        <is>
          <t>calculado</t>
        </is>
      </c>
      <c r="D99" t="inlineStr"/>
    </row>
    <row r="101">
      <c r="A101" s="6" t="inlineStr">
        <is>
          <t>5. Fiabilidad: medias TÜV por franja de edad</t>
        </is>
      </c>
    </row>
    <row r="102">
      <c r="A102" s="7" t="inlineStr">
        <is>
          <t>Franja</t>
        </is>
      </c>
      <c r="B102" s="7" t="inlineStr">
        <is>
          <t>Mängelquote media (%)</t>
        </is>
      </c>
      <c r="C102" s="7" t="inlineStr">
        <is>
          <t>Estado</t>
        </is>
      </c>
      <c r="D102" s="7" t="inlineStr">
        <is>
          <t>Fuente</t>
        </is>
      </c>
    </row>
    <row r="103">
      <c r="A103" s="2" t="inlineStr">
        <is>
          <t>10-11</t>
        </is>
      </c>
      <c r="B103" s="2" t="n">
        <v>22.9</v>
      </c>
      <c r="C103" t="inlineStr">
        <is>
          <t>probable</t>
        </is>
      </c>
      <c r="D103" t="inlineStr">
        <is>
          <t>https://www.tuev-verband.de/presse/publikationen/reporte/tuev-report-autobild</t>
        </is>
      </c>
    </row>
    <row r="104">
      <c r="A104" s="2" t="inlineStr">
        <is>
          <t>12-13</t>
        </is>
      </c>
      <c r="B104" s="2" t="n">
        <v>28.4</v>
      </c>
      <c r="C104" t="inlineStr">
        <is>
          <t>probable</t>
        </is>
      </c>
      <c r="D104" t="inlineStr">
        <is>
          <t>https://www.tuev-verband.de/presse/publikationen/reporte/tuev-report-autobild</t>
        </is>
      </c>
    </row>
    <row r="106">
      <c r="A106" s="6" t="inlineStr">
        <is>
          <t>6. Fiabilidad: índice OCU 2026 por marca</t>
        </is>
      </c>
    </row>
    <row r="107">
      <c r="A107" s="7" t="inlineStr">
        <is>
          <t>Marca</t>
        </is>
      </c>
      <c r="B107" s="7" t="inlineStr">
        <is>
          <t>Índice OCU (0-100)</t>
        </is>
      </c>
      <c r="C107" s="7" t="inlineStr">
        <is>
          <t>Estado</t>
        </is>
      </c>
      <c r="D107" s="7" t="inlineStr">
        <is>
          <t>Fuente</t>
        </is>
      </c>
    </row>
    <row r="108">
      <c r="A108" s="2" t="inlineStr">
        <is>
          <t>Lexus</t>
        </is>
      </c>
      <c r="B108" s="2" t="n">
        <v>93</v>
      </c>
      <c r="C108" t="inlineStr">
        <is>
          <t>probable</t>
        </is>
      </c>
      <c r="D108" t="inlineStr">
        <is>
          <t>https://www.ocu.org/organizacion/prensa/notas-de-prensa/2026/fiabcoches020326 ; https://es.motor1.com/news/789821/ocu-fiabilidad-2026-japoneses-tesla/</t>
        </is>
      </c>
    </row>
    <row r="109">
      <c r="A109" s="2" t="inlineStr">
        <is>
          <t>Subaru</t>
        </is>
      </c>
      <c r="B109" s="2" t="n">
        <v>91</v>
      </c>
      <c r="C109" t="inlineStr">
        <is>
          <t>probable</t>
        </is>
      </c>
      <c r="D109" t="inlineStr">
        <is>
          <t>https://www.ocu.org/organizacion/prensa/notas-de-prensa/2026/fiabcoches020326 ; https://es.motor1.com/news/789821/ocu-fiabilidad-2026-japoneses-tesla/</t>
        </is>
      </c>
    </row>
    <row r="110">
      <c r="A110" s="2" t="inlineStr">
        <is>
          <t>Toyota</t>
        </is>
      </c>
      <c r="B110" s="2" t="n">
        <v>91</v>
      </c>
      <c r="C110" t="inlineStr">
        <is>
          <t>probable</t>
        </is>
      </c>
      <c r="D110" t="inlineStr">
        <is>
          <t>https://www.ocu.org/organizacion/prensa/notas-de-prensa/2026/fiabcoches020326 ; https://es.motor1.com/news/789821/ocu-fiabilidad-2026-japoneses-tesla/</t>
        </is>
      </c>
    </row>
    <row r="111">
      <c r="A111" s="2" t="inlineStr">
        <is>
          <t>Suzuki</t>
        </is>
      </c>
      <c r="B111" s="2" t="n">
        <v>91</v>
      </c>
      <c r="C111" t="inlineStr">
        <is>
          <t>probable</t>
        </is>
      </c>
      <c r="D111" t="inlineStr">
        <is>
          <t>https://www.ocu.org/organizacion/prensa/notas-de-prensa/2026/fiabcoches020326 ; https://es.motor1.com/news/789821/ocu-fiabilidad-2026-japoneses-tesla/</t>
        </is>
      </c>
    </row>
    <row r="113">
      <c r="A113" s="6" t="inlineStr">
        <is>
          <t>6b. Fiabilidad: ADAC Pannenstatistik 2025 — averías por 1.000 vehículos, matriculación 2015</t>
        </is>
      </c>
    </row>
    <row r="114">
      <c r="A114" s="7" t="inlineStr">
        <is>
          <t>Fila ADAC</t>
        </is>
      </c>
      <c r="B114" s="7" t="inlineStr">
        <is>
          <t>Pannenkennziffer EZ 2015</t>
        </is>
      </c>
      <c r="C114" s="7" t="inlineStr">
        <is>
          <t>Estado</t>
        </is>
      </c>
      <c r="D114" s="7" t="inlineStr">
        <is>
          <t>Fuente</t>
        </is>
      </c>
    </row>
    <row r="115">
      <c r="A115" s="2" t="inlineStr">
        <is>
          <t>Audi A1</t>
        </is>
      </c>
      <c r="B115" s="2" t="n">
        <v>6</v>
      </c>
      <c r="C115" t="inlineStr">
        <is>
          <t>confirmado (PDF original descargado el 31-10-2026; extraído con tools/adac_extract.py, último valor de cada fila; C3/DS3 y Mégane revisados a mano)</t>
        </is>
      </c>
      <c r="D115" t="inlineStr">
        <is>
          <t>https://assets.adac.de/image/upload/v1744279730/ADAC-eV/KOR/Text/PDF/Pannenstatistik_2025_final_nrmvls.pdf</t>
        </is>
      </c>
    </row>
    <row r="116">
      <c r="A116" s="2" t="inlineStr">
        <is>
          <t>Audi A4</t>
        </is>
      </c>
      <c r="B116" s="2" t="n">
        <v>7.6</v>
      </c>
      <c r="C116" t="inlineStr"/>
      <c r="D116" t="inlineStr"/>
    </row>
    <row r="117">
      <c r="A117" s="2" t="inlineStr">
        <is>
          <t>Audi A5</t>
        </is>
      </c>
      <c r="B117" s="2" t="n">
        <v>11.1</v>
      </c>
      <c r="C117" t="inlineStr"/>
      <c r="D117" t="inlineStr"/>
    </row>
    <row r="118">
      <c r="A118" s="2" t="inlineStr">
        <is>
          <t>Audi Q5</t>
        </is>
      </c>
      <c r="B118" s="2" t="n">
        <v>13.8</v>
      </c>
      <c r="C118" t="inlineStr"/>
      <c r="D118" t="inlineStr"/>
    </row>
    <row r="119">
      <c r="A119" s="2" t="inlineStr">
        <is>
          <t>BMW 3er-Reihe</t>
        </is>
      </c>
      <c r="B119" s="2" t="n">
        <v>9.1</v>
      </c>
      <c r="C119" t="inlineStr"/>
      <c r="D119" t="inlineStr"/>
    </row>
    <row r="120">
      <c r="A120" s="2" t="inlineStr">
        <is>
          <t>BMW 4er-Reihe</t>
        </is>
      </c>
      <c r="B120" s="2" t="n">
        <v>7.5</v>
      </c>
      <c r="C120" t="inlineStr"/>
      <c r="D120" t="inlineStr"/>
    </row>
    <row r="121">
      <c r="A121" s="2" t="inlineStr">
        <is>
          <t>BMW 5er-Reihe</t>
        </is>
      </c>
      <c r="B121" s="2" t="n">
        <v>10.3</v>
      </c>
      <c r="C121" t="inlineStr"/>
      <c r="D121" t="inlineStr"/>
    </row>
    <row r="122">
      <c r="A122" s="2" t="inlineStr">
        <is>
          <t>BMW X1</t>
        </is>
      </c>
      <c r="B122" s="2" t="n">
        <v>14.2</v>
      </c>
      <c r="C122" t="inlineStr"/>
      <c r="D122" t="inlineStr"/>
    </row>
    <row r="123">
      <c r="A123" s="2" t="inlineStr">
        <is>
          <t>BMW X3</t>
        </is>
      </c>
      <c r="B123" s="2" t="n">
        <v>4.2</v>
      </c>
      <c r="C123" t="inlineStr"/>
      <c r="D123" t="inlineStr"/>
    </row>
    <row r="124">
      <c r="A124" s="2" t="inlineStr">
        <is>
          <t>BMW X5</t>
        </is>
      </c>
      <c r="B124" s="2" t="n">
        <v>14.1</v>
      </c>
      <c r="C124" t="inlineStr"/>
      <c r="D124" t="inlineStr"/>
    </row>
    <row r="125">
      <c r="A125" s="2" t="inlineStr">
        <is>
          <t>Citroen Berlingo, Fiat Doblò, Peugeot Partner/Rifter</t>
        </is>
      </c>
      <c r="B125" s="2" t="n">
        <v>19.5</v>
      </c>
      <c r="C125" t="inlineStr"/>
      <c r="D125" t="inlineStr"/>
    </row>
    <row r="126">
      <c r="A126" s="2" t="inlineStr">
        <is>
          <t>Citroen C3/DS 3</t>
        </is>
      </c>
      <c r="B126" s="2" t="n">
        <v>23.7</v>
      </c>
      <c r="C126" t="inlineStr"/>
      <c r="D126" t="inlineStr"/>
    </row>
    <row r="127">
      <c r="A127" s="2" t="inlineStr">
        <is>
          <t>DS Automobiles DS3, Citroen C3/DS 3</t>
        </is>
      </c>
      <c r="B127" s="2" t="n">
        <v>23.7</v>
      </c>
      <c r="C127" t="inlineStr"/>
      <c r="D127" t="inlineStr"/>
    </row>
    <row r="128">
      <c r="A128" s="2" t="inlineStr">
        <is>
          <t>Dacia Dokker</t>
        </is>
      </c>
      <c r="B128" s="2" t="n">
        <v>7.5</v>
      </c>
      <c r="C128" t="inlineStr"/>
      <c r="D128" t="inlineStr"/>
    </row>
    <row r="129">
      <c r="A129" s="2" t="inlineStr">
        <is>
          <t>Dacia Duster</t>
        </is>
      </c>
      <c r="B129" s="2" t="n">
        <v>22.9</v>
      </c>
      <c r="C129" t="inlineStr"/>
      <c r="D129" t="inlineStr"/>
    </row>
    <row r="130">
      <c r="A130" s="2" t="inlineStr">
        <is>
          <t>Dacia Logan</t>
        </is>
      </c>
      <c r="B130" s="2" t="n">
        <v>23.1</v>
      </c>
      <c r="C130" t="inlineStr"/>
      <c r="D130" t="inlineStr"/>
    </row>
    <row r="131">
      <c r="A131" s="2" t="inlineStr">
        <is>
          <t>Dacia Sandero</t>
        </is>
      </c>
      <c r="B131" s="2" t="n">
        <v>14.1</v>
      </c>
      <c r="C131" t="inlineStr"/>
      <c r="D131" t="inlineStr"/>
    </row>
    <row r="132">
      <c r="A132" s="2" t="inlineStr">
        <is>
          <t>Fiat 500</t>
        </is>
      </c>
      <c r="B132" s="2" t="n">
        <v>23.6</v>
      </c>
      <c r="C132" t="inlineStr"/>
      <c r="D132" t="inlineStr"/>
    </row>
    <row r="133">
      <c r="A133" s="2" t="inlineStr">
        <is>
          <t>Fiat Ducato</t>
        </is>
      </c>
      <c r="B133" s="2" t="n">
        <v>45.6</v>
      </c>
      <c r="C133" t="inlineStr"/>
      <c r="D133" t="inlineStr"/>
    </row>
    <row r="134">
      <c r="A134" s="2" t="inlineStr">
        <is>
          <t>Fiat Panda</t>
        </is>
      </c>
      <c r="B134" s="2" t="n">
        <v>16.5</v>
      </c>
      <c r="C134" t="inlineStr"/>
      <c r="D134" t="inlineStr"/>
    </row>
    <row r="135">
      <c r="A135" s="2" t="inlineStr">
        <is>
          <t>Ford B-MAX</t>
        </is>
      </c>
      <c r="B135" s="2" t="n">
        <v>17.7</v>
      </c>
      <c r="C135" t="inlineStr"/>
      <c r="D135" t="inlineStr"/>
    </row>
    <row r="136">
      <c r="A136" s="2" t="inlineStr">
        <is>
          <t>Ford C-MAX</t>
        </is>
      </c>
      <c r="B136" s="2" t="n">
        <v>25</v>
      </c>
      <c r="C136" t="inlineStr"/>
      <c r="D136" t="inlineStr"/>
    </row>
    <row r="137">
      <c r="A137" s="2" t="inlineStr">
        <is>
          <t>Ford Fiesta (Courier)</t>
        </is>
      </c>
      <c r="B137" s="2" t="n">
        <v>20.4</v>
      </c>
      <c r="C137" t="inlineStr"/>
      <c r="D137" t="inlineStr"/>
    </row>
    <row r="138">
      <c r="A138" s="2" t="inlineStr">
        <is>
          <t>Ford Focus</t>
        </is>
      </c>
      <c r="B138" s="2" t="n">
        <v>25.2</v>
      </c>
      <c r="C138" t="inlineStr"/>
      <c r="D138" t="inlineStr"/>
    </row>
    <row r="139">
      <c r="A139" s="2" t="inlineStr">
        <is>
          <t>Ford Kuga</t>
        </is>
      </c>
      <c r="B139" s="2" t="n">
        <v>23.6</v>
      </c>
      <c r="C139" t="inlineStr"/>
      <c r="D139" t="inlineStr"/>
    </row>
    <row r="140">
      <c r="A140" s="2" t="inlineStr">
        <is>
          <t>Ford Ranger</t>
        </is>
      </c>
      <c r="B140" s="2" t="n">
        <v>16.7</v>
      </c>
      <c r="C140" t="inlineStr"/>
      <c r="D140" t="inlineStr"/>
    </row>
    <row r="141">
      <c r="A141" s="2" t="inlineStr">
        <is>
          <t>Ford Tourneo/Transit Connect</t>
        </is>
      </c>
      <c r="B141" s="2" t="n">
        <v>23.5</v>
      </c>
      <c r="C141" t="inlineStr"/>
      <c r="D141" t="inlineStr"/>
    </row>
    <row r="142">
      <c r="A142" s="2" t="inlineStr">
        <is>
          <t>Ford Tourneo/Transit Custom</t>
        </is>
      </c>
      <c r="B142" s="2" t="n">
        <v>18.6</v>
      </c>
      <c r="C142" t="inlineStr"/>
      <c r="D142" t="inlineStr"/>
    </row>
    <row r="143">
      <c r="A143" s="2" t="inlineStr">
        <is>
          <t>Hyundai Tucson</t>
        </is>
      </c>
      <c r="B143" s="2" t="n">
        <v>18.2</v>
      </c>
      <c r="C143" t="inlineStr"/>
      <c r="D143" t="inlineStr"/>
    </row>
    <row r="144">
      <c r="A144" s="2" t="inlineStr">
        <is>
          <t>Hyundai i10</t>
        </is>
      </c>
      <c r="B144" s="2" t="n">
        <v>18.6</v>
      </c>
      <c r="C144" t="inlineStr"/>
      <c r="D144" t="inlineStr"/>
    </row>
    <row r="145">
      <c r="A145" s="2" t="inlineStr">
        <is>
          <t>Hyundai i20</t>
        </is>
      </c>
      <c r="B145" s="2" t="n">
        <v>21.1</v>
      </c>
      <c r="C145" t="inlineStr"/>
      <c r="D145" t="inlineStr"/>
    </row>
    <row r="146">
      <c r="A146" s="2" t="inlineStr">
        <is>
          <t>Hyundai i30</t>
        </is>
      </c>
      <c r="B146" s="2" t="n">
        <v>16.8</v>
      </c>
      <c r="C146" t="inlineStr"/>
      <c r="D146" t="inlineStr"/>
    </row>
    <row r="147">
      <c r="A147" s="2" t="inlineStr">
        <is>
          <t>Hyundai ix20</t>
        </is>
      </c>
      <c r="B147" s="2" t="n">
        <v>21.1</v>
      </c>
      <c r="C147" t="inlineStr"/>
      <c r="D147" t="inlineStr"/>
    </row>
    <row r="148">
      <c r="A148" s="2" t="inlineStr">
        <is>
          <t>KIA Ceed/XCeed</t>
        </is>
      </c>
      <c r="B148" s="2" t="n">
        <v>15.4</v>
      </c>
      <c r="C148" t="inlineStr"/>
      <c r="D148" t="inlineStr"/>
    </row>
    <row r="149">
      <c r="A149" s="2" t="inlineStr">
        <is>
          <t>Kia Picanto</t>
        </is>
      </c>
      <c r="B149" s="2" t="n">
        <v>24.4</v>
      </c>
      <c r="C149" t="inlineStr"/>
      <c r="D149" t="inlineStr"/>
    </row>
    <row r="150">
      <c r="A150" s="2" t="inlineStr">
        <is>
          <t>Kia Sportage</t>
        </is>
      </c>
      <c r="B150" s="2" t="n">
        <v>19.7</v>
      </c>
      <c r="C150" t="inlineStr"/>
      <c r="D150" t="inlineStr"/>
    </row>
    <row r="151">
      <c r="A151" s="2" t="inlineStr">
        <is>
          <t>MINI MINI</t>
        </is>
      </c>
      <c r="B151" s="2" t="n">
        <v>11.6</v>
      </c>
      <c r="C151" t="inlineStr"/>
      <c r="D151" t="inlineStr"/>
    </row>
    <row r="152">
      <c r="A152" s="2" t="inlineStr">
        <is>
          <t>Mazda 2</t>
        </is>
      </c>
      <c r="B152" s="2" t="n">
        <v>6.6</v>
      </c>
      <c r="C152" t="inlineStr"/>
      <c r="D152" t="inlineStr"/>
    </row>
    <row r="153">
      <c r="A153" s="2" t="inlineStr">
        <is>
          <t>Mazda 3</t>
        </is>
      </c>
      <c r="B153" s="2" t="n">
        <v>12.3</v>
      </c>
      <c r="C153" t="inlineStr"/>
      <c r="D153" t="inlineStr"/>
    </row>
    <row r="154">
      <c r="A154" s="2" t="inlineStr">
        <is>
          <t>Mazda CX-3</t>
        </is>
      </c>
      <c r="B154" s="2" t="n">
        <v>9.1</v>
      </c>
      <c r="C154" t="inlineStr"/>
      <c r="D154" t="inlineStr"/>
    </row>
    <row r="155">
      <c r="A155" s="2" t="inlineStr">
        <is>
          <t>Mazda CX-5</t>
        </is>
      </c>
      <c r="B155" s="2" t="n">
        <v>15.1</v>
      </c>
      <c r="C155" t="inlineStr"/>
      <c r="D155" t="inlineStr"/>
    </row>
    <row r="156">
      <c r="A156" s="2" t="inlineStr">
        <is>
          <t>Mercedes-Benz A-Klasse</t>
        </is>
      </c>
      <c r="B156" s="2" t="n">
        <v>13.9</v>
      </c>
      <c r="C156" t="inlineStr"/>
      <c r="D156" t="inlineStr"/>
    </row>
    <row r="157">
      <c r="A157" s="2" t="inlineStr">
        <is>
          <t>Mercedes-Benz B-Klasse</t>
        </is>
      </c>
      <c r="B157" s="2" t="n">
        <v>12.8</v>
      </c>
      <c r="C157" t="inlineStr"/>
      <c r="D157" t="inlineStr"/>
    </row>
    <row r="158">
      <c r="A158" s="2" t="inlineStr">
        <is>
          <t>Mercedes-Benz C-Klasse</t>
        </is>
      </c>
      <c r="B158" s="2" t="n">
        <v>11.4</v>
      </c>
      <c r="C158" t="inlineStr"/>
      <c r="D158" t="inlineStr"/>
    </row>
    <row r="159">
      <c r="A159" s="2" t="inlineStr">
        <is>
          <t>Mercedes-Benz CLA</t>
        </is>
      </c>
      <c r="B159" s="2" t="n">
        <v>19.3</v>
      </c>
      <c r="C159" t="inlineStr"/>
      <c r="D159" t="inlineStr"/>
    </row>
    <row r="160">
      <c r="A160" s="2" t="inlineStr">
        <is>
          <t>Mercedes-Benz Citan</t>
        </is>
      </c>
      <c r="B160" s="2" t="n">
        <v>21.9</v>
      </c>
      <c r="C160" t="inlineStr"/>
      <c r="D160" t="inlineStr"/>
    </row>
    <row r="161">
      <c r="A161" s="2" t="inlineStr">
        <is>
          <t>Mercedes-Benz E-Klasse</t>
        </is>
      </c>
      <c r="B161" s="2" t="n">
        <v>19.5</v>
      </c>
      <c r="C161" t="inlineStr"/>
      <c r="D161" t="inlineStr"/>
    </row>
    <row r="162">
      <c r="A162" s="2" t="inlineStr">
        <is>
          <t>Mercedes-Benz GLA</t>
        </is>
      </c>
      <c r="B162" s="2" t="n">
        <v>10.7</v>
      </c>
      <c r="C162" t="inlineStr"/>
      <c r="D162" t="inlineStr"/>
    </row>
    <row r="163">
      <c r="A163" s="2" t="inlineStr">
        <is>
          <t>Mercedes-Benz GLE</t>
        </is>
      </c>
      <c r="B163" s="2" t="n">
        <v>13</v>
      </c>
      <c r="C163" t="inlineStr"/>
      <c r="D163" t="inlineStr"/>
    </row>
    <row r="164">
      <c r="A164" s="2" t="inlineStr">
        <is>
          <t>Mitsubishi ASX</t>
        </is>
      </c>
      <c r="B164" s="2" t="n">
        <v>8.800000000000001</v>
      </c>
      <c r="C164" t="inlineStr"/>
      <c r="D164" t="inlineStr"/>
    </row>
    <row r="165">
      <c r="A165" s="2" t="inlineStr">
        <is>
          <t>Mitsubishi Space Star</t>
        </is>
      </c>
      <c r="B165" s="2" t="n">
        <v>25.9</v>
      </c>
      <c r="C165" t="inlineStr"/>
      <c r="D165" t="inlineStr"/>
    </row>
    <row r="166">
      <c r="A166" s="2" t="inlineStr">
        <is>
          <t>Nissan Micra</t>
        </is>
      </c>
      <c r="B166" s="2" t="n">
        <v>18.4</v>
      </c>
      <c r="C166" t="inlineStr"/>
      <c r="D166" t="inlineStr"/>
    </row>
    <row r="167">
      <c r="A167" s="2" t="inlineStr">
        <is>
          <t>Nissan Qashqai</t>
        </is>
      </c>
      <c r="B167" s="2" t="n">
        <v>24.9</v>
      </c>
      <c r="C167" t="inlineStr"/>
      <c r="D167" t="inlineStr"/>
    </row>
    <row r="168">
      <c r="A168" s="2" t="inlineStr">
        <is>
          <t>Opel ADAM</t>
        </is>
      </c>
      <c r="B168" s="2" t="n">
        <v>21</v>
      </c>
      <c r="C168" t="inlineStr"/>
      <c r="D168" t="inlineStr"/>
    </row>
    <row r="169">
      <c r="A169" s="2" t="inlineStr">
        <is>
          <t>Opel Astra</t>
        </is>
      </c>
      <c r="B169" s="2" t="n">
        <v>22.2</v>
      </c>
      <c r="C169" t="inlineStr"/>
      <c r="D169" t="inlineStr"/>
    </row>
    <row r="170">
      <c r="A170" s="2" t="inlineStr">
        <is>
          <t>Opel Corsa</t>
        </is>
      </c>
      <c r="B170" s="2" t="n">
        <v>20.2</v>
      </c>
      <c r="C170" t="inlineStr"/>
      <c r="D170" t="inlineStr"/>
    </row>
    <row r="171">
      <c r="A171" s="2" t="inlineStr">
        <is>
          <t>Opel KARL</t>
        </is>
      </c>
      <c r="B171" s="2" t="n">
        <v>20.4</v>
      </c>
      <c r="C171" t="inlineStr"/>
      <c r="D171" t="inlineStr"/>
    </row>
    <row r="172">
      <c r="A172" s="2" t="inlineStr">
        <is>
          <t>Opel Meriva</t>
        </is>
      </c>
      <c r="B172" s="2" t="n">
        <v>26.2</v>
      </c>
      <c r="C172" t="inlineStr"/>
      <c r="D172" t="inlineStr"/>
    </row>
    <row r="173">
      <c r="A173" s="2" t="inlineStr">
        <is>
          <t>Opel Mokka</t>
        </is>
      </c>
      <c r="B173" s="2" t="n">
        <v>20.4</v>
      </c>
      <c r="C173" t="inlineStr"/>
      <c r="D173" t="inlineStr"/>
    </row>
    <row r="174">
      <c r="A174" s="2" t="inlineStr">
        <is>
          <t>Opel Zafira</t>
        </is>
      </c>
      <c r="B174" s="2" t="n">
        <v>30.2</v>
      </c>
      <c r="C174" t="inlineStr"/>
      <c r="D174" t="inlineStr"/>
    </row>
    <row r="175">
      <c r="A175" s="2" t="inlineStr">
        <is>
          <t>Peugeot 2008</t>
        </is>
      </c>
      <c r="B175" s="2" t="n">
        <v>13.4</v>
      </c>
      <c r="C175" t="inlineStr"/>
      <c r="D175" t="inlineStr"/>
    </row>
    <row r="176">
      <c r="A176" s="2" t="inlineStr">
        <is>
          <t>Peugeot 208</t>
        </is>
      </c>
      <c r="B176" s="2" t="n">
        <v>20.4</v>
      </c>
      <c r="C176" t="inlineStr"/>
      <c r="D176" t="inlineStr"/>
    </row>
    <row r="177">
      <c r="A177" s="2" t="inlineStr">
        <is>
          <t>Peugeot 308</t>
        </is>
      </c>
      <c r="B177" s="2" t="n">
        <v>25.6</v>
      </c>
      <c r="C177" t="inlineStr"/>
      <c r="D177" t="inlineStr"/>
    </row>
    <row r="178">
      <c r="A178" s="2" t="inlineStr">
        <is>
          <t>Renault Clio/Captur</t>
        </is>
      </c>
      <c r="B178" s="2" t="n">
        <v>26</v>
      </c>
      <c r="C178" t="inlineStr"/>
      <c r="D178" t="inlineStr"/>
    </row>
    <row r="179">
      <c r="A179" s="2" t="inlineStr">
        <is>
          <t>Renault Kangoo/Rapid</t>
        </is>
      </c>
      <c r="B179" s="2" t="n">
        <v>26.8</v>
      </c>
      <c r="C179" t="inlineStr"/>
      <c r="D179" t="inlineStr"/>
    </row>
    <row r="180">
      <c r="A180" s="2" t="inlineStr">
        <is>
          <t>Renault Master</t>
        </is>
      </c>
      <c r="B180" s="2" t="n">
        <v>19.5</v>
      </c>
      <c r="C180" t="inlineStr"/>
      <c r="D180" t="inlineStr"/>
    </row>
    <row r="181">
      <c r="A181" s="2" t="inlineStr">
        <is>
          <t>Renault Mégane</t>
        </is>
      </c>
      <c r="B181" s="2" t="n">
        <v>28.1</v>
      </c>
      <c r="C181" t="inlineStr"/>
      <c r="D181" t="inlineStr"/>
    </row>
    <row r="182">
      <c r="A182" s="2" t="inlineStr">
        <is>
          <t>Renault Scénic</t>
        </is>
      </c>
      <c r="B182" s="2" t="n">
        <v>29.1</v>
      </c>
      <c r="C182" t="inlineStr"/>
      <c r="D182" t="inlineStr"/>
    </row>
    <row r="183">
      <c r="A183" s="2" t="inlineStr">
        <is>
          <t>Renault Twingo</t>
        </is>
      </c>
      <c r="B183" s="2" t="n">
        <v>20.7</v>
      </c>
      <c r="C183" t="inlineStr"/>
      <c r="D183" t="inlineStr"/>
    </row>
    <row r="184">
      <c r="A184" s="2" t="inlineStr">
        <is>
          <t>SEAT Ibiza</t>
        </is>
      </c>
      <c r="B184" s="2" t="n">
        <v>16.8</v>
      </c>
      <c r="C184" t="inlineStr"/>
      <c r="D184" t="inlineStr"/>
    </row>
    <row r="185">
      <c r="A185" s="2" t="inlineStr">
        <is>
          <t>SEAT Leon</t>
        </is>
      </c>
      <c r="B185" s="2" t="n">
        <v>10</v>
      </c>
      <c r="C185" t="inlineStr"/>
      <c r="D185" t="inlineStr"/>
    </row>
    <row r="186">
      <c r="A186" s="2" t="inlineStr">
        <is>
          <t>Skoda Fabia</t>
        </is>
      </c>
      <c r="B186" s="2" t="n">
        <v>12.8</v>
      </c>
      <c r="C186" t="inlineStr"/>
      <c r="D186" t="inlineStr"/>
    </row>
    <row r="187">
      <c r="A187" s="2" t="inlineStr">
        <is>
          <t>Skoda Octavia</t>
        </is>
      </c>
      <c r="B187" s="2" t="n">
        <v>10.4</v>
      </c>
      <c r="C187" t="inlineStr"/>
      <c r="D187" t="inlineStr"/>
    </row>
    <row r="188">
      <c r="A188" s="2" t="inlineStr">
        <is>
          <t>Skoda Rapid</t>
        </is>
      </c>
      <c r="B188" s="2" t="n">
        <v>15.1</v>
      </c>
      <c r="C188" t="inlineStr"/>
      <c r="D188" t="inlineStr"/>
    </row>
    <row r="189">
      <c r="A189" s="2" t="inlineStr">
        <is>
          <t>Skoda Yeti</t>
        </is>
      </c>
      <c r="B189" s="2" t="n">
        <v>14</v>
      </c>
      <c r="C189" t="inlineStr"/>
      <c r="D189" t="inlineStr"/>
    </row>
    <row r="190">
      <c r="A190" s="2" t="inlineStr">
        <is>
          <t>Suzuki Swift</t>
        </is>
      </c>
      <c r="B190" s="2" t="n">
        <v>12</v>
      </c>
      <c r="C190" t="inlineStr"/>
      <c r="D190" t="inlineStr"/>
    </row>
    <row r="191">
      <c r="A191" s="2" t="inlineStr">
        <is>
          <t>Toyota Auris</t>
        </is>
      </c>
      <c r="B191" s="2" t="n">
        <v>19.3</v>
      </c>
      <c r="C191" t="inlineStr"/>
      <c r="D191" t="inlineStr"/>
    </row>
    <row r="192">
      <c r="A192" s="2" t="inlineStr">
        <is>
          <t>Toyota Aygo</t>
        </is>
      </c>
      <c r="B192" s="2" t="n">
        <v>12</v>
      </c>
      <c r="C192" t="inlineStr"/>
      <c r="D192" t="inlineStr"/>
    </row>
    <row r="193">
      <c r="A193" s="2" t="inlineStr">
        <is>
          <t>Toyota Yaris</t>
        </is>
      </c>
      <c r="B193" s="2" t="n">
        <v>22.8</v>
      </c>
      <c r="C193" t="inlineStr"/>
      <c r="D193" t="inlineStr"/>
    </row>
    <row r="194">
      <c r="A194" s="2" t="inlineStr">
        <is>
          <t>VW Beetle</t>
        </is>
      </c>
      <c r="B194" s="2" t="n">
        <v>11.8</v>
      </c>
      <c r="C194" t="inlineStr"/>
      <c r="D194" t="inlineStr"/>
    </row>
    <row r="195">
      <c r="A195" s="2" t="inlineStr">
        <is>
          <t>VW Golf</t>
        </is>
      </c>
      <c r="B195" s="2" t="n">
        <v>10.5</v>
      </c>
      <c r="C195" t="inlineStr"/>
      <c r="D195" t="inlineStr"/>
    </row>
    <row r="196">
      <c r="A196" s="2" t="inlineStr">
        <is>
          <t>VW Nutzfahrzeuge Caddy</t>
        </is>
      </c>
      <c r="B196" s="2" t="n">
        <v>16.4</v>
      </c>
      <c r="C196" t="inlineStr"/>
      <c r="D196" t="inlineStr"/>
    </row>
    <row r="197">
      <c r="A197" s="2" t="inlineStr">
        <is>
          <t>VW Polo</t>
        </is>
      </c>
      <c r="B197" s="2" t="n">
        <v>14.9</v>
      </c>
      <c r="C197" t="inlineStr"/>
      <c r="D197" t="inlineStr"/>
    </row>
    <row r="198">
      <c r="A198" s="2" t="inlineStr">
        <is>
          <t>VW Tiguan</t>
        </is>
      </c>
      <c r="B198" s="2" t="n">
        <v>11.4</v>
      </c>
      <c r="C198" t="inlineStr"/>
      <c r="D198" t="inlineStr"/>
    </row>
    <row r="199">
      <c r="A199" s="2" t="inlineStr">
        <is>
          <t>VW Touran</t>
        </is>
      </c>
      <c r="B199" s="2" t="n">
        <v>20.3</v>
      </c>
      <c r="C199" t="inlineStr"/>
      <c r="D199" t="inlineStr"/>
    </row>
    <row r="200">
      <c r="A200" s="2" t="inlineStr">
        <is>
          <t>smart forfour</t>
        </is>
      </c>
      <c r="B200" s="2" t="n">
        <v>27.5</v>
      </c>
      <c r="C200" t="inlineStr"/>
      <c r="D200" t="inlineStr"/>
    </row>
    <row r="201">
      <c r="A201" s="2" t="inlineStr">
        <is>
          <t>smart fortwo</t>
        </is>
      </c>
      <c r="B201" s="2" t="n">
        <v>21</v>
      </c>
      <c r="C201" t="inlineStr"/>
      <c r="D201" t="inlineStr"/>
    </row>
    <row r="202">
      <c r="A202" t="inlineStr">
        <is>
          <t>ADAC: mediana de la tabla (referencia 50 puntos)</t>
        </is>
      </c>
      <c r="B202" s="4">
        <f>MEDIAN(B115:B201)</f>
        <v/>
      </c>
      <c r="C202" t="inlineStr">
        <is>
          <t>calculado</t>
        </is>
      </c>
      <c r="D202" t="inlineStr">
        <is>
          <t>punt_ADAC = 50 + 100·(mediana − PKZ)/mediana, acotado 0-100; mediana de todas las filas de la tabla</t>
        </is>
      </c>
    </row>
    <row r="204">
      <c r="A204" s="6" t="inlineStr">
        <is>
          <t>7. Fiabilidad por modelo (punt. TÜV = 50 + 100·(media − MQ)/media; punt. ADAC = 50 + 100·(ref − PKZ)/ref; punt. modelo = media de TÜV, ADAC y OCU marca)</t>
        </is>
      </c>
    </row>
    <row r="205">
      <c r="A205" s="7" t="inlineStr">
        <is>
          <t>Modelo</t>
        </is>
      </c>
      <c r="B205" s="7" t="inlineStr">
        <is>
          <t>Marca</t>
        </is>
      </c>
      <c r="C205" s="7" t="inlineStr">
        <is>
          <t>TÜV Mängelquote (%)</t>
        </is>
      </c>
      <c r="D205" s="7" t="inlineStr">
        <is>
          <t>Franja</t>
        </is>
      </c>
      <c r="E205" s="7" t="inlineStr">
        <is>
          <t>Media franja (%)</t>
        </is>
      </c>
      <c r="F205" s="7" t="inlineStr">
        <is>
          <t>Punt. TÜV</t>
        </is>
      </c>
      <c r="G205" s="7" t="inlineStr">
        <is>
          <t>Fila ADAC</t>
        </is>
      </c>
      <c r="H205" s="7" t="inlineStr">
        <is>
          <t>ADAC PKZ 2015</t>
        </is>
      </c>
      <c r="I205" s="7" t="inlineStr">
        <is>
          <t>Punt. ADAC</t>
        </is>
      </c>
      <c r="J205" s="7" t="inlineStr">
        <is>
          <t>Punt. OCU marca</t>
        </is>
      </c>
      <c r="K205" s="7" t="inlineStr">
        <is>
          <t>Punt. modelo</t>
        </is>
      </c>
      <c r="L205" s="7" t="inlineStr">
        <is>
          <t>Pendiente</t>
        </is>
      </c>
      <c r="M205" s="7" t="inlineStr">
        <is>
          <t>Estado</t>
        </is>
      </c>
      <c r="N205" s="7" t="inlineStr">
        <is>
          <t>Fuente</t>
        </is>
      </c>
    </row>
    <row r="206">
      <c r="A206" s="2" t="inlineStr">
        <is>
          <t>Renault Clio</t>
        </is>
      </c>
      <c r="B206" s="2" t="inlineStr">
        <is>
          <t>Renault</t>
        </is>
      </c>
      <c r="C206" s="2" t="n">
        <v>40.4</v>
      </c>
      <c r="D206" s="2" t="inlineStr">
        <is>
          <t>12-13</t>
        </is>
      </c>
      <c r="E206" s="4">
        <f>VLOOKUP(D206,TUV_MEDIAS,2,0)</f>
        <v/>
      </c>
      <c r="F206" s="4">
        <f>IF(C206="","",MAX(0,MIN(100,50+100*(E206-C206)/E206)))</f>
        <v/>
      </c>
      <c r="G206" s="2" t="inlineStr">
        <is>
          <t>Renault Clio/Captur</t>
        </is>
      </c>
      <c r="H206" s="4">
        <f>IF(G206="","",IFERROR(VLOOKUP(G206,ADAC_TBL,2,0),""))</f>
        <v/>
      </c>
      <c r="I206" s="4">
        <f>IF(H206="","",MAX(0,MIN(100,50+100*(ADAC_REF-H206)/ADAC_REF)))</f>
        <v/>
      </c>
      <c r="J206" s="4">
        <f>IFERROR(VLOOKUP(B206,OCU_TBL,2,0),"")</f>
        <v/>
      </c>
      <c r="K206" s="4">
        <f>IF(COUNT(F206,I206,J206)=0,NEUTRO,AVERAGE(F206,I206,J206))</f>
        <v/>
      </c>
      <c r="L206" s="4">
        <f>IF(COUNT(F206,I206,J206)=0,"PENDIENTE","")</f>
        <v/>
      </c>
      <c r="M206" t="inlineStr">
        <is>
          <t>probable</t>
        </is>
      </c>
      <c r="N206" t="inlineStr">
        <is>
          <t>TÜV Report 2026 vía https://www.autobild.de/artikel/tuev-report-2026-gewinner-verlierer-28424531.html (peor de su franja)</t>
        </is>
      </c>
    </row>
    <row r="207">
      <c r="A207" s="2" t="inlineStr">
        <is>
          <t>Dacia Sandero</t>
        </is>
      </c>
      <c r="B207" s="2" t="inlineStr">
        <is>
          <t>Dacia</t>
        </is>
      </c>
      <c r="C207" s="2" t="n">
        <v>31.5</v>
      </c>
      <c r="D207" s="2" t="inlineStr">
        <is>
          <t>10-11</t>
        </is>
      </c>
      <c r="E207" s="4">
        <f>VLOOKUP(D207,TUV_MEDIAS,2,0)</f>
        <v/>
      </c>
      <c r="F207" s="4">
        <f>IF(C207="","",MAX(0,MIN(100,50+100*(E207-C207)/E207)))</f>
        <v/>
      </c>
      <c r="G207" s="2" t="inlineStr">
        <is>
          <t>Dacia Sandero</t>
        </is>
      </c>
      <c r="H207" s="4">
        <f>IF(G207="","",IFERROR(VLOOKUP(G207,ADAC_TBL,2,0),""))</f>
        <v/>
      </c>
      <c r="I207" s="4">
        <f>IF(H207="","",MAX(0,MIN(100,50+100*(ADAC_REF-H207)/ADAC_REF)))</f>
        <v/>
      </c>
      <c r="J207" s="4">
        <f>IFERROR(VLOOKUP(B207,OCU_TBL,2,0),"")</f>
        <v/>
      </c>
      <c r="K207" s="4">
        <f>IF(COUNT(F207,I207,J207)=0,NEUTRO,AVERAGE(F207,I207,J207))</f>
        <v/>
      </c>
      <c r="L207" s="4">
        <f>IF(COUNT(F207,I207,J207)=0,"PENDIENTE","")</f>
        <v/>
      </c>
      <c r="M207" t="inlineStr">
        <is>
          <t>probable (edición no fechada en el resumen)</t>
        </is>
      </c>
      <c r="N207" t="inlineStr">
        <is>
          <t>https://www.tuev-verband.de/presse/publikationen/reporte/tuev-report-autobild</t>
        </is>
      </c>
    </row>
    <row r="208">
      <c r="A208" s="2" t="inlineStr">
        <is>
          <t>Renault Mégane</t>
        </is>
      </c>
      <c r="B208" s="2" t="inlineStr">
        <is>
          <t>Renault</t>
        </is>
      </c>
      <c r="C208" s="2" t="n">
        <v>31.7</v>
      </c>
      <c r="D208" s="2" t="inlineStr">
        <is>
          <t>10-11</t>
        </is>
      </c>
      <c r="E208" s="4">
        <f>VLOOKUP(D208,TUV_MEDIAS,2,0)</f>
        <v/>
      </c>
      <c r="F208" s="4">
        <f>IF(C208="","",MAX(0,MIN(100,50+100*(E208-C208)/E208)))</f>
        <v/>
      </c>
      <c r="G208" s="2" t="inlineStr">
        <is>
          <t>Renault Mégane</t>
        </is>
      </c>
      <c r="H208" s="4">
        <f>IF(G208="","",IFERROR(VLOOKUP(G208,ADAC_TBL,2,0),""))</f>
        <v/>
      </c>
      <c r="I208" s="4">
        <f>IF(H208="","",MAX(0,MIN(100,50+100*(ADAC_REF-H208)/ADAC_REF)))</f>
        <v/>
      </c>
      <c r="J208" s="4">
        <f>IFERROR(VLOOKUP(B208,OCU_TBL,2,0),"")</f>
        <v/>
      </c>
      <c r="K208" s="4">
        <f>IF(COUNT(F208,I208,J208)=0,NEUTRO,AVERAGE(F208,I208,J208))</f>
        <v/>
      </c>
      <c r="L208" s="4">
        <f>IF(COUNT(F208,I208,J208)=0,"PENDIENTE","")</f>
        <v/>
      </c>
      <c r="M208" t="inlineStr">
        <is>
          <t>probable (edición no fechada en el resumen)</t>
        </is>
      </c>
      <c r="N208" t="inlineStr">
        <is>
          <t>https://www.tuev-verband.de/presse/publikationen/reporte/tuev-report-autobild</t>
        </is>
      </c>
    </row>
    <row r="209">
      <c r="A209" s="2" t="inlineStr">
        <is>
          <t>Ford Focus</t>
        </is>
      </c>
      <c r="B209" s="2" t="inlineStr">
        <is>
          <t>Ford</t>
        </is>
      </c>
      <c r="C209" s="2" t="n">
        <v>34.8</v>
      </c>
      <c r="D209" s="2" t="inlineStr">
        <is>
          <t>12-13</t>
        </is>
      </c>
      <c r="E209" s="2" t="n">
        <v>28.1</v>
      </c>
      <c r="F209" s="4">
        <f>IF(C209="","",MAX(0,MIN(100,50+100*(E209-C209)/E209)))</f>
        <v/>
      </c>
      <c r="G209" s="2" t="inlineStr">
        <is>
          <t>Ford Focus</t>
        </is>
      </c>
      <c r="H209" s="4">
        <f>IF(G209="","",IFERROR(VLOOKUP(G209,ADAC_TBL,2,0),""))</f>
        <v/>
      </c>
      <c r="I209" s="4">
        <f>IF(H209="","",MAX(0,MIN(100,50+100*(ADAC_REF-H209)/ADAC_REF)))</f>
        <v/>
      </c>
      <c r="J209" s="4">
        <f>IFERROR(VLOOKUP(B209,OCU_TBL,2,0),"")</f>
        <v/>
      </c>
      <c r="K209" s="4">
        <f>IF(COUNT(F209,I209,J209)=0,NEUTRO,AVERAGE(F209,I209,J209))</f>
        <v/>
      </c>
      <c r="L209" s="4">
        <f>IF(COUNT(F209,I209,J209)=0,"PENDIENTE","")</f>
        <v/>
      </c>
      <c r="M209" t="inlineStr">
        <is>
          <t>probable (TÜV 2025; media de franja 28,1 % en esa edición)</t>
        </is>
      </c>
      <c r="N209" t="inlineStr">
        <is>
          <t>https://www.t-online.de/mobilitaet/aktuelles/id_100543260/tuev-report-das-sind-die-schlechtesten-kompakten-gebrauchten.html</t>
        </is>
      </c>
    </row>
    <row r="210">
      <c r="A210" s="2" t="inlineStr">
        <is>
          <t>Volkswagen Golf</t>
        </is>
      </c>
      <c r="B210" s="2" t="inlineStr">
        <is>
          <t>Volkswagen</t>
        </is>
      </c>
      <c r="C210" s="2" t="n">
        <v>17.4</v>
      </c>
      <c r="D210" s="2" t="inlineStr">
        <is>
          <t>10-11</t>
        </is>
      </c>
      <c r="E210" s="4">
        <f>VLOOKUP(D210,TUV_MEDIAS,2,0)</f>
        <v/>
      </c>
      <c r="F210" s="4">
        <f>IF(C210="","",MAX(0,MIN(100,50+100*(E210-C210)/E210)))</f>
        <v/>
      </c>
      <c r="G210" s="2" t="inlineStr">
        <is>
          <t>VW Golf</t>
        </is>
      </c>
      <c r="H210" s="4">
        <f>IF(G210="","",IFERROR(VLOOKUP(G210,ADAC_TBL,2,0),""))</f>
        <v/>
      </c>
      <c r="I210" s="4">
        <f>IF(H210="","",MAX(0,MIN(100,50+100*(ADAC_REF-H210)/ADAC_REF)))</f>
        <v/>
      </c>
      <c r="J210" s="4">
        <f>IFERROR(VLOOKUP(B210,OCU_TBL,2,0),"")</f>
        <v/>
      </c>
      <c r="K210" s="4">
        <f>IF(COUNT(F210,I210,J210)=0,NEUTRO,AVERAGE(F210,I210,J210))</f>
        <v/>
      </c>
      <c r="L210" s="4">
        <f>IF(COUNT(F210,I210,J210)=0,"PENDIENTE","")</f>
        <v/>
      </c>
      <c r="M210" t="inlineStr">
        <is>
          <t>probable (el resumen lo marcó dudoso)</t>
        </is>
      </c>
      <c r="N210" t="inlineStr">
        <is>
          <t>https://www.tuvsud.com/de-de/publikationen/tuev-report/maengelzwerge-und-fehlerriesen</t>
        </is>
      </c>
    </row>
    <row r="211">
      <c r="A211" s="2" t="inlineStr">
        <is>
          <t>Mazda 3</t>
        </is>
      </c>
      <c r="B211" s="2" t="inlineStr">
        <is>
          <t>Mazda</t>
        </is>
      </c>
      <c r="C211" s="2" t="n">
        <v>20.9</v>
      </c>
      <c r="D211" s="2" t="inlineStr">
        <is>
          <t>12-13</t>
        </is>
      </c>
      <c r="E211" s="4">
        <f>VLOOKUP(D211,TUV_MEDIAS,2,0)</f>
        <v/>
      </c>
      <c r="F211" s="4">
        <f>IF(C211="","",MAX(0,MIN(100,50+100*(E211-C211)/E211)))</f>
        <v/>
      </c>
      <c r="G211" s="2" t="inlineStr">
        <is>
          <t>Mazda 3</t>
        </is>
      </c>
      <c r="H211" s="4">
        <f>IF(G211="","",IFERROR(VLOOKUP(G211,ADAC_TBL,2,0),""))</f>
        <v/>
      </c>
      <c r="I211" s="4">
        <f>IF(H211="","",MAX(0,MIN(100,50+100*(ADAC_REF-H211)/ADAC_REF)))</f>
        <v/>
      </c>
      <c r="J211" s="4">
        <f>IFERROR(VLOOKUP(B211,OCU_TBL,2,0),"")</f>
        <v/>
      </c>
      <c r="K211" s="4">
        <f>IF(COUNT(F211,I211,J211)=0,NEUTRO,AVERAGE(F211,I211,J211))</f>
        <v/>
      </c>
      <c r="L211" s="4">
        <f>IF(COUNT(F211,I211,J211)=0,"PENDIENTE","")</f>
        <v/>
      </c>
      <c r="M211" t="inlineStr">
        <is>
          <t>probable (sin verificar)</t>
        </is>
      </c>
      <c r="N211" t="inlineStr">
        <is>
          <t>https://www.tuvsud.com/de-de/publikationen/tuev-report/maengelzwerge-und-fehlerriesen</t>
        </is>
      </c>
    </row>
    <row r="212">
      <c r="A212" s="2" t="inlineStr">
        <is>
          <t>Mitsubishi Space Star</t>
        </is>
      </c>
      <c r="B212" s="2" t="inlineStr">
        <is>
          <t>Mitsubishi</t>
        </is>
      </c>
      <c r="F212" s="4">
        <f>IF(C212="","",MAX(0,MIN(100,50+100*(E212-C212)/E212)))</f>
        <v/>
      </c>
      <c r="G212" s="2" t="inlineStr">
        <is>
          <t>Mitsubishi Space Star</t>
        </is>
      </c>
      <c r="H212" s="4">
        <f>IF(G212="","",IFERROR(VLOOKUP(G212,ADAC_TBL,2,0),""))</f>
        <v/>
      </c>
      <c r="I212" s="4">
        <f>IF(H212="","",MAX(0,MIN(100,50+100*(ADAC_REF-H212)/ADAC_REF)))</f>
        <v/>
      </c>
      <c r="J212" s="4">
        <f>IFERROR(VLOOKUP(B212,OCU_TBL,2,0),"")</f>
        <v/>
      </c>
      <c r="K212" s="4">
        <f>IF(COUNT(F212,I212,J212)=0,NEUTRO,AVERAGE(F212,I212,J212))</f>
        <v/>
      </c>
      <c r="L212" s="4">
        <f>IF(COUNT(F212,I212,J212)=0,"PENDIENTE","")</f>
        <v/>
      </c>
      <c r="M212" t="inlineStr">
        <is>
          <t>solo ADAC</t>
        </is>
      </c>
      <c r="N212" t="inlineStr"/>
    </row>
    <row r="213">
      <c r="A213" s="2" t="inlineStr">
        <is>
          <t>Toyota Aygo</t>
        </is>
      </c>
      <c r="B213" s="2" t="inlineStr">
        <is>
          <t>Toyota</t>
        </is>
      </c>
      <c r="F213" s="4">
        <f>IF(C213="","",MAX(0,MIN(100,50+100*(E213-C213)/E213)))</f>
        <v/>
      </c>
      <c r="G213" s="2" t="inlineStr">
        <is>
          <t>Toyota Aygo</t>
        </is>
      </c>
      <c r="H213" s="4">
        <f>IF(G213="","",IFERROR(VLOOKUP(G213,ADAC_TBL,2,0),""))</f>
        <v/>
      </c>
      <c r="I213" s="4">
        <f>IF(H213="","",MAX(0,MIN(100,50+100*(ADAC_REF-H213)/ADAC_REF)))</f>
        <v/>
      </c>
      <c r="J213" s="4">
        <f>IFERROR(VLOOKUP(B213,OCU_TBL,2,0),"")</f>
        <v/>
      </c>
      <c r="K213" s="4">
        <f>IF(COUNT(F213,I213,J213)=0,NEUTRO,AVERAGE(F213,I213,J213))</f>
        <v/>
      </c>
      <c r="L213" s="4">
        <f>IF(COUNT(F213,I213,J213)=0,"PENDIENTE","")</f>
        <v/>
      </c>
      <c r="M213" t="inlineStr">
        <is>
          <t>solo ADAC</t>
        </is>
      </c>
      <c r="N213" t="inlineStr"/>
    </row>
    <row r="214">
      <c r="A214" s="2" t="inlineStr">
        <is>
          <t>Fiat Panda</t>
        </is>
      </c>
      <c r="B214" s="2" t="inlineStr">
        <is>
          <t>Fiat</t>
        </is>
      </c>
      <c r="F214" s="4">
        <f>IF(C214="","",MAX(0,MIN(100,50+100*(E214-C214)/E214)))</f>
        <v/>
      </c>
      <c r="G214" s="2" t="inlineStr">
        <is>
          <t>Fiat Panda</t>
        </is>
      </c>
      <c r="H214" s="4">
        <f>IF(G214="","",IFERROR(VLOOKUP(G214,ADAC_TBL,2,0),""))</f>
        <v/>
      </c>
      <c r="I214" s="4">
        <f>IF(H214="","",MAX(0,MIN(100,50+100*(ADAC_REF-H214)/ADAC_REF)))</f>
        <v/>
      </c>
      <c r="J214" s="4">
        <f>IFERROR(VLOOKUP(B214,OCU_TBL,2,0),"")</f>
        <v/>
      </c>
      <c r="K214" s="4">
        <f>IF(COUNT(F214,I214,J214)=0,NEUTRO,AVERAGE(F214,I214,J214))</f>
        <v/>
      </c>
      <c r="L214" s="4">
        <f>IF(COUNT(F214,I214,J214)=0,"PENDIENTE","")</f>
        <v/>
      </c>
      <c r="M214" t="inlineStr">
        <is>
          <t>solo ADAC</t>
        </is>
      </c>
      <c r="N214" t="inlineStr"/>
    </row>
    <row r="215">
      <c r="A215" s="2" t="inlineStr">
        <is>
          <t>Dacia Logan</t>
        </is>
      </c>
      <c r="B215" s="2" t="inlineStr">
        <is>
          <t>Dacia</t>
        </is>
      </c>
      <c r="F215" s="4">
        <f>IF(C215="","",MAX(0,MIN(100,50+100*(E215-C215)/E215)))</f>
        <v/>
      </c>
      <c r="G215" s="2" t="inlineStr">
        <is>
          <t>Dacia Logan</t>
        </is>
      </c>
      <c r="H215" s="4">
        <f>IF(G215="","",IFERROR(VLOOKUP(G215,ADAC_TBL,2,0),""))</f>
        <v/>
      </c>
      <c r="I215" s="4">
        <f>IF(H215="","",MAX(0,MIN(100,50+100*(ADAC_REF-H215)/ADAC_REF)))</f>
        <v/>
      </c>
      <c r="J215" s="4">
        <f>IFERROR(VLOOKUP(B215,OCU_TBL,2,0),"")</f>
        <v/>
      </c>
      <c r="K215" s="4">
        <f>IF(COUNT(F215,I215,J215)=0,NEUTRO,AVERAGE(F215,I215,J215))</f>
        <v/>
      </c>
      <c r="L215" s="4">
        <f>IF(COUNT(F215,I215,J215)=0,"PENDIENTE","")</f>
        <v/>
      </c>
      <c r="M215" t="inlineStr">
        <is>
          <t>solo ADAC</t>
        </is>
      </c>
      <c r="N215" t="inlineStr"/>
    </row>
    <row r="216">
      <c r="A216" s="2" t="inlineStr">
        <is>
          <t>Toyota Yaris</t>
        </is>
      </c>
      <c r="B216" s="2" t="inlineStr">
        <is>
          <t>Toyota</t>
        </is>
      </c>
      <c r="F216" s="4">
        <f>IF(C216="","",MAX(0,MIN(100,50+100*(E216-C216)/E216)))</f>
        <v/>
      </c>
      <c r="G216" s="2" t="inlineStr">
        <is>
          <t>Toyota Yaris</t>
        </is>
      </c>
      <c r="H216" s="4">
        <f>IF(G216="","",IFERROR(VLOOKUP(G216,ADAC_TBL,2,0),""))</f>
        <v/>
      </c>
      <c r="I216" s="4">
        <f>IF(H216="","",MAX(0,MIN(100,50+100*(ADAC_REF-H216)/ADAC_REF)))</f>
        <v/>
      </c>
      <c r="J216" s="4">
        <f>IFERROR(VLOOKUP(B216,OCU_TBL,2,0),"")</f>
        <v/>
      </c>
      <c r="K216" s="4">
        <f>IF(COUNT(F216,I216,J216)=0,NEUTRO,AVERAGE(F216,I216,J216))</f>
        <v/>
      </c>
      <c r="L216" s="4">
        <f>IF(COUNT(F216,I216,J216)=0,"PENDIENTE","")</f>
        <v/>
      </c>
      <c r="M216" t="inlineStr">
        <is>
          <t>PENDIENTE</t>
        </is>
      </c>
      <c r="N216" t="inlineStr"/>
    </row>
    <row r="217">
      <c r="A217" s="2" t="inlineStr">
        <is>
          <t>Toyota Auris</t>
        </is>
      </c>
      <c r="B217" s="2" t="inlineStr">
        <is>
          <t>Toyota</t>
        </is>
      </c>
      <c r="F217" s="4">
        <f>IF(C217="","",MAX(0,MIN(100,50+100*(E217-C217)/E217)))</f>
        <v/>
      </c>
      <c r="G217" s="2" t="inlineStr">
        <is>
          <t>Toyota Auris</t>
        </is>
      </c>
      <c r="H217" s="4">
        <f>IF(G217="","",IFERROR(VLOOKUP(G217,ADAC_TBL,2,0),""))</f>
        <v/>
      </c>
      <c r="I217" s="4">
        <f>IF(H217="","",MAX(0,MIN(100,50+100*(ADAC_REF-H217)/ADAC_REF)))</f>
        <v/>
      </c>
      <c r="J217" s="4">
        <f>IFERROR(VLOOKUP(B217,OCU_TBL,2,0),"")</f>
        <v/>
      </c>
      <c r="K217" s="4">
        <f>IF(COUNT(F217,I217,J217)=0,NEUTRO,AVERAGE(F217,I217,J217))</f>
        <v/>
      </c>
      <c r="L217" s="4">
        <f>IF(COUNT(F217,I217,J217)=0,"PENDIENTE","")</f>
        <v/>
      </c>
      <c r="M217" t="inlineStr">
        <is>
          <t>PENDIENTE</t>
        </is>
      </c>
      <c r="N217" t="inlineStr"/>
    </row>
    <row r="218">
      <c r="A218" s="2" t="inlineStr">
        <is>
          <t>Toyota Corolla</t>
        </is>
      </c>
      <c r="B218" s="2" t="inlineStr">
        <is>
          <t>Toyota</t>
        </is>
      </c>
      <c r="F218" s="4">
        <f>IF(C218="","",MAX(0,MIN(100,50+100*(E218-C218)/E218)))</f>
        <v/>
      </c>
      <c r="H218" s="4">
        <f>IF(G218="","",IFERROR(VLOOKUP(G218,ADAC_TBL,2,0),""))</f>
        <v/>
      </c>
      <c r="I218" s="4">
        <f>IF(H218="","",MAX(0,MIN(100,50+100*(ADAC_REF-H218)/ADAC_REF)))</f>
        <v/>
      </c>
      <c r="J218" s="4">
        <f>IFERROR(VLOOKUP(B218,OCU_TBL,2,0),"")</f>
        <v/>
      </c>
      <c r="K218" s="4">
        <f>IF(COUNT(F218,I218,J218)=0,NEUTRO,AVERAGE(F218,I218,J218))</f>
        <v/>
      </c>
      <c r="L218" s="4">
        <f>IF(COUNT(F218,I218,J218)=0,"PENDIENTE","")</f>
        <v/>
      </c>
      <c r="M218" t="inlineStr">
        <is>
          <t>PENDIENTE</t>
        </is>
      </c>
      <c r="N218" t="inlineStr"/>
    </row>
    <row r="219">
      <c r="A219" s="2" t="inlineStr">
        <is>
          <t>Honda Jazz</t>
        </is>
      </c>
      <c r="B219" s="2" t="inlineStr">
        <is>
          <t>Honda</t>
        </is>
      </c>
      <c r="F219" s="4">
        <f>IF(C219="","",MAX(0,MIN(100,50+100*(E219-C219)/E219)))</f>
        <v/>
      </c>
      <c r="H219" s="4">
        <f>IF(G219="","",IFERROR(VLOOKUP(G219,ADAC_TBL,2,0),""))</f>
        <v/>
      </c>
      <c r="I219" s="4">
        <f>IF(H219="","",MAX(0,MIN(100,50+100*(ADAC_REF-H219)/ADAC_REF)))</f>
        <v/>
      </c>
      <c r="J219" s="4">
        <f>IFERROR(VLOOKUP(B219,OCU_TBL,2,0),"")</f>
        <v/>
      </c>
      <c r="K219" s="4">
        <f>IF(COUNT(F219,I219,J219)=0,NEUTRO,AVERAGE(F219,I219,J219))</f>
        <v/>
      </c>
      <c r="L219" s="4">
        <f>IF(COUNT(F219,I219,J219)=0,"PENDIENTE","")</f>
        <v/>
      </c>
      <c r="M219" t="inlineStr">
        <is>
          <t>PENDIENTE</t>
        </is>
      </c>
      <c r="N219" t="inlineStr"/>
    </row>
    <row r="220">
      <c r="A220" s="2" t="inlineStr">
        <is>
          <t>Honda Civic</t>
        </is>
      </c>
      <c r="B220" s="2" t="inlineStr">
        <is>
          <t>Honda</t>
        </is>
      </c>
      <c r="F220" s="4">
        <f>IF(C220="","",MAX(0,MIN(100,50+100*(E220-C220)/E220)))</f>
        <v/>
      </c>
      <c r="H220" s="4">
        <f>IF(G220="","",IFERROR(VLOOKUP(G220,ADAC_TBL,2,0),""))</f>
        <v/>
      </c>
      <c r="I220" s="4">
        <f>IF(H220="","",MAX(0,MIN(100,50+100*(ADAC_REF-H220)/ADAC_REF)))</f>
        <v/>
      </c>
      <c r="J220" s="4">
        <f>IFERROR(VLOOKUP(B220,OCU_TBL,2,0),"")</f>
        <v/>
      </c>
      <c r="K220" s="4">
        <f>IF(COUNT(F220,I220,J220)=0,NEUTRO,AVERAGE(F220,I220,J220))</f>
        <v/>
      </c>
      <c r="L220" s="4">
        <f>IF(COUNT(F220,I220,J220)=0,"PENDIENTE","")</f>
        <v/>
      </c>
      <c r="M220" t="inlineStr">
        <is>
          <t>PENDIENTE</t>
        </is>
      </c>
      <c r="N220" t="inlineStr"/>
    </row>
    <row r="221">
      <c r="A221" s="2" t="inlineStr">
        <is>
          <t>Mazda 2</t>
        </is>
      </c>
      <c r="B221" s="2" t="inlineStr">
        <is>
          <t>Mazda</t>
        </is>
      </c>
      <c r="F221" s="4">
        <f>IF(C221="","",MAX(0,MIN(100,50+100*(E221-C221)/E221)))</f>
        <v/>
      </c>
      <c r="G221" s="2" t="inlineStr">
        <is>
          <t>Mazda 2</t>
        </is>
      </c>
      <c r="H221" s="4">
        <f>IF(G221="","",IFERROR(VLOOKUP(G221,ADAC_TBL,2,0),""))</f>
        <v/>
      </c>
      <c r="I221" s="4">
        <f>IF(H221="","",MAX(0,MIN(100,50+100*(ADAC_REF-H221)/ADAC_REF)))</f>
        <v/>
      </c>
      <c r="J221" s="4">
        <f>IFERROR(VLOOKUP(B221,OCU_TBL,2,0),"")</f>
        <v/>
      </c>
      <c r="K221" s="4">
        <f>IF(COUNT(F221,I221,J221)=0,NEUTRO,AVERAGE(F221,I221,J221))</f>
        <v/>
      </c>
      <c r="L221" s="4">
        <f>IF(COUNT(F221,I221,J221)=0,"PENDIENTE","")</f>
        <v/>
      </c>
      <c r="M221" t="inlineStr">
        <is>
          <t>PENDIENTE (TÜV 2026 solo da franjas jóvenes: 2,9 % a 2-3 años; ADAC 2026 lo pone entre los mejores Kleinwagen 2016-2023)</t>
        </is>
      </c>
      <c r="N221" t="inlineStr"/>
    </row>
    <row r="222">
      <c r="A222" s="2" t="inlineStr">
        <is>
          <t>Kia Rio</t>
        </is>
      </c>
      <c r="B222" s="2" t="inlineStr">
        <is>
          <t>Kia</t>
        </is>
      </c>
      <c r="F222" s="4">
        <f>IF(C222="","",MAX(0,MIN(100,50+100*(E222-C222)/E222)))</f>
        <v/>
      </c>
      <c r="H222" s="4">
        <f>IF(G222="","",IFERROR(VLOOKUP(G222,ADAC_TBL,2,0),""))</f>
        <v/>
      </c>
      <c r="I222" s="4">
        <f>IF(H222="","",MAX(0,MIN(100,50+100*(ADAC_REF-H222)/ADAC_REF)))</f>
        <v/>
      </c>
      <c r="J222" s="4">
        <f>IFERROR(VLOOKUP(B222,OCU_TBL,2,0),"")</f>
        <v/>
      </c>
      <c r="K222" s="4">
        <f>IF(COUNT(F222,I222,J222)=0,NEUTRO,AVERAGE(F222,I222,J222))</f>
        <v/>
      </c>
      <c r="L222" s="4">
        <f>IF(COUNT(F222,I222,J222)=0,"PENDIENTE","")</f>
        <v/>
      </c>
      <c r="M222" t="inlineStr">
        <is>
          <t>PENDIENTE</t>
        </is>
      </c>
      <c r="N222" t="inlineStr"/>
    </row>
    <row r="223">
      <c r="A223" s="2" t="inlineStr">
        <is>
          <t>Kia Ceed</t>
        </is>
      </c>
      <c r="B223" s="2" t="inlineStr">
        <is>
          <t>Kia</t>
        </is>
      </c>
      <c r="F223" s="4">
        <f>IF(C223="","",MAX(0,MIN(100,50+100*(E223-C223)/E223)))</f>
        <v/>
      </c>
      <c r="G223" s="2" t="inlineStr">
        <is>
          <t>KIA Ceed/XCeed</t>
        </is>
      </c>
      <c r="H223" s="4">
        <f>IF(G223="","",IFERROR(VLOOKUP(G223,ADAC_TBL,2,0),""))</f>
        <v/>
      </c>
      <c r="I223" s="4">
        <f>IF(H223="","",MAX(0,MIN(100,50+100*(ADAC_REF-H223)/ADAC_REF)))</f>
        <v/>
      </c>
      <c r="J223" s="4">
        <f>IFERROR(VLOOKUP(B223,OCU_TBL,2,0),"")</f>
        <v/>
      </c>
      <c r="K223" s="4">
        <f>IF(COUNT(F223,I223,J223)=0,NEUTRO,AVERAGE(F223,I223,J223))</f>
        <v/>
      </c>
      <c r="L223" s="4">
        <f>IF(COUNT(F223,I223,J223)=0,"PENDIENTE","")</f>
        <v/>
      </c>
      <c r="M223" t="inlineStr">
        <is>
          <t>PENDIENTE</t>
        </is>
      </c>
      <c r="N223" t="inlineStr"/>
    </row>
    <row r="224">
      <c r="A224" s="2" t="inlineStr">
        <is>
          <t>Kia Picanto</t>
        </is>
      </c>
      <c r="B224" s="2" t="inlineStr">
        <is>
          <t>Kia</t>
        </is>
      </c>
      <c r="F224" s="4">
        <f>IF(C224="","",MAX(0,MIN(100,50+100*(E224-C224)/E224)))</f>
        <v/>
      </c>
      <c r="G224" s="2" t="inlineStr">
        <is>
          <t>Kia Picanto</t>
        </is>
      </c>
      <c r="H224" s="4">
        <f>IF(G224="","",IFERROR(VLOOKUP(G224,ADAC_TBL,2,0),""))</f>
        <v/>
      </c>
      <c r="I224" s="4">
        <f>IF(H224="","",MAX(0,MIN(100,50+100*(ADAC_REF-H224)/ADAC_REF)))</f>
        <v/>
      </c>
      <c r="J224" s="4">
        <f>IFERROR(VLOOKUP(B224,OCU_TBL,2,0),"")</f>
        <v/>
      </c>
      <c r="K224" s="4">
        <f>IF(COUNT(F224,I224,J224)=0,NEUTRO,AVERAGE(F224,I224,J224))</f>
        <v/>
      </c>
      <c r="L224" s="4">
        <f>IF(COUNT(F224,I224,J224)=0,"PENDIENTE","")</f>
        <v/>
      </c>
      <c r="M224" t="inlineStr">
        <is>
          <t>PENDIENTE</t>
        </is>
      </c>
      <c r="N224" t="inlineStr"/>
    </row>
    <row r="225">
      <c r="A225" s="2" t="inlineStr">
        <is>
          <t>Hyundai i10</t>
        </is>
      </c>
      <c r="B225" s="2" t="inlineStr">
        <is>
          <t>Hyundai</t>
        </is>
      </c>
      <c r="F225" s="4">
        <f>IF(C225="","",MAX(0,MIN(100,50+100*(E225-C225)/E225)))</f>
        <v/>
      </c>
      <c r="G225" s="2" t="inlineStr">
        <is>
          <t>Hyundai i10</t>
        </is>
      </c>
      <c r="H225" s="4">
        <f>IF(G225="","",IFERROR(VLOOKUP(G225,ADAC_TBL,2,0),""))</f>
        <v/>
      </c>
      <c r="I225" s="4">
        <f>IF(H225="","",MAX(0,MIN(100,50+100*(ADAC_REF-H225)/ADAC_REF)))</f>
        <v/>
      </c>
      <c r="J225" s="4">
        <f>IFERROR(VLOOKUP(B225,OCU_TBL,2,0),"")</f>
        <v/>
      </c>
      <c r="K225" s="4">
        <f>IF(COUNT(F225,I225,J225)=0,NEUTRO,AVERAGE(F225,I225,J225))</f>
        <v/>
      </c>
      <c r="L225" s="4">
        <f>IF(COUNT(F225,I225,J225)=0,"PENDIENTE","")</f>
        <v/>
      </c>
      <c r="M225" t="inlineStr">
        <is>
          <t>PENDIENTE</t>
        </is>
      </c>
      <c r="N225" t="inlineStr"/>
    </row>
    <row r="226">
      <c r="A226" s="2" t="inlineStr">
        <is>
          <t>Hyundai i20</t>
        </is>
      </c>
      <c r="B226" s="2" t="inlineStr">
        <is>
          <t>Hyundai</t>
        </is>
      </c>
      <c r="F226" s="4">
        <f>IF(C226="","",MAX(0,MIN(100,50+100*(E226-C226)/E226)))</f>
        <v/>
      </c>
      <c r="G226" s="2" t="inlineStr">
        <is>
          <t>Hyundai i20</t>
        </is>
      </c>
      <c r="H226" s="4">
        <f>IF(G226="","",IFERROR(VLOOKUP(G226,ADAC_TBL,2,0),""))</f>
        <v/>
      </c>
      <c r="I226" s="4">
        <f>IF(H226="","",MAX(0,MIN(100,50+100*(ADAC_REF-H226)/ADAC_REF)))</f>
        <v/>
      </c>
      <c r="J226" s="4">
        <f>IFERROR(VLOOKUP(B226,OCU_TBL,2,0),"")</f>
        <v/>
      </c>
      <c r="K226" s="4">
        <f>IF(COUNT(F226,I226,J226)=0,NEUTRO,AVERAGE(F226,I226,J226))</f>
        <v/>
      </c>
      <c r="L226" s="4">
        <f>IF(COUNT(F226,I226,J226)=0,"PENDIENTE","")</f>
        <v/>
      </c>
      <c r="M226" t="inlineStr">
        <is>
          <t>PENDIENTE</t>
        </is>
      </c>
      <c r="N226" t="inlineStr"/>
    </row>
    <row r="227">
      <c r="A227" s="2" t="inlineStr">
        <is>
          <t>Hyundai i30</t>
        </is>
      </c>
      <c r="B227" s="2" t="inlineStr">
        <is>
          <t>Hyundai</t>
        </is>
      </c>
      <c r="F227" s="4">
        <f>IF(C227="","",MAX(0,MIN(100,50+100*(E227-C227)/E227)))</f>
        <v/>
      </c>
      <c r="G227" s="2" t="inlineStr">
        <is>
          <t>Hyundai i30</t>
        </is>
      </c>
      <c r="H227" s="4">
        <f>IF(G227="","",IFERROR(VLOOKUP(G227,ADAC_TBL,2,0),""))</f>
        <v/>
      </c>
      <c r="I227" s="4">
        <f>IF(H227="","",MAX(0,MIN(100,50+100*(ADAC_REF-H227)/ADAC_REF)))</f>
        <v/>
      </c>
      <c r="J227" s="4">
        <f>IFERROR(VLOOKUP(B227,OCU_TBL,2,0),"")</f>
        <v/>
      </c>
      <c r="K227" s="4">
        <f>IF(COUNT(F227,I227,J227)=0,NEUTRO,AVERAGE(F227,I227,J227))</f>
        <v/>
      </c>
      <c r="L227" s="4">
        <f>IF(COUNT(F227,I227,J227)=0,"PENDIENTE","")</f>
        <v/>
      </c>
      <c r="M227" t="inlineStr">
        <is>
          <t>PENDIENTE</t>
        </is>
      </c>
      <c r="N227" t="inlineStr"/>
    </row>
    <row r="228">
      <c r="A228" s="2" t="inlineStr">
        <is>
          <t>Skoda Fabia</t>
        </is>
      </c>
      <c r="B228" s="2" t="inlineStr">
        <is>
          <t>Skoda</t>
        </is>
      </c>
      <c r="F228" s="4">
        <f>IF(C228="","",MAX(0,MIN(100,50+100*(E228-C228)/E228)))</f>
        <v/>
      </c>
      <c r="G228" s="2" t="inlineStr">
        <is>
          <t>Skoda Fabia</t>
        </is>
      </c>
      <c r="H228" s="4">
        <f>IF(G228="","",IFERROR(VLOOKUP(G228,ADAC_TBL,2,0),""))</f>
        <v/>
      </c>
      <c r="I228" s="4">
        <f>IF(H228="","",MAX(0,MIN(100,50+100*(ADAC_REF-H228)/ADAC_REF)))</f>
        <v/>
      </c>
      <c r="J228" s="4">
        <f>IFERROR(VLOOKUP(B228,OCU_TBL,2,0),"")</f>
        <v/>
      </c>
      <c r="K228" s="4">
        <f>IF(COUNT(F228,I228,J228)=0,NEUTRO,AVERAGE(F228,I228,J228))</f>
        <v/>
      </c>
      <c r="L228" s="4">
        <f>IF(COUNT(F228,I228,J228)=0,"PENDIENTE","")</f>
        <v/>
      </c>
      <c r="M228" t="inlineStr">
        <is>
          <t>PENDIENTE (ADAC 2026 entre los mejores Kleinwagen 2016-2023, sin cifra)</t>
        </is>
      </c>
      <c r="N228" t="inlineStr"/>
    </row>
    <row r="229">
      <c r="A229" s="2" t="inlineStr">
        <is>
          <t>Skoda Octavia</t>
        </is>
      </c>
      <c r="B229" s="2" t="inlineStr">
        <is>
          <t>Skoda</t>
        </is>
      </c>
      <c r="F229" s="4">
        <f>IF(C229="","",MAX(0,MIN(100,50+100*(E229-C229)/E229)))</f>
        <v/>
      </c>
      <c r="G229" s="2" t="inlineStr">
        <is>
          <t>Skoda Octavia</t>
        </is>
      </c>
      <c r="H229" s="4">
        <f>IF(G229="","",IFERROR(VLOOKUP(G229,ADAC_TBL,2,0),""))</f>
        <v/>
      </c>
      <c r="I229" s="4">
        <f>IF(H229="","",MAX(0,MIN(100,50+100*(ADAC_REF-H229)/ADAC_REF)))</f>
        <v/>
      </c>
      <c r="J229" s="4">
        <f>IFERROR(VLOOKUP(B229,OCU_TBL,2,0),"")</f>
        <v/>
      </c>
      <c r="K229" s="4">
        <f>IF(COUNT(F229,I229,J229)=0,NEUTRO,AVERAGE(F229,I229,J229))</f>
        <v/>
      </c>
      <c r="L229" s="4">
        <f>IF(COUNT(F229,I229,J229)=0,"PENDIENTE","")</f>
        <v/>
      </c>
      <c r="M229" t="inlineStr">
        <is>
          <t>PENDIENTE</t>
        </is>
      </c>
      <c r="N229" t="inlineStr"/>
    </row>
    <row r="230">
      <c r="A230" s="2" t="inlineStr">
        <is>
          <t>Seat Ibiza</t>
        </is>
      </c>
      <c r="B230" s="2" t="inlineStr">
        <is>
          <t>Seat</t>
        </is>
      </c>
      <c r="F230" s="4">
        <f>IF(C230="","",MAX(0,MIN(100,50+100*(E230-C230)/E230)))</f>
        <v/>
      </c>
      <c r="G230" s="2" t="inlineStr">
        <is>
          <t>SEAT Ibiza</t>
        </is>
      </c>
      <c r="H230" s="4">
        <f>IF(G230="","",IFERROR(VLOOKUP(G230,ADAC_TBL,2,0),""))</f>
        <v/>
      </c>
      <c r="I230" s="4">
        <f>IF(H230="","",MAX(0,MIN(100,50+100*(ADAC_REF-H230)/ADAC_REF)))</f>
        <v/>
      </c>
      <c r="J230" s="4">
        <f>IFERROR(VLOOKUP(B230,OCU_TBL,2,0),"")</f>
        <v/>
      </c>
      <c r="K230" s="4">
        <f>IF(COUNT(F230,I230,J230)=0,NEUTRO,AVERAGE(F230,I230,J230))</f>
        <v/>
      </c>
      <c r="L230" s="4">
        <f>IF(COUNT(F230,I230,J230)=0,"PENDIENTE","")</f>
        <v/>
      </c>
      <c r="M230" t="inlineStr">
        <is>
          <t>PENDIENTE (ADAC 2026 entre los mejores Kleinwagen 2016-2023, sin cifra)</t>
        </is>
      </c>
      <c r="N230" t="inlineStr"/>
    </row>
    <row r="231">
      <c r="A231" s="2" t="inlineStr">
        <is>
          <t>Seat León</t>
        </is>
      </c>
      <c r="B231" s="2" t="inlineStr">
        <is>
          <t>Seat</t>
        </is>
      </c>
      <c r="F231" s="4">
        <f>IF(C231="","",MAX(0,MIN(100,50+100*(E231-C231)/E231)))</f>
        <v/>
      </c>
      <c r="G231" s="2" t="inlineStr">
        <is>
          <t>SEAT Leon</t>
        </is>
      </c>
      <c r="H231" s="4">
        <f>IF(G231="","",IFERROR(VLOOKUP(G231,ADAC_TBL,2,0),""))</f>
        <v/>
      </c>
      <c r="I231" s="4">
        <f>IF(H231="","",MAX(0,MIN(100,50+100*(ADAC_REF-H231)/ADAC_REF)))</f>
        <v/>
      </c>
      <c r="J231" s="4">
        <f>IFERROR(VLOOKUP(B231,OCU_TBL,2,0),"")</f>
        <v/>
      </c>
      <c r="K231" s="4">
        <f>IF(COUNT(F231,I231,J231)=0,NEUTRO,AVERAGE(F231,I231,J231))</f>
        <v/>
      </c>
      <c r="L231" s="4">
        <f>IF(COUNT(F231,I231,J231)=0,"PENDIENTE","")</f>
        <v/>
      </c>
      <c r="M231" t="inlineStr">
        <is>
          <t>PENDIENTE</t>
        </is>
      </c>
      <c r="N231" t="inlineStr"/>
    </row>
    <row r="232">
      <c r="A232" s="2" t="inlineStr">
        <is>
          <t>Volkswagen Polo</t>
        </is>
      </c>
      <c r="B232" s="2" t="inlineStr">
        <is>
          <t>Volkswagen</t>
        </is>
      </c>
      <c r="F232" s="4">
        <f>IF(C232="","",MAX(0,MIN(100,50+100*(E232-C232)/E232)))</f>
        <v/>
      </c>
      <c r="G232" s="2" t="inlineStr">
        <is>
          <t>VW Polo</t>
        </is>
      </c>
      <c r="H232" s="4">
        <f>IF(G232="","",IFERROR(VLOOKUP(G232,ADAC_TBL,2,0),""))</f>
        <v/>
      </c>
      <c r="I232" s="4">
        <f>IF(H232="","",MAX(0,MIN(100,50+100*(ADAC_REF-H232)/ADAC_REF)))</f>
        <v/>
      </c>
      <c r="J232" s="4">
        <f>IFERROR(VLOOKUP(B232,OCU_TBL,2,0),"")</f>
        <v/>
      </c>
      <c r="K232" s="4">
        <f>IF(COUNT(F232,I232,J232)=0,NEUTRO,AVERAGE(F232,I232,J232))</f>
        <v/>
      </c>
      <c r="L232" s="4">
        <f>IF(COUNT(F232,I232,J232)=0,"PENDIENTE","")</f>
        <v/>
      </c>
      <c r="M232" t="inlineStr">
        <is>
          <t>PENDIENTE (ADAC 2026 entre los mejores Kleinwagen 2016-2023, sin cifra)</t>
        </is>
      </c>
      <c r="N232" t="inlineStr"/>
    </row>
    <row r="233">
      <c r="A233" s="2" t="inlineStr">
        <is>
          <t>Opel Corsa</t>
        </is>
      </c>
      <c r="B233" s="2" t="inlineStr">
        <is>
          <t>Opel</t>
        </is>
      </c>
      <c r="F233" s="4">
        <f>IF(C233="","",MAX(0,MIN(100,50+100*(E233-C233)/E233)))</f>
        <v/>
      </c>
      <c r="G233" s="2" t="inlineStr">
        <is>
          <t>Opel Corsa</t>
        </is>
      </c>
      <c r="H233" s="4">
        <f>IF(G233="","",IFERROR(VLOOKUP(G233,ADAC_TBL,2,0),""))</f>
        <v/>
      </c>
      <c r="I233" s="4">
        <f>IF(H233="","",MAX(0,MIN(100,50+100*(ADAC_REF-H233)/ADAC_REF)))</f>
        <v/>
      </c>
      <c r="J233" s="4">
        <f>IFERROR(VLOOKUP(B233,OCU_TBL,2,0),"")</f>
        <v/>
      </c>
      <c r="K233" s="4">
        <f>IF(COUNT(F233,I233,J233)=0,NEUTRO,AVERAGE(F233,I233,J233))</f>
        <v/>
      </c>
      <c r="L233" s="4">
        <f>IF(COUNT(F233,I233,J233)=0,"PENDIENTE","")</f>
        <v/>
      </c>
      <c r="M233" t="inlineStr">
        <is>
          <t>PENDIENTE</t>
        </is>
      </c>
      <c r="N233" t="inlineStr"/>
    </row>
    <row r="234">
      <c r="A234" s="2" t="inlineStr">
        <is>
          <t>Opel Astra</t>
        </is>
      </c>
      <c r="B234" s="2" t="inlineStr">
        <is>
          <t>Opel</t>
        </is>
      </c>
      <c r="F234" s="4">
        <f>IF(C234="","",MAX(0,MIN(100,50+100*(E234-C234)/E234)))</f>
        <v/>
      </c>
      <c r="G234" s="2" t="inlineStr">
        <is>
          <t>Opel Astra</t>
        </is>
      </c>
      <c r="H234" s="4">
        <f>IF(G234="","",IFERROR(VLOOKUP(G234,ADAC_TBL,2,0),""))</f>
        <v/>
      </c>
      <c r="I234" s="4">
        <f>IF(H234="","",MAX(0,MIN(100,50+100*(ADAC_REF-H234)/ADAC_REF)))</f>
        <v/>
      </c>
      <c r="J234" s="4">
        <f>IFERROR(VLOOKUP(B234,OCU_TBL,2,0),"")</f>
        <v/>
      </c>
      <c r="K234" s="4">
        <f>IF(COUNT(F234,I234,J234)=0,NEUTRO,AVERAGE(F234,I234,J234))</f>
        <v/>
      </c>
      <c r="L234" s="4">
        <f>IF(COUNT(F234,I234,J234)=0,"PENDIENTE","")</f>
        <v/>
      </c>
      <c r="M234" t="inlineStr">
        <is>
          <t>PENDIENTE</t>
        </is>
      </c>
      <c r="N234" t="inlineStr"/>
    </row>
    <row r="235">
      <c r="A235" s="2" t="inlineStr">
        <is>
          <t>Peugeot 208</t>
        </is>
      </c>
      <c r="B235" s="2" t="inlineStr">
        <is>
          <t>Peugeot</t>
        </is>
      </c>
      <c r="F235" s="4">
        <f>IF(C235="","",MAX(0,MIN(100,50+100*(E235-C235)/E235)))</f>
        <v/>
      </c>
      <c r="G235" s="2" t="inlineStr">
        <is>
          <t>Peugeot 208</t>
        </is>
      </c>
      <c r="H235" s="4">
        <f>IF(G235="","",IFERROR(VLOOKUP(G235,ADAC_TBL,2,0),""))</f>
        <v/>
      </c>
      <c r="I235" s="4">
        <f>IF(H235="","",MAX(0,MIN(100,50+100*(ADAC_REF-H235)/ADAC_REF)))</f>
        <v/>
      </c>
      <c r="J235" s="4">
        <f>IFERROR(VLOOKUP(B235,OCU_TBL,2,0),"")</f>
        <v/>
      </c>
      <c r="K235" s="4">
        <f>IF(COUNT(F235,I235,J235)=0,NEUTRO,AVERAGE(F235,I235,J235))</f>
        <v/>
      </c>
      <c r="L235" s="4">
        <f>IF(COUNT(F235,I235,J235)=0,"PENDIENTE","")</f>
        <v/>
      </c>
      <c r="M235" t="inlineStr">
        <is>
          <t>PENDIENTE</t>
        </is>
      </c>
      <c r="N235" t="inlineStr"/>
    </row>
    <row r="236">
      <c r="A236" s="2" t="inlineStr">
        <is>
          <t>Peugeot 308</t>
        </is>
      </c>
      <c r="B236" s="2" t="inlineStr">
        <is>
          <t>Peugeot</t>
        </is>
      </c>
      <c r="F236" s="4">
        <f>IF(C236="","",MAX(0,MIN(100,50+100*(E236-C236)/E236)))</f>
        <v/>
      </c>
      <c r="G236" s="2" t="inlineStr">
        <is>
          <t>Peugeot 308</t>
        </is>
      </c>
      <c r="H236" s="4">
        <f>IF(G236="","",IFERROR(VLOOKUP(G236,ADAC_TBL,2,0),""))</f>
        <v/>
      </c>
      <c r="I236" s="4">
        <f>IF(H236="","",MAX(0,MIN(100,50+100*(ADAC_REF-H236)/ADAC_REF)))</f>
        <v/>
      </c>
      <c r="J236" s="4">
        <f>IFERROR(VLOOKUP(B236,OCU_TBL,2,0),"")</f>
        <v/>
      </c>
      <c r="K236" s="4">
        <f>IF(COUNT(F236,I236,J236)=0,NEUTRO,AVERAGE(F236,I236,J236))</f>
        <v/>
      </c>
      <c r="L236" s="4">
        <f>IF(COUNT(F236,I236,J236)=0,"PENDIENTE","")</f>
        <v/>
      </c>
      <c r="M236" t="inlineStr">
        <is>
          <t>PENDIENTE</t>
        </is>
      </c>
      <c r="N236" t="inlineStr"/>
    </row>
    <row r="237">
      <c r="A237" s="2" t="inlineStr">
        <is>
          <t>Citroën C3</t>
        </is>
      </c>
      <c r="B237" s="2" t="inlineStr">
        <is>
          <t>Citroën</t>
        </is>
      </c>
      <c r="F237" s="4">
        <f>IF(C237="","",MAX(0,MIN(100,50+100*(E237-C237)/E237)))</f>
        <v/>
      </c>
      <c r="G237" s="2" t="inlineStr">
        <is>
          <t>Citroen C3/DS 3</t>
        </is>
      </c>
      <c r="H237" s="4">
        <f>IF(G237="","",IFERROR(VLOOKUP(G237,ADAC_TBL,2,0),""))</f>
        <v/>
      </c>
      <c r="I237" s="4">
        <f>IF(H237="","",MAX(0,MIN(100,50+100*(ADAC_REF-H237)/ADAC_REF)))</f>
        <v/>
      </c>
      <c r="J237" s="4">
        <f>IFERROR(VLOOKUP(B237,OCU_TBL,2,0),"")</f>
        <v/>
      </c>
      <c r="K237" s="4">
        <f>IF(COUNT(F237,I237,J237)=0,NEUTRO,AVERAGE(F237,I237,J237))</f>
        <v/>
      </c>
      <c r="L237" s="4">
        <f>IF(COUNT(F237,I237,J237)=0,"PENDIENTE","")</f>
        <v/>
      </c>
      <c r="M237" t="inlineStr">
        <is>
          <t>PENDIENTE</t>
        </is>
      </c>
      <c r="N237" t="inlineStr"/>
    </row>
    <row r="238">
      <c r="A238" s="2" t="inlineStr">
        <is>
          <t>Citroën C4</t>
        </is>
      </c>
      <c r="B238" s="2" t="inlineStr">
        <is>
          <t>Citroën</t>
        </is>
      </c>
      <c r="F238" s="4">
        <f>IF(C238="","",MAX(0,MIN(100,50+100*(E238-C238)/E238)))</f>
        <v/>
      </c>
      <c r="H238" s="4">
        <f>IF(G238="","",IFERROR(VLOOKUP(G238,ADAC_TBL,2,0),""))</f>
        <v/>
      </c>
      <c r="I238" s="4">
        <f>IF(H238="","",MAX(0,MIN(100,50+100*(ADAC_REF-H238)/ADAC_REF)))</f>
        <v/>
      </c>
      <c r="J238" s="4">
        <f>IFERROR(VLOOKUP(B238,OCU_TBL,2,0),"")</f>
        <v/>
      </c>
      <c r="K238" s="4">
        <f>IF(COUNT(F238,I238,J238)=0,NEUTRO,AVERAGE(F238,I238,J238))</f>
        <v/>
      </c>
      <c r="L238" s="4">
        <f>IF(COUNT(F238,I238,J238)=0,"PENDIENTE","")</f>
        <v/>
      </c>
      <c r="M238" t="inlineStr">
        <is>
          <t>PENDIENTE</t>
        </is>
      </c>
      <c r="N238" t="inlineStr"/>
    </row>
    <row r="239">
      <c r="A239" s="2" t="inlineStr">
        <is>
          <t>Ford Fiesta</t>
        </is>
      </c>
      <c r="B239" s="2" t="inlineStr">
        <is>
          <t>Ford</t>
        </is>
      </c>
      <c r="F239" s="4">
        <f>IF(C239="","",MAX(0,MIN(100,50+100*(E239-C239)/E239)))</f>
        <v/>
      </c>
      <c r="G239" s="2" t="inlineStr">
        <is>
          <t>Ford Fiesta (Courier)</t>
        </is>
      </c>
      <c r="H239" s="4">
        <f>IF(G239="","",IFERROR(VLOOKUP(G239,ADAC_TBL,2,0),""))</f>
        <v/>
      </c>
      <c r="I239" s="4">
        <f>IF(H239="","",MAX(0,MIN(100,50+100*(ADAC_REF-H239)/ADAC_REF)))</f>
        <v/>
      </c>
      <c r="J239" s="4">
        <f>IFERROR(VLOOKUP(B239,OCU_TBL,2,0),"")</f>
        <v/>
      </c>
      <c r="K239" s="4">
        <f>IF(COUNT(F239,I239,J239)=0,NEUTRO,AVERAGE(F239,I239,J239))</f>
        <v/>
      </c>
      <c r="L239" s="4">
        <f>IF(COUNT(F239,I239,J239)=0,"PENDIENTE","")</f>
        <v/>
      </c>
      <c r="M239" t="inlineStr">
        <is>
          <t>PENDIENTE</t>
        </is>
      </c>
      <c r="N239" t="inlineStr"/>
    </row>
    <row r="240">
      <c r="A240" s="2" t="inlineStr">
        <is>
          <t>Fiat Punto</t>
        </is>
      </c>
      <c r="B240" s="2" t="inlineStr">
        <is>
          <t>Fiat</t>
        </is>
      </c>
      <c r="F240" s="4">
        <f>IF(C240="","",MAX(0,MIN(100,50+100*(E240-C240)/E240)))</f>
        <v/>
      </c>
      <c r="H240" s="4">
        <f>IF(G240="","",IFERROR(VLOOKUP(G240,ADAC_TBL,2,0),""))</f>
        <v/>
      </c>
      <c r="I240" s="4">
        <f>IF(H240="","",MAX(0,MIN(100,50+100*(ADAC_REF-H240)/ADAC_REF)))</f>
        <v/>
      </c>
      <c r="J240" s="4">
        <f>IFERROR(VLOOKUP(B240,OCU_TBL,2,0),"")</f>
        <v/>
      </c>
      <c r="K240" s="4">
        <f>IF(COUNT(F240,I240,J240)=0,NEUTRO,AVERAGE(F240,I240,J240))</f>
        <v/>
      </c>
      <c r="L240" s="4">
        <f>IF(COUNT(F240,I240,J240)=0,"PENDIENTE","")</f>
        <v/>
      </c>
      <c r="M240" t="inlineStr">
        <is>
          <t>PENDIENTE</t>
        </is>
      </c>
      <c r="N240" t="inlineStr"/>
    </row>
    <row r="241">
      <c r="A241" s="2" t="inlineStr">
        <is>
          <t>Fiat 500</t>
        </is>
      </c>
      <c r="B241" s="2" t="inlineStr">
        <is>
          <t>Fiat</t>
        </is>
      </c>
      <c r="F241" s="4">
        <f>IF(C241="","",MAX(0,MIN(100,50+100*(E241-C241)/E241)))</f>
        <v/>
      </c>
      <c r="G241" s="2" t="inlineStr">
        <is>
          <t>Fiat 500</t>
        </is>
      </c>
      <c r="H241" s="4">
        <f>IF(G241="","",IFERROR(VLOOKUP(G241,ADAC_TBL,2,0),""))</f>
        <v/>
      </c>
      <c r="I241" s="4">
        <f>IF(H241="","",MAX(0,MIN(100,50+100*(ADAC_REF-H241)/ADAC_REF)))</f>
        <v/>
      </c>
      <c r="J241" s="4">
        <f>IFERROR(VLOOKUP(B241,OCU_TBL,2,0),"")</f>
        <v/>
      </c>
      <c r="K241" s="4">
        <f>IF(COUNT(F241,I241,J241)=0,NEUTRO,AVERAGE(F241,I241,J241))</f>
        <v/>
      </c>
      <c r="L241" s="4">
        <f>IF(COUNT(F241,I241,J241)=0,"PENDIENTE","")</f>
        <v/>
      </c>
      <c r="M241" t="inlineStr">
        <is>
          <t>PENDIENTE</t>
        </is>
      </c>
      <c r="N241" t="inlineStr"/>
    </row>
    <row r="242">
      <c r="A242" s="2" t="inlineStr">
        <is>
          <t>Nissan Micra</t>
        </is>
      </c>
      <c r="B242" s="2" t="inlineStr">
        <is>
          <t>Nissan</t>
        </is>
      </c>
      <c r="F242" s="4">
        <f>IF(C242="","",MAX(0,MIN(100,50+100*(E242-C242)/E242)))</f>
        <v/>
      </c>
      <c r="G242" s="2" t="inlineStr">
        <is>
          <t>Nissan Micra</t>
        </is>
      </c>
      <c r="H242" s="4">
        <f>IF(G242="","",IFERROR(VLOOKUP(G242,ADAC_TBL,2,0),""))</f>
        <v/>
      </c>
      <c r="I242" s="4">
        <f>IF(H242="","",MAX(0,MIN(100,50+100*(ADAC_REF-H242)/ADAC_REF)))</f>
        <v/>
      </c>
      <c r="J242" s="4">
        <f>IFERROR(VLOOKUP(B242,OCU_TBL,2,0),"")</f>
        <v/>
      </c>
      <c r="K242" s="4">
        <f>IF(COUNT(F242,I242,J242)=0,NEUTRO,AVERAGE(F242,I242,J242))</f>
        <v/>
      </c>
      <c r="L242" s="4">
        <f>IF(COUNT(F242,I242,J242)=0,"PENDIENTE","")</f>
        <v/>
      </c>
      <c r="M242" t="inlineStr">
        <is>
          <t>PENDIENTE</t>
        </is>
      </c>
      <c r="N242" t="inlineStr"/>
    </row>
    <row r="243">
      <c r="A243" s="2" t="inlineStr">
        <is>
          <t>Suzuki Swift</t>
        </is>
      </c>
      <c r="B243" s="2" t="inlineStr">
        <is>
          <t>Suzuki</t>
        </is>
      </c>
      <c r="F243" s="4">
        <f>IF(C243="","",MAX(0,MIN(100,50+100*(E243-C243)/E243)))</f>
        <v/>
      </c>
      <c r="G243" s="2" t="inlineStr">
        <is>
          <t>Suzuki Swift</t>
        </is>
      </c>
      <c r="H243" s="4">
        <f>IF(G243="","",IFERROR(VLOOKUP(G243,ADAC_TBL,2,0),""))</f>
        <v/>
      </c>
      <c r="I243" s="4">
        <f>IF(H243="","",MAX(0,MIN(100,50+100*(ADAC_REF-H243)/ADAC_REF)))</f>
        <v/>
      </c>
      <c r="J243" s="4">
        <f>IFERROR(VLOOKUP(B243,OCU_TBL,2,0),"")</f>
        <v/>
      </c>
      <c r="K243" s="4">
        <f>IF(COUNT(F243,I243,J243)=0,NEUTRO,AVERAGE(F243,I243,J243))</f>
        <v/>
      </c>
      <c r="L243" s="4">
        <f>IF(COUNT(F243,I243,J243)=0,"PENDIENTE","")</f>
        <v/>
      </c>
      <c r="M243" t="inlineStr">
        <is>
          <t>PENDIENTE (ADAC 2026 entre los mejores Kleinwagen 2016-2023, sin cifra)</t>
        </is>
      </c>
      <c r="N243" t="inlineStr"/>
    </row>
    <row r="244">
      <c r="A244" s="2" t="inlineStr">
        <is>
          <t>Mitsubishi Colt</t>
        </is>
      </c>
      <c r="B244" s="2" t="inlineStr">
        <is>
          <t>Mitsubishi</t>
        </is>
      </c>
      <c r="F244" s="4">
        <f>IF(C244="","",MAX(0,MIN(100,50+100*(E244-C244)/E244)))</f>
        <v/>
      </c>
      <c r="H244" s="4">
        <f>IF(G244="","",IFERROR(VLOOKUP(G244,ADAC_TBL,2,0),""))</f>
        <v/>
      </c>
      <c r="I244" s="4">
        <f>IF(H244="","",MAX(0,MIN(100,50+100*(ADAC_REF-H244)/ADAC_REF)))</f>
        <v/>
      </c>
      <c r="J244" s="4">
        <f>IFERROR(VLOOKUP(B244,OCU_TBL,2,0),"")</f>
        <v/>
      </c>
      <c r="K244" s="4">
        <f>IF(COUNT(F244,I244,J244)=0,NEUTRO,AVERAGE(F244,I244,J244))</f>
        <v/>
      </c>
      <c r="L244" s="4">
        <f>IF(COUNT(F244,I244,J244)=0,"PENDIENTE","")</f>
        <v/>
      </c>
      <c r="M244" t="inlineStr">
        <is>
          <t>PENDIENTE</t>
        </is>
      </c>
      <c r="N244" t="inlineStr"/>
    </row>
    <row r="246">
      <c r="A246" s="6" t="inlineStr">
        <is>
          <t>8. Ajustes por motor con problemas conocidos (el problema tiene fuente; la magnitud es criterio)</t>
        </is>
      </c>
    </row>
    <row r="247">
      <c r="A247" s="7" t="inlineStr">
        <is>
          <t>Marca</t>
        </is>
      </c>
      <c r="B247" s="7" t="inlineStr">
        <is>
          <t>Motor</t>
        </is>
      </c>
      <c r="C247" s="7" t="inlineStr">
        <is>
          <t>Año desde</t>
        </is>
      </c>
      <c r="D247" s="7" t="inlineStr">
        <is>
          <t>Año hasta</t>
        </is>
      </c>
      <c r="E247" s="7" t="inlineStr">
        <is>
          <t>Ajuste (puntos)</t>
        </is>
      </c>
      <c r="F247" s="7" t="inlineStr">
        <is>
          <t>Problema</t>
        </is>
      </c>
      <c r="G247" s="7" t="inlineStr">
        <is>
          <t>Qué revisar</t>
        </is>
      </c>
      <c r="H247" s="7" t="inlineStr">
        <is>
          <t>Estado</t>
        </is>
      </c>
      <c r="I247" s="7" t="inlineStr">
        <is>
          <t>Fuente</t>
        </is>
      </c>
    </row>
    <row r="248">
      <c r="A248" s="2" t="inlineStr">
        <is>
          <t>(todas)</t>
        </is>
      </c>
      <c r="B248" s="2" t="inlineStr">
        <is>
          <t>1.2 PureTech</t>
        </is>
      </c>
      <c r="C248" s="2" t="n">
        <v>2012</v>
      </c>
      <c r="D248" s="2" t="n">
        <v>2022</v>
      </c>
      <c r="E248" s="2" t="n">
        <v>-25</v>
      </c>
      <c r="F248" t="inlineStr">
        <is>
          <t>Correa de distribución húmeda que se degrada y consumo de aceite; Stellantis amplió garantía a 10 años/175.000 km con condiciones</t>
        </is>
      </c>
      <c r="G248" t="inlineStr">
        <is>
          <t>Factura de cambio de correa y del tamiz/bomba de aceite; nivel de aceite; testigo de presión; si entra en la ampliación de garantía Stellantis</t>
        </is>
      </c>
      <c r="H248" t="inlineStr">
        <is>
          <t>probable</t>
        </is>
      </c>
      <c r="I248" t="inlineStr">
        <is>
          <t>https://www.km77.com/revista/engendro-mecanico/stellantis-compensacion-afectados-puretech/ ; https://www.motorpasion.com/industria/stellantis-fin-responde-al-problema-motores-puretech-10-anos-garantia-retroactiva</t>
        </is>
      </c>
    </row>
    <row r="249">
      <c r="A249" s="2" t="inlineStr">
        <is>
          <t>(todas)</t>
        </is>
      </c>
      <c r="B249" s="2" t="inlineStr">
        <is>
          <t>1.0 PureTech</t>
        </is>
      </c>
      <c r="C249" s="2" t="n">
        <v>2012</v>
      </c>
      <c r="D249" s="2" t="n">
        <v>2022</v>
      </c>
      <c r="E249" s="2" t="n">
        <v>-25</v>
      </c>
      <c r="F249" t="inlineStr">
        <is>
          <t>Igual que 1.2 PureTech (familia EB)</t>
        </is>
      </c>
      <c r="G249" t="inlineStr">
        <is>
          <t>Igual que 1.2 PureTech</t>
        </is>
      </c>
      <c r="H249" t="inlineStr">
        <is>
          <t>probable</t>
        </is>
      </c>
      <c r="I249" t="inlineStr">
        <is>
          <t>https://www.km77.com/revista/engendro-mecanico/stellantis-compensacion-afectados-puretech/</t>
        </is>
      </c>
    </row>
    <row r="250">
      <c r="A250" s="2" t="inlineStr">
        <is>
          <t>(todas)</t>
        </is>
      </c>
      <c r="B250" s="2" t="inlineStr">
        <is>
          <t>1.2 VTi</t>
        </is>
      </c>
      <c r="C250" s="2" t="n">
        <v>2012</v>
      </c>
      <c r="D250" s="2" t="n">
        <v>2022</v>
      </c>
      <c r="E250" s="2" t="n">
        <v>-25</v>
      </c>
      <c r="F250" t="inlineStr">
        <is>
          <t>1.2 VTi atmosférico = PureTech EB2 (correa húmeda)</t>
        </is>
      </c>
      <c r="G250" t="inlineStr">
        <is>
          <t>Igual que 1.2 PureTech</t>
        </is>
      </c>
      <c r="H250" t="inlineStr">
        <is>
          <t>probable</t>
        </is>
      </c>
      <c r="I250" t="inlineStr">
        <is>
          <t>https://www.km77.com/revista/engendro-mecanico/stellantis-compensacion-afectados-puretech/</t>
        </is>
      </c>
    </row>
    <row r="251">
      <c r="A251" s="2" t="inlineStr">
        <is>
          <t>(todas)</t>
        </is>
      </c>
      <c r="B251" s="2" t="inlineStr">
        <is>
          <t>1.2 TSI</t>
        </is>
      </c>
      <c r="C251" s="2" t="n">
        <v>2008</v>
      </c>
      <c r="D251" s="2" t="n">
        <v>2012</v>
      </c>
      <c r="E251" s="2" t="n">
        <v>-20</v>
      </c>
      <c r="F251" t="inlineStr">
        <is>
          <t>EA111: cadena de distribución que se alarga y tensor que falla; puede saltar y romper el motor</t>
        </is>
      </c>
      <c r="G251" t="inlineStr">
        <is>
          <t>Ruido metálico en arranque en frío (primeros segundos); factura de cambio de cadena y tensor</t>
        </is>
      </c>
      <c r="H251" t="inlineStr">
        <is>
          <t>probable</t>
        </is>
      </c>
      <c r="I251" t="inlineStr">
        <is>
          <t>https://www.autobild.de/artikel/vw-steuerketten-kulanz-2892135.html</t>
        </is>
      </c>
    </row>
    <row r="252">
      <c r="A252" s="2" t="inlineStr">
        <is>
          <t>(todas)</t>
        </is>
      </c>
      <c r="B252" s="2" t="inlineStr">
        <is>
          <t>1.4 TSI</t>
        </is>
      </c>
      <c r="C252" s="2" t="n">
        <v>2008</v>
      </c>
      <c r="D252" s="2" t="n">
        <v>2012</v>
      </c>
      <c r="E252" s="2" t="n">
        <v>-20</v>
      </c>
      <c r="F252" t="inlineStr">
        <is>
          <t>EA111: cadena de distribución que se alarga y tensor que falla</t>
        </is>
      </c>
      <c r="G252" t="inlineStr">
        <is>
          <t>Ruido de cadena en frío; factura de cadena/tensor; consumo de aceite</t>
        </is>
      </c>
      <c r="H252" t="inlineStr">
        <is>
          <t>probable</t>
        </is>
      </c>
      <c r="I252" t="inlineStr">
        <is>
          <t>https://www.autobild.de/artikel/vw-steuerketten-kulanz-2892135.html</t>
        </is>
      </c>
    </row>
    <row r="253">
      <c r="A253" s="2" t="inlineStr">
        <is>
          <t>(todas)</t>
        </is>
      </c>
      <c r="B253" s="2" t="inlineStr">
        <is>
          <t>1.0 EcoBoost</t>
        </is>
      </c>
      <c r="C253" s="2" t="n">
        <v>2012</v>
      </c>
      <c r="D253" s="2" t="n">
        <v>2018</v>
      </c>
      <c r="E253" s="2" t="n">
        <v>-20</v>
      </c>
      <c r="F253" t="inlineStr">
        <is>
          <t>Correa bañada en aceite que se degrada; fallos de refrigeración y sobrecalentamiento (≈2012-2014)</t>
        </is>
      </c>
      <c r="G253" t="inlineStr">
        <is>
          <t>Fugas y nivel de refrigerante, manguitos, historial de sobrecalentamiento, factura de correa</t>
        </is>
      </c>
      <c r="H253" t="inlineStr">
        <is>
          <t>probable</t>
        </is>
      </c>
      <c r="I253" t="inlineStr">
        <is>
          <t>https://www.motor.es/noticias/ford-10-ecoboost-tricilindricos-correas-banadas-2026115650.html ; https://www.whatcar.com/news/ford-ecoboost-engine-recall-%E2%80%93-what-you-need-to-know/n17972</t>
        </is>
      </c>
    </row>
    <row r="254">
      <c r="A254" s="2" t="inlineStr">
        <is>
          <t>(todas)</t>
        </is>
      </c>
      <c r="B254" s="2" t="inlineStr">
        <is>
          <t>1.2 TCe</t>
        </is>
      </c>
      <c r="C254" s="2" t="n">
        <v>2012</v>
      </c>
      <c r="D254" s="2" t="n">
        <v>2016</v>
      </c>
      <c r="E254" s="2" t="n">
        <v>-20</v>
      </c>
      <c r="F254" t="inlineStr">
        <is>
          <t>H5Ft: consumo excesivo de aceite (fabricados 10/2012-07/2016); recalibración desde 06/2015</t>
        </is>
      </c>
      <c r="G254" t="inlineStr">
        <is>
          <t>Consumo de aceite, humo azul, si se le hizo la actualización de software/campaña</t>
        </is>
      </c>
      <c r="H254" t="inlineStr">
        <is>
          <t>probable</t>
        </is>
      </c>
      <c r="I254" t="inlineStr">
        <is>
          <t>https://questions.assemblee-nationale.fr/dyn/15/questions/QANR5L15QOSD963.pdf</t>
        </is>
      </c>
    </row>
    <row r="255">
      <c r="A255" s="2" t="inlineStr">
        <is>
          <t>Opel</t>
        </is>
      </c>
      <c r="B255" s="2" t="inlineStr">
        <is>
          <t>1.4 Turbo</t>
        </is>
      </c>
      <c r="C255" s="2" t="n">
        <v>2010</v>
      </c>
      <c r="D255" s="2" t="n">
        <v>2018</v>
      </c>
      <c r="E255" s="2" t="n">
        <v>-10</v>
      </c>
      <c r="F255" t="inlineStr">
        <is>
          <t>A14NET: pistones/segmentos (consumo de aceite, preencendido), ventilación del cárter, cadena. Fuentes secundarias</t>
        </is>
      </c>
      <c r="G255" t="inlineStr">
        <is>
          <t>Consumo de aceite, tirones, ruido de cadena</t>
        </is>
      </c>
      <c r="H255" t="inlineStr">
        <is>
          <t>probable (fuente secundaria)</t>
        </is>
      </c>
      <c r="I255" t="inlineStr">
        <is>
          <t>https://carwiki.de/opel-a14net-motor</t>
        </is>
      </c>
    </row>
    <row r="256">
      <c r="A256" s="2" t="inlineStr">
        <is>
          <t>(todas)</t>
        </is>
      </c>
      <c r="B256" s="2" t="inlineStr">
        <is>
          <t>1.6 THP</t>
        </is>
      </c>
      <c r="C256" s="2" t="n">
        <v>2007</v>
      </c>
      <c r="D256" s="2" t="n">
        <v>2018</v>
      </c>
      <c r="E256" s="2" t="n">
        <v>-10</v>
      </c>
      <c r="F256" t="inlineStr">
        <is>
          <t>Familia Prince EP6 turbo (PSA/BMW): estiramiento de la cadena de distribución, consumo de aceite y carbonilla en admisión. Solo fuentes secundarias</t>
        </is>
      </c>
      <c r="G256" t="inlineStr">
        <is>
          <t>Traqueteo de cadena en arranque en frío, consumo de aceite, facturas de cadena/tensor</t>
        </is>
      </c>
      <c r="H256" t="inlineStr">
        <is>
          <t>probable (fuente secundaria)</t>
        </is>
      </c>
      <c r="I256" t="inlineStr">
        <is>
          <t>https://autoscore.pro/engine/1.6-thp-ep6</t>
        </is>
      </c>
    </row>
    <row r="257">
      <c r="A257" s="2" t="inlineStr">
        <is>
          <t>(todas)</t>
        </is>
      </c>
      <c r="B257" s="2" t="inlineStr">
        <is>
          <t>1.6 VTi</t>
        </is>
      </c>
      <c r="C257" s="2" t="n">
        <v>2006</v>
      </c>
      <c r="D257" s="2" t="n">
        <v>2015</v>
      </c>
      <c r="E257" s="2" t="n">
        <v>0</v>
      </c>
      <c r="F257" t="inlineStr">
        <is>
          <t>Familia Prince EP6 atmosférico: se citan problemas de cadena y consumo de aceite, pero solo en foros. Sin ajuste hasta tener fuente seria</t>
        </is>
      </c>
      <c r="G257" t="inlineStr">
        <is>
          <t>Ruido de cadena en frío, consumo de aceite, humo azul</t>
        </is>
      </c>
      <c r="H257" t="inlineStr">
        <is>
          <t>PENDIENTE</t>
        </is>
      </c>
      <c r="I257" t="inlineStr">
        <is>
          <t>sin fuente de autoridad (foros)</t>
        </is>
      </c>
    </row>
    <row r="258">
      <c r="A258" t="inlineStr">
        <is>
          <t>Motores con buena fama: PENDIENTE de fuente de autoridad; sin ajuste positivo.</t>
        </is>
      </c>
    </row>
    <row r="260">
      <c r="A260" s="6" t="inlineStr">
        <is>
          <t>9. Ajustes por combustible</t>
        </is>
      </c>
    </row>
    <row r="261">
      <c r="A261" s="7" t="inlineStr">
        <is>
          <t>Combustible</t>
        </is>
      </c>
      <c r="B261" s="7" t="inlineStr">
        <is>
          <t>Ajuste (puntos)</t>
        </is>
      </c>
      <c r="C261" s="7" t="inlineStr">
        <is>
          <t>Problema</t>
        </is>
      </c>
      <c r="D261" s="7" t="inlineStr">
        <is>
          <t>Qué revisar</t>
        </is>
      </c>
      <c r="E261" s="7" t="inlineStr">
        <is>
          <t>Estado</t>
        </is>
      </c>
      <c r="F261" s="7" t="inlineStr">
        <is>
          <t>Fuente</t>
        </is>
      </c>
    </row>
    <row r="262">
      <c r="A262" s="2" t="inlineStr">
        <is>
          <t>diesel</t>
        </is>
      </c>
      <c r="B262" s="2" t="n">
        <v>-15</v>
      </c>
      <c r="C262" t="inlineStr">
        <is>
          <t>Filtro de partículas (DPF): en uso urbano no regenera y se colmata; sustitución &gt;1.000-1.500 €</t>
        </is>
      </c>
      <c r="D262" t="inlineStr">
        <is>
          <t>Testigo DPF, regeneraciones frecuentes, EGR, si se ha anulado el filtro (ilegal en ITV)</t>
        </is>
      </c>
      <c r="E262" t="inlineStr">
        <is>
          <t>probable</t>
        </is>
      </c>
      <c r="F262" t="inlineStr">
        <is>
          <t>https://www.motor16.com/las-ultimas-noticias/filtro-particulas-diesel-averia-1500/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2026-10-31T09:55:57Z</dcterms:created>
  <dcterms:modified xmlns:dcterms="http://purl.org/dc/terms/" xmlns:xsi="http://www.w3.org/2001/XMLSchema-instance" xsi:type="dcterms:W3CDTF">2026-10-31T09:55:57Z</dcterms:modified>
</cp:coreProperties>
</file>